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C-26\Downloads\"/>
    </mc:Choice>
  </mc:AlternateContent>
  <xr:revisionPtr revIDLastSave="0" documentId="13_ncr:1_{501A20C2-4916-4E78-8978-A95367E3AD66}" xr6:coauthVersionLast="47" xr6:coauthVersionMax="47" xr10:uidLastSave="{00000000-0000-0000-0000-000000000000}"/>
  <bookViews>
    <workbookView xWindow="-110" yWindow="-110" windowWidth="19420" windowHeight="10300" xr2:uid="{7BC0B9EA-9572-4662-B71E-D9E33D4702EB}"/>
  </bookViews>
  <sheets>
    <sheet name="Instructions" sheetId="6" r:id="rId1"/>
    <sheet name="Year Wise Master Dep Approach" sheetId="7" state="veryHidden" r:id="rId2"/>
    <sheet name="FA Schedule" sheetId="2" state="veryHidden" r:id="rId3"/>
    <sheet name="FA Addition" sheetId="3" state="veryHidden" r:id="rId4"/>
    <sheet name="FA Write off" sheetId="4" state="veryHidden" r:id="rId5"/>
  </sheets>
  <definedNames>
    <definedName name="__xleta.VALUE" hidden="1" xlm="1">#NAME?</definedName>
    <definedName name="_xlnm._FilterDatabase" localSheetId="3" hidden="1">'FA Addition'!$S$3:$AS$1686</definedName>
    <definedName name="_xlnm._FilterDatabase" localSheetId="1" hidden="1">'Year Wise Master Dep Approach'!$B$3:$F$124</definedName>
    <definedName name="_xleta.LEF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3" l="1"/>
  <c r="L67" i="2" l="1"/>
  <c r="T17" i="2"/>
  <c r="T13" i="2"/>
  <c r="U13" i="2" s="1"/>
  <c r="O77" i="2"/>
  <c r="J81" i="2"/>
  <c r="J77" i="2"/>
  <c r="J72" i="2"/>
  <c r="P67" i="2"/>
  <c r="O67" i="2"/>
  <c r="N67" i="2"/>
  <c r="M67" i="2"/>
  <c r="K67" i="2"/>
  <c r="J67" i="2"/>
  <c r="I67" i="2"/>
  <c r="H67" i="2"/>
  <c r="G67" i="2"/>
  <c r="Y14" i="2" l="1"/>
  <c r="X13" i="2"/>
  <c r="X28" i="2" s="1"/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4" i="7"/>
  <c r="N1684" i="3"/>
  <c r="N1685" i="3"/>
  <c r="O94" i="3" l="1"/>
  <c r="O1466" i="3"/>
  <c r="O779" i="3"/>
  <c r="O902" i="3"/>
  <c r="N1471" i="3"/>
  <c r="N1568" i="3"/>
  <c r="O1567" i="3"/>
  <c r="O1452" i="3"/>
  <c r="O240" i="3"/>
  <c r="N1073" i="3"/>
  <c r="O249" i="3"/>
  <c r="O1677" i="3"/>
  <c r="O1623" i="3"/>
  <c r="O1543" i="3"/>
  <c r="O1433" i="3"/>
  <c r="N1271" i="3"/>
  <c r="O1043" i="3"/>
  <c r="O630" i="3"/>
  <c r="N131" i="3"/>
  <c r="O1018" i="3"/>
  <c r="O1676" i="3"/>
  <c r="N1623" i="3"/>
  <c r="O1539" i="3"/>
  <c r="N1433" i="3"/>
  <c r="O1269" i="3"/>
  <c r="O1031" i="3"/>
  <c r="O619" i="3"/>
  <c r="N780" i="3"/>
  <c r="N1113" i="3"/>
  <c r="N1295" i="3"/>
  <c r="N1624" i="3"/>
  <c r="O1449" i="3"/>
  <c r="O564" i="3"/>
  <c r="N1665" i="3"/>
  <c r="O1412" i="3"/>
  <c r="O1239" i="3"/>
  <c r="N995" i="3"/>
  <c r="N539" i="3"/>
  <c r="O39" i="3"/>
  <c r="N76" i="3"/>
  <c r="O1664" i="3"/>
  <c r="N1608" i="3"/>
  <c r="O1515" i="3"/>
  <c r="O1394" i="3"/>
  <c r="N1215" i="3"/>
  <c r="N952" i="3"/>
  <c r="O464" i="3"/>
  <c r="N35" i="3"/>
  <c r="N1637" i="3"/>
  <c r="O179" i="3"/>
  <c r="O1636" i="3"/>
  <c r="O1556" i="3"/>
  <c r="O1073" i="3"/>
  <c r="N4" i="3"/>
  <c r="N132" i="3"/>
  <c r="O1612" i="3"/>
  <c r="N1000" i="3"/>
  <c r="O1608" i="3"/>
  <c r="N1596" i="3"/>
  <c r="N1388" i="3"/>
  <c r="N464" i="3"/>
  <c r="N1500" i="3"/>
  <c r="O1178" i="3"/>
  <c r="N360" i="3"/>
  <c r="O1651" i="3"/>
  <c r="O1593" i="3"/>
  <c r="N1498" i="3"/>
  <c r="N1370" i="3"/>
  <c r="N1178" i="3"/>
  <c r="O893" i="3"/>
  <c r="O359" i="3"/>
  <c r="N10" i="3"/>
  <c r="O1320" i="3"/>
  <c r="O1113" i="3"/>
  <c r="N822" i="3"/>
  <c r="N1320" i="3"/>
  <c r="N153" i="3"/>
  <c r="O149" i="3"/>
  <c r="O1554" i="3"/>
  <c r="N1291" i="3"/>
  <c r="N1676" i="3"/>
  <c r="O1528" i="3"/>
  <c r="O1413" i="3"/>
  <c r="N74" i="3"/>
  <c r="N1664" i="3"/>
  <c r="N1214" i="3"/>
  <c r="O17" i="3"/>
  <c r="N1652" i="3"/>
  <c r="N1371" i="3"/>
  <c r="O16" i="3"/>
  <c r="N1651" i="3"/>
  <c r="O1584" i="3"/>
  <c r="O1485" i="3"/>
  <c r="N1343" i="3"/>
  <c r="N1151" i="3"/>
  <c r="N853" i="3"/>
  <c r="O261" i="3"/>
  <c r="N1636" i="3"/>
  <c r="N707" i="3"/>
  <c r="O705" i="3"/>
  <c r="O1242" i="3"/>
  <c r="O1526" i="3"/>
  <c r="N1515" i="3"/>
  <c r="O951" i="3"/>
  <c r="O1595" i="3"/>
  <c r="O1645" i="3"/>
  <c r="O1582" i="3"/>
  <c r="N1485" i="3"/>
  <c r="N1342" i="3"/>
  <c r="O1140" i="3"/>
  <c r="N833" i="3"/>
  <c r="N250" i="3"/>
  <c r="N1634" i="3"/>
  <c r="O1565" i="3"/>
  <c r="N1496" i="3"/>
  <c r="N1360" i="3"/>
  <c r="N1259" i="3"/>
  <c r="N1137" i="3"/>
  <c r="N936" i="3"/>
  <c r="O517" i="3"/>
  <c r="O1672" i="3"/>
  <c r="N1617" i="3"/>
  <c r="O1564" i="3"/>
  <c r="O1508" i="3"/>
  <c r="N1402" i="3"/>
  <c r="O1309" i="3"/>
  <c r="O1196" i="3"/>
  <c r="N1066" i="3"/>
  <c r="O885" i="3"/>
  <c r="O614" i="3"/>
  <c r="O319" i="3"/>
  <c r="O1616" i="3"/>
  <c r="O1547" i="3"/>
  <c r="N1477" i="3"/>
  <c r="O1399" i="3"/>
  <c r="N1309" i="3"/>
  <c r="O1161" i="3"/>
  <c r="N927" i="3"/>
  <c r="N513" i="3"/>
  <c r="O212" i="3"/>
  <c r="N1657" i="3"/>
  <c r="N1603" i="3"/>
  <c r="N1547" i="3"/>
  <c r="O1476" i="3"/>
  <c r="O1380" i="3"/>
  <c r="N1279" i="3"/>
  <c r="N1129" i="3"/>
  <c r="O865" i="3"/>
  <c r="O661" i="3"/>
  <c r="O206" i="3"/>
  <c r="O1615" i="3"/>
  <c r="O1533" i="3"/>
  <c r="O1439" i="3"/>
  <c r="O1278" i="3"/>
  <c r="N1156" i="3"/>
  <c r="O1005" i="3"/>
  <c r="N741" i="3"/>
  <c r="N410" i="3"/>
  <c r="O1682" i="3"/>
  <c r="O1670" i="3"/>
  <c r="N1615" i="3"/>
  <c r="N1602" i="3"/>
  <c r="N1587" i="3"/>
  <c r="N1574" i="3"/>
  <c r="N1559" i="3"/>
  <c r="N1546" i="3"/>
  <c r="N1533" i="3"/>
  <c r="N1518" i="3"/>
  <c r="N1505" i="3"/>
  <c r="N1489" i="3"/>
  <c r="N1474" i="3"/>
  <c r="O1457" i="3"/>
  <c r="N1439" i="3"/>
  <c r="O1421" i="3"/>
  <c r="N1398" i="3"/>
  <c r="N1373" i="3"/>
  <c r="O1352" i="3"/>
  <c r="N1327" i="3"/>
  <c r="N1305" i="3"/>
  <c r="N1277" i="3"/>
  <c r="O1254" i="3"/>
  <c r="O1219" i="3"/>
  <c r="O1191" i="3"/>
  <c r="N1154" i="3"/>
  <c r="O1121" i="3"/>
  <c r="N1093" i="3"/>
  <c r="O1046" i="3"/>
  <c r="N1005" i="3"/>
  <c r="N974" i="3"/>
  <c r="N922" i="3"/>
  <c r="N857" i="3"/>
  <c r="O793" i="3"/>
  <c r="O738" i="3"/>
  <c r="O660" i="3"/>
  <c r="O569" i="3"/>
  <c r="N482" i="3"/>
  <c r="O409" i="3"/>
  <c r="N301" i="3"/>
  <c r="N191" i="3"/>
  <c r="N79" i="3"/>
  <c r="N1578" i="3"/>
  <c r="O1524" i="3"/>
  <c r="O1463" i="3"/>
  <c r="N1425" i="3"/>
  <c r="N1339" i="3"/>
  <c r="N1234" i="3"/>
  <c r="O1169" i="3"/>
  <c r="O1070" i="3"/>
  <c r="O889" i="3"/>
  <c r="O746" i="3"/>
  <c r="O321" i="3"/>
  <c r="N1645" i="3"/>
  <c r="O1592" i="3"/>
  <c r="N1524" i="3"/>
  <c r="N1463" i="3"/>
  <c r="O1382" i="3"/>
  <c r="O1257" i="3"/>
  <c r="N746" i="3"/>
  <c r="N514" i="3"/>
  <c r="O1644" i="3"/>
  <c r="O1575" i="3"/>
  <c r="O1519" i="3"/>
  <c r="O1462" i="3"/>
  <c r="N1381" i="3"/>
  <c r="N1257" i="3"/>
  <c r="N1132" i="3"/>
  <c r="O977" i="3"/>
  <c r="O745" i="3"/>
  <c r="N1631" i="3"/>
  <c r="N1575" i="3"/>
  <c r="N1519" i="3"/>
  <c r="O1461" i="3"/>
  <c r="N1399" i="3"/>
  <c r="N1307" i="3"/>
  <c r="N1194" i="3"/>
  <c r="N1054" i="3"/>
  <c r="N926" i="3"/>
  <c r="O584" i="3"/>
  <c r="O302" i="3"/>
  <c r="N1683" i="3"/>
  <c r="O1643" i="3"/>
  <c r="O1587" i="3"/>
  <c r="O1546" i="3"/>
  <c r="O1505" i="3"/>
  <c r="O1460" i="3"/>
  <c r="N1380" i="3"/>
  <c r="N1306" i="3"/>
  <c r="N1192" i="3"/>
  <c r="N1094" i="3"/>
  <c r="N975" i="3"/>
  <c r="O857" i="3"/>
  <c r="N487" i="3"/>
  <c r="O191" i="3"/>
  <c r="N1643" i="3"/>
  <c r="O1680" i="3"/>
  <c r="O1666" i="3"/>
  <c r="N1655" i="3"/>
  <c r="O1642" i="3"/>
  <c r="N1627" i="3"/>
  <c r="O1614" i="3"/>
  <c r="N1599" i="3"/>
  <c r="O1586" i="3"/>
  <c r="O1573" i="3"/>
  <c r="O1558" i="3"/>
  <c r="O1545" i="3"/>
  <c r="O1530" i="3"/>
  <c r="O1517" i="3"/>
  <c r="O1504" i="3"/>
  <c r="O1488" i="3"/>
  <c r="O1473" i="3"/>
  <c r="N1455" i="3"/>
  <c r="O1438" i="3"/>
  <c r="N1415" i="3"/>
  <c r="O1397" i="3"/>
  <c r="O1372" i="3"/>
  <c r="N1352" i="3"/>
  <c r="O1325" i="3"/>
  <c r="N1302" i="3"/>
  <c r="O1276" i="3"/>
  <c r="N1253" i="3"/>
  <c r="N1219" i="3"/>
  <c r="N1181" i="3"/>
  <c r="N1153" i="3"/>
  <c r="N1119" i="3"/>
  <c r="O1088" i="3"/>
  <c r="N1046" i="3"/>
  <c r="N1004" i="3"/>
  <c r="O960" i="3"/>
  <c r="O921" i="3"/>
  <c r="N856" i="3"/>
  <c r="N786" i="3"/>
  <c r="N720" i="3"/>
  <c r="O659" i="3"/>
  <c r="O566" i="3"/>
  <c r="N469" i="3"/>
  <c r="N381" i="3"/>
  <c r="O295" i="3"/>
  <c r="O189" i="3"/>
  <c r="N1662" i="3"/>
  <c r="N1606" i="3"/>
  <c r="O1537" i="3"/>
  <c r="O1478" i="3"/>
  <c r="O1384" i="3"/>
  <c r="N1289" i="3"/>
  <c r="O1022" i="3"/>
  <c r="O820" i="3"/>
  <c r="N679" i="3"/>
  <c r="N615" i="3"/>
  <c r="O1633" i="3"/>
  <c r="O1577" i="3"/>
  <c r="O1536" i="3"/>
  <c r="O1477" i="3"/>
  <c r="O1424" i="3"/>
  <c r="N1337" i="3"/>
  <c r="O1233" i="3"/>
  <c r="O1133" i="3"/>
  <c r="N1019" i="3"/>
  <c r="O932" i="3"/>
  <c r="O675" i="3"/>
  <c r="O1657" i="3"/>
  <c r="O1603" i="3"/>
  <c r="N1564" i="3"/>
  <c r="N1508" i="3"/>
  <c r="O1440" i="3"/>
  <c r="N1358" i="3"/>
  <c r="O1287" i="3"/>
  <c r="N1196" i="3"/>
  <c r="N1056" i="3"/>
  <c r="O869" i="3"/>
  <c r="O665" i="3"/>
  <c r="O415" i="3"/>
  <c r="O128" i="3"/>
  <c r="O1671" i="3"/>
  <c r="N1616" i="3"/>
  <c r="O1563" i="3"/>
  <c r="O1507" i="3"/>
  <c r="N1440" i="3"/>
  <c r="N1357" i="3"/>
  <c r="O1256" i="3"/>
  <c r="O1159" i="3"/>
  <c r="N1018" i="3"/>
  <c r="O816" i="3"/>
  <c r="O512" i="3"/>
  <c r="N412" i="3"/>
  <c r="O1656" i="3"/>
  <c r="O1602" i="3"/>
  <c r="O1574" i="3"/>
  <c r="O1518" i="3"/>
  <c r="O1474" i="3"/>
  <c r="O1398" i="3"/>
  <c r="N1328" i="3"/>
  <c r="N1220" i="3"/>
  <c r="O1047" i="3"/>
  <c r="O925" i="3"/>
  <c r="O795" i="3"/>
  <c r="O575" i="3"/>
  <c r="O301" i="3"/>
  <c r="O5" i="3"/>
  <c r="O12" i="3"/>
  <c r="O19" i="3"/>
  <c r="O26" i="3"/>
  <c r="O33" i="3"/>
  <c r="O40" i="3"/>
  <c r="O47" i="3"/>
  <c r="O54" i="3"/>
  <c r="O61" i="3"/>
  <c r="O68" i="3"/>
  <c r="O75" i="3"/>
  <c r="O82" i="3"/>
  <c r="O89" i="3"/>
  <c r="O96" i="3"/>
  <c r="O103" i="3"/>
  <c r="O110" i="3"/>
  <c r="O117" i="3"/>
  <c r="O124" i="3"/>
  <c r="O131" i="3"/>
  <c r="O138" i="3"/>
  <c r="O145" i="3"/>
  <c r="O152" i="3"/>
  <c r="O159" i="3"/>
  <c r="O166" i="3"/>
  <c r="O173" i="3"/>
  <c r="O180" i="3"/>
  <c r="O187" i="3"/>
  <c r="O194" i="3"/>
  <c r="O201" i="3"/>
  <c r="O208" i="3"/>
  <c r="O215" i="3"/>
  <c r="O222" i="3"/>
  <c r="O229" i="3"/>
  <c r="O236" i="3"/>
  <c r="O243" i="3"/>
  <c r="O250" i="3"/>
  <c r="O257" i="3"/>
  <c r="O264" i="3"/>
  <c r="O271" i="3"/>
  <c r="O278" i="3"/>
  <c r="O285" i="3"/>
  <c r="O292" i="3"/>
  <c r="O299" i="3"/>
  <c r="O306" i="3"/>
  <c r="O313" i="3"/>
  <c r="O320" i="3"/>
  <c r="O327" i="3"/>
  <c r="O334" i="3"/>
  <c r="O341" i="3"/>
  <c r="O348" i="3"/>
  <c r="O355" i="3"/>
  <c r="O362" i="3"/>
  <c r="O369" i="3"/>
  <c r="O376" i="3"/>
  <c r="O383" i="3"/>
  <c r="O390" i="3"/>
  <c r="O397" i="3"/>
  <c r="O404" i="3"/>
  <c r="O411" i="3"/>
  <c r="O418" i="3"/>
  <c r="O425" i="3"/>
  <c r="O432" i="3"/>
  <c r="O439" i="3"/>
  <c r="O446" i="3"/>
  <c r="O453" i="3"/>
  <c r="O460" i="3"/>
  <c r="O467" i="3"/>
  <c r="O474" i="3"/>
  <c r="O481" i="3"/>
  <c r="O488" i="3"/>
  <c r="O495" i="3"/>
  <c r="O502" i="3"/>
  <c r="O509" i="3"/>
  <c r="O516" i="3"/>
  <c r="O523" i="3"/>
  <c r="O530" i="3"/>
  <c r="O537" i="3"/>
  <c r="O544" i="3"/>
  <c r="O551" i="3"/>
  <c r="O558" i="3"/>
  <c r="O565" i="3"/>
  <c r="O572" i="3"/>
  <c r="O579" i="3"/>
  <c r="O586" i="3"/>
  <c r="O593" i="3"/>
  <c r="N8" i="3"/>
  <c r="N15" i="3"/>
  <c r="N22" i="3"/>
  <c r="N29" i="3"/>
  <c r="N36" i="3"/>
  <c r="N43" i="3"/>
  <c r="N50" i="3"/>
  <c r="N57" i="3"/>
  <c r="N64" i="3"/>
  <c r="N71" i="3"/>
  <c r="N78" i="3"/>
  <c r="N85" i="3"/>
  <c r="N92" i="3"/>
  <c r="N99" i="3"/>
  <c r="N106" i="3"/>
  <c r="N113" i="3"/>
  <c r="N120" i="3"/>
  <c r="N127" i="3"/>
  <c r="N134" i="3"/>
  <c r="N141" i="3"/>
  <c r="N148" i="3"/>
  <c r="N155" i="3"/>
  <c r="N162" i="3"/>
  <c r="N169" i="3"/>
  <c r="N176" i="3"/>
  <c r="N183" i="3"/>
  <c r="N190" i="3"/>
  <c r="N197" i="3"/>
  <c r="N204" i="3"/>
  <c r="N211" i="3"/>
  <c r="N218" i="3"/>
  <c r="N225" i="3"/>
  <c r="N232" i="3"/>
  <c r="N239" i="3"/>
  <c r="N246" i="3"/>
  <c r="N253" i="3"/>
  <c r="N260" i="3"/>
  <c r="N267" i="3"/>
  <c r="N274" i="3"/>
  <c r="N281" i="3"/>
  <c r="N288" i="3"/>
  <c r="N295" i="3"/>
  <c r="N302" i="3"/>
  <c r="N309" i="3"/>
  <c r="N316" i="3"/>
  <c r="N323" i="3"/>
  <c r="N330" i="3"/>
  <c r="N337" i="3"/>
  <c r="N344" i="3"/>
  <c r="N351" i="3"/>
  <c r="N358" i="3"/>
  <c r="N365" i="3"/>
  <c r="N372" i="3"/>
  <c r="N379" i="3"/>
  <c r="N386" i="3"/>
  <c r="N393" i="3"/>
  <c r="N400" i="3"/>
  <c r="N407" i="3"/>
  <c r="N414" i="3"/>
  <c r="N421" i="3"/>
  <c r="N428" i="3"/>
  <c r="N435" i="3"/>
  <c r="N442" i="3"/>
  <c r="N449" i="3"/>
  <c r="N456" i="3"/>
  <c r="N463" i="3"/>
  <c r="N470" i="3"/>
  <c r="N477" i="3"/>
  <c r="N484" i="3"/>
  <c r="N491" i="3"/>
  <c r="N498" i="3"/>
  <c r="N505" i="3"/>
  <c r="N512" i="3"/>
  <c r="N519" i="3"/>
  <c r="N526" i="3"/>
  <c r="N533" i="3"/>
  <c r="N540" i="3"/>
  <c r="N547" i="3"/>
  <c r="N554" i="3"/>
  <c r="N561" i="3"/>
  <c r="N568" i="3"/>
  <c r="N575" i="3"/>
  <c r="N582" i="3"/>
  <c r="N589" i="3"/>
  <c r="O1686" i="3"/>
  <c r="N12" i="3"/>
  <c r="O20" i="3"/>
  <c r="O28" i="3"/>
  <c r="N37" i="3"/>
  <c r="N45" i="3"/>
  <c r="N53" i="3"/>
  <c r="N61" i="3"/>
  <c r="O69" i="3"/>
  <c r="O77" i="3"/>
  <c r="N86" i="3"/>
  <c r="N94" i="3"/>
  <c r="N102" i="3"/>
  <c r="N110" i="3"/>
  <c r="O118" i="3"/>
  <c r="O126" i="3"/>
  <c r="N135" i="3"/>
  <c r="N143" i="3"/>
  <c r="N151" i="3"/>
  <c r="N159" i="3"/>
  <c r="O167" i="3"/>
  <c r="O175" i="3"/>
  <c r="N184" i="3"/>
  <c r="N192" i="3"/>
  <c r="N200" i="3"/>
  <c r="N208" i="3"/>
  <c r="O216" i="3"/>
  <c r="O224" i="3"/>
  <c r="N233" i="3"/>
  <c r="N241" i="3"/>
  <c r="N249" i="3"/>
  <c r="N257" i="3"/>
  <c r="O265" i="3"/>
  <c r="O273" i="3"/>
  <c r="N282" i="3"/>
  <c r="N290" i="3"/>
  <c r="N298" i="3"/>
  <c r="N306" i="3"/>
  <c r="O314" i="3"/>
  <c r="O322" i="3"/>
  <c r="N331" i="3"/>
  <c r="N339" i="3"/>
  <c r="N347" i="3"/>
  <c r="N355" i="3"/>
  <c r="O363" i="3"/>
  <c r="O371" i="3"/>
  <c r="N380" i="3"/>
  <c r="N388" i="3"/>
  <c r="N396" i="3"/>
  <c r="N404" i="3"/>
  <c r="O412" i="3"/>
  <c r="O420" i="3"/>
  <c r="N429" i="3"/>
  <c r="N437" i="3"/>
  <c r="N445" i="3"/>
  <c r="N453" i="3"/>
  <c r="O461" i="3"/>
  <c r="O469" i="3"/>
  <c r="N478" i="3"/>
  <c r="N486" i="3"/>
  <c r="N494" i="3"/>
  <c r="N502" i="3"/>
  <c r="O510" i="3"/>
  <c r="O518" i="3"/>
  <c r="N527" i="3"/>
  <c r="N535" i="3"/>
  <c r="N543" i="3"/>
  <c r="N551" i="3"/>
  <c r="O559" i="3"/>
  <c r="O567" i="3"/>
  <c r="N576" i="3"/>
  <c r="N584" i="3"/>
  <c r="N592" i="3"/>
  <c r="O599" i="3"/>
  <c r="O606" i="3"/>
  <c r="O613" i="3"/>
  <c r="O620" i="3"/>
  <c r="O627" i="3"/>
  <c r="O634" i="3"/>
  <c r="O641" i="3"/>
  <c r="O648" i="3"/>
  <c r="O655" i="3"/>
  <c r="O662" i="3"/>
  <c r="O669" i="3"/>
  <c r="O676" i="3"/>
  <c r="O9" i="3"/>
  <c r="N18" i="3"/>
  <c r="N27" i="3"/>
  <c r="O35" i="3"/>
  <c r="O44" i="3"/>
  <c r="O53" i="3"/>
  <c r="O62" i="3"/>
  <c r="O71" i="3"/>
  <c r="N80" i="3"/>
  <c r="O88" i="3"/>
  <c r="O97" i="3"/>
  <c r="O106" i="3"/>
  <c r="N115" i="3"/>
  <c r="O123" i="3"/>
  <c r="O132" i="3"/>
  <c r="O141" i="3"/>
  <c r="N150" i="3"/>
  <c r="O158" i="3"/>
  <c r="N168" i="3"/>
  <c r="N177" i="3"/>
  <c r="O185" i="3"/>
  <c r="N194" i="3"/>
  <c r="N203" i="3"/>
  <c r="N212" i="3"/>
  <c r="O220" i="3"/>
  <c r="N229" i="3"/>
  <c r="N238" i="3"/>
  <c r="N247" i="3"/>
  <c r="O255" i="3"/>
  <c r="N264" i="3"/>
  <c r="N273" i="3"/>
  <c r="O282" i="3"/>
  <c r="N291" i="3"/>
  <c r="N300" i="3"/>
  <c r="O308" i="3"/>
  <c r="O317" i="3"/>
  <c r="N326" i="3"/>
  <c r="N335" i="3"/>
  <c r="O343" i="3"/>
  <c r="O352" i="3"/>
  <c r="N361" i="3"/>
  <c r="N370" i="3"/>
  <c r="O378" i="3"/>
  <c r="O387" i="3"/>
  <c r="O396" i="3"/>
  <c r="O405" i="3"/>
  <c r="O414" i="3"/>
  <c r="N423" i="3"/>
  <c r="O431" i="3"/>
  <c r="O440" i="3"/>
  <c r="O449" i="3"/>
  <c r="N458" i="3"/>
  <c r="O466" i="3"/>
  <c r="O475" i="3"/>
  <c r="O484" i="3"/>
  <c r="N493" i="3"/>
  <c r="O501" i="3"/>
  <c r="N511" i="3"/>
  <c r="N520" i="3"/>
  <c r="O528" i="3"/>
  <c r="N537" i="3"/>
  <c r="N546" i="3"/>
  <c r="N555" i="3"/>
  <c r="O563" i="3"/>
  <c r="N572" i="3"/>
  <c r="N581" i="3"/>
  <c r="N590" i="3"/>
  <c r="N598" i="3"/>
  <c r="O605" i="3"/>
  <c r="N613" i="3"/>
  <c r="N621" i="3"/>
  <c r="O628" i="3"/>
  <c r="N636" i="3"/>
  <c r="O643" i="3"/>
  <c r="N651" i="3"/>
  <c r="O658" i="3"/>
  <c r="N666" i="3"/>
  <c r="O673" i="3"/>
  <c r="N681" i="3"/>
  <c r="N688" i="3"/>
  <c r="N695" i="3"/>
  <c r="N702" i="3"/>
  <c r="N709" i="3"/>
  <c r="N716" i="3"/>
  <c r="N723" i="3"/>
  <c r="N1686" i="3"/>
  <c r="N14" i="3"/>
  <c r="O23" i="3"/>
  <c r="O32" i="3"/>
  <c r="N42" i="3"/>
  <c r="O51" i="3"/>
  <c r="O60" i="3"/>
  <c r="O70" i="3"/>
  <c r="O80" i="3"/>
  <c r="N90" i="3"/>
  <c r="O99" i="3"/>
  <c r="O108" i="3"/>
  <c r="N118" i="3"/>
  <c r="N128" i="3"/>
  <c r="N137" i="3"/>
  <c r="O146" i="3"/>
  <c r="N156" i="3"/>
  <c r="N165" i="3"/>
  <c r="O174" i="3"/>
  <c r="O184" i="3"/>
  <c r="O193" i="3"/>
  <c r="O203" i="3"/>
  <c r="N213" i="3"/>
  <c r="N222" i="3"/>
  <c r="O231" i="3"/>
  <c r="O241" i="3"/>
  <c r="N251" i="3"/>
  <c r="O260" i="3"/>
  <c r="O269" i="3"/>
  <c r="N279" i="3"/>
  <c r="O288" i="3"/>
  <c r="O297" i="3"/>
  <c r="O307" i="3"/>
  <c r="N317" i="3"/>
  <c r="O326" i="3"/>
  <c r="N336" i="3"/>
  <c r="O345" i="3"/>
  <c r="O354" i="3"/>
  <c r="O364" i="3"/>
  <c r="N374" i="3"/>
  <c r="N383" i="3"/>
  <c r="O392" i="3"/>
  <c r="N402" i="3"/>
  <c r="N411" i="3"/>
  <c r="O421" i="3"/>
  <c r="O430" i="3"/>
  <c r="N440" i="3"/>
  <c r="N450" i="3"/>
  <c r="N459" i="3"/>
  <c r="O468" i="3"/>
  <c r="O478" i="3"/>
  <c r="O487" i="3"/>
  <c r="N497" i="3"/>
  <c r="O506" i="3"/>
  <c r="O515" i="3"/>
  <c r="N525" i="3"/>
  <c r="O534" i="3"/>
  <c r="N544" i="3"/>
  <c r="O553" i="3"/>
  <c r="N563" i="3"/>
  <c r="N573" i="3"/>
  <c r="O582" i="3"/>
  <c r="O591" i="3"/>
  <c r="O600" i="3"/>
  <c r="O608" i="3"/>
  <c r="O616" i="3"/>
  <c r="O624" i="3"/>
  <c r="O632" i="3"/>
  <c r="O640" i="3"/>
  <c r="N649" i="3"/>
  <c r="N657" i="3"/>
  <c r="N665" i="3"/>
  <c r="N673" i="3"/>
  <c r="O681" i="3"/>
  <c r="N689" i="3"/>
  <c r="O696" i="3"/>
  <c r="N704" i="3"/>
  <c r="O711" i="3"/>
  <c r="N719" i="3"/>
  <c r="O726" i="3"/>
  <c r="O733" i="3"/>
  <c r="O740" i="3"/>
  <c r="O747" i="3"/>
  <c r="O754" i="3"/>
  <c r="O761" i="3"/>
  <c r="O768" i="3"/>
  <c r="O775" i="3"/>
  <c r="O782" i="3"/>
  <c r="O789" i="3"/>
  <c r="O796" i="3"/>
  <c r="O803" i="3"/>
  <c r="O810" i="3"/>
  <c r="O817" i="3"/>
  <c r="O824" i="3"/>
  <c r="O831" i="3"/>
  <c r="O838" i="3"/>
  <c r="O845" i="3"/>
  <c r="O852" i="3"/>
  <c r="O859" i="3"/>
  <c r="O866" i="3"/>
  <c r="O873" i="3"/>
  <c r="O880" i="3"/>
  <c r="O887" i="3"/>
  <c r="O894" i="3"/>
  <c r="O901" i="3"/>
  <c r="O908" i="3"/>
  <c r="O915" i="3"/>
  <c r="O922" i="3"/>
  <c r="O929" i="3"/>
  <c r="O936" i="3"/>
  <c r="O943" i="3"/>
  <c r="O950" i="3"/>
  <c r="O957" i="3"/>
  <c r="O964" i="3"/>
  <c r="O971" i="3"/>
  <c r="O978" i="3"/>
  <c r="O985" i="3"/>
  <c r="O992" i="3"/>
  <c r="O999" i="3"/>
  <c r="O1006" i="3"/>
  <c r="O1013" i="3"/>
  <c r="O1020" i="3"/>
  <c r="O1027" i="3"/>
  <c r="O1034" i="3"/>
  <c r="O1041" i="3"/>
  <c r="O1048" i="3"/>
  <c r="O1055" i="3"/>
  <c r="O1062" i="3"/>
  <c r="O1069" i="3"/>
  <c r="O1076" i="3"/>
  <c r="O1083" i="3"/>
  <c r="O1090" i="3"/>
  <c r="O1097" i="3"/>
  <c r="O1104" i="3"/>
  <c r="O1111" i="3"/>
  <c r="O1118" i="3"/>
  <c r="O1125" i="3"/>
  <c r="O1132" i="3"/>
  <c r="O1139" i="3"/>
  <c r="O1146" i="3"/>
  <c r="O1153" i="3"/>
  <c r="O1160" i="3"/>
  <c r="O1167" i="3"/>
  <c r="O1174" i="3"/>
  <c r="O1181" i="3"/>
  <c r="O1188" i="3"/>
  <c r="O1195" i="3"/>
  <c r="O1202" i="3"/>
  <c r="O1209" i="3"/>
  <c r="O1216" i="3"/>
  <c r="O1223" i="3"/>
  <c r="O1230" i="3"/>
  <c r="O1237" i="3"/>
  <c r="O1244" i="3"/>
  <c r="O1251" i="3"/>
  <c r="O1258" i="3"/>
  <c r="O1265" i="3"/>
  <c r="O1272" i="3"/>
  <c r="O1279" i="3"/>
  <c r="O1286" i="3"/>
  <c r="O1293" i="3"/>
  <c r="O1300" i="3"/>
  <c r="O1307" i="3"/>
  <c r="O1314" i="3"/>
  <c r="O1321" i="3"/>
  <c r="O1328" i="3"/>
  <c r="O1335" i="3"/>
  <c r="O1342" i="3"/>
  <c r="O1349" i="3"/>
  <c r="O1356" i="3"/>
  <c r="O10" i="3"/>
  <c r="N21" i="3"/>
  <c r="N31" i="3"/>
  <c r="N41" i="3"/>
  <c r="N51" i="3"/>
  <c r="N62" i="3"/>
  <c r="O72" i="3"/>
  <c r="N82" i="3"/>
  <c r="O92" i="3"/>
  <c r="O102" i="3"/>
  <c r="O112" i="3"/>
  <c r="O122" i="3"/>
  <c r="N133" i="3"/>
  <c r="O143" i="3"/>
  <c r="O153" i="3"/>
  <c r="O163" i="3"/>
  <c r="N173" i="3"/>
  <c r="O183" i="3"/>
  <c r="N195" i="3"/>
  <c r="N205" i="3"/>
  <c r="O214" i="3"/>
  <c r="O225" i="3"/>
  <c r="N235" i="3"/>
  <c r="N245" i="3"/>
  <c r="N255" i="3"/>
  <c r="N266" i="3"/>
  <c r="N276" i="3"/>
  <c r="N286" i="3"/>
  <c r="N296" i="3"/>
  <c r="O305" i="3"/>
  <c r="O316" i="3"/>
  <c r="N327" i="3"/>
  <c r="O337" i="3"/>
  <c r="O347" i="3"/>
  <c r="O357" i="3"/>
  <c r="O367" i="3"/>
  <c r="O377" i="3"/>
  <c r="O388" i="3"/>
  <c r="O398" i="3"/>
  <c r="O408" i="3"/>
  <c r="N418" i="3"/>
  <c r="O428" i="3"/>
  <c r="O438" i="3"/>
  <c r="O448" i="3"/>
  <c r="O459" i="3"/>
  <c r="O470" i="3"/>
  <c r="N480" i="3"/>
  <c r="N490" i="3"/>
  <c r="N500" i="3"/>
  <c r="N510" i="3"/>
  <c r="N521" i="3"/>
  <c r="N531" i="3"/>
  <c r="N541" i="3"/>
  <c r="O550" i="3"/>
  <c r="O561" i="3"/>
  <c r="N571" i="3"/>
  <c r="O581" i="3"/>
  <c r="O592" i="3"/>
  <c r="O601" i="3"/>
  <c r="N610" i="3"/>
  <c r="O618" i="3"/>
  <c r="N627" i="3"/>
  <c r="O636" i="3"/>
  <c r="N645" i="3"/>
  <c r="O653" i="3"/>
  <c r="N662" i="3"/>
  <c r="N671" i="3"/>
  <c r="O679" i="3"/>
  <c r="O687" i="3"/>
  <c r="N696" i="3"/>
  <c r="O704" i="3"/>
  <c r="O712" i="3"/>
  <c r="O720" i="3"/>
  <c r="O728" i="3"/>
  <c r="N736" i="3"/>
  <c r="O743" i="3"/>
  <c r="N751" i="3"/>
  <c r="O758" i="3"/>
  <c r="N766" i="3"/>
  <c r="O773" i="3"/>
  <c r="N781" i="3"/>
  <c r="O788" i="3"/>
  <c r="N796" i="3"/>
  <c r="N804" i="3"/>
  <c r="O811" i="3"/>
  <c r="N819" i="3"/>
  <c r="O826" i="3"/>
  <c r="N834" i="3"/>
  <c r="O841" i="3"/>
  <c r="N849" i="3"/>
  <c r="O856" i="3"/>
  <c r="N864" i="3"/>
  <c r="O871" i="3"/>
  <c r="N879" i="3"/>
  <c r="O886" i="3"/>
  <c r="N894" i="3"/>
  <c r="N902" i="3"/>
  <c r="O909" i="3"/>
  <c r="N917" i="3"/>
  <c r="N11" i="3"/>
  <c r="O21" i="3"/>
  <c r="O31" i="3"/>
  <c r="O41" i="3"/>
  <c r="N52" i="3"/>
  <c r="N63" i="3"/>
  <c r="N73" i="3"/>
  <c r="N83" i="3"/>
  <c r="N93" i="3"/>
  <c r="N103" i="3"/>
  <c r="O113" i="3"/>
  <c r="N123" i="3"/>
  <c r="O133" i="3"/>
  <c r="N144" i="3"/>
  <c r="N154" i="3"/>
  <c r="N164" i="3"/>
  <c r="N174" i="3"/>
  <c r="N185" i="3"/>
  <c r="O195" i="3"/>
  <c r="O205" i="3"/>
  <c r="N215" i="3"/>
  <c r="N226" i="3"/>
  <c r="O235" i="3"/>
  <c r="O245" i="3"/>
  <c r="N256" i="3"/>
  <c r="O266" i="3"/>
  <c r="O276" i="3"/>
  <c r="O286" i="3"/>
  <c r="O296" i="3"/>
  <c r="N307" i="3"/>
  <c r="N318" i="3"/>
  <c r="N328" i="3"/>
  <c r="N338" i="3"/>
  <c r="N348" i="3"/>
  <c r="O358" i="3"/>
  <c r="N368" i="3"/>
  <c r="N378" i="3"/>
  <c r="N389" i="3"/>
  <c r="N399" i="3"/>
  <c r="N409" i="3"/>
  <c r="N419" i="3"/>
  <c r="O429" i="3"/>
  <c r="N439" i="3"/>
  <c r="O450" i="3"/>
  <c r="N460" i="3"/>
  <c r="N471" i="3"/>
  <c r="O480" i="3"/>
  <c r="O490" i="3"/>
  <c r="O500" i="3"/>
  <c r="O511" i="3"/>
  <c r="O521" i="3"/>
  <c r="O531" i="3"/>
  <c r="O541" i="3"/>
  <c r="N552" i="3"/>
  <c r="N562" i="3"/>
  <c r="O571" i="3"/>
  <c r="N583" i="3"/>
  <c r="N593" i="3"/>
  <c r="N602" i="3"/>
  <c r="O610" i="3"/>
  <c r="N619" i="3"/>
  <c r="N628" i="3"/>
  <c r="N637" i="3"/>
  <c r="O645" i="3"/>
  <c r="N654" i="3"/>
  <c r="N663" i="3"/>
  <c r="O671" i="3"/>
  <c r="N680" i="3"/>
  <c r="O688" i="3"/>
  <c r="N697" i="3"/>
  <c r="N705" i="3"/>
  <c r="N713" i="3"/>
  <c r="N721" i="3"/>
  <c r="N729" i="3"/>
  <c r="O736" i="3"/>
  <c r="N744" i="3"/>
  <c r="O751" i="3"/>
  <c r="N759" i="3"/>
  <c r="O766" i="3"/>
  <c r="N774" i="3"/>
  <c r="O781" i="3"/>
  <c r="N789" i="3"/>
  <c r="N797" i="3"/>
  <c r="O804" i="3"/>
  <c r="N812" i="3"/>
  <c r="O11" i="3"/>
  <c r="O22" i="3"/>
  <c r="N32" i="3"/>
  <c r="O42" i="3"/>
  <c r="O52" i="3"/>
  <c r="O63" i="3"/>
  <c r="O73" i="3"/>
  <c r="O83" i="3"/>
  <c r="O93" i="3"/>
  <c r="N104" i="3"/>
  <c r="N114" i="3"/>
  <c r="N124" i="3"/>
  <c r="O134" i="3"/>
  <c r="O144" i="3"/>
  <c r="O154" i="3"/>
  <c r="O164" i="3"/>
  <c r="N175" i="3"/>
  <c r="N186" i="3"/>
  <c r="N196" i="3"/>
  <c r="N206" i="3"/>
  <c r="N216" i="3"/>
  <c r="O226" i="3"/>
  <c r="N236" i="3"/>
  <c r="O246" i="3"/>
  <c r="O256" i="3"/>
  <c r="O267" i="3"/>
  <c r="N277" i="3"/>
  <c r="N287" i="3"/>
  <c r="N297" i="3"/>
  <c r="N308" i="3"/>
  <c r="O318" i="3"/>
  <c r="O328" i="3"/>
  <c r="O338" i="3"/>
  <c r="N349" i="3"/>
  <c r="N359" i="3"/>
  <c r="O368" i="3"/>
  <c r="O379" i="3"/>
  <c r="O389" i="3"/>
  <c r="N5" i="3"/>
  <c r="N17" i="3"/>
  <c r="N30" i="3"/>
  <c r="N44" i="3"/>
  <c r="O56" i="3"/>
  <c r="N68" i="3"/>
  <c r="O81" i="3"/>
  <c r="O95" i="3"/>
  <c r="N108" i="3"/>
  <c r="N121" i="3"/>
  <c r="O135" i="3"/>
  <c r="O147" i="3"/>
  <c r="O160" i="3"/>
  <c r="N172" i="3"/>
  <c r="N187" i="3"/>
  <c r="N199" i="3"/>
  <c r="O211" i="3"/>
  <c r="N224" i="3"/>
  <c r="O238" i="3"/>
  <c r="O251" i="3"/>
  <c r="N263" i="3"/>
  <c r="O277" i="3"/>
  <c r="O290" i="3"/>
  <c r="N303" i="3"/>
  <c r="N315" i="3"/>
  <c r="O329" i="3"/>
  <c r="N342" i="3"/>
  <c r="N354" i="3"/>
  <c r="N367" i="3"/>
  <c r="O381" i="3"/>
  <c r="N394" i="3"/>
  <c r="N406" i="3"/>
  <c r="N417" i="3"/>
  <c r="N430" i="3"/>
  <c r="O442" i="3"/>
  <c r="N454" i="3"/>
  <c r="N465" i="3"/>
  <c r="O476" i="3"/>
  <c r="N489" i="3"/>
  <c r="N501" i="3"/>
  <c r="O513" i="3"/>
  <c r="O524" i="3"/>
  <c r="O536" i="3"/>
  <c r="O548" i="3"/>
  <c r="N560" i="3"/>
  <c r="O573" i="3"/>
  <c r="N585" i="3"/>
  <c r="N596" i="3"/>
  <c r="N606" i="3"/>
  <c r="N616" i="3"/>
  <c r="N626" i="3"/>
  <c r="O637" i="3"/>
  <c r="N647" i="3"/>
  <c r="O657" i="3"/>
  <c r="O667" i="3"/>
  <c r="O677" i="3"/>
  <c r="O686" i="3"/>
  <c r="O697" i="3"/>
  <c r="O706" i="3"/>
  <c r="O715" i="3"/>
  <c r="N725" i="3"/>
  <c r="N734" i="3"/>
  <c r="O742" i="3"/>
  <c r="N752" i="3"/>
  <c r="O760" i="3"/>
  <c r="O769" i="3"/>
  <c r="N778" i="3"/>
  <c r="O786" i="3"/>
  <c r="N795" i="3"/>
  <c r="N805" i="3"/>
  <c r="O813" i="3"/>
  <c r="O821" i="3"/>
  <c r="O829" i="3"/>
  <c r="O837" i="3"/>
  <c r="N846" i="3"/>
  <c r="N854" i="3"/>
  <c r="N862" i="3"/>
  <c r="N870" i="3"/>
  <c r="N878" i="3"/>
  <c r="N886" i="3"/>
  <c r="N895" i="3"/>
  <c r="N903" i="3"/>
  <c r="N911" i="3"/>
  <c r="N919" i="3"/>
  <c r="O926" i="3"/>
  <c r="N934" i="3"/>
  <c r="O941" i="3"/>
  <c r="N949" i="3"/>
  <c r="O956" i="3"/>
  <c r="N964" i="3"/>
  <c r="N972" i="3"/>
  <c r="O979" i="3"/>
  <c r="N987" i="3"/>
  <c r="O994" i="3"/>
  <c r="N1002" i="3"/>
  <c r="O1009" i="3"/>
  <c r="N1017" i="3"/>
  <c r="O1024" i="3"/>
  <c r="N1032" i="3"/>
  <c r="O1039" i="3"/>
  <c r="N1047" i="3"/>
  <c r="O1054" i="3"/>
  <c r="N1062" i="3"/>
  <c r="N1070" i="3"/>
  <c r="O1077" i="3"/>
  <c r="N1085" i="3"/>
  <c r="O1092" i="3"/>
  <c r="N1100" i="3"/>
  <c r="O1107" i="3"/>
  <c r="N1115" i="3"/>
  <c r="O1122" i="3"/>
  <c r="N1130" i="3"/>
  <c r="O1137" i="3"/>
  <c r="N1145" i="3"/>
  <c r="O1152" i="3"/>
  <c r="N1160" i="3"/>
  <c r="N1168" i="3"/>
  <c r="O1175" i="3"/>
  <c r="N1183" i="3"/>
  <c r="O1190" i="3"/>
  <c r="N1198" i="3"/>
  <c r="O1205" i="3"/>
  <c r="N1213" i="3"/>
  <c r="O1220" i="3"/>
  <c r="N1228" i="3"/>
  <c r="O1235" i="3"/>
  <c r="N1243" i="3"/>
  <c r="O1250" i="3"/>
  <c r="N1258" i="3"/>
  <c r="N1266" i="3"/>
  <c r="O1273" i="3"/>
  <c r="N1281" i="3"/>
  <c r="O1288" i="3"/>
  <c r="N1296" i="3"/>
  <c r="O1303" i="3"/>
  <c r="N1311" i="3"/>
  <c r="O1318" i="3"/>
  <c r="N1326" i="3"/>
  <c r="O1333" i="3"/>
  <c r="N1341" i="3"/>
  <c r="O1348" i="3"/>
  <c r="N1356" i="3"/>
  <c r="O1363" i="3"/>
  <c r="O1370" i="3"/>
  <c r="N6" i="3"/>
  <c r="O6" i="3"/>
  <c r="O18" i="3"/>
  <c r="N33" i="3"/>
  <c r="N46" i="3"/>
  <c r="N58" i="3"/>
  <c r="N70" i="3"/>
  <c r="O84" i="3"/>
  <c r="N97" i="3"/>
  <c r="O109" i="3"/>
  <c r="N122" i="3"/>
  <c r="O136" i="3"/>
  <c r="N149" i="3"/>
  <c r="O161" i="3"/>
  <c r="O176" i="3"/>
  <c r="O188" i="3"/>
  <c r="O200" i="3"/>
  <c r="O213" i="3"/>
  <c r="O227" i="3"/>
  <c r="N240" i="3"/>
  <c r="O252" i="3"/>
  <c r="N265" i="3"/>
  <c r="O279" i="3"/>
  <c r="N292" i="3"/>
  <c r="N304" i="3"/>
  <c r="N319" i="3"/>
  <c r="O331" i="3"/>
  <c r="N343" i="3"/>
  <c r="O356" i="3"/>
  <c r="O370" i="3"/>
  <c r="O382" i="3"/>
  <c r="N395" i="3"/>
  <c r="O407" i="3"/>
  <c r="O419" i="3"/>
  <c r="N432" i="3"/>
  <c r="O443" i="3"/>
  <c r="N455" i="3"/>
  <c r="N466" i="3"/>
  <c r="N479" i="3"/>
  <c r="O491" i="3"/>
  <c r="O503" i="3"/>
  <c r="O514" i="3"/>
  <c r="O526" i="3"/>
  <c r="O538" i="3"/>
  <c r="O549" i="3"/>
  <c r="O562" i="3"/>
  <c r="O574" i="3"/>
  <c r="N586" i="3"/>
  <c r="N597" i="3"/>
  <c r="O607" i="3"/>
  <c r="O617" i="3"/>
  <c r="N629" i="3"/>
  <c r="O638" i="3"/>
  <c r="N648" i="3"/>
  <c r="N659" i="3"/>
  <c r="O668" i="3"/>
  <c r="O678" i="3"/>
  <c r="O689" i="3"/>
  <c r="O698" i="3"/>
  <c r="O707" i="3"/>
  <c r="N717" i="3"/>
  <c r="N726" i="3"/>
  <c r="N735" i="3"/>
  <c r="O744" i="3"/>
  <c r="N753" i="3"/>
  <c r="N762" i="3"/>
  <c r="O770" i="3"/>
  <c r="N779" i="3"/>
  <c r="O787" i="3"/>
  <c r="O797" i="3"/>
  <c r="N806" i="3"/>
  <c r="O814" i="3"/>
  <c r="O822" i="3"/>
  <c r="O830" i="3"/>
  <c r="N839" i="3"/>
  <c r="N847" i="3"/>
  <c r="N855" i="3"/>
  <c r="N863" i="3"/>
  <c r="N871" i="3"/>
  <c r="O879" i="3"/>
  <c r="N888" i="3"/>
  <c r="N896" i="3"/>
  <c r="N904" i="3"/>
  <c r="N912" i="3"/>
  <c r="N920" i="3"/>
  <c r="O927" i="3"/>
  <c r="N13" i="3"/>
  <c r="N25" i="3"/>
  <c r="N38" i="3"/>
  <c r="O49" i="3"/>
  <c r="N65" i="3"/>
  <c r="O76" i="3"/>
  <c r="N89" i="3"/>
  <c r="O101" i="3"/>
  <c r="N116" i="3"/>
  <c r="N129" i="3"/>
  <c r="O140" i="3"/>
  <c r="O155" i="3"/>
  <c r="O168" i="3"/>
  <c r="N180" i="3"/>
  <c r="O192" i="3"/>
  <c r="N207" i="3"/>
  <c r="O219" i="3"/>
  <c r="O232" i="3"/>
  <c r="O244" i="3"/>
  <c r="N259" i="3"/>
  <c r="N271" i="3"/>
  <c r="N284" i="3"/>
  <c r="O298" i="3"/>
  <c r="N311" i="3"/>
  <c r="O323" i="3"/>
  <c r="O335" i="3"/>
  <c r="N350" i="3"/>
  <c r="N362" i="3"/>
  <c r="N375" i="3"/>
  <c r="N387" i="3"/>
  <c r="N401" i="3"/>
  <c r="N413" i="3"/>
  <c r="O424" i="3"/>
  <c r="N436" i="3"/>
  <c r="O447" i="3"/>
  <c r="N461" i="3"/>
  <c r="O472" i="3"/>
  <c r="O483" i="3"/>
  <c r="N496" i="3"/>
  <c r="O507" i="3"/>
  <c r="O519" i="3"/>
  <c r="N532" i="3"/>
  <c r="O543" i="3"/>
  <c r="N556" i="3"/>
  <c r="N567" i="3"/>
  <c r="O578" i="3"/>
  <c r="O590" i="3"/>
  <c r="O602" i="3"/>
  <c r="N612" i="3"/>
  <c r="O622" i="3"/>
  <c r="N632" i="3"/>
  <c r="O642" i="3"/>
  <c r="O652" i="3"/>
  <c r="O663" i="3"/>
  <c r="N674" i="3"/>
  <c r="O683" i="3"/>
  <c r="O692" i="3"/>
  <c r="O701" i="3"/>
  <c r="N711" i="3"/>
  <c r="O721" i="3"/>
  <c r="O730" i="3"/>
  <c r="N739" i="3"/>
  <c r="N748" i="3"/>
  <c r="O756" i="3"/>
  <c r="N765" i="3"/>
  <c r="O774" i="3"/>
  <c r="O783" i="3"/>
  <c r="N792" i="3"/>
  <c r="O800" i="3"/>
  <c r="N809" i="3"/>
  <c r="N818" i="3"/>
  <c r="N826" i="3"/>
  <c r="O834" i="3"/>
  <c r="O842" i="3"/>
  <c r="O850" i="3"/>
  <c r="O858" i="3"/>
  <c r="N867" i="3"/>
  <c r="N875" i="3"/>
  <c r="N883" i="3"/>
  <c r="N891" i="3"/>
  <c r="N899" i="3"/>
  <c r="N907" i="3"/>
  <c r="N915" i="3"/>
  <c r="O923" i="3"/>
  <c r="N931" i="3"/>
  <c r="O938" i="3"/>
  <c r="N946" i="3"/>
  <c r="O953" i="3"/>
  <c r="N961" i="3"/>
  <c r="O968" i="3"/>
  <c r="N976" i="3"/>
  <c r="O983" i="3"/>
  <c r="N991" i="3"/>
  <c r="O998" i="3"/>
  <c r="N1006" i="3"/>
  <c r="N1014" i="3"/>
  <c r="O1021" i="3"/>
  <c r="N1029" i="3"/>
  <c r="O1036" i="3"/>
  <c r="N1044" i="3"/>
  <c r="O1051" i="3"/>
  <c r="N1059" i="3"/>
  <c r="O1066" i="3"/>
  <c r="N1074" i="3"/>
  <c r="O1081" i="3"/>
  <c r="N1089" i="3"/>
  <c r="O1096" i="3"/>
  <c r="N1104" i="3"/>
  <c r="N1112" i="3"/>
  <c r="O1119" i="3"/>
  <c r="N1127" i="3"/>
  <c r="O1134" i="3"/>
  <c r="N1142" i="3"/>
  <c r="O1149" i="3"/>
  <c r="N1157" i="3"/>
  <c r="O1164" i="3"/>
  <c r="N1172" i="3"/>
  <c r="O1179" i="3"/>
  <c r="N1187" i="3"/>
  <c r="O1194" i="3"/>
  <c r="N1202" i="3"/>
  <c r="N1210" i="3"/>
  <c r="O1217" i="3"/>
  <c r="N1225" i="3"/>
  <c r="O1232" i="3"/>
  <c r="N1240" i="3"/>
  <c r="O1247" i="3"/>
  <c r="N1255" i="3"/>
  <c r="O1262" i="3"/>
  <c r="N1270" i="3"/>
  <c r="O1277" i="3"/>
  <c r="N1285" i="3"/>
  <c r="O1292" i="3"/>
  <c r="N1300" i="3"/>
  <c r="N1308" i="3"/>
  <c r="O1315" i="3"/>
  <c r="N1323" i="3"/>
  <c r="O1330" i="3"/>
  <c r="N1338" i="3"/>
  <c r="O1345" i="3"/>
  <c r="N1353" i="3"/>
  <c r="O1360" i="3"/>
  <c r="O1367" i="3"/>
  <c r="O1374" i="3"/>
  <c r="O1381" i="3"/>
  <c r="O1388" i="3"/>
  <c r="O1395" i="3"/>
  <c r="O1402" i="3"/>
  <c r="O1409" i="3"/>
  <c r="O1416" i="3"/>
  <c r="O1423" i="3"/>
  <c r="O1430" i="3"/>
  <c r="O1437" i="3"/>
  <c r="O1444" i="3"/>
  <c r="O1451" i="3"/>
  <c r="O1458" i="3"/>
  <c r="O1465" i="3"/>
  <c r="O1472" i="3"/>
  <c r="O1479" i="3"/>
  <c r="O1486" i="3"/>
  <c r="O13" i="3"/>
  <c r="O25" i="3"/>
  <c r="O38" i="3"/>
  <c r="O50" i="3"/>
  <c r="O65" i="3"/>
  <c r="N77" i="3"/>
  <c r="O90" i="3"/>
  <c r="O104" i="3"/>
  <c r="O116" i="3"/>
  <c r="O129" i="3"/>
  <c r="N142" i="3"/>
  <c r="O156" i="3"/>
  <c r="O169" i="3"/>
  <c r="N181" i="3"/>
  <c r="N193" i="3"/>
  <c r="O207" i="3"/>
  <c r="N220" i="3"/>
  <c r="O233" i="3"/>
  <c r="O247" i="3"/>
  <c r="O259" i="3"/>
  <c r="N272" i="3"/>
  <c r="O284" i="3"/>
  <c r="N299" i="3"/>
  <c r="O311" i="3"/>
  <c r="N324" i="3"/>
  <c r="O336" i="3"/>
  <c r="O350" i="3"/>
  <c r="N363" i="3"/>
  <c r="O375" i="3"/>
  <c r="N390" i="3"/>
  <c r="O401" i="3"/>
  <c r="O413" i="3"/>
  <c r="N425" i="3"/>
  <c r="O436" i="3"/>
  <c r="N448" i="3"/>
  <c r="N462" i="3"/>
  <c r="N473" i="3"/>
  <c r="N485" i="3"/>
  <c r="O496" i="3"/>
  <c r="N508" i="3"/>
  <c r="O520" i="3"/>
  <c r="O532" i="3"/>
  <c r="N545" i="3"/>
  <c r="O556" i="3"/>
  <c r="O568" i="3"/>
  <c r="N579" i="3"/>
  <c r="N591" i="3"/>
  <c r="N603" i="3"/>
  <c r="O612" i="3"/>
  <c r="N623" i="3"/>
  <c r="N633" i="3"/>
  <c r="N643" i="3"/>
  <c r="N653" i="3"/>
  <c r="N664" i="3"/>
  <c r="O674" i="3"/>
  <c r="N684" i="3"/>
  <c r="N693" i="3"/>
  <c r="O702" i="3"/>
  <c r="N712" i="3"/>
  <c r="N722" i="3"/>
  <c r="N731" i="3"/>
  <c r="O739" i="3"/>
  <c r="O748" i="3"/>
  <c r="N757" i="3"/>
  <c r="O765" i="3"/>
  <c r="N775" i="3"/>
  <c r="N784" i="3"/>
  <c r="O792" i="3"/>
  <c r="N801" i="3"/>
  <c r="O809" i="3"/>
  <c r="O818" i="3"/>
  <c r="N827" i="3"/>
  <c r="N835" i="3"/>
  <c r="N843" i="3"/>
  <c r="N851" i="3"/>
  <c r="N859" i="3"/>
  <c r="O867" i="3"/>
  <c r="O875" i="3"/>
  <c r="O883" i="3"/>
  <c r="O891" i="3"/>
  <c r="O899" i="3"/>
  <c r="O907" i="3"/>
  <c r="N916" i="3"/>
  <c r="N924" i="3"/>
  <c r="O931" i="3"/>
  <c r="N939" i="3"/>
  <c r="O946" i="3"/>
  <c r="N954" i="3"/>
  <c r="O961" i="3"/>
  <c r="N969" i="3"/>
  <c r="O976" i="3"/>
  <c r="N984" i="3"/>
  <c r="O991" i="3"/>
  <c r="N999" i="3"/>
  <c r="N1007" i="3"/>
  <c r="O1014" i="3"/>
  <c r="N1022" i="3"/>
  <c r="O1029" i="3"/>
  <c r="N1037" i="3"/>
  <c r="O1044" i="3"/>
  <c r="N1052" i="3"/>
  <c r="O1059" i="3"/>
  <c r="N1067" i="3"/>
  <c r="O1074" i="3"/>
  <c r="N1082" i="3"/>
  <c r="O1089" i="3"/>
  <c r="N1097" i="3"/>
  <c r="N1105" i="3"/>
  <c r="O1112" i="3"/>
  <c r="N1120" i="3"/>
  <c r="O1127" i="3"/>
  <c r="N1135" i="3"/>
  <c r="O1142" i="3"/>
  <c r="N1150" i="3"/>
  <c r="O1157" i="3"/>
  <c r="N1165" i="3"/>
  <c r="O1172" i="3"/>
  <c r="N1180" i="3"/>
  <c r="O1187" i="3"/>
  <c r="N1195" i="3"/>
  <c r="N1203" i="3"/>
  <c r="O1210" i="3"/>
  <c r="N1218" i="3"/>
  <c r="O1225" i="3"/>
  <c r="N1233" i="3"/>
  <c r="O1240" i="3"/>
  <c r="N1248" i="3"/>
  <c r="O1255" i="3"/>
  <c r="N1263" i="3"/>
  <c r="O1270" i="3"/>
  <c r="N1278" i="3"/>
  <c r="O1285" i="3"/>
  <c r="N1293" i="3"/>
  <c r="N1301" i="3"/>
  <c r="O1308" i="3"/>
  <c r="N1316" i="3"/>
  <c r="O1323" i="3"/>
  <c r="N1331" i="3"/>
  <c r="O1338" i="3"/>
  <c r="N1346" i="3"/>
  <c r="O1353" i="3"/>
  <c r="N1361" i="3"/>
  <c r="N1368" i="3"/>
  <c r="N1375" i="3"/>
  <c r="N1382" i="3"/>
  <c r="N1389" i="3"/>
  <c r="N1396" i="3"/>
  <c r="N1403" i="3"/>
  <c r="N1410" i="3"/>
  <c r="N1417" i="3"/>
  <c r="N1424" i="3"/>
  <c r="N1431" i="3"/>
  <c r="N1438" i="3"/>
  <c r="N1445" i="3"/>
  <c r="N1452" i="3"/>
  <c r="N1459" i="3"/>
  <c r="N1466" i="3"/>
  <c r="N1473" i="3"/>
  <c r="N1480" i="3"/>
  <c r="N1487" i="3"/>
  <c r="N1494" i="3"/>
  <c r="N1501" i="3"/>
  <c r="O14" i="3"/>
  <c r="N26" i="3"/>
  <c r="N39" i="3"/>
  <c r="N54" i="3"/>
  <c r="N66" i="3"/>
  <c r="O78" i="3"/>
  <c r="N91" i="3"/>
  <c r="N105" i="3"/>
  <c r="N117" i="3"/>
  <c r="N130" i="3"/>
  <c r="O142" i="3"/>
  <c r="N157" i="3"/>
  <c r="N170" i="3"/>
  <c r="O181" i="3"/>
  <c r="O196" i="3"/>
  <c r="N209" i="3"/>
  <c r="N221" i="3"/>
  <c r="N234" i="3"/>
  <c r="N248" i="3"/>
  <c r="N261" i="3"/>
  <c r="O272" i="3"/>
  <c r="N285" i="3"/>
  <c r="O300" i="3"/>
  <c r="N312" i="3"/>
  <c r="O324" i="3"/>
  <c r="O339" i="3"/>
  <c r="O351" i="3"/>
  <c r="N364" i="3"/>
  <c r="N376" i="3"/>
  <c r="N391" i="3"/>
  <c r="O402" i="3"/>
  <c r="N415" i="3"/>
  <c r="N426" i="3"/>
  <c r="O437" i="3"/>
  <c r="N451" i="3"/>
  <c r="O462" i="3"/>
  <c r="O473" i="3"/>
  <c r="O485" i="3"/>
  <c r="O497" i="3"/>
  <c r="O508" i="3"/>
  <c r="N522" i="3"/>
  <c r="O533" i="3"/>
  <c r="O545" i="3"/>
  <c r="N557" i="3"/>
  <c r="N569" i="3"/>
  <c r="N580" i="3"/>
  <c r="N594" i="3"/>
  <c r="O603" i="3"/>
  <c r="N614" i="3"/>
  <c r="O623" i="3"/>
  <c r="O633" i="3"/>
  <c r="N644" i="3"/>
  <c r="O654" i="3"/>
  <c r="O664" i="3"/>
  <c r="N675" i="3"/>
  <c r="O684" i="3"/>
  <c r="O693" i="3"/>
  <c r="N703" i="3"/>
  <c r="O713" i="3"/>
  <c r="O722" i="3"/>
  <c r="O731" i="3"/>
  <c r="N740" i="3"/>
  <c r="N749" i="3"/>
  <c r="O757" i="3"/>
  <c r="N767" i="3"/>
  <c r="N776" i="3"/>
  <c r="O784" i="3"/>
  <c r="N793" i="3"/>
  <c r="O801" i="3"/>
  <c r="N810" i="3"/>
  <c r="O819" i="3"/>
  <c r="O827" i="3"/>
  <c r="O835" i="3"/>
  <c r="O843" i="3"/>
  <c r="O851" i="3"/>
  <c r="N860" i="3"/>
  <c r="N868" i="3"/>
  <c r="N876" i="3"/>
  <c r="N884" i="3"/>
  <c r="N892" i="3"/>
  <c r="N900" i="3"/>
  <c r="N908" i="3"/>
  <c r="O15" i="3"/>
  <c r="N16" i="3"/>
  <c r="N7" i="3"/>
  <c r="O29" i="3"/>
  <c r="O48" i="3"/>
  <c r="N69" i="3"/>
  <c r="N88" i="3"/>
  <c r="N111" i="3"/>
  <c r="O130" i="3"/>
  <c r="O150" i="3"/>
  <c r="N171" i="3"/>
  <c r="O190" i="3"/>
  <c r="O210" i="3"/>
  <c r="O230" i="3"/>
  <c r="N252" i="3"/>
  <c r="O270" i="3"/>
  <c r="N293" i="3"/>
  <c r="O312" i="3"/>
  <c r="O332" i="3"/>
  <c r="N353" i="3"/>
  <c r="N373" i="3"/>
  <c r="O393" i="3"/>
  <c r="O410" i="3"/>
  <c r="N431" i="3"/>
  <c r="N447" i="3"/>
  <c r="N467" i="3"/>
  <c r="O486" i="3"/>
  <c r="O504" i="3"/>
  <c r="N523" i="3"/>
  <c r="O540" i="3"/>
  <c r="N559" i="3"/>
  <c r="O577" i="3"/>
  <c r="O596" i="3"/>
  <c r="O611" i="3"/>
  <c r="O629" i="3"/>
  <c r="O644" i="3"/>
  <c r="N660" i="3"/>
  <c r="N676" i="3"/>
  <c r="N691" i="3"/>
  <c r="N706" i="3"/>
  <c r="O719" i="3"/>
  <c r="O734" i="3"/>
  <c r="N747" i="3"/>
  <c r="O762" i="3"/>
  <c r="O776" i="3"/>
  <c r="N790" i="3"/>
  <c r="O802" i="3"/>
  <c r="N816" i="3"/>
  <c r="N829" i="3"/>
  <c r="N841" i="3"/>
  <c r="O854" i="3"/>
  <c r="N866" i="3"/>
  <c r="N880" i="3"/>
  <c r="O892" i="3"/>
  <c r="N905" i="3"/>
  <c r="O917" i="3"/>
  <c r="N928" i="3"/>
  <c r="O937" i="3"/>
  <c r="O947" i="3"/>
  <c r="N957" i="3"/>
  <c r="O966" i="3"/>
  <c r="O975" i="3"/>
  <c r="N986" i="3"/>
  <c r="O995" i="3"/>
  <c r="O1004" i="3"/>
  <c r="N1015" i="3"/>
  <c r="N1024" i="3"/>
  <c r="O1033" i="3"/>
  <c r="N1043" i="3"/>
  <c r="N1053" i="3"/>
  <c r="N1063" i="3"/>
  <c r="N1072" i="3"/>
  <c r="N1081" i="3"/>
  <c r="O1091" i="3"/>
  <c r="N1101" i="3"/>
  <c r="N1110" i="3"/>
  <c r="O1120" i="3"/>
  <c r="O1129" i="3"/>
  <c r="N1139" i="3"/>
  <c r="O1148" i="3"/>
  <c r="O1158" i="3"/>
  <c r="O1168" i="3"/>
  <c r="O1177" i="3"/>
  <c r="O1186" i="3"/>
  <c r="N1197" i="3"/>
  <c r="O1206" i="3"/>
  <c r="O1215" i="3"/>
  <c r="N1226" i="3"/>
  <c r="N1235" i="3"/>
  <c r="N1245" i="3"/>
  <c r="N1254" i="3"/>
  <c r="N1264" i="3"/>
  <c r="N1274" i="3"/>
  <c r="N1283" i="3"/>
  <c r="N1292" i="3"/>
  <c r="O1302" i="3"/>
  <c r="N1312" i="3"/>
  <c r="N1321" i="3"/>
  <c r="O1331" i="3"/>
  <c r="O1340" i="3"/>
  <c r="O1350" i="3"/>
  <c r="O1359" i="3"/>
  <c r="N1369" i="3"/>
  <c r="O1377" i="3"/>
  <c r="O1385" i="3"/>
  <c r="O1393" i="3"/>
  <c r="O1401" i="3"/>
  <c r="O1410" i="3"/>
  <c r="N20" i="3"/>
  <c r="N40" i="3"/>
  <c r="O59" i="3"/>
  <c r="N81" i="3"/>
  <c r="O100" i="3"/>
  <c r="O121" i="3"/>
  <c r="N140" i="3"/>
  <c r="O162" i="3"/>
  <c r="N182" i="3"/>
  <c r="N202" i="3"/>
  <c r="N223" i="3"/>
  <c r="O242" i="3"/>
  <c r="O262" i="3"/>
  <c r="N283" i="3"/>
  <c r="O303" i="3"/>
  <c r="N322" i="3"/>
  <c r="O344" i="3"/>
  <c r="O365" i="3"/>
  <c r="O384" i="3"/>
  <c r="O403" i="3"/>
  <c r="O422" i="3"/>
  <c r="O441" i="3"/>
  <c r="O457" i="3"/>
  <c r="O477" i="3"/>
  <c r="N495" i="3"/>
  <c r="N515" i="3"/>
  <c r="N534" i="3"/>
  <c r="O552" i="3"/>
  <c r="N570" i="3"/>
  <c r="N588" i="3"/>
  <c r="N605" i="3"/>
  <c r="O621" i="3"/>
  <c r="N638" i="3"/>
  <c r="N652" i="3"/>
  <c r="N669" i="3"/>
  <c r="N685" i="3"/>
  <c r="O699" i="3"/>
  <c r="O714" i="3"/>
  <c r="N728" i="3"/>
  <c r="N742" i="3"/>
  <c r="O755" i="3"/>
  <c r="N770" i="3"/>
  <c r="N783" i="3"/>
  <c r="N798" i="3"/>
  <c r="N811" i="3"/>
  <c r="O823" i="3"/>
  <c r="O836" i="3"/>
  <c r="O848" i="3"/>
  <c r="O861" i="3"/>
  <c r="N874" i="3"/>
  <c r="N887" i="3"/>
  <c r="O898" i="3"/>
  <c r="O912" i="3"/>
  <c r="N923" i="3"/>
  <c r="O933" i="3"/>
  <c r="N943" i="3"/>
  <c r="O952" i="3"/>
  <c r="O962" i="3"/>
  <c r="O972" i="3"/>
  <c r="O981" i="3"/>
  <c r="O990" i="3"/>
  <c r="N1001" i="3"/>
  <c r="O1010" i="3"/>
  <c r="O1019" i="3"/>
  <c r="N1030" i="3"/>
  <c r="N1039" i="3"/>
  <c r="N1049" i="3"/>
  <c r="N1058" i="3"/>
  <c r="N1068" i="3"/>
  <c r="N1078" i="3"/>
  <c r="N1087" i="3"/>
  <c r="N1096" i="3"/>
  <c r="O1106" i="3"/>
  <c r="N1116" i="3"/>
  <c r="N1125" i="3"/>
  <c r="O1135" i="3"/>
  <c r="O1144" i="3"/>
  <c r="O1154" i="3"/>
  <c r="O1163" i="3"/>
  <c r="O1173" i="3"/>
  <c r="O1183" i="3"/>
  <c r="O1192" i="3"/>
  <c r="O1201" i="3"/>
  <c r="N1212" i="3"/>
  <c r="O1221" i="3"/>
  <c r="N1231" i="3"/>
  <c r="N1241" i="3"/>
  <c r="N1250" i="3"/>
  <c r="N1260" i="3"/>
  <c r="N23" i="3"/>
  <c r="O43" i="3"/>
  <c r="N60" i="3"/>
  <c r="N84" i="3"/>
  <c r="N101" i="3"/>
  <c r="N125" i="3"/>
  <c r="N145" i="3"/>
  <c r="N163" i="3"/>
  <c r="O182" i="3"/>
  <c r="O202" i="3"/>
  <c r="O223" i="3"/>
  <c r="N243" i="3"/>
  <c r="O263" i="3"/>
  <c r="O283" i="3"/>
  <c r="O304" i="3"/>
  <c r="N325" i="3"/>
  <c r="N345" i="3"/>
  <c r="N366" i="3"/>
  <c r="N385" i="3"/>
  <c r="N405" i="3"/>
  <c r="O423" i="3"/>
  <c r="N443" i="3"/>
  <c r="O458" i="3"/>
  <c r="O479" i="3"/>
  <c r="O498" i="3"/>
  <c r="N516" i="3"/>
  <c r="O535" i="3"/>
  <c r="N553" i="3"/>
  <c r="O570" i="3"/>
  <c r="O588" i="3"/>
  <c r="N607" i="3"/>
  <c r="N622" i="3"/>
  <c r="N639" i="3"/>
  <c r="N655" i="3"/>
  <c r="N670" i="3"/>
  <c r="O685" i="3"/>
  <c r="N700" i="3"/>
  <c r="N715" i="3"/>
  <c r="O729" i="3"/>
  <c r="N743" i="3"/>
  <c r="N756" i="3"/>
  <c r="N771" i="3"/>
  <c r="N785" i="3"/>
  <c r="O798" i="3"/>
  <c r="O812" i="3"/>
  <c r="N824" i="3"/>
  <c r="N837" i="3"/>
  <c r="O849" i="3"/>
  <c r="O862" i="3"/>
  <c r="O874" i="3"/>
  <c r="O888" i="3"/>
  <c r="O900" i="3"/>
  <c r="N913" i="3"/>
  <c r="O924" i="3"/>
  <c r="O934" i="3"/>
  <c r="N944" i="3"/>
  <c r="N953" i="3"/>
  <c r="N963" i="3"/>
  <c r="N973" i="3"/>
  <c r="N982" i="3"/>
  <c r="N992" i="3"/>
  <c r="O1001" i="3"/>
  <c r="N1011" i="3"/>
  <c r="N1020" i="3"/>
  <c r="O1030" i="3"/>
  <c r="N1040" i="3"/>
  <c r="O1049" i="3"/>
  <c r="O1058" i="3"/>
  <c r="O1068" i="3"/>
  <c r="O1078" i="3"/>
  <c r="O1087" i="3"/>
  <c r="N1098" i="3"/>
  <c r="N1107" i="3"/>
  <c r="O1116" i="3"/>
  <c r="N1126" i="3"/>
  <c r="N1136" i="3"/>
  <c r="O1145" i="3"/>
  <c r="N1155" i="3"/>
  <c r="N1164" i="3"/>
  <c r="N1174" i="3"/>
  <c r="N1184" i="3"/>
  <c r="N1193" i="3"/>
  <c r="O1203" i="3"/>
  <c r="O1212" i="3"/>
  <c r="N1222" i="3"/>
  <c r="O1231" i="3"/>
  <c r="O1241" i="3"/>
  <c r="N1251" i="3"/>
  <c r="O1260" i="3"/>
  <c r="N24" i="3"/>
  <c r="O45" i="3"/>
  <c r="O64" i="3"/>
  <c r="O85" i="3"/>
  <c r="O105" i="3"/>
  <c r="O125" i="3"/>
  <c r="N146" i="3"/>
  <c r="O165" i="3"/>
  <c r="O186" i="3"/>
  <c r="O204" i="3"/>
  <c r="N227" i="3"/>
  <c r="N244" i="3"/>
  <c r="N268" i="3"/>
  <c r="O287" i="3"/>
  <c r="N305" i="3"/>
  <c r="O325" i="3"/>
  <c r="N346" i="3"/>
  <c r="O366" i="3"/>
  <c r="O385" i="3"/>
  <c r="O406" i="3"/>
  <c r="N424" i="3"/>
  <c r="N444" i="3"/>
  <c r="O463" i="3"/>
  <c r="N481" i="3"/>
  <c r="N499" i="3"/>
  <c r="N517" i="3"/>
  <c r="N536" i="3"/>
  <c r="O554" i="3"/>
  <c r="N574" i="3"/>
  <c r="O589" i="3"/>
  <c r="N608" i="3"/>
  <c r="N624" i="3"/>
  <c r="O639" i="3"/>
  <c r="N656" i="3"/>
  <c r="O670" i="3"/>
  <c r="N686" i="3"/>
  <c r="O700" i="3"/>
  <c r="O716" i="3"/>
  <c r="N730" i="3"/>
  <c r="N745" i="3"/>
  <c r="N758" i="3"/>
  <c r="O771" i="3"/>
  <c r="O785" i="3"/>
  <c r="N799" i="3"/>
  <c r="N813" i="3"/>
  <c r="N825" i="3"/>
  <c r="N838" i="3"/>
  <c r="N850" i="3"/>
  <c r="O863" i="3"/>
  <c r="O876" i="3"/>
  <c r="N889" i="3"/>
  <c r="N901" i="3"/>
  <c r="O913" i="3"/>
  <c r="N925" i="3"/>
  <c r="N935" i="3"/>
  <c r="O944" i="3"/>
  <c r="O954" i="3"/>
  <c r="O963" i="3"/>
  <c r="O973" i="3"/>
  <c r="O982" i="3"/>
  <c r="N993" i="3"/>
  <c r="O1002" i="3"/>
  <c r="O1011" i="3"/>
  <c r="N1021" i="3"/>
  <c r="N1031" i="3"/>
  <c r="O1040" i="3"/>
  <c r="N1050" i="3"/>
  <c r="N1060" i="3"/>
  <c r="N1069" i="3"/>
  <c r="N1079" i="3"/>
  <c r="N1088" i="3"/>
  <c r="O1098" i="3"/>
  <c r="N1108" i="3"/>
  <c r="N1117" i="3"/>
  <c r="O1126" i="3"/>
  <c r="O1136" i="3"/>
  <c r="N1146" i="3"/>
  <c r="O1155" i="3"/>
  <c r="O1165" i="3"/>
  <c r="N1175" i="3"/>
  <c r="O1184" i="3"/>
  <c r="O1193" i="3"/>
  <c r="N1204" i="3"/>
  <c r="O1213" i="3"/>
  <c r="O1222" i="3"/>
  <c r="O7" i="3"/>
  <c r="O36" i="3"/>
  <c r="N67" i="3"/>
  <c r="N95" i="3"/>
  <c r="O120" i="3"/>
  <c r="O151" i="3"/>
  <c r="O178" i="3"/>
  <c r="O209" i="3"/>
  <c r="N237" i="3"/>
  <c r="N262" i="3"/>
  <c r="O293" i="3"/>
  <c r="N320" i="3"/>
  <c r="O349" i="3"/>
  <c r="N377" i="3"/>
  <c r="N403" i="3"/>
  <c r="N433" i="3"/>
  <c r="O455" i="3"/>
  <c r="O482" i="3"/>
  <c r="N507" i="3"/>
  <c r="N530" i="3"/>
  <c r="O560" i="3"/>
  <c r="O585" i="3"/>
  <c r="O609" i="3"/>
  <c r="N631" i="3"/>
  <c r="O651" i="3"/>
  <c r="N677" i="3"/>
  <c r="O695" i="3"/>
  <c r="N718" i="3"/>
  <c r="O737" i="3"/>
  <c r="N755" i="3"/>
  <c r="N777" i="3"/>
  <c r="N794" i="3"/>
  <c r="N815" i="3"/>
  <c r="N832" i="3"/>
  <c r="N848" i="3"/>
  <c r="O868" i="3"/>
  <c r="O884" i="3"/>
  <c r="O903" i="3"/>
  <c r="O919" i="3"/>
  <c r="N933" i="3"/>
  <c r="N948" i="3"/>
  <c r="N960" i="3"/>
  <c r="O974" i="3"/>
  <c r="N988" i="3"/>
  <c r="O1000" i="3"/>
  <c r="O1015" i="3"/>
  <c r="N1027" i="3"/>
  <c r="N1042" i="3"/>
  <c r="N1055" i="3"/>
  <c r="O1067" i="3"/>
  <c r="O1082" i="3"/>
  <c r="O1094" i="3"/>
  <c r="N1109" i="3"/>
  <c r="N1122" i="3"/>
  <c r="N1134" i="3"/>
  <c r="N1149" i="3"/>
  <c r="N1162" i="3"/>
  <c r="O1176" i="3"/>
  <c r="O1189" i="3"/>
  <c r="N1201" i="3"/>
  <c r="N1216" i="3"/>
  <c r="N1229" i="3"/>
  <c r="N1242" i="3"/>
  <c r="O1253" i="3"/>
  <c r="O1266" i="3"/>
  <c r="N1276" i="3"/>
  <c r="N1287" i="3"/>
  <c r="N1297" i="3"/>
  <c r="O1306" i="3"/>
  <c r="O1317" i="3"/>
  <c r="O1327" i="3"/>
  <c r="O1337" i="3"/>
  <c r="N1348" i="3"/>
  <c r="O1358" i="3"/>
  <c r="O1368" i="3"/>
  <c r="N1378" i="3"/>
  <c r="O1386" i="3"/>
  <c r="N1395" i="3"/>
  <c r="O1404" i="3"/>
  <c r="N1413" i="3"/>
  <c r="N1421" i="3"/>
  <c r="N1429" i="3"/>
  <c r="N1437" i="3"/>
  <c r="N1446" i="3"/>
  <c r="N1454" i="3"/>
  <c r="N1462" i="3"/>
  <c r="N1470" i="3"/>
  <c r="N1478" i="3"/>
  <c r="N1486" i="3"/>
  <c r="O1494" i="3"/>
  <c r="N1502" i="3"/>
  <c r="N1509" i="3"/>
  <c r="N1516" i="3"/>
  <c r="N1523" i="3"/>
  <c r="N1530" i="3"/>
  <c r="N1537" i="3"/>
  <c r="N1544" i="3"/>
  <c r="N1551" i="3"/>
  <c r="N1558" i="3"/>
  <c r="N1565" i="3"/>
  <c r="N1572" i="3"/>
  <c r="N1579" i="3"/>
  <c r="N1586" i="3"/>
  <c r="N1593" i="3"/>
  <c r="N1600" i="3"/>
  <c r="N1607" i="3"/>
  <c r="N1614" i="3"/>
  <c r="N1621" i="3"/>
  <c r="N1628" i="3"/>
  <c r="N1635" i="3"/>
  <c r="N1642" i="3"/>
  <c r="N1649" i="3"/>
  <c r="N1656" i="3"/>
  <c r="N1663" i="3"/>
  <c r="N1670" i="3"/>
  <c r="N1677" i="3"/>
  <c r="O4" i="3"/>
  <c r="N179" i="3"/>
  <c r="O433" i="3"/>
  <c r="N483" i="3"/>
  <c r="N538" i="3"/>
  <c r="N587" i="3"/>
  <c r="O631" i="3"/>
  <c r="N678" i="3"/>
  <c r="O718" i="3"/>
  <c r="O759" i="3"/>
  <c r="O777" i="3"/>
  <c r="O832" i="3"/>
  <c r="N869" i="3"/>
  <c r="O904" i="3"/>
  <c r="O948" i="3"/>
  <c r="O8" i="3"/>
  <c r="O37" i="3"/>
  <c r="O67" i="3"/>
  <c r="N96" i="3"/>
  <c r="N126" i="3"/>
  <c r="N152" i="3"/>
  <c r="N210" i="3"/>
  <c r="O237" i="3"/>
  <c r="O268" i="3"/>
  <c r="N294" i="3"/>
  <c r="N321" i="3"/>
  <c r="N352" i="3"/>
  <c r="O380" i="3"/>
  <c r="N408" i="3"/>
  <c r="O456" i="3"/>
  <c r="N509" i="3"/>
  <c r="N564" i="3"/>
  <c r="N611" i="3"/>
  <c r="O656" i="3"/>
  <c r="N698" i="3"/>
  <c r="N738" i="3"/>
  <c r="O794" i="3"/>
  <c r="O815" i="3"/>
  <c r="N852" i="3"/>
  <c r="N885" i="3"/>
  <c r="O920" i="3"/>
  <c r="O935" i="3"/>
  <c r="O27" i="3"/>
  <c r="O55" i="3"/>
  <c r="O79" i="3"/>
  <c r="O111" i="3"/>
  <c r="N138" i="3"/>
  <c r="N167" i="3"/>
  <c r="O197" i="3"/>
  <c r="O221" i="3"/>
  <c r="O253" i="3"/>
  <c r="N280" i="3"/>
  <c r="N310" i="3"/>
  <c r="N334" i="3"/>
  <c r="O361" i="3"/>
  <c r="O394" i="3"/>
  <c r="O417" i="3"/>
  <c r="O445" i="3"/>
  <c r="O471" i="3"/>
  <c r="O494" i="3"/>
  <c r="N524" i="3"/>
  <c r="N548" i="3"/>
  <c r="O576" i="3"/>
  <c r="N599" i="3"/>
  <c r="N620" i="3"/>
  <c r="N646" i="3"/>
  <c r="O666" i="3"/>
  <c r="N690" i="3"/>
  <c r="O708" i="3"/>
  <c r="O727" i="3"/>
  <c r="O749" i="3"/>
  <c r="O767" i="3"/>
  <c r="N787" i="3"/>
  <c r="O806" i="3"/>
  <c r="N823" i="3"/>
  <c r="N842" i="3"/>
  <c r="N858" i="3"/>
  <c r="O877" i="3"/>
  <c r="O895" i="3"/>
  <c r="O911" i="3"/>
  <c r="O928" i="3"/>
  <c r="N941" i="3"/>
  <c r="O955" i="3"/>
  <c r="N968" i="3"/>
  <c r="N981" i="3"/>
  <c r="N996" i="3"/>
  <c r="O1008" i="3"/>
  <c r="N1023" i="3"/>
  <c r="O1035" i="3"/>
  <c r="N1048" i="3"/>
  <c r="O1063" i="3"/>
  <c r="O1075" i="3"/>
  <c r="N1090" i="3"/>
  <c r="O1102" i="3"/>
  <c r="O1115" i="3"/>
  <c r="O1130" i="3"/>
  <c r="N1143" i="3"/>
  <c r="O1156" i="3"/>
  <c r="N1170" i="3"/>
  <c r="O1182" i="3"/>
  <c r="O1197" i="3"/>
  <c r="N1209" i="3"/>
  <c r="N1224" i="3"/>
  <c r="O1236" i="3"/>
  <c r="O1248" i="3"/>
  <c r="N1261" i="3"/>
  <c r="O1271" i="3"/>
  <c r="N1282" i="3"/>
  <c r="O1291" i="3"/>
  <c r="N1303" i="3"/>
  <c r="N1313" i="3"/>
  <c r="N1324" i="3"/>
  <c r="N1334" i="3"/>
  <c r="N1344" i="3"/>
  <c r="O1354" i="3"/>
  <c r="O1364" i="3"/>
  <c r="O1373" i="3"/>
  <c r="N1383" i="3"/>
  <c r="O1391" i="3"/>
  <c r="N1400" i="3"/>
  <c r="O1408" i="3"/>
  <c r="N1418" i="3"/>
  <c r="N1426" i="3"/>
  <c r="N1434" i="3"/>
  <c r="N1442" i="3"/>
  <c r="N1450" i="3"/>
  <c r="N1458" i="3"/>
  <c r="N1467" i="3"/>
  <c r="N1475" i="3"/>
  <c r="N1483" i="3"/>
  <c r="N1491" i="3"/>
  <c r="O1498" i="3"/>
  <c r="N1506" i="3"/>
  <c r="N1513" i="3"/>
  <c r="N1520" i="3"/>
  <c r="N1527" i="3"/>
  <c r="N1534" i="3"/>
  <c r="N1541" i="3"/>
  <c r="N1548" i="3"/>
  <c r="N1555" i="3"/>
  <c r="N1562" i="3"/>
  <c r="N1569" i="3"/>
  <c r="N1576" i="3"/>
  <c r="N1583" i="3"/>
  <c r="N1590" i="3"/>
  <c r="N1597" i="3"/>
  <c r="N1604" i="3"/>
  <c r="N1611" i="3"/>
  <c r="N1618" i="3"/>
  <c r="N1625" i="3"/>
  <c r="N1632" i="3"/>
  <c r="N1639" i="3"/>
  <c r="N1646" i="3"/>
  <c r="N1653" i="3"/>
  <c r="N1660" i="3"/>
  <c r="N1667" i="3"/>
  <c r="N1674" i="3"/>
  <c r="N1681" i="3"/>
  <c r="O426" i="3"/>
  <c r="N452" i="3"/>
  <c r="N528" i="3"/>
  <c r="O649" i="3"/>
  <c r="O864" i="3"/>
  <c r="O930" i="3"/>
  <c r="O970" i="3"/>
  <c r="O997" i="3"/>
  <c r="O1052" i="3"/>
  <c r="N28" i="3"/>
  <c r="N56" i="3"/>
  <c r="O86" i="3"/>
  <c r="N112" i="3"/>
  <c r="N139" i="3"/>
  <c r="O170" i="3"/>
  <c r="N198" i="3"/>
  <c r="N228" i="3"/>
  <c r="N254" i="3"/>
  <c r="O280" i="3"/>
  <c r="O310" i="3"/>
  <c r="N340" i="3"/>
  <c r="N369" i="3"/>
  <c r="O395" i="3"/>
  <c r="N420" i="3"/>
  <c r="N446" i="3"/>
  <c r="N472" i="3"/>
  <c r="O499" i="3"/>
  <c r="O525" i="3"/>
  <c r="N549" i="3"/>
  <c r="N577" i="3"/>
  <c r="N600" i="3"/>
  <c r="N625" i="3"/>
  <c r="O646" i="3"/>
  <c r="N667" i="3"/>
  <c r="O690" i="3"/>
  <c r="O709" i="3"/>
  <c r="N732" i="3"/>
  <c r="N750" i="3"/>
  <c r="N768" i="3"/>
  <c r="N788" i="3"/>
  <c r="N807" i="3"/>
  <c r="O825" i="3"/>
  <c r="N844" i="3"/>
  <c r="O860" i="3"/>
  <c r="O878" i="3"/>
  <c r="O896" i="3"/>
  <c r="N914" i="3"/>
  <c r="N929" i="3"/>
  <c r="N942" i="3"/>
  <c r="N956" i="3"/>
  <c r="O969" i="3"/>
  <c r="N983" i="3"/>
  <c r="O996" i="3"/>
  <c r="N1009" i="3"/>
  <c r="O1023" i="3"/>
  <c r="N1036" i="3"/>
  <c r="O1050" i="3"/>
  <c r="N1064" i="3"/>
  <c r="N1076" i="3"/>
  <c r="N1091" i="3"/>
  <c r="N1103" i="3"/>
  <c r="O1117" i="3"/>
  <c r="N1131" i="3"/>
  <c r="O1143" i="3"/>
  <c r="N1158" i="3"/>
  <c r="O1170" i="3"/>
  <c r="N1185" i="3"/>
  <c r="O1198" i="3"/>
  <c r="N1211" i="3"/>
  <c r="O1224" i="3"/>
  <c r="N1237" i="3"/>
  <c r="N1249" i="3"/>
  <c r="O1261" i="3"/>
  <c r="N1272" i="3"/>
  <c r="O1282" i="3"/>
  <c r="N1294" i="3"/>
  <c r="N1304" i="3"/>
  <c r="O1313" i="3"/>
  <c r="O1324" i="3"/>
  <c r="O1334" i="3"/>
  <c r="O1344" i="3"/>
  <c r="N1355" i="3"/>
  <c r="N1365" i="3"/>
  <c r="N1374" i="3"/>
  <c r="O1383" i="3"/>
  <c r="N1392" i="3"/>
  <c r="O1400" i="3"/>
  <c r="N1409" i="3"/>
  <c r="O1418" i="3"/>
  <c r="O1426" i="3"/>
  <c r="O1434" i="3"/>
  <c r="O1442" i="3"/>
  <c r="O1450" i="3"/>
  <c r="O1459" i="3"/>
  <c r="O1467" i="3"/>
  <c r="O1475" i="3"/>
  <c r="O1483" i="3"/>
  <c r="O1491" i="3"/>
  <c r="N1499" i="3"/>
  <c r="O1506" i="3"/>
  <c r="O1513" i="3"/>
  <c r="O1520" i="3"/>
  <c r="O1527" i="3"/>
  <c r="O1534" i="3"/>
  <c r="O1541" i="3"/>
  <c r="O1548" i="3"/>
  <c r="O1555" i="3"/>
  <c r="O1562" i="3"/>
  <c r="O1569" i="3"/>
  <c r="O1576" i="3"/>
  <c r="O1583" i="3"/>
  <c r="O1590" i="3"/>
  <c r="O1597" i="3"/>
  <c r="O1604" i="3"/>
  <c r="O1611" i="3"/>
  <c r="O1618" i="3"/>
  <c r="O1625" i="3"/>
  <c r="O1632" i="3"/>
  <c r="O1639" i="3"/>
  <c r="O1646" i="3"/>
  <c r="O1653" i="3"/>
  <c r="O1660" i="3"/>
  <c r="O1667" i="3"/>
  <c r="O1674" i="3"/>
  <c r="O1681" i="3"/>
  <c r="O372" i="3"/>
  <c r="N475" i="3"/>
  <c r="N604" i="3"/>
  <c r="O626" i="3"/>
  <c r="N692" i="3"/>
  <c r="N733" i="3"/>
  <c r="N772" i="3"/>
  <c r="N808" i="3"/>
  <c r="N845" i="3"/>
  <c r="O916" i="3"/>
  <c r="O958" i="3"/>
  <c r="N985" i="3"/>
  <c r="N1012" i="3"/>
  <c r="O1025" i="3"/>
  <c r="N1065" i="3"/>
  <c r="O30" i="3"/>
  <c r="O57" i="3"/>
  <c r="N87" i="3"/>
  <c r="O114" i="3"/>
  <c r="O139" i="3"/>
  <c r="O171" i="3"/>
  <c r="O198" i="3"/>
  <c r="O228" i="3"/>
  <c r="O254" i="3"/>
  <c r="O281" i="3"/>
  <c r="N313" i="3"/>
  <c r="O340" i="3"/>
  <c r="N371" i="3"/>
  <c r="N397" i="3"/>
  <c r="N422" i="3"/>
  <c r="O451" i="3"/>
  <c r="N474" i="3"/>
  <c r="N503" i="3"/>
  <c r="O527" i="3"/>
  <c r="N550" i="3"/>
  <c r="N578" i="3"/>
  <c r="N601" i="3"/>
  <c r="O625" i="3"/>
  <c r="O647" i="3"/>
  <c r="N668" i="3"/>
  <c r="O691" i="3"/>
  <c r="N710" i="3"/>
  <c r="O732" i="3"/>
  <c r="O750" i="3"/>
  <c r="N769" i="3"/>
  <c r="O790" i="3"/>
  <c r="O807" i="3"/>
  <c r="N828" i="3"/>
  <c r="O844" i="3"/>
  <c r="N861" i="3"/>
  <c r="N881" i="3"/>
  <c r="N897" i="3"/>
  <c r="O914" i="3"/>
  <c r="N930" i="3"/>
  <c r="O942" i="3"/>
  <c r="N958" i="3"/>
  <c r="N970" i="3"/>
  <c r="O984" i="3"/>
  <c r="N997" i="3"/>
  <c r="N1010" i="3"/>
  <c r="N1025" i="3"/>
  <c r="O1037" i="3"/>
  <c r="N1051" i="3"/>
  <c r="O1064" i="3"/>
  <c r="N1077" i="3"/>
  <c r="N1092" i="3"/>
  <c r="O1103" i="3"/>
  <c r="N1118" i="3"/>
  <c r="O1131" i="3"/>
  <c r="N1144" i="3"/>
  <c r="N1159" i="3"/>
  <c r="N1171" i="3"/>
  <c r="O1185" i="3"/>
  <c r="N1199" i="3"/>
  <c r="O1211" i="3"/>
  <c r="O1226" i="3"/>
  <c r="N1238" i="3"/>
  <c r="O1249" i="3"/>
  <c r="N1262" i="3"/>
  <c r="N1273" i="3"/>
  <c r="O1283" i="3"/>
  <c r="O1294" i="3"/>
  <c r="O1304" i="3"/>
  <c r="N1314" i="3"/>
  <c r="N1325" i="3"/>
  <c r="N1335" i="3"/>
  <c r="N1345" i="3"/>
  <c r="O1355" i="3"/>
  <c r="O1365" i="3"/>
  <c r="O1375" i="3"/>
  <c r="N1384" i="3"/>
  <c r="O1392" i="3"/>
  <c r="N1401" i="3"/>
  <c r="N1411" i="3"/>
  <c r="N1419" i="3"/>
  <c r="N1427" i="3"/>
  <c r="N1435" i="3"/>
  <c r="N1443" i="3"/>
  <c r="N1451" i="3"/>
  <c r="N1460" i="3"/>
  <c r="N1468" i="3"/>
  <c r="N1476" i="3"/>
  <c r="N1484" i="3"/>
  <c r="N1492" i="3"/>
  <c r="O1499" i="3"/>
  <c r="N1507" i="3"/>
  <c r="N1514" i="3"/>
  <c r="N1521" i="3"/>
  <c r="N1528" i="3"/>
  <c r="N1535" i="3"/>
  <c r="N1542" i="3"/>
  <c r="N1549" i="3"/>
  <c r="N1556" i="3"/>
  <c r="N1563" i="3"/>
  <c r="N1570" i="3"/>
  <c r="N1577" i="3"/>
  <c r="N1584" i="3"/>
  <c r="N1591" i="3"/>
  <c r="N1598" i="3"/>
  <c r="N1605" i="3"/>
  <c r="N1612" i="3"/>
  <c r="N1619" i="3"/>
  <c r="N1626" i="3"/>
  <c r="N1633" i="3"/>
  <c r="N1640" i="3"/>
  <c r="N1647" i="3"/>
  <c r="N1654" i="3"/>
  <c r="N1661" i="3"/>
  <c r="N1668" i="3"/>
  <c r="N1675" i="3"/>
  <c r="N1682" i="3"/>
  <c r="N398" i="3"/>
  <c r="N504" i="3"/>
  <c r="O555" i="3"/>
  <c r="O580" i="3"/>
  <c r="N672" i="3"/>
  <c r="O710" i="3"/>
  <c r="O752" i="3"/>
  <c r="N791" i="3"/>
  <c r="O828" i="3"/>
  <c r="O881" i="3"/>
  <c r="O897" i="3"/>
  <c r="N945" i="3"/>
  <c r="N1038" i="3"/>
  <c r="O1079" i="3"/>
  <c r="N34" i="3"/>
  <c r="O58" i="3"/>
  <c r="O87" i="3"/>
  <c r="O115" i="3"/>
  <c r="N147" i="3"/>
  <c r="O172" i="3"/>
  <c r="O199" i="3"/>
  <c r="N230" i="3"/>
  <c r="N258" i="3"/>
  <c r="N289" i="3"/>
  <c r="N314" i="3"/>
  <c r="N341" i="3"/>
  <c r="O34" i="3"/>
  <c r="N59" i="3"/>
  <c r="O91" i="3"/>
  <c r="N119" i="3"/>
  <c r="O148" i="3"/>
  <c r="O177" i="3"/>
  <c r="N201" i="3"/>
  <c r="N231" i="3"/>
  <c r="O258" i="3"/>
  <c r="O289" i="3"/>
  <c r="O315" i="3"/>
  <c r="O342" i="3"/>
  <c r="O373" i="3"/>
  <c r="O399" i="3"/>
  <c r="N427" i="3"/>
  <c r="O452" i="3"/>
  <c r="N476" i="3"/>
  <c r="O505" i="3"/>
  <c r="N529" i="3"/>
  <c r="O557" i="3"/>
  <c r="O583" i="3"/>
  <c r="O604" i="3"/>
  <c r="N630" i="3"/>
  <c r="N650" i="3"/>
  <c r="O672" i="3"/>
  <c r="N694" i="3"/>
  <c r="N714" i="3"/>
  <c r="O735" i="3"/>
  <c r="O753" i="3"/>
  <c r="O772" i="3"/>
  <c r="O791" i="3"/>
  <c r="O808" i="3"/>
  <c r="N830" i="3"/>
  <c r="O846" i="3"/>
  <c r="N865" i="3"/>
  <c r="N882" i="3"/>
  <c r="N898" i="3"/>
  <c r="N918" i="3"/>
  <c r="N932" i="3"/>
  <c r="O945" i="3"/>
  <c r="N959" i="3"/>
  <c r="N971" i="3"/>
  <c r="O986" i="3"/>
  <c r="N998" i="3"/>
  <c r="O1012" i="3"/>
  <c r="N1026" i="3"/>
  <c r="O1038" i="3"/>
  <c r="O1053" i="3"/>
  <c r="O1065" i="3"/>
  <c r="N1080" i="3"/>
  <c r="O1093" i="3"/>
  <c r="N1106" i="3"/>
  <c r="N1121" i="3"/>
  <c r="N1133" i="3"/>
  <c r="O1147" i="3"/>
  <c r="N1161" i="3"/>
  <c r="N1173" i="3"/>
  <c r="N1188" i="3"/>
  <c r="N1200" i="3"/>
  <c r="O1214" i="3"/>
  <c r="O1227" i="3"/>
  <c r="N1239" i="3"/>
  <c r="O1252" i="3"/>
  <c r="O1264" i="3"/>
  <c r="N1275" i="3"/>
  <c r="O1284" i="3"/>
  <c r="O1295" i="3"/>
  <c r="O1305" i="3"/>
  <c r="O1316" i="3"/>
  <c r="O1326" i="3"/>
  <c r="O1336" i="3"/>
  <c r="N1347" i="3"/>
  <c r="O1357" i="3"/>
  <c r="O1366" i="3"/>
  <c r="O1376" i="3"/>
  <c r="N1385" i="3"/>
  <c r="N1394" i="3"/>
  <c r="O1403" i="3"/>
  <c r="N1412" i="3"/>
  <c r="N1420" i="3"/>
  <c r="N1428" i="3"/>
  <c r="N1436" i="3"/>
  <c r="N1444" i="3"/>
  <c r="N1453" i="3"/>
  <c r="N1461" i="3"/>
  <c r="N9" i="3"/>
  <c r="N72" i="3"/>
  <c r="O127" i="3"/>
  <c r="O46" i="3"/>
  <c r="O98" i="3"/>
  <c r="O157" i="3"/>
  <c r="N214" i="3"/>
  <c r="N270" i="3"/>
  <c r="N329" i="3"/>
  <c r="N382" i="3"/>
  <c r="O434" i="3"/>
  <c r="N488" i="3"/>
  <c r="O539" i="3"/>
  <c r="O594" i="3"/>
  <c r="N635" i="3"/>
  <c r="O680" i="3"/>
  <c r="O723" i="3"/>
  <c r="N761" i="3"/>
  <c r="O799" i="3"/>
  <c r="O833" i="3"/>
  <c r="O870" i="3"/>
  <c r="N906" i="3"/>
  <c r="N937" i="3"/>
  <c r="N962" i="3"/>
  <c r="O987" i="3"/>
  <c r="O1007" i="3"/>
  <c r="O1032" i="3"/>
  <c r="O1056" i="3"/>
  <c r="O1080" i="3"/>
  <c r="O1100" i="3"/>
  <c r="N1123" i="3"/>
  <c r="N1141" i="3"/>
  <c r="N1163" i="3"/>
  <c r="N1182" i="3"/>
  <c r="N1206" i="3"/>
  <c r="N1227" i="3"/>
  <c r="O1245" i="3"/>
  <c r="N1265" i="3"/>
  <c r="N1280" i="3"/>
  <c r="O1297" i="3"/>
  <c r="O1311" i="3"/>
  <c r="N1329" i="3"/>
  <c r="O1343" i="3"/>
  <c r="O1361" i="3"/>
  <c r="N1376" i="3"/>
  <c r="O1389" i="3"/>
  <c r="N1404" i="3"/>
  <c r="O1415" i="3"/>
  <c r="O1429" i="3"/>
  <c r="N1441" i="3"/>
  <c r="N47" i="3"/>
  <c r="N100" i="3"/>
  <c r="N158" i="3"/>
  <c r="N217" i="3"/>
  <c r="O274" i="3"/>
  <c r="O330" i="3"/>
  <c r="N384" i="3"/>
  <c r="O435" i="3"/>
  <c r="O489" i="3"/>
  <c r="N542" i="3"/>
  <c r="N595" i="3"/>
  <c r="O635" i="3"/>
  <c r="N682" i="3"/>
  <c r="N724" i="3"/>
  <c r="N763" i="3"/>
  <c r="N800" i="3"/>
  <c r="N836" i="3"/>
  <c r="N872" i="3"/>
  <c r="O906" i="3"/>
  <c r="N938" i="3"/>
  <c r="N965" i="3"/>
  <c r="O988" i="3"/>
  <c r="N1008" i="3"/>
  <c r="N1033" i="3"/>
  <c r="N1057" i="3"/>
  <c r="N1083" i="3"/>
  <c r="O1101" i="3"/>
  <c r="O1123" i="3"/>
  <c r="O1141" i="3"/>
  <c r="N1166" i="3"/>
  <c r="N1186" i="3"/>
  <c r="N1207" i="3"/>
  <c r="O1228" i="3"/>
  <c r="N1246" i="3"/>
  <c r="N1267" i="3"/>
  <c r="O1280" i="3"/>
  <c r="N1298" i="3"/>
  <c r="O1312" i="3"/>
  <c r="O1329" i="3"/>
  <c r="O1346" i="3"/>
  <c r="N1362" i="3"/>
  <c r="N1377" i="3"/>
  <c r="N1390" i="3"/>
  <c r="N1405" i="3"/>
  <c r="N1416" i="3"/>
  <c r="N1430" i="3"/>
  <c r="O1441" i="3"/>
  <c r="O1455" i="3"/>
  <c r="O1468" i="3"/>
  <c r="N1479" i="3"/>
  <c r="N1490" i="3"/>
  <c r="O1501" i="3"/>
  <c r="N1511" i="3"/>
  <c r="O1521" i="3"/>
  <c r="N1531" i="3"/>
  <c r="N1540" i="3"/>
  <c r="O1550" i="3"/>
  <c r="N1560" i="3"/>
  <c r="O1570" i="3"/>
  <c r="N1580" i="3"/>
  <c r="N1589" i="3"/>
  <c r="O1599" i="3"/>
  <c r="N1609" i="3"/>
  <c r="O1619" i="3"/>
  <c r="N1629" i="3"/>
  <c r="N1638" i="3"/>
  <c r="O1648" i="3"/>
  <c r="N1658" i="3"/>
  <c r="O1668" i="3"/>
  <c r="N1678" i="3"/>
  <c r="N1610" i="3"/>
  <c r="N1659" i="3"/>
  <c r="N55" i="3"/>
  <c r="N219" i="3"/>
  <c r="N392" i="3"/>
  <c r="O493" i="3"/>
  <c r="N727" i="3"/>
  <c r="O840" i="3"/>
  <c r="O910" i="3"/>
  <c r="N990" i="3"/>
  <c r="O1085" i="3"/>
  <c r="O1150" i="3"/>
  <c r="N1232" i="3"/>
  <c r="N1286" i="3"/>
  <c r="O1332" i="3"/>
  <c r="O1379" i="3"/>
  <c r="O1420" i="3"/>
  <c r="N1457" i="3"/>
  <c r="O1481" i="3"/>
  <c r="O1503" i="3"/>
  <c r="O1523" i="3"/>
  <c r="O1552" i="3"/>
  <c r="O1572" i="3"/>
  <c r="O1601" i="3"/>
  <c r="O1621" i="3"/>
  <c r="O1650" i="3"/>
  <c r="N48" i="3"/>
  <c r="N107" i="3"/>
  <c r="N160" i="3"/>
  <c r="O217" i="3"/>
  <c r="N275" i="3"/>
  <c r="N332" i="3"/>
  <c r="O386" i="3"/>
  <c r="N438" i="3"/>
  <c r="N492" i="3"/>
  <c r="O542" i="3"/>
  <c r="O595" i="3"/>
  <c r="N640" i="3"/>
  <c r="O682" i="3"/>
  <c r="O724" i="3"/>
  <c r="O763" i="3"/>
  <c r="N802" i="3"/>
  <c r="O839" i="3"/>
  <c r="O872" i="3"/>
  <c r="N909" i="3"/>
  <c r="O939" i="3"/>
  <c r="O965" i="3"/>
  <c r="N989" i="3"/>
  <c r="N1013" i="3"/>
  <c r="N1034" i="3"/>
  <c r="O1057" i="3"/>
  <c r="N1084" i="3"/>
  <c r="N1102" i="3"/>
  <c r="N1124" i="3"/>
  <c r="N1147" i="3"/>
  <c r="O1166" i="3"/>
  <c r="N1189" i="3"/>
  <c r="O1207" i="3"/>
  <c r="O1229" i="3"/>
  <c r="O1246" i="3"/>
  <c r="O1267" i="3"/>
  <c r="O1281" i="3"/>
  <c r="O1298" i="3"/>
  <c r="N1315" i="3"/>
  <c r="N1330" i="3"/>
  <c r="O1347" i="3"/>
  <c r="O1362" i="3"/>
  <c r="O1378" i="3"/>
  <c r="O1390" i="3"/>
  <c r="O1405" i="3"/>
  <c r="O1417" i="3"/>
  <c r="O1431" i="3"/>
  <c r="O1443" i="3"/>
  <c r="N1456" i="3"/>
  <c r="N1469" i="3"/>
  <c r="O1480" i="3"/>
  <c r="O1490" i="3"/>
  <c r="O1502" i="3"/>
  <c r="O1511" i="3"/>
  <c r="N1522" i="3"/>
  <c r="O1531" i="3"/>
  <c r="O1540" i="3"/>
  <c r="O1551" i="3"/>
  <c r="O1560" i="3"/>
  <c r="N1571" i="3"/>
  <c r="O1580" i="3"/>
  <c r="O1589" i="3"/>
  <c r="O1600" i="3"/>
  <c r="O1609" i="3"/>
  <c r="N1620" i="3"/>
  <c r="O1629" i="3"/>
  <c r="O1638" i="3"/>
  <c r="O1649" i="3"/>
  <c r="O1658" i="3"/>
  <c r="N1669" i="3"/>
  <c r="O1678" i="3"/>
  <c r="O1620" i="3"/>
  <c r="N1650" i="3"/>
  <c r="N1679" i="3"/>
  <c r="N109" i="3"/>
  <c r="N278" i="3"/>
  <c r="O547" i="3"/>
  <c r="N642" i="3"/>
  <c r="O764" i="3"/>
  <c r="N877" i="3"/>
  <c r="O940" i="3"/>
  <c r="O1016" i="3"/>
  <c r="N1061" i="3"/>
  <c r="N1128" i="3"/>
  <c r="N1191" i="3"/>
  <c r="N1252" i="3"/>
  <c r="O1299" i="3"/>
  <c r="N1350" i="3"/>
  <c r="N1393" i="3"/>
  <c r="O1432" i="3"/>
  <c r="O1470" i="3"/>
  <c r="N1493" i="3"/>
  <c r="O1512" i="3"/>
  <c r="N1543" i="3"/>
  <c r="O1561" i="3"/>
  <c r="N1592" i="3"/>
  <c r="O1630" i="3"/>
  <c r="O1659" i="3"/>
  <c r="N49" i="3"/>
  <c r="O107" i="3"/>
  <c r="N161" i="3"/>
  <c r="O218" i="3"/>
  <c r="O275" i="3"/>
  <c r="N333" i="3"/>
  <c r="O391" i="3"/>
  <c r="N441" i="3"/>
  <c r="O492" i="3"/>
  <c r="O546" i="3"/>
  <c r="O597" i="3"/>
  <c r="N641" i="3"/>
  <c r="N683" i="3"/>
  <c r="O725" i="3"/>
  <c r="N764" i="3"/>
  <c r="N803" i="3"/>
  <c r="N840" i="3"/>
  <c r="N873" i="3"/>
  <c r="N910" i="3"/>
  <c r="N940" i="3"/>
  <c r="N966" i="3"/>
  <c r="O989" i="3"/>
  <c r="N1016" i="3"/>
  <c r="N1035" i="3"/>
  <c r="O1060" i="3"/>
  <c r="O1084" i="3"/>
  <c r="O1105" i="3"/>
  <c r="O1124" i="3"/>
  <c r="N1148" i="3"/>
  <c r="N1167" i="3"/>
  <c r="N1190" i="3"/>
  <c r="N1208" i="3"/>
  <c r="N1230" i="3"/>
  <c r="N1247" i="3"/>
  <c r="N1268" i="3"/>
  <c r="N1284" i="3"/>
  <c r="N1299" i="3"/>
  <c r="N1317" i="3"/>
  <c r="N1332" i="3"/>
  <c r="N1349" i="3"/>
  <c r="N1363" i="3"/>
  <c r="N1379" i="3"/>
  <c r="N1391" i="3"/>
  <c r="N1406" i="3"/>
  <c r="O1419" i="3"/>
  <c r="N1432" i="3"/>
  <c r="O1445" i="3"/>
  <c r="O1456" i="3"/>
  <c r="O1469" i="3"/>
  <c r="N1481" i="3"/>
  <c r="O1492" i="3"/>
  <c r="N1503" i="3"/>
  <c r="N1512" i="3"/>
  <c r="O1522" i="3"/>
  <c r="N1532" i="3"/>
  <c r="O1542" i="3"/>
  <c r="N1552" i="3"/>
  <c r="N1561" i="3"/>
  <c r="O1571" i="3"/>
  <c r="N1581" i="3"/>
  <c r="O1591" i="3"/>
  <c r="N1601" i="3"/>
  <c r="N1630" i="3"/>
  <c r="O1640" i="3"/>
  <c r="O1669" i="3"/>
  <c r="N166" i="3"/>
  <c r="O333" i="3"/>
  <c r="O444" i="3"/>
  <c r="O598" i="3"/>
  <c r="N687" i="3"/>
  <c r="O805" i="3"/>
  <c r="N967" i="3"/>
  <c r="N1041" i="3"/>
  <c r="O1108" i="3"/>
  <c r="N1169" i="3"/>
  <c r="O1208" i="3"/>
  <c r="O1268" i="3"/>
  <c r="N1318" i="3"/>
  <c r="N1364" i="3"/>
  <c r="O1406" i="3"/>
  <c r="O1446" i="3"/>
  <c r="O1532" i="3"/>
  <c r="O1581" i="3"/>
  <c r="O1610" i="3"/>
  <c r="N1641" i="3"/>
  <c r="O66" i="3"/>
  <c r="O119" i="3"/>
  <c r="N178" i="3"/>
  <c r="O234" i="3"/>
  <c r="O291" i="3"/>
  <c r="O346" i="3"/>
  <c r="O400" i="3"/>
  <c r="O454" i="3"/>
  <c r="N506" i="3"/>
  <c r="N558" i="3"/>
  <c r="N609" i="3"/>
  <c r="O650" i="3"/>
  <c r="O694" i="3"/>
  <c r="N737" i="3"/>
  <c r="N773" i="3"/>
  <c r="N814" i="3"/>
  <c r="O847" i="3"/>
  <c r="O882" i="3"/>
  <c r="O918" i="3"/>
  <c r="N947" i="3"/>
  <c r="O967" i="3"/>
  <c r="O993" i="3"/>
  <c r="O1017" i="3"/>
  <c r="O1042" i="3"/>
  <c r="O1061" i="3"/>
  <c r="N1086" i="3"/>
  <c r="O1627" i="3"/>
  <c r="N1666" i="3"/>
  <c r="O1641" i="3"/>
  <c r="O1613" i="3"/>
  <c r="O1585" i="3"/>
  <c r="O1557" i="3"/>
  <c r="O1529" i="3"/>
  <c r="N1504" i="3"/>
  <c r="O1454" i="3"/>
  <c r="O1414" i="3"/>
  <c r="N1372" i="3"/>
  <c r="O1322" i="3"/>
  <c r="O1301" i="3"/>
  <c r="N1244" i="3"/>
  <c r="O1180" i="3"/>
  <c r="O1114" i="3"/>
  <c r="O1086" i="3"/>
  <c r="O1003" i="3"/>
  <c r="O959" i="3"/>
  <c r="N921" i="3"/>
  <c r="O855" i="3"/>
  <c r="N782" i="3"/>
  <c r="O717" i="3"/>
  <c r="N658" i="3"/>
  <c r="N566" i="3"/>
  <c r="N468" i="3"/>
  <c r="O374" i="3"/>
  <c r="O294" i="3"/>
  <c r="N189" i="3"/>
  <c r="N75" i="3"/>
  <c r="N1673" i="3"/>
  <c r="O1617" i="3"/>
  <c r="N1550" i="3"/>
  <c r="O1509" i="3"/>
  <c r="O1447" i="3"/>
  <c r="N1407" i="3"/>
  <c r="N1310" i="3"/>
  <c r="O1199" i="3"/>
  <c r="O1099" i="3"/>
  <c r="N979" i="3"/>
  <c r="O416" i="3"/>
  <c r="O1661" i="3"/>
  <c r="O1605" i="3"/>
  <c r="O1549" i="3"/>
  <c r="O1495" i="3"/>
  <c r="N1447" i="3"/>
  <c r="N1359" i="3"/>
  <c r="N1288" i="3"/>
  <c r="O1162" i="3"/>
  <c r="N1099" i="3"/>
  <c r="N978" i="3"/>
  <c r="N820" i="3"/>
  <c r="N416" i="3"/>
  <c r="O239" i="3"/>
  <c r="N1672" i="3"/>
  <c r="O1631" i="3"/>
  <c r="O1588" i="3"/>
  <c r="N1536" i="3"/>
  <c r="N1495" i="3"/>
  <c r="N1423" i="3"/>
  <c r="N1336" i="3"/>
  <c r="N1223" i="3"/>
  <c r="O1095" i="3"/>
  <c r="N817" i="3"/>
  <c r="O587" i="3"/>
  <c r="O309" i="3"/>
  <c r="O1683" i="3"/>
  <c r="N1644" i="3"/>
  <c r="N1588" i="3"/>
  <c r="O1535" i="3"/>
  <c r="O1493" i="3"/>
  <c r="O1422" i="3"/>
  <c r="N1333" i="3"/>
  <c r="N1221" i="3"/>
  <c r="N1095" i="3"/>
  <c r="N977" i="3"/>
  <c r="O741" i="3"/>
  <c r="N98" i="3"/>
  <c r="N1671" i="3"/>
  <c r="O1628" i="3"/>
  <c r="O1559" i="3"/>
  <c r="O1489" i="3"/>
  <c r="N1422" i="3"/>
  <c r="N1354" i="3"/>
  <c r="N1256" i="3"/>
  <c r="O1128" i="3"/>
  <c r="N661" i="3"/>
  <c r="O1655" i="3"/>
  <c r="N1680" i="3"/>
  <c r="O1654" i="3"/>
  <c r="O1626" i="3"/>
  <c r="O1598" i="3"/>
  <c r="N1573" i="3"/>
  <c r="N1545" i="3"/>
  <c r="N1517" i="3"/>
  <c r="N1488" i="3"/>
  <c r="N1472" i="3"/>
  <c r="O1436" i="3"/>
  <c r="N1397" i="3"/>
  <c r="O1351" i="3"/>
  <c r="O1275" i="3"/>
  <c r="O1218" i="3"/>
  <c r="N1152" i="3"/>
  <c r="O1045" i="3"/>
  <c r="O1679" i="3"/>
  <c r="O1665" i="3"/>
  <c r="O1652" i="3"/>
  <c r="O1637" i="3"/>
  <c r="O1624" i="3"/>
  <c r="N1613" i="3"/>
  <c r="O1596" i="3"/>
  <c r="N1585" i="3"/>
  <c r="O1568" i="3"/>
  <c r="N1557" i="3"/>
  <c r="O1544" i="3"/>
  <c r="N1529" i="3"/>
  <c r="O1516" i="3"/>
  <c r="O1500" i="3"/>
  <c r="O1487" i="3"/>
  <c r="O1471" i="3"/>
  <c r="O1453" i="3"/>
  <c r="O1435" i="3"/>
  <c r="N1414" i="3"/>
  <c r="O1396" i="3"/>
  <c r="O1371" i="3"/>
  <c r="N1351" i="3"/>
  <c r="N1322" i="3"/>
  <c r="O1296" i="3"/>
  <c r="O1274" i="3"/>
  <c r="O1243" i="3"/>
  <c r="N1217" i="3"/>
  <c r="N1179" i="3"/>
  <c r="O1151" i="3"/>
  <c r="N1114" i="3"/>
  <c r="N1075" i="3"/>
  <c r="N1045" i="3"/>
  <c r="N1003" i="3"/>
  <c r="N955" i="3"/>
  <c r="O905" i="3"/>
  <c r="O853" i="3"/>
  <c r="O780" i="3"/>
  <c r="N708" i="3"/>
  <c r="N634" i="3"/>
  <c r="N565" i="3"/>
  <c r="O465" i="3"/>
  <c r="O360" i="3"/>
  <c r="N269" i="3"/>
  <c r="N188" i="3"/>
  <c r="O74" i="3"/>
  <c r="N1582" i="3"/>
  <c r="N1567" i="3"/>
  <c r="N1554" i="3"/>
  <c r="N1526" i="3"/>
  <c r="O1514" i="3"/>
  <c r="O1484" i="3"/>
  <c r="N1449" i="3"/>
  <c r="O1387" i="3"/>
  <c r="O1341" i="3"/>
  <c r="O1319" i="3"/>
  <c r="O1290" i="3"/>
  <c r="O1238" i="3"/>
  <c r="N1205" i="3"/>
  <c r="N1140" i="3"/>
  <c r="N893" i="3"/>
  <c r="N1595" i="3"/>
  <c r="N1539" i="3"/>
  <c r="O1497" i="3"/>
  <c r="N1465" i="3"/>
  <c r="O1428" i="3"/>
  <c r="O1411" i="3"/>
  <c r="O1369" i="3"/>
  <c r="N1269" i="3"/>
  <c r="N1177" i="3"/>
  <c r="N1111" i="3"/>
  <c r="O1072" i="3"/>
  <c r="O1028" i="3"/>
  <c r="N994" i="3"/>
  <c r="N951" i="3"/>
  <c r="N831" i="3"/>
  <c r="O778" i="3"/>
  <c r="O703" i="3"/>
  <c r="N618" i="3"/>
  <c r="O529" i="3"/>
  <c r="N457" i="3"/>
  <c r="N357" i="3"/>
  <c r="O1675" i="3"/>
  <c r="O1663" i="3"/>
  <c r="N1648" i="3"/>
  <c r="O1635" i="3"/>
  <c r="O1622" i="3"/>
  <c r="O1607" i="3"/>
  <c r="O1594" i="3"/>
  <c r="O1579" i="3"/>
  <c r="O1566" i="3"/>
  <c r="O1553" i="3"/>
  <c r="O1538" i="3"/>
  <c r="O1525" i="3"/>
  <c r="O1510" i="3"/>
  <c r="N1497" i="3"/>
  <c r="O1482" i="3"/>
  <c r="O1464" i="3"/>
  <c r="O1448" i="3"/>
  <c r="O1427" i="3"/>
  <c r="N1408" i="3"/>
  <c r="N1387" i="3"/>
  <c r="N1367" i="3"/>
  <c r="N1340" i="3"/>
  <c r="N1319" i="3"/>
  <c r="N1290" i="3"/>
  <c r="O1263" i="3"/>
  <c r="N1236" i="3"/>
  <c r="O1204" i="3"/>
  <c r="N1176" i="3"/>
  <c r="O1138" i="3"/>
  <c r="O1110" i="3"/>
  <c r="O1071" i="3"/>
  <c r="N1028" i="3"/>
  <c r="O980" i="3"/>
  <c r="N950" i="3"/>
  <c r="O890" i="3"/>
  <c r="N760" i="3"/>
  <c r="N701" i="3"/>
  <c r="N617" i="3"/>
  <c r="O522" i="3"/>
  <c r="N434" i="3"/>
  <c r="N356" i="3"/>
  <c r="O248" i="3"/>
  <c r="O137" i="3"/>
  <c r="O24" i="3"/>
  <c r="O1673" i="3"/>
  <c r="O1662" i="3"/>
  <c r="O1647" i="3"/>
  <c r="O1634" i="3"/>
  <c r="N1622" i="3"/>
  <c r="O1606" i="3"/>
  <c r="N1594" i="3"/>
  <c r="O1578" i="3"/>
  <c r="N1566" i="3"/>
  <c r="N1553" i="3"/>
  <c r="N1538" i="3"/>
  <c r="N1525" i="3"/>
  <c r="N1510" i="3"/>
  <c r="O1496" i="3"/>
  <c r="N1482" i="3"/>
  <c r="N1464" i="3"/>
  <c r="N1448" i="3"/>
  <c r="O1425" i="3"/>
  <c r="O1407" i="3"/>
  <c r="N1386" i="3"/>
  <c r="N1366" i="3"/>
  <c r="O1339" i="3"/>
  <c r="O1310" i="3"/>
  <c r="O1289" i="3"/>
  <c r="O1259" i="3"/>
  <c r="O1234" i="3"/>
  <c r="O1200" i="3"/>
  <c r="O1171" i="3"/>
  <c r="N1138" i="3"/>
  <c r="O1109" i="3"/>
  <c r="N1071" i="3"/>
  <c r="O1026" i="3"/>
  <c r="N980" i="3"/>
  <c r="O949" i="3"/>
  <c r="N890" i="3"/>
  <c r="N821" i="3"/>
  <c r="N754" i="3"/>
  <c r="N699" i="3"/>
  <c r="O615" i="3"/>
  <c r="N518" i="3"/>
  <c r="O427" i="3"/>
  <c r="O353" i="3"/>
  <c r="N242" i="3"/>
  <c r="N136" i="3"/>
  <c r="N19" i="3"/>
  <c r="J50" i="2"/>
  <c r="I32" i="2"/>
  <c r="I46" i="2"/>
  <c r="AA24" i="2"/>
  <c r="Y24" i="2"/>
  <c r="AA23" i="2"/>
  <c r="S17" i="2"/>
  <c r="U17" i="2" l="1"/>
  <c r="Y17" i="2" l="1"/>
  <c r="Y20" i="2" s="1"/>
  <c r="X16" i="2"/>
  <c r="X27" i="2" s="1"/>
  <c r="G311" i="4"/>
  <c r="D211" i="4"/>
  <c r="N28" i="2"/>
  <c r="X19" i="2" l="1"/>
  <c r="I83" i="2"/>
  <c r="H84" i="2"/>
  <c r="H83" i="2"/>
  <c r="P77" i="2"/>
  <c r="N77" i="2"/>
  <c r="M77" i="2"/>
  <c r="L77" i="2"/>
  <c r="K77" i="2"/>
  <c r="I77" i="2"/>
  <c r="I85" i="2" s="1"/>
  <c r="H77" i="2"/>
  <c r="G77" i="2"/>
  <c r="P72" i="2"/>
  <c r="O72" i="2"/>
  <c r="N72" i="2"/>
  <c r="M72" i="2"/>
  <c r="L72" i="2"/>
  <c r="K72" i="2"/>
  <c r="I72" i="2"/>
  <c r="H72" i="2"/>
  <c r="G72" i="2"/>
  <c r="F10" i="2"/>
  <c r="F9" i="2"/>
  <c r="P62" i="2"/>
  <c r="O62" i="2"/>
  <c r="N62" i="2"/>
  <c r="M62" i="2"/>
  <c r="L62" i="2"/>
  <c r="K62" i="2"/>
  <c r="J62" i="2"/>
  <c r="I62" i="2"/>
  <c r="H62" i="2"/>
  <c r="G62" i="2"/>
  <c r="P58" i="2"/>
  <c r="O58" i="2"/>
  <c r="N58" i="2"/>
  <c r="M58" i="2"/>
  <c r="L58" i="2"/>
  <c r="K58" i="2"/>
  <c r="J58" i="2"/>
  <c r="I58" i="2"/>
  <c r="H58" i="2"/>
  <c r="G58" i="2"/>
  <c r="P54" i="2"/>
  <c r="O54" i="2"/>
  <c r="N54" i="2"/>
  <c r="M54" i="2"/>
  <c r="L54" i="2"/>
  <c r="K54" i="2"/>
  <c r="J54" i="2"/>
  <c r="I54" i="2"/>
  <c r="H54" i="2"/>
  <c r="G54" i="2"/>
  <c r="P50" i="2"/>
  <c r="O50" i="2"/>
  <c r="N50" i="2"/>
  <c r="M50" i="2"/>
  <c r="L50" i="2"/>
  <c r="K50" i="2"/>
  <c r="I50" i="2"/>
  <c r="H50" i="2"/>
  <c r="G50" i="2"/>
  <c r="P42" i="2"/>
  <c r="O42" i="2"/>
  <c r="N42" i="2"/>
  <c r="M42" i="2"/>
  <c r="L42" i="2"/>
  <c r="K42" i="2"/>
  <c r="J42" i="2"/>
  <c r="I42" i="2"/>
  <c r="H42" i="2"/>
  <c r="P38" i="2"/>
  <c r="O38" i="2"/>
  <c r="N38" i="2"/>
  <c r="M38" i="2"/>
  <c r="L38" i="2"/>
  <c r="K38" i="2"/>
  <c r="I38" i="2"/>
  <c r="H38" i="2"/>
  <c r="G38" i="2"/>
  <c r="P46" i="2"/>
  <c r="O46" i="2"/>
  <c r="N46" i="2"/>
  <c r="M46" i="2"/>
  <c r="L46" i="2"/>
  <c r="K46" i="2"/>
  <c r="J46" i="2"/>
  <c r="H46" i="2"/>
  <c r="G46" i="2"/>
  <c r="J36" i="2"/>
  <c r="J38" i="2" s="1"/>
  <c r="G40" i="2"/>
  <c r="G42" i="2" s="1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M4" i="3"/>
  <c r="A5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P449" i="3" s="1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L681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L758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E1" i="2"/>
  <c r="F7" i="2"/>
  <c r="F11" i="2"/>
  <c r="F12" i="2"/>
  <c r="F13" i="2"/>
  <c r="F14" i="2"/>
  <c r="F15" i="2"/>
  <c r="F16" i="2"/>
  <c r="F19" i="2"/>
  <c r="F20" i="2"/>
  <c r="H86" i="2" l="1"/>
  <c r="I86" i="2"/>
  <c r="P211" i="3"/>
  <c r="Q211" i="3" s="1"/>
  <c r="P433" i="3"/>
  <c r="Q433" i="3" s="1"/>
  <c r="P543" i="3"/>
  <c r="Q543" i="3" s="1"/>
  <c r="P753" i="3"/>
  <c r="Q753" i="3" s="1"/>
  <c r="P454" i="3"/>
  <c r="Q454" i="3" s="1"/>
  <c r="P1428" i="3"/>
  <c r="Q1428" i="3" s="1"/>
  <c r="P1040" i="3"/>
  <c r="Q1040" i="3" s="1"/>
  <c r="P535" i="3"/>
  <c r="Q535" i="3" s="1"/>
  <c r="P532" i="3"/>
  <c r="Q532" i="3" s="1"/>
  <c r="P662" i="3"/>
  <c r="Q662" i="3" s="1"/>
  <c r="P862" i="3"/>
  <c r="Q862" i="3" s="1"/>
  <c r="P580" i="3"/>
  <c r="Q580" i="3" s="1"/>
  <c r="P602" i="3"/>
  <c r="Q602" i="3" s="1"/>
  <c r="P971" i="3"/>
  <c r="Q971" i="3" s="1"/>
  <c r="P792" i="3"/>
  <c r="Q792" i="3" s="1"/>
  <c r="P1186" i="3"/>
  <c r="Q1186" i="3" s="1"/>
  <c r="P11" i="3"/>
  <c r="Q11" i="3" s="1"/>
  <c r="P14" i="3"/>
  <c r="Q14" i="3" s="1"/>
  <c r="P16" i="3"/>
  <c r="Q16" i="3" s="1"/>
  <c r="P24" i="3"/>
  <c r="Q24" i="3" s="1"/>
  <c r="P30" i="3"/>
  <c r="Q30" i="3" s="1"/>
  <c r="P33" i="3"/>
  <c r="Q33" i="3" s="1"/>
  <c r="P48" i="3"/>
  <c r="Q48" i="3" s="1"/>
  <c r="P53" i="3"/>
  <c r="Q53" i="3" s="1"/>
  <c r="P738" i="3"/>
  <c r="Q738" i="3" s="1"/>
  <c r="P767" i="3"/>
  <c r="Q767" i="3" s="1"/>
  <c r="P565" i="3"/>
  <c r="Q565" i="3" s="1"/>
  <c r="P619" i="3"/>
  <c r="Q619" i="3" s="1"/>
  <c r="P620" i="3"/>
  <c r="Q620" i="3" s="1"/>
  <c r="P818" i="3"/>
  <c r="Q818" i="3" s="1"/>
  <c r="P1044" i="3"/>
  <c r="Q1044" i="3" s="1"/>
  <c r="P504" i="3"/>
  <c r="Q504" i="3" s="1"/>
  <c r="P945" i="3"/>
  <c r="Q945" i="3" s="1"/>
  <c r="P51" i="3"/>
  <c r="Q51" i="3" s="1"/>
  <c r="P57" i="3"/>
  <c r="Q57" i="3" s="1"/>
  <c r="P61" i="3"/>
  <c r="Q61" i="3" s="1"/>
  <c r="P65" i="3"/>
  <c r="Q65" i="3" s="1"/>
  <c r="P68" i="3"/>
  <c r="Q68" i="3" s="1"/>
  <c r="P73" i="3"/>
  <c r="Q73" i="3" s="1"/>
  <c r="P78" i="3"/>
  <c r="Q78" i="3" s="1"/>
  <c r="P84" i="3"/>
  <c r="Q84" i="3" s="1"/>
  <c r="P90" i="3"/>
  <c r="Q90" i="3" s="1"/>
  <c r="P92" i="3"/>
  <c r="Q92" i="3" s="1"/>
  <c r="P97" i="3"/>
  <c r="Q97" i="3" s="1"/>
  <c r="P104" i="3"/>
  <c r="Q104" i="3" s="1"/>
  <c r="P822" i="3"/>
  <c r="Q822" i="3" s="1"/>
  <c r="P29" i="3"/>
  <c r="Q29" i="3" s="1"/>
  <c r="P101" i="3"/>
  <c r="Q101" i="3" s="1"/>
  <c r="P8" i="3"/>
  <c r="Q8" i="3" s="1"/>
  <c r="P17" i="3"/>
  <c r="Q17" i="3" s="1"/>
  <c r="P25" i="3"/>
  <c r="Q25" i="3" s="1"/>
  <c r="P66" i="3"/>
  <c r="Q66" i="3" s="1"/>
  <c r="P556" i="3"/>
  <c r="Q556" i="3" s="1"/>
  <c r="P665" i="3"/>
  <c r="Q665" i="3" s="1"/>
  <c r="P69" i="3"/>
  <c r="Q69" i="3" s="1"/>
  <c r="P94" i="3"/>
  <c r="Q94" i="3" s="1"/>
  <c r="P99" i="3"/>
  <c r="Q99" i="3" s="1"/>
  <c r="P103" i="3"/>
  <c r="Q103" i="3" s="1"/>
  <c r="P109" i="3"/>
  <c r="Q109" i="3" s="1"/>
  <c r="P110" i="3"/>
  <c r="Q110" i="3" s="1"/>
  <c r="P111" i="3"/>
  <c r="Q111" i="3" s="1"/>
  <c r="P115" i="3"/>
  <c r="Q115" i="3" s="1"/>
  <c r="P118" i="3"/>
  <c r="Q118" i="3" s="1"/>
  <c r="P119" i="3"/>
  <c r="Q119" i="3" s="1"/>
  <c r="P942" i="3"/>
  <c r="Q942" i="3" s="1"/>
  <c r="P58" i="3"/>
  <c r="Q58" i="3" s="1"/>
  <c r="P76" i="3"/>
  <c r="Q76" i="3" s="1"/>
  <c r="P472" i="3"/>
  <c r="Q472" i="3" s="1"/>
  <c r="P852" i="3"/>
  <c r="Q852" i="3" s="1"/>
  <c r="P868" i="3"/>
  <c r="Q868" i="3" s="1"/>
  <c r="P89" i="3"/>
  <c r="Q89" i="3" s="1"/>
  <c r="P122" i="3"/>
  <c r="Q122" i="3" s="1"/>
  <c r="P123" i="3"/>
  <c r="Q123" i="3" s="1"/>
  <c r="P124" i="3"/>
  <c r="Q124" i="3" s="1"/>
  <c r="P125" i="3"/>
  <c r="Q125" i="3" s="1"/>
  <c r="P126" i="3"/>
  <c r="Q126" i="3" s="1"/>
  <c r="P127" i="3"/>
  <c r="Q127" i="3" s="1"/>
  <c r="P128" i="3"/>
  <c r="Q128" i="3" s="1"/>
  <c r="P129" i="3"/>
  <c r="Q129" i="3" s="1"/>
  <c r="P130" i="3"/>
  <c r="Q130" i="3" s="1"/>
  <c r="P131" i="3"/>
  <c r="Q131" i="3" s="1"/>
  <c r="P132" i="3"/>
  <c r="Q132" i="3" s="1"/>
  <c r="P133" i="3"/>
  <c r="Q133" i="3" s="1"/>
  <c r="P134" i="3"/>
  <c r="Q134" i="3" s="1"/>
  <c r="P135" i="3"/>
  <c r="Q135" i="3" s="1"/>
  <c r="P136" i="3"/>
  <c r="Q136" i="3" s="1"/>
  <c r="P137" i="3"/>
  <c r="Q137" i="3" s="1"/>
  <c r="P138" i="3"/>
  <c r="Q138" i="3" s="1"/>
  <c r="P139" i="3"/>
  <c r="Q139" i="3" s="1"/>
  <c r="P140" i="3"/>
  <c r="Q140" i="3" s="1"/>
  <c r="P141" i="3"/>
  <c r="Q141" i="3" s="1"/>
  <c r="P142" i="3"/>
  <c r="Q142" i="3" s="1"/>
  <c r="P143" i="3"/>
  <c r="Q143" i="3" s="1"/>
  <c r="P144" i="3"/>
  <c r="Q144" i="3" s="1"/>
  <c r="P145" i="3"/>
  <c r="Q145" i="3" s="1"/>
  <c r="P146" i="3"/>
  <c r="Q146" i="3" s="1"/>
  <c r="P147" i="3"/>
  <c r="Q147" i="3" s="1"/>
  <c r="P148" i="3"/>
  <c r="Q148" i="3" s="1"/>
  <c r="P149" i="3"/>
  <c r="Q149" i="3" s="1"/>
  <c r="P150" i="3"/>
  <c r="Q150" i="3" s="1"/>
  <c r="P151" i="3"/>
  <c r="Q151" i="3" s="1"/>
  <c r="P152" i="3"/>
  <c r="Q152" i="3" s="1"/>
  <c r="P153" i="3"/>
  <c r="Q153" i="3" s="1"/>
  <c r="P155" i="3"/>
  <c r="Q155" i="3" s="1"/>
  <c r="P156" i="3"/>
  <c r="Q156" i="3" s="1"/>
  <c r="P157" i="3"/>
  <c r="Q157" i="3" s="1"/>
  <c r="P159" i="3"/>
  <c r="Q159" i="3" s="1"/>
  <c r="P160" i="3"/>
  <c r="Q160" i="3" s="1"/>
  <c r="P161" i="3"/>
  <c r="Q161" i="3" s="1"/>
  <c r="P162" i="3"/>
  <c r="Q162" i="3" s="1"/>
  <c r="P163" i="3"/>
  <c r="Q163" i="3" s="1"/>
  <c r="P164" i="3"/>
  <c r="Q164" i="3" s="1"/>
  <c r="P165" i="3"/>
  <c r="Q165" i="3" s="1"/>
  <c r="P166" i="3"/>
  <c r="Q166" i="3" s="1"/>
  <c r="P167" i="3"/>
  <c r="Q167" i="3" s="1"/>
  <c r="P168" i="3"/>
  <c r="Q168" i="3" s="1"/>
  <c r="P169" i="3"/>
  <c r="Q169" i="3" s="1"/>
  <c r="P170" i="3"/>
  <c r="Q170" i="3" s="1"/>
  <c r="P171" i="3"/>
  <c r="Q171" i="3" s="1"/>
  <c r="P172" i="3"/>
  <c r="Q172" i="3" s="1"/>
  <c r="P173" i="3"/>
  <c r="Q173" i="3" s="1"/>
  <c r="P174" i="3"/>
  <c r="Q174" i="3" s="1"/>
  <c r="P175" i="3"/>
  <c r="Q175" i="3" s="1"/>
  <c r="P176" i="3"/>
  <c r="Q176" i="3" s="1"/>
  <c r="P178" i="3"/>
  <c r="Q178" i="3" s="1"/>
  <c r="P179" i="3"/>
  <c r="Q179" i="3" s="1"/>
  <c r="P183" i="3"/>
  <c r="Q183" i="3" s="1"/>
  <c r="P185" i="3"/>
  <c r="Q185" i="3" s="1"/>
  <c r="P186" i="3"/>
  <c r="Q186" i="3" s="1"/>
  <c r="P187" i="3"/>
  <c r="Q187" i="3" s="1"/>
  <c r="P188" i="3"/>
  <c r="Q188" i="3" s="1"/>
  <c r="P189" i="3"/>
  <c r="Q189" i="3" s="1"/>
  <c r="P190" i="3"/>
  <c r="Q190" i="3" s="1"/>
  <c r="P191" i="3"/>
  <c r="Q191" i="3" s="1"/>
  <c r="P192" i="3"/>
  <c r="Q192" i="3" s="1"/>
  <c r="P193" i="3"/>
  <c r="Q193" i="3" s="1"/>
  <c r="P194" i="3"/>
  <c r="Q194" i="3" s="1"/>
  <c r="P195" i="3"/>
  <c r="Q195" i="3" s="1"/>
  <c r="P196" i="3"/>
  <c r="Q196" i="3" s="1"/>
  <c r="P197" i="3"/>
  <c r="Q197" i="3" s="1"/>
  <c r="P198" i="3"/>
  <c r="Q198" i="3" s="1"/>
  <c r="P199" i="3"/>
  <c r="Q199" i="3" s="1"/>
  <c r="P200" i="3"/>
  <c r="Q200" i="3" s="1"/>
  <c r="P201" i="3"/>
  <c r="Q201" i="3" s="1"/>
  <c r="P202" i="3"/>
  <c r="Q202" i="3" s="1"/>
  <c r="P203" i="3"/>
  <c r="Q203" i="3" s="1"/>
  <c r="P204" i="3"/>
  <c r="Q204" i="3" s="1"/>
  <c r="P206" i="3"/>
  <c r="Q206" i="3" s="1"/>
  <c r="P207" i="3"/>
  <c r="Q207" i="3" s="1"/>
  <c r="P208" i="3"/>
  <c r="Q208" i="3" s="1"/>
  <c r="P210" i="3"/>
  <c r="Q210" i="3" s="1"/>
  <c r="P212" i="3"/>
  <c r="Q212" i="3" s="1"/>
  <c r="P213" i="3"/>
  <c r="Q213" i="3" s="1"/>
  <c r="P214" i="3"/>
  <c r="Q214" i="3" s="1"/>
  <c r="P217" i="3"/>
  <c r="Q217" i="3" s="1"/>
  <c r="P219" i="3"/>
  <c r="Q219" i="3" s="1"/>
  <c r="P223" i="3"/>
  <c r="Q223" i="3" s="1"/>
  <c r="P225" i="3"/>
  <c r="Q225" i="3" s="1"/>
  <c r="P226" i="3"/>
  <c r="Q226" i="3" s="1"/>
  <c r="P227" i="3"/>
  <c r="Q227" i="3" s="1"/>
  <c r="P228" i="3"/>
  <c r="Q228" i="3" s="1"/>
  <c r="P229" i="3"/>
  <c r="Q229" i="3" s="1"/>
  <c r="P230" i="3"/>
  <c r="Q230" i="3" s="1"/>
  <c r="P231" i="3"/>
  <c r="Q231" i="3" s="1"/>
  <c r="P232" i="3"/>
  <c r="Q232" i="3" s="1"/>
  <c r="P235" i="3"/>
  <c r="Q235" i="3" s="1"/>
  <c r="P236" i="3"/>
  <c r="Q236" i="3" s="1"/>
  <c r="P237" i="3"/>
  <c r="Q237" i="3" s="1"/>
  <c r="P238" i="3"/>
  <c r="Q238" i="3" s="1"/>
  <c r="P239" i="3"/>
  <c r="Q239" i="3" s="1"/>
  <c r="P241" i="3"/>
  <c r="Q241" i="3" s="1"/>
  <c r="P242" i="3"/>
  <c r="Q242" i="3" s="1"/>
  <c r="P243" i="3"/>
  <c r="Q243" i="3" s="1"/>
  <c r="P245" i="3"/>
  <c r="Q245" i="3" s="1"/>
  <c r="P247" i="3"/>
  <c r="Q247" i="3" s="1"/>
  <c r="P248" i="3"/>
  <c r="Q248" i="3" s="1"/>
  <c r="P250" i="3"/>
  <c r="Q250" i="3" s="1"/>
  <c r="P251" i="3"/>
  <c r="Q251" i="3" s="1"/>
  <c r="P252" i="3"/>
  <c r="Q252" i="3" s="1"/>
  <c r="P253" i="3"/>
  <c r="Q253" i="3" s="1"/>
  <c r="P255" i="3"/>
  <c r="Q255" i="3" s="1"/>
  <c r="P256" i="3"/>
  <c r="Q256" i="3" s="1"/>
  <c r="P257" i="3"/>
  <c r="Q257" i="3" s="1"/>
  <c r="P259" i="3"/>
  <c r="Q259" i="3" s="1"/>
  <c r="P262" i="3"/>
  <c r="Q262" i="3" s="1"/>
  <c r="P263" i="3"/>
  <c r="Q263" i="3" s="1"/>
  <c r="P264" i="3"/>
  <c r="Q264" i="3" s="1"/>
  <c r="P265" i="3"/>
  <c r="Q265" i="3" s="1"/>
  <c r="P269" i="3"/>
  <c r="Q269" i="3" s="1"/>
  <c r="P270" i="3"/>
  <c r="Q270" i="3" s="1"/>
  <c r="P271" i="3"/>
  <c r="Q271" i="3" s="1"/>
  <c r="P273" i="3"/>
  <c r="Q273" i="3" s="1"/>
  <c r="P276" i="3"/>
  <c r="Q276" i="3" s="1"/>
  <c r="P278" i="3"/>
  <c r="Q278" i="3" s="1"/>
  <c r="P279" i="3"/>
  <c r="Q279" i="3" s="1"/>
  <c r="P281" i="3"/>
  <c r="Q281" i="3" s="1"/>
  <c r="P283" i="3"/>
  <c r="Q283" i="3" s="1"/>
  <c r="P285" i="3"/>
  <c r="Q285" i="3" s="1"/>
  <c r="P286" i="3"/>
  <c r="Q286" i="3" s="1"/>
  <c r="P287" i="3"/>
  <c r="Q287" i="3" s="1"/>
  <c r="P288" i="3"/>
  <c r="Q288" i="3" s="1"/>
  <c r="P289" i="3"/>
  <c r="Q289" i="3" s="1"/>
  <c r="P290" i="3"/>
  <c r="Q290" i="3" s="1"/>
  <c r="P291" i="3"/>
  <c r="Q291" i="3" s="1"/>
  <c r="P292" i="3"/>
  <c r="Q292" i="3" s="1"/>
  <c r="P96" i="3"/>
  <c r="Q96" i="3" s="1"/>
  <c r="P293" i="3"/>
  <c r="Q293" i="3" s="1"/>
  <c r="P294" i="3"/>
  <c r="Q294" i="3" s="1"/>
  <c r="P296" i="3"/>
  <c r="Q296" i="3" s="1"/>
  <c r="P297" i="3"/>
  <c r="Q297" i="3" s="1"/>
  <c r="P298" i="3"/>
  <c r="Q298" i="3" s="1"/>
  <c r="P299" i="3"/>
  <c r="Q299" i="3" s="1"/>
  <c r="P300" i="3"/>
  <c r="Q300" i="3" s="1"/>
  <c r="P303" i="3"/>
  <c r="Q303" i="3" s="1"/>
  <c r="P304" i="3"/>
  <c r="Q304" i="3" s="1"/>
  <c r="P307" i="3"/>
  <c r="Q307" i="3" s="1"/>
  <c r="P308" i="3"/>
  <c r="Q308" i="3" s="1"/>
  <c r="P309" i="3"/>
  <c r="Q309" i="3" s="1"/>
  <c r="P310" i="3"/>
  <c r="Q310" i="3" s="1"/>
  <c r="P311" i="3"/>
  <c r="Q311" i="3" s="1"/>
  <c r="P312" i="3"/>
  <c r="Q312" i="3" s="1"/>
  <c r="P314" i="3"/>
  <c r="Q314" i="3" s="1"/>
  <c r="P316" i="3"/>
  <c r="Q316" i="3" s="1"/>
  <c r="P317" i="3"/>
  <c r="Q317" i="3" s="1"/>
  <c r="P318" i="3"/>
  <c r="Q318" i="3" s="1"/>
  <c r="P319" i="3"/>
  <c r="Q319" i="3" s="1"/>
  <c r="P320" i="3"/>
  <c r="Q320" i="3" s="1"/>
  <c r="P321" i="3"/>
  <c r="Q321" i="3" s="1"/>
  <c r="P322" i="3"/>
  <c r="Q322" i="3" s="1"/>
  <c r="P323" i="3"/>
  <c r="Q323" i="3" s="1"/>
  <c r="P324" i="3"/>
  <c r="Q324" i="3" s="1"/>
  <c r="P325" i="3"/>
  <c r="Q325" i="3" s="1"/>
  <c r="P326" i="3"/>
  <c r="Q326" i="3" s="1"/>
  <c r="P330" i="3"/>
  <c r="Q330" i="3" s="1"/>
  <c r="P332" i="3"/>
  <c r="Q332" i="3" s="1"/>
  <c r="P335" i="3"/>
  <c r="Q335" i="3" s="1"/>
  <c r="P336" i="3"/>
  <c r="Q336" i="3" s="1"/>
  <c r="P337" i="3"/>
  <c r="Q337" i="3" s="1"/>
  <c r="P338" i="3"/>
  <c r="Q338" i="3" s="1"/>
  <c r="P339" i="3"/>
  <c r="Q339" i="3" s="1"/>
  <c r="P341" i="3"/>
  <c r="Q341" i="3" s="1"/>
  <c r="P342" i="3"/>
  <c r="Q342" i="3" s="1"/>
  <c r="P343" i="3"/>
  <c r="Q343" i="3" s="1"/>
  <c r="P344" i="3"/>
  <c r="Q344" i="3" s="1"/>
  <c r="P346" i="3"/>
  <c r="Q346" i="3" s="1"/>
  <c r="P347" i="3"/>
  <c r="Q347" i="3" s="1"/>
  <c r="P348" i="3"/>
  <c r="Q348" i="3" s="1"/>
  <c r="P349" i="3"/>
  <c r="Q349" i="3" s="1"/>
  <c r="P350" i="3"/>
  <c r="Q350" i="3" s="1"/>
  <c r="P352" i="3"/>
  <c r="Q352" i="3" s="1"/>
  <c r="P353" i="3"/>
  <c r="Q353" i="3" s="1"/>
  <c r="P354" i="3"/>
  <c r="Q354" i="3" s="1"/>
  <c r="P355" i="3"/>
  <c r="Q355" i="3" s="1"/>
  <c r="P357" i="3"/>
  <c r="Q357" i="3" s="1"/>
  <c r="P359" i="3"/>
  <c r="Q359" i="3" s="1"/>
  <c r="P360" i="3"/>
  <c r="Q360" i="3" s="1"/>
  <c r="P361" i="3"/>
  <c r="Q361" i="3" s="1"/>
  <c r="P362" i="3"/>
  <c r="Q362" i="3" s="1"/>
  <c r="P364" i="3"/>
  <c r="Q364" i="3" s="1"/>
  <c r="P365" i="3"/>
  <c r="Q365" i="3" s="1"/>
  <c r="P367" i="3"/>
  <c r="Q367" i="3" s="1"/>
  <c r="P368" i="3"/>
  <c r="Q368" i="3" s="1"/>
  <c r="P372" i="3"/>
  <c r="Q372" i="3" s="1"/>
  <c r="P373" i="3"/>
  <c r="Q373" i="3" s="1"/>
  <c r="P374" i="3"/>
  <c r="Q374" i="3" s="1"/>
  <c r="P375" i="3"/>
  <c r="Q375" i="3" s="1"/>
  <c r="P377" i="3"/>
  <c r="Q377" i="3" s="1"/>
  <c r="P378" i="3"/>
  <c r="Q378" i="3" s="1"/>
  <c r="P379" i="3"/>
  <c r="Q379" i="3" s="1"/>
  <c r="P380" i="3"/>
  <c r="Q380" i="3" s="1"/>
  <c r="P381" i="3"/>
  <c r="Q381" i="3" s="1"/>
  <c r="P382" i="3"/>
  <c r="Q382" i="3" s="1"/>
  <c r="P383" i="3"/>
  <c r="Q383" i="3" s="1"/>
  <c r="P388" i="3"/>
  <c r="Q388" i="3" s="1"/>
  <c r="P389" i="3"/>
  <c r="Q389" i="3" s="1"/>
  <c r="P390" i="3"/>
  <c r="Q390" i="3" s="1"/>
  <c r="P391" i="3"/>
  <c r="Q391" i="3" s="1"/>
  <c r="P392" i="3"/>
  <c r="Q392" i="3" s="1"/>
  <c r="P393" i="3"/>
  <c r="Q393" i="3" s="1"/>
  <c r="P394" i="3"/>
  <c r="Q394" i="3" s="1"/>
  <c r="P395" i="3"/>
  <c r="Q395" i="3" s="1"/>
  <c r="P396" i="3"/>
  <c r="Q396" i="3" s="1"/>
  <c r="P397" i="3"/>
  <c r="Q397" i="3" s="1"/>
  <c r="P398" i="3"/>
  <c r="Q398" i="3" s="1"/>
  <c r="P399" i="3"/>
  <c r="Q399" i="3" s="1"/>
  <c r="P400" i="3"/>
  <c r="Q400" i="3" s="1"/>
  <c r="P401" i="3"/>
  <c r="Q401" i="3" s="1"/>
  <c r="P402" i="3"/>
  <c r="Q402" i="3" s="1"/>
  <c r="P403" i="3"/>
  <c r="Q403" i="3" s="1"/>
  <c r="P404" i="3"/>
  <c r="Q404" i="3" s="1"/>
  <c r="P405" i="3"/>
  <c r="Q405" i="3" s="1"/>
  <c r="P407" i="3"/>
  <c r="Q407" i="3" s="1"/>
  <c r="P410" i="3"/>
  <c r="Q410" i="3" s="1"/>
  <c r="P413" i="3"/>
  <c r="Q413" i="3" s="1"/>
  <c r="P414" i="3"/>
  <c r="Q414" i="3" s="1"/>
  <c r="P415" i="3"/>
  <c r="Q415" i="3" s="1"/>
  <c r="P418" i="3"/>
  <c r="Q418" i="3" s="1"/>
  <c r="P420" i="3"/>
  <c r="Q420" i="3" s="1"/>
  <c r="P421" i="3"/>
  <c r="Q421" i="3" s="1"/>
  <c r="P422" i="3"/>
  <c r="Q422" i="3" s="1"/>
  <c r="P423" i="3"/>
  <c r="Q423" i="3" s="1"/>
  <c r="P424" i="3"/>
  <c r="Q424" i="3" s="1"/>
  <c r="P425" i="3"/>
  <c r="Q425" i="3" s="1"/>
  <c r="P426" i="3"/>
  <c r="Q426" i="3" s="1"/>
  <c r="P427" i="3"/>
  <c r="Q427" i="3" s="1"/>
  <c r="P428" i="3"/>
  <c r="Q428" i="3" s="1"/>
  <c r="P429" i="3"/>
  <c r="Q429" i="3" s="1"/>
  <c r="P432" i="3"/>
  <c r="Q432" i="3" s="1"/>
  <c r="P434" i="3"/>
  <c r="Q434" i="3" s="1"/>
  <c r="P437" i="3"/>
  <c r="Q437" i="3" s="1"/>
  <c r="P438" i="3"/>
  <c r="Q438" i="3" s="1"/>
  <c r="P442" i="3"/>
  <c r="Q442" i="3" s="1"/>
  <c r="P443" i="3"/>
  <c r="Q443" i="3" s="1"/>
  <c r="P444" i="3"/>
  <c r="Q444" i="3" s="1"/>
  <c r="P445" i="3"/>
  <c r="Q445" i="3" s="1"/>
  <c r="P450" i="3"/>
  <c r="Q450" i="3" s="1"/>
  <c r="P452" i="3"/>
  <c r="Q452" i="3" s="1"/>
  <c r="P455" i="3"/>
  <c r="Q455" i="3" s="1"/>
  <c r="P457" i="3"/>
  <c r="Q457" i="3" s="1"/>
  <c r="P459" i="3"/>
  <c r="Q459" i="3" s="1"/>
  <c r="P462" i="3"/>
  <c r="Q462" i="3" s="1"/>
  <c r="P464" i="3"/>
  <c r="Q464" i="3" s="1"/>
  <c r="P466" i="3"/>
  <c r="Q466" i="3" s="1"/>
  <c r="P467" i="3"/>
  <c r="Q467" i="3" s="1"/>
  <c r="P468" i="3"/>
  <c r="Q468" i="3" s="1"/>
  <c r="P469" i="3"/>
  <c r="Q469" i="3" s="1"/>
  <c r="P470" i="3"/>
  <c r="Q470" i="3" s="1"/>
  <c r="P471" i="3"/>
  <c r="Q471" i="3" s="1"/>
  <c r="P27" i="3"/>
  <c r="Q27" i="3" s="1"/>
  <c r="P43" i="3"/>
  <c r="Q43" i="3" s="1"/>
  <c r="P59" i="3"/>
  <c r="Q59" i="3" s="1"/>
  <c r="P63" i="3"/>
  <c r="Q63" i="3" s="1"/>
  <c r="P67" i="3"/>
  <c r="Q67" i="3" s="1"/>
  <c r="P473" i="3"/>
  <c r="Q473" i="3" s="1"/>
  <c r="P474" i="3"/>
  <c r="Q474" i="3" s="1"/>
  <c r="P475" i="3"/>
  <c r="Q475" i="3" s="1"/>
  <c r="P477" i="3"/>
  <c r="Q477" i="3" s="1"/>
  <c r="P478" i="3"/>
  <c r="Q478" i="3" s="1"/>
  <c r="P479" i="3"/>
  <c r="Q479" i="3" s="1"/>
  <c r="P480" i="3"/>
  <c r="Q480" i="3" s="1"/>
  <c r="P481" i="3"/>
  <c r="Q481" i="3" s="1"/>
  <c r="P483" i="3"/>
  <c r="Q483" i="3" s="1"/>
  <c r="P484" i="3"/>
  <c r="Q484" i="3" s="1"/>
  <c r="P485" i="3"/>
  <c r="Q485" i="3" s="1"/>
  <c r="P486" i="3"/>
  <c r="Q486" i="3" s="1"/>
  <c r="P487" i="3"/>
  <c r="Q487" i="3" s="1"/>
  <c r="P488" i="3"/>
  <c r="Q488" i="3" s="1"/>
  <c r="P489" i="3"/>
  <c r="Q489" i="3" s="1"/>
  <c r="P490" i="3"/>
  <c r="Q490" i="3" s="1"/>
  <c r="P491" i="3"/>
  <c r="Q491" i="3" s="1"/>
  <c r="P493" i="3"/>
  <c r="Q493" i="3" s="1"/>
  <c r="P494" i="3"/>
  <c r="Q494" i="3" s="1"/>
  <c r="P497" i="3"/>
  <c r="Q497" i="3" s="1"/>
  <c r="P499" i="3"/>
  <c r="Q499" i="3" s="1"/>
  <c r="P503" i="3"/>
  <c r="Q503" i="3" s="1"/>
  <c r="P512" i="3"/>
  <c r="Q512" i="3" s="1"/>
  <c r="P514" i="3"/>
  <c r="Q514" i="3" s="1"/>
  <c r="P516" i="3"/>
  <c r="Q516" i="3" s="1"/>
  <c r="P517" i="3"/>
  <c r="Q517" i="3" s="1"/>
  <c r="P518" i="3"/>
  <c r="Q518" i="3" s="1"/>
  <c r="P520" i="3"/>
  <c r="Q520" i="3" s="1"/>
  <c r="P521" i="3"/>
  <c r="Q521" i="3" s="1"/>
  <c r="P523" i="3"/>
  <c r="Q523" i="3" s="1"/>
  <c r="P524" i="3"/>
  <c r="Q524" i="3" s="1"/>
  <c r="P525" i="3"/>
  <c r="Q525" i="3" s="1"/>
  <c r="P526" i="3"/>
  <c r="Q526" i="3" s="1"/>
  <c r="P527" i="3"/>
  <c r="Q527" i="3" s="1"/>
  <c r="P529" i="3"/>
  <c r="Q529" i="3" s="1"/>
  <c r="P533" i="3"/>
  <c r="Q533" i="3" s="1"/>
  <c r="P534" i="3"/>
  <c r="Q534" i="3" s="1"/>
  <c r="P538" i="3"/>
  <c r="Q538" i="3" s="1"/>
  <c r="P542" i="3"/>
  <c r="Q542" i="3" s="1"/>
  <c r="P544" i="3"/>
  <c r="Q544" i="3" s="1"/>
  <c r="P545" i="3"/>
  <c r="Q545" i="3" s="1"/>
  <c r="P548" i="3"/>
  <c r="Q548" i="3" s="1"/>
  <c r="P549" i="3"/>
  <c r="Q549" i="3" s="1"/>
  <c r="P550" i="3"/>
  <c r="Q550" i="3" s="1"/>
  <c r="P552" i="3"/>
  <c r="Q552" i="3" s="1"/>
  <c r="P557" i="3"/>
  <c r="Q557" i="3" s="1"/>
  <c r="P559" i="3"/>
  <c r="Q559" i="3" s="1"/>
  <c r="P561" i="3"/>
  <c r="Q561" i="3" s="1"/>
  <c r="P563" i="3"/>
  <c r="Q563" i="3" s="1"/>
  <c r="P566" i="3"/>
  <c r="Q566" i="3" s="1"/>
  <c r="P567" i="3"/>
  <c r="Q567" i="3" s="1"/>
  <c r="P568" i="3"/>
  <c r="Q568" i="3" s="1"/>
  <c r="P573" i="3"/>
  <c r="Q573" i="3" s="1"/>
  <c r="P574" i="3"/>
  <c r="Q574" i="3" s="1"/>
  <c r="P576" i="3"/>
  <c r="Q576" i="3" s="1"/>
  <c r="P577" i="3"/>
  <c r="Q577" i="3" s="1"/>
  <c r="P578" i="3"/>
  <c r="Q578" i="3" s="1"/>
  <c r="P579" i="3"/>
  <c r="Q579" i="3" s="1"/>
  <c r="P581" i="3"/>
  <c r="Q581" i="3" s="1"/>
  <c r="P583" i="3"/>
  <c r="Q583" i="3" s="1"/>
  <c r="P585" i="3"/>
  <c r="Q585" i="3" s="1"/>
  <c r="P587" i="3"/>
  <c r="Q587" i="3" s="1"/>
  <c r="P588" i="3"/>
  <c r="Q588" i="3" s="1"/>
  <c r="P589" i="3"/>
  <c r="Q589" i="3" s="1"/>
  <c r="P590" i="3"/>
  <c r="Q590" i="3" s="1"/>
  <c r="P592" i="3"/>
  <c r="Q592" i="3" s="1"/>
  <c r="P593" i="3"/>
  <c r="Q593" i="3" s="1"/>
  <c r="P594" i="3"/>
  <c r="Q594" i="3" s="1"/>
  <c r="P596" i="3"/>
  <c r="Q596" i="3" s="1"/>
  <c r="P597" i="3"/>
  <c r="Q597" i="3" s="1"/>
  <c r="P598" i="3"/>
  <c r="Q598" i="3" s="1"/>
  <c r="P600" i="3"/>
  <c r="Q600" i="3" s="1"/>
  <c r="P601" i="3"/>
  <c r="Q601" i="3" s="1"/>
  <c r="P604" i="3"/>
  <c r="Q604" i="3" s="1"/>
  <c r="P605" i="3"/>
  <c r="Q605" i="3" s="1"/>
  <c r="P607" i="3"/>
  <c r="Q607" i="3" s="1"/>
  <c r="P609" i="3"/>
  <c r="Q609" i="3" s="1"/>
  <c r="P610" i="3"/>
  <c r="Q610" i="3" s="1"/>
  <c r="P611" i="3"/>
  <c r="Q611" i="3" s="1"/>
  <c r="P613" i="3"/>
  <c r="Q613" i="3" s="1"/>
  <c r="P614" i="3"/>
  <c r="Q614" i="3" s="1"/>
  <c r="P616" i="3"/>
  <c r="Q616" i="3" s="1"/>
  <c r="P617" i="3"/>
  <c r="Q617" i="3" s="1"/>
  <c r="P618" i="3"/>
  <c r="Q618" i="3" s="1"/>
  <c r="P623" i="3"/>
  <c r="Q623" i="3" s="1"/>
  <c r="P624" i="3"/>
  <c r="Q624" i="3" s="1"/>
  <c r="P625" i="3"/>
  <c r="Q625" i="3" s="1"/>
  <c r="P626" i="3"/>
  <c r="Q626" i="3" s="1"/>
  <c r="P663" i="3"/>
  <c r="Q663" i="3" s="1"/>
  <c r="P664" i="3"/>
  <c r="Q664" i="3" s="1"/>
  <c r="P828" i="3"/>
  <c r="Q828" i="3" s="1"/>
  <c r="P867" i="3"/>
  <c r="Q867" i="3" s="1"/>
  <c r="P870" i="3"/>
  <c r="Q870" i="3" s="1"/>
  <c r="P28" i="3"/>
  <c r="Q28" i="3" s="1"/>
  <c r="P49" i="3"/>
  <c r="Q49" i="3" s="1"/>
  <c r="P55" i="3"/>
  <c r="Q55" i="3" s="1"/>
  <c r="P668" i="3"/>
  <c r="Q668" i="3" s="1"/>
  <c r="P669" i="3"/>
  <c r="Q669" i="3" s="1"/>
  <c r="P673" i="3"/>
  <c r="Q673" i="3" s="1"/>
  <c r="P674" i="3"/>
  <c r="Q674" i="3" s="1"/>
  <c r="P678" i="3"/>
  <c r="Q678" i="3" s="1"/>
  <c r="P680" i="3"/>
  <c r="Q680" i="3" s="1"/>
  <c r="P720" i="3"/>
  <c r="Q720" i="3" s="1"/>
  <c r="P722" i="3"/>
  <c r="Q722" i="3" s="1"/>
  <c r="P726" i="3"/>
  <c r="Q726" i="3" s="1"/>
  <c r="P729" i="3"/>
  <c r="Q729" i="3" s="1"/>
  <c r="P732" i="3"/>
  <c r="Q732" i="3" s="1"/>
  <c r="P735" i="3"/>
  <c r="Q735" i="3" s="1"/>
  <c r="P736" i="3"/>
  <c r="Q736" i="3" s="1"/>
  <c r="P740" i="3"/>
  <c r="Q740" i="3" s="1"/>
  <c r="P741" i="3"/>
  <c r="Q741" i="3" s="1"/>
  <c r="P743" i="3"/>
  <c r="Q743" i="3" s="1"/>
  <c r="P745" i="3"/>
  <c r="Q745" i="3" s="1"/>
  <c r="P762" i="3"/>
  <c r="Q762" i="3" s="1"/>
  <c r="P763" i="3"/>
  <c r="Q763" i="3" s="1"/>
  <c r="P943" i="3"/>
  <c r="Q943" i="3" s="1"/>
  <c r="P35" i="3"/>
  <c r="Q35" i="3" s="1"/>
  <c r="P36" i="3"/>
  <c r="Q36" i="3" s="1"/>
  <c r="P37" i="3"/>
  <c r="Q37" i="3" s="1"/>
  <c r="P32" i="3"/>
  <c r="Q32" i="3" s="1"/>
  <c r="P81" i="3"/>
  <c r="Q81" i="3" s="1"/>
  <c r="P34" i="3"/>
  <c r="Q34" i="3" s="1"/>
  <c r="P72" i="3"/>
  <c r="Q72" i="3" s="1"/>
  <c r="P74" i="3"/>
  <c r="Q74" i="3" s="1"/>
  <c r="P83" i="3"/>
  <c r="Q83" i="3" s="1"/>
  <c r="P87" i="3"/>
  <c r="Q87" i="3" s="1"/>
  <c r="P91" i="3"/>
  <c r="Q91" i="3" s="1"/>
  <c r="P100" i="3"/>
  <c r="Q100" i="3" s="1"/>
  <c r="P105" i="3"/>
  <c r="Q105" i="3" s="1"/>
  <c r="P46" i="3"/>
  <c r="Q46" i="3" s="1"/>
  <c r="P60" i="3"/>
  <c r="Q60" i="3" s="1"/>
  <c r="P62" i="3"/>
  <c r="Q62" i="3" s="1"/>
  <c r="P71" i="3"/>
  <c r="Q71" i="3" s="1"/>
  <c r="P117" i="3"/>
  <c r="Q117" i="3" s="1"/>
  <c r="P154" i="3"/>
  <c r="Q154" i="3" s="1"/>
  <c r="P182" i="3"/>
  <c r="Q182" i="3" s="1"/>
  <c r="P184" i="3"/>
  <c r="Q184" i="3" s="1"/>
  <c r="P234" i="3"/>
  <c r="Q234" i="3" s="1"/>
  <c r="P240" i="3"/>
  <c r="Q240" i="3" s="1"/>
  <c r="P244" i="3"/>
  <c r="Q244" i="3" s="1"/>
  <c r="P249" i="3"/>
  <c r="Q249" i="3" s="1"/>
  <c r="P266" i="3"/>
  <c r="Q266" i="3" s="1"/>
  <c r="P280" i="3"/>
  <c r="Q280" i="3" s="1"/>
  <c r="P302" i="3"/>
  <c r="Q302" i="3" s="1"/>
  <c r="P305" i="3"/>
  <c r="Q305" i="3" s="1"/>
  <c r="P327" i="3"/>
  <c r="Q327" i="3" s="1"/>
  <c r="P329" i="3"/>
  <c r="Q329" i="3" s="1"/>
  <c r="P340" i="3"/>
  <c r="Q340" i="3" s="1"/>
  <c r="P371" i="3"/>
  <c r="Q371" i="3" s="1"/>
  <c r="P376" i="3"/>
  <c r="Q376" i="3" s="1"/>
  <c r="P384" i="3"/>
  <c r="Q384" i="3" s="1"/>
  <c r="P406" i="3"/>
  <c r="Q406" i="3" s="1"/>
  <c r="P411" i="3"/>
  <c r="Q411" i="3" s="1"/>
  <c r="P417" i="3"/>
  <c r="Q417" i="3" s="1"/>
  <c r="P419" i="3"/>
  <c r="Q419" i="3" s="1"/>
  <c r="P431" i="3"/>
  <c r="Q431" i="3" s="1"/>
  <c r="P461" i="3"/>
  <c r="Q461" i="3" s="1"/>
  <c r="P536" i="3"/>
  <c r="Q536" i="3" s="1"/>
  <c r="P599" i="3"/>
  <c r="Q599" i="3" s="1"/>
  <c r="P677" i="3"/>
  <c r="Q677" i="3" s="1"/>
  <c r="P714" i="3"/>
  <c r="Q714" i="3" s="1"/>
  <c r="P765" i="3"/>
  <c r="Q765" i="3" s="1"/>
  <c r="P1039" i="3"/>
  <c r="Q1039" i="3" s="1"/>
  <c r="P40" i="3"/>
  <c r="Q40" i="3" s="1"/>
  <c r="P70" i="3"/>
  <c r="Q70" i="3" s="1"/>
  <c r="P82" i="3"/>
  <c r="Q82" i="3" s="1"/>
  <c r="P95" i="3"/>
  <c r="Q95" i="3" s="1"/>
  <c r="P112" i="3"/>
  <c r="Q112" i="3" s="1"/>
  <c r="P120" i="3"/>
  <c r="Q120" i="3" s="1"/>
  <c r="P158" i="3"/>
  <c r="Q158" i="3" s="1"/>
  <c r="P180" i="3"/>
  <c r="Q180" i="3" s="1"/>
  <c r="P205" i="3"/>
  <c r="Q205" i="3" s="1"/>
  <c r="P246" i="3"/>
  <c r="Q246" i="3" s="1"/>
  <c r="P301" i="3"/>
  <c r="Q301" i="3" s="1"/>
  <c r="P328" i="3"/>
  <c r="Q328" i="3" s="1"/>
  <c r="P334" i="3"/>
  <c r="Q334" i="3" s="1"/>
  <c r="P366" i="3"/>
  <c r="Q366" i="3" s="1"/>
  <c r="P370" i="3"/>
  <c r="Q370" i="3" s="1"/>
  <c r="P387" i="3"/>
  <c r="Q387" i="3" s="1"/>
  <c r="P408" i="3"/>
  <c r="Q408" i="3" s="1"/>
  <c r="P416" i="3"/>
  <c r="Q416" i="3" s="1"/>
  <c r="P696" i="3"/>
  <c r="Q696" i="3" s="1"/>
  <c r="P496" i="3"/>
  <c r="Q496" i="3" s="1"/>
  <c r="P621" i="3"/>
  <c r="Q621" i="3" s="1"/>
  <c r="P41" i="3"/>
  <c r="Q41" i="3" s="1"/>
  <c r="P77" i="3"/>
  <c r="Q77" i="3" s="1"/>
  <c r="P79" i="3"/>
  <c r="Q79" i="3" s="1"/>
  <c r="P113" i="3"/>
  <c r="Q113" i="3" s="1"/>
  <c r="P177" i="3"/>
  <c r="Q177" i="3" s="1"/>
  <c r="P181" i="3"/>
  <c r="Q181" i="3" s="1"/>
  <c r="P220" i="3"/>
  <c r="Q220" i="3" s="1"/>
  <c r="P222" i="3"/>
  <c r="Q222" i="3" s="1"/>
  <c r="P268" i="3"/>
  <c r="Q268" i="3" s="1"/>
  <c r="P282" i="3"/>
  <c r="Q282" i="3" s="1"/>
  <c r="P306" i="3"/>
  <c r="Q306" i="3" s="1"/>
  <c r="P333" i="3"/>
  <c r="Q333" i="3" s="1"/>
  <c r="P351" i="3"/>
  <c r="Q351" i="3" s="1"/>
  <c r="P356" i="3"/>
  <c r="Q356" i="3" s="1"/>
  <c r="P363" i="3"/>
  <c r="Q363" i="3" s="1"/>
  <c r="P369" i="3"/>
  <c r="Q369" i="3" s="1"/>
  <c r="P386" i="3"/>
  <c r="Q386" i="3" s="1"/>
  <c r="P409" i="3"/>
  <c r="Q409" i="3" s="1"/>
  <c r="P412" i="3"/>
  <c r="Q412" i="3" s="1"/>
  <c r="P436" i="3"/>
  <c r="Q436" i="3" s="1"/>
  <c r="P495" i="3"/>
  <c r="Q495" i="3" s="1"/>
  <c r="P540" i="3"/>
  <c r="Q540" i="3" s="1"/>
  <c r="P114" i="3"/>
  <c r="Q114" i="3" s="1"/>
  <c r="P761" i="3"/>
  <c r="Q761" i="3" s="1"/>
  <c r="P793" i="3"/>
  <c r="Q793" i="3" s="1"/>
  <c r="P465" i="3"/>
  <c r="Q465" i="3" s="1"/>
  <c r="P558" i="3"/>
  <c r="Q558" i="3" s="1"/>
  <c r="P721" i="3"/>
  <c r="Q721" i="3" s="1"/>
  <c r="P746" i="3"/>
  <c r="Q746" i="3" s="1"/>
  <c r="P26" i="3"/>
  <c r="Q26" i="3" s="1"/>
  <c r="P47" i="3"/>
  <c r="Q47" i="3" s="1"/>
  <c r="P56" i="3"/>
  <c r="Q56" i="3" s="1"/>
  <c r="P272" i="3"/>
  <c r="Q272" i="3" s="1"/>
  <c r="P358" i="3"/>
  <c r="Q358" i="3" s="1"/>
  <c r="P385" i="3"/>
  <c r="Q385" i="3" s="1"/>
  <c r="P453" i="3"/>
  <c r="Q453" i="3" s="1"/>
  <c r="P482" i="3"/>
  <c r="Q482" i="3" s="1"/>
  <c r="P513" i="3"/>
  <c r="Q513" i="3" s="1"/>
  <c r="P615" i="3"/>
  <c r="Q615" i="3" s="1"/>
  <c r="P671" i="3"/>
  <c r="Q671" i="3" s="1"/>
  <c r="P766" i="3"/>
  <c r="Q766" i="3" s="1"/>
  <c r="P86" i="3"/>
  <c r="Q86" i="3" s="1"/>
  <c r="P608" i="3"/>
  <c r="Q608" i="3" s="1"/>
  <c r="P18" i="3"/>
  <c r="Q18" i="3" s="1"/>
  <c r="P695" i="3"/>
  <c r="Q695" i="3" s="1"/>
  <c r="P837" i="3"/>
  <c r="Q837" i="3" s="1"/>
  <c r="P106" i="3"/>
  <c r="Q106" i="3" s="1"/>
  <c r="P216" i="3"/>
  <c r="Q216" i="3" s="1"/>
  <c r="P515" i="3"/>
  <c r="Q515" i="3" s="1"/>
  <c r="P531" i="3"/>
  <c r="Q531" i="3" s="1"/>
  <c r="P539" i="3"/>
  <c r="Q539" i="3" s="1"/>
  <c r="P209" i="3"/>
  <c r="Q209" i="3" s="1"/>
  <c r="Q449" i="3"/>
  <c r="P551" i="3"/>
  <c r="Q551" i="3" s="1"/>
  <c r="P562" i="3"/>
  <c r="Q562" i="3" s="1"/>
  <c r="P584" i="3"/>
  <c r="Q584" i="3" s="1"/>
  <c r="P710" i="3"/>
  <c r="Q710" i="3" s="1"/>
  <c r="P737" i="3"/>
  <c r="Q737" i="3" s="1"/>
  <c r="P747" i="3"/>
  <c r="Q747" i="3" s="1"/>
  <c r="P755" i="3"/>
  <c r="Q755" i="3" s="1"/>
  <c r="P1057" i="3"/>
  <c r="Q1057" i="3" s="1"/>
  <c r="P21" i="3"/>
  <c r="Q21" i="3" s="1"/>
  <c r="P430" i="3"/>
  <c r="Q430" i="3" s="1"/>
  <c r="P554" i="3"/>
  <c r="Q554" i="3" s="1"/>
  <c r="P795" i="3"/>
  <c r="Q795" i="3" s="1"/>
  <c r="P877" i="3"/>
  <c r="Q877" i="3" s="1"/>
  <c r="P827" i="3"/>
  <c r="Q827" i="3" s="1"/>
  <c r="P10" i="3"/>
  <c r="Q10" i="3" s="1"/>
  <c r="P88" i="3"/>
  <c r="Q88" i="3" s="1"/>
  <c r="P254" i="3"/>
  <c r="Q254" i="3" s="1"/>
  <c r="P591" i="3"/>
  <c r="Q591" i="3" s="1"/>
  <c r="P622" i="3"/>
  <c r="Q622" i="3" s="1"/>
  <c r="P764" i="3"/>
  <c r="Q764" i="3" s="1"/>
  <c r="P789" i="3"/>
  <c r="Q789" i="3" s="1"/>
  <c r="P876" i="3"/>
  <c r="Q876" i="3" s="1"/>
  <c r="P1061" i="3"/>
  <c r="Q1061" i="3" s="1"/>
  <c r="P639" i="3"/>
  <c r="Q639" i="3" s="1"/>
  <c r="P1033" i="3"/>
  <c r="Q1033" i="3" s="1"/>
  <c r="P9" i="3"/>
  <c r="Q9" i="3" s="1"/>
  <c r="P38" i="3"/>
  <c r="Q38" i="3" s="1"/>
  <c r="P64" i="3"/>
  <c r="Q64" i="3" s="1"/>
  <c r="P102" i="3"/>
  <c r="Q102" i="3" s="1"/>
  <c r="P821" i="3"/>
  <c r="Q821" i="3" s="1"/>
  <c r="P836" i="3"/>
  <c r="Q836" i="3" s="1"/>
  <c r="P1062" i="3"/>
  <c r="Q1062" i="3" s="1"/>
  <c r="P13" i="3"/>
  <c r="Q13" i="3" s="1"/>
  <c r="P75" i="3"/>
  <c r="Q75" i="3" s="1"/>
  <c r="P80" i="3"/>
  <c r="Q80" i="3" s="1"/>
  <c r="P85" i="3"/>
  <c r="Q85" i="3" s="1"/>
  <c r="P31" i="3"/>
  <c r="Q31" i="3" s="1"/>
  <c r="P98" i="3"/>
  <c r="Q98" i="3" s="1"/>
  <c r="P439" i="3"/>
  <c r="Q439" i="3" s="1"/>
  <c r="P440" i="3"/>
  <c r="Q440" i="3" s="1"/>
  <c r="P441" i="3"/>
  <c r="Q441" i="3" s="1"/>
  <c r="P446" i="3"/>
  <c r="Q446" i="3" s="1"/>
  <c r="P447" i="3"/>
  <c r="Q447" i="3" s="1"/>
  <c r="P448" i="3"/>
  <c r="Q448" i="3" s="1"/>
  <c r="P451" i="3"/>
  <c r="Q451" i="3" s="1"/>
  <c r="P456" i="3"/>
  <c r="Q456" i="3" s="1"/>
  <c r="P629" i="3"/>
  <c r="Q629" i="3" s="1"/>
  <c r="P630" i="3"/>
  <c r="Q630" i="3" s="1"/>
  <c r="P631" i="3"/>
  <c r="Q631" i="3" s="1"/>
  <c r="P632" i="3"/>
  <c r="Q632" i="3" s="1"/>
  <c r="P633" i="3"/>
  <c r="Q633" i="3" s="1"/>
  <c r="P634" i="3"/>
  <c r="Q634" i="3" s="1"/>
  <c r="P635" i="3"/>
  <c r="Q635" i="3" s="1"/>
  <c r="P636" i="3"/>
  <c r="Q636" i="3" s="1"/>
  <c r="P637" i="3"/>
  <c r="Q637" i="3" s="1"/>
  <c r="P42" i="3"/>
  <c r="Q42" i="3" s="1"/>
  <c r="P50" i="3"/>
  <c r="Q50" i="3" s="1"/>
  <c r="P806" i="3"/>
  <c r="Q806" i="3" s="1"/>
  <c r="P807" i="3"/>
  <c r="Q807" i="3" s="1"/>
  <c r="P812" i="3"/>
  <c r="Q812" i="3" s="1"/>
  <c r="P813" i="3"/>
  <c r="Q813" i="3" s="1"/>
  <c r="P815" i="3"/>
  <c r="Q815" i="3" s="1"/>
  <c r="P816" i="3"/>
  <c r="Q816" i="3" s="1"/>
  <c r="P817" i="3"/>
  <c r="Q817" i="3" s="1"/>
  <c r="P820" i="3"/>
  <c r="Q820" i="3" s="1"/>
  <c r="P825" i="3"/>
  <c r="Q825" i="3" s="1"/>
  <c r="P829" i="3"/>
  <c r="Q829" i="3" s="1"/>
  <c r="P830" i="3"/>
  <c r="Q830" i="3" s="1"/>
  <c r="P831" i="3"/>
  <c r="Q831" i="3" s="1"/>
  <c r="P838" i="3"/>
  <c r="Q838" i="3" s="1"/>
  <c r="P840" i="3"/>
  <c r="Q840" i="3" s="1"/>
  <c r="P841" i="3"/>
  <c r="Q841" i="3" s="1"/>
  <c r="P846" i="3"/>
  <c r="Q846" i="3" s="1"/>
  <c r="P848" i="3"/>
  <c r="Q848" i="3" s="1"/>
  <c r="P861" i="3"/>
  <c r="Q861" i="3" s="1"/>
  <c r="P12" i="3"/>
  <c r="Q12" i="3" s="1"/>
  <c r="P45" i="3"/>
  <c r="Q45" i="3" s="1"/>
  <c r="P54" i="3"/>
  <c r="Q54" i="3" s="1"/>
  <c r="P258" i="3"/>
  <c r="Q258" i="3" s="1"/>
  <c r="P435" i="3"/>
  <c r="Q435" i="3" s="1"/>
  <c r="P640" i="3"/>
  <c r="Q640" i="3" s="1"/>
  <c r="P824" i="3"/>
  <c r="Q824" i="3" s="1"/>
  <c r="P22" i="3"/>
  <c r="Q22" i="3" s="1"/>
  <c r="P752" i="3"/>
  <c r="Q752" i="3" s="1"/>
  <c r="P758" i="3"/>
  <c r="Q758" i="3" s="1"/>
  <c r="P790" i="3"/>
  <c r="Q790" i="3" s="1"/>
  <c r="P796" i="3"/>
  <c r="Q796" i="3" s="1"/>
  <c r="P797" i="3"/>
  <c r="Q797" i="3" s="1"/>
  <c r="P799" i="3"/>
  <c r="Q799" i="3" s="1"/>
  <c r="P801" i="3"/>
  <c r="Q801" i="3" s="1"/>
  <c r="P804" i="3"/>
  <c r="Q804" i="3" s="1"/>
  <c r="P810" i="3"/>
  <c r="Q810" i="3" s="1"/>
  <c r="P20" i="3"/>
  <c r="Q20" i="3" s="1"/>
  <c r="P749" i="3"/>
  <c r="Q749" i="3" s="1"/>
  <c r="P842" i="3"/>
  <c r="Q842" i="3" s="1"/>
  <c r="P1052" i="3"/>
  <c r="Q1052" i="3" s="1"/>
  <c r="P1060" i="3"/>
  <c r="Q1060" i="3" s="1"/>
  <c r="A6" i="3"/>
  <c r="P261" i="3"/>
  <c r="Q261" i="3" s="1"/>
  <c r="P768" i="3"/>
  <c r="Q768" i="3" s="1"/>
  <c r="P769" i="3"/>
  <c r="Q769" i="3" s="1"/>
  <c r="P791" i="3"/>
  <c r="Q791" i="3" s="1"/>
  <c r="P794" i="3"/>
  <c r="Q794" i="3" s="1"/>
  <c r="P798" i="3"/>
  <c r="Q798" i="3" s="1"/>
  <c r="P800" i="3"/>
  <c r="Q800" i="3" s="1"/>
  <c r="P802" i="3"/>
  <c r="Q802" i="3" s="1"/>
  <c r="P803" i="3"/>
  <c r="Q803" i="3" s="1"/>
  <c r="P805" i="3"/>
  <c r="Q805" i="3" s="1"/>
  <c r="P808" i="3"/>
  <c r="Q808" i="3" s="1"/>
  <c r="P809" i="3"/>
  <c r="Q809" i="3" s="1"/>
  <c r="P811" i="3"/>
  <c r="Q811" i="3" s="1"/>
  <c r="P814" i="3"/>
  <c r="Q814" i="3" s="1"/>
  <c r="P819" i="3"/>
  <c r="Q819" i="3" s="1"/>
  <c r="P823" i="3"/>
  <c r="Q823" i="3" s="1"/>
  <c r="P826" i="3"/>
  <c r="Q826" i="3" s="1"/>
  <c r="P832" i="3"/>
  <c r="Q832" i="3" s="1"/>
  <c r="P833" i="3"/>
  <c r="Q833" i="3" s="1"/>
  <c r="P834" i="3"/>
  <c r="Q834" i="3" s="1"/>
  <c r="P835" i="3"/>
  <c r="Q835" i="3" s="1"/>
  <c r="P843" i="3"/>
  <c r="Q843" i="3" s="1"/>
  <c r="P839" i="3"/>
  <c r="Q839" i="3" s="1"/>
  <c r="P844" i="3"/>
  <c r="Q844" i="3" s="1"/>
  <c r="P847" i="3"/>
  <c r="Q847" i="3" s="1"/>
  <c r="P851" i="3"/>
  <c r="Q851" i="3" s="1"/>
  <c r="P1041" i="3"/>
  <c r="Q1041" i="3" s="1"/>
  <c r="P849" i="3"/>
  <c r="Q849" i="3" s="1"/>
  <c r="P850" i="3"/>
  <c r="Q850" i="3" s="1"/>
  <c r="P853" i="3"/>
  <c r="Q853" i="3" s="1"/>
  <c r="P854" i="3"/>
  <c r="Q854" i="3" s="1"/>
  <c r="P855" i="3"/>
  <c r="Q855" i="3" s="1"/>
  <c r="P856" i="3"/>
  <c r="Q856" i="3" s="1"/>
  <c r="P857" i="3"/>
  <c r="Q857" i="3" s="1"/>
  <c r="P858" i="3"/>
  <c r="Q858" i="3" s="1"/>
  <c r="P859" i="3"/>
  <c r="Q859" i="3" s="1"/>
  <c r="P860" i="3"/>
  <c r="Q860" i="3" s="1"/>
  <c r="P863" i="3"/>
  <c r="Q863" i="3" s="1"/>
  <c r="P864" i="3"/>
  <c r="Q864" i="3" s="1"/>
  <c r="P866" i="3"/>
  <c r="Q866" i="3" s="1"/>
  <c r="P869" i="3"/>
  <c r="Q869" i="3" s="1"/>
  <c r="P871" i="3"/>
  <c r="Q871" i="3" s="1"/>
  <c r="P872" i="3"/>
  <c r="Q872" i="3" s="1"/>
  <c r="P873" i="3"/>
  <c r="Q873" i="3" s="1"/>
  <c r="P879" i="3"/>
  <c r="Q879" i="3" s="1"/>
  <c r="P883" i="3"/>
  <c r="Q883" i="3" s="1"/>
  <c r="P885" i="3"/>
  <c r="Q885" i="3" s="1"/>
  <c r="P890" i="3"/>
  <c r="Q890" i="3" s="1"/>
  <c r="P893" i="3"/>
  <c r="Q893" i="3" s="1"/>
  <c r="P895" i="3"/>
  <c r="Q895" i="3" s="1"/>
  <c r="P898" i="3"/>
  <c r="Q898" i="3" s="1"/>
  <c r="P899" i="3"/>
  <c r="Q899" i="3" s="1"/>
  <c r="P901" i="3"/>
  <c r="Q901" i="3" s="1"/>
  <c r="P903" i="3"/>
  <c r="Q903" i="3" s="1"/>
  <c r="P904" i="3"/>
  <c r="Q904" i="3" s="1"/>
  <c r="P905" i="3"/>
  <c r="Q905" i="3" s="1"/>
  <c r="P906" i="3"/>
  <c r="Q906" i="3" s="1"/>
  <c r="P907" i="3"/>
  <c r="Q907" i="3" s="1"/>
  <c r="P909" i="3"/>
  <c r="Q909" i="3" s="1"/>
  <c r="P911" i="3"/>
  <c r="Q911" i="3" s="1"/>
  <c r="P913" i="3"/>
  <c r="Q913" i="3" s="1"/>
  <c r="P914" i="3"/>
  <c r="Q914" i="3" s="1"/>
  <c r="P916" i="3"/>
  <c r="Q916" i="3" s="1"/>
  <c r="P918" i="3"/>
  <c r="Q918" i="3" s="1"/>
  <c r="P919" i="3"/>
  <c r="Q919" i="3" s="1"/>
  <c r="P920" i="3"/>
  <c r="Q920" i="3" s="1"/>
  <c r="P921" i="3"/>
  <c r="Q921" i="3" s="1"/>
  <c r="P922" i="3"/>
  <c r="Q922" i="3" s="1"/>
  <c r="P924" i="3"/>
  <c r="Q924" i="3" s="1"/>
  <c r="P926" i="3"/>
  <c r="Q926" i="3" s="1"/>
  <c r="P927" i="3"/>
  <c r="Q927" i="3" s="1"/>
  <c r="P928" i="3"/>
  <c r="Q928" i="3" s="1"/>
  <c r="P929" i="3"/>
  <c r="Q929" i="3" s="1"/>
  <c r="P930" i="3"/>
  <c r="Q930" i="3" s="1"/>
  <c r="P931" i="3"/>
  <c r="Q931" i="3" s="1"/>
  <c r="P932" i="3"/>
  <c r="Q932" i="3" s="1"/>
  <c r="P933" i="3"/>
  <c r="Q933" i="3" s="1"/>
  <c r="P934" i="3"/>
  <c r="Q934" i="3" s="1"/>
  <c r="P935" i="3"/>
  <c r="Q935" i="3" s="1"/>
  <c r="P937" i="3"/>
  <c r="Q937" i="3" s="1"/>
  <c r="P938" i="3"/>
  <c r="Q938" i="3" s="1"/>
  <c r="P940" i="3"/>
  <c r="Q940" i="3" s="1"/>
  <c r="P947" i="3"/>
  <c r="Q947" i="3" s="1"/>
  <c r="P949" i="3"/>
  <c r="Q949" i="3" s="1"/>
  <c r="P953" i="3"/>
  <c r="Q953" i="3" s="1"/>
  <c r="P956" i="3"/>
  <c r="Q956" i="3" s="1"/>
  <c r="P958" i="3"/>
  <c r="Q958" i="3" s="1"/>
  <c r="P960" i="3"/>
  <c r="Q960" i="3" s="1"/>
  <c r="P962" i="3"/>
  <c r="Q962" i="3" s="1"/>
  <c r="P966" i="3"/>
  <c r="Q966" i="3" s="1"/>
  <c r="P967" i="3"/>
  <c r="Q967" i="3" s="1"/>
  <c r="P968" i="3"/>
  <c r="Q968" i="3" s="1"/>
  <c r="P969" i="3"/>
  <c r="Q969" i="3" s="1"/>
  <c r="P972" i="3"/>
  <c r="Q972" i="3" s="1"/>
  <c r="P986" i="3"/>
  <c r="Q986" i="3" s="1"/>
  <c r="P1018" i="3"/>
  <c r="Q1018" i="3" s="1"/>
  <c r="P865" i="3"/>
  <c r="Q865" i="3" s="1"/>
  <c r="P878" i="3"/>
  <c r="Q878" i="3" s="1"/>
  <c r="P882" i="3"/>
  <c r="Q882" i="3" s="1"/>
  <c r="P886" i="3"/>
  <c r="Q886" i="3" s="1"/>
  <c r="P888" i="3"/>
  <c r="Q888" i="3" s="1"/>
  <c r="P891" i="3"/>
  <c r="Q891" i="3" s="1"/>
  <c r="P892" i="3"/>
  <c r="Q892" i="3" s="1"/>
  <c r="P896" i="3"/>
  <c r="Q896" i="3" s="1"/>
  <c r="P897" i="3"/>
  <c r="Q897" i="3" s="1"/>
  <c r="P900" i="3"/>
  <c r="Q900" i="3" s="1"/>
  <c r="P908" i="3"/>
  <c r="Q908" i="3" s="1"/>
  <c r="P912" i="3"/>
  <c r="Q912" i="3" s="1"/>
  <c r="P915" i="3"/>
  <c r="Q915" i="3" s="1"/>
  <c r="P925" i="3"/>
  <c r="Q925" i="3" s="1"/>
  <c r="P939" i="3"/>
  <c r="Q939" i="3" s="1"/>
  <c r="P961" i="3"/>
  <c r="Q961" i="3" s="1"/>
  <c r="P845" i="3"/>
  <c r="Q845" i="3" s="1"/>
  <c r="P875" i="3"/>
  <c r="Q875" i="3" s="1"/>
  <c r="P884" i="3"/>
  <c r="Q884" i="3" s="1"/>
  <c r="P894" i="3"/>
  <c r="Q894" i="3" s="1"/>
  <c r="P902" i="3"/>
  <c r="Q902" i="3" s="1"/>
  <c r="P910" i="3"/>
  <c r="Q910" i="3" s="1"/>
  <c r="P917" i="3"/>
  <c r="Q917" i="3" s="1"/>
  <c r="P923" i="3"/>
  <c r="Q923" i="3" s="1"/>
  <c r="P941" i="3"/>
  <c r="Q941" i="3" s="1"/>
  <c r="P950" i="3"/>
  <c r="Q950" i="3" s="1"/>
  <c r="P936" i="3"/>
  <c r="Q936" i="3" s="1"/>
  <c r="P952" i="3"/>
  <c r="Q952" i="3" s="1"/>
  <c r="P957" i="3"/>
  <c r="Q957" i="3" s="1"/>
  <c r="P959" i="3"/>
  <c r="Q959" i="3" s="1"/>
  <c r="P964" i="3"/>
  <c r="Q964" i="3" s="1"/>
  <c r="P970" i="3"/>
  <c r="Q970" i="3" s="1"/>
  <c r="P1232" i="3"/>
  <c r="Q1232" i="3" s="1"/>
  <c r="P1246" i="3"/>
  <c r="Q1246" i="3" s="1"/>
  <c r="P1249" i="3"/>
  <c r="Q1249" i="3" s="1"/>
  <c r="P1255" i="3"/>
  <c r="Q1255" i="3" s="1"/>
  <c r="P1258" i="3"/>
  <c r="Q1258" i="3" s="1"/>
  <c r="P1267" i="3"/>
  <c r="Q1267" i="3" s="1"/>
  <c r="P1270" i="3"/>
  <c r="Q1270" i="3" s="1"/>
  <c r="P1275" i="3"/>
  <c r="Q1275" i="3" s="1"/>
  <c r="P1277" i="3"/>
  <c r="Q1277" i="3" s="1"/>
  <c r="P1280" i="3"/>
  <c r="Q1280" i="3" s="1"/>
  <c r="P1283" i="3"/>
  <c r="Q1283" i="3" s="1"/>
  <c r="P1289" i="3"/>
  <c r="Q1289" i="3" s="1"/>
  <c r="P1292" i="3"/>
  <c r="Q1292" i="3" s="1"/>
  <c r="P1293" i="3"/>
  <c r="Q1293" i="3" s="1"/>
  <c r="P1297" i="3"/>
  <c r="Q1297" i="3" s="1"/>
  <c r="P1301" i="3"/>
  <c r="Q1301" i="3" s="1"/>
  <c r="P1304" i="3"/>
  <c r="Q1304" i="3" s="1"/>
  <c r="P1307" i="3"/>
  <c r="Q1307" i="3" s="1"/>
  <c r="P1318" i="3"/>
  <c r="Q1318" i="3" s="1"/>
  <c r="P1320" i="3"/>
  <c r="Q1320" i="3" s="1"/>
  <c r="P1324" i="3"/>
  <c r="Q1324" i="3" s="1"/>
  <c r="P1329" i="3"/>
  <c r="Q1329" i="3" s="1"/>
  <c r="P1333" i="3"/>
  <c r="Q1333" i="3" s="1"/>
  <c r="P277" i="3"/>
  <c r="Q277" i="3" s="1"/>
  <c r="P1238" i="3"/>
  <c r="Q1238" i="3" s="1"/>
  <c r="P1288" i="3"/>
  <c r="Q1288" i="3" s="1"/>
  <c r="P1310" i="3"/>
  <c r="Q1310" i="3" s="1"/>
  <c r="P1198" i="3"/>
  <c r="Q1198" i="3" s="1"/>
  <c r="P1336" i="3"/>
  <c r="Q1336" i="3" s="1"/>
  <c r="P1338" i="3"/>
  <c r="Q1338" i="3" s="1"/>
  <c r="P1340" i="3"/>
  <c r="Q1340" i="3" s="1"/>
  <c r="P1343" i="3"/>
  <c r="Q1343" i="3" s="1"/>
  <c r="P1345" i="3"/>
  <c r="Q1345" i="3" s="1"/>
  <c r="P1349" i="3"/>
  <c r="Q1349" i="3" s="1"/>
  <c r="P1350" i="3"/>
  <c r="Q1350" i="3" s="1"/>
  <c r="P1352" i="3"/>
  <c r="Q1352" i="3" s="1"/>
  <c r="P1356" i="3"/>
  <c r="Q1356" i="3" s="1"/>
  <c r="P1360" i="3"/>
  <c r="Q1360" i="3" s="1"/>
  <c r="P1361" i="3"/>
  <c r="Q1361" i="3" s="1"/>
  <c r="P1362" i="3"/>
  <c r="Q1362" i="3" s="1"/>
  <c r="P1363" i="3"/>
  <c r="Q1363" i="3" s="1"/>
  <c r="P1366" i="3"/>
  <c r="Q1366" i="3" s="1"/>
  <c r="P1370" i="3"/>
  <c r="Q1370" i="3" s="1"/>
  <c r="P1372" i="3"/>
  <c r="Q1372" i="3" s="1"/>
  <c r="P1374" i="3"/>
  <c r="Q1374" i="3" s="1"/>
  <c r="P1375" i="3"/>
  <c r="Q1375" i="3" s="1"/>
  <c r="P1377" i="3"/>
  <c r="Q1377" i="3" s="1"/>
  <c r="P19" i="3"/>
  <c r="Q19" i="3" s="1"/>
  <c r="P659" i="3"/>
  <c r="Q659" i="3" s="1"/>
  <c r="P1279" i="3"/>
  <c r="Q1279" i="3" s="1"/>
  <c r="P1294" i="3"/>
  <c r="Q1294" i="3" s="1"/>
  <c r="P274" i="3"/>
  <c r="Q274" i="3" s="1"/>
  <c r="P458" i="3"/>
  <c r="Q458" i="3" s="1"/>
  <c r="P460" i="3"/>
  <c r="Q460" i="3" s="1"/>
  <c r="P642" i="3"/>
  <c r="Q642" i="3" s="1"/>
  <c r="P643" i="3"/>
  <c r="Q643" i="3" s="1"/>
  <c r="P646" i="3"/>
  <c r="Q646" i="3" s="1"/>
  <c r="P647" i="3"/>
  <c r="Q647" i="3" s="1"/>
  <c r="P651" i="3"/>
  <c r="Q651" i="3" s="1"/>
  <c r="P652" i="3"/>
  <c r="Q652" i="3" s="1"/>
  <c r="P653" i="3"/>
  <c r="Q653" i="3" s="1"/>
  <c r="P655" i="3"/>
  <c r="Q655" i="3" s="1"/>
  <c r="P658" i="3"/>
  <c r="Q658" i="3" s="1"/>
  <c r="P1341" i="3"/>
  <c r="Q1341" i="3" s="1"/>
  <c r="P660" i="3"/>
  <c r="Q660" i="3" s="1"/>
  <c r="P661" i="3"/>
  <c r="Q661" i="3" s="1"/>
  <c r="P1339" i="3"/>
  <c r="Q1339" i="3" s="1"/>
  <c r="P1351" i="3"/>
  <c r="Q1351" i="3" s="1"/>
  <c r="P1171" i="3"/>
  <c r="Q1171" i="3" s="1"/>
  <c r="P1188" i="3"/>
  <c r="Q1188" i="3" s="1"/>
  <c r="P1286" i="3"/>
  <c r="Q1286" i="3" s="1"/>
  <c r="P1368" i="3"/>
  <c r="Q1368" i="3" s="1"/>
  <c r="P1376" i="3"/>
  <c r="Q1376" i="3" s="1"/>
  <c r="P1355" i="3"/>
  <c r="Q1355" i="3" s="1"/>
  <c r="P93" i="3"/>
  <c r="Q93" i="3" s="1"/>
  <c r="P1311" i="3"/>
  <c r="Q1311" i="3" s="1"/>
  <c r="P215" i="3"/>
  <c r="Q215" i="3" s="1"/>
  <c r="P218" i="3"/>
  <c r="Q218" i="3" s="1"/>
  <c r="P221" i="3"/>
  <c r="Q221" i="3" s="1"/>
  <c r="P224" i="3"/>
  <c r="Q224" i="3" s="1"/>
  <c r="P233" i="3"/>
  <c r="Q233" i="3" s="1"/>
  <c r="P260" i="3"/>
  <c r="Q260" i="3" s="1"/>
  <c r="P267" i="3"/>
  <c r="Q267" i="3" s="1"/>
  <c r="P275" i="3"/>
  <c r="Q275" i="3" s="1"/>
  <c r="P1334" i="3"/>
  <c r="Q1334" i="3" s="1"/>
  <c r="P1359" i="3"/>
  <c r="Q1359" i="3" s="1"/>
  <c r="P463" i="3"/>
  <c r="Q463" i="3" s="1"/>
  <c r="P657" i="3"/>
  <c r="Q657" i="3" s="1"/>
  <c r="P7" i="3"/>
  <c r="Q7" i="3" s="1"/>
  <c r="P1299" i="3"/>
  <c r="Q1299" i="3" s="1"/>
  <c r="P1364" i="3"/>
  <c r="Q1364" i="3" s="1"/>
  <c r="P1367" i="3"/>
  <c r="Q1367" i="3" s="1"/>
  <c r="P1049" i="3"/>
  <c r="Q1049" i="3" s="1"/>
  <c r="P530" i="3"/>
  <c r="Q530" i="3" s="1"/>
  <c r="P537" i="3"/>
  <c r="Q537" i="3" s="1"/>
  <c r="P541" i="3"/>
  <c r="Q541" i="3" s="1"/>
  <c r="P547" i="3"/>
  <c r="Q547" i="3" s="1"/>
  <c r="P555" i="3"/>
  <c r="Q555" i="3" s="1"/>
  <c r="P560" i="3"/>
  <c r="Q560" i="3" s="1"/>
  <c r="P570" i="3"/>
  <c r="Q570" i="3" s="1"/>
  <c r="P571" i="3"/>
  <c r="Q571" i="3" s="1"/>
  <c r="P572" i="3"/>
  <c r="Q572" i="3" s="1"/>
  <c r="P575" i="3"/>
  <c r="Q575" i="3" s="1"/>
  <c r="P582" i="3"/>
  <c r="Q582" i="3" s="1"/>
  <c r="P586" i="3"/>
  <c r="Q586" i="3" s="1"/>
  <c r="P595" i="3"/>
  <c r="Q595" i="3" s="1"/>
  <c r="P603" i="3"/>
  <c r="Q603" i="3" s="1"/>
  <c r="P606" i="3"/>
  <c r="Q606" i="3" s="1"/>
  <c r="P612" i="3"/>
  <c r="Q612" i="3" s="1"/>
  <c r="P627" i="3"/>
  <c r="Q627" i="3" s="1"/>
  <c r="P628" i="3"/>
  <c r="Q628" i="3" s="1"/>
  <c r="P638" i="3"/>
  <c r="Q638" i="3" s="1"/>
  <c r="P641" i="3"/>
  <c r="Q641" i="3" s="1"/>
  <c r="P644" i="3"/>
  <c r="Q644" i="3" s="1"/>
  <c r="P645" i="3"/>
  <c r="Q645" i="3" s="1"/>
  <c r="P648" i="3"/>
  <c r="Q648" i="3" s="1"/>
  <c r="P649" i="3"/>
  <c r="Q649" i="3" s="1"/>
  <c r="P650" i="3"/>
  <c r="Q650" i="3" s="1"/>
  <c r="P654" i="3"/>
  <c r="Q654" i="3" s="1"/>
  <c r="P656" i="3"/>
  <c r="Q656" i="3" s="1"/>
  <c r="P1353" i="3"/>
  <c r="Q1353" i="3" s="1"/>
  <c r="P1066" i="3"/>
  <c r="Q1066" i="3" s="1"/>
  <c r="P1244" i="3"/>
  <c r="Q1244" i="3" s="1"/>
  <c r="P1295" i="3"/>
  <c r="Q1295" i="3" s="1"/>
  <c r="P23" i="3"/>
  <c r="Q23" i="3" s="1"/>
  <c r="P284" i="3"/>
  <c r="Q284" i="3" s="1"/>
  <c r="P1312" i="3"/>
  <c r="Q1312" i="3" s="1"/>
  <c r="P1335" i="3"/>
  <c r="Q1335" i="3" s="1"/>
  <c r="P476" i="3"/>
  <c r="Q476" i="3" s="1"/>
  <c r="P675" i="3"/>
  <c r="Q675" i="3" s="1"/>
  <c r="P874" i="3"/>
  <c r="Q874" i="3" s="1"/>
  <c r="P1182" i="3"/>
  <c r="Q1182" i="3" s="1"/>
  <c r="P1184" i="3"/>
  <c r="Q1184" i="3" s="1"/>
  <c r="P1185" i="3"/>
  <c r="Q1185" i="3" s="1"/>
  <c r="P880" i="3"/>
  <c r="Q880" i="3" s="1"/>
  <c r="P881" i="3"/>
  <c r="Q881" i="3" s="1"/>
  <c r="P887" i="3"/>
  <c r="Q887" i="3" s="1"/>
  <c r="P889" i="3"/>
  <c r="Q889" i="3" s="1"/>
  <c r="P295" i="3"/>
  <c r="Q295" i="3" s="1"/>
  <c r="P1342" i="3"/>
  <c r="Q1342" i="3" s="1"/>
  <c r="P1358" i="3"/>
  <c r="Q1358" i="3" s="1"/>
  <c r="P492" i="3"/>
  <c r="Q492" i="3" s="1"/>
  <c r="P1174" i="3"/>
  <c r="Q1174" i="3" s="1"/>
  <c r="P1189" i="3"/>
  <c r="Q1189" i="3" s="1"/>
  <c r="P1229" i="3"/>
  <c r="Q1229" i="3" s="1"/>
  <c r="P1263" i="3"/>
  <c r="Q1263" i="3" s="1"/>
  <c r="P1271" i="3"/>
  <c r="Q1271" i="3" s="1"/>
  <c r="P1322" i="3"/>
  <c r="Q1322" i="3" s="1"/>
  <c r="P1330" i="3"/>
  <c r="Q1330" i="3" s="1"/>
  <c r="P1348" i="3"/>
  <c r="Q1348" i="3" s="1"/>
  <c r="P1354" i="3"/>
  <c r="Q1354" i="3" s="1"/>
  <c r="P1261" i="3"/>
  <c r="Q1261" i="3" s="1"/>
  <c r="P1264" i="3"/>
  <c r="Q1264" i="3" s="1"/>
  <c r="P1327" i="3"/>
  <c r="Q1327" i="3" s="1"/>
  <c r="P44" i="3"/>
  <c r="Q44" i="3" s="1"/>
  <c r="P946" i="3"/>
  <c r="Q946" i="3" s="1"/>
  <c r="P948" i="3"/>
  <c r="Q948" i="3" s="1"/>
  <c r="P951" i="3"/>
  <c r="Q951" i="3" s="1"/>
  <c r="P954" i="3"/>
  <c r="Q954" i="3" s="1"/>
  <c r="P955" i="3"/>
  <c r="Q955" i="3" s="1"/>
  <c r="P963" i="3"/>
  <c r="Q963" i="3" s="1"/>
  <c r="P965" i="3"/>
  <c r="Q965" i="3" s="1"/>
  <c r="P975" i="3"/>
  <c r="Q975" i="3" s="1"/>
  <c r="P976" i="3"/>
  <c r="Q976" i="3" s="1"/>
  <c r="P978" i="3"/>
  <c r="Q978" i="3" s="1"/>
  <c r="P979" i="3"/>
  <c r="Q979" i="3" s="1"/>
  <c r="P981" i="3"/>
  <c r="Q981" i="3" s="1"/>
  <c r="P982" i="3"/>
  <c r="Q982" i="3" s="1"/>
  <c r="P989" i="3"/>
  <c r="Q989" i="3" s="1"/>
  <c r="P990" i="3"/>
  <c r="Q990" i="3" s="1"/>
  <c r="P992" i="3"/>
  <c r="Q992" i="3" s="1"/>
  <c r="P993" i="3"/>
  <c r="Q993" i="3" s="1"/>
  <c r="P996" i="3"/>
  <c r="Q996" i="3" s="1"/>
  <c r="P997" i="3"/>
  <c r="Q997" i="3" s="1"/>
  <c r="P999" i="3"/>
  <c r="Q999" i="3" s="1"/>
  <c r="P1000" i="3"/>
  <c r="Q1000" i="3" s="1"/>
  <c r="P1002" i="3"/>
  <c r="Q1002" i="3" s="1"/>
  <c r="P1003" i="3"/>
  <c r="Q1003" i="3" s="1"/>
  <c r="P1005" i="3"/>
  <c r="Q1005" i="3" s="1"/>
  <c r="P1006" i="3"/>
  <c r="Q1006" i="3" s="1"/>
  <c r="P1008" i="3"/>
  <c r="Q1008" i="3" s="1"/>
  <c r="P1010" i="3"/>
  <c r="Q1010" i="3" s="1"/>
  <c r="P1011" i="3"/>
  <c r="Q1011" i="3" s="1"/>
  <c r="P1013" i="3"/>
  <c r="Q1013" i="3" s="1"/>
  <c r="P1014" i="3"/>
  <c r="Q1014" i="3" s="1"/>
  <c r="P1016" i="3"/>
  <c r="Q1016" i="3" s="1"/>
  <c r="P1019" i="3"/>
  <c r="Q1019" i="3" s="1"/>
  <c r="P1021" i="3"/>
  <c r="Q1021" i="3" s="1"/>
  <c r="P1022" i="3"/>
  <c r="Q1022" i="3" s="1"/>
  <c r="P1024" i="3"/>
  <c r="Q1024" i="3" s="1"/>
  <c r="P1025" i="3"/>
  <c r="Q1025" i="3" s="1"/>
  <c r="P1027" i="3"/>
  <c r="Q1027" i="3" s="1"/>
  <c r="P1028" i="3"/>
  <c r="Q1028" i="3" s="1"/>
  <c r="P1029" i="3"/>
  <c r="Q1029" i="3" s="1"/>
  <c r="P1030" i="3"/>
  <c r="Q1030" i="3" s="1"/>
  <c r="P1032" i="3"/>
  <c r="Q1032" i="3" s="1"/>
  <c r="P1034" i="3"/>
  <c r="Q1034" i="3" s="1"/>
  <c r="P1036" i="3"/>
  <c r="Q1036" i="3" s="1"/>
  <c r="P1037" i="3"/>
  <c r="Q1037" i="3" s="1"/>
  <c r="P1043" i="3"/>
  <c r="Q1043" i="3" s="1"/>
  <c r="P1046" i="3"/>
  <c r="Q1046" i="3" s="1"/>
  <c r="P1050" i="3"/>
  <c r="Q1050" i="3" s="1"/>
  <c r="P1054" i="3"/>
  <c r="Q1054" i="3" s="1"/>
  <c r="P1058" i="3"/>
  <c r="Q1058" i="3" s="1"/>
  <c r="P1059" i="3"/>
  <c r="Q1059" i="3" s="1"/>
  <c r="P1064" i="3"/>
  <c r="Q1064" i="3" s="1"/>
  <c r="P1067" i="3"/>
  <c r="Q1067" i="3" s="1"/>
  <c r="P1070" i="3"/>
  <c r="Q1070" i="3" s="1"/>
  <c r="P1073" i="3"/>
  <c r="Q1073" i="3" s="1"/>
  <c r="P1273" i="3"/>
  <c r="Q1273" i="3" s="1"/>
  <c r="P1278" i="3"/>
  <c r="Q1278" i="3" s="1"/>
  <c r="P1284" i="3"/>
  <c r="Q1284" i="3" s="1"/>
  <c r="P1314" i="3"/>
  <c r="Q1314" i="3" s="1"/>
  <c r="P1378" i="3"/>
  <c r="Q1378" i="3" s="1"/>
  <c r="P1380" i="3"/>
  <c r="Q1380" i="3" s="1"/>
  <c r="P1381" i="3"/>
  <c r="Q1381" i="3" s="1"/>
  <c r="P1382" i="3"/>
  <c r="Q1382" i="3" s="1"/>
  <c r="P1383" i="3"/>
  <c r="Q1383" i="3" s="1"/>
  <c r="P1384" i="3"/>
  <c r="Q1384" i="3" s="1"/>
  <c r="P107" i="3"/>
  <c r="P313" i="3"/>
  <c r="Q313" i="3" s="1"/>
  <c r="P1308" i="3"/>
  <c r="Q1308" i="3" s="1"/>
  <c r="P1315" i="3"/>
  <c r="Q1315" i="3" s="1"/>
  <c r="P1317" i="3"/>
  <c r="Q1317" i="3" s="1"/>
  <c r="P1321" i="3"/>
  <c r="Q1321" i="3" s="1"/>
  <c r="P1326" i="3"/>
  <c r="Q1326" i="3" s="1"/>
  <c r="P1328" i="3"/>
  <c r="Q1328" i="3" s="1"/>
  <c r="P1346" i="3"/>
  <c r="Q1346" i="3" s="1"/>
  <c r="P1371" i="3"/>
  <c r="Q1371" i="3" s="1"/>
  <c r="P498" i="3"/>
  <c r="Q498" i="3" s="1"/>
  <c r="P500" i="3"/>
  <c r="Q500" i="3" s="1"/>
  <c r="P501" i="3"/>
  <c r="Q501" i="3" s="1"/>
  <c r="P502" i="3"/>
  <c r="Q502" i="3" s="1"/>
  <c r="P505" i="3"/>
  <c r="Q505" i="3" s="1"/>
  <c r="P506" i="3"/>
  <c r="Q506" i="3" s="1"/>
  <c r="P507" i="3"/>
  <c r="Q507" i="3" s="1"/>
  <c r="P508" i="3"/>
  <c r="Q508" i="3" s="1"/>
  <c r="P509" i="3"/>
  <c r="Q509" i="3" s="1"/>
  <c r="P510" i="3"/>
  <c r="Q510" i="3" s="1"/>
  <c r="P511" i="3"/>
  <c r="Q511" i="3" s="1"/>
  <c r="P519" i="3"/>
  <c r="Q519" i="3" s="1"/>
  <c r="P1009" i="3"/>
  <c r="Q1009" i="3" s="1"/>
  <c r="P1042" i="3"/>
  <c r="Q1042" i="3" s="1"/>
  <c r="P1045" i="3"/>
  <c r="Q1045" i="3" s="1"/>
  <c r="P1183" i="3"/>
  <c r="Q1183" i="3" s="1"/>
  <c r="P1251" i="3"/>
  <c r="Q1251" i="3" s="1"/>
  <c r="P1262" i="3"/>
  <c r="Q1262" i="3" s="1"/>
  <c r="P1287" i="3"/>
  <c r="Q1287" i="3" s="1"/>
  <c r="P1298" i="3"/>
  <c r="Q1298" i="3" s="1"/>
  <c r="P1373" i="3"/>
  <c r="Q1373" i="3" s="1"/>
  <c r="P973" i="3"/>
  <c r="Q973" i="3" s="1"/>
  <c r="P974" i="3"/>
  <c r="Q974" i="3" s="1"/>
  <c r="P977" i="3"/>
  <c r="Q977" i="3" s="1"/>
  <c r="P980" i="3"/>
  <c r="Q980" i="3" s="1"/>
  <c r="P983" i="3"/>
  <c r="Q983" i="3" s="1"/>
  <c r="P984" i="3"/>
  <c r="Q984" i="3" s="1"/>
  <c r="P985" i="3"/>
  <c r="Q985" i="3" s="1"/>
  <c r="P987" i="3"/>
  <c r="Q987" i="3" s="1"/>
  <c r="P988" i="3"/>
  <c r="Q988" i="3" s="1"/>
  <c r="P991" i="3"/>
  <c r="Q991" i="3" s="1"/>
  <c r="P994" i="3"/>
  <c r="Q994" i="3" s="1"/>
  <c r="P995" i="3"/>
  <c r="Q995" i="3" s="1"/>
  <c r="P998" i="3"/>
  <c r="Q998" i="3" s="1"/>
  <c r="P1001" i="3"/>
  <c r="Q1001" i="3" s="1"/>
  <c r="P1004" i="3"/>
  <c r="Q1004" i="3" s="1"/>
  <c r="P1007" i="3"/>
  <c r="Q1007" i="3" s="1"/>
  <c r="P1012" i="3"/>
  <c r="Q1012" i="3" s="1"/>
  <c r="P1015" i="3"/>
  <c r="Q1015" i="3" s="1"/>
  <c r="P1020" i="3"/>
  <c r="Q1020" i="3" s="1"/>
  <c r="P1023" i="3"/>
  <c r="Q1023" i="3" s="1"/>
  <c r="P1026" i="3"/>
  <c r="Q1026" i="3" s="1"/>
  <c r="P1031" i="3"/>
  <c r="Q1031" i="3" s="1"/>
  <c r="P1035" i="3"/>
  <c r="Q1035" i="3" s="1"/>
  <c r="P1038" i="3"/>
  <c r="Q1038" i="3" s="1"/>
  <c r="P1047" i="3"/>
  <c r="Q1047" i="3" s="1"/>
  <c r="P1051" i="3"/>
  <c r="Q1051" i="3" s="1"/>
  <c r="P1055" i="3"/>
  <c r="Q1055" i="3" s="1"/>
  <c r="P1072" i="3"/>
  <c r="Q1072" i="3" s="1"/>
  <c r="P1173" i="3"/>
  <c r="Q1173" i="3" s="1"/>
  <c r="P1187" i="3"/>
  <c r="Q1187" i="3" s="1"/>
  <c r="P1233" i="3"/>
  <c r="Q1233" i="3" s="1"/>
  <c r="P1243" i="3"/>
  <c r="Q1243" i="3" s="1"/>
  <c r="P1247" i="3"/>
  <c r="Q1247" i="3" s="1"/>
  <c r="P1253" i="3"/>
  <c r="Q1253" i="3" s="1"/>
  <c r="P1257" i="3"/>
  <c r="Q1257" i="3" s="1"/>
  <c r="P1259" i="3"/>
  <c r="Q1259" i="3" s="1"/>
  <c r="P1260" i="3"/>
  <c r="Q1260" i="3" s="1"/>
  <c r="P1266" i="3"/>
  <c r="Q1266" i="3" s="1"/>
  <c r="P1268" i="3"/>
  <c r="Q1268" i="3" s="1"/>
  <c r="P1269" i="3"/>
  <c r="Q1269" i="3" s="1"/>
  <c r="P1272" i="3"/>
  <c r="Q1272" i="3" s="1"/>
  <c r="P1276" i="3"/>
  <c r="Q1276" i="3" s="1"/>
  <c r="P1282" i="3"/>
  <c r="Q1282" i="3" s="1"/>
  <c r="P1285" i="3"/>
  <c r="Q1285" i="3" s="1"/>
  <c r="P1290" i="3"/>
  <c r="Q1290" i="3" s="1"/>
  <c r="P1296" i="3"/>
  <c r="Q1296" i="3" s="1"/>
  <c r="P1300" i="3"/>
  <c r="Q1300" i="3" s="1"/>
  <c r="P1309" i="3"/>
  <c r="Q1309" i="3" s="1"/>
  <c r="P1316" i="3"/>
  <c r="Q1316" i="3" s="1"/>
  <c r="P1319" i="3"/>
  <c r="Q1319" i="3" s="1"/>
  <c r="P1323" i="3"/>
  <c r="Q1323" i="3" s="1"/>
  <c r="P1331" i="3"/>
  <c r="Q1331" i="3" s="1"/>
  <c r="P1344" i="3"/>
  <c r="Q1344" i="3" s="1"/>
  <c r="P52" i="3"/>
  <c r="Q52" i="3" s="1"/>
  <c r="P1385" i="3"/>
  <c r="Q1385" i="3" s="1"/>
  <c r="P1386" i="3"/>
  <c r="Q1386" i="3" s="1"/>
  <c r="P1387" i="3"/>
  <c r="Q1387" i="3" s="1"/>
  <c r="P1388" i="3"/>
  <c r="Q1388" i="3" s="1"/>
  <c r="P1389" i="3"/>
  <c r="Q1389" i="3" s="1"/>
  <c r="P1390" i="3"/>
  <c r="Q1390" i="3" s="1"/>
  <c r="P1391" i="3"/>
  <c r="Q1391" i="3" s="1"/>
  <c r="P1392" i="3"/>
  <c r="Q1392" i="3" s="1"/>
  <c r="P1393" i="3"/>
  <c r="Q1393" i="3" s="1"/>
  <c r="P1395" i="3"/>
  <c r="Q1395" i="3" s="1"/>
  <c r="P1396" i="3"/>
  <c r="Q1396" i="3" s="1"/>
  <c r="P1397" i="3"/>
  <c r="Q1397" i="3" s="1"/>
  <c r="P1398" i="3"/>
  <c r="Q1398" i="3" s="1"/>
  <c r="P1399" i="3"/>
  <c r="Q1399" i="3" s="1"/>
  <c r="P1400" i="3"/>
  <c r="Q1400" i="3" s="1"/>
  <c r="P1401" i="3"/>
  <c r="Q1401" i="3" s="1"/>
  <c r="P1402" i="3"/>
  <c r="Q1402" i="3" s="1"/>
  <c r="P1403" i="3"/>
  <c r="Q1403" i="3" s="1"/>
  <c r="P1404" i="3"/>
  <c r="Q1404" i="3" s="1"/>
  <c r="P1405" i="3"/>
  <c r="Q1405" i="3" s="1"/>
  <c r="P1406" i="3"/>
  <c r="Q1406" i="3" s="1"/>
  <c r="P1407" i="3"/>
  <c r="Q1407" i="3" s="1"/>
  <c r="P1408" i="3"/>
  <c r="Q1408" i="3" s="1"/>
  <c r="P1410" i="3"/>
  <c r="Q1410" i="3" s="1"/>
  <c r="P1411" i="3"/>
  <c r="Q1411" i="3" s="1"/>
  <c r="P1412" i="3"/>
  <c r="Q1412" i="3" s="1"/>
  <c r="P1413" i="3"/>
  <c r="Q1413" i="3" s="1"/>
  <c r="P1415" i="3"/>
  <c r="Q1415" i="3" s="1"/>
  <c r="P1416" i="3"/>
  <c r="Q1416" i="3" s="1"/>
  <c r="P1417" i="3"/>
  <c r="Q1417" i="3" s="1"/>
  <c r="P1419" i="3"/>
  <c r="Q1419" i="3" s="1"/>
  <c r="P108" i="3"/>
  <c r="P1056" i="3"/>
  <c r="Q1056" i="3" s="1"/>
  <c r="P1305" i="3"/>
  <c r="Q1305" i="3" s="1"/>
  <c r="P1337" i="3"/>
  <c r="Q1337" i="3" s="1"/>
  <c r="P1365" i="3"/>
  <c r="Q1365" i="3" s="1"/>
  <c r="P315" i="3"/>
  <c r="Q315" i="3" s="1"/>
  <c r="P1306" i="3"/>
  <c r="Q1306" i="3" s="1"/>
  <c r="P1357" i="3"/>
  <c r="Q1357" i="3" s="1"/>
  <c r="P522" i="3"/>
  <c r="Q522" i="3" s="1"/>
  <c r="P666" i="3"/>
  <c r="Q666" i="3" s="1"/>
  <c r="P667" i="3"/>
  <c r="Q667" i="3" s="1"/>
  <c r="P670" i="3"/>
  <c r="Q670" i="3" s="1"/>
  <c r="P672" i="3"/>
  <c r="Q672" i="3" s="1"/>
  <c r="P676" i="3"/>
  <c r="Q676" i="3" s="1"/>
  <c r="P679" i="3"/>
  <c r="Q679" i="3" s="1"/>
  <c r="P681" i="3"/>
  <c r="Q681" i="3" s="1"/>
  <c r="P682" i="3"/>
  <c r="Q682" i="3" s="1"/>
  <c r="P683" i="3"/>
  <c r="Q683" i="3" s="1"/>
  <c r="P684" i="3"/>
  <c r="Q684" i="3" s="1"/>
  <c r="P685" i="3"/>
  <c r="Q685" i="3" s="1"/>
  <c r="P686" i="3"/>
  <c r="Q686" i="3" s="1"/>
  <c r="P687" i="3"/>
  <c r="Q687" i="3" s="1"/>
  <c r="P688" i="3"/>
  <c r="Q688" i="3" s="1"/>
  <c r="P689" i="3"/>
  <c r="Q689" i="3" s="1"/>
  <c r="P690" i="3"/>
  <c r="Q690" i="3" s="1"/>
  <c r="P691" i="3"/>
  <c r="Q691" i="3" s="1"/>
  <c r="P692" i="3"/>
  <c r="Q692" i="3" s="1"/>
  <c r="P693" i="3"/>
  <c r="Q693" i="3" s="1"/>
  <c r="P694" i="3"/>
  <c r="Q694" i="3" s="1"/>
  <c r="P697" i="3"/>
  <c r="Q697" i="3" s="1"/>
  <c r="P698" i="3"/>
  <c r="Q698" i="3" s="1"/>
  <c r="P699" i="3"/>
  <c r="Q699" i="3" s="1"/>
  <c r="P700" i="3"/>
  <c r="Q700" i="3" s="1"/>
  <c r="P701" i="3"/>
  <c r="Q701" i="3" s="1"/>
  <c r="P702" i="3"/>
  <c r="Q702" i="3" s="1"/>
  <c r="P703" i="3"/>
  <c r="Q703" i="3" s="1"/>
  <c r="P704" i="3"/>
  <c r="Q704" i="3" s="1"/>
  <c r="P705" i="3"/>
  <c r="Q705" i="3" s="1"/>
  <c r="P706" i="3"/>
  <c r="Q706" i="3" s="1"/>
  <c r="P707" i="3"/>
  <c r="Q707" i="3" s="1"/>
  <c r="P708" i="3"/>
  <c r="Q708" i="3" s="1"/>
  <c r="P709" i="3"/>
  <c r="Q709" i="3" s="1"/>
  <c r="P712" i="3"/>
  <c r="Q712" i="3" s="1"/>
  <c r="P713" i="3"/>
  <c r="Q713" i="3" s="1"/>
  <c r="P715" i="3"/>
  <c r="Q715" i="3" s="1"/>
  <c r="P716" i="3"/>
  <c r="Q716" i="3" s="1"/>
  <c r="P717" i="3"/>
  <c r="Q717" i="3" s="1"/>
  <c r="P718" i="3"/>
  <c r="Q718" i="3" s="1"/>
  <c r="P719" i="3"/>
  <c r="Q719" i="3" s="1"/>
  <c r="P723" i="3"/>
  <c r="Q723" i="3" s="1"/>
  <c r="P724" i="3"/>
  <c r="Q724" i="3" s="1"/>
  <c r="P725" i="3"/>
  <c r="Q725" i="3" s="1"/>
  <c r="P1245" i="3"/>
  <c r="Q1245" i="3" s="1"/>
  <c r="P1250" i="3"/>
  <c r="Q1250" i="3" s="1"/>
  <c r="P1254" i="3"/>
  <c r="Q1254" i="3" s="1"/>
  <c r="P1256" i="3"/>
  <c r="Q1256" i="3" s="1"/>
  <c r="P1303" i="3"/>
  <c r="Q1303" i="3" s="1"/>
  <c r="P727" i="3"/>
  <c r="Q727" i="3" s="1"/>
  <c r="P728" i="3"/>
  <c r="Q728" i="3" s="1"/>
  <c r="P730" i="3"/>
  <c r="Q730" i="3" s="1"/>
  <c r="P944" i="3"/>
  <c r="Q944" i="3" s="1"/>
  <c r="P1242" i="3"/>
  <c r="Q1242" i="3" s="1"/>
  <c r="P1248" i="3"/>
  <c r="Q1248" i="3" s="1"/>
  <c r="P1252" i="3"/>
  <c r="Q1252" i="3" s="1"/>
  <c r="P1265" i="3"/>
  <c r="Q1265" i="3" s="1"/>
  <c r="P1274" i="3"/>
  <c r="Q1274" i="3" s="1"/>
  <c r="P1281" i="3"/>
  <c r="Q1281" i="3" s="1"/>
  <c r="P1291" i="3"/>
  <c r="Q1291" i="3" s="1"/>
  <c r="P1302" i="3"/>
  <c r="Q1302" i="3" s="1"/>
  <c r="P1313" i="3"/>
  <c r="Q1313" i="3" s="1"/>
  <c r="P1325" i="3"/>
  <c r="Q1325" i="3" s="1"/>
  <c r="P1332" i="3"/>
  <c r="Q1332" i="3" s="1"/>
  <c r="P1347" i="3"/>
  <c r="Q1347" i="3" s="1"/>
  <c r="P1369" i="3"/>
  <c r="Q1369" i="3" s="1"/>
  <c r="P1379" i="3"/>
  <c r="Q1379" i="3" s="1"/>
  <c r="P1394" i="3"/>
  <c r="Q1394" i="3" s="1"/>
  <c r="P1409" i="3"/>
  <c r="Q1409" i="3" s="1"/>
  <c r="P1414" i="3"/>
  <c r="Q1414" i="3" s="1"/>
  <c r="P1418" i="3"/>
  <c r="Q1418" i="3" s="1"/>
  <c r="P1420" i="3"/>
  <c r="Q1420" i="3" s="1"/>
  <c r="P1421" i="3"/>
  <c r="Q1421" i="3" s="1"/>
  <c r="P1422" i="3"/>
  <c r="Q1422" i="3" s="1"/>
  <c r="P1423" i="3"/>
  <c r="Q1423" i="3" s="1"/>
  <c r="P1424" i="3"/>
  <c r="Q1424" i="3" s="1"/>
  <c r="P1425" i="3"/>
  <c r="Q1425" i="3" s="1"/>
  <c r="P1426" i="3"/>
  <c r="Q1426" i="3" s="1"/>
  <c r="P1427" i="3"/>
  <c r="Q1427" i="3" s="1"/>
  <c r="P1429" i="3"/>
  <c r="Q1429" i="3" s="1"/>
  <c r="P1430" i="3"/>
  <c r="Q1430" i="3" s="1"/>
  <c r="P1431" i="3"/>
  <c r="Q1431" i="3" s="1"/>
  <c r="P1432" i="3"/>
  <c r="Q1432" i="3" s="1"/>
  <c r="P1433" i="3"/>
  <c r="Q1433" i="3" s="1"/>
  <c r="P1434" i="3"/>
  <c r="Q1434" i="3" s="1"/>
  <c r="P1435" i="3"/>
  <c r="Q1435" i="3" s="1"/>
  <c r="P1436" i="3"/>
  <c r="Q1436" i="3" s="1"/>
  <c r="P1438" i="3"/>
  <c r="Q1438" i="3" s="1"/>
  <c r="P1439" i="3"/>
  <c r="Q1439" i="3" s="1"/>
  <c r="P1440" i="3"/>
  <c r="Q1440" i="3" s="1"/>
  <c r="P1441" i="3"/>
  <c r="Q1441" i="3" s="1"/>
  <c r="P1442" i="3"/>
  <c r="Q1442" i="3" s="1"/>
  <c r="P1443" i="3"/>
  <c r="Q1443" i="3" s="1"/>
  <c r="P1444" i="3"/>
  <c r="Q1444" i="3" s="1"/>
  <c r="P1445" i="3"/>
  <c r="Q1445" i="3" s="1"/>
  <c r="P1446" i="3"/>
  <c r="Q1446" i="3" s="1"/>
  <c r="P1447" i="3"/>
  <c r="Q1447" i="3" s="1"/>
  <c r="P1448" i="3"/>
  <c r="Q1448" i="3" s="1"/>
  <c r="P1449" i="3"/>
  <c r="Q1449" i="3" s="1"/>
  <c r="P1450" i="3"/>
  <c r="Q1450" i="3" s="1"/>
  <c r="P1451" i="3"/>
  <c r="Q1451" i="3" s="1"/>
  <c r="P1453" i="3"/>
  <c r="Q1453" i="3" s="1"/>
  <c r="P1454" i="3"/>
  <c r="Q1454" i="3" s="1"/>
  <c r="P1455" i="3"/>
  <c r="Q1455" i="3" s="1"/>
  <c r="P1456" i="3"/>
  <c r="Q1456" i="3" s="1"/>
  <c r="P1457" i="3"/>
  <c r="Q1457" i="3" s="1"/>
  <c r="P1458" i="3"/>
  <c r="Q1458" i="3" s="1"/>
  <c r="P1459" i="3"/>
  <c r="Q1459" i="3" s="1"/>
  <c r="P1460" i="3"/>
  <c r="Q1460" i="3" s="1"/>
  <c r="P1461" i="3"/>
  <c r="Q1461" i="3" s="1"/>
  <c r="P1462" i="3"/>
  <c r="Q1462" i="3" s="1"/>
  <c r="P1463" i="3"/>
  <c r="Q1463" i="3" s="1"/>
  <c r="P1464" i="3"/>
  <c r="Q1464" i="3" s="1"/>
  <c r="P1586" i="3"/>
  <c r="Q1586" i="3" s="1"/>
  <c r="P1587" i="3"/>
  <c r="Q1587" i="3" s="1"/>
  <c r="P1588" i="3"/>
  <c r="Q1588" i="3" s="1"/>
  <c r="P1590" i="3"/>
  <c r="Q1590" i="3" s="1"/>
  <c r="P1591" i="3"/>
  <c r="Q1591" i="3" s="1"/>
  <c r="P1592" i="3"/>
  <c r="Q1592" i="3" s="1"/>
  <c r="P1594" i="3"/>
  <c r="Q1594" i="3" s="1"/>
  <c r="P1595" i="3"/>
  <c r="Q1595" i="3" s="1"/>
  <c r="P1597" i="3"/>
  <c r="Q1597" i="3" s="1"/>
  <c r="P1598" i="3"/>
  <c r="Q1598" i="3" s="1"/>
  <c r="P1599" i="3"/>
  <c r="Q1599" i="3" s="1"/>
  <c r="P1600" i="3"/>
  <c r="Q1600" i="3" s="1"/>
  <c r="P1605" i="3"/>
  <c r="Q1605" i="3" s="1"/>
  <c r="P1606" i="3"/>
  <c r="Q1606" i="3" s="1"/>
  <c r="P1607" i="3"/>
  <c r="Q1607" i="3" s="1"/>
  <c r="P1608" i="3"/>
  <c r="Q1608" i="3" s="1"/>
  <c r="P1609" i="3"/>
  <c r="Q1609" i="3" s="1"/>
  <c r="P1611" i="3"/>
  <c r="Q1611" i="3" s="1"/>
  <c r="P1612" i="3"/>
  <c r="Q1612" i="3" s="1"/>
  <c r="P1614" i="3"/>
  <c r="Q1614" i="3" s="1"/>
  <c r="P1615" i="3"/>
  <c r="Q1615" i="3" s="1"/>
  <c r="P1616" i="3"/>
  <c r="Q1616" i="3" s="1"/>
  <c r="P1617" i="3"/>
  <c r="Q1617" i="3" s="1"/>
  <c r="P1619" i="3"/>
  <c r="Q1619" i="3" s="1"/>
  <c r="P1621" i="3"/>
  <c r="Q1621" i="3" s="1"/>
  <c r="P1622" i="3"/>
  <c r="Q1622" i="3" s="1"/>
  <c r="P1624" i="3"/>
  <c r="Q1624" i="3" s="1"/>
  <c r="P1626" i="3"/>
  <c r="Q1626" i="3" s="1"/>
  <c r="P1627" i="3"/>
  <c r="Q1627" i="3" s="1"/>
  <c r="P1630" i="3"/>
  <c r="Q1630" i="3" s="1"/>
  <c r="P1632" i="3"/>
  <c r="Q1632" i="3" s="1"/>
  <c r="P1634" i="3"/>
  <c r="Q1634" i="3" s="1"/>
  <c r="P1635" i="3"/>
  <c r="Q1635" i="3" s="1"/>
  <c r="P1636" i="3"/>
  <c r="Q1636" i="3" s="1"/>
  <c r="P1640" i="3"/>
  <c r="Q1640" i="3" s="1"/>
  <c r="P1641" i="3"/>
  <c r="Q1641" i="3" s="1"/>
  <c r="P1642" i="3"/>
  <c r="Q1642" i="3" s="1"/>
  <c r="P1644" i="3"/>
  <c r="Q1644" i="3" s="1"/>
  <c r="P1646" i="3"/>
  <c r="Q1646" i="3" s="1"/>
  <c r="P1648" i="3"/>
  <c r="Q1648" i="3" s="1"/>
  <c r="P1649" i="3"/>
  <c r="Q1649" i="3" s="1"/>
  <c r="P1650" i="3"/>
  <c r="Q1650" i="3" s="1"/>
  <c r="P1651" i="3"/>
  <c r="Q1651" i="3" s="1"/>
  <c r="P1652" i="3"/>
  <c r="Q1652" i="3" s="1"/>
  <c r="P1653" i="3"/>
  <c r="Q1653" i="3" s="1"/>
  <c r="P1654" i="3"/>
  <c r="Q1654" i="3" s="1"/>
  <c r="P1656" i="3"/>
  <c r="Q1656" i="3" s="1"/>
  <c r="P1658" i="3"/>
  <c r="Q1658" i="3" s="1"/>
  <c r="P1660" i="3"/>
  <c r="Q1660" i="3" s="1"/>
  <c r="P1662" i="3"/>
  <c r="Q1662" i="3" s="1"/>
  <c r="P1663" i="3"/>
  <c r="Q1663" i="3" s="1"/>
  <c r="P1664" i="3"/>
  <c r="Q1664" i="3" s="1"/>
  <c r="P1666" i="3"/>
  <c r="Q1666" i="3" s="1"/>
  <c r="P1667" i="3"/>
  <c r="Q1667" i="3" s="1"/>
  <c r="P1668" i="3"/>
  <c r="Q1668" i="3" s="1"/>
  <c r="P1669" i="3"/>
  <c r="Q1669" i="3" s="1"/>
  <c r="P1670" i="3"/>
  <c r="Q1670" i="3" s="1"/>
  <c r="P1675" i="3"/>
  <c r="Q1675" i="3" s="1"/>
  <c r="P1676" i="3"/>
  <c r="Q1676" i="3" s="1"/>
  <c r="P1677" i="3"/>
  <c r="Q1677" i="3" s="1"/>
  <c r="P1678" i="3"/>
  <c r="Q1678" i="3" s="1"/>
  <c r="P1679" i="3"/>
  <c r="Q1679" i="3" s="1"/>
  <c r="P1680" i="3"/>
  <c r="Q1680" i="3" s="1"/>
  <c r="P1683" i="3"/>
  <c r="Q1683" i="3" s="1"/>
  <c r="P1684" i="3"/>
  <c r="Q1684" i="3" s="1"/>
  <c r="P5" i="3"/>
  <c r="Q5" i="3" s="1"/>
  <c r="P116" i="3"/>
  <c r="Q116" i="3" s="1"/>
  <c r="P1452" i="3"/>
  <c r="Q1452" i="3" s="1"/>
  <c r="P1596" i="3"/>
  <c r="Q1596" i="3" s="1"/>
  <c r="P331" i="3"/>
  <c r="Q331" i="3" s="1"/>
  <c r="P711" i="3"/>
  <c r="Q711" i="3" s="1"/>
  <c r="P1437" i="3"/>
  <c r="Q1437" i="3" s="1"/>
  <c r="P1613" i="3"/>
  <c r="Q1613" i="3" s="1"/>
  <c r="P1631" i="3"/>
  <c r="Q1631" i="3" s="1"/>
  <c r="P546" i="3"/>
  <c r="Q546" i="3" s="1"/>
  <c r="P1237" i="3"/>
  <c r="Q1237" i="3" s="1"/>
  <c r="P731" i="3"/>
  <c r="Q731" i="3" s="1"/>
  <c r="P733" i="3"/>
  <c r="Q733" i="3" s="1"/>
  <c r="P734" i="3"/>
  <c r="Q734" i="3" s="1"/>
  <c r="P739" i="3"/>
  <c r="Q739" i="3" s="1"/>
  <c r="P742" i="3"/>
  <c r="Q742" i="3" s="1"/>
  <c r="P744" i="3"/>
  <c r="Q744" i="3" s="1"/>
  <c r="P748" i="3"/>
  <c r="Q748" i="3" s="1"/>
  <c r="P750" i="3"/>
  <c r="Q750" i="3" s="1"/>
  <c r="P751" i="3"/>
  <c r="Q751" i="3" s="1"/>
  <c r="P754" i="3"/>
  <c r="Q754" i="3" s="1"/>
  <c r="P756" i="3"/>
  <c r="Q756" i="3" s="1"/>
  <c r="P757" i="3"/>
  <c r="Q757" i="3" s="1"/>
  <c r="P759" i="3"/>
  <c r="Q759" i="3" s="1"/>
  <c r="P760" i="3"/>
  <c r="Q760" i="3" s="1"/>
  <c r="P1231" i="3"/>
  <c r="Q1231" i="3" s="1"/>
  <c r="P1602" i="3"/>
  <c r="Q1602" i="3" s="1"/>
  <c r="P1665" i="3"/>
  <c r="Q1665" i="3" s="1"/>
  <c r="P4" i="3"/>
  <c r="Q4" i="3" s="1"/>
  <c r="P121" i="3"/>
  <c r="Q121" i="3" s="1"/>
  <c r="P345" i="3"/>
  <c r="Q345" i="3" s="1"/>
  <c r="P528" i="3"/>
  <c r="Q528" i="3" s="1"/>
  <c r="P1628" i="3"/>
  <c r="Q1628" i="3" s="1"/>
  <c r="P1643" i="3"/>
  <c r="Q1643" i="3" s="1"/>
  <c r="P553" i="3"/>
  <c r="Q553" i="3" s="1"/>
  <c r="P564" i="3"/>
  <c r="Q564" i="3" s="1"/>
  <c r="P569" i="3"/>
  <c r="Q569" i="3" s="1"/>
  <c r="P1017" i="3"/>
  <c r="Q1017" i="3" s="1"/>
  <c r="P1048" i="3"/>
  <c r="Q1048" i="3" s="1"/>
  <c r="P1053" i="3"/>
  <c r="Q1053" i="3" s="1"/>
  <c r="P1063" i="3"/>
  <c r="Q1063" i="3" s="1"/>
  <c r="P1065" i="3"/>
  <c r="Q1065" i="3" s="1"/>
  <c r="P1068" i="3"/>
  <c r="Q1068" i="3" s="1"/>
  <c r="P1069" i="3"/>
  <c r="Q1069" i="3" s="1"/>
  <c r="P1071" i="3"/>
  <c r="Q1071" i="3" s="1"/>
  <c r="P1074" i="3"/>
  <c r="Q1074" i="3" s="1"/>
  <c r="P1075" i="3"/>
  <c r="Q1075" i="3" s="1"/>
  <c r="P1076" i="3"/>
  <c r="Q1076" i="3" s="1"/>
  <c r="P1077" i="3"/>
  <c r="Q1077" i="3" s="1"/>
  <c r="P1078" i="3"/>
  <c r="Q1078" i="3" s="1"/>
  <c r="P1079" i="3"/>
  <c r="Q1079" i="3" s="1"/>
  <c r="P1080" i="3"/>
  <c r="Q1080" i="3" s="1"/>
  <c r="P1081" i="3"/>
  <c r="Q1081" i="3" s="1"/>
  <c r="P1082" i="3"/>
  <c r="Q1082" i="3" s="1"/>
  <c r="P1083" i="3"/>
  <c r="Q1083" i="3" s="1"/>
  <c r="P1084" i="3"/>
  <c r="Q1084" i="3" s="1"/>
  <c r="P1085" i="3"/>
  <c r="Q1085" i="3" s="1"/>
  <c r="P1086" i="3"/>
  <c r="Q1086" i="3" s="1"/>
  <c r="P1087" i="3"/>
  <c r="Q1087" i="3" s="1"/>
  <c r="P1088" i="3"/>
  <c r="Q1088" i="3" s="1"/>
  <c r="P1089" i="3"/>
  <c r="Q1089" i="3" s="1"/>
  <c r="P1090" i="3"/>
  <c r="Q1090" i="3" s="1"/>
  <c r="P1091" i="3"/>
  <c r="Q1091" i="3" s="1"/>
  <c r="P1092" i="3"/>
  <c r="Q1092" i="3" s="1"/>
  <c r="P1093" i="3"/>
  <c r="Q1093" i="3" s="1"/>
  <c r="P1094" i="3"/>
  <c r="Q1094" i="3" s="1"/>
  <c r="P1095" i="3"/>
  <c r="Q1095" i="3" s="1"/>
  <c r="P1096" i="3"/>
  <c r="Q1096" i="3" s="1"/>
  <c r="P1097" i="3"/>
  <c r="Q1097" i="3" s="1"/>
  <c r="P1098" i="3"/>
  <c r="Q1098" i="3" s="1"/>
  <c r="P1099" i="3"/>
  <c r="Q1099" i="3" s="1"/>
  <c r="P1100" i="3"/>
  <c r="Q1100" i="3" s="1"/>
  <c r="P1101" i="3"/>
  <c r="Q1101" i="3" s="1"/>
  <c r="P1102" i="3"/>
  <c r="Q1102" i="3" s="1"/>
  <c r="P1103" i="3"/>
  <c r="Q1103" i="3" s="1"/>
  <c r="P1104" i="3"/>
  <c r="Q1104" i="3" s="1"/>
  <c r="P1105" i="3"/>
  <c r="Q1105" i="3" s="1"/>
  <c r="P1106" i="3"/>
  <c r="Q1106" i="3" s="1"/>
  <c r="P1107" i="3"/>
  <c r="Q1107" i="3" s="1"/>
  <c r="P1108" i="3"/>
  <c r="Q1108" i="3" s="1"/>
  <c r="P1109" i="3"/>
  <c r="Q1109" i="3" s="1"/>
  <c r="P1110" i="3"/>
  <c r="Q1110" i="3" s="1"/>
  <c r="P1111" i="3"/>
  <c r="Q1111" i="3" s="1"/>
  <c r="P1112" i="3"/>
  <c r="Q1112" i="3" s="1"/>
  <c r="P1113" i="3"/>
  <c r="Q1113" i="3" s="1"/>
  <c r="P1114" i="3"/>
  <c r="Q1114" i="3" s="1"/>
  <c r="P1115" i="3"/>
  <c r="Q1115" i="3" s="1"/>
  <c r="P1116" i="3"/>
  <c r="Q1116" i="3" s="1"/>
  <c r="P1117" i="3"/>
  <c r="Q1117" i="3" s="1"/>
  <c r="P1118" i="3"/>
  <c r="Q1118" i="3" s="1"/>
  <c r="P1119" i="3"/>
  <c r="Q1119" i="3" s="1"/>
  <c r="P1120" i="3"/>
  <c r="Q1120" i="3" s="1"/>
  <c r="P1121" i="3"/>
  <c r="Q1121" i="3" s="1"/>
  <c r="P1122" i="3"/>
  <c r="Q1122" i="3" s="1"/>
  <c r="P1123" i="3"/>
  <c r="Q1123" i="3" s="1"/>
  <c r="P1124" i="3"/>
  <c r="Q1124" i="3" s="1"/>
  <c r="P1125" i="3"/>
  <c r="Q1125" i="3" s="1"/>
  <c r="P1126" i="3"/>
  <c r="Q1126" i="3" s="1"/>
  <c r="P1127" i="3"/>
  <c r="Q1127" i="3" s="1"/>
  <c r="P1128" i="3"/>
  <c r="Q1128" i="3" s="1"/>
  <c r="P1129" i="3"/>
  <c r="Q1129" i="3" s="1"/>
  <c r="P1130" i="3"/>
  <c r="Q1130" i="3" s="1"/>
  <c r="P1131" i="3"/>
  <c r="Q1131" i="3" s="1"/>
  <c r="P1132" i="3"/>
  <c r="Q1132" i="3" s="1"/>
  <c r="P1133" i="3"/>
  <c r="Q1133" i="3" s="1"/>
  <c r="P1134" i="3"/>
  <c r="Q1134" i="3" s="1"/>
  <c r="P1135" i="3"/>
  <c r="Q1135" i="3" s="1"/>
  <c r="P1136" i="3"/>
  <c r="Q1136" i="3" s="1"/>
  <c r="P1137" i="3"/>
  <c r="Q1137" i="3" s="1"/>
  <c r="P1138" i="3"/>
  <c r="Q1138" i="3" s="1"/>
  <c r="P1139" i="3"/>
  <c r="Q1139" i="3" s="1"/>
  <c r="P1140" i="3"/>
  <c r="Q1140" i="3" s="1"/>
  <c r="P1141" i="3"/>
  <c r="Q1141" i="3" s="1"/>
  <c r="P1142" i="3"/>
  <c r="Q1142" i="3" s="1"/>
  <c r="P1143" i="3"/>
  <c r="Q1143" i="3" s="1"/>
  <c r="P1144" i="3"/>
  <c r="Q1144" i="3" s="1"/>
  <c r="P1145" i="3"/>
  <c r="Q1145" i="3" s="1"/>
  <c r="P1146" i="3"/>
  <c r="Q1146" i="3" s="1"/>
  <c r="P1147" i="3"/>
  <c r="Q1147" i="3" s="1"/>
  <c r="P1148" i="3"/>
  <c r="Q1148" i="3" s="1"/>
  <c r="P1149" i="3"/>
  <c r="Q1149" i="3" s="1"/>
  <c r="P1150" i="3"/>
  <c r="Q1150" i="3" s="1"/>
  <c r="P1151" i="3"/>
  <c r="Q1151" i="3" s="1"/>
  <c r="P1152" i="3"/>
  <c r="Q1152" i="3" s="1"/>
  <c r="P1153" i="3"/>
  <c r="Q1153" i="3" s="1"/>
  <c r="P1154" i="3"/>
  <c r="Q1154" i="3" s="1"/>
  <c r="P1155" i="3"/>
  <c r="Q1155" i="3" s="1"/>
  <c r="P1156" i="3"/>
  <c r="Q1156" i="3" s="1"/>
  <c r="P1157" i="3"/>
  <c r="Q1157" i="3" s="1"/>
  <c r="P1158" i="3"/>
  <c r="Q1158" i="3" s="1"/>
  <c r="P1159" i="3"/>
  <c r="Q1159" i="3" s="1"/>
  <c r="P1160" i="3"/>
  <c r="Q1160" i="3" s="1"/>
  <c r="P1161" i="3"/>
  <c r="Q1161" i="3" s="1"/>
  <c r="P1162" i="3"/>
  <c r="Q1162" i="3" s="1"/>
  <c r="P1163" i="3"/>
  <c r="Q1163" i="3" s="1"/>
  <c r="P1164" i="3"/>
  <c r="Q1164" i="3" s="1"/>
  <c r="P1165" i="3"/>
  <c r="Q1165" i="3" s="1"/>
  <c r="P1166" i="3"/>
  <c r="Q1166" i="3" s="1"/>
  <c r="P1167" i="3"/>
  <c r="Q1167" i="3" s="1"/>
  <c r="P1168" i="3"/>
  <c r="Q1168" i="3" s="1"/>
  <c r="P1169" i="3"/>
  <c r="Q1169" i="3" s="1"/>
  <c r="P1170" i="3"/>
  <c r="Q1170" i="3" s="1"/>
  <c r="P1172" i="3"/>
  <c r="Q1172" i="3" s="1"/>
  <c r="P1175" i="3"/>
  <c r="Q1175" i="3" s="1"/>
  <c r="P1176" i="3"/>
  <c r="Q1176" i="3" s="1"/>
  <c r="P1177" i="3"/>
  <c r="Q1177" i="3" s="1"/>
  <c r="P1178" i="3"/>
  <c r="Q1178" i="3" s="1"/>
  <c r="P1179" i="3"/>
  <c r="Q1179" i="3" s="1"/>
  <c r="P1180" i="3"/>
  <c r="Q1180" i="3" s="1"/>
  <c r="P1181" i="3"/>
  <c r="Q1181" i="3" s="1"/>
  <c r="P1190" i="3"/>
  <c r="Q1190" i="3" s="1"/>
  <c r="P1191" i="3"/>
  <c r="Q1191" i="3" s="1"/>
  <c r="P1192" i="3"/>
  <c r="Q1192" i="3" s="1"/>
  <c r="P1193" i="3"/>
  <c r="Q1193" i="3" s="1"/>
  <c r="P1194" i="3"/>
  <c r="Q1194" i="3" s="1"/>
  <c r="P1195" i="3"/>
  <c r="Q1195" i="3" s="1"/>
  <c r="P1196" i="3"/>
  <c r="Q1196" i="3" s="1"/>
  <c r="P1197" i="3"/>
  <c r="Q1197" i="3" s="1"/>
  <c r="P1465" i="3"/>
  <c r="Q1465" i="3" s="1"/>
  <c r="P1199" i="3"/>
  <c r="Q1199" i="3" s="1"/>
  <c r="P1200" i="3"/>
  <c r="Q1200" i="3" s="1"/>
  <c r="P1201" i="3"/>
  <c r="Q1201" i="3" s="1"/>
  <c r="P1202" i="3"/>
  <c r="Q1202" i="3" s="1"/>
  <c r="P1203" i="3"/>
  <c r="Q1203" i="3" s="1"/>
  <c r="P1204" i="3"/>
  <c r="Q1204" i="3" s="1"/>
  <c r="P1205" i="3"/>
  <c r="Q1205" i="3" s="1"/>
  <c r="P1206" i="3"/>
  <c r="Q1206" i="3" s="1"/>
  <c r="P1207" i="3"/>
  <c r="Q1207" i="3" s="1"/>
  <c r="P1208" i="3"/>
  <c r="Q1208" i="3" s="1"/>
  <c r="P1209" i="3"/>
  <c r="Q1209" i="3" s="1"/>
  <c r="P1210" i="3"/>
  <c r="Q1210" i="3" s="1"/>
  <c r="P1211" i="3"/>
  <c r="Q1211" i="3" s="1"/>
  <c r="P1212" i="3"/>
  <c r="Q1212" i="3" s="1"/>
  <c r="P1213" i="3"/>
  <c r="Q1213" i="3" s="1"/>
  <c r="P1214" i="3"/>
  <c r="Q1214" i="3" s="1"/>
  <c r="P1215" i="3"/>
  <c r="Q1215" i="3" s="1"/>
  <c r="P1216" i="3"/>
  <c r="Q1216" i="3" s="1"/>
  <c r="P1217" i="3"/>
  <c r="Q1217" i="3" s="1"/>
  <c r="P1218" i="3"/>
  <c r="Q1218" i="3" s="1"/>
  <c r="P1219" i="3"/>
  <c r="Q1219" i="3" s="1"/>
  <c r="P1220" i="3"/>
  <c r="Q1220" i="3" s="1"/>
  <c r="P1221" i="3"/>
  <c r="Q1221" i="3" s="1"/>
  <c r="P1222" i="3"/>
  <c r="Q1222" i="3" s="1"/>
  <c r="P1223" i="3"/>
  <c r="Q1223" i="3" s="1"/>
  <c r="P1224" i="3"/>
  <c r="Q1224" i="3" s="1"/>
  <c r="P1225" i="3"/>
  <c r="Q1225" i="3" s="1"/>
  <c r="P1226" i="3"/>
  <c r="Q1226" i="3" s="1"/>
  <c r="P1227" i="3"/>
  <c r="Q1227" i="3" s="1"/>
  <c r="P1228" i="3"/>
  <c r="Q1228" i="3" s="1"/>
  <c r="P1230" i="3"/>
  <c r="Q1230" i="3" s="1"/>
  <c r="P1234" i="3"/>
  <c r="Q1234" i="3" s="1"/>
  <c r="P1235" i="3"/>
  <c r="Q1235" i="3" s="1"/>
  <c r="P1236" i="3"/>
  <c r="Q1236" i="3" s="1"/>
  <c r="P1239" i="3"/>
  <c r="Q1239" i="3" s="1"/>
  <c r="P1240" i="3"/>
  <c r="Q1240" i="3" s="1"/>
  <c r="P1681" i="3"/>
  <c r="Q1681" i="3" s="1"/>
  <c r="P39" i="3"/>
  <c r="Q39" i="3" s="1"/>
  <c r="P15" i="3"/>
  <c r="Q15" i="3" s="1"/>
  <c r="P770" i="3"/>
  <c r="Q770" i="3" s="1"/>
  <c r="P771" i="3"/>
  <c r="Q771" i="3" s="1"/>
  <c r="P772" i="3"/>
  <c r="Q772" i="3" s="1"/>
  <c r="P773" i="3"/>
  <c r="Q773" i="3" s="1"/>
  <c r="P774" i="3"/>
  <c r="Q774" i="3" s="1"/>
  <c r="P775" i="3"/>
  <c r="Q775" i="3" s="1"/>
  <c r="P776" i="3"/>
  <c r="Q776" i="3" s="1"/>
  <c r="P777" i="3"/>
  <c r="Q777" i="3" s="1"/>
  <c r="P778" i="3"/>
  <c r="Q778" i="3" s="1"/>
  <c r="P779" i="3"/>
  <c r="Q779" i="3" s="1"/>
  <c r="P780" i="3"/>
  <c r="Q780" i="3" s="1"/>
  <c r="P781" i="3"/>
  <c r="Q781" i="3" s="1"/>
  <c r="P782" i="3"/>
  <c r="Q782" i="3" s="1"/>
  <c r="P783" i="3"/>
  <c r="Q783" i="3" s="1"/>
  <c r="P784" i="3"/>
  <c r="Q784" i="3" s="1"/>
  <c r="P785" i="3"/>
  <c r="Q785" i="3" s="1"/>
  <c r="P786" i="3"/>
  <c r="Q786" i="3" s="1"/>
  <c r="P787" i="3"/>
  <c r="Q787" i="3" s="1"/>
  <c r="P788" i="3"/>
  <c r="Q788" i="3" s="1"/>
  <c r="P6" i="3"/>
  <c r="Q6" i="3" s="1"/>
  <c r="P1241" i="3"/>
  <c r="Q1241" i="3" s="1"/>
  <c r="P1589" i="3"/>
  <c r="Q1589" i="3" s="1"/>
  <c r="P1593" i="3"/>
  <c r="Q1593" i="3" s="1"/>
  <c r="P1601" i="3"/>
  <c r="Q1601" i="3" s="1"/>
  <c r="P1603" i="3"/>
  <c r="Q1603" i="3" s="1"/>
  <c r="P1604" i="3"/>
  <c r="Q1604" i="3" s="1"/>
  <c r="P1610" i="3"/>
  <c r="Q1610" i="3" s="1"/>
  <c r="P1618" i="3"/>
  <c r="Q1618" i="3" s="1"/>
  <c r="P1620" i="3"/>
  <c r="Q1620" i="3" s="1"/>
  <c r="P1623" i="3"/>
  <c r="Q1623" i="3" s="1"/>
  <c r="P1625" i="3"/>
  <c r="Q1625" i="3" s="1"/>
  <c r="P1629" i="3"/>
  <c r="Q1629" i="3" s="1"/>
  <c r="P1633" i="3"/>
  <c r="Q1633" i="3" s="1"/>
  <c r="P1637" i="3"/>
  <c r="Q1637" i="3" s="1"/>
  <c r="P1638" i="3"/>
  <c r="Q1638" i="3" s="1"/>
  <c r="P1639" i="3"/>
  <c r="Q1639" i="3" s="1"/>
  <c r="P1645" i="3"/>
  <c r="Q1645" i="3" s="1"/>
  <c r="P1647" i="3"/>
  <c r="Q1647" i="3" s="1"/>
  <c r="P1655" i="3"/>
  <c r="Q1655" i="3" s="1"/>
  <c r="P1657" i="3"/>
  <c r="Q1657" i="3" s="1"/>
  <c r="P1659" i="3"/>
  <c r="Q1659" i="3" s="1"/>
  <c r="P1661" i="3"/>
  <c r="Q1661" i="3" s="1"/>
  <c r="P1466" i="3"/>
  <c r="Q1466" i="3" s="1"/>
  <c r="P1467" i="3"/>
  <c r="Q1467" i="3" s="1"/>
  <c r="P1468" i="3"/>
  <c r="Q1468" i="3" s="1"/>
  <c r="P1469" i="3"/>
  <c r="Q1469" i="3" s="1"/>
  <c r="P1470" i="3"/>
  <c r="Q1470" i="3" s="1"/>
  <c r="P1471" i="3"/>
  <c r="Q1471" i="3" s="1"/>
  <c r="P1472" i="3"/>
  <c r="Q1472" i="3" s="1"/>
  <c r="P1473" i="3"/>
  <c r="Q1473" i="3" s="1"/>
  <c r="P1474" i="3"/>
  <c r="Q1474" i="3" s="1"/>
  <c r="P1475" i="3"/>
  <c r="Q1475" i="3" s="1"/>
  <c r="P1476" i="3"/>
  <c r="Q1476" i="3" s="1"/>
  <c r="P1477" i="3"/>
  <c r="Q1477" i="3" s="1"/>
  <c r="P1478" i="3"/>
  <c r="Q1478" i="3" s="1"/>
  <c r="P1479" i="3"/>
  <c r="Q1479" i="3" s="1"/>
  <c r="P1480" i="3"/>
  <c r="Q1480" i="3" s="1"/>
  <c r="P1481" i="3"/>
  <c r="Q1481" i="3" s="1"/>
  <c r="P1482" i="3"/>
  <c r="Q1482" i="3" s="1"/>
  <c r="P1483" i="3"/>
  <c r="Q1483" i="3" s="1"/>
  <c r="P1484" i="3"/>
  <c r="Q1484" i="3" s="1"/>
  <c r="P1485" i="3"/>
  <c r="Q1485" i="3" s="1"/>
  <c r="P1486" i="3"/>
  <c r="Q1486" i="3" s="1"/>
  <c r="P1487" i="3"/>
  <c r="Q1487" i="3" s="1"/>
  <c r="P1488" i="3"/>
  <c r="Q1488" i="3" s="1"/>
  <c r="P1489" i="3"/>
  <c r="Q1489" i="3" s="1"/>
  <c r="P1490" i="3"/>
  <c r="Q1490" i="3" s="1"/>
  <c r="P1491" i="3"/>
  <c r="Q1491" i="3" s="1"/>
  <c r="P1492" i="3"/>
  <c r="Q1492" i="3" s="1"/>
  <c r="P1493" i="3"/>
  <c r="Q1493" i="3" s="1"/>
  <c r="P1494" i="3"/>
  <c r="Q1494" i="3" s="1"/>
  <c r="P1495" i="3"/>
  <c r="Q1495" i="3" s="1"/>
  <c r="P1496" i="3"/>
  <c r="Q1496" i="3" s="1"/>
  <c r="P1497" i="3"/>
  <c r="Q1497" i="3" s="1"/>
  <c r="P1498" i="3"/>
  <c r="Q1498" i="3" s="1"/>
  <c r="P1499" i="3"/>
  <c r="Q1499" i="3" s="1"/>
  <c r="P1500" i="3"/>
  <c r="Q1500" i="3" s="1"/>
  <c r="P1501" i="3"/>
  <c r="Q1501" i="3" s="1"/>
  <c r="P1502" i="3"/>
  <c r="Q1502" i="3" s="1"/>
  <c r="P1503" i="3"/>
  <c r="Q1503" i="3" s="1"/>
  <c r="P1504" i="3"/>
  <c r="Q1504" i="3" s="1"/>
  <c r="P1505" i="3"/>
  <c r="Q1505" i="3" s="1"/>
  <c r="P1506" i="3"/>
  <c r="Q1506" i="3" s="1"/>
  <c r="P1507" i="3"/>
  <c r="Q1507" i="3" s="1"/>
  <c r="P1508" i="3"/>
  <c r="Q1508" i="3" s="1"/>
  <c r="P1509" i="3"/>
  <c r="Q1509" i="3" s="1"/>
  <c r="P1510" i="3"/>
  <c r="Q1510" i="3" s="1"/>
  <c r="P1511" i="3"/>
  <c r="Q1511" i="3" s="1"/>
  <c r="P1512" i="3"/>
  <c r="Q1512" i="3" s="1"/>
  <c r="P1513" i="3"/>
  <c r="Q1513" i="3" s="1"/>
  <c r="P1514" i="3"/>
  <c r="Q1514" i="3" s="1"/>
  <c r="P1515" i="3"/>
  <c r="Q1515" i="3" s="1"/>
  <c r="P1516" i="3"/>
  <c r="Q1516" i="3" s="1"/>
  <c r="P1517" i="3"/>
  <c r="Q1517" i="3" s="1"/>
  <c r="P1518" i="3"/>
  <c r="Q1518" i="3" s="1"/>
  <c r="P1519" i="3"/>
  <c r="Q1519" i="3" s="1"/>
  <c r="P1520" i="3"/>
  <c r="Q1520" i="3" s="1"/>
  <c r="P1521" i="3"/>
  <c r="Q1521" i="3" s="1"/>
  <c r="P1522" i="3"/>
  <c r="Q1522" i="3" s="1"/>
  <c r="P1523" i="3"/>
  <c r="Q1523" i="3" s="1"/>
  <c r="P1524" i="3"/>
  <c r="Q1524" i="3" s="1"/>
  <c r="P1525" i="3"/>
  <c r="Q1525" i="3" s="1"/>
  <c r="P1526" i="3"/>
  <c r="Q1526" i="3" s="1"/>
  <c r="P1527" i="3"/>
  <c r="Q1527" i="3" s="1"/>
  <c r="P1528" i="3"/>
  <c r="Q1528" i="3" s="1"/>
  <c r="P1529" i="3"/>
  <c r="Q1529" i="3" s="1"/>
  <c r="P1530" i="3"/>
  <c r="Q1530" i="3" s="1"/>
  <c r="P1531" i="3"/>
  <c r="Q1531" i="3" s="1"/>
  <c r="P1532" i="3"/>
  <c r="Q1532" i="3" s="1"/>
  <c r="P1533" i="3"/>
  <c r="Q1533" i="3" s="1"/>
  <c r="P1534" i="3"/>
  <c r="Q1534" i="3" s="1"/>
  <c r="P1535" i="3"/>
  <c r="Q1535" i="3" s="1"/>
  <c r="P1536" i="3"/>
  <c r="Q1536" i="3" s="1"/>
  <c r="P1537" i="3"/>
  <c r="Q1537" i="3" s="1"/>
  <c r="P1538" i="3"/>
  <c r="Q1538" i="3" s="1"/>
  <c r="P1539" i="3"/>
  <c r="Q1539" i="3" s="1"/>
  <c r="P1540" i="3"/>
  <c r="Q1540" i="3" s="1"/>
  <c r="P1541" i="3"/>
  <c r="Q1541" i="3" s="1"/>
  <c r="P1542" i="3"/>
  <c r="Q1542" i="3" s="1"/>
  <c r="P1543" i="3"/>
  <c r="Q1543" i="3" s="1"/>
  <c r="P1544" i="3"/>
  <c r="Q1544" i="3" s="1"/>
  <c r="P1545" i="3"/>
  <c r="Q1545" i="3" s="1"/>
  <c r="P1546" i="3"/>
  <c r="Q1546" i="3" s="1"/>
  <c r="P1547" i="3"/>
  <c r="Q1547" i="3" s="1"/>
  <c r="P1548" i="3"/>
  <c r="Q1548" i="3" s="1"/>
  <c r="P1549" i="3"/>
  <c r="Q1549" i="3" s="1"/>
  <c r="P1550" i="3"/>
  <c r="Q1550" i="3" s="1"/>
  <c r="P1551" i="3"/>
  <c r="Q1551" i="3" s="1"/>
  <c r="P1552" i="3"/>
  <c r="Q1552" i="3" s="1"/>
  <c r="P1553" i="3"/>
  <c r="Q1553" i="3" s="1"/>
  <c r="P1554" i="3"/>
  <c r="Q1554" i="3" s="1"/>
  <c r="P1555" i="3"/>
  <c r="Q1555" i="3" s="1"/>
  <c r="P1556" i="3"/>
  <c r="Q1556" i="3" s="1"/>
  <c r="P1557" i="3"/>
  <c r="Q1557" i="3" s="1"/>
  <c r="P1558" i="3"/>
  <c r="Q1558" i="3" s="1"/>
  <c r="P1559" i="3"/>
  <c r="Q1559" i="3" s="1"/>
  <c r="P1560" i="3"/>
  <c r="Q1560" i="3" s="1"/>
  <c r="P1561" i="3"/>
  <c r="Q1561" i="3" s="1"/>
  <c r="P1562" i="3"/>
  <c r="Q1562" i="3" s="1"/>
  <c r="P1563" i="3"/>
  <c r="Q1563" i="3" s="1"/>
  <c r="P1564" i="3"/>
  <c r="Q1564" i="3" s="1"/>
  <c r="P1565" i="3"/>
  <c r="Q1565" i="3" s="1"/>
  <c r="P1566" i="3"/>
  <c r="Q1566" i="3" s="1"/>
  <c r="P1567" i="3"/>
  <c r="Q1567" i="3" s="1"/>
  <c r="P1568" i="3"/>
  <c r="Q1568" i="3" s="1"/>
  <c r="P1569" i="3"/>
  <c r="Q1569" i="3" s="1"/>
  <c r="P1570" i="3"/>
  <c r="Q1570" i="3" s="1"/>
  <c r="P1571" i="3"/>
  <c r="Q1571" i="3" s="1"/>
  <c r="P1572" i="3"/>
  <c r="Q1572" i="3" s="1"/>
  <c r="P1573" i="3"/>
  <c r="Q1573" i="3" s="1"/>
  <c r="P1574" i="3"/>
  <c r="Q1574" i="3" s="1"/>
  <c r="P1575" i="3"/>
  <c r="Q1575" i="3" s="1"/>
  <c r="P1576" i="3"/>
  <c r="Q1576" i="3" s="1"/>
  <c r="P1577" i="3"/>
  <c r="Q1577" i="3" s="1"/>
  <c r="P1578" i="3"/>
  <c r="Q1578" i="3" s="1"/>
  <c r="P1579" i="3"/>
  <c r="Q1579" i="3" s="1"/>
  <c r="P1580" i="3"/>
  <c r="Q1580" i="3" s="1"/>
  <c r="P1581" i="3"/>
  <c r="Q1581" i="3" s="1"/>
  <c r="P1582" i="3"/>
  <c r="Q1582" i="3" s="1"/>
  <c r="P1583" i="3"/>
  <c r="Q1583" i="3" s="1"/>
  <c r="P1584" i="3"/>
  <c r="Q1584" i="3" s="1"/>
  <c r="P1585" i="3"/>
  <c r="Q1585" i="3" s="1"/>
  <c r="P1671" i="3"/>
  <c r="Q1671" i="3" s="1"/>
  <c r="P1672" i="3"/>
  <c r="Q1672" i="3" s="1"/>
  <c r="P1673" i="3"/>
  <c r="Q1673" i="3" s="1"/>
  <c r="P1674" i="3"/>
  <c r="Q1674" i="3" s="1"/>
  <c r="P1682" i="3"/>
  <c r="Q1682" i="3" s="1"/>
  <c r="P1685" i="3"/>
  <c r="Q1685" i="3" s="1"/>
  <c r="P1686" i="3"/>
  <c r="Q1686" i="3" s="1"/>
  <c r="L1" i="3"/>
  <c r="AH621" i="3" s="1"/>
  <c r="J4" i="2"/>
  <c r="N4" i="2" s="1"/>
  <c r="O4" i="2" s="1"/>
  <c r="P4" i="2"/>
  <c r="G4" i="2"/>
  <c r="K4" i="2" s="1"/>
  <c r="A7" i="3" l="1"/>
  <c r="Q107" i="3"/>
  <c r="Q108" i="3"/>
  <c r="AH103" i="3"/>
  <c r="AH95" i="3"/>
  <c r="AH87" i="3"/>
  <c r="AH79" i="3"/>
  <c r="AH71" i="3"/>
  <c r="AH63" i="3"/>
  <c r="AH57" i="3"/>
  <c r="AH48" i="3"/>
  <c r="AH42" i="3"/>
  <c r="AH36" i="3"/>
  <c r="AH28" i="3"/>
  <c r="AH20" i="3"/>
  <c r="AH13" i="3"/>
  <c r="AH1467" i="3"/>
  <c r="AH104" i="3"/>
  <c r="AH89" i="3"/>
  <c r="AH81" i="3"/>
  <c r="AH73" i="3"/>
  <c r="AH65" i="3"/>
  <c r="AH59" i="3"/>
  <c r="AH52" i="3"/>
  <c r="AH51" i="3"/>
  <c r="AH44" i="3"/>
  <c r="AH37" i="3"/>
  <c r="AH22" i="3"/>
  <c r="AH16" i="3"/>
  <c r="AH1685" i="3"/>
  <c r="AN1685" i="3" s="1"/>
  <c r="AH1682" i="3"/>
  <c r="AH1677" i="3"/>
  <c r="AH1674" i="3"/>
  <c r="AH1666" i="3"/>
  <c r="AH1664" i="3"/>
  <c r="AH1659" i="3"/>
  <c r="AH1655" i="3"/>
  <c r="AH1649" i="3"/>
  <c r="AH1646" i="3"/>
  <c r="AH1640" i="3"/>
  <c r="AH1639" i="3"/>
  <c r="AH1634" i="3"/>
  <c r="AH1630" i="3"/>
  <c r="AH1623" i="3"/>
  <c r="AH1619" i="3"/>
  <c r="AH1616" i="3"/>
  <c r="AH1615" i="3"/>
  <c r="AH1610" i="3"/>
  <c r="AH1596" i="3"/>
  <c r="AH1595" i="3"/>
  <c r="AH1587" i="3"/>
  <c r="AH1586" i="3"/>
  <c r="AH1578" i="3"/>
  <c r="AH1574" i="3"/>
  <c r="AH1571" i="3"/>
  <c r="AH1570" i="3"/>
  <c r="AH1562" i="3"/>
  <c r="AH1556" i="3"/>
  <c r="AH1553" i="3"/>
  <c r="AH1548" i="3"/>
  <c r="AH1547" i="3"/>
  <c r="AH1538" i="3"/>
  <c r="AH1529" i="3"/>
  <c r="AH1526" i="3"/>
  <c r="AH1525" i="3"/>
  <c r="AH1522" i="3"/>
  <c r="AH1517" i="3"/>
  <c r="AH1506" i="3"/>
  <c r="AH1500" i="3"/>
  <c r="AH1494" i="3"/>
  <c r="AH1484" i="3"/>
  <c r="AH1479" i="3"/>
  <c r="AH1474" i="3"/>
  <c r="AH1468" i="3"/>
  <c r="AH1465" i="3"/>
  <c r="AH1464" i="3"/>
  <c r="AH1463" i="3"/>
  <c r="AH1462" i="3"/>
  <c r="AH1461" i="3"/>
  <c r="AH1460" i="3"/>
  <c r="AH1459" i="3"/>
  <c r="AH1458" i="3"/>
  <c r="AH1457" i="3"/>
  <c r="AH1456" i="3"/>
  <c r="AH1455" i="3"/>
  <c r="AH1454" i="3"/>
  <c r="AH1453" i="3"/>
  <c r="AH1452" i="3"/>
  <c r="AH1451" i="3"/>
  <c r="AH1450" i="3"/>
  <c r="AH1449" i="3"/>
  <c r="AH1448" i="3"/>
  <c r="AH1447" i="3"/>
  <c r="AH1446" i="3"/>
  <c r="AH1445" i="3"/>
  <c r="AH1444" i="3"/>
  <c r="AH1443" i="3"/>
  <c r="AH1442" i="3"/>
  <c r="AH1441" i="3"/>
  <c r="AH1440" i="3"/>
  <c r="AH1439" i="3"/>
  <c r="AH1438" i="3"/>
  <c r="AH1437" i="3"/>
  <c r="AH1436" i="3"/>
  <c r="AH1435" i="3"/>
  <c r="AH1434" i="3"/>
  <c r="AH1433" i="3"/>
  <c r="AH1432" i="3"/>
  <c r="AH1431" i="3"/>
  <c r="AH1430" i="3"/>
  <c r="AH1429" i="3"/>
  <c r="AH1428" i="3"/>
  <c r="AH1427" i="3"/>
  <c r="AH1426" i="3"/>
  <c r="AH1425" i="3"/>
  <c r="AH1424" i="3"/>
  <c r="AH1423" i="3"/>
  <c r="AH1422" i="3"/>
  <c r="AH1421" i="3"/>
  <c r="AH1420" i="3"/>
  <c r="AH1419" i="3"/>
  <c r="AH1418" i="3"/>
  <c r="AH1417" i="3"/>
  <c r="AH1416" i="3"/>
  <c r="AH1415" i="3"/>
  <c r="AH1414" i="3"/>
  <c r="AH1413" i="3"/>
  <c r="AH1412" i="3"/>
  <c r="AH1411" i="3"/>
  <c r="AH1410" i="3"/>
  <c r="AH1409" i="3"/>
  <c r="AH1408" i="3"/>
  <c r="AH1407" i="3"/>
  <c r="AH1406" i="3"/>
  <c r="AH1405" i="3"/>
  <c r="AH1404" i="3"/>
  <c r="AH1403" i="3"/>
  <c r="AH1402" i="3"/>
  <c r="AH1401" i="3"/>
  <c r="AH1400" i="3"/>
  <c r="AH1399" i="3"/>
  <c r="AH1398" i="3"/>
  <c r="AH1397" i="3"/>
  <c r="AH1396" i="3"/>
  <c r="AH1395" i="3"/>
  <c r="AH1394" i="3"/>
  <c r="AH1393" i="3"/>
  <c r="AH1392" i="3"/>
  <c r="AH1391" i="3"/>
  <c r="AH1390" i="3"/>
  <c r="AH1389" i="3"/>
  <c r="AH1388" i="3"/>
  <c r="AH1387" i="3"/>
  <c r="AH1386" i="3"/>
  <c r="AH1385" i="3"/>
  <c r="AH1384" i="3"/>
  <c r="AH1383" i="3"/>
  <c r="AH1382" i="3"/>
  <c r="AH1381" i="3"/>
  <c r="AH1380" i="3"/>
  <c r="AH1379" i="3"/>
  <c r="AH1378" i="3"/>
  <c r="AH1377" i="3"/>
  <c r="AH1376" i="3"/>
  <c r="AH1375" i="3"/>
  <c r="AH1374" i="3"/>
  <c r="AH1373" i="3"/>
  <c r="AH1372" i="3"/>
  <c r="AH1371" i="3"/>
  <c r="AH1370" i="3"/>
  <c r="AH1369" i="3"/>
  <c r="AH1368" i="3"/>
  <c r="AH1367" i="3"/>
  <c r="AH1366" i="3"/>
  <c r="AH1365" i="3"/>
  <c r="AH1364" i="3"/>
  <c r="AH1363" i="3"/>
  <c r="AH1362" i="3"/>
  <c r="AH1361" i="3"/>
  <c r="AH1360" i="3"/>
  <c r="AH1359" i="3"/>
  <c r="AH1358" i="3"/>
  <c r="AH1357" i="3"/>
  <c r="AH1356" i="3"/>
  <c r="AH1355" i="3"/>
  <c r="AH1354" i="3"/>
  <c r="AH1353" i="3"/>
  <c r="AH1352" i="3"/>
  <c r="AH1351" i="3"/>
  <c r="AH1350" i="3"/>
  <c r="AH1349" i="3"/>
  <c r="AH1348" i="3"/>
  <c r="AH1347" i="3"/>
  <c r="AH1346" i="3"/>
  <c r="AH1345" i="3"/>
  <c r="AH1344" i="3"/>
  <c r="AH1343" i="3"/>
  <c r="AH1342" i="3"/>
  <c r="AH1341" i="3"/>
  <c r="AH1340" i="3"/>
  <c r="AH1339" i="3"/>
  <c r="AH1338" i="3"/>
  <c r="AH1337" i="3"/>
  <c r="AH1336" i="3"/>
  <c r="AH1335" i="3"/>
  <c r="AH1334" i="3"/>
  <c r="AH1333" i="3"/>
  <c r="AH1332" i="3"/>
  <c r="AH1331" i="3"/>
  <c r="AH1330" i="3"/>
  <c r="AH1329" i="3"/>
  <c r="AH1328" i="3"/>
  <c r="AH1327" i="3"/>
  <c r="AH1326" i="3"/>
  <c r="AH1325" i="3"/>
  <c r="AH1324" i="3"/>
  <c r="AH1323" i="3"/>
  <c r="AH1322" i="3"/>
  <c r="AH1321" i="3"/>
  <c r="AH1320" i="3"/>
  <c r="AH1319" i="3"/>
  <c r="AH1318" i="3"/>
  <c r="AH1317" i="3"/>
  <c r="AH1316" i="3"/>
  <c r="AH1315" i="3"/>
  <c r="AH1314" i="3"/>
  <c r="AH1313" i="3"/>
  <c r="AH1312" i="3"/>
  <c r="AH1311" i="3"/>
  <c r="AH1310" i="3"/>
  <c r="AH1309" i="3"/>
  <c r="AH1308" i="3"/>
  <c r="AH1307" i="3"/>
  <c r="AH1306" i="3"/>
  <c r="AH1305" i="3"/>
  <c r="AH1304" i="3"/>
  <c r="AH1303" i="3"/>
  <c r="AH1302" i="3"/>
  <c r="AH1301" i="3"/>
  <c r="AH1300" i="3"/>
  <c r="AH1299" i="3"/>
  <c r="AH1298" i="3"/>
  <c r="AH1297" i="3"/>
  <c r="AH1296" i="3"/>
  <c r="AH1295" i="3"/>
  <c r="AH1294" i="3"/>
  <c r="AH1293" i="3"/>
  <c r="AH1292" i="3"/>
  <c r="AH1291" i="3"/>
  <c r="AH1290" i="3"/>
  <c r="AH1289" i="3"/>
  <c r="AH1288" i="3"/>
  <c r="AH1287" i="3"/>
  <c r="AH1286" i="3"/>
  <c r="AH1285" i="3"/>
  <c r="AH1284" i="3"/>
  <c r="AH1283" i="3"/>
  <c r="AH1282" i="3"/>
  <c r="AH1281" i="3"/>
  <c r="AH1280" i="3"/>
  <c r="AH1279" i="3"/>
  <c r="AH1278" i="3"/>
  <c r="AH1277" i="3"/>
  <c r="AH1276" i="3"/>
  <c r="AH1275" i="3"/>
  <c r="AH1274" i="3"/>
  <c r="AH1273" i="3"/>
  <c r="AH1272" i="3"/>
  <c r="AH1271" i="3"/>
  <c r="AH1270" i="3"/>
  <c r="AH1269" i="3"/>
  <c r="AH1268" i="3"/>
  <c r="AH1267" i="3"/>
  <c r="AH1266" i="3"/>
  <c r="AH1265" i="3"/>
  <c r="AH1264" i="3"/>
  <c r="AH1263" i="3"/>
  <c r="AH1262" i="3"/>
  <c r="AH1261" i="3"/>
  <c r="AH1260" i="3"/>
  <c r="AH1259" i="3"/>
  <c r="AH1258" i="3"/>
  <c r="AH1257" i="3"/>
  <c r="AH1256" i="3"/>
  <c r="AH1255" i="3"/>
  <c r="AH1254" i="3"/>
  <c r="AH1253" i="3"/>
  <c r="AH1252" i="3"/>
  <c r="AH1251" i="3"/>
  <c r="AH1250" i="3"/>
  <c r="AH1249" i="3"/>
  <c r="AH1248" i="3"/>
  <c r="AH1247" i="3"/>
  <c r="AH1246" i="3"/>
  <c r="AH1245" i="3"/>
  <c r="AH1244" i="3"/>
  <c r="AH1243" i="3"/>
  <c r="AH1242" i="3"/>
  <c r="AH1241" i="3"/>
  <c r="AH108" i="3"/>
  <c r="AH107" i="3"/>
  <c r="AH99" i="3"/>
  <c r="AH91" i="3"/>
  <c r="AH82" i="3"/>
  <c r="AH75" i="3"/>
  <c r="AH74" i="3"/>
  <c r="AH68" i="3"/>
  <c r="AH60" i="3"/>
  <c r="AH1679" i="3"/>
  <c r="AH1673" i="3"/>
  <c r="AH1669" i="3"/>
  <c r="AH1668" i="3"/>
  <c r="AH1665" i="3"/>
  <c r="AH1662" i="3"/>
  <c r="AH1648" i="3"/>
  <c r="AH1631" i="3"/>
  <c r="AH1624" i="3"/>
  <c r="AH1618" i="3"/>
  <c r="AH1609" i="3"/>
  <c r="AH1604" i="3"/>
  <c r="AH1601" i="3"/>
  <c r="AH1593" i="3"/>
  <c r="AH1592" i="3"/>
  <c r="AH1588" i="3"/>
  <c r="AH1585" i="3"/>
  <c r="AH1583" i="3"/>
  <c r="AH1579" i="3"/>
  <c r="AH1575" i="3"/>
  <c r="AH1560" i="3"/>
  <c r="AH1554" i="3"/>
  <c r="AH1543" i="3"/>
  <c r="AH1534" i="3"/>
  <c r="AH1524" i="3"/>
  <c r="AH1519" i="3"/>
  <c r="AH1512" i="3"/>
  <c r="AH1507" i="3"/>
  <c r="AH1498" i="3"/>
  <c r="AH1496" i="3"/>
  <c r="AH1491" i="3"/>
  <c r="AH1482" i="3"/>
  <c r="AH1475" i="3"/>
  <c r="AH1471" i="3"/>
  <c r="AH1240" i="3"/>
  <c r="AH1236" i="3"/>
  <c r="AH1235" i="3"/>
  <c r="AH1234" i="3"/>
  <c r="AH1233" i="3"/>
  <c r="AH1232" i="3"/>
  <c r="AH1231" i="3"/>
  <c r="AH1230" i="3"/>
  <c r="AH1229" i="3"/>
  <c r="AH1228" i="3"/>
  <c r="AH1227" i="3"/>
  <c r="AH1226" i="3"/>
  <c r="AH1225" i="3"/>
  <c r="AH1224" i="3"/>
  <c r="AH1223" i="3"/>
  <c r="AH1222" i="3"/>
  <c r="AH1221" i="3"/>
  <c r="AH1220" i="3"/>
  <c r="AH1219" i="3"/>
  <c r="AH1218" i="3"/>
  <c r="AH1217" i="3"/>
  <c r="AH1216" i="3"/>
  <c r="AH1215" i="3"/>
  <c r="AH1214" i="3"/>
  <c r="AH1213" i="3"/>
  <c r="AH1212" i="3"/>
  <c r="AH1211" i="3"/>
  <c r="AH1210" i="3"/>
  <c r="AH1209" i="3"/>
  <c r="AH1208" i="3"/>
  <c r="AH1207" i="3"/>
  <c r="AH1206" i="3"/>
  <c r="AH1205" i="3"/>
  <c r="AH1204" i="3"/>
  <c r="AH1203" i="3"/>
  <c r="AH1202" i="3"/>
  <c r="AH1201" i="3"/>
  <c r="AH1200" i="3"/>
  <c r="AH1199" i="3"/>
  <c r="AH1198" i="3"/>
  <c r="AH1197" i="3"/>
  <c r="AH1196" i="3"/>
  <c r="AH1195" i="3"/>
  <c r="AH1194" i="3"/>
  <c r="AH1193" i="3"/>
  <c r="AH1192" i="3"/>
  <c r="AH1191" i="3"/>
  <c r="AH1190" i="3"/>
  <c r="AH1189" i="3"/>
  <c r="AH1188" i="3"/>
  <c r="AH1187" i="3"/>
  <c r="AH1186" i="3"/>
  <c r="AH1185" i="3"/>
  <c r="AH1184" i="3"/>
  <c r="AH1183" i="3"/>
  <c r="AH1182" i="3"/>
  <c r="AH1181" i="3"/>
  <c r="AH1180" i="3"/>
  <c r="AH1179" i="3"/>
  <c r="AH1178" i="3"/>
  <c r="AH1177" i="3"/>
  <c r="AH1176" i="3"/>
  <c r="AH1175" i="3"/>
  <c r="AH1174" i="3"/>
  <c r="AH1173" i="3"/>
  <c r="AH1172" i="3"/>
  <c r="AH1171" i="3"/>
  <c r="AH1170" i="3"/>
  <c r="AH1169" i="3"/>
  <c r="AH1168" i="3"/>
  <c r="AH1167" i="3"/>
  <c r="AH1166" i="3"/>
  <c r="AH1165" i="3"/>
  <c r="AH1164" i="3"/>
  <c r="AH1163" i="3"/>
  <c r="AH1162" i="3"/>
  <c r="AH1161" i="3"/>
  <c r="AH1160" i="3"/>
  <c r="AH1159" i="3"/>
  <c r="AH1158" i="3"/>
  <c r="AH1157" i="3"/>
  <c r="AH1156" i="3"/>
  <c r="AH1155" i="3"/>
  <c r="AH1154" i="3"/>
  <c r="AH1153" i="3"/>
  <c r="AH1152" i="3"/>
  <c r="AH1151" i="3"/>
  <c r="AH1150" i="3"/>
  <c r="AH1149" i="3"/>
  <c r="AH1148" i="3"/>
  <c r="AH1147" i="3"/>
  <c r="AH1146" i="3"/>
  <c r="AH1145" i="3"/>
  <c r="AH1144" i="3"/>
  <c r="AH1143" i="3"/>
  <c r="AH1142" i="3"/>
  <c r="AH1141" i="3"/>
  <c r="AH1140" i="3"/>
  <c r="AH1139" i="3"/>
  <c r="AH1138" i="3"/>
  <c r="AH1137" i="3"/>
  <c r="AH1136" i="3"/>
  <c r="AH1135" i="3"/>
  <c r="AH1134" i="3"/>
  <c r="AH1133" i="3"/>
  <c r="AH1132" i="3"/>
  <c r="AH1131" i="3"/>
  <c r="AH1130" i="3"/>
  <c r="AH1129" i="3"/>
  <c r="AH1128" i="3"/>
  <c r="AH1127" i="3"/>
  <c r="AH1126" i="3"/>
  <c r="AH1125" i="3"/>
  <c r="AH1124" i="3"/>
  <c r="AH1123" i="3"/>
  <c r="AH1122" i="3"/>
  <c r="AH1121" i="3"/>
  <c r="AH1120" i="3"/>
  <c r="AH1119" i="3"/>
  <c r="AH1118" i="3"/>
  <c r="AH1117" i="3"/>
  <c r="AH1116" i="3"/>
  <c r="AH1115" i="3"/>
  <c r="AH1114" i="3"/>
  <c r="AH1113" i="3"/>
  <c r="AH1112" i="3"/>
  <c r="AH1111" i="3"/>
  <c r="AH1110" i="3"/>
  <c r="AH1109" i="3"/>
  <c r="AH1108" i="3"/>
  <c r="AH1107" i="3"/>
  <c r="AH1106" i="3"/>
  <c r="AH1105" i="3"/>
  <c r="AH1104" i="3"/>
  <c r="AH1103" i="3"/>
  <c r="AH1102" i="3"/>
  <c r="AH1101" i="3"/>
  <c r="AH1100" i="3"/>
  <c r="AH1099" i="3"/>
  <c r="AH1098" i="3"/>
  <c r="AH1097" i="3"/>
  <c r="AH1096" i="3"/>
  <c r="AH1095" i="3"/>
  <c r="AH1094" i="3"/>
  <c r="AH1093" i="3"/>
  <c r="AH1092" i="3"/>
  <c r="AH1091" i="3"/>
  <c r="AH1090" i="3"/>
  <c r="AH1089" i="3"/>
  <c r="AH1088" i="3"/>
  <c r="AH1087" i="3"/>
  <c r="AH1086" i="3"/>
  <c r="AH1085" i="3"/>
  <c r="AH1084" i="3"/>
  <c r="AH1083" i="3"/>
  <c r="AH1082" i="3"/>
  <c r="AH1081" i="3"/>
  <c r="AH1080" i="3"/>
  <c r="AH1079" i="3"/>
  <c r="AH1078" i="3"/>
  <c r="AH1077" i="3"/>
  <c r="AH1076" i="3"/>
  <c r="AH1075" i="3"/>
  <c r="AH1074" i="3"/>
  <c r="AH1073" i="3"/>
  <c r="AH1072" i="3"/>
  <c r="AH1071" i="3"/>
  <c r="AH1070" i="3"/>
  <c r="AH1069" i="3"/>
  <c r="AH1068" i="3"/>
  <c r="AH1067" i="3"/>
  <c r="AH1066" i="3"/>
  <c r="AH1065" i="3"/>
  <c r="AH1064" i="3"/>
  <c r="AH1063" i="3"/>
  <c r="AH1062" i="3"/>
  <c r="AH1061" i="3"/>
  <c r="AH1060" i="3"/>
  <c r="AH1059" i="3"/>
  <c r="AH1058" i="3"/>
  <c r="AH1057" i="3"/>
  <c r="AH1056" i="3"/>
  <c r="AH1055" i="3"/>
  <c r="AH1054" i="3"/>
  <c r="AH1053" i="3"/>
  <c r="AH1052" i="3"/>
  <c r="AH1051" i="3"/>
  <c r="AH1050" i="3"/>
  <c r="AH1049" i="3"/>
  <c r="AH1048" i="3"/>
  <c r="AH1047" i="3"/>
  <c r="AH1046" i="3"/>
  <c r="AH1045" i="3"/>
  <c r="AH1044" i="3"/>
  <c r="AH1043" i="3"/>
  <c r="AH1042" i="3"/>
  <c r="AH1041" i="3"/>
  <c r="AH1040" i="3"/>
  <c r="AH1039" i="3"/>
  <c r="AH1038" i="3"/>
  <c r="AH1037" i="3"/>
  <c r="AH1036" i="3"/>
  <c r="AH1035" i="3"/>
  <c r="AH1034" i="3"/>
  <c r="AH1033" i="3"/>
  <c r="AH1032" i="3"/>
  <c r="AH1031" i="3"/>
  <c r="AH1030" i="3"/>
  <c r="AH1029" i="3"/>
  <c r="AH1028" i="3"/>
  <c r="AH1027" i="3"/>
  <c r="AH1026" i="3"/>
  <c r="AH1025" i="3"/>
  <c r="AH1024" i="3"/>
  <c r="AH1023" i="3"/>
  <c r="AH1022" i="3"/>
  <c r="AH1021" i="3"/>
  <c r="AH1020" i="3"/>
  <c r="AH1019" i="3"/>
  <c r="AH1018" i="3"/>
  <c r="AH1017" i="3"/>
  <c r="AH1016" i="3"/>
  <c r="AH1015" i="3"/>
  <c r="AH1014" i="3"/>
  <c r="AH100" i="3"/>
  <c r="AH93" i="3"/>
  <c r="AH84" i="3"/>
  <c r="AH67" i="3"/>
  <c r="AH56" i="3"/>
  <c r="AH55" i="3"/>
  <c r="AH47" i="3"/>
  <c r="AH32" i="3"/>
  <c r="AH26" i="3"/>
  <c r="AH19" i="3"/>
  <c r="AH12" i="3"/>
  <c r="AH8" i="3"/>
  <c r="AH7" i="3"/>
  <c r="AA6" i="3"/>
  <c r="AH1684" i="3"/>
  <c r="AN1684" i="3" s="1"/>
  <c r="AH1654" i="3"/>
  <c r="AH1653" i="3"/>
  <c r="AH1647" i="3"/>
  <c r="AH1641" i="3"/>
  <c r="AH1633" i="3"/>
  <c r="AH1614" i="3"/>
  <c r="AH1608" i="3"/>
  <c r="AH1607" i="3"/>
  <c r="AH1600" i="3"/>
  <c r="AH1599" i="3"/>
  <c r="AH1594" i="3"/>
  <c r="AH1582" i="3"/>
  <c r="AH1581" i="3"/>
  <c r="AH1580" i="3"/>
  <c r="AH1572" i="3"/>
  <c r="AH1569" i="3"/>
  <c r="AH1564" i="3"/>
  <c r="AH1557" i="3"/>
  <c r="AH1545" i="3"/>
  <c r="AH1544" i="3"/>
  <c r="AH1541" i="3"/>
  <c r="AH1536" i="3"/>
  <c r="AH1532" i="3"/>
  <c r="AH1530" i="3"/>
  <c r="AH1528" i="3"/>
  <c r="AH1516" i="3"/>
  <c r="AH1502" i="3"/>
  <c r="AH1489" i="3"/>
  <c r="AH1486" i="3"/>
  <c r="AH1483" i="3"/>
  <c r="AH1477" i="3"/>
  <c r="AH1476" i="3"/>
  <c r="AH1473" i="3"/>
  <c r="AH1472" i="3"/>
  <c r="AH1470" i="3"/>
  <c r="AH1469" i="3"/>
  <c r="AH1466" i="3"/>
  <c r="AH1239" i="3"/>
  <c r="AH1238" i="3"/>
  <c r="AH1237" i="3"/>
  <c r="AH1013" i="3"/>
  <c r="AH1012" i="3"/>
  <c r="AH1011" i="3"/>
  <c r="AH1010" i="3"/>
  <c r="AH1009" i="3"/>
  <c r="AH1008" i="3"/>
  <c r="AH1007" i="3"/>
  <c r="AH1006" i="3"/>
  <c r="AH1005" i="3"/>
  <c r="AH1004" i="3"/>
  <c r="AH1003" i="3"/>
  <c r="AH1002" i="3"/>
  <c r="AH1001" i="3"/>
  <c r="AH1000" i="3"/>
  <c r="AH999" i="3"/>
  <c r="AH998" i="3"/>
  <c r="AH997" i="3"/>
  <c r="AH996" i="3"/>
  <c r="AH995" i="3"/>
  <c r="AH994" i="3"/>
  <c r="AH993" i="3"/>
  <c r="AH992" i="3"/>
  <c r="AH991" i="3"/>
  <c r="AH990" i="3"/>
  <c r="AH989" i="3"/>
  <c r="AH988" i="3"/>
  <c r="AH987" i="3"/>
  <c r="AH986" i="3"/>
  <c r="AH985" i="3"/>
  <c r="AH984" i="3"/>
  <c r="AH983" i="3"/>
  <c r="AH982" i="3"/>
  <c r="AH981" i="3"/>
  <c r="AH980" i="3"/>
  <c r="AH979" i="3"/>
  <c r="AH978" i="3"/>
  <c r="AH977" i="3"/>
  <c r="AH976" i="3"/>
  <c r="AH975" i="3"/>
  <c r="AH974" i="3"/>
  <c r="AH973" i="3"/>
  <c r="AH972" i="3"/>
  <c r="AH971" i="3"/>
  <c r="AH970" i="3"/>
  <c r="AH969" i="3"/>
  <c r="AH968" i="3"/>
  <c r="AH967" i="3"/>
  <c r="AH966" i="3"/>
  <c r="AH965" i="3"/>
  <c r="AH964" i="3"/>
  <c r="AH963" i="3"/>
  <c r="AH962" i="3"/>
  <c r="AH961" i="3"/>
  <c r="AH960" i="3"/>
  <c r="AH959" i="3"/>
  <c r="AH958" i="3"/>
  <c r="AH957" i="3"/>
  <c r="AH956" i="3"/>
  <c r="AH955" i="3"/>
  <c r="AH954" i="3"/>
  <c r="AH953" i="3"/>
  <c r="AH952" i="3"/>
  <c r="AH951" i="3"/>
  <c r="AH950" i="3"/>
  <c r="AH949" i="3"/>
  <c r="AH948" i="3"/>
  <c r="AH947" i="3"/>
  <c r="AH946" i="3"/>
  <c r="AH945" i="3"/>
  <c r="AH944" i="3"/>
  <c r="AH943" i="3"/>
  <c r="AH942" i="3"/>
  <c r="AH941" i="3"/>
  <c r="AH940" i="3"/>
  <c r="AH939" i="3"/>
  <c r="AH938" i="3"/>
  <c r="AH937" i="3"/>
  <c r="AH936" i="3"/>
  <c r="AH935" i="3"/>
  <c r="AH934" i="3"/>
  <c r="AH933" i="3"/>
  <c r="AH932" i="3"/>
  <c r="AH931" i="3"/>
  <c r="AH930" i="3"/>
  <c r="AH929" i="3"/>
  <c r="AH928" i="3"/>
  <c r="AH927" i="3"/>
  <c r="AH926" i="3"/>
  <c r="AH925" i="3"/>
  <c r="AH924" i="3"/>
  <c r="AH923" i="3"/>
  <c r="AH922" i="3"/>
  <c r="AH921" i="3"/>
  <c r="AH920" i="3"/>
  <c r="AH919" i="3"/>
  <c r="AH918" i="3"/>
  <c r="AH917" i="3"/>
  <c r="AH916" i="3"/>
  <c r="AH915" i="3"/>
  <c r="AH914" i="3"/>
  <c r="AH913" i="3"/>
  <c r="AH912" i="3"/>
  <c r="AH911" i="3"/>
  <c r="AH910" i="3"/>
  <c r="AH909" i="3"/>
  <c r="AH908" i="3"/>
  <c r="AH907" i="3"/>
  <c r="AH906" i="3"/>
  <c r="AH905" i="3"/>
  <c r="AH904" i="3"/>
  <c r="AH903" i="3"/>
  <c r="AH902" i="3"/>
  <c r="AH901" i="3"/>
  <c r="AH900" i="3"/>
  <c r="AH899" i="3"/>
  <c r="AH898" i="3"/>
  <c r="AH897" i="3"/>
  <c r="AH896" i="3"/>
  <c r="AH895" i="3"/>
  <c r="AH894" i="3"/>
  <c r="AH893" i="3"/>
  <c r="AH892" i="3"/>
  <c r="AH891" i="3"/>
  <c r="AH890" i="3"/>
  <c r="AH889" i="3"/>
  <c r="AH888" i="3"/>
  <c r="AH887" i="3"/>
  <c r="AH886" i="3"/>
  <c r="AH885" i="3"/>
  <c r="AH884" i="3"/>
  <c r="AH883" i="3"/>
  <c r="AH882" i="3"/>
  <c r="AH881" i="3"/>
  <c r="AH880" i="3"/>
  <c r="AH879" i="3"/>
  <c r="AH878" i="3"/>
  <c r="AH877" i="3"/>
  <c r="AH876" i="3"/>
  <c r="AH875" i="3"/>
  <c r="AH874" i="3"/>
  <c r="AH873" i="3"/>
  <c r="AH872" i="3"/>
  <c r="AH871" i="3"/>
  <c r="AH870" i="3"/>
  <c r="AH869" i="3"/>
  <c r="AH868" i="3"/>
  <c r="AH867" i="3"/>
  <c r="AH866" i="3"/>
  <c r="AH865" i="3"/>
  <c r="AH864" i="3"/>
  <c r="AH863" i="3"/>
  <c r="AH862" i="3"/>
  <c r="AH861" i="3"/>
  <c r="AH860" i="3"/>
  <c r="AH859" i="3"/>
  <c r="AH858" i="3"/>
  <c r="AH857" i="3"/>
  <c r="AH856" i="3"/>
  <c r="AH855" i="3"/>
  <c r="AH854" i="3"/>
  <c r="AH853" i="3"/>
  <c r="AH852" i="3"/>
  <c r="AH851" i="3"/>
  <c r="AH850" i="3"/>
  <c r="AH849" i="3"/>
  <c r="AH848" i="3"/>
  <c r="AH847" i="3"/>
  <c r="AH846" i="3"/>
  <c r="AH845" i="3"/>
  <c r="AH844" i="3"/>
  <c r="AH843" i="3"/>
  <c r="AH842" i="3"/>
  <c r="AH841" i="3"/>
  <c r="AH840" i="3"/>
  <c r="AH839" i="3"/>
  <c r="AH838" i="3"/>
  <c r="AH837" i="3"/>
  <c r="AH836" i="3"/>
  <c r="AH835" i="3"/>
  <c r="AH834" i="3"/>
  <c r="AH833" i="3"/>
  <c r="AH832" i="3"/>
  <c r="AH831" i="3"/>
  <c r="AH830" i="3"/>
  <c r="AH829" i="3"/>
  <c r="AH828" i="3"/>
  <c r="AH827" i="3"/>
  <c r="AH826" i="3"/>
  <c r="AH825" i="3"/>
  <c r="AH824" i="3"/>
  <c r="AH823" i="3"/>
  <c r="AH822" i="3"/>
  <c r="AH821" i="3"/>
  <c r="AH820" i="3"/>
  <c r="AH819" i="3"/>
  <c r="AH818" i="3"/>
  <c r="AH817" i="3"/>
  <c r="AH816" i="3"/>
  <c r="AH815" i="3"/>
  <c r="AH814" i="3"/>
  <c r="AH813" i="3"/>
  <c r="AH812" i="3"/>
  <c r="AH811" i="3"/>
  <c r="AH810" i="3"/>
  <c r="AH809" i="3"/>
  <c r="AH808" i="3"/>
  <c r="AH807" i="3"/>
  <c r="AH806" i="3"/>
  <c r="AH805" i="3"/>
  <c r="AH804" i="3"/>
  <c r="AH803" i="3"/>
  <c r="AH802" i="3"/>
  <c r="AH801" i="3"/>
  <c r="AH800" i="3"/>
  <c r="AH799" i="3"/>
  <c r="AH798" i="3"/>
  <c r="AH797" i="3"/>
  <c r="AH796" i="3"/>
  <c r="AH795" i="3"/>
  <c r="AH794" i="3"/>
  <c r="AH793" i="3"/>
  <c r="AH792" i="3"/>
  <c r="AH791" i="3"/>
  <c r="AH790" i="3"/>
  <c r="AH789" i="3"/>
  <c r="AH788" i="3"/>
  <c r="AH102" i="3"/>
  <c r="AH92" i="3"/>
  <c r="AH85" i="3"/>
  <c r="AH77" i="3"/>
  <c r="AH66" i="3"/>
  <c r="AH58" i="3"/>
  <c r="AH50" i="3"/>
  <c r="AH43" i="3"/>
  <c r="AH35" i="3"/>
  <c r="AH29" i="3"/>
  <c r="AH23" i="3"/>
  <c r="AH14" i="3"/>
  <c r="AH6" i="3"/>
  <c r="AH5" i="3"/>
  <c r="AA5" i="3"/>
  <c r="AH1678" i="3"/>
  <c r="AH1676" i="3"/>
  <c r="AH1663" i="3"/>
  <c r="AH1661" i="3"/>
  <c r="AH1660" i="3"/>
  <c r="AH1658" i="3"/>
  <c r="AH1656" i="3"/>
  <c r="AH1651" i="3"/>
  <c r="AH1637" i="3"/>
  <c r="AH1636" i="3"/>
  <c r="AH1628" i="3"/>
  <c r="AH1622" i="3"/>
  <c r="AH1620" i="3"/>
  <c r="AH1612" i="3"/>
  <c r="AH1611" i="3"/>
  <c r="AH1606" i="3"/>
  <c r="AH1605" i="3"/>
  <c r="AH1602" i="3"/>
  <c r="AH1590" i="3"/>
  <c r="AH1589" i="3"/>
  <c r="AH1577" i="3"/>
  <c r="AH1568" i="3"/>
  <c r="AH1567" i="3"/>
  <c r="AH1565" i="3"/>
  <c r="AH1563" i="3"/>
  <c r="AH1561" i="3"/>
  <c r="AH1559" i="3"/>
  <c r="AH1551" i="3"/>
  <c r="AH1550" i="3"/>
  <c r="AH1549" i="3"/>
  <c r="AH1546" i="3"/>
  <c r="AH1527" i="3"/>
  <c r="AH1523" i="3"/>
  <c r="AH1513" i="3"/>
  <c r="AH1510" i="3"/>
  <c r="AH1504" i="3"/>
  <c r="AH1503" i="3"/>
  <c r="AH1497" i="3"/>
  <c r="AH1488" i="3"/>
  <c r="AH787" i="3"/>
  <c r="AH778" i="3"/>
  <c r="AH776" i="3"/>
  <c r="AH774" i="3"/>
  <c r="AH771" i="3"/>
  <c r="AH770" i="3"/>
  <c r="AH768" i="3"/>
  <c r="AH767" i="3"/>
  <c r="AH766" i="3"/>
  <c r="AH765" i="3"/>
  <c r="AH764" i="3"/>
  <c r="AH763" i="3"/>
  <c r="AH762" i="3"/>
  <c r="AH761" i="3"/>
  <c r="AH760" i="3"/>
  <c r="AH759" i="3"/>
  <c r="AH758" i="3"/>
  <c r="AH757" i="3"/>
  <c r="AH756" i="3"/>
  <c r="AH755" i="3"/>
  <c r="AH754" i="3"/>
  <c r="AH753" i="3"/>
  <c r="AH752" i="3"/>
  <c r="AH751" i="3"/>
  <c r="AH750" i="3"/>
  <c r="AH749" i="3"/>
  <c r="AH748" i="3"/>
  <c r="AH747" i="3"/>
  <c r="AH746" i="3"/>
  <c r="AH745" i="3"/>
  <c r="AH744" i="3"/>
  <c r="AH743" i="3"/>
  <c r="AH742" i="3"/>
  <c r="AH741" i="3"/>
  <c r="AH740" i="3"/>
  <c r="AH739" i="3"/>
  <c r="AH738" i="3"/>
  <c r="AH737" i="3"/>
  <c r="AH736" i="3"/>
  <c r="AH735" i="3"/>
  <c r="AH734" i="3"/>
  <c r="AH733" i="3"/>
  <c r="AH732" i="3"/>
  <c r="AH731" i="3"/>
  <c r="AH730" i="3"/>
  <c r="AH729" i="3"/>
  <c r="AH728" i="3"/>
  <c r="AH727" i="3"/>
  <c r="AH726" i="3"/>
  <c r="AH725" i="3"/>
  <c r="AH724" i="3"/>
  <c r="AH723" i="3"/>
  <c r="AH722" i="3"/>
  <c r="AH721" i="3"/>
  <c r="AH720" i="3"/>
  <c r="AH719" i="3"/>
  <c r="AH718" i="3"/>
  <c r="AH717" i="3"/>
  <c r="AH716" i="3"/>
  <c r="AH715" i="3"/>
  <c r="AH714" i="3"/>
  <c r="AH713" i="3"/>
  <c r="AH712" i="3"/>
  <c r="AH711" i="3"/>
  <c r="AH710" i="3"/>
  <c r="AH709" i="3"/>
  <c r="AH708" i="3"/>
  <c r="AH707" i="3"/>
  <c r="AH706" i="3"/>
  <c r="AH705" i="3"/>
  <c r="AH704" i="3"/>
  <c r="AH703" i="3"/>
  <c r="AH702" i="3"/>
  <c r="AH701" i="3"/>
  <c r="AH700" i="3"/>
  <c r="AH699" i="3"/>
  <c r="AH698" i="3"/>
  <c r="AH697" i="3"/>
  <c r="AH696" i="3"/>
  <c r="AH695" i="3"/>
  <c r="AH694" i="3"/>
  <c r="AH693" i="3"/>
  <c r="AH692" i="3"/>
  <c r="AH691" i="3"/>
  <c r="AH690" i="3"/>
  <c r="AH689" i="3"/>
  <c r="AH688" i="3"/>
  <c r="AH687" i="3"/>
  <c r="AH686" i="3"/>
  <c r="AH685" i="3"/>
  <c r="AH684" i="3"/>
  <c r="AH683" i="3"/>
  <c r="AH682" i="3"/>
  <c r="AH681" i="3"/>
  <c r="AH680" i="3"/>
  <c r="AH679" i="3"/>
  <c r="AH678" i="3"/>
  <c r="AH677" i="3"/>
  <c r="AH676" i="3"/>
  <c r="AH675" i="3"/>
  <c r="AH674" i="3"/>
  <c r="AH673" i="3"/>
  <c r="AH672" i="3"/>
  <c r="AH671" i="3"/>
  <c r="AH670" i="3"/>
  <c r="AH669" i="3"/>
  <c r="AH668" i="3"/>
  <c r="AH667" i="3"/>
  <c r="AH666" i="3"/>
  <c r="AH665" i="3"/>
  <c r="AH664" i="3"/>
  <c r="AH663" i="3"/>
  <c r="AH662" i="3"/>
  <c r="AH661" i="3"/>
  <c r="AH660" i="3"/>
  <c r="AH659" i="3"/>
  <c r="AH658" i="3"/>
  <c r="AH657" i="3"/>
  <c r="AH656" i="3"/>
  <c r="AH655" i="3"/>
  <c r="AH654" i="3"/>
  <c r="AH653" i="3"/>
  <c r="AH652" i="3"/>
  <c r="AH651" i="3"/>
  <c r="AH650" i="3"/>
  <c r="AH649" i="3"/>
  <c r="AH648" i="3"/>
  <c r="AH647" i="3"/>
  <c r="AH646" i="3"/>
  <c r="AH645" i="3"/>
  <c r="AH644" i="3"/>
  <c r="AH643" i="3"/>
  <c r="AH642" i="3"/>
  <c r="AH641" i="3"/>
  <c r="AH640" i="3"/>
  <c r="AH639" i="3"/>
  <c r="AH638" i="3"/>
  <c r="AH637" i="3"/>
  <c r="AH636" i="3"/>
  <c r="AH635" i="3"/>
  <c r="AH634" i="3"/>
  <c r="AH633" i="3"/>
  <c r="AH632" i="3"/>
  <c r="AH631" i="3"/>
  <c r="AH630" i="3"/>
  <c r="AH629" i="3"/>
  <c r="AH628" i="3"/>
  <c r="AH627" i="3"/>
  <c r="AH626" i="3"/>
  <c r="AH625" i="3"/>
  <c r="AH624" i="3"/>
  <c r="AH623" i="3"/>
  <c r="AH622" i="3"/>
  <c r="AH620" i="3"/>
  <c r="AH619" i="3"/>
  <c r="AH618" i="3"/>
  <c r="AH617" i="3"/>
  <c r="AH616" i="3"/>
  <c r="AH615" i="3"/>
  <c r="AH614" i="3"/>
  <c r="AH613" i="3"/>
  <c r="AH612" i="3"/>
  <c r="AH611" i="3"/>
  <c r="AH610" i="3"/>
  <c r="AH609" i="3"/>
  <c r="AH608" i="3"/>
  <c r="AH607" i="3"/>
  <c r="AH606" i="3"/>
  <c r="AH605" i="3"/>
  <c r="AH604" i="3"/>
  <c r="AH603" i="3"/>
  <c r="AH602" i="3"/>
  <c r="AH601" i="3"/>
  <c r="AH600" i="3"/>
  <c r="AH599" i="3"/>
  <c r="AH598" i="3"/>
  <c r="AH597" i="3"/>
  <c r="AH596" i="3"/>
  <c r="AH595" i="3"/>
  <c r="AH594" i="3"/>
  <c r="AH593" i="3"/>
  <c r="AH592" i="3"/>
  <c r="AH591" i="3"/>
  <c r="AH590" i="3"/>
  <c r="AH589" i="3"/>
  <c r="AH588" i="3"/>
  <c r="AH587" i="3"/>
  <c r="AH586" i="3"/>
  <c r="AH585" i="3"/>
  <c r="AH584" i="3"/>
  <c r="AH583" i="3"/>
  <c r="AH582" i="3"/>
  <c r="AH581" i="3"/>
  <c r="AH580" i="3"/>
  <c r="AH579" i="3"/>
  <c r="AH578" i="3"/>
  <c r="AH577" i="3"/>
  <c r="AH576" i="3"/>
  <c r="AH575" i="3"/>
  <c r="AH574" i="3"/>
  <c r="AH573" i="3"/>
  <c r="AH572" i="3"/>
  <c r="AH571" i="3"/>
  <c r="AH570" i="3"/>
  <c r="AH569" i="3"/>
  <c r="AH568" i="3"/>
  <c r="AH567" i="3"/>
  <c r="AH566" i="3"/>
  <c r="AH565" i="3"/>
  <c r="AH564" i="3"/>
  <c r="AH563" i="3"/>
  <c r="AH562" i="3"/>
  <c r="AH101" i="3"/>
  <c r="AH94" i="3"/>
  <c r="AH86" i="3"/>
  <c r="AH78" i="3"/>
  <c r="AH70" i="3"/>
  <c r="AH62" i="3"/>
  <c r="AH54" i="3"/>
  <c r="AH46" i="3"/>
  <c r="AH40" i="3"/>
  <c r="AH39" i="3"/>
  <c r="AH33" i="3"/>
  <c r="AH27" i="3"/>
  <c r="AH21" i="3"/>
  <c r="AH15" i="3"/>
  <c r="AH9" i="3"/>
  <c r="AH1680" i="3"/>
  <c r="AH1671" i="3"/>
  <c r="AH1644" i="3"/>
  <c r="AH1642" i="3"/>
  <c r="AH1638" i="3"/>
  <c r="AH1635" i="3"/>
  <c r="AH1629" i="3"/>
  <c r="AH1627" i="3"/>
  <c r="AH1626" i="3"/>
  <c r="AH1625" i="3"/>
  <c r="AH1613" i="3"/>
  <c r="AH1603" i="3"/>
  <c r="AH1598" i="3"/>
  <c r="AH1597" i="3"/>
  <c r="AH1584" i="3"/>
  <c r="AH1558" i="3"/>
  <c r="AH1552" i="3"/>
  <c r="AH1539" i="3"/>
  <c r="AH1537" i="3"/>
  <c r="AH1535" i="3"/>
  <c r="AH1531" i="3"/>
  <c r="AH1521" i="3"/>
  <c r="AH1518" i="3"/>
  <c r="AH1509" i="3"/>
  <c r="AH1505" i="3"/>
  <c r="AH1499" i="3"/>
  <c r="AH1495" i="3"/>
  <c r="AH1493" i="3"/>
  <c r="AH1478" i="3"/>
  <c r="AH785" i="3"/>
  <c r="AH783" i="3"/>
  <c r="AH781" i="3"/>
  <c r="AH780" i="3"/>
  <c r="AH773" i="3"/>
  <c r="AH772" i="3"/>
  <c r="AH769" i="3"/>
  <c r="AH558" i="3"/>
  <c r="AH554" i="3"/>
  <c r="AH553" i="3"/>
  <c r="AH552" i="3"/>
  <c r="AH551" i="3"/>
  <c r="AH550" i="3"/>
  <c r="AH549" i="3"/>
  <c r="AH548" i="3"/>
  <c r="AH547" i="3"/>
  <c r="AH546" i="3"/>
  <c r="AH545" i="3"/>
  <c r="AH544" i="3"/>
  <c r="AH543" i="3"/>
  <c r="AH542" i="3"/>
  <c r="AH541" i="3"/>
  <c r="AH540" i="3"/>
  <c r="AH539" i="3"/>
  <c r="AH538" i="3"/>
  <c r="AH537" i="3"/>
  <c r="AH536" i="3"/>
  <c r="AH535" i="3"/>
  <c r="AH534" i="3"/>
  <c r="AH533" i="3"/>
  <c r="AH532" i="3"/>
  <c r="AH531" i="3"/>
  <c r="AH530" i="3"/>
  <c r="AH529" i="3"/>
  <c r="AH528" i="3"/>
  <c r="AH527" i="3"/>
  <c r="AH526" i="3"/>
  <c r="AH525" i="3"/>
  <c r="AH524" i="3"/>
  <c r="AH523" i="3"/>
  <c r="AH522" i="3"/>
  <c r="AH521" i="3"/>
  <c r="AH520" i="3"/>
  <c r="AH519" i="3"/>
  <c r="AH518" i="3"/>
  <c r="AH517" i="3"/>
  <c r="AH516" i="3"/>
  <c r="AH515" i="3"/>
  <c r="AH514" i="3"/>
  <c r="AH513" i="3"/>
  <c r="AH512" i="3"/>
  <c r="AH511" i="3"/>
  <c r="AH510" i="3"/>
  <c r="AH509" i="3"/>
  <c r="AH508" i="3"/>
  <c r="AH507" i="3"/>
  <c r="AH506" i="3"/>
  <c r="AH505" i="3"/>
  <c r="AH504" i="3"/>
  <c r="AH503" i="3"/>
  <c r="AH502" i="3"/>
  <c r="AH501" i="3"/>
  <c r="AH500" i="3"/>
  <c r="AH499" i="3"/>
  <c r="AH498" i="3"/>
  <c r="AH497" i="3"/>
  <c r="AH496" i="3"/>
  <c r="AH495" i="3"/>
  <c r="AH494" i="3"/>
  <c r="AH493" i="3"/>
  <c r="AH492" i="3"/>
  <c r="AH491" i="3"/>
  <c r="AH490" i="3"/>
  <c r="AH489" i="3"/>
  <c r="AH488" i="3"/>
  <c r="AH487" i="3"/>
  <c r="AH486" i="3"/>
  <c r="AH485" i="3"/>
  <c r="AH484" i="3"/>
  <c r="AH483" i="3"/>
  <c r="AH482" i="3"/>
  <c r="AH481" i="3"/>
  <c r="AH480" i="3"/>
  <c r="AH479" i="3"/>
  <c r="AH478" i="3"/>
  <c r="AH477" i="3"/>
  <c r="AH476" i="3"/>
  <c r="AH475" i="3"/>
  <c r="AH474" i="3"/>
  <c r="AH473" i="3"/>
  <c r="AH472" i="3"/>
  <c r="AH471" i="3"/>
  <c r="AH470" i="3"/>
  <c r="AH469" i="3"/>
  <c r="AH468" i="3"/>
  <c r="AH467" i="3"/>
  <c r="AH466" i="3"/>
  <c r="AH465" i="3"/>
  <c r="AH464" i="3"/>
  <c r="AH463" i="3"/>
  <c r="AH462" i="3"/>
  <c r="AH461" i="3"/>
  <c r="AH460" i="3"/>
  <c r="AH459" i="3"/>
  <c r="AH458" i="3"/>
  <c r="AH457" i="3"/>
  <c r="AH456" i="3"/>
  <c r="AH455" i="3"/>
  <c r="AH454" i="3"/>
  <c r="AH453" i="3"/>
  <c r="AH452" i="3"/>
  <c r="AH451" i="3"/>
  <c r="AH450" i="3"/>
  <c r="AH449" i="3"/>
  <c r="AH448" i="3"/>
  <c r="AH447" i="3"/>
  <c r="AH446" i="3"/>
  <c r="AH445" i="3"/>
  <c r="AH444" i="3"/>
  <c r="AH443" i="3"/>
  <c r="AH442" i="3"/>
  <c r="AH441" i="3"/>
  <c r="AH440" i="3"/>
  <c r="AH439" i="3"/>
  <c r="AH438" i="3"/>
  <c r="AH437" i="3"/>
  <c r="AH436" i="3"/>
  <c r="AH435" i="3"/>
  <c r="AH434" i="3"/>
  <c r="AH433" i="3"/>
  <c r="AH432" i="3"/>
  <c r="AH431" i="3"/>
  <c r="AH430" i="3"/>
  <c r="AH429" i="3"/>
  <c r="AH428" i="3"/>
  <c r="AH427" i="3"/>
  <c r="AH426" i="3"/>
  <c r="AH425" i="3"/>
  <c r="AH424" i="3"/>
  <c r="AH423" i="3"/>
  <c r="AH422" i="3"/>
  <c r="AH421" i="3"/>
  <c r="AH420" i="3"/>
  <c r="AH419" i="3"/>
  <c r="AH418" i="3"/>
  <c r="AH417" i="3"/>
  <c r="AH416" i="3"/>
  <c r="AH415" i="3"/>
  <c r="AH414" i="3"/>
  <c r="AH413" i="3"/>
  <c r="AH412" i="3"/>
  <c r="AH411" i="3"/>
  <c r="AH410" i="3"/>
  <c r="AH409" i="3"/>
  <c r="AH408" i="3"/>
  <c r="AH407" i="3"/>
  <c r="AH406" i="3"/>
  <c r="AH405" i="3"/>
  <c r="AH404" i="3"/>
  <c r="AH403" i="3"/>
  <c r="AH402" i="3"/>
  <c r="AH401" i="3"/>
  <c r="AH400" i="3"/>
  <c r="AH399" i="3"/>
  <c r="AH398" i="3"/>
  <c r="AH397" i="3"/>
  <c r="AH396" i="3"/>
  <c r="AH395" i="3"/>
  <c r="AH394" i="3"/>
  <c r="AH393" i="3"/>
  <c r="AH392" i="3"/>
  <c r="AH391" i="3"/>
  <c r="AH390" i="3"/>
  <c r="AH389" i="3"/>
  <c r="AH388" i="3"/>
  <c r="AH387" i="3"/>
  <c r="AH386" i="3"/>
  <c r="AH385" i="3"/>
  <c r="AH384" i="3"/>
  <c r="AH383" i="3"/>
  <c r="AH382" i="3"/>
  <c r="AH381" i="3"/>
  <c r="AH380" i="3"/>
  <c r="AH379" i="3"/>
  <c r="AH378" i="3"/>
  <c r="AH377" i="3"/>
  <c r="AH376" i="3"/>
  <c r="AH375" i="3"/>
  <c r="AH374" i="3"/>
  <c r="AH373" i="3"/>
  <c r="AH372" i="3"/>
  <c r="AH371" i="3"/>
  <c r="AH370" i="3"/>
  <c r="AH369" i="3"/>
  <c r="AH368" i="3"/>
  <c r="AH367" i="3"/>
  <c r="AH366" i="3"/>
  <c r="AH365" i="3"/>
  <c r="AH364" i="3"/>
  <c r="AH363" i="3"/>
  <c r="AH362" i="3"/>
  <c r="AH361" i="3"/>
  <c r="AH360" i="3"/>
  <c r="AH359" i="3"/>
  <c r="AH358" i="3"/>
  <c r="AH357" i="3"/>
  <c r="AH356" i="3"/>
  <c r="AH355" i="3"/>
  <c r="AH354" i="3"/>
  <c r="AH353" i="3"/>
  <c r="AH352" i="3"/>
  <c r="AH351" i="3"/>
  <c r="AH350" i="3"/>
  <c r="AH349" i="3"/>
  <c r="AH348" i="3"/>
  <c r="AH347" i="3"/>
  <c r="AH346" i="3"/>
  <c r="AH345" i="3"/>
  <c r="AH344" i="3"/>
  <c r="AH343" i="3"/>
  <c r="AH342" i="3"/>
  <c r="AH341" i="3"/>
  <c r="AH340" i="3"/>
  <c r="AH339" i="3"/>
  <c r="AH338" i="3"/>
  <c r="AH337" i="3"/>
  <c r="AH336" i="3"/>
  <c r="AH335" i="3"/>
  <c r="AH106" i="3"/>
  <c r="AH98" i="3"/>
  <c r="AH90" i="3"/>
  <c r="AH83" i="3"/>
  <c r="AH76" i="3"/>
  <c r="AH69" i="3"/>
  <c r="AH61" i="3"/>
  <c r="AH53" i="3"/>
  <c r="AH45" i="3"/>
  <c r="AH38" i="3"/>
  <c r="AH31" i="3"/>
  <c r="AH25" i="3"/>
  <c r="AH18" i="3"/>
  <c r="AH11" i="3"/>
  <c r="AH1686" i="3"/>
  <c r="AH1683" i="3"/>
  <c r="AH1681" i="3"/>
  <c r="AH1675" i="3"/>
  <c r="AH1672" i="3"/>
  <c r="AH1670" i="3"/>
  <c r="AH1667" i="3"/>
  <c r="AH1657" i="3"/>
  <c r="AH1652" i="3"/>
  <c r="AH1650" i="3"/>
  <c r="AH1645" i="3"/>
  <c r="AH1643" i="3"/>
  <c r="AH1632" i="3"/>
  <c r="AH1621" i="3"/>
  <c r="AH1617" i="3"/>
  <c r="AH1591" i="3"/>
  <c r="AH1576" i="3"/>
  <c r="AH1573" i="3"/>
  <c r="AH1566" i="3"/>
  <c r="AH1555" i="3"/>
  <c r="AH1542" i="3"/>
  <c r="AH1540" i="3"/>
  <c r="AH1533" i="3"/>
  <c r="AH1520" i="3"/>
  <c r="AH1515" i="3"/>
  <c r="AH1514" i="3"/>
  <c r="AH1511" i="3"/>
  <c r="AH1508" i="3"/>
  <c r="AH1501" i="3"/>
  <c r="AH1492" i="3"/>
  <c r="AH1490" i="3"/>
  <c r="AH1487" i="3"/>
  <c r="AH1485" i="3"/>
  <c r="AH1481" i="3"/>
  <c r="AH1480" i="3"/>
  <c r="AH786" i="3"/>
  <c r="AH784" i="3"/>
  <c r="AH782" i="3"/>
  <c r="AH779" i="3"/>
  <c r="AH777" i="3"/>
  <c r="AH775" i="3"/>
  <c r="AH561" i="3"/>
  <c r="AH560" i="3"/>
  <c r="AH559" i="3"/>
  <c r="AH557" i="3"/>
  <c r="AH556" i="3"/>
  <c r="AH555" i="3"/>
  <c r="AH334" i="3"/>
  <c r="AH333" i="3"/>
  <c r="AH332" i="3"/>
  <c r="AH331" i="3"/>
  <c r="AH330" i="3"/>
  <c r="AH329" i="3"/>
  <c r="AH328" i="3"/>
  <c r="AH327" i="3"/>
  <c r="AH326" i="3"/>
  <c r="AH325" i="3"/>
  <c r="AH324" i="3"/>
  <c r="AH323" i="3"/>
  <c r="AH322" i="3"/>
  <c r="AH321" i="3"/>
  <c r="AH320" i="3"/>
  <c r="AH319" i="3"/>
  <c r="AH318" i="3"/>
  <c r="AH317" i="3"/>
  <c r="AH316" i="3"/>
  <c r="AH315" i="3"/>
  <c r="AH314" i="3"/>
  <c r="AH313" i="3"/>
  <c r="AH312" i="3"/>
  <c r="AH311" i="3"/>
  <c r="AH310" i="3"/>
  <c r="AH309" i="3"/>
  <c r="AH308" i="3"/>
  <c r="AH307" i="3"/>
  <c r="AH306" i="3"/>
  <c r="AH305" i="3"/>
  <c r="AH304" i="3"/>
  <c r="AH303" i="3"/>
  <c r="AH302" i="3"/>
  <c r="AH301" i="3"/>
  <c r="AH300" i="3"/>
  <c r="AH299" i="3"/>
  <c r="AH298" i="3"/>
  <c r="AH297" i="3"/>
  <c r="AH296" i="3"/>
  <c r="AH295" i="3"/>
  <c r="AH294" i="3"/>
  <c r="AH293" i="3"/>
  <c r="AH292" i="3"/>
  <c r="AH291" i="3"/>
  <c r="AH290" i="3"/>
  <c r="AH289" i="3"/>
  <c r="AH288" i="3"/>
  <c r="AH287" i="3"/>
  <c r="AH286" i="3"/>
  <c r="AH285" i="3"/>
  <c r="AH284" i="3"/>
  <c r="AH283" i="3"/>
  <c r="AH282" i="3"/>
  <c r="AH281" i="3"/>
  <c r="AH280" i="3"/>
  <c r="AH279" i="3"/>
  <c r="AH278" i="3"/>
  <c r="AH277" i="3"/>
  <c r="AH276" i="3"/>
  <c r="AH275" i="3"/>
  <c r="AH274" i="3"/>
  <c r="AH273" i="3"/>
  <c r="AH272" i="3"/>
  <c r="AH271" i="3"/>
  <c r="AH270" i="3"/>
  <c r="AH269" i="3"/>
  <c r="AH268" i="3"/>
  <c r="AH267" i="3"/>
  <c r="AH266" i="3"/>
  <c r="AH265" i="3"/>
  <c r="AH264" i="3"/>
  <c r="AH263" i="3"/>
  <c r="AH262" i="3"/>
  <c r="AH261" i="3"/>
  <c r="AH260" i="3"/>
  <c r="AH259" i="3"/>
  <c r="AH258" i="3"/>
  <c r="AH257" i="3"/>
  <c r="AH256" i="3"/>
  <c r="AH255" i="3"/>
  <c r="AH254" i="3"/>
  <c r="AH253" i="3"/>
  <c r="AH252" i="3"/>
  <c r="AH251" i="3"/>
  <c r="AH250" i="3"/>
  <c r="AH249" i="3"/>
  <c r="AH248" i="3"/>
  <c r="AH247" i="3"/>
  <c r="AH246" i="3"/>
  <c r="AH245" i="3"/>
  <c r="AH244" i="3"/>
  <c r="AH243" i="3"/>
  <c r="AH242" i="3"/>
  <c r="AH241" i="3"/>
  <c r="AH240" i="3"/>
  <c r="AH239" i="3"/>
  <c r="AH238" i="3"/>
  <c r="AH237" i="3"/>
  <c r="AH236" i="3"/>
  <c r="AH235" i="3"/>
  <c r="AH234" i="3"/>
  <c r="AH233" i="3"/>
  <c r="AH232" i="3"/>
  <c r="AH231" i="3"/>
  <c r="AH230" i="3"/>
  <c r="AH229" i="3"/>
  <c r="AH228" i="3"/>
  <c r="AH227" i="3"/>
  <c r="AH226" i="3"/>
  <c r="AH225" i="3"/>
  <c r="AH224" i="3"/>
  <c r="AH223" i="3"/>
  <c r="AH222" i="3"/>
  <c r="AH221" i="3"/>
  <c r="AH220" i="3"/>
  <c r="AH219" i="3"/>
  <c r="AH218" i="3"/>
  <c r="AH217" i="3"/>
  <c r="AH216" i="3"/>
  <c r="AH215" i="3"/>
  <c r="AH214" i="3"/>
  <c r="AH213" i="3"/>
  <c r="AH212" i="3"/>
  <c r="AH211" i="3"/>
  <c r="AH210" i="3"/>
  <c r="AH209" i="3"/>
  <c r="AH208" i="3"/>
  <c r="AH207" i="3"/>
  <c r="AH206" i="3"/>
  <c r="AH205" i="3"/>
  <c r="AH204" i="3"/>
  <c r="AH203" i="3"/>
  <c r="AH202" i="3"/>
  <c r="AH201" i="3"/>
  <c r="AH200" i="3"/>
  <c r="AH199" i="3"/>
  <c r="AH198" i="3"/>
  <c r="AH197" i="3"/>
  <c r="AH196" i="3"/>
  <c r="AH195" i="3"/>
  <c r="AH194" i="3"/>
  <c r="AH193" i="3"/>
  <c r="AH192" i="3"/>
  <c r="AH191" i="3"/>
  <c r="AH190" i="3"/>
  <c r="AH189" i="3"/>
  <c r="AH188" i="3"/>
  <c r="AH187" i="3"/>
  <c r="AH186" i="3"/>
  <c r="AH185" i="3"/>
  <c r="AH184" i="3"/>
  <c r="AH183" i="3"/>
  <c r="AH182" i="3"/>
  <c r="AH181" i="3"/>
  <c r="AH180" i="3"/>
  <c r="AH179" i="3"/>
  <c r="AH178" i="3"/>
  <c r="AH177" i="3"/>
  <c r="AH176" i="3"/>
  <c r="AH175" i="3"/>
  <c r="AH174" i="3"/>
  <c r="AH173" i="3"/>
  <c r="AH172" i="3"/>
  <c r="AH171" i="3"/>
  <c r="AH170" i="3"/>
  <c r="AH169" i="3"/>
  <c r="AH168" i="3"/>
  <c r="AH167" i="3"/>
  <c r="AH166" i="3"/>
  <c r="AH165" i="3"/>
  <c r="AH164" i="3"/>
  <c r="AH163" i="3"/>
  <c r="AH162" i="3"/>
  <c r="AH161" i="3"/>
  <c r="AH160" i="3"/>
  <c r="AH159" i="3"/>
  <c r="AH158" i="3"/>
  <c r="AH157" i="3"/>
  <c r="AH156" i="3"/>
  <c r="AH155" i="3"/>
  <c r="AH154" i="3"/>
  <c r="AH153" i="3"/>
  <c r="AH152" i="3"/>
  <c r="AH151" i="3"/>
  <c r="AH150" i="3"/>
  <c r="AH149" i="3"/>
  <c r="AH148" i="3"/>
  <c r="AH147" i="3"/>
  <c r="AH146" i="3"/>
  <c r="AH145" i="3"/>
  <c r="AH144" i="3"/>
  <c r="AH143" i="3"/>
  <c r="AH142" i="3"/>
  <c r="AH141" i="3"/>
  <c r="AH140" i="3"/>
  <c r="AH139" i="3"/>
  <c r="AH138" i="3"/>
  <c r="AH137" i="3"/>
  <c r="AH136" i="3"/>
  <c r="AH135" i="3"/>
  <c r="AH134" i="3"/>
  <c r="AH133" i="3"/>
  <c r="AH132" i="3"/>
  <c r="AH131" i="3"/>
  <c r="AH130" i="3"/>
  <c r="AH129" i="3"/>
  <c r="AH128" i="3"/>
  <c r="AH127" i="3"/>
  <c r="AH126" i="3"/>
  <c r="AH125" i="3"/>
  <c r="AH124" i="3"/>
  <c r="AH123" i="3"/>
  <c r="AH122" i="3"/>
  <c r="AH121" i="3"/>
  <c r="AH120" i="3"/>
  <c r="AH119" i="3"/>
  <c r="AH118" i="3"/>
  <c r="AH117" i="3"/>
  <c r="AH116" i="3"/>
  <c r="AH115" i="3"/>
  <c r="AH114" i="3"/>
  <c r="AH113" i="3"/>
  <c r="AH112" i="3"/>
  <c r="AH111" i="3"/>
  <c r="AH110" i="3"/>
  <c r="AH109" i="3"/>
  <c r="AH105" i="3"/>
  <c r="AH97" i="3"/>
  <c r="AH96" i="3"/>
  <c r="AH88" i="3"/>
  <c r="AH80" i="3"/>
  <c r="AH72" i="3"/>
  <c r="AH64" i="3"/>
  <c r="AH49" i="3"/>
  <c r="AH41" i="3"/>
  <c r="AH34" i="3"/>
  <c r="AH30" i="3"/>
  <c r="AH24" i="3"/>
  <c r="AH17" i="3"/>
  <c r="AH10" i="3"/>
  <c r="AH4" i="3"/>
  <c r="AA4" i="3"/>
  <c r="AI4" i="3" s="1" a="1"/>
  <c r="AI4" i="3" s="1"/>
  <c r="P1" i="3"/>
  <c r="AC6" i="3" l="1"/>
  <c r="AJ6" i="3" s="1"/>
  <c r="AI6" i="3" a="1"/>
  <c r="AI6" i="3" s="1"/>
  <c r="AC5" i="3"/>
  <c r="AJ5" i="3" s="1"/>
  <c r="AI5" i="3" a="1"/>
  <c r="AI5" i="3" s="1"/>
  <c r="S63" i="3"/>
  <c r="S64" i="3"/>
  <c r="S65" i="3"/>
  <c r="S66" i="3"/>
  <c r="S67" i="3"/>
  <c r="S68" i="3"/>
  <c r="S69" i="3"/>
  <c r="S70" i="3"/>
  <c r="S71" i="3"/>
  <c r="S72" i="3"/>
  <c r="S73" i="3"/>
  <c r="S74" i="3"/>
  <c r="S81" i="3"/>
  <c r="S75" i="3"/>
  <c r="S76" i="3"/>
  <c r="S77" i="3"/>
  <c r="S78" i="3"/>
  <c r="S79" i="3"/>
  <c r="S80" i="3"/>
  <c r="S52" i="3"/>
  <c r="S53" i="3"/>
  <c r="S54" i="3"/>
  <c r="S55" i="3"/>
  <c r="S18" i="3"/>
  <c r="S83" i="3"/>
  <c r="S19" i="3"/>
  <c r="S20" i="3"/>
  <c r="S21" i="3"/>
  <c r="S56" i="3"/>
  <c r="S22" i="3"/>
  <c r="S23" i="3"/>
  <c r="S45" i="3"/>
  <c r="S46" i="3"/>
  <c r="S57" i="3"/>
  <c r="S24" i="3"/>
  <c r="S58" i="3"/>
  <c r="S25" i="3"/>
  <c r="S26" i="3"/>
  <c r="S47" i="3"/>
  <c r="S59" i="3"/>
  <c r="S27" i="3"/>
  <c r="U27" i="3" s="1"/>
  <c r="S82" i="3"/>
  <c r="S29" i="3"/>
  <c r="S30" i="3"/>
  <c r="S48" i="3"/>
  <c r="S60" i="3"/>
  <c r="S31" i="3"/>
  <c r="S32" i="3"/>
  <c r="S33" i="3"/>
  <c r="S34" i="3"/>
  <c r="S49" i="3"/>
  <c r="S50" i="3"/>
  <c r="S61" i="3"/>
  <c r="S28" i="3"/>
  <c r="S36" i="3"/>
  <c r="S37" i="3"/>
  <c r="S38" i="3"/>
  <c r="S39" i="3"/>
  <c r="S51" i="3"/>
  <c r="S62" i="3"/>
  <c r="S40" i="3"/>
  <c r="S41" i="3"/>
  <c r="S42" i="3"/>
  <c r="U42" i="3" s="1"/>
  <c r="S43" i="3"/>
  <c r="S44" i="3"/>
  <c r="S35" i="3"/>
  <c r="S1247" i="3"/>
  <c r="S1245" i="3"/>
  <c r="S1244" i="3"/>
  <c r="S1243" i="3"/>
  <c r="S1242" i="3"/>
  <c r="S1241" i="3"/>
  <c r="S1240" i="3"/>
  <c r="S1239" i="3"/>
  <c r="S1238" i="3"/>
  <c r="S1237" i="3"/>
  <c r="S1236" i="3"/>
  <c r="S1235" i="3"/>
  <c r="S1234" i="3"/>
  <c r="S1233" i="3"/>
  <c r="S1232" i="3"/>
  <c r="S1231" i="3"/>
  <c r="S1230" i="3"/>
  <c r="S1229" i="3"/>
  <c r="S1228" i="3"/>
  <c r="S1227" i="3"/>
  <c r="S1226" i="3"/>
  <c r="S1225" i="3"/>
  <c r="S1224" i="3"/>
  <c r="S1223" i="3"/>
  <c r="S1222" i="3"/>
  <c r="S1221" i="3"/>
  <c r="S1220" i="3"/>
  <c r="S1219" i="3"/>
  <c r="S1218" i="3"/>
  <c r="S1217" i="3"/>
  <c r="S1216" i="3"/>
  <c r="S1215" i="3"/>
  <c r="S1214" i="3"/>
  <c r="S1213" i="3"/>
  <c r="S1212" i="3"/>
  <c r="S1211" i="3"/>
  <c r="S1210" i="3"/>
  <c r="S1209" i="3"/>
  <c r="S1208" i="3"/>
  <c r="S1207" i="3"/>
  <c r="S1206" i="3"/>
  <c r="S1205" i="3"/>
  <c r="S1204" i="3"/>
  <c r="S1203" i="3"/>
  <c r="S1202" i="3"/>
  <c r="S1201" i="3"/>
  <c r="S1200" i="3"/>
  <c r="S1199" i="3"/>
  <c r="S1198" i="3"/>
  <c r="S1197" i="3"/>
  <c r="S1196" i="3"/>
  <c r="S1195" i="3"/>
  <c r="S1194" i="3"/>
  <c r="S1193" i="3"/>
  <c r="S1192" i="3"/>
  <c r="S1191" i="3"/>
  <c r="S1190" i="3"/>
  <c r="S1189" i="3"/>
  <c r="S1188" i="3"/>
  <c r="S1187" i="3"/>
  <c r="S1186" i="3"/>
  <c r="S1185" i="3"/>
  <c r="S1184" i="3"/>
  <c r="S1183" i="3"/>
  <c r="S1182" i="3"/>
  <c r="S1181" i="3"/>
  <c r="S1180" i="3"/>
  <c r="S1179" i="3"/>
  <c r="S1178" i="3"/>
  <c r="S1177" i="3"/>
  <c r="S1176" i="3"/>
  <c r="S1175" i="3"/>
  <c r="S1174" i="3"/>
  <c r="S1173" i="3"/>
  <c r="S1172" i="3"/>
  <c r="S1171" i="3"/>
  <c r="S1170" i="3"/>
  <c r="S1169" i="3"/>
  <c r="S1168" i="3"/>
  <c r="S1167" i="3"/>
  <c r="S1166" i="3"/>
  <c r="S1165" i="3"/>
  <c r="S1164" i="3"/>
  <c r="S1163" i="3"/>
  <c r="S1162" i="3"/>
  <c r="S1161" i="3"/>
  <c r="S1160" i="3"/>
  <c r="S1159" i="3"/>
  <c r="S1158" i="3"/>
  <c r="S1157" i="3"/>
  <c r="S1156" i="3"/>
  <c r="S1155" i="3"/>
  <c r="S1154" i="3"/>
  <c r="S1153" i="3"/>
  <c r="S1152" i="3"/>
  <c r="S1151" i="3"/>
  <c r="S1150" i="3"/>
  <c r="S1149" i="3"/>
  <c r="S1148" i="3"/>
  <c r="S1147" i="3"/>
  <c r="S1146" i="3"/>
  <c r="S1145" i="3"/>
  <c r="S1144" i="3"/>
  <c r="S1143" i="3"/>
  <c r="S1142" i="3"/>
  <c r="S1141" i="3"/>
  <c r="S1140" i="3"/>
  <c r="S1139" i="3"/>
  <c r="S1138" i="3"/>
  <c r="S1137" i="3"/>
  <c r="S1136" i="3"/>
  <c r="S1135" i="3"/>
  <c r="S1134" i="3"/>
  <c r="S1133" i="3"/>
  <c r="S1132" i="3"/>
  <c r="S1131" i="3"/>
  <c r="S785" i="3"/>
  <c r="S784" i="3"/>
  <c r="S783" i="3"/>
  <c r="S782" i="3"/>
  <c r="S781" i="3"/>
  <c r="S780" i="3"/>
  <c r="S779" i="3"/>
  <c r="S778" i="3"/>
  <c r="S777" i="3"/>
  <c r="S776" i="3"/>
  <c r="S775" i="3"/>
  <c r="S774" i="3"/>
  <c r="S773" i="3"/>
  <c r="S772" i="3"/>
  <c r="S771" i="3"/>
  <c r="S770" i="3"/>
  <c r="S769" i="3"/>
  <c r="S768" i="3"/>
  <c r="S767" i="3"/>
  <c r="U767" i="3" s="1"/>
  <c r="S766" i="3"/>
  <c r="U766" i="3" s="1"/>
  <c r="S765" i="3"/>
  <c r="S764" i="3"/>
  <c r="S763" i="3"/>
  <c r="U763" i="3" s="1"/>
  <c r="S762" i="3"/>
  <c r="S761" i="3"/>
  <c r="S760" i="3"/>
  <c r="S759" i="3"/>
  <c r="S758" i="3"/>
  <c r="U758" i="3" s="1"/>
  <c r="S757" i="3"/>
  <c r="S756" i="3"/>
  <c r="S755" i="3"/>
  <c r="S750" i="3"/>
  <c r="S749" i="3"/>
  <c r="S748" i="3"/>
  <c r="S746" i="3"/>
  <c r="S741" i="3"/>
  <c r="U741" i="3" s="1"/>
  <c r="S734" i="3"/>
  <c r="U734" i="3" s="1"/>
  <c r="S135" i="3"/>
  <c r="U135" i="3" s="1"/>
  <c r="S130" i="3"/>
  <c r="U130" i="3" s="1"/>
  <c r="S124" i="3"/>
  <c r="U124" i="3" s="1"/>
  <c r="S120" i="3"/>
  <c r="S115" i="3"/>
  <c r="U115" i="3" s="1"/>
  <c r="S110" i="3"/>
  <c r="S104" i="3"/>
  <c r="S97" i="3"/>
  <c r="S94" i="3"/>
  <c r="U94" i="3" s="1"/>
  <c r="S87" i="3"/>
  <c r="S751" i="3"/>
  <c r="S743" i="3"/>
  <c r="S738" i="3"/>
  <c r="U738" i="3" s="1"/>
  <c r="S732" i="3"/>
  <c r="S133" i="3"/>
  <c r="S127" i="3"/>
  <c r="S122" i="3"/>
  <c r="S118" i="3"/>
  <c r="S113" i="3"/>
  <c r="S108" i="3"/>
  <c r="U108" i="3" s="1"/>
  <c r="S103" i="3"/>
  <c r="S99" i="3"/>
  <c r="S92" i="3"/>
  <c r="S88" i="3"/>
  <c r="S753" i="3"/>
  <c r="U753" i="3" s="1"/>
  <c r="S747" i="3"/>
  <c r="U747" i="3" s="1"/>
  <c r="S742" i="3"/>
  <c r="U742" i="3" s="1"/>
  <c r="S736" i="3"/>
  <c r="U736" i="3" s="1"/>
  <c r="S137" i="3"/>
  <c r="S129" i="3"/>
  <c r="S123" i="3"/>
  <c r="S119" i="3"/>
  <c r="S114" i="3"/>
  <c r="S109" i="3"/>
  <c r="S105" i="3"/>
  <c r="S98" i="3"/>
  <c r="S93" i="3"/>
  <c r="S86" i="3"/>
  <c r="S737" i="3"/>
  <c r="U737" i="3" s="1"/>
  <c r="S132" i="3"/>
  <c r="U132" i="3" s="1"/>
  <c r="S125" i="3"/>
  <c r="U125" i="3" s="1"/>
  <c r="S121" i="3"/>
  <c r="S116" i="3"/>
  <c r="S112" i="3"/>
  <c r="S107" i="3"/>
  <c r="S102" i="3"/>
  <c r="S100" i="3"/>
  <c r="S95" i="3"/>
  <c r="S89" i="3"/>
  <c r="S754" i="3"/>
  <c r="S744" i="3"/>
  <c r="S739" i="3"/>
  <c r="U739" i="3" s="1"/>
  <c r="S733" i="3"/>
  <c r="S134" i="3"/>
  <c r="U134" i="3" s="1"/>
  <c r="S128" i="3"/>
  <c r="U128" i="3" s="1"/>
  <c r="S117" i="3"/>
  <c r="S111" i="3"/>
  <c r="S106" i="3"/>
  <c r="S101" i="3"/>
  <c r="S96" i="3"/>
  <c r="S91" i="3"/>
  <c r="S85" i="3"/>
  <c r="S752" i="3"/>
  <c r="S745" i="3"/>
  <c r="S740" i="3"/>
  <c r="U740" i="3" s="1"/>
  <c r="S735" i="3"/>
  <c r="S136" i="3"/>
  <c r="S131" i="3"/>
  <c r="U131" i="3" s="1"/>
  <c r="S126" i="3"/>
  <c r="U126" i="3" s="1"/>
  <c r="S90" i="3"/>
  <c r="S84" i="3"/>
  <c r="AA7" i="3"/>
  <c r="S1529" i="3"/>
  <c r="S1528" i="3"/>
  <c r="S1527" i="3"/>
  <c r="S1526" i="3"/>
  <c r="S1525" i="3"/>
  <c r="S1524" i="3"/>
  <c r="S1523" i="3"/>
  <c r="S1522" i="3"/>
  <c r="S1521" i="3"/>
  <c r="S1520" i="3"/>
  <c r="S1519" i="3"/>
  <c r="S1518" i="3"/>
  <c r="S1517" i="3"/>
  <c r="S1516" i="3"/>
  <c r="S1515" i="3"/>
  <c r="S1514" i="3"/>
  <c r="S1513" i="3"/>
  <c r="S1512" i="3"/>
  <c r="S1511" i="3"/>
  <c r="S1510" i="3"/>
  <c r="S1509" i="3"/>
  <c r="S1508" i="3"/>
  <c r="S1507" i="3"/>
  <c r="S1506" i="3"/>
  <c r="S1505" i="3"/>
  <c r="S1504" i="3"/>
  <c r="S1503" i="3"/>
  <c r="S1502" i="3"/>
  <c r="S1501" i="3"/>
  <c r="S1500" i="3"/>
  <c r="S1499" i="3"/>
  <c r="S1498" i="3"/>
  <c r="S1497" i="3"/>
  <c r="S1496" i="3"/>
  <c r="S1495" i="3"/>
  <c r="S1494" i="3"/>
  <c r="S1493" i="3"/>
  <c r="S1492" i="3"/>
  <c r="S1491" i="3"/>
  <c r="S1490" i="3"/>
  <c r="S1489" i="3"/>
  <c r="S1488" i="3"/>
  <c r="S1487" i="3"/>
  <c r="S1486" i="3"/>
  <c r="S1485" i="3"/>
  <c r="S1484" i="3"/>
  <c r="S1483" i="3"/>
  <c r="S1482" i="3"/>
  <c r="S1481" i="3"/>
  <c r="S1480" i="3"/>
  <c r="S1479" i="3"/>
  <c r="S1478" i="3"/>
  <c r="S1477" i="3"/>
  <c r="S1476" i="3"/>
  <c r="S1475" i="3"/>
  <c r="S1474" i="3"/>
  <c r="S1473" i="3"/>
  <c r="S1472" i="3"/>
  <c r="S1471" i="3"/>
  <c r="S1470" i="3"/>
  <c r="S1469" i="3"/>
  <c r="S1468" i="3"/>
  <c r="S1467" i="3"/>
  <c r="S1466" i="3"/>
  <c r="S1465" i="3"/>
  <c r="S1464" i="3"/>
  <c r="S1463" i="3"/>
  <c r="S1462" i="3"/>
  <c r="S1461" i="3"/>
  <c r="S1460" i="3"/>
  <c r="S1459" i="3"/>
  <c r="S1458" i="3"/>
  <c r="S1457" i="3"/>
  <c r="S1456" i="3"/>
  <c r="S1455" i="3"/>
  <c r="S1454" i="3"/>
  <c r="S1453" i="3"/>
  <c r="S1452" i="3"/>
  <c r="S1451" i="3"/>
  <c r="S1450" i="3"/>
  <c r="S1449" i="3"/>
  <c r="S1448" i="3"/>
  <c r="S1447" i="3"/>
  <c r="S1446" i="3"/>
  <c r="S1445" i="3"/>
  <c r="S1444" i="3"/>
  <c r="S1443" i="3"/>
  <c r="S1442" i="3"/>
  <c r="S1441" i="3"/>
  <c r="S1440" i="3"/>
  <c r="S1439" i="3"/>
  <c r="S1438" i="3"/>
  <c r="S1437" i="3"/>
  <c r="S1436" i="3"/>
  <c r="S1435" i="3"/>
  <c r="S1434" i="3"/>
  <c r="S1433" i="3"/>
  <c r="S1432" i="3"/>
  <c r="S1431" i="3"/>
  <c r="S1430" i="3"/>
  <c r="S1429" i="3"/>
  <c r="S1428" i="3"/>
  <c r="S1427" i="3"/>
  <c r="S1426" i="3"/>
  <c r="S1425" i="3"/>
  <c r="S1424" i="3"/>
  <c r="S1423" i="3"/>
  <c r="S1422" i="3"/>
  <c r="S1421" i="3"/>
  <c r="S1420" i="3"/>
  <c r="S1419" i="3"/>
  <c r="S1418" i="3"/>
  <c r="S1417" i="3"/>
  <c r="S1416" i="3"/>
  <c r="S1415" i="3"/>
  <c r="S1414" i="3"/>
  <c r="S1413" i="3"/>
  <c r="S1412" i="3"/>
  <c r="S1411" i="3"/>
  <c r="S1410" i="3"/>
  <c r="S1409" i="3"/>
  <c r="S1408" i="3"/>
  <c r="S1407" i="3"/>
  <c r="S1406" i="3"/>
  <c r="S1405" i="3"/>
  <c r="S1404" i="3"/>
  <c r="S1403" i="3"/>
  <c r="S1402" i="3"/>
  <c r="S1401" i="3"/>
  <c r="S1400" i="3"/>
  <c r="S1399" i="3"/>
  <c r="S1398" i="3"/>
  <c r="S1397" i="3"/>
  <c r="S1396" i="3"/>
  <c r="S1395" i="3"/>
  <c r="S1394" i="3"/>
  <c r="S1393" i="3"/>
  <c r="S1392" i="3"/>
  <c r="S1391" i="3"/>
  <c r="S1390" i="3"/>
  <c r="S1389" i="3"/>
  <c r="S1388" i="3"/>
  <c r="S1387" i="3"/>
  <c r="S1386" i="3"/>
  <c r="S1385" i="3"/>
  <c r="S1384" i="3"/>
  <c r="S1383" i="3"/>
  <c r="S1382" i="3"/>
  <c r="S1381" i="3"/>
  <c r="S1380" i="3"/>
  <c r="S1379" i="3"/>
  <c r="S1378" i="3"/>
  <c r="S1377" i="3"/>
  <c r="S1376" i="3"/>
  <c r="S1375" i="3"/>
  <c r="S1374" i="3"/>
  <c r="S1373" i="3"/>
  <c r="S1372" i="3"/>
  <c r="S1371" i="3"/>
  <c r="S1370" i="3"/>
  <c r="S1369" i="3"/>
  <c r="S1368" i="3"/>
  <c r="S1367" i="3"/>
  <c r="S1366" i="3"/>
  <c r="S1365" i="3"/>
  <c r="S1364" i="3"/>
  <c r="S1363" i="3"/>
  <c r="S1362" i="3"/>
  <c r="S1361" i="3"/>
  <c r="S1360" i="3"/>
  <c r="S1359" i="3"/>
  <c r="S1358" i="3"/>
  <c r="S1357" i="3"/>
  <c r="S1356" i="3"/>
  <c r="S1355" i="3"/>
  <c r="S1354" i="3"/>
  <c r="S1353" i="3"/>
  <c r="S1352" i="3"/>
  <c r="S1351" i="3"/>
  <c r="S1350" i="3"/>
  <c r="S1349" i="3"/>
  <c r="S1348" i="3"/>
  <c r="S1347" i="3"/>
  <c r="S1346" i="3"/>
  <c r="S1345" i="3"/>
  <c r="S1344" i="3"/>
  <c r="S1343" i="3"/>
  <c r="S1342" i="3"/>
  <c r="S1341" i="3"/>
  <c r="S1340" i="3"/>
  <c r="S1339" i="3"/>
  <c r="S1338" i="3"/>
  <c r="S1337" i="3"/>
  <c r="S1336" i="3"/>
  <c r="S1335" i="3"/>
  <c r="S1334" i="3"/>
  <c r="S1333" i="3"/>
  <c r="S1332" i="3"/>
  <c r="S1331" i="3"/>
  <c r="S1330" i="3"/>
  <c r="S1329" i="3"/>
  <c r="S1328" i="3"/>
  <c r="S1327" i="3"/>
  <c r="S1326" i="3"/>
  <c r="S1325" i="3"/>
  <c r="S1324" i="3"/>
  <c r="S1323" i="3"/>
  <c r="S1322" i="3"/>
  <c r="S1321" i="3"/>
  <c r="S1320" i="3"/>
  <c r="S1319" i="3"/>
  <c r="S1318" i="3"/>
  <c r="S1317" i="3"/>
  <c r="S1316" i="3"/>
  <c r="S1315" i="3"/>
  <c r="S1314" i="3"/>
  <c r="S1313" i="3"/>
  <c r="S1312" i="3"/>
  <c r="S1311" i="3"/>
  <c r="S1310" i="3"/>
  <c r="S1309" i="3"/>
  <c r="S1308" i="3"/>
  <c r="S1307" i="3"/>
  <c r="S1306" i="3"/>
  <c r="S1305" i="3"/>
  <c r="S1304" i="3"/>
  <c r="S1303" i="3"/>
  <c r="S1302" i="3"/>
  <c r="S1301" i="3"/>
  <c r="S1300" i="3"/>
  <c r="S1299" i="3"/>
  <c r="S1298" i="3"/>
  <c r="S1297" i="3"/>
  <c r="S1296" i="3"/>
  <c r="S1295" i="3"/>
  <c r="S1294" i="3"/>
  <c r="S1293" i="3"/>
  <c r="S1290" i="3"/>
  <c r="S1289" i="3"/>
  <c r="S1288" i="3"/>
  <c r="S1287" i="3"/>
  <c r="S1284" i="3"/>
  <c r="S1281" i="3"/>
  <c r="S1278" i="3"/>
  <c r="S1275" i="3"/>
  <c r="S1272" i="3"/>
  <c r="S1269" i="3"/>
  <c r="S1266" i="3"/>
  <c r="S1263" i="3"/>
  <c r="S1259" i="3"/>
  <c r="S1256" i="3"/>
  <c r="S1251" i="3"/>
  <c r="S1246" i="3"/>
  <c r="S731" i="3"/>
  <c r="S730" i="3"/>
  <c r="S729" i="3"/>
  <c r="S728" i="3"/>
  <c r="U728" i="3" s="1"/>
  <c r="S727" i="3"/>
  <c r="U727" i="3" s="1"/>
  <c r="S726" i="3"/>
  <c r="U726" i="3" s="1"/>
  <c r="S725" i="3"/>
  <c r="S724" i="3"/>
  <c r="S723" i="3"/>
  <c r="S722" i="3"/>
  <c r="S721" i="3"/>
  <c r="U721" i="3" s="1"/>
  <c r="S720" i="3"/>
  <c r="S719" i="3"/>
  <c r="S718" i="3"/>
  <c r="S717" i="3"/>
  <c r="S716" i="3"/>
  <c r="S715" i="3"/>
  <c r="S714" i="3"/>
  <c r="S713" i="3"/>
  <c r="S712" i="3"/>
  <c r="S711" i="3"/>
  <c r="S710" i="3"/>
  <c r="S709" i="3"/>
  <c r="S708" i="3"/>
  <c r="S707" i="3"/>
  <c r="S706" i="3"/>
  <c r="S705" i="3"/>
  <c r="S704" i="3"/>
  <c r="U704" i="3" s="1"/>
  <c r="S703" i="3"/>
  <c r="S702" i="3"/>
  <c r="U702" i="3" s="1"/>
  <c r="S701" i="3"/>
  <c r="U701" i="3" s="1"/>
  <c r="S700" i="3"/>
  <c r="S699" i="3"/>
  <c r="S698" i="3"/>
  <c r="U698" i="3" s="1"/>
  <c r="S697" i="3"/>
  <c r="U697" i="3" s="1"/>
  <c r="S696" i="3"/>
  <c r="U696" i="3" s="1"/>
  <c r="S695" i="3"/>
  <c r="S694" i="3"/>
  <c r="S693" i="3"/>
  <c r="S692" i="3"/>
  <c r="S691" i="3"/>
  <c r="S690" i="3"/>
  <c r="S689" i="3"/>
  <c r="S688" i="3"/>
  <c r="S687" i="3"/>
  <c r="S686" i="3"/>
  <c r="S685" i="3"/>
  <c r="S684" i="3"/>
  <c r="S683" i="3"/>
  <c r="S682" i="3"/>
  <c r="S681" i="3"/>
  <c r="U681" i="3" s="1"/>
  <c r="S680" i="3"/>
  <c r="U680" i="3" s="1"/>
  <c r="S679" i="3"/>
  <c r="S678" i="3"/>
  <c r="S677" i="3"/>
  <c r="U677" i="3" s="1"/>
  <c r="S676" i="3"/>
  <c r="U676" i="3" s="1"/>
  <c r="S675" i="3"/>
  <c r="S674" i="3"/>
  <c r="S673" i="3"/>
  <c r="S672" i="3"/>
  <c r="S671" i="3"/>
  <c r="S670" i="3"/>
  <c r="S669" i="3"/>
  <c r="S668" i="3"/>
  <c r="S667" i="3"/>
  <c r="S666" i="3"/>
  <c r="S665" i="3"/>
  <c r="S664" i="3"/>
  <c r="S663" i="3"/>
  <c r="S662" i="3"/>
  <c r="S661" i="3"/>
  <c r="S660" i="3"/>
  <c r="S659" i="3"/>
  <c r="S658" i="3"/>
  <c r="S657" i="3"/>
  <c r="S656" i="3"/>
  <c r="U656" i="3" s="1"/>
  <c r="S655" i="3"/>
  <c r="S654" i="3"/>
  <c r="U654" i="3" s="1"/>
  <c r="S653" i="3"/>
  <c r="S652" i="3"/>
  <c r="S651" i="3"/>
  <c r="S650" i="3"/>
  <c r="S649" i="3"/>
  <c r="S648" i="3"/>
  <c r="S647" i="3"/>
  <c r="S646" i="3"/>
  <c r="S645" i="3"/>
  <c r="S644" i="3"/>
  <c r="S643" i="3"/>
  <c r="S642" i="3"/>
  <c r="S641" i="3"/>
  <c r="S640" i="3"/>
  <c r="S639" i="3"/>
  <c r="U639" i="3" s="1"/>
  <c r="S638" i="3"/>
  <c r="U638" i="3" s="1"/>
  <c r="S637" i="3"/>
  <c r="S636" i="3"/>
  <c r="S635" i="3"/>
  <c r="S634" i="3"/>
  <c r="S633" i="3"/>
  <c r="S632" i="3"/>
  <c r="S631" i="3"/>
  <c r="U631" i="3" s="1"/>
  <c r="S621" i="3"/>
  <c r="U621" i="3" s="1"/>
  <c r="S607" i="3"/>
  <c r="U607" i="3" s="1"/>
  <c r="S605" i="3"/>
  <c r="U605" i="3" s="1"/>
  <c r="S603" i="3"/>
  <c r="U603" i="3" s="1"/>
  <c r="S602" i="3"/>
  <c r="U602" i="3" s="1"/>
  <c r="S601" i="3"/>
  <c r="U601" i="3" s="1"/>
  <c r="S600" i="3"/>
  <c r="U600" i="3" s="1"/>
  <c r="S593" i="3"/>
  <c r="U593" i="3" s="1"/>
  <c r="S590" i="3"/>
  <c r="U590" i="3" s="1"/>
  <c r="S587" i="3"/>
  <c r="U587" i="3" s="1"/>
  <c r="S586" i="3"/>
  <c r="U586" i="3" s="1"/>
  <c r="S579" i="3"/>
  <c r="U579" i="3" s="1"/>
  <c r="S575" i="3"/>
  <c r="U575" i="3" s="1"/>
  <c r="S268" i="3"/>
  <c r="S267" i="3"/>
  <c r="S266" i="3"/>
  <c r="U266" i="3" s="1"/>
  <c r="S265" i="3"/>
  <c r="S264" i="3"/>
  <c r="S263" i="3"/>
  <c r="S262" i="3"/>
  <c r="U262" i="3" s="1"/>
  <c r="S261" i="3"/>
  <c r="S260" i="3"/>
  <c r="S259" i="3"/>
  <c r="S258" i="3"/>
  <c r="S257" i="3"/>
  <c r="S256" i="3"/>
  <c r="S255" i="3"/>
  <c r="S254" i="3"/>
  <c r="S253" i="3"/>
  <c r="S252" i="3"/>
  <c r="S251" i="3"/>
  <c r="S250" i="3"/>
  <c r="S249" i="3"/>
  <c r="S248" i="3"/>
  <c r="S247" i="3"/>
  <c r="S246" i="3"/>
  <c r="S245" i="3"/>
  <c r="S244" i="3"/>
  <c r="S243" i="3"/>
  <c r="S242" i="3"/>
  <c r="U242" i="3" s="1"/>
  <c r="S241" i="3"/>
  <c r="U241" i="3" s="1"/>
  <c r="S240" i="3"/>
  <c r="S239" i="3"/>
  <c r="S238" i="3"/>
  <c r="S237" i="3"/>
  <c r="S236" i="3"/>
  <c r="U236" i="3" s="1"/>
  <c r="S235" i="3"/>
  <c r="S234" i="3"/>
  <c r="S233" i="3"/>
  <c r="S232" i="3"/>
  <c r="S231" i="3"/>
  <c r="S230" i="3"/>
  <c r="S229" i="3"/>
  <c r="U229" i="3" s="1"/>
  <c r="S228" i="3"/>
  <c r="S227" i="3"/>
  <c r="S226" i="3"/>
  <c r="U226" i="3" s="1"/>
  <c r="S225" i="3"/>
  <c r="S224" i="3"/>
  <c r="S223" i="3"/>
  <c r="S222" i="3"/>
  <c r="S221" i="3"/>
  <c r="S220" i="3"/>
  <c r="S219" i="3"/>
  <c r="U219" i="3" s="1"/>
  <c r="S218" i="3"/>
  <c r="U218" i="3" s="1"/>
  <c r="S217" i="3"/>
  <c r="S216" i="3"/>
  <c r="U216" i="3" s="1"/>
  <c r="S215" i="3"/>
  <c r="U215" i="3" s="1"/>
  <c r="S214" i="3"/>
  <c r="U214" i="3" s="1"/>
  <c r="S213" i="3"/>
  <c r="U213" i="3" s="1"/>
  <c r="S212" i="3"/>
  <c r="U212" i="3" s="1"/>
  <c r="S211" i="3"/>
  <c r="S210" i="3"/>
  <c r="U210" i="3" s="1"/>
  <c r="S209" i="3"/>
  <c r="U209" i="3" s="1"/>
  <c r="S208" i="3"/>
  <c r="U208" i="3" s="1"/>
  <c r="S207" i="3"/>
  <c r="S206" i="3"/>
  <c r="U206" i="3" s="1"/>
  <c r="S205" i="3"/>
  <c r="S204" i="3"/>
  <c r="U204" i="3" s="1"/>
  <c r="S203" i="3"/>
  <c r="U203" i="3" s="1"/>
  <c r="S202" i="3"/>
  <c r="S201" i="3"/>
  <c r="S200" i="3"/>
  <c r="S199" i="3"/>
  <c r="S198" i="3"/>
  <c r="S197" i="3"/>
  <c r="S196" i="3"/>
  <c r="S195" i="3"/>
  <c r="U195" i="3" s="1"/>
  <c r="S194" i="3"/>
  <c r="U194" i="3" s="1"/>
  <c r="S193" i="3"/>
  <c r="U193" i="3" s="1"/>
  <c r="S192" i="3"/>
  <c r="S191" i="3"/>
  <c r="S190" i="3"/>
  <c r="S189" i="3"/>
  <c r="U189" i="3" s="1"/>
  <c r="S188" i="3"/>
  <c r="S187" i="3"/>
  <c r="U187" i="3" s="1"/>
  <c r="S186" i="3"/>
  <c r="S185" i="3"/>
  <c r="U185" i="3" s="1"/>
  <c r="S184" i="3"/>
  <c r="S183" i="3"/>
  <c r="S182" i="3"/>
  <c r="U182" i="3" s="1"/>
  <c r="S181" i="3"/>
  <c r="U181" i="3" s="1"/>
  <c r="S180" i="3"/>
  <c r="S179" i="3"/>
  <c r="U179" i="3" s="1"/>
  <c r="S178" i="3"/>
  <c r="U178" i="3" s="1"/>
  <c r="S177" i="3"/>
  <c r="U177" i="3" s="1"/>
  <c r="S176" i="3"/>
  <c r="U176" i="3" s="1"/>
  <c r="S175" i="3"/>
  <c r="S174" i="3"/>
  <c r="S173" i="3"/>
  <c r="S172" i="3"/>
  <c r="U172" i="3" s="1"/>
  <c r="S171" i="3"/>
  <c r="U171" i="3" s="1"/>
  <c r="S170" i="3"/>
  <c r="U170" i="3" s="1"/>
  <c r="S169" i="3"/>
  <c r="U169" i="3" s="1"/>
  <c r="S168" i="3"/>
  <c r="U168" i="3" s="1"/>
  <c r="S167" i="3"/>
  <c r="U167" i="3" s="1"/>
  <c r="S166" i="3"/>
  <c r="S165" i="3"/>
  <c r="U165" i="3" s="1"/>
  <c r="S164" i="3"/>
  <c r="U164" i="3" s="1"/>
  <c r="S163" i="3"/>
  <c r="U163" i="3" s="1"/>
  <c r="S162" i="3"/>
  <c r="S161" i="3"/>
  <c r="U161" i="3" s="1"/>
  <c r="S160" i="3"/>
  <c r="U160" i="3" s="1"/>
  <c r="S159" i="3"/>
  <c r="U159" i="3" s="1"/>
  <c r="S158" i="3"/>
  <c r="U158" i="3" s="1"/>
  <c r="S157" i="3"/>
  <c r="U157" i="3" s="1"/>
  <c r="S156" i="3"/>
  <c r="U156" i="3" s="1"/>
  <c r="S155" i="3"/>
  <c r="U155" i="3" s="1"/>
  <c r="S154" i="3"/>
  <c r="U154" i="3" s="1"/>
  <c r="S153" i="3"/>
  <c r="U153" i="3" s="1"/>
  <c r="S152" i="3"/>
  <c r="S151" i="3"/>
  <c r="U151" i="3" s="1"/>
  <c r="S150" i="3"/>
  <c r="S149" i="3"/>
  <c r="U149" i="3" s="1"/>
  <c r="S148" i="3"/>
  <c r="U148" i="3" s="1"/>
  <c r="S147" i="3"/>
  <c r="U147" i="3" s="1"/>
  <c r="S146" i="3"/>
  <c r="U146" i="3" s="1"/>
  <c r="S145" i="3"/>
  <c r="U145" i="3" s="1"/>
  <c r="S144" i="3"/>
  <c r="U144" i="3" s="1"/>
  <c r="S143" i="3"/>
  <c r="S142" i="3"/>
  <c r="U142" i="3" s="1"/>
  <c r="S141" i="3"/>
  <c r="U141" i="3" s="1"/>
  <c r="S140" i="3"/>
  <c r="U140" i="3" s="1"/>
  <c r="S139" i="3"/>
  <c r="S138" i="3"/>
  <c r="S1261" i="3"/>
  <c r="S1253" i="3"/>
  <c r="S1292" i="3"/>
  <c r="S1286" i="3"/>
  <c r="S1283" i="3"/>
  <c r="S1279" i="3"/>
  <c r="S1276" i="3"/>
  <c r="S1273" i="3"/>
  <c r="S1270" i="3"/>
  <c r="S1265" i="3"/>
  <c r="S1262" i="3"/>
  <c r="S1258" i="3"/>
  <c r="S1254" i="3"/>
  <c r="S1250" i="3"/>
  <c r="S1248" i="3"/>
  <c r="S1291" i="3"/>
  <c r="S1285" i="3"/>
  <c r="S1282" i="3"/>
  <c r="S1280" i="3"/>
  <c r="S1277" i="3"/>
  <c r="S1274" i="3"/>
  <c r="S1271" i="3"/>
  <c r="S1268" i="3"/>
  <c r="S1267" i="3"/>
  <c r="S1264" i="3"/>
  <c r="S1260" i="3"/>
  <c r="S1257" i="3"/>
  <c r="S1255" i="3"/>
  <c r="S1252" i="3"/>
  <c r="S1249" i="3"/>
  <c r="S1686" i="3"/>
  <c r="U1686" i="3" s="1"/>
  <c r="S1685" i="3"/>
  <c r="U1685" i="3" s="1"/>
  <c r="H23" i="2" s="1"/>
  <c r="S1684" i="3"/>
  <c r="U1684" i="3" s="1"/>
  <c r="S1683" i="3"/>
  <c r="U1683" i="3" s="1"/>
  <c r="S1682" i="3"/>
  <c r="U1682" i="3" s="1"/>
  <c r="H19" i="2" s="1"/>
  <c r="S1681" i="3"/>
  <c r="S1680" i="3"/>
  <c r="S1679" i="3"/>
  <c r="S1678" i="3"/>
  <c r="S1677" i="3"/>
  <c r="S1676" i="3"/>
  <c r="S1675" i="3"/>
  <c r="U1675" i="3" s="1"/>
  <c r="S1674" i="3"/>
  <c r="U1674" i="3" s="1"/>
  <c r="S1673" i="3"/>
  <c r="S1672" i="3"/>
  <c r="S1671" i="3"/>
  <c r="S1670" i="3"/>
  <c r="S1669" i="3"/>
  <c r="S1668" i="3"/>
  <c r="S1667" i="3"/>
  <c r="S1666" i="3"/>
  <c r="S1665" i="3"/>
  <c r="S1664" i="3"/>
  <c r="S1663" i="3"/>
  <c r="S1662" i="3"/>
  <c r="S1661" i="3"/>
  <c r="S1660" i="3"/>
  <c r="S1659" i="3"/>
  <c r="S1658" i="3"/>
  <c r="S1657" i="3"/>
  <c r="S1656" i="3"/>
  <c r="S1655" i="3"/>
  <c r="S1654" i="3"/>
  <c r="S1653" i="3"/>
  <c r="S1652" i="3"/>
  <c r="S1651" i="3"/>
  <c r="S1650" i="3"/>
  <c r="S1649" i="3"/>
  <c r="S1648" i="3"/>
  <c r="S1647" i="3"/>
  <c r="S1646" i="3"/>
  <c r="S1645" i="3"/>
  <c r="S1644" i="3"/>
  <c r="S1643" i="3"/>
  <c r="S1642" i="3"/>
  <c r="S1641" i="3"/>
  <c r="S1640" i="3"/>
  <c r="S1639" i="3"/>
  <c r="S1638" i="3"/>
  <c r="S1637" i="3"/>
  <c r="S1636" i="3"/>
  <c r="S1635" i="3"/>
  <c r="S1634" i="3"/>
  <c r="S1633" i="3"/>
  <c r="S1632" i="3"/>
  <c r="S1631" i="3"/>
  <c r="S1630" i="3"/>
  <c r="S1629" i="3"/>
  <c r="S1628" i="3"/>
  <c r="S1627" i="3"/>
  <c r="S1626" i="3"/>
  <c r="S1625" i="3"/>
  <c r="S1624" i="3"/>
  <c r="S1623" i="3"/>
  <c r="S1622" i="3"/>
  <c r="S1621" i="3"/>
  <c r="S1620" i="3"/>
  <c r="S1619" i="3"/>
  <c r="S1618" i="3"/>
  <c r="S1617" i="3"/>
  <c r="S1616" i="3"/>
  <c r="S1615" i="3"/>
  <c r="S1614" i="3"/>
  <c r="S1613" i="3"/>
  <c r="S1612" i="3"/>
  <c r="S1611" i="3"/>
  <c r="S1610" i="3"/>
  <c r="S1609" i="3"/>
  <c r="S1608" i="3"/>
  <c r="S1607" i="3"/>
  <c r="S1606" i="3"/>
  <c r="S1605" i="3"/>
  <c r="S1604" i="3"/>
  <c r="S1603" i="3"/>
  <c r="S1602" i="3"/>
  <c r="S1601" i="3"/>
  <c r="S1600" i="3"/>
  <c r="S1599" i="3"/>
  <c r="S1598" i="3"/>
  <c r="S1597" i="3"/>
  <c r="S1596" i="3"/>
  <c r="S1595" i="3"/>
  <c r="S1594" i="3"/>
  <c r="S1593" i="3"/>
  <c r="S1592" i="3"/>
  <c r="S1591" i="3"/>
  <c r="S1590" i="3"/>
  <c r="S1589" i="3"/>
  <c r="S1588" i="3"/>
  <c r="S1587" i="3"/>
  <c r="S1586" i="3"/>
  <c r="S1585" i="3"/>
  <c r="S1584" i="3"/>
  <c r="S1583" i="3"/>
  <c r="S1582" i="3"/>
  <c r="S1581" i="3"/>
  <c r="S1580" i="3"/>
  <c r="S1579" i="3"/>
  <c r="S1578" i="3"/>
  <c r="S1577" i="3"/>
  <c r="S1576" i="3"/>
  <c r="S1575" i="3"/>
  <c r="S1574" i="3"/>
  <c r="S1573" i="3"/>
  <c r="S1572" i="3"/>
  <c r="S1571" i="3"/>
  <c r="S1570" i="3"/>
  <c r="S1569" i="3"/>
  <c r="S1568" i="3"/>
  <c r="S1567" i="3"/>
  <c r="S1566" i="3"/>
  <c r="S1565" i="3"/>
  <c r="S1564" i="3"/>
  <c r="S1563" i="3"/>
  <c r="S1562" i="3"/>
  <c r="S1561" i="3"/>
  <c r="S1560" i="3"/>
  <c r="S1559" i="3"/>
  <c r="S1558" i="3"/>
  <c r="S1556" i="3"/>
  <c r="S1554" i="3"/>
  <c r="S1552" i="3"/>
  <c r="S1550" i="3"/>
  <c r="S1548" i="3"/>
  <c r="S1546" i="3"/>
  <c r="S1544" i="3"/>
  <c r="S1542" i="3"/>
  <c r="S1541" i="3"/>
  <c r="S1539" i="3"/>
  <c r="S1536" i="3"/>
  <c r="S1534" i="3"/>
  <c r="S1532" i="3"/>
  <c r="S1530" i="3"/>
  <c r="S1130" i="3"/>
  <c r="S1129" i="3"/>
  <c r="S1128" i="3"/>
  <c r="S1127" i="3"/>
  <c r="S1126" i="3"/>
  <c r="S1125" i="3"/>
  <c r="S1124" i="3"/>
  <c r="S1123" i="3"/>
  <c r="S1122" i="3"/>
  <c r="S1121" i="3"/>
  <c r="S1120" i="3"/>
  <c r="S1119" i="3"/>
  <c r="S1118" i="3"/>
  <c r="S1117" i="3"/>
  <c r="S1116" i="3"/>
  <c r="S1115" i="3"/>
  <c r="S1114" i="3"/>
  <c r="S1113" i="3"/>
  <c r="S1112" i="3"/>
  <c r="S1111" i="3"/>
  <c r="S1110" i="3"/>
  <c r="S1109" i="3"/>
  <c r="S1108" i="3"/>
  <c r="S1107" i="3"/>
  <c r="S1106" i="3"/>
  <c r="S1105" i="3"/>
  <c r="S1104" i="3"/>
  <c r="S1103" i="3"/>
  <c r="S1102" i="3"/>
  <c r="S1101" i="3"/>
  <c r="S1100" i="3"/>
  <c r="S1099" i="3"/>
  <c r="S1098" i="3"/>
  <c r="S1097" i="3"/>
  <c r="S1096" i="3"/>
  <c r="S1095" i="3"/>
  <c r="S1094" i="3"/>
  <c r="S1093" i="3"/>
  <c r="S1092" i="3"/>
  <c r="S1091" i="3"/>
  <c r="S1090" i="3"/>
  <c r="S1089" i="3"/>
  <c r="S1088" i="3"/>
  <c r="S1087" i="3"/>
  <c r="S1086" i="3"/>
  <c r="S1085" i="3"/>
  <c r="S1084" i="3"/>
  <c r="S1083" i="3"/>
  <c r="S1082" i="3"/>
  <c r="S1081" i="3"/>
  <c r="S1080" i="3"/>
  <c r="S1079" i="3"/>
  <c r="S1078" i="3"/>
  <c r="S1077" i="3"/>
  <c r="S1076" i="3"/>
  <c r="S1075" i="3"/>
  <c r="S1074" i="3"/>
  <c r="S1073" i="3"/>
  <c r="S1072" i="3"/>
  <c r="S1071" i="3"/>
  <c r="S1070" i="3"/>
  <c r="S1069" i="3"/>
  <c r="S1068" i="3"/>
  <c r="S1067" i="3"/>
  <c r="S1066" i="3"/>
  <c r="S1065" i="3"/>
  <c r="S1064" i="3"/>
  <c r="S1063" i="3"/>
  <c r="S1062" i="3"/>
  <c r="S1061" i="3"/>
  <c r="S1060" i="3"/>
  <c r="S1059" i="3"/>
  <c r="S1058" i="3"/>
  <c r="S1057" i="3"/>
  <c r="S1056" i="3"/>
  <c r="S1055" i="3"/>
  <c r="S1054" i="3"/>
  <c r="S1053" i="3"/>
  <c r="S1052" i="3"/>
  <c r="S1051" i="3"/>
  <c r="S1050" i="3"/>
  <c r="S1049" i="3"/>
  <c r="S1048" i="3"/>
  <c r="S1047" i="3"/>
  <c r="S1046" i="3"/>
  <c r="S1045" i="3"/>
  <c r="S1044" i="3"/>
  <c r="S1043" i="3"/>
  <c r="S1042" i="3"/>
  <c r="S1041" i="3"/>
  <c r="S1040" i="3"/>
  <c r="S1039" i="3"/>
  <c r="S1038" i="3"/>
  <c r="S1037" i="3"/>
  <c r="S1036" i="3"/>
  <c r="S1035" i="3"/>
  <c r="S1034" i="3"/>
  <c r="S1033" i="3"/>
  <c r="S1032" i="3"/>
  <c r="S1031" i="3"/>
  <c r="S1030" i="3"/>
  <c r="S1029" i="3"/>
  <c r="S1028" i="3"/>
  <c r="S1027" i="3"/>
  <c r="S1026" i="3"/>
  <c r="S1025" i="3"/>
  <c r="S1024" i="3"/>
  <c r="S1023" i="3"/>
  <c r="S1022" i="3"/>
  <c r="S1021" i="3"/>
  <c r="S1020" i="3"/>
  <c r="S1019" i="3"/>
  <c r="S1018" i="3"/>
  <c r="S1017" i="3"/>
  <c r="S1016" i="3"/>
  <c r="S1015" i="3"/>
  <c r="S1014" i="3"/>
  <c r="S1013" i="3"/>
  <c r="S1012" i="3"/>
  <c r="S1011" i="3"/>
  <c r="S1010" i="3"/>
  <c r="S1009" i="3"/>
  <c r="S1008" i="3"/>
  <c r="S1007" i="3"/>
  <c r="S1006" i="3"/>
  <c r="S1005" i="3"/>
  <c r="S1004" i="3"/>
  <c r="S1003" i="3"/>
  <c r="S1002" i="3"/>
  <c r="S1001" i="3"/>
  <c r="S1000" i="3"/>
  <c r="S999" i="3"/>
  <c r="S998" i="3"/>
  <c r="S997" i="3"/>
  <c r="S996" i="3"/>
  <c r="S995" i="3"/>
  <c r="S994" i="3"/>
  <c r="S993" i="3"/>
  <c r="S992" i="3"/>
  <c r="S991" i="3"/>
  <c r="S990" i="3"/>
  <c r="S989" i="3"/>
  <c r="S988" i="3"/>
  <c r="S987" i="3"/>
  <c r="S986" i="3"/>
  <c r="S985" i="3"/>
  <c r="S984" i="3"/>
  <c r="S983" i="3"/>
  <c r="S982" i="3"/>
  <c r="S981" i="3"/>
  <c r="S980" i="3"/>
  <c r="S979" i="3"/>
  <c r="S978" i="3"/>
  <c r="S977" i="3"/>
  <c r="S976" i="3"/>
  <c r="S975" i="3"/>
  <c r="S974" i="3"/>
  <c r="S973" i="3"/>
  <c r="S972" i="3"/>
  <c r="S971" i="3"/>
  <c r="S970" i="3"/>
  <c r="S969" i="3"/>
  <c r="S968" i="3"/>
  <c r="S967" i="3"/>
  <c r="S966" i="3"/>
  <c r="S965" i="3"/>
  <c r="S964" i="3"/>
  <c r="S963" i="3"/>
  <c r="S962" i="3"/>
  <c r="S961" i="3"/>
  <c r="S960" i="3"/>
  <c r="S959" i="3"/>
  <c r="S958" i="3"/>
  <c r="S957" i="3"/>
  <c r="S956" i="3"/>
  <c r="S955" i="3"/>
  <c r="S954" i="3"/>
  <c r="S953" i="3"/>
  <c r="S952" i="3"/>
  <c r="S951" i="3"/>
  <c r="S950" i="3"/>
  <c r="S949" i="3"/>
  <c r="S948" i="3"/>
  <c r="S947" i="3"/>
  <c r="S946" i="3"/>
  <c r="S945" i="3"/>
  <c r="S944" i="3"/>
  <c r="S943" i="3"/>
  <c r="S942" i="3"/>
  <c r="S941" i="3"/>
  <c r="S940" i="3"/>
  <c r="S939" i="3"/>
  <c r="S938" i="3"/>
  <c r="S937" i="3"/>
  <c r="S936" i="3"/>
  <c r="S935" i="3"/>
  <c r="S934" i="3"/>
  <c r="S933" i="3"/>
  <c r="S932" i="3"/>
  <c r="S931" i="3"/>
  <c r="S930" i="3"/>
  <c r="S929" i="3"/>
  <c r="S928" i="3"/>
  <c r="S927" i="3"/>
  <c r="S926" i="3"/>
  <c r="S925" i="3"/>
  <c r="S924" i="3"/>
  <c r="S923" i="3"/>
  <c r="S922" i="3"/>
  <c r="S921" i="3"/>
  <c r="S920" i="3"/>
  <c r="S919" i="3"/>
  <c r="S918" i="3"/>
  <c r="S917" i="3"/>
  <c r="S916" i="3"/>
  <c r="S915" i="3"/>
  <c r="S914" i="3"/>
  <c r="S913" i="3"/>
  <c r="S912" i="3"/>
  <c r="S911" i="3"/>
  <c r="S910" i="3"/>
  <c r="S909" i="3"/>
  <c r="S908" i="3"/>
  <c r="S907" i="3"/>
  <c r="S906" i="3"/>
  <c r="S905" i="3"/>
  <c r="S904" i="3"/>
  <c r="S903" i="3"/>
  <c r="S902" i="3"/>
  <c r="S901" i="3"/>
  <c r="S900" i="3"/>
  <c r="S899" i="3"/>
  <c r="S898" i="3"/>
  <c r="S897" i="3"/>
  <c r="S896" i="3"/>
  <c r="S895" i="3"/>
  <c r="S894" i="3"/>
  <c r="S893" i="3"/>
  <c r="S892" i="3"/>
  <c r="S891" i="3"/>
  <c r="S890" i="3"/>
  <c r="S889" i="3"/>
  <c r="S888" i="3"/>
  <c r="S887" i="3"/>
  <c r="S886" i="3"/>
  <c r="S885" i="3"/>
  <c r="S884" i="3"/>
  <c r="S883" i="3"/>
  <c r="S882" i="3"/>
  <c r="S881" i="3"/>
  <c r="S880" i="3"/>
  <c r="S879" i="3"/>
  <c r="S878" i="3"/>
  <c r="S877" i="3"/>
  <c r="S876" i="3"/>
  <c r="S875" i="3"/>
  <c r="S874" i="3"/>
  <c r="S873" i="3"/>
  <c r="S872" i="3"/>
  <c r="S871" i="3"/>
  <c r="S870" i="3"/>
  <c r="S869" i="3"/>
  <c r="S868" i="3"/>
  <c r="S867" i="3"/>
  <c r="S866" i="3"/>
  <c r="S865" i="3"/>
  <c r="S864" i="3"/>
  <c r="S863" i="3"/>
  <c r="S862" i="3"/>
  <c r="S861" i="3"/>
  <c r="S860" i="3"/>
  <c r="S859" i="3"/>
  <c r="S858" i="3"/>
  <c r="S857" i="3"/>
  <c r="S856" i="3"/>
  <c r="S855" i="3"/>
  <c r="S854" i="3"/>
  <c r="S853" i="3"/>
  <c r="S852" i="3"/>
  <c r="S851" i="3"/>
  <c r="S850" i="3"/>
  <c r="S849" i="3"/>
  <c r="S848" i="3"/>
  <c r="S847" i="3"/>
  <c r="S846" i="3"/>
  <c r="S845" i="3"/>
  <c r="S844" i="3"/>
  <c r="S843" i="3"/>
  <c r="S842" i="3"/>
  <c r="S841" i="3"/>
  <c r="S840" i="3"/>
  <c r="S839" i="3"/>
  <c r="S838" i="3"/>
  <c r="S837" i="3"/>
  <c r="S836" i="3"/>
  <c r="S835" i="3"/>
  <c r="S834" i="3"/>
  <c r="S833" i="3"/>
  <c r="S832" i="3"/>
  <c r="S831" i="3"/>
  <c r="S830" i="3"/>
  <c r="S829" i="3"/>
  <c r="S828" i="3"/>
  <c r="S827" i="3"/>
  <c r="S826" i="3"/>
  <c r="S825" i="3"/>
  <c r="S824" i="3"/>
  <c r="S823" i="3"/>
  <c r="S822" i="3"/>
  <c r="S821" i="3"/>
  <c r="S820" i="3"/>
  <c r="S819" i="3"/>
  <c r="S818" i="3"/>
  <c r="S817" i="3"/>
  <c r="S816" i="3"/>
  <c r="S815" i="3"/>
  <c r="S814" i="3"/>
  <c r="S813" i="3"/>
  <c r="S812" i="3"/>
  <c r="S811" i="3"/>
  <c r="S810" i="3"/>
  <c r="S809" i="3"/>
  <c r="S808" i="3"/>
  <c r="S807" i="3"/>
  <c r="S806" i="3"/>
  <c r="S805" i="3"/>
  <c r="S804" i="3"/>
  <c r="S803" i="3"/>
  <c r="S802" i="3"/>
  <c r="S801" i="3"/>
  <c r="S800" i="3"/>
  <c r="S799" i="3"/>
  <c r="S798" i="3"/>
  <c r="S797" i="3"/>
  <c r="S796" i="3"/>
  <c r="S795" i="3"/>
  <c r="S794" i="3"/>
  <c r="S793" i="3"/>
  <c r="S792" i="3"/>
  <c r="S791" i="3"/>
  <c r="S790" i="3"/>
  <c r="S789" i="3"/>
  <c r="S788" i="3"/>
  <c r="S787" i="3"/>
  <c r="S786" i="3"/>
  <c r="S574" i="3"/>
  <c r="U574" i="3" s="1"/>
  <c r="S573" i="3"/>
  <c r="U573" i="3" s="1"/>
  <c r="S567" i="3"/>
  <c r="U567" i="3" s="1"/>
  <c r="S554" i="3"/>
  <c r="U554" i="3" s="1"/>
  <c r="S553" i="3"/>
  <c r="U553" i="3" s="1"/>
  <c r="S552" i="3"/>
  <c r="U552" i="3" s="1"/>
  <c r="S548" i="3"/>
  <c r="U548" i="3" s="1"/>
  <c r="S547" i="3"/>
  <c r="U547" i="3" s="1"/>
  <c r="S537" i="3"/>
  <c r="U537" i="3" s="1"/>
  <c r="S536" i="3"/>
  <c r="U536" i="3" s="1"/>
  <c r="S532" i="3"/>
  <c r="U532" i="3" s="1"/>
  <c r="S531" i="3"/>
  <c r="U531" i="3" s="1"/>
  <c r="S530" i="3"/>
  <c r="U530" i="3" s="1"/>
  <c r="S529" i="3"/>
  <c r="U529" i="3" s="1"/>
  <c r="S528" i="3"/>
  <c r="U528" i="3" s="1"/>
  <c r="S524" i="3"/>
  <c r="U524" i="3" s="1"/>
  <c r="S521" i="3"/>
  <c r="U521" i="3" s="1"/>
  <c r="S520" i="3"/>
  <c r="U520" i="3" s="1"/>
  <c r="S519" i="3"/>
  <c r="U519" i="3" s="1"/>
  <c r="S518" i="3"/>
  <c r="U518" i="3" s="1"/>
  <c r="S517" i="3"/>
  <c r="U517" i="3" s="1"/>
  <c r="S516" i="3"/>
  <c r="U516" i="3" s="1"/>
  <c r="S513" i="3"/>
  <c r="U513" i="3" s="1"/>
  <c r="S512" i="3"/>
  <c r="U512" i="3" s="1"/>
  <c r="S499" i="3"/>
  <c r="U499" i="3" s="1"/>
  <c r="S495" i="3"/>
  <c r="U495" i="3" s="1"/>
  <c r="S491" i="3"/>
  <c r="U491" i="3" s="1"/>
  <c r="S490" i="3"/>
  <c r="U490" i="3" s="1"/>
  <c r="S489" i="3"/>
  <c r="U489" i="3" s="1"/>
  <c r="S488" i="3"/>
  <c r="U488" i="3" s="1"/>
  <c r="S485" i="3"/>
  <c r="U485" i="3" s="1"/>
  <c r="S484" i="3"/>
  <c r="U484" i="3" s="1"/>
  <c r="S482" i="3"/>
  <c r="U482" i="3" s="1"/>
  <c r="S481" i="3"/>
  <c r="U481" i="3" s="1"/>
  <c r="S480" i="3"/>
  <c r="U480" i="3" s="1"/>
  <c r="S475" i="3"/>
  <c r="U475" i="3" s="1"/>
  <c r="S472" i="3"/>
  <c r="U472" i="3" s="1"/>
  <c r="S470" i="3"/>
  <c r="U470" i="3" s="1"/>
  <c r="S469" i="3"/>
  <c r="U469" i="3" s="1"/>
  <c r="S466" i="3"/>
  <c r="U466" i="3" s="1"/>
  <c r="S465" i="3"/>
  <c r="U465" i="3" s="1"/>
  <c r="S464" i="3"/>
  <c r="U464" i="3" s="1"/>
  <c r="S463" i="3"/>
  <c r="U463" i="3" s="1"/>
  <c r="S462" i="3"/>
  <c r="U462" i="3" s="1"/>
  <c r="S461" i="3"/>
  <c r="U461" i="3" s="1"/>
  <c r="S459" i="3"/>
  <c r="U459" i="3" s="1"/>
  <c r="S458" i="3"/>
  <c r="U458" i="3" s="1"/>
  <c r="S457" i="3"/>
  <c r="U457" i="3" s="1"/>
  <c r="S456" i="3"/>
  <c r="U456" i="3" s="1"/>
  <c r="S455" i="3"/>
  <c r="U455" i="3" s="1"/>
  <c r="S454" i="3"/>
  <c r="U454" i="3" s="1"/>
  <c r="S453" i="3"/>
  <c r="U453" i="3" s="1"/>
  <c r="S452" i="3"/>
  <c r="U452" i="3" s="1"/>
  <c r="S451" i="3"/>
  <c r="U451" i="3" s="1"/>
  <c r="S450" i="3"/>
  <c r="U450" i="3" s="1"/>
  <c r="S449" i="3"/>
  <c r="U449" i="3" s="1"/>
  <c r="S448" i="3"/>
  <c r="S447" i="3"/>
  <c r="S446" i="3"/>
  <c r="S445" i="3"/>
  <c r="S444" i="3"/>
  <c r="S443" i="3"/>
  <c r="S442" i="3"/>
  <c r="S441" i="3"/>
  <c r="S440" i="3"/>
  <c r="S439" i="3"/>
  <c r="S438" i="3"/>
  <c r="S437" i="3"/>
  <c r="S436" i="3"/>
  <c r="S435" i="3"/>
  <c r="S434" i="3"/>
  <c r="S433" i="3"/>
  <c r="S432" i="3"/>
  <c r="S431" i="3"/>
  <c r="S430" i="3"/>
  <c r="S429" i="3"/>
  <c r="U429" i="3" s="1"/>
  <c r="S428" i="3"/>
  <c r="S427" i="3"/>
  <c r="S426" i="3"/>
  <c r="S425" i="3"/>
  <c r="S424" i="3"/>
  <c r="S423" i="3"/>
  <c r="S422" i="3"/>
  <c r="S421" i="3"/>
  <c r="U421" i="3" s="1"/>
  <c r="S420" i="3"/>
  <c r="S419" i="3"/>
  <c r="S418" i="3"/>
  <c r="S417" i="3"/>
  <c r="S416" i="3"/>
  <c r="S415" i="3"/>
  <c r="S414" i="3"/>
  <c r="S413" i="3"/>
  <c r="S412" i="3"/>
  <c r="U412" i="3" s="1"/>
  <c r="S411" i="3"/>
  <c r="U411" i="3" s="1"/>
  <c r="S410" i="3"/>
  <c r="S409" i="3"/>
  <c r="U409" i="3" s="1"/>
  <c r="S408" i="3"/>
  <c r="S407" i="3"/>
  <c r="U407" i="3" s="1"/>
  <c r="S406" i="3"/>
  <c r="U406" i="3" s="1"/>
  <c r="S405" i="3"/>
  <c r="U405" i="3" s="1"/>
  <c r="S404" i="3"/>
  <c r="S403" i="3"/>
  <c r="S402" i="3"/>
  <c r="S401" i="3"/>
  <c r="S400" i="3"/>
  <c r="S399" i="3"/>
  <c r="S398" i="3"/>
  <c r="S397" i="3"/>
  <c r="U397" i="3" s="1"/>
  <c r="S396" i="3"/>
  <c r="U396" i="3" s="1"/>
  <c r="S395" i="3"/>
  <c r="U395" i="3" s="1"/>
  <c r="S394" i="3"/>
  <c r="U394" i="3" s="1"/>
  <c r="S393" i="3"/>
  <c r="S392" i="3"/>
  <c r="S391" i="3"/>
  <c r="S390" i="3"/>
  <c r="S389" i="3"/>
  <c r="S388" i="3"/>
  <c r="S387" i="3"/>
  <c r="U387" i="3" s="1"/>
  <c r="S386" i="3"/>
  <c r="S385" i="3"/>
  <c r="U385" i="3" s="1"/>
  <c r="S384" i="3"/>
  <c r="S383" i="3"/>
  <c r="S382" i="3"/>
  <c r="S381" i="3"/>
  <c r="U381" i="3" s="1"/>
  <c r="S380" i="3"/>
  <c r="S379" i="3"/>
  <c r="S378" i="3"/>
  <c r="U378" i="3" s="1"/>
  <c r="S377" i="3"/>
  <c r="U377" i="3" s="1"/>
  <c r="S376" i="3"/>
  <c r="U376" i="3" s="1"/>
  <c r="S375" i="3"/>
  <c r="U375" i="3" s="1"/>
  <c r="S374" i="3"/>
  <c r="U374" i="3" s="1"/>
  <c r="S373" i="3"/>
  <c r="S372" i="3"/>
  <c r="U372" i="3" s="1"/>
  <c r="S371" i="3"/>
  <c r="S370" i="3"/>
  <c r="U370" i="3" s="1"/>
  <c r="S369" i="3"/>
  <c r="U369" i="3" s="1"/>
  <c r="S368" i="3"/>
  <c r="S367" i="3"/>
  <c r="S366" i="3"/>
  <c r="U366" i="3" s="1"/>
  <c r="S365" i="3"/>
  <c r="S364" i="3"/>
  <c r="S363" i="3"/>
  <c r="U363" i="3" s="1"/>
  <c r="S362" i="3"/>
  <c r="U362" i="3" s="1"/>
  <c r="S361" i="3"/>
  <c r="S360" i="3"/>
  <c r="S359" i="3"/>
  <c r="U359" i="3" s="1"/>
  <c r="S358" i="3"/>
  <c r="U358" i="3" s="1"/>
  <c r="S357" i="3"/>
  <c r="S356" i="3"/>
  <c r="U356" i="3" s="1"/>
  <c r="S355" i="3"/>
  <c r="S354" i="3"/>
  <c r="U354" i="3" s="1"/>
  <c r="S353" i="3"/>
  <c r="U353" i="3" s="1"/>
  <c r="S352" i="3"/>
  <c r="U352" i="3" s="1"/>
  <c r="S351" i="3"/>
  <c r="S350" i="3"/>
  <c r="S349" i="3"/>
  <c r="S348" i="3"/>
  <c r="S347" i="3"/>
  <c r="S346" i="3"/>
  <c r="U346" i="3" s="1"/>
  <c r="S345" i="3"/>
  <c r="S344" i="3"/>
  <c r="U344" i="3" s="1"/>
  <c r="S343" i="3"/>
  <c r="S342" i="3"/>
  <c r="S341" i="3"/>
  <c r="U341" i="3" s="1"/>
  <c r="S340" i="3"/>
  <c r="U340" i="3" s="1"/>
  <c r="S339" i="3"/>
  <c r="U339" i="3" s="1"/>
  <c r="S338" i="3"/>
  <c r="U338" i="3" s="1"/>
  <c r="S337" i="3"/>
  <c r="S336" i="3"/>
  <c r="U336" i="3" s="1"/>
  <c r="S335" i="3"/>
  <c r="U335" i="3" s="1"/>
  <c r="S334" i="3"/>
  <c r="S333" i="3"/>
  <c r="S332" i="3"/>
  <c r="U332" i="3" s="1"/>
  <c r="S331" i="3"/>
  <c r="S330" i="3"/>
  <c r="U330" i="3" s="1"/>
  <c r="S329" i="3"/>
  <c r="U329" i="3" s="1"/>
  <c r="S328" i="3"/>
  <c r="U328" i="3" s="1"/>
  <c r="S327" i="3"/>
  <c r="S326" i="3"/>
  <c r="U326" i="3" s="1"/>
  <c r="S325" i="3"/>
  <c r="S324" i="3"/>
  <c r="S323" i="3"/>
  <c r="U323" i="3" s="1"/>
  <c r="S322" i="3"/>
  <c r="U322" i="3" s="1"/>
  <c r="S321" i="3"/>
  <c r="U321" i="3" s="1"/>
  <c r="S320" i="3"/>
  <c r="U320" i="3" s="1"/>
  <c r="S319" i="3"/>
  <c r="S318" i="3"/>
  <c r="U318" i="3" s="1"/>
  <c r="S317" i="3"/>
  <c r="U317" i="3" s="1"/>
  <c r="S316" i="3"/>
  <c r="S315" i="3"/>
  <c r="U315" i="3" s="1"/>
  <c r="S314" i="3"/>
  <c r="S313" i="3"/>
  <c r="S312" i="3"/>
  <c r="U312" i="3" s="1"/>
  <c r="S311" i="3"/>
  <c r="S310" i="3"/>
  <c r="S309" i="3"/>
  <c r="S308" i="3"/>
  <c r="U308" i="3" s="1"/>
  <c r="S307" i="3"/>
  <c r="S306" i="3"/>
  <c r="S305" i="3"/>
  <c r="S304" i="3"/>
  <c r="S303" i="3"/>
  <c r="S302" i="3"/>
  <c r="U302" i="3" s="1"/>
  <c r="S301" i="3"/>
  <c r="S300" i="3"/>
  <c r="S299" i="3"/>
  <c r="S298" i="3"/>
  <c r="S297" i="3"/>
  <c r="S296" i="3"/>
  <c r="U296" i="3" s="1"/>
  <c r="S295" i="3"/>
  <c r="S294" i="3"/>
  <c r="S293" i="3"/>
  <c r="S292" i="3"/>
  <c r="S291" i="3"/>
  <c r="S290" i="3"/>
  <c r="U290" i="3" s="1"/>
  <c r="S289" i="3"/>
  <c r="S288" i="3"/>
  <c r="S287" i="3"/>
  <c r="U287" i="3" s="1"/>
  <c r="S286" i="3"/>
  <c r="U286" i="3" s="1"/>
  <c r="S285" i="3"/>
  <c r="S284" i="3"/>
  <c r="S283" i="3"/>
  <c r="U283" i="3" s="1"/>
  <c r="S282" i="3"/>
  <c r="S281" i="3"/>
  <c r="S280" i="3"/>
  <c r="S279" i="3"/>
  <c r="S278" i="3"/>
  <c r="U278" i="3" s="1"/>
  <c r="S277" i="3"/>
  <c r="U277" i="3" s="1"/>
  <c r="S276" i="3"/>
  <c r="S275" i="3"/>
  <c r="S274" i="3"/>
  <c r="U274" i="3" s="1"/>
  <c r="S273" i="3"/>
  <c r="S272" i="3"/>
  <c r="S271" i="3"/>
  <c r="S270" i="3"/>
  <c r="S269" i="3"/>
  <c r="S17" i="3"/>
  <c r="S16" i="3"/>
  <c r="S15" i="3"/>
  <c r="S14" i="3"/>
  <c r="S13" i="3"/>
  <c r="S12" i="3"/>
  <c r="S11" i="3"/>
  <c r="S10" i="3"/>
  <c r="S9" i="3"/>
  <c r="S8" i="3"/>
  <c r="S7" i="3"/>
  <c r="S6" i="3"/>
  <c r="U6" i="3" s="1"/>
  <c r="S5" i="3"/>
  <c r="U5" i="3" s="1"/>
  <c r="S4" i="3"/>
  <c r="S1557" i="3"/>
  <c r="S1555" i="3"/>
  <c r="S1553" i="3"/>
  <c r="S1551" i="3"/>
  <c r="S1549" i="3"/>
  <c r="S1547" i="3"/>
  <c r="S1545" i="3"/>
  <c r="S1543" i="3"/>
  <c r="S1540" i="3"/>
  <c r="S1538" i="3"/>
  <c r="S1537" i="3"/>
  <c r="S1535" i="3"/>
  <c r="S1533" i="3"/>
  <c r="S1531" i="3"/>
  <c r="A8" i="3"/>
  <c r="AG136" i="3"/>
  <c r="AG135" i="3"/>
  <c r="AG134" i="3"/>
  <c r="AG133" i="3"/>
  <c r="AG132" i="3"/>
  <c r="AG131" i="3"/>
  <c r="AG130" i="3"/>
  <c r="AG129" i="3"/>
  <c r="AG128" i="3"/>
  <c r="AG127" i="3"/>
  <c r="AG126" i="3"/>
  <c r="AG125" i="3"/>
  <c r="AG124" i="3"/>
  <c r="AG123" i="3"/>
  <c r="AG122" i="3"/>
  <c r="AG121" i="3"/>
  <c r="AG120" i="3"/>
  <c r="AG119" i="3"/>
  <c r="AG118" i="3"/>
  <c r="AG117" i="3"/>
  <c r="AG116" i="3"/>
  <c r="AG115" i="3"/>
  <c r="AG114" i="3"/>
  <c r="AG113" i="3"/>
  <c r="AG112" i="3"/>
  <c r="AG111" i="3"/>
  <c r="AG110" i="3"/>
  <c r="AG109" i="3"/>
  <c r="AG108" i="3"/>
  <c r="AG107" i="3"/>
  <c r="AG106" i="3"/>
  <c r="AG105" i="3"/>
  <c r="AG104" i="3"/>
  <c r="AG103" i="3"/>
  <c r="AG102" i="3"/>
  <c r="AG101" i="3"/>
  <c r="AG100" i="3"/>
  <c r="AG99" i="3"/>
  <c r="AG98" i="3"/>
  <c r="AG97" i="3"/>
  <c r="AG96" i="3"/>
  <c r="AG95" i="3"/>
  <c r="AG94" i="3"/>
  <c r="AG93" i="3"/>
  <c r="AG92" i="3"/>
  <c r="AG91" i="3"/>
  <c r="AG90" i="3"/>
  <c r="AG89" i="3"/>
  <c r="AG88" i="3"/>
  <c r="AC4" i="3"/>
  <c r="AJ4" i="3" s="1"/>
  <c r="AG87" i="3"/>
  <c r="AG79" i="3"/>
  <c r="AG71" i="3"/>
  <c r="AG63" i="3"/>
  <c r="AG57" i="3"/>
  <c r="AG48" i="3"/>
  <c r="AG42" i="3"/>
  <c r="AG36" i="3"/>
  <c r="AG28" i="3"/>
  <c r="AG20" i="3"/>
  <c r="AG13" i="3"/>
  <c r="AG7" i="3"/>
  <c r="W7" i="3"/>
  <c r="Y7" i="3" s="1"/>
  <c r="AG1467" i="3"/>
  <c r="AL1467" i="3" s="1"/>
  <c r="AG81" i="3"/>
  <c r="AG73" i="3"/>
  <c r="AG65" i="3"/>
  <c r="AG59" i="3"/>
  <c r="AG52" i="3"/>
  <c r="AG44" i="3"/>
  <c r="AG37" i="3"/>
  <c r="AG22" i="3"/>
  <c r="AG16" i="3"/>
  <c r="AG1678" i="3"/>
  <c r="AL1678" i="3" s="1"/>
  <c r="AG1671" i="3"/>
  <c r="AL1671" i="3" s="1"/>
  <c r="AG1663" i="3"/>
  <c r="AL1663" i="3" s="1"/>
  <c r="AG1658" i="3"/>
  <c r="AL1658" i="3" s="1"/>
  <c r="AG1641" i="3"/>
  <c r="AL1641" i="3" s="1"/>
  <c r="AG1637" i="3"/>
  <c r="AL1637" i="3" s="1"/>
  <c r="AG1635" i="3"/>
  <c r="AL1635" i="3" s="1"/>
  <c r="AG1622" i="3"/>
  <c r="AL1622" i="3" s="1"/>
  <c r="AG1621" i="3"/>
  <c r="AL1621" i="3" s="1"/>
  <c r="AG1617" i="3"/>
  <c r="AL1617" i="3" s="1"/>
  <c r="AG1608" i="3"/>
  <c r="AL1608" i="3" s="1"/>
  <c r="AG1603" i="3"/>
  <c r="AL1603" i="3" s="1"/>
  <c r="AG1585" i="3"/>
  <c r="AL1585" i="3" s="1"/>
  <c r="AG1581" i="3"/>
  <c r="AL1581" i="3" s="1"/>
  <c r="AG1579" i="3"/>
  <c r="AL1579" i="3" s="1"/>
  <c r="AG1577" i="3"/>
  <c r="AL1577" i="3" s="1"/>
  <c r="AG1575" i="3"/>
  <c r="AL1575" i="3" s="1"/>
  <c r="AG1568" i="3"/>
  <c r="AL1568" i="3" s="1"/>
  <c r="AG1555" i="3"/>
  <c r="AL1555" i="3" s="1"/>
  <c r="AG1541" i="3"/>
  <c r="AL1541" i="3" s="1"/>
  <c r="AG1539" i="3"/>
  <c r="AL1539" i="3" s="1"/>
  <c r="AG1532" i="3"/>
  <c r="AL1532" i="3" s="1"/>
  <c r="AG1521" i="3"/>
  <c r="AL1521" i="3" s="1"/>
  <c r="AG1518" i="3"/>
  <c r="AL1518" i="3" s="1"/>
  <c r="AG1516" i="3"/>
  <c r="AL1516" i="3" s="1"/>
  <c r="AG1513" i="3"/>
  <c r="AL1513" i="3" s="1"/>
  <c r="AG1502" i="3"/>
  <c r="AL1502" i="3" s="1"/>
  <c r="AG1498" i="3"/>
  <c r="AL1498" i="3" s="1"/>
  <c r="AG1495" i="3"/>
  <c r="AL1495" i="3" s="1"/>
  <c r="AG1489" i="3"/>
  <c r="AL1489" i="3" s="1"/>
  <c r="AG1488" i="3"/>
  <c r="AL1488" i="3" s="1"/>
  <c r="AG1487" i="3"/>
  <c r="AL1487" i="3" s="1"/>
  <c r="AG1476" i="3"/>
  <c r="AL1476" i="3" s="1"/>
  <c r="AG1475" i="3"/>
  <c r="AL1475" i="3" s="1"/>
  <c r="AG1471" i="3"/>
  <c r="AL1471" i="3" s="1"/>
  <c r="AG1470" i="3"/>
  <c r="AL1470" i="3" s="1"/>
  <c r="AG1466" i="3"/>
  <c r="AL1466" i="3" s="1"/>
  <c r="AG1464" i="3"/>
  <c r="AL1464" i="3" s="1"/>
  <c r="AG1463" i="3"/>
  <c r="AL1463" i="3" s="1"/>
  <c r="AG1462" i="3"/>
  <c r="AL1462" i="3" s="1"/>
  <c r="AG1461" i="3"/>
  <c r="AL1461" i="3" s="1"/>
  <c r="AG1460" i="3"/>
  <c r="AL1460" i="3" s="1"/>
  <c r="AG1459" i="3"/>
  <c r="AL1459" i="3" s="1"/>
  <c r="AG1458" i="3"/>
  <c r="AL1458" i="3" s="1"/>
  <c r="AG1457" i="3"/>
  <c r="AL1457" i="3" s="1"/>
  <c r="AG1456" i="3"/>
  <c r="AL1456" i="3" s="1"/>
  <c r="AG1455" i="3"/>
  <c r="AL1455" i="3" s="1"/>
  <c r="AG1454" i="3"/>
  <c r="AL1454" i="3" s="1"/>
  <c r="AG1453" i="3"/>
  <c r="AL1453" i="3" s="1"/>
  <c r="AG1452" i="3"/>
  <c r="AL1452" i="3" s="1"/>
  <c r="AG1451" i="3"/>
  <c r="AL1451" i="3" s="1"/>
  <c r="AG1450" i="3"/>
  <c r="AL1450" i="3" s="1"/>
  <c r="AG1449" i="3"/>
  <c r="AL1449" i="3" s="1"/>
  <c r="AG1448" i="3"/>
  <c r="AL1448" i="3" s="1"/>
  <c r="AG1447" i="3"/>
  <c r="AL1447" i="3" s="1"/>
  <c r="AG1446" i="3"/>
  <c r="AL1446" i="3" s="1"/>
  <c r="AG1445" i="3"/>
  <c r="AL1445" i="3" s="1"/>
  <c r="AG1444" i="3"/>
  <c r="AL1444" i="3" s="1"/>
  <c r="AG1443" i="3"/>
  <c r="AL1443" i="3" s="1"/>
  <c r="AG1442" i="3"/>
  <c r="AL1442" i="3" s="1"/>
  <c r="AG1441" i="3"/>
  <c r="AL1441" i="3" s="1"/>
  <c r="AG1440" i="3"/>
  <c r="AL1440" i="3" s="1"/>
  <c r="AG1439" i="3"/>
  <c r="AL1439" i="3" s="1"/>
  <c r="AG1438" i="3"/>
  <c r="AL1438" i="3" s="1"/>
  <c r="AG1437" i="3"/>
  <c r="AL1437" i="3" s="1"/>
  <c r="AG1436" i="3"/>
  <c r="AL1436" i="3" s="1"/>
  <c r="AG1435" i="3"/>
  <c r="AL1435" i="3" s="1"/>
  <c r="AG1434" i="3"/>
  <c r="AL1434" i="3" s="1"/>
  <c r="AG1433" i="3"/>
  <c r="AL1433" i="3" s="1"/>
  <c r="AG1432" i="3"/>
  <c r="AL1432" i="3" s="1"/>
  <c r="AG1431" i="3"/>
  <c r="AL1431" i="3" s="1"/>
  <c r="AG1430" i="3"/>
  <c r="AL1430" i="3" s="1"/>
  <c r="AG1429" i="3"/>
  <c r="AL1429" i="3" s="1"/>
  <c r="AG1428" i="3"/>
  <c r="AL1428" i="3" s="1"/>
  <c r="AG1427" i="3"/>
  <c r="AL1427" i="3" s="1"/>
  <c r="AG1426" i="3"/>
  <c r="AL1426" i="3" s="1"/>
  <c r="AG1425" i="3"/>
  <c r="AL1425" i="3" s="1"/>
  <c r="AG1424" i="3"/>
  <c r="AL1424" i="3" s="1"/>
  <c r="AG1423" i="3"/>
  <c r="AL1423" i="3" s="1"/>
  <c r="AG1422" i="3"/>
  <c r="AL1422" i="3" s="1"/>
  <c r="AG1421" i="3"/>
  <c r="AL1421" i="3" s="1"/>
  <c r="AG1420" i="3"/>
  <c r="AL1420" i="3" s="1"/>
  <c r="AG1419" i="3"/>
  <c r="AL1419" i="3" s="1"/>
  <c r="AG1418" i="3"/>
  <c r="AL1418" i="3" s="1"/>
  <c r="AG1417" i="3"/>
  <c r="AL1417" i="3" s="1"/>
  <c r="AG1416" i="3"/>
  <c r="AL1416" i="3" s="1"/>
  <c r="AG1415" i="3"/>
  <c r="AL1415" i="3" s="1"/>
  <c r="AG1414" i="3"/>
  <c r="AL1414" i="3" s="1"/>
  <c r="AG1413" i="3"/>
  <c r="AL1413" i="3" s="1"/>
  <c r="AG1412" i="3"/>
  <c r="AL1412" i="3" s="1"/>
  <c r="AG1411" i="3"/>
  <c r="AL1411" i="3" s="1"/>
  <c r="AG1410" i="3"/>
  <c r="AL1410" i="3" s="1"/>
  <c r="AG1409" i="3"/>
  <c r="AL1409" i="3" s="1"/>
  <c r="AG1408" i="3"/>
  <c r="AL1408" i="3" s="1"/>
  <c r="AG1407" i="3"/>
  <c r="AL1407" i="3" s="1"/>
  <c r="AG1406" i="3"/>
  <c r="AL1406" i="3" s="1"/>
  <c r="AG1405" i="3"/>
  <c r="AL1405" i="3" s="1"/>
  <c r="AG1404" i="3"/>
  <c r="AL1404" i="3" s="1"/>
  <c r="AG1403" i="3"/>
  <c r="AL1403" i="3" s="1"/>
  <c r="AG1402" i="3"/>
  <c r="AL1402" i="3" s="1"/>
  <c r="AG1401" i="3"/>
  <c r="AL1401" i="3" s="1"/>
  <c r="AG1400" i="3"/>
  <c r="AL1400" i="3" s="1"/>
  <c r="AG1399" i="3"/>
  <c r="AL1399" i="3" s="1"/>
  <c r="AG1398" i="3"/>
  <c r="AL1398" i="3" s="1"/>
  <c r="AG1397" i="3"/>
  <c r="AL1397" i="3" s="1"/>
  <c r="AG1396" i="3"/>
  <c r="AL1396" i="3" s="1"/>
  <c r="AG1395" i="3"/>
  <c r="AL1395" i="3" s="1"/>
  <c r="AG1394" i="3"/>
  <c r="AL1394" i="3" s="1"/>
  <c r="AG1393" i="3"/>
  <c r="AL1393" i="3" s="1"/>
  <c r="AG1392" i="3"/>
  <c r="AL1392" i="3" s="1"/>
  <c r="AG1391" i="3"/>
  <c r="AL1391" i="3" s="1"/>
  <c r="AG1390" i="3"/>
  <c r="AL1390" i="3" s="1"/>
  <c r="AG1389" i="3"/>
  <c r="AL1389" i="3" s="1"/>
  <c r="AG1388" i="3"/>
  <c r="AL1388" i="3" s="1"/>
  <c r="AG1387" i="3"/>
  <c r="AL1387" i="3" s="1"/>
  <c r="AG1386" i="3"/>
  <c r="AL1386" i="3" s="1"/>
  <c r="AG1385" i="3"/>
  <c r="AL1385" i="3" s="1"/>
  <c r="AG1384" i="3"/>
  <c r="AL1384" i="3" s="1"/>
  <c r="AG1383" i="3"/>
  <c r="AL1383" i="3" s="1"/>
  <c r="AG1382" i="3"/>
  <c r="AL1382" i="3" s="1"/>
  <c r="AG1381" i="3"/>
  <c r="AL1381" i="3" s="1"/>
  <c r="AG1380" i="3"/>
  <c r="AL1380" i="3" s="1"/>
  <c r="AG1379" i="3"/>
  <c r="AL1379" i="3" s="1"/>
  <c r="AG1378" i="3"/>
  <c r="AL1378" i="3" s="1"/>
  <c r="AG1377" i="3"/>
  <c r="AL1377" i="3" s="1"/>
  <c r="AG1376" i="3"/>
  <c r="AL1376" i="3" s="1"/>
  <c r="AG1375" i="3"/>
  <c r="AL1375" i="3" s="1"/>
  <c r="AG1374" i="3"/>
  <c r="AL1374" i="3" s="1"/>
  <c r="AG1373" i="3"/>
  <c r="AL1373" i="3" s="1"/>
  <c r="AG1372" i="3"/>
  <c r="AL1372" i="3" s="1"/>
  <c r="AG1371" i="3"/>
  <c r="AL1371" i="3" s="1"/>
  <c r="AG1370" i="3"/>
  <c r="AL1370" i="3" s="1"/>
  <c r="AG1369" i="3"/>
  <c r="AL1369" i="3" s="1"/>
  <c r="AG1368" i="3"/>
  <c r="AL1368" i="3" s="1"/>
  <c r="AG1367" i="3"/>
  <c r="AL1367" i="3" s="1"/>
  <c r="AG1366" i="3"/>
  <c r="AL1366" i="3" s="1"/>
  <c r="AG1365" i="3"/>
  <c r="AL1365" i="3" s="1"/>
  <c r="AG1364" i="3"/>
  <c r="AL1364" i="3" s="1"/>
  <c r="AG1363" i="3"/>
  <c r="AL1363" i="3" s="1"/>
  <c r="AG1362" i="3"/>
  <c r="AL1362" i="3" s="1"/>
  <c r="AG1361" i="3"/>
  <c r="AL1361" i="3" s="1"/>
  <c r="AG1360" i="3"/>
  <c r="AL1360" i="3" s="1"/>
  <c r="AG1359" i="3"/>
  <c r="AL1359" i="3" s="1"/>
  <c r="AG1358" i="3"/>
  <c r="AL1358" i="3" s="1"/>
  <c r="AG1357" i="3"/>
  <c r="AL1357" i="3" s="1"/>
  <c r="AG1356" i="3"/>
  <c r="AL1356" i="3" s="1"/>
  <c r="AG1355" i="3"/>
  <c r="AL1355" i="3" s="1"/>
  <c r="AG1354" i="3"/>
  <c r="AL1354" i="3" s="1"/>
  <c r="AG1353" i="3"/>
  <c r="AL1353" i="3" s="1"/>
  <c r="AG1352" i="3"/>
  <c r="AL1352" i="3" s="1"/>
  <c r="AG1351" i="3"/>
  <c r="AL1351" i="3" s="1"/>
  <c r="AG1350" i="3"/>
  <c r="AL1350" i="3" s="1"/>
  <c r="AG1349" i="3"/>
  <c r="AL1349" i="3" s="1"/>
  <c r="AG1348" i="3"/>
  <c r="AL1348" i="3" s="1"/>
  <c r="AG1347" i="3"/>
  <c r="AL1347" i="3" s="1"/>
  <c r="AG1346" i="3"/>
  <c r="AL1346" i="3" s="1"/>
  <c r="AG1345" i="3"/>
  <c r="AL1345" i="3" s="1"/>
  <c r="AG1344" i="3"/>
  <c r="AL1344" i="3" s="1"/>
  <c r="AG1343" i="3"/>
  <c r="AL1343" i="3" s="1"/>
  <c r="AG1342" i="3"/>
  <c r="AL1342" i="3" s="1"/>
  <c r="AG1341" i="3"/>
  <c r="AL1341" i="3" s="1"/>
  <c r="AG1340" i="3"/>
  <c r="AL1340" i="3" s="1"/>
  <c r="AG1339" i="3"/>
  <c r="AL1339" i="3" s="1"/>
  <c r="AG1338" i="3"/>
  <c r="AL1338" i="3" s="1"/>
  <c r="AG1337" i="3"/>
  <c r="AL1337" i="3" s="1"/>
  <c r="AG1336" i="3"/>
  <c r="AL1336" i="3" s="1"/>
  <c r="AG1335" i="3"/>
  <c r="AL1335" i="3" s="1"/>
  <c r="AG1334" i="3"/>
  <c r="AL1334" i="3" s="1"/>
  <c r="AG1333" i="3"/>
  <c r="AL1333" i="3" s="1"/>
  <c r="AG1332" i="3"/>
  <c r="AL1332" i="3" s="1"/>
  <c r="AG1331" i="3"/>
  <c r="AL1331" i="3" s="1"/>
  <c r="AG1330" i="3"/>
  <c r="AL1330" i="3" s="1"/>
  <c r="AG1329" i="3"/>
  <c r="AL1329" i="3" s="1"/>
  <c r="AG1328" i="3"/>
  <c r="AL1328" i="3" s="1"/>
  <c r="AG1327" i="3"/>
  <c r="AL1327" i="3" s="1"/>
  <c r="AG1326" i="3"/>
  <c r="AL1326" i="3" s="1"/>
  <c r="AG1325" i="3"/>
  <c r="AL1325" i="3" s="1"/>
  <c r="AG1324" i="3"/>
  <c r="AL1324" i="3" s="1"/>
  <c r="AG1323" i="3"/>
  <c r="AG1322" i="3"/>
  <c r="AG1321" i="3"/>
  <c r="AG1320" i="3"/>
  <c r="AG1319" i="3"/>
  <c r="AG1318" i="3"/>
  <c r="AG1317" i="3"/>
  <c r="AG1316" i="3"/>
  <c r="AG1315" i="3"/>
  <c r="AG1314" i="3"/>
  <c r="AG1313" i="3"/>
  <c r="AG1312" i="3"/>
  <c r="AG1311" i="3"/>
  <c r="AG1310" i="3"/>
  <c r="AG1309" i="3"/>
  <c r="AG1308" i="3"/>
  <c r="AG1307" i="3"/>
  <c r="AG1306" i="3"/>
  <c r="AG1305" i="3"/>
  <c r="AG1304" i="3"/>
  <c r="AG1303" i="3"/>
  <c r="AG1302" i="3"/>
  <c r="AG1301" i="3"/>
  <c r="AG1300" i="3"/>
  <c r="AG1299" i="3"/>
  <c r="AG1298" i="3"/>
  <c r="AG1297" i="3"/>
  <c r="AG1296" i="3"/>
  <c r="AG1295" i="3"/>
  <c r="AG1294" i="3"/>
  <c r="AG1293" i="3"/>
  <c r="AG1292" i="3"/>
  <c r="AG1291" i="3"/>
  <c r="AG1290" i="3"/>
  <c r="AG1289" i="3"/>
  <c r="AG1288" i="3"/>
  <c r="AG1287" i="3"/>
  <c r="AG1286" i="3"/>
  <c r="AG1285" i="3"/>
  <c r="AG1284" i="3"/>
  <c r="AG1283" i="3"/>
  <c r="AG1282" i="3"/>
  <c r="AG1281" i="3"/>
  <c r="AG1280" i="3"/>
  <c r="AG1279" i="3"/>
  <c r="AG1278" i="3"/>
  <c r="AG1277" i="3"/>
  <c r="AG1276" i="3"/>
  <c r="AG1275" i="3"/>
  <c r="AG1274" i="3"/>
  <c r="AG1273" i="3"/>
  <c r="AG1272" i="3"/>
  <c r="AG1271" i="3"/>
  <c r="AG1270" i="3"/>
  <c r="AG1269" i="3"/>
  <c r="AG1268" i="3"/>
  <c r="AG1267" i="3"/>
  <c r="AG1266" i="3"/>
  <c r="AG1265" i="3"/>
  <c r="AG1264" i="3"/>
  <c r="AG1263" i="3"/>
  <c r="AG1262" i="3"/>
  <c r="AG1261" i="3"/>
  <c r="AG1260" i="3"/>
  <c r="AG1259" i="3"/>
  <c r="AG1258" i="3"/>
  <c r="AG1257" i="3"/>
  <c r="AG1256" i="3"/>
  <c r="AG1255" i="3"/>
  <c r="AG1254" i="3"/>
  <c r="AG1253" i="3"/>
  <c r="AG1252" i="3"/>
  <c r="AG1251" i="3"/>
  <c r="AG1250" i="3"/>
  <c r="AG1249" i="3"/>
  <c r="AG1248" i="3"/>
  <c r="AG1247" i="3"/>
  <c r="AG1246" i="3"/>
  <c r="AG1245" i="3"/>
  <c r="AG1244" i="3"/>
  <c r="AG1243" i="3"/>
  <c r="AG1242" i="3"/>
  <c r="AG1241" i="3"/>
  <c r="AG82" i="3"/>
  <c r="AG75" i="3"/>
  <c r="AG68" i="3"/>
  <c r="AG60" i="3"/>
  <c r="AG51" i="3"/>
  <c r="AG1683" i="3"/>
  <c r="AG1672" i="3"/>
  <c r="AL1672" i="3" s="1"/>
  <c r="AG1667" i="3"/>
  <c r="AL1667" i="3" s="1"/>
  <c r="AG1660" i="3"/>
  <c r="AL1660" i="3" s="1"/>
  <c r="AG1656" i="3"/>
  <c r="AL1656" i="3" s="1"/>
  <c r="AG1645" i="3"/>
  <c r="AL1645" i="3" s="1"/>
  <c r="AG1643" i="3"/>
  <c r="AL1643" i="3" s="1"/>
  <c r="AG1639" i="3"/>
  <c r="AL1639" i="3" s="1"/>
  <c r="AG1614" i="3"/>
  <c r="AL1614" i="3" s="1"/>
  <c r="AG1612" i="3"/>
  <c r="AL1612" i="3" s="1"/>
  <c r="AG1605" i="3"/>
  <c r="AL1605" i="3" s="1"/>
  <c r="AG1602" i="3"/>
  <c r="AL1602" i="3" s="1"/>
  <c r="AG1600" i="3"/>
  <c r="AL1600" i="3" s="1"/>
  <c r="AG1589" i="3"/>
  <c r="AL1589" i="3" s="1"/>
  <c r="AG1572" i="3"/>
  <c r="AL1572" i="3" s="1"/>
  <c r="AG1569" i="3"/>
  <c r="AL1569" i="3" s="1"/>
  <c r="AG1567" i="3"/>
  <c r="AL1567" i="3" s="1"/>
  <c r="AG1561" i="3"/>
  <c r="AL1561" i="3" s="1"/>
  <c r="AG1559" i="3"/>
  <c r="AL1559" i="3" s="1"/>
  <c r="AG1558" i="3"/>
  <c r="AL1558" i="3" s="1"/>
  <c r="AG1546" i="3"/>
  <c r="AL1546" i="3" s="1"/>
  <c r="AG1544" i="3"/>
  <c r="AL1544" i="3" s="1"/>
  <c r="AG1528" i="3"/>
  <c r="AL1528" i="3" s="1"/>
  <c r="AG1520" i="3"/>
  <c r="AL1520" i="3" s="1"/>
  <c r="AG1517" i="3"/>
  <c r="AL1517" i="3" s="1"/>
  <c r="AG1509" i="3"/>
  <c r="AL1509" i="3" s="1"/>
  <c r="AG1503" i="3"/>
  <c r="AL1503" i="3" s="1"/>
  <c r="AG1501" i="3"/>
  <c r="AL1501" i="3" s="1"/>
  <c r="AG1500" i="3"/>
  <c r="AL1500" i="3" s="1"/>
  <c r="AG1483" i="3"/>
  <c r="AL1483" i="3" s="1"/>
  <c r="AG1480" i="3"/>
  <c r="AL1480" i="3" s="1"/>
  <c r="AG1477" i="3"/>
  <c r="AL1477" i="3" s="1"/>
  <c r="AG1474" i="3"/>
  <c r="AL1474" i="3" s="1"/>
  <c r="AG1473" i="3"/>
  <c r="AL1473" i="3" s="1"/>
  <c r="AG1472" i="3"/>
  <c r="AL1472" i="3" s="1"/>
  <c r="AG1469" i="3"/>
  <c r="AL1469" i="3" s="1"/>
  <c r="AG1465" i="3"/>
  <c r="AL1465" i="3" s="1"/>
  <c r="AG1239" i="3"/>
  <c r="AG1238" i="3"/>
  <c r="AG1236" i="3"/>
  <c r="AG1235" i="3"/>
  <c r="AG1234" i="3"/>
  <c r="AG1233" i="3"/>
  <c r="AG1232" i="3"/>
  <c r="AG1231" i="3"/>
  <c r="AG1230" i="3"/>
  <c r="AG1229" i="3"/>
  <c r="AG1228" i="3"/>
  <c r="AG1227" i="3"/>
  <c r="AG1226" i="3"/>
  <c r="AG1225" i="3"/>
  <c r="AG1224" i="3"/>
  <c r="AG1223" i="3"/>
  <c r="AG1222" i="3"/>
  <c r="AG1221" i="3"/>
  <c r="AG1220" i="3"/>
  <c r="AG1219" i="3"/>
  <c r="AG1218" i="3"/>
  <c r="AG1217" i="3"/>
  <c r="AG1216" i="3"/>
  <c r="AG1215" i="3"/>
  <c r="AG1214" i="3"/>
  <c r="AG1213" i="3"/>
  <c r="AG1212" i="3"/>
  <c r="AG1211" i="3"/>
  <c r="AG1210" i="3"/>
  <c r="AG1209" i="3"/>
  <c r="AG1208" i="3"/>
  <c r="AG1207" i="3"/>
  <c r="AG1206" i="3"/>
  <c r="AG1205" i="3"/>
  <c r="AG1204" i="3"/>
  <c r="AG1203" i="3"/>
  <c r="AG1202" i="3"/>
  <c r="AG1201" i="3"/>
  <c r="AG1200" i="3"/>
  <c r="AG1199" i="3"/>
  <c r="AG1198" i="3"/>
  <c r="AG1197" i="3"/>
  <c r="AG1196" i="3"/>
  <c r="AG1195" i="3"/>
  <c r="AG1194" i="3"/>
  <c r="AG1193" i="3"/>
  <c r="AG1192" i="3"/>
  <c r="AG1191" i="3"/>
  <c r="AG1190" i="3"/>
  <c r="AG1189" i="3"/>
  <c r="AG1188" i="3"/>
  <c r="AG1187" i="3"/>
  <c r="AG1186" i="3"/>
  <c r="AG1185" i="3"/>
  <c r="AG1184" i="3"/>
  <c r="AG1183" i="3"/>
  <c r="AG1182" i="3"/>
  <c r="AG1181" i="3"/>
  <c r="AG1180" i="3"/>
  <c r="AG1179" i="3"/>
  <c r="AG1178" i="3"/>
  <c r="AG1177" i="3"/>
  <c r="AG1176" i="3"/>
  <c r="AG1175" i="3"/>
  <c r="AG1174" i="3"/>
  <c r="AG1173" i="3"/>
  <c r="AG1172" i="3"/>
  <c r="AG1171" i="3"/>
  <c r="AG1170" i="3"/>
  <c r="AG1169" i="3"/>
  <c r="AG1168" i="3"/>
  <c r="AG1167" i="3"/>
  <c r="AG1166" i="3"/>
  <c r="AG1165" i="3"/>
  <c r="AG1164" i="3"/>
  <c r="AG1163" i="3"/>
  <c r="AG1162" i="3"/>
  <c r="AG1161" i="3"/>
  <c r="AG1160" i="3"/>
  <c r="AG1159" i="3"/>
  <c r="AG1158" i="3"/>
  <c r="AG1157" i="3"/>
  <c r="AG1156" i="3"/>
  <c r="AG1155" i="3"/>
  <c r="AG1154" i="3"/>
  <c r="AG1153" i="3"/>
  <c r="AG1152" i="3"/>
  <c r="AG1151" i="3"/>
  <c r="AG1150" i="3"/>
  <c r="AG1149" i="3"/>
  <c r="AG1148" i="3"/>
  <c r="AG1147" i="3"/>
  <c r="AG1146" i="3"/>
  <c r="AG1145" i="3"/>
  <c r="AG1144" i="3"/>
  <c r="AG1143" i="3"/>
  <c r="AG1142" i="3"/>
  <c r="AG1141" i="3"/>
  <c r="AG1140" i="3"/>
  <c r="AG1139" i="3"/>
  <c r="AG1138" i="3"/>
  <c r="AG1137" i="3"/>
  <c r="AG1136" i="3"/>
  <c r="AG1135" i="3"/>
  <c r="AG1134" i="3"/>
  <c r="AG1133" i="3"/>
  <c r="AG1132" i="3"/>
  <c r="AG1131" i="3"/>
  <c r="AG1130" i="3"/>
  <c r="AG1129" i="3"/>
  <c r="AG1128" i="3"/>
  <c r="AG1127" i="3"/>
  <c r="AG1126" i="3"/>
  <c r="AG1125" i="3"/>
  <c r="AG1124" i="3"/>
  <c r="AG1123" i="3"/>
  <c r="AG1122" i="3"/>
  <c r="AG1121" i="3"/>
  <c r="AG1120" i="3"/>
  <c r="AG1119" i="3"/>
  <c r="AG1118" i="3"/>
  <c r="AG1117" i="3"/>
  <c r="AG1116" i="3"/>
  <c r="AG1115" i="3"/>
  <c r="AG1114" i="3"/>
  <c r="AG1113" i="3"/>
  <c r="AG1112" i="3"/>
  <c r="AG1111" i="3"/>
  <c r="AG1110" i="3"/>
  <c r="AG1109" i="3"/>
  <c r="AG1108" i="3"/>
  <c r="AG1107" i="3"/>
  <c r="AG1106" i="3"/>
  <c r="AG1105" i="3"/>
  <c r="AG1104" i="3"/>
  <c r="AG1103" i="3"/>
  <c r="AG1102" i="3"/>
  <c r="AG1101" i="3"/>
  <c r="AG1100" i="3"/>
  <c r="AG1099" i="3"/>
  <c r="AG1098" i="3"/>
  <c r="AG1097" i="3"/>
  <c r="AG1096" i="3"/>
  <c r="AG1095" i="3"/>
  <c r="AG1094" i="3"/>
  <c r="AG1093" i="3"/>
  <c r="AG1092" i="3"/>
  <c r="AG1091" i="3"/>
  <c r="AG1090" i="3"/>
  <c r="AG1089" i="3"/>
  <c r="AG1088" i="3"/>
  <c r="AG1087" i="3"/>
  <c r="AG1086" i="3"/>
  <c r="AG1085" i="3"/>
  <c r="AG1084" i="3"/>
  <c r="AG1083" i="3"/>
  <c r="AG1082" i="3"/>
  <c r="AG1081" i="3"/>
  <c r="AG1080" i="3"/>
  <c r="AG1079" i="3"/>
  <c r="AG1078" i="3"/>
  <c r="AG1077" i="3"/>
  <c r="AG1076" i="3"/>
  <c r="AG1075" i="3"/>
  <c r="AG1074" i="3"/>
  <c r="AG1073" i="3"/>
  <c r="AG1072" i="3"/>
  <c r="AG1071" i="3"/>
  <c r="AG1070" i="3"/>
  <c r="AG1069" i="3"/>
  <c r="AG1068" i="3"/>
  <c r="AG1067" i="3"/>
  <c r="AG1066" i="3"/>
  <c r="AG1065" i="3"/>
  <c r="AG1064" i="3"/>
  <c r="AG1063" i="3"/>
  <c r="AG1062" i="3"/>
  <c r="AG1061" i="3"/>
  <c r="AG1060" i="3"/>
  <c r="AG1059" i="3"/>
  <c r="AG1058" i="3"/>
  <c r="AG1057" i="3"/>
  <c r="AG1056" i="3"/>
  <c r="AG1055" i="3"/>
  <c r="AG1054" i="3"/>
  <c r="AG1053" i="3"/>
  <c r="AG1052" i="3"/>
  <c r="AG1051" i="3"/>
  <c r="AG1050" i="3"/>
  <c r="AG1049" i="3"/>
  <c r="AG1048" i="3"/>
  <c r="AG1047" i="3"/>
  <c r="AG1046" i="3"/>
  <c r="AG1045" i="3"/>
  <c r="AG1044" i="3"/>
  <c r="AG1043" i="3"/>
  <c r="AG1042" i="3"/>
  <c r="AG1041" i="3"/>
  <c r="AG1040" i="3"/>
  <c r="AG1039" i="3"/>
  <c r="AG1038" i="3"/>
  <c r="AG1037" i="3"/>
  <c r="AG1036" i="3"/>
  <c r="AG1035" i="3"/>
  <c r="AG1034" i="3"/>
  <c r="AG1033" i="3"/>
  <c r="AG1032" i="3"/>
  <c r="AG1031" i="3"/>
  <c r="AG1030" i="3"/>
  <c r="AG1029" i="3"/>
  <c r="AG1028" i="3"/>
  <c r="AG1027" i="3"/>
  <c r="AG1026" i="3"/>
  <c r="AG1025" i="3"/>
  <c r="AG1024" i="3"/>
  <c r="AG1023" i="3"/>
  <c r="AG1022" i="3"/>
  <c r="AG1021" i="3"/>
  <c r="AG1020" i="3"/>
  <c r="AG1019" i="3"/>
  <c r="AG1018" i="3"/>
  <c r="AG1017" i="3"/>
  <c r="AG1016" i="3"/>
  <c r="AG1015" i="3"/>
  <c r="AG84" i="3"/>
  <c r="AG74" i="3"/>
  <c r="AG67" i="3"/>
  <c r="AG56" i="3"/>
  <c r="AG47" i="3"/>
  <c r="AG39" i="3"/>
  <c r="AG32" i="3"/>
  <c r="AG26" i="3"/>
  <c r="AG19" i="3"/>
  <c r="AG12" i="3"/>
  <c r="AG8" i="3"/>
  <c r="AG6" i="3"/>
  <c r="AG1681" i="3"/>
  <c r="AL1681" i="3" s="1"/>
  <c r="AG1676" i="3"/>
  <c r="AL1676" i="3" s="1"/>
  <c r="AG1675" i="3"/>
  <c r="AL1675" i="3" s="1"/>
  <c r="AG1668" i="3"/>
  <c r="AL1668" i="3" s="1"/>
  <c r="AG1648" i="3"/>
  <c r="AL1648" i="3" s="1"/>
  <c r="AG1646" i="3"/>
  <c r="AL1646" i="3" s="1"/>
  <c r="AG1644" i="3"/>
  <c r="AL1644" i="3" s="1"/>
  <c r="AG1638" i="3"/>
  <c r="AL1638" i="3" s="1"/>
  <c r="AG1631" i="3"/>
  <c r="AL1631" i="3" s="1"/>
  <c r="AG1630" i="3"/>
  <c r="AL1630" i="3" s="1"/>
  <c r="AG1626" i="3"/>
  <c r="AL1626" i="3" s="1"/>
  <c r="AG1620" i="3"/>
  <c r="AL1620" i="3" s="1"/>
  <c r="AG1619" i="3"/>
  <c r="AL1619" i="3" s="1"/>
  <c r="AG1615" i="3"/>
  <c r="AL1615" i="3" s="1"/>
  <c r="AG1606" i="3"/>
  <c r="AL1606" i="3" s="1"/>
  <c r="AG1598" i="3"/>
  <c r="AL1598" i="3" s="1"/>
  <c r="AG1595" i="3"/>
  <c r="AL1595" i="3" s="1"/>
  <c r="AG1588" i="3"/>
  <c r="AL1588" i="3" s="1"/>
  <c r="AG1586" i="3"/>
  <c r="AL1586" i="3" s="1"/>
  <c r="AG1583" i="3"/>
  <c r="AL1583" i="3" s="1"/>
  <c r="AG1576" i="3"/>
  <c r="AL1576" i="3" s="1"/>
  <c r="AG1573" i="3"/>
  <c r="AL1573" i="3" s="1"/>
  <c r="AG1563" i="3"/>
  <c r="AL1563" i="3" s="1"/>
  <c r="AG1562" i="3"/>
  <c r="AL1562" i="3" s="1"/>
  <c r="AG1552" i="3"/>
  <c r="AL1552" i="3" s="1"/>
  <c r="AG1549" i="3"/>
  <c r="AL1549" i="3" s="1"/>
  <c r="AG1548" i="3"/>
  <c r="AL1548" i="3" s="1"/>
  <c r="AG1542" i="3"/>
  <c r="AL1542" i="3" s="1"/>
  <c r="AG1540" i="3"/>
  <c r="AL1540" i="3" s="1"/>
  <c r="AG1526" i="3"/>
  <c r="AL1526" i="3" s="1"/>
  <c r="AG1505" i="3"/>
  <c r="AL1505" i="3" s="1"/>
  <c r="AG1496" i="3"/>
  <c r="AL1496" i="3" s="1"/>
  <c r="AG1490" i="3"/>
  <c r="AL1490" i="3" s="1"/>
  <c r="AG1485" i="3"/>
  <c r="AL1485" i="3" s="1"/>
  <c r="AG1468" i="3"/>
  <c r="AL1468" i="3" s="1"/>
  <c r="AG1240" i="3"/>
  <c r="AG1237" i="3"/>
  <c r="AG1014" i="3"/>
  <c r="AG1013" i="3"/>
  <c r="AG1012" i="3"/>
  <c r="AG1011" i="3"/>
  <c r="AG1010" i="3"/>
  <c r="AG1009" i="3"/>
  <c r="AG1008" i="3"/>
  <c r="AG1007" i="3"/>
  <c r="AG1006" i="3"/>
  <c r="AG1005" i="3"/>
  <c r="AG1004" i="3"/>
  <c r="AG1003" i="3"/>
  <c r="AG1002" i="3"/>
  <c r="AG1001" i="3"/>
  <c r="AG1000" i="3"/>
  <c r="AG999" i="3"/>
  <c r="AG998" i="3"/>
  <c r="AG997" i="3"/>
  <c r="AG996" i="3"/>
  <c r="AG995" i="3"/>
  <c r="AG994" i="3"/>
  <c r="AG993" i="3"/>
  <c r="AG992" i="3"/>
  <c r="AG991" i="3"/>
  <c r="AG990" i="3"/>
  <c r="AG989" i="3"/>
  <c r="AG988" i="3"/>
  <c r="AG987" i="3"/>
  <c r="AG986" i="3"/>
  <c r="AG985" i="3"/>
  <c r="AG984" i="3"/>
  <c r="AG983" i="3"/>
  <c r="AG982" i="3"/>
  <c r="AG981" i="3"/>
  <c r="AG980" i="3"/>
  <c r="AG979" i="3"/>
  <c r="AG978" i="3"/>
  <c r="AG977" i="3"/>
  <c r="AG976" i="3"/>
  <c r="AG975" i="3"/>
  <c r="AG974" i="3"/>
  <c r="AG973" i="3"/>
  <c r="AG972" i="3"/>
  <c r="AG971" i="3"/>
  <c r="AG970" i="3"/>
  <c r="AG969" i="3"/>
  <c r="AG968" i="3"/>
  <c r="AG967" i="3"/>
  <c r="AG966" i="3"/>
  <c r="AG965" i="3"/>
  <c r="AG964" i="3"/>
  <c r="AG963" i="3"/>
  <c r="AG962" i="3"/>
  <c r="AG961" i="3"/>
  <c r="AG960" i="3"/>
  <c r="AG959" i="3"/>
  <c r="AG958" i="3"/>
  <c r="AG957" i="3"/>
  <c r="AG956" i="3"/>
  <c r="AG955" i="3"/>
  <c r="AG954" i="3"/>
  <c r="AG953" i="3"/>
  <c r="AG952" i="3"/>
  <c r="AG951" i="3"/>
  <c r="AG950" i="3"/>
  <c r="AG949" i="3"/>
  <c r="AG948" i="3"/>
  <c r="AG947" i="3"/>
  <c r="AG946" i="3"/>
  <c r="AG945" i="3"/>
  <c r="AG944" i="3"/>
  <c r="AG943" i="3"/>
  <c r="AG942" i="3"/>
  <c r="AG941" i="3"/>
  <c r="AG940" i="3"/>
  <c r="AG939" i="3"/>
  <c r="AG938" i="3"/>
  <c r="AG937" i="3"/>
  <c r="AG936" i="3"/>
  <c r="AG935" i="3"/>
  <c r="AG934" i="3"/>
  <c r="AG933" i="3"/>
  <c r="AG932" i="3"/>
  <c r="AG931" i="3"/>
  <c r="AG930" i="3"/>
  <c r="AG929" i="3"/>
  <c r="AG928" i="3"/>
  <c r="AG927" i="3"/>
  <c r="AG926" i="3"/>
  <c r="AG925" i="3"/>
  <c r="AG924" i="3"/>
  <c r="AG923" i="3"/>
  <c r="AG922" i="3"/>
  <c r="AG921" i="3"/>
  <c r="AG920" i="3"/>
  <c r="AG919" i="3"/>
  <c r="AG918" i="3"/>
  <c r="AG917" i="3"/>
  <c r="AG916" i="3"/>
  <c r="AG915" i="3"/>
  <c r="AG914" i="3"/>
  <c r="AG913" i="3"/>
  <c r="AG912" i="3"/>
  <c r="AG911" i="3"/>
  <c r="AG910" i="3"/>
  <c r="AG909" i="3"/>
  <c r="AG908" i="3"/>
  <c r="AG907" i="3"/>
  <c r="AG906" i="3"/>
  <c r="AG905" i="3"/>
  <c r="AG904" i="3"/>
  <c r="AG903" i="3"/>
  <c r="AG902" i="3"/>
  <c r="AG901" i="3"/>
  <c r="AG900" i="3"/>
  <c r="AG899" i="3"/>
  <c r="AG898" i="3"/>
  <c r="AG897" i="3"/>
  <c r="AG896" i="3"/>
  <c r="AG895" i="3"/>
  <c r="AG894" i="3"/>
  <c r="AG893" i="3"/>
  <c r="AG892" i="3"/>
  <c r="AG891" i="3"/>
  <c r="AG890" i="3"/>
  <c r="AG889" i="3"/>
  <c r="AG888" i="3"/>
  <c r="AG887" i="3"/>
  <c r="AG886" i="3"/>
  <c r="AG885" i="3"/>
  <c r="AG884" i="3"/>
  <c r="AG883" i="3"/>
  <c r="AG882" i="3"/>
  <c r="AG881" i="3"/>
  <c r="AG880" i="3"/>
  <c r="AG879" i="3"/>
  <c r="AG878" i="3"/>
  <c r="AG877" i="3"/>
  <c r="AG876" i="3"/>
  <c r="AG875" i="3"/>
  <c r="AG874" i="3"/>
  <c r="AG873" i="3"/>
  <c r="AG872" i="3"/>
  <c r="AG871" i="3"/>
  <c r="AG870" i="3"/>
  <c r="AG869" i="3"/>
  <c r="AG868" i="3"/>
  <c r="AG867" i="3"/>
  <c r="AG866" i="3"/>
  <c r="AG865" i="3"/>
  <c r="AG864" i="3"/>
  <c r="AG863" i="3"/>
  <c r="AG862" i="3"/>
  <c r="AG861" i="3"/>
  <c r="AG860" i="3"/>
  <c r="AG859" i="3"/>
  <c r="AG858" i="3"/>
  <c r="AG857" i="3"/>
  <c r="AG856" i="3"/>
  <c r="AG855" i="3"/>
  <c r="AG854" i="3"/>
  <c r="AG853" i="3"/>
  <c r="AG852" i="3"/>
  <c r="AG851" i="3"/>
  <c r="AG850" i="3"/>
  <c r="AG849" i="3"/>
  <c r="AG848" i="3"/>
  <c r="AG847" i="3"/>
  <c r="AG846" i="3"/>
  <c r="AG845" i="3"/>
  <c r="AG844" i="3"/>
  <c r="AG843" i="3"/>
  <c r="AG842" i="3"/>
  <c r="AG841" i="3"/>
  <c r="AG840" i="3"/>
  <c r="AG839" i="3"/>
  <c r="AG838" i="3"/>
  <c r="AG837" i="3"/>
  <c r="AG836" i="3"/>
  <c r="AG835" i="3"/>
  <c r="AG834" i="3"/>
  <c r="AG833" i="3"/>
  <c r="AG832" i="3"/>
  <c r="AG831" i="3"/>
  <c r="AG830" i="3"/>
  <c r="AG829" i="3"/>
  <c r="AG828" i="3"/>
  <c r="AG827" i="3"/>
  <c r="AG826" i="3"/>
  <c r="AG825" i="3"/>
  <c r="AG824" i="3"/>
  <c r="AG823" i="3"/>
  <c r="AG822" i="3"/>
  <c r="AG821" i="3"/>
  <c r="AG820" i="3"/>
  <c r="AG819" i="3"/>
  <c r="AG818" i="3"/>
  <c r="AG817" i="3"/>
  <c r="AG816" i="3"/>
  <c r="AG815" i="3"/>
  <c r="AG814" i="3"/>
  <c r="AG813" i="3"/>
  <c r="AG812" i="3"/>
  <c r="AG811" i="3"/>
  <c r="AG810" i="3"/>
  <c r="AG809" i="3"/>
  <c r="AG808" i="3"/>
  <c r="AG807" i="3"/>
  <c r="AG806" i="3"/>
  <c r="AG805" i="3"/>
  <c r="AG804" i="3"/>
  <c r="AG803" i="3"/>
  <c r="AG802" i="3"/>
  <c r="AG801" i="3"/>
  <c r="AG800" i="3"/>
  <c r="AG799" i="3"/>
  <c r="AG798" i="3"/>
  <c r="AG797" i="3"/>
  <c r="AG796" i="3"/>
  <c r="AG795" i="3"/>
  <c r="AG794" i="3"/>
  <c r="AG793" i="3"/>
  <c r="AG792" i="3"/>
  <c r="AG791" i="3"/>
  <c r="AG790" i="3"/>
  <c r="AG789" i="3"/>
  <c r="AG788" i="3"/>
  <c r="AG85" i="3"/>
  <c r="AG77" i="3"/>
  <c r="AG66" i="3"/>
  <c r="AG58" i="3"/>
  <c r="AG50" i="3"/>
  <c r="AG43" i="3"/>
  <c r="AG35" i="3"/>
  <c r="AG29" i="3"/>
  <c r="AG23" i="3"/>
  <c r="AG14" i="3"/>
  <c r="W6" i="3"/>
  <c r="Y6" i="3" s="1"/>
  <c r="AG5" i="3"/>
  <c r="W5" i="3"/>
  <c r="Y5" i="3" s="1"/>
  <c r="AG1686" i="3"/>
  <c r="AG1679" i="3"/>
  <c r="AL1679" i="3" s="1"/>
  <c r="AG1669" i="3"/>
  <c r="AL1669" i="3" s="1"/>
  <c r="AG1664" i="3"/>
  <c r="AL1664" i="3" s="1"/>
  <c r="AG1662" i="3"/>
  <c r="AL1662" i="3" s="1"/>
  <c r="AG1659" i="3"/>
  <c r="AL1659" i="3" s="1"/>
  <c r="AG1657" i="3"/>
  <c r="AL1657" i="3" s="1"/>
  <c r="AG1650" i="3"/>
  <c r="AL1650" i="3" s="1"/>
  <c r="AG1647" i="3"/>
  <c r="AL1647" i="3" s="1"/>
  <c r="AG1642" i="3"/>
  <c r="AL1642" i="3" s="1"/>
  <c r="AG1629" i="3"/>
  <c r="AL1629" i="3" s="1"/>
  <c r="AG1624" i="3"/>
  <c r="AL1624" i="3" s="1"/>
  <c r="AG1623" i="3"/>
  <c r="AL1623" i="3" s="1"/>
  <c r="AG1618" i="3"/>
  <c r="AL1618" i="3" s="1"/>
  <c r="AG1613" i="3"/>
  <c r="AL1613" i="3" s="1"/>
  <c r="AG1609" i="3"/>
  <c r="AL1609" i="3" s="1"/>
  <c r="AG1601" i="3"/>
  <c r="AL1601" i="3" s="1"/>
  <c r="AG1597" i="3"/>
  <c r="AL1597" i="3" s="1"/>
  <c r="AG1594" i="3"/>
  <c r="AL1594" i="3" s="1"/>
  <c r="AG1592" i="3"/>
  <c r="AL1592" i="3" s="1"/>
  <c r="AG1584" i="3"/>
  <c r="AL1584" i="3" s="1"/>
  <c r="AG1580" i="3"/>
  <c r="AL1580" i="3" s="1"/>
  <c r="AG1560" i="3"/>
  <c r="AL1560" i="3" s="1"/>
  <c r="AG1556" i="3"/>
  <c r="AL1556" i="3" s="1"/>
  <c r="AG1538" i="3"/>
  <c r="AL1538" i="3" s="1"/>
  <c r="AG1536" i="3"/>
  <c r="AL1536" i="3" s="1"/>
  <c r="AG1534" i="3"/>
  <c r="AL1534" i="3" s="1"/>
  <c r="AG1531" i="3"/>
  <c r="AL1531" i="3" s="1"/>
  <c r="AG1529" i="3"/>
  <c r="AL1529" i="3" s="1"/>
  <c r="AG1522" i="3"/>
  <c r="AL1522" i="3" s="1"/>
  <c r="AG1514" i="3"/>
  <c r="AL1514" i="3" s="1"/>
  <c r="AG1508" i="3"/>
  <c r="AL1508" i="3" s="1"/>
  <c r="AG1499" i="3"/>
  <c r="AL1499" i="3" s="1"/>
  <c r="AG1493" i="3"/>
  <c r="AL1493" i="3" s="1"/>
  <c r="AG1482" i="3"/>
  <c r="AL1482" i="3" s="1"/>
  <c r="AG1478" i="3"/>
  <c r="AL1478" i="3" s="1"/>
  <c r="AG785" i="3"/>
  <c r="AG782" i="3"/>
  <c r="AG780" i="3"/>
  <c r="AG779" i="3"/>
  <c r="AG773" i="3"/>
  <c r="AG769" i="3"/>
  <c r="AG768" i="3"/>
  <c r="AG767" i="3"/>
  <c r="AG766" i="3"/>
  <c r="AG765" i="3"/>
  <c r="AG764" i="3"/>
  <c r="AG763" i="3"/>
  <c r="AG762" i="3"/>
  <c r="AG761" i="3"/>
  <c r="AG760" i="3"/>
  <c r="AG759" i="3"/>
  <c r="AG758" i="3"/>
  <c r="AG757" i="3"/>
  <c r="AG756" i="3"/>
  <c r="AG755" i="3"/>
  <c r="AG754" i="3"/>
  <c r="AG753" i="3"/>
  <c r="AG752" i="3"/>
  <c r="AG751" i="3"/>
  <c r="AG750" i="3"/>
  <c r="AG749" i="3"/>
  <c r="AG748" i="3"/>
  <c r="AG747" i="3"/>
  <c r="AG746" i="3"/>
  <c r="AG745" i="3"/>
  <c r="AG744" i="3"/>
  <c r="AG743" i="3"/>
  <c r="AG742" i="3"/>
  <c r="AG741" i="3"/>
  <c r="AG740" i="3"/>
  <c r="AG739" i="3"/>
  <c r="AG738" i="3"/>
  <c r="AG737" i="3"/>
  <c r="AG736" i="3"/>
  <c r="AG735" i="3"/>
  <c r="AG734" i="3"/>
  <c r="AG733" i="3"/>
  <c r="AG732" i="3"/>
  <c r="AG731" i="3"/>
  <c r="AG730" i="3"/>
  <c r="AG729" i="3"/>
  <c r="AG728" i="3"/>
  <c r="AG727" i="3"/>
  <c r="AG726" i="3"/>
  <c r="AG725" i="3"/>
  <c r="AG724" i="3"/>
  <c r="AG723" i="3"/>
  <c r="AG722" i="3"/>
  <c r="AG721" i="3"/>
  <c r="AG720" i="3"/>
  <c r="AG719" i="3"/>
  <c r="AG718" i="3"/>
  <c r="AG717" i="3"/>
  <c r="AG716" i="3"/>
  <c r="AG715" i="3"/>
  <c r="AG714" i="3"/>
  <c r="AG713" i="3"/>
  <c r="AG712" i="3"/>
  <c r="AG711" i="3"/>
  <c r="AG710" i="3"/>
  <c r="AG709" i="3"/>
  <c r="AG708" i="3"/>
  <c r="AG707" i="3"/>
  <c r="AG706" i="3"/>
  <c r="AG705" i="3"/>
  <c r="AG704" i="3"/>
  <c r="AG703" i="3"/>
  <c r="AG702" i="3"/>
  <c r="AG701" i="3"/>
  <c r="AG700" i="3"/>
  <c r="AG699" i="3"/>
  <c r="AG698" i="3"/>
  <c r="AG697" i="3"/>
  <c r="AG696" i="3"/>
  <c r="AG695" i="3"/>
  <c r="AG694" i="3"/>
  <c r="AG693" i="3"/>
  <c r="AG692" i="3"/>
  <c r="AG691" i="3"/>
  <c r="AG690" i="3"/>
  <c r="AG689" i="3"/>
  <c r="AG688" i="3"/>
  <c r="AG687" i="3"/>
  <c r="AG686" i="3"/>
  <c r="AG685" i="3"/>
  <c r="AG684" i="3"/>
  <c r="AG683" i="3"/>
  <c r="AG682" i="3"/>
  <c r="AG681" i="3"/>
  <c r="AG680" i="3"/>
  <c r="AG679" i="3"/>
  <c r="AG678" i="3"/>
  <c r="AG677" i="3"/>
  <c r="AG676" i="3"/>
  <c r="AG675" i="3"/>
  <c r="AG674" i="3"/>
  <c r="AG673" i="3"/>
  <c r="AG672" i="3"/>
  <c r="AG671" i="3"/>
  <c r="AG670" i="3"/>
  <c r="AG669" i="3"/>
  <c r="AG668" i="3"/>
  <c r="AG667" i="3"/>
  <c r="AG666" i="3"/>
  <c r="AG665" i="3"/>
  <c r="AG664" i="3"/>
  <c r="AG663" i="3"/>
  <c r="AG662" i="3"/>
  <c r="AG661" i="3"/>
  <c r="AG660" i="3"/>
  <c r="AG659" i="3"/>
  <c r="AG658" i="3"/>
  <c r="AG657" i="3"/>
  <c r="AG656" i="3"/>
  <c r="AG655" i="3"/>
  <c r="AG654" i="3"/>
  <c r="AG653" i="3"/>
  <c r="AG652" i="3"/>
  <c r="AG651" i="3"/>
  <c r="AG650" i="3"/>
  <c r="AG649" i="3"/>
  <c r="AG648" i="3"/>
  <c r="AG647" i="3"/>
  <c r="AG646" i="3"/>
  <c r="AG645" i="3"/>
  <c r="AG644" i="3"/>
  <c r="AG643" i="3"/>
  <c r="AG642" i="3"/>
  <c r="AG641" i="3"/>
  <c r="AG640" i="3"/>
  <c r="AG639" i="3"/>
  <c r="AG638" i="3"/>
  <c r="AG637" i="3"/>
  <c r="AG636" i="3"/>
  <c r="AG635" i="3"/>
  <c r="AG634" i="3"/>
  <c r="AG633" i="3"/>
  <c r="AG632" i="3"/>
  <c r="AG631" i="3"/>
  <c r="AG630" i="3"/>
  <c r="AG629" i="3"/>
  <c r="AG628" i="3"/>
  <c r="AG627" i="3"/>
  <c r="AG626" i="3"/>
  <c r="AG625" i="3"/>
  <c r="AG624" i="3"/>
  <c r="AG623" i="3"/>
  <c r="AG622" i="3"/>
  <c r="AG621" i="3"/>
  <c r="AG620" i="3"/>
  <c r="AG619" i="3"/>
  <c r="AG618" i="3"/>
  <c r="AG617" i="3"/>
  <c r="AG616" i="3"/>
  <c r="AG615" i="3"/>
  <c r="AG614" i="3"/>
  <c r="AG613" i="3"/>
  <c r="AG612" i="3"/>
  <c r="AG611" i="3"/>
  <c r="AG610" i="3"/>
  <c r="AG609" i="3"/>
  <c r="AG608" i="3"/>
  <c r="AG607" i="3"/>
  <c r="AG606" i="3"/>
  <c r="AG605" i="3"/>
  <c r="AG604" i="3"/>
  <c r="AG603" i="3"/>
  <c r="AG602" i="3"/>
  <c r="AG601" i="3"/>
  <c r="AG600" i="3"/>
  <c r="AG599" i="3"/>
  <c r="AG598" i="3"/>
  <c r="AG597" i="3"/>
  <c r="AG596" i="3"/>
  <c r="AG595" i="3"/>
  <c r="AG594" i="3"/>
  <c r="AG593" i="3"/>
  <c r="AG592" i="3"/>
  <c r="AG591" i="3"/>
  <c r="AG590" i="3"/>
  <c r="AG589" i="3"/>
  <c r="AG588" i="3"/>
  <c r="AG587" i="3"/>
  <c r="AG586" i="3"/>
  <c r="AG585" i="3"/>
  <c r="AG584" i="3"/>
  <c r="AG583" i="3"/>
  <c r="AG582" i="3"/>
  <c r="AG581" i="3"/>
  <c r="AG580" i="3"/>
  <c r="AG579" i="3"/>
  <c r="AG578" i="3"/>
  <c r="AG577" i="3"/>
  <c r="AG576" i="3"/>
  <c r="AG575" i="3"/>
  <c r="AG574" i="3"/>
  <c r="AG573" i="3"/>
  <c r="AG572" i="3"/>
  <c r="AG571" i="3"/>
  <c r="AG570" i="3"/>
  <c r="AG569" i="3"/>
  <c r="AG568" i="3"/>
  <c r="AG567" i="3"/>
  <c r="AG566" i="3"/>
  <c r="AG565" i="3"/>
  <c r="AG564" i="3"/>
  <c r="AG563" i="3"/>
  <c r="AG562" i="3"/>
  <c r="AG86" i="3"/>
  <c r="AG78" i="3"/>
  <c r="AG70" i="3"/>
  <c r="AG62" i="3"/>
  <c r="AG54" i="3"/>
  <c r="AG46" i="3"/>
  <c r="AG40" i="3"/>
  <c r="AG33" i="3"/>
  <c r="AG27" i="3"/>
  <c r="AG21" i="3"/>
  <c r="AG15" i="3"/>
  <c r="AG9" i="3"/>
  <c r="AG1684" i="3"/>
  <c r="AL1684" i="3" s="1"/>
  <c r="AG1670" i="3"/>
  <c r="AL1670" i="3" s="1"/>
  <c r="AG1665" i="3"/>
  <c r="AL1665" i="3" s="1"/>
  <c r="AG1654" i="3"/>
  <c r="AL1654" i="3" s="1"/>
  <c r="AG1652" i="3"/>
  <c r="AL1652" i="3" s="1"/>
  <c r="AG1649" i="3"/>
  <c r="AL1649" i="3" s="1"/>
  <c r="AG1640" i="3"/>
  <c r="AL1640" i="3" s="1"/>
  <c r="AG1636" i="3"/>
  <c r="AL1636" i="3" s="1"/>
  <c r="AG1632" i="3"/>
  <c r="AL1632" i="3" s="1"/>
  <c r="AG1616" i="3"/>
  <c r="AL1616" i="3" s="1"/>
  <c r="AG1611" i="3"/>
  <c r="AL1611" i="3" s="1"/>
  <c r="AG1610" i="3"/>
  <c r="AL1610" i="3" s="1"/>
  <c r="AG1607" i="3"/>
  <c r="AL1607" i="3" s="1"/>
  <c r="AG1596" i="3"/>
  <c r="AL1596" i="3" s="1"/>
  <c r="AG1593" i="3"/>
  <c r="AL1593" i="3" s="1"/>
  <c r="AG1587" i="3"/>
  <c r="AL1587" i="3" s="1"/>
  <c r="AG1582" i="3"/>
  <c r="AL1582" i="3" s="1"/>
  <c r="AG1566" i="3"/>
  <c r="AL1566" i="3" s="1"/>
  <c r="AG1553" i="3"/>
  <c r="AL1553" i="3" s="1"/>
  <c r="AG1550" i="3"/>
  <c r="AL1550" i="3" s="1"/>
  <c r="AG1533" i="3"/>
  <c r="AL1533" i="3" s="1"/>
  <c r="AG1527" i="3"/>
  <c r="AL1527" i="3" s="1"/>
  <c r="AG1525" i="3"/>
  <c r="AL1525" i="3" s="1"/>
  <c r="AG1519" i="3"/>
  <c r="AL1519" i="3" s="1"/>
  <c r="AG1512" i="3"/>
  <c r="AL1512" i="3" s="1"/>
  <c r="AG1511" i="3"/>
  <c r="AL1511" i="3" s="1"/>
  <c r="AG1507" i="3"/>
  <c r="AL1507" i="3" s="1"/>
  <c r="AG1504" i="3"/>
  <c r="AL1504" i="3" s="1"/>
  <c r="AG1497" i="3"/>
  <c r="AL1497" i="3" s="1"/>
  <c r="AG1492" i="3"/>
  <c r="AL1492" i="3" s="1"/>
  <c r="AG1486" i="3"/>
  <c r="AL1486" i="3" s="1"/>
  <c r="AG1484" i="3"/>
  <c r="AL1484" i="3" s="1"/>
  <c r="AG1481" i="3"/>
  <c r="AL1481" i="3" s="1"/>
  <c r="AG787" i="3"/>
  <c r="AG786" i="3"/>
  <c r="AG784" i="3"/>
  <c r="AG778" i="3"/>
  <c r="AG777" i="3"/>
  <c r="AG775" i="3"/>
  <c r="AG770" i="3"/>
  <c r="AG561" i="3"/>
  <c r="AG560" i="3"/>
  <c r="AG559" i="3"/>
  <c r="AG557" i="3"/>
  <c r="AG556" i="3"/>
  <c r="AG555" i="3"/>
  <c r="AG553" i="3"/>
  <c r="AG552" i="3"/>
  <c r="AG551" i="3"/>
  <c r="AG550" i="3"/>
  <c r="AG549" i="3"/>
  <c r="AG548" i="3"/>
  <c r="AG547" i="3"/>
  <c r="AG546" i="3"/>
  <c r="AG545" i="3"/>
  <c r="AG544" i="3"/>
  <c r="AG543" i="3"/>
  <c r="AG542" i="3"/>
  <c r="AG541" i="3"/>
  <c r="AG540" i="3"/>
  <c r="AG539" i="3"/>
  <c r="AG538" i="3"/>
  <c r="AG537" i="3"/>
  <c r="AG536" i="3"/>
  <c r="AG535" i="3"/>
  <c r="AG534" i="3"/>
  <c r="AG533" i="3"/>
  <c r="AG532" i="3"/>
  <c r="AG531" i="3"/>
  <c r="AG530" i="3"/>
  <c r="AG529" i="3"/>
  <c r="AG528" i="3"/>
  <c r="AG527" i="3"/>
  <c r="AG526" i="3"/>
  <c r="AG525" i="3"/>
  <c r="AG524" i="3"/>
  <c r="AG523" i="3"/>
  <c r="AG522" i="3"/>
  <c r="AG521" i="3"/>
  <c r="AG520" i="3"/>
  <c r="AG519" i="3"/>
  <c r="AG518" i="3"/>
  <c r="AG517" i="3"/>
  <c r="AG516" i="3"/>
  <c r="AG515" i="3"/>
  <c r="AG514" i="3"/>
  <c r="AG513" i="3"/>
  <c r="AG512" i="3"/>
  <c r="AG511" i="3"/>
  <c r="AG510" i="3"/>
  <c r="AG509" i="3"/>
  <c r="AG508" i="3"/>
  <c r="AG507" i="3"/>
  <c r="AG506" i="3"/>
  <c r="AG505" i="3"/>
  <c r="AG504" i="3"/>
  <c r="AG503" i="3"/>
  <c r="AG502" i="3"/>
  <c r="AG501" i="3"/>
  <c r="AG500" i="3"/>
  <c r="AG499" i="3"/>
  <c r="AG498" i="3"/>
  <c r="AG497" i="3"/>
  <c r="AG496" i="3"/>
  <c r="AG495" i="3"/>
  <c r="AG494" i="3"/>
  <c r="AG493" i="3"/>
  <c r="AG492" i="3"/>
  <c r="AG491" i="3"/>
  <c r="AG490" i="3"/>
  <c r="AG489" i="3"/>
  <c r="AG488" i="3"/>
  <c r="AG487" i="3"/>
  <c r="AG486" i="3"/>
  <c r="AG485" i="3"/>
  <c r="AG484" i="3"/>
  <c r="AG483" i="3"/>
  <c r="AG482" i="3"/>
  <c r="AG481" i="3"/>
  <c r="AG480" i="3"/>
  <c r="AG479" i="3"/>
  <c r="AG478" i="3"/>
  <c r="AG477" i="3"/>
  <c r="AG476" i="3"/>
  <c r="AG475" i="3"/>
  <c r="AG474" i="3"/>
  <c r="AG473" i="3"/>
  <c r="AG472" i="3"/>
  <c r="AG471" i="3"/>
  <c r="AG470" i="3"/>
  <c r="AG469" i="3"/>
  <c r="AG468" i="3"/>
  <c r="AG467" i="3"/>
  <c r="AG466" i="3"/>
  <c r="AG465" i="3"/>
  <c r="AG464" i="3"/>
  <c r="AG463" i="3"/>
  <c r="AG462" i="3"/>
  <c r="AG461" i="3"/>
  <c r="AG460" i="3"/>
  <c r="AG459" i="3"/>
  <c r="AG458" i="3"/>
  <c r="AG457" i="3"/>
  <c r="AG456" i="3"/>
  <c r="AG455" i="3"/>
  <c r="AG454" i="3"/>
  <c r="AG453" i="3"/>
  <c r="AG452" i="3"/>
  <c r="AG451" i="3"/>
  <c r="AG450" i="3"/>
  <c r="AG449" i="3"/>
  <c r="AG448" i="3"/>
  <c r="AG447" i="3"/>
  <c r="AG446" i="3"/>
  <c r="AG445" i="3"/>
  <c r="AG444" i="3"/>
  <c r="AG443" i="3"/>
  <c r="AG442" i="3"/>
  <c r="AG441" i="3"/>
  <c r="AG440" i="3"/>
  <c r="AG439" i="3"/>
  <c r="AG438" i="3"/>
  <c r="AG437" i="3"/>
  <c r="AG436" i="3"/>
  <c r="AG435" i="3"/>
  <c r="AG434" i="3"/>
  <c r="AG433" i="3"/>
  <c r="AG432" i="3"/>
  <c r="AG431" i="3"/>
  <c r="AG430" i="3"/>
  <c r="AG429" i="3"/>
  <c r="AG428" i="3"/>
  <c r="AG427" i="3"/>
  <c r="AG426" i="3"/>
  <c r="AG425" i="3"/>
  <c r="AG424" i="3"/>
  <c r="AG423" i="3"/>
  <c r="AG422" i="3"/>
  <c r="AG421" i="3"/>
  <c r="AG420" i="3"/>
  <c r="AG419" i="3"/>
  <c r="AG418" i="3"/>
  <c r="AG417" i="3"/>
  <c r="AG416" i="3"/>
  <c r="AG415" i="3"/>
  <c r="AG414" i="3"/>
  <c r="AG413" i="3"/>
  <c r="AG412" i="3"/>
  <c r="AG411" i="3"/>
  <c r="AG410" i="3"/>
  <c r="AG409" i="3"/>
  <c r="AG408" i="3"/>
  <c r="AG407" i="3"/>
  <c r="AG406" i="3"/>
  <c r="AG405" i="3"/>
  <c r="AG404" i="3"/>
  <c r="AG403" i="3"/>
  <c r="AG402" i="3"/>
  <c r="AG401" i="3"/>
  <c r="AG400" i="3"/>
  <c r="AG399" i="3"/>
  <c r="AG398" i="3"/>
  <c r="AG397" i="3"/>
  <c r="AG396" i="3"/>
  <c r="AG395" i="3"/>
  <c r="AG394" i="3"/>
  <c r="AG393" i="3"/>
  <c r="AG392" i="3"/>
  <c r="AG391" i="3"/>
  <c r="AG390" i="3"/>
  <c r="AG389" i="3"/>
  <c r="AG388" i="3"/>
  <c r="AG387" i="3"/>
  <c r="AG386" i="3"/>
  <c r="AG385" i="3"/>
  <c r="AG384" i="3"/>
  <c r="AG383" i="3"/>
  <c r="AG382" i="3"/>
  <c r="AG381" i="3"/>
  <c r="AG380" i="3"/>
  <c r="AG379" i="3"/>
  <c r="AG378" i="3"/>
  <c r="AG377" i="3"/>
  <c r="AG376" i="3"/>
  <c r="AG375" i="3"/>
  <c r="AG374" i="3"/>
  <c r="AG373" i="3"/>
  <c r="AG372" i="3"/>
  <c r="AG371" i="3"/>
  <c r="AG370" i="3"/>
  <c r="AG369" i="3"/>
  <c r="AG368" i="3"/>
  <c r="AG367" i="3"/>
  <c r="AG366" i="3"/>
  <c r="AG365" i="3"/>
  <c r="AG364" i="3"/>
  <c r="AG363" i="3"/>
  <c r="AG362" i="3"/>
  <c r="AG361" i="3"/>
  <c r="AG360" i="3"/>
  <c r="AG359" i="3"/>
  <c r="AG358" i="3"/>
  <c r="AG357" i="3"/>
  <c r="AG356" i="3"/>
  <c r="AG355" i="3"/>
  <c r="AG354" i="3"/>
  <c r="AG353" i="3"/>
  <c r="AG352" i="3"/>
  <c r="AG351" i="3"/>
  <c r="AG350" i="3"/>
  <c r="AG349" i="3"/>
  <c r="AG348" i="3"/>
  <c r="AG347" i="3"/>
  <c r="AG346" i="3"/>
  <c r="AG345" i="3"/>
  <c r="AG344" i="3"/>
  <c r="AG343" i="3"/>
  <c r="AG342" i="3"/>
  <c r="AG341" i="3"/>
  <c r="AG340" i="3"/>
  <c r="AG339" i="3"/>
  <c r="AG338" i="3"/>
  <c r="AG337" i="3"/>
  <c r="AG336" i="3"/>
  <c r="AG335" i="3"/>
  <c r="AG83" i="3"/>
  <c r="AG76" i="3"/>
  <c r="AG69" i="3"/>
  <c r="AG61" i="3"/>
  <c r="AG53" i="3"/>
  <c r="AG45" i="3"/>
  <c r="AG38" i="3"/>
  <c r="AG31" i="3"/>
  <c r="AG25" i="3"/>
  <c r="AG18" i="3"/>
  <c r="AG11" i="3"/>
  <c r="AG1685" i="3"/>
  <c r="AL1685" i="3" s="1"/>
  <c r="AG1682" i="3"/>
  <c r="AG1680" i="3"/>
  <c r="AL1680" i="3" s="1"/>
  <c r="AG1677" i="3"/>
  <c r="AL1677" i="3" s="1"/>
  <c r="AG1674" i="3"/>
  <c r="AL1674" i="3" s="1"/>
  <c r="AG1673" i="3"/>
  <c r="AL1673" i="3" s="1"/>
  <c r="AG1666" i="3"/>
  <c r="AL1666" i="3" s="1"/>
  <c r="AG1661" i="3"/>
  <c r="AL1661" i="3" s="1"/>
  <c r="AG1655" i="3"/>
  <c r="AL1655" i="3" s="1"/>
  <c r="AG1653" i="3"/>
  <c r="AL1653" i="3" s="1"/>
  <c r="AG1651" i="3"/>
  <c r="AL1651" i="3" s="1"/>
  <c r="AG1634" i="3"/>
  <c r="AL1634" i="3" s="1"/>
  <c r="AG1633" i="3"/>
  <c r="AL1633" i="3" s="1"/>
  <c r="AG1628" i="3"/>
  <c r="AL1628" i="3" s="1"/>
  <c r="AG1627" i="3"/>
  <c r="AL1627" i="3" s="1"/>
  <c r="AG1625" i="3"/>
  <c r="AL1625" i="3" s="1"/>
  <c r="AG1604" i="3"/>
  <c r="AL1604" i="3" s="1"/>
  <c r="AG1599" i="3"/>
  <c r="AL1599" i="3" s="1"/>
  <c r="AG1591" i="3"/>
  <c r="AL1591" i="3" s="1"/>
  <c r="AG1590" i="3"/>
  <c r="AL1590" i="3" s="1"/>
  <c r="AG1578" i="3"/>
  <c r="AL1578" i="3" s="1"/>
  <c r="AG1574" i="3"/>
  <c r="AL1574" i="3" s="1"/>
  <c r="AG1571" i="3"/>
  <c r="AL1571" i="3" s="1"/>
  <c r="AG1570" i="3"/>
  <c r="AL1570" i="3" s="1"/>
  <c r="AG1565" i="3"/>
  <c r="AL1565" i="3" s="1"/>
  <c r="AG1564" i="3"/>
  <c r="AL1564" i="3" s="1"/>
  <c r="AG1557" i="3"/>
  <c r="AL1557" i="3" s="1"/>
  <c r="AG1554" i="3"/>
  <c r="AL1554" i="3" s="1"/>
  <c r="AG1551" i="3"/>
  <c r="AL1551" i="3" s="1"/>
  <c r="AG1547" i="3"/>
  <c r="AL1547" i="3" s="1"/>
  <c r="AG1545" i="3"/>
  <c r="AL1545" i="3" s="1"/>
  <c r="AG1543" i="3"/>
  <c r="AL1543" i="3" s="1"/>
  <c r="AG1537" i="3"/>
  <c r="AL1537" i="3" s="1"/>
  <c r="AG1535" i="3"/>
  <c r="AL1535" i="3" s="1"/>
  <c r="AG1530" i="3"/>
  <c r="AL1530" i="3" s="1"/>
  <c r="AG1524" i="3"/>
  <c r="AL1524" i="3" s="1"/>
  <c r="AG1523" i="3"/>
  <c r="AL1523" i="3" s="1"/>
  <c r="AG1515" i="3"/>
  <c r="AL1515" i="3" s="1"/>
  <c r="AG1510" i="3"/>
  <c r="AL1510" i="3" s="1"/>
  <c r="AG1506" i="3"/>
  <c r="AL1506" i="3" s="1"/>
  <c r="AG1494" i="3"/>
  <c r="AL1494" i="3" s="1"/>
  <c r="AG1491" i="3"/>
  <c r="AL1491" i="3" s="1"/>
  <c r="AG1479" i="3"/>
  <c r="AL1479" i="3" s="1"/>
  <c r="AG783" i="3"/>
  <c r="AG781" i="3"/>
  <c r="AG776" i="3"/>
  <c r="AG774" i="3"/>
  <c r="AG772" i="3"/>
  <c r="AG771" i="3"/>
  <c r="AG558" i="3"/>
  <c r="AG554" i="3"/>
  <c r="AG334" i="3"/>
  <c r="AG333" i="3"/>
  <c r="AG332" i="3"/>
  <c r="AG331" i="3"/>
  <c r="AG330" i="3"/>
  <c r="AG329" i="3"/>
  <c r="AG328" i="3"/>
  <c r="AG327" i="3"/>
  <c r="AG326" i="3"/>
  <c r="AG325" i="3"/>
  <c r="AG324" i="3"/>
  <c r="AG323" i="3"/>
  <c r="AG322" i="3"/>
  <c r="AG321" i="3"/>
  <c r="AG320" i="3"/>
  <c r="AG319" i="3"/>
  <c r="AG318" i="3"/>
  <c r="AG317" i="3"/>
  <c r="AG316" i="3"/>
  <c r="AG315" i="3"/>
  <c r="AG314" i="3"/>
  <c r="AG313" i="3"/>
  <c r="AG312" i="3"/>
  <c r="AG311" i="3"/>
  <c r="AG310" i="3"/>
  <c r="AG309" i="3"/>
  <c r="AG308" i="3"/>
  <c r="AG307" i="3"/>
  <c r="AG306" i="3"/>
  <c r="AG305" i="3"/>
  <c r="AG304" i="3"/>
  <c r="AG303" i="3"/>
  <c r="AG302" i="3"/>
  <c r="AG301" i="3"/>
  <c r="AG300" i="3"/>
  <c r="AG299" i="3"/>
  <c r="AG298" i="3"/>
  <c r="AG297" i="3"/>
  <c r="AG296" i="3"/>
  <c r="AG295" i="3"/>
  <c r="AG294" i="3"/>
  <c r="AG293" i="3"/>
  <c r="AG292" i="3"/>
  <c r="AG291" i="3"/>
  <c r="AG290" i="3"/>
  <c r="AG289" i="3"/>
  <c r="AG288" i="3"/>
  <c r="AG287" i="3"/>
  <c r="AG286" i="3"/>
  <c r="AG285" i="3"/>
  <c r="AG284" i="3"/>
  <c r="AG283" i="3"/>
  <c r="AG282" i="3"/>
  <c r="AG281" i="3"/>
  <c r="AG280" i="3"/>
  <c r="AG279" i="3"/>
  <c r="AG278" i="3"/>
  <c r="AG277" i="3"/>
  <c r="AG276" i="3"/>
  <c r="AG275" i="3"/>
  <c r="AG274" i="3"/>
  <c r="AG273" i="3"/>
  <c r="AG272" i="3"/>
  <c r="AG271" i="3"/>
  <c r="AG270" i="3"/>
  <c r="AG269" i="3"/>
  <c r="AG268" i="3"/>
  <c r="AG267" i="3"/>
  <c r="AG266" i="3"/>
  <c r="AG265" i="3"/>
  <c r="AG264" i="3"/>
  <c r="AG263" i="3"/>
  <c r="AG262" i="3"/>
  <c r="AG261" i="3"/>
  <c r="AG260" i="3"/>
  <c r="AG259" i="3"/>
  <c r="AG258" i="3"/>
  <c r="AG257" i="3"/>
  <c r="AG256" i="3"/>
  <c r="AG255" i="3"/>
  <c r="AG254" i="3"/>
  <c r="AG253" i="3"/>
  <c r="AG252" i="3"/>
  <c r="AG251" i="3"/>
  <c r="AG250" i="3"/>
  <c r="AG249" i="3"/>
  <c r="AG248" i="3"/>
  <c r="AG247" i="3"/>
  <c r="AG246" i="3"/>
  <c r="AG245" i="3"/>
  <c r="AG244" i="3"/>
  <c r="AG243" i="3"/>
  <c r="AG242" i="3"/>
  <c r="AG241" i="3"/>
  <c r="AG240" i="3"/>
  <c r="AG239" i="3"/>
  <c r="AG238" i="3"/>
  <c r="AG237" i="3"/>
  <c r="AG236" i="3"/>
  <c r="AG235" i="3"/>
  <c r="AG234" i="3"/>
  <c r="AG233" i="3"/>
  <c r="AG232" i="3"/>
  <c r="AG231" i="3"/>
  <c r="AG230" i="3"/>
  <c r="AG229" i="3"/>
  <c r="AG228" i="3"/>
  <c r="AG227" i="3"/>
  <c r="AG226" i="3"/>
  <c r="AG225" i="3"/>
  <c r="AG224" i="3"/>
  <c r="AG223" i="3"/>
  <c r="AG222" i="3"/>
  <c r="AG221" i="3"/>
  <c r="AG220" i="3"/>
  <c r="AG219" i="3"/>
  <c r="AG218" i="3"/>
  <c r="AG217" i="3"/>
  <c r="AG216" i="3"/>
  <c r="AG215" i="3"/>
  <c r="AG214" i="3"/>
  <c r="AG213" i="3"/>
  <c r="AG212" i="3"/>
  <c r="AG211" i="3"/>
  <c r="AG210" i="3"/>
  <c r="AG209" i="3"/>
  <c r="AG208" i="3"/>
  <c r="AG207" i="3"/>
  <c r="AG206" i="3"/>
  <c r="AG205" i="3"/>
  <c r="AG204" i="3"/>
  <c r="AG203" i="3"/>
  <c r="AG202" i="3"/>
  <c r="AG201" i="3"/>
  <c r="AG200" i="3"/>
  <c r="AG199" i="3"/>
  <c r="AG198" i="3"/>
  <c r="AG197" i="3"/>
  <c r="AG196" i="3"/>
  <c r="AG195" i="3"/>
  <c r="AG194" i="3"/>
  <c r="AG193" i="3"/>
  <c r="AG192" i="3"/>
  <c r="AG191" i="3"/>
  <c r="AG190" i="3"/>
  <c r="AG189" i="3"/>
  <c r="AG188" i="3"/>
  <c r="AG187" i="3"/>
  <c r="AG186" i="3"/>
  <c r="AG185" i="3"/>
  <c r="AG184" i="3"/>
  <c r="AG183" i="3"/>
  <c r="AG182" i="3"/>
  <c r="AG181" i="3"/>
  <c r="AG180" i="3"/>
  <c r="AG179" i="3"/>
  <c r="AG178" i="3"/>
  <c r="AG177" i="3"/>
  <c r="AG176" i="3"/>
  <c r="AG175" i="3"/>
  <c r="AG174" i="3"/>
  <c r="AG173" i="3"/>
  <c r="AG172" i="3"/>
  <c r="AG171" i="3"/>
  <c r="AG170" i="3"/>
  <c r="AG169" i="3"/>
  <c r="AG168" i="3"/>
  <c r="AG167" i="3"/>
  <c r="AG166" i="3"/>
  <c r="AG165" i="3"/>
  <c r="AG164" i="3"/>
  <c r="AG163" i="3"/>
  <c r="AG162" i="3"/>
  <c r="AG161" i="3"/>
  <c r="AG160" i="3"/>
  <c r="AG159" i="3"/>
  <c r="AG158" i="3"/>
  <c r="AG157" i="3"/>
  <c r="AG156" i="3"/>
  <c r="AG155" i="3"/>
  <c r="AG154" i="3"/>
  <c r="AG153" i="3"/>
  <c r="AG152" i="3"/>
  <c r="AG151" i="3"/>
  <c r="AG150" i="3"/>
  <c r="AG149" i="3"/>
  <c r="AG148" i="3"/>
  <c r="AG147" i="3"/>
  <c r="AG146" i="3"/>
  <c r="AG145" i="3"/>
  <c r="AG144" i="3"/>
  <c r="AG143" i="3"/>
  <c r="AG142" i="3"/>
  <c r="AG141" i="3"/>
  <c r="AG140" i="3"/>
  <c r="AG139" i="3"/>
  <c r="AG138" i="3"/>
  <c r="AG137" i="3"/>
  <c r="AG80" i="3"/>
  <c r="AG72" i="3"/>
  <c r="AG64" i="3"/>
  <c r="AG55" i="3"/>
  <c r="AG49" i="3"/>
  <c r="AG41" i="3"/>
  <c r="AG34" i="3"/>
  <c r="AG30" i="3"/>
  <c r="AG24" i="3"/>
  <c r="AG17" i="3"/>
  <c r="AG10" i="3"/>
  <c r="AG4" i="3"/>
  <c r="W4" i="3"/>
  <c r="AC7" i="3" l="1"/>
  <c r="AJ7" i="3" s="1"/>
  <c r="AI7" i="3" a="1"/>
  <c r="AI7" i="3" s="1"/>
  <c r="U7" i="3"/>
  <c r="AE7" i="3" s="1"/>
  <c r="AL7" i="3" s="1"/>
  <c r="W8" i="3"/>
  <c r="AA8" i="3"/>
  <c r="AI8" i="3" s="1" a="1"/>
  <c r="AI8" i="3" s="1"/>
  <c r="A9" i="3"/>
  <c r="AE5" i="3"/>
  <c r="AL5" i="3" s="1"/>
  <c r="AE6" i="3"/>
  <c r="AL6" i="3" s="1"/>
  <c r="Y4" i="3"/>
  <c r="U4" i="3"/>
  <c r="K22" i="2"/>
  <c r="K23" i="2"/>
  <c r="H20" i="2"/>
  <c r="H22" i="2"/>
  <c r="U9" i="3" l="1"/>
  <c r="AC8" i="3"/>
  <c r="AJ8" i="3" s="1"/>
  <c r="Y8" i="3"/>
  <c r="U8" i="3"/>
  <c r="W9" i="3"/>
  <c r="Y9" i="3" s="1"/>
  <c r="AA9" i="3"/>
  <c r="A10" i="3"/>
  <c r="AE4" i="3"/>
  <c r="AL4" i="3" s="1"/>
  <c r="AF7" i="3"/>
  <c r="AN7" i="3" s="1"/>
  <c r="AQ7" i="3"/>
  <c r="AF5" i="3"/>
  <c r="AN5" i="3" s="1"/>
  <c r="AQ5" i="3"/>
  <c r="AQ6" i="3"/>
  <c r="AF6" i="3"/>
  <c r="AN6" i="3" s="1"/>
  <c r="AC9" i="3" l="1"/>
  <c r="AJ9" i="3" s="1"/>
  <c r="AI9" i="3" a="1"/>
  <c r="AI9" i="3" s="1"/>
  <c r="AE9" i="3"/>
  <c r="AL9" i="3" s="1"/>
  <c r="U10" i="3"/>
  <c r="AE8" i="3"/>
  <c r="AL8" i="3" s="1"/>
  <c r="W10" i="3"/>
  <c r="Y10" i="3" s="1"/>
  <c r="AA10" i="3"/>
  <c r="A11" i="3"/>
  <c r="AF4" i="3"/>
  <c r="AN4" i="3" s="1"/>
  <c r="AC10" i="3" l="1"/>
  <c r="AJ10" i="3" s="1"/>
  <c r="AI10" i="3" a="1"/>
  <c r="AI10" i="3" s="1"/>
  <c r="AE10" i="3"/>
  <c r="AL10" i="3" s="1"/>
  <c r="AQ9" i="3"/>
  <c r="AF9" i="3"/>
  <c r="AN9" i="3" s="1"/>
  <c r="U11" i="3"/>
  <c r="AF8" i="3"/>
  <c r="AN8" i="3" s="1"/>
  <c r="AQ8" i="3"/>
  <c r="W11" i="3"/>
  <c r="Y11" i="3" s="1"/>
  <c r="AA11" i="3"/>
  <c r="A12" i="3"/>
  <c r="AO7" i="3"/>
  <c r="AR7" i="3"/>
  <c r="AQ4" i="3"/>
  <c r="AR4" i="3"/>
  <c r="AO5" i="3"/>
  <c r="AR5" i="3"/>
  <c r="AO6" i="3"/>
  <c r="AR6" i="3"/>
  <c r="AC11" i="3" l="1"/>
  <c r="AJ11" i="3" s="1"/>
  <c r="AI11" i="3" a="1"/>
  <c r="AI11" i="3" s="1"/>
  <c r="AQ10" i="3"/>
  <c r="AF10" i="3"/>
  <c r="AN10" i="3" s="1"/>
  <c r="AE11" i="3"/>
  <c r="AL11" i="3" s="1"/>
  <c r="U12" i="3"/>
  <c r="AO8" i="3"/>
  <c r="AR8" i="3"/>
  <c r="AO9" i="3"/>
  <c r="AR9" i="3"/>
  <c r="W12" i="3"/>
  <c r="Y12" i="3" s="1"/>
  <c r="AA12" i="3"/>
  <c r="A13" i="3"/>
  <c r="AO4" i="3"/>
  <c r="AC12" i="3" l="1"/>
  <c r="AJ12" i="3" s="1"/>
  <c r="AI12" i="3" a="1"/>
  <c r="AI12" i="3" s="1"/>
  <c r="AQ11" i="3"/>
  <c r="AF11" i="3"/>
  <c r="AN11" i="3" s="1"/>
  <c r="U13" i="3"/>
  <c r="AE12" i="3"/>
  <c r="AL12" i="3" s="1"/>
  <c r="W13" i="3"/>
  <c r="Y13" i="3" s="1"/>
  <c r="AA13" i="3"/>
  <c r="A14" i="3"/>
  <c r="AO10" i="3"/>
  <c r="AR10" i="3"/>
  <c r="AC13" i="3" l="1"/>
  <c r="AJ13" i="3" s="1"/>
  <c r="AI13" i="3" a="1"/>
  <c r="AI13" i="3" s="1"/>
  <c r="AE13" i="3"/>
  <c r="AL13" i="3" s="1"/>
  <c r="U14" i="3"/>
  <c r="AF12" i="3"/>
  <c r="AN12" i="3" s="1"/>
  <c r="AQ12" i="3"/>
  <c r="W14" i="3"/>
  <c r="Y14" i="3" s="1"/>
  <c r="AA14" i="3"/>
  <c r="A15" i="3"/>
  <c r="AO11" i="3"/>
  <c r="AR11" i="3"/>
  <c r="AC14" i="3" l="1"/>
  <c r="AJ14" i="3" s="1"/>
  <c r="AI14" i="3" a="1"/>
  <c r="AI14" i="3" s="1"/>
  <c r="U15" i="3"/>
  <c r="AI15" i="3" a="1"/>
  <c r="AI15" i="3" s="1"/>
  <c r="AF13" i="3"/>
  <c r="AN13" i="3" s="1"/>
  <c r="AQ13" i="3"/>
  <c r="AE14" i="3"/>
  <c r="AL14" i="3" s="1"/>
  <c r="W15" i="3"/>
  <c r="Y15" i="3" s="1"/>
  <c r="AA15" i="3"/>
  <c r="AC15" i="3" s="1"/>
  <c r="AJ15" i="3" s="1"/>
  <c r="A16" i="3"/>
  <c r="AO12" i="3"/>
  <c r="AR12" i="3"/>
  <c r="AE15" i="3" l="1"/>
  <c r="U16" i="3"/>
  <c r="AI16" i="3" a="1"/>
  <c r="AI16" i="3" s="1"/>
  <c r="AF14" i="3"/>
  <c r="AN14" i="3" s="1"/>
  <c r="AQ14" i="3"/>
  <c r="W16" i="3"/>
  <c r="Y16" i="3" s="1"/>
  <c r="AE16" i="3" s="1"/>
  <c r="AL16" i="3" s="1"/>
  <c r="AA16" i="3"/>
  <c r="AC16" i="3" s="1"/>
  <c r="AJ16" i="3" s="1"/>
  <c r="A17" i="3"/>
  <c r="AO13" i="3"/>
  <c r="AR13" i="3"/>
  <c r="AL15" i="3" l="1"/>
  <c r="AQ15" i="3" s="1"/>
  <c r="AF15" i="3"/>
  <c r="AN15" i="3" s="1"/>
  <c r="U17" i="3"/>
  <c r="AI17" i="3" a="1"/>
  <c r="AI17" i="3" s="1"/>
  <c r="AF16" i="3"/>
  <c r="AN16" i="3" s="1"/>
  <c r="AQ16" i="3"/>
  <c r="W17" i="3"/>
  <c r="Y17" i="3" s="1"/>
  <c r="AA17" i="3"/>
  <c r="AC17" i="3" s="1"/>
  <c r="AJ17" i="3" s="1"/>
  <c r="A18" i="3"/>
  <c r="AO14" i="3"/>
  <c r="AR14" i="3"/>
  <c r="AE17" i="3" l="1"/>
  <c r="U18" i="3"/>
  <c r="AI18" i="3" a="1"/>
  <c r="AI18" i="3" s="1"/>
  <c r="W18" i="3"/>
  <c r="Y18" i="3" s="1"/>
  <c r="AA18" i="3"/>
  <c r="AC18" i="3" s="1"/>
  <c r="AJ18" i="3" s="1"/>
  <c r="A19" i="3"/>
  <c r="AO15" i="3"/>
  <c r="AR15" i="3"/>
  <c r="AL17" i="3" l="1"/>
  <c r="AQ17" i="3" s="1"/>
  <c r="AF17" i="3"/>
  <c r="AN17" i="3" s="1"/>
  <c r="AE18" i="3"/>
  <c r="U19" i="3"/>
  <c r="AI19" i="3" a="1"/>
  <c r="AI19" i="3" s="1"/>
  <c r="W19" i="3"/>
  <c r="Y19" i="3" s="1"/>
  <c r="AA19" i="3"/>
  <c r="AC19" i="3" s="1"/>
  <c r="AJ19" i="3" s="1"/>
  <c r="A20" i="3"/>
  <c r="AO16" i="3"/>
  <c r="AR16" i="3"/>
  <c r="AE19" i="3" l="1"/>
  <c r="AL18" i="3"/>
  <c r="AQ18" i="3" s="1"/>
  <c r="AF18" i="3"/>
  <c r="AN18" i="3" s="1"/>
  <c r="U20" i="3"/>
  <c r="AI20" i="3" a="1"/>
  <c r="AI20" i="3" s="1"/>
  <c r="W20" i="3"/>
  <c r="Y20" i="3" s="1"/>
  <c r="AE20" i="3" s="1"/>
  <c r="AL20" i="3" s="1"/>
  <c r="AA20" i="3"/>
  <c r="AC20" i="3" s="1"/>
  <c r="AJ20" i="3" s="1"/>
  <c r="A21" i="3"/>
  <c r="AO17" i="3"/>
  <c r="AR17" i="3"/>
  <c r="AL19" i="3" l="1"/>
  <c r="AQ19" i="3" s="1"/>
  <c r="AF19" i="3"/>
  <c r="AN19" i="3" s="1"/>
  <c r="U21" i="3"/>
  <c r="AI21" i="3" a="1"/>
  <c r="AI21" i="3" s="1"/>
  <c r="AQ20" i="3"/>
  <c r="AF20" i="3"/>
  <c r="AN20" i="3" s="1"/>
  <c r="W21" i="3"/>
  <c r="Y21" i="3" s="1"/>
  <c r="AA21" i="3"/>
  <c r="AC21" i="3" s="1"/>
  <c r="AJ21" i="3" s="1"/>
  <c r="A22" i="3"/>
  <c r="AO18" i="3"/>
  <c r="AR18" i="3"/>
  <c r="AE21" i="3" l="1"/>
  <c r="U22" i="3"/>
  <c r="AI22" i="3" a="1"/>
  <c r="AI22" i="3" s="1"/>
  <c r="W22" i="3"/>
  <c r="Y22" i="3" s="1"/>
  <c r="AA22" i="3"/>
  <c r="AC22" i="3" s="1"/>
  <c r="AJ22" i="3" s="1"/>
  <c r="A23" i="3"/>
  <c r="AO19" i="3"/>
  <c r="AR19" i="3"/>
  <c r="AL21" i="3" l="1"/>
  <c r="AQ21" i="3" s="1"/>
  <c r="AF21" i="3"/>
  <c r="AN21" i="3" s="1"/>
  <c r="AE22" i="3"/>
  <c r="U23" i="3"/>
  <c r="AI23" i="3" a="1"/>
  <c r="AI23" i="3" s="1"/>
  <c r="W23" i="3"/>
  <c r="Y23" i="3" s="1"/>
  <c r="AE23" i="3" s="1"/>
  <c r="AL23" i="3" s="1"/>
  <c r="AA23" i="3"/>
  <c r="AC23" i="3" s="1"/>
  <c r="AJ23" i="3" s="1"/>
  <c r="A24" i="3"/>
  <c r="AO20" i="3"/>
  <c r="AR20" i="3"/>
  <c r="AL22" i="3" l="1"/>
  <c r="AQ22" i="3" s="1"/>
  <c r="AF22" i="3"/>
  <c r="AN22" i="3" s="1"/>
  <c r="U24" i="3"/>
  <c r="AI24" i="3" a="1"/>
  <c r="AI24" i="3" s="1"/>
  <c r="AQ23" i="3"/>
  <c r="AF23" i="3"/>
  <c r="AN23" i="3" s="1"/>
  <c r="W24" i="3"/>
  <c r="Y24" i="3" s="1"/>
  <c r="AE24" i="3" s="1"/>
  <c r="AL24" i="3" s="1"/>
  <c r="AA24" i="3"/>
  <c r="AC24" i="3" s="1"/>
  <c r="AJ24" i="3" s="1"/>
  <c r="A25" i="3"/>
  <c r="AO21" i="3"/>
  <c r="AR21" i="3"/>
  <c r="U25" i="3" l="1"/>
  <c r="AI25" i="3" a="1"/>
  <c r="AI25" i="3" s="1"/>
  <c r="AQ24" i="3"/>
  <c r="AF24" i="3"/>
  <c r="AN24" i="3" s="1"/>
  <c r="W25" i="3"/>
  <c r="Y25" i="3" s="1"/>
  <c r="AA25" i="3"/>
  <c r="AC25" i="3" s="1"/>
  <c r="AJ25" i="3" s="1"/>
  <c r="A26" i="3"/>
  <c r="AO22" i="3"/>
  <c r="AR22" i="3"/>
  <c r="AE25" i="3" l="1"/>
  <c r="U26" i="3"/>
  <c r="AI26" i="3" a="1"/>
  <c r="AI26" i="3" s="1"/>
  <c r="W26" i="3"/>
  <c r="Y26" i="3" s="1"/>
  <c r="AE26" i="3" s="1"/>
  <c r="AL26" i="3" s="1"/>
  <c r="AA26" i="3"/>
  <c r="AC26" i="3" s="1"/>
  <c r="AJ26" i="3" s="1"/>
  <c r="A27" i="3"/>
  <c r="AO23" i="3"/>
  <c r="AR23" i="3"/>
  <c r="AL25" i="3" l="1"/>
  <c r="AQ25" i="3"/>
  <c r="AF25" i="3"/>
  <c r="AN25" i="3" s="1"/>
  <c r="AQ26" i="3"/>
  <c r="AF26" i="3"/>
  <c r="AN26" i="3" s="1"/>
  <c r="W27" i="3"/>
  <c r="Y27" i="3" s="1"/>
  <c r="AE27" i="3" s="1"/>
  <c r="AL27" i="3" s="1"/>
  <c r="AA27" i="3"/>
  <c r="A28" i="3"/>
  <c r="AO24" i="3"/>
  <c r="AR24" i="3"/>
  <c r="AC27" i="3" l="1"/>
  <c r="AI27" i="3" a="1"/>
  <c r="AI27" i="3" s="1"/>
  <c r="U28" i="3"/>
  <c r="AI28" i="3" a="1"/>
  <c r="AI28" i="3" s="1"/>
  <c r="AQ27" i="3"/>
  <c r="W28" i="3"/>
  <c r="Y28" i="3" s="1"/>
  <c r="AA28" i="3"/>
  <c r="AC28" i="3" s="1"/>
  <c r="AJ28" i="3" s="1"/>
  <c r="A29" i="3"/>
  <c r="AO25" i="3"/>
  <c r="AR25" i="3"/>
  <c r="AE28" i="3" l="1"/>
  <c r="AJ27" i="3"/>
  <c r="AF27" i="3"/>
  <c r="AN27" i="3" s="1"/>
  <c r="U29" i="3"/>
  <c r="AI29" i="3" a="1"/>
  <c r="AI29" i="3" s="1"/>
  <c r="W29" i="3"/>
  <c r="Y29" i="3" s="1"/>
  <c r="AA29" i="3"/>
  <c r="AC29" i="3" s="1"/>
  <c r="AJ29" i="3" s="1"/>
  <c r="A30" i="3"/>
  <c r="AO26" i="3"/>
  <c r="AR26" i="3"/>
  <c r="AE29" i="3" l="1"/>
  <c r="AL28" i="3"/>
  <c r="AQ28" i="3" s="1"/>
  <c r="AF28" i="3"/>
  <c r="AN28" i="3" s="1"/>
  <c r="U30" i="3"/>
  <c r="AI30" i="3" a="1"/>
  <c r="AI30" i="3" s="1"/>
  <c r="W30" i="3"/>
  <c r="Y30" i="3" s="1"/>
  <c r="AA30" i="3"/>
  <c r="AC30" i="3" s="1"/>
  <c r="AJ30" i="3" s="1"/>
  <c r="A31" i="3"/>
  <c r="AO27" i="3"/>
  <c r="AR27" i="3"/>
  <c r="AL29" i="3" l="1"/>
  <c r="AQ29" i="3" s="1"/>
  <c r="AF29" i="3"/>
  <c r="AN29" i="3" s="1"/>
  <c r="AE30" i="3"/>
  <c r="U31" i="3"/>
  <c r="AI31" i="3" a="1"/>
  <c r="AI31" i="3" s="1"/>
  <c r="W31" i="3"/>
  <c r="Y31" i="3" s="1"/>
  <c r="AE31" i="3" s="1"/>
  <c r="AL31" i="3" s="1"/>
  <c r="AA31" i="3"/>
  <c r="AC31" i="3" s="1"/>
  <c r="AJ31" i="3" s="1"/>
  <c r="A32" i="3"/>
  <c r="AO28" i="3"/>
  <c r="AR28" i="3"/>
  <c r="AL30" i="3" l="1"/>
  <c r="AQ30" i="3" s="1"/>
  <c r="AF30" i="3"/>
  <c r="AN30" i="3" s="1"/>
  <c r="U32" i="3"/>
  <c r="AI32" i="3" a="1"/>
  <c r="AI32" i="3" s="1"/>
  <c r="AF31" i="3"/>
  <c r="AN31" i="3" s="1"/>
  <c r="AQ31" i="3"/>
  <c r="W32" i="3"/>
  <c r="Y32" i="3" s="1"/>
  <c r="AA32" i="3"/>
  <c r="AC32" i="3" s="1"/>
  <c r="AJ32" i="3" s="1"/>
  <c r="A33" i="3"/>
  <c r="AO29" i="3"/>
  <c r="AR29" i="3"/>
  <c r="AE32" i="3" l="1"/>
  <c r="U33" i="3"/>
  <c r="AI33" i="3" a="1"/>
  <c r="AI33" i="3" s="1"/>
  <c r="W33" i="3"/>
  <c r="Y33" i="3" s="1"/>
  <c r="AA33" i="3"/>
  <c r="AC33" i="3" s="1"/>
  <c r="AJ33" i="3" s="1"/>
  <c r="A34" i="3"/>
  <c r="AO30" i="3"/>
  <c r="AR30" i="3"/>
  <c r="AL32" i="3" l="1"/>
  <c r="AQ32" i="3"/>
  <c r="AF32" i="3"/>
  <c r="AN32" i="3" s="1"/>
  <c r="AE33" i="3"/>
  <c r="AL33" i="3" s="1"/>
  <c r="U34" i="3"/>
  <c r="AI34" i="3" a="1"/>
  <c r="AI34" i="3" s="1"/>
  <c r="AQ33" i="3"/>
  <c r="AF33" i="3"/>
  <c r="AN33" i="3" s="1"/>
  <c r="W34" i="3"/>
  <c r="Y34" i="3" s="1"/>
  <c r="AA34" i="3"/>
  <c r="AC34" i="3" s="1"/>
  <c r="AJ34" i="3" s="1"/>
  <c r="A35" i="3"/>
  <c r="AO31" i="3"/>
  <c r="AR31" i="3"/>
  <c r="AE34" i="3" l="1"/>
  <c r="U35" i="3"/>
  <c r="AI35" i="3" a="1"/>
  <c r="AI35" i="3" s="1"/>
  <c r="W35" i="3"/>
  <c r="Y35" i="3" s="1"/>
  <c r="AA35" i="3"/>
  <c r="AC35" i="3" s="1"/>
  <c r="AJ35" i="3" s="1"/>
  <c r="A36" i="3"/>
  <c r="AO32" i="3"/>
  <c r="AR32" i="3"/>
  <c r="AL34" i="3" l="1"/>
  <c r="AQ34" i="3"/>
  <c r="AF34" i="3"/>
  <c r="AN34" i="3" s="1"/>
  <c r="AE35" i="3"/>
  <c r="U36" i="3"/>
  <c r="AI36" i="3" a="1"/>
  <c r="AI36" i="3" s="1"/>
  <c r="W36" i="3"/>
  <c r="Y36" i="3" s="1"/>
  <c r="AA36" i="3"/>
  <c r="AC36" i="3" s="1"/>
  <c r="AJ36" i="3" s="1"/>
  <c r="A37" i="3"/>
  <c r="AO33" i="3"/>
  <c r="AR33" i="3"/>
  <c r="AE36" i="3" l="1"/>
  <c r="AL35" i="3"/>
  <c r="AQ35" i="3" s="1"/>
  <c r="AF35" i="3"/>
  <c r="AN35" i="3" s="1"/>
  <c r="U37" i="3"/>
  <c r="AI37" i="3" a="1"/>
  <c r="AI37" i="3" s="1"/>
  <c r="W37" i="3"/>
  <c r="Y37" i="3" s="1"/>
  <c r="AA37" i="3"/>
  <c r="AC37" i="3" s="1"/>
  <c r="AJ37" i="3" s="1"/>
  <c r="A38" i="3"/>
  <c r="AO34" i="3"/>
  <c r="AR34" i="3"/>
  <c r="AE37" i="3" l="1"/>
  <c r="AL36" i="3"/>
  <c r="AQ36" i="3" s="1"/>
  <c r="AF36" i="3"/>
  <c r="AN36" i="3" s="1"/>
  <c r="U38" i="3"/>
  <c r="AI38" i="3" a="1"/>
  <c r="AI38" i="3" s="1"/>
  <c r="W38" i="3"/>
  <c r="Y38" i="3" s="1"/>
  <c r="AA38" i="3"/>
  <c r="AC38" i="3" s="1"/>
  <c r="AJ38" i="3" s="1"/>
  <c r="A39" i="3"/>
  <c r="AO35" i="3"/>
  <c r="AR35" i="3"/>
  <c r="AE38" i="3" l="1"/>
  <c r="AL38" i="3" s="1"/>
  <c r="AQ38" i="3" s="1"/>
  <c r="AL37" i="3"/>
  <c r="AQ37" i="3" s="1"/>
  <c r="AF37" i="3"/>
  <c r="AN37" i="3" s="1"/>
  <c r="U39" i="3"/>
  <c r="AI39" i="3" a="1"/>
  <c r="AI39" i="3" s="1"/>
  <c r="AF38" i="3"/>
  <c r="AN38" i="3" s="1"/>
  <c r="W39" i="3"/>
  <c r="Y39" i="3" s="1"/>
  <c r="AE39" i="3" s="1"/>
  <c r="AL39" i="3" s="1"/>
  <c r="AA39" i="3"/>
  <c r="AC39" i="3" s="1"/>
  <c r="AJ39" i="3" s="1"/>
  <c r="A40" i="3"/>
  <c r="AO36" i="3"/>
  <c r="AR36" i="3"/>
  <c r="U40" i="3" l="1"/>
  <c r="AI40" i="3" a="1"/>
  <c r="AI40" i="3" s="1"/>
  <c r="AF39" i="3"/>
  <c r="AN39" i="3" s="1"/>
  <c r="AQ39" i="3"/>
  <c r="W40" i="3"/>
  <c r="Y40" i="3" s="1"/>
  <c r="AE40" i="3" s="1"/>
  <c r="AL40" i="3" s="1"/>
  <c r="AA40" i="3"/>
  <c r="AC40" i="3" s="1"/>
  <c r="AJ40" i="3" s="1"/>
  <c r="A41" i="3"/>
  <c r="AO37" i="3"/>
  <c r="AR37" i="3"/>
  <c r="U41" i="3" l="1"/>
  <c r="AI41" i="3" a="1"/>
  <c r="AI41" i="3" s="1"/>
  <c r="AQ40" i="3"/>
  <c r="AF40" i="3"/>
  <c r="AN40" i="3" s="1"/>
  <c r="W41" i="3"/>
  <c r="Y41" i="3" s="1"/>
  <c r="AE41" i="3" s="1"/>
  <c r="AL41" i="3" s="1"/>
  <c r="AA41" i="3"/>
  <c r="AC41" i="3" s="1"/>
  <c r="AJ41" i="3" s="1"/>
  <c r="A42" i="3"/>
  <c r="AO38" i="3"/>
  <c r="AR38" i="3"/>
  <c r="AQ41" i="3" l="1"/>
  <c r="AF41" i="3"/>
  <c r="AN41" i="3" s="1"/>
  <c r="W42" i="3"/>
  <c r="Y42" i="3" s="1"/>
  <c r="AE42" i="3" s="1"/>
  <c r="AL42" i="3" s="1"/>
  <c r="AA42" i="3"/>
  <c r="A43" i="3"/>
  <c r="AO39" i="3"/>
  <c r="AR39" i="3"/>
  <c r="AC42" i="3" l="1"/>
  <c r="AI42" i="3" a="1"/>
  <c r="AI42" i="3" s="1"/>
  <c r="U43" i="3"/>
  <c r="AI43" i="3" a="1"/>
  <c r="AI43" i="3" s="1"/>
  <c r="AQ42" i="3"/>
  <c r="W43" i="3"/>
  <c r="Y43" i="3" s="1"/>
  <c r="AA43" i="3"/>
  <c r="AC43" i="3" s="1"/>
  <c r="AJ43" i="3" s="1"/>
  <c r="A44" i="3"/>
  <c r="AO40" i="3"/>
  <c r="AR40" i="3"/>
  <c r="AJ42" i="3" l="1"/>
  <c r="AF42" i="3"/>
  <c r="AN42" i="3" s="1"/>
  <c r="AE43" i="3"/>
  <c r="U44" i="3"/>
  <c r="AI44" i="3" a="1"/>
  <c r="AI44" i="3" s="1"/>
  <c r="W44" i="3"/>
  <c r="Y44" i="3" s="1"/>
  <c r="AE44" i="3" s="1"/>
  <c r="AL44" i="3" s="1"/>
  <c r="AA44" i="3"/>
  <c r="AC44" i="3" s="1"/>
  <c r="AJ44" i="3" s="1"/>
  <c r="A45" i="3"/>
  <c r="AO41" i="3"/>
  <c r="AR41" i="3"/>
  <c r="AL43" i="3" l="1"/>
  <c r="AQ43" i="3" s="1"/>
  <c r="AF43" i="3"/>
  <c r="AN43" i="3" s="1"/>
  <c r="U45" i="3"/>
  <c r="AI45" i="3" a="1"/>
  <c r="AI45" i="3" s="1"/>
  <c r="AQ44" i="3"/>
  <c r="AF44" i="3"/>
  <c r="AN44" i="3" s="1"/>
  <c r="W45" i="3"/>
  <c r="Y45" i="3" s="1"/>
  <c r="AA45" i="3"/>
  <c r="AC45" i="3" s="1"/>
  <c r="AJ45" i="3" s="1"/>
  <c r="A46" i="3"/>
  <c r="AO42" i="3"/>
  <c r="AR42" i="3"/>
  <c r="AE45" i="3" l="1"/>
  <c r="AF45" i="3" s="1"/>
  <c r="AN45" i="3" s="1"/>
  <c r="U46" i="3"/>
  <c r="AI46" i="3" a="1"/>
  <c r="AI46" i="3" s="1"/>
  <c r="W46" i="3"/>
  <c r="Y46" i="3" s="1"/>
  <c r="AE46" i="3" s="1"/>
  <c r="AL46" i="3" s="1"/>
  <c r="AA46" i="3"/>
  <c r="AC46" i="3" s="1"/>
  <c r="AJ46" i="3" s="1"/>
  <c r="A47" i="3"/>
  <c r="AO43" i="3"/>
  <c r="AR43" i="3"/>
  <c r="AL45" i="3" l="1"/>
  <c r="AQ45" i="3" s="1"/>
  <c r="U47" i="3"/>
  <c r="AI47" i="3" a="1"/>
  <c r="AI47" i="3" s="1"/>
  <c r="AQ46" i="3"/>
  <c r="AF46" i="3"/>
  <c r="AN46" i="3" s="1"/>
  <c r="W47" i="3"/>
  <c r="Y47" i="3" s="1"/>
  <c r="AA47" i="3"/>
  <c r="AC47" i="3" s="1"/>
  <c r="AJ47" i="3" s="1"/>
  <c r="A48" i="3"/>
  <c r="AO44" i="3"/>
  <c r="AR44" i="3"/>
  <c r="AE47" i="3" l="1"/>
  <c r="AF47" i="3" s="1"/>
  <c r="AN47" i="3" s="1"/>
  <c r="U48" i="3"/>
  <c r="AI48" i="3" a="1"/>
  <c r="AI48" i="3" s="1"/>
  <c r="W48" i="3"/>
  <c r="Y48" i="3" s="1"/>
  <c r="AE48" i="3" s="1"/>
  <c r="AL48" i="3" s="1"/>
  <c r="AA48" i="3"/>
  <c r="AC48" i="3" s="1"/>
  <c r="AJ48" i="3" s="1"/>
  <c r="A49" i="3"/>
  <c r="AO45" i="3"/>
  <c r="AR45" i="3"/>
  <c r="AL47" i="3" l="1"/>
  <c r="AQ47" i="3" s="1"/>
  <c r="U49" i="3"/>
  <c r="AI49" i="3" a="1"/>
  <c r="AI49" i="3" s="1"/>
  <c r="AQ48" i="3"/>
  <c r="AF48" i="3"/>
  <c r="AN48" i="3" s="1"/>
  <c r="W49" i="3"/>
  <c r="Y49" i="3" s="1"/>
  <c r="AA49" i="3"/>
  <c r="AC49" i="3" s="1"/>
  <c r="AJ49" i="3" s="1"/>
  <c r="A50" i="3"/>
  <c r="AO46" i="3"/>
  <c r="AR46" i="3"/>
  <c r="AE49" i="3" l="1"/>
  <c r="U50" i="3"/>
  <c r="AI50" i="3" a="1"/>
  <c r="AI50" i="3" s="1"/>
  <c r="W50" i="3"/>
  <c r="Y50" i="3" s="1"/>
  <c r="AA50" i="3"/>
  <c r="AC50" i="3" s="1"/>
  <c r="AJ50" i="3" s="1"/>
  <c r="A51" i="3"/>
  <c r="AO47" i="3"/>
  <c r="AR47" i="3"/>
  <c r="AL49" i="3" l="1"/>
  <c r="AQ49" i="3" s="1"/>
  <c r="AF49" i="3"/>
  <c r="AN49" i="3" s="1"/>
  <c r="AE50" i="3"/>
  <c r="U51" i="3"/>
  <c r="AI51" i="3" a="1"/>
  <c r="AI51" i="3" s="1"/>
  <c r="W51" i="3"/>
  <c r="Y51" i="3" s="1"/>
  <c r="AE51" i="3" s="1"/>
  <c r="AL51" i="3" s="1"/>
  <c r="AA51" i="3"/>
  <c r="AC51" i="3" s="1"/>
  <c r="AJ51" i="3" s="1"/>
  <c r="A52" i="3"/>
  <c r="AO48" i="3"/>
  <c r="AR48" i="3"/>
  <c r="AL50" i="3" l="1"/>
  <c r="AQ50" i="3" s="1"/>
  <c r="AF50" i="3"/>
  <c r="AN50" i="3" s="1"/>
  <c r="U52" i="3"/>
  <c r="AI52" i="3" a="1"/>
  <c r="AI52" i="3" s="1"/>
  <c r="AF51" i="3"/>
  <c r="AN51" i="3" s="1"/>
  <c r="AQ51" i="3"/>
  <c r="W52" i="3"/>
  <c r="Y52" i="3" s="1"/>
  <c r="AA52" i="3"/>
  <c r="AC52" i="3" s="1"/>
  <c r="AJ52" i="3" s="1"/>
  <c r="A53" i="3"/>
  <c r="AO49" i="3"/>
  <c r="AR49" i="3"/>
  <c r="AE52" i="3" l="1"/>
  <c r="U53" i="3"/>
  <c r="AI53" i="3" a="1"/>
  <c r="AI53" i="3" s="1"/>
  <c r="W53" i="3"/>
  <c r="Y53" i="3" s="1"/>
  <c r="AE53" i="3" s="1"/>
  <c r="AL53" i="3" s="1"/>
  <c r="AA53" i="3"/>
  <c r="AC53" i="3" s="1"/>
  <c r="AJ53" i="3" s="1"/>
  <c r="A54" i="3"/>
  <c r="AO50" i="3"/>
  <c r="AR50" i="3"/>
  <c r="AL52" i="3" l="1"/>
  <c r="AQ52" i="3"/>
  <c r="AF52" i="3"/>
  <c r="AN52" i="3" s="1"/>
  <c r="U54" i="3"/>
  <c r="AI54" i="3" a="1"/>
  <c r="AI54" i="3" s="1"/>
  <c r="AF53" i="3"/>
  <c r="AN53" i="3" s="1"/>
  <c r="AQ53" i="3"/>
  <c r="W54" i="3"/>
  <c r="Y54" i="3" s="1"/>
  <c r="AE54" i="3" s="1"/>
  <c r="AL54" i="3" s="1"/>
  <c r="AA54" i="3"/>
  <c r="AC54" i="3" s="1"/>
  <c r="AJ54" i="3" s="1"/>
  <c r="A55" i="3"/>
  <c r="AO51" i="3"/>
  <c r="AR51" i="3"/>
  <c r="U55" i="3" l="1"/>
  <c r="AI55" i="3" a="1"/>
  <c r="AI55" i="3" s="1"/>
  <c r="AQ54" i="3"/>
  <c r="AF54" i="3"/>
  <c r="AN54" i="3" s="1"/>
  <c r="W55" i="3"/>
  <c r="Y55" i="3" s="1"/>
  <c r="AA55" i="3"/>
  <c r="AC55" i="3" s="1"/>
  <c r="AJ55" i="3" s="1"/>
  <c r="A56" i="3"/>
  <c r="AO52" i="3"/>
  <c r="AR52" i="3"/>
  <c r="AE55" i="3" l="1"/>
  <c r="U56" i="3"/>
  <c r="AI56" i="3" a="1"/>
  <c r="AI56" i="3" s="1"/>
  <c r="W56" i="3"/>
  <c r="Y56" i="3" s="1"/>
  <c r="AA56" i="3"/>
  <c r="AC56" i="3" s="1"/>
  <c r="AJ56" i="3" s="1"/>
  <c r="A57" i="3"/>
  <c r="AO53" i="3"/>
  <c r="AR53" i="3"/>
  <c r="AE56" i="3" l="1"/>
  <c r="AL56" i="3" s="1"/>
  <c r="AL55" i="3"/>
  <c r="AF55" i="3"/>
  <c r="AN55" i="3" s="1"/>
  <c r="AQ55" i="3"/>
  <c r="U57" i="3"/>
  <c r="AI57" i="3" a="1"/>
  <c r="AI57" i="3" s="1"/>
  <c r="AF56" i="3"/>
  <c r="AN56" i="3" s="1"/>
  <c r="AQ56" i="3"/>
  <c r="W57" i="3"/>
  <c r="Y57" i="3" s="1"/>
  <c r="AE57" i="3" s="1"/>
  <c r="AL57" i="3" s="1"/>
  <c r="AA57" i="3"/>
  <c r="AC57" i="3" s="1"/>
  <c r="AJ57" i="3" s="1"/>
  <c r="A58" i="3"/>
  <c r="AO54" i="3"/>
  <c r="AR54" i="3"/>
  <c r="U58" i="3" l="1"/>
  <c r="AI58" i="3" a="1"/>
  <c r="AI58" i="3" s="1"/>
  <c r="AQ57" i="3"/>
  <c r="AF57" i="3"/>
  <c r="AN57" i="3" s="1"/>
  <c r="W58" i="3"/>
  <c r="Y58" i="3" s="1"/>
  <c r="AE58" i="3" s="1"/>
  <c r="AL58" i="3" s="1"/>
  <c r="AA58" i="3"/>
  <c r="AC58" i="3" s="1"/>
  <c r="AJ58" i="3" s="1"/>
  <c r="A59" i="3"/>
  <c r="AO55" i="3"/>
  <c r="AR55" i="3"/>
  <c r="U59" i="3" l="1"/>
  <c r="AI59" i="3" a="1"/>
  <c r="AI59" i="3" s="1"/>
  <c r="AQ58" i="3"/>
  <c r="AF58" i="3"/>
  <c r="AN58" i="3" s="1"/>
  <c r="W59" i="3"/>
  <c r="Y59" i="3" s="1"/>
  <c r="AE59" i="3" s="1"/>
  <c r="AL59" i="3" s="1"/>
  <c r="AA59" i="3"/>
  <c r="AC59" i="3" s="1"/>
  <c r="AJ59" i="3" s="1"/>
  <c r="A60" i="3"/>
  <c r="AO56" i="3"/>
  <c r="AR56" i="3"/>
  <c r="U60" i="3" l="1"/>
  <c r="AI60" i="3" a="1"/>
  <c r="AI60" i="3" s="1"/>
  <c r="AQ59" i="3"/>
  <c r="AF59" i="3"/>
  <c r="AN59" i="3" s="1"/>
  <c r="W60" i="3"/>
  <c r="Y60" i="3" s="1"/>
  <c r="AE60" i="3" s="1"/>
  <c r="AL60" i="3" s="1"/>
  <c r="AA60" i="3"/>
  <c r="AC60" i="3" s="1"/>
  <c r="AJ60" i="3" s="1"/>
  <c r="A61" i="3"/>
  <c r="AO57" i="3"/>
  <c r="AR57" i="3"/>
  <c r="U61" i="3" l="1"/>
  <c r="AI61" i="3" a="1"/>
  <c r="AI61" i="3" s="1"/>
  <c r="AQ60" i="3"/>
  <c r="AF60" i="3"/>
  <c r="AN60" i="3" s="1"/>
  <c r="W61" i="3"/>
  <c r="Y61" i="3" s="1"/>
  <c r="AE61" i="3" s="1"/>
  <c r="AL61" i="3" s="1"/>
  <c r="AA61" i="3"/>
  <c r="AC61" i="3" s="1"/>
  <c r="AJ61" i="3" s="1"/>
  <c r="A62" i="3"/>
  <c r="AO58" i="3"/>
  <c r="AR58" i="3"/>
  <c r="U62" i="3" l="1"/>
  <c r="AI62" i="3" a="1"/>
  <c r="AI62" i="3" s="1"/>
  <c r="AF61" i="3"/>
  <c r="AN61" i="3" s="1"/>
  <c r="AQ61" i="3"/>
  <c r="W62" i="3"/>
  <c r="Y62" i="3" s="1"/>
  <c r="AE62" i="3" s="1"/>
  <c r="AL62" i="3" s="1"/>
  <c r="AA62" i="3"/>
  <c r="AC62" i="3" s="1"/>
  <c r="AJ62" i="3" s="1"/>
  <c r="A63" i="3"/>
  <c r="AO59" i="3"/>
  <c r="AR59" i="3"/>
  <c r="U63" i="3" l="1"/>
  <c r="AI63" i="3" a="1"/>
  <c r="AI63" i="3" s="1"/>
  <c r="AQ62" i="3"/>
  <c r="AF62" i="3"/>
  <c r="AN62" i="3" s="1"/>
  <c r="W63" i="3"/>
  <c r="Y63" i="3" s="1"/>
  <c r="AE63" i="3" s="1"/>
  <c r="AL63" i="3" s="1"/>
  <c r="AA63" i="3"/>
  <c r="AC63" i="3" s="1"/>
  <c r="AJ63" i="3" s="1"/>
  <c r="A64" i="3"/>
  <c r="AO60" i="3"/>
  <c r="AR60" i="3"/>
  <c r="U64" i="3" l="1"/>
  <c r="AI64" i="3" a="1"/>
  <c r="AI64" i="3" s="1"/>
  <c r="AQ63" i="3"/>
  <c r="AF63" i="3"/>
  <c r="AN63" i="3" s="1"/>
  <c r="W64" i="3"/>
  <c r="Y64" i="3" s="1"/>
  <c r="AE64" i="3" s="1"/>
  <c r="AL64" i="3" s="1"/>
  <c r="AA64" i="3"/>
  <c r="AC64" i="3" s="1"/>
  <c r="AJ64" i="3" s="1"/>
  <c r="A65" i="3"/>
  <c r="AO61" i="3"/>
  <c r="AR61" i="3"/>
  <c r="U65" i="3" l="1"/>
  <c r="AI65" i="3" a="1"/>
  <c r="AI65" i="3" s="1"/>
  <c r="AQ64" i="3"/>
  <c r="AF64" i="3"/>
  <c r="AN64" i="3" s="1"/>
  <c r="W65" i="3"/>
  <c r="Y65" i="3" s="1"/>
  <c r="AE65" i="3" s="1"/>
  <c r="AL65" i="3" s="1"/>
  <c r="AA65" i="3"/>
  <c r="AC65" i="3" s="1"/>
  <c r="AJ65" i="3" s="1"/>
  <c r="A66" i="3"/>
  <c r="AO62" i="3"/>
  <c r="AR62" i="3"/>
  <c r="U66" i="3" l="1"/>
  <c r="AI66" i="3" a="1"/>
  <c r="AI66" i="3" s="1"/>
  <c r="AQ65" i="3"/>
  <c r="AF65" i="3"/>
  <c r="AN65" i="3" s="1"/>
  <c r="W66" i="3"/>
  <c r="Y66" i="3" s="1"/>
  <c r="AE66" i="3" s="1"/>
  <c r="AL66" i="3" s="1"/>
  <c r="AA66" i="3"/>
  <c r="AC66" i="3" s="1"/>
  <c r="AJ66" i="3" s="1"/>
  <c r="A67" i="3"/>
  <c r="AO63" i="3"/>
  <c r="AR63" i="3"/>
  <c r="U67" i="3" l="1"/>
  <c r="AI67" i="3" a="1"/>
  <c r="AI67" i="3" s="1"/>
  <c r="AF66" i="3"/>
  <c r="AN66" i="3" s="1"/>
  <c r="AQ66" i="3"/>
  <c r="W67" i="3"/>
  <c r="Y67" i="3" s="1"/>
  <c r="AE67" i="3" s="1"/>
  <c r="AL67" i="3" s="1"/>
  <c r="AA67" i="3"/>
  <c r="AC67" i="3" s="1"/>
  <c r="AJ67" i="3" s="1"/>
  <c r="A68" i="3"/>
  <c r="AO64" i="3"/>
  <c r="AR64" i="3"/>
  <c r="U68" i="3" l="1"/>
  <c r="AI68" i="3" a="1"/>
  <c r="AI68" i="3" s="1"/>
  <c r="AQ67" i="3"/>
  <c r="AF67" i="3"/>
  <c r="AN67" i="3" s="1"/>
  <c r="W68" i="3"/>
  <c r="Y68" i="3" s="1"/>
  <c r="AE68" i="3" s="1"/>
  <c r="AL68" i="3" s="1"/>
  <c r="AA68" i="3"/>
  <c r="AC68" i="3" s="1"/>
  <c r="A69" i="3"/>
  <c r="AO65" i="3"/>
  <c r="AR65" i="3"/>
  <c r="U69" i="3" l="1"/>
  <c r="AI69" i="3" a="1"/>
  <c r="AI69" i="3" s="1"/>
  <c r="AQ68" i="3"/>
  <c r="AF68" i="3"/>
  <c r="AN68" i="3" s="1"/>
  <c r="W69" i="3"/>
  <c r="Y69" i="3" s="1"/>
  <c r="AA69" i="3"/>
  <c r="AC69" i="3" s="1"/>
  <c r="AJ69" i="3" s="1"/>
  <c r="A70" i="3"/>
  <c r="AO66" i="3"/>
  <c r="AR66" i="3"/>
  <c r="AE69" i="3" l="1"/>
  <c r="U70" i="3"/>
  <c r="AI70" i="3" a="1"/>
  <c r="AI70" i="3" s="1"/>
  <c r="W70" i="3"/>
  <c r="Y70" i="3" s="1"/>
  <c r="AA70" i="3"/>
  <c r="AC70" i="3" s="1"/>
  <c r="AJ70" i="3" s="1"/>
  <c r="A71" i="3"/>
  <c r="AO67" i="3"/>
  <c r="AR67" i="3"/>
  <c r="AE70" i="3" l="1"/>
  <c r="AL69" i="3"/>
  <c r="AQ69" i="3" s="1"/>
  <c r="AF69" i="3"/>
  <c r="AN69" i="3" s="1"/>
  <c r="U71" i="3"/>
  <c r="AI71" i="3" a="1"/>
  <c r="AI71" i="3" s="1"/>
  <c r="W71" i="3"/>
  <c r="Y71" i="3" s="1"/>
  <c r="AE71" i="3" s="1"/>
  <c r="AL71" i="3" s="1"/>
  <c r="AA71" i="3"/>
  <c r="AC71" i="3" s="1"/>
  <c r="AJ71" i="3" s="1"/>
  <c r="A72" i="3"/>
  <c r="AR68" i="3"/>
  <c r="AL70" i="3" l="1"/>
  <c r="AQ70" i="3" s="1"/>
  <c r="AF70" i="3"/>
  <c r="AN70" i="3" s="1"/>
  <c r="U72" i="3"/>
  <c r="AI72" i="3" a="1"/>
  <c r="AI72" i="3" s="1"/>
  <c r="AQ71" i="3"/>
  <c r="AF71" i="3"/>
  <c r="AN71" i="3" s="1"/>
  <c r="W72" i="3"/>
  <c r="Y72" i="3" s="1"/>
  <c r="AE72" i="3" s="1"/>
  <c r="AL72" i="3" s="1"/>
  <c r="AA72" i="3"/>
  <c r="AC72" i="3" s="1"/>
  <c r="AJ72" i="3" s="1"/>
  <c r="A73" i="3"/>
  <c r="AO69" i="3"/>
  <c r="AR69" i="3"/>
  <c r="U73" i="3" l="1"/>
  <c r="AI73" i="3" a="1"/>
  <c r="AI73" i="3" s="1"/>
  <c r="AQ72" i="3"/>
  <c r="AF72" i="3"/>
  <c r="AN72" i="3" s="1"/>
  <c r="W73" i="3"/>
  <c r="Y73" i="3" s="1"/>
  <c r="AE73" i="3" s="1"/>
  <c r="AL73" i="3" s="1"/>
  <c r="AA73" i="3"/>
  <c r="AC73" i="3" s="1"/>
  <c r="AJ73" i="3" s="1"/>
  <c r="A74" i="3"/>
  <c r="AO70" i="3"/>
  <c r="AR70" i="3"/>
  <c r="U74" i="3" l="1"/>
  <c r="AI74" i="3" a="1"/>
  <c r="AI74" i="3" s="1"/>
  <c r="AQ73" i="3"/>
  <c r="AF73" i="3"/>
  <c r="AN73" i="3" s="1"/>
  <c r="W74" i="3"/>
  <c r="Y74" i="3" s="1"/>
  <c r="AE74" i="3" s="1"/>
  <c r="AL74" i="3" s="1"/>
  <c r="AA74" i="3"/>
  <c r="AC74" i="3" s="1"/>
  <c r="AJ74" i="3" s="1"/>
  <c r="A75" i="3"/>
  <c r="AO71" i="3"/>
  <c r="AR71" i="3"/>
  <c r="U75" i="3" l="1"/>
  <c r="AI75" i="3" a="1"/>
  <c r="AI75" i="3" s="1"/>
  <c r="AQ74" i="3"/>
  <c r="AF74" i="3"/>
  <c r="AN74" i="3" s="1"/>
  <c r="W75" i="3"/>
  <c r="Y75" i="3" s="1"/>
  <c r="AE75" i="3" s="1"/>
  <c r="AL75" i="3" s="1"/>
  <c r="AA75" i="3"/>
  <c r="AC75" i="3" s="1"/>
  <c r="AJ75" i="3" s="1"/>
  <c r="A76" i="3"/>
  <c r="AO72" i="3"/>
  <c r="AR72" i="3"/>
  <c r="U76" i="3" l="1"/>
  <c r="AI76" i="3" a="1"/>
  <c r="AI76" i="3" s="1"/>
  <c r="AQ75" i="3"/>
  <c r="AF75" i="3"/>
  <c r="AN75" i="3" s="1"/>
  <c r="W76" i="3"/>
  <c r="Y76" i="3" s="1"/>
  <c r="AE76" i="3" s="1"/>
  <c r="AL76" i="3" s="1"/>
  <c r="AA76" i="3"/>
  <c r="AC76" i="3" s="1"/>
  <c r="AJ76" i="3" s="1"/>
  <c r="A77" i="3"/>
  <c r="AO73" i="3"/>
  <c r="AR73" i="3"/>
  <c r="U77" i="3" l="1"/>
  <c r="AI77" i="3" a="1"/>
  <c r="AI77" i="3" s="1"/>
  <c r="AF76" i="3"/>
  <c r="AN76" i="3" s="1"/>
  <c r="AQ76" i="3"/>
  <c r="W77" i="3"/>
  <c r="Y77" i="3" s="1"/>
  <c r="AE77" i="3" s="1"/>
  <c r="AL77" i="3" s="1"/>
  <c r="AA77" i="3"/>
  <c r="AC77" i="3" s="1"/>
  <c r="AJ77" i="3" s="1"/>
  <c r="A78" i="3"/>
  <c r="AO74" i="3"/>
  <c r="AR74" i="3"/>
  <c r="U78" i="3" l="1"/>
  <c r="AI78" i="3" a="1"/>
  <c r="AI78" i="3" s="1"/>
  <c r="AQ77" i="3"/>
  <c r="AF77" i="3"/>
  <c r="AN77" i="3" s="1"/>
  <c r="W78" i="3"/>
  <c r="Y78" i="3" s="1"/>
  <c r="AE78" i="3" s="1"/>
  <c r="AL78" i="3" s="1"/>
  <c r="AA78" i="3"/>
  <c r="AC78" i="3" s="1"/>
  <c r="AJ78" i="3" s="1"/>
  <c r="A79" i="3"/>
  <c r="AO75" i="3"/>
  <c r="AR75" i="3"/>
  <c r="U79" i="3" l="1"/>
  <c r="AI79" i="3" a="1"/>
  <c r="AI79" i="3" s="1"/>
  <c r="AQ78" i="3"/>
  <c r="AF78" i="3"/>
  <c r="AN78" i="3" s="1"/>
  <c r="W79" i="3"/>
  <c r="Y79" i="3" s="1"/>
  <c r="AE79" i="3" s="1"/>
  <c r="AL79" i="3" s="1"/>
  <c r="AA79" i="3"/>
  <c r="AC79" i="3" s="1"/>
  <c r="AJ79" i="3" s="1"/>
  <c r="A80" i="3"/>
  <c r="AO76" i="3"/>
  <c r="AR76" i="3"/>
  <c r="U80" i="3" l="1"/>
  <c r="AI80" i="3" a="1"/>
  <c r="AI80" i="3" s="1"/>
  <c r="AQ79" i="3"/>
  <c r="AF79" i="3"/>
  <c r="AN79" i="3" s="1"/>
  <c r="W80" i="3"/>
  <c r="Y80" i="3" s="1"/>
  <c r="AA80" i="3"/>
  <c r="AC80" i="3" s="1"/>
  <c r="AJ80" i="3" s="1"/>
  <c r="A81" i="3"/>
  <c r="AO77" i="3"/>
  <c r="AR77" i="3"/>
  <c r="AE80" i="3" l="1"/>
  <c r="AL80" i="3" s="1"/>
  <c r="U81" i="3"/>
  <c r="AI81" i="3" a="1"/>
  <c r="AI81" i="3" s="1"/>
  <c r="AQ80" i="3"/>
  <c r="AF80" i="3"/>
  <c r="AN80" i="3" s="1"/>
  <c r="W81" i="3"/>
  <c r="Y81" i="3" s="1"/>
  <c r="AE81" i="3" s="1"/>
  <c r="AL81" i="3" s="1"/>
  <c r="AA81" i="3"/>
  <c r="AC81" i="3" s="1"/>
  <c r="AJ81" i="3" s="1"/>
  <c r="A82" i="3"/>
  <c r="AO78" i="3"/>
  <c r="AR78" i="3"/>
  <c r="U82" i="3" l="1"/>
  <c r="AI82" i="3" a="1"/>
  <c r="AI82" i="3" s="1"/>
  <c r="AQ81" i="3"/>
  <c r="AF81" i="3"/>
  <c r="AN81" i="3" s="1"/>
  <c r="W82" i="3"/>
  <c r="Y82" i="3" s="1"/>
  <c r="AE82" i="3" s="1"/>
  <c r="AL82" i="3" s="1"/>
  <c r="AA82" i="3"/>
  <c r="AC82" i="3" s="1"/>
  <c r="AJ82" i="3" s="1"/>
  <c r="A83" i="3"/>
  <c r="AO79" i="3"/>
  <c r="AR79" i="3"/>
  <c r="U83" i="3" l="1"/>
  <c r="AI83" i="3" a="1"/>
  <c r="AI83" i="3" s="1"/>
  <c r="AQ82" i="3"/>
  <c r="AF82" i="3"/>
  <c r="AN82" i="3" s="1"/>
  <c r="W83" i="3"/>
  <c r="Y83" i="3" s="1"/>
  <c r="AE83" i="3" s="1"/>
  <c r="AL83" i="3" s="1"/>
  <c r="AA83" i="3"/>
  <c r="AC83" i="3" s="1"/>
  <c r="AJ83" i="3" s="1"/>
  <c r="A84" i="3"/>
  <c r="AO80" i="3"/>
  <c r="AR80" i="3"/>
  <c r="U84" i="3" l="1"/>
  <c r="AI84" i="3" a="1"/>
  <c r="AI84" i="3" s="1"/>
  <c r="AF83" i="3"/>
  <c r="AN83" i="3" s="1"/>
  <c r="AQ83" i="3"/>
  <c r="W84" i="3"/>
  <c r="Y84" i="3" s="1"/>
  <c r="AE84" i="3" s="1"/>
  <c r="AL84" i="3" s="1"/>
  <c r="AA84" i="3"/>
  <c r="AC84" i="3" s="1"/>
  <c r="AJ84" i="3" s="1"/>
  <c r="A85" i="3"/>
  <c r="AO81" i="3"/>
  <c r="AR81" i="3"/>
  <c r="U85" i="3" l="1"/>
  <c r="AI85" i="3" a="1"/>
  <c r="AI85" i="3" s="1"/>
  <c r="AQ84" i="3"/>
  <c r="AF84" i="3"/>
  <c r="AN84" i="3" s="1"/>
  <c r="W85" i="3"/>
  <c r="Y85" i="3" s="1"/>
  <c r="AE85" i="3" s="1"/>
  <c r="AL85" i="3" s="1"/>
  <c r="AA85" i="3"/>
  <c r="AC85" i="3" s="1"/>
  <c r="AJ85" i="3" s="1"/>
  <c r="A86" i="3"/>
  <c r="AO82" i="3"/>
  <c r="AR82" i="3"/>
  <c r="U86" i="3" l="1"/>
  <c r="AI86" i="3" a="1"/>
  <c r="AI86" i="3" s="1"/>
  <c r="AQ85" i="3"/>
  <c r="AF85" i="3"/>
  <c r="AN85" i="3" s="1"/>
  <c r="W86" i="3"/>
  <c r="Y86" i="3" s="1"/>
  <c r="AE86" i="3" s="1"/>
  <c r="AL86" i="3" s="1"/>
  <c r="AA86" i="3"/>
  <c r="AC86" i="3" s="1"/>
  <c r="AJ86" i="3" s="1"/>
  <c r="A87" i="3"/>
  <c r="AO83" i="3"/>
  <c r="AR83" i="3"/>
  <c r="U87" i="3" l="1"/>
  <c r="AI87" i="3" a="1"/>
  <c r="AI87" i="3" s="1"/>
  <c r="AQ86" i="3"/>
  <c r="AF86" i="3"/>
  <c r="AN86" i="3" s="1"/>
  <c r="W87" i="3"/>
  <c r="Y87" i="3" s="1"/>
  <c r="AE87" i="3" s="1"/>
  <c r="AL87" i="3" s="1"/>
  <c r="AA87" i="3"/>
  <c r="AC87" i="3" s="1"/>
  <c r="AJ87" i="3" s="1"/>
  <c r="A88" i="3"/>
  <c r="AO84" i="3"/>
  <c r="AR84" i="3"/>
  <c r="U88" i="3" l="1"/>
  <c r="AI88" i="3" a="1"/>
  <c r="AI88" i="3" s="1"/>
  <c r="AF87" i="3"/>
  <c r="AN87" i="3" s="1"/>
  <c r="AQ87" i="3"/>
  <c r="W88" i="3"/>
  <c r="Y88" i="3" s="1"/>
  <c r="AE88" i="3" s="1"/>
  <c r="AL88" i="3" s="1"/>
  <c r="AA88" i="3"/>
  <c r="AC88" i="3" s="1"/>
  <c r="AJ88" i="3" s="1"/>
  <c r="A89" i="3"/>
  <c r="AO85" i="3"/>
  <c r="AR85" i="3"/>
  <c r="U89" i="3" l="1"/>
  <c r="AI89" i="3" a="1"/>
  <c r="AI89" i="3" s="1"/>
  <c r="AF88" i="3"/>
  <c r="AN88" i="3" s="1"/>
  <c r="AQ88" i="3"/>
  <c r="W89" i="3"/>
  <c r="Y89" i="3" s="1"/>
  <c r="AE89" i="3" s="1"/>
  <c r="AL89" i="3" s="1"/>
  <c r="AA89" i="3"/>
  <c r="AC89" i="3" s="1"/>
  <c r="AJ89" i="3" s="1"/>
  <c r="A90" i="3"/>
  <c r="AO86" i="3"/>
  <c r="AR86" i="3"/>
  <c r="U90" i="3" l="1"/>
  <c r="AI90" i="3" a="1"/>
  <c r="AI90" i="3" s="1"/>
  <c r="AF89" i="3"/>
  <c r="AN89" i="3" s="1"/>
  <c r="AQ89" i="3"/>
  <c r="W90" i="3"/>
  <c r="Y90" i="3" s="1"/>
  <c r="AE90" i="3" s="1"/>
  <c r="AL90" i="3" s="1"/>
  <c r="AA90" i="3"/>
  <c r="AC90" i="3" s="1"/>
  <c r="AJ90" i="3" s="1"/>
  <c r="A91" i="3"/>
  <c r="AO87" i="3"/>
  <c r="AR87" i="3"/>
  <c r="U91" i="3" l="1"/>
  <c r="AI91" i="3" a="1"/>
  <c r="AI91" i="3" s="1"/>
  <c r="AF90" i="3"/>
  <c r="AN90" i="3" s="1"/>
  <c r="AQ90" i="3"/>
  <c r="W91" i="3"/>
  <c r="Y91" i="3" s="1"/>
  <c r="AE91" i="3" s="1"/>
  <c r="AL91" i="3" s="1"/>
  <c r="AA91" i="3"/>
  <c r="AC91" i="3" s="1"/>
  <c r="AJ91" i="3" s="1"/>
  <c r="A92" i="3"/>
  <c r="AO88" i="3"/>
  <c r="AR88" i="3"/>
  <c r="U92" i="3" l="1"/>
  <c r="AI92" i="3" a="1"/>
  <c r="AI92" i="3" s="1"/>
  <c r="AF91" i="3"/>
  <c r="AN91" i="3" s="1"/>
  <c r="AQ91" i="3"/>
  <c r="W92" i="3"/>
  <c r="Y92" i="3" s="1"/>
  <c r="AE92" i="3" s="1"/>
  <c r="AL92" i="3" s="1"/>
  <c r="AA92" i="3"/>
  <c r="AC92" i="3" s="1"/>
  <c r="AJ92" i="3" s="1"/>
  <c r="A93" i="3"/>
  <c r="AO89" i="3"/>
  <c r="AR89" i="3"/>
  <c r="U93" i="3" l="1"/>
  <c r="AF92" i="3"/>
  <c r="AN92" i="3" s="1"/>
  <c r="AQ92" i="3"/>
  <c r="W93" i="3"/>
  <c r="Y93" i="3" s="1"/>
  <c r="AE93" i="3" s="1"/>
  <c r="AL93" i="3" s="1"/>
  <c r="AA93" i="3"/>
  <c r="AC93" i="3" s="1"/>
  <c r="A94" i="3"/>
  <c r="AO90" i="3"/>
  <c r="AR90" i="3"/>
  <c r="AF93" i="3" l="1"/>
  <c r="AN93" i="3" s="1"/>
  <c r="AQ93" i="3"/>
  <c r="W94" i="3"/>
  <c r="Y94" i="3" s="1"/>
  <c r="AE94" i="3" s="1"/>
  <c r="AL94" i="3" s="1"/>
  <c r="AA94" i="3"/>
  <c r="A95" i="3"/>
  <c r="AO91" i="3"/>
  <c r="AR91" i="3"/>
  <c r="AC94" i="3" l="1"/>
  <c r="AI94" i="3" a="1"/>
  <c r="AI94" i="3" s="1"/>
  <c r="U95" i="3"/>
  <c r="AI95" i="3" a="1"/>
  <c r="AI95" i="3" s="1"/>
  <c r="AQ94" i="3"/>
  <c r="A96" i="3"/>
  <c r="W95" i="3"/>
  <c r="Y95" i="3" s="1"/>
  <c r="AA95" i="3"/>
  <c r="AC95" i="3" s="1"/>
  <c r="AJ95" i="3" s="1"/>
  <c r="AO92" i="3"/>
  <c r="AR92" i="3"/>
  <c r="AJ94" i="3" l="1"/>
  <c r="AF94" i="3"/>
  <c r="AN94" i="3" s="1"/>
  <c r="AE95" i="3"/>
  <c r="U96" i="3"/>
  <c r="AI96" i="3" a="1"/>
  <c r="AI96" i="3" s="1"/>
  <c r="A97" i="3"/>
  <c r="AA96" i="3"/>
  <c r="AC96" i="3" s="1"/>
  <c r="AJ96" i="3" s="1"/>
  <c r="W96" i="3"/>
  <c r="Y96" i="3" s="1"/>
  <c r="AE96" i="3" s="1"/>
  <c r="AL96" i="3" s="1"/>
  <c r="AR93" i="3"/>
  <c r="AL95" i="3" l="1"/>
  <c r="AQ95" i="3" s="1"/>
  <c r="AF95" i="3"/>
  <c r="AN95" i="3" s="1"/>
  <c r="U97" i="3"/>
  <c r="AI97" i="3" a="1"/>
  <c r="AI97" i="3" s="1"/>
  <c r="A98" i="3"/>
  <c r="AA97" i="3"/>
  <c r="AC97" i="3" s="1"/>
  <c r="AJ97" i="3" s="1"/>
  <c r="W97" i="3"/>
  <c r="Y97" i="3" s="1"/>
  <c r="AF96" i="3"/>
  <c r="AN96" i="3" s="1"/>
  <c r="AQ96" i="3"/>
  <c r="AO94" i="3"/>
  <c r="AR94" i="3"/>
  <c r="AE97" i="3" l="1"/>
  <c r="U98" i="3"/>
  <c r="AI98" i="3" a="1"/>
  <c r="AI98" i="3" s="1"/>
  <c r="AA98" i="3"/>
  <c r="AC98" i="3" s="1"/>
  <c r="AJ98" i="3" s="1"/>
  <c r="W98" i="3"/>
  <c r="Y98" i="3" s="1"/>
  <c r="AE98" i="3" s="1"/>
  <c r="AL98" i="3" s="1"/>
  <c r="A99" i="3"/>
  <c r="AO95" i="3"/>
  <c r="AR95" i="3"/>
  <c r="AL97" i="3" l="1"/>
  <c r="AQ97" i="3" s="1"/>
  <c r="AF97" i="3"/>
  <c r="AN97" i="3" s="1"/>
  <c r="U99" i="3"/>
  <c r="AI99" i="3" a="1"/>
  <c r="AI99" i="3" s="1"/>
  <c r="AF98" i="3"/>
  <c r="AN98" i="3" s="1"/>
  <c r="AQ98" i="3"/>
  <c r="A100" i="3"/>
  <c r="AA99" i="3"/>
  <c r="AC99" i="3" s="1"/>
  <c r="AJ99" i="3" s="1"/>
  <c r="W99" i="3"/>
  <c r="Y99" i="3" s="1"/>
  <c r="AE99" i="3" s="1"/>
  <c r="AL99" i="3" s="1"/>
  <c r="AO96" i="3"/>
  <c r="AR96" i="3"/>
  <c r="U100" i="3" l="1"/>
  <c r="AI100" i="3" a="1"/>
  <c r="AI100" i="3" s="1"/>
  <c r="A101" i="3"/>
  <c r="AA100" i="3"/>
  <c r="AC100" i="3" s="1"/>
  <c r="AJ100" i="3" s="1"/>
  <c r="W100" i="3"/>
  <c r="Y100" i="3" s="1"/>
  <c r="AE100" i="3" s="1"/>
  <c r="AL100" i="3" s="1"/>
  <c r="AF99" i="3"/>
  <c r="AN99" i="3" s="1"/>
  <c r="AQ99" i="3"/>
  <c r="AO97" i="3"/>
  <c r="AR97" i="3"/>
  <c r="U101" i="3" l="1"/>
  <c r="AI101" i="3" a="1"/>
  <c r="AI101" i="3" s="1"/>
  <c r="AA101" i="3"/>
  <c r="AC101" i="3" s="1"/>
  <c r="AJ101" i="3" s="1"/>
  <c r="W101" i="3"/>
  <c r="Y101" i="3" s="1"/>
  <c r="AE101" i="3" s="1"/>
  <c r="AL101" i="3" s="1"/>
  <c r="A102" i="3"/>
  <c r="AF100" i="3"/>
  <c r="AN100" i="3" s="1"/>
  <c r="AQ100" i="3"/>
  <c r="AO98" i="3"/>
  <c r="AR98" i="3"/>
  <c r="U102" i="3" l="1"/>
  <c r="AI102" i="3" a="1"/>
  <c r="AI102" i="3" s="1"/>
  <c r="AF101" i="3"/>
  <c r="AN101" i="3" s="1"/>
  <c r="AQ101" i="3"/>
  <c r="A103" i="3"/>
  <c r="AA102" i="3"/>
  <c r="AC102" i="3" s="1"/>
  <c r="AJ102" i="3" s="1"/>
  <c r="W102" i="3"/>
  <c r="Y102" i="3" s="1"/>
  <c r="AE102" i="3" s="1"/>
  <c r="AL102" i="3" s="1"/>
  <c r="AO99" i="3"/>
  <c r="AR99" i="3"/>
  <c r="U103" i="3" l="1"/>
  <c r="AI103" i="3" a="1"/>
  <c r="AI103" i="3" s="1"/>
  <c r="A104" i="3"/>
  <c r="AA103" i="3"/>
  <c r="AC103" i="3" s="1"/>
  <c r="AJ103" i="3" s="1"/>
  <c r="W103" i="3"/>
  <c r="Y103" i="3" s="1"/>
  <c r="AE103" i="3" s="1"/>
  <c r="AL103" i="3" s="1"/>
  <c r="AF102" i="3"/>
  <c r="AN102" i="3" s="1"/>
  <c r="AQ102" i="3"/>
  <c r="AO100" i="3"/>
  <c r="AR100" i="3"/>
  <c r="U104" i="3" l="1"/>
  <c r="AI104" i="3" a="1"/>
  <c r="AI104" i="3" s="1"/>
  <c r="A105" i="3"/>
  <c r="AA104" i="3"/>
  <c r="AC104" i="3" s="1"/>
  <c r="AJ104" i="3" s="1"/>
  <c r="W104" i="3"/>
  <c r="Y104" i="3" s="1"/>
  <c r="AE104" i="3" s="1"/>
  <c r="AL104" i="3" s="1"/>
  <c r="AF103" i="3"/>
  <c r="AN103" i="3" s="1"/>
  <c r="AQ103" i="3"/>
  <c r="AO101" i="3"/>
  <c r="AR101" i="3"/>
  <c r="U105" i="3" l="1"/>
  <c r="AI105" i="3" a="1"/>
  <c r="AI105" i="3" s="1"/>
  <c r="A106" i="3"/>
  <c r="AA105" i="3"/>
  <c r="AC105" i="3" s="1"/>
  <c r="AJ105" i="3" s="1"/>
  <c r="W105" i="3"/>
  <c r="Y105" i="3" s="1"/>
  <c r="AE105" i="3" s="1"/>
  <c r="AL105" i="3" s="1"/>
  <c r="AF104" i="3"/>
  <c r="AN104" i="3" s="1"/>
  <c r="AQ104" i="3"/>
  <c r="AO102" i="3"/>
  <c r="AR102" i="3"/>
  <c r="U106" i="3" l="1"/>
  <c r="AI106" i="3" a="1"/>
  <c r="AI106" i="3" s="1"/>
  <c r="AA106" i="3"/>
  <c r="AC106" i="3" s="1"/>
  <c r="AJ106" i="3" s="1"/>
  <c r="A107" i="3"/>
  <c r="W106" i="3"/>
  <c r="Y106" i="3" s="1"/>
  <c r="AF105" i="3"/>
  <c r="AN105" i="3" s="1"/>
  <c r="AQ105" i="3"/>
  <c r="AO103" i="3"/>
  <c r="AR103" i="3"/>
  <c r="AE106" i="3" l="1"/>
  <c r="U107" i="3"/>
  <c r="AI107" i="3" a="1"/>
  <c r="AI107" i="3" s="1"/>
  <c r="A108" i="3"/>
  <c r="AA107" i="3"/>
  <c r="AC107" i="3" s="1"/>
  <c r="W107" i="3"/>
  <c r="Y107" i="3" s="1"/>
  <c r="AE107" i="3" s="1"/>
  <c r="AL107" i="3" s="1"/>
  <c r="AO104" i="3"/>
  <c r="AR104" i="3"/>
  <c r="AL106" i="3" l="1"/>
  <c r="AF106" i="3"/>
  <c r="AN106" i="3" s="1"/>
  <c r="AQ106" i="3"/>
  <c r="AO105" i="3"/>
  <c r="AR105" i="3"/>
  <c r="A109" i="3"/>
  <c r="AA108" i="3"/>
  <c r="W108" i="3"/>
  <c r="Y108" i="3" s="1"/>
  <c r="AE108" i="3" s="1"/>
  <c r="AL108" i="3" s="1"/>
  <c r="AF107" i="3"/>
  <c r="AN107" i="3" s="1"/>
  <c r="AQ107" i="3"/>
  <c r="AC108" i="3" l="1"/>
  <c r="AF108" i="3" s="1"/>
  <c r="AN108" i="3" s="1"/>
  <c r="AI108" i="3" a="1"/>
  <c r="AI108" i="3" s="1"/>
  <c r="U109" i="3"/>
  <c r="AI109" i="3" a="1"/>
  <c r="AI109" i="3" s="1"/>
  <c r="AR107" i="3"/>
  <c r="A110" i="3"/>
  <c r="AA109" i="3"/>
  <c r="AC109" i="3" s="1"/>
  <c r="W109" i="3"/>
  <c r="Y109" i="3" s="1"/>
  <c r="AQ108" i="3"/>
  <c r="AO106" i="3"/>
  <c r="AR106" i="3"/>
  <c r="AE109" i="3" l="1"/>
  <c r="U110" i="3"/>
  <c r="AI110" i="3" a="1"/>
  <c r="AI110" i="3" s="1"/>
  <c r="AR108" i="3"/>
  <c r="A111" i="3"/>
  <c r="AA110" i="3"/>
  <c r="AC110" i="3" s="1"/>
  <c r="W110" i="3"/>
  <c r="Y110" i="3" s="1"/>
  <c r="AL109" i="3" l="1"/>
  <c r="AF109" i="3"/>
  <c r="AN109" i="3" s="1"/>
  <c r="AQ109" i="3"/>
  <c r="AE110" i="3"/>
  <c r="U111" i="3"/>
  <c r="AI111" i="3" a="1"/>
  <c r="AI111" i="3" s="1"/>
  <c r="AR109" i="3"/>
  <c r="A112" i="3"/>
  <c r="W111" i="3"/>
  <c r="Y111" i="3" s="1"/>
  <c r="AA111" i="3"/>
  <c r="AC111" i="3" s="1"/>
  <c r="AE111" i="3" l="1"/>
  <c r="AL110" i="3"/>
  <c r="AQ110" i="3" s="1"/>
  <c r="AF110" i="3"/>
  <c r="U112" i="3"/>
  <c r="AI112" i="3" a="1"/>
  <c r="AI112" i="3" s="1"/>
  <c r="A113" i="3"/>
  <c r="W112" i="3"/>
  <c r="Y112" i="3" s="1"/>
  <c r="AE112" i="3" s="1"/>
  <c r="AL112" i="3" s="1"/>
  <c r="AA112" i="3"/>
  <c r="AC112" i="3" s="1"/>
  <c r="AL111" i="3" l="1"/>
  <c r="AQ111" i="3" s="1"/>
  <c r="AF111" i="3"/>
  <c r="AN110" i="3"/>
  <c r="AR110" i="3" s="1"/>
  <c r="U113" i="3"/>
  <c r="AI113" i="3" a="1"/>
  <c r="AI113" i="3" s="1"/>
  <c r="AA113" i="3"/>
  <c r="AC113" i="3" s="1"/>
  <c r="A114" i="3"/>
  <c r="W113" i="3"/>
  <c r="Y113" i="3" s="1"/>
  <c r="AE113" i="3" s="1"/>
  <c r="AL113" i="3" s="1"/>
  <c r="AF112" i="3"/>
  <c r="AN112" i="3" s="1"/>
  <c r="AQ112" i="3"/>
  <c r="AN111" i="3" l="1"/>
  <c r="AR111" i="3" s="1"/>
  <c r="U114" i="3"/>
  <c r="AI114" i="3" a="1"/>
  <c r="AI114" i="3" s="1"/>
  <c r="AR112" i="3"/>
  <c r="A115" i="3"/>
  <c r="AA114" i="3"/>
  <c r="AC114" i="3" s="1"/>
  <c r="AJ114" i="3" s="1"/>
  <c r="W114" i="3"/>
  <c r="Y114" i="3" s="1"/>
  <c r="AF113" i="3"/>
  <c r="AN113" i="3" s="1"/>
  <c r="AQ113" i="3"/>
  <c r="AE114" i="3" l="1"/>
  <c r="W115" i="3"/>
  <c r="Y115" i="3" s="1"/>
  <c r="AE115" i="3" s="1"/>
  <c r="AL115" i="3" s="1"/>
  <c r="A116" i="3"/>
  <c r="AA115" i="3"/>
  <c r="AR113" i="3"/>
  <c r="AL114" i="3" l="1"/>
  <c r="AQ114" i="3" s="1"/>
  <c r="AF114" i="3"/>
  <c r="AN114" i="3" s="1"/>
  <c r="AC115" i="3"/>
  <c r="AF115" i="3" s="1"/>
  <c r="AN115" i="3" s="1"/>
  <c r="AI115" i="3" a="1"/>
  <c r="AI115" i="3" s="1"/>
  <c r="U116" i="3"/>
  <c r="AI116" i="3" a="1"/>
  <c r="AI116" i="3" s="1"/>
  <c r="AQ115" i="3"/>
  <c r="A117" i="3"/>
  <c r="AA116" i="3"/>
  <c r="AC116" i="3" s="1"/>
  <c r="AJ116" i="3" s="1"/>
  <c r="W116" i="3"/>
  <c r="Y116" i="3" s="1"/>
  <c r="AE116" i="3" s="1"/>
  <c r="AL116" i="3" s="1"/>
  <c r="U117" i="3" l="1"/>
  <c r="AI117" i="3" a="1"/>
  <c r="AI117" i="3" s="1"/>
  <c r="AR115" i="3"/>
  <c r="A118" i="3"/>
  <c r="AA117" i="3"/>
  <c r="AC117" i="3" s="1"/>
  <c r="AJ117" i="3" s="1"/>
  <c r="W117" i="3"/>
  <c r="Y117" i="3" s="1"/>
  <c r="AE117" i="3" s="1"/>
  <c r="AL117" i="3" s="1"/>
  <c r="AF116" i="3"/>
  <c r="AN116" i="3" s="1"/>
  <c r="AQ116" i="3"/>
  <c r="AO114" i="3"/>
  <c r="AR114" i="3"/>
  <c r="U118" i="3" l="1"/>
  <c r="AI118" i="3" a="1"/>
  <c r="AI118" i="3" s="1"/>
  <c r="A119" i="3"/>
  <c r="AA118" i="3"/>
  <c r="AC118" i="3" s="1"/>
  <c r="AJ118" i="3" s="1"/>
  <c r="W118" i="3"/>
  <c r="Y118" i="3" s="1"/>
  <c r="AE118" i="3" s="1"/>
  <c r="AL118" i="3" s="1"/>
  <c r="AF117" i="3"/>
  <c r="AN117" i="3" s="1"/>
  <c r="AQ117" i="3"/>
  <c r="U119" i="3" l="1"/>
  <c r="AI119" i="3" a="1"/>
  <c r="AI119" i="3" s="1"/>
  <c r="A120" i="3"/>
  <c r="AA119" i="3"/>
  <c r="AC119" i="3" s="1"/>
  <c r="AJ119" i="3" s="1"/>
  <c r="W119" i="3"/>
  <c r="Y119" i="3" s="1"/>
  <c r="AE119" i="3" s="1"/>
  <c r="AL119" i="3" s="1"/>
  <c r="AF118" i="3"/>
  <c r="AN118" i="3" s="1"/>
  <c r="AQ118" i="3"/>
  <c r="AO116" i="3"/>
  <c r="AR116" i="3"/>
  <c r="U120" i="3" l="1"/>
  <c r="AI120" i="3" a="1"/>
  <c r="AI120" i="3" s="1"/>
  <c r="A121" i="3"/>
  <c r="AA120" i="3"/>
  <c r="AC120" i="3" s="1"/>
  <c r="AJ120" i="3" s="1"/>
  <c r="W120" i="3"/>
  <c r="Y120" i="3" s="1"/>
  <c r="AE120" i="3" s="1"/>
  <c r="AL120" i="3" s="1"/>
  <c r="AF119" i="3"/>
  <c r="AN119" i="3" s="1"/>
  <c r="AQ119" i="3"/>
  <c r="AO117" i="3"/>
  <c r="AR117" i="3"/>
  <c r="U121" i="3" l="1"/>
  <c r="AI121" i="3" a="1"/>
  <c r="AI121" i="3" s="1"/>
  <c r="A122" i="3"/>
  <c r="AA121" i="3"/>
  <c r="AC121" i="3" s="1"/>
  <c r="AJ121" i="3" s="1"/>
  <c r="W121" i="3"/>
  <c r="Y121" i="3" s="1"/>
  <c r="AE121" i="3" s="1"/>
  <c r="AL121" i="3" s="1"/>
  <c r="AF120" i="3"/>
  <c r="AN120" i="3" s="1"/>
  <c r="AQ120" i="3"/>
  <c r="AO118" i="3"/>
  <c r="AR118" i="3"/>
  <c r="U122" i="3" l="1"/>
  <c r="AI122" i="3" a="1"/>
  <c r="AI122" i="3" s="1"/>
  <c r="A123" i="3"/>
  <c r="AA122" i="3"/>
  <c r="AC122" i="3" s="1"/>
  <c r="AJ122" i="3" s="1"/>
  <c r="W122" i="3"/>
  <c r="Y122" i="3" s="1"/>
  <c r="AF121" i="3"/>
  <c r="AN121" i="3" s="1"/>
  <c r="AQ121" i="3"/>
  <c r="AO119" i="3"/>
  <c r="AR119" i="3"/>
  <c r="AE122" i="3" l="1"/>
  <c r="U123" i="3"/>
  <c r="AI123" i="3" a="1"/>
  <c r="AI123" i="3" s="1"/>
  <c r="A124" i="3"/>
  <c r="AA123" i="3"/>
  <c r="AC123" i="3" s="1"/>
  <c r="AJ123" i="3" s="1"/>
  <c r="W123" i="3"/>
  <c r="Y123" i="3" s="1"/>
  <c r="AE123" i="3" s="1"/>
  <c r="AL123" i="3" s="1"/>
  <c r="AO120" i="3"/>
  <c r="AR120" i="3"/>
  <c r="AL122" i="3" l="1"/>
  <c r="AF122" i="3"/>
  <c r="AN122" i="3" s="1"/>
  <c r="AQ122" i="3"/>
  <c r="A125" i="3"/>
  <c r="AA124" i="3"/>
  <c r="W124" i="3"/>
  <c r="Y124" i="3" s="1"/>
  <c r="AE124" i="3" s="1"/>
  <c r="AL124" i="3" s="1"/>
  <c r="AF123" i="3"/>
  <c r="AN123" i="3" s="1"/>
  <c r="AQ123" i="3"/>
  <c r="AO121" i="3"/>
  <c r="AR121" i="3"/>
  <c r="AC124" i="3" l="1"/>
  <c r="AF124" i="3" s="1"/>
  <c r="AN124" i="3" s="1"/>
  <c r="AI124" i="3" a="1"/>
  <c r="AI124" i="3" s="1"/>
  <c r="A126" i="3"/>
  <c r="AA125" i="3"/>
  <c r="W125" i="3"/>
  <c r="Y125" i="3" s="1"/>
  <c r="AE125" i="3" s="1"/>
  <c r="AL125" i="3" s="1"/>
  <c r="AQ124" i="3"/>
  <c r="AO122" i="3"/>
  <c r="AR122" i="3"/>
  <c r="AC125" i="3" l="1"/>
  <c r="AI125" i="3" a="1"/>
  <c r="AI125" i="3" s="1"/>
  <c r="A127" i="3"/>
  <c r="AA126" i="3"/>
  <c r="W126" i="3"/>
  <c r="Y126" i="3" s="1"/>
  <c r="AE126" i="3" s="1"/>
  <c r="AL126" i="3" s="1"/>
  <c r="AQ125" i="3"/>
  <c r="AO123" i="3"/>
  <c r="AR123" i="3"/>
  <c r="AJ125" i="3" l="1"/>
  <c r="AF125" i="3"/>
  <c r="AN125" i="3" s="1"/>
  <c r="AC126" i="3"/>
  <c r="AI126" i="3" a="1"/>
  <c r="AI126" i="3" s="1"/>
  <c r="U127" i="3"/>
  <c r="AI127" i="3" a="1"/>
  <c r="AI127" i="3" s="1"/>
  <c r="A128" i="3"/>
  <c r="AA127" i="3"/>
  <c r="AC127" i="3" s="1"/>
  <c r="AJ127" i="3" s="1"/>
  <c r="W127" i="3"/>
  <c r="Y127" i="3" s="1"/>
  <c r="AF126" i="3"/>
  <c r="AN126" i="3" s="1"/>
  <c r="AQ126" i="3"/>
  <c r="AR124" i="3"/>
  <c r="AE127" i="3" l="1"/>
  <c r="AA128" i="3"/>
  <c r="W128" i="3"/>
  <c r="Y128" i="3" s="1"/>
  <c r="AE128" i="3" s="1"/>
  <c r="AL128" i="3" s="1"/>
  <c r="A129" i="3"/>
  <c r="AO125" i="3"/>
  <c r="AR125" i="3"/>
  <c r="AL127" i="3" l="1"/>
  <c r="AQ127" i="3" s="1"/>
  <c r="AF127" i="3"/>
  <c r="AN127" i="3" s="1"/>
  <c r="AC128" i="3"/>
  <c r="AF128" i="3" s="1"/>
  <c r="AN128" i="3" s="1"/>
  <c r="AI128" i="3" a="1"/>
  <c r="AI128" i="3" s="1"/>
  <c r="U129" i="3"/>
  <c r="AI129" i="3" a="1"/>
  <c r="AI129" i="3" s="1"/>
  <c r="AQ128" i="3"/>
  <c r="AA129" i="3"/>
  <c r="AC129" i="3" s="1"/>
  <c r="AJ129" i="3" s="1"/>
  <c r="A130" i="3"/>
  <c r="W129" i="3"/>
  <c r="Y129" i="3" s="1"/>
  <c r="AR126" i="3"/>
  <c r="AE129" i="3" l="1"/>
  <c r="AA130" i="3"/>
  <c r="W130" i="3"/>
  <c r="Y130" i="3" s="1"/>
  <c r="AE130" i="3" s="1"/>
  <c r="AL130" i="3" s="1"/>
  <c r="A131" i="3"/>
  <c r="AO127" i="3"/>
  <c r="AR127" i="3"/>
  <c r="AL129" i="3" l="1"/>
  <c r="AQ129" i="3" s="1"/>
  <c r="AF129" i="3"/>
  <c r="AN129" i="3" s="1"/>
  <c r="AC130" i="3"/>
  <c r="AI130" i="3" a="1"/>
  <c r="AI130" i="3" s="1"/>
  <c r="AQ130" i="3"/>
  <c r="W131" i="3"/>
  <c r="Y131" i="3" s="1"/>
  <c r="AE131" i="3" s="1"/>
  <c r="AL131" i="3" s="1"/>
  <c r="A132" i="3"/>
  <c r="AA131" i="3"/>
  <c r="AR128" i="3"/>
  <c r="AJ130" i="3" l="1"/>
  <c r="AF130" i="3"/>
  <c r="AN130" i="3" s="1"/>
  <c r="AC131" i="3"/>
  <c r="AI131" i="3" a="1"/>
  <c r="AI131" i="3" s="1"/>
  <c r="AQ131" i="3"/>
  <c r="AA132" i="3"/>
  <c r="A133" i="3"/>
  <c r="W132" i="3"/>
  <c r="Y132" i="3" s="1"/>
  <c r="AE132" i="3" s="1"/>
  <c r="AL132" i="3" s="1"/>
  <c r="AO129" i="3"/>
  <c r="AR129" i="3"/>
  <c r="AJ131" i="3" l="1"/>
  <c r="AF131" i="3"/>
  <c r="AN131" i="3" s="1"/>
  <c r="AC132" i="3"/>
  <c r="AF132" i="3" s="1"/>
  <c r="AN132" i="3" s="1"/>
  <c r="AI132" i="3" a="1"/>
  <c r="AI132" i="3" s="1"/>
  <c r="U133" i="3"/>
  <c r="AI133" i="3" a="1"/>
  <c r="AI133" i="3" s="1"/>
  <c r="W133" i="3"/>
  <c r="Y133" i="3" s="1"/>
  <c r="AE133" i="3" s="1"/>
  <c r="AL133" i="3" s="1"/>
  <c r="A134" i="3"/>
  <c r="AA133" i="3"/>
  <c r="AC133" i="3" s="1"/>
  <c r="AJ133" i="3" s="1"/>
  <c r="AQ132" i="3"/>
  <c r="AO130" i="3"/>
  <c r="AR130" i="3"/>
  <c r="AF133" i="3" l="1"/>
  <c r="AN133" i="3" s="1"/>
  <c r="AQ133" i="3"/>
  <c r="A135" i="3"/>
  <c r="W134" i="3"/>
  <c r="Y134" i="3" s="1"/>
  <c r="AE134" i="3" s="1"/>
  <c r="AL134" i="3" s="1"/>
  <c r="AA134" i="3"/>
  <c r="AO131" i="3"/>
  <c r="AR131" i="3"/>
  <c r="AC134" i="3" l="1"/>
  <c r="AJ134" i="3" s="1"/>
  <c r="AI134" i="3" a="1"/>
  <c r="AI134" i="3" s="1"/>
  <c r="AA135" i="3"/>
  <c r="A136" i="3"/>
  <c r="W135" i="3"/>
  <c r="Y135" i="3" s="1"/>
  <c r="AE135" i="3" s="1"/>
  <c r="AL135" i="3" s="1"/>
  <c r="AF134" i="3"/>
  <c r="AN134" i="3" s="1"/>
  <c r="AQ134" i="3"/>
  <c r="AR132" i="3"/>
  <c r="AC135" i="3" l="1"/>
  <c r="AF135" i="3" s="1"/>
  <c r="AN135" i="3" s="1"/>
  <c r="AI135" i="3" a="1"/>
  <c r="AI135" i="3" s="1"/>
  <c r="U136" i="3"/>
  <c r="AI136" i="3" a="1"/>
  <c r="AI136" i="3" s="1"/>
  <c r="A137" i="3"/>
  <c r="AA136" i="3"/>
  <c r="AC136" i="3" s="1"/>
  <c r="AJ136" i="3" s="1"/>
  <c r="W136" i="3"/>
  <c r="Y136" i="3" s="1"/>
  <c r="AQ135" i="3"/>
  <c r="AO133" i="3"/>
  <c r="AR133" i="3"/>
  <c r="AE136" i="3" l="1"/>
  <c r="U137" i="3"/>
  <c r="AI137" i="3" a="1"/>
  <c r="AI137" i="3" s="1"/>
  <c r="AA137" i="3"/>
  <c r="AC137" i="3" s="1"/>
  <c r="AJ137" i="3" s="1"/>
  <c r="W137" i="3"/>
  <c r="Y137" i="3" s="1"/>
  <c r="AE137" i="3" s="1"/>
  <c r="AL137" i="3" s="1"/>
  <c r="A138" i="3"/>
  <c r="AO134" i="3"/>
  <c r="AR134" i="3"/>
  <c r="AL136" i="3" l="1"/>
  <c r="AQ136" i="3" s="1"/>
  <c r="AF136" i="3"/>
  <c r="AN136" i="3" s="1"/>
  <c r="U138" i="3"/>
  <c r="AI138" i="3" a="1"/>
  <c r="AI138" i="3" s="1"/>
  <c r="AF137" i="3"/>
  <c r="AN137" i="3" s="1"/>
  <c r="AQ137" i="3"/>
  <c r="A139" i="3"/>
  <c r="AA138" i="3"/>
  <c r="AC138" i="3" s="1"/>
  <c r="AJ138" i="3" s="1"/>
  <c r="W138" i="3"/>
  <c r="Y138" i="3" s="1"/>
  <c r="AR135" i="3"/>
  <c r="AE138" i="3" l="1"/>
  <c r="U139" i="3"/>
  <c r="AI139" i="3" a="1"/>
  <c r="AI139" i="3" s="1"/>
  <c r="AA139" i="3"/>
  <c r="AC139" i="3" s="1"/>
  <c r="AJ139" i="3" s="1"/>
  <c r="A140" i="3"/>
  <c r="W139" i="3"/>
  <c r="Y139" i="3" s="1"/>
  <c r="AE139" i="3" s="1"/>
  <c r="AL139" i="3" s="1"/>
  <c r="AO136" i="3"/>
  <c r="AR136" i="3"/>
  <c r="AL138" i="3" l="1"/>
  <c r="AQ138" i="3" s="1"/>
  <c r="AF138" i="3"/>
  <c r="AN138" i="3" s="1"/>
  <c r="A141" i="3"/>
  <c r="W140" i="3"/>
  <c r="Y140" i="3" s="1"/>
  <c r="AE140" i="3" s="1"/>
  <c r="AL140" i="3" s="1"/>
  <c r="AA140" i="3"/>
  <c r="AF139" i="3"/>
  <c r="AN139" i="3" s="1"/>
  <c r="AQ139" i="3"/>
  <c r="AO137" i="3"/>
  <c r="AR137" i="3"/>
  <c r="AC140" i="3" l="1"/>
  <c r="AI140" i="3" a="1"/>
  <c r="AI140" i="3" s="1"/>
  <c r="AA141" i="3"/>
  <c r="W141" i="3"/>
  <c r="Y141" i="3" s="1"/>
  <c r="AE141" i="3" s="1"/>
  <c r="AL141" i="3" s="1"/>
  <c r="A142" i="3"/>
  <c r="AQ140" i="3"/>
  <c r="AO138" i="3"/>
  <c r="AR138" i="3"/>
  <c r="AJ140" i="3" l="1"/>
  <c r="AF140" i="3"/>
  <c r="AN140" i="3" s="1"/>
  <c r="AC141" i="3"/>
  <c r="AI141" i="3" a="1"/>
  <c r="AI141" i="3" s="1"/>
  <c r="AQ141" i="3"/>
  <c r="A143" i="3"/>
  <c r="AA142" i="3"/>
  <c r="W142" i="3"/>
  <c r="Y142" i="3" s="1"/>
  <c r="AE142" i="3" s="1"/>
  <c r="AL142" i="3" s="1"/>
  <c r="AO139" i="3"/>
  <c r="AR139" i="3"/>
  <c r="AJ141" i="3" l="1"/>
  <c r="AF141" i="3"/>
  <c r="AN141" i="3" s="1"/>
  <c r="AC142" i="3"/>
  <c r="AF142" i="3" s="1"/>
  <c r="AN142" i="3" s="1"/>
  <c r="U143" i="3"/>
  <c r="AI143" i="3" a="1"/>
  <c r="AI143" i="3" s="1"/>
  <c r="A144" i="3"/>
  <c r="AA143" i="3"/>
  <c r="AC143" i="3" s="1"/>
  <c r="AJ143" i="3" s="1"/>
  <c r="W143" i="3"/>
  <c r="Y143" i="3" s="1"/>
  <c r="AE143" i="3" s="1"/>
  <c r="AL143" i="3" s="1"/>
  <c r="AQ142" i="3"/>
  <c r="AO140" i="3"/>
  <c r="AR140" i="3"/>
  <c r="W144" i="3" l="1"/>
  <c r="Y144" i="3" s="1"/>
  <c r="AE144" i="3" s="1"/>
  <c r="AL144" i="3" s="1"/>
  <c r="A145" i="3"/>
  <c r="AA144" i="3"/>
  <c r="AF143" i="3"/>
  <c r="AN143" i="3" s="1"/>
  <c r="AQ143" i="3"/>
  <c r="AO141" i="3"/>
  <c r="AR141" i="3"/>
  <c r="AC144" i="3" l="1"/>
  <c r="AI144" i="3" a="1"/>
  <c r="AI144" i="3" s="1"/>
  <c r="AQ144" i="3"/>
  <c r="A146" i="3"/>
  <c r="AA145" i="3"/>
  <c r="W145" i="3"/>
  <c r="Y145" i="3" s="1"/>
  <c r="AE145" i="3" s="1"/>
  <c r="AL145" i="3" s="1"/>
  <c r="AR142" i="3"/>
  <c r="AJ144" i="3" l="1"/>
  <c r="AF144" i="3"/>
  <c r="AN144" i="3" s="1"/>
  <c r="AC145" i="3"/>
  <c r="AI145" i="3" a="1"/>
  <c r="AI145" i="3" s="1"/>
  <c r="A147" i="3"/>
  <c r="AA146" i="3"/>
  <c r="W146" i="3"/>
  <c r="Y146" i="3" s="1"/>
  <c r="AE146" i="3" s="1"/>
  <c r="AL146" i="3" s="1"/>
  <c r="AQ145" i="3"/>
  <c r="AO143" i="3"/>
  <c r="AR143" i="3"/>
  <c r="AJ145" i="3" l="1"/>
  <c r="AF145" i="3"/>
  <c r="AN145" i="3" s="1"/>
  <c r="AC146" i="3"/>
  <c r="AI146" i="3" a="1"/>
  <c r="AI146" i="3" s="1"/>
  <c r="A148" i="3"/>
  <c r="AA147" i="3"/>
  <c r="W147" i="3"/>
  <c r="Y147" i="3" s="1"/>
  <c r="AE147" i="3" s="1"/>
  <c r="AL147" i="3" s="1"/>
  <c r="AQ146" i="3"/>
  <c r="AO144" i="3"/>
  <c r="AR144" i="3"/>
  <c r="AJ146" i="3" l="1"/>
  <c r="AF146" i="3"/>
  <c r="AN146" i="3" s="1"/>
  <c r="AC147" i="3"/>
  <c r="AF147" i="3" s="1"/>
  <c r="AN147" i="3" s="1"/>
  <c r="A149" i="3"/>
  <c r="AA148" i="3"/>
  <c r="W148" i="3"/>
  <c r="Y148" i="3" s="1"/>
  <c r="AE148" i="3" s="1"/>
  <c r="AL148" i="3" s="1"/>
  <c r="AQ147" i="3"/>
  <c r="AO145" i="3"/>
  <c r="AR145" i="3"/>
  <c r="AC148" i="3" l="1"/>
  <c r="AF148" i="3" s="1"/>
  <c r="AN148" i="3" s="1"/>
  <c r="AI148" i="3" a="1"/>
  <c r="AI148" i="3" s="1"/>
  <c r="A150" i="3"/>
  <c r="AA149" i="3"/>
  <c r="W149" i="3"/>
  <c r="Y149" i="3" s="1"/>
  <c r="AE149" i="3" s="1"/>
  <c r="AL149" i="3" s="1"/>
  <c r="AQ148" i="3"/>
  <c r="AO146" i="3"/>
  <c r="AR146" i="3"/>
  <c r="AC149" i="3" l="1"/>
  <c r="AI149" i="3" a="1"/>
  <c r="AI149" i="3" s="1"/>
  <c r="U150" i="3"/>
  <c r="AI150" i="3" a="1"/>
  <c r="AI150" i="3" s="1"/>
  <c r="A151" i="3"/>
  <c r="AA150" i="3"/>
  <c r="AC150" i="3" s="1"/>
  <c r="AJ150" i="3" s="1"/>
  <c r="W150" i="3"/>
  <c r="Y150" i="3" s="1"/>
  <c r="AQ149" i="3"/>
  <c r="AR147" i="3"/>
  <c r="AE150" i="3" l="1"/>
  <c r="AJ149" i="3"/>
  <c r="AF149" i="3"/>
  <c r="AN149" i="3" s="1"/>
  <c r="A152" i="3"/>
  <c r="W151" i="3"/>
  <c r="Y151" i="3" s="1"/>
  <c r="AE151" i="3" s="1"/>
  <c r="AL151" i="3" s="1"/>
  <c r="AA151" i="3"/>
  <c r="AR148" i="3"/>
  <c r="AL150" i="3" l="1"/>
  <c r="AF150" i="3"/>
  <c r="AN150" i="3" s="1"/>
  <c r="AQ150" i="3"/>
  <c r="AC151" i="3"/>
  <c r="AF151" i="3" s="1"/>
  <c r="AN151" i="3" s="1"/>
  <c r="AI151" i="3" a="1"/>
  <c r="AI151" i="3" s="1"/>
  <c r="U152" i="3"/>
  <c r="AI152" i="3" a="1"/>
  <c r="AI152" i="3" s="1"/>
  <c r="A153" i="3"/>
  <c r="AA152" i="3"/>
  <c r="AC152" i="3" s="1"/>
  <c r="AJ152" i="3" s="1"/>
  <c r="W152" i="3"/>
  <c r="Y152" i="3" s="1"/>
  <c r="AE152" i="3" s="1"/>
  <c r="AL152" i="3" s="1"/>
  <c r="AQ151" i="3"/>
  <c r="AO149" i="3"/>
  <c r="AR149" i="3"/>
  <c r="A154" i="3" l="1"/>
  <c r="AA153" i="3"/>
  <c r="W153" i="3"/>
  <c r="Y153" i="3" s="1"/>
  <c r="AE153" i="3" s="1"/>
  <c r="AL153" i="3" s="1"/>
  <c r="AF152" i="3"/>
  <c r="AN152" i="3" s="1"/>
  <c r="AQ152" i="3"/>
  <c r="AO150" i="3"/>
  <c r="AR150" i="3"/>
  <c r="AC153" i="3" l="1"/>
  <c r="AI153" i="3" a="1"/>
  <c r="AI153" i="3" s="1"/>
  <c r="A155" i="3"/>
  <c r="AA154" i="3"/>
  <c r="W154" i="3"/>
  <c r="Y154" i="3" s="1"/>
  <c r="AE154" i="3" s="1"/>
  <c r="AL154" i="3" s="1"/>
  <c r="AQ153" i="3"/>
  <c r="AR151" i="3"/>
  <c r="AJ153" i="3" l="1"/>
  <c r="AF153" i="3"/>
  <c r="AN153" i="3" s="1"/>
  <c r="AC154" i="3"/>
  <c r="AI154" i="3" a="1"/>
  <c r="AI154" i="3" s="1"/>
  <c r="A156" i="3"/>
  <c r="AA155" i="3"/>
  <c r="W155" i="3"/>
  <c r="Y155" i="3" s="1"/>
  <c r="AE155" i="3" s="1"/>
  <c r="AL155" i="3" s="1"/>
  <c r="AQ154" i="3"/>
  <c r="AO152" i="3"/>
  <c r="AR152" i="3"/>
  <c r="AJ154" i="3" l="1"/>
  <c r="AF154" i="3"/>
  <c r="AN154" i="3" s="1"/>
  <c r="AC155" i="3"/>
  <c r="AF155" i="3" s="1"/>
  <c r="AN155" i="3" s="1"/>
  <c r="AI155" i="3" a="1"/>
  <c r="AI155" i="3" s="1"/>
  <c r="A157" i="3"/>
  <c r="W156" i="3"/>
  <c r="Y156" i="3" s="1"/>
  <c r="AE156" i="3" s="1"/>
  <c r="AL156" i="3" s="1"/>
  <c r="AA156" i="3"/>
  <c r="AQ155" i="3"/>
  <c r="AO153" i="3"/>
  <c r="AR153" i="3"/>
  <c r="AC156" i="3" l="1"/>
  <c r="AI156" i="3" a="1"/>
  <c r="AI156" i="3" s="1"/>
  <c r="A158" i="3"/>
  <c r="AA157" i="3"/>
  <c r="W157" i="3"/>
  <c r="Y157" i="3" s="1"/>
  <c r="AE157" i="3" s="1"/>
  <c r="AL157" i="3" s="1"/>
  <c r="AQ156" i="3"/>
  <c r="AO154" i="3"/>
  <c r="AR154" i="3"/>
  <c r="AJ156" i="3" l="1"/>
  <c r="AF156" i="3"/>
  <c r="AN156" i="3" s="1"/>
  <c r="AC157" i="3"/>
  <c r="AI157" i="3" a="1"/>
  <c r="AI157" i="3" s="1"/>
  <c r="W158" i="3"/>
  <c r="Y158" i="3" s="1"/>
  <c r="AE158" i="3" s="1"/>
  <c r="AL158" i="3" s="1"/>
  <c r="A159" i="3"/>
  <c r="AA158" i="3"/>
  <c r="AQ157" i="3"/>
  <c r="AR155" i="3"/>
  <c r="AJ157" i="3" l="1"/>
  <c r="AF157" i="3"/>
  <c r="AN157" i="3" s="1"/>
  <c r="AC158" i="3"/>
  <c r="AF158" i="3" s="1"/>
  <c r="AN158" i="3" s="1"/>
  <c r="AQ158" i="3"/>
  <c r="A160" i="3"/>
  <c r="AA159" i="3"/>
  <c r="W159" i="3"/>
  <c r="Y159" i="3" s="1"/>
  <c r="AE159" i="3" s="1"/>
  <c r="AL159" i="3" s="1"/>
  <c r="AO156" i="3"/>
  <c r="AR156" i="3"/>
  <c r="AC159" i="3" l="1"/>
  <c r="AF159" i="3" s="1"/>
  <c r="AN159" i="3" s="1"/>
  <c r="A161" i="3"/>
  <c r="AA160" i="3"/>
  <c r="W160" i="3"/>
  <c r="Y160" i="3" s="1"/>
  <c r="AE160" i="3" s="1"/>
  <c r="AL160" i="3" s="1"/>
  <c r="AQ159" i="3"/>
  <c r="AO157" i="3"/>
  <c r="AR157" i="3"/>
  <c r="AC160" i="3" l="1"/>
  <c r="AI160" i="3" a="1"/>
  <c r="AI160" i="3" s="1"/>
  <c r="AA161" i="3"/>
  <c r="A162" i="3"/>
  <c r="W161" i="3"/>
  <c r="Y161" i="3" s="1"/>
  <c r="AE161" i="3" s="1"/>
  <c r="AL161" i="3" s="1"/>
  <c r="AF160" i="3"/>
  <c r="AN160" i="3" s="1"/>
  <c r="AQ160" i="3"/>
  <c r="AR158" i="3"/>
  <c r="AC161" i="3" l="1"/>
  <c r="AI161" i="3" a="1"/>
  <c r="AI161" i="3" s="1"/>
  <c r="U162" i="3"/>
  <c r="AI162" i="3" a="1"/>
  <c r="AI162" i="3" s="1"/>
  <c r="A163" i="3"/>
  <c r="AA162" i="3"/>
  <c r="AC162" i="3" s="1"/>
  <c r="AJ162" i="3" s="1"/>
  <c r="W162" i="3"/>
  <c r="Y162" i="3" s="1"/>
  <c r="AE162" i="3" s="1"/>
  <c r="AL162" i="3" s="1"/>
  <c r="AQ161" i="3"/>
  <c r="AR159" i="3"/>
  <c r="AJ161" i="3" l="1"/>
  <c r="AF161" i="3"/>
  <c r="AN161" i="3" s="1"/>
  <c r="W163" i="3"/>
  <c r="Y163" i="3" s="1"/>
  <c r="AE163" i="3" s="1"/>
  <c r="AL163" i="3" s="1"/>
  <c r="AA163" i="3"/>
  <c r="A164" i="3"/>
  <c r="AF162" i="3"/>
  <c r="AN162" i="3" s="1"/>
  <c r="AQ162" i="3"/>
  <c r="AR160" i="3"/>
  <c r="AC163" i="3" l="1"/>
  <c r="AI163" i="3" a="1"/>
  <c r="AI163" i="3" s="1"/>
  <c r="AQ163" i="3"/>
  <c r="A165" i="3"/>
  <c r="AA164" i="3"/>
  <c r="W164" i="3"/>
  <c r="Y164" i="3" s="1"/>
  <c r="AE164" i="3" s="1"/>
  <c r="AL164" i="3" s="1"/>
  <c r="AO161" i="3"/>
  <c r="AR161" i="3"/>
  <c r="AJ163" i="3" l="1"/>
  <c r="AF163" i="3"/>
  <c r="AN163" i="3" s="1"/>
  <c r="AC164" i="3"/>
  <c r="AI164" i="3" a="1"/>
  <c r="AI164" i="3" s="1"/>
  <c r="A166" i="3"/>
  <c r="AA165" i="3"/>
  <c r="W165" i="3"/>
  <c r="Y165" i="3" s="1"/>
  <c r="AE165" i="3" s="1"/>
  <c r="AL165" i="3" s="1"/>
  <c r="AF164" i="3"/>
  <c r="AN164" i="3" s="1"/>
  <c r="AQ164" i="3"/>
  <c r="AO162" i="3"/>
  <c r="AR162" i="3"/>
  <c r="AC165" i="3" l="1"/>
  <c r="AF165" i="3" s="1"/>
  <c r="AN165" i="3" s="1"/>
  <c r="AI165" i="3" a="1"/>
  <c r="AI165" i="3" s="1"/>
  <c r="U166" i="3"/>
  <c r="AI166" i="3" a="1"/>
  <c r="AI166" i="3" s="1"/>
  <c r="A167" i="3"/>
  <c r="AA166" i="3"/>
  <c r="AC166" i="3" s="1"/>
  <c r="AJ166" i="3" s="1"/>
  <c r="W166" i="3"/>
  <c r="Y166" i="3" s="1"/>
  <c r="AQ165" i="3"/>
  <c r="AO163" i="3"/>
  <c r="AR163" i="3"/>
  <c r="AE166" i="3" l="1"/>
  <c r="A168" i="3"/>
  <c r="W167" i="3"/>
  <c r="Y167" i="3" s="1"/>
  <c r="AE167" i="3" s="1"/>
  <c r="AL167" i="3" s="1"/>
  <c r="AA167" i="3"/>
  <c r="AR164" i="3"/>
  <c r="AL166" i="3" l="1"/>
  <c r="AF166" i="3"/>
  <c r="AN166" i="3" s="1"/>
  <c r="AQ166" i="3"/>
  <c r="AC167" i="3"/>
  <c r="AF167" i="3" s="1"/>
  <c r="AN167" i="3" s="1"/>
  <c r="AA168" i="3"/>
  <c r="AC168" i="3" s="1"/>
  <c r="A169" i="3"/>
  <c r="W168" i="3"/>
  <c r="Y168" i="3" s="1"/>
  <c r="AE168" i="3" s="1"/>
  <c r="AL168" i="3" s="1"/>
  <c r="AQ167" i="3"/>
  <c r="AR165" i="3"/>
  <c r="A170" i="3" l="1"/>
  <c r="AA169" i="3"/>
  <c r="W169" i="3"/>
  <c r="Y169" i="3" s="1"/>
  <c r="AE169" i="3" s="1"/>
  <c r="AL169" i="3" s="1"/>
  <c r="AF168" i="3"/>
  <c r="AN168" i="3" s="1"/>
  <c r="AQ168" i="3"/>
  <c r="AO166" i="3"/>
  <c r="AR166" i="3"/>
  <c r="AC169" i="3" l="1"/>
  <c r="AF169" i="3" s="1"/>
  <c r="AN169" i="3" s="1"/>
  <c r="AI169" i="3" a="1"/>
  <c r="AI169" i="3" s="1"/>
  <c r="A171" i="3"/>
  <c r="AA170" i="3"/>
  <c r="W170" i="3"/>
  <c r="Y170" i="3" s="1"/>
  <c r="AE170" i="3" s="1"/>
  <c r="AL170" i="3" s="1"/>
  <c r="AQ169" i="3"/>
  <c r="AR167" i="3"/>
  <c r="AC170" i="3" l="1"/>
  <c r="AJ170" i="3" s="1"/>
  <c r="AI170" i="3" a="1"/>
  <c r="AI170" i="3" s="1"/>
  <c r="W171" i="3"/>
  <c r="Y171" i="3" s="1"/>
  <c r="AE171" i="3" s="1"/>
  <c r="AL171" i="3" s="1"/>
  <c r="A172" i="3"/>
  <c r="AA171" i="3"/>
  <c r="AF170" i="3"/>
  <c r="AN170" i="3" s="1"/>
  <c r="AQ170" i="3"/>
  <c r="AR168" i="3"/>
  <c r="AC171" i="3" l="1"/>
  <c r="AI171" i="3" a="1"/>
  <c r="AI171" i="3" s="1"/>
  <c r="AF171" i="3"/>
  <c r="AN171" i="3" s="1"/>
  <c r="AQ171" i="3"/>
  <c r="AA172" i="3"/>
  <c r="A173" i="3"/>
  <c r="W172" i="3"/>
  <c r="Y172" i="3" s="1"/>
  <c r="AE172" i="3" s="1"/>
  <c r="AL172" i="3" s="1"/>
  <c r="AR169" i="3"/>
  <c r="AC172" i="3" l="1"/>
  <c r="AF172" i="3" s="1"/>
  <c r="AN172" i="3" s="1"/>
  <c r="AI172" i="3" a="1"/>
  <c r="AI172" i="3" s="1"/>
  <c r="U173" i="3"/>
  <c r="AI173" i="3" a="1"/>
  <c r="AI173" i="3" s="1"/>
  <c r="A174" i="3"/>
  <c r="AA173" i="3"/>
  <c r="AC173" i="3" s="1"/>
  <c r="AJ173" i="3" s="1"/>
  <c r="W173" i="3"/>
  <c r="Y173" i="3" s="1"/>
  <c r="AQ172" i="3"/>
  <c r="AO170" i="3"/>
  <c r="AR170" i="3"/>
  <c r="AE173" i="3" l="1"/>
  <c r="U174" i="3"/>
  <c r="AI174" i="3" a="1"/>
  <c r="AI174" i="3" s="1"/>
  <c r="W174" i="3"/>
  <c r="Y174" i="3" s="1"/>
  <c r="AE174" i="3" s="1"/>
  <c r="AL174" i="3" s="1"/>
  <c r="A175" i="3"/>
  <c r="AA174" i="3"/>
  <c r="AC174" i="3" s="1"/>
  <c r="AJ174" i="3" s="1"/>
  <c r="AR171" i="3"/>
  <c r="AL173" i="3" l="1"/>
  <c r="AF173" i="3"/>
  <c r="AN173" i="3" s="1"/>
  <c r="AQ173" i="3"/>
  <c r="U175" i="3"/>
  <c r="AI175" i="3" a="1"/>
  <c r="AI175" i="3" s="1"/>
  <c r="AF174" i="3"/>
  <c r="AN174" i="3" s="1"/>
  <c r="AQ174" i="3"/>
  <c r="A176" i="3"/>
  <c r="AA175" i="3"/>
  <c r="AC175" i="3" s="1"/>
  <c r="AJ175" i="3" s="1"/>
  <c r="W175" i="3"/>
  <c r="Y175" i="3" s="1"/>
  <c r="AR172" i="3"/>
  <c r="AE175" i="3" l="1"/>
  <c r="A177" i="3"/>
  <c r="AA176" i="3"/>
  <c r="W176" i="3"/>
  <c r="Y176" i="3" s="1"/>
  <c r="AE176" i="3" s="1"/>
  <c r="AL176" i="3" s="1"/>
  <c r="AO173" i="3"/>
  <c r="AR173" i="3"/>
  <c r="AL175" i="3" l="1"/>
  <c r="AQ175" i="3" s="1"/>
  <c r="AF175" i="3"/>
  <c r="AN175" i="3" s="1"/>
  <c r="AC176" i="3"/>
  <c r="AF176" i="3" s="1"/>
  <c r="AN176" i="3" s="1"/>
  <c r="AI176" i="3" a="1"/>
  <c r="AI176" i="3" s="1"/>
  <c r="A178" i="3"/>
  <c r="AA177" i="3"/>
  <c r="W177" i="3"/>
  <c r="Y177" i="3" s="1"/>
  <c r="AE177" i="3" s="1"/>
  <c r="AL177" i="3" s="1"/>
  <c r="AQ176" i="3"/>
  <c r="AO174" i="3"/>
  <c r="AR174" i="3"/>
  <c r="AC177" i="3" l="1"/>
  <c r="AF177" i="3" s="1"/>
  <c r="AN177" i="3" s="1"/>
  <c r="AI177" i="3" a="1"/>
  <c r="AI177" i="3" s="1"/>
  <c r="A179" i="3"/>
  <c r="AA178" i="3"/>
  <c r="W178" i="3"/>
  <c r="Y178" i="3" s="1"/>
  <c r="AE178" i="3" s="1"/>
  <c r="AL178" i="3" s="1"/>
  <c r="AQ177" i="3"/>
  <c r="AO175" i="3"/>
  <c r="AR175" i="3"/>
  <c r="AC178" i="3" l="1"/>
  <c r="AF178" i="3" s="1"/>
  <c r="AN178" i="3" s="1"/>
  <c r="AI178" i="3" a="1"/>
  <c r="AI178" i="3" s="1"/>
  <c r="A180" i="3"/>
  <c r="AA179" i="3"/>
  <c r="W179" i="3"/>
  <c r="Y179" i="3" s="1"/>
  <c r="AE179" i="3" s="1"/>
  <c r="AL179" i="3" s="1"/>
  <c r="AQ178" i="3"/>
  <c r="AR176" i="3"/>
  <c r="AC179" i="3" l="1"/>
  <c r="AF179" i="3" s="1"/>
  <c r="AN179" i="3" s="1"/>
  <c r="AI179" i="3" a="1"/>
  <c r="AI179" i="3" s="1"/>
  <c r="U180" i="3"/>
  <c r="AI180" i="3" a="1"/>
  <c r="AI180" i="3" s="1"/>
  <c r="A181" i="3"/>
  <c r="W180" i="3"/>
  <c r="Y180" i="3" s="1"/>
  <c r="AE180" i="3" s="1"/>
  <c r="AL180" i="3" s="1"/>
  <c r="AA180" i="3"/>
  <c r="AC180" i="3" s="1"/>
  <c r="AJ180" i="3" s="1"/>
  <c r="AQ179" i="3"/>
  <c r="AR177" i="3"/>
  <c r="A182" i="3" l="1"/>
  <c r="W181" i="3"/>
  <c r="Y181" i="3" s="1"/>
  <c r="AE181" i="3" s="1"/>
  <c r="AL181" i="3" s="1"/>
  <c r="AA181" i="3"/>
  <c r="AF180" i="3"/>
  <c r="AN180" i="3" s="1"/>
  <c r="AQ180" i="3"/>
  <c r="AR178" i="3"/>
  <c r="AC181" i="3" l="1"/>
  <c r="AI181" i="3" a="1"/>
  <c r="AI181" i="3" s="1"/>
  <c r="A183" i="3"/>
  <c r="AA182" i="3"/>
  <c r="W182" i="3"/>
  <c r="Y182" i="3" s="1"/>
  <c r="AE182" i="3" s="1"/>
  <c r="AL182" i="3" s="1"/>
  <c r="AQ181" i="3"/>
  <c r="AR179" i="3"/>
  <c r="AJ181" i="3" l="1"/>
  <c r="AF181" i="3"/>
  <c r="AN181" i="3" s="1"/>
  <c r="AC182" i="3"/>
  <c r="AJ182" i="3" s="1"/>
  <c r="AI182" i="3" a="1"/>
  <c r="AI182" i="3" s="1"/>
  <c r="U183" i="3"/>
  <c r="AI183" i="3" a="1"/>
  <c r="AI183" i="3" s="1"/>
  <c r="A184" i="3"/>
  <c r="W183" i="3"/>
  <c r="Y183" i="3" s="1"/>
  <c r="AA183" i="3"/>
  <c r="AC183" i="3" s="1"/>
  <c r="AJ183" i="3" s="1"/>
  <c r="AF182" i="3"/>
  <c r="AN182" i="3" s="1"/>
  <c r="AQ182" i="3"/>
  <c r="AO180" i="3"/>
  <c r="AR180" i="3"/>
  <c r="AE183" i="3" l="1"/>
  <c r="U184" i="3"/>
  <c r="AI184" i="3" a="1"/>
  <c r="AI184" i="3" s="1"/>
  <c r="A185" i="3"/>
  <c r="AA184" i="3"/>
  <c r="AC184" i="3" s="1"/>
  <c r="AJ184" i="3" s="1"/>
  <c r="W184" i="3"/>
  <c r="Y184" i="3" s="1"/>
  <c r="AO181" i="3"/>
  <c r="AR181" i="3"/>
  <c r="AL183" i="3" l="1"/>
  <c r="AQ183" i="3" s="1"/>
  <c r="AF183" i="3"/>
  <c r="AN183" i="3" s="1"/>
  <c r="AE184" i="3"/>
  <c r="AA185" i="3"/>
  <c r="A186" i="3"/>
  <c r="W185" i="3"/>
  <c r="Y185" i="3" s="1"/>
  <c r="AE185" i="3" s="1"/>
  <c r="AL185" i="3" s="1"/>
  <c r="AO182" i="3"/>
  <c r="AR182" i="3"/>
  <c r="AL184" i="3" l="1"/>
  <c r="AQ184" i="3" s="1"/>
  <c r="AF184" i="3"/>
  <c r="AN184" i="3" s="1"/>
  <c r="AC185" i="3"/>
  <c r="AI185" i="3" a="1"/>
  <c r="AI185" i="3" s="1"/>
  <c r="U186" i="3"/>
  <c r="AI186" i="3" a="1"/>
  <c r="AI186" i="3" s="1"/>
  <c r="W186" i="3"/>
  <c r="Y186" i="3" s="1"/>
  <c r="AE186" i="3" s="1"/>
  <c r="AL186" i="3" s="1"/>
  <c r="A187" i="3"/>
  <c r="AA186" i="3"/>
  <c r="AC186" i="3" s="1"/>
  <c r="AJ186" i="3" s="1"/>
  <c r="AQ185" i="3"/>
  <c r="AO183" i="3"/>
  <c r="AR183" i="3"/>
  <c r="AJ185" i="3" l="1"/>
  <c r="AF185" i="3"/>
  <c r="AN185" i="3" s="1"/>
  <c r="AF186" i="3"/>
  <c r="AN186" i="3" s="1"/>
  <c r="AQ186" i="3"/>
  <c r="AA187" i="3"/>
  <c r="A188" i="3"/>
  <c r="W187" i="3"/>
  <c r="Y187" i="3" s="1"/>
  <c r="AE187" i="3" s="1"/>
  <c r="AL187" i="3" s="1"/>
  <c r="AO184" i="3"/>
  <c r="AR184" i="3"/>
  <c r="AC187" i="3" l="1"/>
  <c r="AI187" i="3" a="1"/>
  <c r="AI187" i="3" s="1"/>
  <c r="U188" i="3"/>
  <c r="AI188" i="3" a="1"/>
  <c r="AI188" i="3" s="1"/>
  <c r="A189" i="3"/>
  <c r="AA188" i="3"/>
  <c r="AC188" i="3" s="1"/>
  <c r="AJ188" i="3" s="1"/>
  <c r="W188" i="3"/>
  <c r="Y188" i="3" s="1"/>
  <c r="AE188" i="3" s="1"/>
  <c r="AL188" i="3" s="1"/>
  <c r="AF187" i="3"/>
  <c r="AN187" i="3" s="1"/>
  <c r="AQ187" i="3"/>
  <c r="AO185" i="3"/>
  <c r="AR185" i="3"/>
  <c r="A190" i="3" l="1"/>
  <c r="AA189" i="3"/>
  <c r="W189" i="3"/>
  <c r="Y189" i="3" s="1"/>
  <c r="AE189" i="3" s="1"/>
  <c r="AL189" i="3" s="1"/>
  <c r="AF188" i="3"/>
  <c r="AN188" i="3" s="1"/>
  <c r="AQ188" i="3"/>
  <c r="AO186" i="3"/>
  <c r="AR186" i="3"/>
  <c r="AC189" i="3" l="1"/>
  <c r="AF189" i="3" s="1"/>
  <c r="AN189" i="3" s="1"/>
  <c r="AI189" i="3" a="1"/>
  <c r="AI189" i="3" s="1"/>
  <c r="U190" i="3"/>
  <c r="AI190" i="3" a="1"/>
  <c r="AI190" i="3" s="1"/>
  <c r="A191" i="3"/>
  <c r="W190" i="3"/>
  <c r="Y190" i="3" s="1"/>
  <c r="AA190" i="3"/>
  <c r="AC190" i="3" s="1"/>
  <c r="AJ190" i="3" s="1"/>
  <c r="AQ189" i="3"/>
  <c r="AR187" i="3"/>
  <c r="AE190" i="3" l="1"/>
  <c r="U191" i="3"/>
  <c r="AI191" i="3" a="1"/>
  <c r="AI191" i="3" s="1"/>
  <c r="A192" i="3"/>
  <c r="AA191" i="3"/>
  <c r="AC191" i="3" s="1"/>
  <c r="AJ191" i="3" s="1"/>
  <c r="W191" i="3"/>
  <c r="Y191" i="3" s="1"/>
  <c r="AE191" i="3" s="1"/>
  <c r="AL191" i="3" s="1"/>
  <c r="AO188" i="3"/>
  <c r="AR188" i="3"/>
  <c r="AL190" i="3" l="1"/>
  <c r="AQ190" i="3" s="1"/>
  <c r="AF190" i="3"/>
  <c r="AN190" i="3" s="1"/>
  <c r="U192" i="3"/>
  <c r="AI192" i="3" a="1"/>
  <c r="AI192" i="3" s="1"/>
  <c r="A193" i="3"/>
  <c r="AA192" i="3"/>
  <c r="AC192" i="3" s="1"/>
  <c r="AJ192" i="3" s="1"/>
  <c r="W192" i="3"/>
  <c r="Y192" i="3" s="1"/>
  <c r="AF191" i="3"/>
  <c r="AN191" i="3" s="1"/>
  <c r="AQ191" i="3"/>
  <c r="AR189" i="3"/>
  <c r="AE192" i="3" l="1"/>
  <c r="A194" i="3"/>
  <c r="AA193" i="3"/>
  <c r="W193" i="3"/>
  <c r="Y193" i="3" s="1"/>
  <c r="AE193" i="3" s="1"/>
  <c r="AL193" i="3" s="1"/>
  <c r="AO190" i="3"/>
  <c r="AR190" i="3"/>
  <c r="AL192" i="3" l="1"/>
  <c r="AQ192" i="3" s="1"/>
  <c r="AF192" i="3"/>
  <c r="AN192" i="3" s="1"/>
  <c r="AC193" i="3"/>
  <c r="AI193" i="3" a="1"/>
  <c r="AI193" i="3" s="1"/>
  <c r="A195" i="3"/>
  <c r="AA194" i="3"/>
  <c r="W194" i="3"/>
  <c r="Y194" i="3" s="1"/>
  <c r="AE194" i="3" s="1"/>
  <c r="AL194" i="3" s="1"/>
  <c r="AF193" i="3"/>
  <c r="AN193" i="3" s="1"/>
  <c r="AQ193" i="3"/>
  <c r="AO191" i="3"/>
  <c r="AR191" i="3"/>
  <c r="AC194" i="3" l="1"/>
  <c r="AF194" i="3" s="1"/>
  <c r="AN194" i="3" s="1"/>
  <c r="AI194" i="3" a="1"/>
  <c r="AI194" i="3" s="1"/>
  <c r="W195" i="3"/>
  <c r="Y195" i="3" s="1"/>
  <c r="AE195" i="3" s="1"/>
  <c r="AL195" i="3" s="1"/>
  <c r="A196" i="3"/>
  <c r="AA195" i="3"/>
  <c r="AQ194" i="3"/>
  <c r="AO192" i="3"/>
  <c r="AR192" i="3"/>
  <c r="AC195" i="3" l="1"/>
  <c r="AF195" i="3" s="1"/>
  <c r="AN195" i="3" s="1"/>
  <c r="AI195" i="3" a="1"/>
  <c r="AI195" i="3" s="1"/>
  <c r="U196" i="3"/>
  <c r="AI196" i="3" a="1"/>
  <c r="AI196" i="3" s="1"/>
  <c r="AQ195" i="3"/>
  <c r="A197" i="3"/>
  <c r="AA196" i="3"/>
  <c r="AC196" i="3" s="1"/>
  <c r="AJ196" i="3" s="1"/>
  <c r="W196" i="3"/>
  <c r="Y196" i="3" s="1"/>
  <c r="AR193" i="3"/>
  <c r="AE196" i="3" l="1"/>
  <c r="U197" i="3"/>
  <c r="AI197" i="3" a="1"/>
  <c r="AI197" i="3" s="1"/>
  <c r="A198" i="3"/>
  <c r="AA197" i="3"/>
  <c r="AC197" i="3" s="1"/>
  <c r="AJ197" i="3" s="1"/>
  <c r="W197" i="3"/>
  <c r="Y197" i="3" s="1"/>
  <c r="AE197" i="3" s="1"/>
  <c r="AL197" i="3" s="1"/>
  <c r="AR194" i="3"/>
  <c r="AL196" i="3" l="1"/>
  <c r="AF196" i="3"/>
  <c r="AN196" i="3" s="1"/>
  <c r="AQ196" i="3"/>
  <c r="U198" i="3"/>
  <c r="AI198" i="3" a="1"/>
  <c r="AI198" i="3" s="1"/>
  <c r="A199" i="3"/>
  <c r="AA198" i="3"/>
  <c r="AC198" i="3" s="1"/>
  <c r="AJ198" i="3" s="1"/>
  <c r="W198" i="3"/>
  <c r="Y198" i="3" s="1"/>
  <c r="AE198" i="3" s="1"/>
  <c r="AL198" i="3" s="1"/>
  <c r="AF197" i="3"/>
  <c r="AN197" i="3" s="1"/>
  <c r="AQ197" i="3"/>
  <c r="AR195" i="3"/>
  <c r="U199" i="3" l="1"/>
  <c r="AI199" i="3" a="1"/>
  <c r="AI199" i="3" s="1"/>
  <c r="W199" i="3"/>
  <c r="Y199" i="3" s="1"/>
  <c r="AE199" i="3" s="1"/>
  <c r="AL199" i="3" s="1"/>
  <c r="A200" i="3"/>
  <c r="AA199" i="3"/>
  <c r="AC199" i="3" s="1"/>
  <c r="AJ199" i="3" s="1"/>
  <c r="AF198" i="3"/>
  <c r="AN198" i="3" s="1"/>
  <c r="AQ198" i="3"/>
  <c r="AO196" i="3"/>
  <c r="AR196" i="3"/>
  <c r="U200" i="3" l="1"/>
  <c r="AI200" i="3" a="1"/>
  <c r="AI200" i="3" s="1"/>
  <c r="AF199" i="3"/>
  <c r="AN199" i="3" s="1"/>
  <c r="AQ199" i="3"/>
  <c r="W200" i="3"/>
  <c r="Y200" i="3" s="1"/>
  <c r="AE200" i="3" s="1"/>
  <c r="AL200" i="3" s="1"/>
  <c r="AA200" i="3"/>
  <c r="AC200" i="3" s="1"/>
  <c r="AJ200" i="3" s="1"/>
  <c r="A201" i="3"/>
  <c r="AO197" i="3"/>
  <c r="AR197" i="3"/>
  <c r="U201" i="3" l="1"/>
  <c r="AI201" i="3" a="1"/>
  <c r="AI201" i="3" s="1"/>
  <c r="AF200" i="3"/>
  <c r="AN200" i="3" s="1"/>
  <c r="AQ200" i="3"/>
  <c r="W201" i="3"/>
  <c r="Y201" i="3" s="1"/>
  <c r="AE201" i="3" s="1"/>
  <c r="AL201" i="3" s="1"/>
  <c r="A202" i="3"/>
  <c r="AA201" i="3"/>
  <c r="AC201" i="3" s="1"/>
  <c r="AJ201" i="3" s="1"/>
  <c r="AO198" i="3"/>
  <c r="AR198" i="3"/>
  <c r="U202" i="3" l="1"/>
  <c r="AI202" i="3" a="1"/>
  <c r="AI202" i="3" s="1"/>
  <c r="AF201" i="3"/>
  <c r="AN201" i="3" s="1"/>
  <c r="AQ201" i="3"/>
  <c r="AA202" i="3"/>
  <c r="AC202" i="3" s="1"/>
  <c r="AJ202" i="3" s="1"/>
  <c r="W202" i="3"/>
  <c r="Y202" i="3" s="1"/>
  <c r="AE202" i="3" s="1"/>
  <c r="AL202" i="3" s="1"/>
  <c r="A203" i="3"/>
  <c r="AO199" i="3"/>
  <c r="AR199" i="3"/>
  <c r="AF202" i="3" l="1"/>
  <c r="AN202" i="3" s="1"/>
  <c r="AQ202" i="3"/>
  <c r="AA203" i="3"/>
  <c r="A204" i="3"/>
  <c r="W203" i="3"/>
  <c r="Y203" i="3" s="1"/>
  <c r="AE203" i="3" s="1"/>
  <c r="AL203" i="3" s="1"/>
  <c r="AO200" i="3"/>
  <c r="AR200" i="3"/>
  <c r="AC203" i="3" l="1"/>
  <c r="AI203" i="3" a="1"/>
  <c r="AI203" i="3" s="1"/>
  <c r="A205" i="3"/>
  <c r="AA204" i="3"/>
  <c r="W204" i="3"/>
  <c r="Y204" i="3" s="1"/>
  <c r="AE204" i="3" s="1"/>
  <c r="AL204" i="3" s="1"/>
  <c r="AQ203" i="3"/>
  <c r="AO201" i="3"/>
  <c r="AR201" i="3"/>
  <c r="AJ203" i="3" l="1"/>
  <c r="AF203" i="3"/>
  <c r="AN203" i="3" s="1"/>
  <c r="AC204" i="3"/>
  <c r="AI204" i="3" a="1"/>
  <c r="AI204" i="3" s="1"/>
  <c r="U205" i="3"/>
  <c r="AI205" i="3" a="1"/>
  <c r="AI205" i="3" s="1"/>
  <c r="A206" i="3"/>
  <c r="AA205" i="3"/>
  <c r="AC205" i="3" s="1"/>
  <c r="AJ205" i="3" s="1"/>
  <c r="W205" i="3"/>
  <c r="Y205" i="3" s="1"/>
  <c r="AQ204" i="3"/>
  <c r="AO202" i="3"/>
  <c r="AR202" i="3"/>
  <c r="AJ204" i="3" l="1"/>
  <c r="AF204" i="3"/>
  <c r="AN204" i="3" s="1"/>
  <c r="AE205" i="3"/>
  <c r="A207" i="3"/>
  <c r="AA206" i="3"/>
  <c r="W206" i="3"/>
  <c r="Y206" i="3" s="1"/>
  <c r="AE206" i="3" s="1"/>
  <c r="AL206" i="3" s="1"/>
  <c r="AO203" i="3"/>
  <c r="AR203" i="3"/>
  <c r="AL205" i="3" l="1"/>
  <c r="AF205" i="3"/>
  <c r="AN205" i="3" s="1"/>
  <c r="AQ205" i="3"/>
  <c r="AC206" i="3"/>
  <c r="AI206" i="3" a="1"/>
  <c r="AI206" i="3" s="1"/>
  <c r="U207" i="3"/>
  <c r="AI207" i="3" a="1"/>
  <c r="AI207" i="3" s="1"/>
  <c r="W207" i="3"/>
  <c r="Y207" i="3" s="1"/>
  <c r="AE207" i="3" s="1"/>
  <c r="AL207" i="3" s="1"/>
  <c r="A208" i="3"/>
  <c r="AA207" i="3"/>
  <c r="AC207" i="3" s="1"/>
  <c r="AJ207" i="3" s="1"/>
  <c r="AQ206" i="3"/>
  <c r="AO204" i="3"/>
  <c r="AR204" i="3"/>
  <c r="AJ206" i="3" l="1"/>
  <c r="AF206" i="3"/>
  <c r="AN206" i="3" s="1"/>
  <c r="AF207" i="3"/>
  <c r="AN207" i="3" s="1"/>
  <c r="AQ207" i="3"/>
  <c r="AA208" i="3"/>
  <c r="W208" i="3"/>
  <c r="Y208" i="3" s="1"/>
  <c r="AE208" i="3" s="1"/>
  <c r="AL208" i="3" s="1"/>
  <c r="A209" i="3"/>
  <c r="AO205" i="3"/>
  <c r="AR205" i="3"/>
  <c r="AC208" i="3" l="1"/>
  <c r="AI208" i="3" a="1"/>
  <c r="AI208" i="3" s="1"/>
  <c r="AQ208" i="3"/>
  <c r="A210" i="3"/>
  <c r="W209" i="3"/>
  <c r="Y209" i="3" s="1"/>
  <c r="AE209" i="3" s="1"/>
  <c r="AL209" i="3" s="1"/>
  <c r="AA209" i="3"/>
  <c r="AO206" i="3"/>
  <c r="AR206" i="3"/>
  <c r="AJ208" i="3" l="1"/>
  <c r="AF208" i="3"/>
  <c r="AN208" i="3" s="1"/>
  <c r="AC209" i="3"/>
  <c r="AI209" i="3" a="1"/>
  <c r="AI209" i="3" s="1"/>
  <c r="W210" i="3"/>
  <c r="Y210" i="3" s="1"/>
  <c r="AE210" i="3" s="1"/>
  <c r="AL210" i="3" s="1"/>
  <c r="A211" i="3"/>
  <c r="AA210" i="3"/>
  <c r="AQ209" i="3"/>
  <c r="AO207" i="3"/>
  <c r="AR207" i="3"/>
  <c r="AJ209" i="3" l="1"/>
  <c r="AF209" i="3"/>
  <c r="AN209" i="3" s="1"/>
  <c r="AC210" i="3"/>
  <c r="AI210" i="3" a="1"/>
  <c r="AI210" i="3" s="1"/>
  <c r="U211" i="3"/>
  <c r="AI211" i="3" a="1"/>
  <c r="AI211" i="3" s="1"/>
  <c r="AF210" i="3"/>
  <c r="AN210" i="3" s="1"/>
  <c r="AQ210" i="3"/>
  <c r="A212" i="3"/>
  <c r="AA211" i="3"/>
  <c r="AC211" i="3" s="1"/>
  <c r="AJ211" i="3" s="1"/>
  <c r="W211" i="3"/>
  <c r="Y211" i="3" s="1"/>
  <c r="AO208" i="3"/>
  <c r="AR208" i="3"/>
  <c r="AE211" i="3" l="1"/>
  <c r="A213" i="3"/>
  <c r="AA212" i="3"/>
  <c r="W212" i="3"/>
  <c r="Y212" i="3" s="1"/>
  <c r="AE212" i="3" s="1"/>
  <c r="AL212" i="3" s="1"/>
  <c r="AO209" i="3"/>
  <c r="AR209" i="3"/>
  <c r="AL211" i="3" l="1"/>
  <c r="AQ211" i="3" s="1"/>
  <c r="AF211" i="3"/>
  <c r="AN211" i="3" s="1"/>
  <c r="AC212" i="3"/>
  <c r="AI212" i="3" a="1"/>
  <c r="AI212" i="3" s="1"/>
  <c r="AA213" i="3"/>
  <c r="W213" i="3"/>
  <c r="Y213" i="3" s="1"/>
  <c r="AE213" i="3" s="1"/>
  <c r="AL213" i="3" s="1"/>
  <c r="A214" i="3"/>
  <c r="AQ212" i="3"/>
  <c r="AR210" i="3"/>
  <c r="AJ212" i="3" l="1"/>
  <c r="AF212" i="3"/>
  <c r="AN212" i="3" s="1"/>
  <c r="AC213" i="3"/>
  <c r="AI213" i="3" a="1"/>
  <c r="AI213" i="3" s="1"/>
  <c r="AQ213" i="3"/>
  <c r="W214" i="3"/>
  <c r="Y214" i="3" s="1"/>
  <c r="AE214" i="3" s="1"/>
  <c r="AL214" i="3" s="1"/>
  <c r="A215" i="3"/>
  <c r="AA214" i="3"/>
  <c r="AO211" i="3"/>
  <c r="AR211" i="3"/>
  <c r="AJ213" i="3" l="1"/>
  <c r="AF213" i="3"/>
  <c r="AN213" i="3" s="1"/>
  <c r="AC214" i="3"/>
  <c r="AJ214" i="3" s="1"/>
  <c r="AI214" i="3" a="1"/>
  <c r="AI214" i="3" s="1"/>
  <c r="AF214" i="3"/>
  <c r="AN214" i="3" s="1"/>
  <c r="AQ214" i="3"/>
  <c r="A216" i="3"/>
  <c r="W215" i="3"/>
  <c r="Y215" i="3" s="1"/>
  <c r="AE215" i="3" s="1"/>
  <c r="AL215" i="3" s="1"/>
  <c r="AA215" i="3"/>
  <c r="AO212" i="3"/>
  <c r="AR212" i="3"/>
  <c r="AC215" i="3" l="1"/>
  <c r="AI215" i="3" a="1"/>
  <c r="AI215" i="3" s="1"/>
  <c r="A217" i="3"/>
  <c r="AA216" i="3"/>
  <c r="W216" i="3"/>
  <c r="Y216" i="3" s="1"/>
  <c r="AE216" i="3" s="1"/>
  <c r="AL216" i="3" s="1"/>
  <c r="AQ215" i="3"/>
  <c r="AO213" i="3"/>
  <c r="AR213" i="3"/>
  <c r="AJ215" i="3" l="1"/>
  <c r="AF215" i="3"/>
  <c r="AN215" i="3" s="1"/>
  <c r="AC216" i="3"/>
  <c r="AI216" i="3" a="1"/>
  <c r="AI216" i="3" s="1"/>
  <c r="U217" i="3"/>
  <c r="AI217" i="3" a="1"/>
  <c r="AI217" i="3" s="1"/>
  <c r="AA217" i="3"/>
  <c r="AC217" i="3" s="1"/>
  <c r="AJ217" i="3" s="1"/>
  <c r="W217" i="3"/>
  <c r="Y217" i="3" s="1"/>
  <c r="A218" i="3"/>
  <c r="AQ216" i="3"/>
  <c r="AO214" i="3"/>
  <c r="AR214" i="3"/>
  <c r="AE217" i="3" l="1"/>
  <c r="AJ216" i="3"/>
  <c r="AF216" i="3"/>
  <c r="AN216" i="3" s="1"/>
  <c r="W218" i="3"/>
  <c r="Y218" i="3" s="1"/>
  <c r="AE218" i="3" s="1"/>
  <c r="AL218" i="3" s="1"/>
  <c r="A219" i="3"/>
  <c r="AA218" i="3"/>
  <c r="AO215" i="3"/>
  <c r="AR215" i="3"/>
  <c r="AL217" i="3" l="1"/>
  <c r="AF217" i="3"/>
  <c r="AN217" i="3" s="1"/>
  <c r="AQ217" i="3"/>
  <c r="AC218" i="3"/>
  <c r="AJ218" i="3" s="1"/>
  <c r="AI218" i="3" a="1"/>
  <c r="AI218" i="3" s="1"/>
  <c r="AF218" i="3"/>
  <c r="AN218" i="3" s="1"/>
  <c r="AQ218" i="3"/>
  <c r="W219" i="3"/>
  <c r="Y219" i="3" s="1"/>
  <c r="AE219" i="3" s="1"/>
  <c r="AL219" i="3" s="1"/>
  <c r="A220" i="3"/>
  <c r="AA219" i="3"/>
  <c r="AO216" i="3"/>
  <c r="AR216" i="3"/>
  <c r="AC219" i="3" l="1"/>
  <c r="AJ219" i="3" s="1"/>
  <c r="AI219" i="3" a="1"/>
  <c r="AI219" i="3" s="1"/>
  <c r="U220" i="3"/>
  <c r="AI220" i="3" a="1"/>
  <c r="AI220" i="3" s="1"/>
  <c r="AF219" i="3"/>
  <c r="AN219" i="3" s="1"/>
  <c r="AQ219" i="3"/>
  <c r="A221" i="3"/>
  <c r="AA220" i="3"/>
  <c r="AC220" i="3" s="1"/>
  <c r="AJ220" i="3" s="1"/>
  <c r="W220" i="3"/>
  <c r="Y220" i="3" s="1"/>
  <c r="AE220" i="3" s="1"/>
  <c r="AL220" i="3" s="1"/>
  <c r="AO217" i="3"/>
  <c r="AR217" i="3"/>
  <c r="U221" i="3" l="1"/>
  <c r="AI221" i="3" a="1"/>
  <c r="AI221" i="3" s="1"/>
  <c r="A222" i="3"/>
  <c r="AA221" i="3"/>
  <c r="AC221" i="3" s="1"/>
  <c r="AJ221" i="3" s="1"/>
  <c r="W221" i="3"/>
  <c r="Y221" i="3" s="1"/>
  <c r="AE221" i="3" s="1"/>
  <c r="AL221" i="3" s="1"/>
  <c r="AF220" i="3"/>
  <c r="AN220" i="3" s="1"/>
  <c r="AQ220" i="3"/>
  <c r="AO218" i="3"/>
  <c r="AR218" i="3"/>
  <c r="U222" i="3" l="1"/>
  <c r="AI222" i="3" a="1"/>
  <c r="AI222" i="3" s="1"/>
  <c r="A223" i="3"/>
  <c r="AA222" i="3"/>
  <c r="AC222" i="3" s="1"/>
  <c r="AJ222" i="3" s="1"/>
  <c r="W222" i="3"/>
  <c r="Y222" i="3" s="1"/>
  <c r="AE222" i="3" s="1"/>
  <c r="AL222" i="3" s="1"/>
  <c r="AF221" i="3"/>
  <c r="AN221" i="3" s="1"/>
  <c r="AQ221" i="3"/>
  <c r="AO219" i="3"/>
  <c r="AR219" i="3"/>
  <c r="U223" i="3" l="1"/>
  <c r="AI223" i="3" a="1"/>
  <c r="AI223" i="3" s="1"/>
  <c r="A224" i="3"/>
  <c r="AA223" i="3"/>
  <c r="AC223" i="3" s="1"/>
  <c r="AJ223" i="3" s="1"/>
  <c r="W223" i="3"/>
  <c r="Y223" i="3" s="1"/>
  <c r="AE223" i="3" s="1"/>
  <c r="AL223" i="3" s="1"/>
  <c r="AF222" i="3"/>
  <c r="AN222" i="3" s="1"/>
  <c r="AQ222" i="3"/>
  <c r="AO220" i="3"/>
  <c r="AR220" i="3"/>
  <c r="U224" i="3" l="1"/>
  <c r="AI224" i="3" a="1"/>
  <c r="AI224" i="3" s="1"/>
  <c r="AA224" i="3"/>
  <c r="AC224" i="3" s="1"/>
  <c r="AJ224" i="3" s="1"/>
  <c r="A225" i="3"/>
  <c r="W224" i="3"/>
  <c r="Y224" i="3" s="1"/>
  <c r="AE224" i="3" s="1"/>
  <c r="AL224" i="3" s="1"/>
  <c r="AF223" i="3"/>
  <c r="AN223" i="3" s="1"/>
  <c r="AQ223" i="3"/>
  <c r="AO221" i="3"/>
  <c r="AR221" i="3"/>
  <c r="U225" i="3" l="1"/>
  <c r="AI225" i="3" a="1"/>
  <c r="AI225" i="3" s="1"/>
  <c r="A226" i="3"/>
  <c r="AA225" i="3"/>
  <c r="AC225" i="3" s="1"/>
  <c r="AJ225" i="3" s="1"/>
  <c r="W225" i="3"/>
  <c r="Y225" i="3" s="1"/>
  <c r="AE225" i="3" s="1"/>
  <c r="AL225" i="3" s="1"/>
  <c r="AF224" i="3"/>
  <c r="AN224" i="3" s="1"/>
  <c r="AQ224" i="3"/>
  <c r="AO222" i="3"/>
  <c r="AR222" i="3"/>
  <c r="A227" i="3" l="1"/>
  <c r="AA226" i="3"/>
  <c r="W226" i="3"/>
  <c r="Y226" i="3" s="1"/>
  <c r="AE226" i="3" s="1"/>
  <c r="AL226" i="3" s="1"/>
  <c r="AF225" i="3"/>
  <c r="AN225" i="3" s="1"/>
  <c r="AQ225" i="3"/>
  <c r="AO223" i="3"/>
  <c r="AR223" i="3"/>
  <c r="AC226" i="3" l="1"/>
  <c r="AJ226" i="3" s="1"/>
  <c r="AI226" i="3" a="1"/>
  <c r="AI226" i="3" s="1"/>
  <c r="U227" i="3"/>
  <c r="AI227" i="3" a="1"/>
  <c r="AI227" i="3" s="1"/>
  <c r="A228" i="3"/>
  <c r="AA227" i="3"/>
  <c r="AC227" i="3" s="1"/>
  <c r="AJ227" i="3" s="1"/>
  <c r="W227" i="3"/>
  <c r="Y227" i="3" s="1"/>
  <c r="AE227" i="3" s="1"/>
  <c r="AL227" i="3" s="1"/>
  <c r="AF226" i="3"/>
  <c r="AN226" i="3" s="1"/>
  <c r="AQ226" i="3"/>
  <c r="AO224" i="3"/>
  <c r="AR224" i="3"/>
  <c r="U228" i="3" l="1"/>
  <c r="AI228" i="3" a="1"/>
  <c r="AI228" i="3" s="1"/>
  <c r="A229" i="3"/>
  <c r="AA228" i="3"/>
  <c r="AC228" i="3" s="1"/>
  <c r="AJ228" i="3" s="1"/>
  <c r="W228" i="3"/>
  <c r="Y228" i="3" s="1"/>
  <c r="AE228" i="3" s="1"/>
  <c r="AL228" i="3" s="1"/>
  <c r="AF227" i="3"/>
  <c r="AN227" i="3" s="1"/>
  <c r="AQ227" i="3"/>
  <c r="AO225" i="3"/>
  <c r="AR225" i="3"/>
  <c r="A230" i="3" l="1"/>
  <c r="AA229" i="3"/>
  <c r="W229" i="3"/>
  <c r="Y229" i="3" s="1"/>
  <c r="AE229" i="3" s="1"/>
  <c r="AL229" i="3" s="1"/>
  <c r="AF228" i="3"/>
  <c r="AN228" i="3" s="1"/>
  <c r="AQ228" i="3"/>
  <c r="AO226" i="3"/>
  <c r="AR226" i="3"/>
  <c r="AC229" i="3" l="1"/>
  <c r="AJ229" i="3" s="1"/>
  <c r="AI229" i="3" a="1"/>
  <c r="AI229" i="3" s="1"/>
  <c r="U230" i="3"/>
  <c r="AI230" i="3" a="1"/>
  <c r="AI230" i="3" s="1"/>
  <c r="AA230" i="3"/>
  <c r="AC230" i="3" s="1"/>
  <c r="AJ230" i="3" s="1"/>
  <c r="A231" i="3"/>
  <c r="W230" i="3"/>
  <c r="Y230" i="3" s="1"/>
  <c r="AE230" i="3" s="1"/>
  <c r="AL230" i="3" s="1"/>
  <c r="AF229" i="3"/>
  <c r="AN229" i="3" s="1"/>
  <c r="AQ229" i="3"/>
  <c r="AO227" i="3"/>
  <c r="AR227" i="3"/>
  <c r="U231" i="3" l="1"/>
  <c r="AI231" i="3" a="1"/>
  <c r="AI231" i="3" s="1"/>
  <c r="A232" i="3"/>
  <c r="AA231" i="3"/>
  <c r="AC231" i="3" s="1"/>
  <c r="AJ231" i="3" s="1"/>
  <c r="W231" i="3"/>
  <c r="Y231" i="3" s="1"/>
  <c r="AE231" i="3" s="1"/>
  <c r="AL231" i="3" s="1"/>
  <c r="AF230" i="3"/>
  <c r="AN230" i="3" s="1"/>
  <c r="AQ230" i="3"/>
  <c r="AO228" i="3"/>
  <c r="AR228" i="3"/>
  <c r="U232" i="3" l="1"/>
  <c r="AI232" i="3" a="1"/>
  <c r="AI232" i="3" s="1"/>
  <c r="AA232" i="3"/>
  <c r="AC232" i="3" s="1"/>
  <c r="AJ232" i="3" s="1"/>
  <c r="A233" i="3"/>
  <c r="W232" i="3"/>
  <c r="Y232" i="3" s="1"/>
  <c r="AE232" i="3" s="1"/>
  <c r="AL232" i="3" s="1"/>
  <c r="AF231" i="3"/>
  <c r="AN231" i="3" s="1"/>
  <c r="AQ231" i="3"/>
  <c r="AO229" i="3"/>
  <c r="AR229" i="3"/>
  <c r="U233" i="3" l="1"/>
  <c r="AI233" i="3" a="1"/>
  <c r="AI233" i="3" s="1"/>
  <c r="A234" i="3"/>
  <c r="AA233" i="3"/>
  <c r="AC233" i="3" s="1"/>
  <c r="AJ233" i="3" s="1"/>
  <c r="W233" i="3"/>
  <c r="Y233" i="3" s="1"/>
  <c r="AE233" i="3" s="1"/>
  <c r="AL233" i="3" s="1"/>
  <c r="AF232" i="3"/>
  <c r="AN232" i="3" s="1"/>
  <c r="AQ232" i="3"/>
  <c r="AO230" i="3"/>
  <c r="AR230" i="3"/>
  <c r="U234" i="3" l="1"/>
  <c r="AI234" i="3" a="1"/>
  <c r="AI234" i="3" s="1"/>
  <c r="A235" i="3"/>
  <c r="AA234" i="3"/>
  <c r="AC234" i="3" s="1"/>
  <c r="AJ234" i="3" s="1"/>
  <c r="W234" i="3"/>
  <c r="Y234" i="3" s="1"/>
  <c r="AE234" i="3" s="1"/>
  <c r="AL234" i="3" s="1"/>
  <c r="AF233" i="3"/>
  <c r="AN233" i="3" s="1"/>
  <c r="AQ233" i="3"/>
  <c r="AO231" i="3"/>
  <c r="AR231" i="3"/>
  <c r="U235" i="3" l="1"/>
  <c r="AI235" i="3" a="1"/>
  <c r="AI235" i="3" s="1"/>
  <c r="W235" i="3"/>
  <c r="Y235" i="3" s="1"/>
  <c r="AE235" i="3" s="1"/>
  <c r="AL235" i="3" s="1"/>
  <c r="A236" i="3"/>
  <c r="AA235" i="3"/>
  <c r="AC235" i="3" s="1"/>
  <c r="AJ235" i="3" s="1"/>
  <c r="AF234" i="3"/>
  <c r="AN234" i="3" s="1"/>
  <c r="AQ234" i="3"/>
  <c r="AO232" i="3"/>
  <c r="AR232" i="3"/>
  <c r="AF235" i="3" l="1"/>
  <c r="AN235" i="3" s="1"/>
  <c r="AQ235" i="3"/>
  <c r="A237" i="3"/>
  <c r="AA236" i="3"/>
  <c r="W236" i="3"/>
  <c r="Y236" i="3" s="1"/>
  <c r="AE236" i="3" s="1"/>
  <c r="AL236" i="3" s="1"/>
  <c r="AO233" i="3"/>
  <c r="AR233" i="3"/>
  <c r="AC236" i="3" l="1"/>
  <c r="AF236" i="3" s="1"/>
  <c r="AN236" i="3" s="1"/>
  <c r="AI236" i="3" a="1"/>
  <c r="AI236" i="3" s="1"/>
  <c r="U237" i="3"/>
  <c r="AI237" i="3" a="1"/>
  <c r="AI237" i="3" s="1"/>
  <c r="A238" i="3"/>
  <c r="AA237" i="3"/>
  <c r="AC237" i="3" s="1"/>
  <c r="AJ237" i="3" s="1"/>
  <c r="W237" i="3"/>
  <c r="Y237" i="3" s="1"/>
  <c r="AE237" i="3" s="1"/>
  <c r="AL237" i="3" s="1"/>
  <c r="AQ236" i="3"/>
  <c r="AO234" i="3"/>
  <c r="AR234" i="3"/>
  <c r="U238" i="3" l="1"/>
  <c r="AI238" i="3" a="1"/>
  <c r="AI238" i="3" s="1"/>
  <c r="A239" i="3"/>
  <c r="AA238" i="3"/>
  <c r="AC238" i="3" s="1"/>
  <c r="AJ238" i="3" s="1"/>
  <c r="W238" i="3"/>
  <c r="Y238" i="3" s="1"/>
  <c r="AE238" i="3" s="1"/>
  <c r="AL238" i="3" s="1"/>
  <c r="AF237" i="3"/>
  <c r="AN237" i="3" s="1"/>
  <c r="AQ237" i="3"/>
  <c r="AO235" i="3"/>
  <c r="AR235" i="3"/>
  <c r="U239" i="3" l="1"/>
  <c r="AI239" i="3" a="1"/>
  <c r="AI239" i="3" s="1"/>
  <c r="A240" i="3"/>
  <c r="AA239" i="3"/>
  <c r="AC239" i="3" s="1"/>
  <c r="AJ239" i="3" s="1"/>
  <c r="W239" i="3"/>
  <c r="Y239" i="3" s="1"/>
  <c r="AF238" i="3"/>
  <c r="AN238" i="3" s="1"/>
  <c r="AQ238" i="3"/>
  <c r="AR236" i="3"/>
  <c r="AE239" i="3" l="1"/>
  <c r="U240" i="3"/>
  <c r="AI240" i="3" a="1"/>
  <c r="AI240" i="3" s="1"/>
  <c r="W240" i="3"/>
  <c r="Y240" i="3" s="1"/>
  <c r="AE240" i="3" s="1"/>
  <c r="AL240" i="3" s="1"/>
  <c r="A241" i="3"/>
  <c r="AA240" i="3"/>
  <c r="AC240" i="3" s="1"/>
  <c r="AJ240" i="3" s="1"/>
  <c r="AO237" i="3"/>
  <c r="AR237" i="3"/>
  <c r="AL239" i="3" l="1"/>
  <c r="AQ239" i="3" s="1"/>
  <c r="AF239" i="3"/>
  <c r="AN239" i="3" s="1"/>
  <c r="AF240" i="3"/>
  <c r="AN240" i="3" s="1"/>
  <c r="AQ240" i="3"/>
  <c r="W241" i="3"/>
  <c r="Y241" i="3" s="1"/>
  <c r="AE241" i="3" s="1"/>
  <c r="AL241" i="3" s="1"/>
  <c r="A242" i="3"/>
  <c r="AA241" i="3"/>
  <c r="AO238" i="3"/>
  <c r="AR238" i="3"/>
  <c r="AC241" i="3" l="1"/>
  <c r="AF241" i="3" s="1"/>
  <c r="AN241" i="3" s="1"/>
  <c r="AI241" i="3" a="1"/>
  <c r="AI241" i="3" s="1"/>
  <c r="AQ241" i="3"/>
  <c r="A243" i="3"/>
  <c r="AA242" i="3"/>
  <c r="W242" i="3"/>
  <c r="Y242" i="3" s="1"/>
  <c r="AE242" i="3" s="1"/>
  <c r="AL242" i="3" s="1"/>
  <c r="AO239" i="3"/>
  <c r="AR239" i="3"/>
  <c r="AC242" i="3" l="1"/>
  <c r="AF242" i="3" s="1"/>
  <c r="AN242" i="3" s="1"/>
  <c r="AI242" i="3" a="1"/>
  <c r="AI242" i="3" s="1"/>
  <c r="U243" i="3"/>
  <c r="AI243" i="3" a="1"/>
  <c r="AI243" i="3" s="1"/>
  <c r="A244" i="3"/>
  <c r="W243" i="3"/>
  <c r="Y243" i="3" s="1"/>
  <c r="AA243" i="3"/>
  <c r="AC243" i="3" s="1"/>
  <c r="AJ243" i="3" s="1"/>
  <c r="AQ242" i="3"/>
  <c r="AO240" i="3"/>
  <c r="AR240" i="3"/>
  <c r="AE243" i="3" l="1"/>
  <c r="U244" i="3"/>
  <c r="AI244" i="3" a="1"/>
  <c r="AI244" i="3" s="1"/>
  <c r="A245" i="3"/>
  <c r="AA244" i="3"/>
  <c r="AC244" i="3" s="1"/>
  <c r="AJ244" i="3" s="1"/>
  <c r="W244" i="3"/>
  <c r="Y244" i="3" s="1"/>
  <c r="AE244" i="3" s="1"/>
  <c r="AL244" i="3" s="1"/>
  <c r="AR241" i="3"/>
  <c r="AL243" i="3" l="1"/>
  <c r="AF243" i="3"/>
  <c r="AN243" i="3" s="1"/>
  <c r="AQ243" i="3"/>
  <c r="U245" i="3"/>
  <c r="AI245" i="3" a="1"/>
  <c r="AI245" i="3" s="1"/>
  <c r="A246" i="3"/>
  <c r="AA245" i="3"/>
  <c r="AC245" i="3" s="1"/>
  <c r="AJ245" i="3" s="1"/>
  <c r="W245" i="3"/>
  <c r="Y245" i="3" s="1"/>
  <c r="AE245" i="3" s="1"/>
  <c r="AL245" i="3" s="1"/>
  <c r="AF244" i="3"/>
  <c r="AN244" i="3" s="1"/>
  <c r="AQ244" i="3"/>
  <c r="AR242" i="3"/>
  <c r="U246" i="3" l="1"/>
  <c r="AI246" i="3" a="1"/>
  <c r="AI246" i="3" s="1"/>
  <c r="A247" i="3"/>
  <c r="AA246" i="3"/>
  <c r="AC246" i="3" s="1"/>
  <c r="AJ246" i="3" s="1"/>
  <c r="W246" i="3"/>
  <c r="Y246" i="3" s="1"/>
  <c r="AE246" i="3" s="1"/>
  <c r="AL246" i="3" s="1"/>
  <c r="AF245" i="3"/>
  <c r="AN245" i="3" s="1"/>
  <c r="AQ245" i="3"/>
  <c r="AO243" i="3"/>
  <c r="AR243" i="3"/>
  <c r="U247" i="3" l="1"/>
  <c r="AI247" i="3" a="1"/>
  <c r="AI247" i="3" s="1"/>
  <c r="A248" i="3"/>
  <c r="AA247" i="3"/>
  <c r="AC247" i="3" s="1"/>
  <c r="AJ247" i="3" s="1"/>
  <c r="W247" i="3"/>
  <c r="Y247" i="3" s="1"/>
  <c r="AE247" i="3" s="1"/>
  <c r="AL247" i="3" s="1"/>
  <c r="AF246" i="3"/>
  <c r="AN246" i="3" s="1"/>
  <c r="AQ246" i="3"/>
  <c r="AO244" i="3"/>
  <c r="AR244" i="3"/>
  <c r="U248" i="3" l="1"/>
  <c r="AI248" i="3" a="1"/>
  <c r="AI248" i="3" s="1"/>
  <c r="A249" i="3"/>
  <c r="AA248" i="3"/>
  <c r="AC248" i="3" s="1"/>
  <c r="AJ248" i="3" s="1"/>
  <c r="W248" i="3"/>
  <c r="Y248" i="3" s="1"/>
  <c r="AE248" i="3" s="1"/>
  <c r="AL248" i="3" s="1"/>
  <c r="AF247" i="3"/>
  <c r="AN247" i="3" s="1"/>
  <c r="AQ247" i="3"/>
  <c r="AO245" i="3"/>
  <c r="AR245" i="3"/>
  <c r="U249" i="3" l="1"/>
  <c r="AI249" i="3" a="1"/>
  <c r="AI249" i="3" s="1"/>
  <c r="A250" i="3"/>
  <c r="AA249" i="3"/>
  <c r="AC249" i="3" s="1"/>
  <c r="AJ249" i="3" s="1"/>
  <c r="W249" i="3"/>
  <c r="Y249" i="3" s="1"/>
  <c r="AF248" i="3"/>
  <c r="AN248" i="3" s="1"/>
  <c r="AQ248" i="3"/>
  <c r="AO246" i="3"/>
  <c r="AR246" i="3"/>
  <c r="AE249" i="3" l="1"/>
  <c r="U250" i="3"/>
  <c r="AI250" i="3" a="1"/>
  <c r="AI250" i="3" s="1"/>
  <c r="A251" i="3"/>
  <c r="W250" i="3"/>
  <c r="Y250" i="3" s="1"/>
  <c r="AE250" i="3" s="1"/>
  <c r="AL250" i="3" s="1"/>
  <c r="AA250" i="3"/>
  <c r="AC250" i="3" s="1"/>
  <c r="AJ250" i="3" s="1"/>
  <c r="AF249" i="3"/>
  <c r="AN249" i="3" s="1"/>
  <c r="AO247" i="3"/>
  <c r="AR247" i="3"/>
  <c r="AL249" i="3" l="1"/>
  <c r="AQ249" i="3"/>
  <c r="U251" i="3"/>
  <c r="AI251" i="3" a="1"/>
  <c r="AI251" i="3" s="1"/>
  <c r="A252" i="3"/>
  <c r="AA251" i="3"/>
  <c r="AC251" i="3" s="1"/>
  <c r="AJ251" i="3" s="1"/>
  <c r="W251" i="3"/>
  <c r="Y251" i="3" s="1"/>
  <c r="AE251" i="3" s="1"/>
  <c r="AL251" i="3" s="1"/>
  <c r="AF250" i="3"/>
  <c r="AN250" i="3" s="1"/>
  <c r="AQ250" i="3"/>
  <c r="AO248" i="3"/>
  <c r="AR248" i="3"/>
  <c r="U252" i="3" l="1"/>
  <c r="AI252" i="3" a="1"/>
  <c r="AI252" i="3" s="1"/>
  <c r="A253" i="3"/>
  <c r="AA252" i="3"/>
  <c r="AC252" i="3" s="1"/>
  <c r="AJ252" i="3" s="1"/>
  <c r="W252" i="3"/>
  <c r="Y252" i="3" s="1"/>
  <c r="AE252" i="3" s="1"/>
  <c r="AL252" i="3" s="1"/>
  <c r="AF251" i="3"/>
  <c r="AN251" i="3" s="1"/>
  <c r="AQ251" i="3"/>
  <c r="AO249" i="3"/>
  <c r="AR249" i="3"/>
  <c r="U253" i="3" l="1"/>
  <c r="AI253" i="3" a="1"/>
  <c r="AI253" i="3" s="1"/>
  <c r="A254" i="3"/>
  <c r="AA253" i="3"/>
  <c r="AC253" i="3" s="1"/>
  <c r="AJ253" i="3" s="1"/>
  <c r="W253" i="3"/>
  <c r="Y253" i="3" s="1"/>
  <c r="AE253" i="3" s="1"/>
  <c r="AL253" i="3" s="1"/>
  <c r="AF252" i="3"/>
  <c r="AN252" i="3" s="1"/>
  <c r="AQ252" i="3"/>
  <c r="AO250" i="3"/>
  <c r="AR250" i="3"/>
  <c r="U254" i="3" l="1"/>
  <c r="AI254" i="3" a="1"/>
  <c r="AI254" i="3" s="1"/>
  <c r="AA254" i="3"/>
  <c r="AC254" i="3" s="1"/>
  <c r="AJ254" i="3" s="1"/>
  <c r="A255" i="3"/>
  <c r="W254" i="3"/>
  <c r="Y254" i="3" s="1"/>
  <c r="AE254" i="3" s="1"/>
  <c r="AL254" i="3" s="1"/>
  <c r="AF253" i="3"/>
  <c r="AN253" i="3" s="1"/>
  <c r="AQ253" i="3"/>
  <c r="AO251" i="3"/>
  <c r="AR251" i="3"/>
  <c r="U255" i="3" l="1"/>
  <c r="AI255" i="3" a="1"/>
  <c r="AI255" i="3" s="1"/>
  <c r="A256" i="3"/>
  <c r="AA255" i="3"/>
  <c r="AC255" i="3" s="1"/>
  <c r="AJ255" i="3" s="1"/>
  <c r="W255" i="3"/>
  <c r="Y255" i="3" s="1"/>
  <c r="AE255" i="3" s="1"/>
  <c r="AL255" i="3" s="1"/>
  <c r="AF254" i="3"/>
  <c r="AN254" i="3" s="1"/>
  <c r="AQ254" i="3"/>
  <c r="AO252" i="3"/>
  <c r="AR252" i="3"/>
  <c r="U256" i="3" l="1"/>
  <c r="AI256" i="3" a="1"/>
  <c r="AI256" i="3" s="1"/>
  <c r="AA256" i="3"/>
  <c r="AC256" i="3" s="1"/>
  <c r="AJ256" i="3" s="1"/>
  <c r="A257" i="3"/>
  <c r="W256" i="3"/>
  <c r="Y256" i="3" s="1"/>
  <c r="AE256" i="3" s="1"/>
  <c r="AL256" i="3" s="1"/>
  <c r="AF255" i="3"/>
  <c r="AN255" i="3" s="1"/>
  <c r="AQ255" i="3"/>
  <c r="AO253" i="3"/>
  <c r="AR253" i="3"/>
  <c r="U257" i="3" l="1"/>
  <c r="AI257" i="3" a="1"/>
  <c r="AI257" i="3" s="1"/>
  <c r="A258" i="3"/>
  <c r="AA257" i="3"/>
  <c r="AC257" i="3" s="1"/>
  <c r="AJ257" i="3" s="1"/>
  <c r="W257" i="3"/>
  <c r="Y257" i="3" s="1"/>
  <c r="AE257" i="3" s="1"/>
  <c r="AL257" i="3" s="1"/>
  <c r="AF256" i="3"/>
  <c r="AN256" i="3" s="1"/>
  <c r="AQ256" i="3"/>
  <c r="AO254" i="3"/>
  <c r="AR254" i="3"/>
  <c r="U258" i="3" l="1"/>
  <c r="AI258" i="3" a="1"/>
  <c r="AI258" i="3" s="1"/>
  <c r="A259" i="3"/>
  <c r="AA258" i="3"/>
  <c r="AC258" i="3" s="1"/>
  <c r="AJ258" i="3" s="1"/>
  <c r="W258" i="3"/>
  <c r="Y258" i="3" s="1"/>
  <c r="AE258" i="3" s="1"/>
  <c r="AL258" i="3" s="1"/>
  <c r="AF257" i="3"/>
  <c r="AN257" i="3" s="1"/>
  <c r="AQ257" i="3"/>
  <c r="AO255" i="3"/>
  <c r="AR255" i="3"/>
  <c r="U259" i="3" l="1"/>
  <c r="AI259" i="3" a="1"/>
  <c r="AI259" i="3" s="1"/>
  <c r="W259" i="3"/>
  <c r="Y259" i="3" s="1"/>
  <c r="AE259" i="3" s="1"/>
  <c r="AL259" i="3" s="1"/>
  <c r="A260" i="3"/>
  <c r="AA259" i="3"/>
  <c r="AC259" i="3" s="1"/>
  <c r="AJ259" i="3" s="1"/>
  <c r="AF258" i="3"/>
  <c r="AN258" i="3" s="1"/>
  <c r="AQ258" i="3"/>
  <c r="AO256" i="3"/>
  <c r="AR256" i="3"/>
  <c r="U260" i="3" l="1"/>
  <c r="AI260" i="3" a="1"/>
  <c r="AI260" i="3" s="1"/>
  <c r="AF259" i="3"/>
  <c r="AN259" i="3" s="1"/>
  <c r="AQ259" i="3"/>
  <c r="AA260" i="3"/>
  <c r="AC260" i="3" s="1"/>
  <c r="AJ260" i="3" s="1"/>
  <c r="A261" i="3"/>
  <c r="W260" i="3"/>
  <c r="Y260" i="3" s="1"/>
  <c r="AE260" i="3" s="1"/>
  <c r="AL260" i="3" s="1"/>
  <c r="AO257" i="3"/>
  <c r="AR257" i="3"/>
  <c r="U261" i="3" l="1"/>
  <c r="AI261" i="3" a="1"/>
  <c r="AI261" i="3" s="1"/>
  <c r="A262" i="3"/>
  <c r="AA261" i="3"/>
  <c r="AC261" i="3" s="1"/>
  <c r="AJ261" i="3" s="1"/>
  <c r="W261" i="3"/>
  <c r="Y261" i="3" s="1"/>
  <c r="AE261" i="3" s="1"/>
  <c r="AL261" i="3" s="1"/>
  <c r="AF260" i="3"/>
  <c r="AN260" i="3" s="1"/>
  <c r="AQ260" i="3"/>
  <c r="AO258" i="3"/>
  <c r="AR258" i="3"/>
  <c r="A263" i="3" l="1"/>
  <c r="W262" i="3"/>
  <c r="Y262" i="3" s="1"/>
  <c r="AE262" i="3" s="1"/>
  <c r="AL262" i="3" s="1"/>
  <c r="AA262" i="3"/>
  <c r="AF261" i="3"/>
  <c r="AN261" i="3" s="1"/>
  <c r="AQ261" i="3"/>
  <c r="AO259" i="3"/>
  <c r="AR259" i="3"/>
  <c r="AC262" i="3" l="1"/>
  <c r="AJ262" i="3" s="1"/>
  <c r="AI262" i="3" a="1"/>
  <c r="AI262" i="3" s="1"/>
  <c r="U263" i="3"/>
  <c r="AI263" i="3" a="1"/>
  <c r="AI263" i="3" s="1"/>
  <c r="A264" i="3"/>
  <c r="AA263" i="3"/>
  <c r="AC263" i="3" s="1"/>
  <c r="AJ263" i="3" s="1"/>
  <c r="W263" i="3"/>
  <c r="Y263" i="3" s="1"/>
  <c r="AE263" i="3" s="1"/>
  <c r="AL263" i="3" s="1"/>
  <c r="AF262" i="3"/>
  <c r="AN262" i="3" s="1"/>
  <c r="AQ262" i="3"/>
  <c r="AO260" i="3"/>
  <c r="AR260" i="3"/>
  <c r="U264" i="3" l="1"/>
  <c r="AI264" i="3" a="1"/>
  <c r="AI264" i="3" s="1"/>
  <c r="A265" i="3"/>
  <c r="AA264" i="3"/>
  <c r="AC264" i="3" s="1"/>
  <c r="AJ264" i="3" s="1"/>
  <c r="W264" i="3"/>
  <c r="Y264" i="3" s="1"/>
  <c r="AE264" i="3" s="1"/>
  <c r="AL264" i="3" s="1"/>
  <c r="AF263" i="3"/>
  <c r="AN263" i="3" s="1"/>
  <c r="AQ263" i="3"/>
  <c r="AO261" i="3"/>
  <c r="AR261" i="3"/>
  <c r="U265" i="3" l="1"/>
  <c r="AI265" i="3" a="1"/>
  <c r="AI265" i="3" s="1"/>
  <c r="AA265" i="3"/>
  <c r="AC265" i="3" s="1"/>
  <c r="AJ265" i="3" s="1"/>
  <c r="W265" i="3"/>
  <c r="Y265" i="3" s="1"/>
  <c r="AE265" i="3" s="1"/>
  <c r="AL265" i="3" s="1"/>
  <c r="A266" i="3"/>
  <c r="AF264" i="3"/>
  <c r="AN264" i="3" s="1"/>
  <c r="AQ264" i="3"/>
  <c r="AO262" i="3"/>
  <c r="AR262" i="3"/>
  <c r="AF265" i="3" l="1"/>
  <c r="AN265" i="3" s="1"/>
  <c r="AQ265" i="3"/>
  <c r="A267" i="3"/>
  <c r="AA266" i="3"/>
  <c r="W266" i="3"/>
  <c r="Y266" i="3" s="1"/>
  <c r="AE266" i="3" s="1"/>
  <c r="AL266" i="3" s="1"/>
  <c r="AO263" i="3"/>
  <c r="AR263" i="3"/>
  <c r="AC266" i="3" l="1"/>
  <c r="AI266" i="3" a="1"/>
  <c r="AI266" i="3" s="1"/>
  <c r="U267" i="3"/>
  <c r="AI267" i="3" a="1"/>
  <c r="AI267" i="3" s="1"/>
  <c r="AA267" i="3"/>
  <c r="AC267" i="3" s="1"/>
  <c r="AJ267" i="3" s="1"/>
  <c r="W267" i="3"/>
  <c r="Y267" i="3" s="1"/>
  <c r="A268" i="3"/>
  <c r="AQ266" i="3"/>
  <c r="AO264" i="3"/>
  <c r="AR264" i="3"/>
  <c r="AE267" i="3" l="1"/>
  <c r="AL267" i="3" s="1"/>
  <c r="AJ266" i="3"/>
  <c r="AF266" i="3"/>
  <c r="AN266" i="3" s="1"/>
  <c r="U268" i="3"/>
  <c r="AI268" i="3" a="1"/>
  <c r="AI268" i="3" s="1"/>
  <c r="AF267" i="3"/>
  <c r="AN267" i="3" s="1"/>
  <c r="AQ267" i="3"/>
  <c r="AA268" i="3"/>
  <c r="AC268" i="3" s="1"/>
  <c r="AJ268" i="3" s="1"/>
  <c r="W268" i="3"/>
  <c r="Y268" i="3" s="1"/>
  <c r="AE268" i="3" s="1"/>
  <c r="AL268" i="3" s="1"/>
  <c r="A269" i="3"/>
  <c r="AO265" i="3"/>
  <c r="AR265" i="3"/>
  <c r="U269" i="3" l="1"/>
  <c r="AI269" i="3" a="1"/>
  <c r="AI269" i="3" s="1"/>
  <c r="AF268" i="3"/>
  <c r="AN268" i="3" s="1"/>
  <c r="AQ268" i="3"/>
  <c r="AA269" i="3"/>
  <c r="AC269" i="3" s="1"/>
  <c r="AJ269" i="3" s="1"/>
  <c r="W269" i="3"/>
  <c r="Y269" i="3" s="1"/>
  <c r="AE269" i="3" s="1"/>
  <c r="AL269" i="3" s="1"/>
  <c r="A270" i="3"/>
  <c r="AO266" i="3"/>
  <c r="AR266" i="3"/>
  <c r="U270" i="3" l="1"/>
  <c r="AI270" i="3" a="1"/>
  <c r="AI270" i="3" s="1"/>
  <c r="AF269" i="3"/>
  <c r="AN269" i="3" s="1"/>
  <c r="AQ269" i="3"/>
  <c r="A271" i="3"/>
  <c r="AA270" i="3"/>
  <c r="AC270" i="3" s="1"/>
  <c r="AJ270" i="3" s="1"/>
  <c r="W270" i="3"/>
  <c r="Y270" i="3" s="1"/>
  <c r="AE270" i="3" s="1"/>
  <c r="AL270" i="3" s="1"/>
  <c r="AO267" i="3"/>
  <c r="AR267" i="3"/>
  <c r="U271" i="3" l="1"/>
  <c r="AI271" i="3" a="1"/>
  <c r="AI271" i="3" s="1"/>
  <c r="AA271" i="3"/>
  <c r="AC271" i="3" s="1"/>
  <c r="AJ271" i="3" s="1"/>
  <c r="W271" i="3"/>
  <c r="Y271" i="3" s="1"/>
  <c r="AE271" i="3" s="1"/>
  <c r="AL271" i="3" s="1"/>
  <c r="A272" i="3"/>
  <c r="AF270" i="3"/>
  <c r="AN270" i="3" s="1"/>
  <c r="AQ270" i="3"/>
  <c r="AO268" i="3"/>
  <c r="AR268" i="3"/>
  <c r="U272" i="3" l="1"/>
  <c r="AI272" i="3" a="1"/>
  <c r="AI272" i="3" s="1"/>
  <c r="AF271" i="3"/>
  <c r="AN271" i="3" s="1"/>
  <c r="AQ271" i="3"/>
  <c r="AA272" i="3"/>
  <c r="AC272" i="3" s="1"/>
  <c r="AJ272" i="3" s="1"/>
  <c r="W272" i="3"/>
  <c r="Y272" i="3" s="1"/>
  <c r="AE272" i="3" s="1"/>
  <c r="AL272" i="3" s="1"/>
  <c r="A273" i="3"/>
  <c r="AO269" i="3"/>
  <c r="AR269" i="3"/>
  <c r="U273" i="3" l="1"/>
  <c r="AI273" i="3" a="1"/>
  <c r="AI273" i="3" s="1"/>
  <c r="AF272" i="3"/>
  <c r="AN272" i="3" s="1"/>
  <c r="AQ272" i="3"/>
  <c r="A274" i="3"/>
  <c r="W273" i="3"/>
  <c r="Y273" i="3" s="1"/>
  <c r="AE273" i="3" s="1"/>
  <c r="AL273" i="3" s="1"/>
  <c r="AA273" i="3"/>
  <c r="AC273" i="3" s="1"/>
  <c r="AJ273" i="3" s="1"/>
  <c r="AO270" i="3"/>
  <c r="AR270" i="3"/>
  <c r="A275" i="3" l="1"/>
  <c r="AA274" i="3"/>
  <c r="W274" i="3"/>
  <c r="Y274" i="3" s="1"/>
  <c r="AE274" i="3" s="1"/>
  <c r="AL274" i="3" s="1"/>
  <c r="AF273" i="3"/>
  <c r="AN273" i="3" s="1"/>
  <c r="AQ273" i="3"/>
  <c r="AO271" i="3"/>
  <c r="AR271" i="3"/>
  <c r="AC274" i="3" l="1"/>
  <c r="AI274" i="3" a="1"/>
  <c r="AI274" i="3" s="1"/>
  <c r="U275" i="3"/>
  <c r="AI275" i="3" a="1"/>
  <c r="AI275" i="3" s="1"/>
  <c r="AA275" i="3"/>
  <c r="AC275" i="3" s="1"/>
  <c r="AJ275" i="3" s="1"/>
  <c r="W275" i="3"/>
  <c r="Y275" i="3" s="1"/>
  <c r="A276" i="3"/>
  <c r="AQ274" i="3"/>
  <c r="AO272" i="3"/>
  <c r="AR272" i="3"/>
  <c r="AJ274" i="3" l="1"/>
  <c r="AF274" i="3"/>
  <c r="AN274" i="3" s="1"/>
  <c r="AE275" i="3"/>
  <c r="U276" i="3"/>
  <c r="AI276" i="3" a="1"/>
  <c r="AI276" i="3" s="1"/>
  <c r="W276" i="3"/>
  <c r="Y276" i="3" s="1"/>
  <c r="AE276" i="3" s="1"/>
  <c r="AL276" i="3" s="1"/>
  <c r="A277" i="3"/>
  <c r="AA276" i="3"/>
  <c r="AC276" i="3" s="1"/>
  <c r="AJ276" i="3" s="1"/>
  <c r="AO273" i="3"/>
  <c r="AR273" i="3"/>
  <c r="AL275" i="3" l="1"/>
  <c r="AF275" i="3"/>
  <c r="AN275" i="3" s="1"/>
  <c r="AQ275" i="3"/>
  <c r="AF276" i="3"/>
  <c r="AN276" i="3" s="1"/>
  <c r="AQ276" i="3"/>
  <c r="A278" i="3"/>
  <c r="W277" i="3"/>
  <c r="Y277" i="3" s="1"/>
  <c r="AE277" i="3" s="1"/>
  <c r="AL277" i="3" s="1"/>
  <c r="AA277" i="3"/>
  <c r="AO274" i="3"/>
  <c r="AR274" i="3"/>
  <c r="AC277" i="3" l="1"/>
  <c r="AI277" i="3" a="1"/>
  <c r="AI277" i="3" s="1"/>
  <c r="AA278" i="3"/>
  <c r="A279" i="3"/>
  <c r="W278" i="3"/>
  <c r="Y278" i="3" s="1"/>
  <c r="AE278" i="3" s="1"/>
  <c r="AL278" i="3" s="1"/>
  <c r="AQ277" i="3"/>
  <c r="AO275" i="3"/>
  <c r="AR275" i="3"/>
  <c r="AJ277" i="3" l="1"/>
  <c r="AF277" i="3"/>
  <c r="AN277" i="3" s="1"/>
  <c r="AC278" i="3"/>
  <c r="AI278" i="3" a="1"/>
  <c r="AI278" i="3" s="1"/>
  <c r="U279" i="3"/>
  <c r="AI279" i="3" a="1"/>
  <c r="AI279" i="3" s="1"/>
  <c r="A280" i="3"/>
  <c r="W279" i="3"/>
  <c r="Y279" i="3" s="1"/>
  <c r="AE279" i="3" s="1"/>
  <c r="AL279" i="3" s="1"/>
  <c r="AA279" i="3"/>
  <c r="AC279" i="3" s="1"/>
  <c r="AJ279" i="3" s="1"/>
  <c r="AQ278" i="3"/>
  <c r="AO276" i="3"/>
  <c r="AR276" i="3"/>
  <c r="AJ278" i="3" l="1"/>
  <c r="AF278" i="3"/>
  <c r="AN278" i="3" s="1"/>
  <c r="U280" i="3"/>
  <c r="AI280" i="3" a="1"/>
  <c r="AI280" i="3" s="1"/>
  <c r="A281" i="3"/>
  <c r="AA280" i="3"/>
  <c r="AC280" i="3" s="1"/>
  <c r="AJ280" i="3" s="1"/>
  <c r="W280" i="3"/>
  <c r="Y280" i="3" s="1"/>
  <c r="AE280" i="3" s="1"/>
  <c r="AL280" i="3" s="1"/>
  <c r="AF279" i="3"/>
  <c r="AN279" i="3" s="1"/>
  <c r="AQ279" i="3"/>
  <c r="AO277" i="3"/>
  <c r="AR277" i="3"/>
  <c r="U281" i="3" l="1"/>
  <c r="AI281" i="3" a="1"/>
  <c r="AI281" i="3" s="1"/>
  <c r="A282" i="3"/>
  <c r="W281" i="3"/>
  <c r="Y281" i="3" s="1"/>
  <c r="AA281" i="3"/>
  <c r="AC281" i="3" s="1"/>
  <c r="AJ281" i="3" s="1"/>
  <c r="AF280" i="3"/>
  <c r="AN280" i="3" s="1"/>
  <c r="AQ280" i="3"/>
  <c r="AO278" i="3"/>
  <c r="AR278" i="3"/>
  <c r="AE281" i="3" l="1"/>
  <c r="U282" i="3"/>
  <c r="AI282" i="3" a="1"/>
  <c r="AI282" i="3" s="1"/>
  <c r="W282" i="3"/>
  <c r="Y282" i="3" s="1"/>
  <c r="AE282" i="3" s="1"/>
  <c r="AL282" i="3" s="1"/>
  <c r="A283" i="3"/>
  <c r="AA282" i="3"/>
  <c r="AC282" i="3" s="1"/>
  <c r="AJ282" i="3" s="1"/>
  <c r="AF281" i="3"/>
  <c r="AN281" i="3" s="1"/>
  <c r="AO279" i="3"/>
  <c r="AR279" i="3"/>
  <c r="AL281" i="3" l="1"/>
  <c r="AQ281" i="3"/>
  <c r="AF282" i="3"/>
  <c r="AN282" i="3" s="1"/>
  <c r="AQ282" i="3"/>
  <c r="AA283" i="3"/>
  <c r="A284" i="3"/>
  <c r="W283" i="3"/>
  <c r="Y283" i="3" s="1"/>
  <c r="AE283" i="3" s="1"/>
  <c r="AL283" i="3" s="1"/>
  <c r="AO280" i="3"/>
  <c r="AR280" i="3"/>
  <c r="AC283" i="3" l="1"/>
  <c r="AI283" i="3" a="1"/>
  <c r="AI283" i="3" s="1"/>
  <c r="U284" i="3"/>
  <c r="AI284" i="3" a="1"/>
  <c r="AI284" i="3" s="1"/>
  <c r="A285" i="3"/>
  <c r="AA284" i="3"/>
  <c r="AC284" i="3" s="1"/>
  <c r="AJ284" i="3" s="1"/>
  <c r="W284" i="3"/>
  <c r="Y284" i="3" s="1"/>
  <c r="AQ283" i="3"/>
  <c r="AO281" i="3"/>
  <c r="AR281" i="3"/>
  <c r="AE284" i="3" l="1"/>
  <c r="AJ283" i="3"/>
  <c r="AF283" i="3"/>
  <c r="AN283" i="3" s="1"/>
  <c r="U285" i="3"/>
  <c r="AI285" i="3" a="1"/>
  <c r="AI285" i="3" s="1"/>
  <c r="AA285" i="3"/>
  <c r="AC285" i="3" s="1"/>
  <c r="AJ285" i="3" s="1"/>
  <c r="A286" i="3"/>
  <c r="W285" i="3"/>
  <c r="Y285" i="3" s="1"/>
  <c r="AE285" i="3" s="1"/>
  <c r="AL285" i="3" s="1"/>
  <c r="AO282" i="3"/>
  <c r="AR282" i="3"/>
  <c r="AL284" i="3" l="1"/>
  <c r="AQ284" i="3" s="1"/>
  <c r="AF284" i="3"/>
  <c r="AN284" i="3" s="1"/>
  <c r="A287" i="3"/>
  <c r="AA286" i="3"/>
  <c r="W286" i="3"/>
  <c r="Y286" i="3" s="1"/>
  <c r="AE286" i="3" s="1"/>
  <c r="AL286" i="3" s="1"/>
  <c r="AF285" i="3"/>
  <c r="AN285" i="3" s="1"/>
  <c r="AQ285" i="3"/>
  <c r="AO283" i="3"/>
  <c r="AR283" i="3"/>
  <c r="AC286" i="3" l="1"/>
  <c r="AJ286" i="3" s="1"/>
  <c r="AI286" i="3" a="1"/>
  <c r="AI286" i="3" s="1"/>
  <c r="W287" i="3"/>
  <c r="Y287" i="3" s="1"/>
  <c r="AE287" i="3" s="1"/>
  <c r="AL287" i="3" s="1"/>
  <c r="AA287" i="3"/>
  <c r="A288" i="3"/>
  <c r="AF286" i="3"/>
  <c r="AN286" i="3" s="1"/>
  <c r="AQ286" i="3"/>
  <c r="AO284" i="3"/>
  <c r="AR284" i="3"/>
  <c r="AC287" i="3" l="1"/>
  <c r="AJ287" i="3" s="1"/>
  <c r="AI287" i="3" a="1"/>
  <c r="AI287" i="3" s="1"/>
  <c r="U288" i="3"/>
  <c r="AI288" i="3" a="1"/>
  <c r="AI288" i="3" s="1"/>
  <c r="AF287" i="3"/>
  <c r="AN287" i="3" s="1"/>
  <c r="AQ287" i="3"/>
  <c r="AA288" i="3"/>
  <c r="AC288" i="3" s="1"/>
  <c r="AJ288" i="3" s="1"/>
  <c r="W288" i="3"/>
  <c r="Y288" i="3" s="1"/>
  <c r="A289" i="3"/>
  <c r="AO285" i="3"/>
  <c r="AR285" i="3"/>
  <c r="AE288" i="3" l="1"/>
  <c r="U289" i="3"/>
  <c r="AI289" i="3" a="1"/>
  <c r="AI289" i="3" s="1"/>
  <c r="A290" i="3"/>
  <c r="AA289" i="3"/>
  <c r="AC289" i="3" s="1"/>
  <c r="AJ289" i="3" s="1"/>
  <c r="W289" i="3"/>
  <c r="Y289" i="3" s="1"/>
  <c r="AE289" i="3" s="1"/>
  <c r="AL289" i="3" s="1"/>
  <c r="AO286" i="3"/>
  <c r="AR286" i="3"/>
  <c r="AL288" i="3" l="1"/>
  <c r="AF288" i="3"/>
  <c r="AN288" i="3" s="1"/>
  <c r="AQ288" i="3"/>
  <c r="A291" i="3"/>
  <c r="AA290" i="3"/>
  <c r="W290" i="3"/>
  <c r="Y290" i="3" s="1"/>
  <c r="AE290" i="3" s="1"/>
  <c r="AL290" i="3" s="1"/>
  <c r="AF289" i="3"/>
  <c r="AN289" i="3" s="1"/>
  <c r="AQ289" i="3"/>
  <c r="AO287" i="3"/>
  <c r="AR287" i="3"/>
  <c r="AC290" i="3" l="1"/>
  <c r="AJ290" i="3" s="1"/>
  <c r="AI290" i="3" a="1"/>
  <c r="AI290" i="3" s="1"/>
  <c r="U291" i="3"/>
  <c r="AI291" i="3" a="1"/>
  <c r="AI291" i="3" s="1"/>
  <c r="A292" i="3"/>
  <c r="W291" i="3"/>
  <c r="Y291" i="3" s="1"/>
  <c r="AE291" i="3" s="1"/>
  <c r="AL291" i="3" s="1"/>
  <c r="AA291" i="3"/>
  <c r="AC291" i="3" s="1"/>
  <c r="AJ291" i="3" s="1"/>
  <c r="AF290" i="3"/>
  <c r="AN290" i="3" s="1"/>
  <c r="AQ290" i="3"/>
  <c r="AO288" i="3"/>
  <c r="AR288" i="3"/>
  <c r="U292" i="3" l="1"/>
  <c r="AI292" i="3" a="1"/>
  <c r="AI292" i="3" s="1"/>
  <c r="A293" i="3"/>
  <c r="AA292" i="3"/>
  <c r="AC292" i="3" s="1"/>
  <c r="AJ292" i="3" s="1"/>
  <c r="W292" i="3"/>
  <c r="Y292" i="3" s="1"/>
  <c r="AE292" i="3" s="1"/>
  <c r="AL292" i="3" s="1"/>
  <c r="AF291" i="3"/>
  <c r="AN291" i="3" s="1"/>
  <c r="AQ291" i="3"/>
  <c r="AO289" i="3"/>
  <c r="AR289" i="3"/>
  <c r="U293" i="3" l="1"/>
  <c r="AI293" i="3" a="1"/>
  <c r="AI293" i="3" s="1"/>
  <c r="A294" i="3"/>
  <c r="AA293" i="3"/>
  <c r="AC293" i="3" s="1"/>
  <c r="AJ293" i="3" s="1"/>
  <c r="W293" i="3"/>
  <c r="Y293" i="3" s="1"/>
  <c r="AE293" i="3" s="1"/>
  <c r="AL293" i="3" s="1"/>
  <c r="AF292" i="3"/>
  <c r="AN292" i="3" s="1"/>
  <c r="AQ292" i="3"/>
  <c r="AO290" i="3"/>
  <c r="AR290" i="3"/>
  <c r="U294" i="3" l="1"/>
  <c r="AI294" i="3" a="1"/>
  <c r="AI294" i="3" s="1"/>
  <c r="W294" i="3"/>
  <c r="Y294" i="3" s="1"/>
  <c r="AE294" i="3" s="1"/>
  <c r="AL294" i="3" s="1"/>
  <c r="A295" i="3"/>
  <c r="AA294" i="3"/>
  <c r="AC294" i="3" s="1"/>
  <c r="AJ294" i="3" s="1"/>
  <c r="AF293" i="3"/>
  <c r="AN293" i="3" s="1"/>
  <c r="AQ293" i="3"/>
  <c r="AO291" i="3"/>
  <c r="AR291" i="3"/>
  <c r="U295" i="3" l="1"/>
  <c r="AI295" i="3" a="1"/>
  <c r="AI295" i="3" s="1"/>
  <c r="AF294" i="3"/>
  <c r="AN294" i="3" s="1"/>
  <c r="AQ294" i="3"/>
  <c r="W295" i="3"/>
  <c r="Y295" i="3" s="1"/>
  <c r="AE295" i="3" s="1"/>
  <c r="AL295" i="3" s="1"/>
  <c r="A296" i="3"/>
  <c r="AA295" i="3"/>
  <c r="AC295" i="3" s="1"/>
  <c r="AJ295" i="3" s="1"/>
  <c r="AO292" i="3"/>
  <c r="AR292" i="3"/>
  <c r="AF295" i="3" l="1"/>
  <c r="AN295" i="3" s="1"/>
  <c r="AQ295" i="3"/>
  <c r="AA296" i="3"/>
  <c r="A297" i="3"/>
  <c r="W296" i="3"/>
  <c r="Y296" i="3" s="1"/>
  <c r="AE296" i="3" s="1"/>
  <c r="AL296" i="3" s="1"/>
  <c r="AO293" i="3"/>
  <c r="AR293" i="3"/>
  <c r="AC296" i="3" l="1"/>
  <c r="AF296" i="3" s="1"/>
  <c r="AN296" i="3" s="1"/>
  <c r="AI296" i="3" a="1"/>
  <c r="AI296" i="3" s="1"/>
  <c r="U297" i="3"/>
  <c r="AI297" i="3" a="1"/>
  <c r="AI297" i="3" s="1"/>
  <c r="AA297" i="3"/>
  <c r="AC297" i="3" s="1"/>
  <c r="AJ297" i="3" s="1"/>
  <c r="A298" i="3"/>
  <c r="W297" i="3"/>
  <c r="Y297" i="3" s="1"/>
  <c r="AE297" i="3" s="1"/>
  <c r="AL297" i="3" s="1"/>
  <c r="AQ296" i="3"/>
  <c r="AO294" i="3"/>
  <c r="AR294" i="3"/>
  <c r="U298" i="3" l="1"/>
  <c r="AI298" i="3" a="1"/>
  <c r="AI298" i="3" s="1"/>
  <c r="A299" i="3"/>
  <c r="AA298" i="3"/>
  <c r="AC298" i="3" s="1"/>
  <c r="AJ298" i="3" s="1"/>
  <c r="W298" i="3"/>
  <c r="Y298" i="3" s="1"/>
  <c r="AE298" i="3" s="1"/>
  <c r="AL298" i="3" s="1"/>
  <c r="AF297" i="3"/>
  <c r="AN297" i="3" s="1"/>
  <c r="AQ297" i="3"/>
  <c r="AO295" i="3"/>
  <c r="AR295" i="3"/>
  <c r="U299" i="3" l="1"/>
  <c r="AI299" i="3" a="1"/>
  <c r="AI299" i="3" s="1"/>
  <c r="AA299" i="3"/>
  <c r="AC299" i="3" s="1"/>
  <c r="AJ299" i="3" s="1"/>
  <c r="A300" i="3"/>
  <c r="W299" i="3"/>
  <c r="Y299" i="3" s="1"/>
  <c r="AE299" i="3" s="1"/>
  <c r="AL299" i="3" s="1"/>
  <c r="AF298" i="3"/>
  <c r="AN298" i="3" s="1"/>
  <c r="AQ298" i="3"/>
  <c r="AR296" i="3"/>
  <c r="U300" i="3" l="1"/>
  <c r="AI300" i="3" a="1"/>
  <c r="AI300" i="3" s="1"/>
  <c r="A301" i="3"/>
  <c r="AA300" i="3"/>
  <c r="AC300" i="3" s="1"/>
  <c r="AJ300" i="3" s="1"/>
  <c r="W300" i="3"/>
  <c r="Y300" i="3" s="1"/>
  <c r="AE300" i="3" s="1"/>
  <c r="AL300" i="3" s="1"/>
  <c r="AF299" i="3"/>
  <c r="AN299" i="3" s="1"/>
  <c r="AQ299" i="3"/>
  <c r="AO297" i="3"/>
  <c r="AR297" i="3"/>
  <c r="U301" i="3" l="1"/>
  <c r="AI301" i="3" a="1"/>
  <c r="AI301" i="3" s="1"/>
  <c r="A302" i="3"/>
  <c r="AA301" i="3"/>
  <c r="AC301" i="3" s="1"/>
  <c r="AJ301" i="3" s="1"/>
  <c r="W301" i="3"/>
  <c r="Y301" i="3" s="1"/>
  <c r="AE301" i="3" s="1"/>
  <c r="AL301" i="3" s="1"/>
  <c r="AF300" i="3"/>
  <c r="AN300" i="3" s="1"/>
  <c r="AQ300" i="3"/>
  <c r="AO298" i="3"/>
  <c r="AR298" i="3"/>
  <c r="A303" i="3" l="1"/>
  <c r="W302" i="3"/>
  <c r="Y302" i="3" s="1"/>
  <c r="AE302" i="3" s="1"/>
  <c r="AL302" i="3" s="1"/>
  <c r="AA302" i="3"/>
  <c r="AF301" i="3"/>
  <c r="AN301" i="3" s="1"/>
  <c r="AQ301" i="3"/>
  <c r="AO299" i="3"/>
  <c r="AR299" i="3"/>
  <c r="AC302" i="3" l="1"/>
  <c r="AI302" i="3" a="1"/>
  <c r="AI302" i="3" s="1"/>
  <c r="U303" i="3"/>
  <c r="AI303" i="3" a="1"/>
  <c r="AI303" i="3" s="1"/>
  <c r="W303" i="3"/>
  <c r="Y303" i="3" s="1"/>
  <c r="AE303" i="3" s="1"/>
  <c r="AL303" i="3" s="1"/>
  <c r="A304" i="3"/>
  <c r="AA303" i="3"/>
  <c r="AC303" i="3" s="1"/>
  <c r="AJ303" i="3" s="1"/>
  <c r="AF302" i="3"/>
  <c r="AN302" i="3" s="1"/>
  <c r="AQ302" i="3"/>
  <c r="AO300" i="3"/>
  <c r="AR300" i="3"/>
  <c r="U304" i="3" l="1"/>
  <c r="AI304" i="3" a="1"/>
  <c r="AI304" i="3" s="1"/>
  <c r="AF303" i="3"/>
  <c r="AN303" i="3" s="1"/>
  <c r="AQ303" i="3"/>
  <c r="AA304" i="3"/>
  <c r="AC304" i="3" s="1"/>
  <c r="AJ304" i="3" s="1"/>
  <c r="W304" i="3"/>
  <c r="Y304" i="3" s="1"/>
  <c r="AE304" i="3" s="1"/>
  <c r="AL304" i="3" s="1"/>
  <c r="A305" i="3"/>
  <c r="AO301" i="3"/>
  <c r="AR301" i="3"/>
  <c r="U305" i="3" l="1"/>
  <c r="AI305" i="3" a="1"/>
  <c r="AI305" i="3" s="1"/>
  <c r="AF304" i="3"/>
  <c r="AN304" i="3" s="1"/>
  <c r="AQ304" i="3"/>
  <c r="A306" i="3"/>
  <c r="AA305" i="3"/>
  <c r="AC305" i="3" s="1"/>
  <c r="AJ305" i="3" s="1"/>
  <c r="W305" i="3"/>
  <c r="Y305" i="3" s="1"/>
  <c r="AR302" i="3"/>
  <c r="AE305" i="3" l="1"/>
  <c r="U306" i="3"/>
  <c r="AI306" i="3" a="1"/>
  <c r="AI306" i="3" s="1"/>
  <c r="A307" i="3"/>
  <c r="AA306" i="3"/>
  <c r="AC306" i="3" s="1"/>
  <c r="AJ306" i="3" s="1"/>
  <c r="W306" i="3"/>
  <c r="Y306" i="3" s="1"/>
  <c r="AE306" i="3" s="1"/>
  <c r="AL306" i="3" s="1"/>
  <c r="AF305" i="3"/>
  <c r="AN305" i="3" s="1"/>
  <c r="AO303" i="3"/>
  <c r="AR303" i="3"/>
  <c r="AL305" i="3" l="1"/>
  <c r="AQ305" i="3"/>
  <c r="U307" i="3"/>
  <c r="AI307" i="3" a="1"/>
  <c r="AI307" i="3" s="1"/>
  <c r="A308" i="3"/>
  <c r="W307" i="3"/>
  <c r="Y307" i="3" s="1"/>
  <c r="AA307" i="3"/>
  <c r="AC307" i="3" s="1"/>
  <c r="AJ307" i="3" s="1"/>
  <c r="AF306" i="3"/>
  <c r="AN306" i="3" s="1"/>
  <c r="AQ306" i="3"/>
  <c r="AO304" i="3"/>
  <c r="AR304" i="3"/>
  <c r="AE307" i="3" l="1"/>
  <c r="AA308" i="3"/>
  <c r="A309" i="3"/>
  <c r="W308" i="3"/>
  <c r="Y308" i="3" s="1"/>
  <c r="AE308" i="3" s="1"/>
  <c r="AL308" i="3" s="1"/>
  <c r="AO305" i="3"/>
  <c r="AR305" i="3"/>
  <c r="AL307" i="3" l="1"/>
  <c r="AF307" i="3"/>
  <c r="AN307" i="3" s="1"/>
  <c r="AQ307" i="3"/>
  <c r="AC308" i="3"/>
  <c r="AI308" i="3" a="1"/>
  <c r="AI308" i="3" s="1"/>
  <c r="U309" i="3"/>
  <c r="AI309" i="3" a="1"/>
  <c r="AI309" i="3" s="1"/>
  <c r="A310" i="3"/>
  <c r="AA309" i="3"/>
  <c r="AC309" i="3" s="1"/>
  <c r="AJ309" i="3" s="1"/>
  <c r="W309" i="3"/>
  <c r="Y309" i="3" s="1"/>
  <c r="AE309" i="3" s="1"/>
  <c r="AL309" i="3" s="1"/>
  <c r="AQ308" i="3"/>
  <c r="AO306" i="3"/>
  <c r="AR306" i="3"/>
  <c r="AJ308" i="3" l="1"/>
  <c r="AF308" i="3"/>
  <c r="AN308" i="3" s="1"/>
  <c r="U310" i="3"/>
  <c r="AI310" i="3" a="1"/>
  <c r="AI310" i="3" s="1"/>
  <c r="AA310" i="3"/>
  <c r="AC310" i="3" s="1"/>
  <c r="AJ310" i="3" s="1"/>
  <c r="W310" i="3"/>
  <c r="Y310" i="3" s="1"/>
  <c r="AE310" i="3" s="1"/>
  <c r="AL310" i="3" s="1"/>
  <c r="A311" i="3"/>
  <c r="AF309" i="3"/>
  <c r="AN309" i="3" s="1"/>
  <c r="AQ309" i="3"/>
  <c r="AO307" i="3"/>
  <c r="AR307" i="3"/>
  <c r="U311" i="3" l="1"/>
  <c r="AI311" i="3" a="1"/>
  <c r="AI311" i="3" s="1"/>
  <c r="AF310" i="3"/>
  <c r="AN310" i="3" s="1"/>
  <c r="AQ310" i="3"/>
  <c r="A312" i="3"/>
  <c r="AA311" i="3"/>
  <c r="AC311" i="3" s="1"/>
  <c r="AJ311" i="3" s="1"/>
  <c r="W311" i="3"/>
  <c r="Y311" i="3" s="1"/>
  <c r="AE311" i="3" s="1"/>
  <c r="AL311" i="3" s="1"/>
  <c r="AO308" i="3"/>
  <c r="AR308" i="3"/>
  <c r="A313" i="3" l="1"/>
  <c r="AA312" i="3"/>
  <c r="W312" i="3"/>
  <c r="Y312" i="3" s="1"/>
  <c r="AE312" i="3" s="1"/>
  <c r="AL312" i="3" s="1"/>
  <c r="AF311" i="3"/>
  <c r="AN311" i="3" s="1"/>
  <c r="AQ311" i="3"/>
  <c r="AO309" i="3"/>
  <c r="AR309" i="3"/>
  <c r="AC312" i="3" l="1"/>
  <c r="AI312" i="3" a="1"/>
  <c r="AI312" i="3" s="1"/>
  <c r="U313" i="3"/>
  <c r="AI313" i="3" a="1"/>
  <c r="AI313" i="3" s="1"/>
  <c r="A314" i="3"/>
  <c r="AA313" i="3"/>
  <c r="AC313" i="3" s="1"/>
  <c r="AJ313" i="3" s="1"/>
  <c r="W313" i="3"/>
  <c r="Y313" i="3" s="1"/>
  <c r="AE313" i="3" s="1"/>
  <c r="AL313" i="3" s="1"/>
  <c r="AQ312" i="3"/>
  <c r="AO310" i="3"/>
  <c r="AR310" i="3"/>
  <c r="AJ312" i="3" l="1"/>
  <c r="AF312" i="3"/>
  <c r="AN312" i="3" s="1"/>
  <c r="U314" i="3"/>
  <c r="AI314" i="3" a="1"/>
  <c r="AI314" i="3" s="1"/>
  <c r="A315" i="3"/>
  <c r="AA314" i="3"/>
  <c r="AC314" i="3" s="1"/>
  <c r="AJ314" i="3" s="1"/>
  <c r="W314" i="3"/>
  <c r="Y314" i="3" s="1"/>
  <c r="AE314" i="3" s="1"/>
  <c r="AL314" i="3" s="1"/>
  <c r="AF313" i="3"/>
  <c r="AN313" i="3" s="1"/>
  <c r="AQ313" i="3"/>
  <c r="AO311" i="3"/>
  <c r="AR311" i="3"/>
  <c r="A316" i="3" l="1"/>
  <c r="AA315" i="3"/>
  <c r="W315" i="3"/>
  <c r="Y315" i="3" s="1"/>
  <c r="AE315" i="3" s="1"/>
  <c r="AL315" i="3" s="1"/>
  <c r="AF314" i="3"/>
  <c r="AN314" i="3" s="1"/>
  <c r="AQ314" i="3"/>
  <c r="AO312" i="3"/>
  <c r="AR312" i="3"/>
  <c r="AC315" i="3" l="1"/>
  <c r="AI315" i="3" a="1"/>
  <c r="AI315" i="3" s="1"/>
  <c r="U316" i="3"/>
  <c r="AI316" i="3" a="1"/>
  <c r="AI316" i="3" s="1"/>
  <c r="AA316" i="3"/>
  <c r="AC316" i="3" s="1"/>
  <c r="AJ316" i="3" s="1"/>
  <c r="A317" i="3"/>
  <c r="W316" i="3"/>
  <c r="Y316" i="3" s="1"/>
  <c r="AE316" i="3" s="1"/>
  <c r="AL316" i="3" s="1"/>
  <c r="AQ315" i="3"/>
  <c r="AO313" i="3"/>
  <c r="AR313" i="3"/>
  <c r="AJ315" i="3" l="1"/>
  <c r="AF315" i="3"/>
  <c r="AN315" i="3" s="1"/>
  <c r="AA317" i="3"/>
  <c r="W317" i="3"/>
  <c r="Y317" i="3" s="1"/>
  <c r="AE317" i="3" s="1"/>
  <c r="AL317" i="3" s="1"/>
  <c r="A318" i="3"/>
  <c r="AF316" i="3"/>
  <c r="AN316" i="3" s="1"/>
  <c r="AQ316" i="3"/>
  <c r="AO314" i="3"/>
  <c r="AR314" i="3"/>
  <c r="AC317" i="3" l="1"/>
  <c r="AI317" i="3" a="1"/>
  <c r="AI317" i="3" s="1"/>
  <c r="AF317" i="3"/>
  <c r="AN317" i="3" s="1"/>
  <c r="AQ317" i="3"/>
  <c r="AA318" i="3"/>
  <c r="A319" i="3"/>
  <c r="W318" i="3"/>
  <c r="Y318" i="3" s="1"/>
  <c r="AE318" i="3" s="1"/>
  <c r="AL318" i="3" s="1"/>
  <c r="AO315" i="3"/>
  <c r="AR315" i="3"/>
  <c r="AC318" i="3" l="1"/>
  <c r="AI318" i="3" a="1"/>
  <c r="AI318" i="3" s="1"/>
  <c r="U319" i="3"/>
  <c r="AI319" i="3" a="1"/>
  <c r="AI319" i="3" s="1"/>
  <c r="W319" i="3"/>
  <c r="Y319" i="3" s="1"/>
  <c r="AE319" i="3" s="1"/>
  <c r="AL319" i="3" s="1"/>
  <c r="A320" i="3"/>
  <c r="AA319" i="3"/>
  <c r="AC319" i="3" s="1"/>
  <c r="AJ319" i="3" s="1"/>
  <c r="AQ318" i="3"/>
  <c r="AO316" i="3"/>
  <c r="AR316" i="3"/>
  <c r="AJ318" i="3" l="1"/>
  <c r="AF318" i="3"/>
  <c r="AN318" i="3" s="1"/>
  <c r="AF319" i="3"/>
  <c r="AN319" i="3" s="1"/>
  <c r="AQ319" i="3"/>
  <c r="A321" i="3"/>
  <c r="AA320" i="3"/>
  <c r="W320" i="3"/>
  <c r="Y320" i="3" s="1"/>
  <c r="AE320" i="3" s="1"/>
  <c r="AL320" i="3" s="1"/>
  <c r="AR317" i="3"/>
  <c r="AC320" i="3" l="1"/>
  <c r="AI320" i="3" a="1"/>
  <c r="AI320" i="3" s="1"/>
  <c r="A322" i="3"/>
  <c r="AA321" i="3"/>
  <c r="W321" i="3"/>
  <c r="Y321" i="3" s="1"/>
  <c r="AE321" i="3" s="1"/>
  <c r="AL321" i="3" s="1"/>
  <c r="AQ320" i="3"/>
  <c r="AO318" i="3"/>
  <c r="AR318" i="3"/>
  <c r="AJ320" i="3" l="1"/>
  <c r="AF320" i="3"/>
  <c r="AN320" i="3" s="1"/>
  <c r="AC321" i="3"/>
  <c r="AF321" i="3" s="1"/>
  <c r="AN321" i="3" s="1"/>
  <c r="AI321" i="3" a="1"/>
  <c r="AI321" i="3" s="1"/>
  <c r="A323" i="3"/>
  <c r="AA322" i="3"/>
  <c r="W322" i="3"/>
  <c r="Y322" i="3" s="1"/>
  <c r="AE322" i="3" s="1"/>
  <c r="AL322" i="3" s="1"/>
  <c r="AQ321" i="3"/>
  <c r="AO319" i="3"/>
  <c r="AR319" i="3"/>
  <c r="AC322" i="3" l="1"/>
  <c r="AF322" i="3" s="1"/>
  <c r="AN322" i="3" s="1"/>
  <c r="AI322" i="3" a="1"/>
  <c r="AI322" i="3" s="1"/>
  <c r="A324" i="3"/>
  <c r="AA323" i="3"/>
  <c r="W323" i="3"/>
  <c r="Y323" i="3" s="1"/>
  <c r="AE323" i="3" s="1"/>
  <c r="AL323" i="3" s="1"/>
  <c r="AQ322" i="3"/>
  <c r="AO320" i="3"/>
  <c r="AR320" i="3"/>
  <c r="AC323" i="3" l="1"/>
  <c r="AF323" i="3" s="1"/>
  <c r="AN323" i="3" s="1"/>
  <c r="AI323" i="3" a="1"/>
  <c r="AI323" i="3" s="1"/>
  <c r="U324" i="3"/>
  <c r="AI324" i="3" a="1"/>
  <c r="AI324" i="3" s="1"/>
  <c r="A325" i="3"/>
  <c r="AA324" i="3"/>
  <c r="AC324" i="3" s="1"/>
  <c r="AJ324" i="3" s="1"/>
  <c r="W324" i="3"/>
  <c r="Y324" i="3" s="1"/>
  <c r="AE324" i="3" s="1"/>
  <c r="AL324" i="3" s="1"/>
  <c r="AQ323" i="3"/>
  <c r="AR321" i="3"/>
  <c r="U325" i="3" l="1"/>
  <c r="AI325" i="3" a="1"/>
  <c r="AI325" i="3" s="1"/>
  <c r="AA325" i="3"/>
  <c r="AC325" i="3" s="1"/>
  <c r="AJ325" i="3" s="1"/>
  <c r="A326" i="3"/>
  <c r="W325" i="3"/>
  <c r="Y325" i="3" s="1"/>
  <c r="AE325" i="3" s="1"/>
  <c r="AL325" i="3" s="1"/>
  <c r="AF324" i="3"/>
  <c r="AN324" i="3" s="1"/>
  <c r="AQ324" i="3"/>
  <c r="AR322" i="3"/>
  <c r="AA326" i="3" l="1"/>
  <c r="W326" i="3"/>
  <c r="Y326" i="3" s="1"/>
  <c r="AE326" i="3" s="1"/>
  <c r="AL326" i="3" s="1"/>
  <c r="A327" i="3"/>
  <c r="AF325" i="3"/>
  <c r="AN325" i="3" s="1"/>
  <c r="AQ325" i="3"/>
  <c r="AR323" i="3"/>
  <c r="AC326" i="3" l="1"/>
  <c r="AJ326" i="3" s="1"/>
  <c r="AI326" i="3" a="1"/>
  <c r="AI326" i="3" s="1"/>
  <c r="U327" i="3"/>
  <c r="AI327" i="3" a="1"/>
  <c r="AI327" i="3" s="1"/>
  <c r="AF326" i="3"/>
  <c r="AN326" i="3" s="1"/>
  <c r="AQ326" i="3"/>
  <c r="A328" i="3"/>
  <c r="AA327" i="3"/>
  <c r="AC327" i="3" s="1"/>
  <c r="AJ327" i="3" s="1"/>
  <c r="W327" i="3"/>
  <c r="Y327" i="3" s="1"/>
  <c r="AO324" i="3"/>
  <c r="AR324" i="3"/>
  <c r="AE327" i="3" l="1"/>
  <c r="A329" i="3"/>
  <c r="AA328" i="3"/>
  <c r="W328" i="3"/>
  <c r="Y328" i="3" s="1"/>
  <c r="AE328" i="3" s="1"/>
  <c r="AL328" i="3" s="1"/>
  <c r="AO325" i="3"/>
  <c r="AR325" i="3"/>
  <c r="AL327" i="3" l="1"/>
  <c r="AF327" i="3"/>
  <c r="AN327" i="3" s="1"/>
  <c r="AQ327" i="3"/>
  <c r="AC328" i="3"/>
  <c r="AJ328" i="3" s="1"/>
  <c r="AI328" i="3" a="1"/>
  <c r="AI328" i="3" s="1"/>
  <c r="W329" i="3"/>
  <c r="Y329" i="3" s="1"/>
  <c r="AE329" i="3" s="1"/>
  <c r="AL329" i="3" s="1"/>
  <c r="A330" i="3"/>
  <c r="AA329" i="3"/>
  <c r="AF328" i="3"/>
  <c r="AN328" i="3" s="1"/>
  <c r="AQ328" i="3"/>
  <c r="AO326" i="3"/>
  <c r="AR326" i="3"/>
  <c r="AC329" i="3" l="1"/>
  <c r="AI329" i="3" a="1"/>
  <c r="AI329" i="3" s="1"/>
  <c r="AF329" i="3"/>
  <c r="AN329" i="3" s="1"/>
  <c r="AQ329" i="3"/>
  <c r="A331" i="3"/>
  <c r="AA330" i="3"/>
  <c r="W330" i="3"/>
  <c r="Y330" i="3" s="1"/>
  <c r="AE330" i="3" s="1"/>
  <c r="AL330" i="3" s="1"/>
  <c r="AO327" i="3"/>
  <c r="AR327" i="3"/>
  <c r="AC330" i="3" l="1"/>
  <c r="AI330" i="3" a="1"/>
  <c r="AI330" i="3" s="1"/>
  <c r="U331" i="3"/>
  <c r="AI331" i="3" a="1"/>
  <c r="AI331" i="3" s="1"/>
  <c r="AA331" i="3"/>
  <c r="AC331" i="3" s="1"/>
  <c r="AJ331" i="3" s="1"/>
  <c r="A332" i="3"/>
  <c r="W331" i="3"/>
  <c r="Y331" i="3" s="1"/>
  <c r="AE331" i="3" s="1"/>
  <c r="AL331" i="3" s="1"/>
  <c r="AQ330" i="3"/>
  <c r="AO328" i="3"/>
  <c r="AR328" i="3"/>
  <c r="AJ330" i="3" l="1"/>
  <c r="AF330" i="3"/>
  <c r="AN330" i="3" s="1"/>
  <c r="A333" i="3"/>
  <c r="AA332" i="3"/>
  <c r="W332" i="3"/>
  <c r="Y332" i="3" s="1"/>
  <c r="AE332" i="3" s="1"/>
  <c r="AL332" i="3" s="1"/>
  <c r="AF331" i="3"/>
  <c r="AN331" i="3" s="1"/>
  <c r="AQ331" i="3"/>
  <c r="AR329" i="3"/>
  <c r="AC332" i="3" l="1"/>
  <c r="AF332" i="3" s="1"/>
  <c r="AN332" i="3" s="1"/>
  <c r="AI332" i="3" a="1"/>
  <c r="AI332" i="3" s="1"/>
  <c r="U333" i="3"/>
  <c r="AI333" i="3" a="1"/>
  <c r="AI333" i="3" s="1"/>
  <c r="A334" i="3"/>
  <c r="AA333" i="3"/>
  <c r="AC333" i="3" s="1"/>
  <c r="AJ333" i="3" s="1"/>
  <c r="W333" i="3"/>
  <c r="Y333" i="3" s="1"/>
  <c r="AQ332" i="3"/>
  <c r="AO330" i="3"/>
  <c r="AR330" i="3"/>
  <c r="AE333" i="3" l="1"/>
  <c r="U334" i="3"/>
  <c r="AI334" i="3" a="1"/>
  <c r="AI334" i="3" s="1"/>
  <c r="A335" i="3"/>
  <c r="AA334" i="3"/>
  <c r="AC334" i="3" s="1"/>
  <c r="AJ334" i="3" s="1"/>
  <c r="W334" i="3"/>
  <c r="Y334" i="3" s="1"/>
  <c r="AE334" i="3" s="1"/>
  <c r="AL334" i="3" s="1"/>
  <c r="AO331" i="3"/>
  <c r="AR331" i="3"/>
  <c r="AL333" i="3" l="1"/>
  <c r="AQ333" i="3" s="1"/>
  <c r="AF333" i="3"/>
  <c r="AN333" i="3" s="1"/>
  <c r="AA335" i="3"/>
  <c r="A336" i="3"/>
  <c r="W335" i="3"/>
  <c r="Y335" i="3" s="1"/>
  <c r="AE335" i="3" s="1"/>
  <c r="AL335" i="3" s="1"/>
  <c r="AF334" i="3"/>
  <c r="AN334" i="3" s="1"/>
  <c r="AQ334" i="3"/>
  <c r="AR332" i="3"/>
  <c r="AC335" i="3" l="1"/>
  <c r="AI335" i="3" a="1"/>
  <c r="AI335" i="3" s="1"/>
  <c r="A337" i="3"/>
  <c r="AA336" i="3"/>
  <c r="W336" i="3"/>
  <c r="Y336" i="3" s="1"/>
  <c r="AE336" i="3" s="1"/>
  <c r="AL336" i="3" s="1"/>
  <c r="AQ335" i="3"/>
  <c r="AO333" i="3"/>
  <c r="AR333" i="3"/>
  <c r="AJ335" i="3" l="1"/>
  <c r="AF335" i="3"/>
  <c r="AN335" i="3" s="1"/>
  <c r="AC336" i="3"/>
  <c r="AI336" i="3" a="1"/>
  <c r="AI336" i="3" s="1"/>
  <c r="U337" i="3"/>
  <c r="AI337" i="3" a="1"/>
  <c r="AI337" i="3" s="1"/>
  <c r="A338" i="3"/>
  <c r="AA337" i="3"/>
  <c r="AC337" i="3" s="1"/>
  <c r="AJ337" i="3" s="1"/>
  <c r="W337" i="3"/>
  <c r="Y337" i="3" s="1"/>
  <c r="AQ336" i="3"/>
  <c r="AO334" i="3"/>
  <c r="AR334" i="3"/>
  <c r="AJ336" i="3" l="1"/>
  <c r="AF336" i="3"/>
  <c r="AN336" i="3" s="1"/>
  <c r="AE337" i="3"/>
  <c r="AA338" i="3"/>
  <c r="W338" i="3"/>
  <c r="Y338" i="3" s="1"/>
  <c r="AE338" i="3" s="1"/>
  <c r="AL338" i="3" s="1"/>
  <c r="A339" i="3"/>
  <c r="AO335" i="3"/>
  <c r="AR335" i="3"/>
  <c r="AL337" i="3" l="1"/>
  <c r="AQ337" i="3" s="1"/>
  <c r="AF337" i="3"/>
  <c r="AN337" i="3" s="1"/>
  <c r="AC338" i="3"/>
  <c r="AJ338" i="3" s="1"/>
  <c r="AI338" i="3" a="1"/>
  <c r="AI338" i="3" s="1"/>
  <c r="AF338" i="3"/>
  <c r="AN338" i="3" s="1"/>
  <c r="AQ338" i="3"/>
  <c r="A340" i="3"/>
  <c r="W339" i="3"/>
  <c r="Y339" i="3" s="1"/>
  <c r="AE339" i="3" s="1"/>
  <c r="AL339" i="3" s="1"/>
  <c r="AA339" i="3"/>
  <c r="AO336" i="3"/>
  <c r="AR336" i="3"/>
  <c r="AC339" i="3" l="1"/>
  <c r="AI339" i="3" a="1"/>
  <c r="AI339" i="3" s="1"/>
  <c r="A341" i="3"/>
  <c r="AA340" i="3"/>
  <c r="W340" i="3"/>
  <c r="Y340" i="3" s="1"/>
  <c r="AE340" i="3" s="1"/>
  <c r="AL340" i="3" s="1"/>
  <c r="AQ339" i="3"/>
  <c r="AO337" i="3"/>
  <c r="AR337" i="3"/>
  <c r="AJ339" i="3" l="1"/>
  <c r="AF339" i="3"/>
  <c r="AN339" i="3" s="1"/>
  <c r="AC340" i="3"/>
  <c r="AF340" i="3" s="1"/>
  <c r="AN340" i="3" s="1"/>
  <c r="AI340" i="3" a="1"/>
  <c r="AI340" i="3" s="1"/>
  <c r="AA341" i="3"/>
  <c r="W341" i="3"/>
  <c r="Y341" i="3" s="1"/>
  <c r="AE341" i="3" s="1"/>
  <c r="AL341" i="3" s="1"/>
  <c r="A342" i="3"/>
  <c r="AQ340" i="3"/>
  <c r="AO338" i="3"/>
  <c r="AR338" i="3"/>
  <c r="AC341" i="3" l="1"/>
  <c r="AI341" i="3" a="1"/>
  <c r="AI341" i="3" s="1"/>
  <c r="U342" i="3"/>
  <c r="AI342" i="3" a="1"/>
  <c r="AI342" i="3" s="1"/>
  <c r="AF341" i="3"/>
  <c r="AN341" i="3" s="1"/>
  <c r="AQ341" i="3"/>
  <c r="W342" i="3"/>
  <c r="Y342" i="3" s="1"/>
  <c r="AE342" i="3" s="1"/>
  <c r="AL342" i="3" s="1"/>
  <c r="AA342" i="3"/>
  <c r="AC342" i="3" s="1"/>
  <c r="AJ342" i="3" s="1"/>
  <c r="A343" i="3"/>
  <c r="AO339" i="3"/>
  <c r="AR339" i="3"/>
  <c r="U343" i="3" l="1"/>
  <c r="AI343" i="3" a="1"/>
  <c r="AI343" i="3" s="1"/>
  <c r="AF342" i="3"/>
  <c r="AN342" i="3" s="1"/>
  <c r="AQ342" i="3"/>
  <c r="A344" i="3"/>
  <c r="AA343" i="3"/>
  <c r="AC343" i="3" s="1"/>
  <c r="AJ343" i="3" s="1"/>
  <c r="W343" i="3"/>
  <c r="Y343" i="3" s="1"/>
  <c r="AR340" i="3"/>
  <c r="AE343" i="3" l="1"/>
  <c r="A345" i="3"/>
  <c r="AA344" i="3"/>
  <c r="W344" i="3"/>
  <c r="Y344" i="3" s="1"/>
  <c r="AE344" i="3" s="1"/>
  <c r="AL344" i="3" s="1"/>
  <c r="AF343" i="3"/>
  <c r="AN343" i="3" s="1"/>
  <c r="AR341" i="3"/>
  <c r="AL343" i="3" l="1"/>
  <c r="AQ343" i="3"/>
  <c r="AC344" i="3"/>
  <c r="AJ344" i="3" s="1"/>
  <c r="AI344" i="3" a="1"/>
  <c r="AI344" i="3" s="1"/>
  <c r="U345" i="3"/>
  <c r="AI345" i="3" a="1"/>
  <c r="AI345" i="3" s="1"/>
  <c r="AA345" i="3"/>
  <c r="AC345" i="3" s="1"/>
  <c r="AJ345" i="3" s="1"/>
  <c r="A346" i="3"/>
  <c r="W345" i="3"/>
  <c r="Y345" i="3" s="1"/>
  <c r="AE345" i="3" s="1"/>
  <c r="AL345" i="3" s="1"/>
  <c r="AF344" i="3"/>
  <c r="AN344" i="3" s="1"/>
  <c r="AQ344" i="3"/>
  <c r="AO342" i="3"/>
  <c r="AR342" i="3"/>
  <c r="W346" i="3" l="1"/>
  <c r="Y346" i="3" s="1"/>
  <c r="AE346" i="3" s="1"/>
  <c r="AL346" i="3" s="1"/>
  <c r="A347" i="3"/>
  <c r="AA346" i="3"/>
  <c r="AF345" i="3"/>
  <c r="AN345" i="3" s="1"/>
  <c r="AQ345" i="3"/>
  <c r="AO343" i="3"/>
  <c r="AR343" i="3"/>
  <c r="AC346" i="3" l="1"/>
  <c r="AI346" i="3" a="1"/>
  <c r="AI346" i="3" s="1"/>
  <c r="U347" i="3"/>
  <c r="AI347" i="3" a="1"/>
  <c r="AI347" i="3" s="1"/>
  <c r="AQ346" i="3"/>
  <c r="AA347" i="3"/>
  <c r="AC347" i="3" s="1"/>
  <c r="AJ347" i="3" s="1"/>
  <c r="W347" i="3"/>
  <c r="Y347" i="3" s="1"/>
  <c r="A348" i="3"/>
  <c r="AO344" i="3"/>
  <c r="AR344" i="3"/>
  <c r="AE347" i="3" l="1"/>
  <c r="AJ346" i="3"/>
  <c r="AF346" i="3"/>
  <c r="AN346" i="3" s="1"/>
  <c r="U348" i="3"/>
  <c r="AI348" i="3" a="1"/>
  <c r="AI348" i="3" s="1"/>
  <c r="W348" i="3"/>
  <c r="Y348" i="3" s="1"/>
  <c r="AE348" i="3" s="1"/>
  <c r="AL348" i="3" s="1"/>
  <c r="A349" i="3"/>
  <c r="AA348" i="3"/>
  <c r="AC348" i="3" s="1"/>
  <c r="AJ348" i="3" s="1"/>
  <c r="AO345" i="3"/>
  <c r="AR345" i="3"/>
  <c r="AL347" i="3" l="1"/>
  <c r="AF347" i="3"/>
  <c r="AN347" i="3" s="1"/>
  <c r="AQ347" i="3"/>
  <c r="U349" i="3"/>
  <c r="AI349" i="3" a="1"/>
  <c r="AI349" i="3" s="1"/>
  <c r="AF348" i="3"/>
  <c r="AN348" i="3" s="1"/>
  <c r="AQ348" i="3"/>
  <c r="A350" i="3"/>
  <c r="AA349" i="3"/>
  <c r="AC349" i="3" s="1"/>
  <c r="AJ349" i="3" s="1"/>
  <c r="W349" i="3"/>
  <c r="Y349" i="3" s="1"/>
  <c r="AE349" i="3" s="1"/>
  <c r="AL349" i="3" s="1"/>
  <c r="AO346" i="3"/>
  <c r="AR346" i="3"/>
  <c r="U350" i="3" l="1"/>
  <c r="AI350" i="3" a="1"/>
  <c r="AI350" i="3" s="1"/>
  <c r="AA350" i="3"/>
  <c r="AC350" i="3" s="1"/>
  <c r="AJ350" i="3" s="1"/>
  <c r="W350" i="3"/>
  <c r="Y350" i="3" s="1"/>
  <c r="AE350" i="3" s="1"/>
  <c r="AL350" i="3" s="1"/>
  <c r="A351" i="3"/>
  <c r="AF349" i="3"/>
  <c r="AN349" i="3" s="1"/>
  <c r="AQ349" i="3"/>
  <c r="AO347" i="3"/>
  <c r="AR347" i="3"/>
  <c r="U351" i="3" l="1"/>
  <c r="AI351" i="3" a="1"/>
  <c r="AI351" i="3" s="1"/>
  <c r="AF350" i="3"/>
  <c r="AN350" i="3" s="1"/>
  <c r="AQ350" i="3"/>
  <c r="AA351" i="3"/>
  <c r="AC351" i="3" s="1"/>
  <c r="AJ351" i="3" s="1"/>
  <c r="W351" i="3"/>
  <c r="Y351" i="3" s="1"/>
  <c r="A352" i="3"/>
  <c r="AO348" i="3"/>
  <c r="AR348" i="3"/>
  <c r="AE351" i="3" l="1"/>
  <c r="AO350" i="3"/>
  <c r="AR350" i="3"/>
  <c r="A353" i="3"/>
  <c r="W352" i="3"/>
  <c r="Y352" i="3" s="1"/>
  <c r="AE352" i="3" s="1"/>
  <c r="AL352" i="3" s="1"/>
  <c r="AA352" i="3"/>
  <c r="AO349" i="3"/>
  <c r="AR349" i="3"/>
  <c r="AL351" i="3" l="1"/>
  <c r="AF351" i="3"/>
  <c r="AN351" i="3" s="1"/>
  <c r="AQ351" i="3"/>
  <c r="AC352" i="3"/>
  <c r="AI352" i="3" a="1"/>
  <c r="AI352" i="3" s="1"/>
  <c r="AO351" i="3"/>
  <c r="AR351" i="3"/>
  <c r="AA353" i="3"/>
  <c r="W353" i="3"/>
  <c r="Y353" i="3" s="1"/>
  <c r="AE353" i="3" s="1"/>
  <c r="AL353" i="3" s="1"/>
  <c r="A354" i="3"/>
  <c r="AQ352" i="3"/>
  <c r="AJ352" i="3" l="1"/>
  <c r="AF352" i="3"/>
  <c r="AN352" i="3" s="1"/>
  <c r="AC353" i="3"/>
  <c r="AJ353" i="3" s="1"/>
  <c r="AI353" i="3" a="1"/>
  <c r="AI353" i="3" s="1"/>
  <c r="AF353" i="3"/>
  <c r="AN353" i="3" s="1"/>
  <c r="AQ353" i="3"/>
  <c r="AA354" i="3"/>
  <c r="A355" i="3"/>
  <c r="W354" i="3"/>
  <c r="Y354" i="3" s="1"/>
  <c r="AE354" i="3" s="1"/>
  <c r="AL354" i="3" s="1"/>
  <c r="AO352" i="3" l="1"/>
  <c r="AR352" i="3"/>
  <c r="AC354" i="3"/>
  <c r="AF354" i="3" s="1"/>
  <c r="AN354" i="3" s="1"/>
  <c r="AI354" i="3" a="1"/>
  <c r="AI354" i="3" s="1"/>
  <c r="U355" i="3"/>
  <c r="AI355" i="3" a="1"/>
  <c r="AI355" i="3" s="1"/>
  <c r="AO353" i="3"/>
  <c r="AR353" i="3"/>
  <c r="A356" i="3"/>
  <c r="AA355" i="3"/>
  <c r="AC355" i="3" s="1"/>
  <c r="AJ355" i="3" s="1"/>
  <c r="W355" i="3"/>
  <c r="Y355" i="3" s="1"/>
  <c r="AE355" i="3" s="1"/>
  <c r="AL355" i="3" s="1"/>
  <c r="AQ354" i="3"/>
  <c r="A357" i="3" l="1"/>
  <c r="W356" i="3"/>
  <c r="Y356" i="3" s="1"/>
  <c r="AE356" i="3" s="1"/>
  <c r="AL356" i="3" s="1"/>
  <c r="AA356" i="3"/>
  <c r="AF355" i="3"/>
  <c r="AN355" i="3" s="1"/>
  <c r="AQ355" i="3"/>
  <c r="AR354" i="3"/>
  <c r="AC356" i="3" l="1"/>
  <c r="AI356" i="3" a="1"/>
  <c r="AI356" i="3" s="1"/>
  <c r="U357" i="3"/>
  <c r="AI357" i="3" a="1"/>
  <c r="AI357" i="3" s="1"/>
  <c r="AA357" i="3"/>
  <c r="AC357" i="3" s="1"/>
  <c r="AJ357" i="3" s="1"/>
  <c r="A358" i="3"/>
  <c r="W357" i="3"/>
  <c r="Y357" i="3" s="1"/>
  <c r="AQ356" i="3"/>
  <c r="AO355" i="3"/>
  <c r="AR355" i="3"/>
  <c r="AJ356" i="3" l="1"/>
  <c r="AO356" i="3" s="1"/>
  <c r="AF356" i="3"/>
  <c r="AN356" i="3" s="1"/>
  <c r="AE357" i="3"/>
  <c r="A359" i="3"/>
  <c r="W358" i="3"/>
  <c r="Y358" i="3" s="1"/>
  <c r="AE358" i="3" s="1"/>
  <c r="AL358" i="3" s="1"/>
  <c r="AA358" i="3"/>
  <c r="AR356" i="3"/>
  <c r="AL357" i="3" l="1"/>
  <c r="AQ357" i="3" s="1"/>
  <c r="AF357" i="3"/>
  <c r="AC358" i="3"/>
  <c r="AI358" i="3" a="1"/>
  <c r="AI358" i="3" s="1"/>
  <c r="A360" i="3"/>
  <c r="AA359" i="3"/>
  <c r="W359" i="3"/>
  <c r="Y359" i="3" s="1"/>
  <c r="AE359" i="3" s="1"/>
  <c r="AL359" i="3" s="1"/>
  <c r="AQ358" i="3"/>
  <c r="AJ358" i="3" l="1"/>
  <c r="AF358" i="3"/>
  <c r="AN358" i="3" s="1"/>
  <c r="AN357" i="3"/>
  <c r="AC359" i="3"/>
  <c r="AI359" i="3" a="1"/>
  <c r="AI359" i="3" s="1"/>
  <c r="U360" i="3"/>
  <c r="AI360" i="3" a="1"/>
  <c r="AI360" i="3" s="1"/>
  <c r="W360" i="3"/>
  <c r="Y360" i="3" s="1"/>
  <c r="A361" i="3"/>
  <c r="AA360" i="3"/>
  <c r="AC360" i="3" s="1"/>
  <c r="AJ360" i="3" s="1"/>
  <c r="AF359" i="3"/>
  <c r="AN359" i="3" s="1"/>
  <c r="AQ359" i="3"/>
  <c r="AO358" i="3"/>
  <c r="AR358" i="3"/>
  <c r="AO357" i="3" l="1"/>
  <c r="AR357" i="3"/>
  <c r="AE360" i="3"/>
  <c r="AF360" i="3" s="1"/>
  <c r="AN360" i="3" s="1"/>
  <c r="U361" i="3"/>
  <c r="AI361" i="3" a="1"/>
  <c r="AI361" i="3" s="1"/>
  <c r="A362" i="3"/>
  <c r="AA361" i="3"/>
  <c r="AC361" i="3" s="1"/>
  <c r="AJ361" i="3" s="1"/>
  <c r="W361" i="3"/>
  <c r="Y361" i="3" s="1"/>
  <c r="AE361" i="3" s="1"/>
  <c r="AL361" i="3" s="1"/>
  <c r="AR359" i="3"/>
  <c r="AL360" i="3" l="1"/>
  <c r="AR360" i="3"/>
  <c r="W362" i="3"/>
  <c r="Y362" i="3" s="1"/>
  <c r="AE362" i="3" s="1"/>
  <c r="AL362" i="3" s="1"/>
  <c r="A363" i="3"/>
  <c r="AA362" i="3"/>
  <c r="AF361" i="3"/>
  <c r="AN361" i="3" s="1"/>
  <c r="AQ361" i="3"/>
  <c r="AQ360" i="3" l="1"/>
  <c r="AO360" i="3"/>
  <c r="AC362" i="3"/>
  <c r="AJ362" i="3" s="1"/>
  <c r="AI362" i="3" a="1"/>
  <c r="AI362" i="3" s="1"/>
  <c r="AF362" i="3"/>
  <c r="AN362" i="3" s="1"/>
  <c r="AQ362" i="3"/>
  <c r="A364" i="3"/>
  <c r="AA363" i="3"/>
  <c r="W363" i="3"/>
  <c r="Y363" i="3" s="1"/>
  <c r="AE363" i="3" s="1"/>
  <c r="AL363" i="3" s="1"/>
  <c r="AO361" i="3"/>
  <c r="AR361" i="3"/>
  <c r="AC363" i="3" l="1"/>
  <c r="AF363" i="3" s="1"/>
  <c r="AN363" i="3" s="1"/>
  <c r="AI363" i="3" a="1"/>
  <c r="AI363" i="3" s="1"/>
  <c r="U364" i="3"/>
  <c r="AI364" i="3" a="1"/>
  <c r="AI364" i="3" s="1"/>
  <c r="AO362" i="3"/>
  <c r="AR362" i="3"/>
  <c r="A365" i="3"/>
  <c r="W364" i="3"/>
  <c r="Y364" i="3" s="1"/>
  <c r="AA364" i="3"/>
  <c r="AC364" i="3" s="1"/>
  <c r="AJ364" i="3" s="1"/>
  <c r="AQ363" i="3"/>
  <c r="AE364" i="3" l="1"/>
  <c r="U365" i="3"/>
  <c r="AI365" i="3" a="1"/>
  <c r="AI365" i="3" s="1"/>
  <c r="A366" i="3"/>
  <c r="AA365" i="3"/>
  <c r="AC365" i="3" s="1"/>
  <c r="AJ365" i="3" s="1"/>
  <c r="W365" i="3"/>
  <c r="Y365" i="3" s="1"/>
  <c r="AE365" i="3" s="1"/>
  <c r="AL365" i="3" s="1"/>
  <c r="AR363" i="3"/>
  <c r="AL364" i="3" l="1"/>
  <c r="AQ364" i="3" s="1"/>
  <c r="AF364" i="3"/>
  <c r="AN364" i="3" s="1"/>
  <c r="W366" i="3"/>
  <c r="Y366" i="3" s="1"/>
  <c r="AE366" i="3" s="1"/>
  <c r="AL366" i="3" s="1"/>
  <c r="A367" i="3"/>
  <c r="AA366" i="3"/>
  <c r="AF365" i="3"/>
  <c r="AN365" i="3" s="1"/>
  <c r="AQ365" i="3"/>
  <c r="AO364" i="3" l="1"/>
  <c r="AR364" i="3"/>
  <c r="AC366" i="3"/>
  <c r="AJ366" i="3" s="1"/>
  <c r="AI366" i="3" a="1"/>
  <c r="AI366" i="3" s="1"/>
  <c r="U367" i="3"/>
  <c r="AI367" i="3" a="1"/>
  <c r="AI367" i="3" s="1"/>
  <c r="AF366" i="3"/>
  <c r="AN366" i="3" s="1"/>
  <c r="AQ366" i="3"/>
  <c r="W367" i="3"/>
  <c r="Y367" i="3" s="1"/>
  <c r="AE367" i="3" s="1"/>
  <c r="AL367" i="3" s="1"/>
  <c r="A368" i="3"/>
  <c r="AA367" i="3"/>
  <c r="AC367" i="3" s="1"/>
  <c r="AJ367" i="3" s="1"/>
  <c r="AO365" i="3"/>
  <c r="AR365" i="3"/>
  <c r="U368" i="3" l="1"/>
  <c r="AI368" i="3" a="1"/>
  <c r="AI368" i="3" s="1"/>
  <c r="AO366" i="3"/>
  <c r="AR366" i="3"/>
  <c r="AF367" i="3"/>
  <c r="AN367" i="3" s="1"/>
  <c r="AQ367" i="3"/>
  <c r="A369" i="3"/>
  <c r="AA368" i="3"/>
  <c r="AC368" i="3" s="1"/>
  <c r="AJ368" i="3" s="1"/>
  <c r="W368" i="3"/>
  <c r="Y368" i="3" s="1"/>
  <c r="AE368" i="3" s="1"/>
  <c r="AL368" i="3" s="1"/>
  <c r="AO367" i="3" l="1"/>
  <c r="AR367" i="3"/>
  <c r="A370" i="3"/>
  <c r="AA369" i="3"/>
  <c r="AC369" i="3" s="1"/>
  <c r="W369" i="3"/>
  <c r="Y369" i="3" s="1"/>
  <c r="AE369" i="3" s="1"/>
  <c r="AL369" i="3" s="1"/>
  <c r="AF368" i="3"/>
  <c r="AN368" i="3" s="1"/>
  <c r="AQ368" i="3"/>
  <c r="A371" i="3" l="1"/>
  <c r="AA370" i="3"/>
  <c r="W370" i="3"/>
  <c r="Y370" i="3" s="1"/>
  <c r="AE370" i="3" s="1"/>
  <c r="AL370" i="3" s="1"/>
  <c r="AF369" i="3"/>
  <c r="AN369" i="3" s="1"/>
  <c r="AQ369" i="3"/>
  <c r="AO368" i="3"/>
  <c r="AR368" i="3"/>
  <c r="AC370" i="3" l="1"/>
  <c r="AF370" i="3" s="1"/>
  <c r="AN370" i="3" s="1"/>
  <c r="AI370" i="3" a="1"/>
  <c r="AI370" i="3" s="1"/>
  <c r="U371" i="3"/>
  <c r="AI371" i="3" a="1"/>
  <c r="AI371" i="3" s="1"/>
  <c r="A372" i="3"/>
  <c r="AA371" i="3"/>
  <c r="AC371" i="3" s="1"/>
  <c r="AJ371" i="3" s="1"/>
  <c r="W371" i="3"/>
  <c r="Y371" i="3" s="1"/>
  <c r="AQ370" i="3"/>
  <c r="AR369" i="3"/>
  <c r="AE371" i="3" l="1"/>
  <c r="A373" i="3"/>
  <c r="W372" i="3"/>
  <c r="Y372" i="3" s="1"/>
  <c r="AE372" i="3" s="1"/>
  <c r="AL372" i="3" s="1"/>
  <c r="AA372" i="3"/>
  <c r="AR370" i="3"/>
  <c r="AL371" i="3" l="1"/>
  <c r="AF371" i="3"/>
  <c r="AQ371" i="3"/>
  <c r="AC372" i="3"/>
  <c r="AI372" i="3" a="1"/>
  <c r="AI372" i="3" s="1"/>
  <c r="U373" i="3"/>
  <c r="AI373" i="3" a="1"/>
  <c r="AI373" i="3" s="1"/>
  <c r="W373" i="3"/>
  <c r="Y373" i="3" s="1"/>
  <c r="AE373" i="3" s="1"/>
  <c r="AL373" i="3" s="1"/>
  <c r="A374" i="3"/>
  <c r="AA373" i="3"/>
  <c r="AC373" i="3" s="1"/>
  <c r="AJ373" i="3" s="1"/>
  <c r="AF372" i="3"/>
  <c r="AN372" i="3" s="1"/>
  <c r="AQ372" i="3"/>
  <c r="AN371" i="3" l="1"/>
  <c r="AO371" i="3" s="1"/>
  <c r="AR371" i="3"/>
  <c r="AF373" i="3"/>
  <c r="AN373" i="3" s="1"/>
  <c r="AQ373" i="3"/>
  <c r="A375" i="3"/>
  <c r="AA374" i="3"/>
  <c r="W374" i="3"/>
  <c r="Y374" i="3" s="1"/>
  <c r="AE374" i="3" s="1"/>
  <c r="AL374" i="3" s="1"/>
  <c r="AR372" i="3"/>
  <c r="AC374" i="3" l="1"/>
  <c r="AI374" i="3" a="1"/>
  <c r="AI374" i="3" s="1"/>
  <c r="AO373" i="3"/>
  <c r="AR373" i="3"/>
  <c r="AA375" i="3"/>
  <c r="A376" i="3"/>
  <c r="W375" i="3"/>
  <c r="Y375" i="3" s="1"/>
  <c r="AE375" i="3" s="1"/>
  <c r="AL375" i="3" s="1"/>
  <c r="AQ374" i="3"/>
  <c r="AJ374" i="3" l="1"/>
  <c r="AF374" i="3"/>
  <c r="AC375" i="3"/>
  <c r="AI375" i="3" a="1"/>
  <c r="AI375" i="3" s="1"/>
  <c r="W376" i="3"/>
  <c r="Y376" i="3" s="1"/>
  <c r="AE376" i="3" s="1"/>
  <c r="AL376" i="3" s="1"/>
  <c r="A377" i="3"/>
  <c r="AA376" i="3"/>
  <c r="AQ375" i="3"/>
  <c r="AN374" i="3" l="1"/>
  <c r="AO374" i="3" s="1"/>
  <c r="AR374" i="3"/>
  <c r="AJ375" i="3"/>
  <c r="AF375" i="3"/>
  <c r="AC376" i="3"/>
  <c r="AI376" i="3" a="1"/>
  <c r="AI376" i="3" s="1"/>
  <c r="AQ376" i="3"/>
  <c r="AA377" i="3"/>
  <c r="A378" i="3"/>
  <c r="W377" i="3"/>
  <c r="Y377" i="3" s="1"/>
  <c r="AE377" i="3" s="1"/>
  <c r="AL377" i="3" s="1"/>
  <c r="AN375" i="3" l="1"/>
  <c r="AO375" i="3" s="1"/>
  <c r="AR375" i="3"/>
  <c r="AJ376" i="3"/>
  <c r="AF376" i="3"/>
  <c r="AN376" i="3" s="1"/>
  <c r="AC377" i="3"/>
  <c r="AF377" i="3" s="1"/>
  <c r="AN377" i="3" s="1"/>
  <c r="AI377" i="3" a="1"/>
  <c r="AI377" i="3" s="1"/>
  <c r="AA378" i="3"/>
  <c r="A379" i="3"/>
  <c r="W378" i="3"/>
  <c r="Y378" i="3" s="1"/>
  <c r="AE378" i="3" s="1"/>
  <c r="AL378" i="3" s="1"/>
  <c r="AQ377" i="3"/>
  <c r="AC378" i="3" l="1"/>
  <c r="AF378" i="3" s="1"/>
  <c r="AN378" i="3" s="1"/>
  <c r="AI378" i="3" a="1"/>
  <c r="AI378" i="3" s="1"/>
  <c r="U379" i="3"/>
  <c r="AI379" i="3" a="1"/>
  <c r="AI379" i="3" s="1"/>
  <c r="AA379" i="3"/>
  <c r="AC379" i="3" s="1"/>
  <c r="AJ379" i="3" s="1"/>
  <c r="A380" i="3"/>
  <c r="W379" i="3"/>
  <c r="Y379" i="3" s="1"/>
  <c r="AQ378" i="3"/>
  <c r="AR377" i="3"/>
  <c r="AO376" i="3"/>
  <c r="AR376" i="3"/>
  <c r="AE379" i="3" l="1"/>
  <c r="U380" i="3"/>
  <c r="AI380" i="3" a="1"/>
  <c r="AI380" i="3" s="1"/>
  <c r="A381" i="3"/>
  <c r="AA380" i="3"/>
  <c r="AC380" i="3" s="1"/>
  <c r="AJ380" i="3" s="1"/>
  <c r="W380" i="3"/>
  <c r="Y380" i="3" s="1"/>
  <c r="AE380" i="3" s="1"/>
  <c r="AL380" i="3" s="1"/>
  <c r="AR378" i="3"/>
  <c r="AL379" i="3" l="1"/>
  <c r="AQ379" i="3" s="1"/>
  <c r="AF379" i="3"/>
  <c r="A382" i="3"/>
  <c r="AA381" i="3"/>
  <c r="W381" i="3"/>
  <c r="Y381" i="3" s="1"/>
  <c r="AE381" i="3" s="1"/>
  <c r="AL381" i="3" s="1"/>
  <c r="AF380" i="3"/>
  <c r="AN380" i="3" s="1"/>
  <c r="AQ380" i="3"/>
  <c r="AN379" i="3" l="1"/>
  <c r="AC381" i="3"/>
  <c r="AJ381" i="3" s="1"/>
  <c r="AI381" i="3" a="1"/>
  <c r="AI381" i="3" s="1"/>
  <c r="U382" i="3"/>
  <c r="AI382" i="3" a="1"/>
  <c r="AI382" i="3" s="1"/>
  <c r="A383" i="3"/>
  <c r="AA382" i="3"/>
  <c r="AC382" i="3" s="1"/>
  <c r="AJ382" i="3" s="1"/>
  <c r="W382" i="3"/>
  <c r="Y382" i="3" s="1"/>
  <c r="AE382" i="3" s="1"/>
  <c r="AL382" i="3" s="1"/>
  <c r="AF381" i="3"/>
  <c r="AN381" i="3" s="1"/>
  <c r="AQ381" i="3"/>
  <c r="AO380" i="3"/>
  <c r="AR380" i="3"/>
  <c r="AO379" i="3" l="1"/>
  <c r="AR379" i="3"/>
  <c r="U383" i="3"/>
  <c r="AI383" i="3" a="1"/>
  <c r="AI383" i="3" s="1"/>
  <c r="A384" i="3"/>
  <c r="AA383" i="3"/>
  <c r="AC383" i="3" s="1"/>
  <c r="AJ383" i="3" s="1"/>
  <c r="W383" i="3"/>
  <c r="Y383" i="3" s="1"/>
  <c r="AE383" i="3" s="1"/>
  <c r="AL383" i="3" s="1"/>
  <c r="AF382" i="3"/>
  <c r="AN382" i="3" s="1"/>
  <c r="AQ382" i="3"/>
  <c r="AO381" i="3"/>
  <c r="AR381" i="3"/>
  <c r="U384" i="3" l="1"/>
  <c r="AI384" i="3" a="1"/>
  <c r="AI384" i="3" s="1"/>
  <c r="A385" i="3"/>
  <c r="AA384" i="3"/>
  <c r="AC384" i="3" s="1"/>
  <c r="AJ384" i="3" s="1"/>
  <c r="W384" i="3"/>
  <c r="Y384" i="3" s="1"/>
  <c r="AE384" i="3" s="1"/>
  <c r="AL384" i="3" s="1"/>
  <c r="AF383" i="3"/>
  <c r="AN383" i="3" s="1"/>
  <c r="AQ383" i="3"/>
  <c r="AO382" i="3"/>
  <c r="AR382" i="3"/>
  <c r="W385" i="3" l="1"/>
  <c r="Y385" i="3" s="1"/>
  <c r="AE385" i="3" s="1"/>
  <c r="AL385" i="3" s="1"/>
  <c r="A386" i="3"/>
  <c r="AA385" i="3"/>
  <c r="AF384" i="3"/>
  <c r="AN384" i="3" s="1"/>
  <c r="AQ384" i="3"/>
  <c r="AO383" i="3"/>
  <c r="AR383" i="3"/>
  <c r="AC385" i="3" l="1"/>
  <c r="AI385" i="3" a="1"/>
  <c r="AI385" i="3" s="1"/>
  <c r="U386" i="3"/>
  <c r="AI386" i="3" a="1"/>
  <c r="AI386" i="3" s="1"/>
  <c r="AF385" i="3"/>
  <c r="AN385" i="3" s="1"/>
  <c r="AQ385" i="3"/>
  <c r="A387" i="3"/>
  <c r="AA386" i="3"/>
  <c r="AC386" i="3" s="1"/>
  <c r="AJ386" i="3" s="1"/>
  <c r="W386" i="3"/>
  <c r="Y386" i="3" s="1"/>
  <c r="AO384" i="3"/>
  <c r="AR384" i="3"/>
  <c r="AE386" i="3" l="1"/>
  <c r="AR385" i="3"/>
  <c r="AA387" i="3"/>
  <c r="A388" i="3"/>
  <c r="W387" i="3"/>
  <c r="Y387" i="3" s="1"/>
  <c r="AE387" i="3" s="1"/>
  <c r="AL387" i="3" s="1"/>
  <c r="AL386" i="3" l="1"/>
  <c r="AF386" i="3"/>
  <c r="AQ386" i="3"/>
  <c r="AC387" i="3"/>
  <c r="AJ387" i="3" s="1"/>
  <c r="AI387" i="3" a="1"/>
  <c r="AI387" i="3" s="1"/>
  <c r="U388" i="3"/>
  <c r="AI388" i="3" a="1"/>
  <c r="AI388" i="3" s="1"/>
  <c r="AA388" i="3"/>
  <c r="AC388" i="3" s="1"/>
  <c r="AJ388" i="3" s="1"/>
  <c r="A389" i="3"/>
  <c r="W388" i="3"/>
  <c r="Y388" i="3" s="1"/>
  <c r="AF387" i="3"/>
  <c r="AN387" i="3" s="1"/>
  <c r="AQ387" i="3"/>
  <c r="AN386" i="3" l="1"/>
  <c r="AO386" i="3" s="1"/>
  <c r="AR386" i="3"/>
  <c r="AE388" i="3"/>
  <c r="U389" i="3"/>
  <c r="AI389" i="3" a="1"/>
  <c r="AI389" i="3" s="1"/>
  <c r="AA389" i="3"/>
  <c r="AC389" i="3" s="1"/>
  <c r="AJ389" i="3" s="1"/>
  <c r="A390" i="3"/>
  <c r="W389" i="3"/>
  <c r="Y389" i="3" s="1"/>
  <c r="AO387" i="3"/>
  <c r="AR387" i="3"/>
  <c r="AE389" i="3" l="1"/>
  <c r="AL388" i="3"/>
  <c r="AQ388" i="3" s="1"/>
  <c r="AF388" i="3"/>
  <c r="U390" i="3"/>
  <c r="AI390" i="3" a="1"/>
  <c r="AI390" i="3" s="1"/>
  <c r="A391" i="3"/>
  <c r="AA390" i="3"/>
  <c r="AC390" i="3" s="1"/>
  <c r="AJ390" i="3" s="1"/>
  <c r="W390" i="3"/>
  <c r="Y390" i="3" s="1"/>
  <c r="AE390" i="3" s="1"/>
  <c r="AL390" i="3" s="1"/>
  <c r="AL389" i="3" l="1"/>
  <c r="AF389" i="3"/>
  <c r="AQ389" i="3"/>
  <c r="AN388" i="3"/>
  <c r="U391" i="3"/>
  <c r="AI391" i="3" a="1"/>
  <c r="AI391" i="3" s="1"/>
  <c r="A392" i="3"/>
  <c r="AA391" i="3"/>
  <c r="AC391" i="3" s="1"/>
  <c r="AJ391" i="3" s="1"/>
  <c r="W391" i="3"/>
  <c r="Y391" i="3" s="1"/>
  <c r="AF390" i="3"/>
  <c r="AN390" i="3" s="1"/>
  <c r="AQ390" i="3"/>
  <c r="AN389" i="3" l="1"/>
  <c r="AO388" i="3"/>
  <c r="AR388" i="3"/>
  <c r="AE391" i="3"/>
  <c r="U392" i="3"/>
  <c r="AI392" i="3" a="1"/>
  <c r="AI392" i="3" s="1"/>
  <c r="A393" i="3"/>
  <c r="AA392" i="3"/>
  <c r="AC392" i="3" s="1"/>
  <c r="AJ392" i="3" s="1"/>
  <c r="W392" i="3"/>
  <c r="Y392" i="3" s="1"/>
  <c r="AE392" i="3" s="1"/>
  <c r="AL392" i="3" s="1"/>
  <c r="AF391" i="3"/>
  <c r="AN391" i="3" s="1"/>
  <c r="AO390" i="3"/>
  <c r="AR390" i="3"/>
  <c r="AO389" i="3" l="1"/>
  <c r="AR389" i="3"/>
  <c r="AL391" i="3"/>
  <c r="U393" i="3"/>
  <c r="AI393" i="3" a="1"/>
  <c r="AI393" i="3" s="1"/>
  <c r="A394" i="3"/>
  <c r="AA393" i="3"/>
  <c r="AC393" i="3" s="1"/>
  <c r="AJ393" i="3" s="1"/>
  <c r="W393" i="3"/>
  <c r="Y393" i="3" s="1"/>
  <c r="AF392" i="3"/>
  <c r="AN392" i="3" s="1"/>
  <c r="AQ392" i="3"/>
  <c r="AR391" i="3"/>
  <c r="AQ391" i="3" l="1"/>
  <c r="AO391" i="3"/>
  <c r="AE393" i="3"/>
  <c r="A395" i="3"/>
  <c r="AA394" i="3"/>
  <c r="W394" i="3"/>
  <c r="Y394" i="3" s="1"/>
  <c r="AE394" i="3" s="1"/>
  <c r="AL394" i="3" s="1"/>
  <c r="AO392" i="3"/>
  <c r="AR392" i="3"/>
  <c r="AL393" i="3" l="1"/>
  <c r="AF393" i="3"/>
  <c r="AQ393" i="3"/>
  <c r="AC394" i="3"/>
  <c r="AI394" i="3" a="1"/>
  <c r="AI394" i="3" s="1"/>
  <c r="A396" i="3"/>
  <c r="AA395" i="3"/>
  <c r="W395" i="3"/>
  <c r="Y395" i="3" s="1"/>
  <c r="AE395" i="3" s="1"/>
  <c r="AL395" i="3" s="1"/>
  <c r="AF394" i="3"/>
  <c r="AN394" i="3" s="1"/>
  <c r="AQ394" i="3"/>
  <c r="AN393" i="3" l="1"/>
  <c r="AO393" i="3" s="1"/>
  <c r="AR393" i="3"/>
  <c r="AC395" i="3"/>
  <c r="AI395" i="3" a="1"/>
  <c r="AI395" i="3" s="1"/>
  <c r="W396" i="3"/>
  <c r="Y396" i="3" s="1"/>
  <c r="AE396" i="3" s="1"/>
  <c r="AL396" i="3" s="1"/>
  <c r="AA396" i="3"/>
  <c r="A397" i="3"/>
  <c r="AF395" i="3"/>
  <c r="AN395" i="3" s="1"/>
  <c r="AQ395" i="3"/>
  <c r="AR394" i="3"/>
  <c r="AC396" i="3" l="1"/>
  <c r="AF396" i="3" s="1"/>
  <c r="AN396" i="3" s="1"/>
  <c r="AI396" i="3" a="1"/>
  <c r="AI396" i="3" s="1"/>
  <c r="AQ396" i="3"/>
  <c r="A398" i="3"/>
  <c r="AA397" i="3"/>
  <c r="W397" i="3"/>
  <c r="Y397" i="3" s="1"/>
  <c r="AE397" i="3" s="1"/>
  <c r="AL397" i="3" s="1"/>
  <c r="AR395" i="3"/>
  <c r="AC397" i="3" l="1"/>
  <c r="AF397" i="3" s="1"/>
  <c r="AN397" i="3" s="1"/>
  <c r="AI397" i="3" a="1"/>
  <c r="AI397" i="3" s="1"/>
  <c r="U398" i="3"/>
  <c r="AI398" i="3" a="1"/>
  <c r="AI398" i="3" s="1"/>
  <c r="AR396" i="3"/>
  <c r="AA398" i="3"/>
  <c r="AC398" i="3" s="1"/>
  <c r="AJ398" i="3" s="1"/>
  <c r="A399" i="3"/>
  <c r="W398" i="3"/>
  <c r="Y398" i="3" s="1"/>
  <c r="AQ397" i="3"/>
  <c r="AE398" i="3" l="1"/>
  <c r="U399" i="3"/>
  <c r="AI399" i="3" a="1"/>
  <c r="AI399" i="3" s="1"/>
  <c r="A400" i="3"/>
  <c r="AA399" i="3"/>
  <c r="AC399" i="3" s="1"/>
  <c r="AJ399" i="3" s="1"/>
  <c r="W399" i="3"/>
  <c r="Y399" i="3" s="1"/>
  <c r="AE399" i="3" s="1"/>
  <c r="AL399" i="3" s="1"/>
  <c r="AR397" i="3"/>
  <c r="AL398" i="3" l="1"/>
  <c r="AQ398" i="3" s="1"/>
  <c r="AF398" i="3"/>
  <c r="U400" i="3"/>
  <c r="AI400" i="3" a="1"/>
  <c r="AI400" i="3" s="1"/>
  <c r="W400" i="3"/>
  <c r="Y400" i="3" s="1"/>
  <c r="A401" i="3"/>
  <c r="AA400" i="3"/>
  <c r="AC400" i="3" s="1"/>
  <c r="AJ400" i="3" s="1"/>
  <c r="AF399" i="3"/>
  <c r="AN399" i="3" s="1"/>
  <c r="AQ399" i="3"/>
  <c r="AE400" i="3" l="1"/>
  <c r="AN398" i="3"/>
  <c r="AO398" i="3" s="1"/>
  <c r="AR398" i="3"/>
  <c r="U401" i="3"/>
  <c r="AI401" i="3" a="1"/>
  <c r="AI401" i="3" s="1"/>
  <c r="AF400" i="3"/>
  <c r="AN400" i="3" s="1"/>
  <c r="AA401" i="3"/>
  <c r="AC401" i="3" s="1"/>
  <c r="AJ401" i="3" s="1"/>
  <c r="W401" i="3"/>
  <c r="Y401" i="3" s="1"/>
  <c r="AE401" i="3" s="1"/>
  <c r="AL401" i="3" s="1"/>
  <c r="A402" i="3"/>
  <c r="AO399" i="3"/>
  <c r="AR399" i="3"/>
  <c r="AL400" i="3" l="1"/>
  <c r="AQ400" i="3"/>
  <c r="U402" i="3"/>
  <c r="AI402" i="3" a="1"/>
  <c r="AI402" i="3" s="1"/>
  <c r="AO400" i="3"/>
  <c r="AR400" i="3"/>
  <c r="AF401" i="3"/>
  <c r="AN401" i="3" s="1"/>
  <c r="AQ401" i="3"/>
  <c r="W402" i="3"/>
  <c r="Y402" i="3" s="1"/>
  <c r="AE402" i="3" s="1"/>
  <c r="AL402" i="3" s="1"/>
  <c r="A403" i="3"/>
  <c r="AA402" i="3"/>
  <c r="AC402" i="3" s="1"/>
  <c r="AJ402" i="3" s="1"/>
  <c r="U403" i="3" l="1"/>
  <c r="AI403" i="3" a="1"/>
  <c r="AI403" i="3" s="1"/>
  <c r="AO401" i="3"/>
  <c r="AR401" i="3"/>
  <c r="AF402" i="3"/>
  <c r="AN402" i="3" s="1"/>
  <c r="AQ402" i="3"/>
  <c r="A404" i="3"/>
  <c r="AA403" i="3"/>
  <c r="AC403" i="3" s="1"/>
  <c r="AJ403" i="3" s="1"/>
  <c r="W403" i="3"/>
  <c r="Y403" i="3" s="1"/>
  <c r="AE403" i="3" l="1"/>
  <c r="U404" i="3"/>
  <c r="AI404" i="3" a="1"/>
  <c r="AI404" i="3" s="1"/>
  <c r="AO402" i="3"/>
  <c r="AR402" i="3"/>
  <c r="A405" i="3"/>
  <c r="AA404" i="3"/>
  <c r="AC404" i="3" s="1"/>
  <c r="AJ404" i="3" s="1"/>
  <c r="W404" i="3"/>
  <c r="Y404" i="3" s="1"/>
  <c r="AE404" i="3" s="1"/>
  <c r="AL404" i="3" s="1"/>
  <c r="AL403" i="3" l="1"/>
  <c r="AF403" i="3"/>
  <c r="AQ403" i="3"/>
  <c r="AA405" i="3"/>
  <c r="W405" i="3"/>
  <c r="Y405" i="3" s="1"/>
  <c r="AE405" i="3" s="1"/>
  <c r="AL405" i="3" s="1"/>
  <c r="A406" i="3"/>
  <c r="AF404" i="3"/>
  <c r="AN404" i="3" s="1"/>
  <c r="AQ404" i="3"/>
  <c r="AN403" i="3" l="1"/>
  <c r="AO403" i="3" s="1"/>
  <c r="AR403" i="3"/>
  <c r="AC405" i="3"/>
  <c r="AF405" i="3" s="1"/>
  <c r="AN405" i="3" s="1"/>
  <c r="AI405" i="3" a="1"/>
  <c r="AI405" i="3" s="1"/>
  <c r="AQ405" i="3"/>
  <c r="AA406" i="3"/>
  <c r="W406" i="3"/>
  <c r="Y406" i="3" s="1"/>
  <c r="AE406" i="3" s="1"/>
  <c r="AL406" i="3" s="1"/>
  <c r="A407" i="3"/>
  <c r="AO404" i="3"/>
  <c r="AR404" i="3"/>
  <c r="AC406" i="3" l="1"/>
  <c r="AF406" i="3" s="1"/>
  <c r="AN406" i="3" s="1"/>
  <c r="AI406" i="3" a="1"/>
  <c r="AI406" i="3" s="1"/>
  <c r="AR405" i="3"/>
  <c r="AQ406" i="3"/>
  <c r="A408" i="3"/>
  <c r="AA407" i="3"/>
  <c r="W407" i="3"/>
  <c r="Y407" i="3" s="1"/>
  <c r="AE407" i="3" s="1"/>
  <c r="AL407" i="3" s="1"/>
  <c r="AC407" i="3" l="1"/>
  <c r="AI407" i="3" a="1"/>
  <c r="AI407" i="3" s="1"/>
  <c r="U408" i="3"/>
  <c r="AI408" i="3" a="1"/>
  <c r="AI408" i="3" s="1"/>
  <c r="AR406" i="3"/>
  <c r="A409" i="3"/>
  <c r="AA408" i="3"/>
  <c r="AC408" i="3" s="1"/>
  <c r="AJ408" i="3" s="1"/>
  <c r="W408" i="3"/>
  <c r="Y408" i="3" s="1"/>
  <c r="AQ407" i="3"/>
  <c r="AE408" i="3" l="1"/>
  <c r="AJ407" i="3"/>
  <c r="AF407" i="3"/>
  <c r="A410" i="3"/>
  <c r="AA409" i="3"/>
  <c r="W409" i="3"/>
  <c r="Y409" i="3" s="1"/>
  <c r="AE409" i="3" s="1"/>
  <c r="AL409" i="3" s="1"/>
  <c r="AL408" i="3" l="1"/>
  <c r="AF408" i="3"/>
  <c r="AQ408" i="3"/>
  <c r="AN407" i="3"/>
  <c r="AO407" i="3" s="1"/>
  <c r="AR407" i="3"/>
  <c r="AC409" i="3"/>
  <c r="AJ409" i="3" s="1"/>
  <c r="AI409" i="3" a="1"/>
  <c r="AI409" i="3" s="1"/>
  <c r="U410" i="3"/>
  <c r="AI410" i="3" a="1"/>
  <c r="AI410" i="3" s="1"/>
  <c r="A411" i="3"/>
  <c r="AA410" i="3"/>
  <c r="AC410" i="3" s="1"/>
  <c r="AJ410" i="3" s="1"/>
  <c r="W410" i="3"/>
  <c r="Y410" i="3" s="1"/>
  <c r="AE410" i="3" s="1"/>
  <c r="AL410" i="3" s="1"/>
  <c r="AF409" i="3"/>
  <c r="AN409" i="3" s="1"/>
  <c r="AQ409" i="3"/>
  <c r="AN408" i="3" l="1"/>
  <c r="AO408" i="3" s="1"/>
  <c r="AR408" i="3"/>
  <c r="AA411" i="3"/>
  <c r="A412" i="3"/>
  <c r="W411" i="3"/>
  <c r="Y411" i="3" s="1"/>
  <c r="AE411" i="3" s="1"/>
  <c r="AL411" i="3" s="1"/>
  <c r="AF410" i="3"/>
  <c r="AN410" i="3" s="1"/>
  <c r="AQ410" i="3"/>
  <c r="AC411" i="3" l="1"/>
  <c r="AJ411" i="3" s="1"/>
  <c r="AI411" i="3" a="1"/>
  <c r="AI411" i="3" s="1"/>
  <c r="A413" i="3"/>
  <c r="W412" i="3"/>
  <c r="Y412" i="3" s="1"/>
  <c r="AE412" i="3" s="1"/>
  <c r="AL412" i="3" s="1"/>
  <c r="AA412" i="3"/>
  <c r="AC412" i="3" s="1"/>
  <c r="AF411" i="3"/>
  <c r="AN411" i="3" s="1"/>
  <c r="AQ411" i="3"/>
  <c r="AO409" i="3"/>
  <c r="AR409" i="3"/>
  <c r="U413" i="3" l="1"/>
  <c r="AI413" i="3" a="1"/>
  <c r="AI413" i="3" s="1"/>
  <c r="A414" i="3"/>
  <c r="AA413" i="3"/>
  <c r="AC413" i="3" s="1"/>
  <c r="AJ413" i="3" s="1"/>
  <c r="W413" i="3"/>
  <c r="Y413" i="3" s="1"/>
  <c r="AE413" i="3" s="1"/>
  <c r="AL413" i="3" s="1"/>
  <c r="AF412" i="3"/>
  <c r="AN412" i="3" s="1"/>
  <c r="AQ412" i="3"/>
  <c r="AO410" i="3"/>
  <c r="AR410" i="3"/>
  <c r="U414" i="3" l="1"/>
  <c r="AI414" i="3" a="1"/>
  <c r="AI414" i="3" s="1"/>
  <c r="A415" i="3"/>
  <c r="AA414" i="3"/>
  <c r="AC414" i="3" s="1"/>
  <c r="AJ414" i="3" s="1"/>
  <c r="W414" i="3"/>
  <c r="Y414" i="3" s="1"/>
  <c r="AE414" i="3" s="1"/>
  <c r="AL414" i="3" s="1"/>
  <c r="AF413" i="3"/>
  <c r="AN413" i="3" s="1"/>
  <c r="AQ413" i="3"/>
  <c r="AO411" i="3"/>
  <c r="AR411" i="3"/>
  <c r="U415" i="3" l="1"/>
  <c r="AI415" i="3" a="1"/>
  <c r="AI415" i="3" s="1"/>
  <c r="AA415" i="3"/>
  <c r="AC415" i="3" s="1"/>
  <c r="AJ415" i="3" s="1"/>
  <c r="A416" i="3"/>
  <c r="W415" i="3"/>
  <c r="Y415" i="3" s="1"/>
  <c r="AE415" i="3" s="1"/>
  <c r="AL415" i="3" s="1"/>
  <c r="AQ414" i="3"/>
  <c r="AF414" i="3"/>
  <c r="AN414" i="3" s="1"/>
  <c r="AR412" i="3"/>
  <c r="U416" i="3" l="1"/>
  <c r="AI416" i="3" a="1"/>
  <c r="AI416" i="3" s="1"/>
  <c r="A417" i="3"/>
  <c r="W416" i="3"/>
  <c r="Y416" i="3" s="1"/>
  <c r="AE416" i="3" s="1"/>
  <c r="AL416" i="3" s="1"/>
  <c r="AA416" i="3"/>
  <c r="AC416" i="3" s="1"/>
  <c r="AJ416" i="3" s="1"/>
  <c r="AF415" i="3"/>
  <c r="AN415" i="3" s="1"/>
  <c r="AQ415" i="3"/>
  <c r="AO413" i="3"/>
  <c r="AR413" i="3"/>
  <c r="U417" i="3" l="1"/>
  <c r="AI417" i="3" a="1"/>
  <c r="AI417" i="3" s="1"/>
  <c r="A418" i="3"/>
  <c r="W417" i="3"/>
  <c r="Y417" i="3" s="1"/>
  <c r="AA417" i="3"/>
  <c r="AC417" i="3" s="1"/>
  <c r="AJ417" i="3" s="1"/>
  <c r="AF416" i="3"/>
  <c r="AN416" i="3" s="1"/>
  <c r="AQ416" i="3"/>
  <c r="AO414" i="3"/>
  <c r="AR414" i="3"/>
  <c r="AE417" i="3" l="1"/>
  <c r="U418" i="3"/>
  <c r="AI418" i="3" a="1"/>
  <c r="AI418" i="3" s="1"/>
  <c r="A419" i="3"/>
  <c r="AA418" i="3"/>
  <c r="AC418" i="3" s="1"/>
  <c r="AJ418" i="3" s="1"/>
  <c r="W418" i="3"/>
  <c r="Y418" i="3" s="1"/>
  <c r="AE418" i="3" s="1"/>
  <c r="AL418" i="3" s="1"/>
  <c r="AO415" i="3"/>
  <c r="AR415" i="3"/>
  <c r="AL417" i="3" l="1"/>
  <c r="AF417" i="3"/>
  <c r="AN417" i="3" s="1"/>
  <c r="AQ417" i="3"/>
  <c r="U419" i="3"/>
  <c r="AI419" i="3" a="1"/>
  <c r="AI419" i="3" s="1"/>
  <c r="A420" i="3"/>
  <c r="AA419" i="3"/>
  <c r="AC419" i="3" s="1"/>
  <c r="AJ419" i="3" s="1"/>
  <c r="W419" i="3"/>
  <c r="Y419" i="3" s="1"/>
  <c r="AQ418" i="3"/>
  <c r="AF418" i="3"/>
  <c r="AN418" i="3" s="1"/>
  <c r="AO416" i="3"/>
  <c r="AR416" i="3"/>
  <c r="AE419" i="3" l="1"/>
  <c r="AF419" i="3" s="1"/>
  <c r="AN419" i="3" s="1"/>
  <c r="U420" i="3"/>
  <c r="AI420" i="3" a="1"/>
  <c r="AI420" i="3" s="1"/>
  <c r="A421" i="3"/>
  <c r="AA420" i="3"/>
  <c r="AC420" i="3" s="1"/>
  <c r="AJ420" i="3" s="1"/>
  <c r="W420" i="3"/>
  <c r="Y420" i="3" s="1"/>
  <c r="AE420" i="3" s="1"/>
  <c r="AL420" i="3" s="1"/>
  <c r="AO417" i="3"/>
  <c r="AR417" i="3"/>
  <c r="AL419" i="3" l="1"/>
  <c r="AQ419" i="3"/>
  <c r="A422" i="3"/>
  <c r="W421" i="3"/>
  <c r="Y421" i="3" s="1"/>
  <c r="AE421" i="3" s="1"/>
  <c r="AL421" i="3" s="1"/>
  <c r="AA421" i="3"/>
  <c r="AF420" i="3"/>
  <c r="AN420" i="3" s="1"/>
  <c r="AQ420" i="3"/>
  <c r="AO418" i="3"/>
  <c r="AR418" i="3"/>
  <c r="AC421" i="3" l="1"/>
  <c r="AI421" i="3" a="1"/>
  <c r="AI421" i="3" s="1"/>
  <c r="U422" i="3"/>
  <c r="AI422" i="3" a="1"/>
  <c r="AI422" i="3" s="1"/>
  <c r="A423" i="3"/>
  <c r="AA422" i="3"/>
  <c r="AC422" i="3" s="1"/>
  <c r="AJ422" i="3" s="1"/>
  <c r="W422" i="3"/>
  <c r="Y422" i="3" s="1"/>
  <c r="AQ421" i="3"/>
  <c r="AO419" i="3"/>
  <c r="AR419" i="3"/>
  <c r="AE422" i="3" l="1"/>
  <c r="AJ421" i="3"/>
  <c r="AF421" i="3"/>
  <c r="AN421" i="3" s="1"/>
  <c r="U423" i="3"/>
  <c r="AI423" i="3" a="1"/>
  <c r="AI423" i="3" s="1"/>
  <c r="A424" i="3"/>
  <c r="AA423" i="3"/>
  <c r="AC423" i="3" s="1"/>
  <c r="AJ423" i="3" s="1"/>
  <c r="W423" i="3"/>
  <c r="Y423" i="3" s="1"/>
  <c r="AE423" i="3" s="1"/>
  <c r="AL423" i="3" s="1"/>
  <c r="AO420" i="3"/>
  <c r="AR420" i="3"/>
  <c r="AL422" i="3" l="1"/>
  <c r="AF422" i="3"/>
  <c r="AN422" i="3" s="1"/>
  <c r="AQ422" i="3"/>
  <c r="U424" i="3"/>
  <c r="AI424" i="3" a="1"/>
  <c r="AI424" i="3" s="1"/>
  <c r="A425" i="3"/>
  <c r="W424" i="3"/>
  <c r="Y424" i="3" s="1"/>
  <c r="AE424" i="3" s="1"/>
  <c r="AL424" i="3" s="1"/>
  <c r="AA424" i="3"/>
  <c r="AC424" i="3" s="1"/>
  <c r="AJ424" i="3" s="1"/>
  <c r="AQ423" i="3"/>
  <c r="AF423" i="3"/>
  <c r="AN423" i="3" s="1"/>
  <c r="AO421" i="3"/>
  <c r="AR421" i="3"/>
  <c r="U425" i="3" l="1"/>
  <c r="AI425" i="3" a="1"/>
  <c r="AI425" i="3" s="1"/>
  <c r="A426" i="3"/>
  <c r="AA425" i="3"/>
  <c r="AC425" i="3" s="1"/>
  <c r="AJ425" i="3" s="1"/>
  <c r="W425" i="3"/>
  <c r="Y425" i="3" s="1"/>
  <c r="AE425" i="3" s="1"/>
  <c r="AL425" i="3" s="1"/>
  <c r="AF424" i="3"/>
  <c r="AN424" i="3" s="1"/>
  <c r="AQ424" i="3"/>
  <c r="AO422" i="3"/>
  <c r="AR422" i="3"/>
  <c r="U426" i="3" l="1"/>
  <c r="AI426" i="3" a="1"/>
  <c r="AI426" i="3" s="1"/>
  <c r="A427" i="3"/>
  <c r="AA426" i="3"/>
  <c r="AC426" i="3" s="1"/>
  <c r="AJ426" i="3" s="1"/>
  <c r="W426" i="3"/>
  <c r="Y426" i="3" s="1"/>
  <c r="AE426" i="3" s="1"/>
  <c r="AL426" i="3" s="1"/>
  <c r="AQ425" i="3"/>
  <c r="AF425" i="3"/>
  <c r="AN425" i="3" s="1"/>
  <c r="AO423" i="3"/>
  <c r="AR423" i="3"/>
  <c r="U427" i="3" l="1"/>
  <c r="AI427" i="3" a="1"/>
  <c r="AI427" i="3" s="1"/>
  <c r="A428" i="3"/>
  <c r="W427" i="3"/>
  <c r="Y427" i="3" s="1"/>
  <c r="AA427" i="3"/>
  <c r="AC427" i="3" s="1"/>
  <c r="AJ427" i="3" s="1"/>
  <c r="AF426" i="3"/>
  <c r="AN426" i="3" s="1"/>
  <c r="AQ426" i="3"/>
  <c r="AO424" i="3"/>
  <c r="AR424" i="3"/>
  <c r="AE427" i="3" l="1"/>
  <c r="U428" i="3"/>
  <c r="AI428" i="3" a="1"/>
  <c r="AI428" i="3" s="1"/>
  <c r="A429" i="3"/>
  <c r="AA428" i="3"/>
  <c r="AC428" i="3" s="1"/>
  <c r="AJ428" i="3" s="1"/>
  <c r="W428" i="3"/>
  <c r="Y428" i="3" s="1"/>
  <c r="AE428" i="3" s="1"/>
  <c r="AL428" i="3" s="1"/>
  <c r="AO425" i="3"/>
  <c r="AR425" i="3"/>
  <c r="AL427" i="3" l="1"/>
  <c r="AQ427" i="3" s="1"/>
  <c r="AF427" i="3"/>
  <c r="AN427" i="3" s="1"/>
  <c r="A430" i="3"/>
  <c r="AA429" i="3"/>
  <c r="W429" i="3"/>
  <c r="Y429" i="3" s="1"/>
  <c r="AE429" i="3" s="1"/>
  <c r="AL429" i="3" s="1"/>
  <c r="AF428" i="3"/>
  <c r="AN428" i="3" s="1"/>
  <c r="AQ428" i="3"/>
  <c r="AO426" i="3"/>
  <c r="AR426" i="3"/>
  <c r="AC429" i="3" l="1"/>
  <c r="AI429" i="3" a="1"/>
  <c r="AI429" i="3" s="1"/>
  <c r="U430" i="3"/>
  <c r="AI430" i="3" a="1"/>
  <c r="AI430" i="3" s="1"/>
  <c r="W430" i="3"/>
  <c r="Y430" i="3" s="1"/>
  <c r="AE430" i="3" s="1"/>
  <c r="AL430" i="3" s="1"/>
  <c r="AA430" i="3"/>
  <c r="AC430" i="3" s="1"/>
  <c r="AJ430" i="3" s="1"/>
  <c r="A431" i="3"/>
  <c r="AQ429" i="3"/>
  <c r="AO427" i="3"/>
  <c r="AR427" i="3"/>
  <c r="AJ429" i="3" l="1"/>
  <c r="AF429" i="3"/>
  <c r="AN429" i="3" s="1"/>
  <c r="U431" i="3"/>
  <c r="AI431" i="3" a="1"/>
  <c r="AI431" i="3" s="1"/>
  <c r="AQ430" i="3"/>
  <c r="AF430" i="3"/>
  <c r="AN430" i="3" s="1"/>
  <c r="A432" i="3"/>
  <c r="W431" i="3"/>
  <c r="Y431" i="3" s="1"/>
  <c r="AE431" i="3" s="1"/>
  <c r="AL431" i="3" s="1"/>
  <c r="AA431" i="3"/>
  <c r="AC431" i="3" s="1"/>
  <c r="AJ431" i="3" s="1"/>
  <c r="AO428" i="3"/>
  <c r="AR428" i="3"/>
  <c r="U432" i="3" l="1"/>
  <c r="AI432" i="3" a="1"/>
  <c r="AI432" i="3" s="1"/>
  <c r="A433" i="3"/>
  <c r="AA432" i="3"/>
  <c r="AC432" i="3" s="1"/>
  <c r="AJ432" i="3" s="1"/>
  <c r="W432" i="3"/>
  <c r="Y432" i="3" s="1"/>
  <c r="AQ431" i="3"/>
  <c r="AF431" i="3"/>
  <c r="AN431" i="3" s="1"/>
  <c r="AO429" i="3"/>
  <c r="AR429" i="3"/>
  <c r="AE432" i="3" l="1"/>
  <c r="U433" i="3"/>
  <c r="AI433" i="3" a="1"/>
  <c r="AI433" i="3" s="1"/>
  <c r="AA433" i="3"/>
  <c r="AC433" i="3" s="1"/>
  <c r="AJ433" i="3" s="1"/>
  <c r="A434" i="3"/>
  <c r="W433" i="3"/>
  <c r="Y433" i="3" s="1"/>
  <c r="AE433" i="3" s="1"/>
  <c r="AL433" i="3" s="1"/>
  <c r="AO430" i="3"/>
  <c r="AR430" i="3"/>
  <c r="AL432" i="3" l="1"/>
  <c r="AQ432" i="3" s="1"/>
  <c r="AF432" i="3"/>
  <c r="AN432" i="3" s="1"/>
  <c r="U434" i="3"/>
  <c r="AI434" i="3" a="1"/>
  <c r="AI434" i="3" s="1"/>
  <c r="A435" i="3"/>
  <c r="W434" i="3"/>
  <c r="Y434" i="3" s="1"/>
  <c r="AE434" i="3" s="1"/>
  <c r="AL434" i="3" s="1"/>
  <c r="AA434" i="3"/>
  <c r="AC434" i="3" s="1"/>
  <c r="AJ434" i="3" s="1"/>
  <c r="AF433" i="3"/>
  <c r="AN433" i="3" s="1"/>
  <c r="AQ433" i="3"/>
  <c r="AO431" i="3"/>
  <c r="AR431" i="3"/>
  <c r="U435" i="3" l="1"/>
  <c r="AI435" i="3" a="1"/>
  <c r="AI435" i="3" s="1"/>
  <c r="A436" i="3"/>
  <c r="AA435" i="3"/>
  <c r="AC435" i="3" s="1"/>
  <c r="AJ435" i="3" s="1"/>
  <c r="W435" i="3"/>
  <c r="Y435" i="3" s="1"/>
  <c r="AE435" i="3" s="1"/>
  <c r="AL435" i="3" s="1"/>
  <c r="AF434" i="3"/>
  <c r="AN434" i="3" s="1"/>
  <c r="AQ434" i="3"/>
  <c r="AO432" i="3"/>
  <c r="AR432" i="3"/>
  <c r="U436" i="3" l="1"/>
  <c r="AI436" i="3" a="1"/>
  <c r="AI436" i="3" s="1"/>
  <c r="A437" i="3"/>
  <c r="AA436" i="3"/>
  <c r="AC436" i="3" s="1"/>
  <c r="AJ436" i="3" s="1"/>
  <c r="W436" i="3"/>
  <c r="Y436" i="3" s="1"/>
  <c r="AE436" i="3" s="1"/>
  <c r="AL436" i="3" s="1"/>
  <c r="AF435" i="3"/>
  <c r="AN435" i="3" s="1"/>
  <c r="AQ435" i="3"/>
  <c r="AO433" i="3"/>
  <c r="AR433" i="3"/>
  <c r="U437" i="3" l="1"/>
  <c r="AI437" i="3" a="1"/>
  <c r="AI437" i="3" s="1"/>
  <c r="W437" i="3"/>
  <c r="Y437" i="3" s="1"/>
  <c r="AE437" i="3" s="1"/>
  <c r="AL437" i="3" s="1"/>
  <c r="AA437" i="3"/>
  <c r="AC437" i="3" s="1"/>
  <c r="AJ437" i="3" s="1"/>
  <c r="A438" i="3"/>
  <c r="AF436" i="3"/>
  <c r="AN436" i="3" s="1"/>
  <c r="AQ436" i="3"/>
  <c r="AO434" i="3"/>
  <c r="AR434" i="3"/>
  <c r="U438" i="3" l="1"/>
  <c r="AI438" i="3" a="1"/>
  <c r="AI438" i="3" s="1"/>
  <c r="AF437" i="3"/>
  <c r="AN437" i="3" s="1"/>
  <c r="AQ437" i="3"/>
  <c r="A439" i="3"/>
  <c r="AA438" i="3"/>
  <c r="AC438" i="3" s="1"/>
  <c r="AJ438" i="3" s="1"/>
  <c r="W438" i="3"/>
  <c r="Y438" i="3" s="1"/>
  <c r="AE438" i="3" s="1"/>
  <c r="AL438" i="3" s="1"/>
  <c r="AO435" i="3"/>
  <c r="AR435" i="3"/>
  <c r="U439" i="3" l="1"/>
  <c r="AI439" i="3" a="1"/>
  <c r="AI439" i="3" s="1"/>
  <c r="A440" i="3"/>
  <c r="AA439" i="3"/>
  <c r="AC439" i="3" s="1"/>
  <c r="AJ439" i="3" s="1"/>
  <c r="W439" i="3"/>
  <c r="Y439" i="3" s="1"/>
  <c r="AE439" i="3" s="1"/>
  <c r="AL439" i="3" s="1"/>
  <c r="AF438" i="3"/>
  <c r="AN438" i="3" s="1"/>
  <c r="AQ438" i="3"/>
  <c r="AO436" i="3"/>
  <c r="AR436" i="3"/>
  <c r="U440" i="3" l="1"/>
  <c r="AI440" i="3" a="1"/>
  <c r="AI440" i="3" s="1"/>
  <c r="AR438" i="3"/>
  <c r="AO438" i="3"/>
  <c r="A441" i="3"/>
  <c r="W440" i="3"/>
  <c r="Y440" i="3" s="1"/>
  <c r="AA440" i="3"/>
  <c r="AC440" i="3" s="1"/>
  <c r="AJ440" i="3" s="1"/>
  <c r="AF439" i="3"/>
  <c r="AN439" i="3" s="1"/>
  <c r="AQ439" i="3"/>
  <c r="AO437" i="3"/>
  <c r="AR437" i="3"/>
  <c r="AE440" i="3" l="1"/>
  <c r="U441" i="3"/>
  <c r="AI441" i="3" a="1"/>
  <c r="AI441" i="3" s="1"/>
  <c r="AR439" i="3"/>
  <c r="AO439" i="3"/>
  <c r="A442" i="3"/>
  <c r="AA441" i="3"/>
  <c r="AC441" i="3" s="1"/>
  <c r="AJ441" i="3" s="1"/>
  <c r="W441" i="3"/>
  <c r="Y441" i="3" s="1"/>
  <c r="AE441" i="3" s="1"/>
  <c r="AL441" i="3" s="1"/>
  <c r="AL440" i="3" l="1"/>
  <c r="AQ440" i="3" s="1"/>
  <c r="AF440" i="3"/>
  <c r="U442" i="3"/>
  <c r="AI442" i="3" a="1"/>
  <c r="AI442" i="3" s="1"/>
  <c r="A443" i="3"/>
  <c r="AA442" i="3"/>
  <c r="AC442" i="3" s="1"/>
  <c r="AJ442" i="3" s="1"/>
  <c r="W442" i="3"/>
  <c r="Y442" i="3" s="1"/>
  <c r="AF441" i="3"/>
  <c r="AN441" i="3" s="1"/>
  <c r="AQ441" i="3"/>
  <c r="AE442" i="3" l="1"/>
  <c r="AN440" i="3"/>
  <c r="U443" i="3"/>
  <c r="AI443" i="3" a="1"/>
  <c r="AI443" i="3" s="1"/>
  <c r="AR441" i="3"/>
  <c r="AO441" i="3"/>
  <c r="A444" i="3"/>
  <c r="W443" i="3"/>
  <c r="Y443" i="3" s="1"/>
  <c r="AA443" i="3"/>
  <c r="AC443" i="3" s="1"/>
  <c r="AJ443" i="3" s="1"/>
  <c r="AL442" i="3" l="1"/>
  <c r="AF442" i="3"/>
  <c r="AN442" i="3" s="1"/>
  <c r="AQ442" i="3"/>
  <c r="AO440" i="3"/>
  <c r="AR440" i="3"/>
  <c r="AE443" i="3"/>
  <c r="U444" i="3"/>
  <c r="AI444" i="3" a="1"/>
  <c r="AI444" i="3" s="1"/>
  <c r="AR442" i="3"/>
  <c r="AO442" i="3"/>
  <c r="A445" i="3"/>
  <c r="AA444" i="3"/>
  <c r="AC444" i="3" s="1"/>
  <c r="AJ444" i="3" s="1"/>
  <c r="W444" i="3"/>
  <c r="Y444" i="3" s="1"/>
  <c r="AE444" i="3" s="1"/>
  <c r="AL444" i="3" s="1"/>
  <c r="AL443" i="3" l="1"/>
  <c r="AF443" i="3"/>
  <c r="AN443" i="3" s="1"/>
  <c r="AQ443" i="3"/>
  <c r="U445" i="3"/>
  <c r="AI445" i="3" a="1"/>
  <c r="AI445" i="3" s="1"/>
  <c r="AR443" i="3"/>
  <c r="AO443" i="3"/>
  <c r="AA445" i="3"/>
  <c r="AC445" i="3" s="1"/>
  <c r="AJ445" i="3" s="1"/>
  <c r="W445" i="3"/>
  <c r="Y445" i="3" s="1"/>
  <c r="AE445" i="3" s="1"/>
  <c r="AL445" i="3" s="1"/>
  <c r="A446" i="3"/>
  <c r="AF444" i="3"/>
  <c r="AN444" i="3" s="1"/>
  <c r="AQ444" i="3"/>
  <c r="U446" i="3" l="1"/>
  <c r="AI446" i="3" a="1"/>
  <c r="AI446" i="3" s="1"/>
  <c r="AR444" i="3"/>
  <c r="AO444" i="3"/>
  <c r="AQ445" i="3"/>
  <c r="AF445" i="3"/>
  <c r="AN445" i="3" s="1"/>
  <c r="A447" i="3"/>
  <c r="AA446" i="3"/>
  <c r="AC446" i="3" s="1"/>
  <c r="AJ446" i="3" s="1"/>
  <c r="W446" i="3"/>
  <c r="Y446" i="3" s="1"/>
  <c r="AE446" i="3" s="1"/>
  <c r="AL446" i="3" s="1"/>
  <c r="U447" i="3" l="1"/>
  <c r="AI447" i="3" a="1"/>
  <c r="AI447" i="3" s="1"/>
  <c r="AR445" i="3"/>
  <c r="AO445" i="3"/>
  <c r="A448" i="3"/>
  <c r="AA447" i="3"/>
  <c r="AC447" i="3" s="1"/>
  <c r="AJ447" i="3" s="1"/>
  <c r="W447" i="3"/>
  <c r="Y447" i="3" s="1"/>
  <c r="AE447" i="3" s="1"/>
  <c r="AL447" i="3" s="1"/>
  <c r="AF446" i="3"/>
  <c r="AN446" i="3" s="1"/>
  <c r="AQ446" i="3"/>
  <c r="U448" i="3" l="1"/>
  <c r="AI448" i="3" a="1"/>
  <c r="AI448" i="3" s="1"/>
  <c r="AR446" i="3"/>
  <c r="AO446" i="3"/>
  <c r="A449" i="3"/>
  <c r="AA448" i="3"/>
  <c r="AC448" i="3" s="1"/>
  <c r="AJ448" i="3" s="1"/>
  <c r="W448" i="3"/>
  <c r="Y448" i="3" s="1"/>
  <c r="AE448" i="3" s="1"/>
  <c r="AL448" i="3" s="1"/>
  <c r="AF447" i="3"/>
  <c r="AN447" i="3" s="1"/>
  <c r="AQ447" i="3"/>
  <c r="AR447" i="3" l="1"/>
  <c r="AO447" i="3"/>
  <c r="A450" i="3"/>
  <c r="W449" i="3"/>
  <c r="Y449" i="3" s="1"/>
  <c r="AE449" i="3" s="1"/>
  <c r="AL449" i="3" s="1"/>
  <c r="AA449" i="3"/>
  <c r="AF448" i="3"/>
  <c r="AN448" i="3" s="1"/>
  <c r="AQ448" i="3"/>
  <c r="AC449" i="3" l="1"/>
  <c r="AF449" i="3" s="1"/>
  <c r="AN449" i="3" s="1"/>
  <c r="AI449" i="3" a="1"/>
  <c r="AI449" i="3" s="1"/>
  <c r="AR448" i="3"/>
  <c r="AO448" i="3"/>
  <c r="A451" i="3"/>
  <c r="AA450" i="3"/>
  <c r="W450" i="3"/>
  <c r="Y450" i="3" s="1"/>
  <c r="AE450" i="3" s="1"/>
  <c r="AL450" i="3" s="1"/>
  <c r="AQ449" i="3"/>
  <c r="AC450" i="3" l="1"/>
  <c r="AF450" i="3" s="1"/>
  <c r="AN450" i="3" s="1"/>
  <c r="AR449" i="3"/>
  <c r="A452" i="3"/>
  <c r="AA451" i="3"/>
  <c r="W451" i="3"/>
  <c r="Y451" i="3" s="1"/>
  <c r="AE451" i="3" s="1"/>
  <c r="AL451" i="3" s="1"/>
  <c r="AQ450" i="3"/>
  <c r="AC451" i="3" l="1"/>
  <c r="AI451" i="3" a="1"/>
  <c r="AI451" i="3" s="1"/>
  <c r="AR450" i="3"/>
  <c r="AA452" i="3"/>
  <c r="W452" i="3"/>
  <c r="Y452" i="3" s="1"/>
  <c r="AE452" i="3" s="1"/>
  <c r="AL452" i="3" s="1"/>
  <c r="A453" i="3"/>
  <c r="AF451" i="3"/>
  <c r="AN451" i="3" s="1"/>
  <c r="AQ451" i="3"/>
  <c r="AC452" i="3" l="1"/>
  <c r="AF452" i="3" s="1"/>
  <c r="AN452" i="3" s="1"/>
  <c r="AR451" i="3"/>
  <c r="AQ452" i="3"/>
  <c r="A454" i="3"/>
  <c r="AA453" i="3"/>
  <c r="W453" i="3"/>
  <c r="Y453" i="3" s="1"/>
  <c r="AE453" i="3" s="1"/>
  <c r="AL453" i="3" s="1"/>
  <c r="AC453" i="3" l="1"/>
  <c r="AR452" i="3"/>
  <c r="A455" i="3"/>
  <c r="AA454" i="3"/>
  <c r="W454" i="3"/>
  <c r="Y454" i="3" s="1"/>
  <c r="AE454" i="3" s="1"/>
  <c r="AL454" i="3" s="1"/>
  <c r="AF453" i="3"/>
  <c r="AN453" i="3" s="1"/>
  <c r="AQ453" i="3"/>
  <c r="AC454" i="3" l="1"/>
  <c r="AF454" i="3" s="1"/>
  <c r="AN454" i="3" s="1"/>
  <c r="AI454" i="3" a="1"/>
  <c r="AI454" i="3" s="1"/>
  <c r="AR453" i="3"/>
  <c r="A456" i="3"/>
  <c r="AA455" i="3"/>
  <c r="W455" i="3"/>
  <c r="Y455" i="3" s="1"/>
  <c r="AE455" i="3" s="1"/>
  <c r="AL455" i="3" s="1"/>
  <c r="AQ454" i="3"/>
  <c r="AC455" i="3" l="1"/>
  <c r="AF455" i="3" s="1"/>
  <c r="AN455" i="3" s="1"/>
  <c r="AR454" i="3"/>
  <c r="W456" i="3"/>
  <c r="Y456" i="3" s="1"/>
  <c r="AE456" i="3" s="1"/>
  <c r="AL456" i="3" s="1"/>
  <c r="A457" i="3"/>
  <c r="AA456" i="3"/>
  <c r="AQ455" i="3"/>
  <c r="AC456" i="3" l="1"/>
  <c r="AI456" i="3" a="1"/>
  <c r="AI456" i="3" s="1"/>
  <c r="AR455" i="3"/>
  <c r="AQ456" i="3"/>
  <c r="A458" i="3"/>
  <c r="W457" i="3"/>
  <c r="Y457" i="3" s="1"/>
  <c r="AE457" i="3" s="1"/>
  <c r="AL457" i="3" s="1"/>
  <c r="AA457" i="3"/>
  <c r="AJ456" i="3" l="1"/>
  <c r="AF456" i="3"/>
  <c r="AC457" i="3"/>
  <c r="AI457" i="3" a="1"/>
  <c r="AI457" i="3" s="1"/>
  <c r="A459" i="3"/>
  <c r="AA458" i="3"/>
  <c r="W458" i="3"/>
  <c r="Y458" i="3" s="1"/>
  <c r="AE458" i="3" s="1"/>
  <c r="AL458" i="3" s="1"/>
  <c r="AQ457" i="3"/>
  <c r="AN456" i="3" l="1"/>
  <c r="AO456" i="3" s="1"/>
  <c r="AR456" i="3"/>
  <c r="AJ457" i="3"/>
  <c r="AF457" i="3"/>
  <c r="AN457" i="3" s="1"/>
  <c r="AC458" i="3"/>
  <c r="AI458" i="3" a="1"/>
  <c r="AI458" i="3" s="1"/>
  <c r="AR457" i="3"/>
  <c r="AO457" i="3"/>
  <c r="AA459" i="3"/>
  <c r="W459" i="3"/>
  <c r="Y459" i="3" s="1"/>
  <c r="AE459" i="3" s="1"/>
  <c r="AL459" i="3" s="1"/>
  <c r="A460" i="3"/>
  <c r="AQ458" i="3"/>
  <c r="AJ458" i="3" l="1"/>
  <c r="AF458" i="3"/>
  <c r="AN458" i="3" s="1"/>
  <c r="AC459" i="3"/>
  <c r="AI459" i="3" a="1"/>
  <c r="AI459" i="3" s="1"/>
  <c r="S460" i="3"/>
  <c r="U460" i="3" s="1"/>
  <c r="AI460" i="3" a="1"/>
  <c r="AI460" i="3" s="1"/>
  <c r="AR458" i="3"/>
  <c r="AO458" i="3"/>
  <c r="AQ459" i="3"/>
  <c r="AF459" i="3"/>
  <c r="AN459" i="3" s="1"/>
  <c r="A461" i="3"/>
  <c r="AA460" i="3"/>
  <c r="AC460" i="3" s="1"/>
  <c r="AJ460" i="3" s="1"/>
  <c r="W460" i="3"/>
  <c r="Y460" i="3" s="1"/>
  <c r="AR459" i="3" l="1"/>
  <c r="AE460" i="3"/>
  <c r="AL460" i="3" s="1"/>
  <c r="A462" i="3"/>
  <c r="W461" i="3"/>
  <c r="Y461" i="3" s="1"/>
  <c r="AE461" i="3" s="1"/>
  <c r="AL461" i="3" s="1"/>
  <c r="AA461" i="3"/>
  <c r="AC461" i="3" l="1"/>
  <c r="AI461" i="3" a="1"/>
  <c r="AI461" i="3" s="1"/>
  <c r="AQ460" i="3"/>
  <c r="AF460" i="3"/>
  <c r="AN460" i="3" s="1"/>
  <c r="A463" i="3"/>
  <c r="W462" i="3"/>
  <c r="Y462" i="3" s="1"/>
  <c r="AE462" i="3" s="1"/>
  <c r="AL462" i="3" s="1"/>
  <c r="AA462" i="3"/>
  <c r="AC462" i="3" s="1"/>
  <c r="AQ461" i="3"/>
  <c r="AJ461" i="3" l="1"/>
  <c r="AF461" i="3"/>
  <c r="AR460" i="3"/>
  <c r="AO460" i="3"/>
  <c r="A464" i="3"/>
  <c r="AA463" i="3"/>
  <c r="W463" i="3"/>
  <c r="Y463" i="3" s="1"/>
  <c r="AE463" i="3" s="1"/>
  <c r="AL463" i="3" s="1"/>
  <c r="AF462" i="3"/>
  <c r="AN462" i="3" s="1"/>
  <c r="AQ462" i="3"/>
  <c r="AN461" i="3" l="1"/>
  <c r="AO461" i="3" s="1"/>
  <c r="AR461" i="3"/>
  <c r="AC463" i="3"/>
  <c r="AI463" i="3" a="1"/>
  <c r="AI463" i="3" s="1"/>
  <c r="AR462" i="3"/>
  <c r="A465" i="3"/>
  <c r="AA464" i="3"/>
  <c r="W464" i="3"/>
  <c r="Y464" i="3" s="1"/>
  <c r="AE464" i="3" s="1"/>
  <c r="AL464" i="3" s="1"/>
  <c r="AQ463" i="3"/>
  <c r="AJ463" i="3" l="1"/>
  <c r="AF463" i="3"/>
  <c r="AC464" i="3"/>
  <c r="AF464" i="3" s="1"/>
  <c r="AN464" i="3" s="1"/>
  <c r="AI464" i="3" a="1"/>
  <c r="AI464" i="3" s="1"/>
  <c r="A466" i="3"/>
  <c r="AA465" i="3"/>
  <c r="W465" i="3"/>
  <c r="Y465" i="3" s="1"/>
  <c r="AE465" i="3" s="1"/>
  <c r="AL465" i="3" s="1"/>
  <c r="AQ464" i="3"/>
  <c r="AN463" i="3" l="1"/>
  <c r="AO463" i="3" s="1"/>
  <c r="AR463" i="3"/>
  <c r="AC465" i="3"/>
  <c r="AI465" i="3" a="1"/>
  <c r="AI465" i="3" s="1"/>
  <c r="AR464" i="3"/>
  <c r="W466" i="3"/>
  <c r="Y466" i="3" s="1"/>
  <c r="AE466" i="3" s="1"/>
  <c r="AL466" i="3" s="1"/>
  <c r="A467" i="3"/>
  <c r="AA466" i="3"/>
  <c r="AQ465" i="3"/>
  <c r="AF465" i="3"/>
  <c r="AN465" i="3" s="1"/>
  <c r="AC466" i="3" l="1"/>
  <c r="AF466" i="3" s="1"/>
  <c r="AN466" i="3" s="1"/>
  <c r="AI466" i="3" a="1"/>
  <c r="AI466" i="3" s="1"/>
  <c r="S467" i="3"/>
  <c r="U467" i="3" s="1"/>
  <c r="AI467" i="3" a="1"/>
  <c r="AI467" i="3" s="1"/>
  <c r="AR465" i="3"/>
  <c r="AQ466" i="3"/>
  <c r="AA467" i="3"/>
  <c r="AC467" i="3" s="1"/>
  <c r="AJ467" i="3" s="1"/>
  <c r="W467" i="3"/>
  <c r="Y467" i="3" s="1"/>
  <c r="A468" i="3"/>
  <c r="S468" i="3" l="1"/>
  <c r="U468" i="3" s="1"/>
  <c r="AI468" i="3" a="1"/>
  <c r="AI468" i="3" s="1"/>
  <c r="AE467" i="3"/>
  <c r="AL467" i="3" s="1"/>
  <c r="AR466" i="3"/>
  <c r="A469" i="3"/>
  <c r="AA468" i="3"/>
  <c r="AC468" i="3" s="1"/>
  <c r="AJ468" i="3" s="1"/>
  <c r="W468" i="3"/>
  <c r="Y468" i="3" s="1"/>
  <c r="AQ467" i="3" l="1"/>
  <c r="AF467" i="3"/>
  <c r="AN467" i="3" s="1"/>
  <c r="AO467" i="3" s="1"/>
  <c r="AE468" i="3"/>
  <c r="A470" i="3"/>
  <c r="AA469" i="3"/>
  <c r="W469" i="3"/>
  <c r="Y469" i="3" s="1"/>
  <c r="AE469" i="3" s="1"/>
  <c r="AL469" i="3" s="1"/>
  <c r="AC469" i="3" l="1"/>
  <c r="AI469" i="3" a="1"/>
  <c r="AI469" i="3" s="1"/>
  <c r="AR467" i="3"/>
  <c r="AL468" i="3"/>
  <c r="AQ468" i="3" s="1"/>
  <c r="AF468" i="3"/>
  <c r="A471" i="3"/>
  <c r="AA470" i="3"/>
  <c r="W470" i="3"/>
  <c r="Y470" i="3" s="1"/>
  <c r="AE470" i="3" s="1"/>
  <c r="AL470" i="3" s="1"/>
  <c r="AQ469" i="3"/>
  <c r="AJ469" i="3" l="1"/>
  <c r="AF469" i="3"/>
  <c r="AN469" i="3" s="1"/>
  <c r="AC470" i="3"/>
  <c r="AF470" i="3" s="1"/>
  <c r="AN470" i="3" s="1"/>
  <c r="AI470" i="3" a="1"/>
  <c r="AI470" i="3" s="1"/>
  <c r="S471" i="3"/>
  <c r="U471" i="3" s="1"/>
  <c r="AI471" i="3" a="1"/>
  <c r="AI471" i="3" s="1"/>
  <c r="AN468" i="3"/>
  <c r="W471" i="3"/>
  <c r="Y471" i="3" s="1"/>
  <c r="A472" i="3"/>
  <c r="AA471" i="3"/>
  <c r="AC471" i="3" s="1"/>
  <c r="AJ471" i="3" s="1"/>
  <c r="AQ470" i="3"/>
  <c r="AE471" i="3" l="1"/>
  <c r="AR469" i="3"/>
  <c r="AO469" i="3"/>
  <c r="AO468" i="3"/>
  <c r="AR468" i="3"/>
  <c r="AR470" i="3"/>
  <c r="A473" i="3"/>
  <c r="AA472" i="3"/>
  <c r="AC472" i="3" s="1"/>
  <c r="W472" i="3"/>
  <c r="Y472" i="3" s="1"/>
  <c r="AE472" i="3" s="1"/>
  <c r="AL472" i="3" s="1"/>
  <c r="AL471" i="3" l="1"/>
  <c r="AQ471" i="3"/>
  <c r="AF471" i="3"/>
  <c r="AN471" i="3" s="1"/>
  <c r="AR471" i="3" s="1"/>
  <c r="S473" i="3"/>
  <c r="U473" i="3" s="1"/>
  <c r="AI473" i="3" a="1"/>
  <c r="AI473" i="3" s="1"/>
  <c r="AO471" i="3"/>
  <c r="A474" i="3"/>
  <c r="AA473" i="3"/>
  <c r="AC473" i="3" s="1"/>
  <c r="AJ473" i="3" s="1"/>
  <c r="W473" i="3"/>
  <c r="Y473" i="3" s="1"/>
  <c r="AE473" i="3" s="1"/>
  <c r="AL473" i="3" s="1"/>
  <c r="AF472" i="3"/>
  <c r="AN472" i="3" s="1"/>
  <c r="AQ472" i="3"/>
  <c r="S474" i="3" l="1"/>
  <c r="U474" i="3" s="1"/>
  <c r="AI474" i="3" a="1"/>
  <c r="AI474" i="3" s="1"/>
  <c r="AR472" i="3"/>
  <c r="AA474" i="3"/>
  <c r="AC474" i="3" s="1"/>
  <c r="AJ474" i="3" s="1"/>
  <c r="A475" i="3"/>
  <c r="W474" i="3"/>
  <c r="Y474" i="3" s="1"/>
  <c r="AE474" i="3" s="1"/>
  <c r="AL474" i="3" s="1"/>
  <c r="AF473" i="3"/>
  <c r="AN473" i="3" s="1"/>
  <c r="AQ473" i="3"/>
  <c r="AR473" i="3" l="1"/>
  <c r="AO473" i="3"/>
  <c r="W475" i="3"/>
  <c r="Y475" i="3" s="1"/>
  <c r="AE475" i="3" s="1"/>
  <c r="AL475" i="3" s="1"/>
  <c r="A476" i="3"/>
  <c r="AA475" i="3"/>
  <c r="AC475" i="3" s="1"/>
  <c r="AF474" i="3"/>
  <c r="AN474" i="3" s="1"/>
  <c r="AQ474" i="3"/>
  <c r="S476" i="3" l="1"/>
  <c r="U476" i="3" s="1"/>
  <c r="AI476" i="3" a="1"/>
  <c r="AI476" i="3" s="1"/>
  <c r="AR474" i="3"/>
  <c r="AO474" i="3"/>
  <c r="AF475" i="3"/>
  <c r="AN475" i="3" s="1"/>
  <c r="AQ475" i="3"/>
  <c r="AA476" i="3"/>
  <c r="AC476" i="3" s="1"/>
  <c r="AJ476" i="3" s="1"/>
  <c r="A477" i="3"/>
  <c r="W476" i="3"/>
  <c r="Y476" i="3" s="1"/>
  <c r="AE476" i="3" l="1"/>
  <c r="S477" i="3"/>
  <c r="U477" i="3" s="1"/>
  <c r="AI477" i="3" a="1"/>
  <c r="AI477" i="3" s="1"/>
  <c r="AR475" i="3"/>
  <c r="W477" i="3"/>
  <c r="Y477" i="3" s="1"/>
  <c r="AE477" i="3" s="1"/>
  <c r="AL477" i="3" s="1"/>
  <c r="A478" i="3"/>
  <c r="AA477" i="3"/>
  <c r="AC477" i="3" s="1"/>
  <c r="AJ477" i="3" s="1"/>
  <c r="AL476" i="3" l="1"/>
  <c r="AQ476" i="3" s="1"/>
  <c r="AF476" i="3"/>
  <c r="S478" i="3"/>
  <c r="U478" i="3" s="1"/>
  <c r="AI478" i="3" a="1"/>
  <c r="AI478" i="3" s="1"/>
  <c r="AQ477" i="3"/>
  <c r="AF477" i="3"/>
  <c r="AN477" i="3" s="1"/>
  <c r="W478" i="3"/>
  <c r="Y478" i="3" s="1"/>
  <c r="A479" i="3"/>
  <c r="AA478" i="3"/>
  <c r="AC478" i="3" s="1"/>
  <c r="AJ478" i="3" s="1"/>
  <c r="AE478" i="3" l="1"/>
  <c r="AN476" i="3"/>
  <c r="AO476" i="3" s="1"/>
  <c r="AR476" i="3"/>
  <c r="S479" i="3"/>
  <c r="U479" i="3" s="1"/>
  <c r="AI479" i="3" a="1"/>
  <c r="AI479" i="3" s="1"/>
  <c r="AR477" i="3"/>
  <c r="AO477" i="3"/>
  <c r="W479" i="3"/>
  <c r="Y479" i="3" s="1"/>
  <c r="A480" i="3"/>
  <c r="AA479" i="3"/>
  <c r="AC479" i="3" s="1"/>
  <c r="AJ479" i="3" s="1"/>
  <c r="AE479" i="3" l="1"/>
  <c r="AL478" i="3"/>
  <c r="AQ478" i="3"/>
  <c r="AF478" i="3"/>
  <c r="AO478" i="3"/>
  <c r="AF479" i="3"/>
  <c r="AN479" i="3" s="1"/>
  <c r="A481" i="3"/>
  <c r="W480" i="3"/>
  <c r="Y480" i="3" s="1"/>
  <c r="AE480" i="3" s="1"/>
  <c r="AL480" i="3" s="1"/>
  <c r="AA480" i="3"/>
  <c r="AC480" i="3" s="1"/>
  <c r="AL479" i="3" l="1"/>
  <c r="AQ479" i="3"/>
  <c r="AN478" i="3"/>
  <c r="AR478" i="3"/>
  <c r="AR479" i="3"/>
  <c r="AO479" i="3"/>
  <c r="A482" i="3"/>
  <c r="AA481" i="3"/>
  <c r="W481" i="3"/>
  <c r="Y481" i="3" s="1"/>
  <c r="AE481" i="3" s="1"/>
  <c r="AL481" i="3" s="1"/>
  <c r="AF480" i="3"/>
  <c r="AN480" i="3" s="1"/>
  <c r="AQ480" i="3"/>
  <c r="AC481" i="3" l="1"/>
  <c r="AF481" i="3" s="1"/>
  <c r="AN481" i="3" s="1"/>
  <c r="AR480" i="3"/>
  <c r="A483" i="3"/>
  <c r="AA482" i="3"/>
  <c r="W482" i="3"/>
  <c r="Y482" i="3" s="1"/>
  <c r="AE482" i="3" s="1"/>
  <c r="AL482" i="3" s="1"/>
  <c r="AQ481" i="3"/>
  <c r="AC482" i="3" l="1"/>
  <c r="AF482" i="3" s="1"/>
  <c r="AN482" i="3" s="1"/>
  <c r="S483" i="3"/>
  <c r="U483" i="3" s="1"/>
  <c r="AI483" i="3" a="1"/>
  <c r="AI483" i="3" s="1"/>
  <c r="AR481" i="3"/>
  <c r="A484" i="3"/>
  <c r="AA483" i="3"/>
  <c r="AC483" i="3" s="1"/>
  <c r="AJ483" i="3" s="1"/>
  <c r="W483" i="3"/>
  <c r="Y483" i="3" s="1"/>
  <c r="AQ482" i="3"/>
  <c r="AE483" i="3" l="1"/>
  <c r="AR482" i="3"/>
  <c r="A485" i="3"/>
  <c r="AA484" i="3"/>
  <c r="AC484" i="3" s="1"/>
  <c r="W484" i="3"/>
  <c r="Y484" i="3" s="1"/>
  <c r="AE484" i="3" s="1"/>
  <c r="AL484" i="3" s="1"/>
  <c r="AL483" i="3" l="1"/>
  <c r="AQ483" i="3" s="1"/>
  <c r="AF483" i="3"/>
  <c r="AN483" i="3" s="1"/>
  <c r="AR483" i="3"/>
  <c r="AA485" i="3"/>
  <c r="A486" i="3"/>
  <c r="W485" i="3"/>
  <c r="Y485" i="3" s="1"/>
  <c r="AE485" i="3" s="1"/>
  <c r="AL485" i="3" s="1"/>
  <c r="AF484" i="3"/>
  <c r="AN484" i="3" s="1"/>
  <c r="AQ484" i="3"/>
  <c r="AO483" i="3" l="1"/>
  <c r="AC485" i="3"/>
  <c r="AF485" i="3" s="1"/>
  <c r="AN485" i="3" s="1"/>
  <c r="S486" i="3"/>
  <c r="U486" i="3" s="1"/>
  <c r="AI486" i="3" a="1"/>
  <c r="AI486" i="3" s="1"/>
  <c r="AR484" i="3"/>
  <c r="W486" i="3"/>
  <c r="Y486" i="3" s="1"/>
  <c r="A487" i="3"/>
  <c r="AA486" i="3"/>
  <c r="AC486" i="3" s="1"/>
  <c r="AJ486" i="3" s="1"/>
  <c r="AQ485" i="3"/>
  <c r="AE486" i="3" l="1"/>
  <c r="S487" i="3"/>
  <c r="U487" i="3" s="1"/>
  <c r="AI487" i="3" a="1"/>
  <c r="AI487" i="3" s="1"/>
  <c r="AR485" i="3"/>
  <c r="A488" i="3"/>
  <c r="AA487" i="3"/>
  <c r="AC487" i="3" s="1"/>
  <c r="AJ487" i="3" s="1"/>
  <c r="W487" i="3"/>
  <c r="Y487" i="3" s="1"/>
  <c r="AE487" i="3" s="1"/>
  <c r="AL487" i="3" s="1"/>
  <c r="AL486" i="3" l="1"/>
  <c r="AQ486" i="3" s="1"/>
  <c r="AF486" i="3"/>
  <c r="AN486" i="3" s="1"/>
  <c r="A489" i="3"/>
  <c r="W488" i="3"/>
  <c r="Y488" i="3" s="1"/>
  <c r="AE488" i="3" s="1"/>
  <c r="AL488" i="3" s="1"/>
  <c r="AA488" i="3"/>
  <c r="AC488" i="3" s="1"/>
  <c r="AF487" i="3"/>
  <c r="AN487" i="3" s="1"/>
  <c r="AQ487" i="3"/>
  <c r="AO486" i="3" l="1"/>
  <c r="AR486" i="3"/>
  <c r="AR487" i="3"/>
  <c r="AO487" i="3"/>
  <c r="A490" i="3"/>
  <c r="W489" i="3"/>
  <c r="Y489" i="3" s="1"/>
  <c r="AE489" i="3" s="1"/>
  <c r="AL489" i="3" s="1"/>
  <c r="AA489" i="3"/>
  <c r="AC489" i="3" s="1"/>
  <c r="AF488" i="3"/>
  <c r="AN488" i="3" s="1"/>
  <c r="AQ488" i="3"/>
  <c r="AR488" i="3" l="1"/>
  <c r="W490" i="3"/>
  <c r="Y490" i="3" s="1"/>
  <c r="AE490" i="3" s="1"/>
  <c r="AL490" i="3" s="1"/>
  <c r="A491" i="3"/>
  <c r="AA490" i="3"/>
  <c r="AF489" i="3"/>
  <c r="AN489" i="3" s="1"/>
  <c r="AQ489" i="3"/>
  <c r="AC490" i="3" l="1"/>
  <c r="AI490" i="3" a="1"/>
  <c r="AI490" i="3" s="1"/>
  <c r="AR489" i="3"/>
  <c r="AQ490" i="3"/>
  <c r="A492" i="3"/>
  <c r="W491" i="3"/>
  <c r="Y491" i="3" s="1"/>
  <c r="AE491" i="3" s="1"/>
  <c r="AL491" i="3" s="1"/>
  <c r="AA491" i="3"/>
  <c r="AJ490" i="3" l="1"/>
  <c r="AF490" i="3"/>
  <c r="AN490" i="3" s="1"/>
  <c r="AO490" i="3" s="1"/>
  <c r="AC491" i="3"/>
  <c r="AI491" i="3" a="1"/>
  <c r="AI491" i="3" s="1"/>
  <c r="S492" i="3"/>
  <c r="U492" i="3" s="1"/>
  <c r="AI492" i="3" a="1"/>
  <c r="AI492" i="3" s="1"/>
  <c r="AR490" i="3"/>
  <c r="A493" i="3"/>
  <c r="AA492" i="3"/>
  <c r="AC492" i="3" s="1"/>
  <c r="AJ492" i="3" s="1"/>
  <c r="W492" i="3"/>
  <c r="Y492" i="3" s="1"/>
  <c r="AQ491" i="3"/>
  <c r="AE492" i="3" l="1"/>
  <c r="AJ491" i="3"/>
  <c r="AF491" i="3"/>
  <c r="S493" i="3"/>
  <c r="U493" i="3" s="1"/>
  <c r="AI493" i="3" a="1"/>
  <c r="AI493" i="3" s="1"/>
  <c r="A494" i="3"/>
  <c r="AA493" i="3"/>
  <c r="AC493" i="3" s="1"/>
  <c r="AJ493" i="3" s="1"/>
  <c r="W493" i="3"/>
  <c r="Y493" i="3" s="1"/>
  <c r="AE493" i="3" s="1"/>
  <c r="AL493" i="3" s="1"/>
  <c r="AL492" i="3" l="1"/>
  <c r="AF492" i="3"/>
  <c r="AN492" i="3" s="1"/>
  <c r="AQ492" i="3"/>
  <c r="AN491" i="3"/>
  <c r="AO491" i="3" s="1"/>
  <c r="AR491" i="3"/>
  <c r="S494" i="3"/>
  <c r="U494" i="3" s="1"/>
  <c r="AI494" i="3" a="1"/>
  <c r="AI494" i="3" s="1"/>
  <c r="AR492" i="3"/>
  <c r="AO492" i="3"/>
  <c r="A495" i="3"/>
  <c r="AA494" i="3"/>
  <c r="AC494" i="3" s="1"/>
  <c r="AJ494" i="3" s="1"/>
  <c r="W494" i="3"/>
  <c r="Y494" i="3" s="1"/>
  <c r="AF493" i="3"/>
  <c r="AN493" i="3" s="1"/>
  <c r="AQ493" i="3"/>
  <c r="AE494" i="3" l="1"/>
  <c r="AR493" i="3"/>
  <c r="AO493" i="3"/>
  <c r="A496" i="3"/>
  <c r="AA495" i="3"/>
  <c r="AC495" i="3" s="1"/>
  <c r="W495" i="3"/>
  <c r="Y495" i="3" s="1"/>
  <c r="AE495" i="3" s="1"/>
  <c r="AL495" i="3" s="1"/>
  <c r="AL494" i="3" l="1"/>
  <c r="AF494" i="3"/>
  <c r="AN494" i="3" s="1"/>
  <c r="AR494" i="3" s="1"/>
  <c r="AQ494" i="3"/>
  <c r="S496" i="3"/>
  <c r="U496" i="3" s="1"/>
  <c r="AI496" i="3" a="1"/>
  <c r="AI496" i="3" s="1"/>
  <c r="AO494" i="3"/>
  <c r="A497" i="3"/>
  <c r="AA496" i="3"/>
  <c r="AC496" i="3" s="1"/>
  <c r="AJ496" i="3" s="1"/>
  <c r="W496" i="3"/>
  <c r="Y496" i="3" s="1"/>
  <c r="AE496" i="3" s="1"/>
  <c r="AL496" i="3" s="1"/>
  <c r="AF495" i="3"/>
  <c r="AN495" i="3" s="1"/>
  <c r="AQ495" i="3"/>
  <c r="S497" i="3" l="1"/>
  <c r="U497" i="3" s="1"/>
  <c r="AI497" i="3" a="1"/>
  <c r="AI497" i="3" s="1"/>
  <c r="AR495" i="3"/>
  <c r="A498" i="3"/>
  <c r="AA497" i="3"/>
  <c r="AC497" i="3" s="1"/>
  <c r="AJ497" i="3" s="1"/>
  <c r="W497" i="3"/>
  <c r="Y497" i="3" s="1"/>
  <c r="AE497" i="3" s="1"/>
  <c r="AL497" i="3" s="1"/>
  <c r="AF496" i="3"/>
  <c r="AN496" i="3" s="1"/>
  <c r="AQ496" i="3"/>
  <c r="S498" i="3" l="1"/>
  <c r="U498" i="3" s="1"/>
  <c r="AI498" i="3" a="1"/>
  <c r="AI498" i="3" s="1"/>
  <c r="AR496" i="3"/>
  <c r="AO496" i="3"/>
  <c r="W498" i="3"/>
  <c r="Y498" i="3" s="1"/>
  <c r="A499" i="3"/>
  <c r="AA498" i="3"/>
  <c r="AC498" i="3" s="1"/>
  <c r="AJ498" i="3" s="1"/>
  <c r="AF497" i="3"/>
  <c r="AN497" i="3" s="1"/>
  <c r="AQ497" i="3"/>
  <c r="AE498" i="3" l="1"/>
  <c r="AR497" i="3"/>
  <c r="AO497" i="3"/>
  <c r="A500" i="3"/>
  <c r="AA499" i="3"/>
  <c r="AC499" i="3" s="1"/>
  <c r="W499" i="3"/>
  <c r="Y499" i="3" s="1"/>
  <c r="AE499" i="3" s="1"/>
  <c r="AL499" i="3" s="1"/>
  <c r="AL498" i="3" l="1"/>
  <c r="AF498" i="3"/>
  <c r="AQ498" i="3"/>
  <c r="S500" i="3"/>
  <c r="U500" i="3" s="1"/>
  <c r="AI500" i="3" a="1"/>
  <c r="AI500" i="3" s="1"/>
  <c r="A501" i="3"/>
  <c r="W500" i="3"/>
  <c r="Y500" i="3" s="1"/>
  <c r="AA500" i="3"/>
  <c r="AC500" i="3" s="1"/>
  <c r="AJ500" i="3" s="1"/>
  <c r="AF499" i="3"/>
  <c r="AN499" i="3" s="1"/>
  <c r="AQ499" i="3"/>
  <c r="AN498" i="3" l="1"/>
  <c r="AO498" i="3" s="1"/>
  <c r="AR498" i="3"/>
  <c r="AE500" i="3"/>
  <c r="S501" i="3"/>
  <c r="U501" i="3" s="1"/>
  <c r="AI501" i="3" a="1"/>
  <c r="AI501" i="3" s="1"/>
  <c r="AR499" i="3"/>
  <c r="AA501" i="3"/>
  <c r="AC501" i="3" s="1"/>
  <c r="AJ501" i="3" s="1"/>
  <c r="A502" i="3"/>
  <c r="W501" i="3"/>
  <c r="Y501" i="3" s="1"/>
  <c r="AE501" i="3" l="1"/>
  <c r="AL500" i="3"/>
  <c r="AQ500" i="3" s="1"/>
  <c r="AF500" i="3"/>
  <c r="S502" i="3"/>
  <c r="U502" i="3" s="1"/>
  <c r="AI502" i="3" a="1"/>
  <c r="AI502" i="3" s="1"/>
  <c r="W502" i="3"/>
  <c r="Y502" i="3" s="1"/>
  <c r="A503" i="3"/>
  <c r="AA502" i="3"/>
  <c r="AC502" i="3" s="1"/>
  <c r="AJ502" i="3" s="1"/>
  <c r="AE502" i="3" l="1"/>
  <c r="AL502" i="3" s="1"/>
  <c r="AN500" i="3"/>
  <c r="AO500" i="3" s="1"/>
  <c r="AR500" i="3"/>
  <c r="AL501" i="3"/>
  <c r="AQ501" i="3" s="1"/>
  <c r="AF501" i="3"/>
  <c r="AN501" i="3" s="1"/>
  <c r="S503" i="3"/>
  <c r="U503" i="3" s="1"/>
  <c r="AI503" i="3" a="1"/>
  <c r="AI503" i="3" s="1"/>
  <c r="AR501" i="3"/>
  <c r="AO501" i="3"/>
  <c r="AF502" i="3"/>
  <c r="AN502" i="3" s="1"/>
  <c r="AQ502" i="3"/>
  <c r="A504" i="3"/>
  <c r="AA503" i="3"/>
  <c r="AC503" i="3" s="1"/>
  <c r="AJ503" i="3" s="1"/>
  <c r="W503" i="3"/>
  <c r="Y503" i="3" s="1"/>
  <c r="AE503" i="3" l="1"/>
  <c r="S504" i="3"/>
  <c r="U504" i="3" s="1"/>
  <c r="AI504" i="3" a="1"/>
  <c r="AI504" i="3" s="1"/>
  <c r="AR502" i="3"/>
  <c r="AO502" i="3"/>
  <c r="A505" i="3"/>
  <c r="AA504" i="3"/>
  <c r="AC504" i="3" s="1"/>
  <c r="AJ504" i="3" s="1"/>
  <c r="W504" i="3"/>
  <c r="Y504" i="3" s="1"/>
  <c r="AE504" i="3" l="1"/>
  <c r="AL503" i="3"/>
  <c r="AQ503" i="3" s="1"/>
  <c r="AF503" i="3"/>
  <c r="S505" i="3"/>
  <c r="U505" i="3" s="1"/>
  <c r="AI505" i="3" a="1"/>
  <c r="AI505" i="3" s="1"/>
  <c r="A506" i="3"/>
  <c r="AA505" i="3"/>
  <c r="AC505" i="3" s="1"/>
  <c r="AJ505" i="3" s="1"/>
  <c r="W505" i="3"/>
  <c r="Y505" i="3" s="1"/>
  <c r="AE505" i="3" l="1"/>
  <c r="AN503" i="3"/>
  <c r="AO503" i="3" s="1"/>
  <c r="AR503" i="3"/>
  <c r="AL504" i="3"/>
  <c r="AQ504" i="3" s="1"/>
  <c r="AF504" i="3"/>
  <c r="AN504" i="3" s="1"/>
  <c r="S506" i="3"/>
  <c r="U506" i="3" s="1"/>
  <c r="AI506" i="3" a="1"/>
  <c r="AI506" i="3" s="1"/>
  <c r="W506" i="3"/>
  <c r="Y506" i="3" s="1"/>
  <c r="AE506" i="3" s="1"/>
  <c r="AL506" i="3" s="1"/>
  <c r="A507" i="3"/>
  <c r="AA506" i="3"/>
  <c r="AC506" i="3" s="1"/>
  <c r="AJ506" i="3" s="1"/>
  <c r="AL505" i="3" l="1"/>
  <c r="AF505" i="3"/>
  <c r="AN505" i="3" s="1"/>
  <c r="AQ505" i="3"/>
  <c r="AR504" i="3"/>
  <c r="AO504" i="3"/>
  <c r="S507" i="3"/>
  <c r="U507" i="3" s="1"/>
  <c r="AI507" i="3" a="1"/>
  <c r="AI507" i="3" s="1"/>
  <c r="AR505" i="3"/>
  <c r="AO505" i="3"/>
  <c r="AF506" i="3"/>
  <c r="AN506" i="3" s="1"/>
  <c r="AQ506" i="3"/>
  <c r="W507" i="3"/>
  <c r="Y507" i="3" s="1"/>
  <c r="AE507" i="3" s="1"/>
  <c r="AL507" i="3" s="1"/>
  <c r="A508" i="3"/>
  <c r="AA507" i="3"/>
  <c r="AC507" i="3" s="1"/>
  <c r="AJ507" i="3" s="1"/>
  <c r="S508" i="3" l="1"/>
  <c r="U508" i="3" s="1"/>
  <c r="AI508" i="3" a="1"/>
  <c r="AI508" i="3" s="1"/>
  <c r="AR506" i="3"/>
  <c r="AO506" i="3"/>
  <c r="AF507" i="3"/>
  <c r="AN507" i="3" s="1"/>
  <c r="AQ507" i="3"/>
  <c r="A509" i="3"/>
  <c r="AA508" i="3"/>
  <c r="AC508" i="3" s="1"/>
  <c r="AJ508" i="3" s="1"/>
  <c r="W508" i="3"/>
  <c r="Y508" i="3" s="1"/>
  <c r="AE508" i="3" l="1"/>
  <c r="S509" i="3"/>
  <c r="U509" i="3" s="1"/>
  <c r="AI509" i="3" a="1"/>
  <c r="AI509" i="3" s="1"/>
  <c r="AR507" i="3"/>
  <c r="AO507" i="3"/>
  <c r="A510" i="3"/>
  <c r="AA509" i="3"/>
  <c r="AC509" i="3" s="1"/>
  <c r="AJ509" i="3" s="1"/>
  <c r="W509" i="3"/>
  <c r="Y509" i="3" s="1"/>
  <c r="AE509" i="3" l="1"/>
  <c r="AL508" i="3"/>
  <c r="AF508" i="3"/>
  <c r="AN508" i="3" s="1"/>
  <c r="AQ508" i="3"/>
  <c r="S510" i="3"/>
  <c r="U510" i="3" s="1"/>
  <c r="AI510" i="3" a="1"/>
  <c r="AI510" i="3" s="1"/>
  <c r="AR508" i="3"/>
  <c r="AO508" i="3"/>
  <c r="A511" i="3"/>
  <c r="AA510" i="3"/>
  <c r="AC510" i="3" s="1"/>
  <c r="AJ510" i="3" s="1"/>
  <c r="W510" i="3"/>
  <c r="Y510" i="3" s="1"/>
  <c r="AL509" i="3" l="1"/>
  <c r="AQ509" i="3"/>
  <c r="AF509" i="3"/>
  <c r="AN509" i="3" s="1"/>
  <c r="AO509" i="3" s="1"/>
  <c r="AE510" i="3"/>
  <c r="S511" i="3"/>
  <c r="U511" i="3" s="1"/>
  <c r="AI511" i="3" a="1"/>
  <c r="AI511" i="3" s="1"/>
  <c r="AR509" i="3"/>
  <c r="A512" i="3"/>
  <c r="AA511" i="3"/>
  <c r="AC511" i="3" s="1"/>
  <c r="AJ511" i="3" s="1"/>
  <c r="W511" i="3"/>
  <c r="Y511" i="3" s="1"/>
  <c r="AL510" i="3" l="1"/>
  <c r="AQ510" i="3" s="1"/>
  <c r="AF510" i="3"/>
  <c r="AE511" i="3"/>
  <c r="AA512" i="3"/>
  <c r="AC512" i="3" s="1"/>
  <c r="A513" i="3"/>
  <c r="W512" i="3"/>
  <c r="Y512" i="3" s="1"/>
  <c r="AE512" i="3" s="1"/>
  <c r="AL512" i="3" s="1"/>
  <c r="AN510" i="3" l="1"/>
  <c r="AL511" i="3"/>
  <c r="AQ511" i="3" s="1"/>
  <c r="AF511" i="3"/>
  <c r="W513" i="3"/>
  <c r="Y513" i="3" s="1"/>
  <c r="AE513" i="3" s="1"/>
  <c r="AL513" i="3" s="1"/>
  <c r="A514" i="3"/>
  <c r="AA513" i="3"/>
  <c r="AF512" i="3"/>
  <c r="AN512" i="3" s="1"/>
  <c r="AQ512" i="3"/>
  <c r="AO510" i="3" l="1"/>
  <c r="AR510" i="3"/>
  <c r="AN511" i="3"/>
  <c r="AC513" i="3"/>
  <c r="S514" i="3"/>
  <c r="U514" i="3" s="1"/>
  <c r="AI514" i="3" a="1"/>
  <c r="AI514" i="3" s="1"/>
  <c r="AR512" i="3"/>
  <c r="AF513" i="3"/>
  <c r="AN513" i="3" s="1"/>
  <c r="AQ513" i="3"/>
  <c r="W514" i="3"/>
  <c r="Y514" i="3" s="1"/>
  <c r="AE514" i="3" s="1"/>
  <c r="AL514" i="3" s="1"/>
  <c r="A515" i="3"/>
  <c r="AA514" i="3"/>
  <c r="AC514" i="3" s="1"/>
  <c r="AJ514" i="3" s="1"/>
  <c r="AO511" i="3" l="1"/>
  <c r="AR511" i="3"/>
  <c r="S515" i="3"/>
  <c r="U515" i="3" s="1"/>
  <c r="AI515" i="3" a="1"/>
  <c r="AI515" i="3" s="1"/>
  <c r="AR513" i="3"/>
  <c r="AF514" i="3"/>
  <c r="AN514" i="3" s="1"/>
  <c r="AQ514" i="3"/>
  <c r="AA515" i="3"/>
  <c r="AC515" i="3" s="1"/>
  <c r="AJ515" i="3" s="1"/>
  <c r="W515" i="3"/>
  <c r="Y515" i="3" s="1"/>
  <c r="AE515" i="3" s="1"/>
  <c r="AL515" i="3" s="1"/>
  <c r="A516" i="3"/>
  <c r="AR514" i="3" l="1"/>
  <c r="AO514" i="3"/>
  <c r="AF515" i="3"/>
  <c r="AN515" i="3" s="1"/>
  <c r="AQ515" i="3"/>
  <c r="AA516" i="3"/>
  <c r="A517" i="3"/>
  <c r="W516" i="3"/>
  <c r="Y516" i="3" s="1"/>
  <c r="AE516" i="3" s="1"/>
  <c r="AL516" i="3" s="1"/>
  <c r="AC516" i="3" l="1"/>
  <c r="AI516" i="3" a="1"/>
  <c r="AI516" i="3" s="1"/>
  <c r="AR515" i="3"/>
  <c r="AO515" i="3"/>
  <c r="A518" i="3"/>
  <c r="AA517" i="3"/>
  <c r="W517" i="3"/>
  <c r="Y517" i="3" s="1"/>
  <c r="AE517" i="3" s="1"/>
  <c r="AL517" i="3" s="1"/>
  <c r="AQ516" i="3"/>
  <c r="AJ516" i="3" l="1"/>
  <c r="AF516" i="3"/>
  <c r="AC517" i="3"/>
  <c r="AI517" i="3" a="1"/>
  <c r="AI517" i="3" s="1"/>
  <c r="AA518" i="3"/>
  <c r="W518" i="3"/>
  <c r="Y518" i="3" s="1"/>
  <c r="AE518" i="3" s="1"/>
  <c r="AL518" i="3" s="1"/>
  <c r="A519" i="3"/>
  <c r="AQ517" i="3"/>
  <c r="AN516" i="3" l="1"/>
  <c r="AO516" i="3" s="1"/>
  <c r="AR516" i="3"/>
  <c r="AJ517" i="3"/>
  <c r="AF517" i="3"/>
  <c r="AN517" i="3" s="1"/>
  <c r="AC518" i="3"/>
  <c r="AJ518" i="3" s="1"/>
  <c r="AI518" i="3" a="1"/>
  <c r="AI518" i="3" s="1"/>
  <c r="AF518" i="3"/>
  <c r="AN518" i="3" s="1"/>
  <c r="AQ518" i="3"/>
  <c r="A520" i="3"/>
  <c r="AA519" i="3"/>
  <c r="W519" i="3"/>
  <c r="Y519" i="3" s="1"/>
  <c r="AE519" i="3" s="1"/>
  <c r="AL519" i="3" s="1"/>
  <c r="AR517" i="3" l="1"/>
  <c r="AO517" i="3"/>
  <c r="AC519" i="3"/>
  <c r="AI519" i="3" a="1"/>
  <c r="AI519" i="3" s="1"/>
  <c r="AR518" i="3"/>
  <c r="AO518" i="3"/>
  <c r="A521" i="3"/>
  <c r="W520" i="3"/>
  <c r="Y520" i="3" s="1"/>
  <c r="AE520" i="3" s="1"/>
  <c r="AL520" i="3" s="1"/>
  <c r="AA520" i="3"/>
  <c r="AQ519" i="3"/>
  <c r="AJ519" i="3" l="1"/>
  <c r="AF519" i="3"/>
  <c r="AN519" i="3" s="1"/>
  <c r="AC520" i="3"/>
  <c r="AI520" i="3" a="1"/>
  <c r="AI520" i="3" s="1"/>
  <c r="AR519" i="3"/>
  <c r="AO519" i="3"/>
  <c r="W521" i="3"/>
  <c r="Y521" i="3" s="1"/>
  <c r="AE521" i="3" s="1"/>
  <c r="AL521" i="3" s="1"/>
  <c r="A522" i="3"/>
  <c r="AA521" i="3"/>
  <c r="AC521" i="3" s="1"/>
  <c r="AQ520" i="3"/>
  <c r="AJ520" i="3" l="1"/>
  <c r="AF520" i="3"/>
  <c r="S522" i="3"/>
  <c r="U522" i="3" s="1"/>
  <c r="AI522" i="3" a="1"/>
  <c r="AI522" i="3" s="1"/>
  <c r="AF521" i="3"/>
  <c r="AN521" i="3" s="1"/>
  <c r="AQ521" i="3"/>
  <c r="A523" i="3"/>
  <c r="AA522" i="3"/>
  <c r="AC522" i="3" s="1"/>
  <c r="AJ522" i="3" s="1"/>
  <c r="W522" i="3"/>
  <c r="Y522" i="3" s="1"/>
  <c r="AE522" i="3" s="1"/>
  <c r="AL522" i="3" s="1"/>
  <c r="AN520" i="3" l="1"/>
  <c r="AO520" i="3" s="1"/>
  <c r="AR520" i="3"/>
  <c r="S523" i="3"/>
  <c r="U523" i="3" s="1"/>
  <c r="AI523" i="3" a="1"/>
  <c r="AI523" i="3" s="1"/>
  <c r="AR521" i="3"/>
  <c r="A524" i="3"/>
  <c r="AA523" i="3"/>
  <c r="AC523" i="3" s="1"/>
  <c r="AJ523" i="3" s="1"/>
  <c r="W523" i="3"/>
  <c r="Y523" i="3" s="1"/>
  <c r="AF522" i="3"/>
  <c r="AN522" i="3" s="1"/>
  <c r="AQ522" i="3"/>
  <c r="AE523" i="3" l="1"/>
  <c r="AR522" i="3"/>
  <c r="AO522" i="3"/>
  <c r="W524" i="3"/>
  <c r="Y524" i="3" s="1"/>
  <c r="AE524" i="3" s="1"/>
  <c r="AL524" i="3" s="1"/>
  <c r="A525" i="3"/>
  <c r="AA524" i="3"/>
  <c r="AC524" i="3" s="1"/>
  <c r="AL523" i="3" l="1"/>
  <c r="AQ523" i="3" s="1"/>
  <c r="AF523" i="3"/>
  <c r="S525" i="3"/>
  <c r="U525" i="3" s="1"/>
  <c r="AI525" i="3" a="1"/>
  <c r="AI525" i="3" s="1"/>
  <c r="AF524" i="3"/>
  <c r="AN524" i="3" s="1"/>
  <c r="AQ524" i="3"/>
  <c r="A526" i="3"/>
  <c r="W525" i="3"/>
  <c r="Y525" i="3" s="1"/>
  <c r="AE525" i="3" s="1"/>
  <c r="AL525" i="3" s="1"/>
  <c r="AA525" i="3"/>
  <c r="AC525" i="3" s="1"/>
  <c r="AJ525" i="3" s="1"/>
  <c r="AN523" i="3" l="1"/>
  <c r="S526" i="3"/>
  <c r="U526" i="3" s="1"/>
  <c r="AI526" i="3" a="1"/>
  <c r="AI526" i="3" s="1"/>
  <c r="AR524" i="3"/>
  <c r="A527" i="3"/>
  <c r="AA526" i="3"/>
  <c r="AC526" i="3" s="1"/>
  <c r="AJ526" i="3" s="1"/>
  <c r="W526" i="3"/>
  <c r="Y526" i="3" s="1"/>
  <c r="AF525" i="3"/>
  <c r="AN525" i="3" s="1"/>
  <c r="AQ525" i="3"/>
  <c r="AE526" i="3" l="1"/>
  <c r="AO523" i="3"/>
  <c r="AR523" i="3"/>
  <c r="S527" i="3"/>
  <c r="U527" i="3" s="1"/>
  <c r="AI527" i="3" a="1"/>
  <c r="AI527" i="3" s="1"/>
  <c r="AR525" i="3"/>
  <c r="AO525" i="3"/>
  <c r="A528" i="3"/>
  <c r="W527" i="3"/>
  <c r="Y527" i="3" s="1"/>
  <c r="AA527" i="3"/>
  <c r="AC527" i="3" s="1"/>
  <c r="AJ527" i="3" s="1"/>
  <c r="AL526" i="3" l="1"/>
  <c r="AQ526" i="3" s="1"/>
  <c r="AF526" i="3"/>
  <c r="AE527" i="3"/>
  <c r="A529" i="3"/>
  <c r="AA528" i="3"/>
  <c r="AC528" i="3" s="1"/>
  <c r="W528" i="3"/>
  <c r="Y528" i="3" s="1"/>
  <c r="AE528" i="3" s="1"/>
  <c r="AL528" i="3" s="1"/>
  <c r="AN526" i="3" l="1"/>
  <c r="AO526" i="3" s="1"/>
  <c r="AR526" i="3"/>
  <c r="AL527" i="3"/>
  <c r="AQ527" i="3" s="1"/>
  <c r="AF527" i="3"/>
  <c r="AA529" i="3"/>
  <c r="W529" i="3"/>
  <c r="Y529" i="3" s="1"/>
  <c r="AE529" i="3" s="1"/>
  <c r="AL529" i="3" s="1"/>
  <c r="A530" i="3"/>
  <c r="AF528" i="3"/>
  <c r="AN528" i="3" s="1"/>
  <c r="AQ528" i="3"/>
  <c r="AN527" i="3" l="1"/>
  <c r="AO527" i="3" s="1"/>
  <c r="AR527" i="3"/>
  <c r="AC529" i="3"/>
  <c r="AF529" i="3" s="1"/>
  <c r="AN529" i="3" s="1"/>
  <c r="AR528" i="3"/>
  <c r="AQ529" i="3"/>
  <c r="W530" i="3"/>
  <c r="Y530" i="3" s="1"/>
  <c r="AE530" i="3" s="1"/>
  <c r="AL530" i="3" s="1"/>
  <c r="A531" i="3"/>
  <c r="AA530" i="3"/>
  <c r="AC530" i="3" l="1"/>
  <c r="AF530" i="3" s="1"/>
  <c r="AN530" i="3" s="1"/>
  <c r="AI530" i="3" a="1"/>
  <c r="AI530" i="3" s="1"/>
  <c r="AR529" i="3"/>
  <c r="AQ530" i="3"/>
  <c r="A532" i="3"/>
  <c r="AA531" i="3"/>
  <c r="AC531" i="3" s="1"/>
  <c r="W531" i="3"/>
  <c r="Y531" i="3" s="1"/>
  <c r="AE531" i="3" s="1"/>
  <c r="AL531" i="3" s="1"/>
  <c r="AR530" i="3" l="1"/>
  <c r="A533" i="3"/>
  <c r="AA532" i="3"/>
  <c r="AC532" i="3" s="1"/>
  <c r="W532" i="3"/>
  <c r="Y532" i="3" s="1"/>
  <c r="AE532" i="3" s="1"/>
  <c r="AL532" i="3" s="1"/>
  <c r="AF531" i="3"/>
  <c r="AN531" i="3" s="1"/>
  <c r="AQ531" i="3"/>
  <c r="S533" i="3" l="1"/>
  <c r="U533" i="3" s="1"/>
  <c r="AI533" i="3" a="1"/>
  <c r="AI533" i="3" s="1"/>
  <c r="AR531" i="3"/>
  <c r="W533" i="3"/>
  <c r="Y533" i="3" s="1"/>
  <c r="AE533" i="3" s="1"/>
  <c r="AL533" i="3" s="1"/>
  <c r="A534" i="3"/>
  <c r="AA533" i="3"/>
  <c r="AC533" i="3" s="1"/>
  <c r="AJ533" i="3" s="1"/>
  <c r="AF532" i="3"/>
  <c r="AN532" i="3" s="1"/>
  <c r="AQ532" i="3"/>
  <c r="S534" i="3" l="1"/>
  <c r="U534" i="3" s="1"/>
  <c r="AI534" i="3" a="1"/>
  <c r="AI534" i="3" s="1"/>
  <c r="AR532" i="3"/>
  <c r="AF533" i="3"/>
  <c r="AN533" i="3" s="1"/>
  <c r="AQ533" i="3"/>
  <c r="W534" i="3"/>
  <c r="Y534" i="3" s="1"/>
  <c r="AE534" i="3" s="1"/>
  <c r="AL534" i="3" s="1"/>
  <c r="A535" i="3"/>
  <c r="AA534" i="3"/>
  <c r="AC534" i="3" s="1"/>
  <c r="AJ534" i="3" s="1"/>
  <c r="S535" i="3" l="1"/>
  <c r="U535" i="3" s="1"/>
  <c r="AI535" i="3" a="1"/>
  <c r="AI535" i="3" s="1"/>
  <c r="AR533" i="3"/>
  <c r="AO533" i="3"/>
  <c r="AF534" i="3"/>
  <c r="AN534" i="3" s="1"/>
  <c r="AQ534" i="3"/>
  <c r="A536" i="3"/>
  <c r="AA535" i="3"/>
  <c r="AC535" i="3" s="1"/>
  <c r="AJ535" i="3" s="1"/>
  <c r="W535" i="3"/>
  <c r="Y535" i="3" s="1"/>
  <c r="AE535" i="3" s="1"/>
  <c r="AL535" i="3" s="1"/>
  <c r="AR534" i="3" l="1"/>
  <c r="AO534" i="3"/>
  <c r="A537" i="3"/>
  <c r="AA536" i="3"/>
  <c r="W536" i="3"/>
  <c r="Y536" i="3" s="1"/>
  <c r="AE536" i="3" s="1"/>
  <c r="AL536" i="3" s="1"/>
  <c r="AF535" i="3"/>
  <c r="AN535" i="3" s="1"/>
  <c r="AQ535" i="3"/>
  <c r="AC536" i="3" l="1"/>
  <c r="AJ536" i="3" s="1"/>
  <c r="AI536" i="3" a="1"/>
  <c r="AI536" i="3" s="1"/>
  <c r="AR535" i="3"/>
  <c r="AO535" i="3"/>
  <c r="AA537" i="3"/>
  <c r="A538" i="3"/>
  <c r="W537" i="3"/>
  <c r="Y537" i="3" s="1"/>
  <c r="AE537" i="3" s="1"/>
  <c r="AL537" i="3" s="1"/>
  <c r="AF536" i="3"/>
  <c r="AN536" i="3" s="1"/>
  <c r="AQ536" i="3"/>
  <c r="AC537" i="3" l="1"/>
  <c r="AF537" i="3" s="1"/>
  <c r="AN537" i="3" s="1"/>
  <c r="S538" i="3"/>
  <c r="U538" i="3" s="1"/>
  <c r="AI538" i="3" a="1"/>
  <c r="AI538" i="3" s="1"/>
  <c r="AR536" i="3"/>
  <c r="AO536" i="3"/>
  <c r="A539" i="3"/>
  <c r="AA538" i="3"/>
  <c r="AC538" i="3" s="1"/>
  <c r="AJ538" i="3" s="1"/>
  <c r="W538" i="3"/>
  <c r="Y538" i="3" s="1"/>
  <c r="AE538" i="3" s="1"/>
  <c r="AL538" i="3" s="1"/>
  <c r="AQ537" i="3"/>
  <c r="S539" i="3" l="1"/>
  <c r="U539" i="3" s="1"/>
  <c r="AI539" i="3" a="1"/>
  <c r="AI539" i="3" s="1"/>
  <c r="AR537" i="3"/>
  <c r="A540" i="3"/>
  <c r="AA539" i="3"/>
  <c r="AC539" i="3" s="1"/>
  <c r="AJ539" i="3" s="1"/>
  <c r="W539" i="3"/>
  <c r="Y539" i="3" s="1"/>
  <c r="AE539" i="3" s="1"/>
  <c r="AL539" i="3" s="1"/>
  <c r="AF538" i="3"/>
  <c r="AN538" i="3" s="1"/>
  <c r="AQ538" i="3"/>
  <c r="S540" i="3" l="1"/>
  <c r="U540" i="3" s="1"/>
  <c r="AI540" i="3" a="1"/>
  <c r="AI540" i="3" s="1"/>
  <c r="AR538" i="3"/>
  <c r="AO538" i="3"/>
  <c r="A541" i="3"/>
  <c r="AA540" i="3"/>
  <c r="AC540" i="3" s="1"/>
  <c r="AJ540" i="3" s="1"/>
  <c r="W540" i="3"/>
  <c r="Y540" i="3" s="1"/>
  <c r="AE540" i="3" s="1"/>
  <c r="AL540" i="3" s="1"/>
  <c r="AF539" i="3"/>
  <c r="AN539" i="3" s="1"/>
  <c r="AQ539" i="3"/>
  <c r="S541" i="3" l="1"/>
  <c r="U541" i="3" s="1"/>
  <c r="AI541" i="3" a="1"/>
  <c r="AI541" i="3" s="1"/>
  <c r="AR539" i="3"/>
  <c r="AO539" i="3"/>
  <c r="A542" i="3"/>
  <c r="S542" i="3" s="1"/>
  <c r="U542" i="3" s="1"/>
  <c r="W541" i="3"/>
  <c r="Y541" i="3" s="1"/>
  <c r="AE541" i="3" s="1"/>
  <c r="AL541" i="3" s="1"/>
  <c r="AA541" i="3"/>
  <c r="AC541" i="3" s="1"/>
  <c r="AJ541" i="3" s="1"/>
  <c r="AF540" i="3"/>
  <c r="AN540" i="3" s="1"/>
  <c r="AQ540" i="3"/>
  <c r="AR540" i="3" l="1"/>
  <c r="AO540" i="3"/>
  <c r="W542" i="3"/>
  <c r="Y542" i="3" s="1"/>
  <c r="AE542" i="3" s="1"/>
  <c r="AL542" i="3" s="1"/>
  <c r="A543" i="3"/>
  <c r="AA542" i="3"/>
  <c r="AC542" i="3" s="1"/>
  <c r="AF541" i="3"/>
  <c r="AN541" i="3" s="1"/>
  <c r="AQ541" i="3"/>
  <c r="S543" i="3" l="1"/>
  <c r="U543" i="3" s="1"/>
  <c r="AI543" i="3" a="1"/>
  <c r="AI543" i="3" s="1"/>
  <c r="AR541" i="3"/>
  <c r="AO541" i="3"/>
  <c r="AF542" i="3"/>
  <c r="AN542" i="3" s="1"/>
  <c r="AQ542" i="3"/>
  <c r="A544" i="3"/>
  <c r="AA543" i="3"/>
  <c r="AC543" i="3" s="1"/>
  <c r="AJ543" i="3" s="1"/>
  <c r="W543" i="3"/>
  <c r="Y543" i="3" s="1"/>
  <c r="AE543" i="3" l="1"/>
  <c r="S544" i="3"/>
  <c r="U544" i="3" s="1"/>
  <c r="AI544" i="3" a="1"/>
  <c r="AI544" i="3" s="1"/>
  <c r="AR542" i="3"/>
  <c r="A545" i="3"/>
  <c r="AA544" i="3"/>
  <c r="AC544" i="3" s="1"/>
  <c r="AJ544" i="3" s="1"/>
  <c r="W544" i="3"/>
  <c r="Y544" i="3" s="1"/>
  <c r="AE544" i="3" l="1"/>
  <c r="AL543" i="3"/>
  <c r="AQ543" i="3" s="1"/>
  <c r="AF543" i="3"/>
  <c r="AN543" i="3" s="1"/>
  <c r="AO543" i="3" s="1"/>
  <c r="S545" i="3"/>
  <c r="U545" i="3" s="1"/>
  <c r="AI545" i="3" a="1"/>
  <c r="AI545" i="3" s="1"/>
  <c r="AR543" i="3"/>
  <c r="W545" i="3"/>
  <c r="Y545" i="3" s="1"/>
  <c r="A546" i="3"/>
  <c r="AA545" i="3"/>
  <c r="AC545" i="3" s="1"/>
  <c r="AJ545" i="3" s="1"/>
  <c r="AE545" i="3" l="1"/>
  <c r="AL544" i="3"/>
  <c r="AQ544" i="3"/>
  <c r="AF544" i="3"/>
  <c r="S546" i="3"/>
  <c r="U546" i="3" s="1"/>
  <c r="AI546" i="3" a="1"/>
  <c r="AI546" i="3" s="1"/>
  <c r="A547" i="3"/>
  <c r="AA546" i="3"/>
  <c r="AC546" i="3" s="1"/>
  <c r="AJ546" i="3" s="1"/>
  <c r="W546" i="3"/>
  <c r="Y546" i="3" s="1"/>
  <c r="AL545" i="3" l="1"/>
  <c r="AQ545" i="3"/>
  <c r="AF545" i="3"/>
  <c r="AN544" i="3"/>
  <c r="AO544" i="3" s="1"/>
  <c r="AR544" i="3"/>
  <c r="AE546" i="3"/>
  <c r="W547" i="3"/>
  <c r="Y547" i="3" s="1"/>
  <c r="AE547" i="3" s="1"/>
  <c r="AL547" i="3" s="1"/>
  <c r="A548" i="3"/>
  <c r="AA547" i="3"/>
  <c r="AC547" i="3" s="1"/>
  <c r="AN545" i="3" l="1"/>
  <c r="AO545" i="3" s="1"/>
  <c r="AR545" i="3"/>
  <c r="AL546" i="3"/>
  <c r="AF546" i="3"/>
  <c r="AN546" i="3" s="1"/>
  <c r="AR546" i="3"/>
  <c r="AQ547" i="3"/>
  <c r="AF547" i="3"/>
  <c r="AN547" i="3" s="1"/>
  <c r="AA548" i="3"/>
  <c r="A549" i="3"/>
  <c r="W548" i="3"/>
  <c r="Y548" i="3" s="1"/>
  <c r="AE548" i="3" s="1"/>
  <c r="AL548" i="3" s="1"/>
  <c r="AQ546" i="3" l="1"/>
  <c r="AO546" i="3"/>
  <c r="AC548" i="3"/>
  <c r="AF548" i="3" s="1"/>
  <c r="AN548" i="3" s="1"/>
  <c r="AI548" i="3" a="1"/>
  <c r="AI548" i="3" s="1"/>
  <c r="S549" i="3"/>
  <c r="U549" i="3" s="1"/>
  <c r="AI549" i="3" a="1"/>
  <c r="AI549" i="3" s="1"/>
  <c r="AR547" i="3"/>
  <c r="A550" i="3"/>
  <c r="W549" i="3"/>
  <c r="Y549" i="3" s="1"/>
  <c r="AE549" i="3" s="1"/>
  <c r="AL549" i="3" s="1"/>
  <c r="AA549" i="3"/>
  <c r="AC549" i="3" s="1"/>
  <c r="AJ549" i="3" s="1"/>
  <c r="AQ548" i="3"/>
  <c r="S550" i="3" l="1"/>
  <c r="U550" i="3" s="1"/>
  <c r="AI550" i="3" a="1"/>
  <c r="AI550" i="3" s="1"/>
  <c r="AR548" i="3"/>
  <c r="A551" i="3"/>
  <c r="W550" i="3"/>
  <c r="Y550" i="3" s="1"/>
  <c r="AE550" i="3" s="1"/>
  <c r="AL550" i="3" s="1"/>
  <c r="AA550" i="3"/>
  <c r="AC550" i="3" s="1"/>
  <c r="AJ550" i="3" s="1"/>
  <c r="AF549" i="3"/>
  <c r="AN549" i="3" s="1"/>
  <c r="AQ549" i="3"/>
  <c r="S551" i="3" l="1"/>
  <c r="U551" i="3" s="1"/>
  <c r="AI551" i="3" a="1"/>
  <c r="AI551" i="3" s="1"/>
  <c r="AR549" i="3"/>
  <c r="AO549" i="3"/>
  <c r="AA551" i="3"/>
  <c r="AC551" i="3" s="1"/>
  <c r="AJ551" i="3" s="1"/>
  <c r="W551" i="3"/>
  <c r="Y551" i="3" s="1"/>
  <c r="A552" i="3"/>
  <c r="AF550" i="3"/>
  <c r="AN550" i="3" s="1"/>
  <c r="AQ550" i="3"/>
  <c r="AE551" i="3" l="1"/>
  <c r="AR550" i="3"/>
  <c r="AO550" i="3"/>
  <c r="A553" i="3"/>
  <c r="AA552" i="3"/>
  <c r="AC552" i="3" s="1"/>
  <c r="W552" i="3"/>
  <c r="Y552" i="3" s="1"/>
  <c r="AE552" i="3" s="1"/>
  <c r="AL552" i="3" s="1"/>
  <c r="AL551" i="3" l="1"/>
  <c r="AQ551" i="3" s="1"/>
  <c r="AF551" i="3"/>
  <c r="W553" i="3"/>
  <c r="Y553" i="3" s="1"/>
  <c r="AE553" i="3" s="1"/>
  <c r="AL553" i="3" s="1"/>
  <c r="AA553" i="3"/>
  <c r="A554" i="3"/>
  <c r="AF552" i="3"/>
  <c r="AN552" i="3" s="1"/>
  <c r="AQ552" i="3"/>
  <c r="AN551" i="3" l="1"/>
  <c r="AC553" i="3"/>
  <c r="AF553" i="3" s="1"/>
  <c r="AN553" i="3" s="1"/>
  <c r="AR552" i="3"/>
  <c r="AQ553" i="3"/>
  <c r="AA554" i="3"/>
  <c r="W554" i="3"/>
  <c r="Y554" i="3" s="1"/>
  <c r="AE554" i="3" s="1"/>
  <c r="AL554" i="3" s="1"/>
  <c r="A555" i="3"/>
  <c r="AO551" i="3" l="1"/>
  <c r="AR551" i="3"/>
  <c r="AC554" i="3"/>
  <c r="AF554" i="3" s="1"/>
  <c r="AN554" i="3" s="1"/>
  <c r="S555" i="3"/>
  <c r="U555" i="3" s="1"/>
  <c r="AI555" i="3" a="1"/>
  <c r="AI555" i="3" s="1"/>
  <c r="AR553" i="3"/>
  <c r="AQ554" i="3"/>
  <c r="A556" i="3"/>
  <c r="W555" i="3"/>
  <c r="Y555" i="3" s="1"/>
  <c r="AA555" i="3"/>
  <c r="AC555" i="3" s="1"/>
  <c r="AJ555" i="3" s="1"/>
  <c r="AE555" i="3" l="1"/>
  <c r="S556" i="3"/>
  <c r="U556" i="3" s="1"/>
  <c r="AI556" i="3" a="1"/>
  <c r="AI556" i="3" s="1"/>
  <c r="AR554" i="3"/>
  <c r="A557" i="3"/>
  <c r="AA556" i="3"/>
  <c r="AC556" i="3" s="1"/>
  <c r="AJ556" i="3" s="1"/>
  <c r="W556" i="3"/>
  <c r="Y556" i="3" s="1"/>
  <c r="AE556" i="3" s="1"/>
  <c r="AL556" i="3" s="1"/>
  <c r="AL555" i="3" l="1"/>
  <c r="AQ555" i="3" s="1"/>
  <c r="AF555" i="3"/>
  <c r="S557" i="3"/>
  <c r="U557" i="3" s="1"/>
  <c r="AI557" i="3" a="1"/>
  <c r="AI557" i="3" s="1"/>
  <c r="A558" i="3"/>
  <c r="AA557" i="3"/>
  <c r="AC557" i="3" s="1"/>
  <c r="AJ557" i="3" s="1"/>
  <c r="W557" i="3"/>
  <c r="Y557" i="3" s="1"/>
  <c r="AE557" i="3" s="1"/>
  <c r="AL557" i="3" s="1"/>
  <c r="AF556" i="3"/>
  <c r="AN556" i="3" s="1"/>
  <c r="AQ556" i="3"/>
  <c r="AN555" i="3" l="1"/>
  <c r="AO555" i="3" s="1"/>
  <c r="AR555" i="3"/>
  <c r="S558" i="3"/>
  <c r="U558" i="3" s="1"/>
  <c r="AI558" i="3" a="1"/>
  <c r="AI558" i="3" s="1"/>
  <c r="AR556" i="3"/>
  <c r="AO556" i="3"/>
  <c r="W558" i="3"/>
  <c r="Y558" i="3" s="1"/>
  <c r="AE558" i="3" s="1"/>
  <c r="AL558" i="3" s="1"/>
  <c r="A559" i="3"/>
  <c r="AA558" i="3"/>
  <c r="AC558" i="3" s="1"/>
  <c r="AJ558" i="3" s="1"/>
  <c r="AQ557" i="3"/>
  <c r="AF557" i="3"/>
  <c r="AN557" i="3" s="1"/>
  <c r="S559" i="3" l="1"/>
  <c r="U559" i="3" s="1"/>
  <c r="AI559" i="3" a="1"/>
  <c r="AI559" i="3" s="1"/>
  <c r="AR557" i="3"/>
  <c r="AO557" i="3"/>
  <c r="AF558" i="3"/>
  <c r="AN558" i="3" s="1"/>
  <c r="AQ558" i="3"/>
  <c r="A560" i="3"/>
  <c r="W559" i="3"/>
  <c r="Y559" i="3" s="1"/>
  <c r="AA559" i="3"/>
  <c r="AC559" i="3" s="1"/>
  <c r="AJ559" i="3" s="1"/>
  <c r="AE559" i="3" l="1"/>
  <c r="S560" i="3"/>
  <c r="U560" i="3" s="1"/>
  <c r="AI560" i="3" a="1"/>
  <c r="AI560" i="3" s="1"/>
  <c r="AR558" i="3"/>
  <c r="AO558" i="3"/>
  <c r="A561" i="3"/>
  <c r="W560" i="3"/>
  <c r="Y560" i="3" s="1"/>
  <c r="AA560" i="3"/>
  <c r="AC560" i="3" s="1"/>
  <c r="AJ560" i="3" s="1"/>
  <c r="AE560" i="3" l="1"/>
  <c r="AL559" i="3"/>
  <c r="AF559" i="3"/>
  <c r="AN559" i="3" s="1"/>
  <c r="AO559" i="3" s="1"/>
  <c r="AQ559" i="3"/>
  <c r="S561" i="3"/>
  <c r="U561" i="3" s="1"/>
  <c r="AI561" i="3" a="1"/>
  <c r="AI561" i="3" s="1"/>
  <c r="AR559" i="3"/>
  <c r="AA561" i="3"/>
  <c r="AC561" i="3" s="1"/>
  <c r="AJ561" i="3" s="1"/>
  <c r="W561" i="3"/>
  <c r="Y561" i="3" s="1"/>
  <c r="AE561" i="3" s="1"/>
  <c r="AL561" i="3" s="1"/>
  <c r="A562" i="3"/>
  <c r="AL560" i="3" l="1"/>
  <c r="AF560" i="3"/>
  <c r="AQ560" i="3"/>
  <c r="S562" i="3"/>
  <c r="U562" i="3" s="1"/>
  <c r="AI562" i="3" a="1"/>
  <c r="AI562" i="3" s="1"/>
  <c r="AF561" i="3"/>
  <c r="AN561" i="3" s="1"/>
  <c r="AQ561" i="3"/>
  <c r="A563" i="3"/>
  <c r="AA562" i="3"/>
  <c r="AC562" i="3" s="1"/>
  <c r="AJ562" i="3" s="1"/>
  <c r="W562" i="3"/>
  <c r="Y562" i="3" s="1"/>
  <c r="AN560" i="3" l="1"/>
  <c r="AO560" i="3" s="1"/>
  <c r="AR560" i="3"/>
  <c r="AE562" i="3"/>
  <c r="S563" i="3"/>
  <c r="U563" i="3" s="1"/>
  <c r="AI563" i="3" a="1"/>
  <c r="AI563" i="3" s="1"/>
  <c r="AR561" i="3"/>
  <c r="AO561" i="3"/>
  <c r="A564" i="3"/>
  <c r="AA563" i="3"/>
  <c r="AC563" i="3" s="1"/>
  <c r="AJ563" i="3" s="1"/>
  <c r="W563" i="3"/>
  <c r="Y563" i="3" s="1"/>
  <c r="AE563" i="3" l="1"/>
  <c r="AL562" i="3"/>
  <c r="AQ562" i="3" s="1"/>
  <c r="AF562" i="3"/>
  <c r="S564" i="3"/>
  <c r="U564" i="3" s="1"/>
  <c r="AI564" i="3" a="1"/>
  <c r="AI564" i="3" s="1"/>
  <c r="A565" i="3"/>
  <c r="AA564" i="3"/>
  <c r="AC564" i="3" s="1"/>
  <c r="AJ564" i="3" s="1"/>
  <c r="W564" i="3"/>
  <c r="Y564" i="3" s="1"/>
  <c r="AN562" i="3" l="1"/>
  <c r="AO562" i="3" s="1"/>
  <c r="AR562" i="3"/>
  <c r="AE564" i="3"/>
  <c r="AL563" i="3"/>
  <c r="AQ563" i="3" s="1"/>
  <c r="AF563" i="3"/>
  <c r="AN563" i="3" s="1"/>
  <c r="S565" i="3"/>
  <c r="U565" i="3" s="1"/>
  <c r="AI565" i="3" a="1"/>
  <c r="AI565" i="3" s="1"/>
  <c r="AR563" i="3"/>
  <c r="A566" i="3"/>
  <c r="W565" i="3"/>
  <c r="Y565" i="3" s="1"/>
  <c r="AA565" i="3"/>
  <c r="AC565" i="3" s="1"/>
  <c r="AJ565" i="3" s="1"/>
  <c r="AL564" i="3" l="1"/>
  <c r="AF564" i="3"/>
  <c r="AQ564" i="3"/>
  <c r="AO563" i="3"/>
  <c r="AE565" i="3"/>
  <c r="S566" i="3"/>
  <c r="U566" i="3" s="1"/>
  <c r="W566" i="3"/>
  <c r="Y566" i="3" s="1"/>
  <c r="AA566" i="3"/>
  <c r="AC566" i="3" s="1"/>
  <c r="A567" i="3"/>
  <c r="AN564" i="3" l="1"/>
  <c r="AO564" i="3" s="1"/>
  <c r="AR564" i="3"/>
  <c r="AE566" i="3"/>
  <c r="AL565" i="3"/>
  <c r="AF565" i="3"/>
  <c r="A568" i="3"/>
  <c r="W567" i="3"/>
  <c r="Y567" i="3" s="1"/>
  <c r="AE567" i="3" s="1"/>
  <c r="AL567" i="3" s="1"/>
  <c r="AA567" i="3"/>
  <c r="AC567" i="3" s="1"/>
  <c r="AN565" i="3" l="1"/>
  <c r="AR565" i="3"/>
  <c r="AL566" i="3"/>
  <c r="AF566" i="3"/>
  <c r="AQ566" i="3"/>
  <c r="AO565" i="3"/>
  <c r="AQ565" i="3"/>
  <c r="S568" i="3"/>
  <c r="U568" i="3" s="1"/>
  <c r="AI568" i="3" a="1"/>
  <c r="AI568" i="3" s="1"/>
  <c r="W568" i="3"/>
  <c r="Y568" i="3" s="1"/>
  <c r="A569" i="3"/>
  <c r="AA568" i="3"/>
  <c r="AC568" i="3" s="1"/>
  <c r="AJ568" i="3" s="1"/>
  <c r="AF567" i="3"/>
  <c r="AN567" i="3" s="1"/>
  <c r="AQ567" i="3"/>
  <c r="AE568" i="3" l="1"/>
  <c r="AN566" i="3"/>
  <c r="AR566" i="3"/>
  <c r="S569" i="3"/>
  <c r="U569" i="3" s="1"/>
  <c r="AI569" i="3" a="1"/>
  <c r="AI569" i="3" s="1"/>
  <c r="AR567" i="3"/>
  <c r="AF568" i="3"/>
  <c r="AN568" i="3" s="1"/>
  <c r="A570" i="3"/>
  <c r="AA569" i="3"/>
  <c r="AC569" i="3" s="1"/>
  <c r="AJ569" i="3" s="1"/>
  <c r="W569" i="3"/>
  <c r="Y569" i="3" s="1"/>
  <c r="AE569" i="3" s="1"/>
  <c r="AL569" i="3" s="1"/>
  <c r="AL568" i="3" l="1"/>
  <c r="AQ568" i="3"/>
  <c r="S570" i="3"/>
  <c r="U570" i="3" s="1"/>
  <c r="AI570" i="3" a="1"/>
  <c r="AI570" i="3" s="1"/>
  <c r="AR568" i="3"/>
  <c r="AO568" i="3"/>
  <c r="A571" i="3"/>
  <c r="AA570" i="3"/>
  <c r="AC570" i="3" s="1"/>
  <c r="AJ570" i="3" s="1"/>
  <c r="W570" i="3"/>
  <c r="Y570" i="3" s="1"/>
  <c r="AE570" i="3" s="1"/>
  <c r="AL570" i="3" s="1"/>
  <c r="AF569" i="3"/>
  <c r="AN569" i="3" s="1"/>
  <c r="AQ569" i="3"/>
  <c r="S571" i="3" l="1"/>
  <c r="U571" i="3" s="1"/>
  <c r="AI571" i="3" a="1"/>
  <c r="AI571" i="3" s="1"/>
  <c r="AR569" i="3"/>
  <c r="AO569" i="3"/>
  <c r="A572" i="3"/>
  <c r="W571" i="3"/>
  <c r="Y571" i="3" s="1"/>
  <c r="AE571" i="3" s="1"/>
  <c r="AL571" i="3" s="1"/>
  <c r="AA571" i="3"/>
  <c r="AC571" i="3" s="1"/>
  <c r="AJ571" i="3" s="1"/>
  <c r="AF570" i="3"/>
  <c r="AN570" i="3" s="1"/>
  <c r="AQ570" i="3"/>
  <c r="S572" i="3" l="1"/>
  <c r="U572" i="3" s="1"/>
  <c r="AI572" i="3" a="1"/>
  <c r="AI572" i="3" s="1"/>
  <c r="AR570" i="3"/>
  <c r="AO570" i="3"/>
  <c r="A573" i="3"/>
  <c r="W572" i="3"/>
  <c r="Y572" i="3" s="1"/>
  <c r="AE572" i="3" s="1"/>
  <c r="AL572" i="3" s="1"/>
  <c r="AA572" i="3"/>
  <c r="AC572" i="3" s="1"/>
  <c r="AJ572" i="3" s="1"/>
  <c r="AQ571" i="3"/>
  <c r="AF571" i="3"/>
  <c r="AN571" i="3" s="1"/>
  <c r="AR571" i="3" l="1"/>
  <c r="AO571" i="3"/>
  <c r="A574" i="3"/>
  <c r="W573" i="3"/>
  <c r="Y573" i="3" s="1"/>
  <c r="AE573" i="3" s="1"/>
  <c r="AL573" i="3" s="1"/>
  <c r="AA573" i="3"/>
  <c r="AF572" i="3"/>
  <c r="AN572" i="3" s="1"/>
  <c r="AQ572" i="3"/>
  <c r="AC573" i="3" l="1"/>
  <c r="AR572" i="3"/>
  <c r="AO572" i="3"/>
  <c r="A575" i="3"/>
  <c r="AA574" i="3"/>
  <c r="AC574" i="3" s="1"/>
  <c r="W574" i="3"/>
  <c r="Y574" i="3" s="1"/>
  <c r="AE574" i="3" s="1"/>
  <c r="AL574" i="3" s="1"/>
  <c r="AF573" i="3"/>
  <c r="AN573" i="3" s="1"/>
  <c r="AQ573" i="3"/>
  <c r="AR573" i="3" l="1"/>
  <c r="A576" i="3"/>
  <c r="W575" i="3"/>
  <c r="Y575" i="3" s="1"/>
  <c r="AE575" i="3" s="1"/>
  <c r="AL575" i="3" s="1"/>
  <c r="AA575" i="3"/>
  <c r="AF574" i="3"/>
  <c r="AN574" i="3" s="1"/>
  <c r="AQ574" i="3"/>
  <c r="AC575" i="3" l="1"/>
  <c r="AF575" i="3" s="1"/>
  <c r="AN575" i="3" s="1"/>
  <c r="S576" i="3"/>
  <c r="U576" i="3" s="1"/>
  <c r="AI576" i="3" a="1"/>
  <c r="AI576" i="3" s="1"/>
  <c r="AR574" i="3"/>
  <c r="A577" i="3"/>
  <c r="AA576" i="3"/>
  <c r="AC576" i="3" s="1"/>
  <c r="AJ576" i="3" s="1"/>
  <c r="W576" i="3"/>
  <c r="Y576" i="3" s="1"/>
  <c r="AQ575" i="3"/>
  <c r="AE576" i="3" l="1"/>
  <c r="S577" i="3"/>
  <c r="U577" i="3" s="1"/>
  <c r="AI577" i="3" a="1"/>
  <c r="AI577" i="3" s="1"/>
  <c r="AR575" i="3"/>
  <c r="A578" i="3"/>
  <c r="AA577" i="3"/>
  <c r="AC577" i="3" s="1"/>
  <c r="AJ577" i="3" s="1"/>
  <c r="W577" i="3"/>
  <c r="Y577" i="3" s="1"/>
  <c r="AE577" i="3" s="1"/>
  <c r="AL577" i="3" s="1"/>
  <c r="AL576" i="3" l="1"/>
  <c r="AF576" i="3"/>
  <c r="AQ576" i="3"/>
  <c r="S578" i="3"/>
  <c r="U578" i="3" s="1"/>
  <c r="AI578" i="3" a="1"/>
  <c r="AI578" i="3" s="1"/>
  <c r="A579" i="3"/>
  <c r="AA578" i="3"/>
  <c r="AC578" i="3" s="1"/>
  <c r="AJ578" i="3" s="1"/>
  <c r="W578" i="3"/>
  <c r="Y578" i="3" s="1"/>
  <c r="AF577" i="3"/>
  <c r="AN577" i="3" s="1"/>
  <c r="AQ577" i="3"/>
  <c r="AN576" i="3" l="1"/>
  <c r="AO576" i="3" s="1"/>
  <c r="AR576" i="3"/>
  <c r="AE578" i="3"/>
  <c r="AF578" i="3" s="1"/>
  <c r="AN578" i="3" s="1"/>
  <c r="AR577" i="3"/>
  <c r="AO577" i="3"/>
  <c r="AA579" i="3"/>
  <c r="W579" i="3"/>
  <c r="Y579" i="3" s="1"/>
  <c r="AE579" i="3" s="1"/>
  <c r="AL579" i="3" s="1"/>
  <c r="A580" i="3"/>
  <c r="AL578" i="3" l="1"/>
  <c r="AC579" i="3"/>
  <c r="AF579" i="3" s="1"/>
  <c r="AN579" i="3" s="1"/>
  <c r="S580" i="3"/>
  <c r="U580" i="3" s="1"/>
  <c r="AI580" i="3" a="1"/>
  <c r="AI580" i="3" s="1"/>
  <c r="AR578" i="3"/>
  <c r="AQ579" i="3"/>
  <c r="A581" i="3"/>
  <c r="AA580" i="3"/>
  <c r="AC580" i="3" s="1"/>
  <c r="AJ580" i="3" s="1"/>
  <c r="W580" i="3"/>
  <c r="Y580" i="3" s="1"/>
  <c r="AE580" i="3" s="1"/>
  <c r="AL580" i="3" s="1"/>
  <c r="AO578" i="3" l="1"/>
  <c r="AQ578" i="3"/>
  <c r="S581" i="3"/>
  <c r="U581" i="3" s="1"/>
  <c r="AI581" i="3" a="1"/>
  <c r="AI581" i="3" s="1"/>
  <c r="AR579" i="3"/>
  <c r="A582" i="3"/>
  <c r="AA581" i="3"/>
  <c r="AC581" i="3" s="1"/>
  <c r="AJ581" i="3" s="1"/>
  <c r="W581" i="3"/>
  <c r="Y581" i="3" s="1"/>
  <c r="AE581" i="3" s="1"/>
  <c r="AL581" i="3" s="1"/>
  <c r="AF580" i="3"/>
  <c r="AN580" i="3" s="1"/>
  <c r="AQ580" i="3"/>
  <c r="S582" i="3" l="1"/>
  <c r="U582" i="3" s="1"/>
  <c r="AI582" i="3" a="1"/>
  <c r="AI582" i="3" s="1"/>
  <c r="AR580" i="3"/>
  <c r="AO580" i="3"/>
  <c r="W582" i="3"/>
  <c r="Y582" i="3" s="1"/>
  <c r="A583" i="3"/>
  <c r="AA582" i="3"/>
  <c r="AC582" i="3" s="1"/>
  <c r="AJ582" i="3" s="1"/>
  <c r="AF581" i="3"/>
  <c r="AN581" i="3" s="1"/>
  <c r="AQ581" i="3"/>
  <c r="AE582" i="3" l="1"/>
  <c r="S583" i="3"/>
  <c r="U583" i="3" s="1"/>
  <c r="AI583" i="3" a="1"/>
  <c r="AI583" i="3" s="1"/>
  <c r="AR581" i="3"/>
  <c r="AO581" i="3"/>
  <c r="W583" i="3"/>
  <c r="Y583" i="3" s="1"/>
  <c r="A584" i="3"/>
  <c r="AA583" i="3"/>
  <c r="AC583" i="3" s="1"/>
  <c r="AJ583" i="3" s="1"/>
  <c r="AE583" i="3" l="1"/>
  <c r="AL582" i="3"/>
  <c r="AF582" i="3"/>
  <c r="AQ582" i="3"/>
  <c r="S584" i="3"/>
  <c r="U584" i="3" s="1"/>
  <c r="AI584" i="3" a="1"/>
  <c r="AI584" i="3" s="1"/>
  <c r="A585" i="3"/>
  <c r="AA584" i="3"/>
  <c r="AC584" i="3" s="1"/>
  <c r="AJ584" i="3" s="1"/>
  <c r="W584" i="3"/>
  <c r="Y584" i="3" s="1"/>
  <c r="AN582" i="3" l="1"/>
  <c r="AO582" i="3" s="1"/>
  <c r="AR582" i="3"/>
  <c r="AE584" i="3"/>
  <c r="AL583" i="3"/>
  <c r="AF583" i="3"/>
  <c r="AN583" i="3" s="1"/>
  <c r="AQ583" i="3"/>
  <c r="S585" i="3"/>
  <c r="U585" i="3" s="1"/>
  <c r="AI585" i="3" a="1"/>
  <c r="AI585" i="3" s="1"/>
  <c r="AA585" i="3"/>
  <c r="AC585" i="3" s="1"/>
  <c r="AJ585" i="3" s="1"/>
  <c r="W585" i="3"/>
  <c r="Y585" i="3" s="1"/>
  <c r="AE585" i="3" s="1"/>
  <c r="AL585" i="3" s="1"/>
  <c r="A586" i="3"/>
  <c r="AR583" i="3" l="1"/>
  <c r="AO583" i="3"/>
  <c r="AL584" i="3"/>
  <c r="AF584" i="3"/>
  <c r="AN584" i="3" s="1"/>
  <c r="AQ584" i="3"/>
  <c r="AF585" i="3"/>
  <c r="AN585" i="3" s="1"/>
  <c r="AQ585" i="3"/>
  <c r="AA586" i="3"/>
  <c r="W586" i="3"/>
  <c r="Y586" i="3" s="1"/>
  <c r="AE586" i="3" s="1"/>
  <c r="AL586" i="3" s="1"/>
  <c r="A587" i="3"/>
  <c r="AR584" i="3" l="1"/>
  <c r="AO584" i="3"/>
  <c r="AC586" i="3"/>
  <c r="AF586" i="3" s="1"/>
  <c r="AN586" i="3" s="1"/>
  <c r="AI586" i="3" a="1"/>
  <c r="AI586" i="3" s="1"/>
  <c r="AR585" i="3"/>
  <c r="AO585" i="3"/>
  <c r="AQ586" i="3"/>
  <c r="A588" i="3"/>
  <c r="AA587" i="3"/>
  <c r="W587" i="3"/>
  <c r="Y587" i="3" s="1"/>
  <c r="AE587" i="3" s="1"/>
  <c r="AL587" i="3" s="1"/>
  <c r="AC587" i="3" l="1"/>
  <c r="AF587" i="3" s="1"/>
  <c r="AN587" i="3" s="1"/>
  <c r="S588" i="3"/>
  <c r="U588" i="3" s="1"/>
  <c r="AI588" i="3" a="1"/>
  <c r="AI588" i="3" s="1"/>
  <c r="AR586" i="3"/>
  <c r="A589" i="3"/>
  <c r="W588" i="3"/>
  <c r="Y588" i="3" s="1"/>
  <c r="AA588" i="3"/>
  <c r="AC588" i="3" s="1"/>
  <c r="AJ588" i="3" s="1"/>
  <c r="AQ587" i="3"/>
  <c r="AE588" i="3" l="1"/>
  <c r="S589" i="3"/>
  <c r="U589" i="3" s="1"/>
  <c r="AI589" i="3" a="1"/>
  <c r="AI589" i="3" s="1"/>
  <c r="AR587" i="3"/>
  <c r="W589" i="3"/>
  <c r="Y589" i="3" s="1"/>
  <c r="A590" i="3"/>
  <c r="AA589" i="3"/>
  <c r="AC589" i="3" s="1"/>
  <c r="AJ589" i="3" s="1"/>
  <c r="AL588" i="3" l="1"/>
  <c r="AQ588" i="3" s="1"/>
  <c r="AF588" i="3"/>
  <c r="AN588" i="3" s="1"/>
  <c r="AE589" i="3"/>
  <c r="AF589" i="3" s="1"/>
  <c r="AN589" i="3" s="1"/>
  <c r="A591" i="3"/>
  <c r="AA590" i="3"/>
  <c r="AC590" i="3" s="1"/>
  <c r="W590" i="3"/>
  <c r="Y590" i="3" s="1"/>
  <c r="AE590" i="3" s="1"/>
  <c r="AL590" i="3" s="1"/>
  <c r="AR588" i="3" l="1"/>
  <c r="AO588" i="3"/>
  <c r="AL589" i="3"/>
  <c r="AQ589" i="3" s="1"/>
  <c r="S591" i="3"/>
  <c r="U591" i="3" s="1"/>
  <c r="AI591" i="3" a="1"/>
  <c r="AI591" i="3" s="1"/>
  <c r="AR589" i="3"/>
  <c r="AO589" i="3"/>
  <c r="AA591" i="3"/>
  <c r="AC591" i="3" s="1"/>
  <c r="AJ591" i="3" s="1"/>
  <c r="A592" i="3"/>
  <c r="W591" i="3"/>
  <c r="Y591" i="3" s="1"/>
  <c r="AE591" i="3" s="1"/>
  <c r="AL591" i="3" s="1"/>
  <c r="AF590" i="3"/>
  <c r="AN590" i="3" s="1"/>
  <c r="AQ590" i="3"/>
  <c r="S592" i="3" l="1"/>
  <c r="U592" i="3" s="1"/>
  <c r="AI592" i="3" a="1"/>
  <c r="AI592" i="3" s="1"/>
  <c r="AR590" i="3"/>
  <c r="A593" i="3"/>
  <c r="W592" i="3"/>
  <c r="Y592" i="3" s="1"/>
  <c r="AE592" i="3" s="1"/>
  <c r="AL592" i="3" s="1"/>
  <c r="AA592" i="3"/>
  <c r="AC592" i="3" s="1"/>
  <c r="AJ592" i="3" s="1"/>
  <c r="AQ591" i="3"/>
  <c r="AF591" i="3"/>
  <c r="AN591" i="3" s="1"/>
  <c r="AR591" i="3" l="1"/>
  <c r="AO591" i="3"/>
  <c r="A594" i="3"/>
  <c r="AA593" i="3"/>
  <c r="W593" i="3"/>
  <c r="Y593" i="3" s="1"/>
  <c r="AE593" i="3" s="1"/>
  <c r="AL593" i="3" s="1"/>
  <c r="AF592" i="3"/>
  <c r="AN592" i="3" s="1"/>
  <c r="AQ592" i="3"/>
  <c r="AC593" i="3" l="1"/>
  <c r="AF593" i="3" s="1"/>
  <c r="AN593" i="3" s="1"/>
  <c r="S594" i="3"/>
  <c r="U594" i="3" s="1"/>
  <c r="AI594" i="3" a="1"/>
  <c r="AI594" i="3" s="1"/>
  <c r="AR592" i="3"/>
  <c r="AO592" i="3"/>
  <c r="A595" i="3"/>
  <c r="W594" i="3"/>
  <c r="Y594" i="3" s="1"/>
  <c r="AA594" i="3"/>
  <c r="AC594" i="3" s="1"/>
  <c r="AJ594" i="3" s="1"/>
  <c r="AQ593" i="3"/>
  <c r="AE594" i="3" l="1"/>
  <c r="S595" i="3"/>
  <c r="U595" i="3" s="1"/>
  <c r="AI595" i="3" a="1"/>
  <c r="AI595" i="3" s="1"/>
  <c r="AR593" i="3"/>
  <c r="AA595" i="3"/>
  <c r="AC595" i="3" s="1"/>
  <c r="AJ595" i="3" s="1"/>
  <c r="W595" i="3"/>
  <c r="Y595" i="3" s="1"/>
  <c r="AE595" i="3" s="1"/>
  <c r="AL595" i="3" s="1"/>
  <c r="A596" i="3"/>
  <c r="AL594" i="3" l="1"/>
  <c r="AQ594" i="3" s="1"/>
  <c r="AF594" i="3"/>
  <c r="S596" i="3"/>
  <c r="U596" i="3" s="1"/>
  <c r="AI596" i="3" a="1"/>
  <c r="AI596" i="3" s="1"/>
  <c r="AF595" i="3"/>
  <c r="AN595" i="3" s="1"/>
  <c r="AQ595" i="3"/>
  <c r="A597" i="3"/>
  <c r="AA596" i="3"/>
  <c r="AC596" i="3" s="1"/>
  <c r="AJ596" i="3" s="1"/>
  <c r="W596" i="3"/>
  <c r="Y596" i="3" s="1"/>
  <c r="AE596" i="3" s="1"/>
  <c r="AL596" i="3" s="1"/>
  <c r="AN594" i="3" l="1"/>
  <c r="S597" i="3"/>
  <c r="U597" i="3" s="1"/>
  <c r="AI597" i="3" a="1"/>
  <c r="AI597" i="3" s="1"/>
  <c r="AR595" i="3"/>
  <c r="AO595" i="3"/>
  <c r="AA597" i="3"/>
  <c r="AC597" i="3" s="1"/>
  <c r="AJ597" i="3" s="1"/>
  <c r="A598" i="3"/>
  <c r="W597" i="3"/>
  <c r="Y597" i="3" s="1"/>
  <c r="AE597" i="3" s="1"/>
  <c r="AL597" i="3" s="1"/>
  <c r="AF596" i="3"/>
  <c r="AN596" i="3" s="1"/>
  <c r="AQ596" i="3"/>
  <c r="AO594" i="3" l="1"/>
  <c r="AR594" i="3"/>
  <c r="S598" i="3"/>
  <c r="U598" i="3" s="1"/>
  <c r="AI598" i="3" a="1"/>
  <c r="AI598" i="3" s="1"/>
  <c r="AR596" i="3"/>
  <c r="AO596" i="3"/>
  <c r="AA598" i="3"/>
  <c r="AC598" i="3" s="1"/>
  <c r="AJ598" i="3" s="1"/>
  <c r="W598" i="3"/>
  <c r="Y598" i="3" s="1"/>
  <c r="AE598" i="3" s="1"/>
  <c r="AL598" i="3" s="1"/>
  <c r="A599" i="3"/>
  <c r="AF597" i="3"/>
  <c r="AN597" i="3" s="1"/>
  <c r="AQ597" i="3"/>
  <c r="S599" i="3" l="1"/>
  <c r="U599" i="3" s="1"/>
  <c r="AI599" i="3" a="1"/>
  <c r="AI599" i="3" s="1"/>
  <c r="AR597" i="3"/>
  <c r="AO597" i="3"/>
  <c r="AF598" i="3"/>
  <c r="AN598" i="3" s="1"/>
  <c r="AQ598" i="3"/>
  <c r="AA599" i="3"/>
  <c r="AC599" i="3" s="1"/>
  <c r="AJ599" i="3" s="1"/>
  <c r="W599" i="3"/>
  <c r="Y599" i="3" s="1"/>
  <c r="A600" i="3"/>
  <c r="AE599" i="3" l="1"/>
  <c r="AR598" i="3"/>
  <c r="AO598" i="3"/>
  <c r="AA600" i="3"/>
  <c r="A601" i="3"/>
  <c r="W600" i="3"/>
  <c r="Y600" i="3" s="1"/>
  <c r="AE600" i="3" s="1"/>
  <c r="AL600" i="3" s="1"/>
  <c r="AL599" i="3" l="1"/>
  <c r="AQ599" i="3" s="1"/>
  <c r="AF599" i="3"/>
  <c r="AN599" i="3" s="1"/>
  <c r="AC600" i="3"/>
  <c r="AF600" i="3" s="1"/>
  <c r="AN600" i="3" s="1"/>
  <c r="W601" i="3"/>
  <c r="Y601" i="3" s="1"/>
  <c r="AE601" i="3" s="1"/>
  <c r="AL601" i="3" s="1"/>
  <c r="A602" i="3"/>
  <c r="AA601" i="3"/>
  <c r="AQ600" i="3"/>
  <c r="AR599" i="3" l="1"/>
  <c r="AO599" i="3"/>
  <c r="AC601" i="3"/>
  <c r="AJ601" i="3" s="1"/>
  <c r="AI601" i="3" a="1"/>
  <c r="AI601" i="3" s="1"/>
  <c r="AR600" i="3"/>
  <c r="AF601" i="3"/>
  <c r="AN601" i="3" s="1"/>
  <c r="AQ601" i="3"/>
  <c r="A603" i="3"/>
  <c r="W602" i="3"/>
  <c r="Y602" i="3" s="1"/>
  <c r="AE602" i="3" s="1"/>
  <c r="AL602" i="3" s="1"/>
  <c r="AA602" i="3"/>
  <c r="AC602" i="3" l="1"/>
  <c r="AF602" i="3" s="1"/>
  <c r="AN602" i="3" s="1"/>
  <c r="AI602" i="3" a="1"/>
  <c r="AI602" i="3" s="1"/>
  <c r="AR601" i="3"/>
  <c r="AO601" i="3"/>
  <c r="W603" i="3"/>
  <c r="Y603" i="3" s="1"/>
  <c r="AE603" i="3" s="1"/>
  <c r="AL603" i="3" s="1"/>
  <c r="A604" i="3"/>
  <c r="AA603" i="3"/>
  <c r="AQ602" i="3"/>
  <c r="AC603" i="3" l="1"/>
  <c r="AI603" i="3" a="1"/>
  <c r="AI603" i="3" s="1"/>
  <c r="S604" i="3"/>
  <c r="U604" i="3" s="1"/>
  <c r="AI604" i="3" a="1"/>
  <c r="AI604" i="3" s="1"/>
  <c r="AR602" i="3"/>
  <c r="AQ603" i="3"/>
  <c r="A605" i="3"/>
  <c r="AA604" i="3"/>
  <c r="AC604" i="3" s="1"/>
  <c r="AJ604" i="3" s="1"/>
  <c r="W604" i="3"/>
  <c r="Y604" i="3" s="1"/>
  <c r="AJ603" i="3" l="1"/>
  <c r="AF603" i="3"/>
  <c r="AE604" i="3"/>
  <c r="A606" i="3"/>
  <c r="W605" i="3"/>
  <c r="Y605" i="3" s="1"/>
  <c r="AE605" i="3" s="1"/>
  <c r="AL605" i="3" s="1"/>
  <c r="AA605" i="3"/>
  <c r="AN603" i="3" l="1"/>
  <c r="AL604" i="3"/>
  <c r="AQ604" i="3"/>
  <c r="AF604" i="3"/>
  <c r="AC605" i="3"/>
  <c r="S606" i="3"/>
  <c r="U606" i="3" s="1"/>
  <c r="AI606" i="3" a="1"/>
  <c r="AI606" i="3" s="1"/>
  <c r="AQ605" i="3"/>
  <c r="W606" i="3"/>
  <c r="Y606" i="3" s="1"/>
  <c r="A607" i="3"/>
  <c r="AA606" i="3"/>
  <c r="AC606" i="3" s="1"/>
  <c r="AJ606" i="3" s="1"/>
  <c r="AF605" i="3"/>
  <c r="AN605" i="3" s="1"/>
  <c r="AO603" i="3" l="1"/>
  <c r="AR603" i="3"/>
  <c r="AE606" i="3"/>
  <c r="AN604" i="3"/>
  <c r="AO604" i="3" s="1"/>
  <c r="AR604" i="3"/>
  <c r="AR605" i="3"/>
  <c r="A608" i="3"/>
  <c r="AA607" i="3"/>
  <c r="AC607" i="3" s="1"/>
  <c r="W607" i="3"/>
  <c r="Y607" i="3" s="1"/>
  <c r="AE607" i="3" s="1"/>
  <c r="AL607" i="3" s="1"/>
  <c r="AL606" i="3" l="1"/>
  <c r="AF606" i="3"/>
  <c r="AN606" i="3" s="1"/>
  <c r="AQ606" i="3"/>
  <c r="S608" i="3"/>
  <c r="U608" i="3" s="1"/>
  <c r="AI608" i="3" a="1"/>
  <c r="AI608" i="3" s="1"/>
  <c r="AR606" i="3"/>
  <c r="AO606" i="3"/>
  <c r="A609" i="3"/>
  <c r="AA608" i="3"/>
  <c r="AC608" i="3" s="1"/>
  <c r="AJ608" i="3" s="1"/>
  <c r="W608" i="3"/>
  <c r="Y608" i="3" s="1"/>
  <c r="AE608" i="3" s="1"/>
  <c r="AL608" i="3" s="1"/>
  <c r="AF607" i="3"/>
  <c r="AN607" i="3" s="1"/>
  <c r="AQ607" i="3"/>
  <c r="S609" i="3" l="1"/>
  <c r="U609" i="3" s="1"/>
  <c r="AI609" i="3" a="1"/>
  <c r="AI609" i="3" s="1"/>
  <c r="AR607" i="3"/>
  <c r="A610" i="3"/>
  <c r="AA609" i="3"/>
  <c r="AC609" i="3" s="1"/>
  <c r="AJ609" i="3" s="1"/>
  <c r="W609" i="3"/>
  <c r="Y609" i="3" s="1"/>
  <c r="AF608" i="3"/>
  <c r="AN608" i="3" s="1"/>
  <c r="AO608" i="3" s="1"/>
  <c r="AQ608" i="3"/>
  <c r="AE609" i="3" l="1"/>
  <c r="S610" i="3"/>
  <c r="U610" i="3" s="1"/>
  <c r="AI610" i="3" a="1"/>
  <c r="AI610" i="3" s="1"/>
  <c r="AR608" i="3"/>
  <c r="A611" i="3"/>
  <c r="AA610" i="3"/>
  <c r="AC610" i="3" s="1"/>
  <c r="AJ610" i="3" s="1"/>
  <c r="W610" i="3"/>
  <c r="Y610" i="3" s="1"/>
  <c r="AE610" i="3" s="1"/>
  <c r="AL610" i="3" s="1"/>
  <c r="AL609" i="3" l="1"/>
  <c r="AQ609" i="3"/>
  <c r="AF609" i="3"/>
  <c r="AN609" i="3" s="1"/>
  <c r="AO609" i="3" s="1"/>
  <c r="S611" i="3"/>
  <c r="U611" i="3" s="1"/>
  <c r="AI611" i="3" a="1"/>
  <c r="AI611" i="3" s="1"/>
  <c r="AR609" i="3"/>
  <c r="A612" i="3"/>
  <c r="AA611" i="3"/>
  <c r="AC611" i="3" s="1"/>
  <c r="AJ611" i="3" s="1"/>
  <c r="W611" i="3"/>
  <c r="Y611" i="3" s="1"/>
  <c r="AF610" i="3"/>
  <c r="AN610" i="3" s="1"/>
  <c r="AO610" i="3" s="1"/>
  <c r="AQ610" i="3"/>
  <c r="AE611" i="3" l="1"/>
  <c r="S612" i="3"/>
  <c r="U612" i="3" s="1"/>
  <c r="AI612" i="3" a="1"/>
  <c r="AI612" i="3" s="1"/>
  <c r="AR610" i="3"/>
  <c r="AA612" i="3"/>
  <c r="AC612" i="3" s="1"/>
  <c r="AJ612" i="3" s="1"/>
  <c r="A613" i="3"/>
  <c r="W612" i="3"/>
  <c r="Y612" i="3" s="1"/>
  <c r="AE612" i="3" l="1"/>
  <c r="AL612" i="3" s="1"/>
  <c r="AL611" i="3"/>
  <c r="AQ611" i="3" s="1"/>
  <c r="AF611" i="3"/>
  <c r="AN611" i="3" s="1"/>
  <c r="S613" i="3"/>
  <c r="U613" i="3" s="1"/>
  <c r="AI613" i="3" a="1"/>
  <c r="AI613" i="3" s="1"/>
  <c r="AR611" i="3"/>
  <c r="A614" i="3"/>
  <c r="AA613" i="3"/>
  <c r="AC613" i="3" s="1"/>
  <c r="AJ613" i="3" s="1"/>
  <c r="W613" i="3"/>
  <c r="Y613" i="3" s="1"/>
  <c r="AE613" i="3" s="1"/>
  <c r="AL613" i="3" s="1"/>
  <c r="AF612" i="3"/>
  <c r="AN612" i="3" s="1"/>
  <c r="AO612" i="3" s="1"/>
  <c r="AQ612" i="3"/>
  <c r="AO611" i="3" l="1"/>
  <c r="S614" i="3"/>
  <c r="U614" i="3" s="1"/>
  <c r="AI614" i="3" a="1"/>
  <c r="AI614" i="3" s="1"/>
  <c r="AR612" i="3"/>
  <c r="A615" i="3"/>
  <c r="AA614" i="3"/>
  <c r="AC614" i="3" s="1"/>
  <c r="AJ614" i="3" s="1"/>
  <c r="W614" i="3"/>
  <c r="Y614" i="3" s="1"/>
  <c r="AE614" i="3" s="1"/>
  <c r="AL614" i="3" s="1"/>
  <c r="AQ613" i="3"/>
  <c r="AF613" i="3"/>
  <c r="AN613" i="3" s="1"/>
  <c r="AO613" i="3" s="1"/>
  <c r="S615" i="3" l="1"/>
  <c r="U615" i="3" s="1"/>
  <c r="AI615" i="3" a="1"/>
  <c r="AI615" i="3" s="1"/>
  <c r="AR613" i="3"/>
  <c r="A616" i="3"/>
  <c r="AA615" i="3"/>
  <c r="AC615" i="3" s="1"/>
  <c r="AJ615" i="3" s="1"/>
  <c r="W615" i="3"/>
  <c r="Y615" i="3" s="1"/>
  <c r="AQ614" i="3"/>
  <c r="AF614" i="3"/>
  <c r="AN614" i="3" s="1"/>
  <c r="AO614" i="3" s="1"/>
  <c r="AE615" i="3" l="1"/>
  <c r="S616" i="3"/>
  <c r="U616" i="3" s="1"/>
  <c r="AI616" i="3" a="1"/>
  <c r="AI616" i="3" s="1"/>
  <c r="AR614" i="3"/>
  <c r="A617" i="3"/>
  <c r="AA616" i="3"/>
  <c r="AC616" i="3" s="1"/>
  <c r="AJ616" i="3" s="1"/>
  <c r="W616" i="3"/>
  <c r="Y616" i="3" s="1"/>
  <c r="AE616" i="3" s="1"/>
  <c r="AL616" i="3" s="1"/>
  <c r="AL615" i="3" l="1"/>
  <c r="AQ615" i="3" s="1"/>
  <c r="AF615" i="3"/>
  <c r="S617" i="3"/>
  <c r="U617" i="3" s="1"/>
  <c r="AI617" i="3" a="1"/>
  <c r="AI617" i="3" s="1"/>
  <c r="W617" i="3"/>
  <c r="Y617" i="3" s="1"/>
  <c r="A618" i="3"/>
  <c r="AA617" i="3"/>
  <c r="AC617" i="3" s="1"/>
  <c r="AJ617" i="3" s="1"/>
  <c r="AQ616" i="3"/>
  <c r="AF616" i="3"/>
  <c r="AN616" i="3" s="1"/>
  <c r="AO616" i="3" s="1"/>
  <c r="AE617" i="3" l="1"/>
  <c r="AN615" i="3"/>
  <c r="S618" i="3"/>
  <c r="U618" i="3" s="1"/>
  <c r="AI618" i="3" a="1"/>
  <c r="AI618" i="3" s="1"/>
  <c r="AR616" i="3"/>
  <c r="A619" i="3"/>
  <c r="W618" i="3"/>
  <c r="Y618" i="3" s="1"/>
  <c r="AE618" i="3" s="1"/>
  <c r="AL618" i="3" s="1"/>
  <c r="AA618" i="3"/>
  <c r="AC618" i="3" s="1"/>
  <c r="AJ618" i="3" s="1"/>
  <c r="AO615" i="3" l="1"/>
  <c r="AR615" i="3"/>
  <c r="AL617" i="3"/>
  <c r="AQ617" i="3" s="1"/>
  <c r="AF617" i="3"/>
  <c r="S619" i="3"/>
  <c r="U619" i="3" s="1"/>
  <c r="AI619" i="3" a="1"/>
  <c r="AI619" i="3" s="1"/>
  <c r="A620" i="3"/>
  <c r="AA619" i="3"/>
  <c r="AC619" i="3" s="1"/>
  <c r="AJ619" i="3" s="1"/>
  <c r="W619" i="3"/>
  <c r="Y619" i="3" s="1"/>
  <c r="AE619" i="3" s="1"/>
  <c r="AL619" i="3" s="1"/>
  <c r="AF618" i="3"/>
  <c r="AN618" i="3" s="1"/>
  <c r="AO618" i="3" s="1"/>
  <c r="AQ618" i="3"/>
  <c r="AN617" i="3" l="1"/>
  <c r="S620" i="3"/>
  <c r="U620" i="3" s="1"/>
  <c r="AI620" i="3" a="1"/>
  <c r="AI620" i="3" s="1"/>
  <c r="AR618" i="3"/>
  <c r="W620" i="3"/>
  <c r="Y620" i="3" s="1"/>
  <c r="AE620" i="3" s="1"/>
  <c r="AL620" i="3" s="1"/>
  <c r="A621" i="3"/>
  <c r="AA620" i="3"/>
  <c r="AC620" i="3" s="1"/>
  <c r="AJ620" i="3" s="1"/>
  <c r="AF619" i="3"/>
  <c r="AN619" i="3" s="1"/>
  <c r="AO619" i="3" s="1"/>
  <c r="AQ619" i="3"/>
  <c r="AO617" i="3" l="1"/>
  <c r="AR617" i="3"/>
  <c r="AR619" i="3"/>
  <c r="AF620" i="3"/>
  <c r="AN620" i="3" s="1"/>
  <c r="AO620" i="3" s="1"/>
  <c r="AQ620" i="3"/>
  <c r="A622" i="3"/>
  <c r="AA621" i="3"/>
  <c r="AC621" i="3" s="1"/>
  <c r="W621" i="3"/>
  <c r="Y621" i="3" s="1"/>
  <c r="AE621" i="3" s="1"/>
  <c r="S622" i="3" l="1"/>
  <c r="U622" i="3" s="1"/>
  <c r="AI622" i="3" a="1"/>
  <c r="AI622" i="3" s="1"/>
  <c r="AL621" i="3"/>
  <c r="AQ621" i="3" s="1"/>
  <c r="AF621" i="3"/>
  <c r="AN621" i="3" s="1"/>
  <c r="AR620" i="3"/>
  <c r="AA622" i="3"/>
  <c r="AC622" i="3" s="1"/>
  <c r="AJ622" i="3" s="1"/>
  <c r="A623" i="3"/>
  <c r="W622" i="3"/>
  <c r="Y622" i="3" s="1"/>
  <c r="AE622" i="3" s="1"/>
  <c r="AL622" i="3" s="1"/>
  <c r="S623" i="3" l="1"/>
  <c r="U623" i="3" s="1"/>
  <c r="AI623" i="3" a="1"/>
  <c r="AI623" i="3" s="1"/>
  <c r="AR621" i="3"/>
  <c r="A624" i="3"/>
  <c r="AA623" i="3"/>
  <c r="AC623" i="3" s="1"/>
  <c r="AJ623" i="3" s="1"/>
  <c r="W623" i="3"/>
  <c r="Y623" i="3" s="1"/>
  <c r="AE623" i="3" s="1"/>
  <c r="AL623" i="3" s="1"/>
  <c r="AF622" i="3"/>
  <c r="AN622" i="3" s="1"/>
  <c r="AQ622" i="3"/>
  <c r="S624" i="3" l="1"/>
  <c r="U624" i="3" s="1"/>
  <c r="AI624" i="3" a="1"/>
  <c r="AI624" i="3" s="1"/>
  <c r="AR622" i="3"/>
  <c r="AO622" i="3"/>
  <c r="AA624" i="3"/>
  <c r="AC624" i="3" s="1"/>
  <c r="AJ624" i="3" s="1"/>
  <c r="A625" i="3"/>
  <c r="W624" i="3"/>
  <c r="Y624" i="3" s="1"/>
  <c r="AF623" i="3"/>
  <c r="AN623" i="3" s="1"/>
  <c r="AQ623" i="3"/>
  <c r="AE624" i="3" l="1"/>
  <c r="S625" i="3"/>
  <c r="U625" i="3" s="1"/>
  <c r="AI625" i="3" a="1"/>
  <c r="AI625" i="3" s="1"/>
  <c r="AR623" i="3"/>
  <c r="AO623" i="3"/>
  <c r="A626" i="3"/>
  <c r="W625" i="3"/>
  <c r="Y625" i="3" s="1"/>
  <c r="AA625" i="3"/>
  <c r="AC625" i="3" s="1"/>
  <c r="AJ625" i="3" s="1"/>
  <c r="AL624" i="3" l="1"/>
  <c r="AF624" i="3"/>
  <c r="AQ624" i="3"/>
  <c r="AE625" i="3"/>
  <c r="S626" i="3"/>
  <c r="U626" i="3" s="1"/>
  <c r="AI626" i="3" a="1"/>
  <c r="AI626" i="3" s="1"/>
  <c r="AA626" i="3"/>
  <c r="AC626" i="3" s="1"/>
  <c r="AJ626" i="3" s="1"/>
  <c r="A627" i="3"/>
  <c r="W626" i="3"/>
  <c r="Y626" i="3" s="1"/>
  <c r="AN624" i="3" l="1"/>
  <c r="AO624" i="3" s="1"/>
  <c r="AR624" i="3"/>
  <c r="AE626" i="3"/>
  <c r="AL625" i="3"/>
  <c r="AQ625" i="3" s="1"/>
  <c r="AF625" i="3"/>
  <c r="S627" i="3"/>
  <c r="U627" i="3" s="1"/>
  <c r="AI627" i="3" a="1"/>
  <c r="AI627" i="3" s="1"/>
  <c r="W627" i="3"/>
  <c r="Y627" i="3" s="1"/>
  <c r="AE627" i="3" s="1"/>
  <c r="AL627" i="3" s="1"/>
  <c r="AA627" i="3"/>
  <c r="AC627" i="3" s="1"/>
  <c r="AJ627" i="3" s="1"/>
  <c r="A628" i="3"/>
  <c r="AN625" i="3" l="1"/>
  <c r="AL626" i="3"/>
  <c r="AQ626" i="3" s="1"/>
  <c r="AF626" i="3"/>
  <c r="S628" i="3"/>
  <c r="U628" i="3" s="1"/>
  <c r="AI628" i="3" a="1"/>
  <c r="AI628" i="3" s="1"/>
  <c r="AF627" i="3"/>
  <c r="AN627" i="3" s="1"/>
  <c r="AQ627" i="3"/>
  <c r="A629" i="3"/>
  <c r="AA628" i="3"/>
  <c r="AC628" i="3" s="1"/>
  <c r="AJ628" i="3" s="1"/>
  <c r="W628" i="3"/>
  <c r="Y628" i="3" s="1"/>
  <c r="AO625" i="3" l="1"/>
  <c r="AR625" i="3"/>
  <c r="AN626" i="3"/>
  <c r="AE628" i="3"/>
  <c r="S629" i="3"/>
  <c r="U629" i="3" s="1"/>
  <c r="AI629" i="3" a="1"/>
  <c r="AI629" i="3" s="1"/>
  <c r="AR627" i="3"/>
  <c r="AO627" i="3"/>
  <c r="A630" i="3"/>
  <c r="W629" i="3"/>
  <c r="Y629" i="3" s="1"/>
  <c r="AE629" i="3" s="1"/>
  <c r="AL629" i="3" s="1"/>
  <c r="AA629" i="3"/>
  <c r="AC629" i="3" s="1"/>
  <c r="AJ629" i="3" s="1"/>
  <c r="AO626" i="3" l="1"/>
  <c r="AR626" i="3"/>
  <c r="AL628" i="3"/>
  <c r="AQ628" i="3"/>
  <c r="AF628" i="3"/>
  <c r="S630" i="3"/>
  <c r="U630" i="3" s="1"/>
  <c r="AI630" i="3" a="1"/>
  <c r="AI630" i="3" s="1"/>
  <c r="S1" i="3"/>
  <c r="W630" i="3"/>
  <c r="Y630" i="3" s="1"/>
  <c r="AA630" i="3"/>
  <c r="AC630" i="3" s="1"/>
  <c r="AJ630" i="3" s="1"/>
  <c r="A631" i="3"/>
  <c r="AF629" i="3"/>
  <c r="AN629" i="3" s="1"/>
  <c r="AQ629" i="3"/>
  <c r="AN628" i="3" l="1"/>
  <c r="AE630" i="3"/>
  <c r="AL630" i="3" s="1"/>
  <c r="AR629" i="3"/>
  <c r="AO629" i="3"/>
  <c r="A632" i="3"/>
  <c r="W631" i="3"/>
  <c r="Y631" i="3" s="1"/>
  <c r="AE631" i="3" s="1"/>
  <c r="AL631" i="3" s="1"/>
  <c r="AA631" i="3"/>
  <c r="AO628" i="3" l="1"/>
  <c r="AR628" i="3"/>
  <c r="AC631" i="3"/>
  <c r="AI631" i="3" a="1"/>
  <c r="AI631" i="3" s="1"/>
  <c r="U632" i="3"/>
  <c r="AI632" i="3" a="1"/>
  <c r="AI632" i="3" s="1"/>
  <c r="AF630" i="3"/>
  <c r="AN630" i="3" s="1"/>
  <c r="AO630" i="3" s="1"/>
  <c r="AQ630" i="3"/>
  <c r="AA632" i="3"/>
  <c r="AC632" i="3" s="1"/>
  <c r="AJ632" i="3" s="1"/>
  <c r="A633" i="3"/>
  <c r="W632" i="3"/>
  <c r="Y632" i="3" s="1"/>
  <c r="AE632" i="3" s="1"/>
  <c r="AL632" i="3" s="1"/>
  <c r="AQ631" i="3"/>
  <c r="AJ631" i="3" l="1"/>
  <c r="AF631" i="3"/>
  <c r="U633" i="3"/>
  <c r="AI633" i="3" a="1"/>
  <c r="AI633" i="3" s="1"/>
  <c r="AR630" i="3"/>
  <c r="A634" i="3"/>
  <c r="AA633" i="3"/>
  <c r="AC633" i="3" s="1"/>
  <c r="AJ633" i="3" s="1"/>
  <c r="W633" i="3"/>
  <c r="Y633" i="3" s="1"/>
  <c r="AE633" i="3" s="1"/>
  <c r="AL633" i="3" s="1"/>
  <c r="AF632" i="3"/>
  <c r="AN632" i="3" s="1"/>
  <c r="AQ632" i="3"/>
  <c r="AN631" i="3" l="1"/>
  <c r="AO631" i="3" s="1"/>
  <c r="AR631" i="3"/>
  <c r="U634" i="3"/>
  <c r="AI634" i="3" a="1"/>
  <c r="AI634" i="3" s="1"/>
  <c r="AR632" i="3"/>
  <c r="AO632" i="3"/>
  <c r="A635" i="3"/>
  <c r="AA634" i="3"/>
  <c r="AC634" i="3" s="1"/>
  <c r="AJ634" i="3" s="1"/>
  <c r="W634" i="3"/>
  <c r="Y634" i="3" s="1"/>
  <c r="AE634" i="3" s="1"/>
  <c r="AL634" i="3" s="1"/>
  <c r="AF633" i="3"/>
  <c r="AN633" i="3" s="1"/>
  <c r="AQ633" i="3"/>
  <c r="U635" i="3" l="1"/>
  <c r="AI635" i="3" a="1"/>
  <c r="AI635" i="3" s="1"/>
  <c r="AR633" i="3"/>
  <c r="AO633" i="3"/>
  <c r="A636" i="3"/>
  <c r="AA635" i="3"/>
  <c r="AC635" i="3" s="1"/>
  <c r="AJ635" i="3" s="1"/>
  <c r="W635" i="3"/>
  <c r="Y635" i="3" s="1"/>
  <c r="AE635" i="3" s="1"/>
  <c r="AL635" i="3" s="1"/>
  <c r="AF634" i="3"/>
  <c r="AN634" i="3" s="1"/>
  <c r="AQ634" i="3"/>
  <c r="U636" i="3" l="1"/>
  <c r="AI636" i="3" a="1"/>
  <c r="AI636" i="3" s="1"/>
  <c r="AR634" i="3"/>
  <c r="AO634" i="3"/>
  <c r="W636" i="3"/>
  <c r="Y636" i="3" s="1"/>
  <c r="AE636" i="3" s="1"/>
  <c r="AL636" i="3" s="1"/>
  <c r="A637" i="3"/>
  <c r="AA636" i="3"/>
  <c r="AC636" i="3" s="1"/>
  <c r="AJ636" i="3" s="1"/>
  <c r="AF635" i="3"/>
  <c r="AN635" i="3" s="1"/>
  <c r="AQ635" i="3"/>
  <c r="U637" i="3" l="1"/>
  <c r="AI637" i="3" a="1"/>
  <c r="AI637" i="3" s="1"/>
  <c r="AR635" i="3"/>
  <c r="AO635" i="3"/>
  <c r="AF636" i="3"/>
  <c r="AN636" i="3" s="1"/>
  <c r="AQ636" i="3"/>
  <c r="A638" i="3"/>
  <c r="AA637" i="3"/>
  <c r="AC637" i="3" s="1"/>
  <c r="AJ637" i="3" s="1"/>
  <c r="W637" i="3"/>
  <c r="Y637" i="3" s="1"/>
  <c r="AE637" i="3" s="1"/>
  <c r="AL637" i="3" s="1"/>
  <c r="AR636" i="3" l="1"/>
  <c r="AO636" i="3"/>
  <c r="W638" i="3"/>
  <c r="Y638" i="3" s="1"/>
  <c r="AE638" i="3" s="1"/>
  <c r="AL638" i="3" s="1"/>
  <c r="AA638" i="3"/>
  <c r="A639" i="3"/>
  <c r="AF637" i="3"/>
  <c r="AN637" i="3" s="1"/>
  <c r="AQ637" i="3"/>
  <c r="AC638" i="3" l="1"/>
  <c r="AF638" i="3" s="1"/>
  <c r="AN638" i="3" s="1"/>
  <c r="AR637" i="3"/>
  <c r="AO637" i="3"/>
  <c r="AQ638" i="3"/>
  <c r="A640" i="3"/>
  <c r="AA639" i="3"/>
  <c r="W639" i="3"/>
  <c r="Y639" i="3" s="1"/>
  <c r="AE639" i="3" s="1"/>
  <c r="AL639" i="3" s="1"/>
  <c r="AC639" i="3" l="1"/>
  <c r="AF639" i="3" s="1"/>
  <c r="AN639" i="3" s="1"/>
  <c r="U640" i="3"/>
  <c r="AI640" i="3" a="1"/>
  <c r="AI640" i="3" s="1"/>
  <c r="AR638" i="3"/>
  <c r="A641" i="3"/>
  <c r="AA640" i="3"/>
  <c r="AC640" i="3" s="1"/>
  <c r="AJ640" i="3" s="1"/>
  <c r="W640" i="3"/>
  <c r="Y640" i="3" s="1"/>
  <c r="AE640" i="3" s="1"/>
  <c r="AL640" i="3" s="1"/>
  <c r="AQ639" i="3"/>
  <c r="U641" i="3" l="1"/>
  <c r="AI641" i="3" a="1"/>
  <c r="AI641" i="3" s="1"/>
  <c r="AR639" i="3"/>
  <c r="A642" i="3"/>
  <c r="AA641" i="3"/>
  <c r="AC641" i="3" s="1"/>
  <c r="AJ641" i="3" s="1"/>
  <c r="W641" i="3"/>
  <c r="Y641" i="3" s="1"/>
  <c r="AE641" i="3" s="1"/>
  <c r="AL641" i="3" s="1"/>
  <c r="AF640" i="3"/>
  <c r="AN640" i="3" s="1"/>
  <c r="AQ640" i="3"/>
  <c r="U642" i="3" l="1"/>
  <c r="AI642" i="3" a="1"/>
  <c r="AI642" i="3" s="1"/>
  <c r="AR640" i="3"/>
  <c r="AO640" i="3"/>
  <c r="A643" i="3"/>
  <c r="AA642" i="3"/>
  <c r="AC642" i="3" s="1"/>
  <c r="AJ642" i="3" s="1"/>
  <c r="W642" i="3"/>
  <c r="Y642" i="3" s="1"/>
  <c r="AE642" i="3" s="1"/>
  <c r="AL642" i="3" s="1"/>
  <c r="AF641" i="3"/>
  <c r="AN641" i="3" s="1"/>
  <c r="AQ641" i="3"/>
  <c r="U643" i="3" l="1"/>
  <c r="AI643" i="3" a="1"/>
  <c r="AI643" i="3" s="1"/>
  <c r="AR641" i="3"/>
  <c r="AO641" i="3"/>
  <c r="A644" i="3"/>
  <c r="AA643" i="3"/>
  <c r="AC643" i="3" s="1"/>
  <c r="AJ643" i="3" s="1"/>
  <c r="W643" i="3"/>
  <c r="Y643" i="3" s="1"/>
  <c r="AE643" i="3" s="1"/>
  <c r="AL643" i="3" s="1"/>
  <c r="AF642" i="3"/>
  <c r="AN642" i="3" s="1"/>
  <c r="AQ642" i="3"/>
  <c r="U644" i="3" l="1"/>
  <c r="AI644" i="3" a="1"/>
  <c r="AI644" i="3" s="1"/>
  <c r="AR642" i="3"/>
  <c r="AO642" i="3"/>
  <c r="A645" i="3"/>
  <c r="AA644" i="3"/>
  <c r="AC644" i="3" s="1"/>
  <c r="AJ644" i="3" s="1"/>
  <c r="W644" i="3"/>
  <c r="Y644" i="3" s="1"/>
  <c r="AE644" i="3" s="1"/>
  <c r="AL644" i="3" s="1"/>
  <c r="AF643" i="3"/>
  <c r="AN643" i="3" s="1"/>
  <c r="AQ643" i="3"/>
  <c r="U645" i="3" l="1"/>
  <c r="AI645" i="3" a="1"/>
  <c r="AI645" i="3" s="1"/>
  <c r="AR643" i="3"/>
  <c r="AO643" i="3"/>
  <c r="A646" i="3"/>
  <c r="AA645" i="3"/>
  <c r="AC645" i="3" s="1"/>
  <c r="AJ645" i="3" s="1"/>
  <c r="W645" i="3"/>
  <c r="Y645" i="3" s="1"/>
  <c r="AE645" i="3" s="1"/>
  <c r="AL645" i="3" s="1"/>
  <c r="AF644" i="3"/>
  <c r="AN644" i="3" s="1"/>
  <c r="AQ644" i="3"/>
  <c r="U646" i="3" l="1"/>
  <c r="AI646" i="3" a="1"/>
  <c r="AI646" i="3" s="1"/>
  <c r="AR644" i="3"/>
  <c r="AO644" i="3"/>
  <c r="A647" i="3"/>
  <c r="AA646" i="3"/>
  <c r="AC646" i="3" s="1"/>
  <c r="AJ646" i="3" s="1"/>
  <c r="W646" i="3"/>
  <c r="Y646" i="3" s="1"/>
  <c r="AE646" i="3" s="1"/>
  <c r="AL646" i="3" s="1"/>
  <c r="AF645" i="3"/>
  <c r="AN645" i="3" s="1"/>
  <c r="AQ645" i="3"/>
  <c r="U647" i="3" l="1"/>
  <c r="AI647" i="3" a="1"/>
  <c r="AI647" i="3" s="1"/>
  <c r="AR645" i="3"/>
  <c r="AO645" i="3"/>
  <c r="A648" i="3"/>
  <c r="AA647" i="3"/>
  <c r="AC647" i="3" s="1"/>
  <c r="AJ647" i="3" s="1"/>
  <c r="W647" i="3"/>
  <c r="Y647" i="3" s="1"/>
  <c r="AE647" i="3" s="1"/>
  <c r="AL647" i="3" s="1"/>
  <c r="AF646" i="3"/>
  <c r="AN646" i="3" s="1"/>
  <c r="AQ646" i="3"/>
  <c r="U648" i="3" l="1"/>
  <c r="AI648" i="3" a="1"/>
  <c r="AI648" i="3" s="1"/>
  <c r="AR646" i="3"/>
  <c r="AO646" i="3"/>
  <c r="A649" i="3"/>
  <c r="AA648" i="3"/>
  <c r="AC648" i="3" s="1"/>
  <c r="AJ648" i="3" s="1"/>
  <c r="W648" i="3"/>
  <c r="Y648" i="3" s="1"/>
  <c r="AE648" i="3" s="1"/>
  <c r="AL648" i="3" s="1"/>
  <c r="AF647" i="3"/>
  <c r="AN647" i="3" s="1"/>
  <c r="AQ647" i="3"/>
  <c r="U649" i="3" l="1"/>
  <c r="AI649" i="3" a="1"/>
  <c r="AI649" i="3" s="1"/>
  <c r="AR647" i="3"/>
  <c r="AO647" i="3"/>
  <c r="AA649" i="3"/>
  <c r="AC649" i="3" s="1"/>
  <c r="AJ649" i="3" s="1"/>
  <c r="A650" i="3"/>
  <c r="W649" i="3"/>
  <c r="Y649" i="3" s="1"/>
  <c r="AE649" i="3" s="1"/>
  <c r="AL649" i="3" s="1"/>
  <c r="AF648" i="3"/>
  <c r="AN648" i="3" s="1"/>
  <c r="AQ648" i="3"/>
  <c r="U650" i="3" l="1"/>
  <c r="AI650" i="3" a="1"/>
  <c r="AI650" i="3" s="1"/>
  <c r="AR648" i="3"/>
  <c r="AO648" i="3"/>
  <c r="W650" i="3"/>
  <c r="Y650" i="3" s="1"/>
  <c r="AE650" i="3" s="1"/>
  <c r="AL650" i="3" s="1"/>
  <c r="A651" i="3"/>
  <c r="AA650" i="3"/>
  <c r="AC650" i="3" s="1"/>
  <c r="AJ650" i="3" s="1"/>
  <c r="AF649" i="3"/>
  <c r="AN649" i="3" s="1"/>
  <c r="AQ649" i="3"/>
  <c r="U651" i="3" l="1"/>
  <c r="AI651" i="3" a="1"/>
  <c r="AI651" i="3" s="1"/>
  <c r="AR649" i="3"/>
  <c r="AO649" i="3"/>
  <c r="AF650" i="3"/>
  <c r="AN650" i="3" s="1"/>
  <c r="AQ650" i="3"/>
  <c r="A652" i="3"/>
  <c r="AA651" i="3"/>
  <c r="AC651" i="3" s="1"/>
  <c r="AJ651" i="3" s="1"/>
  <c r="W651" i="3"/>
  <c r="Y651" i="3" s="1"/>
  <c r="AE651" i="3" s="1"/>
  <c r="AL651" i="3" s="1"/>
  <c r="U652" i="3" l="1"/>
  <c r="AI652" i="3" a="1"/>
  <c r="AI652" i="3" s="1"/>
  <c r="AR650" i="3"/>
  <c r="AO650" i="3"/>
  <c r="A653" i="3"/>
  <c r="W652" i="3"/>
  <c r="Y652" i="3" s="1"/>
  <c r="AA652" i="3"/>
  <c r="AC652" i="3" s="1"/>
  <c r="AJ652" i="3" s="1"/>
  <c r="AF651" i="3"/>
  <c r="AN651" i="3" s="1"/>
  <c r="AQ651" i="3"/>
  <c r="AE652" i="3" l="1"/>
  <c r="U653" i="3"/>
  <c r="AI653" i="3" a="1"/>
  <c r="AI653" i="3" s="1"/>
  <c r="AR651" i="3"/>
  <c r="AO651" i="3"/>
  <c r="A654" i="3"/>
  <c r="AA653" i="3"/>
  <c r="AC653" i="3" s="1"/>
  <c r="AJ653" i="3" s="1"/>
  <c r="W653" i="3"/>
  <c r="Y653" i="3" s="1"/>
  <c r="AE653" i="3" s="1"/>
  <c r="AL653" i="3" s="1"/>
  <c r="AL652" i="3" l="1"/>
  <c r="AF652" i="3"/>
  <c r="AQ652" i="3"/>
  <c r="A655" i="3"/>
  <c r="AA654" i="3"/>
  <c r="W654" i="3"/>
  <c r="Y654" i="3" s="1"/>
  <c r="AE654" i="3" s="1"/>
  <c r="AL654" i="3" s="1"/>
  <c r="AF653" i="3"/>
  <c r="AN653" i="3" s="1"/>
  <c r="AQ653" i="3"/>
  <c r="AN652" i="3" l="1"/>
  <c r="AO652" i="3" s="1"/>
  <c r="AR652" i="3"/>
  <c r="AC654" i="3"/>
  <c r="AF654" i="3" s="1"/>
  <c r="AN654" i="3" s="1"/>
  <c r="U655" i="3"/>
  <c r="AI655" i="3" a="1"/>
  <c r="AI655" i="3" s="1"/>
  <c r="AR653" i="3"/>
  <c r="AO653" i="3"/>
  <c r="AA655" i="3"/>
  <c r="AC655" i="3" s="1"/>
  <c r="AJ655" i="3" s="1"/>
  <c r="W655" i="3"/>
  <c r="Y655" i="3" s="1"/>
  <c r="A656" i="3"/>
  <c r="AQ654" i="3"/>
  <c r="AE655" i="3" l="1"/>
  <c r="AR654" i="3"/>
  <c r="A657" i="3"/>
  <c r="AA656" i="3"/>
  <c r="W656" i="3"/>
  <c r="Y656" i="3" s="1"/>
  <c r="AE656" i="3" s="1"/>
  <c r="AL656" i="3" s="1"/>
  <c r="AL655" i="3" l="1"/>
  <c r="AQ655" i="3" s="1"/>
  <c r="AF655" i="3"/>
  <c r="AC656" i="3"/>
  <c r="AF656" i="3" s="1"/>
  <c r="AN656" i="3" s="1"/>
  <c r="U657" i="3"/>
  <c r="AI657" i="3" a="1"/>
  <c r="AI657" i="3" s="1"/>
  <c r="W657" i="3"/>
  <c r="Y657" i="3" s="1"/>
  <c r="AE657" i="3" s="1"/>
  <c r="AL657" i="3" s="1"/>
  <c r="AA657" i="3"/>
  <c r="AC657" i="3" s="1"/>
  <c r="AJ657" i="3" s="1"/>
  <c r="A658" i="3"/>
  <c r="AQ656" i="3"/>
  <c r="AN655" i="3" l="1"/>
  <c r="AO655" i="3" s="1"/>
  <c r="AR655" i="3"/>
  <c r="U658" i="3"/>
  <c r="AI658" i="3" a="1"/>
  <c r="AI658" i="3" s="1"/>
  <c r="AR656" i="3"/>
  <c r="AQ657" i="3"/>
  <c r="AF657" i="3"/>
  <c r="AN657" i="3" s="1"/>
  <c r="W658" i="3"/>
  <c r="Y658" i="3" s="1"/>
  <c r="AE658" i="3" s="1"/>
  <c r="AL658" i="3" s="1"/>
  <c r="A659" i="3"/>
  <c r="AA658" i="3"/>
  <c r="AC658" i="3" s="1"/>
  <c r="AJ658" i="3" s="1"/>
  <c r="U659" i="3" l="1"/>
  <c r="AI659" i="3" a="1"/>
  <c r="AI659" i="3" s="1"/>
  <c r="AR657" i="3"/>
  <c r="AO657" i="3"/>
  <c r="AQ658" i="3"/>
  <c r="AF658" i="3"/>
  <c r="AN658" i="3" s="1"/>
  <c r="A660" i="3"/>
  <c r="AA659" i="3"/>
  <c r="AC659" i="3" s="1"/>
  <c r="AJ659" i="3" s="1"/>
  <c r="W659" i="3"/>
  <c r="Y659" i="3" s="1"/>
  <c r="AE659" i="3" s="1"/>
  <c r="AL659" i="3" s="1"/>
  <c r="U660" i="3" l="1"/>
  <c r="AI660" i="3" a="1"/>
  <c r="AI660" i="3" s="1"/>
  <c r="AR658" i="3"/>
  <c r="AO658" i="3"/>
  <c r="W660" i="3"/>
  <c r="Y660" i="3" s="1"/>
  <c r="AE660" i="3" s="1"/>
  <c r="AL660" i="3" s="1"/>
  <c r="A661" i="3"/>
  <c r="AA660" i="3"/>
  <c r="AC660" i="3" s="1"/>
  <c r="AJ660" i="3" s="1"/>
  <c r="AF659" i="3"/>
  <c r="AN659" i="3" s="1"/>
  <c r="AQ659" i="3"/>
  <c r="U661" i="3" l="1"/>
  <c r="AI661" i="3" a="1"/>
  <c r="AI661" i="3" s="1"/>
  <c r="AR659" i="3"/>
  <c r="AO659" i="3"/>
  <c r="AF660" i="3"/>
  <c r="AN660" i="3" s="1"/>
  <c r="AQ660" i="3"/>
  <c r="A662" i="3"/>
  <c r="AA661" i="3"/>
  <c r="AC661" i="3" s="1"/>
  <c r="AJ661" i="3" s="1"/>
  <c r="W661" i="3"/>
  <c r="Y661" i="3" s="1"/>
  <c r="AE661" i="3" s="1"/>
  <c r="AL661" i="3" s="1"/>
  <c r="U662" i="3" l="1"/>
  <c r="AI662" i="3" a="1"/>
  <c r="AI662" i="3" s="1"/>
  <c r="AR660" i="3"/>
  <c r="AO660" i="3"/>
  <c r="W662" i="3"/>
  <c r="Y662" i="3" s="1"/>
  <c r="A663" i="3"/>
  <c r="AA662" i="3"/>
  <c r="AC662" i="3" s="1"/>
  <c r="AJ662" i="3" s="1"/>
  <c r="AF661" i="3"/>
  <c r="AN661" i="3" s="1"/>
  <c r="AQ661" i="3"/>
  <c r="AE662" i="3" l="1"/>
  <c r="U663" i="3"/>
  <c r="AI663" i="3" a="1"/>
  <c r="AI663" i="3" s="1"/>
  <c r="AR661" i="3"/>
  <c r="AO661" i="3"/>
  <c r="AA663" i="3"/>
  <c r="AC663" i="3" s="1"/>
  <c r="AJ663" i="3" s="1"/>
  <c r="A664" i="3"/>
  <c r="W663" i="3"/>
  <c r="Y663" i="3" s="1"/>
  <c r="AE663" i="3" l="1"/>
  <c r="AL662" i="3"/>
  <c r="AQ662" i="3" s="1"/>
  <c r="AF662" i="3"/>
  <c r="U664" i="3"/>
  <c r="AI664" i="3" a="1"/>
  <c r="AI664" i="3" s="1"/>
  <c r="W664" i="3"/>
  <c r="Y664" i="3" s="1"/>
  <c r="AE664" i="3" s="1"/>
  <c r="AL664" i="3" s="1"/>
  <c r="A665" i="3"/>
  <c r="AA664" i="3"/>
  <c r="AC664" i="3" s="1"/>
  <c r="AJ664" i="3" s="1"/>
  <c r="AL663" i="3" l="1"/>
  <c r="AF663" i="3"/>
  <c r="AN663" i="3" s="1"/>
  <c r="AQ663" i="3"/>
  <c r="AN662" i="3"/>
  <c r="AO662" i="3" s="1"/>
  <c r="AR662" i="3"/>
  <c r="U665" i="3"/>
  <c r="AI665" i="3" a="1"/>
  <c r="AI665" i="3" s="1"/>
  <c r="AF664" i="3"/>
  <c r="AN664" i="3" s="1"/>
  <c r="AQ664" i="3"/>
  <c r="A666" i="3"/>
  <c r="W665" i="3"/>
  <c r="Y665" i="3" s="1"/>
  <c r="AA665" i="3"/>
  <c r="AC665" i="3" s="1"/>
  <c r="AJ665" i="3" s="1"/>
  <c r="AR663" i="3" l="1"/>
  <c r="AO663" i="3"/>
  <c r="AE665" i="3"/>
  <c r="U666" i="3"/>
  <c r="AI666" i="3" a="1"/>
  <c r="AI666" i="3" s="1"/>
  <c r="AR664" i="3"/>
  <c r="AO664" i="3"/>
  <c r="W666" i="3"/>
  <c r="Y666" i="3" s="1"/>
  <c r="AE666" i="3" s="1"/>
  <c r="AL666" i="3" s="1"/>
  <c r="A667" i="3"/>
  <c r="AA666" i="3"/>
  <c r="AC666" i="3" s="1"/>
  <c r="AJ666" i="3" s="1"/>
  <c r="AL665" i="3" l="1"/>
  <c r="AF665" i="3"/>
  <c r="AN665" i="3" s="1"/>
  <c r="AQ665" i="3"/>
  <c r="U667" i="3"/>
  <c r="AI667" i="3" a="1"/>
  <c r="AI667" i="3" s="1"/>
  <c r="AF666" i="3"/>
  <c r="AN666" i="3" s="1"/>
  <c r="AQ666" i="3"/>
  <c r="A668" i="3"/>
  <c r="AA667" i="3"/>
  <c r="AC667" i="3" s="1"/>
  <c r="AJ667" i="3" s="1"/>
  <c r="W667" i="3"/>
  <c r="Y667" i="3" s="1"/>
  <c r="AE667" i="3" s="1"/>
  <c r="AL667" i="3" s="1"/>
  <c r="AR665" i="3" l="1"/>
  <c r="AO665" i="3"/>
  <c r="U668" i="3"/>
  <c r="AI668" i="3" a="1"/>
  <c r="AI668" i="3" s="1"/>
  <c r="AR666" i="3"/>
  <c r="AO666" i="3"/>
  <c r="A669" i="3"/>
  <c r="AA668" i="3"/>
  <c r="AC668" i="3" s="1"/>
  <c r="AJ668" i="3" s="1"/>
  <c r="W668" i="3"/>
  <c r="Y668" i="3" s="1"/>
  <c r="AF667" i="3"/>
  <c r="AN667" i="3" s="1"/>
  <c r="AQ667" i="3"/>
  <c r="AE668" i="3" l="1"/>
  <c r="U669" i="3"/>
  <c r="AI669" i="3" a="1"/>
  <c r="AI669" i="3" s="1"/>
  <c r="AR667" i="3"/>
  <c r="AO667" i="3"/>
  <c r="W669" i="3"/>
  <c r="Y669" i="3" s="1"/>
  <c r="AE669" i="3" s="1"/>
  <c r="AL669" i="3" s="1"/>
  <c r="A670" i="3"/>
  <c r="AA669" i="3"/>
  <c r="AC669" i="3" s="1"/>
  <c r="AJ669" i="3" s="1"/>
  <c r="AL668" i="3" l="1"/>
  <c r="AQ668" i="3"/>
  <c r="AF668" i="3"/>
  <c r="U670" i="3"/>
  <c r="AI670" i="3" a="1"/>
  <c r="AI670" i="3" s="1"/>
  <c r="AF669" i="3"/>
  <c r="AN669" i="3" s="1"/>
  <c r="AQ669" i="3"/>
  <c r="A671" i="3"/>
  <c r="W670" i="3"/>
  <c r="Y670" i="3" s="1"/>
  <c r="AA670" i="3"/>
  <c r="AC670" i="3" s="1"/>
  <c r="AJ670" i="3" s="1"/>
  <c r="AN668" i="3" l="1"/>
  <c r="AO668" i="3" s="1"/>
  <c r="AR668" i="3"/>
  <c r="AE670" i="3"/>
  <c r="U671" i="3"/>
  <c r="AI671" i="3" a="1"/>
  <c r="AI671" i="3" s="1"/>
  <c r="AR669" i="3"/>
  <c r="AO669" i="3"/>
  <c r="A672" i="3"/>
  <c r="AA671" i="3"/>
  <c r="AC671" i="3" s="1"/>
  <c r="AJ671" i="3" s="1"/>
  <c r="W671" i="3"/>
  <c r="Y671" i="3" s="1"/>
  <c r="AE671" i="3" s="1"/>
  <c r="AL671" i="3" s="1"/>
  <c r="AL670" i="3" l="1"/>
  <c r="AF670" i="3"/>
  <c r="AN670" i="3" s="1"/>
  <c r="AQ670" i="3"/>
  <c r="U672" i="3"/>
  <c r="AI672" i="3" a="1"/>
  <c r="AI672" i="3" s="1"/>
  <c r="AR670" i="3"/>
  <c r="AO670" i="3"/>
  <c r="A673" i="3"/>
  <c r="AA672" i="3"/>
  <c r="AC672" i="3" s="1"/>
  <c r="AJ672" i="3" s="1"/>
  <c r="W672" i="3"/>
  <c r="Y672" i="3" s="1"/>
  <c r="AE672" i="3" s="1"/>
  <c r="AL672" i="3" s="1"/>
  <c r="AF671" i="3"/>
  <c r="AN671" i="3" s="1"/>
  <c r="AQ671" i="3"/>
  <c r="U673" i="3" l="1"/>
  <c r="AI673" i="3" a="1"/>
  <c r="AI673" i="3" s="1"/>
  <c r="AR671" i="3"/>
  <c r="AO671" i="3"/>
  <c r="A674" i="3"/>
  <c r="W673" i="3"/>
  <c r="Y673" i="3" s="1"/>
  <c r="AA673" i="3"/>
  <c r="AC673" i="3" s="1"/>
  <c r="AJ673" i="3" s="1"/>
  <c r="AF672" i="3"/>
  <c r="AN672" i="3" s="1"/>
  <c r="AQ672" i="3"/>
  <c r="AE673" i="3" l="1"/>
  <c r="U674" i="3"/>
  <c r="AI674" i="3" a="1"/>
  <c r="AI674" i="3" s="1"/>
  <c r="AR672" i="3"/>
  <c r="AO672" i="3"/>
  <c r="W674" i="3"/>
  <c r="Y674" i="3" s="1"/>
  <c r="A675" i="3"/>
  <c r="AA674" i="3"/>
  <c r="AC674" i="3" s="1"/>
  <c r="AJ674" i="3" s="1"/>
  <c r="AE674" i="3" l="1"/>
  <c r="AL673" i="3"/>
  <c r="AQ673" i="3"/>
  <c r="AF673" i="3"/>
  <c r="U675" i="3"/>
  <c r="AI675" i="3" a="1"/>
  <c r="AI675" i="3" s="1"/>
  <c r="W675" i="3"/>
  <c r="Y675" i="3" s="1"/>
  <c r="AE675" i="3" s="1"/>
  <c r="AL675" i="3" s="1"/>
  <c r="A676" i="3"/>
  <c r="AA675" i="3"/>
  <c r="AC675" i="3" s="1"/>
  <c r="AJ675" i="3" s="1"/>
  <c r="AN673" i="3" l="1"/>
  <c r="AO673" i="3" s="1"/>
  <c r="AR673" i="3"/>
  <c r="AL674" i="3"/>
  <c r="AF674" i="3"/>
  <c r="AN674" i="3" s="1"/>
  <c r="AQ674" i="3"/>
  <c r="AR674" i="3"/>
  <c r="AO674" i="3"/>
  <c r="AF675" i="3"/>
  <c r="AN675" i="3" s="1"/>
  <c r="AQ675" i="3"/>
  <c r="A677" i="3"/>
  <c r="AA676" i="3"/>
  <c r="W676" i="3"/>
  <c r="Y676" i="3" s="1"/>
  <c r="AE676" i="3" s="1"/>
  <c r="AL676" i="3" s="1"/>
  <c r="AC676" i="3" l="1"/>
  <c r="AF676" i="3" s="1"/>
  <c r="AN676" i="3" s="1"/>
  <c r="AR675" i="3"/>
  <c r="AO675" i="3"/>
  <c r="A678" i="3"/>
  <c r="AA677" i="3"/>
  <c r="W677" i="3"/>
  <c r="Y677" i="3" s="1"/>
  <c r="AE677" i="3" s="1"/>
  <c r="AL677" i="3" s="1"/>
  <c r="AQ676" i="3"/>
  <c r="AC677" i="3" l="1"/>
  <c r="AF677" i="3" s="1"/>
  <c r="AN677" i="3" s="1"/>
  <c r="U678" i="3"/>
  <c r="AI678" i="3" a="1"/>
  <c r="AI678" i="3" s="1"/>
  <c r="AR676" i="3"/>
  <c r="A679" i="3"/>
  <c r="AA678" i="3"/>
  <c r="AC678" i="3" s="1"/>
  <c r="AJ678" i="3" s="1"/>
  <c r="W678" i="3"/>
  <c r="Y678" i="3" s="1"/>
  <c r="AQ677" i="3"/>
  <c r="AE678" i="3" l="1"/>
  <c r="U679" i="3"/>
  <c r="AI679" i="3" a="1"/>
  <c r="AI679" i="3" s="1"/>
  <c r="AR677" i="3"/>
  <c r="AA679" i="3"/>
  <c r="AC679" i="3" s="1"/>
  <c r="AJ679" i="3" s="1"/>
  <c r="W679" i="3"/>
  <c r="Y679" i="3" s="1"/>
  <c r="AE679" i="3" s="1"/>
  <c r="AL679" i="3" s="1"/>
  <c r="A680" i="3"/>
  <c r="AL678" i="3" l="1"/>
  <c r="AF678" i="3"/>
  <c r="AQ678" i="3"/>
  <c r="AF679" i="3"/>
  <c r="AN679" i="3" s="1"/>
  <c r="AQ679" i="3"/>
  <c r="A681" i="3"/>
  <c r="AA680" i="3"/>
  <c r="W680" i="3"/>
  <c r="Y680" i="3" s="1"/>
  <c r="AE680" i="3" s="1"/>
  <c r="AL680" i="3" s="1"/>
  <c r="AN678" i="3" l="1"/>
  <c r="AC680" i="3"/>
  <c r="AF680" i="3" s="1"/>
  <c r="AN680" i="3" s="1"/>
  <c r="AR679" i="3"/>
  <c r="AO679" i="3"/>
  <c r="A682" i="3"/>
  <c r="AA681" i="3"/>
  <c r="W681" i="3"/>
  <c r="Y681" i="3" s="1"/>
  <c r="AE681" i="3" s="1"/>
  <c r="AL681" i="3" s="1"/>
  <c r="AQ680" i="3"/>
  <c r="AO678" i="3" l="1"/>
  <c r="AR678" i="3"/>
  <c r="AC681" i="3"/>
  <c r="AF681" i="3" s="1"/>
  <c r="AN681" i="3" s="1"/>
  <c r="U682" i="3"/>
  <c r="AI682" i="3" a="1"/>
  <c r="AI682" i="3" s="1"/>
  <c r="AR680" i="3"/>
  <c r="W682" i="3"/>
  <c r="Y682" i="3" s="1"/>
  <c r="AE682" i="3" s="1"/>
  <c r="AL682" i="3" s="1"/>
  <c r="AA682" i="3"/>
  <c r="AC682" i="3" s="1"/>
  <c r="AJ682" i="3" s="1"/>
  <c r="A683" i="3"/>
  <c r="AQ681" i="3"/>
  <c r="U683" i="3" l="1"/>
  <c r="AI683" i="3" a="1"/>
  <c r="AI683" i="3" s="1"/>
  <c r="AR681" i="3"/>
  <c r="AF682" i="3"/>
  <c r="AN682" i="3" s="1"/>
  <c r="AQ682" i="3"/>
  <c r="A684" i="3"/>
  <c r="W683" i="3"/>
  <c r="Y683" i="3" s="1"/>
  <c r="AE683" i="3" s="1"/>
  <c r="AL683" i="3" s="1"/>
  <c r="AA683" i="3"/>
  <c r="AC683" i="3" s="1"/>
  <c r="AJ683" i="3" s="1"/>
  <c r="U684" i="3" l="1"/>
  <c r="AI684" i="3" a="1"/>
  <c r="AI684" i="3" s="1"/>
  <c r="AR682" i="3"/>
  <c r="AO682" i="3"/>
  <c r="A685" i="3"/>
  <c r="AA684" i="3"/>
  <c r="AC684" i="3" s="1"/>
  <c r="AJ684" i="3" s="1"/>
  <c r="W684" i="3"/>
  <c r="Y684" i="3" s="1"/>
  <c r="AE684" i="3" s="1"/>
  <c r="AL684" i="3" s="1"/>
  <c r="AF683" i="3"/>
  <c r="AN683" i="3" s="1"/>
  <c r="AQ683" i="3"/>
  <c r="U685" i="3" l="1"/>
  <c r="AI685" i="3" a="1"/>
  <c r="AI685" i="3" s="1"/>
  <c r="AR683" i="3"/>
  <c r="AO683" i="3"/>
  <c r="A686" i="3"/>
  <c r="W685" i="3"/>
  <c r="Y685" i="3" s="1"/>
  <c r="AE685" i="3" s="1"/>
  <c r="AL685" i="3" s="1"/>
  <c r="AA685" i="3"/>
  <c r="AC685" i="3" s="1"/>
  <c r="AJ685" i="3" s="1"/>
  <c r="AF684" i="3"/>
  <c r="AN684" i="3" s="1"/>
  <c r="AQ684" i="3"/>
  <c r="U686" i="3" l="1"/>
  <c r="AI686" i="3" a="1"/>
  <c r="AI686" i="3" s="1"/>
  <c r="AR684" i="3"/>
  <c r="AO684" i="3"/>
  <c r="A687" i="3"/>
  <c r="AA686" i="3"/>
  <c r="AC686" i="3" s="1"/>
  <c r="AJ686" i="3" s="1"/>
  <c r="W686" i="3"/>
  <c r="Y686" i="3" s="1"/>
  <c r="AE686" i="3" s="1"/>
  <c r="AL686" i="3" s="1"/>
  <c r="AF685" i="3"/>
  <c r="AN685" i="3" s="1"/>
  <c r="AQ685" i="3"/>
  <c r="U687" i="3" l="1"/>
  <c r="AI687" i="3" a="1"/>
  <c r="AI687" i="3" s="1"/>
  <c r="AR685" i="3"/>
  <c r="AO685" i="3"/>
  <c r="A688" i="3"/>
  <c r="AA687" i="3"/>
  <c r="AC687" i="3" s="1"/>
  <c r="AJ687" i="3" s="1"/>
  <c r="W687" i="3"/>
  <c r="Y687" i="3" s="1"/>
  <c r="AE687" i="3" s="1"/>
  <c r="AL687" i="3" s="1"/>
  <c r="AF686" i="3"/>
  <c r="AN686" i="3" s="1"/>
  <c r="AQ686" i="3"/>
  <c r="U688" i="3" l="1"/>
  <c r="AI688" i="3" a="1"/>
  <c r="AI688" i="3" s="1"/>
  <c r="AR686" i="3"/>
  <c r="AO686" i="3"/>
  <c r="A689" i="3"/>
  <c r="AA688" i="3"/>
  <c r="AC688" i="3" s="1"/>
  <c r="AJ688" i="3" s="1"/>
  <c r="W688" i="3"/>
  <c r="Y688" i="3" s="1"/>
  <c r="AE688" i="3" s="1"/>
  <c r="AL688" i="3" s="1"/>
  <c r="AF687" i="3"/>
  <c r="AN687" i="3" s="1"/>
  <c r="AQ687" i="3"/>
  <c r="U689" i="3" l="1"/>
  <c r="AI689" i="3" a="1"/>
  <c r="AI689" i="3" s="1"/>
  <c r="AR687" i="3"/>
  <c r="AO687" i="3"/>
  <c r="A690" i="3"/>
  <c r="AA689" i="3"/>
  <c r="AC689" i="3" s="1"/>
  <c r="AJ689" i="3" s="1"/>
  <c r="W689" i="3"/>
  <c r="Y689" i="3" s="1"/>
  <c r="AE689" i="3" s="1"/>
  <c r="AL689" i="3" s="1"/>
  <c r="AF688" i="3"/>
  <c r="AN688" i="3" s="1"/>
  <c r="AQ688" i="3"/>
  <c r="U690" i="3" l="1"/>
  <c r="AI690" i="3" a="1"/>
  <c r="AI690" i="3" s="1"/>
  <c r="AR688" i="3"/>
  <c r="AO688" i="3"/>
  <c r="A691" i="3"/>
  <c r="AA690" i="3"/>
  <c r="AC690" i="3" s="1"/>
  <c r="AJ690" i="3" s="1"/>
  <c r="W690" i="3"/>
  <c r="Y690" i="3" s="1"/>
  <c r="AE690" i="3" s="1"/>
  <c r="AL690" i="3" s="1"/>
  <c r="AF689" i="3"/>
  <c r="AN689" i="3" s="1"/>
  <c r="AQ689" i="3"/>
  <c r="U691" i="3" l="1"/>
  <c r="AI691" i="3" a="1"/>
  <c r="AI691" i="3" s="1"/>
  <c r="AR689" i="3"/>
  <c r="AO689" i="3"/>
  <c r="A692" i="3"/>
  <c r="AA691" i="3"/>
  <c r="AC691" i="3" s="1"/>
  <c r="AJ691" i="3" s="1"/>
  <c r="W691" i="3"/>
  <c r="Y691" i="3" s="1"/>
  <c r="AE691" i="3" s="1"/>
  <c r="AL691" i="3" s="1"/>
  <c r="AF690" i="3"/>
  <c r="AN690" i="3" s="1"/>
  <c r="AQ690" i="3"/>
  <c r="U692" i="3" l="1"/>
  <c r="AI692" i="3" a="1"/>
  <c r="AI692" i="3" s="1"/>
  <c r="AR690" i="3"/>
  <c r="AO690" i="3"/>
  <c r="A693" i="3"/>
  <c r="AA692" i="3"/>
  <c r="AC692" i="3" s="1"/>
  <c r="AJ692" i="3" s="1"/>
  <c r="W692" i="3"/>
  <c r="Y692" i="3" s="1"/>
  <c r="AE692" i="3" s="1"/>
  <c r="AL692" i="3" s="1"/>
  <c r="AF691" i="3"/>
  <c r="AN691" i="3" s="1"/>
  <c r="AQ691" i="3"/>
  <c r="U693" i="3" l="1"/>
  <c r="AI693" i="3" a="1"/>
  <c r="AI693" i="3" s="1"/>
  <c r="AR691" i="3"/>
  <c r="AO691" i="3"/>
  <c r="AA693" i="3"/>
  <c r="AC693" i="3" s="1"/>
  <c r="AJ693" i="3" s="1"/>
  <c r="W693" i="3"/>
  <c r="Y693" i="3" s="1"/>
  <c r="AE693" i="3" s="1"/>
  <c r="AL693" i="3" s="1"/>
  <c r="A694" i="3"/>
  <c r="AQ692" i="3"/>
  <c r="AF692" i="3"/>
  <c r="AN692" i="3" s="1"/>
  <c r="U694" i="3" l="1"/>
  <c r="AI694" i="3" a="1"/>
  <c r="AI694" i="3" s="1"/>
  <c r="AR692" i="3"/>
  <c r="AO692" i="3"/>
  <c r="AF693" i="3"/>
  <c r="AN693" i="3" s="1"/>
  <c r="AQ693" i="3"/>
  <c r="A695" i="3"/>
  <c r="AA694" i="3"/>
  <c r="AC694" i="3" s="1"/>
  <c r="AJ694" i="3" s="1"/>
  <c r="W694" i="3"/>
  <c r="Y694" i="3" s="1"/>
  <c r="AE694" i="3" s="1"/>
  <c r="AL694" i="3" s="1"/>
  <c r="U695" i="3" l="1"/>
  <c r="AI695" i="3" a="1"/>
  <c r="AI695" i="3" s="1"/>
  <c r="AR693" i="3"/>
  <c r="AO693" i="3"/>
  <c r="A696" i="3"/>
  <c r="AA695" i="3"/>
  <c r="AC695" i="3" s="1"/>
  <c r="AJ695" i="3" s="1"/>
  <c r="W695" i="3"/>
  <c r="Y695" i="3" s="1"/>
  <c r="AF694" i="3"/>
  <c r="AN694" i="3" s="1"/>
  <c r="AQ694" i="3"/>
  <c r="AE695" i="3" l="1"/>
  <c r="AR694" i="3"/>
  <c r="AO694" i="3"/>
  <c r="A697" i="3"/>
  <c r="AA696" i="3"/>
  <c r="W696" i="3"/>
  <c r="Y696" i="3" s="1"/>
  <c r="AE696" i="3" s="1"/>
  <c r="AL696" i="3" s="1"/>
  <c r="AL695" i="3" l="1"/>
  <c r="AF695" i="3"/>
  <c r="AN695" i="3" s="1"/>
  <c r="AQ695" i="3"/>
  <c r="AC696" i="3"/>
  <c r="AF696" i="3" s="1"/>
  <c r="AN696" i="3" s="1"/>
  <c r="A698" i="3"/>
  <c r="AA697" i="3"/>
  <c r="W697" i="3"/>
  <c r="Y697" i="3" s="1"/>
  <c r="AE697" i="3" s="1"/>
  <c r="AL697" i="3" s="1"/>
  <c r="AQ696" i="3"/>
  <c r="AO695" i="3" l="1"/>
  <c r="AR695" i="3"/>
  <c r="AC697" i="3"/>
  <c r="AF697" i="3" s="1"/>
  <c r="AN697" i="3" s="1"/>
  <c r="AR696" i="3"/>
  <c r="A699" i="3"/>
  <c r="AA698" i="3"/>
  <c r="W698" i="3"/>
  <c r="Y698" i="3" s="1"/>
  <c r="AE698" i="3" s="1"/>
  <c r="AL698" i="3" s="1"/>
  <c r="AQ697" i="3"/>
  <c r="AC698" i="3" l="1"/>
  <c r="AF698" i="3" s="1"/>
  <c r="AN698" i="3" s="1"/>
  <c r="U699" i="3"/>
  <c r="AI699" i="3" a="1"/>
  <c r="AI699" i="3" s="1"/>
  <c r="AR697" i="3"/>
  <c r="A700" i="3"/>
  <c r="AA699" i="3"/>
  <c r="AC699" i="3" s="1"/>
  <c r="AJ699" i="3" s="1"/>
  <c r="W699" i="3"/>
  <c r="Y699" i="3" s="1"/>
  <c r="AE699" i="3" s="1"/>
  <c r="AL699" i="3" s="1"/>
  <c r="AQ698" i="3"/>
  <c r="U700" i="3" l="1"/>
  <c r="AI700" i="3" a="1"/>
  <c r="AI700" i="3" s="1"/>
  <c r="AR698" i="3"/>
  <c r="W700" i="3"/>
  <c r="Y700" i="3" s="1"/>
  <c r="AE700" i="3" s="1"/>
  <c r="AL700" i="3" s="1"/>
  <c r="A701" i="3"/>
  <c r="AA700" i="3"/>
  <c r="AC700" i="3" s="1"/>
  <c r="AJ700" i="3" s="1"/>
  <c r="AF699" i="3"/>
  <c r="AN699" i="3" s="1"/>
  <c r="AQ699" i="3"/>
  <c r="AR699" i="3" l="1"/>
  <c r="AO699" i="3"/>
  <c r="AF700" i="3"/>
  <c r="AN700" i="3" s="1"/>
  <c r="AQ700" i="3"/>
  <c r="AA701" i="3"/>
  <c r="A702" i="3"/>
  <c r="W701" i="3"/>
  <c r="Y701" i="3" s="1"/>
  <c r="AE701" i="3" s="1"/>
  <c r="AL701" i="3" s="1"/>
  <c r="AC701" i="3" l="1"/>
  <c r="AF701" i="3" s="1"/>
  <c r="AN701" i="3" s="1"/>
  <c r="AR700" i="3"/>
  <c r="AO700" i="3"/>
  <c r="A703" i="3"/>
  <c r="W702" i="3"/>
  <c r="Y702" i="3" s="1"/>
  <c r="AE702" i="3" s="1"/>
  <c r="AL702" i="3" s="1"/>
  <c r="AA702" i="3"/>
  <c r="AQ701" i="3"/>
  <c r="AC702" i="3" l="1"/>
  <c r="AF702" i="3" s="1"/>
  <c r="AN702" i="3" s="1"/>
  <c r="U703" i="3"/>
  <c r="AI703" i="3" a="1"/>
  <c r="AI703" i="3" s="1"/>
  <c r="AR701" i="3"/>
  <c r="A704" i="3"/>
  <c r="AA703" i="3"/>
  <c r="AC703" i="3" s="1"/>
  <c r="AJ703" i="3" s="1"/>
  <c r="W703" i="3"/>
  <c r="Y703" i="3" s="1"/>
  <c r="AQ702" i="3"/>
  <c r="AE703" i="3" l="1"/>
  <c r="AR702" i="3"/>
  <c r="A705" i="3"/>
  <c r="AA704" i="3"/>
  <c r="W704" i="3"/>
  <c r="Y704" i="3" s="1"/>
  <c r="AE704" i="3" s="1"/>
  <c r="AL704" i="3" s="1"/>
  <c r="AL703" i="3" l="1"/>
  <c r="AQ703" i="3" s="1"/>
  <c r="AF703" i="3"/>
  <c r="AC704" i="3"/>
  <c r="AF704" i="3" s="1"/>
  <c r="AN704" i="3" s="1"/>
  <c r="U705" i="3"/>
  <c r="AI705" i="3" a="1"/>
  <c r="AI705" i="3" s="1"/>
  <c r="A706" i="3"/>
  <c r="W705" i="3"/>
  <c r="Y705" i="3" s="1"/>
  <c r="AE705" i="3" s="1"/>
  <c r="AL705" i="3" s="1"/>
  <c r="AA705" i="3"/>
  <c r="AC705" i="3" s="1"/>
  <c r="AJ705" i="3" s="1"/>
  <c r="AQ704" i="3"/>
  <c r="AN703" i="3" l="1"/>
  <c r="AO703" i="3" s="1"/>
  <c r="AR703" i="3"/>
  <c r="U706" i="3"/>
  <c r="AI706" i="3" a="1"/>
  <c r="AI706" i="3" s="1"/>
  <c r="AR704" i="3"/>
  <c r="W706" i="3"/>
  <c r="Y706" i="3" s="1"/>
  <c r="AE706" i="3" s="1"/>
  <c r="AL706" i="3" s="1"/>
  <c r="A707" i="3"/>
  <c r="AA706" i="3"/>
  <c r="AC706" i="3" s="1"/>
  <c r="AJ706" i="3" s="1"/>
  <c r="AF705" i="3"/>
  <c r="AN705" i="3" s="1"/>
  <c r="AQ705" i="3"/>
  <c r="U707" i="3" l="1"/>
  <c r="AI707" i="3" a="1"/>
  <c r="AI707" i="3" s="1"/>
  <c r="AR705" i="3"/>
  <c r="AO705" i="3"/>
  <c r="AF706" i="3"/>
  <c r="AN706" i="3" s="1"/>
  <c r="AQ706" i="3"/>
  <c r="AA707" i="3"/>
  <c r="AC707" i="3" s="1"/>
  <c r="AJ707" i="3" s="1"/>
  <c r="W707" i="3"/>
  <c r="Y707" i="3" s="1"/>
  <c r="AE707" i="3" s="1"/>
  <c r="AL707" i="3" s="1"/>
  <c r="A708" i="3"/>
  <c r="U708" i="3" l="1"/>
  <c r="AI708" i="3" a="1"/>
  <c r="AI708" i="3" s="1"/>
  <c r="AR706" i="3"/>
  <c r="AO706" i="3"/>
  <c r="AF707" i="3"/>
  <c r="AN707" i="3" s="1"/>
  <c r="AQ707" i="3"/>
  <c r="A709" i="3"/>
  <c r="AA708" i="3"/>
  <c r="AC708" i="3" s="1"/>
  <c r="AJ708" i="3" s="1"/>
  <c r="W708" i="3"/>
  <c r="Y708" i="3" s="1"/>
  <c r="AE708" i="3" s="1"/>
  <c r="AL708" i="3" s="1"/>
  <c r="U709" i="3" l="1"/>
  <c r="AI709" i="3" a="1"/>
  <c r="AI709" i="3" s="1"/>
  <c r="AR707" i="3"/>
  <c r="AO707" i="3"/>
  <c r="A710" i="3"/>
  <c r="W709" i="3"/>
  <c r="Y709" i="3" s="1"/>
  <c r="AE709" i="3" s="1"/>
  <c r="AL709" i="3" s="1"/>
  <c r="AA709" i="3"/>
  <c r="AC709" i="3" s="1"/>
  <c r="AJ709" i="3" s="1"/>
  <c r="AF708" i="3"/>
  <c r="AN708" i="3" s="1"/>
  <c r="AQ708" i="3"/>
  <c r="U710" i="3" l="1"/>
  <c r="AI710" i="3" a="1"/>
  <c r="AI710" i="3" s="1"/>
  <c r="AR708" i="3"/>
  <c r="AO708" i="3"/>
  <c r="W710" i="3"/>
  <c r="Y710" i="3" s="1"/>
  <c r="A711" i="3"/>
  <c r="AA710" i="3"/>
  <c r="AC710" i="3" s="1"/>
  <c r="AJ710" i="3" s="1"/>
  <c r="AF709" i="3"/>
  <c r="AN709" i="3" s="1"/>
  <c r="AQ709" i="3"/>
  <c r="AE710" i="3" l="1"/>
  <c r="U711" i="3"/>
  <c r="AI711" i="3" a="1"/>
  <c r="AI711" i="3" s="1"/>
  <c r="AR709" i="3"/>
  <c r="AO709" i="3"/>
  <c r="W711" i="3"/>
  <c r="Y711" i="3" s="1"/>
  <c r="AE711" i="3" s="1"/>
  <c r="AL711" i="3" s="1"/>
  <c r="A712" i="3"/>
  <c r="AA711" i="3"/>
  <c r="AC711" i="3" s="1"/>
  <c r="AJ711" i="3" s="1"/>
  <c r="AL710" i="3" l="1"/>
  <c r="AQ710" i="3" s="1"/>
  <c r="AF710" i="3"/>
  <c r="AN710" i="3" s="1"/>
  <c r="U712" i="3"/>
  <c r="AI712" i="3" a="1"/>
  <c r="AI712" i="3" s="1"/>
  <c r="AR710" i="3"/>
  <c r="AO710" i="3"/>
  <c r="AF711" i="3"/>
  <c r="AN711" i="3" s="1"/>
  <c r="AQ711" i="3"/>
  <c r="A713" i="3"/>
  <c r="AA712" i="3"/>
  <c r="AC712" i="3" s="1"/>
  <c r="AJ712" i="3" s="1"/>
  <c r="W712" i="3"/>
  <c r="Y712" i="3" s="1"/>
  <c r="AE712" i="3" s="1"/>
  <c r="AL712" i="3" s="1"/>
  <c r="U713" i="3" l="1"/>
  <c r="AI713" i="3" a="1"/>
  <c r="AI713" i="3" s="1"/>
  <c r="AR711" i="3"/>
  <c r="AO711" i="3"/>
  <c r="A714" i="3"/>
  <c r="AA713" i="3"/>
  <c r="AC713" i="3" s="1"/>
  <c r="AJ713" i="3" s="1"/>
  <c r="W713" i="3"/>
  <c r="Y713" i="3" s="1"/>
  <c r="AE713" i="3" s="1"/>
  <c r="AL713" i="3" s="1"/>
  <c r="AQ712" i="3"/>
  <c r="AF712" i="3"/>
  <c r="AN712" i="3" s="1"/>
  <c r="U714" i="3" l="1"/>
  <c r="AI714" i="3" a="1"/>
  <c r="AI714" i="3" s="1"/>
  <c r="AR712" i="3"/>
  <c r="AO712" i="3"/>
  <c r="AA714" i="3"/>
  <c r="AC714" i="3" s="1"/>
  <c r="AJ714" i="3" s="1"/>
  <c r="A715" i="3"/>
  <c r="W714" i="3"/>
  <c r="Y714" i="3" s="1"/>
  <c r="AE714" i="3" s="1"/>
  <c r="AL714" i="3" s="1"/>
  <c r="AF713" i="3"/>
  <c r="AN713" i="3" s="1"/>
  <c r="AQ713" i="3"/>
  <c r="U715" i="3" l="1"/>
  <c r="AI715" i="3" a="1"/>
  <c r="AI715" i="3" s="1"/>
  <c r="AR713" i="3"/>
  <c r="AO713" i="3"/>
  <c r="A716" i="3"/>
  <c r="AA715" i="3"/>
  <c r="AC715" i="3" s="1"/>
  <c r="AJ715" i="3" s="1"/>
  <c r="W715" i="3"/>
  <c r="Y715" i="3" s="1"/>
  <c r="AE715" i="3" s="1"/>
  <c r="AL715" i="3" s="1"/>
  <c r="AF714" i="3"/>
  <c r="AN714" i="3" s="1"/>
  <c r="AQ714" i="3"/>
  <c r="U716" i="3" l="1"/>
  <c r="AI716" i="3" a="1"/>
  <c r="AI716" i="3" s="1"/>
  <c r="AR714" i="3"/>
  <c r="AO714" i="3"/>
  <c r="A717" i="3"/>
  <c r="W716" i="3"/>
  <c r="Y716" i="3" s="1"/>
  <c r="AA716" i="3"/>
  <c r="AC716" i="3" s="1"/>
  <c r="AJ716" i="3" s="1"/>
  <c r="AF715" i="3"/>
  <c r="AN715" i="3" s="1"/>
  <c r="AQ715" i="3"/>
  <c r="AE716" i="3" l="1"/>
  <c r="U717" i="3"/>
  <c r="H12" i="2" s="1"/>
  <c r="AI717" i="3" a="1"/>
  <c r="AI717" i="3" s="1"/>
  <c r="AR715" i="3"/>
  <c r="AO715" i="3"/>
  <c r="W717" i="3"/>
  <c r="Y717" i="3" s="1"/>
  <c r="AE717" i="3" s="1"/>
  <c r="AL717" i="3" s="1"/>
  <c r="A718" i="3"/>
  <c r="AA717" i="3"/>
  <c r="AC717" i="3" s="1"/>
  <c r="AL716" i="3" l="1"/>
  <c r="AQ716" i="3"/>
  <c r="AF716" i="3"/>
  <c r="U718" i="3"/>
  <c r="AI718" i="3" a="1"/>
  <c r="AI718" i="3" s="1"/>
  <c r="AF717" i="3"/>
  <c r="AN717" i="3" s="1"/>
  <c r="AQ717" i="3"/>
  <c r="A719" i="3"/>
  <c r="AA718" i="3"/>
  <c r="AC718" i="3" s="1"/>
  <c r="AJ718" i="3" s="1"/>
  <c r="W718" i="3"/>
  <c r="Y718" i="3" s="1"/>
  <c r="AE718" i="3" s="1"/>
  <c r="AL718" i="3" s="1"/>
  <c r="AJ717" i="3"/>
  <c r="AN716" i="3" l="1"/>
  <c r="AO716" i="3" s="1"/>
  <c r="AR716" i="3"/>
  <c r="U719" i="3"/>
  <c r="AI719" i="3" a="1"/>
  <c r="AI719" i="3" s="1"/>
  <c r="AA719" i="3"/>
  <c r="AC719" i="3" s="1"/>
  <c r="AJ719" i="3" s="1"/>
  <c r="W719" i="3"/>
  <c r="Y719" i="3" s="1"/>
  <c r="AE719" i="3" s="1"/>
  <c r="AL719" i="3" s="1"/>
  <c r="A720" i="3"/>
  <c r="AF718" i="3"/>
  <c r="AN718" i="3" s="1"/>
  <c r="AQ718" i="3"/>
  <c r="U720" i="3" l="1"/>
  <c r="AI720" i="3" a="1"/>
  <c r="AI720" i="3" s="1"/>
  <c r="AO717" i="3"/>
  <c r="AR717" i="3"/>
  <c r="AR718" i="3"/>
  <c r="AO718" i="3"/>
  <c r="AQ719" i="3"/>
  <c r="AF719" i="3"/>
  <c r="AN719" i="3" s="1"/>
  <c r="AA720" i="3"/>
  <c r="AC720" i="3" s="1"/>
  <c r="AJ720" i="3" s="1"/>
  <c r="A721" i="3"/>
  <c r="W720" i="3"/>
  <c r="Y720" i="3" s="1"/>
  <c r="AE720" i="3" l="1"/>
  <c r="AF720" i="3" s="1"/>
  <c r="AN720" i="3" s="1"/>
  <c r="AR719" i="3"/>
  <c r="AO719" i="3"/>
  <c r="A722" i="3"/>
  <c r="AA721" i="3"/>
  <c r="W721" i="3"/>
  <c r="Y721" i="3" s="1"/>
  <c r="AE721" i="3" s="1"/>
  <c r="AL721" i="3" s="1"/>
  <c r="AL720" i="3" l="1"/>
  <c r="AC721" i="3"/>
  <c r="AI721" i="3" a="1"/>
  <c r="AI721" i="3" s="1"/>
  <c r="U722" i="3"/>
  <c r="AI722" i="3" a="1"/>
  <c r="AI722" i="3" s="1"/>
  <c r="AR720" i="3"/>
  <c r="A723" i="3"/>
  <c r="AA722" i="3"/>
  <c r="AC722" i="3" s="1"/>
  <c r="AJ722" i="3" s="1"/>
  <c r="W722" i="3"/>
  <c r="Y722" i="3" s="1"/>
  <c r="AE722" i="3" s="1"/>
  <c r="AL722" i="3" s="1"/>
  <c r="AQ721" i="3"/>
  <c r="AO720" i="3" l="1"/>
  <c r="AQ720" i="3"/>
  <c r="AJ721" i="3"/>
  <c r="AF721" i="3"/>
  <c r="AN721" i="3" s="1"/>
  <c r="U723" i="3"/>
  <c r="AI723" i="3" a="1"/>
  <c r="AI723" i="3" s="1"/>
  <c r="AR721" i="3"/>
  <c r="AO721" i="3"/>
  <c r="A724" i="3"/>
  <c r="W723" i="3"/>
  <c r="Y723" i="3" s="1"/>
  <c r="AE723" i="3" s="1"/>
  <c r="AL723" i="3" s="1"/>
  <c r="AA723" i="3"/>
  <c r="AC723" i="3" s="1"/>
  <c r="AJ723" i="3" s="1"/>
  <c r="AF722" i="3"/>
  <c r="AN722" i="3" s="1"/>
  <c r="AQ722" i="3"/>
  <c r="U724" i="3" l="1"/>
  <c r="AI724" i="3" a="1"/>
  <c r="AI724" i="3" s="1"/>
  <c r="AR722" i="3"/>
  <c r="AO722" i="3"/>
  <c r="W724" i="3"/>
  <c r="Y724" i="3" s="1"/>
  <c r="AE724" i="3" s="1"/>
  <c r="AL724" i="3" s="1"/>
  <c r="A725" i="3"/>
  <c r="AA724" i="3"/>
  <c r="AC724" i="3" s="1"/>
  <c r="AJ724" i="3" s="1"/>
  <c r="AF723" i="3"/>
  <c r="AN723" i="3" s="1"/>
  <c r="AQ723" i="3"/>
  <c r="U725" i="3" l="1"/>
  <c r="AI725" i="3" a="1"/>
  <c r="AI725" i="3" s="1"/>
  <c r="AR723" i="3"/>
  <c r="AO723" i="3"/>
  <c r="AF724" i="3"/>
  <c r="AN724" i="3" s="1"/>
  <c r="AQ724" i="3"/>
  <c r="A726" i="3"/>
  <c r="AA725" i="3"/>
  <c r="AC725" i="3" s="1"/>
  <c r="AJ725" i="3" s="1"/>
  <c r="W725" i="3"/>
  <c r="Y725" i="3" s="1"/>
  <c r="AE725" i="3" s="1"/>
  <c r="AL725" i="3" s="1"/>
  <c r="AR724" i="3" l="1"/>
  <c r="AO724" i="3"/>
  <c r="AA726" i="3"/>
  <c r="A727" i="3"/>
  <c r="W726" i="3"/>
  <c r="Y726" i="3" s="1"/>
  <c r="AE726" i="3" s="1"/>
  <c r="AL726" i="3" s="1"/>
  <c r="AF725" i="3"/>
  <c r="AN725" i="3" s="1"/>
  <c r="AQ725" i="3"/>
  <c r="AC726" i="3" l="1"/>
  <c r="AF726" i="3" s="1"/>
  <c r="AN726" i="3" s="1"/>
  <c r="AR725" i="3"/>
  <c r="AO725" i="3"/>
  <c r="A728" i="3"/>
  <c r="AA727" i="3"/>
  <c r="W727" i="3"/>
  <c r="Y727" i="3" s="1"/>
  <c r="AE727" i="3" s="1"/>
  <c r="AL727" i="3" s="1"/>
  <c r="AQ726" i="3"/>
  <c r="AC727" i="3" l="1"/>
  <c r="AF727" i="3" s="1"/>
  <c r="AN727" i="3" s="1"/>
  <c r="AR726" i="3"/>
  <c r="A729" i="3"/>
  <c r="AA728" i="3"/>
  <c r="W728" i="3"/>
  <c r="Y728" i="3" s="1"/>
  <c r="AE728" i="3" s="1"/>
  <c r="AL728" i="3" s="1"/>
  <c r="AQ727" i="3"/>
  <c r="AC728" i="3" l="1"/>
  <c r="AJ728" i="3" s="1"/>
  <c r="AI728" i="3" a="1"/>
  <c r="AI728" i="3" s="1"/>
  <c r="U729" i="3"/>
  <c r="AI729" i="3" a="1"/>
  <c r="AI729" i="3" s="1"/>
  <c r="AR727" i="3"/>
  <c r="A730" i="3"/>
  <c r="AA729" i="3"/>
  <c r="AC729" i="3" s="1"/>
  <c r="AJ729" i="3" s="1"/>
  <c r="W729" i="3"/>
  <c r="Y729" i="3" s="1"/>
  <c r="AE729" i="3" s="1"/>
  <c r="AL729" i="3" s="1"/>
  <c r="AQ728" i="3"/>
  <c r="AF728" i="3"/>
  <c r="AN728" i="3" s="1"/>
  <c r="U730" i="3" l="1"/>
  <c r="AI730" i="3" a="1"/>
  <c r="AI730" i="3" s="1"/>
  <c r="AR728" i="3"/>
  <c r="AO728" i="3"/>
  <c r="A731" i="3"/>
  <c r="W730" i="3"/>
  <c r="Y730" i="3" s="1"/>
  <c r="AE730" i="3" s="1"/>
  <c r="AL730" i="3" s="1"/>
  <c r="AA730" i="3"/>
  <c r="AC730" i="3" s="1"/>
  <c r="AJ730" i="3" s="1"/>
  <c r="AF729" i="3"/>
  <c r="AN729" i="3" s="1"/>
  <c r="AQ729" i="3"/>
  <c r="U731" i="3" l="1"/>
  <c r="AI731" i="3" a="1"/>
  <c r="AI731" i="3" s="1"/>
  <c r="AR729" i="3"/>
  <c r="AO729" i="3"/>
  <c r="A732" i="3"/>
  <c r="AA731" i="3"/>
  <c r="AC731" i="3" s="1"/>
  <c r="AJ731" i="3" s="1"/>
  <c r="W731" i="3"/>
  <c r="Y731" i="3" s="1"/>
  <c r="AE731" i="3" s="1"/>
  <c r="AL731" i="3" s="1"/>
  <c r="AF730" i="3"/>
  <c r="AN730" i="3" s="1"/>
  <c r="AQ730" i="3"/>
  <c r="U732" i="3" l="1"/>
  <c r="AI732" i="3" a="1"/>
  <c r="AI732" i="3" s="1"/>
  <c r="AR730" i="3"/>
  <c r="AO730" i="3"/>
  <c r="A733" i="3"/>
  <c r="AA732" i="3"/>
  <c r="AC732" i="3" s="1"/>
  <c r="AJ732" i="3" s="1"/>
  <c r="W732" i="3"/>
  <c r="Y732" i="3" s="1"/>
  <c r="AE732" i="3" s="1"/>
  <c r="AL732" i="3" s="1"/>
  <c r="AF731" i="3"/>
  <c r="AN731" i="3" s="1"/>
  <c r="AQ731" i="3"/>
  <c r="U733" i="3" l="1"/>
  <c r="AI733" i="3" a="1"/>
  <c r="AI733" i="3" s="1"/>
  <c r="AR731" i="3"/>
  <c r="AO731" i="3"/>
  <c r="A734" i="3"/>
  <c r="W733" i="3"/>
  <c r="Y733" i="3" s="1"/>
  <c r="AE733" i="3" s="1"/>
  <c r="AL733" i="3" s="1"/>
  <c r="AA733" i="3"/>
  <c r="AC733" i="3" s="1"/>
  <c r="AJ733" i="3" s="1"/>
  <c r="AF732" i="3"/>
  <c r="AN732" i="3" s="1"/>
  <c r="AQ732" i="3"/>
  <c r="AR732" i="3" l="1"/>
  <c r="AO732" i="3"/>
  <c r="A735" i="3"/>
  <c r="AA734" i="3"/>
  <c r="W734" i="3"/>
  <c r="Y734" i="3" s="1"/>
  <c r="AE734" i="3" s="1"/>
  <c r="AL734" i="3" s="1"/>
  <c r="AF733" i="3"/>
  <c r="AN733" i="3" s="1"/>
  <c r="AQ733" i="3"/>
  <c r="AC734" i="3" l="1"/>
  <c r="AF734" i="3" s="1"/>
  <c r="AN734" i="3" s="1"/>
  <c r="U735" i="3"/>
  <c r="AI735" i="3" a="1"/>
  <c r="AI735" i="3" s="1"/>
  <c r="AR733" i="3"/>
  <c r="AO733" i="3"/>
  <c r="A736" i="3"/>
  <c r="AA735" i="3"/>
  <c r="AC735" i="3" s="1"/>
  <c r="AJ735" i="3" s="1"/>
  <c r="W735" i="3"/>
  <c r="Y735" i="3" s="1"/>
  <c r="AE735" i="3" s="1"/>
  <c r="AL735" i="3" s="1"/>
  <c r="AQ734" i="3"/>
  <c r="AR734" i="3" l="1"/>
  <c r="A737" i="3"/>
  <c r="AA736" i="3"/>
  <c r="W736" i="3"/>
  <c r="Y736" i="3" s="1"/>
  <c r="AE736" i="3" s="1"/>
  <c r="AL736" i="3" s="1"/>
  <c r="AF735" i="3"/>
  <c r="AN735" i="3" s="1"/>
  <c r="AQ735" i="3"/>
  <c r="AC736" i="3" l="1"/>
  <c r="AI736" i="3" a="1"/>
  <c r="AI736" i="3" s="1"/>
  <c r="AR735" i="3"/>
  <c r="AO735" i="3"/>
  <c r="A738" i="3"/>
  <c r="W737" i="3"/>
  <c r="Y737" i="3" s="1"/>
  <c r="AE737" i="3" s="1"/>
  <c r="AL737" i="3" s="1"/>
  <c r="AA737" i="3"/>
  <c r="AQ736" i="3"/>
  <c r="AJ736" i="3" l="1"/>
  <c r="AF736" i="3"/>
  <c r="AN736" i="3" s="1"/>
  <c r="AC737" i="3"/>
  <c r="AF737" i="3" s="1"/>
  <c r="AN737" i="3" s="1"/>
  <c r="AI737" i="3" a="1"/>
  <c r="AI737" i="3" s="1"/>
  <c r="AR736" i="3"/>
  <c r="AO736" i="3"/>
  <c r="A739" i="3"/>
  <c r="AA738" i="3"/>
  <c r="W738" i="3"/>
  <c r="Y738" i="3" s="1"/>
  <c r="AE738" i="3" s="1"/>
  <c r="AL738" i="3" s="1"/>
  <c r="AQ737" i="3"/>
  <c r="AC738" i="3" l="1"/>
  <c r="AI738" i="3" a="1"/>
  <c r="AI738" i="3" s="1"/>
  <c r="AR737" i="3"/>
  <c r="A740" i="3"/>
  <c r="AA739" i="3"/>
  <c r="W739" i="3"/>
  <c r="Y739" i="3" s="1"/>
  <c r="AE739" i="3" s="1"/>
  <c r="AL739" i="3" s="1"/>
  <c r="AQ738" i="3"/>
  <c r="AJ738" i="3" l="1"/>
  <c r="AF738" i="3"/>
  <c r="AC739" i="3"/>
  <c r="AF739" i="3" s="1"/>
  <c r="AN739" i="3" s="1"/>
  <c r="AA740" i="3"/>
  <c r="A741" i="3"/>
  <c r="W740" i="3"/>
  <c r="Y740" i="3" s="1"/>
  <c r="AE740" i="3" s="1"/>
  <c r="AL740" i="3" s="1"/>
  <c r="K12" i="2" s="1"/>
  <c r="AQ739" i="3"/>
  <c r="AN738" i="3" l="1"/>
  <c r="AC740" i="3"/>
  <c r="AF740" i="3" s="1"/>
  <c r="AN740" i="3" s="1"/>
  <c r="AI740" i="3" a="1"/>
  <c r="AI740" i="3" s="1"/>
  <c r="AR739" i="3"/>
  <c r="I12" i="2"/>
  <c r="AJ740" i="3"/>
  <c r="W741" i="3"/>
  <c r="Y741" i="3" s="1"/>
  <c r="AE741" i="3" s="1"/>
  <c r="AL741" i="3" s="1"/>
  <c r="A742" i="3"/>
  <c r="AA741" i="3"/>
  <c r="G12" i="2"/>
  <c r="AQ740" i="3"/>
  <c r="AO738" i="3" l="1"/>
  <c r="AR738" i="3"/>
  <c r="AC741" i="3"/>
  <c r="AI741" i="3" a="1"/>
  <c r="AI741" i="3" s="1"/>
  <c r="J12" i="2"/>
  <c r="M12" i="2"/>
  <c r="AQ741" i="3"/>
  <c r="AA742" i="3"/>
  <c r="W742" i="3"/>
  <c r="Y742" i="3" s="1"/>
  <c r="AE742" i="3" s="1"/>
  <c r="AL742" i="3" s="1"/>
  <c r="A743" i="3"/>
  <c r="P12" i="2"/>
  <c r="AJ741" i="3" l="1"/>
  <c r="AF741" i="3"/>
  <c r="AC742" i="3"/>
  <c r="AI742" i="3" a="1"/>
  <c r="AI742" i="3" s="1"/>
  <c r="U743" i="3"/>
  <c r="AI743" i="3" a="1"/>
  <c r="AI743" i="3" s="1"/>
  <c r="AO740" i="3"/>
  <c r="L12" i="2" s="1"/>
  <c r="N12" i="2" s="1"/>
  <c r="O12" i="2" s="1"/>
  <c r="AR740" i="3"/>
  <c r="AQ742" i="3"/>
  <c r="W743" i="3"/>
  <c r="Y743" i="3" s="1"/>
  <c r="A744" i="3"/>
  <c r="AA743" i="3"/>
  <c r="AC743" i="3" s="1"/>
  <c r="AJ743" i="3" s="1"/>
  <c r="AN741" i="3" l="1"/>
  <c r="AO741" i="3" s="1"/>
  <c r="AR741" i="3"/>
  <c r="AJ742" i="3"/>
  <c r="AF742" i="3"/>
  <c r="AE743" i="3"/>
  <c r="U744" i="3"/>
  <c r="AI744" i="3" a="1"/>
  <c r="AI744" i="3" s="1"/>
  <c r="A745" i="3"/>
  <c r="AA744" i="3"/>
  <c r="AC744" i="3" s="1"/>
  <c r="AJ744" i="3" s="1"/>
  <c r="W744" i="3"/>
  <c r="Y744" i="3" s="1"/>
  <c r="AE744" i="3" s="1"/>
  <c r="AL744" i="3" s="1"/>
  <c r="AN742" i="3" l="1"/>
  <c r="AO742" i="3" s="1"/>
  <c r="AR742" i="3"/>
  <c r="AL743" i="3"/>
  <c r="AF743" i="3"/>
  <c r="AN743" i="3" s="1"/>
  <c r="AQ743" i="3"/>
  <c r="U745" i="3"/>
  <c r="AI745" i="3" a="1"/>
  <c r="AI745" i="3" s="1"/>
  <c r="W745" i="3"/>
  <c r="Y745" i="3" s="1"/>
  <c r="AE745" i="3" s="1"/>
  <c r="AL745" i="3" s="1"/>
  <c r="A746" i="3"/>
  <c r="AA745" i="3"/>
  <c r="AC745" i="3" s="1"/>
  <c r="AJ745" i="3" s="1"/>
  <c r="AF744" i="3"/>
  <c r="AN744" i="3" s="1"/>
  <c r="AQ744" i="3"/>
  <c r="AR743" i="3" l="1"/>
  <c r="AO743" i="3"/>
  <c r="U746" i="3"/>
  <c r="AI746" i="3" a="1"/>
  <c r="AI746" i="3" s="1"/>
  <c r="AR744" i="3"/>
  <c r="AO744" i="3"/>
  <c r="AF745" i="3"/>
  <c r="AN745" i="3" s="1"/>
  <c r="AQ745" i="3"/>
  <c r="AA746" i="3"/>
  <c r="AC746" i="3" s="1"/>
  <c r="AJ746" i="3" s="1"/>
  <c r="W746" i="3"/>
  <c r="Y746" i="3" s="1"/>
  <c r="A747" i="3"/>
  <c r="AE746" i="3" l="1"/>
  <c r="AR745" i="3"/>
  <c r="AO745" i="3"/>
  <c r="A748" i="3"/>
  <c r="AA747" i="3"/>
  <c r="W747" i="3"/>
  <c r="Y747" i="3" s="1"/>
  <c r="AE747" i="3" s="1"/>
  <c r="AL747" i="3" s="1"/>
  <c r="AL746" i="3" l="1"/>
  <c r="AQ746" i="3"/>
  <c r="AF746" i="3"/>
  <c r="AN746" i="3" s="1"/>
  <c r="AC747" i="3"/>
  <c r="AI747" i="3" a="1"/>
  <c r="AI747" i="3" s="1"/>
  <c r="U748" i="3"/>
  <c r="AI748" i="3" a="1"/>
  <c r="AI748" i="3" s="1"/>
  <c r="AR746" i="3"/>
  <c r="AO746" i="3"/>
  <c r="W748" i="3"/>
  <c r="Y748" i="3" s="1"/>
  <c r="AE748" i="3" s="1"/>
  <c r="AL748" i="3" s="1"/>
  <c r="A749" i="3"/>
  <c r="AA748" i="3"/>
  <c r="AC748" i="3" s="1"/>
  <c r="AJ748" i="3" s="1"/>
  <c r="AQ747" i="3"/>
  <c r="AJ747" i="3" l="1"/>
  <c r="AF747" i="3"/>
  <c r="AN747" i="3" s="1"/>
  <c r="U749" i="3"/>
  <c r="AI749" i="3" a="1"/>
  <c r="AI749" i="3" s="1"/>
  <c r="AF748" i="3"/>
  <c r="AN748" i="3" s="1"/>
  <c r="AQ748" i="3"/>
  <c r="W749" i="3"/>
  <c r="Y749" i="3" s="1"/>
  <c r="AE749" i="3" s="1"/>
  <c r="AL749" i="3" s="1"/>
  <c r="A750" i="3"/>
  <c r="AA749" i="3"/>
  <c r="AC749" i="3" s="1"/>
  <c r="AJ749" i="3" s="1"/>
  <c r="AO747" i="3" l="1"/>
  <c r="AR747" i="3"/>
  <c r="U750" i="3"/>
  <c r="AI750" i="3" a="1"/>
  <c r="AI750" i="3" s="1"/>
  <c r="AR748" i="3"/>
  <c r="AO748" i="3"/>
  <c r="AF749" i="3"/>
  <c r="AN749" i="3" s="1"/>
  <c r="AQ749" i="3"/>
  <c r="A751" i="3"/>
  <c r="W750" i="3"/>
  <c r="Y750" i="3" s="1"/>
  <c r="AE750" i="3" s="1"/>
  <c r="AL750" i="3" s="1"/>
  <c r="AA750" i="3"/>
  <c r="AC750" i="3" s="1"/>
  <c r="AJ750" i="3" s="1"/>
  <c r="U751" i="3" l="1"/>
  <c r="AI751" i="3" a="1"/>
  <c r="AI751" i="3" s="1"/>
  <c r="AR749" i="3"/>
  <c r="AO749" i="3"/>
  <c r="A752" i="3"/>
  <c r="AA751" i="3"/>
  <c r="AC751" i="3" s="1"/>
  <c r="AJ751" i="3" s="1"/>
  <c r="W751" i="3"/>
  <c r="Y751" i="3" s="1"/>
  <c r="AE751" i="3" s="1"/>
  <c r="AL751" i="3" s="1"/>
  <c r="AF750" i="3"/>
  <c r="AN750" i="3" s="1"/>
  <c r="AQ750" i="3"/>
  <c r="U752" i="3" l="1"/>
  <c r="AI752" i="3" a="1"/>
  <c r="AI752" i="3" s="1"/>
  <c r="AR750" i="3"/>
  <c r="AO750" i="3"/>
  <c r="A753" i="3"/>
  <c r="W752" i="3"/>
  <c r="Y752" i="3" s="1"/>
  <c r="AE752" i="3" s="1"/>
  <c r="AL752" i="3" s="1"/>
  <c r="AA752" i="3"/>
  <c r="AC752" i="3" s="1"/>
  <c r="AJ752" i="3" s="1"/>
  <c r="AQ751" i="3"/>
  <c r="AF751" i="3"/>
  <c r="AN751" i="3" s="1"/>
  <c r="AR751" i="3" l="1"/>
  <c r="AO751" i="3"/>
  <c r="A754" i="3"/>
  <c r="AA753" i="3"/>
  <c r="W753" i="3"/>
  <c r="Y753" i="3" s="1"/>
  <c r="AE753" i="3" s="1"/>
  <c r="AL753" i="3" s="1"/>
  <c r="AF752" i="3"/>
  <c r="AN752" i="3" s="1"/>
  <c r="AQ752" i="3"/>
  <c r="AC753" i="3" l="1"/>
  <c r="AI753" i="3" a="1"/>
  <c r="AI753" i="3" s="1"/>
  <c r="U754" i="3"/>
  <c r="AI754" i="3" a="1"/>
  <c r="AI754" i="3" s="1"/>
  <c r="AR752" i="3"/>
  <c r="AO752" i="3"/>
  <c r="AA754" i="3"/>
  <c r="AC754" i="3" s="1"/>
  <c r="AJ754" i="3" s="1"/>
  <c r="A755" i="3"/>
  <c r="W754" i="3"/>
  <c r="Y754" i="3" s="1"/>
  <c r="AE754" i="3" s="1"/>
  <c r="AL754" i="3" s="1"/>
  <c r="AQ753" i="3"/>
  <c r="AJ753" i="3" l="1"/>
  <c r="AF753" i="3"/>
  <c r="U755" i="3"/>
  <c r="AI755" i="3" a="1"/>
  <c r="AI755" i="3" s="1"/>
  <c r="AA755" i="3"/>
  <c r="AC755" i="3" s="1"/>
  <c r="AJ755" i="3" s="1"/>
  <c r="W755" i="3"/>
  <c r="Y755" i="3" s="1"/>
  <c r="AE755" i="3" s="1"/>
  <c r="AL755" i="3" s="1"/>
  <c r="A756" i="3"/>
  <c r="AF754" i="3"/>
  <c r="AN754" i="3" s="1"/>
  <c r="AQ754" i="3"/>
  <c r="AN753" i="3" l="1"/>
  <c r="AO753" i="3" s="1"/>
  <c r="AR753" i="3"/>
  <c r="U756" i="3"/>
  <c r="AI756" i="3" a="1"/>
  <c r="AI756" i="3" s="1"/>
  <c r="AR754" i="3"/>
  <c r="AO754" i="3"/>
  <c r="AF755" i="3"/>
  <c r="AN755" i="3" s="1"/>
  <c r="AQ755" i="3"/>
  <c r="W756" i="3"/>
  <c r="Y756" i="3" s="1"/>
  <c r="AE756" i="3" s="1"/>
  <c r="AL756" i="3" s="1"/>
  <c r="A757" i="3"/>
  <c r="AA756" i="3"/>
  <c r="AC756" i="3" s="1"/>
  <c r="AJ756" i="3" s="1"/>
  <c r="U757" i="3" l="1"/>
  <c r="AI757" i="3" a="1"/>
  <c r="AI757" i="3" s="1"/>
  <c r="AR755" i="3"/>
  <c r="AO755" i="3"/>
  <c r="AF756" i="3"/>
  <c r="AN756" i="3" s="1"/>
  <c r="AQ756" i="3"/>
  <c r="A758" i="3"/>
  <c r="AA757" i="3"/>
  <c r="AC757" i="3" s="1"/>
  <c r="AJ757" i="3" s="1"/>
  <c r="W757" i="3"/>
  <c r="Y757" i="3" s="1"/>
  <c r="AE757" i="3" s="1"/>
  <c r="AL757" i="3" s="1"/>
  <c r="AR756" i="3" l="1"/>
  <c r="AO756" i="3"/>
  <c r="A759" i="3"/>
  <c r="AA758" i="3"/>
  <c r="W758" i="3"/>
  <c r="Y758" i="3" s="1"/>
  <c r="AE758" i="3" s="1"/>
  <c r="AL758" i="3" s="1"/>
  <c r="AF757" i="3"/>
  <c r="AN757" i="3" s="1"/>
  <c r="AQ757" i="3"/>
  <c r="AC758" i="3" l="1"/>
  <c r="AI758" i="3" a="1"/>
  <c r="AI758" i="3" s="1"/>
  <c r="U759" i="3"/>
  <c r="AI759" i="3" a="1"/>
  <c r="AI759" i="3" s="1"/>
  <c r="AR757" i="3"/>
  <c r="AO757" i="3"/>
  <c r="W759" i="3"/>
  <c r="Y759" i="3" s="1"/>
  <c r="AA759" i="3"/>
  <c r="AC759" i="3" s="1"/>
  <c r="AJ759" i="3" s="1"/>
  <c r="A760" i="3"/>
  <c r="AQ758" i="3"/>
  <c r="AJ758" i="3" l="1"/>
  <c r="AF758" i="3"/>
  <c r="AN758" i="3" s="1"/>
  <c r="AE759" i="3"/>
  <c r="U760" i="3"/>
  <c r="AI760" i="3" a="1"/>
  <c r="AI760" i="3" s="1"/>
  <c r="A761" i="3"/>
  <c r="W760" i="3"/>
  <c r="Y760" i="3" s="1"/>
  <c r="AA760" i="3"/>
  <c r="AC760" i="3" s="1"/>
  <c r="AJ760" i="3" s="1"/>
  <c r="AR758" i="3" l="1"/>
  <c r="AO758" i="3"/>
  <c r="AE760" i="3"/>
  <c r="AL759" i="3"/>
  <c r="AF759" i="3"/>
  <c r="AQ759" i="3"/>
  <c r="U761" i="3"/>
  <c r="AI761" i="3" a="1"/>
  <c r="AI761" i="3" s="1"/>
  <c r="A762" i="3"/>
  <c r="AA761" i="3"/>
  <c r="AC761" i="3" s="1"/>
  <c r="AJ761" i="3" s="1"/>
  <c r="W761" i="3"/>
  <c r="Y761" i="3" s="1"/>
  <c r="AE761" i="3" s="1"/>
  <c r="AL761" i="3" s="1"/>
  <c r="AL760" i="3" l="1"/>
  <c r="AQ760" i="3"/>
  <c r="AF760" i="3"/>
  <c r="AN760" i="3" s="1"/>
  <c r="AN759" i="3"/>
  <c r="U762" i="3"/>
  <c r="AI762" i="3" a="1"/>
  <c r="AI762" i="3" s="1"/>
  <c r="AR760" i="3"/>
  <c r="AO760" i="3"/>
  <c r="A763" i="3"/>
  <c r="AA762" i="3"/>
  <c r="AC762" i="3" s="1"/>
  <c r="AJ762" i="3" s="1"/>
  <c r="W762" i="3"/>
  <c r="Y762" i="3" s="1"/>
  <c r="AE762" i="3" s="1"/>
  <c r="AL762" i="3" s="1"/>
  <c r="AQ761" i="3"/>
  <c r="AF761" i="3"/>
  <c r="AN761" i="3" s="1"/>
  <c r="AO759" i="3" l="1"/>
  <c r="AR759" i="3"/>
  <c r="AR761" i="3"/>
  <c r="AO761" i="3"/>
  <c r="A764" i="3"/>
  <c r="AA763" i="3"/>
  <c r="W763" i="3"/>
  <c r="Y763" i="3" s="1"/>
  <c r="AE763" i="3" s="1"/>
  <c r="AL763" i="3" s="1"/>
  <c r="AF762" i="3"/>
  <c r="AN762" i="3" s="1"/>
  <c r="AQ762" i="3"/>
  <c r="AC763" i="3" l="1"/>
  <c r="AI763" i="3" a="1"/>
  <c r="AI763" i="3" s="1"/>
  <c r="U764" i="3"/>
  <c r="AI764" i="3" a="1"/>
  <c r="AI764" i="3" s="1"/>
  <c r="AR762" i="3"/>
  <c r="AO762" i="3"/>
  <c r="A765" i="3"/>
  <c r="W764" i="3"/>
  <c r="Y764" i="3" s="1"/>
  <c r="AA764" i="3"/>
  <c r="AC764" i="3" s="1"/>
  <c r="AJ764" i="3" s="1"/>
  <c r="AQ763" i="3"/>
  <c r="AE764" i="3" l="1"/>
  <c r="AL764" i="3" s="1"/>
  <c r="AJ763" i="3"/>
  <c r="AF763" i="3"/>
  <c r="AN763" i="3" s="1"/>
  <c r="U765" i="3"/>
  <c r="AI765" i="3" a="1"/>
  <c r="AI765" i="3" s="1"/>
  <c r="AR763" i="3"/>
  <c r="AO763" i="3"/>
  <c r="A766" i="3"/>
  <c r="AA765" i="3"/>
  <c r="AC765" i="3" s="1"/>
  <c r="AJ765" i="3" s="1"/>
  <c r="W765" i="3"/>
  <c r="Y765" i="3" s="1"/>
  <c r="AE765" i="3" s="1"/>
  <c r="AL765" i="3" s="1"/>
  <c r="AF764" i="3"/>
  <c r="AN764" i="3" s="1"/>
  <c r="AQ764" i="3"/>
  <c r="AR764" i="3" l="1"/>
  <c r="AO764" i="3"/>
  <c r="A767" i="3"/>
  <c r="W766" i="3"/>
  <c r="Y766" i="3" s="1"/>
  <c r="AE766" i="3" s="1"/>
  <c r="AL766" i="3" s="1"/>
  <c r="AA766" i="3"/>
  <c r="AF765" i="3"/>
  <c r="AN765" i="3" s="1"/>
  <c r="AQ765" i="3"/>
  <c r="AC766" i="3" l="1"/>
  <c r="AJ766" i="3" s="1"/>
  <c r="AI766" i="3" a="1"/>
  <c r="AI766" i="3" s="1"/>
  <c r="AR765" i="3"/>
  <c r="AO765" i="3"/>
  <c r="A768" i="3"/>
  <c r="AA767" i="3"/>
  <c r="W767" i="3"/>
  <c r="Y767" i="3" s="1"/>
  <c r="AE767" i="3" s="1"/>
  <c r="AL767" i="3" s="1"/>
  <c r="AF766" i="3"/>
  <c r="AN766" i="3" s="1"/>
  <c r="AQ766" i="3"/>
  <c r="AC767" i="3" l="1"/>
  <c r="AF767" i="3" s="1"/>
  <c r="AN767" i="3" s="1"/>
  <c r="U768" i="3"/>
  <c r="AI768" i="3" a="1"/>
  <c r="AI768" i="3" s="1"/>
  <c r="AR766" i="3"/>
  <c r="AO766" i="3"/>
  <c r="A769" i="3"/>
  <c r="AA768" i="3"/>
  <c r="AC768" i="3" s="1"/>
  <c r="AJ768" i="3" s="1"/>
  <c r="W768" i="3"/>
  <c r="Y768" i="3" s="1"/>
  <c r="AQ767" i="3"/>
  <c r="AE768" i="3" l="1"/>
  <c r="U769" i="3"/>
  <c r="AI769" i="3" a="1"/>
  <c r="AI769" i="3" s="1"/>
  <c r="AR767" i="3"/>
  <c r="AA769" i="3"/>
  <c r="AC769" i="3" s="1"/>
  <c r="AJ769" i="3" s="1"/>
  <c r="W769" i="3"/>
  <c r="Y769" i="3" s="1"/>
  <c r="A770" i="3"/>
  <c r="AE769" i="3" l="1"/>
  <c r="AL768" i="3"/>
  <c r="AF768" i="3"/>
  <c r="AQ768" i="3"/>
  <c r="U770" i="3"/>
  <c r="AI770" i="3" a="1"/>
  <c r="AI770" i="3" s="1"/>
  <c r="A771" i="3"/>
  <c r="AA770" i="3"/>
  <c r="AC770" i="3" s="1"/>
  <c r="AJ770" i="3" s="1"/>
  <c r="W770" i="3"/>
  <c r="Y770" i="3" s="1"/>
  <c r="AN768" i="3" l="1"/>
  <c r="AO768" i="3" s="1"/>
  <c r="AR768" i="3"/>
  <c r="AE770" i="3"/>
  <c r="AL769" i="3"/>
  <c r="AQ769" i="3" s="1"/>
  <c r="AF769" i="3"/>
  <c r="U771" i="3"/>
  <c r="AI771" i="3" a="1"/>
  <c r="AI771" i="3" s="1"/>
  <c r="AA771" i="3"/>
  <c r="AC771" i="3" s="1"/>
  <c r="AJ771" i="3" s="1"/>
  <c r="A772" i="3"/>
  <c r="W771" i="3"/>
  <c r="Y771" i="3" s="1"/>
  <c r="AE771" i="3" s="1"/>
  <c r="AL771" i="3" s="1"/>
  <c r="AN769" i="3" l="1"/>
  <c r="AO769" i="3" s="1"/>
  <c r="AR769" i="3"/>
  <c r="AL770" i="3"/>
  <c r="AQ770" i="3"/>
  <c r="AF770" i="3"/>
  <c r="AN770" i="3" s="1"/>
  <c r="U772" i="3"/>
  <c r="AI772" i="3" a="1"/>
  <c r="AI772" i="3" s="1"/>
  <c r="AA772" i="3"/>
  <c r="AC772" i="3" s="1"/>
  <c r="AJ772" i="3" s="1"/>
  <c r="A773" i="3"/>
  <c r="W772" i="3"/>
  <c r="Y772" i="3" s="1"/>
  <c r="AE772" i="3" s="1"/>
  <c r="AL772" i="3" s="1"/>
  <c r="AQ771" i="3"/>
  <c r="AF771" i="3"/>
  <c r="AN771" i="3" s="1"/>
  <c r="AR770" i="3" l="1"/>
  <c r="AO770" i="3"/>
  <c r="U773" i="3"/>
  <c r="AI773" i="3" a="1"/>
  <c r="AI773" i="3" s="1"/>
  <c r="AR771" i="3"/>
  <c r="AO771" i="3"/>
  <c r="W773" i="3"/>
  <c r="Y773" i="3" s="1"/>
  <c r="AE773" i="3" s="1"/>
  <c r="AL773" i="3" s="1"/>
  <c r="AA773" i="3"/>
  <c r="AC773" i="3" s="1"/>
  <c r="AJ773" i="3" s="1"/>
  <c r="A774" i="3"/>
  <c r="AQ772" i="3"/>
  <c r="AF772" i="3"/>
  <c r="AN772" i="3" s="1"/>
  <c r="U774" i="3" l="1"/>
  <c r="AI774" i="3" a="1"/>
  <c r="AI774" i="3" s="1"/>
  <c r="AR772" i="3"/>
  <c r="AO772" i="3"/>
  <c r="AF773" i="3"/>
  <c r="AN773" i="3" s="1"/>
  <c r="AQ773" i="3"/>
  <c r="W774" i="3"/>
  <c r="Y774" i="3" s="1"/>
  <c r="AE774" i="3" s="1"/>
  <c r="AL774" i="3" s="1"/>
  <c r="A775" i="3"/>
  <c r="AA774" i="3"/>
  <c r="AC774" i="3" s="1"/>
  <c r="AJ774" i="3" s="1"/>
  <c r="U775" i="3" l="1"/>
  <c r="AI775" i="3" a="1"/>
  <c r="AI775" i="3" s="1"/>
  <c r="AR773" i="3"/>
  <c r="AO773" i="3"/>
  <c r="AQ774" i="3"/>
  <c r="AF774" i="3"/>
  <c r="AN774" i="3" s="1"/>
  <c r="AA775" i="3"/>
  <c r="AC775" i="3" s="1"/>
  <c r="AJ775" i="3" s="1"/>
  <c r="W775" i="3"/>
  <c r="Y775" i="3" s="1"/>
  <c r="AE775" i="3" s="1"/>
  <c r="AL775" i="3" s="1"/>
  <c r="A776" i="3"/>
  <c r="U776" i="3" l="1"/>
  <c r="AI776" i="3" a="1"/>
  <c r="AI776" i="3" s="1"/>
  <c r="AR774" i="3"/>
  <c r="AO774" i="3"/>
  <c r="AQ775" i="3"/>
  <c r="AF775" i="3"/>
  <c r="AN775" i="3" s="1"/>
  <c r="AA776" i="3"/>
  <c r="AC776" i="3" s="1"/>
  <c r="AJ776" i="3" s="1"/>
  <c r="A777" i="3"/>
  <c r="W776" i="3"/>
  <c r="Y776" i="3" s="1"/>
  <c r="AE776" i="3" s="1"/>
  <c r="AL776" i="3" s="1"/>
  <c r="U777" i="3" l="1"/>
  <c r="AI777" i="3" a="1"/>
  <c r="AI777" i="3" s="1"/>
  <c r="AR775" i="3"/>
  <c r="AO775" i="3"/>
  <c r="A778" i="3"/>
  <c r="AA777" i="3"/>
  <c r="AC777" i="3" s="1"/>
  <c r="AJ777" i="3" s="1"/>
  <c r="W777" i="3"/>
  <c r="Y777" i="3" s="1"/>
  <c r="AQ776" i="3"/>
  <c r="AF776" i="3"/>
  <c r="AN776" i="3" s="1"/>
  <c r="AE777" i="3" l="1"/>
  <c r="U778" i="3"/>
  <c r="AI778" i="3" a="1"/>
  <c r="AI778" i="3" s="1"/>
  <c r="AR776" i="3"/>
  <c r="AO776" i="3"/>
  <c r="A779" i="3"/>
  <c r="AA778" i="3"/>
  <c r="AC778" i="3" s="1"/>
  <c r="AJ778" i="3" s="1"/>
  <c r="W778" i="3"/>
  <c r="Y778" i="3" s="1"/>
  <c r="AE778" i="3" s="1"/>
  <c r="AL778" i="3" s="1"/>
  <c r="AL777" i="3" l="1"/>
  <c r="AQ777" i="3"/>
  <c r="AF777" i="3"/>
  <c r="AN777" i="3" s="1"/>
  <c r="AR777" i="3" s="1"/>
  <c r="U779" i="3"/>
  <c r="AI779" i="3" a="1"/>
  <c r="AI779" i="3" s="1"/>
  <c r="AO777" i="3"/>
  <c r="AA779" i="3"/>
  <c r="AC779" i="3" s="1"/>
  <c r="AJ779" i="3" s="1"/>
  <c r="W779" i="3"/>
  <c r="Y779" i="3" s="1"/>
  <c r="AE779" i="3" s="1"/>
  <c r="AL779" i="3" s="1"/>
  <c r="A780" i="3"/>
  <c r="AF778" i="3"/>
  <c r="AN778" i="3" s="1"/>
  <c r="AQ778" i="3"/>
  <c r="U780" i="3" l="1"/>
  <c r="AI780" i="3" a="1"/>
  <c r="AI780" i="3" s="1"/>
  <c r="AR778" i="3"/>
  <c r="AO778" i="3"/>
  <c r="AF779" i="3"/>
  <c r="AN779" i="3" s="1"/>
  <c r="AQ779" i="3"/>
  <c r="W780" i="3"/>
  <c r="Y780" i="3" s="1"/>
  <c r="AE780" i="3" s="1"/>
  <c r="AL780" i="3" s="1"/>
  <c r="A781" i="3"/>
  <c r="AA780" i="3"/>
  <c r="AC780" i="3" s="1"/>
  <c r="AJ780" i="3" s="1"/>
  <c r="U781" i="3" l="1"/>
  <c r="AI781" i="3" a="1"/>
  <c r="AI781" i="3" s="1"/>
  <c r="AR779" i="3"/>
  <c r="AO779" i="3"/>
  <c r="AF780" i="3"/>
  <c r="AN780" i="3" s="1"/>
  <c r="AQ780" i="3"/>
  <c r="AA781" i="3"/>
  <c r="AC781" i="3" s="1"/>
  <c r="AJ781" i="3" s="1"/>
  <c r="A782" i="3"/>
  <c r="W781" i="3"/>
  <c r="Y781" i="3" s="1"/>
  <c r="AE781" i="3" s="1"/>
  <c r="AL781" i="3" s="1"/>
  <c r="U782" i="3" l="1"/>
  <c r="AI782" i="3" a="1"/>
  <c r="AI782" i="3" s="1"/>
  <c r="AR780" i="3"/>
  <c r="AO780" i="3"/>
  <c r="A783" i="3"/>
  <c r="AA782" i="3"/>
  <c r="AC782" i="3" s="1"/>
  <c r="AJ782" i="3" s="1"/>
  <c r="W782" i="3"/>
  <c r="Y782" i="3" s="1"/>
  <c r="AE782" i="3" s="1"/>
  <c r="AL782" i="3" s="1"/>
  <c r="AQ781" i="3"/>
  <c r="AF781" i="3"/>
  <c r="AN781" i="3" s="1"/>
  <c r="U783" i="3" l="1"/>
  <c r="AI783" i="3" a="1"/>
  <c r="AI783" i="3" s="1"/>
  <c r="AR781" i="3"/>
  <c r="AO781" i="3"/>
  <c r="AA783" i="3"/>
  <c r="AC783" i="3" s="1"/>
  <c r="AJ783" i="3" s="1"/>
  <c r="W783" i="3"/>
  <c r="Y783" i="3" s="1"/>
  <c r="A784" i="3"/>
  <c r="AF782" i="3"/>
  <c r="AN782" i="3" s="1"/>
  <c r="AQ782" i="3"/>
  <c r="AE783" i="3" l="1"/>
  <c r="AL783" i="3" s="1"/>
  <c r="U784" i="3"/>
  <c r="AR782" i="3"/>
  <c r="AO782" i="3"/>
  <c r="AQ783" i="3"/>
  <c r="AF783" i="3"/>
  <c r="AN783" i="3" s="1"/>
  <c r="W784" i="3"/>
  <c r="Y784" i="3" s="1"/>
  <c r="AE784" i="3" s="1"/>
  <c r="AL784" i="3" s="1"/>
  <c r="A785" i="3"/>
  <c r="AA784" i="3"/>
  <c r="AC784" i="3" s="1"/>
  <c r="U785" i="3" l="1"/>
  <c r="AI785" i="3" a="1"/>
  <c r="AI785" i="3" s="1"/>
  <c r="AR783" i="3"/>
  <c r="AO783" i="3"/>
  <c r="AF784" i="3"/>
  <c r="AN784" i="3" s="1"/>
  <c r="AQ784" i="3"/>
  <c r="A786" i="3"/>
  <c r="W785" i="3"/>
  <c r="Y785" i="3" s="1"/>
  <c r="AA785" i="3"/>
  <c r="AC785" i="3" s="1"/>
  <c r="AJ785" i="3" s="1"/>
  <c r="AE785" i="3" l="1"/>
  <c r="U786" i="3"/>
  <c r="AI786" i="3" a="1"/>
  <c r="AI786" i="3" s="1"/>
  <c r="AR784" i="3"/>
  <c r="W786" i="3"/>
  <c r="Y786" i="3" s="1"/>
  <c r="AE786" i="3" s="1"/>
  <c r="AL786" i="3" s="1"/>
  <c r="A787" i="3"/>
  <c r="AA786" i="3"/>
  <c r="AC786" i="3" s="1"/>
  <c r="AJ786" i="3" s="1"/>
  <c r="AL785" i="3" l="1"/>
  <c r="AQ785" i="3"/>
  <c r="AF785" i="3"/>
  <c r="U787" i="3"/>
  <c r="AI787" i="3" a="1"/>
  <c r="AI787" i="3" s="1"/>
  <c r="AF786" i="3"/>
  <c r="AN786" i="3" s="1"/>
  <c r="AQ786" i="3"/>
  <c r="A788" i="3"/>
  <c r="AA787" i="3"/>
  <c r="AC787" i="3" s="1"/>
  <c r="AJ787" i="3" s="1"/>
  <c r="W787" i="3"/>
  <c r="Y787" i="3" s="1"/>
  <c r="AN785" i="3" l="1"/>
  <c r="AO785" i="3" s="1"/>
  <c r="AR785" i="3"/>
  <c r="AE787" i="3"/>
  <c r="U788" i="3"/>
  <c r="AI788" i="3" a="1"/>
  <c r="AI788" i="3" s="1"/>
  <c r="AR786" i="3"/>
  <c r="AO786" i="3"/>
  <c r="A789" i="3"/>
  <c r="AA788" i="3"/>
  <c r="AC788" i="3" s="1"/>
  <c r="AJ788" i="3" s="1"/>
  <c r="W788" i="3"/>
  <c r="Y788" i="3" s="1"/>
  <c r="AL787" i="3" l="1"/>
  <c r="AQ787" i="3"/>
  <c r="AF787" i="3"/>
  <c r="AN787" i="3" s="1"/>
  <c r="AE788" i="3"/>
  <c r="U789" i="3"/>
  <c r="AI789" i="3" a="1"/>
  <c r="AI789" i="3" s="1"/>
  <c r="AR787" i="3"/>
  <c r="AO787" i="3"/>
  <c r="A790" i="3"/>
  <c r="AA789" i="3"/>
  <c r="AC789" i="3" s="1"/>
  <c r="AJ789" i="3" s="1"/>
  <c r="W789" i="3"/>
  <c r="Y789" i="3" s="1"/>
  <c r="AL788" i="3" l="1"/>
  <c r="AQ788" i="3" s="1"/>
  <c r="AF788" i="3"/>
  <c r="AN788" i="3" s="1"/>
  <c r="AO788" i="3" s="1"/>
  <c r="AE789" i="3"/>
  <c r="U790" i="3"/>
  <c r="AR788" i="3"/>
  <c r="AA790" i="3"/>
  <c r="AC790" i="3" s="1"/>
  <c r="A791" i="3"/>
  <c r="W790" i="3"/>
  <c r="Y790" i="3" s="1"/>
  <c r="AE790" i="3" s="1"/>
  <c r="AL790" i="3" s="1"/>
  <c r="AL789" i="3" l="1"/>
  <c r="AQ789" i="3" s="1"/>
  <c r="AF789" i="3"/>
  <c r="AN789" i="3" s="1"/>
  <c r="U791" i="3"/>
  <c r="AI791" i="3" a="1"/>
  <c r="AI791" i="3" s="1"/>
  <c r="A792" i="3"/>
  <c r="AA791" i="3"/>
  <c r="AC791" i="3" s="1"/>
  <c r="W791" i="3"/>
  <c r="Y791" i="3" s="1"/>
  <c r="AE791" i="3" s="1"/>
  <c r="AL791" i="3" s="1"/>
  <c r="AQ790" i="3"/>
  <c r="AF790" i="3"/>
  <c r="AN790" i="3" s="1"/>
  <c r="AR789" i="3" l="1"/>
  <c r="AO789" i="3"/>
  <c r="U792" i="3"/>
  <c r="AI792" i="3" a="1"/>
  <c r="AI792" i="3" s="1"/>
  <c r="AR790" i="3"/>
  <c r="A793" i="3"/>
  <c r="AA792" i="3"/>
  <c r="AC792" i="3" s="1"/>
  <c r="AJ792" i="3" s="1"/>
  <c r="W792" i="3"/>
  <c r="Y792" i="3" s="1"/>
  <c r="AE792" i="3" s="1"/>
  <c r="AL792" i="3" s="1"/>
  <c r="AF791" i="3"/>
  <c r="AN791" i="3" s="1"/>
  <c r="AQ791" i="3"/>
  <c r="U793" i="3" l="1"/>
  <c r="AI793" i="3" a="1"/>
  <c r="AI793" i="3" s="1"/>
  <c r="AR791" i="3"/>
  <c r="A794" i="3"/>
  <c r="W793" i="3"/>
  <c r="Y793" i="3" s="1"/>
  <c r="AA793" i="3"/>
  <c r="AC793" i="3" s="1"/>
  <c r="AJ793" i="3" s="1"/>
  <c r="AF792" i="3"/>
  <c r="AN792" i="3" s="1"/>
  <c r="AQ792" i="3"/>
  <c r="AE793" i="3" l="1"/>
  <c r="U794" i="3"/>
  <c r="AI794" i="3" a="1"/>
  <c r="AI794" i="3" s="1"/>
  <c r="AR792" i="3"/>
  <c r="AO792" i="3"/>
  <c r="A795" i="3"/>
  <c r="AA794" i="3"/>
  <c r="AC794" i="3" s="1"/>
  <c r="AJ794" i="3" s="1"/>
  <c r="W794" i="3"/>
  <c r="Y794" i="3" s="1"/>
  <c r="AE794" i="3" s="1"/>
  <c r="AL794" i="3" s="1"/>
  <c r="AL793" i="3" l="1"/>
  <c r="AQ793" i="3" s="1"/>
  <c r="AF793" i="3"/>
  <c r="U795" i="3"/>
  <c r="AI795" i="3" a="1"/>
  <c r="AI795" i="3" s="1"/>
  <c r="A796" i="3"/>
  <c r="AA795" i="3"/>
  <c r="AC795" i="3" s="1"/>
  <c r="AJ795" i="3" s="1"/>
  <c r="W795" i="3"/>
  <c r="Y795" i="3" s="1"/>
  <c r="AF794" i="3"/>
  <c r="AN794" i="3" s="1"/>
  <c r="AQ794" i="3"/>
  <c r="AE795" i="3" l="1"/>
  <c r="AN793" i="3"/>
  <c r="U796" i="3"/>
  <c r="AI796" i="3" a="1"/>
  <c r="AI796" i="3" s="1"/>
  <c r="AR794" i="3"/>
  <c r="AO794" i="3"/>
  <c r="A797" i="3"/>
  <c r="AA796" i="3"/>
  <c r="AC796" i="3" s="1"/>
  <c r="AJ796" i="3" s="1"/>
  <c r="W796" i="3"/>
  <c r="Y796" i="3" s="1"/>
  <c r="AE796" i="3" s="1"/>
  <c r="AL796" i="3" s="1"/>
  <c r="AL795" i="3" l="1"/>
  <c r="AQ795" i="3" s="1"/>
  <c r="AF795" i="3"/>
  <c r="AN795" i="3" s="1"/>
  <c r="AO793" i="3"/>
  <c r="AR793" i="3"/>
  <c r="U797" i="3"/>
  <c r="AI797" i="3" a="1"/>
  <c r="AI797" i="3" s="1"/>
  <c r="AR795" i="3"/>
  <c r="AO795" i="3"/>
  <c r="W797" i="3"/>
  <c r="Y797" i="3" s="1"/>
  <c r="A798" i="3"/>
  <c r="AA797" i="3"/>
  <c r="AC797" i="3" s="1"/>
  <c r="AJ797" i="3" s="1"/>
  <c r="AQ796" i="3"/>
  <c r="AF796" i="3"/>
  <c r="AN796" i="3" s="1"/>
  <c r="AE797" i="3" l="1"/>
  <c r="AL797" i="3" s="1"/>
  <c r="U798" i="3"/>
  <c r="AI798" i="3" a="1"/>
  <c r="AI798" i="3" s="1"/>
  <c r="AR796" i="3"/>
  <c r="AO796" i="3"/>
  <c r="AQ797" i="3"/>
  <c r="AF797" i="3"/>
  <c r="AN797" i="3" s="1"/>
  <c r="A799" i="3"/>
  <c r="AA798" i="3"/>
  <c r="AC798" i="3" s="1"/>
  <c r="AJ798" i="3" s="1"/>
  <c r="W798" i="3"/>
  <c r="Y798" i="3" s="1"/>
  <c r="AE798" i="3" s="1"/>
  <c r="AL798" i="3" s="1"/>
  <c r="U799" i="3" l="1"/>
  <c r="AI799" i="3" a="1"/>
  <c r="AI799" i="3" s="1"/>
  <c r="AR797" i="3"/>
  <c r="AO797" i="3"/>
  <c r="A800" i="3"/>
  <c r="AA799" i="3"/>
  <c r="AC799" i="3" s="1"/>
  <c r="AJ799" i="3" s="1"/>
  <c r="W799" i="3"/>
  <c r="Y799" i="3" s="1"/>
  <c r="AE799" i="3" s="1"/>
  <c r="AL799" i="3" s="1"/>
  <c r="AF798" i="3"/>
  <c r="AN798" i="3" s="1"/>
  <c r="AQ798" i="3"/>
  <c r="U800" i="3" l="1"/>
  <c r="AI800" i="3" a="1"/>
  <c r="AI800" i="3" s="1"/>
  <c r="AR798" i="3"/>
  <c r="AO798" i="3"/>
  <c r="A801" i="3"/>
  <c r="W800" i="3"/>
  <c r="Y800" i="3" s="1"/>
  <c r="AE800" i="3" s="1"/>
  <c r="AL800" i="3" s="1"/>
  <c r="AA800" i="3"/>
  <c r="AC800" i="3" s="1"/>
  <c r="AJ800" i="3" s="1"/>
  <c r="AF799" i="3"/>
  <c r="AN799" i="3" s="1"/>
  <c r="AQ799" i="3"/>
  <c r="U801" i="3" l="1"/>
  <c r="AI801" i="3" a="1"/>
  <c r="AI801" i="3" s="1"/>
  <c r="AR799" i="3"/>
  <c r="AO799" i="3"/>
  <c r="W801" i="3"/>
  <c r="Y801" i="3" s="1"/>
  <c r="AE801" i="3" s="1"/>
  <c r="AL801" i="3" s="1"/>
  <c r="A802" i="3"/>
  <c r="AA801" i="3"/>
  <c r="AC801" i="3" s="1"/>
  <c r="AJ801" i="3" s="1"/>
  <c r="AQ800" i="3"/>
  <c r="AF800" i="3"/>
  <c r="AN800" i="3" s="1"/>
  <c r="U802" i="3" l="1"/>
  <c r="AR800" i="3"/>
  <c r="AO800" i="3"/>
  <c r="AF801" i="3"/>
  <c r="AN801" i="3" s="1"/>
  <c r="AQ801" i="3"/>
  <c r="A803" i="3"/>
  <c r="AA802" i="3"/>
  <c r="AC802" i="3" s="1"/>
  <c r="W802" i="3"/>
  <c r="Y802" i="3" s="1"/>
  <c r="AE802" i="3" l="1"/>
  <c r="U803" i="3"/>
  <c r="AR801" i="3"/>
  <c r="AO801" i="3"/>
  <c r="A804" i="3"/>
  <c r="AA803" i="3"/>
  <c r="AC803" i="3" s="1"/>
  <c r="W803" i="3"/>
  <c r="Y803" i="3" s="1"/>
  <c r="AE803" i="3" s="1"/>
  <c r="AL803" i="3" s="1"/>
  <c r="AL802" i="3" l="1"/>
  <c r="AQ802" i="3" s="1"/>
  <c r="AF802" i="3"/>
  <c r="AN802" i="3" s="1"/>
  <c r="U804" i="3"/>
  <c r="AI804" i="3" a="1"/>
  <c r="AI804" i="3" s="1"/>
  <c r="AR802" i="3"/>
  <c r="A805" i="3"/>
  <c r="AA804" i="3"/>
  <c r="AC804" i="3" s="1"/>
  <c r="AJ804" i="3" s="1"/>
  <c r="W804" i="3"/>
  <c r="Y804" i="3" s="1"/>
  <c r="AE804" i="3" s="1"/>
  <c r="AL804" i="3" s="1"/>
  <c r="AQ803" i="3"/>
  <c r="AF803" i="3"/>
  <c r="AN803" i="3" s="1"/>
  <c r="U805" i="3" l="1"/>
  <c r="AR803" i="3"/>
  <c r="A806" i="3"/>
  <c r="W805" i="3"/>
  <c r="Y805" i="3" s="1"/>
  <c r="AE805" i="3" s="1"/>
  <c r="AL805" i="3" s="1"/>
  <c r="AA805" i="3"/>
  <c r="AC805" i="3" s="1"/>
  <c r="AF804" i="3"/>
  <c r="AN804" i="3" s="1"/>
  <c r="AQ804" i="3"/>
  <c r="U806" i="3" l="1"/>
  <c r="AI806" i="3" a="1"/>
  <c r="AI806" i="3" s="1"/>
  <c r="AR804" i="3"/>
  <c r="AO804" i="3"/>
  <c r="W806" i="3"/>
  <c r="Y806" i="3" s="1"/>
  <c r="A807" i="3"/>
  <c r="AA806" i="3"/>
  <c r="AC806" i="3" s="1"/>
  <c r="AJ806" i="3" s="1"/>
  <c r="AQ805" i="3"/>
  <c r="AF805" i="3"/>
  <c r="AN805" i="3" s="1"/>
  <c r="AE806" i="3" l="1"/>
  <c r="U807" i="3"/>
  <c r="AR805" i="3"/>
  <c r="A808" i="3"/>
  <c r="AA807" i="3"/>
  <c r="AC807" i="3" s="1"/>
  <c r="W807" i="3"/>
  <c r="Y807" i="3" s="1"/>
  <c r="AE807" i="3" s="1"/>
  <c r="AL807" i="3" s="1"/>
  <c r="AL806" i="3" l="1"/>
  <c r="AQ806" i="3" s="1"/>
  <c r="AF806" i="3"/>
  <c r="AN806" i="3" s="1"/>
  <c r="U808" i="3"/>
  <c r="AI808" i="3" a="1"/>
  <c r="AI808" i="3" s="1"/>
  <c r="A809" i="3"/>
  <c r="AA808" i="3"/>
  <c r="AC808" i="3" s="1"/>
  <c r="AJ808" i="3" s="1"/>
  <c r="W808" i="3"/>
  <c r="Y808" i="3" s="1"/>
  <c r="AE808" i="3" s="1"/>
  <c r="AL808" i="3" s="1"/>
  <c r="AF807" i="3"/>
  <c r="AN807" i="3" s="1"/>
  <c r="AQ807" i="3"/>
  <c r="AR806" i="3" l="1"/>
  <c r="AO806" i="3"/>
  <c r="U809" i="3"/>
  <c r="AI809" i="3" a="1"/>
  <c r="AI809" i="3" s="1"/>
  <c r="AR807" i="3"/>
  <c r="A810" i="3"/>
  <c r="AA809" i="3"/>
  <c r="AC809" i="3" s="1"/>
  <c r="AJ809" i="3" s="1"/>
  <c r="W809" i="3"/>
  <c r="Y809" i="3" s="1"/>
  <c r="AE809" i="3" s="1"/>
  <c r="AL809" i="3" s="1"/>
  <c r="AF808" i="3"/>
  <c r="AN808" i="3" s="1"/>
  <c r="AQ808" i="3"/>
  <c r="U810" i="3" l="1"/>
  <c r="AI810" i="3" a="1"/>
  <c r="AI810" i="3" s="1"/>
  <c r="AR808" i="3"/>
  <c r="AO808" i="3"/>
  <c r="A811" i="3"/>
  <c r="AA810" i="3"/>
  <c r="AC810" i="3" s="1"/>
  <c r="AJ810" i="3" s="1"/>
  <c r="W810" i="3"/>
  <c r="Y810" i="3" s="1"/>
  <c r="AE810" i="3" s="1"/>
  <c r="AL810" i="3" s="1"/>
  <c r="AF809" i="3"/>
  <c r="AN809" i="3" s="1"/>
  <c r="AQ809" i="3"/>
  <c r="U811" i="3" l="1"/>
  <c r="AI811" i="3" a="1"/>
  <c r="AI811" i="3" s="1"/>
  <c r="AR809" i="3"/>
  <c r="AO809" i="3"/>
  <c r="A812" i="3"/>
  <c r="AA811" i="3"/>
  <c r="AC811" i="3" s="1"/>
  <c r="AJ811" i="3" s="1"/>
  <c r="W811" i="3"/>
  <c r="Y811" i="3" s="1"/>
  <c r="AE811" i="3" s="1"/>
  <c r="AL811" i="3" s="1"/>
  <c r="AF810" i="3"/>
  <c r="AN810" i="3" s="1"/>
  <c r="AQ810" i="3"/>
  <c r="U812" i="3" l="1"/>
  <c r="AI812" i="3" a="1"/>
  <c r="AI812" i="3" s="1"/>
  <c r="AR810" i="3"/>
  <c r="AO810" i="3"/>
  <c r="AA812" i="3"/>
  <c r="AC812" i="3" s="1"/>
  <c r="AJ812" i="3" s="1"/>
  <c r="A813" i="3"/>
  <c r="W812" i="3"/>
  <c r="Y812" i="3" s="1"/>
  <c r="AE812" i="3" s="1"/>
  <c r="AL812" i="3" s="1"/>
  <c r="AQ811" i="3"/>
  <c r="AF811" i="3"/>
  <c r="AN811" i="3" s="1"/>
  <c r="U813" i="3" l="1"/>
  <c r="AI813" i="3" a="1"/>
  <c r="AI813" i="3" s="1"/>
  <c r="AR811" i="3"/>
  <c r="AO811" i="3"/>
  <c r="W813" i="3"/>
  <c r="Y813" i="3" s="1"/>
  <c r="AE813" i="3" s="1"/>
  <c r="AL813" i="3" s="1"/>
  <c r="AA813" i="3"/>
  <c r="AC813" i="3" s="1"/>
  <c r="AJ813" i="3" s="1"/>
  <c r="A814" i="3"/>
  <c r="AF812" i="3"/>
  <c r="AN812" i="3" s="1"/>
  <c r="AQ812" i="3"/>
  <c r="U814" i="3" l="1"/>
  <c r="AI814" i="3" a="1"/>
  <c r="AI814" i="3" s="1"/>
  <c r="AR812" i="3"/>
  <c r="AO812" i="3"/>
  <c r="AF813" i="3"/>
  <c r="AN813" i="3" s="1"/>
  <c r="AQ813" i="3"/>
  <c r="W814" i="3"/>
  <c r="Y814" i="3" s="1"/>
  <c r="AE814" i="3" s="1"/>
  <c r="AL814" i="3" s="1"/>
  <c r="A815" i="3"/>
  <c r="AA814" i="3"/>
  <c r="AC814" i="3" s="1"/>
  <c r="AJ814" i="3" s="1"/>
  <c r="U815" i="3" l="1"/>
  <c r="AI815" i="3" a="1"/>
  <c r="AI815" i="3" s="1"/>
  <c r="AR813" i="3"/>
  <c r="AO813" i="3"/>
  <c r="AF814" i="3"/>
  <c r="AN814" i="3" s="1"/>
  <c r="AQ814" i="3"/>
  <c r="AA815" i="3"/>
  <c r="AC815" i="3" s="1"/>
  <c r="AJ815" i="3" s="1"/>
  <c r="W815" i="3"/>
  <c r="Y815" i="3" s="1"/>
  <c r="AE815" i="3" s="1"/>
  <c r="AL815" i="3" s="1"/>
  <c r="A816" i="3"/>
  <c r="U816" i="3" l="1"/>
  <c r="AI816" i="3" a="1"/>
  <c r="AI816" i="3" s="1"/>
  <c r="AR814" i="3"/>
  <c r="AO814" i="3"/>
  <c r="AQ815" i="3"/>
  <c r="AF815" i="3"/>
  <c r="AN815" i="3" s="1"/>
  <c r="W816" i="3"/>
  <c r="Y816" i="3" s="1"/>
  <c r="AE816" i="3" s="1"/>
  <c r="AL816" i="3" s="1"/>
  <c r="A817" i="3"/>
  <c r="AA816" i="3"/>
  <c r="AC816" i="3" s="1"/>
  <c r="AJ816" i="3" s="1"/>
  <c r="U817" i="3" l="1"/>
  <c r="AI817" i="3" a="1"/>
  <c r="AI817" i="3" s="1"/>
  <c r="AR815" i="3"/>
  <c r="AO815" i="3"/>
  <c r="AF816" i="3"/>
  <c r="AN816" i="3" s="1"/>
  <c r="AQ816" i="3"/>
  <c r="A818" i="3"/>
  <c r="AA817" i="3"/>
  <c r="AC817" i="3" s="1"/>
  <c r="AJ817" i="3" s="1"/>
  <c r="W817" i="3"/>
  <c r="Y817" i="3" s="1"/>
  <c r="AE817" i="3" l="1"/>
  <c r="U818" i="3"/>
  <c r="AR816" i="3"/>
  <c r="AO816" i="3"/>
  <c r="W818" i="3"/>
  <c r="Y818" i="3" s="1"/>
  <c r="AE818" i="3" s="1"/>
  <c r="AL818" i="3" s="1"/>
  <c r="A819" i="3"/>
  <c r="AA818" i="3"/>
  <c r="AC818" i="3" s="1"/>
  <c r="AL817" i="3" l="1"/>
  <c r="AF817" i="3"/>
  <c r="AN817" i="3" s="1"/>
  <c r="AQ817" i="3"/>
  <c r="U819" i="3"/>
  <c r="AI819" i="3" a="1"/>
  <c r="AI819" i="3" s="1"/>
  <c r="AR817" i="3"/>
  <c r="AO817" i="3"/>
  <c r="AF818" i="3"/>
  <c r="AN818" i="3" s="1"/>
  <c r="AQ818" i="3"/>
  <c r="A820" i="3"/>
  <c r="AA819" i="3"/>
  <c r="AC819" i="3" s="1"/>
  <c r="AJ819" i="3" s="1"/>
  <c r="W819" i="3"/>
  <c r="Y819" i="3" s="1"/>
  <c r="AE819" i="3" s="1"/>
  <c r="AL819" i="3" s="1"/>
  <c r="U820" i="3" l="1"/>
  <c r="AI820" i="3" a="1"/>
  <c r="AI820" i="3" s="1"/>
  <c r="AR818" i="3"/>
  <c r="A821" i="3"/>
  <c r="AA820" i="3"/>
  <c r="AC820" i="3" s="1"/>
  <c r="AJ820" i="3" s="1"/>
  <c r="W820" i="3"/>
  <c r="Y820" i="3" s="1"/>
  <c r="AE820" i="3" s="1"/>
  <c r="AL820" i="3" s="1"/>
  <c r="AF819" i="3"/>
  <c r="AN819" i="3" s="1"/>
  <c r="AQ819" i="3"/>
  <c r="U821" i="3" l="1"/>
  <c r="AI821" i="3" a="1"/>
  <c r="AI821" i="3" s="1"/>
  <c r="AR819" i="3"/>
  <c r="AO819" i="3"/>
  <c r="A822" i="3"/>
  <c r="W821" i="3"/>
  <c r="Y821" i="3" s="1"/>
  <c r="AE821" i="3" s="1"/>
  <c r="AL821" i="3" s="1"/>
  <c r="AA821" i="3"/>
  <c r="AC821" i="3" s="1"/>
  <c r="AJ821" i="3" s="1"/>
  <c r="AF820" i="3"/>
  <c r="AN820" i="3" s="1"/>
  <c r="AQ820" i="3"/>
  <c r="U822" i="3" l="1"/>
  <c r="AI822" i="3" a="1"/>
  <c r="AI822" i="3" s="1"/>
  <c r="AR820" i="3"/>
  <c r="AO820" i="3"/>
  <c r="A823" i="3"/>
  <c r="W822" i="3"/>
  <c r="Y822" i="3" s="1"/>
  <c r="AE822" i="3" s="1"/>
  <c r="AL822" i="3" s="1"/>
  <c r="AA822" i="3"/>
  <c r="AC822" i="3" s="1"/>
  <c r="AJ822" i="3" s="1"/>
  <c r="AF821" i="3"/>
  <c r="AN821" i="3" s="1"/>
  <c r="AQ821" i="3"/>
  <c r="U823" i="3" l="1"/>
  <c r="AI823" i="3" a="1"/>
  <c r="AI823" i="3" s="1"/>
  <c r="AR821" i="3"/>
  <c r="AO821" i="3"/>
  <c r="AA823" i="3"/>
  <c r="AC823" i="3" s="1"/>
  <c r="AJ823" i="3" s="1"/>
  <c r="A824" i="3"/>
  <c r="W823" i="3"/>
  <c r="Y823" i="3" s="1"/>
  <c r="AE823" i="3" s="1"/>
  <c r="AL823" i="3" s="1"/>
  <c r="AF822" i="3"/>
  <c r="AN822" i="3" s="1"/>
  <c r="AQ822" i="3"/>
  <c r="U824" i="3" l="1"/>
  <c r="AI824" i="3" a="1"/>
  <c r="AI824" i="3" s="1"/>
  <c r="AR822" i="3"/>
  <c r="AO822" i="3"/>
  <c r="A825" i="3"/>
  <c r="AA824" i="3"/>
  <c r="AC824" i="3" s="1"/>
  <c r="AJ824" i="3" s="1"/>
  <c r="W824" i="3"/>
  <c r="Y824" i="3" s="1"/>
  <c r="AE824" i="3" s="1"/>
  <c r="AL824" i="3" s="1"/>
  <c r="AF823" i="3"/>
  <c r="AN823" i="3" s="1"/>
  <c r="AQ823" i="3"/>
  <c r="U825" i="3" l="1"/>
  <c r="AI825" i="3" a="1"/>
  <c r="AI825" i="3" s="1"/>
  <c r="AR823" i="3"/>
  <c r="AO823" i="3"/>
  <c r="A826" i="3"/>
  <c r="AA825" i="3"/>
  <c r="AC825" i="3" s="1"/>
  <c r="AJ825" i="3" s="1"/>
  <c r="W825" i="3"/>
  <c r="Y825" i="3" s="1"/>
  <c r="AE825" i="3" s="1"/>
  <c r="AL825" i="3" s="1"/>
  <c r="AF824" i="3"/>
  <c r="AN824" i="3" s="1"/>
  <c r="AQ824" i="3"/>
  <c r="U826" i="3" l="1"/>
  <c r="AI826" i="3" a="1"/>
  <c r="AI826" i="3" s="1"/>
  <c r="AR824" i="3"/>
  <c r="AO824" i="3"/>
  <c r="W826" i="3"/>
  <c r="Y826" i="3" s="1"/>
  <c r="AE826" i="3" s="1"/>
  <c r="AL826" i="3" s="1"/>
  <c r="A827" i="3"/>
  <c r="AA826" i="3"/>
  <c r="AC826" i="3" s="1"/>
  <c r="AJ826" i="3" s="1"/>
  <c r="AF825" i="3"/>
  <c r="AN825" i="3" s="1"/>
  <c r="AQ825" i="3"/>
  <c r="U827" i="3" l="1"/>
  <c r="AI827" i="3" a="1"/>
  <c r="AI827" i="3" s="1"/>
  <c r="AR825" i="3"/>
  <c r="AO825" i="3"/>
  <c r="AF826" i="3"/>
  <c r="AN826" i="3" s="1"/>
  <c r="AQ826" i="3"/>
  <c r="A828" i="3"/>
  <c r="AA827" i="3"/>
  <c r="AC827" i="3" s="1"/>
  <c r="AJ827" i="3" s="1"/>
  <c r="W827" i="3"/>
  <c r="Y827" i="3" s="1"/>
  <c r="AE827" i="3" l="1"/>
  <c r="U828" i="3"/>
  <c r="AI828" i="3" a="1"/>
  <c r="AI828" i="3" s="1"/>
  <c r="AR826" i="3"/>
  <c r="AO826" i="3"/>
  <c r="AA828" i="3"/>
  <c r="AC828" i="3" s="1"/>
  <c r="AJ828" i="3" s="1"/>
  <c r="A829" i="3"/>
  <c r="W828" i="3"/>
  <c r="Y828" i="3" s="1"/>
  <c r="AE828" i="3" s="1"/>
  <c r="AL828" i="3" s="1"/>
  <c r="AL827" i="3" l="1"/>
  <c r="AQ827" i="3" s="1"/>
  <c r="AF827" i="3"/>
  <c r="AN827" i="3" s="1"/>
  <c r="U829" i="3"/>
  <c r="A830" i="3"/>
  <c r="W829" i="3"/>
  <c r="Y829" i="3" s="1"/>
  <c r="AE829" i="3" s="1"/>
  <c r="AL829" i="3" s="1"/>
  <c r="AA829" i="3"/>
  <c r="AC829" i="3" s="1"/>
  <c r="AF828" i="3"/>
  <c r="AN828" i="3" s="1"/>
  <c r="AQ828" i="3"/>
  <c r="AO827" i="3" l="1"/>
  <c r="AR827" i="3"/>
  <c r="U830" i="3"/>
  <c r="AI830" i="3" a="1"/>
  <c r="AI830" i="3" s="1"/>
  <c r="AR828" i="3"/>
  <c r="AO828" i="3"/>
  <c r="A831" i="3"/>
  <c r="AA830" i="3"/>
  <c r="AC830" i="3" s="1"/>
  <c r="AJ830" i="3" s="1"/>
  <c r="W830" i="3"/>
  <c r="Y830" i="3" s="1"/>
  <c r="AE830" i="3" s="1"/>
  <c r="AL830" i="3" s="1"/>
  <c r="AF829" i="3"/>
  <c r="AN829" i="3" s="1"/>
  <c r="AQ829" i="3"/>
  <c r="U831" i="3" l="1"/>
  <c r="AI831" i="3" a="1"/>
  <c r="AI831" i="3" s="1"/>
  <c r="AR829" i="3"/>
  <c r="AA831" i="3"/>
  <c r="AC831" i="3" s="1"/>
  <c r="AJ831" i="3" s="1"/>
  <c r="W831" i="3"/>
  <c r="Y831" i="3" s="1"/>
  <c r="AE831" i="3" s="1"/>
  <c r="AL831" i="3" s="1"/>
  <c r="A832" i="3"/>
  <c r="AF830" i="3"/>
  <c r="AN830" i="3" s="1"/>
  <c r="AQ830" i="3"/>
  <c r="U832" i="3" l="1"/>
  <c r="AI832" i="3" a="1"/>
  <c r="AI832" i="3" s="1"/>
  <c r="AR830" i="3"/>
  <c r="AO830" i="3"/>
  <c r="AF831" i="3"/>
  <c r="AN831" i="3" s="1"/>
  <c r="AQ831" i="3"/>
  <c r="W832" i="3"/>
  <c r="Y832" i="3" s="1"/>
  <c r="AE832" i="3" s="1"/>
  <c r="AL832" i="3" s="1"/>
  <c r="A833" i="3"/>
  <c r="AA832" i="3"/>
  <c r="AC832" i="3" s="1"/>
  <c r="AJ832" i="3" s="1"/>
  <c r="U833" i="3" l="1"/>
  <c r="AI833" i="3" a="1"/>
  <c r="AI833" i="3" s="1"/>
  <c r="AR831" i="3"/>
  <c r="AO831" i="3"/>
  <c r="AF832" i="3"/>
  <c r="AN832" i="3" s="1"/>
  <c r="AQ832" i="3"/>
  <c r="A834" i="3"/>
  <c r="AA833" i="3"/>
  <c r="AC833" i="3" s="1"/>
  <c r="AJ833" i="3" s="1"/>
  <c r="W833" i="3"/>
  <c r="Y833" i="3" s="1"/>
  <c r="AE833" i="3" s="1"/>
  <c r="AL833" i="3" s="1"/>
  <c r="U834" i="3" l="1"/>
  <c r="AI834" i="3" a="1"/>
  <c r="AI834" i="3" s="1"/>
  <c r="AR832" i="3"/>
  <c r="AO832" i="3"/>
  <c r="A835" i="3"/>
  <c r="AA834" i="3"/>
  <c r="AC834" i="3" s="1"/>
  <c r="AJ834" i="3" s="1"/>
  <c r="W834" i="3"/>
  <c r="Y834" i="3" s="1"/>
  <c r="AQ833" i="3"/>
  <c r="AF833" i="3"/>
  <c r="AN833" i="3" s="1"/>
  <c r="AE834" i="3" l="1"/>
  <c r="U835" i="3"/>
  <c r="AI835" i="3" a="1"/>
  <c r="AI835" i="3" s="1"/>
  <c r="AR833" i="3"/>
  <c r="AO833" i="3"/>
  <c r="A836" i="3"/>
  <c r="AA835" i="3"/>
  <c r="AC835" i="3" s="1"/>
  <c r="AJ835" i="3" s="1"/>
  <c r="W835" i="3"/>
  <c r="Y835" i="3" s="1"/>
  <c r="AE835" i="3" l="1"/>
  <c r="AL834" i="3"/>
  <c r="AF834" i="3"/>
  <c r="AN834" i="3" s="1"/>
  <c r="AO834" i="3" s="1"/>
  <c r="AQ834" i="3"/>
  <c r="U836" i="3"/>
  <c r="AI836" i="3" a="1"/>
  <c r="AI836" i="3" s="1"/>
  <c r="AR834" i="3"/>
  <c r="AA836" i="3"/>
  <c r="AC836" i="3" s="1"/>
  <c r="AJ836" i="3" s="1"/>
  <c r="W836" i="3"/>
  <c r="Y836" i="3" s="1"/>
  <c r="AE836" i="3" s="1"/>
  <c r="AL836" i="3" s="1"/>
  <c r="A837" i="3"/>
  <c r="AL835" i="3" l="1"/>
  <c r="AQ835" i="3"/>
  <c r="AF835" i="3"/>
  <c r="U837" i="3"/>
  <c r="AI837" i="3" a="1"/>
  <c r="AI837" i="3" s="1"/>
  <c r="AF836" i="3"/>
  <c r="AN836" i="3" s="1"/>
  <c r="AQ836" i="3"/>
  <c r="A838" i="3"/>
  <c r="W837" i="3"/>
  <c r="Y837" i="3" s="1"/>
  <c r="AE837" i="3" s="1"/>
  <c r="AL837" i="3" s="1"/>
  <c r="AA837" i="3"/>
  <c r="AC837" i="3" s="1"/>
  <c r="AJ837" i="3" s="1"/>
  <c r="AN835" i="3" l="1"/>
  <c r="AO835" i="3" s="1"/>
  <c r="AR835" i="3"/>
  <c r="U838" i="3"/>
  <c r="AI838" i="3" a="1"/>
  <c r="AI838" i="3" s="1"/>
  <c r="AR836" i="3"/>
  <c r="AO836" i="3"/>
  <c r="AA838" i="3"/>
  <c r="AC838" i="3" s="1"/>
  <c r="AJ838" i="3" s="1"/>
  <c r="W838" i="3"/>
  <c r="Y838" i="3" s="1"/>
  <c r="AE838" i="3" s="1"/>
  <c r="AL838" i="3" s="1"/>
  <c r="A839" i="3"/>
  <c r="AQ837" i="3"/>
  <c r="AF837" i="3"/>
  <c r="AN837" i="3" s="1"/>
  <c r="U839" i="3" l="1"/>
  <c r="AI839" i="3" a="1"/>
  <c r="AI839" i="3" s="1"/>
  <c r="AR837" i="3"/>
  <c r="AO837" i="3"/>
  <c r="AQ838" i="3"/>
  <c r="AF838" i="3"/>
  <c r="AN838" i="3" s="1"/>
  <c r="A840" i="3"/>
  <c r="AA839" i="3"/>
  <c r="AC839" i="3" s="1"/>
  <c r="AJ839" i="3" s="1"/>
  <c r="W839" i="3"/>
  <c r="Y839" i="3" s="1"/>
  <c r="AE839" i="3" s="1"/>
  <c r="AL839" i="3" s="1"/>
  <c r="U840" i="3" l="1"/>
  <c r="AI840" i="3" a="1"/>
  <c r="AI840" i="3" s="1"/>
  <c r="AR838" i="3"/>
  <c r="AO838" i="3"/>
  <c r="A841" i="3"/>
  <c r="W840" i="3"/>
  <c r="Y840" i="3" s="1"/>
  <c r="AE840" i="3" s="1"/>
  <c r="AL840" i="3" s="1"/>
  <c r="AA840" i="3"/>
  <c r="AC840" i="3" s="1"/>
  <c r="AJ840" i="3" s="1"/>
  <c r="AF839" i="3"/>
  <c r="AN839" i="3" s="1"/>
  <c r="AQ839" i="3"/>
  <c r="U841" i="3" l="1"/>
  <c r="AI841" i="3" a="1"/>
  <c r="AI841" i="3" s="1"/>
  <c r="AR839" i="3"/>
  <c r="AO839" i="3"/>
  <c r="A842" i="3"/>
  <c r="W841" i="3"/>
  <c r="Y841" i="3" s="1"/>
  <c r="AA841" i="3"/>
  <c r="AC841" i="3" s="1"/>
  <c r="AJ841" i="3" s="1"/>
  <c r="AF840" i="3"/>
  <c r="AN840" i="3" s="1"/>
  <c r="AQ840" i="3"/>
  <c r="AE841" i="3" l="1"/>
  <c r="U842" i="3"/>
  <c r="AI842" i="3" a="1"/>
  <c r="AI842" i="3" s="1"/>
  <c r="AR840" i="3"/>
  <c r="AO840" i="3"/>
  <c r="A843" i="3"/>
  <c r="W842" i="3"/>
  <c r="Y842" i="3" s="1"/>
  <c r="AE842" i="3" s="1"/>
  <c r="AL842" i="3" s="1"/>
  <c r="AA842" i="3"/>
  <c r="AC842" i="3" s="1"/>
  <c r="AJ842" i="3" s="1"/>
  <c r="AL841" i="3" l="1"/>
  <c r="AF841" i="3"/>
  <c r="AQ841" i="3"/>
  <c r="U843" i="3"/>
  <c r="AI843" i="3" a="1"/>
  <c r="AI843" i="3" s="1"/>
  <c r="A844" i="3"/>
  <c r="AA843" i="3"/>
  <c r="AC843" i="3" s="1"/>
  <c r="AJ843" i="3" s="1"/>
  <c r="W843" i="3"/>
  <c r="Y843" i="3" s="1"/>
  <c r="AE843" i="3" s="1"/>
  <c r="AL843" i="3" s="1"/>
  <c r="AF842" i="3"/>
  <c r="AN842" i="3" s="1"/>
  <c r="AQ842" i="3"/>
  <c r="AN841" i="3" l="1"/>
  <c r="AO841" i="3" s="1"/>
  <c r="AR841" i="3"/>
  <c r="U844" i="3"/>
  <c r="AI844" i="3" a="1"/>
  <c r="AI844" i="3" s="1"/>
  <c r="AR842" i="3"/>
  <c r="AO842" i="3"/>
  <c r="A845" i="3"/>
  <c r="W844" i="3"/>
  <c r="Y844" i="3" s="1"/>
  <c r="AE844" i="3" s="1"/>
  <c r="AL844" i="3" s="1"/>
  <c r="AA844" i="3"/>
  <c r="AC844" i="3" s="1"/>
  <c r="AJ844" i="3" s="1"/>
  <c r="AQ843" i="3"/>
  <c r="AF843" i="3"/>
  <c r="AN843" i="3" s="1"/>
  <c r="U845" i="3" l="1"/>
  <c r="AI845" i="3" a="1"/>
  <c r="AI845" i="3" s="1"/>
  <c r="AR843" i="3"/>
  <c r="AO843" i="3"/>
  <c r="A846" i="3"/>
  <c r="W845" i="3"/>
  <c r="Y845" i="3" s="1"/>
  <c r="AE845" i="3" s="1"/>
  <c r="AL845" i="3" s="1"/>
  <c r="AA845" i="3"/>
  <c r="AC845" i="3" s="1"/>
  <c r="AJ845" i="3" s="1"/>
  <c r="AQ844" i="3"/>
  <c r="AF844" i="3"/>
  <c r="AN844" i="3" s="1"/>
  <c r="U846" i="3" l="1"/>
  <c r="AI846" i="3" a="1"/>
  <c r="AI846" i="3" s="1"/>
  <c r="AR844" i="3"/>
  <c r="AO844" i="3"/>
  <c r="AA846" i="3"/>
  <c r="AC846" i="3" s="1"/>
  <c r="AJ846" i="3" s="1"/>
  <c r="W846" i="3"/>
  <c r="Y846" i="3" s="1"/>
  <c r="AE846" i="3" s="1"/>
  <c r="AL846" i="3" s="1"/>
  <c r="A847" i="3"/>
  <c r="AQ845" i="3"/>
  <c r="AF845" i="3"/>
  <c r="AN845" i="3" s="1"/>
  <c r="U847" i="3" l="1"/>
  <c r="AI847" i="3" a="1"/>
  <c r="AI847" i="3" s="1"/>
  <c r="AR845" i="3"/>
  <c r="AO845" i="3"/>
  <c r="AF846" i="3"/>
  <c r="AN846" i="3" s="1"/>
  <c r="AQ846" i="3"/>
  <c r="A848" i="3"/>
  <c r="AA847" i="3"/>
  <c r="AC847" i="3" s="1"/>
  <c r="AJ847" i="3" s="1"/>
  <c r="W847" i="3"/>
  <c r="Y847" i="3" s="1"/>
  <c r="AE847" i="3" s="1"/>
  <c r="AL847" i="3" s="1"/>
  <c r="U848" i="3" l="1"/>
  <c r="AI848" i="3" a="1"/>
  <c r="AI848" i="3" s="1"/>
  <c r="AR846" i="3"/>
  <c r="AO846" i="3"/>
  <c r="A849" i="3"/>
  <c r="AA848" i="3"/>
  <c r="AC848" i="3" s="1"/>
  <c r="AJ848" i="3" s="1"/>
  <c r="W848" i="3"/>
  <c r="Y848" i="3" s="1"/>
  <c r="AE848" i="3" s="1"/>
  <c r="AL848" i="3" s="1"/>
  <c r="AF847" i="3"/>
  <c r="AN847" i="3" s="1"/>
  <c r="AQ847" i="3"/>
  <c r="U849" i="3" l="1"/>
  <c r="AI849" i="3" a="1"/>
  <c r="AI849" i="3" s="1"/>
  <c r="AR847" i="3"/>
  <c r="AO847" i="3"/>
  <c r="A850" i="3"/>
  <c r="AA849" i="3"/>
  <c r="AC849" i="3" s="1"/>
  <c r="AJ849" i="3" s="1"/>
  <c r="W849" i="3"/>
  <c r="Y849" i="3" s="1"/>
  <c r="AE849" i="3" s="1"/>
  <c r="AL849" i="3" s="1"/>
  <c r="AF848" i="3"/>
  <c r="AN848" i="3" s="1"/>
  <c r="AQ848" i="3"/>
  <c r="U850" i="3" l="1"/>
  <c r="AI850" i="3" a="1"/>
  <c r="AI850" i="3" s="1"/>
  <c r="AR848" i="3"/>
  <c r="AO848" i="3"/>
  <c r="A851" i="3"/>
  <c r="W850" i="3"/>
  <c r="Y850" i="3" s="1"/>
  <c r="AE850" i="3" s="1"/>
  <c r="AL850" i="3" s="1"/>
  <c r="AA850" i="3"/>
  <c r="AC850" i="3" s="1"/>
  <c r="AJ850" i="3" s="1"/>
  <c r="AF849" i="3"/>
  <c r="AN849" i="3" s="1"/>
  <c r="AQ849" i="3"/>
  <c r="U851" i="3" l="1"/>
  <c r="AI851" i="3" a="1"/>
  <c r="AI851" i="3" s="1"/>
  <c r="AR849" i="3"/>
  <c r="AO849" i="3"/>
  <c r="A852" i="3"/>
  <c r="AA851" i="3"/>
  <c r="AC851" i="3" s="1"/>
  <c r="AJ851" i="3" s="1"/>
  <c r="W851" i="3"/>
  <c r="Y851" i="3" s="1"/>
  <c r="AE851" i="3" s="1"/>
  <c r="AL851" i="3" s="1"/>
  <c r="AQ850" i="3"/>
  <c r="AF850" i="3"/>
  <c r="AN850" i="3" s="1"/>
  <c r="U852" i="3" l="1"/>
  <c r="AI852" i="3" a="1"/>
  <c r="AI852" i="3" s="1"/>
  <c r="AR850" i="3"/>
  <c r="AO850" i="3"/>
  <c r="A853" i="3"/>
  <c r="AA852" i="3"/>
  <c r="AC852" i="3" s="1"/>
  <c r="AJ852" i="3" s="1"/>
  <c r="W852" i="3"/>
  <c r="Y852" i="3" s="1"/>
  <c r="AE852" i="3" s="1"/>
  <c r="AL852" i="3" s="1"/>
  <c r="AF851" i="3"/>
  <c r="AN851" i="3" s="1"/>
  <c r="AQ851" i="3"/>
  <c r="U853" i="3" l="1"/>
  <c r="AI853" i="3" a="1"/>
  <c r="AI853" i="3" s="1"/>
  <c r="AR851" i="3"/>
  <c r="AO851" i="3"/>
  <c r="A854" i="3"/>
  <c r="W853" i="3"/>
  <c r="Y853" i="3" s="1"/>
  <c r="AA853" i="3"/>
  <c r="AC853" i="3" s="1"/>
  <c r="AJ853" i="3" s="1"/>
  <c r="AF852" i="3"/>
  <c r="AN852" i="3" s="1"/>
  <c r="AQ852" i="3"/>
  <c r="AE853" i="3" l="1"/>
  <c r="U854" i="3"/>
  <c r="AI854" i="3" a="1"/>
  <c r="AI854" i="3" s="1"/>
  <c r="AR852" i="3"/>
  <c r="AO852" i="3"/>
  <c r="A855" i="3"/>
  <c r="AA854" i="3"/>
  <c r="AC854" i="3" s="1"/>
  <c r="AJ854" i="3" s="1"/>
  <c r="W854" i="3"/>
  <c r="Y854" i="3" s="1"/>
  <c r="AE854" i="3" s="1"/>
  <c r="AL854" i="3" s="1"/>
  <c r="AL853" i="3" l="1"/>
  <c r="AQ853" i="3" s="1"/>
  <c r="AF853" i="3"/>
  <c r="U855" i="3"/>
  <c r="AI855" i="3" a="1"/>
  <c r="AI855" i="3" s="1"/>
  <c r="A856" i="3"/>
  <c r="AA855" i="3"/>
  <c r="AC855" i="3" s="1"/>
  <c r="AJ855" i="3" s="1"/>
  <c r="W855" i="3"/>
  <c r="Y855" i="3" s="1"/>
  <c r="AF854" i="3"/>
  <c r="AN854" i="3" s="1"/>
  <c r="AQ854" i="3"/>
  <c r="AE855" i="3" l="1"/>
  <c r="AN853" i="3"/>
  <c r="U856" i="3"/>
  <c r="AI856" i="3" a="1"/>
  <c r="AI856" i="3" s="1"/>
  <c r="AR854" i="3"/>
  <c r="AO854" i="3"/>
  <c r="AA856" i="3"/>
  <c r="AC856" i="3" s="1"/>
  <c r="AJ856" i="3" s="1"/>
  <c r="W856" i="3"/>
  <c r="Y856" i="3" s="1"/>
  <c r="AE856" i="3" s="1"/>
  <c r="AL856" i="3" s="1"/>
  <c r="A857" i="3"/>
  <c r="AO853" i="3" l="1"/>
  <c r="AR853" i="3"/>
  <c r="AL855" i="3"/>
  <c r="AQ855" i="3" s="1"/>
  <c r="AF855" i="3"/>
  <c r="U857" i="3"/>
  <c r="AI857" i="3" a="1"/>
  <c r="AI857" i="3" s="1"/>
  <c r="AF856" i="3"/>
  <c r="AN856" i="3" s="1"/>
  <c r="AQ856" i="3"/>
  <c r="A858" i="3"/>
  <c r="AA857" i="3"/>
  <c r="AC857" i="3" s="1"/>
  <c r="AJ857" i="3" s="1"/>
  <c r="W857" i="3"/>
  <c r="Y857" i="3" s="1"/>
  <c r="AE857" i="3" s="1"/>
  <c r="AL857" i="3" s="1"/>
  <c r="AN855" i="3" l="1"/>
  <c r="U858" i="3"/>
  <c r="AI858" i="3" a="1"/>
  <c r="AI858" i="3" s="1"/>
  <c r="AR856" i="3"/>
  <c r="AO856" i="3"/>
  <c r="W858" i="3"/>
  <c r="Y858" i="3" s="1"/>
  <c r="AE858" i="3" s="1"/>
  <c r="AL858" i="3" s="1"/>
  <c r="A859" i="3"/>
  <c r="AA858" i="3"/>
  <c r="AC858" i="3" s="1"/>
  <c r="AJ858" i="3" s="1"/>
  <c r="AF857" i="3"/>
  <c r="AN857" i="3" s="1"/>
  <c r="AQ857" i="3"/>
  <c r="AO855" i="3" l="1"/>
  <c r="AR855" i="3"/>
  <c r="U859" i="3"/>
  <c r="AI859" i="3" a="1"/>
  <c r="AI859" i="3" s="1"/>
  <c r="AR857" i="3"/>
  <c r="AO857" i="3"/>
  <c r="AF858" i="3"/>
  <c r="AN858" i="3" s="1"/>
  <c r="AQ858" i="3"/>
  <c r="A860" i="3"/>
  <c r="AA859" i="3"/>
  <c r="AC859" i="3" s="1"/>
  <c r="AJ859" i="3" s="1"/>
  <c r="W859" i="3"/>
  <c r="Y859" i="3" s="1"/>
  <c r="AE859" i="3" s="1"/>
  <c r="AL859" i="3" s="1"/>
  <c r="U860" i="3" l="1"/>
  <c r="AI860" i="3" a="1"/>
  <c r="AI860" i="3" s="1"/>
  <c r="AR858" i="3"/>
  <c r="AO858" i="3"/>
  <c r="W860" i="3"/>
  <c r="Y860" i="3" s="1"/>
  <c r="A861" i="3"/>
  <c r="AA860" i="3"/>
  <c r="AC860" i="3" s="1"/>
  <c r="AJ860" i="3" s="1"/>
  <c r="AF859" i="3"/>
  <c r="AN859" i="3" s="1"/>
  <c r="AQ859" i="3"/>
  <c r="AE860" i="3" l="1"/>
  <c r="U861" i="3"/>
  <c r="AI861" i="3" a="1"/>
  <c r="AI861" i="3" s="1"/>
  <c r="AR859" i="3"/>
  <c r="AO859" i="3"/>
  <c r="A862" i="3"/>
  <c r="AA861" i="3"/>
  <c r="AC861" i="3" s="1"/>
  <c r="AJ861" i="3" s="1"/>
  <c r="W861" i="3"/>
  <c r="Y861" i="3" s="1"/>
  <c r="AL860" i="3" l="1"/>
  <c r="AF860" i="3"/>
  <c r="AN860" i="3" s="1"/>
  <c r="AQ860" i="3"/>
  <c r="AE861" i="3"/>
  <c r="AF861" i="3" s="1"/>
  <c r="AN861" i="3" s="1"/>
  <c r="U862" i="3"/>
  <c r="AI862" i="3" a="1"/>
  <c r="AI862" i="3" s="1"/>
  <c r="AR860" i="3"/>
  <c r="AO860" i="3"/>
  <c r="AA862" i="3"/>
  <c r="AC862" i="3" s="1"/>
  <c r="AJ862" i="3" s="1"/>
  <c r="A863" i="3"/>
  <c r="W862" i="3"/>
  <c r="Y862" i="3" s="1"/>
  <c r="AL861" i="3" l="1"/>
  <c r="AO861" i="3" s="1"/>
  <c r="AQ861" i="3"/>
  <c r="AE862" i="3"/>
  <c r="U863" i="3"/>
  <c r="AI863" i="3" a="1"/>
  <c r="AI863" i="3" s="1"/>
  <c r="AR861" i="3"/>
  <c r="A864" i="3"/>
  <c r="AA863" i="3"/>
  <c r="AC863" i="3" s="1"/>
  <c r="AJ863" i="3" s="1"/>
  <c r="W863" i="3"/>
  <c r="Y863" i="3" s="1"/>
  <c r="AE863" i="3" l="1"/>
  <c r="AL862" i="3"/>
  <c r="AF862" i="3"/>
  <c r="AQ862" i="3"/>
  <c r="U864" i="3"/>
  <c r="AI864" i="3" a="1"/>
  <c r="AI864" i="3" s="1"/>
  <c r="AA864" i="3"/>
  <c r="AC864" i="3" s="1"/>
  <c r="AJ864" i="3" s="1"/>
  <c r="W864" i="3"/>
  <c r="Y864" i="3" s="1"/>
  <c r="A865" i="3"/>
  <c r="AE864" i="3" l="1"/>
  <c r="AL863" i="3"/>
  <c r="AF863" i="3"/>
  <c r="AQ863" i="3"/>
  <c r="AN862" i="3"/>
  <c r="AO862" i="3" s="1"/>
  <c r="AR862" i="3"/>
  <c r="U865" i="3"/>
  <c r="AI865" i="3" a="1"/>
  <c r="AI865" i="3" s="1"/>
  <c r="A866" i="3"/>
  <c r="AA865" i="3"/>
  <c r="AC865" i="3" s="1"/>
  <c r="AJ865" i="3" s="1"/>
  <c r="W865" i="3"/>
  <c r="Y865" i="3" s="1"/>
  <c r="AE865" i="3" l="1"/>
  <c r="AL864" i="3"/>
  <c r="AQ864" i="3"/>
  <c r="AF864" i="3"/>
  <c r="AN864" i="3" s="1"/>
  <c r="AN863" i="3"/>
  <c r="U866" i="3"/>
  <c r="AI866" i="3" a="1"/>
  <c r="AI866" i="3" s="1"/>
  <c r="AR864" i="3"/>
  <c r="AO864" i="3"/>
  <c r="A867" i="3"/>
  <c r="AA866" i="3"/>
  <c r="AC866" i="3" s="1"/>
  <c r="AJ866" i="3" s="1"/>
  <c r="W866" i="3"/>
  <c r="Y866" i="3" s="1"/>
  <c r="AE866" i="3" s="1"/>
  <c r="AL866" i="3" s="1"/>
  <c r="AO863" i="3" l="1"/>
  <c r="AR863" i="3"/>
  <c r="AL865" i="3"/>
  <c r="AF865" i="3"/>
  <c r="AN865" i="3" s="1"/>
  <c r="AQ865" i="3"/>
  <c r="U867" i="3"/>
  <c r="AI867" i="3" a="1"/>
  <c r="AI867" i="3" s="1"/>
  <c r="AR865" i="3"/>
  <c r="AO865" i="3"/>
  <c r="A868" i="3"/>
  <c r="AA867" i="3"/>
  <c r="AC867" i="3" s="1"/>
  <c r="AJ867" i="3" s="1"/>
  <c r="W867" i="3"/>
  <c r="Y867" i="3" s="1"/>
  <c r="AE867" i="3" s="1"/>
  <c r="AL867" i="3" s="1"/>
  <c r="AF866" i="3"/>
  <c r="AN866" i="3" s="1"/>
  <c r="AQ866" i="3"/>
  <c r="U868" i="3" l="1"/>
  <c r="AR866" i="3"/>
  <c r="AO866" i="3"/>
  <c r="A869" i="3"/>
  <c r="W868" i="3"/>
  <c r="Y868" i="3" s="1"/>
  <c r="AA868" i="3"/>
  <c r="AC868" i="3" s="1"/>
  <c r="AF867" i="3"/>
  <c r="AN867" i="3" s="1"/>
  <c r="AQ867" i="3"/>
  <c r="AE868" i="3" l="1"/>
  <c r="U869" i="3"/>
  <c r="AI869" i="3" a="1"/>
  <c r="AI869" i="3" s="1"/>
  <c r="AR867" i="3"/>
  <c r="AO867" i="3"/>
  <c r="A870" i="3"/>
  <c r="W869" i="3"/>
  <c r="Y869" i="3" s="1"/>
  <c r="AE869" i="3" s="1"/>
  <c r="AL869" i="3" s="1"/>
  <c r="AA869" i="3"/>
  <c r="AC869" i="3" s="1"/>
  <c r="AJ869" i="3" s="1"/>
  <c r="AL868" i="3" l="1"/>
  <c r="AQ868" i="3"/>
  <c r="AF868" i="3"/>
  <c r="U870" i="3"/>
  <c r="AI870" i="3" a="1"/>
  <c r="AI870" i="3" s="1"/>
  <c r="AA870" i="3"/>
  <c r="AC870" i="3" s="1"/>
  <c r="AJ870" i="3" s="1"/>
  <c r="A871" i="3"/>
  <c r="W870" i="3"/>
  <c r="Y870" i="3" s="1"/>
  <c r="AE870" i="3" s="1"/>
  <c r="AL870" i="3" s="1"/>
  <c r="AF869" i="3"/>
  <c r="AN869" i="3" s="1"/>
  <c r="AQ869" i="3"/>
  <c r="AN868" i="3" l="1"/>
  <c r="AR868" i="3"/>
  <c r="U871" i="3"/>
  <c r="AR869" i="3"/>
  <c r="AO869" i="3"/>
  <c r="A872" i="3"/>
  <c r="W871" i="3"/>
  <c r="Y871" i="3" s="1"/>
  <c r="AE871" i="3" s="1"/>
  <c r="AL871" i="3" s="1"/>
  <c r="AA871" i="3"/>
  <c r="AC871" i="3" s="1"/>
  <c r="AF870" i="3"/>
  <c r="AN870" i="3" s="1"/>
  <c r="AQ870" i="3"/>
  <c r="U872" i="3" l="1"/>
  <c r="AI872" i="3" a="1"/>
  <c r="AI872" i="3" s="1"/>
  <c r="AR870" i="3"/>
  <c r="AO870" i="3"/>
  <c r="A873" i="3"/>
  <c r="AA872" i="3"/>
  <c r="AC872" i="3" s="1"/>
  <c r="AJ872" i="3" s="1"/>
  <c r="W872" i="3"/>
  <c r="Y872" i="3" s="1"/>
  <c r="AE872" i="3" s="1"/>
  <c r="AL872" i="3" s="1"/>
  <c r="AF871" i="3"/>
  <c r="AN871" i="3" s="1"/>
  <c r="AQ871" i="3"/>
  <c r="U873" i="3" l="1"/>
  <c r="AR871" i="3"/>
  <c r="A874" i="3"/>
  <c r="W873" i="3"/>
  <c r="Y873" i="3" s="1"/>
  <c r="AE873" i="3" s="1"/>
  <c r="AL873" i="3" s="1"/>
  <c r="AA873" i="3"/>
  <c r="AC873" i="3" s="1"/>
  <c r="AF872" i="3"/>
  <c r="AN872" i="3" s="1"/>
  <c r="AQ872" i="3"/>
  <c r="U874" i="3" l="1"/>
  <c r="AR872" i="3"/>
  <c r="AO872" i="3"/>
  <c r="A875" i="3"/>
  <c r="AA874" i="3"/>
  <c r="AC874" i="3" s="1"/>
  <c r="W874" i="3"/>
  <c r="Y874" i="3" s="1"/>
  <c r="AE874" i="3" s="1"/>
  <c r="AL874" i="3" s="1"/>
  <c r="AF873" i="3"/>
  <c r="AN873" i="3" s="1"/>
  <c r="AQ873" i="3"/>
  <c r="U875" i="3" l="1"/>
  <c r="AI875" i="3" a="1"/>
  <c r="AI875" i="3" s="1"/>
  <c r="AR873" i="3"/>
  <c r="W875" i="3"/>
  <c r="Y875" i="3" s="1"/>
  <c r="AE875" i="3" s="1"/>
  <c r="AL875" i="3" s="1"/>
  <c r="AA875" i="3"/>
  <c r="AC875" i="3" s="1"/>
  <c r="AJ875" i="3" s="1"/>
  <c r="A876" i="3"/>
  <c r="AF874" i="3"/>
  <c r="AN874" i="3" s="1"/>
  <c r="AQ874" i="3"/>
  <c r="U876" i="3" l="1"/>
  <c r="AR874" i="3"/>
  <c r="AF875" i="3"/>
  <c r="AN875" i="3" s="1"/>
  <c r="AQ875" i="3"/>
  <c r="A877" i="3"/>
  <c r="W876" i="3"/>
  <c r="Y876" i="3" s="1"/>
  <c r="AE876" i="3" s="1"/>
  <c r="AL876" i="3" s="1"/>
  <c r="AA876" i="3"/>
  <c r="AC876" i="3" s="1"/>
  <c r="U877" i="3" l="1"/>
  <c r="AI877" i="3" a="1"/>
  <c r="AI877" i="3" s="1"/>
  <c r="AR875" i="3"/>
  <c r="AO875" i="3"/>
  <c r="A878" i="3"/>
  <c r="AA877" i="3"/>
  <c r="AC877" i="3" s="1"/>
  <c r="AJ877" i="3" s="1"/>
  <c r="W877" i="3"/>
  <c r="Y877" i="3" s="1"/>
  <c r="AE877" i="3" s="1"/>
  <c r="AL877" i="3" s="1"/>
  <c r="AF876" i="3"/>
  <c r="AN876" i="3" s="1"/>
  <c r="AQ876" i="3"/>
  <c r="U878" i="3" l="1"/>
  <c r="AR876" i="3"/>
  <c r="W878" i="3"/>
  <c r="Y878" i="3" s="1"/>
  <c r="AE878" i="3" s="1"/>
  <c r="AL878" i="3" s="1"/>
  <c r="A879" i="3"/>
  <c r="AA878" i="3"/>
  <c r="AC878" i="3" s="1"/>
  <c r="AF877" i="3"/>
  <c r="AN877" i="3" s="1"/>
  <c r="AQ877" i="3"/>
  <c r="U879" i="3" l="1"/>
  <c r="AI879" i="3" a="1"/>
  <c r="AI879" i="3" s="1"/>
  <c r="AR877" i="3"/>
  <c r="AO877" i="3"/>
  <c r="AQ878" i="3"/>
  <c r="AF878" i="3"/>
  <c r="AN878" i="3" s="1"/>
  <c r="A880" i="3"/>
  <c r="AA879" i="3"/>
  <c r="AC879" i="3" s="1"/>
  <c r="AJ879" i="3" s="1"/>
  <c r="W879" i="3"/>
  <c r="Y879" i="3" s="1"/>
  <c r="AE879" i="3" s="1"/>
  <c r="AL879" i="3" s="1"/>
  <c r="U880" i="3" l="1"/>
  <c r="AI880" i="3" a="1"/>
  <c r="AI880" i="3" s="1"/>
  <c r="AR878" i="3"/>
  <c r="A881" i="3"/>
  <c r="W880" i="3"/>
  <c r="Y880" i="3" s="1"/>
  <c r="AE880" i="3" s="1"/>
  <c r="AL880" i="3" s="1"/>
  <c r="AA880" i="3"/>
  <c r="AC880" i="3" s="1"/>
  <c r="AJ880" i="3" s="1"/>
  <c r="AF879" i="3"/>
  <c r="AN879" i="3" s="1"/>
  <c r="AQ879" i="3"/>
  <c r="U881" i="3" l="1"/>
  <c r="AI881" i="3" a="1"/>
  <c r="AI881" i="3" s="1"/>
  <c r="AR879" i="3"/>
  <c r="AO879" i="3"/>
  <c r="AA881" i="3"/>
  <c r="AC881" i="3" s="1"/>
  <c r="AJ881" i="3" s="1"/>
  <c r="W881" i="3"/>
  <c r="Y881" i="3" s="1"/>
  <c r="A882" i="3"/>
  <c r="AF880" i="3"/>
  <c r="AN880" i="3" s="1"/>
  <c r="AQ880" i="3"/>
  <c r="AE881" i="3" l="1"/>
  <c r="AF881" i="3" s="1"/>
  <c r="AN881" i="3" s="1"/>
  <c r="U882" i="3"/>
  <c r="AI882" i="3" a="1"/>
  <c r="AI882" i="3" s="1"/>
  <c r="AR880" i="3"/>
  <c r="AO880" i="3"/>
  <c r="A883" i="3"/>
  <c r="AA882" i="3"/>
  <c r="AC882" i="3" s="1"/>
  <c r="AJ882" i="3" s="1"/>
  <c r="W882" i="3"/>
  <c r="Y882" i="3" s="1"/>
  <c r="AE882" i="3" l="1"/>
  <c r="AL881" i="3"/>
  <c r="U883" i="3"/>
  <c r="AI883" i="3" a="1"/>
  <c r="AI883" i="3" s="1"/>
  <c r="AR881" i="3"/>
  <c r="W883" i="3"/>
  <c r="Y883" i="3" s="1"/>
  <c r="AE883" i="3" s="1"/>
  <c r="AL883" i="3" s="1"/>
  <c r="AA883" i="3"/>
  <c r="AC883" i="3" s="1"/>
  <c r="AJ883" i="3" s="1"/>
  <c r="A884" i="3"/>
  <c r="AO881" i="3" l="1"/>
  <c r="AQ881" i="3"/>
  <c r="AL882" i="3"/>
  <c r="AQ882" i="3" s="1"/>
  <c r="AF882" i="3"/>
  <c r="AN882" i="3" s="1"/>
  <c r="U884" i="3"/>
  <c r="AI884" i="3" a="1"/>
  <c r="AI884" i="3" s="1"/>
  <c r="AR882" i="3"/>
  <c r="AO882" i="3"/>
  <c r="AF883" i="3"/>
  <c r="AN883" i="3" s="1"/>
  <c r="AQ883" i="3"/>
  <c r="A885" i="3"/>
  <c r="AA884" i="3"/>
  <c r="AC884" i="3" s="1"/>
  <c r="AJ884" i="3" s="1"/>
  <c r="W884" i="3"/>
  <c r="Y884" i="3" s="1"/>
  <c r="AE884" i="3" s="1"/>
  <c r="AL884" i="3" s="1"/>
  <c r="U885" i="3" l="1"/>
  <c r="AI885" i="3" a="1"/>
  <c r="AI885" i="3" s="1"/>
  <c r="AR883" i="3"/>
  <c r="AO883" i="3"/>
  <c r="W885" i="3"/>
  <c r="Y885" i="3" s="1"/>
  <c r="AE885" i="3" s="1"/>
  <c r="AL885" i="3" s="1"/>
  <c r="AA885" i="3"/>
  <c r="AC885" i="3" s="1"/>
  <c r="AJ885" i="3" s="1"/>
  <c r="A886" i="3"/>
  <c r="AF884" i="3"/>
  <c r="AN884" i="3" s="1"/>
  <c r="AQ884" i="3"/>
  <c r="U886" i="3" l="1"/>
  <c r="AI886" i="3" a="1"/>
  <c r="AI886" i="3" s="1"/>
  <c r="AR884" i="3"/>
  <c r="AO884" i="3"/>
  <c r="AF885" i="3"/>
  <c r="AN885" i="3" s="1"/>
  <c r="AQ885" i="3"/>
  <c r="W886" i="3"/>
  <c r="Y886" i="3" s="1"/>
  <c r="AE886" i="3" s="1"/>
  <c r="AL886" i="3" s="1"/>
  <c r="AA886" i="3"/>
  <c r="AC886" i="3" s="1"/>
  <c r="AJ886" i="3" s="1"/>
  <c r="A887" i="3"/>
  <c r="U887" i="3" l="1"/>
  <c r="AR885" i="3"/>
  <c r="AO885" i="3"/>
  <c r="AQ886" i="3"/>
  <c r="AF886" i="3"/>
  <c r="AN886" i="3" s="1"/>
  <c r="A888" i="3"/>
  <c r="AA887" i="3"/>
  <c r="AC887" i="3" s="1"/>
  <c r="W887" i="3"/>
  <c r="Y887" i="3" s="1"/>
  <c r="AE887" i="3" s="1"/>
  <c r="AL887" i="3" s="1"/>
  <c r="U888" i="3" l="1"/>
  <c r="AI888" i="3" a="1"/>
  <c r="AI888" i="3" s="1"/>
  <c r="AR886" i="3"/>
  <c r="AO886" i="3"/>
  <c r="AA888" i="3"/>
  <c r="AC888" i="3" s="1"/>
  <c r="AJ888" i="3" s="1"/>
  <c r="A889" i="3"/>
  <c r="W888" i="3"/>
  <c r="Y888" i="3" s="1"/>
  <c r="AE888" i="3" s="1"/>
  <c r="AL888" i="3" s="1"/>
  <c r="AF887" i="3"/>
  <c r="AN887" i="3" s="1"/>
  <c r="AQ887" i="3"/>
  <c r="U889" i="3" l="1"/>
  <c r="AR887" i="3"/>
  <c r="A890" i="3"/>
  <c r="AA889" i="3"/>
  <c r="AC889" i="3" s="1"/>
  <c r="W889" i="3"/>
  <c r="Y889" i="3" s="1"/>
  <c r="AE889" i="3" s="1"/>
  <c r="AL889" i="3" s="1"/>
  <c r="AF888" i="3"/>
  <c r="AN888" i="3" s="1"/>
  <c r="AQ888" i="3"/>
  <c r="U890" i="3" l="1"/>
  <c r="AR888" i="3"/>
  <c r="AO888" i="3"/>
  <c r="W890" i="3"/>
  <c r="Y890" i="3" s="1"/>
  <c r="AE890" i="3" s="1"/>
  <c r="AL890" i="3" s="1"/>
  <c r="A891" i="3"/>
  <c r="AA890" i="3"/>
  <c r="AC890" i="3" s="1"/>
  <c r="AF889" i="3"/>
  <c r="AN889" i="3" s="1"/>
  <c r="AQ889" i="3"/>
  <c r="U891" i="3" l="1"/>
  <c r="AI891" i="3" a="1"/>
  <c r="AI891" i="3" s="1"/>
  <c r="AR889" i="3"/>
  <c r="AQ890" i="3"/>
  <c r="AF890" i="3"/>
  <c r="AN890" i="3" s="1"/>
  <c r="A892" i="3"/>
  <c r="AA891" i="3"/>
  <c r="AC891" i="3" s="1"/>
  <c r="AJ891" i="3" s="1"/>
  <c r="W891" i="3"/>
  <c r="Y891" i="3" s="1"/>
  <c r="AE891" i="3" s="1"/>
  <c r="AL891" i="3" s="1"/>
  <c r="U892" i="3" l="1"/>
  <c r="AI892" i="3" a="1"/>
  <c r="AI892" i="3" s="1"/>
  <c r="AR890" i="3"/>
  <c r="A893" i="3"/>
  <c r="AA892" i="3"/>
  <c r="AC892" i="3" s="1"/>
  <c r="AJ892" i="3" s="1"/>
  <c r="W892" i="3"/>
  <c r="Y892" i="3" s="1"/>
  <c r="AE892" i="3" s="1"/>
  <c r="AL892" i="3" s="1"/>
  <c r="AF891" i="3"/>
  <c r="AN891" i="3" s="1"/>
  <c r="AQ891" i="3"/>
  <c r="U893" i="3" l="1"/>
  <c r="AI893" i="3" a="1"/>
  <c r="AI893" i="3" s="1"/>
  <c r="AR891" i="3"/>
  <c r="AO891" i="3"/>
  <c r="A894" i="3"/>
  <c r="AA893" i="3"/>
  <c r="AC893" i="3" s="1"/>
  <c r="AJ893" i="3" s="1"/>
  <c r="W893" i="3"/>
  <c r="Y893" i="3" s="1"/>
  <c r="AE893" i="3" s="1"/>
  <c r="AL893" i="3" s="1"/>
  <c r="AF892" i="3"/>
  <c r="AN892" i="3" s="1"/>
  <c r="AQ892" i="3"/>
  <c r="U894" i="3" l="1"/>
  <c r="AI894" i="3" a="1"/>
  <c r="AI894" i="3" s="1"/>
  <c r="AR892" i="3"/>
  <c r="AO892" i="3"/>
  <c r="A895" i="3"/>
  <c r="W894" i="3"/>
  <c r="Y894" i="3" s="1"/>
  <c r="AE894" i="3" s="1"/>
  <c r="AL894" i="3" s="1"/>
  <c r="AA894" i="3"/>
  <c r="AC894" i="3" s="1"/>
  <c r="AJ894" i="3" s="1"/>
  <c r="AF893" i="3"/>
  <c r="AN893" i="3" s="1"/>
  <c r="AQ893" i="3"/>
  <c r="U895" i="3" l="1"/>
  <c r="AI895" i="3" a="1"/>
  <c r="AI895" i="3" s="1"/>
  <c r="AR893" i="3"/>
  <c r="AO893" i="3"/>
  <c r="A896" i="3"/>
  <c r="AA895" i="3"/>
  <c r="AC895" i="3" s="1"/>
  <c r="AJ895" i="3" s="1"/>
  <c r="W895" i="3"/>
  <c r="Y895" i="3" s="1"/>
  <c r="AE895" i="3" s="1"/>
  <c r="AL895" i="3" s="1"/>
  <c r="AF894" i="3"/>
  <c r="AN894" i="3" s="1"/>
  <c r="AQ894" i="3"/>
  <c r="U896" i="3" l="1"/>
  <c r="AR894" i="3"/>
  <c r="AO894" i="3"/>
  <c r="A897" i="3"/>
  <c r="AA896" i="3"/>
  <c r="AC896" i="3" s="1"/>
  <c r="W896" i="3"/>
  <c r="Y896" i="3" s="1"/>
  <c r="AE896" i="3" s="1"/>
  <c r="AL896" i="3" s="1"/>
  <c r="AF895" i="3"/>
  <c r="AN895" i="3" s="1"/>
  <c r="AQ895" i="3"/>
  <c r="U897" i="3" l="1"/>
  <c r="AI897" i="3" a="1"/>
  <c r="AI897" i="3" s="1"/>
  <c r="AR895" i="3"/>
  <c r="AO895" i="3"/>
  <c r="W897" i="3"/>
  <c r="Y897" i="3" s="1"/>
  <c r="AE897" i="3" s="1"/>
  <c r="AL897" i="3" s="1"/>
  <c r="A898" i="3"/>
  <c r="AA897" i="3"/>
  <c r="AC897" i="3" s="1"/>
  <c r="AJ897" i="3" s="1"/>
  <c r="AQ896" i="3"/>
  <c r="AF896" i="3"/>
  <c r="AN896" i="3" s="1"/>
  <c r="U898" i="3" l="1"/>
  <c r="AI898" i="3" a="1"/>
  <c r="AI898" i="3" s="1"/>
  <c r="AR896" i="3"/>
  <c r="AQ897" i="3"/>
  <c r="AF897" i="3"/>
  <c r="AN897" i="3" s="1"/>
  <c r="W898" i="3"/>
  <c r="Y898" i="3" s="1"/>
  <c r="AE898" i="3" s="1"/>
  <c r="AL898" i="3" s="1"/>
  <c r="A899" i="3"/>
  <c r="AA898" i="3"/>
  <c r="AC898" i="3" s="1"/>
  <c r="AJ898" i="3" s="1"/>
  <c r="U899" i="3" l="1"/>
  <c r="AI899" i="3" a="1"/>
  <c r="AI899" i="3" s="1"/>
  <c r="AR897" i="3"/>
  <c r="AO897" i="3"/>
  <c r="AF898" i="3"/>
  <c r="AN898" i="3" s="1"/>
  <c r="AQ898" i="3"/>
  <c r="A900" i="3"/>
  <c r="AA899" i="3"/>
  <c r="AC899" i="3" s="1"/>
  <c r="AJ899" i="3" s="1"/>
  <c r="W899" i="3"/>
  <c r="Y899" i="3" s="1"/>
  <c r="AE899" i="3" l="1"/>
  <c r="U900" i="3"/>
  <c r="AI900" i="3" a="1"/>
  <c r="AI900" i="3" s="1"/>
  <c r="AR898" i="3"/>
  <c r="AO898" i="3"/>
  <c r="A901" i="3"/>
  <c r="AA900" i="3"/>
  <c r="AC900" i="3" s="1"/>
  <c r="AJ900" i="3" s="1"/>
  <c r="W900" i="3"/>
  <c r="Y900" i="3" s="1"/>
  <c r="AE900" i="3" s="1"/>
  <c r="AL900" i="3" s="1"/>
  <c r="AL899" i="3" l="1"/>
  <c r="AF899" i="3"/>
  <c r="AQ899" i="3"/>
  <c r="U901" i="3"/>
  <c r="AI901" i="3" a="1"/>
  <c r="AI901" i="3" s="1"/>
  <c r="AA901" i="3"/>
  <c r="AC901" i="3" s="1"/>
  <c r="AJ901" i="3" s="1"/>
  <c r="A902" i="3"/>
  <c r="W901" i="3"/>
  <c r="Y901" i="3" s="1"/>
  <c r="AE901" i="3" s="1"/>
  <c r="AL901" i="3" s="1"/>
  <c r="AF900" i="3"/>
  <c r="AN900" i="3" s="1"/>
  <c r="AQ900" i="3"/>
  <c r="AN899" i="3" l="1"/>
  <c r="AO899" i="3" s="1"/>
  <c r="AR899" i="3"/>
  <c r="U902" i="3"/>
  <c r="AR900" i="3"/>
  <c r="AO900" i="3"/>
  <c r="A903" i="3"/>
  <c r="AA902" i="3"/>
  <c r="AC902" i="3" s="1"/>
  <c r="W902" i="3"/>
  <c r="Y902" i="3" s="1"/>
  <c r="AE902" i="3" s="1"/>
  <c r="AL902" i="3" s="1"/>
  <c r="AF901" i="3"/>
  <c r="AN901" i="3" s="1"/>
  <c r="AQ901" i="3"/>
  <c r="U903" i="3" l="1"/>
  <c r="AI903" i="3" a="1"/>
  <c r="AI903" i="3" s="1"/>
  <c r="AR901" i="3"/>
  <c r="AO901" i="3"/>
  <c r="A904" i="3"/>
  <c r="AA903" i="3"/>
  <c r="AC903" i="3" s="1"/>
  <c r="AJ903" i="3" s="1"/>
  <c r="W903" i="3"/>
  <c r="Y903" i="3" s="1"/>
  <c r="AE903" i="3" s="1"/>
  <c r="AL903" i="3" s="1"/>
  <c r="AF902" i="3"/>
  <c r="AN902" i="3" s="1"/>
  <c r="AQ902" i="3"/>
  <c r="U904" i="3" l="1"/>
  <c r="AI904" i="3" a="1"/>
  <c r="AI904" i="3" s="1"/>
  <c r="AR902" i="3"/>
  <c r="W904" i="3"/>
  <c r="Y904" i="3" s="1"/>
  <c r="A905" i="3"/>
  <c r="AA904" i="3"/>
  <c r="AC904" i="3" s="1"/>
  <c r="AJ904" i="3" s="1"/>
  <c r="AF903" i="3"/>
  <c r="AN903" i="3" s="1"/>
  <c r="AQ903" i="3"/>
  <c r="AE904" i="3" l="1"/>
  <c r="U905" i="3"/>
  <c r="AI905" i="3" a="1"/>
  <c r="AI905" i="3" s="1"/>
  <c r="AR903" i="3"/>
  <c r="AO903" i="3"/>
  <c r="A906" i="3"/>
  <c r="AA905" i="3"/>
  <c r="AC905" i="3" s="1"/>
  <c r="AJ905" i="3" s="1"/>
  <c r="W905" i="3"/>
  <c r="Y905" i="3" s="1"/>
  <c r="AE905" i="3" l="1"/>
  <c r="AL904" i="3"/>
  <c r="AF904" i="3"/>
  <c r="AN904" i="3" s="1"/>
  <c r="AQ904" i="3"/>
  <c r="U906" i="3"/>
  <c r="AI906" i="3" a="1"/>
  <c r="AI906" i="3" s="1"/>
  <c r="W906" i="3"/>
  <c r="Y906" i="3" s="1"/>
  <c r="AE906" i="3" s="1"/>
  <c r="AL906" i="3" s="1"/>
  <c r="A907" i="3"/>
  <c r="AA906" i="3"/>
  <c r="AC906" i="3" s="1"/>
  <c r="AJ906" i="3" s="1"/>
  <c r="AR904" i="3" l="1"/>
  <c r="AO904" i="3"/>
  <c r="AL905" i="3"/>
  <c r="AF905" i="3"/>
  <c r="AQ905" i="3"/>
  <c r="U907" i="3"/>
  <c r="AI907" i="3" a="1"/>
  <c r="AI907" i="3" s="1"/>
  <c r="AF906" i="3"/>
  <c r="AN906" i="3" s="1"/>
  <c r="AQ906" i="3"/>
  <c r="A908" i="3"/>
  <c r="AA907" i="3"/>
  <c r="AC907" i="3" s="1"/>
  <c r="AJ907" i="3" s="1"/>
  <c r="W907" i="3"/>
  <c r="Y907" i="3" s="1"/>
  <c r="AE907" i="3" s="1"/>
  <c r="AL907" i="3" s="1"/>
  <c r="AN905" i="3" l="1"/>
  <c r="U908" i="3"/>
  <c r="AI908" i="3" a="1"/>
  <c r="AI908" i="3" s="1"/>
  <c r="AR906" i="3"/>
  <c r="AO906" i="3"/>
  <c r="A909" i="3"/>
  <c r="W908" i="3"/>
  <c r="Y908" i="3" s="1"/>
  <c r="AA908" i="3"/>
  <c r="AC908" i="3" s="1"/>
  <c r="AJ908" i="3" s="1"/>
  <c r="AQ907" i="3"/>
  <c r="AF907" i="3"/>
  <c r="AN907" i="3" s="1"/>
  <c r="AO905" i="3" l="1"/>
  <c r="AR905" i="3"/>
  <c r="AE908" i="3"/>
  <c r="U909" i="3"/>
  <c r="AI909" i="3" a="1"/>
  <c r="AI909" i="3" s="1"/>
  <c r="AR907" i="3"/>
  <c r="AO907" i="3"/>
  <c r="A910" i="3"/>
  <c r="AA909" i="3"/>
  <c r="AC909" i="3" s="1"/>
  <c r="AJ909" i="3" s="1"/>
  <c r="W909" i="3"/>
  <c r="Y909" i="3" s="1"/>
  <c r="AE909" i="3" s="1"/>
  <c r="AL909" i="3" s="1"/>
  <c r="AL908" i="3" l="1"/>
  <c r="AF908" i="3"/>
  <c r="AN908" i="3" s="1"/>
  <c r="AQ908" i="3"/>
  <c r="U910" i="3"/>
  <c r="AI910" i="3" a="1"/>
  <c r="AI910" i="3" s="1"/>
  <c r="AR908" i="3"/>
  <c r="AO908" i="3"/>
  <c r="A911" i="3"/>
  <c r="AA910" i="3"/>
  <c r="AC910" i="3" s="1"/>
  <c r="AJ910" i="3" s="1"/>
  <c r="W910" i="3"/>
  <c r="Y910" i="3" s="1"/>
  <c r="AE910" i="3" s="1"/>
  <c r="AL910" i="3" s="1"/>
  <c r="AF909" i="3"/>
  <c r="AN909" i="3" s="1"/>
  <c r="AQ909" i="3"/>
  <c r="U911" i="3" l="1"/>
  <c r="AI911" i="3" a="1"/>
  <c r="AI911" i="3" s="1"/>
  <c r="AR909" i="3"/>
  <c r="AO909" i="3"/>
  <c r="A912" i="3"/>
  <c r="W911" i="3"/>
  <c r="Y911" i="3" s="1"/>
  <c r="AE911" i="3" s="1"/>
  <c r="AL911" i="3" s="1"/>
  <c r="AA911" i="3"/>
  <c r="AC911" i="3" s="1"/>
  <c r="AJ911" i="3" s="1"/>
  <c r="AF910" i="3"/>
  <c r="AN910" i="3" s="1"/>
  <c r="AQ910" i="3"/>
  <c r="U912" i="3" l="1"/>
  <c r="AR910" i="3"/>
  <c r="AO910" i="3"/>
  <c r="W912" i="3"/>
  <c r="Y912" i="3" s="1"/>
  <c r="AE912" i="3" s="1"/>
  <c r="AL912" i="3" s="1"/>
  <c r="A913" i="3"/>
  <c r="AA912" i="3"/>
  <c r="AC912" i="3" s="1"/>
  <c r="AQ911" i="3"/>
  <c r="AF911" i="3"/>
  <c r="AN911" i="3" s="1"/>
  <c r="U913" i="3" l="1"/>
  <c r="AI913" i="3" a="1"/>
  <c r="AI913" i="3" s="1"/>
  <c r="AR911" i="3"/>
  <c r="AO911" i="3"/>
  <c r="AF912" i="3"/>
  <c r="AN912" i="3" s="1"/>
  <c r="AQ912" i="3"/>
  <c r="AA913" i="3"/>
  <c r="AC913" i="3" s="1"/>
  <c r="AJ913" i="3" s="1"/>
  <c r="A914" i="3"/>
  <c r="W913" i="3"/>
  <c r="Y913" i="3" s="1"/>
  <c r="AE913" i="3" s="1"/>
  <c r="AL913" i="3" s="1"/>
  <c r="U914" i="3" l="1"/>
  <c r="AI914" i="3" a="1"/>
  <c r="AI914" i="3" s="1"/>
  <c r="AR912" i="3"/>
  <c r="A915" i="3"/>
  <c r="AA914" i="3"/>
  <c r="AC914" i="3" s="1"/>
  <c r="AJ914" i="3" s="1"/>
  <c r="W914" i="3"/>
  <c r="Y914" i="3" s="1"/>
  <c r="AE914" i="3" s="1"/>
  <c r="AL914" i="3" s="1"/>
  <c r="AF913" i="3"/>
  <c r="AN913" i="3" s="1"/>
  <c r="AQ913" i="3"/>
  <c r="U915" i="3" l="1"/>
  <c r="AI915" i="3" a="1"/>
  <c r="AI915" i="3" s="1"/>
  <c r="AR913" i="3"/>
  <c r="AO913" i="3"/>
  <c r="A916" i="3"/>
  <c r="W915" i="3"/>
  <c r="Y915" i="3" s="1"/>
  <c r="AE915" i="3" s="1"/>
  <c r="AL915" i="3" s="1"/>
  <c r="AA915" i="3"/>
  <c r="AC915" i="3" s="1"/>
  <c r="AJ915" i="3" s="1"/>
  <c r="AQ914" i="3"/>
  <c r="AF914" i="3"/>
  <c r="AN914" i="3" s="1"/>
  <c r="U916" i="3" l="1"/>
  <c r="AR914" i="3"/>
  <c r="AO914" i="3"/>
  <c r="W916" i="3"/>
  <c r="Y916" i="3" s="1"/>
  <c r="AE916" i="3" s="1"/>
  <c r="AL916" i="3" s="1"/>
  <c r="A917" i="3"/>
  <c r="AA916" i="3"/>
  <c r="AC916" i="3" s="1"/>
  <c r="AF915" i="3"/>
  <c r="AN915" i="3" s="1"/>
  <c r="AQ915" i="3"/>
  <c r="U917" i="3" l="1"/>
  <c r="AI917" i="3" a="1"/>
  <c r="AI917" i="3" s="1"/>
  <c r="AR915" i="3"/>
  <c r="AO915" i="3"/>
  <c r="AF916" i="3"/>
  <c r="AN916" i="3" s="1"/>
  <c r="AQ916" i="3"/>
  <c r="A918" i="3"/>
  <c r="AA917" i="3"/>
  <c r="AC917" i="3" s="1"/>
  <c r="AJ917" i="3" s="1"/>
  <c r="W917" i="3"/>
  <c r="Y917" i="3" s="1"/>
  <c r="AE917" i="3" s="1"/>
  <c r="AL917" i="3" s="1"/>
  <c r="U918" i="3" l="1"/>
  <c r="AR916" i="3"/>
  <c r="A919" i="3"/>
  <c r="AA918" i="3"/>
  <c r="AC918" i="3" s="1"/>
  <c r="W918" i="3"/>
  <c r="Y918" i="3" s="1"/>
  <c r="AE918" i="3" s="1"/>
  <c r="AL918" i="3" s="1"/>
  <c r="AF917" i="3"/>
  <c r="AN917" i="3" s="1"/>
  <c r="AQ917" i="3"/>
  <c r="U919" i="3" l="1"/>
  <c r="AI919" i="3" a="1"/>
  <c r="AI919" i="3" s="1"/>
  <c r="AR917" i="3"/>
  <c r="AO917" i="3"/>
  <c r="A920" i="3"/>
  <c r="AA919" i="3"/>
  <c r="AC919" i="3" s="1"/>
  <c r="AJ919" i="3" s="1"/>
  <c r="W919" i="3"/>
  <c r="Y919" i="3" s="1"/>
  <c r="AE919" i="3" s="1"/>
  <c r="AL919" i="3" s="1"/>
  <c r="AF918" i="3"/>
  <c r="AN918" i="3" s="1"/>
  <c r="AQ918" i="3"/>
  <c r="U920" i="3" l="1"/>
  <c r="AI920" i="3" a="1"/>
  <c r="AI920" i="3" s="1"/>
  <c r="AR918" i="3"/>
  <c r="AA920" i="3"/>
  <c r="AC920" i="3" s="1"/>
  <c r="AJ920" i="3" s="1"/>
  <c r="A921" i="3"/>
  <c r="W920" i="3"/>
  <c r="Y920" i="3" s="1"/>
  <c r="AF919" i="3"/>
  <c r="AN919" i="3" s="1"/>
  <c r="AQ919" i="3"/>
  <c r="AE920" i="3" l="1"/>
  <c r="U921" i="3"/>
  <c r="AI921" i="3" a="1"/>
  <c r="AI921" i="3" s="1"/>
  <c r="AR919" i="3"/>
  <c r="AO919" i="3"/>
  <c r="A922" i="3"/>
  <c r="AA921" i="3"/>
  <c r="AC921" i="3" s="1"/>
  <c r="AJ921" i="3" s="1"/>
  <c r="W921" i="3"/>
  <c r="Y921" i="3" s="1"/>
  <c r="AE921" i="3" s="1"/>
  <c r="AL921" i="3" s="1"/>
  <c r="AL920" i="3" l="1"/>
  <c r="AF920" i="3"/>
  <c r="AQ920" i="3"/>
  <c r="U922" i="3"/>
  <c r="AI922" i="3" a="1"/>
  <c r="AI922" i="3" s="1"/>
  <c r="A923" i="3"/>
  <c r="AA922" i="3"/>
  <c r="AC922" i="3" s="1"/>
  <c r="AJ922" i="3" s="1"/>
  <c r="W922" i="3"/>
  <c r="Y922" i="3" s="1"/>
  <c r="AE922" i="3" s="1"/>
  <c r="AL922" i="3" s="1"/>
  <c r="AQ921" i="3"/>
  <c r="AF921" i="3"/>
  <c r="AN921" i="3" s="1"/>
  <c r="AN920" i="3" l="1"/>
  <c r="U923" i="3"/>
  <c r="AI923" i="3" a="1"/>
  <c r="AI923" i="3" s="1"/>
  <c r="AR921" i="3"/>
  <c r="AO921" i="3"/>
  <c r="A924" i="3"/>
  <c r="AA923" i="3"/>
  <c r="AC923" i="3" s="1"/>
  <c r="AJ923" i="3" s="1"/>
  <c r="W923" i="3"/>
  <c r="Y923" i="3" s="1"/>
  <c r="AE923" i="3" s="1"/>
  <c r="AL923" i="3" s="1"/>
  <c r="AF922" i="3"/>
  <c r="AN922" i="3" s="1"/>
  <c r="AQ922" i="3"/>
  <c r="AO920" i="3" l="1"/>
  <c r="AR920" i="3"/>
  <c r="U924" i="3"/>
  <c r="AR922" i="3"/>
  <c r="AO922" i="3"/>
  <c r="AA924" i="3"/>
  <c r="AC924" i="3" s="1"/>
  <c r="A925" i="3"/>
  <c r="W924" i="3"/>
  <c r="Y924" i="3" s="1"/>
  <c r="AE924" i="3" s="1"/>
  <c r="AL924" i="3" s="1"/>
  <c r="AF923" i="3"/>
  <c r="AN923" i="3" s="1"/>
  <c r="AQ923" i="3"/>
  <c r="U925" i="3" l="1"/>
  <c r="AR923" i="3"/>
  <c r="AO923" i="3"/>
  <c r="W925" i="3"/>
  <c r="Y925" i="3" s="1"/>
  <c r="AE925" i="3" s="1"/>
  <c r="AL925" i="3" s="1"/>
  <c r="AA925" i="3"/>
  <c r="AC925" i="3" s="1"/>
  <c r="A926" i="3"/>
  <c r="AQ924" i="3"/>
  <c r="AF924" i="3"/>
  <c r="AN924" i="3" s="1"/>
  <c r="U926" i="3" l="1"/>
  <c r="AR924" i="3"/>
  <c r="AF925" i="3"/>
  <c r="AN925" i="3" s="1"/>
  <c r="AQ925" i="3"/>
  <c r="A927" i="3"/>
  <c r="AA926" i="3"/>
  <c r="AC926" i="3" s="1"/>
  <c r="W926" i="3"/>
  <c r="Y926" i="3" s="1"/>
  <c r="AE926" i="3" s="1"/>
  <c r="AL926" i="3" s="1"/>
  <c r="U927" i="3" l="1"/>
  <c r="AI927" i="3" a="1"/>
  <c r="AI927" i="3" s="1"/>
  <c r="AR925" i="3"/>
  <c r="AA927" i="3"/>
  <c r="AC927" i="3" s="1"/>
  <c r="AJ927" i="3" s="1"/>
  <c r="A928" i="3"/>
  <c r="W927" i="3"/>
  <c r="Y927" i="3" s="1"/>
  <c r="AE927" i="3" s="1"/>
  <c r="AL927" i="3" s="1"/>
  <c r="AF926" i="3"/>
  <c r="AN926" i="3" s="1"/>
  <c r="AQ926" i="3"/>
  <c r="U928" i="3" l="1"/>
  <c r="AR926" i="3"/>
  <c r="A929" i="3"/>
  <c r="W928" i="3"/>
  <c r="Y928" i="3" s="1"/>
  <c r="AE928" i="3" s="1"/>
  <c r="AL928" i="3" s="1"/>
  <c r="AA928" i="3"/>
  <c r="AC928" i="3" s="1"/>
  <c r="AF927" i="3"/>
  <c r="AN927" i="3" s="1"/>
  <c r="AQ927" i="3"/>
  <c r="U929" i="3" l="1"/>
  <c r="AI929" i="3" a="1"/>
  <c r="AI929" i="3" s="1"/>
  <c r="AR927" i="3"/>
  <c r="AO927" i="3"/>
  <c r="A930" i="3"/>
  <c r="AA929" i="3"/>
  <c r="AC929" i="3" s="1"/>
  <c r="AJ929" i="3" s="1"/>
  <c r="W929" i="3"/>
  <c r="Y929" i="3" s="1"/>
  <c r="AE929" i="3" s="1"/>
  <c r="AL929" i="3" s="1"/>
  <c r="AQ928" i="3"/>
  <c r="AF928" i="3"/>
  <c r="AN928" i="3" s="1"/>
  <c r="U930" i="3" l="1"/>
  <c r="AI930" i="3" a="1"/>
  <c r="AI930" i="3" s="1"/>
  <c r="AR928" i="3"/>
  <c r="AA930" i="3"/>
  <c r="AC930" i="3" s="1"/>
  <c r="AJ930" i="3" s="1"/>
  <c r="W930" i="3"/>
  <c r="Y930" i="3" s="1"/>
  <c r="AE930" i="3" s="1"/>
  <c r="AL930" i="3" s="1"/>
  <c r="A931" i="3"/>
  <c r="AQ929" i="3"/>
  <c r="AF929" i="3"/>
  <c r="AN929" i="3" s="1"/>
  <c r="U931" i="3" l="1"/>
  <c r="AR929" i="3"/>
  <c r="AO929" i="3"/>
  <c r="AQ930" i="3"/>
  <c r="AF930" i="3"/>
  <c r="AN930" i="3" s="1"/>
  <c r="A932" i="3"/>
  <c r="W931" i="3"/>
  <c r="Y931" i="3" s="1"/>
  <c r="AE931" i="3" s="1"/>
  <c r="AL931" i="3" s="1"/>
  <c r="AA931" i="3"/>
  <c r="AC931" i="3" s="1"/>
  <c r="U932" i="3" l="1"/>
  <c r="AI932" i="3" a="1"/>
  <c r="AI932" i="3" s="1"/>
  <c r="AR930" i="3"/>
  <c r="AO930" i="3"/>
  <c r="W932" i="3"/>
  <c r="Y932" i="3" s="1"/>
  <c r="AE932" i="3" s="1"/>
  <c r="AL932" i="3" s="1"/>
  <c r="AA932" i="3"/>
  <c r="AC932" i="3" s="1"/>
  <c r="AJ932" i="3" s="1"/>
  <c r="A933" i="3"/>
  <c r="AF931" i="3"/>
  <c r="AN931" i="3" s="1"/>
  <c r="AQ931" i="3"/>
  <c r="U933" i="3" l="1"/>
  <c r="AI933" i="3" a="1"/>
  <c r="AI933" i="3" s="1"/>
  <c r="AR931" i="3"/>
  <c r="AF932" i="3"/>
  <c r="AN932" i="3" s="1"/>
  <c r="AQ932" i="3"/>
  <c r="A934" i="3"/>
  <c r="W933" i="3"/>
  <c r="Y933" i="3" s="1"/>
  <c r="AE933" i="3" s="1"/>
  <c r="AL933" i="3" s="1"/>
  <c r="AA933" i="3"/>
  <c r="AC933" i="3" s="1"/>
  <c r="AJ933" i="3" s="1"/>
  <c r="U934" i="3" l="1"/>
  <c r="AI934" i="3" a="1"/>
  <c r="AI934" i="3" s="1"/>
  <c r="AR932" i="3"/>
  <c r="AO932" i="3"/>
  <c r="A935" i="3"/>
  <c r="W934" i="3"/>
  <c r="Y934" i="3" s="1"/>
  <c r="AE934" i="3" s="1"/>
  <c r="AL934" i="3" s="1"/>
  <c r="AA934" i="3"/>
  <c r="AC934" i="3" s="1"/>
  <c r="AJ934" i="3" s="1"/>
  <c r="AF933" i="3"/>
  <c r="AN933" i="3" s="1"/>
  <c r="AQ933" i="3"/>
  <c r="U935" i="3" l="1"/>
  <c r="AR933" i="3"/>
  <c r="AO933" i="3"/>
  <c r="W935" i="3"/>
  <c r="Y935" i="3" s="1"/>
  <c r="AE935" i="3" s="1"/>
  <c r="AL935" i="3" s="1"/>
  <c r="A936" i="3"/>
  <c r="AA935" i="3"/>
  <c r="AC935" i="3" s="1"/>
  <c r="AF934" i="3"/>
  <c r="AN934" i="3" s="1"/>
  <c r="AQ934" i="3"/>
  <c r="U936" i="3" l="1"/>
  <c r="AR934" i="3"/>
  <c r="AO934" i="3"/>
  <c r="AF935" i="3"/>
  <c r="AN935" i="3" s="1"/>
  <c r="AQ935" i="3"/>
  <c r="A937" i="3"/>
  <c r="W936" i="3"/>
  <c r="Y936" i="3" s="1"/>
  <c r="AE936" i="3" s="1"/>
  <c r="AL936" i="3" s="1"/>
  <c r="AA936" i="3"/>
  <c r="AC936" i="3" s="1"/>
  <c r="U937" i="3" l="1"/>
  <c r="AR935" i="3"/>
  <c r="A938" i="3"/>
  <c r="AA937" i="3"/>
  <c r="AC937" i="3" s="1"/>
  <c r="W937" i="3"/>
  <c r="Y937" i="3" s="1"/>
  <c r="AE937" i="3" s="1"/>
  <c r="AL937" i="3" s="1"/>
  <c r="AQ936" i="3"/>
  <c r="AF936" i="3"/>
  <c r="AN936" i="3" s="1"/>
  <c r="U938" i="3" l="1"/>
  <c r="AR936" i="3"/>
  <c r="A939" i="3"/>
  <c r="W938" i="3"/>
  <c r="Y938" i="3" s="1"/>
  <c r="AE938" i="3" s="1"/>
  <c r="AL938" i="3" s="1"/>
  <c r="AA938" i="3"/>
  <c r="AC938" i="3" s="1"/>
  <c r="AF937" i="3"/>
  <c r="AN937" i="3" s="1"/>
  <c r="AQ937" i="3"/>
  <c r="U939" i="3" l="1"/>
  <c r="AR937" i="3"/>
  <c r="A940" i="3"/>
  <c r="AA939" i="3"/>
  <c r="AC939" i="3" s="1"/>
  <c r="W939" i="3"/>
  <c r="Y939" i="3" s="1"/>
  <c r="AE939" i="3" s="1"/>
  <c r="AL939" i="3" s="1"/>
  <c r="AF938" i="3"/>
  <c r="AN938" i="3" s="1"/>
  <c r="AQ938" i="3"/>
  <c r="U940" i="3" l="1"/>
  <c r="AI940" i="3" a="1"/>
  <c r="AI940" i="3" s="1"/>
  <c r="AR938" i="3"/>
  <c r="A941" i="3"/>
  <c r="W940" i="3"/>
  <c r="Y940" i="3" s="1"/>
  <c r="AE940" i="3" s="1"/>
  <c r="AL940" i="3" s="1"/>
  <c r="AA940" i="3"/>
  <c r="AC940" i="3" s="1"/>
  <c r="AJ940" i="3" s="1"/>
  <c r="AF939" i="3"/>
  <c r="AN939" i="3" s="1"/>
  <c r="AQ939" i="3"/>
  <c r="U941" i="3" l="1"/>
  <c r="AI941" i="3" a="1"/>
  <c r="AI941" i="3" s="1"/>
  <c r="AR939" i="3"/>
  <c r="W941" i="3"/>
  <c r="Y941" i="3" s="1"/>
  <c r="AE941" i="3" s="1"/>
  <c r="AL941" i="3" s="1"/>
  <c r="A942" i="3"/>
  <c r="AA941" i="3"/>
  <c r="AC941" i="3" s="1"/>
  <c r="AJ941" i="3" s="1"/>
  <c r="AF940" i="3"/>
  <c r="AN940" i="3" s="1"/>
  <c r="AQ940" i="3"/>
  <c r="U942" i="3" l="1"/>
  <c r="AI942" i="3" a="1"/>
  <c r="AI942" i="3" s="1"/>
  <c r="AR940" i="3"/>
  <c r="AO940" i="3"/>
  <c r="AF941" i="3"/>
  <c r="AN941" i="3" s="1"/>
  <c r="AQ941" i="3"/>
  <c r="A943" i="3"/>
  <c r="AA942" i="3"/>
  <c r="AC942" i="3" s="1"/>
  <c r="AJ942" i="3" s="1"/>
  <c r="W942" i="3"/>
  <c r="Y942" i="3" s="1"/>
  <c r="AE942" i="3" s="1"/>
  <c r="AL942" i="3" s="1"/>
  <c r="U943" i="3" l="1"/>
  <c r="AI943" i="3" a="1"/>
  <c r="AI943" i="3" s="1"/>
  <c r="AR941" i="3"/>
  <c r="AO941" i="3"/>
  <c r="AA943" i="3"/>
  <c r="AC943" i="3" s="1"/>
  <c r="AJ943" i="3" s="1"/>
  <c r="A944" i="3"/>
  <c r="W943" i="3"/>
  <c r="Y943" i="3" s="1"/>
  <c r="AF942" i="3"/>
  <c r="AN942" i="3" s="1"/>
  <c r="AQ942" i="3"/>
  <c r="AE943" i="3" l="1"/>
  <c r="U944" i="3"/>
  <c r="AR942" i="3"/>
  <c r="AO942" i="3"/>
  <c r="A945" i="3"/>
  <c r="W944" i="3"/>
  <c r="Y944" i="3" s="1"/>
  <c r="AA944" i="3"/>
  <c r="AC944" i="3" s="1"/>
  <c r="AE944" i="3" l="1"/>
  <c r="AL943" i="3"/>
  <c r="AQ943" i="3"/>
  <c r="AF943" i="3"/>
  <c r="U945" i="3"/>
  <c r="AI945" i="3" a="1"/>
  <c r="AI945" i="3" s="1"/>
  <c r="W945" i="3"/>
  <c r="Y945" i="3" s="1"/>
  <c r="AE945" i="3" s="1"/>
  <c r="AL945" i="3" s="1"/>
  <c r="A946" i="3"/>
  <c r="AA945" i="3"/>
  <c r="AC945" i="3" s="1"/>
  <c r="AJ945" i="3" s="1"/>
  <c r="AN943" i="3" l="1"/>
  <c r="AO943" i="3" s="1"/>
  <c r="AR943" i="3"/>
  <c r="AL944" i="3"/>
  <c r="AQ944" i="3"/>
  <c r="AF944" i="3"/>
  <c r="AN944" i="3" s="1"/>
  <c r="U946" i="3"/>
  <c r="AR944" i="3"/>
  <c r="AF945" i="3"/>
  <c r="AN945" i="3" s="1"/>
  <c r="AQ945" i="3"/>
  <c r="A947" i="3"/>
  <c r="AA946" i="3"/>
  <c r="AC946" i="3" s="1"/>
  <c r="W946" i="3"/>
  <c r="Y946" i="3" s="1"/>
  <c r="AE946" i="3" s="1"/>
  <c r="AL946" i="3" s="1"/>
  <c r="U947" i="3" l="1"/>
  <c r="AR945" i="3"/>
  <c r="AO945" i="3"/>
  <c r="AA947" i="3"/>
  <c r="AC947" i="3" s="1"/>
  <c r="W947" i="3"/>
  <c r="Y947" i="3" s="1"/>
  <c r="AE947" i="3" s="1"/>
  <c r="AL947" i="3" s="1"/>
  <c r="A948" i="3"/>
  <c r="AF946" i="3"/>
  <c r="AN946" i="3" s="1"/>
  <c r="AQ946" i="3"/>
  <c r="U948" i="3" l="1"/>
  <c r="AR946" i="3"/>
  <c r="AF947" i="3"/>
  <c r="AN947" i="3" s="1"/>
  <c r="AQ947" i="3"/>
  <c r="W948" i="3"/>
  <c r="Y948" i="3" s="1"/>
  <c r="AE948" i="3" s="1"/>
  <c r="AL948" i="3" s="1"/>
  <c r="A949" i="3"/>
  <c r="AA948" i="3"/>
  <c r="AC948" i="3" s="1"/>
  <c r="U949" i="3" l="1"/>
  <c r="AI949" i="3" a="1"/>
  <c r="AI949" i="3" s="1"/>
  <c r="AR947" i="3"/>
  <c r="AF948" i="3"/>
  <c r="AN948" i="3" s="1"/>
  <c r="AQ948" i="3"/>
  <c r="A950" i="3"/>
  <c r="AA949" i="3"/>
  <c r="AC949" i="3" s="1"/>
  <c r="AJ949" i="3" s="1"/>
  <c r="W949" i="3"/>
  <c r="Y949" i="3" s="1"/>
  <c r="AE949" i="3" s="1"/>
  <c r="AL949" i="3" s="1"/>
  <c r="U950" i="3" l="1"/>
  <c r="AI950" i="3" a="1"/>
  <c r="AI950" i="3" s="1"/>
  <c r="AR948" i="3"/>
  <c r="A951" i="3"/>
  <c r="AA950" i="3"/>
  <c r="AC950" i="3" s="1"/>
  <c r="AJ950" i="3" s="1"/>
  <c r="W950" i="3"/>
  <c r="Y950" i="3" s="1"/>
  <c r="AF949" i="3"/>
  <c r="AN949" i="3" s="1"/>
  <c r="AQ949" i="3"/>
  <c r="AE950" i="3" l="1"/>
  <c r="U951" i="3"/>
  <c r="AI951" i="3" a="1"/>
  <c r="AI951" i="3" s="1"/>
  <c r="AR949" i="3"/>
  <c r="AO949" i="3"/>
  <c r="AA951" i="3"/>
  <c r="AC951" i="3" s="1"/>
  <c r="AJ951" i="3" s="1"/>
  <c r="A952" i="3"/>
  <c r="W951" i="3"/>
  <c r="Y951" i="3" s="1"/>
  <c r="AE951" i="3" s="1"/>
  <c r="AL951" i="3" s="1"/>
  <c r="AL950" i="3" l="1"/>
  <c r="AQ950" i="3"/>
  <c r="AF950" i="3"/>
  <c r="U952" i="3"/>
  <c r="AI952" i="3" a="1"/>
  <c r="AI952" i="3" s="1"/>
  <c r="W952" i="3"/>
  <c r="Y952" i="3" s="1"/>
  <c r="A953" i="3"/>
  <c r="AA952" i="3"/>
  <c r="AC952" i="3" s="1"/>
  <c r="AJ952" i="3" s="1"/>
  <c r="AF951" i="3"/>
  <c r="AN951" i="3" s="1"/>
  <c r="AQ951" i="3"/>
  <c r="AN950" i="3" l="1"/>
  <c r="AO950" i="3" s="1"/>
  <c r="AR950" i="3"/>
  <c r="AE952" i="3"/>
  <c r="AF952" i="3" s="1"/>
  <c r="AN952" i="3" s="1"/>
  <c r="U953" i="3"/>
  <c r="AR951" i="3"/>
  <c r="AO951" i="3"/>
  <c r="A954" i="3"/>
  <c r="W953" i="3"/>
  <c r="Y953" i="3" s="1"/>
  <c r="AA953" i="3"/>
  <c r="AC953" i="3" s="1"/>
  <c r="AE953" i="3" l="1"/>
  <c r="AL952" i="3"/>
  <c r="AQ952" i="3"/>
  <c r="U954" i="3"/>
  <c r="AI954" i="3" a="1"/>
  <c r="AI954" i="3" s="1"/>
  <c r="AR952" i="3"/>
  <c r="AO952" i="3"/>
  <c r="A955" i="3"/>
  <c r="AA954" i="3"/>
  <c r="AC954" i="3" s="1"/>
  <c r="AJ954" i="3" s="1"/>
  <c r="W954" i="3"/>
  <c r="Y954" i="3" s="1"/>
  <c r="AE954" i="3" l="1"/>
  <c r="AL953" i="3"/>
  <c r="AF953" i="3"/>
  <c r="AQ953" i="3"/>
  <c r="U955" i="3"/>
  <c r="AI955" i="3" a="1"/>
  <c r="AI955" i="3" s="1"/>
  <c r="A956" i="3"/>
  <c r="AA955" i="3"/>
  <c r="AC955" i="3" s="1"/>
  <c r="AJ955" i="3" s="1"/>
  <c r="W955" i="3"/>
  <c r="Y955" i="3" s="1"/>
  <c r="AN953" i="3" l="1"/>
  <c r="AR953" i="3"/>
  <c r="AE955" i="3"/>
  <c r="AL954" i="3"/>
  <c r="AQ954" i="3" s="1"/>
  <c r="AF954" i="3"/>
  <c r="U956" i="3"/>
  <c r="AI956" i="3" a="1"/>
  <c r="AI956" i="3" s="1"/>
  <c r="A957" i="3"/>
  <c r="AA956" i="3"/>
  <c r="AC956" i="3" s="1"/>
  <c r="AJ956" i="3" s="1"/>
  <c r="W956" i="3"/>
  <c r="Y956" i="3" s="1"/>
  <c r="AE956" i="3" s="1"/>
  <c r="AL956" i="3" s="1"/>
  <c r="AL955" i="3" l="1"/>
  <c r="AF955" i="3"/>
  <c r="AN955" i="3" s="1"/>
  <c r="AQ955" i="3"/>
  <c r="AN954" i="3"/>
  <c r="U957" i="3"/>
  <c r="AI957" i="3" a="1"/>
  <c r="AI957" i="3" s="1"/>
  <c r="A958" i="3"/>
  <c r="AA957" i="3"/>
  <c r="AC957" i="3" s="1"/>
  <c r="AJ957" i="3" s="1"/>
  <c r="W957" i="3"/>
  <c r="Y957" i="3" s="1"/>
  <c r="AE957" i="3" s="1"/>
  <c r="AL957" i="3" s="1"/>
  <c r="AF956" i="3"/>
  <c r="AN956" i="3" s="1"/>
  <c r="AQ956" i="3"/>
  <c r="AO955" i="3" l="1"/>
  <c r="AR955" i="3"/>
  <c r="AO954" i="3"/>
  <c r="AR954" i="3"/>
  <c r="U958" i="3"/>
  <c r="AI958" i="3" a="1"/>
  <c r="AI958" i="3" s="1"/>
  <c r="AR956" i="3"/>
  <c r="AO956" i="3"/>
  <c r="W958" i="3"/>
  <c r="Y958" i="3" s="1"/>
  <c r="AE958" i="3" s="1"/>
  <c r="AL958" i="3" s="1"/>
  <c r="A959" i="3"/>
  <c r="AA958" i="3"/>
  <c r="AC958" i="3" s="1"/>
  <c r="AJ958" i="3" s="1"/>
  <c r="AF957" i="3"/>
  <c r="AN957" i="3" s="1"/>
  <c r="AQ957" i="3"/>
  <c r="U959" i="3" l="1"/>
  <c r="AI959" i="3" a="1"/>
  <c r="AI959" i="3" s="1"/>
  <c r="AR957" i="3"/>
  <c r="AO957" i="3"/>
  <c r="AF958" i="3"/>
  <c r="AN958" i="3" s="1"/>
  <c r="AQ958" i="3"/>
  <c r="AA959" i="3"/>
  <c r="AC959" i="3" s="1"/>
  <c r="AJ959" i="3" s="1"/>
  <c r="W959" i="3"/>
  <c r="Y959" i="3" s="1"/>
  <c r="AE959" i="3" s="1"/>
  <c r="AL959" i="3" s="1"/>
  <c r="A960" i="3"/>
  <c r="U960" i="3" l="1"/>
  <c r="AI960" i="3" a="1"/>
  <c r="AI960" i="3" s="1"/>
  <c r="AR958" i="3"/>
  <c r="AO958" i="3"/>
  <c r="AF959" i="3"/>
  <c r="AN959" i="3" s="1"/>
  <c r="AQ959" i="3"/>
  <c r="A961" i="3"/>
  <c r="W960" i="3"/>
  <c r="Y960" i="3" s="1"/>
  <c r="AE960" i="3" s="1"/>
  <c r="AL960" i="3" s="1"/>
  <c r="AA960" i="3"/>
  <c r="AC960" i="3" s="1"/>
  <c r="AJ960" i="3" s="1"/>
  <c r="U961" i="3" l="1"/>
  <c r="AR959" i="3"/>
  <c r="AO959" i="3"/>
  <c r="A962" i="3"/>
  <c r="W961" i="3"/>
  <c r="Y961" i="3" s="1"/>
  <c r="AA961" i="3"/>
  <c r="AC961" i="3" s="1"/>
  <c r="AF960" i="3"/>
  <c r="AN960" i="3" s="1"/>
  <c r="AQ960" i="3"/>
  <c r="AE961" i="3" l="1"/>
  <c r="U962" i="3"/>
  <c r="AI962" i="3" a="1"/>
  <c r="AI962" i="3" s="1"/>
  <c r="AR960" i="3"/>
  <c r="AO960" i="3"/>
  <c r="A963" i="3"/>
  <c r="AA962" i="3"/>
  <c r="AC962" i="3" s="1"/>
  <c r="AJ962" i="3" s="1"/>
  <c r="W962" i="3"/>
  <c r="Y962" i="3" s="1"/>
  <c r="AE962" i="3" l="1"/>
  <c r="AL961" i="3"/>
  <c r="AQ961" i="3"/>
  <c r="AF961" i="3"/>
  <c r="AN961" i="3" s="1"/>
  <c r="U963" i="3"/>
  <c r="AI963" i="3" a="1"/>
  <c r="AI963" i="3" s="1"/>
  <c r="AR961" i="3"/>
  <c r="W963" i="3"/>
  <c r="Y963" i="3" s="1"/>
  <c r="AE963" i="3" s="1"/>
  <c r="AL963" i="3" s="1"/>
  <c r="A964" i="3"/>
  <c r="AA963" i="3"/>
  <c r="AC963" i="3" s="1"/>
  <c r="AJ963" i="3" s="1"/>
  <c r="AL962" i="3" l="1"/>
  <c r="AF962" i="3"/>
  <c r="AQ962" i="3"/>
  <c r="U964" i="3"/>
  <c r="AI964" i="3" a="1"/>
  <c r="AI964" i="3" s="1"/>
  <c r="AF963" i="3"/>
  <c r="AN963" i="3" s="1"/>
  <c r="AQ963" i="3"/>
  <c r="A965" i="3"/>
  <c r="AA964" i="3"/>
  <c r="AC964" i="3" s="1"/>
  <c r="AJ964" i="3" s="1"/>
  <c r="W964" i="3"/>
  <c r="Y964" i="3" s="1"/>
  <c r="AE964" i="3" s="1"/>
  <c r="AL964" i="3" s="1"/>
  <c r="AN962" i="3" l="1"/>
  <c r="AO962" i="3" s="1"/>
  <c r="AR962" i="3"/>
  <c r="U965" i="3"/>
  <c r="AI965" i="3" a="1"/>
  <c r="AI965" i="3" s="1"/>
  <c r="AR963" i="3"/>
  <c r="AO963" i="3"/>
  <c r="A966" i="3"/>
  <c r="W965" i="3"/>
  <c r="Y965" i="3" s="1"/>
  <c r="AE965" i="3" s="1"/>
  <c r="AL965" i="3" s="1"/>
  <c r="AA965" i="3"/>
  <c r="AC965" i="3" s="1"/>
  <c r="AJ965" i="3" s="1"/>
  <c r="AF964" i="3"/>
  <c r="AN964" i="3" s="1"/>
  <c r="AQ964" i="3"/>
  <c r="U966" i="3" l="1"/>
  <c r="AI966" i="3" a="1"/>
  <c r="AI966" i="3" s="1"/>
  <c r="AR964" i="3"/>
  <c r="AO964" i="3"/>
  <c r="A967" i="3"/>
  <c r="AA966" i="3"/>
  <c r="AC966" i="3" s="1"/>
  <c r="AJ966" i="3" s="1"/>
  <c r="W966" i="3"/>
  <c r="Y966" i="3" s="1"/>
  <c r="AE966" i="3" s="1"/>
  <c r="AL966" i="3" s="1"/>
  <c r="AF965" i="3"/>
  <c r="AN965" i="3" s="1"/>
  <c r="AQ965" i="3"/>
  <c r="U967" i="3" l="1"/>
  <c r="AR965" i="3"/>
  <c r="AO965" i="3"/>
  <c r="A968" i="3"/>
  <c r="AA967" i="3"/>
  <c r="AC967" i="3" s="1"/>
  <c r="W967" i="3"/>
  <c r="Y967" i="3" s="1"/>
  <c r="AF966" i="3"/>
  <c r="AN966" i="3" s="1"/>
  <c r="AQ966" i="3"/>
  <c r="AE967" i="3" l="1"/>
  <c r="U968" i="3"/>
  <c r="AI968" i="3" a="1"/>
  <c r="AI968" i="3" s="1"/>
  <c r="AR966" i="3"/>
  <c r="AO966" i="3"/>
  <c r="W968" i="3"/>
  <c r="Y968" i="3" s="1"/>
  <c r="A969" i="3"/>
  <c r="AA968" i="3"/>
  <c r="AC968" i="3" s="1"/>
  <c r="AJ968" i="3" s="1"/>
  <c r="AE968" i="3" l="1"/>
  <c r="AL967" i="3"/>
  <c r="AF967" i="3"/>
  <c r="AQ967" i="3"/>
  <c r="U969" i="3"/>
  <c r="AI969" i="3" a="1"/>
  <c r="AI969" i="3" s="1"/>
  <c r="A970" i="3"/>
  <c r="AA969" i="3"/>
  <c r="AC969" i="3" s="1"/>
  <c r="AJ969" i="3" s="1"/>
  <c r="W969" i="3"/>
  <c r="Y969" i="3" s="1"/>
  <c r="AE969" i="3" s="1"/>
  <c r="AL969" i="3" s="1"/>
  <c r="AN967" i="3" l="1"/>
  <c r="AR967" i="3"/>
  <c r="AL968" i="3"/>
  <c r="AQ968" i="3" s="1"/>
  <c r="AF968" i="3"/>
  <c r="AN968" i="3" s="1"/>
  <c r="U970" i="3"/>
  <c r="AR968" i="3"/>
  <c r="AO968" i="3"/>
  <c r="AA970" i="3"/>
  <c r="AC970" i="3" s="1"/>
  <c r="W970" i="3"/>
  <c r="Y970" i="3" s="1"/>
  <c r="AE970" i="3" s="1"/>
  <c r="AL970" i="3" s="1"/>
  <c r="A971" i="3"/>
  <c r="AF969" i="3"/>
  <c r="AN969" i="3" s="1"/>
  <c r="AQ969" i="3"/>
  <c r="U971" i="3" l="1"/>
  <c r="AR969" i="3"/>
  <c r="AO969" i="3"/>
  <c r="AF970" i="3"/>
  <c r="AN970" i="3" s="1"/>
  <c r="AQ970" i="3"/>
  <c r="W971" i="3"/>
  <c r="Y971" i="3" s="1"/>
  <c r="AE971" i="3" s="1"/>
  <c r="AL971" i="3" s="1"/>
  <c r="A972" i="3"/>
  <c r="AA971" i="3"/>
  <c r="AC971" i="3" s="1"/>
  <c r="U972" i="3" l="1"/>
  <c r="AI972" i="3" a="1"/>
  <c r="AI972" i="3" s="1"/>
  <c r="AR970" i="3"/>
  <c r="AF971" i="3"/>
  <c r="AN971" i="3" s="1"/>
  <c r="AQ971" i="3"/>
  <c r="AA972" i="3"/>
  <c r="AC972" i="3" s="1"/>
  <c r="AJ972" i="3" s="1"/>
  <c r="A973" i="3"/>
  <c r="W972" i="3"/>
  <c r="Y972" i="3" s="1"/>
  <c r="AE972" i="3" s="1"/>
  <c r="AL972" i="3" s="1"/>
  <c r="U973" i="3" l="1"/>
  <c r="AI973" i="3" a="1"/>
  <c r="AI973" i="3" s="1"/>
  <c r="AR971" i="3"/>
  <c r="W973" i="3"/>
  <c r="Y973" i="3" s="1"/>
  <c r="AE973" i="3" s="1"/>
  <c r="AL973" i="3" s="1"/>
  <c r="A974" i="3"/>
  <c r="AA973" i="3"/>
  <c r="AC973" i="3" s="1"/>
  <c r="AJ973" i="3" s="1"/>
  <c r="AF972" i="3"/>
  <c r="AN972" i="3" s="1"/>
  <c r="AQ972" i="3"/>
  <c r="U974" i="3" l="1"/>
  <c r="AI974" i="3" a="1"/>
  <c r="AI974" i="3" s="1"/>
  <c r="AR972" i="3"/>
  <c r="AO972" i="3"/>
  <c r="AF973" i="3"/>
  <c r="AN973" i="3" s="1"/>
  <c r="AQ973" i="3"/>
  <c r="AA974" i="3"/>
  <c r="AC974" i="3" s="1"/>
  <c r="AJ974" i="3" s="1"/>
  <c r="W974" i="3"/>
  <c r="Y974" i="3" s="1"/>
  <c r="AE974" i="3" s="1"/>
  <c r="AL974" i="3" s="1"/>
  <c r="A975" i="3"/>
  <c r="U975" i="3" l="1"/>
  <c r="AI975" i="3" a="1"/>
  <c r="AI975" i="3" s="1"/>
  <c r="AR973" i="3"/>
  <c r="AO973" i="3"/>
  <c r="AF974" i="3"/>
  <c r="AN974" i="3" s="1"/>
  <c r="AQ974" i="3"/>
  <c r="A976" i="3"/>
  <c r="AA975" i="3"/>
  <c r="AC975" i="3" s="1"/>
  <c r="AJ975" i="3" s="1"/>
  <c r="W975" i="3"/>
  <c r="Y975" i="3" s="1"/>
  <c r="AE975" i="3" l="1"/>
  <c r="U976" i="3"/>
  <c r="AI976" i="3" a="1"/>
  <c r="AI976" i="3" s="1"/>
  <c r="AR974" i="3"/>
  <c r="AO974" i="3"/>
  <c r="W976" i="3"/>
  <c r="Y976" i="3" s="1"/>
  <c r="AE976" i="3" s="1"/>
  <c r="AL976" i="3" s="1"/>
  <c r="A977" i="3"/>
  <c r="AA976" i="3"/>
  <c r="AC976" i="3" s="1"/>
  <c r="AJ976" i="3" s="1"/>
  <c r="AL975" i="3" l="1"/>
  <c r="AF975" i="3"/>
  <c r="AN975" i="3" s="1"/>
  <c r="AQ975" i="3"/>
  <c r="U977" i="3"/>
  <c r="AI977" i="3" a="1"/>
  <c r="AI977" i="3" s="1"/>
  <c r="AF976" i="3"/>
  <c r="AN976" i="3" s="1"/>
  <c r="AQ976" i="3"/>
  <c r="A978" i="3"/>
  <c r="AA977" i="3"/>
  <c r="AC977" i="3" s="1"/>
  <c r="AJ977" i="3" s="1"/>
  <c r="W977" i="3"/>
  <c r="Y977" i="3" s="1"/>
  <c r="AR975" i="3" l="1"/>
  <c r="AO975" i="3"/>
  <c r="AE977" i="3"/>
  <c r="U978" i="3"/>
  <c r="AI978" i="3" a="1"/>
  <c r="AI978" i="3" s="1"/>
  <c r="AR976" i="3"/>
  <c r="AO976" i="3"/>
  <c r="AA978" i="3"/>
  <c r="AC978" i="3" s="1"/>
  <c r="AJ978" i="3" s="1"/>
  <c r="W978" i="3"/>
  <c r="Y978" i="3" s="1"/>
  <c r="AE978" i="3" s="1"/>
  <c r="AL978" i="3" s="1"/>
  <c r="A979" i="3"/>
  <c r="AL977" i="3" l="1"/>
  <c r="AF977" i="3"/>
  <c r="AN977" i="3" s="1"/>
  <c r="AQ977" i="3"/>
  <c r="U979" i="3"/>
  <c r="AI979" i="3" a="1"/>
  <c r="AI979" i="3" s="1"/>
  <c r="AR977" i="3"/>
  <c r="AO977" i="3"/>
  <c r="AF978" i="3"/>
  <c r="AN978" i="3" s="1"/>
  <c r="AQ978" i="3"/>
  <c r="A980" i="3"/>
  <c r="W979" i="3"/>
  <c r="Y979" i="3" s="1"/>
  <c r="AE979" i="3" s="1"/>
  <c r="AL979" i="3" s="1"/>
  <c r="AA979" i="3"/>
  <c r="AC979" i="3" s="1"/>
  <c r="AJ979" i="3" s="1"/>
  <c r="U980" i="3" l="1"/>
  <c r="AI980" i="3" a="1"/>
  <c r="AI980" i="3" s="1"/>
  <c r="AR978" i="3"/>
  <c r="AO978" i="3"/>
  <c r="AA980" i="3"/>
  <c r="AC980" i="3" s="1"/>
  <c r="AJ980" i="3" s="1"/>
  <c r="A981" i="3"/>
  <c r="W980" i="3"/>
  <c r="Y980" i="3" s="1"/>
  <c r="AE980" i="3" s="1"/>
  <c r="AL980" i="3" s="1"/>
  <c r="AQ979" i="3"/>
  <c r="AF979" i="3"/>
  <c r="AN979" i="3" s="1"/>
  <c r="U981" i="3" l="1"/>
  <c r="AI981" i="3" a="1"/>
  <c r="AI981" i="3" s="1"/>
  <c r="AR979" i="3"/>
  <c r="AO979" i="3"/>
  <c r="A982" i="3"/>
  <c r="AA981" i="3"/>
  <c r="AC981" i="3" s="1"/>
  <c r="AJ981" i="3" s="1"/>
  <c r="W981" i="3"/>
  <c r="Y981" i="3" s="1"/>
  <c r="AE981" i="3" s="1"/>
  <c r="AL981" i="3" s="1"/>
  <c r="AF980" i="3"/>
  <c r="AN980" i="3" s="1"/>
  <c r="AQ980" i="3"/>
  <c r="U982" i="3" l="1"/>
  <c r="AI982" i="3" a="1"/>
  <c r="AI982" i="3" s="1"/>
  <c r="AR980" i="3"/>
  <c r="AO980" i="3"/>
  <c r="A983" i="3"/>
  <c r="AA982" i="3"/>
  <c r="AC982" i="3" s="1"/>
  <c r="AJ982" i="3" s="1"/>
  <c r="W982" i="3"/>
  <c r="Y982" i="3" s="1"/>
  <c r="AF981" i="3"/>
  <c r="AN981" i="3" s="1"/>
  <c r="AQ981" i="3"/>
  <c r="AE982" i="3" l="1"/>
  <c r="U983" i="3"/>
  <c r="AI983" i="3" a="1"/>
  <c r="AI983" i="3" s="1"/>
  <c r="AR981" i="3"/>
  <c r="AO981" i="3"/>
  <c r="A984" i="3"/>
  <c r="W983" i="3"/>
  <c r="Y983" i="3" s="1"/>
  <c r="AE983" i="3" s="1"/>
  <c r="AL983" i="3" s="1"/>
  <c r="AA983" i="3"/>
  <c r="AC983" i="3" s="1"/>
  <c r="AJ983" i="3" s="1"/>
  <c r="AL982" i="3" l="1"/>
  <c r="AF982" i="3"/>
  <c r="AQ982" i="3"/>
  <c r="U984" i="3"/>
  <c r="AI984" i="3" a="1"/>
  <c r="AI984" i="3" s="1"/>
  <c r="A985" i="3"/>
  <c r="W984" i="3"/>
  <c r="Y984" i="3" s="1"/>
  <c r="AA984" i="3"/>
  <c r="AC984" i="3" s="1"/>
  <c r="AJ984" i="3" s="1"/>
  <c r="AF983" i="3"/>
  <c r="AN983" i="3" s="1"/>
  <c r="AQ983" i="3"/>
  <c r="AE984" i="3" l="1"/>
  <c r="AL984" i="3" s="1"/>
  <c r="AN982" i="3"/>
  <c r="U985" i="3"/>
  <c r="AI985" i="3" a="1"/>
  <c r="AI985" i="3" s="1"/>
  <c r="AR983" i="3"/>
  <c r="AO983" i="3"/>
  <c r="A986" i="3"/>
  <c r="AA985" i="3"/>
  <c r="AC985" i="3" s="1"/>
  <c r="AJ985" i="3" s="1"/>
  <c r="W985" i="3"/>
  <c r="Y985" i="3" s="1"/>
  <c r="AE985" i="3" s="1"/>
  <c r="AL985" i="3" s="1"/>
  <c r="AF984" i="3"/>
  <c r="AN984" i="3" s="1"/>
  <c r="AQ984" i="3"/>
  <c r="AO982" i="3" l="1"/>
  <c r="AR982" i="3"/>
  <c r="U986" i="3"/>
  <c r="AI986" i="3" a="1"/>
  <c r="AI986" i="3" s="1"/>
  <c r="AR984" i="3"/>
  <c r="AO984" i="3"/>
  <c r="W986" i="3"/>
  <c r="Y986" i="3" s="1"/>
  <c r="AE986" i="3" s="1"/>
  <c r="AL986" i="3" s="1"/>
  <c r="AA986" i="3"/>
  <c r="AC986" i="3" s="1"/>
  <c r="AJ986" i="3" s="1"/>
  <c r="A987" i="3"/>
  <c r="AF985" i="3"/>
  <c r="AN985" i="3" s="1"/>
  <c r="AQ985" i="3"/>
  <c r="U987" i="3" l="1"/>
  <c r="AI987" i="3" a="1"/>
  <c r="AI987" i="3" s="1"/>
  <c r="AR985" i="3"/>
  <c r="AO985" i="3"/>
  <c r="AF986" i="3"/>
  <c r="AN986" i="3" s="1"/>
  <c r="AQ986" i="3"/>
  <c r="AA987" i="3"/>
  <c r="AC987" i="3" s="1"/>
  <c r="AJ987" i="3" s="1"/>
  <c r="W987" i="3"/>
  <c r="Y987" i="3" s="1"/>
  <c r="AE987" i="3" s="1"/>
  <c r="AL987" i="3" s="1"/>
  <c r="A988" i="3"/>
  <c r="U988" i="3" l="1"/>
  <c r="AI988" i="3" a="1"/>
  <c r="AI988" i="3" s="1"/>
  <c r="AR986" i="3"/>
  <c r="AO986" i="3"/>
  <c r="AQ987" i="3"/>
  <c r="AF987" i="3"/>
  <c r="AN987" i="3" s="1"/>
  <c r="W988" i="3"/>
  <c r="Y988" i="3" s="1"/>
  <c r="AE988" i="3" s="1"/>
  <c r="AL988" i="3" s="1"/>
  <c r="AA988" i="3"/>
  <c r="AC988" i="3" s="1"/>
  <c r="AJ988" i="3" s="1"/>
  <c r="A989" i="3"/>
  <c r="U989" i="3" l="1"/>
  <c r="AI989" i="3" a="1"/>
  <c r="AI989" i="3" s="1"/>
  <c r="AR987" i="3"/>
  <c r="AO987" i="3"/>
  <c r="AF988" i="3"/>
  <c r="AN988" i="3" s="1"/>
  <c r="AQ988" i="3"/>
  <c r="A990" i="3"/>
  <c r="AA989" i="3"/>
  <c r="AC989" i="3" s="1"/>
  <c r="AJ989" i="3" s="1"/>
  <c r="W989" i="3"/>
  <c r="Y989" i="3" s="1"/>
  <c r="AE989" i="3" s="1"/>
  <c r="AL989" i="3" s="1"/>
  <c r="U990" i="3" l="1"/>
  <c r="AI990" i="3" a="1"/>
  <c r="AI990" i="3" s="1"/>
  <c r="AR988" i="3"/>
  <c r="AO988" i="3"/>
  <c r="W990" i="3"/>
  <c r="Y990" i="3" s="1"/>
  <c r="AE990" i="3" s="1"/>
  <c r="AL990" i="3" s="1"/>
  <c r="A991" i="3"/>
  <c r="AA990" i="3"/>
  <c r="AC990" i="3" s="1"/>
  <c r="AJ990" i="3" s="1"/>
  <c r="AF989" i="3"/>
  <c r="AN989" i="3" s="1"/>
  <c r="AQ989" i="3"/>
  <c r="U991" i="3" l="1"/>
  <c r="AI991" i="3" a="1"/>
  <c r="AI991" i="3" s="1"/>
  <c r="AR989" i="3"/>
  <c r="AO989" i="3"/>
  <c r="AF990" i="3"/>
  <c r="AN990" i="3" s="1"/>
  <c r="AQ990" i="3"/>
  <c r="A992" i="3"/>
  <c r="AA991" i="3"/>
  <c r="AC991" i="3" s="1"/>
  <c r="AJ991" i="3" s="1"/>
  <c r="W991" i="3"/>
  <c r="Y991" i="3" s="1"/>
  <c r="AE991" i="3" s="1"/>
  <c r="AL991" i="3" s="1"/>
  <c r="U992" i="3" l="1"/>
  <c r="AI992" i="3" a="1"/>
  <c r="AI992" i="3" s="1"/>
  <c r="AR990" i="3"/>
  <c r="AO990" i="3"/>
  <c r="A993" i="3"/>
  <c r="AA992" i="3"/>
  <c r="AC992" i="3" s="1"/>
  <c r="AJ992" i="3" s="1"/>
  <c r="W992" i="3"/>
  <c r="Y992" i="3" s="1"/>
  <c r="AF991" i="3"/>
  <c r="AN991" i="3" s="1"/>
  <c r="AQ991" i="3"/>
  <c r="AE992" i="3" l="1"/>
  <c r="U993" i="3"/>
  <c r="AI993" i="3" a="1"/>
  <c r="AI993" i="3" s="1"/>
  <c r="AR991" i="3"/>
  <c r="AO991" i="3"/>
  <c r="AA993" i="3"/>
  <c r="AC993" i="3" s="1"/>
  <c r="AJ993" i="3" s="1"/>
  <c r="W993" i="3"/>
  <c r="Y993" i="3" s="1"/>
  <c r="AE993" i="3" s="1"/>
  <c r="AL993" i="3" s="1"/>
  <c r="A994" i="3"/>
  <c r="AL992" i="3" l="1"/>
  <c r="AQ992" i="3" s="1"/>
  <c r="AF992" i="3"/>
  <c r="U994" i="3"/>
  <c r="AF993" i="3"/>
  <c r="AN993" i="3" s="1"/>
  <c r="AQ993" i="3"/>
  <c r="A995" i="3"/>
  <c r="W994" i="3"/>
  <c r="Y994" i="3" s="1"/>
  <c r="AE994" i="3" s="1"/>
  <c r="AL994" i="3" s="1"/>
  <c r="AA994" i="3"/>
  <c r="AC994" i="3" s="1"/>
  <c r="AN992" i="3" l="1"/>
  <c r="U995" i="3"/>
  <c r="AI995" i="3" a="1"/>
  <c r="AI995" i="3" s="1"/>
  <c r="AR993" i="3"/>
  <c r="AO993" i="3"/>
  <c r="A996" i="3"/>
  <c r="AA995" i="3"/>
  <c r="AC995" i="3" s="1"/>
  <c r="AJ995" i="3" s="1"/>
  <c r="W995" i="3"/>
  <c r="Y995" i="3" s="1"/>
  <c r="AE995" i="3" s="1"/>
  <c r="AL995" i="3" s="1"/>
  <c r="AF994" i="3"/>
  <c r="AN994" i="3" s="1"/>
  <c r="AR994" i="3" s="1"/>
  <c r="AQ994" i="3"/>
  <c r="AO992" i="3" l="1"/>
  <c r="AR992" i="3"/>
  <c r="U996" i="3"/>
  <c r="AI996" i="3" a="1"/>
  <c r="AI996" i="3" s="1"/>
  <c r="A997" i="3"/>
  <c r="AA996" i="3"/>
  <c r="AC996" i="3" s="1"/>
  <c r="AJ996" i="3" s="1"/>
  <c r="W996" i="3"/>
  <c r="Y996" i="3" s="1"/>
  <c r="AE996" i="3" s="1"/>
  <c r="AL996" i="3" s="1"/>
  <c r="AQ995" i="3"/>
  <c r="AF995" i="3"/>
  <c r="AN995" i="3" s="1"/>
  <c r="U997" i="3" l="1"/>
  <c r="AI997" i="3" a="1"/>
  <c r="AI997" i="3" s="1"/>
  <c r="AR995" i="3"/>
  <c r="AO995" i="3"/>
  <c r="A998" i="3"/>
  <c r="AA997" i="3"/>
  <c r="AC997" i="3" s="1"/>
  <c r="AJ997" i="3" s="1"/>
  <c r="W997" i="3"/>
  <c r="Y997" i="3" s="1"/>
  <c r="AE997" i="3" s="1"/>
  <c r="AL997" i="3" s="1"/>
  <c r="AF996" i="3"/>
  <c r="AN996" i="3" s="1"/>
  <c r="AQ996" i="3"/>
  <c r="U998" i="3" l="1"/>
  <c r="AI998" i="3" a="1"/>
  <c r="AI998" i="3" s="1"/>
  <c r="AR996" i="3"/>
  <c r="AO996" i="3"/>
  <c r="A999" i="3"/>
  <c r="AA998" i="3"/>
  <c r="AC998" i="3" s="1"/>
  <c r="AJ998" i="3" s="1"/>
  <c r="W998" i="3"/>
  <c r="Y998" i="3" s="1"/>
  <c r="AE998" i="3" s="1"/>
  <c r="AL998" i="3" s="1"/>
  <c r="AF997" i="3"/>
  <c r="AN997" i="3" s="1"/>
  <c r="AQ997" i="3"/>
  <c r="U999" i="3" l="1"/>
  <c r="AI999" i="3" a="1"/>
  <c r="AI999" i="3" s="1"/>
  <c r="AR997" i="3"/>
  <c r="AO997" i="3"/>
  <c r="A1000" i="3"/>
  <c r="AA999" i="3"/>
  <c r="AC999" i="3" s="1"/>
  <c r="AJ999" i="3" s="1"/>
  <c r="W999" i="3"/>
  <c r="Y999" i="3" s="1"/>
  <c r="AE999" i="3" s="1"/>
  <c r="AL999" i="3" s="1"/>
  <c r="AF998" i="3"/>
  <c r="AN998" i="3" s="1"/>
  <c r="AQ998" i="3"/>
  <c r="U1000" i="3" l="1"/>
  <c r="AI1000" i="3" a="1"/>
  <c r="AI1000" i="3" s="1"/>
  <c r="AR998" i="3"/>
  <c r="AO998" i="3"/>
  <c r="A1001" i="3"/>
  <c r="AA1000" i="3"/>
  <c r="AC1000" i="3" s="1"/>
  <c r="AJ1000" i="3" s="1"/>
  <c r="W1000" i="3"/>
  <c r="Y1000" i="3" s="1"/>
  <c r="AF999" i="3"/>
  <c r="AN999" i="3" s="1"/>
  <c r="AQ999" i="3"/>
  <c r="AE1000" i="3" l="1"/>
  <c r="U1001" i="3"/>
  <c r="AI1001" i="3" a="1"/>
  <c r="AI1001" i="3" s="1"/>
  <c r="AR999" i="3"/>
  <c r="AO999" i="3"/>
  <c r="A1002" i="3"/>
  <c r="AA1001" i="3"/>
  <c r="AC1001" i="3" s="1"/>
  <c r="AJ1001" i="3" s="1"/>
  <c r="W1001" i="3"/>
  <c r="Y1001" i="3" s="1"/>
  <c r="AE1001" i="3" l="1"/>
  <c r="AL1000" i="3"/>
  <c r="AQ1000" i="3" s="1"/>
  <c r="AF1000" i="3"/>
  <c r="AN1000" i="3" s="1"/>
  <c r="U1002" i="3"/>
  <c r="AI1002" i="3" a="1"/>
  <c r="AI1002" i="3" s="1"/>
  <c r="W1002" i="3"/>
  <c r="Y1002" i="3" s="1"/>
  <c r="AE1002" i="3" s="1"/>
  <c r="AL1002" i="3" s="1"/>
  <c r="A1003" i="3"/>
  <c r="AA1002" i="3"/>
  <c r="AC1002" i="3" s="1"/>
  <c r="AJ1002" i="3" s="1"/>
  <c r="AL1001" i="3" l="1"/>
  <c r="AQ1001" i="3" s="1"/>
  <c r="AF1001" i="3"/>
  <c r="AR1000" i="3"/>
  <c r="AO1000" i="3"/>
  <c r="U1003" i="3"/>
  <c r="AI1003" i="3" a="1"/>
  <c r="AI1003" i="3" s="1"/>
  <c r="AF1002" i="3"/>
  <c r="AN1002" i="3" s="1"/>
  <c r="AQ1002" i="3"/>
  <c r="A1004" i="3"/>
  <c r="AA1003" i="3"/>
  <c r="AC1003" i="3" s="1"/>
  <c r="AJ1003" i="3" s="1"/>
  <c r="W1003" i="3"/>
  <c r="Y1003" i="3" s="1"/>
  <c r="AE1003" i="3" s="1"/>
  <c r="AL1003" i="3" s="1"/>
  <c r="AN1001" i="3" l="1"/>
  <c r="AO1001" i="3" s="1"/>
  <c r="AR1001" i="3"/>
  <c r="U1004" i="3"/>
  <c r="AI1004" i="3" a="1"/>
  <c r="AI1004" i="3" s="1"/>
  <c r="AR1002" i="3"/>
  <c r="AO1002" i="3"/>
  <c r="W1004" i="3"/>
  <c r="Y1004" i="3" s="1"/>
  <c r="AE1004" i="3" s="1"/>
  <c r="AL1004" i="3" s="1"/>
  <c r="AA1004" i="3"/>
  <c r="AC1004" i="3" s="1"/>
  <c r="AJ1004" i="3" s="1"/>
  <c r="A1005" i="3"/>
  <c r="AQ1003" i="3"/>
  <c r="AF1003" i="3"/>
  <c r="AN1003" i="3" s="1"/>
  <c r="U1005" i="3" l="1"/>
  <c r="AI1005" i="3" a="1"/>
  <c r="AI1005" i="3" s="1"/>
  <c r="AR1003" i="3"/>
  <c r="AO1003" i="3"/>
  <c r="AF1004" i="3"/>
  <c r="AN1004" i="3" s="1"/>
  <c r="AQ1004" i="3"/>
  <c r="AA1005" i="3"/>
  <c r="AC1005" i="3" s="1"/>
  <c r="AJ1005" i="3" s="1"/>
  <c r="A1006" i="3"/>
  <c r="W1005" i="3"/>
  <c r="Y1005" i="3" s="1"/>
  <c r="AE1005" i="3" s="1"/>
  <c r="AL1005" i="3" s="1"/>
  <c r="U1006" i="3" l="1"/>
  <c r="AI1006" i="3" a="1"/>
  <c r="AI1006" i="3" s="1"/>
  <c r="AR1004" i="3"/>
  <c r="AO1004" i="3"/>
  <c r="A1007" i="3"/>
  <c r="AA1006" i="3"/>
  <c r="AC1006" i="3" s="1"/>
  <c r="AJ1006" i="3" s="1"/>
  <c r="W1006" i="3"/>
  <c r="Y1006" i="3" s="1"/>
  <c r="AE1006" i="3" s="1"/>
  <c r="AL1006" i="3" s="1"/>
  <c r="AF1005" i="3"/>
  <c r="AN1005" i="3" s="1"/>
  <c r="AQ1005" i="3"/>
  <c r="U1007" i="3" l="1"/>
  <c r="AI1007" i="3" a="1"/>
  <c r="AI1007" i="3" s="1"/>
  <c r="AR1005" i="3"/>
  <c r="AO1005" i="3"/>
  <c r="A1008" i="3"/>
  <c r="AA1007" i="3"/>
  <c r="AC1007" i="3" s="1"/>
  <c r="AJ1007" i="3" s="1"/>
  <c r="W1007" i="3"/>
  <c r="Y1007" i="3" s="1"/>
  <c r="AQ1006" i="3"/>
  <c r="AF1006" i="3"/>
  <c r="AN1006" i="3" s="1"/>
  <c r="AE1007" i="3" l="1"/>
  <c r="U1008" i="3"/>
  <c r="AI1008" i="3" a="1"/>
  <c r="AI1008" i="3" s="1"/>
  <c r="AR1006" i="3"/>
  <c r="AO1006" i="3"/>
  <c r="A1009" i="3"/>
  <c r="AA1008" i="3"/>
  <c r="AC1008" i="3" s="1"/>
  <c r="AJ1008" i="3" s="1"/>
  <c r="W1008" i="3"/>
  <c r="Y1008" i="3" s="1"/>
  <c r="AE1008" i="3" s="1"/>
  <c r="AL1008" i="3" s="1"/>
  <c r="AL1007" i="3" l="1"/>
  <c r="AF1007" i="3"/>
  <c r="AN1007" i="3" s="1"/>
  <c r="AQ1007" i="3"/>
  <c r="U1009" i="3"/>
  <c r="AI1009" i="3" a="1"/>
  <c r="AI1009" i="3" s="1"/>
  <c r="A1010" i="3"/>
  <c r="AA1009" i="3"/>
  <c r="AC1009" i="3" s="1"/>
  <c r="AJ1009" i="3" s="1"/>
  <c r="W1009" i="3"/>
  <c r="Y1009" i="3" s="1"/>
  <c r="AE1009" i="3" s="1"/>
  <c r="AL1009" i="3" s="1"/>
  <c r="AQ1008" i="3"/>
  <c r="AF1008" i="3"/>
  <c r="AN1008" i="3" s="1"/>
  <c r="AR1007" i="3" l="1"/>
  <c r="AO1007" i="3"/>
  <c r="U1010" i="3"/>
  <c r="AI1010" i="3" a="1"/>
  <c r="AI1010" i="3" s="1"/>
  <c r="AR1008" i="3"/>
  <c r="AO1008" i="3"/>
  <c r="A1011" i="3"/>
  <c r="AA1010" i="3"/>
  <c r="AC1010" i="3" s="1"/>
  <c r="AJ1010" i="3" s="1"/>
  <c r="W1010" i="3"/>
  <c r="Y1010" i="3" s="1"/>
  <c r="AE1010" i="3" s="1"/>
  <c r="AL1010" i="3" s="1"/>
  <c r="AF1009" i="3"/>
  <c r="AN1009" i="3" s="1"/>
  <c r="AQ1009" i="3"/>
  <c r="U1011" i="3" l="1"/>
  <c r="AI1011" i="3" a="1"/>
  <c r="AI1011" i="3" s="1"/>
  <c r="AR1009" i="3"/>
  <c r="AO1009" i="3"/>
  <c r="A1012" i="3"/>
  <c r="AA1011" i="3"/>
  <c r="AC1011" i="3" s="1"/>
  <c r="AJ1011" i="3" s="1"/>
  <c r="W1011" i="3"/>
  <c r="Y1011" i="3" s="1"/>
  <c r="AE1011" i="3" s="1"/>
  <c r="AL1011" i="3" s="1"/>
  <c r="AF1010" i="3"/>
  <c r="AN1010" i="3" s="1"/>
  <c r="AQ1010" i="3"/>
  <c r="U1012" i="3" l="1"/>
  <c r="AI1012" i="3" a="1"/>
  <c r="AI1012" i="3" s="1"/>
  <c r="AR1010" i="3"/>
  <c r="AO1010" i="3"/>
  <c r="A1013" i="3"/>
  <c r="W1012" i="3"/>
  <c r="Y1012" i="3" s="1"/>
  <c r="AE1012" i="3" s="1"/>
  <c r="AL1012" i="3" s="1"/>
  <c r="AA1012" i="3"/>
  <c r="AC1012" i="3" s="1"/>
  <c r="AJ1012" i="3" s="1"/>
  <c r="AQ1011" i="3"/>
  <c r="AF1011" i="3"/>
  <c r="AN1011" i="3" s="1"/>
  <c r="U1013" i="3" l="1"/>
  <c r="AI1013" i="3" a="1"/>
  <c r="AI1013" i="3" s="1"/>
  <c r="AR1011" i="3"/>
  <c r="AO1011" i="3"/>
  <c r="A1014" i="3"/>
  <c r="AA1013" i="3"/>
  <c r="AC1013" i="3" s="1"/>
  <c r="AJ1013" i="3" s="1"/>
  <c r="W1013" i="3"/>
  <c r="Y1013" i="3" s="1"/>
  <c r="AE1013" i="3" s="1"/>
  <c r="AL1013" i="3" s="1"/>
  <c r="AF1012" i="3"/>
  <c r="AN1012" i="3" s="1"/>
  <c r="AQ1012" i="3"/>
  <c r="U1014" i="3" l="1"/>
  <c r="AI1014" i="3" a="1"/>
  <c r="AI1014" i="3" s="1"/>
  <c r="AR1012" i="3"/>
  <c r="AO1012" i="3"/>
  <c r="A1015" i="3"/>
  <c r="AA1014" i="3"/>
  <c r="AC1014" i="3" s="1"/>
  <c r="AJ1014" i="3" s="1"/>
  <c r="W1014" i="3"/>
  <c r="Y1014" i="3" s="1"/>
  <c r="AE1014" i="3" s="1"/>
  <c r="AL1014" i="3" s="1"/>
  <c r="AF1013" i="3"/>
  <c r="AN1013" i="3" s="1"/>
  <c r="AQ1013" i="3"/>
  <c r="U1015" i="3" l="1"/>
  <c r="AI1015" i="3" a="1"/>
  <c r="AI1015" i="3" s="1"/>
  <c r="AR1013" i="3"/>
  <c r="AO1013" i="3"/>
  <c r="W1015" i="3"/>
  <c r="Y1015" i="3" s="1"/>
  <c r="AE1015" i="3" s="1"/>
  <c r="AL1015" i="3" s="1"/>
  <c r="A1016" i="3"/>
  <c r="AA1015" i="3"/>
  <c r="AC1015" i="3" s="1"/>
  <c r="AJ1015" i="3" s="1"/>
  <c r="AF1014" i="3"/>
  <c r="AN1014" i="3" s="1"/>
  <c r="AQ1014" i="3"/>
  <c r="U1016" i="3" l="1"/>
  <c r="AI1016" i="3" a="1"/>
  <c r="AI1016" i="3" s="1"/>
  <c r="AR1014" i="3"/>
  <c r="AO1014" i="3"/>
  <c r="AF1015" i="3"/>
  <c r="AN1015" i="3" s="1"/>
  <c r="AQ1015" i="3"/>
  <c r="A1017" i="3"/>
  <c r="AA1016" i="3"/>
  <c r="AC1016" i="3" s="1"/>
  <c r="AJ1016" i="3" s="1"/>
  <c r="W1016" i="3"/>
  <c r="Y1016" i="3" s="1"/>
  <c r="AE1016" i="3" s="1"/>
  <c r="AL1016" i="3" s="1"/>
  <c r="U1017" i="3" l="1"/>
  <c r="AI1017" i="3" a="1"/>
  <c r="AI1017" i="3" s="1"/>
  <c r="AR1015" i="3"/>
  <c r="AO1015" i="3"/>
  <c r="AA1017" i="3"/>
  <c r="AC1017" i="3" s="1"/>
  <c r="AJ1017" i="3" s="1"/>
  <c r="W1017" i="3"/>
  <c r="Y1017" i="3" s="1"/>
  <c r="AE1017" i="3" s="1"/>
  <c r="AL1017" i="3" s="1"/>
  <c r="A1018" i="3"/>
  <c r="AF1016" i="3"/>
  <c r="AN1016" i="3" s="1"/>
  <c r="AQ1016" i="3"/>
  <c r="U1018" i="3" l="1"/>
  <c r="AI1018" i="3" a="1"/>
  <c r="AI1018" i="3" s="1"/>
  <c r="AR1016" i="3"/>
  <c r="AO1016" i="3"/>
  <c r="AF1017" i="3"/>
  <c r="AN1017" i="3" s="1"/>
  <c r="AQ1017" i="3"/>
  <c r="W1018" i="3"/>
  <c r="Y1018" i="3" s="1"/>
  <c r="AE1018" i="3" s="1"/>
  <c r="AL1018" i="3" s="1"/>
  <c r="A1019" i="3"/>
  <c r="AA1018" i="3"/>
  <c r="AC1018" i="3" s="1"/>
  <c r="AJ1018" i="3" s="1"/>
  <c r="U1019" i="3" l="1"/>
  <c r="AI1019" i="3" a="1"/>
  <c r="AI1019" i="3" s="1"/>
  <c r="AR1017" i="3"/>
  <c r="AO1017" i="3"/>
  <c r="AF1018" i="3"/>
  <c r="AN1018" i="3" s="1"/>
  <c r="AQ1018" i="3"/>
  <c r="A1020" i="3"/>
  <c r="AA1019" i="3"/>
  <c r="AC1019" i="3" s="1"/>
  <c r="AJ1019" i="3" s="1"/>
  <c r="W1019" i="3"/>
  <c r="Y1019" i="3" s="1"/>
  <c r="AE1019" i="3" s="1"/>
  <c r="AL1019" i="3" s="1"/>
  <c r="U1020" i="3" l="1"/>
  <c r="AI1020" i="3" a="1"/>
  <c r="AI1020" i="3" s="1"/>
  <c r="AR1018" i="3"/>
  <c r="AO1018" i="3"/>
  <c r="W1020" i="3"/>
  <c r="Y1020" i="3" s="1"/>
  <c r="AE1020" i="3" s="1"/>
  <c r="AL1020" i="3" s="1"/>
  <c r="A1021" i="3"/>
  <c r="AA1020" i="3"/>
  <c r="AC1020" i="3" s="1"/>
  <c r="AJ1020" i="3" s="1"/>
  <c r="AF1019" i="3"/>
  <c r="AN1019" i="3" s="1"/>
  <c r="AQ1019" i="3"/>
  <c r="U1021" i="3" l="1"/>
  <c r="AI1021" i="3" a="1"/>
  <c r="AI1021" i="3" s="1"/>
  <c r="AR1019" i="3"/>
  <c r="AO1019" i="3"/>
  <c r="AF1020" i="3"/>
  <c r="AN1020" i="3" s="1"/>
  <c r="AQ1020" i="3"/>
  <c r="A1022" i="3"/>
  <c r="AA1021" i="3"/>
  <c r="AC1021" i="3" s="1"/>
  <c r="AJ1021" i="3" s="1"/>
  <c r="W1021" i="3"/>
  <c r="Y1021" i="3" s="1"/>
  <c r="AE1021" i="3" s="1"/>
  <c r="AL1021" i="3" s="1"/>
  <c r="U1022" i="3" l="1"/>
  <c r="AI1022" i="3" a="1"/>
  <c r="AI1022" i="3" s="1"/>
  <c r="AR1020" i="3"/>
  <c r="AO1020" i="3"/>
  <c r="A1023" i="3"/>
  <c r="AA1022" i="3"/>
  <c r="AC1022" i="3" s="1"/>
  <c r="AJ1022" i="3" s="1"/>
  <c r="W1022" i="3"/>
  <c r="Y1022" i="3" s="1"/>
  <c r="AE1022" i="3" s="1"/>
  <c r="AL1022" i="3" s="1"/>
  <c r="AQ1021" i="3"/>
  <c r="AF1021" i="3"/>
  <c r="AN1021" i="3" s="1"/>
  <c r="U1023" i="3" l="1"/>
  <c r="AI1023" i="3" a="1"/>
  <c r="AI1023" i="3" s="1"/>
  <c r="AR1021" i="3"/>
  <c r="AO1021" i="3"/>
  <c r="A1024" i="3"/>
  <c r="AA1023" i="3"/>
  <c r="AC1023" i="3" s="1"/>
  <c r="AJ1023" i="3" s="1"/>
  <c r="W1023" i="3"/>
  <c r="Y1023" i="3" s="1"/>
  <c r="AE1023" i="3" s="1"/>
  <c r="AL1023" i="3" s="1"/>
  <c r="AQ1022" i="3"/>
  <c r="AF1022" i="3"/>
  <c r="AN1022" i="3" s="1"/>
  <c r="U1024" i="3" l="1"/>
  <c r="AI1024" i="3" a="1"/>
  <c r="AI1024" i="3" s="1"/>
  <c r="AR1022" i="3"/>
  <c r="AO1022" i="3"/>
  <c r="W1024" i="3"/>
  <c r="Y1024" i="3" s="1"/>
  <c r="AE1024" i="3" s="1"/>
  <c r="AL1024" i="3" s="1"/>
  <c r="A1025" i="3"/>
  <c r="AA1024" i="3"/>
  <c r="AC1024" i="3" s="1"/>
  <c r="AJ1024" i="3" s="1"/>
  <c r="AF1023" i="3"/>
  <c r="AN1023" i="3" s="1"/>
  <c r="AQ1023" i="3"/>
  <c r="U1025" i="3" l="1"/>
  <c r="AI1025" i="3" a="1"/>
  <c r="AI1025" i="3" s="1"/>
  <c r="AR1023" i="3"/>
  <c r="AO1023" i="3"/>
  <c r="AF1024" i="3"/>
  <c r="AN1024" i="3" s="1"/>
  <c r="AQ1024" i="3"/>
  <c r="A1026" i="3"/>
  <c r="AA1025" i="3"/>
  <c r="AC1025" i="3" s="1"/>
  <c r="AJ1025" i="3" s="1"/>
  <c r="W1025" i="3"/>
  <c r="Y1025" i="3" s="1"/>
  <c r="AE1025" i="3" s="1"/>
  <c r="AL1025" i="3" s="1"/>
  <c r="U1026" i="3" l="1"/>
  <c r="AI1026" i="3" a="1"/>
  <c r="AI1026" i="3" s="1"/>
  <c r="AR1024" i="3"/>
  <c r="AO1024" i="3"/>
  <c r="W1026" i="3"/>
  <c r="Y1026" i="3" s="1"/>
  <c r="AE1026" i="3" s="1"/>
  <c r="AL1026" i="3" s="1"/>
  <c r="AA1026" i="3"/>
  <c r="AC1026" i="3" s="1"/>
  <c r="AJ1026" i="3" s="1"/>
  <c r="A1027" i="3"/>
  <c r="AQ1025" i="3"/>
  <c r="AF1025" i="3"/>
  <c r="AN1025" i="3" s="1"/>
  <c r="U1027" i="3" l="1"/>
  <c r="AR1025" i="3"/>
  <c r="AO1025" i="3"/>
  <c r="AF1026" i="3"/>
  <c r="AN1026" i="3" s="1"/>
  <c r="AQ1026" i="3"/>
  <c r="W1027" i="3"/>
  <c r="Y1027" i="3" s="1"/>
  <c r="AE1027" i="3" s="1"/>
  <c r="AL1027" i="3" s="1"/>
  <c r="AA1027" i="3"/>
  <c r="AC1027" i="3" s="1"/>
  <c r="A1028" i="3"/>
  <c r="U1028" i="3" l="1"/>
  <c r="AI1028" i="3" a="1"/>
  <c r="AI1028" i="3" s="1"/>
  <c r="AR1026" i="3"/>
  <c r="AO1026" i="3"/>
  <c r="AQ1027" i="3"/>
  <c r="AF1027" i="3"/>
  <c r="AN1027" i="3" s="1"/>
  <c r="AR1027" i="3" s="1"/>
  <c r="AA1028" i="3"/>
  <c r="AC1028" i="3" s="1"/>
  <c r="AJ1028" i="3" s="1"/>
  <c r="A1029" i="3"/>
  <c r="W1028" i="3"/>
  <c r="Y1028" i="3" s="1"/>
  <c r="AE1028" i="3" s="1"/>
  <c r="AL1028" i="3" s="1"/>
  <c r="U1029" i="3" l="1"/>
  <c r="AI1029" i="3" a="1"/>
  <c r="AI1029" i="3" s="1"/>
  <c r="A1030" i="3"/>
  <c r="AA1029" i="3"/>
  <c r="AC1029" i="3" s="1"/>
  <c r="AJ1029" i="3" s="1"/>
  <c r="W1029" i="3"/>
  <c r="Y1029" i="3" s="1"/>
  <c r="AF1028" i="3"/>
  <c r="AN1028" i="3" s="1"/>
  <c r="AQ1028" i="3"/>
  <c r="AE1029" i="3" l="1"/>
  <c r="U1030" i="3"/>
  <c r="AI1030" i="3" a="1"/>
  <c r="AI1030" i="3" s="1"/>
  <c r="AR1028" i="3"/>
  <c r="AO1028" i="3"/>
  <c r="A1031" i="3"/>
  <c r="AA1030" i="3"/>
  <c r="AC1030" i="3" s="1"/>
  <c r="AJ1030" i="3" s="1"/>
  <c r="W1030" i="3"/>
  <c r="Y1030" i="3" s="1"/>
  <c r="AE1030" i="3" s="1"/>
  <c r="AL1030" i="3" s="1"/>
  <c r="AL1029" i="3" l="1"/>
  <c r="AQ1029" i="3" s="1"/>
  <c r="AF1029" i="3"/>
  <c r="U1031" i="3"/>
  <c r="AI1031" i="3" a="1"/>
  <c r="AI1031" i="3" s="1"/>
  <c r="A1032" i="3"/>
  <c r="AA1031" i="3"/>
  <c r="AC1031" i="3" s="1"/>
  <c r="AJ1031" i="3" s="1"/>
  <c r="W1031" i="3"/>
  <c r="Y1031" i="3" s="1"/>
  <c r="AF1030" i="3"/>
  <c r="AN1030" i="3" s="1"/>
  <c r="AQ1030" i="3"/>
  <c r="AE1031" i="3" l="1"/>
  <c r="AN1029" i="3"/>
  <c r="AO1029" i="3" s="1"/>
  <c r="AR1029" i="3"/>
  <c r="U1032" i="3"/>
  <c r="AI1032" i="3" a="1"/>
  <c r="AI1032" i="3" s="1"/>
  <c r="AR1030" i="3"/>
  <c r="AO1030" i="3"/>
  <c r="AA1032" i="3"/>
  <c r="AC1032" i="3" s="1"/>
  <c r="AJ1032" i="3" s="1"/>
  <c r="A1033" i="3"/>
  <c r="W1032" i="3"/>
  <c r="Y1032" i="3" s="1"/>
  <c r="AL1031" i="3" l="1"/>
  <c r="AF1031" i="3"/>
  <c r="AN1031" i="3" s="1"/>
  <c r="AO1031" i="3" s="1"/>
  <c r="AQ1031" i="3"/>
  <c r="AE1032" i="3"/>
  <c r="U1033" i="3"/>
  <c r="AI1033" i="3" a="1"/>
  <c r="AI1033" i="3" s="1"/>
  <c r="AR1031" i="3"/>
  <c r="W1033" i="3"/>
  <c r="Y1033" i="3" s="1"/>
  <c r="AE1033" i="3" s="1"/>
  <c r="AL1033" i="3" s="1"/>
  <c r="A1034" i="3"/>
  <c r="AA1033" i="3"/>
  <c r="AC1033" i="3" s="1"/>
  <c r="AJ1033" i="3" s="1"/>
  <c r="AL1032" i="3" l="1"/>
  <c r="AQ1032" i="3"/>
  <c r="AF1032" i="3"/>
  <c r="U1034" i="3"/>
  <c r="AI1034" i="3" a="1"/>
  <c r="AI1034" i="3" s="1"/>
  <c r="AF1033" i="3"/>
  <c r="AN1033" i="3" s="1"/>
  <c r="AQ1033" i="3"/>
  <c r="A1035" i="3"/>
  <c r="AA1034" i="3"/>
  <c r="AC1034" i="3" s="1"/>
  <c r="AJ1034" i="3" s="1"/>
  <c r="W1034" i="3"/>
  <c r="Y1034" i="3" s="1"/>
  <c r="AE1034" i="3" l="1"/>
  <c r="AN1032" i="3"/>
  <c r="AO1032" i="3" s="1"/>
  <c r="AR1032" i="3"/>
  <c r="U1035" i="3"/>
  <c r="AI1035" i="3" a="1"/>
  <c r="AI1035" i="3" s="1"/>
  <c r="AR1033" i="3"/>
  <c r="AO1033" i="3"/>
  <c r="A1036" i="3"/>
  <c r="W1035" i="3"/>
  <c r="Y1035" i="3" s="1"/>
  <c r="AA1035" i="3"/>
  <c r="AC1035" i="3" s="1"/>
  <c r="AJ1035" i="3" s="1"/>
  <c r="AL1034" i="3" l="1"/>
  <c r="AQ1034" i="3"/>
  <c r="AF1034" i="3"/>
  <c r="AE1035" i="3"/>
  <c r="U1036" i="3"/>
  <c r="AI1036" i="3" a="1"/>
  <c r="AI1036" i="3" s="1"/>
  <c r="AA1036" i="3"/>
  <c r="AC1036" i="3" s="1"/>
  <c r="AJ1036" i="3" s="1"/>
  <c r="A1037" i="3"/>
  <c r="W1036" i="3"/>
  <c r="Y1036" i="3" s="1"/>
  <c r="AN1034" i="3" l="1"/>
  <c r="AO1034" i="3" s="1"/>
  <c r="AR1034" i="3"/>
  <c r="AE1036" i="3"/>
  <c r="AL1035" i="3"/>
  <c r="AQ1035" i="3" s="1"/>
  <c r="AF1035" i="3"/>
  <c r="AN1035" i="3" s="1"/>
  <c r="U1037" i="3"/>
  <c r="AI1037" i="3" a="1"/>
  <c r="AI1037" i="3" s="1"/>
  <c r="A1038" i="3"/>
  <c r="W1037" i="3"/>
  <c r="Y1037" i="3" s="1"/>
  <c r="AE1037" i="3" s="1"/>
  <c r="AL1037" i="3" s="1"/>
  <c r="AA1037" i="3"/>
  <c r="AC1037" i="3" s="1"/>
  <c r="AJ1037" i="3" s="1"/>
  <c r="AL1036" i="3" l="1"/>
  <c r="AF1036" i="3"/>
  <c r="AQ1036" i="3"/>
  <c r="AR1035" i="3"/>
  <c r="AO1035" i="3"/>
  <c r="U1038" i="3"/>
  <c r="AI1038" i="3" a="1"/>
  <c r="AI1038" i="3" s="1"/>
  <c r="W1038" i="3"/>
  <c r="Y1038" i="3" s="1"/>
  <c r="AE1038" i="3" s="1"/>
  <c r="AL1038" i="3" s="1"/>
  <c r="A1039" i="3"/>
  <c r="AA1038" i="3"/>
  <c r="AC1038" i="3" s="1"/>
  <c r="AJ1038" i="3" s="1"/>
  <c r="AF1037" i="3"/>
  <c r="AN1037" i="3" s="1"/>
  <c r="AQ1037" i="3"/>
  <c r="AN1036" i="3" l="1"/>
  <c r="U1039" i="3"/>
  <c r="AI1039" i="3" a="1"/>
  <c r="AI1039" i="3" s="1"/>
  <c r="AR1037" i="3"/>
  <c r="AO1037" i="3"/>
  <c r="AF1038" i="3"/>
  <c r="AN1038" i="3" s="1"/>
  <c r="AQ1038" i="3"/>
  <c r="A1040" i="3"/>
  <c r="AA1039" i="3"/>
  <c r="AC1039" i="3" s="1"/>
  <c r="AJ1039" i="3" s="1"/>
  <c r="W1039" i="3"/>
  <c r="Y1039" i="3" s="1"/>
  <c r="AE1039" i="3" s="1"/>
  <c r="AL1039" i="3" s="1"/>
  <c r="AO1036" i="3" l="1"/>
  <c r="AR1036" i="3"/>
  <c r="U1040" i="3"/>
  <c r="AI1040" i="3" a="1"/>
  <c r="AI1040" i="3" s="1"/>
  <c r="AR1038" i="3"/>
  <c r="AO1038" i="3"/>
  <c r="W1040" i="3"/>
  <c r="Y1040" i="3" s="1"/>
  <c r="AE1040" i="3" s="1"/>
  <c r="AL1040" i="3" s="1"/>
  <c r="A1041" i="3"/>
  <c r="AA1040" i="3"/>
  <c r="AC1040" i="3" s="1"/>
  <c r="AJ1040" i="3" s="1"/>
  <c r="AF1039" i="3"/>
  <c r="AN1039" i="3" s="1"/>
  <c r="AQ1039" i="3"/>
  <c r="U1041" i="3" l="1"/>
  <c r="AI1041" i="3" a="1"/>
  <c r="AI1041" i="3" s="1"/>
  <c r="AR1039" i="3"/>
  <c r="AO1039" i="3"/>
  <c r="AF1040" i="3"/>
  <c r="AN1040" i="3" s="1"/>
  <c r="AQ1040" i="3"/>
  <c r="A1042" i="3"/>
  <c r="AA1041" i="3"/>
  <c r="AC1041" i="3" s="1"/>
  <c r="AJ1041" i="3" s="1"/>
  <c r="W1041" i="3"/>
  <c r="Y1041" i="3" s="1"/>
  <c r="AE1041" i="3" s="1"/>
  <c r="AL1041" i="3" s="1"/>
  <c r="U1042" i="3" l="1"/>
  <c r="AI1042" i="3" a="1"/>
  <c r="AI1042" i="3" s="1"/>
  <c r="AR1040" i="3"/>
  <c r="AO1040" i="3"/>
  <c r="A1043" i="3"/>
  <c r="AA1042" i="3"/>
  <c r="AC1042" i="3" s="1"/>
  <c r="AJ1042" i="3" s="1"/>
  <c r="W1042" i="3"/>
  <c r="Y1042" i="3" s="1"/>
  <c r="AE1042" i="3" s="1"/>
  <c r="AL1042" i="3" s="1"/>
  <c r="AF1041" i="3"/>
  <c r="AN1041" i="3" s="1"/>
  <c r="AQ1041" i="3"/>
  <c r="U1043" i="3" l="1"/>
  <c r="AI1043" i="3" a="1"/>
  <c r="AI1043" i="3" s="1"/>
  <c r="AR1041" i="3"/>
  <c r="AO1041" i="3"/>
  <c r="A1044" i="3"/>
  <c r="AA1043" i="3"/>
  <c r="AC1043" i="3" s="1"/>
  <c r="AJ1043" i="3" s="1"/>
  <c r="W1043" i="3"/>
  <c r="Y1043" i="3" s="1"/>
  <c r="AE1043" i="3" s="1"/>
  <c r="AL1043" i="3" s="1"/>
  <c r="AF1042" i="3"/>
  <c r="AN1042" i="3" s="1"/>
  <c r="AQ1042" i="3"/>
  <c r="U1044" i="3" l="1"/>
  <c r="AI1044" i="3" a="1"/>
  <c r="AI1044" i="3" s="1"/>
  <c r="AR1042" i="3"/>
  <c r="AO1042" i="3"/>
  <c r="AA1044" i="3"/>
  <c r="AC1044" i="3" s="1"/>
  <c r="AJ1044" i="3" s="1"/>
  <c r="A1045" i="3"/>
  <c r="W1044" i="3"/>
  <c r="Y1044" i="3" s="1"/>
  <c r="AE1044" i="3" s="1"/>
  <c r="AL1044" i="3" s="1"/>
  <c r="AQ1043" i="3"/>
  <c r="AF1043" i="3"/>
  <c r="AN1043" i="3" s="1"/>
  <c r="U1045" i="3" l="1"/>
  <c r="AI1045" i="3" a="1"/>
  <c r="AI1045" i="3" s="1"/>
  <c r="AR1043" i="3"/>
  <c r="AO1043" i="3"/>
  <c r="A1046" i="3"/>
  <c r="AA1045" i="3"/>
  <c r="AC1045" i="3" s="1"/>
  <c r="AJ1045" i="3" s="1"/>
  <c r="W1045" i="3"/>
  <c r="Y1045" i="3" s="1"/>
  <c r="AE1045" i="3" s="1"/>
  <c r="AL1045" i="3" s="1"/>
  <c r="AF1044" i="3"/>
  <c r="AN1044" i="3" s="1"/>
  <c r="AQ1044" i="3"/>
  <c r="U1046" i="3" l="1"/>
  <c r="AI1046" i="3" a="1"/>
  <c r="AI1046" i="3" s="1"/>
  <c r="AR1044" i="3"/>
  <c r="AO1044" i="3"/>
  <c r="AA1046" i="3"/>
  <c r="AC1046" i="3" s="1"/>
  <c r="AJ1046" i="3" s="1"/>
  <c r="W1046" i="3"/>
  <c r="Y1046" i="3" s="1"/>
  <c r="A1047" i="3"/>
  <c r="AQ1045" i="3"/>
  <c r="AF1045" i="3"/>
  <c r="AN1045" i="3" s="1"/>
  <c r="AE1046" i="3" l="1"/>
  <c r="U1047" i="3"/>
  <c r="AI1047" i="3" a="1"/>
  <c r="AI1047" i="3" s="1"/>
  <c r="AR1045" i="3"/>
  <c r="AO1045" i="3"/>
  <c r="A1048" i="3"/>
  <c r="AA1047" i="3"/>
  <c r="AC1047" i="3" s="1"/>
  <c r="AJ1047" i="3" s="1"/>
  <c r="W1047" i="3"/>
  <c r="Y1047" i="3" s="1"/>
  <c r="AE1047" i="3" s="1"/>
  <c r="AL1047" i="3" s="1"/>
  <c r="AL1046" i="3" l="1"/>
  <c r="AQ1046" i="3"/>
  <c r="AF1046" i="3"/>
  <c r="AN1046" i="3" s="1"/>
  <c r="U1048" i="3"/>
  <c r="AI1048" i="3" a="1"/>
  <c r="AI1048" i="3" s="1"/>
  <c r="A1049" i="3"/>
  <c r="AA1048" i="3"/>
  <c r="AC1048" i="3" s="1"/>
  <c r="AJ1048" i="3" s="1"/>
  <c r="W1048" i="3"/>
  <c r="Y1048" i="3" s="1"/>
  <c r="AE1048" i="3" s="1"/>
  <c r="AL1048" i="3" s="1"/>
  <c r="AF1047" i="3"/>
  <c r="AN1047" i="3" s="1"/>
  <c r="AQ1047" i="3"/>
  <c r="AR1046" i="3" l="1"/>
  <c r="AO1046" i="3"/>
  <c r="U1049" i="3"/>
  <c r="AI1049" i="3" a="1"/>
  <c r="AI1049" i="3" s="1"/>
  <c r="AR1047" i="3"/>
  <c r="AO1047" i="3"/>
  <c r="A1050" i="3"/>
  <c r="AA1049" i="3"/>
  <c r="AC1049" i="3" s="1"/>
  <c r="AJ1049" i="3" s="1"/>
  <c r="W1049" i="3"/>
  <c r="Y1049" i="3" s="1"/>
  <c r="AE1049" i="3" s="1"/>
  <c r="AL1049" i="3" s="1"/>
  <c r="AF1048" i="3"/>
  <c r="AN1048" i="3" s="1"/>
  <c r="AQ1048" i="3"/>
  <c r="U1050" i="3" l="1"/>
  <c r="AI1050" i="3" a="1"/>
  <c r="AI1050" i="3" s="1"/>
  <c r="AR1048" i="3"/>
  <c r="AO1048" i="3"/>
  <c r="A1051" i="3"/>
  <c r="W1050" i="3"/>
  <c r="Y1050" i="3" s="1"/>
  <c r="AE1050" i="3" s="1"/>
  <c r="AL1050" i="3" s="1"/>
  <c r="AA1050" i="3"/>
  <c r="AC1050" i="3" s="1"/>
  <c r="AJ1050" i="3" s="1"/>
  <c r="AF1049" i="3"/>
  <c r="AN1049" i="3" s="1"/>
  <c r="AQ1049" i="3"/>
  <c r="U1051" i="3" l="1"/>
  <c r="AI1051" i="3" a="1"/>
  <c r="AI1051" i="3" s="1"/>
  <c r="AR1049" i="3"/>
  <c r="AO1049" i="3"/>
  <c r="A1052" i="3"/>
  <c r="AA1051" i="3"/>
  <c r="AC1051" i="3" s="1"/>
  <c r="AJ1051" i="3" s="1"/>
  <c r="W1051" i="3"/>
  <c r="Y1051" i="3" s="1"/>
  <c r="AE1051" i="3" s="1"/>
  <c r="AL1051" i="3" s="1"/>
  <c r="AQ1050" i="3"/>
  <c r="AF1050" i="3"/>
  <c r="AN1050" i="3" s="1"/>
  <c r="U1052" i="3" l="1"/>
  <c r="AI1052" i="3" a="1"/>
  <c r="AI1052" i="3" s="1"/>
  <c r="AR1050" i="3"/>
  <c r="AO1050" i="3"/>
  <c r="A1053" i="3"/>
  <c r="AA1052" i="3"/>
  <c r="AC1052" i="3" s="1"/>
  <c r="AJ1052" i="3" s="1"/>
  <c r="W1052" i="3"/>
  <c r="Y1052" i="3" s="1"/>
  <c r="AE1052" i="3" s="1"/>
  <c r="AL1052" i="3" s="1"/>
  <c r="AF1051" i="3"/>
  <c r="AN1051" i="3" s="1"/>
  <c r="AQ1051" i="3"/>
  <c r="U1053" i="3" l="1"/>
  <c r="AI1053" i="3" a="1"/>
  <c r="AI1053" i="3" s="1"/>
  <c r="AR1051" i="3"/>
  <c r="AO1051" i="3"/>
  <c r="AA1053" i="3"/>
  <c r="AC1053" i="3" s="1"/>
  <c r="AJ1053" i="3" s="1"/>
  <c r="W1053" i="3"/>
  <c r="Y1053" i="3" s="1"/>
  <c r="AE1053" i="3" s="1"/>
  <c r="AL1053" i="3" s="1"/>
  <c r="A1054" i="3"/>
  <c r="AF1052" i="3"/>
  <c r="AN1052" i="3" s="1"/>
  <c r="AQ1052" i="3"/>
  <c r="U1054" i="3" l="1"/>
  <c r="AI1054" i="3" a="1"/>
  <c r="AI1054" i="3" s="1"/>
  <c r="AR1052" i="3"/>
  <c r="AO1052" i="3"/>
  <c r="AF1053" i="3"/>
  <c r="AN1053" i="3" s="1"/>
  <c r="AQ1053" i="3"/>
  <c r="A1055" i="3"/>
  <c r="AA1054" i="3"/>
  <c r="AC1054" i="3" s="1"/>
  <c r="AJ1054" i="3" s="1"/>
  <c r="W1054" i="3"/>
  <c r="Y1054" i="3" s="1"/>
  <c r="AE1054" i="3" s="1"/>
  <c r="AL1054" i="3" s="1"/>
  <c r="U1055" i="3" l="1"/>
  <c r="AR1053" i="3"/>
  <c r="AO1053" i="3"/>
  <c r="W1055" i="3"/>
  <c r="Y1055" i="3" s="1"/>
  <c r="AE1055" i="3" s="1"/>
  <c r="AL1055" i="3" s="1"/>
  <c r="A1056" i="3"/>
  <c r="AA1055" i="3"/>
  <c r="AC1055" i="3" s="1"/>
  <c r="AF1054" i="3"/>
  <c r="AN1054" i="3" s="1"/>
  <c r="AQ1054" i="3"/>
  <c r="U1056" i="3" l="1"/>
  <c r="AI1056" i="3" a="1"/>
  <c r="AI1056" i="3" s="1"/>
  <c r="AR1054" i="3"/>
  <c r="AO1054" i="3"/>
  <c r="AF1055" i="3"/>
  <c r="AN1055" i="3" s="1"/>
  <c r="AR1055" i="3" s="1"/>
  <c r="AQ1055" i="3"/>
  <c r="A1057" i="3"/>
  <c r="AA1056" i="3"/>
  <c r="AC1056" i="3" s="1"/>
  <c r="AJ1056" i="3" s="1"/>
  <c r="W1056" i="3"/>
  <c r="Y1056" i="3" s="1"/>
  <c r="AE1056" i="3" s="1"/>
  <c r="AL1056" i="3" s="1"/>
  <c r="U1057" i="3" l="1"/>
  <c r="AI1057" i="3" a="1"/>
  <c r="AI1057" i="3" s="1"/>
  <c r="A1058" i="3"/>
  <c r="AA1057" i="3"/>
  <c r="AC1057" i="3" s="1"/>
  <c r="AJ1057" i="3" s="1"/>
  <c r="W1057" i="3"/>
  <c r="Y1057" i="3" s="1"/>
  <c r="AE1057" i="3" s="1"/>
  <c r="AL1057" i="3" s="1"/>
  <c r="AF1056" i="3"/>
  <c r="AN1056" i="3" s="1"/>
  <c r="AQ1056" i="3"/>
  <c r="U1058" i="3" l="1"/>
  <c r="AI1058" i="3" a="1"/>
  <c r="AI1058" i="3" s="1"/>
  <c r="AR1056" i="3"/>
  <c r="AO1056" i="3"/>
  <c r="A1059" i="3"/>
  <c r="AA1058" i="3"/>
  <c r="AC1058" i="3" s="1"/>
  <c r="AJ1058" i="3" s="1"/>
  <c r="W1058" i="3"/>
  <c r="Y1058" i="3" s="1"/>
  <c r="AE1058" i="3" s="1"/>
  <c r="AL1058" i="3" s="1"/>
  <c r="AQ1057" i="3"/>
  <c r="AF1057" i="3"/>
  <c r="AN1057" i="3" s="1"/>
  <c r="U1059" i="3" l="1"/>
  <c r="AI1059" i="3" a="1"/>
  <c r="AI1059" i="3" s="1"/>
  <c r="AR1057" i="3"/>
  <c r="AO1057" i="3"/>
  <c r="A1060" i="3"/>
  <c r="AA1059" i="3"/>
  <c r="AC1059" i="3" s="1"/>
  <c r="AJ1059" i="3" s="1"/>
  <c r="W1059" i="3"/>
  <c r="Y1059" i="3" s="1"/>
  <c r="AE1059" i="3" s="1"/>
  <c r="AL1059" i="3" s="1"/>
  <c r="AF1058" i="3"/>
  <c r="AN1058" i="3" s="1"/>
  <c r="AQ1058" i="3"/>
  <c r="U1060" i="3" l="1"/>
  <c r="AI1060" i="3" a="1"/>
  <c r="AI1060" i="3" s="1"/>
  <c r="AR1058" i="3"/>
  <c r="AO1058" i="3"/>
  <c r="A1061" i="3"/>
  <c r="W1060" i="3"/>
  <c r="Y1060" i="3" s="1"/>
  <c r="AE1060" i="3" s="1"/>
  <c r="AL1060" i="3" s="1"/>
  <c r="AA1060" i="3"/>
  <c r="AC1060" i="3" s="1"/>
  <c r="AJ1060" i="3" s="1"/>
  <c r="AF1059" i="3"/>
  <c r="AN1059" i="3" s="1"/>
  <c r="AQ1059" i="3"/>
  <c r="U1061" i="3" l="1"/>
  <c r="AI1061" i="3" a="1"/>
  <c r="AI1061" i="3" s="1"/>
  <c r="AR1059" i="3"/>
  <c r="AO1059" i="3"/>
  <c r="A1062" i="3"/>
  <c r="AA1061" i="3"/>
  <c r="AC1061" i="3" s="1"/>
  <c r="AJ1061" i="3" s="1"/>
  <c r="W1061" i="3"/>
  <c r="Y1061" i="3" s="1"/>
  <c r="AE1061" i="3" s="1"/>
  <c r="AL1061" i="3" s="1"/>
  <c r="AF1060" i="3"/>
  <c r="AN1060" i="3" s="1"/>
  <c r="AQ1060" i="3"/>
  <c r="U1062" i="3" l="1"/>
  <c r="AI1062" i="3" a="1"/>
  <c r="AI1062" i="3" s="1"/>
  <c r="AR1060" i="3"/>
  <c r="AO1060" i="3"/>
  <c r="AA1062" i="3"/>
  <c r="AC1062" i="3" s="1"/>
  <c r="AJ1062" i="3" s="1"/>
  <c r="A1063" i="3"/>
  <c r="W1062" i="3"/>
  <c r="Y1062" i="3" s="1"/>
  <c r="AE1062" i="3" s="1"/>
  <c r="AL1062" i="3" s="1"/>
  <c r="AF1061" i="3"/>
  <c r="AN1061" i="3" s="1"/>
  <c r="AQ1061" i="3"/>
  <c r="U1063" i="3" l="1"/>
  <c r="AI1063" i="3" a="1"/>
  <c r="AI1063" i="3" s="1"/>
  <c r="AR1061" i="3"/>
  <c r="AO1061" i="3"/>
  <c r="AA1063" i="3"/>
  <c r="AC1063" i="3" s="1"/>
  <c r="AJ1063" i="3" s="1"/>
  <c r="W1063" i="3"/>
  <c r="Y1063" i="3" s="1"/>
  <c r="AE1063" i="3" s="1"/>
  <c r="AL1063" i="3" s="1"/>
  <c r="A1064" i="3"/>
  <c r="AF1062" i="3"/>
  <c r="AN1062" i="3" s="1"/>
  <c r="AQ1062" i="3"/>
  <c r="U1064" i="3" l="1"/>
  <c r="AI1064" i="3" a="1"/>
  <c r="AI1064" i="3" s="1"/>
  <c r="AR1062" i="3"/>
  <c r="AO1062" i="3"/>
  <c r="AF1063" i="3"/>
  <c r="AN1063" i="3" s="1"/>
  <c r="AQ1063" i="3"/>
  <c r="A1065" i="3"/>
  <c r="AA1064" i="3"/>
  <c r="AC1064" i="3" s="1"/>
  <c r="AJ1064" i="3" s="1"/>
  <c r="W1064" i="3"/>
  <c r="Y1064" i="3" s="1"/>
  <c r="AE1064" i="3" s="1"/>
  <c r="AL1064" i="3" s="1"/>
  <c r="U1065" i="3" l="1"/>
  <c r="AI1065" i="3" a="1"/>
  <c r="AI1065" i="3" s="1"/>
  <c r="AR1063" i="3"/>
  <c r="AO1063" i="3"/>
  <c r="W1065" i="3"/>
  <c r="Y1065" i="3" s="1"/>
  <c r="AE1065" i="3" s="1"/>
  <c r="AL1065" i="3" s="1"/>
  <c r="A1066" i="3"/>
  <c r="AA1065" i="3"/>
  <c r="AC1065" i="3" s="1"/>
  <c r="AJ1065" i="3" s="1"/>
  <c r="AF1064" i="3"/>
  <c r="AN1064" i="3" s="1"/>
  <c r="AQ1064" i="3"/>
  <c r="U1066" i="3" l="1"/>
  <c r="AR1064" i="3"/>
  <c r="AO1064" i="3"/>
  <c r="AQ1065" i="3"/>
  <c r="AF1065" i="3"/>
  <c r="AN1065" i="3" s="1"/>
  <c r="W1066" i="3"/>
  <c r="Y1066" i="3" s="1"/>
  <c r="AE1066" i="3" s="1"/>
  <c r="AL1066" i="3" s="1"/>
  <c r="A1067" i="3"/>
  <c r="AA1066" i="3"/>
  <c r="AC1066" i="3" s="1"/>
  <c r="U1067" i="3" l="1"/>
  <c r="AR1065" i="3"/>
  <c r="AO1065" i="3"/>
  <c r="AF1066" i="3"/>
  <c r="AN1066" i="3" s="1"/>
  <c r="AR1066" i="3" s="1"/>
  <c r="AQ1066" i="3"/>
  <c r="A1068" i="3"/>
  <c r="AA1067" i="3"/>
  <c r="AC1067" i="3" s="1"/>
  <c r="W1067" i="3"/>
  <c r="Y1067" i="3" s="1"/>
  <c r="AE1067" i="3" s="1"/>
  <c r="AL1067" i="3" s="1"/>
  <c r="U1068" i="3" l="1"/>
  <c r="AI1068" i="3" a="1"/>
  <c r="AI1068" i="3" s="1"/>
  <c r="A1069" i="3"/>
  <c r="W1068" i="3"/>
  <c r="Y1068" i="3" s="1"/>
  <c r="AE1068" i="3" s="1"/>
  <c r="AL1068" i="3" s="1"/>
  <c r="AA1068" i="3"/>
  <c r="AC1068" i="3" s="1"/>
  <c r="AJ1068" i="3" s="1"/>
  <c r="AF1067" i="3"/>
  <c r="AN1067" i="3" s="1"/>
  <c r="AR1067" i="3" s="1"/>
  <c r="AQ1067" i="3"/>
  <c r="U1069" i="3" l="1"/>
  <c r="AI1069" i="3" a="1"/>
  <c r="AI1069" i="3" s="1"/>
  <c r="AA1069" i="3"/>
  <c r="AC1069" i="3" s="1"/>
  <c r="AJ1069" i="3" s="1"/>
  <c r="A1070" i="3"/>
  <c r="W1069" i="3"/>
  <c r="Y1069" i="3" s="1"/>
  <c r="AE1069" i="3" s="1"/>
  <c r="AL1069" i="3" s="1"/>
  <c r="AF1068" i="3"/>
  <c r="AN1068" i="3" s="1"/>
  <c r="AQ1068" i="3"/>
  <c r="U1070" i="3" l="1"/>
  <c r="AI1070" i="3" a="1"/>
  <c r="AI1070" i="3" s="1"/>
  <c r="AR1068" i="3"/>
  <c r="AO1068" i="3"/>
  <c r="A1071" i="3"/>
  <c r="AA1070" i="3"/>
  <c r="AC1070" i="3" s="1"/>
  <c r="AJ1070" i="3" s="1"/>
  <c r="W1070" i="3"/>
  <c r="Y1070" i="3" s="1"/>
  <c r="AE1070" i="3" s="1"/>
  <c r="AL1070" i="3" s="1"/>
  <c r="AQ1069" i="3"/>
  <c r="AF1069" i="3"/>
  <c r="AN1069" i="3" s="1"/>
  <c r="U1071" i="3" l="1"/>
  <c r="AI1071" i="3" a="1"/>
  <c r="AI1071" i="3" s="1"/>
  <c r="AR1069" i="3"/>
  <c r="AO1069" i="3"/>
  <c r="A1072" i="3"/>
  <c r="AA1071" i="3"/>
  <c r="AC1071" i="3" s="1"/>
  <c r="AJ1071" i="3" s="1"/>
  <c r="W1071" i="3"/>
  <c r="Y1071" i="3" s="1"/>
  <c r="AE1071" i="3" s="1"/>
  <c r="AL1071" i="3" s="1"/>
  <c r="AQ1070" i="3"/>
  <c r="AF1070" i="3"/>
  <c r="AN1070" i="3" s="1"/>
  <c r="U1072" i="3" l="1"/>
  <c r="AI1072" i="3" a="1"/>
  <c r="AI1072" i="3" s="1"/>
  <c r="AR1070" i="3"/>
  <c r="AO1070" i="3"/>
  <c r="A1073" i="3"/>
  <c r="AA1072" i="3"/>
  <c r="AC1072" i="3" s="1"/>
  <c r="AJ1072" i="3" s="1"/>
  <c r="W1072" i="3"/>
  <c r="Y1072" i="3" s="1"/>
  <c r="AE1072" i="3" s="1"/>
  <c r="AL1072" i="3" s="1"/>
  <c r="AQ1071" i="3"/>
  <c r="AF1071" i="3"/>
  <c r="AN1071" i="3" s="1"/>
  <c r="U1073" i="3" l="1"/>
  <c r="AI1073" i="3" a="1"/>
  <c r="AI1073" i="3" s="1"/>
  <c r="AR1071" i="3"/>
  <c r="AO1071" i="3"/>
  <c r="A1074" i="3"/>
  <c r="AA1073" i="3"/>
  <c r="AC1073" i="3" s="1"/>
  <c r="AJ1073" i="3" s="1"/>
  <c r="W1073" i="3"/>
  <c r="Y1073" i="3" s="1"/>
  <c r="AE1073" i="3" s="1"/>
  <c r="AL1073" i="3" s="1"/>
  <c r="AQ1072" i="3"/>
  <c r="AF1072" i="3"/>
  <c r="AN1072" i="3" s="1"/>
  <c r="U1074" i="3" l="1"/>
  <c r="AI1074" i="3" a="1"/>
  <c r="AI1074" i="3" s="1"/>
  <c r="AR1072" i="3"/>
  <c r="AO1072" i="3"/>
  <c r="A1075" i="3"/>
  <c r="AA1074" i="3"/>
  <c r="AC1074" i="3" s="1"/>
  <c r="AJ1074" i="3" s="1"/>
  <c r="W1074" i="3"/>
  <c r="Y1074" i="3" s="1"/>
  <c r="AE1074" i="3" s="1"/>
  <c r="AL1074" i="3" s="1"/>
  <c r="AF1073" i="3"/>
  <c r="AN1073" i="3" s="1"/>
  <c r="AQ1073" i="3"/>
  <c r="U1075" i="3" l="1"/>
  <c r="AI1075" i="3" a="1"/>
  <c r="AI1075" i="3" s="1"/>
  <c r="AR1073" i="3"/>
  <c r="AO1073" i="3"/>
  <c r="A1076" i="3"/>
  <c r="AA1075" i="3"/>
  <c r="AC1075" i="3" s="1"/>
  <c r="AJ1075" i="3" s="1"/>
  <c r="W1075" i="3"/>
  <c r="Y1075" i="3" s="1"/>
  <c r="AE1075" i="3" s="1"/>
  <c r="AL1075" i="3" s="1"/>
  <c r="AF1074" i="3"/>
  <c r="AN1074" i="3" s="1"/>
  <c r="AQ1074" i="3"/>
  <c r="U1076" i="3" l="1"/>
  <c r="AI1076" i="3" a="1"/>
  <c r="AI1076" i="3" s="1"/>
  <c r="AR1074" i="3"/>
  <c r="AO1074" i="3"/>
  <c r="A1077" i="3"/>
  <c r="AA1076" i="3"/>
  <c r="AC1076" i="3" s="1"/>
  <c r="AJ1076" i="3" s="1"/>
  <c r="W1076" i="3"/>
  <c r="Y1076" i="3" s="1"/>
  <c r="AE1076" i="3" s="1"/>
  <c r="AL1076" i="3" s="1"/>
  <c r="AF1075" i="3"/>
  <c r="AN1075" i="3" s="1"/>
  <c r="AQ1075" i="3"/>
  <c r="U1077" i="3" l="1"/>
  <c r="AI1077" i="3" a="1"/>
  <c r="AI1077" i="3" s="1"/>
  <c r="AR1075" i="3"/>
  <c r="AO1075" i="3"/>
  <c r="W1077" i="3"/>
  <c r="Y1077" i="3" s="1"/>
  <c r="AE1077" i="3" s="1"/>
  <c r="AL1077" i="3" s="1"/>
  <c r="A1078" i="3"/>
  <c r="AA1077" i="3"/>
  <c r="AC1077" i="3" s="1"/>
  <c r="AJ1077" i="3" s="1"/>
  <c r="AF1076" i="3"/>
  <c r="AN1076" i="3" s="1"/>
  <c r="AQ1076" i="3"/>
  <c r="U1078" i="3" l="1"/>
  <c r="AI1078" i="3" a="1"/>
  <c r="AI1078" i="3" s="1"/>
  <c r="AR1076" i="3"/>
  <c r="AO1076" i="3"/>
  <c r="AF1077" i="3"/>
  <c r="AN1077" i="3" s="1"/>
  <c r="AQ1077" i="3"/>
  <c r="A1079" i="3"/>
  <c r="AA1078" i="3"/>
  <c r="AC1078" i="3" s="1"/>
  <c r="AJ1078" i="3" s="1"/>
  <c r="W1078" i="3"/>
  <c r="Y1078" i="3" s="1"/>
  <c r="AE1078" i="3" s="1"/>
  <c r="AL1078" i="3" s="1"/>
  <c r="U1079" i="3" l="1"/>
  <c r="AI1079" i="3" a="1"/>
  <c r="AI1079" i="3" s="1"/>
  <c r="AR1077" i="3"/>
  <c r="AO1077" i="3"/>
  <c r="A1080" i="3"/>
  <c r="AA1079" i="3"/>
  <c r="AC1079" i="3" s="1"/>
  <c r="AJ1079" i="3" s="1"/>
  <c r="W1079" i="3"/>
  <c r="Y1079" i="3" s="1"/>
  <c r="AE1079" i="3" s="1"/>
  <c r="AL1079" i="3" s="1"/>
  <c r="AF1078" i="3"/>
  <c r="AN1078" i="3" s="1"/>
  <c r="AQ1078" i="3"/>
  <c r="U1080" i="3" l="1"/>
  <c r="AI1080" i="3" a="1"/>
  <c r="AI1080" i="3" s="1"/>
  <c r="AR1078" i="3"/>
  <c r="AO1078" i="3"/>
  <c r="AA1080" i="3"/>
  <c r="AC1080" i="3" s="1"/>
  <c r="AJ1080" i="3" s="1"/>
  <c r="A1081" i="3"/>
  <c r="W1080" i="3"/>
  <c r="Y1080" i="3" s="1"/>
  <c r="AE1080" i="3" s="1"/>
  <c r="AL1080" i="3" s="1"/>
  <c r="AF1079" i="3"/>
  <c r="AN1079" i="3" s="1"/>
  <c r="AQ1079" i="3"/>
  <c r="U1081" i="3" l="1"/>
  <c r="AI1081" i="3" a="1"/>
  <c r="AI1081" i="3" s="1"/>
  <c r="AR1079" i="3"/>
  <c r="AO1079" i="3"/>
  <c r="A1082" i="3"/>
  <c r="AA1081" i="3"/>
  <c r="AC1081" i="3" s="1"/>
  <c r="AJ1081" i="3" s="1"/>
  <c r="W1081" i="3"/>
  <c r="Y1081" i="3" s="1"/>
  <c r="AE1081" i="3" s="1"/>
  <c r="AL1081" i="3" s="1"/>
  <c r="AF1080" i="3"/>
  <c r="AN1080" i="3" s="1"/>
  <c r="AQ1080" i="3"/>
  <c r="U1082" i="3" l="1"/>
  <c r="AI1082" i="3" a="1"/>
  <c r="AI1082" i="3" s="1"/>
  <c r="AR1080" i="3"/>
  <c r="AO1080" i="3"/>
  <c r="A1083" i="3"/>
  <c r="W1082" i="3"/>
  <c r="Y1082" i="3" s="1"/>
  <c r="AE1082" i="3" s="1"/>
  <c r="AL1082" i="3" s="1"/>
  <c r="AA1082" i="3"/>
  <c r="AC1082" i="3" s="1"/>
  <c r="AJ1082" i="3" s="1"/>
  <c r="AF1081" i="3"/>
  <c r="AN1081" i="3" s="1"/>
  <c r="AQ1081" i="3"/>
  <c r="U1083" i="3" l="1"/>
  <c r="AR1081" i="3"/>
  <c r="AO1081" i="3"/>
  <c r="A1084" i="3"/>
  <c r="AA1083" i="3"/>
  <c r="AC1083" i="3" s="1"/>
  <c r="W1083" i="3"/>
  <c r="Y1083" i="3" s="1"/>
  <c r="AE1083" i="3" s="1"/>
  <c r="AL1083" i="3" s="1"/>
  <c r="AF1082" i="3"/>
  <c r="AN1082" i="3" s="1"/>
  <c r="AQ1082" i="3"/>
  <c r="U1084" i="3" l="1"/>
  <c r="AI1084" i="3" a="1"/>
  <c r="AI1084" i="3" s="1"/>
  <c r="AR1082" i="3"/>
  <c r="AO1082" i="3"/>
  <c r="A1085" i="3"/>
  <c r="AA1084" i="3"/>
  <c r="AC1084" i="3" s="1"/>
  <c r="AJ1084" i="3" s="1"/>
  <c r="W1084" i="3"/>
  <c r="Y1084" i="3" s="1"/>
  <c r="AF1083" i="3"/>
  <c r="AN1083" i="3" s="1"/>
  <c r="AR1083" i="3" s="1"/>
  <c r="AQ1083" i="3"/>
  <c r="AE1084" i="3" l="1"/>
  <c r="U1085" i="3"/>
  <c r="AA1085" i="3"/>
  <c r="AC1085" i="3" s="1"/>
  <c r="A1086" i="3"/>
  <c r="W1085" i="3"/>
  <c r="Y1085" i="3" s="1"/>
  <c r="AE1085" i="3" s="1"/>
  <c r="AL1085" i="3" s="1"/>
  <c r="AL1084" i="3" l="1"/>
  <c r="AQ1084" i="3"/>
  <c r="AF1084" i="3"/>
  <c r="U1086" i="3"/>
  <c r="AI1086" i="3" a="1"/>
  <c r="AI1086" i="3" s="1"/>
  <c r="A1087" i="3"/>
  <c r="AA1086" i="3"/>
  <c r="AC1086" i="3" s="1"/>
  <c r="AJ1086" i="3" s="1"/>
  <c r="W1086" i="3"/>
  <c r="Y1086" i="3" s="1"/>
  <c r="AE1086" i="3" s="1"/>
  <c r="AL1086" i="3" s="1"/>
  <c r="AF1085" i="3"/>
  <c r="AN1085" i="3" s="1"/>
  <c r="AR1085" i="3" s="1"/>
  <c r="AQ1085" i="3"/>
  <c r="AN1084" i="3" l="1"/>
  <c r="AO1084" i="3" s="1"/>
  <c r="AR1084" i="3"/>
  <c r="U1087" i="3"/>
  <c r="AI1087" i="3" a="1"/>
  <c r="AI1087" i="3" s="1"/>
  <c r="A1088" i="3"/>
  <c r="AA1087" i="3"/>
  <c r="AC1087" i="3" s="1"/>
  <c r="AJ1087" i="3" s="1"/>
  <c r="W1087" i="3"/>
  <c r="Y1087" i="3" s="1"/>
  <c r="AE1087" i="3" s="1"/>
  <c r="AL1087" i="3" s="1"/>
  <c r="AF1086" i="3"/>
  <c r="AN1086" i="3" s="1"/>
  <c r="AQ1086" i="3"/>
  <c r="U1088" i="3" l="1"/>
  <c r="AI1088" i="3" a="1"/>
  <c r="AI1088" i="3" s="1"/>
  <c r="AR1086" i="3"/>
  <c r="AO1086" i="3"/>
  <c r="W1088" i="3"/>
  <c r="Y1088" i="3" s="1"/>
  <c r="AE1088" i="3" s="1"/>
  <c r="AL1088" i="3" s="1"/>
  <c r="A1089" i="3"/>
  <c r="AA1088" i="3"/>
  <c r="AC1088" i="3" s="1"/>
  <c r="AJ1088" i="3" s="1"/>
  <c r="AF1087" i="3"/>
  <c r="AN1087" i="3" s="1"/>
  <c r="AQ1087" i="3"/>
  <c r="U1089" i="3" l="1"/>
  <c r="AI1089" i="3" a="1"/>
  <c r="AI1089" i="3" s="1"/>
  <c r="AR1087" i="3"/>
  <c r="AO1087" i="3"/>
  <c r="AF1088" i="3"/>
  <c r="AN1088" i="3" s="1"/>
  <c r="AQ1088" i="3"/>
  <c r="W1089" i="3"/>
  <c r="Y1089" i="3" s="1"/>
  <c r="AE1089" i="3" s="1"/>
  <c r="AL1089" i="3" s="1"/>
  <c r="A1090" i="3"/>
  <c r="AA1089" i="3"/>
  <c r="AC1089" i="3" s="1"/>
  <c r="AJ1089" i="3" s="1"/>
  <c r="U1090" i="3" l="1"/>
  <c r="AI1090" i="3" a="1"/>
  <c r="AI1090" i="3" s="1"/>
  <c r="AR1088" i="3"/>
  <c r="AO1088" i="3"/>
  <c r="AF1089" i="3"/>
  <c r="AN1089" i="3" s="1"/>
  <c r="AQ1089" i="3"/>
  <c r="W1090" i="3"/>
  <c r="Y1090" i="3" s="1"/>
  <c r="AE1090" i="3" s="1"/>
  <c r="AL1090" i="3" s="1"/>
  <c r="A1091" i="3"/>
  <c r="AA1090" i="3"/>
  <c r="AC1090" i="3" s="1"/>
  <c r="AJ1090" i="3" s="1"/>
  <c r="U1091" i="3" l="1"/>
  <c r="AI1091" i="3" a="1"/>
  <c r="AI1091" i="3" s="1"/>
  <c r="AR1089" i="3"/>
  <c r="AO1089" i="3"/>
  <c r="AF1090" i="3"/>
  <c r="AN1090" i="3" s="1"/>
  <c r="AQ1090" i="3"/>
  <c r="A1092" i="3"/>
  <c r="AA1091" i="3"/>
  <c r="AC1091" i="3" s="1"/>
  <c r="AJ1091" i="3" s="1"/>
  <c r="W1091" i="3"/>
  <c r="Y1091" i="3" s="1"/>
  <c r="AE1091" i="3" s="1"/>
  <c r="AL1091" i="3" s="1"/>
  <c r="U1092" i="3" l="1"/>
  <c r="AI1092" i="3" a="1"/>
  <c r="AI1092" i="3" s="1"/>
  <c r="AR1090" i="3"/>
  <c r="AO1090" i="3"/>
  <c r="W1092" i="3"/>
  <c r="Y1092" i="3" s="1"/>
  <c r="AE1092" i="3" s="1"/>
  <c r="AL1092" i="3" s="1"/>
  <c r="A1093" i="3"/>
  <c r="AA1092" i="3"/>
  <c r="AC1092" i="3" s="1"/>
  <c r="AJ1092" i="3" s="1"/>
  <c r="AF1091" i="3"/>
  <c r="AN1091" i="3" s="1"/>
  <c r="AQ1091" i="3"/>
  <c r="U1093" i="3" l="1"/>
  <c r="AI1093" i="3" a="1"/>
  <c r="AI1093" i="3" s="1"/>
  <c r="AR1091" i="3"/>
  <c r="AO1091" i="3"/>
  <c r="AQ1092" i="3"/>
  <c r="AF1092" i="3"/>
  <c r="AN1092" i="3" s="1"/>
  <c r="A1094" i="3"/>
  <c r="AA1093" i="3"/>
  <c r="AC1093" i="3" s="1"/>
  <c r="AJ1093" i="3" s="1"/>
  <c r="W1093" i="3"/>
  <c r="Y1093" i="3" s="1"/>
  <c r="AE1093" i="3" s="1"/>
  <c r="AL1093" i="3" s="1"/>
  <c r="U1094" i="3" l="1"/>
  <c r="AR1092" i="3"/>
  <c r="AO1092" i="3"/>
  <c r="A1095" i="3"/>
  <c r="AA1094" i="3"/>
  <c r="AC1094" i="3" s="1"/>
  <c r="W1094" i="3"/>
  <c r="Y1094" i="3" s="1"/>
  <c r="AE1094" i="3" s="1"/>
  <c r="AL1094" i="3" s="1"/>
  <c r="AF1093" i="3"/>
  <c r="AN1093" i="3" s="1"/>
  <c r="AQ1093" i="3"/>
  <c r="U1095" i="3" l="1"/>
  <c r="AI1095" i="3" a="1"/>
  <c r="AI1095" i="3" s="1"/>
  <c r="AR1093" i="3"/>
  <c r="AO1093" i="3"/>
  <c r="A1096" i="3"/>
  <c r="AA1095" i="3"/>
  <c r="AC1095" i="3" s="1"/>
  <c r="AJ1095" i="3" s="1"/>
  <c r="W1095" i="3"/>
  <c r="Y1095" i="3" s="1"/>
  <c r="AE1095" i="3" s="1"/>
  <c r="AL1095" i="3" s="1"/>
  <c r="AF1094" i="3"/>
  <c r="AN1094" i="3" s="1"/>
  <c r="AR1094" i="3" s="1"/>
  <c r="AQ1094" i="3"/>
  <c r="U1096" i="3" l="1"/>
  <c r="AI1096" i="3" a="1"/>
  <c r="AI1096" i="3" s="1"/>
  <c r="A1097" i="3"/>
  <c r="AA1096" i="3"/>
  <c r="AC1096" i="3" s="1"/>
  <c r="AJ1096" i="3" s="1"/>
  <c r="W1096" i="3"/>
  <c r="Y1096" i="3" s="1"/>
  <c r="AE1096" i="3" s="1"/>
  <c r="AL1096" i="3" s="1"/>
  <c r="AF1095" i="3"/>
  <c r="AN1095" i="3" s="1"/>
  <c r="AQ1095" i="3"/>
  <c r="U1097" i="3" l="1"/>
  <c r="AI1097" i="3" a="1"/>
  <c r="AI1097" i="3" s="1"/>
  <c r="AR1095" i="3"/>
  <c r="AO1095" i="3"/>
  <c r="AA1097" i="3"/>
  <c r="AC1097" i="3" s="1"/>
  <c r="AJ1097" i="3" s="1"/>
  <c r="W1097" i="3"/>
  <c r="Y1097" i="3" s="1"/>
  <c r="AE1097" i="3" s="1"/>
  <c r="AL1097" i="3" s="1"/>
  <c r="A1098" i="3"/>
  <c r="AQ1096" i="3"/>
  <c r="AF1096" i="3"/>
  <c r="AN1096" i="3" s="1"/>
  <c r="U1098" i="3" l="1"/>
  <c r="AI1098" i="3" a="1"/>
  <c r="AI1098" i="3" s="1"/>
  <c r="AR1096" i="3"/>
  <c r="AO1096" i="3"/>
  <c r="AF1097" i="3"/>
  <c r="AN1097" i="3" s="1"/>
  <c r="AQ1097" i="3"/>
  <c r="W1098" i="3"/>
  <c r="Y1098" i="3" s="1"/>
  <c r="AE1098" i="3" s="1"/>
  <c r="AL1098" i="3" s="1"/>
  <c r="A1099" i="3"/>
  <c r="AA1098" i="3"/>
  <c r="AC1098" i="3" s="1"/>
  <c r="AJ1098" i="3" s="1"/>
  <c r="U1099" i="3" l="1"/>
  <c r="AI1099" i="3" a="1"/>
  <c r="AI1099" i="3" s="1"/>
  <c r="AR1097" i="3"/>
  <c r="AO1097" i="3"/>
  <c r="AF1098" i="3"/>
  <c r="AN1098" i="3" s="1"/>
  <c r="AQ1098" i="3"/>
  <c r="A1100" i="3"/>
  <c r="AA1099" i="3"/>
  <c r="AC1099" i="3" s="1"/>
  <c r="AJ1099" i="3" s="1"/>
  <c r="W1099" i="3"/>
  <c r="Y1099" i="3" s="1"/>
  <c r="AE1099" i="3" s="1"/>
  <c r="AL1099" i="3" s="1"/>
  <c r="U1100" i="3" l="1"/>
  <c r="AR1098" i="3"/>
  <c r="AO1098" i="3"/>
  <c r="A1101" i="3"/>
  <c r="W1100" i="3"/>
  <c r="Y1100" i="3" s="1"/>
  <c r="AE1100" i="3" s="1"/>
  <c r="AL1100" i="3" s="1"/>
  <c r="AA1100" i="3"/>
  <c r="AC1100" i="3" s="1"/>
  <c r="AF1099" i="3"/>
  <c r="AN1099" i="3" s="1"/>
  <c r="AQ1099" i="3"/>
  <c r="U1101" i="3" l="1"/>
  <c r="AI1101" i="3" a="1"/>
  <c r="AI1101" i="3" s="1"/>
  <c r="AR1099" i="3"/>
  <c r="AO1099" i="3"/>
  <c r="A1102" i="3"/>
  <c r="AA1101" i="3"/>
  <c r="AC1101" i="3" s="1"/>
  <c r="AJ1101" i="3" s="1"/>
  <c r="W1101" i="3"/>
  <c r="Y1101" i="3" s="1"/>
  <c r="AE1101" i="3" s="1"/>
  <c r="AL1101" i="3" s="1"/>
  <c r="AF1100" i="3"/>
  <c r="AN1100" i="3" s="1"/>
  <c r="AR1100" i="3" s="1"/>
  <c r="AQ1100" i="3"/>
  <c r="U1102" i="3" l="1"/>
  <c r="AI1102" i="3" a="1"/>
  <c r="AI1102" i="3" s="1"/>
  <c r="A1103" i="3"/>
  <c r="AA1102" i="3"/>
  <c r="AC1102" i="3" s="1"/>
  <c r="AJ1102" i="3" s="1"/>
  <c r="W1102" i="3"/>
  <c r="Y1102" i="3" s="1"/>
  <c r="AE1102" i="3" s="1"/>
  <c r="AL1102" i="3" s="1"/>
  <c r="AQ1101" i="3"/>
  <c r="AF1101" i="3"/>
  <c r="AN1101" i="3" s="1"/>
  <c r="U1103" i="3" l="1"/>
  <c r="AI1103" i="3" a="1"/>
  <c r="AI1103" i="3" s="1"/>
  <c r="AR1101" i="3"/>
  <c r="AO1101" i="3"/>
  <c r="A1104" i="3"/>
  <c r="AA1103" i="3"/>
  <c r="AC1103" i="3" s="1"/>
  <c r="AJ1103" i="3" s="1"/>
  <c r="W1103" i="3"/>
  <c r="Y1103" i="3" s="1"/>
  <c r="AE1103" i="3" s="1"/>
  <c r="AL1103" i="3" s="1"/>
  <c r="AQ1102" i="3"/>
  <c r="AF1102" i="3"/>
  <c r="AN1102" i="3" s="1"/>
  <c r="U1104" i="3" l="1"/>
  <c r="AI1104" i="3" a="1"/>
  <c r="AI1104" i="3" s="1"/>
  <c r="AR1102" i="3"/>
  <c r="AO1102" i="3"/>
  <c r="W1104" i="3"/>
  <c r="Y1104" i="3" s="1"/>
  <c r="AE1104" i="3" s="1"/>
  <c r="AL1104" i="3" s="1"/>
  <c r="A1105" i="3"/>
  <c r="AA1104" i="3"/>
  <c r="AC1104" i="3" s="1"/>
  <c r="AJ1104" i="3" s="1"/>
  <c r="AF1103" i="3"/>
  <c r="AN1103" i="3" s="1"/>
  <c r="AQ1103" i="3"/>
  <c r="U1105" i="3" l="1"/>
  <c r="AI1105" i="3" a="1"/>
  <c r="AI1105" i="3" s="1"/>
  <c r="AR1103" i="3"/>
  <c r="AO1103" i="3"/>
  <c r="AF1104" i="3"/>
  <c r="AN1104" i="3" s="1"/>
  <c r="AQ1104" i="3"/>
  <c r="A1106" i="3"/>
  <c r="AA1105" i="3"/>
  <c r="AC1105" i="3" s="1"/>
  <c r="AJ1105" i="3" s="1"/>
  <c r="W1105" i="3"/>
  <c r="Y1105" i="3" s="1"/>
  <c r="AE1105" i="3" s="1"/>
  <c r="AL1105" i="3" s="1"/>
  <c r="U1106" i="3" l="1"/>
  <c r="AI1106" i="3" a="1"/>
  <c r="AI1106" i="3" s="1"/>
  <c r="AR1104" i="3"/>
  <c r="AO1104" i="3"/>
  <c r="A1107" i="3"/>
  <c r="AA1106" i="3"/>
  <c r="AC1106" i="3" s="1"/>
  <c r="AJ1106" i="3" s="1"/>
  <c r="W1106" i="3"/>
  <c r="Y1106" i="3" s="1"/>
  <c r="AF1105" i="3"/>
  <c r="AN1105" i="3" s="1"/>
  <c r="AQ1105" i="3"/>
  <c r="AE1106" i="3" l="1"/>
  <c r="U1107" i="3"/>
  <c r="AI1107" i="3" a="1"/>
  <c r="AI1107" i="3" s="1"/>
  <c r="AR1105" i="3"/>
  <c r="AO1105" i="3"/>
  <c r="W1107" i="3"/>
  <c r="Y1107" i="3" s="1"/>
  <c r="AE1107" i="3" s="1"/>
  <c r="AL1107" i="3" s="1"/>
  <c r="AA1107" i="3"/>
  <c r="AC1107" i="3" s="1"/>
  <c r="AJ1107" i="3" s="1"/>
  <c r="A1108" i="3"/>
  <c r="AL1106" i="3" l="1"/>
  <c r="AQ1106" i="3" s="1"/>
  <c r="AF1106" i="3"/>
  <c r="U1108" i="3"/>
  <c r="AI1108" i="3" a="1"/>
  <c r="AI1108" i="3" s="1"/>
  <c r="AF1107" i="3"/>
  <c r="AN1107" i="3" s="1"/>
  <c r="AQ1107" i="3"/>
  <c r="A1109" i="3"/>
  <c r="AA1108" i="3"/>
  <c r="AC1108" i="3" s="1"/>
  <c r="AJ1108" i="3" s="1"/>
  <c r="W1108" i="3"/>
  <c r="Y1108" i="3" s="1"/>
  <c r="AE1108" i="3" s="1"/>
  <c r="AL1108" i="3" s="1"/>
  <c r="AN1106" i="3" l="1"/>
  <c r="AO1106" i="3" s="1"/>
  <c r="AR1106" i="3"/>
  <c r="U1109" i="3"/>
  <c r="AI1109" i="3" a="1"/>
  <c r="AI1109" i="3" s="1"/>
  <c r="AR1107" i="3"/>
  <c r="AO1107" i="3"/>
  <c r="A1110" i="3"/>
  <c r="AA1109" i="3"/>
  <c r="AC1109" i="3" s="1"/>
  <c r="AJ1109" i="3" s="1"/>
  <c r="W1109" i="3"/>
  <c r="Y1109" i="3" s="1"/>
  <c r="AE1109" i="3" s="1"/>
  <c r="AL1109" i="3" s="1"/>
  <c r="AF1108" i="3"/>
  <c r="AN1108" i="3" s="1"/>
  <c r="AQ1108" i="3"/>
  <c r="U1110" i="3" l="1"/>
  <c r="AI1110" i="3" a="1"/>
  <c r="AI1110" i="3" s="1"/>
  <c r="AR1108" i="3"/>
  <c r="AO1108" i="3"/>
  <c r="A1111" i="3"/>
  <c r="AA1110" i="3"/>
  <c r="AC1110" i="3" s="1"/>
  <c r="AJ1110" i="3" s="1"/>
  <c r="W1110" i="3"/>
  <c r="Y1110" i="3" s="1"/>
  <c r="AE1110" i="3" s="1"/>
  <c r="AL1110" i="3" s="1"/>
  <c r="AF1109" i="3"/>
  <c r="AN1109" i="3" s="1"/>
  <c r="AQ1109" i="3"/>
  <c r="U1111" i="3" l="1"/>
  <c r="AI1111" i="3" a="1"/>
  <c r="AI1111" i="3" s="1"/>
  <c r="AR1109" i="3"/>
  <c r="AO1109" i="3"/>
  <c r="A1112" i="3"/>
  <c r="W1111" i="3"/>
  <c r="Y1111" i="3" s="1"/>
  <c r="AE1111" i="3" s="1"/>
  <c r="AL1111" i="3" s="1"/>
  <c r="AA1111" i="3"/>
  <c r="AC1111" i="3" s="1"/>
  <c r="AJ1111" i="3" s="1"/>
  <c r="AF1110" i="3"/>
  <c r="AN1110" i="3" s="1"/>
  <c r="AQ1110" i="3"/>
  <c r="U1112" i="3" l="1"/>
  <c r="AI1112" i="3" a="1"/>
  <c r="AI1112" i="3" s="1"/>
  <c r="AR1110" i="3"/>
  <c r="AO1110" i="3"/>
  <c r="A1113" i="3"/>
  <c r="W1112" i="3"/>
  <c r="Y1112" i="3" s="1"/>
  <c r="AE1112" i="3" s="1"/>
  <c r="AL1112" i="3" s="1"/>
  <c r="AA1112" i="3"/>
  <c r="AC1112" i="3" s="1"/>
  <c r="AJ1112" i="3" s="1"/>
  <c r="AF1111" i="3"/>
  <c r="AN1111" i="3" s="1"/>
  <c r="AQ1111" i="3"/>
  <c r="U1113" i="3" l="1"/>
  <c r="AI1113" i="3" a="1"/>
  <c r="AI1113" i="3" s="1"/>
  <c r="AR1111" i="3"/>
  <c r="AO1111" i="3"/>
  <c r="A1114" i="3"/>
  <c r="AA1113" i="3"/>
  <c r="AC1113" i="3" s="1"/>
  <c r="AJ1113" i="3" s="1"/>
  <c r="W1113" i="3"/>
  <c r="Y1113" i="3" s="1"/>
  <c r="AE1113" i="3" s="1"/>
  <c r="AL1113" i="3" s="1"/>
  <c r="AF1112" i="3"/>
  <c r="AN1112" i="3" s="1"/>
  <c r="AQ1112" i="3"/>
  <c r="U1114" i="3" l="1"/>
  <c r="AI1114" i="3" a="1"/>
  <c r="AI1114" i="3" s="1"/>
  <c r="AR1112" i="3"/>
  <c r="AO1112" i="3"/>
  <c r="A1115" i="3"/>
  <c r="AA1114" i="3"/>
  <c r="AC1114" i="3" s="1"/>
  <c r="AJ1114" i="3" s="1"/>
  <c r="W1114" i="3"/>
  <c r="Y1114" i="3" s="1"/>
  <c r="AE1114" i="3" s="1"/>
  <c r="AL1114" i="3" s="1"/>
  <c r="AF1113" i="3"/>
  <c r="AN1113" i="3" s="1"/>
  <c r="AQ1113" i="3"/>
  <c r="U1115" i="3" l="1"/>
  <c r="AI1115" i="3" a="1"/>
  <c r="AI1115" i="3" s="1"/>
  <c r="AR1113" i="3"/>
  <c r="AO1113" i="3"/>
  <c r="A1116" i="3"/>
  <c r="AA1115" i="3"/>
  <c r="AC1115" i="3" s="1"/>
  <c r="AJ1115" i="3" s="1"/>
  <c r="W1115" i="3"/>
  <c r="Y1115" i="3" s="1"/>
  <c r="AE1115" i="3" s="1"/>
  <c r="AL1115" i="3" s="1"/>
  <c r="AF1114" i="3"/>
  <c r="AN1114" i="3" s="1"/>
  <c r="AQ1114" i="3"/>
  <c r="U1116" i="3" l="1"/>
  <c r="AR1114" i="3"/>
  <c r="AO1114" i="3"/>
  <c r="A1117" i="3"/>
  <c r="AA1116" i="3"/>
  <c r="AC1116" i="3" s="1"/>
  <c r="W1116" i="3"/>
  <c r="Y1116" i="3" s="1"/>
  <c r="AE1116" i="3" s="1"/>
  <c r="AL1116" i="3" s="1"/>
  <c r="AQ1115" i="3"/>
  <c r="AF1115" i="3"/>
  <c r="AN1115" i="3" s="1"/>
  <c r="U1117" i="3" l="1"/>
  <c r="AI1117" i="3" a="1"/>
  <c r="AI1117" i="3" s="1"/>
  <c r="AR1115" i="3"/>
  <c r="AO1115" i="3"/>
  <c r="A1118" i="3"/>
  <c r="AA1117" i="3"/>
  <c r="AC1117" i="3" s="1"/>
  <c r="AJ1117" i="3" s="1"/>
  <c r="W1117" i="3"/>
  <c r="Y1117" i="3" s="1"/>
  <c r="AE1117" i="3" s="1"/>
  <c r="AL1117" i="3" s="1"/>
  <c r="AF1116" i="3"/>
  <c r="AN1116" i="3" s="1"/>
  <c r="AR1116" i="3" s="1"/>
  <c r="AQ1116" i="3"/>
  <c r="U1118" i="3" l="1"/>
  <c r="AI1118" i="3" a="1"/>
  <c r="AI1118" i="3" s="1"/>
  <c r="A1119" i="3"/>
  <c r="AA1118" i="3"/>
  <c r="AC1118" i="3" s="1"/>
  <c r="AJ1118" i="3" s="1"/>
  <c r="W1118" i="3"/>
  <c r="Y1118" i="3" s="1"/>
  <c r="AE1118" i="3" s="1"/>
  <c r="AL1118" i="3" s="1"/>
  <c r="AQ1117" i="3"/>
  <c r="AF1117" i="3"/>
  <c r="AN1117" i="3" s="1"/>
  <c r="U1119" i="3" l="1"/>
  <c r="AI1119" i="3" a="1"/>
  <c r="AI1119" i="3" s="1"/>
  <c r="AR1117" i="3"/>
  <c r="AO1117" i="3"/>
  <c r="A1120" i="3"/>
  <c r="AA1119" i="3"/>
  <c r="AC1119" i="3" s="1"/>
  <c r="AJ1119" i="3" s="1"/>
  <c r="W1119" i="3"/>
  <c r="Y1119" i="3" s="1"/>
  <c r="AE1119" i="3" s="1"/>
  <c r="AL1119" i="3" s="1"/>
  <c r="AF1118" i="3"/>
  <c r="AN1118" i="3" s="1"/>
  <c r="AQ1118" i="3"/>
  <c r="U1120" i="3" l="1"/>
  <c r="AI1120" i="3" a="1"/>
  <c r="AI1120" i="3" s="1"/>
  <c r="AR1118" i="3"/>
  <c r="AO1118" i="3"/>
  <c r="A1121" i="3"/>
  <c r="AA1120" i="3"/>
  <c r="AC1120" i="3" s="1"/>
  <c r="AJ1120" i="3" s="1"/>
  <c r="W1120" i="3"/>
  <c r="Y1120" i="3" s="1"/>
  <c r="AF1119" i="3"/>
  <c r="AN1119" i="3" s="1"/>
  <c r="AQ1119" i="3"/>
  <c r="AE1120" i="3" l="1"/>
  <c r="U1121" i="3"/>
  <c r="AI1121" i="3" a="1"/>
  <c r="AI1121" i="3" s="1"/>
  <c r="AR1119" i="3"/>
  <c r="AO1119" i="3"/>
  <c r="A1122" i="3"/>
  <c r="AA1121" i="3"/>
  <c r="AC1121" i="3" s="1"/>
  <c r="AJ1121" i="3" s="1"/>
  <c r="W1121" i="3"/>
  <c r="Y1121" i="3" s="1"/>
  <c r="AE1121" i="3" s="1"/>
  <c r="AL1121" i="3" s="1"/>
  <c r="AL1120" i="3" l="1"/>
  <c r="AQ1120" i="3"/>
  <c r="AF1120" i="3"/>
  <c r="U1122" i="3"/>
  <c r="A1123" i="3"/>
  <c r="AA1122" i="3"/>
  <c r="AC1122" i="3" s="1"/>
  <c r="W1122" i="3"/>
  <c r="Y1122" i="3" s="1"/>
  <c r="AE1122" i="3" s="1"/>
  <c r="AL1122" i="3" s="1"/>
  <c r="AQ1121" i="3"/>
  <c r="AF1121" i="3"/>
  <c r="AN1121" i="3" s="1"/>
  <c r="AN1120" i="3" l="1"/>
  <c r="AO1120" i="3" s="1"/>
  <c r="AR1120" i="3"/>
  <c r="U1123" i="3"/>
  <c r="AR1121" i="3"/>
  <c r="AO1121" i="3"/>
  <c r="A1124" i="3"/>
  <c r="AA1123" i="3"/>
  <c r="AC1123" i="3" s="1"/>
  <c r="W1123" i="3"/>
  <c r="Y1123" i="3" s="1"/>
  <c r="AE1123" i="3" s="1"/>
  <c r="AL1123" i="3" s="1"/>
  <c r="AQ1122" i="3"/>
  <c r="AF1122" i="3"/>
  <c r="AN1122" i="3" s="1"/>
  <c r="AR1122" i="3" s="1"/>
  <c r="U1124" i="3" l="1"/>
  <c r="AI1124" i="3" a="1"/>
  <c r="AI1124" i="3" s="1"/>
  <c r="A1125" i="3"/>
  <c r="AA1124" i="3"/>
  <c r="AC1124" i="3" s="1"/>
  <c r="AJ1124" i="3" s="1"/>
  <c r="W1124" i="3"/>
  <c r="Y1124" i="3" s="1"/>
  <c r="AE1124" i="3" s="1"/>
  <c r="AL1124" i="3" s="1"/>
  <c r="AF1123" i="3"/>
  <c r="AN1123" i="3" s="1"/>
  <c r="AR1123" i="3" s="1"/>
  <c r="AQ1123" i="3"/>
  <c r="U1125" i="3" l="1"/>
  <c r="A1126" i="3"/>
  <c r="W1125" i="3"/>
  <c r="Y1125" i="3" s="1"/>
  <c r="AE1125" i="3" s="1"/>
  <c r="AL1125" i="3" s="1"/>
  <c r="AA1125" i="3"/>
  <c r="AC1125" i="3" s="1"/>
  <c r="AF1124" i="3"/>
  <c r="AN1124" i="3" s="1"/>
  <c r="AQ1124" i="3"/>
  <c r="U1126" i="3" l="1"/>
  <c r="AI1126" i="3" a="1"/>
  <c r="AI1126" i="3" s="1"/>
  <c r="AR1124" i="3"/>
  <c r="AO1124" i="3"/>
  <c r="W1126" i="3"/>
  <c r="Y1126" i="3" s="1"/>
  <c r="AE1126" i="3" s="1"/>
  <c r="AL1126" i="3" s="1"/>
  <c r="A1127" i="3"/>
  <c r="AA1126" i="3"/>
  <c r="AC1126" i="3" s="1"/>
  <c r="AJ1126" i="3" s="1"/>
  <c r="AF1125" i="3"/>
  <c r="AN1125" i="3" s="1"/>
  <c r="AR1125" i="3" s="1"/>
  <c r="AQ1125" i="3"/>
  <c r="U1127" i="3" l="1"/>
  <c r="AF1126" i="3"/>
  <c r="AN1126" i="3" s="1"/>
  <c r="AQ1126" i="3"/>
  <c r="W1127" i="3"/>
  <c r="Y1127" i="3" s="1"/>
  <c r="AE1127" i="3" s="1"/>
  <c r="AL1127" i="3" s="1"/>
  <c r="A1128" i="3"/>
  <c r="AA1127" i="3"/>
  <c r="AC1127" i="3" s="1"/>
  <c r="U1128" i="3" l="1"/>
  <c r="AR1126" i="3"/>
  <c r="AO1126" i="3"/>
  <c r="AF1127" i="3"/>
  <c r="AN1127" i="3" s="1"/>
  <c r="AR1127" i="3" s="1"/>
  <c r="AQ1127" i="3"/>
  <c r="A1129" i="3"/>
  <c r="AA1128" i="3"/>
  <c r="AC1128" i="3" s="1"/>
  <c r="W1128" i="3"/>
  <c r="Y1128" i="3" s="1"/>
  <c r="AE1128" i="3" s="1"/>
  <c r="AL1128" i="3" s="1"/>
  <c r="U1129" i="3" l="1"/>
  <c r="A1130" i="3"/>
  <c r="W1129" i="3"/>
  <c r="Y1129" i="3" s="1"/>
  <c r="AE1129" i="3" s="1"/>
  <c r="AL1129" i="3" s="1"/>
  <c r="AA1129" i="3"/>
  <c r="AC1129" i="3" s="1"/>
  <c r="AF1128" i="3"/>
  <c r="AN1128" i="3" s="1"/>
  <c r="AR1128" i="3" s="1"/>
  <c r="AQ1128" i="3"/>
  <c r="U1130" i="3" l="1"/>
  <c r="AI1130" i="3" a="1"/>
  <c r="AI1130" i="3" s="1"/>
  <c r="A1131" i="3"/>
  <c r="AA1130" i="3"/>
  <c r="AC1130" i="3" s="1"/>
  <c r="AJ1130" i="3" s="1"/>
  <c r="W1130" i="3"/>
  <c r="Y1130" i="3" s="1"/>
  <c r="AE1130" i="3" s="1"/>
  <c r="AL1130" i="3" s="1"/>
  <c r="AF1129" i="3"/>
  <c r="AN1129" i="3" s="1"/>
  <c r="AR1129" i="3" s="1"/>
  <c r="AQ1129" i="3"/>
  <c r="U1131" i="3" l="1"/>
  <c r="AI1131" i="3" a="1"/>
  <c r="AI1131" i="3" s="1"/>
  <c r="AA1131" i="3"/>
  <c r="AC1131" i="3" s="1"/>
  <c r="AJ1131" i="3" s="1"/>
  <c r="W1131" i="3"/>
  <c r="Y1131" i="3" s="1"/>
  <c r="AE1131" i="3" s="1"/>
  <c r="AL1131" i="3" s="1"/>
  <c r="A1132" i="3"/>
  <c r="AF1130" i="3"/>
  <c r="AN1130" i="3" s="1"/>
  <c r="AQ1130" i="3"/>
  <c r="U1132" i="3" l="1"/>
  <c r="AI1132" i="3" a="1"/>
  <c r="AI1132" i="3" s="1"/>
  <c r="AR1130" i="3"/>
  <c r="AO1130" i="3"/>
  <c r="AF1131" i="3"/>
  <c r="AN1131" i="3" s="1"/>
  <c r="AQ1131" i="3"/>
  <c r="A1133" i="3"/>
  <c r="W1132" i="3"/>
  <c r="Y1132" i="3" s="1"/>
  <c r="AE1132" i="3" s="1"/>
  <c r="AL1132" i="3" s="1"/>
  <c r="AA1132" i="3"/>
  <c r="AC1132" i="3" s="1"/>
  <c r="AJ1132" i="3" s="1"/>
  <c r="U1133" i="3" l="1"/>
  <c r="AI1133" i="3" a="1"/>
  <c r="AI1133" i="3" s="1"/>
  <c r="AR1131" i="3"/>
  <c r="AO1131" i="3"/>
  <c r="A1134" i="3"/>
  <c r="AA1133" i="3"/>
  <c r="AC1133" i="3" s="1"/>
  <c r="AJ1133" i="3" s="1"/>
  <c r="W1133" i="3"/>
  <c r="Y1133" i="3" s="1"/>
  <c r="AF1132" i="3"/>
  <c r="AN1132" i="3" s="1"/>
  <c r="AQ1132" i="3"/>
  <c r="AE1133" i="3" l="1"/>
  <c r="U1134" i="3"/>
  <c r="AI1134" i="3" a="1"/>
  <c r="AI1134" i="3" s="1"/>
  <c r="AR1132" i="3"/>
  <c r="AO1132" i="3"/>
  <c r="A1135" i="3"/>
  <c r="AA1134" i="3"/>
  <c r="AC1134" i="3" s="1"/>
  <c r="AJ1134" i="3" s="1"/>
  <c r="W1134" i="3"/>
  <c r="Y1134" i="3" s="1"/>
  <c r="AE1134" i="3" s="1"/>
  <c r="AL1134" i="3" s="1"/>
  <c r="AL1133" i="3" l="1"/>
  <c r="AF1133" i="3"/>
  <c r="AN1133" i="3" s="1"/>
  <c r="AQ1133" i="3"/>
  <c r="U1135" i="3"/>
  <c r="AI1135" i="3" a="1"/>
  <c r="AI1135" i="3" s="1"/>
  <c r="AR1133" i="3"/>
  <c r="AO1133" i="3"/>
  <c r="A1136" i="3"/>
  <c r="AA1135" i="3"/>
  <c r="AC1135" i="3" s="1"/>
  <c r="AJ1135" i="3" s="1"/>
  <c r="W1135" i="3"/>
  <c r="Y1135" i="3" s="1"/>
  <c r="AF1134" i="3"/>
  <c r="AN1134" i="3" s="1"/>
  <c r="AQ1134" i="3"/>
  <c r="AE1135" i="3" l="1"/>
  <c r="U1136" i="3"/>
  <c r="AI1136" i="3" a="1"/>
  <c r="AI1136" i="3" s="1"/>
  <c r="AR1134" i="3"/>
  <c r="AO1134" i="3"/>
  <c r="A1137" i="3"/>
  <c r="AA1136" i="3"/>
  <c r="AC1136" i="3" s="1"/>
  <c r="AJ1136" i="3" s="1"/>
  <c r="W1136" i="3"/>
  <c r="Y1136" i="3" s="1"/>
  <c r="AE1136" i="3" l="1"/>
  <c r="AL1135" i="3"/>
  <c r="AF1135" i="3"/>
  <c r="AQ1135" i="3"/>
  <c r="U1137" i="3"/>
  <c r="AA1137" i="3"/>
  <c r="AC1137" i="3" s="1"/>
  <c r="A1138" i="3"/>
  <c r="W1137" i="3"/>
  <c r="Y1137" i="3" s="1"/>
  <c r="AE1137" i="3" s="1"/>
  <c r="AL1137" i="3" s="1"/>
  <c r="AL1136" i="3" l="1"/>
  <c r="AF1136" i="3"/>
  <c r="AQ1136" i="3"/>
  <c r="AN1135" i="3"/>
  <c r="AO1135" i="3" s="1"/>
  <c r="AR1135" i="3"/>
  <c r="U1138" i="3"/>
  <c r="W1138" i="3"/>
  <c r="Y1138" i="3" s="1"/>
  <c r="AE1138" i="3" s="1"/>
  <c r="AL1138" i="3" s="1"/>
  <c r="A1139" i="3"/>
  <c r="AA1138" i="3"/>
  <c r="AC1138" i="3" s="1"/>
  <c r="AF1137" i="3"/>
  <c r="AN1137" i="3" s="1"/>
  <c r="AR1137" i="3" s="1"/>
  <c r="AQ1137" i="3"/>
  <c r="AN1136" i="3" l="1"/>
  <c r="AO1136" i="3" s="1"/>
  <c r="AR1136" i="3"/>
  <c r="U1139" i="3"/>
  <c r="AI1139" i="3" a="1"/>
  <c r="AI1139" i="3" s="1"/>
  <c r="AQ1138" i="3"/>
  <c r="AF1138" i="3"/>
  <c r="AN1138" i="3" s="1"/>
  <c r="AR1138" i="3" s="1"/>
  <c r="A1140" i="3"/>
  <c r="W1139" i="3"/>
  <c r="Y1139" i="3" s="1"/>
  <c r="AE1139" i="3" s="1"/>
  <c r="AL1139" i="3" s="1"/>
  <c r="AA1139" i="3"/>
  <c r="AC1139" i="3" s="1"/>
  <c r="AJ1139" i="3" s="1"/>
  <c r="U1140" i="3" l="1"/>
  <c r="AA1140" i="3"/>
  <c r="AC1140" i="3" s="1"/>
  <c r="W1140" i="3"/>
  <c r="Y1140" i="3" s="1"/>
  <c r="AE1140" i="3" s="1"/>
  <c r="AL1140" i="3" s="1"/>
  <c r="A1141" i="3"/>
  <c r="AF1139" i="3"/>
  <c r="AN1139" i="3" s="1"/>
  <c r="AQ1139" i="3"/>
  <c r="U1141" i="3" l="1"/>
  <c r="AR1139" i="3"/>
  <c r="AO1139" i="3"/>
  <c r="AF1140" i="3"/>
  <c r="AN1140" i="3" s="1"/>
  <c r="AR1140" i="3" s="1"/>
  <c r="AQ1140" i="3"/>
  <c r="A1142" i="3"/>
  <c r="W1141" i="3"/>
  <c r="Y1141" i="3" s="1"/>
  <c r="AE1141" i="3" s="1"/>
  <c r="AL1141" i="3" s="1"/>
  <c r="AA1141" i="3"/>
  <c r="AC1141" i="3" s="1"/>
  <c r="U1142" i="3" l="1"/>
  <c r="AI1142" i="3" a="1"/>
  <c r="AI1142" i="3" s="1"/>
  <c r="AA1142" i="3"/>
  <c r="AC1142" i="3" s="1"/>
  <c r="AJ1142" i="3" s="1"/>
  <c r="W1142" i="3"/>
  <c r="Y1142" i="3" s="1"/>
  <c r="AE1142" i="3" s="1"/>
  <c r="AL1142" i="3" s="1"/>
  <c r="A1143" i="3"/>
  <c r="AQ1141" i="3"/>
  <c r="AF1141" i="3"/>
  <c r="AN1141" i="3" s="1"/>
  <c r="AR1141" i="3" s="1"/>
  <c r="U1143" i="3" l="1"/>
  <c r="AF1142" i="3"/>
  <c r="AN1142" i="3" s="1"/>
  <c r="AQ1142" i="3"/>
  <c r="A1144" i="3"/>
  <c r="AA1143" i="3"/>
  <c r="AC1143" i="3" s="1"/>
  <c r="W1143" i="3"/>
  <c r="Y1143" i="3" s="1"/>
  <c r="AE1143" i="3" s="1"/>
  <c r="AL1143" i="3" s="1"/>
  <c r="U1144" i="3" l="1"/>
  <c r="AI1144" i="3" a="1"/>
  <c r="AI1144" i="3" s="1"/>
  <c r="AR1142" i="3"/>
  <c r="AO1142" i="3"/>
  <c r="A1145" i="3"/>
  <c r="AA1144" i="3"/>
  <c r="AC1144" i="3" s="1"/>
  <c r="AJ1144" i="3" s="1"/>
  <c r="W1144" i="3"/>
  <c r="Y1144" i="3" s="1"/>
  <c r="AE1144" i="3" s="1"/>
  <c r="AL1144" i="3" s="1"/>
  <c r="AF1143" i="3"/>
  <c r="AN1143" i="3" s="1"/>
  <c r="AR1143" i="3" s="1"/>
  <c r="AQ1143" i="3"/>
  <c r="U1145" i="3" l="1"/>
  <c r="AI1145" i="3" a="1"/>
  <c r="AI1145" i="3" s="1"/>
  <c r="AA1145" i="3"/>
  <c r="AC1145" i="3" s="1"/>
  <c r="AJ1145" i="3" s="1"/>
  <c r="A1146" i="3"/>
  <c r="W1145" i="3"/>
  <c r="Y1145" i="3" s="1"/>
  <c r="AE1145" i="3" s="1"/>
  <c r="AL1145" i="3" s="1"/>
  <c r="AF1144" i="3"/>
  <c r="AN1144" i="3" s="1"/>
  <c r="AQ1144" i="3"/>
  <c r="U1146" i="3" l="1"/>
  <c r="AR1144" i="3"/>
  <c r="AO1144" i="3"/>
  <c r="A1147" i="3"/>
  <c r="AA1146" i="3"/>
  <c r="AC1146" i="3" s="1"/>
  <c r="W1146" i="3"/>
  <c r="Y1146" i="3" s="1"/>
  <c r="AE1146" i="3" s="1"/>
  <c r="AL1146" i="3" s="1"/>
  <c r="AF1145" i="3"/>
  <c r="AN1145" i="3" s="1"/>
  <c r="AQ1145" i="3"/>
  <c r="U1147" i="3" l="1"/>
  <c r="AR1145" i="3"/>
  <c r="AO1145" i="3"/>
  <c r="W1147" i="3"/>
  <c r="Y1147" i="3" s="1"/>
  <c r="AE1147" i="3" s="1"/>
  <c r="AL1147" i="3" s="1"/>
  <c r="A1148" i="3"/>
  <c r="AA1147" i="3"/>
  <c r="AC1147" i="3" s="1"/>
  <c r="AQ1146" i="3"/>
  <c r="AF1146" i="3"/>
  <c r="AN1146" i="3" s="1"/>
  <c r="AR1146" i="3" s="1"/>
  <c r="U1148" i="3" l="1"/>
  <c r="AF1147" i="3"/>
  <c r="AN1147" i="3" s="1"/>
  <c r="AR1147" i="3" s="1"/>
  <c r="AQ1147" i="3"/>
  <c r="A1149" i="3"/>
  <c r="W1148" i="3"/>
  <c r="Y1148" i="3" s="1"/>
  <c r="AA1148" i="3"/>
  <c r="AC1148" i="3" s="1"/>
  <c r="AE1148" i="3" l="1"/>
  <c r="U1149" i="3"/>
  <c r="AI1149" i="3" a="1"/>
  <c r="AI1149" i="3" s="1"/>
  <c r="A1150" i="3"/>
  <c r="AA1149" i="3"/>
  <c r="AC1149" i="3" s="1"/>
  <c r="AJ1149" i="3" s="1"/>
  <c r="W1149" i="3"/>
  <c r="Y1149" i="3" s="1"/>
  <c r="AE1149" i="3" s="1"/>
  <c r="AL1149" i="3" s="1"/>
  <c r="AL1148" i="3" l="1"/>
  <c r="AQ1148" i="3"/>
  <c r="AF1148" i="3"/>
  <c r="AN1148" i="3" s="1"/>
  <c r="AR1148" i="3" s="1"/>
  <c r="U1150" i="3"/>
  <c r="AI1150" i="3" a="1"/>
  <c r="AI1150" i="3" s="1"/>
  <c r="A1151" i="3"/>
  <c r="AA1150" i="3"/>
  <c r="AC1150" i="3" s="1"/>
  <c r="AJ1150" i="3" s="1"/>
  <c r="W1150" i="3"/>
  <c r="Y1150" i="3" s="1"/>
  <c r="AE1150" i="3" s="1"/>
  <c r="AL1150" i="3" s="1"/>
  <c r="AQ1149" i="3"/>
  <c r="AF1149" i="3"/>
  <c r="AN1149" i="3" s="1"/>
  <c r="U1151" i="3" l="1"/>
  <c r="AI1151" i="3" a="1"/>
  <c r="AI1151" i="3" s="1"/>
  <c r="AR1149" i="3"/>
  <c r="AO1149" i="3"/>
  <c r="A1152" i="3"/>
  <c r="AA1151" i="3"/>
  <c r="AC1151" i="3" s="1"/>
  <c r="AJ1151" i="3" s="1"/>
  <c r="W1151" i="3"/>
  <c r="Y1151" i="3" s="1"/>
  <c r="AF1150" i="3"/>
  <c r="AN1150" i="3" s="1"/>
  <c r="AQ1150" i="3"/>
  <c r="AE1151" i="3" l="1"/>
  <c r="U1152" i="3"/>
  <c r="AI1152" i="3" a="1"/>
  <c r="AI1152" i="3" s="1"/>
  <c r="AR1150" i="3"/>
  <c r="AO1150" i="3"/>
  <c r="A1153" i="3"/>
  <c r="AA1152" i="3"/>
  <c r="AC1152" i="3" s="1"/>
  <c r="AJ1152" i="3" s="1"/>
  <c r="W1152" i="3"/>
  <c r="Y1152" i="3" s="1"/>
  <c r="AE1152" i="3" s="1"/>
  <c r="AL1152" i="3" s="1"/>
  <c r="AL1151" i="3" l="1"/>
  <c r="AQ1151" i="3" s="1"/>
  <c r="AF1151" i="3"/>
  <c r="U1153" i="3"/>
  <c r="AI1153" i="3" a="1"/>
  <c r="AI1153" i="3" s="1"/>
  <c r="A1154" i="3"/>
  <c r="AA1153" i="3"/>
  <c r="AC1153" i="3" s="1"/>
  <c r="AJ1153" i="3" s="1"/>
  <c r="W1153" i="3"/>
  <c r="Y1153" i="3" s="1"/>
  <c r="AF1152" i="3"/>
  <c r="AN1152" i="3" s="1"/>
  <c r="AQ1152" i="3"/>
  <c r="AN1151" i="3" l="1"/>
  <c r="AO1151" i="3" s="1"/>
  <c r="AR1151" i="3"/>
  <c r="AE1153" i="3"/>
  <c r="U1154" i="3"/>
  <c r="AR1152" i="3"/>
  <c r="AO1152" i="3"/>
  <c r="A1155" i="3"/>
  <c r="W1154" i="3"/>
  <c r="Y1154" i="3" s="1"/>
  <c r="AA1154" i="3"/>
  <c r="AC1154" i="3" s="1"/>
  <c r="AE1154" i="3" l="1"/>
  <c r="AF1154" i="3" s="1"/>
  <c r="AN1154" i="3" s="1"/>
  <c r="AR1154" i="3" s="1"/>
  <c r="AL1153" i="3"/>
  <c r="AF1153" i="3"/>
  <c r="AQ1153" i="3"/>
  <c r="U1155" i="3"/>
  <c r="A1156" i="3"/>
  <c r="AA1155" i="3"/>
  <c r="AC1155" i="3" s="1"/>
  <c r="W1155" i="3"/>
  <c r="Y1155" i="3" s="1"/>
  <c r="AE1155" i="3" s="1"/>
  <c r="AL1155" i="3" s="1"/>
  <c r="AN1153" i="3" l="1"/>
  <c r="AO1153" i="3" s="1"/>
  <c r="AR1153" i="3"/>
  <c r="AL1154" i="3"/>
  <c r="AQ1154" i="3"/>
  <c r="U1156" i="3"/>
  <c r="AI1156" i="3" a="1"/>
  <c r="AI1156" i="3" s="1"/>
  <c r="A1157" i="3"/>
  <c r="AA1156" i="3"/>
  <c r="AC1156" i="3" s="1"/>
  <c r="AJ1156" i="3" s="1"/>
  <c r="W1156" i="3"/>
  <c r="Y1156" i="3" s="1"/>
  <c r="AE1156" i="3" s="1"/>
  <c r="AL1156" i="3" s="1"/>
  <c r="AF1155" i="3"/>
  <c r="AN1155" i="3" s="1"/>
  <c r="AR1155" i="3" s="1"/>
  <c r="AQ1155" i="3"/>
  <c r="U1157" i="3" l="1"/>
  <c r="AA1157" i="3"/>
  <c r="AC1157" i="3" s="1"/>
  <c r="W1157" i="3"/>
  <c r="Y1157" i="3" s="1"/>
  <c r="AE1157" i="3" s="1"/>
  <c r="AL1157" i="3" s="1"/>
  <c r="A1158" i="3"/>
  <c r="AF1156" i="3"/>
  <c r="AN1156" i="3" s="1"/>
  <c r="AQ1156" i="3"/>
  <c r="U1158" i="3" l="1"/>
  <c r="AR1156" i="3"/>
  <c r="AO1156" i="3"/>
  <c r="AF1157" i="3"/>
  <c r="AN1157" i="3" s="1"/>
  <c r="AR1157" i="3" s="1"/>
  <c r="AQ1157" i="3"/>
  <c r="W1158" i="3"/>
  <c r="Y1158" i="3" s="1"/>
  <c r="AE1158" i="3" s="1"/>
  <c r="AL1158" i="3" s="1"/>
  <c r="A1159" i="3"/>
  <c r="AA1158" i="3"/>
  <c r="AC1158" i="3" s="1"/>
  <c r="U1159" i="3" l="1"/>
  <c r="AI1159" i="3" a="1"/>
  <c r="AI1159" i="3" s="1"/>
  <c r="AF1158" i="3"/>
  <c r="AN1158" i="3" s="1"/>
  <c r="AR1158" i="3" s="1"/>
  <c r="AQ1158" i="3"/>
  <c r="A1160" i="3"/>
  <c r="AA1159" i="3"/>
  <c r="AC1159" i="3" s="1"/>
  <c r="AJ1159" i="3" s="1"/>
  <c r="W1159" i="3"/>
  <c r="Y1159" i="3" s="1"/>
  <c r="AE1159" i="3" s="1"/>
  <c r="AL1159" i="3" s="1"/>
  <c r="U1160" i="3" l="1"/>
  <c r="AI1160" i="3" a="1"/>
  <c r="AI1160" i="3" s="1"/>
  <c r="A1161" i="3"/>
  <c r="AA1160" i="3"/>
  <c r="AC1160" i="3" s="1"/>
  <c r="AJ1160" i="3" s="1"/>
  <c r="W1160" i="3"/>
  <c r="Y1160" i="3" s="1"/>
  <c r="AE1160" i="3" s="1"/>
  <c r="AL1160" i="3" s="1"/>
  <c r="AF1159" i="3"/>
  <c r="AN1159" i="3" s="1"/>
  <c r="AQ1159" i="3"/>
  <c r="U1161" i="3" l="1"/>
  <c r="AR1159" i="3"/>
  <c r="AO1159" i="3"/>
  <c r="W1161" i="3"/>
  <c r="Y1161" i="3" s="1"/>
  <c r="AE1161" i="3" s="1"/>
  <c r="AL1161" i="3" s="1"/>
  <c r="A1162" i="3"/>
  <c r="AA1161" i="3"/>
  <c r="AC1161" i="3" s="1"/>
  <c r="AF1160" i="3"/>
  <c r="AN1160" i="3" s="1"/>
  <c r="AQ1160" i="3"/>
  <c r="U1162" i="3" l="1"/>
  <c r="AI1162" i="3" a="1"/>
  <c r="AI1162" i="3" s="1"/>
  <c r="AR1160" i="3"/>
  <c r="AO1160" i="3"/>
  <c r="AF1161" i="3"/>
  <c r="AN1161" i="3" s="1"/>
  <c r="AR1161" i="3" s="1"/>
  <c r="AQ1161" i="3"/>
  <c r="W1162" i="3"/>
  <c r="Y1162" i="3" s="1"/>
  <c r="AE1162" i="3" s="1"/>
  <c r="AL1162" i="3" s="1"/>
  <c r="AA1162" i="3"/>
  <c r="AC1162" i="3" s="1"/>
  <c r="AJ1162" i="3" s="1"/>
  <c r="A1163" i="3"/>
  <c r="U1163" i="3" l="1"/>
  <c r="AI1163" i="3" a="1"/>
  <c r="AI1163" i="3" s="1"/>
  <c r="AF1162" i="3"/>
  <c r="AN1162" i="3" s="1"/>
  <c r="AQ1162" i="3"/>
  <c r="AA1163" i="3"/>
  <c r="AC1163" i="3" s="1"/>
  <c r="AJ1163" i="3" s="1"/>
  <c r="W1163" i="3"/>
  <c r="Y1163" i="3" s="1"/>
  <c r="AE1163" i="3" s="1"/>
  <c r="AL1163" i="3" s="1"/>
  <c r="A1164" i="3"/>
  <c r="U1164" i="3" l="1"/>
  <c r="AI1164" i="3" a="1"/>
  <c r="AI1164" i="3" s="1"/>
  <c r="AR1162" i="3"/>
  <c r="AO1162" i="3"/>
  <c r="AQ1163" i="3"/>
  <c r="AF1163" i="3"/>
  <c r="AN1163" i="3" s="1"/>
  <c r="A1165" i="3"/>
  <c r="AA1164" i="3"/>
  <c r="AC1164" i="3" s="1"/>
  <c r="AJ1164" i="3" s="1"/>
  <c r="W1164" i="3"/>
  <c r="Y1164" i="3" s="1"/>
  <c r="AE1164" i="3" s="1"/>
  <c r="AL1164" i="3" s="1"/>
  <c r="U1165" i="3" l="1"/>
  <c r="AI1165" i="3" a="1"/>
  <c r="AI1165" i="3" s="1"/>
  <c r="AR1163" i="3"/>
  <c r="AO1163" i="3"/>
  <c r="W1165" i="3"/>
  <c r="Y1165" i="3" s="1"/>
  <c r="A1166" i="3"/>
  <c r="AA1165" i="3"/>
  <c r="AC1165" i="3" s="1"/>
  <c r="AJ1165" i="3" s="1"/>
  <c r="AF1164" i="3"/>
  <c r="AN1164" i="3" s="1"/>
  <c r="AQ1164" i="3"/>
  <c r="AE1165" i="3" l="1"/>
  <c r="U1166" i="3"/>
  <c r="AI1166" i="3" a="1"/>
  <c r="AI1166" i="3" s="1"/>
  <c r="AR1164" i="3"/>
  <c r="AO1164" i="3"/>
  <c r="W1166" i="3"/>
  <c r="Y1166" i="3" s="1"/>
  <c r="AE1166" i="3" s="1"/>
  <c r="AL1166" i="3" s="1"/>
  <c r="A1167" i="3"/>
  <c r="AA1166" i="3"/>
  <c r="AC1166" i="3" s="1"/>
  <c r="AJ1166" i="3" s="1"/>
  <c r="AL1165" i="3" l="1"/>
  <c r="AF1165" i="3"/>
  <c r="AN1165" i="3" s="1"/>
  <c r="AQ1165" i="3"/>
  <c r="U1167" i="3"/>
  <c r="AI1167" i="3" a="1"/>
  <c r="AI1167" i="3" s="1"/>
  <c r="AR1165" i="3"/>
  <c r="AO1165" i="3"/>
  <c r="AF1166" i="3"/>
  <c r="AN1166" i="3" s="1"/>
  <c r="AQ1166" i="3"/>
  <c r="AA1167" i="3"/>
  <c r="AC1167" i="3" s="1"/>
  <c r="AJ1167" i="3" s="1"/>
  <c r="A1168" i="3"/>
  <c r="W1167" i="3"/>
  <c r="Y1167" i="3" s="1"/>
  <c r="AE1167" i="3" s="1"/>
  <c r="AL1167" i="3" s="1"/>
  <c r="U1168" i="3" l="1"/>
  <c r="AI1168" i="3" a="1"/>
  <c r="AI1168" i="3" s="1"/>
  <c r="AR1166" i="3"/>
  <c r="AO1166" i="3"/>
  <c r="AA1168" i="3"/>
  <c r="AC1168" i="3" s="1"/>
  <c r="AJ1168" i="3" s="1"/>
  <c r="W1168" i="3"/>
  <c r="Y1168" i="3" s="1"/>
  <c r="AE1168" i="3" s="1"/>
  <c r="AL1168" i="3" s="1"/>
  <c r="A1169" i="3"/>
  <c r="AF1167" i="3"/>
  <c r="AN1167" i="3" s="1"/>
  <c r="AQ1167" i="3"/>
  <c r="U1169" i="3" l="1"/>
  <c r="AI1169" i="3" a="1"/>
  <c r="AI1169" i="3" s="1"/>
  <c r="AR1167" i="3"/>
  <c r="AO1167" i="3"/>
  <c r="AF1168" i="3"/>
  <c r="AN1168" i="3" s="1"/>
  <c r="AQ1168" i="3"/>
  <c r="A1170" i="3"/>
  <c r="AA1169" i="3"/>
  <c r="AC1169" i="3" s="1"/>
  <c r="AJ1169" i="3" s="1"/>
  <c r="W1169" i="3"/>
  <c r="Y1169" i="3" s="1"/>
  <c r="AE1169" i="3" s="1"/>
  <c r="AL1169" i="3" s="1"/>
  <c r="U1170" i="3" l="1"/>
  <c r="AI1170" i="3" a="1"/>
  <c r="AI1170" i="3" s="1"/>
  <c r="AR1168" i="3"/>
  <c r="AO1168" i="3"/>
  <c r="A1171" i="3"/>
  <c r="AA1170" i="3"/>
  <c r="AC1170" i="3" s="1"/>
  <c r="AJ1170" i="3" s="1"/>
  <c r="W1170" i="3"/>
  <c r="Y1170" i="3" s="1"/>
  <c r="AE1170" i="3" s="1"/>
  <c r="AL1170" i="3" s="1"/>
  <c r="AF1169" i="3"/>
  <c r="AN1169" i="3" s="1"/>
  <c r="AQ1169" i="3"/>
  <c r="U1171" i="3" l="1"/>
  <c r="AR1169" i="3"/>
  <c r="AO1169" i="3"/>
  <c r="AA1171" i="3"/>
  <c r="AC1171" i="3" s="1"/>
  <c r="A1172" i="3"/>
  <c r="W1171" i="3"/>
  <c r="Y1171" i="3" s="1"/>
  <c r="AE1171" i="3" s="1"/>
  <c r="AL1171" i="3" s="1"/>
  <c r="AF1170" i="3"/>
  <c r="AN1170" i="3" s="1"/>
  <c r="AQ1170" i="3"/>
  <c r="U1172" i="3" l="1"/>
  <c r="AI1172" i="3" a="1"/>
  <c r="AI1172" i="3" s="1"/>
  <c r="AR1170" i="3"/>
  <c r="AO1170" i="3"/>
  <c r="W1172" i="3"/>
  <c r="Y1172" i="3" s="1"/>
  <c r="AE1172" i="3" s="1"/>
  <c r="AL1172" i="3" s="1"/>
  <c r="A1173" i="3"/>
  <c r="AA1172" i="3"/>
  <c r="AC1172" i="3" s="1"/>
  <c r="AJ1172" i="3" s="1"/>
  <c r="AF1171" i="3"/>
  <c r="AN1171" i="3" s="1"/>
  <c r="AR1171" i="3" s="1"/>
  <c r="AQ1171" i="3"/>
  <c r="U1173" i="3" l="1"/>
  <c r="AI1173" i="3" a="1"/>
  <c r="AI1173" i="3" s="1"/>
  <c r="AF1172" i="3"/>
  <c r="AN1172" i="3" s="1"/>
  <c r="AQ1172" i="3"/>
  <c r="AA1173" i="3"/>
  <c r="AC1173" i="3" s="1"/>
  <c r="AJ1173" i="3" s="1"/>
  <c r="A1174" i="3"/>
  <c r="W1173" i="3"/>
  <c r="Y1173" i="3" s="1"/>
  <c r="AE1173" i="3" s="1"/>
  <c r="AL1173" i="3" s="1"/>
  <c r="U1174" i="3" l="1"/>
  <c r="AI1174" i="3" a="1"/>
  <c r="AI1174" i="3" s="1"/>
  <c r="AR1172" i="3"/>
  <c r="AO1172" i="3"/>
  <c r="W1174" i="3"/>
  <c r="Y1174" i="3" s="1"/>
  <c r="AE1174" i="3" s="1"/>
  <c r="AL1174" i="3" s="1"/>
  <c r="A1175" i="3"/>
  <c r="AA1174" i="3"/>
  <c r="AC1174" i="3" s="1"/>
  <c r="AJ1174" i="3" s="1"/>
  <c r="AF1173" i="3"/>
  <c r="AN1173" i="3" s="1"/>
  <c r="AQ1173" i="3"/>
  <c r="U1175" i="3" l="1"/>
  <c r="AI1175" i="3" a="1"/>
  <c r="AI1175" i="3" s="1"/>
  <c r="AR1173" i="3"/>
  <c r="AO1173" i="3"/>
  <c r="AF1174" i="3"/>
  <c r="AN1174" i="3" s="1"/>
  <c r="AQ1174" i="3"/>
  <c r="A1176" i="3"/>
  <c r="AA1175" i="3"/>
  <c r="AC1175" i="3" s="1"/>
  <c r="AJ1175" i="3" s="1"/>
  <c r="W1175" i="3"/>
  <c r="Y1175" i="3" s="1"/>
  <c r="AE1175" i="3" s="1"/>
  <c r="AL1175" i="3" s="1"/>
  <c r="U1176" i="3" l="1"/>
  <c r="AI1176" i="3" a="1"/>
  <c r="AI1176" i="3" s="1"/>
  <c r="AR1174" i="3"/>
  <c r="AO1174" i="3"/>
  <c r="AA1176" i="3"/>
  <c r="AC1176" i="3" s="1"/>
  <c r="AJ1176" i="3" s="1"/>
  <c r="A1177" i="3"/>
  <c r="W1176" i="3"/>
  <c r="Y1176" i="3" s="1"/>
  <c r="AE1176" i="3" s="1"/>
  <c r="AL1176" i="3" s="1"/>
  <c r="AQ1175" i="3"/>
  <c r="AF1175" i="3"/>
  <c r="AN1175" i="3" s="1"/>
  <c r="U1177" i="3" l="1"/>
  <c r="AR1175" i="3"/>
  <c r="AO1175" i="3"/>
  <c r="A1178" i="3"/>
  <c r="AA1177" i="3"/>
  <c r="AC1177" i="3" s="1"/>
  <c r="W1177" i="3"/>
  <c r="Y1177" i="3" s="1"/>
  <c r="AE1177" i="3" s="1"/>
  <c r="AL1177" i="3" s="1"/>
  <c r="AF1176" i="3"/>
  <c r="AN1176" i="3" s="1"/>
  <c r="AQ1176" i="3"/>
  <c r="U1178" i="3" l="1"/>
  <c r="AR1176" i="3"/>
  <c r="AO1176" i="3"/>
  <c r="W1178" i="3"/>
  <c r="Y1178" i="3" s="1"/>
  <c r="AA1178" i="3"/>
  <c r="AC1178" i="3" s="1"/>
  <c r="A1179" i="3"/>
  <c r="AF1177" i="3"/>
  <c r="AN1177" i="3" s="1"/>
  <c r="AR1177" i="3" s="1"/>
  <c r="AQ1177" i="3"/>
  <c r="AE1178" i="3" l="1"/>
  <c r="U1179" i="3"/>
  <c r="AI1179" i="3" a="1"/>
  <c r="AI1179" i="3" s="1"/>
  <c r="A1180" i="3"/>
  <c r="AA1179" i="3"/>
  <c r="AC1179" i="3" s="1"/>
  <c r="AJ1179" i="3" s="1"/>
  <c r="W1179" i="3"/>
  <c r="Y1179" i="3" s="1"/>
  <c r="AE1179" i="3" s="1"/>
  <c r="AL1179" i="3" s="1"/>
  <c r="AL1178" i="3" l="1"/>
  <c r="AF1178" i="3"/>
  <c r="AN1178" i="3" s="1"/>
  <c r="AR1178" i="3" s="1"/>
  <c r="AQ1178" i="3"/>
  <c r="U1180" i="3"/>
  <c r="AI1180" i="3" a="1"/>
  <c r="AI1180" i="3" s="1"/>
  <c r="A1181" i="3"/>
  <c r="W1180" i="3"/>
  <c r="Y1180" i="3" s="1"/>
  <c r="AE1180" i="3" s="1"/>
  <c r="AL1180" i="3" s="1"/>
  <c r="AA1180" i="3"/>
  <c r="AC1180" i="3" s="1"/>
  <c r="AJ1180" i="3" s="1"/>
  <c r="AF1179" i="3"/>
  <c r="AN1179" i="3" s="1"/>
  <c r="AQ1179" i="3"/>
  <c r="U1181" i="3" l="1"/>
  <c r="AI1181" i="3" a="1"/>
  <c r="AI1181" i="3" s="1"/>
  <c r="AR1179" i="3"/>
  <c r="AO1179" i="3"/>
  <c r="A1182" i="3"/>
  <c r="AA1181" i="3"/>
  <c r="AC1181" i="3" s="1"/>
  <c r="AJ1181" i="3" s="1"/>
  <c r="W1181" i="3"/>
  <c r="Y1181" i="3" s="1"/>
  <c r="AF1180" i="3"/>
  <c r="AN1180" i="3" s="1"/>
  <c r="AQ1180" i="3"/>
  <c r="AE1181" i="3" l="1"/>
  <c r="U1182" i="3"/>
  <c r="AI1182" i="3" a="1"/>
  <c r="AI1182" i="3" s="1"/>
  <c r="AR1180" i="3"/>
  <c r="AO1180" i="3"/>
  <c r="A1183" i="3"/>
  <c r="AA1182" i="3"/>
  <c r="AC1182" i="3" s="1"/>
  <c r="AJ1182" i="3" s="1"/>
  <c r="W1182" i="3"/>
  <c r="Y1182" i="3" s="1"/>
  <c r="AE1182" i="3" s="1"/>
  <c r="AL1182" i="3" s="1"/>
  <c r="AL1181" i="3" l="1"/>
  <c r="AF1181" i="3"/>
  <c r="AN1181" i="3" s="1"/>
  <c r="AQ1181" i="3"/>
  <c r="U1183" i="3"/>
  <c r="AI1183" i="3" a="1"/>
  <c r="AI1183" i="3" s="1"/>
  <c r="AR1181" i="3"/>
  <c r="AO1181" i="3"/>
  <c r="A1184" i="3"/>
  <c r="AA1183" i="3"/>
  <c r="AC1183" i="3" s="1"/>
  <c r="AJ1183" i="3" s="1"/>
  <c r="W1183" i="3"/>
  <c r="Y1183" i="3" s="1"/>
  <c r="AF1182" i="3"/>
  <c r="AN1182" i="3" s="1"/>
  <c r="AQ1182" i="3"/>
  <c r="AE1183" i="3" l="1"/>
  <c r="U1184" i="3"/>
  <c r="AI1184" i="3" a="1"/>
  <c r="AI1184" i="3" s="1"/>
  <c r="AR1182" i="3"/>
  <c r="AO1182" i="3"/>
  <c r="W1184" i="3"/>
  <c r="Y1184" i="3" s="1"/>
  <c r="AE1184" i="3" s="1"/>
  <c r="AL1184" i="3" s="1"/>
  <c r="A1185" i="3"/>
  <c r="AA1184" i="3"/>
  <c r="AC1184" i="3" s="1"/>
  <c r="AJ1184" i="3" s="1"/>
  <c r="AL1183" i="3" l="1"/>
  <c r="AQ1183" i="3"/>
  <c r="AF1183" i="3"/>
  <c r="AN1183" i="3" s="1"/>
  <c r="U1185" i="3"/>
  <c r="AR1183" i="3"/>
  <c r="AO1183" i="3"/>
  <c r="AF1184" i="3"/>
  <c r="AN1184" i="3" s="1"/>
  <c r="AQ1184" i="3"/>
  <c r="A1186" i="3"/>
  <c r="AA1185" i="3"/>
  <c r="AC1185" i="3" s="1"/>
  <c r="W1185" i="3"/>
  <c r="Y1185" i="3" s="1"/>
  <c r="AE1185" i="3" l="1"/>
  <c r="U1186" i="3"/>
  <c r="AR1184" i="3"/>
  <c r="AO1184" i="3"/>
  <c r="A1187" i="3"/>
  <c r="AA1186" i="3"/>
  <c r="AC1186" i="3" s="1"/>
  <c r="W1186" i="3"/>
  <c r="Y1186" i="3" s="1"/>
  <c r="AE1186" i="3" s="1"/>
  <c r="AL1186" i="3" s="1"/>
  <c r="AL1185" i="3" l="1"/>
  <c r="AF1185" i="3"/>
  <c r="AN1185" i="3" s="1"/>
  <c r="AR1185" i="3" s="1"/>
  <c r="AQ1185" i="3"/>
  <c r="U1187" i="3"/>
  <c r="AI1187" i="3" a="1"/>
  <c r="AI1187" i="3" s="1"/>
  <c r="A1188" i="3"/>
  <c r="AA1187" i="3"/>
  <c r="AC1187" i="3" s="1"/>
  <c r="AJ1187" i="3" s="1"/>
  <c r="W1187" i="3"/>
  <c r="Y1187" i="3" s="1"/>
  <c r="AE1187" i="3" s="1"/>
  <c r="AL1187" i="3" s="1"/>
  <c r="AQ1186" i="3"/>
  <c r="AF1186" i="3"/>
  <c r="AN1186" i="3" s="1"/>
  <c r="AR1186" i="3" s="1"/>
  <c r="U1188" i="3" l="1"/>
  <c r="AI1188" i="3" a="1"/>
  <c r="AI1188" i="3" s="1"/>
  <c r="W1188" i="3"/>
  <c r="Y1188" i="3" s="1"/>
  <c r="AE1188" i="3" s="1"/>
  <c r="AL1188" i="3" s="1"/>
  <c r="A1189" i="3"/>
  <c r="AA1188" i="3"/>
  <c r="AC1188" i="3" s="1"/>
  <c r="AJ1188" i="3" s="1"/>
  <c r="AF1187" i="3"/>
  <c r="AN1187" i="3" s="1"/>
  <c r="AQ1187" i="3"/>
  <c r="U1189" i="3" l="1"/>
  <c r="AI1189" i="3" a="1"/>
  <c r="AI1189" i="3" s="1"/>
  <c r="AR1187" i="3"/>
  <c r="AO1187" i="3"/>
  <c r="AF1188" i="3"/>
  <c r="AN1188" i="3" s="1"/>
  <c r="AQ1188" i="3"/>
  <c r="A1190" i="3"/>
  <c r="AA1189" i="3"/>
  <c r="AC1189" i="3" s="1"/>
  <c r="AJ1189" i="3" s="1"/>
  <c r="W1189" i="3"/>
  <c r="Y1189" i="3" s="1"/>
  <c r="AE1189" i="3" s="1"/>
  <c r="AL1189" i="3" s="1"/>
  <c r="U1190" i="3" l="1"/>
  <c r="AR1188" i="3"/>
  <c r="AO1188" i="3"/>
  <c r="W1190" i="3"/>
  <c r="Y1190" i="3" s="1"/>
  <c r="AE1190" i="3" s="1"/>
  <c r="AL1190" i="3" s="1"/>
  <c r="A1191" i="3"/>
  <c r="AA1190" i="3"/>
  <c r="AC1190" i="3" s="1"/>
  <c r="AQ1189" i="3"/>
  <c r="AF1189" i="3"/>
  <c r="AN1189" i="3" s="1"/>
  <c r="U1191" i="3" l="1"/>
  <c r="AI1191" i="3" a="1"/>
  <c r="AI1191" i="3" s="1"/>
  <c r="AR1189" i="3"/>
  <c r="AO1189" i="3"/>
  <c r="AQ1190" i="3"/>
  <c r="AF1190" i="3"/>
  <c r="AN1190" i="3" s="1"/>
  <c r="AR1190" i="3" s="1"/>
  <c r="A1192" i="3"/>
  <c r="AA1191" i="3"/>
  <c r="AC1191" i="3" s="1"/>
  <c r="AJ1191" i="3" s="1"/>
  <c r="W1191" i="3"/>
  <c r="Y1191" i="3" s="1"/>
  <c r="AE1191" i="3" s="1"/>
  <c r="AL1191" i="3" s="1"/>
  <c r="U1192" i="3" l="1"/>
  <c r="AI1192" i="3" a="1"/>
  <c r="AI1192" i="3" s="1"/>
  <c r="AA1192" i="3"/>
  <c r="AC1192" i="3" s="1"/>
  <c r="AJ1192" i="3" s="1"/>
  <c r="A1193" i="3"/>
  <c r="W1192" i="3"/>
  <c r="Y1192" i="3" s="1"/>
  <c r="AE1192" i="3" s="1"/>
  <c r="AL1192" i="3" s="1"/>
  <c r="AF1191" i="3"/>
  <c r="AN1191" i="3" s="1"/>
  <c r="AQ1191" i="3"/>
  <c r="U1193" i="3" l="1"/>
  <c r="AI1193" i="3" a="1"/>
  <c r="AI1193" i="3" s="1"/>
  <c r="AR1191" i="3"/>
  <c r="AO1191" i="3"/>
  <c r="A1194" i="3"/>
  <c r="AA1193" i="3"/>
  <c r="AC1193" i="3" s="1"/>
  <c r="AJ1193" i="3" s="1"/>
  <c r="W1193" i="3"/>
  <c r="Y1193" i="3" s="1"/>
  <c r="AE1193" i="3" s="1"/>
  <c r="AL1193" i="3" s="1"/>
  <c r="AQ1192" i="3"/>
  <c r="AF1192" i="3"/>
  <c r="AN1192" i="3" s="1"/>
  <c r="U1194" i="3" l="1"/>
  <c r="AI1194" i="3" a="1"/>
  <c r="AI1194" i="3" s="1"/>
  <c r="AR1192" i="3"/>
  <c r="AO1192" i="3"/>
  <c r="A1195" i="3"/>
  <c r="AA1194" i="3"/>
  <c r="AC1194" i="3" s="1"/>
  <c r="AJ1194" i="3" s="1"/>
  <c r="W1194" i="3"/>
  <c r="Y1194" i="3" s="1"/>
  <c r="AF1193" i="3"/>
  <c r="AN1193" i="3" s="1"/>
  <c r="AQ1193" i="3"/>
  <c r="AE1194" i="3" l="1"/>
  <c r="U1195" i="3"/>
  <c r="AI1195" i="3" a="1"/>
  <c r="AI1195" i="3" s="1"/>
  <c r="AR1193" i="3"/>
  <c r="AO1193" i="3"/>
  <c r="A1196" i="3"/>
  <c r="AA1195" i="3"/>
  <c r="AC1195" i="3" s="1"/>
  <c r="AJ1195" i="3" s="1"/>
  <c r="W1195" i="3"/>
  <c r="Y1195" i="3" s="1"/>
  <c r="AE1195" i="3" s="1"/>
  <c r="AL1195" i="3" s="1"/>
  <c r="AL1194" i="3" l="1"/>
  <c r="AF1194" i="3"/>
  <c r="AQ1194" i="3"/>
  <c r="U1196" i="3"/>
  <c r="AI1196" i="3" a="1"/>
  <c r="AI1196" i="3" s="1"/>
  <c r="A1197" i="3"/>
  <c r="AA1196" i="3"/>
  <c r="AC1196" i="3" s="1"/>
  <c r="AJ1196" i="3" s="1"/>
  <c r="W1196" i="3"/>
  <c r="Y1196" i="3" s="1"/>
  <c r="AE1196" i="3" s="1"/>
  <c r="AL1196" i="3" s="1"/>
  <c r="AF1195" i="3"/>
  <c r="AN1195" i="3" s="1"/>
  <c r="AQ1195" i="3"/>
  <c r="AN1194" i="3" l="1"/>
  <c r="AO1194" i="3" s="1"/>
  <c r="AR1194" i="3"/>
  <c r="U1197" i="3"/>
  <c r="AI1197" i="3" a="1"/>
  <c r="AI1197" i="3" s="1"/>
  <c r="AR1195" i="3"/>
  <c r="AO1195" i="3"/>
  <c r="A1198" i="3"/>
  <c r="AA1197" i="3"/>
  <c r="AC1197" i="3" s="1"/>
  <c r="AJ1197" i="3" s="1"/>
  <c r="W1197" i="3"/>
  <c r="Y1197" i="3" s="1"/>
  <c r="AE1197" i="3" s="1"/>
  <c r="AL1197" i="3" s="1"/>
  <c r="AF1196" i="3"/>
  <c r="AN1196" i="3" s="1"/>
  <c r="AQ1196" i="3"/>
  <c r="U1198" i="3" l="1"/>
  <c r="AI1198" i="3" a="1"/>
  <c r="AI1198" i="3" s="1"/>
  <c r="AR1196" i="3"/>
  <c r="AO1196" i="3"/>
  <c r="W1198" i="3"/>
  <c r="Y1198" i="3" s="1"/>
  <c r="AE1198" i="3" s="1"/>
  <c r="AL1198" i="3" s="1"/>
  <c r="A1199" i="3"/>
  <c r="AA1198" i="3"/>
  <c r="AC1198" i="3" s="1"/>
  <c r="AJ1198" i="3" s="1"/>
  <c r="AQ1197" i="3"/>
  <c r="AF1197" i="3"/>
  <c r="AN1197" i="3" s="1"/>
  <c r="U1199" i="3" l="1"/>
  <c r="AI1199" i="3" a="1"/>
  <c r="AI1199" i="3" s="1"/>
  <c r="AR1197" i="3"/>
  <c r="AO1197" i="3"/>
  <c r="AF1198" i="3"/>
  <c r="AN1198" i="3" s="1"/>
  <c r="AQ1198" i="3"/>
  <c r="A1200" i="3"/>
  <c r="AA1199" i="3"/>
  <c r="AC1199" i="3" s="1"/>
  <c r="AJ1199" i="3" s="1"/>
  <c r="W1199" i="3"/>
  <c r="Y1199" i="3" s="1"/>
  <c r="AE1199" i="3" s="1"/>
  <c r="AL1199" i="3" s="1"/>
  <c r="U1200" i="3" l="1"/>
  <c r="AI1200" i="3" a="1"/>
  <c r="AI1200" i="3" s="1"/>
  <c r="AR1198" i="3"/>
  <c r="AO1198" i="3"/>
  <c r="A1201" i="3"/>
  <c r="AA1200" i="3"/>
  <c r="AC1200" i="3" s="1"/>
  <c r="AJ1200" i="3" s="1"/>
  <c r="W1200" i="3"/>
  <c r="Y1200" i="3" s="1"/>
  <c r="AQ1199" i="3"/>
  <c r="AF1199" i="3"/>
  <c r="AN1199" i="3" s="1"/>
  <c r="AE1200" i="3" l="1"/>
  <c r="U1201" i="3"/>
  <c r="AI1201" i="3" a="1"/>
  <c r="AI1201" i="3" s="1"/>
  <c r="AR1199" i="3"/>
  <c r="AO1199" i="3"/>
  <c r="A1202" i="3"/>
  <c r="AA1201" i="3"/>
  <c r="AC1201" i="3" s="1"/>
  <c r="AJ1201" i="3" s="1"/>
  <c r="W1201" i="3"/>
  <c r="Y1201" i="3" s="1"/>
  <c r="AE1201" i="3" s="1"/>
  <c r="AL1201" i="3" s="1"/>
  <c r="AL1200" i="3" l="1"/>
  <c r="AQ1200" i="3"/>
  <c r="AF1200" i="3"/>
  <c r="U1202" i="3"/>
  <c r="AI1202" i="3" a="1"/>
  <c r="AI1202" i="3" s="1"/>
  <c r="A1203" i="3"/>
  <c r="W1202" i="3"/>
  <c r="Y1202" i="3" s="1"/>
  <c r="AE1202" i="3" s="1"/>
  <c r="AL1202" i="3" s="1"/>
  <c r="AA1202" i="3"/>
  <c r="AC1202" i="3" s="1"/>
  <c r="AJ1202" i="3" s="1"/>
  <c r="AF1201" i="3"/>
  <c r="AN1201" i="3" s="1"/>
  <c r="AQ1201" i="3"/>
  <c r="AN1200" i="3" l="1"/>
  <c r="AO1200" i="3" s="1"/>
  <c r="AR1200" i="3"/>
  <c r="U1203" i="3"/>
  <c r="AI1203" i="3" a="1"/>
  <c r="AI1203" i="3" s="1"/>
  <c r="AR1201" i="3"/>
  <c r="AO1201" i="3"/>
  <c r="AA1203" i="3"/>
  <c r="AC1203" i="3" s="1"/>
  <c r="AJ1203" i="3" s="1"/>
  <c r="W1203" i="3"/>
  <c r="Y1203" i="3" s="1"/>
  <c r="A1204" i="3"/>
  <c r="AF1202" i="3"/>
  <c r="AN1202" i="3" s="1"/>
  <c r="AQ1202" i="3"/>
  <c r="AE1203" i="3" l="1"/>
  <c r="U1204" i="3"/>
  <c r="AR1202" i="3"/>
  <c r="AO1202" i="3"/>
  <c r="A1205" i="3"/>
  <c r="AA1204" i="3"/>
  <c r="AC1204" i="3" s="1"/>
  <c r="W1204" i="3"/>
  <c r="Y1204" i="3" s="1"/>
  <c r="AE1204" i="3" s="1"/>
  <c r="AL1204" i="3" s="1"/>
  <c r="AL1203" i="3" l="1"/>
  <c r="AF1203" i="3"/>
  <c r="AQ1203" i="3"/>
  <c r="U1205" i="3"/>
  <c r="AI1205" i="3" a="1"/>
  <c r="AI1205" i="3" s="1"/>
  <c r="A1206" i="3"/>
  <c r="W1205" i="3"/>
  <c r="Y1205" i="3" s="1"/>
  <c r="AE1205" i="3" s="1"/>
  <c r="AL1205" i="3" s="1"/>
  <c r="AA1205" i="3"/>
  <c r="AC1205" i="3" s="1"/>
  <c r="AJ1205" i="3" s="1"/>
  <c r="AF1204" i="3"/>
  <c r="AN1204" i="3" s="1"/>
  <c r="AR1204" i="3" s="1"/>
  <c r="AQ1204" i="3"/>
  <c r="AN1203" i="3" l="1"/>
  <c r="AO1203" i="3" s="1"/>
  <c r="AR1203" i="3"/>
  <c r="U1206" i="3"/>
  <c r="AI1206" i="3" a="1"/>
  <c r="AI1206" i="3" s="1"/>
  <c r="A1207" i="3"/>
  <c r="AA1206" i="3"/>
  <c r="AC1206" i="3" s="1"/>
  <c r="AJ1206" i="3" s="1"/>
  <c r="W1206" i="3"/>
  <c r="Y1206" i="3" s="1"/>
  <c r="AE1206" i="3" s="1"/>
  <c r="AL1206" i="3" s="1"/>
  <c r="AF1205" i="3"/>
  <c r="AN1205" i="3" s="1"/>
  <c r="AQ1205" i="3"/>
  <c r="U1207" i="3" l="1"/>
  <c r="AR1205" i="3"/>
  <c r="AO1205" i="3"/>
  <c r="W1207" i="3"/>
  <c r="Y1207" i="3" s="1"/>
  <c r="AA1207" i="3"/>
  <c r="AC1207" i="3" s="1"/>
  <c r="A1208" i="3"/>
  <c r="AF1206" i="3"/>
  <c r="AN1206" i="3" s="1"/>
  <c r="AQ1206" i="3"/>
  <c r="AE1207" i="3" l="1"/>
  <c r="AF1207" i="3" s="1"/>
  <c r="AN1207" i="3" s="1"/>
  <c r="AR1207" i="3" s="1"/>
  <c r="U1208" i="3"/>
  <c r="AI1208" i="3" a="1"/>
  <c r="AI1208" i="3" s="1"/>
  <c r="AR1206" i="3"/>
  <c r="AO1206" i="3"/>
  <c r="A1209" i="3"/>
  <c r="AA1208" i="3"/>
  <c r="AC1208" i="3" s="1"/>
  <c r="AJ1208" i="3" s="1"/>
  <c r="W1208" i="3"/>
  <c r="Y1208" i="3" s="1"/>
  <c r="AE1208" i="3" s="1"/>
  <c r="AL1208" i="3" s="1"/>
  <c r="AL1207" i="3" l="1"/>
  <c r="AQ1207" i="3" s="1"/>
  <c r="U1209" i="3"/>
  <c r="A1210" i="3"/>
  <c r="AA1209" i="3"/>
  <c r="AC1209" i="3" s="1"/>
  <c r="W1209" i="3"/>
  <c r="Y1209" i="3" s="1"/>
  <c r="AE1209" i="3" s="1"/>
  <c r="AL1209" i="3" s="1"/>
  <c r="AF1208" i="3"/>
  <c r="AN1208" i="3" s="1"/>
  <c r="AQ1208" i="3"/>
  <c r="U1210" i="3" l="1"/>
  <c r="AI1210" i="3" a="1"/>
  <c r="AI1210" i="3" s="1"/>
  <c r="AR1208" i="3"/>
  <c r="AO1208" i="3"/>
  <c r="AA1210" i="3"/>
  <c r="AC1210" i="3" s="1"/>
  <c r="AJ1210" i="3" s="1"/>
  <c r="A1211" i="3"/>
  <c r="W1210" i="3"/>
  <c r="Y1210" i="3" s="1"/>
  <c r="AF1209" i="3"/>
  <c r="AN1209" i="3" s="1"/>
  <c r="AR1209" i="3" s="1"/>
  <c r="AQ1209" i="3"/>
  <c r="AE1210" i="3" l="1"/>
  <c r="U1211" i="3"/>
  <c r="AI1211" i="3" a="1"/>
  <c r="AI1211" i="3" s="1"/>
  <c r="A1212" i="3"/>
  <c r="AA1211" i="3"/>
  <c r="AC1211" i="3" s="1"/>
  <c r="AJ1211" i="3" s="1"/>
  <c r="W1211" i="3"/>
  <c r="Y1211" i="3" s="1"/>
  <c r="AE1211" i="3" s="1"/>
  <c r="AL1211" i="3" s="1"/>
  <c r="AL1210" i="3" l="1"/>
  <c r="AF1210" i="3"/>
  <c r="AQ1210" i="3"/>
  <c r="U1212" i="3"/>
  <c r="AI1212" i="3" a="1"/>
  <c r="AI1212" i="3" s="1"/>
  <c r="A1213" i="3"/>
  <c r="AA1212" i="3"/>
  <c r="AC1212" i="3" s="1"/>
  <c r="AJ1212" i="3" s="1"/>
  <c r="W1212" i="3"/>
  <c r="Y1212" i="3" s="1"/>
  <c r="AE1212" i="3" s="1"/>
  <c r="AL1212" i="3" s="1"/>
  <c r="AF1211" i="3"/>
  <c r="AN1211" i="3" s="1"/>
  <c r="AQ1211" i="3"/>
  <c r="AN1210" i="3" l="1"/>
  <c r="U1213" i="3"/>
  <c r="AI1213" i="3" a="1"/>
  <c r="AI1213" i="3" s="1"/>
  <c r="AR1211" i="3"/>
  <c r="AO1211" i="3"/>
  <c r="A1214" i="3"/>
  <c r="W1213" i="3"/>
  <c r="Y1213" i="3" s="1"/>
  <c r="AE1213" i="3" s="1"/>
  <c r="AL1213" i="3" s="1"/>
  <c r="AA1213" i="3"/>
  <c r="AC1213" i="3" s="1"/>
  <c r="AJ1213" i="3" s="1"/>
  <c r="AF1212" i="3"/>
  <c r="AN1212" i="3" s="1"/>
  <c r="AQ1212" i="3"/>
  <c r="AO1210" i="3" l="1"/>
  <c r="AR1210" i="3"/>
  <c r="U1214" i="3"/>
  <c r="AI1214" i="3" a="1"/>
  <c r="AI1214" i="3" s="1"/>
  <c r="AR1212" i="3"/>
  <c r="AO1212" i="3"/>
  <c r="A1215" i="3"/>
  <c r="AA1214" i="3"/>
  <c r="AC1214" i="3" s="1"/>
  <c r="AJ1214" i="3" s="1"/>
  <c r="W1214" i="3"/>
  <c r="Y1214" i="3" s="1"/>
  <c r="AE1214" i="3" s="1"/>
  <c r="AL1214" i="3" s="1"/>
  <c r="AF1213" i="3"/>
  <c r="AN1213" i="3" s="1"/>
  <c r="AQ1213" i="3"/>
  <c r="U1215" i="3" l="1"/>
  <c r="AI1215" i="3" a="1"/>
  <c r="AI1215" i="3" s="1"/>
  <c r="AR1213" i="3"/>
  <c r="AO1213" i="3"/>
  <c r="A1216" i="3"/>
  <c r="W1215" i="3"/>
  <c r="Y1215" i="3" s="1"/>
  <c r="AA1215" i="3"/>
  <c r="AC1215" i="3" s="1"/>
  <c r="AJ1215" i="3" s="1"/>
  <c r="AF1214" i="3"/>
  <c r="AN1214" i="3" s="1"/>
  <c r="AQ1214" i="3"/>
  <c r="AE1215" i="3" l="1"/>
  <c r="U1216" i="3"/>
  <c r="AI1216" i="3" a="1"/>
  <c r="AI1216" i="3" s="1"/>
  <c r="AR1214" i="3"/>
  <c r="AO1214" i="3"/>
  <c r="A1217" i="3"/>
  <c r="AA1216" i="3"/>
  <c r="AC1216" i="3" s="1"/>
  <c r="AJ1216" i="3" s="1"/>
  <c r="W1216" i="3"/>
  <c r="Y1216" i="3" s="1"/>
  <c r="AE1216" i="3" s="1"/>
  <c r="AL1216" i="3" s="1"/>
  <c r="AL1215" i="3" l="1"/>
  <c r="AF1215" i="3"/>
  <c r="AQ1215" i="3"/>
  <c r="U1217" i="3"/>
  <c r="W1217" i="3"/>
  <c r="Y1217" i="3" s="1"/>
  <c r="A1218" i="3"/>
  <c r="AA1217" i="3"/>
  <c r="AC1217" i="3" s="1"/>
  <c r="AF1216" i="3"/>
  <c r="AN1216" i="3" s="1"/>
  <c r="AQ1216" i="3"/>
  <c r="AN1215" i="3" l="1"/>
  <c r="AO1215" i="3" s="1"/>
  <c r="AR1215" i="3"/>
  <c r="AE1217" i="3"/>
  <c r="AF1217" i="3" s="1"/>
  <c r="AN1217" i="3" s="1"/>
  <c r="AR1217" i="3" s="1"/>
  <c r="U1218" i="3"/>
  <c r="AI1218" i="3" a="1"/>
  <c r="AI1218" i="3" s="1"/>
  <c r="AR1216" i="3"/>
  <c r="AO1216" i="3"/>
  <c r="A1219" i="3"/>
  <c r="AA1218" i="3"/>
  <c r="AC1218" i="3" s="1"/>
  <c r="AJ1218" i="3" s="1"/>
  <c r="W1218" i="3"/>
  <c r="Y1218" i="3" s="1"/>
  <c r="AE1218" i="3" l="1"/>
  <c r="AL1217" i="3"/>
  <c r="AQ1217" i="3"/>
  <c r="U1219" i="3"/>
  <c r="AI1219" i="3" a="1"/>
  <c r="AI1219" i="3" s="1"/>
  <c r="AA1219" i="3"/>
  <c r="AC1219" i="3" s="1"/>
  <c r="AJ1219" i="3" s="1"/>
  <c r="W1219" i="3"/>
  <c r="Y1219" i="3" s="1"/>
  <c r="AE1219" i="3" s="1"/>
  <c r="AL1219" i="3" s="1"/>
  <c r="A1220" i="3"/>
  <c r="AL1218" i="3" l="1"/>
  <c r="AF1218" i="3"/>
  <c r="AQ1218" i="3"/>
  <c r="U1220" i="3"/>
  <c r="AI1220" i="3" a="1"/>
  <c r="AI1220" i="3" s="1"/>
  <c r="AF1219" i="3"/>
  <c r="AN1219" i="3" s="1"/>
  <c r="AQ1219" i="3"/>
  <c r="A1221" i="3"/>
  <c r="AA1220" i="3"/>
  <c r="AC1220" i="3" s="1"/>
  <c r="AJ1220" i="3" s="1"/>
  <c r="W1220" i="3"/>
  <c r="Y1220" i="3" s="1"/>
  <c r="AN1218" i="3" l="1"/>
  <c r="AO1218" i="3" s="1"/>
  <c r="AR1218" i="3"/>
  <c r="AE1220" i="3"/>
  <c r="U1221" i="3"/>
  <c r="AI1221" i="3" a="1"/>
  <c r="AI1221" i="3" s="1"/>
  <c r="AR1219" i="3"/>
  <c r="AO1219" i="3"/>
  <c r="A1222" i="3"/>
  <c r="AA1221" i="3"/>
  <c r="AC1221" i="3" s="1"/>
  <c r="AJ1221" i="3" s="1"/>
  <c r="W1221" i="3"/>
  <c r="Y1221" i="3" s="1"/>
  <c r="AE1221" i="3" l="1"/>
  <c r="AL1220" i="3"/>
  <c r="AF1220" i="3"/>
  <c r="AQ1220" i="3"/>
  <c r="U1222" i="3"/>
  <c r="AI1222" i="3" a="1"/>
  <c r="AI1222" i="3" s="1"/>
  <c r="W1222" i="3"/>
  <c r="Y1222" i="3" s="1"/>
  <c r="AE1222" i="3" s="1"/>
  <c r="AL1222" i="3" s="1"/>
  <c r="A1223" i="3"/>
  <c r="AA1222" i="3"/>
  <c r="AC1222" i="3" s="1"/>
  <c r="AJ1222" i="3" s="1"/>
  <c r="AL1221" i="3" l="1"/>
  <c r="AF1221" i="3"/>
  <c r="AQ1221" i="3"/>
  <c r="AN1220" i="3"/>
  <c r="AO1220" i="3" s="1"/>
  <c r="AR1220" i="3"/>
  <c r="U1223" i="3"/>
  <c r="AI1223" i="3" a="1"/>
  <c r="AI1223" i="3" s="1"/>
  <c r="AF1222" i="3"/>
  <c r="AN1222" i="3" s="1"/>
  <c r="AQ1222" i="3"/>
  <c r="A1224" i="3"/>
  <c r="AA1223" i="3"/>
  <c r="AC1223" i="3" s="1"/>
  <c r="AJ1223" i="3" s="1"/>
  <c r="W1223" i="3"/>
  <c r="Y1223" i="3" s="1"/>
  <c r="AN1221" i="3" l="1"/>
  <c r="AO1221" i="3" s="1"/>
  <c r="AR1221" i="3"/>
  <c r="AE1223" i="3"/>
  <c r="U1224" i="3"/>
  <c r="AI1224" i="3" a="1"/>
  <c r="AI1224" i="3" s="1"/>
  <c r="AR1222" i="3"/>
  <c r="AO1222" i="3"/>
  <c r="A1225" i="3"/>
  <c r="AA1224" i="3"/>
  <c r="AC1224" i="3" s="1"/>
  <c r="AJ1224" i="3" s="1"/>
  <c r="W1224" i="3"/>
  <c r="Y1224" i="3" s="1"/>
  <c r="AE1224" i="3" s="1"/>
  <c r="AL1224" i="3" s="1"/>
  <c r="AL1223" i="3" l="1"/>
  <c r="AQ1223" i="3"/>
  <c r="AF1223" i="3"/>
  <c r="U1225" i="3"/>
  <c r="AI1225" i="3" a="1"/>
  <c r="AI1225" i="3" s="1"/>
  <c r="A1226" i="3"/>
  <c r="AA1225" i="3"/>
  <c r="AC1225" i="3" s="1"/>
  <c r="AJ1225" i="3" s="1"/>
  <c r="W1225" i="3"/>
  <c r="Y1225" i="3" s="1"/>
  <c r="AE1225" i="3" s="1"/>
  <c r="AL1225" i="3" s="1"/>
  <c r="AQ1224" i="3"/>
  <c r="AF1224" i="3"/>
  <c r="AN1224" i="3" s="1"/>
  <c r="AN1223" i="3" l="1"/>
  <c r="U1226" i="3"/>
  <c r="AI1226" i="3" a="1"/>
  <c r="AI1226" i="3" s="1"/>
  <c r="AR1224" i="3"/>
  <c r="AO1224" i="3"/>
  <c r="A1227" i="3"/>
  <c r="AA1226" i="3"/>
  <c r="AC1226" i="3" s="1"/>
  <c r="AJ1226" i="3" s="1"/>
  <c r="W1226" i="3"/>
  <c r="Y1226" i="3" s="1"/>
  <c r="AE1226" i="3" s="1"/>
  <c r="AL1226" i="3" s="1"/>
  <c r="AF1225" i="3"/>
  <c r="AN1225" i="3" s="1"/>
  <c r="AQ1225" i="3"/>
  <c r="AO1223" i="3" l="1"/>
  <c r="AR1223" i="3"/>
  <c r="U1227" i="3"/>
  <c r="AI1227" i="3" a="1"/>
  <c r="AI1227" i="3" s="1"/>
  <c r="AR1225" i="3"/>
  <c r="AO1225" i="3"/>
  <c r="A1228" i="3"/>
  <c r="AA1227" i="3"/>
  <c r="AC1227" i="3" s="1"/>
  <c r="AJ1227" i="3" s="1"/>
  <c r="W1227" i="3"/>
  <c r="Y1227" i="3" s="1"/>
  <c r="AE1227" i="3" s="1"/>
  <c r="AL1227" i="3" s="1"/>
  <c r="AQ1226" i="3"/>
  <c r="AF1226" i="3"/>
  <c r="AN1226" i="3" s="1"/>
  <c r="U1228" i="3" l="1"/>
  <c r="AI1228" i="3" a="1"/>
  <c r="AI1228" i="3" s="1"/>
  <c r="AR1226" i="3"/>
  <c r="AO1226" i="3"/>
  <c r="W1228" i="3"/>
  <c r="Y1228" i="3" s="1"/>
  <c r="AE1228" i="3" s="1"/>
  <c r="AL1228" i="3" s="1"/>
  <c r="A1229" i="3"/>
  <c r="AA1228" i="3"/>
  <c r="AC1228" i="3" s="1"/>
  <c r="AJ1228" i="3" s="1"/>
  <c r="AF1227" i="3"/>
  <c r="AN1227" i="3" s="1"/>
  <c r="AQ1227" i="3"/>
  <c r="U1229" i="3" l="1"/>
  <c r="AI1229" i="3" a="1"/>
  <c r="AI1229" i="3" s="1"/>
  <c r="AR1227" i="3"/>
  <c r="AO1227" i="3"/>
  <c r="AF1228" i="3"/>
  <c r="AN1228" i="3" s="1"/>
  <c r="AQ1228" i="3"/>
  <c r="W1229" i="3"/>
  <c r="Y1229" i="3" s="1"/>
  <c r="AE1229" i="3" s="1"/>
  <c r="AL1229" i="3" s="1"/>
  <c r="A1230" i="3"/>
  <c r="AA1229" i="3"/>
  <c r="AC1229" i="3" s="1"/>
  <c r="AJ1229" i="3" s="1"/>
  <c r="U1230" i="3" l="1"/>
  <c r="AI1230" i="3" a="1"/>
  <c r="AI1230" i="3" s="1"/>
  <c r="AR1228" i="3"/>
  <c r="AO1228" i="3"/>
  <c r="AF1229" i="3"/>
  <c r="AN1229" i="3" s="1"/>
  <c r="AQ1229" i="3"/>
  <c r="A1231" i="3"/>
  <c r="AA1230" i="3"/>
  <c r="AC1230" i="3" s="1"/>
  <c r="AJ1230" i="3" s="1"/>
  <c r="W1230" i="3"/>
  <c r="Y1230" i="3" s="1"/>
  <c r="AE1230" i="3" s="1"/>
  <c r="AL1230" i="3" s="1"/>
  <c r="U1231" i="3" l="1"/>
  <c r="AI1231" i="3" a="1"/>
  <c r="AI1231" i="3" s="1"/>
  <c r="AR1229" i="3"/>
  <c r="AO1229" i="3"/>
  <c r="A1232" i="3"/>
  <c r="AA1231" i="3"/>
  <c r="AC1231" i="3" s="1"/>
  <c r="AJ1231" i="3" s="1"/>
  <c r="W1231" i="3"/>
  <c r="Y1231" i="3" s="1"/>
  <c r="AQ1230" i="3"/>
  <c r="AF1230" i="3"/>
  <c r="AN1230" i="3" s="1"/>
  <c r="AE1231" i="3" l="1"/>
  <c r="U1232" i="3"/>
  <c r="AI1232" i="3" a="1"/>
  <c r="AI1232" i="3" s="1"/>
  <c r="AR1230" i="3"/>
  <c r="AO1230" i="3"/>
  <c r="A1233" i="3"/>
  <c r="AA1232" i="3"/>
  <c r="AC1232" i="3" s="1"/>
  <c r="AJ1232" i="3" s="1"/>
  <c r="W1232" i="3"/>
  <c r="Y1232" i="3" s="1"/>
  <c r="AE1232" i="3" s="1"/>
  <c r="AL1232" i="3" s="1"/>
  <c r="AL1231" i="3" l="1"/>
  <c r="AQ1231" i="3"/>
  <c r="AF1231" i="3"/>
  <c r="U1233" i="3"/>
  <c r="AI1233" i="3" a="1"/>
  <c r="AI1233" i="3" s="1"/>
  <c r="A1234" i="3"/>
  <c r="W1233" i="3"/>
  <c r="Y1233" i="3" s="1"/>
  <c r="AE1233" i="3" s="1"/>
  <c r="AL1233" i="3" s="1"/>
  <c r="AA1233" i="3"/>
  <c r="AC1233" i="3" s="1"/>
  <c r="AJ1233" i="3" s="1"/>
  <c r="AF1232" i="3"/>
  <c r="AN1232" i="3" s="1"/>
  <c r="AQ1232" i="3"/>
  <c r="AN1231" i="3" l="1"/>
  <c r="AO1231" i="3" s="1"/>
  <c r="AR1231" i="3"/>
  <c r="U1234" i="3"/>
  <c r="AI1234" i="3" a="1"/>
  <c r="AI1234" i="3" s="1"/>
  <c r="AR1232" i="3"/>
  <c r="AO1232" i="3"/>
  <c r="A1235" i="3"/>
  <c r="W1234" i="3"/>
  <c r="Y1234" i="3" s="1"/>
  <c r="AA1234" i="3"/>
  <c r="AC1234" i="3" s="1"/>
  <c r="AJ1234" i="3" s="1"/>
  <c r="AF1233" i="3"/>
  <c r="AN1233" i="3" s="1"/>
  <c r="AQ1233" i="3"/>
  <c r="AE1234" i="3" l="1"/>
  <c r="U1235" i="3"/>
  <c r="AI1235" i="3" a="1"/>
  <c r="AI1235" i="3" s="1"/>
  <c r="AR1233" i="3"/>
  <c r="AO1233" i="3"/>
  <c r="W1235" i="3"/>
  <c r="Y1235" i="3" s="1"/>
  <c r="AE1235" i="3" s="1"/>
  <c r="AL1235" i="3" s="1"/>
  <c r="A1236" i="3"/>
  <c r="AA1235" i="3"/>
  <c r="AC1235" i="3" s="1"/>
  <c r="AJ1235" i="3" s="1"/>
  <c r="AL1234" i="3" l="1"/>
  <c r="AQ1234" i="3" s="1"/>
  <c r="AF1234" i="3"/>
  <c r="U1236" i="3"/>
  <c r="AI1236" i="3" a="1"/>
  <c r="AI1236" i="3" s="1"/>
  <c r="AQ1235" i="3"/>
  <c r="AF1235" i="3"/>
  <c r="AN1235" i="3" s="1"/>
  <c r="AA1236" i="3"/>
  <c r="AC1236" i="3" s="1"/>
  <c r="AJ1236" i="3" s="1"/>
  <c r="A1237" i="3"/>
  <c r="W1236" i="3"/>
  <c r="Y1236" i="3" s="1"/>
  <c r="AE1236" i="3" s="1"/>
  <c r="AL1236" i="3" s="1"/>
  <c r="AN1234" i="3" l="1"/>
  <c r="AO1234" i="3" s="1"/>
  <c r="AR1234" i="3"/>
  <c r="U1237" i="3"/>
  <c r="AI1237" i="3" a="1"/>
  <c r="AI1237" i="3" s="1"/>
  <c r="AR1235" i="3"/>
  <c r="AO1235" i="3"/>
  <c r="A1238" i="3"/>
  <c r="AA1237" i="3"/>
  <c r="AC1237" i="3" s="1"/>
  <c r="AJ1237" i="3" s="1"/>
  <c r="W1237" i="3"/>
  <c r="Y1237" i="3" s="1"/>
  <c r="AQ1236" i="3"/>
  <c r="AF1236" i="3"/>
  <c r="AN1236" i="3" s="1"/>
  <c r="AE1237" i="3" l="1"/>
  <c r="U1238" i="3"/>
  <c r="AI1238" i="3" a="1"/>
  <c r="AI1238" i="3" s="1"/>
  <c r="AR1236" i="3"/>
  <c r="AO1236" i="3"/>
  <c r="W1238" i="3"/>
  <c r="Y1238" i="3" s="1"/>
  <c r="AE1238" i="3" s="1"/>
  <c r="AL1238" i="3" s="1"/>
  <c r="A1239" i="3"/>
  <c r="AA1238" i="3"/>
  <c r="AC1238" i="3" s="1"/>
  <c r="AJ1238" i="3" s="1"/>
  <c r="AL1237" i="3" l="1"/>
  <c r="AQ1237" i="3" s="1"/>
  <c r="AF1237" i="3"/>
  <c r="U1239" i="3"/>
  <c r="AI1239" i="3" a="1"/>
  <c r="AI1239" i="3" s="1"/>
  <c r="AQ1238" i="3"/>
  <c r="AF1238" i="3"/>
  <c r="AN1238" i="3" s="1"/>
  <c r="A1240" i="3"/>
  <c r="W1239" i="3"/>
  <c r="Y1239" i="3" s="1"/>
  <c r="AE1239" i="3" s="1"/>
  <c r="AL1239" i="3" s="1"/>
  <c r="AA1239" i="3"/>
  <c r="AC1239" i="3" s="1"/>
  <c r="AJ1239" i="3" s="1"/>
  <c r="AN1237" i="3" l="1"/>
  <c r="AO1237" i="3" s="1"/>
  <c r="AR1237" i="3"/>
  <c r="U1240" i="3"/>
  <c r="AI1240" i="3" a="1"/>
  <c r="AI1240" i="3" s="1"/>
  <c r="AR1238" i="3"/>
  <c r="AO1238" i="3"/>
  <c r="A1241" i="3"/>
  <c r="AA1240" i="3"/>
  <c r="AC1240" i="3" s="1"/>
  <c r="AJ1240" i="3" s="1"/>
  <c r="W1240" i="3"/>
  <c r="Y1240" i="3" s="1"/>
  <c r="AE1240" i="3" s="1"/>
  <c r="AL1240" i="3" s="1"/>
  <c r="AQ1239" i="3"/>
  <c r="AF1239" i="3"/>
  <c r="AN1239" i="3" s="1"/>
  <c r="U1241" i="3" l="1"/>
  <c r="AI1241" i="3" a="1"/>
  <c r="AI1241" i="3" s="1"/>
  <c r="AR1239" i="3"/>
  <c r="AO1239" i="3"/>
  <c r="A1242" i="3"/>
  <c r="AA1241" i="3"/>
  <c r="AC1241" i="3" s="1"/>
  <c r="AJ1241" i="3" s="1"/>
  <c r="W1241" i="3"/>
  <c r="Y1241" i="3" s="1"/>
  <c r="AE1241" i="3" s="1"/>
  <c r="AL1241" i="3" s="1"/>
  <c r="AF1240" i="3"/>
  <c r="AN1240" i="3" s="1"/>
  <c r="AQ1240" i="3"/>
  <c r="U1242" i="3" l="1"/>
  <c r="AI1242" i="3" a="1"/>
  <c r="AI1242" i="3" s="1"/>
  <c r="AR1240" i="3"/>
  <c r="AO1240" i="3"/>
  <c r="AA1242" i="3"/>
  <c r="AC1242" i="3" s="1"/>
  <c r="AJ1242" i="3" s="1"/>
  <c r="A1243" i="3"/>
  <c r="W1242" i="3"/>
  <c r="Y1242" i="3" s="1"/>
  <c r="AE1242" i="3" s="1"/>
  <c r="AL1242" i="3" s="1"/>
  <c r="AF1241" i="3"/>
  <c r="AN1241" i="3" s="1"/>
  <c r="AQ1241" i="3"/>
  <c r="U1243" i="3" l="1"/>
  <c r="AI1243" i="3" a="1"/>
  <c r="AI1243" i="3" s="1"/>
  <c r="AR1241" i="3"/>
  <c r="AO1241" i="3"/>
  <c r="W1243" i="3"/>
  <c r="Y1243" i="3" s="1"/>
  <c r="AE1243" i="3" s="1"/>
  <c r="AL1243" i="3" s="1"/>
  <c r="A1244" i="3"/>
  <c r="AA1243" i="3"/>
  <c r="AC1243" i="3" s="1"/>
  <c r="AJ1243" i="3" s="1"/>
  <c r="AQ1242" i="3"/>
  <c r="AF1242" i="3"/>
  <c r="AN1242" i="3" s="1"/>
  <c r="U1244" i="3" l="1"/>
  <c r="AI1244" i="3" a="1"/>
  <c r="AI1244" i="3" s="1"/>
  <c r="AR1242" i="3"/>
  <c r="AO1242" i="3"/>
  <c r="AF1243" i="3"/>
  <c r="AN1243" i="3" s="1"/>
  <c r="AQ1243" i="3"/>
  <c r="A1245" i="3"/>
  <c r="AA1244" i="3"/>
  <c r="AC1244" i="3" s="1"/>
  <c r="AJ1244" i="3" s="1"/>
  <c r="W1244" i="3"/>
  <c r="Y1244" i="3" s="1"/>
  <c r="AE1244" i="3" s="1"/>
  <c r="AL1244" i="3" s="1"/>
  <c r="U1245" i="3" l="1"/>
  <c r="AI1245" i="3" a="1"/>
  <c r="AI1245" i="3" s="1"/>
  <c r="AR1243" i="3"/>
  <c r="AO1243" i="3"/>
  <c r="AA1245" i="3"/>
  <c r="AC1245" i="3" s="1"/>
  <c r="AJ1245" i="3" s="1"/>
  <c r="W1245" i="3"/>
  <c r="Y1245" i="3" s="1"/>
  <c r="A1246" i="3"/>
  <c r="AF1244" i="3"/>
  <c r="AN1244" i="3" s="1"/>
  <c r="AQ1244" i="3"/>
  <c r="AE1245" i="3" l="1"/>
  <c r="U1246" i="3"/>
  <c r="AI1246" i="3" a="1"/>
  <c r="AI1246" i="3" s="1"/>
  <c r="AR1244" i="3"/>
  <c r="AO1244" i="3"/>
  <c r="A1247" i="3"/>
  <c r="AA1246" i="3"/>
  <c r="AC1246" i="3" s="1"/>
  <c r="AJ1246" i="3" s="1"/>
  <c r="W1246" i="3"/>
  <c r="Y1246" i="3" s="1"/>
  <c r="AE1246" i="3" s="1"/>
  <c r="AL1246" i="3" s="1"/>
  <c r="AL1245" i="3" l="1"/>
  <c r="AQ1245" i="3" s="1"/>
  <c r="AF1245" i="3"/>
  <c r="U1247" i="3"/>
  <c r="AI1247" i="3" a="1"/>
  <c r="AI1247" i="3" s="1"/>
  <c r="AA1247" i="3"/>
  <c r="AC1247" i="3" s="1"/>
  <c r="AJ1247" i="3" s="1"/>
  <c r="A1248" i="3"/>
  <c r="W1247" i="3"/>
  <c r="Y1247" i="3" s="1"/>
  <c r="AE1247" i="3" s="1"/>
  <c r="AL1247" i="3" s="1"/>
  <c r="AF1246" i="3"/>
  <c r="AN1246" i="3" s="1"/>
  <c r="AQ1246" i="3"/>
  <c r="AN1245" i="3" l="1"/>
  <c r="U1248" i="3"/>
  <c r="AI1248" i="3" a="1"/>
  <c r="AI1248" i="3" s="1"/>
  <c r="AR1246" i="3"/>
  <c r="AO1246" i="3"/>
  <c r="AA1248" i="3"/>
  <c r="AC1248" i="3" s="1"/>
  <c r="AJ1248" i="3" s="1"/>
  <c r="A1249" i="3"/>
  <c r="W1248" i="3"/>
  <c r="Y1248" i="3" s="1"/>
  <c r="AE1248" i="3" s="1"/>
  <c r="AL1248" i="3" s="1"/>
  <c r="AF1247" i="3"/>
  <c r="AN1247" i="3" s="1"/>
  <c r="AQ1247" i="3"/>
  <c r="AO1245" i="3" l="1"/>
  <c r="AR1245" i="3"/>
  <c r="U1249" i="3"/>
  <c r="AI1249" i="3" a="1"/>
  <c r="AI1249" i="3" s="1"/>
  <c r="AR1247" i="3"/>
  <c r="AO1247" i="3"/>
  <c r="AA1249" i="3"/>
  <c r="AC1249" i="3" s="1"/>
  <c r="AJ1249" i="3" s="1"/>
  <c r="W1249" i="3"/>
  <c r="Y1249" i="3" s="1"/>
  <c r="AE1249" i="3" s="1"/>
  <c r="AL1249" i="3" s="1"/>
  <c r="A1250" i="3"/>
  <c r="AF1248" i="3"/>
  <c r="AN1248" i="3" s="1"/>
  <c r="AQ1248" i="3"/>
  <c r="U1250" i="3" l="1"/>
  <c r="AI1250" i="3" a="1"/>
  <c r="AI1250" i="3" s="1"/>
  <c r="AR1248" i="3"/>
  <c r="AO1248" i="3"/>
  <c r="AQ1249" i="3"/>
  <c r="AF1249" i="3"/>
  <c r="AN1249" i="3" s="1"/>
  <c r="A1251" i="3"/>
  <c r="AA1250" i="3"/>
  <c r="AC1250" i="3" s="1"/>
  <c r="AJ1250" i="3" s="1"/>
  <c r="W1250" i="3"/>
  <c r="Y1250" i="3" s="1"/>
  <c r="AE1250" i="3" s="1"/>
  <c r="AL1250" i="3" s="1"/>
  <c r="U1251" i="3" l="1"/>
  <c r="AI1251" i="3" a="1"/>
  <c r="AI1251" i="3" s="1"/>
  <c r="AR1249" i="3"/>
  <c r="AO1249" i="3"/>
  <c r="A1252" i="3"/>
  <c r="AA1251" i="3"/>
  <c r="AC1251" i="3" s="1"/>
  <c r="AJ1251" i="3" s="1"/>
  <c r="W1251" i="3"/>
  <c r="Y1251" i="3" s="1"/>
  <c r="AE1251" i="3" s="1"/>
  <c r="AL1251" i="3" s="1"/>
  <c r="AF1250" i="3"/>
  <c r="AN1250" i="3" s="1"/>
  <c r="AQ1250" i="3"/>
  <c r="U1252" i="3" l="1"/>
  <c r="AI1252" i="3" a="1"/>
  <c r="AI1252" i="3" s="1"/>
  <c r="AR1250" i="3"/>
  <c r="AO1250" i="3"/>
  <c r="A1253" i="3"/>
  <c r="AA1252" i="3"/>
  <c r="AC1252" i="3" s="1"/>
  <c r="AJ1252" i="3" s="1"/>
  <c r="W1252" i="3"/>
  <c r="Y1252" i="3" s="1"/>
  <c r="AE1252" i="3" s="1"/>
  <c r="AL1252" i="3" s="1"/>
  <c r="AF1251" i="3"/>
  <c r="AN1251" i="3" s="1"/>
  <c r="AQ1251" i="3"/>
  <c r="U1253" i="3" l="1"/>
  <c r="AI1253" i="3" a="1"/>
  <c r="AI1253" i="3" s="1"/>
  <c r="AR1251" i="3"/>
  <c r="AO1251" i="3"/>
  <c r="A1254" i="3"/>
  <c r="AA1253" i="3"/>
  <c r="AC1253" i="3" s="1"/>
  <c r="AJ1253" i="3" s="1"/>
  <c r="W1253" i="3"/>
  <c r="Y1253" i="3" s="1"/>
  <c r="AE1253" i="3" s="1"/>
  <c r="AL1253" i="3" s="1"/>
  <c r="AF1252" i="3"/>
  <c r="AN1252" i="3" s="1"/>
  <c r="AQ1252" i="3"/>
  <c r="U1254" i="3" l="1"/>
  <c r="AI1254" i="3" a="1"/>
  <c r="AI1254" i="3" s="1"/>
  <c r="AR1252" i="3"/>
  <c r="AO1252" i="3"/>
  <c r="A1255" i="3"/>
  <c r="AA1254" i="3"/>
  <c r="AC1254" i="3" s="1"/>
  <c r="AJ1254" i="3" s="1"/>
  <c r="W1254" i="3"/>
  <c r="Y1254" i="3" s="1"/>
  <c r="AE1254" i="3" s="1"/>
  <c r="AL1254" i="3" s="1"/>
  <c r="AF1253" i="3"/>
  <c r="AN1253" i="3" s="1"/>
  <c r="AQ1253" i="3"/>
  <c r="U1255" i="3" l="1"/>
  <c r="AI1255" i="3" a="1"/>
  <c r="AI1255" i="3" s="1"/>
  <c r="AR1253" i="3"/>
  <c r="AO1253" i="3"/>
  <c r="W1255" i="3"/>
  <c r="Y1255" i="3" s="1"/>
  <c r="AE1255" i="3" s="1"/>
  <c r="AL1255" i="3" s="1"/>
  <c r="AA1255" i="3"/>
  <c r="AC1255" i="3" s="1"/>
  <c r="AJ1255" i="3" s="1"/>
  <c r="A1256" i="3"/>
  <c r="AF1254" i="3"/>
  <c r="AN1254" i="3" s="1"/>
  <c r="AQ1254" i="3"/>
  <c r="U1256" i="3" l="1"/>
  <c r="AI1256" i="3" a="1"/>
  <c r="AI1256" i="3" s="1"/>
  <c r="AR1254" i="3"/>
  <c r="AO1254" i="3"/>
  <c r="AQ1255" i="3"/>
  <c r="AF1255" i="3"/>
  <c r="AN1255" i="3" s="1"/>
  <c r="AA1256" i="3"/>
  <c r="AC1256" i="3" s="1"/>
  <c r="AJ1256" i="3" s="1"/>
  <c r="W1256" i="3"/>
  <c r="Y1256" i="3" s="1"/>
  <c r="AE1256" i="3" s="1"/>
  <c r="AL1256" i="3" s="1"/>
  <c r="A1257" i="3"/>
  <c r="U1257" i="3" l="1"/>
  <c r="AI1257" i="3" a="1"/>
  <c r="AI1257" i="3" s="1"/>
  <c r="AR1255" i="3"/>
  <c r="AO1255" i="3"/>
  <c r="AF1256" i="3"/>
  <c r="AN1256" i="3" s="1"/>
  <c r="AQ1256" i="3"/>
  <c r="W1257" i="3"/>
  <c r="Y1257" i="3" s="1"/>
  <c r="AE1257" i="3" s="1"/>
  <c r="AL1257" i="3" s="1"/>
  <c r="A1258" i="3"/>
  <c r="AA1257" i="3"/>
  <c r="AC1257" i="3" s="1"/>
  <c r="AJ1257" i="3" s="1"/>
  <c r="U1258" i="3" l="1"/>
  <c r="AI1258" i="3" a="1"/>
  <c r="AI1258" i="3" s="1"/>
  <c r="AR1256" i="3"/>
  <c r="AO1256" i="3"/>
  <c r="AQ1257" i="3"/>
  <c r="AF1257" i="3"/>
  <c r="AN1257" i="3" s="1"/>
  <c r="A1259" i="3"/>
  <c r="AA1258" i="3"/>
  <c r="AC1258" i="3" s="1"/>
  <c r="AJ1258" i="3" s="1"/>
  <c r="W1258" i="3"/>
  <c r="Y1258" i="3" s="1"/>
  <c r="AE1258" i="3" l="1"/>
  <c r="U1259" i="3"/>
  <c r="AI1259" i="3" a="1"/>
  <c r="AI1259" i="3" s="1"/>
  <c r="AR1257" i="3"/>
  <c r="AO1257" i="3"/>
  <c r="A1260" i="3"/>
  <c r="AA1259" i="3"/>
  <c r="AC1259" i="3" s="1"/>
  <c r="AJ1259" i="3" s="1"/>
  <c r="W1259" i="3"/>
  <c r="Y1259" i="3" s="1"/>
  <c r="AE1259" i="3" s="1"/>
  <c r="AL1259" i="3" s="1"/>
  <c r="AL1258" i="3" l="1"/>
  <c r="AF1258" i="3"/>
  <c r="AQ1258" i="3"/>
  <c r="U1260" i="3"/>
  <c r="AI1260" i="3" a="1"/>
  <c r="AI1260" i="3" s="1"/>
  <c r="A1261" i="3"/>
  <c r="AA1260" i="3"/>
  <c r="AC1260" i="3" s="1"/>
  <c r="AJ1260" i="3" s="1"/>
  <c r="W1260" i="3"/>
  <c r="Y1260" i="3" s="1"/>
  <c r="AE1260" i="3" s="1"/>
  <c r="AL1260" i="3" s="1"/>
  <c r="AF1259" i="3"/>
  <c r="AN1259" i="3" s="1"/>
  <c r="AQ1259" i="3"/>
  <c r="AN1258" i="3" l="1"/>
  <c r="AO1258" i="3" s="1"/>
  <c r="AR1258" i="3"/>
  <c r="U1261" i="3"/>
  <c r="AI1261" i="3" a="1"/>
  <c r="AI1261" i="3" s="1"/>
  <c r="AR1259" i="3"/>
  <c r="AO1259" i="3"/>
  <c r="W1261" i="3"/>
  <c r="Y1261" i="3" s="1"/>
  <c r="AE1261" i="3" s="1"/>
  <c r="AL1261" i="3" s="1"/>
  <c r="A1262" i="3"/>
  <c r="AA1261" i="3"/>
  <c r="AC1261" i="3" s="1"/>
  <c r="AJ1261" i="3" s="1"/>
  <c r="AF1260" i="3"/>
  <c r="AN1260" i="3" s="1"/>
  <c r="AQ1260" i="3"/>
  <c r="U1262" i="3" l="1"/>
  <c r="AI1262" i="3" a="1"/>
  <c r="AI1262" i="3" s="1"/>
  <c r="AR1260" i="3"/>
  <c r="AO1260" i="3"/>
  <c r="AQ1261" i="3"/>
  <c r="AF1261" i="3"/>
  <c r="AN1261" i="3" s="1"/>
  <c r="A1263" i="3"/>
  <c r="AA1262" i="3"/>
  <c r="AC1262" i="3" s="1"/>
  <c r="AJ1262" i="3" s="1"/>
  <c r="W1262" i="3"/>
  <c r="Y1262" i="3" s="1"/>
  <c r="AE1262" i="3" s="1"/>
  <c r="AL1262" i="3" s="1"/>
  <c r="U1263" i="3" l="1"/>
  <c r="AI1263" i="3" a="1"/>
  <c r="AI1263" i="3" s="1"/>
  <c r="AR1261" i="3"/>
  <c r="AO1261" i="3"/>
  <c r="W1263" i="3"/>
  <c r="Y1263" i="3" s="1"/>
  <c r="AE1263" i="3" s="1"/>
  <c r="AL1263" i="3" s="1"/>
  <c r="A1264" i="3"/>
  <c r="AA1263" i="3"/>
  <c r="AC1263" i="3" s="1"/>
  <c r="AJ1263" i="3" s="1"/>
  <c r="AF1262" i="3"/>
  <c r="AN1262" i="3" s="1"/>
  <c r="AQ1262" i="3"/>
  <c r="U1264" i="3" l="1"/>
  <c r="AI1264" i="3" a="1"/>
  <c r="AI1264" i="3" s="1"/>
  <c r="AR1262" i="3"/>
  <c r="AO1262" i="3"/>
  <c r="AF1263" i="3"/>
  <c r="AN1263" i="3" s="1"/>
  <c r="AQ1263" i="3"/>
  <c r="A1265" i="3"/>
  <c r="W1264" i="3"/>
  <c r="Y1264" i="3" s="1"/>
  <c r="AE1264" i="3" s="1"/>
  <c r="AL1264" i="3" s="1"/>
  <c r="AA1264" i="3"/>
  <c r="AC1264" i="3" s="1"/>
  <c r="AJ1264" i="3" s="1"/>
  <c r="U1265" i="3" l="1"/>
  <c r="AI1265" i="3" a="1"/>
  <c r="AI1265" i="3" s="1"/>
  <c r="AR1263" i="3"/>
  <c r="AO1263" i="3"/>
  <c r="W1265" i="3"/>
  <c r="Y1265" i="3" s="1"/>
  <c r="AE1265" i="3" s="1"/>
  <c r="AL1265" i="3" s="1"/>
  <c r="A1266" i="3"/>
  <c r="AA1265" i="3"/>
  <c r="AC1265" i="3" s="1"/>
  <c r="AJ1265" i="3" s="1"/>
  <c r="AF1264" i="3"/>
  <c r="AN1264" i="3" s="1"/>
  <c r="AQ1264" i="3"/>
  <c r="U1266" i="3" l="1"/>
  <c r="AI1266" i="3" a="1"/>
  <c r="AI1266" i="3" s="1"/>
  <c r="AR1264" i="3"/>
  <c r="AO1264" i="3"/>
  <c r="AQ1265" i="3"/>
  <c r="AF1265" i="3"/>
  <c r="AN1265" i="3" s="1"/>
  <c r="A1267" i="3"/>
  <c r="W1266" i="3"/>
  <c r="Y1266" i="3" s="1"/>
  <c r="AE1266" i="3" s="1"/>
  <c r="AL1266" i="3" s="1"/>
  <c r="AA1266" i="3"/>
  <c r="AC1266" i="3" s="1"/>
  <c r="AJ1266" i="3" s="1"/>
  <c r="U1267" i="3" l="1"/>
  <c r="AI1267" i="3" a="1"/>
  <c r="AI1267" i="3" s="1"/>
  <c r="AR1265" i="3"/>
  <c r="AO1265" i="3"/>
  <c r="W1267" i="3"/>
  <c r="Y1267" i="3" s="1"/>
  <c r="A1268" i="3"/>
  <c r="AA1267" i="3"/>
  <c r="AC1267" i="3" s="1"/>
  <c r="AJ1267" i="3" s="1"/>
  <c r="AF1266" i="3"/>
  <c r="AN1266" i="3" s="1"/>
  <c r="AQ1266" i="3"/>
  <c r="AE1267" i="3" l="1"/>
  <c r="U1268" i="3"/>
  <c r="AI1268" i="3" a="1"/>
  <c r="AI1268" i="3" s="1"/>
  <c r="AR1266" i="3"/>
  <c r="AO1266" i="3"/>
  <c r="A1269" i="3"/>
  <c r="W1268" i="3"/>
  <c r="Y1268" i="3" s="1"/>
  <c r="AA1268" i="3"/>
  <c r="AC1268" i="3" s="1"/>
  <c r="AJ1268" i="3" s="1"/>
  <c r="AE1268" i="3" l="1"/>
  <c r="AL1267" i="3"/>
  <c r="AQ1267" i="3" s="1"/>
  <c r="AF1267" i="3"/>
  <c r="U1269" i="3"/>
  <c r="AI1269" i="3" a="1"/>
  <c r="AI1269" i="3" s="1"/>
  <c r="AA1269" i="3"/>
  <c r="AC1269" i="3" s="1"/>
  <c r="AJ1269" i="3" s="1"/>
  <c r="W1269" i="3"/>
  <c r="Y1269" i="3" s="1"/>
  <c r="AE1269" i="3" s="1"/>
  <c r="AL1269" i="3" s="1"/>
  <c r="A1270" i="3"/>
  <c r="AL1268" i="3" l="1"/>
  <c r="AQ1268" i="3"/>
  <c r="AF1268" i="3"/>
  <c r="AN1267" i="3"/>
  <c r="U1270" i="3"/>
  <c r="AI1270" i="3" a="1"/>
  <c r="AI1270" i="3" s="1"/>
  <c r="AQ1269" i="3"/>
  <c r="AF1269" i="3"/>
  <c r="AN1269" i="3" s="1"/>
  <c r="W1270" i="3"/>
  <c r="Y1270" i="3" s="1"/>
  <c r="AE1270" i="3" s="1"/>
  <c r="AL1270" i="3" s="1"/>
  <c r="A1271" i="3"/>
  <c r="AA1270" i="3"/>
  <c r="AC1270" i="3" s="1"/>
  <c r="AJ1270" i="3" s="1"/>
  <c r="AN1268" i="3" l="1"/>
  <c r="AO1268" i="3" s="1"/>
  <c r="AR1268" i="3"/>
  <c r="AO1267" i="3"/>
  <c r="AR1267" i="3"/>
  <c r="U1271" i="3"/>
  <c r="AI1271" i="3" a="1"/>
  <c r="AI1271" i="3" s="1"/>
  <c r="AR1269" i="3"/>
  <c r="AO1269" i="3"/>
  <c r="AF1270" i="3"/>
  <c r="AN1270" i="3" s="1"/>
  <c r="AQ1270" i="3"/>
  <c r="A1272" i="3"/>
  <c r="AA1271" i="3"/>
  <c r="AC1271" i="3" s="1"/>
  <c r="AJ1271" i="3" s="1"/>
  <c r="W1271" i="3"/>
  <c r="Y1271" i="3" s="1"/>
  <c r="AE1271" i="3" l="1"/>
  <c r="U1272" i="3"/>
  <c r="AI1272" i="3" a="1"/>
  <c r="AI1272" i="3" s="1"/>
  <c r="AR1270" i="3"/>
  <c r="AO1270" i="3"/>
  <c r="AA1272" i="3"/>
  <c r="AC1272" i="3" s="1"/>
  <c r="AJ1272" i="3" s="1"/>
  <c r="W1272" i="3"/>
  <c r="Y1272" i="3" s="1"/>
  <c r="AE1272" i="3" s="1"/>
  <c r="AL1272" i="3" s="1"/>
  <c r="A1273" i="3"/>
  <c r="AL1271" i="3" l="1"/>
  <c r="AQ1271" i="3" s="1"/>
  <c r="AF1271" i="3"/>
  <c r="U1273" i="3"/>
  <c r="AI1273" i="3" a="1"/>
  <c r="AI1273" i="3" s="1"/>
  <c r="AF1272" i="3"/>
  <c r="AN1272" i="3" s="1"/>
  <c r="AQ1272" i="3"/>
  <c r="AA1273" i="3"/>
  <c r="AC1273" i="3" s="1"/>
  <c r="AJ1273" i="3" s="1"/>
  <c r="W1273" i="3"/>
  <c r="Y1273" i="3" s="1"/>
  <c r="AE1273" i="3" s="1"/>
  <c r="AL1273" i="3" s="1"/>
  <c r="A1274" i="3"/>
  <c r="AN1271" i="3" l="1"/>
  <c r="AO1271" i="3" s="1"/>
  <c r="AR1271" i="3"/>
  <c r="U1274" i="3"/>
  <c r="AI1274" i="3" a="1"/>
  <c r="AI1274" i="3" s="1"/>
  <c r="AR1272" i="3"/>
  <c r="AO1272" i="3"/>
  <c r="AF1273" i="3"/>
  <c r="AN1273" i="3" s="1"/>
  <c r="AQ1273" i="3"/>
  <c r="A1275" i="3"/>
  <c r="AA1274" i="3"/>
  <c r="AC1274" i="3" s="1"/>
  <c r="AJ1274" i="3" s="1"/>
  <c r="W1274" i="3"/>
  <c r="Y1274" i="3" s="1"/>
  <c r="AE1274" i="3" s="1"/>
  <c r="AL1274" i="3" s="1"/>
  <c r="U1275" i="3" l="1"/>
  <c r="AI1275" i="3" a="1"/>
  <c r="AI1275" i="3" s="1"/>
  <c r="AR1273" i="3"/>
  <c r="AO1273" i="3"/>
  <c r="W1275" i="3"/>
  <c r="Y1275" i="3" s="1"/>
  <c r="AE1275" i="3" s="1"/>
  <c r="AL1275" i="3" s="1"/>
  <c r="A1276" i="3"/>
  <c r="AA1275" i="3"/>
  <c r="AC1275" i="3" s="1"/>
  <c r="AJ1275" i="3" s="1"/>
  <c r="AF1274" i="3"/>
  <c r="AN1274" i="3" s="1"/>
  <c r="AQ1274" i="3"/>
  <c r="U1276" i="3" l="1"/>
  <c r="AI1276" i="3" a="1"/>
  <c r="AI1276" i="3" s="1"/>
  <c r="AR1274" i="3"/>
  <c r="AO1274" i="3"/>
  <c r="AQ1275" i="3"/>
  <c r="AF1275" i="3"/>
  <c r="AN1275" i="3" s="1"/>
  <c r="W1276" i="3"/>
  <c r="Y1276" i="3" s="1"/>
  <c r="AE1276" i="3" s="1"/>
  <c r="AL1276" i="3" s="1"/>
  <c r="A1277" i="3"/>
  <c r="AA1276" i="3"/>
  <c r="AC1276" i="3" s="1"/>
  <c r="AJ1276" i="3" s="1"/>
  <c r="U1277" i="3" l="1"/>
  <c r="AI1277" i="3" a="1"/>
  <c r="AI1277" i="3" s="1"/>
  <c r="AR1275" i="3"/>
  <c r="AO1275" i="3"/>
  <c r="AF1276" i="3"/>
  <c r="AN1276" i="3" s="1"/>
  <c r="AQ1276" i="3"/>
  <c r="A1278" i="3"/>
  <c r="AA1277" i="3"/>
  <c r="AC1277" i="3" s="1"/>
  <c r="AJ1277" i="3" s="1"/>
  <c r="W1277" i="3"/>
  <c r="Y1277" i="3" s="1"/>
  <c r="AE1277" i="3" s="1"/>
  <c r="AL1277" i="3" s="1"/>
  <c r="U1278" i="3" l="1"/>
  <c r="AI1278" i="3" a="1"/>
  <c r="AI1278" i="3" s="1"/>
  <c r="AR1276" i="3"/>
  <c r="AO1276" i="3"/>
  <c r="A1279" i="3"/>
  <c r="AA1278" i="3"/>
  <c r="AC1278" i="3" s="1"/>
  <c r="AJ1278" i="3" s="1"/>
  <c r="W1278" i="3"/>
  <c r="Y1278" i="3" s="1"/>
  <c r="AE1278" i="3" s="1"/>
  <c r="AL1278" i="3" s="1"/>
  <c r="AF1277" i="3"/>
  <c r="AN1277" i="3" s="1"/>
  <c r="AQ1277" i="3"/>
  <c r="U1279" i="3" l="1"/>
  <c r="AI1279" i="3" a="1"/>
  <c r="AI1279" i="3" s="1"/>
  <c r="AR1277" i="3"/>
  <c r="AO1277" i="3"/>
  <c r="AA1279" i="3"/>
  <c r="AC1279" i="3" s="1"/>
  <c r="AJ1279" i="3" s="1"/>
  <c r="W1279" i="3"/>
  <c r="Y1279" i="3" s="1"/>
  <c r="AE1279" i="3" s="1"/>
  <c r="AL1279" i="3" s="1"/>
  <c r="A1280" i="3"/>
  <c r="AF1278" i="3"/>
  <c r="AN1278" i="3" s="1"/>
  <c r="AQ1278" i="3"/>
  <c r="U1280" i="3" l="1"/>
  <c r="AI1280" i="3" a="1"/>
  <c r="AI1280" i="3" s="1"/>
  <c r="AR1278" i="3"/>
  <c r="AO1278" i="3"/>
  <c r="AF1279" i="3"/>
  <c r="AN1279" i="3" s="1"/>
  <c r="AQ1279" i="3"/>
  <c r="A1281" i="3"/>
  <c r="AA1280" i="3"/>
  <c r="AC1280" i="3" s="1"/>
  <c r="AJ1280" i="3" s="1"/>
  <c r="W1280" i="3"/>
  <c r="Y1280" i="3" s="1"/>
  <c r="AE1280" i="3" s="1"/>
  <c r="AL1280" i="3" s="1"/>
  <c r="U1281" i="3" l="1"/>
  <c r="AI1281" i="3" a="1"/>
  <c r="AI1281" i="3" s="1"/>
  <c r="AR1279" i="3"/>
  <c r="AO1279" i="3"/>
  <c r="A1282" i="3"/>
  <c r="W1281" i="3"/>
  <c r="Y1281" i="3" s="1"/>
  <c r="AE1281" i="3" s="1"/>
  <c r="AL1281" i="3" s="1"/>
  <c r="AA1281" i="3"/>
  <c r="AC1281" i="3" s="1"/>
  <c r="AJ1281" i="3" s="1"/>
  <c r="AF1280" i="3"/>
  <c r="AN1280" i="3" s="1"/>
  <c r="AQ1280" i="3"/>
  <c r="U1282" i="3" l="1"/>
  <c r="AI1282" i="3" a="1"/>
  <c r="AI1282" i="3" s="1"/>
  <c r="AR1280" i="3"/>
  <c r="AO1280" i="3"/>
  <c r="A1283" i="3"/>
  <c r="AA1282" i="3"/>
  <c r="AC1282" i="3" s="1"/>
  <c r="AJ1282" i="3" s="1"/>
  <c r="W1282" i="3"/>
  <c r="Y1282" i="3" s="1"/>
  <c r="AE1282" i="3" s="1"/>
  <c r="AL1282" i="3" s="1"/>
  <c r="AF1281" i="3"/>
  <c r="AN1281" i="3" s="1"/>
  <c r="AQ1281" i="3"/>
  <c r="U1283" i="3" l="1"/>
  <c r="AI1283" i="3" a="1"/>
  <c r="AI1283" i="3" s="1"/>
  <c r="AR1281" i="3"/>
  <c r="AO1281" i="3"/>
  <c r="A1284" i="3"/>
  <c r="AA1283" i="3"/>
  <c r="AC1283" i="3" s="1"/>
  <c r="AJ1283" i="3" s="1"/>
  <c r="W1283" i="3"/>
  <c r="Y1283" i="3" s="1"/>
  <c r="AE1283" i="3" s="1"/>
  <c r="AL1283" i="3" s="1"/>
  <c r="AF1282" i="3"/>
  <c r="AN1282" i="3" s="1"/>
  <c r="AQ1282" i="3"/>
  <c r="U1284" i="3" l="1"/>
  <c r="AI1284" i="3" a="1"/>
  <c r="AI1284" i="3" s="1"/>
  <c r="AR1282" i="3"/>
  <c r="AO1282" i="3"/>
  <c r="A1285" i="3"/>
  <c r="W1284" i="3"/>
  <c r="Y1284" i="3" s="1"/>
  <c r="AE1284" i="3" s="1"/>
  <c r="AL1284" i="3" s="1"/>
  <c r="AA1284" i="3"/>
  <c r="AC1284" i="3" s="1"/>
  <c r="AJ1284" i="3" s="1"/>
  <c r="AF1283" i="3"/>
  <c r="AN1283" i="3" s="1"/>
  <c r="AQ1283" i="3"/>
  <c r="U1285" i="3" l="1"/>
  <c r="AI1285" i="3" a="1"/>
  <c r="AI1285" i="3" s="1"/>
  <c r="AR1283" i="3"/>
  <c r="AO1283" i="3"/>
  <c r="A1286" i="3"/>
  <c r="AA1285" i="3"/>
  <c r="AC1285" i="3" s="1"/>
  <c r="AJ1285" i="3" s="1"/>
  <c r="W1285" i="3"/>
  <c r="Y1285" i="3" s="1"/>
  <c r="AE1285" i="3" s="1"/>
  <c r="AL1285" i="3" s="1"/>
  <c r="AF1284" i="3"/>
  <c r="AN1284" i="3" s="1"/>
  <c r="AQ1284" i="3"/>
  <c r="U1286" i="3" l="1"/>
  <c r="AI1286" i="3" a="1"/>
  <c r="AI1286" i="3" s="1"/>
  <c r="AR1284" i="3"/>
  <c r="AO1284" i="3"/>
  <c r="A1287" i="3"/>
  <c r="AA1286" i="3"/>
  <c r="AC1286" i="3" s="1"/>
  <c r="AJ1286" i="3" s="1"/>
  <c r="W1286" i="3"/>
  <c r="Y1286" i="3" s="1"/>
  <c r="AE1286" i="3" s="1"/>
  <c r="AL1286" i="3" s="1"/>
  <c r="AF1285" i="3"/>
  <c r="AN1285" i="3" s="1"/>
  <c r="AQ1285" i="3"/>
  <c r="U1287" i="3" l="1"/>
  <c r="AI1287" i="3" a="1"/>
  <c r="AI1287" i="3" s="1"/>
  <c r="AR1285" i="3"/>
  <c r="AO1285" i="3"/>
  <c r="AA1287" i="3"/>
  <c r="AC1287" i="3" s="1"/>
  <c r="AJ1287" i="3" s="1"/>
  <c r="A1288" i="3"/>
  <c r="W1287" i="3"/>
  <c r="Y1287" i="3" s="1"/>
  <c r="AF1286" i="3"/>
  <c r="AN1286" i="3" s="1"/>
  <c r="AQ1286" i="3"/>
  <c r="AE1287" i="3" l="1"/>
  <c r="U1288" i="3"/>
  <c r="AI1288" i="3" a="1"/>
  <c r="AI1288" i="3" s="1"/>
  <c r="AR1286" i="3"/>
  <c r="AO1286" i="3"/>
  <c r="AA1288" i="3"/>
  <c r="AC1288" i="3" s="1"/>
  <c r="AJ1288" i="3" s="1"/>
  <c r="A1289" i="3"/>
  <c r="W1288" i="3"/>
  <c r="Y1288" i="3" s="1"/>
  <c r="AE1288" i="3" s="1"/>
  <c r="AL1288" i="3" s="1"/>
  <c r="AL1287" i="3" l="1"/>
  <c r="AF1287" i="3"/>
  <c r="AQ1287" i="3"/>
  <c r="U1289" i="3"/>
  <c r="AI1289" i="3" a="1"/>
  <c r="AI1289" i="3" s="1"/>
  <c r="A1290" i="3"/>
  <c r="AA1289" i="3"/>
  <c r="AC1289" i="3" s="1"/>
  <c r="AJ1289" i="3" s="1"/>
  <c r="W1289" i="3"/>
  <c r="Y1289" i="3" s="1"/>
  <c r="AE1289" i="3" s="1"/>
  <c r="AL1289" i="3" s="1"/>
  <c r="AF1288" i="3"/>
  <c r="AN1288" i="3" s="1"/>
  <c r="AQ1288" i="3"/>
  <c r="AN1287" i="3" l="1"/>
  <c r="AO1287" i="3" s="1"/>
  <c r="AR1287" i="3"/>
  <c r="U1290" i="3"/>
  <c r="AI1290" i="3" a="1"/>
  <c r="AI1290" i="3" s="1"/>
  <c r="AR1288" i="3"/>
  <c r="AO1288" i="3"/>
  <c r="A1291" i="3"/>
  <c r="AA1290" i="3"/>
  <c r="AC1290" i="3" s="1"/>
  <c r="AJ1290" i="3" s="1"/>
  <c r="W1290" i="3"/>
  <c r="Y1290" i="3" s="1"/>
  <c r="AE1290" i="3" s="1"/>
  <c r="AL1290" i="3" s="1"/>
  <c r="AF1289" i="3"/>
  <c r="AN1289" i="3" s="1"/>
  <c r="AQ1289" i="3"/>
  <c r="U1291" i="3" l="1"/>
  <c r="AI1291" i="3" a="1"/>
  <c r="AI1291" i="3" s="1"/>
  <c r="AR1289" i="3"/>
  <c r="AO1289" i="3"/>
  <c r="AA1291" i="3"/>
  <c r="AC1291" i="3" s="1"/>
  <c r="AJ1291" i="3" s="1"/>
  <c r="A1292" i="3"/>
  <c r="W1291" i="3"/>
  <c r="Y1291" i="3" s="1"/>
  <c r="AE1291" i="3" s="1"/>
  <c r="AL1291" i="3" s="1"/>
  <c r="AF1290" i="3"/>
  <c r="AN1290" i="3" s="1"/>
  <c r="AQ1290" i="3"/>
  <c r="U1292" i="3" l="1"/>
  <c r="AI1292" i="3" a="1"/>
  <c r="AI1292" i="3" s="1"/>
  <c r="AR1290" i="3"/>
  <c r="AO1290" i="3"/>
  <c r="A1293" i="3"/>
  <c r="AA1292" i="3"/>
  <c r="AC1292" i="3" s="1"/>
  <c r="AJ1292" i="3" s="1"/>
  <c r="W1292" i="3"/>
  <c r="Y1292" i="3" s="1"/>
  <c r="AF1291" i="3"/>
  <c r="AN1291" i="3" s="1"/>
  <c r="AQ1291" i="3"/>
  <c r="AE1292" i="3" l="1"/>
  <c r="U1293" i="3"/>
  <c r="AI1293" i="3" a="1"/>
  <c r="AI1293" i="3" s="1"/>
  <c r="AR1291" i="3"/>
  <c r="AO1291" i="3"/>
  <c r="A1294" i="3"/>
  <c r="AA1293" i="3"/>
  <c r="AC1293" i="3" s="1"/>
  <c r="AJ1293" i="3" s="1"/>
  <c r="W1293" i="3"/>
  <c r="Y1293" i="3" s="1"/>
  <c r="AE1293" i="3" s="1"/>
  <c r="AL1293" i="3" s="1"/>
  <c r="AL1292" i="3" l="1"/>
  <c r="AQ1292" i="3" s="1"/>
  <c r="AF1292" i="3"/>
  <c r="U1294" i="3"/>
  <c r="AI1294" i="3" a="1"/>
  <c r="AI1294" i="3" s="1"/>
  <c r="A1295" i="3"/>
  <c r="AA1294" i="3"/>
  <c r="AC1294" i="3" s="1"/>
  <c r="AJ1294" i="3" s="1"/>
  <c r="W1294" i="3"/>
  <c r="Y1294" i="3" s="1"/>
  <c r="AF1293" i="3"/>
  <c r="AN1293" i="3" s="1"/>
  <c r="AQ1293" i="3"/>
  <c r="AE1294" i="3" l="1"/>
  <c r="AN1292" i="3"/>
  <c r="AO1292" i="3" s="1"/>
  <c r="AR1292" i="3"/>
  <c r="U1295" i="3"/>
  <c r="AI1295" i="3" a="1"/>
  <c r="AI1295" i="3" s="1"/>
  <c r="AR1293" i="3"/>
  <c r="AO1293" i="3"/>
  <c r="A1296" i="3"/>
  <c r="AA1295" i="3"/>
  <c r="AC1295" i="3" s="1"/>
  <c r="AJ1295" i="3" s="1"/>
  <c r="W1295" i="3"/>
  <c r="Y1295" i="3" s="1"/>
  <c r="AE1295" i="3" s="1"/>
  <c r="AL1295" i="3" s="1"/>
  <c r="AL1294" i="3" l="1"/>
  <c r="AF1294" i="3"/>
  <c r="AQ1294" i="3"/>
  <c r="U1296" i="3"/>
  <c r="AI1296" i="3" a="1"/>
  <c r="AI1296" i="3" s="1"/>
  <c r="A1297" i="3"/>
  <c r="AA1296" i="3"/>
  <c r="AC1296" i="3" s="1"/>
  <c r="AJ1296" i="3" s="1"/>
  <c r="W1296" i="3"/>
  <c r="Y1296" i="3" s="1"/>
  <c r="AQ1295" i="3"/>
  <c r="AF1295" i="3"/>
  <c r="AN1295" i="3" s="1"/>
  <c r="AE1296" i="3" l="1"/>
  <c r="AN1294" i="3"/>
  <c r="AO1294" i="3" s="1"/>
  <c r="AR1294" i="3"/>
  <c r="U1297" i="3"/>
  <c r="AI1297" i="3" a="1"/>
  <c r="AI1297" i="3" s="1"/>
  <c r="AR1295" i="3"/>
  <c r="AO1295" i="3"/>
  <c r="A1298" i="3"/>
  <c r="AA1297" i="3"/>
  <c r="AC1297" i="3" s="1"/>
  <c r="AJ1297" i="3" s="1"/>
  <c r="W1297" i="3"/>
  <c r="Y1297" i="3" s="1"/>
  <c r="AE1297" i="3" l="1"/>
  <c r="AL1296" i="3"/>
  <c r="AQ1296" i="3" s="1"/>
  <c r="AF1296" i="3"/>
  <c r="U1298" i="3"/>
  <c r="AI1298" i="3" a="1"/>
  <c r="AI1298" i="3" s="1"/>
  <c r="A1299" i="3"/>
  <c r="AA1298" i="3"/>
  <c r="AC1298" i="3" s="1"/>
  <c r="AJ1298" i="3" s="1"/>
  <c r="W1298" i="3"/>
  <c r="Y1298" i="3" s="1"/>
  <c r="AE1298" i="3" s="1"/>
  <c r="AL1298" i="3" s="1"/>
  <c r="AL1297" i="3" l="1"/>
  <c r="AF1297" i="3"/>
  <c r="AN1297" i="3" s="1"/>
  <c r="AO1297" i="3" s="1"/>
  <c r="AQ1297" i="3"/>
  <c r="AN1296" i="3"/>
  <c r="AO1296" i="3" s="1"/>
  <c r="AR1296" i="3"/>
  <c r="U1299" i="3"/>
  <c r="AI1299" i="3" a="1"/>
  <c r="AI1299" i="3" s="1"/>
  <c r="AR1297" i="3"/>
  <c r="A1300" i="3"/>
  <c r="AA1299" i="3"/>
  <c r="AC1299" i="3" s="1"/>
  <c r="AJ1299" i="3" s="1"/>
  <c r="W1299" i="3"/>
  <c r="Y1299" i="3" s="1"/>
  <c r="AE1299" i="3" s="1"/>
  <c r="AL1299" i="3" s="1"/>
  <c r="AF1298" i="3"/>
  <c r="AN1298" i="3" s="1"/>
  <c r="AQ1298" i="3"/>
  <c r="U1300" i="3" l="1"/>
  <c r="AI1300" i="3" a="1"/>
  <c r="AI1300" i="3" s="1"/>
  <c r="AR1298" i="3"/>
  <c r="AO1298" i="3"/>
  <c r="A1301" i="3"/>
  <c r="AA1300" i="3"/>
  <c r="AC1300" i="3" s="1"/>
  <c r="AJ1300" i="3" s="1"/>
  <c r="W1300" i="3"/>
  <c r="Y1300" i="3" s="1"/>
  <c r="AE1300" i="3" s="1"/>
  <c r="AL1300" i="3" s="1"/>
  <c r="AF1299" i="3"/>
  <c r="AN1299" i="3" s="1"/>
  <c r="AQ1299" i="3"/>
  <c r="U1301" i="3" l="1"/>
  <c r="AI1301" i="3" a="1"/>
  <c r="AI1301" i="3" s="1"/>
  <c r="AR1299" i="3"/>
  <c r="AO1299" i="3"/>
  <c r="W1301" i="3"/>
  <c r="Y1301" i="3" s="1"/>
  <c r="AE1301" i="3" s="1"/>
  <c r="AL1301" i="3" s="1"/>
  <c r="AA1301" i="3"/>
  <c r="AC1301" i="3" s="1"/>
  <c r="AJ1301" i="3" s="1"/>
  <c r="A1302" i="3"/>
  <c r="AF1300" i="3"/>
  <c r="AN1300" i="3" s="1"/>
  <c r="AQ1300" i="3"/>
  <c r="U1302" i="3" l="1"/>
  <c r="AI1302" i="3" a="1"/>
  <c r="AI1302" i="3" s="1"/>
  <c r="AR1300" i="3"/>
  <c r="AO1300" i="3"/>
  <c r="AQ1301" i="3"/>
  <c r="AF1301" i="3"/>
  <c r="AN1301" i="3" s="1"/>
  <c r="A1303" i="3"/>
  <c r="AA1302" i="3"/>
  <c r="AC1302" i="3" s="1"/>
  <c r="AJ1302" i="3" s="1"/>
  <c r="W1302" i="3"/>
  <c r="Y1302" i="3" s="1"/>
  <c r="AE1302" i="3" s="1"/>
  <c r="AL1302" i="3" s="1"/>
  <c r="U1303" i="3" l="1"/>
  <c r="AI1303" i="3" a="1"/>
  <c r="AI1303" i="3" s="1"/>
  <c r="AR1301" i="3"/>
  <c r="AO1301" i="3"/>
  <c r="A1304" i="3"/>
  <c r="AA1303" i="3"/>
  <c r="AC1303" i="3" s="1"/>
  <c r="AJ1303" i="3" s="1"/>
  <c r="W1303" i="3"/>
  <c r="Y1303" i="3" s="1"/>
  <c r="AF1302" i="3"/>
  <c r="AN1302" i="3" s="1"/>
  <c r="AQ1302" i="3"/>
  <c r="AE1303" i="3" l="1"/>
  <c r="U1304" i="3"/>
  <c r="AI1304" i="3" a="1"/>
  <c r="AI1304" i="3" s="1"/>
  <c r="AR1302" i="3"/>
  <c r="AO1302" i="3"/>
  <c r="W1304" i="3"/>
  <c r="Y1304" i="3" s="1"/>
  <c r="A1305" i="3"/>
  <c r="AA1304" i="3"/>
  <c r="AC1304" i="3" s="1"/>
  <c r="AJ1304" i="3" s="1"/>
  <c r="AE1304" i="3" l="1"/>
  <c r="AL1303" i="3"/>
  <c r="AQ1303" i="3" s="1"/>
  <c r="AF1303" i="3"/>
  <c r="U1305" i="3"/>
  <c r="AI1305" i="3" a="1"/>
  <c r="AI1305" i="3" s="1"/>
  <c r="A1306" i="3"/>
  <c r="AA1305" i="3"/>
  <c r="AC1305" i="3" s="1"/>
  <c r="AJ1305" i="3" s="1"/>
  <c r="W1305" i="3"/>
  <c r="Y1305" i="3" s="1"/>
  <c r="AE1305" i="3" s="1"/>
  <c r="AL1305" i="3" s="1"/>
  <c r="AL1304" i="3" l="1"/>
  <c r="AQ1304" i="3"/>
  <c r="AF1304" i="3"/>
  <c r="AN1304" i="3" s="1"/>
  <c r="AO1304" i="3" s="1"/>
  <c r="AN1303" i="3"/>
  <c r="U1306" i="3"/>
  <c r="AI1306" i="3" a="1"/>
  <c r="AI1306" i="3" s="1"/>
  <c r="AR1304" i="3"/>
  <c r="A1307" i="3"/>
  <c r="AA1306" i="3"/>
  <c r="AC1306" i="3" s="1"/>
  <c r="AJ1306" i="3" s="1"/>
  <c r="W1306" i="3"/>
  <c r="Y1306" i="3" s="1"/>
  <c r="AF1305" i="3"/>
  <c r="AN1305" i="3" s="1"/>
  <c r="AQ1305" i="3"/>
  <c r="AO1303" i="3" l="1"/>
  <c r="AR1303" i="3"/>
  <c r="AE1306" i="3"/>
  <c r="U1307" i="3"/>
  <c r="AI1307" i="3" a="1"/>
  <c r="AI1307" i="3" s="1"/>
  <c r="AR1305" i="3"/>
  <c r="AO1305" i="3"/>
  <c r="A1308" i="3"/>
  <c r="AA1307" i="3"/>
  <c r="AC1307" i="3" s="1"/>
  <c r="AJ1307" i="3" s="1"/>
  <c r="W1307" i="3"/>
  <c r="Y1307" i="3" s="1"/>
  <c r="AE1307" i="3" s="1"/>
  <c r="AL1307" i="3" s="1"/>
  <c r="AL1306" i="3" l="1"/>
  <c r="AF1306" i="3"/>
  <c r="AN1306" i="3" s="1"/>
  <c r="AQ1306" i="3"/>
  <c r="U1308" i="3"/>
  <c r="AI1308" i="3" a="1"/>
  <c r="AI1308" i="3" s="1"/>
  <c r="AR1306" i="3"/>
  <c r="AO1306" i="3"/>
  <c r="A1309" i="3"/>
  <c r="AA1308" i="3"/>
  <c r="AC1308" i="3" s="1"/>
  <c r="AJ1308" i="3" s="1"/>
  <c r="W1308" i="3"/>
  <c r="Y1308" i="3" s="1"/>
  <c r="AE1308" i="3" s="1"/>
  <c r="AL1308" i="3" s="1"/>
  <c r="AF1307" i="3"/>
  <c r="AN1307" i="3" s="1"/>
  <c r="AQ1307" i="3"/>
  <c r="U1309" i="3" l="1"/>
  <c r="AI1309" i="3" a="1"/>
  <c r="AI1309" i="3" s="1"/>
  <c r="AR1307" i="3"/>
  <c r="AO1307" i="3"/>
  <c r="A1310" i="3"/>
  <c r="AA1309" i="3"/>
  <c r="AC1309" i="3" s="1"/>
  <c r="AJ1309" i="3" s="1"/>
  <c r="W1309" i="3"/>
  <c r="Y1309" i="3" s="1"/>
  <c r="AE1309" i="3" s="1"/>
  <c r="AL1309" i="3" s="1"/>
  <c r="AF1308" i="3"/>
  <c r="AN1308" i="3" s="1"/>
  <c r="AQ1308" i="3"/>
  <c r="U1310" i="3" l="1"/>
  <c r="AI1310" i="3" a="1"/>
  <c r="AI1310" i="3" s="1"/>
  <c r="AR1308" i="3"/>
  <c r="AO1308" i="3"/>
  <c r="A1311" i="3"/>
  <c r="AA1310" i="3"/>
  <c r="AC1310" i="3" s="1"/>
  <c r="AJ1310" i="3" s="1"/>
  <c r="W1310" i="3"/>
  <c r="Y1310" i="3" s="1"/>
  <c r="AE1310" i="3" s="1"/>
  <c r="AL1310" i="3" s="1"/>
  <c r="AF1309" i="3"/>
  <c r="AN1309" i="3" s="1"/>
  <c r="AQ1309" i="3"/>
  <c r="U1311" i="3" l="1"/>
  <c r="AI1311" i="3" a="1"/>
  <c r="AI1311" i="3" s="1"/>
  <c r="AR1309" i="3"/>
  <c r="AO1309" i="3"/>
  <c r="W1311" i="3"/>
  <c r="Y1311" i="3" s="1"/>
  <c r="AE1311" i="3" s="1"/>
  <c r="AL1311" i="3" s="1"/>
  <c r="A1312" i="3"/>
  <c r="AA1311" i="3"/>
  <c r="AC1311" i="3" s="1"/>
  <c r="AJ1311" i="3" s="1"/>
  <c r="AF1310" i="3"/>
  <c r="AN1310" i="3" s="1"/>
  <c r="AQ1310" i="3"/>
  <c r="U1312" i="3" l="1"/>
  <c r="AI1312" i="3" a="1"/>
  <c r="AI1312" i="3" s="1"/>
  <c r="AR1310" i="3"/>
  <c r="AO1310" i="3"/>
  <c r="AF1311" i="3"/>
  <c r="AN1311" i="3" s="1"/>
  <c r="AQ1311" i="3"/>
  <c r="W1312" i="3"/>
  <c r="Y1312" i="3" s="1"/>
  <c r="AE1312" i="3" s="1"/>
  <c r="AL1312" i="3" s="1"/>
  <c r="AA1312" i="3"/>
  <c r="AC1312" i="3" s="1"/>
  <c r="AJ1312" i="3" s="1"/>
  <c r="A1313" i="3"/>
  <c r="U1313" i="3" l="1"/>
  <c r="AI1313" i="3" a="1"/>
  <c r="AI1313" i="3" s="1"/>
  <c r="AR1311" i="3"/>
  <c r="AO1311" i="3"/>
  <c r="AF1312" i="3"/>
  <c r="AN1312" i="3" s="1"/>
  <c r="AQ1312" i="3"/>
  <c r="A1314" i="3"/>
  <c r="AA1313" i="3"/>
  <c r="AC1313" i="3" s="1"/>
  <c r="AJ1313" i="3" s="1"/>
  <c r="W1313" i="3"/>
  <c r="Y1313" i="3" s="1"/>
  <c r="AE1313" i="3" s="1"/>
  <c r="AL1313" i="3" s="1"/>
  <c r="U1314" i="3" l="1"/>
  <c r="AI1314" i="3" a="1"/>
  <c r="AI1314" i="3" s="1"/>
  <c r="AR1312" i="3"/>
  <c r="AO1312" i="3"/>
  <c r="A1315" i="3"/>
  <c r="AA1314" i="3"/>
  <c r="AC1314" i="3" s="1"/>
  <c r="AJ1314" i="3" s="1"/>
  <c r="W1314" i="3"/>
  <c r="Y1314" i="3" s="1"/>
  <c r="AE1314" i="3" s="1"/>
  <c r="AL1314" i="3" s="1"/>
  <c r="AQ1313" i="3"/>
  <c r="AF1313" i="3"/>
  <c r="AN1313" i="3" s="1"/>
  <c r="U1315" i="3" l="1"/>
  <c r="AI1315" i="3" a="1"/>
  <c r="AI1315" i="3" s="1"/>
  <c r="AR1313" i="3"/>
  <c r="AO1313" i="3"/>
  <c r="W1315" i="3"/>
  <c r="Y1315" i="3" s="1"/>
  <c r="AE1315" i="3" s="1"/>
  <c r="AL1315" i="3" s="1"/>
  <c r="A1316" i="3"/>
  <c r="AA1315" i="3"/>
  <c r="AC1315" i="3" s="1"/>
  <c r="AJ1315" i="3" s="1"/>
  <c r="AF1314" i="3"/>
  <c r="AN1314" i="3" s="1"/>
  <c r="AQ1314" i="3"/>
  <c r="U1316" i="3" l="1"/>
  <c r="AI1316" i="3" a="1"/>
  <c r="AI1316" i="3" s="1"/>
  <c r="AR1314" i="3"/>
  <c r="AO1314" i="3"/>
  <c r="AF1315" i="3"/>
  <c r="AN1315" i="3" s="1"/>
  <c r="AQ1315" i="3"/>
  <c r="A1317" i="3"/>
  <c r="AA1316" i="3"/>
  <c r="AC1316" i="3" s="1"/>
  <c r="AJ1316" i="3" s="1"/>
  <c r="W1316" i="3"/>
  <c r="Y1316" i="3" s="1"/>
  <c r="AE1316" i="3" s="1"/>
  <c r="AL1316" i="3" s="1"/>
  <c r="U1317" i="3" l="1"/>
  <c r="AI1317" i="3" a="1"/>
  <c r="AI1317" i="3" s="1"/>
  <c r="AR1315" i="3"/>
  <c r="AO1315" i="3"/>
  <c r="A1318" i="3"/>
  <c r="W1317" i="3"/>
  <c r="Y1317" i="3" s="1"/>
  <c r="AE1317" i="3" s="1"/>
  <c r="AL1317" i="3" s="1"/>
  <c r="AA1317" i="3"/>
  <c r="AC1317" i="3" s="1"/>
  <c r="AJ1317" i="3" s="1"/>
  <c r="AF1316" i="3"/>
  <c r="AN1316" i="3" s="1"/>
  <c r="AQ1316" i="3"/>
  <c r="U1318" i="3" l="1"/>
  <c r="AI1318" i="3" a="1"/>
  <c r="AI1318" i="3" s="1"/>
  <c r="AR1316" i="3"/>
  <c r="AO1316" i="3"/>
  <c r="A1319" i="3"/>
  <c r="AA1318" i="3"/>
  <c r="AC1318" i="3" s="1"/>
  <c r="AJ1318" i="3" s="1"/>
  <c r="W1318" i="3"/>
  <c r="Y1318" i="3" s="1"/>
  <c r="AF1317" i="3"/>
  <c r="AN1317" i="3" s="1"/>
  <c r="AQ1317" i="3"/>
  <c r="AE1318" i="3" l="1"/>
  <c r="U1319" i="3"/>
  <c r="AI1319" i="3" a="1"/>
  <c r="AI1319" i="3" s="1"/>
  <c r="AR1317" i="3"/>
  <c r="AO1317" i="3"/>
  <c r="A1320" i="3"/>
  <c r="AA1319" i="3"/>
  <c r="AC1319" i="3" s="1"/>
  <c r="AJ1319" i="3" s="1"/>
  <c r="W1319" i="3"/>
  <c r="Y1319" i="3" s="1"/>
  <c r="AE1319" i="3" s="1"/>
  <c r="AL1319" i="3" s="1"/>
  <c r="AL1318" i="3" l="1"/>
  <c r="AF1318" i="3"/>
  <c r="AN1318" i="3" s="1"/>
  <c r="U1320" i="3"/>
  <c r="AI1320" i="3" a="1"/>
  <c r="AI1320" i="3" s="1"/>
  <c r="AR1318" i="3"/>
  <c r="A1321" i="3"/>
  <c r="AA1320" i="3"/>
  <c r="AC1320" i="3" s="1"/>
  <c r="AJ1320" i="3" s="1"/>
  <c r="W1320" i="3"/>
  <c r="Y1320" i="3" s="1"/>
  <c r="AE1320" i="3" s="1"/>
  <c r="AL1320" i="3" s="1"/>
  <c r="AF1319" i="3"/>
  <c r="AN1319" i="3" s="1"/>
  <c r="AQ1319" i="3"/>
  <c r="AO1318" i="3" l="1"/>
  <c r="AQ1318" i="3"/>
  <c r="U1321" i="3"/>
  <c r="AI1321" i="3" a="1"/>
  <c r="AI1321" i="3" s="1"/>
  <c r="AR1319" i="3"/>
  <c r="AO1319" i="3"/>
  <c r="AA1321" i="3"/>
  <c r="AC1321" i="3" s="1"/>
  <c r="AJ1321" i="3" s="1"/>
  <c r="A1322" i="3"/>
  <c r="W1321" i="3"/>
  <c r="Y1321" i="3" s="1"/>
  <c r="AE1321" i="3" s="1"/>
  <c r="AL1321" i="3" s="1"/>
  <c r="AF1320" i="3"/>
  <c r="AN1320" i="3" s="1"/>
  <c r="AQ1320" i="3"/>
  <c r="U1322" i="3" l="1"/>
  <c r="AI1322" i="3" a="1"/>
  <c r="AI1322" i="3" s="1"/>
  <c r="AR1320" i="3"/>
  <c r="AO1320" i="3"/>
  <c r="A1323" i="3"/>
  <c r="AA1322" i="3"/>
  <c r="AC1322" i="3" s="1"/>
  <c r="AJ1322" i="3" s="1"/>
  <c r="W1322" i="3"/>
  <c r="Y1322" i="3" s="1"/>
  <c r="AE1322" i="3" s="1"/>
  <c r="AL1322" i="3" s="1"/>
  <c r="AF1321" i="3"/>
  <c r="AN1321" i="3" s="1"/>
  <c r="AQ1321" i="3"/>
  <c r="U1323" i="3" l="1"/>
  <c r="AI1323" i="3" a="1"/>
  <c r="AI1323" i="3" s="1"/>
  <c r="AR1321" i="3"/>
  <c r="AO1321" i="3"/>
  <c r="A1324" i="3"/>
  <c r="AA1323" i="3"/>
  <c r="AC1323" i="3" s="1"/>
  <c r="AJ1323" i="3" s="1"/>
  <c r="W1323" i="3"/>
  <c r="Y1323" i="3" s="1"/>
  <c r="AE1323" i="3" s="1"/>
  <c r="AL1323" i="3" s="1"/>
  <c r="AF1322" i="3"/>
  <c r="AN1322" i="3" s="1"/>
  <c r="AQ1322" i="3"/>
  <c r="U1324" i="3" l="1"/>
  <c r="AI1324" i="3" a="1"/>
  <c r="AI1324" i="3" s="1"/>
  <c r="AR1322" i="3"/>
  <c r="AO1322" i="3"/>
  <c r="A1325" i="3"/>
  <c r="W1324" i="3"/>
  <c r="Y1324" i="3" s="1"/>
  <c r="AE1324" i="3" s="1"/>
  <c r="AA1324" i="3"/>
  <c r="AC1324" i="3" s="1"/>
  <c r="AJ1324" i="3" s="1"/>
  <c r="AF1323" i="3"/>
  <c r="AN1323" i="3" s="1"/>
  <c r="AQ1323" i="3"/>
  <c r="U1325" i="3" l="1"/>
  <c r="AI1325" i="3" a="1"/>
  <c r="AI1325" i="3" s="1"/>
  <c r="AR1323" i="3"/>
  <c r="AO1323" i="3"/>
  <c r="A1326" i="3"/>
  <c r="AA1325" i="3"/>
  <c r="AC1325" i="3" s="1"/>
  <c r="AJ1325" i="3" s="1"/>
  <c r="W1325" i="3"/>
  <c r="Y1325" i="3" s="1"/>
  <c r="AE1325" i="3" s="1"/>
  <c r="AF1324" i="3"/>
  <c r="AN1324" i="3" s="1"/>
  <c r="AQ1324" i="3"/>
  <c r="U1326" i="3" l="1"/>
  <c r="AI1326" i="3" a="1"/>
  <c r="AI1326" i="3" s="1"/>
  <c r="AR1324" i="3"/>
  <c r="AO1324" i="3"/>
  <c r="A1327" i="3"/>
  <c r="AA1326" i="3"/>
  <c r="AC1326" i="3" s="1"/>
  <c r="AJ1326" i="3" s="1"/>
  <c r="W1326" i="3"/>
  <c r="Y1326" i="3" s="1"/>
  <c r="AE1326" i="3" s="1"/>
  <c r="AF1325" i="3"/>
  <c r="AN1325" i="3" s="1"/>
  <c r="AQ1325" i="3"/>
  <c r="U1327" i="3" l="1"/>
  <c r="AI1327" i="3" a="1"/>
  <c r="AI1327" i="3" s="1"/>
  <c r="AR1325" i="3"/>
  <c r="AO1325" i="3"/>
  <c r="A1328" i="3"/>
  <c r="AA1327" i="3"/>
  <c r="AC1327" i="3" s="1"/>
  <c r="AJ1327" i="3" s="1"/>
  <c r="W1327" i="3"/>
  <c r="Y1327" i="3" s="1"/>
  <c r="AE1327" i="3" s="1"/>
  <c r="AF1326" i="3"/>
  <c r="AN1326" i="3" s="1"/>
  <c r="AQ1326" i="3"/>
  <c r="U1328" i="3" l="1"/>
  <c r="AI1328" i="3" a="1"/>
  <c r="AI1328" i="3" s="1"/>
  <c r="AR1326" i="3"/>
  <c r="AO1326" i="3"/>
  <c r="A1329" i="3"/>
  <c r="AA1328" i="3"/>
  <c r="AC1328" i="3" s="1"/>
  <c r="AJ1328" i="3" s="1"/>
  <c r="W1328" i="3"/>
  <c r="Y1328" i="3" s="1"/>
  <c r="AE1328" i="3" s="1"/>
  <c r="AQ1327" i="3"/>
  <c r="AF1327" i="3"/>
  <c r="AN1327" i="3" s="1"/>
  <c r="U1329" i="3" l="1"/>
  <c r="AI1329" i="3" a="1"/>
  <c r="AI1329" i="3" s="1"/>
  <c r="AR1327" i="3"/>
  <c r="AO1327" i="3"/>
  <c r="A1330" i="3"/>
  <c r="AA1329" i="3"/>
  <c r="AC1329" i="3" s="1"/>
  <c r="AJ1329" i="3" s="1"/>
  <c r="W1329" i="3"/>
  <c r="Y1329" i="3" s="1"/>
  <c r="AE1329" i="3" s="1"/>
  <c r="AF1328" i="3"/>
  <c r="AN1328" i="3" s="1"/>
  <c r="AQ1328" i="3"/>
  <c r="U1330" i="3" l="1"/>
  <c r="AI1330" i="3" a="1"/>
  <c r="AI1330" i="3" s="1"/>
  <c r="AR1328" i="3"/>
  <c r="AO1328" i="3"/>
  <c r="A1331" i="3"/>
  <c r="W1330" i="3"/>
  <c r="Y1330" i="3" s="1"/>
  <c r="AE1330" i="3" s="1"/>
  <c r="AA1330" i="3"/>
  <c r="AC1330" i="3" s="1"/>
  <c r="AJ1330" i="3" s="1"/>
  <c r="AF1329" i="3"/>
  <c r="AN1329" i="3" s="1"/>
  <c r="AQ1329" i="3"/>
  <c r="U1331" i="3" l="1"/>
  <c r="AI1331" i="3" a="1"/>
  <c r="AI1331" i="3" s="1"/>
  <c r="AR1329" i="3"/>
  <c r="AO1329" i="3"/>
  <c r="A1332" i="3"/>
  <c r="AA1331" i="3"/>
  <c r="AC1331" i="3" s="1"/>
  <c r="AJ1331" i="3" s="1"/>
  <c r="W1331" i="3"/>
  <c r="Y1331" i="3" s="1"/>
  <c r="AF1330" i="3"/>
  <c r="AN1330" i="3" s="1"/>
  <c r="AQ1330" i="3"/>
  <c r="AE1331" i="3" l="1"/>
  <c r="U1332" i="3"/>
  <c r="AI1332" i="3" a="1"/>
  <c r="AI1332" i="3" s="1"/>
  <c r="AR1330" i="3"/>
  <c r="AO1330" i="3"/>
  <c r="A1333" i="3"/>
  <c r="AA1332" i="3"/>
  <c r="AC1332" i="3" s="1"/>
  <c r="AJ1332" i="3" s="1"/>
  <c r="W1332" i="3"/>
  <c r="Y1332" i="3" s="1"/>
  <c r="AE1332" i="3" s="1"/>
  <c r="AF1331" i="3" l="1"/>
  <c r="AQ1331" i="3"/>
  <c r="U1333" i="3"/>
  <c r="AI1333" i="3" a="1"/>
  <c r="AI1333" i="3" s="1"/>
  <c r="AA1333" i="3"/>
  <c r="AC1333" i="3" s="1"/>
  <c r="AJ1333" i="3" s="1"/>
  <c r="A1334" i="3"/>
  <c r="W1333" i="3"/>
  <c r="Y1333" i="3" s="1"/>
  <c r="AF1332" i="3"/>
  <c r="AN1332" i="3" s="1"/>
  <c r="AQ1332" i="3"/>
  <c r="AN1331" i="3" l="1"/>
  <c r="AE1333" i="3"/>
  <c r="U1334" i="3"/>
  <c r="AI1334" i="3" a="1"/>
  <c r="AI1334" i="3" s="1"/>
  <c r="AR1332" i="3"/>
  <c r="AO1332" i="3"/>
  <c r="A1335" i="3"/>
  <c r="AA1334" i="3"/>
  <c r="AC1334" i="3" s="1"/>
  <c r="AJ1334" i="3" s="1"/>
  <c r="W1334" i="3"/>
  <c r="Y1334" i="3" s="1"/>
  <c r="AE1334" i="3" s="1"/>
  <c r="AO1331" i="3" l="1"/>
  <c r="AR1331" i="3"/>
  <c r="AF1333" i="3"/>
  <c r="AQ1333" i="3"/>
  <c r="U1335" i="3"/>
  <c r="AI1335" i="3" a="1"/>
  <c r="AI1335" i="3" s="1"/>
  <c r="A1336" i="3"/>
  <c r="AA1335" i="3"/>
  <c r="AC1335" i="3" s="1"/>
  <c r="AJ1335" i="3" s="1"/>
  <c r="W1335" i="3"/>
  <c r="Y1335" i="3" s="1"/>
  <c r="AE1335" i="3" s="1"/>
  <c r="AQ1334" i="3"/>
  <c r="AF1334" i="3"/>
  <c r="AN1334" i="3" s="1"/>
  <c r="AN1333" i="3" l="1"/>
  <c r="AO1333" i="3" s="1"/>
  <c r="AR1333" i="3"/>
  <c r="U1336" i="3"/>
  <c r="AI1336" i="3" a="1"/>
  <c r="AI1336" i="3" s="1"/>
  <c r="AR1334" i="3"/>
  <c r="AO1334" i="3"/>
  <c r="W1336" i="3"/>
  <c r="Y1336" i="3" s="1"/>
  <c r="AE1336" i="3" s="1"/>
  <c r="AA1336" i="3"/>
  <c r="AC1336" i="3" s="1"/>
  <c r="AJ1336" i="3" s="1"/>
  <c r="A1337" i="3"/>
  <c r="AF1335" i="3"/>
  <c r="AN1335" i="3" s="1"/>
  <c r="AQ1335" i="3"/>
  <c r="U1337" i="3" l="1"/>
  <c r="AI1337" i="3" a="1"/>
  <c r="AI1337" i="3" s="1"/>
  <c r="AR1335" i="3"/>
  <c r="AO1335" i="3"/>
  <c r="AF1336" i="3"/>
  <c r="AN1336" i="3" s="1"/>
  <c r="AQ1336" i="3"/>
  <c r="A1338" i="3"/>
  <c r="AA1337" i="3"/>
  <c r="AC1337" i="3" s="1"/>
  <c r="AJ1337" i="3" s="1"/>
  <c r="W1337" i="3"/>
  <c r="Y1337" i="3" s="1"/>
  <c r="AE1337" i="3" s="1"/>
  <c r="U1338" i="3" l="1"/>
  <c r="AI1338" i="3" a="1"/>
  <c r="AI1338" i="3" s="1"/>
  <c r="AR1336" i="3"/>
  <c r="AO1336" i="3"/>
  <c r="A1339" i="3"/>
  <c r="AA1338" i="3"/>
  <c r="AC1338" i="3" s="1"/>
  <c r="AJ1338" i="3" s="1"/>
  <c r="W1338" i="3"/>
  <c r="Y1338" i="3" s="1"/>
  <c r="AE1338" i="3" s="1"/>
  <c r="AQ1337" i="3"/>
  <c r="AF1337" i="3"/>
  <c r="AN1337" i="3" s="1"/>
  <c r="U1339" i="3" l="1"/>
  <c r="AI1339" i="3" a="1"/>
  <c r="AI1339" i="3" s="1"/>
  <c r="AR1337" i="3"/>
  <c r="AO1337" i="3"/>
  <c r="A1340" i="3"/>
  <c r="AA1339" i="3"/>
  <c r="AC1339" i="3" s="1"/>
  <c r="AJ1339" i="3" s="1"/>
  <c r="W1339" i="3"/>
  <c r="Y1339" i="3" s="1"/>
  <c r="AE1339" i="3" s="1"/>
  <c r="AF1338" i="3"/>
  <c r="AN1338" i="3" s="1"/>
  <c r="AQ1338" i="3"/>
  <c r="U1340" i="3" l="1"/>
  <c r="AI1340" i="3" a="1"/>
  <c r="AI1340" i="3" s="1"/>
  <c r="AR1338" i="3"/>
  <c r="AO1338" i="3"/>
  <c r="W1340" i="3"/>
  <c r="Y1340" i="3" s="1"/>
  <c r="AE1340" i="3" s="1"/>
  <c r="AA1340" i="3"/>
  <c r="AC1340" i="3" s="1"/>
  <c r="AJ1340" i="3" s="1"/>
  <c r="A1341" i="3"/>
  <c r="AF1339" i="3"/>
  <c r="AN1339" i="3" s="1"/>
  <c r="AQ1339" i="3"/>
  <c r="U1341" i="3" l="1"/>
  <c r="AI1341" i="3" a="1"/>
  <c r="AI1341" i="3" s="1"/>
  <c r="AR1339" i="3"/>
  <c r="AO1339" i="3"/>
  <c r="AF1340" i="3"/>
  <c r="AN1340" i="3" s="1"/>
  <c r="AQ1340" i="3"/>
  <c r="A1342" i="3"/>
  <c r="AA1341" i="3"/>
  <c r="AC1341" i="3" s="1"/>
  <c r="AJ1341" i="3" s="1"/>
  <c r="W1341" i="3"/>
  <c r="Y1341" i="3" s="1"/>
  <c r="AE1341" i="3" s="1"/>
  <c r="U1342" i="3" l="1"/>
  <c r="AI1342" i="3" a="1"/>
  <c r="AI1342" i="3" s="1"/>
  <c r="AR1340" i="3"/>
  <c r="AO1340" i="3"/>
  <c r="W1342" i="3"/>
  <c r="Y1342" i="3" s="1"/>
  <c r="AE1342" i="3" s="1"/>
  <c r="AA1342" i="3"/>
  <c r="AC1342" i="3" s="1"/>
  <c r="AJ1342" i="3" s="1"/>
  <c r="A1343" i="3"/>
  <c r="AF1341" i="3"/>
  <c r="AN1341" i="3" s="1"/>
  <c r="AQ1341" i="3"/>
  <c r="U1343" i="3" l="1"/>
  <c r="AI1343" i="3" a="1"/>
  <c r="AI1343" i="3" s="1"/>
  <c r="AR1341" i="3"/>
  <c r="AO1341" i="3"/>
  <c r="AF1342" i="3"/>
  <c r="AN1342" i="3" s="1"/>
  <c r="AQ1342" i="3"/>
  <c r="W1343" i="3"/>
  <c r="Y1343" i="3" s="1"/>
  <c r="AE1343" i="3" s="1"/>
  <c r="A1344" i="3"/>
  <c r="AA1343" i="3"/>
  <c r="AC1343" i="3" s="1"/>
  <c r="AJ1343" i="3" s="1"/>
  <c r="U1344" i="3" l="1"/>
  <c r="AI1344" i="3" a="1"/>
  <c r="AI1344" i="3" s="1"/>
  <c r="AR1342" i="3"/>
  <c r="AO1342" i="3"/>
  <c r="AF1343" i="3"/>
  <c r="AN1343" i="3" s="1"/>
  <c r="AQ1343" i="3"/>
  <c r="W1344" i="3"/>
  <c r="Y1344" i="3" s="1"/>
  <c r="AE1344" i="3" s="1"/>
  <c r="A1345" i="3"/>
  <c r="AA1344" i="3"/>
  <c r="AC1344" i="3" s="1"/>
  <c r="AJ1344" i="3" s="1"/>
  <c r="U1345" i="3" l="1"/>
  <c r="AI1345" i="3" a="1"/>
  <c r="AI1345" i="3" s="1"/>
  <c r="AR1343" i="3"/>
  <c r="AO1343" i="3"/>
  <c r="AF1344" i="3"/>
  <c r="AN1344" i="3" s="1"/>
  <c r="AQ1344" i="3"/>
  <c r="A1346" i="3"/>
  <c r="AA1345" i="3"/>
  <c r="AC1345" i="3" s="1"/>
  <c r="AJ1345" i="3" s="1"/>
  <c r="W1345" i="3"/>
  <c r="Y1345" i="3" s="1"/>
  <c r="AE1345" i="3" s="1"/>
  <c r="U1346" i="3" l="1"/>
  <c r="AI1346" i="3" a="1"/>
  <c r="AI1346" i="3" s="1"/>
  <c r="AR1344" i="3"/>
  <c r="AO1344" i="3"/>
  <c r="W1346" i="3"/>
  <c r="Y1346" i="3" s="1"/>
  <c r="AE1346" i="3" s="1"/>
  <c r="A1347" i="3"/>
  <c r="AA1346" i="3"/>
  <c r="AC1346" i="3" s="1"/>
  <c r="AJ1346" i="3" s="1"/>
  <c r="AF1345" i="3"/>
  <c r="AN1345" i="3" s="1"/>
  <c r="AQ1345" i="3"/>
  <c r="U1347" i="3" l="1"/>
  <c r="AI1347" i="3" a="1"/>
  <c r="AI1347" i="3" s="1"/>
  <c r="AR1345" i="3"/>
  <c r="AO1345" i="3"/>
  <c r="AF1346" i="3"/>
  <c r="AN1346" i="3" s="1"/>
  <c r="AQ1346" i="3"/>
  <c r="AA1347" i="3"/>
  <c r="AC1347" i="3" s="1"/>
  <c r="AJ1347" i="3" s="1"/>
  <c r="A1348" i="3"/>
  <c r="W1347" i="3"/>
  <c r="Y1347" i="3" s="1"/>
  <c r="AE1347" i="3" l="1"/>
  <c r="U1348" i="3"/>
  <c r="AI1348" i="3" a="1"/>
  <c r="AI1348" i="3" s="1"/>
  <c r="AR1346" i="3"/>
  <c r="AO1346" i="3"/>
  <c r="A1349" i="3"/>
  <c r="W1348" i="3"/>
  <c r="Y1348" i="3" s="1"/>
  <c r="AE1348" i="3" s="1"/>
  <c r="AA1348" i="3"/>
  <c r="AC1348" i="3" s="1"/>
  <c r="AJ1348" i="3" s="1"/>
  <c r="AQ1347" i="3" l="1"/>
  <c r="AF1347" i="3"/>
  <c r="U1349" i="3"/>
  <c r="AI1349" i="3" a="1"/>
  <c r="AI1349" i="3" s="1"/>
  <c r="A1350" i="3"/>
  <c r="AA1349" i="3"/>
  <c r="AC1349" i="3" s="1"/>
  <c r="AJ1349" i="3" s="1"/>
  <c r="W1349" i="3"/>
  <c r="Y1349" i="3" s="1"/>
  <c r="AE1349" i="3" s="1"/>
  <c r="AQ1348" i="3"/>
  <c r="AF1348" i="3"/>
  <c r="AN1348" i="3" s="1"/>
  <c r="AN1347" i="3" l="1"/>
  <c r="U1350" i="3"/>
  <c r="AI1350" i="3" a="1"/>
  <c r="AI1350" i="3" s="1"/>
  <c r="AR1348" i="3"/>
  <c r="AO1348" i="3"/>
  <c r="A1351" i="3"/>
  <c r="W1350" i="3"/>
  <c r="Y1350" i="3" s="1"/>
  <c r="AE1350" i="3" s="1"/>
  <c r="AA1350" i="3"/>
  <c r="AC1350" i="3" s="1"/>
  <c r="AJ1350" i="3" s="1"/>
  <c r="AQ1349" i="3"/>
  <c r="AF1349" i="3"/>
  <c r="AN1349" i="3" s="1"/>
  <c r="AO1347" i="3" l="1"/>
  <c r="AR1347" i="3"/>
  <c r="U1351" i="3"/>
  <c r="AI1351" i="3" a="1"/>
  <c r="AI1351" i="3" s="1"/>
  <c r="AR1349" i="3"/>
  <c r="AO1349" i="3"/>
  <c r="A1352" i="3"/>
  <c r="AA1351" i="3"/>
  <c r="AC1351" i="3" s="1"/>
  <c r="AJ1351" i="3" s="1"/>
  <c r="W1351" i="3"/>
  <c r="Y1351" i="3" s="1"/>
  <c r="AE1351" i="3" s="1"/>
  <c r="AF1350" i="3"/>
  <c r="AN1350" i="3" s="1"/>
  <c r="AQ1350" i="3"/>
  <c r="U1352" i="3" l="1"/>
  <c r="AI1352" i="3" a="1"/>
  <c r="AI1352" i="3" s="1"/>
  <c r="AR1350" i="3"/>
  <c r="AO1350" i="3"/>
  <c r="W1352" i="3"/>
  <c r="Y1352" i="3" s="1"/>
  <c r="AE1352" i="3" s="1"/>
  <c r="A1353" i="3"/>
  <c r="AA1352" i="3"/>
  <c r="AC1352" i="3" s="1"/>
  <c r="AJ1352" i="3" s="1"/>
  <c r="AF1351" i="3"/>
  <c r="AN1351" i="3" s="1"/>
  <c r="AQ1351" i="3"/>
  <c r="U1353" i="3" l="1"/>
  <c r="AI1353" i="3" a="1"/>
  <c r="AI1353" i="3" s="1"/>
  <c r="AR1351" i="3"/>
  <c r="AO1351" i="3"/>
  <c r="AF1352" i="3"/>
  <c r="AN1352" i="3" s="1"/>
  <c r="AQ1352" i="3"/>
  <c r="A1354" i="3"/>
  <c r="W1353" i="3"/>
  <c r="Y1353" i="3" s="1"/>
  <c r="AE1353" i="3" s="1"/>
  <c r="AA1353" i="3"/>
  <c r="AC1353" i="3" s="1"/>
  <c r="AJ1353" i="3" s="1"/>
  <c r="U1354" i="3" l="1"/>
  <c r="AI1354" i="3" a="1"/>
  <c r="AI1354" i="3" s="1"/>
  <c r="AR1352" i="3"/>
  <c r="AO1352" i="3"/>
  <c r="A1355" i="3"/>
  <c r="AA1354" i="3"/>
  <c r="AC1354" i="3" s="1"/>
  <c r="AJ1354" i="3" s="1"/>
  <c r="W1354" i="3"/>
  <c r="Y1354" i="3" s="1"/>
  <c r="AE1354" i="3" s="1"/>
  <c r="AF1353" i="3"/>
  <c r="AN1353" i="3" s="1"/>
  <c r="AQ1353" i="3"/>
  <c r="U1355" i="3" l="1"/>
  <c r="AI1355" i="3" a="1"/>
  <c r="AI1355" i="3" s="1"/>
  <c r="AR1353" i="3"/>
  <c r="AO1353" i="3"/>
  <c r="A1356" i="3"/>
  <c r="W1355" i="3"/>
  <c r="Y1355" i="3" s="1"/>
  <c r="AE1355" i="3" s="1"/>
  <c r="AA1355" i="3"/>
  <c r="AC1355" i="3" s="1"/>
  <c r="AJ1355" i="3" s="1"/>
  <c r="AF1354" i="3"/>
  <c r="AN1354" i="3" s="1"/>
  <c r="AQ1354" i="3"/>
  <c r="U1356" i="3" l="1"/>
  <c r="AI1356" i="3" a="1"/>
  <c r="AI1356" i="3" s="1"/>
  <c r="AR1354" i="3"/>
  <c r="AO1354" i="3"/>
  <c r="W1356" i="3"/>
  <c r="Y1356" i="3" s="1"/>
  <c r="AE1356" i="3" s="1"/>
  <c r="A1357" i="3"/>
  <c r="AA1356" i="3"/>
  <c r="AC1356" i="3" s="1"/>
  <c r="AJ1356" i="3" s="1"/>
  <c r="AQ1355" i="3"/>
  <c r="AF1355" i="3"/>
  <c r="AN1355" i="3" s="1"/>
  <c r="U1357" i="3" l="1"/>
  <c r="AI1357" i="3" a="1"/>
  <c r="AI1357" i="3" s="1"/>
  <c r="AR1355" i="3"/>
  <c r="AO1355" i="3"/>
  <c r="AF1356" i="3"/>
  <c r="AN1356" i="3" s="1"/>
  <c r="AQ1356" i="3"/>
  <c r="AA1357" i="3"/>
  <c r="AC1357" i="3" s="1"/>
  <c r="AJ1357" i="3" s="1"/>
  <c r="W1357" i="3"/>
  <c r="Y1357" i="3" s="1"/>
  <c r="AE1357" i="3" s="1"/>
  <c r="A1358" i="3"/>
  <c r="U1358" i="3" l="1"/>
  <c r="AI1358" i="3" a="1"/>
  <c r="AI1358" i="3" s="1"/>
  <c r="AR1356" i="3"/>
  <c r="AO1356" i="3"/>
  <c r="AF1357" i="3"/>
  <c r="AN1357" i="3" s="1"/>
  <c r="AQ1357" i="3"/>
  <c r="W1358" i="3"/>
  <c r="Y1358" i="3" s="1"/>
  <c r="AE1358" i="3" s="1"/>
  <c r="A1359" i="3"/>
  <c r="AA1358" i="3"/>
  <c r="AC1358" i="3" s="1"/>
  <c r="AJ1358" i="3" s="1"/>
  <c r="U1359" i="3" l="1"/>
  <c r="AI1359" i="3" a="1"/>
  <c r="AI1359" i="3" s="1"/>
  <c r="AR1357" i="3"/>
  <c r="AO1357" i="3"/>
  <c r="AF1358" i="3"/>
  <c r="AN1358" i="3" s="1"/>
  <c r="AQ1358" i="3"/>
  <c r="W1359" i="3"/>
  <c r="Y1359" i="3" s="1"/>
  <c r="AE1359" i="3" s="1"/>
  <c r="A1360" i="3"/>
  <c r="AA1359" i="3"/>
  <c r="AC1359" i="3" s="1"/>
  <c r="AJ1359" i="3" s="1"/>
  <c r="U1360" i="3" l="1"/>
  <c r="AI1360" i="3" a="1"/>
  <c r="AI1360" i="3" s="1"/>
  <c r="AR1358" i="3"/>
  <c r="AO1358" i="3"/>
  <c r="AF1359" i="3"/>
  <c r="AN1359" i="3" s="1"/>
  <c r="AQ1359" i="3"/>
  <c r="A1361" i="3"/>
  <c r="AA1360" i="3"/>
  <c r="AC1360" i="3" s="1"/>
  <c r="AJ1360" i="3" s="1"/>
  <c r="W1360" i="3"/>
  <c r="Y1360" i="3" s="1"/>
  <c r="AE1360" i="3" s="1"/>
  <c r="U1361" i="3" l="1"/>
  <c r="AI1361" i="3" a="1"/>
  <c r="AI1361" i="3" s="1"/>
  <c r="AR1359" i="3"/>
  <c r="AO1359" i="3"/>
  <c r="A1362" i="3"/>
  <c r="W1361" i="3"/>
  <c r="Y1361" i="3" s="1"/>
  <c r="AE1361" i="3" s="1"/>
  <c r="AA1361" i="3"/>
  <c r="AC1361" i="3" s="1"/>
  <c r="AJ1361" i="3" s="1"/>
  <c r="AF1360" i="3"/>
  <c r="AN1360" i="3" s="1"/>
  <c r="AQ1360" i="3"/>
  <c r="U1362" i="3" l="1"/>
  <c r="AI1362" i="3" a="1"/>
  <c r="AI1362" i="3" s="1"/>
  <c r="AR1360" i="3"/>
  <c r="AO1360" i="3"/>
  <c r="A1363" i="3"/>
  <c r="AA1362" i="3"/>
  <c r="AC1362" i="3" s="1"/>
  <c r="AJ1362" i="3" s="1"/>
  <c r="W1362" i="3"/>
  <c r="Y1362" i="3" s="1"/>
  <c r="AE1362" i="3" s="1"/>
  <c r="AF1361" i="3"/>
  <c r="AN1361" i="3" s="1"/>
  <c r="AQ1361" i="3"/>
  <c r="U1363" i="3" l="1"/>
  <c r="AI1363" i="3" a="1"/>
  <c r="AI1363" i="3" s="1"/>
  <c r="AR1361" i="3"/>
  <c r="AO1361" i="3"/>
  <c r="W1363" i="3"/>
  <c r="Y1363" i="3" s="1"/>
  <c r="AE1363" i="3" s="1"/>
  <c r="AA1363" i="3"/>
  <c r="AC1363" i="3" s="1"/>
  <c r="AJ1363" i="3" s="1"/>
  <c r="A1364" i="3"/>
  <c r="AF1362" i="3"/>
  <c r="AN1362" i="3" s="1"/>
  <c r="AQ1362" i="3"/>
  <c r="U1364" i="3" l="1"/>
  <c r="AI1364" i="3" a="1"/>
  <c r="AI1364" i="3" s="1"/>
  <c r="AR1362" i="3"/>
  <c r="AO1362" i="3"/>
  <c r="AF1363" i="3"/>
  <c r="AN1363" i="3" s="1"/>
  <c r="AQ1363" i="3"/>
  <c r="A1365" i="3"/>
  <c r="W1364" i="3"/>
  <c r="Y1364" i="3" s="1"/>
  <c r="AE1364" i="3" s="1"/>
  <c r="AA1364" i="3"/>
  <c r="AC1364" i="3" s="1"/>
  <c r="AJ1364" i="3" s="1"/>
  <c r="U1365" i="3" l="1"/>
  <c r="AI1365" i="3" a="1"/>
  <c r="AI1365" i="3" s="1"/>
  <c r="AR1363" i="3"/>
  <c r="AO1363" i="3"/>
  <c r="A1366" i="3"/>
  <c r="AA1365" i="3"/>
  <c r="AC1365" i="3" s="1"/>
  <c r="AJ1365" i="3" s="1"/>
  <c r="W1365" i="3"/>
  <c r="Y1365" i="3" s="1"/>
  <c r="AE1365" i="3" s="1"/>
  <c r="AF1364" i="3"/>
  <c r="AN1364" i="3" s="1"/>
  <c r="AQ1364" i="3"/>
  <c r="U1366" i="3" l="1"/>
  <c r="AI1366" i="3" a="1"/>
  <c r="AI1366" i="3" s="1"/>
  <c r="AR1364" i="3"/>
  <c r="AO1364" i="3"/>
  <c r="A1367" i="3"/>
  <c r="AA1366" i="3"/>
  <c r="AC1366" i="3" s="1"/>
  <c r="AJ1366" i="3" s="1"/>
  <c r="W1366" i="3"/>
  <c r="Y1366" i="3" s="1"/>
  <c r="AF1365" i="3"/>
  <c r="AN1365" i="3" s="1"/>
  <c r="AQ1365" i="3"/>
  <c r="AE1366" i="3" l="1"/>
  <c r="U1367" i="3"/>
  <c r="AI1367" i="3" a="1"/>
  <c r="AI1367" i="3" s="1"/>
  <c r="AR1365" i="3"/>
  <c r="AO1365" i="3"/>
  <c r="W1367" i="3"/>
  <c r="Y1367" i="3" s="1"/>
  <c r="A1368" i="3"/>
  <c r="AA1367" i="3"/>
  <c r="AC1367" i="3" s="1"/>
  <c r="AJ1367" i="3" s="1"/>
  <c r="AE1367" i="3" l="1"/>
  <c r="AF1366" i="3"/>
  <c r="AQ1366" i="3"/>
  <c r="U1368" i="3"/>
  <c r="AI1368" i="3" a="1"/>
  <c r="AI1368" i="3" s="1"/>
  <c r="A1369" i="3"/>
  <c r="W1368" i="3"/>
  <c r="Y1368" i="3" s="1"/>
  <c r="AE1368" i="3" s="1"/>
  <c r="AA1368" i="3"/>
  <c r="AC1368" i="3" s="1"/>
  <c r="AJ1368" i="3" s="1"/>
  <c r="AN1366" i="3" l="1"/>
  <c r="AO1366" i="3" s="1"/>
  <c r="AR1366" i="3"/>
  <c r="AF1367" i="3"/>
  <c r="AN1367" i="3" s="1"/>
  <c r="AQ1367" i="3"/>
  <c r="U1369" i="3"/>
  <c r="AI1369" i="3" a="1"/>
  <c r="AI1369" i="3" s="1"/>
  <c r="A1370" i="3"/>
  <c r="AA1369" i="3"/>
  <c r="AC1369" i="3" s="1"/>
  <c r="AJ1369" i="3" s="1"/>
  <c r="W1369" i="3"/>
  <c r="Y1369" i="3" s="1"/>
  <c r="AQ1368" i="3"/>
  <c r="AF1368" i="3"/>
  <c r="AN1368" i="3" s="1"/>
  <c r="AR1367" i="3" l="1"/>
  <c r="AO1367" i="3"/>
  <c r="AE1369" i="3"/>
  <c r="U1370" i="3"/>
  <c r="AI1370" i="3" a="1"/>
  <c r="AI1370" i="3" s="1"/>
  <c r="AR1368" i="3"/>
  <c r="AO1368" i="3"/>
  <c r="A1371" i="3"/>
  <c r="AA1370" i="3"/>
  <c r="AC1370" i="3" s="1"/>
  <c r="AJ1370" i="3" s="1"/>
  <c r="W1370" i="3"/>
  <c r="Y1370" i="3" s="1"/>
  <c r="AE1370" i="3" s="1"/>
  <c r="AQ1369" i="3" l="1"/>
  <c r="AF1369" i="3"/>
  <c r="U1371" i="3"/>
  <c r="AI1371" i="3" a="1"/>
  <c r="AI1371" i="3" s="1"/>
  <c r="A1372" i="3"/>
  <c r="AA1371" i="3"/>
  <c r="AC1371" i="3" s="1"/>
  <c r="AJ1371" i="3" s="1"/>
  <c r="W1371" i="3"/>
  <c r="Y1371" i="3" s="1"/>
  <c r="AF1370" i="3"/>
  <c r="AN1370" i="3" s="1"/>
  <c r="AQ1370" i="3"/>
  <c r="AN1369" i="3" l="1"/>
  <c r="AO1369" i="3" s="1"/>
  <c r="AR1369" i="3"/>
  <c r="AE1371" i="3"/>
  <c r="U1372" i="3"/>
  <c r="AI1372" i="3" a="1"/>
  <c r="AI1372" i="3" s="1"/>
  <c r="AR1370" i="3"/>
  <c r="AO1370" i="3"/>
  <c r="AA1372" i="3"/>
  <c r="AC1372" i="3" s="1"/>
  <c r="AJ1372" i="3" s="1"/>
  <c r="A1373" i="3"/>
  <c r="W1372" i="3"/>
  <c r="Y1372" i="3" s="1"/>
  <c r="AE1372" i="3" s="1"/>
  <c r="AF1371" i="3" l="1"/>
  <c r="AQ1371" i="3"/>
  <c r="U1373" i="3"/>
  <c r="AI1373" i="3" a="1"/>
  <c r="AI1373" i="3" s="1"/>
  <c r="A1374" i="3"/>
  <c r="AA1373" i="3"/>
  <c r="AC1373" i="3" s="1"/>
  <c r="AJ1373" i="3" s="1"/>
  <c r="W1373" i="3"/>
  <c r="Y1373" i="3" s="1"/>
  <c r="AE1373" i="3" s="1"/>
  <c r="AF1372" i="3"/>
  <c r="AN1372" i="3" s="1"/>
  <c r="AQ1372" i="3"/>
  <c r="AN1371" i="3" l="1"/>
  <c r="AO1371" i="3" s="1"/>
  <c r="AR1371" i="3"/>
  <c r="U1374" i="3"/>
  <c r="AI1374" i="3" a="1"/>
  <c r="AI1374" i="3" s="1"/>
  <c r="AR1372" i="3"/>
  <c r="AO1372" i="3"/>
  <c r="A1375" i="3"/>
  <c r="AA1374" i="3"/>
  <c r="AC1374" i="3" s="1"/>
  <c r="AJ1374" i="3" s="1"/>
  <c r="W1374" i="3"/>
  <c r="Y1374" i="3" s="1"/>
  <c r="AE1374" i="3" s="1"/>
  <c r="AF1373" i="3"/>
  <c r="AN1373" i="3" s="1"/>
  <c r="AQ1373" i="3"/>
  <c r="U1375" i="3" l="1"/>
  <c r="AI1375" i="3" a="1"/>
  <c r="AI1375" i="3" s="1"/>
  <c r="AR1373" i="3"/>
  <c r="AO1373" i="3"/>
  <c r="A1376" i="3"/>
  <c r="W1375" i="3"/>
  <c r="Y1375" i="3" s="1"/>
  <c r="AE1375" i="3" s="1"/>
  <c r="AA1375" i="3"/>
  <c r="AC1375" i="3" s="1"/>
  <c r="AJ1375" i="3" s="1"/>
  <c r="AF1374" i="3"/>
  <c r="AN1374" i="3" s="1"/>
  <c r="AQ1374" i="3"/>
  <c r="U1376" i="3" l="1"/>
  <c r="AI1376" i="3" a="1"/>
  <c r="AI1376" i="3" s="1"/>
  <c r="AR1374" i="3"/>
  <c r="AO1374" i="3"/>
  <c r="A1377" i="3"/>
  <c r="AA1376" i="3"/>
  <c r="AC1376" i="3" s="1"/>
  <c r="AJ1376" i="3" s="1"/>
  <c r="W1376" i="3"/>
  <c r="Y1376" i="3" s="1"/>
  <c r="AE1376" i="3" s="1"/>
  <c r="AF1375" i="3"/>
  <c r="AN1375" i="3" s="1"/>
  <c r="AQ1375" i="3"/>
  <c r="U1377" i="3" l="1"/>
  <c r="AI1377" i="3" a="1"/>
  <c r="AI1377" i="3" s="1"/>
  <c r="AR1375" i="3"/>
  <c r="AO1375" i="3"/>
  <c r="A1378" i="3"/>
  <c r="AA1377" i="3"/>
  <c r="AC1377" i="3" s="1"/>
  <c r="AJ1377" i="3" s="1"/>
  <c r="W1377" i="3"/>
  <c r="Y1377" i="3" s="1"/>
  <c r="AE1377" i="3" s="1"/>
  <c r="AF1376" i="3"/>
  <c r="AN1376" i="3" s="1"/>
  <c r="AQ1376" i="3"/>
  <c r="U1378" i="3" l="1"/>
  <c r="AI1378" i="3" a="1"/>
  <c r="AI1378" i="3" s="1"/>
  <c r="AR1376" i="3"/>
  <c r="AO1376" i="3"/>
  <c r="A1379" i="3"/>
  <c r="W1378" i="3"/>
  <c r="Y1378" i="3" s="1"/>
  <c r="AE1378" i="3" s="1"/>
  <c r="AA1378" i="3"/>
  <c r="AC1378" i="3" s="1"/>
  <c r="AJ1378" i="3" s="1"/>
  <c r="AF1377" i="3"/>
  <c r="AN1377" i="3" s="1"/>
  <c r="AQ1377" i="3"/>
  <c r="U1379" i="3" l="1"/>
  <c r="AI1379" i="3" a="1"/>
  <c r="AI1379" i="3" s="1"/>
  <c r="AR1377" i="3"/>
  <c r="AO1377" i="3"/>
  <c r="A1380" i="3"/>
  <c r="AA1379" i="3"/>
  <c r="AC1379" i="3" s="1"/>
  <c r="AJ1379" i="3" s="1"/>
  <c r="W1379" i="3"/>
  <c r="Y1379" i="3" s="1"/>
  <c r="AE1379" i="3" s="1"/>
  <c r="AF1378" i="3"/>
  <c r="AN1378" i="3" s="1"/>
  <c r="AQ1378" i="3"/>
  <c r="U1380" i="3" l="1"/>
  <c r="AI1380" i="3" a="1"/>
  <c r="AI1380" i="3" s="1"/>
  <c r="AR1378" i="3"/>
  <c r="AO1378" i="3"/>
  <c r="A1381" i="3"/>
  <c r="AA1380" i="3"/>
  <c r="AC1380" i="3" s="1"/>
  <c r="AJ1380" i="3" s="1"/>
  <c r="W1380" i="3"/>
  <c r="Y1380" i="3" s="1"/>
  <c r="AF1379" i="3"/>
  <c r="AN1379" i="3" s="1"/>
  <c r="AQ1379" i="3"/>
  <c r="AE1380" i="3" l="1"/>
  <c r="U1381" i="3"/>
  <c r="AI1381" i="3" a="1"/>
  <c r="AI1381" i="3" s="1"/>
  <c r="AR1379" i="3"/>
  <c r="AO1379" i="3"/>
  <c r="A1382" i="3"/>
  <c r="AA1381" i="3"/>
  <c r="AC1381" i="3" s="1"/>
  <c r="AJ1381" i="3" s="1"/>
  <c r="W1381" i="3"/>
  <c r="Y1381" i="3" s="1"/>
  <c r="AE1381" i="3" s="1"/>
  <c r="AF1380" i="3" l="1"/>
  <c r="AQ1380" i="3"/>
  <c r="U1382" i="3"/>
  <c r="AI1382" i="3" a="1"/>
  <c r="AI1382" i="3" s="1"/>
  <c r="A1383" i="3"/>
  <c r="W1382" i="3"/>
  <c r="Y1382" i="3" s="1"/>
  <c r="AA1382" i="3"/>
  <c r="AC1382" i="3" s="1"/>
  <c r="AJ1382" i="3" s="1"/>
  <c r="AF1381" i="3"/>
  <c r="AN1381" i="3" s="1"/>
  <c r="AQ1381" i="3"/>
  <c r="AN1380" i="3" l="1"/>
  <c r="AO1380" i="3" s="1"/>
  <c r="AR1380" i="3"/>
  <c r="AE1382" i="3"/>
  <c r="U1383" i="3"/>
  <c r="AI1383" i="3" a="1"/>
  <c r="AI1383" i="3" s="1"/>
  <c r="AR1381" i="3"/>
  <c r="AO1381" i="3"/>
  <c r="A1384" i="3"/>
  <c r="AA1383" i="3"/>
  <c r="AC1383" i="3" s="1"/>
  <c r="AJ1383" i="3" s="1"/>
  <c r="W1383" i="3"/>
  <c r="Y1383" i="3" s="1"/>
  <c r="AE1383" i="3" s="1"/>
  <c r="AQ1382" i="3" l="1"/>
  <c r="AF1382" i="3"/>
  <c r="AN1382" i="3" s="1"/>
  <c r="U1384" i="3"/>
  <c r="AI1384" i="3" a="1"/>
  <c r="AI1384" i="3" s="1"/>
  <c r="AR1382" i="3"/>
  <c r="AO1382" i="3"/>
  <c r="AA1384" i="3"/>
  <c r="AC1384" i="3" s="1"/>
  <c r="AJ1384" i="3" s="1"/>
  <c r="A1385" i="3"/>
  <c r="W1384" i="3"/>
  <c r="Y1384" i="3" s="1"/>
  <c r="AE1384" i="3" s="1"/>
  <c r="AF1383" i="3"/>
  <c r="AN1383" i="3" s="1"/>
  <c r="AQ1383" i="3"/>
  <c r="U1385" i="3" l="1"/>
  <c r="AI1385" i="3" a="1"/>
  <c r="AI1385" i="3" s="1"/>
  <c r="AR1383" i="3"/>
  <c r="AO1383" i="3"/>
  <c r="AA1385" i="3"/>
  <c r="AC1385" i="3" s="1"/>
  <c r="AJ1385" i="3" s="1"/>
  <c r="A1386" i="3"/>
  <c r="W1385" i="3"/>
  <c r="Y1385" i="3" s="1"/>
  <c r="AE1385" i="3" s="1"/>
  <c r="AF1384" i="3"/>
  <c r="AN1384" i="3" s="1"/>
  <c r="AQ1384" i="3"/>
  <c r="U1386" i="3" l="1"/>
  <c r="AI1386" i="3" a="1"/>
  <c r="AI1386" i="3" s="1"/>
  <c r="AR1384" i="3"/>
  <c r="AO1384" i="3"/>
  <c r="AA1386" i="3"/>
  <c r="AC1386" i="3" s="1"/>
  <c r="AJ1386" i="3" s="1"/>
  <c r="A1387" i="3"/>
  <c r="W1386" i="3"/>
  <c r="Y1386" i="3" s="1"/>
  <c r="AE1386" i="3" s="1"/>
  <c r="AF1385" i="3"/>
  <c r="AN1385" i="3" s="1"/>
  <c r="AQ1385" i="3"/>
  <c r="U1387" i="3" l="1"/>
  <c r="AI1387" i="3" a="1"/>
  <c r="AI1387" i="3" s="1"/>
  <c r="AR1385" i="3"/>
  <c r="AO1385" i="3"/>
  <c r="A1388" i="3"/>
  <c r="AA1387" i="3"/>
  <c r="AC1387" i="3" s="1"/>
  <c r="AJ1387" i="3" s="1"/>
  <c r="W1387" i="3"/>
  <c r="Y1387" i="3" s="1"/>
  <c r="AE1387" i="3" s="1"/>
  <c r="AQ1386" i="3"/>
  <c r="AF1386" i="3"/>
  <c r="AN1386" i="3" s="1"/>
  <c r="U1388" i="3" l="1"/>
  <c r="AI1388" i="3" a="1"/>
  <c r="AI1388" i="3" s="1"/>
  <c r="AR1386" i="3"/>
  <c r="AO1386" i="3"/>
  <c r="AA1388" i="3"/>
  <c r="AC1388" i="3" s="1"/>
  <c r="AJ1388" i="3" s="1"/>
  <c r="A1389" i="3"/>
  <c r="W1388" i="3"/>
  <c r="Y1388" i="3" s="1"/>
  <c r="AE1388" i="3" s="1"/>
  <c r="AF1387" i="3"/>
  <c r="AN1387" i="3" s="1"/>
  <c r="AQ1387" i="3"/>
  <c r="U1389" i="3" l="1"/>
  <c r="AI1389" i="3" a="1"/>
  <c r="AI1389" i="3" s="1"/>
  <c r="AR1387" i="3"/>
  <c r="AO1387" i="3"/>
  <c r="AA1389" i="3"/>
  <c r="AC1389" i="3" s="1"/>
  <c r="AJ1389" i="3" s="1"/>
  <c r="W1389" i="3"/>
  <c r="Y1389" i="3" s="1"/>
  <c r="AE1389" i="3" s="1"/>
  <c r="A1390" i="3"/>
  <c r="AF1388" i="3"/>
  <c r="AN1388" i="3" s="1"/>
  <c r="AQ1388" i="3"/>
  <c r="U1390" i="3" l="1"/>
  <c r="AI1390" i="3" a="1"/>
  <c r="AI1390" i="3" s="1"/>
  <c r="AR1388" i="3"/>
  <c r="AO1388" i="3"/>
  <c r="AF1389" i="3"/>
  <c r="AN1389" i="3" s="1"/>
  <c r="AQ1389" i="3"/>
  <c r="W1390" i="3"/>
  <c r="Y1390" i="3" s="1"/>
  <c r="A1391" i="3"/>
  <c r="AA1390" i="3"/>
  <c r="AC1390" i="3" s="1"/>
  <c r="AJ1390" i="3" s="1"/>
  <c r="AE1390" i="3" l="1"/>
  <c r="U1391" i="3"/>
  <c r="AI1391" i="3" a="1"/>
  <c r="AI1391" i="3" s="1"/>
  <c r="AR1389" i="3"/>
  <c r="AO1389" i="3"/>
  <c r="AA1391" i="3"/>
  <c r="AC1391" i="3" s="1"/>
  <c r="AJ1391" i="3" s="1"/>
  <c r="W1391" i="3"/>
  <c r="Y1391" i="3" s="1"/>
  <c r="AE1391" i="3" s="1"/>
  <c r="A1392" i="3"/>
  <c r="AQ1390" i="3" l="1"/>
  <c r="AF1390" i="3"/>
  <c r="AN1390" i="3" s="1"/>
  <c r="U1392" i="3"/>
  <c r="AI1392" i="3" a="1"/>
  <c r="AI1392" i="3" s="1"/>
  <c r="AR1390" i="3"/>
  <c r="AO1390" i="3"/>
  <c r="AF1391" i="3"/>
  <c r="AN1391" i="3" s="1"/>
  <c r="AQ1391" i="3"/>
  <c r="A1393" i="3"/>
  <c r="AA1392" i="3"/>
  <c r="AC1392" i="3" s="1"/>
  <c r="AJ1392" i="3" s="1"/>
  <c r="W1392" i="3"/>
  <c r="Y1392" i="3" s="1"/>
  <c r="AE1392" i="3" l="1"/>
  <c r="U1393" i="3"/>
  <c r="AI1393" i="3" a="1"/>
  <c r="AI1393" i="3" s="1"/>
  <c r="AR1391" i="3"/>
  <c r="AO1391" i="3"/>
  <c r="AA1393" i="3"/>
  <c r="AC1393" i="3" s="1"/>
  <c r="AJ1393" i="3" s="1"/>
  <c r="A1394" i="3"/>
  <c r="W1393" i="3"/>
  <c r="Y1393" i="3" s="1"/>
  <c r="AE1393" i="3" s="1"/>
  <c r="AQ1392" i="3" l="1"/>
  <c r="AF1392" i="3"/>
  <c r="AN1392" i="3" s="1"/>
  <c r="U1394" i="3"/>
  <c r="AI1394" i="3" a="1"/>
  <c r="AI1394" i="3" s="1"/>
  <c r="AR1392" i="3"/>
  <c r="AO1392" i="3"/>
  <c r="A1395" i="3"/>
  <c r="AA1394" i="3"/>
  <c r="AC1394" i="3" s="1"/>
  <c r="AJ1394" i="3" s="1"/>
  <c r="W1394" i="3"/>
  <c r="Y1394" i="3" s="1"/>
  <c r="AE1394" i="3" s="1"/>
  <c r="AF1393" i="3"/>
  <c r="AN1393" i="3" s="1"/>
  <c r="AQ1393" i="3"/>
  <c r="U1395" i="3" l="1"/>
  <c r="AI1395" i="3" a="1"/>
  <c r="AI1395" i="3" s="1"/>
  <c r="AR1393" i="3"/>
  <c r="AO1393" i="3"/>
  <c r="AA1395" i="3"/>
  <c r="AC1395" i="3" s="1"/>
  <c r="AJ1395" i="3" s="1"/>
  <c r="A1396" i="3"/>
  <c r="W1395" i="3"/>
  <c r="Y1395" i="3" s="1"/>
  <c r="AE1395" i="3" s="1"/>
  <c r="AF1394" i="3"/>
  <c r="AN1394" i="3" s="1"/>
  <c r="AQ1394" i="3"/>
  <c r="U1396" i="3" l="1"/>
  <c r="AI1396" i="3" a="1"/>
  <c r="AI1396" i="3" s="1"/>
  <c r="AR1394" i="3"/>
  <c r="AO1394" i="3"/>
  <c r="A1397" i="3"/>
  <c r="W1396" i="3"/>
  <c r="Y1396" i="3" s="1"/>
  <c r="AE1396" i="3" s="1"/>
  <c r="AA1396" i="3"/>
  <c r="AC1396" i="3" s="1"/>
  <c r="AJ1396" i="3" s="1"/>
  <c r="AQ1395" i="3"/>
  <c r="AF1395" i="3"/>
  <c r="AN1395" i="3" s="1"/>
  <c r="U1397" i="3" l="1"/>
  <c r="AI1397" i="3" a="1"/>
  <c r="AI1397" i="3" s="1"/>
  <c r="AR1395" i="3"/>
  <c r="AO1395" i="3"/>
  <c r="A1398" i="3"/>
  <c r="W1397" i="3"/>
  <c r="Y1397" i="3" s="1"/>
  <c r="AE1397" i="3" s="1"/>
  <c r="AA1397" i="3"/>
  <c r="AC1397" i="3" s="1"/>
  <c r="AJ1397" i="3" s="1"/>
  <c r="AF1396" i="3"/>
  <c r="AN1396" i="3" s="1"/>
  <c r="AQ1396" i="3"/>
  <c r="U1398" i="3" l="1"/>
  <c r="AI1398" i="3" a="1"/>
  <c r="AI1398" i="3" s="1"/>
  <c r="AR1396" i="3"/>
  <c r="AO1396" i="3"/>
  <c r="A1399" i="3"/>
  <c r="AA1398" i="3"/>
  <c r="AC1398" i="3" s="1"/>
  <c r="AJ1398" i="3" s="1"/>
  <c r="W1398" i="3"/>
  <c r="Y1398" i="3" s="1"/>
  <c r="AE1398" i="3" s="1"/>
  <c r="AF1397" i="3"/>
  <c r="AN1397" i="3" s="1"/>
  <c r="AQ1397" i="3"/>
  <c r="U1399" i="3" l="1"/>
  <c r="AI1399" i="3" a="1"/>
  <c r="AI1399" i="3" s="1"/>
  <c r="AR1397" i="3"/>
  <c r="AO1397" i="3"/>
  <c r="A1400" i="3"/>
  <c r="AA1399" i="3"/>
  <c r="AC1399" i="3" s="1"/>
  <c r="AJ1399" i="3" s="1"/>
  <c r="W1399" i="3"/>
  <c r="Y1399" i="3" s="1"/>
  <c r="AE1399" i="3" s="1"/>
  <c r="AF1398" i="3"/>
  <c r="AN1398" i="3" s="1"/>
  <c r="AQ1398" i="3"/>
  <c r="U1400" i="3" l="1"/>
  <c r="AI1400" i="3" a="1"/>
  <c r="AI1400" i="3" s="1"/>
  <c r="AR1398" i="3"/>
  <c r="AO1398" i="3"/>
  <c r="W1400" i="3"/>
  <c r="Y1400" i="3" s="1"/>
  <c r="AE1400" i="3" s="1"/>
  <c r="A1401" i="3"/>
  <c r="AA1400" i="3"/>
  <c r="AC1400" i="3" s="1"/>
  <c r="AJ1400" i="3" s="1"/>
  <c r="AF1399" i="3"/>
  <c r="AN1399" i="3" s="1"/>
  <c r="AQ1399" i="3"/>
  <c r="U1401" i="3" l="1"/>
  <c r="AI1401" i="3" a="1"/>
  <c r="AI1401" i="3" s="1"/>
  <c r="AR1399" i="3"/>
  <c r="AO1399" i="3"/>
  <c r="AF1400" i="3"/>
  <c r="AN1400" i="3" s="1"/>
  <c r="AQ1400" i="3"/>
  <c r="A1402" i="3"/>
  <c r="AA1401" i="3"/>
  <c r="AC1401" i="3" s="1"/>
  <c r="AJ1401" i="3" s="1"/>
  <c r="W1401" i="3"/>
  <c r="Y1401" i="3" s="1"/>
  <c r="AE1401" i="3" s="1"/>
  <c r="U1402" i="3" l="1"/>
  <c r="AI1402" i="3" a="1"/>
  <c r="AI1402" i="3" s="1"/>
  <c r="AR1400" i="3"/>
  <c r="AO1400" i="3"/>
  <c r="A1403" i="3"/>
  <c r="AA1402" i="3"/>
  <c r="AC1402" i="3" s="1"/>
  <c r="AJ1402" i="3" s="1"/>
  <c r="W1402" i="3"/>
  <c r="Y1402" i="3" s="1"/>
  <c r="AE1402" i="3" s="1"/>
  <c r="AF1401" i="3"/>
  <c r="AN1401" i="3" s="1"/>
  <c r="AQ1401" i="3"/>
  <c r="U1403" i="3" l="1"/>
  <c r="AI1403" i="3" a="1"/>
  <c r="AI1403" i="3" s="1"/>
  <c r="AR1401" i="3"/>
  <c r="AO1401" i="3"/>
  <c r="A1404" i="3"/>
  <c r="AA1403" i="3"/>
  <c r="AC1403" i="3" s="1"/>
  <c r="AJ1403" i="3" s="1"/>
  <c r="W1403" i="3"/>
  <c r="Y1403" i="3" s="1"/>
  <c r="AE1403" i="3" s="1"/>
  <c r="AQ1402" i="3"/>
  <c r="AF1402" i="3"/>
  <c r="AN1402" i="3" s="1"/>
  <c r="U1404" i="3" l="1"/>
  <c r="AI1404" i="3" a="1"/>
  <c r="AI1404" i="3" s="1"/>
  <c r="AR1402" i="3"/>
  <c r="AO1402" i="3"/>
  <c r="A1405" i="3"/>
  <c r="AA1404" i="3"/>
  <c r="AC1404" i="3" s="1"/>
  <c r="AJ1404" i="3" s="1"/>
  <c r="W1404" i="3"/>
  <c r="Y1404" i="3" s="1"/>
  <c r="AE1404" i="3" s="1"/>
  <c r="AF1403" i="3"/>
  <c r="AN1403" i="3" s="1"/>
  <c r="AQ1403" i="3"/>
  <c r="U1405" i="3" l="1"/>
  <c r="AI1405" i="3" a="1"/>
  <c r="AI1405" i="3" s="1"/>
  <c r="AR1403" i="3"/>
  <c r="AO1403" i="3"/>
  <c r="W1405" i="3"/>
  <c r="Y1405" i="3" s="1"/>
  <c r="AE1405" i="3" s="1"/>
  <c r="A1406" i="3"/>
  <c r="AA1405" i="3"/>
  <c r="AC1405" i="3" s="1"/>
  <c r="AJ1405" i="3" s="1"/>
  <c r="AF1404" i="3"/>
  <c r="AN1404" i="3" s="1"/>
  <c r="AQ1404" i="3"/>
  <c r="U1406" i="3" l="1"/>
  <c r="AI1406" i="3" a="1"/>
  <c r="AI1406" i="3" s="1"/>
  <c r="AR1404" i="3"/>
  <c r="AO1404" i="3"/>
  <c r="AF1405" i="3"/>
  <c r="AN1405" i="3" s="1"/>
  <c r="AQ1405" i="3"/>
  <c r="A1407" i="3"/>
  <c r="AA1406" i="3"/>
  <c r="AC1406" i="3" s="1"/>
  <c r="AJ1406" i="3" s="1"/>
  <c r="W1406" i="3"/>
  <c r="Y1406" i="3" s="1"/>
  <c r="AE1406" i="3" s="1"/>
  <c r="U1407" i="3" l="1"/>
  <c r="AI1407" i="3" a="1"/>
  <c r="AI1407" i="3" s="1"/>
  <c r="AR1405" i="3"/>
  <c r="AO1405" i="3"/>
  <c r="A1408" i="3"/>
  <c r="AA1407" i="3"/>
  <c r="AC1407" i="3" s="1"/>
  <c r="AJ1407" i="3" s="1"/>
  <c r="W1407" i="3"/>
  <c r="Y1407" i="3" s="1"/>
  <c r="AE1407" i="3" s="1"/>
  <c r="AF1406" i="3"/>
  <c r="AN1406" i="3" s="1"/>
  <c r="AQ1406" i="3"/>
  <c r="U1408" i="3" l="1"/>
  <c r="AI1408" i="3" a="1"/>
  <c r="AI1408" i="3" s="1"/>
  <c r="AR1406" i="3"/>
  <c r="AO1406" i="3"/>
  <c r="A1409" i="3"/>
  <c r="AA1408" i="3"/>
  <c r="AC1408" i="3" s="1"/>
  <c r="AJ1408" i="3" s="1"/>
  <c r="W1408" i="3"/>
  <c r="Y1408" i="3" s="1"/>
  <c r="AE1408" i="3" s="1"/>
  <c r="AF1407" i="3"/>
  <c r="AN1407" i="3" s="1"/>
  <c r="AQ1407" i="3"/>
  <c r="U1409" i="3" l="1"/>
  <c r="AI1409" i="3" a="1"/>
  <c r="AI1409" i="3" s="1"/>
  <c r="AR1407" i="3"/>
  <c r="AO1407" i="3"/>
  <c r="A1410" i="3"/>
  <c r="AA1409" i="3"/>
  <c r="AC1409" i="3" s="1"/>
  <c r="AJ1409" i="3" s="1"/>
  <c r="W1409" i="3"/>
  <c r="Y1409" i="3" s="1"/>
  <c r="AE1409" i="3" s="1"/>
  <c r="AF1408" i="3"/>
  <c r="AN1408" i="3" s="1"/>
  <c r="AQ1408" i="3"/>
  <c r="U1410" i="3" l="1"/>
  <c r="AI1410" i="3" a="1"/>
  <c r="AI1410" i="3" s="1"/>
  <c r="AR1408" i="3"/>
  <c r="AO1408" i="3"/>
  <c r="A1411" i="3"/>
  <c r="W1410" i="3"/>
  <c r="Y1410" i="3" s="1"/>
  <c r="AE1410" i="3" s="1"/>
  <c r="AA1410" i="3"/>
  <c r="AC1410" i="3" s="1"/>
  <c r="AJ1410" i="3" s="1"/>
  <c r="AF1409" i="3"/>
  <c r="AN1409" i="3" s="1"/>
  <c r="AQ1409" i="3"/>
  <c r="U1411" i="3" l="1"/>
  <c r="AI1411" i="3" a="1"/>
  <c r="AI1411" i="3" s="1"/>
  <c r="AR1409" i="3"/>
  <c r="AO1409" i="3"/>
  <c r="A1412" i="3"/>
  <c r="AA1411" i="3"/>
  <c r="AC1411" i="3" s="1"/>
  <c r="AJ1411" i="3" s="1"/>
  <c r="W1411" i="3"/>
  <c r="Y1411" i="3" s="1"/>
  <c r="AF1410" i="3"/>
  <c r="AN1410" i="3" s="1"/>
  <c r="AQ1410" i="3"/>
  <c r="AE1411" i="3" l="1"/>
  <c r="U1412" i="3"/>
  <c r="AI1412" i="3" a="1"/>
  <c r="AI1412" i="3" s="1"/>
  <c r="AR1410" i="3"/>
  <c r="AO1410" i="3"/>
  <c r="A1413" i="3"/>
  <c r="AA1412" i="3"/>
  <c r="AC1412" i="3" s="1"/>
  <c r="AJ1412" i="3" s="1"/>
  <c r="W1412" i="3"/>
  <c r="Y1412" i="3" s="1"/>
  <c r="AE1412" i="3" s="1"/>
  <c r="AF1411" i="3" l="1"/>
  <c r="AQ1411" i="3"/>
  <c r="U1413" i="3"/>
  <c r="AI1413" i="3" a="1"/>
  <c r="AI1413" i="3" s="1"/>
  <c r="A1414" i="3"/>
  <c r="W1413" i="3"/>
  <c r="Y1413" i="3" s="1"/>
  <c r="AE1413" i="3" s="1"/>
  <c r="AA1413" i="3"/>
  <c r="AC1413" i="3" s="1"/>
  <c r="AJ1413" i="3" s="1"/>
  <c r="AF1412" i="3"/>
  <c r="AN1412" i="3" s="1"/>
  <c r="AQ1412" i="3"/>
  <c r="AN1411" i="3" l="1"/>
  <c r="AO1411" i="3" s="1"/>
  <c r="AR1411" i="3"/>
  <c r="U1414" i="3"/>
  <c r="AI1414" i="3" a="1"/>
  <c r="AI1414" i="3" s="1"/>
  <c r="AR1412" i="3"/>
  <c r="AO1412" i="3"/>
  <c r="A1415" i="3"/>
  <c r="W1414" i="3"/>
  <c r="Y1414" i="3" s="1"/>
  <c r="AE1414" i="3" s="1"/>
  <c r="AA1414" i="3"/>
  <c r="AC1414" i="3" s="1"/>
  <c r="AJ1414" i="3" s="1"/>
  <c r="AQ1413" i="3"/>
  <c r="AF1413" i="3"/>
  <c r="AN1413" i="3" s="1"/>
  <c r="U1415" i="3" l="1"/>
  <c r="AI1415" i="3" a="1"/>
  <c r="AI1415" i="3" s="1"/>
  <c r="AR1413" i="3"/>
  <c r="AO1413" i="3"/>
  <c r="A1416" i="3"/>
  <c r="AA1415" i="3"/>
  <c r="AC1415" i="3" s="1"/>
  <c r="AJ1415" i="3" s="1"/>
  <c r="W1415" i="3"/>
  <c r="Y1415" i="3" s="1"/>
  <c r="AE1415" i="3" s="1"/>
  <c r="AF1414" i="3"/>
  <c r="AN1414" i="3" s="1"/>
  <c r="AQ1414" i="3"/>
  <c r="U1416" i="3" l="1"/>
  <c r="AI1416" i="3" a="1"/>
  <c r="AI1416" i="3" s="1"/>
  <c r="AR1414" i="3"/>
  <c r="AO1414" i="3"/>
  <c r="A1417" i="3"/>
  <c r="AA1416" i="3"/>
  <c r="AC1416" i="3" s="1"/>
  <c r="AJ1416" i="3" s="1"/>
  <c r="W1416" i="3"/>
  <c r="Y1416" i="3" s="1"/>
  <c r="AE1416" i="3" s="1"/>
  <c r="AF1415" i="3"/>
  <c r="AN1415" i="3" s="1"/>
  <c r="AQ1415" i="3"/>
  <c r="U1417" i="3" l="1"/>
  <c r="AI1417" i="3" a="1"/>
  <c r="AI1417" i="3" s="1"/>
  <c r="AR1415" i="3"/>
  <c r="AO1415" i="3"/>
  <c r="A1418" i="3"/>
  <c r="AA1417" i="3"/>
  <c r="AC1417" i="3" s="1"/>
  <c r="AJ1417" i="3" s="1"/>
  <c r="W1417" i="3"/>
  <c r="Y1417" i="3" s="1"/>
  <c r="AE1417" i="3" s="1"/>
  <c r="AF1416" i="3"/>
  <c r="AN1416" i="3" s="1"/>
  <c r="AQ1416" i="3"/>
  <c r="U1418" i="3" l="1"/>
  <c r="AI1418" i="3" a="1"/>
  <c r="AI1418" i="3" s="1"/>
  <c r="AR1416" i="3"/>
  <c r="AO1416" i="3"/>
  <c r="A1419" i="3"/>
  <c r="W1418" i="3"/>
  <c r="Y1418" i="3" s="1"/>
  <c r="AE1418" i="3" s="1"/>
  <c r="AA1418" i="3"/>
  <c r="AC1418" i="3" s="1"/>
  <c r="AJ1418" i="3" s="1"/>
  <c r="AQ1417" i="3"/>
  <c r="AF1417" i="3"/>
  <c r="AN1417" i="3" s="1"/>
  <c r="U1419" i="3" l="1"/>
  <c r="AI1419" i="3" a="1"/>
  <c r="AI1419" i="3" s="1"/>
  <c r="AR1417" i="3"/>
  <c r="AO1417" i="3"/>
  <c r="AA1419" i="3"/>
  <c r="AC1419" i="3" s="1"/>
  <c r="AJ1419" i="3" s="1"/>
  <c r="A1420" i="3"/>
  <c r="W1419" i="3"/>
  <c r="Y1419" i="3" s="1"/>
  <c r="AF1418" i="3"/>
  <c r="AN1418" i="3" s="1"/>
  <c r="AQ1418" i="3"/>
  <c r="AE1419" i="3" l="1"/>
  <c r="U1420" i="3"/>
  <c r="AI1420" i="3" a="1"/>
  <c r="AI1420" i="3" s="1"/>
  <c r="AR1418" i="3"/>
  <c r="AO1418" i="3"/>
  <c r="A1421" i="3"/>
  <c r="AA1420" i="3"/>
  <c r="AC1420" i="3" s="1"/>
  <c r="AJ1420" i="3" s="1"/>
  <c r="W1420" i="3"/>
  <c r="Y1420" i="3" s="1"/>
  <c r="AE1420" i="3" s="1"/>
  <c r="AF1419" i="3" l="1"/>
  <c r="AN1419" i="3" s="1"/>
  <c r="AQ1419" i="3"/>
  <c r="U1421" i="3"/>
  <c r="AI1421" i="3" a="1"/>
  <c r="AI1421" i="3" s="1"/>
  <c r="AR1419" i="3"/>
  <c r="AO1419" i="3"/>
  <c r="W1421" i="3"/>
  <c r="Y1421" i="3" s="1"/>
  <c r="AE1421" i="3" s="1"/>
  <c r="A1422" i="3"/>
  <c r="AA1421" i="3"/>
  <c r="AC1421" i="3" s="1"/>
  <c r="AJ1421" i="3" s="1"/>
  <c r="AF1420" i="3"/>
  <c r="AN1420" i="3" s="1"/>
  <c r="AQ1420" i="3"/>
  <c r="U1422" i="3" l="1"/>
  <c r="AI1422" i="3" a="1"/>
  <c r="AI1422" i="3" s="1"/>
  <c r="AR1420" i="3"/>
  <c r="AO1420" i="3"/>
  <c r="AF1421" i="3"/>
  <c r="AN1421" i="3" s="1"/>
  <c r="AQ1421" i="3"/>
  <c r="A1423" i="3"/>
  <c r="AA1422" i="3"/>
  <c r="AC1422" i="3" s="1"/>
  <c r="AJ1422" i="3" s="1"/>
  <c r="W1422" i="3"/>
  <c r="Y1422" i="3" s="1"/>
  <c r="AE1422" i="3" s="1"/>
  <c r="U1423" i="3" l="1"/>
  <c r="AI1423" i="3" a="1"/>
  <c r="AI1423" i="3" s="1"/>
  <c r="AR1421" i="3"/>
  <c r="AO1421" i="3"/>
  <c r="AA1423" i="3"/>
  <c r="AC1423" i="3" s="1"/>
  <c r="AJ1423" i="3" s="1"/>
  <c r="W1423" i="3"/>
  <c r="Y1423" i="3" s="1"/>
  <c r="AE1423" i="3" s="1"/>
  <c r="A1424" i="3"/>
  <c r="AF1422" i="3"/>
  <c r="AN1422" i="3" s="1"/>
  <c r="AQ1422" i="3"/>
  <c r="U1424" i="3" l="1"/>
  <c r="AI1424" i="3" a="1"/>
  <c r="AI1424" i="3" s="1"/>
  <c r="AR1422" i="3"/>
  <c r="AO1422" i="3"/>
  <c r="AQ1423" i="3"/>
  <c r="AF1423" i="3"/>
  <c r="AN1423" i="3" s="1"/>
  <c r="A1425" i="3"/>
  <c r="W1424" i="3"/>
  <c r="Y1424" i="3" s="1"/>
  <c r="AA1424" i="3"/>
  <c r="AC1424" i="3" s="1"/>
  <c r="AJ1424" i="3" s="1"/>
  <c r="AE1424" i="3" l="1"/>
  <c r="U1425" i="3"/>
  <c r="AI1425" i="3" a="1"/>
  <c r="AI1425" i="3" s="1"/>
  <c r="AR1423" i="3"/>
  <c r="AO1423" i="3"/>
  <c r="W1425" i="3"/>
  <c r="Y1425" i="3" s="1"/>
  <c r="A1426" i="3"/>
  <c r="AA1425" i="3"/>
  <c r="AC1425" i="3" s="1"/>
  <c r="AJ1425" i="3" s="1"/>
  <c r="AE1425" i="3" l="1"/>
  <c r="AF1424" i="3"/>
  <c r="AQ1424" i="3"/>
  <c r="U1426" i="3"/>
  <c r="AI1426" i="3" a="1"/>
  <c r="AI1426" i="3" s="1"/>
  <c r="AA1426" i="3"/>
  <c r="AC1426" i="3" s="1"/>
  <c r="AJ1426" i="3" s="1"/>
  <c r="A1427" i="3"/>
  <c r="W1426" i="3"/>
  <c r="Y1426" i="3" s="1"/>
  <c r="AE1426" i="3" s="1"/>
  <c r="AF1425" i="3" l="1"/>
  <c r="AQ1425" i="3"/>
  <c r="AN1424" i="3"/>
  <c r="U1427" i="3"/>
  <c r="AI1427" i="3" a="1"/>
  <c r="AI1427" i="3" s="1"/>
  <c r="A1428" i="3"/>
  <c r="AA1427" i="3"/>
  <c r="AC1427" i="3" s="1"/>
  <c r="AJ1427" i="3" s="1"/>
  <c r="W1427" i="3"/>
  <c r="Y1427" i="3" s="1"/>
  <c r="AE1427" i="3" s="1"/>
  <c r="AF1426" i="3"/>
  <c r="AN1426" i="3" s="1"/>
  <c r="AQ1426" i="3"/>
  <c r="AO1424" i="3" l="1"/>
  <c r="AR1424" i="3"/>
  <c r="AN1425" i="3"/>
  <c r="AO1425" i="3" s="1"/>
  <c r="AR1425" i="3"/>
  <c r="U1428" i="3"/>
  <c r="AI1428" i="3" a="1"/>
  <c r="AI1428" i="3" s="1"/>
  <c r="AR1426" i="3"/>
  <c r="AO1426" i="3"/>
  <c r="A1429" i="3"/>
  <c r="AA1428" i="3"/>
  <c r="AC1428" i="3" s="1"/>
  <c r="AJ1428" i="3" s="1"/>
  <c r="W1428" i="3"/>
  <c r="Y1428" i="3" s="1"/>
  <c r="AF1427" i="3"/>
  <c r="AN1427" i="3" s="1"/>
  <c r="AQ1427" i="3"/>
  <c r="AE1428" i="3" l="1"/>
  <c r="U1429" i="3"/>
  <c r="AI1429" i="3" a="1"/>
  <c r="AI1429" i="3" s="1"/>
  <c r="AR1427" i="3"/>
  <c r="AO1427" i="3"/>
  <c r="W1429" i="3"/>
  <c r="Y1429" i="3" s="1"/>
  <c r="AE1429" i="3" s="1"/>
  <c r="A1430" i="3"/>
  <c r="AA1429" i="3"/>
  <c r="AC1429" i="3" s="1"/>
  <c r="AJ1429" i="3" s="1"/>
  <c r="AF1428" i="3" l="1"/>
  <c r="AQ1428" i="3"/>
  <c r="U1430" i="3"/>
  <c r="AI1430" i="3" a="1"/>
  <c r="AI1430" i="3" s="1"/>
  <c r="AF1429" i="3"/>
  <c r="AN1429" i="3" s="1"/>
  <c r="AQ1429" i="3"/>
  <c r="W1430" i="3"/>
  <c r="Y1430" i="3" s="1"/>
  <c r="AE1430" i="3" s="1"/>
  <c r="A1431" i="3"/>
  <c r="AA1430" i="3"/>
  <c r="AC1430" i="3" s="1"/>
  <c r="AJ1430" i="3" s="1"/>
  <c r="AN1428" i="3" l="1"/>
  <c r="U1431" i="3"/>
  <c r="AI1431" i="3" a="1"/>
  <c r="AI1431" i="3" s="1"/>
  <c r="AR1429" i="3"/>
  <c r="AO1429" i="3"/>
  <c r="AF1430" i="3"/>
  <c r="AN1430" i="3" s="1"/>
  <c r="AQ1430" i="3"/>
  <c r="A1432" i="3"/>
  <c r="AA1431" i="3"/>
  <c r="AC1431" i="3" s="1"/>
  <c r="AJ1431" i="3" s="1"/>
  <c r="W1431" i="3"/>
  <c r="Y1431" i="3" s="1"/>
  <c r="AE1431" i="3" s="1"/>
  <c r="AO1428" i="3" l="1"/>
  <c r="AR1428" i="3"/>
  <c r="U1432" i="3"/>
  <c r="AI1432" i="3" a="1"/>
  <c r="AI1432" i="3" s="1"/>
  <c r="AR1430" i="3"/>
  <c r="AO1430" i="3"/>
  <c r="W1432" i="3"/>
  <c r="Y1432" i="3" s="1"/>
  <c r="AE1432" i="3" s="1"/>
  <c r="A1433" i="3"/>
  <c r="AA1432" i="3"/>
  <c r="AC1432" i="3" s="1"/>
  <c r="AJ1432" i="3" s="1"/>
  <c r="AF1431" i="3"/>
  <c r="AN1431" i="3" s="1"/>
  <c r="AQ1431" i="3"/>
  <c r="U1433" i="3" l="1"/>
  <c r="AI1433" i="3" a="1"/>
  <c r="AI1433" i="3" s="1"/>
  <c r="AR1431" i="3"/>
  <c r="AO1431" i="3"/>
  <c r="AQ1432" i="3"/>
  <c r="AF1432" i="3"/>
  <c r="AN1432" i="3" s="1"/>
  <c r="W1433" i="3"/>
  <c r="Y1433" i="3" s="1"/>
  <c r="AE1433" i="3" s="1"/>
  <c r="A1434" i="3"/>
  <c r="AA1433" i="3"/>
  <c r="AC1433" i="3" s="1"/>
  <c r="AJ1433" i="3" s="1"/>
  <c r="U1434" i="3" l="1"/>
  <c r="AI1434" i="3" a="1"/>
  <c r="AI1434" i="3" s="1"/>
  <c r="AR1432" i="3"/>
  <c r="AO1432" i="3"/>
  <c r="AQ1433" i="3"/>
  <c r="AF1433" i="3"/>
  <c r="AN1433" i="3" s="1"/>
  <c r="A1435" i="3"/>
  <c r="AA1434" i="3"/>
  <c r="AC1434" i="3" s="1"/>
  <c r="AJ1434" i="3" s="1"/>
  <c r="W1434" i="3"/>
  <c r="Y1434" i="3" s="1"/>
  <c r="AE1434" i="3" s="1"/>
  <c r="U1435" i="3" l="1"/>
  <c r="AI1435" i="3" a="1"/>
  <c r="AI1435" i="3" s="1"/>
  <c r="AR1433" i="3"/>
  <c r="AO1433" i="3"/>
  <c r="A1436" i="3"/>
  <c r="AA1435" i="3"/>
  <c r="AC1435" i="3" s="1"/>
  <c r="AJ1435" i="3" s="1"/>
  <c r="W1435" i="3"/>
  <c r="Y1435" i="3" s="1"/>
  <c r="AQ1434" i="3"/>
  <c r="AF1434" i="3"/>
  <c r="AN1434" i="3" s="1"/>
  <c r="AE1435" i="3" l="1"/>
  <c r="U1436" i="3"/>
  <c r="AI1436" i="3" a="1"/>
  <c r="AI1436" i="3" s="1"/>
  <c r="AR1434" i="3"/>
  <c r="AO1434" i="3"/>
  <c r="A1437" i="3"/>
  <c r="AA1436" i="3"/>
  <c r="AC1436" i="3" s="1"/>
  <c r="AJ1436" i="3" s="1"/>
  <c r="W1436" i="3"/>
  <c r="Y1436" i="3" s="1"/>
  <c r="AE1436" i="3" l="1"/>
  <c r="AF1435" i="3"/>
  <c r="AN1435" i="3" s="1"/>
  <c r="AR1435" i="3" s="1"/>
  <c r="AQ1435" i="3"/>
  <c r="U1437" i="3"/>
  <c r="AI1437" i="3" a="1"/>
  <c r="AI1437" i="3" s="1"/>
  <c r="AO1435" i="3"/>
  <c r="A1438" i="3"/>
  <c r="AA1437" i="3"/>
  <c r="AC1437" i="3" s="1"/>
  <c r="AJ1437" i="3" s="1"/>
  <c r="W1437" i="3"/>
  <c r="Y1437" i="3" s="1"/>
  <c r="AE1437" i="3" l="1"/>
  <c r="AF1436" i="3"/>
  <c r="AQ1436" i="3"/>
  <c r="U1438" i="3"/>
  <c r="AI1438" i="3" a="1"/>
  <c r="AI1438" i="3" s="1"/>
  <c r="A1439" i="3"/>
  <c r="AA1438" i="3"/>
  <c r="AC1438" i="3" s="1"/>
  <c r="AJ1438" i="3" s="1"/>
  <c r="W1438" i="3"/>
  <c r="Y1438" i="3" s="1"/>
  <c r="AN1436" i="3" l="1"/>
  <c r="AO1436" i="3" s="1"/>
  <c r="AR1436" i="3"/>
  <c r="AE1438" i="3"/>
  <c r="AF1437" i="3"/>
  <c r="AN1437" i="3" s="1"/>
  <c r="AQ1437" i="3"/>
  <c r="U1439" i="3"/>
  <c r="AI1439" i="3" a="1"/>
  <c r="AI1439" i="3" s="1"/>
  <c r="A1440" i="3"/>
  <c r="AA1439" i="3"/>
  <c r="AC1439" i="3" s="1"/>
  <c r="AJ1439" i="3" s="1"/>
  <c r="W1439" i="3"/>
  <c r="Y1439" i="3" s="1"/>
  <c r="AE1439" i="3" s="1"/>
  <c r="AO1437" i="3" l="1"/>
  <c r="AR1437" i="3"/>
  <c r="AF1438" i="3"/>
  <c r="AQ1438" i="3"/>
  <c r="U1440" i="3"/>
  <c r="AI1440" i="3" a="1"/>
  <c r="AI1440" i="3" s="1"/>
  <c r="A1441" i="3"/>
  <c r="AA1440" i="3"/>
  <c r="AC1440" i="3" s="1"/>
  <c r="AJ1440" i="3" s="1"/>
  <c r="W1440" i="3"/>
  <c r="Y1440" i="3" s="1"/>
  <c r="AF1439" i="3"/>
  <c r="AN1439" i="3" s="1"/>
  <c r="AQ1439" i="3"/>
  <c r="AN1438" i="3" l="1"/>
  <c r="AO1438" i="3" s="1"/>
  <c r="AR1438" i="3"/>
  <c r="AE1440" i="3"/>
  <c r="U1441" i="3"/>
  <c r="AI1441" i="3" a="1"/>
  <c r="AI1441" i="3" s="1"/>
  <c r="AR1439" i="3"/>
  <c r="AO1439" i="3"/>
  <c r="AA1441" i="3"/>
  <c r="AC1441" i="3" s="1"/>
  <c r="AJ1441" i="3" s="1"/>
  <c r="W1441" i="3"/>
  <c r="Y1441" i="3" s="1"/>
  <c r="AE1441" i="3" s="1"/>
  <c r="A1442" i="3"/>
  <c r="AF1440" i="3" l="1"/>
  <c r="AN1440" i="3" s="1"/>
  <c r="AQ1440" i="3"/>
  <c r="U1442" i="3"/>
  <c r="AI1442" i="3" a="1"/>
  <c r="AI1442" i="3" s="1"/>
  <c r="AR1440" i="3"/>
  <c r="AO1440" i="3"/>
  <c r="AF1441" i="3"/>
  <c r="AN1441" i="3" s="1"/>
  <c r="AQ1441" i="3"/>
  <c r="A1443" i="3"/>
  <c r="W1442" i="3"/>
  <c r="Y1442" i="3" s="1"/>
  <c r="AA1442" i="3"/>
  <c r="AC1442" i="3" s="1"/>
  <c r="AJ1442" i="3" s="1"/>
  <c r="AE1442" i="3" l="1"/>
  <c r="U1443" i="3"/>
  <c r="AI1443" i="3" a="1"/>
  <c r="AI1443" i="3" s="1"/>
  <c r="AR1441" i="3"/>
  <c r="AO1441" i="3"/>
  <c r="W1443" i="3"/>
  <c r="Y1443" i="3" s="1"/>
  <c r="AE1443" i="3" s="1"/>
  <c r="AA1443" i="3"/>
  <c r="AC1443" i="3" s="1"/>
  <c r="AJ1443" i="3" s="1"/>
  <c r="A1444" i="3"/>
  <c r="AQ1442" i="3" l="1"/>
  <c r="AF1442" i="3"/>
  <c r="U1444" i="3"/>
  <c r="AI1444" i="3" a="1"/>
  <c r="AI1444" i="3" s="1"/>
  <c r="AF1443" i="3"/>
  <c r="AN1443" i="3" s="1"/>
  <c r="AQ1443" i="3"/>
  <c r="W1444" i="3"/>
  <c r="Y1444" i="3" s="1"/>
  <c r="AE1444" i="3" s="1"/>
  <c r="AA1444" i="3"/>
  <c r="AC1444" i="3" s="1"/>
  <c r="AJ1444" i="3" s="1"/>
  <c r="A1445" i="3"/>
  <c r="AN1442" i="3" l="1"/>
  <c r="U1445" i="3"/>
  <c r="AI1445" i="3" a="1"/>
  <c r="AI1445" i="3" s="1"/>
  <c r="AR1443" i="3"/>
  <c r="AO1443" i="3"/>
  <c r="AQ1444" i="3"/>
  <c r="AF1444" i="3"/>
  <c r="AN1444" i="3" s="1"/>
  <c r="A1446" i="3"/>
  <c r="AA1445" i="3"/>
  <c r="AC1445" i="3" s="1"/>
  <c r="AJ1445" i="3" s="1"/>
  <c r="W1445" i="3"/>
  <c r="Y1445" i="3" s="1"/>
  <c r="AE1445" i="3" s="1"/>
  <c r="AO1442" i="3" l="1"/>
  <c r="AR1442" i="3"/>
  <c r="U1446" i="3"/>
  <c r="AI1446" i="3" a="1"/>
  <c r="AI1446" i="3" s="1"/>
  <c r="AR1444" i="3"/>
  <c r="AO1444" i="3"/>
  <c r="A1447" i="3"/>
  <c r="AA1446" i="3"/>
  <c r="AC1446" i="3" s="1"/>
  <c r="AJ1446" i="3" s="1"/>
  <c r="W1446" i="3"/>
  <c r="Y1446" i="3" s="1"/>
  <c r="AE1446" i="3" s="1"/>
  <c r="AF1445" i="3"/>
  <c r="AN1445" i="3" s="1"/>
  <c r="AQ1445" i="3"/>
  <c r="U1447" i="3" l="1"/>
  <c r="AI1447" i="3" a="1"/>
  <c r="AI1447" i="3" s="1"/>
  <c r="AR1445" i="3"/>
  <c r="AO1445" i="3"/>
  <c r="AA1447" i="3"/>
  <c r="AC1447" i="3" s="1"/>
  <c r="AJ1447" i="3" s="1"/>
  <c r="A1448" i="3"/>
  <c r="W1447" i="3"/>
  <c r="Y1447" i="3" s="1"/>
  <c r="AE1447" i="3" s="1"/>
  <c r="AQ1446" i="3"/>
  <c r="AF1446" i="3"/>
  <c r="AN1446" i="3" s="1"/>
  <c r="U1448" i="3" l="1"/>
  <c r="AI1448" i="3" a="1"/>
  <c r="AI1448" i="3" s="1"/>
  <c r="AR1446" i="3"/>
  <c r="AO1446" i="3"/>
  <c r="A1449" i="3"/>
  <c r="AA1448" i="3"/>
  <c r="AC1448" i="3" s="1"/>
  <c r="AJ1448" i="3" s="1"/>
  <c r="W1448" i="3"/>
  <c r="Y1448" i="3" s="1"/>
  <c r="AE1448" i="3" s="1"/>
  <c r="AQ1447" i="3"/>
  <c r="AF1447" i="3"/>
  <c r="AN1447" i="3" s="1"/>
  <c r="U1449" i="3" l="1"/>
  <c r="AI1449" i="3" a="1"/>
  <c r="AI1449" i="3" s="1"/>
  <c r="AR1447" i="3"/>
  <c r="AO1447" i="3"/>
  <c r="W1449" i="3"/>
  <c r="Y1449" i="3" s="1"/>
  <c r="AE1449" i="3" s="1"/>
  <c r="A1450" i="3"/>
  <c r="AA1449" i="3"/>
  <c r="AC1449" i="3" s="1"/>
  <c r="AJ1449" i="3" s="1"/>
  <c r="AQ1448" i="3"/>
  <c r="AF1448" i="3"/>
  <c r="AN1448" i="3" s="1"/>
  <c r="U1450" i="3" l="1"/>
  <c r="AI1450" i="3" a="1"/>
  <c r="AI1450" i="3" s="1"/>
  <c r="AR1448" i="3"/>
  <c r="AO1448" i="3"/>
  <c r="AF1449" i="3"/>
  <c r="AN1449" i="3" s="1"/>
  <c r="AQ1449" i="3"/>
  <c r="W1450" i="3"/>
  <c r="Y1450" i="3" s="1"/>
  <c r="AE1450" i="3" s="1"/>
  <c r="A1451" i="3"/>
  <c r="AA1450" i="3"/>
  <c r="AC1450" i="3" s="1"/>
  <c r="AJ1450" i="3" s="1"/>
  <c r="U1451" i="3" l="1"/>
  <c r="AI1451" i="3" a="1"/>
  <c r="AI1451" i="3" s="1"/>
  <c r="AR1449" i="3"/>
  <c r="AO1449" i="3"/>
  <c r="AF1450" i="3"/>
  <c r="AN1450" i="3" s="1"/>
  <c r="AQ1450" i="3"/>
  <c r="A1452" i="3"/>
  <c r="AA1451" i="3"/>
  <c r="AC1451" i="3" s="1"/>
  <c r="AJ1451" i="3" s="1"/>
  <c r="W1451" i="3"/>
  <c r="Y1451" i="3" s="1"/>
  <c r="AE1451" i="3" s="1"/>
  <c r="U1452" i="3" l="1"/>
  <c r="AI1452" i="3" a="1"/>
  <c r="AI1452" i="3" s="1"/>
  <c r="AR1450" i="3"/>
  <c r="AO1450" i="3"/>
  <c r="W1452" i="3"/>
  <c r="Y1452" i="3" s="1"/>
  <c r="A1453" i="3"/>
  <c r="AA1452" i="3"/>
  <c r="AC1452" i="3" s="1"/>
  <c r="AJ1452" i="3" s="1"/>
  <c r="AF1451" i="3"/>
  <c r="AN1451" i="3" s="1"/>
  <c r="AQ1451" i="3"/>
  <c r="AE1452" i="3" l="1"/>
  <c r="U1453" i="3"/>
  <c r="AI1453" i="3" a="1"/>
  <c r="AI1453" i="3" s="1"/>
  <c r="AR1451" i="3"/>
  <c r="AO1451" i="3"/>
  <c r="A1454" i="3"/>
  <c r="AA1453" i="3"/>
  <c r="AC1453" i="3" s="1"/>
  <c r="AJ1453" i="3" s="1"/>
  <c r="W1453" i="3"/>
  <c r="Y1453" i="3" s="1"/>
  <c r="AE1453" i="3" s="1"/>
  <c r="AF1452" i="3" l="1"/>
  <c r="AN1452" i="3" s="1"/>
  <c r="AQ1452" i="3"/>
  <c r="U1454" i="3"/>
  <c r="AI1454" i="3" a="1"/>
  <c r="AI1454" i="3" s="1"/>
  <c r="AR1452" i="3"/>
  <c r="AO1452" i="3"/>
  <c r="A1455" i="3"/>
  <c r="AA1454" i="3"/>
  <c r="AC1454" i="3" s="1"/>
  <c r="AJ1454" i="3" s="1"/>
  <c r="W1454" i="3"/>
  <c r="Y1454" i="3" s="1"/>
  <c r="AE1454" i="3" s="1"/>
  <c r="AF1453" i="3"/>
  <c r="AN1453" i="3" s="1"/>
  <c r="AQ1453" i="3"/>
  <c r="U1455" i="3" l="1"/>
  <c r="AI1455" i="3" a="1"/>
  <c r="AI1455" i="3" s="1"/>
  <c r="AR1453" i="3"/>
  <c r="AO1453" i="3"/>
  <c r="AA1455" i="3"/>
  <c r="AC1455" i="3" s="1"/>
  <c r="AJ1455" i="3" s="1"/>
  <c r="A1456" i="3"/>
  <c r="W1455" i="3"/>
  <c r="Y1455" i="3" s="1"/>
  <c r="AF1454" i="3"/>
  <c r="AN1454" i="3" s="1"/>
  <c r="AQ1454" i="3"/>
  <c r="AE1455" i="3" l="1"/>
  <c r="U1456" i="3"/>
  <c r="AI1456" i="3" a="1"/>
  <c r="AI1456" i="3" s="1"/>
  <c r="AR1454" i="3"/>
  <c r="AO1454" i="3"/>
  <c r="A1457" i="3"/>
  <c r="AA1456" i="3"/>
  <c r="AC1456" i="3" s="1"/>
  <c r="AJ1456" i="3" s="1"/>
  <c r="W1456" i="3"/>
  <c r="Y1456" i="3" s="1"/>
  <c r="AE1456" i="3" s="1"/>
  <c r="AQ1455" i="3" l="1"/>
  <c r="AF1455" i="3"/>
  <c r="U1457" i="3"/>
  <c r="AI1457" i="3" a="1"/>
  <c r="AI1457" i="3" s="1"/>
  <c r="A1458" i="3"/>
  <c r="W1457" i="3"/>
  <c r="Y1457" i="3" s="1"/>
  <c r="AE1457" i="3" s="1"/>
  <c r="AA1457" i="3"/>
  <c r="AC1457" i="3" s="1"/>
  <c r="AJ1457" i="3" s="1"/>
  <c r="AQ1456" i="3"/>
  <c r="AF1456" i="3"/>
  <c r="AN1456" i="3" s="1"/>
  <c r="AN1455" i="3" l="1"/>
  <c r="AO1455" i="3" s="1"/>
  <c r="AR1455" i="3"/>
  <c r="U1458" i="3"/>
  <c r="AI1458" i="3" a="1"/>
  <c r="AI1458" i="3" s="1"/>
  <c r="AR1456" i="3"/>
  <c r="AO1456" i="3"/>
  <c r="A1459" i="3"/>
  <c r="W1458" i="3"/>
  <c r="Y1458" i="3" s="1"/>
  <c r="AA1458" i="3"/>
  <c r="AC1458" i="3" s="1"/>
  <c r="AJ1458" i="3" s="1"/>
  <c r="AF1457" i="3"/>
  <c r="AN1457" i="3" s="1"/>
  <c r="AQ1457" i="3"/>
  <c r="AE1458" i="3" l="1"/>
  <c r="U1459" i="3"/>
  <c r="AI1459" i="3" a="1"/>
  <c r="AI1459" i="3" s="1"/>
  <c r="AR1457" i="3"/>
  <c r="AO1457" i="3"/>
  <c r="W1459" i="3"/>
  <c r="Y1459" i="3" s="1"/>
  <c r="A1460" i="3"/>
  <c r="AA1459" i="3"/>
  <c r="AC1459" i="3" s="1"/>
  <c r="AJ1459" i="3" s="1"/>
  <c r="AE1459" i="3" l="1"/>
  <c r="AF1458" i="3"/>
  <c r="AQ1458" i="3"/>
  <c r="U1460" i="3"/>
  <c r="AI1460" i="3" a="1"/>
  <c r="AI1460" i="3" s="1"/>
  <c r="AA1460" i="3"/>
  <c r="AC1460" i="3" s="1"/>
  <c r="AJ1460" i="3" s="1"/>
  <c r="W1460" i="3"/>
  <c r="Y1460" i="3" s="1"/>
  <c r="AE1460" i="3" s="1"/>
  <c r="A1461" i="3"/>
  <c r="AF1459" i="3" l="1"/>
  <c r="AN1459" i="3" s="1"/>
  <c r="AO1459" i="3" s="1"/>
  <c r="AQ1459" i="3"/>
  <c r="AN1458" i="3"/>
  <c r="AO1458" i="3" s="1"/>
  <c r="AR1458" i="3"/>
  <c r="U1461" i="3"/>
  <c r="AI1461" i="3" a="1"/>
  <c r="AI1461" i="3" s="1"/>
  <c r="AR1459" i="3"/>
  <c r="AQ1460" i="3"/>
  <c r="AF1460" i="3"/>
  <c r="AN1460" i="3" s="1"/>
  <c r="A1462" i="3"/>
  <c r="AA1461" i="3"/>
  <c r="AC1461" i="3" s="1"/>
  <c r="AJ1461" i="3" s="1"/>
  <c r="W1461" i="3"/>
  <c r="Y1461" i="3" s="1"/>
  <c r="AE1461" i="3" l="1"/>
  <c r="U1462" i="3"/>
  <c r="AI1462" i="3" a="1"/>
  <c r="AI1462" i="3" s="1"/>
  <c r="AR1460" i="3"/>
  <c r="AO1460" i="3"/>
  <c r="W1462" i="3"/>
  <c r="Y1462" i="3" s="1"/>
  <c r="AE1462" i="3" s="1"/>
  <c r="A1463" i="3"/>
  <c r="AA1462" i="3"/>
  <c r="AC1462" i="3" s="1"/>
  <c r="AJ1462" i="3" s="1"/>
  <c r="AF1461" i="3" l="1"/>
  <c r="AQ1461" i="3"/>
  <c r="U1463" i="3"/>
  <c r="AI1463" i="3" a="1"/>
  <c r="AI1463" i="3" s="1"/>
  <c r="AF1462" i="3"/>
  <c r="AN1462" i="3" s="1"/>
  <c r="AQ1462" i="3"/>
  <c r="W1463" i="3"/>
  <c r="Y1463" i="3" s="1"/>
  <c r="AE1463" i="3" s="1"/>
  <c r="A1464" i="3"/>
  <c r="AA1463" i="3"/>
  <c r="AC1463" i="3" s="1"/>
  <c r="AJ1463" i="3" s="1"/>
  <c r="AN1461" i="3" l="1"/>
  <c r="AO1461" i="3" s="1"/>
  <c r="AR1461" i="3"/>
  <c r="U1464" i="3"/>
  <c r="AI1464" i="3" a="1"/>
  <c r="AI1464" i="3" s="1"/>
  <c r="AR1462" i="3"/>
  <c r="AO1462" i="3"/>
  <c r="AQ1463" i="3"/>
  <c r="AF1463" i="3"/>
  <c r="AN1463" i="3" s="1"/>
  <c r="W1464" i="3"/>
  <c r="Y1464" i="3" s="1"/>
  <c r="AE1464" i="3" s="1"/>
  <c r="A1465" i="3"/>
  <c r="AA1464" i="3"/>
  <c r="AC1464" i="3" s="1"/>
  <c r="AJ1464" i="3" s="1"/>
  <c r="U1465" i="3" l="1"/>
  <c r="AI1465" i="3" a="1"/>
  <c r="AI1465" i="3" s="1"/>
  <c r="AR1463" i="3"/>
  <c r="AO1463" i="3"/>
  <c r="AF1464" i="3"/>
  <c r="AN1464" i="3" s="1"/>
  <c r="AQ1464" i="3"/>
  <c r="AA1465" i="3"/>
  <c r="AC1465" i="3" s="1"/>
  <c r="AJ1465" i="3" s="1"/>
  <c r="A1466" i="3"/>
  <c r="W1465" i="3"/>
  <c r="Y1465" i="3" s="1"/>
  <c r="AE1465" i="3" s="1"/>
  <c r="U1466" i="3" l="1"/>
  <c r="AI1466" i="3" a="1"/>
  <c r="AI1466" i="3" s="1"/>
  <c r="AR1464" i="3"/>
  <c r="AO1464" i="3"/>
  <c r="W1466" i="3"/>
  <c r="Y1466" i="3" s="1"/>
  <c r="AE1466" i="3" s="1"/>
  <c r="A1467" i="3"/>
  <c r="AA1466" i="3"/>
  <c r="AC1466" i="3" s="1"/>
  <c r="AJ1466" i="3" s="1"/>
  <c r="AF1465" i="3"/>
  <c r="AN1465" i="3" s="1"/>
  <c r="AQ1465" i="3"/>
  <c r="U1467" i="3" l="1"/>
  <c r="AI1467" i="3" a="1"/>
  <c r="AI1467" i="3" s="1"/>
  <c r="AR1465" i="3"/>
  <c r="AO1465" i="3"/>
  <c r="AQ1466" i="3"/>
  <c r="AF1466" i="3"/>
  <c r="AN1466" i="3" s="1"/>
  <c r="W1467" i="3"/>
  <c r="Y1467" i="3" s="1"/>
  <c r="AE1467" i="3" s="1"/>
  <c r="A1468" i="3"/>
  <c r="AA1467" i="3"/>
  <c r="AC1467" i="3" s="1"/>
  <c r="AJ1467" i="3" s="1"/>
  <c r="U1468" i="3" l="1"/>
  <c r="AI1468" i="3" a="1"/>
  <c r="AI1468" i="3" s="1"/>
  <c r="AR1466" i="3"/>
  <c r="AO1466" i="3"/>
  <c r="AF1467" i="3"/>
  <c r="AN1467" i="3" s="1"/>
  <c r="AQ1467" i="3"/>
  <c r="AA1468" i="3"/>
  <c r="AC1468" i="3" s="1"/>
  <c r="AJ1468" i="3" s="1"/>
  <c r="A1469" i="3"/>
  <c r="W1468" i="3"/>
  <c r="Y1468" i="3" s="1"/>
  <c r="AE1468" i="3" s="1"/>
  <c r="U1469" i="3" l="1"/>
  <c r="AI1469" i="3" a="1"/>
  <c r="AI1469" i="3" s="1"/>
  <c r="AR1467" i="3"/>
  <c r="AO1467" i="3"/>
  <c r="AA1469" i="3"/>
  <c r="AC1469" i="3" s="1"/>
  <c r="AJ1469" i="3" s="1"/>
  <c r="A1470" i="3"/>
  <c r="W1469" i="3"/>
  <c r="Y1469" i="3" s="1"/>
  <c r="AE1469" i="3" s="1"/>
  <c r="AQ1468" i="3"/>
  <c r="AF1468" i="3"/>
  <c r="AN1468" i="3" s="1"/>
  <c r="U1470" i="3" l="1"/>
  <c r="AI1470" i="3" a="1"/>
  <c r="AI1470" i="3" s="1"/>
  <c r="AR1468" i="3"/>
  <c r="AO1468" i="3"/>
  <c r="AA1470" i="3"/>
  <c r="AC1470" i="3" s="1"/>
  <c r="AJ1470" i="3" s="1"/>
  <c r="A1471" i="3"/>
  <c r="W1470" i="3"/>
  <c r="Y1470" i="3" s="1"/>
  <c r="AQ1469" i="3"/>
  <c r="AF1469" i="3"/>
  <c r="AN1469" i="3" s="1"/>
  <c r="AE1470" i="3" l="1"/>
  <c r="U1471" i="3"/>
  <c r="AI1471" i="3" a="1"/>
  <c r="AI1471" i="3" s="1"/>
  <c r="AR1469" i="3"/>
  <c r="AO1469" i="3"/>
  <c r="A1472" i="3"/>
  <c r="AA1471" i="3"/>
  <c r="AC1471" i="3" s="1"/>
  <c r="AJ1471" i="3" s="1"/>
  <c r="W1471" i="3"/>
  <c r="Y1471" i="3" s="1"/>
  <c r="AE1471" i="3" s="1"/>
  <c r="AQ1470" i="3" l="1"/>
  <c r="AF1470" i="3"/>
  <c r="U1472" i="3"/>
  <c r="AI1472" i="3" a="1"/>
  <c r="AI1472" i="3" s="1"/>
  <c r="AA1472" i="3"/>
  <c r="AC1472" i="3" s="1"/>
  <c r="AJ1472" i="3" s="1"/>
  <c r="A1473" i="3"/>
  <c r="W1472" i="3"/>
  <c r="Y1472" i="3" s="1"/>
  <c r="AE1472" i="3" s="1"/>
  <c r="AQ1471" i="3"/>
  <c r="AF1471" i="3"/>
  <c r="AN1471" i="3" s="1"/>
  <c r="AN1470" i="3" l="1"/>
  <c r="U1473" i="3"/>
  <c r="AI1473" i="3" a="1"/>
  <c r="AI1473" i="3" s="1"/>
  <c r="AR1471" i="3"/>
  <c r="AO1471" i="3"/>
  <c r="W1473" i="3"/>
  <c r="Y1473" i="3" s="1"/>
  <c r="AE1473" i="3" s="1"/>
  <c r="AA1473" i="3"/>
  <c r="AC1473" i="3" s="1"/>
  <c r="AJ1473" i="3" s="1"/>
  <c r="A1474" i="3"/>
  <c r="AQ1472" i="3"/>
  <c r="AF1472" i="3"/>
  <c r="AN1472" i="3" s="1"/>
  <c r="AO1470" i="3" l="1"/>
  <c r="AR1470" i="3"/>
  <c r="U1474" i="3"/>
  <c r="AI1474" i="3" a="1"/>
  <c r="AI1474" i="3" s="1"/>
  <c r="AR1472" i="3"/>
  <c r="AO1472" i="3"/>
  <c r="AF1473" i="3"/>
  <c r="AN1473" i="3" s="1"/>
  <c r="AQ1473" i="3"/>
  <c r="A1475" i="3"/>
  <c r="AA1474" i="3"/>
  <c r="AC1474" i="3" s="1"/>
  <c r="AJ1474" i="3" s="1"/>
  <c r="W1474" i="3"/>
  <c r="Y1474" i="3" s="1"/>
  <c r="AE1474" i="3" s="1"/>
  <c r="U1475" i="3" l="1"/>
  <c r="AI1475" i="3" a="1"/>
  <c r="AI1475" i="3" s="1"/>
  <c r="AR1473" i="3"/>
  <c r="AO1473" i="3"/>
  <c r="AA1475" i="3"/>
  <c r="AC1475" i="3" s="1"/>
  <c r="AJ1475" i="3" s="1"/>
  <c r="A1476" i="3"/>
  <c r="W1475" i="3"/>
  <c r="Y1475" i="3" s="1"/>
  <c r="AE1475" i="3" s="1"/>
  <c r="AQ1474" i="3"/>
  <c r="AF1474" i="3"/>
  <c r="AN1474" i="3" s="1"/>
  <c r="U1476" i="3" l="1"/>
  <c r="AI1476" i="3" a="1"/>
  <c r="AI1476" i="3" s="1"/>
  <c r="AR1474" i="3"/>
  <c r="AO1474" i="3"/>
  <c r="AA1476" i="3"/>
  <c r="AC1476" i="3" s="1"/>
  <c r="AJ1476" i="3" s="1"/>
  <c r="W1476" i="3"/>
  <c r="Y1476" i="3" s="1"/>
  <c r="AE1476" i="3" s="1"/>
  <c r="A1477" i="3"/>
  <c r="AF1475" i="3"/>
  <c r="AN1475" i="3" s="1"/>
  <c r="AQ1475" i="3"/>
  <c r="U1477" i="3" l="1"/>
  <c r="AI1477" i="3" a="1"/>
  <c r="AI1477" i="3" s="1"/>
  <c r="AR1475" i="3"/>
  <c r="AO1475" i="3"/>
  <c r="AF1476" i="3"/>
  <c r="AN1476" i="3" s="1"/>
  <c r="AQ1476" i="3"/>
  <c r="A1478" i="3"/>
  <c r="AA1477" i="3"/>
  <c r="AC1477" i="3" s="1"/>
  <c r="AJ1477" i="3" s="1"/>
  <c r="W1477" i="3"/>
  <c r="Y1477" i="3" s="1"/>
  <c r="AE1477" i="3" s="1"/>
  <c r="U1478" i="3" l="1"/>
  <c r="AI1478" i="3" a="1"/>
  <c r="AI1478" i="3" s="1"/>
  <c r="AR1476" i="3"/>
  <c r="AO1476" i="3"/>
  <c r="W1478" i="3"/>
  <c r="Y1478" i="3" s="1"/>
  <c r="AE1478" i="3" s="1"/>
  <c r="AA1478" i="3"/>
  <c r="AC1478" i="3" s="1"/>
  <c r="AJ1478" i="3" s="1"/>
  <c r="A1479" i="3"/>
  <c r="AQ1477" i="3"/>
  <c r="AF1477" i="3"/>
  <c r="AN1477" i="3" s="1"/>
  <c r="U1479" i="3" l="1"/>
  <c r="AI1479" i="3" a="1"/>
  <c r="AI1479" i="3" s="1"/>
  <c r="AR1477" i="3"/>
  <c r="AO1477" i="3"/>
  <c r="AF1478" i="3"/>
  <c r="AN1478" i="3" s="1"/>
  <c r="AQ1478" i="3"/>
  <c r="W1479" i="3"/>
  <c r="Y1479" i="3" s="1"/>
  <c r="AE1479" i="3" s="1"/>
  <c r="A1480" i="3"/>
  <c r="AA1479" i="3"/>
  <c r="AC1479" i="3" s="1"/>
  <c r="AJ1479" i="3" s="1"/>
  <c r="U1480" i="3" l="1"/>
  <c r="AI1480" i="3" a="1"/>
  <c r="AI1480" i="3" s="1"/>
  <c r="AR1478" i="3"/>
  <c r="AO1478" i="3"/>
  <c r="AF1479" i="3"/>
  <c r="AN1479" i="3" s="1"/>
  <c r="AQ1479" i="3"/>
  <c r="AA1480" i="3"/>
  <c r="AC1480" i="3" s="1"/>
  <c r="AJ1480" i="3" s="1"/>
  <c r="W1480" i="3"/>
  <c r="Y1480" i="3" s="1"/>
  <c r="AE1480" i="3" s="1"/>
  <c r="A1481" i="3"/>
  <c r="U1481" i="3" l="1"/>
  <c r="AI1481" i="3" a="1"/>
  <c r="AI1481" i="3" s="1"/>
  <c r="AR1479" i="3"/>
  <c r="AO1479" i="3"/>
  <c r="AF1480" i="3"/>
  <c r="AN1480" i="3" s="1"/>
  <c r="AQ1480" i="3"/>
  <c r="W1481" i="3"/>
  <c r="Y1481" i="3" s="1"/>
  <c r="AE1481" i="3" s="1"/>
  <c r="A1482" i="3"/>
  <c r="AA1481" i="3"/>
  <c r="AC1481" i="3" s="1"/>
  <c r="AJ1481" i="3" s="1"/>
  <c r="U1482" i="3" l="1"/>
  <c r="AI1482" i="3" a="1"/>
  <c r="AI1482" i="3" s="1"/>
  <c r="AR1480" i="3"/>
  <c r="AO1480" i="3"/>
  <c r="AF1481" i="3"/>
  <c r="AN1481" i="3" s="1"/>
  <c r="AQ1481" i="3"/>
  <c r="A1483" i="3"/>
  <c r="W1482" i="3"/>
  <c r="Y1482" i="3" s="1"/>
  <c r="AE1482" i="3" s="1"/>
  <c r="AA1482" i="3"/>
  <c r="AC1482" i="3" s="1"/>
  <c r="AJ1482" i="3" s="1"/>
  <c r="U1483" i="3" l="1"/>
  <c r="AI1483" i="3" a="1"/>
  <c r="AI1483" i="3" s="1"/>
  <c r="AR1481" i="3"/>
  <c r="AO1481" i="3"/>
  <c r="A1484" i="3"/>
  <c r="W1483" i="3"/>
  <c r="Y1483" i="3" s="1"/>
  <c r="AE1483" i="3" s="1"/>
  <c r="AA1483" i="3"/>
  <c r="AC1483" i="3" s="1"/>
  <c r="AJ1483" i="3" s="1"/>
  <c r="AF1482" i="3"/>
  <c r="AN1482" i="3" s="1"/>
  <c r="AQ1482" i="3"/>
  <c r="U1484" i="3" l="1"/>
  <c r="AI1484" i="3" a="1"/>
  <c r="AI1484" i="3" s="1"/>
  <c r="AR1482" i="3"/>
  <c r="AO1482" i="3"/>
  <c r="A1485" i="3"/>
  <c r="AA1484" i="3"/>
  <c r="AC1484" i="3" s="1"/>
  <c r="AJ1484" i="3" s="1"/>
  <c r="W1484" i="3"/>
  <c r="Y1484" i="3" s="1"/>
  <c r="AE1484" i="3" s="1"/>
  <c r="AQ1483" i="3"/>
  <c r="AF1483" i="3"/>
  <c r="AN1483" i="3" s="1"/>
  <c r="U1485" i="3" l="1"/>
  <c r="AI1485" i="3" a="1"/>
  <c r="AI1485" i="3" s="1"/>
  <c r="AR1483" i="3"/>
  <c r="AO1483" i="3"/>
  <c r="A1486" i="3"/>
  <c r="W1485" i="3"/>
  <c r="Y1485" i="3" s="1"/>
  <c r="AE1485" i="3" s="1"/>
  <c r="AA1485" i="3"/>
  <c r="AC1485" i="3" s="1"/>
  <c r="AJ1485" i="3" s="1"/>
  <c r="AQ1484" i="3"/>
  <c r="AF1484" i="3"/>
  <c r="AN1484" i="3" s="1"/>
  <c r="U1486" i="3" l="1"/>
  <c r="AI1486" i="3" a="1"/>
  <c r="AI1486" i="3" s="1"/>
  <c r="AR1484" i="3"/>
  <c r="AO1484" i="3"/>
  <c r="A1487" i="3"/>
  <c r="W1486" i="3"/>
  <c r="Y1486" i="3" s="1"/>
  <c r="AE1486" i="3" s="1"/>
  <c r="AA1486" i="3"/>
  <c r="AC1486" i="3" s="1"/>
  <c r="AJ1486" i="3" s="1"/>
  <c r="AQ1485" i="3"/>
  <c r="AF1485" i="3"/>
  <c r="AN1485" i="3" s="1"/>
  <c r="U1487" i="3" l="1"/>
  <c r="AI1487" i="3" a="1"/>
  <c r="AI1487" i="3" s="1"/>
  <c r="AR1485" i="3"/>
  <c r="AO1485" i="3"/>
  <c r="AA1487" i="3"/>
  <c r="AC1487" i="3" s="1"/>
  <c r="AJ1487" i="3" s="1"/>
  <c r="W1487" i="3"/>
  <c r="Y1487" i="3" s="1"/>
  <c r="AE1487" i="3" s="1"/>
  <c r="A1488" i="3"/>
  <c r="AF1486" i="3"/>
  <c r="AN1486" i="3" s="1"/>
  <c r="AQ1486" i="3"/>
  <c r="U1488" i="3" l="1"/>
  <c r="AI1488" i="3" a="1"/>
  <c r="AI1488" i="3" s="1"/>
  <c r="AR1486" i="3"/>
  <c r="AO1486" i="3"/>
  <c r="AQ1487" i="3"/>
  <c r="AF1487" i="3"/>
  <c r="AN1487" i="3" s="1"/>
  <c r="W1488" i="3"/>
  <c r="Y1488" i="3" s="1"/>
  <c r="AE1488" i="3" s="1"/>
  <c r="A1489" i="3"/>
  <c r="AA1488" i="3"/>
  <c r="AC1488" i="3" s="1"/>
  <c r="AJ1488" i="3" s="1"/>
  <c r="U1489" i="3" l="1"/>
  <c r="AI1489" i="3" a="1"/>
  <c r="AI1489" i="3" s="1"/>
  <c r="AR1487" i="3"/>
  <c r="AO1487" i="3"/>
  <c r="AF1488" i="3"/>
  <c r="AN1488" i="3" s="1"/>
  <c r="AQ1488" i="3"/>
  <c r="A1490" i="3"/>
  <c r="AA1489" i="3"/>
  <c r="AC1489" i="3" s="1"/>
  <c r="AJ1489" i="3" s="1"/>
  <c r="W1489" i="3"/>
  <c r="Y1489" i="3" s="1"/>
  <c r="AE1489" i="3" s="1"/>
  <c r="U1490" i="3" l="1"/>
  <c r="AI1490" i="3" a="1"/>
  <c r="AI1490" i="3" s="1"/>
  <c r="AR1488" i="3"/>
  <c r="AO1488" i="3"/>
  <c r="A1491" i="3"/>
  <c r="W1490" i="3"/>
  <c r="Y1490" i="3" s="1"/>
  <c r="AE1490" i="3" s="1"/>
  <c r="AA1490" i="3"/>
  <c r="AC1490" i="3" s="1"/>
  <c r="AJ1490" i="3" s="1"/>
  <c r="AQ1489" i="3"/>
  <c r="AF1489" i="3"/>
  <c r="AN1489" i="3" s="1"/>
  <c r="U1491" i="3" l="1"/>
  <c r="AI1491" i="3" a="1"/>
  <c r="AI1491" i="3" s="1"/>
  <c r="AR1489" i="3"/>
  <c r="AO1489" i="3"/>
  <c r="W1491" i="3"/>
  <c r="Y1491" i="3" s="1"/>
  <c r="AE1491" i="3" s="1"/>
  <c r="AA1491" i="3"/>
  <c r="AC1491" i="3" s="1"/>
  <c r="AJ1491" i="3" s="1"/>
  <c r="A1492" i="3"/>
  <c r="AF1490" i="3"/>
  <c r="AN1490" i="3" s="1"/>
  <c r="AQ1490" i="3"/>
  <c r="U1492" i="3" l="1"/>
  <c r="AI1492" i="3" a="1"/>
  <c r="AI1492" i="3" s="1"/>
  <c r="AR1490" i="3"/>
  <c r="AO1490" i="3"/>
  <c r="AQ1491" i="3"/>
  <c r="AF1491" i="3"/>
  <c r="AN1491" i="3" s="1"/>
  <c r="A1493" i="3"/>
  <c r="AA1492" i="3"/>
  <c r="AC1492" i="3" s="1"/>
  <c r="AJ1492" i="3" s="1"/>
  <c r="W1492" i="3"/>
  <c r="Y1492" i="3" s="1"/>
  <c r="AE1492" i="3" s="1"/>
  <c r="U1493" i="3" l="1"/>
  <c r="AI1493" i="3" a="1"/>
  <c r="AI1493" i="3" s="1"/>
  <c r="AR1491" i="3"/>
  <c r="AO1491" i="3"/>
  <c r="AA1493" i="3"/>
  <c r="AC1493" i="3" s="1"/>
  <c r="AJ1493" i="3" s="1"/>
  <c r="W1493" i="3"/>
  <c r="Y1493" i="3" s="1"/>
  <c r="A1494" i="3"/>
  <c r="AF1492" i="3"/>
  <c r="AN1492" i="3" s="1"/>
  <c r="AQ1492" i="3"/>
  <c r="AE1493" i="3" l="1"/>
  <c r="U1494" i="3"/>
  <c r="AI1494" i="3" a="1"/>
  <c r="AI1494" i="3" s="1"/>
  <c r="AR1492" i="3"/>
  <c r="AO1492" i="3"/>
  <c r="W1494" i="3"/>
  <c r="Y1494" i="3" s="1"/>
  <c r="AA1494" i="3"/>
  <c r="AC1494" i="3" s="1"/>
  <c r="AJ1494" i="3" s="1"/>
  <c r="A1495" i="3"/>
  <c r="AQ1493" i="3" l="1"/>
  <c r="AF1493" i="3"/>
  <c r="AE1494" i="3"/>
  <c r="U1495" i="3"/>
  <c r="AI1495" i="3" a="1"/>
  <c r="AI1495" i="3" s="1"/>
  <c r="AA1495" i="3"/>
  <c r="AC1495" i="3" s="1"/>
  <c r="AJ1495" i="3" s="1"/>
  <c r="A1496" i="3"/>
  <c r="W1495" i="3"/>
  <c r="Y1495" i="3" s="1"/>
  <c r="AE1495" i="3" s="1"/>
  <c r="AN1493" i="3" l="1"/>
  <c r="AO1493" i="3" s="1"/>
  <c r="AR1493" i="3"/>
  <c r="AQ1494" i="3"/>
  <c r="AF1494" i="3"/>
  <c r="U1496" i="3"/>
  <c r="AI1496" i="3" a="1"/>
  <c r="AI1496" i="3" s="1"/>
  <c r="W1496" i="3"/>
  <c r="Y1496" i="3" s="1"/>
  <c r="A1497" i="3"/>
  <c r="AA1496" i="3"/>
  <c r="AC1496" i="3" s="1"/>
  <c r="AJ1496" i="3" s="1"/>
  <c r="AQ1495" i="3"/>
  <c r="AF1495" i="3"/>
  <c r="AN1495" i="3" s="1"/>
  <c r="AE1496" i="3" l="1"/>
  <c r="AN1494" i="3"/>
  <c r="U1497" i="3"/>
  <c r="AI1497" i="3" a="1"/>
  <c r="AI1497" i="3" s="1"/>
  <c r="AR1495" i="3"/>
  <c r="AO1495" i="3"/>
  <c r="AA1497" i="3"/>
  <c r="AC1497" i="3" s="1"/>
  <c r="AJ1497" i="3" s="1"/>
  <c r="W1497" i="3"/>
  <c r="Y1497" i="3" s="1"/>
  <c r="AE1497" i="3" s="1"/>
  <c r="A1498" i="3"/>
  <c r="AO1494" i="3" l="1"/>
  <c r="AR1494" i="3"/>
  <c r="AQ1496" i="3"/>
  <c r="AF1496" i="3"/>
  <c r="AN1496" i="3" s="1"/>
  <c r="AR1496" i="3" s="1"/>
  <c r="U1498" i="3"/>
  <c r="AI1498" i="3" a="1"/>
  <c r="AI1498" i="3" s="1"/>
  <c r="AO1496" i="3"/>
  <c r="AF1497" i="3"/>
  <c r="AN1497" i="3" s="1"/>
  <c r="AQ1497" i="3"/>
  <c r="AA1498" i="3"/>
  <c r="AC1498" i="3" s="1"/>
  <c r="AJ1498" i="3" s="1"/>
  <c r="W1498" i="3"/>
  <c r="Y1498" i="3" s="1"/>
  <c r="AE1498" i="3" s="1"/>
  <c r="A1499" i="3"/>
  <c r="U1499" i="3" l="1"/>
  <c r="AI1499" i="3" a="1"/>
  <c r="AI1499" i="3" s="1"/>
  <c r="AR1497" i="3"/>
  <c r="AO1497" i="3"/>
  <c r="AF1498" i="3"/>
  <c r="AN1498" i="3" s="1"/>
  <c r="AQ1498" i="3"/>
  <c r="W1499" i="3"/>
  <c r="Y1499" i="3" s="1"/>
  <c r="AA1499" i="3"/>
  <c r="AC1499" i="3" s="1"/>
  <c r="AJ1499" i="3" s="1"/>
  <c r="A1500" i="3"/>
  <c r="AE1499" i="3" l="1"/>
  <c r="U1500" i="3"/>
  <c r="AI1500" i="3" a="1"/>
  <c r="AI1500" i="3" s="1"/>
  <c r="AR1498" i="3"/>
  <c r="AO1498" i="3"/>
  <c r="W1500" i="3"/>
  <c r="Y1500" i="3" s="1"/>
  <c r="AA1500" i="3"/>
  <c r="AC1500" i="3" s="1"/>
  <c r="AJ1500" i="3" s="1"/>
  <c r="A1501" i="3"/>
  <c r="AE1500" i="3" l="1"/>
  <c r="AF1499" i="3"/>
  <c r="AQ1499" i="3"/>
  <c r="U1501" i="3"/>
  <c r="AI1501" i="3" a="1"/>
  <c r="AI1501" i="3" s="1"/>
  <c r="A1502" i="3"/>
  <c r="W1501" i="3"/>
  <c r="Y1501" i="3" s="1"/>
  <c r="AE1501" i="3" s="1"/>
  <c r="AA1501" i="3"/>
  <c r="AC1501" i="3" s="1"/>
  <c r="AJ1501" i="3" s="1"/>
  <c r="AF1500" i="3" l="1"/>
  <c r="AQ1500" i="3"/>
  <c r="AN1499" i="3"/>
  <c r="U1502" i="3"/>
  <c r="AI1502" i="3" a="1"/>
  <c r="AI1502" i="3" s="1"/>
  <c r="W1502" i="3"/>
  <c r="Y1502" i="3" s="1"/>
  <c r="AE1502" i="3" s="1"/>
  <c r="A1503" i="3"/>
  <c r="AA1502" i="3"/>
  <c r="AC1502" i="3" s="1"/>
  <c r="AJ1502" i="3" s="1"/>
  <c r="AQ1501" i="3"/>
  <c r="AF1501" i="3"/>
  <c r="AN1501" i="3" s="1"/>
  <c r="AO1499" i="3" l="1"/>
  <c r="AR1499" i="3"/>
  <c r="AN1500" i="3"/>
  <c r="AO1500" i="3" s="1"/>
  <c r="AR1500" i="3"/>
  <c r="U1503" i="3"/>
  <c r="AI1503" i="3" a="1"/>
  <c r="AI1503" i="3" s="1"/>
  <c r="AR1501" i="3"/>
  <c r="AO1501" i="3"/>
  <c r="AQ1502" i="3"/>
  <c r="AF1502" i="3"/>
  <c r="AN1502" i="3" s="1"/>
  <c r="AA1503" i="3"/>
  <c r="AC1503" i="3" s="1"/>
  <c r="AJ1503" i="3" s="1"/>
  <c r="A1504" i="3"/>
  <c r="W1503" i="3"/>
  <c r="Y1503" i="3" s="1"/>
  <c r="AE1503" i="3" s="1"/>
  <c r="U1504" i="3" l="1"/>
  <c r="AI1504" i="3" a="1"/>
  <c r="AI1504" i="3" s="1"/>
  <c r="AR1502" i="3"/>
  <c r="AO1502" i="3"/>
  <c r="A1505" i="3"/>
  <c r="AA1504" i="3"/>
  <c r="AC1504" i="3" s="1"/>
  <c r="AJ1504" i="3" s="1"/>
  <c r="W1504" i="3"/>
  <c r="Y1504" i="3" s="1"/>
  <c r="AE1504" i="3" s="1"/>
  <c r="AQ1503" i="3"/>
  <c r="AF1503" i="3"/>
  <c r="AN1503" i="3" s="1"/>
  <c r="U1505" i="3" l="1"/>
  <c r="AI1505" i="3" a="1"/>
  <c r="AI1505" i="3" s="1"/>
  <c r="AR1503" i="3"/>
  <c r="AO1503" i="3"/>
  <c r="A1506" i="3"/>
  <c r="AA1505" i="3"/>
  <c r="AC1505" i="3" s="1"/>
  <c r="AJ1505" i="3" s="1"/>
  <c r="W1505" i="3"/>
  <c r="Y1505" i="3" s="1"/>
  <c r="AE1505" i="3" s="1"/>
  <c r="AF1504" i="3"/>
  <c r="AN1504" i="3" s="1"/>
  <c r="AQ1504" i="3"/>
  <c r="U1506" i="3" l="1"/>
  <c r="AI1506" i="3" a="1"/>
  <c r="AI1506" i="3" s="1"/>
  <c r="AR1504" i="3"/>
  <c r="AO1504" i="3"/>
  <c r="W1506" i="3"/>
  <c r="Y1506" i="3" s="1"/>
  <c r="AA1506" i="3"/>
  <c r="AC1506" i="3" s="1"/>
  <c r="AJ1506" i="3" s="1"/>
  <c r="A1507" i="3"/>
  <c r="AF1505" i="3"/>
  <c r="AN1505" i="3" s="1"/>
  <c r="AQ1505" i="3"/>
  <c r="AE1506" i="3" l="1"/>
  <c r="U1507" i="3"/>
  <c r="AI1507" i="3" a="1"/>
  <c r="AI1507" i="3" s="1"/>
  <c r="AR1505" i="3"/>
  <c r="AO1505" i="3"/>
  <c r="AA1507" i="3"/>
  <c r="AC1507" i="3" s="1"/>
  <c r="AJ1507" i="3" s="1"/>
  <c r="A1508" i="3"/>
  <c r="W1507" i="3"/>
  <c r="Y1507" i="3" s="1"/>
  <c r="AE1507" i="3" s="1"/>
  <c r="AQ1506" i="3" l="1"/>
  <c r="AF1506" i="3"/>
  <c r="AN1506" i="3" s="1"/>
  <c r="U1508" i="3"/>
  <c r="AI1508" i="3" a="1"/>
  <c r="AI1508" i="3" s="1"/>
  <c r="A1509" i="3"/>
  <c r="W1508" i="3"/>
  <c r="Y1508" i="3" s="1"/>
  <c r="AE1508" i="3" s="1"/>
  <c r="AA1508" i="3"/>
  <c r="AC1508" i="3" s="1"/>
  <c r="AJ1508" i="3" s="1"/>
  <c r="AQ1507" i="3"/>
  <c r="AF1507" i="3"/>
  <c r="AN1507" i="3" s="1"/>
  <c r="AR1506" i="3" l="1"/>
  <c r="AO1506" i="3"/>
  <c r="U1509" i="3"/>
  <c r="AI1509" i="3" a="1"/>
  <c r="AI1509" i="3" s="1"/>
  <c r="AR1507" i="3"/>
  <c r="AO1507" i="3"/>
  <c r="AA1509" i="3"/>
  <c r="AC1509" i="3" s="1"/>
  <c r="AJ1509" i="3" s="1"/>
  <c r="W1509" i="3"/>
  <c r="Y1509" i="3" s="1"/>
  <c r="AE1509" i="3" s="1"/>
  <c r="A1510" i="3"/>
  <c r="AQ1508" i="3"/>
  <c r="AF1508" i="3"/>
  <c r="AN1508" i="3" s="1"/>
  <c r="U1510" i="3" l="1"/>
  <c r="AI1510" i="3" a="1"/>
  <c r="AI1510" i="3" s="1"/>
  <c r="AR1508" i="3"/>
  <c r="AO1508" i="3"/>
  <c r="AF1509" i="3"/>
  <c r="AN1509" i="3" s="1"/>
  <c r="AQ1509" i="3"/>
  <c r="A1511" i="3"/>
  <c r="AA1510" i="3"/>
  <c r="AC1510" i="3" s="1"/>
  <c r="AJ1510" i="3" s="1"/>
  <c r="W1510" i="3"/>
  <c r="Y1510" i="3" s="1"/>
  <c r="AE1510" i="3" s="1"/>
  <c r="U1511" i="3" l="1"/>
  <c r="AI1511" i="3" a="1"/>
  <c r="AI1511" i="3" s="1"/>
  <c r="AR1509" i="3"/>
  <c r="AO1509" i="3"/>
  <c r="A1512" i="3"/>
  <c r="AA1511" i="3"/>
  <c r="AC1511" i="3" s="1"/>
  <c r="AJ1511" i="3" s="1"/>
  <c r="W1511" i="3"/>
  <c r="Y1511" i="3" s="1"/>
  <c r="AE1511" i="3" s="1"/>
  <c r="AF1510" i="3"/>
  <c r="AN1510" i="3" s="1"/>
  <c r="AQ1510" i="3"/>
  <c r="U1512" i="3" l="1"/>
  <c r="AI1512" i="3" a="1"/>
  <c r="AI1512" i="3" s="1"/>
  <c r="AR1510" i="3"/>
  <c r="AO1510" i="3"/>
  <c r="W1512" i="3"/>
  <c r="Y1512" i="3" s="1"/>
  <c r="AE1512" i="3" s="1"/>
  <c r="AA1512" i="3"/>
  <c r="AC1512" i="3" s="1"/>
  <c r="AJ1512" i="3" s="1"/>
  <c r="A1513" i="3"/>
  <c r="AQ1511" i="3"/>
  <c r="AF1511" i="3"/>
  <c r="AN1511" i="3" s="1"/>
  <c r="U1513" i="3" l="1"/>
  <c r="AI1513" i="3" a="1"/>
  <c r="AI1513" i="3" s="1"/>
  <c r="AR1511" i="3"/>
  <c r="AO1511" i="3"/>
  <c r="AF1512" i="3"/>
  <c r="AN1512" i="3" s="1"/>
  <c r="AQ1512" i="3"/>
  <c r="W1513" i="3"/>
  <c r="Y1513" i="3" s="1"/>
  <c r="AE1513" i="3" s="1"/>
  <c r="AA1513" i="3"/>
  <c r="AC1513" i="3" s="1"/>
  <c r="AJ1513" i="3" s="1"/>
  <c r="A1514" i="3"/>
  <c r="U1514" i="3" l="1"/>
  <c r="AI1514" i="3" a="1"/>
  <c r="AI1514" i="3" s="1"/>
  <c r="AR1512" i="3"/>
  <c r="AO1512" i="3"/>
  <c r="AF1513" i="3"/>
  <c r="AN1513" i="3" s="1"/>
  <c r="AQ1513" i="3"/>
  <c r="AA1514" i="3"/>
  <c r="AC1514" i="3" s="1"/>
  <c r="AJ1514" i="3" s="1"/>
  <c r="A1515" i="3"/>
  <c r="W1514" i="3"/>
  <c r="Y1514" i="3" s="1"/>
  <c r="AE1514" i="3" s="1"/>
  <c r="U1515" i="3" l="1"/>
  <c r="AI1515" i="3" a="1"/>
  <c r="AI1515" i="3" s="1"/>
  <c r="AR1513" i="3"/>
  <c r="AO1513" i="3"/>
  <c r="W1515" i="3"/>
  <c r="Y1515" i="3" s="1"/>
  <c r="AE1515" i="3" s="1"/>
  <c r="A1516" i="3"/>
  <c r="AA1515" i="3"/>
  <c r="AC1515" i="3" s="1"/>
  <c r="AJ1515" i="3" s="1"/>
  <c r="AQ1514" i="3"/>
  <c r="AF1514" i="3"/>
  <c r="AN1514" i="3" s="1"/>
  <c r="U1516" i="3" l="1"/>
  <c r="AI1516" i="3" a="1"/>
  <c r="AI1516" i="3" s="1"/>
  <c r="AR1514" i="3"/>
  <c r="AO1514" i="3"/>
  <c r="AQ1515" i="3"/>
  <c r="AF1515" i="3"/>
  <c r="AN1515" i="3" s="1"/>
  <c r="A1517" i="3"/>
  <c r="W1516" i="3"/>
  <c r="Y1516" i="3" s="1"/>
  <c r="AE1516" i="3" s="1"/>
  <c r="AA1516" i="3"/>
  <c r="AC1516" i="3" s="1"/>
  <c r="AJ1516" i="3" s="1"/>
  <c r="U1517" i="3" l="1"/>
  <c r="AI1517" i="3" a="1"/>
  <c r="AI1517" i="3" s="1"/>
  <c r="AR1515" i="3"/>
  <c r="AO1515" i="3"/>
  <c r="AA1517" i="3"/>
  <c r="AC1517" i="3" s="1"/>
  <c r="AJ1517" i="3" s="1"/>
  <c r="A1518" i="3"/>
  <c r="W1517" i="3"/>
  <c r="Y1517" i="3" s="1"/>
  <c r="AE1517" i="3" s="1"/>
  <c r="AF1516" i="3"/>
  <c r="AN1516" i="3" s="1"/>
  <c r="AQ1516" i="3"/>
  <c r="U1518" i="3" l="1"/>
  <c r="AI1518" i="3" a="1"/>
  <c r="AI1518" i="3" s="1"/>
  <c r="AR1516" i="3"/>
  <c r="AO1516" i="3"/>
  <c r="W1518" i="3"/>
  <c r="Y1518" i="3" s="1"/>
  <c r="AE1518" i="3" s="1"/>
  <c r="AA1518" i="3"/>
  <c r="AC1518" i="3" s="1"/>
  <c r="AJ1518" i="3" s="1"/>
  <c r="A1519" i="3"/>
  <c r="AF1517" i="3"/>
  <c r="AN1517" i="3" s="1"/>
  <c r="AQ1517" i="3"/>
  <c r="U1519" i="3" l="1"/>
  <c r="AI1519" i="3" a="1"/>
  <c r="AI1519" i="3" s="1"/>
  <c r="AR1517" i="3"/>
  <c r="AO1517" i="3"/>
  <c r="AF1518" i="3"/>
  <c r="AN1518" i="3" s="1"/>
  <c r="AQ1518" i="3"/>
  <c r="AA1519" i="3"/>
  <c r="AC1519" i="3" s="1"/>
  <c r="AJ1519" i="3" s="1"/>
  <c r="A1520" i="3"/>
  <c r="W1519" i="3"/>
  <c r="Y1519" i="3" s="1"/>
  <c r="AE1519" i="3" s="1"/>
  <c r="U1520" i="3" l="1"/>
  <c r="AI1520" i="3" a="1"/>
  <c r="AI1520" i="3" s="1"/>
  <c r="AR1518" i="3"/>
  <c r="AO1518" i="3"/>
  <c r="A1521" i="3"/>
  <c r="W1520" i="3"/>
  <c r="Y1520" i="3" s="1"/>
  <c r="AE1520" i="3" s="1"/>
  <c r="AA1520" i="3"/>
  <c r="AC1520" i="3" s="1"/>
  <c r="AJ1520" i="3" s="1"/>
  <c r="AF1519" i="3"/>
  <c r="AN1519" i="3" s="1"/>
  <c r="AQ1519" i="3"/>
  <c r="U1521" i="3" l="1"/>
  <c r="AI1521" i="3" a="1"/>
  <c r="AI1521" i="3" s="1"/>
  <c r="AR1519" i="3"/>
  <c r="AO1519" i="3"/>
  <c r="AA1521" i="3"/>
  <c r="AC1521" i="3" s="1"/>
  <c r="AJ1521" i="3" s="1"/>
  <c r="W1521" i="3"/>
  <c r="Y1521" i="3" s="1"/>
  <c r="AE1521" i="3" s="1"/>
  <c r="A1522" i="3"/>
  <c r="AF1520" i="3"/>
  <c r="AN1520" i="3" s="1"/>
  <c r="AQ1520" i="3"/>
  <c r="U1522" i="3" l="1"/>
  <c r="AI1522" i="3" a="1"/>
  <c r="AI1522" i="3" s="1"/>
  <c r="AR1520" i="3"/>
  <c r="AO1520" i="3"/>
  <c r="AQ1521" i="3"/>
  <c r="AF1521" i="3"/>
  <c r="AN1521" i="3" s="1"/>
  <c r="W1522" i="3"/>
  <c r="Y1522" i="3" s="1"/>
  <c r="AE1522" i="3" s="1"/>
  <c r="A1523" i="3"/>
  <c r="AA1522" i="3"/>
  <c r="AC1522" i="3" s="1"/>
  <c r="AJ1522" i="3" s="1"/>
  <c r="U1523" i="3" l="1"/>
  <c r="AI1523" i="3" a="1"/>
  <c r="AI1523" i="3" s="1"/>
  <c r="AR1521" i="3"/>
  <c r="AO1521" i="3"/>
  <c r="AQ1522" i="3"/>
  <c r="AF1522" i="3"/>
  <c r="AN1522" i="3" s="1"/>
  <c r="A1524" i="3"/>
  <c r="W1523" i="3"/>
  <c r="Y1523" i="3" s="1"/>
  <c r="AE1523" i="3" s="1"/>
  <c r="AA1523" i="3"/>
  <c r="AC1523" i="3" s="1"/>
  <c r="AJ1523" i="3" s="1"/>
  <c r="U1524" i="3" l="1"/>
  <c r="AI1524" i="3" a="1"/>
  <c r="AI1524" i="3" s="1"/>
  <c r="AR1522" i="3"/>
  <c r="AO1522" i="3"/>
  <c r="AA1524" i="3"/>
  <c r="AC1524" i="3" s="1"/>
  <c r="AJ1524" i="3" s="1"/>
  <c r="A1525" i="3"/>
  <c r="W1524" i="3"/>
  <c r="Y1524" i="3" s="1"/>
  <c r="AE1524" i="3" s="1"/>
  <c r="AQ1523" i="3"/>
  <c r="AF1523" i="3"/>
  <c r="AN1523" i="3" s="1"/>
  <c r="U1525" i="3" l="1"/>
  <c r="AI1525" i="3" a="1"/>
  <c r="AI1525" i="3" s="1"/>
  <c r="AR1523" i="3"/>
  <c r="AO1523" i="3"/>
  <c r="W1525" i="3"/>
  <c r="Y1525" i="3" s="1"/>
  <c r="AE1525" i="3" s="1"/>
  <c r="AA1525" i="3"/>
  <c r="AC1525" i="3" s="1"/>
  <c r="AJ1525" i="3" s="1"/>
  <c r="A1526" i="3"/>
  <c r="AF1524" i="3"/>
  <c r="AN1524" i="3" s="1"/>
  <c r="AQ1524" i="3"/>
  <c r="U1526" i="3" l="1"/>
  <c r="AI1526" i="3" a="1"/>
  <c r="AI1526" i="3" s="1"/>
  <c r="AR1524" i="3"/>
  <c r="AO1524" i="3"/>
  <c r="AQ1525" i="3"/>
  <c r="AF1525" i="3"/>
  <c r="AN1525" i="3" s="1"/>
  <c r="AA1526" i="3"/>
  <c r="AC1526" i="3" s="1"/>
  <c r="AJ1526" i="3" s="1"/>
  <c r="W1526" i="3"/>
  <c r="Y1526" i="3" s="1"/>
  <c r="AE1526" i="3" s="1"/>
  <c r="A1527" i="3"/>
  <c r="U1527" i="3" l="1"/>
  <c r="AI1527" i="3" a="1"/>
  <c r="AI1527" i="3" s="1"/>
  <c r="AR1525" i="3"/>
  <c r="AO1525" i="3"/>
  <c r="AF1526" i="3"/>
  <c r="AN1526" i="3" s="1"/>
  <c r="AQ1526" i="3"/>
  <c r="W1527" i="3"/>
  <c r="Y1527" i="3" s="1"/>
  <c r="AE1527" i="3" s="1"/>
  <c r="A1528" i="3"/>
  <c r="AA1527" i="3"/>
  <c r="AC1527" i="3" s="1"/>
  <c r="AJ1527" i="3" s="1"/>
  <c r="U1528" i="3" l="1"/>
  <c r="AI1528" i="3" a="1"/>
  <c r="AI1528" i="3" s="1"/>
  <c r="AR1526" i="3"/>
  <c r="AO1526" i="3"/>
  <c r="AQ1527" i="3"/>
  <c r="AF1527" i="3"/>
  <c r="AN1527" i="3" s="1"/>
  <c r="A1529" i="3"/>
  <c r="W1528" i="3"/>
  <c r="Y1528" i="3" s="1"/>
  <c r="AE1528" i="3" s="1"/>
  <c r="AA1528" i="3"/>
  <c r="AC1528" i="3" s="1"/>
  <c r="AJ1528" i="3" s="1"/>
  <c r="U1529" i="3" l="1"/>
  <c r="AI1529" i="3" a="1"/>
  <c r="AI1529" i="3" s="1"/>
  <c r="AR1527" i="3"/>
  <c r="AO1527" i="3"/>
  <c r="W1529" i="3"/>
  <c r="Y1529" i="3" s="1"/>
  <c r="AE1529" i="3" s="1"/>
  <c r="A1530" i="3"/>
  <c r="AA1529" i="3"/>
  <c r="AC1529" i="3" s="1"/>
  <c r="AJ1529" i="3" s="1"/>
  <c r="AF1528" i="3"/>
  <c r="AN1528" i="3" s="1"/>
  <c r="AQ1528" i="3"/>
  <c r="U1530" i="3" l="1"/>
  <c r="AI1530" i="3" a="1"/>
  <c r="AI1530" i="3" s="1"/>
  <c r="AR1528" i="3"/>
  <c r="AO1528" i="3"/>
  <c r="AF1529" i="3"/>
  <c r="AN1529" i="3" s="1"/>
  <c r="AQ1529" i="3"/>
  <c r="A1531" i="3"/>
  <c r="W1530" i="3"/>
  <c r="Y1530" i="3" s="1"/>
  <c r="AE1530" i="3" s="1"/>
  <c r="AA1530" i="3"/>
  <c r="AC1530" i="3" s="1"/>
  <c r="AJ1530" i="3" s="1"/>
  <c r="U1531" i="3" l="1"/>
  <c r="AI1531" i="3" a="1"/>
  <c r="AI1531" i="3" s="1"/>
  <c r="AR1529" i="3"/>
  <c r="AO1529" i="3"/>
  <c r="AA1531" i="3"/>
  <c r="AC1531" i="3" s="1"/>
  <c r="AJ1531" i="3" s="1"/>
  <c r="A1532" i="3"/>
  <c r="W1531" i="3"/>
  <c r="Y1531" i="3" s="1"/>
  <c r="AE1531" i="3" s="1"/>
  <c r="AF1530" i="3"/>
  <c r="AN1530" i="3" s="1"/>
  <c r="AQ1530" i="3"/>
  <c r="U1532" i="3" l="1"/>
  <c r="AI1532" i="3" a="1"/>
  <c r="AI1532" i="3" s="1"/>
  <c r="AR1530" i="3"/>
  <c r="AO1530" i="3"/>
  <c r="A1533" i="3"/>
  <c r="W1532" i="3"/>
  <c r="Y1532" i="3" s="1"/>
  <c r="AA1532" i="3"/>
  <c r="AC1532" i="3" s="1"/>
  <c r="AJ1532" i="3" s="1"/>
  <c r="AF1531" i="3"/>
  <c r="AN1531" i="3" s="1"/>
  <c r="AQ1531" i="3"/>
  <c r="AE1532" i="3" l="1"/>
  <c r="U1533" i="3"/>
  <c r="AI1533" i="3" a="1"/>
  <c r="AI1533" i="3" s="1"/>
  <c r="AR1531" i="3"/>
  <c r="AO1531" i="3"/>
  <c r="AA1533" i="3"/>
  <c r="AC1533" i="3" s="1"/>
  <c r="AJ1533" i="3" s="1"/>
  <c r="W1533" i="3"/>
  <c r="Y1533" i="3" s="1"/>
  <c r="AE1533" i="3" s="1"/>
  <c r="A1534" i="3"/>
  <c r="AF1532" i="3" l="1"/>
  <c r="AN1532" i="3" s="1"/>
  <c r="AQ1532" i="3"/>
  <c r="U1534" i="3"/>
  <c r="AI1534" i="3" a="1"/>
  <c r="AI1534" i="3" s="1"/>
  <c r="AR1532" i="3"/>
  <c r="AO1532" i="3"/>
  <c r="AQ1533" i="3"/>
  <c r="AF1533" i="3"/>
  <c r="AN1533" i="3" s="1"/>
  <c r="A1535" i="3"/>
  <c r="AA1534" i="3"/>
  <c r="AC1534" i="3" s="1"/>
  <c r="AJ1534" i="3" s="1"/>
  <c r="W1534" i="3"/>
  <c r="Y1534" i="3" s="1"/>
  <c r="AE1534" i="3" s="1"/>
  <c r="U1535" i="3" l="1"/>
  <c r="AI1535" i="3" a="1"/>
  <c r="AI1535" i="3" s="1"/>
  <c r="AR1533" i="3"/>
  <c r="AO1533" i="3"/>
  <c r="W1535" i="3"/>
  <c r="Y1535" i="3" s="1"/>
  <c r="AE1535" i="3" s="1"/>
  <c r="AA1535" i="3"/>
  <c r="AC1535" i="3" s="1"/>
  <c r="AJ1535" i="3" s="1"/>
  <c r="A1536" i="3"/>
  <c r="AQ1534" i="3"/>
  <c r="AF1534" i="3"/>
  <c r="AN1534" i="3" s="1"/>
  <c r="U1536" i="3" l="1"/>
  <c r="AI1536" i="3" a="1"/>
  <c r="AI1536" i="3" s="1"/>
  <c r="AR1534" i="3"/>
  <c r="AO1534" i="3"/>
  <c r="AF1535" i="3"/>
  <c r="AN1535" i="3" s="1"/>
  <c r="AQ1535" i="3"/>
  <c r="W1536" i="3"/>
  <c r="Y1536" i="3" s="1"/>
  <c r="AE1536" i="3" s="1"/>
  <c r="AA1536" i="3"/>
  <c r="AC1536" i="3" s="1"/>
  <c r="AJ1536" i="3" s="1"/>
  <c r="A1537" i="3"/>
  <c r="U1537" i="3" l="1"/>
  <c r="AI1537" i="3" a="1"/>
  <c r="AI1537" i="3" s="1"/>
  <c r="AR1535" i="3"/>
  <c r="AO1535" i="3"/>
  <c r="AF1536" i="3"/>
  <c r="AN1536" i="3" s="1"/>
  <c r="AQ1536" i="3"/>
  <c r="A1538" i="3"/>
  <c r="W1537" i="3"/>
  <c r="Y1537" i="3" s="1"/>
  <c r="AA1537" i="3"/>
  <c r="AC1537" i="3" s="1"/>
  <c r="AJ1537" i="3" s="1"/>
  <c r="AE1537" i="3" l="1"/>
  <c r="U1538" i="3"/>
  <c r="AI1538" i="3" a="1"/>
  <c r="AI1538" i="3" s="1"/>
  <c r="AR1536" i="3"/>
  <c r="AO1536" i="3"/>
  <c r="A1539" i="3"/>
  <c r="AA1538" i="3"/>
  <c r="AC1538" i="3" s="1"/>
  <c r="AJ1538" i="3" s="1"/>
  <c r="W1538" i="3"/>
  <c r="Y1538" i="3" s="1"/>
  <c r="AE1538" i="3" s="1"/>
  <c r="AF1537" i="3" l="1"/>
  <c r="AQ1537" i="3"/>
  <c r="U1539" i="3"/>
  <c r="AI1539" i="3" a="1"/>
  <c r="AI1539" i="3" s="1"/>
  <c r="AO1537" i="3"/>
  <c r="W1539" i="3"/>
  <c r="Y1539" i="3" s="1"/>
  <c r="AE1539" i="3" s="1"/>
  <c r="A1540" i="3"/>
  <c r="AA1539" i="3"/>
  <c r="AC1539" i="3" s="1"/>
  <c r="AJ1539" i="3" s="1"/>
  <c r="AF1538" i="3"/>
  <c r="AN1538" i="3" s="1"/>
  <c r="AQ1538" i="3"/>
  <c r="AN1537" i="3" l="1"/>
  <c r="AR1537" i="3"/>
  <c r="U1540" i="3"/>
  <c r="AI1540" i="3" a="1"/>
  <c r="AI1540" i="3" s="1"/>
  <c r="AR1538" i="3"/>
  <c r="AO1538" i="3"/>
  <c r="AQ1539" i="3"/>
  <c r="AF1539" i="3"/>
  <c r="AN1539" i="3" s="1"/>
  <c r="A1541" i="3"/>
  <c r="AA1540" i="3"/>
  <c r="AC1540" i="3" s="1"/>
  <c r="AJ1540" i="3" s="1"/>
  <c r="W1540" i="3"/>
  <c r="Y1540" i="3" s="1"/>
  <c r="AE1540" i="3" l="1"/>
  <c r="U1541" i="3"/>
  <c r="AI1541" i="3" a="1"/>
  <c r="AI1541" i="3" s="1"/>
  <c r="AR1539" i="3"/>
  <c r="AO1539" i="3"/>
  <c r="A1542" i="3"/>
  <c r="AA1541" i="3"/>
  <c r="AC1541" i="3" s="1"/>
  <c r="AJ1541" i="3" s="1"/>
  <c r="W1541" i="3"/>
  <c r="Y1541" i="3" s="1"/>
  <c r="AE1541" i="3" s="1"/>
  <c r="AQ1540" i="3" l="1"/>
  <c r="AF1540" i="3"/>
  <c r="U1542" i="3"/>
  <c r="AI1542" i="3" a="1"/>
  <c r="AI1542" i="3" s="1"/>
  <c r="AA1542" i="3"/>
  <c r="AC1542" i="3" s="1"/>
  <c r="AJ1542" i="3" s="1"/>
  <c r="A1543" i="3"/>
  <c r="W1542" i="3"/>
  <c r="Y1542" i="3" s="1"/>
  <c r="AE1542" i="3" s="1"/>
  <c r="AF1541" i="3"/>
  <c r="AN1541" i="3" s="1"/>
  <c r="AQ1541" i="3"/>
  <c r="AN1540" i="3" l="1"/>
  <c r="AO1540" i="3" s="1"/>
  <c r="AR1540" i="3"/>
  <c r="U1543" i="3"/>
  <c r="AI1543" i="3" a="1"/>
  <c r="AI1543" i="3" s="1"/>
  <c r="AR1541" i="3"/>
  <c r="AO1541" i="3"/>
  <c r="A1544" i="3"/>
  <c r="AA1543" i="3"/>
  <c r="AC1543" i="3" s="1"/>
  <c r="AJ1543" i="3" s="1"/>
  <c r="W1543" i="3"/>
  <c r="Y1543" i="3" s="1"/>
  <c r="AE1543" i="3" s="1"/>
  <c r="AF1542" i="3"/>
  <c r="AN1542" i="3" s="1"/>
  <c r="AQ1542" i="3"/>
  <c r="U1544" i="3" l="1"/>
  <c r="AI1544" i="3" a="1"/>
  <c r="AI1544" i="3" s="1"/>
  <c r="AR1542" i="3"/>
  <c r="AO1542" i="3"/>
  <c r="A1545" i="3"/>
  <c r="AA1544" i="3"/>
  <c r="AC1544" i="3" s="1"/>
  <c r="AJ1544" i="3" s="1"/>
  <c r="W1544" i="3"/>
  <c r="Y1544" i="3" s="1"/>
  <c r="AE1544" i="3" s="1"/>
  <c r="AQ1543" i="3"/>
  <c r="AF1543" i="3"/>
  <c r="AN1543" i="3" s="1"/>
  <c r="U1545" i="3" l="1"/>
  <c r="AI1545" i="3" a="1"/>
  <c r="AI1545" i="3" s="1"/>
  <c r="AR1543" i="3"/>
  <c r="AO1543" i="3"/>
  <c r="AA1545" i="3"/>
  <c r="AC1545" i="3" s="1"/>
  <c r="AJ1545" i="3" s="1"/>
  <c r="A1546" i="3"/>
  <c r="W1545" i="3"/>
  <c r="Y1545" i="3" s="1"/>
  <c r="AE1545" i="3" s="1"/>
  <c r="AQ1544" i="3"/>
  <c r="AF1544" i="3"/>
  <c r="AN1544" i="3" s="1"/>
  <c r="U1546" i="3" l="1"/>
  <c r="AI1546" i="3" a="1"/>
  <c r="AI1546" i="3" s="1"/>
  <c r="AR1544" i="3"/>
  <c r="AO1544" i="3"/>
  <c r="AA1546" i="3"/>
  <c r="AC1546" i="3" s="1"/>
  <c r="AJ1546" i="3" s="1"/>
  <c r="W1546" i="3"/>
  <c r="Y1546" i="3" s="1"/>
  <c r="AE1546" i="3" s="1"/>
  <c r="A1547" i="3"/>
  <c r="AF1545" i="3"/>
  <c r="AN1545" i="3" s="1"/>
  <c r="AQ1545" i="3"/>
  <c r="U1547" i="3" l="1"/>
  <c r="AI1547" i="3" a="1"/>
  <c r="AI1547" i="3" s="1"/>
  <c r="AR1545" i="3"/>
  <c r="AO1545" i="3"/>
  <c r="AQ1546" i="3"/>
  <c r="AF1546" i="3"/>
  <c r="AN1546" i="3" s="1"/>
  <c r="A1548" i="3"/>
  <c r="AA1547" i="3"/>
  <c r="AC1547" i="3" s="1"/>
  <c r="AJ1547" i="3" s="1"/>
  <c r="W1547" i="3"/>
  <c r="Y1547" i="3" s="1"/>
  <c r="AE1547" i="3" s="1"/>
  <c r="U1548" i="3" l="1"/>
  <c r="AI1548" i="3" a="1"/>
  <c r="AI1548" i="3" s="1"/>
  <c r="AR1546" i="3"/>
  <c r="AO1546" i="3"/>
  <c r="AA1548" i="3"/>
  <c r="AC1548" i="3" s="1"/>
  <c r="AJ1548" i="3" s="1"/>
  <c r="A1549" i="3"/>
  <c r="W1548" i="3"/>
  <c r="Y1548" i="3" s="1"/>
  <c r="AF1547" i="3"/>
  <c r="AN1547" i="3" s="1"/>
  <c r="AQ1547" i="3"/>
  <c r="AE1548" i="3" l="1"/>
  <c r="U1549" i="3"/>
  <c r="AI1549" i="3" a="1"/>
  <c r="AI1549" i="3" s="1"/>
  <c r="AR1547" i="3"/>
  <c r="AO1547" i="3"/>
  <c r="A1550" i="3"/>
  <c r="W1549" i="3"/>
  <c r="Y1549" i="3" s="1"/>
  <c r="AE1549" i="3" s="1"/>
  <c r="AA1549" i="3"/>
  <c r="AC1549" i="3" s="1"/>
  <c r="AJ1549" i="3" s="1"/>
  <c r="AQ1548" i="3" l="1"/>
  <c r="AF1548" i="3"/>
  <c r="U1550" i="3"/>
  <c r="AI1550" i="3" a="1"/>
  <c r="AI1550" i="3" s="1"/>
  <c r="AA1550" i="3"/>
  <c r="AC1550" i="3" s="1"/>
  <c r="AJ1550" i="3" s="1"/>
  <c r="W1550" i="3"/>
  <c r="Y1550" i="3" s="1"/>
  <c r="AE1550" i="3" s="1"/>
  <c r="A1551" i="3"/>
  <c r="AF1549" i="3"/>
  <c r="AN1549" i="3" s="1"/>
  <c r="AQ1549" i="3"/>
  <c r="AN1548" i="3" l="1"/>
  <c r="U1551" i="3"/>
  <c r="AI1551" i="3" a="1"/>
  <c r="AI1551" i="3" s="1"/>
  <c r="AR1549" i="3"/>
  <c r="AO1549" i="3"/>
  <c r="AF1550" i="3"/>
  <c r="AN1550" i="3" s="1"/>
  <c r="AQ1550" i="3"/>
  <c r="AA1551" i="3"/>
  <c r="AC1551" i="3" s="1"/>
  <c r="AJ1551" i="3" s="1"/>
  <c r="A1552" i="3"/>
  <c r="W1551" i="3"/>
  <c r="Y1551" i="3" s="1"/>
  <c r="AE1551" i="3" s="1"/>
  <c r="AO1548" i="3" l="1"/>
  <c r="AR1548" i="3"/>
  <c r="U1552" i="3"/>
  <c r="AI1552" i="3" a="1"/>
  <c r="AI1552" i="3" s="1"/>
  <c r="AR1550" i="3"/>
  <c r="AO1550" i="3"/>
  <c r="A1553" i="3"/>
  <c r="W1552" i="3"/>
  <c r="Y1552" i="3" s="1"/>
  <c r="AE1552" i="3" s="1"/>
  <c r="AA1552" i="3"/>
  <c r="AC1552" i="3" s="1"/>
  <c r="AJ1552" i="3" s="1"/>
  <c r="AF1551" i="3"/>
  <c r="AN1551" i="3" s="1"/>
  <c r="AQ1551" i="3"/>
  <c r="U1553" i="3" l="1"/>
  <c r="AI1553" i="3" a="1"/>
  <c r="AI1553" i="3" s="1"/>
  <c r="AR1551" i="3"/>
  <c r="AO1551" i="3"/>
  <c r="A1554" i="3"/>
  <c r="AA1553" i="3"/>
  <c r="AC1553" i="3" s="1"/>
  <c r="AJ1553" i="3" s="1"/>
  <c r="W1553" i="3"/>
  <c r="Y1553" i="3" s="1"/>
  <c r="AE1553" i="3" s="1"/>
  <c r="AF1552" i="3"/>
  <c r="AN1552" i="3" s="1"/>
  <c r="AQ1552" i="3"/>
  <c r="U1554" i="3" l="1"/>
  <c r="AI1554" i="3" a="1"/>
  <c r="AI1554" i="3" s="1"/>
  <c r="AR1552" i="3"/>
  <c r="AO1552" i="3"/>
  <c r="AA1554" i="3"/>
  <c r="AC1554" i="3" s="1"/>
  <c r="AJ1554" i="3" s="1"/>
  <c r="W1554" i="3"/>
  <c r="Y1554" i="3" s="1"/>
  <c r="AE1554" i="3" s="1"/>
  <c r="A1555" i="3"/>
  <c r="AQ1553" i="3"/>
  <c r="AF1553" i="3"/>
  <c r="AN1553" i="3" s="1"/>
  <c r="U1555" i="3" l="1"/>
  <c r="AI1555" i="3" a="1"/>
  <c r="AI1555" i="3" s="1"/>
  <c r="AR1553" i="3"/>
  <c r="AO1553" i="3"/>
  <c r="AF1554" i="3"/>
  <c r="AN1554" i="3" s="1"/>
  <c r="AQ1554" i="3"/>
  <c r="W1555" i="3"/>
  <c r="Y1555" i="3" s="1"/>
  <c r="AE1555" i="3" s="1"/>
  <c r="AA1555" i="3"/>
  <c r="AC1555" i="3" s="1"/>
  <c r="AJ1555" i="3" s="1"/>
  <c r="A1556" i="3"/>
  <c r="U1556" i="3" l="1"/>
  <c r="AI1556" i="3" a="1"/>
  <c r="AI1556" i="3" s="1"/>
  <c r="AR1554" i="3"/>
  <c r="AO1554" i="3"/>
  <c r="AQ1555" i="3"/>
  <c r="AF1555" i="3"/>
  <c r="AN1555" i="3" s="1"/>
  <c r="W1556" i="3"/>
  <c r="Y1556" i="3" s="1"/>
  <c r="AE1556" i="3" s="1"/>
  <c r="A1557" i="3"/>
  <c r="AA1556" i="3"/>
  <c r="AC1556" i="3" s="1"/>
  <c r="AJ1556" i="3" s="1"/>
  <c r="U1557" i="3" l="1"/>
  <c r="AI1557" i="3" a="1"/>
  <c r="AI1557" i="3" s="1"/>
  <c r="AR1555" i="3"/>
  <c r="AO1555" i="3"/>
  <c r="AF1556" i="3"/>
  <c r="AN1556" i="3" s="1"/>
  <c r="AQ1556" i="3"/>
  <c r="AA1557" i="3"/>
  <c r="AC1557" i="3" s="1"/>
  <c r="AJ1557" i="3" s="1"/>
  <c r="W1557" i="3"/>
  <c r="Y1557" i="3" s="1"/>
  <c r="AE1557" i="3" s="1"/>
  <c r="A1558" i="3"/>
  <c r="U1558" i="3" l="1"/>
  <c r="AI1558" i="3" a="1"/>
  <c r="AI1558" i="3" s="1"/>
  <c r="AR1556" i="3"/>
  <c r="AO1556" i="3"/>
  <c r="AF1557" i="3"/>
  <c r="AN1557" i="3" s="1"/>
  <c r="AQ1557" i="3"/>
  <c r="AA1558" i="3"/>
  <c r="AC1558" i="3" s="1"/>
  <c r="AJ1558" i="3" s="1"/>
  <c r="A1559" i="3"/>
  <c r="W1558" i="3"/>
  <c r="Y1558" i="3" s="1"/>
  <c r="AE1558" i="3" s="1"/>
  <c r="U1559" i="3" l="1"/>
  <c r="AI1559" i="3" a="1"/>
  <c r="AI1559" i="3" s="1"/>
  <c r="AR1557" i="3"/>
  <c r="AO1557" i="3"/>
  <c r="W1559" i="3"/>
  <c r="Y1559" i="3" s="1"/>
  <c r="AE1559" i="3" s="1"/>
  <c r="A1560" i="3"/>
  <c r="AA1559" i="3"/>
  <c r="AC1559" i="3" s="1"/>
  <c r="AJ1559" i="3" s="1"/>
  <c r="AQ1558" i="3"/>
  <c r="AF1558" i="3"/>
  <c r="AN1558" i="3" s="1"/>
  <c r="U1560" i="3" l="1"/>
  <c r="AI1560" i="3" a="1"/>
  <c r="AI1560" i="3" s="1"/>
  <c r="AR1558" i="3"/>
  <c r="AO1558" i="3"/>
  <c r="AQ1559" i="3"/>
  <c r="AF1559" i="3"/>
  <c r="AN1559" i="3" s="1"/>
  <c r="W1560" i="3"/>
  <c r="Y1560" i="3" s="1"/>
  <c r="AE1560" i="3" s="1"/>
  <c r="A1561" i="3"/>
  <c r="AA1560" i="3"/>
  <c r="AC1560" i="3" s="1"/>
  <c r="AJ1560" i="3" s="1"/>
  <c r="U1561" i="3" l="1"/>
  <c r="AI1561" i="3" a="1"/>
  <c r="AI1561" i="3" s="1"/>
  <c r="AR1559" i="3"/>
  <c r="AO1559" i="3"/>
  <c r="AF1560" i="3"/>
  <c r="AN1560" i="3" s="1"/>
  <c r="AQ1560" i="3"/>
  <c r="A1562" i="3"/>
  <c r="AA1561" i="3"/>
  <c r="AC1561" i="3" s="1"/>
  <c r="AJ1561" i="3" s="1"/>
  <c r="W1561" i="3"/>
  <c r="Y1561" i="3" s="1"/>
  <c r="AE1561" i="3" l="1"/>
  <c r="U1562" i="3"/>
  <c r="AI1562" i="3" a="1"/>
  <c r="AI1562" i="3" s="1"/>
  <c r="AR1560" i="3"/>
  <c r="AO1560" i="3"/>
  <c r="A1563" i="3"/>
  <c r="AA1562" i="3"/>
  <c r="AC1562" i="3" s="1"/>
  <c r="AJ1562" i="3" s="1"/>
  <c r="W1562" i="3"/>
  <c r="Y1562" i="3" s="1"/>
  <c r="AE1562" i="3" s="1"/>
  <c r="AQ1561" i="3" l="1"/>
  <c r="AF1561" i="3"/>
  <c r="AN1561" i="3" s="1"/>
  <c r="U1563" i="3"/>
  <c r="AI1563" i="3" a="1"/>
  <c r="AI1563" i="3" s="1"/>
  <c r="AR1561" i="3"/>
  <c r="AO1561" i="3"/>
  <c r="A1564" i="3"/>
  <c r="AA1563" i="3"/>
  <c r="AC1563" i="3" s="1"/>
  <c r="AJ1563" i="3" s="1"/>
  <c r="W1563" i="3"/>
  <c r="Y1563" i="3" s="1"/>
  <c r="AE1563" i="3" s="1"/>
  <c r="AQ1562" i="3"/>
  <c r="AF1562" i="3"/>
  <c r="AN1562" i="3" s="1"/>
  <c r="U1564" i="3" l="1"/>
  <c r="AI1564" i="3" a="1"/>
  <c r="AI1564" i="3" s="1"/>
  <c r="AR1562" i="3"/>
  <c r="AO1562" i="3"/>
  <c r="AA1564" i="3"/>
  <c r="AC1564" i="3" s="1"/>
  <c r="AJ1564" i="3" s="1"/>
  <c r="W1564" i="3"/>
  <c r="Y1564" i="3" s="1"/>
  <c r="AE1564" i="3" s="1"/>
  <c r="A1565" i="3"/>
  <c r="AQ1563" i="3"/>
  <c r="AF1563" i="3"/>
  <c r="AN1563" i="3" s="1"/>
  <c r="U1565" i="3" l="1"/>
  <c r="AI1565" i="3" a="1"/>
  <c r="AI1565" i="3" s="1"/>
  <c r="AR1563" i="3"/>
  <c r="AO1563" i="3"/>
  <c r="AF1564" i="3"/>
  <c r="AN1564" i="3" s="1"/>
  <c r="AQ1564" i="3"/>
  <c r="A1566" i="3"/>
  <c r="AA1565" i="3"/>
  <c r="AC1565" i="3" s="1"/>
  <c r="AJ1565" i="3" s="1"/>
  <c r="W1565" i="3"/>
  <c r="Y1565" i="3" s="1"/>
  <c r="AE1565" i="3" l="1"/>
  <c r="U1566" i="3"/>
  <c r="AI1566" i="3" a="1"/>
  <c r="AI1566" i="3" s="1"/>
  <c r="AR1564" i="3"/>
  <c r="AO1564" i="3"/>
  <c r="A1567" i="3"/>
  <c r="AA1566" i="3"/>
  <c r="AC1566" i="3" s="1"/>
  <c r="AJ1566" i="3" s="1"/>
  <c r="W1566" i="3"/>
  <c r="Y1566" i="3" s="1"/>
  <c r="AE1566" i="3" s="1"/>
  <c r="AF1565" i="3" l="1"/>
  <c r="AN1565" i="3" s="1"/>
  <c r="AQ1565" i="3"/>
  <c r="U1567" i="3"/>
  <c r="AI1567" i="3" a="1"/>
  <c r="AI1567" i="3" s="1"/>
  <c r="AR1565" i="3"/>
  <c r="AO1565" i="3"/>
  <c r="W1567" i="3"/>
  <c r="Y1567" i="3" s="1"/>
  <c r="A1568" i="3"/>
  <c r="AA1567" i="3"/>
  <c r="AC1567" i="3" s="1"/>
  <c r="AJ1567" i="3" s="1"/>
  <c r="AQ1566" i="3"/>
  <c r="AF1566" i="3"/>
  <c r="AN1566" i="3" s="1"/>
  <c r="AE1567" i="3" l="1"/>
  <c r="U1568" i="3"/>
  <c r="AI1568" i="3" a="1"/>
  <c r="AI1568" i="3" s="1"/>
  <c r="AR1566" i="3"/>
  <c r="AO1566" i="3"/>
  <c r="A1569" i="3"/>
  <c r="W1568" i="3"/>
  <c r="Y1568" i="3" s="1"/>
  <c r="AE1568" i="3" s="1"/>
  <c r="AA1568" i="3"/>
  <c r="AC1568" i="3" s="1"/>
  <c r="AJ1568" i="3" s="1"/>
  <c r="AF1567" i="3" l="1"/>
  <c r="AN1567" i="3" s="1"/>
  <c r="AQ1567" i="3"/>
  <c r="U1569" i="3"/>
  <c r="AI1569" i="3" a="1"/>
  <c r="AI1569" i="3" s="1"/>
  <c r="AR1567" i="3"/>
  <c r="AO1567" i="3"/>
  <c r="A1570" i="3"/>
  <c r="W1569" i="3"/>
  <c r="Y1569" i="3" s="1"/>
  <c r="AE1569" i="3" s="1"/>
  <c r="AA1569" i="3"/>
  <c r="AC1569" i="3" s="1"/>
  <c r="AJ1569" i="3" s="1"/>
  <c r="AF1568" i="3"/>
  <c r="AN1568" i="3" s="1"/>
  <c r="AQ1568" i="3"/>
  <c r="U1570" i="3" l="1"/>
  <c r="AI1570" i="3" a="1"/>
  <c r="AI1570" i="3" s="1"/>
  <c r="AR1568" i="3"/>
  <c r="AO1568" i="3"/>
  <c r="A1571" i="3"/>
  <c r="AA1570" i="3"/>
  <c r="AC1570" i="3" s="1"/>
  <c r="AJ1570" i="3" s="1"/>
  <c r="W1570" i="3"/>
  <c r="Y1570" i="3" s="1"/>
  <c r="AE1570" i="3" s="1"/>
  <c r="AF1569" i="3"/>
  <c r="AN1569" i="3" s="1"/>
  <c r="AQ1569" i="3"/>
  <c r="U1571" i="3" l="1"/>
  <c r="AI1571" i="3" a="1"/>
  <c r="AI1571" i="3" s="1"/>
  <c r="AR1569" i="3"/>
  <c r="AO1569" i="3"/>
  <c r="A1572" i="3"/>
  <c r="AA1571" i="3"/>
  <c r="AC1571" i="3" s="1"/>
  <c r="AJ1571" i="3" s="1"/>
  <c r="W1571" i="3"/>
  <c r="Y1571" i="3" s="1"/>
  <c r="AE1571" i="3" s="1"/>
  <c r="AF1570" i="3"/>
  <c r="AN1570" i="3" s="1"/>
  <c r="AQ1570" i="3"/>
  <c r="U1572" i="3" l="1"/>
  <c r="AI1572" i="3" a="1"/>
  <c r="AI1572" i="3" s="1"/>
  <c r="AR1570" i="3"/>
  <c r="AO1570" i="3"/>
  <c r="AA1572" i="3"/>
  <c r="AC1572" i="3" s="1"/>
  <c r="AJ1572" i="3" s="1"/>
  <c r="W1572" i="3"/>
  <c r="Y1572" i="3" s="1"/>
  <c r="AE1572" i="3" s="1"/>
  <c r="A1573" i="3"/>
  <c r="AF1571" i="3"/>
  <c r="AN1571" i="3" s="1"/>
  <c r="AQ1571" i="3"/>
  <c r="U1573" i="3" l="1"/>
  <c r="AI1573" i="3" a="1"/>
  <c r="AI1573" i="3" s="1"/>
  <c r="AR1571" i="3"/>
  <c r="AO1571" i="3"/>
  <c r="AF1572" i="3"/>
  <c r="AN1572" i="3" s="1"/>
  <c r="AQ1572" i="3"/>
  <c r="W1573" i="3"/>
  <c r="Y1573" i="3" s="1"/>
  <c r="AE1573" i="3" s="1"/>
  <c r="AA1573" i="3"/>
  <c r="AC1573" i="3" s="1"/>
  <c r="AJ1573" i="3" s="1"/>
  <c r="A1574" i="3"/>
  <c r="U1574" i="3" l="1"/>
  <c r="AI1574" i="3" a="1"/>
  <c r="AI1574" i="3" s="1"/>
  <c r="AR1572" i="3"/>
  <c r="AO1572" i="3"/>
  <c r="AQ1573" i="3"/>
  <c r="AF1573" i="3"/>
  <c r="AN1573" i="3" s="1"/>
  <c r="W1574" i="3"/>
  <c r="Y1574" i="3" s="1"/>
  <c r="AE1574" i="3" s="1"/>
  <c r="A1575" i="3"/>
  <c r="AA1574" i="3"/>
  <c r="AC1574" i="3" s="1"/>
  <c r="AJ1574" i="3" s="1"/>
  <c r="U1575" i="3" l="1"/>
  <c r="AI1575" i="3" a="1"/>
  <c r="AI1575" i="3" s="1"/>
  <c r="AR1573" i="3"/>
  <c r="AO1573" i="3"/>
  <c r="AF1574" i="3"/>
  <c r="AN1574" i="3" s="1"/>
  <c r="AQ1574" i="3"/>
  <c r="A1576" i="3"/>
  <c r="W1575" i="3"/>
  <c r="Y1575" i="3" s="1"/>
  <c r="AE1575" i="3" s="1"/>
  <c r="AA1575" i="3"/>
  <c r="AC1575" i="3" s="1"/>
  <c r="AJ1575" i="3" s="1"/>
  <c r="U1576" i="3" l="1"/>
  <c r="AI1576" i="3" a="1"/>
  <c r="AI1576" i="3" s="1"/>
  <c r="AR1574" i="3"/>
  <c r="AO1574" i="3"/>
  <c r="AA1576" i="3"/>
  <c r="AC1576" i="3" s="1"/>
  <c r="AJ1576" i="3" s="1"/>
  <c r="A1577" i="3"/>
  <c r="W1576" i="3"/>
  <c r="Y1576" i="3" s="1"/>
  <c r="AE1576" i="3" s="1"/>
  <c r="AQ1575" i="3"/>
  <c r="AF1575" i="3"/>
  <c r="AN1575" i="3" s="1"/>
  <c r="U1577" i="3" l="1"/>
  <c r="AI1577" i="3" a="1"/>
  <c r="AI1577" i="3" s="1"/>
  <c r="AR1575" i="3"/>
  <c r="AO1575" i="3"/>
  <c r="AA1577" i="3"/>
  <c r="AC1577" i="3" s="1"/>
  <c r="AJ1577" i="3" s="1"/>
  <c r="W1577" i="3"/>
  <c r="Y1577" i="3" s="1"/>
  <c r="AE1577" i="3" s="1"/>
  <c r="A1578" i="3"/>
  <c r="AF1576" i="3"/>
  <c r="AN1576" i="3" s="1"/>
  <c r="AQ1576" i="3"/>
  <c r="U1578" i="3" l="1"/>
  <c r="AI1578" i="3" a="1"/>
  <c r="AI1578" i="3" s="1"/>
  <c r="AR1576" i="3"/>
  <c r="AO1576" i="3"/>
  <c r="AQ1577" i="3"/>
  <c r="AF1577" i="3"/>
  <c r="AN1577" i="3" s="1"/>
  <c r="AA1578" i="3"/>
  <c r="AC1578" i="3" s="1"/>
  <c r="AJ1578" i="3" s="1"/>
  <c r="W1578" i="3"/>
  <c r="Y1578" i="3" s="1"/>
  <c r="A1579" i="3"/>
  <c r="AE1578" i="3" l="1"/>
  <c r="U1579" i="3"/>
  <c r="AI1579" i="3" a="1"/>
  <c r="AI1579" i="3" s="1"/>
  <c r="AR1577" i="3"/>
  <c r="AO1577" i="3"/>
  <c r="A1580" i="3"/>
  <c r="W1579" i="3"/>
  <c r="Y1579" i="3" s="1"/>
  <c r="AE1579" i="3" s="1"/>
  <c r="AA1579" i="3"/>
  <c r="AC1579" i="3" s="1"/>
  <c r="AJ1579" i="3" s="1"/>
  <c r="AF1578" i="3" l="1"/>
  <c r="AQ1578" i="3"/>
  <c r="U1580" i="3"/>
  <c r="AI1580" i="3" a="1"/>
  <c r="AI1580" i="3" s="1"/>
  <c r="A1581" i="3"/>
  <c r="AA1580" i="3"/>
  <c r="AC1580" i="3" s="1"/>
  <c r="AJ1580" i="3" s="1"/>
  <c r="W1580" i="3"/>
  <c r="Y1580" i="3" s="1"/>
  <c r="AF1579" i="3"/>
  <c r="AN1579" i="3" s="1"/>
  <c r="AQ1579" i="3"/>
  <c r="AN1578" i="3" l="1"/>
  <c r="AO1578" i="3" s="1"/>
  <c r="AR1578" i="3"/>
  <c r="AE1580" i="3"/>
  <c r="U1581" i="3"/>
  <c r="AI1581" i="3" a="1"/>
  <c r="AI1581" i="3" s="1"/>
  <c r="AR1579" i="3"/>
  <c r="AO1579" i="3"/>
  <c r="A1582" i="3"/>
  <c r="W1581" i="3"/>
  <c r="Y1581" i="3" s="1"/>
  <c r="AE1581" i="3" s="1"/>
  <c r="AA1581" i="3"/>
  <c r="AC1581" i="3" s="1"/>
  <c r="AJ1581" i="3" s="1"/>
  <c r="AF1580" i="3" l="1"/>
  <c r="AN1580" i="3" s="1"/>
  <c r="AQ1580" i="3"/>
  <c r="U1582" i="3"/>
  <c r="AI1582" i="3" a="1"/>
  <c r="AI1582" i="3" s="1"/>
  <c r="AR1580" i="3"/>
  <c r="AO1580" i="3"/>
  <c r="AA1582" i="3"/>
  <c r="AC1582" i="3" s="1"/>
  <c r="AJ1582" i="3" s="1"/>
  <c r="A1583" i="3"/>
  <c r="W1582" i="3"/>
  <c r="Y1582" i="3" s="1"/>
  <c r="AE1582" i="3" s="1"/>
  <c r="AQ1581" i="3"/>
  <c r="AF1581" i="3"/>
  <c r="AN1581" i="3" s="1"/>
  <c r="U1583" i="3" l="1"/>
  <c r="AI1583" i="3" a="1"/>
  <c r="AI1583" i="3" s="1"/>
  <c r="AR1581" i="3"/>
  <c r="AO1581" i="3"/>
  <c r="W1583" i="3"/>
  <c r="Y1583" i="3" s="1"/>
  <c r="AE1583" i="3" s="1"/>
  <c r="A1584" i="3"/>
  <c r="AA1583" i="3"/>
  <c r="AC1583" i="3" s="1"/>
  <c r="AJ1583" i="3" s="1"/>
  <c r="AF1582" i="3"/>
  <c r="AN1582" i="3" s="1"/>
  <c r="AQ1582" i="3"/>
  <c r="I7" i="2"/>
  <c r="I10" i="2"/>
  <c r="I15" i="2"/>
  <c r="G7" i="2"/>
  <c r="G10" i="2"/>
  <c r="G15" i="2"/>
  <c r="U1584" i="3" l="1"/>
  <c r="AI1584" i="3" a="1"/>
  <c r="AI1584" i="3" s="1"/>
  <c r="AR1582" i="3"/>
  <c r="AO1582" i="3"/>
  <c r="AF1583" i="3"/>
  <c r="AN1583" i="3" s="1"/>
  <c r="AQ1583" i="3"/>
  <c r="W1584" i="3"/>
  <c r="Y1584" i="3" s="1"/>
  <c r="AE1584" i="3" s="1"/>
  <c r="A1585" i="3"/>
  <c r="AA1584" i="3"/>
  <c r="AC1584" i="3" s="1"/>
  <c r="AJ1584" i="3" s="1"/>
  <c r="M7" i="2"/>
  <c r="M15" i="2"/>
  <c r="K218" i="4"/>
  <c r="J218" i="4"/>
  <c r="I218" i="4"/>
  <c r="N217" i="4"/>
  <c r="M217" i="4"/>
  <c r="L217" i="4"/>
  <c r="K217" i="4"/>
  <c r="J217" i="4"/>
  <c r="I217" i="4"/>
  <c r="N216" i="4"/>
  <c r="K176" i="4"/>
  <c r="I176" i="4"/>
  <c r="M175" i="4"/>
  <c r="K175" i="4"/>
  <c r="I175" i="4"/>
  <c r="M174" i="4"/>
  <c r="K174" i="4"/>
  <c r="I174" i="4"/>
  <c r="M173" i="4"/>
  <c r="K173" i="4"/>
  <c r="J178" i="4"/>
  <c r="I178" i="4"/>
  <c r="N177" i="4"/>
  <c r="J177" i="4"/>
  <c r="M176" i="4"/>
  <c r="L176" i="4"/>
  <c r="J176" i="4"/>
  <c r="N175" i="4"/>
  <c r="L175" i="4"/>
  <c r="J175" i="4"/>
  <c r="N174" i="4"/>
  <c r="L174" i="4"/>
  <c r="J174" i="4"/>
  <c r="N173" i="4"/>
  <c r="L173" i="4"/>
  <c r="J173" i="4"/>
  <c r="H173" i="4" s="1"/>
  <c r="N60" i="4"/>
  <c r="I23" i="4"/>
  <c r="K22" i="4"/>
  <c r="N21" i="4"/>
  <c r="L21" i="4"/>
  <c r="K177" i="4"/>
  <c r="J21" i="4"/>
  <c r="K20" i="4"/>
  <c r="J19" i="4"/>
  <c r="K60" i="4"/>
  <c r="L24" i="4"/>
  <c r="J24" i="4"/>
  <c r="L177" i="4"/>
  <c r="N176" i="4"/>
  <c r="L20" i="4"/>
  <c r="M19" i="4"/>
  <c r="J18" i="4"/>
  <c r="N23" i="4"/>
  <c r="L23" i="4"/>
  <c r="J23" i="4"/>
  <c r="L22" i="4"/>
  <c r="I22" i="4"/>
  <c r="K19" i="4"/>
  <c r="N18" i="4"/>
  <c r="K18" i="4"/>
  <c r="I25" i="4"/>
  <c r="N24" i="4"/>
  <c r="K24" i="4"/>
  <c r="I24" i="4"/>
  <c r="M23" i="4"/>
  <c r="M177" i="4"/>
  <c r="I177" i="4"/>
  <c r="N20" i="4"/>
  <c r="I20" i="4"/>
  <c r="M18" i="4"/>
  <c r="M24" i="4"/>
  <c r="K23" i="4"/>
  <c r="N22" i="4"/>
  <c r="M22" i="4"/>
  <c r="J22" i="4"/>
  <c r="M21" i="4"/>
  <c r="K21" i="4"/>
  <c r="I21" i="4"/>
  <c r="M20" i="4"/>
  <c r="J20" i="4"/>
  <c r="N19" i="4"/>
  <c r="L19" i="4"/>
  <c r="I19" i="4"/>
  <c r="L18" i="4"/>
  <c r="K75" i="4"/>
  <c r="N75" i="4"/>
  <c r="J76" i="4"/>
  <c r="K76" i="4"/>
  <c r="N76" i="4"/>
  <c r="J77" i="4"/>
  <c r="L77" i="4"/>
  <c r="M77" i="4"/>
  <c r="L120" i="4"/>
  <c r="N122" i="4"/>
  <c r="I78" i="4"/>
  <c r="K78" i="4"/>
  <c r="M78" i="4"/>
  <c r="I79" i="4"/>
  <c r="K79" i="4"/>
  <c r="M79" i="4"/>
  <c r="L114" i="4"/>
  <c r="J115" i="4"/>
  <c r="N115" i="4"/>
  <c r="L116" i="4"/>
  <c r="K117" i="4"/>
  <c r="K118" i="4"/>
  <c r="J125" i="4"/>
  <c r="K263" i="4"/>
  <c r="I285" i="4"/>
  <c r="K294" i="4"/>
  <c r="N121" i="4"/>
  <c r="N260" i="4"/>
  <c r="N267" i="4"/>
  <c r="I279" i="4"/>
  <c r="I288" i="4"/>
  <c r="I305" i="4"/>
  <c r="N256" i="4"/>
  <c r="I264" i="4"/>
  <c r="N274" i="4"/>
  <c r="I283" i="4"/>
  <c r="L292" i="4"/>
  <c r="N124" i="4"/>
  <c r="I277" i="4"/>
  <c r="N285" i="4"/>
  <c r="I295" i="4"/>
  <c r="I258" i="4"/>
  <c r="N263" i="4"/>
  <c r="J275" i="4"/>
  <c r="M284" i="4"/>
  <c r="N293" i="4"/>
  <c r="J60" i="4"/>
  <c r="K62" i="4"/>
  <c r="M64" i="4"/>
  <c r="I67" i="4"/>
  <c r="M69" i="4"/>
  <c r="M71" i="4"/>
  <c r="I74" i="4"/>
  <c r="N81" i="4"/>
  <c r="L83" i="4"/>
  <c r="N86" i="4"/>
  <c r="J87" i="4"/>
  <c r="L87" i="4"/>
  <c r="N87" i="4"/>
  <c r="I88" i="4"/>
  <c r="K88" i="4"/>
  <c r="M88" i="4"/>
  <c r="I89" i="4"/>
  <c r="K89" i="4"/>
  <c r="N89" i="4"/>
  <c r="I90" i="4"/>
  <c r="K90" i="4"/>
  <c r="M90" i="4"/>
  <c r="I91" i="4"/>
  <c r="K91" i="4"/>
  <c r="M91" i="4"/>
  <c r="I92" i="4"/>
  <c r="K92" i="4"/>
  <c r="M92" i="4"/>
  <c r="I93" i="4"/>
  <c r="K93" i="4"/>
  <c r="M93" i="4"/>
  <c r="I94" i="4"/>
  <c r="K94" i="4"/>
  <c r="M94" i="4"/>
  <c r="I95" i="4"/>
  <c r="I96" i="4"/>
  <c r="K96" i="4"/>
  <c r="M96" i="4"/>
  <c r="I97" i="4"/>
  <c r="K97" i="4"/>
  <c r="M97" i="4"/>
  <c r="I98" i="4"/>
  <c r="K98" i="4"/>
  <c r="M98" i="4"/>
  <c r="I99" i="4"/>
  <c r="K99" i="4"/>
  <c r="M99" i="4"/>
  <c r="I100" i="4"/>
  <c r="K100" i="4"/>
  <c r="M100" i="4"/>
  <c r="I101" i="4"/>
  <c r="K101" i="4"/>
  <c r="M101" i="4"/>
  <c r="I102" i="4"/>
  <c r="K102" i="4"/>
  <c r="M102" i="4"/>
  <c r="I103" i="4"/>
  <c r="K103" i="4"/>
  <c r="M103" i="4"/>
  <c r="I104" i="4"/>
  <c r="J104" i="4"/>
  <c r="L104" i="4"/>
  <c r="N104" i="4"/>
  <c r="J105" i="4"/>
  <c r="L105" i="4"/>
  <c r="N105" i="4"/>
  <c r="J106" i="4"/>
  <c r="L106" i="4"/>
  <c r="N106" i="4"/>
  <c r="K107" i="4"/>
  <c r="L107" i="4"/>
  <c r="N107" i="4"/>
  <c r="J108" i="4"/>
  <c r="L108" i="4"/>
  <c r="I109" i="4"/>
  <c r="K109" i="4"/>
  <c r="L109" i="4"/>
  <c r="N109" i="4"/>
  <c r="J110" i="4"/>
  <c r="L110" i="4"/>
  <c r="N110" i="4"/>
  <c r="J111" i="4"/>
  <c r="L111" i="4"/>
  <c r="N111" i="4"/>
  <c r="J112" i="4"/>
  <c r="L112" i="4"/>
  <c r="N112" i="4"/>
  <c r="J113" i="4"/>
  <c r="L113" i="4"/>
  <c r="N113" i="4"/>
  <c r="K114" i="4"/>
  <c r="I115" i="4"/>
  <c r="M115" i="4"/>
  <c r="K116" i="4"/>
  <c r="L117" i="4"/>
  <c r="L118" i="4"/>
  <c r="L156" i="4"/>
  <c r="J235" i="4"/>
  <c r="L272" i="4"/>
  <c r="I119" i="4"/>
  <c r="I120" i="4"/>
  <c r="J121" i="4"/>
  <c r="J122" i="4"/>
  <c r="K123" i="4"/>
  <c r="L124" i="4"/>
  <c r="K256" i="4"/>
  <c r="L257" i="4"/>
  <c r="M258" i="4"/>
  <c r="N259" i="4"/>
  <c r="I261" i="4"/>
  <c r="I262" i="4"/>
  <c r="N262" i="4"/>
  <c r="M263" i="4"/>
  <c r="L264" i="4"/>
  <c r="M265" i="4"/>
  <c r="N266" i="4"/>
  <c r="J268" i="4"/>
  <c r="L269" i="4"/>
  <c r="K305" i="4"/>
  <c r="I275" i="4"/>
  <c r="J276" i="4"/>
  <c r="K277" i="4"/>
  <c r="M278" i="4"/>
  <c r="I280" i="4"/>
  <c r="J281" i="4"/>
  <c r="L282" i="4"/>
  <c r="N283" i="4"/>
  <c r="J285" i="4"/>
  <c r="L286" i="4"/>
  <c r="N287" i="4"/>
  <c r="J289" i="4"/>
  <c r="N290" i="4"/>
  <c r="J292" i="4"/>
  <c r="L293" i="4"/>
  <c r="N294" i="4"/>
  <c r="J296" i="4"/>
  <c r="L297" i="4"/>
  <c r="I2" i="4"/>
  <c r="J2" i="4"/>
  <c r="K2" i="4"/>
  <c r="L2" i="4"/>
  <c r="M2" i="4"/>
  <c r="N2" i="4"/>
  <c r="I3" i="4"/>
  <c r="J3" i="4"/>
  <c r="K3" i="4"/>
  <c r="L3" i="4"/>
  <c r="M3" i="4"/>
  <c r="N3" i="4"/>
  <c r="I4" i="4"/>
  <c r="J4" i="4"/>
  <c r="K4" i="4"/>
  <c r="L4" i="4"/>
  <c r="M4" i="4"/>
  <c r="N4" i="4"/>
  <c r="I5" i="4"/>
  <c r="J5" i="4"/>
  <c r="K5" i="4"/>
  <c r="L5" i="4"/>
  <c r="M5" i="4"/>
  <c r="N5" i="4"/>
  <c r="I6" i="4"/>
  <c r="J6" i="4"/>
  <c r="K6" i="4"/>
  <c r="L6" i="4"/>
  <c r="M6" i="4"/>
  <c r="N6" i="4"/>
  <c r="I7" i="4"/>
  <c r="J7" i="4"/>
  <c r="K7" i="4"/>
  <c r="L7" i="4"/>
  <c r="M7" i="4"/>
  <c r="N7" i="4"/>
  <c r="I8" i="4"/>
  <c r="J8" i="4"/>
  <c r="K8" i="4"/>
  <c r="L8" i="4"/>
  <c r="M8" i="4"/>
  <c r="N8" i="4"/>
  <c r="I9" i="4"/>
  <c r="J9" i="4"/>
  <c r="K9" i="4"/>
  <c r="L9" i="4"/>
  <c r="M9" i="4"/>
  <c r="N9" i="4"/>
  <c r="I10" i="4"/>
  <c r="J10" i="4"/>
  <c r="K10" i="4"/>
  <c r="L10" i="4"/>
  <c r="M10" i="4"/>
  <c r="N10" i="4"/>
  <c r="I11" i="4"/>
  <c r="J11" i="4"/>
  <c r="K11" i="4"/>
  <c r="L11" i="4"/>
  <c r="M11" i="4"/>
  <c r="N11" i="4"/>
  <c r="I12" i="4"/>
  <c r="J12" i="4"/>
  <c r="K12" i="4"/>
  <c r="L12" i="4"/>
  <c r="M12" i="4"/>
  <c r="N12" i="4"/>
  <c r="I13" i="4"/>
  <c r="J13" i="4"/>
  <c r="K13" i="4"/>
  <c r="L13" i="4"/>
  <c r="M13" i="4"/>
  <c r="N13" i="4"/>
  <c r="I14" i="4"/>
  <c r="J14" i="4"/>
  <c r="K14" i="4"/>
  <c r="L14" i="4"/>
  <c r="M14" i="4"/>
  <c r="N14" i="4"/>
  <c r="I15" i="4"/>
  <c r="J15" i="4"/>
  <c r="K15" i="4"/>
  <c r="L15" i="4"/>
  <c r="M15" i="4"/>
  <c r="N15" i="4"/>
  <c r="I16" i="4"/>
  <c r="J16" i="4"/>
  <c r="K16" i="4"/>
  <c r="L16" i="4"/>
  <c r="M16" i="4"/>
  <c r="N16" i="4"/>
  <c r="I17" i="4"/>
  <c r="J17" i="4"/>
  <c r="K17" i="4"/>
  <c r="L17" i="4"/>
  <c r="M119" i="4"/>
  <c r="M260" i="4"/>
  <c r="N268" i="4"/>
  <c r="N278" i="4"/>
  <c r="M287" i="4"/>
  <c r="K257" i="4"/>
  <c r="K264" i="4"/>
  <c r="L275" i="4"/>
  <c r="I284" i="4"/>
  <c r="N291" i="4"/>
  <c r="I121" i="4"/>
  <c r="J260" i="4"/>
  <c r="J267" i="4"/>
  <c r="J277" i="4"/>
  <c r="K284" i="4"/>
  <c r="I294" i="4"/>
  <c r="K120" i="4"/>
  <c r="M267" i="4"/>
  <c r="K279" i="4"/>
  <c r="L288" i="4"/>
  <c r="N297" i="4"/>
  <c r="L123" i="4"/>
  <c r="J262" i="4"/>
  <c r="I270" i="4"/>
  <c r="N280" i="4"/>
  <c r="I290" i="4"/>
  <c r="N58" i="4"/>
  <c r="I61" i="4"/>
  <c r="K63" i="4"/>
  <c r="M65" i="4"/>
  <c r="I68" i="4"/>
  <c r="K70" i="4"/>
  <c r="I73" i="4"/>
  <c r="I157" i="4"/>
  <c r="K85" i="4"/>
  <c r="I18" i="4"/>
  <c r="I26" i="4"/>
  <c r="I27" i="4"/>
  <c r="J27" i="4"/>
  <c r="K27" i="4"/>
  <c r="L27" i="4"/>
  <c r="M27" i="4"/>
  <c r="N27" i="4"/>
  <c r="I28" i="4"/>
  <c r="J28" i="4"/>
  <c r="K28" i="4"/>
  <c r="L28" i="4"/>
  <c r="M28" i="4"/>
  <c r="N28" i="4"/>
  <c r="I29" i="4"/>
  <c r="J29" i="4"/>
  <c r="K29" i="4"/>
  <c r="L29" i="4"/>
  <c r="M29" i="4"/>
  <c r="N29" i="4"/>
  <c r="I30" i="4"/>
  <c r="J30" i="4"/>
  <c r="K30" i="4"/>
  <c r="L30" i="4"/>
  <c r="M30" i="4"/>
  <c r="N30" i="4"/>
  <c r="I31" i="4"/>
  <c r="J31" i="4"/>
  <c r="K31" i="4"/>
  <c r="L31" i="4"/>
  <c r="M31" i="4"/>
  <c r="N31" i="4"/>
  <c r="I32" i="4"/>
  <c r="J32" i="4"/>
  <c r="K32" i="4"/>
  <c r="L32" i="4"/>
  <c r="M32" i="4"/>
  <c r="N32" i="4"/>
  <c r="I33" i="4"/>
  <c r="J33" i="4"/>
  <c r="K33" i="4"/>
  <c r="L33" i="4"/>
  <c r="M33" i="4"/>
  <c r="N33" i="4"/>
  <c r="I34" i="4"/>
  <c r="J34" i="4"/>
  <c r="K34" i="4"/>
  <c r="L34" i="4"/>
  <c r="M34" i="4"/>
  <c r="N34" i="4"/>
  <c r="I35" i="4"/>
  <c r="J35" i="4"/>
  <c r="K35" i="4"/>
  <c r="L35" i="4"/>
  <c r="M35" i="4"/>
  <c r="N35" i="4"/>
  <c r="I36" i="4"/>
  <c r="J36" i="4"/>
  <c r="K36" i="4"/>
  <c r="L36" i="4"/>
  <c r="M36" i="4"/>
  <c r="N36" i="4"/>
  <c r="I37" i="4"/>
  <c r="J37" i="4"/>
  <c r="K37" i="4"/>
  <c r="L37" i="4"/>
  <c r="M37" i="4"/>
  <c r="N37" i="4"/>
  <c r="I38" i="4"/>
  <c r="J38" i="4"/>
  <c r="K38" i="4"/>
  <c r="L38" i="4"/>
  <c r="M38" i="4"/>
  <c r="N38" i="4"/>
  <c r="I39" i="4"/>
  <c r="J39" i="4"/>
  <c r="K39" i="4"/>
  <c r="L39" i="4"/>
  <c r="M39" i="4"/>
  <c r="N39" i="4"/>
  <c r="I40" i="4"/>
  <c r="J40" i="4"/>
  <c r="K40" i="4"/>
  <c r="L40" i="4"/>
  <c r="M40" i="4"/>
  <c r="N40" i="4"/>
  <c r="J117" i="4"/>
  <c r="M117" i="4"/>
  <c r="J118" i="4"/>
  <c r="I156" i="4"/>
  <c r="M156" i="4"/>
  <c r="K157" i="4"/>
  <c r="K234" i="4"/>
  <c r="K270" i="4"/>
  <c r="M271" i="4"/>
  <c r="M272" i="4"/>
  <c r="M273" i="4"/>
  <c r="N305" i="4"/>
  <c r="I41" i="4"/>
  <c r="J41" i="4"/>
  <c r="K41" i="4"/>
  <c r="L41" i="4"/>
  <c r="M41" i="4"/>
  <c r="N41" i="4"/>
  <c r="I42" i="4"/>
  <c r="J42" i="4"/>
  <c r="K42" i="4"/>
  <c r="L42" i="4"/>
  <c r="M42" i="4"/>
  <c r="N42" i="4"/>
  <c r="I43" i="4"/>
  <c r="J43" i="4"/>
  <c r="K43" i="4"/>
  <c r="L43" i="4"/>
  <c r="M43" i="4"/>
  <c r="N43" i="4"/>
  <c r="I44" i="4"/>
  <c r="J44" i="4"/>
  <c r="K44" i="4"/>
  <c r="L44" i="4"/>
  <c r="M44" i="4"/>
  <c r="N44" i="4"/>
  <c r="I45" i="4"/>
  <c r="J45" i="4"/>
  <c r="K45" i="4"/>
  <c r="L45" i="4"/>
  <c r="M45" i="4"/>
  <c r="N45" i="4"/>
  <c r="I46" i="4"/>
  <c r="J46" i="4"/>
  <c r="K46" i="4"/>
  <c r="L46" i="4"/>
  <c r="M46" i="4"/>
  <c r="N46" i="4"/>
  <c r="I47" i="4"/>
  <c r="J47" i="4"/>
  <c r="K47" i="4"/>
  <c r="L47" i="4"/>
  <c r="M47" i="4"/>
  <c r="N47" i="4"/>
  <c r="I48" i="4"/>
  <c r="J48" i="4"/>
  <c r="K48" i="4"/>
  <c r="L48" i="4"/>
  <c r="M48" i="4"/>
  <c r="N48" i="4"/>
  <c r="I49" i="4"/>
  <c r="J49" i="4"/>
  <c r="K49" i="4"/>
  <c r="L49" i="4"/>
  <c r="M49" i="4"/>
  <c r="N49" i="4"/>
  <c r="I50" i="4"/>
  <c r="J50" i="4"/>
  <c r="K50" i="4"/>
  <c r="L50" i="4"/>
  <c r="M50" i="4"/>
  <c r="N50" i="4"/>
  <c r="I51" i="4"/>
  <c r="J51" i="4"/>
  <c r="K51" i="4"/>
  <c r="L51" i="4"/>
  <c r="M51" i="4"/>
  <c r="N51" i="4"/>
  <c r="I52" i="4"/>
  <c r="J52" i="4"/>
  <c r="K52" i="4"/>
  <c r="L52" i="4"/>
  <c r="M52" i="4"/>
  <c r="N52" i="4"/>
  <c r="I53" i="4"/>
  <c r="J53" i="4"/>
  <c r="K53" i="4"/>
  <c r="L53" i="4"/>
  <c r="M53" i="4"/>
  <c r="N53" i="4"/>
  <c r="I54" i="4"/>
  <c r="J54" i="4"/>
  <c r="K54" i="4"/>
  <c r="L54" i="4"/>
  <c r="M54" i="4"/>
  <c r="N54" i="4"/>
  <c r="I55" i="4"/>
  <c r="J55" i="4"/>
  <c r="K55" i="4"/>
  <c r="L55" i="4"/>
  <c r="M55" i="4"/>
  <c r="N55" i="4"/>
  <c r="I56" i="4"/>
  <c r="J56" i="4"/>
  <c r="K56" i="4"/>
  <c r="L56" i="4"/>
  <c r="M56" i="4"/>
  <c r="N56" i="4"/>
  <c r="I57" i="4"/>
  <c r="J57" i="4"/>
  <c r="K57" i="4"/>
  <c r="L57" i="4"/>
  <c r="M57" i="4"/>
  <c r="N57" i="4"/>
  <c r="I58" i="4"/>
  <c r="J58" i="4"/>
  <c r="K58" i="4"/>
  <c r="L58" i="4"/>
  <c r="M58" i="4"/>
  <c r="I59" i="4"/>
  <c r="J59" i="4"/>
  <c r="L59" i="4"/>
  <c r="M59" i="4"/>
  <c r="I60" i="4"/>
  <c r="L61" i="4"/>
  <c r="J62" i="4"/>
  <c r="N62" i="4"/>
  <c r="J63" i="4"/>
  <c r="N63" i="4"/>
  <c r="L64" i="4"/>
  <c r="N64" i="4"/>
  <c r="J65" i="4"/>
  <c r="L65" i="4"/>
  <c r="N65" i="4"/>
  <c r="J66" i="4"/>
  <c r="L66" i="4"/>
  <c r="N66" i="4"/>
  <c r="J67" i="4"/>
  <c r="L67" i="4"/>
  <c r="N67" i="4"/>
  <c r="J68" i="4"/>
  <c r="L68" i="4"/>
  <c r="N68" i="4"/>
  <c r="J257" i="4"/>
  <c r="J264" i="4"/>
  <c r="I281" i="4"/>
  <c r="K290" i="4"/>
  <c r="L119" i="4"/>
  <c r="L258" i="4"/>
  <c r="L265" i="4"/>
  <c r="M276" i="4"/>
  <c r="K285" i="4"/>
  <c r="M294" i="4"/>
  <c r="K122" i="4"/>
  <c r="K261" i="4"/>
  <c r="L268" i="4"/>
  <c r="L279" i="4"/>
  <c r="M289" i="4"/>
  <c r="K265" i="4"/>
  <c r="N275" i="4"/>
  <c r="L284" i="4"/>
  <c r="M293" i="4"/>
  <c r="K121" i="4"/>
  <c r="J259" i="4"/>
  <c r="J266" i="4"/>
  <c r="L277" i="4"/>
  <c r="K283" i="4"/>
  <c r="M292" i="4"/>
  <c r="N59" i="4"/>
  <c r="M61" i="4"/>
  <c r="I64" i="4"/>
  <c r="K66" i="4"/>
  <c r="M68" i="4"/>
  <c r="I71" i="4"/>
  <c r="K73" i="4"/>
  <c r="N234" i="4"/>
  <c r="J80" i="4"/>
  <c r="J82" i="4"/>
  <c r="N85" i="4"/>
  <c r="J25" i="4"/>
  <c r="J26" i="4"/>
  <c r="L69" i="4"/>
  <c r="J71" i="4"/>
  <c r="N71" i="4"/>
  <c r="J72" i="4"/>
  <c r="L72" i="4"/>
  <c r="N72" i="4"/>
  <c r="J73" i="4"/>
  <c r="L73" i="4"/>
  <c r="N73" i="4"/>
  <c r="J74" i="4"/>
  <c r="L74" i="4"/>
  <c r="N74" i="4"/>
  <c r="J75" i="4"/>
  <c r="L75" i="4"/>
  <c r="M75" i="4"/>
  <c r="I76" i="4"/>
  <c r="L76" i="4"/>
  <c r="M76" i="4"/>
  <c r="I77" i="4"/>
  <c r="K77" i="4"/>
  <c r="N77" i="4"/>
  <c r="J78" i="4"/>
  <c r="L78" i="4"/>
  <c r="N78" i="4"/>
  <c r="J79" i="4"/>
  <c r="L79" i="4"/>
  <c r="J114" i="4"/>
  <c r="N114" i="4"/>
  <c r="L115" i="4"/>
  <c r="J116" i="4"/>
  <c r="N116" i="4"/>
  <c r="N117" i="4"/>
  <c r="K156" i="4"/>
  <c r="N233" i="4"/>
  <c r="N270" i="4"/>
  <c r="N272" i="4"/>
  <c r="I80" i="4"/>
  <c r="K80" i="4"/>
  <c r="M80" i="4"/>
  <c r="I81" i="4"/>
  <c r="K81" i="4"/>
  <c r="M81" i="4"/>
  <c r="I82" i="4"/>
  <c r="K82" i="4"/>
  <c r="M82" i="4"/>
  <c r="I83" i="4"/>
  <c r="K83" i="4"/>
  <c r="M83" i="4"/>
  <c r="I84" i="4"/>
  <c r="J84" i="4"/>
  <c r="K84" i="4"/>
  <c r="L84" i="4"/>
  <c r="M84" i="4"/>
  <c r="N84" i="4"/>
  <c r="I85" i="4"/>
  <c r="J85" i="4"/>
  <c r="L85" i="4"/>
  <c r="M85" i="4"/>
  <c r="I86" i="4"/>
  <c r="K86" i="4"/>
  <c r="M86" i="4"/>
  <c r="I87" i="4"/>
  <c r="K87" i="4"/>
  <c r="M87" i="4"/>
  <c r="J88" i="4"/>
  <c r="L88" i="4"/>
  <c r="N88" i="4"/>
  <c r="J89" i="4"/>
  <c r="L89" i="4"/>
  <c r="M89" i="4"/>
  <c r="J90" i="4"/>
  <c r="L90" i="4"/>
  <c r="N90" i="4"/>
  <c r="J91" i="4"/>
  <c r="L91" i="4"/>
  <c r="N91" i="4"/>
  <c r="J92" i="4"/>
  <c r="L92" i="4"/>
  <c r="N92" i="4"/>
  <c r="J93" i="4"/>
  <c r="L93" i="4"/>
  <c r="N93" i="4"/>
  <c r="J94" i="4"/>
  <c r="L94" i="4"/>
  <c r="N94" i="4"/>
  <c r="J95" i="4"/>
  <c r="K95" i="4"/>
  <c r="L95" i="4"/>
  <c r="M95" i="4"/>
  <c r="N95" i="4"/>
  <c r="J96" i="4"/>
  <c r="L96" i="4"/>
  <c r="N96" i="4"/>
  <c r="J97" i="4"/>
  <c r="L97" i="4"/>
  <c r="N97" i="4"/>
  <c r="J98" i="4"/>
  <c r="L98" i="4"/>
  <c r="N98" i="4"/>
  <c r="J99" i="4"/>
  <c r="L99" i="4"/>
  <c r="N99" i="4"/>
  <c r="J100" i="4"/>
  <c r="L100" i="4"/>
  <c r="N100" i="4"/>
  <c r="J101" i="4"/>
  <c r="L101" i="4"/>
  <c r="N101" i="4"/>
  <c r="J102" i="4"/>
  <c r="L102" i="4"/>
  <c r="N102" i="4"/>
  <c r="J103" i="4"/>
  <c r="L103" i="4"/>
  <c r="N103" i="4"/>
  <c r="K104" i="4"/>
  <c r="M104" i="4"/>
  <c r="I105" i="4"/>
  <c r="K105" i="4"/>
  <c r="M105" i="4"/>
  <c r="I106" i="4"/>
  <c r="K106" i="4"/>
  <c r="M106" i="4"/>
  <c r="I107" i="4"/>
  <c r="J107" i="4"/>
  <c r="M107" i="4"/>
  <c r="I108" i="4"/>
  <c r="K108" i="4"/>
  <c r="M108" i="4"/>
  <c r="N108" i="4"/>
  <c r="J109" i="4"/>
  <c r="M109" i="4"/>
  <c r="I110" i="4"/>
  <c r="K110" i="4"/>
  <c r="M110" i="4"/>
  <c r="I111" i="4"/>
  <c r="K111" i="4"/>
  <c r="M111" i="4"/>
  <c r="I112" i="4"/>
  <c r="K112" i="4"/>
  <c r="M112" i="4"/>
  <c r="I113" i="4"/>
  <c r="K113" i="4"/>
  <c r="M113" i="4"/>
  <c r="I114" i="4"/>
  <c r="M114" i="4"/>
  <c r="K115" i="4"/>
  <c r="I116" i="4"/>
  <c r="M116" i="4"/>
  <c r="I117" i="4"/>
  <c r="I118" i="4"/>
  <c r="J157" i="4"/>
  <c r="J234" i="4"/>
  <c r="K271" i="4"/>
  <c r="M118" i="4"/>
  <c r="N119" i="4"/>
  <c r="N120" i="4"/>
  <c r="I122" i="4"/>
  <c r="J123" i="4"/>
  <c r="K124" i="4"/>
  <c r="L256" i="4"/>
  <c r="M257" i="4"/>
  <c r="N258" i="4"/>
  <c r="I260" i="4"/>
  <c r="J261" i="4"/>
  <c r="M264" i="4"/>
  <c r="N265" i="4"/>
  <c r="I267" i="4"/>
  <c r="K268" i="4"/>
  <c r="M269" i="4"/>
  <c r="M274" i="4"/>
  <c r="J282" i="4"/>
  <c r="L283" i="4"/>
  <c r="N284" i="4"/>
  <c r="J286" i="4"/>
  <c r="L287" i="4"/>
  <c r="N288" i="4"/>
  <c r="J290" i="4"/>
  <c r="L291" i="4"/>
  <c r="N292" i="4"/>
  <c r="J294" i="4"/>
  <c r="L295" i="4"/>
  <c r="M296" i="4"/>
  <c r="K125" i="4"/>
  <c r="L125" i="4"/>
  <c r="M125" i="4"/>
  <c r="N125" i="4"/>
  <c r="I126" i="4"/>
  <c r="J126" i="4"/>
  <c r="K126" i="4"/>
  <c r="L126" i="4"/>
  <c r="M126" i="4"/>
  <c r="N126" i="4"/>
  <c r="I127" i="4"/>
  <c r="J127" i="4"/>
  <c r="K127" i="4"/>
  <c r="L127" i="4"/>
  <c r="M127" i="4"/>
  <c r="N127" i="4"/>
  <c r="I128" i="4"/>
  <c r="J128" i="4"/>
  <c r="K128" i="4"/>
  <c r="L128" i="4"/>
  <c r="M128" i="4"/>
  <c r="N128" i="4"/>
  <c r="I129" i="4"/>
  <c r="J129" i="4"/>
  <c r="K129" i="4"/>
  <c r="L129" i="4"/>
  <c r="J61" i="4"/>
  <c r="N61" i="4"/>
  <c r="L62" i="4"/>
  <c r="L63" i="4"/>
  <c r="J64" i="4"/>
  <c r="M129" i="4"/>
  <c r="N129" i="4"/>
  <c r="I130" i="4"/>
  <c r="J130" i="4"/>
  <c r="K130" i="4"/>
  <c r="L130" i="4"/>
  <c r="M130" i="4"/>
  <c r="N130" i="4"/>
  <c r="I131" i="4"/>
  <c r="J131" i="4"/>
  <c r="K131" i="4"/>
  <c r="L131" i="4"/>
  <c r="M131" i="4"/>
  <c r="L259" i="4"/>
  <c r="K266" i="4"/>
  <c r="L276" i="4"/>
  <c r="M283" i="4"/>
  <c r="I293" i="4"/>
  <c r="M120" i="4"/>
  <c r="M259" i="4"/>
  <c r="M266" i="4"/>
  <c r="N277" i="4"/>
  <c r="M286" i="4"/>
  <c r="I296" i="4"/>
  <c r="N123" i="4"/>
  <c r="K262" i="4"/>
  <c r="N269" i="4"/>
  <c r="M280" i="4"/>
  <c r="J291" i="4"/>
  <c r="J119" i="4"/>
  <c r="L266" i="4"/>
  <c r="J278" i="4"/>
  <c r="J287" i="4"/>
  <c r="K296" i="4"/>
  <c r="L122" i="4"/>
  <c r="L261" i="4"/>
  <c r="M268" i="4"/>
  <c r="L278" i="4"/>
  <c r="M288" i="4"/>
  <c r="M297" i="4"/>
  <c r="I62" i="4"/>
  <c r="K64" i="4"/>
  <c r="M66" i="4"/>
  <c r="I69" i="4"/>
  <c r="K71" i="4"/>
  <c r="M73" i="4"/>
  <c r="N271" i="4"/>
  <c r="L80" i="4"/>
  <c r="L82" i="4"/>
  <c r="J86" i="4"/>
  <c r="K25" i="4"/>
  <c r="K26" i="4"/>
  <c r="J69" i="4"/>
  <c r="N70" i="4"/>
  <c r="K132" i="4"/>
  <c r="I133" i="4"/>
  <c r="M133" i="4"/>
  <c r="K134" i="4"/>
  <c r="I135" i="4"/>
  <c r="M135" i="4"/>
  <c r="K136" i="4"/>
  <c r="I137" i="4"/>
  <c r="M137" i="4"/>
  <c r="K138" i="4"/>
  <c r="I139" i="4"/>
  <c r="M139" i="4"/>
  <c r="K140" i="4"/>
  <c r="I141" i="4"/>
  <c r="L141" i="4"/>
  <c r="J142" i="4"/>
  <c r="N142" i="4"/>
  <c r="K143" i="4"/>
  <c r="N143" i="4"/>
  <c r="K144" i="4"/>
  <c r="I145" i="4"/>
  <c r="M145" i="4"/>
  <c r="N145" i="4"/>
  <c r="I146" i="4"/>
  <c r="J146" i="4"/>
  <c r="K146" i="4"/>
  <c r="L146" i="4"/>
  <c r="M146" i="4"/>
  <c r="N146" i="4"/>
  <c r="I147" i="4"/>
  <c r="J147" i="4"/>
  <c r="K147" i="4"/>
  <c r="L147" i="4"/>
  <c r="M147" i="4"/>
  <c r="N147" i="4"/>
  <c r="I148" i="4"/>
  <c r="J148" i="4"/>
  <c r="K148" i="4"/>
  <c r="L148" i="4"/>
  <c r="M148" i="4"/>
  <c r="N148" i="4"/>
  <c r="I149" i="4"/>
  <c r="J149" i="4"/>
  <c r="K149" i="4"/>
  <c r="L149" i="4"/>
  <c r="M149" i="4"/>
  <c r="N149" i="4"/>
  <c r="I150" i="4"/>
  <c r="J150" i="4"/>
  <c r="K150" i="4"/>
  <c r="L150" i="4"/>
  <c r="M150" i="4"/>
  <c r="N150" i="4"/>
  <c r="I151" i="4"/>
  <c r="J151" i="4"/>
  <c r="K151" i="4"/>
  <c r="L151" i="4"/>
  <c r="M151" i="4"/>
  <c r="N151" i="4"/>
  <c r="I152" i="4"/>
  <c r="J152" i="4"/>
  <c r="K152" i="4"/>
  <c r="L152" i="4"/>
  <c r="M152" i="4"/>
  <c r="N152" i="4"/>
  <c r="I153" i="4"/>
  <c r="J153" i="4"/>
  <c r="K153" i="4"/>
  <c r="L153" i="4"/>
  <c r="M153" i="4"/>
  <c r="N153" i="4"/>
  <c r="I154" i="4"/>
  <c r="J154" i="4"/>
  <c r="K154" i="4"/>
  <c r="L154" i="4"/>
  <c r="M154" i="4"/>
  <c r="N154" i="4"/>
  <c r="I155" i="4"/>
  <c r="J155" i="4"/>
  <c r="K155" i="4"/>
  <c r="L155" i="4"/>
  <c r="M155" i="4"/>
  <c r="N155" i="4"/>
  <c r="J156" i="4"/>
  <c r="N156" i="4"/>
  <c r="M233" i="4"/>
  <c r="M234" i="4"/>
  <c r="M270" i="4"/>
  <c r="I272" i="4"/>
  <c r="I273" i="4"/>
  <c r="I274" i="4"/>
  <c r="L157" i="4"/>
  <c r="M157" i="4"/>
  <c r="N157" i="4"/>
  <c r="I158" i="4"/>
  <c r="J158" i="4"/>
  <c r="K158" i="4"/>
  <c r="L158" i="4"/>
  <c r="M158" i="4"/>
  <c r="N158" i="4"/>
  <c r="I159" i="4"/>
  <c r="J159" i="4"/>
  <c r="K159" i="4"/>
  <c r="L159" i="4"/>
  <c r="M159" i="4"/>
  <c r="N159" i="4"/>
  <c r="I160" i="4"/>
  <c r="J160" i="4"/>
  <c r="K160" i="4"/>
  <c r="L160" i="4"/>
  <c r="M160" i="4"/>
  <c r="N160" i="4"/>
  <c r="I161" i="4"/>
  <c r="J161" i="4"/>
  <c r="K161" i="4"/>
  <c r="L161" i="4"/>
  <c r="M161" i="4"/>
  <c r="N161" i="4"/>
  <c r="I162" i="4"/>
  <c r="J162" i="4"/>
  <c r="K162" i="4"/>
  <c r="L162" i="4"/>
  <c r="M162" i="4"/>
  <c r="N162" i="4"/>
  <c r="I163" i="4"/>
  <c r="J163" i="4"/>
  <c r="K163" i="4"/>
  <c r="L163" i="4"/>
  <c r="M163" i="4"/>
  <c r="N163" i="4"/>
  <c r="I164" i="4"/>
  <c r="J164" i="4"/>
  <c r="K164" i="4"/>
  <c r="L164" i="4"/>
  <c r="M164" i="4"/>
  <c r="N164" i="4"/>
  <c r="I165" i="4"/>
  <c r="J165" i="4"/>
  <c r="K165" i="4"/>
  <c r="L165" i="4"/>
  <c r="M165" i="4"/>
  <c r="N165" i="4"/>
  <c r="I166" i="4"/>
  <c r="J166" i="4"/>
  <c r="K166" i="4"/>
  <c r="L166" i="4"/>
  <c r="M166" i="4"/>
  <c r="N166" i="4"/>
  <c r="I167" i="4"/>
  <c r="J167" i="4"/>
  <c r="K167" i="4"/>
  <c r="L167" i="4"/>
  <c r="M167" i="4"/>
  <c r="N167" i="4"/>
  <c r="I168" i="4"/>
  <c r="J168" i="4"/>
  <c r="K168" i="4"/>
  <c r="L168" i="4"/>
  <c r="M168" i="4"/>
  <c r="N168" i="4"/>
  <c r="I169" i="4"/>
  <c r="J169" i="4"/>
  <c r="K169" i="4"/>
  <c r="L169" i="4"/>
  <c r="M169" i="4"/>
  <c r="N169" i="4"/>
  <c r="I170" i="4"/>
  <c r="J170" i="4"/>
  <c r="K170" i="4"/>
  <c r="L170" i="4"/>
  <c r="M170" i="4"/>
  <c r="N170" i="4"/>
  <c r="I171" i="4"/>
  <c r="J171" i="4"/>
  <c r="K171" i="4"/>
  <c r="L171" i="4"/>
  <c r="M171" i="4"/>
  <c r="N171" i="4"/>
  <c r="I172" i="4"/>
  <c r="J172" i="4"/>
  <c r="K172" i="4"/>
  <c r="L172" i="4"/>
  <c r="M172" i="4"/>
  <c r="N172" i="4"/>
  <c r="I173" i="4"/>
  <c r="K178" i="4"/>
  <c r="M121" i="4"/>
  <c r="M261" i="4"/>
  <c r="L267" i="4"/>
  <c r="M277" i="4"/>
  <c r="K286" i="4"/>
  <c r="M295" i="4"/>
  <c r="J124" i="4"/>
  <c r="M262" i="4"/>
  <c r="I271" i="4"/>
  <c r="K281" i="4"/>
  <c r="L290" i="4"/>
  <c r="I259" i="4"/>
  <c r="I266" i="4"/>
  <c r="K278" i="4"/>
  <c r="I287" i="4"/>
  <c r="N296" i="4"/>
  <c r="L121" i="4"/>
  <c r="J269" i="4"/>
  <c r="L280" i="4"/>
  <c r="N289" i="4"/>
  <c r="L273" i="4"/>
  <c r="M124" i="4"/>
  <c r="J263" i="4"/>
  <c r="I282" i="4"/>
  <c r="K291" i="4"/>
  <c r="M60" i="4"/>
  <c r="I63" i="4"/>
  <c r="K65" i="4"/>
  <c r="M67" i="4"/>
  <c r="I70" i="4"/>
  <c r="K72" i="4"/>
  <c r="M74" i="4"/>
  <c r="L81" i="4"/>
  <c r="J83" i="4"/>
  <c r="M17" i="4"/>
  <c r="M25" i="4"/>
  <c r="M26" i="4"/>
  <c r="L70" i="4"/>
  <c r="N131" i="4"/>
  <c r="L132" i="4"/>
  <c r="J133" i="4"/>
  <c r="N133" i="4"/>
  <c r="L134" i="4"/>
  <c r="J135" i="4"/>
  <c r="N135" i="4"/>
  <c r="L136" i="4"/>
  <c r="J137" i="4"/>
  <c r="N137" i="4"/>
  <c r="L138" i="4"/>
  <c r="J139" i="4"/>
  <c r="I140" i="4"/>
  <c r="M140" i="4"/>
  <c r="K141" i="4"/>
  <c r="I142" i="4"/>
  <c r="M142" i="4"/>
  <c r="J143" i="4"/>
  <c r="M143" i="4"/>
  <c r="J144" i="4"/>
  <c r="N144" i="4"/>
  <c r="L145" i="4"/>
  <c r="N178" i="4"/>
  <c r="K179" i="4"/>
  <c r="N179" i="4"/>
  <c r="K180" i="4"/>
  <c r="N180" i="4"/>
  <c r="K181" i="4"/>
  <c r="N181" i="4"/>
  <c r="K182" i="4"/>
  <c r="N182" i="4"/>
  <c r="L183" i="4"/>
  <c r="I184" i="4"/>
  <c r="L184" i="4"/>
  <c r="I185" i="4"/>
  <c r="L185" i="4"/>
  <c r="I186" i="4"/>
  <c r="L186" i="4"/>
  <c r="I187" i="4"/>
  <c r="L187" i="4"/>
  <c r="I188" i="4"/>
  <c r="L188" i="4"/>
  <c r="I189" i="4"/>
  <c r="M189" i="4"/>
  <c r="J190" i="4"/>
  <c r="K190" i="4"/>
  <c r="L190" i="4"/>
  <c r="M190" i="4"/>
  <c r="N190" i="4"/>
  <c r="I191" i="4"/>
  <c r="J191" i="4"/>
  <c r="K191" i="4"/>
  <c r="L191" i="4"/>
  <c r="M191" i="4"/>
  <c r="N191" i="4"/>
  <c r="I192" i="4"/>
  <c r="J192" i="4"/>
  <c r="K192" i="4"/>
  <c r="L192" i="4"/>
  <c r="M192" i="4"/>
  <c r="N192" i="4"/>
  <c r="I193" i="4"/>
  <c r="J193" i="4"/>
  <c r="K193" i="4"/>
  <c r="L193" i="4"/>
  <c r="M193" i="4"/>
  <c r="N193" i="4"/>
  <c r="I194" i="4"/>
  <c r="J194" i="4"/>
  <c r="K194" i="4"/>
  <c r="L194" i="4"/>
  <c r="M194" i="4"/>
  <c r="N194" i="4"/>
  <c r="I195" i="4"/>
  <c r="J195" i="4"/>
  <c r="K195" i="4"/>
  <c r="L195" i="4"/>
  <c r="M195" i="4"/>
  <c r="N195" i="4"/>
  <c r="I196" i="4"/>
  <c r="J196" i="4"/>
  <c r="L233" i="4"/>
  <c r="L234" i="4"/>
  <c r="L270" i="4"/>
  <c r="L271" i="4"/>
  <c r="K196" i="4"/>
  <c r="L196" i="4"/>
  <c r="M196" i="4"/>
  <c r="N196" i="4"/>
  <c r="I197" i="4"/>
  <c r="J197" i="4"/>
  <c r="K197" i="4"/>
  <c r="L197" i="4"/>
  <c r="M197" i="4"/>
  <c r="N197" i="4"/>
  <c r="I198" i="4"/>
  <c r="J198" i="4"/>
  <c r="K198" i="4"/>
  <c r="L198" i="4"/>
  <c r="M198" i="4"/>
  <c r="N198" i="4"/>
  <c r="I199" i="4"/>
  <c r="J199" i="4"/>
  <c r="K199" i="4"/>
  <c r="L199" i="4"/>
  <c r="M199" i="4"/>
  <c r="N199" i="4"/>
  <c r="I200" i="4"/>
  <c r="J200" i="4"/>
  <c r="K200" i="4"/>
  <c r="L200" i="4"/>
  <c r="M200" i="4"/>
  <c r="N200" i="4"/>
  <c r="I201" i="4"/>
  <c r="J201" i="4"/>
  <c r="K201" i="4"/>
  <c r="L201" i="4"/>
  <c r="M201" i="4"/>
  <c r="N201" i="4"/>
  <c r="I202" i="4"/>
  <c r="J202" i="4"/>
  <c r="K202" i="4"/>
  <c r="L202" i="4"/>
  <c r="M202" i="4"/>
  <c r="N202" i="4"/>
  <c r="I203" i="4"/>
  <c r="J203" i="4"/>
  <c r="K203" i="4"/>
  <c r="L203" i="4"/>
  <c r="M203" i="4"/>
  <c r="N203" i="4"/>
  <c r="I204" i="4"/>
  <c r="J204" i="4"/>
  <c r="K204" i="4"/>
  <c r="L204" i="4"/>
  <c r="M204" i="4"/>
  <c r="N204" i="4"/>
  <c r="I205" i="4"/>
  <c r="J205" i="4"/>
  <c r="K205" i="4"/>
  <c r="L205" i="4"/>
  <c r="M205" i="4"/>
  <c r="N205" i="4"/>
  <c r="I206" i="4"/>
  <c r="J206" i="4"/>
  <c r="K206" i="4"/>
  <c r="L206" i="4"/>
  <c r="M206" i="4"/>
  <c r="N206" i="4"/>
  <c r="I207" i="4"/>
  <c r="J207" i="4"/>
  <c r="K207" i="4"/>
  <c r="L207" i="4"/>
  <c r="M207" i="4"/>
  <c r="N207" i="4"/>
  <c r="I208" i="4"/>
  <c r="J208" i="4"/>
  <c r="K208" i="4"/>
  <c r="L208" i="4"/>
  <c r="M208" i="4"/>
  <c r="N208" i="4"/>
  <c r="I209" i="4"/>
  <c r="J209" i="4"/>
  <c r="K209" i="4"/>
  <c r="L209" i="4"/>
  <c r="M209" i="4"/>
  <c r="N209" i="4"/>
  <c r="I210" i="4"/>
  <c r="J210" i="4"/>
  <c r="K210" i="4"/>
  <c r="L210" i="4"/>
  <c r="M210" i="4"/>
  <c r="N210" i="4"/>
  <c r="I211" i="4"/>
  <c r="J211" i="4"/>
  <c r="K211" i="4"/>
  <c r="L211" i="4"/>
  <c r="M211" i="4"/>
  <c r="N211" i="4"/>
  <c r="I212" i="4"/>
  <c r="J212" i="4"/>
  <c r="K212" i="4"/>
  <c r="L212" i="4"/>
  <c r="M212" i="4"/>
  <c r="N212" i="4"/>
  <c r="I213" i="4"/>
  <c r="J213" i="4"/>
  <c r="K213" i="4"/>
  <c r="L213" i="4"/>
  <c r="M213" i="4"/>
  <c r="N213" i="4"/>
  <c r="I214" i="4"/>
  <c r="J214" i="4"/>
  <c r="K214" i="4"/>
  <c r="L214" i="4"/>
  <c r="M214" i="4"/>
  <c r="N214" i="4"/>
  <c r="I215" i="4"/>
  <c r="J215" i="4"/>
  <c r="K215" i="4"/>
  <c r="L215" i="4"/>
  <c r="M215" i="4"/>
  <c r="N215" i="4"/>
  <c r="I216" i="4"/>
  <c r="J216" i="4"/>
  <c r="K216" i="4"/>
  <c r="L216" i="4"/>
  <c r="M216" i="4"/>
  <c r="L218" i="4"/>
  <c r="M218" i="4"/>
  <c r="N218" i="4"/>
  <c r="I219" i="4"/>
  <c r="J219" i="4"/>
  <c r="K219" i="4"/>
  <c r="L219" i="4"/>
  <c r="M219" i="4"/>
  <c r="N219" i="4"/>
  <c r="I220" i="4"/>
  <c r="J220" i="4"/>
  <c r="K220" i="4"/>
  <c r="L220" i="4"/>
  <c r="M220" i="4"/>
  <c r="N220" i="4"/>
  <c r="I221" i="4"/>
  <c r="J221" i="4"/>
  <c r="I124" i="4"/>
  <c r="L262" i="4"/>
  <c r="J270" i="4"/>
  <c r="N279" i="4"/>
  <c r="I289" i="4"/>
  <c r="I297" i="4"/>
  <c r="I123" i="4"/>
  <c r="N261" i="4"/>
  <c r="I269" i="4"/>
  <c r="J280" i="4"/>
  <c r="K289" i="4"/>
  <c r="K297" i="4"/>
  <c r="I125" i="4"/>
  <c r="I263" i="4"/>
  <c r="N281" i="4"/>
  <c r="K288" i="4"/>
  <c r="M305" i="4"/>
  <c r="M123" i="4"/>
  <c r="K274" i="4"/>
  <c r="J283" i="4"/>
  <c r="I291" i="4"/>
  <c r="J120" i="4"/>
  <c r="K260" i="4"/>
  <c r="K267" i="4"/>
  <c r="M279" i="4"/>
  <c r="K287" i="4"/>
  <c r="L296" i="4"/>
  <c r="K59" i="4"/>
  <c r="K61" i="4"/>
  <c r="M63" i="4"/>
  <c r="I66" i="4"/>
  <c r="K68" i="4"/>
  <c r="M70" i="4"/>
  <c r="M72" i="4"/>
  <c r="I75" i="4"/>
  <c r="N79" i="4"/>
  <c r="N80" i="4"/>
  <c r="N82" i="4"/>
  <c r="L86" i="4"/>
  <c r="L25" i="4"/>
  <c r="L26" i="4"/>
  <c r="N69" i="4"/>
  <c r="L71" i="4"/>
  <c r="J132" i="4"/>
  <c r="N132" i="4"/>
  <c r="L133" i="4"/>
  <c r="J134" i="4"/>
  <c r="N134" i="4"/>
  <c r="L135" i="4"/>
  <c r="I136" i="4"/>
  <c r="M136" i="4"/>
  <c r="K137" i="4"/>
  <c r="I138" i="4"/>
  <c r="M138" i="4"/>
  <c r="K139" i="4"/>
  <c r="N139" i="4"/>
  <c r="L140" i="4"/>
  <c r="J141" i="4"/>
  <c r="N141" i="4"/>
  <c r="L142" i="4"/>
  <c r="L144" i="4"/>
  <c r="J145" i="4"/>
  <c r="L178" i="4"/>
  <c r="I179" i="4"/>
  <c r="L179" i="4"/>
  <c r="I180" i="4"/>
  <c r="L180" i="4"/>
  <c r="I181" i="4"/>
  <c r="L181" i="4"/>
  <c r="I182" i="4"/>
  <c r="L182" i="4"/>
  <c r="I183" i="4"/>
  <c r="K183" i="4"/>
  <c r="N183" i="4"/>
  <c r="K184" i="4"/>
  <c r="N184" i="4"/>
  <c r="K185" i="4"/>
  <c r="N185" i="4"/>
  <c r="K186" i="4"/>
  <c r="M186" i="4"/>
  <c r="J187" i="4"/>
  <c r="M187" i="4"/>
  <c r="J188" i="4"/>
  <c r="M188" i="4"/>
  <c r="J189" i="4"/>
  <c r="L189" i="4"/>
  <c r="I190" i="4"/>
  <c r="L221" i="4"/>
  <c r="N221" i="4"/>
  <c r="J222" i="4"/>
  <c r="L222" i="4"/>
  <c r="N222" i="4"/>
  <c r="J223" i="4"/>
  <c r="L223" i="4"/>
  <c r="N223" i="4"/>
  <c r="J224" i="4"/>
  <c r="L224" i="4"/>
  <c r="M224" i="4"/>
  <c r="I225" i="4"/>
  <c r="K225" i="4"/>
  <c r="M225" i="4"/>
  <c r="I226" i="4"/>
  <c r="K226" i="4"/>
  <c r="M226" i="4"/>
  <c r="I227" i="4"/>
  <c r="K227" i="4"/>
  <c r="M227" i="4"/>
  <c r="I228" i="4"/>
  <c r="K228" i="4"/>
  <c r="M228" i="4"/>
  <c r="I229" i="4"/>
  <c r="K229" i="4"/>
  <c r="M229" i="4"/>
  <c r="I230" i="4"/>
  <c r="K230" i="4"/>
  <c r="M230" i="4"/>
  <c r="I231" i="4"/>
  <c r="K231" i="4"/>
  <c r="M231" i="4"/>
  <c r="N231" i="4"/>
  <c r="J232" i="4"/>
  <c r="L232" i="4"/>
  <c r="N232" i="4"/>
  <c r="J233" i="4"/>
  <c r="I234" i="4"/>
  <c r="J271" i="4"/>
  <c r="K273" i="4"/>
  <c r="K235" i="4"/>
  <c r="M235" i="4"/>
  <c r="I236" i="4"/>
  <c r="K236" i="4"/>
  <c r="M236" i="4"/>
  <c r="I237" i="4"/>
  <c r="K237" i="4"/>
  <c r="M237" i="4"/>
  <c r="I238" i="4"/>
  <c r="K238" i="4"/>
  <c r="M238" i="4"/>
  <c r="I239" i="4"/>
  <c r="K239" i="4"/>
  <c r="M239" i="4"/>
  <c r="I240" i="4"/>
  <c r="K240" i="4"/>
  <c r="M240" i="4"/>
  <c r="I241" i="4"/>
  <c r="K241" i="4"/>
  <c r="M241" i="4"/>
  <c r="I242" i="4"/>
  <c r="K242" i="4"/>
  <c r="L242" i="4"/>
  <c r="N242" i="4"/>
  <c r="J243" i="4"/>
  <c r="L243" i="4"/>
  <c r="N243" i="4"/>
  <c r="J244" i="4"/>
  <c r="L244" i="4"/>
  <c r="N244" i="4"/>
  <c r="J245" i="4"/>
  <c r="L245" i="4"/>
  <c r="N245" i="4"/>
  <c r="J246" i="4"/>
  <c r="L246" i="4"/>
  <c r="M246" i="4"/>
  <c r="I247" i="4"/>
  <c r="J247" i="4"/>
  <c r="K247" i="4"/>
  <c r="L247" i="4"/>
  <c r="M247" i="4"/>
  <c r="N247" i="4"/>
  <c r="I248" i="4"/>
  <c r="J248" i="4"/>
  <c r="K248" i="4"/>
  <c r="L248" i="4"/>
  <c r="M248" i="4"/>
  <c r="N248" i="4"/>
  <c r="I249" i="4"/>
  <c r="J249" i="4"/>
  <c r="K249" i="4"/>
  <c r="L249" i="4"/>
  <c r="M249" i="4"/>
  <c r="N249" i="4"/>
  <c r="I250" i="4"/>
  <c r="J250" i="4"/>
  <c r="K250" i="4"/>
  <c r="L250" i="4"/>
  <c r="M250" i="4"/>
  <c r="N250" i="4"/>
  <c r="I251" i="4"/>
  <c r="J251" i="4"/>
  <c r="K251" i="4"/>
  <c r="L251" i="4"/>
  <c r="M251" i="4"/>
  <c r="N251" i="4"/>
  <c r="I252" i="4"/>
  <c r="J252" i="4"/>
  <c r="K252" i="4"/>
  <c r="L252" i="4"/>
  <c r="M252" i="4"/>
  <c r="N252" i="4"/>
  <c r="I253" i="4"/>
  <c r="J253" i="4"/>
  <c r="K253" i="4"/>
  <c r="L253" i="4"/>
  <c r="M253" i="4"/>
  <c r="N253" i="4"/>
  <c r="I254" i="4"/>
  <c r="J254" i="4"/>
  <c r="K254" i="4"/>
  <c r="L254" i="4"/>
  <c r="M254" i="4"/>
  <c r="N254" i="4"/>
  <c r="I255" i="4"/>
  <c r="J255" i="4"/>
  <c r="K255" i="4"/>
  <c r="L255" i="4"/>
  <c r="M255" i="4"/>
  <c r="N255" i="4"/>
  <c r="I256" i="4"/>
  <c r="I257" i="4"/>
  <c r="J258" i="4"/>
  <c r="K259" i="4"/>
  <c r="L260" i="4"/>
  <c r="I268" i="4"/>
  <c r="K269" i="4"/>
  <c r="J273" i="4"/>
  <c r="L274" i="4"/>
  <c r="M275" i="4"/>
  <c r="N276" i="4"/>
  <c r="I278" i="4"/>
  <c r="J279" i="4"/>
  <c r="K280" i="4"/>
  <c r="L281" i="4"/>
  <c r="N282" i="4"/>
  <c r="J284" i="4"/>
  <c r="L285" i="4"/>
  <c r="N286" i="4"/>
  <c r="J288" i="4"/>
  <c r="L289" i="4"/>
  <c r="M290" i="4"/>
  <c r="I292" i="4"/>
  <c r="K293" i="4"/>
  <c r="L294" i="4"/>
  <c r="N295" i="4"/>
  <c r="J297" i="4"/>
  <c r="J305" i="4"/>
  <c r="K258" i="4"/>
  <c r="J265" i="4"/>
  <c r="K275" i="4"/>
  <c r="K282" i="4"/>
  <c r="M291" i="4"/>
  <c r="J256" i="4"/>
  <c r="L263" i="4"/>
  <c r="J274" i="4"/>
  <c r="M282" i="4"/>
  <c r="J293" i="4"/>
  <c r="K119" i="4"/>
  <c r="N257" i="4"/>
  <c r="I265" i="4"/>
  <c r="I276" i="4"/>
  <c r="M285" i="4"/>
  <c r="K295" i="4"/>
  <c r="M122" i="4"/>
  <c r="J272" i="4"/>
  <c r="M281" i="4"/>
  <c r="K292" i="4"/>
  <c r="N118" i="4"/>
  <c r="M256" i="4"/>
  <c r="N264" i="4"/>
  <c r="K276" i="4"/>
  <c r="I286" i="4"/>
  <c r="J295" i="4"/>
  <c r="L60" i="4"/>
  <c r="M62" i="4"/>
  <c r="I65" i="4"/>
  <c r="K67" i="4"/>
  <c r="K69" i="4"/>
  <c r="I72" i="4"/>
  <c r="K74" i="4"/>
  <c r="N273" i="4"/>
  <c r="J81" i="4"/>
  <c r="N83" i="4"/>
  <c r="N17" i="4"/>
  <c r="N25" i="4"/>
  <c r="N26" i="4"/>
  <c r="J70" i="4"/>
  <c r="I132" i="4"/>
  <c r="M132" i="4"/>
  <c r="K133" i="4"/>
  <c r="I134" i="4"/>
  <c r="M134" i="4"/>
  <c r="K135" i="4"/>
  <c r="J136" i="4"/>
  <c r="N136" i="4"/>
  <c r="L137" i="4"/>
  <c r="J138" i="4"/>
  <c r="N138" i="4"/>
  <c r="L139" i="4"/>
  <c r="J140" i="4"/>
  <c r="N140" i="4"/>
  <c r="M141" i="4"/>
  <c r="K142" i="4"/>
  <c r="I143" i="4"/>
  <c r="L143" i="4"/>
  <c r="I144" i="4"/>
  <c r="M144" i="4"/>
  <c r="K145" i="4"/>
  <c r="M178" i="4"/>
  <c r="J179" i="4"/>
  <c r="M179" i="4"/>
  <c r="J180" i="4"/>
  <c r="M180" i="4"/>
  <c r="J181" i="4"/>
  <c r="M181" i="4"/>
  <c r="J182" i="4"/>
  <c r="M182" i="4"/>
  <c r="J183" i="4"/>
  <c r="M183" i="4"/>
  <c r="J184" i="4"/>
  <c r="M184" i="4"/>
  <c r="J185" i="4"/>
  <c r="M185" i="4"/>
  <c r="J186" i="4"/>
  <c r="N186" i="4"/>
  <c r="K187" i="4"/>
  <c r="N187" i="4"/>
  <c r="K188" i="4"/>
  <c r="N188" i="4"/>
  <c r="K189" i="4"/>
  <c r="N189" i="4"/>
  <c r="K221" i="4"/>
  <c r="M221" i="4"/>
  <c r="I222" i="4"/>
  <c r="K222" i="4"/>
  <c r="M222" i="4"/>
  <c r="I223" i="4"/>
  <c r="K223" i="4"/>
  <c r="M223" i="4"/>
  <c r="I224" i="4"/>
  <c r="K224" i="4"/>
  <c r="N224" i="4"/>
  <c r="J225" i="4"/>
  <c r="L225" i="4"/>
  <c r="N225" i="4"/>
  <c r="J226" i="4"/>
  <c r="L226" i="4"/>
  <c r="N226" i="4"/>
  <c r="J227" i="4"/>
  <c r="L227" i="4"/>
  <c r="N227" i="4"/>
  <c r="J228" i="4"/>
  <c r="L228" i="4"/>
  <c r="N228" i="4"/>
  <c r="J229" i="4"/>
  <c r="L229" i="4"/>
  <c r="N229" i="4"/>
  <c r="J230" i="4"/>
  <c r="L230" i="4"/>
  <c r="N230" i="4"/>
  <c r="J231" i="4"/>
  <c r="L231" i="4"/>
  <c r="I232" i="4"/>
  <c r="K232" i="4"/>
  <c r="M232" i="4"/>
  <c r="I233" i="4"/>
  <c r="K233" i="4"/>
  <c r="I235" i="4"/>
  <c r="K272" i="4"/>
  <c r="L305" i="4"/>
  <c r="L235" i="4"/>
  <c r="N235" i="4"/>
  <c r="J236" i="4"/>
  <c r="L236" i="4"/>
  <c r="N236" i="4"/>
  <c r="J237" i="4"/>
  <c r="L237" i="4"/>
  <c r="N237" i="4"/>
  <c r="J238" i="4"/>
  <c r="L238" i="4"/>
  <c r="N238" i="4"/>
  <c r="J239" i="4"/>
  <c r="L239" i="4"/>
  <c r="N239" i="4"/>
  <c r="J240" i="4"/>
  <c r="L240" i="4"/>
  <c r="N240" i="4"/>
  <c r="J241" i="4"/>
  <c r="L241" i="4"/>
  <c r="N241" i="4"/>
  <c r="J242" i="4"/>
  <c r="M242" i="4"/>
  <c r="I243" i="4"/>
  <c r="K243" i="4"/>
  <c r="M243" i="4"/>
  <c r="I244" i="4"/>
  <c r="K244" i="4"/>
  <c r="M244" i="4"/>
  <c r="I245" i="4"/>
  <c r="K245" i="4"/>
  <c r="M245" i="4"/>
  <c r="I246" i="4"/>
  <c r="K246" i="4"/>
  <c r="N246" i="4"/>
  <c r="K14" i="2"/>
  <c r="K13" i="2"/>
  <c r="K16" i="2"/>
  <c r="K15" i="2"/>
  <c r="P15" i="2" s="1"/>
  <c r="K9" i="2"/>
  <c r="U1585" i="3" l="1"/>
  <c r="H261" i="4"/>
  <c r="H120" i="4"/>
  <c r="H189" i="4"/>
  <c r="O189" i="4" s="1"/>
  <c r="H217" i="4"/>
  <c r="H259" i="4"/>
  <c r="H87" i="4"/>
  <c r="H20" i="4"/>
  <c r="H283" i="4"/>
  <c r="AI1154" i="3" s="1" a="1"/>
  <c r="AI1154" i="3" s="1"/>
  <c r="H266" i="4"/>
  <c r="AI1094" i="3" s="1" a="1"/>
  <c r="AI1094" i="3" s="1"/>
  <c r="H262" i="4"/>
  <c r="AI1066" i="3" s="1" a="1"/>
  <c r="AI1066" i="3" s="1"/>
  <c r="H176" i="4"/>
  <c r="H106" i="4"/>
  <c r="H105" i="4"/>
  <c r="H121" i="4"/>
  <c r="H233" i="4"/>
  <c r="H60" i="4"/>
  <c r="H22" i="4"/>
  <c r="H145" i="4"/>
  <c r="AI489" i="3" s="1" a="1"/>
  <c r="AI489" i="3" s="1"/>
  <c r="H295" i="4"/>
  <c r="AI1207" i="3" s="1" a="1"/>
  <c r="AI1207" i="3" s="1"/>
  <c r="H277" i="4"/>
  <c r="AI1140" i="3" s="1" a="1"/>
  <c r="AI1140" i="3" s="1"/>
  <c r="H260" i="4"/>
  <c r="H17" i="4"/>
  <c r="H104" i="4"/>
  <c r="H67" i="4"/>
  <c r="H174" i="4"/>
  <c r="H115" i="4"/>
  <c r="H275" i="4"/>
  <c r="AI1137" i="3" s="1" a="1"/>
  <c r="AI1137" i="3" s="1"/>
  <c r="H66" i="4"/>
  <c r="H280" i="4"/>
  <c r="AI1146" i="3" s="1" a="1"/>
  <c r="AI1146" i="3" s="1"/>
  <c r="H62" i="4"/>
  <c r="H175" i="4"/>
  <c r="H63" i="4"/>
  <c r="AR1583" i="3"/>
  <c r="AO1583" i="3"/>
  <c r="H156" i="4"/>
  <c r="H271" i="4"/>
  <c r="AI1125" i="3" s="1" a="1"/>
  <c r="AI1125" i="3" s="1"/>
  <c r="H76" i="4"/>
  <c r="H286" i="4"/>
  <c r="AI1158" i="3" s="1" a="1"/>
  <c r="AI1158" i="3" s="1"/>
  <c r="H288" i="4"/>
  <c r="AI1171" i="3" s="1" a="1"/>
  <c r="AI1171" i="3" s="1"/>
  <c r="H297" i="4"/>
  <c r="AI1217" i="3" s="1" a="1"/>
  <c r="AI1217" i="3" s="1"/>
  <c r="H265" i="4"/>
  <c r="AI1085" i="3" s="1" a="1"/>
  <c r="AI1085" i="3" s="1"/>
  <c r="H272" i="4"/>
  <c r="AI1127" i="3" s="1" a="1"/>
  <c r="AI1127" i="3" s="1"/>
  <c r="H70" i="4"/>
  <c r="H140" i="4"/>
  <c r="H282" i="4"/>
  <c r="AI1148" i="3" s="1" a="1"/>
  <c r="AI1148" i="3" s="1"/>
  <c r="H290" i="4"/>
  <c r="AI1178" i="3" s="1" a="1"/>
  <c r="AI1178" i="3" s="1"/>
  <c r="H142" i="4"/>
  <c r="H141" i="4"/>
  <c r="H218" i="4"/>
  <c r="H178" i="4"/>
  <c r="H125" i="4"/>
  <c r="H108" i="4"/>
  <c r="H110" i="4"/>
  <c r="H111" i="4"/>
  <c r="H112" i="4"/>
  <c r="H34" i="4"/>
  <c r="H80" i="4"/>
  <c r="H82" i="4"/>
  <c r="H25" i="4"/>
  <c r="H26" i="4"/>
  <c r="H157" i="4"/>
  <c r="H234" i="4"/>
  <c r="H123" i="4"/>
  <c r="H294" i="4"/>
  <c r="AI1204" i="3" s="1" a="1"/>
  <c r="AI1204" i="3" s="1"/>
  <c r="H61" i="4"/>
  <c r="H243" i="4"/>
  <c r="AI928" i="3" s="1" a="1"/>
  <c r="AI928" i="3" s="1"/>
  <c r="H130" i="4"/>
  <c r="AI961" i="3" s="1" a="1"/>
  <c r="AI961" i="3" s="1"/>
  <c r="H278" i="4"/>
  <c r="AI1141" i="3" s="1" a="1"/>
  <c r="AI1141" i="3" s="1"/>
  <c r="H245" i="4"/>
  <c r="AI935" i="3" s="1" a="1"/>
  <c r="AI935" i="3" s="1"/>
  <c r="H172" i="4"/>
  <c r="O172" i="4" s="1"/>
  <c r="H263" i="4"/>
  <c r="H199" i="4"/>
  <c r="H211" i="4"/>
  <c r="H244" i="4"/>
  <c r="H251" i="4"/>
  <c r="AI946" i="3" s="1" a="1"/>
  <c r="AI946" i="3" s="1"/>
  <c r="H273" i="4"/>
  <c r="AI1128" i="3" s="1" a="1"/>
  <c r="AI1128" i="3" s="1"/>
  <c r="H186" i="4"/>
  <c r="AI566" i="3" s="1" a="1"/>
  <c r="AI566" i="3" s="1"/>
  <c r="H113" i="4"/>
  <c r="H235" i="4"/>
  <c r="AI896" i="3" s="1" a="1"/>
  <c r="AI896" i="3" s="1"/>
  <c r="H122" i="4"/>
  <c r="H268" i="4"/>
  <c r="AI1116" i="3" s="1" a="1"/>
  <c r="AI1116" i="3" s="1"/>
  <c r="H276" i="4"/>
  <c r="AI1138" i="3" s="1" a="1"/>
  <c r="AI1138" i="3" s="1"/>
  <c r="H281" i="4"/>
  <c r="AI1147" i="3" s="1" a="1"/>
  <c r="AI1147" i="3" s="1"/>
  <c r="H285" i="4"/>
  <c r="AI1157" i="3" s="1" a="1"/>
  <c r="AI1157" i="3" s="1"/>
  <c r="H289" i="4"/>
  <c r="AI1177" i="3" s="1" a="1"/>
  <c r="AI1177" i="3" s="1"/>
  <c r="H292" i="4"/>
  <c r="AI1186" i="3" s="1" a="1"/>
  <c r="AI1186" i="3" s="1"/>
  <c r="H296" i="4"/>
  <c r="AI1209" i="3" s="1" a="1"/>
  <c r="AI1209" i="3" s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267" i="4"/>
  <c r="AI1100" i="3" s="1" a="1"/>
  <c r="AI1100" i="3" s="1"/>
  <c r="H27" i="4"/>
  <c r="H28" i="4"/>
  <c r="H29" i="4"/>
  <c r="H30" i="4"/>
  <c r="H31" i="4"/>
  <c r="H32" i="4"/>
  <c r="H33" i="4"/>
  <c r="H127" i="4"/>
  <c r="H197" i="4"/>
  <c r="O197" i="4" s="1"/>
  <c r="H202" i="4"/>
  <c r="H206" i="4"/>
  <c r="H212" i="4"/>
  <c r="AI704" i="3" s="1" a="1"/>
  <c r="AI704" i="3" s="1"/>
  <c r="H35" i="4"/>
  <c r="H36" i="4"/>
  <c r="H37" i="4"/>
  <c r="H38" i="4"/>
  <c r="H39" i="4"/>
  <c r="H40" i="4"/>
  <c r="H117" i="4"/>
  <c r="H118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5" i="4"/>
  <c r="H68" i="4"/>
  <c r="H257" i="4"/>
  <c r="AI970" i="3" s="1" a="1"/>
  <c r="AI970" i="3" s="1"/>
  <c r="H264" i="4"/>
  <c r="AI1083" i="3" s="1" a="1"/>
  <c r="AI1083" i="3" s="1"/>
  <c r="H126" i="4"/>
  <c r="H129" i="4"/>
  <c r="H198" i="4"/>
  <c r="O198" i="4" s="1"/>
  <c r="H200" i="4"/>
  <c r="H204" i="4"/>
  <c r="H207" i="4"/>
  <c r="AI696" i="3" s="1" a="1"/>
  <c r="AI696" i="3" s="1"/>
  <c r="H209" i="4"/>
  <c r="H24" i="4"/>
  <c r="H23" i="4"/>
  <c r="H77" i="4"/>
  <c r="H71" i="4"/>
  <c r="H72" i="4"/>
  <c r="H73" i="4"/>
  <c r="H74" i="4"/>
  <c r="H75" i="4"/>
  <c r="H78" i="4"/>
  <c r="H79" i="4"/>
  <c r="H114" i="4"/>
  <c r="H116" i="4"/>
  <c r="H84" i="4"/>
  <c r="H85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7" i="4"/>
  <c r="H109" i="4"/>
  <c r="H128" i="4"/>
  <c r="H64" i="4"/>
  <c r="H201" i="4"/>
  <c r="H205" i="4"/>
  <c r="AI680" i="3" s="1" a="1"/>
  <c r="AI680" i="3" s="1"/>
  <c r="H18" i="4"/>
  <c r="H131" i="4"/>
  <c r="H291" i="4"/>
  <c r="AI1185" i="3" s="1" a="1"/>
  <c r="AI1185" i="3" s="1"/>
  <c r="H119" i="4"/>
  <c r="H287" i="4"/>
  <c r="AI1161" i="3" s="1" a="1"/>
  <c r="AI1161" i="3" s="1"/>
  <c r="H86" i="4"/>
  <c r="H69" i="4"/>
  <c r="H146" i="4"/>
  <c r="AI495" i="3" s="1" a="1"/>
  <c r="AI495" i="3" s="1"/>
  <c r="H147" i="4"/>
  <c r="AI499" i="3" s="1" a="1"/>
  <c r="AI499" i="3" s="1"/>
  <c r="H148" i="4"/>
  <c r="H149" i="4"/>
  <c r="AI521" i="3" s="1" a="1"/>
  <c r="AI521" i="3" s="1"/>
  <c r="H150" i="4"/>
  <c r="AI524" i="3" s="1" a="1"/>
  <c r="AI524" i="3" s="1"/>
  <c r="H151" i="4"/>
  <c r="AI528" i="3" s="1" a="1"/>
  <c r="AI528" i="3" s="1"/>
  <c r="H152" i="4"/>
  <c r="H153" i="4"/>
  <c r="AI532" i="3" s="1" a="1"/>
  <c r="AI532" i="3" s="1"/>
  <c r="H154" i="4"/>
  <c r="AI542" i="3" s="1" a="1"/>
  <c r="AI542" i="3" s="1"/>
  <c r="H155" i="4"/>
  <c r="AI547" i="3" s="1" a="1"/>
  <c r="AI547" i="3" s="1"/>
  <c r="H158" i="4"/>
  <c r="H159" i="4"/>
  <c r="H160" i="4"/>
  <c r="H161" i="4"/>
  <c r="H162" i="4"/>
  <c r="H163" i="4"/>
  <c r="H164" i="4"/>
  <c r="AI158" i="3" s="1" a="1"/>
  <c r="AI158" i="3" s="1"/>
  <c r="H165" i="4"/>
  <c r="H166" i="4"/>
  <c r="H167" i="4"/>
  <c r="H168" i="4"/>
  <c r="H169" i="4"/>
  <c r="H170" i="4"/>
  <c r="AI455" i="3" s="1" a="1"/>
  <c r="AI455" i="3" s="1"/>
  <c r="H171" i="4"/>
  <c r="O171" i="4" s="1"/>
  <c r="H193" i="4"/>
  <c r="O193" i="4" s="1"/>
  <c r="H194" i="4"/>
  <c r="H195" i="4"/>
  <c r="H196" i="4"/>
  <c r="AI605" i="3" s="1" a="1"/>
  <c r="AI605" i="3" s="1"/>
  <c r="H203" i="4"/>
  <c r="H208" i="4"/>
  <c r="AI697" i="3" s="1" a="1"/>
  <c r="AI697" i="3" s="1"/>
  <c r="H210" i="4"/>
  <c r="AI701" i="3" s="1" a="1"/>
  <c r="AI701" i="3" s="1"/>
  <c r="H177" i="4"/>
  <c r="O177" i="4" s="1"/>
  <c r="H21" i="4"/>
  <c r="H124" i="4"/>
  <c r="H269" i="4"/>
  <c r="AI1122" i="3" s="1" a="1"/>
  <c r="AI1122" i="3" s="1"/>
  <c r="H83" i="4"/>
  <c r="H133" i="4"/>
  <c r="H135" i="4"/>
  <c r="H137" i="4"/>
  <c r="H139" i="4"/>
  <c r="H143" i="4"/>
  <c r="AI484" i="3" s="1" a="1"/>
  <c r="AI484" i="3" s="1"/>
  <c r="H144" i="4"/>
  <c r="H190" i="4"/>
  <c r="H191" i="4"/>
  <c r="H192" i="4"/>
  <c r="H213" i="4"/>
  <c r="H214" i="4"/>
  <c r="AI727" i="3" s="1" a="1"/>
  <c r="AI727" i="3" s="1"/>
  <c r="H215" i="4"/>
  <c r="H216" i="4"/>
  <c r="H219" i="4"/>
  <c r="H220" i="4"/>
  <c r="H221" i="4"/>
  <c r="H270" i="4"/>
  <c r="AI1123" i="3" s="1" a="1"/>
  <c r="AI1123" i="3" s="1"/>
  <c r="H132" i="4"/>
  <c r="H134" i="4"/>
  <c r="H187" i="4"/>
  <c r="O187" i="4" s="1"/>
  <c r="H188" i="4"/>
  <c r="H222" i="4"/>
  <c r="AI805" i="3" s="1" a="1"/>
  <c r="AI805" i="3" s="1"/>
  <c r="H223" i="4"/>
  <c r="H224" i="4"/>
  <c r="H232" i="4"/>
  <c r="AI887" i="3" s="1" a="1"/>
  <c r="AI887" i="3" s="1"/>
  <c r="H246" i="4"/>
  <c r="AI936" i="3" s="1" a="1"/>
  <c r="AI936" i="3" s="1"/>
  <c r="H247" i="4"/>
  <c r="AI937" i="3" s="1" a="1"/>
  <c r="AI937" i="3" s="1"/>
  <c r="H248" i="4"/>
  <c r="AI938" i="3" s="1" a="1"/>
  <c r="AI938" i="3" s="1"/>
  <c r="H249" i="4"/>
  <c r="AI939" i="3" s="1" a="1"/>
  <c r="AI939" i="3" s="1"/>
  <c r="H250" i="4"/>
  <c r="AI944" i="3" s="1" a="1"/>
  <c r="AI944" i="3" s="1"/>
  <c r="H19" i="4"/>
  <c r="H252" i="4"/>
  <c r="AI947" i="3" s="1" a="1"/>
  <c r="AI947" i="3" s="1"/>
  <c r="H253" i="4"/>
  <c r="AI948" i="3" s="1" a="1"/>
  <c r="AI948" i="3" s="1"/>
  <c r="H254" i="4"/>
  <c r="AI953" i="3" s="1" a="1"/>
  <c r="AI953" i="3" s="1"/>
  <c r="H255" i="4"/>
  <c r="O255" i="4" s="1"/>
  <c r="H258" i="4"/>
  <c r="H279" i="4"/>
  <c r="AI1143" i="3" s="1" a="1"/>
  <c r="AI1143" i="3" s="1"/>
  <c r="H284" i="4"/>
  <c r="AI1155" i="3" s="1" a="1"/>
  <c r="AI1155" i="3" s="1"/>
  <c r="H305" i="4"/>
  <c r="H256" i="4"/>
  <c r="AI967" i="3" s="1" a="1"/>
  <c r="AI967" i="3" s="1"/>
  <c r="H274" i="4"/>
  <c r="AI1129" i="3" s="1" a="1"/>
  <c r="AI1129" i="3" s="1"/>
  <c r="H293" i="4"/>
  <c r="AI1190" i="3" s="1" a="1"/>
  <c r="AI1190" i="3" s="1"/>
  <c r="H81" i="4"/>
  <c r="H136" i="4"/>
  <c r="AI168" i="3" s="1" a="1"/>
  <c r="AI168" i="3" s="1"/>
  <c r="H138" i="4"/>
  <c r="H179" i="4"/>
  <c r="H180" i="4"/>
  <c r="O180" i="4" s="1"/>
  <c r="H181" i="4"/>
  <c r="H182" i="4"/>
  <c r="O182" i="4" s="1"/>
  <c r="H183" i="4"/>
  <c r="O183" i="4" s="1"/>
  <c r="H184" i="4"/>
  <c r="AI553" i="3" s="1" a="1"/>
  <c r="AI553" i="3" s="1"/>
  <c r="H185" i="4"/>
  <c r="AI554" i="3" s="1" a="1"/>
  <c r="AI554" i="3" s="1"/>
  <c r="H225" i="4"/>
  <c r="H226" i="4"/>
  <c r="H227" i="4"/>
  <c r="H228" i="4"/>
  <c r="H229" i="4"/>
  <c r="AI874" i="3" s="1" a="1"/>
  <c r="AI874" i="3" s="1"/>
  <c r="H230" i="4"/>
  <c r="AI876" i="3" s="1" a="1"/>
  <c r="AI876" i="3" s="1"/>
  <c r="H231" i="4"/>
  <c r="H236" i="4"/>
  <c r="AI902" i="3" s="1" a="1"/>
  <c r="AI902" i="3" s="1"/>
  <c r="H237" i="4"/>
  <c r="AI912" i="3" s="1" a="1"/>
  <c r="AI912" i="3" s="1"/>
  <c r="H238" i="4"/>
  <c r="AI916" i="3" s="1" a="1"/>
  <c r="AI916" i="3" s="1"/>
  <c r="H239" i="4"/>
  <c r="AI918" i="3" s="1" a="1"/>
  <c r="AI918" i="3" s="1"/>
  <c r="H240" i="4"/>
  <c r="H241" i="4"/>
  <c r="AI925" i="3" s="1" a="1"/>
  <c r="AI925" i="3" s="1"/>
  <c r="H242" i="4"/>
  <c r="AQ1584" i="3"/>
  <c r="AF1584" i="3"/>
  <c r="AN1584" i="3" s="1"/>
  <c r="AA1585" i="3"/>
  <c r="W1585" i="3"/>
  <c r="Y1585" i="3" s="1"/>
  <c r="AE1585" i="3" s="1"/>
  <c r="A1586" i="3"/>
  <c r="L7" i="2"/>
  <c r="L15" i="2"/>
  <c r="N15" i="2" s="1"/>
  <c r="O173" i="4"/>
  <c r="O261" i="4" l="1"/>
  <c r="AI1055" i="3" a="1"/>
  <c r="AI1055" i="3" s="1"/>
  <c r="AJ1055" i="3" s="1"/>
  <c r="AO1055" i="3" s="1"/>
  <c r="O217" i="4"/>
  <c r="AI767" i="3" a="1"/>
  <c r="AI767" i="3" s="1"/>
  <c r="AJ767" i="3" s="1"/>
  <c r="AO767" i="3" s="1"/>
  <c r="O259" i="4"/>
  <c r="AI994" i="3" a="1"/>
  <c r="AI994" i="3" s="1"/>
  <c r="AJ994" i="3" s="1"/>
  <c r="AO994" i="3" s="1"/>
  <c r="O233" i="4"/>
  <c r="AI889" i="3" a="1"/>
  <c r="AI889" i="3" s="1"/>
  <c r="O260" i="4"/>
  <c r="AI1027" i="3" a="1"/>
  <c r="AI1027" i="3" s="1"/>
  <c r="AJ1027" i="3" s="1"/>
  <c r="AO1027" i="3" s="1"/>
  <c r="O218" i="4"/>
  <c r="AI784" i="3" a="1"/>
  <c r="AI784" i="3" s="1"/>
  <c r="AJ784" i="3" s="1"/>
  <c r="AO784" i="3" s="1"/>
  <c r="O234" i="4"/>
  <c r="AI890" i="3" a="1"/>
  <c r="AI890" i="3" s="1"/>
  <c r="AJ890" i="3" s="1"/>
  <c r="AO890" i="3" s="1"/>
  <c r="O263" i="4"/>
  <c r="AI1067" i="3" a="1"/>
  <c r="AI1067" i="3" s="1"/>
  <c r="AJ1067" i="3" s="1"/>
  <c r="AO1067" i="3" s="1"/>
  <c r="O211" i="4"/>
  <c r="AI702" i="3" a="1"/>
  <c r="AI702" i="3" s="1"/>
  <c r="AJ702" i="3" s="1"/>
  <c r="AO702" i="3" s="1"/>
  <c r="O244" i="4"/>
  <c r="AI931" i="3" a="1"/>
  <c r="AI931" i="3" s="1"/>
  <c r="AJ931" i="3" s="1"/>
  <c r="AO931" i="3" s="1"/>
  <c r="O206" i="4"/>
  <c r="AI681" i="3" a="1"/>
  <c r="AI681" i="3" s="1"/>
  <c r="O204" i="4"/>
  <c r="AI677" i="3" a="1"/>
  <c r="AI677" i="3" s="1"/>
  <c r="O209" i="4"/>
  <c r="AI698" i="3" a="1"/>
  <c r="AI698" i="3" s="1"/>
  <c r="O203" i="4"/>
  <c r="AI676" i="3" a="1"/>
  <c r="AI676" i="3" s="1"/>
  <c r="AJ676" i="3" s="1"/>
  <c r="AO676" i="3" s="1"/>
  <c r="O213" i="4"/>
  <c r="AI726" i="3" a="1"/>
  <c r="AI726" i="3" s="1"/>
  <c r="AJ726" i="3" s="1"/>
  <c r="AO726" i="3" s="1"/>
  <c r="O215" i="4"/>
  <c r="AI734" i="3" a="1"/>
  <c r="AI734" i="3" s="1"/>
  <c r="AJ734" i="3" s="1"/>
  <c r="AO734" i="3" s="1"/>
  <c r="O216" i="4"/>
  <c r="AI739" i="3" a="1"/>
  <c r="AI739" i="3" s="1"/>
  <c r="AJ739" i="3" s="1"/>
  <c r="AO739" i="3" s="1"/>
  <c r="O219" i="4"/>
  <c r="AI790" i="3" a="1"/>
  <c r="AI790" i="3" s="1"/>
  <c r="AJ790" i="3" s="1"/>
  <c r="AO790" i="3" s="1"/>
  <c r="O220" i="4"/>
  <c r="AI802" i="3" a="1"/>
  <c r="AI802" i="3" s="1"/>
  <c r="O221" i="4"/>
  <c r="AI803" i="3" a="1"/>
  <c r="AI803" i="3" s="1"/>
  <c r="AJ803" i="3" s="1"/>
  <c r="AO803" i="3" s="1"/>
  <c r="O223" i="4"/>
  <c r="AI807" i="3" a="1"/>
  <c r="AI807" i="3" s="1"/>
  <c r="AJ807" i="3" s="1"/>
  <c r="AO807" i="3" s="1"/>
  <c r="O224" i="4"/>
  <c r="AI818" i="3" a="1"/>
  <c r="AI818" i="3" s="1"/>
  <c r="AJ818" i="3" s="1"/>
  <c r="AO818" i="3" s="1"/>
  <c r="O258" i="4"/>
  <c r="AI971" i="3" a="1"/>
  <c r="AI971" i="3" s="1"/>
  <c r="AJ971" i="3" s="1"/>
  <c r="AO971" i="3" s="1"/>
  <c r="O225" i="4"/>
  <c r="AI829" i="3" a="1"/>
  <c r="AI829" i="3" s="1"/>
  <c r="AJ829" i="3" s="1"/>
  <c r="AO829" i="3" s="1"/>
  <c r="O226" i="4"/>
  <c r="AI868" i="3" a="1"/>
  <c r="AI868" i="3" s="1"/>
  <c r="AJ868" i="3" s="1"/>
  <c r="AO868" i="3" s="1"/>
  <c r="O227" i="4"/>
  <c r="AI871" i="3" a="1"/>
  <c r="AI871" i="3" s="1"/>
  <c r="AJ871" i="3" s="1"/>
  <c r="AO871" i="3" s="1"/>
  <c r="O228" i="4"/>
  <c r="AI873" i="3" a="1"/>
  <c r="AI873" i="3" s="1"/>
  <c r="AJ873" i="3" s="1"/>
  <c r="AO873" i="3" s="1"/>
  <c r="O231" i="4"/>
  <c r="AI878" i="3" a="1"/>
  <c r="AI878" i="3" s="1"/>
  <c r="AJ878" i="3" s="1"/>
  <c r="AO878" i="3" s="1"/>
  <c r="O240" i="4"/>
  <c r="AI924" i="3" a="1"/>
  <c r="AI924" i="3" s="1"/>
  <c r="AJ924" i="3" s="1"/>
  <c r="AO924" i="3" s="1"/>
  <c r="O242" i="4"/>
  <c r="AI926" i="3" a="1"/>
  <c r="AI926" i="3" s="1"/>
  <c r="AJ926" i="3" s="1"/>
  <c r="AO926" i="3" s="1"/>
  <c r="AC1585" i="3"/>
  <c r="AI1585" i="3" a="1"/>
  <c r="AI1585" i="3" s="1"/>
  <c r="O202" i="4"/>
  <c r="AI656" i="3" a="1"/>
  <c r="AI656" i="3" s="1"/>
  <c r="AJ656" i="3" s="1"/>
  <c r="AO656" i="3" s="1"/>
  <c r="O201" i="4"/>
  <c r="AI654" i="3" a="1"/>
  <c r="AI654" i="3" s="1"/>
  <c r="AJ654" i="3" s="1"/>
  <c r="AO654" i="3" s="1"/>
  <c r="O199" i="4"/>
  <c r="AI638" i="3" a="1"/>
  <c r="AI638" i="3" s="1"/>
  <c r="AJ638" i="3" s="1"/>
  <c r="AO638" i="3" s="1"/>
  <c r="O200" i="4"/>
  <c r="AI639" i="3" a="1"/>
  <c r="AI639" i="3" s="1"/>
  <c r="AJ639" i="3" s="1"/>
  <c r="AO639" i="3" s="1"/>
  <c r="O194" i="4"/>
  <c r="AI593" i="3" a="1"/>
  <c r="AI593" i="3" s="1"/>
  <c r="AJ593" i="3" s="1"/>
  <c r="AO593" i="3" s="1"/>
  <c r="O195" i="4"/>
  <c r="AI600" i="3" a="1"/>
  <c r="AI600" i="3" s="1"/>
  <c r="AJ600" i="3" s="1"/>
  <c r="AO600" i="3" s="1"/>
  <c r="O190" i="4"/>
  <c r="AI575" i="3" a="1"/>
  <c r="AI575" i="3" s="1"/>
  <c r="AJ575" i="3" s="1"/>
  <c r="AO575" i="3" s="1"/>
  <c r="O191" i="4"/>
  <c r="AI579" i="3" a="1"/>
  <c r="AI579" i="3" s="1"/>
  <c r="AJ579" i="3" s="1"/>
  <c r="AO579" i="3" s="1"/>
  <c r="O192" i="4"/>
  <c r="AI587" i="3" a="1"/>
  <c r="AI587" i="3" s="1"/>
  <c r="AJ587" i="3" s="1"/>
  <c r="AO587" i="3" s="1"/>
  <c r="O188" i="4"/>
  <c r="AI573" i="3" a="1"/>
  <c r="AI573" i="3" s="1"/>
  <c r="AJ573" i="3" s="1"/>
  <c r="AO573" i="3" s="1"/>
  <c r="O176" i="4"/>
  <c r="AI485" i="3" a="1"/>
  <c r="AI485" i="3" s="1"/>
  <c r="AJ485" i="3" s="1"/>
  <c r="AO485" i="3" s="1"/>
  <c r="O174" i="4"/>
  <c r="AI481" i="3" a="1"/>
  <c r="AI481" i="3" s="1"/>
  <c r="AJ481" i="3" s="1"/>
  <c r="AO481" i="3" s="1"/>
  <c r="O175" i="4"/>
  <c r="AI482" i="3" a="1"/>
  <c r="AI482" i="3" s="1"/>
  <c r="AJ482" i="3" s="1"/>
  <c r="AO482" i="3" s="1"/>
  <c r="O178" i="4"/>
  <c r="AI513" i="3" a="1"/>
  <c r="AI513" i="3" s="1"/>
  <c r="AJ513" i="3" s="1"/>
  <c r="AO513" i="3" s="1"/>
  <c r="O179" i="4"/>
  <c r="AI529" i="3" a="1"/>
  <c r="AI529" i="3" s="1"/>
  <c r="AJ529" i="3" s="1"/>
  <c r="AO529" i="3" s="1"/>
  <c r="O181" i="4"/>
  <c r="AI537" i="3" a="1"/>
  <c r="AI537" i="3" s="1"/>
  <c r="AJ537" i="3" s="1"/>
  <c r="AO537" i="3" s="1"/>
  <c r="O167" i="4"/>
  <c r="AI450" i="3" a="1"/>
  <c r="AI450" i="3" s="1"/>
  <c r="AJ450" i="3" s="1"/>
  <c r="AO450" i="3" s="1"/>
  <c r="O168" i="4"/>
  <c r="AI452" i="3" a="1"/>
  <c r="AI452" i="3" s="1"/>
  <c r="AJ452" i="3" s="1"/>
  <c r="AO452" i="3" s="1"/>
  <c r="O169" i="4"/>
  <c r="AI453" i="3" a="1"/>
  <c r="AI453" i="3" s="1"/>
  <c r="AJ453" i="3" s="1"/>
  <c r="AO453" i="3" s="1"/>
  <c r="O166" i="4"/>
  <c r="AI167" i="3" a="1"/>
  <c r="AI167" i="3" s="1"/>
  <c r="AJ167" i="3" s="1"/>
  <c r="AO167" i="3" s="1"/>
  <c r="O165" i="4"/>
  <c r="AI159" i="3" a="1"/>
  <c r="AI159" i="3" s="1"/>
  <c r="AJ159" i="3" s="1"/>
  <c r="AO159" i="3" s="1"/>
  <c r="O162" i="4"/>
  <c r="AI142" i="3" a="1"/>
  <c r="AI142" i="3" s="1"/>
  <c r="AJ142" i="3" s="1"/>
  <c r="AO142" i="3" s="1"/>
  <c r="O163" i="4"/>
  <c r="AI147" i="3" a="1"/>
  <c r="AI147" i="3" s="1"/>
  <c r="AJ147" i="3" s="1"/>
  <c r="AO147" i="3" s="1"/>
  <c r="U1586" i="3"/>
  <c r="AI1586" i="3" a="1"/>
  <c r="AI1586" i="3" s="1"/>
  <c r="O156" i="4"/>
  <c r="AI552" i="3" a="1"/>
  <c r="AI552" i="3" s="1"/>
  <c r="AJ552" i="3" s="1"/>
  <c r="AO552" i="3" s="1"/>
  <c r="O140" i="4"/>
  <c r="AI472" i="3" a="1"/>
  <c r="AI472" i="3" s="1"/>
  <c r="AJ472" i="3" s="1"/>
  <c r="AO472" i="3" s="1"/>
  <c r="O142" i="4"/>
  <c r="AI480" i="3" a="1"/>
  <c r="AI480" i="3" s="1"/>
  <c r="AJ480" i="3" s="1"/>
  <c r="AO480" i="3" s="1"/>
  <c r="O141" i="4"/>
  <c r="AI475" i="3" a="1"/>
  <c r="AI475" i="3" s="1"/>
  <c r="AJ475" i="3" s="1"/>
  <c r="AO475" i="3" s="1"/>
  <c r="O157" i="4"/>
  <c r="AI567" i="3" a="1"/>
  <c r="AI567" i="3" s="1"/>
  <c r="AJ567" i="3" s="1"/>
  <c r="AO567" i="3" s="1"/>
  <c r="O148" i="4"/>
  <c r="AI512" i="3" a="1"/>
  <c r="AI512" i="3" s="1"/>
  <c r="AJ512" i="3" s="1"/>
  <c r="AO512" i="3" s="1"/>
  <c r="O152" i="4"/>
  <c r="AI531" i="3" a="1"/>
  <c r="AI531" i="3" s="1"/>
  <c r="AJ531" i="3" s="1"/>
  <c r="AO531" i="3" s="1"/>
  <c r="O158" i="4"/>
  <c r="AI574" i="3" a="1"/>
  <c r="AI574" i="3" s="1"/>
  <c r="AJ574" i="3" s="1"/>
  <c r="AO574" i="3" s="1"/>
  <c r="O159" i="4"/>
  <c r="AI590" i="3" a="1"/>
  <c r="AI590" i="3" s="1"/>
  <c r="AJ590" i="3" s="1"/>
  <c r="AO590" i="3" s="1"/>
  <c r="O160" i="4"/>
  <c r="AI607" i="3" a="1"/>
  <c r="AI607" i="3" s="1"/>
  <c r="AJ607" i="3" s="1"/>
  <c r="AO607" i="3" s="1"/>
  <c r="O137" i="4"/>
  <c r="AI369" i="3" a="1"/>
  <c r="AI369" i="3" s="1"/>
  <c r="AJ369" i="3" s="1"/>
  <c r="AO369" i="3" s="1"/>
  <c r="O139" i="4"/>
  <c r="AI462" i="3" a="1"/>
  <c r="AI462" i="3" s="1"/>
  <c r="AJ462" i="3" s="1"/>
  <c r="AO462" i="3" s="1"/>
  <c r="O144" i="4"/>
  <c r="AI488" i="3" a="1"/>
  <c r="AI488" i="3" s="1"/>
  <c r="AJ488" i="3" s="1"/>
  <c r="AO488" i="3" s="1"/>
  <c r="O138" i="4"/>
  <c r="AI412" i="3" a="1"/>
  <c r="AI412" i="3" s="1"/>
  <c r="AJ412" i="3" s="1"/>
  <c r="AO412" i="3" s="1"/>
  <c r="O161" i="4"/>
  <c r="AI621" i="3" a="1"/>
  <c r="AI621" i="3" s="1"/>
  <c r="AR1584" i="3"/>
  <c r="AO1584" i="3"/>
  <c r="O76" i="4"/>
  <c r="O71" i="4"/>
  <c r="AJ176" i="3"/>
  <c r="AO176" i="3" s="1"/>
  <c r="O20" i="4"/>
  <c r="AJ172" i="3"/>
  <c r="AO172" i="3" s="1"/>
  <c r="O19" i="4"/>
  <c r="O60" i="4"/>
  <c r="AJ1137" i="3"/>
  <c r="AO1137" i="3" s="1"/>
  <c r="O275" i="4"/>
  <c r="O62" i="4"/>
  <c r="AQ1585" i="3"/>
  <c r="AA1586" i="3"/>
  <c r="AC1586" i="3" s="1"/>
  <c r="AJ1586" i="3" s="1"/>
  <c r="A1587" i="3"/>
  <c r="W1586" i="3"/>
  <c r="Y1586" i="3" s="1"/>
  <c r="AJ802" i="3"/>
  <c r="AO802" i="3" s="1"/>
  <c r="O116" i="4"/>
  <c r="AJ171" i="3"/>
  <c r="AO171" i="3" s="1"/>
  <c r="O18" i="4"/>
  <c r="O63" i="4"/>
  <c r="O87" i="4"/>
  <c r="AJ681" i="3"/>
  <c r="AO681" i="3" s="1"/>
  <c r="O105" i="4"/>
  <c r="AJ677" i="3"/>
  <c r="AO677" i="3" s="1"/>
  <c r="O104" i="4"/>
  <c r="AJ970" i="3"/>
  <c r="AO970" i="3" s="1"/>
  <c r="O257" i="4"/>
  <c r="AJ1083" i="3"/>
  <c r="AO1083" i="3" s="1"/>
  <c r="O264" i="4"/>
  <c r="AJ889" i="3"/>
  <c r="AO889" i="3" s="1"/>
  <c r="O125" i="4"/>
  <c r="AJ1066" i="3"/>
  <c r="AO1066" i="3" s="1"/>
  <c r="O262" i="4"/>
  <c r="AJ698" i="3"/>
  <c r="AO698" i="3" s="1"/>
  <c r="O106" i="4"/>
  <c r="AJ1125" i="3"/>
  <c r="AO1125" i="3" s="1"/>
  <c r="O271" i="4"/>
  <c r="AJ169" i="3"/>
  <c r="AO169" i="3" s="1"/>
  <c r="O17" i="4"/>
  <c r="AJ1140" i="3"/>
  <c r="AO1140" i="3" s="1"/>
  <c r="O277" i="4"/>
  <c r="AJ178" i="3"/>
  <c r="AO178" i="3" s="1"/>
  <c r="O22" i="4"/>
  <c r="O67" i="4"/>
  <c r="AJ464" i="3"/>
  <c r="AO464" i="3" s="1"/>
  <c r="AJ1207" i="3"/>
  <c r="AO1207" i="3" s="1"/>
  <c r="O295" i="4"/>
  <c r="AJ1147" i="3"/>
  <c r="AO1147" i="3" s="1"/>
  <c r="O281" i="4"/>
  <c r="AJ1094" i="3"/>
  <c r="AO1094" i="3" s="1"/>
  <c r="O266" i="4"/>
  <c r="AJ1148" i="3"/>
  <c r="AO1148" i="3" s="1"/>
  <c r="O282" i="4"/>
  <c r="AJ1178" i="3"/>
  <c r="AO1178" i="3" s="1"/>
  <c r="O290" i="4"/>
  <c r="O123" i="4"/>
  <c r="AJ1185" i="3"/>
  <c r="AO1185" i="3" s="1"/>
  <c r="O291" i="4"/>
  <c r="O129" i="4"/>
  <c r="O114" i="4"/>
  <c r="O285" i="4"/>
  <c r="AJ1157" i="3"/>
  <c r="AO1157" i="3" s="1"/>
  <c r="O132" i="4"/>
  <c r="O134" i="4"/>
  <c r="O222" i="4"/>
  <c r="AJ805" i="3"/>
  <c r="AO805" i="3" s="1"/>
  <c r="O232" i="4"/>
  <c r="AJ887" i="3"/>
  <c r="AO887" i="3" s="1"/>
  <c r="AJ1116" i="3"/>
  <c r="AO1116" i="3" s="1"/>
  <c r="O268" i="4"/>
  <c r="O80" i="4"/>
  <c r="O82" i="4"/>
  <c r="AJ1158" i="3"/>
  <c r="AO1158" i="3" s="1"/>
  <c r="O286" i="4"/>
  <c r="AJ168" i="3"/>
  <c r="AO168" i="3" s="1"/>
  <c r="O136" i="4"/>
  <c r="AJ566" i="3"/>
  <c r="AO566" i="3" s="1"/>
  <c r="O186" i="4"/>
  <c r="AJ1154" i="3"/>
  <c r="AO1154" i="3" s="1"/>
  <c r="O283" i="4"/>
  <c r="AJ1161" i="3"/>
  <c r="AO1161" i="3" s="1"/>
  <c r="O287" i="4"/>
  <c r="AJ936" i="3"/>
  <c r="AO936" i="3" s="1"/>
  <c r="O246" i="4"/>
  <c r="O243" i="4"/>
  <c r="AJ928" i="3"/>
  <c r="AO928" i="3" s="1"/>
  <c r="O245" i="4"/>
  <c r="AJ935" i="3"/>
  <c r="AO935" i="3" s="1"/>
  <c r="O108" i="4"/>
  <c r="O119" i="4"/>
  <c r="AJ1128" i="3"/>
  <c r="AO1128" i="3" s="1"/>
  <c r="O273" i="4"/>
  <c r="AJ470" i="3"/>
  <c r="AO470" i="3" s="1"/>
  <c r="O70" i="4"/>
  <c r="O110" i="4"/>
  <c r="AJ737" i="3"/>
  <c r="AO737" i="3" s="1"/>
  <c r="O111" i="4"/>
  <c r="O112" i="4"/>
  <c r="O113" i="4"/>
  <c r="O121" i="4"/>
  <c r="O66" i="4"/>
  <c r="O280" i="4"/>
  <c r="AJ1146" i="3"/>
  <c r="AO1146" i="3" s="1"/>
  <c r="AJ189" i="3"/>
  <c r="AO189" i="3" s="1"/>
  <c r="O25" i="4"/>
  <c r="O83" i="4"/>
  <c r="O133" i="4"/>
  <c r="O135" i="4"/>
  <c r="O120" i="4"/>
  <c r="AJ489" i="3"/>
  <c r="AO489" i="3" s="1"/>
  <c r="O145" i="4"/>
  <c r="O77" i="4"/>
  <c r="AJ1186" i="3"/>
  <c r="AO1186" i="3" s="1"/>
  <c r="O292" i="4"/>
  <c r="AJ1209" i="3"/>
  <c r="AO1209" i="3" s="1"/>
  <c r="O296" i="4"/>
  <c r="O118" i="4"/>
  <c r="AJ946" i="3"/>
  <c r="AO946" i="3" s="1"/>
  <c r="O251" i="4"/>
  <c r="AJ1123" i="3"/>
  <c r="AO1123" i="3" s="1"/>
  <c r="O270" i="4"/>
  <c r="AJ1155" i="3"/>
  <c r="AO1155" i="3" s="1"/>
  <c r="O284" i="4"/>
  <c r="AJ1171" i="3"/>
  <c r="AO1171" i="3" s="1"/>
  <c r="O288" i="4"/>
  <c r="AJ1085" i="3"/>
  <c r="AO1085" i="3" s="1"/>
  <c r="O265" i="4"/>
  <c r="O24" i="4"/>
  <c r="AJ187" i="3"/>
  <c r="AO187" i="3" s="1"/>
  <c r="O235" i="4"/>
  <c r="AJ896" i="3"/>
  <c r="AO896" i="3" s="1"/>
  <c r="O122" i="4"/>
  <c r="O289" i="4"/>
  <c r="AJ1177" i="3"/>
  <c r="AO1177" i="3" s="1"/>
  <c r="O2" i="4"/>
  <c r="AJ124" i="3"/>
  <c r="AO124" i="3" s="1"/>
  <c r="O3" i="4"/>
  <c r="AJ126" i="3"/>
  <c r="AO126" i="3" s="1"/>
  <c r="O4" i="4"/>
  <c r="AJ128" i="3"/>
  <c r="AO128" i="3" s="1"/>
  <c r="O5" i="4"/>
  <c r="AJ132" i="3"/>
  <c r="AO132" i="3" s="1"/>
  <c r="O6" i="4"/>
  <c r="AJ135" i="3"/>
  <c r="AO135" i="3" s="1"/>
  <c r="O7" i="4"/>
  <c r="O8" i="4"/>
  <c r="O9" i="4"/>
  <c r="AJ148" i="3"/>
  <c r="AO148" i="3" s="1"/>
  <c r="O10" i="4"/>
  <c r="AJ151" i="3"/>
  <c r="AO151" i="3" s="1"/>
  <c r="O11" i="4"/>
  <c r="AJ155" i="3"/>
  <c r="AO155" i="3" s="1"/>
  <c r="O12" i="4"/>
  <c r="O13" i="4"/>
  <c r="AJ160" i="3"/>
  <c r="AO160" i="3" s="1"/>
  <c r="O14" i="4"/>
  <c r="AJ164" i="3"/>
  <c r="AO164" i="3" s="1"/>
  <c r="O15" i="4"/>
  <c r="AJ165" i="3"/>
  <c r="AO165" i="3" s="1"/>
  <c r="O16" i="4"/>
  <c r="O267" i="4"/>
  <c r="AJ1100" i="3"/>
  <c r="AO1100" i="3" s="1"/>
  <c r="O27" i="4"/>
  <c r="AJ194" i="3"/>
  <c r="AO194" i="3" s="1"/>
  <c r="O28" i="4"/>
  <c r="AJ195" i="3"/>
  <c r="AO195" i="3" s="1"/>
  <c r="O29" i="4"/>
  <c r="AJ210" i="3"/>
  <c r="AO210" i="3" s="1"/>
  <c r="O30" i="4"/>
  <c r="AJ236" i="3"/>
  <c r="AO236" i="3" s="1"/>
  <c r="O31" i="4"/>
  <c r="AJ241" i="3"/>
  <c r="AO241" i="3" s="1"/>
  <c r="O32" i="4"/>
  <c r="AJ242" i="3"/>
  <c r="AO242" i="3" s="1"/>
  <c r="O33" i="4"/>
  <c r="AJ296" i="3"/>
  <c r="AO296" i="3" s="1"/>
  <c r="O34" i="4"/>
  <c r="AJ302" i="3"/>
  <c r="AO302" i="3" s="1"/>
  <c r="O35" i="4"/>
  <c r="AJ317" i="3"/>
  <c r="AO317" i="3" s="1"/>
  <c r="O36" i="4"/>
  <c r="AJ321" i="3"/>
  <c r="AO321" i="3" s="1"/>
  <c r="O37" i="4"/>
  <c r="AJ322" i="3"/>
  <c r="AO322" i="3" s="1"/>
  <c r="O38" i="4"/>
  <c r="AJ323" i="3"/>
  <c r="AO323" i="3" s="1"/>
  <c r="O39" i="4"/>
  <c r="AJ329" i="3"/>
  <c r="AO329" i="3" s="1"/>
  <c r="O40" i="4"/>
  <c r="AJ332" i="3"/>
  <c r="AO332" i="3" s="1"/>
  <c r="O41" i="4"/>
  <c r="AJ340" i="3"/>
  <c r="AO340" i="3" s="1"/>
  <c r="O42" i="4"/>
  <c r="AJ341" i="3"/>
  <c r="AO341" i="3" s="1"/>
  <c r="O43" i="4"/>
  <c r="AJ354" i="3"/>
  <c r="AO354" i="3" s="1"/>
  <c r="O44" i="4"/>
  <c r="AJ359" i="3"/>
  <c r="AO359" i="3" s="1"/>
  <c r="O45" i="4"/>
  <c r="AJ363" i="3"/>
  <c r="AO363" i="3" s="1"/>
  <c r="O46" i="4"/>
  <c r="O47" i="4"/>
  <c r="AJ370" i="3"/>
  <c r="AO370" i="3" s="1"/>
  <c r="O48" i="4"/>
  <c r="AJ372" i="3"/>
  <c r="AO372" i="3" s="1"/>
  <c r="O49" i="4"/>
  <c r="AJ377" i="3"/>
  <c r="AO377" i="3" s="1"/>
  <c r="O50" i="4"/>
  <c r="AJ378" i="3"/>
  <c r="AO378" i="3" s="1"/>
  <c r="O51" i="4"/>
  <c r="AJ385" i="3"/>
  <c r="AO385" i="3" s="1"/>
  <c r="O52" i="4"/>
  <c r="AJ394" i="3"/>
  <c r="AO394" i="3" s="1"/>
  <c r="O53" i="4"/>
  <c r="AJ395" i="3"/>
  <c r="AO395" i="3" s="1"/>
  <c r="O54" i="4"/>
  <c r="AJ396" i="3"/>
  <c r="AO396" i="3" s="1"/>
  <c r="O55" i="4"/>
  <c r="AJ397" i="3"/>
  <c r="AO397" i="3" s="1"/>
  <c r="O56" i="4"/>
  <c r="AJ405" i="3"/>
  <c r="AO405" i="3" s="1"/>
  <c r="O57" i="4"/>
  <c r="AJ406" i="3"/>
  <c r="AO406" i="3" s="1"/>
  <c r="O58" i="4"/>
  <c r="O59" i="4"/>
  <c r="AJ449" i="3"/>
  <c r="AO449" i="3" s="1"/>
  <c r="O65" i="4"/>
  <c r="AJ459" i="3"/>
  <c r="O68" i="4"/>
  <c r="AJ465" i="3"/>
  <c r="AO465" i="3" s="1"/>
  <c r="O164" i="4"/>
  <c r="AJ158" i="3"/>
  <c r="AO158" i="3" s="1"/>
  <c r="O170" i="4"/>
  <c r="AJ455" i="3"/>
  <c r="AO455" i="3" s="1"/>
  <c r="O249" i="4"/>
  <c r="AJ939" i="3"/>
  <c r="AO939" i="3" s="1"/>
  <c r="O72" i="4"/>
  <c r="O73" i="4"/>
  <c r="O74" i="4"/>
  <c r="O75" i="4"/>
  <c r="O78" i="4"/>
  <c r="O79" i="4"/>
  <c r="O84" i="4"/>
  <c r="AJ548" i="3"/>
  <c r="AO548" i="3" s="1"/>
  <c r="O85" i="4"/>
  <c r="O88" i="4"/>
  <c r="O89" i="4"/>
  <c r="O90" i="4"/>
  <c r="O91" i="4"/>
  <c r="AJ586" i="3"/>
  <c r="AO586" i="3" s="1"/>
  <c r="O92" i="4"/>
  <c r="O93" i="4"/>
  <c r="O94" i="4"/>
  <c r="O95" i="4"/>
  <c r="O96" i="4"/>
  <c r="AJ602" i="3"/>
  <c r="AO602" i="3" s="1"/>
  <c r="O97" i="4"/>
  <c r="O98" i="4"/>
  <c r="O99" i="4"/>
  <c r="O100" i="4"/>
  <c r="O101" i="4"/>
  <c r="O102" i="4"/>
  <c r="O103" i="4"/>
  <c r="O107" i="4"/>
  <c r="O109" i="4"/>
  <c r="O294" i="4"/>
  <c r="AJ1204" i="3"/>
  <c r="AO1204" i="3" s="1"/>
  <c r="O126" i="4"/>
  <c r="O127" i="4"/>
  <c r="O128" i="4"/>
  <c r="O253" i="4"/>
  <c r="AJ948" i="3"/>
  <c r="AO948" i="3" s="1"/>
  <c r="O64" i="4"/>
  <c r="AJ454" i="3"/>
  <c r="AO454" i="3" s="1"/>
  <c r="O130" i="4"/>
  <c r="AJ961" i="3"/>
  <c r="AO961" i="3" s="1"/>
  <c r="O131" i="4"/>
  <c r="O278" i="4"/>
  <c r="AJ1141" i="3"/>
  <c r="AO1141" i="3" s="1"/>
  <c r="O86" i="4"/>
  <c r="O69" i="4"/>
  <c r="AJ466" i="3"/>
  <c r="AO466" i="3" s="1"/>
  <c r="O146" i="4"/>
  <c r="AJ495" i="3"/>
  <c r="AO495" i="3" s="1"/>
  <c r="O147" i="4"/>
  <c r="AJ499" i="3"/>
  <c r="AO499" i="3" s="1"/>
  <c r="O149" i="4"/>
  <c r="AJ521" i="3"/>
  <c r="AO521" i="3" s="1"/>
  <c r="O150" i="4"/>
  <c r="AJ524" i="3"/>
  <c r="AO524" i="3" s="1"/>
  <c r="O151" i="4"/>
  <c r="AJ528" i="3"/>
  <c r="AO528" i="3" s="1"/>
  <c r="O153" i="4"/>
  <c r="AJ532" i="3"/>
  <c r="AO532" i="3" s="1"/>
  <c r="O154" i="4"/>
  <c r="AJ542" i="3"/>
  <c r="AO542" i="3" s="1"/>
  <c r="O155" i="4"/>
  <c r="AJ547" i="3"/>
  <c r="AO547" i="3" s="1"/>
  <c r="O124" i="4"/>
  <c r="O143" i="4"/>
  <c r="AJ484" i="3"/>
  <c r="AO484" i="3" s="1"/>
  <c r="O196" i="4"/>
  <c r="AJ605" i="3"/>
  <c r="AO605" i="3" s="1"/>
  <c r="O205" i="4"/>
  <c r="AJ680" i="3"/>
  <c r="AO680" i="3" s="1"/>
  <c r="O207" i="4"/>
  <c r="AJ696" i="3"/>
  <c r="AO696" i="3" s="1"/>
  <c r="O208" i="4"/>
  <c r="AJ697" i="3"/>
  <c r="AO697" i="3" s="1"/>
  <c r="O210" i="4"/>
  <c r="AJ701" i="3"/>
  <c r="AO701" i="3" s="1"/>
  <c r="O212" i="4"/>
  <c r="AJ704" i="3"/>
  <c r="AO704" i="3" s="1"/>
  <c r="O214" i="4"/>
  <c r="AJ727" i="3"/>
  <c r="AO727" i="3" s="1"/>
  <c r="O247" i="4"/>
  <c r="AJ937" i="3"/>
  <c r="AO937" i="3" s="1"/>
  <c r="O250" i="4"/>
  <c r="AJ944" i="3"/>
  <c r="AO944" i="3" s="1"/>
  <c r="O252" i="4"/>
  <c r="AJ947" i="3"/>
  <c r="AO947" i="3" s="1"/>
  <c r="O115" i="4"/>
  <c r="AJ791" i="3"/>
  <c r="AO791" i="3" s="1"/>
  <c r="O248" i="4"/>
  <c r="AJ938" i="3"/>
  <c r="AO938" i="3" s="1"/>
  <c r="O254" i="4"/>
  <c r="AJ953" i="3"/>
  <c r="AO953" i="3" s="1"/>
  <c r="O297" i="4"/>
  <c r="AJ1217" i="3"/>
  <c r="AO1217" i="3" s="1"/>
  <c r="O256" i="4"/>
  <c r="AJ967" i="3"/>
  <c r="AO967" i="3" s="1"/>
  <c r="O274" i="4"/>
  <c r="AJ1129" i="3"/>
  <c r="AO1129" i="3" s="1"/>
  <c r="O293" i="4"/>
  <c r="AJ1190" i="3"/>
  <c r="AO1190" i="3" s="1"/>
  <c r="O272" i="4"/>
  <c r="AJ1127" i="3"/>
  <c r="AO1127" i="3" s="1"/>
  <c r="O81" i="4"/>
  <c r="AJ530" i="3"/>
  <c r="AO530" i="3" s="1"/>
  <c r="O184" i="4"/>
  <c r="AJ553" i="3"/>
  <c r="AO553" i="3" s="1"/>
  <c r="O185" i="4"/>
  <c r="AJ554" i="3"/>
  <c r="AO554" i="3" s="1"/>
  <c r="O229" i="4"/>
  <c r="AJ874" i="3"/>
  <c r="AO874" i="3" s="1"/>
  <c r="O230" i="4"/>
  <c r="AJ876" i="3"/>
  <c r="AO876" i="3" s="1"/>
  <c r="O236" i="4"/>
  <c r="AJ902" i="3"/>
  <c r="AO902" i="3" s="1"/>
  <c r="O237" i="4"/>
  <c r="AJ912" i="3"/>
  <c r="AO912" i="3" s="1"/>
  <c r="O238" i="4"/>
  <c r="AJ916" i="3"/>
  <c r="AO916" i="3" s="1"/>
  <c r="O239" i="4"/>
  <c r="AJ918" i="3"/>
  <c r="AO918" i="3" s="1"/>
  <c r="O241" i="4"/>
  <c r="AJ925" i="3"/>
  <c r="AO925" i="3" s="1"/>
  <c r="AJ177" i="3"/>
  <c r="AO177" i="3" s="1"/>
  <c r="O21" i="4"/>
  <c r="AJ179" i="3"/>
  <c r="AO179" i="3" s="1"/>
  <c r="O23" i="4"/>
  <c r="AJ1138" i="3"/>
  <c r="AO1138" i="3" s="1"/>
  <c r="O276" i="4"/>
  <c r="O117" i="4"/>
  <c r="AJ193" i="3"/>
  <c r="AO193" i="3" s="1"/>
  <c r="O26" i="4"/>
  <c r="AJ451" i="3"/>
  <c r="AO451" i="3" s="1"/>
  <c r="O61" i="4"/>
  <c r="AJ1122" i="3"/>
  <c r="AO1122" i="3" s="1"/>
  <c r="O269" i="4"/>
  <c r="AJ1143" i="3"/>
  <c r="AO1143" i="3" s="1"/>
  <c r="O279" i="4"/>
  <c r="AJ115" i="3"/>
  <c r="O305" i="4"/>
  <c r="AJ1585" i="3" l="1"/>
  <c r="AF1585" i="3"/>
  <c r="AE1586" i="3"/>
  <c r="U1587" i="3"/>
  <c r="AI1587" i="3" a="1"/>
  <c r="AI1587" i="3" s="1"/>
  <c r="M10" i="2"/>
  <c r="AO459" i="3"/>
  <c r="L10" i="2" s="1"/>
  <c r="A1588" i="3"/>
  <c r="W1587" i="3"/>
  <c r="Y1587" i="3" s="1"/>
  <c r="AA1587" i="3"/>
  <c r="AC1587" i="3" s="1"/>
  <c r="AJ1587" i="3" s="1"/>
  <c r="AO115" i="3"/>
  <c r="AE1587" i="3" l="1"/>
  <c r="AN1585" i="3"/>
  <c r="AO1585" i="3" s="1"/>
  <c r="AR1585" i="3"/>
  <c r="AF1586" i="3"/>
  <c r="AN1586" i="3" s="1"/>
  <c r="AO1586" i="3" s="1"/>
  <c r="AQ1586" i="3"/>
  <c r="U1588" i="3"/>
  <c r="AI1588" i="3" a="1"/>
  <c r="AI1588" i="3" s="1"/>
  <c r="AR1586" i="3"/>
  <c r="AA1588" i="3"/>
  <c r="AC1588" i="3" s="1"/>
  <c r="AJ1588" i="3" s="1"/>
  <c r="W1588" i="3"/>
  <c r="Y1588" i="3" s="1"/>
  <c r="AE1588" i="3" s="1"/>
  <c r="A1589" i="3"/>
  <c r="AF1587" i="3" l="1"/>
  <c r="AN1587" i="3" s="1"/>
  <c r="AQ1587" i="3"/>
  <c r="U1589" i="3"/>
  <c r="AI1589" i="3" a="1"/>
  <c r="AI1589" i="3" s="1"/>
  <c r="AR1587" i="3"/>
  <c r="AO1587" i="3"/>
  <c r="AF1588" i="3"/>
  <c r="AN1588" i="3" s="1"/>
  <c r="AQ1588" i="3"/>
  <c r="W1589" i="3"/>
  <c r="Y1589" i="3" s="1"/>
  <c r="AE1589" i="3" s="1"/>
  <c r="A1590" i="3"/>
  <c r="AA1589" i="3"/>
  <c r="AC1589" i="3" s="1"/>
  <c r="AJ1589" i="3" s="1"/>
  <c r="U1590" i="3" l="1"/>
  <c r="AI1590" i="3" a="1"/>
  <c r="AI1590" i="3" s="1"/>
  <c r="AR1588" i="3"/>
  <c r="AO1588" i="3"/>
  <c r="AF1589" i="3"/>
  <c r="AN1589" i="3" s="1"/>
  <c r="AQ1589" i="3"/>
  <c r="A1591" i="3"/>
  <c r="W1590" i="3"/>
  <c r="AA1590" i="3"/>
  <c r="U1591" i="3" l="1"/>
  <c r="AI1591" i="3" a="1"/>
  <c r="AI1591" i="3" s="1"/>
  <c r="AR1589" i="3"/>
  <c r="AO1589" i="3"/>
  <c r="W1591" i="3"/>
  <c r="Y1591" i="3" s="1"/>
  <c r="AE1591" i="3" s="1"/>
  <c r="A1592" i="3"/>
  <c r="AA1591" i="3"/>
  <c r="AC1591" i="3" s="1"/>
  <c r="AJ1591" i="3" s="1"/>
  <c r="Y1590" i="3"/>
  <c r="AC1590" i="3"/>
  <c r="AJ1590" i="3" s="1"/>
  <c r="U1592" i="3" l="1"/>
  <c r="AI1592" i="3" a="1"/>
  <c r="AI1592" i="3" s="1"/>
  <c r="AQ1591" i="3"/>
  <c r="AF1591" i="3"/>
  <c r="AN1591" i="3" s="1"/>
  <c r="A1593" i="3"/>
  <c r="AA1592" i="3"/>
  <c r="W1592" i="3"/>
  <c r="AE1590" i="3"/>
  <c r="U1593" i="3" l="1"/>
  <c r="AI1593" i="3" a="1"/>
  <c r="AI1593" i="3" s="1"/>
  <c r="AR1591" i="3"/>
  <c r="AO1591" i="3"/>
  <c r="A1594" i="3"/>
  <c r="AA1593" i="3"/>
  <c r="AC1593" i="3" s="1"/>
  <c r="AJ1593" i="3" s="1"/>
  <c r="W1593" i="3"/>
  <c r="Y1593" i="3" s="1"/>
  <c r="AE1593" i="3" s="1"/>
  <c r="AC1592" i="3"/>
  <c r="AJ1592" i="3" s="1"/>
  <c r="Y1592" i="3"/>
  <c r="AF1590" i="3"/>
  <c r="AN1590" i="3" s="1"/>
  <c r="AO1590" i="3" s="1"/>
  <c r="AQ1590" i="3"/>
  <c r="U1594" i="3" l="1"/>
  <c r="AI1594" i="3" a="1"/>
  <c r="AI1594" i="3" s="1"/>
  <c r="W1594" i="3"/>
  <c r="A1595" i="3"/>
  <c r="AA1594" i="3"/>
  <c r="AQ1593" i="3"/>
  <c r="AF1593" i="3"/>
  <c r="AN1593" i="3" s="1"/>
  <c r="AE1592" i="3"/>
  <c r="AR1590" i="3"/>
  <c r="U1595" i="3" l="1"/>
  <c r="AI1595" i="3" a="1"/>
  <c r="AI1595" i="3" s="1"/>
  <c r="AR1593" i="3"/>
  <c r="AO1593" i="3"/>
  <c r="Y1594" i="3"/>
  <c r="AA1595" i="3"/>
  <c r="AC1595" i="3" s="1"/>
  <c r="A1596" i="3"/>
  <c r="W1595" i="3"/>
  <c r="Y1595" i="3" s="1"/>
  <c r="AE1595" i="3" s="1"/>
  <c r="AC1594" i="3"/>
  <c r="AF1592" i="3"/>
  <c r="AN1592" i="3" s="1"/>
  <c r="AO1592" i="3" s="1"/>
  <c r="AQ1592" i="3"/>
  <c r="U1596" i="3" l="1"/>
  <c r="AI1596" i="3" a="1"/>
  <c r="AI1596" i="3" s="1"/>
  <c r="AE1594" i="3"/>
  <c r="AJ1595" i="3"/>
  <c r="A1597" i="3"/>
  <c r="AA1596" i="3"/>
  <c r="W1596" i="3"/>
  <c r="AQ1595" i="3"/>
  <c r="AF1595" i="3"/>
  <c r="AN1595" i="3" s="1"/>
  <c r="AR1595" i="3" s="1"/>
  <c r="AJ1594" i="3"/>
  <c r="AR1592" i="3"/>
  <c r="U1597" i="3" l="1"/>
  <c r="AI1597" i="3" a="1"/>
  <c r="AI1597" i="3" s="1"/>
  <c r="AF1594" i="3"/>
  <c r="AN1594" i="3" s="1"/>
  <c r="AO1594" i="3" s="1"/>
  <c r="AQ1594" i="3"/>
  <c r="AO1595" i="3"/>
  <c r="A1598" i="3"/>
  <c r="AA1597" i="3"/>
  <c r="AC1597" i="3" s="1"/>
  <c r="AJ1597" i="3" s="1"/>
  <c r="W1597" i="3"/>
  <c r="Y1597" i="3" s="1"/>
  <c r="AE1597" i="3" s="1"/>
  <c r="AC1596" i="3"/>
  <c r="Y1596" i="3"/>
  <c r="U1598" i="3" l="1"/>
  <c r="AI1598" i="3" a="1"/>
  <c r="AI1598" i="3" s="1"/>
  <c r="AR1594" i="3"/>
  <c r="A1599" i="3"/>
  <c r="AA1598" i="3"/>
  <c r="AC1598" i="3" s="1"/>
  <c r="W1598" i="3"/>
  <c r="Y1598" i="3" s="1"/>
  <c r="AE1598" i="3" s="1"/>
  <c r="AQ1597" i="3"/>
  <c r="AF1597" i="3"/>
  <c r="AN1597" i="3" s="1"/>
  <c r="AJ1596" i="3"/>
  <c r="AE1596" i="3"/>
  <c r="U1599" i="3" l="1"/>
  <c r="AI1599" i="3" a="1"/>
  <c r="AI1599" i="3" s="1"/>
  <c r="AR1597" i="3"/>
  <c r="AO1597" i="3"/>
  <c r="A1600" i="3"/>
  <c r="W1599" i="3"/>
  <c r="Y1599" i="3" s="1"/>
  <c r="AE1599" i="3" s="1"/>
  <c r="AA1599" i="3"/>
  <c r="AC1599" i="3" s="1"/>
  <c r="AJ1599" i="3" s="1"/>
  <c r="AJ1598" i="3"/>
  <c r="AQ1598" i="3"/>
  <c r="AF1598" i="3"/>
  <c r="AN1598" i="3" s="1"/>
  <c r="AR1598" i="3" s="1"/>
  <c r="AF1596" i="3"/>
  <c r="AN1596" i="3" s="1"/>
  <c r="AO1596" i="3" s="1"/>
  <c r="AQ1596" i="3"/>
  <c r="U1600" i="3" l="1"/>
  <c r="AI1600" i="3" a="1"/>
  <c r="AI1600" i="3" s="1"/>
  <c r="W1600" i="3"/>
  <c r="Y1600" i="3" s="1"/>
  <c r="AE1600" i="3" s="1"/>
  <c r="A1601" i="3"/>
  <c r="AA1600" i="3"/>
  <c r="AC1600" i="3" s="1"/>
  <c r="AF1599" i="3"/>
  <c r="AN1599" i="3" s="1"/>
  <c r="AQ1599" i="3"/>
  <c r="AO1598" i="3"/>
  <c r="AR1596" i="3"/>
  <c r="J298" i="4"/>
  <c r="M298" i="4"/>
  <c r="J299" i="4"/>
  <c r="M299" i="4"/>
  <c r="J300" i="4"/>
  <c r="M300" i="4"/>
  <c r="N300" i="4"/>
  <c r="L300" i="4"/>
  <c r="N302" i="4"/>
  <c r="L302" i="4"/>
  <c r="J302" i="4"/>
  <c r="M302" i="4"/>
  <c r="N298" i="4"/>
  <c r="L298" i="4"/>
  <c r="N299" i="4"/>
  <c r="L299" i="4"/>
  <c r="N301" i="4"/>
  <c r="L301" i="4"/>
  <c r="J301" i="4"/>
  <c r="M301" i="4"/>
  <c r="J303" i="4"/>
  <c r="M303" i="4"/>
  <c r="N304" i="4"/>
  <c r="L304" i="4"/>
  <c r="J304" i="4"/>
  <c r="M304" i="4"/>
  <c r="N303" i="4"/>
  <c r="L303" i="4"/>
  <c r="I304" i="4"/>
  <c r="K304" i="4"/>
  <c r="K303" i="4"/>
  <c r="I303" i="4"/>
  <c r="K302" i="4"/>
  <c r="K301" i="4"/>
  <c r="I302" i="4"/>
  <c r="I301" i="4"/>
  <c r="K299" i="4"/>
  <c r="K300" i="4"/>
  <c r="I299" i="4"/>
  <c r="K298" i="4"/>
  <c r="I298" i="4"/>
  <c r="I300" i="4"/>
  <c r="U1601" i="3" l="1"/>
  <c r="AI1601" i="3" a="1"/>
  <c r="AI1601" i="3" s="1"/>
  <c r="AR1599" i="3"/>
  <c r="AO1599" i="3"/>
  <c r="H298" i="4"/>
  <c r="H299" i="4"/>
  <c r="H300" i="4"/>
  <c r="H304" i="4"/>
  <c r="H302" i="4"/>
  <c r="H301" i="4"/>
  <c r="H303" i="4"/>
  <c r="AF1600" i="3"/>
  <c r="AN1600" i="3" s="1"/>
  <c r="AQ1600" i="3"/>
  <c r="A1602" i="3"/>
  <c r="AA1601" i="3"/>
  <c r="AC1601" i="3" s="1"/>
  <c r="AJ1601" i="3" s="1"/>
  <c r="W1601" i="3"/>
  <c r="Y1601" i="3" s="1"/>
  <c r="AE1601" i="3" s="1"/>
  <c r="AJ1600" i="3"/>
  <c r="U1602" i="3" l="1"/>
  <c r="AI1602" i="3" a="1"/>
  <c r="AI1602" i="3" s="1"/>
  <c r="AO1600" i="3"/>
  <c r="AR1600" i="3"/>
  <c r="AJ109" i="3"/>
  <c r="AO109" i="3" s="1"/>
  <c r="O300" i="4"/>
  <c r="AA1602" i="3"/>
  <c r="AC1602" i="3" s="1"/>
  <c r="A1603" i="3"/>
  <c r="W1602" i="3"/>
  <c r="Y1602" i="3" s="1"/>
  <c r="AE1602" i="3" s="1"/>
  <c r="AQ1601" i="3"/>
  <c r="AF1601" i="3"/>
  <c r="AN1601" i="3" s="1"/>
  <c r="AJ107" i="3"/>
  <c r="O298" i="4"/>
  <c r="O301" i="4"/>
  <c r="AJ110" i="3"/>
  <c r="AO110" i="3" s="1"/>
  <c r="AJ111" i="3"/>
  <c r="AO111" i="3" s="1"/>
  <c r="O302" i="4"/>
  <c r="O303" i="4"/>
  <c r="AJ112" i="3"/>
  <c r="AO112" i="3" s="1"/>
  <c r="AJ108" i="3"/>
  <c r="O299" i="4"/>
  <c r="AJ113" i="3"/>
  <c r="AO113" i="3" s="1"/>
  <c r="O304" i="4"/>
  <c r="U1603" i="3" l="1"/>
  <c r="AI1603" i="3" a="1"/>
  <c r="AI1603" i="3" s="1"/>
  <c r="AR1601" i="3"/>
  <c r="AO1601" i="3"/>
  <c r="AJ1602" i="3"/>
  <c r="W1603" i="3"/>
  <c r="Y1603" i="3" s="1"/>
  <c r="AE1603" i="3" s="1"/>
  <c r="A1604" i="3"/>
  <c r="AA1603" i="3"/>
  <c r="AC1603" i="3" s="1"/>
  <c r="AJ1603" i="3" s="1"/>
  <c r="AF1602" i="3"/>
  <c r="AN1602" i="3" s="1"/>
  <c r="AQ1602" i="3"/>
  <c r="AO107" i="3"/>
  <c r="AO108" i="3"/>
  <c r="U1604" i="3" l="1"/>
  <c r="AI1604" i="3" a="1"/>
  <c r="AI1604" i="3" s="1"/>
  <c r="AR1602" i="3"/>
  <c r="AO1602" i="3"/>
  <c r="AQ1603" i="3"/>
  <c r="AF1603" i="3"/>
  <c r="AN1603" i="3" s="1"/>
  <c r="A1605" i="3"/>
  <c r="W1604" i="3"/>
  <c r="Y1604" i="3" s="1"/>
  <c r="AA1604" i="3"/>
  <c r="AC1604" i="3" s="1"/>
  <c r="AE1604" i="3" l="1"/>
  <c r="U1605" i="3"/>
  <c r="AI1605" i="3" a="1"/>
  <c r="AI1605" i="3" s="1"/>
  <c r="AR1603" i="3"/>
  <c r="AO1603" i="3"/>
  <c r="W1605" i="3"/>
  <c r="Y1605" i="3" s="1"/>
  <c r="AA1605" i="3"/>
  <c r="AC1605" i="3" s="1"/>
  <c r="AJ1605" i="3" s="1"/>
  <c r="A1606" i="3"/>
  <c r="AJ1604" i="3"/>
  <c r="AE1605" i="3" l="1"/>
  <c r="AF1604" i="3"/>
  <c r="AN1604" i="3" s="1"/>
  <c r="AQ1604" i="3"/>
  <c r="U1606" i="3"/>
  <c r="AI1606" i="3" a="1"/>
  <c r="AI1606" i="3" s="1"/>
  <c r="AA1606" i="3"/>
  <c r="AC1606" i="3" s="1"/>
  <c r="A1607" i="3"/>
  <c r="W1606" i="3"/>
  <c r="Y1606" i="3" s="1"/>
  <c r="AE1606" i="3" s="1"/>
  <c r="AQ1605" i="3" l="1"/>
  <c r="AF1605" i="3"/>
  <c r="AN1605" i="3" s="1"/>
  <c r="AR1604" i="3"/>
  <c r="AO1604" i="3"/>
  <c r="U1607" i="3"/>
  <c r="AI1607" i="3" a="1"/>
  <c r="AI1607" i="3" s="1"/>
  <c r="AR1605" i="3"/>
  <c r="AO1605" i="3"/>
  <c r="AJ1606" i="3"/>
  <c r="W1607" i="3"/>
  <c r="Y1607" i="3" s="1"/>
  <c r="AE1607" i="3" s="1"/>
  <c r="A1608" i="3"/>
  <c r="AA1607" i="3"/>
  <c r="AC1607" i="3" s="1"/>
  <c r="AJ1607" i="3" s="1"/>
  <c r="AF1606" i="3"/>
  <c r="AN1606" i="3" s="1"/>
  <c r="AR1606" i="3" s="1"/>
  <c r="AQ1606" i="3"/>
  <c r="U1608" i="3" l="1"/>
  <c r="AI1608" i="3" a="1"/>
  <c r="AI1608" i="3" s="1"/>
  <c r="AO1606" i="3"/>
  <c r="AQ1607" i="3"/>
  <c r="AF1607" i="3"/>
  <c r="AN1607" i="3" s="1"/>
  <c r="AA1608" i="3"/>
  <c r="AC1608" i="3" s="1"/>
  <c r="A1609" i="3"/>
  <c r="W1608" i="3"/>
  <c r="Y1608" i="3" s="1"/>
  <c r="AE1608" i="3" s="1"/>
  <c r="U1609" i="3" l="1"/>
  <c r="AI1609" i="3" a="1"/>
  <c r="AI1609" i="3" s="1"/>
  <c r="AR1607" i="3"/>
  <c r="AO1607" i="3"/>
  <c r="AJ1608" i="3"/>
  <c r="A1610" i="3"/>
  <c r="W1609" i="3"/>
  <c r="Y1609" i="3" s="1"/>
  <c r="AE1609" i="3" s="1"/>
  <c r="AA1609" i="3"/>
  <c r="AC1609" i="3" s="1"/>
  <c r="AJ1609" i="3" s="1"/>
  <c r="AQ1608" i="3"/>
  <c r="AF1608" i="3"/>
  <c r="AN1608" i="3" s="1"/>
  <c r="AR1608" i="3" s="1"/>
  <c r="U1610" i="3" l="1"/>
  <c r="AI1610" i="3" a="1"/>
  <c r="AI1610" i="3" s="1"/>
  <c r="AO1608" i="3"/>
  <c r="W1610" i="3"/>
  <c r="Y1610" i="3" s="1"/>
  <c r="AE1610" i="3" s="1"/>
  <c r="A1611" i="3"/>
  <c r="AA1610" i="3"/>
  <c r="AC1610" i="3" s="1"/>
  <c r="AQ1609" i="3"/>
  <c r="AF1609" i="3"/>
  <c r="AN1609" i="3" s="1"/>
  <c r="U1611" i="3" l="1"/>
  <c r="AI1611" i="3" a="1"/>
  <c r="AI1611" i="3" s="1"/>
  <c r="AR1609" i="3"/>
  <c r="AO1609" i="3"/>
  <c r="AQ1610" i="3"/>
  <c r="AF1610" i="3"/>
  <c r="AN1610" i="3" s="1"/>
  <c r="AR1610" i="3" s="1"/>
  <c r="W1611" i="3"/>
  <c r="Y1611" i="3" s="1"/>
  <c r="AE1611" i="3" s="1"/>
  <c r="A1612" i="3"/>
  <c r="AA1611" i="3"/>
  <c r="AC1611" i="3" s="1"/>
  <c r="AJ1611" i="3" s="1"/>
  <c r="AJ1610" i="3"/>
  <c r="U1612" i="3" l="1"/>
  <c r="AI1612" i="3" a="1"/>
  <c r="AI1612" i="3" s="1"/>
  <c r="AQ1611" i="3"/>
  <c r="AF1611" i="3"/>
  <c r="AN1611" i="3" s="1"/>
  <c r="W1612" i="3"/>
  <c r="Y1612" i="3" s="1"/>
  <c r="AE1612" i="3" s="1"/>
  <c r="AA1612" i="3"/>
  <c r="AC1612" i="3" s="1"/>
  <c r="A1613" i="3"/>
  <c r="AO1610" i="3"/>
  <c r="U1613" i="3" l="1"/>
  <c r="AI1613" i="3" a="1"/>
  <c r="AI1613" i="3" s="1"/>
  <c r="AR1611" i="3"/>
  <c r="AO1611" i="3"/>
  <c r="AF1612" i="3"/>
  <c r="AN1612" i="3" s="1"/>
  <c r="AR1612" i="3" s="1"/>
  <c r="AQ1612" i="3"/>
  <c r="AJ1612" i="3"/>
  <c r="AA1613" i="3"/>
  <c r="AC1613" i="3" s="1"/>
  <c r="AJ1613" i="3" s="1"/>
  <c r="A1614" i="3"/>
  <c r="W1613" i="3"/>
  <c r="Y1613" i="3" s="1"/>
  <c r="AE1613" i="3" s="1"/>
  <c r="U1614" i="3" l="1"/>
  <c r="AI1614" i="3" a="1"/>
  <c r="AI1614" i="3" s="1"/>
  <c r="AO1612" i="3"/>
  <c r="A1615" i="3"/>
  <c r="W1614" i="3"/>
  <c r="Y1614" i="3" s="1"/>
  <c r="AE1614" i="3" s="1"/>
  <c r="AA1614" i="3"/>
  <c r="AC1614" i="3" s="1"/>
  <c r="AJ1614" i="3" s="1"/>
  <c r="AQ1613" i="3"/>
  <c r="AF1613" i="3"/>
  <c r="AN1613" i="3" s="1"/>
  <c r="U1615" i="3" l="1"/>
  <c r="AI1615" i="3" a="1"/>
  <c r="AI1615" i="3" s="1"/>
  <c r="AR1613" i="3"/>
  <c r="AO1613" i="3"/>
  <c r="W1615" i="3"/>
  <c r="Y1615" i="3" s="1"/>
  <c r="AE1615" i="3" s="1"/>
  <c r="AA1615" i="3"/>
  <c r="AC1615" i="3" s="1"/>
  <c r="AJ1615" i="3" s="1"/>
  <c r="A1616" i="3"/>
  <c r="AQ1614" i="3"/>
  <c r="AF1614" i="3"/>
  <c r="AN1614" i="3" s="1"/>
  <c r="U1616" i="3" l="1"/>
  <c r="AI1616" i="3" a="1"/>
  <c r="AI1616" i="3" s="1"/>
  <c r="AR1614" i="3"/>
  <c r="AO1614" i="3"/>
  <c r="AQ1615" i="3"/>
  <c r="AF1615" i="3"/>
  <c r="AN1615" i="3" s="1"/>
  <c r="A1617" i="3"/>
  <c r="W1616" i="3"/>
  <c r="Y1616" i="3" s="1"/>
  <c r="AE1616" i="3" s="1"/>
  <c r="AA1616" i="3"/>
  <c r="AC1616" i="3" s="1"/>
  <c r="AJ1616" i="3" s="1"/>
  <c r="U1617" i="3" l="1"/>
  <c r="AI1617" i="3" a="1"/>
  <c r="AI1617" i="3" s="1"/>
  <c r="AR1615" i="3"/>
  <c r="AO1615" i="3"/>
  <c r="A1618" i="3"/>
  <c r="W1617" i="3"/>
  <c r="Y1617" i="3" s="1"/>
  <c r="AE1617" i="3" s="1"/>
  <c r="AA1617" i="3"/>
  <c r="AC1617" i="3" s="1"/>
  <c r="AQ1616" i="3"/>
  <c r="AF1616" i="3"/>
  <c r="AN1616" i="3" s="1"/>
  <c r="U1618" i="3" l="1"/>
  <c r="AI1618" i="3" a="1"/>
  <c r="AI1618" i="3" s="1"/>
  <c r="AR1616" i="3"/>
  <c r="AO1616" i="3"/>
  <c r="W1618" i="3"/>
  <c r="Y1618" i="3" s="1"/>
  <c r="AE1618" i="3" s="1"/>
  <c r="A1619" i="3"/>
  <c r="AA1618" i="3"/>
  <c r="AC1618" i="3" s="1"/>
  <c r="AJ1618" i="3" s="1"/>
  <c r="AQ1617" i="3"/>
  <c r="AF1617" i="3"/>
  <c r="AN1617" i="3" s="1"/>
  <c r="AR1617" i="3" s="1"/>
  <c r="AJ1617" i="3"/>
  <c r="U1619" i="3" l="1"/>
  <c r="AI1619" i="3" a="1"/>
  <c r="AI1619" i="3" s="1"/>
  <c r="AF1618" i="3"/>
  <c r="AN1618" i="3" s="1"/>
  <c r="AQ1618" i="3"/>
  <c r="A1620" i="3"/>
  <c r="W1619" i="3"/>
  <c r="Y1619" i="3" s="1"/>
  <c r="AA1619" i="3"/>
  <c r="AC1619" i="3" s="1"/>
  <c r="AO1617" i="3"/>
  <c r="AE1619" i="3" l="1"/>
  <c r="AQ1619" i="3" s="1"/>
  <c r="U1620" i="3"/>
  <c r="AI1620" i="3" a="1"/>
  <c r="AI1620" i="3" s="1"/>
  <c r="AR1618" i="3"/>
  <c r="AO1618" i="3"/>
  <c r="A1621" i="3"/>
  <c r="AA1620" i="3"/>
  <c r="AC1620" i="3" s="1"/>
  <c r="AJ1620" i="3" s="1"/>
  <c r="W1620" i="3"/>
  <c r="Y1620" i="3" s="1"/>
  <c r="AE1620" i="3" s="1"/>
  <c r="AF1619" i="3"/>
  <c r="AN1619" i="3" s="1"/>
  <c r="AR1619" i="3" s="1"/>
  <c r="AJ1619" i="3"/>
  <c r="U1621" i="3" l="1"/>
  <c r="AI1621" i="3" a="1"/>
  <c r="AI1621" i="3" s="1"/>
  <c r="AA1621" i="3"/>
  <c r="AC1621" i="3" s="1"/>
  <c r="AJ1621" i="3" s="1"/>
  <c r="A1622" i="3"/>
  <c r="W1621" i="3"/>
  <c r="Y1621" i="3" s="1"/>
  <c r="AE1621" i="3" s="1"/>
  <c r="AF1620" i="3"/>
  <c r="AN1620" i="3" s="1"/>
  <c r="AQ1620" i="3"/>
  <c r="AO1619" i="3"/>
  <c r="U1622" i="3" l="1"/>
  <c r="AI1622" i="3" a="1"/>
  <c r="AI1622" i="3" s="1"/>
  <c r="AR1620" i="3"/>
  <c r="AO1620" i="3"/>
  <c r="A1623" i="3"/>
  <c r="W1622" i="3"/>
  <c r="Y1622" i="3" s="1"/>
  <c r="AE1622" i="3" s="1"/>
  <c r="AA1622" i="3"/>
  <c r="AC1622" i="3" s="1"/>
  <c r="AJ1622" i="3" s="1"/>
  <c r="AQ1621" i="3"/>
  <c r="AF1621" i="3"/>
  <c r="AN1621" i="3" s="1"/>
  <c r="U1623" i="3" l="1"/>
  <c r="AI1623" i="3" a="1"/>
  <c r="AI1623" i="3" s="1"/>
  <c r="AR1621" i="3"/>
  <c r="AO1621" i="3"/>
  <c r="A1624" i="3"/>
  <c r="AA1623" i="3"/>
  <c r="AC1623" i="3" s="1"/>
  <c r="AJ1623" i="3" s="1"/>
  <c r="W1623" i="3"/>
  <c r="Y1623" i="3" s="1"/>
  <c r="AE1623" i="3" s="1"/>
  <c r="AQ1622" i="3"/>
  <c r="AF1622" i="3"/>
  <c r="AN1622" i="3" s="1"/>
  <c r="U1624" i="3" l="1"/>
  <c r="AI1624" i="3" a="1"/>
  <c r="AI1624" i="3" s="1"/>
  <c r="AR1622" i="3"/>
  <c r="AO1622" i="3"/>
  <c r="AA1624" i="3"/>
  <c r="AC1624" i="3" s="1"/>
  <c r="AJ1624" i="3" s="1"/>
  <c r="A1625" i="3"/>
  <c r="W1624" i="3"/>
  <c r="Y1624" i="3" s="1"/>
  <c r="AF1623" i="3"/>
  <c r="AN1623" i="3" s="1"/>
  <c r="AQ1623" i="3"/>
  <c r="AE1624" i="3" l="1"/>
  <c r="U1625" i="3"/>
  <c r="AI1625" i="3" a="1"/>
  <c r="AI1625" i="3" s="1"/>
  <c r="AR1623" i="3"/>
  <c r="AO1623" i="3"/>
  <c r="W1625" i="3"/>
  <c r="Y1625" i="3" s="1"/>
  <c r="AE1625" i="3" s="1"/>
  <c r="A1626" i="3"/>
  <c r="AA1625" i="3"/>
  <c r="AC1625" i="3" s="1"/>
  <c r="AJ1625" i="3" s="1"/>
  <c r="AQ1624" i="3" l="1"/>
  <c r="AF1624" i="3"/>
  <c r="U1626" i="3"/>
  <c r="AI1626" i="3" a="1"/>
  <c r="AI1626" i="3" s="1"/>
  <c r="AQ1625" i="3"/>
  <c r="AF1625" i="3"/>
  <c r="AN1625" i="3" s="1"/>
  <c r="W1626" i="3"/>
  <c r="Y1626" i="3" s="1"/>
  <c r="AE1626" i="3" s="1"/>
  <c r="A1627" i="3"/>
  <c r="AA1626" i="3"/>
  <c r="AC1626" i="3" s="1"/>
  <c r="AJ1626" i="3" s="1"/>
  <c r="AN1624" i="3" l="1"/>
  <c r="AO1624" i="3" s="1"/>
  <c r="AR1624" i="3"/>
  <c r="U1627" i="3"/>
  <c r="AI1627" i="3" a="1"/>
  <c r="AI1627" i="3" s="1"/>
  <c r="AR1625" i="3"/>
  <c r="AO1625" i="3"/>
  <c r="AF1626" i="3"/>
  <c r="AN1626" i="3" s="1"/>
  <c r="AQ1626" i="3"/>
  <c r="W1627" i="3"/>
  <c r="Y1627" i="3" s="1"/>
  <c r="AE1627" i="3" s="1"/>
  <c r="AA1627" i="3"/>
  <c r="AC1627" i="3" s="1"/>
  <c r="AJ1627" i="3" s="1"/>
  <c r="A1628" i="3"/>
  <c r="U1628" i="3" l="1"/>
  <c r="AI1628" i="3" a="1"/>
  <c r="AI1628" i="3" s="1"/>
  <c r="AR1626" i="3"/>
  <c r="AO1626" i="3"/>
  <c r="AQ1627" i="3"/>
  <c r="AF1627" i="3"/>
  <c r="AN1627" i="3" s="1"/>
  <c r="A1629" i="3"/>
  <c r="W1628" i="3"/>
  <c r="Y1628" i="3" s="1"/>
  <c r="AE1628" i="3" s="1"/>
  <c r="AA1628" i="3"/>
  <c r="AC1628" i="3" s="1"/>
  <c r="AJ1628" i="3" s="1"/>
  <c r="U1629" i="3" l="1"/>
  <c r="AI1629" i="3" a="1"/>
  <c r="AI1629" i="3" s="1"/>
  <c r="AR1627" i="3"/>
  <c r="AO1627" i="3"/>
  <c r="A1630" i="3"/>
  <c r="AA1629" i="3"/>
  <c r="AC1629" i="3" s="1"/>
  <c r="AJ1629" i="3" s="1"/>
  <c r="W1629" i="3"/>
  <c r="Y1629" i="3" s="1"/>
  <c r="AE1629" i="3" s="1"/>
  <c r="AQ1628" i="3"/>
  <c r="AF1628" i="3"/>
  <c r="AN1628" i="3" s="1"/>
  <c r="U1630" i="3" l="1"/>
  <c r="AI1630" i="3" a="1"/>
  <c r="AI1630" i="3" s="1"/>
  <c r="AR1628" i="3"/>
  <c r="AO1628" i="3"/>
  <c r="W1630" i="3"/>
  <c r="Y1630" i="3" s="1"/>
  <c r="A1631" i="3"/>
  <c r="AA1630" i="3"/>
  <c r="AC1630" i="3" s="1"/>
  <c r="AJ1630" i="3" s="1"/>
  <c r="AF1629" i="3"/>
  <c r="AN1629" i="3" s="1"/>
  <c r="AQ1629" i="3"/>
  <c r="AE1630" i="3" l="1"/>
  <c r="U1631" i="3"/>
  <c r="AI1631" i="3" a="1"/>
  <c r="AI1631" i="3" s="1"/>
  <c r="AR1629" i="3"/>
  <c r="AO1629" i="3"/>
  <c r="W1631" i="3"/>
  <c r="Y1631" i="3" s="1"/>
  <c r="AE1631" i="3" s="1"/>
  <c r="A1632" i="3"/>
  <c r="AA1631" i="3"/>
  <c r="AC1631" i="3" s="1"/>
  <c r="AJ1631" i="3" s="1"/>
  <c r="AF1630" i="3" l="1"/>
  <c r="AN1630" i="3" s="1"/>
  <c r="AQ1630" i="3"/>
  <c r="U1632" i="3"/>
  <c r="AI1632" i="3" a="1"/>
  <c r="AI1632" i="3" s="1"/>
  <c r="AR1630" i="3"/>
  <c r="AO1630" i="3"/>
  <c r="AQ1631" i="3"/>
  <c r="AF1631" i="3"/>
  <c r="AN1631" i="3" s="1"/>
  <c r="W1632" i="3"/>
  <c r="Y1632" i="3" s="1"/>
  <c r="AE1632" i="3" s="1"/>
  <c r="A1633" i="3"/>
  <c r="AA1632" i="3"/>
  <c r="AC1632" i="3" s="1"/>
  <c r="AJ1632" i="3" s="1"/>
  <c r="U1633" i="3" l="1"/>
  <c r="AI1633" i="3" a="1"/>
  <c r="AI1633" i="3" s="1"/>
  <c r="AR1631" i="3"/>
  <c r="AO1631" i="3"/>
  <c r="AQ1632" i="3"/>
  <c r="AF1632" i="3"/>
  <c r="AN1632" i="3" s="1"/>
  <c r="W1633" i="3"/>
  <c r="Y1633" i="3" s="1"/>
  <c r="AE1633" i="3" s="1"/>
  <c r="A1634" i="3"/>
  <c r="AA1633" i="3"/>
  <c r="AC1633" i="3" s="1"/>
  <c r="AJ1633" i="3" s="1"/>
  <c r="U1634" i="3" l="1"/>
  <c r="AI1634" i="3" a="1"/>
  <c r="AI1634" i="3" s="1"/>
  <c r="AR1632" i="3"/>
  <c r="AO1632" i="3"/>
  <c r="AQ1633" i="3"/>
  <c r="AF1633" i="3"/>
  <c r="AN1633" i="3" s="1"/>
  <c r="AA1634" i="3"/>
  <c r="AC1634" i="3" s="1"/>
  <c r="AJ1634" i="3" s="1"/>
  <c r="A1635" i="3"/>
  <c r="W1634" i="3"/>
  <c r="Y1634" i="3" s="1"/>
  <c r="AE1634" i="3" s="1"/>
  <c r="U1635" i="3" l="1"/>
  <c r="AI1635" i="3" a="1"/>
  <c r="AI1635" i="3" s="1"/>
  <c r="AR1633" i="3"/>
  <c r="AO1633" i="3"/>
  <c r="A1636" i="3"/>
  <c r="AA1635" i="3"/>
  <c r="AC1635" i="3" s="1"/>
  <c r="AJ1635" i="3" s="1"/>
  <c r="W1635" i="3"/>
  <c r="Y1635" i="3" s="1"/>
  <c r="AE1635" i="3" s="1"/>
  <c r="AF1634" i="3"/>
  <c r="AN1634" i="3" s="1"/>
  <c r="AQ1634" i="3"/>
  <c r="U1636" i="3" l="1"/>
  <c r="AI1636" i="3" a="1"/>
  <c r="AI1636" i="3" s="1"/>
  <c r="AR1634" i="3"/>
  <c r="AO1634" i="3"/>
  <c r="A1637" i="3"/>
  <c r="W1636" i="3"/>
  <c r="Y1636" i="3" s="1"/>
  <c r="AE1636" i="3" s="1"/>
  <c r="AA1636" i="3"/>
  <c r="AC1636" i="3" s="1"/>
  <c r="AJ1636" i="3" s="1"/>
  <c r="AQ1635" i="3"/>
  <c r="AF1635" i="3"/>
  <c r="AN1635" i="3" s="1"/>
  <c r="U1637" i="3" l="1"/>
  <c r="AI1637" i="3" a="1"/>
  <c r="AI1637" i="3" s="1"/>
  <c r="AR1635" i="3"/>
  <c r="AO1635" i="3"/>
  <c r="A1638" i="3"/>
  <c r="W1637" i="3"/>
  <c r="Y1637" i="3" s="1"/>
  <c r="AA1637" i="3"/>
  <c r="AC1637" i="3" s="1"/>
  <c r="AJ1637" i="3" s="1"/>
  <c r="AF1636" i="3"/>
  <c r="AN1636" i="3" s="1"/>
  <c r="AQ1636" i="3"/>
  <c r="AE1637" i="3" l="1"/>
  <c r="U1638" i="3"/>
  <c r="AI1638" i="3" a="1"/>
  <c r="AI1638" i="3" s="1"/>
  <c r="AR1636" i="3"/>
  <c r="AO1636" i="3"/>
  <c r="W1638" i="3"/>
  <c r="Y1638" i="3" s="1"/>
  <c r="AA1638" i="3"/>
  <c r="AC1638" i="3" s="1"/>
  <c r="AJ1638" i="3" s="1"/>
  <c r="A1639" i="3"/>
  <c r="AE1638" i="3" l="1"/>
  <c r="AQ1637" i="3"/>
  <c r="AF1637" i="3"/>
  <c r="U1639" i="3"/>
  <c r="AI1639" i="3" a="1"/>
  <c r="AI1639" i="3" s="1"/>
  <c r="W1639" i="3"/>
  <c r="Y1639" i="3" s="1"/>
  <c r="AE1639" i="3" s="1"/>
  <c r="AA1639" i="3"/>
  <c r="AC1639" i="3" s="1"/>
  <c r="AJ1639" i="3" s="1"/>
  <c r="A1640" i="3"/>
  <c r="AF1638" i="3" l="1"/>
  <c r="AN1638" i="3" s="1"/>
  <c r="AO1638" i="3" s="1"/>
  <c r="AQ1638" i="3"/>
  <c r="AN1637" i="3"/>
  <c r="AO1637" i="3" s="1"/>
  <c r="AR1637" i="3"/>
  <c r="U1640" i="3"/>
  <c r="AI1640" i="3" a="1"/>
  <c r="AI1640" i="3" s="1"/>
  <c r="AR1638" i="3"/>
  <c r="AQ1639" i="3"/>
  <c r="AF1639" i="3"/>
  <c r="AN1639" i="3" s="1"/>
  <c r="AA1640" i="3"/>
  <c r="AC1640" i="3" s="1"/>
  <c r="AJ1640" i="3" s="1"/>
  <c r="W1640" i="3"/>
  <c r="Y1640" i="3" s="1"/>
  <c r="AE1640" i="3" s="1"/>
  <c r="A1641" i="3"/>
  <c r="U1641" i="3" l="1"/>
  <c r="AI1641" i="3" a="1"/>
  <c r="AI1641" i="3" s="1"/>
  <c r="AR1639" i="3"/>
  <c r="AO1639" i="3"/>
  <c r="AF1640" i="3"/>
  <c r="AN1640" i="3" s="1"/>
  <c r="AQ1640" i="3"/>
  <c r="W1641" i="3"/>
  <c r="Y1641" i="3" s="1"/>
  <c r="AE1641" i="3" s="1"/>
  <c r="A1642" i="3"/>
  <c r="AA1641" i="3"/>
  <c r="AC1641" i="3" s="1"/>
  <c r="AJ1641" i="3" s="1"/>
  <c r="U1642" i="3" l="1"/>
  <c r="AI1642" i="3" a="1"/>
  <c r="AI1642" i="3" s="1"/>
  <c r="AR1640" i="3"/>
  <c r="AO1640" i="3"/>
  <c r="AQ1641" i="3"/>
  <c r="AF1641" i="3"/>
  <c r="AN1641" i="3" s="1"/>
  <c r="A1643" i="3"/>
  <c r="AA1642" i="3"/>
  <c r="AC1642" i="3" s="1"/>
  <c r="AJ1642" i="3" s="1"/>
  <c r="W1642" i="3"/>
  <c r="Y1642" i="3" s="1"/>
  <c r="AE1642" i="3" s="1"/>
  <c r="U1643" i="3" l="1"/>
  <c r="AI1643" i="3" a="1"/>
  <c r="AI1643" i="3" s="1"/>
  <c r="AR1641" i="3"/>
  <c r="AO1641" i="3"/>
  <c r="AA1643" i="3"/>
  <c r="AC1643" i="3" s="1"/>
  <c r="AJ1643" i="3" s="1"/>
  <c r="A1644" i="3"/>
  <c r="W1643" i="3"/>
  <c r="Y1643" i="3" s="1"/>
  <c r="AE1643" i="3" s="1"/>
  <c r="AQ1642" i="3"/>
  <c r="AF1642" i="3"/>
  <c r="AN1642" i="3" s="1"/>
  <c r="U1644" i="3" l="1"/>
  <c r="AI1644" i="3" a="1"/>
  <c r="AI1644" i="3" s="1"/>
  <c r="AR1642" i="3"/>
  <c r="AO1642" i="3"/>
  <c r="W1644" i="3"/>
  <c r="Y1644" i="3" s="1"/>
  <c r="AE1644" i="3" s="1"/>
  <c r="AA1644" i="3"/>
  <c r="AC1644" i="3" s="1"/>
  <c r="AJ1644" i="3" s="1"/>
  <c r="A1645" i="3"/>
  <c r="AF1643" i="3"/>
  <c r="AN1643" i="3" s="1"/>
  <c r="AQ1643" i="3"/>
  <c r="U1645" i="3" l="1"/>
  <c r="AI1645" i="3" a="1"/>
  <c r="AI1645" i="3" s="1"/>
  <c r="AR1643" i="3"/>
  <c r="AO1643" i="3"/>
  <c r="AF1644" i="3"/>
  <c r="AN1644" i="3" s="1"/>
  <c r="AQ1644" i="3"/>
  <c r="W1645" i="3"/>
  <c r="Y1645" i="3" s="1"/>
  <c r="AE1645" i="3" s="1"/>
  <c r="AA1645" i="3"/>
  <c r="AC1645" i="3" s="1"/>
  <c r="AJ1645" i="3" s="1"/>
  <c r="A1646" i="3"/>
  <c r="U1646" i="3" l="1"/>
  <c r="AI1646" i="3" a="1"/>
  <c r="AI1646" i="3" s="1"/>
  <c r="AR1644" i="3"/>
  <c r="AO1644" i="3"/>
  <c r="AF1645" i="3"/>
  <c r="AN1645" i="3" s="1"/>
  <c r="AQ1645" i="3"/>
  <c r="W1646" i="3"/>
  <c r="Y1646" i="3" s="1"/>
  <c r="AE1646" i="3" s="1"/>
  <c r="AA1646" i="3"/>
  <c r="AC1646" i="3" s="1"/>
  <c r="AJ1646" i="3" s="1"/>
  <c r="A1647" i="3"/>
  <c r="U1647" i="3" l="1"/>
  <c r="AI1647" i="3" a="1"/>
  <c r="AI1647" i="3" s="1"/>
  <c r="AR1645" i="3"/>
  <c r="AO1645" i="3"/>
  <c r="AQ1646" i="3"/>
  <c r="AF1646" i="3"/>
  <c r="AN1646" i="3" s="1"/>
  <c r="W1647" i="3"/>
  <c r="Y1647" i="3" s="1"/>
  <c r="AE1647" i="3" s="1"/>
  <c r="A1648" i="3"/>
  <c r="AA1647" i="3"/>
  <c r="AC1647" i="3" s="1"/>
  <c r="AJ1647" i="3" s="1"/>
  <c r="U1648" i="3" l="1"/>
  <c r="AI1648" i="3" a="1"/>
  <c r="AI1648" i="3" s="1"/>
  <c r="AR1646" i="3"/>
  <c r="AO1646" i="3"/>
  <c r="AQ1647" i="3"/>
  <c r="AF1647" i="3"/>
  <c r="AN1647" i="3" s="1"/>
  <c r="A1649" i="3"/>
  <c r="AA1648" i="3"/>
  <c r="AC1648" i="3" s="1"/>
  <c r="W1648" i="3"/>
  <c r="Y1648" i="3" s="1"/>
  <c r="AE1648" i="3" s="1"/>
  <c r="U1649" i="3" l="1"/>
  <c r="AI1649" i="3" a="1"/>
  <c r="AI1649" i="3" s="1"/>
  <c r="AR1647" i="3"/>
  <c r="AO1647" i="3"/>
  <c r="AA1649" i="3"/>
  <c r="AC1649" i="3" s="1"/>
  <c r="AJ1649" i="3" s="1"/>
  <c r="A1650" i="3"/>
  <c r="W1649" i="3"/>
  <c r="Y1649" i="3" s="1"/>
  <c r="AE1649" i="3" s="1"/>
  <c r="AJ1648" i="3"/>
  <c r="AF1648" i="3"/>
  <c r="AN1648" i="3" s="1"/>
  <c r="AR1648" i="3" s="1"/>
  <c r="AQ1648" i="3"/>
  <c r="U1650" i="3" l="1"/>
  <c r="AI1650" i="3" a="1"/>
  <c r="AI1650" i="3" s="1"/>
  <c r="A1651" i="3"/>
  <c r="AA1650" i="3"/>
  <c r="AC1650" i="3" s="1"/>
  <c r="W1650" i="3"/>
  <c r="Y1650" i="3" s="1"/>
  <c r="AE1650" i="3" s="1"/>
  <c r="AQ1649" i="3"/>
  <c r="AF1649" i="3"/>
  <c r="AN1649" i="3" s="1"/>
  <c r="AO1648" i="3"/>
  <c r="U1651" i="3" l="1"/>
  <c r="AI1651" i="3" a="1"/>
  <c r="AI1651" i="3" s="1"/>
  <c r="AR1649" i="3"/>
  <c r="AO1649" i="3"/>
  <c r="AA1651" i="3"/>
  <c r="AC1651" i="3" s="1"/>
  <c r="AJ1651" i="3" s="1"/>
  <c r="A1652" i="3"/>
  <c r="W1651" i="3"/>
  <c r="Y1651" i="3" s="1"/>
  <c r="AE1651" i="3" s="1"/>
  <c r="AJ1650" i="3"/>
  <c r="AQ1650" i="3"/>
  <c r="AF1650" i="3"/>
  <c r="AN1650" i="3" s="1"/>
  <c r="AR1650" i="3" s="1"/>
  <c r="U1652" i="3" l="1"/>
  <c r="AI1652" i="3" a="1"/>
  <c r="AI1652" i="3" s="1"/>
  <c r="AA1652" i="3"/>
  <c r="AC1652" i="3" s="1"/>
  <c r="AJ1652" i="3" s="1"/>
  <c r="A1653" i="3"/>
  <c r="W1652" i="3"/>
  <c r="Y1652" i="3" s="1"/>
  <c r="AE1652" i="3" s="1"/>
  <c r="AQ1651" i="3"/>
  <c r="AF1651" i="3"/>
  <c r="AN1651" i="3" s="1"/>
  <c r="AO1650" i="3"/>
  <c r="U1653" i="3" l="1"/>
  <c r="AI1653" i="3" a="1"/>
  <c r="AI1653" i="3" s="1"/>
  <c r="AR1651" i="3"/>
  <c r="AO1651" i="3"/>
  <c r="A1654" i="3"/>
  <c r="W1653" i="3"/>
  <c r="Y1653" i="3" s="1"/>
  <c r="AE1653" i="3" s="1"/>
  <c r="AA1653" i="3"/>
  <c r="AC1653" i="3" s="1"/>
  <c r="AJ1653" i="3" s="1"/>
  <c r="AF1652" i="3"/>
  <c r="AN1652" i="3" s="1"/>
  <c r="AQ1652" i="3"/>
  <c r="U1654" i="3" l="1"/>
  <c r="AI1654" i="3" a="1"/>
  <c r="AI1654" i="3" s="1"/>
  <c r="AR1652" i="3"/>
  <c r="AO1652" i="3"/>
  <c r="AA1654" i="3"/>
  <c r="AC1654" i="3" s="1"/>
  <c r="AJ1654" i="3" s="1"/>
  <c r="A1655" i="3"/>
  <c r="W1654" i="3"/>
  <c r="Y1654" i="3" s="1"/>
  <c r="AF1653" i="3"/>
  <c r="AN1653" i="3" s="1"/>
  <c r="AQ1653" i="3"/>
  <c r="AE1654" i="3" l="1"/>
  <c r="U1655" i="3"/>
  <c r="AI1655" i="3" a="1"/>
  <c r="AI1655" i="3" s="1"/>
  <c r="AR1653" i="3"/>
  <c r="AO1653" i="3"/>
  <c r="W1655" i="3"/>
  <c r="Y1655" i="3" s="1"/>
  <c r="AE1655" i="3" s="1"/>
  <c r="A1656" i="3"/>
  <c r="AA1655" i="3"/>
  <c r="AC1655" i="3" s="1"/>
  <c r="AJ1655" i="3" s="1"/>
  <c r="AF1654" i="3" l="1"/>
  <c r="AQ1654" i="3"/>
  <c r="U1656" i="3"/>
  <c r="AI1656" i="3" a="1"/>
  <c r="AI1656" i="3" s="1"/>
  <c r="AF1655" i="3"/>
  <c r="AN1655" i="3" s="1"/>
  <c r="AQ1655" i="3"/>
  <c r="A1657" i="3"/>
  <c r="W1656" i="3"/>
  <c r="Y1656" i="3" s="1"/>
  <c r="AA1656" i="3"/>
  <c r="AC1656" i="3" s="1"/>
  <c r="AJ1656" i="3" s="1"/>
  <c r="AN1654" i="3" l="1"/>
  <c r="AO1654" i="3" s="1"/>
  <c r="AR1654" i="3"/>
  <c r="AE1656" i="3"/>
  <c r="U1657" i="3"/>
  <c r="AI1657" i="3" a="1"/>
  <c r="AI1657" i="3" s="1"/>
  <c r="AR1655" i="3"/>
  <c r="AO1655" i="3"/>
  <c r="W1657" i="3"/>
  <c r="Y1657" i="3" s="1"/>
  <c r="AE1657" i="3" s="1"/>
  <c r="A1658" i="3"/>
  <c r="AA1657" i="3"/>
  <c r="AC1657" i="3" s="1"/>
  <c r="AJ1657" i="3" s="1"/>
  <c r="AF1656" i="3" l="1"/>
  <c r="AN1656" i="3" s="1"/>
  <c r="AQ1656" i="3"/>
  <c r="U1658" i="3"/>
  <c r="AI1658" i="3" a="1"/>
  <c r="AI1658" i="3" s="1"/>
  <c r="AR1656" i="3"/>
  <c r="AO1656" i="3"/>
  <c r="AF1657" i="3"/>
  <c r="AN1657" i="3" s="1"/>
  <c r="AQ1657" i="3"/>
  <c r="AA1658" i="3"/>
  <c r="AC1658" i="3" s="1"/>
  <c r="AJ1658" i="3" s="1"/>
  <c r="A1659" i="3"/>
  <c r="W1658" i="3"/>
  <c r="Y1658" i="3" s="1"/>
  <c r="AE1658" i="3" s="1"/>
  <c r="U1659" i="3" l="1"/>
  <c r="AI1659" i="3" a="1"/>
  <c r="AI1659" i="3" s="1"/>
  <c r="AO1657" i="3"/>
  <c r="AR1657" i="3"/>
  <c r="AA1659" i="3"/>
  <c r="AC1659" i="3" s="1"/>
  <c r="AJ1659" i="3" s="1"/>
  <c r="W1659" i="3"/>
  <c r="Y1659" i="3" s="1"/>
  <c r="AE1659" i="3" s="1"/>
  <c r="A1660" i="3"/>
  <c r="AF1658" i="3"/>
  <c r="AN1658" i="3" s="1"/>
  <c r="AQ1658" i="3"/>
  <c r="U1660" i="3" l="1"/>
  <c r="AI1660" i="3" a="1"/>
  <c r="AI1660" i="3" s="1"/>
  <c r="AR1658" i="3"/>
  <c r="AO1658" i="3"/>
  <c r="AF1659" i="3"/>
  <c r="AN1659" i="3" s="1"/>
  <c r="AQ1659" i="3"/>
  <c r="A1661" i="3"/>
  <c r="AA1660" i="3"/>
  <c r="AC1660" i="3" s="1"/>
  <c r="AJ1660" i="3" s="1"/>
  <c r="W1660" i="3"/>
  <c r="Y1660" i="3" s="1"/>
  <c r="AE1660" i="3" s="1"/>
  <c r="U1661" i="3" l="1"/>
  <c r="AI1661" i="3" a="1"/>
  <c r="AI1661" i="3" s="1"/>
  <c r="AR1659" i="3"/>
  <c r="AO1659" i="3"/>
  <c r="W1661" i="3"/>
  <c r="Y1661" i="3" s="1"/>
  <c r="AE1661" i="3" s="1"/>
  <c r="AA1661" i="3"/>
  <c r="AC1661" i="3" s="1"/>
  <c r="AJ1661" i="3" s="1"/>
  <c r="A1662" i="3"/>
  <c r="AQ1660" i="3"/>
  <c r="AF1660" i="3"/>
  <c r="AN1660" i="3" s="1"/>
  <c r="U1662" i="3" l="1"/>
  <c r="AI1662" i="3" a="1"/>
  <c r="AI1662" i="3" s="1"/>
  <c r="AR1660" i="3"/>
  <c r="AO1660" i="3"/>
  <c r="AQ1661" i="3"/>
  <c r="AF1661" i="3"/>
  <c r="AN1661" i="3" s="1"/>
  <c r="A1663" i="3"/>
  <c r="AA1662" i="3"/>
  <c r="AC1662" i="3" s="1"/>
  <c r="AJ1662" i="3" s="1"/>
  <c r="W1662" i="3"/>
  <c r="Y1662" i="3" s="1"/>
  <c r="AE1662" i="3" s="1"/>
  <c r="U1663" i="3" l="1"/>
  <c r="AI1663" i="3" a="1"/>
  <c r="AI1663" i="3" s="1"/>
  <c r="AR1661" i="3"/>
  <c r="AO1661" i="3"/>
  <c r="A1664" i="3"/>
  <c r="W1663" i="3"/>
  <c r="Y1663" i="3" s="1"/>
  <c r="AE1663" i="3" s="1"/>
  <c r="AA1663" i="3"/>
  <c r="AC1663" i="3" s="1"/>
  <c r="AJ1663" i="3" s="1"/>
  <c r="AF1662" i="3"/>
  <c r="AN1662" i="3" s="1"/>
  <c r="AQ1662" i="3"/>
  <c r="U1664" i="3" l="1"/>
  <c r="AI1664" i="3" a="1"/>
  <c r="AI1664" i="3" s="1"/>
  <c r="AR1662" i="3"/>
  <c r="AO1662" i="3"/>
  <c r="AA1664" i="3"/>
  <c r="AC1664" i="3" s="1"/>
  <c r="AJ1664" i="3" s="1"/>
  <c r="A1665" i="3"/>
  <c r="W1664" i="3"/>
  <c r="Y1664" i="3" s="1"/>
  <c r="AF1663" i="3"/>
  <c r="AN1663" i="3" s="1"/>
  <c r="AQ1663" i="3"/>
  <c r="AE1664" i="3" l="1"/>
  <c r="U1665" i="3"/>
  <c r="AI1665" i="3" a="1"/>
  <c r="AI1665" i="3" s="1"/>
  <c r="AR1663" i="3"/>
  <c r="AO1663" i="3"/>
  <c r="W1665" i="3"/>
  <c r="Y1665" i="3" s="1"/>
  <c r="AE1665" i="3" s="1"/>
  <c r="A1666" i="3"/>
  <c r="AA1665" i="3"/>
  <c r="AC1665" i="3" s="1"/>
  <c r="AJ1665" i="3" s="1"/>
  <c r="AQ1664" i="3" l="1"/>
  <c r="AF1664" i="3"/>
  <c r="U1666" i="3"/>
  <c r="AI1666" i="3" a="1"/>
  <c r="AI1666" i="3" s="1"/>
  <c r="AQ1665" i="3"/>
  <c r="AF1665" i="3"/>
  <c r="AN1665" i="3" s="1"/>
  <c r="W1666" i="3"/>
  <c r="Y1666" i="3" s="1"/>
  <c r="AE1666" i="3" s="1"/>
  <c r="A1667" i="3"/>
  <c r="AA1666" i="3"/>
  <c r="AC1666" i="3" s="1"/>
  <c r="AJ1666" i="3" s="1"/>
  <c r="AN1664" i="3" l="1"/>
  <c r="U1667" i="3"/>
  <c r="AI1667" i="3" a="1"/>
  <c r="AI1667" i="3" s="1"/>
  <c r="AR1665" i="3"/>
  <c r="AO1665" i="3"/>
  <c r="AQ1666" i="3"/>
  <c r="AF1666" i="3"/>
  <c r="AN1666" i="3" s="1"/>
  <c r="AA1667" i="3"/>
  <c r="AC1667" i="3" s="1"/>
  <c r="AJ1667" i="3" s="1"/>
  <c r="A1668" i="3"/>
  <c r="W1667" i="3"/>
  <c r="Y1667" i="3" s="1"/>
  <c r="AE1667" i="3" s="1"/>
  <c r="AO1664" i="3" l="1"/>
  <c r="AR1664" i="3"/>
  <c r="U1668" i="3"/>
  <c r="AI1668" i="3" a="1"/>
  <c r="AI1668" i="3" s="1"/>
  <c r="AR1666" i="3"/>
  <c r="AO1666" i="3"/>
  <c r="W1668" i="3"/>
  <c r="Y1668" i="3" s="1"/>
  <c r="AE1668" i="3" s="1"/>
  <c r="AA1668" i="3"/>
  <c r="AC1668" i="3" s="1"/>
  <c r="AJ1668" i="3" s="1"/>
  <c r="A1669" i="3"/>
  <c r="AQ1667" i="3"/>
  <c r="AF1667" i="3"/>
  <c r="AN1667" i="3" s="1"/>
  <c r="U1669" i="3" l="1"/>
  <c r="AI1669" i="3" a="1"/>
  <c r="AI1669" i="3" s="1"/>
  <c r="AR1667" i="3"/>
  <c r="AO1667" i="3"/>
  <c r="AF1668" i="3"/>
  <c r="AN1668" i="3" s="1"/>
  <c r="AQ1668" i="3"/>
  <c r="W1669" i="3"/>
  <c r="Y1669" i="3" s="1"/>
  <c r="AE1669" i="3" s="1"/>
  <c r="A1670" i="3"/>
  <c r="AA1669" i="3"/>
  <c r="AC1669" i="3" s="1"/>
  <c r="AJ1669" i="3" s="1"/>
  <c r="U1670" i="3" l="1"/>
  <c r="AI1670" i="3" a="1"/>
  <c r="AI1670" i="3" s="1"/>
  <c r="AR1668" i="3"/>
  <c r="AO1668" i="3"/>
  <c r="AQ1669" i="3"/>
  <c r="AF1669" i="3"/>
  <c r="AN1669" i="3" s="1"/>
  <c r="A1671" i="3"/>
  <c r="AA1670" i="3"/>
  <c r="AC1670" i="3" s="1"/>
  <c r="AJ1670" i="3" s="1"/>
  <c r="W1670" i="3"/>
  <c r="Y1670" i="3" s="1"/>
  <c r="AE1670" i="3" s="1"/>
  <c r="U1671" i="3" l="1"/>
  <c r="AI1671" i="3" a="1"/>
  <c r="AI1671" i="3" s="1"/>
  <c r="AR1669" i="3"/>
  <c r="AO1669" i="3"/>
  <c r="AA1671" i="3"/>
  <c r="AC1671" i="3" s="1"/>
  <c r="A1672" i="3"/>
  <c r="W1671" i="3"/>
  <c r="Y1671" i="3" s="1"/>
  <c r="AQ1670" i="3"/>
  <c r="AF1670" i="3"/>
  <c r="AN1670" i="3" s="1"/>
  <c r="AE1671" i="3" l="1"/>
  <c r="U1672" i="3"/>
  <c r="AI1672" i="3" a="1"/>
  <c r="AI1672" i="3" s="1"/>
  <c r="AR1670" i="3"/>
  <c r="AO1670" i="3"/>
  <c r="AJ1671" i="3"/>
  <c r="AA1672" i="3"/>
  <c r="AC1672" i="3" s="1"/>
  <c r="A1673" i="3"/>
  <c r="W1672" i="3"/>
  <c r="Y1672" i="3" s="1"/>
  <c r="AE1672" i="3" s="1"/>
  <c r="AQ1671" i="3" l="1"/>
  <c r="AF1671" i="3"/>
  <c r="AN1671" i="3" s="1"/>
  <c r="AR1671" i="3" s="1"/>
  <c r="U1673" i="3"/>
  <c r="AI1673" i="3" a="1"/>
  <c r="AI1673" i="3" s="1"/>
  <c r="AO1671" i="3"/>
  <c r="AA1673" i="3"/>
  <c r="AC1673" i="3" s="1"/>
  <c r="W1673" i="3"/>
  <c r="Y1673" i="3" s="1"/>
  <c r="A1674" i="3"/>
  <c r="AF1672" i="3"/>
  <c r="AN1672" i="3" s="1"/>
  <c r="AQ1672" i="3"/>
  <c r="AJ1672" i="3"/>
  <c r="AE1673" i="3" l="1"/>
  <c r="AO1672" i="3"/>
  <c r="AR1672" i="3"/>
  <c r="W1674" i="3"/>
  <c r="Y1674" i="3" s="1"/>
  <c r="AE1674" i="3" s="1"/>
  <c r="A1675" i="3"/>
  <c r="AA1674" i="3"/>
  <c r="AJ1673" i="3"/>
  <c r="AF1673" i="3" l="1"/>
  <c r="AN1673" i="3" s="1"/>
  <c r="AQ1673" i="3"/>
  <c r="AC1674" i="3"/>
  <c r="AF1674" i="3" s="1"/>
  <c r="AN1674" i="3" s="1"/>
  <c r="AI1674" i="3" a="1"/>
  <c r="AI1674" i="3" s="1"/>
  <c r="AQ1674" i="3"/>
  <c r="A1676" i="3"/>
  <c r="AA1675" i="3"/>
  <c r="W1675" i="3"/>
  <c r="Y1675" i="3" s="1"/>
  <c r="AE1675" i="3" s="1"/>
  <c r="AJ1674" i="3"/>
  <c r="AR1673" i="3" l="1"/>
  <c r="AO1673" i="3"/>
  <c r="AC1675" i="3"/>
  <c r="AI1675" i="3" a="1"/>
  <c r="AI1675" i="3" s="1"/>
  <c r="U1676" i="3"/>
  <c r="H13" i="2" s="1"/>
  <c r="AI1676" i="3" a="1"/>
  <c r="AI1676" i="3" s="1"/>
  <c r="AR1674" i="3"/>
  <c r="AO1674" i="3"/>
  <c r="A1677" i="3"/>
  <c r="AA1676" i="3"/>
  <c r="AC1676" i="3" s="1"/>
  <c r="AJ1676" i="3" s="1"/>
  <c r="W1676" i="3"/>
  <c r="Y1676" i="3" s="1"/>
  <c r="AE1676" i="3" s="1"/>
  <c r="AQ1675" i="3"/>
  <c r="AJ1675" i="3" l="1"/>
  <c r="AF1675" i="3"/>
  <c r="AN1675" i="3" s="1"/>
  <c r="AO1675" i="3" s="1"/>
  <c r="U1677" i="3"/>
  <c r="AI1677" i="3" a="1"/>
  <c r="AI1677" i="3" s="1"/>
  <c r="AR1675" i="3"/>
  <c r="AA1677" i="3"/>
  <c r="AC1677" i="3" s="1"/>
  <c r="AJ1677" i="3" s="1"/>
  <c r="W1677" i="3"/>
  <c r="Y1677" i="3" s="1"/>
  <c r="AE1677" i="3" s="1"/>
  <c r="A1678" i="3"/>
  <c r="M13" i="2"/>
  <c r="AF1676" i="3"/>
  <c r="AN1676" i="3" s="1"/>
  <c r="AQ1676" i="3"/>
  <c r="U1678" i="3" l="1"/>
  <c r="AI1678" i="3" a="1"/>
  <c r="AI1678" i="3" s="1"/>
  <c r="AR1676" i="3"/>
  <c r="AO1676" i="3"/>
  <c r="L13" i="2" s="1"/>
  <c r="N13" i="2" s="1"/>
  <c r="AQ1677" i="3"/>
  <c r="AF1677" i="3"/>
  <c r="AN1677" i="3" s="1"/>
  <c r="A1679" i="3"/>
  <c r="AA1678" i="3"/>
  <c r="AC1678" i="3" s="1"/>
  <c r="AJ1678" i="3" s="1"/>
  <c r="W1678" i="3"/>
  <c r="Y1678" i="3" s="1"/>
  <c r="AE1678" i="3" s="1"/>
  <c r="U1679" i="3" l="1"/>
  <c r="AI1679" i="3" a="1"/>
  <c r="AI1679" i="3" s="1"/>
  <c r="AR1677" i="3"/>
  <c r="AO1677" i="3"/>
  <c r="AA1679" i="3"/>
  <c r="AC1679" i="3" s="1"/>
  <c r="A1680" i="3"/>
  <c r="W1679" i="3"/>
  <c r="Y1679" i="3" s="1"/>
  <c r="AQ1678" i="3"/>
  <c r="AF1678" i="3"/>
  <c r="AN1678" i="3" s="1"/>
  <c r="G16" i="2"/>
  <c r="AE1679" i="3" l="1"/>
  <c r="U1680" i="3"/>
  <c r="AI1680" i="3" a="1"/>
  <c r="AI1680" i="3" s="1"/>
  <c r="AR1678" i="3"/>
  <c r="AO1678" i="3"/>
  <c r="L16" i="2" s="1"/>
  <c r="AJ1679" i="3"/>
  <c r="AA1680" i="3"/>
  <c r="AC1680" i="3" s="1"/>
  <c r="AJ1680" i="3" s="1"/>
  <c r="W1680" i="3"/>
  <c r="Y1680" i="3" s="1"/>
  <c r="AE1680" i="3" s="1"/>
  <c r="A1681" i="3"/>
  <c r="P16" i="2"/>
  <c r="AF1679" i="3" l="1"/>
  <c r="AN1679" i="3" s="1"/>
  <c r="AR1679" i="3" s="1"/>
  <c r="AQ1679" i="3"/>
  <c r="U1681" i="3"/>
  <c r="AI1681" i="3" a="1"/>
  <c r="AI1681" i="3" s="1"/>
  <c r="H14" i="2"/>
  <c r="H15" i="2"/>
  <c r="J15" i="2" s="1"/>
  <c r="O15" i="2" s="1"/>
  <c r="H16" i="2"/>
  <c r="H10" i="2"/>
  <c r="J10" i="2" s="1"/>
  <c r="H9" i="2"/>
  <c r="H7" i="2"/>
  <c r="J7" i="2" s="1"/>
  <c r="H11" i="2"/>
  <c r="U1" i="3"/>
  <c r="AO1679" i="3"/>
  <c r="AF1680" i="3"/>
  <c r="AN1680" i="3" s="1"/>
  <c r="AQ1680" i="3"/>
  <c r="A1682" i="3"/>
  <c r="AA1681" i="3"/>
  <c r="AC1681" i="3" s="1"/>
  <c r="AJ1681" i="3" s="1"/>
  <c r="W1681" i="3"/>
  <c r="Y1681" i="3" s="1"/>
  <c r="AE1681" i="3" l="1"/>
  <c r="AR1680" i="3"/>
  <c r="AO1680" i="3"/>
  <c r="H25" i="2"/>
  <c r="M14" i="2"/>
  <c r="AA1682" i="3"/>
  <c r="A1683" i="3"/>
  <c r="W1682" i="3"/>
  <c r="Y1682" i="3" s="1"/>
  <c r="AE1682" i="3" s="1"/>
  <c r="AL1682" i="3" s="1"/>
  <c r="AQ1681" i="3" l="1"/>
  <c r="AF1681" i="3"/>
  <c r="AC1682" i="3"/>
  <c r="AI1682" i="3" a="1"/>
  <c r="AI1682" i="3" s="1"/>
  <c r="AA1683" i="3"/>
  <c r="A1684" i="3"/>
  <c r="W1683" i="3"/>
  <c r="Y1683" i="3" s="1"/>
  <c r="AE1683" i="3" s="1"/>
  <c r="AL1683" i="3" s="1"/>
  <c r="AQ1682" i="3"/>
  <c r="G19" i="2"/>
  <c r="AN1681" i="3" l="1"/>
  <c r="AO1681" i="3" s="1"/>
  <c r="L14" i="2" s="1"/>
  <c r="N14" i="2" s="1"/>
  <c r="AR1681" i="3"/>
  <c r="I19" i="2"/>
  <c r="J19" i="2" s="1"/>
  <c r="AF1682" i="3"/>
  <c r="AC1683" i="3"/>
  <c r="AF1683" i="3" s="1"/>
  <c r="AN1683" i="3" s="1"/>
  <c r="AI1683" i="3" a="1"/>
  <c r="AI1683" i="3" s="1"/>
  <c r="W1684" i="3"/>
  <c r="Y1684" i="3" s="1"/>
  <c r="AE1684" i="3" s="1"/>
  <c r="A1685" i="3"/>
  <c r="AA1684" i="3"/>
  <c r="AQ1683" i="3"/>
  <c r="K19" i="2"/>
  <c r="P19" i="2" s="1"/>
  <c r="AN1682" i="3" l="1"/>
  <c r="AR1682" i="3" s="1"/>
  <c r="AC1684" i="3"/>
  <c r="AI1684" i="3" a="1"/>
  <c r="AI1684" i="3" s="1"/>
  <c r="G22" i="2"/>
  <c r="AQ1684" i="3"/>
  <c r="W1685" i="3"/>
  <c r="Y1685" i="3" s="1"/>
  <c r="AE1685" i="3" s="1"/>
  <c r="AA1685" i="3"/>
  <c r="A1686" i="3"/>
  <c r="AR1683" i="3"/>
  <c r="I22" i="2" l="1"/>
  <c r="J22" i="2" s="1"/>
  <c r="AF1684" i="3"/>
  <c r="AR1684" i="3" s="1"/>
  <c r="AC1685" i="3"/>
  <c r="I23" i="2" s="1"/>
  <c r="AI1685" i="3" a="1"/>
  <c r="AI1685" i="3" s="1"/>
  <c r="P22" i="2"/>
  <c r="AF1685" i="3"/>
  <c r="AR1685" i="3" s="1"/>
  <c r="G23" i="2"/>
  <c r="AQ1685" i="3"/>
  <c r="AA1686" i="3"/>
  <c r="AI1686" i="3" s="1" a="1"/>
  <c r="AI1686" i="3" s="1"/>
  <c r="W1686" i="3"/>
  <c r="P23" i="2" l="1"/>
  <c r="J23" i="2"/>
  <c r="AA1" i="3"/>
  <c r="AC1686" i="3"/>
  <c r="W1" i="3"/>
  <c r="Y1686" i="3"/>
  <c r="I20" i="2" l="1"/>
  <c r="I14" i="2"/>
  <c r="I13" i="2"/>
  <c r="I16" i="2"/>
  <c r="J16" i="2" s="1"/>
  <c r="I9" i="2"/>
  <c r="I11" i="2"/>
  <c r="AC1" i="3"/>
  <c r="Y1" i="3"/>
  <c r="AE1686" i="3"/>
  <c r="AL1686" i="3" s="1"/>
  <c r="K7" i="2" l="1"/>
  <c r="K11" i="2"/>
  <c r="K10" i="2"/>
  <c r="AQ1686" i="3"/>
  <c r="AQ1" i="3" s="1"/>
  <c r="I25" i="2"/>
  <c r="G20" i="2"/>
  <c r="G13" i="2"/>
  <c r="G14" i="2"/>
  <c r="G11" i="2"/>
  <c r="G9" i="2"/>
  <c r="AF1686" i="3"/>
  <c r="AN1686" i="3" s="1"/>
  <c r="AE1" i="3"/>
  <c r="N7" i="2" l="1"/>
  <c r="O7" i="2" s="1"/>
  <c r="P7" i="2"/>
  <c r="P10" i="2"/>
  <c r="N10" i="2"/>
  <c r="O10" i="2" s="1"/>
  <c r="G25" i="2"/>
  <c r="G26" i="2" s="1"/>
  <c r="J20" i="2"/>
  <c r="J13" i="2"/>
  <c r="O13" i="2" s="1"/>
  <c r="P13" i="2"/>
  <c r="J14" i="2"/>
  <c r="O14" i="2" s="1"/>
  <c r="P14" i="2"/>
  <c r="J11" i="2"/>
  <c r="P11" i="2"/>
  <c r="J9" i="2"/>
  <c r="P9" i="2"/>
  <c r="AF1" i="3"/>
  <c r="AL1" i="3"/>
  <c r="K20" i="2"/>
  <c r="P20" i="2" l="1"/>
  <c r="P25" i="2" s="1"/>
  <c r="P26" i="2" s="1"/>
  <c r="AN1" i="3"/>
  <c r="AR1686" i="3"/>
  <c r="K25" i="2"/>
  <c r="K26" i="2" s="1"/>
  <c r="J25" i="2"/>
  <c r="J26" i="2" s="1"/>
  <c r="L11" i="2"/>
  <c r="J306" i="4"/>
  <c r="M306" i="4"/>
  <c r="N308" i="4"/>
  <c r="L308" i="4"/>
  <c r="J308" i="4"/>
  <c r="M308" i="4"/>
  <c r="M11" i="2"/>
  <c r="M16" i="2"/>
  <c r="N16" i="2" s="1"/>
  <c r="O16" i="2" s="1"/>
  <c r="J307" i="4"/>
  <c r="M307" i="4"/>
  <c r="N309" i="4"/>
  <c r="L309" i="4"/>
  <c r="J309" i="4"/>
  <c r="M309" i="4"/>
  <c r="N306" i="4"/>
  <c r="L306" i="4"/>
  <c r="J310" i="4"/>
  <c r="M310" i="4"/>
  <c r="N307" i="4"/>
  <c r="L307" i="4"/>
  <c r="N310" i="4"/>
  <c r="L310" i="4"/>
  <c r="K306" i="4"/>
  <c r="I309" i="4"/>
  <c r="I307" i="4"/>
  <c r="K310" i="4"/>
  <c r="K308" i="4"/>
  <c r="K307" i="4"/>
  <c r="K309" i="4"/>
  <c r="I310" i="4"/>
  <c r="I308" i="4"/>
  <c r="I306" i="4"/>
  <c r="J29" i="2" l="1"/>
  <c r="N29" i="2" s="1"/>
  <c r="H307" i="4"/>
  <c r="AR1" i="3"/>
  <c r="H306" i="4"/>
  <c r="H308" i="4"/>
  <c r="H309" i="4"/>
  <c r="H310" i="4"/>
  <c r="N11" i="2"/>
  <c r="O11" i="2" s="1"/>
  <c r="O307" i="4" l="1"/>
  <c r="AJ1683" i="3"/>
  <c r="AO1683" i="3" s="1"/>
  <c r="AJ1682" i="3"/>
  <c r="O306" i="4"/>
  <c r="AJ1686" i="3"/>
  <c r="O310" i="4"/>
  <c r="AJ1684" i="3"/>
  <c r="O308" i="4"/>
  <c r="AJ1685" i="3"/>
  <c r="O309" i="4"/>
  <c r="I311" i="4" l="1"/>
  <c r="K311" i="4"/>
  <c r="N311" i="4"/>
  <c r="L311" i="4"/>
  <c r="J311" i="4"/>
  <c r="M311" i="4"/>
  <c r="AO1682" i="3"/>
  <c r="L19" i="2" s="1"/>
  <c r="M19" i="2"/>
  <c r="M20" i="2"/>
  <c r="AO1686" i="3"/>
  <c r="M22" i="2"/>
  <c r="AO1684" i="3"/>
  <c r="L22" i="2" s="1"/>
  <c r="AO1685" i="3"/>
  <c r="M23" i="2"/>
  <c r="L20" i="2" l="1"/>
  <c r="N20" i="2" s="1"/>
  <c r="AJ68" i="3"/>
  <c r="H311" i="4"/>
  <c r="AI93" i="3" s="1" a="1"/>
  <c r="AI93" i="3" s="1"/>
  <c r="N22" i="2"/>
  <c r="O22" i="2" s="1"/>
  <c r="N19" i="2"/>
  <c r="O19" i="2" s="1"/>
  <c r="L23" i="2"/>
  <c r="AJ93" i="3" l="1"/>
  <c r="AO93" i="3" s="1"/>
  <c r="AJ621" i="3"/>
  <c r="AO68" i="3"/>
  <c r="O311" i="4"/>
  <c r="O20" i="2"/>
  <c r="N23" i="2"/>
  <c r="AO621" i="3" l="1"/>
  <c r="M9" i="2"/>
  <c r="M1" i="2" s="1"/>
  <c r="AJ1" i="3"/>
  <c r="O23" i="2"/>
  <c r="AO1" i="3" l="1"/>
  <c r="L9" i="2"/>
  <c r="O2" i="2"/>
  <c r="M25" i="2"/>
  <c r="M26" i="2" s="1"/>
  <c r="N9" i="2" l="1"/>
  <c r="L25" i="2"/>
  <c r="L26" i="2" s="1"/>
  <c r="AB22" i="2"/>
  <c r="X29" i="2" s="1"/>
  <c r="N25" i="2" l="1"/>
  <c r="O9" i="2"/>
  <c r="O25" i="2" s="1"/>
  <c r="O26" i="2" s="1"/>
  <c r="O29" i="2" l="1"/>
  <c r="N2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<sst xmlns="http://schemas.openxmlformats.org/spreadsheetml/2006/main" count="12250" uniqueCount="2178">
  <si>
    <t>FY</t>
  </si>
  <si>
    <t xml:space="preserve">Date of Purchase </t>
  </si>
  <si>
    <t>Put to use date</t>
  </si>
  <si>
    <t>Asset category (As per FA addition sheet)</t>
  </si>
  <si>
    <t>Asset Name as per FA Scedule (F/S)</t>
  </si>
  <si>
    <t>Vendor Name</t>
  </si>
  <si>
    <t xml:space="preserve">Type of asset (NAC Inserted Column) </t>
  </si>
  <si>
    <t>Invoice No.</t>
  </si>
  <si>
    <t>Assets description 
(As per Invoice)</t>
  </si>
  <si>
    <t>Original Cost (Rs)</t>
  </si>
  <si>
    <t>25-26</t>
  </si>
  <si>
    <t>Office Interior-Gurgaon</t>
  </si>
  <si>
    <t>Dreamz Unwired- 06</t>
  </si>
  <si>
    <t>Leasehold</t>
  </si>
  <si>
    <t>DU/24-25/57</t>
  </si>
  <si>
    <t>DU/24-25/58</t>
  </si>
  <si>
    <t>Air Condioner</t>
  </si>
  <si>
    <t>AC</t>
  </si>
  <si>
    <t>DU/24-25/56</t>
  </si>
  <si>
    <t>Computers &amp; Laptops</t>
  </si>
  <si>
    <t>Tech 4 Logic Pvt. ltd</t>
  </si>
  <si>
    <t>Laptop</t>
  </si>
  <si>
    <t>INV24-011660</t>
  </si>
  <si>
    <t>INV24-011723</t>
  </si>
  <si>
    <t>INV24-011704</t>
  </si>
  <si>
    <t>INV25-011883</t>
  </si>
  <si>
    <t>Power Adaptor</t>
  </si>
  <si>
    <t>Power Adapter</t>
  </si>
  <si>
    <t>Mohan &amp; Electronics</t>
  </si>
  <si>
    <t>PAVITHRA KESAV INDUSTRIES</t>
  </si>
  <si>
    <t>25/26-34</t>
  </si>
  <si>
    <t>25/26-45</t>
  </si>
  <si>
    <t>Router</t>
  </si>
  <si>
    <t>ONT</t>
  </si>
  <si>
    <t>GX India Pvt Ltd.</t>
  </si>
  <si>
    <t>GX/G/24-25/811</t>
  </si>
  <si>
    <t>Go IP Global Services Pvt. Ltd.</t>
  </si>
  <si>
    <t>A22/2425/7774</t>
  </si>
  <si>
    <t>GX/G/25-26/22</t>
  </si>
  <si>
    <t>GX/G/25-26/10</t>
  </si>
  <si>
    <t>GX/G/25-26/1</t>
  </si>
  <si>
    <t>GX/G/25-26/32</t>
  </si>
  <si>
    <t>GX/G/25-26/41</t>
  </si>
  <si>
    <t>GX/G/25-26/47</t>
  </si>
  <si>
    <t>GX/G/25-26/48</t>
  </si>
  <si>
    <t>NOD/2526/648</t>
  </si>
  <si>
    <t>GX/G/25-26/54</t>
  </si>
  <si>
    <t>NOD/2526/865</t>
  </si>
  <si>
    <t>NOD/2526/1521</t>
  </si>
  <si>
    <t>NOD/2526/1694</t>
  </si>
  <si>
    <t>GX/G/25-26/114</t>
  </si>
  <si>
    <t>GX/G/25-26/124</t>
  </si>
  <si>
    <t>25/26-51</t>
  </si>
  <si>
    <t>25/26-54</t>
  </si>
  <si>
    <t>25/26-55</t>
  </si>
  <si>
    <t>25/26-59</t>
  </si>
  <si>
    <t>GX/G/25-26/194</t>
  </si>
  <si>
    <t>GX/G/25-26/201</t>
  </si>
  <si>
    <t>GX/G/25-26/207</t>
  </si>
  <si>
    <t>GX/G/25-26/215</t>
  </si>
  <si>
    <t>NOD/2526/2785</t>
  </si>
  <si>
    <t>NOD/2526/3280</t>
  </si>
  <si>
    <t>GX/G/25-26/240</t>
  </si>
  <si>
    <t>GX/G/25-26/219</t>
  </si>
  <si>
    <t>NOD/2526/3015</t>
  </si>
  <si>
    <t>NOD/2526/4003</t>
  </si>
  <si>
    <t>GX/G/25-26/245</t>
  </si>
  <si>
    <t>GX/G/25-26/256</t>
  </si>
  <si>
    <t>GX/G/25-26/273</t>
  </si>
  <si>
    <t>GX/G/25-26/286</t>
  </si>
  <si>
    <t>NOD/2526/4266</t>
  </si>
  <si>
    <t>GX/G/25-26/299</t>
  </si>
  <si>
    <t>GX/G/25-26/303</t>
  </si>
  <si>
    <t>INV24-011707</t>
  </si>
  <si>
    <t>Office Equipements</t>
  </si>
  <si>
    <t>clicktech Retail Pvt</t>
  </si>
  <si>
    <t>Apple Magic Keyboard</t>
  </si>
  <si>
    <t>HYD3-272483</t>
  </si>
  <si>
    <t>Proserv Property Services Pvt Ltd</t>
  </si>
  <si>
    <t>UPS</t>
  </si>
  <si>
    <t>GGN/2025-26/089</t>
  </si>
  <si>
    <t>GX/G/25-26/312</t>
  </si>
  <si>
    <t>NOD/2526/4209</t>
  </si>
  <si>
    <t>NOD/2526/4496</t>
  </si>
  <si>
    <t>GX/G/25-26/331</t>
  </si>
  <si>
    <t>NOD/2526/5000</t>
  </si>
  <si>
    <t>GX/G/25-26/354</t>
  </si>
  <si>
    <t>NOD/2526/5024</t>
  </si>
  <si>
    <t>NOD/2526/5066</t>
  </si>
  <si>
    <t>GX/G/25-26/360</t>
  </si>
  <si>
    <t>GX/G/25-26/361</t>
  </si>
  <si>
    <t>GX/G/25-26/363</t>
  </si>
  <si>
    <t>NOD/2526/5125</t>
  </si>
  <si>
    <t>GX/G/25-26/371</t>
  </si>
  <si>
    <t>NOD/2526/5247</t>
  </si>
  <si>
    <t>GX/G/25-26/380</t>
  </si>
  <si>
    <t>NOD/2526/5221</t>
  </si>
  <si>
    <t>GX/G/25-26/393</t>
  </si>
  <si>
    <t>NOD/2526/5416</t>
  </si>
  <si>
    <t>GX/G/25-26/398</t>
  </si>
  <si>
    <t>NOD/2526/5538</t>
  </si>
  <si>
    <t>GX/G/25-26/372</t>
  </si>
  <si>
    <t>GX/G/25-26/469</t>
  </si>
  <si>
    <t>NOD/2526/5732</t>
  </si>
  <si>
    <t>NOD/2526/6018</t>
  </si>
  <si>
    <t>NOD/2526/6031</t>
  </si>
  <si>
    <t>GX/G/25-26/417</t>
  </si>
  <si>
    <t>GX/G/25-26/434</t>
  </si>
  <si>
    <t>NOD/2526/6289</t>
  </si>
  <si>
    <t>GX/G/25-26/440</t>
  </si>
  <si>
    <t>GX/G/25-26/451</t>
  </si>
  <si>
    <t>NOD/2526/6290</t>
  </si>
  <si>
    <t>Codenyx Technologies Private Limited</t>
  </si>
  <si>
    <t>To be discussed</t>
  </si>
  <si>
    <t>CT/25-26/INVO446</t>
  </si>
  <si>
    <t>Fusionnet Web Solutions Pvt</t>
  </si>
  <si>
    <t>FNSU/00010/25-26</t>
  </si>
  <si>
    <t>Amazon Wholesale India Pvt</t>
  </si>
  <si>
    <t>Air Purifier</t>
  </si>
  <si>
    <t>IN-118987</t>
  </si>
  <si>
    <t>IN-118979</t>
  </si>
  <si>
    <t>IN-118989</t>
  </si>
  <si>
    <t>IN-118964</t>
  </si>
  <si>
    <t>IN-118983</t>
  </si>
  <si>
    <t>IN-118968</t>
  </si>
  <si>
    <t>Fooseball Table</t>
  </si>
  <si>
    <t>IN-1441</t>
  </si>
  <si>
    <t>Barcode scanner</t>
  </si>
  <si>
    <t>IN-123798</t>
  </si>
  <si>
    <t>TV</t>
  </si>
  <si>
    <t>IN-122349</t>
  </si>
  <si>
    <t>Adaptor-12V-0.5A</t>
  </si>
  <si>
    <t>25/26-60</t>
  </si>
  <si>
    <t>INV25-011982</t>
  </si>
  <si>
    <t>INV25-012022</t>
  </si>
  <si>
    <t>CT/25-26/INV0168</t>
  </si>
  <si>
    <t>INV25-011948</t>
  </si>
  <si>
    <t>CT/25-26/INV0225</t>
  </si>
  <si>
    <t>CT/25-26/INV0202</t>
  </si>
  <si>
    <t>Door Tech Repair Services</t>
  </si>
  <si>
    <t>0011/24-25</t>
  </si>
  <si>
    <t>INV25-012341</t>
  </si>
  <si>
    <t>JBV Infotech</t>
  </si>
  <si>
    <t>JBV/2025-26/0311</t>
  </si>
  <si>
    <t>Delight Informatics</t>
  </si>
  <si>
    <t>0017/24-25</t>
  </si>
  <si>
    <t>JBV/2025-26/0353</t>
  </si>
  <si>
    <t xml:space="preserve">Mobile </t>
  </si>
  <si>
    <t>IN-35176</t>
  </si>
  <si>
    <t>406-7087400-7518700</t>
  </si>
  <si>
    <t>CT/25-26/INV0416</t>
  </si>
  <si>
    <t>Monitor</t>
  </si>
  <si>
    <t>INV25-012804</t>
  </si>
  <si>
    <t>INV25-012801</t>
  </si>
  <si>
    <t>INV25-012920</t>
  </si>
  <si>
    <t>0021/24-25</t>
  </si>
  <si>
    <t>Vijay Sales</t>
  </si>
  <si>
    <t>HGG-F-SIA 2738</t>
  </si>
  <si>
    <t>INV25-013015</t>
  </si>
  <si>
    <t>HGG-F-S0A6926</t>
  </si>
  <si>
    <t>jbv/2025-26/0340</t>
  </si>
  <si>
    <t>INV25-013057</t>
  </si>
  <si>
    <t>jbv/2025-26/0416</t>
  </si>
  <si>
    <t>Apple Mac Studio</t>
  </si>
  <si>
    <t>INV25-013621</t>
  </si>
  <si>
    <t>INV25-013652</t>
  </si>
  <si>
    <t>Impaq Infotech</t>
  </si>
  <si>
    <t>II/2025-26/113</t>
  </si>
  <si>
    <t>INV25-013799</t>
  </si>
  <si>
    <t>Alerion</t>
  </si>
  <si>
    <t>ALER/25-26/220</t>
  </si>
  <si>
    <t>Inverter Battery</t>
  </si>
  <si>
    <t>EasyTech Consultancy (OPC) Private Limited</t>
  </si>
  <si>
    <t>Wifi Router</t>
  </si>
  <si>
    <t>A2025007</t>
  </si>
  <si>
    <t>II/2025-26/65</t>
  </si>
  <si>
    <t>II/2025-26/71</t>
  </si>
  <si>
    <t>II/2025-26/81</t>
  </si>
  <si>
    <t>II/2025-26/82</t>
  </si>
  <si>
    <t>ALER/25-26/187</t>
  </si>
  <si>
    <t>Caam I.T. Solutions (P) LTD.</t>
  </si>
  <si>
    <t>25-26/0256</t>
  </si>
  <si>
    <t>Dreamz Unwired</t>
  </si>
  <si>
    <t>Fixed Furniture</t>
  </si>
  <si>
    <t>DU/25-26/22</t>
  </si>
  <si>
    <t>25-26/0320</t>
  </si>
  <si>
    <t>NOD/2526/7193</t>
  </si>
  <si>
    <t>Printer</t>
  </si>
  <si>
    <t>ALER/25-26/250</t>
  </si>
  <si>
    <t>MISC</t>
  </si>
  <si>
    <t>ALER/25-26/294</t>
  </si>
  <si>
    <t>ALER/25-26/297</t>
  </si>
  <si>
    <t>ALER/25-26/301</t>
  </si>
  <si>
    <t>Workstation</t>
  </si>
  <si>
    <t>DU/25-26/25</t>
  </si>
  <si>
    <t>Wooden Pedastal</t>
  </si>
  <si>
    <t>Wooden Storage</t>
  </si>
  <si>
    <t>HGG-F-SIA 4195</t>
  </si>
  <si>
    <t>GX/G/25-26/492</t>
  </si>
  <si>
    <t>GX/G/25-26/520</t>
  </si>
  <si>
    <t>GX/G/25-26/521</t>
  </si>
  <si>
    <t>GX/G/25-26/522</t>
  </si>
  <si>
    <t>GX/G/25-26/528</t>
  </si>
  <si>
    <t>GX/G/25-26/531</t>
  </si>
  <si>
    <t>GX/G/25-26/533</t>
  </si>
  <si>
    <t>GX/G/25-26/535</t>
  </si>
  <si>
    <t>GX/G/25-26/536</t>
  </si>
  <si>
    <t>Mobile Phone</t>
  </si>
  <si>
    <t>IN-124272</t>
  </si>
  <si>
    <t>Mouse</t>
  </si>
  <si>
    <t>IN-128807</t>
  </si>
  <si>
    <t>Microwave</t>
  </si>
  <si>
    <t>IN-145114</t>
  </si>
  <si>
    <t>IN-159523</t>
  </si>
  <si>
    <t>INV25-013963</t>
  </si>
  <si>
    <t>INV25-013971</t>
  </si>
  <si>
    <t>INV25-013973</t>
  </si>
  <si>
    <t>II/2025-26/133</t>
  </si>
  <si>
    <t>II/2025-26/141</t>
  </si>
  <si>
    <t>Network Switch</t>
  </si>
  <si>
    <t>CCTV Rack</t>
  </si>
  <si>
    <t>II/2025-26/142</t>
  </si>
  <si>
    <t>CCTV Camera</t>
  </si>
  <si>
    <t>II/2025-26/127</t>
  </si>
  <si>
    <t>NOD/2526/6515</t>
  </si>
  <si>
    <t>NOD/2526/7331</t>
  </si>
  <si>
    <t>Adapter</t>
  </si>
  <si>
    <t>25/26-80</t>
  </si>
  <si>
    <t>25/26-72</t>
  </si>
  <si>
    <t>25/26-74</t>
  </si>
  <si>
    <t>25/26-77</t>
  </si>
  <si>
    <t>GX/G/25-26/539</t>
  </si>
  <si>
    <t>GX/G/25-26/530</t>
  </si>
  <si>
    <t>25/26-82</t>
  </si>
  <si>
    <t>25/26-83</t>
  </si>
  <si>
    <t>GX/G/25-26/546</t>
  </si>
  <si>
    <t>GX/G/25-26/568</t>
  </si>
  <si>
    <t>GX/G/25-26/580</t>
  </si>
  <si>
    <t>GX/G/25-26/586</t>
  </si>
  <si>
    <t>GX/G/25-26/583</t>
  </si>
  <si>
    <t>NOD/2526/7392</t>
  </si>
  <si>
    <t>NOD/2526/8442</t>
  </si>
  <si>
    <t>25/26-62</t>
  </si>
  <si>
    <t>ALER/25-26/381</t>
  </si>
  <si>
    <t>Desktop PC</t>
  </si>
  <si>
    <t>INV25-014695</t>
  </si>
  <si>
    <t>IMPAQ INFOTECH</t>
  </si>
  <si>
    <t>II/2025-26/152</t>
  </si>
  <si>
    <t xml:space="preserve">Laptop </t>
  </si>
  <si>
    <t>ALER/25-26/374</t>
  </si>
  <si>
    <t>Adaptor</t>
  </si>
  <si>
    <t>INV25-014638</t>
  </si>
  <si>
    <t>ALER/25-26/357</t>
  </si>
  <si>
    <t>INV25-014479</t>
  </si>
  <si>
    <t>laptop</t>
  </si>
  <si>
    <t>INV25-014519</t>
  </si>
  <si>
    <t>INV25-014555</t>
  </si>
  <si>
    <t xml:space="preserve"> 02-12-2025</t>
  </si>
  <si>
    <t>INV25-014565</t>
  </si>
  <si>
    <t>ALER/25-26/321</t>
  </si>
  <si>
    <t>HJP-F-SIRT9945</t>
  </si>
  <si>
    <t>Docking Station</t>
  </si>
  <si>
    <t>ALER/25-26/281</t>
  </si>
  <si>
    <t>ALER/25-26/268</t>
  </si>
  <si>
    <t>25/26-102</t>
  </si>
  <si>
    <t>25/26-99</t>
  </si>
  <si>
    <t>25/26-92</t>
  </si>
  <si>
    <t>25/26-91</t>
  </si>
  <si>
    <t>GX/G/25-26/670</t>
  </si>
  <si>
    <t>GX/G/25-26/634</t>
  </si>
  <si>
    <t>GX/G/25-26/641</t>
  </si>
  <si>
    <t>GX/G/25-26/650</t>
  </si>
  <si>
    <t>GX/G/25-26/617</t>
  </si>
  <si>
    <t>GX/G/25-26/623</t>
  </si>
  <si>
    <t>GX/G/25-26/609</t>
  </si>
  <si>
    <t>GX/G/25-26/595</t>
  </si>
  <si>
    <t>DREAMZ UNWIRED</t>
  </si>
  <si>
    <t>DU/25-26/31</t>
  </si>
  <si>
    <t>DU/25-26/30</t>
  </si>
  <si>
    <t>Furnitures &amp; Fixtures</t>
  </si>
  <si>
    <t>DU/25-26/26</t>
  </si>
  <si>
    <t>Sofa</t>
  </si>
  <si>
    <t>Macbook</t>
  </si>
  <si>
    <t>(WORK CONTRACT 995463 (DUCTING WORK)</t>
  </si>
  <si>
    <t>WORK CONTRACT 995429 (INTERIOR WORK)</t>
  </si>
  <si>
    <t>1.5 TR HITACHI SPLIT AC</t>
  </si>
  <si>
    <t>1.5 TR MITSHUBISHI SPLIT AC</t>
  </si>
  <si>
    <t xml:space="preserve">Lenovo E14 Gen 6 21M7503100 "Intel® Core™ Ultra 7 155U,/16GB/ 512GB/Windows® 11 Pro, English/ Integrated Intel® Graphics/ FHD 1080p with Privacy Shutter/ 14"" WUXGA (1920x1200) IPS 300nits Antiglare, 45% NTSC/ keyboard Backlit, English/ Intel® Wi-Fi® 6E AX211, 802.11ax 2x2 + BT5.3/ 3Y Premier Support </t>
  </si>
  <si>
    <t>Apple 2024 MacBook Pro Laptop with M4 chip with 10core CPU and 10core GPU: Built for Apple Intelligence, (14.2″) Liquid Retina XDR Display, 16GB Unified Memory, 512GB SSD</t>
  </si>
  <si>
    <t>Lenovo E14 Gen 6 21M7S03100 "Intel® Core™ Ultra 7 155U,/16GB/ 512GB/Windows® 11 Pro, English/</t>
  </si>
  <si>
    <t>Apple 2024 MacBook Pro Laptop with M4 chip with 10core CPU and 10core GPU</t>
  </si>
  <si>
    <t>Power Adaptor@55 + @80</t>
  </si>
  <si>
    <t>ADAPTOR 9V 0.6amp</t>
  </si>
  <si>
    <t>Adaptor - 12V / 1.5 Amp._8504@80/Power Adaptor@55</t>
  </si>
  <si>
    <t>ADAPTER 9v 0.650mA,Adapter 12 1A.ADAPTER 12v 1.5A</t>
  </si>
  <si>
    <t>TITANIUM E20 EARTH-2022</t>
  </si>
  <si>
    <t>SY-GPON-2000-WADONT</t>
  </si>
  <si>
    <t>Adapter 12 1A/ADAPTER 12v 1.5A</t>
  </si>
  <si>
    <t>ADAPTER 12v 1.5A</t>
  </si>
  <si>
    <t>Adapter 12 1A</t>
  </si>
  <si>
    <t>Apple Magic Keyboard with Touch ID for Mac Models with Apple Silicon - US English - Black Keys</t>
  </si>
  <si>
    <t>Microtek 1700 (24V) SW Super Power Pure Sinewave UPS</t>
  </si>
  <si>
    <t>Fortinet (FG-200F) Appliance/ Fortinet License</t>
  </si>
  <si>
    <t>Controller Omada Hardware - TP Link OC 200 HSN - 84716090/VPN Router Omada Gigabit - TP Link ER605</t>
  </si>
  <si>
    <t>Qubo Smart Air Purifier Q600 for Home by Hero Group | 600 Sqft - HPH04</t>
  </si>
  <si>
    <t>STEP OVER Heavy Duty Legend Championship Full Size 55 inch Foosball Table</t>
  </si>
  <si>
    <t>TVS Electronics BS-C101 Star Barcode Scanner |Aim and Shoot Trigger |1D linear imager to scanner |Express Speed of 330 scans per second|plug and play|2500 Pixels|1D CCD</t>
  </si>
  <si>
    <t>MI 80 cm (32 inches) Horizon Edition HD Ready Android Smart LED TV 4A L32M6-EI (Grey) | B08WPPDFLD (
B08WPPDFLD )</t>
  </si>
  <si>
    <t>ADAPTER 9v 0.650mA</t>
  </si>
  <si>
    <t>Apple 2024 MacBook Pro Laptop with M4 chip with 10core CPU and 10core GPU: Built for Apple Intelligence, (14.2") Liquid Retina XDR Display, 16GB Unified Memory, 512GB SSD</t>
  </si>
  <si>
    <t>Lenovo Thinkpad E14/Lenovo BackPack 15.6" Basic 4X40Y71789</t>
  </si>
  <si>
    <t>Desktop i5 14th generation. 14400 F S/N - U4Y56V9704140. X428J180 Zotac GeForce RTX 4060 8GB DDR6 graphics card S/N; N245000014391 corsair 32gb RamDDR 5 S/N; A4XET5081WPC3T WD blue 1TB SSD NVME S/N; 250628803185 Cooler master Cabinet 310 Power supply VS450L 450 Watt S/N; AEVS450LPSU06241141G Gigabyte Motherboard With Wi-Fi 760 M GAX</t>
  </si>
  <si>
    <t>APPLE MACBOOK 2022 Apple MacBook Air Laptop with M2 chip
13.6-inch Liquid Retina Display, 16GB RAM
256GB SSD Storage, Backlit Keyboard.
1080p Face Time HD Camera
Works with iPhoneand iPad; Space Gray
SN-SM9J61V9WKM</t>
  </si>
  <si>
    <t xml:space="preserve">Laptop HP Notebook PC 14-GR0002TU. </t>
  </si>
  <si>
    <t>LAPTOP Lenovo E14 - i5 13th Gen., 8+8 GB RAM, 512 GB SSD, DOS, 3 Year Onsite Warranty</t>
  </si>
  <si>
    <t>Dell Latitude E7490 Laptop/ Laptop Adaptor</t>
  </si>
  <si>
    <t>Lenovo Laptop Thinkpad E14 U7/16/512GB/DOS 3YR/Lenovo Bag Pack</t>
  </si>
  <si>
    <t>APPLE MACBOOK PRO</t>
  </si>
  <si>
    <t xml:space="preserve">Lenovo E14 Gen 5 i5-1335U 13th Gen/16gb/512gb 14" </t>
  </si>
  <si>
    <t>Dell Latitude E7490 Laptop</t>
  </si>
  <si>
    <t>2022 Apple MacBook Air Laptop with M2 chip: 13.6-inch Liquid Retina Display, 16GB RAM, 256GB SSD Storage, Backlit Keyboard, 1080p FaceTime HD Camera. Works with iPhone and iPad; Midnight | B0DLHFM2XL ( B0DLHFM2XL )</t>
  </si>
  <si>
    <t>Microsoft New Surface Laptop (7th Edition) - Windows 11 Home Copilot + PC - 13.8" LCD PixelSense Touchscreen - Qual comm Snapdragon X Plus (10 Core) - 16GB RAM - 512GB SSD - Graphite - ZGM-00059</t>
  </si>
  <si>
    <t xml:space="preserve">Dell Latitude 3450/ dell bag </t>
  </si>
  <si>
    <t>MONITOR Samsung LS27D304 27" FHD Monitor - 3 Year Warranty S/N - 0WR1HNCY500276</t>
  </si>
  <si>
    <t>LAPTOP Lenovo Thinkbook 14 - i7 13th Gen., 16 GB RAM, 512 GB SSD, DOS, 3 Years Onsite Warranty</t>
  </si>
  <si>
    <t>LAPTOP Apple 2024 MacBook Pro Laptop with M4 chip with 10core CPU and 10core GPU: Built for Apple Intelligence, (14.2″) Liquid Retina XDR Display, 16GB Unified Memory, 512GB SSD</t>
  </si>
  <si>
    <t>Dell 27" Monitor</t>
  </si>
  <si>
    <t>MICROSOFT LAPTOP7 13IN QC XPLUS(10C) 16GB 256GB ZGJ-00023/ + 3YEAR LAPTOP Damage protection 
TOTALCARE(3YR DAMAGE
PROTECTION+2YR EWS) 100K125K+</t>
  </si>
  <si>
    <t xml:space="preserve">MONITOR Samsung LS27D304 27" FHD Monitor - 3 Year Warranty </t>
  </si>
  <si>
    <t>Macstudio ,MU963HN/A
S/NO - SFK90JH263J
APPLE M4 MAX CHIP/14CORE CPU/32CORE GPUI
36GB/512GB</t>
  </si>
  <si>
    <t>MONITOR Samsung LS27D304 27" FHD Monitor - 3 Year Warranty</t>
  </si>
  <si>
    <t>Apple 2024 MacBook Pro Laptop with M4 chip with 10core CPU and 10core GPU: Built for Apple Intelligence, (14.2″) Liquid Retina XDR Display, 16GB Unified Memory, 512GB SSD S/N - SM3QF</t>
  </si>
  <si>
    <t xml:space="preserve">LAPTOP Zbook Firefly 14 G11 A92U3PTA S.N.5CG45005S4L,5CG45005S59 </t>
  </si>
  <si>
    <t>MONITOR Samsung LS27D304 27" FHD Monitor - 3 Year Warranty S/N - 0WR1HNCY400700</t>
  </si>
  <si>
    <t xml:space="preserve">Laptop Dell Latitude 3450 Core i5 - 1335U / 16gb ( 8+8) RAM DDR5 5600 / 512 ssd / Ubuntu / FHD / BKL / 3 yrs ADP with Bag </t>
  </si>
  <si>
    <t>Luminous ToughX Battery Trolley for Single Tall Tubular Battery/Microtek Tubular Battery 150Ah 36 Months* Warranty</t>
  </si>
  <si>
    <t>Cisco Access point 3800 series (HSN/SAC: 85176290)</t>
  </si>
  <si>
    <t>MONITOR LED DISPLAY Dell Dell UltraSharp U2724DE</t>
  </si>
  <si>
    <t xml:space="preserve">laptop Dell Latitude 3450 Core I5-1335U
 16gb/512ssd/Ubuntu/FHD/BKL/3yrsADP
 Without Bag </t>
  </si>
  <si>
    <t>MONITOR LED DISPLAY Samsung LS27D304 27" FHD
 S.N.OW</t>
  </si>
  <si>
    <t>Microsoft Laptop 7 - MSSP71304N- SLP7 13IN/ELI/16/512</t>
  </si>
  <si>
    <t>Dell Latitude 3450 Core i5-1335U /16gb/512ssd/Ubuntu/FHD/BKL /3yrsADP S. No -GYZJH94, BR7KH94,
DR7KH94, 4ZZJH94, F20KH94</t>
  </si>
  <si>
    <t>OLD LAPTOP DELL 5400 -&gt; I5/8TH/16GB/256SSD/ADAPTOR</t>
  </si>
  <si>
    <t>Interior Work</t>
  </si>
  <si>
    <t>Printer-HP Laserjet Pro M126nw Multi Function Direct Wireless Network Laser Printer (Print, Copy, Scan, Black). S. No - CNBRT1G2LQ</t>
  </si>
  <si>
    <t>RAM+Power supply+SD card+Cable</t>
  </si>
  <si>
    <t>Monitor SAMSUNG MONITOR 27" LS27D300 S. N0 - 0WKQHNCY706056</t>
  </si>
  <si>
    <t>Monitor SAMSUNG MONITOR 27" LS27D300 S. N0 - 0WKQHNCY706027</t>
  </si>
  <si>
    <t>Monitor SAMSUNG MONITOR 27" LS27D300 S. N0 - 0WKQHNCY706033</t>
  </si>
  <si>
    <t>Microsoft surface Pro 12 in SD Xplus 16GB 256GB with cover</t>
  </si>
  <si>
    <t>Vivo Y29 5G (Diamond Black, 6GB RAM, 128GB Storage)</t>
  </si>
  <si>
    <t xml:space="preserve">Logitech Mx Keys Mini Minimalist Wireless Illuminated
Keyboard, Compact, Bluetooth, Backlit, USB-C, Compatible
with Apple Macos, iOS, Windows, Linux, Android, Metal
Build-Graphite </t>
  </si>
  <si>
    <t xml:space="preserve">Samsung 21 L, Convection Microwave Oven
(CE73JD-B1/XTL, Black, Various Cooking Modes, Pre heat,
Eco Mode, Power Defrost, Auto Cook, Wire Rack, Ceramic
Enamel Cavity with 10 year warranty) </t>
  </si>
  <si>
    <t xml:space="preserve">Samsung Galaxy M07 (Black, 4GB RAM, 64GB Storage) |
MediaTek Helio G99 | IP54 Rating | 50MP Auto Focus
Camera | 7.6mm Slim | 5000mAh Battery| 25W Fast Charging
| 6 Gen of OS Upgrades | Without Charger </t>
  </si>
  <si>
    <t>Surface Laptop Microsoft New Surface Laptop (7th Edition) - Windows 11 Home Copilot + PC - 13.8” LCD Pixel Sense Touchscreen - Qualcomm Snapdragon X Elite (12 Core) - 16GB RAM - 512GB SSD - Graphite - ZGP-00059
S/N- 0F38J4324503HH</t>
  </si>
  <si>
    <t>LAPTOP - Apple 2024 MacBook Pro Laptop with M4 chip with 10core CPU and 10core GPU: Built for Apple Intelligence, (14.2″) Liquid Retina XDR Display, 16GB Unified Memory, 512GB SSD S/N- JF3GC2JMWC, GPDCG27NXW, 
HGK2C3H0K4, K6MCX9FCGX, L49PW445HL</t>
  </si>
  <si>
    <t>MONITOR - Samsung LS27D304 27" FHD Monitor - 3 Year Warranty
S/N- 0WR1HNCY400700</t>
  </si>
  <si>
    <t>Microtek UPS - Microtek 2KV online - S.N.VVM90L0204O0BDYP56G</t>
  </si>
  <si>
    <t>SyroTech 2-port GPON OLT</t>
  </si>
  <si>
    <t>Mikrotik Router - HEX S</t>
  </si>
  <si>
    <t>TP-Link LS108G</t>
  </si>
  <si>
    <t>3x SyroTech ONTs</t>
  </si>
  <si>
    <t>3x GX ONTs</t>
  </si>
  <si>
    <t xml:space="preserve">C6TP-Link Routers </t>
  </si>
  <si>
    <t>Extension board+ Splitter +Patch Cord</t>
  </si>
  <si>
    <t xml:space="preserve">GPON SFP Module </t>
  </si>
  <si>
    <t>Rack(24,500) &amp; Rack Installtion,Rack Dressing, Firewall Shifting (7500)</t>
  </si>
  <si>
    <t>2KV Microtek - Online UPS - CCTV UPS</t>
  </si>
  <si>
    <t>CCTV Bullet - Hickvision 2MP IV - 7650
Installation - 1650
Cables 150 Mtr 7500</t>
  </si>
  <si>
    <t xml:space="preserve">Thinkpad E14 Gen 6 21M70098IG - 16gb/512ssd - 3years Warranty -  S.N.DX000B71,DX000B79 </t>
  </si>
  <si>
    <t>Zbook Firefly 14g11 - S.N.5cg4505pdd - Warranty 3years</t>
  </si>
  <si>
    <t>HP Zbook Firefly</t>
  </si>
  <si>
    <t xml:space="preserve">HP Z4 G5 WORKSTATION </t>
  </si>
  <si>
    <t>DELL LATITUDE 3450</t>
  </si>
  <si>
    <t>HP 240 G10 13th gen /16 GB RAM</t>
  </si>
  <si>
    <t>Lenovo Type C Laptop Charger 65</t>
  </si>
  <si>
    <t>Dell Slim Pin Charger with power</t>
  </si>
  <si>
    <t xml:space="preserve">Surface Laptop Microsoft Surface Laptop </t>
  </si>
  <si>
    <t>BenQ MA270U 27” 4K 3840x2160 Monitor - P3 Color Gamut, Dual</t>
  </si>
  <si>
    <t>Samsung LS27D304 27" FHD Monitor</t>
  </si>
  <si>
    <t>Apple 2024 MacBook Pro Laptop</t>
  </si>
  <si>
    <t>HP Z2 G9 - Intel Core i7 14th Gen</t>
  </si>
  <si>
    <t>Dell UltraSharp 27 Thunderbolt™ Hub Monitor - U2724DE</t>
  </si>
  <si>
    <t>Philips smart air purifire AC3221/63 Dark Slate (Grey)</t>
  </si>
  <si>
    <t>Docking Station CalDigit TS5 Plus TBT5-TS5PLUS US-AMZ</t>
  </si>
  <si>
    <t>Logitech MX Master 3 Wireless Performance Mouse with Ultra Fast Scrolling</t>
  </si>
  <si>
    <t>Adapter 9v 1amp</t>
  </si>
  <si>
    <t>WOODEN STORAGE</t>
  </si>
  <si>
    <t>WOODEN SOFA</t>
  </si>
  <si>
    <t>WOODEN WORKSTATION TOP</t>
  </si>
  <si>
    <t>Apple M5</t>
  </si>
  <si>
    <t>Depreciation Method</t>
  </si>
  <si>
    <t>WDV</t>
  </si>
  <si>
    <t>SLM</t>
  </si>
  <si>
    <t>Useful Life</t>
  </si>
  <si>
    <t>Rate as per Co Act</t>
  </si>
  <si>
    <t>Net Block</t>
  </si>
  <si>
    <t>Write off Qty</t>
  </si>
  <si>
    <t>Write off date</t>
  </si>
  <si>
    <t>Control No.</t>
  </si>
  <si>
    <t>Reason</t>
  </si>
  <si>
    <t>Disposal Value</t>
  </si>
  <si>
    <t>Gross Block</t>
  </si>
  <si>
    <t>Month</t>
  </si>
  <si>
    <t>Days</t>
  </si>
  <si>
    <t>Dep</t>
  </si>
  <si>
    <t xml:space="preserve"> Depreciation/Amortisation/Depletion </t>
  </si>
  <si>
    <t xml:space="preserve"> Net Block </t>
  </si>
  <si>
    <t xml:space="preserve"> S.No. </t>
  </si>
  <si>
    <t xml:space="preserve"> Description </t>
  </si>
  <si>
    <t xml:space="preserve"> Rate of Dep </t>
  </si>
  <si>
    <t xml:space="preserve"> Deductions / Adjustments  </t>
  </si>
  <si>
    <t xml:space="preserve"> Depreciation  </t>
  </si>
  <si>
    <t xml:space="preserve"> A </t>
  </si>
  <si>
    <t xml:space="preserve"> Building </t>
  </si>
  <si>
    <t xml:space="preserve"> B </t>
  </si>
  <si>
    <t xml:space="preserve"> C </t>
  </si>
  <si>
    <t xml:space="preserve"> D </t>
  </si>
  <si>
    <t xml:space="preserve"> E </t>
  </si>
  <si>
    <t xml:space="preserve"> F </t>
  </si>
  <si>
    <t xml:space="preserve"> Current year </t>
  </si>
  <si>
    <t xml:space="preserve"> Gross Block</t>
  </si>
  <si>
    <t xml:space="preserve"> Plant and Equipments (AP Devices) </t>
  </si>
  <si>
    <t>Check</t>
  </si>
  <si>
    <t>Total</t>
  </si>
  <si>
    <t>FAR Schedule as on</t>
  </si>
  <si>
    <t>FA Write off Qty</t>
  </si>
  <si>
    <t>FA Qty</t>
  </si>
  <si>
    <t>&gt;&gt;&gt;&gt;&gt; Input only orange color columns</t>
  </si>
  <si>
    <t>Effective Rate</t>
  </si>
  <si>
    <t xml:space="preserve"> Additions</t>
  </si>
  <si>
    <t xml:space="preserve"> Deductions</t>
  </si>
  <si>
    <t>Acc Dep</t>
  </si>
  <si>
    <t>Unique Compusoft Pvt Ltd</t>
  </si>
  <si>
    <t>UPCL/1555</t>
  </si>
  <si>
    <t>Satyam Darmora reimbursement</t>
  </si>
  <si>
    <t xml:space="preserve"> </t>
  </si>
  <si>
    <t>MH-BOM1-139408411-494074</t>
  </si>
  <si>
    <t>MH-BOM1-1407171-158233</t>
  </si>
  <si>
    <t>15-16</t>
  </si>
  <si>
    <t>MH-BOM1-137477841-326429</t>
  </si>
  <si>
    <t>AMZ/775</t>
  </si>
  <si>
    <t>MH-BOM1-139408411-516964</t>
  </si>
  <si>
    <t>KA-BLR5-137728821-47536</t>
  </si>
  <si>
    <t>Payment made by Anugrah Adams</t>
  </si>
  <si>
    <t>Mobile phone</t>
  </si>
  <si>
    <t>Anugrah Adams reimbursement</t>
  </si>
  <si>
    <t>HR-DEL2-144105041-1997288</t>
  </si>
  <si>
    <t>Payment made by Maanas dwivedi</t>
  </si>
  <si>
    <t>CC-15-16/450</t>
  </si>
  <si>
    <t>Payment made by Gaurav Bansal for Routers</t>
  </si>
  <si>
    <t>Laptop &amp; computer</t>
  </si>
  <si>
    <t>Computers Equip</t>
  </si>
  <si>
    <t>PAYment made by manas dwivedi for wifi ultra</t>
  </si>
  <si>
    <t>RH0099/2015-16</t>
  </si>
  <si>
    <t>Wifi Ultra</t>
  </si>
  <si>
    <t xml:space="preserve">PAyment made by manas dwivedi </t>
  </si>
  <si>
    <t>981-00002</t>
  </si>
  <si>
    <t>LAP/DW/POS000964/15-16</t>
  </si>
  <si>
    <t>204-20324</t>
  </si>
  <si>
    <t>93-92222</t>
  </si>
  <si>
    <t>Bill no .4647 ,payment made by maanas dwivedi , bill amt 4950</t>
  </si>
  <si>
    <t>Manas dwivedi reimbursement</t>
  </si>
  <si>
    <t>Router Purchase (Amnugrah Adams reimbursement)</t>
  </si>
  <si>
    <t>402-9247411-7041139</t>
  </si>
  <si>
    <t>TP LINK WDR 3600</t>
  </si>
  <si>
    <t>KA-BLR5-137728821-68348</t>
  </si>
  <si>
    <t>MH-BOM1-139408411-585429</t>
  </si>
  <si>
    <t>MH-BOM4-140717071-50860</t>
  </si>
  <si>
    <t>402-582666</t>
  </si>
  <si>
    <t>billno. 4957 payment made by Maanas deivedi</t>
  </si>
  <si>
    <t>KOL-000522-00002879</t>
  </si>
  <si>
    <t>KOL-000522-00002882</t>
  </si>
  <si>
    <t>KOL-000522-00002878</t>
  </si>
  <si>
    <t>VJIPL/15-16/2379</t>
  </si>
  <si>
    <t>Gaurav bansal ( Router purchase)</t>
  </si>
  <si>
    <t>,117/11668</t>
  </si>
  <si>
    <t>.117/11669</t>
  </si>
  <si>
    <t>payment made by ANugrah Adams (6 router )</t>
  </si>
  <si>
    <t>MH-BOM1-143104121-20506</t>
  </si>
  <si>
    <t>Laptop purchase by Gaurav Bansal</t>
  </si>
  <si>
    <t>1113/111226</t>
  </si>
  <si>
    <t>TG-HYD7-149583461-8085</t>
  </si>
  <si>
    <t>Ashutosh mishra reiombursement</t>
  </si>
  <si>
    <t>RR/7773/15-16</t>
  </si>
  <si>
    <t>F05BMDL16-11190</t>
  </si>
  <si>
    <t>TLS-1506/006</t>
  </si>
  <si>
    <t>KA-BLR5-137728821-80061</t>
  </si>
  <si>
    <t>.113/11716</t>
  </si>
  <si>
    <t>MH-BOM1-149583461-159060</t>
  </si>
  <si>
    <t>CC/15-16/1233</t>
  </si>
  <si>
    <t>MH-BOM1-149583461-168849</t>
  </si>
  <si>
    <t>ST/INV/144</t>
  </si>
  <si>
    <t>Router Purchase</t>
  </si>
  <si>
    <t>,113/11727</t>
  </si>
  <si>
    <t>online router purchase</t>
  </si>
  <si>
    <t>Tablet</t>
  </si>
  <si>
    <t>MI Pad purchased &amp; paid by Manas trivedi</t>
  </si>
  <si>
    <t>Tablet PC</t>
  </si>
  <si>
    <t>KA-BLR5-141777691-315420</t>
  </si>
  <si>
    <t>MI Pad</t>
  </si>
  <si>
    <t>YU Yuphoria phone purchased</t>
  </si>
  <si>
    <t>HR-DEL2-144105041-4338694</t>
  </si>
  <si>
    <t>245-24499</t>
  </si>
  <si>
    <t>Anuragh adams reimbursements</t>
  </si>
  <si>
    <t>Monitor keyboard VGA cable purchased made bygaurav bansal</t>
  </si>
  <si>
    <t>Monitor, keyboard ,VGA cable</t>
  </si>
  <si>
    <t>D-LINK DIR 505</t>
  </si>
  <si>
    <t>Invoice Not Available 2</t>
  </si>
  <si>
    <t>DP/RI-36112</t>
  </si>
  <si>
    <t>39-3857</t>
  </si>
  <si>
    <t>Doungle purchased</t>
  </si>
  <si>
    <t>Dongle</t>
  </si>
  <si>
    <t>DONGLE</t>
  </si>
  <si>
    <t>816/40781</t>
  </si>
  <si>
    <t>339-16943</t>
  </si>
  <si>
    <t>YU Yuphoria phone purchased  (Maanas Dwivedi reimbursement)</t>
  </si>
  <si>
    <t>HR-SDEC-144105041-224684</t>
  </si>
  <si>
    <t>YU Yuphoria phone</t>
  </si>
  <si>
    <t>Ecaps Computer</t>
  </si>
  <si>
    <t>BEING COMPUTERS PURCHASE</t>
  </si>
  <si>
    <t>Payment made by Manas Dwivedi</t>
  </si>
  <si>
    <t>Dongles Purchase</t>
  </si>
  <si>
    <t>Furniture &amp; Fixtures</t>
  </si>
  <si>
    <t>Furniture</t>
  </si>
  <si>
    <t>PLZ/MH/BWH/15-16/0033310</t>
  </si>
  <si>
    <t>KA-BLR6-144105041-7192664</t>
  </si>
  <si>
    <t>Sai baba Infocom</t>
  </si>
  <si>
    <t>SI/DEL/034/15-16</t>
  </si>
  <si>
    <t>MH-BOM3-149583461-78921</t>
  </si>
  <si>
    <t>MH-BOM1-149583461-269769</t>
  </si>
  <si>
    <t>SI/DEL/035/15-16</t>
  </si>
  <si>
    <t>UCPL/7898</t>
  </si>
  <si>
    <t>Invoice not available - Qty mentioned on assumption basis (Rs. 4400 per router)</t>
  </si>
  <si>
    <t>supertronix</t>
  </si>
  <si>
    <t>Bean Bag purchase</t>
  </si>
  <si>
    <t>Bean Bag</t>
  </si>
  <si>
    <t>F 02ZHR16-3186</t>
  </si>
  <si>
    <t>Been Bag</t>
  </si>
  <si>
    <t>Gaurav Bansal Reimbursement (Printer purchase)</t>
  </si>
  <si>
    <t>Gaurav Bansal Reimbursement (UPS purchase)</t>
  </si>
  <si>
    <t xml:space="preserve">UPS </t>
  </si>
  <si>
    <t>Being laptop purchased from Manas credit card</t>
  </si>
  <si>
    <t>Ashutosh mishra reiombursement ( cable purchase)</t>
  </si>
  <si>
    <t>Payment made for purchase made through Maanas credit card in regard to purchase of lenovo laptop</t>
  </si>
  <si>
    <t>UCPL/9325</t>
  </si>
  <si>
    <t>Thin Pc Technology PVT</t>
  </si>
  <si>
    <t>TTPL/15-16/2896</t>
  </si>
  <si>
    <t>TTPL/15-16/2898</t>
  </si>
  <si>
    <t>TTPL/15-16/3002</t>
  </si>
  <si>
    <t>Purchased from Amazon</t>
  </si>
  <si>
    <t>MH-BOM#-141788371-19199</t>
  </si>
  <si>
    <t>Being router Purchased</t>
  </si>
  <si>
    <t>being expenses incurred for purchasing mobile phone &amp; Lenovo laptop through Satyam Darmora credit card</t>
  </si>
  <si>
    <t>Being expenses incurred by reimbursement of Exp by NISHIT</t>
  </si>
  <si>
    <t>Logitech mouse</t>
  </si>
  <si>
    <t>DP/RI55667</t>
  </si>
  <si>
    <t>dream craft info solutions  (P) Ltd</t>
  </si>
  <si>
    <t>Being Expenses reimbursed by satyam darmora on behalf of company till march 16</t>
  </si>
  <si>
    <t>16-17</t>
  </si>
  <si>
    <t>UCPL/0170</t>
  </si>
  <si>
    <t>TL-MR 3020</t>
  </si>
  <si>
    <t>UCPL/0263</t>
  </si>
  <si>
    <t>TL-WDR 3600</t>
  </si>
  <si>
    <t>UCPL/0424</t>
  </si>
  <si>
    <t>TPL-1043ND TPLINK + ARCHER C 7</t>
  </si>
  <si>
    <t>UCPL/0866</t>
  </si>
  <si>
    <t>TPL-1043ND TP Link</t>
  </si>
  <si>
    <t>Amazon (Satyam Darmora CC)</t>
  </si>
  <si>
    <t>Motorola G3</t>
  </si>
  <si>
    <t>UCPL/0976</t>
  </si>
  <si>
    <t>ARCHER C 7</t>
  </si>
  <si>
    <t>Madit Infotech</t>
  </si>
  <si>
    <t>MI/16-17/00962</t>
  </si>
  <si>
    <t>TP-LINK W/L GIGA ROUTER</t>
  </si>
  <si>
    <t>UCPL/1000</t>
  </si>
  <si>
    <t>TL-WR841N+TPLINK EAP</t>
  </si>
  <si>
    <t>Amazon(Satyam darmora)</t>
  </si>
  <si>
    <t xml:space="preserve">Shankey Steel Furniture </t>
  </si>
  <si>
    <t>Furniture of New Office 6 Table , 14 Chairs &amp; 1 Round Table</t>
  </si>
  <si>
    <t>MI/16-17/01138</t>
  </si>
  <si>
    <t>TP-LINK W/L ROUTER</t>
  </si>
  <si>
    <t>Being refregerator purchased for Labno2 through Anugrah credit card</t>
  </si>
  <si>
    <t>Refrigerator</t>
  </si>
  <si>
    <t>Refregerator</t>
  </si>
  <si>
    <t>UCPL/1363</t>
  </si>
  <si>
    <t>TL-WA7210 N</t>
  </si>
  <si>
    <t>Reimbursement Ravi Sahu</t>
  </si>
  <si>
    <t>Reimbursement Gaurav bansal</t>
  </si>
  <si>
    <t>UCPL/1415</t>
  </si>
  <si>
    <t>TI-WA850RE</t>
  </si>
  <si>
    <t>UCPL/Invoice Not Available</t>
  </si>
  <si>
    <t>Router (Invoice not available - qty entered is on estimate basis considering similar purchases</t>
  </si>
  <si>
    <t xml:space="preserve">Thin PC Technology Pvt </t>
  </si>
  <si>
    <t>UCPL/2344</t>
  </si>
  <si>
    <t>UCPL/2415</t>
  </si>
  <si>
    <t xml:space="preserve">TL-R470T+TP LINK </t>
  </si>
  <si>
    <t>Amazon</t>
  </si>
  <si>
    <t>Amazon 1</t>
  </si>
  <si>
    <t>UCPL/2597</t>
  </si>
  <si>
    <t>TL-WR841N</t>
  </si>
  <si>
    <t>UCPL/2721</t>
  </si>
  <si>
    <t>UCPL/2790</t>
  </si>
  <si>
    <t>EAP 220 N600 +ARCHER C7</t>
  </si>
  <si>
    <t>Invoice X1</t>
  </si>
  <si>
    <t>Invoice Not Available 3</t>
  </si>
  <si>
    <t>Router 841N &amp; Router 1043ND</t>
  </si>
  <si>
    <t>Tablet purchased for office use through Anugrah CC</t>
  </si>
  <si>
    <t>UCPL/4054</t>
  </si>
  <si>
    <t>Archer C7</t>
  </si>
  <si>
    <t>UCPL/4130</t>
  </si>
  <si>
    <t>UCPL/No Invoice</t>
  </si>
  <si>
    <t>UCPL/4468</t>
  </si>
  <si>
    <t>UCPL/4421</t>
  </si>
  <si>
    <t>UCPL/5065</t>
  </si>
  <si>
    <t>UCPL/5129</t>
  </si>
  <si>
    <t>TL-WR841N+TL-MR 3020</t>
  </si>
  <si>
    <t>MI/16-17/04830</t>
  </si>
  <si>
    <t>TP LINK W/L ROUTER</t>
  </si>
  <si>
    <t>UCPL/5734</t>
  </si>
  <si>
    <t>SMC International</t>
  </si>
  <si>
    <t>UCPL/6218</t>
  </si>
  <si>
    <t>ARCHER C7</t>
  </si>
  <si>
    <t>MI/16-17/06182</t>
  </si>
  <si>
    <t>Router(841N) &amp; Router(1043N)</t>
  </si>
  <si>
    <t>UCPL/6456</t>
  </si>
  <si>
    <t>Being MI Fi router purchased for Office testing purpose from Anugrah Adams credit card.</t>
  </si>
  <si>
    <t>MI FI Router</t>
  </si>
  <si>
    <t>UCPL/6670</t>
  </si>
  <si>
    <t>TL-MR3020</t>
  </si>
  <si>
    <t>RETAIL/0496</t>
  </si>
  <si>
    <t>UCPL/6745</t>
  </si>
  <si>
    <t>RETAIL/0502</t>
  </si>
  <si>
    <t>UCPL/6822</t>
  </si>
  <si>
    <t>TL-MR 3020+TPLINK EAP 320</t>
  </si>
  <si>
    <t>UCPL/7062</t>
  </si>
  <si>
    <t xml:space="preserve">ASUS E200HA-FD00004TS 11.6 INCH </t>
  </si>
  <si>
    <t>S.S.D.N techsolutions &amp; Unisoft laptop Solution</t>
  </si>
  <si>
    <t>L-(2016-17/1339) &amp; H-(3068)</t>
  </si>
  <si>
    <t>Laptop &amp; Harddisk</t>
  </si>
  <si>
    <t>RETAIL/0536</t>
  </si>
  <si>
    <t>TL-WR841N+TL-MR3020</t>
  </si>
  <si>
    <t>UCPL/7208</t>
  </si>
  <si>
    <t>RETAIL/0533</t>
  </si>
  <si>
    <t>UCPL/7226</t>
  </si>
  <si>
    <t>Purchased for Omprakash.</t>
  </si>
  <si>
    <t>Purchase of Harddisk and Logitech Mobile Phone Speaker by Rohit Joshi.</t>
  </si>
  <si>
    <t>Hard Disk</t>
  </si>
  <si>
    <t>Harddisk &amp; Mobile phone speaker</t>
  </si>
  <si>
    <t>UCPL/8335</t>
  </si>
  <si>
    <t>TL-R470T</t>
  </si>
  <si>
    <t>Invoice X2</t>
  </si>
  <si>
    <t>Device purchased for Captivatour and bills for the same is submitted by Praveen.</t>
  </si>
  <si>
    <t>Invoice No. not available</t>
  </si>
  <si>
    <t>D-link 150 Mbps (DIR-505) Invoice Date- 16/3/17</t>
  </si>
  <si>
    <t>BOM3-137851381-3420</t>
  </si>
  <si>
    <t>UCPL/8812</t>
  </si>
  <si>
    <t>Reimbursement Rohit Joshi (Thin PC &amp; items from Amazon)</t>
  </si>
  <si>
    <t>Thin Pc &amp; Router</t>
  </si>
  <si>
    <t>MI/16-17/09530</t>
  </si>
  <si>
    <t>Logitech  Mobile</t>
  </si>
  <si>
    <t>Logitech  Mobile speaker phone</t>
  </si>
  <si>
    <t>Satyam Darmora CC</t>
  </si>
  <si>
    <t>Invoice X3</t>
  </si>
  <si>
    <t>Being Payment made by Satyam darmora on behalf of the company</t>
  </si>
  <si>
    <t>UCPL/9398</t>
  </si>
  <si>
    <t>TP-1043ND TP Link</t>
  </si>
  <si>
    <t>UCPL/10402</t>
  </si>
  <si>
    <t>UCPL/10912</t>
  </si>
  <si>
    <t>TL-WR841N+TPL-1043ND</t>
  </si>
  <si>
    <t>Bills submitted by Shikha on mail</t>
  </si>
  <si>
    <t>Invoice X4</t>
  </si>
  <si>
    <t>Asus laptop purchased for delhi &amp; Bengaluru (Manas CC)</t>
  </si>
  <si>
    <t>Asus Laptop</t>
  </si>
  <si>
    <t>Asus laptop purchased for delhi &amp; Bengaluru (Manas CC) from Amazon</t>
  </si>
  <si>
    <t xml:space="preserve">Axil Spot </t>
  </si>
  <si>
    <t>UCPL/11226</t>
  </si>
  <si>
    <t>TPLINK EAP 320</t>
  </si>
  <si>
    <t>Reimbursement Ashutosh</t>
  </si>
  <si>
    <t>UCPL/11515</t>
  </si>
  <si>
    <t>TL-WR841N+Power adaptor 9v+Power adaptor 12v</t>
  </si>
  <si>
    <t>UCPL/11596</t>
  </si>
  <si>
    <t>Thin PC Technology Pvt</t>
  </si>
  <si>
    <t xml:space="preserve">SSD </t>
  </si>
  <si>
    <t>UCPL/11773</t>
  </si>
  <si>
    <t xml:space="preserve">Samsung On 5 Pro </t>
  </si>
  <si>
    <t>UCPL/12629</t>
  </si>
  <si>
    <t>UCPL/12664</t>
  </si>
  <si>
    <t>UCPL/13005</t>
  </si>
  <si>
    <t>Reimbursement Rohit Joshi</t>
  </si>
  <si>
    <t>DIR - 505</t>
  </si>
  <si>
    <t>Cellcom computers solutions</t>
  </si>
  <si>
    <t>Celcom 1</t>
  </si>
  <si>
    <t>D-Link 150(DIR-505) serial no-QBRQ1F8002165, QBRQ1F8002169,QBRQ1F8001349</t>
  </si>
  <si>
    <t>Celcom 2</t>
  </si>
  <si>
    <t>D-Link 150(DIR-505) serial no-QBRQ1F8002179,QBRQ1F8002162,QBRQ1F8001363</t>
  </si>
  <si>
    <t>Celcom 3</t>
  </si>
  <si>
    <t>D-Link 150(DIR-505) serial no-QBRQ1F8002176,48EE0CED5AE7,QBRQ1F8002167</t>
  </si>
  <si>
    <t>Celcom 4</t>
  </si>
  <si>
    <t>D-Link 150(DIR-505) serial no-QBRQ1F8002172,QBRQ1F8002175,QBRQ1F8000795</t>
  </si>
  <si>
    <t>Celcom 5</t>
  </si>
  <si>
    <t>DIR - 505 serial No.(QBRQ1F8002177,QBRQ1F8002171)</t>
  </si>
  <si>
    <t>shreeji Enterprises</t>
  </si>
  <si>
    <t>Celcom 6</t>
  </si>
  <si>
    <t>DIR - 505 serial No.(QBRQ1F8000866)</t>
  </si>
  <si>
    <t>Celcom 7</t>
  </si>
  <si>
    <t>DIR - 505 serial No.(QBRQ1F8002174, 48ee0ced66c7.QBRQ1F8001348)</t>
  </si>
  <si>
    <t>Celcom 8</t>
  </si>
  <si>
    <t>DIR - 505 serial No.(QBRQ1F8002163.QBRQ1F800790)</t>
  </si>
  <si>
    <t>Celcom 9</t>
  </si>
  <si>
    <t>DIR - 505 serial No.(QBRQ1F8000831)</t>
  </si>
  <si>
    <t>Invoice X5</t>
  </si>
  <si>
    <t>Invoice X6</t>
  </si>
  <si>
    <t xml:space="preserve">S.S.D.N Techsolutions </t>
  </si>
  <si>
    <t>MB8127/2016-17</t>
  </si>
  <si>
    <t>80QQ01FAIH IP-100-I5/4GB/1TB/DOS BLACK (INVOICE DATE - 6-3-17)</t>
  </si>
  <si>
    <t>G.K Solutions/Director Computer &amp; Auto fare</t>
  </si>
  <si>
    <t>GKS/RET/16-17/0012835</t>
  </si>
  <si>
    <t>D Link DIR -505 (Auto Fare390,Gk-19500, Director computer -2600)  (Director computer invoice-11681)
Quantity not available - FAR qty entered on assumption basis @1200 per router</t>
  </si>
  <si>
    <t>Thin PC Technology Pvt (reimbursement rohit joshi)</t>
  </si>
  <si>
    <t>From Amazon Order in &amp; different vendor 5360</t>
  </si>
  <si>
    <t>Kingston V300 SSDnow 240GB sata 3 2.5 solid state</t>
  </si>
  <si>
    <t>Invoice X7</t>
  </si>
  <si>
    <t>M/16-17/014071</t>
  </si>
  <si>
    <t>d-Link W/L 150 Mbps Pocket router</t>
  </si>
  <si>
    <t>D Link DIR -505 purchased from Nehru Place along with adapter for akash laptop.</t>
  </si>
  <si>
    <t>D Link DIR -505</t>
  </si>
  <si>
    <t>D Link devices purchased from CROMA (D Link DIR 505 for ITC Project ) bill submitted by Rohit as bill</t>
  </si>
  <si>
    <t>SLE006EC0010375/SLE008EC0000757/100398DEL171871/100398DEL171872</t>
  </si>
  <si>
    <t>D-link mobile companion DIR505 (Invoice date- 16,18,20 march 2017)</t>
  </si>
  <si>
    <t>Payment Made by Anugrah Adams</t>
  </si>
  <si>
    <t>17-18</t>
  </si>
  <si>
    <t>Cloudtail India pvt. Ltd</t>
  </si>
  <si>
    <t>HR-DEL3-1004-5168036</t>
  </si>
  <si>
    <t>HP 14-AM081TU 14" Laptop</t>
  </si>
  <si>
    <t>Laptech solutions pvt. Ltd.</t>
  </si>
  <si>
    <t>MH-SPNA-170574141-21889</t>
  </si>
  <si>
    <t>Acer Aspire ESI/132 CDC/LX</t>
  </si>
  <si>
    <t>Ashutosh Reimbursement</t>
  </si>
  <si>
    <t>FOP7Y00818-00125874</t>
  </si>
  <si>
    <t>Laptops / WA33104</t>
  </si>
  <si>
    <t>UCPL/0576</t>
  </si>
  <si>
    <t>Being expenses incurred from petty xcah &amp; accordingly bills submitted</t>
  </si>
  <si>
    <t>Being payment made to shikha swarup for DIR-505 purchased by her on behalf of company</t>
  </si>
  <si>
    <t>DIR -505</t>
  </si>
  <si>
    <t>Raj Informatique</t>
  </si>
  <si>
    <t>Rajinfo-0517-089</t>
  </si>
  <si>
    <t>UCPL/2376</t>
  </si>
  <si>
    <t>UCPL/3101</t>
  </si>
  <si>
    <t>Office equipment</t>
  </si>
  <si>
    <t>Office equip</t>
  </si>
  <si>
    <t>Reimbursement Rohit</t>
  </si>
  <si>
    <t>Being expesnes incurred by rohit foir purchase of itmes for new office expenses.</t>
  </si>
  <si>
    <t>Laptop - Varun Singh</t>
  </si>
  <si>
    <t>ASUS Laptop</t>
  </si>
  <si>
    <t>Manas Credit Card</t>
  </si>
  <si>
    <t>Office Assets</t>
  </si>
  <si>
    <t>Monitor for Prateek Jaiswal</t>
  </si>
  <si>
    <t>Office furniture</t>
  </si>
  <si>
    <t>V.N.G. Enterprises</t>
  </si>
  <si>
    <t>Lease Washrooms - CWIP - Material for Washroom</t>
  </si>
  <si>
    <t>Being cash withdrawl made for new Offices</t>
  </si>
  <si>
    <t>Asus laptop X541UA-GO008</t>
  </si>
  <si>
    <t>Asus laptop X541UA-DM1358D</t>
  </si>
  <si>
    <t>Asus laptop X541UA-DM1232D</t>
  </si>
  <si>
    <t xml:space="preserve">S.S.D.N techsolutions </t>
  </si>
  <si>
    <t>GL1_1390/2017-18</t>
  </si>
  <si>
    <t>UniSoft Laptop solutions</t>
  </si>
  <si>
    <t>SSD - WD - 240GB</t>
  </si>
  <si>
    <t>Being Hardware purchased &amp; adjusted with SMC international</t>
  </si>
  <si>
    <t>Arvee sales</t>
  </si>
  <si>
    <t>Y139</t>
  </si>
  <si>
    <t>LG LED Tv 49 inches</t>
  </si>
  <si>
    <t>M.G.E zone</t>
  </si>
  <si>
    <t>246/YS/17-18</t>
  </si>
  <si>
    <t>Samsung television Set</t>
  </si>
  <si>
    <t>colortop Graphic</t>
  </si>
  <si>
    <t>Lease Décor - CWIP - Reception Counter &amp; Outdoor Logo (i2e1)</t>
  </si>
  <si>
    <t>Being Payment Made to Nanhe lal Painter</t>
  </si>
  <si>
    <t>UNI/2575(17-18)</t>
  </si>
  <si>
    <t xml:space="preserve">TD-8968 </t>
  </si>
  <si>
    <t>Rent sec</t>
  </si>
  <si>
    <t>Landlord-Ankush Sharma</t>
  </si>
  <si>
    <t>Being Bill submitted by Ankush Sharma and same is duly taken care off for office expenses.</t>
  </si>
  <si>
    <t>Buddy Retail Pvt ltd</t>
  </si>
  <si>
    <t>SKT-1406</t>
  </si>
  <si>
    <t>SM-J210 PRO FZDG</t>
  </si>
  <si>
    <t>Harshit Nursery</t>
  </si>
  <si>
    <t>Lease Décor - CWIP - Plants</t>
  </si>
  <si>
    <t>Awing (Tent)</t>
  </si>
  <si>
    <t>2017-18/33</t>
  </si>
  <si>
    <t>Awning (Lease Décor - CWIP)</t>
  </si>
  <si>
    <t>Micro Integrated Systems</t>
  </si>
  <si>
    <t>MIS_2017-18-0013</t>
  </si>
  <si>
    <t>Hikvision MP camera - 4 + Hikvision 1080p Full HD DVR - 1 &amp; Accessories</t>
  </si>
  <si>
    <t>Being invoice received from Bharat kumar for frosting on mirrors,blinds , kitchen&amp; other expenses</t>
  </si>
  <si>
    <t>Being invoice received from Bharat kumar for frosting on mirrors,blinds , kitchen&amp; other expenses. (Lease Décor - CWIP)</t>
  </si>
  <si>
    <t>Being Web cam installed in saket office</t>
  </si>
  <si>
    <t>UNI/2752(17-18)</t>
  </si>
  <si>
    <t>TP Link EAP 225+ TP Link SG 1008PE</t>
  </si>
  <si>
    <t>UNI/2798(17-18)</t>
  </si>
  <si>
    <t>Archer C7+TP Link EAP 320</t>
  </si>
  <si>
    <t>Shoppers Point</t>
  </si>
  <si>
    <t>Speaker</t>
  </si>
  <si>
    <t>SP/0442/17-18</t>
  </si>
  <si>
    <t xml:space="preserve">Yamaha Sound Bar </t>
  </si>
  <si>
    <t>Anugrah Credit Card</t>
  </si>
  <si>
    <t>Amazon - New office</t>
  </si>
  <si>
    <t>Office equip.</t>
  </si>
  <si>
    <t>Being payment made to them through Maanas Debit Card.</t>
  </si>
  <si>
    <t>Speakers</t>
  </si>
  <si>
    <t>UNI/2758(17-18)</t>
  </si>
  <si>
    <t>Mohd Baber</t>
  </si>
  <si>
    <t>Almirah</t>
  </si>
  <si>
    <t>Almirah - MOHD. BABER</t>
  </si>
  <si>
    <t>UNI/3060(17-18)</t>
  </si>
  <si>
    <t>TI-ER 5120+TP Link TI-SG</t>
  </si>
  <si>
    <t>Tata Cliq</t>
  </si>
  <si>
    <t>100398DEL1718151</t>
  </si>
  <si>
    <t>Order no - 100647560(5 routers) &amp; 100650099(5 routers)
Drink All-in-one DIR 505 Mobile companion white</t>
  </si>
  <si>
    <t>GL1-1981-2017-18</t>
  </si>
  <si>
    <t>Office HP printer</t>
  </si>
  <si>
    <t>ASUS TFP Screen</t>
  </si>
  <si>
    <t xml:space="preserve">Mobile Phone </t>
  </si>
  <si>
    <t>Being advance transferred to shiva kimothi for expenses incurred by her for company</t>
  </si>
  <si>
    <t>Being payment made by Abhishek &amp; OM prakash bisht for New office improvement</t>
  </si>
  <si>
    <t>UNI/3634(17-18)</t>
  </si>
  <si>
    <t>TP Link EAP 320 Access point</t>
  </si>
  <si>
    <t>Invoice X8</t>
  </si>
  <si>
    <t>Being Thin PC purchased through Amazon Pay balance</t>
  </si>
  <si>
    <t>Stainless steels Pull/Push sticker purchased by PK from Amazon</t>
  </si>
  <si>
    <t>Being AMT transferred to Anurag for expenses incurred by him</t>
  </si>
  <si>
    <t>UNI/4480(17-18)</t>
  </si>
  <si>
    <t>Laptops &amp; Accessories</t>
  </si>
  <si>
    <t>Net Distribution Services pvt. Ltd.</t>
  </si>
  <si>
    <t>LNNDMA/17-18/3173</t>
  </si>
  <si>
    <t>Lenovo Laptop</t>
  </si>
  <si>
    <t>Router Model No-1043</t>
  </si>
  <si>
    <t>UNI/4635(17-18)</t>
  </si>
  <si>
    <t>TPLINK EAP 320+ARCHER C7</t>
  </si>
  <si>
    <t>Info Access Computers</t>
  </si>
  <si>
    <t>UPS &amp; other Equipment for Tech Area</t>
  </si>
  <si>
    <t>Shree Mahavir Enterprises</t>
  </si>
  <si>
    <t>Sound Station</t>
  </si>
  <si>
    <t>TI/17-18/1984</t>
  </si>
  <si>
    <t>Polycom sound station - Rs. 24000 &amp; Polycom Mobile Calling kit - 2000</t>
  </si>
  <si>
    <t>Being 3 bills submitted by Nanhe lal</t>
  </si>
  <si>
    <t>Lease Décor - CWIP</t>
  </si>
  <si>
    <t>Misc</t>
  </si>
  <si>
    <t xml:space="preserve">Camera </t>
  </si>
  <si>
    <t>Gaming Router</t>
  </si>
  <si>
    <t>HYD8-4289483</t>
  </si>
  <si>
    <t>TP Link TL-WR1043ND 300 MBPS Wireless gaming router</t>
  </si>
  <si>
    <t>UNI/5095(17-18)</t>
  </si>
  <si>
    <t>TD-8968+ARCHER C7+TL-WR841N</t>
  </si>
  <si>
    <t>UNI/5353(17-18)</t>
  </si>
  <si>
    <t>TL-MR3020+TL-MR3420</t>
  </si>
  <si>
    <t>Saibaba Infocom</t>
  </si>
  <si>
    <t>SI/D/1486/17-18</t>
  </si>
  <si>
    <t>TL-MR 841N+TL-MR3020+TLW8968 300 Mbps wireless N USB+ADSL2 Modem Router</t>
  </si>
  <si>
    <t>SI/D/1539/17-18</t>
  </si>
  <si>
    <t>TL-WR 841N</t>
  </si>
  <si>
    <t>SI/D/1635/17-18</t>
  </si>
  <si>
    <t>SI/D/1603/17-18</t>
  </si>
  <si>
    <t>RB750R2</t>
  </si>
  <si>
    <t>Webcam</t>
  </si>
  <si>
    <t>INT HDD 2TB SATA WD RED (Server)</t>
  </si>
  <si>
    <t>UPS APC 1.5 KVA</t>
  </si>
  <si>
    <t>MIS_2017-18-0031</t>
  </si>
  <si>
    <t>Hikvision Dome camera - 2 + Hikvision 1080p Full HD DVR - 1 &amp; Accessories</t>
  </si>
  <si>
    <t>SI/D/1706/17-18</t>
  </si>
  <si>
    <t>TL-WR1043ND</t>
  </si>
  <si>
    <t>Cloudtail India Private Limited</t>
  </si>
  <si>
    <t>BLR5-6001486</t>
  </si>
  <si>
    <t>Dell Vostro 3468 14-inch Laptop (7th Gen i3/4GB/1TB/Windows 10/Integrated Graphics), Black with Pre-loaded with MS Office</t>
  </si>
  <si>
    <t>SI/D/1798/17-18</t>
  </si>
  <si>
    <t xml:space="preserve">TL-WR 841N+TL-W8968 300 mbps USB </t>
  </si>
  <si>
    <t>Computer Screen</t>
  </si>
  <si>
    <t>SI/D/1815/17-18</t>
  </si>
  <si>
    <t>Being Lenevo K8 NOTE &amp; LG Q6 phone</t>
  </si>
  <si>
    <t>Savex Technologies Pvt. Ltd.</t>
  </si>
  <si>
    <t>DEL2-320138</t>
  </si>
  <si>
    <t>Samsung On5Pro (Gold)</t>
  </si>
  <si>
    <t>2 Manas Credit Card &amp; 1 Buddy Retails</t>
  </si>
  <si>
    <t>2No Samsung ON Pro Gold - Rs. 6990, Rs. 6241
1 No. Mobile - 7142</t>
  </si>
  <si>
    <t>SI/D/1964/17-18</t>
  </si>
  <si>
    <t>TP Link 841N (Version 11)</t>
  </si>
  <si>
    <t>UNI/7519(17-18)</t>
  </si>
  <si>
    <t>Infiniti Retail Limited (CROMA)</t>
  </si>
  <si>
    <t>SLA112040041144</t>
  </si>
  <si>
    <t>Apple Mac (For Consultant Ashish Gupta)</t>
  </si>
  <si>
    <t>SLA112040041146</t>
  </si>
  <si>
    <t>SI/G/2075/17-18</t>
  </si>
  <si>
    <t>EB750R2+CPE510</t>
  </si>
  <si>
    <t>Desktop</t>
  </si>
  <si>
    <t>Tresor Systems Private Limited</t>
  </si>
  <si>
    <t>DELP1711PI0192</t>
  </si>
  <si>
    <t>Apple Mac</t>
  </si>
  <si>
    <t>Reimbursement of Nishit</t>
  </si>
  <si>
    <t>Future World Retail Pvt Ltd</t>
  </si>
  <si>
    <t>UNI/9134(17-18)</t>
  </si>
  <si>
    <t>EAP 110-OUTDOOR</t>
  </si>
  <si>
    <t>18-19</t>
  </si>
  <si>
    <t>Flipkart In</t>
  </si>
  <si>
    <t>20180404155610/0</t>
  </si>
  <si>
    <t>Laptop from Flipcart</t>
  </si>
  <si>
    <t>UNI/0080(18-19)</t>
  </si>
  <si>
    <t>UNI/0334(18-19)</t>
  </si>
  <si>
    <t>UNI/0497(18-19)</t>
  </si>
  <si>
    <t>SI/D/0142/18-19</t>
  </si>
  <si>
    <t>MERCUSYS MW -325-R</t>
  </si>
  <si>
    <t>UNI/0539(18-19)</t>
  </si>
  <si>
    <t>Appario Retail Private Ltd(Amazon)</t>
  </si>
  <si>
    <t>HYD8-108038</t>
  </si>
  <si>
    <t>Lenovo IdeaPad 520S-14IKB 80X200EPIN 14-inch Laptop (7th Gen Core i5-7200U/8GB/1TB/Windows 10/Integrated Graphics), Mineral Grey</t>
  </si>
  <si>
    <t>INTEL NUC5CPYH+SSD120GB WD GREEN+ RAM 2 GB DDR3 LAPTOP</t>
  </si>
  <si>
    <t>UNI/1344(18-19)</t>
  </si>
  <si>
    <t>TL-WR841N-300mbps WIRELESS N ROUTER</t>
  </si>
  <si>
    <t>Matrix Distributors Private Limited</t>
  </si>
  <si>
    <t>Amazon Echo</t>
  </si>
  <si>
    <t>BOM4-12679</t>
  </si>
  <si>
    <t>Amazon Echo - Voice control your music, Make calls, Get news, weather &amp; more, Powered by Dolby – Black</t>
  </si>
  <si>
    <t>E retail India</t>
  </si>
  <si>
    <t>QSUV-6191</t>
  </si>
  <si>
    <t>Gionee A1 (Black, 64GB)</t>
  </si>
  <si>
    <t>UNI/1603(18-19)</t>
  </si>
  <si>
    <t xml:space="preserve">TP LINK ArCHER C-1200+ TPL -WR1043 N </t>
  </si>
  <si>
    <t>UNI/1663(18-19)</t>
  </si>
  <si>
    <t>Sektra Marketing Services Private Limited</t>
  </si>
  <si>
    <t>MH-BOM-156237081-1819</t>
  </si>
  <si>
    <t>Amazzon Eco Speakers for Bangaluru Office</t>
  </si>
  <si>
    <t>Savex Technologies (Amazon)</t>
  </si>
  <si>
    <t>DEL4-34503</t>
  </si>
  <si>
    <t>Samsung On5 Pro (Black)</t>
  </si>
  <si>
    <t>UNI/2922(18-19)</t>
  </si>
  <si>
    <t>Tp Lik Router Archer C-20</t>
  </si>
  <si>
    <t>Invertor Tech Area</t>
  </si>
  <si>
    <t>Dolly Battery</t>
  </si>
  <si>
    <t>Luminous Battery 150AH</t>
  </si>
  <si>
    <t>Invertor</t>
  </si>
  <si>
    <t>Luminous Ecowatt 1050 Long Backup</t>
  </si>
  <si>
    <t>UNI/3596(18-19)</t>
  </si>
  <si>
    <t>TL-WR841N+ARCHER C 7</t>
  </si>
  <si>
    <t>UNI/3953(18-19)</t>
  </si>
  <si>
    <t>UNI/4638(17-18)</t>
  </si>
  <si>
    <t>UNI/4734(18-19)</t>
  </si>
  <si>
    <t>TPL -WR1043 N TP-LINK</t>
  </si>
  <si>
    <t>UNI/4454(18-19)</t>
  </si>
  <si>
    <t>TP Link EAP 225</t>
  </si>
  <si>
    <t>Appario Retail pvt. Ltd</t>
  </si>
  <si>
    <t>DEL2-749336</t>
  </si>
  <si>
    <t>Tp-Link Archer C7</t>
  </si>
  <si>
    <t>UNI/5760(18-19)</t>
  </si>
  <si>
    <t>Headrush ventures Pvt Ltd</t>
  </si>
  <si>
    <t>IN-33532</t>
  </si>
  <si>
    <t>GL.iNet GL-AR300M-Lite Mini Travel Router, OpenWrt Pre-installed, Repeater Bridge, 300Mbps High Performance, One Ethernet port, 16MB Nor flash, 128MB RAM, OpenVPN</t>
  </si>
  <si>
    <t>UNI/6001(18-19) - 1</t>
  </si>
  <si>
    <t xml:space="preserve">Tp LINK 841N </t>
  </si>
  <si>
    <t>UNI/6001(18-19)</t>
  </si>
  <si>
    <t>payal gupta</t>
  </si>
  <si>
    <t>IN-39</t>
  </si>
  <si>
    <t>Lenovo ThinkPad Edge E470 20H10054IG 14-inch Laptop (i3-6006U/4GB/1TB/Windows 10 Professional/Integrated Graphics)</t>
  </si>
  <si>
    <t>Gurumaharaj computer services</t>
  </si>
  <si>
    <t>SPNA-873</t>
  </si>
  <si>
    <t>Lenovo Ideapad 330S 81F400GLIN 14-inch Laptop (8th gen i3-8130U/4GB/1TB/Windows 10/Integrated Graphics)</t>
  </si>
  <si>
    <t>UNI/6034(18-19)</t>
  </si>
  <si>
    <t>TL-MR3420 + T-P LINK ARCHER C-20</t>
  </si>
  <si>
    <t>Kida Retail p ltd</t>
  </si>
  <si>
    <t>DEL2-644</t>
  </si>
  <si>
    <t>Lenovo Ideapad 330S 81F400GLIN 14-inch Laptop (8th gen i3-8130U/4GB/1TB/Windows 10/Integrated Graphics), Platinum Gray KIDA_B07F5LNPP3</t>
  </si>
  <si>
    <t>DEL2-807443</t>
  </si>
  <si>
    <t>HP 14q-BU005TU 2017 14-inch Lightweight, Laptop (Core i3-6006U/4GB/1TB/Windows 10/Integrated Graphics</t>
  </si>
  <si>
    <t>Shubh Infotech</t>
  </si>
  <si>
    <t>Nagpur Maharashtra</t>
  </si>
  <si>
    <t>UNI/6304(18-19)</t>
  </si>
  <si>
    <t>DEL4-743954</t>
  </si>
  <si>
    <t>Samsung 27 inch (68.6 cm) Curved LED Monitor - Full HD, VA Panel with VGA, HDMI, Audio Ports</t>
  </si>
  <si>
    <t>UNI/6623/18-19</t>
  </si>
  <si>
    <t>TL-MR3420, 300 MPBS, 3g wireless, N router</t>
  </si>
  <si>
    <t>DARSHITA AASHIYANA PRIVATE LIMITED</t>
  </si>
  <si>
    <t>DEL4-282043</t>
  </si>
  <si>
    <t>Redmi Y2 (Black, 3GB RAM, 32GB Storage)</t>
  </si>
  <si>
    <t>SLA042030041249</t>
  </si>
  <si>
    <t>Laptop for Android Developer (Gangadhar Vasa)</t>
  </si>
  <si>
    <t>Darshita Aashiyana Private Limited</t>
  </si>
  <si>
    <t>Being mobile purchased by Nishit for sales team (Linq) Redmi Y2 (3Gb RAM &amp;32 Gb )</t>
  </si>
  <si>
    <t>Redmi Y2 (3Gb RAM &amp;32 Gb )</t>
  </si>
  <si>
    <t>BLR7-7331464</t>
  </si>
  <si>
    <t>Mi Air Purifier 2S (White)</t>
  </si>
  <si>
    <t>UNI/8437/18-19</t>
  </si>
  <si>
    <t>UNI/8505/18-19</t>
  </si>
  <si>
    <t>UNI/9947/18-19</t>
  </si>
  <si>
    <t>UNI/10349(18-19)</t>
  </si>
  <si>
    <t>TP Link - EAP 225</t>
  </si>
  <si>
    <t>Darshita Aashiyana ( Karnataka)</t>
  </si>
  <si>
    <t>BLR7-184360</t>
  </si>
  <si>
    <t>Appario Retail Private Ltd</t>
  </si>
  <si>
    <t>DEL4-1934311</t>
  </si>
  <si>
    <t>Apple MacBook Air Core i5 13.3-inch Laptop (8GB/128GB/MacOS Sierra/Silver/1.35kg</t>
  </si>
  <si>
    <t>JMD IMPEX</t>
  </si>
  <si>
    <t>BOM4-169</t>
  </si>
  <si>
    <t>Lenovo Ideapad 330s Intel Core i3 8th Gen 14-inch Full HD Thin &amp; Light Laptop (4GB + 16GB Optane/1TB HDD/Windows 10 Home/Platinum Grey/1.7kg)</t>
  </si>
  <si>
    <t>DEL4-1769417</t>
  </si>
  <si>
    <t>Vivo Y81 (Black, 4GB RAM, 32GB Storage) with Offers</t>
  </si>
  <si>
    <t>Mobile Arena</t>
  </si>
  <si>
    <t>IN-2946</t>
  </si>
  <si>
    <t>Honor 9N (Sapphire Blue, 32 GB) (3 GB RAM)</t>
  </si>
  <si>
    <t>RB delhi</t>
  </si>
  <si>
    <t>IN-8</t>
  </si>
  <si>
    <t>Micromax Canvas 5 Lite Q463 (Maple Wood, 16GB)</t>
  </si>
  <si>
    <t>Shree Khatushyam Mobile Gallery</t>
  </si>
  <si>
    <t>IN-374</t>
  </si>
  <si>
    <t>Intex Aqua Sense Mobile</t>
  </si>
  <si>
    <t>UNI/11119/18-19</t>
  </si>
  <si>
    <t>UNI/11544/18-19</t>
  </si>
  <si>
    <t>UNI/11589/18-19</t>
  </si>
  <si>
    <t>TL-MR3420</t>
  </si>
  <si>
    <t xml:space="preserve">Being Bills submitted by shailendra for travel for Facebook survey </t>
  </si>
  <si>
    <t>19-20</t>
  </si>
  <si>
    <t>UNI/0911/19-20</t>
  </si>
  <si>
    <t>Mayank Communications</t>
  </si>
  <si>
    <t>IN-41</t>
  </si>
  <si>
    <t>Oppo A3S CPH103(Dark purple)</t>
  </si>
  <si>
    <t>UNI/1190/19-20</t>
  </si>
  <si>
    <t>UNI/1689/19-20</t>
  </si>
  <si>
    <t>SPNA-4266</t>
  </si>
  <si>
    <t>BENQ BL2420PT 2K QHD Resolution IPS Monitor</t>
  </si>
  <si>
    <t>DEL5-839305</t>
  </si>
  <si>
    <t>Redmi 6A</t>
  </si>
  <si>
    <t>DEL5-951078</t>
  </si>
  <si>
    <t>ASUS TUF FX505DY-BQ002T 15.6" FHD Gaming laptop</t>
  </si>
  <si>
    <t>BOM4-449998</t>
  </si>
  <si>
    <t>Lenovo ideapad 330 i3 7th gen 15.6 " FHD Laptop</t>
  </si>
  <si>
    <t>BOM4-449997</t>
  </si>
  <si>
    <t>Payal Gupta</t>
  </si>
  <si>
    <t>Lenovo ideapad 330S-14ikb i5</t>
  </si>
  <si>
    <t>DEL5-2300810</t>
  </si>
  <si>
    <t>HP Pavilion x360 core i3 8th gen Touchscreen Laptop</t>
  </si>
  <si>
    <t>Smart tech solutions</t>
  </si>
  <si>
    <t>STST018</t>
  </si>
  <si>
    <t>Ubiquity AC LR Pro AP</t>
  </si>
  <si>
    <t>DELSKT1906PI0444</t>
  </si>
  <si>
    <t>MB Air13" 1.8ghz DC i5 128 gb</t>
  </si>
  <si>
    <t>DELSKT1906PI0442</t>
  </si>
  <si>
    <t>DELSKT1906PI0443</t>
  </si>
  <si>
    <t>Dell International Services India pvt ltd</t>
  </si>
  <si>
    <t>Inspiron 15 5000 Series-5580</t>
  </si>
  <si>
    <t>Arihant Telecom</t>
  </si>
  <si>
    <t>SIDA-367</t>
  </si>
  <si>
    <t xml:space="preserve">Lenovo ideapad S340 8th gen i5 </t>
  </si>
  <si>
    <t>LWH2019/20-08265</t>
  </si>
  <si>
    <t>Thinkpad E49</t>
  </si>
  <si>
    <t>DEL5-2560463</t>
  </si>
  <si>
    <t>BenQ BL2420PT 23.8inch, 2K QHD IPS Designer Monitor, 60Hz Refresh Rate wit sRGB for Photo Editing</t>
  </si>
  <si>
    <t>UNI/6787/19-20</t>
  </si>
  <si>
    <t>EAP225</t>
  </si>
  <si>
    <t>Techcafe Retai;l Pvt. Ltd</t>
  </si>
  <si>
    <t>IN-659</t>
  </si>
  <si>
    <t>Vivo Y81(Black, 3gb, 32gb)</t>
  </si>
  <si>
    <t>Jain Infoways</t>
  </si>
  <si>
    <t>QSHK- 2658</t>
  </si>
  <si>
    <t>Dell 27"4K monitor</t>
  </si>
  <si>
    <t>Networking Electronics system co.</t>
  </si>
  <si>
    <t>SLKA-5952</t>
  </si>
  <si>
    <t xml:space="preserve">DELL 27 LED BACKLIT LCD Monitor </t>
  </si>
  <si>
    <t>Comet Busers</t>
  </si>
  <si>
    <t>QWE3-33189</t>
  </si>
  <si>
    <t>Nokia 7.2 (Charcoal, 64gb, 6gb)</t>
  </si>
  <si>
    <t>ASUS LAPTOP UX362FA-EL501T</t>
  </si>
  <si>
    <t>20-21</t>
  </si>
  <si>
    <t>21-22</t>
  </si>
  <si>
    <t>Oxygen Concentrator</t>
  </si>
  <si>
    <t>Indoma Industries P. Ltd. (Gr. Noida)</t>
  </si>
  <si>
    <t>Oxygen Concentrator Medical Grade KSOC-5</t>
  </si>
  <si>
    <t>Gyan Power system</t>
  </si>
  <si>
    <t>LG700E Livguard</t>
  </si>
  <si>
    <t>DEL4-4827620</t>
  </si>
  <si>
    <t>ASUS VivoBook 14 (2021), 14-inch (35.56 cms) FHD</t>
  </si>
  <si>
    <t>HYD8-6847386</t>
  </si>
  <si>
    <t>SAVEX TECHNOLOGIES PRIVATE LIMITED</t>
  </si>
  <si>
    <t>DEL5-575327</t>
  </si>
  <si>
    <t>Samsung Galaxy M21 2021 Edition</t>
  </si>
  <si>
    <t xml:space="preserve">Samsung Galaxy M12 </t>
  </si>
  <si>
    <t>DEL4-5174672</t>
  </si>
  <si>
    <t>Canon Pixma G3000 All-in-One Wireless Ink Tank Colour Printer</t>
  </si>
  <si>
    <t>DEL4-5332967</t>
  </si>
  <si>
    <t>ASUS TUF Gaming F15 Laptop 15.6" (39.62 cms) FHD</t>
  </si>
  <si>
    <t>HYD8-7259719</t>
  </si>
  <si>
    <t>2020 Apple MacBook Pro (13.3-inch/33.78 cm, Apple M1 Chip</t>
  </si>
  <si>
    <t>22-23</t>
  </si>
  <si>
    <t>Routers</t>
  </si>
  <si>
    <t>Adjustment Entry - Inventory Transferred to Asset - Total Value - Rs. 78,09,840</t>
  </si>
  <si>
    <t>UNI/2039/20-21</t>
  </si>
  <si>
    <t>2020-07-11
UNI/2039/20-21
Being router purchase 500 pcs TP Link Router Archer C-20 purcahsed@ 1110/-</t>
  </si>
  <si>
    <t>UNI/2385/20-21</t>
  </si>
  <si>
    <t>2020-07-22
UNI/2385/20-21
Being router purchase 80 pcs TL-MR3420, 300 MPBS, 3G WIRELESS N ROUTER purcahsed@ 1050/-</t>
  </si>
  <si>
    <t>UNI/7481/20-21</t>
  </si>
  <si>
    <t>2020-12-11
UNI/7481/20-21
Being router purchase 500 pcs Tp Link Router Archer C-20 ROUTER purchassed @ 1110/.</t>
  </si>
  <si>
    <t>UNI/10712/20-21</t>
  </si>
  <si>
    <t>2021-03-03
UNI/10712/20-21
1000 Pcs of router at Rs 1050</t>
  </si>
  <si>
    <t>UNI/0787/21-22</t>
  </si>
  <si>
    <t>2021-05-15
UNI/0787/21-22
2000 Pcs of router at Rs 1050</t>
  </si>
  <si>
    <t>UNI/9338/21-22</t>
  </si>
  <si>
    <t>2022-01-24
UNI/9338/21-22
1000 Pcs of router at Rs 1050</t>
  </si>
  <si>
    <t>UNI/10228/21-22</t>
  </si>
  <si>
    <t>2022-02-16
UNI/10228/21-22
1500 Pcs of router at Rs 1050</t>
  </si>
  <si>
    <t>NOD/21-22/21947</t>
  </si>
  <si>
    <t>2022-02-24
NOD/21-22/21947
533 Pcs of router at Rs 1050</t>
  </si>
  <si>
    <t>NOD/21-22/7060</t>
  </si>
  <si>
    <t>2021-07-24
NOD/21-22/7060
162 Pcs of router at Rs 1050</t>
  </si>
  <si>
    <t>GST/2020-21/1612</t>
  </si>
  <si>
    <t>2020-10-27
GST/2020-21/1612
106 Pcs of router at Rs 1050</t>
  </si>
  <si>
    <t>ONU-Optical Network Unit</t>
  </si>
  <si>
    <t>ONU</t>
  </si>
  <si>
    <t>GX/G/22-23/008</t>
  </si>
  <si>
    <t>Earth-1000R</t>
  </si>
  <si>
    <t>Mobile</t>
  </si>
  <si>
    <t>Iotian Technology intelligence</t>
  </si>
  <si>
    <t>IN-60</t>
  </si>
  <si>
    <t>Lenovo Tab M10 HD Tablet (10.1 inch, 2GB, 32GB, Wi-Fi Only) Slate Black</t>
  </si>
  <si>
    <t>Texas Networking systems</t>
  </si>
  <si>
    <t>Switch</t>
  </si>
  <si>
    <t>TNS/22-23/12</t>
  </si>
  <si>
    <t>10/10/1000 8port rope switch 12v</t>
  </si>
  <si>
    <t>UNI/492/22-23</t>
  </si>
  <si>
    <t>TNS/22-23/32</t>
  </si>
  <si>
    <t>Texas Networking Systems</t>
  </si>
  <si>
    <t>TNS/22-23/35</t>
  </si>
  <si>
    <t>SO8O1G+S-XPON-1000-ONT-R-N+Gpon ont v2801 sg</t>
  </si>
  <si>
    <t>TNS/22-23/37</t>
  </si>
  <si>
    <t>Gpon ont v2801 sg</t>
  </si>
  <si>
    <t>C122/2223/136</t>
  </si>
  <si>
    <t>SY-GPON-1000R-DONT</t>
  </si>
  <si>
    <t>Computers &amp; Laptop</t>
  </si>
  <si>
    <t>Appario Retail Private Ltd- 06</t>
  </si>
  <si>
    <t>DEL5-422923</t>
  </si>
  <si>
    <t>ASUS VivoBook 14 (2021) Intel Core i3-1005G1 10th Gen 14 inches FHD Thin and Light Laptop</t>
  </si>
  <si>
    <t>Chand Mohammad</t>
  </si>
  <si>
    <t>1 - 2022-23</t>
  </si>
  <si>
    <t>WIOM PDO Wifi router</t>
  </si>
  <si>
    <t>C122/2223/378</t>
  </si>
  <si>
    <t>Stag International</t>
  </si>
  <si>
    <t>TT Table</t>
  </si>
  <si>
    <t>IN-642</t>
  </si>
  <si>
    <t>Stag Active Series Premium Table Tennis (T.T) Table</t>
  </si>
  <si>
    <t>UNI/1602/22-23</t>
  </si>
  <si>
    <t>Tp Link Archer C-20, Isp</t>
  </si>
  <si>
    <t>Ramesh enterprises</t>
  </si>
  <si>
    <t>VOLTAS SPLIT AC 184V DAZA</t>
  </si>
  <si>
    <t>DEL4-637234</t>
  </si>
  <si>
    <t>HP Victus Latest AMD Ryzen 7-5800H Processor 16.1 inch(40.9 cm) FHD Gaming Laptop</t>
  </si>
  <si>
    <t>C122/2223/1214</t>
  </si>
  <si>
    <t>DEL4-674240</t>
  </si>
  <si>
    <t>DEL4-674286</t>
  </si>
  <si>
    <t>Tirupati Biz Link LLP</t>
  </si>
  <si>
    <t>FAH4552300098722</t>
  </si>
  <si>
    <t>ASUS TUF Gaming F15 Core i5 10th Gen - (8 GB/512 GB SSD/Windows 10) Gaming laptop</t>
  </si>
  <si>
    <t>UNI/1918/22-23</t>
  </si>
  <si>
    <t>UNI/2049/22-23</t>
  </si>
  <si>
    <t>UNI/2157/22-23</t>
  </si>
  <si>
    <t>Vending updates india pvt. Ltd.</t>
  </si>
  <si>
    <t>Water Dispenser</t>
  </si>
  <si>
    <t>IN-169</t>
  </si>
  <si>
    <t>Atlantis Plastic 3 L Hot and Cold Water Dispenser (White and Blue)</t>
  </si>
  <si>
    <t>C122/2223/1610</t>
  </si>
  <si>
    <t>UNI/2451/22-23</t>
  </si>
  <si>
    <t>TTL Infotec Pvt Ltd- 07</t>
  </si>
  <si>
    <t>PNQ2-396</t>
  </si>
  <si>
    <t>Lenovo ThinkBook 14 Intel Core i5 11th Gen 14" (35.56cm) FHD IPS Thin &amp; Light Laptop</t>
  </si>
  <si>
    <t>FAH4552300130983</t>
  </si>
  <si>
    <t>Asus i5 10th gen 8gb 512gb</t>
  </si>
  <si>
    <t>UNI/2635/22-23</t>
  </si>
  <si>
    <t>GX/G/22-23/193</t>
  </si>
  <si>
    <t>Earth 1000R MFG</t>
  </si>
  <si>
    <t>Gita enterprises</t>
  </si>
  <si>
    <t>Chair</t>
  </si>
  <si>
    <t>Table 1200*600*750</t>
  </si>
  <si>
    <t>Table 5910*600*750</t>
  </si>
  <si>
    <t>Overhead storage+Freight</t>
  </si>
  <si>
    <t>C122/2223/2267</t>
  </si>
  <si>
    <t>SY-GPON-1000R-DON’T + ADAPTOR-12V-0.5A</t>
  </si>
  <si>
    <t>TTL Infotec Pvt Ltd- 36</t>
  </si>
  <si>
    <t>HYD8-595</t>
  </si>
  <si>
    <t>Lenovo ThinkBook 14 Intel Core i5 11th Gen 14"</t>
  </si>
  <si>
    <t>DEL4-923252</t>
  </si>
  <si>
    <t>Lenovo IdeaPad Slim 3 10th Gen Intel Core i3 15.6" FHD</t>
  </si>
  <si>
    <t>Net Distribution Services Pvt Ltd</t>
  </si>
  <si>
    <t>LWH2022/23-01249</t>
  </si>
  <si>
    <t>Lenovo thinpad L14 Gen 2</t>
  </si>
  <si>
    <t>C122/2223/2692</t>
  </si>
  <si>
    <t>NAPOLEAN AC 2TON NAP24C 53/OC 2STAR OUTDOOR</t>
  </si>
  <si>
    <t>VOLTAS SPLIT AC 243V EAZS 2T 3STAR</t>
  </si>
  <si>
    <t>Television &amp; LED</t>
  </si>
  <si>
    <t>Infiniti Retail Ltd</t>
  </si>
  <si>
    <t>XNAI-8520</t>
  </si>
  <si>
    <t>Croma 140 cm (55 Inches) 4K Ultra HD Smart LED TV</t>
  </si>
  <si>
    <t>Systech It Solutions pvt ltd</t>
  </si>
  <si>
    <t>BLR7-4430</t>
  </si>
  <si>
    <t>Lenovo ThinkBook 13s Intel 11th Gen Core i7 13.3"(33.78 cm) WQXGA</t>
  </si>
  <si>
    <t>DEL4-1304365</t>
  </si>
  <si>
    <t>Lenovo IdeaPad Slim 3 Intel Core i3 10th Gen 15.6" (39.62cm) FHD Thin &amp; Light Laptop</t>
  </si>
  <si>
    <t>Infiniti Retail Ltd - Croma</t>
  </si>
  <si>
    <t>XNAI-8518</t>
  </si>
  <si>
    <t xml:space="preserve">Croma Ultra Smart LED TV </t>
  </si>
  <si>
    <t>Prince IT World</t>
  </si>
  <si>
    <t>QSE7-2730</t>
  </si>
  <si>
    <t>Shri Hari International</t>
  </si>
  <si>
    <t>Outdoor Armchair</t>
  </si>
  <si>
    <t>IN-116</t>
  </si>
  <si>
    <t>Demiwall Wooden Arm Sofa Chair for Living Room | Armchair for Outdoor &amp; Balcony</t>
  </si>
  <si>
    <t>DEL4-1340248</t>
  </si>
  <si>
    <t>TP-Link AC750 Dual Band Wireless Cable Router, 4 10/100 LAN + 10/100 WAN Ports, Support Guest Network and Parental Control, 750Mbps Speed Wi-Fi, 3 Antennas (Archer C20)</t>
  </si>
  <si>
    <t>CMPL Computronics Multivision Private Limited_x000D_</t>
  </si>
  <si>
    <t>TDMN-97</t>
  </si>
  <si>
    <t>HP Pavilion (2021) Intel 11th Gen Core i5, 16 GB RAM, 2GB NVIDIA Graphics, 512GB SSD, 15.6 inches FHD Screen</t>
  </si>
  <si>
    <t>UNI/4099/22-23</t>
  </si>
  <si>
    <t>UNI/4136/22-23</t>
  </si>
  <si>
    <t>QSE7-2920</t>
  </si>
  <si>
    <t>Lenovo ThinkBook 15 Intel 11th Gen Core i5 15.6"</t>
  </si>
  <si>
    <t>Standard Information services pvt. Ltd.</t>
  </si>
  <si>
    <t>Sofa Set</t>
  </si>
  <si>
    <t>IN-1495</t>
  </si>
  <si>
    <t>Furny Altamon Fabric 2 Seater Sofa Set (Dark Grey)</t>
  </si>
  <si>
    <t>Brown bench</t>
  </si>
  <si>
    <t>Table</t>
  </si>
  <si>
    <t>Café table</t>
  </si>
  <si>
    <t>C122/2223/4729</t>
  </si>
  <si>
    <t>DEL5-1534227</t>
  </si>
  <si>
    <t>ASUS VivoBook 14 (2021) Intel Core i3-1005G1 10th Gen 14 inches</t>
  </si>
  <si>
    <t>DEL4-1398867</t>
  </si>
  <si>
    <t>C122/2223/5659</t>
  </si>
  <si>
    <t>Appario Retail Private Ltd- 08</t>
  </si>
  <si>
    <t>SJAC-437991</t>
  </si>
  <si>
    <t>ASUS VivoBook 14 (2021) Intel Core</t>
  </si>
  <si>
    <t>C122/2223/6369</t>
  </si>
  <si>
    <t>UNI/6019/22-23</t>
  </si>
  <si>
    <t>UNI/6185/22-23</t>
  </si>
  <si>
    <t>UNI/6186/22-23</t>
  </si>
  <si>
    <t>C122/2223/6753</t>
  </si>
  <si>
    <t>Appario Retail Private Ltd- 09</t>
  </si>
  <si>
    <t>LKO1-2348985</t>
  </si>
  <si>
    <t>ASUS VivoBook 14 (2021) Intel Core i3-1005G1 10th</t>
  </si>
  <si>
    <t>LKO1-2348987</t>
  </si>
  <si>
    <t>Go IP Global services pvt. Ltd.</t>
  </si>
  <si>
    <t>C122/2223/6823</t>
  </si>
  <si>
    <t>ADAPTOR-12V-0.5A</t>
  </si>
  <si>
    <t>UNI/6383/22-23</t>
  </si>
  <si>
    <t>Appario Retail Private Ltd- 33</t>
  </si>
  <si>
    <t>MAA4-1806647</t>
  </si>
  <si>
    <t>ASUS TUF Gaming A15, 15.6" (39.62 cms)</t>
  </si>
  <si>
    <t>FAH4552300308490</t>
  </si>
  <si>
    <t>ASUS TUF Gaming F15</t>
  </si>
  <si>
    <t>Sss Plus Pvt Ltd</t>
  </si>
  <si>
    <t>11</t>
  </si>
  <si>
    <t>SYROTECH 2010 ONT DUAL BAND</t>
  </si>
  <si>
    <t>DEL4-2343253</t>
  </si>
  <si>
    <t>Prasanna Shetty</t>
  </si>
  <si>
    <t>2 - Invoice Not Available</t>
  </si>
  <si>
    <t>C122/2223/7397</t>
  </si>
  <si>
    <t>UNI/6893/22-23</t>
  </si>
  <si>
    <t>Tp Link Router Archer C-20</t>
  </si>
  <si>
    <t>DEL5-2368074</t>
  </si>
  <si>
    <t>DEL5-2380723</t>
  </si>
  <si>
    <t>DEL5-2384795</t>
  </si>
  <si>
    <t>UNI/7107/22-23</t>
  </si>
  <si>
    <t>C122/2223/7913</t>
  </si>
  <si>
    <t>C122/2223/8304</t>
  </si>
  <si>
    <t>Eastern Logica Infoway Limited</t>
  </si>
  <si>
    <t>FAILVZ2300000606</t>
  </si>
  <si>
    <t>ASUS Vivobook 14 Core i3 11th gen</t>
  </si>
  <si>
    <t>Shree Maruti Electronics</t>
  </si>
  <si>
    <t>FABXOT2300001979</t>
  </si>
  <si>
    <t>ASUS Vivobook 14 Core i3 11th Gen</t>
  </si>
  <si>
    <t>DEL5-437903</t>
  </si>
  <si>
    <t>Samsung Galaxy M13</t>
  </si>
  <si>
    <t>DEL5-2644329</t>
  </si>
  <si>
    <t>ASUS VivoBook 14 (2021), Intel Core</t>
  </si>
  <si>
    <t>Gopal Electronics</t>
  </si>
  <si>
    <t>FAHV6N2300000703</t>
  </si>
  <si>
    <t>Lenovo Thinkbook Core i5 11th Gen -</t>
  </si>
  <si>
    <t>FAHV6N2300000702</t>
  </si>
  <si>
    <t>Lenovo Thinkbook Core i5 11th Gen</t>
  </si>
  <si>
    <t>C122/2223/8987</t>
  </si>
  <si>
    <t>UNI/8236/22-23</t>
  </si>
  <si>
    <t>Gizmo Trendz Pvt Ltd</t>
  </si>
  <si>
    <t>GZ/22-23/287</t>
  </si>
  <si>
    <t>Asus LAPTOP X415JABV320WS i3 10th/8 GB/1 TB /256 GB/Windows 11/office with bag</t>
  </si>
  <si>
    <t>UNI/8510/22-23</t>
  </si>
  <si>
    <t>UNI/8699/22-23</t>
  </si>
  <si>
    <t>UNI/8869/22-23</t>
  </si>
  <si>
    <t>Contec Systems</t>
  </si>
  <si>
    <t>2022-23/02179</t>
  </si>
  <si>
    <t>ASUS LAPTOP X415JA-EK324WS</t>
  </si>
  <si>
    <t>UNI/8951/22-23</t>
  </si>
  <si>
    <t>QSHK-5087</t>
  </si>
  <si>
    <t>Dell Professional 27 inches, 1920 x 1080 pixels</t>
  </si>
  <si>
    <t>QSHK-5090</t>
  </si>
  <si>
    <t>QSHK-5086</t>
  </si>
  <si>
    <t>QSHK-5088</t>
  </si>
  <si>
    <t>2022-23/02254</t>
  </si>
  <si>
    <t>Asus Laptop FX506LHB-HN355W</t>
  </si>
  <si>
    <t>UNI/9454/22-23</t>
  </si>
  <si>
    <t>UNI/9498/22-23</t>
  </si>
  <si>
    <t>2022-23/02274</t>
  </si>
  <si>
    <t>UNI/9780/22-23</t>
  </si>
  <si>
    <t>2022-23/02302</t>
  </si>
  <si>
    <t>Lenovo thinkpad 15G-4</t>
  </si>
  <si>
    <t>Dell 27" monitor</t>
  </si>
  <si>
    <t>23-24</t>
  </si>
  <si>
    <t>UNI/10618/23-24</t>
  </si>
  <si>
    <t>2022-23/02353</t>
  </si>
  <si>
    <t>REDMI 10A(4+64gb)</t>
  </si>
  <si>
    <t>Gyan Power System</t>
  </si>
  <si>
    <t>HUPS SW LG 2300/24V Liveguard</t>
  </si>
  <si>
    <t>IT 1342ST Livguard 135 Ah</t>
  </si>
  <si>
    <t>UNI/9934/22-23</t>
  </si>
  <si>
    <t>Cybercity Extreme Broadband Pvt. Ltd.</t>
  </si>
  <si>
    <t>22-23/Jan/01</t>
  </si>
  <si>
    <t>Magic Box</t>
  </si>
  <si>
    <t>UNI/10491/22-23</t>
  </si>
  <si>
    <t>ONT-Optical Network Terminal</t>
  </si>
  <si>
    <t>GX/G/23-24/0484</t>
  </si>
  <si>
    <t>Earth-2022</t>
  </si>
  <si>
    <t>2022-23/02471</t>
  </si>
  <si>
    <t>C122/2324/12695</t>
  </si>
  <si>
    <t>2022-23/02510</t>
  </si>
  <si>
    <t>UNI/10733/22-23</t>
  </si>
  <si>
    <t>2022-23/02610</t>
  </si>
  <si>
    <t>2022-23/02706</t>
  </si>
  <si>
    <t xml:space="preserve">Computronics
</t>
  </si>
  <si>
    <t/>
  </si>
  <si>
    <t>Monitor - LG Ultrawide 29" screen</t>
  </si>
  <si>
    <t>2022-23/02780</t>
  </si>
  <si>
    <t>ASUS LAPTOP X515JA-EJ382WS</t>
  </si>
  <si>
    <t>HP PAVILLION 14-DV2053TU+ASUS LAPTOP X515JA-EJ382WS</t>
  </si>
  <si>
    <t>UNI/12080/22-23</t>
  </si>
  <si>
    <t>2022-23/02905</t>
  </si>
  <si>
    <t>27" DELL Monitor S2721HNM</t>
  </si>
  <si>
    <t>2022-23/02909</t>
  </si>
  <si>
    <t>2022-23/02965</t>
  </si>
  <si>
    <t>2022-23/03051</t>
  </si>
  <si>
    <t>HP LAPTOP 15S-FQ5111TU</t>
  </si>
  <si>
    <t>Apple India  Private Limited</t>
  </si>
  <si>
    <t>9222000001670209</t>
  </si>
  <si>
    <t>MAC MINI/8C CPU/10C GPU/8GB/256GB</t>
  </si>
  <si>
    <t>Gita Enterprise</t>
  </si>
  <si>
    <t>2023-24/00051</t>
  </si>
  <si>
    <t>Asus Laptop FX506LHB-HN355WS</t>
  </si>
  <si>
    <t>HP 15S-EY2000AU-536C1PA</t>
  </si>
  <si>
    <t>UNI/345/23-24</t>
  </si>
  <si>
    <t>Tp Lik Router Archer C -20</t>
  </si>
  <si>
    <t>UNI/588/23-24</t>
  </si>
  <si>
    <t>2023-24/00159</t>
  </si>
  <si>
    <t>HP Pavilion  14-DV2014TU</t>
  </si>
  <si>
    <t>2023-24/00266</t>
  </si>
  <si>
    <t>ASUS Laptop FX506LHB-HN355W</t>
  </si>
  <si>
    <t>DEL5-343955</t>
  </si>
  <si>
    <t>Apple 2022 MacBook Air Laptop with M2 chip:</t>
  </si>
  <si>
    <t>DEL4-303047</t>
  </si>
  <si>
    <t>Canon PIXMA G3000 Wi-Fi Mono/Colour printer</t>
  </si>
  <si>
    <t>UNI/1164/23-24</t>
  </si>
  <si>
    <t>Sodexo SVC India Private Limited</t>
  </si>
  <si>
    <t>Adjustment</t>
  </si>
  <si>
    <t>UNI/1170/23-24</t>
  </si>
  <si>
    <t>Mass technology</t>
  </si>
  <si>
    <t>Server Rack</t>
  </si>
  <si>
    <t>IN-30</t>
  </si>
  <si>
    <t>MASS RACK 27U 600X600mm Network Rack with PDU</t>
  </si>
  <si>
    <t>GZ/23-24/345</t>
  </si>
  <si>
    <t>Lenovo Thinkpad 13S G2</t>
  </si>
  <si>
    <t>2023-24/00366</t>
  </si>
  <si>
    <t>DELL INS 3515(RYZEN 3/8GB/256/ SSD</t>
  </si>
  <si>
    <t>Telephone &amp; Mobiles</t>
  </si>
  <si>
    <t>DEL5-563770</t>
  </si>
  <si>
    <t>Samsung Galaxy S20 FE 5G (Cloud Navy, 8GB RAM, 128gb)</t>
  </si>
  <si>
    <t>2023-24/00410</t>
  </si>
  <si>
    <t>DELL VOS 3405 (R3/8GB/512GB)</t>
  </si>
  <si>
    <t>2023-24/00438</t>
  </si>
  <si>
    <t>HP OMEN 16-N0049AX</t>
  </si>
  <si>
    <t>2023-24/00525</t>
  </si>
  <si>
    <t>Corsair Vengence 16GB 3200Mhz+GV N1656OC-4GD D6+ AMD CPU RYZEN 7 5800X CPU +B550 DS3H GIGABYTE +SMPS C/M 750W + HDD 1TB +SSD WD 500 GB +ANT Esport Chassis ICE 250 AIR BL+SAMSUNG 22" LF22T350FHWXXL+CPU COOLER C.M HYPER 212 LED TURB+ZEBRONICS KEYBOARD/MOUSE COMBO</t>
  </si>
  <si>
    <t>Savex Technologies Private Limited- 06</t>
  </si>
  <si>
    <t>DEL5-80021</t>
  </si>
  <si>
    <t>Samsung Galaxy M04 Dark Blue, 4GB RAM, 128 gb storage</t>
  </si>
  <si>
    <t>UNI/2493/23-24</t>
  </si>
  <si>
    <t>UNI/2599/23-24</t>
  </si>
  <si>
    <t>Nesco Infosystem Pvt Ltd-06</t>
  </si>
  <si>
    <t>DEL5-124</t>
  </si>
  <si>
    <t>ASUS Vivobook 14 2022, Intel Core i3-1115G4 11th Gen</t>
  </si>
  <si>
    <t xml:space="preserve">ONU-Optical Network Unit </t>
  </si>
  <si>
    <t>C122/2324/2747</t>
  </si>
  <si>
    <t>UNI/2718/23-24</t>
  </si>
  <si>
    <t>DEL5-142</t>
  </si>
  <si>
    <t>ASUS Vivobook 14 2022, Intel Core i3-1115G4 11th Gen,14"</t>
  </si>
  <si>
    <t>Del5-156</t>
  </si>
  <si>
    <t>ASUS Vivobook 14 2022, Intel Core i3-1115G4 11th Gen, 14" (35.56 cms) FHD, Thin &amp; Light Laptop</t>
  </si>
  <si>
    <t>Appario Retail Private Ltd- 27</t>
  </si>
  <si>
    <t>BOM7-539962</t>
  </si>
  <si>
    <t>Apple 2022 MacBook Air Laptop with M2 chip</t>
  </si>
  <si>
    <t>The C and H Group</t>
  </si>
  <si>
    <t>DEX3-1261_x000D_</t>
  </si>
  <si>
    <t>Nokia 3.1 (Black, 32GB)</t>
  </si>
  <si>
    <t>2023-24/00730</t>
  </si>
  <si>
    <t>27" DELL MONITOR S2721HNM</t>
  </si>
  <si>
    <t>C122/2324/3046</t>
  </si>
  <si>
    <t>C122/2324/3030</t>
  </si>
  <si>
    <t>UNI/3014/23-24</t>
  </si>
  <si>
    <t>Nesco Infosystem Pvt Ltd-27</t>
  </si>
  <si>
    <t>BOM5-40</t>
  </si>
  <si>
    <t>BOM5-41</t>
  </si>
  <si>
    <t>C122/2324/3455</t>
  </si>
  <si>
    <t>UNI/3426/23-24</t>
  </si>
  <si>
    <t>DEL5-173</t>
  </si>
  <si>
    <t>ASUS Vivobook 14 2022, Intel Core i3-1115G4 11th gen 14"</t>
  </si>
  <si>
    <t>UNI/3679/23-24</t>
  </si>
  <si>
    <t>Blue Star Computers-23</t>
  </si>
  <si>
    <t>SIDA-370</t>
  </si>
  <si>
    <t>Dell Professional 27 inches, 1920 x 1080 Pixels Full HD Monitor</t>
  </si>
  <si>
    <t>SIDA-371</t>
  </si>
  <si>
    <t>Darshita Aashiyana Pvt. Ltd.-06</t>
  </si>
  <si>
    <t>DEL5-761063</t>
  </si>
  <si>
    <t>realme narzo N55 (Prime Blue, 4GB+64GB) 33W Segment</t>
  </si>
  <si>
    <t>realme narzo 50i Prime (Dark Blue 4GB RAM+64GB Storage)</t>
  </si>
  <si>
    <t>2023-24/00928</t>
  </si>
  <si>
    <t>Lenovo thinkpad e-14/i5/16gb/1tb</t>
  </si>
  <si>
    <t>DEL5-1463013</t>
  </si>
  <si>
    <t>TP-Link Wi-Fi 6 AX3000 PCIe WiFi Card | Bluetooth 5.0</t>
  </si>
  <si>
    <t>BOM5-60</t>
  </si>
  <si>
    <t>LKO1-1127521</t>
  </si>
  <si>
    <t>Savex Technologies Private Limited- 29</t>
  </si>
  <si>
    <t>BLR8-37988</t>
  </si>
  <si>
    <t>Samsung Galaxy M13 (Midnight Blue, 6GB, 128GB Storage)</t>
  </si>
  <si>
    <t>Darshita Aashiyana Pvt. Ltd.-29</t>
  </si>
  <si>
    <t>BLR8-185403</t>
  </si>
  <si>
    <t>Samsung Galaxy M13 (Midnight Blue, 6GB, 128GB Storage) | 6000mAh Battery</t>
  </si>
  <si>
    <t>DEL5-897714</t>
  </si>
  <si>
    <t>Splicer Machine &amp; EAP 610 Access Point Ceiling Mount</t>
  </si>
  <si>
    <t>Splicer Machine</t>
  </si>
  <si>
    <t>Gaatha Industries</t>
  </si>
  <si>
    <t>Fusion Splicer</t>
  </si>
  <si>
    <t>IN-18</t>
  </si>
  <si>
    <t>Fujikura 28S+ Single Fiber Fusion Splicer (Black)</t>
  </si>
  <si>
    <t>Nesco Infosystem Private Limited-24</t>
  </si>
  <si>
    <t>AMD2-225</t>
  </si>
  <si>
    <t>ASUS Vivobook 14, Intel Core i3-1115G4 11th Gen, 14"</t>
  </si>
  <si>
    <t>Dawntech electronics Pvt. Ltd.</t>
  </si>
  <si>
    <t>SBOB-132045</t>
  </si>
  <si>
    <t>Acer 164 cm (65 inches) I Series 4K Ultra HD Android SMART TV</t>
  </si>
  <si>
    <t>C122/2324/4741</t>
  </si>
  <si>
    <t>SY-GPON-2010R2-WADONT</t>
  </si>
  <si>
    <t>FDLC-40519</t>
  </si>
  <si>
    <t>Vivo Y02t (Sunset Gold, 4GB RAM, 64GB Storage)</t>
  </si>
  <si>
    <t>Darshita Aashiyana Pvt. Ltd.-09</t>
  </si>
  <si>
    <t>LKO1-354507</t>
  </si>
  <si>
    <t>realme narzo 50A (Oxygen Green , 4GB RAM + 128 GB</t>
  </si>
  <si>
    <t>Retailkart  Ventures Pvt. Limited</t>
  </si>
  <si>
    <t>DEX3-1143</t>
  </si>
  <si>
    <t>Poco M2 Reloaded (Greyish Black, 64 GB) (4 GB RAM)</t>
  </si>
  <si>
    <t>DEL5-953059</t>
  </si>
  <si>
    <t>realme narzo 50i Prime (Dark Blue 4GB RAM+64GB Storage) Octa-core Processor</t>
  </si>
  <si>
    <t>UNI/4448/23-24</t>
  </si>
  <si>
    <t>C122/2324/4815</t>
  </si>
  <si>
    <t>GX/G/23-24/0208</t>
  </si>
  <si>
    <t>DEL5-1799616</t>
  </si>
  <si>
    <t>ASUS Vivobook 14, Intel Core i3-1115G4 11th Gen, 14" (35.56 cm) FHD, Thin and Light Laptop</t>
  </si>
  <si>
    <t>AMD2-237</t>
  </si>
  <si>
    <t>ASUS Vivobook 14, Intel Core i3-1115G4 11th Gen</t>
  </si>
  <si>
    <t>BLR7-202544</t>
  </si>
  <si>
    <t>Redmi 12C (Matte Black, 6GB RAM, 128GB Storage)</t>
  </si>
  <si>
    <t>DEL5-959735</t>
  </si>
  <si>
    <t>Redmi 12C (Matte Black, 4GB RAM, 64GB Storage)</t>
  </si>
  <si>
    <t>UNI/4594/23-24</t>
  </si>
  <si>
    <t>MaxusIT-27</t>
  </si>
  <si>
    <t>BOM5-643</t>
  </si>
  <si>
    <t>ASUS VivoBook 15, Intel Core i3-1115G4 11th Gen, 15.6"</t>
  </si>
  <si>
    <t>Netlink ICT Private Limited</t>
  </si>
  <si>
    <t>NN-23-00085</t>
  </si>
  <si>
    <t>GPON ONT - V2801 SG</t>
  </si>
  <si>
    <t>UNI/4709/23-24</t>
  </si>
  <si>
    <t>C122/2324/5383_x000D_</t>
  </si>
  <si>
    <t>UNI/4901/23-24</t>
  </si>
  <si>
    <t>EAP 610 Access Point Ceiling Mount</t>
  </si>
  <si>
    <t>UNI/4891/23-24</t>
  </si>
  <si>
    <t xml:space="preserve">C122/2324/5631_x000D_
</t>
  </si>
  <si>
    <t>C122/2324/5697_x000D_</t>
  </si>
  <si>
    <t>DEL4-1679377</t>
  </si>
  <si>
    <t>ASUS [SmartChoice] VivoBook 14, Intel Core i3-1115G4</t>
  </si>
  <si>
    <t>BOM7-1100968</t>
  </si>
  <si>
    <t>C122/2324/5797</t>
  </si>
  <si>
    <t>Futuretech Solutions</t>
  </si>
  <si>
    <t>HYD8-359</t>
  </si>
  <si>
    <t>ASUS Vivobook Go 14 (2023), AMD Ryzen 3 7320U(E1404FA-NK322WS)</t>
  </si>
  <si>
    <t>BOM5-226</t>
  </si>
  <si>
    <t>Customer- Hi-Tech Web Services (DHNPK0180E)</t>
  </si>
  <si>
    <t>Adjusment</t>
  </si>
  <si>
    <t>Lease hold Improvements</t>
  </si>
  <si>
    <t>Lease Hold Improvement</t>
  </si>
  <si>
    <t>DU/23-24/25</t>
  </si>
  <si>
    <t>WORK CONTRACT 995429(Interior work)</t>
  </si>
  <si>
    <t>Dreamz Unwired (Shilpi Jain)-07</t>
  </si>
  <si>
    <t>DU/23-24/13</t>
  </si>
  <si>
    <t>WORKSTATION+ Cartage</t>
  </si>
  <si>
    <t>2023-24/01314</t>
  </si>
  <si>
    <t>Lenovo Thinkpad e-14/i5/16gb/1tb</t>
  </si>
  <si>
    <t>UNI/5402/23-24</t>
  </si>
  <si>
    <t>Adoptor 9 Vot 1 Amp</t>
  </si>
  <si>
    <t>HP LAPTOP 15S-FR2508</t>
  </si>
  <si>
    <t xml:space="preserve">Asus Laptop </t>
  </si>
  <si>
    <t>Jamsher Ali Ahmed</t>
  </si>
  <si>
    <t>Tp Link Router Archer C-20 V5</t>
  </si>
  <si>
    <t>DU/23-24/26</t>
  </si>
  <si>
    <t>Icons</t>
  </si>
  <si>
    <t>QWS1-1278</t>
  </si>
  <si>
    <t>ASUS Zenbook S 13 OLED (2023), 1Kg Weight</t>
  </si>
  <si>
    <t>C122/2324/6487</t>
  </si>
  <si>
    <t>UNI/5876/23-24</t>
  </si>
  <si>
    <t>DU/23-24/14</t>
  </si>
  <si>
    <t>Wooden storage+Cartage</t>
  </si>
  <si>
    <t>Phonebooth</t>
  </si>
  <si>
    <t>Phone booth+Cartage</t>
  </si>
  <si>
    <t>WORKSTATION+Cartage</t>
  </si>
  <si>
    <t>C122/2324/6577</t>
  </si>
  <si>
    <t>QSHK-2092</t>
  </si>
  <si>
    <t>Dell Professional 24 inches, 1920 x 1080 Pixels Full HD monitor</t>
  </si>
  <si>
    <t>QSHK-2093</t>
  </si>
  <si>
    <t>QSHK-2094</t>
  </si>
  <si>
    <t>Appario Retail Private Ltd- 03</t>
  </si>
  <si>
    <t>ATX1-339036</t>
  </si>
  <si>
    <t>ASUS Vivobook Pro 15,AMD Ryzen 5 5600H,15.6"</t>
  </si>
  <si>
    <t>Retailez Pvt. Ltd.</t>
  </si>
  <si>
    <t>Vacuum Cleaner</t>
  </si>
  <si>
    <t>AMD2-859807</t>
  </si>
  <si>
    <t>KARCHER Wd 5 S V-25/5/22 |25 litres Stainless Steel</t>
  </si>
  <si>
    <t>Appario Retail Private Ltd- 19</t>
  </si>
  <si>
    <t>CCU1-2356885</t>
  </si>
  <si>
    <t>HP Smart Tank 529 All-in-one Colour Printer</t>
  </si>
  <si>
    <t>DU/23-24/27</t>
  </si>
  <si>
    <t>Vardhman Tele marketing</t>
  </si>
  <si>
    <t>DEL5-4206</t>
  </si>
  <si>
    <t>ASUS VivoBook 15 (2022), Intel®Core™ i3-1215U 12th gen</t>
  </si>
  <si>
    <t>DEL2-2442606</t>
  </si>
  <si>
    <t>HP Colour Laser 150nw Wireless Color Laser Printer</t>
  </si>
  <si>
    <t>UNI/6039/23-24</t>
  </si>
  <si>
    <t>C122/2324/6840</t>
  </si>
  <si>
    <t>DEL5-4374</t>
  </si>
  <si>
    <t xml:space="preserve">C122/2324/6911_x000D_
</t>
  </si>
  <si>
    <t>UNI/6165/23-24</t>
  </si>
  <si>
    <t>UNI/6163/23-24</t>
  </si>
  <si>
    <t>DEL5-4435</t>
  </si>
  <si>
    <t>2023-24/01525</t>
  </si>
  <si>
    <t>Asus laptop</t>
  </si>
  <si>
    <t>MAA4-1625965</t>
  </si>
  <si>
    <t>ASUS Vivobook 14, IntelCore i3-1215U 12th Gen, 14"</t>
  </si>
  <si>
    <t>2023-24/01544</t>
  </si>
  <si>
    <t>FDLB-174950</t>
  </si>
  <si>
    <t>UNI/6510/23-24</t>
  </si>
  <si>
    <t>UNI/6638/23-24</t>
  </si>
  <si>
    <t>FDLB-181765</t>
  </si>
  <si>
    <t>C122/2324/7800</t>
  </si>
  <si>
    <t xml:space="preserve">C122/2324/7794_x000D_
</t>
  </si>
  <si>
    <t>UNI/6981/23-24</t>
  </si>
  <si>
    <t>Cafeteria Table</t>
  </si>
  <si>
    <t>DU/23-24/18</t>
  </si>
  <si>
    <t>Cafeteria Table+Cartage</t>
  </si>
  <si>
    <t>Cafeteria Bench</t>
  </si>
  <si>
    <t>Cafeteria bench+Cartage</t>
  </si>
  <si>
    <t>Kitchen Cabinet</t>
  </si>
  <si>
    <t>Kitchen Cabinet+Cartage</t>
  </si>
  <si>
    <t>Meeting Table</t>
  </si>
  <si>
    <t>Meeting table+Cartage</t>
  </si>
  <si>
    <t>Conference Table</t>
  </si>
  <si>
    <t>Conference table+Cartage</t>
  </si>
  <si>
    <t>S V ELECTRONICS LIMITED</t>
  </si>
  <si>
    <t>FAM7U32401448853</t>
  </si>
  <si>
    <t>ASUS Zenbook 14 Flip OLED Intel H-Series Core i7 12700H 12th Gen - (16 GB/512 GB SSD/Windows 11Home) UP5401ZAKU741WS 2 in 1 Laptop</t>
  </si>
  <si>
    <t>Pavithra Kesav Industries</t>
  </si>
  <si>
    <t>OCT/055/23-24</t>
  </si>
  <si>
    <t xml:space="preserve">ADAPTOR 9V </t>
  </si>
  <si>
    <t>Customer- Classic Fiber Network</t>
  </si>
  <si>
    <t>C122/2324/8180</t>
  </si>
  <si>
    <t>UNI/7458/23-24</t>
  </si>
  <si>
    <t>Tp Link Archer C-20</t>
  </si>
  <si>
    <t>TTL Infotec Pvt Ltd- 06</t>
  </si>
  <si>
    <t>DEL5-1469</t>
  </si>
  <si>
    <t>Lenovo ThinkPad E14 Intel Core i5 12th Gen 14" FHD</t>
  </si>
  <si>
    <t>REZENT POWER ELECTRONICS PVT LTD</t>
  </si>
  <si>
    <t>RPE/23/24/153</t>
  </si>
  <si>
    <t>9.1 V 1A Power adaptor</t>
  </si>
  <si>
    <t>C122/2324/8445</t>
  </si>
  <si>
    <t>C122/2324/8446</t>
  </si>
  <si>
    <t>Appario Retail Private Ltd- 36</t>
  </si>
  <si>
    <t>HYD8-3340348</t>
  </si>
  <si>
    <t>C122/2324/8731</t>
  </si>
  <si>
    <t>DEL5-1557</t>
  </si>
  <si>
    <t>C122/2324/8826</t>
  </si>
  <si>
    <t>C122/2324/8827</t>
  </si>
  <si>
    <t>C122/2324/8828</t>
  </si>
  <si>
    <t>UNI/8127/23-24</t>
  </si>
  <si>
    <t>DU/23-24/20</t>
  </si>
  <si>
    <t>Chairs-Metal Furniture</t>
  </si>
  <si>
    <t>2023-24/01855</t>
  </si>
  <si>
    <t>HP OMEN 16-B1350TX</t>
  </si>
  <si>
    <t>RPE/23/24/168</t>
  </si>
  <si>
    <t>9.1 VOLT 1 AMP POWER ADAPTER</t>
  </si>
  <si>
    <t>Wooden Coffee Seating</t>
  </si>
  <si>
    <t>DU/23-24/22</t>
  </si>
  <si>
    <t>M S/ WOODEN COFFEE SEATING+Cartage</t>
  </si>
  <si>
    <t>Wooden Conference Table</t>
  </si>
  <si>
    <t>MS/ WOODEN CONFRANCE TABLE+Cartage</t>
  </si>
  <si>
    <t>Bunk Bed</t>
  </si>
  <si>
    <t>MSBUNK BED+Cartage</t>
  </si>
  <si>
    <t>4 Seater Sofa</t>
  </si>
  <si>
    <t>WOODEN SOFA - 4 Seater+Cartage</t>
  </si>
  <si>
    <t>C122/2324/9109</t>
  </si>
  <si>
    <t>Microwave Oven</t>
  </si>
  <si>
    <t>SBOB-349771</t>
  </si>
  <si>
    <t>LG 20 L Solo Microwave Oven (MS2043BP, Black, With HealthPlus Menu &amp; Steam Clean)</t>
  </si>
  <si>
    <t>C122/2324/9293</t>
  </si>
  <si>
    <t>DEL4-2944182</t>
  </si>
  <si>
    <t>Nov/065/23-24</t>
  </si>
  <si>
    <t>C122/2324/9488</t>
  </si>
  <si>
    <t>DEL5-4025671</t>
  </si>
  <si>
    <t>C122/2324/9573</t>
  </si>
  <si>
    <t>C122/2324/9576</t>
  </si>
  <si>
    <t>BLR7-3085345</t>
  </si>
  <si>
    <t>HP Victus Gaming Laptop, 12th Gen i5</t>
  </si>
  <si>
    <t>DEL4-3030570</t>
  </si>
  <si>
    <t>DEL5-1742</t>
  </si>
  <si>
    <t>Lenovo ThinkPad E14 Intel Core i5 12th Gen 14" FHD Thin and Light Laptop</t>
  </si>
  <si>
    <t>DEL5-4148109</t>
  </si>
  <si>
    <t>ASUS Vivobook 15 OLED (2023), Intel Core i5</t>
  </si>
  <si>
    <t>DEL5-2672187</t>
  </si>
  <si>
    <t>MI Xiaomi Smart Air Purifier 4 Lite</t>
  </si>
  <si>
    <t>DEL5-2675466</t>
  </si>
  <si>
    <t>Philips Ac1215/20 Air Purifier</t>
  </si>
  <si>
    <t>DEL4-3368843</t>
  </si>
  <si>
    <t>Appario Retail Pvt Ltd- 29</t>
  </si>
  <si>
    <t>BLR8-3309867</t>
  </si>
  <si>
    <t>LG 68.58 Cm (27 Inch) (68.58 Cm) 4K-UHD</t>
  </si>
  <si>
    <t>C122/2324/9981</t>
  </si>
  <si>
    <t>DU/23-24/28</t>
  </si>
  <si>
    <t>DU/23-24/29</t>
  </si>
  <si>
    <t>C122/2324/10127</t>
  </si>
  <si>
    <t>C122/2324/10138</t>
  </si>
  <si>
    <t>Nov/072/23-24</t>
  </si>
  <si>
    <t>UNI/9390/23-24</t>
  </si>
  <si>
    <t>DU/23-24/32</t>
  </si>
  <si>
    <t>M S / WOODEN STORAGE 94032090</t>
  </si>
  <si>
    <t>C122/2324/10625</t>
  </si>
  <si>
    <t>UNI/9659/23-24</t>
  </si>
  <si>
    <t>C122/2324/10904</t>
  </si>
  <si>
    <t>UNI/9877/23-24</t>
  </si>
  <si>
    <t>C122/2324/11040</t>
  </si>
  <si>
    <t>C122/2324/11036</t>
  </si>
  <si>
    <t>C122/2324/11121</t>
  </si>
  <si>
    <t>C122/2324/11122</t>
  </si>
  <si>
    <t>UNI/10023/23-24</t>
  </si>
  <si>
    <t>C122/2324/11252</t>
  </si>
  <si>
    <t>DEL5-4633737</t>
  </si>
  <si>
    <t>BOM7-2567288</t>
  </si>
  <si>
    <t>ASUS Vivobook 14, IntelCore i3-1215U 12th Gen, 14" (35.56 cm) FHD, Thin and Light Laptop</t>
  </si>
  <si>
    <t>C122/2324/11550</t>
  </si>
  <si>
    <t>C122/2324/11668</t>
  </si>
  <si>
    <t>C122/2324/11667</t>
  </si>
  <si>
    <t>UNI/10340/23-24</t>
  </si>
  <si>
    <t>UNI/10376/23-24</t>
  </si>
  <si>
    <t>Dec/079/23-24</t>
  </si>
  <si>
    <t>Appario Retail Private Ltd- 24</t>
  </si>
  <si>
    <t>AMD2-3082290</t>
  </si>
  <si>
    <t>2023-24/02241</t>
  </si>
  <si>
    <t>UX5304VA-NQ541WS</t>
  </si>
  <si>
    <t>C122/2324/11785</t>
  </si>
  <si>
    <t>Netlink Computer- 07</t>
  </si>
  <si>
    <t>IN-139</t>
  </si>
  <si>
    <t>DEL4-3528070</t>
  </si>
  <si>
    <t>C122/2324/11873</t>
  </si>
  <si>
    <t>C122/2324/11966</t>
  </si>
  <si>
    <t>2023-24/02296</t>
  </si>
  <si>
    <t>HYD8-4378713</t>
  </si>
  <si>
    <t>OnePlus Pad Go 28.85cm (11.35 inch) 2.4K 7:5</t>
  </si>
  <si>
    <t>JPX2-744518</t>
  </si>
  <si>
    <t>Redmi Pad | MediaTek Helio G99 | 26.95cm(10.61 inch) 2K Resolution &amp; 90Hz Refresh RateDisplay</t>
  </si>
  <si>
    <t>2023-24/02303</t>
  </si>
  <si>
    <t>Ball Cabinet with SMPS/Intel CPU/Graphic card/DELL LED/H610 S2(DDR4)/Logitech keyboard/Logitech mouse/TP Link/RAM 16GB DDR4/SSD 500GB
4 PC with 8 DelL Monitors</t>
  </si>
  <si>
    <t>C122/2324/12053</t>
  </si>
  <si>
    <t>C122/2324/12087</t>
  </si>
  <si>
    <t>J C Biotech- 29</t>
  </si>
  <si>
    <t>VPGH-1139</t>
  </si>
  <si>
    <t>Dell Professional 24 inches, 1920 x 1080 Pixels</t>
  </si>
  <si>
    <t>C122/2324/12263</t>
  </si>
  <si>
    <t>C122/2324/12343</t>
  </si>
  <si>
    <t>C122/2324/12434</t>
  </si>
  <si>
    <t>C122/2324/12488</t>
  </si>
  <si>
    <t>LKO1-4056620</t>
  </si>
  <si>
    <t>ASUS Vivobook 14, IntelCore i3-1215U 12th Gen</t>
  </si>
  <si>
    <t>C122/2324/12510</t>
  </si>
  <si>
    <t>UNI/11326/23-24</t>
  </si>
  <si>
    <t>C122/2324/12629</t>
  </si>
  <si>
    <t>UNI/11525/23-24</t>
  </si>
  <si>
    <t>C122/2324/12832</t>
  </si>
  <si>
    <t>C122/2324/12906</t>
  </si>
  <si>
    <t>C122/2324/13043</t>
  </si>
  <si>
    <t>SBOB-461847</t>
  </si>
  <si>
    <t>Godrej 180 L 4 Star Turbo Cooling Technology Refrigerator</t>
  </si>
  <si>
    <t>UNI/11824/23-24</t>
  </si>
  <si>
    <t>LKO1-4271763</t>
  </si>
  <si>
    <t>Lenovo IdeaPad Flex 5 Intel Core i5-1235U 14"</t>
  </si>
  <si>
    <t>RPE/23/24/262</t>
  </si>
  <si>
    <t>Shinsei Digital Technology</t>
  </si>
  <si>
    <t>SDT/23-24/745</t>
  </si>
  <si>
    <t>C122/2324/13356</t>
  </si>
  <si>
    <t>C122/2324/13402</t>
  </si>
  <si>
    <t>GX/G/23-24/0502</t>
  </si>
  <si>
    <t>C122/2324/13458</t>
  </si>
  <si>
    <t>C122/2324/13541</t>
  </si>
  <si>
    <t>C122/2324/13542</t>
  </si>
  <si>
    <t>BOM7-3019428</t>
  </si>
  <si>
    <t>C122/2324/13573</t>
  </si>
  <si>
    <t>C122/2324/13574</t>
  </si>
  <si>
    <t>C122/2324/13628</t>
  </si>
  <si>
    <t>C122/2324/13661</t>
  </si>
  <si>
    <t>C122/2324/13735</t>
  </si>
  <si>
    <t>Provision for Expenses</t>
  </si>
  <si>
    <t>DEL5-5485042</t>
  </si>
  <si>
    <t>Dell Professional 27 inches, 1920 x 1080 Pixels Full HD Monitor - Wall Mountable, Height Adjustable, IPS Panel with HDMI, VGA DP &amp; USB Ports - P2722H</t>
  </si>
  <si>
    <t>C122/2324/14002</t>
  </si>
  <si>
    <t>2023-24/02624</t>
  </si>
  <si>
    <t>GX/G/23-24/0527</t>
  </si>
  <si>
    <t>YOKART INFOTECH</t>
  </si>
  <si>
    <t>Lenovo Thinkpad e-14/i5/16gb/512GB</t>
  </si>
  <si>
    <t>DEL5-5634808</t>
  </si>
  <si>
    <t>C122/2324/14429</t>
  </si>
  <si>
    <t>UNI/12985/23-24</t>
  </si>
  <si>
    <t>Processor Inter 17-12700F
1 PC with Dell Monitor 27 Inch</t>
  </si>
  <si>
    <t>DELL 27 Inch TFT</t>
  </si>
  <si>
    <t>GX/G/23-24/0540</t>
  </si>
  <si>
    <t>DU/23-24-55</t>
  </si>
  <si>
    <t>WORK CONTRACT 995428 (CIVIL WORK)</t>
  </si>
  <si>
    <t>DU/23-24-37</t>
  </si>
  <si>
    <t>GX/G/23-24/0558</t>
  </si>
  <si>
    <t>UNI/13222/23-24</t>
  </si>
  <si>
    <t>ADAPTOR 9V 0.650MA</t>
  </si>
  <si>
    <t xml:space="preserve">ADAPTOR 12V 1.5A </t>
  </si>
  <si>
    <t>C122/2324/15108</t>
  </si>
  <si>
    <t>C122/2324/15230</t>
  </si>
  <si>
    <t>C122/2324/15360</t>
  </si>
  <si>
    <t>SDT/23-24/867</t>
  </si>
  <si>
    <t>DU/23-24-38</t>
  </si>
  <si>
    <t>Wooden Cabinet</t>
  </si>
  <si>
    <t>Wooden cabinet</t>
  </si>
  <si>
    <t>Wooden Chairs</t>
  </si>
  <si>
    <t>Wooden chairs</t>
  </si>
  <si>
    <t>C122/2324/15403</t>
  </si>
  <si>
    <t>Antec Cabinet 450w Antec SMPS + Intel Processor 17-12Generation+Gigabyte 610 Mother Board+Graphic Card 4GB +Samsung 3200 Mhz 32GB Ram+Lenovo 512GB NVME Drive +Dell Wireless KB/Mouse+TP Link 5G Wifi Dongle+Dell 27Inch TFT +Luminous 1KV Double battery UPS
5 PC with UPS and 10 Dell 27 Inch Monitor</t>
  </si>
  <si>
    <t>C122/2324/15644</t>
  </si>
  <si>
    <t>DU/23-24-58</t>
  </si>
  <si>
    <t>C122/2324/15669</t>
  </si>
  <si>
    <t>DEL4-4577752</t>
  </si>
  <si>
    <t>24-25</t>
  </si>
  <si>
    <t>UNI/017/24-25</t>
  </si>
  <si>
    <t>BOM5-23136</t>
  </si>
  <si>
    <t>ASUS Vivobook 14, IntelCore i3-1215U 12th Gen, 14" (35.56 cm) FHD</t>
  </si>
  <si>
    <t>C122/2425/110</t>
  </si>
  <si>
    <t>C122/2425/112</t>
  </si>
  <si>
    <t>C122/2425/137</t>
  </si>
  <si>
    <t>3367</t>
  </si>
  <si>
    <t>Dell System</t>
  </si>
  <si>
    <t>Gagan Jarwal - 07</t>
  </si>
  <si>
    <t>DEX3-19</t>
  </si>
  <si>
    <t>Lenovo Calling Tab M8 2nd Gen Tablet (8-inch, 2GB, 32GB, Wi-Fi + 4G LTE + Calling), Iron Grey</t>
  </si>
  <si>
    <t>Dell laptop</t>
  </si>
  <si>
    <t>C122/2425/299</t>
  </si>
  <si>
    <t>Dell International Services India Pvt Ltd</t>
  </si>
  <si>
    <t xml:space="preserve">Precision 3660 Tower CTO Base </t>
  </si>
  <si>
    <t xml:space="preserve">DELL LAPTOP + Laptop bags </t>
  </si>
  <si>
    <t>C122/2425/472</t>
  </si>
  <si>
    <t>C122/2425/513</t>
  </si>
  <si>
    <t>C122/2425/663</t>
  </si>
  <si>
    <t>3378</t>
  </si>
  <si>
    <t>Dell 27" TFT + Dell TFT Monitor</t>
  </si>
  <si>
    <t>3377</t>
  </si>
  <si>
    <t>Lenovo Laptop + Laptop Bag</t>
  </si>
  <si>
    <t>C122/2425/701</t>
  </si>
  <si>
    <t>3384</t>
  </si>
  <si>
    <t>Lenovo laptop</t>
  </si>
  <si>
    <t>UNI/904/24-25</t>
  </si>
  <si>
    <t>C122/2425/832</t>
  </si>
  <si>
    <t>ATX1-69604</t>
  </si>
  <si>
    <t>OPPO A18 (Glowing Black, 4GB RAM, 64GB Storage)</t>
  </si>
  <si>
    <t>Gravity Enterprise</t>
  </si>
  <si>
    <t>VVHF-2616</t>
  </si>
  <si>
    <t>Motorola G04 4G (Sea Green, 4GB RAM, 64GB Storage)</t>
  </si>
  <si>
    <t>Green Mobiles</t>
  </si>
  <si>
    <t>LKO1-13455</t>
  </si>
  <si>
    <t>Redmi 13C (Starshine Green, 4GB RAM, 128GB Storage)</t>
  </si>
  <si>
    <t>Plannco Steel Products Pvt.Ltd.</t>
  </si>
  <si>
    <t>Rack</t>
  </si>
  <si>
    <t>PSP/24-25/026</t>
  </si>
  <si>
    <t>SLOTTED Angle Rack</t>
  </si>
  <si>
    <t>I BARCODE SOLUTIONS</t>
  </si>
  <si>
    <t>Bar Code printer</t>
  </si>
  <si>
    <t>IBS/00042/24-25</t>
  </si>
  <si>
    <t>Citizen Barcode printer CLE 321</t>
  </si>
  <si>
    <t>C122/2425/1075</t>
  </si>
  <si>
    <t>3388</t>
  </si>
  <si>
    <t xml:space="preserve">Lenovo Thinkpad </t>
  </si>
  <si>
    <t xml:space="preserve">Dell 15-11th </t>
  </si>
  <si>
    <t xml:space="preserve"> Dell 13-12th </t>
  </si>
  <si>
    <t xml:space="preserve">asus vivobook pro </t>
  </si>
  <si>
    <t>HP Pavilion</t>
  </si>
  <si>
    <t>LKO1-14046</t>
  </si>
  <si>
    <t>Galaxy M14 5G</t>
  </si>
  <si>
    <t>3390</t>
  </si>
  <si>
    <t>Dell Laptop 13-12th 8gb/512gb</t>
  </si>
  <si>
    <t>DEL5-507136</t>
  </si>
  <si>
    <t>Apple iPhone 13 (256GB) - Starlight</t>
  </si>
  <si>
    <t>Mass Technology</t>
  </si>
  <si>
    <t>IN-23</t>
  </si>
  <si>
    <t>MASS RACK 15U 550X450mm Rack with PDU 6 Socket, 10" Tray(2 Nos),</t>
  </si>
  <si>
    <t>Airpath Wirelessnet Solutions</t>
  </si>
  <si>
    <t>IN-14</t>
  </si>
  <si>
    <t>Mikrotik Hex S Rb760Igs Router 5Xgbit LAN, 1Xpoe, 1Xsfp, 880Mhz CPU, USB - Dual Band</t>
  </si>
  <si>
    <t>Adopter</t>
  </si>
  <si>
    <t>C122/2425/1346</t>
  </si>
  <si>
    <t>ADAPTOR-12V-1.5AMP</t>
  </si>
  <si>
    <t>3395</t>
  </si>
  <si>
    <t xml:space="preserve">Dell FHD TFT 27" </t>
  </si>
  <si>
    <t>3396</t>
  </si>
  <si>
    <t xml:space="preserve">LG TFT </t>
  </si>
  <si>
    <t>C122/2425/1383</t>
  </si>
  <si>
    <t>C122/2425/1394</t>
  </si>
  <si>
    <t>UNI/1505/24-25</t>
  </si>
  <si>
    <t>C122/2425/1405</t>
  </si>
  <si>
    <t>C122/2425/1436</t>
  </si>
  <si>
    <t>3399</t>
  </si>
  <si>
    <t xml:space="preserve"> Lenovp laptop</t>
  </si>
  <si>
    <t>C122/2425/1501</t>
  </si>
  <si>
    <t>Appario Retail Private Limited</t>
  </si>
  <si>
    <t>SBOB-19909</t>
  </si>
  <si>
    <t>Epson EcoTank L3252 Wi-Fi All-in-One Ink Tank Printer</t>
  </si>
  <si>
    <t>C122/2425/1577</t>
  </si>
  <si>
    <t>GX/G/24-25/70</t>
  </si>
  <si>
    <t>UNI/1829/24-25</t>
  </si>
  <si>
    <t>3401</t>
  </si>
  <si>
    <t>3403</t>
  </si>
  <si>
    <t>Zebronics Desktop</t>
  </si>
  <si>
    <t>Dell monitor</t>
  </si>
  <si>
    <t>3402</t>
  </si>
  <si>
    <t>3408</t>
  </si>
  <si>
    <t>BHAWNA</t>
  </si>
  <si>
    <t>DEX8-12</t>
  </si>
  <si>
    <t>Dell Laptop 13-12th 8gb/512gb 1 pcs</t>
  </si>
  <si>
    <t>GX/G/24-25/103</t>
  </si>
  <si>
    <t>C122/2425/2040</t>
  </si>
  <si>
    <t>GX/G/24-25/125</t>
  </si>
  <si>
    <t>DU/24-25/01</t>
  </si>
  <si>
    <t>MS/WOODEN CABINET+Cartage</t>
  </si>
  <si>
    <t>M S / WOODEN STORAGE</t>
  </si>
  <si>
    <t>C122/2425/2309</t>
  </si>
  <si>
    <t>Lenovo thinkpad</t>
  </si>
  <si>
    <t>C122/2425/2398</t>
  </si>
  <si>
    <t>C122/2425/2426</t>
  </si>
  <si>
    <t>GX/G/24-25/153</t>
  </si>
  <si>
    <t>3431</t>
  </si>
  <si>
    <t xml:space="preserve">Lenovo thinkpad </t>
  </si>
  <si>
    <t>HP Pavilion 1 pcs</t>
  </si>
  <si>
    <t>C122/2425/2578</t>
  </si>
  <si>
    <t>GX/G/24-25/169</t>
  </si>
  <si>
    <t>C122/2425/2659</t>
  </si>
  <si>
    <t>C122/2425/2688</t>
  </si>
  <si>
    <t>DEL4-218709</t>
  </si>
  <si>
    <t>Redmi 13C 5G (Starlight Black, 4GB RAM, 128GB Storage)</t>
  </si>
  <si>
    <t>C122/2425/3009</t>
  </si>
  <si>
    <t>C122/2425/3294</t>
  </si>
  <si>
    <t>SY-GPON-A OLT</t>
  </si>
  <si>
    <t>C122/2425/3376</t>
  </si>
  <si>
    <t>DU/24-25/03</t>
  </si>
  <si>
    <t>MS/ WOODEN WORKSTATION+Cartage</t>
  </si>
  <si>
    <t>C122/2425/3489</t>
  </si>
  <si>
    <t>C122/2425/3516</t>
  </si>
  <si>
    <t>C122/2425/3596</t>
  </si>
  <si>
    <t>C122/2425/3664</t>
  </si>
  <si>
    <t>C122/2425/3823</t>
  </si>
  <si>
    <t>C122/2425/4038</t>
  </si>
  <si>
    <t>GX/G/24-25/262</t>
  </si>
  <si>
    <t>GX/G/24-25/263</t>
  </si>
  <si>
    <t>3473</t>
  </si>
  <si>
    <t>GX/G/24-25/272</t>
  </si>
  <si>
    <t>GX/G/24-25/275</t>
  </si>
  <si>
    <t>GX/G/24-25/279</t>
  </si>
  <si>
    <t>GX/G/24-25/284</t>
  </si>
  <si>
    <t>GX/G/24-25/315</t>
  </si>
  <si>
    <t>Power Adapter,100- 240V,12V 1A, White, MFG (Power Adaptor Earth – 2022 (1 Amp))</t>
  </si>
  <si>
    <t>GX/G/24-25/326</t>
  </si>
  <si>
    <t>GX/G/24-25/290</t>
  </si>
  <si>
    <t>GX/G/24-25/296</t>
  </si>
  <si>
    <t>GX/G/24-25/307</t>
  </si>
  <si>
    <t>ELECTRINNO TOPOLOGY INDUSTRIES</t>
  </si>
  <si>
    <t>ETI/24-25/140</t>
  </si>
  <si>
    <t>Power Adaptor 12V-1.5A</t>
  </si>
  <si>
    <t>3509</t>
  </si>
  <si>
    <t>Laptop - Lenovo Think book 14 I5-12th Gen/16GB Ram/512GB SSD drive@3 years premium warranty</t>
  </si>
  <si>
    <t>Dell 27 Inch FHD TFT</t>
  </si>
  <si>
    <t>Microtek 1KV UPS</t>
  </si>
  <si>
    <t>VGA Cable</t>
  </si>
  <si>
    <t>RAM</t>
  </si>
  <si>
    <t>16GB Ram DDR4 3200MHZ for Laptop</t>
  </si>
  <si>
    <t>GX/G/24-25/347</t>
  </si>
  <si>
    <t>GX/G/24-25/367</t>
  </si>
  <si>
    <t>GX/G/24-25/364</t>
  </si>
  <si>
    <t>GX/G/24-25/361</t>
  </si>
  <si>
    <t>GX/G/24-25/382</t>
  </si>
  <si>
    <t>GX/G/24-25/396</t>
  </si>
  <si>
    <t>GX/G/24-25/405</t>
  </si>
  <si>
    <t>ETI/24-25/171</t>
  </si>
  <si>
    <t>SSD+Dell monitor+Desktop+wire(Desktop)</t>
  </si>
  <si>
    <t>GX/G/24-25/433</t>
  </si>
  <si>
    <t>GX/G/24-25/419</t>
  </si>
  <si>
    <t>GX/G/24-25/438</t>
  </si>
  <si>
    <t>PRALAKSH TRADERS</t>
  </si>
  <si>
    <t>044/24-25</t>
  </si>
  <si>
    <t>HP 4 COLOUR PRINT INK</t>
  </si>
  <si>
    <t>ASUS CHARGER</t>
  </si>
  <si>
    <t>256 SSD WINDOWS INSTALLATION CHARGES</t>
  </si>
  <si>
    <t>Dell Mobile Precision Workstation 3591</t>
  </si>
  <si>
    <t>Dawntech Electronics Private Limited-27</t>
  </si>
  <si>
    <t>SBOB-170686</t>
  </si>
  <si>
    <t>Voltas 1 ton 5 Star Inverter Split AC</t>
  </si>
  <si>
    <t>GX/G/24-25/451</t>
  </si>
  <si>
    <t>GX/G/24-25/447</t>
  </si>
  <si>
    <t>ETI/24-25/214</t>
  </si>
  <si>
    <t>GX/G/24-25/465</t>
  </si>
  <si>
    <t>GX/G/24-25/443</t>
  </si>
  <si>
    <t>DAWNTECH ELECTRONICS PRIVATE LIMITED</t>
  </si>
  <si>
    <t>SBOB-143824</t>
  </si>
  <si>
    <t>Godrej 1 Ton 5 Star, 5-in-1 Convertible Cooling, Inverter Split AC</t>
  </si>
  <si>
    <t>Mohan Electronics &amp; Systems</t>
  </si>
  <si>
    <t>546</t>
  </si>
  <si>
    <t>GX/G/24-25/506</t>
  </si>
  <si>
    <t>3561</t>
  </si>
  <si>
    <t>Fiber Optical Patch code</t>
  </si>
  <si>
    <t>D-Link 2 Mtr Patch code</t>
  </si>
  <si>
    <t xml:space="preserve">Realme 12 5g phone </t>
  </si>
  <si>
    <t>Realme C63 5G</t>
  </si>
  <si>
    <t>Nylon Cable Tie</t>
  </si>
  <si>
    <t>Console cable</t>
  </si>
  <si>
    <t>TP Link 8 port Giga switch</t>
  </si>
  <si>
    <t>Client Raspberry PI-4GB Ram+SD card+Adapter</t>
  </si>
  <si>
    <t>GX/G/24-25/476</t>
  </si>
  <si>
    <t>Projector With Wall Mount</t>
  </si>
  <si>
    <t>049/24-25</t>
  </si>
  <si>
    <t>EPSON PROJECTOR EB-S-41</t>
  </si>
  <si>
    <t xml:space="preserve"> WALLMOUNT</t>
  </si>
  <si>
    <t>Amazon Internet Services Private Limited</t>
  </si>
  <si>
    <t>DED4-398863</t>
  </si>
  <si>
    <t>ASUS AX3000 Dual Band WiFi</t>
  </si>
  <si>
    <t>DED4-213</t>
  </si>
  <si>
    <t>HP Pavilion Plus</t>
  </si>
  <si>
    <t>054/24-25</t>
  </si>
  <si>
    <t>GX/G/24-25/494</t>
  </si>
  <si>
    <t>GX/G/24-25/489</t>
  </si>
  <si>
    <t>GX/G/24-25/475</t>
  </si>
  <si>
    <t>3576</t>
  </si>
  <si>
    <t>Retailez Private Limited-06</t>
  </si>
  <si>
    <t>DEL5-2408912</t>
  </si>
  <si>
    <t>ASUS Vivobook 15 Thin and Light Laptop</t>
  </si>
  <si>
    <t>A22/2425/3399</t>
  </si>
  <si>
    <t>A22/2425/3400</t>
  </si>
  <si>
    <t xml:space="preserve">Adaptor - 12V / 1.5 Amp._8504 &amp;  Power Adaptor  </t>
  </si>
  <si>
    <t>GX/G/24-25/533</t>
  </si>
  <si>
    <t>GX/G/24-25/546</t>
  </si>
  <si>
    <t>DED4-427307</t>
  </si>
  <si>
    <t>Xiaomi 4 Lite Smart Air Purifier for Home, AQI Display</t>
  </si>
  <si>
    <t>DED4-427312</t>
  </si>
  <si>
    <t>DED4-427286</t>
  </si>
  <si>
    <t>GX/G/24-25/560</t>
  </si>
  <si>
    <t>DEL5-2910778</t>
  </si>
  <si>
    <t>Honeywell Air Purifier</t>
  </si>
  <si>
    <t>DEL5-2910837</t>
  </si>
  <si>
    <t>DEL5-2910885</t>
  </si>
  <si>
    <t>Mohan and Electronics</t>
  </si>
  <si>
    <t>655</t>
  </si>
  <si>
    <t>A22/2425/3978</t>
  </si>
  <si>
    <t>A22/2425/3512</t>
  </si>
  <si>
    <t>ATX1-19613</t>
  </si>
  <si>
    <t>Samsung Galaxy M05 (Mint Green, 4GB RAM, 64 GB Storage)</t>
  </si>
  <si>
    <t>GX/G/24-25/580</t>
  </si>
  <si>
    <t>GX/G/24-25/585</t>
  </si>
  <si>
    <t>RETAILEZ PRIVATE LIMITED</t>
  </si>
  <si>
    <t>DEL5-2882618</t>
  </si>
  <si>
    <t xml:space="preserve"> Honeywell Air Purifier</t>
  </si>
  <si>
    <t xml:space="preserve"> DEL5-2771</t>
  </si>
  <si>
    <t>Qubo Smart Air Purifier - HPH05</t>
  </si>
  <si>
    <t>GX/G/24-25/595</t>
  </si>
  <si>
    <t>A22/2425/4126</t>
  </si>
  <si>
    <t>GX/G/24-25/516</t>
  </si>
  <si>
    <t>3612</t>
  </si>
  <si>
    <t>Lenovo Thinkpad</t>
  </si>
  <si>
    <t>GX/G/24-25/617</t>
  </si>
  <si>
    <t>GX/G/24-25/606</t>
  </si>
  <si>
    <t>GX/G/24-25/630</t>
  </si>
  <si>
    <t>A22/2425/4569</t>
  </si>
  <si>
    <t>A22/2425/4280</t>
  </si>
  <si>
    <t>GX/G/24-25/635</t>
  </si>
  <si>
    <t>A22/2425/4781</t>
  </si>
  <si>
    <t>GX/G/24-25/652</t>
  </si>
  <si>
    <t>A22/2425/4977</t>
  </si>
  <si>
    <t>Bankey Engineering</t>
  </si>
  <si>
    <t>BE/24-25/838</t>
  </si>
  <si>
    <t>1.5tr 3 Star Split Ac</t>
  </si>
  <si>
    <t>Glass White Board</t>
  </si>
  <si>
    <t xml:space="preserve">White Board Glass(6*4) </t>
  </si>
  <si>
    <t xml:space="preserve"> White Board Glass(2*3)</t>
  </si>
  <si>
    <t>GX/G/24-25/661</t>
  </si>
  <si>
    <t>GX/G/24-25/649</t>
  </si>
  <si>
    <t>A22/2425/5152</t>
  </si>
  <si>
    <t>GX/G/24-25/662(GXG24-25662)</t>
  </si>
  <si>
    <t>GX/G/24-25/664</t>
  </si>
  <si>
    <t>DEL4-884638</t>
  </si>
  <si>
    <t>Redmi A4 5G</t>
  </si>
  <si>
    <t>A22/2425/5608</t>
  </si>
  <si>
    <t>GX/G/24-25/683</t>
  </si>
  <si>
    <t>065/24-25(065-24-25)</t>
  </si>
  <si>
    <t>S. No. U4C26P1602990 CPU I7 12th Gen
S. No. 0200C00PNBR0138 Colorful 730- 4GB
S. No 242660066870 MB Gigabyte H610 MK
RAM Crucial 32GB DDR4, 512gb NVMe, UPS Microtek 650VA, Antec cabinet
Desktop PC</t>
  </si>
  <si>
    <t>DELL LED 27"</t>
  </si>
  <si>
    <t>A22/2425/5703</t>
  </si>
  <si>
    <t>A22/2425/5765</t>
  </si>
  <si>
    <t>GX/G/24-25/699</t>
  </si>
  <si>
    <t>A22/2425/5915</t>
  </si>
  <si>
    <t>A22/2425/5954</t>
  </si>
  <si>
    <t>GX/G/24-25/714</t>
  </si>
  <si>
    <t>072/24-25</t>
  </si>
  <si>
    <t>HP Color Laser MFP 178nw Printer (1 Year Warrenty)</t>
  </si>
  <si>
    <t>A22/2425/6131</t>
  </si>
  <si>
    <t>GX/G/24-25/727</t>
  </si>
  <si>
    <t>Dreamz Unwired (Shilpi Jain)-06</t>
  </si>
  <si>
    <t xml:space="preserve">	DU/24-25/40</t>
  </si>
  <si>
    <t>DU/24-25/51</t>
  </si>
  <si>
    <t>Racks</t>
  </si>
  <si>
    <t xml:space="preserve">S.R TRADERS	</t>
  </si>
  <si>
    <t>Storage Racks</t>
  </si>
  <si>
    <t xml:space="preserve">Slotted Ausle racks 18*48*96" </t>
  </si>
  <si>
    <t>Darshita Aashiyana Pvt Ltd</t>
  </si>
  <si>
    <t>ATX1-349241</t>
  </si>
  <si>
    <t>iQOO Neo 10R 5G (Moonknight Titanium, 8GB RAM, 128GB Storage) - Mobile Phone</t>
  </si>
  <si>
    <t>PNQ2-11904</t>
  </si>
  <si>
    <t>realme P3x 5G (Midnight Blue, 6 GB RAM + 128GB Storage)</t>
  </si>
  <si>
    <t>AMD2-609477</t>
  </si>
  <si>
    <t>Samsung Galaxy M16 5G (Thunder Black, 8GB RAM, 128 GB Storage</t>
  </si>
  <si>
    <t>AMD2-27133</t>
  </si>
  <si>
    <t>OPPO Reno13 5G (Ivory White,8 GB RAM, 128 GB Storage)</t>
  </si>
  <si>
    <t>284</t>
  </si>
  <si>
    <t>289</t>
  </si>
  <si>
    <t>A22/2425/6487</t>
  </si>
  <si>
    <t>GX/G/24-25/738</t>
  </si>
  <si>
    <t>GX/G/24-25/746</t>
  </si>
  <si>
    <t>073/24-25</t>
  </si>
  <si>
    <t>Lenovo ThinkPad E14 Gen i5/13th (RAM 16 GB &amp; SSD 512 GB</t>
  </si>
  <si>
    <t>A22/2425/6720</t>
  </si>
  <si>
    <t>GX/G/24-25/751</t>
  </si>
  <si>
    <t>313</t>
  </si>
  <si>
    <t>MACBOOK PRO</t>
  </si>
  <si>
    <t>079/24-25</t>
  </si>
  <si>
    <t>Logitech Mouse M170</t>
  </si>
  <si>
    <t>GX/G/24-25/760</t>
  </si>
  <si>
    <t>GX/G/24-25/767</t>
  </si>
  <si>
    <t>076/24-25</t>
  </si>
  <si>
    <t>HP Notebook PC Pavillion 14Dv2015T 12th Gen Intel Core i7</t>
  </si>
  <si>
    <t>323</t>
  </si>
  <si>
    <t>334</t>
  </si>
  <si>
    <t>MACBOOK PRO M4/14"/16gb/512gb</t>
  </si>
  <si>
    <t>A22/2425/7685</t>
  </si>
  <si>
    <t>A22/2425/7223</t>
  </si>
  <si>
    <t>A22/2425/7100</t>
  </si>
  <si>
    <t>A22/2425/7517</t>
  </si>
  <si>
    <t>A22/2425/7513</t>
  </si>
  <si>
    <t>GX/G/24-25/816</t>
  </si>
  <si>
    <t>GX/G/24-25/822</t>
  </si>
  <si>
    <t>A22/2425/8345</t>
  </si>
  <si>
    <t>A22/2425/7887</t>
  </si>
  <si>
    <t>GX/G/24-25/819</t>
  </si>
  <si>
    <t>GX/G/24-25/796</t>
  </si>
  <si>
    <t>GX/G/24-25/807</t>
  </si>
  <si>
    <t>1.5 TR AKABISHI AC</t>
  </si>
  <si>
    <t>Mohan Electronics - 197</t>
  </si>
  <si>
    <t>Wooden Workstation Top- Amount booked in Financials is including GST- Hence adjusted in FAR</t>
  </si>
  <si>
    <t>Wooden Pedastal - Amount booked in Financials is including GST- Hence adjusted in FAR</t>
  </si>
  <si>
    <t>Wooden Storage - 286 Sq Ft. @1400 - Amount booked in Financials is including GST- Hence adjusted in FAR</t>
  </si>
  <si>
    <t>1-II/2025-26/141</t>
  </si>
  <si>
    <t>2-II/2025-26/141</t>
  </si>
  <si>
    <t>3-II/2025-26/141</t>
  </si>
  <si>
    <t>4-II/2025-26/141</t>
  </si>
  <si>
    <t>5-II/2025-26/141</t>
  </si>
  <si>
    <t>6-II/2025-26/141</t>
  </si>
  <si>
    <t>25/26-90</t>
  </si>
  <si>
    <t>HJP-F-SI 10576</t>
  </si>
  <si>
    <t>Kent Air Purifier - ALPS PLUS UV</t>
  </si>
  <si>
    <t>Select Reporting Date&gt;&gt;&gt;&gt;&gt;&gt;</t>
  </si>
  <si>
    <t>as on</t>
  </si>
  <si>
    <t>Property, Plant and equipments</t>
  </si>
  <si>
    <t>FA Write off(Rs)</t>
  </si>
  <si>
    <t>FA Addition(Rs)</t>
  </si>
  <si>
    <t>FA Addition Qty</t>
  </si>
  <si>
    <t>Start Date</t>
  </si>
  <si>
    <t>Factor</t>
  </si>
  <si>
    <t>No of days used</t>
  </si>
  <si>
    <t>Opening</t>
  </si>
  <si>
    <t>Closing</t>
  </si>
  <si>
    <t>Salvage Value</t>
  </si>
  <si>
    <t>During the year</t>
  </si>
  <si>
    <t>Depreciation</t>
  </si>
  <si>
    <t>on Deletions</t>
  </si>
  <si>
    <t>Instructions to use sheet :</t>
  </si>
  <si>
    <r>
      <t>You may add/delete "</t>
    </r>
    <r>
      <rPr>
        <b/>
        <sz val="8"/>
        <color indexed="8"/>
        <rFont val="Daytona"/>
        <family val="2"/>
      </rPr>
      <t>column B to M"</t>
    </r>
    <r>
      <rPr>
        <sz val="8"/>
        <color indexed="8"/>
        <rFont val="Daytona"/>
        <family val="2"/>
      </rPr>
      <t xml:space="preserve"> in FA Addition Sheet</t>
    </r>
  </si>
  <si>
    <r>
      <t xml:space="preserve">You may add/delete </t>
    </r>
    <r>
      <rPr>
        <b/>
        <sz val="8"/>
        <color indexed="8"/>
        <rFont val="Daytona"/>
        <family val="2"/>
      </rPr>
      <t>"column A to F"</t>
    </r>
    <r>
      <rPr>
        <sz val="8"/>
        <color indexed="8"/>
        <rFont val="Daytona"/>
        <family val="2"/>
      </rPr>
      <t xml:space="preserve"> in FA Write off Sheet</t>
    </r>
  </si>
  <si>
    <r>
      <rPr>
        <b/>
        <sz val="8"/>
        <color indexed="8"/>
        <rFont val="Daytona"/>
        <family val="2"/>
      </rPr>
      <t>"Select Reporting Period"</t>
    </r>
    <r>
      <rPr>
        <sz val="8"/>
        <color indexed="8"/>
        <rFont val="Daytona"/>
        <family val="2"/>
      </rPr>
      <t xml:space="preserve"> in FA Schedule to generate FAR Schedule for the year.</t>
    </r>
  </si>
  <si>
    <t>Assumptions :</t>
  </si>
  <si>
    <t>Data has been updated as per last reco sent.</t>
  </si>
  <si>
    <t>Wherever Qty is blank, it is assumed as "1"</t>
  </si>
  <si>
    <t>Adjustments which are negative in figure are adjusted in relevant invoice value.</t>
  </si>
  <si>
    <t>Asset Category</t>
  </si>
  <si>
    <t>Original Cost</t>
  </si>
  <si>
    <t>TANGIBLE ASSETS</t>
  </si>
  <si>
    <t>INTANGIBLE ASSETS</t>
  </si>
  <si>
    <t>Computer Software#</t>
  </si>
  <si>
    <t>Website*</t>
  </si>
  <si>
    <t>Intangible Assets under Development</t>
  </si>
  <si>
    <t>Analytics Platform</t>
  </si>
  <si>
    <t>Technology Platform</t>
  </si>
  <si>
    <t>Computer Software</t>
  </si>
  <si>
    <t>Website</t>
  </si>
  <si>
    <t xml:space="preserve"> * Cost of Website to be written off over the maximum period allowable by AS-26 Intangible Assets i.e. 10 years on Straight line basis.</t>
  </si>
  <si>
    <t># Computer Software is written off over the estimated life of 5 years on SLM basis.</t>
  </si>
  <si>
    <t>Notes:</t>
  </si>
  <si>
    <t>Op Acc Dep</t>
  </si>
  <si>
    <t>Cl Acc Dep</t>
  </si>
  <si>
    <t>As per Financials</t>
  </si>
  <si>
    <t>Var vs Financials</t>
  </si>
  <si>
    <t>Financials</t>
  </si>
  <si>
    <t>FAR Register</t>
  </si>
  <si>
    <t>Remarks</t>
  </si>
  <si>
    <t>Variance</t>
  </si>
  <si>
    <t>Adjustment of 1,30,970/- net of dep is done in Gross block, no adj in dep in financials</t>
  </si>
  <si>
    <t>Dep of 9 yrs for Intangible assets are charged in Financials and then written off fully in CY</t>
  </si>
  <si>
    <t>Diff due to corrected WDV dep method to achieve salvage value at end of Useful life.</t>
  </si>
  <si>
    <t>Dep on 16-17 assets is not considered in 17-18 in books</t>
  </si>
  <si>
    <t>Correction of LY dep in books</t>
  </si>
  <si>
    <t>Gross Block diff due to net adjustment of 130970 in Gross block in 17-18</t>
  </si>
  <si>
    <t>Deduction is shown as net of dep in Gross block in books (on Adhoc basis)</t>
  </si>
  <si>
    <t>Deletions</t>
  </si>
  <si>
    <t>Dep is corrected as per WDV method</t>
  </si>
  <si>
    <t>No calculation is shared for Dep calculation in Financials</t>
  </si>
  <si>
    <t>Dep method for AP devices changed to SLM</t>
  </si>
  <si>
    <t>Net deletion in Gross block for FY 22-23 &amp; 17-18</t>
  </si>
  <si>
    <t>Intangible assets</t>
  </si>
  <si>
    <t>As per FAR Reco file</t>
  </si>
  <si>
    <t>FA 701 to be checked</t>
  </si>
  <si>
    <t>FA 701 deletion is more than original cost</t>
  </si>
  <si>
    <t>WDV is applied on some of Leasehold &amp; others instead of SLM</t>
  </si>
  <si>
    <t>manual adjustment in deduction of 33,747/- in Gross block total</t>
  </si>
  <si>
    <t>Gross</t>
  </si>
  <si>
    <t>To FAR</t>
  </si>
  <si>
    <t>ONL1</t>
  </si>
  <si>
    <t>DR</t>
  </si>
  <si>
    <t>CR</t>
  </si>
  <si>
    <t>As per FAR sheet</t>
  </si>
  <si>
    <t>Asset A/c     Dr   28,92,060</t>
  </si>
  <si>
    <t xml:space="preserve">   To Adjustment / Prior Period A/c   28,92,060</t>
  </si>
  <si>
    <t>Adjustment / Prior Period A/c   Dr   52,50,725</t>
  </si>
  <si>
    <t xml:space="preserve">   To Accumulated Depreciation A/c   52,50,725</t>
  </si>
  <si>
    <t>Prior period expense</t>
  </si>
  <si>
    <t>Depreciation A/c</t>
  </si>
  <si>
    <t>to dep</t>
  </si>
  <si>
    <t>acc dep</t>
  </si>
  <si>
    <t>to far</t>
  </si>
  <si>
    <t>Year</t>
  </si>
  <si>
    <t>Particular</t>
  </si>
  <si>
    <t>CONCAT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</si>
</sst>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m/d;@"/>
    <numFmt numFmtId="166" formatCode="_ * #,##0_ ;_ * \-#,##0_ ;_ * &quot;-&quot;??_ ;_ @_ "/>
    <numFmt numFmtId="167" formatCode="0.0%"/>
    <numFmt numFmtId="168" formatCode="[$-F800]dddd\,\ mmmm\ dd\,\ yyyy"/>
    <numFmt numFmtId="169" formatCode="0\ &quot;Years&quot;"/>
    <numFmt numFmtId="170" formatCode="0.000"/>
    <numFmt numFmtId="171" formatCode="m/d/yyyy"/>
    <numFmt numFmtId="172" formatCode="[$-14009]dd\ mmm\ yyyy;@"/>
    <numFmt numFmtId="173" formatCode="_(* #,##0_);_(* \(#,##0\);_(* &quot;-&quot;??_);_(@_)"/>
    <numFmt numFmtId="174" formatCode="_ * #,##0.0_ ;_ * \-#,##0.0_ ;_ * &quot;-&quot;?_ ;_ @_ 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Daytona"/>
      <family val="2"/>
    </font>
    <font>
      <sz val="9"/>
      <color indexed="8"/>
      <name val="Daytona"/>
      <family val="2"/>
    </font>
    <font>
      <b/>
      <sz val="9"/>
      <color indexed="8"/>
      <name val="Daytona"/>
      <family val="2"/>
    </font>
    <font>
      <sz val="8"/>
      <color indexed="8"/>
      <name val="Daytona"/>
      <family val="2"/>
    </font>
    <font>
      <b/>
      <sz val="8"/>
      <color indexed="8"/>
      <name val="Daytona"/>
      <family val="2"/>
    </font>
    <font>
      <sz val="11"/>
      <color theme="1"/>
      <name val="Calibri"/>
      <family val="2"/>
      <scheme val="minor"/>
    </font>
    <font>
      <sz val="8"/>
      <color theme="1"/>
      <name val="Daytona"/>
      <family val="2"/>
    </font>
    <font>
      <sz val="10"/>
      <color theme="1"/>
      <name val="Daytona Condensed"/>
      <family val="2"/>
    </font>
    <font>
      <sz val="9"/>
      <color theme="1"/>
      <name val="Daytona"/>
      <family val="2"/>
    </font>
    <font>
      <b/>
      <sz val="9"/>
      <color theme="0" tint="-4.9989318521683403E-2"/>
      <name val="Daytona"/>
      <family val="2"/>
    </font>
    <font>
      <b/>
      <sz val="9"/>
      <color theme="1" tint="0.499984740745262"/>
      <name val="Daytona"/>
      <family val="2"/>
    </font>
    <font>
      <sz val="9"/>
      <color rgb="FF333333"/>
      <name val="Daytona"/>
      <family val="2"/>
    </font>
    <font>
      <b/>
      <i/>
      <u/>
      <sz val="8"/>
      <color theme="1"/>
      <name val="Daytona"/>
      <family val="2"/>
    </font>
    <font>
      <i/>
      <sz val="9"/>
      <color theme="1" tint="0.499984740745262"/>
      <name val="Daytona"/>
      <family val="2"/>
    </font>
    <font>
      <sz val="9"/>
      <color theme="1" tint="0.499984740745262"/>
      <name val="Daytona"/>
      <family val="2"/>
    </font>
    <font>
      <b/>
      <u/>
      <sz val="9"/>
      <color theme="1" tint="0.499984740745262"/>
      <name val="Daytona"/>
      <family val="2"/>
    </font>
    <font>
      <b/>
      <u/>
      <sz val="10"/>
      <color theme="1"/>
      <name val="Daytona Condensed"/>
      <family val="2"/>
    </font>
    <font>
      <b/>
      <sz val="10"/>
      <color theme="1"/>
      <name val="Daytona Condensed"/>
      <family val="2"/>
    </font>
    <font>
      <i/>
      <sz val="8"/>
      <color rgb="FFC00000"/>
      <name val="Daytona Condensed"/>
      <family val="2"/>
    </font>
    <font>
      <b/>
      <sz val="11"/>
      <color theme="1"/>
      <name val="Calibri"/>
      <family val="2"/>
    </font>
    <font>
      <sz val="10"/>
      <color rgb="FFFF0000"/>
      <name val="Daytona Condensed"/>
      <family val="2"/>
    </font>
    <font>
      <sz val="10"/>
      <color rgb="FF0070C0"/>
      <name val="Daytona Condensed"/>
      <family val="2"/>
    </font>
    <font>
      <sz val="10"/>
      <color theme="0" tint="-0.249977111117893"/>
      <name val="Daytona Condensed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164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9" fontId="7" fillId="0" borderId="0" applyFont="0" applyFill="0" applyBorder="0" applyAlignment="0" applyProtection="0"/>
  </cellStyleXfs>
  <cellXfs count="236">
    <xf numFmtId="0" fontId="0" fillId="0" borderId="0" xfId="0"/>
    <xf numFmtId="0" fontId="8" fillId="0" borderId="0" xfId="0" applyFont="1"/>
    <xf numFmtId="0" fontId="9" fillId="2" borderId="0" xfId="0" applyFont="1" applyFill="1" applyProtection="1">
      <protection locked="0" hidden="1"/>
    </xf>
    <xf numFmtId="0" fontId="9" fillId="0" borderId="0" xfId="0" applyFont="1" applyProtection="1">
      <protection locked="0" hidden="1"/>
    </xf>
    <xf numFmtId="0" fontId="0" fillId="0" borderId="0" xfId="0" applyProtection="1">
      <protection hidden="1"/>
    </xf>
    <xf numFmtId="14" fontId="2" fillId="2" borderId="1" xfId="3" applyNumberFormat="1" applyFont="1" applyFill="1" applyBorder="1" applyAlignment="1" applyProtection="1">
      <alignment horizontal="center" vertical="center"/>
      <protection locked="0" hidden="1"/>
    </xf>
    <xf numFmtId="0" fontId="2" fillId="2" borderId="1" xfId="3" applyFont="1" applyFill="1" applyBorder="1" applyAlignment="1" applyProtection="1">
      <alignment horizontal="left" vertical="center"/>
      <protection locked="0" hidden="1"/>
    </xf>
    <xf numFmtId="0" fontId="2" fillId="3" borderId="2" xfId="3" applyFont="1" applyFill="1" applyBorder="1" applyAlignment="1" applyProtection="1">
      <alignment horizontal="left" vertical="center"/>
      <protection locked="0" hidden="1"/>
    </xf>
    <xf numFmtId="0" fontId="2" fillId="3" borderId="0" xfId="3" applyFont="1" applyFill="1" applyAlignment="1" applyProtection="1">
      <alignment horizontal="left" vertical="center"/>
      <protection locked="0" hidden="1"/>
    </xf>
    <xf numFmtId="164" fontId="4" fillId="3" borderId="0" xfId="1" applyFont="1" applyFill="1" applyBorder="1" applyAlignment="1" applyProtection="1">
      <alignment horizontal="center" vertical="center"/>
      <protection locked="0" hidden="1"/>
    </xf>
    <xf numFmtId="0" fontId="2" fillId="3" borderId="0" xfId="3" applyFont="1" applyFill="1" applyAlignment="1" applyProtection="1">
      <alignment horizontal="center" vertical="center"/>
      <protection locked="0" hidden="1"/>
    </xf>
    <xf numFmtId="9" fontId="2" fillId="3" borderId="0" xfId="4" applyFont="1" applyFill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14" fontId="10" fillId="0" borderId="0" xfId="0" applyNumberFormat="1" applyFont="1" applyProtection="1">
      <protection locked="0" hidden="1"/>
    </xf>
    <xf numFmtId="14" fontId="10" fillId="0" borderId="0" xfId="0" applyNumberFormat="1" applyFont="1" applyAlignment="1" applyProtection="1">
      <alignment horizontal="center"/>
      <protection locked="0" hidden="1"/>
    </xf>
    <xf numFmtId="0" fontId="10" fillId="0" borderId="0" xfId="0" applyFont="1" applyProtection="1">
      <protection locked="0" hidden="1"/>
    </xf>
    <xf numFmtId="1" fontId="10" fillId="3" borderId="0" xfId="0" applyNumberFormat="1" applyFont="1" applyFill="1" applyAlignment="1" applyProtection="1">
      <alignment horizontal="center"/>
      <protection hidden="1"/>
    </xf>
    <xf numFmtId="14" fontId="10" fillId="3" borderId="0" xfId="0" applyNumberFormat="1" applyFont="1" applyFill="1" applyAlignment="1" applyProtection="1">
      <alignment horizontal="right"/>
      <protection hidden="1"/>
    </xf>
    <xf numFmtId="164" fontId="10" fillId="3" borderId="0" xfId="1" applyFont="1" applyFill="1" applyBorder="1" applyAlignment="1" applyProtection="1">
      <alignment horizontal="right"/>
      <protection hidden="1"/>
    </xf>
    <xf numFmtId="0" fontId="10" fillId="3" borderId="0" xfId="0" applyFont="1" applyFill="1" applyAlignment="1" applyProtection="1">
      <alignment horizontal="center"/>
      <protection hidden="1"/>
    </xf>
    <xf numFmtId="166" fontId="10" fillId="3" borderId="0" xfId="0" applyNumberFormat="1" applyFont="1" applyFill="1" applyAlignment="1" applyProtection="1">
      <alignment horizontal="center"/>
      <protection hidden="1"/>
    </xf>
    <xf numFmtId="9" fontId="10" fillId="3" borderId="0" xfId="4" applyFont="1" applyFill="1" applyBorder="1" applyAlignment="1" applyProtection="1">
      <alignment horizontal="center"/>
      <protection hidden="1"/>
    </xf>
    <xf numFmtId="166" fontId="10" fillId="3" borderId="0" xfId="1" applyNumberFormat="1" applyFont="1" applyFill="1" applyBorder="1" applyProtection="1">
      <protection hidden="1"/>
    </xf>
    <xf numFmtId="1" fontId="10" fillId="0" borderId="0" xfId="0" applyNumberFormat="1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0" borderId="0" xfId="0" applyProtection="1">
      <protection locked="0" hidden="1"/>
    </xf>
    <xf numFmtId="14" fontId="0" fillId="0" borderId="0" xfId="0" applyNumberFormat="1" applyAlignment="1" applyProtection="1">
      <alignment horizontal="center"/>
      <protection locked="0" hidden="1"/>
    </xf>
    <xf numFmtId="49" fontId="0" fillId="0" borderId="0" xfId="0" applyNumberFormat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10" fontId="7" fillId="0" borderId="0" xfId="4" applyNumberFormat="1" applyFont="1" applyProtection="1">
      <protection hidden="1"/>
    </xf>
    <xf numFmtId="0" fontId="11" fillId="5" borderId="0" xfId="0" applyFont="1" applyFill="1" applyProtection="1">
      <protection locked="0" hidden="1"/>
    </xf>
    <xf numFmtId="17" fontId="10" fillId="0" borderId="0" xfId="0" applyNumberFormat="1" applyFont="1" applyProtection="1">
      <protection locked="0" hidden="1"/>
    </xf>
    <xf numFmtId="17" fontId="10" fillId="0" borderId="0" xfId="0" applyNumberFormat="1" applyFont="1" applyAlignment="1" applyProtection="1">
      <alignment horizontal="center"/>
      <protection locked="0" hidden="1"/>
    </xf>
    <xf numFmtId="1" fontId="10" fillId="0" borderId="0" xfId="1" applyNumberFormat="1" applyFont="1" applyProtection="1">
      <protection locked="0" hidden="1"/>
    </xf>
    <xf numFmtId="166" fontId="10" fillId="0" borderId="0" xfId="1" applyNumberFormat="1" applyFont="1" applyProtection="1">
      <protection locked="0" hidden="1"/>
    </xf>
    <xf numFmtId="0" fontId="12" fillId="0" borderId="1" xfId="3" applyFont="1" applyBorder="1" applyAlignment="1" applyProtection="1">
      <alignment horizontal="center" vertical="center" wrapText="1"/>
      <protection locked="0" hidden="1"/>
    </xf>
    <xf numFmtId="0" fontId="12" fillId="2" borderId="1" xfId="3" applyFont="1" applyFill="1" applyBorder="1" applyAlignment="1" applyProtection="1">
      <alignment horizontal="center" vertical="center" wrapText="1"/>
      <protection locked="0" hidden="1"/>
    </xf>
    <xf numFmtId="0" fontId="12" fillId="2" borderId="1" xfId="3" applyFont="1" applyFill="1" applyBorder="1" applyAlignment="1" applyProtection="1">
      <alignment horizontal="left" vertical="center" wrapText="1"/>
      <protection locked="0" hidden="1"/>
    </xf>
    <xf numFmtId="166" fontId="12" fillId="2" borderId="1" xfId="1" applyNumberFormat="1" applyFont="1" applyFill="1" applyBorder="1" applyAlignment="1" applyProtection="1">
      <alignment horizontal="center" vertical="center" wrapText="1"/>
      <protection locked="0" hidden="1"/>
    </xf>
    <xf numFmtId="166" fontId="12" fillId="2" borderId="3" xfId="1" applyNumberFormat="1" applyFont="1" applyFill="1" applyBorder="1" applyAlignment="1" applyProtection="1">
      <alignment horizontal="center" vertical="center" wrapText="1"/>
      <protection locked="0" hidden="1"/>
    </xf>
    <xf numFmtId="0" fontId="12" fillId="0" borderId="3" xfId="3" applyFont="1" applyBorder="1" applyAlignment="1" applyProtection="1">
      <alignment horizontal="center" vertical="center" wrapText="1"/>
      <protection locked="0" hidden="1"/>
    </xf>
    <xf numFmtId="2" fontId="12" fillId="0" borderId="3" xfId="3" applyNumberFormat="1" applyFont="1" applyBorder="1" applyAlignment="1" applyProtection="1">
      <alignment horizontal="center" vertical="center" wrapText="1"/>
      <protection locked="0" hidden="1"/>
    </xf>
    <xf numFmtId="2" fontId="12" fillId="0" borderId="0" xfId="3" applyNumberFormat="1" applyFont="1" applyAlignment="1" applyProtection="1">
      <alignment horizontal="center" vertical="center" wrapText="1"/>
      <protection locked="0" hidden="1"/>
    </xf>
    <xf numFmtId="0" fontId="12" fillId="0" borderId="0" xfId="3" applyFont="1" applyAlignment="1" applyProtection="1">
      <alignment horizontal="center" vertical="center" wrapText="1"/>
      <protection locked="0" hidden="1"/>
    </xf>
    <xf numFmtId="0" fontId="10" fillId="0" borderId="1" xfId="0" applyFont="1" applyBorder="1" applyProtection="1">
      <protection locked="0" hidden="1"/>
    </xf>
    <xf numFmtId="14" fontId="10" fillId="0" borderId="1" xfId="0" applyNumberFormat="1" applyFont="1" applyBorder="1" applyAlignment="1" applyProtection="1">
      <alignment horizontal="center"/>
      <protection locked="0" hidden="1"/>
    </xf>
    <xf numFmtId="164" fontId="3" fillId="0" borderId="1" xfId="2" applyNumberFormat="1" applyFont="1" applyFill="1" applyBorder="1" applyAlignment="1" applyProtection="1">
      <alignment horizontal="left" vertical="top"/>
      <protection locked="0" hidden="1"/>
    </xf>
    <xf numFmtId="0" fontId="13" fillId="0" borderId="1" xfId="0" applyFont="1" applyBorder="1" applyAlignment="1" applyProtection="1">
      <alignment horizontal="center"/>
      <protection locked="0" hidden="1"/>
    </xf>
    <xf numFmtId="0" fontId="10" fillId="0" borderId="1" xfId="0" applyFont="1" applyBorder="1" applyAlignment="1" applyProtection="1">
      <alignment horizontal="center"/>
      <protection locked="0" hidden="1"/>
    </xf>
    <xf numFmtId="166" fontId="10" fillId="0" borderId="1" xfId="1" applyNumberFormat="1" applyFont="1" applyFill="1" applyBorder="1" applyAlignment="1" applyProtection="1">
      <alignment horizontal="right"/>
      <protection locked="0" hidden="1"/>
    </xf>
    <xf numFmtId="166" fontId="10" fillId="0" borderId="3" xfId="1" applyNumberFormat="1" applyFont="1" applyFill="1" applyBorder="1" applyAlignment="1" applyProtection="1">
      <alignment horizontal="right"/>
      <protection locked="0" hidden="1"/>
    </xf>
    <xf numFmtId="0" fontId="10" fillId="0" borderId="1" xfId="0" applyFont="1" applyBorder="1" applyAlignment="1" applyProtection="1">
      <alignment vertical="top"/>
      <protection locked="0" hidden="1"/>
    </xf>
    <xf numFmtId="166" fontId="10" fillId="0" borderId="1" xfId="1" applyNumberFormat="1" applyFont="1" applyFill="1" applyBorder="1" applyAlignment="1" applyProtection="1">
      <protection locked="0" hidden="1"/>
    </xf>
    <xf numFmtId="166" fontId="10" fillId="0" borderId="1" xfId="1" applyNumberFormat="1" applyFont="1" applyFill="1" applyBorder="1" applyAlignment="1" applyProtection="1">
      <alignment horizontal="right" vertical="top"/>
      <protection locked="0" hidden="1"/>
    </xf>
    <xf numFmtId="14" fontId="10" fillId="0" borderId="1" xfId="0" applyNumberFormat="1" applyFont="1" applyBorder="1" applyAlignment="1" applyProtection="1">
      <alignment horizontal="center" vertical="top"/>
      <protection locked="0" hidden="1"/>
    </xf>
    <xf numFmtId="0" fontId="13" fillId="0" borderId="1" xfId="0" applyFont="1" applyBorder="1" applyAlignment="1" applyProtection="1">
      <alignment horizontal="center" vertical="top"/>
      <protection locked="0" hidden="1"/>
    </xf>
    <xf numFmtId="0" fontId="10" fillId="0" borderId="1" xfId="0" applyFont="1" applyBorder="1" applyAlignment="1" applyProtection="1">
      <alignment horizontal="center" vertical="top"/>
      <protection locked="0" hidden="1"/>
    </xf>
    <xf numFmtId="0" fontId="13" fillId="0" borderId="1" xfId="0" applyFont="1" applyBorder="1" applyAlignment="1" applyProtection="1">
      <alignment horizontal="left" vertical="top"/>
      <protection locked="0" hidden="1"/>
    </xf>
    <xf numFmtId="166" fontId="10" fillId="0" borderId="1" xfId="1" applyNumberFormat="1" applyFont="1" applyFill="1" applyBorder="1" applyAlignment="1" applyProtection="1">
      <alignment vertical="top"/>
      <protection locked="0" hidden="1"/>
    </xf>
    <xf numFmtId="0" fontId="13" fillId="0" borderId="1" xfId="0" applyFont="1" applyBorder="1" applyAlignment="1" applyProtection="1">
      <alignment horizontal="left"/>
      <protection locked="0" hidden="1"/>
    </xf>
    <xf numFmtId="0" fontId="10" fillId="0" borderId="1" xfId="0" applyFont="1" applyBorder="1" applyAlignment="1" applyProtection="1">
      <alignment horizontal="left" vertical="top"/>
      <protection locked="0" hidden="1"/>
    </xf>
    <xf numFmtId="164" fontId="10" fillId="0" borderId="1" xfId="0" applyNumberFormat="1" applyFont="1" applyBorder="1" applyAlignment="1" applyProtection="1">
      <alignment horizontal="center" vertical="top"/>
      <protection locked="0" hidden="1"/>
    </xf>
    <xf numFmtId="166" fontId="10" fillId="0" borderId="1" xfId="1" applyNumberFormat="1" applyFont="1" applyBorder="1" applyProtection="1">
      <protection locked="0" hidden="1"/>
    </xf>
    <xf numFmtId="14" fontId="10" fillId="0" borderId="1" xfId="0" applyNumberFormat="1" applyFont="1" applyBorder="1" applyAlignment="1" applyProtection="1">
      <alignment horizontal="left"/>
      <protection locked="0" hidden="1"/>
    </xf>
    <xf numFmtId="0" fontId="10" fillId="0" borderId="4" xfId="0" applyFont="1" applyBorder="1" applyAlignment="1" applyProtection="1">
      <alignment vertical="top"/>
      <protection locked="0" hidden="1"/>
    </xf>
    <xf numFmtId="0" fontId="8" fillId="6" borderId="5" xfId="0" applyFont="1" applyFill="1" applyBorder="1"/>
    <xf numFmtId="0" fontId="14" fillId="6" borderId="6" xfId="0" applyFont="1" applyFill="1" applyBorder="1"/>
    <xf numFmtId="0" fontId="8" fillId="6" borderId="6" xfId="0" applyFont="1" applyFill="1" applyBorder="1"/>
    <xf numFmtId="0" fontId="8" fillId="6" borderId="7" xfId="0" applyFont="1" applyFill="1" applyBorder="1"/>
    <xf numFmtId="0" fontId="8" fillId="6" borderId="8" xfId="0" applyFont="1" applyFill="1" applyBorder="1" applyAlignment="1">
      <alignment horizontal="center"/>
    </xf>
    <xf numFmtId="0" fontId="8" fillId="6" borderId="0" xfId="0" applyFont="1" applyFill="1"/>
    <xf numFmtId="0" fontId="8" fillId="6" borderId="9" xfId="0" applyFont="1" applyFill="1" applyBorder="1"/>
    <xf numFmtId="0" fontId="8" fillId="6" borderId="8" xfId="0" applyFont="1" applyFill="1" applyBorder="1"/>
    <xf numFmtId="0" fontId="14" fillId="6" borderId="0" xfId="0" applyFont="1" applyFill="1"/>
    <xf numFmtId="0" fontId="8" fillId="6" borderId="10" xfId="0" applyFont="1" applyFill="1" applyBorder="1"/>
    <xf numFmtId="0" fontId="8" fillId="6" borderId="11" xfId="0" applyFont="1" applyFill="1" applyBorder="1"/>
    <xf numFmtId="0" fontId="8" fillId="6" borderId="12" xfId="0" applyFont="1" applyFill="1" applyBorder="1"/>
    <xf numFmtId="166" fontId="10" fillId="7" borderId="1" xfId="1" applyNumberFormat="1" applyFont="1" applyFill="1" applyBorder="1" applyAlignment="1" applyProtection="1">
      <protection locked="0" hidden="1"/>
    </xf>
    <xf numFmtId="171" fontId="10" fillId="0" borderId="0" xfId="0" applyNumberFormat="1" applyFont="1" applyProtection="1">
      <protection locked="0" hidden="1"/>
    </xf>
    <xf numFmtId="168" fontId="10" fillId="0" borderId="0" xfId="0" applyNumberFormat="1" applyFont="1" applyAlignment="1" applyProtection="1">
      <alignment horizontal="center"/>
      <protection locked="0" hidden="1"/>
    </xf>
    <xf numFmtId="171" fontId="10" fillId="3" borderId="0" xfId="0" applyNumberFormat="1" applyFont="1" applyFill="1" applyAlignment="1" applyProtection="1">
      <alignment horizontal="right"/>
      <protection hidden="1"/>
    </xf>
    <xf numFmtId="172" fontId="10" fillId="3" borderId="0" xfId="1" applyNumberFormat="1" applyFont="1" applyFill="1" applyAlignment="1" applyProtection="1">
      <alignment horizontal="right"/>
      <protection hidden="1"/>
    </xf>
    <xf numFmtId="9" fontId="10" fillId="3" borderId="0" xfId="4" applyFont="1" applyFill="1" applyAlignment="1" applyProtection="1">
      <alignment horizontal="center"/>
      <protection hidden="1"/>
    </xf>
    <xf numFmtId="166" fontId="10" fillId="3" borderId="0" xfId="1" applyNumberFormat="1" applyFont="1" applyFill="1" applyProtection="1">
      <protection hidden="1"/>
    </xf>
    <xf numFmtId="164" fontId="10" fillId="0" borderId="0" xfId="0" applyNumberFormat="1" applyFont="1" applyProtection="1">
      <protection locked="0" hidden="1"/>
    </xf>
    <xf numFmtId="166" fontId="10" fillId="0" borderId="1" xfId="1" applyNumberFormat="1" applyFont="1" applyFill="1" applyBorder="1" applyProtection="1">
      <protection locked="0" hidden="1"/>
    </xf>
    <xf numFmtId="0" fontId="10" fillId="0" borderId="13" xfId="0" applyFont="1" applyBorder="1" applyProtection="1">
      <protection locked="0" hidden="1"/>
    </xf>
    <xf numFmtId="0" fontId="10" fillId="0" borderId="14" xfId="0" applyFont="1" applyBorder="1" applyProtection="1">
      <protection locked="0" hidden="1"/>
    </xf>
    <xf numFmtId="0" fontId="10" fillId="0" borderId="14" xfId="0" applyFont="1" applyBorder="1" applyAlignment="1" applyProtection="1">
      <alignment vertical="top"/>
      <protection locked="0" hidden="1"/>
    </xf>
    <xf numFmtId="0" fontId="10" fillId="0" borderId="14" xfId="0" applyFont="1" applyBorder="1" applyAlignment="1" applyProtection="1">
      <alignment horizontal="center"/>
      <protection locked="0" hidden="1"/>
    </xf>
    <xf numFmtId="166" fontId="10" fillId="0" borderId="14" xfId="1" applyNumberFormat="1" applyFont="1" applyFill="1" applyBorder="1" applyProtection="1">
      <protection locked="0" hidden="1"/>
    </xf>
    <xf numFmtId="0" fontId="9" fillId="8" borderId="0" xfId="0" applyFont="1" applyFill="1" applyAlignment="1" applyProtection="1">
      <alignment horizontal="center" vertical="center"/>
      <protection locked="0"/>
    </xf>
    <xf numFmtId="169" fontId="9" fillId="8" borderId="0" xfId="0" applyNumberFormat="1" applyFont="1" applyFill="1" applyAlignment="1" applyProtection="1">
      <alignment horizontal="center" vertical="center"/>
      <protection locked="0"/>
    </xf>
    <xf numFmtId="10" fontId="9" fillId="8" borderId="9" xfId="0" applyNumberFormat="1" applyFont="1" applyFill="1" applyBorder="1" applyAlignment="1" applyProtection="1">
      <alignment horizontal="center" vertical="center"/>
      <protection locked="0"/>
    </xf>
    <xf numFmtId="167" fontId="9" fillId="8" borderId="9" xfId="0" applyNumberFormat="1" applyFont="1" applyFill="1" applyBorder="1" applyAlignment="1" applyProtection="1">
      <alignment horizontal="center" vertical="center"/>
      <protection locked="0"/>
    </xf>
    <xf numFmtId="10" fontId="9" fillId="8" borderId="9" xfId="0" applyNumberFormat="1" applyFont="1" applyFill="1" applyBorder="1" applyAlignment="1" applyProtection="1">
      <alignment horizontal="center"/>
      <protection locked="0"/>
    </xf>
    <xf numFmtId="168" fontId="11" fillId="5" borderId="0" xfId="0" applyNumberFormat="1" applyFont="1" applyFill="1" applyProtection="1">
      <protection locked="0" hidden="1"/>
    </xf>
    <xf numFmtId="0" fontId="15" fillId="0" borderId="0" xfId="0" applyFont="1" applyAlignment="1" applyProtection="1">
      <alignment horizontal="right"/>
      <protection locked="0" hidden="1"/>
    </xf>
    <xf numFmtId="168" fontId="15" fillId="0" borderId="0" xfId="0" applyNumberFormat="1" applyFont="1" applyAlignment="1" applyProtection="1">
      <alignment horizontal="center"/>
      <protection locked="0" hidden="1"/>
    </xf>
    <xf numFmtId="1" fontId="16" fillId="0" borderId="0" xfId="1" applyNumberFormat="1" applyFont="1" applyAlignment="1" applyProtection="1">
      <alignment horizontal="center"/>
      <protection locked="0" hidden="1"/>
    </xf>
    <xf numFmtId="166" fontId="16" fillId="0" borderId="0" xfId="1" applyNumberFormat="1" applyFont="1" applyProtection="1">
      <protection locked="0" hidden="1"/>
    </xf>
    <xf numFmtId="0" fontId="16" fillId="0" borderId="0" xfId="0" applyFont="1" applyProtection="1">
      <protection locked="0" hidden="1"/>
    </xf>
    <xf numFmtId="164" fontId="16" fillId="0" borderId="0" xfId="1" applyFont="1" applyProtection="1">
      <protection locked="0" hidden="1"/>
    </xf>
    <xf numFmtId="1" fontId="17" fillId="3" borderId="0" xfId="0" applyNumberFormat="1" applyFont="1" applyFill="1" applyAlignment="1" applyProtection="1">
      <alignment horizontal="center" vertical="center"/>
      <protection locked="0" hidden="1"/>
    </xf>
    <xf numFmtId="1" fontId="16" fillId="0" borderId="0" xfId="1" applyNumberFormat="1" applyFont="1" applyAlignment="1" applyProtection="1">
      <alignment horizontal="center" vertical="center"/>
      <protection locked="0" hidden="1"/>
    </xf>
    <xf numFmtId="17" fontId="17" fillId="3" borderId="0" xfId="0" applyNumberFormat="1" applyFont="1" applyFill="1" applyAlignment="1" applyProtection="1">
      <alignment horizontal="center" vertical="center"/>
      <protection locked="0" hidden="1"/>
    </xf>
    <xf numFmtId="17" fontId="16" fillId="0" borderId="0" xfId="0" applyNumberFormat="1" applyFont="1" applyAlignment="1" applyProtection="1">
      <alignment horizontal="center" vertical="center"/>
      <protection locked="0" hidden="1"/>
    </xf>
    <xf numFmtId="1" fontId="12" fillId="3" borderId="0" xfId="0" applyNumberFormat="1" applyFont="1" applyFill="1" applyAlignment="1" applyProtection="1">
      <alignment horizontal="center" vertical="center" wrapText="1"/>
      <protection locked="0" hidden="1"/>
    </xf>
    <xf numFmtId="1" fontId="12" fillId="0" borderId="0" xfId="0" applyNumberFormat="1" applyFont="1" applyAlignment="1" applyProtection="1">
      <alignment horizontal="center" vertical="center" wrapText="1"/>
      <protection locked="0" hidden="1"/>
    </xf>
    <xf numFmtId="17" fontId="12" fillId="3" borderId="0" xfId="0" applyNumberFormat="1" applyFont="1" applyFill="1" applyAlignment="1" applyProtection="1">
      <alignment horizontal="center" vertical="center" wrapText="1"/>
      <protection locked="0" hidden="1"/>
    </xf>
    <xf numFmtId="17" fontId="12" fillId="0" borderId="0" xfId="0" applyNumberFormat="1" applyFont="1" applyAlignment="1" applyProtection="1">
      <alignment horizontal="center" vertical="center" wrapText="1"/>
      <protection locked="0" hidden="1"/>
    </xf>
    <xf numFmtId="0" fontId="16" fillId="0" borderId="0" xfId="0" applyFont="1" applyAlignment="1" applyProtection="1">
      <alignment horizontal="center" vertical="center" wrapText="1"/>
      <protection locked="0" hidden="1"/>
    </xf>
    <xf numFmtId="0" fontId="10" fillId="0" borderId="0" xfId="0" applyFont="1" applyAlignment="1" applyProtection="1">
      <alignment horizontal="center" vertical="center" wrapText="1"/>
      <protection locked="0" hidden="1"/>
    </xf>
    <xf numFmtId="0" fontId="10" fillId="0" borderId="3" xfId="0" applyFont="1" applyBorder="1" applyAlignment="1" applyProtection="1">
      <alignment horizontal="center"/>
      <protection locked="0" hidden="1"/>
    </xf>
    <xf numFmtId="10" fontId="10" fillId="0" borderId="3" xfId="4" applyNumberFormat="1" applyFont="1" applyBorder="1" applyAlignment="1" applyProtection="1">
      <alignment horizontal="center"/>
      <protection locked="0" hidden="1"/>
    </xf>
    <xf numFmtId="170" fontId="10" fillId="0" borderId="0" xfId="0" applyNumberFormat="1" applyFont="1" applyAlignment="1" applyProtection="1">
      <alignment horizontal="center"/>
      <protection locked="0" hidden="1"/>
    </xf>
    <xf numFmtId="1" fontId="16" fillId="0" borderId="0" xfId="1" applyNumberFormat="1" applyFont="1" applyFill="1" applyAlignment="1" applyProtection="1">
      <alignment horizontal="center"/>
      <protection locked="0" hidden="1"/>
    </xf>
    <xf numFmtId="166" fontId="16" fillId="0" borderId="0" xfId="1" applyNumberFormat="1" applyFont="1" applyFill="1" applyProtection="1">
      <protection locked="0" hidden="1"/>
    </xf>
    <xf numFmtId="0" fontId="16" fillId="0" borderId="0" xfId="1" applyNumberFormat="1" applyFont="1" applyFill="1" applyProtection="1">
      <protection locked="0" hidden="1"/>
    </xf>
    <xf numFmtId="164" fontId="16" fillId="0" borderId="0" xfId="0" applyNumberFormat="1" applyFont="1" applyProtection="1">
      <protection locked="0" hidden="1"/>
    </xf>
    <xf numFmtId="166" fontId="16" fillId="0" borderId="0" xfId="0" applyNumberFormat="1" applyFont="1" applyProtection="1">
      <protection locked="0" hidden="1"/>
    </xf>
    <xf numFmtId="166" fontId="10" fillId="0" borderId="0" xfId="0" applyNumberFormat="1" applyFont="1" applyProtection="1">
      <protection locked="0" hidden="1"/>
    </xf>
    <xf numFmtId="2" fontId="10" fillId="0" borderId="0" xfId="0" applyNumberFormat="1" applyFont="1" applyAlignment="1" applyProtection="1">
      <alignment horizontal="center"/>
      <protection locked="0" hidden="1"/>
    </xf>
    <xf numFmtId="2" fontId="16" fillId="0" borderId="0" xfId="1" applyNumberFormat="1" applyFont="1" applyFill="1" applyAlignment="1" applyProtection="1">
      <alignment horizontal="center"/>
      <protection locked="0" hidden="1"/>
    </xf>
    <xf numFmtId="1" fontId="16" fillId="0" borderId="0" xfId="0" applyNumberFormat="1" applyFont="1" applyAlignment="1" applyProtection="1">
      <alignment horizontal="center"/>
      <protection locked="0" hidden="1"/>
    </xf>
    <xf numFmtId="10" fontId="10" fillId="0" borderId="3" xfId="4" applyNumberFormat="1" applyFont="1" applyFill="1" applyBorder="1" applyAlignment="1" applyProtection="1">
      <alignment horizontal="center"/>
      <protection locked="0" hidden="1"/>
    </xf>
    <xf numFmtId="164" fontId="16" fillId="0" borderId="0" xfId="1" applyFont="1" applyFill="1" applyProtection="1">
      <protection locked="0" hidden="1"/>
    </xf>
    <xf numFmtId="0" fontId="18" fillId="9" borderId="0" xfId="0" applyFont="1" applyFill="1" applyAlignment="1" applyProtection="1">
      <alignment horizontal="left"/>
      <protection locked="0" hidden="1"/>
    </xf>
    <xf numFmtId="0" fontId="9" fillId="9" borderId="0" xfId="0" applyFont="1" applyFill="1" applyProtection="1">
      <protection locked="0" hidden="1"/>
    </xf>
    <xf numFmtId="168" fontId="18" fillId="9" borderId="0" xfId="0" applyNumberFormat="1" applyFont="1" applyFill="1" applyProtection="1">
      <protection locked="0" hidden="1"/>
    </xf>
    <xf numFmtId="0" fontId="9" fillId="0" borderId="0" xfId="0" applyFont="1" applyAlignment="1" applyProtection="1">
      <alignment horizontal="center"/>
      <protection locked="0" hidden="1"/>
    </xf>
    <xf numFmtId="0" fontId="19" fillId="9" borderId="5" xfId="0" applyFont="1" applyFill="1" applyBorder="1" applyAlignment="1" applyProtection="1">
      <alignment horizontal="center"/>
      <protection locked="0" hidden="1"/>
    </xf>
    <xf numFmtId="0" fontId="19" fillId="9" borderId="6" xfId="0" applyFont="1" applyFill="1" applyBorder="1" applyProtection="1">
      <protection locked="0" hidden="1"/>
    </xf>
    <xf numFmtId="0" fontId="19" fillId="9" borderId="6" xfId="0" applyFont="1" applyFill="1" applyBorder="1" applyAlignment="1" applyProtection="1">
      <alignment horizontal="center"/>
      <protection locked="0" hidden="1"/>
    </xf>
    <xf numFmtId="0" fontId="19" fillId="9" borderId="7" xfId="0" applyFont="1" applyFill="1" applyBorder="1" applyProtection="1">
      <protection locked="0" hidden="1"/>
    </xf>
    <xf numFmtId="0" fontId="19" fillId="9" borderId="5" xfId="0" applyFont="1" applyFill="1" applyBorder="1" applyProtection="1">
      <protection locked="0" hidden="1"/>
    </xf>
    <xf numFmtId="0" fontId="19" fillId="0" borderId="0" xfId="0" applyFont="1" applyProtection="1">
      <protection locked="0" hidden="1"/>
    </xf>
    <xf numFmtId="0" fontId="19" fillId="8" borderId="8" xfId="0" applyFont="1" applyFill="1" applyBorder="1" applyAlignment="1" applyProtection="1">
      <alignment horizontal="center" vertical="center" wrapText="1"/>
      <protection locked="0" hidden="1"/>
    </xf>
    <xf numFmtId="0" fontId="19" fillId="8" borderId="0" xfId="0" applyFont="1" applyFill="1" applyAlignment="1" applyProtection="1">
      <alignment horizontal="center" vertical="center" wrapText="1"/>
      <protection locked="0" hidden="1"/>
    </xf>
    <xf numFmtId="0" fontId="19" fillId="8" borderId="9" xfId="0" applyFont="1" applyFill="1" applyBorder="1" applyAlignment="1" applyProtection="1">
      <alignment horizontal="center" vertical="center" wrapText="1"/>
      <protection locked="0" hidden="1"/>
    </xf>
    <xf numFmtId="14" fontId="19" fillId="8" borderId="9" xfId="0" applyNumberFormat="1" applyFont="1" applyFill="1" applyBorder="1" applyAlignment="1" applyProtection="1">
      <alignment horizontal="center" vertical="center" wrapText="1"/>
      <protection locked="0" hidden="1"/>
    </xf>
    <xf numFmtId="14" fontId="19" fillId="8" borderId="8" xfId="0" applyNumberFormat="1" applyFont="1" applyFill="1" applyBorder="1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9" fillId="8" borderId="8" xfId="0" applyFont="1" applyFill="1" applyBorder="1" applyAlignment="1" applyProtection="1">
      <alignment horizontal="center"/>
      <protection locked="0" hidden="1"/>
    </xf>
    <xf numFmtId="0" fontId="19" fillId="8" borderId="0" xfId="0" applyFont="1" applyFill="1" applyProtection="1">
      <protection locked="0" hidden="1"/>
    </xf>
    <xf numFmtId="0" fontId="9" fillId="8" borderId="0" xfId="0" applyFont="1" applyFill="1" applyProtection="1">
      <protection locked="0" hidden="1"/>
    </xf>
    <xf numFmtId="0" fontId="9" fillId="8" borderId="0" xfId="0" applyFont="1" applyFill="1" applyAlignment="1" applyProtection="1">
      <alignment horizontal="center"/>
      <protection locked="0" hidden="1"/>
    </xf>
    <xf numFmtId="0" fontId="9" fillId="8" borderId="9" xfId="0" applyFont="1" applyFill="1" applyBorder="1" applyProtection="1">
      <protection locked="0" hidden="1"/>
    </xf>
    <xf numFmtId="0" fontId="9" fillId="8" borderId="8" xfId="0" applyFont="1" applyFill="1" applyBorder="1" applyProtection="1">
      <protection locked="0" hidden="1"/>
    </xf>
    <xf numFmtId="0" fontId="19" fillId="8" borderId="8" xfId="0" applyFont="1" applyFill="1" applyBorder="1" applyAlignment="1" applyProtection="1">
      <alignment horizontal="center"/>
      <protection locked="0" hidden="1"/>
    </xf>
    <xf numFmtId="0" fontId="9" fillId="8" borderId="0" xfId="0" applyFont="1" applyFill="1" applyAlignment="1" applyProtection="1">
      <alignment horizontal="left" indent="1"/>
      <protection locked="0" hidden="1"/>
    </xf>
    <xf numFmtId="166" fontId="9" fillId="8" borderId="0" xfId="1" applyNumberFormat="1" applyFont="1" applyFill="1" applyBorder="1" applyProtection="1">
      <protection locked="0" hidden="1"/>
    </xf>
    <xf numFmtId="166" fontId="9" fillId="8" borderId="9" xfId="1" applyNumberFormat="1" applyFont="1" applyFill="1" applyBorder="1" applyProtection="1">
      <protection locked="0" hidden="1"/>
    </xf>
    <xf numFmtId="166" fontId="9" fillId="8" borderId="8" xfId="1" applyNumberFormat="1" applyFont="1" applyFill="1" applyBorder="1" applyProtection="1">
      <protection locked="0" hidden="1"/>
    </xf>
    <xf numFmtId="0" fontId="9" fillId="8" borderId="8" xfId="0" applyFont="1" applyFill="1" applyBorder="1" applyAlignment="1" applyProtection="1">
      <alignment horizontal="center" vertical="center"/>
      <protection locked="0" hidden="1"/>
    </xf>
    <xf numFmtId="0" fontId="9" fillId="8" borderId="0" xfId="0" applyFont="1" applyFill="1" applyAlignment="1" applyProtection="1">
      <alignment vertical="top"/>
      <protection locked="0" hidden="1"/>
    </xf>
    <xf numFmtId="0" fontId="9" fillId="8" borderId="0" xfId="0" applyFont="1" applyFill="1" applyAlignment="1" applyProtection="1">
      <alignment horizontal="left" vertical="center" wrapText="1" indent="1"/>
      <protection locked="0" hidden="1"/>
    </xf>
    <xf numFmtId="0" fontId="9" fillId="0" borderId="0" xfId="0" applyFont="1" applyAlignment="1" applyProtection="1">
      <alignment vertical="center"/>
      <protection locked="0" hidden="1"/>
    </xf>
    <xf numFmtId="0" fontId="9" fillId="8" borderId="0" xfId="0" applyFont="1" applyFill="1" applyAlignment="1" applyProtection="1">
      <alignment horizontal="center" vertical="center"/>
      <protection locked="0" hidden="1"/>
    </xf>
    <xf numFmtId="169" fontId="9" fillId="8" borderId="0" xfId="0" applyNumberFormat="1" applyFont="1" applyFill="1" applyAlignment="1" applyProtection="1">
      <alignment horizontal="center" vertical="center"/>
      <protection locked="0" hidden="1"/>
    </xf>
    <xf numFmtId="10" fontId="9" fillId="8" borderId="9" xfId="0" applyNumberFormat="1" applyFont="1" applyFill="1" applyBorder="1" applyAlignment="1" applyProtection="1">
      <alignment horizontal="center" vertical="center"/>
      <protection locked="0" hidden="1"/>
    </xf>
    <xf numFmtId="10" fontId="9" fillId="8" borderId="9" xfId="0" applyNumberFormat="1" applyFont="1" applyFill="1" applyBorder="1" applyAlignment="1" applyProtection="1">
      <alignment horizontal="center"/>
      <protection locked="0" hidden="1"/>
    </xf>
    <xf numFmtId="0" fontId="9" fillId="9" borderId="10" xfId="0" applyFont="1" applyFill="1" applyBorder="1" applyAlignment="1" applyProtection="1">
      <alignment horizontal="center"/>
      <protection locked="0" hidden="1"/>
    </xf>
    <xf numFmtId="0" fontId="9" fillId="9" borderId="11" xfId="0" applyFont="1" applyFill="1" applyBorder="1" applyProtection="1">
      <protection locked="0" hidden="1"/>
    </xf>
    <xf numFmtId="0" fontId="19" fillId="9" borderId="11" xfId="0" applyFont="1" applyFill="1" applyBorder="1" applyProtection="1">
      <protection locked="0" hidden="1"/>
    </xf>
    <xf numFmtId="0" fontId="19" fillId="9" borderId="11" xfId="0" applyFont="1" applyFill="1" applyBorder="1" applyAlignment="1" applyProtection="1">
      <alignment horizontal="center" vertical="center"/>
      <protection locked="0" hidden="1"/>
    </xf>
    <xf numFmtId="167" fontId="9" fillId="9" borderId="12" xfId="0" applyNumberFormat="1" applyFont="1" applyFill="1" applyBorder="1" applyAlignment="1" applyProtection="1">
      <alignment horizontal="center"/>
      <protection locked="0" hidden="1"/>
    </xf>
    <xf numFmtId="166" fontId="19" fillId="9" borderId="10" xfId="1" applyNumberFormat="1" applyFont="1" applyFill="1" applyBorder="1" applyProtection="1">
      <protection locked="0" hidden="1"/>
    </xf>
    <xf numFmtId="166" fontId="19" fillId="9" borderId="11" xfId="1" applyNumberFormat="1" applyFont="1" applyFill="1" applyBorder="1" applyProtection="1">
      <protection locked="0" hidden="1"/>
    </xf>
    <xf numFmtId="166" fontId="19" fillId="9" borderId="12" xfId="1" applyNumberFormat="1" applyFont="1" applyFill="1" applyBorder="1" applyProtection="1">
      <protection locked="0" hidden="1"/>
    </xf>
    <xf numFmtId="0" fontId="20" fillId="10" borderId="0" xfId="0" applyFont="1" applyFill="1" applyAlignment="1" applyProtection="1">
      <alignment horizontal="center"/>
      <protection locked="0" hidden="1"/>
    </xf>
    <xf numFmtId="0" fontId="20" fillId="10" borderId="0" xfId="0" applyFont="1" applyFill="1" applyProtection="1">
      <protection locked="0" hidden="1"/>
    </xf>
    <xf numFmtId="0" fontId="20" fillId="10" borderId="0" xfId="0" applyFont="1" applyFill="1" applyAlignment="1" applyProtection="1">
      <alignment horizontal="left"/>
      <protection locked="0" hidden="1"/>
    </xf>
    <xf numFmtId="166" fontId="20" fillId="10" borderId="0" xfId="1" applyNumberFormat="1" applyFont="1" applyFill="1" applyProtection="1">
      <protection locked="0" hidden="1"/>
    </xf>
    <xf numFmtId="0" fontId="19" fillId="0" borderId="0" xfId="0" applyFont="1" applyAlignment="1" applyProtection="1">
      <alignment horizontal="center"/>
      <protection locked="0" hidden="1"/>
    </xf>
    <xf numFmtId="166" fontId="19" fillId="0" borderId="0" xfId="1" applyNumberFormat="1" applyFont="1" applyProtection="1">
      <protection locked="0" hidden="1"/>
    </xf>
    <xf numFmtId="166" fontId="19" fillId="0" borderId="0" xfId="0" applyNumberFormat="1" applyFont="1" applyProtection="1">
      <protection locked="0" hidden="1"/>
    </xf>
    <xf numFmtId="10" fontId="9" fillId="0" borderId="0" xfId="0" applyNumberFormat="1" applyFont="1" applyProtection="1">
      <protection locked="0" hidden="1"/>
    </xf>
    <xf numFmtId="4" fontId="9" fillId="0" borderId="0" xfId="0" applyNumberFormat="1" applyFont="1" applyProtection="1">
      <protection locked="0" hidden="1"/>
    </xf>
    <xf numFmtId="4" fontId="19" fillId="0" borderId="0" xfId="0" applyNumberFormat="1" applyFont="1" applyProtection="1">
      <protection locked="0" hidden="1"/>
    </xf>
    <xf numFmtId="0" fontId="10" fillId="3" borderId="0" xfId="0" applyFont="1" applyFill="1" applyAlignment="1" applyProtection="1">
      <alignment horizontal="center"/>
      <protection locked="0" hidden="1"/>
    </xf>
    <xf numFmtId="1" fontId="10" fillId="3" borderId="0" xfId="0" applyNumberFormat="1" applyFont="1" applyFill="1" applyAlignment="1" applyProtection="1">
      <alignment horizontal="center"/>
      <protection locked="0" hidden="1"/>
    </xf>
    <xf numFmtId="14" fontId="10" fillId="3" borderId="0" xfId="0" applyNumberFormat="1" applyFont="1" applyFill="1" applyAlignment="1" applyProtection="1">
      <alignment horizontal="right"/>
      <protection locked="0" hidden="1"/>
    </xf>
    <xf numFmtId="164" fontId="10" fillId="3" borderId="0" xfId="1" applyFont="1" applyFill="1" applyBorder="1" applyAlignment="1" applyProtection="1">
      <alignment horizontal="right"/>
      <protection locked="0" hidden="1"/>
    </xf>
    <xf numFmtId="166" fontId="10" fillId="3" borderId="0" xfId="0" applyNumberFormat="1" applyFont="1" applyFill="1" applyAlignment="1" applyProtection="1">
      <alignment horizontal="center"/>
      <protection locked="0" hidden="1"/>
    </xf>
    <xf numFmtId="9" fontId="10" fillId="3" borderId="0" xfId="4" applyFont="1" applyFill="1" applyBorder="1" applyAlignment="1" applyProtection="1">
      <alignment horizontal="center"/>
      <protection locked="0" hidden="1"/>
    </xf>
    <xf numFmtId="166" fontId="10" fillId="3" borderId="0" xfId="1" applyNumberFormat="1" applyFont="1" applyFill="1" applyBorder="1" applyProtection="1">
      <protection locked="0" hidden="1"/>
    </xf>
    <xf numFmtId="9" fontId="7" fillId="0" borderId="0" xfId="4" applyFont="1" applyProtection="1">
      <protection locked="0" hidden="1"/>
    </xf>
    <xf numFmtId="49" fontId="0" fillId="0" borderId="0" xfId="0" applyNumberFormat="1" applyProtection="1">
      <protection locked="0" hidden="1"/>
    </xf>
    <xf numFmtId="0" fontId="0" fillId="4" borderId="0" xfId="0" applyFill="1" applyAlignment="1" applyProtection="1">
      <alignment horizontal="center"/>
      <protection locked="0" hidden="1"/>
    </xf>
    <xf numFmtId="10" fontId="7" fillId="0" borderId="0" xfId="4" applyNumberFormat="1" applyFont="1" applyProtection="1">
      <protection locked="0" hidden="1"/>
    </xf>
    <xf numFmtId="173" fontId="16" fillId="0" borderId="0" xfId="1" applyNumberFormat="1" applyFont="1" applyFill="1" applyProtection="1">
      <protection locked="0" hidden="1"/>
    </xf>
    <xf numFmtId="173" fontId="19" fillId="0" borderId="0" xfId="1" applyNumberFormat="1" applyFont="1" applyProtection="1">
      <protection locked="0" hidden="1"/>
    </xf>
    <xf numFmtId="166" fontId="21" fillId="0" borderId="15" xfId="0" applyNumberFormat="1" applyFont="1" applyBorder="1" applyAlignment="1">
      <alignment horizontal="center" wrapText="1"/>
    </xf>
    <xf numFmtId="173" fontId="9" fillId="0" borderId="0" xfId="1" applyNumberFormat="1" applyFont="1" applyProtection="1">
      <protection locked="0" hidden="1"/>
    </xf>
    <xf numFmtId="4" fontId="9" fillId="0" borderId="2" xfId="0" applyNumberFormat="1" applyFont="1" applyBorder="1" applyProtection="1">
      <protection locked="0" hidden="1"/>
    </xf>
    <xf numFmtId="4" fontId="9" fillId="0" borderId="16" xfId="0" applyNumberFormat="1" applyFont="1" applyBorder="1" applyProtection="1">
      <protection locked="0" hidden="1"/>
    </xf>
    <xf numFmtId="4" fontId="9" fillId="0" borderId="17" xfId="0" applyNumberFormat="1" applyFont="1" applyBorder="1" applyProtection="1">
      <protection locked="0" hidden="1"/>
    </xf>
    <xf numFmtId="173" fontId="9" fillId="0" borderId="0" xfId="0" applyNumberFormat="1" applyFont="1" applyProtection="1">
      <protection locked="0" hidden="1"/>
    </xf>
    <xf numFmtId="173" fontId="22" fillId="0" borderId="0" xfId="0" applyNumberFormat="1" applyFont="1" applyProtection="1">
      <protection locked="0" hidden="1"/>
    </xf>
    <xf numFmtId="173" fontId="9" fillId="7" borderId="0" xfId="1" applyNumberFormat="1" applyFont="1" applyFill="1" applyProtection="1">
      <protection locked="0" hidden="1"/>
    </xf>
    <xf numFmtId="173" fontId="22" fillId="7" borderId="0" xfId="0" applyNumberFormat="1" applyFont="1" applyFill="1" applyProtection="1">
      <protection locked="0" hidden="1"/>
    </xf>
    <xf numFmtId="173" fontId="22" fillId="0" borderId="0" xfId="1" applyNumberFormat="1" applyFont="1" applyProtection="1">
      <protection locked="0" hidden="1"/>
    </xf>
    <xf numFmtId="173" fontId="22" fillId="7" borderId="0" xfId="1" applyNumberFormat="1" applyFont="1" applyFill="1" applyProtection="1">
      <protection locked="0" hidden="1"/>
    </xf>
    <xf numFmtId="0" fontId="22" fillId="0" borderId="0" xfId="0" applyFont="1" applyProtection="1">
      <protection locked="0" hidden="1"/>
    </xf>
    <xf numFmtId="0" fontId="10" fillId="7" borderId="4" xfId="0" applyFont="1" applyFill="1" applyBorder="1" applyAlignment="1" applyProtection="1">
      <alignment vertical="top"/>
      <protection locked="0" hidden="1"/>
    </xf>
    <xf numFmtId="167" fontId="16" fillId="0" borderId="0" xfId="4" applyNumberFormat="1" applyFont="1" applyProtection="1">
      <protection locked="0" hidden="1"/>
    </xf>
    <xf numFmtId="0" fontId="23" fillId="0" borderId="0" xfId="0" applyFont="1" applyProtection="1">
      <protection locked="0" hidden="1"/>
    </xf>
    <xf numFmtId="173" fontId="23" fillId="0" borderId="0" xfId="1" applyNumberFormat="1" applyFont="1" applyProtection="1">
      <protection locked="0" hidden="1"/>
    </xf>
    <xf numFmtId="0" fontId="24" fillId="0" borderId="0" xfId="0" applyFont="1" applyProtection="1">
      <protection locked="0" hidden="1"/>
    </xf>
    <xf numFmtId="173" fontId="24" fillId="0" borderId="0" xfId="0" applyNumberFormat="1" applyFont="1" applyProtection="1">
      <protection locked="0" hidden="1"/>
    </xf>
    <xf numFmtId="173" fontId="24" fillId="0" borderId="0" xfId="1" applyNumberFormat="1" applyFont="1" applyProtection="1">
      <protection locked="0" hidden="1"/>
    </xf>
    <xf numFmtId="164" fontId="9" fillId="0" borderId="0" xfId="0" applyNumberFormat="1" applyFont="1" applyProtection="1">
      <protection locked="0" hidden="1"/>
    </xf>
    <xf numFmtId="1" fontId="2" fillId="2" borderId="1" xfId="3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horizontal="center"/>
      <protection locked="0" hidden="1"/>
    </xf>
    <xf numFmtId="173" fontId="22" fillId="2" borderId="0" xfId="0" applyNumberFormat="1" applyFont="1" applyFill="1" applyProtection="1">
      <protection locked="0" hidden="1"/>
    </xf>
    <xf numFmtId="166" fontId="9" fillId="0" borderId="0" xfId="0" applyNumberFormat="1" applyFont="1" applyProtection="1">
      <protection locked="0" hidden="1"/>
    </xf>
    <xf numFmtId="14" fontId="10" fillId="0" borderId="18" xfId="0" applyNumberFormat="1" applyFont="1" applyBorder="1" applyAlignment="1">
      <alignment horizontal="center"/>
    </xf>
    <xf numFmtId="173" fontId="9" fillId="0" borderId="0" xfId="0" applyNumberFormat="1" applyFont="1" applyAlignment="1" applyProtection="1">
      <alignment horizontal="center"/>
      <protection locked="0" hidden="1"/>
    </xf>
    <xf numFmtId="2" fontId="9" fillId="0" borderId="0" xfId="0" applyNumberFormat="1" applyFont="1" applyProtection="1">
      <protection locked="0" hidden="1"/>
    </xf>
    <xf numFmtId="0" fontId="9" fillId="8" borderId="1" xfId="0" applyFont="1" applyFill="1" applyBorder="1" applyAlignment="1" applyProtection="1">
      <alignment horizontal="center" vertical="center"/>
      <protection locked="0"/>
    </xf>
    <xf numFmtId="169" fontId="9" fillId="8" borderId="1" xfId="0" applyNumberFormat="1" applyFont="1" applyFill="1" applyBorder="1" applyAlignment="1" applyProtection="1">
      <alignment horizontal="center" vertical="center"/>
      <protection locked="0"/>
    </xf>
    <xf numFmtId="0" fontId="19" fillId="8" borderId="1" xfId="0" applyFont="1" applyFill="1" applyBorder="1" applyAlignment="1" applyProtection="1">
      <alignment horizontal="center" vertical="center"/>
      <protection locked="0" hidden="1"/>
    </xf>
    <xf numFmtId="0" fontId="9" fillId="8" borderId="1" xfId="0" applyFont="1" applyFill="1" applyBorder="1" applyProtection="1">
      <protection locked="0" hidden="1"/>
    </xf>
    <xf numFmtId="0" fontId="9" fillId="8" borderId="1" xfId="0" applyFont="1" applyFill="1" applyBorder="1" applyAlignment="1" applyProtection="1">
      <alignment horizontal="left"/>
      <protection locked="0" hidden="1"/>
    </xf>
    <xf numFmtId="0" fontId="9" fillId="8" borderId="1" xfId="0" applyFont="1" applyFill="1" applyBorder="1" applyAlignment="1" applyProtection="1">
      <alignment horizontal="left" vertical="center"/>
      <protection locked="0" hidden="1"/>
    </xf>
    <xf numFmtId="0" fontId="19" fillId="8" borderId="1" xfId="0" applyFont="1" applyFill="1" applyBorder="1" applyAlignment="1" applyProtection="1">
      <alignment vertical="center"/>
      <protection locked="0" hidden="1"/>
    </xf>
    <xf numFmtId="0" fontId="19" fillId="8" borderId="19" xfId="0" applyFont="1" applyFill="1" applyBorder="1" applyAlignment="1" applyProtection="1">
      <alignment horizontal="center" vertical="center"/>
      <protection locked="0" hidden="1"/>
    </xf>
    <xf numFmtId="173" fontId="9" fillId="11" borderId="0" xfId="1" applyNumberFormat="1" applyFont="1" applyFill="1" applyProtection="1">
      <protection locked="0" hidden="1"/>
    </xf>
    <xf numFmtId="166" fontId="0" fillId="0" borderId="0" xfId="0" applyNumberFormat="1" applyProtection="1">
      <protection locked="0" hidden="1"/>
    </xf>
    <xf numFmtId="174" fontId="0" fillId="0" borderId="0" xfId="0" applyNumberFormat="1" applyProtection="1">
      <protection locked="0" hidden="1"/>
    </xf>
    <xf numFmtId="0" fontId="19" fillId="8" borderId="0" xfId="0" applyFont="1" applyFill="1" applyAlignment="1" applyProtection="1">
      <alignment horizontal="center" vertical="center" wrapText="1"/>
      <protection locked="0" hidden="1"/>
    </xf>
    <xf numFmtId="173" fontId="16" fillId="0" borderId="0" xfId="1" applyNumberFormat="1" applyFont="1" applyAlignment="1" applyProtection="1">
      <alignment horizontal="center"/>
      <protection locked="0" hidden="1"/>
    </xf>
    <xf numFmtId="173" fontId="17" fillId="3" borderId="0" xfId="1" applyNumberFormat="1" applyFont="1" applyFill="1" applyAlignment="1" applyProtection="1">
      <alignment horizontal="center" vertical="center"/>
      <protection locked="0" hidden="1"/>
    </xf>
    <xf numFmtId="173" fontId="12" fillId="3" borderId="0" xfId="1" applyNumberFormat="1" applyFont="1" applyFill="1" applyAlignment="1" applyProtection="1">
      <alignment horizontal="center" vertical="center" wrapText="1"/>
      <protection locked="0" hidden="1"/>
    </xf>
    <xf numFmtId="173" fontId="16" fillId="0" borderId="0" xfId="1" applyNumberFormat="1" applyFont="1" applyProtection="1">
      <protection locked="0" hidden="1"/>
    </xf>
  </cellXfs>
  <cellStyles count="5">
    <cellStyle name="Comma" xfId="1" builtinId="3"/>
    <cellStyle name="Comma 10" xfId="2" xr:uid="{44CE2C27-0943-48C6-B9BB-75CEC026FEE1}"/>
    <cellStyle name="Normal" xfId="0" builtinId="0"/>
    <cellStyle name="Normal 10 2" xfId="3" xr:uid="{A421D1C0-96D1-4E18-A659-53E6A5DA4509}"/>
    <cellStyle name="Percent" xfId="4" builtinId="5"/>
  </cellStyles>
  <dxfs count="38"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 tint="-0.14999847407452621"/>
        </patternFill>
      </fill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2" formatCode="[$-14009]dd\ mmm\ yy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2" formatCode="[$-14009]dd\ mmm\ yyyy;@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1" formatCode="m/d/yyyy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1" formatCode="m/d/yyyy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" formatCode="0"/>
      <alignment horizont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1" formatCode="m/d/yyyy"/>
      <alignment horizont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solid">
          <fgColor indexed="64"/>
          <bgColor theme="0" tint="-0.14999847407452621"/>
        </patternFill>
      </fill>
      <protection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Dayton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Daytona"/>
        <family val="2"/>
        <scheme val="none"/>
      </font>
      <numFmt numFmtId="166" formatCode="_ * #,##0_ ;_ * \-#,##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66" formatCode="_ * #,##0_ ;_ * \-#,##0_ ;_ * &quot;-&quot;??_ ;_ @_ 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1" formatCode="m/d/yyyy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numFmt numFmtId="171" formatCode="m/d/yyyy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9"/>
        <name val="Dayto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9"/>
        <color theme="1" tint="0.499984740745262"/>
        <name val="Dayto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1"/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311150</xdr:colOff>
      <xdr:row>1</xdr:row>
      <xdr:rowOff>19050</xdr:rowOff>
    </xdr:from>
    <xdr:to>
      <xdr:col>7</xdr:col>
      <xdr:colOff>146050</xdr:colOff>
      <xdr:row>4</xdr:row>
      <xdr:rowOff>25400</xdr:rowOff>
    </xdr:to>
    <xdr:pic>
      <xdr:nvPicPr>
        <xdr:cNvPr id="1025" name="Picture 2">
          <a:extLst>
            <a:ext uri="{FF2B5EF4-FFF2-40B4-BE49-F238E27FC236}">
              <a16:creationId xmlns:a16="http://schemas.microsoft.com/office/drawing/2014/main" id="{A53B431A-077C-E2C0-AB81-30AF72005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9550" y="177800"/>
          <a:ext cx="1663700" cy="48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FFEE7E-26C7-4E06-A92D-966E79F5845A}" name="FAAddition" displayName="FAAddition" ref="A3:Q1686" totalsRowShown="0" headerRowDxfId="36" dataDxfId="35">
  <autoFilter ref="A3:Q1686" xr:uid="{31FFEE7E-26C7-4E06-A92D-966E79F5845A}"/>
  <tableColumns count="17">
    <tableColumn id="1" xr3:uid="{00000000-0010-0000-0100-000001000000}" name="Control No." dataDxfId="34">
      <calculatedColumnFormula>A3+1</calculatedColumnFormula>
    </tableColumn>
    <tableColumn id="2" xr3:uid="{00000000-0010-0000-0100-000002000000}" name="FY" dataDxfId="33"/>
    <tableColumn id="3" xr3:uid="{00000000-0010-0000-0100-000003000000}" name="Date of Purchase " dataDxfId="32"/>
    <tableColumn id="4" xr3:uid="{00000000-0010-0000-0100-000004000000}" name="Put to use date" dataDxfId="31"/>
    <tableColumn id="5" xr3:uid="{00000000-0010-0000-0100-000005000000}" name="Asset category (As per FA addition sheet)" dataDxfId="30"/>
    <tableColumn id="6" xr3:uid="{00000000-0010-0000-0100-000006000000}" name="Asset Name as per FA Scedule (F/S)" dataDxfId="29"/>
    <tableColumn id="7" xr3:uid="{00000000-0010-0000-0100-000007000000}" name="Vendor Name" dataDxfId="28"/>
    <tableColumn id="8" xr3:uid="{00000000-0010-0000-0100-000008000000}" name="Type of asset (NAC Inserted Column) " dataDxfId="27"/>
    <tableColumn id="9" xr3:uid="{00000000-0010-0000-0100-000009000000}" name="Invoice No." dataDxfId="26"/>
    <tableColumn id="10" xr3:uid="{00000000-0010-0000-0100-00000A000000}" name="FA Qty" dataDxfId="25"/>
    <tableColumn id="11" xr3:uid="{00000000-0010-0000-0100-00000B000000}" name="Assets description _x000a_(As per Invoice)" dataDxfId="24"/>
    <tableColumn id="12" xr3:uid="{00000000-0010-0000-0100-00000C000000}" name="Original Cost (Rs)" dataDxfId="23" dataCellStyle="Comma"/>
    <tableColumn id="17" xr3:uid="{00000000-0010-0000-0100-000011000000}" name="Salvage Value" dataDxfId="22" dataCellStyle="Comma"/>
    <tableColumn id="13" xr3:uid="{00000000-0010-0000-0100-00000D000000}" name="Depreciation Method" dataDxfId="21">
      <calculatedColumnFormula>VLOOKUP('FA Addition'!$E4,'FA Schedule'!$C:$F,2,FALSE)</calculatedColumnFormula>
    </tableColumn>
    <tableColumn id="14" xr3:uid="{00000000-0010-0000-0100-00000E000000}" name="Useful Life" dataDxfId="20">
      <calculatedColumnFormula>_xlfn.XLOOKUP(_xlfn.CONCAT(E4,B4),'Year Wise Master Dep Approach'!F:F,'Year Wise Master Dep Approach'!E:E)</calculatedColumnFormula>
    </tableColumn>
    <tableColumn id="15" xr3:uid="{00000000-0010-0000-0100-00000F000000}" name="Effective Rate" dataDxfId="19" dataCellStyle="Percent">
      <calculatedColumnFormula>IFERROR(IF('FA Addition'!$N4="WDV",1-('FA Addition'!$M4/'FA Addition'!$L4)^(1/'FA Addition'!$O4),1/'FA Addition'!$O4),0)</calculatedColumnFormula>
    </tableColumn>
    <tableColumn id="16" xr3:uid="{00000000-0010-0000-0100-000010000000}" name="Factor" dataDxfId="18">
      <calculatedColumnFormula>'FA Addition'!$P4*'FA Addition'!$O4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C4FCA6-5BC6-40D6-BE30-F59243915CB1}" name="FAWriteoff" displayName="FAWriteoff" ref="A1:O310" totalsRowShown="0" headerRowDxfId="16" dataDxfId="15" headerRowCellStyle="Normal 10 2">
  <autoFilter ref="A1:O310" xr:uid="{CCC4FCA6-5BC6-40D6-BE30-F59243915CB1}">
    <filterColumn colId="0">
      <filters>
        <filter val="459"/>
        <filter val="618"/>
      </filters>
    </filterColumn>
    <filterColumn colId="10">
      <filters>
        <filter val="Router"/>
      </filters>
    </filterColumn>
  </autoFilter>
  <tableColumns count="15">
    <tableColumn id="1" xr3:uid="{00000000-0010-0000-0300-000001000000}" name="Control No." dataDxfId="14"/>
    <tableColumn id="2" xr3:uid="{00000000-0010-0000-0300-000002000000}" name="FY" dataDxfId="13"/>
    <tableColumn id="3" xr3:uid="{00000000-0010-0000-0300-000003000000}" name="Write off date" dataDxfId="12"/>
    <tableColumn id="4" xr3:uid="{00000000-0010-0000-0300-000004000000}" name="Write off Qty" dataDxfId="11"/>
    <tableColumn id="5" xr3:uid="{00000000-0010-0000-0300-000005000000}" name="Disposal Value" dataDxfId="10"/>
    <tableColumn id="6" xr3:uid="{00000000-0010-0000-0300-000006000000}" name="Reason" dataDxfId="9"/>
    <tableColumn id="18" xr3:uid="{00000000-0010-0000-0300-000012000000}" name="Month" dataDxfId="8">
      <calculatedColumnFormula>MONTH('FA Write off'!$C2)</calculatedColumnFormula>
    </tableColumn>
    <tableColumn id="19" xr3:uid="{00000000-0010-0000-0300-000013000000}" name="Days" dataDxfId="7">
      <calculatedColumnFormula>MIN('FA Write off'!$C2-'FA Write off'!$J2+1,'FA Write off'!$M2*365)</calculatedColumnFormula>
    </tableColumn>
    <tableColumn id="7" xr3:uid="{00000000-0010-0000-0300-000007000000}" name="Date of Purchase " dataDxfId="6">
      <calculatedColumnFormula>VLOOKUP($A2,'FA Addition'!$A:$AK,COLUMN()-6,FALSE)</calculatedColumnFormula>
    </tableColumn>
    <tableColumn id="8" xr3:uid="{00000000-0010-0000-0300-000008000000}" name="Put to use date" dataDxfId="5">
      <calculatedColumnFormula>VLOOKUP($A2,'FA Addition'!$A:$AK,COLUMN()-6,FALSE)</calculatedColumnFormula>
    </tableColumn>
    <tableColumn id="16" xr3:uid="{00000000-0010-0000-0300-000010000000}" name="Asset Category" dataDxfId="4" dataCellStyle="Comma">
      <calculatedColumnFormula>VLOOKUP($A2,'FA Addition'!$A:$AK,COLUMN()-6,FALSE)</calculatedColumnFormula>
    </tableColumn>
    <tableColumn id="17" xr3:uid="{00000000-0010-0000-0300-000011000000}" name="Original Cost" dataDxfId="3">
      <calculatedColumnFormula>VLOOKUP($A2,'FA Addition'!$A:$AK,COLUMN(),FALSE)</calculatedColumnFormula>
    </tableColumn>
    <tableColumn id="20" xr3:uid="{00000000-0010-0000-0300-000014000000}" name="Useful Life" dataDxfId="2">
      <calculatedColumnFormula>VLOOKUP($A2,'FA Addition'!$A:$AK,COLUMN()+2,FALSE)</calculatedColumnFormula>
    </tableColumn>
    <tableColumn id="21" xr3:uid="{00000000-0010-0000-0300-000015000000}" name="Rate as per Co Act" dataDxfId="1" dataCellStyle="Percent">
      <calculatedColumnFormula>VLOOKUP($A2,'FA Addition'!$A:$AK,COLUMN()+2,FALSE)</calculatedColumnFormula>
    </tableColumn>
    <tableColumn id="22" xr3:uid="{00000000-0010-0000-0300-000016000000}" name="Dep" dataDxfId="0" dataCellStyle="Comma">
      <calculatedColumnFormula>'FA Write off'!$N2*'FA Write off'!$L2*'FA Write off'!$H2/365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1132D9-5B0D-426E-8D5A-83B9ECAEBD6D}">
  <we:reference id="wa200009404" version="1.0.0.8" store="en-US" storeType="OMEX"/>
  <we:alternateReferences>
    <we:reference id="WA200009404" version="1.0.0.8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EA092-42E2-402B-AF1B-B1EBD196F318}">
  <sheetPr codeName="Sheet1">
    <tabColor theme="0" tint="-0.249977111117893"/>
  </sheetPr>
  <dimension ref="C5:J16"/>
  <sheetViews>
    <sheetView showGridLines="0" tabSelected="1" workbookViewId="0">
      <selection activeCell="F12" sqref="F12"/>
    </sheetView>
  </sheetViews>
  <sheetFormatPr defaultRowHeight="12.5" x14ac:dyDescent="0.4"/>
  <cols>
    <col min="1" max="16384" width="8.7265625" style="1"/>
  </cols>
  <sheetData>
    <row r="5" spans="3:10" ht="13" thickBot="1" x14ac:dyDescent="0.45"/>
    <row r="6" spans="3:10" x14ac:dyDescent="0.4">
      <c r="C6" s="65"/>
      <c r="D6" s="66" t="s">
        <v>2112</v>
      </c>
      <c r="E6" s="67"/>
      <c r="F6" s="67"/>
      <c r="G6" s="67"/>
      <c r="H6" s="67"/>
      <c r="I6" s="67"/>
      <c r="J6" s="68"/>
    </row>
    <row r="7" spans="3:10" x14ac:dyDescent="0.4">
      <c r="C7" s="69">
        <v>1</v>
      </c>
      <c r="D7" s="70" t="s">
        <v>2113</v>
      </c>
      <c r="E7" s="70"/>
      <c r="F7" s="70"/>
      <c r="G7" s="70"/>
      <c r="H7" s="70"/>
      <c r="I7" s="70"/>
      <c r="J7" s="71"/>
    </row>
    <row r="8" spans="3:10" x14ac:dyDescent="0.4">
      <c r="C8" s="69">
        <v>2</v>
      </c>
      <c r="D8" s="70" t="s">
        <v>2114</v>
      </c>
      <c r="E8" s="70"/>
      <c r="F8" s="70"/>
      <c r="G8" s="70"/>
      <c r="H8" s="70"/>
      <c r="I8" s="70"/>
      <c r="J8" s="71"/>
    </row>
    <row r="9" spans="3:10" x14ac:dyDescent="0.4">
      <c r="C9" s="69">
        <v>3</v>
      </c>
      <c r="D9" s="70" t="s">
        <v>2115</v>
      </c>
      <c r="E9" s="70"/>
      <c r="F9" s="70"/>
      <c r="G9" s="70"/>
      <c r="H9" s="70"/>
      <c r="I9" s="70"/>
      <c r="J9" s="71"/>
    </row>
    <row r="10" spans="3:10" x14ac:dyDescent="0.4">
      <c r="C10" s="72"/>
      <c r="D10" s="70"/>
      <c r="E10" s="70"/>
      <c r="F10" s="70"/>
      <c r="G10" s="70"/>
      <c r="H10" s="70"/>
      <c r="I10" s="70"/>
      <c r="J10" s="71"/>
    </row>
    <row r="11" spans="3:10" x14ac:dyDescent="0.4">
      <c r="C11" s="72"/>
      <c r="D11" s="73" t="s">
        <v>2116</v>
      </c>
      <c r="E11" s="70"/>
      <c r="F11" s="70"/>
      <c r="G11" s="70"/>
      <c r="H11" s="70"/>
      <c r="I11" s="70"/>
      <c r="J11" s="71"/>
    </row>
    <row r="12" spans="3:10" x14ac:dyDescent="0.4">
      <c r="C12" s="69">
        <v>1</v>
      </c>
      <c r="D12" s="70" t="s">
        <v>2117</v>
      </c>
      <c r="E12" s="70"/>
      <c r="F12" s="70"/>
      <c r="G12" s="70"/>
      <c r="H12" s="70"/>
      <c r="I12" s="70"/>
      <c r="J12" s="71"/>
    </row>
    <row r="13" spans="3:10" x14ac:dyDescent="0.4">
      <c r="C13" s="69">
        <v>2</v>
      </c>
      <c r="D13" s="70" t="s">
        <v>2118</v>
      </c>
      <c r="E13" s="70"/>
      <c r="F13" s="70"/>
      <c r="G13" s="70"/>
      <c r="H13" s="70"/>
      <c r="I13" s="70"/>
      <c r="J13" s="71"/>
    </row>
    <row r="14" spans="3:10" x14ac:dyDescent="0.4">
      <c r="C14" s="69">
        <v>3</v>
      </c>
      <c r="D14" s="70" t="s">
        <v>2119</v>
      </c>
      <c r="E14" s="70"/>
      <c r="F14" s="70"/>
      <c r="G14" s="70"/>
      <c r="H14" s="70"/>
      <c r="I14" s="70"/>
      <c r="J14" s="71"/>
    </row>
    <row r="15" spans="3:10" x14ac:dyDescent="0.4">
      <c r="C15" s="72"/>
      <c r="D15" s="70"/>
      <c r="E15" s="70"/>
      <c r="F15" s="70"/>
      <c r="G15" s="70"/>
      <c r="H15" s="70"/>
      <c r="I15" s="70"/>
      <c r="J15" s="71"/>
    </row>
    <row r="16" spans="3:10" ht="13" thickBot="1" x14ac:dyDescent="0.45">
      <c r="C16" s="74"/>
      <c r="D16" s="75"/>
      <c r="E16" s="75"/>
      <c r="F16" s="75"/>
      <c r="G16" s="75"/>
      <c r="H16" s="75"/>
      <c r="I16" s="75"/>
      <c r="J16" s="7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0FCF5-9C97-47A9-996E-6F79F39E11C4}">
  <sheetPr>
    <tabColor rgb="FF00B050"/>
  </sheetPr>
  <dimension ref="B1:F124"/>
  <sheetViews>
    <sheetView topLeftCell="A3" workbookViewId="0">
      <selection activeCell="E3" sqref="E3"/>
    </sheetView>
  </sheetViews>
  <sheetFormatPr defaultRowHeight="14.5" x14ac:dyDescent="0.35"/>
  <cols>
    <col min="1" max="1" width="1.6328125" customWidth="1"/>
    <col min="2" max="2" width="40.08984375" bestFit="1" customWidth="1"/>
    <col min="3" max="3" width="8.81640625" bestFit="1" customWidth="1"/>
    <col min="4" max="4" width="8.36328125" bestFit="1" customWidth="1"/>
    <col min="5" max="5" width="13.81640625" bestFit="1" customWidth="1"/>
    <col min="6" max="6" width="44.26953125" bestFit="1" customWidth="1"/>
  </cols>
  <sheetData>
    <row r="1" spans="2:6" ht="6" customHeight="1" x14ac:dyDescent="0.35"/>
    <row r="2" spans="2:6" ht="8" customHeight="1" x14ac:dyDescent="0.35"/>
    <row r="3" spans="2:6" x14ac:dyDescent="0.35">
      <c r="B3" s="226" t="s">
        <v>2176</v>
      </c>
      <c r="C3" s="222" t="s">
        <v>2175</v>
      </c>
      <c r="D3" s="222" t="s">
        <v>405</v>
      </c>
      <c r="E3" s="222" t="s">
        <v>394</v>
      </c>
      <c r="F3" s="227" t="s">
        <v>2177</v>
      </c>
    </row>
    <row r="4" spans="2:6" x14ac:dyDescent="0.35">
      <c r="B4" s="224" t="s">
        <v>1495</v>
      </c>
      <c r="C4" s="223" t="s">
        <v>439</v>
      </c>
      <c r="D4" s="220" t="s">
        <v>393</v>
      </c>
      <c r="E4" s="221">
        <v>3</v>
      </c>
      <c r="F4" s="221" t="str">
        <f>_xlfn.CONCAT(B4,C4)</f>
        <v>Lease hold Improvements15-16</v>
      </c>
    </row>
    <row r="5" spans="2:6" x14ac:dyDescent="0.35">
      <c r="B5" s="224" t="s">
        <v>32</v>
      </c>
      <c r="C5" s="223" t="s">
        <v>439</v>
      </c>
      <c r="D5" s="220" t="s">
        <v>392</v>
      </c>
      <c r="E5" s="221">
        <v>3</v>
      </c>
      <c r="F5" s="221" t="str">
        <f t="shared" ref="F5:F68" si="0">_xlfn.CONCAT(B5,C5)</f>
        <v>Router15-16</v>
      </c>
    </row>
    <row r="6" spans="2:6" x14ac:dyDescent="0.35">
      <c r="B6" s="224" t="s">
        <v>1389</v>
      </c>
      <c r="C6" s="223" t="s">
        <v>439</v>
      </c>
      <c r="D6" s="220" t="s">
        <v>392</v>
      </c>
      <c r="E6" s="221">
        <v>3</v>
      </c>
      <c r="F6" s="221" t="str">
        <f t="shared" si="0"/>
        <v>ONU-Optical Network Unit 15-16</v>
      </c>
    </row>
    <row r="7" spans="2:6" x14ac:dyDescent="0.35">
      <c r="B7" s="224" t="s">
        <v>1320</v>
      </c>
      <c r="C7" s="223" t="s">
        <v>439</v>
      </c>
      <c r="D7" s="220" t="s">
        <v>392</v>
      </c>
      <c r="E7" s="221">
        <v>3</v>
      </c>
      <c r="F7" s="221" t="str">
        <f t="shared" si="0"/>
        <v>ONT-Optical Network Terminal15-16</v>
      </c>
    </row>
    <row r="8" spans="2:6" x14ac:dyDescent="0.35">
      <c r="B8" s="225" t="s">
        <v>1436</v>
      </c>
      <c r="C8" s="223" t="s">
        <v>439</v>
      </c>
      <c r="D8" s="220" t="s">
        <v>392</v>
      </c>
      <c r="E8" s="221">
        <v>3</v>
      </c>
      <c r="F8" s="221" t="str">
        <f t="shared" si="0"/>
        <v>Splicer Machine &amp; EAP 610 Access Point Ceiling Mount15-16</v>
      </c>
    </row>
    <row r="9" spans="2:6" x14ac:dyDescent="0.35">
      <c r="B9" s="223" t="s">
        <v>523</v>
      </c>
      <c r="C9" s="223" t="s">
        <v>439</v>
      </c>
      <c r="D9" s="220" t="s">
        <v>392</v>
      </c>
      <c r="E9" s="221">
        <v>10</v>
      </c>
      <c r="F9" s="221" t="str">
        <f t="shared" si="0"/>
        <v>Furniture &amp; Fixtures15-16</v>
      </c>
    </row>
    <row r="10" spans="2:6" x14ac:dyDescent="0.35">
      <c r="B10" s="223" t="s">
        <v>749</v>
      </c>
      <c r="C10" s="223" t="s">
        <v>439</v>
      </c>
      <c r="D10" s="220" t="s">
        <v>392</v>
      </c>
      <c r="E10" s="221">
        <v>5</v>
      </c>
      <c r="F10" s="221" t="str">
        <f t="shared" si="0"/>
        <v>Office equipment15-16</v>
      </c>
    </row>
    <row r="11" spans="2:6" x14ac:dyDescent="0.35">
      <c r="B11" s="223" t="s">
        <v>445</v>
      </c>
      <c r="C11" s="223" t="s">
        <v>439</v>
      </c>
      <c r="D11" s="220" t="s">
        <v>392</v>
      </c>
      <c r="E11" s="221">
        <v>5</v>
      </c>
      <c r="F11" s="221" t="str">
        <f t="shared" si="0"/>
        <v>Mobile phone15-16</v>
      </c>
    </row>
    <row r="12" spans="2:6" x14ac:dyDescent="0.35">
      <c r="B12" s="223" t="s">
        <v>451</v>
      </c>
      <c r="C12" s="223" t="s">
        <v>439</v>
      </c>
      <c r="D12" s="220" t="s">
        <v>392</v>
      </c>
      <c r="E12" s="221">
        <v>3</v>
      </c>
      <c r="F12" s="221" t="str">
        <f t="shared" si="0"/>
        <v>Laptop &amp; computer15-16</v>
      </c>
    </row>
    <row r="13" spans="2:6" x14ac:dyDescent="0.35">
      <c r="B13" s="223" t="s">
        <v>2124</v>
      </c>
      <c r="C13" s="223" t="s">
        <v>439</v>
      </c>
      <c r="D13" s="220" t="s">
        <v>393</v>
      </c>
      <c r="E13" s="221">
        <v>5</v>
      </c>
      <c r="F13" s="221" t="str">
        <f t="shared" si="0"/>
        <v>Computer Software#15-16</v>
      </c>
    </row>
    <row r="14" spans="2:6" x14ac:dyDescent="0.35">
      <c r="B14" s="223" t="s">
        <v>2125</v>
      </c>
      <c r="C14" s="223" t="s">
        <v>439</v>
      </c>
      <c r="D14" s="220" t="s">
        <v>393</v>
      </c>
      <c r="E14" s="221">
        <v>10</v>
      </c>
      <c r="F14" s="221" t="str">
        <f t="shared" si="0"/>
        <v>Website*15-16</v>
      </c>
    </row>
    <row r="15" spans="2:6" x14ac:dyDescent="0.35">
      <c r="B15" s="224" t="s">
        <v>1495</v>
      </c>
      <c r="C15" s="223" t="s">
        <v>559</v>
      </c>
      <c r="D15" s="220" t="s">
        <v>393</v>
      </c>
      <c r="E15" s="221">
        <v>3</v>
      </c>
      <c r="F15" s="221" t="str">
        <f t="shared" si="0"/>
        <v>Lease hold Improvements16-17</v>
      </c>
    </row>
    <row r="16" spans="2:6" x14ac:dyDescent="0.35">
      <c r="B16" s="224" t="s">
        <v>32</v>
      </c>
      <c r="C16" s="223" t="s">
        <v>559</v>
      </c>
      <c r="D16" s="220" t="s">
        <v>392</v>
      </c>
      <c r="E16" s="221">
        <v>3</v>
      </c>
      <c r="F16" s="221" t="str">
        <f t="shared" si="0"/>
        <v>Router16-17</v>
      </c>
    </row>
    <row r="17" spans="2:6" x14ac:dyDescent="0.35">
      <c r="B17" s="224" t="s">
        <v>1389</v>
      </c>
      <c r="C17" s="223" t="s">
        <v>559</v>
      </c>
      <c r="D17" s="220" t="s">
        <v>392</v>
      </c>
      <c r="E17" s="221">
        <v>3</v>
      </c>
      <c r="F17" s="221" t="str">
        <f t="shared" si="0"/>
        <v>ONU-Optical Network Unit 16-17</v>
      </c>
    </row>
    <row r="18" spans="2:6" x14ac:dyDescent="0.35">
      <c r="B18" s="224" t="s">
        <v>1320</v>
      </c>
      <c r="C18" s="223" t="s">
        <v>559</v>
      </c>
      <c r="D18" s="220" t="s">
        <v>392</v>
      </c>
      <c r="E18" s="221">
        <v>3</v>
      </c>
      <c r="F18" s="221" t="str">
        <f t="shared" si="0"/>
        <v>ONT-Optical Network Terminal16-17</v>
      </c>
    </row>
    <row r="19" spans="2:6" x14ac:dyDescent="0.35">
      <c r="B19" s="225" t="s">
        <v>1436</v>
      </c>
      <c r="C19" s="223" t="s">
        <v>559</v>
      </c>
      <c r="D19" s="220" t="s">
        <v>392</v>
      </c>
      <c r="E19" s="221">
        <v>3</v>
      </c>
      <c r="F19" s="221" t="str">
        <f t="shared" si="0"/>
        <v>Splicer Machine &amp; EAP 610 Access Point Ceiling Mount16-17</v>
      </c>
    </row>
    <row r="20" spans="2:6" x14ac:dyDescent="0.35">
      <c r="B20" s="223" t="s">
        <v>523</v>
      </c>
      <c r="C20" s="223" t="s">
        <v>559</v>
      </c>
      <c r="D20" s="220" t="s">
        <v>392</v>
      </c>
      <c r="E20" s="221">
        <v>10</v>
      </c>
      <c r="F20" s="221" t="str">
        <f t="shared" si="0"/>
        <v>Furniture &amp; Fixtures16-17</v>
      </c>
    </row>
    <row r="21" spans="2:6" x14ac:dyDescent="0.35">
      <c r="B21" s="223" t="s">
        <v>749</v>
      </c>
      <c r="C21" s="223" t="s">
        <v>559</v>
      </c>
      <c r="D21" s="220" t="s">
        <v>392</v>
      </c>
      <c r="E21" s="221">
        <v>5</v>
      </c>
      <c r="F21" s="221" t="str">
        <f t="shared" si="0"/>
        <v>Office equipment16-17</v>
      </c>
    </row>
    <row r="22" spans="2:6" x14ac:dyDescent="0.35">
      <c r="B22" s="223" t="s">
        <v>445</v>
      </c>
      <c r="C22" s="223" t="s">
        <v>559</v>
      </c>
      <c r="D22" s="220" t="s">
        <v>392</v>
      </c>
      <c r="E22" s="221">
        <v>5</v>
      </c>
      <c r="F22" s="221" t="str">
        <f t="shared" si="0"/>
        <v>Mobile phone16-17</v>
      </c>
    </row>
    <row r="23" spans="2:6" x14ac:dyDescent="0.35">
      <c r="B23" s="223" t="s">
        <v>451</v>
      </c>
      <c r="C23" s="223" t="s">
        <v>559</v>
      </c>
      <c r="D23" s="220" t="s">
        <v>392</v>
      </c>
      <c r="E23" s="221">
        <v>3</v>
      </c>
      <c r="F23" s="221" t="str">
        <f t="shared" si="0"/>
        <v>Laptop &amp; computer16-17</v>
      </c>
    </row>
    <row r="24" spans="2:6" x14ac:dyDescent="0.35">
      <c r="B24" s="223" t="s">
        <v>2124</v>
      </c>
      <c r="C24" s="223" t="s">
        <v>559</v>
      </c>
      <c r="D24" s="220" t="s">
        <v>393</v>
      </c>
      <c r="E24" s="221">
        <v>5</v>
      </c>
      <c r="F24" s="221" t="str">
        <f t="shared" si="0"/>
        <v>Computer Software#16-17</v>
      </c>
    </row>
    <row r="25" spans="2:6" x14ac:dyDescent="0.35">
      <c r="B25" s="223" t="s">
        <v>2125</v>
      </c>
      <c r="C25" s="223" t="s">
        <v>559</v>
      </c>
      <c r="D25" s="220" t="s">
        <v>393</v>
      </c>
      <c r="E25" s="221">
        <v>10</v>
      </c>
      <c r="F25" s="221" t="str">
        <f t="shared" si="0"/>
        <v>Website*16-17</v>
      </c>
    </row>
    <row r="26" spans="2:6" x14ac:dyDescent="0.35">
      <c r="B26" s="224" t="s">
        <v>1495</v>
      </c>
      <c r="C26" s="223" t="s">
        <v>731</v>
      </c>
      <c r="D26" s="220" t="s">
        <v>393</v>
      </c>
      <c r="E26" s="221">
        <v>3</v>
      </c>
      <c r="F26" s="221" t="str">
        <f t="shared" si="0"/>
        <v>Lease hold Improvements17-18</v>
      </c>
    </row>
    <row r="27" spans="2:6" x14ac:dyDescent="0.35">
      <c r="B27" s="224" t="s">
        <v>32</v>
      </c>
      <c r="C27" s="223" t="s">
        <v>731</v>
      </c>
      <c r="D27" s="220" t="s">
        <v>392</v>
      </c>
      <c r="E27" s="221">
        <v>3</v>
      </c>
      <c r="F27" s="221" t="str">
        <f t="shared" si="0"/>
        <v>Router17-18</v>
      </c>
    </row>
    <row r="28" spans="2:6" x14ac:dyDescent="0.35">
      <c r="B28" s="224" t="s">
        <v>1389</v>
      </c>
      <c r="C28" s="223" t="s">
        <v>731</v>
      </c>
      <c r="D28" s="220" t="s">
        <v>392</v>
      </c>
      <c r="E28" s="221">
        <v>3</v>
      </c>
      <c r="F28" s="221" t="str">
        <f t="shared" si="0"/>
        <v>ONU-Optical Network Unit 17-18</v>
      </c>
    </row>
    <row r="29" spans="2:6" x14ac:dyDescent="0.35">
      <c r="B29" s="224" t="s">
        <v>1320</v>
      </c>
      <c r="C29" s="223" t="s">
        <v>731</v>
      </c>
      <c r="D29" s="220" t="s">
        <v>392</v>
      </c>
      <c r="E29" s="221">
        <v>3</v>
      </c>
      <c r="F29" s="221" t="str">
        <f t="shared" si="0"/>
        <v>ONT-Optical Network Terminal17-18</v>
      </c>
    </row>
    <row r="30" spans="2:6" x14ac:dyDescent="0.35">
      <c r="B30" s="225" t="s">
        <v>1436</v>
      </c>
      <c r="C30" s="223" t="s">
        <v>731</v>
      </c>
      <c r="D30" s="220" t="s">
        <v>392</v>
      </c>
      <c r="E30" s="221">
        <v>3</v>
      </c>
      <c r="F30" s="221" t="str">
        <f t="shared" si="0"/>
        <v>Splicer Machine &amp; EAP 610 Access Point Ceiling Mount17-18</v>
      </c>
    </row>
    <row r="31" spans="2:6" x14ac:dyDescent="0.35">
      <c r="B31" s="223" t="s">
        <v>523</v>
      </c>
      <c r="C31" s="223" t="s">
        <v>731</v>
      </c>
      <c r="D31" s="220" t="s">
        <v>392</v>
      </c>
      <c r="E31" s="221">
        <v>10</v>
      </c>
      <c r="F31" s="221" t="str">
        <f t="shared" si="0"/>
        <v>Furniture &amp; Fixtures17-18</v>
      </c>
    </row>
    <row r="32" spans="2:6" x14ac:dyDescent="0.35">
      <c r="B32" s="223" t="s">
        <v>749</v>
      </c>
      <c r="C32" s="223" t="s">
        <v>731</v>
      </c>
      <c r="D32" s="220" t="s">
        <v>392</v>
      </c>
      <c r="E32" s="221">
        <v>5</v>
      </c>
      <c r="F32" s="221" t="str">
        <f t="shared" si="0"/>
        <v>Office equipment17-18</v>
      </c>
    </row>
    <row r="33" spans="2:6" x14ac:dyDescent="0.35">
      <c r="B33" s="223" t="s">
        <v>445</v>
      </c>
      <c r="C33" s="223" t="s">
        <v>731</v>
      </c>
      <c r="D33" s="220" t="s">
        <v>392</v>
      </c>
      <c r="E33" s="221">
        <v>5</v>
      </c>
      <c r="F33" s="221" t="str">
        <f t="shared" si="0"/>
        <v>Mobile phone17-18</v>
      </c>
    </row>
    <row r="34" spans="2:6" x14ac:dyDescent="0.35">
      <c r="B34" s="223" t="s">
        <v>451</v>
      </c>
      <c r="C34" s="223" t="s">
        <v>731</v>
      </c>
      <c r="D34" s="220" t="s">
        <v>392</v>
      </c>
      <c r="E34" s="221">
        <v>3</v>
      </c>
      <c r="F34" s="221" t="str">
        <f t="shared" si="0"/>
        <v>Laptop &amp; computer17-18</v>
      </c>
    </row>
    <row r="35" spans="2:6" x14ac:dyDescent="0.35">
      <c r="B35" s="223" t="s">
        <v>2124</v>
      </c>
      <c r="C35" s="223" t="s">
        <v>731</v>
      </c>
      <c r="D35" s="220" t="s">
        <v>393</v>
      </c>
      <c r="E35" s="221">
        <v>5</v>
      </c>
      <c r="F35" s="221" t="str">
        <f t="shared" si="0"/>
        <v>Computer Software#17-18</v>
      </c>
    </row>
    <row r="36" spans="2:6" x14ac:dyDescent="0.35">
      <c r="B36" s="223" t="s">
        <v>2125</v>
      </c>
      <c r="C36" s="223" t="s">
        <v>731</v>
      </c>
      <c r="D36" s="220" t="s">
        <v>393</v>
      </c>
      <c r="E36" s="221">
        <v>10</v>
      </c>
      <c r="F36" s="221" t="str">
        <f t="shared" si="0"/>
        <v>Website*17-18</v>
      </c>
    </row>
    <row r="37" spans="2:6" x14ac:dyDescent="0.35">
      <c r="B37" s="224" t="s">
        <v>1495</v>
      </c>
      <c r="C37" s="223" t="s">
        <v>902</v>
      </c>
      <c r="D37" s="220" t="s">
        <v>393</v>
      </c>
      <c r="E37" s="221">
        <v>3</v>
      </c>
      <c r="F37" s="221" t="str">
        <f t="shared" si="0"/>
        <v>Lease hold Improvements18-19</v>
      </c>
    </row>
    <row r="38" spans="2:6" x14ac:dyDescent="0.35">
      <c r="B38" s="224" t="s">
        <v>32</v>
      </c>
      <c r="C38" s="223" t="s">
        <v>902</v>
      </c>
      <c r="D38" s="220" t="s">
        <v>392</v>
      </c>
      <c r="E38" s="221">
        <v>3</v>
      </c>
      <c r="F38" s="221" t="str">
        <f t="shared" si="0"/>
        <v>Router18-19</v>
      </c>
    </row>
    <row r="39" spans="2:6" x14ac:dyDescent="0.35">
      <c r="B39" s="224" t="s">
        <v>1389</v>
      </c>
      <c r="C39" s="223" t="s">
        <v>902</v>
      </c>
      <c r="D39" s="220" t="s">
        <v>392</v>
      </c>
      <c r="E39" s="221">
        <v>3</v>
      </c>
      <c r="F39" s="221" t="str">
        <f t="shared" si="0"/>
        <v>ONU-Optical Network Unit 18-19</v>
      </c>
    </row>
    <row r="40" spans="2:6" x14ac:dyDescent="0.35">
      <c r="B40" s="224" t="s">
        <v>1320</v>
      </c>
      <c r="C40" s="223" t="s">
        <v>902</v>
      </c>
      <c r="D40" s="220" t="s">
        <v>392</v>
      </c>
      <c r="E40" s="221">
        <v>3</v>
      </c>
      <c r="F40" s="221" t="str">
        <f t="shared" si="0"/>
        <v>ONT-Optical Network Terminal18-19</v>
      </c>
    </row>
    <row r="41" spans="2:6" x14ac:dyDescent="0.35">
      <c r="B41" s="225" t="s">
        <v>1436</v>
      </c>
      <c r="C41" s="223" t="s">
        <v>902</v>
      </c>
      <c r="D41" s="220" t="s">
        <v>392</v>
      </c>
      <c r="E41" s="221">
        <v>3</v>
      </c>
      <c r="F41" s="221" t="str">
        <f t="shared" si="0"/>
        <v>Splicer Machine &amp; EAP 610 Access Point Ceiling Mount18-19</v>
      </c>
    </row>
    <row r="42" spans="2:6" x14ac:dyDescent="0.35">
      <c r="B42" s="223" t="s">
        <v>523</v>
      </c>
      <c r="C42" s="223" t="s">
        <v>902</v>
      </c>
      <c r="D42" s="220" t="s">
        <v>392</v>
      </c>
      <c r="E42" s="221">
        <v>10</v>
      </c>
      <c r="F42" s="221" t="str">
        <f t="shared" si="0"/>
        <v>Furniture &amp; Fixtures18-19</v>
      </c>
    </row>
    <row r="43" spans="2:6" x14ac:dyDescent="0.35">
      <c r="B43" s="223" t="s">
        <v>749</v>
      </c>
      <c r="C43" s="223" t="s">
        <v>902</v>
      </c>
      <c r="D43" s="220" t="s">
        <v>392</v>
      </c>
      <c r="E43" s="221">
        <v>5</v>
      </c>
      <c r="F43" s="221" t="str">
        <f t="shared" si="0"/>
        <v>Office equipment18-19</v>
      </c>
    </row>
    <row r="44" spans="2:6" x14ac:dyDescent="0.35">
      <c r="B44" s="223" t="s">
        <v>445</v>
      </c>
      <c r="C44" s="223" t="s">
        <v>902</v>
      </c>
      <c r="D44" s="220" t="s">
        <v>392</v>
      </c>
      <c r="E44" s="221">
        <v>5</v>
      </c>
      <c r="F44" s="221" t="str">
        <f t="shared" si="0"/>
        <v>Mobile phone18-19</v>
      </c>
    </row>
    <row r="45" spans="2:6" x14ac:dyDescent="0.35">
      <c r="B45" s="223" t="s">
        <v>451</v>
      </c>
      <c r="C45" s="223" t="s">
        <v>902</v>
      </c>
      <c r="D45" s="220" t="s">
        <v>392</v>
      </c>
      <c r="E45" s="221">
        <v>3</v>
      </c>
      <c r="F45" s="221" t="str">
        <f t="shared" si="0"/>
        <v>Laptop &amp; computer18-19</v>
      </c>
    </row>
    <row r="46" spans="2:6" x14ac:dyDescent="0.35">
      <c r="B46" s="223" t="s">
        <v>2124</v>
      </c>
      <c r="C46" s="223" t="s">
        <v>902</v>
      </c>
      <c r="D46" s="220" t="s">
        <v>393</v>
      </c>
      <c r="E46" s="221">
        <v>5</v>
      </c>
      <c r="F46" s="221" t="str">
        <f t="shared" si="0"/>
        <v>Computer Software#18-19</v>
      </c>
    </row>
    <row r="47" spans="2:6" x14ac:dyDescent="0.35">
      <c r="B47" s="223" t="s">
        <v>2125</v>
      </c>
      <c r="C47" s="223" t="s">
        <v>902</v>
      </c>
      <c r="D47" s="220" t="s">
        <v>393</v>
      </c>
      <c r="E47" s="221">
        <v>10</v>
      </c>
      <c r="F47" s="221" t="str">
        <f t="shared" si="0"/>
        <v>Website*18-19</v>
      </c>
    </row>
    <row r="48" spans="2:6" x14ac:dyDescent="0.35">
      <c r="B48" s="224" t="s">
        <v>1495</v>
      </c>
      <c r="C48" s="223" t="s">
        <v>1018</v>
      </c>
      <c r="D48" s="220" t="s">
        <v>393</v>
      </c>
      <c r="E48" s="221">
        <v>3</v>
      </c>
      <c r="F48" s="221" t="str">
        <f t="shared" si="0"/>
        <v>Lease hold Improvements19-20</v>
      </c>
    </row>
    <row r="49" spans="2:6" x14ac:dyDescent="0.35">
      <c r="B49" s="224" t="s">
        <v>32</v>
      </c>
      <c r="C49" s="223" t="s">
        <v>1018</v>
      </c>
      <c r="D49" s="220" t="s">
        <v>392</v>
      </c>
      <c r="E49" s="221">
        <v>3</v>
      </c>
      <c r="F49" s="221" t="str">
        <f t="shared" si="0"/>
        <v>Router19-20</v>
      </c>
    </row>
    <row r="50" spans="2:6" x14ac:dyDescent="0.35">
      <c r="B50" s="224" t="s">
        <v>1389</v>
      </c>
      <c r="C50" s="223" t="s">
        <v>1018</v>
      </c>
      <c r="D50" s="220" t="s">
        <v>392</v>
      </c>
      <c r="E50" s="221">
        <v>3</v>
      </c>
      <c r="F50" s="221" t="str">
        <f t="shared" si="0"/>
        <v>ONU-Optical Network Unit 19-20</v>
      </c>
    </row>
    <row r="51" spans="2:6" x14ac:dyDescent="0.35">
      <c r="B51" s="224" t="s">
        <v>1320</v>
      </c>
      <c r="C51" s="223" t="s">
        <v>1018</v>
      </c>
      <c r="D51" s="220" t="s">
        <v>392</v>
      </c>
      <c r="E51" s="221">
        <v>3</v>
      </c>
      <c r="F51" s="221" t="str">
        <f t="shared" si="0"/>
        <v>ONT-Optical Network Terminal19-20</v>
      </c>
    </row>
    <row r="52" spans="2:6" x14ac:dyDescent="0.35">
      <c r="B52" s="225" t="s">
        <v>1436</v>
      </c>
      <c r="C52" s="223" t="s">
        <v>1018</v>
      </c>
      <c r="D52" s="220" t="s">
        <v>392</v>
      </c>
      <c r="E52" s="221">
        <v>3</v>
      </c>
      <c r="F52" s="221" t="str">
        <f t="shared" si="0"/>
        <v>Splicer Machine &amp; EAP 610 Access Point Ceiling Mount19-20</v>
      </c>
    </row>
    <row r="53" spans="2:6" x14ac:dyDescent="0.35">
      <c r="B53" s="223" t="s">
        <v>523</v>
      </c>
      <c r="C53" s="223" t="s">
        <v>1018</v>
      </c>
      <c r="D53" s="220" t="s">
        <v>392</v>
      </c>
      <c r="E53" s="221">
        <v>10</v>
      </c>
      <c r="F53" s="221" t="str">
        <f t="shared" si="0"/>
        <v>Furniture &amp; Fixtures19-20</v>
      </c>
    </row>
    <row r="54" spans="2:6" x14ac:dyDescent="0.35">
      <c r="B54" s="223" t="s">
        <v>749</v>
      </c>
      <c r="C54" s="223" t="s">
        <v>1018</v>
      </c>
      <c r="D54" s="220" t="s">
        <v>392</v>
      </c>
      <c r="E54" s="221">
        <v>5</v>
      </c>
      <c r="F54" s="221" t="str">
        <f t="shared" si="0"/>
        <v>Office equipment19-20</v>
      </c>
    </row>
    <row r="55" spans="2:6" x14ac:dyDescent="0.35">
      <c r="B55" s="223" t="s">
        <v>445</v>
      </c>
      <c r="C55" s="223" t="s">
        <v>1018</v>
      </c>
      <c r="D55" s="220" t="s">
        <v>392</v>
      </c>
      <c r="E55" s="221">
        <v>5</v>
      </c>
      <c r="F55" s="221" t="str">
        <f t="shared" si="0"/>
        <v>Mobile phone19-20</v>
      </c>
    </row>
    <row r="56" spans="2:6" x14ac:dyDescent="0.35">
      <c r="B56" s="223" t="s">
        <v>451</v>
      </c>
      <c r="C56" s="223" t="s">
        <v>1018</v>
      </c>
      <c r="D56" s="220" t="s">
        <v>392</v>
      </c>
      <c r="E56" s="221">
        <v>3</v>
      </c>
      <c r="F56" s="221" t="str">
        <f t="shared" si="0"/>
        <v>Laptop &amp; computer19-20</v>
      </c>
    </row>
    <row r="57" spans="2:6" x14ac:dyDescent="0.35">
      <c r="B57" s="223" t="s">
        <v>2124</v>
      </c>
      <c r="C57" s="223" t="s">
        <v>1018</v>
      </c>
      <c r="D57" s="220" t="s">
        <v>393</v>
      </c>
      <c r="E57" s="221">
        <v>5</v>
      </c>
      <c r="F57" s="221" t="str">
        <f t="shared" si="0"/>
        <v>Computer Software#19-20</v>
      </c>
    </row>
    <row r="58" spans="2:6" x14ac:dyDescent="0.35">
      <c r="B58" s="223" t="s">
        <v>2125</v>
      </c>
      <c r="C58" s="223" t="s">
        <v>1018</v>
      </c>
      <c r="D58" s="220" t="s">
        <v>393</v>
      </c>
      <c r="E58" s="221">
        <v>10</v>
      </c>
      <c r="F58" s="221" t="str">
        <f t="shared" si="0"/>
        <v>Website*19-20</v>
      </c>
    </row>
    <row r="59" spans="2:6" x14ac:dyDescent="0.35">
      <c r="B59" s="224" t="s">
        <v>1495</v>
      </c>
      <c r="C59" s="223" t="s">
        <v>1069</v>
      </c>
      <c r="D59" s="220" t="s">
        <v>393</v>
      </c>
      <c r="E59" s="221">
        <v>3</v>
      </c>
      <c r="F59" s="221" t="str">
        <f t="shared" si="0"/>
        <v>Lease hold Improvements20-21</v>
      </c>
    </row>
    <row r="60" spans="2:6" x14ac:dyDescent="0.35">
      <c r="B60" s="224" t="s">
        <v>32</v>
      </c>
      <c r="C60" s="223" t="s">
        <v>1069</v>
      </c>
      <c r="D60" s="220" t="s">
        <v>392</v>
      </c>
      <c r="E60" s="221">
        <v>3</v>
      </c>
      <c r="F60" s="221" t="str">
        <f t="shared" si="0"/>
        <v>Router20-21</v>
      </c>
    </row>
    <row r="61" spans="2:6" x14ac:dyDescent="0.35">
      <c r="B61" s="224" t="s">
        <v>1389</v>
      </c>
      <c r="C61" s="223" t="s">
        <v>1069</v>
      </c>
      <c r="D61" s="220" t="s">
        <v>392</v>
      </c>
      <c r="E61" s="221">
        <v>3</v>
      </c>
      <c r="F61" s="221" t="str">
        <f t="shared" si="0"/>
        <v>ONU-Optical Network Unit 20-21</v>
      </c>
    </row>
    <row r="62" spans="2:6" x14ac:dyDescent="0.35">
      <c r="B62" s="224" t="s">
        <v>1320</v>
      </c>
      <c r="C62" s="223" t="s">
        <v>1069</v>
      </c>
      <c r="D62" s="220" t="s">
        <v>392</v>
      </c>
      <c r="E62" s="221">
        <v>3</v>
      </c>
      <c r="F62" s="221" t="str">
        <f t="shared" si="0"/>
        <v>ONT-Optical Network Terminal20-21</v>
      </c>
    </row>
    <row r="63" spans="2:6" x14ac:dyDescent="0.35">
      <c r="B63" s="225" t="s">
        <v>1436</v>
      </c>
      <c r="C63" s="223" t="s">
        <v>1069</v>
      </c>
      <c r="D63" s="220" t="s">
        <v>392</v>
      </c>
      <c r="E63" s="221">
        <v>3</v>
      </c>
      <c r="F63" s="221" t="str">
        <f t="shared" si="0"/>
        <v>Splicer Machine &amp; EAP 610 Access Point Ceiling Mount20-21</v>
      </c>
    </row>
    <row r="64" spans="2:6" x14ac:dyDescent="0.35">
      <c r="B64" s="223" t="s">
        <v>523</v>
      </c>
      <c r="C64" s="223" t="s">
        <v>1069</v>
      </c>
      <c r="D64" s="220" t="s">
        <v>392</v>
      </c>
      <c r="E64" s="221">
        <v>10</v>
      </c>
      <c r="F64" s="221" t="str">
        <f t="shared" si="0"/>
        <v>Furniture &amp; Fixtures20-21</v>
      </c>
    </row>
    <row r="65" spans="2:6" x14ac:dyDescent="0.35">
      <c r="B65" s="223" t="s">
        <v>749</v>
      </c>
      <c r="C65" s="223" t="s">
        <v>1069</v>
      </c>
      <c r="D65" s="220" t="s">
        <v>392</v>
      </c>
      <c r="E65" s="221">
        <v>5</v>
      </c>
      <c r="F65" s="221" t="str">
        <f t="shared" si="0"/>
        <v>Office equipment20-21</v>
      </c>
    </row>
    <row r="66" spans="2:6" x14ac:dyDescent="0.35">
      <c r="B66" s="223" t="s">
        <v>445</v>
      </c>
      <c r="C66" s="223" t="s">
        <v>1069</v>
      </c>
      <c r="D66" s="220" t="s">
        <v>392</v>
      </c>
      <c r="E66" s="221">
        <v>5</v>
      </c>
      <c r="F66" s="221" t="str">
        <f t="shared" si="0"/>
        <v>Mobile phone20-21</v>
      </c>
    </row>
    <row r="67" spans="2:6" x14ac:dyDescent="0.35">
      <c r="B67" s="223" t="s">
        <v>451</v>
      </c>
      <c r="C67" s="223" t="s">
        <v>1069</v>
      </c>
      <c r="D67" s="220" t="s">
        <v>392</v>
      </c>
      <c r="E67" s="221">
        <v>3</v>
      </c>
      <c r="F67" s="221" t="str">
        <f t="shared" si="0"/>
        <v>Laptop &amp; computer20-21</v>
      </c>
    </row>
    <row r="68" spans="2:6" x14ac:dyDescent="0.35">
      <c r="B68" s="223" t="s">
        <v>2124</v>
      </c>
      <c r="C68" s="223" t="s">
        <v>1069</v>
      </c>
      <c r="D68" s="220" t="s">
        <v>393</v>
      </c>
      <c r="E68" s="221">
        <v>5</v>
      </c>
      <c r="F68" s="221" t="str">
        <f t="shared" si="0"/>
        <v>Computer Software#20-21</v>
      </c>
    </row>
    <row r="69" spans="2:6" x14ac:dyDescent="0.35">
      <c r="B69" s="223" t="s">
        <v>2125</v>
      </c>
      <c r="C69" s="223" t="s">
        <v>1069</v>
      </c>
      <c r="D69" s="220" t="s">
        <v>393</v>
      </c>
      <c r="E69" s="221">
        <v>10</v>
      </c>
      <c r="F69" s="221" t="str">
        <f t="shared" ref="F69:F124" si="1">_xlfn.CONCAT(B69,C69)</f>
        <v>Website*20-21</v>
      </c>
    </row>
    <row r="70" spans="2:6" x14ac:dyDescent="0.35">
      <c r="B70" s="224" t="s">
        <v>1495</v>
      </c>
      <c r="C70" s="223" t="s">
        <v>1070</v>
      </c>
      <c r="D70" s="220" t="s">
        <v>393</v>
      </c>
      <c r="E70" s="221">
        <v>3</v>
      </c>
      <c r="F70" s="221" t="str">
        <f t="shared" si="1"/>
        <v>Lease hold Improvements21-22</v>
      </c>
    </row>
    <row r="71" spans="2:6" x14ac:dyDescent="0.35">
      <c r="B71" s="224" t="s">
        <v>32</v>
      </c>
      <c r="C71" s="223" t="s">
        <v>1070</v>
      </c>
      <c r="D71" s="220" t="s">
        <v>392</v>
      </c>
      <c r="E71" s="221">
        <v>3</v>
      </c>
      <c r="F71" s="221" t="str">
        <f t="shared" si="1"/>
        <v>Router21-22</v>
      </c>
    </row>
    <row r="72" spans="2:6" x14ac:dyDescent="0.35">
      <c r="B72" s="224" t="s">
        <v>1389</v>
      </c>
      <c r="C72" s="223" t="s">
        <v>1070</v>
      </c>
      <c r="D72" s="220" t="s">
        <v>392</v>
      </c>
      <c r="E72" s="221">
        <v>3</v>
      </c>
      <c r="F72" s="221" t="str">
        <f t="shared" si="1"/>
        <v>ONU-Optical Network Unit 21-22</v>
      </c>
    </row>
    <row r="73" spans="2:6" x14ac:dyDescent="0.35">
      <c r="B73" s="224" t="s">
        <v>1320</v>
      </c>
      <c r="C73" s="223" t="s">
        <v>1070</v>
      </c>
      <c r="D73" s="220" t="s">
        <v>392</v>
      </c>
      <c r="E73" s="221">
        <v>3</v>
      </c>
      <c r="F73" s="221" t="str">
        <f t="shared" si="1"/>
        <v>ONT-Optical Network Terminal21-22</v>
      </c>
    </row>
    <row r="74" spans="2:6" x14ac:dyDescent="0.35">
      <c r="B74" s="225" t="s">
        <v>1436</v>
      </c>
      <c r="C74" s="223" t="s">
        <v>1070</v>
      </c>
      <c r="D74" s="220" t="s">
        <v>392</v>
      </c>
      <c r="E74" s="221">
        <v>3</v>
      </c>
      <c r="F74" s="221" t="str">
        <f t="shared" si="1"/>
        <v>Splicer Machine &amp; EAP 610 Access Point Ceiling Mount21-22</v>
      </c>
    </row>
    <row r="75" spans="2:6" x14ac:dyDescent="0.35">
      <c r="B75" s="223" t="s">
        <v>523</v>
      </c>
      <c r="C75" s="223" t="s">
        <v>1070</v>
      </c>
      <c r="D75" s="220" t="s">
        <v>392</v>
      </c>
      <c r="E75" s="221">
        <v>10</v>
      </c>
      <c r="F75" s="221" t="str">
        <f t="shared" si="1"/>
        <v>Furniture &amp; Fixtures21-22</v>
      </c>
    </row>
    <row r="76" spans="2:6" x14ac:dyDescent="0.35">
      <c r="B76" s="223" t="s">
        <v>749</v>
      </c>
      <c r="C76" s="223" t="s">
        <v>1070</v>
      </c>
      <c r="D76" s="220" t="s">
        <v>392</v>
      </c>
      <c r="E76" s="221">
        <v>5</v>
      </c>
      <c r="F76" s="221" t="str">
        <f t="shared" si="1"/>
        <v>Office equipment21-22</v>
      </c>
    </row>
    <row r="77" spans="2:6" x14ac:dyDescent="0.35">
      <c r="B77" s="223" t="s">
        <v>445</v>
      </c>
      <c r="C77" s="223" t="s">
        <v>1070</v>
      </c>
      <c r="D77" s="220" t="s">
        <v>392</v>
      </c>
      <c r="E77" s="221">
        <v>5</v>
      </c>
      <c r="F77" s="221" t="str">
        <f t="shared" si="1"/>
        <v>Mobile phone21-22</v>
      </c>
    </row>
    <row r="78" spans="2:6" x14ac:dyDescent="0.35">
      <c r="B78" s="223" t="s">
        <v>451</v>
      </c>
      <c r="C78" s="223" t="s">
        <v>1070</v>
      </c>
      <c r="D78" s="220" t="s">
        <v>392</v>
      </c>
      <c r="E78" s="221">
        <v>3</v>
      </c>
      <c r="F78" s="221" t="str">
        <f t="shared" si="1"/>
        <v>Laptop &amp; computer21-22</v>
      </c>
    </row>
    <row r="79" spans="2:6" x14ac:dyDescent="0.35">
      <c r="B79" s="223" t="s">
        <v>2124</v>
      </c>
      <c r="C79" s="223" t="s">
        <v>1070</v>
      </c>
      <c r="D79" s="220" t="s">
        <v>393</v>
      </c>
      <c r="E79" s="221">
        <v>5</v>
      </c>
      <c r="F79" s="221" t="str">
        <f t="shared" si="1"/>
        <v>Computer Software#21-22</v>
      </c>
    </row>
    <row r="80" spans="2:6" x14ac:dyDescent="0.35">
      <c r="B80" s="223" t="s">
        <v>2125</v>
      </c>
      <c r="C80" s="223" t="s">
        <v>1070</v>
      </c>
      <c r="D80" s="220" t="s">
        <v>393</v>
      </c>
      <c r="E80" s="221">
        <v>10</v>
      </c>
      <c r="F80" s="221" t="str">
        <f t="shared" si="1"/>
        <v>Website*21-22</v>
      </c>
    </row>
    <row r="81" spans="2:6" x14ac:dyDescent="0.35">
      <c r="B81" s="224" t="s">
        <v>1495</v>
      </c>
      <c r="C81" s="223" t="s">
        <v>1089</v>
      </c>
      <c r="D81" s="220" t="s">
        <v>393</v>
      </c>
      <c r="E81" s="221">
        <v>3</v>
      </c>
      <c r="F81" s="221" t="str">
        <f t="shared" si="1"/>
        <v>Lease hold Improvements22-23</v>
      </c>
    </row>
    <row r="82" spans="2:6" x14ac:dyDescent="0.35">
      <c r="B82" s="224" t="s">
        <v>32</v>
      </c>
      <c r="C82" s="223" t="s">
        <v>1089</v>
      </c>
      <c r="D82" s="220" t="s">
        <v>392</v>
      </c>
      <c r="E82" s="221">
        <v>3</v>
      </c>
      <c r="F82" s="221" t="str">
        <f t="shared" si="1"/>
        <v>Router22-23</v>
      </c>
    </row>
    <row r="83" spans="2:6" x14ac:dyDescent="0.35">
      <c r="B83" s="224" t="s">
        <v>1389</v>
      </c>
      <c r="C83" s="223" t="s">
        <v>1089</v>
      </c>
      <c r="D83" s="220" t="s">
        <v>393</v>
      </c>
      <c r="E83" s="221">
        <v>3</v>
      </c>
      <c r="F83" s="221" t="str">
        <f t="shared" si="1"/>
        <v>ONU-Optical Network Unit 22-23</v>
      </c>
    </row>
    <row r="84" spans="2:6" x14ac:dyDescent="0.35">
      <c r="B84" s="224" t="s">
        <v>1320</v>
      </c>
      <c r="C84" s="223" t="s">
        <v>1089</v>
      </c>
      <c r="D84" s="220" t="s">
        <v>392</v>
      </c>
      <c r="E84" s="221">
        <v>3</v>
      </c>
      <c r="F84" s="221" t="str">
        <f t="shared" si="1"/>
        <v>ONT-Optical Network Terminal22-23</v>
      </c>
    </row>
    <row r="85" spans="2:6" x14ac:dyDescent="0.35">
      <c r="B85" s="225" t="s">
        <v>1436</v>
      </c>
      <c r="C85" s="223" t="s">
        <v>1089</v>
      </c>
      <c r="D85" s="220" t="s">
        <v>392</v>
      </c>
      <c r="E85" s="221">
        <v>3</v>
      </c>
      <c r="F85" s="221" t="str">
        <f t="shared" si="1"/>
        <v>Splicer Machine &amp; EAP 610 Access Point Ceiling Mount22-23</v>
      </c>
    </row>
    <row r="86" spans="2:6" x14ac:dyDescent="0.35">
      <c r="B86" s="223" t="s">
        <v>523</v>
      </c>
      <c r="C86" s="223" t="s">
        <v>1089</v>
      </c>
      <c r="D86" s="220" t="s">
        <v>392</v>
      </c>
      <c r="E86" s="221">
        <v>10</v>
      </c>
      <c r="F86" s="221" t="str">
        <f t="shared" si="1"/>
        <v>Furniture &amp; Fixtures22-23</v>
      </c>
    </row>
    <row r="87" spans="2:6" x14ac:dyDescent="0.35">
      <c r="B87" s="223" t="s">
        <v>749</v>
      </c>
      <c r="C87" s="223" t="s">
        <v>1089</v>
      </c>
      <c r="D87" s="220" t="s">
        <v>392</v>
      </c>
      <c r="E87" s="221">
        <v>5</v>
      </c>
      <c r="F87" s="221" t="str">
        <f t="shared" si="1"/>
        <v>Office equipment22-23</v>
      </c>
    </row>
    <row r="88" spans="2:6" x14ac:dyDescent="0.35">
      <c r="B88" s="223" t="s">
        <v>445</v>
      </c>
      <c r="C88" s="223" t="s">
        <v>1089</v>
      </c>
      <c r="D88" s="220" t="s">
        <v>392</v>
      </c>
      <c r="E88" s="221">
        <v>5</v>
      </c>
      <c r="F88" s="221" t="str">
        <f t="shared" si="1"/>
        <v>Mobile phone22-23</v>
      </c>
    </row>
    <row r="89" spans="2:6" x14ac:dyDescent="0.35">
      <c r="B89" s="223" t="s">
        <v>451</v>
      </c>
      <c r="C89" s="223" t="s">
        <v>1089</v>
      </c>
      <c r="D89" s="220" t="s">
        <v>392</v>
      </c>
      <c r="E89" s="221">
        <v>3</v>
      </c>
      <c r="F89" s="221" t="str">
        <f t="shared" si="1"/>
        <v>Laptop &amp; computer22-23</v>
      </c>
    </row>
    <row r="90" spans="2:6" x14ac:dyDescent="0.35">
      <c r="B90" s="223" t="s">
        <v>2124</v>
      </c>
      <c r="C90" s="223" t="s">
        <v>1089</v>
      </c>
      <c r="D90" s="220" t="s">
        <v>393</v>
      </c>
      <c r="E90" s="221">
        <v>5</v>
      </c>
      <c r="F90" s="221" t="str">
        <f t="shared" si="1"/>
        <v>Computer Software#22-23</v>
      </c>
    </row>
    <row r="91" spans="2:6" x14ac:dyDescent="0.35">
      <c r="B91" s="223" t="s">
        <v>2125</v>
      </c>
      <c r="C91" s="223" t="s">
        <v>1089</v>
      </c>
      <c r="D91" s="220" t="s">
        <v>393</v>
      </c>
      <c r="E91" s="221">
        <v>10</v>
      </c>
      <c r="F91" s="221" t="str">
        <f t="shared" si="1"/>
        <v>Website*22-23</v>
      </c>
    </row>
    <row r="92" spans="2:6" x14ac:dyDescent="0.35">
      <c r="B92" s="224" t="s">
        <v>1495</v>
      </c>
      <c r="C92" s="223" t="s">
        <v>1308</v>
      </c>
      <c r="D92" s="220" t="s">
        <v>393</v>
      </c>
      <c r="E92" s="221">
        <v>3</v>
      </c>
      <c r="F92" s="221" t="str">
        <f t="shared" si="1"/>
        <v>Lease hold Improvements23-24</v>
      </c>
    </row>
    <row r="93" spans="2:6" x14ac:dyDescent="0.35">
      <c r="B93" s="224" t="s">
        <v>32</v>
      </c>
      <c r="C93" s="223" t="s">
        <v>1308</v>
      </c>
      <c r="D93" s="220" t="s">
        <v>393</v>
      </c>
      <c r="E93" s="221">
        <v>5</v>
      </c>
      <c r="F93" s="221" t="str">
        <f t="shared" si="1"/>
        <v>Router23-24</v>
      </c>
    </row>
    <row r="94" spans="2:6" x14ac:dyDescent="0.35">
      <c r="B94" s="224" t="s">
        <v>1389</v>
      </c>
      <c r="C94" s="223" t="s">
        <v>1308</v>
      </c>
      <c r="D94" s="220" t="s">
        <v>393</v>
      </c>
      <c r="E94" s="221">
        <v>3</v>
      </c>
      <c r="F94" s="221" t="str">
        <f t="shared" si="1"/>
        <v>ONU-Optical Network Unit 23-24</v>
      </c>
    </row>
    <row r="95" spans="2:6" x14ac:dyDescent="0.35">
      <c r="B95" s="224" t="s">
        <v>1320</v>
      </c>
      <c r="C95" s="223" t="s">
        <v>1308</v>
      </c>
      <c r="D95" s="220" t="s">
        <v>393</v>
      </c>
      <c r="E95" s="221">
        <v>5</v>
      </c>
      <c r="F95" s="221" t="str">
        <f t="shared" si="1"/>
        <v>ONT-Optical Network Terminal23-24</v>
      </c>
    </row>
    <row r="96" spans="2:6" x14ac:dyDescent="0.35">
      <c r="B96" s="225" t="s">
        <v>1436</v>
      </c>
      <c r="C96" s="223" t="s">
        <v>1308</v>
      </c>
      <c r="D96" s="220" t="s">
        <v>393</v>
      </c>
      <c r="E96" s="221">
        <v>5</v>
      </c>
      <c r="F96" s="221" t="str">
        <f t="shared" si="1"/>
        <v>Splicer Machine &amp; EAP 610 Access Point Ceiling Mount23-24</v>
      </c>
    </row>
    <row r="97" spans="2:6" x14ac:dyDescent="0.35">
      <c r="B97" s="223" t="s">
        <v>523</v>
      </c>
      <c r="C97" s="223" t="s">
        <v>1308</v>
      </c>
      <c r="D97" s="220" t="s">
        <v>392</v>
      </c>
      <c r="E97" s="221">
        <v>10</v>
      </c>
      <c r="F97" s="221" t="str">
        <f t="shared" si="1"/>
        <v>Furniture &amp; Fixtures23-24</v>
      </c>
    </row>
    <row r="98" spans="2:6" x14ac:dyDescent="0.35">
      <c r="B98" s="223" t="s">
        <v>749</v>
      </c>
      <c r="C98" s="223" t="s">
        <v>1308</v>
      </c>
      <c r="D98" s="220" t="s">
        <v>392</v>
      </c>
      <c r="E98" s="221">
        <v>5</v>
      </c>
      <c r="F98" s="221" t="str">
        <f t="shared" si="1"/>
        <v>Office equipment23-24</v>
      </c>
    </row>
    <row r="99" spans="2:6" x14ac:dyDescent="0.35">
      <c r="B99" s="223" t="s">
        <v>445</v>
      </c>
      <c r="C99" s="223" t="s">
        <v>1308</v>
      </c>
      <c r="D99" s="220" t="s">
        <v>392</v>
      </c>
      <c r="E99" s="221">
        <v>5</v>
      </c>
      <c r="F99" s="221" t="str">
        <f t="shared" si="1"/>
        <v>Mobile phone23-24</v>
      </c>
    </row>
    <row r="100" spans="2:6" x14ac:dyDescent="0.35">
      <c r="B100" s="223" t="s">
        <v>451</v>
      </c>
      <c r="C100" s="223" t="s">
        <v>1308</v>
      </c>
      <c r="D100" s="220" t="s">
        <v>392</v>
      </c>
      <c r="E100" s="221">
        <v>3</v>
      </c>
      <c r="F100" s="221" t="str">
        <f t="shared" si="1"/>
        <v>Laptop &amp; computer23-24</v>
      </c>
    </row>
    <row r="101" spans="2:6" x14ac:dyDescent="0.35">
      <c r="B101" s="223" t="s">
        <v>2124</v>
      </c>
      <c r="C101" s="223" t="s">
        <v>1308</v>
      </c>
      <c r="D101" s="220" t="s">
        <v>393</v>
      </c>
      <c r="E101" s="221">
        <v>5</v>
      </c>
      <c r="F101" s="221" t="str">
        <f t="shared" si="1"/>
        <v>Computer Software#23-24</v>
      </c>
    </row>
    <row r="102" spans="2:6" x14ac:dyDescent="0.35">
      <c r="B102" s="223" t="s">
        <v>2125</v>
      </c>
      <c r="C102" s="223" t="s">
        <v>1308</v>
      </c>
      <c r="D102" s="220" t="s">
        <v>393</v>
      </c>
      <c r="E102" s="221">
        <v>10</v>
      </c>
      <c r="F102" s="221" t="str">
        <f t="shared" si="1"/>
        <v>Website*23-24</v>
      </c>
    </row>
    <row r="103" spans="2:6" x14ac:dyDescent="0.35">
      <c r="B103" s="224" t="s">
        <v>1495</v>
      </c>
      <c r="C103" s="223" t="s">
        <v>1758</v>
      </c>
      <c r="D103" s="220" t="s">
        <v>393</v>
      </c>
      <c r="E103" s="221">
        <v>3</v>
      </c>
      <c r="F103" s="221" t="str">
        <f t="shared" si="1"/>
        <v>Lease hold Improvements24-25</v>
      </c>
    </row>
    <row r="104" spans="2:6" x14ac:dyDescent="0.35">
      <c r="B104" s="224" t="s">
        <v>32</v>
      </c>
      <c r="C104" s="223" t="s">
        <v>1758</v>
      </c>
      <c r="D104" s="220" t="s">
        <v>393</v>
      </c>
      <c r="E104" s="221">
        <v>5</v>
      </c>
      <c r="F104" s="221" t="str">
        <f t="shared" si="1"/>
        <v>Router24-25</v>
      </c>
    </row>
    <row r="105" spans="2:6" x14ac:dyDescent="0.35">
      <c r="B105" s="224" t="s">
        <v>1389</v>
      </c>
      <c r="C105" s="223" t="s">
        <v>1758</v>
      </c>
      <c r="D105" s="220" t="s">
        <v>393</v>
      </c>
      <c r="E105" s="221">
        <v>3</v>
      </c>
      <c r="F105" s="221" t="str">
        <f t="shared" si="1"/>
        <v>ONU-Optical Network Unit 24-25</v>
      </c>
    </row>
    <row r="106" spans="2:6" x14ac:dyDescent="0.35">
      <c r="B106" s="224" t="s">
        <v>1320</v>
      </c>
      <c r="C106" s="223" t="s">
        <v>1758</v>
      </c>
      <c r="D106" s="220" t="s">
        <v>393</v>
      </c>
      <c r="E106" s="221">
        <v>5</v>
      </c>
      <c r="F106" s="221" t="str">
        <f t="shared" si="1"/>
        <v>ONT-Optical Network Terminal24-25</v>
      </c>
    </row>
    <row r="107" spans="2:6" x14ac:dyDescent="0.35">
      <c r="B107" s="225" t="s">
        <v>1436</v>
      </c>
      <c r="C107" s="223" t="s">
        <v>1758</v>
      </c>
      <c r="D107" s="220" t="s">
        <v>393</v>
      </c>
      <c r="E107" s="221">
        <v>5</v>
      </c>
      <c r="F107" s="221" t="str">
        <f t="shared" si="1"/>
        <v>Splicer Machine &amp; EAP 610 Access Point Ceiling Mount24-25</v>
      </c>
    </row>
    <row r="108" spans="2:6" x14ac:dyDescent="0.35">
      <c r="B108" s="223" t="s">
        <v>523</v>
      </c>
      <c r="C108" s="223" t="s">
        <v>1758</v>
      </c>
      <c r="D108" s="220" t="s">
        <v>392</v>
      </c>
      <c r="E108" s="221">
        <v>10</v>
      </c>
      <c r="F108" s="221" t="str">
        <f t="shared" si="1"/>
        <v>Furniture &amp; Fixtures24-25</v>
      </c>
    </row>
    <row r="109" spans="2:6" x14ac:dyDescent="0.35">
      <c r="B109" s="223" t="s">
        <v>749</v>
      </c>
      <c r="C109" s="223" t="s">
        <v>1758</v>
      </c>
      <c r="D109" s="220" t="s">
        <v>392</v>
      </c>
      <c r="E109" s="221">
        <v>5</v>
      </c>
      <c r="F109" s="221" t="str">
        <f t="shared" si="1"/>
        <v>Office equipment24-25</v>
      </c>
    </row>
    <row r="110" spans="2:6" x14ac:dyDescent="0.35">
      <c r="B110" s="223" t="s">
        <v>445</v>
      </c>
      <c r="C110" s="223" t="s">
        <v>1758</v>
      </c>
      <c r="D110" s="220" t="s">
        <v>392</v>
      </c>
      <c r="E110" s="221">
        <v>5</v>
      </c>
      <c r="F110" s="221" t="str">
        <f t="shared" si="1"/>
        <v>Mobile phone24-25</v>
      </c>
    </row>
    <row r="111" spans="2:6" x14ac:dyDescent="0.35">
      <c r="B111" s="223" t="s">
        <v>451</v>
      </c>
      <c r="C111" s="223" t="s">
        <v>1758</v>
      </c>
      <c r="D111" s="220" t="s">
        <v>392</v>
      </c>
      <c r="E111" s="221">
        <v>3</v>
      </c>
      <c r="F111" s="221" t="str">
        <f t="shared" si="1"/>
        <v>Laptop &amp; computer24-25</v>
      </c>
    </row>
    <row r="112" spans="2:6" x14ac:dyDescent="0.35">
      <c r="B112" s="223" t="s">
        <v>2124</v>
      </c>
      <c r="C112" s="223" t="s">
        <v>1758</v>
      </c>
      <c r="D112" s="220" t="s">
        <v>393</v>
      </c>
      <c r="E112" s="221">
        <v>5</v>
      </c>
      <c r="F112" s="221" t="str">
        <f t="shared" si="1"/>
        <v>Computer Software#24-25</v>
      </c>
    </row>
    <row r="113" spans="2:6" x14ac:dyDescent="0.35">
      <c r="B113" s="223" t="s">
        <v>2125</v>
      </c>
      <c r="C113" s="223" t="s">
        <v>1758</v>
      </c>
      <c r="D113" s="220" t="s">
        <v>393</v>
      </c>
      <c r="E113" s="221">
        <v>10</v>
      </c>
      <c r="F113" s="221" t="str">
        <f t="shared" si="1"/>
        <v>Website*24-25</v>
      </c>
    </row>
    <row r="114" spans="2:6" x14ac:dyDescent="0.35">
      <c r="B114" s="224" t="s">
        <v>1495</v>
      </c>
      <c r="C114" s="223" t="s">
        <v>10</v>
      </c>
      <c r="D114" s="220" t="s">
        <v>393</v>
      </c>
      <c r="E114" s="221">
        <v>3</v>
      </c>
      <c r="F114" s="221" t="str">
        <f t="shared" si="1"/>
        <v>Lease hold Improvements25-26</v>
      </c>
    </row>
    <row r="115" spans="2:6" x14ac:dyDescent="0.35">
      <c r="B115" s="224" t="s">
        <v>32</v>
      </c>
      <c r="C115" s="223" t="s">
        <v>10</v>
      </c>
      <c r="D115" s="220" t="s">
        <v>393</v>
      </c>
      <c r="E115" s="221">
        <v>5</v>
      </c>
      <c r="F115" s="221" t="str">
        <f t="shared" si="1"/>
        <v>Router25-26</v>
      </c>
    </row>
    <row r="116" spans="2:6" x14ac:dyDescent="0.35">
      <c r="B116" s="224" t="s">
        <v>1389</v>
      </c>
      <c r="C116" s="223" t="s">
        <v>10</v>
      </c>
      <c r="D116" s="220" t="s">
        <v>393</v>
      </c>
      <c r="E116" s="221">
        <v>3</v>
      </c>
      <c r="F116" s="221" t="str">
        <f t="shared" si="1"/>
        <v>ONU-Optical Network Unit 25-26</v>
      </c>
    </row>
    <row r="117" spans="2:6" x14ac:dyDescent="0.35">
      <c r="B117" s="224" t="s">
        <v>1320</v>
      </c>
      <c r="C117" s="223" t="s">
        <v>10</v>
      </c>
      <c r="D117" s="220" t="s">
        <v>393</v>
      </c>
      <c r="E117" s="221">
        <v>5</v>
      </c>
      <c r="F117" s="221" t="str">
        <f t="shared" si="1"/>
        <v>ONT-Optical Network Terminal25-26</v>
      </c>
    </row>
    <row r="118" spans="2:6" x14ac:dyDescent="0.35">
      <c r="B118" s="225" t="s">
        <v>1436</v>
      </c>
      <c r="C118" s="223" t="s">
        <v>10</v>
      </c>
      <c r="D118" s="220" t="s">
        <v>393</v>
      </c>
      <c r="E118" s="221">
        <v>5</v>
      </c>
      <c r="F118" s="221" t="str">
        <f t="shared" si="1"/>
        <v>Splicer Machine &amp; EAP 610 Access Point Ceiling Mount25-26</v>
      </c>
    </row>
    <row r="119" spans="2:6" x14ac:dyDescent="0.35">
      <c r="B119" s="223" t="s">
        <v>523</v>
      </c>
      <c r="C119" s="223" t="s">
        <v>10</v>
      </c>
      <c r="D119" s="220" t="s">
        <v>392</v>
      </c>
      <c r="E119" s="221">
        <v>10</v>
      </c>
      <c r="F119" s="221" t="str">
        <f t="shared" si="1"/>
        <v>Furniture &amp; Fixtures25-26</v>
      </c>
    </row>
    <row r="120" spans="2:6" x14ac:dyDescent="0.35">
      <c r="B120" s="223" t="s">
        <v>749</v>
      </c>
      <c r="C120" s="223" t="s">
        <v>10</v>
      </c>
      <c r="D120" s="220" t="s">
        <v>392</v>
      </c>
      <c r="E120" s="221">
        <v>5</v>
      </c>
      <c r="F120" s="221" t="str">
        <f t="shared" si="1"/>
        <v>Office equipment25-26</v>
      </c>
    </row>
    <row r="121" spans="2:6" x14ac:dyDescent="0.35">
      <c r="B121" s="223" t="s">
        <v>445</v>
      </c>
      <c r="C121" s="223" t="s">
        <v>10</v>
      </c>
      <c r="D121" s="220" t="s">
        <v>392</v>
      </c>
      <c r="E121" s="221">
        <v>5</v>
      </c>
      <c r="F121" s="221" t="str">
        <f t="shared" si="1"/>
        <v>Mobile phone25-26</v>
      </c>
    </row>
    <row r="122" spans="2:6" x14ac:dyDescent="0.35">
      <c r="B122" s="223" t="s">
        <v>451</v>
      </c>
      <c r="C122" s="223" t="s">
        <v>10</v>
      </c>
      <c r="D122" s="220" t="s">
        <v>392</v>
      </c>
      <c r="E122" s="221">
        <v>3</v>
      </c>
      <c r="F122" s="221" t="str">
        <f t="shared" si="1"/>
        <v>Laptop &amp; computer25-26</v>
      </c>
    </row>
    <row r="123" spans="2:6" x14ac:dyDescent="0.35">
      <c r="B123" s="223" t="s">
        <v>2124</v>
      </c>
      <c r="C123" s="223" t="s">
        <v>10</v>
      </c>
      <c r="D123" s="220" t="s">
        <v>393</v>
      </c>
      <c r="E123" s="221">
        <v>5</v>
      </c>
      <c r="F123" s="221" t="str">
        <f t="shared" si="1"/>
        <v>Computer Software#25-26</v>
      </c>
    </row>
    <row r="124" spans="2:6" x14ac:dyDescent="0.35">
      <c r="B124" s="223" t="s">
        <v>2125</v>
      </c>
      <c r="C124" s="223" t="s">
        <v>10</v>
      </c>
      <c r="D124" s="220" t="s">
        <v>393</v>
      </c>
      <c r="E124" s="221">
        <v>10</v>
      </c>
      <c r="F124" s="221" t="str">
        <f t="shared" si="1"/>
        <v>Website*25-26</v>
      </c>
    </row>
  </sheetData>
  <autoFilter ref="B3:F124" xr:uid="{D770FCF5-9C97-47A9-996E-6F79F39E11C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13D8A-878C-46B7-9805-D2A159FBAB18}">
  <sheetPr codeName="Sheet2">
    <tabColor theme="4" tint="0.39997558519241921"/>
  </sheetPr>
  <dimension ref="A1:AB88"/>
  <sheetViews>
    <sheetView zoomScale="82" zoomScaleNormal="78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J1" sqref="J1"/>
    </sheetView>
  </sheetViews>
  <sheetFormatPr defaultRowHeight="13" outlineLevelCol="1" x14ac:dyDescent="0.3"/>
  <cols>
    <col min="1" max="1" width="7.36328125" style="130" bestFit="1" customWidth="1"/>
    <col min="2" max="2" width="1.7265625" style="3" customWidth="1"/>
    <col min="3" max="3" width="18.36328125" style="3" customWidth="1"/>
    <col min="4" max="4" width="5.26953125" style="130" customWidth="1" outlineLevel="1"/>
    <col min="5" max="5" width="13.36328125" style="3" bestFit="1" customWidth="1" outlineLevel="1"/>
    <col min="6" max="6" width="10.54296875" style="3" bestFit="1" customWidth="1"/>
    <col min="7" max="8" width="13.36328125" style="3" bestFit="1" customWidth="1"/>
    <col min="9" max="9" width="13.7265625" style="3" bestFit="1" customWidth="1"/>
    <col min="10" max="10" width="15" style="3" bestFit="1" customWidth="1"/>
    <col min="11" max="12" width="13.36328125" style="3" bestFit="1" customWidth="1"/>
    <col min="13" max="13" width="12.26953125" style="3" bestFit="1" customWidth="1"/>
    <col min="14" max="14" width="13.36328125" style="3" bestFit="1" customWidth="1"/>
    <col min="15" max="15" width="14.26953125" style="3" bestFit="1" customWidth="1"/>
    <col min="16" max="16" width="13.36328125" style="3" bestFit="1" customWidth="1"/>
    <col min="17" max="17" width="66.26953125" style="3" bestFit="1" customWidth="1"/>
    <col min="18" max="18" width="7.54296875" style="3" bestFit="1" customWidth="1"/>
    <col min="19" max="20" width="13" style="3" bestFit="1" customWidth="1"/>
    <col min="21" max="21" width="11.1796875" style="3" bestFit="1" customWidth="1"/>
    <col min="22" max="22" width="8.7265625" style="3"/>
    <col min="23" max="23" width="11.81640625" style="3" bestFit="1" customWidth="1"/>
    <col min="24" max="25" width="11.6328125" style="3" bestFit="1" customWidth="1"/>
    <col min="26" max="27" width="8.7265625" style="3"/>
    <col min="28" max="28" width="10.08984375" style="3" bestFit="1" customWidth="1"/>
    <col min="29" max="16384" width="8.7265625" style="3"/>
  </cols>
  <sheetData>
    <row r="1" spans="1:27" x14ac:dyDescent="0.3">
      <c r="A1" s="127" t="s">
        <v>2099</v>
      </c>
      <c r="B1" s="128"/>
      <c r="C1" s="128"/>
      <c r="D1" s="127" t="s">
        <v>2098</v>
      </c>
      <c r="E1" s="129">
        <f>DATE(20&amp;RIGHT(J1,2),3,31)</f>
        <v>45382</v>
      </c>
      <c r="H1" s="3" t="s">
        <v>2097</v>
      </c>
      <c r="J1" s="2" t="s">
        <v>1308</v>
      </c>
      <c r="M1" s="216">
        <f>I9-M9</f>
        <v>2969668.4959224071</v>
      </c>
      <c r="N1" s="216"/>
    </row>
    <row r="2" spans="1:27" ht="13.5" thickBot="1" x14ac:dyDescent="0.35">
      <c r="O2" s="216">
        <f>I9+I10-M9-M10</f>
        <v>6486927.6420411281</v>
      </c>
    </row>
    <row r="3" spans="1:27" s="136" customFormat="1" x14ac:dyDescent="0.3">
      <c r="A3" s="131"/>
      <c r="B3" s="132"/>
      <c r="C3" s="132"/>
      <c r="D3" s="133"/>
      <c r="E3" s="132"/>
      <c r="F3" s="134"/>
      <c r="G3" s="135" t="s">
        <v>421</v>
      </c>
      <c r="H3" s="132"/>
      <c r="I3" s="132"/>
      <c r="J3" s="134"/>
      <c r="K3" s="135" t="s">
        <v>406</v>
      </c>
      <c r="L3" s="132"/>
      <c r="M3" s="132"/>
      <c r="N3" s="134"/>
      <c r="O3" s="135" t="s">
        <v>407</v>
      </c>
      <c r="P3" s="134"/>
    </row>
    <row r="4" spans="1:27" s="142" customFormat="1" ht="25.5" customHeight="1" x14ac:dyDescent="0.35">
      <c r="A4" s="137" t="s">
        <v>408</v>
      </c>
      <c r="B4" s="231" t="s">
        <v>409</v>
      </c>
      <c r="C4" s="231"/>
      <c r="D4" s="138" t="s">
        <v>405</v>
      </c>
      <c r="E4" s="138" t="s">
        <v>394</v>
      </c>
      <c r="F4" s="139" t="s">
        <v>410</v>
      </c>
      <c r="G4" s="137" t="str">
        <f>"As At "&amp;TEXT(DATE(YEAR(E1)-1,4,1),"dd mmmm yyy")</f>
        <v>As At 01 April 2023</v>
      </c>
      <c r="H4" s="138" t="s">
        <v>430</v>
      </c>
      <c r="I4" s="138" t="s">
        <v>431</v>
      </c>
      <c r="J4" s="140" t="str">
        <f>"As At " &amp;TEXT(E1,"dd mmmm, yyyy")</f>
        <v>As At 31 March, 2024</v>
      </c>
      <c r="K4" s="137" t="str">
        <f>G4</f>
        <v>As At 01 April 2023</v>
      </c>
      <c r="L4" s="138" t="s">
        <v>412</v>
      </c>
      <c r="M4" s="138" t="s">
        <v>411</v>
      </c>
      <c r="N4" s="140" t="str">
        <f>J4</f>
        <v>As At 31 March, 2024</v>
      </c>
      <c r="O4" s="141" t="str">
        <f>N4</f>
        <v>As At 31 March, 2024</v>
      </c>
      <c r="P4" s="140" t="str">
        <f>"As At "&amp;TEXT(DATE(YEAR(E1)-1,3,31),"dd mmmm, yyyy")</f>
        <v>As At 31 March, 2023</v>
      </c>
    </row>
    <row r="5" spans="1:27" x14ac:dyDescent="0.3">
      <c r="A5" s="143"/>
      <c r="B5" s="144" t="s">
        <v>2122</v>
      </c>
      <c r="C5" s="145"/>
      <c r="D5" s="146"/>
      <c r="E5" s="145"/>
      <c r="F5" s="147"/>
      <c r="G5" s="148"/>
      <c r="H5" s="145"/>
      <c r="I5" s="145"/>
      <c r="J5" s="147"/>
      <c r="K5" s="148"/>
      <c r="L5" s="145"/>
      <c r="M5" s="145"/>
      <c r="N5" s="147"/>
      <c r="O5" s="148"/>
      <c r="P5" s="147"/>
    </row>
    <row r="6" spans="1:27" x14ac:dyDescent="0.3">
      <c r="A6" s="149" t="s">
        <v>413</v>
      </c>
      <c r="B6" s="144" t="s">
        <v>414</v>
      </c>
      <c r="C6" s="145"/>
      <c r="D6" s="146"/>
      <c r="E6" s="145"/>
      <c r="F6" s="147"/>
      <c r="G6" s="148"/>
      <c r="H6" s="145"/>
      <c r="I6" s="145"/>
      <c r="J6" s="147"/>
      <c r="K6" s="148"/>
      <c r="L6" s="145"/>
      <c r="M6" s="145"/>
      <c r="N6" s="147"/>
      <c r="O6" s="148"/>
      <c r="P6" s="147"/>
    </row>
    <row r="7" spans="1:27" x14ac:dyDescent="0.3">
      <c r="A7" s="143"/>
      <c r="B7" s="145">
        <v>1</v>
      </c>
      <c r="C7" s="150" t="s">
        <v>1495</v>
      </c>
      <c r="D7" s="91" t="s">
        <v>393</v>
      </c>
      <c r="E7" s="92">
        <v>3</v>
      </c>
      <c r="F7" s="93">
        <f t="shared" ref="F7:F12" si="0">IF(D7="WDV",1-(0.05^(1/E7)),1/E7)</f>
        <v>0.33333333333333331</v>
      </c>
      <c r="G7" s="151">
        <f>SUMIFS('FA Addition'!AE:AE,'FA Addition'!$E:$E,'FA Schedule'!$C7)</f>
        <v>0</v>
      </c>
      <c r="H7" s="151">
        <f>SUMIFS('FA Addition'!U:U,'FA Addition'!E:E,'FA Schedule'!C7)</f>
        <v>20772797.629999999</v>
      </c>
      <c r="I7" s="151">
        <f>SUMIFS('FA Addition'!AC:AC,'FA Addition'!E:E,'FA Schedule'!C7)</f>
        <v>0</v>
      </c>
      <c r="J7" s="152">
        <f t="shared" ref="J7:J15" si="1">G7+H7-I7</f>
        <v>20772797.629999999</v>
      </c>
      <c r="K7" s="153">
        <f>SUMIFS('FA Addition'!AL:AL,'FA Addition'!E:E,'FA Schedule'!C7)</f>
        <v>0</v>
      </c>
      <c r="L7" s="151">
        <f>SUMIFS('FA Addition'!AO:AO,'FA Addition'!E:E,'FA Schedule'!C7)</f>
        <v>2861473.8141917805</v>
      </c>
      <c r="M7" s="151">
        <f>SUMIFS('FA Addition'!AJ:AJ,'FA Addition'!E:E,'FA Schedule'!C7)</f>
        <v>0</v>
      </c>
      <c r="N7" s="152">
        <f t="shared" ref="N7:N15" si="2">K7+L7-M7</f>
        <v>2861473.8141917805</v>
      </c>
      <c r="O7" s="153">
        <f>J7-N7</f>
        <v>17911323.815808218</v>
      </c>
      <c r="P7" s="152">
        <f>G7-K7</f>
        <v>0</v>
      </c>
      <c r="Q7" s="194"/>
      <c r="R7" s="212"/>
    </row>
    <row r="8" spans="1:27" x14ac:dyDescent="0.3">
      <c r="A8" s="149" t="s">
        <v>415</v>
      </c>
      <c r="B8" s="144" t="s">
        <v>422</v>
      </c>
      <c r="C8" s="145"/>
      <c r="D8" s="91"/>
      <c r="E8" s="91"/>
      <c r="F8" s="94"/>
      <c r="G8" s="153"/>
      <c r="H8" s="151"/>
      <c r="I8" s="151"/>
      <c r="J8" s="152"/>
      <c r="K8" s="153"/>
      <c r="L8" s="151"/>
      <c r="M8" s="151"/>
      <c r="N8" s="152"/>
      <c r="O8" s="153"/>
      <c r="P8" s="152"/>
      <c r="Q8" s="194"/>
      <c r="R8" s="212"/>
    </row>
    <row r="9" spans="1:27" x14ac:dyDescent="0.3">
      <c r="A9" s="143"/>
      <c r="B9" s="145">
        <v>1</v>
      </c>
      <c r="C9" s="150" t="s">
        <v>32</v>
      </c>
      <c r="D9" s="91" t="s">
        <v>393</v>
      </c>
      <c r="E9" s="92">
        <v>3</v>
      </c>
      <c r="F9" s="93">
        <f t="shared" ref="F9:F10" si="3">IF(D9="WDV",1-(0.05^(1/E9)),1/E9)</f>
        <v>0.33333333333333331</v>
      </c>
      <c r="G9" s="151">
        <f>SUMIFS('FA Addition'!AE:AE,'FA Addition'!$E:$E,'FA Schedule'!$C9)</f>
        <v>65984761.569517203</v>
      </c>
      <c r="H9" s="151">
        <f>SUMIFS('FA Addition'!U:U,'FA Addition'!$E:$E,'FA Schedule'!$C9)</f>
        <v>51117066.439999998</v>
      </c>
      <c r="I9" s="151">
        <f>SUMIFS('FA Addition'!AC:AC,'FA Addition'!E:E,'FA Schedule'!C9)</f>
        <v>7892559.976415094</v>
      </c>
      <c r="J9" s="152">
        <f>G9+H9-I9</f>
        <v>109209268.0331021</v>
      </c>
      <c r="K9" s="153">
        <f>SUMIFS('FA Addition'!AL:AL,'FA Addition'!E:E,'FA Schedule'!C9)</f>
        <v>30251676.208736632</v>
      </c>
      <c r="L9" s="151">
        <f>SUMIFS('FA Addition'!AO:AO,'FA Addition'!E:E,'FA Schedule'!C9)</f>
        <v>29123956.865481682</v>
      </c>
      <c r="M9" s="151">
        <f>SUMIFS('FA Addition'!AJ:AJ,'FA Addition'!E:E,'FA Schedule'!C9)</f>
        <v>4922891.4804926869</v>
      </c>
      <c r="N9" s="152">
        <f>K9+L9-M9</f>
        <v>54452741.593725629</v>
      </c>
      <c r="O9" s="153">
        <f t="shared" ref="O9:O16" si="4">J9-N9</f>
        <v>54756526.439376466</v>
      </c>
      <c r="P9" s="152">
        <f t="shared" ref="P9:P16" si="5">G9-K9</f>
        <v>35733085.360780567</v>
      </c>
      <c r="Q9" s="194"/>
      <c r="R9" s="212"/>
    </row>
    <row r="10" spans="1:27" x14ac:dyDescent="0.3">
      <c r="A10" s="143"/>
      <c r="B10" s="145">
        <v>2</v>
      </c>
      <c r="C10" s="150" t="s">
        <v>1389</v>
      </c>
      <c r="D10" s="91" t="s">
        <v>393</v>
      </c>
      <c r="E10" s="92">
        <v>3</v>
      </c>
      <c r="F10" s="93">
        <f t="shared" si="3"/>
        <v>0.33333333333333331</v>
      </c>
      <c r="G10" s="151">
        <f>SUMIFS('FA Addition'!AE:AE,'FA Addition'!$E:$E,'FA Schedule'!$C10)</f>
        <v>11569105</v>
      </c>
      <c r="H10" s="151">
        <f>SUMIFS('FA Addition'!U:U,'FA Addition'!E:E,'FA Schedule'!C10)</f>
        <v>41399260</v>
      </c>
      <c r="I10" s="151">
        <f>SUMIFS('FA Addition'!AC:AC,'FA Addition'!E:E,'FA Schedule'!C10)</f>
        <v>7251040</v>
      </c>
      <c r="J10" s="152">
        <f t="shared" si="1"/>
        <v>45717325</v>
      </c>
      <c r="K10" s="153">
        <f>SUMIFS('FA Addition'!AL:AL,'FA Addition'!E:E,'FA Schedule'!C10)</f>
        <v>2044332.7442922373</v>
      </c>
      <c r="L10" s="151">
        <f>SUMIFS('FA Addition'!AO:AO,'FA Addition'!E:E,'FA Schedule'!C10)</f>
        <v>9665909.9497716874</v>
      </c>
      <c r="M10" s="151">
        <f>SUMIFS('FA Addition'!AJ:AJ,'FA Addition'!E:E,'FA Schedule'!C10)</f>
        <v>3733780.853881279</v>
      </c>
      <c r="N10" s="152">
        <f t="shared" si="2"/>
        <v>7976461.8401826452</v>
      </c>
      <c r="O10" s="153">
        <f t="shared" si="4"/>
        <v>37740863.159817353</v>
      </c>
      <c r="P10" s="152">
        <f t="shared" si="5"/>
        <v>9524772.2557077631</v>
      </c>
      <c r="Q10" s="194"/>
      <c r="R10" s="212"/>
    </row>
    <row r="11" spans="1:27" x14ac:dyDescent="0.3">
      <c r="A11" s="143"/>
      <c r="B11" s="145">
        <v>3</v>
      </c>
      <c r="C11" s="150" t="s">
        <v>1320</v>
      </c>
      <c r="D11" s="91" t="s">
        <v>393</v>
      </c>
      <c r="E11" s="92">
        <v>5</v>
      </c>
      <c r="F11" s="93">
        <f t="shared" si="0"/>
        <v>0.2</v>
      </c>
      <c r="G11" s="151">
        <f>SUMIFS('FA Addition'!AE:AE,'FA Addition'!$E:$E,'FA Schedule'!$C11)</f>
        <v>0</v>
      </c>
      <c r="H11" s="151">
        <f>SUMIFS('FA Addition'!U:U,'FA Addition'!E:E,'FA Schedule'!C11)</f>
        <v>59639000</v>
      </c>
      <c r="I11" s="151">
        <f>SUMIFS('FA Addition'!AC:AC,'FA Addition'!E:E,'FA Schedule'!C11)</f>
        <v>0</v>
      </c>
      <c r="J11" s="152">
        <f t="shared" si="1"/>
        <v>59639000</v>
      </c>
      <c r="K11" s="153">
        <f>SUMIFS('FA Addition'!AL:AL,'FA Addition'!E:E,'FA Schedule'!C11)</f>
        <v>0</v>
      </c>
      <c r="L11" s="151">
        <f>SUMIFS('FA Addition'!AO:AO,'FA Addition'!E:E,'FA Schedule'!C11)</f>
        <v>1721294.8493150689</v>
      </c>
      <c r="M11" s="151">
        <f>SUMIFS('FA Addition'!AJ:AJ,'FA Addition'!E:E,'FA Schedule'!C11)</f>
        <v>0</v>
      </c>
      <c r="N11" s="152">
        <f t="shared" si="2"/>
        <v>1721294.8493150689</v>
      </c>
      <c r="O11" s="153">
        <f t="shared" si="4"/>
        <v>57917705.15068493</v>
      </c>
      <c r="P11" s="152">
        <f t="shared" si="5"/>
        <v>0</v>
      </c>
      <c r="Q11" s="194"/>
      <c r="R11" s="212"/>
    </row>
    <row r="12" spans="1:27" s="157" customFormat="1" ht="39" x14ac:dyDescent="0.3">
      <c r="A12" s="154"/>
      <c r="B12" s="155">
        <v>4</v>
      </c>
      <c r="C12" s="156" t="s">
        <v>1436</v>
      </c>
      <c r="D12" s="91" t="s">
        <v>393</v>
      </c>
      <c r="E12" s="92">
        <v>5</v>
      </c>
      <c r="F12" s="93">
        <f t="shared" si="0"/>
        <v>0.2</v>
      </c>
      <c r="G12" s="151">
        <f>SUMIFS('FA Addition'!AE:AE,'FA Addition'!$E:$E,'FA Schedule'!$C12)</f>
        <v>0</v>
      </c>
      <c r="H12" s="151">
        <f>SUMIFS('FA Addition'!U:U,'FA Addition'!E:E,'FA Schedule'!C12)</f>
        <v>196591.52000000002</v>
      </c>
      <c r="I12" s="151">
        <f>SUMIFS('FA Addition'!AC:AC,'FA Addition'!E:E,'FA Schedule'!C12)</f>
        <v>0</v>
      </c>
      <c r="J12" s="152">
        <f t="shared" si="1"/>
        <v>196591.52000000002</v>
      </c>
      <c r="K12" s="153">
        <f>SUMIFS('FA Addition'!AL:AL,'FA Addition'!E:E,'FA Schedule'!C12)</f>
        <v>0</v>
      </c>
      <c r="L12" s="151">
        <f>SUMIFS('FA Addition'!AO:AO,'FA Addition'!E:E,'FA Schedule'!C12)</f>
        <v>25356.778432876712</v>
      </c>
      <c r="M12" s="151">
        <f>SUMIFS('FA Addition'!AJ:AJ,'FA Addition'!E:E,'FA Schedule'!C12)</f>
        <v>0</v>
      </c>
      <c r="N12" s="152">
        <f t="shared" si="2"/>
        <v>25356.778432876712</v>
      </c>
      <c r="O12" s="153">
        <f t="shared" si="4"/>
        <v>171234.7415671233</v>
      </c>
      <c r="P12" s="152">
        <f t="shared" si="5"/>
        <v>0</v>
      </c>
      <c r="Q12" s="194"/>
      <c r="R12" s="212"/>
      <c r="S12" s="175" t="s">
        <v>2138</v>
      </c>
      <c r="T12" s="136" t="s">
        <v>2165</v>
      </c>
      <c r="X12" s="157" t="s">
        <v>2163</v>
      </c>
      <c r="Y12" s="157" t="s">
        <v>2164</v>
      </c>
    </row>
    <row r="13" spans="1:27" x14ac:dyDescent="0.3">
      <c r="A13" s="149" t="s">
        <v>416</v>
      </c>
      <c r="B13" s="145"/>
      <c r="C13" s="145" t="s">
        <v>523</v>
      </c>
      <c r="D13" s="91" t="s">
        <v>392</v>
      </c>
      <c r="E13" s="92">
        <v>10</v>
      </c>
      <c r="F13" s="93">
        <f>IF(D13="WDV",1-(0.05^(1/E13)),1/E13)</f>
        <v>0.2588655508930523</v>
      </c>
      <c r="G13" s="151">
        <f>SUMIFS('FA Addition'!AE:AE,'FA Addition'!$E:$E,'FA Schedule'!$C13)</f>
        <v>764955.5</v>
      </c>
      <c r="H13" s="151">
        <f>SUMIFS('FA Addition'!U:U,'FA Addition'!E:E,'FA Schedule'!C13)</f>
        <v>69500</v>
      </c>
      <c r="I13" s="151">
        <f>SUMIFS('FA Addition'!AC:AC,'FA Addition'!E:E,'FA Schedule'!C13)</f>
        <v>0</v>
      </c>
      <c r="J13" s="152">
        <f t="shared" si="1"/>
        <v>834455.5</v>
      </c>
      <c r="K13" s="153">
        <f>SUMIFS('FA Addition'!AL:AL,'FA Addition'!E:E,'FA Schedule'!C13)</f>
        <v>328336.41314591793</v>
      </c>
      <c r="L13" s="151">
        <f>SUMIFS('FA Addition'!AO:AO,'FA Addition'!E:E,'FA Schedule'!C13)</f>
        <v>128031.65643165846</v>
      </c>
      <c r="M13" s="151">
        <f>SUMIFS('FA Addition'!AJ:AJ,'FA Addition'!E:E,'FA Schedule'!C13)</f>
        <v>0</v>
      </c>
      <c r="N13" s="152">
        <f t="shared" si="2"/>
        <v>456368.06957757636</v>
      </c>
      <c r="O13" s="153">
        <f t="shared" si="4"/>
        <v>378087.43042242364</v>
      </c>
      <c r="P13" s="152">
        <f t="shared" si="5"/>
        <v>436619.08685408207</v>
      </c>
      <c r="Q13" s="194"/>
      <c r="R13" s="212" t="s">
        <v>2160</v>
      </c>
      <c r="S13" s="175">
        <v>432605863</v>
      </c>
      <c r="T13" s="176">
        <f>J75</f>
        <v>429713803.10310209</v>
      </c>
      <c r="U13" s="216">
        <f>T13-S13</f>
        <v>-2892059.896897912</v>
      </c>
      <c r="W13" s="3" t="s">
        <v>2171</v>
      </c>
      <c r="X13" s="216">
        <f>-U13</f>
        <v>2892059.896897912</v>
      </c>
    </row>
    <row r="14" spans="1:27" x14ac:dyDescent="0.3">
      <c r="A14" s="149" t="s">
        <v>417</v>
      </c>
      <c r="B14" s="145"/>
      <c r="C14" s="145" t="s">
        <v>749</v>
      </c>
      <c r="D14" s="91" t="s">
        <v>392</v>
      </c>
      <c r="E14" s="92">
        <v>5</v>
      </c>
      <c r="F14" s="93">
        <f>IF(D14="WDV",1-(0.05^(1/E14)),1/E14)</f>
        <v>0.45071972834694107</v>
      </c>
      <c r="G14" s="151">
        <f>SUMIFS('FA Addition'!AE:AE,'FA Addition'!$E:$E,'FA Schedule'!$C14)</f>
        <v>1344305.71</v>
      </c>
      <c r="H14" s="151">
        <f>SUMIFS('FA Addition'!U:U,'FA Addition'!E:E,'FA Schedule'!C14)</f>
        <v>708890.88</v>
      </c>
      <c r="I14" s="151">
        <f>SUMIFS('FA Addition'!AC:AC,'FA Addition'!E:E,'FA Schedule'!C14)</f>
        <v>0</v>
      </c>
      <c r="J14" s="152">
        <f t="shared" si="1"/>
        <v>2053196.5899999999</v>
      </c>
      <c r="K14" s="153">
        <f>SUMIFS('FA Addition'!AL:AL,'FA Addition'!E:E,'FA Schedule'!C14)</f>
        <v>1011387.3665933229</v>
      </c>
      <c r="L14" s="151">
        <f>SUMIFS('FA Addition'!AO:AO,'FA Addition'!E:E,'FA Schedule'!C14)</f>
        <v>245653.11446625425</v>
      </c>
      <c r="M14" s="151">
        <f>SUMIFS('FA Addition'!AJ:AJ,'FA Addition'!E:E,'FA Schedule'!C14)</f>
        <v>0</v>
      </c>
      <c r="N14" s="152">
        <f t="shared" si="2"/>
        <v>1257040.4810595773</v>
      </c>
      <c r="O14" s="153">
        <f t="shared" si="4"/>
        <v>796156.10894042253</v>
      </c>
      <c r="P14" s="152">
        <f t="shared" si="5"/>
        <v>332918.34340667701</v>
      </c>
      <c r="Q14" s="194"/>
      <c r="R14" s="212"/>
      <c r="S14" s="176"/>
      <c r="T14" s="136"/>
      <c r="W14" s="3" t="s">
        <v>2161</v>
      </c>
      <c r="Y14" s="216">
        <f>-U13</f>
        <v>2892059.896897912</v>
      </c>
    </row>
    <row r="15" spans="1:27" x14ac:dyDescent="0.3">
      <c r="A15" s="149" t="s">
        <v>418</v>
      </c>
      <c r="B15" s="145"/>
      <c r="C15" s="145" t="s">
        <v>445</v>
      </c>
      <c r="D15" s="91" t="s">
        <v>392</v>
      </c>
      <c r="E15" s="92">
        <v>5</v>
      </c>
      <c r="F15" s="93">
        <f>IF(D15="WDV",1-(0.05^(1/E15)),1/E15)</f>
        <v>0.45071972834694107</v>
      </c>
      <c r="G15" s="151">
        <f>SUMIFS('FA Addition'!AE:AE,'FA Addition'!$E:$E,'FA Schedule'!$C15)</f>
        <v>413664.72000000009</v>
      </c>
      <c r="H15" s="151">
        <f>SUMIFS('FA Addition'!U:U,'FA Addition'!$E:$E,'FA Schedule'!C15)</f>
        <v>189036.43999999997</v>
      </c>
      <c r="I15" s="151">
        <f>SUMIFS('FA Addition'!AC:AC,'FA Addition'!E:E,'FA Schedule'!C15)</f>
        <v>0</v>
      </c>
      <c r="J15" s="152">
        <f t="shared" si="1"/>
        <v>602701.16</v>
      </c>
      <c r="K15" s="153">
        <f>SUMIFS('FA Addition'!AL:AL,'FA Addition'!E:E,'FA Schedule'!C15)</f>
        <v>325241.27889761137</v>
      </c>
      <c r="L15" s="151">
        <f>SUMIFS('FA Addition'!AO:AO,'FA Addition'!E:E,'FA Schedule'!C15)</f>
        <v>83103.204462921072</v>
      </c>
      <c r="M15" s="151">
        <f>SUMIFS('FA Addition'!AJ:AJ,'FA Addition'!E:E,'FA Schedule'!C15)</f>
        <v>0</v>
      </c>
      <c r="N15" s="152">
        <f t="shared" si="2"/>
        <v>408344.48336053244</v>
      </c>
      <c r="O15" s="153">
        <f t="shared" si="4"/>
        <v>194356.67663946759</v>
      </c>
      <c r="P15" s="152">
        <f t="shared" si="5"/>
        <v>88423.441102388722</v>
      </c>
      <c r="Q15" s="194"/>
      <c r="R15" s="212"/>
      <c r="S15" s="136"/>
      <c r="T15" s="136"/>
      <c r="AA15" s="3" t="s">
        <v>2166</v>
      </c>
    </row>
    <row r="16" spans="1:27" x14ac:dyDescent="0.3">
      <c r="A16" s="149" t="s">
        <v>419</v>
      </c>
      <c r="B16" s="145"/>
      <c r="C16" s="145" t="s">
        <v>451</v>
      </c>
      <c r="D16" s="91" t="s">
        <v>392</v>
      </c>
      <c r="E16" s="92">
        <v>3</v>
      </c>
      <c r="F16" s="93">
        <f>IF(D16="WDV",1-(0.05^(1/E16)),1/E16)</f>
        <v>0.63159685013596123</v>
      </c>
      <c r="G16" s="151">
        <f>SUMIFS('FA Addition'!AE:AE,'FA Addition'!$E:$E,'FA Schedule'!$C16)</f>
        <v>7454113.5200000014</v>
      </c>
      <c r="H16" s="151">
        <f>SUMIFS('FA Addition'!U:U,'FA Addition'!E:E,'FA Schedule'!C16)</f>
        <v>7933711.040000001</v>
      </c>
      <c r="I16" s="151">
        <f>SUMIFS('FA Addition'!AC:AC,'FA Addition'!E:E,'FA Schedule'!C16)</f>
        <v>0</v>
      </c>
      <c r="J16" s="152">
        <f>G16+H16-I16</f>
        <v>15387824.560000002</v>
      </c>
      <c r="K16" s="153">
        <f>SUMIFS('FA Addition'!AL:AL,'FA Addition'!E:E,'FA Schedule'!C16)</f>
        <v>4861178.5130652348</v>
      </c>
      <c r="L16" s="151">
        <f>SUMIFS('FA Addition'!AO:AO,'FA Addition'!E:E,'FA Schedule'!C16)</f>
        <v>4042702.7638715403</v>
      </c>
      <c r="M16" s="151">
        <f>SUMIFS('FA Addition'!AJ:AJ,'FA Addition'!E:E,'FA Schedule'!C16)</f>
        <v>0</v>
      </c>
      <c r="N16" s="152">
        <f>K16+L16-M16</f>
        <v>8903881.2769367751</v>
      </c>
      <c r="O16" s="153">
        <f t="shared" si="4"/>
        <v>6483943.2830632273</v>
      </c>
      <c r="P16" s="152">
        <f t="shared" si="5"/>
        <v>2592935.0069347667</v>
      </c>
      <c r="Q16" s="194"/>
      <c r="R16" s="212"/>
      <c r="S16" s="176"/>
      <c r="T16" s="176"/>
      <c r="W16" s="3" t="s">
        <v>2110</v>
      </c>
      <c r="X16" s="216">
        <f>U17</f>
        <v>13732211.037438065</v>
      </c>
      <c r="AA16" s="3" t="s">
        <v>2167</v>
      </c>
    </row>
    <row r="17" spans="1:28" x14ac:dyDescent="0.3">
      <c r="A17" s="149"/>
      <c r="B17" s="145"/>
      <c r="C17" s="144"/>
      <c r="D17" s="91"/>
      <c r="E17" s="92"/>
      <c r="F17" s="95"/>
      <c r="G17" s="151"/>
      <c r="H17" s="151"/>
      <c r="I17" s="151"/>
      <c r="J17" s="152"/>
      <c r="K17" s="153"/>
      <c r="L17" s="151"/>
      <c r="M17" s="151"/>
      <c r="N17" s="152"/>
      <c r="O17" s="151"/>
      <c r="P17" s="152"/>
      <c r="Q17" s="194"/>
      <c r="R17" s="212" t="s">
        <v>432</v>
      </c>
      <c r="S17" s="176">
        <f>122620442</f>
        <v>122620442</v>
      </c>
      <c r="T17" s="176">
        <f>N75</f>
        <v>136352653.03743806</v>
      </c>
      <c r="U17" s="216">
        <f>T17-S17</f>
        <v>13732211.037438065</v>
      </c>
      <c r="W17" s="3" t="s">
        <v>432</v>
      </c>
      <c r="Y17" s="216">
        <f>U17</f>
        <v>13732211.037438065</v>
      </c>
    </row>
    <row r="18" spans="1:28" x14ac:dyDescent="0.3">
      <c r="A18" s="149"/>
      <c r="B18" s="144" t="s">
        <v>2123</v>
      </c>
      <c r="C18" s="144"/>
      <c r="D18" s="91"/>
      <c r="E18" s="92"/>
      <c r="F18" s="95"/>
      <c r="G18" s="151"/>
      <c r="H18" s="151"/>
      <c r="I18" s="151"/>
      <c r="J18" s="152"/>
      <c r="K18" s="153"/>
      <c r="L18" s="151"/>
      <c r="M18" s="151"/>
      <c r="N18" s="152"/>
      <c r="O18" s="151"/>
      <c r="P18" s="152"/>
      <c r="Q18" s="194"/>
      <c r="R18" s="212"/>
      <c r="S18" s="176"/>
      <c r="T18" s="176"/>
      <c r="AA18" s="3" t="s">
        <v>2168</v>
      </c>
    </row>
    <row r="19" spans="1:28" x14ac:dyDescent="0.3">
      <c r="A19" s="149"/>
      <c r="B19" s="145"/>
      <c r="C19" s="145" t="s">
        <v>2124</v>
      </c>
      <c r="D19" s="91" t="s">
        <v>393</v>
      </c>
      <c r="E19" s="92">
        <v>5</v>
      </c>
      <c r="F19" s="93">
        <f>IF(D19="WDV",1-(0.05^(1/E19)),1/E19)</f>
        <v>0.2</v>
      </c>
      <c r="G19" s="151">
        <f>SUMIFS('FA Addition'!AE:AE,'FA Addition'!$E:$E,'FA Schedule'!$C19)</f>
        <v>0</v>
      </c>
      <c r="H19" s="151">
        <f>SUMIFS('FA Addition'!U:U,'FA Addition'!E:E,'FA Schedule'!C19)</f>
        <v>0</v>
      </c>
      <c r="I19" s="151">
        <f>SUMIFS('FA Addition'!AC:AC,'FA Addition'!E:E,'FA Schedule'!C19)</f>
        <v>0</v>
      </c>
      <c r="J19" s="152">
        <f>G19+H19-I19</f>
        <v>0</v>
      </c>
      <c r="K19" s="153">
        <f>SUMIFS('FA Addition'!AL:AL,'FA Addition'!E:E,'FA Schedule'!C19)</f>
        <v>0</v>
      </c>
      <c r="L19" s="151">
        <f>SUMIFS('FA Addition'!AO:AO,'FA Addition'!E:E,'FA Schedule'!C19)</f>
        <v>0</v>
      </c>
      <c r="M19" s="151">
        <f>SUMIFS('FA Addition'!AJ:AJ,'FA Addition'!E:E,'FA Schedule'!C19)</f>
        <v>0</v>
      </c>
      <c r="N19" s="152">
        <f>K19+L19-M19</f>
        <v>0</v>
      </c>
      <c r="O19" s="153">
        <f>J19-N19</f>
        <v>0</v>
      </c>
      <c r="P19" s="152">
        <f>G19-K19</f>
        <v>0</v>
      </c>
      <c r="Q19" s="194"/>
      <c r="R19" s="212"/>
      <c r="X19" s="216">
        <f>S17-X16</f>
        <v>108888230.96256194</v>
      </c>
      <c r="AA19" s="3" t="s">
        <v>2169</v>
      </c>
    </row>
    <row r="20" spans="1:28" x14ac:dyDescent="0.3">
      <c r="A20" s="149"/>
      <c r="B20" s="145"/>
      <c r="C20" s="145" t="s">
        <v>2125</v>
      </c>
      <c r="D20" s="91" t="s">
        <v>393</v>
      </c>
      <c r="E20" s="92">
        <v>10</v>
      </c>
      <c r="F20" s="93">
        <f>IF(D20="WDV",1-(0.05^(1/E20)),1/E20)</f>
        <v>0.1</v>
      </c>
      <c r="G20" s="151">
        <f>SUMIFS('FA Addition'!AE:AE,'FA Addition'!$E:$E,'FA Schedule'!$C20)</f>
        <v>0</v>
      </c>
      <c r="H20" s="151">
        <f>SUMIFS('FA Addition'!U:U,'FA Addition'!E:E,'FA Schedule'!C20)</f>
        <v>0</v>
      </c>
      <c r="I20" s="151">
        <f>SUMIFS('FA Addition'!AC:AC,'FA Addition'!E:E,'FA Schedule'!C20)</f>
        <v>0</v>
      </c>
      <c r="J20" s="152">
        <f>G20+H20-I20</f>
        <v>0</v>
      </c>
      <c r="K20" s="153">
        <f>SUMIFS('FA Addition'!AL:AL,'FA Addition'!E:E,'FA Schedule'!C20)</f>
        <v>0</v>
      </c>
      <c r="L20" s="151">
        <f>SUMIFS('FA Addition'!AO:AO,'FA Addition'!E:E,'FA Schedule'!C20)</f>
        <v>0</v>
      </c>
      <c r="M20" s="151">
        <f>SUMIFS('FA Addition'!AJ:AJ,'FA Addition'!E:E,'FA Schedule'!C20)</f>
        <v>0</v>
      </c>
      <c r="N20" s="152">
        <f>K20+L20-M20</f>
        <v>0</v>
      </c>
      <c r="O20" s="153">
        <f>J20-N20</f>
        <v>0</v>
      </c>
      <c r="P20" s="152">
        <f>G20-K20</f>
        <v>0</v>
      </c>
      <c r="Q20" s="194"/>
      <c r="Y20" s="216">
        <f>Y17-X13</f>
        <v>10840151.140540153</v>
      </c>
    </row>
    <row r="21" spans="1:28" x14ac:dyDescent="0.3">
      <c r="A21" s="149"/>
      <c r="B21" s="144" t="s">
        <v>2126</v>
      </c>
      <c r="C21" s="144"/>
      <c r="D21" s="91"/>
      <c r="E21" s="92"/>
      <c r="F21" s="95"/>
      <c r="G21" s="151"/>
      <c r="H21" s="151"/>
      <c r="I21" s="151"/>
      <c r="J21" s="152"/>
      <c r="K21" s="153"/>
      <c r="L21" s="151"/>
      <c r="M21" s="151"/>
      <c r="N21" s="152"/>
      <c r="O21" s="151"/>
      <c r="P21" s="152"/>
      <c r="S21" s="216"/>
    </row>
    <row r="22" spans="1:28" x14ac:dyDescent="0.3">
      <c r="A22" s="149"/>
      <c r="B22" s="145"/>
      <c r="C22" s="145" t="s">
        <v>2127</v>
      </c>
      <c r="D22" s="91"/>
      <c r="E22" s="92"/>
      <c r="F22" s="93"/>
      <c r="G22" s="151">
        <f>SUMIFS('FA Addition'!AE:AE,'FA Addition'!$E:$E,'FA Schedule'!$C22)</f>
        <v>0</v>
      </c>
      <c r="H22" s="151">
        <f>SUMIFS('FA Addition'!U:U,'FA Addition'!E:E,'FA Schedule'!C22)</f>
        <v>0</v>
      </c>
      <c r="I22" s="151">
        <f>SUMIFS('FA Addition'!AC:AC,'FA Addition'!E:E,'FA Schedule'!C22)</f>
        <v>0</v>
      </c>
      <c r="J22" s="152">
        <f>G22+H22-I22</f>
        <v>0</v>
      </c>
      <c r="K22" s="153">
        <f>SUMIFS('FA Addition'!AL:AL,'FA Addition'!E:E,'FA Schedule'!C22)</f>
        <v>0</v>
      </c>
      <c r="L22" s="151">
        <f>SUMIFS('FA Addition'!AO:AO,'FA Addition'!E:E,'FA Schedule'!C22)</f>
        <v>0</v>
      </c>
      <c r="M22" s="151">
        <f>SUMIFS('FA Addition'!AJ:AJ,'FA Addition'!E:E,'FA Schedule'!C22)</f>
        <v>0</v>
      </c>
      <c r="N22" s="152">
        <f>K22+L22-M22</f>
        <v>0</v>
      </c>
      <c r="O22" s="153">
        <f>J22-N22</f>
        <v>0</v>
      </c>
      <c r="P22" s="152">
        <f>G22-K22</f>
        <v>0</v>
      </c>
      <c r="Q22" s="3">
        <v>0</v>
      </c>
      <c r="S22" s="216"/>
      <c r="T22" s="216"/>
      <c r="AA22" s="3" t="s">
        <v>2170</v>
      </c>
      <c r="AB22" s="216">
        <f>Y17-Y14</f>
        <v>10840151.140540153</v>
      </c>
    </row>
    <row r="23" spans="1:28" x14ac:dyDescent="0.3">
      <c r="A23" s="149"/>
      <c r="B23" s="145"/>
      <c r="C23" s="145" t="s">
        <v>2128</v>
      </c>
      <c r="D23" s="158"/>
      <c r="E23" s="159"/>
      <c r="F23" s="160"/>
      <c r="G23" s="151">
        <f>SUMIFS('FA Addition'!AE:AE,'FA Addition'!$E:$E,'FA Schedule'!$C23)</f>
        <v>0</v>
      </c>
      <c r="H23" s="151">
        <f>SUMIFS('FA Addition'!U:U,'FA Addition'!E:E,'FA Schedule'!C23)</f>
        <v>0</v>
      </c>
      <c r="I23" s="151">
        <f>SUMIFS('FA Addition'!AC:AC,'FA Addition'!E:E,'FA Schedule'!C23)</f>
        <v>0</v>
      </c>
      <c r="J23" s="152">
        <f>G23+H23-I23</f>
        <v>0</v>
      </c>
      <c r="K23" s="153">
        <f>SUMIFS('FA Addition'!AL:AL,'FA Addition'!E:E,'FA Schedule'!C23)</f>
        <v>0</v>
      </c>
      <c r="L23" s="151">
        <f>SUMIFS('FA Addition'!AO:AO,'FA Addition'!E:E,'FA Schedule'!C23)</f>
        <v>0</v>
      </c>
      <c r="M23" s="151">
        <f>SUMIFS('FA Addition'!AJ:AJ,'FA Addition'!E:E,'FA Schedule'!C23)</f>
        <v>0</v>
      </c>
      <c r="N23" s="152">
        <f>K23+L23-M23</f>
        <v>0</v>
      </c>
      <c r="O23" s="153">
        <f>J23-N23</f>
        <v>0</v>
      </c>
      <c r="P23" s="152">
        <f>G23-K23</f>
        <v>0</v>
      </c>
      <c r="S23" s="219"/>
      <c r="AA23" s="3" t="str">
        <f>AA15</f>
        <v>Asset A/c     Dr   28,92,060</v>
      </c>
    </row>
    <row r="24" spans="1:28" x14ac:dyDescent="0.3">
      <c r="A24" s="149"/>
      <c r="B24" s="145"/>
      <c r="C24" s="144"/>
      <c r="D24" s="158"/>
      <c r="E24" s="159"/>
      <c r="F24" s="161"/>
      <c r="G24" s="151"/>
      <c r="H24" s="151"/>
      <c r="I24" s="151"/>
      <c r="J24" s="152"/>
      <c r="K24" s="153"/>
      <c r="L24" s="151"/>
      <c r="M24" s="151"/>
      <c r="N24" s="152"/>
      <c r="O24" s="151"/>
      <c r="P24" s="152"/>
      <c r="T24" s="216"/>
      <c r="Y24" s="3">
        <f>2892060-5250725</f>
        <v>-2358665</v>
      </c>
      <c r="AA24" s="3" t="str">
        <f>AA19</f>
        <v xml:space="preserve">   To Accumulated Depreciation A/c   52,50,725</v>
      </c>
    </row>
    <row r="25" spans="1:28" ht="13.5" thickBot="1" x14ac:dyDescent="0.35">
      <c r="A25" s="162"/>
      <c r="B25" s="163"/>
      <c r="C25" s="164" t="s">
        <v>420</v>
      </c>
      <c r="D25" s="165"/>
      <c r="E25" s="165"/>
      <c r="F25" s="166"/>
      <c r="G25" s="167">
        <f t="shared" ref="G25:P25" si="6">SUM(G7:G24)</f>
        <v>87530906.019517183</v>
      </c>
      <c r="H25" s="168">
        <f t="shared" si="6"/>
        <v>182025853.94999999</v>
      </c>
      <c r="I25" s="168">
        <f t="shared" si="6"/>
        <v>15143599.976415094</v>
      </c>
      <c r="J25" s="169">
        <f t="shared" si="6"/>
        <v>254413159.9931021</v>
      </c>
      <c r="K25" s="167">
        <f t="shared" si="6"/>
        <v>38822152.524730958</v>
      </c>
      <c r="L25" s="168">
        <f t="shared" si="6"/>
        <v>47897482.99642548</v>
      </c>
      <c r="M25" s="168">
        <f t="shared" si="6"/>
        <v>8656672.3343739659</v>
      </c>
      <c r="N25" s="169">
        <f t="shared" si="6"/>
        <v>78062963.186782464</v>
      </c>
      <c r="O25" s="167">
        <f t="shared" si="6"/>
        <v>176350196.80631965</v>
      </c>
      <c r="P25" s="169">
        <f t="shared" si="6"/>
        <v>48708753.494786248</v>
      </c>
      <c r="Q25" s="136"/>
      <c r="R25" s="136"/>
      <c r="S25" s="136"/>
    </row>
    <row r="26" spans="1:28" s="171" customFormat="1" ht="10.5" x14ac:dyDescent="0.25">
      <c r="A26" s="170"/>
      <c r="C26" s="172" t="s">
        <v>423</v>
      </c>
      <c r="D26" s="170"/>
      <c r="E26" s="172"/>
      <c r="G26" s="173">
        <f>G25-'FA Addition'!AE1</f>
        <v>0</v>
      </c>
      <c r="H26" s="173"/>
      <c r="I26" s="173"/>
      <c r="J26" s="173">
        <f>J25-'FA Addition'!AF1</f>
        <v>-2.6822090148925781E-7</v>
      </c>
      <c r="K26" s="173">
        <f>K25-'FA Addition'!AL1</f>
        <v>0</v>
      </c>
      <c r="L26" s="173">
        <f>L25-'FA Addition'!AO1</f>
        <v>8.9406967163085938E-8</v>
      </c>
      <c r="M26" s="173">
        <f>M25-'FA Addition'!AJ1</f>
        <v>0</v>
      </c>
      <c r="N26" s="173">
        <f>N25-'FA Addition'!AN1</f>
        <v>2.384185791015625E-7</v>
      </c>
      <c r="O26" s="173">
        <f>O25-'FA Addition'!AR1</f>
        <v>0</v>
      </c>
      <c r="P26" s="173">
        <f>P25-'FA Addition'!AQ1</f>
        <v>0</v>
      </c>
    </row>
    <row r="27" spans="1:28" s="136" customFormat="1" x14ac:dyDescent="0.3">
      <c r="A27" s="174"/>
      <c r="C27" s="136" t="s">
        <v>2137</v>
      </c>
      <c r="D27" s="174"/>
      <c r="G27" s="175"/>
      <c r="H27" s="175"/>
      <c r="I27" s="175"/>
      <c r="J27" s="175"/>
      <c r="K27" s="176"/>
      <c r="O27" s="176"/>
      <c r="P27" s="192"/>
      <c r="W27" s="3" t="s">
        <v>2173</v>
      </c>
      <c r="X27" s="216">
        <f>X16</f>
        <v>13732211.037438065</v>
      </c>
      <c r="Y27" s="3"/>
    </row>
    <row r="28" spans="1:28" s="136" customFormat="1" x14ac:dyDescent="0.3">
      <c r="A28" s="174"/>
      <c r="C28" s="136" t="s">
        <v>2133</v>
      </c>
      <c r="D28" s="174"/>
      <c r="G28" s="175"/>
      <c r="H28" s="175"/>
      <c r="I28" s="175"/>
      <c r="J28" s="175">
        <v>432605863</v>
      </c>
      <c r="K28" s="176"/>
      <c r="M28" s="176"/>
      <c r="N28" s="176">
        <f>122620442</f>
        <v>122620442</v>
      </c>
      <c r="O28" s="176">
        <v>309985422</v>
      </c>
      <c r="P28" s="176"/>
      <c r="W28" s="3" t="s">
        <v>2174</v>
      </c>
      <c r="X28" s="216">
        <f>X13</f>
        <v>2892059.896897912</v>
      </c>
      <c r="Y28" s="3"/>
    </row>
    <row r="29" spans="1:28" s="136" customFormat="1" ht="14.5" x14ac:dyDescent="0.35">
      <c r="A29" s="174"/>
      <c r="C29" s="25" t="s">
        <v>2132</v>
      </c>
      <c r="D29" s="174"/>
      <c r="J29" s="176">
        <f>J28-J25</f>
        <v>178192703.0068979</v>
      </c>
      <c r="M29" s="176"/>
      <c r="N29" s="176">
        <f>N28-J29</f>
        <v>-55572261.006897897</v>
      </c>
      <c r="O29" s="176">
        <f>N29-N25</f>
        <v>-133635224.19368036</v>
      </c>
      <c r="P29" s="176"/>
      <c r="W29" s="3" t="s">
        <v>2172</v>
      </c>
      <c r="X29" s="216">
        <f>AB22</f>
        <v>10840151.140540153</v>
      </c>
      <c r="Y29" s="3"/>
    </row>
    <row r="30" spans="1:28" ht="14.5" x14ac:dyDescent="0.35">
      <c r="C30" s="25" t="s">
        <v>2131</v>
      </c>
      <c r="F30" s="136"/>
    </row>
    <row r="31" spans="1:28" ht="14.5" x14ac:dyDescent="0.35">
      <c r="C31" s="25"/>
      <c r="F31" s="177"/>
      <c r="H31" s="178"/>
      <c r="J31" s="178"/>
      <c r="L31" s="178"/>
      <c r="N31" s="178"/>
      <c r="O31" s="178"/>
    </row>
    <row r="32" spans="1:28" ht="14.5" x14ac:dyDescent="0.35">
      <c r="C32" s="25"/>
      <c r="I32" s="3">
        <f>130970+178858</f>
        <v>309828</v>
      </c>
    </row>
    <row r="33" spans="1:17" ht="14.5" x14ac:dyDescent="0.35">
      <c r="C33" s="25"/>
      <c r="F33" s="177"/>
      <c r="G33" s="179" t="s">
        <v>421</v>
      </c>
      <c r="H33" s="179"/>
      <c r="I33" s="179"/>
      <c r="J33" s="179"/>
      <c r="K33" s="179" t="s">
        <v>406</v>
      </c>
      <c r="L33" s="179"/>
      <c r="M33" s="179"/>
      <c r="N33" s="179"/>
      <c r="O33" s="179" t="s">
        <v>407</v>
      </c>
      <c r="P33" s="179"/>
    </row>
    <row r="34" spans="1:17" x14ac:dyDescent="0.3">
      <c r="C34" s="3" t="s">
        <v>2136</v>
      </c>
      <c r="F34" s="177"/>
      <c r="G34" s="195" t="s">
        <v>2106</v>
      </c>
      <c r="H34" s="196" t="s">
        <v>430</v>
      </c>
      <c r="I34" s="196" t="s">
        <v>431</v>
      </c>
      <c r="J34" s="197" t="s">
        <v>2107</v>
      </c>
      <c r="K34" s="196" t="s">
        <v>2106</v>
      </c>
      <c r="L34" s="196" t="s">
        <v>412</v>
      </c>
      <c r="M34" s="196" t="s">
        <v>411</v>
      </c>
      <c r="N34" s="197" t="s">
        <v>2107</v>
      </c>
      <c r="O34" s="196" t="s">
        <v>2107</v>
      </c>
      <c r="P34" s="197" t="s">
        <v>2106</v>
      </c>
      <c r="Q34" s="3" t="s">
        <v>2140</v>
      </c>
    </row>
    <row r="35" spans="1:17" x14ac:dyDescent="0.3">
      <c r="F35" s="177"/>
      <c r="H35" s="178"/>
      <c r="J35" s="178"/>
      <c r="L35" s="178"/>
      <c r="N35" s="178"/>
      <c r="O35" s="178"/>
    </row>
    <row r="36" spans="1:17" ht="15" thickBot="1" x14ac:dyDescent="0.4">
      <c r="C36" s="193" t="s">
        <v>439</v>
      </c>
      <c r="E36" s="3" t="s">
        <v>2138</v>
      </c>
      <c r="F36" s="177"/>
      <c r="G36" s="194">
        <v>0</v>
      </c>
      <c r="H36" s="194">
        <v>4642372</v>
      </c>
      <c r="I36" s="194">
        <v>0</v>
      </c>
      <c r="J36" s="194">
        <f>H36</f>
        <v>4642372</v>
      </c>
      <c r="K36" s="194">
        <v>0</v>
      </c>
      <c r="L36" s="194">
        <v>436521.49404287268</v>
      </c>
      <c r="M36" s="194">
        <v>0</v>
      </c>
      <c r="N36" s="194">
        <v>436521.49404287268</v>
      </c>
      <c r="O36" s="194">
        <v>4205850.5059571275</v>
      </c>
      <c r="P36" s="194">
        <v>0</v>
      </c>
      <c r="Q36" s="207" t="s">
        <v>2144</v>
      </c>
    </row>
    <row r="37" spans="1:17" ht="13.5" thickTop="1" x14ac:dyDescent="0.3">
      <c r="E37" s="3" t="s">
        <v>2139</v>
      </c>
      <c r="F37" s="177"/>
      <c r="G37" s="194">
        <v>0</v>
      </c>
      <c r="H37" s="194">
        <v>4642372</v>
      </c>
      <c r="I37" s="194">
        <v>0</v>
      </c>
      <c r="J37" s="194">
        <v>4642372</v>
      </c>
      <c r="K37" s="194">
        <v>0</v>
      </c>
      <c r="L37" s="194">
        <v>436285.38466892886</v>
      </c>
      <c r="M37" s="194">
        <v>0</v>
      </c>
      <c r="N37" s="194">
        <v>436285.38466892886</v>
      </c>
      <c r="O37" s="194">
        <v>4206086.6153310714</v>
      </c>
      <c r="P37" s="194">
        <v>0</v>
      </c>
      <c r="Q37" s="207"/>
    </row>
    <row r="38" spans="1:17" x14ac:dyDescent="0.3">
      <c r="E38" s="204" t="s">
        <v>2141</v>
      </c>
      <c r="G38" s="202">
        <f>G37-G36</f>
        <v>0</v>
      </c>
      <c r="H38" s="202">
        <f t="shared" ref="H38" si="7">H37-H36</f>
        <v>0</v>
      </c>
      <c r="I38" s="202">
        <f t="shared" ref="I38" si="8">I37-I36</f>
        <v>0</v>
      </c>
      <c r="J38" s="202">
        <f t="shared" ref="J38" si="9">J37-J36</f>
        <v>0</v>
      </c>
      <c r="K38" s="202">
        <f t="shared" ref="K38" si="10">K37-K36</f>
        <v>0</v>
      </c>
      <c r="L38" s="202">
        <f t="shared" ref="L38" si="11">L37-L36</f>
        <v>-236.10937394382199</v>
      </c>
      <c r="M38" s="202">
        <f t="shared" ref="M38" si="12">M37-M36</f>
        <v>0</v>
      </c>
      <c r="N38" s="203">
        <f t="shared" ref="N38" si="13">N37-N36</f>
        <v>-236.10937394382199</v>
      </c>
      <c r="O38" s="202">
        <f t="shared" ref="O38" si="14">O37-O36</f>
        <v>236.1093739438802</v>
      </c>
      <c r="P38" s="202">
        <f t="shared" ref="P38" si="15">P37-P36</f>
        <v>0</v>
      </c>
      <c r="Q38" s="208"/>
    </row>
    <row r="39" spans="1:17" x14ac:dyDescent="0.3">
      <c r="F39" s="177"/>
      <c r="G39" s="178"/>
      <c r="H39" s="198"/>
      <c r="J39" s="178"/>
      <c r="K39" s="178"/>
      <c r="L39" s="178"/>
      <c r="N39" s="178"/>
      <c r="O39" s="178"/>
      <c r="P39" s="178"/>
      <c r="Q39" s="207"/>
    </row>
    <row r="40" spans="1:17" ht="15" thickBot="1" x14ac:dyDescent="0.4">
      <c r="C40" s="193" t="s">
        <v>559</v>
      </c>
      <c r="E40" s="3" t="s">
        <v>2138</v>
      </c>
      <c r="F40" s="177"/>
      <c r="G40" s="194">
        <f>H36</f>
        <v>4642372</v>
      </c>
      <c r="H40" s="194">
        <v>6614959.9699999997</v>
      </c>
      <c r="I40" s="194">
        <v>2196206</v>
      </c>
      <c r="J40" s="194">
        <v>9061125.9700000007</v>
      </c>
      <c r="K40" s="194">
        <v>436521</v>
      </c>
      <c r="L40" s="194">
        <v>3605542.5373882717</v>
      </c>
      <c r="M40" s="194">
        <v>0</v>
      </c>
      <c r="N40" s="194">
        <v>4042063.5373882717</v>
      </c>
      <c r="O40" s="194">
        <v>5019062.4326117281</v>
      </c>
      <c r="P40" s="194">
        <v>4205851</v>
      </c>
      <c r="Q40" s="207"/>
    </row>
    <row r="41" spans="1:17" ht="13.5" thickTop="1" x14ac:dyDescent="0.3">
      <c r="E41" s="3" t="s">
        <v>2139</v>
      </c>
      <c r="F41" s="177"/>
      <c r="G41" s="194">
        <v>4642372</v>
      </c>
      <c r="H41" s="194">
        <v>6614960.3700000001</v>
      </c>
      <c r="I41" s="194">
        <v>2196206</v>
      </c>
      <c r="J41" s="194">
        <v>9061126.370000001</v>
      </c>
      <c r="K41" s="194">
        <v>436285.38466892886</v>
      </c>
      <c r="L41" s="194">
        <v>3604974.6620180607</v>
      </c>
      <c r="M41" s="194">
        <v>0</v>
      </c>
      <c r="N41" s="194">
        <v>4041260.0466869897</v>
      </c>
      <c r="O41" s="194">
        <v>5019866.3233130099</v>
      </c>
      <c r="P41" s="194">
        <v>4206086.6153310714</v>
      </c>
      <c r="Q41" s="207" t="s">
        <v>2144</v>
      </c>
    </row>
    <row r="42" spans="1:17" x14ac:dyDescent="0.3">
      <c r="E42" s="204" t="s">
        <v>2141</v>
      </c>
      <c r="G42" s="199">
        <f>G41-G40</f>
        <v>0</v>
      </c>
      <c r="H42" s="199">
        <f t="shared" ref="H42" si="16">H41-H40</f>
        <v>0.40000000037252903</v>
      </c>
      <c r="I42" s="199">
        <f t="shared" ref="I42" si="17">I41-I40</f>
        <v>0</v>
      </c>
      <c r="J42" s="199">
        <f t="shared" ref="J42" si="18">J41-J40</f>
        <v>0.40000000037252903</v>
      </c>
      <c r="K42" s="199">
        <f t="shared" ref="K42" si="19">K41-K40</f>
        <v>-235.61533107113792</v>
      </c>
      <c r="L42" s="199">
        <f t="shared" ref="L42" si="20">L41-L40</f>
        <v>-567.87537021096796</v>
      </c>
      <c r="M42" s="199">
        <f t="shared" ref="M42" si="21">M41-M40</f>
        <v>0</v>
      </c>
      <c r="N42" s="201">
        <f t="shared" ref="N42" si="22">N41-N40</f>
        <v>-803.49070128193125</v>
      </c>
      <c r="O42" s="199">
        <f t="shared" ref="O42" si="23">O41-O40</f>
        <v>803.89070128183812</v>
      </c>
      <c r="P42" s="199">
        <f t="shared" ref="P42" si="24">P41-P40</f>
        <v>235.61533107142895</v>
      </c>
      <c r="Q42" s="207"/>
    </row>
    <row r="43" spans="1:17" x14ac:dyDescent="0.3">
      <c r="F43" s="177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207"/>
    </row>
    <row r="44" spans="1:17" ht="15" thickBot="1" x14ac:dyDescent="0.4">
      <c r="A44" s="218"/>
      <c r="C44" s="193" t="s">
        <v>731</v>
      </c>
      <c r="E44" s="3" t="s">
        <v>2138</v>
      </c>
      <c r="F44" s="177"/>
      <c r="G44" s="194">
        <v>9061126</v>
      </c>
      <c r="H44" s="194">
        <v>6628103</v>
      </c>
      <c r="I44" s="200">
        <v>343585</v>
      </c>
      <c r="J44" s="194">
        <v>15379401</v>
      </c>
      <c r="K44" s="194">
        <v>4041359</v>
      </c>
      <c r="L44" s="194">
        <v>2441323.9726430154</v>
      </c>
      <c r="M44" s="194">
        <v>178858</v>
      </c>
      <c r="N44" s="194">
        <v>6303824.972643014</v>
      </c>
      <c r="O44" s="194">
        <v>9114836.027356986</v>
      </c>
      <c r="P44" s="194">
        <v>5019767</v>
      </c>
      <c r="Q44" s="207" t="s">
        <v>2159</v>
      </c>
    </row>
    <row r="45" spans="1:17" s="136" customFormat="1" ht="13.5" thickTop="1" x14ac:dyDescent="0.3">
      <c r="A45" s="174"/>
      <c r="D45" s="174"/>
      <c r="E45" s="3" t="s">
        <v>2139</v>
      </c>
      <c r="G45" s="194">
        <v>9061126.370000001</v>
      </c>
      <c r="H45" s="194">
        <v>6628100.4499999993</v>
      </c>
      <c r="I45" s="194">
        <v>560258.01017000002</v>
      </c>
      <c r="J45" s="194">
        <v>15128968.809830001</v>
      </c>
      <c r="K45" s="194">
        <v>4041260.0466869902</v>
      </c>
      <c r="L45" s="194">
        <v>4692265.9229805032</v>
      </c>
      <c r="M45" s="194">
        <v>303385.16495767806</v>
      </c>
      <c r="N45" s="194">
        <v>8430140.8047098145</v>
      </c>
      <c r="O45" s="194">
        <v>6698828.0051201861</v>
      </c>
      <c r="P45" s="194">
        <v>5019866.3233130099</v>
      </c>
      <c r="Q45" s="207" t="s">
        <v>2142</v>
      </c>
    </row>
    <row r="46" spans="1:17" x14ac:dyDescent="0.3">
      <c r="E46" s="204" t="s">
        <v>2141</v>
      </c>
      <c r="G46" s="199">
        <f>G45-G44</f>
        <v>0.37000000104308128</v>
      </c>
      <c r="H46" s="199">
        <f t="shared" ref="H46:P46" si="25">H45-H44</f>
        <v>-2.5500000007450581</v>
      </c>
      <c r="I46" s="199">
        <f>I45-I44</f>
        <v>216673.01017000002</v>
      </c>
      <c r="J46" s="201">
        <f t="shared" si="25"/>
        <v>-250432.19016999938</v>
      </c>
      <c r="K46" s="199">
        <f t="shared" si="25"/>
        <v>-98.953313009813428</v>
      </c>
      <c r="L46" s="201">
        <f t="shared" si="25"/>
        <v>2250941.9503374877</v>
      </c>
      <c r="M46" s="199">
        <f t="shared" si="25"/>
        <v>124527.16495767806</v>
      </c>
      <c r="N46" s="199">
        <f t="shared" si="25"/>
        <v>2126315.8320668004</v>
      </c>
      <c r="O46" s="199">
        <f t="shared" si="25"/>
        <v>-2416008.0222367998</v>
      </c>
      <c r="P46" s="199">
        <f t="shared" si="25"/>
        <v>99.323313009925187</v>
      </c>
      <c r="Q46" s="207" t="s">
        <v>2143</v>
      </c>
    </row>
    <row r="47" spans="1:17" x14ac:dyDescent="0.3">
      <c r="H47" s="198"/>
      <c r="L47" s="207" t="s">
        <v>2145</v>
      </c>
      <c r="Q47" s="207"/>
    </row>
    <row r="48" spans="1:17" ht="15" thickBot="1" x14ac:dyDescent="0.4">
      <c r="C48" s="193" t="s">
        <v>902</v>
      </c>
      <c r="E48" s="3" t="s">
        <v>2138</v>
      </c>
      <c r="G48" s="194">
        <v>15379401</v>
      </c>
      <c r="H48" s="194">
        <v>3096147.0100000002</v>
      </c>
      <c r="I48" s="194">
        <v>0</v>
      </c>
      <c r="J48" s="194">
        <v>18475548.009999998</v>
      </c>
      <c r="K48" s="194">
        <v>6303824.972643014</v>
      </c>
      <c r="L48" s="194">
        <v>6873954.2308059596</v>
      </c>
      <c r="M48" s="194">
        <v>0</v>
      </c>
      <c r="N48" s="194">
        <v>13177779.203448972</v>
      </c>
      <c r="O48" s="194">
        <v>5337028.8065510262</v>
      </c>
      <c r="P48" s="194">
        <v>9114836.027356986</v>
      </c>
      <c r="Q48" s="207"/>
    </row>
    <row r="49" spans="3:17" ht="13.5" thickTop="1" x14ac:dyDescent="0.3">
      <c r="E49" s="3" t="s">
        <v>2139</v>
      </c>
      <c r="G49" s="194">
        <v>15128968.809829999</v>
      </c>
      <c r="H49" s="194">
        <v>3096147.01</v>
      </c>
      <c r="I49" s="194">
        <v>0</v>
      </c>
      <c r="J49" s="194">
        <v>18225115.81983</v>
      </c>
      <c r="K49" s="194">
        <v>8430140.8047098164</v>
      </c>
      <c r="L49" s="194">
        <v>5238853.624517899</v>
      </c>
      <c r="M49" s="194">
        <v>0</v>
      </c>
      <c r="N49" s="194">
        <v>13668994.429227715</v>
      </c>
      <c r="O49" s="194">
        <v>4556121.3906022832</v>
      </c>
      <c r="P49" s="194">
        <v>6698828.0051201824</v>
      </c>
      <c r="Q49" s="207"/>
    </row>
    <row r="50" spans="3:17" x14ac:dyDescent="0.3">
      <c r="E50" s="204" t="s">
        <v>2141</v>
      </c>
      <c r="G50" s="201">
        <f>G49-G48</f>
        <v>-250432.19017000124</v>
      </c>
      <c r="H50" s="199">
        <f t="shared" ref="H50" si="26">H49-H48</f>
        <v>0</v>
      </c>
      <c r="I50" s="199">
        <f t="shared" ref="I50" si="27">I49-I48</f>
        <v>0</v>
      </c>
      <c r="J50" s="199">
        <f>J49-J48</f>
        <v>-250432.19016999751</v>
      </c>
      <c r="K50" s="199">
        <f t="shared" ref="K50" si="28">K49-K48</f>
        <v>2126315.8320668023</v>
      </c>
      <c r="L50" s="201">
        <f t="shared" ref="L50" si="29">L49-L48</f>
        <v>-1635100.6062880605</v>
      </c>
      <c r="M50" s="199">
        <f t="shared" ref="M50" si="30">M49-M48</f>
        <v>0</v>
      </c>
      <c r="N50" s="199">
        <f t="shared" ref="N50" si="31">N49-N48</f>
        <v>491215.22577874362</v>
      </c>
      <c r="O50" s="199">
        <f t="shared" ref="O50" si="32">O49-O48</f>
        <v>-780907.415948743</v>
      </c>
      <c r="P50" s="199">
        <f t="shared" ref="P50" si="33">P49-P48</f>
        <v>-2416008.0222368035</v>
      </c>
      <c r="Q50" s="207"/>
    </row>
    <row r="51" spans="3:17" x14ac:dyDescent="0.3">
      <c r="G51" s="207" t="s">
        <v>2147</v>
      </c>
      <c r="L51" s="207" t="s">
        <v>2146</v>
      </c>
      <c r="Q51" s="207"/>
    </row>
    <row r="52" spans="3:17" ht="15" thickBot="1" x14ac:dyDescent="0.4">
      <c r="C52" s="193" t="s">
        <v>1018</v>
      </c>
      <c r="E52" s="3" t="s">
        <v>2138</v>
      </c>
      <c r="G52" s="194">
        <v>18475548.009999998</v>
      </c>
      <c r="H52" s="194">
        <v>1975767.85</v>
      </c>
      <c r="I52" s="194">
        <v>0</v>
      </c>
      <c r="J52" s="194">
        <v>20451315.859999999</v>
      </c>
      <c r="K52" s="194">
        <v>13177779.203448972</v>
      </c>
      <c r="L52" s="194">
        <v>3601187.8895051549</v>
      </c>
      <c r="M52" s="194">
        <v>0</v>
      </c>
      <c r="N52" s="194">
        <v>16739707.092954129</v>
      </c>
      <c r="O52" s="194">
        <v>3711609.7670458714</v>
      </c>
      <c r="P52" s="194">
        <v>5337028.8065510262</v>
      </c>
      <c r="Q52" s="207"/>
    </row>
    <row r="53" spans="3:17" ht="13.5" thickTop="1" x14ac:dyDescent="0.3">
      <c r="E53" s="3" t="s">
        <v>2139</v>
      </c>
      <c r="G53" s="194">
        <v>18225115.81983</v>
      </c>
      <c r="H53" s="194">
        <v>1975767.8499999999</v>
      </c>
      <c r="I53" s="194">
        <v>0</v>
      </c>
      <c r="J53" s="194">
        <v>20200883.669829998</v>
      </c>
      <c r="K53" s="194">
        <v>13668994.429227715</v>
      </c>
      <c r="L53" s="194">
        <v>3609629.2990122624</v>
      </c>
      <c r="M53" s="194">
        <v>0</v>
      </c>
      <c r="N53" s="194">
        <v>17278623.728239976</v>
      </c>
      <c r="O53" s="194">
        <v>2922259.941590019</v>
      </c>
      <c r="P53" s="194">
        <v>4556121.3906022832</v>
      </c>
      <c r="Q53" s="207" t="s">
        <v>2144</v>
      </c>
    </row>
    <row r="54" spans="3:17" x14ac:dyDescent="0.3">
      <c r="E54" s="204" t="s">
        <v>2141</v>
      </c>
      <c r="G54" s="199">
        <f>G53-G52</f>
        <v>-250432.19016999751</v>
      </c>
      <c r="H54" s="199">
        <f t="shared" ref="H54" si="34">H53-H52</f>
        <v>0</v>
      </c>
      <c r="I54" s="199">
        <f t="shared" ref="I54" si="35">I53-I52</f>
        <v>0</v>
      </c>
      <c r="J54" s="199">
        <f t="shared" ref="J54" si="36">J53-J52</f>
        <v>-250432.19017000124</v>
      </c>
      <c r="K54" s="199">
        <f t="shared" ref="K54" si="37">K53-K52</f>
        <v>491215.22577874362</v>
      </c>
      <c r="L54" s="199">
        <f t="shared" ref="L54" si="38">L53-L52</f>
        <v>8441.4095071074553</v>
      </c>
      <c r="M54" s="199">
        <f t="shared" ref="M54" si="39">M53-M52</f>
        <v>0</v>
      </c>
      <c r="N54" s="201">
        <f t="shared" ref="N54" si="40">N53-N52</f>
        <v>538916.63528584689</v>
      </c>
      <c r="O54" s="199">
        <f t="shared" ref="O54" si="41">O53-O52</f>
        <v>-789349.82545585232</v>
      </c>
      <c r="P54" s="199">
        <f t="shared" ref="P54" si="42">P53-P52</f>
        <v>-780907.415948743</v>
      </c>
      <c r="Q54" s="207"/>
    </row>
    <row r="55" spans="3:17" x14ac:dyDescent="0.3">
      <c r="Q55" s="207"/>
    </row>
    <row r="56" spans="3:17" ht="15" thickBot="1" x14ac:dyDescent="0.4">
      <c r="C56" s="193" t="s">
        <v>1069</v>
      </c>
      <c r="E56" s="3" t="s">
        <v>2138</v>
      </c>
      <c r="G56" s="194">
        <v>20451315.859999999</v>
      </c>
      <c r="H56" s="194">
        <v>7642</v>
      </c>
      <c r="I56" s="194">
        <v>0</v>
      </c>
      <c r="J56" s="194">
        <v>20458957.859999999</v>
      </c>
      <c r="K56" s="194">
        <v>16777968.092954129</v>
      </c>
      <c r="L56" s="194">
        <v>1577616.5303141677</v>
      </c>
      <c r="M56" s="194">
        <v>0</v>
      </c>
      <c r="N56" s="194">
        <v>18317323.623268299</v>
      </c>
      <c r="O56" s="194">
        <v>2141636.2367317025</v>
      </c>
      <c r="P56" s="194">
        <v>3711609.7670458714</v>
      </c>
      <c r="Q56" s="207"/>
    </row>
    <row r="57" spans="3:17" ht="13.5" thickTop="1" x14ac:dyDescent="0.3">
      <c r="E57" s="3" t="s">
        <v>2139</v>
      </c>
      <c r="G57" s="194">
        <v>20200883.669829998</v>
      </c>
      <c r="H57" s="194">
        <v>7642</v>
      </c>
      <c r="I57" s="194">
        <v>0</v>
      </c>
      <c r="J57" s="194">
        <v>20208525.669829998</v>
      </c>
      <c r="K57" s="194">
        <v>17278623.72823998</v>
      </c>
      <c r="L57" s="194">
        <v>1639490.2541871406</v>
      </c>
      <c r="M57" s="194">
        <v>0</v>
      </c>
      <c r="N57" s="194">
        <v>18918113.98242712</v>
      </c>
      <c r="O57" s="194">
        <v>1290411.6874028754</v>
      </c>
      <c r="P57" s="194">
        <v>2922259.9415900158</v>
      </c>
      <c r="Q57" s="207" t="s">
        <v>2144</v>
      </c>
    </row>
    <row r="58" spans="3:17" x14ac:dyDescent="0.3">
      <c r="E58" s="204" t="s">
        <v>2141</v>
      </c>
      <c r="G58" s="199">
        <f>G57-G56</f>
        <v>-250432.19017000124</v>
      </c>
      <c r="H58" s="199">
        <f t="shared" ref="H58" si="43">H57-H56</f>
        <v>0</v>
      </c>
      <c r="I58" s="199">
        <f t="shared" ref="I58" si="44">I57-I56</f>
        <v>0</v>
      </c>
      <c r="J58" s="199">
        <f t="shared" ref="J58" si="45">J57-J56</f>
        <v>-250432.19017000124</v>
      </c>
      <c r="K58" s="199">
        <f t="shared" ref="K58" si="46">K57-K56</f>
        <v>500655.63528585061</v>
      </c>
      <c r="L58" s="199">
        <f t="shared" ref="L58" si="47">L57-L56</f>
        <v>61873.723872972885</v>
      </c>
      <c r="M58" s="199">
        <f t="shared" ref="M58" si="48">M57-M56</f>
        <v>0</v>
      </c>
      <c r="N58" s="201">
        <f t="shared" ref="N58" si="49">N57-N56</f>
        <v>600790.3591588214</v>
      </c>
      <c r="O58" s="199">
        <f t="shared" ref="O58" si="50">O57-O56</f>
        <v>-851224.54932882707</v>
      </c>
      <c r="P58" s="199">
        <f t="shared" ref="P58" si="51">P57-P56</f>
        <v>-789349.82545585558</v>
      </c>
      <c r="Q58" s="207"/>
    </row>
    <row r="59" spans="3:17" x14ac:dyDescent="0.3">
      <c r="Q59" s="207"/>
    </row>
    <row r="60" spans="3:17" ht="15" thickBot="1" x14ac:dyDescent="0.4">
      <c r="C60" s="193" t="s">
        <v>1070</v>
      </c>
      <c r="E60" s="3" t="s">
        <v>2138</v>
      </c>
      <c r="G60" s="194">
        <v>20458958.140000001</v>
      </c>
      <c r="H60" s="194">
        <v>385585</v>
      </c>
      <c r="I60" s="194">
        <v>0</v>
      </c>
      <c r="J60" s="194">
        <v>20844543.140000001</v>
      </c>
      <c r="K60" s="194">
        <v>18317323.62326831</v>
      </c>
      <c r="L60" s="194">
        <v>542303</v>
      </c>
      <c r="M60" s="194">
        <v>0</v>
      </c>
      <c r="N60" s="194">
        <v>18859626.62326831</v>
      </c>
      <c r="O60" s="194">
        <v>1984918.5167316897</v>
      </c>
      <c r="P60" s="194">
        <v>2141635.5167317018</v>
      </c>
      <c r="Q60" s="207"/>
    </row>
    <row r="61" spans="3:17" ht="13.5" thickTop="1" x14ac:dyDescent="0.3">
      <c r="E61" s="3" t="s">
        <v>2139</v>
      </c>
      <c r="G61" s="194">
        <v>20208525.669829998</v>
      </c>
      <c r="H61" s="194">
        <v>385585.13</v>
      </c>
      <c r="I61" s="194">
        <v>0</v>
      </c>
      <c r="J61" s="194">
        <v>20594110.799829997</v>
      </c>
      <c r="K61" s="194">
        <v>18918113.982427116</v>
      </c>
      <c r="L61" s="194">
        <v>530276.51328569336</v>
      </c>
      <c r="M61" s="194">
        <v>0</v>
      </c>
      <c r="N61" s="194">
        <v>19448390.495712813</v>
      </c>
      <c r="O61" s="194">
        <v>1145720.304117186</v>
      </c>
      <c r="P61" s="194">
        <v>1290411.6874028801</v>
      </c>
      <c r="Q61" s="207" t="s">
        <v>2144</v>
      </c>
    </row>
    <row r="62" spans="3:17" x14ac:dyDescent="0.3">
      <c r="E62" s="204" t="s">
        <v>2141</v>
      </c>
      <c r="G62" s="199">
        <f>G61-G60</f>
        <v>-250432.47017000243</v>
      </c>
      <c r="H62" s="199">
        <f t="shared" ref="H62" si="52">H61-H60</f>
        <v>0.13000000000465661</v>
      </c>
      <c r="I62" s="199">
        <f t="shared" ref="I62" si="53">I61-I60</f>
        <v>0</v>
      </c>
      <c r="J62" s="199">
        <f t="shared" ref="J62" si="54">J61-J60</f>
        <v>-250432.34017000347</v>
      </c>
      <c r="K62" s="199">
        <f t="shared" ref="K62" si="55">K61-K60</f>
        <v>600790.3591588065</v>
      </c>
      <c r="L62" s="199">
        <f t="shared" ref="L62" si="56">L61-L60</f>
        <v>-12026.486714306637</v>
      </c>
      <c r="M62" s="199">
        <f t="shared" ref="M62" si="57">M61-M60</f>
        <v>0</v>
      </c>
      <c r="N62" s="201">
        <f t="shared" ref="N62" si="58">N61-N60</f>
        <v>588763.87244450301</v>
      </c>
      <c r="O62" s="199">
        <f t="shared" ref="O62" si="59">O61-O60</f>
        <v>-839198.21261450369</v>
      </c>
      <c r="P62" s="199">
        <f t="shared" ref="P62" si="60">P61-P60</f>
        <v>-851223.82932882174</v>
      </c>
      <c r="Q62" s="207"/>
    </row>
    <row r="63" spans="3:17" x14ac:dyDescent="0.3">
      <c r="Q63" s="207"/>
    </row>
    <row r="64" spans="3:17" ht="15" thickBot="1" x14ac:dyDescent="0.4">
      <c r="C64" s="193" t="s">
        <v>1089</v>
      </c>
      <c r="E64" s="3" t="s">
        <v>2138</v>
      </c>
      <c r="G64" s="194">
        <v>20844543.27</v>
      </c>
      <c r="H64" s="194">
        <v>73066116.070000008</v>
      </c>
      <c r="I64" s="200">
        <v>3562118.2341989106</v>
      </c>
      <c r="J64" s="194">
        <v>90348541.105801076</v>
      </c>
      <c r="K64" s="194">
        <v>18859626.62326831</v>
      </c>
      <c r="L64" s="194">
        <v>8308489.3705564858</v>
      </c>
      <c r="M64" s="194">
        <v>1437881.7658010903</v>
      </c>
      <c r="N64" s="194">
        <v>28605997.759625886</v>
      </c>
      <c r="O64" s="194">
        <v>61742543.346175201</v>
      </c>
      <c r="P64" s="194">
        <v>1984916.5167316897</v>
      </c>
      <c r="Q64" s="207" t="s">
        <v>2148</v>
      </c>
    </row>
    <row r="65" spans="3:17" ht="13.5" thickTop="1" x14ac:dyDescent="0.3">
      <c r="E65" s="3" t="s">
        <v>2139</v>
      </c>
      <c r="G65" s="194">
        <v>20594110.799829997</v>
      </c>
      <c r="H65" s="194">
        <v>73066116.969999999</v>
      </c>
      <c r="I65" s="194">
        <v>6129321.7503127977</v>
      </c>
      <c r="J65" s="194">
        <v>87530906.019517183</v>
      </c>
      <c r="K65" s="194">
        <v>19448390.495712813</v>
      </c>
      <c r="L65" s="194">
        <v>20389359.865597844</v>
      </c>
      <c r="M65" s="194">
        <v>1015597.8365797016</v>
      </c>
      <c r="N65" s="194">
        <v>38822152.524730965</v>
      </c>
      <c r="O65" s="194">
        <v>48708753.494786233</v>
      </c>
      <c r="P65" s="194">
        <v>1145720.304117183</v>
      </c>
      <c r="Q65" s="207" t="s">
        <v>2151</v>
      </c>
    </row>
    <row r="66" spans="3:17" x14ac:dyDescent="0.3">
      <c r="G66" s="228">
        <v>20594110.799829997</v>
      </c>
      <c r="H66" s="228">
        <v>73066116.969999999</v>
      </c>
      <c r="I66" s="228">
        <v>6129321.7503127977</v>
      </c>
      <c r="J66" s="228">
        <v>87530906.019517183</v>
      </c>
      <c r="K66" s="228">
        <v>19448390.495712813</v>
      </c>
      <c r="L66" s="228">
        <v>19257947.361488257</v>
      </c>
      <c r="M66" s="228">
        <v>701918.43018700765</v>
      </c>
      <c r="N66" s="228">
        <v>38004419.427014068</v>
      </c>
      <c r="O66" s="228">
        <v>49526486.592503123</v>
      </c>
      <c r="P66" s="228">
        <v>1145720.304117183</v>
      </c>
      <c r="Q66" s="207"/>
    </row>
    <row r="67" spans="3:17" x14ac:dyDescent="0.3">
      <c r="E67" s="204" t="s">
        <v>2141</v>
      </c>
      <c r="G67" s="199">
        <f t="shared" ref="G67:P67" si="61">G65-G64</f>
        <v>-250432.47017000243</v>
      </c>
      <c r="H67" s="199">
        <f t="shared" si="61"/>
        <v>0.89999999105930328</v>
      </c>
      <c r="I67" s="199">
        <f t="shared" si="61"/>
        <v>2567203.5161138871</v>
      </c>
      <c r="J67" s="199">
        <f t="shared" si="61"/>
        <v>-2817635.0862838924</v>
      </c>
      <c r="K67" s="199">
        <f t="shared" si="61"/>
        <v>588763.87244450301</v>
      </c>
      <c r="L67" s="199">
        <f t="shared" si="61"/>
        <v>12080870.495041359</v>
      </c>
      <c r="M67" s="199">
        <f t="shared" si="61"/>
        <v>-422283.92922138865</v>
      </c>
      <c r="N67" s="199">
        <f t="shared" si="61"/>
        <v>10216154.76510508</v>
      </c>
      <c r="O67" s="199">
        <f t="shared" si="61"/>
        <v>-13033789.851388969</v>
      </c>
      <c r="P67" s="199">
        <f t="shared" si="61"/>
        <v>-839196.21261450672</v>
      </c>
      <c r="Q67" s="207" t="s">
        <v>2150</v>
      </c>
    </row>
    <row r="68" spans="3:17" x14ac:dyDescent="0.3">
      <c r="Q68" s="207"/>
    </row>
    <row r="69" spans="3:17" ht="15" thickBot="1" x14ac:dyDescent="0.4">
      <c r="C69" s="193" t="s">
        <v>1308</v>
      </c>
      <c r="E69" s="3" t="s">
        <v>2138</v>
      </c>
      <c r="G69" s="194">
        <v>90348541.000000015</v>
      </c>
      <c r="H69" s="194">
        <v>182025852.99000001</v>
      </c>
      <c r="I69" s="194">
        <v>15099079.999999998</v>
      </c>
      <c r="J69" s="194">
        <v>257275313.99000007</v>
      </c>
      <c r="K69" s="194">
        <v>28605997.729093611</v>
      </c>
      <c r="L69" s="194">
        <v>31399570.296369977</v>
      </c>
      <c r="M69" s="194">
        <v>4181794.9999999995</v>
      </c>
      <c r="N69" s="194">
        <v>55823773.025463589</v>
      </c>
      <c r="O69" s="194">
        <v>201451544.86453646</v>
      </c>
      <c r="P69" s="194">
        <v>61742545.270906374</v>
      </c>
      <c r="Q69" s="207" t="s">
        <v>2152</v>
      </c>
    </row>
    <row r="70" spans="3:17" ht="13.5" thickTop="1" x14ac:dyDescent="0.3">
      <c r="E70" s="3" t="s">
        <v>2139</v>
      </c>
      <c r="G70" s="194">
        <v>87530906.019517183</v>
      </c>
      <c r="H70" s="194">
        <v>182025853.94999999</v>
      </c>
      <c r="I70" s="194">
        <v>15143599.976415094</v>
      </c>
      <c r="J70" s="194">
        <v>254413159.9931021</v>
      </c>
      <c r="K70" s="194">
        <v>38822152.524730958</v>
      </c>
      <c r="L70" s="194">
        <v>45036469.757954821</v>
      </c>
      <c r="M70" s="194">
        <v>5795659.0959032997</v>
      </c>
      <c r="N70" s="194">
        <v>78062963.186782464</v>
      </c>
      <c r="O70" s="194">
        <v>176350196.80631965</v>
      </c>
      <c r="P70" s="194">
        <v>48708753.494786248</v>
      </c>
      <c r="Q70" s="207"/>
    </row>
    <row r="71" spans="3:17" x14ac:dyDescent="0.3">
      <c r="G71" s="228">
        <v>87530906.019517183</v>
      </c>
      <c r="H71" s="228">
        <v>182025853.94999999</v>
      </c>
      <c r="I71" s="228">
        <v>15143599.976415094</v>
      </c>
      <c r="J71" s="228">
        <v>254413159.9931021</v>
      </c>
      <c r="K71" s="228">
        <v>38822152.524730958</v>
      </c>
      <c r="L71" s="228">
        <v>47897482.99642548</v>
      </c>
      <c r="M71" s="228">
        <v>8656672.3343739659</v>
      </c>
      <c r="N71" s="228">
        <v>78062963.186782464</v>
      </c>
      <c r="O71" s="228">
        <v>176350196.80631965</v>
      </c>
      <c r="P71" s="228">
        <v>48708753.494786248</v>
      </c>
      <c r="Q71" s="207"/>
    </row>
    <row r="72" spans="3:17" x14ac:dyDescent="0.3">
      <c r="E72" s="204" t="s">
        <v>2141</v>
      </c>
      <c r="G72" s="201">
        <f>G70-G69</f>
        <v>-2817634.9804828316</v>
      </c>
      <c r="H72" s="199">
        <f t="shared" ref="H72" si="62">H70-H69</f>
        <v>0.95999997854232788</v>
      </c>
      <c r="I72" s="215">
        <f t="shared" ref="I72" si="63">I70-I69</f>
        <v>44519.976415095851</v>
      </c>
      <c r="J72" s="199">
        <f>J70-J69</f>
        <v>-2862153.9968979657</v>
      </c>
      <c r="K72" s="199">
        <f t="shared" ref="K72" si="64">K70-K69</f>
        <v>10216154.795637347</v>
      </c>
      <c r="L72" s="199">
        <f t="shared" ref="L72" si="65">L70-L69</f>
        <v>13636899.461584844</v>
      </c>
      <c r="M72" s="199">
        <f t="shared" ref="M72" si="66">M70-M69</f>
        <v>1613864.0959033002</v>
      </c>
      <c r="N72" s="201">
        <f t="shared" ref="N72" si="67">N70-N69</f>
        <v>22239190.161318876</v>
      </c>
      <c r="O72" s="199">
        <f t="shared" ref="O72" si="68">O70-O69</f>
        <v>-25101348.05821681</v>
      </c>
      <c r="P72" s="199">
        <f t="shared" ref="P72" si="69">P70-P69</f>
        <v>-13033791.776120126</v>
      </c>
      <c r="Q72" s="207"/>
    </row>
    <row r="73" spans="3:17" x14ac:dyDescent="0.3">
      <c r="G73" s="207" t="s">
        <v>2153</v>
      </c>
      <c r="Q73" s="207"/>
    </row>
    <row r="74" spans="3:17" ht="15" thickBot="1" x14ac:dyDescent="0.4">
      <c r="C74" s="193" t="s">
        <v>1758</v>
      </c>
      <c r="E74" s="3" t="s">
        <v>2138</v>
      </c>
      <c r="G74" s="194">
        <v>257275313.99000007</v>
      </c>
      <c r="H74" s="194">
        <v>213283499.29999998</v>
      </c>
      <c r="I74" s="194">
        <v>37952950</v>
      </c>
      <c r="J74" s="194">
        <v>432605863.28999996</v>
      </c>
      <c r="K74" s="194">
        <v>55823773.025463589</v>
      </c>
      <c r="L74" s="194">
        <v>80261551.691190466</v>
      </c>
      <c r="M74" s="194">
        <v>13464882</v>
      </c>
      <c r="N74" s="194">
        <v>122620442.71665405</v>
      </c>
      <c r="O74" s="194">
        <v>309985422.57334596</v>
      </c>
      <c r="P74" s="194">
        <v>201451540.96453643</v>
      </c>
      <c r="Q74" s="207" t="s">
        <v>2158</v>
      </c>
    </row>
    <row r="75" spans="3:17" ht="13.5" thickTop="1" x14ac:dyDescent="0.3">
      <c r="E75" s="3" t="s">
        <v>2139</v>
      </c>
      <c r="G75" s="194">
        <v>254413159.9931021</v>
      </c>
      <c r="H75" s="194">
        <v>213283499.14000002</v>
      </c>
      <c r="I75" s="194">
        <v>37982856.030000001</v>
      </c>
      <c r="J75" s="194">
        <v>429713803.10310209</v>
      </c>
      <c r="K75" s="194">
        <v>78062963.186782464</v>
      </c>
      <c r="L75" s="194">
        <v>72928044.161516339</v>
      </c>
      <c r="M75" s="194">
        <v>14638354.31086077</v>
      </c>
      <c r="N75" s="194">
        <v>136352653.03743806</v>
      </c>
      <c r="O75" s="194">
        <v>293361150.06566405</v>
      </c>
      <c r="P75" s="194">
        <v>176350196.80631965</v>
      </c>
      <c r="Q75" s="207"/>
    </row>
    <row r="76" spans="3:17" x14ac:dyDescent="0.3"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207"/>
    </row>
    <row r="77" spans="3:17" x14ac:dyDescent="0.3">
      <c r="E77" s="204" t="s">
        <v>2141</v>
      </c>
      <c r="G77" s="199">
        <f>G75-G74</f>
        <v>-2862153.9968979657</v>
      </c>
      <c r="H77" s="199">
        <f t="shared" ref="H77" si="70">H75-H74</f>
        <v>-0.15999996662139893</v>
      </c>
      <c r="I77" s="215">
        <f t="shared" ref="I77" si="71">I75-I74</f>
        <v>29906.030000001192</v>
      </c>
      <c r="J77" s="199">
        <f>J75-J74</f>
        <v>-2892060.1868978739</v>
      </c>
      <c r="K77" s="199">
        <f t="shared" ref="K77" si="72">K75-K74</f>
        <v>22239190.161318876</v>
      </c>
      <c r="L77" s="199">
        <f t="shared" ref="L77" si="73">L75-L74</f>
        <v>-7333507.5296741277</v>
      </c>
      <c r="M77" s="199">
        <f t="shared" ref="M77" si="74">M75-M74</f>
        <v>1173472.3108607698</v>
      </c>
      <c r="N77" s="201">
        <f t="shared" ref="N77" si="75">N75-N74</f>
        <v>13732210.320784017</v>
      </c>
      <c r="O77" s="199">
        <f>O75-O74</f>
        <v>-16624272.507681906</v>
      </c>
      <c r="P77" s="199">
        <f t="shared" ref="P77" si="76">P75-P74</f>
        <v>-25101344.158216774</v>
      </c>
      <c r="Q77" s="207"/>
    </row>
    <row r="78" spans="3:17" x14ac:dyDescent="0.3">
      <c r="I78" s="3" t="s">
        <v>2156</v>
      </c>
      <c r="J78" s="198"/>
      <c r="Q78" s="207"/>
    </row>
    <row r="79" spans="3:17" ht="15" thickBot="1" x14ac:dyDescent="0.4">
      <c r="C79" s="193" t="s">
        <v>10</v>
      </c>
      <c r="E79" s="3" t="s">
        <v>2138</v>
      </c>
      <c r="G79" s="194"/>
      <c r="H79" s="194"/>
      <c r="I79" s="194"/>
      <c r="J79" s="194">
        <v>608218053</v>
      </c>
      <c r="K79" s="194"/>
      <c r="L79" s="194"/>
      <c r="M79" s="194"/>
      <c r="N79" s="194"/>
      <c r="O79" s="194"/>
      <c r="P79" s="194"/>
      <c r="Q79" s="207"/>
    </row>
    <row r="80" spans="3:17" ht="13.5" thickTop="1" x14ac:dyDescent="0.3">
      <c r="E80" s="3" t="s">
        <v>2139</v>
      </c>
      <c r="G80" s="194">
        <v>429713803.10310203</v>
      </c>
      <c r="H80" s="194">
        <v>175642089.72000003</v>
      </c>
      <c r="I80" s="194">
        <v>0</v>
      </c>
      <c r="J80" s="194">
        <v>605355892.82310212</v>
      </c>
      <c r="K80" s="194">
        <v>136352653.03743804</v>
      </c>
      <c r="L80" s="194">
        <v>119116626.89962603</v>
      </c>
      <c r="M80" s="194">
        <v>0</v>
      </c>
      <c r="N80" s="194">
        <v>255469279.93706405</v>
      </c>
      <c r="O80" s="194">
        <v>349886612.88603801</v>
      </c>
      <c r="P80" s="194">
        <v>293361150.06566405</v>
      </c>
      <c r="Q80" s="207"/>
    </row>
    <row r="81" spans="5:17" x14ac:dyDescent="0.3">
      <c r="E81" s="204"/>
      <c r="G81" s="199"/>
      <c r="H81" s="199"/>
      <c r="I81" s="199"/>
      <c r="J81" s="199">
        <f>J79-J80</f>
        <v>2862160.1768978834</v>
      </c>
      <c r="K81" s="199"/>
      <c r="L81" s="199"/>
      <c r="M81" s="199"/>
      <c r="N81" s="199"/>
      <c r="O81" s="199"/>
      <c r="P81" s="199"/>
      <c r="Q81" s="207"/>
    </row>
    <row r="82" spans="5:17" x14ac:dyDescent="0.3">
      <c r="Q82" s="207"/>
    </row>
    <row r="83" spans="5:17" x14ac:dyDescent="0.3">
      <c r="E83" s="209"/>
      <c r="F83" s="209"/>
      <c r="G83" s="209"/>
      <c r="H83" s="210">
        <f>H75+H70+H65+H61+H57+H53+H49+H45+H41+H37+H80</f>
        <v>667368134.59000015</v>
      </c>
      <c r="I83" s="210">
        <f>I75+I70+I65</f>
        <v>59255777.756727897</v>
      </c>
      <c r="Q83" s="207"/>
    </row>
    <row r="84" spans="5:17" x14ac:dyDescent="0.3">
      <c r="E84" s="209" t="s">
        <v>2154</v>
      </c>
      <c r="F84" s="209"/>
      <c r="G84" s="209"/>
      <c r="H84" s="211">
        <f>-('FA Addition'!L1686+'FA Addition'!L1685+'FA Addition'!L1684+'FA Addition'!L1683+'FA Addition'!L1682)</f>
        <v>-2375064</v>
      </c>
      <c r="I84" s="210"/>
      <c r="Q84" s="207"/>
    </row>
    <row r="85" spans="5:17" x14ac:dyDescent="0.3">
      <c r="E85" s="209" t="s">
        <v>2157</v>
      </c>
      <c r="F85" s="209"/>
      <c r="G85" s="209"/>
      <c r="H85" s="211"/>
      <c r="I85" s="210">
        <f>-I77+491</f>
        <v>-29415.030000001192</v>
      </c>
      <c r="Q85" s="207"/>
    </row>
    <row r="86" spans="5:17" x14ac:dyDescent="0.3">
      <c r="E86" s="209" t="s">
        <v>2155</v>
      </c>
      <c r="F86" s="209"/>
      <c r="G86" s="209"/>
      <c r="H86" s="210">
        <f>SUM(H83:H85)</f>
        <v>664993070.59000015</v>
      </c>
      <c r="I86" s="210">
        <f t="shared" ref="I86" si="77">SUM(I83:I85)</f>
        <v>59226362.726727895</v>
      </c>
    </row>
    <row r="88" spans="5:17" x14ac:dyDescent="0.3">
      <c r="H88" s="198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l1KV/u0V0bps8y7AwWKXwGeuGo1ymohuPZFCK7hxRmUymaajIFo9nfU1KjooYIeaFUNsJIlNtd3IrsK0JqRr7A==" saltValue="fqKnb3xfYeQIn+QxbRjZXw==" spinCount="100000" sqref="G3:P26" name="Range1"/>
  </protectedRanges>
  <mergeCells count="1">
    <mergeCell ref="B4:C4"/>
  </mergeCells>
  <pageMargins left="0.7" right="0.7" top="0.75" bottom="0.75" header="0.3" footer="0.3"/>
  <pageSetup orientation="portrait" r:id="rId1"/>
  <ignoredErrors>
    <ignoredError sqref="A3:XFD5 A1:I1 K1:L1 A31:XFD31 A27:B27 A28:F28 A37:D37 A36:B36 A35:XFD35 A34:B34 D34:F34 A33:F33 Q33:XFD33 R34:XFD34 D27:F27 A40:B40 D40 A41:D41 Q40:XFD40 B44 D44 R36:XFD37 A45:D46 A51:F51 D47:G47 A47:B48 D48 I47:K47 F37 F40:F41 F44:F46 A49:D50 A55:XFD55 A52:B54 A59:XFD59 A56:B58 F56:F58 A63:XFD63 A60:B62 F60:F62 A68:K68 A67:B67 F67 A73:F73 A72:B72 A77:B77 A82:XFD82 R44:XFD46 A26:F26 U21:XFD21 R41:XFD41 F48:F50 R48:XFD48 Q49:XFD50 M51:XFD51 Q52:XFD52 M47:XFD47 F52:F54 R53:XFD53 Q54:XFD54 H51:K51 Q56:XFD56 Q58:XFD58 R57:XFD57 Q60:XFD60 Q62:XFD62 R61:XFD61 R67:XFD67 F72 F69:F70 Q70:XFD70 R69:XFD69 Q72:XFD72 A13:P13 G9:K10 G11:P11 M68:XFD68 R64:XFD65 H73:M73 O73:XFD73 F77 R74:XFD75 A78:F78 H78 Q77:XFD77 A87:XFD87 A83:G83 A84:D84 F84:G84 J83:XFD84 A86:D86 J86:XFD86 A89:XFD1048576 A88:G88 I88:XFD88 F86:G86 K78:XFD78 A8:P8 A7:C7 A6:Q6 S6:XFD11 T20:X20 A15:P18 A14:D14 F14:P14 A20:P22 A19:C19 E19:P19 A9:C12 F12:P12 A29:I29 Q29:V29 E7:P7 A30:M30 O30:XFD30 K29:L29 S19:W19 U12:W12 U15:Z15 V13 U14:V14 X14 U18:Z18 U16:V16 Y16:Z16 V17 Z17:XFD17 O1:XFD1 A2:L2 P2:XFD2 Z12:XFD14 Y19:Z19 AB15:XFD16 AB18:XFD19 AB23:XFD24 Z24 AC22:XFD22 R27:V28 Y27:XFD29 A32:H32 J32:XFD32 U22:Z23 U24:X24 A23:Q25 U25:XFD25 M10:P10 F64:F65 A64:B65 A69:B70 F74:F75 A74:B75 N9:P9 Z20:XFD20 H26:I26 L26:XFD2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7F4030-37C1-4921-BAD6-2604967A9F8C}">
          <x14:formula1>
            <xm:f>'FA Addition'!$B:$B</xm:f>
          </x14:formula1>
          <xm:sqref>J1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45384-BA8B-436B-BD30-7F3DFF89EF30}">
  <sheetPr codeName="Sheet3">
    <tabColor theme="5" tint="0.59999389629810485"/>
  </sheetPr>
  <dimension ref="A1:AS1732"/>
  <sheetViews>
    <sheetView zoomScale="85" zoomScaleNormal="85" workbookViewId="0">
      <pane xSplit="12" ySplit="3" topLeftCell="AP4" activePane="bottomRight" state="frozen"/>
      <selection pane="topRight" activeCell="M1" sqref="M1"/>
      <selection pane="bottomLeft" activeCell="A4" sqref="A4"/>
      <selection pane="bottomRight" activeCell="AR4" sqref="AR4"/>
    </sheetView>
  </sheetViews>
  <sheetFormatPr defaultRowHeight="15" outlineLevelCol="1" x14ac:dyDescent="0.4"/>
  <cols>
    <col min="1" max="1" width="8.6328125" style="25" customWidth="1"/>
    <col min="2" max="2" width="5.6328125" style="25" bestFit="1" customWidth="1"/>
    <col min="3" max="3" width="9.6328125" style="25" customWidth="1"/>
    <col min="4" max="4" width="10.08984375" style="25" customWidth="1"/>
    <col min="5" max="5" width="12.453125" style="25" customWidth="1"/>
    <col min="6" max="6" width="8.54296875" style="25" customWidth="1"/>
    <col min="7" max="7" width="18.453125" style="25" customWidth="1"/>
    <col min="8" max="8" width="11.26953125" style="25" hidden="1" customWidth="1" outlineLevel="1"/>
    <col min="9" max="9" width="25" style="25" bestFit="1" customWidth="1" collapsed="1"/>
    <col min="10" max="10" width="5.81640625" style="25" customWidth="1"/>
    <col min="11" max="11" width="20.90625" style="25" customWidth="1"/>
    <col min="12" max="12" width="13.453125" style="25" bestFit="1" customWidth="1"/>
    <col min="13" max="13" width="18.54296875" style="25" customWidth="1"/>
    <col min="14" max="14" width="12.453125" style="25" customWidth="1" outlineLevel="1"/>
    <col min="15" max="15" width="6.90625" style="25" customWidth="1" outlineLevel="1"/>
    <col min="16" max="16" width="11.26953125" style="25" customWidth="1" outlineLevel="1"/>
    <col min="17" max="17" width="7.81640625" style="25" customWidth="1" outlineLevel="1"/>
    <col min="18" max="18" width="0.90625" style="25" customWidth="1"/>
    <col min="19" max="19" width="13.81640625" style="124" bestFit="1" customWidth="1"/>
    <col min="20" max="20" width="1" style="124" customWidth="1"/>
    <col min="21" max="21" width="13.7265625" style="101" customWidth="1"/>
    <col min="22" max="22" width="1.26953125" style="101" customWidth="1"/>
    <col min="23" max="23" width="13.81640625" style="124" bestFit="1" customWidth="1"/>
    <col min="24" max="24" width="1.453125" style="101" customWidth="1"/>
    <col min="25" max="25" width="13.1796875" style="235" bestFit="1" customWidth="1"/>
    <col min="26" max="26" width="1.453125" style="101" customWidth="1"/>
    <col min="27" max="27" width="13.81640625" style="124" bestFit="1" customWidth="1"/>
    <col min="28" max="28" width="2.90625" style="101" bestFit="1" customWidth="1"/>
    <col min="29" max="29" width="13.1796875" style="101" bestFit="1" customWidth="1"/>
    <col min="30" max="30" width="1.90625" style="101" customWidth="1"/>
    <col min="31" max="31" width="12.08984375" style="101" bestFit="1" customWidth="1"/>
    <col min="32" max="32" width="12.08984375" style="101" bestFit="1" customWidth="1" collapsed="1"/>
    <col min="33" max="33" width="12" style="101" customWidth="1"/>
    <col min="34" max="34" width="11" style="101" customWidth="1"/>
    <col min="35" max="35" width="12.6328125" style="101" customWidth="1"/>
    <col min="36" max="36" width="14.26953125" style="101" bestFit="1" customWidth="1"/>
    <col min="37" max="37" width="3.08984375" style="101" customWidth="1"/>
    <col min="38" max="38" width="12.1796875" style="101" bestFit="1" customWidth="1"/>
    <col min="39" max="39" width="1.1796875" style="101" customWidth="1"/>
    <col min="40" max="40" width="12.08984375" style="101" bestFit="1" customWidth="1"/>
    <col min="41" max="41" width="13.453125" style="101" bestFit="1" customWidth="1"/>
    <col min="42" max="42" width="3.1796875" style="101" customWidth="1"/>
    <col min="43" max="44" width="12.08984375" style="101" bestFit="1" customWidth="1"/>
    <col min="45" max="45" width="13.453125" style="15" bestFit="1" customWidth="1"/>
    <col min="46" max="16384" width="8.7265625" style="15"/>
  </cols>
  <sheetData>
    <row r="1" spans="1:45" x14ac:dyDescent="0.4">
      <c r="A1" s="15" t="s">
        <v>428</v>
      </c>
      <c r="B1" s="15"/>
      <c r="C1" s="12"/>
      <c r="D1" s="12"/>
      <c r="E1" s="15"/>
      <c r="F1" s="15"/>
      <c r="H1" s="15"/>
      <c r="I1" s="84">
        <f>26600/L115*J115</f>
        <v>1.1933495437456818</v>
      </c>
      <c r="J1" s="12"/>
      <c r="K1" s="30" t="s">
        <v>425</v>
      </c>
      <c r="L1" s="96">
        <f>'FA Schedule'!E1</f>
        <v>45382</v>
      </c>
      <c r="N1" s="12"/>
      <c r="O1" s="97" t="s">
        <v>2103</v>
      </c>
      <c r="P1" s="98" t="str">
        <f>TEXT(DATE(YEAR(L1)-1,4,1),"dd mmm yyy")</f>
        <v>01 Apr 2023</v>
      </c>
      <c r="Q1" s="12"/>
      <c r="R1" s="12"/>
      <c r="S1" s="99">
        <f>SUBTOTAL(9,S4:S65536)</f>
        <v>149168</v>
      </c>
      <c r="T1" s="99"/>
      <c r="U1" s="99">
        <f>SUBTOTAL(9,U4:U65536)</f>
        <v>182025853.94999996</v>
      </c>
      <c r="W1" s="99">
        <f>SUBTOTAL(9,W4:W65536)</f>
        <v>6576.3847080246915</v>
      </c>
      <c r="Y1" s="232">
        <f>SUBTOTAL(9,Y4:Y65536)</f>
        <v>8885785.7604827974</v>
      </c>
      <c r="AA1" s="99">
        <f>SUBTOTAL(9,AA4:AA65536)</f>
        <v>16268.641975308643</v>
      </c>
      <c r="AC1" s="99">
        <f>SUBTOTAL(9,AC4:AC65536)</f>
        <v>15143599.976415094</v>
      </c>
      <c r="AE1" s="99">
        <f>SUBTOTAL(9,AE4:AE65536)</f>
        <v>87530906.019517228</v>
      </c>
      <c r="AF1" s="99">
        <f>SUBTOTAL(9,AF4:AF65536)</f>
        <v>254413159.99310237</v>
      </c>
      <c r="AG1" s="102"/>
      <c r="AH1" s="100"/>
      <c r="AJ1" s="99">
        <f>SUBTOTAL(9,AJ4:AJ65536)</f>
        <v>8656672.334373964</v>
      </c>
      <c r="AL1" s="99">
        <f>SUBTOTAL(9,AL4:AL65536)</f>
        <v>38822152.524730943</v>
      </c>
      <c r="AN1" s="99">
        <f>SUBTOTAL(9,AN4:AN65536)</f>
        <v>78062963.186782226</v>
      </c>
      <c r="AO1" s="99">
        <f>SUBTOTAL(9,AO4:AO65536)</f>
        <v>47897482.99642539</v>
      </c>
      <c r="AQ1" s="99">
        <f>SUBTOTAL(9,AQ4:AQ65536)</f>
        <v>48708753.494786263</v>
      </c>
      <c r="AR1" s="99">
        <f>SUBTOTAL(9,AR4:AR65536)</f>
        <v>176350196.80631959</v>
      </c>
    </row>
    <row r="2" spans="1:45" s="31" customFormat="1" ht="13.5" x14ac:dyDescent="0.4">
      <c r="C2" s="32"/>
      <c r="D2" s="32"/>
      <c r="J2" s="33"/>
      <c r="L2" s="34"/>
      <c r="M2" s="34"/>
      <c r="S2" s="103" t="s">
        <v>2102</v>
      </c>
      <c r="T2" s="104"/>
      <c r="U2" s="105" t="s">
        <v>2101</v>
      </c>
      <c r="V2" s="106"/>
      <c r="W2" s="103" t="s">
        <v>426</v>
      </c>
      <c r="X2" s="106"/>
      <c r="Y2" s="233" t="s">
        <v>2100</v>
      </c>
      <c r="Z2" s="106"/>
      <c r="AA2" s="103" t="s">
        <v>426</v>
      </c>
      <c r="AB2" s="106"/>
      <c r="AC2" s="105" t="s">
        <v>2100</v>
      </c>
      <c r="AD2" s="106"/>
      <c r="AE2" s="105" t="s">
        <v>402</v>
      </c>
      <c r="AF2" s="105" t="s">
        <v>402</v>
      </c>
      <c r="AG2" s="105" t="s">
        <v>2134</v>
      </c>
      <c r="AH2" s="105" t="s">
        <v>2135</v>
      </c>
      <c r="AI2" s="105" t="s">
        <v>2149</v>
      </c>
      <c r="AJ2" s="105" t="s">
        <v>2110</v>
      </c>
      <c r="AK2" s="106"/>
      <c r="AL2" s="105" t="s">
        <v>432</v>
      </c>
      <c r="AM2" s="106"/>
      <c r="AN2" s="105" t="s">
        <v>432</v>
      </c>
      <c r="AO2" s="105" t="s">
        <v>405</v>
      </c>
      <c r="AP2" s="106"/>
      <c r="AQ2" s="105" t="s">
        <v>396</v>
      </c>
      <c r="AR2" s="105" t="s">
        <v>396</v>
      </c>
    </row>
    <row r="3" spans="1:45" s="112" customFormat="1" ht="67.5" x14ac:dyDescent="0.35">
      <c r="A3" s="35" t="s">
        <v>399</v>
      </c>
      <c r="B3" s="36" t="s">
        <v>0</v>
      </c>
      <c r="C3" s="36" t="s">
        <v>1</v>
      </c>
      <c r="D3" s="36" t="s">
        <v>2</v>
      </c>
      <c r="E3" s="36" t="s">
        <v>3</v>
      </c>
      <c r="F3" s="36" t="s">
        <v>4</v>
      </c>
      <c r="G3" s="36" t="s">
        <v>5</v>
      </c>
      <c r="H3" s="35" t="s">
        <v>6</v>
      </c>
      <c r="I3" s="36" t="s">
        <v>7</v>
      </c>
      <c r="J3" s="36" t="s">
        <v>427</v>
      </c>
      <c r="K3" s="37" t="s">
        <v>8</v>
      </c>
      <c r="L3" s="38" t="s">
        <v>9</v>
      </c>
      <c r="M3" s="39" t="s">
        <v>2108</v>
      </c>
      <c r="N3" s="40" t="s">
        <v>391</v>
      </c>
      <c r="O3" s="40" t="s">
        <v>394</v>
      </c>
      <c r="P3" s="40" t="s">
        <v>429</v>
      </c>
      <c r="Q3" s="41" t="s">
        <v>2104</v>
      </c>
      <c r="R3" s="42"/>
      <c r="S3" s="107" t="s">
        <v>424</v>
      </c>
      <c r="T3" s="108"/>
      <c r="U3" s="109" t="s">
        <v>424</v>
      </c>
      <c r="V3" s="110"/>
      <c r="W3" s="107" t="s">
        <v>2106</v>
      </c>
      <c r="X3" s="110"/>
      <c r="Y3" s="234" t="s">
        <v>2106</v>
      </c>
      <c r="Z3" s="110"/>
      <c r="AA3" s="107" t="s">
        <v>2109</v>
      </c>
      <c r="AB3" s="110"/>
      <c r="AC3" s="107" t="s">
        <v>424</v>
      </c>
      <c r="AD3" s="43"/>
      <c r="AE3" s="107" t="s">
        <v>2106</v>
      </c>
      <c r="AF3" s="107" t="s">
        <v>2107</v>
      </c>
      <c r="AG3" s="107" t="s">
        <v>2105</v>
      </c>
      <c r="AH3" s="107" t="s">
        <v>2105</v>
      </c>
      <c r="AI3" s="107" t="s">
        <v>2105</v>
      </c>
      <c r="AJ3" s="107" t="s">
        <v>2111</v>
      </c>
      <c r="AK3" s="111"/>
      <c r="AL3" s="107" t="s">
        <v>2106</v>
      </c>
      <c r="AM3" s="111"/>
      <c r="AN3" s="107" t="s">
        <v>2107</v>
      </c>
      <c r="AO3" s="107" t="s">
        <v>2109</v>
      </c>
      <c r="AP3" s="110"/>
      <c r="AQ3" s="107" t="s">
        <v>2106</v>
      </c>
      <c r="AR3" s="107" t="s">
        <v>2107</v>
      </c>
    </row>
    <row r="4" spans="1:45" ht="13.5" x14ac:dyDescent="0.4">
      <c r="A4" s="12">
        <v>1</v>
      </c>
      <c r="B4" s="44" t="s">
        <v>439</v>
      </c>
      <c r="C4" s="45">
        <v>42053</v>
      </c>
      <c r="D4" s="45">
        <v>42053</v>
      </c>
      <c r="E4" s="46" t="s">
        <v>32</v>
      </c>
      <c r="F4" s="44" t="s">
        <v>32</v>
      </c>
      <c r="G4" s="44" t="s">
        <v>435</v>
      </c>
      <c r="H4" s="44" t="s">
        <v>32</v>
      </c>
      <c r="I4" s="47" t="s">
        <v>436</v>
      </c>
      <c r="J4" s="56">
        <v>1</v>
      </c>
      <c r="K4" s="44"/>
      <c r="L4" s="49">
        <v>1310</v>
      </c>
      <c r="M4" s="50">
        <f>ROUND('FA Addition'!$L4*5%,0.1)</f>
        <v>66</v>
      </c>
      <c r="N4" s="113" t="str">
        <f>_xlfn.XLOOKUP(_xlfn.CONCAT(E4,B4),'Year Wise Master Dep Approach'!F:F,'Year Wise Master Dep Approach'!D:D)</f>
        <v>WDV</v>
      </c>
      <c r="O4" s="113">
        <f>_xlfn.XLOOKUP(_xlfn.CONCAT(E4,B4),'Year Wise Master Dep Approach'!F:F,'Year Wise Master Dep Approach'!E:E)</f>
        <v>3</v>
      </c>
      <c r="P4" s="114">
        <f>IFERROR(IF('FA Addition'!$N4="WDV",1-('FA Addition'!$M4/'FA Addition'!$L4)^(1/'FA Addition'!$O4),1/'FA Addition'!$O4),0)</f>
        <v>0.63066181275019417</v>
      </c>
      <c r="Q4" s="115">
        <f>'FA Addition'!$P4*'FA Addition'!$O4</f>
        <v>1.8919854382505825</v>
      </c>
      <c r="R4" s="115"/>
      <c r="S4" s="116">
        <f>IF(AND(DATE(20&amp;LEFT(FAAddition[[#This Row],[FY]],2),4,1)&lt;$L$1+1,DATE(20&amp;LEFT(FAAddition[[#This Row],[FY]],2),4,1)&gt;$P$1-1),'FA Addition'!$J4,0)</f>
        <v>0</v>
      </c>
      <c r="U4" s="117">
        <f>S4*'FA Addition'!$L4/'FA Addition'!$J4</f>
        <v>0</v>
      </c>
      <c r="V4" s="117"/>
      <c r="W4" s="116">
        <f>SUMIFS('FA Write off'!D:D,'FA Write off'!A:A,'FA Addition'!$A4,'FA Write off'!C:C,"&lt;"&amp;'FA Addition'!$P$1)</f>
        <v>0</v>
      </c>
      <c r="X4" s="117"/>
      <c r="Y4" s="191">
        <f>IFERROR(W4/'FA Addition'!$J4*'FA Addition'!$L4,0)</f>
        <v>0</v>
      </c>
      <c r="Z4" s="117"/>
      <c r="AA4" s="116">
        <f>SUMIFS('FA Write off'!D:D,'FA Write off'!A:A,'FA Addition'!$A4,'FA Write off'!C:C,"&lt;"&amp;'FA Addition'!$L$1+1,'FA Write off'!C:C,"&gt;"&amp;'FA Addition'!$L$1-365)</f>
        <v>0</v>
      </c>
      <c r="AB4" s="117"/>
      <c r="AC4" s="118">
        <f>IFERROR(AA4/'FA Addition'!$J4*'FA Addition'!$L4,0)</f>
        <v>0</v>
      </c>
      <c r="AD4" s="117"/>
      <c r="AE4" s="117">
        <f>IF(AND('FA Addition'!$D4&lt;$P$1+1,U4=0),'FA Addition'!$L4,0)-Y4</f>
        <v>1310</v>
      </c>
      <c r="AF4" s="117">
        <f t="shared" ref="AF4:AF67" si="0">AE4+U4-AC4</f>
        <v>1310</v>
      </c>
      <c r="AG4" s="117">
        <f>MIN(MAX(+$P$1-'FA Addition'!$D4,0),365*'FA Addition'!$O4)</f>
        <v>1095</v>
      </c>
      <c r="AH4" s="117">
        <f>MIN(MAX($L$1-'FA Addition'!$D4+1,0),365*'FA Addition'!$O4)</f>
        <v>1095</v>
      </c>
      <c r="AI4" s="117" cm="1">
        <f t="array" ref="AI4">_xlfn.XLOOKUP(1,('FA Write off'!A:A='FA Addition'!$A4)*('FA Write off'!D:D=AA4),'FA Write off'!H:H,0,0)</f>
        <v>0</v>
      </c>
      <c r="AJ4" s="117">
        <f>IF(AC4&gt;0,MAX(IF('FA Addition'!$N4="SLM",($AC4-'FA Addition'!$M4)*'FA Addition'!$P4*AI4/365,(AC4-'FA Addition'!$M4)*(1-(1-'FA Addition'!$P4)^(AI4/365))),0),0)</f>
        <v>0</v>
      </c>
      <c r="AK4" s="119"/>
      <c r="AL4" s="117">
        <f>MAX(IF(AG4&gt;0,IF('FA Addition'!$N4="SLM",($AE4-'FA Addition'!$M4)*'FA Addition'!$P4*AG4/365,IFERROR(VDB(AE4,AE4*0.05,'FA Addition'!$O4,0,YEARFRAC('FA Addition'!$C4,$P$1-1,3),'FA Addition'!$Q4),FAAddition[[#This Row],[Original Cost (Rs)]]-FAAddition[[#This Row],[Salvage Value]])),0),0)</f>
        <v>1244</v>
      </c>
      <c r="AM4" s="119"/>
      <c r="AN4" s="117">
        <f>MAX(IF(AH4&gt;0,IF('FA Addition'!$N4="SLM",($AF4-'FA Addition'!$M4)*'FA Addition'!$P4*AH4/365,IFERROR(VDB(AF4,AF4*0.05,'FA Addition'!$O4,0,YEARFRAC('FA Addition'!$C4,$L$1,3),'FA Addition'!$Q4),FAAddition[[#This Row],[Original Cost (Rs)]]-FAAddition[[#This Row],[Salvage Value]])),0),0)</f>
        <v>1244</v>
      </c>
      <c r="AO4" s="117">
        <f>AN4-AL4+AJ4</f>
        <v>0</v>
      </c>
      <c r="AP4" s="117"/>
      <c r="AQ4" s="117">
        <f t="shared" ref="AQ4:AQ67" si="1">AE4-AL4</f>
        <v>66</v>
      </c>
      <c r="AR4" s="120">
        <f t="shared" ref="AR4:AR67" si="2">AF4-AN4</f>
        <v>66</v>
      </c>
      <c r="AS4" s="121"/>
    </row>
    <row r="5" spans="1:45" ht="13.5" x14ac:dyDescent="0.4">
      <c r="A5" s="12">
        <f>A4+1</f>
        <v>2</v>
      </c>
      <c r="B5" s="44" t="s">
        <v>439</v>
      </c>
      <c r="C5" s="45">
        <v>42080</v>
      </c>
      <c r="D5" s="45">
        <v>42080</v>
      </c>
      <c r="E5" s="46" t="s">
        <v>32</v>
      </c>
      <c r="F5" s="44" t="s">
        <v>32</v>
      </c>
      <c r="G5" s="44" t="s">
        <v>435</v>
      </c>
      <c r="H5" s="44" t="s">
        <v>32</v>
      </c>
      <c r="I5" s="47" t="s">
        <v>437</v>
      </c>
      <c r="J5" s="56">
        <v>1</v>
      </c>
      <c r="K5" s="44"/>
      <c r="L5" s="49">
        <v>3865</v>
      </c>
      <c r="M5" s="50">
        <f>ROUND('FA Addition'!$L5*5%,0.1)</f>
        <v>193</v>
      </c>
      <c r="N5" s="113" t="str">
        <f>_xlfn.XLOOKUP(_xlfn.CONCAT(E5,B5),'Year Wise Master Dep Approach'!F:F,'Year Wise Master Dep Approach'!D:D)</f>
        <v>WDV</v>
      </c>
      <c r="O5" s="113">
        <f>_xlfn.XLOOKUP(_xlfn.CONCAT(E5,B5),'Year Wise Master Dep Approach'!F:F,'Year Wise Master Dep Approach'!E:E)</f>
        <v>3</v>
      </c>
      <c r="P5" s="114">
        <f>IFERROR(IF('FA Addition'!$N5="WDV",1-('FA Addition'!$M5/'FA Addition'!$L5)^(1/'FA Addition'!$O5),1/'FA Addition'!$O5),0)</f>
        <v>0.63175578162672208</v>
      </c>
      <c r="Q5" s="122">
        <f>'FA Addition'!$P5*'FA Addition'!$O5</f>
        <v>1.8952673448801662</v>
      </c>
      <c r="R5" s="122"/>
      <c r="S5" s="116">
        <f>IF(AND(DATE(20&amp;LEFT(FAAddition[[#This Row],[FY]],2),4,1)&lt;$L$1+1,DATE(20&amp;LEFT(FAAddition[[#This Row],[FY]],2),4,1)&gt;$P$1-1),'FA Addition'!$J5,0)</f>
        <v>0</v>
      </c>
      <c r="U5" s="117">
        <f>S5*'FA Addition'!$L5/'FA Addition'!$J5</f>
        <v>0</v>
      </c>
      <c r="V5" s="117"/>
      <c r="W5" s="116">
        <f>SUMIFS('FA Write off'!D:D,'FA Write off'!A:A,'FA Addition'!$A5,'FA Write off'!C:C,"&lt;"&amp;'FA Addition'!$P$1)</f>
        <v>0</v>
      </c>
      <c r="X5" s="117"/>
      <c r="Y5" s="191">
        <f>IFERROR(W5/'FA Addition'!$J5*'FA Addition'!$L5,0)</f>
        <v>0</v>
      </c>
      <c r="Z5" s="117"/>
      <c r="AA5" s="116">
        <f>SUMIFS('FA Write off'!D:D,'FA Write off'!A:A,'FA Addition'!$A5,'FA Write off'!C:C,"&lt;"&amp;'FA Addition'!$L$1+1,'FA Write off'!C:C,"&gt;"&amp;'FA Addition'!$L$1-365)</f>
        <v>0</v>
      </c>
      <c r="AB5" s="117"/>
      <c r="AC5" s="118">
        <f>IFERROR(AA5/'FA Addition'!$J5*'FA Addition'!$L5,0)</f>
        <v>0</v>
      </c>
      <c r="AD5" s="117"/>
      <c r="AE5" s="117">
        <f>IF(AND('FA Addition'!$D5&lt;$P$1+1,U5=0),'FA Addition'!$L5,0)-Y5</f>
        <v>3865</v>
      </c>
      <c r="AF5" s="117">
        <f t="shared" si="0"/>
        <v>3865</v>
      </c>
      <c r="AG5" s="117">
        <f>MIN(MAX(+$P$1-'FA Addition'!$D5,0),365*'FA Addition'!$O5)</f>
        <v>1095</v>
      </c>
      <c r="AH5" s="117">
        <f>MIN(MAX($L$1-'FA Addition'!$D5+1,0),365*'FA Addition'!$O5)</f>
        <v>1095</v>
      </c>
      <c r="AI5" s="117" cm="1">
        <f t="array" ref="AI5">_xlfn.XLOOKUP(1,('FA Write off'!A:A='FA Addition'!$A5)*('FA Write off'!D:D=AA5),'FA Write off'!H:H,0,0)</f>
        <v>0</v>
      </c>
      <c r="AJ5" s="117">
        <f>IF(AC5&gt;0,MAX(IF('FA Addition'!$N5="SLM",($AC5-'FA Addition'!$M5)*'FA Addition'!$P5*AI5/365,(AC5-'FA Addition'!$M5)*(1-(1-'FA Addition'!$P5)^(AI5/365))),0),0)</f>
        <v>0</v>
      </c>
      <c r="AK5" s="119"/>
      <c r="AL5" s="117">
        <f>MAX(IF(AG5&gt;0,IF('FA Addition'!$N5="SLM",($AE5-'FA Addition'!$M5)*'FA Addition'!$P5*AG5/365,IFERROR(VDB(AE5,AE5*0.05,'FA Addition'!$O5,0,YEARFRAC('FA Addition'!$C5,$P$1-1,3),'FA Addition'!$Q5),FAAddition[[#This Row],[Original Cost (Rs)]]-FAAddition[[#This Row],[Salvage Value]])),0),0)</f>
        <v>3672</v>
      </c>
      <c r="AM5" s="119"/>
      <c r="AN5" s="117">
        <f>MAX(IF(AH5&gt;0,IF('FA Addition'!$N5="SLM",($AF5-'FA Addition'!$M5)*'FA Addition'!$P5*AH5/365,IFERROR(VDB(AF5,AF5*0.05,'FA Addition'!$O5,0,YEARFRAC('FA Addition'!$C5,$L$1,3),'FA Addition'!$Q5),FAAddition[[#This Row],[Original Cost (Rs)]]-FAAddition[[#This Row],[Salvage Value]])),0),0)</f>
        <v>3672</v>
      </c>
      <c r="AO5" s="117">
        <f t="shared" ref="AO5:AO68" si="3">AN5-AL5+AJ5</f>
        <v>0</v>
      </c>
      <c r="AP5" s="117"/>
      <c r="AQ5" s="117">
        <f t="shared" si="1"/>
        <v>193</v>
      </c>
      <c r="AR5" s="120">
        <f t="shared" si="2"/>
        <v>193</v>
      </c>
      <c r="AS5" s="121"/>
    </row>
    <row r="6" spans="1:45" ht="13.5" x14ac:dyDescent="0.4">
      <c r="A6" s="12">
        <f t="shared" ref="A6:A69" si="4">A5+1</f>
        <v>3</v>
      </c>
      <c r="B6" s="44" t="s">
        <v>439</v>
      </c>
      <c r="C6" s="45">
        <v>42080</v>
      </c>
      <c r="D6" s="45">
        <v>42080</v>
      </c>
      <c r="E6" s="46" t="s">
        <v>32</v>
      </c>
      <c r="F6" s="51" t="s">
        <v>32</v>
      </c>
      <c r="G6" s="44" t="s">
        <v>435</v>
      </c>
      <c r="H6" s="44" t="s">
        <v>32</v>
      </c>
      <c r="I6" s="47" t="s">
        <v>438</v>
      </c>
      <c r="J6" s="56">
        <v>1</v>
      </c>
      <c r="K6" s="44"/>
      <c r="L6" s="49">
        <v>1281</v>
      </c>
      <c r="M6" s="50">
        <f>ROUND('FA Addition'!$L6*5%,0.1)</f>
        <v>64</v>
      </c>
      <c r="N6" s="113" t="str">
        <f>_xlfn.XLOOKUP(_xlfn.CONCAT(E6,B6),'Year Wise Master Dep Approach'!F:F,'Year Wise Master Dep Approach'!D:D)</f>
        <v>WDV</v>
      </c>
      <c r="O6" s="113">
        <f>_xlfn.XLOOKUP(_xlfn.CONCAT(E6,B6),'Year Wise Master Dep Approach'!F:F,'Year Wise Master Dep Approach'!E:E)</f>
        <v>3</v>
      </c>
      <c r="P6" s="114">
        <f>IFERROR(IF('FA Addition'!$N6="WDV",1-('FA Addition'!$M6/'FA Addition'!$L6)^(1/'FA Addition'!$O6),1/'FA Addition'!$O6),0)</f>
        <v>0.63169273851870589</v>
      </c>
      <c r="Q6" s="122">
        <f>'FA Addition'!$P6*'FA Addition'!$O6</f>
        <v>1.8950782155561177</v>
      </c>
      <c r="R6" s="122"/>
      <c r="S6" s="116">
        <f>IF(AND(DATE(20&amp;LEFT(FAAddition[[#This Row],[FY]],2),4,1)&lt;$L$1+1,DATE(20&amp;LEFT(FAAddition[[#This Row],[FY]],2),4,1)&gt;$P$1-1),'FA Addition'!$J6,0)</f>
        <v>0</v>
      </c>
      <c r="U6" s="117">
        <f>S6*'FA Addition'!$L6/'FA Addition'!$J6</f>
        <v>0</v>
      </c>
      <c r="V6" s="117"/>
      <c r="W6" s="116">
        <f>SUMIFS('FA Write off'!D:D,'FA Write off'!A:A,'FA Addition'!$A6,'FA Write off'!C:C,"&lt;"&amp;'FA Addition'!$P$1)</f>
        <v>0</v>
      </c>
      <c r="X6" s="117"/>
      <c r="Y6" s="191">
        <f>IFERROR(W6/'FA Addition'!$J6*'FA Addition'!$L6,0)</f>
        <v>0</v>
      </c>
      <c r="Z6" s="117"/>
      <c r="AA6" s="116">
        <f>SUMIFS('FA Write off'!D:D,'FA Write off'!A:A,'FA Addition'!$A6,'FA Write off'!C:C,"&lt;"&amp;'FA Addition'!$L$1+1,'FA Write off'!C:C,"&gt;"&amp;'FA Addition'!$L$1-365)</f>
        <v>0</v>
      </c>
      <c r="AB6" s="117"/>
      <c r="AC6" s="118">
        <f>IFERROR(AA6/'FA Addition'!$J6*'FA Addition'!$L6,0)</f>
        <v>0</v>
      </c>
      <c r="AD6" s="117"/>
      <c r="AE6" s="117">
        <f>IF(AND('FA Addition'!$D6&lt;$P$1+1,U6=0),'FA Addition'!$L6,0)-Y6</f>
        <v>1281</v>
      </c>
      <c r="AF6" s="117">
        <f t="shared" si="0"/>
        <v>1281</v>
      </c>
      <c r="AG6" s="117">
        <f>MIN(MAX(+$P$1-'FA Addition'!$D6,0),365*'FA Addition'!$O6)</f>
        <v>1095</v>
      </c>
      <c r="AH6" s="117">
        <f>MIN(MAX($L$1-'FA Addition'!$D6+1,0),365*'FA Addition'!$O6)</f>
        <v>1095</v>
      </c>
      <c r="AI6" s="117" cm="1">
        <f t="array" ref="AI6">_xlfn.XLOOKUP(1,('FA Write off'!A:A='FA Addition'!$A6)*('FA Write off'!D:D=AA6),'FA Write off'!H:H,0,0)</f>
        <v>0</v>
      </c>
      <c r="AJ6" s="117">
        <f>IF(AC6&gt;0,MAX(IF('FA Addition'!$N6="SLM",($AC6-'FA Addition'!$M6)*'FA Addition'!$P6*AI6/365,(AC6-'FA Addition'!$M6)*(1-(1-'FA Addition'!$P6)^(AI6/365))),0),0)</f>
        <v>0</v>
      </c>
      <c r="AK6" s="119"/>
      <c r="AL6" s="117">
        <f>MAX(IF(AG6&gt;0,IF('FA Addition'!$N6="SLM",($AE6-'FA Addition'!$M6)*'FA Addition'!$P6*AG6/365,IFERROR(VDB(AE6,AE6*0.05,'FA Addition'!$O6,0,YEARFRAC('FA Addition'!$C6,$P$1-1,3),'FA Addition'!$Q6),FAAddition[[#This Row],[Original Cost (Rs)]]-FAAddition[[#This Row],[Salvage Value]])),0),0)</f>
        <v>1217</v>
      </c>
      <c r="AM6" s="119"/>
      <c r="AN6" s="117">
        <f>MAX(IF(AH6&gt;0,IF('FA Addition'!$N6="SLM",($AF6-'FA Addition'!$M6)*'FA Addition'!$P6*AH6/365,IFERROR(VDB(AF6,AF6*0.05,'FA Addition'!$O6,0,YEARFRAC('FA Addition'!$C6,$L$1,3),'FA Addition'!$Q6),FAAddition[[#This Row],[Original Cost (Rs)]]-FAAddition[[#This Row],[Salvage Value]])),0),0)</f>
        <v>1217</v>
      </c>
      <c r="AO6" s="117">
        <f t="shared" si="3"/>
        <v>0</v>
      </c>
      <c r="AP6" s="117"/>
      <c r="AQ6" s="117">
        <f t="shared" si="1"/>
        <v>64</v>
      </c>
      <c r="AR6" s="120">
        <f t="shared" si="2"/>
        <v>64</v>
      </c>
      <c r="AS6" s="121"/>
    </row>
    <row r="7" spans="1:45" ht="13.5" x14ac:dyDescent="0.4">
      <c r="A7" s="12">
        <f t="shared" si="4"/>
        <v>4</v>
      </c>
      <c r="B7" s="44" t="s">
        <v>439</v>
      </c>
      <c r="C7" s="45">
        <v>42080</v>
      </c>
      <c r="D7" s="45">
        <v>42080</v>
      </c>
      <c r="E7" s="46" t="s">
        <v>32</v>
      </c>
      <c r="F7" s="51" t="s">
        <v>32</v>
      </c>
      <c r="G7" s="44" t="s">
        <v>435</v>
      </c>
      <c r="H7" s="44" t="s">
        <v>32</v>
      </c>
      <c r="I7" s="47" t="s">
        <v>440</v>
      </c>
      <c r="J7" s="56">
        <v>1</v>
      </c>
      <c r="K7" s="44"/>
      <c r="L7" s="49">
        <v>3990</v>
      </c>
      <c r="M7" s="50">
        <f>ROUND('FA Addition'!$L7*5%,0.1)</f>
        <v>200</v>
      </c>
      <c r="N7" s="113" t="str">
        <f>_xlfn.XLOOKUP(_xlfn.CONCAT(E7,B7),'Year Wise Master Dep Approach'!F:F,'Year Wise Master Dep Approach'!D:D)</f>
        <v>WDV</v>
      </c>
      <c r="O7" s="113">
        <f>_xlfn.XLOOKUP(_xlfn.CONCAT(E7,B7),'Year Wise Master Dep Approach'!F:F,'Year Wise Master Dep Approach'!E:E)</f>
        <v>3</v>
      </c>
      <c r="P7" s="114">
        <f>IFERROR(IF('FA Addition'!$N7="WDV",1-('FA Addition'!$M7/'FA Addition'!$L7)^(1/'FA Addition'!$O7),1/'FA Addition'!$O7),0)</f>
        <v>0.63128933484303995</v>
      </c>
      <c r="Q7" s="122">
        <f>'FA Addition'!$P7*'FA Addition'!$O7</f>
        <v>1.8938680045291199</v>
      </c>
      <c r="R7" s="122"/>
      <c r="S7" s="116">
        <f>IF(AND(DATE(20&amp;LEFT(FAAddition[[#This Row],[FY]],2),4,1)&lt;$L$1+1,DATE(20&amp;LEFT(FAAddition[[#This Row],[FY]],2),4,1)&gt;$P$1-1),'FA Addition'!$J7,0)</f>
        <v>0</v>
      </c>
      <c r="U7" s="117">
        <f>S7*'FA Addition'!$L7/'FA Addition'!$J7</f>
        <v>0</v>
      </c>
      <c r="V7" s="117"/>
      <c r="W7" s="116">
        <f>SUMIFS('FA Write off'!D:D,'FA Write off'!A:A,'FA Addition'!$A7,'FA Write off'!C:C,"&lt;"&amp;'FA Addition'!$P$1)</f>
        <v>0</v>
      </c>
      <c r="X7" s="117"/>
      <c r="Y7" s="191">
        <f>IFERROR(W7/'FA Addition'!$J7*'FA Addition'!$L7,0)</f>
        <v>0</v>
      </c>
      <c r="Z7" s="117"/>
      <c r="AA7" s="116">
        <f>SUMIFS('FA Write off'!D:D,'FA Write off'!A:A,'FA Addition'!$A7,'FA Write off'!C:C,"&lt;"&amp;'FA Addition'!$L$1+1,'FA Write off'!C:C,"&gt;"&amp;'FA Addition'!$L$1-365)</f>
        <v>0</v>
      </c>
      <c r="AB7" s="117"/>
      <c r="AC7" s="118">
        <f>IFERROR(AA7/'FA Addition'!$J7*'FA Addition'!$L7,0)</f>
        <v>0</v>
      </c>
      <c r="AD7" s="117"/>
      <c r="AE7" s="117">
        <f>IF(AND('FA Addition'!$D7&lt;$P$1+1,U7=0),'FA Addition'!$L7,0)-Y7</f>
        <v>3990</v>
      </c>
      <c r="AF7" s="117">
        <f t="shared" si="0"/>
        <v>3990</v>
      </c>
      <c r="AG7" s="117">
        <f>MIN(MAX(+$P$1-'FA Addition'!$D7,0),365*'FA Addition'!$O7)</f>
        <v>1095</v>
      </c>
      <c r="AH7" s="117">
        <f>MIN(MAX($L$1-'FA Addition'!$D7+1,0),365*'FA Addition'!$O7)</f>
        <v>1095</v>
      </c>
      <c r="AI7" s="117" cm="1">
        <f t="array" ref="AI7">_xlfn.XLOOKUP(1,('FA Write off'!A:A='FA Addition'!$A7)*('FA Write off'!D:D=AA7),'FA Write off'!H:H,0,0)</f>
        <v>0</v>
      </c>
      <c r="AJ7" s="117">
        <f>IF(AC7&gt;0,MAX(IF('FA Addition'!$N7="SLM",($AC7-'FA Addition'!$M7)*'FA Addition'!$P7*AI7/365,(AC7-'FA Addition'!$M7)*(1-(1-'FA Addition'!$P7)^(AI7/365))),0),0)</f>
        <v>0</v>
      </c>
      <c r="AK7" s="119"/>
      <c r="AL7" s="117">
        <f>MAX(IF(AG7&gt;0,IF('FA Addition'!$N7="SLM",($AE7-'FA Addition'!$M7)*'FA Addition'!$P7*AG7/365,IFERROR(VDB(AE7,AE7*0.05,'FA Addition'!$O7,0,YEARFRAC('FA Addition'!$C7,$P$1-1,3),'FA Addition'!$Q7),FAAddition[[#This Row],[Original Cost (Rs)]]-FAAddition[[#This Row],[Salvage Value]])),0),0)</f>
        <v>3790</v>
      </c>
      <c r="AM7" s="119"/>
      <c r="AN7" s="117">
        <f>MAX(IF(AH7&gt;0,IF('FA Addition'!$N7="SLM",($AF7-'FA Addition'!$M7)*'FA Addition'!$P7*AH7/365,IFERROR(VDB(AF7,AF7*0.05,'FA Addition'!$O7,0,YEARFRAC('FA Addition'!$C7,$L$1,3),'FA Addition'!$Q7),FAAddition[[#This Row],[Original Cost (Rs)]]-FAAddition[[#This Row],[Salvage Value]])),0),0)</f>
        <v>3790</v>
      </c>
      <c r="AO7" s="117">
        <f t="shared" si="3"/>
        <v>0</v>
      </c>
      <c r="AP7" s="117"/>
      <c r="AQ7" s="117">
        <f t="shared" si="1"/>
        <v>200</v>
      </c>
      <c r="AR7" s="120">
        <f t="shared" si="2"/>
        <v>200</v>
      </c>
      <c r="AS7" s="121"/>
    </row>
    <row r="8" spans="1:45" ht="13.5" x14ac:dyDescent="0.4">
      <c r="A8" s="12">
        <f t="shared" si="4"/>
        <v>5</v>
      </c>
      <c r="B8" s="44" t="s">
        <v>439</v>
      </c>
      <c r="C8" s="45">
        <v>42080</v>
      </c>
      <c r="D8" s="45">
        <v>42080</v>
      </c>
      <c r="E8" s="46" t="s">
        <v>32</v>
      </c>
      <c r="F8" s="51" t="s">
        <v>32</v>
      </c>
      <c r="G8" s="44" t="s">
        <v>435</v>
      </c>
      <c r="H8" s="44" t="s">
        <v>32</v>
      </c>
      <c r="I8" s="47" t="s">
        <v>441</v>
      </c>
      <c r="J8" s="56">
        <v>1</v>
      </c>
      <c r="K8" s="44"/>
      <c r="L8" s="49">
        <v>1380</v>
      </c>
      <c r="M8" s="50">
        <f>ROUND('FA Addition'!$L8*5%,0.1)</f>
        <v>69</v>
      </c>
      <c r="N8" s="113" t="str">
        <f>_xlfn.XLOOKUP(_xlfn.CONCAT(E8,B8),'Year Wise Master Dep Approach'!F:F,'Year Wise Master Dep Approach'!D:D)</f>
        <v>WDV</v>
      </c>
      <c r="O8" s="113">
        <f>_xlfn.XLOOKUP(_xlfn.CONCAT(E8,B8),'Year Wise Master Dep Approach'!F:F,'Year Wise Master Dep Approach'!E:E)</f>
        <v>3</v>
      </c>
      <c r="P8" s="114">
        <f>IFERROR(IF('FA Addition'!$N8="WDV",1-('FA Addition'!$M8/'FA Addition'!$L8)^(1/'FA Addition'!$O8),1/'FA Addition'!$O8),0)</f>
        <v>0.63159685013596123</v>
      </c>
      <c r="Q8" s="122">
        <f>'FA Addition'!$P8*'FA Addition'!$O8</f>
        <v>1.8947905504078837</v>
      </c>
      <c r="R8" s="122"/>
      <c r="S8" s="116">
        <f>IF(AND(DATE(20&amp;LEFT(FAAddition[[#This Row],[FY]],2),4,1)&lt;$L$1+1,DATE(20&amp;LEFT(FAAddition[[#This Row],[FY]],2),4,1)&gt;$P$1-1),'FA Addition'!$J8,0)</f>
        <v>0</v>
      </c>
      <c r="U8" s="117">
        <f>S8*'FA Addition'!$L8/'FA Addition'!$J8</f>
        <v>0</v>
      </c>
      <c r="V8" s="117"/>
      <c r="W8" s="116">
        <f>SUMIFS('FA Write off'!D:D,'FA Write off'!A:A,'FA Addition'!$A8,'FA Write off'!C:C,"&lt;"&amp;'FA Addition'!$P$1)</f>
        <v>0</v>
      </c>
      <c r="X8" s="117"/>
      <c r="Y8" s="191">
        <f>IFERROR(W8/'FA Addition'!$J8*'FA Addition'!$L8,0)</f>
        <v>0</v>
      </c>
      <c r="Z8" s="117"/>
      <c r="AA8" s="116">
        <f>SUMIFS('FA Write off'!D:D,'FA Write off'!A:A,'FA Addition'!$A8,'FA Write off'!C:C,"&lt;"&amp;'FA Addition'!$L$1+1,'FA Write off'!C:C,"&gt;"&amp;'FA Addition'!$L$1-365)</f>
        <v>0</v>
      </c>
      <c r="AB8" s="117"/>
      <c r="AC8" s="118">
        <f>IFERROR(AA8/'FA Addition'!$J8*'FA Addition'!$L8,0)</f>
        <v>0</v>
      </c>
      <c r="AD8" s="117"/>
      <c r="AE8" s="117">
        <f>IF(AND('FA Addition'!$D8&lt;$P$1+1,U8=0),'FA Addition'!$L8,0)-Y8</f>
        <v>1380</v>
      </c>
      <c r="AF8" s="117">
        <f t="shared" si="0"/>
        <v>1380</v>
      </c>
      <c r="AG8" s="117">
        <f>MIN(MAX(+$P$1-'FA Addition'!$D8,0),365*'FA Addition'!$O8)</f>
        <v>1095</v>
      </c>
      <c r="AH8" s="117">
        <f>MIN(MAX($L$1-'FA Addition'!$D8+1,0),365*'FA Addition'!$O8)</f>
        <v>1095</v>
      </c>
      <c r="AI8" s="117" cm="1">
        <f t="array" ref="AI8">_xlfn.XLOOKUP(1,('FA Write off'!A:A='FA Addition'!$A8)*('FA Write off'!D:D=AA8),'FA Write off'!H:H,0,0)</f>
        <v>0</v>
      </c>
      <c r="AJ8" s="117">
        <f>IF(AC8&gt;0,MAX(IF('FA Addition'!$N8="SLM",($AC8-'FA Addition'!$M8)*'FA Addition'!$P8*AI8/365,(AC8-'FA Addition'!$M8)*(1-(1-'FA Addition'!$P8)^(AI8/365))),0),0)</f>
        <v>0</v>
      </c>
      <c r="AK8" s="119"/>
      <c r="AL8" s="117">
        <f>MAX(IF(AG8&gt;0,IF('FA Addition'!$N8="SLM",($AE8-'FA Addition'!$M8)*'FA Addition'!$P8*AG8/365,IFERROR(VDB(AE8,AE8*0.05,'FA Addition'!$O8,0,YEARFRAC('FA Addition'!$C8,$P$1-1,3),'FA Addition'!$Q8),FAAddition[[#This Row],[Original Cost (Rs)]]-FAAddition[[#This Row],[Salvage Value]])),0),0)</f>
        <v>1311</v>
      </c>
      <c r="AM8" s="119"/>
      <c r="AN8" s="117">
        <f>MAX(IF(AH8&gt;0,IF('FA Addition'!$N8="SLM",($AF8-'FA Addition'!$M8)*'FA Addition'!$P8*AH8/365,IFERROR(VDB(AF8,AF8*0.05,'FA Addition'!$O8,0,YEARFRAC('FA Addition'!$C8,$L$1,3),'FA Addition'!$Q8),FAAddition[[#This Row],[Original Cost (Rs)]]-FAAddition[[#This Row],[Salvage Value]])),0),0)</f>
        <v>1311</v>
      </c>
      <c r="AO8" s="117">
        <f t="shared" si="3"/>
        <v>0</v>
      </c>
      <c r="AP8" s="117"/>
      <c r="AQ8" s="117">
        <f t="shared" si="1"/>
        <v>69</v>
      </c>
      <c r="AR8" s="120">
        <f t="shared" si="2"/>
        <v>69</v>
      </c>
      <c r="AS8" s="121"/>
    </row>
    <row r="9" spans="1:45" ht="13.5" x14ac:dyDescent="0.4">
      <c r="A9" s="12">
        <f t="shared" si="4"/>
        <v>6</v>
      </c>
      <c r="B9" s="44" t="s">
        <v>439</v>
      </c>
      <c r="C9" s="45">
        <v>42097</v>
      </c>
      <c r="D9" s="45">
        <v>42097</v>
      </c>
      <c r="E9" s="46" t="s">
        <v>32</v>
      </c>
      <c r="F9" s="44" t="s">
        <v>32</v>
      </c>
      <c r="G9" s="44" t="s">
        <v>435</v>
      </c>
      <c r="H9" s="44" t="s">
        <v>32</v>
      </c>
      <c r="I9" s="47" t="s">
        <v>442</v>
      </c>
      <c r="J9" s="56">
        <v>1</v>
      </c>
      <c r="K9" s="44"/>
      <c r="L9" s="49">
        <v>4082</v>
      </c>
      <c r="M9" s="50">
        <f>ROUND('FA Addition'!$L9*5%,0.1)</f>
        <v>204</v>
      </c>
      <c r="N9" s="113" t="str">
        <f>_xlfn.XLOOKUP(_xlfn.CONCAT(E9,B9),'Year Wise Master Dep Approach'!F:F,'Year Wise Master Dep Approach'!D:D)</f>
        <v>WDV</v>
      </c>
      <c r="O9" s="113">
        <f>_xlfn.XLOOKUP(_xlfn.CONCAT(E9,B9),'Year Wise Master Dep Approach'!F:F,'Year Wise Master Dep Approach'!E:E)</f>
        <v>3</v>
      </c>
      <c r="P9" s="114">
        <f>IFERROR(IF('FA Addition'!$N9="WDV",1-('FA Addition'!$M9/'FA Addition'!$L9)^(1/'FA Addition'!$O9),1/'FA Addition'!$O9),0)</f>
        <v>0.63165702706448434</v>
      </c>
      <c r="Q9" s="122">
        <f>'FA Addition'!$P9*'FA Addition'!$O9</f>
        <v>1.894971081193453</v>
      </c>
      <c r="R9" s="122"/>
      <c r="S9" s="116">
        <f>IF(AND(DATE(20&amp;LEFT(FAAddition[[#This Row],[FY]],2),4,1)&lt;$L$1+1,DATE(20&amp;LEFT(FAAddition[[#This Row],[FY]],2),4,1)&gt;$P$1-1),'FA Addition'!$J9,0)</f>
        <v>0</v>
      </c>
      <c r="U9" s="117">
        <f>S9*'FA Addition'!$L9/'FA Addition'!$J9</f>
        <v>0</v>
      </c>
      <c r="V9" s="117"/>
      <c r="W9" s="116">
        <f>SUMIFS('FA Write off'!D:D,'FA Write off'!A:A,'FA Addition'!$A9,'FA Write off'!C:C,"&lt;"&amp;'FA Addition'!$P$1)</f>
        <v>0</v>
      </c>
      <c r="X9" s="117"/>
      <c r="Y9" s="191">
        <f>IFERROR(W9/'FA Addition'!$J9*'FA Addition'!$L9,0)</f>
        <v>0</v>
      </c>
      <c r="Z9" s="117"/>
      <c r="AA9" s="116">
        <f>SUMIFS('FA Write off'!D:D,'FA Write off'!A:A,'FA Addition'!$A9,'FA Write off'!C:C,"&lt;"&amp;'FA Addition'!$L$1+1,'FA Write off'!C:C,"&gt;"&amp;'FA Addition'!$L$1-365)</f>
        <v>0</v>
      </c>
      <c r="AB9" s="117"/>
      <c r="AC9" s="118">
        <f>IFERROR(AA9/'FA Addition'!$J9*'FA Addition'!$L9,0)</f>
        <v>0</v>
      </c>
      <c r="AD9" s="117"/>
      <c r="AE9" s="117">
        <f>IF(AND('FA Addition'!$D9&lt;$P$1+1,U9=0),'FA Addition'!$L9,0)-Y9</f>
        <v>4082</v>
      </c>
      <c r="AF9" s="117">
        <f t="shared" si="0"/>
        <v>4082</v>
      </c>
      <c r="AG9" s="117">
        <f>MIN(MAX(+$P$1-'FA Addition'!$D9,0),365*'FA Addition'!$O9)</f>
        <v>1095</v>
      </c>
      <c r="AH9" s="117">
        <f>MIN(MAX($L$1-'FA Addition'!$D9+1,0),365*'FA Addition'!$O9)</f>
        <v>1095</v>
      </c>
      <c r="AI9" s="117" cm="1">
        <f t="array" ref="AI9">_xlfn.XLOOKUP(1,('FA Write off'!A:A='FA Addition'!$A9)*('FA Write off'!D:D=AA9),'FA Write off'!H:H,0,0)</f>
        <v>0</v>
      </c>
      <c r="AJ9" s="117">
        <f>IF(AC9&gt;0,MAX(IF('FA Addition'!$N9="SLM",($AC9-'FA Addition'!$M9)*'FA Addition'!$P9*AI9/365,(AC9-'FA Addition'!$M9)*(1-(1-'FA Addition'!$P9)^(AI9/365))),0),0)</f>
        <v>0</v>
      </c>
      <c r="AK9" s="119"/>
      <c r="AL9" s="117">
        <f>MAX(IF(AG9&gt;0,IF('FA Addition'!$N9="SLM",($AE9-'FA Addition'!$M9)*'FA Addition'!$P9*AG9/365,IFERROR(VDB(AE9,AE9*0.05,'FA Addition'!$O9,0,YEARFRAC('FA Addition'!$C9,$P$1-1,3),'FA Addition'!$Q9),FAAddition[[#This Row],[Original Cost (Rs)]]-FAAddition[[#This Row],[Salvage Value]])),0),0)</f>
        <v>3878</v>
      </c>
      <c r="AM9" s="119"/>
      <c r="AN9" s="117">
        <f>MAX(IF(AH9&gt;0,IF('FA Addition'!$N9="SLM",($AF9-'FA Addition'!$M9)*'FA Addition'!$P9*AH9/365,IFERROR(VDB(AF9,AF9*0.05,'FA Addition'!$O9,0,YEARFRAC('FA Addition'!$C9,$L$1,3),'FA Addition'!$Q9),FAAddition[[#This Row],[Original Cost (Rs)]]-FAAddition[[#This Row],[Salvage Value]])),0),0)</f>
        <v>3878</v>
      </c>
      <c r="AO9" s="117">
        <f t="shared" si="3"/>
        <v>0</v>
      </c>
      <c r="AP9" s="117"/>
      <c r="AQ9" s="117">
        <f t="shared" si="1"/>
        <v>204</v>
      </c>
      <c r="AR9" s="120">
        <f t="shared" si="2"/>
        <v>204</v>
      </c>
      <c r="AS9" s="121"/>
    </row>
    <row r="10" spans="1:45" ht="13.5" x14ac:dyDescent="0.4">
      <c r="A10" s="12">
        <f t="shared" si="4"/>
        <v>7</v>
      </c>
      <c r="B10" s="44" t="s">
        <v>439</v>
      </c>
      <c r="C10" s="45">
        <v>42097</v>
      </c>
      <c r="D10" s="45">
        <v>42097</v>
      </c>
      <c r="E10" s="46" t="s">
        <v>32</v>
      </c>
      <c r="F10" s="44" t="s">
        <v>32</v>
      </c>
      <c r="G10" s="44" t="s">
        <v>435</v>
      </c>
      <c r="H10" s="44" t="s">
        <v>32</v>
      </c>
      <c r="I10" s="47" t="s">
        <v>443</v>
      </c>
      <c r="J10" s="56">
        <v>1</v>
      </c>
      <c r="K10" s="44"/>
      <c r="L10" s="49">
        <v>3669</v>
      </c>
      <c r="M10" s="50">
        <f>ROUND('FA Addition'!$L10*5%,0.1)</f>
        <v>183</v>
      </c>
      <c r="N10" s="113" t="str">
        <f>_xlfn.XLOOKUP(_xlfn.CONCAT(E10,B10),'Year Wise Master Dep Approach'!F:F,'Year Wise Master Dep Approach'!D:D)</f>
        <v>WDV</v>
      </c>
      <c r="O10" s="113">
        <f>_xlfn.XLOOKUP(_xlfn.CONCAT(E10,B10),'Year Wise Master Dep Approach'!F:F,'Year Wise Master Dep Approach'!E:E)</f>
        <v>3</v>
      </c>
      <c r="P10" s="114">
        <f>IFERROR(IF('FA Addition'!$N10="WDV",1-('FA Addition'!$M10/'FA Addition'!$L10)^(1/'FA Addition'!$O10),1/'FA Addition'!$O10),0)</f>
        <v>0.63189832584332839</v>
      </c>
      <c r="Q10" s="122">
        <f>'FA Addition'!$P10*'FA Addition'!$O10</f>
        <v>1.8956949775299852</v>
      </c>
      <c r="R10" s="122"/>
      <c r="S10" s="116">
        <f>IF(AND(DATE(20&amp;LEFT(FAAddition[[#This Row],[FY]],2),4,1)&lt;$L$1+1,DATE(20&amp;LEFT(FAAddition[[#This Row],[FY]],2),4,1)&gt;$P$1-1),'FA Addition'!$J10,0)</f>
        <v>0</v>
      </c>
      <c r="U10" s="117">
        <f>S10*'FA Addition'!$L10/'FA Addition'!$J10</f>
        <v>0</v>
      </c>
      <c r="V10" s="117"/>
      <c r="W10" s="116">
        <f>SUMIFS('FA Write off'!D:D,'FA Write off'!A:A,'FA Addition'!$A10,'FA Write off'!C:C,"&lt;"&amp;'FA Addition'!$P$1)</f>
        <v>0</v>
      </c>
      <c r="X10" s="117"/>
      <c r="Y10" s="191">
        <f>IFERROR(W10/'FA Addition'!$J10*'FA Addition'!$L10,0)</f>
        <v>0</v>
      </c>
      <c r="Z10" s="117"/>
      <c r="AA10" s="116">
        <f>SUMIFS('FA Write off'!D:D,'FA Write off'!A:A,'FA Addition'!$A10,'FA Write off'!C:C,"&lt;"&amp;'FA Addition'!$L$1+1,'FA Write off'!C:C,"&gt;"&amp;'FA Addition'!$L$1-365)</f>
        <v>0</v>
      </c>
      <c r="AB10" s="117"/>
      <c r="AC10" s="118">
        <f>IFERROR(AA10/'FA Addition'!$J10*'FA Addition'!$L10,0)</f>
        <v>0</v>
      </c>
      <c r="AD10" s="117"/>
      <c r="AE10" s="117">
        <f>IF(AND('FA Addition'!$D10&lt;$P$1+1,U10=0),'FA Addition'!$L10,0)-Y10</f>
        <v>3669</v>
      </c>
      <c r="AF10" s="117">
        <f t="shared" si="0"/>
        <v>3669</v>
      </c>
      <c r="AG10" s="117">
        <f>MIN(MAX(+$P$1-'FA Addition'!$D10,0),365*'FA Addition'!$O10)</f>
        <v>1095</v>
      </c>
      <c r="AH10" s="117">
        <f>MIN(MAX($L$1-'FA Addition'!$D10+1,0),365*'FA Addition'!$O10)</f>
        <v>1095</v>
      </c>
      <c r="AI10" s="117" cm="1">
        <f t="array" ref="AI10">_xlfn.XLOOKUP(1,('FA Write off'!A:A='FA Addition'!$A10)*('FA Write off'!D:D=AA10),'FA Write off'!H:H,0,0)</f>
        <v>0</v>
      </c>
      <c r="AJ10" s="117">
        <f>IF(AC10&gt;0,MAX(IF('FA Addition'!$N10="SLM",($AC10-'FA Addition'!$M10)*'FA Addition'!$P10*AI10/365,(AC10-'FA Addition'!$M10)*(1-(1-'FA Addition'!$P10)^(AI10/365))),0),0)</f>
        <v>0</v>
      </c>
      <c r="AK10" s="119"/>
      <c r="AL10" s="117">
        <f>MAX(IF(AG10&gt;0,IF('FA Addition'!$N10="SLM",($AE10-'FA Addition'!$M10)*'FA Addition'!$P10*AG10/365,IFERROR(VDB(AE10,AE10*0.05,'FA Addition'!$O10,0,YEARFRAC('FA Addition'!$C10,$P$1-1,3),'FA Addition'!$Q10),FAAddition[[#This Row],[Original Cost (Rs)]]-FAAddition[[#This Row],[Salvage Value]])),0),0)</f>
        <v>3486</v>
      </c>
      <c r="AM10" s="119"/>
      <c r="AN10" s="117">
        <f>MAX(IF(AH10&gt;0,IF('FA Addition'!$N10="SLM",($AF10-'FA Addition'!$M10)*'FA Addition'!$P10*AH10/365,IFERROR(VDB(AF10,AF10*0.05,'FA Addition'!$O10,0,YEARFRAC('FA Addition'!$C10,$L$1,3),'FA Addition'!$Q10),FAAddition[[#This Row],[Original Cost (Rs)]]-FAAddition[[#This Row],[Salvage Value]])),0),0)</f>
        <v>3486</v>
      </c>
      <c r="AO10" s="117">
        <f t="shared" si="3"/>
        <v>0</v>
      </c>
      <c r="AP10" s="117"/>
      <c r="AQ10" s="117">
        <f t="shared" si="1"/>
        <v>183</v>
      </c>
      <c r="AR10" s="120">
        <f t="shared" si="2"/>
        <v>183</v>
      </c>
      <c r="AS10" s="121"/>
    </row>
    <row r="11" spans="1:45" ht="13.5" x14ac:dyDescent="0.4">
      <c r="A11" s="12">
        <f t="shared" si="4"/>
        <v>8</v>
      </c>
      <c r="B11" s="44" t="s">
        <v>439</v>
      </c>
      <c r="C11" s="45">
        <v>42128</v>
      </c>
      <c r="D11" s="45">
        <v>42128</v>
      </c>
      <c r="E11" s="46" t="s">
        <v>32</v>
      </c>
      <c r="F11" s="44" t="s">
        <v>32</v>
      </c>
      <c r="G11" s="44" t="s">
        <v>444</v>
      </c>
      <c r="H11" s="44" t="s">
        <v>32</v>
      </c>
      <c r="I11" s="47">
        <v>1691</v>
      </c>
      <c r="J11" s="56">
        <v>1</v>
      </c>
      <c r="K11" s="44"/>
      <c r="L11" s="49">
        <v>1200</v>
      </c>
      <c r="M11" s="50">
        <f>ROUND('FA Addition'!$L11*5%,0.1)</f>
        <v>60</v>
      </c>
      <c r="N11" s="113" t="str">
        <f>_xlfn.XLOOKUP(_xlfn.CONCAT(E11,B11),'Year Wise Master Dep Approach'!F:F,'Year Wise Master Dep Approach'!D:D)</f>
        <v>WDV</v>
      </c>
      <c r="O11" s="113">
        <f>_xlfn.XLOOKUP(_xlfn.CONCAT(E11,B11),'Year Wise Master Dep Approach'!F:F,'Year Wise Master Dep Approach'!E:E)</f>
        <v>3</v>
      </c>
      <c r="P11" s="114">
        <f>IFERROR(IF('FA Addition'!$N11="WDV",1-('FA Addition'!$M11/'FA Addition'!$L11)^(1/'FA Addition'!$O11),1/'FA Addition'!$O11),0)</f>
        <v>0.63159685013596123</v>
      </c>
      <c r="Q11" s="122">
        <f>'FA Addition'!$P11*'FA Addition'!$O11</f>
        <v>1.8947905504078837</v>
      </c>
      <c r="R11" s="122"/>
      <c r="S11" s="116">
        <f>IF(AND(DATE(20&amp;LEFT(FAAddition[[#This Row],[FY]],2),4,1)&lt;$L$1+1,DATE(20&amp;LEFT(FAAddition[[#This Row],[FY]],2),4,1)&gt;$P$1-1),'FA Addition'!$J11,0)</f>
        <v>0</v>
      </c>
      <c r="U11" s="117">
        <f>S11*'FA Addition'!$L11/'FA Addition'!$J11</f>
        <v>0</v>
      </c>
      <c r="V11" s="117"/>
      <c r="W11" s="116">
        <f>SUMIFS('FA Write off'!D:D,'FA Write off'!A:A,'FA Addition'!$A11,'FA Write off'!C:C,"&lt;"&amp;'FA Addition'!$P$1)</f>
        <v>0</v>
      </c>
      <c r="X11" s="117"/>
      <c r="Y11" s="191">
        <f>IFERROR(W11/'FA Addition'!$J11*'FA Addition'!$L11,0)</f>
        <v>0</v>
      </c>
      <c r="Z11" s="117"/>
      <c r="AA11" s="116">
        <f>SUMIFS('FA Write off'!D:D,'FA Write off'!A:A,'FA Addition'!$A11,'FA Write off'!C:C,"&lt;"&amp;'FA Addition'!$L$1+1,'FA Write off'!C:C,"&gt;"&amp;'FA Addition'!$L$1-365)</f>
        <v>0</v>
      </c>
      <c r="AB11" s="117"/>
      <c r="AC11" s="118">
        <f>IFERROR(AA11/'FA Addition'!$J11*'FA Addition'!$L11,0)</f>
        <v>0</v>
      </c>
      <c r="AD11" s="117"/>
      <c r="AE11" s="117">
        <f>IF(AND('FA Addition'!$D11&lt;$P$1+1,U11=0),'FA Addition'!$L11,0)-Y11</f>
        <v>1200</v>
      </c>
      <c r="AF11" s="117">
        <f t="shared" si="0"/>
        <v>1200</v>
      </c>
      <c r="AG11" s="117">
        <f>MIN(MAX(+$P$1-'FA Addition'!$D11,0),365*'FA Addition'!$O11)</f>
        <v>1095</v>
      </c>
      <c r="AH11" s="117">
        <f>MIN(MAX($L$1-'FA Addition'!$D11+1,0),365*'FA Addition'!$O11)</f>
        <v>1095</v>
      </c>
      <c r="AI11" s="117" cm="1">
        <f t="array" ref="AI11">_xlfn.XLOOKUP(1,('FA Write off'!A:A='FA Addition'!$A11)*('FA Write off'!D:D=AA11),'FA Write off'!H:H,0,0)</f>
        <v>0</v>
      </c>
      <c r="AJ11" s="117">
        <f>IF(AC11&gt;0,MAX(IF('FA Addition'!$N11="SLM",($AC11-'FA Addition'!$M11)*'FA Addition'!$P11*AI11/365,(AC11-'FA Addition'!$M11)*(1-(1-'FA Addition'!$P11)^(AI11/365))),0),0)</f>
        <v>0</v>
      </c>
      <c r="AK11" s="119"/>
      <c r="AL11" s="117">
        <f>MAX(IF(AG11&gt;0,IF('FA Addition'!$N11="SLM",($AE11-'FA Addition'!$M11)*'FA Addition'!$P11*AG11/365,IFERROR(VDB(AE11,AE11*0.05,'FA Addition'!$O11,0,YEARFRAC('FA Addition'!$C11,$P$1-1,3),'FA Addition'!$Q11),FAAddition[[#This Row],[Original Cost (Rs)]]-FAAddition[[#This Row],[Salvage Value]])),0),0)</f>
        <v>1140</v>
      </c>
      <c r="AM11" s="119"/>
      <c r="AN11" s="117">
        <f>MAX(IF(AH11&gt;0,IF('FA Addition'!$N11="SLM",($AF11-'FA Addition'!$M11)*'FA Addition'!$P11*AH11/365,IFERROR(VDB(AF11,AF11*0.05,'FA Addition'!$O11,0,YEARFRAC('FA Addition'!$C11,$L$1,3),'FA Addition'!$Q11),FAAddition[[#This Row],[Original Cost (Rs)]]-FAAddition[[#This Row],[Salvage Value]])),0),0)</f>
        <v>1140</v>
      </c>
      <c r="AO11" s="117">
        <f t="shared" si="3"/>
        <v>0</v>
      </c>
      <c r="AP11" s="117"/>
      <c r="AQ11" s="117">
        <f t="shared" si="1"/>
        <v>60</v>
      </c>
      <c r="AR11" s="120">
        <f t="shared" si="2"/>
        <v>60</v>
      </c>
      <c r="AS11" s="121"/>
    </row>
    <row r="12" spans="1:45" ht="13.5" x14ac:dyDescent="0.4">
      <c r="A12" s="12">
        <f t="shared" si="4"/>
        <v>9</v>
      </c>
      <c r="B12" s="44" t="s">
        <v>439</v>
      </c>
      <c r="C12" s="45">
        <v>42131</v>
      </c>
      <c r="D12" s="45">
        <v>42131</v>
      </c>
      <c r="E12" s="46" t="s">
        <v>445</v>
      </c>
      <c r="F12" s="44" t="s">
        <v>147</v>
      </c>
      <c r="G12" s="44" t="s">
        <v>446</v>
      </c>
      <c r="H12" s="44" t="s">
        <v>207</v>
      </c>
      <c r="I12" s="47" t="s">
        <v>447</v>
      </c>
      <c r="J12" s="56">
        <v>1</v>
      </c>
      <c r="K12" s="44" t="s">
        <v>207</v>
      </c>
      <c r="L12" s="49">
        <v>9498</v>
      </c>
      <c r="M12" s="50">
        <f>ROUND('FA Addition'!$L12*5%,0.1)</f>
        <v>475</v>
      </c>
      <c r="N12" s="113" t="str">
        <f>_xlfn.XLOOKUP(_xlfn.CONCAT(E12,B12),'Year Wise Master Dep Approach'!F:F,'Year Wise Master Dep Approach'!D:D)</f>
        <v>WDV</v>
      </c>
      <c r="O12" s="113">
        <f>_xlfn.XLOOKUP(_xlfn.CONCAT(E12,B12),'Year Wise Master Dep Approach'!F:F,'Year Wise Master Dep Approach'!E:E)</f>
        <v>5</v>
      </c>
      <c r="P12" s="114">
        <f>IFERROR(IF('FA Addition'!$N12="WDV",1-('FA Addition'!$M12/'FA Addition'!$L12)^(1/'FA Addition'!$O12),1/'FA Addition'!$O12),0)</f>
        <v>0.45069659783472482</v>
      </c>
      <c r="Q12" s="122">
        <f>'FA Addition'!$P12*'FA Addition'!$O12</f>
        <v>2.2534829891736239</v>
      </c>
      <c r="R12" s="122"/>
      <c r="S12" s="116">
        <f>IF(AND(DATE(20&amp;LEFT(FAAddition[[#This Row],[FY]],2),4,1)&lt;$L$1+1,DATE(20&amp;LEFT(FAAddition[[#This Row],[FY]],2),4,1)&gt;$P$1-1),'FA Addition'!$J12,0)</f>
        <v>0</v>
      </c>
      <c r="U12" s="117">
        <f>S12*'FA Addition'!$L12/'FA Addition'!$J12</f>
        <v>0</v>
      </c>
      <c r="V12" s="117"/>
      <c r="W12" s="116">
        <f>SUMIFS('FA Write off'!D:D,'FA Write off'!A:A,'FA Addition'!$A12,'FA Write off'!C:C,"&lt;"&amp;'FA Addition'!$P$1)</f>
        <v>0</v>
      </c>
      <c r="X12" s="117"/>
      <c r="Y12" s="191">
        <f>IFERROR(W12/'FA Addition'!$J12*'FA Addition'!$L12,0)</f>
        <v>0</v>
      </c>
      <c r="Z12" s="117"/>
      <c r="AA12" s="116">
        <f>SUMIFS('FA Write off'!D:D,'FA Write off'!A:A,'FA Addition'!$A12,'FA Write off'!C:C,"&lt;"&amp;'FA Addition'!$L$1+1,'FA Write off'!C:C,"&gt;"&amp;'FA Addition'!$L$1-365)</f>
        <v>0</v>
      </c>
      <c r="AB12" s="117"/>
      <c r="AC12" s="118">
        <f>IFERROR(AA12/'FA Addition'!$J12*'FA Addition'!$L12,0)</f>
        <v>0</v>
      </c>
      <c r="AD12" s="117"/>
      <c r="AE12" s="117">
        <f>IF(AND('FA Addition'!$D12&lt;$P$1+1,U12=0),'FA Addition'!$L12,0)-Y12</f>
        <v>9498</v>
      </c>
      <c r="AF12" s="117">
        <f t="shared" si="0"/>
        <v>9498</v>
      </c>
      <c r="AG12" s="117">
        <f>MIN(MAX(+$P$1-'FA Addition'!$D12,0),365*'FA Addition'!$O12)</f>
        <v>1825</v>
      </c>
      <c r="AH12" s="117">
        <f>MIN(MAX($L$1-'FA Addition'!$D12+1,0),365*'FA Addition'!$O12)</f>
        <v>1825</v>
      </c>
      <c r="AI12" s="117" cm="1">
        <f t="array" ref="AI12">_xlfn.XLOOKUP(1,('FA Write off'!A:A='FA Addition'!$A12)*('FA Write off'!D:D=AA12),'FA Write off'!H:H,0,0)</f>
        <v>0</v>
      </c>
      <c r="AJ12" s="117">
        <f>IF(AC12&gt;0,MAX(IF('FA Addition'!$N12="SLM",($AC12-'FA Addition'!$M12)*'FA Addition'!$P12*AI12/365,(AC12-'FA Addition'!$M12)*(1-(1-'FA Addition'!$P12)^(AI12/365))),0),0)</f>
        <v>0</v>
      </c>
      <c r="AK12" s="119"/>
      <c r="AL12" s="117">
        <f>MAX(IF(AG12&gt;0,IF('FA Addition'!$N12="SLM",($AE12-'FA Addition'!$M12)*'FA Addition'!$P12*AG12/365,IFERROR(VDB(AE12,AE12*0.05,'FA Addition'!$O12,0,YEARFRAC('FA Addition'!$C12,$P$1-1,3),'FA Addition'!$Q12),FAAddition[[#This Row],[Original Cost (Rs)]]-FAAddition[[#This Row],[Salvage Value]])),0),0)</f>
        <v>9023</v>
      </c>
      <c r="AM12" s="119"/>
      <c r="AN12" s="117">
        <f>MAX(IF(AH12&gt;0,IF('FA Addition'!$N12="SLM",($AF12-'FA Addition'!$M12)*'FA Addition'!$P12*AH12/365,IFERROR(VDB(AF12,AF12*0.05,'FA Addition'!$O12,0,YEARFRAC('FA Addition'!$C12,$L$1,3),'FA Addition'!$Q12),FAAddition[[#This Row],[Original Cost (Rs)]]-FAAddition[[#This Row],[Salvage Value]])),0),0)</f>
        <v>9023</v>
      </c>
      <c r="AO12" s="117">
        <f t="shared" si="3"/>
        <v>0</v>
      </c>
      <c r="AP12" s="117"/>
      <c r="AQ12" s="117">
        <f t="shared" si="1"/>
        <v>475</v>
      </c>
      <c r="AR12" s="120">
        <f t="shared" si="2"/>
        <v>475</v>
      </c>
      <c r="AS12" s="121"/>
    </row>
    <row r="13" spans="1:45" ht="13.5" x14ac:dyDescent="0.4">
      <c r="A13" s="12">
        <f t="shared" si="4"/>
        <v>10</v>
      </c>
      <c r="B13" s="44" t="s">
        <v>439</v>
      </c>
      <c r="C13" s="45">
        <v>42181</v>
      </c>
      <c r="D13" s="45">
        <v>42181</v>
      </c>
      <c r="E13" s="46" t="s">
        <v>32</v>
      </c>
      <c r="F13" s="44" t="s">
        <v>32</v>
      </c>
      <c r="G13" s="44" t="s">
        <v>448</v>
      </c>
      <c r="H13" s="44" t="s">
        <v>32</v>
      </c>
      <c r="I13" s="47" t="s">
        <v>449</v>
      </c>
      <c r="J13" s="56">
        <v>1</v>
      </c>
      <c r="K13" s="44"/>
      <c r="L13" s="52">
        <v>2800</v>
      </c>
      <c r="M13" s="50">
        <f>ROUND('FA Addition'!$L13*5%,0.1)</f>
        <v>140</v>
      </c>
      <c r="N13" s="113" t="str">
        <f>_xlfn.XLOOKUP(_xlfn.CONCAT(E13,B13),'Year Wise Master Dep Approach'!F:F,'Year Wise Master Dep Approach'!D:D)</f>
        <v>WDV</v>
      </c>
      <c r="O13" s="113">
        <f>_xlfn.XLOOKUP(_xlfn.CONCAT(E13,B13),'Year Wise Master Dep Approach'!F:F,'Year Wise Master Dep Approach'!E:E)</f>
        <v>3</v>
      </c>
      <c r="P13" s="114">
        <f>IFERROR(IF('FA Addition'!$N13="WDV",1-('FA Addition'!$M13/'FA Addition'!$L13)^(1/'FA Addition'!$O13),1/'FA Addition'!$O13),0)</f>
        <v>0.63159685013596123</v>
      </c>
      <c r="Q13" s="122">
        <f>'FA Addition'!$P13*'FA Addition'!$O13</f>
        <v>1.8947905504078837</v>
      </c>
      <c r="R13" s="122"/>
      <c r="S13" s="116">
        <f>IF(AND(DATE(20&amp;LEFT(FAAddition[[#This Row],[FY]],2),4,1)&lt;$L$1+1,DATE(20&amp;LEFT(FAAddition[[#This Row],[FY]],2),4,1)&gt;$P$1-1),'FA Addition'!$J13,0)</f>
        <v>0</v>
      </c>
      <c r="U13" s="117">
        <f>S13*'FA Addition'!$L13/'FA Addition'!$J13</f>
        <v>0</v>
      </c>
      <c r="V13" s="117"/>
      <c r="W13" s="116">
        <f>SUMIFS('FA Write off'!D:D,'FA Write off'!A:A,'FA Addition'!$A13,'FA Write off'!C:C,"&lt;"&amp;'FA Addition'!$P$1)</f>
        <v>0</v>
      </c>
      <c r="X13" s="117"/>
      <c r="Y13" s="191">
        <f>IFERROR(W13/'FA Addition'!$J13*'FA Addition'!$L13,0)</f>
        <v>0</v>
      </c>
      <c r="Z13" s="117"/>
      <c r="AA13" s="116">
        <f>SUMIFS('FA Write off'!D:D,'FA Write off'!A:A,'FA Addition'!$A13,'FA Write off'!C:C,"&lt;"&amp;'FA Addition'!$L$1+1,'FA Write off'!C:C,"&gt;"&amp;'FA Addition'!$L$1-365)</f>
        <v>0</v>
      </c>
      <c r="AB13" s="117"/>
      <c r="AC13" s="118">
        <f>IFERROR(AA13/'FA Addition'!$J13*'FA Addition'!$L13,0)</f>
        <v>0</v>
      </c>
      <c r="AD13" s="117"/>
      <c r="AE13" s="117">
        <f>IF(AND('FA Addition'!$D13&lt;$P$1+1,U13=0),'FA Addition'!$L13,0)-Y13</f>
        <v>2800</v>
      </c>
      <c r="AF13" s="117">
        <f t="shared" si="0"/>
        <v>2800</v>
      </c>
      <c r="AG13" s="117">
        <f>MIN(MAX(+$P$1-'FA Addition'!$D13,0),365*'FA Addition'!$O13)</f>
        <v>1095</v>
      </c>
      <c r="AH13" s="117">
        <f>MIN(MAX($L$1-'FA Addition'!$D13+1,0),365*'FA Addition'!$O13)</f>
        <v>1095</v>
      </c>
      <c r="AI13" s="117" cm="1">
        <f t="array" ref="AI13">_xlfn.XLOOKUP(1,('FA Write off'!A:A='FA Addition'!$A13)*('FA Write off'!D:D=AA13),'FA Write off'!H:H,0,0)</f>
        <v>0</v>
      </c>
      <c r="AJ13" s="117">
        <f>IF(AC13&gt;0,MAX(IF('FA Addition'!$N13="SLM",($AC13-'FA Addition'!$M13)*'FA Addition'!$P13*AI13/365,(AC13-'FA Addition'!$M13)*(1-(1-'FA Addition'!$P13)^(AI13/365))),0),0)</f>
        <v>0</v>
      </c>
      <c r="AK13" s="119"/>
      <c r="AL13" s="117">
        <f>MAX(IF(AG13&gt;0,IF('FA Addition'!$N13="SLM",($AE13-'FA Addition'!$M13)*'FA Addition'!$P13*AG13/365,IFERROR(VDB(AE13,AE13*0.05,'FA Addition'!$O13,0,YEARFRAC('FA Addition'!$C13,$P$1-1,3),'FA Addition'!$Q13),FAAddition[[#This Row],[Original Cost (Rs)]]-FAAddition[[#This Row],[Salvage Value]])),0),0)</f>
        <v>2660</v>
      </c>
      <c r="AM13" s="119"/>
      <c r="AN13" s="117">
        <f>MAX(IF(AH13&gt;0,IF('FA Addition'!$N13="SLM",($AF13-'FA Addition'!$M13)*'FA Addition'!$P13*AH13/365,IFERROR(VDB(AF13,AF13*0.05,'FA Addition'!$O13,0,YEARFRAC('FA Addition'!$C13,$L$1,3),'FA Addition'!$Q13),FAAddition[[#This Row],[Original Cost (Rs)]]-FAAddition[[#This Row],[Salvage Value]])),0),0)</f>
        <v>2660</v>
      </c>
      <c r="AO13" s="117">
        <f t="shared" si="3"/>
        <v>0</v>
      </c>
      <c r="AP13" s="117"/>
      <c r="AQ13" s="117">
        <f t="shared" si="1"/>
        <v>140</v>
      </c>
      <c r="AR13" s="120">
        <f t="shared" si="2"/>
        <v>140</v>
      </c>
      <c r="AS13" s="121"/>
    </row>
    <row r="14" spans="1:45" ht="13.5" x14ac:dyDescent="0.4">
      <c r="A14" s="12">
        <f t="shared" si="4"/>
        <v>11</v>
      </c>
      <c r="B14" s="44" t="s">
        <v>439</v>
      </c>
      <c r="C14" s="45">
        <v>42181</v>
      </c>
      <c r="D14" s="45">
        <v>42181</v>
      </c>
      <c r="E14" s="46" t="s">
        <v>32</v>
      </c>
      <c r="F14" s="44" t="s">
        <v>32</v>
      </c>
      <c r="G14" s="44" t="s">
        <v>450</v>
      </c>
      <c r="H14" s="44" t="s">
        <v>32</v>
      </c>
      <c r="I14" s="47"/>
      <c r="J14" s="56">
        <v>1</v>
      </c>
      <c r="K14" s="44"/>
      <c r="L14" s="52">
        <v>2479</v>
      </c>
      <c r="M14" s="50">
        <f>ROUND('FA Addition'!$L14*5%,0.1)</f>
        <v>124</v>
      </c>
      <c r="N14" s="113" t="str">
        <f>_xlfn.XLOOKUP(_xlfn.CONCAT(E14,B14),'Year Wise Master Dep Approach'!F:F,'Year Wise Master Dep Approach'!D:D)</f>
        <v>WDV</v>
      </c>
      <c r="O14" s="113">
        <f>_xlfn.XLOOKUP(_xlfn.CONCAT(E14,B14),'Year Wise Master Dep Approach'!F:F,'Year Wise Master Dep Approach'!E:E)</f>
        <v>3</v>
      </c>
      <c r="P14" s="114">
        <f>IFERROR(IF('FA Addition'!$N14="WDV",1-('FA Addition'!$M14/'FA Addition'!$L14)^(1/'FA Addition'!$O14),1/'FA Addition'!$O14),0)</f>
        <v>0.63154732026848315</v>
      </c>
      <c r="Q14" s="122">
        <f>'FA Addition'!$P14*'FA Addition'!$O14</f>
        <v>1.8946419608054494</v>
      </c>
      <c r="R14" s="122"/>
      <c r="S14" s="116">
        <f>IF(AND(DATE(20&amp;LEFT(FAAddition[[#This Row],[FY]],2),4,1)&lt;$L$1+1,DATE(20&amp;LEFT(FAAddition[[#This Row],[FY]],2),4,1)&gt;$P$1-1),'FA Addition'!$J14,0)</f>
        <v>0</v>
      </c>
      <c r="U14" s="117">
        <f>S14*'FA Addition'!$L14/'FA Addition'!$J14</f>
        <v>0</v>
      </c>
      <c r="V14" s="117"/>
      <c r="W14" s="116">
        <f>SUMIFS('FA Write off'!D:D,'FA Write off'!A:A,'FA Addition'!$A14,'FA Write off'!C:C,"&lt;"&amp;'FA Addition'!$P$1)</f>
        <v>0</v>
      </c>
      <c r="X14" s="117"/>
      <c r="Y14" s="191">
        <f>IFERROR(W14/'FA Addition'!$J14*'FA Addition'!$L14,0)</f>
        <v>0</v>
      </c>
      <c r="Z14" s="117"/>
      <c r="AA14" s="116">
        <f>SUMIFS('FA Write off'!D:D,'FA Write off'!A:A,'FA Addition'!$A14,'FA Write off'!C:C,"&lt;"&amp;'FA Addition'!$L$1+1,'FA Write off'!C:C,"&gt;"&amp;'FA Addition'!$L$1-365)</f>
        <v>0</v>
      </c>
      <c r="AB14" s="117"/>
      <c r="AC14" s="118">
        <f>IFERROR(AA14/'FA Addition'!$J14*'FA Addition'!$L14,0)</f>
        <v>0</v>
      </c>
      <c r="AD14" s="117"/>
      <c r="AE14" s="117">
        <f>IF(AND('FA Addition'!$D14&lt;$P$1+1,U14=0),'FA Addition'!$L14,0)-Y14</f>
        <v>2479</v>
      </c>
      <c r="AF14" s="117">
        <f t="shared" si="0"/>
        <v>2479</v>
      </c>
      <c r="AG14" s="117">
        <f>MIN(MAX(+$P$1-'FA Addition'!$D14,0),365*'FA Addition'!$O14)</f>
        <v>1095</v>
      </c>
      <c r="AH14" s="117">
        <f>MIN(MAX($L$1-'FA Addition'!$D14+1,0),365*'FA Addition'!$O14)</f>
        <v>1095</v>
      </c>
      <c r="AI14" s="117" cm="1">
        <f t="array" ref="AI14">_xlfn.XLOOKUP(1,('FA Write off'!A:A='FA Addition'!$A14)*('FA Write off'!D:D=AA14),'FA Write off'!H:H,0,0)</f>
        <v>0</v>
      </c>
      <c r="AJ14" s="117">
        <f>IF(AC14&gt;0,MAX(IF('FA Addition'!$N14="SLM",($AC14-'FA Addition'!$M14)*'FA Addition'!$P14*AI14/365,(AC14-'FA Addition'!$M14)*(1-(1-'FA Addition'!$P14)^(AI14/365))),0),0)</f>
        <v>0</v>
      </c>
      <c r="AK14" s="119"/>
      <c r="AL14" s="117">
        <f>MAX(IF(AG14&gt;0,IF('FA Addition'!$N14="SLM",($AE14-'FA Addition'!$M14)*'FA Addition'!$P14*AG14/365,IFERROR(VDB(AE14,AE14*0.05,'FA Addition'!$O14,0,YEARFRAC('FA Addition'!$C14,$P$1-1,3),'FA Addition'!$Q14),FAAddition[[#This Row],[Original Cost (Rs)]]-FAAddition[[#This Row],[Salvage Value]])),0),0)</f>
        <v>2355</v>
      </c>
      <c r="AM14" s="119"/>
      <c r="AN14" s="117">
        <f>MAX(IF(AH14&gt;0,IF('FA Addition'!$N14="SLM",($AF14-'FA Addition'!$M14)*'FA Addition'!$P14*AH14/365,IFERROR(VDB(AF14,AF14*0.05,'FA Addition'!$O14,0,YEARFRAC('FA Addition'!$C14,$L$1,3),'FA Addition'!$Q14),FAAddition[[#This Row],[Original Cost (Rs)]]-FAAddition[[#This Row],[Salvage Value]])),0),0)</f>
        <v>2355</v>
      </c>
      <c r="AO14" s="117">
        <f t="shared" si="3"/>
        <v>0</v>
      </c>
      <c r="AP14" s="117"/>
      <c r="AQ14" s="117">
        <f t="shared" si="1"/>
        <v>124</v>
      </c>
      <c r="AR14" s="120">
        <f t="shared" si="2"/>
        <v>124</v>
      </c>
      <c r="AS14" s="121"/>
    </row>
    <row r="15" spans="1:45" ht="13.5" x14ac:dyDescent="0.4">
      <c r="A15" s="12">
        <f t="shared" si="4"/>
        <v>12</v>
      </c>
      <c r="B15" s="44" t="s">
        <v>439</v>
      </c>
      <c r="C15" s="45">
        <v>42181</v>
      </c>
      <c r="D15" s="45">
        <v>42181</v>
      </c>
      <c r="E15" s="46" t="s">
        <v>32</v>
      </c>
      <c r="F15" s="44" t="s">
        <v>32</v>
      </c>
      <c r="G15" s="44" t="s">
        <v>448</v>
      </c>
      <c r="H15" s="44" t="s">
        <v>32</v>
      </c>
      <c r="I15" s="47">
        <v>2398</v>
      </c>
      <c r="J15" s="56">
        <v>1</v>
      </c>
      <c r="K15" s="44"/>
      <c r="L15" s="52">
        <v>4850</v>
      </c>
      <c r="M15" s="50">
        <f>ROUND('FA Addition'!$L15*5%,0.1)</f>
        <v>243</v>
      </c>
      <c r="N15" s="113" t="str">
        <f>_xlfn.XLOOKUP(_xlfn.CONCAT(E15,B15),'Year Wise Master Dep Approach'!F:F,'Year Wise Master Dep Approach'!D:D)</f>
        <v>WDV</v>
      </c>
      <c r="O15" s="113">
        <f>_xlfn.XLOOKUP(_xlfn.CONCAT(E15,B15),'Year Wise Master Dep Approach'!F:F,'Year Wise Master Dep Approach'!E:E)</f>
        <v>3</v>
      </c>
      <c r="P15" s="114">
        <f>IFERROR(IF('FA Addition'!$N15="WDV",1-('FA Addition'!$M15/'FA Addition'!$L15)^(1/'FA Addition'!$O15),1/'FA Addition'!$O15),0)</f>
        <v>0.6313438259150288</v>
      </c>
      <c r="Q15" s="122">
        <f>'FA Addition'!$P15*'FA Addition'!$O15</f>
        <v>1.8940314777450864</v>
      </c>
      <c r="R15" s="122"/>
      <c r="S15" s="116">
        <f>IF(AND(DATE(20&amp;LEFT(FAAddition[[#This Row],[FY]],2),4,1)&lt;$L$1+1,DATE(20&amp;LEFT(FAAddition[[#This Row],[FY]],2),4,1)&gt;$P$1-1),'FA Addition'!$J15,0)</f>
        <v>0</v>
      </c>
      <c r="U15" s="117">
        <f>S15*'FA Addition'!$L15/'FA Addition'!$J15</f>
        <v>0</v>
      </c>
      <c r="V15" s="117"/>
      <c r="W15" s="116">
        <f>SUMIFS('FA Write off'!D:D,'FA Write off'!A:A,'FA Addition'!$A15,'FA Write off'!C:C,"&lt;"&amp;'FA Addition'!$P$1)</f>
        <v>0</v>
      </c>
      <c r="X15" s="117"/>
      <c r="Y15" s="191">
        <f>IFERROR(W15/'FA Addition'!$J15*'FA Addition'!$L15,0)</f>
        <v>0</v>
      </c>
      <c r="Z15" s="117"/>
      <c r="AA15" s="116">
        <f>SUMIFS('FA Write off'!D:D,'FA Write off'!A:A,'FA Addition'!$A15,'FA Write off'!C:C,"&lt;"&amp;'FA Addition'!$L$1+1,'FA Write off'!C:C,"&gt;"&amp;'FA Addition'!$L$1-365)</f>
        <v>0</v>
      </c>
      <c r="AB15" s="117"/>
      <c r="AC15" s="118">
        <f>IFERROR(AA15/'FA Addition'!$J15*'FA Addition'!$L15,0)</f>
        <v>0</v>
      </c>
      <c r="AD15" s="117"/>
      <c r="AE15" s="117">
        <f>IF(AND('FA Addition'!$D15&lt;$P$1+1,U15=0),'FA Addition'!$L15,0)-Y15</f>
        <v>4850</v>
      </c>
      <c r="AF15" s="117">
        <f t="shared" si="0"/>
        <v>4850</v>
      </c>
      <c r="AG15" s="117">
        <f>MIN(MAX(+$P$1-'FA Addition'!$D15,0),365*'FA Addition'!$O15)</f>
        <v>1095</v>
      </c>
      <c r="AH15" s="117">
        <f>MIN(MAX($L$1-'FA Addition'!$D15+1,0),365*'FA Addition'!$O15)</f>
        <v>1095</v>
      </c>
      <c r="AI15" s="117" cm="1">
        <f t="array" ref="AI15">_xlfn.XLOOKUP(1,('FA Write off'!A:A='FA Addition'!$A15)*('FA Write off'!D:D=AA15),'FA Write off'!H:H,0,0)</f>
        <v>0</v>
      </c>
      <c r="AJ15" s="117">
        <f>IF(AC15&gt;0,MAX(IF('FA Addition'!$N15="SLM",($AC15-'FA Addition'!$M15)*'FA Addition'!$P15*AI15/365,(AC15-'FA Addition'!$M15)*(1-(1-'FA Addition'!$P15)^(AI15/365))),0),0)</f>
        <v>0</v>
      </c>
      <c r="AK15" s="119"/>
      <c r="AL15" s="117">
        <f>MAX(IF(AG15&gt;0,IF('FA Addition'!$N15="SLM",($AE15-'FA Addition'!$M15)*'FA Addition'!$P15*AG15/365,IFERROR(VDB(AE15,AE15*0.05,'FA Addition'!$O15,0,YEARFRAC('FA Addition'!$C15,$P$1-1,3),'FA Addition'!$Q15),FAAddition[[#This Row],[Original Cost (Rs)]]-FAAddition[[#This Row],[Salvage Value]])),0),0)</f>
        <v>4607</v>
      </c>
      <c r="AM15" s="119"/>
      <c r="AN15" s="117">
        <f>MAX(IF(AH15&gt;0,IF('FA Addition'!$N15="SLM",($AF15-'FA Addition'!$M15)*'FA Addition'!$P15*AH15/365,IFERROR(VDB(AF15,AF15*0.05,'FA Addition'!$O15,0,YEARFRAC('FA Addition'!$C15,$L$1,3),'FA Addition'!$Q15),FAAddition[[#This Row],[Original Cost (Rs)]]-FAAddition[[#This Row],[Salvage Value]])),0),0)</f>
        <v>4607</v>
      </c>
      <c r="AO15" s="117">
        <f t="shared" si="3"/>
        <v>0</v>
      </c>
      <c r="AP15" s="117"/>
      <c r="AQ15" s="117">
        <f t="shared" si="1"/>
        <v>243</v>
      </c>
      <c r="AR15" s="120">
        <f t="shared" si="2"/>
        <v>243</v>
      </c>
      <c r="AS15" s="121"/>
    </row>
    <row r="16" spans="1:45" ht="13.5" x14ac:dyDescent="0.4">
      <c r="A16" s="12">
        <f t="shared" si="4"/>
        <v>13</v>
      </c>
      <c r="B16" s="44" t="s">
        <v>439</v>
      </c>
      <c r="C16" s="45">
        <v>42181</v>
      </c>
      <c r="D16" s="45">
        <v>42181</v>
      </c>
      <c r="E16" s="46" t="s">
        <v>32</v>
      </c>
      <c r="F16" s="44" t="s">
        <v>32</v>
      </c>
      <c r="G16" s="44" t="s">
        <v>448</v>
      </c>
      <c r="H16" s="44" t="s">
        <v>32</v>
      </c>
      <c r="I16" s="47">
        <v>2441</v>
      </c>
      <c r="J16" s="56">
        <v>1</v>
      </c>
      <c r="K16" s="44"/>
      <c r="L16" s="52">
        <v>12138</v>
      </c>
      <c r="M16" s="50">
        <f>ROUND('FA Addition'!$L16*5%,0.1)</f>
        <v>607</v>
      </c>
      <c r="N16" s="113" t="str">
        <f>_xlfn.XLOOKUP(_xlfn.CONCAT(E16,B16),'Year Wise Master Dep Approach'!F:F,'Year Wise Master Dep Approach'!D:D)</f>
        <v>WDV</v>
      </c>
      <c r="O16" s="113">
        <f>_xlfn.XLOOKUP(_xlfn.CONCAT(E16,B16),'Year Wise Master Dep Approach'!F:F,'Year Wise Master Dep Approach'!E:E)</f>
        <v>3</v>
      </c>
      <c r="P16" s="114">
        <f>IFERROR(IF('FA Addition'!$N16="WDV",1-('FA Addition'!$M16/'FA Addition'!$L16)^(1/'FA Addition'!$O16),1/'FA Addition'!$O16),0)</f>
        <v>0.63157661709825241</v>
      </c>
      <c r="Q16" s="122">
        <f>'FA Addition'!$P16*'FA Addition'!$O16</f>
        <v>1.8947298512947572</v>
      </c>
      <c r="R16" s="122"/>
      <c r="S16" s="116">
        <f>IF(AND(DATE(20&amp;LEFT(FAAddition[[#This Row],[FY]],2),4,1)&lt;$L$1+1,DATE(20&amp;LEFT(FAAddition[[#This Row],[FY]],2),4,1)&gt;$P$1-1),'FA Addition'!$J16,0)</f>
        <v>0</v>
      </c>
      <c r="U16" s="117">
        <f>S16*'FA Addition'!$L16/'FA Addition'!$J16</f>
        <v>0</v>
      </c>
      <c r="V16" s="117"/>
      <c r="W16" s="116">
        <f>SUMIFS('FA Write off'!D:D,'FA Write off'!A:A,'FA Addition'!$A16,'FA Write off'!C:C,"&lt;"&amp;'FA Addition'!$P$1)</f>
        <v>0</v>
      </c>
      <c r="X16" s="117"/>
      <c r="Y16" s="191">
        <f>IFERROR(W16/'FA Addition'!$J16*'FA Addition'!$L16,0)</f>
        <v>0</v>
      </c>
      <c r="Z16" s="117"/>
      <c r="AA16" s="116">
        <f>SUMIFS('FA Write off'!D:D,'FA Write off'!A:A,'FA Addition'!$A16,'FA Write off'!C:C,"&lt;"&amp;'FA Addition'!$L$1+1,'FA Write off'!C:C,"&gt;"&amp;'FA Addition'!$L$1-365)</f>
        <v>0</v>
      </c>
      <c r="AB16" s="117"/>
      <c r="AC16" s="118">
        <f>IFERROR(AA16/'FA Addition'!$J16*'FA Addition'!$L16,0)</f>
        <v>0</v>
      </c>
      <c r="AD16" s="117"/>
      <c r="AE16" s="117">
        <f>IF(AND('FA Addition'!$D16&lt;$P$1+1,U16=0),'FA Addition'!$L16,0)-Y16</f>
        <v>12138</v>
      </c>
      <c r="AF16" s="117">
        <f t="shared" si="0"/>
        <v>12138</v>
      </c>
      <c r="AG16" s="117">
        <f>MIN(MAX(+$P$1-'FA Addition'!$D16,0),365*'FA Addition'!$O16)</f>
        <v>1095</v>
      </c>
      <c r="AH16" s="117">
        <f>MIN(MAX($L$1-'FA Addition'!$D16+1,0),365*'FA Addition'!$O16)</f>
        <v>1095</v>
      </c>
      <c r="AI16" s="117" cm="1">
        <f t="array" ref="AI16">_xlfn.XLOOKUP(1,('FA Write off'!A:A='FA Addition'!$A16)*('FA Write off'!D:D=AA16),'FA Write off'!H:H,0,0)</f>
        <v>0</v>
      </c>
      <c r="AJ16" s="117">
        <f>IF(AC16&gt;0,MAX(IF('FA Addition'!$N16="SLM",($AC16-'FA Addition'!$M16)*'FA Addition'!$P16*AI16/365,(AC16-'FA Addition'!$M16)*(1-(1-'FA Addition'!$P16)^(AI16/365))),0),0)</f>
        <v>0</v>
      </c>
      <c r="AK16" s="119"/>
      <c r="AL16" s="117">
        <f>MAX(IF(AG16&gt;0,IF('FA Addition'!$N16="SLM",($AE16-'FA Addition'!$M16)*'FA Addition'!$P16*AG16/365,IFERROR(VDB(AE16,AE16*0.05,'FA Addition'!$O16,0,YEARFRAC('FA Addition'!$C16,$P$1-1,3),'FA Addition'!$Q16),FAAddition[[#This Row],[Original Cost (Rs)]]-FAAddition[[#This Row],[Salvage Value]])),0),0)</f>
        <v>11531</v>
      </c>
      <c r="AM16" s="119"/>
      <c r="AN16" s="117">
        <f>MAX(IF(AH16&gt;0,IF('FA Addition'!$N16="SLM",($AF16-'FA Addition'!$M16)*'FA Addition'!$P16*AH16/365,IFERROR(VDB(AF16,AF16*0.05,'FA Addition'!$O16,0,YEARFRAC('FA Addition'!$C16,$L$1,3),'FA Addition'!$Q16),FAAddition[[#This Row],[Original Cost (Rs)]]-FAAddition[[#This Row],[Salvage Value]])),0),0)</f>
        <v>11531</v>
      </c>
      <c r="AO16" s="117">
        <f t="shared" si="3"/>
        <v>0</v>
      </c>
      <c r="AP16" s="117"/>
      <c r="AQ16" s="117">
        <f t="shared" si="1"/>
        <v>607</v>
      </c>
      <c r="AR16" s="120">
        <f t="shared" si="2"/>
        <v>607</v>
      </c>
      <c r="AS16" s="121"/>
    </row>
    <row r="17" spans="1:45" ht="13.5" x14ac:dyDescent="0.4">
      <c r="A17" s="12">
        <f t="shared" si="4"/>
        <v>14</v>
      </c>
      <c r="B17" s="44" t="s">
        <v>439</v>
      </c>
      <c r="C17" s="45">
        <v>42181</v>
      </c>
      <c r="D17" s="45">
        <v>42181</v>
      </c>
      <c r="E17" s="46" t="s">
        <v>32</v>
      </c>
      <c r="F17" s="44" t="s">
        <v>32</v>
      </c>
      <c r="G17" s="44" t="s">
        <v>448</v>
      </c>
      <c r="H17" s="44" t="s">
        <v>32</v>
      </c>
      <c r="I17" s="47">
        <v>4401</v>
      </c>
      <c r="J17" s="56">
        <v>1</v>
      </c>
      <c r="K17" s="44"/>
      <c r="L17" s="49">
        <v>6930</v>
      </c>
      <c r="M17" s="50">
        <f>ROUND('FA Addition'!$L17*5%,0.1)</f>
        <v>347</v>
      </c>
      <c r="N17" s="113" t="str">
        <f>_xlfn.XLOOKUP(_xlfn.CONCAT(E17,B17),'Year Wise Master Dep Approach'!F:F,'Year Wise Master Dep Approach'!D:D)</f>
        <v>WDV</v>
      </c>
      <c r="O17" s="113">
        <f>_xlfn.XLOOKUP(_xlfn.CONCAT(E17,B17),'Year Wise Master Dep Approach'!F:F,'Year Wise Master Dep Approach'!E:E)</f>
        <v>3</v>
      </c>
      <c r="P17" s="114">
        <f>IFERROR(IF('FA Addition'!$N17="WDV",1-('FA Addition'!$M17/'FA Addition'!$L17)^(1/'FA Addition'!$O17),1/'FA Addition'!$O17),0)</f>
        <v>0.63141973320970235</v>
      </c>
      <c r="Q17" s="122">
        <f>'FA Addition'!$P17*'FA Addition'!$O17</f>
        <v>1.8942591996291069</v>
      </c>
      <c r="R17" s="122"/>
      <c r="S17" s="116">
        <f>IF(AND(DATE(20&amp;LEFT(FAAddition[[#This Row],[FY]],2),4,1)&lt;$L$1+1,DATE(20&amp;LEFT(FAAddition[[#This Row],[FY]],2),4,1)&gt;$P$1-1),'FA Addition'!$J17,0)</f>
        <v>0</v>
      </c>
      <c r="U17" s="117">
        <f>S17*'FA Addition'!$L17/'FA Addition'!$J17</f>
        <v>0</v>
      </c>
      <c r="V17" s="117"/>
      <c r="W17" s="116">
        <f>SUMIFS('FA Write off'!D:D,'FA Write off'!A:A,'FA Addition'!$A17,'FA Write off'!C:C,"&lt;"&amp;'FA Addition'!$P$1)</f>
        <v>0</v>
      </c>
      <c r="X17" s="117"/>
      <c r="Y17" s="191">
        <f>IFERROR(W17/'FA Addition'!$J17*'FA Addition'!$L17,0)</f>
        <v>0</v>
      </c>
      <c r="Z17" s="117"/>
      <c r="AA17" s="116">
        <f>SUMIFS('FA Write off'!D:D,'FA Write off'!A:A,'FA Addition'!$A17,'FA Write off'!C:C,"&lt;"&amp;'FA Addition'!$L$1+1,'FA Write off'!C:C,"&gt;"&amp;'FA Addition'!$L$1-365)</f>
        <v>0</v>
      </c>
      <c r="AB17" s="117"/>
      <c r="AC17" s="118">
        <f>IFERROR(AA17/'FA Addition'!$J17*'FA Addition'!$L17,0)</f>
        <v>0</v>
      </c>
      <c r="AD17" s="117"/>
      <c r="AE17" s="117">
        <f>IF(AND('FA Addition'!$D17&lt;$P$1+1,U17=0),'FA Addition'!$L17,0)-Y17</f>
        <v>6930</v>
      </c>
      <c r="AF17" s="117">
        <f t="shared" si="0"/>
        <v>6930</v>
      </c>
      <c r="AG17" s="117">
        <f>MIN(MAX(+$P$1-'FA Addition'!$D17,0),365*'FA Addition'!$O17)</f>
        <v>1095</v>
      </c>
      <c r="AH17" s="117">
        <f>MIN(MAX($L$1-'FA Addition'!$D17+1,0),365*'FA Addition'!$O17)</f>
        <v>1095</v>
      </c>
      <c r="AI17" s="117" cm="1">
        <f t="array" ref="AI17">_xlfn.XLOOKUP(1,('FA Write off'!A:A='FA Addition'!$A17)*('FA Write off'!D:D=AA17),'FA Write off'!H:H,0,0)</f>
        <v>0</v>
      </c>
      <c r="AJ17" s="117">
        <f>IF(AC17&gt;0,MAX(IF('FA Addition'!$N17="SLM",($AC17-'FA Addition'!$M17)*'FA Addition'!$P17*AI17/365,(AC17-'FA Addition'!$M17)*(1-(1-'FA Addition'!$P17)^(AI17/365))),0),0)</f>
        <v>0</v>
      </c>
      <c r="AK17" s="119"/>
      <c r="AL17" s="117">
        <f>MAX(IF(AG17&gt;0,IF('FA Addition'!$N17="SLM",($AE17-'FA Addition'!$M17)*'FA Addition'!$P17*AG17/365,IFERROR(VDB(AE17,AE17*0.05,'FA Addition'!$O17,0,YEARFRAC('FA Addition'!$C17,$P$1-1,3),'FA Addition'!$Q17),FAAddition[[#This Row],[Original Cost (Rs)]]-FAAddition[[#This Row],[Salvage Value]])),0),0)</f>
        <v>6583</v>
      </c>
      <c r="AM17" s="119"/>
      <c r="AN17" s="117">
        <f>MAX(IF(AH17&gt;0,IF('FA Addition'!$N17="SLM",($AF17-'FA Addition'!$M17)*'FA Addition'!$P17*AH17/365,IFERROR(VDB(AF17,AF17*0.05,'FA Addition'!$O17,0,YEARFRAC('FA Addition'!$C17,$L$1,3),'FA Addition'!$Q17),FAAddition[[#This Row],[Original Cost (Rs)]]-FAAddition[[#This Row],[Salvage Value]])),0),0)</f>
        <v>6583</v>
      </c>
      <c r="AO17" s="117">
        <f t="shared" si="3"/>
        <v>0</v>
      </c>
      <c r="AP17" s="117"/>
      <c r="AQ17" s="117">
        <f t="shared" si="1"/>
        <v>347</v>
      </c>
      <c r="AR17" s="120">
        <f t="shared" si="2"/>
        <v>347</v>
      </c>
      <c r="AS17" s="121"/>
    </row>
    <row r="18" spans="1:45" ht="13.5" x14ac:dyDescent="0.4">
      <c r="A18" s="12">
        <f t="shared" si="4"/>
        <v>15</v>
      </c>
      <c r="B18" s="44" t="s">
        <v>439</v>
      </c>
      <c r="C18" s="45">
        <v>42184</v>
      </c>
      <c r="D18" s="45">
        <v>42184</v>
      </c>
      <c r="E18" s="46" t="s">
        <v>451</v>
      </c>
      <c r="F18" s="44" t="s">
        <v>452</v>
      </c>
      <c r="G18" s="44" t="s">
        <v>453</v>
      </c>
      <c r="H18" s="44" t="s">
        <v>173</v>
      </c>
      <c r="I18" s="47" t="s">
        <v>454</v>
      </c>
      <c r="J18" s="56">
        <v>1</v>
      </c>
      <c r="K18" s="44" t="s">
        <v>455</v>
      </c>
      <c r="L18" s="49">
        <v>1400</v>
      </c>
      <c r="M18" s="50">
        <f>ROUND('FA Addition'!$L18*5%,0.1)</f>
        <v>70</v>
      </c>
      <c r="N18" s="113" t="str">
        <f>_xlfn.XLOOKUP(_xlfn.CONCAT(E18,B18),'Year Wise Master Dep Approach'!F:F,'Year Wise Master Dep Approach'!D:D)</f>
        <v>WDV</v>
      </c>
      <c r="O18" s="113">
        <f>_xlfn.XLOOKUP(_xlfn.CONCAT(E18,B18),'Year Wise Master Dep Approach'!F:F,'Year Wise Master Dep Approach'!E:E)</f>
        <v>3</v>
      </c>
      <c r="P18" s="114">
        <f>IFERROR(IF('FA Addition'!$N18="WDV",1-('FA Addition'!$M18/'FA Addition'!$L18)^(1/'FA Addition'!$O18),1/'FA Addition'!$O18),0)</f>
        <v>0.63159685013596123</v>
      </c>
      <c r="Q18" s="122">
        <f>'FA Addition'!$P18*'FA Addition'!$O18</f>
        <v>1.8947905504078837</v>
      </c>
      <c r="R18" s="122"/>
      <c r="S18" s="116">
        <f>IF(AND(DATE(20&amp;LEFT(FAAddition[[#This Row],[FY]],2),4,1)&lt;$L$1+1,DATE(20&amp;LEFT(FAAddition[[#This Row],[FY]],2),4,1)&gt;$P$1-1),'FA Addition'!$J18,0)</f>
        <v>0</v>
      </c>
      <c r="U18" s="117">
        <f>S18*'FA Addition'!$L18/'FA Addition'!$J18</f>
        <v>0</v>
      </c>
      <c r="V18" s="117"/>
      <c r="W18" s="116">
        <f>SUMIFS('FA Write off'!D:D,'FA Write off'!A:A,'FA Addition'!$A18,'FA Write off'!C:C,"&lt;"&amp;'FA Addition'!$P$1)</f>
        <v>0</v>
      </c>
      <c r="X18" s="117"/>
      <c r="Y18" s="191">
        <f>IFERROR(W18/'FA Addition'!$J18*'FA Addition'!$L18,0)</f>
        <v>0</v>
      </c>
      <c r="Z18" s="117"/>
      <c r="AA18" s="116">
        <f>SUMIFS('FA Write off'!D:D,'FA Write off'!A:A,'FA Addition'!$A18,'FA Write off'!C:C,"&lt;"&amp;'FA Addition'!$L$1+1,'FA Write off'!C:C,"&gt;"&amp;'FA Addition'!$L$1-365)</f>
        <v>0</v>
      </c>
      <c r="AB18" s="117"/>
      <c r="AC18" s="118">
        <f>IFERROR(AA18/'FA Addition'!$J18*'FA Addition'!$L18,0)</f>
        <v>0</v>
      </c>
      <c r="AD18" s="117"/>
      <c r="AE18" s="117">
        <f>IF(AND('FA Addition'!$D18&lt;$P$1+1,U18=0),'FA Addition'!$L18,0)-Y18</f>
        <v>1400</v>
      </c>
      <c r="AF18" s="117">
        <f t="shared" si="0"/>
        <v>1400</v>
      </c>
      <c r="AG18" s="117">
        <f>MIN(MAX(+$P$1-'FA Addition'!$D18,0),365*'FA Addition'!$O18)</f>
        <v>1095</v>
      </c>
      <c r="AH18" s="117">
        <f>MIN(MAX($L$1-'FA Addition'!$D18+1,0),365*'FA Addition'!$O18)</f>
        <v>1095</v>
      </c>
      <c r="AI18" s="117" cm="1">
        <f t="array" ref="AI18">_xlfn.XLOOKUP(1,('FA Write off'!A:A='FA Addition'!$A18)*('FA Write off'!D:D=AA18),'FA Write off'!H:H,0,0)</f>
        <v>0</v>
      </c>
      <c r="AJ18" s="117">
        <f>IF(AC18&gt;0,MAX(IF('FA Addition'!$N18="SLM",($AC18-'FA Addition'!$M18)*'FA Addition'!$P18*AI18/365,(AC18-'FA Addition'!$M18)*(1-(1-'FA Addition'!$P18)^(AI18/365))),0),0)</f>
        <v>0</v>
      </c>
      <c r="AK18" s="119"/>
      <c r="AL18" s="117">
        <f>MAX(IF(AG18&gt;0,IF('FA Addition'!$N18="SLM",($AE18-'FA Addition'!$M18)*'FA Addition'!$P18*AG18/365,IFERROR(VDB(AE18,AE18*0.05,'FA Addition'!$O18,0,YEARFRAC('FA Addition'!$C18,$P$1-1,3),'FA Addition'!$Q18),FAAddition[[#This Row],[Original Cost (Rs)]]-FAAddition[[#This Row],[Salvage Value]])),0),0)</f>
        <v>1330</v>
      </c>
      <c r="AM18" s="119"/>
      <c r="AN18" s="117">
        <f>MAX(IF(AH18&gt;0,IF('FA Addition'!$N18="SLM",($AF18-'FA Addition'!$M18)*'FA Addition'!$P18*AH18/365,IFERROR(VDB(AF18,AF18*0.05,'FA Addition'!$O18,0,YEARFRAC('FA Addition'!$C18,$L$1,3),'FA Addition'!$Q18),FAAddition[[#This Row],[Original Cost (Rs)]]-FAAddition[[#This Row],[Salvage Value]])),0),0)</f>
        <v>1330</v>
      </c>
      <c r="AO18" s="117">
        <f t="shared" si="3"/>
        <v>0</v>
      </c>
      <c r="AP18" s="117"/>
      <c r="AQ18" s="117">
        <f t="shared" si="1"/>
        <v>70</v>
      </c>
      <c r="AR18" s="120">
        <f t="shared" si="2"/>
        <v>70</v>
      </c>
      <c r="AS18" s="121"/>
    </row>
    <row r="19" spans="1:45" ht="13.5" x14ac:dyDescent="0.4">
      <c r="A19" s="12">
        <f t="shared" si="4"/>
        <v>16</v>
      </c>
      <c r="B19" s="44" t="s">
        <v>439</v>
      </c>
      <c r="C19" s="45">
        <v>42184</v>
      </c>
      <c r="D19" s="45">
        <v>42184</v>
      </c>
      <c r="E19" s="46" t="s">
        <v>451</v>
      </c>
      <c r="F19" s="44" t="s">
        <v>452</v>
      </c>
      <c r="G19" s="44" t="s">
        <v>456</v>
      </c>
      <c r="H19" s="44"/>
      <c r="I19" s="47" t="s">
        <v>457</v>
      </c>
      <c r="J19" s="56">
        <v>1</v>
      </c>
      <c r="K19" s="44"/>
      <c r="L19" s="49">
        <v>735</v>
      </c>
      <c r="M19" s="50">
        <f>ROUND('FA Addition'!$L19*5%,0.1)</f>
        <v>37</v>
      </c>
      <c r="N19" s="113" t="str">
        <f>_xlfn.XLOOKUP(_xlfn.CONCAT(E19,B19),'Year Wise Master Dep Approach'!F:F,'Year Wise Master Dep Approach'!D:D)</f>
        <v>WDV</v>
      </c>
      <c r="O19" s="113">
        <f>_xlfn.XLOOKUP(_xlfn.CONCAT(E19,B19),'Year Wise Master Dep Approach'!F:F,'Year Wise Master Dep Approach'!E:E)</f>
        <v>3</v>
      </c>
      <c r="P19" s="114">
        <f>IFERROR(IF('FA Addition'!$N19="WDV",1-('FA Addition'!$M19/'FA Addition'!$L19)^(1/'FA Addition'!$O19),1/'FA Addition'!$O19),0)</f>
        <v>0.63076335600563826</v>
      </c>
      <c r="Q19" s="122">
        <f>'FA Addition'!$P19*'FA Addition'!$O19</f>
        <v>1.8922900680169148</v>
      </c>
      <c r="R19" s="122"/>
      <c r="S19" s="116">
        <f>IF(AND(DATE(20&amp;LEFT(FAAddition[[#This Row],[FY]],2),4,1)&lt;$L$1+1,DATE(20&amp;LEFT(FAAddition[[#This Row],[FY]],2),4,1)&gt;$P$1-1),'FA Addition'!$J19,0)</f>
        <v>0</v>
      </c>
      <c r="U19" s="117">
        <f>S19*'FA Addition'!$L19/'FA Addition'!$J19</f>
        <v>0</v>
      </c>
      <c r="V19" s="117"/>
      <c r="W19" s="116">
        <f>SUMIFS('FA Write off'!D:D,'FA Write off'!A:A,'FA Addition'!$A19,'FA Write off'!C:C,"&lt;"&amp;'FA Addition'!$P$1)</f>
        <v>0</v>
      </c>
      <c r="X19" s="117"/>
      <c r="Y19" s="191">
        <f>IFERROR(W19/'FA Addition'!$J19*'FA Addition'!$L19,0)</f>
        <v>0</v>
      </c>
      <c r="Z19" s="117"/>
      <c r="AA19" s="116">
        <f>SUMIFS('FA Write off'!D:D,'FA Write off'!A:A,'FA Addition'!$A19,'FA Write off'!C:C,"&lt;"&amp;'FA Addition'!$L$1+1,'FA Write off'!C:C,"&gt;"&amp;'FA Addition'!$L$1-365)</f>
        <v>0</v>
      </c>
      <c r="AB19" s="117"/>
      <c r="AC19" s="118">
        <f>IFERROR(AA19/'FA Addition'!$J19*'FA Addition'!$L19,0)</f>
        <v>0</v>
      </c>
      <c r="AD19" s="117"/>
      <c r="AE19" s="117">
        <f>IF(AND('FA Addition'!$D19&lt;$P$1+1,U19=0),'FA Addition'!$L19,0)-Y19</f>
        <v>735</v>
      </c>
      <c r="AF19" s="117">
        <f t="shared" si="0"/>
        <v>735</v>
      </c>
      <c r="AG19" s="117">
        <f>MIN(MAX(+$P$1-'FA Addition'!$D19,0),365*'FA Addition'!$O19)</f>
        <v>1095</v>
      </c>
      <c r="AH19" s="117">
        <f>MIN(MAX($L$1-'FA Addition'!$D19+1,0),365*'FA Addition'!$O19)</f>
        <v>1095</v>
      </c>
      <c r="AI19" s="117" cm="1">
        <f t="array" ref="AI19">_xlfn.XLOOKUP(1,('FA Write off'!A:A='FA Addition'!$A19)*('FA Write off'!D:D=AA19),'FA Write off'!H:H,0,0)</f>
        <v>0</v>
      </c>
      <c r="AJ19" s="117">
        <f>IF(AC19&gt;0,MAX(IF('FA Addition'!$N19="SLM",($AC19-'FA Addition'!$M19)*'FA Addition'!$P19*AI19/365,(AC19-'FA Addition'!$M19)*(1-(1-'FA Addition'!$P19)^(AI19/365))),0),0)</f>
        <v>0</v>
      </c>
      <c r="AK19" s="119"/>
      <c r="AL19" s="117">
        <f>MAX(IF(AG19&gt;0,IF('FA Addition'!$N19="SLM",($AE19-'FA Addition'!$M19)*'FA Addition'!$P19*AG19/365,IFERROR(VDB(AE19,AE19*0.05,'FA Addition'!$O19,0,YEARFRAC('FA Addition'!$C19,$P$1-1,3),'FA Addition'!$Q19),FAAddition[[#This Row],[Original Cost (Rs)]]-FAAddition[[#This Row],[Salvage Value]])),0),0)</f>
        <v>698</v>
      </c>
      <c r="AM19" s="119"/>
      <c r="AN19" s="117">
        <f>MAX(IF(AH19&gt;0,IF('FA Addition'!$N19="SLM",($AF19-'FA Addition'!$M19)*'FA Addition'!$P19*AH19/365,IFERROR(VDB(AF19,AF19*0.05,'FA Addition'!$O19,0,YEARFRAC('FA Addition'!$C19,$L$1,3),'FA Addition'!$Q19),FAAddition[[#This Row],[Original Cost (Rs)]]-FAAddition[[#This Row],[Salvage Value]])),0),0)</f>
        <v>698</v>
      </c>
      <c r="AO19" s="117">
        <f t="shared" si="3"/>
        <v>0</v>
      </c>
      <c r="AP19" s="117"/>
      <c r="AQ19" s="117">
        <f t="shared" si="1"/>
        <v>37</v>
      </c>
      <c r="AR19" s="120">
        <f t="shared" si="2"/>
        <v>37</v>
      </c>
      <c r="AS19" s="121"/>
    </row>
    <row r="20" spans="1:45" ht="13.5" x14ac:dyDescent="0.4">
      <c r="A20" s="12">
        <f t="shared" si="4"/>
        <v>17</v>
      </c>
      <c r="B20" s="44" t="s">
        <v>439</v>
      </c>
      <c r="C20" s="45">
        <v>42187</v>
      </c>
      <c r="D20" s="45">
        <v>42187</v>
      </c>
      <c r="E20" s="46" t="s">
        <v>451</v>
      </c>
      <c r="F20" s="44" t="s">
        <v>21</v>
      </c>
      <c r="G20" s="44" t="s">
        <v>435</v>
      </c>
      <c r="H20" s="44"/>
      <c r="I20" s="47" t="s">
        <v>458</v>
      </c>
      <c r="J20" s="56">
        <v>1</v>
      </c>
      <c r="K20" s="44" t="s">
        <v>21</v>
      </c>
      <c r="L20" s="53">
        <v>54500</v>
      </c>
      <c r="M20" s="50">
        <f>ROUND('FA Addition'!$L20*5%,0.1)</f>
        <v>2725</v>
      </c>
      <c r="N20" s="113" t="str">
        <f>_xlfn.XLOOKUP(_xlfn.CONCAT(E20,B20),'Year Wise Master Dep Approach'!F:F,'Year Wise Master Dep Approach'!D:D)</f>
        <v>WDV</v>
      </c>
      <c r="O20" s="113">
        <f>_xlfn.XLOOKUP(_xlfn.CONCAT(E20,B20),'Year Wise Master Dep Approach'!F:F,'Year Wise Master Dep Approach'!E:E)</f>
        <v>3</v>
      </c>
      <c r="P20" s="114">
        <f>IFERROR(IF('FA Addition'!$N20="WDV",1-('FA Addition'!$M20/'FA Addition'!$L20)^(1/'FA Addition'!$O20),1/'FA Addition'!$O20),0)</f>
        <v>0.63159685013596123</v>
      </c>
      <c r="Q20" s="122">
        <f>'FA Addition'!$P20*'FA Addition'!$O20</f>
        <v>1.8947905504078837</v>
      </c>
      <c r="R20" s="122"/>
      <c r="S20" s="116">
        <f>IF(AND(DATE(20&amp;LEFT(FAAddition[[#This Row],[FY]],2),4,1)&lt;$L$1+1,DATE(20&amp;LEFT(FAAddition[[#This Row],[FY]],2),4,1)&gt;$P$1-1),'FA Addition'!$J20,0)</f>
        <v>0</v>
      </c>
      <c r="U20" s="117">
        <f>S20*'FA Addition'!$L20/'FA Addition'!$J20</f>
        <v>0</v>
      </c>
      <c r="V20" s="117"/>
      <c r="W20" s="116">
        <f>SUMIFS('FA Write off'!D:D,'FA Write off'!A:A,'FA Addition'!$A20,'FA Write off'!C:C,"&lt;"&amp;'FA Addition'!$P$1)</f>
        <v>0</v>
      </c>
      <c r="X20" s="117"/>
      <c r="Y20" s="191">
        <f>IFERROR(W20/'FA Addition'!$J20*'FA Addition'!$L20,0)</f>
        <v>0</v>
      </c>
      <c r="Z20" s="117"/>
      <c r="AA20" s="116">
        <f>SUMIFS('FA Write off'!D:D,'FA Write off'!A:A,'FA Addition'!$A20,'FA Write off'!C:C,"&lt;"&amp;'FA Addition'!$L$1+1,'FA Write off'!C:C,"&gt;"&amp;'FA Addition'!$L$1-365)</f>
        <v>0</v>
      </c>
      <c r="AB20" s="117"/>
      <c r="AC20" s="118">
        <f>IFERROR(AA20/'FA Addition'!$J20*'FA Addition'!$L20,0)</f>
        <v>0</v>
      </c>
      <c r="AD20" s="117"/>
      <c r="AE20" s="117">
        <f>IF(AND('FA Addition'!$D20&lt;$P$1+1,U20=0),'FA Addition'!$L20,0)-Y20</f>
        <v>54500</v>
      </c>
      <c r="AF20" s="117">
        <f t="shared" si="0"/>
        <v>54500</v>
      </c>
      <c r="AG20" s="117">
        <f>MIN(MAX(+$P$1-'FA Addition'!$D20,0),365*'FA Addition'!$O20)</f>
        <v>1095</v>
      </c>
      <c r="AH20" s="117">
        <f>MIN(MAX($L$1-'FA Addition'!$D20+1,0),365*'FA Addition'!$O20)</f>
        <v>1095</v>
      </c>
      <c r="AI20" s="117" cm="1">
        <f t="array" ref="AI20">_xlfn.XLOOKUP(1,('FA Write off'!A:A='FA Addition'!$A20)*('FA Write off'!D:D=AA20),'FA Write off'!H:H,0,0)</f>
        <v>0</v>
      </c>
      <c r="AJ20" s="117">
        <f>IF(AC20&gt;0,MAX(IF('FA Addition'!$N20="SLM",($AC20-'FA Addition'!$M20)*'FA Addition'!$P20*AI20/365,(AC20-'FA Addition'!$M20)*(1-(1-'FA Addition'!$P20)^(AI20/365))),0),0)</f>
        <v>0</v>
      </c>
      <c r="AK20" s="119"/>
      <c r="AL20" s="117">
        <f>MAX(IF(AG20&gt;0,IF('FA Addition'!$N20="SLM",($AE20-'FA Addition'!$M20)*'FA Addition'!$P20*AG20/365,IFERROR(VDB(AE20,AE20*0.05,'FA Addition'!$O20,0,YEARFRAC('FA Addition'!$C20,$P$1-1,3),'FA Addition'!$Q20),FAAddition[[#This Row],[Original Cost (Rs)]]-FAAddition[[#This Row],[Salvage Value]])),0),0)</f>
        <v>51775</v>
      </c>
      <c r="AM20" s="119"/>
      <c r="AN20" s="117">
        <f>MAX(IF(AH20&gt;0,IF('FA Addition'!$N20="SLM",($AF20-'FA Addition'!$M20)*'FA Addition'!$P20*AH20/365,IFERROR(VDB(AF20,AF20*0.05,'FA Addition'!$O20,0,YEARFRAC('FA Addition'!$C20,$L$1,3),'FA Addition'!$Q20),FAAddition[[#This Row],[Original Cost (Rs)]]-FAAddition[[#This Row],[Salvage Value]])),0),0)</f>
        <v>51775</v>
      </c>
      <c r="AO20" s="117">
        <f t="shared" si="3"/>
        <v>0</v>
      </c>
      <c r="AP20" s="117"/>
      <c r="AQ20" s="117">
        <f t="shared" si="1"/>
        <v>2725</v>
      </c>
      <c r="AR20" s="120">
        <f t="shared" si="2"/>
        <v>2725</v>
      </c>
      <c r="AS20" s="121"/>
    </row>
    <row r="21" spans="1:45" ht="13.5" x14ac:dyDescent="0.4">
      <c r="A21" s="12">
        <f t="shared" si="4"/>
        <v>18</v>
      </c>
      <c r="B21" s="44" t="s">
        <v>439</v>
      </c>
      <c r="C21" s="45">
        <v>42189</v>
      </c>
      <c r="D21" s="45">
        <v>42189</v>
      </c>
      <c r="E21" s="46" t="s">
        <v>451</v>
      </c>
      <c r="F21" s="44" t="s">
        <v>452</v>
      </c>
      <c r="G21" s="44" t="s">
        <v>435</v>
      </c>
      <c r="H21" s="44"/>
      <c r="I21" s="47" t="s">
        <v>459</v>
      </c>
      <c r="J21" s="56">
        <v>1</v>
      </c>
      <c r="K21" s="44"/>
      <c r="L21" s="53">
        <v>695</v>
      </c>
      <c r="M21" s="50">
        <f>ROUND('FA Addition'!$L21*5%,0.1)</f>
        <v>35</v>
      </c>
      <c r="N21" s="113" t="str">
        <f>_xlfn.XLOOKUP(_xlfn.CONCAT(E21,B21),'Year Wise Master Dep Approach'!F:F,'Year Wise Master Dep Approach'!D:D)</f>
        <v>WDV</v>
      </c>
      <c r="O21" s="113">
        <f>_xlfn.XLOOKUP(_xlfn.CONCAT(E21,B21),'Year Wise Master Dep Approach'!F:F,'Year Wise Master Dep Approach'!E:E)</f>
        <v>3</v>
      </c>
      <c r="P21" s="114">
        <f>IFERROR(IF('FA Addition'!$N21="WDV",1-('FA Addition'!$M21/'FA Addition'!$L21)^(1/'FA Addition'!$O21),1/'FA Addition'!$O21),0)</f>
        <v>0.63071549952865946</v>
      </c>
      <c r="Q21" s="122">
        <f>'FA Addition'!$P21*'FA Addition'!$O21</f>
        <v>1.8921464985859784</v>
      </c>
      <c r="R21" s="122"/>
      <c r="S21" s="116">
        <f>IF(AND(DATE(20&amp;LEFT(FAAddition[[#This Row],[FY]],2),4,1)&lt;$L$1+1,DATE(20&amp;LEFT(FAAddition[[#This Row],[FY]],2),4,1)&gt;$P$1-1),'FA Addition'!$J21,0)</f>
        <v>0</v>
      </c>
      <c r="U21" s="117">
        <f>S21*'FA Addition'!$L21/'FA Addition'!$J21</f>
        <v>0</v>
      </c>
      <c r="V21" s="117"/>
      <c r="W21" s="116">
        <f>SUMIFS('FA Write off'!D:D,'FA Write off'!A:A,'FA Addition'!$A21,'FA Write off'!C:C,"&lt;"&amp;'FA Addition'!$P$1)</f>
        <v>0</v>
      </c>
      <c r="X21" s="117"/>
      <c r="Y21" s="191">
        <f>IFERROR(W21/'FA Addition'!$J21*'FA Addition'!$L21,0)</f>
        <v>0</v>
      </c>
      <c r="Z21" s="117"/>
      <c r="AA21" s="116">
        <f>SUMIFS('FA Write off'!D:D,'FA Write off'!A:A,'FA Addition'!$A21,'FA Write off'!C:C,"&lt;"&amp;'FA Addition'!$L$1+1,'FA Write off'!C:C,"&gt;"&amp;'FA Addition'!$L$1-365)</f>
        <v>0</v>
      </c>
      <c r="AB21" s="117"/>
      <c r="AC21" s="118">
        <f>IFERROR(AA21/'FA Addition'!$J21*'FA Addition'!$L21,0)</f>
        <v>0</v>
      </c>
      <c r="AD21" s="117"/>
      <c r="AE21" s="117">
        <f>IF(AND('FA Addition'!$D21&lt;$P$1+1,U21=0),'FA Addition'!$L21,0)-Y21</f>
        <v>695</v>
      </c>
      <c r="AF21" s="117">
        <f t="shared" si="0"/>
        <v>695</v>
      </c>
      <c r="AG21" s="117">
        <f>MIN(MAX(+$P$1-'FA Addition'!$D21,0),365*'FA Addition'!$O21)</f>
        <v>1095</v>
      </c>
      <c r="AH21" s="117">
        <f>MIN(MAX($L$1-'FA Addition'!$D21+1,0),365*'FA Addition'!$O21)</f>
        <v>1095</v>
      </c>
      <c r="AI21" s="117" cm="1">
        <f t="array" ref="AI21">_xlfn.XLOOKUP(1,('FA Write off'!A:A='FA Addition'!$A21)*('FA Write off'!D:D=AA21),'FA Write off'!H:H,0,0)</f>
        <v>0</v>
      </c>
      <c r="AJ21" s="117">
        <f>IF(AC21&gt;0,MAX(IF('FA Addition'!$N21="SLM",($AC21-'FA Addition'!$M21)*'FA Addition'!$P21*AI21/365,(AC21-'FA Addition'!$M21)*(1-(1-'FA Addition'!$P21)^(AI21/365))),0),0)</f>
        <v>0</v>
      </c>
      <c r="AK21" s="119"/>
      <c r="AL21" s="117">
        <f>MAX(IF(AG21&gt;0,IF('FA Addition'!$N21="SLM",($AE21-'FA Addition'!$M21)*'FA Addition'!$P21*AG21/365,IFERROR(VDB(AE21,AE21*0.05,'FA Addition'!$O21,0,YEARFRAC('FA Addition'!$C21,$P$1-1,3),'FA Addition'!$Q21),FAAddition[[#This Row],[Original Cost (Rs)]]-FAAddition[[#This Row],[Salvage Value]])),0),0)</f>
        <v>660</v>
      </c>
      <c r="AM21" s="119"/>
      <c r="AN21" s="117">
        <f>MAX(IF(AH21&gt;0,IF('FA Addition'!$N21="SLM",($AF21-'FA Addition'!$M21)*'FA Addition'!$P21*AH21/365,IFERROR(VDB(AF21,AF21*0.05,'FA Addition'!$O21,0,YEARFRAC('FA Addition'!$C21,$L$1,3),'FA Addition'!$Q21),FAAddition[[#This Row],[Original Cost (Rs)]]-FAAddition[[#This Row],[Salvage Value]])),0),0)</f>
        <v>660</v>
      </c>
      <c r="AO21" s="117">
        <f t="shared" si="3"/>
        <v>0</v>
      </c>
      <c r="AP21" s="117"/>
      <c r="AQ21" s="117">
        <f t="shared" si="1"/>
        <v>35</v>
      </c>
      <c r="AR21" s="120">
        <f t="shared" si="2"/>
        <v>35</v>
      </c>
      <c r="AS21" s="121"/>
    </row>
    <row r="22" spans="1:45" ht="13.5" x14ac:dyDescent="0.4">
      <c r="A22" s="12">
        <f t="shared" si="4"/>
        <v>19</v>
      </c>
      <c r="B22" s="44" t="s">
        <v>439</v>
      </c>
      <c r="C22" s="45">
        <v>42189</v>
      </c>
      <c r="D22" s="45">
        <v>42189</v>
      </c>
      <c r="E22" s="46" t="s">
        <v>451</v>
      </c>
      <c r="F22" s="44" t="s">
        <v>452</v>
      </c>
      <c r="G22" s="44" t="s">
        <v>435</v>
      </c>
      <c r="H22" s="44"/>
      <c r="I22" s="47" t="s">
        <v>460</v>
      </c>
      <c r="J22" s="56">
        <v>1</v>
      </c>
      <c r="K22" s="44"/>
      <c r="L22" s="53">
        <v>1100</v>
      </c>
      <c r="M22" s="50">
        <f>ROUND('FA Addition'!$L22*5%,0.1)</f>
        <v>55</v>
      </c>
      <c r="N22" s="113" t="str">
        <f>_xlfn.XLOOKUP(_xlfn.CONCAT(E22,B22),'Year Wise Master Dep Approach'!F:F,'Year Wise Master Dep Approach'!D:D)</f>
        <v>WDV</v>
      </c>
      <c r="O22" s="113">
        <f>_xlfn.XLOOKUP(_xlfn.CONCAT(E22,B22),'Year Wise Master Dep Approach'!F:F,'Year Wise Master Dep Approach'!E:E)</f>
        <v>3</v>
      </c>
      <c r="P22" s="114">
        <f>IFERROR(IF('FA Addition'!$N22="WDV",1-('FA Addition'!$M22/'FA Addition'!$L22)^(1/'FA Addition'!$O22),1/'FA Addition'!$O22),0)</f>
        <v>0.63159685013596123</v>
      </c>
      <c r="Q22" s="122">
        <f>'FA Addition'!$P22*'FA Addition'!$O22</f>
        <v>1.8947905504078837</v>
      </c>
      <c r="R22" s="122"/>
      <c r="S22" s="116">
        <f>IF(AND(DATE(20&amp;LEFT(FAAddition[[#This Row],[FY]],2),4,1)&lt;$L$1+1,DATE(20&amp;LEFT(FAAddition[[#This Row],[FY]],2),4,1)&gt;$P$1-1),'FA Addition'!$J22,0)</f>
        <v>0</v>
      </c>
      <c r="U22" s="117">
        <f>S22*'FA Addition'!$L22/'FA Addition'!$J22</f>
        <v>0</v>
      </c>
      <c r="V22" s="117"/>
      <c r="W22" s="116">
        <f>SUMIFS('FA Write off'!D:D,'FA Write off'!A:A,'FA Addition'!$A22,'FA Write off'!C:C,"&lt;"&amp;'FA Addition'!$P$1)</f>
        <v>0</v>
      </c>
      <c r="X22" s="117"/>
      <c r="Y22" s="191">
        <f>IFERROR(W22/'FA Addition'!$J22*'FA Addition'!$L22,0)</f>
        <v>0</v>
      </c>
      <c r="Z22" s="117"/>
      <c r="AA22" s="116">
        <f>SUMIFS('FA Write off'!D:D,'FA Write off'!A:A,'FA Addition'!$A22,'FA Write off'!C:C,"&lt;"&amp;'FA Addition'!$L$1+1,'FA Write off'!C:C,"&gt;"&amp;'FA Addition'!$L$1-365)</f>
        <v>0</v>
      </c>
      <c r="AB22" s="117"/>
      <c r="AC22" s="118">
        <f>IFERROR(AA22/'FA Addition'!$J22*'FA Addition'!$L22,0)</f>
        <v>0</v>
      </c>
      <c r="AD22" s="117"/>
      <c r="AE22" s="117">
        <f>IF(AND('FA Addition'!$D22&lt;$P$1+1,U22=0),'FA Addition'!$L22,0)-Y22</f>
        <v>1100</v>
      </c>
      <c r="AF22" s="117">
        <f t="shared" si="0"/>
        <v>1100</v>
      </c>
      <c r="AG22" s="117">
        <f>MIN(MAX(+$P$1-'FA Addition'!$D22,0),365*'FA Addition'!$O22)</f>
        <v>1095</v>
      </c>
      <c r="AH22" s="117">
        <f>MIN(MAX($L$1-'FA Addition'!$D22+1,0),365*'FA Addition'!$O22)</f>
        <v>1095</v>
      </c>
      <c r="AI22" s="117" cm="1">
        <f t="array" ref="AI22">_xlfn.XLOOKUP(1,('FA Write off'!A:A='FA Addition'!$A22)*('FA Write off'!D:D=AA22),'FA Write off'!H:H,0,0)</f>
        <v>0</v>
      </c>
      <c r="AJ22" s="117">
        <f>IF(AC22&gt;0,MAX(IF('FA Addition'!$N22="SLM",($AC22-'FA Addition'!$M22)*'FA Addition'!$P22*AI22/365,(AC22-'FA Addition'!$M22)*(1-(1-'FA Addition'!$P22)^(AI22/365))),0),0)</f>
        <v>0</v>
      </c>
      <c r="AK22" s="119"/>
      <c r="AL22" s="117">
        <f>MAX(IF(AG22&gt;0,IF('FA Addition'!$N22="SLM",($AE22-'FA Addition'!$M22)*'FA Addition'!$P22*AG22/365,IFERROR(VDB(AE22,AE22*0.05,'FA Addition'!$O22,0,YEARFRAC('FA Addition'!$C22,$P$1-1,3),'FA Addition'!$Q22),FAAddition[[#This Row],[Original Cost (Rs)]]-FAAddition[[#This Row],[Salvage Value]])),0),0)</f>
        <v>1045</v>
      </c>
      <c r="AM22" s="119"/>
      <c r="AN22" s="117">
        <f>MAX(IF(AH22&gt;0,IF('FA Addition'!$N22="SLM",($AF22-'FA Addition'!$M22)*'FA Addition'!$P22*AH22/365,IFERROR(VDB(AF22,AF22*0.05,'FA Addition'!$O22,0,YEARFRAC('FA Addition'!$C22,$L$1,3),'FA Addition'!$Q22),FAAddition[[#This Row],[Original Cost (Rs)]]-FAAddition[[#This Row],[Salvage Value]])),0),0)</f>
        <v>1045</v>
      </c>
      <c r="AO22" s="117">
        <f t="shared" si="3"/>
        <v>0</v>
      </c>
      <c r="AP22" s="117"/>
      <c r="AQ22" s="117">
        <f t="shared" si="1"/>
        <v>55</v>
      </c>
      <c r="AR22" s="120">
        <f t="shared" si="2"/>
        <v>55</v>
      </c>
      <c r="AS22" s="121"/>
    </row>
    <row r="23" spans="1:45" ht="13.5" x14ac:dyDescent="0.4">
      <c r="A23" s="12">
        <f t="shared" si="4"/>
        <v>20</v>
      </c>
      <c r="B23" s="44" t="s">
        <v>439</v>
      </c>
      <c r="C23" s="45">
        <v>42202</v>
      </c>
      <c r="D23" s="45">
        <v>42202</v>
      </c>
      <c r="E23" s="46" t="s">
        <v>32</v>
      </c>
      <c r="F23" s="44" t="s">
        <v>32</v>
      </c>
      <c r="G23" s="44" t="s">
        <v>435</v>
      </c>
      <c r="H23" s="44" t="s">
        <v>32</v>
      </c>
      <c r="I23" s="47">
        <v>4647</v>
      </c>
      <c r="J23" s="56">
        <v>1</v>
      </c>
      <c r="K23" s="44"/>
      <c r="L23" s="53">
        <v>4950</v>
      </c>
      <c r="M23" s="50">
        <f>ROUND('FA Addition'!$L23*5%,0.1)</f>
        <v>248</v>
      </c>
      <c r="N23" s="113" t="str">
        <f>_xlfn.XLOOKUP(_xlfn.CONCAT(E23,B23),'Year Wise Master Dep Approach'!F:F,'Year Wise Master Dep Approach'!D:D)</f>
        <v>WDV</v>
      </c>
      <c r="O23" s="113">
        <f>_xlfn.XLOOKUP(_xlfn.CONCAT(E23,B23),'Year Wise Master Dep Approach'!F:F,'Year Wise Master Dep Approach'!E:E)</f>
        <v>3</v>
      </c>
      <c r="P23" s="114">
        <f>IFERROR(IF('FA Addition'!$N23="WDV",1-('FA Addition'!$M23/'FA Addition'!$L23)^(1/'FA Addition'!$O23),1/'FA Addition'!$O23),0)</f>
        <v>0.63134893407872728</v>
      </c>
      <c r="Q23" s="122">
        <f>'FA Addition'!$P23*'FA Addition'!$O23</f>
        <v>1.8940468022361818</v>
      </c>
      <c r="R23" s="122"/>
      <c r="S23" s="116">
        <f>IF(AND(DATE(20&amp;LEFT(FAAddition[[#This Row],[FY]],2),4,1)&lt;$L$1+1,DATE(20&amp;LEFT(FAAddition[[#This Row],[FY]],2),4,1)&gt;$P$1-1),'FA Addition'!$J23,0)</f>
        <v>0</v>
      </c>
      <c r="U23" s="117">
        <f>S23*'FA Addition'!$L23/'FA Addition'!$J23</f>
        <v>0</v>
      </c>
      <c r="V23" s="117"/>
      <c r="W23" s="116">
        <f>SUMIFS('FA Write off'!D:D,'FA Write off'!A:A,'FA Addition'!$A23,'FA Write off'!C:C,"&lt;"&amp;'FA Addition'!$P$1)</f>
        <v>0</v>
      </c>
      <c r="X23" s="117"/>
      <c r="Y23" s="191">
        <f>IFERROR(W23/'FA Addition'!$J23*'FA Addition'!$L23,0)</f>
        <v>0</v>
      </c>
      <c r="Z23" s="117"/>
      <c r="AA23" s="116">
        <f>SUMIFS('FA Write off'!D:D,'FA Write off'!A:A,'FA Addition'!$A23,'FA Write off'!C:C,"&lt;"&amp;'FA Addition'!$L$1+1,'FA Write off'!C:C,"&gt;"&amp;'FA Addition'!$L$1-365)</f>
        <v>0</v>
      </c>
      <c r="AB23" s="117"/>
      <c r="AC23" s="118">
        <f>IFERROR(AA23/'FA Addition'!$J23*'FA Addition'!$L23,0)</f>
        <v>0</v>
      </c>
      <c r="AD23" s="117"/>
      <c r="AE23" s="117">
        <f>IF(AND('FA Addition'!$D23&lt;$P$1+1,U23=0),'FA Addition'!$L23,0)-Y23</f>
        <v>4950</v>
      </c>
      <c r="AF23" s="117">
        <f t="shared" si="0"/>
        <v>4950</v>
      </c>
      <c r="AG23" s="117">
        <f>MIN(MAX(+$P$1-'FA Addition'!$D23,0),365*'FA Addition'!$O23)</f>
        <v>1095</v>
      </c>
      <c r="AH23" s="117">
        <f>MIN(MAX($L$1-'FA Addition'!$D23+1,0),365*'FA Addition'!$O23)</f>
        <v>1095</v>
      </c>
      <c r="AI23" s="117" cm="1">
        <f t="array" ref="AI23">_xlfn.XLOOKUP(1,('FA Write off'!A:A='FA Addition'!$A23)*('FA Write off'!D:D=AA23),'FA Write off'!H:H,0,0)</f>
        <v>0</v>
      </c>
      <c r="AJ23" s="117">
        <f>IF(AC23&gt;0,MAX(IF('FA Addition'!$N23="SLM",($AC23-'FA Addition'!$M23)*'FA Addition'!$P23*AI23/365,(AC23-'FA Addition'!$M23)*(1-(1-'FA Addition'!$P23)^(AI23/365))),0),0)</f>
        <v>0</v>
      </c>
      <c r="AK23" s="119"/>
      <c r="AL23" s="117">
        <f>MAX(IF(AG23&gt;0,IF('FA Addition'!$N23="SLM",($AE23-'FA Addition'!$M23)*'FA Addition'!$P23*AG23/365,IFERROR(VDB(AE23,AE23*0.05,'FA Addition'!$O23,0,YEARFRAC('FA Addition'!$C23,$P$1-1,3),'FA Addition'!$Q23),FAAddition[[#This Row],[Original Cost (Rs)]]-FAAddition[[#This Row],[Salvage Value]])),0),0)</f>
        <v>4702</v>
      </c>
      <c r="AM23" s="119"/>
      <c r="AN23" s="117">
        <f>MAX(IF(AH23&gt;0,IF('FA Addition'!$N23="SLM",($AF23-'FA Addition'!$M23)*'FA Addition'!$P23*AH23/365,IFERROR(VDB(AF23,AF23*0.05,'FA Addition'!$O23,0,YEARFRAC('FA Addition'!$C23,$L$1,3),'FA Addition'!$Q23),FAAddition[[#This Row],[Original Cost (Rs)]]-FAAddition[[#This Row],[Salvage Value]])),0),0)</f>
        <v>4702</v>
      </c>
      <c r="AO23" s="117">
        <f t="shared" si="3"/>
        <v>0</v>
      </c>
      <c r="AP23" s="117"/>
      <c r="AQ23" s="117">
        <f t="shared" si="1"/>
        <v>248</v>
      </c>
      <c r="AR23" s="120">
        <f t="shared" si="2"/>
        <v>248</v>
      </c>
      <c r="AS23" s="121"/>
    </row>
    <row r="24" spans="1:45" ht="13.5" x14ac:dyDescent="0.4">
      <c r="A24" s="12">
        <f t="shared" si="4"/>
        <v>21</v>
      </c>
      <c r="B24" s="44" t="s">
        <v>439</v>
      </c>
      <c r="C24" s="45">
        <v>42202</v>
      </c>
      <c r="D24" s="45">
        <v>42202</v>
      </c>
      <c r="E24" s="46" t="s">
        <v>32</v>
      </c>
      <c r="F24" s="44" t="s">
        <v>32</v>
      </c>
      <c r="G24" s="44" t="s">
        <v>461</v>
      </c>
      <c r="H24" s="44" t="s">
        <v>32</v>
      </c>
      <c r="I24" s="47"/>
      <c r="J24" s="56">
        <v>1</v>
      </c>
      <c r="K24" s="44"/>
      <c r="L24" s="53">
        <v>4714</v>
      </c>
      <c r="M24" s="50">
        <f>ROUND('FA Addition'!$L24*5%,0.1)</f>
        <v>236</v>
      </c>
      <c r="N24" s="113" t="str">
        <f>_xlfn.XLOOKUP(_xlfn.CONCAT(E24,B24),'Year Wise Master Dep Approach'!F:F,'Year Wise Master Dep Approach'!D:D)</f>
        <v>WDV</v>
      </c>
      <c r="O24" s="113">
        <f>_xlfn.XLOOKUP(_xlfn.CONCAT(E24,B24),'Year Wise Master Dep Approach'!F:F,'Year Wise Master Dep Approach'!E:E)</f>
        <v>3</v>
      </c>
      <c r="P24" s="114">
        <f>IFERROR(IF('FA Addition'!$N24="WDV",1-('FA Addition'!$M24/'FA Addition'!$L24)^(1/'FA Addition'!$O24),1/'FA Addition'!$O24),0)</f>
        <v>0.63144061468472024</v>
      </c>
      <c r="Q24" s="122">
        <f>'FA Addition'!$P24*'FA Addition'!$O24</f>
        <v>1.8943218440541607</v>
      </c>
      <c r="R24" s="122"/>
      <c r="S24" s="116">
        <f>IF(AND(DATE(20&amp;LEFT(FAAddition[[#This Row],[FY]],2),4,1)&lt;$L$1+1,DATE(20&amp;LEFT(FAAddition[[#This Row],[FY]],2),4,1)&gt;$P$1-1),'FA Addition'!$J24,0)</f>
        <v>0</v>
      </c>
      <c r="U24" s="117">
        <f>S24*'FA Addition'!$L24/'FA Addition'!$J24</f>
        <v>0</v>
      </c>
      <c r="V24" s="117"/>
      <c r="W24" s="116">
        <f>SUMIFS('FA Write off'!D:D,'FA Write off'!A:A,'FA Addition'!$A24,'FA Write off'!C:C,"&lt;"&amp;'FA Addition'!$P$1)</f>
        <v>0</v>
      </c>
      <c r="X24" s="117"/>
      <c r="Y24" s="191">
        <f>IFERROR(W24/'FA Addition'!$J24*'FA Addition'!$L24,0)</f>
        <v>0</v>
      </c>
      <c r="Z24" s="117"/>
      <c r="AA24" s="116">
        <f>SUMIFS('FA Write off'!D:D,'FA Write off'!A:A,'FA Addition'!$A24,'FA Write off'!C:C,"&lt;"&amp;'FA Addition'!$L$1+1,'FA Write off'!C:C,"&gt;"&amp;'FA Addition'!$L$1-365)</f>
        <v>0</v>
      </c>
      <c r="AB24" s="117"/>
      <c r="AC24" s="118">
        <f>IFERROR(AA24/'FA Addition'!$J24*'FA Addition'!$L24,0)</f>
        <v>0</v>
      </c>
      <c r="AD24" s="117"/>
      <c r="AE24" s="117">
        <f>IF(AND('FA Addition'!$D24&lt;$P$1+1,U24=0),'FA Addition'!$L24,0)-Y24</f>
        <v>4714</v>
      </c>
      <c r="AF24" s="117">
        <f t="shared" si="0"/>
        <v>4714</v>
      </c>
      <c r="AG24" s="117">
        <f>MIN(MAX(+$P$1-'FA Addition'!$D24,0),365*'FA Addition'!$O24)</f>
        <v>1095</v>
      </c>
      <c r="AH24" s="117">
        <f>MIN(MAX($L$1-'FA Addition'!$D24+1,0),365*'FA Addition'!$O24)</f>
        <v>1095</v>
      </c>
      <c r="AI24" s="117" cm="1">
        <f t="array" ref="AI24">_xlfn.XLOOKUP(1,('FA Write off'!A:A='FA Addition'!$A24)*('FA Write off'!D:D=AA24),'FA Write off'!H:H,0,0)</f>
        <v>0</v>
      </c>
      <c r="AJ24" s="117">
        <f>IF(AC24&gt;0,MAX(IF('FA Addition'!$N24="SLM",($AC24-'FA Addition'!$M24)*'FA Addition'!$P24*AI24/365,(AC24-'FA Addition'!$M24)*(1-(1-'FA Addition'!$P24)^(AI24/365))),0),0)</f>
        <v>0</v>
      </c>
      <c r="AK24" s="119"/>
      <c r="AL24" s="117">
        <f>MAX(IF(AG24&gt;0,IF('FA Addition'!$N24="SLM",($AE24-'FA Addition'!$M24)*'FA Addition'!$P24*AG24/365,IFERROR(VDB(AE24,AE24*0.05,'FA Addition'!$O24,0,YEARFRAC('FA Addition'!$C24,$P$1-1,3),'FA Addition'!$Q24),FAAddition[[#This Row],[Original Cost (Rs)]]-FAAddition[[#This Row],[Salvage Value]])),0),0)</f>
        <v>4478</v>
      </c>
      <c r="AM24" s="119"/>
      <c r="AN24" s="117">
        <f>MAX(IF(AH24&gt;0,IF('FA Addition'!$N24="SLM",($AF24-'FA Addition'!$M24)*'FA Addition'!$P24*AH24/365,IFERROR(VDB(AF24,AF24*0.05,'FA Addition'!$O24,0,YEARFRAC('FA Addition'!$C24,$L$1,3),'FA Addition'!$Q24),FAAddition[[#This Row],[Original Cost (Rs)]]-FAAddition[[#This Row],[Salvage Value]])),0),0)</f>
        <v>4478</v>
      </c>
      <c r="AO24" s="117">
        <f t="shared" si="3"/>
        <v>0</v>
      </c>
      <c r="AP24" s="117"/>
      <c r="AQ24" s="117">
        <f t="shared" si="1"/>
        <v>236</v>
      </c>
      <c r="AR24" s="120">
        <f t="shared" si="2"/>
        <v>236</v>
      </c>
      <c r="AS24" s="121"/>
    </row>
    <row r="25" spans="1:45" ht="13.5" x14ac:dyDescent="0.4">
      <c r="A25" s="12">
        <f t="shared" si="4"/>
        <v>22</v>
      </c>
      <c r="B25" s="44" t="s">
        <v>439</v>
      </c>
      <c r="C25" s="45">
        <v>42202</v>
      </c>
      <c r="D25" s="45">
        <v>42202</v>
      </c>
      <c r="E25" s="46" t="s">
        <v>32</v>
      </c>
      <c r="F25" s="44" t="s">
        <v>32</v>
      </c>
      <c r="G25" s="44" t="s">
        <v>462</v>
      </c>
      <c r="H25" s="44" t="s">
        <v>32</v>
      </c>
      <c r="I25" s="47">
        <v>4798</v>
      </c>
      <c r="J25" s="56">
        <v>1</v>
      </c>
      <c r="K25" s="44"/>
      <c r="L25" s="53">
        <v>6930</v>
      </c>
      <c r="M25" s="50">
        <f>ROUND('FA Addition'!$L25*5%,0.1)</f>
        <v>347</v>
      </c>
      <c r="N25" s="113" t="str">
        <f>_xlfn.XLOOKUP(_xlfn.CONCAT(E25,B25),'Year Wise Master Dep Approach'!F:F,'Year Wise Master Dep Approach'!D:D)</f>
        <v>WDV</v>
      </c>
      <c r="O25" s="113">
        <f>_xlfn.XLOOKUP(_xlfn.CONCAT(E25,B25),'Year Wise Master Dep Approach'!F:F,'Year Wise Master Dep Approach'!E:E)</f>
        <v>3</v>
      </c>
      <c r="P25" s="114">
        <f>IFERROR(IF('FA Addition'!$N25="WDV",1-('FA Addition'!$M25/'FA Addition'!$L25)^(1/'FA Addition'!$O25),1/'FA Addition'!$O25),0)</f>
        <v>0.63141973320970235</v>
      </c>
      <c r="Q25" s="122">
        <f>'FA Addition'!$P25*'FA Addition'!$O25</f>
        <v>1.8942591996291069</v>
      </c>
      <c r="R25" s="122"/>
      <c r="S25" s="116">
        <f>IF(AND(DATE(20&amp;LEFT(FAAddition[[#This Row],[FY]],2),4,1)&lt;$L$1+1,DATE(20&amp;LEFT(FAAddition[[#This Row],[FY]],2),4,1)&gt;$P$1-1),'FA Addition'!$J25,0)</f>
        <v>0</v>
      </c>
      <c r="U25" s="117">
        <f>S25*'FA Addition'!$L25/'FA Addition'!$J25</f>
        <v>0</v>
      </c>
      <c r="V25" s="117"/>
      <c r="W25" s="116">
        <f>SUMIFS('FA Write off'!D:D,'FA Write off'!A:A,'FA Addition'!$A25,'FA Write off'!C:C,"&lt;"&amp;'FA Addition'!$P$1)</f>
        <v>0</v>
      </c>
      <c r="X25" s="117"/>
      <c r="Y25" s="191">
        <f>IFERROR(W25/'FA Addition'!$J25*'FA Addition'!$L25,0)</f>
        <v>0</v>
      </c>
      <c r="Z25" s="117"/>
      <c r="AA25" s="116">
        <f>SUMIFS('FA Write off'!D:D,'FA Write off'!A:A,'FA Addition'!$A25,'FA Write off'!C:C,"&lt;"&amp;'FA Addition'!$L$1+1,'FA Write off'!C:C,"&gt;"&amp;'FA Addition'!$L$1-365)</f>
        <v>0</v>
      </c>
      <c r="AB25" s="117"/>
      <c r="AC25" s="118">
        <f>IFERROR(AA25/'FA Addition'!$J25*'FA Addition'!$L25,0)</f>
        <v>0</v>
      </c>
      <c r="AD25" s="117"/>
      <c r="AE25" s="117">
        <f>IF(AND('FA Addition'!$D25&lt;$P$1+1,U25=0),'FA Addition'!$L25,0)-Y25</f>
        <v>6930</v>
      </c>
      <c r="AF25" s="117">
        <f t="shared" si="0"/>
        <v>6930</v>
      </c>
      <c r="AG25" s="117">
        <f>MIN(MAX(+$P$1-'FA Addition'!$D25,0),365*'FA Addition'!$O25)</f>
        <v>1095</v>
      </c>
      <c r="AH25" s="117">
        <f>MIN(MAX($L$1-'FA Addition'!$D25+1,0),365*'FA Addition'!$O25)</f>
        <v>1095</v>
      </c>
      <c r="AI25" s="117" cm="1">
        <f t="array" ref="AI25">_xlfn.XLOOKUP(1,('FA Write off'!A:A='FA Addition'!$A25)*('FA Write off'!D:D=AA25),'FA Write off'!H:H,0,0)</f>
        <v>0</v>
      </c>
      <c r="AJ25" s="117">
        <f>IF(AC25&gt;0,MAX(IF('FA Addition'!$N25="SLM",($AC25-'FA Addition'!$M25)*'FA Addition'!$P25*AI25/365,(AC25-'FA Addition'!$M25)*(1-(1-'FA Addition'!$P25)^(AI25/365))),0),0)</f>
        <v>0</v>
      </c>
      <c r="AK25" s="119"/>
      <c r="AL25" s="117">
        <f>MAX(IF(AG25&gt;0,IF('FA Addition'!$N25="SLM",($AE25-'FA Addition'!$M25)*'FA Addition'!$P25*AG25/365,IFERROR(VDB(AE25,AE25*0.05,'FA Addition'!$O25,0,YEARFRAC('FA Addition'!$C25,$P$1-1,3),'FA Addition'!$Q25),FAAddition[[#This Row],[Original Cost (Rs)]]-FAAddition[[#This Row],[Salvage Value]])),0),0)</f>
        <v>6583</v>
      </c>
      <c r="AM25" s="119"/>
      <c r="AN25" s="117">
        <f>MAX(IF(AH25&gt;0,IF('FA Addition'!$N25="SLM",($AF25-'FA Addition'!$M25)*'FA Addition'!$P25*AH25/365,IFERROR(VDB(AF25,AF25*0.05,'FA Addition'!$O25,0,YEARFRAC('FA Addition'!$C25,$L$1,3),'FA Addition'!$Q25),FAAddition[[#This Row],[Original Cost (Rs)]]-FAAddition[[#This Row],[Salvage Value]])),0),0)</f>
        <v>6583</v>
      </c>
      <c r="AO25" s="117">
        <f t="shared" si="3"/>
        <v>0</v>
      </c>
      <c r="AP25" s="117"/>
      <c r="AQ25" s="117">
        <f t="shared" si="1"/>
        <v>347</v>
      </c>
      <c r="AR25" s="120">
        <f t="shared" si="2"/>
        <v>347</v>
      </c>
      <c r="AS25" s="121"/>
    </row>
    <row r="26" spans="1:45" ht="13.5" x14ac:dyDescent="0.4">
      <c r="A26" s="12">
        <f t="shared" si="4"/>
        <v>23</v>
      </c>
      <c r="B26" s="44" t="s">
        <v>439</v>
      </c>
      <c r="C26" s="45">
        <v>42202</v>
      </c>
      <c r="D26" s="45">
        <v>42202</v>
      </c>
      <c r="E26" s="46" t="s">
        <v>32</v>
      </c>
      <c r="F26" s="44" t="s">
        <v>32</v>
      </c>
      <c r="G26" s="44" t="s">
        <v>450</v>
      </c>
      <c r="H26" s="44" t="s">
        <v>32</v>
      </c>
      <c r="I26" s="47"/>
      <c r="J26" s="56">
        <v>1</v>
      </c>
      <c r="K26" s="44"/>
      <c r="L26" s="53">
        <v>10500</v>
      </c>
      <c r="M26" s="50">
        <f>ROUND('FA Addition'!$L26*5%,0.1)</f>
        <v>525</v>
      </c>
      <c r="N26" s="113" t="str">
        <f>_xlfn.XLOOKUP(_xlfn.CONCAT(E26,B26),'Year Wise Master Dep Approach'!F:F,'Year Wise Master Dep Approach'!D:D)</f>
        <v>WDV</v>
      </c>
      <c r="O26" s="113">
        <f>_xlfn.XLOOKUP(_xlfn.CONCAT(E26,B26),'Year Wise Master Dep Approach'!F:F,'Year Wise Master Dep Approach'!E:E)</f>
        <v>3</v>
      </c>
      <c r="P26" s="114">
        <f>IFERROR(IF('FA Addition'!$N26="WDV",1-('FA Addition'!$M26/'FA Addition'!$L26)^(1/'FA Addition'!$O26),1/'FA Addition'!$O26),0)</f>
        <v>0.63159685013596123</v>
      </c>
      <c r="Q26" s="122">
        <f>'FA Addition'!$P26*'FA Addition'!$O26</f>
        <v>1.8947905504078837</v>
      </c>
      <c r="R26" s="122"/>
      <c r="S26" s="116">
        <f>IF(AND(DATE(20&amp;LEFT(FAAddition[[#This Row],[FY]],2),4,1)&lt;$L$1+1,DATE(20&amp;LEFT(FAAddition[[#This Row],[FY]],2),4,1)&gt;$P$1-1),'FA Addition'!$J26,0)</f>
        <v>0</v>
      </c>
      <c r="U26" s="117">
        <f>S26*'FA Addition'!$L26/'FA Addition'!$J26</f>
        <v>0</v>
      </c>
      <c r="V26" s="117"/>
      <c r="W26" s="116">
        <f>SUMIFS('FA Write off'!D:D,'FA Write off'!A:A,'FA Addition'!$A26,'FA Write off'!C:C,"&lt;"&amp;'FA Addition'!$P$1)</f>
        <v>0</v>
      </c>
      <c r="X26" s="117"/>
      <c r="Y26" s="191">
        <f>IFERROR(W26/'FA Addition'!$J26*'FA Addition'!$L26,0)</f>
        <v>0</v>
      </c>
      <c r="Z26" s="117"/>
      <c r="AA26" s="116">
        <f>SUMIFS('FA Write off'!D:D,'FA Write off'!A:A,'FA Addition'!$A26,'FA Write off'!C:C,"&lt;"&amp;'FA Addition'!$L$1+1,'FA Write off'!C:C,"&gt;"&amp;'FA Addition'!$L$1-365)</f>
        <v>0</v>
      </c>
      <c r="AB26" s="117"/>
      <c r="AC26" s="118">
        <f>IFERROR(AA26/'FA Addition'!$J26*'FA Addition'!$L26,0)</f>
        <v>0</v>
      </c>
      <c r="AD26" s="117"/>
      <c r="AE26" s="117">
        <f>IF(AND('FA Addition'!$D26&lt;$P$1+1,U26=0),'FA Addition'!$L26,0)-Y26</f>
        <v>10500</v>
      </c>
      <c r="AF26" s="117">
        <f t="shared" si="0"/>
        <v>10500</v>
      </c>
      <c r="AG26" s="117">
        <f>MIN(MAX(+$P$1-'FA Addition'!$D26,0),365*'FA Addition'!$O26)</f>
        <v>1095</v>
      </c>
      <c r="AH26" s="117">
        <f>MIN(MAX($L$1-'FA Addition'!$D26+1,0),365*'FA Addition'!$O26)</f>
        <v>1095</v>
      </c>
      <c r="AI26" s="117" cm="1">
        <f t="array" ref="AI26">_xlfn.XLOOKUP(1,('FA Write off'!A:A='FA Addition'!$A26)*('FA Write off'!D:D=AA26),'FA Write off'!H:H,0,0)</f>
        <v>0</v>
      </c>
      <c r="AJ26" s="117">
        <f>IF(AC26&gt;0,MAX(IF('FA Addition'!$N26="SLM",($AC26-'FA Addition'!$M26)*'FA Addition'!$P26*AI26/365,(AC26-'FA Addition'!$M26)*(1-(1-'FA Addition'!$P26)^(AI26/365))),0),0)</f>
        <v>0</v>
      </c>
      <c r="AK26" s="119"/>
      <c r="AL26" s="117">
        <f>MAX(IF(AG26&gt;0,IF('FA Addition'!$N26="SLM",($AE26-'FA Addition'!$M26)*'FA Addition'!$P26*AG26/365,IFERROR(VDB(AE26,AE26*0.05,'FA Addition'!$O26,0,YEARFRAC('FA Addition'!$C26,$P$1-1,3),'FA Addition'!$Q26),FAAddition[[#This Row],[Original Cost (Rs)]]-FAAddition[[#This Row],[Salvage Value]])),0),0)</f>
        <v>9975</v>
      </c>
      <c r="AM26" s="119"/>
      <c r="AN26" s="117">
        <f>MAX(IF(AH26&gt;0,IF('FA Addition'!$N26="SLM",($AF26-'FA Addition'!$M26)*'FA Addition'!$P26*AH26/365,IFERROR(VDB(AF26,AF26*0.05,'FA Addition'!$O26,0,YEARFRAC('FA Addition'!$C26,$L$1,3),'FA Addition'!$Q26),FAAddition[[#This Row],[Original Cost (Rs)]]-FAAddition[[#This Row],[Salvage Value]])),0),0)</f>
        <v>9975</v>
      </c>
      <c r="AO26" s="117">
        <f t="shared" si="3"/>
        <v>0</v>
      </c>
      <c r="AP26" s="117"/>
      <c r="AQ26" s="117">
        <f t="shared" si="1"/>
        <v>525</v>
      </c>
      <c r="AR26" s="120">
        <f t="shared" si="2"/>
        <v>525</v>
      </c>
      <c r="AS26" s="121"/>
    </row>
    <row r="27" spans="1:45" ht="13.5" x14ac:dyDescent="0.4">
      <c r="A27" s="12">
        <f t="shared" si="4"/>
        <v>24</v>
      </c>
      <c r="B27" s="44" t="s">
        <v>439</v>
      </c>
      <c r="C27" s="45">
        <v>42202</v>
      </c>
      <c r="D27" s="45">
        <v>42202</v>
      </c>
      <c r="E27" s="46" t="s">
        <v>32</v>
      </c>
      <c r="F27" s="44" t="s">
        <v>32</v>
      </c>
      <c r="G27" s="44" t="s">
        <v>463</v>
      </c>
      <c r="H27" s="44" t="s">
        <v>32</v>
      </c>
      <c r="I27" s="47" t="s">
        <v>464</v>
      </c>
      <c r="J27" s="48">
        <v>2</v>
      </c>
      <c r="K27" s="44" t="s">
        <v>465</v>
      </c>
      <c r="L27" s="53">
        <v>9084</v>
      </c>
      <c r="M27" s="50">
        <f>ROUND('FA Addition'!$L27*5%,0.1)</f>
        <v>454</v>
      </c>
      <c r="N27" s="113" t="str">
        <f>_xlfn.XLOOKUP(_xlfn.CONCAT(E27,B27),'Year Wise Master Dep Approach'!F:F,'Year Wise Master Dep Approach'!D:D)</f>
        <v>WDV</v>
      </c>
      <c r="O27" s="113">
        <f>_xlfn.XLOOKUP(_xlfn.CONCAT(E27,B27),'Year Wise Master Dep Approach'!F:F,'Year Wise Master Dep Approach'!E:E)</f>
        <v>3</v>
      </c>
      <c r="P27" s="114">
        <f>IFERROR(IF('FA Addition'!$N27="WDV",1-('FA Addition'!$M27/'FA Addition'!$L27)^(1/'FA Addition'!$O27),1/'FA Addition'!$O27),0)</f>
        <v>0.63165093163260799</v>
      </c>
      <c r="Q27" s="122">
        <f>'FA Addition'!$P27*'FA Addition'!$O27</f>
        <v>1.894952794897824</v>
      </c>
      <c r="R27" s="122"/>
      <c r="S27" s="116">
        <f>IF(AND(DATE(20&amp;LEFT(FAAddition[[#This Row],[FY]],2),4,1)&lt;$L$1+1,DATE(20&amp;LEFT(FAAddition[[#This Row],[FY]],2),4,1)&gt;$P$1-1),'FA Addition'!$J27,0)</f>
        <v>0</v>
      </c>
      <c r="U27" s="117">
        <f>S27*'FA Addition'!$L27/'FA Addition'!$J27</f>
        <v>0</v>
      </c>
      <c r="V27" s="117"/>
      <c r="W27" s="116">
        <f>SUMIFS('FA Write off'!D:D,'FA Write off'!A:A,'FA Addition'!$A27,'FA Write off'!C:C,"&lt;"&amp;'FA Addition'!$P$1)</f>
        <v>0</v>
      </c>
      <c r="X27" s="117"/>
      <c r="Y27" s="191">
        <f>IFERROR(W27/'FA Addition'!$J27*'FA Addition'!$L27,0)</f>
        <v>0</v>
      </c>
      <c r="Z27" s="117"/>
      <c r="AA27" s="116">
        <f>SUMIFS('FA Write off'!D:D,'FA Write off'!A:A,'FA Addition'!$A27,'FA Write off'!C:C,"&lt;"&amp;'FA Addition'!$L$1+1,'FA Write off'!C:C,"&gt;"&amp;'FA Addition'!$L$1-365)</f>
        <v>0</v>
      </c>
      <c r="AB27" s="117"/>
      <c r="AC27" s="118">
        <f>IFERROR(AA27/'FA Addition'!$J27*'FA Addition'!$L27,0)</f>
        <v>0</v>
      </c>
      <c r="AD27" s="117"/>
      <c r="AE27" s="117">
        <f>IF(AND('FA Addition'!$D27&lt;$P$1+1,U27=0),'FA Addition'!$L27,0)-Y27</f>
        <v>9084</v>
      </c>
      <c r="AF27" s="117">
        <f t="shared" si="0"/>
        <v>9084</v>
      </c>
      <c r="AG27" s="117">
        <f>MIN(MAX(+$P$1-'FA Addition'!$D27,0),365*'FA Addition'!$O27)</f>
        <v>1095</v>
      </c>
      <c r="AH27" s="117">
        <f>MIN(MAX($L$1-'FA Addition'!$D27+1,0),365*'FA Addition'!$O27)</f>
        <v>1095</v>
      </c>
      <c r="AI27" s="117" cm="1">
        <f t="array" ref="AI27">_xlfn.XLOOKUP(1,('FA Write off'!A:A='FA Addition'!$A27)*('FA Write off'!D:D=AA27),'FA Write off'!H:H,0,0)</f>
        <v>0</v>
      </c>
      <c r="AJ27" s="117">
        <f>IF(AC27&gt;0,MAX(IF('FA Addition'!$N27="SLM",($AC27-'FA Addition'!$M27)*'FA Addition'!$P27*AI27/365,(AC27-'FA Addition'!$M27)*(1-(1-'FA Addition'!$P27)^(AI27/365))),0),0)</f>
        <v>0</v>
      </c>
      <c r="AK27" s="119"/>
      <c r="AL27" s="117">
        <f>MAX(IF(AG27&gt;0,IF('FA Addition'!$N27="SLM",($AE27-'FA Addition'!$M27)*'FA Addition'!$P27*AG27/365,IFERROR(VDB(AE27,AE27*0.05,'FA Addition'!$O27,0,YEARFRAC('FA Addition'!$C27,$P$1-1,3),'FA Addition'!$Q27),FAAddition[[#This Row],[Original Cost (Rs)]]-FAAddition[[#This Row],[Salvage Value]])),0),0)</f>
        <v>8630</v>
      </c>
      <c r="AM27" s="119"/>
      <c r="AN27" s="117">
        <f>MAX(IF(AH27&gt;0,IF('FA Addition'!$N27="SLM",($AF27-'FA Addition'!$M27)*'FA Addition'!$P27*AH27/365,IFERROR(VDB(AF27,AF27*0.05,'FA Addition'!$O27,0,YEARFRAC('FA Addition'!$C27,$L$1,3),'FA Addition'!$Q27),FAAddition[[#This Row],[Original Cost (Rs)]]-FAAddition[[#This Row],[Salvage Value]])),0),0)</f>
        <v>8630</v>
      </c>
      <c r="AO27" s="117">
        <f t="shared" si="3"/>
        <v>0</v>
      </c>
      <c r="AP27" s="117"/>
      <c r="AQ27" s="117">
        <f t="shared" si="1"/>
        <v>454</v>
      </c>
      <c r="AR27" s="120">
        <f t="shared" si="2"/>
        <v>454</v>
      </c>
      <c r="AS27" s="121"/>
    </row>
    <row r="28" spans="1:45" ht="13.5" x14ac:dyDescent="0.4">
      <c r="A28" s="12">
        <f t="shared" si="4"/>
        <v>25</v>
      </c>
      <c r="B28" s="44" t="s">
        <v>439</v>
      </c>
      <c r="C28" s="45">
        <v>42202</v>
      </c>
      <c r="D28" s="45">
        <v>42202</v>
      </c>
      <c r="E28" s="46" t="s">
        <v>32</v>
      </c>
      <c r="F28" s="44" t="s">
        <v>32</v>
      </c>
      <c r="G28" s="44" t="s">
        <v>462</v>
      </c>
      <c r="H28" s="44" t="s">
        <v>32</v>
      </c>
      <c r="I28" s="47" t="s">
        <v>466</v>
      </c>
      <c r="J28" s="56">
        <v>1</v>
      </c>
      <c r="K28" s="44"/>
      <c r="L28" s="53">
        <v>4544</v>
      </c>
      <c r="M28" s="50">
        <f>ROUND('FA Addition'!$L28*5%,0.1)</f>
        <v>227</v>
      </c>
      <c r="N28" s="113" t="str">
        <f>_xlfn.XLOOKUP(_xlfn.CONCAT(E28,B28),'Year Wise Master Dep Approach'!F:F,'Year Wise Master Dep Approach'!D:D)</f>
        <v>WDV</v>
      </c>
      <c r="O28" s="113">
        <f>_xlfn.XLOOKUP(_xlfn.CONCAT(E28,B28),'Year Wise Master Dep Approach'!F:F,'Year Wise Master Dep Approach'!E:E)</f>
        <v>3</v>
      </c>
      <c r="P28" s="114">
        <f>IFERROR(IF('FA Addition'!$N28="WDV",1-('FA Addition'!$M28/'FA Addition'!$L28)^(1/'FA Addition'!$O28),1/'FA Addition'!$O28),0)</f>
        <v>0.63170498138662934</v>
      </c>
      <c r="Q28" s="122">
        <f>'FA Addition'!$P28*'FA Addition'!$O28</f>
        <v>1.895114944159888</v>
      </c>
      <c r="R28" s="122"/>
      <c r="S28" s="116">
        <f>IF(AND(DATE(20&amp;LEFT(FAAddition[[#This Row],[FY]],2),4,1)&lt;$L$1+1,DATE(20&amp;LEFT(FAAddition[[#This Row],[FY]],2),4,1)&gt;$P$1-1),'FA Addition'!$J28,0)</f>
        <v>0</v>
      </c>
      <c r="U28" s="117">
        <f>S28*'FA Addition'!$L28/'FA Addition'!$J28</f>
        <v>0</v>
      </c>
      <c r="V28" s="119"/>
      <c r="W28" s="116">
        <f>SUMIFS('FA Write off'!D:D,'FA Write off'!A:A,'FA Addition'!$A28,'FA Write off'!C:C,"&lt;"&amp;'FA Addition'!$P$1)</f>
        <v>0</v>
      </c>
      <c r="X28" s="119"/>
      <c r="Y28" s="191">
        <f>IFERROR(W28/'FA Addition'!$J28*'FA Addition'!$L28,0)</f>
        <v>0</v>
      </c>
      <c r="Z28" s="119"/>
      <c r="AA28" s="116">
        <f>SUMIFS('FA Write off'!D:D,'FA Write off'!A:A,'FA Addition'!$A28,'FA Write off'!C:C,"&lt;"&amp;'FA Addition'!$L$1+1,'FA Write off'!C:C,"&gt;"&amp;'FA Addition'!$L$1-365)</f>
        <v>0</v>
      </c>
      <c r="AB28" s="119"/>
      <c r="AC28" s="118">
        <f>IFERROR(AA28/'FA Addition'!$J28*'FA Addition'!$L28,0)</f>
        <v>0</v>
      </c>
      <c r="AD28" s="119"/>
      <c r="AE28" s="117">
        <f>IF(AND('FA Addition'!$D28&lt;$P$1+1,U28=0),'FA Addition'!$L28,0)-Y28</f>
        <v>4544</v>
      </c>
      <c r="AF28" s="117">
        <f t="shared" si="0"/>
        <v>4544</v>
      </c>
      <c r="AG28" s="117">
        <f>MIN(MAX(+$P$1-'FA Addition'!$D28,0),365*'FA Addition'!$O28)</f>
        <v>1095</v>
      </c>
      <c r="AH28" s="117">
        <f>MIN(MAX($L$1-'FA Addition'!$D28+1,0),365*'FA Addition'!$O28)</f>
        <v>1095</v>
      </c>
      <c r="AI28" s="117" cm="1">
        <f t="array" ref="AI28">_xlfn.XLOOKUP(1,('FA Write off'!A:A='FA Addition'!$A28)*('FA Write off'!D:D=AA28),'FA Write off'!H:H,0,0)</f>
        <v>0</v>
      </c>
      <c r="AJ28" s="117">
        <f>IF(AC28&gt;0,MAX(IF('FA Addition'!$N28="SLM",($AC28-'FA Addition'!$M28)*'FA Addition'!$P28*AI28/365,(AC28-'FA Addition'!$M28)*(1-(1-'FA Addition'!$P28)^(AI28/365))),0),0)</f>
        <v>0</v>
      </c>
      <c r="AK28" s="119"/>
      <c r="AL28" s="117">
        <f>MAX(IF(AG28&gt;0,IF('FA Addition'!$N28="SLM",($AE28-'FA Addition'!$M28)*'FA Addition'!$P28*AG28/365,IFERROR(VDB(AE28,AE28*0.05,'FA Addition'!$O28,0,YEARFRAC('FA Addition'!$C28,$P$1-1,3),'FA Addition'!$Q28),FAAddition[[#This Row],[Original Cost (Rs)]]-FAAddition[[#This Row],[Salvage Value]])),0),0)</f>
        <v>4317</v>
      </c>
      <c r="AM28" s="119"/>
      <c r="AN28" s="117">
        <f>MAX(IF(AH28&gt;0,IF('FA Addition'!$N28="SLM",($AF28-'FA Addition'!$M28)*'FA Addition'!$P28*AH28/365,IFERROR(VDB(AF28,AF28*0.05,'FA Addition'!$O28,0,YEARFRAC('FA Addition'!$C28,$L$1,3),'FA Addition'!$Q28),FAAddition[[#This Row],[Original Cost (Rs)]]-FAAddition[[#This Row],[Salvage Value]])),0),0)</f>
        <v>4317</v>
      </c>
      <c r="AO28" s="117">
        <f t="shared" si="3"/>
        <v>0</v>
      </c>
      <c r="AP28" s="119"/>
      <c r="AQ28" s="117">
        <f t="shared" si="1"/>
        <v>227</v>
      </c>
      <c r="AR28" s="120">
        <f t="shared" si="2"/>
        <v>227</v>
      </c>
      <c r="AS28" s="121"/>
    </row>
    <row r="29" spans="1:45" ht="13.5" x14ac:dyDescent="0.4">
      <c r="A29" s="12">
        <f t="shared" si="4"/>
        <v>26</v>
      </c>
      <c r="B29" s="44" t="s">
        <v>439</v>
      </c>
      <c r="C29" s="45">
        <v>42202</v>
      </c>
      <c r="D29" s="45">
        <v>42202</v>
      </c>
      <c r="E29" s="46" t="s">
        <v>32</v>
      </c>
      <c r="F29" s="44" t="s">
        <v>32</v>
      </c>
      <c r="G29" s="44" t="s">
        <v>462</v>
      </c>
      <c r="H29" s="44" t="s">
        <v>32</v>
      </c>
      <c r="I29" s="47" t="s">
        <v>467</v>
      </c>
      <c r="J29" s="56">
        <v>1</v>
      </c>
      <c r="K29" s="44"/>
      <c r="L29" s="53">
        <v>4539</v>
      </c>
      <c r="M29" s="50">
        <f>ROUND('FA Addition'!$L29*5%,0.1)</f>
        <v>227</v>
      </c>
      <c r="N29" s="113" t="str">
        <f>_xlfn.XLOOKUP(_xlfn.CONCAT(E29,B29),'Year Wise Master Dep Approach'!F:F,'Year Wise Master Dep Approach'!D:D)</f>
        <v>WDV</v>
      </c>
      <c r="O29" s="113">
        <f>_xlfn.XLOOKUP(_xlfn.CONCAT(E29,B29),'Year Wise Master Dep Approach'!F:F,'Year Wise Master Dep Approach'!E:E)</f>
        <v>3</v>
      </c>
      <c r="P29" s="114">
        <f>IFERROR(IF('FA Addition'!$N29="WDV",1-('FA Addition'!$M29/'FA Addition'!$L29)^(1/'FA Addition'!$O29),1/'FA Addition'!$O29),0)</f>
        <v>0.63156979747395603</v>
      </c>
      <c r="Q29" s="122">
        <f>'FA Addition'!$P29*'FA Addition'!$O29</f>
        <v>1.8947093924218681</v>
      </c>
      <c r="R29" s="122"/>
      <c r="S29" s="116">
        <f>IF(AND(DATE(20&amp;LEFT(FAAddition[[#This Row],[FY]],2),4,1)&lt;$L$1+1,DATE(20&amp;LEFT(FAAddition[[#This Row],[FY]],2),4,1)&gt;$P$1-1),'FA Addition'!$J29,0)</f>
        <v>0</v>
      </c>
      <c r="U29" s="117">
        <f>S29*'FA Addition'!$L29/'FA Addition'!$J29</f>
        <v>0</v>
      </c>
      <c r="V29" s="119"/>
      <c r="W29" s="116">
        <f>SUMIFS('FA Write off'!D:D,'FA Write off'!A:A,'FA Addition'!$A29,'FA Write off'!C:C,"&lt;"&amp;'FA Addition'!$P$1)</f>
        <v>0</v>
      </c>
      <c r="X29" s="119"/>
      <c r="Y29" s="191">
        <f>IFERROR(W29/'FA Addition'!$J29*'FA Addition'!$L29,0)</f>
        <v>0</v>
      </c>
      <c r="Z29" s="119"/>
      <c r="AA29" s="116">
        <f>SUMIFS('FA Write off'!D:D,'FA Write off'!A:A,'FA Addition'!$A29,'FA Write off'!C:C,"&lt;"&amp;'FA Addition'!$L$1+1,'FA Write off'!C:C,"&gt;"&amp;'FA Addition'!$L$1-365)</f>
        <v>0</v>
      </c>
      <c r="AB29" s="119"/>
      <c r="AC29" s="118">
        <f>IFERROR(AA29/'FA Addition'!$J29*'FA Addition'!$L29,0)</f>
        <v>0</v>
      </c>
      <c r="AD29" s="119"/>
      <c r="AE29" s="117">
        <f>IF(AND('FA Addition'!$D29&lt;$P$1+1,U29=0),'FA Addition'!$L29,0)-Y29</f>
        <v>4539</v>
      </c>
      <c r="AF29" s="117">
        <f t="shared" si="0"/>
        <v>4539</v>
      </c>
      <c r="AG29" s="117">
        <f>MIN(MAX(+$P$1-'FA Addition'!$D29,0),365*'FA Addition'!$O29)</f>
        <v>1095</v>
      </c>
      <c r="AH29" s="117">
        <f>MIN(MAX($L$1-'FA Addition'!$D29+1,0),365*'FA Addition'!$O29)</f>
        <v>1095</v>
      </c>
      <c r="AI29" s="117" cm="1">
        <f t="array" ref="AI29">_xlfn.XLOOKUP(1,('FA Write off'!A:A='FA Addition'!$A29)*('FA Write off'!D:D=AA29),'FA Write off'!H:H,0,0)</f>
        <v>0</v>
      </c>
      <c r="AJ29" s="117">
        <f>IF(AC29&gt;0,MAX(IF('FA Addition'!$N29="SLM",($AC29-'FA Addition'!$M29)*'FA Addition'!$P29*AI29/365,(AC29-'FA Addition'!$M29)*(1-(1-'FA Addition'!$P29)^(AI29/365))),0),0)</f>
        <v>0</v>
      </c>
      <c r="AK29" s="119"/>
      <c r="AL29" s="117">
        <f>MAX(IF(AG29&gt;0,IF('FA Addition'!$N29="SLM",($AE29-'FA Addition'!$M29)*'FA Addition'!$P29*AG29/365,IFERROR(VDB(AE29,AE29*0.05,'FA Addition'!$O29,0,YEARFRAC('FA Addition'!$C29,$P$1-1,3),'FA Addition'!$Q29),FAAddition[[#This Row],[Original Cost (Rs)]]-FAAddition[[#This Row],[Salvage Value]])),0),0)</f>
        <v>4312</v>
      </c>
      <c r="AM29" s="119"/>
      <c r="AN29" s="117">
        <f>MAX(IF(AH29&gt;0,IF('FA Addition'!$N29="SLM",($AF29-'FA Addition'!$M29)*'FA Addition'!$P29*AH29/365,IFERROR(VDB(AF29,AF29*0.05,'FA Addition'!$O29,0,YEARFRAC('FA Addition'!$C29,$L$1,3),'FA Addition'!$Q29),FAAddition[[#This Row],[Original Cost (Rs)]]-FAAddition[[#This Row],[Salvage Value]])),0),0)</f>
        <v>4312</v>
      </c>
      <c r="AO29" s="117">
        <f t="shared" si="3"/>
        <v>0</v>
      </c>
      <c r="AP29" s="119"/>
      <c r="AQ29" s="117">
        <f t="shared" si="1"/>
        <v>227</v>
      </c>
      <c r="AR29" s="120">
        <f t="shared" si="2"/>
        <v>227</v>
      </c>
      <c r="AS29" s="121"/>
    </row>
    <row r="30" spans="1:45" ht="13.5" x14ac:dyDescent="0.4">
      <c r="A30" s="12">
        <f t="shared" si="4"/>
        <v>27</v>
      </c>
      <c r="B30" s="44" t="s">
        <v>439</v>
      </c>
      <c r="C30" s="45">
        <v>42202</v>
      </c>
      <c r="D30" s="45">
        <v>42202</v>
      </c>
      <c r="E30" s="46" t="s">
        <v>32</v>
      </c>
      <c r="F30" s="44" t="s">
        <v>32</v>
      </c>
      <c r="G30" s="44" t="s">
        <v>435</v>
      </c>
      <c r="H30" s="44" t="s">
        <v>32</v>
      </c>
      <c r="I30" s="47">
        <v>4957</v>
      </c>
      <c r="J30" s="56">
        <v>1</v>
      </c>
      <c r="K30" s="44"/>
      <c r="L30" s="53">
        <v>1980</v>
      </c>
      <c r="M30" s="50">
        <f>ROUND('FA Addition'!$L30*5%,0.1)</f>
        <v>99</v>
      </c>
      <c r="N30" s="113" t="str">
        <f>_xlfn.XLOOKUP(_xlfn.CONCAT(E30,B30),'Year Wise Master Dep Approach'!F:F,'Year Wise Master Dep Approach'!D:D)</f>
        <v>WDV</v>
      </c>
      <c r="O30" s="113">
        <f>_xlfn.XLOOKUP(_xlfn.CONCAT(E30,B30),'Year Wise Master Dep Approach'!F:F,'Year Wise Master Dep Approach'!E:E)</f>
        <v>3</v>
      </c>
      <c r="P30" s="114">
        <f>IFERROR(IF('FA Addition'!$N30="WDV",1-('FA Addition'!$M30/'FA Addition'!$L30)^(1/'FA Addition'!$O30),1/'FA Addition'!$O30),0)</f>
        <v>0.63159685013596123</v>
      </c>
      <c r="Q30" s="122">
        <f>'FA Addition'!$P30*'FA Addition'!$O30</f>
        <v>1.8947905504078837</v>
      </c>
      <c r="R30" s="122"/>
      <c r="S30" s="116">
        <f>IF(AND(DATE(20&amp;LEFT(FAAddition[[#This Row],[FY]],2),4,1)&lt;$L$1+1,DATE(20&amp;LEFT(FAAddition[[#This Row],[FY]],2),4,1)&gt;$P$1-1),'FA Addition'!$J30,0)</f>
        <v>0</v>
      </c>
      <c r="U30" s="117">
        <f>S30*'FA Addition'!$L30/'FA Addition'!$J30</f>
        <v>0</v>
      </c>
      <c r="V30" s="119"/>
      <c r="W30" s="116">
        <f>SUMIFS('FA Write off'!D:D,'FA Write off'!A:A,'FA Addition'!$A30,'FA Write off'!C:C,"&lt;"&amp;'FA Addition'!$P$1)</f>
        <v>0</v>
      </c>
      <c r="X30" s="119"/>
      <c r="Y30" s="191">
        <f>IFERROR(W30/'FA Addition'!$J30*'FA Addition'!$L30,0)</f>
        <v>0</v>
      </c>
      <c r="Z30" s="119"/>
      <c r="AA30" s="116">
        <f>SUMIFS('FA Write off'!D:D,'FA Write off'!A:A,'FA Addition'!$A30,'FA Write off'!C:C,"&lt;"&amp;'FA Addition'!$L$1+1,'FA Write off'!C:C,"&gt;"&amp;'FA Addition'!$L$1-365)</f>
        <v>0</v>
      </c>
      <c r="AB30" s="119"/>
      <c r="AC30" s="118">
        <f>IFERROR(AA30/'FA Addition'!$J30*'FA Addition'!$L30,0)</f>
        <v>0</v>
      </c>
      <c r="AD30" s="119"/>
      <c r="AE30" s="117">
        <f>IF(AND('FA Addition'!$D30&lt;$P$1+1,U30=0),'FA Addition'!$L30,0)-Y30</f>
        <v>1980</v>
      </c>
      <c r="AF30" s="117">
        <f t="shared" si="0"/>
        <v>1980</v>
      </c>
      <c r="AG30" s="117">
        <f>MIN(MAX(+$P$1-'FA Addition'!$D30,0),365*'FA Addition'!$O30)</f>
        <v>1095</v>
      </c>
      <c r="AH30" s="117">
        <f>MIN(MAX($L$1-'FA Addition'!$D30+1,0),365*'FA Addition'!$O30)</f>
        <v>1095</v>
      </c>
      <c r="AI30" s="117" cm="1">
        <f t="array" ref="AI30">_xlfn.XLOOKUP(1,('FA Write off'!A:A='FA Addition'!$A30)*('FA Write off'!D:D=AA30),'FA Write off'!H:H,0,0)</f>
        <v>0</v>
      </c>
      <c r="AJ30" s="117">
        <f>IF(AC30&gt;0,MAX(IF('FA Addition'!$N30="SLM",($AC30-'FA Addition'!$M30)*'FA Addition'!$P30*AI30/365,(AC30-'FA Addition'!$M30)*(1-(1-'FA Addition'!$P30)^(AI30/365))),0),0)</f>
        <v>0</v>
      </c>
      <c r="AK30" s="119"/>
      <c r="AL30" s="117">
        <f>MAX(IF(AG30&gt;0,IF('FA Addition'!$N30="SLM",($AE30-'FA Addition'!$M30)*'FA Addition'!$P30*AG30/365,IFERROR(VDB(AE30,AE30*0.05,'FA Addition'!$O30,0,YEARFRAC('FA Addition'!$C30,$P$1-1,3),'FA Addition'!$Q30),FAAddition[[#This Row],[Original Cost (Rs)]]-FAAddition[[#This Row],[Salvage Value]])),0),0)</f>
        <v>1881</v>
      </c>
      <c r="AM30" s="119"/>
      <c r="AN30" s="117">
        <f>MAX(IF(AH30&gt;0,IF('FA Addition'!$N30="SLM",($AF30-'FA Addition'!$M30)*'FA Addition'!$P30*AH30/365,IFERROR(VDB(AF30,AF30*0.05,'FA Addition'!$O30,0,YEARFRAC('FA Addition'!$C30,$L$1,3),'FA Addition'!$Q30),FAAddition[[#This Row],[Original Cost (Rs)]]-FAAddition[[#This Row],[Salvage Value]])),0),0)</f>
        <v>1881</v>
      </c>
      <c r="AO30" s="117">
        <f t="shared" si="3"/>
        <v>0</v>
      </c>
      <c r="AP30" s="119"/>
      <c r="AQ30" s="117">
        <f t="shared" si="1"/>
        <v>99</v>
      </c>
      <c r="AR30" s="120">
        <f t="shared" si="2"/>
        <v>99</v>
      </c>
      <c r="AS30" s="121"/>
    </row>
    <row r="31" spans="1:45" ht="13.5" x14ac:dyDescent="0.4">
      <c r="A31" s="12">
        <f t="shared" si="4"/>
        <v>28</v>
      </c>
      <c r="B31" s="44" t="s">
        <v>439</v>
      </c>
      <c r="C31" s="45">
        <v>42202</v>
      </c>
      <c r="D31" s="45">
        <v>42202</v>
      </c>
      <c r="E31" s="46" t="s">
        <v>32</v>
      </c>
      <c r="F31" s="44" t="s">
        <v>32</v>
      </c>
      <c r="G31" s="44" t="s">
        <v>435</v>
      </c>
      <c r="H31" s="44" t="s">
        <v>32</v>
      </c>
      <c r="I31" s="47" t="s">
        <v>468</v>
      </c>
      <c r="J31" s="56">
        <v>1</v>
      </c>
      <c r="K31" s="44"/>
      <c r="L31" s="53">
        <v>4726</v>
      </c>
      <c r="M31" s="50">
        <f>ROUND('FA Addition'!$L31*5%,0.1)</f>
        <v>236</v>
      </c>
      <c r="N31" s="113" t="str">
        <f>_xlfn.XLOOKUP(_xlfn.CONCAT(E31,B31),'Year Wise Master Dep Approach'!F:F,'Year Wise Master Dep Approach'!D:D)</f>
        <v>WDV</v>
      </c>
      <c r="O31" s="113">
        <f>_xlfn.XLOOKUP(_xlfn.CONCAT(E31,B31),'Year Wise Master Dep Approach'!F:F,'Year Wise Master Dep Approach'!E:E)</f>
        <v>3</v>
      </c>
      <c r="P31" s="114">
        <f>IFERROR(IF('FA Addition'!$N31="WDV",1-('FA Addition'!$M31/'FA Addition'!$L31)^(1/'FA Addition'!$O31),1/'FA Addition'!$O31),0)</f>
        <v>0.63175282100551922</v>
      </c>
      <c r="Q31" s="122">
        <f>'FA Addition'!$P31*'FA Addition'!$O31</f>
        <v>1.8952584630165576</v>
      </c>
      <c r="R31" s="122"/>
      <c r="S31" s="116">
        <f>IF(AND(DATE(20&amp;LEFT(FAAddition[[#This Row],[FY]],2),4,1)&lt;$L$1+1,DATE(20&amp;LEFT(FAAddition[[#This Row],[FY]],2),4,1)&gt;$P$1-1),'FA Addition'!$J31,0)</f>
        <v>0</v>
      </c>
      <c r="U31" s="117">
        <f>S31*'FA Addition'!$L31/'FA Addition'!$J31</f>
        <v>0</v>
      </c>
      <c r="V31" s="119"/>
      <c r="W31" s="116">
        <f>SUMIFS('FA Write off'!D:D,'FA Write off'!A:A,'FA Addition'!$A31,'FA Write off'!C:C,"&lt;"&amp;'FA Addition'!$P$1)</f>
        <v>0</v>
      </c>
      <c r="X31" s="119"/>
      <c r="Y31" s="191">
        <f>IFERROR(W31/'FA Addition'!$J31*'FA Addition'!$L31,0)</f>
        <v>0</v>
      </c>
      <c r="Z31" s="119"/>
      <c r="AA31" s="116">
        <f>SUMIFS('FA Write off'!D:D,'FA Write off'!A:A,'FA Addition'!$A31,'FA Write off'!C:C,"&lt;"&amp;'FA Addition'!$L$1+1,'FA Write off'!C:C,"&gt;"&amp;'FA Addition'!$L$1-365)</f>
        <v>0</v>
      </c>
      <c r="AB31" s="119"/>
      <c r="AC31" s="118">
        <f>IFERROR(AA31/'FA Addition'!$J31*'FA Addition'!$L31,0)</f>
        <v>0</v>
      </c>
      <c r="AD31" s="119"/>
      <c r="AE31" s="117">
        <f>IF(AND('FA Addition'!$D31&lt;$P$1+1,U31=0),'FA Addition'!$L31,0)-Y31</f>
        <v>4726</v>
      </c>
      <c r="AF31" s="117">
        <f t="shared" si="0"/>
        <v>4726</v>
      </c>
      <c r="AG31" s="117">
        <f>MIN(MAX(+$P$1-'FA Addition'!$D31,0),365*'FA Addition'!$O31)</f>
        <v>1095</v>
      </c>
      <c r="AH31" s="117">
        <f>MIN(MAX($L$1-'FA Addition'!$D31+1,0),365*'FA Addition'!$O31)</f>
        <v>1095</v>
      </c>
      <c r="AI31" s="117" cm="1">
        <f t="array" ref="AI31">_xlfn.XLOOKUP(1,('FA Write off'!A:A='FA Addition'!$A31)*('FA Write off'!D:D=AA31),'FA Write off'!H:H,0,0)</f>
        <v>0</v>
      </c>
      <c r="AJ31" s="117">
        <f>IF(AC31&gt;0,MAX(IF('FA Addition'!$N31="SLM",($AC31-'FA Addition'!$M31)*'FA Addition'!$P31*AI31/365,(AC31-'FA Addition'!$M31)*(1-(1-'FA Addition'!$P31)^(AI31/365))),0),0)</f>
        <v>0</v>
      </c>
      <c r="AK31" s="119"/>
      <c r="AL31" s="117">
        <f>MAX(IF(AG31&gt;0,IF('FA Addition'!$N31="SLM",($AE31-'FA Addition'!$M31)*'FA Addition'!$P31*AG31/365,IFERROR(VDB(AE31,AE31*0.05,'FA Addition'!$O31,0,YEARFRAC('FA Addition'!$C31,$P$1-1,3),'FA Addition'!$Q31),FAAddition[[#This Row],[Original Cost (Rs)]]-FAAddition[[#This Row],[Salvage Value]])),0),0)</f>
        <v>4490</v>
      </c>
      <c r="AM31" s="119"/>
      <c r="AN31" s="117">
        <f>MAX(IF(AH31&gt;0,IF('FA Addition'!$N31="SLM",($AF31-'FA Addition'!$M31)*'FA Addition'!$P31*AH31/365,IFERROR(VDB(AF31,AF31*0.05,'FA Addition'!$O31,0,YEARFRAC('FA Addition'!$C31,$L$1,3),'FA Addition'!$Q31),FAAddition[[#This Row],[Original Cost (Rs)]]-FAAddition[[#This Row],[Salvage Value]])),0),0)</f>
        <v>4490</v>
      </c>
      <c r="AO31" s="117">
        <f t="shared" si="3"/>
        <v>0</v>
      </c>
      <c r="AP31" s="119"/>
      <c r="AQ31" s="117">
        <f t="shared" si="1"/>
        <v>236</v>
      </c>
      <c r="AR31" s="120">
        <f t="shared" si="2"/>
        <v>236</v>
      </c>
      <c r="AS31" s="121"/>
    </row>
    <row r="32" spans="1:45" ht="13.5" x14ac:dyDescent="0.4">
      <c r="A32" s="12">
        <f t="shared" si="4"/>
        <v>29</v>
      </c>
      <c r="B32" s="51" t="s">
        <v>439</v>
      </c>
      <c r="C32" s="54">
        <v>42202</v>
      </c>
      <c r="D32" s="54">
        <v>42202</v>
      </c>
      <c r="E32" s="46" t="s">
        <v>32</v>
      </c>
      <c r="F32" s="51" t="s">
        <v>32</v>
      </c>
      <c r="G32" s="51" t="s">
        <v>462</v>
      </c>
      <c r="H32" s="51" t="s">
        <v>32</v>
      </c>
      <c r="I32" s="55" t="s">
        <v>469</v>
      </c>
      <c r="J32" s="56">
        <v>1</v>
      </c>
      <c r="K32" s="51"/>
      <c r="L32" s="53">
        <v>4726</v>
      </c>
      <c r="M32" s="50">
        <f>ROUND('FA Addition'!$L32*5%,0.1)</f>
        <v>236</v>
      </c>
      <c r="N32" s="113" t="str">
        <f>_xlfn.XLOOKUP(_xlfn.CONCAT(E32,B32),'Year Wise Master Dep Approach'!F:F,'Year Wise Master Dep Approach'!D:D)</f>
        <v>WDV</v>
      </c>
      <c r="O32" s="113">
        <f>_xlfn.XLOOKUP(_xlfn.CONCAT(E32,B32),'Year Wise Master Dep Approach'!F:F,'Year Wise Master Dep Approach'!E:E)</f>
        <v>3</v>
      </c>
      <c r="P32" s="114">
        <f>IFERROR(IF('FA Addition'!$N32="WDV",1-('FA Addition'!$M32/'FA Addition'!$L32)^(1/'FA Addition'!$O32),1/'FA Addition'!$O32),0)</f>
        <v>0.63175282100551922</v>
      </c>
      <c r="Q32" s="122">
        <f>'FA Addition'!$P32*'FA Addition'!$O32</f>
        <v>1.8952584630165576</v>
      </c>
      <c r="R32" s="122"/>
      <c r="S32" s="116">
        <f>IF(AND(DATE(20&amp;LEFT(FAAddition[[#This Row],[FY]],2),4,1)&lt;$L$1+1,DATE(20&amp;LEFT(FAAddition[[#This Row],[FY]],2),4,1)&gt;$P$1-1),'FA Addition'!$J32,0)</f>
        <v>0</v>
      </c>
      <c r="U32" s="117">
        <f>S32*'FA Addition'!$L32/'FA Addition'!$J32</f>
        <v>0</v>
      </c>
      <c r="W32" s="116">
        <f>SUMIFS('FA Write off'!D:D,'FA Write off'!A:A,'FA Addition'!$A32,'FA Write off'!C:C,"&lt;"&amp;'FA Addition'!$P$1)</f>
        <v>0</v>
      </c>
      <c r="Y32" s="191">
        <f>IFERROR(W32/'FA Addition'!$J32*'FA Addition'!$L32,0)</f>
        <v>0</v>
      </c>
      <c r="AA32" s="116">
        <f>SUMIFS('FA Write off'!D:D,'FA Write off'!A:A,'FA Addition'!$A32,'FA Write off'!C:C,"&lt;"&amp;'FA Addition'!$L$1+1,'FA Write off'!C:C,"&gt;"&amp;'FA Addition'!$L$1-365)</f>
        <v>0</v>
      </c>
      <c r="AC32" s="118">
        <f>IFERROR(AA32/'FA Addition'!$J32*'FA Addition'!$L32,0)</f>
        <v>0</v>
      </c>
      <c r="AE32" s="117">
        <f>IF(AND('FA Addition'!$D32&lt;$P$1+1,U32=0),'FA Addition'!$L32,0)-Y32</f>
        <v>4726</v>
      </c>
      <c r="AF32" s="117">
        <f t="shared" si="0"/>
        <v>4726</v>
      </c>
      <c r="AG32" s="117">
        <f>MIN(MAX(+$P$1-'FA Addition'!$D32,0),365*'FA Addition'!$O32)</f>
        <v>1095</v>
      </c>
      <c r="AH32" s="117">
        <f>MIN(MAX($L$1-'FA Addition'!$D32+1,0),365*'FA Addition'!$O32)</f>
        <v>1095</v>
      </c>
      <c r="AI32" s="117" cm="1">
        <f t="array" ref="AI32">_xlfn.XLOOKUP(1,('FA Write off'!A:A='FA Addition'!$A32)*('FA Write off'!D:D=AA32),'FA Write off'!H:H,0,0)</f>
        <v>0</v>
      </c>
      <c r="AJ32" s="117">
        <f>IF(AC32&gt;0,MAX(IF('FA Addition'!$N32="SLM",($AC32-'FA Addition'!$M32)*'FA Addition'!$P32*AI32/365,(AC32-'FA Addition'!$M32)*(1-(1-'FA Addition'!$P32)^(AI32/365))),0),0)</f>
        <v>0</v>
      </c>
      <c r="AL32" s="117">
        <f>MAX(IF(AG32&gt;0,IF('FA Addition'!$N32="SLM",($AE32-'FA Addition'!$M32)*'FA Addition'!$P32*AG32/365,IFERROR(VDB(AE32,AE32*0.05,'FA Addition'!$O32,0,YEARFRAC('FA Addition'!$C32,$P$1-1,3),'FA Addition'!$Q32),FAAddition[[#This Row],[Original Cost (Rs)]]-FAAddition[[#This Row],[Salvage Value]])),0),0)</f>
        <v>4490</v>
      </c>
      <c r="AM32" s="119"/>
      <c r="AN32" s="117">
        <f>MAX(IF(AH32&gt;0,IF('FA Addition'!$N32="SLM",($AF32-'FA Addition'!$M32)*'FA Addition'!$P32*AH32/365,IFERROR(VDB(AF32,AF32*0.05,'FA Addition'!$O32,0,YEARFRAC('FA Addition'!$C32,$L$1,3),'FA Addition'!$Q32),FAAddition[[#This Row],[Original Cost (Rs)]]-FAAddition[[#This Row],[Salvage Value]])),0),0)</f>
        <v>4490</v>
      </c>
      <c r="AO32" s="117">
        <f t="shared" si="3"/>
        <v>0</v>
      </c>
      <c r="AQ32" s="117">
        <f t="shared" si="1"/>
        <v>236</v>
      </c>
      <c r="AR32" s="120">
        <f t="shared" si="2"/>
        <v>236</v>
      </c>
      <c r="AS32" s="121"/>
    </row>
    <row r="33" spans="1:45" ht="13.5" x14ac:dyDescent="0.4">
      <c r="A33" s="12">
        <f t="shared" si="4"/>
        <v>30</v>
      </c>
      <c r="B33" s="51" t="s">
        <v>439</v>
      </c>
      <c r="C33" s="54">
        <v>42202</v>
      </c>
      <c r="D33" s="54">
        <v>42202</v>
      </c>
      <c r="E33" s="46" t="s">
        <v>32</v>
      </c>
      <c r="F33" s="51" t="s">
        <v>32</v>
      </c>
      <c r="G33" s="51" t="s">
        <v>470</v>
      </c>
      <c r="H33" s="51" t="s">
        <v>32</v>
      </c>
      <c r="I33" s="55"/>
      <c r="J33" s="56">
        <v>1</v>
      </c>
      <c r="K33" s="51"/>
      <c r="L33" s="53">
        <v>1980</v>
      </c>
      <c r="M33" s="50">
        <f>ROUND('FA Addition'!$L33*5%,0.1)</f>
        <v>99</v>
      </c>
      <c r="N33" s="113" t="str">
        <f>_xlfn.XLOOKUP(_xlfn.CONCAT(E33,B33),'Year Wise Master Dep Approach'!F:F,'Year Wise Master Dep Approach'!D:D)</f>
        <v>WDV</v>
      </c>
      <c r="O33" s="113">
        <f>_xlfn.XLOOKUP(_xlfn.CONCAT(E33,B33),'Year Wise Master Dep Approach'!F:F,'Year Wise Master Dep Approach'!E:E)</f>
        <v>3</v>
      </c>
      <c r="P33" s="114">
        <f>IFERROR(IF('FA Addition'!$N33="WDV",1-('FA Addition'!$M33/'FA Addition'!$L33)^(1/'FA Addition'!$O33),1/'FA Addition'!$O33),0)</f>
        <v>0.63159685013596123</v>
      </c>
      <c r="Q33" s="122">
        <f>'FA Addition'!$P33*'FA Addition'!$O33</f>
        <v>1.8947905504078837</v>
      </c>
      <c r="R33" s="122"/>
      <c r="S33" s="116">
        <f>IF(AND(DATE(20&amp;LEFT(FAAddition[[#This Row],[FY]],2),4,1)&lt;$L$1+1,DATE(20&amp;LEFT(FAAddition[[#This Row],[FY]],2),4,1)&gt;$P$1-1),'FA Addition'!$J33,0)</f>
        <v>0</v>
      </c>
      <c r="U33" s="117">
        <f>S33*'FA Addition'!$L33/'FA Addition'!$J33</f>
        <v>0</v>
      </c>
      <c r="W33" s="116">
        <f>SUMIFS('FA Write off'!D:D,'FA Write off'!A:A,'FA Addition'!$A33,'FA Write off'!C:C,"&lt;"&amp;'FA Addition'!$P$1)</f>
        <v>0</v>
      </c>
      <c r="Y33" s="191">
        <f>IFERROR(W33/'FA Addition'!$J33*'FA Addition'!$L33,0)</f>
        <v>0</v>
      </c>
      <c r="AA33" s="116">
        <f>SUMIFS('FA Write off'!D:D,'FA Write off'!A:A,'FA Addition'!$A33,'FA Write off'!C:C,"&lt;"&amp;'FA Addition'!$L$1+1,'FA Write off'!C:C,"&gt;"&amp;'FA Addition'!$L$1-365)</f>
        <v>0</v>
      </c>
      <c r="AC33" s="118">
        <f>IFERROR(AA33/'FA Addition'!$J33*'FA Addition'!$L33,0)</f>
        <v>0</v>
      </c>
      <c r="AE33" s="117">
        <f>IF(AND('FA Addition'!$D33&lt;$P$1+1,U33=0),'FA Addition'!$L33,0)-Y33</f>
        <v>1980</v>
      </c>
      <c r="AF33" s="117">
        <f t="shared" si="0"/>
        <v>1980</v>
      </c>
      <c r="AG33" s="117">
        <f>MIN(MAX(+$P$1-'FA Addition'!$D33,0),365*'FA Addition'!$O33)</f>
        <v>1095</v>
      </c>
      <c r="AH33" s="117">
        <f>MIN(MAX($L$1-'FA Addition'!$D33+1,0),365*'FA Addition'!$O33)</f>
        <v>1095</v>
      </c>
      <c r="AI33" s="117" cm="1">
        <f t="array" ref="AI33">_xlfn.XLOOKUP(1,('FA Write off'!A:A='FA Addition'!$A33)*('FA Write off'!D:D=AA33),'FA Write off'!H:H,0,0)</f>
        <v>0</v>
      </c>
      <c r="AJ33" s="117">
        <f>IF(AC33&gt;0,MAX(IF('FA Addition'!$N33="SLM",($AC33-'FA Addition'!$M33)*'FA Addition'!$P33*AI33/365,(AC33-'FA Addition'!$M33)*(1-(1-'FA Addition'!$P33)^(AI33/365))),0),0)</f>
        <v>0</v>
      </c>
      <c r="AL33" s="117">
        <f>MAX(IF(AG33&gt;0,IF('FA Addition'!$N33="SLM",($AE33-'FA Addition'!$M33)*'FA Addition'!$P33*AG33/365,IFERROR(VDB(AE33,AE33*0.05,'FA Addition'!$O33,0,YEARFRAC('FA Addition'!$C33,$P$1-1,3),'FA Addition'!$Q33),FAAddition[[#This Row],[Original Cost (Rs)]]-FAAddition[[#This Row],[Salvage Value]])),0),0)</f>
        <v>1881</v>
      </c>
      <c r="AM33" s="119"/>
      <c r="AN33" s="117">
        <f>MAX(IF(AH33&gt;0,IF('FA Addition'!$N33="SLM",($AF33-'FA Addition'!$M33)*'FA Addition'!$P33*AH33/365,IFERROR(VDB(AF33,AF33*0.05,'FA Addition'!$O33,0,YEARFRAC('FA Addition'!$C33,$L$1,3),'FA Addition'!$Q33),FAAddition[[#This Row],[Original Cost (Rs)]]-FAAddition[[#This Row],[Salvage Value]])),0),0)</f>
        <v>1881</v>
      </c>
      <c r="AO33" s="117">
        <f t="shared" si="3"/>
        <v>0</v>
      </c>
      <c r="AQ33" s="117">
        <f t="shared" si="1"/>
        <v>99</v>
      </c>
      <c r="AR33" s="120">
        <f t="shared" si="2"/>
        <v>99</v>
      </c>
      <c r="AS33" s="121"/>
    </row>
    <row r="34" spans="1:45" ht="13.5" x14ac:dyDescent="0.4">
      <c r="A34" s="12">
        <f t="shared" si="4"/>
        <v>31</v>
      </c>
      <c r="B34" s="44" t="s">
        <v>439</v>
      </c>
      <c r="C34" s="45">
        <v>42202</v>
      </c>
      <c r="D34" s="45">
        <v>42202</v>
      </c>
      <c r="E34" s="46" t="s">
        <v>32</v>
      </c>
      <c r="F34" s="44" t="s">
        <v>32</v>
      </c>
      <c r="G34" s="44" t="s">
        <v>462</v>
      </c>
      <c r="H34" s="44" t="s">
        <v>32</v>
      </c>
      <c r="I34" s="47" t="s">
        <v>471</v>
      </c>
      <c r="J34" s="56">
        <v>1</v>
      </c>
      <c r="K34" s="44"/>
      <c r="L34" s="53">
        <v>4708</v>
      </c>
      <c r="M34" s="50">
        <f>ROUND('FA Addition'!$L34*5%,0.1)</f>
        <v>235</v>
      </c>
      <c r="N34" s="113" t="str">
        <f>_xlfn.XLOOKUP(_xlfn.CONCAT(E34,B34),'Year Wise Master Dep Approach'!F:F,'Year Wise Master Dep Approach'!D:D)</f>
        <v>WDV</v>
      </c>
      <c r="O34" s="113">
        <f>_xlfn.XLOOKUP(_xlfn.CONCAT(E34,B34),'Year Wise Master Dep Approach'!F:F,'Year Wise Master Dep Approach'!E:E)</f>
        <v>3</v>
      </c>
      <c r="P34" s="114">
        <f>IFERROR(IF('FA Addition'!$N34="WDV",1-('FA Addition'!$M34/'FA Addition'!$L34)^(1/'FA Addition'!$O34),1/'FA Addition'!$O34),0)</f>
        <v>0.63180563632398656</v>
      </c>
      <c r="Q34" s="122">
        <f>'FA Addition'!$P34*'FA Addition'!$O34</f>
        <v>1.8954169089719597</v>
      </c>
      <c r="R34" s="122"/>
      <c r="S34" s="116">
        <f>IF(AND(DATE(20&amp;LEFT(FAAddition[[#This Row],[FY]],2),4,1)&lt;$L$1+1,DATE(20&amp;LEFT(FAAddition[[#This Row],[FY]],2),4,1)&gt;$P$1-1),'FA Addition'!$J34,0)</f>
        <v>0</v>
      </c>
      <c r="U34" s="117">
        <f>S34*'FA Addition'!$L34/'FA Addition'!$J34</f>
        <v>0</v>
      </c>
      <c r="W34" s="116">
        <f>SUMIFS('FA Write off'!D:D,'FA Write off'!A:A,'FA Addition'!$A34,'FA Write off'!C:C,"&lt;"&amp;'FA Addition'!$P$1)</f>
        <v>0</v>
      </c>
      <c r="Y34" s="191">
        <f>IFERROR(W34/'FA Addition'!$J34*'FA Addition'!$L34,0)</f>
        <v>0</v>
      </c>
      <c r="AA34" s="116">
        <f>SUMIFS('FA Write off'!D:D,'FA Write off'!A:A,'FA Addition'!$A34,'FA Write off'!C:C,"&lt;"&amp;'FA Addition'!$L$1+1,'FA Write off'!C:C,"&gt;"&amp;'FA Addition'!$L$1-365)</f>
        <v>0</v>
      </c>
      <c r="AC34" s="118">
        <f>IFERROR(AA34/'FA Addition'!$J34*'FA Addition'!$L34,0)</f>
        <v>0</v>
      </c>
      <c r="AE34" s="117">
        <f>IF(AND('FA Addition'!$D34&lt;$P$1+1,U34=0),'FA Addition'!$L34,0)-Y34</f>
        <v>4708</v>
      </c>
      <c r="AF34" s="117">
        <f t="shared" si="0"/>
        <v>4708</v>
      </c>
      <c r="AG34" s="117">
        <f>MIN(MAX(+$P$1-'FA Addition'!$D34,0),365*'FA Addition'!$O34)</f>
        <v>1095</v>
      </c>
      <c r="AH34" s="117">
        <f>MIN(MAX($L$1-'FA Addition'!$D34+1,0),365*'FA Addition'!$O34)</f>
        <v>1095</v>
      </c>
      <c r="AI34" s="117" cm="1">
        <f t="array" ref="AI34">_xlfn.XLOOKUP(1,('FA Write off'!A:A='FA Addition'!$A34)*('FA Write off'!D:D=AA34),'FA Write off'!H:H,0,0)</f>
        <v>0</v>
      </c>
      <c r="AJ34" s="117">
        <f>IF(AC34&gt;0,MAX(IF('FA Addition'!$N34="SLM",($AC34-'FA Addition'!$M34)*'FA Addition'!$P34*AI34/365,(AC34-'FA Addition'!$M34)*(1-(1-'FA Addition'!$P34)^(AI34/365))),0),0)</f>
        <v>0</v>
      </c>
      <c r="AL34" s="117">
        <f>MAX(IF(AG34&gt;0,IF('FA Addition'!$N34="SLM",($AE34-'FA Addition'!$M34)*'FA Addition'!$P34*AG34/365,IFERROR(VDB(AE34,AE34*0.05,'FA Addition'!$O34,0,YEARFRAC('FA Addition'!$C34,$P$1-1,3),'FA Addition'!$Q34),FAAddition[[#This Row],[Original Cost (Rs)]]-FAAddition[[#This Row],[Salvage Value]])),0),0)</f>
        <v>4473</v>
      </c>
      <c r="AM34" s="119"/>
      <c r="AN34" s="117">
        <f>MAX(IF(AH34&gt;0,IF('FA Addition'!$N34="SLM",($AF34-'FA Addition'!$M34)*'FA Addition'!$P34*AH34/365,IFERROR(VDB(AF34,AF34*0.05,'FA Addition'!$O34,0,YEARFRAC('FA Addition'!$C34,$L$1,3),'FA Addition'!$Q34),FAAddition[[#This Row],[Original Cost (Rs)]]-FAAddition[[#This Row],[Salvage Value]])),0),0)</f>
        <v>4473</v>
      </c>
      <c r="AO34" s="117">
        <f t="shared" si="3"/>
        <v>0</v>
      </c>
      <c r="AQ34" s="117">
        <f t="shared" si="1"/>
        <v>235</v>
      </c>
      <c r="AR34" s="120">
        <f t="shared" si="2"/>
        <v>235</v>
      </c>
      <c r="AS34" s="121"/>
    </row>
    <row r="35" spans="1:45" ht="13.5" x14ac:dyDescent="0.4">
      <c r="A35" s="12">
        <f t="shared" si="4"/>
        <v>32</v>
      </c>
      <c r="B35" s="44" t="s">
        <v>439</v>
      </c>
      <c r="C35" s="45">
        <v>42202</v>
      </c>
      <c r="D35" s="45">
        <v>42202</v>
      </c>
      <c r="E35" s="46" t="s">
        <v>32</v>
      </c>
      <c r="F35" s="44" t="s">
        <v>32</v>
      </c>
      <c r="G35" s="44" t="s">
        <v>462</v>
      </c>
      <c r="H35" s="44" t="s">
        <v>32</v>
      </c>
      <c r="I35" s="47" t="s">
        <v>472</v>
      </c>
      <c r="J35" s="56">
        <v>1</v>
      </c>
      <c r="K35" s="44"/>
      <c r="L35" s="53">
        <v>4708</v>
      </c>
      <c r="M35" s="50">
        <f>ROUND('FA Addition'!$L35*5%,0.1)</f>
        <v>235</v>
      </c>
      <c r="N35" s="113" t="str">
        <f>_xlfn.XLOOKUP(_xlfn.CONCAT(E35,B35),'Year Wise Master Dep Approach'!F:F,'Year Wise Master Dep Approach'!D:D)</f>
        <v>WDV</v>
      </c>
      <c r="O35" s="113">
        <f>_xlfn.XLOOKUP(_xlfn.CONCAT(E35,B35),'Year Wise Master Dep Approach'!F:F,'Year Wise Master Dep Approach'!E:E)</f>
        <v>3</v>
      </c>
      <c r="P35" s="114">
        <f>IFERROR(IF('FA Addition'!$N35="WDV",1-('FA Addition'!$M35/'FA Addition'!$L35)^(1/'FA Addition'!$O35),1/'FA Addition'!$O35),0)</f>
        <v>0.63180563632398656</v>
      </c>
      <c r="Q35" s="122">
        <f>'FA Addition'!$P35*'FA Addition'!$O35</f>
        <v>1.8954169089719597</v>
      </c>
      <c r="R35" s="122"/>
      <c r="S35" s="116">
        <f>IF(AND(DATE(20&amp;LEFT(FAAddition[[#This Row],[FY]],2),4,1)&lt;$L$1+1,DATE(20&amp;LEFT(FAAddition[[#This Row],[FY]],2),4,1)&gt;$P$1-1),'FA Addition'!$J35,0)</f>
        <v>0</v>
      </c>
      <c r="U35" s="117">
        <f>S35*'FA Addition'!$L35/'FA Addition'!$J35</f>
        <v>0</v>
      </c>
      <c r="W35" s="116">
        <f>SUMIFS('FA Write off'!D:D,'FA Write off'!A:A,'FA Addition'!$A35,'FA Write off'!C:C,"&lt;"&amp;'FA Addition'!$P$1)</f>
        <v>0</v>
      </c>
      <c r="Y35" s="191">
        <f>IFERROR(W35/'FA Addition'!$J35*'FA Addition'!$L35,0)</f>
        <v>0</v>
      </c>
      <c r="AA35" s="116">
        <f>SUMIFS('FA Write off'!D:D,'FA Write off'!A:A,'FA Addition'!$A35,'FA Write off'!C:C,"&lt;"&amp;'FA Addition'!$L$1+1,'FA Write off'!C:C,"&gt;"&amp;'FA Addition'!$L$1-365)</f>
        <v>0</v>
      </c>
      <c r="AC35" s="118">
        <f>IFERROR(AA35/'FA Addition'!$J35*'FA Addition'!$L35,0)</f>
        <v>0</v>
      </c>
      <c r="AE35" s="117">
        <f>IF(AND('FA Addition'!$D35&lt;$P$1+1,U35=0),'FA Addition'!$L35,0)-Y35</f>
        <v>4708</v>
      </c>
      <c r="AF35" s="117">
        <f t="shared" si="0"/>
        <v>4708</v>
      </c>
      <c r="AG35" s="117">
        <f>MIN(MAX(+$P$1-'FA Addition'!$D35,0),365*'FA Addition'!$O35)</f>
        <v>1095</v>
      </c>
      <c r="AH35" s="117">
        <f>MIN(MAX($L$1-'FA Addition'!$D35+1,0),365*'FA Addition'!$O35)</f>
        <v>1095</v>
      </c>
      <c r="AI35" s="117" cm="1">
        <f t="array" ref="AI35">_xlfn.XLOOKUP(1,('FA Write off'!A:A='FA Addition'!$A35)*('FA Write off'!D:D=AA35),'FA Write off'!H:H,0,0)</f>
        <v>0</v>
      </c>
      <c r="AJ35" s="117">
        <f>IF(AC35&gt;0,MAX(IF('FA Addition'!$N35="SLM",($AC35-'FA Addition'!$M35)*'FA Addition'!$P35*AI35/365,(AC35-'FA Addition'!$M35)*(1-(1-'FA Addition'!$P35)^(AI35/365))),0),0)</f>
        <v>0</v>
      </c>
      <c r="AL35" s="117">
        <f>MAX(IF(AG35&gt;0,IF('FA Addition'!$N35="SLM",($AE35-'FA Addition'!$M35)*'FA Addition'!$P35*AG35/365,IFERROR(VDB(AE35,AE35*0.05,'FA Addition'!$O35,0,YEARFRAC('FA Addition'!$C35,$P$1-1,3),'FA Addition'!$Q35),FAAddition[[#This Row],[Original Cost (Rs)]]-FAAddition[[#This Row],[Salvage Value]])),0),0)</f>
        <v>4473</v>
      </c>
      <c r="AM35" s="119"/>
      <c r="AN35" s="117">
        <f>MAX(IF(AH35&gt;0,IF('FA Addition'!$N35="SLM",($AF35-'FA Addition'!$M35)*'FA Addition'!$P35*AH35/365,IFERROR(VDB(AF35,AF35*0.05,'FA Addition'!$O35,0,YEARFRAC('FA Addition'!$C35,$L$1,3),'FA Addition'!$Q35),FAAddition[[#This Row],[Original Cost (Rs)]]-FAAddition[[#This Row],[Salvage Value]])),0),0)</f>
        <v>4473</v>
      </c>
      <c r="AO35" s="117">
        <f t="shared" si="3"/>
        <v>0</v>
      </c>
      <c r="AQ35" s="117">
        <f t="shared" si="1"/>
        <v>235</v>
      </c>
      <c r="AR35" s="120">
        <f t="shared" si="2"/>
        <v>235</v>
      </c>
      <c r="AS35" s="121"/>
    </row>
    <row r="36" spans="1:45" ht="13.5" x14ac:dyDescent="0.4">
      <c r="A36" s="12">
        <f t="shared" si="4"/>
        <v>33</v>
      </c>
      <c r="B36" s="44" t="s">
        <v>439</v>
      </c>
      <c r="C36" s="45">
        <v>42202</v>
      </c>
      <c r="D36" s="45">
        <v>42202</v>
      </c>
      <c r="E36" s="46" t="s">
        <v>32</v>
      </c>
      <c r="F36" s="44" t="s">
        <v>32</v>
      </c>
      <c r="G36" s="44" t="s">
        <v>462</v>
      </c>
      <c r="H36" s="44" t="s">
        <v>32</v>
      </c>
      <c r="I36" s="47" t="s">
        <v>473</v>
      </c>
      <c r="J36" s="56">
        <v>1</v>
      </c>
      <c r="K36" s="44"/>
      <c r="L36" s="53">
        <v>4708</v>
      </c>
      <c r="M36" s="50">
        <f>ROUND('FA Addition'!$L36*5%,0.1)</f>
        <v>235</v>
      </c>
      <c r="N36" s="113" t="str">
        <f>_xlfn.XLOOKUP(_xlfn.CONCAT(E36,B36),'Year Wise Master Dep Approach'!F:F,'Year Wise Master Dep Approach'!D:D)</f>
        <v>WDV</v>
      </c>
      <c r="O36" s="113">
        <f>_xlfn.XLOOKUP(_xlfn.CONCAT(E36,B36),'Year Wise Master Dep Approach'!F:F,'Year Wise Master Dep Approach'!E:E)</f>
        <v>3</v>
      </c>
      <c r="P36" s="114">
        <f>IFERROR(IF('FA Addition'!$N36="WDV",1-('FA Addition'!$M36/'FA Addition'!$L36)^(1/'FA Addition'!$O36),1/'FA Addition'!$O36),0)</f>
        <v>0.63180563632398656</v>
      </c>
      <c r="Q36" s="122">
        <f>'FA Addition'!$P36*'FA Addition'!$O36</f>
        <v>1.8954169089719597</v>
      </c>
      <c r="R36" s="122"/>
      <c r="S36" s="116">
        <f>IF(AND(DATE(20&amp;LEFT(FAAddition[[#This Row],[FY]],2),4,1)&lt;$L$1+1,DATE(20&amp;LEFT(FAAddition[[#This Row],[FY]],2),4,1)&gt;$P$1-1),'FA Addition'!$J36,0)</f>
        <v>0</v>
      </c>
      <c r="U36" s="117">
        <f>S36*'FA Addition'!$L36/'FA Addition'!$J36</f>
        <v>0</v>
      </c>
      <c r="W36" s="116">
        <f>SUMIFS('FA Write off'!D:D,'FA Write off'!A:A,'FA Addition'!$A36,'FA Write off'!C:C,"&lt;"&amp;'FA Addition'!$P$1)</f>
        <v>0</v>
      </c>
      <c r="Y36" s="191">
        <f>IFERROR(W36/'FA Addition'!$J36*'FA Addition'!$L36,0)</f>
        <v>0</v>
      </c>
      <c r="AA36" s="116">
        <f>SUMIFS('FA Write off'!D:D,'FA Write off'!A:A,'FA Addition'!$A36,'FA Write off'!C:C,"&lt;"&amp;'FA Addition'!$L$1+1,'FA Write off'!C:C,"&gt;"&amp;'FA Addition'!$L$1-365)</f>
        <v>0</v>
      </c>
      <c r="AC36" s="118">
        <f>IFERROR(AA36/'FA Addition'!$J36*'FA Addition'!$L36,0)</f>
        <v>0</v>
      </c>
      <c r="AE36" s="117">
        <f>IF(AND('FA Addition'!$D36&lt;$P$1+1,U36=0),'FA Addition'!$L36,0)-Y36</f>
        <v>4708</v>
      </c>
      <c r="AF36" s="117">
        <f t="shared" si="0"/>
        <v>4708</v>
      </c>
      <c r="AG36" s="117">
        <f>MIN(MAX(+$P$1-'FA Addition'!$D36,0),365*'FA Addition'!$O36)</f>
        <v>1095</v>
      </c>
      <c r="AH36" s="117">
        <f>MIN(MAX($L$1-'FA Addition'!$D36+1,0),365*'FA Addition'!$O36)</f>
        <v>1095</v>
      </c>
      <c r="AI36" s="117" cm="1">
        <f t="array" ref="AI36">_xlfn.XLOOKUP(1,('FA Write off'!A:A='FA Addition'!$A36)*('FA Write off'!D:D=AA36),'FA Write off'!H:H,0,0)</f>
        <v>0</v>
      </c>
      <c r="AJ36" s="117">
        <f>IF(AC36&gt;0,MAX(IF('FA Addition'!$N36="SLM",($AC36-'FA Addition'!$M36)*'FA Addition'!$P36*AI36/365,(AC36-'FA Addition'!$M36)*(1-(1-'FA Addition'!$P36)^(AI36/365))),0),0)</f>
        <v>0</v>
      </c>
      <c r="AL36" s="117">
        <f>MAX(IF(AG36&gt;0,IF('FA Addition'!$N36="SLM",($AE36-'FA Addition'!$M36)*'FA Addition'!$P36*AG36/365,IFERROR(VDB(AE36,AE36*0.05,'FA Addition'!$O36,0,YEARFRAC('FA Addition'!$C36,$P$1-1,3),'FA Addition'!$Q36),FAAddition[[#This Row],[Original Cost (Rs)]]-FAAddition[[#This Row],[Salvage Value]])),0),0)</f>
        <v>4473</v>
      </c>
      <c r="AM36" s="119"/>
      <c r="AN36" s="117">
        <f>MAX(IF(AH36&gt;0,IF('FA Addition'!$N36="SLM",($AF36-'FA Addition'!$M36)*'FA Addition'!$P36*AH36/365,IFERROR(VDB(AF36,AF36*0.05,'FA Addition'!$O36,0,YEARFRAC('FA Addition'!$C36,$L$1,3),'FA Addition'!$Q36),FAAddition[[#This Row],[Original Cost (Rs)]]-FAAddition[[#This Row],[Salvage Value]])),0),0)</f>
        <v>4473</v>
      </c>
      <c r="AO36" s="117">
        <f t="shared" si="3"/>
        <v>0</v>
      </c>
      <c r="AQ36" s="117">
        <f t="shared" si="1"/>
        <v>235</v>
      </c>
      <c r="AR36" s="120">
        <f t="shared" si="2"/>
        <v>235</v>
      </c>
      <c r="AS36" s="121"/>
    </row>
    <row r="37" spans="1:45" ht="13.5" x14ac:dyDescent="0.4">
      <c r="A37" s="12">
        <f t="shared" si="4"/>
        <v>34</v>
      </c>
      <c r="B37" s="44" t="s">
        <v>439</v>
      </c>
      <c r="C37" s="45">
        <v>42202</v>
      </c>
      <c r="D37" s="45">
        <v>42202</v>
      </c>
      <c r="E37" s="46" t="s">
        <v>32</v>
      </c>
      <c r="F37" s="44" t="s">
        <v>32</v>
      </c>
      <c r="G37" s="44" t="s">
        <v>462</v>
      </c>
      <c r="H37" s="44" t="s">
        <v>32</v>
      </c>
      <c r="I37" s="47" t="s">
        <v>474</v>
      </c>
      <c r="J37" s="56">
        <v>1</v>
      </c>
      <c r="K37" s="44"/>
      <c r="L37" s="53">
        <v>17200</v>
      </c>
      <c r="M37" s="50">
        <f>ROUND('FA Addition'!$L37*5%,0.1)</f>
        <v>860</v>
      </c>
      <c r="N37" s="113" t="str">
        <f>_xlfn.XLOOKUP(_xlfn.CONCAT(E37,B37),'Year Wise Master Dep Approach'!F:F,'Year Wise Master Dep Approach'!D:D)</f>
        <v>WDV</v>
      </c>
      <c r="O37" s="113">
        <f>_xlfn.XLOOKUP(_xlfn.CONCAT(E37,B37),'Year Wise Master Dep Approach'!F:F,'Year Wise Master Dep Approach'!E:E)</f>
        <v>3</v>
      </c>
      <c r="P37" s="114">
        <f>IFERROR(IF('FA Addition'!$N37="WDV",1-('FA Addition'!$M37/'FA Addition'!$L37)^(1/'FA Addition'!$O37),1/'FA Addition'!$O37),0)</f>
        <v>0.63159685013596123</v>
      </c>
      <c r="Q37" s="122">
        <f>'FA Addition'!$P37*'FA Addition'!$O37</f>
        <v>1.8947905504078837</v>
      </c>
      <c r="R37" s="122"/>
      <c r="S37" s="116">
        <f>IF(AND(DATE(20&amp;LEFT(FAAddition[[#This Row],[FY]],2),4,1)&lt;$L$1+1,DATE(20&amp;LEFT(FAAddition[[#This Row],[FY]],2),4,1)&gt;$P$1-1),'FA Addition'!$J37,0)</f>
        <v>0</v>
      </c>
      <c r="U37" s="117">
        <f>S37*'FA Addition'!$L37/'FA Addition'!$J37</f>
        <v>0</v>
      </c>
      <c r="W37" s="116">
        <f>SUMIFS('FA Write off'!D:D,'FA Write off'!A:A,'FA Addition'!$A37,'FA Write off'!C:C,"&lt;"&amp;'FA Addition'!$P$1)</f>
        <v>0</v>
      </c>
      <c r="Y37" s="191">
        <f>IFERROR(W37/'FA Addition'!$J37*'FA Addition'!$L37,0)</f>
        <v>0</v>
      </c>
      <c r="AA37" s="116">
        <f>SUMIFS('FA Write off'!D:D,'FA Write off'!A:A,'FA Addition'!$A37,'FA Write off'!C:C,"&lt;"&amp;'FA Addition'!$L$1+1,'FA Write off'!C:C,"&gt;"&amp;'FA Addition'!$L$1-365)</f>
        <v>0</v>
      </c>
      <c r="AC37" s="118">
        <f>IFERROR(AA37/'FA Addition'!$J37*'FA Addition'!$L37,0)</f>
        <v>0</v>
      </c>
      <c r="AE37" s="117">
        <f>IF(AND('FA Addition'!$D37&lt;$P$1+1,U37=0),'FA Addition'!$L37,0)-Y37</f>
        <v>17200</v>
      </c>
      <c r="AF37" s="117">
        <f t="shared" si="0"/>
        <v>17200</v>
      </c>
      <c r="AG37" s="117">
        <f>MIN(MAX(+$P$1-'FA Addition'!$D37,0),365*'FA Addition'!$O37)</f>
        <v>1095</v>
      </c>
      <c r="AH37" s="117">
        <f>MIN(MAX($L$1-'FA Addition'!$D37+1,0),365*'FA Addition'!$O37)</f>
        <v>1095</v>
      </c>
      <c r="AI37" s="117" cm="1">
        <f t="array" ref="AI37">_xlfn.XLOOKUP(1,('FA Write off'!A:A='FA Addition'!$A37)*('FA Write off'!D:D=AA37),'FA Write off'!H:H,0,0)</f>
        <v>0</v>
      </c>
      <c r="AJ37" s="117">
        <f>IF(AC37&gt;0,MAX(IF('FA Addition'!$N37="SLM",($AC37-'FA Addition'!$M37)*'FA Addition'!$P37*AI37/365,(AC37-'FA Addition'!$M37)*(1-(1-'FA Addition'!$P37)^(AI37/365))),0),0)</f>
        <v>0</v>
      </c>
      <c r="AL37" s="117">
        <f>MAX(IF(AG37&gt;0,IF('FA Addition'!$N37="SLM",($AE37-'FA Addition'!$M37)*'FA Addition'!$P37*AG37/365,IFERROR(VDB(AE37,AE37*0.05,'FA Addition'!$O37,0,YEARFRAC('FA Addition'!$C37,$P$1-1,3),'FA Addition'!$Q37),FAAddition[[#This Row],[Original Cost (Rs)]]-FAAddition[[#This Row],[Salvage Value]])),0),0)</f>
        <v>16340</v>
      </c>
      <c r="AM37" s="119"/>
      <c r="AN37" s="117">
        <f>MAX(IF(AH37&gt;0,IF('FA Addition'!$N37="SLM",($AF37-'FA Addition'!$M37)*'FA Addition'!$P37*AH37/365,IFERROR(VDB(AF37,AF37*0.05,'FA Addition'!$O37,0,YEARFRAC('FA Addition'!$C37,$L$1,3),'FA Addition'!$Q37),FAAddition[[#This Row],[Original Cost (Rs)]]-FAAddition[[#This Row],[Salvage Value]])),0),0)</f>
        <v>16340</v>
      </c>
      <c r="AO37" s="117">
        <f t="shared" si="3"/>
        <v>0</v>
      </c>
      <c r="AQ37" s="117">
        <f t="shared" si="1"/>
        <v>860</v>
      </c>
      <c r="AR37" s="120">
        <f t="shared" si="2"/>
        <v>860</v>
      </c>
      <c r="AS37" s="121"/>
    </row>
    <row r="38" spans="1:45" ht="13.5" x14ac:dyDescent="0.4">
      <c r="A38" s="12">
        <f t="shared" si="4"/>
        <v>35</v>
      </c>
      <c r="B38" s="44" t="s">
        <v>439</v>
      </c>
      <c r="C38" s="45">
        <v>42229</v>
      </c>
      <c r="D38" s="45">
        <v>42229</v>
      </c>
      <c r="E38" s="46" t="s">
        <v>32</v>
      </c>
      <c r="F38" s="44" t="s">
        <v>32</v>
      </c>
      <c r="G38" s="44" t="s">
        <v>475</v>
      </c>
      <c r="H38" s="44" t="s">
        <v>32</v>
      </c>
      <c r="I38" s="47"/>
      <c r="J38" s="56">
        <v>1</v>
      </c>
      <c r="K38" s="44"/>
      <c r="L38" s="53">
        <v>8476</v>
      </c>
      <c r="M38" s="50">
        <f>ROUND('FA Addition'!$L38*5%,0.1)</f>
        <v>424</v>
      </c>
      <c r="N38" s="113" t="str">
        <f>_xlfn.XLOOKUP(_xlfn.CONCAT(E38,B38),'Year Wise Master Dep Approach'!F:F,'Year Wise Master Dep Approach'!D:D)</f>
        <v>WDV</v>
      </c>
      <c r="O38" s="113">
        <f>_xlfn.XLOOKUP(_xlfn.CONCAT(E38,B38),'Year Wise Master Dep Approach'!F:F,'Year Wise Master Dep Approach'!E:E)</f>
        <v>3</v>
      </c>
      <c r="P38" s="114">
        <f>IFERROR(IF('FA Addition'!$N38="WDV",1-('FA Addition'!$M38/'FA Addition'!$L38)^(1/'FA Addition'!$O38),1/'FA Addition'!$O38),0)</f>
        <v>0.63153890689029613</v>
      </c>
      <c r="Q38" s="122">
        <f>'FA Addition'!$P38*'FA Addition'!$O38</f>
        <v>1.8946167206708884</v>
      </c>
      <c r="R38" s="122"/>
      <c r="S38" s="116">
        <f>IF(AND(DATE(20&amp;LEFT(FAAddition[[#This Row],[FY]],2),4,1)&lt;$L$1+1,DATE(20&amp;LEFT(FAAddition[[#This Row],[FY]],2),4,1)&gt;$P$1-1),'FA Addition'!$J38,0)</f>
        <v>0</v>
      </c>
      <c r="U38" s="117">
        <f>S38*'FA Addition'!$L38/'FA Addition'!$J38</f>
        <v>0</v>
      </c>
      <c r="W38" s="116">
        <f>SUMIFS('FA Write off'!D:D,'FA Write off'!A:A,'FA Addition'!$A38,'FA Write off'!C:C,"&lt;"&amp;'FA Addition'!$P$1)</f>
        <v>0</v>
      </c>
      <c r="Y38" s="191">
        <f>IFERROR(W38/'FA Addition'!$J38*'FA Addition'!$L38,0)</f>
        <v>0</v>
      </c>
      <c r="AA38" s="116">
        <f>SUMIFS('FA Write off'!D:D,'FA Write off'!A:A,'FA Addition'!$A38,'FA Write off'!C:C,"&lt;"&amp;'FA Addition'!$L$1+1,'FA Write off'!C:C,"&gt;"&amp;'FA Addition'!$L$1-365)</f>
        <v>0</v>
      </c>
      <c r="AC38" s="118">
        <f>IFERROR(AA38/'FA Addition'!$J38*'FA Addition'!$L38,0)</f>
        <v>0</v>
      </c>
      <c r="AE38" s="117">
        <f>IF(AND('FA Addition'!$D38&lt;$P$1+1,U38=0),'FA Addition'!$L38,0)-Y38</f>
        <v>8476</v>
      </c>
      <c r="AF38" s="117">
        <f t="shared" si="0"/>
        <v>8476</v>
      </c>
      <c r="AG38" s="117">
        <f>MIN(MAX(+$P$1-'FA Addition'!$D38,0),365*'FA Addition'!$O38)</f>
        <v>1095</v>
      </c>
      <c r="AH38" s="117">
        <f>MIN(MAX($L$1-'FA Addition'!$D38+1,0),365*'FA Addition'!$O38)</f>
        <v>1095</v>
      </c>
      <c r="AI38" s="117" cm="1">
        <f t="array" ref="AI38">_xlfn.XLOOKUP(1,('FA Write off'!A:A='FA Addition'!$A38)*('FA Write off'!D:D=AA38),'FA Write off'!H:H,0,0)</f>
        <v>0</v>
      </c>
      <c r="AJ38" s="117">
        <f>IF(AC38&gt;0,MAX(IF('FA Addition'!$N38="SLM",($AC38-'FA Addition'!$M38)*'FA Addition'!$P38*AI38/365,(AC38-'FA Addition'!$M38)*(1-(1-'FA Addition'!$P38)^(AI38/365))),0),0)</f>
        <v>0</v>
      </c>
      <c r="AL38" s="117">
        <f>MAX(IF(AG38&gt;0,IF('FA Addition'!$N38="SLM",($AE38-'FA Addition'!$M38)*'FA Addition'!$P38*AG38/365,IFERROR(VDB(AE38,AE38*0.05,'FA Addition'!$O38,0,YEARFRAC('FA Addition'!$C38,$P$1-1,3),'FA Addition'!$Q38),FAAddition[[#This Row],[Original Cost (Rs)]]-FAAddition[[#This Row],[Salvage Value]])),0),0)</f>
        <v>8052</v>
      </c>
      <c r="AM38" s="119"/>
      <c r="AN38" s="117">
        <f>MAX(IF(AH38&gt;0,IF('FA Addition'!$N38="SLM",($AF38-'FA Addition'!$M38)*'FA Addition'!$P38*AH38/365,IFERROR(VDB(AF38,AF38*0.05,'FA Addition'!$O38,0,YEARFRAC('FA Addition'!$C38,$L$1,3),'FA Addition'!$Q38),FAAddition[[#This Row],[Original Cost (Rs)]]-FAAddition[[#This Row],[Salvage Value]])),0),0)</f>
        <v>8052</v>
      </c>
      <c r="AO38" s="117">
        <f t="shared" si="3"/>
        <v>0</v>
      </c>
      <c r="AQ38" s="117">
        <f t="shared" si="1"/>
        <v>424</v>
      </c>
      <c r="AR38" s="120">
        <f t="shared" si="2"/>
        <v>424</v>
      </c>
      <c r="AS38" s="121"/>
    </row>
    <row r="39" spans="1:45" ht="13.5" x14ac:dyDescent="0.4">
      <c r="A39" s="12">
        <f t="shared" si="4"/>
        <v>36</v>
      </c>
      <c r="B39" s="44" t="s">
        <v>439</v>
      </c>
      <c r="C39" s="45">
        <v>42229</v>
      </c>
      <c r="D39" s="45">
        <v>42229</v>
      </c>
      <c r="E39" s="46" t="s">
        <v>32</v>
      </c>
      <c r="F39" s="44" t="s">
        <v>32</v>
      </c>
      <c r="G39" s="44" t="s">
        <v>462</v>
      </c>
      <c r="H39" s="44" t="s">
        <v>32</v>
      </c>
      <c r="I39" s="47" t="s">
        <v>476</v>
      </c>
      <c r="J39" s="56">
        <v>1</v>
      </c>
      <c r="K39" s="44"/>
      <c r="L39" s="52">
        <v>43500</v>
      </c>
      <c r="M39" s="50">
        <f>ROUND('FA Addition'!$L39*5%,0.1)</f>
        <v>2175</v>
      </c>
      <c r="N39" s="113" t="str">
        <f>_xlfn.XLOOKUP(_xlfn.CONCAT(E39,B39),'Year Wise Master Dep Approach'!F:F,'Year Wise Master Dep Approach'!D:D)</f>
        <v>WDV</v>
      </c>
      <c r="O39" s="113">
        <f>_xlfn.XLOOKUP(_xlfn.CONCAT(E39,B39),'Year Wise Master Dep Approach'!F:F,'Year Wise Master Dep Approach'!E:E)</f>
        <v>3</v>
      </c>
      <c r="P39" s="114">
        <f>IFERROR(IF('FA Addition'!$N39="WDV",1-('FA Addition'!$M39/'FA Addition'!$L39)^(1/'FA Addition'!$O39),1/'FA Addition'!$O39),0)</f>
        <v>0.63159685013596123</v>
      </c>
      <c r="Q39" s="122">
        <f>'FA Addition'!$P39*'FA Addition'!$O39</f>
        <v>1.8947905504078837</v>
      </c>
      <c r="R39" s="122"/>
      <c r="S39" s="116">
        <f>IF(AND(DATE(20&amp;LEFT(FAAddition[[#This Row],[FY]],2),4,1)&lt;$L$1+1,DATE(20&amp;LEFT(FAAddition[[#This Row],[FY]],2),4,1)&gt;$P$1-1),'FA Addition'!$J39,0)</f>
        <v>0</v>
      </c>
      <c r="U39" s="117">
        <f>S39*'FA Addition'!$L39/'FA Addition'!$J39</f>
        <v>0</v>
      </c>
      <c r="W39" s="116">
        <f>SUMIFS('FA Write off'!D:D,'FA Write off'!A:A,'FA Addition'!$A39,'FA Write off'!C:C,"&lt;"&amp;'FA Addition'!$P$1)</f>
        <v>0</v>
      </c>
      <c r="Y39" s="191">
        <f>IFERROR(W39/'FA Addition'!$J39*'FA Addition'!$L39,0)</f>
        <v>0</v>
      </c>
      <c r="AA39" s="116">
        <f>SUMIFS('FA Write off'!D:D,'FA Write off'!A:A,'FA Addition'!$A39,'FA Write off'!C:C,"&lt;"&amp;'FA Addition'!$L$1+1,'FA Write off'!C:C,"&gt;"&amp;'FA Addition'!$L$1-365)</f>
        <v>0</v>
      </c>
      <c r="AC39" s="118">
        <f>IFERROR(AA39/'FA Addition'!$J39*'FA Addition'!$L39,0)</f>
        <v>0</v>
      </c>
      <c r="AE39" s="117">
        <f>IF(AND('FA Addition'!$D39&lt;$P$1+1,U39=0),'FA Addition'!$L39,0)-Y39</f>
        <v>43500</v>
      </c>
      <c r="AF39" s="117">
        <f t="shared" si="0"/>
        <v>43500</v>
      </c>
      <c r="AG39" s="117">
        <f>MIN(MAX(+$P$1-'FA Addition'!$D39,0),365*'FA Addition'!$O39)</f>
        <v>1095</v>
      </c>
      <c r="AH39" s="117">
        <f>MIN(MAX($L$1-'FA Addition'!$D39+1,0),365*'FA Addition'!$O39)</f>
        <v>1095</v>
      </c>
      <c r="AI39" s="117" cm="1">
        <f t="array" ref="AI39">_xlfn.XLOOKUP(1,('FA Write off'!A:A='FA Addition'!$A39)*('FA Write off'!D:D=AA39),'FA Write off'!H:H,0,0)</f>
        <v>0</v>
      </c>
      <c r="AJ39" s="117">
        <f>IF(AC39&gt;0,MAX(IF('FA Addition'!$N39="SLM",($AC39-'FA Addition'!$M39)*'FA Addition'!$P39*AI39/365,(AC39-'FA Addition'!$M39)*(1-(1-'FA Addition'!$P39)^(AI39/365))),0),0)</f>
        <v>0</v>
      </c>
      <c r="AL39" s="117">
        <f>MAX(IF(AG39&gt;0,IF('FA Addition'!$N39="SLM",($AE39-'FA Addition'!$M39)*'FA Addition'!$P39*AG39/365,IFERROR(VDB(AE39,AE39*0.05,'FA Addition'!$O39,0,YEARFRAC('FA Addition'!$C39,$P$1-1,3),'FA Addition'!$Q39),FAAddition[[#This Row],[Original Cost (Rs)]]-FAAddition[[#This Row],[Salvage Value]])),0),0)</f>
        <v>41325</v>
      </c>
      <c r="AM39" s="119"/>
      <c r="AN39" s="117">
        <f>MAX(IF(AH39&gt;0,IF('FA Addition'!$N39="SLM",($AF39-'FA Addition'!$M39)*'FA Addition'!$P39*AH39/365,IFERROR(VDB(AF39,AF39*0.05,'FA Addition'!$O39,0,YEARFRAC('FA Addition'!$C39,$L$1,3),'FA Addition'!$Q39),FAAddition[[#This Row],[Original Cost (Rs)]]-FAAddition[[#This Row],[Salvage Value]])),0),0)</f>
        <v>41325</v>
      </c>
      <c r="AO39" s="117">
        <f t="shared" si="3"/>
        <v>0</v>
      </c>
      <c r="AQ39" s="117">
        <f t="shared" si="1"/>
        <v>2175</v>
      </c>
      <c r="AR39" s="120">
        <f t="shared" si="2"/>
        <v>2175</v>
      </c>
      <c r="AS39" s="121"/>
    </row>
    <row r="40" spans="1:45" ht="13.5" x14ac:dyDescent="0.4">
      <c r="A40" s="12">
        <f t="shared" si="4"/>
        <v>37</v>
      </c>
      <c r="B40" s="44" t="s">
        <v>439</v>
      </c>
      <c r="C40" s="45">
        <v>42229</v>
      </c>
      <c r="D40" s="45">
        <v>42229</v>
      </c>
      <c r="E40" s="46" t="s">
        <v>32</v>
      </c>
      <c r="F40" s="44" t="s">
        <v>32</v>
      </c>
      <c r="G40" s="44" t="s">
        <v>462</v>
      </c>
      <c r="H40" s="44" t="s">
        <v>32</v>
      </c>
      <c r="I40" s="47" t="s">
        <v>477</v>
      </c>
      <c r="J40" s="56">
        <v>1</v>
      </c>
      <c r="K40" s="44"/>
      <c r="L40" s="52">
        <v>26100</v>
      </c>
      <c r="M40" s="50">
        <f>ROUND('FA Addition'!$L40*5%,0.1)</f>
        <v>1305</v>
      </c>
      <c r="N40" s="113" t="str">
        <f>_xlfn.XLOOKUP(_xlfn.CONCAT(E40,B40),'Year Wise Master Dep Approach'!F:F,'Year Wise Master Dep Approach'!D:D)</f>
        <v>WDV</v>
      </c>
      <c r="O40" s="113">
        <f>_xlfn.XLOOKUP(_xlfn.CONCAT(E40,B40),'Year Wise Master Dep Approach'!F:F,'Year Wise Master Dep Approach'!E:E)</f>
        <v>3</v>
      </c>
      <c r="P40" s="114">
        <f>IFERROR(IF('FA Addition'!$N40="WDV",1-('FA Addition'!$M40/'FA Addition'!$L40)^(1/'FA Addition'!$O40),1/'FA Addition'!$O40),0)</f>
        <v>0.63159685013596123</v>
      </c>
      <c r="Q40" s="122">
        <f>'FA Addition'!$P40*'FA Addition'!$O40</f>
        <v>1.8947905504078837</v>
      </c>
      <c r="R40" s="122"/>
      <c r="S40" s="116">
        <f>IF(AND(DATE(20&amp;LEFT(FAAddition[[#This Row],[FY]],2),4,1)&lt;$L$1+1,DATE(20&amp;LEFT(FAAddition[[#This Row],[FY]],2),4,1)&gt;$P$1-1),'FA Addition'!$J40,0)</f>
        <v>0</v>
      </c>
      <c r="U40" s="117">
        <f>S40*'FA Addition'!$L40/'FA Addition'!$J40</f>
        <v>0</v>
      </c>
      <c r="W40" s="116">
        <f>SUMIFS('FA Write off'!D:D,'FA Write off'!A:A,'FA Addition'!$A40,'FA Write off'!C:C,"&lt;"&amp;'FA Addition'!$P$1)</f>
        <v>0</v>
      </c>
      <c r="Y40" s="191">
        <f>IFERROR(W40/'FA Addition'!$J40*'FA Addition'!$L40,0)</f>
        <v>0</v>
      </c>
      <c r="AA40" s="116">
        <f>SUMIFS('FA Write off'!D:D,'FA Write off'!A:A,'FA Addition'!$A40,'FA Write off'!C:C,"&lt;"&amp;'FA Addition'!$L$1+1,'FA Write off'!C:C,"&gt;"&amp;'FA Addition'!$L$1-365)</f>
        <v>0</v>
      </c>
      <c r="AC40" s="118">
        <f>IFERROR(AA40/'FA Addition'!$J40*'FA Addition'!$L40,0)</f>
        <v>0</v>
      </c>
      <c r="AE40" s="117">
        <f>IF(AND('FA Addition'!$D40&lt;$P$1+1,U40=0),'FA Addition'!$L40,0)-Y40</f>
        <v>26100</v>
      </c>
      <c r="AF40" s="117">
        <f t="shared" si="0"/>
        <v>26100</v>
      </c>
      <c r="AG40" s="117">
        <f>MIN(MAX(+$P$1-'FA Addition'!$D40,0),365*'FA Addition'!$O40)</f>
        <v>1095</v>
      </c>
      <c r="AH40" s="117">
        <f>MIN(MAX($L$1-'FA Addition'!$D40+1,0),365*'FA Addition'!$O40)</f>
        <v>1095</v>
      </c>
      <c r="AI40" s="117" cm="1">
        <f t="array" ref="AI40">_xlfn.XLOOKUP(1,('FA Write off'!A:A='FA Addition'!$A40)*('FA Write off'!D:D=AA40),'FA Write off'!H:H,0,0)</f>
        <v>0</v>
      </c>
      <c r="AJ40" s="117">
        <f>IF(AC40&gt;0,MAX(IF('FA Addition'!$N40="SLM",($AC40-'FA Addition'!$M40)*'FA Addition'!$P40*AI40/365,(AC40-'FA Addition'!$M40)*(1-(1-'FA Addition'!$P40)^(AI40/365))),0),0)</f>
        <v>0</v>
      </c>
      <c r="AL40" s="117">
        <f>MAX(IF(AG40&gt;0,IF('FA Addition'!$N40="SLM",($AE40-'FA Addition'!$M40)*'FA Addition'!$P40*AG40/365,IFERROR(VDB(AE40,AE40*0.05,'FA Addition'!$O40,0,YEARFRAC('FA Addition'!$C40,$P$1-1,3),'FA Addition'!$Q40),FAAddition[[#This Row],[Original Cost (Rs)]]-FAAddition[[#This Row],[Salvage Value]])),0),0)</f>
        <v>24795</v>
      </c>
      <c r="AM40" s="119"/>
      <c r="AN40" s="117">
        <f>MAX(IF(AH40&gt;0,IF('FA Addition'!$N40="SLM",($AF40-'FA Addition'!$M40)*'FA Addition'!$P40*AH40/365,IFERROR(VDB(AF40,AF40*0.05,'FA Addition'!$O40,0,YEARFRAC('FA Addition'!$C40,$L$1,3),'FA Addition'!$Q40),FAAddition[[#This Row],[Original Cost (Rs)]]-FAAddition[[#This Row],[Salvage Value]])),0),0)</f>
        <v>24795</v>
      </c>
      <c r="AO40" s="117">
        <f t="shared" si="3"/>
        <v>0</v>
      </c>
      <c r="AQ40" s="117">
        <f t="shared" si="1"/>
        <v>1305</v>
      </c>
      <c r="AR40" s="120">
        <f t="shared" si="2"/>
        <v>1305</v>
      </c>
      <c r="AS40" s="121"/>
    </row>
    <row r="41" spans="1:45" ht="13.5" x14ac:dyDescent="0.4">
      <c r="A41" s="12">
        <f t="shared" si="4"/>
        <v>38</v>
      </c>
      <c r="B41" s="44" t="s">
        <v>439</v>
      </c>
      <c r="C41" s="45">
        <v>42229</v>
      </c>
      <c r="D41" s="45">
        <v>42229</v>
      </c>
      <c r="E41" s="46" t="s">
        <v>32</v>
      </c>
      <c r="F41" s="44" t="s">
        <v>32</v>
      </c>
      <c r="G41" s="44" t="s">
        <v>462</v>
      </c>
      <c r="H41" s="44" t="s">
        <v>32</v>
      </c>
      <c r="I41" s="47">
        <v>6519</v>
      </c>
      <c r="J41" s="56">
        <v>1</v>
      </c>
      <c r="K41" s="44"/>
      <c r="L41" s="52">
        <v>23700</v>
      </c>
      <c r="M41" s="50">
        <f>ROUND('FA Addition'!$L41*5%,0.1)</f>
        <v>1185</v>
      </c>
      <c r="N41" s="113" t="str">
        <f>_xlfn.XLOOKUP(_xlfn.CONCAT(E41,B41),'Year Wise Master Dep Approach'!F:F,'Year Wise Master Dep Approach'!D:D)</f>
        <v>WDV</v>
      </c>
      <c r="O41" s="113">
        <f>_xlfn.XLOOKUP(_xlfn.CONCAT(E41,B41),'Year Wise Master Dep Approach'!F:F,'Year Wise Master Dep Approach'!E:E)</f>
        <v>3</v>
      </c>
      <c r="P41" s="114">
        <f>IFERROR(IF('FA Addition'!$N41="WDV",1-('FA Addition'!$M41/'FA Addition'!$L41)^(1/'FA Addition'!$O41),1/'FA Addition'!$O41),0)</f>
        <v>0.63159685013596123</v>
      </c>
      <c r="Q41" s="122">
        <f>'FA Addition'!$P41*'FA Addition'!$O41</f>
        <v>1.8947905504078837</v>
      </c>
      <c r="R41" s="122"/>
      <c r="S41" s="116">
        <f>IF(AND(DATE(20&amp;LEFT(FAAddition[[#This Row],[FY]],2),4,1)&lt;$L$1+1,DATE(20&amp;LEFT(FAAddition[[#This Row],[FY]],2),4,1)&gt;$P$1-1),'FA Addition'!$J41,0)</f>
        <v>0</v>
      </c>
      <c r="U41" s="117">
        <f>S41*'FA Addition'!$L41/'FA Addition'!$J41</f>
        <v>0</v>
      </c>
      <c r="W41" s="116">
        <f>SUMIFS('FA Write off'!D:D,'FA Write off'!A:A,'FA Addition'!$A41,'FA Write off'!C:C,"&lt;"&amp;'FA Addition'!$P$1)</f>
        <v>0</v>
      </c>
      <c r="Y41" s="191">
        <f>IFERROR(W41/'FA Addition'!$J41*'FA Addition'!$L41,0)</f>
        <v>0</v>
      </c>
      <c r="AA41" s="116">
        <f>SUMIFS('FA Write off'!D:D,'FA Write off'!A:A,'FA Addition'!$A41,'FA Write off'!C:C,"&lt;"&amp;'FA Addition'!$L$1+1,'FA Write off'!C:C,"&gt;"&amp;'FA Addition'!$L$1-365)</f>
        <v>0</v>
      </c>
      <c r="AC41" s="118">
        <f>IFERROR(AA41/'FA Addition'!$J41*'FA Addition'!$L41,0)</f>
        <v>0</v>
      </c>
      <c r="AE41" s="117">
        <f>IF(AND('FA Addition'!$D41&lt;$P$1+1,U41=0),'FA Addition'!$L41,0)-Y41</f>
        <v>23700</v>
      </c>
      <c r="AF41" s="117">
        <f t="shared" si="0"/>
        <v>23700</v>
      </c>
      <c r="AG41" s="117">
        <f>MIN(MAX(+$P$1-'FA Addition'!$D41,0),365*'FA Addition'!$O41)</f>
        <v>1095</v>
      </c>
      <c r="AH41" s="117">
        <f>MIN(MAX($L$1-'FA Addition'!$D41+1,0),365*'FA Addition'!$O41)</f>
        <v>1095</v>
      </c>
      <c r="AI41" s="117" cm="1">
        <f t="array" ref="AI41">_xlfn.XLOOKUP(1,('FA Write off'!A:A='FA Addition'!$A41)*('FA Write off'!D:D=AA41),'FA Write off'!H:H,0,0)</f>
        <v>0</v>
      </c>
      <c r="AJ41" s="117">
        <f>IF(AC41&gt;0,MAX(IF('FA Addition'!$N41="SLM",($AC41-'FA Addition'!$M41)*'FA Addition'!$P41*AI41/365,(AC41-'FA Addition'!$M41)*(1-(1-'FA Addition'!$P41)^(AI41/365))),0),0)</f>
        <v>0</v>
      </c>
      <c r="AL41" s="117">
        <f>MAX(IF(AG41&gt;0,IF('FA Addition'!$N41="SLM",($AE41-'FA Addition'!$M41)*'FA Addition'!$P41*AG41/365,IFERROR(VDB(AE41,AE41*0.05,'FA Addition'!$O41,0,YEARFRAC('FA Addition'!$C41,$P$1-1,3),'FA Addition'!$Q41),FAAddition[[#This Row],[Original Cost (Rs)]]-FAAddition[[#This Row],[Salvage Value]])),0),0)</f>
        <v>22515</v>
      </c>
      <c r="AM41" s="119"/>
      <c r="AN41" s="117">
        <f>MAX(IF(AH41&gt;0,IF('FA Addition'!$N41="SLM",($AF41-'FA Addition'!$M41)*'FA Addition'!$P41*AH41/365,IFERROR(VDB(AF41,AF41*0.05,'FA Addition'!$O41,0,YEARFRAC('FA Addition'!$C41,$L$1,3),'FA Addition'!$Q41),FAAddition[[#This Row],[Original Cost (Rs)]]-FAAddition[[#This Row],[Salvage Value]])),0),0)</f>
        <v>22515</v>
      </c>
      <c r="AO41" s="117">
        <f t="shared" si="3"/>
        <v>0</v>
      </c>
      <c r="AQ41" s="117">
        <f t="shared" si="1"/>
        <v>1185</v>
      </c>
      <c r="AR41" s="120">
        <f t="shared" si="2"/>
        <v>1185</v>
      </c>
      <c r="AS41" s="121"/>
    </row>
    <row r="42" spans="1:45" ht="13.5" x14ac:dyDescent="0.4">
      <c r="A42" s="12">
        <f t="shared" si="4"/>
        <v>39</v>
      </c>
      <c r="B42" s="44" t="s">
        <v>439</v>
      </c>
      <c r="C42" s="45">
        <v>42229</v>
      </c>
      <c r="D42" s="45">
        <v>42229</v>
      </c>
      <c r="E42" s="46" t="s">
        <v>32</v>
      </c>
      <c r="F42" s="44" t="s">
        <v>32</v>
      </c>
      <c r="G42" s="44" t="s">
        <v>478</v>
      </c>
      <c r="H42" s="44" t="s">
        <v>32</v>
      </c>
      <c r="I42" s="47">
        <v>6748</v>
      </c>
      <c r="J42" s="48">
        <v>6</v>
      </c>
      <c r="K42" s="44" t="s">
        <v>32</v>
      </c>
      <c r="L42" s="52">
        <v>5880</v>
      </c>
      <c r="M42" s="50">
        <f>ROUND('FA Addition'!$L42*5%,0.1)</f>
        <v>294</v>
      </c>
      <c r="N42" s="113" t="str">
        <f>_xlfn.XLOOKUP(_xlfn.CONCAT(E42,B42),'Year Wise Master Dep Approach'!F:F,'Year Wise Master Dep Approach'!D:D)</f>
        <v>WDV</v>
      </c>
      <c r="O42" s="113">
        <f>_xlfn.XLOOKUP(_xlfn.CONCAT(E42,B42),'Year Wise Master Dep Approach'!F:F,'Year Wise Master Dep Approach'!E:E)</f>
        <v>3</v>
      </c>
      <c r="P42" s="114">
        <f>IFERROR(IF('FA Addition'!$N42="WDV",1-('FA Addition'!$M42/'FA Addition'!$L42)^(1/'FA Addition'!$O42),1/'FA Addition'!$O42),0)</f>
        <v>0.63159685013596123</v>
      </c>
      <c r="Q42" s="122">
        <f>'FA Addition'!$P42*'FA Addition'!$O42</f>
        <v>1.8947905504078837</v>
      </c>
      <c r="R42" s="122"/>
      <c r="S42" s="116">
        <f>IF(AND(DATE(20&amp;LEFT(FAAddition[[#This Row],[FY]],2),4,1)&lt;$L$1+1,DATE(20&amp;LEFT(FAAddition[[#This Row],[FY]],2),4,1)&gt;$P$1-1),'FA Addition'!$J42,0)</f>
        <v>0</v>
      </c>
      <c r="U42" s="117">
        <f>S42*'FA Addition'!$L42/'FA Addition'!$J42</f>
        <v>0</v>
      </c>
      <c r="W42" s="116">
        <f>SUMIFS('FA Write off'!D:D,'FA Write off'!A:A,'FA Addition'!$A42,'FA Write off'!C:C,"&lt;"&amp;'FA Addition'!$P$1)</f>
        <v>0</v>
      </c>
      <c r="Y42" s="191">
        <f>IFERROR(W42/'FA Addition'!$J42*'FA Addition'!$L42,0)</f>
        <v>0</v>
      </c>
      <c r="AA42" s="116">
        <f>SUMIFS('FA Write off'!D:D,'FA Write off'!A:A,'FA Addition'!$A42,'FA Write off'!C:C,"&lt;"&amp;'FA Addition'!$L$1+1,'FA Write off'!C:C,"&gt;"&amp;'FA Addition'!$L$1-365)</f>
        <v>0</v>
      </c>
      <c r="AC42" s="118">
        <f>IFERROR(AA42/'FA Addition'!$J42*'FA Addition'!$L42,0)</f>
        <v>0</v>
      </c>
      <c r="AE42" s="117">
        <f>IF(AND('FA Addition'!$D42&lt;$P$1+1,U42=0),'FA Addition'!$L42,0)-Y42</f>
        <v>5880</v>
      </c>
      <c r="AF42" s="117">
        <f t="shared" si="0"/>
        <v>5880</v>
      </c>
      <c r="AG42" s="117">
        <f>MIN(MAX(+$P$1-'FA Addition'!$D42,0),365*'FA Addition'!$O42)</f>
        <v>1095</v>
      </c>
      <c r="AH42" s="117">
        <f>MIN(MAX($L$1-'FA Addition'!$D42+1,0),365*'FA Addition'!$O42)</f>
        <v>1095</v>
      </c>
      <c r="AI42" s="117" cm="1">
        <f t="array" ref="AI42">_xlfn.XLOOKUP(1,('FA Write off'!A:A='FA Addition'!$A42)*('FA Write off'!D:D=AA42),'FA Write off'!H:H,0,0)</f>
        <v>0</v>
      </c>
      <c r="AJ42" s="117">
        <f>IF(AC42&gt;0,MAX(IF('FA Addition'!$N42="SLM",($AC42-'FA Addition'!$M42)*'FA Addition'!$P42*AI42/365,(AC42-'FA Addition'!$M42)*(1-(1-'FA Addition'!$P42)^(AI42/365))),0),0)</f>
        <v>0</v>
      </c>
      <c r="AL42" s="117">
        <f>MAX(IF(AG42&gt;0,IF('FA Addition'!$N42="SLM",($AE42-'FA Addition'!$M42)*'FA Addition'!$P42*AG42/365,IFERROR(VDB(AE42,AE42*0.05,'FA Addition'!$O42,0,YEARFRAC('FA Addition'!$C42,$P$1-1,3),'FA Addition'!$Q42),FAAddition[[#This Row],[Original Cost (Rs)]]-FAAddition[[#This Row],[Salvage Value]])),0),0)</f>
        <v>5586</v>
      </c>
      <c r="AM42" s="119"/>
      <c r="AN42" s="117">
        <f>MAX(IF(AH42&gt;0,IF('FA Addition'!$N42="SLM",($AF42-'FA Addition'!$M42)*'FA Addition'!$P42*AH42/365,IFERROR(VDB(AF42,AF42*0.05,'FA Addition'!$O42,0,YEARFRAC('FA Addition'!$C42,$L$1,3),'FA Addition'!$Q42),FAAddition[[#This Row],[Original Cost (Rs)]]-FAAddition[[#This Row],[Salvage Value]])),0),0)</f>
        <v>5586</v>
      </c>
      <c r="AO42" s="117">
        <f t="shared" si="3"/>
        <v>0</v>
      </c>
      <c r="AQ42" s="117">
        <f t="shared" si="1"/>
        <v>294</v>
      </c>
      <c r="AR42" s="120">
        <f t="shared" si="2"/>
        <v>294</v>
      </c>
      <c r="AS42" s="121"/>
    </row>
    <row r="43" spans="1:45" ht="13.5" x14ac:dyDescent="0.4">
      <c r="A43" s="12">
        <f t="shared" si="4"/>
        <v>40</v>
      </c>
      <c r="B43" s="44" t="s">
        <v>439</v>
      </c>
      <c r="C43" s="45">
        <v>42229</v>
      </c>
      <c r="D43" s="45">
        <v>42229</v>
      </c>
      <c r="E43" s="46" t="s">
        <v>32</v>
      </c>
      <c r="F43" s="44" t="s">
        <v>32</v>
      </c>
      <c r="G43" s="44" t="s">
        <v>475</v>
      </c>
      <c r="H43" s="44" t="s">
        <v>32</v>
      </c>
      <c r="I43" s="47">
        <v>5673</v>
      </c>
      <c r="J43" s="56">
        <v>1</v>
      </c>
      <c r="K43" s="44"/>
      <c r="L43" s="52">
        <v>25300</v>
      </c>
      <c r="M43" s="50">
        <f>ROUND('FA Addition'!$L43*5%,0.1)</f>
        <v>1265</v>
      </c>
      <c r="N43" s="113" t="str">
        <f>_xlfn.XLOOKUP(_xlfn.CONCAT(E43,B43),'Year Wise Master Dep Approach'!F:F,'Year Wise Master Dep Approach'!D:D)</f>
        <v>WDV</v>
      </c>
      <c r="O43" s="113">
        <f>_xlfn.XLOOKUP(_xlfn.CONCAT(E43,B43),'Year Wise Master Dep Approach'!F:F,'Year Wise Master Dep Approach'!E:E)</f>
        <v>3</v>
      </c>
      <c r="P43" s="114">
        <f>IFERROR(IF('FA Addition'!$N43="WDV",1-('FA Addition'!$M43/'FA Addition'!$L43)^(1/'FA Addition'!$O43),1/'FA Addition'!$O43),0)</f>
        <v>0.63159685013596123</v>
      </c>
      <c r="Q43" s="122">
        <f>'FA Addition'!$P43*'FA Addition'!$O43</f>
        <v>1.8947905504078837</v>
      </c>
      <c r="R43" s="122"/>
      <c r="S43" s="116">
        <f>IF(AND(DATE(20&amp;LEFT(FAAddition[[#This Row],[FY]],2),4,1)&lt;$L$1+1,DATE(20&amp;LEFT(FAAddition[[#This Row],[FY]],2),4,1)&gt;$P$1-1),'FA Addition'!$J43,0)</f>
        <v>0</v>
      </c>
      <c r="U43" s="117">
        <f>S43*'FA Addition'!$L43/'FA Addition'!$J43</f>
        <v>0</v>
      </c>
      <c r="W43" s="116">
        <f>SUMIFS('FA Write off'!D:D,'FA Write off'!A:A,'FA Addition'!$A43,'FA Write off'!C:C,"&lt;"&amp;'FA Addition'!$P$1)</f>
        <v>0</v>
      </c>
      <c r="Y43" s="191">
        <f>IFERROR(W43/'FA Addition'!$J43*'FA Addition'!$L43,0)</f>
        <v>0</v>
      </c>
      <c r="AA43" s="116">
        <f>SUMIFS('FA Write off'!D:D,'FA Write off'!A:A,'FA Addition'!$A43,'FA Write off'!C:C,"&lt;"&amp;'FA Addition'!$L$1+1,'FA Write off'!C:C,"&gt;"&amp;'FA Addition'!$L$1-365)</f>
        <v>0</v>
      </c>
      <c r="AC43" s="118">
        <f>IFERROR(AA43/'FA Addition'!$J43*'FA Addition'!$L43,0)</f>
        <v>0</v>
      </c>
      <c r="AE43" s="117">
        <f>IF(AND('FA Addition'!$D43&lt;$P$1+1,U43=0),'FA Addition'!$L43,0)-Y43</f>
        <v>25300</v>
      </c>
      <c r="AF43" s="117">
        <f t="shared" si="0"/>
        <v>25300</v>
      </c>
      <c r="AG43" s="117">
        <f>MIN(MAX(+$P$1-'FA Addition'!$D43,0),365*'FA Addition'!$O43)</f>
        <v>1095</v>
      </c>
      <c r="AH43" s="117">
        <f>MIN(MAX($L$1-'FA Addition'!$D43+1,0),365*'FA Addition'!$O43)</f>
        <v>1095</v>
      </c>
      <c r="AI43" s="117" cm="1">
        <f t="array" ref="AI43">_xlfn.XLOOKUP(1,('FA Write off'!A:A='FA Addition'!$A43)*('FA Write off'!D:D=AA43),'FA Write off'!H:H,0,0)</f>
        <v>0</v>
      </c>
      <c r="AJ43" s="117">
        <f>IF(AC43&gt;0,MAX(IF('FA Addition'!$N43="SLM",($AC43-'FA Addition'!$M43)*'FA Addition'!$P43*AI43/365,(AC43-'FA Addition'!$M43)*(1-(1-'FA Addition'!$P43)^(AI43/365))),0),0)</f>
        <v>0</v>
      </c>
      <c r="AL43" s="117">
        <f>MAX(IF(AG43&gt;0,IF('FA Addition'!$N43="SLM",($AE43-'FA Addition'!$M43)*'FA Addition'!$P43*AG43/365,IFERROR(VDB(AE43,AE43*0.05,'FA Addition'!$O43,0,YEARFRAC('FA Addition'!$C43,$P$1-1,3),'FA Addition'!$Q43),FAAddition[[#This Row],[Original Cost (Rs)]]-FAAddition[[#This Row],[Salvage Value]])),0),0)</f>
        <v>24035</v>
      </c>
      <c r="AM43" s="119"/>
      <c r="AN43" s="117">
        <f>MAX(IF(AH43&gt;0,IF('FA Addition'!$N43="SLM",($AF43-'FA Addition'!$M43)*'FA Addition'!$P43*AH43/365,IFERROR(VDB(AF43,AF43*0.05,'FA Addition'!$O43,0,YEARFRAC('FA Addition'!$C43,$L$1,3),'FA Addition'!$Q43),FAAddition[[#This Row],[Original Cost (Rs)]]-FAAddition[[#This Row],[Salvage Value]])),0),0)</f>
        <v>24035</v>
      </c>
      <c r="AO43" s="117">
        <f t="shared" si="3"/>
        <v>0</v>
      </c>
      <c r="AQ43" s="117">
        <f t="shared" si="1"/>
        <v>1265</v>
      </c>
      <c r="AR43" s="120">
        <f t="shared" si="2"/>
        <v>1265</v>
      </c>
      <c r="AS43" s="121"/>
    </row>
    <row r="44" spans="1:45" ht="13.5" x14ac:dyDescent="0.4">
      <c r="A44" s="12">
        <f t="shared" si="4"/>
        <v>41</v>
      </c>
      <c r="B44" s="44" t="s">
        <v>439</v>
      </c>
      <c r="C44" s="45">
        <v>42243</v>
      </c>
      <c r="D44" s="45">
        <v>42243</v>
      </c>
      <c r="E44" s="46" t="s">
        <v>451</v>
      </c>
      <c r="F44" s="44" t="s">
        <v>452</v>
      </c>
      <c r="G44" s="44" t="s">
        <v>435</v>
      </c>
      <c r="H44" s="44"/>
      <c r="I44" s="47" t="s">
        <v>479</v>
      </c>
      <c r="J44" s="56">
        <v>1</v>
      </c>
      <c r="K44" s="44"/>
      <c r="L44" s="52">
        <v>2139</v>
      </c>
      <c r="M44" s="50">
        <f>ROUND('FA Addition'!$L44*5%,0.1)</f>
        <v>107</v>
      </c>
      <c r="N44" s="113" t="str">
        <f>_xlfn.XLOOKUP(_xlfn.CONCAT(E44,B44),'Year Wise Master Dep Approach'!F:F,'Year Wise Master Dep Approach'!D:D)</f>
        <v>WDV</v>
      </c>
      <c r="O44" s="113">
        <f>_xlfn.XLOOKUP(_xlfn.CONCAT(E44,B44),'Year Wise Master Dep Approach'!F:F,'Year Wise Master Dep Approach'!E:E)</f>
        <v>3</v>
      </c>
      <c r="P44" s="114">
        <f>IFERROR(IF('FA Addition'!$N44="WDV",1-('FA Addition'!$M44/'FA Addition'!$L44)^(1/'FA Addition'!$O44),1/'FA Addition'!$O44),0)</f>
        <v>0.63153944858472633</v>
      </c>
      <c r="Q44" s="122">
        <f>'FA Addition'!$P44*'FA Addition'!$O44</f>
        <v>1.894618345754179</v>
      </c>
      <c r="R44" s="122"/>
      <c r="S44" s="116">
        <f>IF(AND(DATE(20&amp;LEFT(FAAddition[[#This Row],[FY]],2),4,1)&lt;$L$1+1,DATE(20&amp;LEFT(FAAddition[[#This Row],[FY]],2),4,1)&gt;$P$1-1),'FA Addition'!$J44,0)</f>
        <v>0</v>
      </c>
      <c r="U44" s="117">
        <f>S44*'FA Addition'!$L44/'FA Addition'!$J44</f>
        <v>0</v>
      </c>
      <c r="W44" s="116">
        <f>SUMIFS('FA Write off'!D:D,'FA Write off'!A:A,'FA Addition'!$A44,'FA Write off'!C:C,"&lt;"&amp;'FA Addition'!$P$1)</f>
        <v>0</v>
      </c>
      <c r="Y44" s="191">
        <f>IFERROR(W44/'FA Addition'!$J44*'FA Addition'!$L44,0)</f>
        <v>0</v>
      </c>
      <c r="AA44" s="116">
        <f>SUMIFS('FA Write off'!D:D,'FA Write off'!A:A,'FA Addition'!$A44,'FA Write off'!C:C,"&lt;"&amp;'FA Addition'!$L$1+1,'FA Write off'!C:C,"&gt;"&amp;'FA Addition'!$L$1-365)</f>
        <v>0</v>
      </c>
      <c r="AC44" s="118">
        <f>IFERROR(AA44/'FA Addition'!$J44*'FA Addition'!$L44,0)</f>
        <v>0</v>
      </c>
      <c r="AE44" s="117">
        <f>IF(AND('FA Addition'!$D44&lt;$P$1+1,U44=0),'FA Addition'!$L44,0)-Y44</f>
        <v>2139</v>
      </c>
      <c r="AF44" s="117">
        <f t="shared" si="0"/>
        <v>2139</v>
      </c>
      <c r="AG44" s="117">
        <f>MIN(MAX(+$P$1-'FA Addition'!$D44,0),365*'FA Addition'!$O44)</f>
        <v>1095</v>
      </c>
      <c r="AH44" s="117">
        <f>MIN(MAX($L$1-'FA Addition'!$D44+1,0),365*'FA Addition'!$O44)</f>
        <v>1095</v>
      </c>
      <c r="AI44" s="117" cm="1">
        <f t="array" ref="AI44">_xlfn.XLOOKUP(1,('FA Write off'!A:A='FA Addition'!$A44)*('FA Write off'!D:D=AA44),'FA Write off'!H:H,0,0)</f>
        <v>0</v>
      </c>
      <c r="AJ44" s="117">
        <f>IF(AC44&gt;0,MAX(IF('FA Addition'!$N44="SLM",($AC44-'FA Addition'!$M44)*'FA Addition'!$P44*AI44/365,(AC44-'FA Addition'!$M44)*(1-(1-'FA Addition'!$P44)^(AI44/365))),0),0)</f>
        <v>0</v>
      </c>
      <c r="AL44" s="117">
        <f>MAX(IF(AG44&gt;0,IF('FA Addition'!$N44="SLM",($AE44-'FA Addition'!$M44)*'FA Addition'!$P44*AG44/365,IFERROR(VDB(AE44,AE44*0.05,'FA Addition'!$O44,0,YEARFRAC('FA Addition'!$C44,$P$1-1,3),'FA Addition'!$Q44),FAAddition[[#This Row],[Original Cost (Rs)]]-FAAddition[[#This Row],[Salvage Value]])),0),0)</f>
        <v>2032</v>
      </c>
      <c r="AM44" s="119"/>
      <c r="AN44" s="117">
        <f>MAX(IF(AH44&gt;0,IF('FA Addition'!$N44="SLM",($AF44-'FA Addition'!$M44)*'FA Addition'!$P44*AH44/365,IFERROR(VDB(AF44,AF44*0.05,'FA Addition'!$O44,0,YEARFRAC('FA Addition'!$C44,$L$1,3),'FA Addition'!$Q44),FAAddition[[#This Row],[Original Cost (Rs)]]-FAAddition[[#This Row],[Salvage Value]])),0),0)</f>
        <v>2032</v>
      </c>
      <c r="AO44" s="117">
        <f t="shared" si="3"/>
        <v>0</v>
      </c>
      <c r="AQ44" s="117">
        <f t="shared" si="1"/>
        <v>107</v>
      </c>
      <c r="AR44" s="120">
        <f t="shared" si="2"/>
        <v>107</v>
      </c>
      <c r="AS44" s="121"/>
    </row>
    <row r="45" spans="1:45" ht="13.5" x14ac:dyDescent="0.4">
      <c r="A45" s="12">
        <f t="shared" si="4"/>
        <v>42</v>
      </c>
      <c r="B45" s="44" t="s">
        <v>439</v>
      </c>
      <c r="C45" s="45">
        <v>42266</v>
      </c>
      <c r="D45" s="45">
        <v>42266</v>
      </c>
      <c r="E45" s="46" t="s">
        <v>451</v>
      </c>
      <c r="F45" s="44" t="s">
        <v>21</v>
      </c>
      <c r="G45" s="44" t="s">
        <v>480</v>
      </c>
      <c r="H45" s="44" t="s">
        <v>21</v>
      </c>
      <c r="I45" s="47"/>
      <c r="J45" s="56">
        <v>1</v>
      </c>
      <c r="K45" s="44" t="s">
        <v>21</v>
      </c>
      <c r="L45" s="52">
        <v>26486</v>
      </c>
      <c r="M45" s="50">
        <f>ROUND('FA Addition'!$L45*5%,0.1)</f>
        <v>1324</v>
      </c>
      <c r="N45" s="113" t="str">
        <f>_xlfn.XLOOKUP(_xlfn.CONCAT(E45,B45),'Year Wise Master Dep Approach'!F:F,'Year Wise Master Dep Approach'!D:D)</f>
        <v>WDV</v>
      </c>
      <c r="O45" s="113">
        <f>_xlfn.XLOOKUP(_xlfn.CONCAT(E45,B45),'Year Wise Master Dep Approach'!F:F,'Year Wise Master Dep Approach'!E:E)</f>
        <v>3</v>
      </c>
      <c r="P45" s="114">
        <f>IFERROR(IF('FA Addition'!$N45="WDV",1-('FA Addition'!$M45/'FA Addition'!$L45)^(1/'FA Addition'!$O45),1/'FA Addition'!$O45),0)</f>
        <v>0.63162467094484698</v>
      </c>
      <c r="Q45" s="122">
        <f>'FA Addition'!$P45*'FA Addition'!$O45</f>
        <v>1.8948740128345409</v>
      </c>
      <c r="R45" s="122"/>
      <c r="S45" s="116">
        <f>IF(AND(DATE(20&amp;LEFT(FAAddition[[#This Row],[FY]],2),4,1)&lt;$L$1+1,DATE(20&amp;LEFT(FAAddition[[#This Row],[FY]],2),4,1)&gt;$P$1-1),'FA Addition'!$J45,0)</f>
        <v>0</v>
      </c>
      <c r="U45" s="117">
        <f>S45*'FA Addition'!$L45/'FA Addition'!$J45</f>
        <v>0</v>
      </c>
      <c r="W45" s="116">
        <f>SUMIFS('FA Write off'!D:D,'FA Write off'!A:A,'FA Addition'!$A45,'FA Write off'!C:C,"&lt;"&amp;'FA Addition'!$P$1)</f>
        <v>0</v>
      </c>
      <c r="Y45" s="191">
        <f>IFERROR(W45/'FA Addition'!$J45*'FA Addition'!$L45,0)</f>
        <v>0</v>
      </c>
      <c r="AA45" s="116">
        <f>SUMIFS('FA Write off'!D:D,'FA Write off'!A:A,'FA Addition'!$A45,'FA Write off'!C:C,"&lt;"&amp;'FA Addition'!$L$1+1,'FA Write off'!C:C,"&gt;"&amp;'FA Addition'!$L$1-365)</f>
        <v>0</v>
      </c>
      <c r="AC45" s="118">
        <f>IFERROR(AA45/'FA Addition'!$J45*'FA Addition'!$L45,0)</f>
        <v>0</v>
      </c>
      <c r="AE45" s="117">
        <f>IF(AND('FA Addition'!$D45&lt;$P$1+1,U45=0),'FA Addition'!$L45,0)-Y45</f>
        <v>26486</v>
      </c>
      <c r="AF45" s="117">
        <f t="shared" si="0"/>
        <v>26486</v>
      </c>
      <c r="AG45" s="117">
        <f>MIN(MAX(+$P$1-'FA Addition'!$D45,0),365*'FA Addition'!$O45)</f>
        <v>1095</v>
      </c>
      <c r="AH45" s="117">
        <f>MIN(MAX($L$1-'FA Addition'!$D45+1,0),365*'FA Addition'!$O45)</f>
        <v>1095</v>
      </c>
      <c r="AI45" s="117" cm="1">
        <f t="array" ref="AI45">_xlfn.XLOOKUP(1,('FA Write off'!A:A='FA Addition'!$A45)*('FA Write off'!D:D=AA45),'FA Write off'!H:H,0,0)</f>
        <v>0</v>
      </c>
      <c r="AJ45" s="117">
        <f>IF(AC45&gt;0,MAX(IF('FA Addition'!$N45="SLM",($AC45-'FA Addition'!$M45)*'FA Addition'!$P45*AI45/365,(AC45-'FA Addition'!$M45)*(1-(1-'FA Addition'!$P45)^(AI45/365))),0),0)</f>
        <v>0</v>
      </c>
      <c r="AL45" s="117">
        <f>MAX(IF(AG45&gt;0,IF('FA Addition'!$N45="SLM",($AE45-'FA Addition'!$M45)*'FA Addition'!$P45*AG45/365,IFERROR(VDB(AE45,AE45*0.05,'FA Addition'!$O45,0,YEARFRAC('FA Addition'!$C45,$P$1-1,3),'FA Addition'!$Q45),FAAddition[[#This Row],[Original Cost (Rs)]]-FAAddition[[#This Row],[Salvage Value]])),0),0)</f>
        <v>25162</v>
      </c>
      <c r="AM45" s="119"/>
      <c r="AN45" s="117">
        <f>MAX(IF(AH45&gt;0,IF('FA Addition'!$N45="SLM",($AF45-'FA Addition'!$M45)*'FA Addition'!$P45*AH45/365,IFERROR(VDB(AF45,AF45*0.05,'FA Addition'!$O45,0,YEARFRAC('FA Addition'!$C45,$L$1,3),'FA Addition'!$Q45),FAAddition[[#This Row],[Original Cost (Rs)]]-FAAddition[[#This Row],[Salvage Value]])),0),0)</f>
        <v>25162</v>
      </c>
      <c r="AO45" s="117">
        <f t="shared" si="3"/>
        <v>0</v>
      </c>
      <c r="AQ45" s="117">
        <f t="shared" si="1"/>
        <v>1324</v>
      </c>
      <c r="AR45" s="120">
        <f t="shared" si="2"/>
        <v>1324</v>
      </c>
      <c r="AS45" s="121"/>
    </row>
    <row r="46" spans="1:45" ht="13.5" x14ac:dyDescent="0.4">
      <c r="A46" s="12">
        <f t="shared" si="4"/>
        <v>43</v>
      </c>
      <c r="B46" s="44" t="s">
        <v>439</v>
      </c>
      <c r="C46" s="45">
        <v>42272</v>
      </c>
      <c r="D46" s="45">
        <v>42272</v>
      </c>
      <c r="E46" s="46" t="s">
        <v>451</v>
      </c>
      <c r="F46" s="44" t="s">
        <v>452</v>
      </c>
      <c r="G46" s="44" t="s">
        <v>462</v>
      </c>
      <c r="H46" s="44"/>
      <c r="I46" s="47">
        <v>8711</v>
      </c>
      <c r="J46" s="56">
        <v>1</v>
      </c>
      <c r="K46" s="44"/>
      <c r="L46" s="52">
        <v>22100</v>
      </c>
      <c r="M46" s="50">
        <f>ROUND('FA Addition'!$L46*5%,0.1)</f>
        <v>1105</v>
      </c>
      <c r="N46" s="113" t="str">
        <f>_xlfn.XLOOKUP(_xlfn.CONCAT(E46,B46),'Year Wise Master Dep Approach'!F:F,'Year Wise Master Dep Approach'!D:D)</f>
        <v>WDV</v>
      </c>
      <c r="O46" s="113">
        <f>_xlfn.XLOOKUP(_xlfn.CONCAT(E46,B46),'Year Wise Master Dep Approach'!F:F,'Year Wise Master Dep Approach'!E:E)</f>
        <v>3</v>
      </c>
      <c r="P46" s="114">
        <f>IFERROR(IF('FA Addition'!$N46="WDV",1-('FA Addition'!$M46/'FA Addition'!$L46)^(1/'FA Addition'!$O46),1/'FA Addition'!$O46),0)</f>
        <v>0.63159685013596123</v>
      </c>
      <c r="Q46" s="122">
        <f>'FA Addition'!$P46*'FA Addition'!$O46</f>
        <v>1.8947905504078837</v>
      </c>
      <c r="R46" s="122"/>
      <c r="S46" s="116">
        <f>IF(AND(DATE(20&amp;LEFT(FAAddition[[#This Row],[FY]],2),4,1)&lt;$L$1+1,DATE(20&amp;LEFT(FAAddition[[#This Row],[FY]],2),4,1)&gt;$P$1-1),'FA Addition'!$J46,0)</f>
        <v>0</v>
      </c>
      <c r="U46" s="117">
        <f>S46*'FA Addition'!$L46/'FA Addition'!$J46</f>
        <v>0</v>
      </c>
      <c r="W46" s="116">
        <f>SUMIFS('FA Write off'!D:D,'FA Write off'!A:A,'FA Addition'!$A46,'FA Write off'!C:C,"&lt;"&amp;'FA Addition'!$P$1)</f>
        <v>0</v>
      </c>
      <c r="Y46" s="191">
        <f>IFERROR(W46/'FA Addition'!$J46*'FA Addition'!$L46,0)</f>
        <v>0</v>
      </c>
      <c r="AA46" s="116">
        <f>SUMIFS('FA Write off'!D:D,'FA Write off'!A:A,'FA Addition'!$A46,'FA Write off'!C:C,"&lt;"&amp;'FA Addition'!$L$1+1,'FA Write off'!C:C,"&gt;"&amp;'FA Addition'!$L$1-365)</f>
        <v>0</v>
      </c>
      <c r="AC46" s="118">
        <f>IFERROR(AA46/'FA Addition'!$J46*'FA Addition'!$L46,0)</f>
        <v>0</v>
      </c>
      <c r="AE46" s="117">
        <f>IF(AND('FA Addition'!$D46&lt;$P$1+1,U46=0),'FA Addition'!$L46,0)-Y46</f>
        <v>22100</v>
      </c>
      <c r="AF46" s="117">
        <f t="shared" si="0"/>
        <v>22100</v>
      </c>
      <c r="AG46" s="117">
        <f>MIN(MAX(+$P$1-'FA Addition'!$D46,0),365*'FA Addition'!$O46)</f>
        <v>1095</v>
      </c>
      <c r="AH46" s="117">
        <f>MIN(MAX($L$1-'FA Addition'!$D46+1,0),365*'FA Addition'!$O46)</f>
        <v>1095</v>
      </c>
      <c r="AI46" s="117" cm="1">
        <f t="array" ref="AI46">_xlfn.XLOOKUP(1,('FA Write off'!A:A='FA Addition'!$A46)*('FA Write off'!D:D=AA46),'FA Write off'!H:H,0,0)</f>
        <v>0</v>
      </c>
      <c r="AJ46" s="117">
        <f>IF(AC46&gt;0,MAX(IF('FA Addition'!$N46="SLM",($AC46-'FA Addition'!$M46)*'FA Addition'!$P46*AI46/365,(AC46-'FA Addition'!$M46)*(1-(1-'FA Addition'!$P46)^(AI46/365))),0),0)</f>
        <v>0</v>
      </c>
      <c r="AL46" s="117">
        <f>MAX(IF(AG46&gt;0,IF('FA Addition'!$N46="SLM",($AE46-'FA Addition'!$M46)*'FA Addition'!$P46*AG46/365,IFERROR(VDB(AE46,AE46*0.05,'FA Addition'!$O46,0,YEARFRAC('FA Addition'!$C46,$P$1-1,3),'FA Addition'!$Q46),FAAddition[[#This Row],[Original Cost (Rs)]]-FAAddition[[#This Row],[Salvage Value]])),0),0)</f>
        <v>20995</v>
      </c>
      <c r="AM46" s="119"/>
      <c r="AN46" s="117">
        <f>MAX(IF(AH46&gt;0,IF('FA Addition'!$N46="SLM",($AF46-'FA Addition'!$M46)*'FA Addition'!$P46*AH46/365,IFERROR(VDB(AF46,AF46*0.05,'FA Addition'!$O46,0,YEARFRAC('FA Addition'!$C46,$L$1,3),'FA Addition'!$Q46),FAAddition[[#This Row],[Original Cost (Rs)]]-FAAddition[[#This Row],[Salvage Value]])),0),0)</f>
        <v>20995</v>
      </c>
      <c r="AO46" s="117">
        <f t="shared" si="3"/>
        <v>0</v>
      </c>
      <c r="AQ46" s="117">
        <f t="shared" si="1"/>
        <v>1105</v>
      </c>
      <c r="AR46" s="120">
        <f t="shared" si="2"/>
        <v>1105</v>
      </c>
      <c r="AS46" s="121"/>
    </row>
    <row r="47" spans="1:45" ht="13.5" x14ac:dyDescent="0.4">
      <c r="A47" s="12">
        <f t="shared" si="4"/>
        <v>44</v>
      </c>
      <c r="B47" s="44" t="s">
        <v>439</v>
      </c>
      <c r="C47" s="45">
        <v>42272</v>
      </c>
      <c r="D47" s="45">
        <v>42272</v>
      </c>
      <c r="E47" s="46" t="s">
        <v>451</v>
      </c>
      <c r="F47" s="44" t="s">
        <v>452</v>
      </c>
      <c r="G47" s="44" t="s">
        <v>462</v>
      </c>
      <c r="H47" s="44"/>
      <c r="I47" s="47">
        <v>8712</v>
      </c>
      <c r="J47" s="56">
        <v>1</v>
      </c>
      <c r="K47" s="44"/>
      <c r="L47" s="52">
        <v>6900</v>
      </c>
      <c r="M47" s="50">
        <f>ROUND('FA Addition'!$L47*5%,0.1)</f>
        <v>345</v>
      </c>
      <c r="N47" s="113" t="str">
        <f>_xlfn.XLOOKUP(_xlfn.CONCAT(E47,B47),'Year Wise Master Dep Approach'!F:F,'Year Wise Master Dep Approach'!D:D)</f>
        <v>WDV</v>
      </c>
      <c r="O47" s="113">
        <f>_xlfn.XLOOKUP(_xlfn.CONCAT(E47,B47),'Year Wise Master Dep Approach'!F:F,'Year Wise Master Dep Approach'!E:E)</f>
        <v>3</v>
      </c>
      <c r="P47" s="114">
        <f>IFERROR(IF('FA Addition'!$N47="WDV",1-('FA Addition'!$M47/'FA Addition'!$L47)^(1/'FA Addition'!$O47),1/'FA Addition'!$O47),0)</f>
        <v>0.63159685013596123</v>
      </c>
      <c r="Q47" s="122">
        <f>'FA Addition'!$P47*'FA Addition'!$O47</f>
        <v>1.8947905504078837</v>
      </c>
      <c r="R47" s="122"/>
      <c r="S47" s="116">
        <f>IF(AND(DATE(20&amp;LEFT(FAAddition[[#This Row],[FY]],2),4,1)&lt;$L$1+1,DATE(20&amp;LEFT(FAAddition[[#This Row],[FY]],2),4,1)&gt;$P$1-1),'FA Addition'!$J47,0)</f>
        <v>0</v>
      </c>
      <c r="U47" s="117">
        <f>S47*'FA Addition'!$L47/'FA Addition'!$J47</f>
        <v>0</v>
      </c>
      <c r="W47" s="116">
        <f>SUMIFS('FA Write off'!D:D,'FA Write off'!A:A,'FA Addition'!$A47,'FA Write off'!C:C,"&lt;"&amp;'FA Addition'!$P$1)</f>
        <v>0</v>
      </c>
      <c r="Y47" s="191">
        <f>IFERROR(W47/'FA Addition'!$J47*'FA Addition'!$L47,0)</f>
        <v>0</v>
      </c>
      <c r="AA47" s="116">
        <f>SUMIFS('FA Write off'!D:D,'FA Write off'!A:A,'FA Addition'!$A47,'FA Write off'!C:C,"&lt;"&amp;'FA Addition'!$L$1+1,'FA Write off'!C:C,"&gt;"&amp;'FA Addition'!$L$1-365)</f>
        <v>0</v>
      </c>
      <c r="AC47" s="118">
        <f>IFERROR(AA47/'FA Addition'!$J47*'FA Addition'!$L47,0)</f>
        <v>0</v>
      </c>
      <c r="AE47" s="117">
        <f>IF(AND('FA Addition'!$D47&lt;$P$1+1,U47=0),'FA Addition'!$L47,0)-Y47</f>
        <v>6900</v>
      </c>
      <c r="AF47" s="117">
        <f t="shared" si="0"/>
        <v>6900</v>
      </c>
      <c r="AG47" s="117">
        <f>MIN(MAX(+$P$1-'FA Addition'!$D47,0),365*'FA Addition'!$O47)</f>
        <v>1095</v>
      </c>
      <c r="AH47" s="117">
        <f>MIN(MAX($L$1-'FA Addition'!$D47+1,0),365*'FA Addition'!$O47)</f>
        <v>1095</v>
      </c>
      <c r="AI47" s="117" cm="1">
        <f t="array" ref="AI47">_xlfn.XLOOKUP(1,('FA Write off'!A:A='FA Addition'!$A47)*('FA Write off'!D:D=AA47),'FA Write off'!H:H,0,0)</f>
        <v>0</v>
      </c>
      <c r="AJ47" s="117">
        <f>IF(AC47&gt;0,MAX(IF('FA Addition'!$N47="SLM",($AC47-'FA Addition'!$M47)*'FA Addition'!$P47*AI47/365,(AC47-'FA Addition'!$M47)*(1-(1-'FA Addition'!$P47)^(AI47/365))),0),0)</f>
        <v>0</v>
      </c>
      <c r="AL47" s="117">
        <f>MAX(IF(AG47&gt;0,IF('FA Addition'!$N47="SLM",($AE47-'FA Addition'!$M47)*'FA Addition'!$P47*AG47/365,IFERROR(VDB(AE47,AE47*0.05,'FA Addition'!$O47,0,YEARFRAC('FA Addition'!$C47,$P$1-1,3),'FA Addition'!$Q47),FAAddition[[#This Row],[Original Cost (Rs)]]-FAAddition[[#This Row],[Salvage Value]])),0),0)</f>
        <v>6555</v>
      </c>
      <c r="AM47" s="119"/>
      <c r="AN47" s="117">
        <f>MAX(IF(AH47&gt;0,IF('FA Addition'!$N47="SLM",($AF47-'FA Addition'!$M47)*'FA Addition'!$P47*AH47/365,IFERROR(VDB(AF47,AF47*0.05,'FA Addition'!$O47,0,YEARFRAC('FA Addition'!$C47,$L$1,3),'FA Addition'!$Q47),FAAddition[[#This Row],[Original Cost (Rs)]]-FAAddition[[#This Row],[Salvage Value]])),0),0)</f>
        <v>6555</v>
      </c>
      <c r="AO47" s="117">
        <f t="shared" si="3"/>
        <v>0</v>
      </c>
      <c r="AQ47" s="117">
        <f t="shared" si="1"/>
        <v>345</v>
      </c>
      <c r="AR47" s="120">
        <f t="shared" si="2"/>
        <v>345</v>
      </c>
      <c r="AS47" s="121"/>
    </row>
    <row r="48" spans="1:45" ht="13.5" x14ac:dyDescent="0.4">
      <c r="A48" s="12">
        <f t="shared" si="4"/>
        <v>45</v>
      </c>
      <c r="B48" s="44" t="s">
        <v>439</v>
      </c>
      <c r="C48" s="45">
        <v>42272</v>
      </c>
      <c r="D48" s="45">
        <v>42272</v>
      </c>
      <c r="E48" s="46" t="s">
        <v>451</v>
      </c>
      <c r="F48" s="44" t="s">
        <v>452</v>
      </c>
      <c r="G48" s="44" t="s">
        <v>462</v>
      </c>
      <c r="H48" s="44"/>
      <c r="I48" s="47">
        <v>8714</v>
      </c>
      <c r="J48" s="56">
        <v>1</v>
      </c>
      <c r="K48" s="44"/>
      <c r="L48" s="52">
        <v>65450</v>
      </c>
      <c r="M48" s="50">
        <f>ROUND('FA Addition'!$L48*5%,0.1)</f>
        <v>3273</v>
      </c>
      <c r="N48" s="113" t="str">
        <f>_xlfn.XLOOKUP(_xlfn.CONCAT(E48,B48),'Year Wise Master Dep Approach'!F:F,'Year Wise Master Dep Approach'!D:D)</f>
        <v>WDV</v>
      </c>
      <c r="O48" s="113">
        <f>_xlfn.XLOOKUP(_xlfn.CONCAT(E48,B48),'Year Wise Master Dep Approach'!F:F,'Year Wise Master Dep Approach'!E:E)</f>
        <v>3</v>
      </c>
      <c r="P48" s="114">
        <f>IFERROR(IF('FA Addition'!$N48="WDV",1-('FA Addition'!$M48/'FA Addition'!$L48)^(1/'FA Addition'!$O48),1/'FA Addition'!$O48),0)</f>
        <v>0.63157808851697061</v>
      </c>
      <c r="Q48" s="122">
        <f>'FA Addition'!$P48*'FA Addition'!$O48</f>
        <v>1.8947342655509118</v>
      </c>
      <c r="R48" s="122"/>
      <c r="S48" s="116">
        <f>IF(AND(DATE(20&amp;LEFT(FAAddition[[#This Row],[FY]],2),4,1)&lt;$L$1+1,DATE(20&amp;LEFT(FAAddition[[#This Row],[FY]],2),4,1)&gt;$P$1-1),'FA Addition'!$J48,0)</f>
        <v>0</v>
      </c>
      <c r="U48" s="117">
        <f>S48*'FA Addition'!$L48/'FA Addition'!$J48</f>
        <v>0</v>
      </c>
      <c r="W48" s="116">
        <f>SUMIFS('FA Write off'!D:D,'FA Write off'!A:A,'FA Addition'!$A48,'FA Write off'!C:C,"&lt;"&amp;'FA Addition'!$P$1)</f>
        <v>0</v>
      </c>
      <c r="Y48" s="191">
        <f>IFERROR(W48/'FA Addition'!$J48*'FA Addition'!$L48,0)</f>
        <v>0</v>
      </c>
      <c r="AA48" s="116">
        <f>SUMIFS('FA Write off'!D:D,'FA Write off'!A:A,'FA Addition'!$A48,'FA Write off'!C:C,"&lt;"&amp;'FA Addition'!$L$1+1,'FA Write off'!C:C,"&gt;"&amp;'FA Addition'!$L$1-365)</f>
        <v>0</v>
      </c>
      <c r="AC48" s="118">
        <f>IFERROR(AA48/'FA Addition'!$J48*'FA Addition'!$L48,0)</f>
        <v>0</v>
      </c>
      <c r="AE48" s="117">
        <f>IF(AND('FA Addition'!$D48&lt;$P$1+1,U48=0),'FA Addition'!$L48,0)-Y48</f>
        <v>65450</v>
      </c>
      <c r="AF48" s="117">
        <f t="shared" si="0"/>
        <v>65450</v>
      </c>
      <c r="AG48" s="117">
        <f>MIN(MAX(+$P$1-'FA Addition'!$D48,0),365*'FA Addition'!$O48)</f>
        <v>1095</v>
      </c>
      <c r="AH48" s="117">
        <f>MIN(MAX($L$1-'FA Addition'!$D48+1,0),365*'FA Addition'!$O48)</f>
        <v>1095</v>
      </c>
      <c r="AI48" s="117" cm="1">
        <f t="array" ref="AI48">_xlfn.XLOOKUP(1,('FA Write off'!A:A='FA Addition'!$A48)*('FA Write off'!D:D=AA48),'FA Write off'!H:H,0,0)</f>
        <v>0</v>
      </c>
      <c r="AJ48" s="117">
        <f>IF(AC48&gt;0,MAX(IF('FA Addition'!$N48="SLM",($AC48-'FA Addition'!$M48)*'FA Addition'!$P48*AI48/365,(AC48-'FA Addition'!$M48)*(1-(1-'FA Addition'!$P48)^(AI48/365))),0),0)</f>
        <v>0</v>
      </c>
      <c r="AL48" s="117">
        <f>MAX(IF(AG48&gt;0,IF('FA Addition'!$N48="SLM",($AE48-'FA Addition'!$M48)*'FA Addition'!$P48*AG48/365,IFERROR(VDB(AE48,AE48*0.05,'FA Addition'!$O48,0,YEARFRAC('FA Addition'!$C48,$P$1-1,3),'FA Addition'!$Q48),FAAddition[[#This Row],[Original Cost (Rs)]]-FAAddition[[#This Row],[Salvage Value]])),0),0)</f>
        <v>62177</v>
      </c>
      <c r="AM48" s="119"/>
      <c r="AN48" s="117">
        <f>MAX(IF(AH48&gt;0,IF('FA Addition'!$N48="SLM",($AF48-'FA Addition'!$M48)*'FA Addition'!$P48*AH48/365,IFERROR(VDB(AF48,AF48*0.05,'FA Addition'!$O48,0,YEARFRAC('FA Addition'!$C48,$L$1,3),'FA Addition'!$Q48),FAAddition[[#This Row],[Original Cost (Rs)]]-FAAddition[[#This Row],[Salvage Value]])),0),0)</f>
        <v>62177</v>
      </c>
      <c r="AO48" s="117">
        <f t="shared" si="3"/>
        <v>0</v>
      </c>
      <c r="AQ48" s="117">
        <f t="shared" si="1"/>
        <v>3273</v>
      </c>
      <c r="AR48" s="120">
        <f t="shared" si="2"/>
        <v>3273</v>
      </c>
      <c r="AS48" s="121"/>
    </row>
    <row r="49" spans="1:45" ht="13.5" x14ac:dyDescent="0.4">
      <c r="A49" s="12">
        <f t="shared" si="4"/>
        <v>46</v>
      </c>
      <c r="B49" s="44" t="s">
        <v>439</v>
      </c>
      <c r="C49" s="45">
        <v>42272</v>
      </c>
      <c r="D49" s="45">
        <v>42272</v>
      </c>
      <c r="E49" s="46" t="s">
        <v>451</v>
      </c>
      <c r="F49" s="44" t="s">
        <v>452</v>
      </c>
      <c r="G49" s="44" t="s">
        <v>462</v>
      </c>
      <c r="H49" s="44"/>
      <c r="I49" s="47">
        <v>8715</v>
      </c>
      <c r="J49" s="56">
        <v>1</v>
      </c>
      <c r="K49" s="44"/>
      <c r="L49" s="52">
        <v>55550</v>
      </c>
      <c r="M49" s="50">
        <f>ROUND('FA Addition'!$L49*5%,0.1)</f>
        <v>2778</v>
      </c>
      <c r="N49" s="113" t="str">
        <f>_xlfn.XLOOKUP(_xlfn.CONCAT(E49,B49),'Year Wise Master Dep Approach'!F:F,'Year Wise Master Dep Approach'!D:D)</f>
        <v>WDV</v>
      </c>
      <c r="O49" s="113">
        <f>_xlfn.XLOOKUP(_xlfn.CONCAT(E49,B49),'Year Wise Master Dep Approach'!F:F,'Year Wise Master Dep Approach'!E:E)</f>
        <v>3</v>
      </c>
      <c r="P49" s="114">
        <f>IFERROR(IF('FA Addition'!$N49="WDV",1-('FA Addition'!$M49/'FA Addition'!$L49)^(1/'FA Addition'!$O49),1/'FA Addition'!$O49),0)</f>
        <v>0.63157474506271349</v>
      </c>
      <c r="Q49" s="122">
        <f>'FA Addition'!$P49*'FA Addition'!$O49</f>
        <v>1.8947242351881406</v>
      </c>
      <c r="R49" s="122"/>
      <c r="S49" s="116">
        <f>IF(AND(DATE(20&amp;LEFT(FAAddition[[#This Row],[FY]],2),4,1)&lt;$L$1+1,DATE(20&amp;LEFT(FAAddition[[#This Row],[FY]],2),4,1)&gt;$P$1-1),'FA Addition'!$J49,0)</f>
        <v>0</v>
      </c>
      <c r="U49" s="117">
        <f>S49*'FA Addition'!$L49/'FA Addition'!$J49</f>
        <v>0</v>
      </c>
      <c r="W49" s="116">
        <f>SUMIFS('FA Write off'!D:D,'FA Write off'!A:A,'FA Addition'!$A49,'FA Write off'!C:C,"&lt;"&amp;'FA Addition'!$P$1)</f>
        <v>0</v>
      </c>
      <c r="Y49" s="191">
        <f>IFERROR(W49/'FA Addition'!$J49*'FA Addition'!$L49,0)</f>
        <v>0</v>
      </c>
      <c r="AA49" s="116">
        <f>SUMIFS('FA Write off'!D:D,'FA Write off'!A:A,'FA Addition'!$A49,'FA Write off'!C:C,"&lt;"&amp;'FA Addition'!$L$1+1,'FA Write off'!C:C,"&gt;"&amp;'FA Addition'!$L$1-365)</f>
        <v>0</v>
      </c>
      <c r="AC49" s="118">
        <f>IFERROR(AA49/'FA Addition'!$J49*'FA Addition'!$L49,0)</f>
        <v>0</v>
      </c>
      <c r="AE49" s="117">
        <f>IF(AND('FA Addition'!$D49&lt;$P$1+1,U49=0),'FA Addition'!$L49,0)-Y49</f>
        <v>55550</v>
      </c>
      <c r="AF49" s="117">
        <f t="shared" si="0"/>
        <v>55550</v>
      </c>
      <c r="AG49" s="117">
        <f>MIN(MAX(+$P$1-'FA Addition'!$D49,0),365*'FA Addition'!$O49)</f>
        <v>1095</v>
      </c>
      <c r="AH49" s="117">
        <f>MIN(MAX($L$1-'FA Addition'!$D49+1,0),365*'FA Addition'!$O49)</f>
        <v>1095</v>
      </c>
      <c r="AI49" s="117" cm="1">
        <f t="array" ref="AI49">_xlfn.XLOOKUP(1,('FA Write off'!A:A='FA Addition'!$A49)*('FA Write off'!D:D=AA49),'FA Write off'!H:H,0,0)</f>
        <v>0</v>
      </c>
      <c r="AJ49" s="117">
        <f>IF(AC49&gt;0,MAX(IF('FA Addition'!$N49="SLM",($AC49-'FA Addition'!$M49)*'FA Addition'!$P49*AI49/365,(AC49-'FA Addition'!$M49)*(1-(1-'FA Addition'!$P49)^(AI49/365))),0),0)</f>
        <v>0</v>
      </c>
      <c r="AL49" s="117">
        <f>MAX(IF(AG49&gt;0,IF('FA Addition'!$N49="SLM",($AE49-'FA Addition'!$M49)*'FA Addition'!$P49*AG49/365,IFERROR(VDB(AE49,AE49*0.05,'FA Addition'!$O49,0,YEARFRAC('FA Addition'!$C49,$P$1-1,3),'FA Addition'!$Q49),FAAddition[[#This Row],[Original Cost (Rs)]]-FAAddition[[#This Row],[Salvage Value]])),0),0)</f>
        <v>52772</v>
      </c>
      <c r="AM49" s="119"/>
      <c r="AN49" s="117">
        <f>MAX(IF(AH49&gt;0,IF('FA Addition'!$N49="SLM",($AF49-'FA Addition'!$M49)*'FA Addition'!$P49*AH49/365,IFERROR(VDB(AF49,AF49*0.05,'FA Addition'!$O49,0,YEARFRAC('FA Addition'!$C49,$L$1,3),'FA Addition'!$Q49),FAAddition[[#This Row],[Original Cost (Rs)]]-FAAddition[[#This Row],[Salvage Value]])),0),0)</f>
        <v>52772</v>
      </c>
      <c r="AO49" s="117">
        <f t="shared" si="3"/>
        <v>0</v>
      </c>
      <c r="AQ49" s="117">
        <f t="shared" si="1"/>
        <v>2778</v>
      </c>
      <c r="AR49" s="120">
        <f t="shared" si="2"/>
        <v>2778</v>
      </c>
      <c r="AS49" s="121"/>
    </row>
    <row r="50" spans="1:45" ht="13.5" x14ac:dyDescent="0.4">
      <c r="A50" s="12">
        <f t="shared" si="4"/>
        <v>47</v>
      </c>
      <c r="B50" s="44" t="s">
        <v>439</v>
      </c>
      <c r="C50" s="45">
        <v>42272</v>
      </c>
      <c r="D50" s="45">
        <v>42272</v>
      </c>
      <c r="E50" s="46" t="s">
        <v>451</v>
      </c>
      <c r="F50" s="44" t="s">
        <v>452</v>
      </c>
      <c r="G50" s="44" t="s">
        <v>462</v>
      </c>
      <c r="H50" s="44"/>
      <c r="I50" s="47">
        <v>1612</v>
      </c>
      <c r="J50" s="56">
        <v>1</v>
      </c>
      <c r="K50" s="44"/>
      <c r="L50" s="52">
        <v>40500</v>
      </c>
      <c r="M50" s="50">
        <f>ROUND('FA Addition'!$L50*5%,0.1)</f>
        <v>2025</v>
      </c>
      <c r="N50" s="113" t="str">
        <f>_xlfn.XLOOKUP(_xlfn.CONCAT(E50,B50),'Year Wise Master Dep Approach'!F:F,'Year Wise Master Dep Approach'!D:D)</f>
        <v>WDV</v>
      </c>
      <c r="O50" s="113">
        <f>_xlfn.XLOOKUP(_xlfn.CONCAT(E50,B50),'Year Wise Master Dep Approach'!F:F,'Year Wise Master Dep Approach'!E:E)</f>
        <v>3</v>
      </c>
      <c r="P50" s="114">
        <f>IFERROR(IF('FA Addition'!$N50="WDV",1-('FA Addition'!$M50/'FA Addition'!$L50)^(1/'FA Addition'!$O50),1/'FA Addition'!$O50),0)</f>
        <v>0.63159685013596123</v>
      </c>
      <c r="Q50" s="122">
        <f>'FA Addition'!$P50*'FA Addition'!$O50</f>
        <v>1.8947905504078837</v>
      </c>
      <c r="R50" s="122"/>
      <c r="S50" s="116">
        <f>IF(AND(DATE(20&amp;LEFT(FAAddition[[#This Row],[FY]],2),4,1)&lt;$L$1+1,DATE(20&amp;LEFT(FAAddition[[#This Row],[FY]],2),4,1)&gt;$P$1-1),'FA Addition'!$J50,0)</f>
        <v>0</v>
      </c>
      <c r="U50" s="117">
        <f>S50*'FA Addition'!$L50/'FA Addition'!$J50</f>
        <v>0</v>
      </c>
      <c r="W50" s="116">
        <f>SUMIFS('FA Write off'!D:D,'FA Write off'!A:A,'FA Addition'!$A50,'FA Write off'!C:C,"&lt;"&amp;'FA Addition'!$P$1)</f>
        <v>0</v>
      </c>
      <c r="Y50" s="191">
        <f>IFERROR(W50/'FA Addition'!$J50*'FA Addition'!$L50,0)</f>
        <v>0</v>
      </c>
      <c r="AA50" s="116">
        <f>SUMIFS('FA Write off'!D:D,'FA Write off'!A:A,'FA Addition'!$A50,'FA Write off'!C:C,"&lt;"&amp;'FA Addition'!$L$1+1,'FA Write off'!C:C,"&gt;"&amp;'FA Addition'!$L$1-365)</f>
        <v>0</v>
      </c>
      <c r="AC50" s="118">
        <f>IFERROR(AA50/'FA Addition'!$J50*'FA Addition'!$L50,0)</f>
        <v>0</v>
      </c>
      <c r="AE50" s="117">
        <f>IF(AND('FA Addition'!$D50&lt;$P$1+1,U50=0),'FA Addition'!$L50,0)-Y50</f>
        <v>40500</v>
      </c>
      <c r="AF50" s="117">
        <f t="shared" si="0"/>
        <v>40500</v>
      </c>
      <c r="AG50" s="117">
        <f>MIN(MAX(+$P$1-'FA Addition'!$D50,0),365*'FA Addition'!$O50)</f>
        <v>1095</v>
      </c>
      <c r="AH50" s="117">
        <f>MIN(MAX($L$1-'FA Addition'!$D50+1,0),365*'FA Addition'!$O50)</f>
        <v>1095</v>
      </c>
      <c r="AI50" s="117" cm="1">
        <f t="array" ref="AI50">_xlfn.XLOOKUP(1,('FA Write off'!A:A='FA Addition'!$A50)*('FA Write off'!D:D=AA50),'FA Write off'!H:H,0,0)</f>
        <v>0</v>
      </c>
      <c r="AJ50" s="117">
        <f>IF(AC50&gt;0,MAX(IF('FA Addition'!$N50="SLM",($AC50-'FA Addition'!$M50)*'FA Addition'!$P50*AI50/365,(AC50-'FA Addition'!$M50)*(1-(1-'FA Addition'!$P50)^(AI50/365))),0),0)</f>
        <v>0</v>
      </c>
      <c r="AL50" s="117">
        <f>MAX(IF(AG50&gt;0,IF('FA Addition'!$N50="SLM",($AE50-'FA Addition'!$M50)*'FA Addition'!$P50*AG50/365,IFERROR(VDB(AE50,AE50*0.05,'FA Addition'!$O50,0,YEARFRAC('FA Addition'!$C50,$P$1-1,3),'FA Addition'!$Q50),FAAddition[[#This Row],[Original Cost (Rs)]]-FAAddition[[#This Row],[Salvage Value]])),0),0)</f>
        <v>38475</v>
      </c>
      <c r="AM50" s="119"/>
      <c r="AN50" s="117">
        <f>MAX(IF(AH50&gt;0,IF('FA Addition'!$N50="SLM",($AF50-'FA Addition'!$M50)*'FA Addition'!$P50*AH50/365,IFERROR(VDB(AF50,AF50*0.05,'FA Addition'!$O50,0,YEARFRAC('FA Addition'!$C50,$L$1,3),'FA Addition'!$Q50),FAAddition[[#This Row],[Original Cost (Rs)]]-FAAddition[[#This Row],[Salvage Value]])),0),0)</f>
        <v>38475</v>
      </c>
      <c r="AO50" s="117">
        <f t="shared" si="3"/>
        <v>0</v>
      </c>
      <c r="AQ50" s="117">
        <f t="shared" si="1"/>
        <v>2025</v>
      </c>
      <c r="AR50" s="120">
        <f t="shared" si="2"/>
        <v>2025</v>
      </c>
      <c r="AS50" s="121"/>
    </row>
    <row r="51" spans="1:45" ht="13.5" x14ac:dyDescent="0.4">
      <c r="A51" s="12">
        <f t="shared" si="4"/>
        <v>48</v>
      </c>
      <c r="B51" s="44" t="s">
        <v>439</v>
      </c>
      <c r="C51" s="45">
        <v>42272</v>
      </c>
      <c r="D51" s="45">
        <v>42272</v>
      </c>
      <c r="E51" s="46" t="s">
        <v>451</v>
      </c>
      <c r="F51" s="44" t="s">
        <v>452</v>
      </c>
      <c r="G51" s="44" t="s">
        <v>435</v>
      </c>
      <c r="H51" s="44"/>
      <c r="I51" s="47" t="s">
        <v>481</v>
      </c>
      <c r="J51" s="56">
        <v>1</v>
      </c>
      <c r="K51" s="44"/>
      <c r="L51" s="52">
        <v>791</v>
      </c>
      <c r="M51" s="50">
        <f>ROUND('FA Addition'!$L51*5%,0.1)</f>
        <v>40</v>
      </c>
      <c r="N51" s="113" t="str">
        <f>_xlfn.XLOOKUP(_xlfn.CONCAT(E51,B51),'Year Wise Master Dep Approach'!F:F,'Year Wise Master Dep Approach'!D:D)</f>
        <v>WDV</v>
      </c>
      <c r="O51" s="113">
        <f>_xlfn.XLOOKUP(_xlfn.CONCAT(E51,B51),'Year Wise Master Dep Approach'!F:F,'Year Wise Master Dep Approach'!E:E)</f>
        <v>3</v>
      </c>
      <c r="P51" s="114">
        <f>IFERROR(IF('FA Addition'!$N51="WDV",1-('FA Addition'!$M51/'FA Addition'!$L51)^(1/'FA Addition'!$O51),1/'FA Addition'!$O51),0)</f>
        <v>0.63020488546534426</v>
      </c>
      <c r="Q51" s="122">
        <f>'FA Addition'!$P51*'FA Addition'!$O51</f>
        <v>1.8906146563960329</v>
      </c>
      <c r="R51" s="122"/>
      <c r="S51" s="116">
        <f>IF(AND(DATE(20&amp;LEFT(FAAddition[[#This Row],[FY]],2),4,1)&lt;$L$1+1,DATE(20&amp;LEFT(FAAddition[[#This Row],[FY]],2),4,1)&gt;$P$1-1),'FA Addition'!$J51,0)</f>
        <v>0</v>
      </c>
      <c r="U51" s="117">
        <f>S51*'FA Addition'!$L51/'FA Addition'!$J51</f>
        <v>0</v>
      </c>
      <c r="W51" s="116">
        <f>SUMIFS('FA Write off'!D:D,'FA Write off'!A:A,'FA Addition'!$A51,'FA Write off'!C:C,"&lt;"&amp;'FA Addition'!$P$1)</f>
        <v>0</v>
      </c>
      <c r="Y51" s="191">
        <f>IFERROR(W51/'FA Addition'!$J51*'FA Addition'!$L51,0)</f>
        <v>0</v>
      </c>
      <c r="AA51" s="116">
        <f>SUMIFS('FA Write off'!D:D,'FA Write off'!A:A,'FA Addition'!$A51,'FA Write off'!C:C,"&lt;"&amp;'FA Addition'!$L$1+1,'FA Write off'!C:C,"&gt;"&amp;'FA Addition'!$L$1-365)</f>
        <v>0</v>
      </c>
      <c r="AC51" s="118">
        <f>IFERROR(AA51/'FA Addition'!$J51*'FA Addition'!$L51,0)</f>
        <v>0</v>
      </c>
      <c r="AE51" s="117">
        <f>IF(AND('FA Addition'!$D51&lt;$P$1+1,U51=0),'FA Addition'!$L51,0)-Y51</f>
        <v>791</v>
      </c>
      <c r="AF51" s="117">
        <f t="shared" si="0"/>
        <v>791</v>
      </c>
      <c r="AG51" s="117">
        <f>MIN(MAX(+$P$1-'FA Addition'!$D51,0),365*'FA Addition'!$O51)</f>
        <v>1095</v>
      </c>
      <c r="AH51" s="117">
        <f>MIN(MAX($L$1-'FA Addition'!$D51+1,0),365*'FA Addition'!$O51)</f>
        <v>1095</v>
      </c>
      <c r="AI51" s="117" cm="1">
        <f t="array" ref="AI51">_xlfn.XLOOKUP(1,('FA Write off'!A:A='FA Addition'!$A51)*('FA Write off'!D:D=AA51),'FA Write off'!H:H,0,0)</f>
        <v>0</v>
      </c>
      <c r="AJ51" s="117">
        <f>IF(AC51&gt;0,MAX(IF('FA Addition'!$N51="SLM",($AC51-'FA Addition'!$M51)*'FA Addition'!$P51*AI51/365,(AC51-'FA Addition'!$M51)*(1-(1-'FA Addition'!$P51)^(AI51/365))),0),0)</f>
        <v>0</v>
      </c>
      <c r="AL51" s="117">
        <f>MAX(IF(AG51&gt;0,IF('FA Addition'!$N51="SLM",($AE51-'FA Addition'!$M51)*'FA Addition'!$P51*AG51/365,IFERROR(VDB(AE51,AE51*0.05,'FA Addition'!$O51,0,YEARFRAC('FA Addition'!$C51,$P$1-1,3),'FA Addition'!$Q51),FAAddition[[#This Row],[Original Cost (Rs)]]-FAAddition[[#This Row],[Salvage Value]])),0),0)</f>
        <v>751</v>
      </c>
      <c r="AM51" s="119"/>
      <c r="AN51" s="117">
        <f>MAX(IF(AH51&gt;0,IF('FA Addition'!$N51="SLM",($AF51-'FA Addition'!$M51)*'FA Addition'!$P51*AH51/365,IFERROR(VDB(AF51,AF51*0.05,'FA Addition'!$O51,0,YEARFRAC('FA Addition'!$C51,$L$1,3),'FA Addition'!$Q51),FAAddition[[#This Row],[Original Cost (Rs)]]-FAAddition[[#This Row],[Salvage Value]])),0),0)</f>
        <v>751</v>
      </c>
      <c r="AO51" s="117">
        <f t="shared" si="3"/>
        <v>0</v>
      </c>
      <c r="AQ51" s="117">
        <f t="shared" si="1"/>
        <v>40</v>
      </c>
      <c r="AR51" s="120">
        <f t="shared" si="2"/>
        <v>40</v>
      </c>
      <c r="AS51" s="121"/>
    </row>
    <row r="52" spans="1:45" ht="13.5" x14ac:dyDescent="0.4">
      <c r="A52" s="12">
        <f t="shared" si="4"/>
        <v>49</v>
      </c>
      <c r="B52" s="44" t="s">
        <v>439</v>
      </c>
      <c r="C52" s="45">
        <v>42272</v>
      </c>
      <c r="D52" s="45">
        <v>42272</v>
      </c>
      <c r="E52" s="46" t="s">
        <v>451</v>
      </c>
      <c r="F52" s="44" t="s">
        <v>452</v>
      </c>
      <c r="G52" s="44" t="s">
        <v>435</v>
      </c>
      <c r="H52" s="44"/>
      <c r="I52" s="47" t="s">
        <v>482</v>
      </c>
      <c r="J52" s="56">
        <v>1</v>
      </c>
      <c r="K52" s="44"/>
      <c r="L52" s="52">
        <v>2929</v>
      </c>
      <c r="M52" s="50">
        <f>ROUND('FA Addition'!$L52*5%,0.1)</f>
        <v>146</v>
      </c>
      <c r="N52" s="113" t="str">
        <f>_xlfn.XLOOKUP(_xlfn.CONCAT(E52,B52),'Year Wise Master Dep Approach'!F:F,'Year Wise Master Dep Approach'!D:D)</f>
        <v>WDV</v>
      </c>
      <c r="O52" s="113">
        <f>_xlfn.XLOOKUP(_xlfn.CONCAT(E52,B52),'Year Wise Master Dep Approach'!F:F,'Year Wise Master Dep Approach'!E:E)</f>
        <v>3</v>
      </c>
      <c r="P52" s="114">
        <f>IFERROR(IF('FA Addition'!$N52="WDV",1-('FA Addition'!$M52/'FA Addition'!$L52)^(1/'FA Addition'!$O52),1/'FA Addition'!$O52),0)</f>
        <v>0.63197457065015694</v>
      </c>
      <c r="Q52" s="122">
        <f>'FA Addition'!$P52*'FA Addition'!$O52</f>
        <v>1.8959237119504708</v>
      </c>
      <c r="R52" s="122"/>
      <c r="S52" s="116">
        <f>IF(AND(DATE(20&amp;LEFT(FAAddition[[#This Row],[FY]],2),4,1)&lt;$L$1+1,DATE(20&amp;LEFT(FAAddition[[#This Row],[FY]],2),4,1)&gt;$P$1-1),'FA Addition'!$J52,0)</f>
        <v>0</v>
      </c>
      <c r="U52" s="117">
        <f>S52*'FA Addition'!$L52/'FA Addition'!$J52</f>
        <v>0</v>
      </c>
      <c r="W52" s="116">
        <f>SUMIFS('FA Write off'!D:D,'FA Write off'!A:A,'FA Addition'!$A52,'FA Write off'!C:C,"&lt;"&amp;'FA Addition'!$P$1)</f>
        <v>0</v>
      </c>
      <c r="Y52" s="191">
        <f>IFERROR(W52/'FA Addition'!$J52*'FA Addition'!$L52,0)</f>
        <v>0</v>
      </c>
      <c r="AA52" s="116">
        <f>SUMIFS('FA Write off'!D:D,'FA Write off'!A:A,'FA Addition'!$A52,'FA Write off'!C:C,"&lt;"&amp;'FA Addition'!$L$1+1,'FA Write off'!C:C,"&gt;"&amp;'FA Addition'!$L$1-365)</f>
        <v>0</v>
      </c>
      <c r="AC52" s="118">
        <f>IFERROR(AA52/'FA Addition'!$J52*'FA Addition'!$L52,0)</f>
        <v>0</v>
      </c>
      <c r="AE52" s="117">
        <f>IF(AND('FA Addition'!$D52&lt;$P$1+1,U52=0),'FA Addition'!$L52,0)-Y52</f>
        <v>2929</v>
      </c>
      <c r="AF52" s="117">
        <f t="shared" si="0"/>
        <v>2929</v>
      </c>
      <c r="AG52" s="117">
        <f>MIN(MAX(+$P$1-'FA Addition'!$D52,0),365*'FA Addition'!$O52)</f>
        <v>1095</v>
      </c>
      <c r="AH52" s="117">
        <f>MIN(MAX($L$1-'FA Addition'!$D52+1,0),365*'FA Addition'!$O52)</f>
        <v>1095</v>
      </c>
      <c r="AI52" s="117" cm="1">
        <f t="array" ref="AI52">_xlfn.XLOOKUP(1,('FA Write off'!A:A='FA Addition'!$A52)*('FA Write off'!D:D=AA52),'FA Write off'!H:H,0,0)</f>
        <v>0</v>
      </c>
      <c r="AJ52" s="117">
        <f>IF(AC52&gt;0,MAX(IF('FA Addition'!$N52="SLM",($AC52-'FA Addition'!$M52)*'FA Addition'!$P52*AI52/365,(AC52-'FA Addition'!$M52)*(1-(1-'FA Addition'!$P52)^(AI52/365))),0),0)</f>
        <v>0</v>
      </c>
      <c r="AL52" s="117">
        <f>MAX(IF(AG52&gt;0,IF('FA Addition'!$N52="SLM",($AE52-'FA Addition'!$M52)*'FA Addition'!$P52*AG52/365,IFERROR(VDB(AE52,AE52*0.05,'FA Addition'!$O52,0,YEARFRAC('FA Addition'!$C52,$P$1-1,3),'FA Addition'!$Q52),FAAddition[[#This Row],[Original Cost (Rs)]]-FAAddition[[#This Row],[Salvage Value]])),0),0)</f>
        <v>2783</v>
      </c>
      <c r="AM52" s="119"/>
      <c r="AN52" s="117">
        <f>MAX(IF(AH52&gt;0,IF('FA Addition'!$N52="SLM",($AF52-'FA Addition'!$M52)*'FA Addition'!$P52*AH52/365,IFERROR(VDB(AF52,AF52*0.05,'FA Addition'!$O52,0,YEARFRAC('FA Addition'!$C52,$L$1,3),'FA Addition'!$Q52),FAAddition[[#This Row],[Original Cost (Rs)]]-FAAddition[[#This Row],[Salvage Value]])),0),0)</f>
        <v>2783</v>
      </c>
      <c r="AO52" s="117">
        <f t="shared" si="3"/>
        <v>0</v>
      </c>
      <c r="AQ52" s="117">
        <f t="shared" si="1"/>
        <v>146</v>
      </c>
      <c r="AR52" s="120">
        <f t="shared" si="2"/>
        <v>146</v>
      </c>
      <c r="AS52" s="121"/>
    </row>
    <row r="53" spans="1:45" ht="13.5" x14ac:dyDescent="0.4">
      <c r="A53" s="12">
        <f t="shared" si="4"/>
        <v>50</v>
      </c>
      <c r="B53" s="44" t="s">
        <v>439</v>
      </c>
      <c r="C53" s="45">
        <v>42272</v>
      </c>
      <c r="D53" s="45">
        <v>42272</v>
      </c>
      <c r="E53" s="46" t="s">
        <v>451</v>
      </c>
      <c r="F53" s="44" t="s">
        <v>452</v>
      </c>
      <c r="G53" s="44" t="s">
        <v>483</v>
      </c>
      <c r="H53" s="44"/>
      <c r="I53" s="47" t="s">
        <v>484</v>
      </c>
      <c r="J53" s="56">
        <v>1</v>
      </c>
      <c r="K53" s="44"/>
      <c r="L53" s="52">
        <v>610</v>
      </c>
      <c r="M53" s="50">
        <f>ROUND('FA Addition'!$L53*5%,0.1)</f>
        <v>31</v>
      </c>
      <c r="N53" s="113" t="str">
        <f>_xlfn.XLOOKUP(_xlfn.CONCAT(E53,B53),'Year Wise Master Dep Approach'!F:F,'Year Wise Master Dep Approach'!D:D)</f>
        <v>WDV</v>
      </c>
      <c r="O53" s="113">
        <f>_xlfn.XLOOKUP(_xlfn.CONCAT(E53,B53),'Year Wise Master Dep Approach'!F:F,'Year Wise Master Dep Approach'!E:E)</f>
        <v>3</v>
      </c>
      <c r="P53" s="114">
        <f>IFERROR(IF('FA Addition'!$N53="WDV",1-('FA Addition'!$M53/'FA Addition'!$L53)^(1/'FA Addition'!$O53),1/'FA Addition'!$O53),0)</f>
        <v>0.62959461978386333</v>
      </c>
      <c r="Q53" s="122">
        <f>'FA Addition'!$P53*'FA Addition'!$O53</f>
        <v>1.88878385935159</v>
      </c>
      <c r="R53" s="122"/>
      <c r="S53" s="116">
        <f>IF(AND(DATE(20&amp;LEFT(FAAddition[[#This Row],[FY]],2),4,1)&lt;$L$1+1,DATE(20&amp;LEFT(FAAddition[[#This Row],[FY]],2),4,1)&gt;$P$1-1),'FA Addition'!$J53,0)</f>
        <v>0</v>
      </c>
      <c r="U53" s="117">
        <f>S53*'FA Addition'!$L53/'FA Addition'!$J53</f>
        <v>0</v>
      </c>
      <c r="W53" s="116">
        <f>SUMIFS('FA Write off'!D:D,'FA Write off'!A:A,'FA Addition'!$A53,'FA Write off'!C:C,"&lt;"&amp;'FA Addition'!$P$1)</f>
        <v>0</v>
      </c>
      <c r="Y53" s="191">
        <f>IFERROR(W53/'FA Addition'!$J53*'FA Addition'!$L53,0)</f>
        <v>0</v>
      </c>
      <c r="AA53" s="116">
        <f>SUMIFS('FA Write off'!D:D,'FA Write off'!A:A,'FA Addition'!$A53,'FA Write off'!C:C,"&lt;"&amp;'FA Addition'!$L$1+1,'FA Write off'!C:C,"&gt;"&amp;'FA Addition'!$L$1-365)</f>
        <v>0</v>
      </c>
      <c r="AC53" s="118">
        <f>IFERROR(AA53/'FA Addition'!$J53*'FA Addition'!$L53,0)</f>
        <v>0</v>
      </c>
      <c r="AE53" s="117">
        <f>IF(AND('FA Addition'!$D53&lt;$P$1+1,U53=0),'FA Addition'!$L53,0)-Y53</f>
        <v>610</v>
      </c>
      <c r="AF53" s="117">
        <f t="shared" si="0"/>
        <v>610</v>
      </c>
      <c r="AG53" s="117">
        <f>MIN(MAX(+$P$1-'FA Addition'!$D53,0),365*'FA Addition'!$O53)</f>
        <v>1095</v>
      </c>
      <c r="AH53" s="117">
        <f>MIN(MAX($L$1-'FA Addition'!$D53+1,0),365*'FA Addition'!$O53)</f>
        <v>1095</v>
      </c>
      <c r="AI53" s="117" cm="1">
        <f t="array" ref="AI53">_xlfn.XLOOKUP(1,('FA Write off'!A:A='FA Addition'!$A53)*('FA Write off'!D:D=AA53),'FA Write off'!H:H,0,0)</f>
        <v>0</v>
      </c>
      <c r="AJ53" s="117">
        <f>IF(AC53&gt;0,MAX(IF('FA Addition'!$N53="SLM",($AC53-'FA Addition'!$M53)*'FA Addition'!$P53*AI53/365,(AC53-'FA Addition'!$M53)*(1-(1-'FA Addition'!$P53)^(AI53/365))),0),0)</f>
        <v>0</v>
      </c>
      <c r="AL53" s="117">
        <f>MAX(IF(AG53&gt;0,IF('FA Addition'!$N53="SLM",($AE53-'FA Addition'!$M53)*'FA Addition'!$P53*AG53/365,IFERROR(VDB(AE53,AE53*0.05,'FA Addition'!$O53,0,YEARFRAC('FA Addition'!$C53,$P$1-1,3),'FA Addition'!$Q53),FAAddition[[#This Row],[Original Cost (Rs)]]-FAAddition[[#This Row],[Salvage Value]])),0),0)</f>
        <v>579</v>
      </c>
      <c r="AM53" s="119"/>
      <c r="AN53" s="117">
        <f>MAX(IF(AH53&gt;0,IF('FA Addition'!$N53="SLM",($AF53-'FA Addition'!$M53)*'FA Addition'!$P53*AH53/365,IFERROR(VDB(AF53,AF53*0.05,'FA Addition'!$O53,0,YEARFRAC('FA Addition'!$C53,$L$1,3),'FA Addition'!$Q53),FAAddition[[#This Row],[Original Cost (Rs)]]-FAAddition[[#This Row],[Salvage Value]])),0),0)</f>
        <v>579</v>
      </c>
      <c r="AO53" s="117">
        <f t="shared" si="3"/>
        <v>0</v>
      </c>
      <c r="AQ53" s="117">
        <f t="shared" si="1"/>
        <v>31</v>
      </c>
      <c r="AR53" s="120">
        <f t="shared" si="2"/>
        <v>31</v>
      </c>
      <c r="AS53" s="121"/>
    </row>
    <row r="54" spans="1:45" ht="13.5" x14ac:dyDescent="0.4">
      <c r="A54" s="12">
        <f t="shared" si="4"/>
        <v>51</v>
      </c>
      <c r="B54" s="51" t="s">
        <v>439</v>
      </c>
      <c r="C54" s="54">
        <v>42272</v>
      </c>
      <c r="D54" s="54">
        <v>42272</v>
      </c>
      <c r="E54" s="46" t="s">
        <v>451</v>
      </c>
      <c r="F54" s="51" t="s">
        <v>452</v>
      </c>
      <c r="G54" s="44" t="s">
        <v>462</v>
      </c>
      <c r="H54" s="51"/>
      <c r="I54" s="57" t="s">
        <v>485</v>
      </c>
      <c r="J54" s="56">
        <v>1</v>
      </c>
      <c r="K54" s="51"/>
      <c r="L54" s="58">
        <v>1398</v>
      </c>
      <c r="M54" s="50">
        <f>ROUND('FA Addition'!$L54*5%,0.1)</f>
        <v>70</v>
      </c>
      <c r="N54" s="113" t="str">
        <f>_xlfn.XLOOKUP(_xlfn.CONCAT(E54,B54),'Year Wise Master Dep Approach'!F:F,'Year Wise Master Dep Approach'!D:D)</f>
        <v>WDV</v>
      </c>
      <c r="O54" s="113">
        <f>_xlfn.XLOOKUP(_xlfn.CONCAT(E54,B54),'Year Wise Master Dep Approach'!F:F,'Year Wise Master Dep Approach'!E:E)</f>
        <v>3</v>
      </c>
      <c r="P54" s="114">
        <f>IFERROR(IF('FA Addition'!$N54="WDV",1-('FA Addition'!$M54/'FA Addition'!$L54)^(1/'FA Addition'!$O54),1/'FA Addition'!$O54),0)</f>
        <v>0.63142125280247752</v>
      </c>
      <c r="Q54" s="122">
        <f>'FA Addition'!$P54*'FA Addition'!$O54</f>
        <v>1.8942637584074324</v>
      </c>
      <c r="R54" s="122"/>
      <c r="S54" s="116">
        <f>IF(AND(DATE(20&amp;LEFT(FAAddition[[#This Row],[FY]],2),4,1)&lt;$L$1+1,DATE(20&amp;LEFT(FAAddition[[#This Row],[FY]],2),4,1)&gt;$P$1-1),'FA Addition'!$J54,0)</f>
        <v>0</v>
      </c>
      <c r="U54" s="117">
        <f>S54*'FA Addition'!$L54/'FA Addition'!$J54</f>
        <v>0</v>
      </c>
      <c r="W54" s="116">
        <f>SUMIFS('FA Write off'!D:D,'FA Write off'!A:A,'FA Addition'!$A54,'FA Write off'!C:C,"&lt;"&amp;'FA Addition'!$P$1)</f>
        <v>0</v>
      </c>
      <c r="Y54" s="191">
        <f>IFERROR(W54/'FA Addition'!$J54*'FA Addition'!$L54,0)</f>
        <v>0</v>
      </c>
      <c r="AA54" s="116">
        <f>SUMIFS('FA Write off'!D:D,'FA Write off'!A:A,'FA Addition'!$A54,'FA Write off'!C:C,"&lt;"&amp;'FA Addition'!$L$1+1,'FA Write off'!C:C,"&gt;"&amp;'FA Addition'!$L$1-365)</f>
        <v>0</v>
      </c>
      <c r="AC54" s="118">
        <f>IFERROR(AA54/'FA Addition'!$J54*'FA Addition'!$L54,0)</f>
        <v>0</v>
      </c>
      <c r="AE54" s="117">
        <f>IF(AND('FA Addition'!$D54&lt;$P$1+1,U54=0),'FA Addition'!$L54,0)-Y54</f>
        <v>1398</v>
      </c>
      <c r="AF54" s="117">
        <f t="shared" si="0"/>
        <v>1398</v>
      </c>
      <c r="AG54" s="117">
        <f>MIN(MAX(+$P$1-'FA Addition'!$D54,0),365*'FA Addition'!$O54)</f>
        <v>1095</v>
      </c>
      <c r="AH54" s="117">
        <f>MIN(MAX($L$1-'FA Addition'!$D54+1,0),365*'FA Addition'!$O54)</f>
        <v>1095</v>
      </c>
      <c r="AI54" s="117" cm="1">
        <f t="array" ref="AI54">_xlfn.XLOOKUP(1,('FA Write off'!A:A='FA Addition'!$A54)*('FA Write off'!D:D=AA54),'FA Write off'!H:H,0,0)</f>
        <v>0</v>
      </c>
      <c r="AJ54" s="117">
        <f>IF(AC54&gt;0,MAX(IF('FA Addition'!$N54="SLM",($AC54-'FA Addition'!$M54)*'FA Addition'!$P54*AI54/365,(AC54-'FA Addition'!$M54)*(1-(1-'FA Addition'!$P54)^(AI54/365))),0),0)</f>
        <v>0</v>
      </c>
      <c r="AL54" s="117">
        <f>MAX(IF(AG54&gt;0,IF('FA Addition'!$N54="SLM",($AE54-'FA Addition'!$M54)*'FA Addition'!$P54*AG54/365,IFERROR(VDB(AE54,AE54*0.05,'FA Addition'!$O54,0,YEARFRAC('FA Addition'!$C54,$P$1-1,3),'FA Addition'!$Q54),FAAddition[[#This Row],[Original Cost (Rs)]]-FAAddition[[#This Row],[Salvage Value]])),0),0)</f>
        <v>1328</v>
      </c>
      <c r="AM54" s="119"/>
      <c r="AN54" s="117">
        <f>MAX(IF(AH54&gt;0,IF('FA Addition'!$N54="SLM",($AF54-'FA Addition'!$M54)*'FA Addition'!$P54*AH54/365,IFERROR(VDB(AF54,AF54*0.05,'FA Addition'!$O54,0,YEARFRAC('FA Addition'!$C54,$L$1,3),'FA Addition'!$Q54),FAAddition[[#This Row],[Original Cost (Rs)]]-FAAddition[[#This Row],[Salvage Value]])),0),0)</f>
        <v>1328</v>
      </c>
      <c r="AO54" s="117">
        <f t="shared" si="3"/>
        <v>0</v>
      </c>
      <c r="AQ54" s="117">
        <f t="shared" si="1"/>
        <v>70</v>
      </c>
      <c r="AR54" s="120">
        <f t="shared" si="2"/>
        <v>70</v>
      </c>
      <c r="AS54" s="121"/>
    </row>
    <row r="55" spans="1:45" ht="13.5" x14ac:dyDescent="0.4">
      <c r="A55" s="12">
        <f t="shared" si="4"/>
        <v>52</v>
      </c>
      <c r="B55" s="44" t="s">
        <v>439</v>
      </c>
      <c r="C55" s="45">
        <v>42276</v>
      </c>
      <c r="D55" s="45">
        <v>42276</v>
      </c>
      <c r="E55" s="46" t="s">
        <v>32</v>
      </c>
      <c r="F55" s="44" t="s">
        <v>32</v>
      </c>
      <c r="G55" s="44" t="s">
        <v>462</v>
      </c>
      <c r="H55" s="44" t="s">
        <v>32</v>
      </c>
      <c r="I55" s="47">
        <v>7856</v>
      </c>
      <c r="J55" s="56">
        <v>1</v>
      </c>
      <c r="K55" s="44"/>
      <c r="L55" s="52">
        <v>22991</v>
      </c>
      <c r="M55" s="50">
        <f>ROUND('FA Addition'!$L55*5%,0.1)</f>
        <v>1150</v>
      </c>
      <c r="N55" s="113" t="str">
        <f>_xlfn.XLOOKUP(_xlfn.CONCAT(E55,B55),'Year Wise Master Dep Approach'!F:F,'Year Wise Master Dep Approach'!D:D)</f>
        <v>WDV</v>
      </c>
      <c r="O55" s="113">
        <f>_xlfn.XLOOKUP(_xlfn.CONCAT(E55,B55),'Year Wise Master Dep Approach'!F:F,'Year Wise Master Dep Approach'!E:E)</f>
        <v>3</v>
      </c>
      <c r="P55" s="114">
        <f>IFERROR(IF('FA Addition'!$N55="WDV",1-('FA Addition'!$M55/'FA Addition'!$L55)^(1/'FA Addition'!$O55),1/'FA Addition'!$O55),0)</f>
        <v>0.63154878501192324</v>
      </c>
      <c r="Q55" s="122">
        <f>'FA Addition'!$P55*'FA Addition'!$O55</f>
        <v>1.8946463550357697</v>
      </c>
      <c r="R55" s="122"/>
      <c r="S55" s="116">
        <f>IF(AND(DATE(20&amp;LEFT(FAAddition[[#This Row],[FY]],2),4,1)&lt;$L$1+1,DATE(20&amp;LEFT(FAAddition[[#This Row],[FY]],2),4,1)&gt;$P$1-1),'FA Addition'!$J55,0)</f>
        <v>0</v>
      </c>
      <c r="U55" s="117">
        <f>S55*'FA Addition'!$L55/'FA Addition'!$J55</f>
        <v>0</v>
      </c>
      <c r="W55" s="116">
        <f>SUMIFS('FA Write off'!D:D,'FA Write off'!A:A,'FA Addition'!$A55,'FA Write off'!C:C,"&lt;"&amp;'FA Addition'!$P$1)</f>
        <v>0</v>
      </c>
      <c r="Y55" s="191">
        <f>IFERROR(W55/'FA Addition'!$J55*'FA Addition'!$L55,0)</f>
        <v>0</v>
      </c>
      <c r="AA55" s="116">
        <f>SUMIFS('FA Write off'!D:D,'FA Write off'!A:A,'FA Addition'!$A55,'FA Write off'!C:C,"&lt;"&amp;'FA Addition'!$L$1+1,'FA Write off'!C:C,"&gt;"&amp;'FA Addition'!$L$1-365)</f>
        <v>0</v>
      </c>
      <c r="AC55" s="118">
        <f>IFERROR(AA55/'FA Addition'!$J55*'FA Addition'!$L55,0)</f>
        <v>0</v>
      </c>
      <c r="AE55" s="117">
        <f>IF(AND('FA Addition'!$D55&lt;$P$1+1,U55=0),'FA Addition'!$L55,0)-Y55</f>
        <v>22991</v>
      </c>
      <c r="AF55" s="117">
        <f t="shared" si="0"/>
        <v>22991</v>
      </c>
      <c r="AG55" s="117">
        <f>MIN(MAX(+$P$1-'FA Addition'!$D55,0),365*'FA Addition'!$O55)</f>
        <v>1095</v>
      </c>
      <c r="AH55" s="117">
        <f>MIN(MAX($L$1-'FA Addition'!$D55+1,0),365*'FA Addition'!$O55)</f>
        <v>1095</v>
      </c>
      <c r="AI55" s="117" cm="1">
        <f t="array" ref="AI55">_xlfn.XLOOKUP(1,('FA Write off'!A:A='FA Addition'!$A55)*('FA Write off'!D:D=AA55),'FA Write off'!H:H,0,0)</f>
        <v>0</v>
      </c>
      <c r="AJ55" s="117">
        <f>IF(AC55&gt;0,MAX(IF('FA Addition'!$N55="SLM",($AC55-'FA Addition'!$M55)*'FA Addition'!$P55*AI55/365,(AC55-'FA Addition'!$M55)*(1-(1-'FA Addition'!$P55)^(AI55/365))),0),0)</f>
        <v>0</v>
      </c>
      <c r="AL55" s="117">
        <f>MAX(IF(AG55&gt;0,IF('FA Addition'!$N55="SLM",($AE55-'FA Addition'!$M55)*'FA Addition'!$P55*AG55/365,IFERROR(VDB(AE55,AE55*0.05,'FA Addition'!$O55,0,YEARFRAC('FA Addition'!$C55,$P$1-1,3),'FA Addition'!$Q55),FAAddition[[#This Row],[Original Cost (Rs)]]-FAAddition[[#This Row],[Salvage Value]])),0),0)</f>
        <v>21841</v>
      </c>
      <c r="AM55" s="119"/>
      <c r="AN55" s="117">
        <f>MAX(IF(AH55&gt;0,IF('FA Addition'!$N55="SLM",($AF55-'FA Addition'!$M55)*'FA Addition'!$P55*AH55/365,IFERROR(VDB(AF55,AF55*0.05,'FA Addition'!$O55,0,YEARFRAC('FA Addition'!$C55,$L$1,3),'FA Addition'!$Q55),FAAddition[[#This Row],[Original Cost (Rs)]]-FAAddition[[#This Row],[Salvage Value]])),0),0)</f>
        <v>21841</v>
      </c>
      <c r="AO55" s="117">
        <f t="shared" si="3"/>
        <v>0</v>
      </c>
      <c r="AQ55" s="117">
        <f t="shared" si="1"/>
        <v>1150</v>
      </c>
      <c r="AR55" s="120">
        <f t="shared" si="2"/>
        <v>1150</v>
      </c>
      <c r="AS55" s="121"/>
    </row>
    <row r="56" spans="1:45" ht="13.5" x14ac:dyDescent="0.4">
      <c r="A56" s="12">
        <f t="shared" si="4"/>
        <v>53</v>
      </c>
      <c r="B56" s="44" t="s">
        <v>439</v>
      </c>
      <c r="C56" s="45">
        <v>42276</v>
      </c>
      <c r="D56" s="45">
        <v>42276</v>
      </c>
      <c r="E56" s="46" t="s">
        <v>32</v>
      </c>
      <c r="F56" s="44" t="s">
        <v>32</v>
      </c>
      <c r="G56" s="44" t="s">
        <v>462</v>
      </c>
      <c r="H56" s="44" t="s">
        <v>32</v>
      </c>
      <c r="I56" s="47">
        <v>7993</v>
      </c>
      <c r="J56" s="56">
        <v>1</v>
      </c>
      <c r="K56" s="44"/>
      <c r="L56" s="52">
        <v>4998</v>
      </c>
      <c r="M56" s="50">
        <f>ROUND('FA Addition'!$L56*5%,0.1)</f>
        <v>250</v>
      </c>
      <c r="N56" s="113" t="str">
        <f>_xlfn.XLOOKUP(_xlfn.CONCAT(E56,B56),'Year Wise Master Dep Approach'!F:F,'Year Wise Master Dep Approach'!D:D)</f>
        <v>WDV</v>
      </c>
      <c r="O56" s="113">
        <f>_xlfn.XLOOKUP(_xlfn.CONCAT(E56,B56),'Year Wise Master Dep Approach'!F:F,'Year Wise Master Dep Approach'!E:E)</f>
        <v>3</v>
      </c>
      <c r="P56" s="114">
        <f>IFERROR(IF('FA Addition'!$N56="WDV",1-('FA Addition'!$M56/'FA Addition'!$L56)^(1/'FA Addition'!$O56),1/'FA Addition'!$O56),0)</f>
        <v>0.63154771661312425</v>
      </c>
      <c r="Q56" s="122">
        <f>'FA Addition'!$P56*'FA Addition'!$O56</f>
        <v>1.8946431498393728</v>
      </c>
      <c r="R56" s="122"/>
      <c r="S56" s="116">
        <f>IF(AND(DATE(20&amp;LEFT(FAAddition[[#This Row],[FY]],2),4,1)&lt;$L$1+1,DATE(20&amp;LEFT(FAAddition[[#This Row],[FY]],2),4,1)&gt;$P$1-1),'FA Addition'!$J56,0)</f>
        <v>0</v>
      </c>
      <c r="U56" s="117">
        <f>S56*'FA Addition'!$L56/'FA Addition'!$J56</f>
        <v>0</v>
      </c>
      <c r="W56" s="116">
        <f>SUMIFS('FA Write off'!D:D,'FA Write off'!A:A,'FA Addition'!$A56,'FA Write off'!C:C,"&lt;"&amp;'FA Addition'!$P$1)</f>
        <v>0</v>
      </c>
      <c r="Y56" s="191">
        <f>IFERROR(W56/'FA Addition'!$J56*'FA Addition'!$L56,0)</f>
        <v>0</v>
      </c>
      <c r="AA56" s="116">
        <f>SUMIFS('FA Write off'!D:D,'FA Write off'!A:A,'FA Addition'!$A56,'FA Write off'!C:C,"&lt;"&amp;'FA Addition'!$L$1+1,'FA Write off'!C:C,"&gt;"&amp;'FA Addition'!$L$1-365)</f>
        <v>0</v>
      </c>
      <c r="AC56" s="118">
        <f>IFERROR(AA56/'FA Addition'!$J56*'FA Addition'!$L56,0)</f>
        <v>0</v>
      </c>
      <c r="AE56" s="117">
        <f>IF(AND('FA Addition'!$D56&lt;$P$1+1,U56=0),'FA Addition'!$L56,0)-Y56</f>
        <v>4998</v>
      </c>
      <c r="AF56" s="117">
        <f t="shared" si="0"/>
        <v>4998</v>
      </c>
      <c r="AG56" s="117">
        <f>MIN(MAX(+$P$1-'FA Addition'!$D56,0),365*'FA Addition'!$O56)</f>
        <v>1095</v>
      </c>
      <c r="AH56" s="117">
        <f>MIN(MAX($L$1-'FA Addition'!$D56+1,0),365*'FA Addition'!$O56)</f>
        <v>1095</v>
      </c>
      <c r="AI56" s="117" cm="1">
        <f t="array" ref="AI56">_xlfn.XLOOKUP(1,('FA Write off'!A:A='FA Addition'!$A56)*('FA Write off'!D:D=AA56),'FA Write off'!H:H,0,0)</f>
        <v>0</v>
      </c>
      <c r="AJ56" s="117">
        <f>IF(AC56&gt;0,MAX(IF('FA Addition'!$N56="SLM",($AC56-'FA Addition'!$M56)*'FA Addition'!$P56*AI56/365,(AC56-'FA Addition'!$M56)*(1-(1-'FA Addition'!$P56)^(AI56/365))),0),0)</f>
        <v>0</v>
      </c>
      <c r="AL56" s="117">
        <f>MAX(IF(AG56&gt;0,IF('FA Addition'!$N56="SLM",($AE56-'FA Addition'!$M56)*'FA Addition'!$P56*AG56/365,IFERROR(VDB(AE56,AE56*0.05,'FA Addition'!$O56,0,YEARFRAC('FA Addition'!$C56,$P$1-1,3),'FA Addition'!$Q56),FAAddition[[#This Row],[Original Cost (Rs)]]-FAAddition[[#This Row],[Salvage Value]])),0),0)</f>
        <v>4748</v>
      </c>
      <c r="AM56" s="119"/>
      <c r="AN56" s="117">
        <f>MAX(IF(AH56&gt;0,IF('FA Addition'!$N56="SLM",($AF56-'FA Addition'!$M56)*'FA Addition'!$P56*AH56/365,IFERROR(VDB(AF56,AF56*0.05,'FA Addition'!$O56,0,YEARFRAC('FA Addition'!$C56,$L$1,3),'FA Addition'!$Q56),FAAddition[[#This Row],[Original Cost (Rs)]]-FAAddition[[#This Row],[Salvage Value]])),0),0)</f>
        <v>4748</v>
      </c>
      <c r="AO56" s="117">
        <f t="shared" si="3"/>
        <v>0</v>
      </c>
      <c r="AQ56" s="117">
        <f t="shared" si="1"/>
        <v>250</v>
      </c>
      <c r="AR56" s="120">
        <f t="shared" si="2"/>
        <v>250</v>
      </c>
      <c r="AS56" s="121"/>
    </row>
    <row r="57" spans="1:45" ht="13.5" x14ac:dyDescent="0.4">
      <c r="A57" s="12">
        <f t="shared" si="4"/>
        <v>54</v>
      </c>
      <c r="B57" s="44" t="s">
        <v>439</v>
      </c>
      <c r="C57" s="45">
        <v>42276</v>
      </c>
      <c r="D57" s="45">
        <v>42276</v>
      </c>
      <c r="E57" s="46" t="s">
        <v>32</v>
      </c>
      <c r="F57" s="44" t="s">
        <v>32</v>
      </c>
      <c r="G57" s="44" t="s">
        <v>462</v>
      </c>
      <c r="H57" s="44" t="s">
        <v>32</v>
      </c>
      <c r="I57" s="59" t="s">
        <v>486</v>
      </c>
      <c r="J57" s="56">
        <v>1</v>
      </c>
      <c r="K57" s="44"/>
      <c r="L57" s="52">
        <v>20160</v>
      </c>
      <c r="M57" s="50">
        <f>ROUND('FA Addition'!$L57*5%,0.1)</f>
        <v>1008</v>
      </c>
      <c r="N57" s="113" t="str">
        <f>_xlfn.XLOOKUP(_xlfn.CONCAT(E57,B57),'Year Wise Master Dep Approach'!F:F,'Year Wise Master Dep Approach'!D:D)</f>
        <v>WDV</v>
      </c>
      <c r="O57" s="113">
        <f>_xlfn.XLOOKUP(_xlfn.CONCAT(E57,B57),'Year Wise Master Dep Approach'!F:F,'Year Wise Master Dep Approach'!E:E)</f>
        <v>3</v>
      </c>
      <c r="P57" s="114">
        <f>IFERROR(IF('FA Addition'!$N57="WDV",1-('FA Addition'!$M57/'FA Addition'!$L57)^(1/'FA Addition'!$O57),1/'FA Addition'!$O57),0)</f>
        <v>0.63159685013596123</v>
      </c>
      <c r="Q57" s="122">
        <f>'FA Addition'!$P57*'FA Addition'!$O57</f>
        <v>1.8947905504078837</v>
      </c>
      <c r="R57" s="122"/>
      <c r="S57" s="116">
        <f>IF(AND(DATE(20&amp;LEFT(FAAddition[[#This Row],[FY]],2),4,1)&lt;$L$1+1,DATE(20&amp;LEFT(FAAddition[[#This Row],[FY]],2),4,1)&gt;$P$1-1),'FA Addition'!$J57,0)</f>
        <v>0</v>
      </c>
      <c r="U57" s="117">
        <f>S57*'FA Addition'!$L57/'FA Addition'!$J57</f>
        <v>0</v>
      </c>
      <c r="W57" s="116">
        <f>SUMIFS('FA Write off'!D:D,'FA Write off'!A:A,'FA Addition'!$A57,'FA Write off'!C:C,"&lt;"&amp;'FA Addition'!$P$1)</f>
        <v>0</v>
      </c>
      <c r="Y57" s="191">
        <f>IFERROR(W57/'FA Addition'!$J57*'FA Addition'!$L57,0)</f>
        <v>0</v>
      </c>
      <c r="AA57" s="116">
        <f>SUMIFS('FA Write off'!D:D,'FA Write off'!A:A,'FA Addition'!$A57,'FA Write off'!C:C,"&lt;"&amp;'FA Addition'!$L$1+1,'FA Write off'!C:C,"&gt;"&amp;'FA Addition'!$L$1-365)</f>
        <v>0</v>
      </c>
      <c r="AC57" s="118">
        <f>IFERROR(AA57/'FA Addition'!$J57*'FA Addition'!$L57,0)</f>
        <v>0</v>
      </c>
      <c r="AE57" s="117">
        <f>IF(AND('FA Addition'!$D57&lt;$P$1+1,U57=0),'FA Addition'!$L57,0)-Y57</f>
        <v>20160</v>
      </c>
      <c r="AF57" s="117">
        <f t="shared" si="0"/>
        <v>20160</v>
      </c>
      <c r="AG57" s="117">
        <f>MIN(MAX(+$P$1-'FA Addition'!$D57,0),365*'FA Addition'!$O57)</f>
        <v>1095</v>
      </c>
      <c r="AH57" s="117">
        <f>MIN(MAX($L$1-'FA Addition'!$D57+1,0),365*'FA Addition'!$O57)</f>
        <v>1095</v>
      </c>
      <c r="AI57" s="117" cm="1">
        <f t="array" ref="AI57">_xlfn.XLOOKUP(1,('FA Write off'!A:A='FA Addition'!$A57)*('FA Write off'!D:D=AA57),'FA Write off'!H:H,0,0)</f>
        <v>0</v>
      </c>
      <c r="AJ57" s="117">
        <f>IF(AC57&gt;0,MAX(IF('FA Addition'!$N57="SLM",($AC57-'FA Addition'!$M57)*'FA Addition'!$P57*AI57/365,(AC57-'FA Addition'!$M57)*(1-(1-'FA Addition'!$P57)^(AI57/365))),0),0)</f>
        <v>0</v>
      </c>
      <c r="AL57" s="117">
        <f>MAX(IF(AG57&gt;0,IF('FA Addition'!$N57="SLM",($AE57-'FA Addition'!$M57)*'FA Addition'!$P57*AG57/365,IFERROR(VDB(AE57,AE57*0.05,'FA Addition'!$O57,0,YEARFRAC('FA Addition'!$C57,$P$1-1,3),'FA Addition'!$Q57),FAAddition[[#This Row],[Original Cost (Rs)]]-FAAddition[[#This Row],[Salvage Value]])),0),0)</f>
        <v>19152</v>
      </c>
      <c r="AM57" s="119"/>
      <c r="AN57" s="117">
        <f>MAX(IF(AH57&gt;0,IF('FA Addition'!$N57="SLM",($AF57-'FA Addition'!$M57)*'FA Addition'!$P57*AH57/365,IFERROR(VDB(AF57,AF57*0.05,'FA Addition'!$O57,0,YEARFRAC('FA Addition'!$C57,$L$1,3),'FA Addition'!$Q57),FAAddition[[#This Row],[Original Cost (Rs)]]-FAAddition[[#This Row],[Salvage Value]])),0),0)</f>
        <v>19152</v>
      </c>
      <c r="AO57" s="117">
        <f t="shared" si="3"/>
        <v>0</v>
      </c>
      <c r="AQ57" s="117">
        <f t="shared" si="1"/>
        <v>1008</v>
      </c>
      <c r="AR57" s="120">
        <f t="shared" si="2"/>
        <v>1008</v>
      </c>
      <c r="AS57" s="121"/>
    </row>
    <row r="58" spans="1:45" ht="13.5" x14ac:dyDescent="0.4">
      <c r="A58" s="12">
        <f t="shared" si="4"/>
        <v>55</v>
      </c>
      <c r="B58" s="44" t="s">
        <v>439</v>
      </c>
      <c r="C58" s="45">
        <v>42276</v>
      </c>
      <c r="D58" s="45">
        <v>42276</v>
      </c>
      <c r="E58" s="46" t="s">
        <v>32</v>
      </c>
      <c r="F58" s="44" t="s">
        <v>32</v>
      </c>
      <c r="G58" s="44" t="s">
        <v>435</v>
      </c>
      <c r="H58" s="44" t="s">
        <v>32</v>
      </c>
      <c r="I58" s="47" t="s">
        <v>487</v>
      </c>
      <c r="J58" s="56">
        <v>1</v>
      </c>
      <c r="K58" s="44"/>
      <c r="L58" s="52">
        <v>6899</v>
      </c>
      <c r="M58" s="50">
        <f>ROUND('FA Addition'!$L58*5%,0.1)</f>
        <v>345</v>
      </c>
      <c r="N58" s="113" t="str">
        <f>_xlfn.XLOOKUP(_xlfn.CONCAT(E58,B58),'Year Wise Master Dep Approach'!F:F,'Year Wise Master Dep Approach'!D:D)</f>
        <v>WDV</v>
      </c>
      <c r="O58" s="113">
        <f>_xlfn.XLOOKUP(_xlfn.CONCAT(E58,B58),'Year Wise Master Dep Approach'!F:F,'Year Wise Master Dep Approach'!E:E)</f>
        <v>3</v>
      </c>
      <c r="P58" s="114">
        <f>IFERROR(IF('FA Addition'!$N58="WDV",1-('FA Addition'!$M58/'FA Addition'!$L58)^(1/'FA Addition'!$O58),1/'FA Addition'!$O58),0)</f>
        <v>0.63157905116260937</v>
      </c>
      <c r="Q58" s="122">
        <f>'FA Addition'!$P58*'FA Addition'!$O58</f>
        <v>1.8947371534878281</v>
      </c>
      <c r="R58" s="122"/>
      <c r="S58" s="116">
        <f>IF(AND(DATE(20&amp;LEFT(FAAddition[[#This Row],[FY]],2),4,1)&lt;$L$1+1,DATE(20&amp;LEFT(FAAddition[[#This Row],[FY]],2),4,1)&gt;$P$1-1),'FA Addition'!$J58,0)</f>
        <v>0</v>
      </c>
      <c r="U58" s="117">
        <f>S58*'FA Addition'!$L58/'FA Addition'!$J58</f>
        <v>0</v>
      </c>
      <c r="W58" s="116">
        <f>SUMIFS('FA Write off'!D:D,'FA Write off'!A:A,'FA Addition'!$A58,'FA Write off'!C:C,"&lt;"&amp;'FA Addition'!$P$1)</f>
        <v>0</v>
      </c>
      <c r="Y58" s="191">
        <f>IFERROR(W58/'FA Addition'!$J58*'FA Addition'!$L58,0)</f>
        <v>0</v>
      </c>
      <c r="AA58" s="116">
        <f>SUMIFS('FA Write off'!D:D,'FA Write off'!A:A,'FA Addition'!$A58,'FA Write off'!C:C,"&lt;"&amp;'FA Addition'!$L$1+1,'FA Write off'!C:C,"&gt;"&amp;'FA Addition'!$L$1-365)</f>
        <v>0</v>
      </c>
      <c r="AC58" s="118">
        <f>IFERROR(AA58/'FA Addition'!$J58*'FA Addition'!$L58,0)</f>
        <v>0</v>
      </c>
      <c r="AE58" s="117">
        <f>IF(AND('FA Addition'!$D58&lt;$P$1+1,U58=0),'FA Addition'!$L58,0)-Y58</f>
        <v>6899</v>
      </c>
      <c r="AF58" s="117">
        <f t="shared" si="0"/>
        <v>6899</v>
      </c>
      <c r="AG58" s="117">
        <f>MIN(MAX(+$P$1-'FA Addition'!$D58,0),365*'FA Addition'!$O58)</f>
        <v>1095</v>
      </c>
      <c r="AH58" s="117">
        <f>MIN(MAX($L$1-'FA Addition'!$D58+1,0),365*'FA Addition'!$O58)</f>
        <v>1095</v>
      </c>
      <c r="AI58" s="117" cm="1">
        <f t="array" ref="AI58">_xlfn.XLOOKUP(1,('FA Write off'!A:A='FA Addition'!$A58)*('FA Write off'!D:D=AA58),'FA Write off'!H:H,0,0)</f>
        <v>0</v>
      </c>
      <c r="AJ58" s="117">
        <f>IF(AC58&gt;0,MAX(IF('FA Addition'!$N58="SLM",($AC58-'FA Addition'!$M58)*'FA Addition'!$P58*AI58/365,(AC58-'FA Addition'!$M58)*(1-(1-'FA Addition'!$P58)^(AI58/365))),0),0)</f>
        <v>0</v>
      </c>
      <c r="AL58" s="117">
        <f>MAX(IF(AG58&gt;0,IF('FA Addition'!$N58="SLM",($AE58-'FA Addition'!$M58)*'FA Addition'!$P58*AG58/365,IFERROR(VDB(AE58,AE58*0.05,'FA Addition'!$O58,0,YEARFRAC('FA Addition'!$C58,$P$1-1,3),'FA Addition'!$Q58),FAAddition[[#This Row],[Original Cost (Rs)]]-FAAddition[[#This Row],[Salvage Value]])),0),0)</f>
        <v>6554</v>
      </c>
      <c r="AM58" s="119"/>
      <c r="AN58" s="117">
        <f>MAX(IF(AH58&gt;0,IF('FA Addition'!$N58="SLM",($AF58-'FA Addition'!$M58)*'FA Addition'!$P58*AH58/365,IFERROR(VDB(AF58,AF58*0.05,'FA Addition'!$O58,0,YEARFRAC('FA Addition'!$C58,$L$1,3),'FA Addition'!$Q58),FAAddition[[#This Row],[Original Cost (Rs)]]-FAAddition[[#This Row],[Salvage Value]])),0),0)</f>
        <v>6554</v>
      </c>
      <c r="AO58" s="117">
        <f t="shared" si="3"/>
        <v>0</v>
      </c>
      <c r="AQ58" s="117">
        <f t="shared" si="1"/>
        <v>345</v>
      </c>
      <c r="AR58" s="120">
        <f t="shared" si="2"/>
        <v>345</v>
      </c>
      <c r="AS58" s="121"/>
    </row>
    <row r="59" spans="1:45" ht="13.5" x14ac:dyDescent="0.4">
      <c r="A59" s="12">
        <f t="shared" si="4"/>
        <v>56</v>
      </c>
      <c r="B59" s="51" t="s">
        <v>439</v>
      </c>
      <c r="C59" s="54">
        <v>42276</v>
      </c>
      <c r="D59" s="54">
        <v>42276</v>
      </c>
      <c r="E59" s="46" t="s">
        <v>32</v>
      </c>
      <c r="F59" s="51" t="s">
        <v>32</v>
      </c>
      <c r="G59" s="44" t="s">
        <v>462</v>
      </c>
      <c r="H59" s="51" t="s">
        <v>32</v>
      </c>
      <c r="I59" s="57" t="s">
        <v>488</v>
      </c>
      <c r="J59" s="56">
        <v>1</v>
      </c>
      <c r="K59" s="51"/>
      <c r="L59" s="58">
        <v>35000</v>
      </c>
      <c r="M59" s="50">
        <f>ROUND('FA Addition'!$L59*5%,0.1)</f>
        <v>1750</v>
      </c>
      <c r="N59" s="113" t="str">
        <f>_xlfn.XLOOKUP(_xlfn.CONCAT(E59,B59),'Year Wise Master Dep Approach'!F:F,'Year Wise Master Dep Approach'!D:D)</f>
        <v>WDV</v>
      </c>
      <c r="O59" s="113">
        <f>_xlfn.XLOOKUP(_xlfn.CONCAT(E59,B59),'Year Wise Master Dep Approach'!F:F,'Year Wise Master Dep Approach'!E:E)</f>
        <v>3</v>
      </c>
      <c r="P59" s="114">
        <f>IFERROR(IF('FA Addition'!$N59="WDV",1-('FA Addition'!$M59/'FA Addition'!$L59)^(1/'FA Addition'!$O59),1/'FA Addition'!$O59),0)</f>
        <v>0.63159685013596123</v>
      </c>
      <c r="Q59" s="122">
        <f>'FA Addition'!$P59*'FA Addition'!$O59</f>
        <v>1.8947905504078837</v>
      </c>
      <c r="R59" s="122"/>
      <c r="S59" s="116">
        <f>IF(AND(DATE(20&amp;LEFT(FAAddition[[#This Row],[FY]],2),4,1)&lt;$L$1+1,DATE(20&amp;LEFT(FAAddition[[#This Row],[FY]],2),4,1)&gt;$P$1-1),'FA Addition'!$J59,0)</f>
        <v>0</v>
      </c>
      <c r="U59" s="117">
        <f>S59*'FA Addition'!$L59/'FA Addition'!$J59</f>
        <v>0</v>
      </c>
      <c r="W59" s="116">
        <f>SUMIFS('FA Write off'!D:D,'FA Write off'!A:A,'FA Addition'!$A59,'FA Write off'!C:C,"&lt;"&amp;'FA Addition'!$P$1)</f>
        <v>0</v>
      </c>
      <c r="Y59" s="191">
        <f>IFERROR(W59/'FA Addition'!$J59*'FA Addition'!$L59,0)</f>
        <v>0</v>
      </c>
      <c r="AA59" s="116">
        <f>SUMIFS('FA Write off'!D:D,'FA Write off'!A:A,'FA Addition'!$A59,'FA Write off'!C:C,"&lt;"&amp;'FA Addition'!$L$1+1,'FA Write off'!C:C,"&gt;"&amp;'FA Addition'!$L$1-365)</f>
        <v>0</v>
      </c>
      <c r="AC59" s="118">
        <f>IFERROR(AA59/'FA Addition'!$J59*'FA Addition'!$L59,0)</f>
        <v>0</v>
      </c>
      <c r="AE59" s="117">
        <f>IF(AND('FA Addition'!$D59&lt;$P$1+1,U59=0),'FA Addition'!$L59,0)-Y59</f>
        <v>35000</v>
      </c>
      <c r="AF59" s="117">
        <f t="shared" si="0"/>
        <v>35000</v>
      </c>
      <c r="AG59" s="117">
        <f>MIN(MAX(+$P$1-'FA Addition'!$D59,0),365*'FA Addition'!$O59)</f>
        <v>1095</v>
      </c>
      <c r="AH59" s="117">
        <f>MIN(MAX($L$1-'FA Addition'!$D59+1,0),365*'FA Addition'!$O59)</f>
        <v>1095</v>
      </c>
      <c r="AI59" s="117" cm="1">
        <f t="array" ref="AI59">_xlfn.XLOOKUP(1,('FA Write off'!A:A='FA Addition'!$A59)*('FA Write off'!D:D=AA59),'FA Write off'!H:H,0,0)</f>
        <v>0</v>
      </c>
      <c r="AJ59" s="117">
        <f>IF(AC59&gt;0,MAX(IF('FA Addition'!$N59="SLM",($AC59-'FA Addition'!$M59)*'FA Addition'!$P59*AI59/365,(AC59-'FA Addition'!$M59)*(1-(1-'FA Addition'!$P59)^(AI59/365))),0),0)</f>
        <v>0</v>
      </c>
      <c r="AL59" s="117">
        <f>MAX(IF(AG59&gt;0,IF('FA Addition'!$N59="SLM",($AE59-'FA Addition'!$M59)*'FA Addition'!$P59*AG59/365,IFERROR(VDB(AE59,AE59*0.05,'FA Addition'!$O59,0,YEARFRAC('FA Addition'!$C59,$P$1-1,3),'FA Addition'!$Q59),FAAddition[[#This Row],[Original Cost (Rs)]]-FAAddition[[#This Row],[Salvage Value]])),0),0)</f>
        <v>33250</v>
      </c>
      <c r="AM59" s="119"/>
      <c r="AN59" s="117">
        <f>MAX(IF(AH59&gt;0,IF('FA Addition'!$N59="SLM",($AF59-'FA Addition'!$M59)*'FA Addition'!$P59*AH59/365,IFERROR(VDB(AF59,AF59*0.05,'FA Addition'!$O59,0,YEARFRAC('FA Addition'!$C59,$L$1,3),'FA Addition'!$Q59),FAAddition[[#This Row],[Original Cost (Rs)]]-FAAddition[[#This Row],[Salvage Value]])),0),0)</f>
        <v>33250</v>
      </c>
      <c r="AO59" s="117">
        <f t="shared" si="3"/>
        <v>0</v>
      </c>
      <c r="AQ59" s="117">
        <f t="shared" si="1"/>
        <v>1750</v>
      </c>
      <c r="AR59" s="120">
        <f t="shared" si="2"/>
        <v>1750</v>
      </c>
      <c r="AS59" s="121"/>
    </row>
    <row r="60" spans="1:45" ht="13.5" x14ac:dyDescent="0.4">
      <c r="A60" s="12">
        <f t="shared" si="4"/>
        <v>57</v>
      </c>
      <c r="B60" s="44" t="s">
        <v>439</v>
      </c>
      <c r="C60" s="45">
        <v>42276</v>
      </c>
      <c r="D60" s="45">
        <v>42276</v>
      </c>
      <c r="E60" s="46" t="s">
        <v>32</v>
      </c>
      <c r="F60" s="44" t="s">
        <v>32</v>
      </c>
      <c r="G60" s="44" t="s">
        <v>435</v>
      </c>
      <c r="H60" s="44" t="s">
        <v>32</v>
      </c>
      <c r="I60" s="47" t="s">
        <v>489</v>
      </c>
      <c r="J60" s="56">
        <v>1</v>
      </c>
      <c r="K60" s="44"/>
      <c r="L60" s="52">
        <v>1341</v>
      </c>
      <c r="M60" s="50">
        <f>ROUND('FA Addition'!$L60*5%,0.1)</f>
        <v>67</v>
      </c>
      <c r="N60" s="113" t="str">
        <f>_xlfn.XLOOKUP(_xlfn.CONCAT(E60,B60),'Year Wise Master Dep Approach'!F:F,'Year Wise Master Dep Approach'!D:D)</f>
        <v>WDV</v>
      </c>
      <c r="O60" s="113">
        <f>_xlfn.XLOOKUP(_xlfn.CONCAT(E60,B60),'Year Wise Master Dep Approach'!F:F,'Year Wise Master Dep Approach'!E:E)</f>
        <v>3</v>
      </c>
      <c r="P60" s="114">
        <f>IFERROR(IF('FA Addition'!$N60="WDV",1-('FA Addition'!$M60/'FA Addition'!$L60)^(1/'FA Addition'!$O60),1/'FA Addition'!$O60),0)</f>
        <v>0.631688447143681</v>
      </c>
      <c r="Q60" s="122">
        <f>'FA Addition'!$P60*'FA Addition'!$O60</f>
        <v>1.895065341431043</v>
      </c>
      <c r="R60" s="122"/>
      <c r="S60" s="116">
        <f>IF(AND(DATE(20&amp;LEFT(FAAddition[[#This Row],[FY]],2),4,1)&lt;$L$1+1,DATE(20&amp;LEFT(FAAddition[[#This Row],[FY]],2),4,1)&gt;$P$1-1),'FA Addition'!$J60,0)</f>
        <v>0</v>
      </c>
      <c r="U60" s="117">
        <f>S60*'FA Addition'!$L60/'FA Addition'!$J60</f>
        <v>0</v>
      </c>
      <c r="W60" s="116">
        <f>SUMIFS('FA Write off'!D:D,'FA Write off'!A:A,'FA Addition'!$A60,'FA Write off'!C:C,"&lt;"&amp;'FA Addition'!$P$1)</f>
        <v>0</v>
      </c>
      <c r="Y60" s="191">
        <f>IFERROR(W60/'FA Addition'!$J60*'FA Addition'!$L60,0)</f>
        <v>0</v>
      </c>
      <c r="AA60" s="116">
        <f>SUMIFS('FA Write off'!D:D,'FA Write off'!A:A,'FA Addition'!$A60,'FA Write off'!C:C,"&lt;"&amp;'FA Addition'!$L$1+1,'FA Write off'!C:C,"&gt;"&amp;'FA Addition'!$L$1-365)</f>
        <v>0</v>
      </c>
      <c r="AC60" s="118">
        <f>IFERROR(AA60/'FA Addition'!$J60*'FA Addition'!$L60,0)</f>
        <v>0</v>
      </c>
      <c r="AE60" s="117">
        <f>IF(AND('FA Addition'!$D60&lt;$P$1+1,U60=0),'FA Addition'!$L60,0)-Y60</f>
        <v>1341</v>
      </c>
      <c r="AF60" s="117">
        <f t="shared" si="0"/>
        <v>1341</v>
      </c>
      <c r="AG60" s="117">
        <f>MIN(MAX(+$P$1-'FA Addition'!$D60,0),365*'FA Addition'!$O60)</f>
        <v>1095</v>
      </c>
      <c r="AH60" s="117">
        <f>MIN(MAX($L$1-'FA Addition'!$D60+1,0),365*'FA Addition'!$O60)</f>
        <v>1095</v>
      </c>
      <c r="AI60" s="117" cm="1">
        <f t="array" ref="AI60">_xlfn.XLOOKUP(1,('FA Write off'!A:A='FA Addition'!$A60)*('FA Write off'!D:D=AA60),'FA Write off'!H:H,0,0)</f>
        <v>0</v>
      </c>
      <c r="AJ60" s="117">
        <f>IF(AC60&gt;0,MAX(IF('FA Addition'!$N60="SLM",($AC60-'FA Addition'!$M60)*'FA Addition'!$P60*AI60/365,(AC60-'FA Addition'!$M60)*(1-(1-'FA Addition'!$P60)^(AI60/365))),0),0)</f>
        <v>0</v>
      </c>
      <c r="AL60" s="117">
        <f>MAX(IF(AG60&gt;0,IF('FA Addition'!$N60="SLM",($AE60-'FA Addition'!$M60)*'FA Addition'!$P60*AG60/365,IFERROR(VDB(AE60,AE60*0.05,'FA Addition'!$O60,0,YEARFRAC('FA Addition'!$C60,$P$1-1,3),'FA Addition'!$Q60),FAAddition[[#This Row],[Original Cost (Rs)]]-FAAddition[[#This Row],[Salvage Value]])),0),0)</f>
        <v>1274</v>
      </c>
      <c r="AM60" s="119"/>
      <c r="AN60" s="117">
        <f>MAX(IF(AH60&gt;0,IF('FA Addition'!$N60="SLM",($AF60-'FA Addition'!$M60)*'FA Addition'!$P60*AH60/365,IFERROR(VDB(AF60,AF60*0.05,'FA Addition'!$O60,0,YEARFRAC('FA Addition'!$C60,$L$1,3),'FA Addition'!$Q60),FAAddition[[#This Row],[Original Cost (Rs)]]-FAAddition[[#This Row],[Salvage Value]])),0),0)</f>
        <v>1274</v>
      </c>
      <c r="AO60" s="117">
        <f t="shared" si="3"/>
        <v>0</v>
      </c>
      <c r="AQ60" s="117">
        <f t="shared" si="1"/>
        <v>67</v>
      </c>
      <c r="AR60" s="120">
        <f t="shared" si="2"/>
        <v>67</v>
      </c>
      <c r="AS60" s="121"/>
    </row>
    <row r="61" spans="1:45" ht="13.5" x14ac:dyDescent="0.4">
      <c r="A61" s="12">
        <f t="shared" si="4"/>
        <v>58</v>
      </c>
      <c r="B61" s="44" t="s">
        <v>439</v>
      </c>
      <c r="C61" s="45">
        <v>42276</v>
      </c>
      <c r="D61" s="45">
        <v>42276</v>
      </c>
      <c r="E61" s="46" t="s">
        <v>32</v>
      </c>
      <c r="F61" s="44" t="s">
        <v>32</v>
      </c>
      <c r="G61" s="44" t="s">
        <v>462</v>
      </c>
      <c r="H61" s="44" t="s">
        <v>32</v>
      </c>
      <c r="I61" s="47" t="s">
        <v>490</v>
      </c>
      <c r="J61" s="56">
        <v>1</v>
      </c>
      <c r="K61" s="44"/>
      <c r="L61" s="52">
        <v>23000</v>
      </c>
      <c r="M61" s="50">
        <f>ROUND('FA Addition'!$L61*5%,0.1)</f>
        <v>1150</v>
      </c>
      <c r="N61" s="113" t="str">
        <f>_xlfn.XLOOKUP(_xlfn.CONCAT(E61,B61),'Year Wise Master Dep Approach'!F:F,'Year Wise Master Dep Approach'!D:D)</f>
        <v>WDV</v>
      </c>
      <c r="O61" s="113">
        <f>_xlfn.XLOOKUP(_xlfn.CONCAT(E61,B61),'Year Wise Master Dep Approach'!F:F,'Year Wise Master Dep Approach'!E:E)</f>
        <v>3</v>
      </c>
      <c r="P61" s="114">
        <f>IFERROR(IF('FA Addition'!$N61="WDV",1-('FA Addition'!$M61/'FA Addition'!$L61)^(1/'FA Addition'!$O61),1/'FA Addition'!$O61),0)</f>
        <v>0.63159685013596123</v>
      </c>
      <c r="Q61" s="122">
        <f>'FA Addition'!$P61*'FA Addition'!$O61</f>
        <v>1.8947905504078837</v>
      </c>
      <c r="R61" s="122"/>
      <c r="S61" s="116">
        <f>IF(AND(DATE(20&amp;LEFT(FAAddition[[#This Row],[FY]],2),4,1)&lt;$L$1+1,DATE(20&amp;LEFT(FAAddition[[#This Row],[FY]],2),4,1)&gt;$P$1-1),'FA Addition'!$J61,0)</f>
        <v>0</v>
      </c>
      <c r="U61" s="117">
        <f>S61*'FA Addition'!$L61/'FA Addition'!$J61</f>
        <v>0</v>
      </c>
      <c r="W61" s="116">
        <f>SUMIFS('FA Write off'!D:D,'FA Write off'!A:A,'FA Addition'!$A61,'FA Write off'!C:C,"&lt;"&amp;'FA Addition'!$P$1)</f>
        <v>0</v>
      </c>
      <c r="Y61" s="191">
        <f>IFERROR(W61/'FA Addition'!$J61*'FA Addition'!$L61,0)</f>
        <v>0</v>
      </c>
      <c r="AA61" s="116">
        <f>SUMIFS('FA Write off'!D:D,'FA Write off'!A:A,'FA Addition'!$A61,'FA Write off'!C:C,"&lt;"&amp;'FA Addition'!$L$1+1,'FA Write off'!C:C,"&gt;"&amp;'FA Addition'!$L$1-365)</f>
        <v>0</v>
      </c>
      <c r="AC61" s="118">
        <f>IFERROR(AA61/'FA Addition'!$J61*'FA Addition'!$L61,0)</f>
        <v>0</v>
      </c>
      <c r="AE61" s="117">
        <f>IF(AND('FA Addition'!$D61&lt;$P$1+1,U61=0),'FA Addition'!$L61,0)-Y61</f>
        <v>23000</v>
      </c>
      <c r="AF61" s="117">
        <f t="shared" si="0"/>
        <v>23000</v>
      </c>
      <c r="AG61" s="117">
        <f>MIN(MAX(+$P$1-'FA Addition'!$D61,0),365*'FA Addition'!$O61)</f>
        <v>1095</v>
      </c>
      <c r="AH61" s="117">
        <f>MIN(MAX($L$1-'FA Addition'!$D61+1,0),365*'FA Addition'!$O61)</f>
        <v>1095</v>
      </c>
      <c r="AI61" s="117" cm="1">
        <f t="array" ref="AI61">_xlfn.XLOOKUP(1,('FA Write off'!A:A='FA Addition'!$A61)*('FA Write off'!D:D=AA61),'FA Write off'!H:H,0,0)</f>
        <v>0</v>
      </c>
      <c r="AJ61" s="117">
        <f>IF(AC61&gt;0,MAX(IF('FA Addition'!$N61="SLM",($AC61-'FA Addition'!$M61)*'FA Addition'!$P61*AI61/365,(AC61-'FA Addition'!$M61)*(1-(1-'FA Addition'!$P61)^(AI61/365))),0),0)</f>
        <v>0</v>
      </c>
      <c r="AL61" s="117">
        <f>MAX(IF(AG61&gt;0,IF('FA Addition'!$N61="SLM",($AE61-'FA Addition'!$M61)*'FA Addition'!$P61*AG61/365,IFERROR(VDB(AE61,AE61*0.05,'FA Addition'!$O61,0,YEARFRAC('FA Addition'!$C61,$P$1-1,3),'FA Addition'!$Q61),FAAddition[[#This Row],[Original Cost (Rs)]]-FAAddition[[#This Row],[Salvage Value]])),0),0)</f>
        <v>21850</v>
      </c>
      <c r="AM61" s="119"/>
      <c r="AN61" s="117">
        <f>MAX(IF(AH61&gt;0,IF('FA Addition'!$N61="SLM",($AF61-'FA Addition'!$M61)*'FA Addition'!$P61*AH61/365,IFERROR(VDB(AF61,AF61*0.05,'FA Addition'!$O61,0,YEARFRAC('FA Addition'!$C61,$L$1,3),'FA Addition'!$Q61),FAAddition[[#This Row],[Original Cost (Rs)]]-FAAddition[[#This Row],[Salvage Value]])),0),0)</f>
        <v>21850</v>
      </c>
      <c r="AO61" s="117">
        <f t="shared" si="3"/>
        <v>0</v>
      </c>
      <c r="AQ61" s="117">
        <f t="shared" si="1"/>
        <v>1150</v>
      </c>
      <c r="AR61" s="120">
        <f t="shared" si="2"/>
        <v>1150</v>
      </c>
      <c r="AS61" s="121"/>
    </row>
    <row r="62" spans="1:45" ht="13.5" x14ac:dyDescent="0.4">
      <c r="A62" s="12">
        <f t="shared" si="4"/>
        <v>59</v>
      </c>
      <c r="B62" s="44" t="s">
        <v>439</v>
      </c>
      <c r="C62" s="45">
        <v>42276</v>
      </c>
      <c r="D62" s="45">
        <v>42276</v>
      </c>
      <c r="E62" s="46" t="s">
        <v>32</v>
      </c>
      <c r="F62" s="44" t="s">
        <v>32</v>
      </c>
      <c r="G62" s="44" t="s">
        <v>435</v>
      </c>
      <c r="H62" s="44" t="s">
        <v>32</v>
      </c>
      <c r="I62" s="59"/>
      <c r="J62" s="56">
        <v>1</v>
      </c>
      <c r="K62" s="44"/>
      <c r="L62" s="52">
        <v>6400</v>
      </c>
      <c r="M62" s="50">
        <f>ROUND('FA Addition'!$L62*5%,0.1)</f>
        <v>320</v>
      </c>
      <c r="N62" s="113" t="str">
        <f>_xlfn.XLOOKUP(_xlfn.CONCAT(E62,B62),'Year Wise Master Dep Approach'!F:F,'Year Wise Master Dep Approach'!D:D)</f>
        <v>WDV</v>
      </c>
      <c r="O62" s="113">
        <f>_xlfn.XLOOKUP(_xlfn.CONCAT(E62,B62),'Year Wise Master Dep Approach'!F:F,'Year Wise Master Dep Approach'!E:E)</f>
        <v>3</v>
      </c>
      <c r="P62" s="114">
        <f>IFERROR(IF('FA Addition'!$N62="WDV",1-('FA Addition'!$M62/'FA Addition'!$L62)^(1/'FA Addition'!$O62),1/'FA Addition'!$O62),0)</f>
        <v>0.63159685013596123</v>
      </c>
      <c r="Q62" s="122">
        <f>'FA Addition'!$P62*'FA Addition'!$O62</f>
        <v>1.8947905504078837</v>
      </c>
      <c r="R62" s="122"/>
      <c r="S62" s="116">
        <f>IF(AND(DATE(20&amp;LEFT(FAAddition[[#This Row],[FY]],2),4,1)&lt;$L$1+1,DATE(20&amp;LEFT(FAAddition[[#This Row],[FY]],2),4,1)&gt;$P$1-1),'FA Addition'!$J62,0)</f>
        <v>0</v>
      </c>
      <c r="U62" s="117">
        <f>S62*'FA Addition'!$L62/'FA Addition'!$J62</f>
        <v>0</v>
      </c>
      <c r="W62" s="116">
        <f>SUMIFS('FA Write off'!D:D,'FA Write off'!A:A,'FA Addition'!$A62,'FA Write off'!C:C,"&lt;"&amp;'FA Addition'!$P$1)</f>
        <v>0</v>
      </c>
      <c r="Y62" s="191">
        <f>IFERROR(W62/'FA Addition'!$J62*'FA Addition'!$L62,0)</f>
        <v>0</v>
      </c>
      <c r="AA62" s="116">
        <f>SUMIFS('FA Write off'!D:D,'FA Write off'!A:A,'FA Addition'!$A62,'FA Write off'!C:C,"&lt;"&amp;'FA Addition'!$L$1+1,'FA Write off'!C:C,"&gt;"&amp;'FA Addition'!$L$1-365)</f>
        <v>0</v>
      </c>
      <c r="AC62" s="118">
        <f>IFERROR(AA62/'FA Addition'!$J62*'FA Addition'!$L62,0)</f>
        <v>0</v>
      </c>
      <c r="AE62" s="117">
        <f>IF(AND('FA Addition'!$D62&lt;$P$1+1,U62=0),'FA Addition'!$L62,0)-Y62</f>
        <v>6400</v>
      </c>
      <c r="AF62" s="117">
        <f t="shared" si="0"/>
        <v>6400</v>
      </c>
      <c r="AG62" s="117">
        <f>MIN(MAX(+$P$1-'FA Addition'!$D62,0),365*'FA Addition'!$O62)</f>
        <v>1095</v>
      </c>
      <c r="AH62" s="117">
        <f>MIN(MAX($L$1-'FA Addition'!$D62+1,0),365*'FA Addition'!$O62)</f>
        <v>1095</v>
      </c>
      <c r="AI62" s="117" cm="1">
        <f t="array" ref="AI62">_xlfn.XLOOKUP(1,('FA Write off'!A:A='FA Addition'!$A62)*('FA Write off'!D:D=AA62),'FA Write off'!H:H,0,0)</f>
        <v>0</v>
      </c>
      <c r="AJ62" s="117">
        <f>IF(AC62&gt;0,MAX(IF('FA Addition'!$N62="SLM",($AC62-'FA Addition'!$M62)*'FA Addition'!$P62*AI62/365,(AC62-'FA Addition'!$M62)*(1-(1-'FA Addition'!$P62)^(AI62/365))),0),0)</f>
        <v>0</v>
      </c>
      <c r="AL62" s="117">
        <f>MAX(IF(AG62&gt;0,IF('FA Addition'!$N62="SLM",($AE62-'FA Addition'!$M62)*'FA Addition'!$P62*AG62/365,IFERROR(VDB(AE62,AE62*0.05,'FA Addition'!$O62,0,YEARFRAC('FA Addition'!$C62,$P$1-1,3),'FA Addition'!$Q62),FAAddition[[#This Row],[Original Cost (Rs)]]-FAAddition[[#This Row],[Salvage Value]])),0),0)</f>
        <v>6080</v>
      </c>
      <c r="AM62" s="119"/>
      <c r="AN62" s="117">
        <f>MAX(IF(AH62&gt;0,IF('FA Addition'!$N62="SLM",($AF62-'FA Addition'!$M62)*'FA Addition'!$P62*AH62/365,IFERROR(VDB(AF62,AF62*0.05,'FA Addition'!$O62,0,YEARFRAC('FA Addition'!$C62,$L$1,3),'FA Addition'!$Q62),FAAddition[[#This Row],[Original Cost (Rs)]]-FAAddition[[#This Row],[Salvage Value]])),0),0)</f>
        <v>6080</v>
      </c>
      <c r="AO62" s="117">
        <f t="shared" si="3"/>
        <v>0</v>
      </c>
      <c r="AQ62" s="117">
        <f t="shared" si="1"/>
        <v>320</v>
      </c>
      <c r="AR62" s="120">
        <f t="shared" si="2"/>
        <v>320</v>
      </c>
      <c r="AS62" s="121"/>
    </row>
    <row r="63" spans="1:45" ht="13.5" x14ac:dyDescent="0.4">
      <c r="A63" s="12">
        <f t="shared" si="4"/>
        <v>60</v>
      </c>
      <c r="B63" s="44" t="s">
        <v>439</v>
      </c>
      <c r="C63" s="45">
        <v>42276</v>
      </c>
      <c r="D63" s="45">
        <v>42276</v>
      </c>
      <c r="E63" s="46" t="s">
        <v>32</v>
      </c>
      <c r="F63" s="44" t="s">
        <v>32</v>
      </c>
      <c r="G63" s="44" t="s">
        <v>435</v>
      </c>
      <c r="H63" s="44" t="s">
        <v>32</v>
      </c>
      <c r="I63" s="47"/>
      <c r="J63" s="56">
        <v>1</v>
      </c>
      <c r="K63" s="44"/>
      <c r="L63" s="52">
        <v>2929</v>
      </c>
      <c r="M63" s="50">
        <f>ROUND('FA Addition'!$L63*5%,0.1)</f>
        <v>146</v>
      </c>
      <c r="N63" s="113" t="str">
        <f>_xlfn.XLOOKUP(_xlfn.CONCAT(E63,B63),'Year Wise Master Dep Approach'!F:F,'Year Wise Master Dep Approach'!D:D)</f>
        <v>WDV</v>
      </c>
      <c r="O63" s="113">
        <f>_xlfn.XLOOKUP(_xlfn.CONCAT(E63,B63),'Year Wise Master Dep Approach'!F:F,'Year Wise Master Dep Approach'!E:E)</f>
        <v>3</v>
      </c>
      <c r="P63" s="114">
        <f>IFERROR(IF('FA Addition'!$N63="WDV",1-('FA Addition'!$M63/'FA Addition'!$L63)^(1/'FA Addition'!$O63),1/'FA Addition'!$O63),0)</f>
        <v>0.63197457065015694</v>
      </c>
      <c r="Q63" s="122">
        <f>'FA Addition'!$P63*'FA Addition'!$O63</f>
        <v>1.8959237119504708</v>
      </c>
      <c r="R63" s="122"/>
      <c r="S63" s="116">
        <f>IF(AND(DATE(20&amp;LEFT(FAAddition[[#This Row],[FY]],2),4,1)&lt;$L$1+1,DATE(20&amp;LEFT(FAAddition[[#This Row],[FY]],2),4,1)&gt;$P$1-1),'FA Addition'!$J63,0)</f>
        <v>0</v>
      </c>
      <c r="U63" s="117">
        <f>S63*'FA Addition'!$L63/'FA Addition'!$J63</f>
        <v>0</v>
      </c>
      <c r="W63" s="116">
        <f>SUMIFS('FA Write off'!D:D,'FA Write off'!A:A,'FA Addition'!$A63,'FA Write off'!C:C,"&lt;"&amp;'FA Addition'!$P$1)</f>
        <v>0</v>
      </c>
      <c r="Y63" s="191">
        <f>IFERROR(W63/'FA Addition'!$J63*'FA Addition'!$L63,0)</f>
        <v>0</v>
      </c>
      <c r="AA63" s="116">
        <f>SUMIFS('FA Write off'!D:D,'FA Write off'!A:A,'FA Addition'!$A63,'FA Write off'!C:C,"&lt;"&amp;'FA Addition'!$L$1+1,'FA Write off'!C:C,"&gt;"&amp;'FA Addition'!$L$1-365)</f>
        <v>0</v>
      </c>
      <c r="AC63" s="118">
        <f>IFERROR(AA63/'FA Addition'!$J63*'FA Addition'!$L63,0)</f>
        <v>0</v>
      </c>
      <c r="AE63" s="117">
        <f>IF(AND('FA Addition'!$D63&lt;$P$1+1,U63=0),'FA Addition'!$L63,0)-Y63</f>
        <v>2929</v>
      </c>
      <c r="AF63" s="117">
        <f t="shared" si="0"/>
        <v>2929</v>
      </c>
      <c r="AG63" s="117">
        <f>MIN(MAX(+$P$1-'FA Addition'!$D63,0),365*'FA Addition'!$O63)</f>
        <v>1095</v>
      </c>
      <c r="AH63" s="117">
        <f>MIN(MAX($L$1-'FA Addition'!$D63+1,0),365*'FA Addition'!$O63)</f>
        <v>1095</v>
      </c>
      <c r="AI63" s="117" cm="1">
        <f t="array" ref="AI63">_xlfn.XLOOKUP(1,('FA Write off'!A:A='FA Addition'!$A63)*('FA Write off'!D:D=AA63),'FA Write off'!H:H,0,0)</f>
        <v>0</v>
      </c>
      <c r="AJ63" s="117">
        <f>IF(AC63&gt;0,MAX(IF('FA Addition'!$N63="SLM",($AC63-'FA Addition'!$M63)*'FA Addition'!$P63*AI63/365,(AC63-'FA Addition'!$M63)*(1-(1-'FA Addition'!$P63)^(AI63/365))),0),0)</f>
        <v>0</v>
      </c>
      <c r="AL63" s="117">
        <f>MAX(IF(AG63&gt;0,IF('FA Addition'!$N63="SLM",($AE63-'FA Addition'!$M63)*'FA Addition'!$P63*AG63/365,IFERROR(VDB(AE63,AE63*0.05,'FA Addition'!$O63,0,YEARFRAC('FA Addition'!$C63,$P$1-1,3),'FA Addition'!$Q63),FAAddition[[#This Row],[Original Cost (Rs)]]-FAAddition[[#This Row],[Salvage Value]])),0),0)</f>
        <v>2783</v>
      </c>
      <c r="AM63" s="119"/>
      <c r="AN63" s="117">
        <f>MAX(IF(AH63&gt;0,IF('FA Addition'!$N63="SLM",($AF63-'FA Addition'!$M63)*'FA Addition'!$P63*AH63/365,IFERROR(VDB(AF63,AF63*0.05,'FA Addition'!$O63,0,YEARFRAC('FA Addition'!$C63,$L$1,3),'FA Addition'!$Q63),FAAddition[[#This Row],[Original Cost (Rs)]]-FAAddition[[#This Row],[Salvage Value]])),0),0)</f>
        <v>2783</v>
      </c>
      <c r="AO63" s="117">
        <f t="shared" si="3"/>
        <v>0</v>
      </c>
      <c r="AQ63" s="117">
        <f t="shared" si="1"/>
        <v>146</v>
      </c>
      <c r="AR63" s="120">
        <f t="shared" si="2"/>
        <v>146</v>
      </c>
      <c r="AS63" s="121"/>
    </row>
    <row r="64" spans="1:45" ht="13.5" x14ac:dyDescent="0.4">
      <c r="A64" s="12">
        <f t="shared" si="4"/>
        <v>61</v>
      </c>
      <c r="B64" s="44" t="s">
        <v>439</v>
      </c>
      <c r="C64" s="45">
        <v>42276</v>
      </c>
      <c r="D64" s="45">
        <v>42276</v>
      </c>
      <c r="E64" s="46" t="s">
        <v>32</v>
      </c>
      <c r="F64" s="44" t="s">
        <v>32</v>
      </c>
      <c r="G64" s="44" t="s">
        <v>435</v>
      </c>
      <c r="H64" s="44" t="s">
        <v>32</v>
      </c>
      <c r="I64" s="47" t="s">
        <v>491</v>
      </c>
      <c r="J64" s="56">
        <v>1</v>
      </c>
      <c r="K64" s="44"/>
      <c r="L64" s="52">
        <v>1550</v>
      </c>
      <c r="M64" s="50">
        <f>ROUND('FA Addition'!$L64*5%,0.1)</f>
        <v>78</v>
      </c>
      <c r="N64" s="113" t="str">
        <f>_xlfn.XLOOKUP(_xlfn.CONCAT(E64,B64),'Year Wise Master Dep Approach'!F:F,'Year Wise Master Dep Approach'!D:D)</f>
        <v>WDV</v>
      </c>
      <c r="O64" s="113">
        <f>_xlfn.XLOOKUP(_xlfn.CONCAT(E64,B64),'Year Wise Master Dep Approach'!F:F,'Year Wise Master Dep Approach'!E:E)</f>
        <v>3</v>
      </c>
      <c r="P64" s="114">
        <f>IFERROR(IF('FA Addition'!$N64="WDV",1-('FA Addition'!$M64/'FA Addition'!$L64)^(1/'FA Addition'!$O64),1/'FA Addition'!$O64),0)</f>
        <v>0.63080628301224428</v>
      </c>
      <c r="Q64" s="122">
        <f>'FA Addition'!$P64*'FA Addition'!$O64</f>
        <v>1.8924188490367329</v>
      </c>
      <c r="R64" s="122"/>
      <c r="S64" s="116">
        <f>IF(AND(DATE(20&amp;LEFT(FAAddition[[#This Row],[FY]],2),4,1)&lt;$L$1+1,DATE(20&amp;LEFT(FAAddition[[#This Row],[FY]],2),4,1)&gt;$P$1-1),'FA Addition'!$J64,0)</f>
        <v>0</v>
      </c>
      <c r="U64" s="117">
        <f>S64*'FA Addition'!$L64/'FA Addition'!$J64</f>
        <v>0</v>
      </c>
      <c r="W64" s="116">
        <f>SUMIFS('FA Write off'!D:D,'FA Write off'!A:A,'FA Addition'!$A64,'FA Write off'!C:C,"&lt;"&amp;'FA Addition'!$P$1)</f>
        <v>0</v>
      </c>
      <c r="Y64" s="191">
        <f>IFERROR(W64/'FA Addition'!$J64*'FA Addition'!$L64,0)</f>
        <v>0</v>
      </c>
      <c r="AA64" s="116">
        <f>SUMIFS('FA Write off'!D:D,'FA Write off'!A:A,'FA Addition'!$A64,'FA Write off'!C:C,"&lt;"&amp;'FA Addition'!$L$1+1,'FA Write off'!C:C,"&gt;"&amp;'FA Addition'!$L$1-365)</f>
        <v>0</v>
      </c>
      <c r="AC64" s="118">
        <f>IFERROR(AA64/'FA Addition'!$J64*'FA Addition'!$L64,0)</f>
        <v>0</v>
      </c>
      <c r="AE64" s="117">
        <f>IF(AND('FA Addition'!$D64&lt;$P$1+1,U64=0),'FA Addition'!$L64,0)-Y64</f>
        <v>1550</v>
      </c>
      <c r="AF64" s="117">
        <f t="shared" si="0"/>
        <v>1550</v>
      </c>
      <c r="AG64" s="117">
        <f>MIN(MAX(+$P$1-'FA Addition'!$D64,0),365*'FA Addition'!$O64)</f>
        <v>1095</v>
      </c>
      <c r="AH64" s="117">
        <f>MIN(MAX($L$1-'FA Addition'!$D64+1,0),365*'FA Addition'!$O64)</f>
        <v>1095</v>
      </c>
      <c r="AI64" s="117" cm="1">
        <f t="array" ref="AI64">_xlfn.XLOOKUP(1,('FA Write off'!A:A='FA Addition'!$A64)*('FA Write off'!D:D=AA64),'FA Write off'!H:H,0,0)</f>
        <v>0</v>
      </c>
      <c r="AJ64" s="117">
        <f>IF(AC64&gt;0,MAX(IF('FA Addition'!$N64="SLM",($AC64-'FA Addition'!$M64)*'FA Addition'!$P64*AI64/365,(AC64-'FA Addition'!$M64)*(1-(1-'FA Addition'!$P64)^(AI64/365))),0),0)</f>
        <v>0</v>
      </c>
      <c r="AL64" s="117">
        <f>MAX(IF(AG64&gt;0,IF('FA Addition'!$N64="SLM",($AE64-'FA Addition'!$M64)*'FA Addition'!$P64*AG64/365,IFERROR(VDB(AE64,AE64*0.05,'FA Addition'!$O64,0,YEARFRAC('FA Addition'!$C64,$P$1-1,3),'FA Addition'!$Q64),FAAddition[[#This Row],[Original Cost (Rs)]]-FAAddition[[#This Row],[Salvage Value]])),0),0)</f>
        <v>1472</v>
      </c>
      <c r="AM64" s="119"/>
      <c r="AN64" s="117">
        <f>MAX(IF(AH64&gt;0,IF('FA Addition'!$N64="SLM",($AF64-'FA Addition'!$M64)*'FA Addition'!$P64*AH64/365,IFERROR(VDB(AF64,AF64*0.05,'FA Addition'!$O64,0,YEARFRAC('FA Addition'!$C64,$L$1,3),'FA Addition'!$Q64),FAAddition[[#This Row],[Original Cost (Rs)]]-FAAddition[[#This Row],[Salvage Value]])),0),0)</f>
        <v>1472</v>
      </c>
      <c r="AO64" s="117">
        <f t="shared" si="3"/>
        <v>0</v>
      </c>
      <c r="AQ64" s="117">
        <f t="shared" si="1"/>
        <v>78</v>
      </c>
      <c r="AR64" s="120">
        <f t="shared" si="2"/>
        <v>78</v>
      </c>
      <c r="AS64" s="121"/>
    </row>
    <row r="65" spans="1:45" ht="13.5" x14ac:dyDescent="0.4">
      <c r="A65" s="12">
        <f t="shared" si="4"/>
        <v>62</v>
      </c>
      <c r="B65" s="44" t="s">
        <v>439</v>
      </c>
      <c r="C65" s="45">
        <v>42276</v>
      </c>
      <c r="D65" s="45">
        <v>42276</v>
      </c>
      <c r="E65" s="46" t="s">
        <v>32</v>
      </c>
      <c r="F65" s="44" t="s">
        <v>32</v>
      </c>
      <c r="G65" s="44" t="s">
        <v>462</v>
      </c>
      <c r="H65" s="44" t="s">
        <v>32</v>
      </c>
      <c r="I65" s="47" t="s">
        <v>492</v>
      </c>
      <c r="J65" s="56">
        <v>1</v>
      </c>
      <c r="K65" s="44"/>
      <c r="L65" s="52">
        <v>9350</v>
      </c>
      <c r="M65" s="50">
        <f>ROUND('FA Addition'!$L65*5%,0.1)</f>
        <v>468</v>
      </c>
      <c r="N65" s="113" t="str">
        <f>_xlfn.XLOOKUP(_xlfn.CONCAT(E65,B65),'Year Wise Master Dep Approach'!F:F,'Year Wise Master Dep Approach'!D:D)</f>
        <v>WDV</v>
      </c>
      <c r="O65" s="113">
        <f>_xlfn.XLOOKUP(_xlfn.CONCAT(E65,B65),'Year Wise Master Dep Approach'!F:F,'Year Wise Master Dep Approach'!E:E)</f>
        <v>3</v>
      </c>
      <c r="P65" s="114">
        <f>IFERROR(IF('FA Addition'!$N65="WDV",1-('FA Addition'!$M65/'FA Addition'!$L65)^(1/'FA Addition'!$O65),1/'FA Addition'!$O65),0)</f>
        <v>0.63146555890964218</v>
      </c>
      <c r="Q65" s="122">
        <f>'FA Addition'!$P65*'FA Addition'!$O65</f>
        <v>1.8943966767289266</v>
      </c>
      <c r="R65" s="122"/>
      <c r="S65" s="116">
        <f>IF(AND(DATE(20&amp;LEFT(FAAddition[[#This Row],[FY]],2),4,1)&lt;$L$1+1,DATE(20&amp;LEFT(FAAddition[[#This Row],[FY]],2),4,1)&gt;$P$1-1),'FA Addition'!$J65,0)</f>
        <v>0</v>
      </c>
      <c r="U65" s="117">
        <f>S65*'FA Addition'!$L65/'FA Addition'!$J65</f>
        <v>0</v>
      </c>
      <c r="W65" s="116">
        <f>SUMIFS('FA Write off'!D:D,'FA Write off'!A:A,'FA Addition'!$A65,'FA Write off'!C:C,"&lt;"&amp;'FA Addition'!$P$1)</f>
        <v>0</v>
      </c>
      <c r="Y65" s="191">
        <f>IFERROR(W65/'FA Addition'!$J65*'FA Addition'!$L65,0)</f>
        <v>0</v>
      </c>
      <c r="AA65" s="116">
        <f>SUMIFS('FA Write off'!D:D,'FA Write off'!A:A,'FA Addition'!$A65,'FA Write off'!C:C,"&lt;"&amp;'FA Addition'!$L$1+1,'FA Write off'!C:C,"&gt;"&amp;'FA Addition'!$L$1-365)</f>
        <v>0</v>
      </c>
      <c r="AC65" s="118">
        <f>IFERROR(AA65/'FA Addition'!$J65*'FA Addition'!$L65,0)</f>
        <v>0</v>
      </c>
      <c r="AE65" s="117">
        <f>IF(AND('FA Addition'!$D65&lt;$P$1+1,U65=0),'FA Addition'!$L65,0)-Y65</f>
        <v>9350</v>
      </c>
      <c r="AF65" s="117">
        <f t="shared" si="0"/>
        <v>9350</v>
      </c>
      <c r="AG65" s="117">
        <f>MIN(MAX(+$P$1-'FA Addition'!$D65,0),365*'FA Addition'!$O65)</f>
        <v>1095</v>
      </c>
      <c r="AH65" s="117">
        <f>MIN(MAX($L$1-'FA Addition'!$D65+1,0),365*'FA Addition'!$O65)</f>
        <v>1095</v>
      </c>
      <c r="AI65" s="117" cm="1">
        <f t="array" ref="AI65">_xlfn.XLOOKUP(1,('FA Write off'!A:A='FA Addition'!$A65)*('FA Write off'!D:D=AA65),'FA Write off'!H:H,0,0)</f>
        <v>0</v>
      </c>
      <c r="AJ65" s="117">
        <f>IF(AC65&gt;0,MAX(IF('FA Addition'!$N65="SLM",($AC65-'FA Addition'!$M65)*'FA Addition'!$P65*AI65/365,(AC65-'FA Addition'!$M65)*(1-(1-'FA Addition'!$P65)^(AI65/365))),0),0)</f>
        <v>0</v>
      </c>
      <c r="AL65" s="117">
        <f>MAX(IF(AG65&gt;0,IF('FA Addition'!$N65="SLM",($AE65-'FA Addition'!$M65)*'FA Addition'!$P65*AG65/365,IFERROR(VDB(AE65,AE65*0.05,'FA Addition'!$O65,0,YEARFRAC('FA Addition'!$C65,$P$1-1,3),'FA Addition'!$Q65),FAAddition[[#This Row],[Original Cost (Rs)]]-FAAddition[[#This Row],[Salvage Value]])),0),0)</f>
        <v>8882</v>
      </c>
      <c r="AM65" s="119"/>
      <c r="AN65" s="117">
        <f>MAX(IF(AH65&gt;0,IF('FA Addition'!$N65="SLM",($AF65-'FA Addition'!$M65)*'FA Addition'!$P65*AH65/365,IFERROR(VDB(AF65,AF65*0.05,'FA Addition'!$O65,0,YEARFRAC('FA Addition'!$C65,$L$1,3),'FA Addition'!$Q65),FAAddition[[#This Row],[Original Cost (Rs)]]-FAAddition[[#This Row],[Salvage Value]])),0),0)</f>
        <v>8882</v>
      </c>
      <c r="AO65" s="117">
        <f t="shared" si="3"/>
        <v>0</v>
      </c>
      <c r="AQ65" s="117">
        <f t="shared" si="1"/>
        <v>468</v>
      </c>
      <c r="AR65" s="120">
        <f t="shared" si="2"/>
        <v>468</v>
      </c>
      <c r="AS65" s="121"/>
    </row>
    <row r="66" spans="1:45" ht="13.5" x14ac:dyDescent="0.4">
      <c r="A66" s="12">
        <f t="shared" si="4"/>
        <v>63</v>
      </c>
      <c r="B66" s="44" t="s">
        <v>439</v>
      </c>
      <c r="C66" s="45">
        <v>42293</v>
      </c>
      <c r="D66" s="45">
        <v>42293</v>
      </c>
      <c r="E66" s="46" t="s">
        <v>32</v>
      </c>
      <c r="F66" s="44" t="s">
        <v>32</v>
      </c>
      <c r="G66" s="44" t="s">
        <v>493</v>
      </c>
      <c r="H66" s="44" t="s">
        <v>32</v>
      </c>
      <c r="I66" s="47" t="s">
        <v>494</v>
      </c>
      <c r="J66" s="56">
        <v>1</v>
      </c>
      <c r="K66" s="44"/>
      <c r="L66" s="52">
        <v>60000</v>
      </c>
      <c r="M66" s="50">
        <f>ROUND('FA Addition'!$L66*5%,0.1)</f>
        <v>3000</v>
      </c>
      <c r="N66" s="113" t="str">
        <f>_xlfn.XLOOKUP(_xlfn.CONCAT(E66,B66),'Year Wise Master Dep Approach'!F:F,'Year Wise Master Dep Approach'!D:D)</f>
        <v>WDV</v>
      </c>
      <c r="O66" s="113">
        <f>_xlfn.XLOOKUP(_xlfn.CONCAT(E66,B66),'Year Wise Master Dep Approach'!F:F,'Year Wise Master Dep Approach'!E:E)</f>
        <v>3</v>
      </c>
      <c r="P66" s="114">
        <f>IFERROR(IF('FA Addition'!$N66="WDV",1-('FA Addition'!$M66/'FA Addition'!$L66)^(1/'FA Addition'!$O66),1/'FA Addition'!$O66),0)</f>
        <v>0.63159685013596123</v>
      </c>
      <c r="Q66" s="122">
        <f>'FA Addition'!$P66*'FA Addition'!$O66</f>
        <v>1.8947905504078837</v>
      </c>
      <c r="R66" s="122"/>
      <c r="S66" s="116">
        <f>IF(AND(DATE(20&amp;LEFT(FAAddition[[#This Row],[FY]],2),4,1)&lt;$L$1+1,DATE(20&amp;LEFT(FAAddition[[#This Row],[FY]],2),4,1)&gt;$P$1-1),'FA Addition'!$J66,0)</f>
        <v>0</v>
      </c>
      <c r="U66" s="117">
        <f>S66*'FA Addition'!$L66/'FA Addition'!$J66</f>
        <v>0</v>
      </c>
      <c r="W66" s="116">
        <f>SUMIFS('FA Write off'!D:D,'FA Write off'!A:A,'FA Addition'!$A66,'FA Write off'!C:C,"&lt;"&amp;'FA Addition'!$P$1)</f>
        <v>0</v>
      </c>
      <c r="Y66" s="191">
        <f>IFERROR(W66/'FA Addition'!$J66*'FA Addition'!$L66,0)</f>
        <v>0</v>
      </c>
      <c r="AA66" s="116">
        <f>SUMIFS('FA Write off'!D:D,'FA Write off'!A:A,'FA Addition'!$A66,'FA Write off'!C:C,"&lt;"&amp;'FA Addition'!$L$1+1,'FA Write off'!C:C,"&gt;"&amp;'FA Addition'!$L$1-365)</f>
        <v>0</v>
      </c>
      <c r="AC66" s="118">
        <f>IFERROR(AA66/'FA Addition'!$J66*'FA Addition'!$L66,0)</f>
        <v>0</v>
      </c>
      <c r="AE66" s="117">
        <f>IF(AND('FA Addition'!$D66&lt;$P$1+1,U66=0),'FA Addition'!$L66,0)-Y66</f>
        <v>60000</v>
      </c>
      <c r="AF66" s="117">
        <f t="shared" si="0"/>
        <v>60000</v>
      </c>
      <c r="AG66" s="117">
        <f>MIN(MAX(+$P$1-'FA Addition'!$D66,0),365*'FA Addition'!$O66)</f>
        <v>1095</v>
      </c>
      <c r="AH66" s="117">
        <f>MIN(MAX($L$1-'FA Addition'!$D66+1,0),365*'FA Addition'!$O66)</f>
        <v>1095</v>
      </c>
      <c r="AI66" s="117" cm="1">
        <f t="array" ref="AI66">_xlfn.XLOOKUP(1,('FA Write off'!A:A='FA Addition'!$A66)*('FA Write off'!D:D=AA66),'FA Write off'!H:H,0,0)</f>
        <v>0</v>
      </c>
      <c r="AJ66" s="117">
        <f>IF(AC66&gt;0,MAX(IF('FA Addition'!$N66="SLM",($AC66-'FA Addition'!$M66)*'FA Addition'!$P66*AI66/365,(AC66-'FA Addition'!$M66)*(1-(1-'FA Addition'!$P66)^(AI66/365))),0),0)</f>
        <v>0</v>
      </c>
      <c r="AL66" s="117">
        <f>MAX(IF(AG66&gt;0,IF('FA Addition'!$N66="SLM",($AE66-'FA Addition'!$M66)*'FA Addition'!$P66*AG66/365,IFERROR(VDB(AE66,AE66*0.05,'FA Addition'!$O66,0,YEARFRAC('FA Addition'!$C66,$P$1-1,3),'FA Addition'!$Q66),FAAddition[[#This Row],[Original Cost (Rs)]]-FAAddition[[#This Row],[Salvage Value]])),0),0)</f>
        <v>57000</v>
      </c>
      <c r="AM66" s="119"/>
      <c r="AN66" s="117">
        <f>MAX(IF(AH66&gt;0,IF('FA Addition'!$N66="SLM",($AF66-'FA Addition'!$M66)*'FA Addition'!$P66*AH66/365,IFERROR(VDB(AF66,AF66*0.05,'FA Addition'!$O66,0,YEARFRAC('FA Addition'!$C66,$L$1,3),'FA Addition'!$Q66),FAAddition[[#This Row],[Original Cost (Rs)]]-FAAddition[[#This Row],[Salvage Value]])),0),0)</f>
        <v>57000</v>
      </c>
      <c r="AO66" s="117">
        <f t="shared" si="3"/>
        <v>0</v>
      </c>
      <c r="AQ66" s="117">
        <f t="shared" si="1"/>
        <v>3000</v>
      </c>
      <c r="AR66" s="120">
        <f t="shared" si="2"/>
        <v>3000</v>
      </c>
      <c r="AS66" s="121"/>
    </row>
    <row r="67" spans="1:45" ht="13.5" x14ac:dyDescent="0.4">
      <c r="A67" s="12">
        <f t="shared" si="4"/>
        <v>64</v>
      </c>
      <c r="B67" s="51" t="s">
        <v>439</v>
      </c>
      <c r="C67" s="54">
        <v>42293</v>
      </c>
      <c r="D67" s="54">
        <v>42293</v>
      </c>
      <c r="E67" s="46" t="s">
        <v>32</v>
      </c>
      <c r="F67" s="51" t="s">
        <v>32</v>
      </c>
      <c r="G67" s="51" t="s">
        <v>493</v>
      </c>
      <c r="H67" s="51" t="s">
        <v>32</v>
      </c>
      <c r="I67" s="55"/>
      <c r="J67" s="56">
        <v>1</v>
      </c>
      <c r="K67" s="51"/>
      <c r="L67" s="58">
        <v>17570</v>
      </c>
      <c r="M67" s="50">
        <f>ROUND('FA Addition'!$L67*5%,0.1)</f>
        <v>879</v>
      </c>
      <c r="N67" s="113" t="str">
        <f>_xlfn.XLOOKUP(_xlfn.CONCAT(E67,B67),'Year Wise Master Dep Approach'!F:F,'Year Wise Master Dep Approach'!D:D)</f>
        <v>WDV</v>
      </c>
      <c r="O67" s="113">
        <f>_xlfn.XLOOKUP(_xlfn.CONCAT(E67,B67),'Year Wise Master Dep Approach'!F:F,'Year Wise Master Dep Approach'!E:E)</f>
        <v>3</v>
      </c>
      <c r="P67" s="114">
        <f>IFERROR(IF('FA Addition'!$N67="WDV",1-('FA Addition'!$M67/'FA Addition'!$L67)^(1/'FA Addition'!$O67),1/'FA Addition'!$O67),0)</f>
        <v>0.63152697093286969</v>
      </c>
      <c r="Q67" s="122">
        <f>'FA Addition'!$P67*'FA Addition'!$O67</f>
        <v>1.8945809127986091</v>
      </c>
      <c r="R67" s="122"/>
      <c r="S67" s="116">
        <f>IF(AND(DATE(20&amp;LEFT(FAAddition[[#This Row],[FY]],2),4,1)&lt;$L$1+1,DATE(20&amp;LEFT(FAAddition[[#This Row],[FY]],2),4,1)&gt;$P$1-1),'FA Addition'!$J67,0)</f>
        <v>0</v>
      </c>
      <c r="U67" s="117">
        <f>S67*'FA Addition'!$L67/'FA Addition'!$J67</f>
        <v>0</v>
      </c>
      <c r="W67" s="116">
        <f>SUMIFS('FA Write off'!D:D,'FA Write off'!A:A,'FA Addition'!$A67,'FA Write off'!C:C,"&lt;"&amp;'FA Addition'!$P$1)</f>
        <v>0</v>
      </c>
      <c r="Y67" s="191">
        <f>IFERROR(W67/'FA Addition'!$J67*'FA Addition'!$L67,0)</f>
        <v>0</v>
      </c>
      <c r="AA67" s="116">
        <f>SUMIFS('FA Write off'!D:D,'FA Write off'!A:A,'FA Addition'!$A67,'FA Write off'!C:C,"&lt;"&amp;'FA Addition'!$L$1+1,'FA Write off'!C:C,"&gt;"&amp;'FA Addition'!$L$1-365)</f>
        <v>0</v>
      </c>
      <c r="AC67" s="118">
        <f>IFERROR(AA67/'FA Addition'!$J67*'FA Addition'!$L67,0)</f>
        <v>0</v>
      </c>
      <c r="AE67" s="117">
        <f>IF(AND('FA Addition'!$D67&lt;$P$1+1,U67=0),'FA Addition'!$L67,0)-Y67</f>
        <v>17570</v>
      </c>
      <c r="AF67" s="117">
        <f t="shared" si="0"/>
        <v>17570</v>
      </c>
      <c r="AG67" s="117">
        <f>MIN(MAX(+$P$1-'FA Addition'!$D67,0),365*'FA Addition'!$O67)</f>
        <v>1095</v>
      </c>
      <c r="AH67" s="117">
        <f>MIN(MAX($L$1-'FA Addition'!$D67+1,0),365*'FA Addition'!$O67)</f>
        <v>1095</v>
      </c>
      <c r="AI67" s="117" cm="1">
        <f t="array" ref="AI67">_xlfn.XLOOKUP(1,('FA Write off'!A:A='FA Addition'!$A67)*('FA Write off'!D:D=AA67),'FA Write off'!H:H,0,0)</f>
        <v>0</v>
      </c>
      <c r="AJ67" s="117">
        <f>IF(AC67&gt;0,MAX(IF('FA Addition'!$N67="SLM",($AC67-'FA Addition'!$M67)*'FA Addition'!$P67*AI67/365,(AC67-'FA Addition'!$M67)*(1-(1-'FA Addition'!$P67)^(AI67/365))),0),0)</f>
        <v>0</v>
      </c>
      <c r="AL67" s="117">
        <f>MAX(IF(AG67&gt;0,IF('FA Addition'!$N67="SLM",($AE67-'FA Addition'!$M67)*'FA Addition'!$P67*AG67/365,IFERROR(VDB(AE67,AE67*0.05,'FA Addition'!$O67,0,YEARFRAC('FA Addition'!$C67,$P$1-1,3),'FA Addition'!$Q67),FAAddition[[#This Row],[Original Cost (Rs)]]-FAAddition[[#This Row],[Salvage Value]])),0),0)</f>
        <v>16691</v>
      </c>
      <c r="AM67" s="119"/>
      <c r="AN67" s="117">
        <f>MAX(IF(AH67&gt;0,IF('FA Addition'!$N67="SLM",($AF67-'FA Addition'!$M67)*'FA Addition'!$P67*AH67/365,IFERROR(VDB(AF67,AF67*0.05,'FA Addition'!$O67,0,YEARFRAC('FA Addition'!$C67,$L$1,3),'FA Addition'!$Q67),FAAddition[[#This Row],[Original Cost (Rs)]]-FAAddition[[#This Row],[Salvage Value]])),0),0)</f>
        <v>16691</v>
      </c>
      <c r="AO67" s="117">
        <f t="shared" si="3"/>
        <v>0</v>
      </c>
      <c r="AQ67" s="117">
        <f t="shared" si="1"/>
        <v>879</v>
      </c>
      <c r="AR67" s="120">
        <f t="shared" si="2"/>
        <v>879</v>
      </c>
      <c r="AS67" s="121"/>
    </row>
    <row r="68" spans="1:45" ht="13.5" x14ac:dyDescent="0.4">
      <c r="A68" s="12">
        <f t="shared" si="4"/>
        <v>65</v>
      </c>
      <c r="B68" s="51" t="s">
        <v>439</v>
      </c>
      <c r="C68" s="54">
        <v>42293</v>
      </c>
      <c r="D68" s="54">
        <v>42293</v>
      </c>
      <c r="E68" s="46" t="s">
        <v>32</v>
      </c>
      <c r="F68" s="51" t="s">
        <v>32</v>
      </c>
      <c r="G68" s="51" t="s">
        <v>495</v>
      </c>
      <c r="H68" s="51" t="s">
        <v>32</v>
      </c>
      <c r="I68" s="55" t="s">
        <v>2162</v>
      </c>
      <c r="J68" s="56">
        <v>4</v>
      </c>
      <c r="K68" s="51"/>
      <c r="L68" s="58">
        <v>7828</v>
      </c>
      <c r="M68" s="50">
        <f>ROUND('FA Addition'!$L68*5%,0.1)</f>
        <v>391</v>
      </c>
      <c r="N68" s="113" t="str">
        <f>_xlfn.XLOOKUP(_xlfn.CONCAT(E68,B68),'Year Wise Master Dep Approach'!F:F,'Year Wise Master Dep Approach'!D:D)</f>
        <v>WDV</v>
      </c>
      <c r="O68" s="113">
        <f>_xlfn.XLOOKUP(_xlfn.CONCAT(E68,B68),'Year Wise Master Dep Approach'!F:F,'Year Wise Master Dep Approach'!E:E)</f>
        <v>3</v>
      </c>
      <c r="P68" s="114">
        <f>IFERROR(IF('FA Addition'!$N68="WDV",1-('FA Addition'!$M68/'FA Addition'!$L68)^(1/'FA Addition'!$O68),1/'FA Addition'!$O68),0)</f>
        <v>0.6317223921970927</v>
      </c>
      <c r="Q68" s="122">
        <f>'FA Addition'!$P68*'FA Addition'!$O68</f>
        <v>1.8951671765912781</v>
      </c>
      <c r="R68" s="122"/>
      <c r="S68" s="116">
        <f>IF(AND(DATE(20&amp;LEFT(FAAddition[[#This Row],[FY]],2),4,1)&lt;$L$1+1,DATE(20&amp;LEFT(FAAddition[[#This Row],[FY]],2),4,1)&gt;$P$1-1),'FA Addition'!$J68,0)</f>
        <v>0</v>
      </c>
      <c r="U68" s="117">
        <f>S68*'FA Addition'!$L68/'FA Addition'!$J68</f>
        <v>0</v>
      </c>
      <c r="W68" s="116">
        <f>SUMIFS('FA Write off'!D:D,'FA Write off'!A:A,'FA Addition'!$A68,'FA Write off'!C:C,"&lt;"&amp;'FA Addition'!$P$1)</f>
        <v>0</v>
      </c>
      <c r="Y68" s="191">
        <f>IFERROR(W68/'FA Addition'!$J68*'FA Addition'!$L68,0)</f>
        <v>0</v>
      </c>
      <c r="AA68" s="116">
        <f>SUMIFS('FA Write off'!D:D,'FA Write off'!A:A,'FA Addition'!$A68,'FA Write off'!C:C,"&lt;"&amp;'FA Addition'!$L$1+1,'FA Write off'!C:C,"&gt;"&amp;'FA Addition'!$L$1-365)</f>
        <v>0</v>
      </c>
      <c r="AC68" s="118">
        <f>IFERROR(AA68/'FA Addition'!$J68*'FA Addition'!$L68,0)</f>
        <v>0</v>
      </c>
      <c r="AE68" s="117">
        <f>IF(AND('FA Addition'!$D68&lt;$P$1+1,U68=0),'FA Addition'!$L68,0)-Y68</f>
        <v>7828</v>
      </c>
      <c r="AF68" s="117">
        <f t="shared" ref="AF68:AF131" si="5">AE68+U68-AC68</f>
        <v>7828</v>
      </c>
      <c r="AG68" s="117">
        <f>MIN(MAX(+$P$1-'FA Addition'!$D68,0),365*'FA Addition'!$O68)</f>
        <v>1095</v>
      </c>
      <c r="AH68" s="117">
        <f>MIN(MAX($L$1-'FA Addition'!$D68+1,0),365*'FA Addition'!$O68)</f>
        <v>1095</v>
      </c>
      <c r="AI68" s="117" cm="1">
        <f t="array" ref="AI68">_xlfn.XLOOKUP(1,('FA Write off'!A:A='FA Addition'!$A68)*('FA Write off'!D:D=AA68),'FA Write off'!H:H,0,0)</f>
        <v>0</v>
      </c>
      <c r="AJ68" s="117">
        <f>IF(AC68&gt;0,MAX(IF('FA Addition'!$N68="SLM",($AC68-'FA Addition'!$M68)*'FA Addition'!$P68*AI68/365,(AC68-'FA Addition'!$M68)*(1-(1-'FA Addition'!$P68)^(AI68/365))),0),0)</f>
        <v>0</v>
      </c>
      <c r="AL68" s="117">
        <f>MAX(IF(AG68&gt;0,IF('FA Addition'!$N68="SLM",($AE68-'FA Addition'!$M68)*'FA Addition'!$P68*AG68/365,IFERROR(VDB(AE68,AE68*0.05,'FA Addition'!$O68,0,YEARFRAC('FA Addition'!$C68,$P$1-1,3),'FA Addition'!$Q68),FAAddition[[#This Row],[Original Cost (Rs)]]-FAAddition[[#This Row],[Salvage Value]])),0),0)</f>
        <v>7437</v>
      </c>
      <c r="AM68" s="119"/>
      <c r="AN68" s="117">
        <f>MAX(IF(AH68&gt;0,IF('FA Addition'!$N68="SLM",($AF68-'FA Addition'!$M68)*'FA Addition'!$P68*AH68/365,IFERROR(VDB(AF68,AF68*0.05,'FA Addition'!$O68,0,YEARFRAC('FA Addition'!$C68,$L$1,3),'FA Addition'!$Q68),FAAddition[[#This Row],[Original Cost (Rs)]]-FAAddition[[#This Row],[Salvage Value]])),0),0)</f>
        <v>7437</v>
      </c>
      <c r="AO68" s="117">
        <f t="shared" si="3"/>
        <v>0</v>
      </c>
      <c r="AQ68" s="117">
        <f t="shared" ref="AQ68:AQ131" si="6">AE68-AL68</f>
        <v>391</v>
      </c>
      <c r="AR68" s="120">
        <f t="shared" ref="AR68:AR131" si="7">AF68-AN68</f>
        <v>391</v>
      </c>
      <c r="AS68" s="121"/>
    </row>
    <row r="69" spans="1:45" ht="13.5" x14ac:dyDescent="0.4">
      <c r="A69" s="12">
        <f t="shared" si="4"/>
        <v>66</v>
      </c>
      <c r="B69" s="44" t="s">
        <v>439</v>
      </c>
      <c r="C69" s="45">
        <v>42293</v>
      </c>
      <c r="D69" s="45">
        <v>42293</v>
      </c>
      <c r="E69" s="46" t="s">
        <v>451</v>
      </c>
      <c r="F69" s="44" t="s">
        <v>496</v>
      </c>
      <c r="G69" s="44" t="s">
        <v>497</v>
      </c>
      <c r="H69" s="44" t="s">
        <v>498</v>
      </c>
      <c r="I69" s="47" t="s">
        <v>499</v>
      </c>
      <c r="J69" s="56">
        <v>1</v>
      </c>
      <c r="K69" s="44" t="s">
        <v>500</v>
      </c>
      <c r="L69" s="52">
        <v>9999</v>
      </c>
      <c r="M69" s="50">
        <f>ROUND('FA Addition'!$L69*5%,0.1)</f>
        <v>500</v>
      </c>
      <c r="N69" s="113" t="str">
        <f>_xlfn.XLOOKUP(_xlfn.CONCAT(E69,B69),'Year Wise Master Dep Approach'!F:F,'Year Wise Master Dep Approach'!D:D)</f>
        <v>WDV</v>
      </c>
      <c r="O69" s="113">
        <f>_xlfn.XLOOKUP(_xlfn.CONCAT(E69,B69),'Year Wise Master Dep Approach'!F:F,'Year Wise Master Dep Approach'!E:E)</f>
        <v>3</v>
      </c>
      <c r="P69" s="114">
        <f>IFERROR(IF('FA Addition'!$N69="WDV",1-('FA Addition'!$M69/'FA Addition'!$L69)^(1/'FA Addition'!$O69),1/'FA Addition'!$O69),0)</f>
        <v>0.6315845692122285</v>
      </c>
      <c r="Q69" s="122">
        <f>'FA Addition'!$P69*'FA Addition'!$O69</f>
        <v>1.8947537076366854</v>
      </c>
      <c r="R69" s="122"/>
      <c r="S69" s="116">
        <f>IF(AND(DATE(20&amp;LEFT(FAAddition[[#This Row],[FY]],2),4,1)&lt;$L$1+1,DATE(20&amp;LEFT(FAAddition[[#This Row],[FY]],2),4,1)&gt;$P$1-1),'FA Addition'!$J69,0)</f>
        <v>0</v>
      </c>
      <c r="U69" s="117">
        <f>S69*'FA Addition'!$L69/'FA Addition'!$J69</f>
        <v>0</v>
      </c>
      <c r="W69" s="116">
        <f>SUMIFS('FA Write off'!D:D,'FA Write off'!A:A,'FA Addition'!$A69,'FA Write off'!C:C,"&lt;"&amp;'FA Addition'!$P$1)</f>
        <v>0</v>
      </c>
      <c r="Y69" s="191">
        <f>IFERROR(W69/'FA Addition'!$J69*'FA Addition'!$L69,0)</f>
        <v>0</v>
      </c>
      <c r="AA69" s="116">
        <f>SUMIFS('FA Write off'!D:D,'FA Write off'!A:A,'FA Addition'!$A69,'FA Write off'!C:C,"&lt;"&amp;'FA Addition'!$L$1+1,'FA Write off'!C:C,"&gt;"&amp;'FA Addition'!$L$1-365)</f>
        <v>0</v>
      </c>
      <c r="AC69" s="118">
        <f>IFERROR(AA69/'FA Addition'!$J69*'FA Addition'!$L69,0)</f>
        <v>0</v>
      </c>
      <c r="AE69" s="117">
        <f>IF(AND('FA Addition'!$D69&lt;$P$1+1,U69=0),'FA Addition'!$L69,0)-Y69</f>
        <v>9999</v>
      </c>
      <c r="AF69" s="117">
        <f t="shared" si="5"/>
        <v>9999</v>
      </c>
      <c r="AG69" s="117">
        <f>MIN(MAX(+$P$1-'FA Addition'!$D69,0),365*'FA Addition'!$O69)</f>
        <v>1095</v>
      </c>
      <c r="AH69" s="117">
        <f>MIN(MAX($L$1-'FA Addition'!$D69+1,0),365*'FA Addition'!$O69)</f>
        <v>1095</v>
      </c>
      <c r="AI69" s="117" cm="1">
        <f t="array" ref="AI69">_xlfn.XLOOKUP(1,('FA Write off'!A:A='FA Addition'!$A69)*('FA Write off'!D:D=AA69),'FA Write off'!H:H,0,0)</f>
        <v>0</v>
      </c>
      <c r="AJ69" s="117">
        <f>IF(AC69&gt;0,MAX(IF('FA Addition'!$N69="SLM",($AC69-'FA Addition'!$M69)*'FA Addition'!$P69*AI69/365,(AC69-'FA Addition'!$M69)*(1-(1-'FA Addition'!$P69)^(AI69/365))),0),0)</f>
        <v>0</v>
      </c>
      <c r="AL69" s="117">
        <f>MAX(IF(AG69&gt;0,IF('FA Addition'!$N69="SLM",($AE69-'FA Addition'!$M69)*'FA Addition'!$P69*AG69/365,IFERROR(VDB(AE69,AE69*0.05,'FA Addition'!$O69,0,YEARFRAC('FA Addition'!$C69,$P$1-1,3),'FA Addition'!$Q69),FAAddition[[#This Row],[Original Cost (Rs)]]-FAAddition[[#This Row],[Salvage Value]])),0),0)</f>
        <v>9499</v>
      </c>
      <c r="AM69" s="119"/>
      <c r="AN69" s="117">
        <f>MAX(IF(AH69&gt;0,IF('FA Addition'!$N69="SLM",($AF69-'FA Addition'!$M69)*'FA Addition'!$P69*AH69/365,IFERROR(VDB(AF69,AF69*0.05,'FA Addition'!$O69,0,YEARFRAC('FA Addition'!$C69,$L$1,3),'FA Addition'!$Q69),FAAddition[[#This Row],[Original Cost (Rs)]]-FAAddition[[#This Row],[Salvage Value]])),0),0)</f>
        <v>9499</v>
      </c>
      <c r="AO69" s="117">
        <f t="shared" ref="AO69:AO132" si="8">AN69-AL69+AJ69</f>
        <v>0</v>
      </c>
      <c r="AQ69" s="117">
        <f t="shared" si="6"/>
        <v>500</v>
      </c>
      <c r="AR69" s="120">
        <f t="shared" si="7"/>
        <v>500</v>
      </c>
      <c r="AS69" s="121"/>
    </row>
    <row r="70" spans="1:45" ht="13.5" x14ac:dyDescent="0.4">
      <c r="A70" s="12">
        <f t="shared" ref="A70:A133" si="9">A69+1</f>
        <v>67</v>
      </c>
      <c r="B70" s="44" t="s">
        <v>439</v>
      </c>
      <c r="C70" s="45">
        <v>42293</v>
      </c>
      <c r="D70" s="45">
        <v>42293</v>
      </c>
      <c r="E70" s="46" t="s">
        <v>445</v>
      </c>
      <c r="F70" s="44" t="s">
        <v>147</v>
      </c>
      <c r="G70" s="44" t="s">
        <v>501</v>
      </c>
      <c r="H70" s="44" t="s">
        <v>207</v>
      </c>
      <c r="I70" s="47" t="s">
        <v>502</v>
      </c>
      <c r="J70" s="56">
        <v>1</v>
      </c>
      <c r="K70" s="44" t="s">
        <v>207</v>
      </c>
      <c r="L70" s="52">
        <v>5999</v>
      </c>
      <c r="M70" s="50">
        <f>ROUND('FA Addition'!$L70*5%,0.1)</f>
        <v>300</v>
      </c>
      <c r="N70" s="113" t="str">
        <f>_xlfn.XLOOKUP(_xlfn.CONCAT(E70,B70),'Year Wise Master Dep Approach'!F:F,'Year Wise Master Dep Approach'!D:D)</f>
        <v>WDV</v>
      </c>
      <c r="O70" s="113">
        <f>_xlfn.XLOOKUP(_xlfn.CONCAT(E70,B70),'Year Wise Master Dep Approach'!F:F,'Year Wise Master Dep Approach'!E:E)</f>
        <v>5</v>
      </c>
      <c r="P70" s="114">
        <f>IFERROR(IF('FA Addition'!$N70="WDV",1-('FA Addition'!$M70/'FA Addition'!$L70)^(1/'FA Addition'!$O70),1/'FA Addition'!$O70),0)</f>
        <v>0.45070141717339463</v>
      </c>
      <c r="Q70" s="122">
        <f>'FA Addition'!$P70*'FA Addition'!$O70</f>
        <v>2.253507085866973</v>
      </c>
      <c r="R70" s="122"/>
      <c r="S70" s="116">
        <f>IF(AND(DATE(20&amp;LEFT(FAAddition[[#This Row],[FY]],2),4,1)&lt;$L$1+1,DATE(20&amp;LEFT(FAAddition[[#This Row],[FY]],2),4,1)&gt;$P$1-1),'FA Addition'!$J70,0)</f>
        <v>0</v>
      </c>
      <c r="U70" s="117">
        <f>S70*'FA Addition'!$L70/'FA Addition'!$J70</f>
        <v>0</v>
      </c>
      <c r="W70" s="116">
        <f>SUMIFS('FA Write off'!D:D,'FA Write off'!A:A,'FA Addition'!$A70,'FA Write off'!C:C,"&lt;"&amp;'FA Addition'!$P$1)</f>
        <v>0</v>
      </c>
      <c r="Y70" s="191">
        <f>IFERROR(W70/'FA Addition'!$J70*'FA Addition'!$L70,0)</f>
        <v>0</v>
      </c>
      <c r="AA70" s="116">
        <f>SUMIFS('FA Write off'!D:D,'FA Write off'!A:A,'FA Addition'!$A70,'FA Write off'!C:C,"&lt;"&amp;'FA Addition'!$L$1+1,'FA Write off'!C:C,"&gt;"&amp;'FA Addition'!$L$1-365)</f>
        <v>0</v>
      </c>
      <c r="AC70" s="118">
        <f>IFERROR(AA70/'FA Addition'!$J70*'FA Addition'!$L70,0)</f>
        <v>0</v>
      </c>
      <c r="AE70" s="117">
        <f>IF(AND('FA Addition'!$D70&lt;$P$1+1,U70=0),'FA Addition'!$L70,0)-Y70</f>
        <v>5999</v>
      </c>
      <c r="AF70" s="117">
        <f t="shared" si="5"/>
        <v>5999</v>
      </c>
      <c r="AG70" s="117">
        <f>MIN(MAX(+$P$1-'FA Addition'!$D70,0),365*'FA Addition'!$O70)</f>
        <v>1825</v>
      </c>
      <c r="AH70" s="117">
        <f>MIN(MAX($L$1-'FA Addition'!$D70+1,0),365*'FA Addition'!$O70)</f>
        <v>1825</v>
      </c>
      <c r="AI70" s="117" cm="1">
        <f t="array" ref="AI70">_xlfn.XLOOKUP(1,('FA Write off'!A:A='FA Addition'!$A70)*('FA Write off'!D:D=AA70),'FA Write off'!H:H,0,0)</f>
        <v>0</v>
      </c>
      <c r="AJ70" s="117">
        <f>IF(AC70&gt;0,MAX(IF('FA Addition'!$N70="SLM",($AC70-'FA Addition'!$M70)*'FA Addition'!$P70*AI70/365,(AC70-'FA Addition'!$M70)*(1-(1-'FA Addition'!$P70)^(AI70/365))),0),0)</f>
        <v>0</v>
      </c>
      <c r="AL70" s="117">
        <f>MAX(IF(AG70&gt;0,IF('FA Addition'!$N70="SLM",($AE70-'FA Addition'!$M70)*'FA Addition'!$P70*AG70/365,IFERROR(VDB(AE70,AE70*0.05,'FA Addition'!$O70,0,YEARFRAC('FA Addition'!$C70,$P$1-1,3),'FA Addition'!$Q70),FAAddition[[#This Row],[Original Cost (Rs)]]-FAAddition[[#This Row],[Salvage Value]])),0),0)</f>
        <v>5699</v>
      </c>
      <c r="AM70" s="119"/>
      <c r="AN70" s="117">
        <f>MAX(IF(AH70&gt;0,IF('FA Addition'!$N70="SLM",($AF70-'FA Addition'!$M70)*'FA Addition'!$P70*AH70/365,IFERROR(VDB(AF70,AF70*0.05,'FA Addition'!$O70,0,YEARFRAC('FA Addition'!$C70,$L$1,3),'FA Addition'!$Q70),FAAddition[[#This Row],[Original Cost (Rs)]]-FAAddition[[#This Row],[Salvage Value]])),0),0)</f>
        <v>5699</v>
      </c>
      <c r="AO70" s="117">
        <f t="shared" si="8"/>
        <v>0</v>
      </c>
      <c r="AQ70" s="117">
        <f t="shared" si="6"/>
        <v>300</v>
      </c>
      <c r="AR70" s="120">
        <f t="shared" si="7"/>
        <v>300</v>
      </c>
      <c r="AS70" s="121"/>
    </row>
    <row r="71" spans="1:45" ht="13.5" x14ac:dyDescent="0.4">
      <c r="A71" s="12">
        <f t="shared" si="9"/>
        <v>68</v>
      </c>
      <c r="B71" s="51" t="s">
        <v>439</v>
      </c>
      <c r="C71" s="54">
        <v>42307</v>
      </c>
      <c r="D71" s="54">
        <v>42307</v>
      </c>
      <c r="E71" s="46" t="s">
        <v>451</v>
      </c>
      <c r="F71" s="51" t="s">
        <v>452</v>
      </c>
      <c r="G71" s="44" t="s">
        <v>462</v>
      </c>
      <c r="H71" s="51"/>
      <c r="I71" s="55" t="s">
        <v>503</v>
      </c>
      <c r="J71" s="56">
        <v>1</v>
      </c>
      <c r="K71" s="51"/>
      <c r="L71" s="58">
        <v>3612</v>
      </c>
      <c r="M71" s="50">
        <f>ROUND('FA Addition'!$L71*5%,0.1)</f>
        <v>181</v>
      </c>
      <c r="N71" s="113" t="str">
        <f>_xlfn.XLOOKUP(_xlfn.CONCAT(E71,B71),'Year Wise Master Dep Approach'!F:F,'Year Wise Master Dep Approach'!D:D)</f>
        <v>WDV</v>
      </c>
      <c r="O71" s="113">
        <f>_xlfn.XLOOKUP(_xlfn.CONCAT(E71,B71),'Year Wise Master Dep Approach'!F:F,'Year Wise Master Dep Approach'!E:E)</f>
        <v>3</v>
      </c>
      <c r="P71" s="114">
        <f>IFERROR(IF('FA Addition'!$N71="WDV",1-('FA Addition'!$M71/'FA Addition'!$L71)^(1/'FA Addition'!$O71),1/'FA Addition'!$O71),0)</f>
        <v>0.63132506608322458</v>
      </c>
      <c r="Q71" s="122">
        <f>'FA Addition'!$P71*'FA Addition'!$O71</f>
        <v>1.8939751982496738</v>
      </c>
      <c r="R71" s="122"/>
      <c r="S71" s="116">
        <f>IF(AND(DATE(20&amp;LEFT(FAAddition[[#This Row],[FY]],2),4,1)&lt;$L$1+1,DATE(20&amp;LEFT(FAAddition[[#This Row],[FY]],2),4,1)&gt;$P$1-1),'FA Addition'!$J71,0)</f>
        <v>0</v>
      </c>
      <c r="U71" s="117">
        <f>S71*'FA Addition'!$L71/'FA Addition'!$J71</f>
        <v>0</v>
      </c>
      <c r="W71" s="116">
        <f>SUMIFS('FA Write off'!D:D,'FA Write off'!A:A,'FA Addition'!$A71,'FA Write off'!C:C,"&lt;"&amp;'FA Addition'!$P$1)</f>
        <v>0</v>
      </c>
      <c r="Y71" s="191">
        <f>IFERROR(W71/'FA Addition'!$J71*'FA Addition'!$L71,0)</f>
        <v>0</v>
      </c>
      <c r="AA71" s="116">
        <f>SUMIFS('FA Write off'!D:D,'FA Write off'!A:A,'FA Addition'!$A71,'FA Write off'!C:C,"&lt;"&amp;'FA Addition'!$L$1+1,'FA Write off'!C:C,"&gt;"&amp;'FA Addition'!$L$1-365)</f>
        <v>0</v>
      </c>
      <c r="AC71" s="118">
        <f>IFERROR(AA71/'FA Addition'!$J71*'FA Addition'!$L71,0)</f>
        <v>0</v>
      </c>
      <c r="AE71" s="117">
        <f>IF(AND('FA Addition'!$D71&lt;$P$1+1,U71=0),'FA Addition'!$L71,0)-Y71</f>
        <v>3612</v>
      </c>
      <c r="AF71" s="117">
        <f t="shared" si="5"/>
        <v>3612</v>
      </c>
      <c r="AG71" s="117">
        <f>MIN(MAX(+$P$1-'FA Addition'!$D71,0),365*'FA Addition'!$O71)</f>
        <v>1095</v>
      </c>
      <c r="AH71" s="117">
        <f>MIN(MAX($L$1-'FA Addition'!$D71+1,0),365*'FA Addition'!$O71)</f>
        <v>1095</v>
      </c>
      <c r="AI71" s="117" cm="1">
        <f t="array" ref="AI71">_xlfn.XLOOKUP(1,('FA Write off'!A:A='FA Addition'!$A71)*('FA Write off'!D:D=AA71),'FA Write off'!H:H,0,0)</f>
        <v>0</v>
      </c>
      <c r="AJ71" s="117">
        <f>IF(AC71&gt;0,MAX(IF('FA Addition'!$N71="SLM",($AC71-'FA Addition'!$M71)*'FA Addition'!$P71*AI71/365,(AC71-'FA Addition'!$M71)*(1-(1-'FA Addition'!$P71)^(AI71/365))),0),0)</f>
        <v>0</v>
      </c>
      <c r="AL71" s="117">
        <f>MAX(IF(AG71&gt;0,IF('FA Addition'!$N71="SLM",($AE71-'FA Addition'!$M71)*'FA Addition'!$P71*AG71/365,IFERROR(VDB(AE71,AE71*0.05,'FA Addition'!$O71,0,YEARFRAC('FA Addition'!$C71,$P$1-1,3),'FA Addition'!$Q71),FAAddition[[#This Row],[Original Cost (Rs)]]-FAAddition[[#This Row],[Salvage Value]])),0),0)</f>
        <v>3431</v>
      </c>
      <c r="AM71" s="119"/>
      <c r="AN71" s="117">
        <f>MAX(IF(AH71&gt;0,IF('FA Addition'!$N71="SLM",($AF71-'FA Addition'!$M71)*'FA Addition'!$P71*AH71/365,IFERROR(VDB(AF71,AF71*0.05,'FA Addition'!$O71,0,YEARFRAC('FA Addition'!$C71,$L$1,3),'FA Addition'!$Q71),FAAddition[[#This Row],[Original Cost (Rs)]]-FAAddition[[#This Row],[Salvage Value]])),0),0)</f>
        <v>3431</v>
      </c>
      <c r="AO71" s="117">
        <f t="shared" si="8"/>
        <v>0</v>
      </c>
      <c r="AQ71" s="117">
        <f t="shared" si="6"/>
        <v>181</v>
      </c>
      <c r="AR71" s="120">
        <f t="shared" si="7"/>
        <v>181</v>
      </c>
      <c r="AS71" s="121"/>
    </row>
    <row r="72" spans="1:45" ht="13.5" x14ac:dyDescent="0.4">
      <c r="A72" s="12">
        <f t="shared" si="9"/>
        <v>69</v>
      </c>
      <c r="B72" s="44" t="s">
        <v>439</v>
      </c>
      <c r="C72" s="45">
        <v>42307</v>
      </c>
      <c r="D72" s="45">
        <v>42307</v>
      </c>
      <c r="E72" s="46" t="s">
        <v>451</v>
      </c>
      <c r="F72" s="44" t="s">
        <v>452</v>
      </c>
      <c r="G72" s="44" t="s">
        <v>504</v>
      </c>
      <c r="H72" s="44"/>
      <c r="I72" s="47">
        <v>3.7037037037037035E-2</v>
      </c>
      <c r="J72" s="56">
        <v>1</v>
      </c>
      <c r="K72" s="44"/>
      <c r="L72" s="52">
        <v>250</v>
      </c>
      <c r="M72" s="50">
        <f>ROUND('FA Addition'!$L72*5%,0.1)</f>
        <v>13</v>
      </c>
      <c r="N72" s="113" t="str">
        <f>_xlfn.XLOOKUP(_xlfn.CONCAT(E72,B72),'Year Wise Master Dep Approach'!F:F,'Year Wise Master Dep Approach'!D:D)</f>
        <v>WDV</v>
      </c>
      <c r="O72" s="113">
        <f>_xlfn.XLOOKUP(_xlfn.CONCAT(E72,B72),'Year Wise Master Dep Approach'!F:F,'Year Wise Master Dep Approach'!E:E)</f>
        <v>3</v>
      </c>
      <c r="P72" s="114">
        <f>IFERROR(IF('FA Addition'!$N72="WDV",1-('FA Addition'!$M72/'FA Addition'!$L72)^(1/'FA Addition'!$O72),1/'FA Addition'!$O72),0)</f>
        <v>0.62674888431827513</v>
      </c>
      <c r="Q72" s="122">
        <f>'FA Addition'!$P72*'FA Addition'!$O72</f>
        <v>1.8802466529548254</v>
      </c>
      <c r="R72" s="122"/>
      <c r="S72" s="116">
        <f>IF(AND(DATE(20&amp;LEFT(FAAddition[[#This Row],[FY]],2),4,1)&lt;$L$1+1,DATE(20&amp;LEFT(FAAddition[[#This Row],[FY]],2),4,1)&gt;$P$1-1),'FA Addition'!$J72,0)</f>
        <v>0</v>
      </c>
      <c r="U72" s="117">
        <f>S72*'FA Addition'!$L72/'FA Addition'!$J72</f>
        <v>0</v>
      </c>
      <c r="W72" s="116">
        <f>SUMIFS('FA Write off'!D:D,'FA Write off'!A:A,'FA Addition'!$A72,'FA Write off'!C:C,"&lt;"&amp;'FA Addition'!$P$1)</f>
        <v>0</v>
      </c>
      <c r="Y72" s="191">
        <f>IFERROR(W72/'FA Addition'!$J72*'FA Addition'!$L72,0)</f>
        <v>0</v>
      </c>
      <c r="AA72" s="116">
        <f>SUMIFS('FA Write off'!D:D,'FA Write off'!A:A,'FA Addition'!$A72,'FA Write off'!C:C,"&lt;"&amp;'FA Addition'!$L$1+1,'FA Write off'!C:C,"&gt;"&amp;'FA Addition'!$L$1-365)</f>
        <v>0</v>
      </c>
      <c r="AC72" s="118">
        <f>IFERROR(AA72/'FA Addition'!$J72*'FA Addition'!$L72,0)</f>
        <v>0</v>
      </c>
      <c r="AE72" s="117">
        <f>IF(AND('FA Addition'!$D72&lt;$P$1+1,U72=0),'FA Addition'!$L72,0)-Y72</f>
        <v>250</v>
      </c>
      <c r="AF72" s="117">
        <f t="shared" si="5"/>
        <v>250</v>
      </c>
      <c r="AG72" s="117">
        <f>MIN(MAX(+$P$1-'FA Addition'!$D72,0),365*'FA Addition'!$O72)</f>
        <v>1095</v>
      </c>
      <c r="AH72" s="117">
        <f>MIN(MAX($L$1-'FA Addition'!$D72+1,0),365*'FA Addition'!$O72)</f>
        <v>1095</v>
      </c>
      <c r="AI72" s="117" cm="1">
        <f t="array" ref="AI72">_xlfn.XLOOKUP(1,('FA Write off'!A:A='FA Addition'!$A72)*('FA Write off'!D:D=AA72),'FA Write off'!H:H,0,0)</f>
        <v>0</v>
      </c>
      <c r="AJ72" s="117">
        <f>IF(AC72&gt;0,MAX(IF('FA Addition'!$N72="SLM",($AC72-'FA Addition'!$M72)*'FA Addition'!$P72*AI72/365,(AC72-'FA Addition'!$M72)*(1-(1-'FA Addition'!$P72)^(AI72/365))),0),0)</f>
        <v>0</v>
      </c>
      <c r="AL72" s="117">
        <f>MAX(IF(AG72&gt;0,IF('FA Addition'!$N72="SLM",($AE72-'FA Addition'!$M72)*'FA Addition'!$P72*AG72/365,IFERROR(VDB(AE72,AE72*0.05,'FA Addition'!$O72,0,YEARFRAC('FA Addition'!$C72,$P$1-1,3),'FA Addition'!$Q72),FAAddition[[#This Row],[Original Cost (Rs)]]-FAAddition[[#This Row],[Salvage Value]])),0),0)</f>
        <v>237</v>
      </c>
      <c r="AM72" s="119"/>
      <c r="AN72" s="117">
        <f>MAX(IF(AH72&gt;0,IF('FA Addition'!$N72="SLM",($AF72-'FA Addition'!$M72)*'FA Addition'!$P72*AH72/365,IFERROR(VDB(AF72,AF72*0.05,'FA Addition'!$O72,0,YEARFRAC('FA Addition'!$C72,$L$1,3),'FA Addition'!$Q72),FAAddition[[#This Row],[Original Cost (Rs)]]-FAAddition[[#This Row],[Salvage Value]])),0),0)</f>
        <v>237</v>
      </c>
      <c r="AO72" s="117">
        <f t="shared" si="8"/>
        <v>0</v>
      </c>
      <c r="AQ72" s="117">
        <f t="shared" si="6"/>
        <v>13</v>
      </c>
      <c r="AR72" s="120">
        <f t="shared" si="7"/>
        <v>13</v>
      </c>
      <c r="AS72" s="121"/>
    </row>
    <row r="73" spans="1:45" ht="13.5" x14ac:dyDescent="0.4">
      <c r="A73" s="12">
        <f t="shared" si="9"/>
        <v>70</v>
      </c>
      <c r="B73" s="44" t="s">
        <v>439</v>
      </c>
      <c r="C73" s="45">
        <v>42307</v>
      </c>
      <c r="D73" s="45">
        <v>42307</v>
      </c>
      <c r="E73" s="46" t="s">
        <v>451</v>
      </c>
      <c r="F73" s="44" t="s">
        <v>452</v>
      </c>
      <c r="G73" s="44" t="s">
        <v>505</v>
      </c>
      <c r="H73" s="44" t="s">
        <v>151</v>
      </c>
      <c r="I73" s="47"/>
      <c r="J73" s="56">
        <v>1</v>
      </c>
      <c r="K73" s="44" t="s">
        <v>506</v>
      </c>
      <c r="L73" s="52">
        <v>6200</v>
      </c>
      <c r="M73" s="50">
        <f>ROUND('FA Addition'!$L73*5%,0.1)</f>
        <v>310</v>
      </c>
      <c r="N73" s="113" t="str">
        <f>_xlfn.XLOOKUP(_xlfn.CONCAT(E73,B73),'Year Wise Master Dep Approach'!F:F,'Year Wise Master Dep Approach'!D:D)</f>
        <v>WDV</v>
      </c>
      <c r="O73" s="113">
        <f>_xlfn.XLOOKUP(_xlfn.CONCAT(E73,B73),'Year Wise Master Dep Approach'!F:F,'Year Wise Master Dep Approach'!E:E)</f>
        <v>3</v>
      </c>
      <c r="P73" s="114">
        <f>IFERROR(IF('FA Addition'!$N73="WDV",1-('FA Addition'!$M73/'FA Addition'!$L73)^(1/'FA Addition'!$O73),1/'FA Addition'!$O73),0)</f>
        <v>0.63159685013596123</v>
      </c>
      <c r="Q73" s="122">
        <f>'FA Addition'!$P73*'FA Addition'!$O73</f>
        <v>1.8947905504078837</v>
      </c>
      <c r="R73" s="122"/>
      <c r="S73" s="116">
        <f>IF(AND(DATE(20&amp;LEFT(FAAddition[[#This Row],[FY]],2),4,1)&lt;$L$1+1,DATE(20&amp;LEFT(FAAddition[[#This Row],[FY]],2),4,1)&gt;$P$1-1),'FA Addition'!$J73,0)</f>
        <v>0</v>
      </c>
      <c r="U73" s="117">
        <f>S73*'FA Addition'!$L73/'FA Addition'!$J73</f>
        <v>0</v>
      </c>
      <c r="W73" s="116">
        <f>SUMIFS('FA Write off'!D:D,'FA Write off'!A:A,'FA Addition'!$A73,'FA Write off'!C:C,"&lt;"&amp;'FA Addition'!$P$1)</f>
        <v>0</v>
      </c>
      <c r="Y73" s="191">
        <f>IFERROR(W73/'FA Addition'!$J73*'FA Addition'!$L73,0)</f>
        <v>0</v>
      </c>
      <c r="AA73" s="116">
        <f>SUMIFS('FA Write off'!D:D,'FA Write off'!A:A,'FA Addition'!$A73,'FA Write off'!C:C,"&lt;"&amp;'FA Addition'!$L$1+1,'FA Write off'!C:C,"&gt;"&amp;'FA Addition'!$L$1-365)</f>
        <v>0</v>
      </c>
      <c r="AC73" s="118">
        <f>IFERROR(AA73/'FA Addition'!$J73*'FA Addition'!$L73,0)</f>
        <v>0</v>
      </c>
      <c r="AE73" s="117">
        <f>IF(AND('FA Addition'!$D73&lt;$P$1+1,U73=0),'FA Addition'!$L73,0)-Y73</f>
        <v>6200</v>
      </c>
      <c r="AF73" s="117">
        <f t="shared" si="5"/>
        <v>6200</v>
      </c>
      <c r="AG73" s="117">
        <f>MIN(MAX(+$P$1-'FA Addition'!$D73,0),365*'FA Addition'!$O73)</f>
        <v>1095</v>
      </c>
      <c r="AH73" s="117">
        <f>MIN(MAX($L$1-'FA Addition'!$D73+1,0),365*'FA Addition'!$O73)</f>
        <v>1095</v>
      </c>
      <c r="AI73" s="117" cm="1">
        <f t="array" ref="AI73">_xlfn.XLOOKUP(1,('FA Write off'!A:A='FA Addition'!$A73)*('FA Write off'!D:D=AA73),'FA Write off'!H:H,0,0)</f>
        <v>0</v>
      </c>
      <c r="AJ73" s="117">
        <f>IF(AC73&gt;0,MAX(IF('FA Addition'!$N73="SLM",($AC73-'FA Addition'!$M73)*'FA Addition'!$P73*AI73/365,(AC73-'FA Addition'!$M73)*(1-(1-'FA Addition'!$P73)^(AI73/365))),0),0)</f>
        <v>0</v>
      </c>
      <c r="AL73" s="117">
        <f>MAX(IF(AG73&gt;0,IF('FA Addition'!$N73="SLM",($AE73-'FA Addition'!$M73)*'FA Addition'!$P73*AG73/365,IFERROR(VDB(AE73,AE73*0.05,'FA Addition'!$O73,0,YEARFRAC('FA Addition'!$C73,$P$1-1,3),'FA Addition'!$Q73),FAAddition[[#This Row],[Original Cost (Rs)]]-FAAddition[[#This Row],[Salvage Value]])),0),0)</f>
        <v>5890</v>
      </c>
      <c r="AM73" s="119"/>
      <c r="AN73" s="117">
        <f>MAX(IF(AH73&gt;0,IF('FA Addition'!$N73="SLM",($AF73-'FA Addition'!$M73)*'FA Addition'!$P73*AH73/365,IFERROR(VDB(AF73,AF73*0.05,'FA Addition'!$O73,0,YEARFRAC('FA Addition'!$C73,$L$1,3),'FA Addition'!$Q73),FAAddition[[#This Row],[Original Cost (Rs)]]-FAAddition[[#This Row],[Salvage Value]])),0),0)</f>
        <v>5890</v>
      </c>
      <c r="AO73" s="117">
        <f t="shared" si="8"/>
        <v>0</v>
      </c>
      <c r="AQ73" s="117">
        <f t="shared" si="6"/>
        <v>310</v>
      </c>
      <c r="AR73" s="120">
        <f t="shared" si="7"/>
        <v>310</v>
      </c>
      <c r="AS73" s="121"/>
    </row>
    <row r="74" spans="1:45" ht="13.5" x14ac:dyDescent="0.4">
      <c r="A74" s="12">
        <f t="shared" si="9"/>
        <v>71</v>
      </c>
      <c r="B74" s="44" t="s">
        <v>439</v>
      </c>
      <c r="C74" s="45">
        <v>42307</v>
      </c>
      <c r="D74" s="45">
        <v>42307</v>
      </c>
      <c r="E74" s="46" t="s">
        <v>451</v>
      </c>
      <c r="F74" s="44" t="s">
        <v>452</v>
      </c>
      <c r="G74" s="44" t="s">
        <v>507</v>
      </c>
      <c r="H74" s="44" t="s">
        <v>32</v>
      </c>
      <c r="I74" s="47" t="s">
        <v>508</v>
      </c>
      <c r="J74" s="56">
        <v>1</v>
      </c>
      <c r="K74" s="44" t="s">
        <v>507</v>
      </c>
      <c r="L74" s="52">
        <v>1550</v>
      </c>
      <c r="M74" s="50">
        <f>ROUND('FA Addition'!$L74*5%,0.1)</f>
        <v>78</v>
      </c>
      <c r="N74" s="113" t="str">
        <f>_xlfn.XLOOKUP(_xlfn.CONCAT(E74,B74),'Year Wise Master Dep Approach'!F:F,'Year Wise Master Dep Approach'!D:D)</f>
        <v>WDV</v>
      </c>
      <c r="O74" s="113">
        <f>_xlfn.XLOOKUP(_xlfn.CONCAT(E74,B74),'Year Wise Master Dep Approach'!F:F,'Year Wise Master Dep Approach'!E:E)</f>
        <v>3</v>
      </c>
      <c r="P74" s="114">
        <f>IFERROR(IF('FA Addition'!$N74="WDV",1-('FA Addition'!$M74/'FA Addition'!$L74)^(1/'FA Addition'!$O74),1/'FA Addition'!$O74),0)</f>
        <v>0.63080628301224428</v>
      </c>
      <c r="Q74" s="122">
        <f>'FA Addition'!$P74*'FA Addition'!$O74</f>
        <v>1.8924188490367329</v>
      </c>
      <c r="R74" s="122"/>
      <c r="S74" s="116">
        <f>IF(AND(DATE(20&amp;LEFT(FAAddition[[#This Row],[FY]],2),4,1)&lt;$L$1+1,DATE(20&amp;LEFT(FAAddition[[#This Row],[FY]],2),4,1)&gt;$P$1-1),'FA Addition'!$J74,0)</f>
        <v>0</v>
      </c>
      <c r="U74" s="117">
        <f>S74*'FA Addition'!$L74/'FA Addition'!$J74</f>
        <v>0</v>
      </c>
      <c r="W74" s="116">
        <f>SUMIFS('FA Write off'!D:D,'FA Write off'!A:A,'FA Addition'!$A74,'FA Write off'!C:C,"&lt;"&amp;'FA Addition'!$P$1)</f>
        <v>0</v>
      </c>
      <c r="Y74" s="191">
        <f>IFERROR(W74/'FA Addition'!$J74*'FA Addition'!$L74,0)</f>
        <v>0</v>
      </c>
      <c r="AA74" s="116">
        <f>SUMIFS('FA Write off'!D:D,'FA Write off'!A:A,'FA Addition'!$A74,'FA Write off'!C:C,"&lt;"&amp;'FA Addition'!$L$1+1,'FA Write off'!C:C,"&gt;"&amp;'FA Addition'!$L$1-365)</f>
        <v>0</v>
      </c>
      <c r="AC74" s="118">
        <f>IFERROR(AA74/'FA Addition'!$J74*'FA Addition'!$L74,0)</f>
        <v>0</v>
      </c>
      <c r="AE74" s="117">
        <f>IF(AND('FA Addition'!$D74&lt;$P$1+1,U74=0),'FA Addition'!$L74,0)-Y74</f>
        <v>1550</v>
      </c>
      <c r="AF74" s="117">
        <f t="shared" si="5"/>
        <v>1550</v>
      </c>
      <c r="AG74" s="117">
        <f>MIN(MAX(+$P$1-'FA Addition'!$D74,0),365*'FA Addition'!$O74)</f>
        <v>1095</v>
      </c>
      <c r="AH74" s="117">
        <f>MIN(MAX($L$1-'FA Addition'!$D74+1,0),365*'FA Addition'!$O74)</f>
        <v>1095</v>
      </c>
      <c r="AI74" s="117" cm="1">
        <f t="array" ref="AI74">_xlfn.XLOOKUP(1,('FA Write off'!A:A='FA Addition'!$A74)*('FA Write off'!D:D=AA74),'FA Write off'!H:H,0,0)</f>
        <v>0</v>
      </c>
      <c r="AJ74" s="117">
        <f>IF(AC74&gt;0,MAX(IF('FA Addition'!$N74="SLM",($AC74-'FA Addition'!$M74)*'FA Addition'!$P74*AI74/365,(AC74-'FA Addition'!$M74)*(1-(1-'FA Addition'!$P74)^(AI74/365))),0),0)</f>
        <v>0</v>
      </c>
      <c r="AL74" s="117">
        <f>MAX(IF(AG74&gt;0,IF('FA Addition'!$N74="SLM",($AE74-'FA Addition'!$M74)*'FA Addition'!$P74*AG74/365,IFERROR(VDB(AE74,AE74*0.05,'FA Addition'!$O74,0,YEARFRAC('FA Addition'!$C74,$P$1-1,3),'FA Addition'!$Q74),FAAddition[[#This Row],[Original Cost (Rs)]]-FAAddition[[#This Row],[Salvage Value]])),0),0)</f>
        <v>1472</v>
      </c>
      <c r="AM74" s="119"/>
      <c r="AN74" s="117">
        <f>MAX(IF(AH74&gt;0,IF('FA Addition'!$N74="SLM",($AF74-'FA Addition'!$M74)*'FA Addition'!$P74*AH74/365,IFERROR(VDB(AF74,AF74*0.05,'FA Addition'!$O74,0,YEARFRAC('FA Addition'!$C74,$L$1,3),'FA Addition'!$Q74),FAAddition[[#This Row],[Original Cost (Rs)]]-FAAddition[[#This Row],[Salvage Value]])),0),0)</f>
        <v>1472</v>
      </c>
      <c r="AO74" s="117">
        <f t="shared" si="8"/>
        <v>0</v>
      </c>
      <c r="AQ74" s="117">
        <f t="shared" si="6"/>
        <v>78</v>
      </c>
      <c r="AR74" s="120">
        <f t="shared" si="7"/>
        <v>78</v>
      </c>
      <c r="AS74" s="121"/>
    </row>
    <row r="75" spans="1:45" ht="13.5" x14ac:dyDescent="0.4">
      <c r="A75" s="12">
        <f t="shared" si="9"/>
        <v>72</v>
      </c>
      <c r="B75" s="44" t="s">
        <v>439</v>
      </c>
      <c r="C75" s="45">
        <v>42307</v>
      </c>
      <c r="D75" s="45">
        <v>42307</v>
      </c>
      <c r="E75" s="46" t="s">
        <v>451</v>
      </c>
      <c r="F75" s="44" t="s">
        <v>452</v>
      </c>
      <c r="G75" s="44" t="s">
        <v>504</v>
      </c>
      <c r="H75" s="44"/>
      <c r="I75" s="47" t="s">
        <v>509</v>
      </c>
      <c r="J75" s="56">
        <v>1</v>
      </c>
      <c r="K75" s="44"/>
      <c r="L75" s="52">
        <v>9400</v>
      </c>
      <c r="M75" s="50">
        <f>ROUND('FA Addition'!$L75*5%,0.1)</f>
        <v>470</v>
      </c>
      <c r="N75" s="113" t="str">
        <f>_xlfn.XLOOKUP(_xlfn.CONCAT(E75,B75),'Year Wise Master Dep Approach'!F:F,'Year Wise Master Dep Approach'!D:D)</f>
        <v>WDV</v>
      </c>
      <c r="O75" s="113">
        <f>_xlfn.XLOOKUP(_xlfn.CONCAT(E75,B75),'Year Wise Master Dep Approach'!F:F,'Year Wise Master Dep Approach'!E:E)</f>
        <v>3</v>
      </c>
      <c r="P75" s="114">
        <f>IFERROR(IF('FA Addition'!$N75="WDV",1-('FA Addition'!$M75/'FA Addition'!$L75)^(1/'FA Addition'!$O75),1/'FA Addition'!$O75),0)</f>
        <v>0.63159685013596123</v>
      </c>
      <c r="Q75" s="122">
        <f>'FA Addition'!$P75*'FA Addition'!$O75</f>
        <v>1.8947905504078837</v>
      </c>
      <c r="R75" s="122"/>
      <c r="S75" s="116">
        <f>IF(AND(DATE(20&amp;LEFT(FAAddition[[#This Row],[FY]],2),4,1)&lt;$L$1+1,DATE(20&amp;LEFT(FAAddition[[#This Row],[FY]],2),4,1)&gt;$P$1-1),'FA Addition'!$J75,0)</f>
        <v>0</v>
      </c>
      <c r="U75" s="117">
        <f>S75*'FA Addition'!$L75/'FA Addition'!$J75</f>
        <v>0</v>
      </c>
      <c r="W75" s="116">
        <f>SUMIFS('FA Write off'!D:D,'FA Write off'!A:A,'FA Addition'!$A75,'FA Write off'!C:C,"&lt;"&amp;'FA Addition'!$P$1)</f>
        <v>0</v>
      </c>
      <c r="Y75" s="191">
        <f>IFERROR(W75/'FA Addition'!$J75*'FA Addition'!$L75,0)</f>
        <v>0</v>
      </c>
      <c r="AA75" s="116">
        <f>SUMIFS('FA Write off'!D:D,'FA Write off'!A:A,'FA Addition'!$A75,'FA Write off'!C:C,"&lt;"&amp;'FA Addition'!$L$1+1,'FA Write off'!C:C,"&gt;"&amp;'FA Addition'!$L$1-365)</f>
        <v>0</v>
      </c>
      <c r="AC75" s="118">
        <f>IFERROR(AA75/'FA Addition'!$J75*'FA Addition'!$L75,0)</f>
        <v>0</v>
      </c>
      <c r="AE75" s="117">
        <f>IF(AND('FA Addition'!$D75&lt;$P$1+1,U75=0),'FA Addition'!$L75,0)-Y75</f>
        <v>9400</v>
      </c>
      <c r="AF75" s="117">
        <f t="shared" si="5"/>
        <v>9400</v>
      </c>
      <c r="AG75" s="117">
        <f>MIN(MAX(+$P$1-'FA Addition'!$D75,0),365*'FA Addition'!$O75)</f>
        <v>1095</v>
      </c>
      <c r="AH75" s="117">
        <f>MIN(MAX($L$1-'FA Addition'!$D75+1,0),365*'FA Addition'!$O75)</f>
        <v>1095</v>
      </c>
      <c r="AI75" s="117" cm="1">
        <f t="array" ref="AI75">_xlfn.XLOOKUP(1,('FA Write off'!A:A='FA Addition'!$A75)*('FA Write off'!D:D=AA75),'FA Write off'!H:H,0,0)</f>
        <v>0</v>
      </c>
      <c r="AJ75" s="117">
        <f>IF(AC75&gt;0,MAX(IF('FA Addition'!$N75="SLM",($AC75-'FA Addition'!$M75)*'FA Addition'!$P75*AI75/365,(AC75-'FA Addition'!$M75)*(1-(1-'FA Addition'!$P75)^(AI75/365))),0),0)</f>
        <v>0</v>
      </c>
      <c r="AL75" s="117">
        <f>MAX(IF(AG75&gt;0,IF('FA Addition'!$N75="SLM",($AE75-'FA Addition'!$M75)*'FA Addition'!$P75*AG75/365,IFERROR(VDB(AE75,AE75*0.05,'FA Addition'!$O75,0,YEARFRAC('FA Addition'!$C75,$P$1-1,3),'FA Addition'!$Q75),FAAddition[[#This Row],[Original Cost (Rs)]]-FAAddition[[#This Row],[Salvage Value]])),0),0)</f>
        <v>8930</v>
      </c>
      <c r="AM75" s="119"/>
      <c r="AN75" s="117">
        <f>MAX(IF(AH75&gt;0,IF('FA Addition'!$N75="SLM",($AF75-'FA Addition'!$M75)*'FA Addition'!$P75*AH75/365,IFERROR(VDB(AF75,AF75*0.05,'FA Addition'!$O75,0,YEARFRAC('FA Addition'!$C75,$L$1,3),'FA Addition'!$Q75),FAAddition[[#This Row],[Original Cost (Rs)]]-FAAddition[[#This Row],[Salvage Value]])),0),0)</f>
        <v>8930</v>
      </c>
      <c r="AO75" s="117">
        <f t="shared" si="8"/>
        <v>0</v>
      </c>
      <c r="AQ75" s="117">
        <f t="shared" si="6"/>
        <v>470</v>
      </c>
      <c r="AR75" s="120">
        <f t="shared" si="7"/>
        <v>470</v>
      </c>
      <c r="AS75" s="121"/>
    </row>
    <row r="76" spans="1:45" ht="13.5" x14ac:dyDescent="0.4">
      <c r="A76" s="12">
        <f t="shared" si="9"/>
        <v>73</v>
      </c>
      <c r="B76" s="44" t="s">
        <v>439</v>
      </c>
      <c r="C76" s="45">
        <v>42307</v>
      </c>
      <c r="D76" s="45">
        <v>42307</v>
      </c>
      <c r="E76" s="46" t="s">
        <v>451</v>
      </c>
      <c r="F76" s="44" t="s">
        <v>452</v>
      </c>
      <c r="G76" s="44" t="s">
        <v>504</v>
      </c>
      <c r="H76" s="44"/>
      <c r="I76" s="47" t="s">
        <v>510</v>
      </c>
      <c r="J76" s="56">
        <v>1</v>
      </c>
      <c r="K76" s="44"/>
      <c r="L76" s="52">
        <v>2140</v>
      </c>
      <c r="M76" s="50">
        <f>ROUND('FA Addition'!$L76*5%,0.1)</f>
        <v>107</v>
      </c>
      <c r="N76" s="113" t="str">
        <f>_xlfn.XLOOKUP(_xlfn.CONCAT(E76,B76),'Year Wise Master Dep Approach'!F:F,'Year Wise Master Dep Approach'!D:D)</f>
        <v>WDV</v>
      </c>
      <c r="O76" s="113">
        <f>_xlfn.XLOOKUP(_xlfn.CONCAT(E76,B76),'Year Wise Master Dep Approach'!F:F,'Year Wise Master Dep Approach'!E:E)</f>
        <v>3</v>
      </c>
      <c r="P76" s="114">
        <f>IFERROR(IF('FA Addition'!$N76="WDV",1-('FA Addition'!$M76/'FA Addition'!$L76)^(1/'FA Addition'!$O76),1/'FA Addition'!$O76),0)</f>
        <v>0.63159685013596123</v>
      </c>
      <c r="Q76" s="122">
        <f>'FA Addition'!$P76*'FA Addition'!$O76</f>
        <v>1.8947905504078837</v>
      </c>
      <c r="R76" s="122"/>
      <c r="S76" s="116">
        <f>IF(AND(DATE(20&amp;LEFT(FAAddition[[#This Row],[FY]],2),4,1)&lt;$L$1+1,DATE(20&amp;LEFT(FAAddition[[#This Row],[FY]],2),4,1)&gt;$P$1-1),'FA Addition'!$J76,0)</f>
        <v>0</v>
      </c>
      <c r="U76" s="117">
        <f>S76*'FA Addition'!$L76/'FA Addition'!$J76</f>
        <v>0</v>
      </c>
      <c r="W76" s="116">
        <f>SUMIFS('FA Write off'!D:D,'FA Write off'!A:A,'FA Addition'!$A76,'FA Write off'!C:C,"&lt;"&amp;'FA Addition'!$P$1)</f>
        <v>0</v>
      </c>
      <c r="Y76" s="191">
        <f>IFERROR(W76/'FA Addition'!$J76*'FA Addition'!$L76,0)</f>
        <v>0</v>
      </c>
      <c r="AA76" s="116">
        <f>SUMIFS('FA Write off'!D:D,'FA Write off'!A:A,'FA Addition'!$A76,'FA Write off'!C:C,"&lt;"&amp;'FA Addition'!$L$1+1,'FA Write off'!C:C,"&gt;"&amp;'FA Addition'!$L$1-365)</f>
        <v>0</v>
      </c>
      <c r="AC76" s="118">
        <f>IFERROR(AA76/'FA Addition'!$J76*'FA Addition'!$L76,0)</f>
        <v>0</v>
      </c>
      <c r="AE76" s="117">
        <f>IF(AND('FA Addition'!$D76&lt;$P$1+1,U76=0),'FA Addition'!$L76,0)-Y76</f>
        <v>2140</v>
      </c>
      <c r="AF76" s="117">
        <f t="shared" si="5"/>
        <v>2140</v>
      </c>
      <c r="AG76" s="117">
        <f>MIN(MAX(+$P$1-'FA Addition'!$D76,0),365*'FA Addition'!$O76)</f>
        <v>1095</v>
      </c>
      <c r="AH76" s="117">
        <f>MIN(MAX($L$1-'FA Addition'!$D76+1,0),365*'FA Addition'!$O76)</f>
        <v>1095</v>
      </c>
      <c r="AI76" s="117" cm="1">
        <f t="array" ref="AI76">_xlfn.XLOOKUP(1,('FA Write off'!A:A='FA Addition'!$A76)*('FA Write off'!D:D=AA76),'FA Write off'!H:H,0,0)</f>
        <v>0</v>
      </c>
      <c r="AJ76" s="117">
        <f>IF(AC76&gt;0,MAX(IF('FA Addition'!$N76="SLM",($AC76-'FA Addition'!$M76)*'FA Addition'!$P76*AI76/365,(AC76-'FA Addition'!$M76)*(1-(1-'FA Addition'!$P76)^(AI76/365))),0),0)</f>
        <v>0</v>
      </c>
      <c r="AL76" s="117">
        <f>MAX(IF(AG76&gt;0,IF('FA Addition'!$N76="SLM",($AE76-'FA Addition'!$M76)*'FA Addition'!$P76*AG76/365,IFERROR(VDB(AE76,AE76*0.05,'FA Addition'!$O76,0,YEARFRAC('FA Addition'!$C76,$P$1-1,3),'FA Addition'!$Q76),FAAddition[[#This Row],[Original Cost (Rs)]]-FAAddition[[#This Row],[Salvage Value]])),0),0)</f>
        <v>2033</v>
      </c>
      <c r="AM76" s="119"/>
      <c r="AN76" s="117">
        <f>MAX(IF(AH76&gt;0,IF('FA Addition'!$N76="SLM",($AF76-'FA Addition'!$M76)*'FA Addition'!$P76*AH76/365,IFERROR(VDB(AF76,AF76*0.05,'FA Addition'!$O76,0,YEARFRAC('FA Addition'!$C76,$L$1,3),'FA Addition'!$Q76),FAAddition[[#This Row],[Original Cost (Rs)]]-FAAddition[[#This Row],[Salvage Value]])),0),0)</f>
        <v>2033</v>
      </c>
      <c r="AO76" s="117">
        <f t="shared" si="8"/>
        <v>0</v>
      </c>
      <c r="AQ76" s="117">
        <f t="shared" si="6"/>
        <v>107</v>
      </c>
      <c r="AR76" s="120">
        <f t="shared" si="7"/>
        <v>107</v>
      </c>
      <c r="AS76" s="121"/>
    </row>
    <row r="77" spans="1:45" ht="13.5" x14ac:dyDescent="0.4">
      <c r="A77" s="12">
        <f t="shared" si="9"/>
        <v>74</v>
      </c>
      <c r="B77" s="44" t="s">
        <v>439</v>
      </c>
      <c r="C77" s="45">
        <v>42307</v>
      </c>
      <c r="D77" s="45">
        <v>42307</v>
      </c>
      <c r="E77" s="46" t="s">
        <v>451</v>
      </c>
      <c r="F77" s="44" t="s">
        <v>452</v>
      </c>
      <c r="G77" s="44" t="s">
        <v>511</v>
      </c>
      <c r="H77" s="44" t="s">
        <v>512</v>
      </c>
      <c r="I77" s="47"/>
      <c r="J77" s="56">
        <v>1</v>
      </c>
      <c r="K77" s="44" t="s">
        <v>513</v>
      </c>
      <c r="L77" s="52">
        <v>2200</v>
      </c>
      <c r="M77" s="50">
        <f>ROUND('FA Addition'!$L77*5%,0.1)</f>
        <v>110</v>
      </c>
      <c r="N77" s="113" t="str">
        <f>_xlfn.XLOOKUP(_xlfn.CONCAT(E77,B77),'Year Wise Master Dep Approach'!F:F,'Year Wise Master Dep Approach'!D:D)</f>
        <v>WDV</v>
      </c>
      <c r="O77" s="113">
        <f>_xlfn.XLOOKUP(_xlfn.CONCAT(E77,B77),'Year Wise Master Dep Approach'!F:F,'Year Wise Master Dep Approach'!E:E)</f>
        <v>3</v>
      </c>
      <c r="P77" s="114">
        <f>IFERROR(IF('FA Addition'!$N77="WDV",1-('FA Addition'!$M77/'FA Addition'!$L77)^(1/'FA Addition'!$O77),1/'FA Addition'!$O77),0)</f>
        <v>0.63159685013596123</v>
      </c>
      <c r="Q77" s="122">
        <f>'FA Addition'!$P77*'FA Addition'!$O77</f>
        <v>1.8947905504078837</v>
      </c>
      <c r="R77" s="122"/>
      <c r="S77" s="116">
        <f>IF(AND(DATE(20&amp;LEFT(FAAddition[[#This Row],[FY]],2),4,1)&lt;$L$1+1,DATE(20&amp;LEFT(FAAddition[[#This Row],[FY]],2),4,1)&gt;$P$1-1),'FA Addition'!$J77,0)</f>
        <v>0</v>
      </c>
      <c r="U77" s="117">
        <f>S77*'FA Addition'!$L77/'FA Addition'!$J77</f>
        <v>0</v>
      </c>
      <c r="W77" s="116">
        <f>SUMIFS('FA Write off'!D:D,'FA Write off'!A:A,'FA Addition'!$A77,'FA Write off'!C:C,"&lt;"&amp;'FA Addition'!$P$1)</f>
        <v>0</v>
      </c>
      <c r="Y77" s="191">
        <f>IFERROR(W77/'FA Addition'!$J77*'FA Addition'!$L77,0)</f>
        <v>0</v>
      </c>
      <c r="AA77" s="116">
        <f>SUMIFS('FA Write off'!D:D,'FA Write off'!A:A,'FA Addition'!$A77,'FA Write off'!C:C,"&lt;"&amp;'FA Addition'!$L$1+1,'FA Write off'!C:C,"&gt;"&amp;'FA Addition'!$L$1-365)</f>
        <v>0</v>
      </c>
      <c r="AC77" s="118">
        <f>IFERROR(AA77/'FA Addition'!$J77*'FA Addition'!$L77,0)</f>
        <v>0</v>
      </c>
      <c r="AE77" s="117">
        <f>IF(AND('FA Addition'!$D77&lt;$P$1+1,U77=0),'FA Addition'!$L77,0)-Y77</f>
        <v>2200</v>
      </c>
      <c r="AF77" s="117">
        <f t="shared" si="5"/>
        <v>2200</v>
      </c>
      <c r="AG77" s="117">
        <f>MIN(MAX(+$P$1-'FA Addition'!$D77,0),365*'FA Addition'!$O77)</f>
        <v>1095</v>
      </c>
      <c r="AH77" s="117">
        <f>MIN(MAX($L$1-'FA Addition'!$D77+1,0),365*'FA Addition'!$O77)</f>
        <v>1095</v>
      </c>
      <c r="AI77" s="117" cm="1">
        <f t="array" ref="AI77">_xlfn.XLOOKUP(1,('FA Write off'!A:A='FA Addition'!$A77)*('FA Write off'!D:D=AA77),'FA Write off'!H:H,0,0)</f>
        <v>0</v>
      </c>
      <c r="AJ77" s="117">
        <f>IF(AC77&gt;0,MAX(IF('FA Addition'!$N77="SLM",($AC77-'FA Addition'!$M77)*'FA Addition'!$P77*AI77/365,(AC77-'FA Addition'!$M77)*(1-(1-'FA Addition'!$P77)^(AI77/365))),0),0)</f>
        <v>0</v>
      </c>
      <c r="AL77" s="117">
        <f>MAX(IF(AG77&gt;0,IF('FA Addition'!$N77="SLM",($AE77-'FA Addition'!$M77)*'FA Addition'!$P77*AG77/365,IFERROR(VDB(AE77,AE77*0.05,'FA Addition'!$O77,0,YEARFRAC('FA Addition'!$C77,$P$1-1,3),'FA Addition'!$Q77),FAAddition[[#This Row],[Original Cost (Rs)]]-FAAddition[[#This Row],[Salvage Value]])),0),0)</f>
        <v>2090</v>
      </c>
      <c r="AM77" s="119"/>
      <c r="AN77" s="117">
        <f>MAX(IF(AH77&gt;0,IF('FA Addition'!$N77="SLM",($AF77-'FA Addition'!$M77)*'FA Addition'!$P77*AH77/365,IFERROR(VDB(AF77,AF77*0.05,'FA Addition'!$O77,0,YEARFRAC('FA Addition'!$C77,$L$1,3),'FA Addition'!$Q77),FAAddition[[#This Row],[Original Cost (Rs)]]-FAAddition[[#This Row],[Salvage Value]])),0),0)</f>
        <v>2090</v>
      </c>
      <c r="AO77" s="117">
        <f t="shared" si="8"/>
        <v>0</v>
      </c>
      <c r="AQ77" s="117">
        <f t="shared" si="6"/>
        <v>110</v>
      </c>
      <c r="AR77" s="120">
        <f t="shared" si="7"/>
        <v>110</v>
      </c>
      <c r="AS77" s="121"/>
    </row>
    <row r="78" spans="1:45" ht="13.5" x14ac:dyDescent="0.4">
      <c r="A78" s="12">
        <f t="shared" si="9"/>
        <v>75</v>
      </c>
      <c r="B78" s="44" t="s">
        <v>439</v>
      </c>
      <c r="C78" s="45">
        <v>42307</v>
      </c>
      <c r="D78" s="45">
        <v>42307</v>
      </c>
      <c r="E78" s="46" t="s">
        <v>451</v>
      </c>
      <c r="F78" s="44" t="s">
        <v>452</v>
      </c>
      <c r="G78" s="44" t="s">
        <v>504</v>
      </c>
      <c r="H78" s="44"/>
      <c r="I78" s="47" t="s">
        <v>514</v>
      </c>
      <c r="J78" s="56">
        <v>1</v>
      </c>
      <c r="K78" s="44"/>
      <c r="L78" s="52">
        <v>1122</v>
      </c>
      <c r="M78" s="50">
        <f>ROUND('FA Addition'!$L78*5%,0.1)</f>
        <v>56</v>
      </c>
      <c r="N78" s="113" t="str">
        <f>_xlfn.XLOOKUP(_xlfn.CONCAT(E78,B78),'Year Wise Master Dep Approach'!F:F,'Year Wise Master Dep Approach'!D:D)</f>
        <v>WDV</v>
      </c>
      <c r="O78" s="113">
        <f>_xlfn.XLOOKUP(_xlfn.CONCAT(E78,B78),'Year Wise Master Dep Approach'!F:F,'Year Wise Master Dep Approach'!E:E)</f>
        <v>3</v>
      </c>
      <c r="P78" s="114">
        <f>IFERROR(IF('FA Addition'!$N78="WDV",1-('FA Addition'!$M78/'FA Addition'!$L78)^(1/'FA Addition'!$O78),1/'FA Addition'!$O78),0)</f>
        <v>0.63181587703055231</v>
      </c>
      <c r="Q78" s="122">
        <f>'FA Addition'!$P78*'FA Addition'!$O78</f>
        <v>1.895447631091657</v>
      </c>
      <c r="R78" s="122"/>
      <c r="S78" s="116">
        <f>IF(AND(DATE(20&amp;LEFT(FAAddition[[#This Row],[FY]],2),4,1)&lt;$L$1+1,DATE(20&amp;LEFT(FAAddition[[#This Row],[FY]],2),4,1)&gt;$P$1-1),'FA Addition'!$J78,0)</f>
        <v>0</v>
      </c>
      <c r="U78" s="117">
        <f>S78*'FA Addition'!$L78/'FA Addition'!$J78</f>
        <v>0</v>
      </c>
      <c r="W78" s="116">
        <f>SUMIFS('FA Write off'!D:D,'FA Write off'!A:A,'FA Addition'!$A78,'FA Write off'!C:C,"&lt;"&amp;'FA Addition'!$P$1)</f>
        <v>0</v>
      </c>
      <c r="Y78" s="191">
        <f>IFERROR(W78/'FA Addition'!$J78*'FA Addition'!$L78,0)</f>
        <v>0</v>
      </c>
      <c r="AA78" s="116">
        <f>SUMIFS('FA Write off'!D:D,'FA Write off'!A:A,'FA Addition'!$A78,'FA Write off'!C:C,"&lt;"&amp;'FA Addition'!$L$1+1,'FA Write off'!C:C,"&gt;"&amp;'FA Addition'!$L$1-365)</f>
        <v>0</v>
      </c>
      <c r="AC78" s="118">
        <f>IFERROR(AA78/'FA Addition'!$J78*'FA Addition'!$L78,0)</f>
        <v>0</v>
      </c>
      <c r="AE78" s="117">
        <f>IF(AND('FA Addition'!$D78&lt;$P$1+1,U78=0),'FA Addition'!$L78,0)-Y78</f>
        <v>1122</v>
      </c>
      <c r="AF78" s="117">
        <f t="shared" si="5"/>
        <v>1122</v>
      </c>
      <c r="AG78" s="117">
        <f>MIN(MAX(+$P$1-'FA Addition'!$D78,0),365*'FA Addition'!$O78)</f>
        <v>1095</v>
      </c>
      <c r="AH78" s="117">
        <f>MIN(MAX($L$1-'FA Addition'!$D78+1,0),365*'FA Addition'!$O78)</f>
        <v>1095</v>
      </c>
      <c r="AI78" s="117" cm="1">
        <f t="array" ref="AI78">_xlfn.XLOOKUP(1,('FA Write off'!A:A='FA Addition'!$A78)*('FA Write off'!D:D=AA78),'FA Write off'!H:H,0,0)</f>
        <v>0</v>
      </c>
      <c r="AJ78" s="117">
        <f>IF(AC78&gt;0,MAX(IF('FA Addition'!$N78="SLM",($AC78-'FA Addition'!$M78)*'FA Addition'!$P78*AI78/365,(AC78-'FA Addition'!$M78)*(1-(1-'FA Addition'!$P78)^(AI78/365))),0),0)</f>
        <v>0</v>
      </c>
      <c r="AL78" s="117">
        <f>MAX(IF(AG78&gt;0,IF('FA Addition'!$N78="SLM",($AE78-'FA Addition'!$M78)*'FA Addition'!$P78*AG78/365,IFERROR(VDB(AE78,AE78*0.05,'FA Addition'!$O78,0,YEARFRAC('FA Addition'!$C78,$P$1-1,3),'FA Addition'!$Q78),FAAddition[[#This Row],[Original Cost (Rs)]]-FAAddition[[#This Row],[Salvage Value]])),0),0)</f>
        <v>1066</v>
      </c>
      <c r="AM78" s="119"/>
      <c r="AN78" s="117">
        <f>MAX(IF(AH78&gt;0,IF('FA Addition'!$N78="SLM",($AF78-'FA Addition'!$M78)*'FA Addition'!$P78*AH78/365,IFERROR(VDB(AF78,AF78*0.05,'FA Addition'!$O78,0,YEARFRAC('FA Addition'!$C78,$L$1,3),'FA Addition'!$Q78),FAAddition[[#This Row],[Original Cost (Rs)]]-FAAddition[[#This Row],[Salvage Value]])),0),0)</f>
        <v>1066</v>
      </c>
      <c r="AO78" s="117">
        <f t="shared" si="8"/>
        <v>0</v>
      </c>
      <c r="AQ78" s="117">
        <f t="shared" si="6"/>
        <v>56</v>
      </c>
      <c r="AR78" s="120">
        <f t="shared" si="7"/>
        <v>56</v>
      </c>
      <c r="AS78" s="121"/>
    </row>
    <row r="79" spans="1:45" ht="13.5" x14ac:dyDescent="0.4">
      <c r="A79" s="12">
        <f t="shared" si="9"/>
        <v>76</v>
      </c>
      <c r="B79" s="44" t="s">
        <v>439</v>
      </c>
      <c r="C79" s="45">
        <v>42307</v>
      </c>
      <c r="D79" s="45">
        <v>42307</v>
      </c>
      <c r="E79" s="46" t="s">
        <v>451</v>
      </c>
      <c r="F79" s="44" t="s">
        <v>452</v>
      </c>
      <c r="G79" s="44" t="s">
        <v>504</v>
      </c>
      <c r="H79" s="44"/>
      <c r="I79" s="47" t="s">
        <v>515</v>
      </c>
      <c r="J79" s="56">
        <v>1</v>
      </c>
      <c r="K79" s="44"/>
      <c r="L79" s="52">
        <v>1100</v>
      </c>
      <c r="M79" s="50">
        <f>ROUND('FA Addition'!$L79*5%,0.1)</f>
        <v>55</v>
      </c>
      <c r="N79" s="113" t="str">
        <f>_xlfn.XLOOKUP(_xlfn.CONCAT(E79,B79),'Year Wise Master Dep Approach'!F:F,'Year Wise Master Dep Approach'!D:D)</f>
        <v>WDV</v>
      </c>
      <c r="O79" s="113">
        <f>_xlfn.XLOOKUP(_xlfn.CONCAT(E79,B79),'Year Wise Master Dep Approach'!F:F,'Year Wise Master Dep Approach'!E:E)</f>
        <v>3</v>
      </c>
      <c r="P79" s="114">
        <f>IFERROR(IF('FA Addition'!$N79="WDV",1-('FA Addition'!$M79/'FA Addition'!$L79)^(1/'FA Addition'!$O79),1/'FA Addition'!$O79),0)</f>
        <v>0.63159685013596123</v>
      </c>
      <c r="Q79" s="122">
        <f>'FA Addition'!$P79*'FA Addition'!$O79</f>
        <v>1.8947905504078837</v>
      </c>
      <c r="R79" s="122"/>
      <c r="S79" s="116">
        <f>IF(AND(DATE(20&amp;LEFT(FAAddition[[#This Row],[FY]],2),4,1)&lt;$L$1+1,DATE(20&amp;LEFT(FAAddition[[#This Row],[FY]],2),4,1)&gt;$P$1-1),'FA Addition'!$J79,0)</f>
        <v>0</v>
      </c>
      <c r="U79" s="117">
        <f>S79*'FA Addition'!$L79/'FA Addition'!$J79</f>
        <v>0</v>
      </c>
      <c r="W79" s="116">
        <f>SUMIFS('FA Write off'!D:D,'FA Write off'!A:A,'FA Addition'!$A79,'FA Write off'!C:C,"&lt;"&amp;'FA Addition'!$P$1)</f>
        <v>0</v>
      </c>
      <c r="Y79" s="191">
        <f>IFERROR(W79/'FA Addition'!$J79*'FA Addition'!$L79,0)</f>
        <v>0</v>
      </c>
      <c r="AA79" s="116">
        <f>SUMIFS('FA Write off'!D:D,'FA Write off'!A:A,'FA Addition'!$A79,'FA Write off'!C:C,"&lt;"&amp;'FA Addition'!$L$1+1,'FA Write off'!C:C,"&gt;"&amp;'FA Addition'!$L$1-365)</f>
        <v>0</v>
      </c>
      <c r="AC79" s="118">
        <f>IFERROR(AA79/'FA Addition'!$J79*'FA Addition'!$L79,0)</f>
        <v>0</v>
      </c>
      <c r="AE79" s="117">
        <f>IF(AND('FA Addition'!$D79&lt;$P$1+1,U79=0),'FA Addition'!$L79,0)-Y79</f>
        <v>1100</v>
      </c>
      <c r="AF79" s="117">
        <f t="shared" si="5"/>
        <v>1100</v>
      </c>
      <c r="AG79" s="117">
        <f>MIN(MAX(+$P$1-'FA Addition'!$D79,0),365*'FA Addition'!$O79)</f>
        <v>1095</v>
      </c>
      <c r="AH79" s="117">
        <f>MIN(MAX($L$1-'FA Addition'!$D79+1,0),365*'FA Addition'!$O79)</f>
        <v>1095</v>
      </c>
      <c r="AI79" s="117" cm="1">
        <f t="array" ref="AI79">_xlfn.XLOOKUP(1,('FA Write off'!A:A='FA Addition'!$A79)*('FA Write off'!D:D=AA79),'FA Write off'!H:H,0,0)</f>
        <v>0</v>
      </c>
      <c r="AJ79" s="117">
        <f>IF(AC79&gt;0,MAX(IF('FA Addition'!$N79="SLM",($AC79-'FA Addition'!$M79)*'FA Addition'!$P79*AI79/365,(AC79-'FA Addition'!$M79)*(1-(1-'FA Addition'!$P79)^(AI79/365))),0),0)</f>
        <v>0</v>
      </c>
      <c r="AL79" s="117">
        <f>MAX(IF(AG79&gt;0,IF('FA Addition'!$N79="SLM",($AE79-'FA Addition'!$M79)*'FA Addition'!$P79*AG79/365,IFERROR(VDB(AE79,AE79*0.05,'FA Addition'!$O79,0,YEARFRAC('FA Addition'!$C79,$P$1-1,3),'FA Addition'!$Q79),FAAddition[[#This Row],[Original Cost (Rs)]]-FAAddition[[#This Row],[Salvage Value]])),0),0)</f>
        <v>1045</v>
      </c>
      <c r="AM79" s="119"/>
      <c r="AN79" s="117">
        <f>MAX(IF(AH79&gt;0,IF('FA Addition'!$N79="SLM",($AF79-'FA Addition'!$M79)*'FA Addition'!$P79*AH79/365,IFERROR(VDB(AF79,AF79*0.05,'FA Addition'!$O79,0,YEARFRAC('FA Addition'!$C79,$L$1,3),'FA Addition'!$Q79),FAAddition[[#This Row],[Original Cost (Rs)]]-FAAddition[[#This Row],[Salvage Value]])),0),0)</f>
        <v>1045</v>
      </c>
      <c r="AO79" s="117">
        <f t="shared" si="8"/>
        <v>0</v>
      </c>
      <c r="AQ79" s="117">
        <f t="shared" si="6"/>
        <v>55</v>
      </c>
      <c r="AR79" s="120">
        <f t="shared" si="7"/>
        <v>55</v>
      </c>
      <c r="AS79" s="121"/>
    </row>
    <row r="80" spans="1:45" ht="13.5" x14ac:dyDescent="0.4">
      <c r="A80" s="12">
        <f t="shared" si="9"/>
        <v>77</v>
      </c>
      <c r="B80" s="44" t="s">
        <v>439</v>
      </c>
      <c r="C80" s="45">
        <v>42307</v>
      </c>
      <c r="D80" s="45">
        <v>42307</v>
      </c>
      <c r="E80" s="46" t="s">
        <v>451</v>
      </c>
      <c r="F80" s="44" t="s">
        <v>452</v>
      </c>
      <c r="G80" s="44" t="s">
        <v>516</v>
      </c>
      <c r="H80" s="44" t="s">
        <v>207</v>
      </c>
      <c r="I80" s="47" t="s">
        <v>517</v>
      </c>
      <c r="J80" s="56">
        <v>1</v>
      </c>
      <c r="K80" s="44" t="s">
        <v>518</v>
      </c>
      <c r="L80" s="52">
        <v>6599</v>
      </c>
      <c r="M80" s="50">
        <f>ROUND('FA Addition'!$L80*5%,0.1)</f>
        <v>330</v>
      </c>
      <c r="N80" s="113" t="str">
        <f>_xlfn.XLOOKUP(_xlfn.CONCAT(E80,B80),'Year Wise Master Dep Approach'!F:F,'Year Wise Master Dep Approach'!D:D)</f>
        <v>WDV</v>
      </c>
      <c r="O80" s="113">
        <f>_xlfn.XLOOKUP(_xlfn.CONCAT(E80,B80),'Year Wise Master Dep Approach'!F:F,'Year Wise Master Dep Approach'!E:E)</f>
        <v>3</v>
      </c>
      <c r="P80" s="114">
        <f>IFERROR(IF('FA Addition'!$N80="WDV",1-('FA Addition'!$M80/'FA Addition'!$L80)^(1/'FA Addition'!$O80),1/'FA Addition'!$O80),0)</f>
        <v>0.6315782420366336</v>
      </c>
      <c r="Q80" s="122">
        <f>'FA Addition'!$P80*'FA Addition'!$O80</f>
        <v>1.8947347261099008</v>
      </c>
      <c r="R80" s="122"/>
      <c r="S80" s="116">
        <f>IF(AND(DATE(20&amp;LEFT(FAAddition[[#This Row],[FY]],2),4,1)&lt;$L$1+1,DATE(20&amp;LEFT(FAAddition[[#This Row],[FY]],2),4,1)&gt;$P$1-1),'FA Addition'!$J80,0)</f>
        <v>0</v>
      </c>
      <c r="U80" s="117">
        <f>S80*'FA Addition'!$L80/'FA Addition'!$J80</f>
        <v>0</v>
      </c>
      <c r="W80" s="116">
        <f>SUMIFS('FA Write off'!D:D,'FA Write off'!A:A,'FA Addition'!$A80,'FA Write off'!C:C,"&lt;"&amp;'FA Addition'!$P$1)</f>
        <v>0</v>
      </c>
      <c r="Y80" s="191">
        <f>IFERROR(W80/'FA Addition'!$J80*'FA Addition'!$L80,0)</f>
        <v>0</v>
      </c>
      <c r="AA80" s="116">
        <f>SUMIFS('FA Write off'!D:D,'FA Write off'!A:A,'FA Addition'!$A80,'FA Write off'!C:C,"&lt;"&amp;'FA Addition'!$L$1+1,'FA Write off'!C:C,"&gt;"&amp;'FA Addition'!$L$1-365)</f>
        <v>0</v>
      </c>
      <c r="AC80" s="118">
        <f>IFERROR(AA80/'FA Addition'!$J80*'FA Addition'!$L80,0)</f>
        <v>0</v>
      </c>
      <c r="AE80" s="117">
        <f>IF(AND('FA Addition'!$D80&lt;$P$1+1,U80=0),'FA Addition'!$L80,0)-Y80</f>
        <v>6599</v>
      </c>
      <c r="AF80" s="117">
        <f t="shared" si="5"/>
        <v>6599</v>
      </c>
      <c r="AG80" s="117">
        <f>MIN(MAX(+$P$1-'FA Addition'!$D80,0),365*'FA Addition'!$O80)</f>
        <v>1095</v>
      </c>
      <c r="AH80" s="117">
        <f>MIN(MAX($L$1-'FA Addition'!$D80+1,0),365*'FA Addition'!$O80)</f>
        <v>1095</v>
      </c>
      <c r="AI80" s="117" cm="1">
        <f t="array" ref="AI80">_xlfn.XLOOKUP(1,('FA Write off'!A:A='FA Addition'!$A80)*('FA Write off'!D:D=AA80),'FA Write off'!H:H,0,0)</f>
        <v>0</v>
      </c>
      <c r="AJ80" s="117">
        <f>IF(AC80&gt;0,MAX(IF('FA Addition'!$N80="SLM",($AC80-'FA Addition'!$M80)*'FA Addition'!$P80*AI80/365,(AC80-'FA Addition'!$M80)*(1-(1-'FA Addition'!$P80)^(AI80/365))),0),0)</f>
        <v>0</v>
      </c>
      <c r="AL80" s="117">
        <f>MAX(IF(AG80&gt;0,IF('FA Addition'!$N80="SLM",($AE80-'FA Addition'!$M80)*'FA Addition'!$P80*AG80/365,IFERROR(VDB(AE80,AE80*0.05,'FA Addition'!$O80,0,YEARFRAC('FA Addition'!$C80,$P$1-1,3),'FA Addition'!$Q80),FAAddition[[#This Row],[Original Cost (Rs)]]-FAAddition[[#This Row],[Salvage Value]])),0),0)</f>
        <v>6269</v>
      </c>
      <c r="AM80" s="119"/>
      <c r="AN80" s="117">
        <f>MAX(IF(AH80&gt;0,IF('FA Addition'!$N80="SLM",($AF80-'FA Addition'!$M80)*'FA Addition'!$P80*AH80/365,IFERROR(VDB(AF80,AF80*0.05,'FA Addition'!$O80,0,YEARFRAC('FA Addition'!$C80,$L$1,3),'FA Addition'!$Q80),FAAddition[[#This Row],[Original Cost (Rs)]]-FAAddition[[#This Row],[Salvage Value]])),0),0)</f>
        <v>6269</v>
      </c>
      <c r="AO80" s="117">
        <f t="shared" si="8"/>
        <v>0</v>
      </c>
      <c r="AQ80" s="117">
        <f t="shared" si="6"/>
        <v>330</v>
      </c>
      <c r="AR80" s="120">
        <f t="shared" si="7"/>
        <v>330</v>
      </c>
      <c r="AS80" s="121"/>
    </row>
    <row r="81" spans="1:45" ht="13.5" x14ac:dyDescent="0.4">
      <c r="A81" s="12">
        <f t="shared" si="9"/>
        <v>78</v>
      </c>
      <c r="B81" s="44" t="s">
        <v>439</v>
      </c>
      <c r="C81" s="45">
        <v>42307</v>
      </c>
      <c r="D81" s="45">
        <v>42307</v>
      </c>
      <c r="E81" s="46" t="s">
        <v>451</v>
      </c>
      <c r="F81" s="44" t="s">
        <v>452</v>
      </c>
      <c r="G81" s="44" t="s">
        <v>519</v>
      </c>
      <c r="H81" s="44"/>
      <c r="I81" s="47"/>
      <c r="J81" s="56">
        <v>1</v>
      </c>
      <c r="K81" s="44" t="s">
        <v>520</v>
      </c>
      <c r="L81" s="52">
        <v>21000</v>
      </c>
      <c r="M81" s="50">
        <f>ROUND('FA Addition'!$L81*5%,0.1)</f>
        <v>1050</v>
      </c>
      <c r="N81" s="113" t="str">
        <f>_xlfn.XLOOKUP(_xlfn.CONCAT(E81,B81),'Year Wise Master Dep Approach'!F:F,'Year Wise Master Dep Approach'!D:D)</f>
        <v>WDV</v>
      </c>
      <c r="O81" s="113">
        <f>_xlfn.XLOOKUP(_xlfn.CONCAT(E81,B81),'Year Wise Master Dep Approach'!F:F,'Year Wise Master Dep Approach'!E:E)</f>
        <v>3</v>
      </c>
      <c r="P81" s="114">
        <f>IFERROR(IF('FA Addition'!$N81="WDV",1-('FA Addition'!$M81/'FA Addition'!$L81)^(1/'FA Addition'!$O81),1/'FA Addition'!$O81),0)</f>
        <v>0.63159685013596123</v>
      </c>
      <c r="Q81" s="122">
        <f>'FA Addition'!$P81*'FA Addition'!$O81</f>
        <v>1.8947905504078837</v>
      </c>
      <c r="R81" s="122"/>
      <c r="S81" s="116">
        <f>IF(AND(DATE(20&amp;LEFT(FAAddition[[#This Row],[FY]],2),4,1)&lt;$L$1+1,DATE(20&amp;LEFT(FAAddition[[#This Row],[FY]],2),4,1)&gt;$P$1-1),'FA Addition'!$J81,0)</f>
        <v>0</v>
      </c>
      <c r="U81" s="117">
        <f>S81*'FA Addition'!$L81/'FA Addition'!$J81</f>
        <v>0</v>
      </c>
      <c r="W81" s="116">
        <f>SUMIFS('FA Write off'!D:D,'FA Write off'!A:A,'FA Addition'!$A81,'FA Write off'!C:C,"&lt;"&amp;'FA Addition'!$P$1)</f>
        <v>0</v>
      </c>
      <c r="Y81" s="191">
        <f>IFERROR(W81/'FA Addition'!$J81*'FA Addition'!$L81,0)</f>
        <v>0</v>
      </c>
      <c r="AA81" s="116">
        <f>SUMIFS('FA Write off'!D:D,'FA Write off'!A:A,'FA Addition'!$A81,'FA Write off'!C:C,"&lt;"&amp;'FA Addition'!$L$1+1,'FA Write off'!C:C,"&gt;"&amp;'FA Addition'!$L$1-365)</f>
        <v>0</v>
      </c>
      <c r="AC81" s="118">
        <f>IFERROR(AA81/'FA Addition'!$J81*'FA Addition'!$L81,0)</f>
        <v>0</v>
      </c>
      <c r="AE81" s="117">
        <f>IF(AND('FA Addition'!$D81&lt;$P$1+1,U81=0),'FA Addition'!$L81,0)-Y81</f>
        <v>21000</v>
      </c>
      <c r="AF81" s="117">
        <f t="shared" si="5"/>
        <v>21000</v>
      </c>
      <c r="AG81" s="117">
        <f>MIN(MAX(+$P$1-'FA Addition'!$D81,0),365*'FA Addition'!$O81)</f>
        <v>1095</v>
      </c>
      <c r="AH81" s="117">
        <f>MIN(MAX($L$1-'FA Addition'!$D81+1,0),365*'FA Addition'!$O81)</f>
        <v>1095</v>
      </c>
      <c r="AI81" s="117" cm="1">
        <f t="array" ref="AI81">_xlfn.XLOOKUP(1,('FA Write off'!A:A='FA Addition'!$A81)*('FA Write off'!D:D=AA81),'FA Write off'!H:H,0,0)</f>
        <v>0</v>
      </c>
      <c r="AJ81" s="117">
        <f>IF(AC81&gt;0,MAX(IF('FA Addition'!$N81="SLM",($AC81-'FA Addition'!$M81)*'FA Addition'!$P81*AI81/365,(AC81-'FA Addition'!$M81)*(1-(1-'FA Addition'!$P81)^(AI81/365))),0),0)</f>
        <v>0</v>
      </c>
      <c r="AL81" s="117">
        <f>MAX(IF(AG81&gt;0,IF('FA Addition'!$N81="SLM",($AE81-'FA Addition'!$M81)*'FA Addition'!$P81*AG81/365,IFERROR(VDB(AE81,AE81*0.05,'FA Addition'!$O81,0,YEARFRAC('FA Addition'!$C81,$P$1-1,3),'FA Addition'!$Q81),FAAddition[[#This Row],[Original Cost (Rs)]]-FAAddition[[#This Row],[Salvage Value]])),0),0)</f>
        <v>19950</v>
      </c>
      <c r="AM81" s="119"/>
      <c r="AN81" s="117">
        <f>MAX(IF(AH81&gt;0,IF('FA Addition'!$N81="SLM",($AF81-'FA Addition'!$M81)*'FA Addition'!$P81*AH81/365,IFERROR(VDB(AF81,AF81*0.05,'FA Addition'!$O81,0,YEARFRAC('FA Addition'!$C81,$L$1,3),'FA Addition'!$Q81),FAAddition[[#This Row],[Original Cost (Rs)]]-FAAddition[[#This Row],[Salvage Value]])),0),0)</f>
        <v>19950</v>
      </c>
      <c r="AO81" s="117">
        <f t="shared" si="8"/>
        <v>0</v>
      </c>
      <c r="AQ81" s="117">
        <f t="shared" si="6"/>
        <v>1050</v>
      </c>
      <c r="AR81" s="120">
        <f t="shared" si="7"/>
        <v>1050</v>
      </c>
      <c r="AS81" s="121"/>
    </row>
    <row r="82" spans="1:45" ht="13.5" x14ac:dyDescent="0.4">
      <c r="A82" s="12">
        <f t="shared" si="9"/>
        <v>79</v>
      </c>
      <c r="B82" s="44" t="s">
        <v>439</v>
      </c>
      <c r="C82" s="45">
        <v>42317</v>
      </c>
      <c r="D82" s="45">
        <v>42317</v>
      </c>
      <c r="E82" s="46" t="s">
        <v>32</v>
      </c>
      <c r="F82" s="44" t="s">
        <v>32</v>
      </c>
      <c r="G82" s="44" t="s">
        <v>521</v>
      </c>
      <c r="H82" s="44" t="s">
        <v>32</v>
      </c>
      <c r="I82" s="47">
        <v>10801</v>
      </c>
      <c r="J82" s="56">
        <v>1</v>
      </c>
      <c r="K82" s="44"/>
      <c r="L82" s="52">
        <v>1000</v>
      </c>
      <c r="M82" s="50">
        <f>ROUND('FA Addition'!$L82*5%,0.1)</f>
        <v>50</v>
      </c>
      <c r="N82" s="113" t="str">
        <f>_xlfn.XLOOKUP(_xlfn.CONCAT(E82,B82),'Year Wise Master Dep Approach'!F:F,'Year Wise Master Dep Approach'!D:D)</f>
        <v>WDV</v>
      </c>
      <c r="O82" s="113">
        <f>_xlfn.XLOOKUP(_xlfn.CONCAT(E82,B82),'Year Wise Master Dep Approach'!F:F,'Year Wise Master Dep Approach'!E:E)</f>
        <v>3</v>
      </c>
      <c r="P82" s="114">
        <f>IFERROR(IF('FA Addition'!$N82="WDV",1-('FA Addition'!$M82/'FA Addition'!$L82)^(1/'FA Addition'!$O82),1/'FA Addition'!$O82),0)</f>
        <v>0.63159685013596123</v>
      </c>
      <c r="Q82" s="122">
        <f>'FA Addition'!$P82*'FA Addition'!$O82</f>
        <v>1.8947905504078837</v>
      </c>
      <c r="R82" s="122"/>
      <c r="S82" s="116">
        <f>IF(AND(DATE(20&amp;LEFT(FAAddition[[#This Row],[FY]],2),4,1)&lt;$L$1+1,DATE(20&amp;LEFT(FAAddition[[#This Row],[FY]],2),4,1)&gt;$P$1-1),'FA Addition'!$J82,0)</f>
        <v>0</v>
      </c>
      <c r="U82" s="117">
        <f>S82*'FA Addition'!$L82/'FA Addition'!$J82</f>
        <v>0</v>
      </c>
      <c r="W82" s="116">
        <f>SUMIFS('FA Write off'!D:D,'FA Write off'!A:A,'FA Addition'!$A82,'FA Write off'!C:C,"&lt;"&amp;'FA Addition'!$P$1)</f>
        <v>0</v>
      </c>
      <c r="Y82" s="191">
        <f>IFERROR(W82/'FA Addition'!$J82*'FA Addition'!$L82,0)</f>
        <v>0</v>
      </c>
      <c r="AA82" s="116">
        <f>SUMIFS('FA Write off'!D:D,'FA Write off'!A:A,'FA Addition'!$A82,'FA Write off'!C:C,"&lt;"&amp;'FA Addition'!$L$1+1,'FA Write off'!C:C,"&gt;"&amp;'FA Addition'!$L$1-365)</f>
        <v>0</v>
      </c>
      <c r="AC82" s="118">
        <f>IFERROR(AA82/'FA Addition'!$J82*'FA Addition'!$L82,0)</f>
        <v>0</v>
      </c>
      <c r="AE82" s="117">
        <f>IF(AND('FA Addition'!$D82&lt;$P$1+1,U82=0),'FA Addition'!$L82,0)-Y82</f>
        <v>1000</v>
      </c>
      <c r="AF82" s="117">
        <f t="shared" si="5"/>
        <v>1000</v>
      </c>
      <c r="AG82" s="117">
        <f>MIN(MAX(+$P$1-'FA Addition'!$D82,0),365*'FA Addition'!$O82)</f>
        <v>1095</v>
      </c>
      <c r="AH82" s="117">
        <f>MIN(MAX($L$1-'FA Addition'!$D82+1,0),365*'FA Addition'!$O82)</f>
        <v>1095</v>
      </c>
      <c r="AI82" s="117" cm="1">
        <f t="array" ref="AI82">_xlfn.XLOOKUP(1,('FA Write off'!A:A='FA Addition'!$A82)*('FA Write off'!D:D=AA82),'FA Write off'!H:H,0,0)</f>
        <v>0</v>
      </c>
      <c r="AJ82" s="117">
        <f>IF(AC82&gt;0,MAX(IF('FA Addition'!$N82="SLM",($AC82-'FA Addition'!$M82)*'FA Addition'!$P82*AI82/365,(AC82-'FA Addition'!$M82)*(1-(1-'FA Addition'!$P82)^(AI82/365))),0),0)</f>
        <v>0</v>
      </c>
      <c r="AL82" s="117">
        <f>MAX(IF(AG82&gt;0,IF('FA Addition'!$N82="SLM",($AE82-'FA Addition'!$M82)*'FA Addition'!$P82*AG82/365,IFERROR(VDB(AE82,AE82*0.05,'FA Addition'!$O82,0,YEARFRAC('FA Addition'!$C82,$P$1-1,3),'FA Addition'!$Q82),FAAddition[[#This Row],[Original Cost (Rs)]]-FAAddition[[#This Row],[Salvage Value]])),0),0)</f>
        <v>950</v>
      </c>
      <c r="AM82" s="119"/>
      <c r="AN82" s="117">
        <f>MAX(IF(AH82&gt;0,IF('FA Addition'!$N82="SLM",($AF82-'FA Addition'!$M82)*'FA Addition'!$P82*AH82/365,IFERROR(VDB(AF82,AF82*0.05,'FA Addition'!$O82,0,YEARFRAC('FA Addition'!$C82,$L$1,3),'FA Addition'!$Q82),FAAddition[[#This Row],[Original Cost (Rs)]]-FAAddition[[#This Row],[Salvage Value]])),0),0)</f>
        <v>950</v>
      </c>
      <c r="AO82" s="117">
        <f t="shared" si="8"/>
        <v>0</v>
      </c>
      <c r="AQ82" s="117">
        <f t="shared" si="6"/>
        <v>50</v>
      </c>
      <c r="AR82" s="120">
        <f t="shared" si="7"/>
        <v>50</v>
      </c>
      <c r="AS82" s="121"/>
    </row>
    <row r="83" spans="1:45" ht="13.5" x14ac:dyDescent="0.4">
      <c r="A83" s="12">
        <f t="shared" si="9"/>
        <v>80</v>
      </c>
      <c r="B83" s="44" t="s">
        <v>439</v>
      </c>
      <c r="C83" s="45">
        <v>42317</v>
      </c>
      <c r="D83" s="45">
        <v>42317</v>
      </c>
      <c r="E83" s="46" t="s">
        <v>32</v>
      </c>
      <c r="F83" s="44" t="s">
        <v>32</v>
      </c>
      <c r="G83" s="44" t="s">
        <v>446</v>
      </c>
      <c r="H83" s="44" t="s">
        <v>32</v>
      </c>
      <c r="I83" s="47">
        <v>39917989941</v>
      </c>
      <c r="J83" s="56">
        <v>1</v>
      </c>
      <c r="K83" s="44"/>
      <c r="L83" s="52">
        <v>620</v>
      </c>
      <c r="M83" s="50">
        <f>ROUND('FA Addition'!$L83*5%,0.1)</f>
        <v>31</v>
      </c>
      <c r="N83" s="113" t="str">
        <f>_xlfn.XLOOKUP(_xlfn.CONCAT(E83,B83),'Year Wise Master Dep Approach'!F:F,'Year Wise Master Dep Approach'!D:D)</f>
        <v>WDV</v>
      </c>
      <c r="O83" s="113">
        <f>_xlfn.XLOOKUP(_xlfn.CONCAT(E83,B83),'Year Wise Master Dep Approach'!F:F,'Year Wise Master Dep Approach'!E:E)</f>
        <v>3</v>
      </c>
      <c r="P83" s="114">
        <f>IFERROR(IF('FA Addition'!$N83="WDV",1-('FA Addition'!$M83/'FA Addition'!$L83)^(1/'FA Addition'!$O83),1/'FA Addition'!$O83),0)</f>
        <v>0.63159685013596123</v>
      </c>
      <c r="Q83" s="122">
        <f>'FA Addition'!$P83*'FA Addition'!$O83</f>
        <v>1.8947905504078837</v>
      </c>
      <c r="R83" s="122"/>
      <c r="S83" s="116">
        <f>IF(AND(DATE(20&amp;LEFT(FAAddition[[#This Row],[FY]],2),4,1)&lt;$L$1+1,DATE(20&amp;LEFT(FAAddition[[#This Row],[FY]],2),4,1)&gt;$P$1-1),'FA Addition'!$J83,0)</f>
        <v>0</v>
      </c>
      <c r="U83" s="117">
        <f>S83*'FA Addition'!$L83/'FA Addition'!$J83</f>
        <v>0</v>
      </c>
      <c r="W83" s="116">
        <f>SUMIFS('FA Write off'!D:D,'FA Write off'!A:A,'FA Addition'!$A83,'FA Write off'!C:C,"&lt;"&amp;'FA Addition'!$P$1)</f>
        <v>0</v>
      </c>
      <c r="Y83" s="191">
        <f>IFERROR(W83/'FA Addition'!$J83*'FA Addition'!$L83,0)</f>
        <v>0</v>
      </c>
      <c r="AA83" s="116">
        <f>SUMIFS('FA Write off'!D:D,'FA Write off'!A:A,'FA Addition'!$A83,'FA Write off'!C:C,"&lt;"&amp;'FA Addition'!$L$1+1,'FA Write off'!C:C,"&gt;"&amp;'FA Addition'!$L$1-365)</f>
        <v>0</v>
      </c>
      <c r="AC83" s="118">
        <f>IFERROR(AA83/'FA Addition'!$J83*'FA Addition'!$L83,0)</f>
        <v>0</v>
      </c>
      <c r="AE83" s="117">
        <f>IF(AND('FA Addition'!$D83&lt;$P$1+1,U83=0),'FA Addition'!$L83,0)-Y83</f>
        <v>620</v>
      </c>
      <c r="AF83" s="117">
        <f t="shared" si="5"/>
        <v>620</v>
      </c>
      <c r="AG83" s="117">
        <f>MIN(MAX(+$P$1-'FA Addition'!$D83,0),365*'FA Addition'!$O83)</f>
        <v>1095</v>
      </c>
      <c r="AH83" s="117">
        <f>MIN(MAX($L$1-'FA Addition'!$D83+1,0),365*'FA Addition'!$O83)</f>
        <v>1095</v>
      </c>
      <c r="AI83" s="117" cm="1">
        <f t="array" ref="AI83">_xlfn.XLOOKUP(1,('FA Write off'!A:A='FA Addition'!$A83)*('FA Write off'!D:D=AA83),'FA Write off'!H:H,0,0)</f>
        <v>0</v>
      </c>
      <c r="AJ83" s="117">
        <f>IF(AC83&gt;0,MAX(IF('FA Addition'!$N83="SLM",($AC83-'FA Addition'!$M83)*'FA Addition'!$P83*AI83/365,(AC83-'FA Addition'!$M83)*(1-(1-'FA Addition'!$P83)^(AI83/365))),0),0)</f>
        <v>0</v>
      </c>
      <c r="AL83" s="117">
        <f>MAX(IF(AG83&gt;0,IF('FA Addition'!$N83="SLM",($AE83-'FA Addition'!$M83)*'FA Addition'!$P83*AG83/365,IFERROR(VDB(AE83,AE83*0.05,'FA Addition'!$O83,0,YEARFRAC('FA Addition'!$C83,$P$1-1,3),'FA Addition'!$Q83),FAAddition[[#This Row],[Original Cost (Rs)]]-FAAddition[[#This Row],[Salvage Value]])),0),0)</f>
        <v>589</v>
      </c>
      <c r="AM83" s="119"/>
      <c r="AN83" s="117">
        <f>MAX(IF(AH83&gt;0,IF('FA Addition'!$N83="SLM",($AF83-'FA Addition'!$M83)*'FA Addition'!$P83*AH83/365,IFERROR(VDB(AF83,AF83*0.05,'FA Addition'!$O83,0,YEARFRAC('FA Addition'!$C83,$L$1,3),'FA Addition'!$Q83),FAAddition[[#This Row],[Original Cost (Rs)]]-FAAddition[[#This Row],[Salvage Value]])),0),0)</f>
        <v>589</v>
      </c>
      <c r="AO83" s="117">
        <f t="shared" si="8"/>
        <v>0</v>
      </c>
      <c r="AQ83" s="117">
        <f t="shared" si="6"/>
        <v>31</v>
      </c>
      <c r="AR83" s="120">
        <f t="shared" si="7"/>
        <v>31</v>
      </c>
      <c r="AS83" s="121"/>
    </row>
    <row r="84" spans="1:45" ht="13.5" x14ac:dyDescent="0.4">
      <c r="A84" s="12">
        <f t="shared" si="9"/>
        <v>81</v>
      </c>
      <c r="B84" s="44" t="s">
        <v>439</v>
      </c>
      <c r="C84" s="45">
        <v>42324</v>
      </c>
      <c r="D84" s="45">
        <v>42324</v>
      </c>
      <c r="E84" s="46" t="s">
        <v>451</v>
      </c>
      <c r="F84" s="44" t="s">
        <v>452</v>
      </c>
      <c r="G84" s="44" t="s">
        <v>522</v>
      </c>
      <c r="H84" s="44" t="s">
        <v>513</v>
      </c>
      <c r="I84" s="47">
        <v>3390632103880</v>
      </c>
      <c r="J84" s="56">
        <v>1</v>
      </c>
      <c r="K84" s="44" t="s">
        <v>513</v>
      </c>
      <c r="L84" s="52">
        <v>1500</v>
      </c>
      <c r="M84" s="50">
        <f>ROUND('FA Addition'!$L84*5%,0.1)</f>
        <v>75</v>
      </c>
      <c r="N84" s="113" t="str">
        <f>_xlfn.XLOOKUP(_xlfn.CONCAT(E84,B84),'Year Wise Master Dep Approach'!F:F,'Year Wise Master Dep Approach'!D:D)</f>
        <v>WDV</v>
      </c>
      <c r="O84" s="113">
        <f>_xlfn.XLOOKUP(_xlfn.CONCAT(E84,B84),'Year Wise Master Dep Approach'!F:F,'Year Wise Master Dep Approach'!E:E)</f>
        <v>3</v>
      </c>
      <c r="P84" s="114">
        <f>IFERROR(IF('FA Addition'!$N84="WDV",1-('FA Addition'!$M84/'FA Addition'!$L84)^(1/'FA Addition'!$O84),1/'FA Addition'!$O84),0)</f>
        <v>0.63159685013596123</v>
      </c>
      <c r="Q84" s="122">
        <f>'FA Addition'!$P84*'FA Addition'!$O84</f>
        <v>1.8947905504078837</v>
      </c>
      <c r="R84" s="122"/>
      <c r="S84" s="116">
        <f>IF(AND(DATE(20&amp;LEFT(FAAddition[[#This Row],[FY]],2),4,1)&lt;$L$1+1,DATE(20&amp;LEFT(FAAddition[[#This Row],[FY]],2),4,1)&gt;$P$1-1),'FA Addition'!$J84,0)</f>
        <v>0</v>
      </c>
      <c r="U84" s="117">
        <f>S84*'FA Addition'!$L84/'FA Addition'!$J84</f>
        <v>0</v>
      </c>
      <c r="W84" s="116">
        <f>SUMIFS('FA Write off'!D:D,'FA Write off'!A:A,'FA Addition'!$A84,'FA Write off'!C:C,"&lt;"&amp;'FA Addition'!$P$1)</f>
        <v>0</v>
      </c>
      <c r="Y84" s="191">
        <f>IFERROR(W84/'FA Addition'!$J84*'FA Addition'!$L84,0)</f>
        <v>0</v>
      </c>
      <c r="AA84" s="116">
        <f>SUMIFS('FA Write off'!D:D,'FA Write off'!A:A,'FA Addition'!$A84,'FA Write off'!C:C,"&lt;"&amp;'FA Addition'!$L$1+1,'FA Write off'!C:C,"&gt;"&amp;'FA Addition'!$L$1-365)</f>
        <v>0</v>
      </c>
      <c r="AC84" s="118">
        <f>IFERROR(AA84/'FA Addition'!$J84*'FA Addition'!$L84,0)</f>
        <v>0</v>
      </c>
      <c r="AE84" s="117">
        <f>IF(AND('FA Addition'!$D84&lt;$P$1+1,U84=0),'FA Addition'!$L84,0)-Y84</f>
        <v>1500</v>
      </c>
      <c r="AF84" s="117">
        <f t="shared" si="5"/>
        <v>1500</v>
      </c>
      <c r="AG84" s="117">
        <f>MIN(MAX(+$P$1-'FA Addition'!$D84,0),365*'FA Addition'!$O84)</f>
        <v>1095</v>
      </c>
      <c r="AH84" s="117">
        <f>MIN(MAX($L$1-'FA Addition'!$D84+1,0),365*'FA Addition'!$O84)</f>
        <v>1095</v>
      </c>
      <c r="AI84" s="117" cm="1">
        <f t="array" ref="AI84">_xlfn.XLOOKUP(1,('FA Write off'!A:A='FA Addition'!$A84)*('FA Write off'!D:D=AA84),'FA Write off'!H:H,0,0)</f>
        <v>0</v>
      </c>
      <c r="AJ84" s="117">
        <f>IF(AC84&gt;0,MAX(IF('FA Addition'!$N84="SLM",($AC84-'FA Addition'!$M84)*'FA Addition'!$P84*AI84/365,(AC84-'FA Addition'!$M84)*(1-(1-'FA Addition'!$P84)^(AI84/365))),0),0)</f>
        <v>0</v>
      </c>
      <c r="AL84" s="117">
        <f>MAX(IF(AG84&gt;0,IF('FA Addition'!$N84="SLM",($AE84-'FA Addition'!$M84)*'FA Addition'!$P84*AG84/365,IFERROR(VDB(AE84,AE84*0.05,'FA Addition'!$O84,0,YEARFRAC('FA Addition'!$C84,$P$1-1,3),'FA Addition'!$Q84),FAAddition[[#This Row],[Original Cost (Rs)]]-FAAddition[[#This Row],[Salvage Value]])),0),0)</f>
        <v>1425</v>
      </c>
      <c r="AM84" s="119"/>
      <c r="AN84" s="117">
        <f>MAX(IF(AH84&gt;0,IF('FA Addition'!$N84="SLM",($AF84-'FA Addition'!$M84)*'FA Addition'!$P84*AH84/365,IFERROR(VDB(AF84,AF84*0.05,'FA Addition'!$O84,0,YEARFRAC('FA Addition'!$C84,$L$1,3),'FA Addition'!$Q84),FAAddition[[#This Row],[Original Cost (Rs)]]-FAAddition[[#This Row],[Salvage Value]])),0),0)</f>
        <v>1425</v>
      </c>
      <c r="AO84" s="117">
        <f t="shared" si="8"/>
        <v>0</v>
      </c>
      <c r="AQ84" s="117">
        <f t="shared" si="6"/>
        <v>75</v>
      </c>
      <c r="AR84" s="120">
        <f t="shared" si="7"/>
        <v>75</v>
      </c>
      <c r="AS84" s="121"/>
    </row>
    <row r="85" spans="1:45" ht="13.5" x14ac:dyDescent="0.4">
      <c r="A85" s="12">
        <f t="shared" si="9"/>
        <v>82</v>
      </c>
      <c r="B85" s="44" t="s">
        <v>439</v>
      </c>
      <c r="C85" s="45">
        <v>42324</v>
      </c>
      <c r="D85" s="45">
        <v>42324</v>
      </c>
      <c r="E85" s="46" t="s">
        <v>451</v>
      </c>
      <c r="F85" s="44" t="s">
        <v>452</v>
      </c>
      <c r="G85" s="44" t="s">
        <v>522</v>
      </c>
      <c r="H85" s="44" t="s">
        <v>513</v>
      </c>
      <c r="I85" s="47">
        <v>3390632103881</v>
      </c>
      <c r="J85" s="56">
        <v>1</v>
      </c>
      <c r="K85" s="44" t="s">
        <v>513</v>
      </c>
      <c r="L85" s="52">
        <v>1500</v>
      </c>
      <c r="M85" s="50">
        <f>ROUND('FA Addition'!$L85*5%,0.1)</f>
        <v>75</v>
      </c>
      <c r="N85" s="113" t="str">
        <f>_xlfn.XLOOKUP(_xlfn.CONCAT(E85,B85),'Year Wise Master Dep Approach'!F:F,'Year Wise Master Dep Approach'!D:D)</f>
        <v>WDV</v>
      </c>
      <c r="O85" s="113">
        <f>_xlfn.XLOOKUP(_xlfn.CONCAT(E85,B85),'Year Wise Master Dep Approach'!F:F,'Year Wise Master Dep Approach'!E:E)</f>
        <v>3</v>
      </c>
      <c r="P85" s="114">
        <f>IFERROR(IF('FA Addition'!$N85="WDV",1-('FA Addition'!$M85/'FA Addition'!$L85)^(1/'FA Addition'!$O85),1/'FA Addition'!$O85),0)</f>
        <v>0.63159685013596123</v>
      </c>
      <c r="Q85" s="122">
        <f>'FA Addition'!$P85*'FA Addition'!$O85</f>
        <v>1.8947905504078837</v>
      </c>
      <c r="R85" s="122"/>
      <c r="S85" s="116">
        <f>IF(AND(DATE(20&amp;LEFT(FAAddition[[#This Row],[FY]],2),4,1)&lt;$L$1+1,DATE(20&amp;LEFT(FAAddition[[#This Row],[FY]],2),4,1)&gt;$P$1-1),'FA Addition'!$J85,0)</f>
        <v>0</v>
      </c>
      <c r="U85" s="117">
        <f>S85*'FA Addition'!$L85/'FA Addition'!$J85</f>
        <v>0</v>
      </c>
      <c r="W85" s="116">
        <f>SUMIFS('FA Write off'!D:D,'FA Write off'!A:A,'FA Addition'!$A85,'FA Write off'!C:C,"&lt;"&amp;'FA Addition'!$P$1)</f>
        <v>0</v>
      </c>
      <c r="Y85" s="191">
        <f>IFERROR(W85/'FA Addition'!$J85*'FA Addition'!$L85,0)</f>
        <v>0</v>
      </c>
      <c r="AA85" s="116">
        <f>SUMIFS('FA Write off'!D:D,'FA Write off'!A:A,'FA Addition'!$A85,'FA Write off'!C:C,"&lt;"&amp;'FA Addition'!$L$1+1,'FA Write off'!C:C,"&gt;"&amp;'FA Addition'!$L$1-365)</f>
        <v>0</v>
      </c>
      <c r="AC85" s="118">
        <f>IFERROR(AA85/'FA Addition'!$J85*'FA Addition'!$L85,0)</f>
        <v>0</v>
      </c>
      <c r="AE85" s="117">
        <f>IF(AND('FA Addition'!$D85&lt;$P$1+1,U85=0),'FA Addition'!$L85,0)-Y85</f>
        <v>1500</v>
      </c>
      <c r="AF85" s="117">
        <f t="shared" si="5"/>
        <v>1500</v>
      </c>
      <c r="AG85" s="117">
        <f>MIN(MAX(+$P$1-'FA Addition'!$D85,0),365*'FA Addition'!$O85)</f>
        <v>1095</v>
      </c>
      <c r="AH85" s="117">
        <f>MIN(MAX($L$1-'FA Addition'!$D85+1,0),365*'FA Addition'!$O85)</f>
        <v>1095</v>
      </c>
      <c r="AI85" s="117" cm="1">
        <f t="array" ref="AI85">_xlfn.XLOOKUP(1,('FA Write off'!A:A='FA Addition'!$A85)*('FA Write off'!D:D=AA85),'FA Write off'!H:H,0,0)</f>
        <v>0</v>
      </c>
      <c r="AJ85" s="117">
        <f>IF(AC85&gt;0,MAX(IF('FA Addition'!$N85="SLM",($AC85-'FA Addition'!$M85)*'FA Addition'!$P85*AI85/365,(AC85-'FA Addition'!$M85)*(1-(1-'FA Addition'!$P85)^(AI85/365))),0),0)</f>
        <v>0</v>
      </c>
      <c r="AL85" s="117">
        <f>MAX(IF(AG85&gt;0,IF('FA Addition'!$N85="SLM",($AE85-'FA Addition'!$M85)*'FA Addition'!$P85*AG85/365,IFERROR(VDB(AE85,AE85*0.05,'FA Addition'!$O85,0,YEARFRAC('FA Addition'!$C85,$P$1-1,3),'FA Addition'!$Q85),FAAddition[[#This Row],[Original Cost (Rs)]]-FAAddition[[#This Row],[Salvage Value]])),0),0)</f>
        <v>1425</v>
      </c>
      <c r="AM85" s="119"/>
      <c r="AN85" s="117">
        <f>MAX(IF(AH85&gt;0,IF('FA Addition'!$N85="SLM",($AF85-'FA Addition'!$M85)*'FA Addition'!$P85*AH85/365,IFERROR(VDB(AF85,AF85*0.05,'FA Addition'!$O85,0,YEARFRAC('FA Addition'!$C85,$L$1,3),'FA Addition'!$Q85),FAAddition[[#This Row],[Original Cost (Rs)]]-FAAddition[[#This Row],[Salvage Value]])),0),0)</f>
        <v>1425</v>
      </c>
      <c r="AO85" s="117">
        <f t="shared" si="8"/>
        <v>0</v>
      </c>
      <c r="AQ85" s="117">
        <f t="shared" si="6"/>
        <v>75</v>
      </c>
      <c r="AR85" s="120">
        <f t="shared" si="7"/>
        <v>75</v>
      </c>
      <c r="AS85" s="121"/>
    </row>
    <row r="86" spans="1:45" ht="13.5" x14ac:dyDescent="0.4">
      <c r="A86" s="12">
        <f t="shared" si="9"/>
        <v>83</v>
      </c>
      <c r="B86" s="44" t="s">
        <v>439</v>
      </c>
      <c r="C86" s="45">
        <v>42324</v>
      </c>
      <c r="D86" s="45">
        <v>42324</v>
      </c>
      <c r="E86" s="46" t="s">
        <v>451</v>
      </c>
      <c r="F86" s="44" t="s">
        <v>452</v>
      </c>
      <c r="G86" s="44" t="s">
        <v>522</v>
      </c>
      <c r="H86" s="44" t="s">
        <v>513</v>
      </c>
      <c r="I86" s="47">
        <v>3390632103882</v>
      </c>
      <c r="J86" s="56">
        <v>1</v>
      </c>
      <c r="K86" s="44" t="s">
        <v>513</v>
      </c>
      <c r="L86" s="52">
        <v>1500</v>
      </c>
      <c r="M86" s="50">
        <f>ROUND('FA Addition'!$L86*5%,0.1)</f>
        <v>75</v>
      </c>
      <c r="N86" s="113" t="str">
        <f>_xlfn.XLOOKUP(_xlfn.CONCAT(E86,B86),'Year Wise Master Dep Approach'!F:F,'Year Wise Master Dep Approach'!D:D)</f>
        <v>WDV</v>
      </c>
      <c r="O86" s="113">
        <f>_xlfn.XLOOKUP(_xlfn.CONCAT(E86,B86),'Year Wise Master Dep Approach'!F:F,'Year Wise Master Dep Approach'!E:E)</f>
        <v>3</v>
      </c>
      <c r="P86" s="114">
        <f>IFERROR(IF('FA Addition'!$N86="WDV",1-('FA Addition'!$M86/'FA Addition'!$L86)^(1/'FA Addition'!$O86),1/'FA Addition'!$O86),0)</f>
        <v>0.63159685013596123</v>
      </c>
      <c r="Q86" s="122">
        <f>'FA Addition'!$P86*'FA Addition'!$O86</f>
        <v>1.8947905504078837</v>
      </c>
      <c r="R86" s="122"/>
      <c r="S86" s="116">
        <f>IF(AND(DATE(20&amp;LEFT(FAAddition[[#This Row],[FY]],2),4,1)&lt;$L$1+1,DATE(20&amp;LEFT(FAAddition[[#This Row],[FY]],2),4,1)&gt;$P$1-1),'FA Addition'!$J86,0)</f>
        <v>0</v>
      </c>
      <c r="U86" s="117">
        <f>S86*'FA Addition'!$L86/'FA Addition'!$J86</f>
        <v>0</v>
      </c>
      <c r="W86" s="116">
        <f>SUMIFS('FA Write off'!D:D,'FA Write off'!A:A,'FA Addition'!$A86,'FA Write off'!C:C,"&lt;"&amp;'FA Addition'!$P$1)</f>
        <v>0</v>
      </c>
      <c r="Y86" s="191">
        <f>IFERROR(W86/'FA Addition'!$J86*'FA Addition'!$L86,0)</f>
        <v>0</v>
      </c>
      <c r="AA86" s="116">
        <f>SUMIFS('FA Write off'!D:D,'FA Write off'!A:A,'FA Addition'!$A86,'FA Write off'!C:C,"&lt;"&amp;'FA Addition'!$L$1+1,'FA Write off'!C:C,"&gt;"&amp;'FA Addition'!$L$1-365)</f>
        <v>0</v>
      </c>
      <c r="AC86" s="118">
        <f>IFERROR(AA86/'FA Addition'!$J86*'FA Addition'!$L86,0)</f>
        <v>0</v>
      </c>
      <c r="AE86" s="117">
        <f>IF(AND('FA Addition'!$D86&lt;$P$1+1,U86=0),'FA Addition'!$L86,0)-Y86</f>
        <v>1500</v>
      </c>
      <c r="AF86" s="117">
        <f t="shared" si="5"/>
        <v>1500</v>
      </c>
      <c r="AG86" s="117">
        <f>MIN(MAX(+$P$1-'FA Addition'!$D86,0),365*'FA Addition'!$O86)</f>
        <v>1095</v>
      </c>
      <c r="AH86" s="117">
        <f>MIN(MAX($L$1-'FA Addition'!$D86+1,0),365*'FA Addition'!$O86)</f>
        <v>1095</v>
      </c>
      <c r="AI86" s="117" cm="1">
        <f t="array" ref="AI86">_xlfn.XLOOKUP(1,('FA Write off'!A:A='FA Addition'!$A86)*('FA Write off'!D:D=AA86),'FA Write off'!H:H,0,0)</f>
        <v>0</v>
      </c>
      <c r="AJ86" s="117">
        <f>IF(AC86&gt;0,MAX(IF('FA Addition'!$N86="SLM",($AC86-'FA Addition'!$M86)*'FA Addition'!$P86*AI86/365,(AC86-'FA Addition'!$M86)*(1-(1-'FA Addition'!$P86)^(AI86/365))),0),0)</f>
        <v>0</v>
      </c>
      <c r="AL86" s="117">
        <f>MAX(IF(AG86&gt;0,IF('FA Addition'!$N86="SLM",($AE86-'FA Addition'!$M86)*'FA Addition'!$P86*AG86/365,IFERROR(VDB(AE86,AE86*0.05,'FA Addition'!$O86,0,YEARFRAC('FA Addition'!$C86,$P$1-1,3),'FA Addition'!$Q86),FAAddition[[#This Row],[Original Cost (Rs)]]-FAAddition[[#This Row],[Salvage Value]])),0),0)</f>
        <v>1425</v>
      </c>
      <c r="AM86" s="119"/>
      <c r="AN86" s="117">
        <f>MAX(IF(AH86&gt;0,IF('FA Addition'!$N86="SLM",($AF86-'FA Addition'!$M86)*'FA Addition'!$P86*AH86/365,IFERROR(VDB(AF86,AF86*0.05,'FA Addition'!$O86,0,YEARFRAC('FA Addition'!$C86,$L$1,3),'FA Addition'!$Q86),FAAddition[[#This Row],[Original Cost (Rs)]]-FAAddition[[#This Row],[Salvage Value]])),0),0)</f>
        <v>1425</v>
      </c>
      <c r="AO86" s="117">
        <f t="shared" si="8"/>
        <v>0</v>
      </c>
      <c r="AQ86" s="117">
        <f t="shared" si="6"/>
        <v>75</v>
      </c>
      <c r="AR86" s="120">
        <f t="shared" si="7"/>
        <v>75</v>
      </c>
      <c r="AS86" s="121"/>
    </row>
    <row r="87" spans="1:45" ht="13.5" x14ac:dyDescent="0.4">
      <c r="A87" s="12">
        <f t="shared" si="9"/>
        <v>84</v>
      </c>
      <c r="B87" s="44" t="s">
        <v>439</v>
      </c>
      <c r="C87" s="45">
        <v>42324</v>
      </c>
      <c r="D87" s="45">
        <v>42324</v>
      </c>
      <c r="E87" s="46" t="s">
        <v>451</v>
      </c>
      <c r="F87" s="44" t="s">
        <v>452</v>
      </c>
      <c r="G87" s="44" t="s">
        <v>522</v>
      </c>
      <c r="H87" s="44" t="s">
        <v>513</v>
      </c>
      <c r="I87" s="47">
        <v>3390632103883</v>
      </c>
      <c r="J87" s="56">
        <v>1</v>
      </c>
      <c r="K87" s="44" t="s">
        <v>513</v>
      </c>
      <c r="L87" s="52">
        <v>1500</v>
      </c>
      <c r="M87" s="50">
        <f>ROUND('FA Addition'!$L87*5%,0.1)</f>
        <v>75</v>
      </c>
      <c r="N87" s="113" t="str">
        <f>_xlfn.XLOOKUP(_xlfn.CONCAT(E87,B87),'Year Wise Master Dep Approach'!F:F,'Year Wise Master Dep Approach'!D:D)</f>
        <v>WDV</v>
      </c>
      <c r="O87" s="113">
        <f>_xlfn.XLOOKUP(_xlfn.CONCAT(E87,B87),'Year Wise Master Dep Approach'!F:F,'Year Wise Master Dep Approach'!E:E)</f>
        <v>3</v>
      </c>
      <c r="P87" s="114">
        <f>IFERROR(IF('FA Addition'!$N87="WDV",1-('FA Addition'!$M87/'FA Addition'!$L87)^(1/'FA Addition'!$O87),1/'FA Addition'!$O87),0)</f>
        <v>0.63159685013596123</v>
      </c>
      <c r="Q87" s="122">
        <f>'FA Addition'!$P87*'FA Addition'!$O87</f>
        <v>1.8947905504078837</v>
      </c>
      <c r="R87" s="122"/>
      <c r="S87" s="116">
        <f>IF(AND(DATE(20&amp;LEFT(FAAddition[[#This Row],[FY]],2),4,1)&lt;$L$1+1,DATE(20&amp;LEFT(FAAddition[[#This Row],[FY]],2),4,1)&gt;$P$1-1),'FA Addition'!$J87,0)</f>
        <v>0</v>
      </c>
      <c r="U87" s="117">
        <f>S87*'FA Addition'!$L87/'FA Addition'!$J87</f>
        <v>0</v>
      </c>
      <c r="W87" s="116">
        <f>SUMIFS('FA Write off'!D:D,'FA Write off'!A:A,'FA Addition'!$A87,'FA Write off'!C:C,"&lt;"&amp;'FA Addition'!$P$1)</f>
        <v>0</v>
      </c>
      <c r="Y87" s="191">
        <f>IFERROR(W87/'FA Addition'!$J87*'FA Addition'!$L87,0)</f>
        <v>0</v>
      </c>
      <c r="AA87" s="116">
        <f>SUMIFS('FA Write off'!D:D,'FA Write off'!A:A,'FA Addition'!$A87,'FA Write off'!C:C,"&lt;"&amp;'FA Addition'!$L$1+1,'FA Write off'!C:C,"&gt;"&amp;'FA Addition'!$L$1-365)</f>
        <v>0</v>
      </c>
      <c r="AC87" s="118">
        <f>IFERROR(AA87/'FA Addition'!$J87*'FA Addition'!$L87,0)</f>
        <v>0</v>
      </c>
      <c r="AE87" s="117">
        <f>IF(AND('FA Addition'!$D87&lt;$P$1+1,U87=0),'FA Addition'!$L87,0)-Y87</f>
        <v>1500</v>
      </c>
      <c r="AF87" s="117">
        <f t="shared" si="5"/>
        <v>1500</v>
      </c>
      <c r="AG87" s="117">
        <f>MIN(MAX(+$P$1-'FA Addition'!$D87,0),365*'FA Addition'!$O87)</f>
        <v>1095</v>
      </c>
      <c r="AH87" s="117">
        <f>MIN(MAX($L$1-'FA Addition'!$D87+1,0),365*'FA Addition'!$O87)</f>
        <v>1095</v>
      </c>
      <c r="AI87" s="117" cm="1">
        <f t="array" ref="AI87">_xlfn.XLOOKUP(1,('FA Write off'!A:A='FA Addition'!$A87)*('FA Write off'!D:D=AA87),'FA Write off'!H:H,0,0)</f>
        <v>0</v>
      </c>
      <c r="AJ87" s="117">
        <f>IF(AC87&gt;0,MAX(IF('FA Addition'!$N87="SLM",($AC87-'FA Addition'!$M87)*'FA Addition'!$P87*AI87/365,(AC87-'FA Addition'!$M87)*(1-(1-'FA Addition'!$P87)^(AI87/365))),0),0)</f>
        <v>0</v>
      </c>
      <c r="AL87" s="117">
        <f>MAX(IF(AG87&gt;0,IF('FA Addition'!$N87="SLM",($AE87-'FA Addition'!$M87)*'FA Addition'!$P87*AG87/365,IFERROR(VDB(AE87,AE87*0.05,'FA Addition'!$O87,0,YEARFRAC('FA Addition'!$C87,$P$1-1,3),'FA Addition'!$Q87),FAAddition[[#This Row],[Original Cost (Rs)]]-FAAddition[[#This Row],[Salvage Value]])),0),0)</f>
        <v>1425</v>
      </c>
      <c r="AM87" s="119"/>
      <c r="AN87" s="117">
        <f>MAX(IF(AH87&gt;0,IF('FA Addition'!$N87="SLM",($AF87-'FA Addition'!$M87)*'FA Addition'!$P87*AH87/365,IFERROR(VDB(AF87,AF87*0.05,'FA Addition'!$O87,0,YEARFRAC('FA Addition'!$C87,$L$1,3),'FA Addition'!$Q87),FAAddition[[#This Row],[Original Cost (Rs)]]-FAAddition[[#This Row],[Salvage Value]])),0),0)</f>
        <v>1425</v>
      </c>
      <c r="AO87" s="117">
        <f t="shared" si="8"/>
        <v>0</v>
      </c>
      <c r="AQ87" s="117">
        <f t="shared" si="6"/>
        <v>75</v>
      </c>
      <c r="AR87" s="120">
        <f t="shared" si="7"/>
        <v>75</v>
      </c>
      <c r="AS87" s="121"/>
    </row>
    <row r="88" spans="1:45" ht="13.5" x14ac:dyDescent="0.4">
      <c r="A88" s="12">
        <f t="shared" si="9"/>
        <v>85</v>
      </c>
      <c r="B88" s="44" t="s">
        <v>439</v>
      </c>
      <c r="C88" s="45">
        <v>42334</v>
      </c>
      <c r="D88" s="45">
        <v>42334</v>
      </c>
      <c r="E88" s="46" t="s">
        <v>523</v>
      </c>
      <c r="F88" s="44" t="s">
        <v>524</v>
      </c>
      <c r="G88" s="44" t="s">
        <v>435</v>
      </c>
      <c r="H88" s="44"/>
      <c r="I88" s="47" t="s">
        <v>525</v>
      </c>
      <c r="J88" s="56">
        <v>1</v>
      </c>
      <c r="K88" s="44"/>
      <c r="L88" s="52">
        <v>3999</v>
      </c>
      <c r="M88" s="50">
        <f>ROUND('FA Addition'!$L88*5%,0.1)</f>
        <v>200</v>
      </c>
      <c r="N88" s="113" t="str">
        <f>_xlfn.XLOOKUP(_xlfn.CONCAT(E88,B88),'Year Wise Master Dep Approach'!F:F,'Year Wise Master Dep Approach'!D:D)</f>
        <v>WDV</v>
      </c>
      <c r="O88" s="113">
        <f>_xlfn.XLOOKUP(_xlfn.CONCAT(E88,B88),'Year Wise Master Dep Approach'!F:F,'Year Wise Master Dep Approach'!E:E)</f>
        <v>10</v>
      </c>
      <c r="P88" s="114">
        <f>IFERROR(IF('FA Addition'!$N88="WDV",1-('FA Addition'!$M88/'FA Addition'!$L88)^(1/'FA Addition'!$O88),1/'FA Addition'!$O88),0)</f>
        <v>0.25884701998372894</v>
      </c>
      <c r="Q88" s="122">
        <f>'FA Addition'!$P88*'FA Addition'!$O88</f>
        <v>2.5884701998372894</v>
      </c>
      <c r="R88" s="122"/>
      <c r="S88" s="116">
        <f>IF(AND(DATE(20&amp;LEFT(FAAddition[[#This Row],[FY]],2),4,1)&lt;$L$1+1,DATE(20&amp;LEFT(FAAddition[[#This Row],[FY]],2),4,1)&gt;$P$1-1),'FA Addition'!$J88,0)</f>
        <v>0</v>
      </c>
      <c r="U88" s="117">
        <f>S88*'FA Addition'!$L88/'FA Addition'!$J88</f>
        <v>0</v>
      </c>
      <c r="W88" s="116">
        <f>SUMIFS('FA Write off'!D:D,'FA Write off'!A:A,'FA Addition'!$A88,'FA Write off'!C:C,"&lt;"&amp;'FA Addition'!$P$1)</f>
        <v>0</v>
      </c>
      <c r="Y88" s="191">
        <f>IFERROR(W88/'FA Addition'!$J88*'FA Addition'!$L88,0)</f>
        <v>0</v>
      </c>
      <c r="AA88" s="116">
        <f>SUMIFS('FA Write off'!D:D,'FA Write off'!A:A,'FA Addition'!$A88,'FA Write off'!C:C,"&lt;"&amp;'FA Addition'!$L$1+1,'FA Write off'!C:C,"&gt;"&amp;'FA Addition'!$L$1-365)</f>
        <v>0</v>
      </c>
      <c r="AC88" s="118">
        <f>IFERROR(AA88/'FA Addition'!$J88*'FA Addition'!$L88,0)</f>
        <v>0</v>
      </c>
      <c r="AE88" s="117">
        <f>IF(AND('FA Addition'!$D88&lt;$P$1+1,U88=0),'FA Addition'!$L88,0)-Y88</f>
        <v>3999</v>
      </c>
      <c r="AF88" s="117">
        <f t="shared" si="5"/>
        <v>3999</v>
      </c>
      <c r="AG88" s="117">
        <f>MIN(MAX(+$P$1-'FA Addition'!$D88,0),365*'FA Addition'!$O88)</f>
        <v>2683</v>
      </c>
      <c r="AH88" s="117">
        <f>MIN(MAX($L$1-'FA Addition'!$D88+1,0),365*'FA Addition'!$O88)</f>
        <v>3049</v>
      </c>
      <c r="AI88" s="117" cm="1">
        <f t="array" ref="AI88">_xlfn.XLOOKUP(1,('FA Write off'!A:A='FA Addition'!$A88)*('FA Write off'!D:D=AA88),'FA Write off'!H:H,0,0)</f>
        <v>0</v>
      </c>
      <c r="AJ88" s="117">
        <f>IF(AC88&gt;0,MAX(IF('FA Addition'!$N88="SLM",($AC88-'FA Addition'!$M88)*'FA Addition'!$P88*AI88/365,(AC88-'FA Addition'!$M88)*(1-(1-'FA Addition'!$P88)^(AI88/365))),0),0)</f>
        <v>0</v>
      </c>
      <c r="AL88" s="117">
        <f>MAX(IF(AG88&gt;0,IF('FA Addition'!$N88="SLM",($AE88-'FA Addition'!$M88)*'FA Addition'!$P88*AG88/365,IFERROR(VDB(AE88,AE88*0.05,'FA Addition'!$O88,0,YEARFRAC('FA Addition'!$C88,$P$1-1,3),'FA Addition'!$Q88),FAAddition[[#This Row],[Original Cost (Rs)]]-FAAddition[[#This Row],[Salvage Value]])),0),0)</f>
        <v>3551.990257041778</v>
      </c>
      <c r="AM88" s="119"/>
      <c r="AN88" s="117">
        <f>MAX(IF(AH88&gt;0,IF('FA Addition'!$N88="SLM",($AF88-'FA Addition'!$M88)*'FA Addition'!$P88*AH88/365,IFERROR(VDB(AF88,AF88*0.05,'FA Addition'!$O88,0,YEARFRAC('FA Addition'!$C88,$L$1,3),'FA Addition'!$Q88),FAAddition[[#This Row],[Original Cost (Rs)]]-FAAddition[[#This Row],[Salvage Value]])),0),0)</f>
        <v>3667.9556018712501</v>
      </c>
      <c r="AO88" s="117">
        <f t="shared" si="8"/>
        <v>115.96534482947209</v>
      </c>
      <c r="AQ88" s="117">
        <f t="shared" si="6"/>
        <v>447.00974295822198</v>
      </c>
      <c r="AR88" s="120">
        <f t="shared" si="7"/>
        <v>331.04439812874989</v>
      </c>
      <c r="AS88" s="121"/>
    </row>
    <row r="89" spans="1:45" ht="13.5" x14ac:dyDescent="0.4">
      <c r="A89" s="12">
        <f t="shared" si="9"/>
        <v>86</v>
      </c>
      <c r="B89" s="44" t="s">
        <v>439</v>
      </c>
      <c r="C89" s="45">
        <v>42361</v>
      </c>
      <c r="D89" s="45">
        <v>42361</v>
      </c>
      <c r="E89" s="46" t="s">
        <v>445</v>
      </c>
      <c r="F89" s="44" t="s">
        <v>147</v>
      </c>
      <c r="G89" s="44" t="s">
        <v>483</v>
      </c>
      <c r="H89" s="44"/>
      <c r="I89" s="47" t="s">
        <v>526</v>
      </c>
      <c r="J89" s="56">
        <v>1</v>
      </c>
      <c r="K89" s="44"/>
      <c r="L89" s="52">
        <v>16999</v>
      </c>
      <c r="M89" s="50">
        <f>ROUND('FA Addition'!$L89*5%,0.1)</f>
        <v>850</v>
      </c>
      <c r="N89" s="113" t="str">
        <f>_xlfn.XLOOKUP(_xlfn.CONCAT(E89,B89),'Year Wise Master Dep Approach'!F:F,'Year Wise Master Dep Approach'!D:D)</f>
        <v>WDV</v>
      </c>
      <c r="O89" s="113">
        <f>_xlfn.XLOOKUP(_xlfn.CONCAT(E89,B89),'Year Wise Master Dep Approach'!F:F,'Year Wise Master Dep Approach'!E:E)</f>
        <v>5</v>
      </c>
      <c r="P89" s="114">
        <f>IFERROR(IF('FA Addition'!$N89="WDV",1-('FA Addition'!$M89/'FA Addition'!$L89)^(1/'FA Addition'!$O89),1/'FA Addition'!$O89),0)</f>
        <v>0.45071326599801342</v>
      </c>
      <c r="Q89" s="122">
        <f>'FA Addition'!$P89*'FA Addition'!$O89</f>
        <v>2.253566329990067</v>
      </c>
      <c r="R89" s="122"/>
      <c r="S89" s="116">
        <f>IF(AND(DATE(20&amp;LEFT(FAAddition[[#This Row],[FY]],2),4,1)&lt;$L$1+1,DATE(20&amp;LEFT(FAAddition[[#This Row],[FY]],2),4,1)&gt;$P$1-1),'FA Addition'!$J89,0)</f>
        <v>0</v>
      </c>
      <c r="U89" s="117">
        <f>S89*'FA Addition'!$L89/'FA Addition'!$J89</f>
        <v>0</v>
      </c>
      <c r="W89" s="116">
        <f>SUMIFS('FA Write off'!D:D,'FA Write off'!A:A,'FA Addition'!$A89,'FA Write off'!C:C,"&lt;"&amp;'FA Addition'!$P$1)</f>
        <v>0</v>
      </c>
      <c r="Y89" s="191">
        <f>IFERROR(W89/'FA Addition'!$J89*'FA Addition'!$L89,0)</f>
        <v>0</v>
      </c>
      <c r="AA89" s="116">
        <f>SUMIFS('FA Write off'!D:D,'FA Write off'!A:A,'FA Addition'!$A89,'FA Write off'!C:C,"&lt;"&amp;'FA Addition'!$L$1+1,'FA Write off'!C:C,"&gt;"&amp;'FA Addition'!$L$1-365)</f>
        <v>0</v>
      </c>
      <c r="AC89" s="118">
        <f>IFERROR(AA89/'FA Addition'!$J89*'FA Addition'!$L89,0)</f>
        <v>0</v>
      </c>
      <c r="AE89" s="117">
        <f>IF(AND('FA Addition'!$D89&lt;$P$1+1,U89=0),'FA Addition'!$L89,0)-Y89</f>
        <v>16999</v>
      </c>
      <c r="AF89" s="117">
        <f t="shared" si="5"/>
        <v>16999</v>
      </c>
      <c r="AG89" s="117">
        <f>MIN(MAX(+$P$1-'FA Addition'!$D89,0),365*'FA Addition'!$O89)</f>
        <v>1825</v>
      </c>
      <c r="AH89" s="117">
        <f>MIN(MAX($L$1-'FA Addition'!$D89+1,0),365*'FA Addition'!$O89)</f>
        <v>1825</v>
      </c>
      <c r="AI89" s="117" cm="1">
        <f t="array" ref="AI89">_xlfn.XLOOKUP(1,('FA Write off'!A:A='FA Addition'!$A89)*('FA Write off'!D:D=AA89),'FA Write off'!H:H,0,0)</f>
        <v>0</v>
      </c>
      <c r="AJ89" s="117">
        <f>IF(AC89&gt;0,MAX(IF('FA Addition'!$N89="SLM",($AC89-'FA Addition'!$M89)*'FA Addition'!$P89*AI89/365,(AC89-'FA Addition'!$M89)*(1-(1-'FA Addition'!$P89)^(AI89/365))),0),0)</f>
        <v>0</v>
      </c>
      <c r="AL89" s="117">
        <f>MAX(IF(AG89&gt;0,IF('FA Addition'!$N89="SLM",($AE89-'FA Addition'!$M89)*'FA Addition'!$P89*AG89/365,IFERROR(VDB(AE89,AE89*0.05,'FA Addition'!$O89,0,YEARFRAC('FA Addition'!$C89,$P$1-1,3),'FA Addition'!$Q89),FAAddition[[#This Row],[Original Cost (Rs)]]-FAAddition[[#This Row],[Salvage Value]])),0),0)</f>
        <v>16149</v>
      </c>
      <c r="AM89" s="119"/>
      <c r="AN89" s="117">
        <f>MAX(IF(AH89&gt;0,IF('FA Addition'!$N89="SLM",($AF89-'FA Addition'!$M89)*'FA Addition'!$P89*AH89/365,IFERROR(VDB(AF89,AF89*0.05,'FA Addition'!$O89,0,YEARFRAC('FA Addition'!$C89,$L$1,3),'FA Addition'!$Q89),FAAddition[[#This Row],[Original Cost (Rs)]]-FAAddition[[#This Row],[Salvage Value]])),0),0)</f>
        <v>16149</v>
      </c>
      <c r="AO89" s="117">
        <f t="shared" si="8"/>
        <v>0</v>
      </c>
      <c r="AQ89" s="117">
        <f t="shared" si="6"/>
        <v>850</v>
      </c>
      <c r="AR89" s="120">
        <f t="shared" si="7"/>
        <v>850</v>
      </c>
      <c r="AS89" s="121"/>
    </row>
    <row r="90" spans="1:45" ht="13.5" x14ac:dyDescent="0.4">
      <c r="A90" s="12">
        <f t="shared" si="9"/>
        <v>87</v>
      </c>
      <c r="B90" s="44" t="s">
        <v>439</v>
      </c>
      <c r="C90" s="45">
        <v>42368</v>
      </c>
      <c r="D90" s="45">
        <v>42368</v>
      </c>
      <c r="E90" s="46" t="s">
        <v>32</v>
      </c>
      <c r="F90" s="44" t="s">
        <v>32</v>
      </c>
      <c r="G90" s="44" t="s">
        <v>527</v>
      </c>
      <c r="H90" s="44" t="s">
        <v>32</v>
      </c>
      <c r="I90" s="47" t="s">
        <v>528</v>
      </c>
      <c r="J90" s="56">
        <v>1</v>
      </c>
      <c r="K90" s="44"/>
      <c r="L90" s="52">
        <v>87150</v>
      </c>
      <c r="M90" s="50">
        <f>ROUND('FA Addition'!$L90*5%,0.1)</f>
        <v>4358</v>
      </c>
      <c r="N90" s="113" t="str">
        <f>_xlfn.XLOOKUP(_xlfn.CONCAT(E90,B90),'Year Wise Master Dep Approach'!F:F,'Year Wise Master Dep Approach'!D:D)</f>
        <v>WDV</v>
      </c>
      <c r="O90" s="113">
        <f>_xlfn.XLOOKUP(_xlfn.CONCAT(E90,B90),'Year Wise Master Dep Approach'!F:F,'Year Wise Master Dep Approach'!E:E)</f>
        <v>3</v>
      </c>
      <c r="P90" s="114">
        <f>IFERROR(IF('FA Addition'!$N90="WDV",1-('FA Addition'!$M90/'FA Addition'!$L90)^(1/'FA Addition'!$O90),1/'FA Addition'!$O90),0)</f>
        <v>0.6315827599060897</v>
      </c>
      <c r="Q90" s="122">
        <f>'FA Addition'!$P90*'FA Addition'!$O90</f>
        <v>1.8947482797182691</v>
      </c>
      <c r="R90" s="122"/>
      <c r="S90" s="116">
        <f>IF(AND(DATE(20&amp;LEFT(FAAddition[[#This Row],[FY]],2),4,1)&lt;$L$1+1,DATE(20&amp;LEFT(FAAddition[[#This Row],[FY]],2),4,1)&gt;$P$1-1),'FA Addition'!$J90,0)</f>
        <v>0</v>
      </c>
      <c r="U90" s="117">
        <f>S90*'FA Addition'!$L90/'FA Addition'!$J90</f>
        <v>0</v>
      </c>
      <c r="W90" s="116">
        <f>SUMIFS('FA Write off'!D:D,'FA Write off'!A:A,'FA Addition'!$A90,'FA Write off'!C:C,"&lt;"&amp;'FA Addition'!$P$1)</f>
        <v>0</v>
      </c>
      <c r="Y90" s="191">
        <f>IFERROR(W90/'FA Addition'!$J90*'FA Addition'!$L90,0)</f>
        <v>0</v>
      </c>
      <c r="AA90" s="116">
        <f>SUMIFS('FA Write off'!D:D,'FA Write off'!A:A,'FA Addition'!$A90,'FA Write off'!C:C,"&lt;"&amp;'FA Addition'!$L$1+1,'FA Write off'!C:C,"&gt;"&amp;'FA Addition'!$L$1-365)</f>
        <v>0</v>
      </c>
      <c r="AC90" s="118">
        <f>IFERROR(AA90/'FA Addition'!$J90*'FA Addition'!$L90,0)</f>
        <v>0</v>
      </c>
      <c r="AE90" s="117">
        <f>IF(AND('FA Addition'!$D90&lt;$P$1+1,U90=0),'FA Addition'!$L90,0)-Y90</f>
        <v>87150</v>
      </c>
      <c r="AF90" s="117">
        <f t="shared" si="5"/>
        <v>87150</v>
      </c>
      <c r="AG90" s="117">
        <f>MIN(MAX(+$P$1-'FA Addition'!$D90,0),365*'FA Addition'!$O90)</f>
        <v>1095</v>
      </c>
      <c r="AH90" s="117">
        <f>MIN(MAX($L$1-'FA Addition'!$D90+1,0),365*'FA Addition'!$O90)</f>
        <v>1095</v>
      </c>
      <c r="AI90" s="117" cm="1">
        <f t="array" ref="AI90">_xlfn.XLOOKUP(1,('FA Write off'!A:A='FA Addition'!$A90)*('FA Write off'!D:D=AA90),'FA Write off'!H:H,0,0)</f>
        <v>0</v>
      </c>
      <c r="AJ90" s="117">
        <f>IF(AC90&gt;0,MAX(IF('FA Addition'!$N90="SLM",($AC90-'FA Addition'!$M90)*'FA Addition'!$P90*AI90/365,(AC90-'FA Addition'!$M90)*(1-(1-'FA Addition'!$P90)^(AI90/365))),0),0)</f>
        <v>0</v>
      </c>
      <c r="AL90" s="117">
        <f>MAX(IF(AG90&gt;0,IF('FA Addition'!$N90="SLM",($AE90-'FA Addition'!$M90)*'FA Addition'!$P90*AG90/365,IFERROR(VDB(AE90,AE90*0.05,'FA Addition'!$O90,0,YEARFRAC('FA Addition'!$C90,$P$1-1,3),'FA Addition'!$Q90),FAAddition[[#This Row],[Original Cost (Rs)]]-FAAddition[[#This Row],[Salvage Value]])),0),0)</f>
        <v>82792</v>
      </c>
      <c r="AM90" s="119"/>
      <c r="AN90" s="117">
        <f>MAX(IF(AH90&gt;0,IF('FA Addition'!$N90="SLM",($AF90-'FA Addition'!$M90)*'FA Addition'!$P90*AH90/365,IFERROR(VDB(AF90,AF90*0.05,'FA Addition'!$O90,0,YEARFRAC('FA Addition'!$C90,$L$1,3),'FA Addition'!$Q90),FAAddition[[#This Row],[Original Cost (Rs)]]-FAAddition[[#This Row],[Salvage Value]])),0),0)</f>
        <v>82792</v>
      </c>
      <c r="AO90" s="117">
        <f t="shared" si="8"/>
        <v>0</v>
      </c>
      <c r="AQ90" s="117">
        <f t="shared" si="6"/>
        <v>4358</v>
      </c>
      <c r="AR90" s="120">
        <f t="shared" si="7"/>
        <v>4358</v>
      </c>
      <c r="AS90" s="121"/>
    </row>
    <row r="91" spans="1:45" ht="13.5" x14ac:dyDescent="0.4">
      <c r="A91" s="12">
        <f t="shared" si="9"/>
        <v>88</v>
      </c>
      <c r="B91" s="44" t="s">
        <v>439</v>
      </c>
      <c r="C91" s="45">
        <v>42368</v>
      </c>
      <c r="D91" s="45">
        <v>42368</v>
      </c>
      <c r="E91" s="46" t="s">
        <v>32</v>
      </c>
      <c r="F91" s="44" t="s">
        <v>32</v>
      </c>
      <c r="G91" s="44" t="s">
        <v>435</v>
      </c>
      <c r="H91" s="44" t="s">
        <v>32</v>
      </c>
      <c r="I91" s="47" t="s">
        <v>529</v>
      </c>
      <c r="J91" s="56">
        <v>1</v>
      </c>
      <c r="K91" s="44"/>
      <c r="L91" s="52">
        <v>1214</v>
      </c>
      <c r="M91" s="50">
        <f>ROUND('FA Addition'!$L91*5%,0.1)</f>
        <v>61</v>
      </c>
      <c r="N91" s="113" t="str">
        <f>_xlfn.XLOOKUP(_xlfn.CONCAT(E91,B91),'Year Wise Master Dep Approach'!F:F,'Year Wise Master Dep Approach'!D:D)</f>
        <v>WDV</v>
      </c>
      <c r="O91" s="113">
        <f>_xlfn.XLOOKUP(_xlfn.CONCAT(E91,B91),'Year Wise Master Dep Approach'!F:F,'Year Wise Master Dep Approach'!E:E)</f>
        <v>3</v>
      </c>
      <c r="P91" s="114">
        <f>IFERROR(IF('FA Addition'!$N91="WDV",1-('FA Addition'!$M91/'FA Addition'!$L91)^(1/'FA Addition'!$O91),1/'FA Addition'!$O91),0)</f>
        <v>0.63099092281077529</v>
      </c>
      <c r="Q91" s="122">
        <f>'FA Addition'!$P91*'FA Addition'!$O91</f>
        <v>1.8929727684323259</v>
      </c>
      <c r="R91" s="122"/>
      <c r="S91" s="116">
        <f>IF(AND(DATE(20&amp;LEFT(FAAddition[[#This Row],[FY]],2),4,1)&lt;$L$1+1,DATE(20&amp;LEFT(FAAddition[[#This Row],[FY]],2),4,1)&gt;$P$1-1),'FA Addition'!$J91,0)</f>
        <v>0</v>
      </c>
      <c r="U91" s="117">
        <f>S91*'FA Addition'!$L91/'FA Addition'!$J91</f>
        <v>0</v>
      </c>
      <c r="W91" s="116">
        <f>SUMIFS('FA Write off'!D:D,'FA Write off'!A:A,'FA Addition'!$A91,'FA Write off'!C:C,"&lt;"&amp;'FA Addition'!$P$1)</f>
        <v>0</v>
      </c>
      <c r="Y91" s="191">
        <f>IFERROR(W91/'FA Addition'!$J91*'FA Addition'!$L91,0)</f>
        <v>0</v>
      </c>
      <c r="AA91" s="116">
        <f>SUMIFS('FA Write off'!D:D,'FA Write off'!A:A,'FA Addition'!$A91,'FA Write off'!C:C,"&lt;"&amp;'FA Addition'!$L$1+1,'FA Write off'!C:C,"&gt;"&amp;'FA Addition'!$L$1-365)</f>
        <v>0</v>
      </c>
      <c r="AC91" s="118">
        <f>IFERROR(AA91/'FA Addition'!$J91*'FA Addition'!$L91,0)</f>
        <v>0</v>
      </c>
      <c r="AE91" s="117">
        <f>IF(AND('FA Addition'!$D91&lt;$P$1+1,U91=0),'FA Addition'!$L91,0)-Y91</f>
        <v>1214</v>
      </c>
      <c r="AF91" s="117">
        <f t="shared" si="5"/>
        <v>1214</v>
      </c>
      <c r="AG91" s="117">
        <f>MIN(MAX(+$P$1-'FA Addition'!$D91,0),365*'FA Addition'!$O91)</f>
        <v>1095</v>
      </c>
      <c r="AH91" s="117">
        <f>MIN(MAX($L$1-'FA Addition'!$D91+1,0),365*'FA Addition'!$O91)</f>
        <v>1095</v>
      </c>
      <c r="AI91" s="117" cm="1">
        <f t="array" ref="AI91">_xlfn.XLOOKUP(1,('FA Write off'!A:A='FA Addition'!$A91)*('FA Write off'!D:D=AA91),'FA Write off'!H:H,0,0)</f>
        <v>0</v>
      </c>
      <c r="AJ91" s="117">
        <f>IF(AC91&gt;0,MAX(IF('FA Addition'!$N91="SLM",($AC91-'FA Addition'!$M91)*'FA Addition'!$P91*AI91/365,(AC91-'FA Addition'!$M91)*(1-(1-'FA Addition'!$P91)^(AI91/365))),0),0)</f>
        <v>0</v>
      </c>
      <c r="AL91" s="117">
        <f>MAX(IF(AG91&gt;0,IF('FA Addition'!$N91="SLM",($AE91-'FA Addition'!$M91)*'FA Addition'!$P91*AG91/365,IFERROR(VDB(AE91,AE91*0.05,'FA Addition'!$O91,0,YEARFRAC('FA Addition'!$C91,$P$1-1,3),'FA Addition'!$Q91),FAAddition[[#This Row],[Original Cost (Rs)]]-FAAddition[[#This Row],[Salvage Value]])),0),0)</f>
        <v>1153</v>
      </c>
      <c r="AM91" s="119"/>
      <c r="AN91" s="117">
        <f>MAX(IF(AH91&gt;0,IF('FA Addition'!$N91="SLM",($AF91-'FA Addition'!$M91)*'FA Addition'!$P91*AH91/365,IFERROR(VDB(AF91,AF91*0.05,'FA Addition'!$O91,0,YEARFRAC('FA Addition'!$C91,$L$1,3),'FA Addition'!$Q91),FAAddition[[#This Row],[Original Cost (Rs)]]-FAAddition[[#This Row],[Salvage Value]])),0),0)</f>
        <v>1153</v>
      </c>
      <c r="AO91" s="117">
        <f t="shared" si="8"/>
        <v>0</v>
      </c>
      <c r="AQ91" s="117">
        <f t="shared" si="6"/>
        <v>61</v>
      </c>
      <c r="AR91" s="120">
        <f t="shared" si="7"/>
        <v>61</v>
      </c>
      <c r="AS91" s="121"/>
    </row>
    <row r="92" spans="1:45" ht="13.5" x14ac:dyDescent="0.4">
      <c r="A92" s="12">
        <f t="shared" si="9"/>
        <v>89</v>
      </c>
      <c r="B92" s="44" t="s">
        <v>439</v>
      </c>
      <c r="C92" s="45">
        <v>42368</v>
      </c>
      <c r="D92" s="45">
        <v>42368</v>
      </c>
      <c r="E92" s="46" t="s">
        <v>32</v>
      </c>
      <c r="F92" s="44" t="s">
        <v>32</v>
      </c>
      <c r="G92" s="44" t="s">
        <v>435</v>
      </c>
      <c r="H92" s="44" t="s">
        <v>32</v>
      </c>
      <c r="I92" s="47" t="s">
        <v>530</v>
      </c>
      <c r="J92" s="56">
        <v>1</v>
      </c>
      <c r="K92" s="44"/>
      <c r="L92" s="52">
        <v>1598</v>
      </c>
      <c r="M92" s="50">
        <f>ROUND('FA Addition'!$L92*5%,0.1)</f>
        <v>80</v>
      </c>
      <c r="N92" s="113" t="str">
        <f>_xlfn.XLOOKUP(_xlfn.CONCAT(E92,B92),'Year Wise Master Dep Approach'!F:F,'Year Wise Master Dep Approach'!D:D)</f>
        <v>WDV</v>
      </c>
      <c r="O92" s="113">
        <f>_xlfn.XLOOKUP(_xlfn.CONCAT(E92,B92),'Year Wise Master Dep Approach'!F:F,'Year Wise Master Dep Approach'!E:E)</f>
        <v>3</v>
      </c>
      <c r="P92" s="114">
        <f>IFERROR(IF('FA Addition'!$N92="WDV",1-('FA Addition'!$M92/'FA Addition'!$L92)^(1/'FA Addition'!$O92),1/'FA Addition'!$O92),0)</f>
        <v>0.63144322078126347</v>
      </c>
      <c r="Q92" s="122">
        <f>'FA Addition'!$P92*'FA Addition'!$O92</f>
        <v>1.8943296623437904</v>
      </c>
      <c r="R92" s="122"/>
      <c r="S92" s="116">
        <f>IF(AND(DATE(20&amp;LEFT(FAAddition[[#This Row],[FY]],2),4,1)&lt;$L$1+1,DATE(20&amp;LEFT(FAAddition[[#This Row],[FY]],2),4,1)&gt;$P$1-1),'FA Addition'!$J92,0)</f>
        <v>0</v>
      </c>
      <c r="U92" s="117">
        <f>S92*'FA Addition'!$L92/'FA Addition'!$J92</f>
        <v>0</v>
      </c>
      <c r="W92" s="116">
        <f>SUMIFS('FA Write off'!D:D,'FA Write off'!A:A,'FA Addition'!$A92,'FA Write off'!C:C,"&lt;"&amp;'FA Addition'!$P$1)</f>
        <v>0</v>
      </c>
      <c r="Y92" s="191">
        <f>IFERROR(W92/'FA Addition'!$J92*'FA Addition'!$L92,0)</f>
        <v>0</v>
      </c>
      <c r="AA92" s="116">
        <f>SUMIFS('FA Write off'!D:D,'FA Write off'!A:A,'FA Addition'!$A92,'FA Write off'!C:C,"&lt;"&amp;'FA Addition'!$L$1+1,'FA Write off'!C:C,"&gt;"&amp;'FA Addition'!$L$1-365)</f>
        <v>0</v>
      </c>
      <c r="AC92" s="118">
        <f>IFERROR(AA92/'FA Addition'!$J92*'FA Addition'!$L92,0)</f>
        <v>0</v>
      </c>
      <c r="AE92" s="117">
        <f>IF(AND('FA Addition'!$D92&lt;$P$1+1,U92=0),'FA Addition'!$L92,0)-Y92</f>
        <v>1598</v>
      </c>
      <c r="AF92" s="117">
        <f t="shared" si="5"/>
        <v>1598</v>
      </c>
      <c r="AG92" s="117">
        <f>MIN(MAX(+$P$1-'FA Addition'!$D92,0),365*'FA Addition'!$O92)</f>
        <v>1095</v>
      </c>
      <c r="AH92" s="117">
        <f>MIN(MAX($L$1-'FA Addition'!$D92+1,0),365*'FA Addition'!$O92)</f>
        <v>1095</v>
      </c>
      <c r="AI92" s="117" cm="1">
        <f t="array" ref="AI92">_xlfn.XLOOKUP(1,('FA Write off'!A:A='FA Addition'!$A92)*('FA Write off'!D:D=AA92),'FA Write off'!H:H,0,0)</f>
        <v>0</v>
      </c>
      <c r="AJ92" s="117">
        <f>IF(AC92&gt;0,MAX(IF('FA Addition'!$N92="SLM",($AC92-'FA Addition'!$M92)*'FA Addition'!$P92*AI92/365,(AC92-'FA Addition'!$M92)*(1-(1-'FA Addition'!$P92)^(AI92/365))),0),0)</f>
        <v>0</v>
      </c>
      <c r="AL92" s="117">
        <f>MAX(IF(AG92&gt;0,IF('FA Addition'!$N92="SLM",($AE92-'FA Addition'!$M92)*'FA Addition'!$P92*AG92/365,IFERROR(VDB(AE92,AE92*0.05,'FA Addition'!$O92,0,YEARFRAC('FA Addition'!$C92,$P$1-1,3),'FA Addition'!$Q92),FAAddition[[#This Row],[Original Cost (Rs)]]-FAAddition[[#This Row],[Salvage Value]])),0),0)</f>
        <v>1518</v>
      </c>
      <c r="AM92" s="119"/>
      <c r="AN92" s="117">
        <f>MAX(IF(AH92&gt;0,IF('FA Addition'!$N92="SLM",($AF92-'FA Addition'!$M92)*'FA Addition'!$P92*AH92/365,IFERROR(VDB(AF92,AF92*0.05,'FA Addition'!$O92,0,YEARFRAC('FA Addition'!$C92,$L$1,3),'FA Addition'!$Q92),FAAddition[[#This Row],[Original Cost (Rs)]]-FAAddition[[#This Row],[Salvage Value]])),0),0)</f>
        <v>1518</v>
      </c>
      <c r="AO92" s="117">
        <f t="shared" si="8"/>
        <v>0</v>
      </c>
      <c r="AQ92" s="117">
        <f t="shared" si="6"/>
        <v>80</v>
      </c>
      <c r="AR92" s="120">
        <f t="shared" si="7"/>
        <v>80</v>
      </c>
      <c r="AS92" s="121"/>
    </row>
    <row r="93" spans="1:45" ht="13.5" x14ac:dyDescent="0.4">
      <c r="A93" s="12">
        <f t="shared" si="9"/>
        <v>90</v>
      </c>
      <c r="B93" s="44" t="s">
        <v>439</v>
      </c>
      <c r="C93" s="45">
        <v>42368</v>
      </c>
      <c r="D93" s="45">
        <v>42368</v>
      </c>
      <c r="E93" s="46" t="s">
        <v>32</v>
      </c>
      <c r="F93" s="44" t="s">
        <v>32</v>
      </c>
      <c r="G93" s="44" t="s">
        <v>527</v>
      </c>
      <c r="H93" s="44" t="s">
        <v>32</v>
      </c>
      <c r="I93" s="47" t="s">
        <v>531</v>
      </c>
      <c r="J93" s="56">
        <v>66</v>
      </c>
      <c r="K93" s="44"/>
      <c r="L93" s="52">
        <v>118755</v>
      </c>
      <c r="M93" s="50">
        <f>ROUND('FA Addition'!$L93*5%,0.1)</f>
        <v>5938</v>
      </c>
      <c r="N93" s="113" t="str">
        <f>_xlfn.XLOOKUP(_xlfn.CONCAT(E93,B93),'Year Wise Master Dep Approach'!F:F,'Year Wise Master Dep Approach'!D:D)</f>
        <v>WDV</v>
      </c>
      <c r="O93" s="113">
        <f>_xlfn.XLOOKUP(_xlfn.CONCAT(E93,B93),'Year Wise Master Dep Approach'!F:F,'Year Wise Master Dep Approach'!E:E)</f>
        <v>3</v>
      </c>
      <c r="P93" s="114">
        <f>IFERROR(IF('FA Addition'!$N93="WDV",1-('FA Addition'!$M93/'FA Addition'!$L93)^(1/'FA Addition'!$O93),1/'FA Addition'!$O93),0)</f>
        <v>0.63159167985569753</v>
      </c>
      <c r="Q93" s="122">
        <f>'FA Addition'!$P93*'FA Addition'!$O93</f>
        <v>1.8947750395670926</v>
      </c>
      <c r="R93" s="122"/>
      <c r="S93" s="116">
        <f>IF(AND(DATE(20&amp;LEFT(FAAddition[[#This Row],[FY]],2),4,1)&lt;$L$1+1,DATE(20&amp;LEFT(FAAddition[[#This Row],[FY]],2),4,1)&gt;$P$1-1),'FA Addition'!$J93,0)</f>
        <v>0</v>
      </c>
      <c r="U93" s="117">
        <f>S93*'FA Addition'!$L93/'FA Addition'!$J93</f>
        <v>0</v>
      </c>
      <c r="W93" s="116">
        <f>SUMIFS('FA Write off'!D:D,'FA Write off'!A:A,'FA Addition'!$A93,'FA Write off'!C:C,"&lt;"&amp;'FA Addition'!$P$1)</f>
        <v>0</v>
      </c>
      <c r="Y93" s="191">
        <f>IFERROR(W93/'FA Addition'!$J93*'FA Addition'!$L93,0)</f>
        <v>0</v>
      </c>
      <c r="AA93" s="116">
        <f>SUMIFS('FA Write off'!D:D,'FA Write off'!A:A,'FA Addition'!$A93,'FA Write off'!C:C,"&lt;"&amp;'FA Addition'!$L$1+1,'FA Write off'!C:C,"&gt;"&amp;'FA Addition'!$L$1-365)</f>
        <v>0</v>
      </c>
      <c r="AC93" s="118">
        <f>IFERROR(AA93/'FA Addition'!$J93*'FA Addition'!$L93,0)</f>
        <v>0</v>
      </c>
      <c r="AE93" s="117">
        <f>IF(AND('FA Addition'!$D93&lt;$P$1+1,U93=0),'FA Addition'!$L93,0)-Y93</f>
        <v>118755</v>
      </c>
      <c r="AF93" s="117">
        <f t="shared" si="5"/>
        <v>118755</v>
      </c>
      <c r="AG93" s="117">
        <f>MIN(MAX(+$P$1-'FA Addition'!$D93,0),365*'FA Addition'!$O93)</f>
        <v>1095</v>
      </c>
      <c r="AH93" s="117">
        <f>MIN(MAX($L$1-'FA Addition'!$D93+1,0),365*'FA Addition'!$O93)</f>
        <v>1095</v>
      </c>
      <c r="AI93" s="117" cm="1">
        <f t="array" ref="AI93">_xlfn.XLOOKUP(1,('FA Write off'!A:A='FA Addition'!$A93)*('FA Write off'!D:D=AA93),'FA Write off'!H:H,0,0)</f>
        <v>0</v>
      </c>
      <c r="AJ93" s="117">
        <f>IF(AC93&gt;0,MAX(IF('FA Addition'!$N93="SLM",($AC93-'FA Addition'!$M93)*'FA Addition'!$P93*AI93/365,(AC93-'FA Addition'!$M93)*(1-(1-'FA Addition'!$P93)^(AI93/365))),0),0)</f>
        <v>0</v>
      </c>
      <c r="AL93" s="117">
        <f>MAX(IF(AG93&gt;0,IF('FA Addition'!$N93="SLM",($AE93-'FA Addition'!$M93)*'FA Addition'!$P93*AG93/365,IFERROR(VDB(AE93,AE93*0.05,'FA Addition'!$O93,0,YEARFRAC('FA Addition'!$C93,$P$1-1,3),'FA Addition'!$Q93),FAAddition[[#This Row],[Original Cost (Rs)]]-FAAddition[[#This Row],[Salvage Value]])),0),0)</f>
        <v>112817</v>
      </c>
      <c r="AM93" s="119"/>
      <c r="AN93" s="117">
        <f>MAX(IF(AH93&gt;0,IF('FA Addition'!$N93="SLM",($AF93-'FA Addition'!$M93)*'FA Addition'!$P93*AH93/365,IFERROR(VDB(AF93,AF93*0.05,'FA Addition'!$O93,0,YEARFRAC('FA Addition'!$C93,$L$1,3),'FA Addition'!$Q93),FAAddition[[#This Row],[Original Cost (Rs)]]-FAAddition[[#This Row],[Salvage Value]])),0),0)</f>
        <v>112817</v>
      </c>
      <c r="AO93" s="117">
        <f t="shared" si="8"/>
        <v>0</v>
      </c>
      <c r="AQ93" s="117">
        <f t="shared" si="6"/>
        <v>5938</v>
      </c>
      <c r="AR93" s="120">
        <f t="shared" si="7"/>
        <v>5938</v>
      </c>
      <c r="AS93" s="121"/>
    </row>
    <row r="94" spans="1:45" ht="13.5" x14ac:dyDescent="0.4">
      <c r="A94" s="12">
        <f t="shared" si="9"/>
        <v>91</v>
      </c>
      <c r="B94" s="44" t="s">
        <v>439</v>
      </c>
      <c r="C94" s="45">
        <v>42368</v>
      </c>
      <c r="D94" s="45">
        <v>42368</v>
      </c>
      <c r="E94" s="46" t="s">
        <v>32</v>
      </c>
      <c r="F94" s="44" t="s">
        <v>32</v>
      </c>
      <c r="G94" s="44" t="s">
        <v>433</v>
      </c>
      <c r="H94" s="44" t="s">
        <v>32</v>
      </c>
      <c r="I94" s="47" t="s">
        <v>532</v>
      </c>
      <c r="J94" s="48">
        <v>4</v>
      </c>
      <c r="K94" s="44" t="s">
        <v>533</v>
      </c>
      <c r="L94" s="52">
        <v>18743</v>
      </c>
      <c r="M94" s="50">
        <f>ROUND('FA Addition'!$L94*5%,0.1)</f>
        <v>937</v>
      </c>
      <c r="N94" s="113" t="str">
        <f>_xlfn.XLOOKUP(_xlfn.CONCAT(E94,B94),'Year Wise Master Dep Approach'!F:F,'Year Wise Master Dep Approach'!D:D)</f>
        <v>WDV</v>
      </c>
      <c r="O94" s="113">
        <f>_xlfn.XLOOKUP(_xlfn.CONCAT(E94,B94),'Year Wise Master Dep Approach'!F:F,'Year Wise Master Dep Approach'!E:E)</f>
        <v>3</v>
      </c>
      <c r="P94" s="114">
        <f>IFERROR(IF('FA Addition'!$N94="WDV",1-('FA Addition'!$M94/'FA Addition'!$L94)^(1/'FA Addition'!$O94),1/'FA Addition'!$O94),0)</f>
        <v>0.63161650669078817</v>
      </c>
      <c r="Q94" s="122">
        <f>'FA Addition'!$P94*'FA Addition'!$O94</f>
        <v>1.8948495200723645</v>
      </c>
      <c r="R94" s="122"/>
      <c r="S94" s="116">
        <f>IF(AND(DATE(20&amp;LEFT(FAAddition[[#This Row],[FY]],2),4,1)&lt;$L$1+1,DATE(20&amp;LEFT(FAAddition[[#This Row],[FY]],2),4,1)&gt;$P$1-1),'FA Addition'!$J94,0)</f>
        <v>0</v>
      </c>
      <c r="U94" s="117">
        <f>S94*'FA Addition'!$L94/'FA Addition'!$J94</f>
        <v>0</v>
      </c>
      <c r="W94" s="116">
        <f>SUMIFS('FA Write off'!D:D,'FA Write off'!A:A,'FA Addition'!$A94,'FA Write off'!C:C,"&lt;"&amp;'FA Addition'!$P$1)</f>
        <v>0</v>
      </c>
      <c r="Y94" s="191">
        <f>IFERROR(W94/'FA Addition'!$J94*'FA Addition'!$L94,0)</f>
        <v>0</v>
      </c>
      <c r="AA94" s="116">
        <f>SUMIFS('FA Write off'!D:D,'FA Write off'!A:A,'FA Addition'!$A94,'FA Write off'!C:C,"&lt;"&amp;'FA Addition'!$L$1+1,'FA Write off'!C:C,"&gt;"&amp;'FA Addition'!$L$1-365)</f>
        <v>0</v>
      </c>
      <c r="AC94" s="118">
        <f>IFERROR(AA94/'FA Addition'!$J94*'FA Addition'!$L94,0)</f>
        <v>0</v>
      </c>
      <c r="AE94" s="117">
        <f>IF(AND('FA Addition'!$D94&lt;$P$1+1,U94=0),'FA Addition'!$L94,0)-Y94</f>
        <v>18743</v>
      </c>
      <c r="AF94" s="117">
        <f t="shared" si="5"/>
        <v>18743</v>
      </c>
      <c r="AG94" s="117">
        <f>MIN(MAX(+$P$1-'FA Addition'!$D94,0),365*'FA Addition'!$O94)</f>
        <v>1095</v>
      </c>
      <c r="AH94" s="117">
        <f>MIN(MAX($L$1-'FA Addition'!$D94+1,0),365*'FA Addition'!$O94)</f>
        <v>1095</v>
      </c>
      <c r="AI94" s="117" cm="1">
        <f t="array" ref="AI94">_xlfn.XLOOKUP(1,('FA Write off'!A:A='FA Addition'!$A94)*('FA Write off'!D:D=AA94),'FA Write off'!H:H,0,0)</f>
        <v>0</v>
      </c>
      <c r="AJ94" s="117">
        <f>IF(AC94&gt;0,MAX(IF('FA Addition'!$N94="SLM",($AC94-'FA Addition'!$M94)*'FA Addition'!$P94*AI94/365,(AC94-'FA Addition'!$M94)*(1-(1-'FA Addition'!$P94)^(AI94/365))),0),0)</f>
        <v>0</v>
      </c>
      <c r="AL94" s="117">
        <f>MAX(IF(AG94&gt;0,IF('FA Addition'!$N94="SLM",($AE94-'FA Addition'!$M94)*'FA Addition'!$P94*AG94/365,IFERROR(VDB(AE94,AE94*0.05,'FA Addition'!$O94,0,YEARFRAC('FA Addition'!$C94,$P$1-1,3),'FA Addition'!$Q94),FAAddition[[#This Row],[Original Cost (Rs)]]-FAAddition[[#This Row],[Salvage Value]])),0),0)</f>
        <v>17806</v>
      </c>
      <c r="AM94" s="119"/>
      <c r="AN94" s="117">
        <f>MAX(IF(AH94&gt;0,IF('FA Addition'!$N94="SLM",($AF94-'FA Addition'!$M94)*'FA Addition'!$P94*AH94/365,IFERROR(VDB(AF94,AF94*0.05,'FA Addition'!$O94,0,YEARFRAC('FA Addition'!$C94,$L$1,3),'FA Addition'!$Q94),FAAddition[[#This Row],[Original Cost (Rs)]]-FAAddition[[#This Row],[Salvage Value]])),0),0)</f>
        <v>17806</v>
      </c>
      <c r="AO94" s="117">
        <f t="shared" si="8"/>
        <v>0</v>
      </c>
      <c r="AQ94" s="117">
        <f t="shared" si="6"/>
        <v>937</v>
      </c>
      <c r="AR94" s="120">
        <f t="shared" si="7"/>
        <v>937</v>
      </c>
      <c r="AS94" s="121"/>
    </row>
    <row r="95" spans="1:45" ht="13.5" x14ac:dyDescent="0.4">
      <c r="A95" s="12">
        <f t="shared" si="9"/>
        <v>92</v>
      </c>
      <c r="B95" s="44" t="s">
        <v>439</v>
      </c>
      <c r="C95" s="45">
        <v>42368</v>
      </c>
      <c r="D95" s="45">
        <v>42368</v>
      </c>
      <c r="E95" s="46" t="s">
        <v>32</v>
      </c>
      <c r="F95" s="44" t="s">
        <v>32</v>
      </c>
      <c r="G95" s="44" t="s">
        <v>534</v>
      </c>
      <c r="H95" s="44" t="s">
        <v>32</v>
      </c>
      <c r="I95" s="47">
        <v>7640</v>
      </c>
      <c r="J95" s="56">
        <v>1</v>
      </c>
      <c r="K95" s="44"/>
      <c r="L95" s="52">
        <v>61295</v>
      </c>
      <c r="M95" s="50">
        <f>ROUND('FA Addition'!$L95*5%,0.1)</f>
        <v>3065</v>
      </c>
      <c r="N95" s="113" t="str">
        <f>_xlfn.XLOOKUP(_xlfn.CONCAT(E95,B95),'Year Wise Master Dep Approach'!F:F,'Year Wise Master Dep Approach'!D:D)</f>
        <v>WDV</v>
      </c>
      <c r="O95" s="113">
        <f>_xlfn.XLOOKUP(_xlfn.CONCAT(E95,B95),'Year Wise Master Dep Approach'!F:F,'Year Wise Master Dep Approach'!E:E)</f>
        <v>3</v>
      </c>
      <c r="P95" s="114">
        <f>IFERROR(IF('FA Addition'!$N95="WDV",1-('FA Addition'!$M95/'FA Addition'!$L95)^(1/'FA Addition'!$O95),1/'FA Addition'!$O95),0)</f>
        <v>0.63158683319240683</v>
      </c>
      <c r="Q95" s="122">
        <f>'FA Addition'!$P95*'FA Addition'!$O95</f>
        <v>1.8947604995772205</v>
      </c>
      <c r="R95" s="122"/>
      <c r="S95" s="116">
        <f>IF(AND(DATE(20&amp;LEFT(FAAddition[[#This Row],[FY]],2),4,1)&lt;$L$1+1,DATE(20&amp;LEFT(FAAddition[[#This Row],[FY]],2),4,1)&gt;$P$1-1),'FA Addition'!$J95,0)</f>
        <v>0</v>
      </c>
      <c r="U95" s="117">
        <f>S95*'FA Addition'!$L95/'FA Addition'!$J95</f>
        <v>0</v>
      </c>
      <c r="W95" s="116">
        <f>SUMIFS('FA Write off'!D:D,'FA Write off'!A:A,'FA Addition'!$A95,'FA Write off'!C:C,"&lt;"&amp;'FA Addition'!$P$1)</f>
        <v>0</v>
      </c>
      <c r="Y95" s="191">
        <f>IFERROR(W95/'FA Addition'!$J95*'FA Addition'!$L95,0)</f>
        <v>0</v>
      </c>
      <c r="AA95" s="116">
        <f>SUMIFS('FA Write off'!D:D,'FA Write off'!A:A,'FA Addition'!$A95,'FA Write off'!C:C,"&lt;"&amp;'FA Addition'!$L$1+1,'FA Write off'!C:C,"&gt;"&amp;'FA Addition'!$L$1-365)</f>
        <v>0</v>
      </c>
      <c r="AC95" s="118">
        <f>IFERROR(AA95/'FA Addition'!$J95*'FA Addition'!$L95,0)</f>
        <v>0</v>
      </c>
      <c r="AE95" s="117">
        <f>IF(AND('FA Addition'!$D95&lt;$P$1+1,U95=0),'FA Addition'!$L95,0)-Y95</f>
        <v>61295</v>
      </c>
      <c r="AF95" s="117">
        <f t="shared" si="5"/>
        <v>61295</v>
      </c>
      <c r="AG95" s="117">
        <f>MIN(MAX(+$P$1-'FA Addition'!$D95,0),365*'FA Addition'!$O95)</f>
        <v>1095</v>
      </c>
      <c r="AH95" s="117">
        <f>MIN(MAX($L$1-'FA Addition'!$D95+1,0),365*'FA Addition'!$O95)</f>
        <v>1095</v>
      </c>
      <c r="AI95" s="117" cm="1">
        <f t="array" ref="AI95">_xlfn.XLOOKUP(1,('FA Write off'!A:A='FA Addition'!$A95)*('FA Write off'!D:D=AA95),'FA Write off'!H:H,0,0)</f>
        <v>0</v>
      </c>
      <c r="AJ95" s="117">
        <f>IF(AC95&gt;0,MAX(IF('FA Addition'!$N95="SLM",($AC95-'FA Addition'!$M95)*'FA Addition'!$P95*AI95/365,(AC95-'FA Addition'!$M95)*(1-(1-'FA Addition'!$P95)^(AI95/365))),0),0)</f>
        <v>0</v>
      </c>
      <c r="AL95" s="117">
        <f>MAX(IF(AG95&gt;0,IF('FA Addition'!$N95="SLM",($AE95-'FA Addition'!$M95)*'FA Addition'!$P95*AG95/365,IFERROR(VDB(AE95,AE95*0.05,'FA Addition'!$O95,0,YEARFRAC('FA Addition'!$C95,$P$1-1,3),'FA Addition'!$Q95),FAAddition[[#This Row],[Original Cost (Rs)]]-FAAddition[[#This Row],[Salvage Value]])),0),0)</f>
        <v>58230</v>
      </c>
      <c r="AM95" s="119"/>
      <c r="AN95" s="117">
        <f>MAX(IF(AH95&gt;0,IF('FA Addition'!$N95="SLM",($AF95-'FA Addition'!$M95)*'FA Addition'!$P95*AH95/365,IFERROR(VDB(AF95,AF95*0.05,'FA Addition'!$O95,0,YEARFRAC('FA Addition'!$C95,$L$1,3),'FA Addition'!$Q95),FAAddition[[#This Row],[Original Cost (Rs)]]-FAAddition[[#This Row],[Salvage Value]])),0),0)</f>
        <v>58230</v>
      </c>
      <c r="AO95" s="117">
        <f t="shared" si="8"/>
        <v>0</v>
      </c>
      <c r="AQ95" s="117">
        <f t="shared" si="6"/>
        <v>3065</v>
      </c>
      <c r="AR95" s="120">
        <f t="shared" si="7"/>
        <v>3065</v>
      </c>
      <c r="AS95" s="121"/>
    </row>
    <row r="96" spans="1:45" ht="13.5" x14ac:dyDescent="0.4">
      <c r="A96" s="12">
        <f t="shared" si="9"/>
        <v>93</v>
      </c>
      <c r="B96" s="44" t="s">
        <v>439</v>
      </c>
      <c r="C96" s="45">
        <v>42370</v>
      </c>
      <c r="D96" s="45">
        <v>42370</v>
      </c>
      <c r="E96" s="46" t="s">
        <v>451</v>
      </c>
      <c r="F96" s="44" t="s">
        <v>21</v>
      </c>
      <c r="G96" s="44" t="s">
        <v>435</v>
      </c>
      <c r="H96" s="44" t="s">
        <v>21</v>
      </c>
      <c r="I96" s="47"/>
      <c r="J96" s="56">
        <v>1</v>
      </c>
      <c r="K96" s="44" t="s">
        <v>21</v>
      </c>
      <c r="L96" s="52">
        <v>17099</v>
      </c>
      <c r="M96" s="50">
        <f>ROUND('FA Addition'!$L96*5%,0.1)</f>
        <v>855</v>
      </c>
      <c r="N96" s="113" t="str">
        <f>_xlfn.XLOOKUP(_xlfn.CONCAT(E96,B96),'Year Wise Master Dep Approach'!F:F,'Year Wise Master Dep Approach'!D:D)</f>
        <v>WDV</v>
      </c>
      <c r="O96" s="113">
        <f>_xlfn.XLOOKUP(_xlfn.CONCAT(E96,B96),'Year Wise Master Dep Approach'!F:F,'Year Wise Master Dep Approach'!E:E)</f>
        <v>3</v>
      </c>
      <c r="P96" s="114">
        <f>IFERROR(IF('FA Addition'!$N96="WDV",1-('FA Addition'!$M96/'FA Addition'!$L96)^(1/'FA Addition'!$O96),1/'FA Addition'!$O96),0)</f>
        <v>0.63158966850802345</v>
      </c>
      <c r="Q96" s="122">
        <f>'FA Addition'!$P96*'FA Addition'!$O96</f>
        <v>1.8947690055240702</v>
      </c>
      <c r="R96" s="122"/>
      <c r="S96" s="116">
        <f>IF(AND(DATE(20&amp;LEFT(FAAddition[[#This Row],[FY]],2),4,1)&lt;$L$1+1,DATE(20&amp;LEFT(FAAddition[[#This Row],[FY]],2),4,1)&gt;$P$1-1),'FA Addition'!$J96,0)</f>
        <v>0</v>
      </c>
      <c r="U96" s="117">
        <f>S96*'FA Addition'!$L96/'FA Addition'!$J96</f>
        <v>0</v>
      </c>
      <c r="W96" s="116">
        <f>SUMIFS('FA Write off'!D:D,'FA Write off'!A:A,'FA Addition'!$A96,'FA Write off'!C:C,"&lt;"&amp;'FA Addition'!$P$1)</f>
        <v>0</v>
      </c>
      <c r="Y96" s="191">
        <f>IFERROR(W96/'FA Addition'!$J96*'FA Addition'!$L96,0)</f>
        <v>0</v>
      </c>
      <c r="AA96" s="116">
        <f>SUMIFS('FA Write off'!D:D,'FA Write off'!A:A,'FA Addition'!$A96,'FA Write off'!C:C,"&lt;"&amp;'FA Addition'!$L$1+1,'FA Write off'!C:C,"&gt;"&amp;'FA Addition'!$L$1-365)</f>
        <v>0</v>
      </c>
      <c r="AC96" s="118">
        <f>IFERROR(AA96/'FA Addition'!$J96*'FA Addition'!$L96,0)</f>
        <v>0</v>
      </c>
      <c r="AE96" s="117">
        <f>IF(AND('FA Addition'!$D96&lt;$P$1+1,U96=0),'FA Addition'!$L96,0)-Y96</f>
        <v>17099</v>
      </c>
      <c r="AF96" s="117">
        <f t="shared" si="5"/>
        <v>17099</v>
      </c>
      <c r="AG96" s="117">
        <f>MIN(MAX(+$P$1-'FA Addition'!$D96,0),365*'FA Addition'!$O96)</f>
        <v>1095</v>
      </c>
      <c r="AH96" s="117">
        <f>MIN(MAX($L$1-'FA Addition'!$D96+1,0),365*'FA Addition'!$O96)</f>
        <v>1095</v>
      </c>
      <c r="AI96" s="117" cm="1">
        <f t="array" ref="AI96">_xlfn.XLOOKUP(1,('FA Write off'!A:A='FA Addition'!$A96)*('FA Write off'!D:D=AA96),'FA Write off'!H:H,0,0)</f>
        <v>0</v>
      </c>
      <c r="AJ96" s="117">
        <f>IF(AC96&gt;0,MAX(IF('FA Addition'!$N96="SLM",($AC96-'FA Addition'!$M96)*'FA Addition'!$P96*AI96/365,(AC96-'FA Addition'!$M96)*(1-(1-'FA Addition'!$P96)^(AI96/365))),0),0)</f>
        <v>0</v>
      </c>
      <c r="AL96" s="117">
        <f>MAX(IF(AG96&gt;0,IF('FA Addition'!$N96="SLM",($AE96-'FA Addition'!$M96)*'FA Addition'!$P96*AG96/365,IFERROR(VDB(AE96,AE96*0.05,'FA Addition'!$O96,0,YEARFRAC('FA Addition'!$C96,$P$1-1,3),'FA Addition'!$Q96),FAAddition[[#This Row],[Original Cost (Rs)]]-FAAddition[[#This Row],[Salvage Value]])),0),0)</f>
        <v>16244</v>
      </c>
      <c r="AM96" s="119"/>
      <c r="AN96" s="117">
        <f>MAX(IF(AH96&gt;0,IF('FA Addition'!$N96="SLM",($AF96-'FA Addition'!$M96)*'FA Addition'!$P96*AH96/365,IFERROR(VDB(AF96,AF96*0.05,'FA Addition'!$O96,0,YEARFRAC('FA Addition'!$C96,$L$1,3),'FA Addition'!$Q96),FAAddition[[#This Row],[Original Cost (Rs)]]-FAAddition[[#This Row],[Salvage Value]])),0),0)</f>
        <v>16244</v>
      </c>
      <c r="AO96" s="117">
        <f t="shared" si="8"/>
        <v>0</v>
      </c>
      <c r="AQ96" s="117">
        <f t="shared" si="6"/>
        <v>855</v>
      </c>
      <c r="AR96" s="120">
        <f t="shared" si="7"/>
        <v>855</v>
      </c>
      <c r="AS96" s="121"/>
    </row>
    <row r="97" spans="1:45" ht="13.5" x14ac:dyDescent="0.4">
      <c r="A97" s="12">
        <f t="shared" si="9"/>
        <v>94</v>
      </c>
      <c r="B97" s="44" t="s">
        <v>439</v>
      </c>
      <c r="C97" s="45">
        <v>42374</v>
      </c>
      <c r="D97" s="45">
        <v>42374</v>
      </c>
      <c r="E97" s="46" t="s">
        <v>523</v>
      </c>
      <c r="F97" s="44" t="s">
        <v>524</v>
      </c>
      <c r="G97" s="44" t="s">
        <v>535</v>
      </c>
      <c r="H97" s="44" t="s">
        <v>536</v>
      </c>
      <c r="I97" s="47" t="s">
        <v>537</v>
      </c>
      <c r="J97" s="56">
        <v>1</v>
      </c>
      <c r="K97" s="44" t="s">
        <v>538</v>
      </c>
      <c r="L97" s="52">
        <v>1099</v>
      </c>
      <c r="M97" s="50">
        <f>ROUND('FA Addition'!$L97*5%,0.1)</f>
        <v>55</v>
      </c>
      <c r="N97" s="113" t="str">
        <f>_xlfn.XLOOKUP(_xlfn.CONCAT(E97,B97),'Year Wise Master Dep Approach'!F:F,'Year Wise Master Dep Approach'!D:D)</f>
        <v>WDV</v>
      </c>
      <c r="O97" s="113">
        <f>_xlfn.XLOOKUP(_xlfn.CONCAT(E97,B97),'Year Wise Master Dep Approach'!F:F,'Year Wise Master Dep Approach'!E:E)</f>
        <v>10</v>
      </c>
      <c r="P97" s="114">
        <f>IFERROR(IF('FA Addition'!$N97="WDV",1-('FA Addition'!$M97/'FA Addition'!$L97)^(1/'FA Addition'!$O97),1/'FA Addition'!$O97),0)</f>
        <v>0.25879814132466017</v>
      </c>
      <c r="Q97" s="122">
        <f>'FA Addition'!$P97*'FA Addition'!$O97</f>
        <v>2.5879814132466015</v>
      </c>
      <c r="R97" s="122"/>
      <c r="S97" s="116">
        <f>IF(AND(DATE(20&amp;LEFT(FAAddition[[#This Row],[FY]],2),4,1)&lt;$L$1+1,DATE(20&amp;LEFT(FAAddition[[#This Row],[FY]],2),4,1)&gt;$P$1-1),'FA Addition'!$J97,0)</f>
        <v>0</v>
      </c>
      <c r="U97" s="117">
        <f>S97*'FA Addition'!$L97/'FA Addition'!$J97</f>
        <v>0</v>
      </c>
      <c r="W97" s="116">
        <f>SUMIFS('FA Write off'!D:D,'FA Write off'!A:A,'FA Addition'!$A97,'FA Write off'!C:C,"&lt;"&amp;'FA Addition'!$P$1)</f>
        <v>0</v>
      </c>
      <c r="Y97" s="191">
        <f>IFERROR(W97/'FA Addition'!$J97*'FA Addition'!$L97,0)</f>
        <v>0</v>
      </c>
      <c r="AA97" s="116">
        <f>SUMIFS('FA Write off'!D:D,'FA Write off'!A:A,'FA Addition'!$A97,'FA Write off'!C:C,"&lt;"&amp;'FA Addition'!$L$1+1,'FA Write off'!C:C,"&gt;"&amp;'FA Addition'!$L$1-365)</f>
        <v>0</v>
      </c>
      <c r="AC97" s="118">
        <f>IFERROR(AA97/'FA Addition'!$J97*'FA Addition'!$L97,0)</f>
        <v>0</v>
      </c>
      <c r="AE97" s="117">
        <f>IF(AND('FA Addition'!$D97&lt;$P$1+1,U97=0),'FA Addition'!$L97,0)-Y97</f>
        <v>1099</v>
      </c>
      <c r="AF97" s="117">
        <f t="shared" si="5"/>
        <v>1099</v>
      </c>
      <c r="AG97" s="117">
        <f>MIN(MAX(+$P$1-'FA Addition'!$D97,0),365*'FA Addition'!$O97)</f>
        <v>2643</v>
      </c>
      <c r="AH97" s="117">
        <f>MIN(MAX($L$1-'FA Addition'!$D97+1,0),365*'FA Addition'!$O97)</f>
        <v>3009</v>
      </c>
      <c r="AI97" s="117" cm="1">
        <f t="array" ref="AI97">_xlfn.XLOOKUP(1,('FA Write off'!A:A='FA Addition'!$A97)*('FA Write off'!D:D=AA97),'FA Write off'!H:H,0,0)</f>
        <v>0</v>
      </c>
      <c r="AJ97" s="117">
        <f>IF(AC97&gt;0,MAX(IF('FA Addition'!$N97="SLM",($AC97-'FA Addition'!$M97)*'FA Addition'!$P97*AI97/365,(AC97-'FA Addition'!$M97)*(1-(1-'FA Addition'!$P97)^(AI97/365))),0),0)</f>
        <v>0</v>
      </c>
      <c r="AL97" s="117">
        <f>MAX(IF(AG97&gt;0,IF('FA Addition'!$N97="SLM",($AE97-'FA Addition'!$M97)*'FA Addition'!$P97*AG97/365,IFERROR(VDB(AE97,AE97*0.05,'FA Addition'!$O97,0,YEARFRAC('FA Addition'!$C97,$P$1-1,3),'FA Addition'!$Q97),FAAddition[[#This Row],[Original Cost (Rs)]]-FAAddition[[#This Row],[Salvage Value]])),0),0)</f>
        <v>972.26361205402475</v>
      </c>
      <c r="AM97" s="119"/>
      <c r="AN97" s="117">
        <f>MAX(IF(AH97&gt;0,IF('FA Addition'!$N97="SLM",($AF97-'FA Addition'!$M97)*'FA Addition'!$P97*AH97/365,IFERROR(VDB(AF97,AF97*0.05,'FA Addition'!$O97,0,YEARFRAC('FA Addition'!$C97,$L$1,3),'FA Addition'!$Q97),FAAddition[[#This Row],[Original Cost (Rs)]]-FAAddition[[#This Row],[Salvage Value]])),0),0)</f>
        <v>1005.1337372856696</v>
      </c>
      <c r="AO97" s="117">
        <f t="shared" si="8"/>
        <v>32.870125231644806</v>
      </c>
      <c r="AQ97" s="117">
        <f t="shared" si="6"/>
        <v>126.73638794597525</v>
      </c>
      <c r="AR97" s="120">
        <f t="shared" si="7"/>
        <v>93.866262714330446</v>
      </c>
      <c r="AS97" s="121"/>
    </row>
    <row r="98" spans="1:45" ht="13.5" x14ac:dyDescent="0.4">
      <c r="A98" s="12">
        <f t="shared" si="9"/>
        <v>95</v>
      </c>
      <c r="B98" s="44" t="s">
        <v>439</v>
      </c>
      <c r="C98" s="45">
        <v>42381</v>
      </c>
      <c r="D98" s="45">
        <v>42381</v>
      </c>
      <c r="E98" s="46" t="s">
        <v>451</v>
      </c>
      <c r="F98" s="44" t="s">
        <v>187</v>
      </c>
      <c r="G98" s="44" t="s">
        <v>539</v>
      </c>
      <c r="H98" s="44" t="s">
        <v>187</v>
      </c>
      <c r="I98" s="47"/>
      <c r="J98" s="56">
        <v>1</v>
      </c>
      <c r="K98" s="44" t="s">
        <v>187</v>
      </c>
      <c r="L98" s="52">
        <v>5839</v>
      </c>
      <c r="M98" s="50">
        <f>ROUND('FA Addition'!$L98*5%,0.1)</f>
        <v>292</v>
      </c>
      <c r="N98" s="113" t="str">
        <f>_xlfn.XLOOKUP(_xlfn.CONCAT(E98,B98),'Year Wise Master Dep Approach'!F:F,'Year Wise Master Dep Approach'!D:D)</f>
        <v>WDV</v>
      </c>
      <c r="O98" s="113">
        <f>_xlfn.XLOOKUP(_xlfn.CONCAT(E98,B98),'Year Wise Master Dep Approach'!F:F,'Year Wise Master Dep Approach'!E:E)</f>
        <v>3</v>
      </c>
      <c r="P98" s="114">
        <f>IFERROR(IF('FA Addition'!$N98="WDV",1-('FA Addition'!$M98/'FA Addition'!$L98)^(1/'FA Addition'!$O98),1/'FA Addition'!$O98),0)</f>
        <v>0.63157582015818625</v>
      </c>
      <c r="Q98" s="122">
        <f>'FA Addition'!$P98*'FA Addition'!$O98</f>
        <v>1.8947274604745588</v>
      </c>
      <c r="R98" s="122"/>
      <c r="S98" s="116">
        <f>IF(AND(DATE(20&amp;LEFT(FAAddition[[#This Row],[FY]],2),4,1)&lt;$L$1+1,DATE(20&amp;LEFT(FAAddition[[#This Row],[FY]],2),4,1)&gt;$P$1-1),'FA Addition'!$J98,0)</f>
        <v>0</v>
      </c>
      <c r="U98" s="117">
        <f>S98*'FA Addition'!$L98/'FA Addition'!$J98</f>
        <v>0</v>
      </c>
      <c r="W98" s="116">
        <f>SUMIFS('FA Write off'!D:D,'FA Write off'!A:A,'FA Addition'!$A98,'FA Write off'!C:C,"&lt;"&amp;'FA Addition'!$P$1)</f>
        <v>0</v>
      </c>
      <c r="Y98" s="191">
        <f>IFERROR(W98/'FA Addition'!$J98*'FA Addition'!$L98,0)</f>
        <v>0</v>
      </c>
      <c r="AA98" s="116">
        <f>SUMIFS('FA Write off'!D:D,'FA Write off'!A:A,'FA Addition'!$A98,'FA Write off'!C:C,"&lt;"&amp;'FA Addition'!$L$1+1,'FA Write off'!C:C,"&gt;"&amp;'FA Addition'!$L$1-365)</f>
        <v>0</v>
      </c>
      <c r="AC98" s="118">
        <f>IFERROR(AA98/'FA Addition'!$J98*'FA Addition'!$L98,0)</f>
        <v>0</v>
      </c>
      <c r="AE98" s="117">
        <f>IF(AND('FA Addition'!$D98&lt;$P$1+1,U98=0),'FA Addition'!$L98,0)-Y98</f>
        <v>5839</v>
      </c>
      <c r="AF98" s="117">
        <f t="shared" si="5"/>
        <v>5839</v>
      </c>
      <c r="AG98" s="117">
        <f>MIN(MAX(+$P$1-'FA Addition'!$D98,0),365*'FA Addition'!$O98)</f>
        <v>1095</v>
      </c>
      <c r="AH98" s="117">
        <f>MIN(MAX($L$1-'FA Addition'!$D98+1,0),365*'FA Addition'!$O98)</f>
        <v>1095</v>
      </c>
      <c r="AI98" s="117" cm="1">
        <f t="array" ref="AI98">_xlfn.XLOOKUP(1,('FA Write off'!A:A='FA Addition'!$A98)*('FA Write off'!D:D=AA98),'FA Write off'!H:H,0,0)</f>
        <v>0</v>
      </c>
      <c r="AJ98" s="117">
        <f>IF(AC98&gt;0,MAX(IF('FA Addition'!$N98="SLM",($AC98-'FA Addition'!$M98)*'FA Addition'!$P98*AI98/365,(AC98-'FA Addition'!$M98)*(1-(1-'FA Addition'!$P98)^(AI98/365))),0),0)</f>
        <v>0</v>
      </c>
      <c r="AL98" s="117">
        <f>MAX(IF(AG98&gt;0,IF('FA Addition'!$N98="SLM",($AE98-'FA Addition'!$M98)*'FA Addition'!$P98*AG98/365,IFERROR(VDB(AE98,AE98*0.05,'FA Addition'!$O98,0,YEARFRAC('FA Addition'!$C98,$P$1-1,3),'FA Addition'!$Q98),FAAddition[[#This Row],[Original Cost (Rs)]]-FAAddition[[#This Row],[Salvage Value]])),0),0)</f>
        <v>5547</v>
      </c>
      <c r="AM98" s="119"/>
      <c r="AN98" s="117">
        <f>MAX(IF(AH98&gt;0,IF('FA Addition'!$N98="SLM",($AF98-'FA Addition'!$M98)*'FA Addition'!$P98*AH98/365,IFERROR(VDB(AF98,AF98*0.05,'FA Addition'!$O98,0,YEARFRAC('FA Addition'!$C98,$L$1,3),'FA Addition'!$Q98),FAAddition[[#This Row],[Original Cost (Rs)]]-FAAddition[[#This Row],[Salvage Value]])),0),0)</f>
        <v>5547</v>
      </c>
      <c r="AO98" s="117">
        <f t="shared" si="8"/>
        <v>0</v>
      </c>
      <c r="AQ98" s="117">
        <f t="shared" si="6"/>
        <v>292</v>
      </c>
      <c r="AR98" s="120">
        <f t="shared" si="7"/>
        <v>292</v>
      </c>
      <c r="AS98" s="121"/>
    </row>
    <row r="99" spans="1:45" ht="13.5" x14ac:dyDescent="0.4">
      <c r="A99" s="12">
        <f t="shared" si="9"/>
        <v>96</v>
      </c>
      <c r="B99" s="44" t="s">
        <v>439</v>
      </c>
      <c r="C99" s="45">
        <v>42381</v>
      </c>
      <c r="D99" s="45">
        <v>42381</v>
      </c>
      <c r="E99" s="46" t="s">
        <v>451</v>
      </c>
      <c r="F99" s="44" t="s">
        <v>452</v>
      </c>
      <c r="G99" s="44" t="s">
        <v>540</v>
      </c>
      <c r="H99" s="44" t="s">
        <v>79</v>
      </c>
      <c r="I99" s="47"/>
      <c r="J99" s="56">
        <v>1</v>
      </c>
      <c r="K99" s="44" t="s">
        <v>541</v>
      </c>
      <c r="L99" s="52">
        <v>2450</v>
      </c>
      <c r="M99" s="50">
        <f>ROUND('FA Addition'!$L99*5%,0.1)</f>
        <v>123</v>
      </c>
      <c r="N99" s="113" t="str">
        <f>_xlfn.XLOOKUP(_xlfn.CONCAT(E99,B99),'Year Wise Master Dep Approach'!F:F,'Year Wise Master Dep Approach'!D:D)</f>
        <v>WDV</v>
      </c>
      <c r="O99" s="113">
        <f>_xlfn.XLOOKUP(_xlfn.CONCAT(E99,B99),'Year Wise Master Dep Approach'!F:F,'Year Wise Master Dep Approach'!E:E)</f>
        <v>3</v>
      </c>
      <c r="P99" s="114">
        <f>IFERROR(IF('FA Addition'!$N99="WDV",1-('FA Addition'!$M99/'FA Addition'!$L99)^(1/'FA Addition'!$O99),1/'FA Addition'!$O99),0)</f>
        <v>0.63109630176238518</v>
      </c>
      <c r="Q99" s="122">
        <f>'FA Addition'!$P99*'FA Addition'!$O99</f>
        <v>1.8932889052871555</v>
      </c>
      <c r="R99" s="122"/>
      <c r="S99" s="116">
        <f>IF(AND(DATE(20&amp;LEFT(FAAddition[[#This Row],[FY]],2),4,1)&lt;$L$1+1,DATE(20&amp;LEFT(FAAddition[[#This Row],[FY]],2),4,1)&gt;$P$1-1),'FA Addition'!$J99,0)</f>
        <v>0</v>
      </c>
      <c r="U99" s="117">
        <f>S99*'FA Addition'!$L99/'FA Addition'!$J99</f>
        <v>0</v>
      </c>
      <c r="W99" s="116">
        <f>SUMIFS('FA Write off'!D:D,'FA Write off'!A:A,'FA Addition'!$A99,'FA Write off'!C:C,"&lt;"&amp;'FA Addition'!$P$1)</f>
        <v>0</v>
      </c>
      <c r="Y99" s="191">
        <f>IFERROR(W99/'FA Addition'!$J99*'FA Addition'!$L99,0)</f>
        <v>0</v>
      </c>
      <c r="AA99" s="116">
        <f>SUMIFS('FA Write off'!D:D,'FA Write off'!A:A,'FA Addition'!$A99,'FA Write off'!C:C,"&lt;"&amp;'FA Addition'!$L$1+1,'FA Write off'!C:C,"&gt;"&amp;'FA Addition'!$L$1-365)</f>
        <v>0</v>
      </c>
      <c r="AC99" s="118">
        <f>IFERROR(AA99/'FA Addition'!$J99*'FA Addition'!$L99,0)</f>
        <v>0</v>
      </c>
      <c r="AE99" s="117">
        <f>IF(AND('FA Addition'!$D99&lt;$P$1+1,U99=0),'FA Addition'!$L99,0)-Y99</f>
        <v>2450</v>
      </c>
      <c r="AF99" s="117">
        <f t="shared" si="5"/>
        <v>2450</v>
      </c>
      <c r="AG99" s="117">
        <f>MIN(MAX(+$P$1-'FA Addition'!$D99,0),365*'FA Addition'!$O99)</f>
        <v>1095</v>
      </c>
      <c r="AH99" s="117">
        <f>MIN(MAX($L$1-'FA Addition'!$D99+1,0),365*'FA Addition'!$O99)</f>
        <v>1095</v>
      </c>
      <c r="AI99" s="117" cm="1">
        <f t="array" ref="AI99">_xlfn.XLOOKUP(1,('FA Write off'!A:A='FA Addition'!$A99)*('FA Write off'!D:D=AA99),'FA Write off'!H:H,0,0)</f>
        <v>0</v>
      </c>
      <c r="AJ99" s="117">
        <f>IF(AC99&gt;0,MAX(IF('FA Addition'!$N99="SLM",($AC99-'FA Addition'!$M99)*'FA Addition'!$P99*AI99/365,(AC99-'FA Addition'!$M99)*(1-(1-'FA Addition'!$P99)^(AI99/365))),0),0)</f>
        <v>0</v>
      </c>
      <c r="AL99" s="117">
        <f>MAX(IF(AG99&gt;0,IF('FA Addition'!$N99="SLM",($AE99-'FA Addition'!$M99)*'FA Addition'!$P99*AG99/365,IFERROR(VDB(AE99,AE99*0.05,'FA Addition'!$O99,0,YEARFRAC('FA Addition'!$C99,$P$1-1,3),'FA Addition'!$Q99),FAAddition[[#This Row],[Original Cost (Rs)]]-FAAddition[[#This Row],[Salvage Value]])),0),0)</f>
        <v>2327</v>
      </c>
      <c r="AM99" s="119"/>
      <c r="AN99" s="117">
        <f>MAX(IF(AH99&gt;0,IF('FA Addition'!$N99="SLM",($AF99-'FA Addition'!$M99)*'FA Addition'!$P99*AH99/365,IFERROR(VDB(AF99,AF99*0.05,'FA Addition'!$O99,0,YEARFRAC('FA Addition'!$C99,$L$1,3),'FA Addition'!$Q99),FAAddition[[#This Row],[Original Cost (Rs)]]-FAAddition[[#This Row],[Salvage Value]])),0),0)</f>
        <v>2327</v>
      </c>
      <c r="AO99" s="117">
        <f t="shared" si="8"/>
        <v>0</v>
      </c>
      <c r="AQ99" s="117">
        <f t="shared" si="6"/>
        <v>123</v>
      </c>
      <c r="AR99" s="120">
        <f t="shared" si="7"/>
        <v>123</v>
      </c>
      <c r="AS99" s="121"/>
    </row>
    <row r="100" spans="1:45" ht="13.5" x14ac:dyDescent="0.4">
      <c r="A100" s="12">
        <f t="shared" si="9"/>
        <v>97</v>
      </c>
      <c r="B100" s="44" t="s">
        <v>439</v>
      </c>
      <c r="C100" s="45">
        <v>42391</v>
      </c>
      <c r="D100" s="45">
        <v>42391</v>
      </c>
      <c r="E100" s="46" t="s">
        <v>451</v>
      </c>
      <c r="F100" s="44" t="s">
        <v>21</v>
      </c>
      <c r="G100" s="44" t="s">
        <v>542</v>
      </c>
      <c r="H100" s="44"/>
      <c r="I100" s="47"/>
      <c r="J100" s="56">
        <v>1</v>
      </c>
      <c r="K100" s="44" t="s">
        <v>21</v>
      </c>
      <c r="L100" s="52">
        <v>55139</v>
      </c>
      <c r="M100" s="50">
        <f>ROUND('FA Addition'!$L100*5%,0.1)</f>
        <v>2757</v>
      </c>
      <c r="N100" s="113" t="str">
        <f>_xlfn.XLOOKUP(_xlfn.CONCAT(E100,B100),'Year Wise Master Dep Approach'!F:F,'Year Wise Master Dep Approach'!D:D)</f>
        <v>WDV</v>
      </c>
      <c r="O100" s="113">
        <f>_xlfn.XLOOKUP(_xlfn.CONCAT(E100,B100),'Year Wise Master Dep Approach'!F:F,'Year Wise Master Dep Approach'!E:E)</f>
        <v>3</v>
      </c>
      <c r="P100" s="114">
        <f>IFERROR(IF('FA Addition'!$N100="WDV",1-('FA Addition'!$M100/'FA Addition'!$L100)^(1/'FA Addition'!$O100),1/'FA Addition'!$O100),0)</f>
        <v>0.63159462303159619</v>
      </c>
      <c r="Q100" s="122">
        <f>'FA Addition'!$P100*'FA Addition'!$O100</f>
        <v>1.8947838690947885</v>
      </c>
      <c r="R100" s="122"/>
      <c r="S100" s="116">
        <f>IF(AND(DATE(20&amp;LEFT(FAAddition[[#This Row],[FY]],2),4,1)&lt;$L$1+1,DATE(20&amp;LEFT(FAAddition[[#This Row],[FY]],2),4,1)&gt;$P$1-1),'FA Addition'!$J100,0)</f>
        <v>0</v>
      </c>
      <c r="U100" s="117">
        <f>S100*'FA Addition'!$L100/'FA Addition'!$J100</f>
        <v>0</v>
      </c>
      <c r="W100" s="116">
        <f>SUMIFS('FA Write off'!D:D,'FA Write off'!A:A,'FA Addition'!$A100,'FA Write off'!C:C,"&lt;"&amp;'FA Addition'!$P$1)</f>
        <v>0</v>
      </c>
      <c r="Y100" s="191">
        <f>IFERROR(W100/'FA Addition'!$J100*'FA Addition'!$L100,0)</f>
        <v>0</v>
      </c>
      <c r="AA100" s="116">
        <f>SUMIFS('FA Write off'!D:D,'FA Write off'!A:A,'FA Addition'!$A100,'FA Write off'!C:C,"&lt;"&amp;'FA Addition'!$L$1+1,'FA Write off'!C:C,"&gt;"&amp;'FA Addition'!$L$1-365)</f>
        <v>0</v>
      </c>
      <c r="AC100" s="118">
        <f>IFERROR(AA100/'FA Addition'!$J100*'FA Addition'!$L100,0)</f>
        <v>0</v>
      </c>
      <c r="AE100" s="117">
        <f>IF(AND('FA Addition'!$D100&lt;$P$1+1,U100=0),'FA Addition'!$L100,0)-Y100</f>
        <v>55139</v>
      </c>
      <c r="AF100" s="117">
        <f t="shared" si="5"/>
        <v>55139</v>
      </c>
      <c r="AG100" s="117">
        <f>MIN(MAX(+$P$1-'FA Addition'!$D100,0),365*'FA Addition'!$O100)</f>
        <v>1095</v>
      </c>
      <c r="AH100" s="117">
        <f>MIN(MAX($L$1-'FA Addition'!$D100+1,0),365*'FA Addition'!$O100)</f>
        <v>1095</v>
      </c>
      <c r="AI100" s="117" cm="1">
        <f t="array" ref="AI100">_xlfn.XLOOKUP(1,('FA Write off'!A:A='FA Addition'!$A100)*('FA Write off'!D:D=AA100),'FA Write off'!H:H,0,0)</f>
        <v>0</v>
      </c>
      <c r="AJ100" s="117">
        <f>IF(AC100&gt;0,MAX(IF('FA Addition'!$N100="SLM",($AC100-'FA Addition'!$M100)*'FA Addition'!$P100*AI100/365,(AC100-'FA Addition'!$M100)*(1-(1-'FA Addition'!$P100)^(AI100/365))),0),0)</f>
        <v>0</v>
      </c>
      <c r="AL100" s="117">
        <f>MAX(IF(AG100&gt;0,IF('FA Addition'!$N100="SLM",($AE100-'FA Addition'!$M100)*'FA Addition'!$P100*AG100/365,IFERROR(VDB(AE100,AE100*0.05,'FA Addition'!$O100,0,YEARFRAC('FA Addition'!$C100,$P$1-1,3),'FA Addition'!$Q100),FAAddition[[#This Row],[Original Cost (Rs)]]-FAAddition[[#This Row],[Salvage Value]])),0),0)</f>
        <v>52382</v>
      </c>
      <c r="AM100" s="119"/>
      <c r="AN100" s="117">
        <f>MAX(IF(AH100&gt;0,IF('FA Addition'!$N100="SLM",($AF100-'FA Addition'!$M100)*'FA Addition'!$P100*AH100/365,IFERROR(VDB(AF100,AF100*0.05,'FA Addition'!$O100,0,YEARFRAC('FA Addition'!$C100,$L$1,3),'FA Addition'!$Q100),FAAddition[[#This Row],[Original Cost (Rs)]]-FAAddition[[#This Row],[Salvage Value]])),0),0)</f>
        <v>52382</v>
      </c>
      <c r="AO100" s="117">
        <f t="shared" si="8"/>
        <v>0</v>
      </c>
      <c r="AQ100" s="117">
        <f t="shared" si="6"/>
        <v>2757</v>
      </c>
      <c r="AR100" s="120">
        <f t="shared" si="7"/>
        <v>2757</v>
      </c>
      <c r="AS100" s="121"/>
    </row>
    <row r="101" spans="1:45" ht="13.5" x14ac:dyDescent="0.4">
      <c r="A101" s="12">
        <f t="shared" si="9"/>
        <v>98</v>
      </c>
      <c r="B101" s="44" t="s">
        <v>439</v>
      </c>
      <c r="C101" s="45">
        <v>42391</v>
      </c>
      <c r="D101" s="45">
        <v>42391</v>
      </c>
      <c r="E101" s="46" t="s">
        <v>451</v>
      </c>
      <c r="F101" s="44" t="s">
        <v>21</v>
      </c>
      <c r="G101" s="44" t="s">
        <v>542</v>
      </c>
      <c r="H101" s="44" t="s">
        <v>21</v>
      </c>
      <c r="I101" s="47"/>
      <c r="J101" s="56">
        <v>1</v>
      </c>
      <c r="K101" s="44" t="s">
        <v>21</v>
      </c>
      <c r="L101" s="52">
        <v>16499</v>
      </c>
      <c r="M101" s="50">
        <f>ROUND('FA Addition'!$L101*5%,0.1)</f>
        <v>825</v>
      </c>
      <c r="N101" s="113" t="str">
        <f>_xlfn.XLOOKUP(_xlfn.CONCAT(E101,B101),'Year Wise Master Dep Approach'!F:F,'Year Wise Master Dep Approach'!D:D)</f>
        <v>WDV</v>
      </c>
      <c r="O101" s="113">
        <f>_xlfn.XLOOKUP(_xlfn.CONCAT(E101,B101),'Year Wise Master Dep Approach'!F:F,'Year Wise Master Dep Approach'!E:E)</f>
        <v>3</v>
      </c>
      <c r="P101" s="114">
        <f>IFERROR(IF('FA Addition'!$N101="WDV",1-('FA Addition'!$M101/'FA Addition'!$L101)^(1/'FA Addition'!$O101),1/'FA Addition'!$O101),0)</f>
        <v>0.63158940734736446</v>
      </c>
      <c r="Q101" s="122">
        <f>'FA Addition'!$P101*'FA Addition'!$O101</f>
        <v>1.8947682220420934</v>
      </c>
      <c r="R101" s="122"/>
      <c r="S101" s="116">
        <f>IF(AND(DATE(20&amp;LEFT(FAAddition[[#This Row],[FY]],2),4,1)&lt;$L$1+1,DATE(20&amp;LEFT(FAAddition[[#This Row],[FY]],2),4,1)&gt;$P$1-1),'FA Addition'!$J101,0)</f>
        <v>0</v>
      </c>
      <c r="U101" s="117">
        <f>S101*'FA Addition'!$L101/'FA Addition'!$J101</f>
        <v>0</v>
      </c>
      <c r="W101" s="116">
        <f>SUMIFS('FA Write off'!D:D,'FA Write off'!A:A,'FA Addition'!$A101,'FA Write off'!C:C,"&lt;"&amp;'FA Addition'!$P$1)</f>
        <v>0</v>
      </c>
      <c r="Y101" s="191">
        <f>IFERROR(W101/'FA Addition'!$J101*'FA Addition'!$L101,0)</f>
        <v>0</v>
      </c>
      <c r="AA101" s="116">
        <f>SUMIFS('FA Write off'!D:D,'FA Write off'!A:A,'FA Addition'!$A101,'FA Write off'!C:C,"&lt;"&amp;'FA Addition'!$L$1+1,'FA Write off'!C:C,"&gt;"&amp;'FA Addition'!$L$1-365)</f>
        <v>0</v>
      </c>
      <c r="AC101" s="118">
        <f>IFERROR(AA101/'FA Addition'!$J101*'FA Addition'!$L101,0)</f>
        <v>0</v>
      </c>
      <c r="AE101" s="117">
        <f>IF(AND('FA Addition'!$D101&lt;$P$1+1,U101=0),'FA Addition'!$L101,0)-Y101</f>
        <v>16499</v>
      </c>
      <c r="AF101" s="117">
        <f t="shared" si="5"/>
        <v>16499</v>
      </c>
      <c r="AG101" s="117">
        <f>MIN(MAX(+$P$1-'FA Addition'!$D101,0),365*'FA Addition'!$O101)</f>
        <v>1095</v>
      </c>
      <c r="AH101" s="117">
        <f>MIN(MAX($L$1-'FA Addition'!$D101+1,0),365*'FA Addition'!$O101)</f>
        <v>1095</v>
      </c>
      <c r="AI101" s="117" cm="1">
        <f t="array" ref="AI101">_xlfn.XLOOKUP(1,('FA Write off'!A:A='FA Addition'!$A101)*('FA Write off'!D:D=AA101),'FA Write off'!H:H,0,0)</f>
        <v>0</v>
      </c>
      <c r="AJ101" s="117">
        <f>IF(AC101&gt;0,MAX(IF('FA Addition'!$N101="SLM",($AC101-'FA Addition'!$M101)*'FA Addition'!$P101*AI101/365,(AC101-'FA Addition'!$M101)*(1-(1-'FA Addition'!$P101)^(AI101/365))),0),0)</f>
        <v>0</v>
      </c>
      <c r="AL101" s="117">
        <f>MAX(IF(AG101&gt;0,IF('FA Addition'!$N101="SLM",($AE101-'FA Addition'!$M101)*'FA Addition'!$P101*AG101/365,IFERROR(VDB(AE101,AE101*0.05,'FA Addition'!$O101,0,YEARFRAC('FA Addition'!$C101,$P$1-1,3),'FA Addition'!$Q101),FAAddition[[#This Row],[Original Cost (Rs)]]-FAAddition[[#This Row],[Salvage Value]])),0),0)</f>
        <v>15674</v>
      </c>
      <c r="AM101" s="119"/>
      <c r="AN101" s="117">
        <f>MAX(IF(AH101&gt;0,IF('FA Addition'!$N101="SLM",($AF101-'FA Addition'!$M101)*'FA Addition'!$P101*AH101/365,IFERROR(VDB(AF101,AF101*0.05,'FA Addition'!$O101,0,YEARFRAC('FA Addition'!$C101,$L$1,3),'FA Addition'!$Q101),FAAddition[[#This Row],[Original Cost (Rs)]]-FAAddition[[#This Row],[Salvage Value]])),0),0)</f>
        <v>15674</v>
      </c>
      <c r="AO101" s="117">
        <f t="shared" si="8"/>
        <v>0</v>
      </c>
      <c r="AQ101" s="117">
        <f t="shared" si="6"/>
        <v>825</v>
      </c>
      <c r="AR101" s="120">
        <f t="shared" si="7"/>
        <v>825</v>
      </c>
      <c r="AS101" s="121"/>
    </row>
    <row r="102" spans="1:45" ht="13.5" x14ac:dyDescent="0.4">
      <c r="A102" s="12">
        <f t="shared" si="9"/>
        <v>99</v>
      </c>
      <c r="B102" s="44" t="s">
        <v>439</v>
      </c>
      <c r="C102" s="45">
        <v>42394</v>
      </c>
      <c r="D102" s="45">
        <v>42394</v>
      </c>
      <c r="E102" s="46" t="s">
        <v>32</v>
      </c>
      <c r="F102" s="44" t="s">
        <v>32</v>
      </c>
      <c r="G102" s="44" t="s">
        <v>534</v>
      </c>
      <c r="H102" s="44" t="s">
        <v>32</v>
      </c>
      <c r="I102" s="47">
        <v>7672</v>
      </c>
      <c r="J102" s="56">
        <v>1</v>
      </c>
      <c r="K102" s="44"/>
      <c r="L102" s="52">
        <v>52539</v>
      </c>
      <c r="M102" s="50">
        <f>ROUND('FA Addition'!$L102*5%,0.1)</f>
        <v>2627</v>
      </c>
      <c r="N102" s="113" t="str">
        <f>_xlfn.XLOOKUP(_xlfn.CONCAT(E102,B102),'Year Wise Master Dep Approach'!F:F,'Year Wise Master Dep Approach'!D:D)</f>
        <v>WDV</v>
      </c>
      <c r="O102" s="113">
        <f>_xlfn.XLOOKUP(_xlfn.CONCAT(E102,B102),'Year Wise Master Dep Approach'!F:F,'Year Wise Master Dep Approach'!E:E)</f>
        <v>3</v>
      </c>
      <c r="P102" s="114">
        <f>IFERROR(IF('FA Addition'!$N102="WDV",1-('FA Addition'!$M102/'FA Addition'!$L102)^(1/'FA Addition'!$O102),1/'FA Addition'!$O102),0)</f>
        <v>0.63159451281947543</v>
      </c>
      <c r="Q102" s="122">
        <f>'FA Addition'!$P102*'FA Addition'!$O102</f>
        <v>1.8947835384584262</v>
      </c>
      <c r="R102" s="122"/>
      <c r="S102" s="116">
        <f>IF(AND(DATE(20&amp;LEFT(FAAddition[[#This Row],[FY]],2),4,1)&lt;$L$1+1,DATE(20&amp;LEFT(FAAddition[[#This Row],[FY]],2),4,1)&gt;$P$1-1),'FA Addition'!$J102,0)</f>
        <v>0</v>
      </c>
      <c r="U102" s="117">
        <f>S102*'FA Addition'!$L102/'FA Addition'!$J102</f>
        <v>0</v>
      </c>
      <c r="W102" s="116">
        <f>SUMIFS('FA Write off'!D:D,'FA Write off'!A:A,'FA Addition'!$A102,'FA Write off'!C:C,"&lt;"&amp;'FA Addition'!$P$1)</f>
        <v>0</v>
      </c>
      <c r="Y102" s="191">
        <f>IFERROR(W102/'FA Addition'!$J102*'FA Addition'!$L102,0)</f>
        <v>0</v>
      </c>
      <c r="AA102" s="116">
        <f>SUMIFS('FA Write off'!D:D,'FA Write off'!A:A,'FA Addition'!$A102,'FA Write off'!C:C,"&lt;"&amp;'FA Addition'!$L$1+1,'FA Write off'!C:C,"&gt;"&amp;'FA Addition'!$L$1-365)</f>
        <v>0</v>
      </c>
      <c r="AC102" s="118">
        <f>IFERROR(AA102/'FA Addition'!$J102*'FA Addition'!$L102,0)</f>
        <v>0</v>
      </c>
      <c r="AE102" s="117">
        <f>IF(AND('FA Addition'!$D102&lt;$P$1+1,U102=0),'FA Addition'!$L102,0)-Y102</f>
        <v>52539</v>
      </c>
      <c r="AF102" s="117">
        <f t="shared" si="5"/>
        <v>52539</v>
      </c>
      <c r="AG102" s="117">
        <f>MIN(MAX(+$P$1-'FA Addition'!$D102,0),365*'FA Addition'!$O102)</f>
        <v>1095</v>
      </c>
      <c r="AH102" s="117">
        <f>MIN(MAX($L$1-'FA Addition'!$D102+1,0),365*'FA Addition'!$O102)</f>
        <v>1095</v>
      </c>
      <c r="AI102" s="117" cm="1">
        <f t="array" ref="AI102">_xlfn.XLOOKUP(1,('FA Write off'!A:A='FA Addition'!$A102)*('FA Write off'!D:D=AA102),'FA Write off'!H:H,0,0)</f>
        <v>0</v>
      </c>
      <c r="AJ102" s="117">
        <f>IF(AC102&gt;0,MAX(IF('FA Addition'!$N102="SLM",($AC102-'FA Addition'!$M102)*'FA Addition'!$P102*AI102/365,(AC102-'FA Addition'!$M102)*(1-(1-'FA Addition'!$P102)^(AI102/365))),0),0)</f>
        <v>0</v>
      </c>
      <c r="AL102" s="117">
        <f>MAX(IF(AG102&gt;0,IF('FA Addition'!$N102="SLM",($AE102-'FA Addition'!$M102)*'FA Addition'!$P102*AG102/365,IFERROR(VDB(AE102,AE102*0.05,'FA Addition'!$O102,0,YEARFRAC('FA Addition'!$C102,$P$1-1,3),'FA Addition'!$Q102),FAAddition[[#This Row],[Original Cost (Rs)]]-FAAddition[[#This Row],[Salvage Value]])),0),0)</f>
        <v>49912</v>
      </c>
      <c r="AM102" s="119"/>
      <c r="AN102" s="117">
        <f>MAX(IF(AH102&gt;0,IF('FA Addition'!$N102="SLM",($AF102-'FA Addition'!$M102)*'FA Addition'!$P102*AH102/365,IFERROR(VDB(AF102,AF102*0.05,'FA Addition'!$O102,0,YEARFRAC('FA Addition'!$C102,$L$1,3),'FA Addition'!$Q102),FAAddition[[#This Row],[Original Cost (Rs)]]-FAAddition[[#This Row],[Salvage Value]])),0),0)</f>
        <v>49912</v>
      </c>
      <c r="AO102" s="117">
        <f t="shared" si="8"/>
        <v>0</v>
      </c>
      <c r="AQ102" s="117">
        <f t="shared" si="6"/>
        <v>2627</v>
      </c>
      <c r="AR102" s="120">
        <f t="shared" si="7"/>
        <v>2627</v>
      </c>
      <c r="AS102" s="121"/>
    </row>
    <row r="103" spans="1:45" ht="13.5" x14ac:dyDescent="0.4">
      <c r="A103" s="12">
        <f t="shared" si="9"/>
        <v>100</v>
      </c>
      <c r="B103" s="44" t="s">
        <v>439</v>
      </c>
      <c r="C103" s="45">
        <v>42394</v>
      </c>
      <c r="D103" s="45">
        <v>42394</v>
      </c>
      <c r="E103" s="46" t="s">
        <v>32</v>
      </c>
      <c r="F103" s="44" t="s">
        <v>32</v>
      </c>
      <c r="G103" s="44" t="s">
        <v>543</v>
      </c>
      <c r="H103" s="44" t="s">
        <v>32</v>
      </c>
      <c r="I103" s="47">
        <v>15</v>
      </c>
      <c r="J103" s="56">
        <v>1</v>
      </c>
      <c r="K103" s="44"/>
      <c r="L103" s="52">
        <v>9750</v>
      </c>
      <c r="M103" s="50">
        <f>ROUND('FA Addition'!$L103*5%,0.1)</f>
        <v>488</v>
      </c>
      <c r="N103" s="113" t="str">
        <f>_xlfn.XLOOKUP(_xlfn.CONCAT(E103,B103),'Year Wise Master Dep Approach'!F:F,'Year Wise Master Dep Approach'!D:D)</f>
        <v>WDV</v>
      </c>
      <c r="O103" s="113">
        <f>_xlfn.XLOOKUP(_xlfn.CONCAT(E103,B103),'Year Wise Master Dep Approach'!F:F,'Year Wise Master Dep Approach'!E:E)</f>
        <v>3</v>
      </c>
      <c r="P103" s="114">
        <f>IFERROR(IF('FA Addition'!$N103="WDV",1-('FA Addition'!$M103/'FA Addition'!$L103)^(1/'FA Addition'!$O103),1/'FA Addition'!$O103),0)</f>
        <v>0.63147094337637621</v>
      </c>
      <c r="Q103" s="122">
        <f>'FA Addition'!$P103*'FA Addition'!$O103</f>
        <v>1.8944128301291285</v>
      </c>
      <c r="R103" s="122"/>
      <c r="S103" s="116">
        <f>IF(AND(DATE(20&amp;LEFT(FAAddition[[#This Row],[FY]],2),4,1)&lt;$L$1+1,DATE(20&amp;LEFT(FAAddition[[#This Row],[FY]],2),4,1)&gt;$P$1-1),'FA Addition'!$J103,0)</f>
        <v>0</v>
      </c>
      <c r="U103" s="117">
        <f>S103*'FA Addition'!$L103/'FA Addition'!$J103</f>
        <v>0</v>
      </c>
      <c r="W103" s="116">
        <f>SUMIFS('FA Write off'!D:D,'FA Write off'!A:A,'FA Addition'!$A103,'FA Write off'!C:C,"&lt;"&amp;'FA Addition'!$P$1)</f>
        <v>0</v>
      </c>
      <c r="Y103" s="191">
        <f>IFERROR(W103/'FA Addition'!$J103*'FA Addition'!$L103,0)</f>
        <v>0</v>
      </c>
      <c r="AA103" s="116">
        <f>SUMIFS('FA Write off'!D:D,'FA Write off'!A:A,'FA Addition'!$A103,'FA Write off'!C:C,"&lt;"&amp;'FA Addition'!$L$1+1,'FA Write off'!C:C,"&gt;"&amp;'FA Addition'!$L$1-365)</f>
        <v>0</v>
      </c>
      <c r="AC103" s="118">
        <f>IFERROR(AA103/'FA Addition'!$J103*'FA Addition'!$L103,0)</f>
        <v>0</v>
      </c>
      <c r="AE103" s="117">
        <f>IF(AND('FA Addition'!$D103&lt;$P$1+1,U103=0),'FA Addition'!$L103,0)-Y103</f>
        <v>9750</v>
      </c>
      <c r="AF103" s="117">
        <f t="shared" si="5"/>
        <v>9750</v>
      </c>
      <c r="AG103" s="117">
        <f>MIN(MAX(+$P$1-'FA Addition'!$D103,0),365*'FA Addition'!$O103)</f>
        <v>1095</v>
      </c>
      <c r="AH103" s="117">
        <f>MIN(MAX($L$1-'FA Addition'!$D103+1,0),365*'FA Addition'!$O103)</f>
        <v>1095</v>
      </c>
      <c r="AI103" s="117" cm="1">
        <f t="array" ref="AI103">_xlfn.XLOOKUP(1,('FA Write off'!A:A='FA Addition'!$A103)*('FA Write off'!D:D=AA103),'FA Write off'!H:H,0,0)</f>
        <v>0</v>
      </c>
      <c r="AJ103" s="117">
        <f>IF(AC103&gt;0,MAX(IF('FA Addition'!$N103="SLM",($AC103-'FA Addition'!$M103)*'FA Addition'!$P103*AI103/365,(AC103-'FA Addition'!$M103)*(1-(1-'FA Addition'!$P103)^(AI103/365))),0),0)</f>
        <v>0</v>
      </c>
      <c r="AL103" s="117">
        <f>MAX(IF(AG103&gt;0,IF('FA Addition'!$N103="SLM",($AE103-'FA Addition'!$M103)*'FA Addition'!$P103*AG103/365,IFERROR(VDB(AE103,AE103*0.05,'FA Addition'!$O103,0,YEARFRAC('FA Addition'!$C103,$P$1-1,3),'FA Addition'!$Q103),FAAddition[[#This Row],[Original Cost (Rs)]]-FAAddition[[#This Row],[Salvage Value]])),0),0)</f>
        <v>9262</v>
      </c>
      <c r="AM103" s="119"/>
      <c r="AN103" s="117">
        <f>MAX(IF(AH103&gt;0,IF('FA Addition'!$N103="SLM",($AF103-'FA Addition'!$M103)*'FA Addition'!$P103*AH103/365,IFERROR(VDB(AF103,AF103*0.05,'FA Addition'!$O103,0,YEARFRAC('FA Addition'!$C103,$L$1,3),'FA Addition'!$Q103),FAAddition[[#This Row],[Original Cost (Rs)]]-FAAddition[[#This Row],[Salvage Value]])),0),0)</f>
        <v>9262</v>
      </c>
      <c r="AO103" s="117">
        <f t="shared" si="8"/>
        <v>0</v>
      </c>
      <c r="AQ103" s="117">
        <f t="shared" si="6"/>
        <v>488</v>
      </c>
      <c r="AR103" s="120">
        <f t="shared" si="7"/>
        <v>488</v>
      </c>
      <c r="AS103" s="121"/>
    </row>
    <row r="104" spans="1:45" ht="13.5" x14ac:dyDescent="0.4">
      <c r="A104" s="12">
        <f t="shared" si="9"/>
        <v>101</v>
      </c>
      <c r="B104" s="44" t="s">
        <v>439</v>
      </c>
      <c r="C104" s="45">
        <v>42394</v>
      </c>
      <c r="D104" s="45">
        <v>42394</v>
      </c>
      <c r="E104" s="46" t="s">
        <v>32</v>
      </c>
      <c r="F104" s="44" t="s">
        <v>32</v>
      </c>
      <c r="G104" s="44" t="s">
        <v>534</v>
      </c>
      <c r="H104" s="44" t="s">
        <v>32</v>
      </c>
      <c r="I104" s="47">
        <v>7751</v>
      </c>
      <c r="J104" s="56">
        <v>1</v>
      </c>
      <c r="K104" s="44"/>
      <c r="L104" s="52">
        <v>17513</v>
      </c>
      <c r="M104" s="50">
        <f>ROUND('FA Addition'!$L104*5%,0.1)</f>
        <v>876</v>
      </c>
      <c r="N104" s="113" t="str">
        <f>_xlfn.XLOOKUP(_xlfn.CONCAT(E104,B104),'Year Wise Master Dep Approach'!F:F,'Year Wise Master Dep Approach'!D:D)</f>
        <v>WDV</v>
      </c>
      <c r="O104" s="113">
        <f>_xlfn.XLOOKUP(_xlfn.CONCAT(E104,B104),'Year Wise Master Dep Approach'!F:F,'Year Wise Master Dep Approach'!E:E)</f>
        <v>3</v>
      </c>
      <c r="P104" s="114">
        <f>IFERROR(IF('FA Addition'!$N104="WDV",1-('FA Addition'!$M104/'FA Addition'!$L104)^(1/'FA Addition'!$O104),1/'FA Addition'!$O104),0)</f>
        <v>0.63154777271656592</v>
      </c>
      <c r="Q104" s="122">
        <f>'FA Addition'!$P104*'FA Addition'!$O104</f>
        <v>1.8946433181496978</v>
      </c>
      <c r="R104" s="122"/>
      <c r="S104" s="116">
        <f>IF(AND(DATE(20&amp;LEFT(FAAddition[[#This Row],[FY]],2),4,1)&lt;$L$1+1,DATE(20&amp;LEFT(FAAddition[[#This Row],[FY]],2),4,1)&gt;$P$1-1),'FA Addition'!$J104,0)</f>
        <v>0</v>
      </c>
      <c r="U104" s="117">
        <f>S104*'FA Addition'!$L104/'FA Addition'!$J104</f>
        <v>0</v>
      </c>
      <c r="W104" s="116">
        <f>SUMIFS('FA Write off'!D:D,'FA Write off'!A:A,'FA Addition'!$A104,'FA Write off'!C:C,"&lt;"&amp;'FA Addition'!$P$1)</f>
        <v>0</v>
      </c>
      <c r="Y104" s="191">
        <f>IFERROR(W104/'FA Addition'!$J104*'FA Addition'!$L104,0)</f>
        <v>0</v>
      </c>
      <c r="AA104" s="116">
        <f>SUMIFS('FA Write off'!D:D,'FA Write off'!A:A,'FA Addition'!$A104,'FA Write off'!C:C,"&lt;"&amp;'FA Addition'!$L$1+1,'FA Write off'!C:C,"&gt;"&amp;'FA Addition'!$L$1-365)</f>
        <v>0</v>
      </c>
      <c r="AC104" s="118">
        <f>IFERROR(AA104/'FA Addition'!$J104*'FA Addition'!$L104,0)</f>
        <v>0</v>
      </c>
      <c r="AE104" s="117">
        <f>IF(AND('FA Addition'!$D104&lt;$P$1+1,U104=0),'FA Addition'!$L104,0)-Y104</f>
        <v>17513</v>
      </c>
      <c r="AF104" s="117">
        <f t="shared" si="5"/>
        <v>17513</v>
      </c>
      <c r="AG104" s="117">
        <f>MIN(MAX(+$P$1-'FA Addition'!$D104,0),365*'FA Addition'!$O104)</f>
        <v>1095</v>
      </c>
      <c r="AH104" s="117">
        <f>MIN(MAX($L$1-'FA Addition'!$D104+1,0),365*'FA Addition'!$O104)</f>
        <v>1095</v>
      </c>
      <c r="AI104" s="117" cm="1">
        <f t="array" ref="AI104">_xlfn.XLOOKUP(1,('FA Write off'!A:A='FA Addition'!$A104)*('FA Write off'!D:D=AA104),'FA Write off'!H:H,0,0)</f>
        <v>0</v>
      </c>
      <c r="AJ104" s="117">
        <f>IF(AC104&gt;0,MAX(IF('FA Addition'!$N104="SLM",($AC104-'FA Addition'!$M104)*'FA Addition'!$P104*AI104/365,(AC104-'FA Addition'!$M104)*(1-(1-'FA Addition'!$P104)^(AI104/365))),0),0)</f>
        <v>0</v>
      </c>
      <c r="AL104" s="117">
        <f>MAX(IF(AG104&gt;0,IF('FA Addition'!$N104="SLM",($AE104-'FA Addition'!$M104)*'FA Addition'!$P104*AG104/365,IFERROR(VDB(AE104,AE104*0.05,'FA Addition'!$O104,0,YEARFRAC('FA Addition'!$C104,$P$1-1,3),'FA Addition'!$Q104),FAAddition[[#This Row],[Original Cost (Rs)]]-FAAddition[[#This Row],[Salvage Value]])),0),0)</f>
        <v>16637</v>
      </c>
      <c r="AM104" s="119"/>
      <c r="AN104" s="117">
        <f>MAX(IF(AH104&gt;0,IF('FA Addition'!$N104="SLM",($AF104-'FA Addition'!$M104)*'FA Addition'!$P104*AH104/365,IFERROR(VDB(AF104,AF104*0.05,'FA Addition'!$O104,0,YEARFRAC('FA Addition'!$C104,$L$1,3),'FA Addition'!$Q104),FAAddition[[#This Row],[Original Cost (Rs)]]-FAAddition[[#This Row],[Salvage Value]])),0),0)</f>
        <v>16637</v>
      </c>
      <c r="AO104" s="117">
        <f t="shared" si="8"/>
        <v>0</v>
      </c>
      <c r="AQ104" s="117">
        <f t="shared" si="6"/>
        <v>876</v>
      </c>
      <c r="AR104" s="120">
        <f t="shared" si="7"/>
        <v>876</v>
      </c>
      <c r="AS104" s="121"/>
    </row>
    <row r="105" spans="1:45" ht="13.5" x14ac:dyDescent="0.4">
      <c r="A105" s="12">
        <f t="shared" si="9"/>
        <v>102</v>
      </c>
      <c r="B105" s="44" t="s">
        <v>439</v>
      </c>
      <c r="C105" s="45">
        <v>42394</v>
      </c>
      <c r="D105" s="45">
        <v>42394</v>
      </c>
      <c r="E105" s="46" t="s">
        <v>32</v>
      </c>
      <c r="F105" s="44" t="s">
        <v>32</v>
      </c>
      <c r="G105" s="44" t="s">
        <v>534</v>
      </c>
      <c r="H105" s="44" t="s">
        <v>32</v>
      </c>
      <c r="I105" s="47">
        <v>7770</v>
      </c>
      <c r="J105" s="56">
        <v>1</v>
      </c>
      <c r="K105" s="44"/>
      <c r="L105" s="52">
        <v>91785</v>
      </c>
      <c r="M105" s="50">
        <f>ROUND('FA Addition'!$L105*5%,0.1)</f>
        <v>4589</v>
      </c>
      <c r="N105" s="113" t="str">
        <f>_xlfn.XLOOKUP(_xlfn.CONCAT(E105,B105),'Year Wise Master Dep Approach'!F:F,'Year Wise Master Dep Approach'!D:D)</f>
        <v>WDV</v>
      </c>
      <c r="O105" s="113">
        <f>_xlfn.XLOOKUP(_xlfn.CONCAT(E105,B105),'Year Wise Master Dep Approach'!F:F,'Year Wise Master Dep Approach'!E:E)</f>
        <v>3</v>
      </c>
      <c r="P105" s="114">
        <f>IFERROR(IF('FA Addition'!$N105="WDV",1-('FA Addition'!$M105/'FA Addition'!$L105)^(1/'FA Addition'!$O105),1/'FA Addition'!$O105),0)</f>
        <v>0.63160353986085593</v>
      </c>
      <c r="Q105" s="122">
        <f>'FA Addition'!$P105*'FA Addition'!$O105</f>
        <v>1.8948106195825678</v>
      </c>
      <c r="R105" s="122"/>
      <c r="S105" s="116">
        <f>IF(AND(DATE(20&amp;LEFT(FAAddition[[#This Row],[FY]],2),4,1)&lt;$L$1+1,DATE(20&amp;LEFT(FAAddition[[#This Row],[FY]],2),4,1)&gt;$P$1-1),'FA Addition'!$J105,0)</f>
        <v>0</v>
      </c>
      <c r="U105" s="117">
        <f>S105*'FA Addition'!$L105/'FA Addition'!$J105</f>
        <v>0</v>
      </c>
      <c r="W105" s="116">
        <f>SUMIFS('FA Write off'!D:D,'FA Write off'!A:A,'FA Addition'!$A105,'FA Write off'!C:C,"&lt;"&amp;'FA Addition'!$P$1)</f>
        <v>0</v>
      </c>
      <c r="Y105" s="191">
        <f>IFERROR(W105/'FA Addition'!$J105*'FA Addition'!$L105,0)</f>
        <v>0</v>
      </c>
      <c r="AA105" s="116">
        <f>SUMIFS('FA Write off'!D:D,'FA Write off'!A:A,'FA Addition'!$A105,'FA Write off'!C:C,"&lt;"&amp;'FA Addition'!$L$1+1,'FA Write off'!C:C,"&gt;"&amp;'FA Addition'!$L$1-365)</f>
        <v>0</v>
      </c>
      <c r="AC105" s="118">
        <f>IFERROR(AA105/'FA Addition'!$J105*'FA Addition'!$L105,0)</f>
        <v>0</v>
      </c>
      <c r="AE105" s="117">
        <f>IF(AND('FA Addition'!$D105&lt;$P$1+1,U105=0),'FA Addition'!$L105,0)-Y105</f>
        <v>91785</v>
      </c>
      <c r="AF105" s="117">
        <f t="shared" si="5"/>
        <v>91785</v>
      </c>
      <c r="AG105" s="117">
        <f>MIN(MAX(+$P$1-'FA Addition'!$D105,0),365*'FA Addition'!$O105)</f>
        <v>1095</v>
      </c>
      <c r="AH105" s="117">
        <f>MIN(MAX($L$1-'FA Addition'!$D105+1,0),365*'FA Addition'!$O105)</f>
        <v>1095</v>
      </c>
      <c r="AI105" s="117" cm="1">
        <f t="array" ref="AI105">_xlfn.XLOOKUP(1,('FA Write off'!A:A='FA Addition'!$A105)*('FA Write off'!D:D=AA105),'FA Write off'!H:H,0,0)</f>
        <v>0</v>
      </c>
      <c r="AJ105" s="117">
        <f>IF(AC105&gt;0,MAX(IF('FA Addition'!$N105="SLM",($AC105-'FA Addition'!$M105)*'FA Addition'!$P105*AI105/365,(AC105-'FA Addition'!$M105)*(1-(1-'FA Addition'!$P105)^(AI105/365))),0),0)</f>
        <v>0</v>
      </c>
      <c r="AL105" s="117">
        <f>MAX(IF(AG105&gt;0,IF('FA Addition'!$N105="SLM",($AE105-'FA Addition'!$M105)*'FA Addition'!$P105*AG105/365,IFERROR(VDB(AE105,AE105*0.05,'FA Addition'!$O105,0,YEARFRAC('FA Addition'!$C105,$P$1-1,3),'FA Addition'!$Q105),FAAddition[[#This Row],[Original Cost (Rs)]]-FAAddition[[#This Row],[Salvage Value]])),0),0)</f>
        <v>87196</v>
      </c>
      <c r="AM105" s="119"/>
      <c r="AN105" s="117">
        <f>MAX(IF(AH105&gt;0,IF('FA Addition'!$N105="SLM",($AF105-'FA Addition'!$M105)*'FA Addition'!$P105*AH105/365,IFERROR(VDB(AF105,AF105*0.05,'FA Addition'!$O105,0,YEARFRAC('FA Addition'!$C105,$L$1,3),'FA Addition'!$Q105),FAAddition[[#This Row],[Original Cost (Rs)]]-FAAddition[[#This Row],[Salvage Value]])),0),0)</f>
        <v>87196</v>
      </c>
      <c r="AO105" s="117">
        <f t="shared" si="8"/>
        <v>0</v>
      </c>
      <c r="AQ105" s="117">
        <f t="shared" si="6"/>
        <v>4589</v>
      </c>
      <c r="AR105" s="120">
        <f t="shared" si="7"/>
        <v>4589</v>
      </c>
      <c r="AS105" s="121"/>
    </row>
    <row r="106" spans="1:45" ht="13.5" x14ac:dyDescent="0.4">
      <c r="A106" s="12">
        <f t="shared" si="9"/>
        <v>103</v>
      </c>
      <c r="B106" s="44" t="s">
        <v>439</v>
      </c>
      <c r="C106" s="45">
        <v>42403</v>
      </c>
      <c r="D106" s="45">
        <v>42403</v>
      </c>
      <c r="E106" s="46" t="s">
        <v>451</v>
      </c>
      <c r="F106" s="44" t="s">
        <v>21</v>
      </c>
      <c r="G106" s="44" t="s">
        <v>544</v>
      </c>
      <c r="H106" s="44"/>
      <c r="I106" s="47"/>
      <c r="J106" s="56">
        <v>1</v>
      </c>
      <c r="K106" s="44" t="s">
        <v>21</v>
      </c>
      <c r="L106" s="52">
        <v>40000</v>
      </c>
      <c r="M106" s="50">
        <f>ROUND('FA Addition'!$L106*5%,0.1)</f>
        <v>2000</v>
      </c>
      <c r="N106" s="113" t="str">
        <f>_xlfn.XLOOKUP(_xlfn.CONCAT(E106,B106),'Year Wise Master Dep Approach'!F:F,'Year Wise Master Dep Approach'!D:D)</f>
        <v>WDV</v>
      </c>
      <c r="O106" s="113">
        <f>_xlfn.XLOOKUP(_xlfn.CONCAT(E106,B106),'Year Wise Master Dep Approach'!F:F,'Year Wise Master Dep Approach'!E:E)</f>
        <v>3</v>
      </c>
      <c r="P106" s="114">
        <f>IFERROR(IF('FA Addition'!$N106="WDV",1-('FA Addition'!$M106/'FA Addition'!$L106)^(1/'FA Addition'!$O106),1/'FA Addition'!$O106),0)</f>
        <v>0.63159685013596123</v>
      </c>
      <c r="Q106" s="122">
        <f>'FA Addition'!$P106*'FA Addition'!$O106</f>
        <v>1.8947905504078837</v>
      </c>
      <c r="R106" s="122"/>
      <c r="S106" s="116">
        <f>IF(AND(DATE(20&amp;LEFT(FAAddition[[#This Row],[FY]],2),4,1)&lt;$L$1+1,DATE(20&amp;LEFT(FAAddition[[#This Row],[FY]],2),4,1)&gt;$P$1-1),'FA Addition'!$J106,0)</f>
        <v>0</v>
      </c>
      <c r="U106" s="117">
        <f>S106*'FA Addition'!$L106/'FA Addition'!$J106</f>
        <v>0</v>
      </c>
      <c r="W106" s="116">
        <f>SUMIFS('FA Write off'!D:D,'FA Write off'!A:A,'FA Addition'!$A106,'FA Write off'!C:C,"&lt;"&amp;'FA Addition'!$P$1)</f>
        <v>0</v>
      </c>
      <c r="Y106" s="191">
        <f>IFERROR(W106/'FA Addition'!$J106*'FA Addition'!$L106,0)</f>
        <v>0</v>
      </c>
      <c r="AA106" s="116">
        <f>SUMIFS('FA Write off'!D:D,'FA Write off'!A:A,'FA Addition'!$A106,'FA Write off'!C:C,"&lt;"&amp;'FA Addition'!$L$1+1,'FA Write off'!C:C,"&gt;"&amp;'FA Addition'!$L$1-365)</f>
        <v>0</v>
      </c>
      <c r="AC106" s="118">
        <f>IFERROR(AA106/'FA Addition'!$J106*'FA Addition'!$L106,0)</f>
        <v>0</v>
      </c>
      <c r="AE106" s="117">
        <f>IF(AND('FA Addition'!$D106&lt;$P$1+1,U106=0),'FA Addition'!$L106,0)-Y106</f>
        <v>40000</v>
      </c>
      <c r="AF106" s="117">
        <f t="shared" si="5"/>
        <v>40000</v>
      </c>
      <c r="AG106" s="117">
        <f>MIN(MAX(+$P$1-'FA Addition'!$D106,0),365*'FA Addition'!$O106)</f>
        <v>1095</v>
      </c>
      <c r="AH106" s="117">
        <f>MIN(MAX($L$1-'FA Addition'!$D106+1,0),365*'FA Addition'!$O106)</f>
        <v>1095</v>
      </c>
      <c r="AI106" s="117" cm="1">
        <f t="array" ref="AI106">_xlfn.XLOOKUP(1,('FA Write off'!A:A='FA Addition'!$A106)*('FA Write off'!D:D=AA106),'FA Write off'!H:H,0,0)</f>
        <v>0</v>
      </c>
      <c r="AJ106" s="117">
        <f>IF(AC106&gt;0,MAX(IF('FA Addition'!$N106="SLM",($AC106-'FA Addition'!$M106)*'FA Addition'!$P106*AI106/365,(AC106-'FA Addition'!$M106)*(1-(1-'FA Addition'!$P106)^(AI106/365))),0),0)</f>
        <v>0</v>
      </c>
      <c r="AL106" s="117">
        <f>MAX(IF(AG106&gt;0,IF('FA Addition'!$N106="SLM",($AE106-'FA Addition'!$M106)*'FA Addition'!$P106*AG106/365,IFERROR(VDB(AE106,AE106*0.05,'FA Addition'!$O106,0,YEARFRAC('FA Addition'!$C106,$P$1-1,3),'FA Addition'!$Q106),FAAddition[[#This Row],[Original Cost (Rs)]]-FAAddition[[#This Row],[Salvage Value]])),0),0)</f>
        <v>38000</v>
      </c>
      <c r="AM106" s="119"/>
      <c r="AN106" s="117">
        <f>MAX(IF(AH106&gt;0,IF('FA Addition'!$N106="SLM",($AF106-'FA Addition'!$M106)*'FA Addition'!$P106*AH106/365,IFERROR(VDB(AF106,AF106*0.05,'FA Addition'!$O106,0,YEARFRAC('FA Addition'!$C106,$L$1,3),'FA Addition'!$Q106),FAAddition[[#This Row],[Original Cost (Rs)]]-FAAddition[[#This Row],[Salvage Value]])),0),0)</f>
        <v>38000</v>
      </c>
      <c r="AO106" s="117">
        <f t="shared" si="8"/>
        <v>0</v>
      </c>
      <c r="AQ106" s="117">
        <f t="shared" si="6"/>
        <v>2000</v>
      </c>
      <c r="AR106" s="120">
        <f t="shared" si="7"/>
        <v>2000</v>
      </c>
      <c r="AS106" s="121"/>
    </row>
    <row r="107" spans="1:45" ht="13.5" x14ac:dyDescent="0.4">
      <c r="A107" s="12">
        <f t="shared" si="9"/>
        <v>104</v>
      </c>
      <c r="B107" s="44" t="s">
        <v>439</v>
      </c>
      <c r="C107" s="45">
        <v>42423</v>
      </c>
      <c r="D107" s="45">
        <v>42423</v>
      </c>
      <c r="E107" s="46" t="s">
        <v>32</v>
      </c>
      <c r="F107" s="44" t="s">
        <v>32</v>
      </c>
      <c r="G107" s="44" t="s">
        <v>435</v>
      </c>
      <c r="H107" s="44" t="s">
        <v>32</v>
      </c>
      <c r="I107" s="47"/>
      <c r="J107" s="56">
        <v>1</v>
      </c>
      <c r="K107" s="44"/>
      <c r="L107" s="77">
        <v>7498</v>
      </c>
      <c r="M107" s="50">
        <f>ROUND('FA Addition'!$L107*5%,0.1)</f>
        <v>375</v>
      </c>
      <c r="N107" s="113" t="str">
        <f>_xlfn.XLOOKUP(_xlfn.CONCAT(E107,B107),'Year Wise Master Dep Approach'!F:F,'Year Wise Master Dep Approach'!D:D)</f>
        <v>WDV</v>
      </c>
      <c r="O107" s="113">
        <f>_xlfn.XLOOKUP(_xlfn.CONCAT(E107,B107),'Year Wise Master Dep Approach'!F:F,'Year Wise Master Dep Approach'!E:E)</f>
        <v>3</v>
      </c>
      <c r="P107" s="114">
        <f>IFERROR(IF('FA Addition'!$N107="WDV",1-('FA Addition'!$M107/'FA Addition'!$L107)^(1/'FA Addition'!$O107),1/'FA Addition'!$O107),0)</f>
        <v>0.63156409736641961</v>
      </c>
      <c r="Q107" s="122">
        <f>'FA Addition'!$P107*'FA Addition'!$O107</f>
        <v>1.8946922920992588</v>
      </c>
      <c r="R107" s="122"/>
      <c r="S107" s="116">
        <f>IF(AND(DATE(20&amp;LEFT(FAAddition[[#This Row],[FY]],2),4,1)&lt;$L$1+1,DATE(20&amp;LEFT(FAAddition[[#This Row],[FY]],2),4,1)&gt;$P$1-1),'FA Addition'!$J107,0)</f>
        <v>0</v>
      </c>
      <c r="U107" s="117">
        <f>S107*'FA Addition'!$L107/'FA Addition'!$J107</f>
        <v>0</v>
      </c>
      <c r="W107" s="116">
        <f>SUMIFS('FA Write off'!D:D,'FA Write off'!A:A,'FA Addition'!$A107,'FA Write off'!C:C,"&lt;"&amp;'FA Addition'!$P$1)</f>
        <v>1</v>
      </c>
      <c r="Y107" s="191">
        <f>IFERROR(W107/'FA Addition'!$J107*'FA Addition'!$L107,0)</f>
        <v>7498</v>
      </c>
      <c r="AA107" s="116">
        <f>SUMIFS('FA Write off'!D:D,'FA Write off'!A:A,'FA Addition'!$A107,'FA Write off'!C:C,"&lt;"&amp;'FA Addition'!$L$1+1,'FA Write off'!C:C,"&gt;"&amp;'FA Addition'!$L$1-365)</f>
        <v>0</v>
      </c>
      <c r="AC107" s="118">
        <f>IFERROR(AA107/'FA Addition'!$J107*'FA Addition'!$L107,0)</f>
        <v>0</v>
      </c>
      <c r="AE107" s="117">
        <f>IF(AND('FA Addition'!$D107&lt;$P$1+1,U107=0),'FA Addition'!$L107,0)-Y107</f>
        <v>0</v>
      </c>
      <c r="AF107" s="117">
        <f t="shared" si="5"/>
        <v>0</v>
      </c>
      <c r="AG107" s="117">
        <f>MIN(MAX(+$P$1-'FA Addition'!$D107,0),365*'FA Addition'!$O107)</f>
        <v>1095</v>
      </c>
      <c r="AH107" s="117">
        <f>MIN(MAX($L$1-'FA Addition'!$D107+1,0),365*'FA Addition'!$O107)</f>
        <v>1095</v>
      </c>
      <c r="AI107" s="117" cm="1">
        <f t="array" ref="AI107">_xlfn.XLOOKUP(1,('FA Write off'!A:A='FA Addition'!$A107)*('FA Write off'!D:D=AA107),'FA Write off'!H:H,0,0)</f>
        <v>0</v>
      </c>
      <c r="AJ107" s="117">
        <f>IF(AC107&gt;0,MAX(IF('FA Addition'!$N107="SLM",($AC107-'FA Addition'!$M107)*'FA Addition'!$P107*AI107/365,(AC107-'FA Addition'!$M107)*(1-(1-'FA Addition'!$P107)^(AI107/365))),0),0)</f>
        <v>0</v>
      </c>
      <c r="AL107" s="117">
        <f>MAX(IF(AG107&gt;0,IF('FA Addition'!$N107="SLM",($AE107-'FA Addition'!$M107)*'FA Addition'!$P107*AG107/365,IFERROR(VDB(AE107,AE107*0.05,'FA Addition'!$O107,0,YEARFRAC('FA Addition'!$C107,$P$1-1,3),'FA Addition'!$Q107),FAAddition[[#This Row],[Original Cost (Rs)]]-FAAddition[[#This Row],[Salvage Value]])),0),0)</f>
        <v>7123</v>
      </c>
      <c r="AM107" s="119"/>
      <c r="AN107" s="117">
        <f>MAX(IF(AH107&gt;0,IF('FA Addition'!$N107="SLM",($AF107-'FA Addition'!$M107)*'FA Addition'!$P107*AH107/365,IFERROR(VDB(AF107,AF107*0.05,'FA Addition'!$O107,0,YEARFRAC('FA Addition'!$C107,$L$1,3),'FA Addition'!$Q107),FAAddition[[#This Row],[Original Cost (Rs)]]-FAAddition[[#This Row],[Salvage Value]])),0),0)</f>
        <v>7123</v>
      </c>
      <c r="AO107" s="117">
        <f t="shared" si="8"/>
        <v>0</v>
      </c>
      <c r="AQ107" s="117">
        <f t="shared" si="6"/>
        <v>-7123</v>
      </c>
      <c r="AR107" s="120">
        <f t="shared" si="7"/>
        <v>-7123</v>
      </c>
      <c r="AS107" s="121"/>
    </row>
    <row r="108" spans="1:45" ht="13.5" x14ac:dyDescent="0.4">
      <c r="A108" s="12">
        <f t="shared" si="9"/>
        <v>105</v>
      </c>
      <c r="B108" s="44" t="s">
        <v>439</v>
      </c>
      <c r="C108" s="45">
        <v>42423</v>
      </c>
      <c r="D108" s="45">
        <v>42423</v>
      </c>
      <c r="E108" s="46" t="s">
        <v>32</v>
      </c>
      <c r="F108" s="44" t="s">
        <v>32</v>
      </c>
      <c r="G108" s="44" t="s">
        <v>433</v>
      </c>
      <c r="H108" s="44" t="s">
        <v>32</v>
      </c>
      <c r="I108" s="47" t="s">
        <v>545</v>
      </c>
      <c r="J108" s="48">
        <v>55</v>
      </c>
      <c r="K108" s="44" t="s">
        <v>533</v>
      </c>
      <c r="L108" s="77">
        <v>282765</v>
      </c>
      <c r="M108" s="50">
        <f>ROUND('FA Addition'!$L108*5%,0.1)</f>
        <v>14138</v>
      </c>
      <c r="N108" s="113" t="str">
        <f>_xlfn.XLOOKUP(_xlfn.CONCAT(E108,B108),'Year Wise Master Dep Approach'!F:F,'Year Wise Master Dep Approach'!D:D)</f>
        <v>WDV</v>
      </c>
      <c r="O108" s="113">
        <f>_xlfn.XLOOKUP(_xlfn.CONCAT(E108,B108),'Year Wise Master Dep Approach'!F:F,'Year Wise Master Dep Approach'!E:E)</f>
        <v>3</v>
      </c>
      <c r="P108" s="114">
        <f>IFERROR(IF('FA Addition'!$N108="WDV",1-('FA Addition'!$M108/'FA Addition'!$L108)^(1/'FA Addition'!$O108),1/'FA Addition'!$O108),0)</f>
        <v>0.63159902158175152</v>
      </c>
      <c r="Q108" s="122">
        <f>'FA Addition'!$P108*'FA Addition'!$O108</f>
        <v>1.8947970647452546</v>
      </c>
      <c r="R108" s="122"/>
      <c r="S108" s="116">
        <f>IF(AND(DATE(20&amp;LEFT(FAAddition[[#This Row],[FY]],2),4,1)&lt;$L$1+1,DATE(20&amp;LEFT(FAAddition[[#This Row],[FY]],2),4,1)&gt;$P$1-1),'FA Addition'!$J108,0)</f>
        <v>0</v>
      </c>
      <c r="U108" s="117">
        <f>S108*'FA Addition'!$L108/'FA Addition'!$J108</f>
        <v>0</v>
      </c>
      <c r="W108" s="116">
        <f>SUMIFS('FA Write off'!D:D,'FA Write off'!A:A,'FA Addition'!$A108,'FA Write off'!C:C,"&lt;"&amp;'FA Addition'!$P$1)</f>
        <v>55</v>
      </c>
      <c r="Y108" s="191">
        <f>IFERROR(W108/'FA Addition'!$J108*'FA Addition'!$L108,0)</f>
        <v>282765</v>
      </c>
      <c r="AA108" s="116">
        <f>SUMIFS('FA Write off'!D:D,'FA Write off'!A:A,'FA Addition'!$A108,'FA Write off'!C:C,"&lt;"&amp;'FA Addition'!$L$1+1,'FA Write off'!C:C,"&gt;"&amp;'FA Addition'!$L$1-365)</f>
        <v>0</v>
      </c>
      <c r="AC108" s="118">
        <f>IFERROR(AA108/'FA Addition'!$J108*'FA Addition'!$L108,0)</f>
        <v>0</v>
      </c>
      <c r="AE108" s="117">
        <f>IF(AND('FA Addition'!$D108&lt;$P$1+1,U108=0),'FA Addition'!$L108,0)-Y108</f>
        <v>0</v>
      </c>
      <c r="AF108" s="117">
        <f t="shared" si="5"/>
        <v>0</v>
      </c>
      <c r="AG108" s="117">
        <f>MIN(MAX(+$P$1-'FA Addition'!$D108,0),365*'FA Addition'!$O108)</f>
        <v>1095</v>
      </c>
      <c r="AH108" s="117">
        <f>MIN(MAX($L$1-'FA Addition'!$D108+1,0),365*'FA Addition'!$O108)</f>
        <v>1095</v>
      </c>
      <c r="AI108" s="117" cm="1">
        <f t="array" ref="AI108">_xlfn.XLOOKUP(1,('FA Write off'!A:A='FA Addition'!$A108)*('FA Write off'!D:D=AA108),'FA Write off'!H:H,0,0)</f>
        <v>0</v>
      </c>
      <c r="AJ108" s="117">
        <f>IF(AC108&gt;0,MAX(IF('FA Addition'!$N108="SLM",($AC108-'FA Addition'!$M108)*'FA Addition'!$P108*AI108/365,(AC108-'FA Addition'!$M108)*(1-(1-'FA Addition'!$P108)^(AI108/365))),0),0)</f>
        <v>0</v>
      </c>
      <c r="AL108" s="117">
        <f>MAX(IF(AG108&gt;0,IF('FA Addition'!$N108="SLM",($AE108-'FA Addition'!$M108)*'FA Addition'!$P108*AG108/365,IFERROR(VDB(AE108,AE108*0.05,'FA Addition'!$O108,0,YEARFRAC('FA Addition'!$C108,$P$1-1,3),'FA Addition'!$Q108),FAAddition[[#This Row],[Original Cost (Rs)]]-FAAddition[[#This Row],[Salvage Value]])),0),0)</f>
        <v>268627</v>
      </c>
      <c r="AM108" s="119"/>
      <c r="AN108" s="117">
        <f>MAX(IF(AH108&gt;0,IF('FA Addition'!$N108="SLM",($AF108-'FA Addition'!$M108)*'FA Addition'!$P108*AH108/365,IFERROR(VDB(AF108,AF108*0.05,'FA Addition'!$O108,0,YEARFRAC('FA Addition'!$C108,$L$1,3),'FA Addition'!$Q108),FAAddition[[#This Row],[Original Cost (Rs)]]-FAAddition[[#This Row],[Salvage Value]])),0),0)</f>
        <v>268627</v>
      </c>
      <c r="AO108" s="117">
        <f t="shared" si="8"/>
        <v>0</v>
      </c>
      <c r="AQ108" s="117">
        <f t="shared" si="6"/>
        <v>-268627</v>
      </c>
      <c r="AR108" s="120">
        <f t="shared" si="7"/>
        <v>-268627</v>
      </c>
      <c r="AS108" s="121"/>
    </row>
    <row r="109" spans="1:45" ht="13.5" x14ac:dyDescent="0.4">
      <c r="A109" s="12">
        <f t="shared" si="9"/>
        <v>106</v>
      </c>
      <c r="B109" s="44" t="s">
        <v>439</v>
      </c>
      <c r="C109" s="45">
        <v>42423</v>
      </c>
      <c r="D109" s="45">
        <v>42423</v>
      </c>
      <c r="E109" s="46" t="s">
        <v>32</v>
      </c>
      <c r="F109" s="44" t="s">
        <v>32</v>
      </c>
      <c r="G109" s="44" t="s">
        <v>546</v>
      </c>
      <c r="H109" s="44" t="s">
        <v>32</v>
      </c>
      <c r="I109" s="47" t="s">
        <v>547</v>
      </c>
      <c r="J109" s="56">
        <v>1</v>
      </c>
      <c r="K109" s="44"/>
      <c r="L109" s="77">
        <v>23190</v>
      </c>
      <c r="M109" s="50">
        <f>ROUND('FA Addition'!$L109*5%,0.1)</f>
        <v>1160</v>
      </c>
      <c r="N109" s="113" t="str">
        <f>_xlfn.XLOOKUP(_xlfn.CONCAT(E109,B109),'Year Wise Master Dep Approach'!F:F,'Year Wise Master Dep Approach'!D:D)</f>
        <v>WDV</v>
      </c>
      <c r="O109" s="113">
        <f>_xlfn.XLOOKUP(_xlfn.CONCAT(E109,B109),'Year Wise Master Dep Approach'!F:F,'Year Wise Master Dep Approach'!E:E)</f>
        <v>3</v>
      </c>
      <c r="P109" s="114">
        <f>IFERROR(IF('FA Addition'!$N109="WDV",1-('FA Addition'!$M109/'FA Addition'!$L109)^(1/'FA Addition'!$O109),1/'FA Addition'!$O109),0)</f>
        <v>0.63154390343361344</v>
      </c>
      <c r="Q109" s="122">
        <f>'FA Addition'!$P109*'FA Addition'!$O109</f>
        <v>1.8946317103008403</v>
      </c>
      <c r="R109" s="122"/>
      <c r="S109" s="116">
        <f>IF(AND(DATE(20&amp;LEFT(FAAddition[[#This Row],[FY]],2),4,1)&lt;$L$1+1,DATE(20&amp;LEFT(FAAddition[[#This Row],[FY]],2),4,1)&gt;$P$1-1),'FA Addition'!$J109,0)</f>
        <v>0</v>
      </c>
      <c r="U109" s="117">
        <f>S109*'FA Addition'!$L109/'FA Addition'!$J109</f>
        <v>0</v>
      </c>
      <c r="W109" s="116">
        <f>SUMIFS('FA Write off'!D:D,'FA Write off'!A:A,'FA Addition'!$A109,'FA Write off'!C:C,"&lt;"&amp;'FA Addition'!$P$1)</f>
        <v>1</v>
      </c>
      <c r="Y109" s="191">
        <f>IFERROR(W109/'FA Addition'!$J109*'FA Addition'!$L109,0)</f>
        <v>23190</v>
      </c>
      <c r="AA109" s="116">
        <f>SUMIFS('FA Write off'!D:D,'FA Write off'!A:A,'FA Addition'!$A109,'FA Write off'!C:C,"&lt;"&amp;'FA Addition'!$L$1+1,'FA Write off'!C:C,"&gt;"&amp;'FA Addition'!$L$1-365)</f>
        <v>0</v>
      </c>
      <c r="AC109" s="118">
        <f>IFERROR(AA109/'FA Addition'!$J109*'FA Addition'!$L109,0)</f>
        <v>0</v>
      </c>
      <c r="AE109" s="117">
        <f>IF(AND('FA Addition'!$D109&lt;$P$1+1,U109=0),'FA Addition'!$L109,0)-Y109</f>
        <v>0</v>
      </c>
      <c r="AF109" s="117">
        <f t="shared" si="5"/>
        <v>0</v>
      </c>
      <c r="AG109" s="117">
        <f>MIN(MAX(+$P$1-'FA Addition'!$D109,0),365*'FA Addition'!$O109)</f>
        <v>1095</v>
      </c>
      <c r="AH109" s="117">
        <f>MIN(MAX($L$1-'FA Addition'!$D109+1,0),365*'FA Addition'!$O109)</f>
        <v>1095</v>
      </c>
      <c r="AI109" s="117" cm="1">
        <f t="array" ref="AI109">_xlfn.XLOOKUP(1,('FA Write off'!A:A='FA Addition'!$A109)*('FA Write off'!D:D=AA109),'FA Write off'!H:H,0,0)</f>
        <v>0</v>
      </c>
      <c r="AJ109" s="117">
        <f>IF(AC109&gt;0,MAX(IF('FA Addition'!$N109="SLM",($AC109-'FA Addition'!$M109)*'FA Addition'!$P109*AI109/365,(AC109-'FA Addition'!$M109)*(1-(1-'FA Addition'!$P109)^(AI109/365))),0),0)</f>
        <v>0</v>
      </c>
      <c r="AL109" s="117">
        <f>MAX(IF(AG109&gt;0,IF('FA Addition'!$N109="SLM",($AE109-'FA Addition'!$M109)*'FA Addition'!$P109*AG109/365,IFERROR(VDB(AE109,AE109*0.05,'FA Addition'!$O109,0,YEARFRAC('FA Addition'!$C109,$P$1-1,3),'FA Addition'!$Q109),FAAddition[[#This Row],[Original Cost (Rs)]]-FAAddition[[#This Row],[Salvage Value]])),0),0)</f>
        <v>22030</v>
      </c>
      <c r="AM109" s="119"/>
      <c r="AN109" s="117">
        <f>MAX(IF(AH109&gt;0,IF('FA Addition'!$N109="SLM",($AF109-'FA Addition'!$M109)*'FA Addition'!$P109*AH109/365,IFERROR(VDB(AF109,AF109*0.05,'FA Addition'!$O109,0,YEARFRAC('FA Addition'!$C109,$L$1,3),'FA Addition'!$Q109),FAAddition[[#This Row],[Original Cost (Rs)]]-FAAddition[[#This Row],[Salvage Value]])),0),0)</f>
        <v>22030</v>
      </c>
      <c r="AO109" s="117">
        <f t="shared" si="8"/>
        <v>0</v>
      </c>
      <c r="AQ109" s="117">
        <f t="shared" si="6"/>
        <v>-22030</v>
      </c>
      <c r="AR109" s="120">
        <f t="shared" si="7"/>
        <v>-22030</v>
      </c>
      <c r="AS109" s="121"/>
    </row>
    <row r="110" spans="1:45" ht="13.5" x14ac:dyDescent="0.4">
      <c r="A110" s="12">
        <f t="shared" si="9"/>
        <v>107</v>
      </c>
      <c r="B110" s="44" t="s">
        <v>439</v>
      </c>
      <c r="C110" s="45">
        <v>42423</v>
      </c>
      <c r="D110" s="45">
        <v>42423</v>
      </c>
      <c r="E110" s="46" t="s">
        <v>32</v>
      </c>
      <c r="F110" s="44" t="s">
        <v>32</v>
      </c>
      <c r="G110" s="44" t="s">
        <v>546</v>
      </c>
      <c r="H110" s="44" t="s">
        <v>32</v>
      </c>
      <c r="I110" s="47" t="s">
        <v>548</v>
      </c>
      <c r="J110" s="56">
        <v>1</v>
      </c>
      <c r="K110" s="44"/>
      <c r="L110" s="77">
        <v>15460</v>
      </c>
      <c r="M110" s="50">
        <f>ROUND('FA Addition'!$L110*5%,0.1)</f>
        <v>773</v>
      </c>
      <c r="N110" s="113" t="str">
        <f>_xlfn.XLOOKUP(_xlfn.CONCAT(E110,B110),'Year Wise Master Dep Approach'!F:F,'Year Wise Master Dep Approach'!D:D)</f>
        <v>WDV</v>
      </c>
      <c r="O110" s="113">
        <f>_xlfn.XLOOKUP(_xlfn.CONCAT(E110,B110),'Year Wise Master Dep Approach'!F:F,'Year Wise Master Dep Approach'!E:E)</f>
        <v>3</v>
      </c>
      <c r="P110" s="114">
        <f>IFERROR(IF('FA Addition'!$N110="WDV",1-('FA Addition'!$M110/'FA Addition'!$L110)^(1/'FA Addition'!$O110),1/'FA Addition'!$O110),0)</f>
        <v>0.63159685013596123</v>
      </c>
      <c r="Q110" s="122">
        <f>'FA Addition'!$P110*'FA Addition'!$O110</f>
        <v>1.8947905504078837</v>
      </c>
      <c r="R110" s="122"/>
      <c r="S110" s="116">
        <f>IF(AND(DATE(20&amp;LEFT(FAAddition[[#This Row],[FY]],2),4,1)&lt;$L$1+1,DATE(20&amp;LEFT(FAAddition[[#This Row],[FY]],2),4,1)&gt;$P$1-1),'FA Addition'!$J110,0)</f>
        <v>0</v>
      </c>
      <c r="U110" s="117">
        <f>S110*'FA Addition'!$L110/'FA Addition'!$J110</f>
        <v>0</v>
      </c>
      <c r="W110" s="116">
        <f>SUMIFS('FA Write off'!D:D,'FA Write off'!A:A,'FA Addition'!$A110,'FA Write off'!C:C,"&lt;"&amp;'FA Addition'!$P$1)</f>
        <v>1</v>
      </c>
      <c r="Y110" s="191">
        <f>IFERROR(W110/'FA Addition'!$J110*'FA Addition'!$L110,0)</f>
        <v>15460</v>
      </c>
      <c r="AA110" s="116">
        <f>SUMIFS('FA Write off'!D:D,'FA Write off'!A:A,'FA Addition'!$A110,'FA Write off'!C:C,"&lt;"&amp;'FA Addition'!$L$1+1,'FA Write off'!C:C,"&gt;"&amp;'FA Addition'!$L$1-365)</f>
        <v>0</v>
      </c>
      <c r="AC110" s="118">
        <f>IFERROR(AA110/'FA Addition'!$J110*'FA Addition'!$L110,0)</f>
        <v>0</v>
      </c>
      <c r="AE110" s="117">
        <f>IF(AND('FA Addition'!$D110&lt;$P$1+1,U110=0),'FA Addition'!$L110,0)-Y110</f>
        <v>0</v>
      </c>
      <c r="AF110" s="117">
        <f t="shared" si="5"/>
        <v>0</v>
      </c>
      <c r="AG110" s="117">
        <f>MIN(MAX(+$P$1-'FA Addition'!$D110,0),365*'FA Addition'!$O110)</f>
        <v>1095</v>
      </c>
      <c r="AH110" s="117">
        <f>MIN(MAX($L$1-'FA Addition'!$D110+1,0),365*'FA Addition'!$O110)</f>
        <v>1095</v>
      </c>
      <c r="AI110" s="117" cm="1">
        <f t="array" ref="AI110">_xlfn.XLOOKUP(1,('FA Write off'!A:A='FA Addition'!$A110)*('FA Write off'!D:D=AA110),'FA Write off'!H:H,0,0)</f>
        <v>0</v>
      </c>
      <c r="AJ110" s="117">
        <f>IF(AC110&gt;0,MAX(IF('FA Addition'!$N110="SLM",($AC110-'FA Addition'!$M110)*'FA Addition'!$P110*AI110/365,(AC110-'FA Addition'!$M110)*(1-(1-'FA Addition'!$P110)^(AI110/365))),0),0)</f>
        <v>0</v>
      </c>
      <c r="AL110" s="117">
        <f>MAX(IF(AG110&gt;0,IF('FA Addition'!$N110="SLM",($AE110-'FA Addition'!$M110)*'FA Addition'!$P110*AG110/365,IFERROR(VDB(AE110,AE110*0.05,'FA Addition'!$O110,0,YEARFRAC('FA Addition'!$C110,$P$1-1,3),'FA Addition'!$Q110),FAAddition[[#This Row],[Original Cost (Rs)]]-FAAddition[[#This Row],[Salvage Value]])),0),0)</f>
        <v>14687</v>
      </c>
      <c r="AM110" s="119"/>
      <c r="AN110" s="117">
        <f>MAX(IF(AH110&gt;0,IF('FA Addition'!$N110="SLM",($AF110-'FA Addition'!$M110)*'FA Addition'!$P110*AH110/365,IFERROR(VDB(AF110,AF110*0.05,'FA Addition'!$O110,0,YEARFRAC('FA Addition'!$C110,$L$1,3),'FA Addition'!$Q110),FAAddition[[#This Row],[Original Cost (Rs)]]-FAAddition[[#This Row],[Salvage Value]])),0),0)</f>
        <v>14687</v>
      </c>
      <c r="AO110" s="117">
        <f t="shared" si="8"/>
        <v>0</v>
      </c>
      <c r="AQ110" s="117">
        <f t="shared" si="6"/>
        <v>-14687</v>
      </c>
      <c r="AR110" s="120">
        <f t="shared" si="7"/>
        <v>-14687</v>
      </c>
      <c r="AS110" s="121"/>
    </row>
    <row r="111" spans="1:45" ht="13.5" x14ac:dyDescent="0.4">
      <c r="A111" s="12">
        <f t="shared" si="9"/>
        <v>108</v>
      </c>
      <c r="B111" s="44" t="s">
        <v>439</v>
      </c>
      <c r="C111" s="45">
        <v>42423</v>
      </c>
      <c r="D111" s="45">
        <v>42423</v>
      </c>
      <c r="E111" s="46" t="s">
        <v>32</v>
      </c>
      <c r="F111" s="44" t="s">
        <v>32</v>
      </c>
      <c r="G111" s="44" t="s">
        <v>546</v>
      </c>
      <c r="H111" s="44" t="s">
        <v>32</v>
      </c>
      <c r="I111" s="47" t="s">
        <v>549</v>
      </c>
      <c r="J111" s="56">
        <v>1</v>
      </c>
      <c r="K111" s="44"/>
      <c r="L111" s="77">
        <v>22290</v>
      </c>
      <c r="M111" s="50">
        <f>ROUND('FA Addition'!$L111*5%,0.1)</f>
        <v>1115</v>
      </c>
      <c r="N111" s="113" t="str">
        <f>_xlfn.XLOOKUP(_xlfn.CONCAT(E111,B111),'Year Wise Master Dep Approach'!F:F,'Year Wise Master Dep Approach'!D:D)</f>
        <v>WDV</v>
      </c>
      <c r="O111" s="113">
        <f>_xlfn.XLOOKUP(_xlfn.CONCAT(E111,B111),'Year Wise Master Dep Approach'!F:F,'Year Wise Master Dep Approach'!E:E)</f>
        <v>3</v>
      </c>
      <c r="P111" s="114">
        <f>IFERROR(IF('FA Addition'!$N111="WDV",1-('FA Addition'!$M111/'FA Addition'!$L111)^(1/'FA Addition'!$O111),1/'FA Addition'!$O111),0)</f>
        <v>0.63154176593211042</v>
      </c>
      <c r="Q111" s="122">
        <f>'FA Addition'!$P111*'FA Addition'!$O111</f>
        <v>1.8946252977963312</v>
      </c>
      <c r="R111" s="122"/>
      <c r="S111" s="116">
        <f>IF(AND(DATE(20&amp;LEFT(FAAddition[[#This Row],[FY]],2),4,1)&lt;$L$1+1,DATE(20&amp;LEFT(FAAddition[[#This Row],[FY]],2),4,1)&gt;$P$1-1),'FA Addition'!$J111,0)</f>
        <v>0</v>
      </c>
      <c r="U111" s="117">
        <f>S111*'FA Addition'!$L111/'FA Addition'!$J111</f>
        <v>0</v>
      </c>
      <c r="W111" s="116">
        <f>SUMIFS('FA Write off'!D:D,'FA Write off'!A:A,'FA Addition'!$A111,'FA Write off'!C:C,"&lt;"&amp;'FA Addition'!$P$1)</f>
        <v>1</v>
      </c>
      <c r="Y111" s="191">
        <f>IFERROR(W111/'FA Addition'!$J111*'FA Addition'!$L111,0)</f>
        <v>22290</v>
      </c>
      <c r="AA111" s="116">
        <f>SUMIFS('FA Write off'!D:D,'FA Write off'!A:A,'FA Addition'!$A111,'FA Write off'!C:C,"&lt;"&amp;'FA Addition'!$L$1+1,'FA Write off'!C:C,"&gt;"&amp;'FA Addition'!$L$1-365)</f>
        <v>0</v>
      </c>
      <c r="AC111" s="118">
        <f>IFERROR(AA111/'FA Addition'!$J111*'FA Addition'!$L111,0)</f>
        <v>0</v>
      </c>
      <c r="AE111" s="117">
        <f>IF(AND('FA Addition'!$D111&lt;$P$1+1,U111=0),'FA Addition'!$L111,0)-Y111</f>
        <v>0</v>
      </c>
      <c r="AF111" s="117">
        <f t="shared" si="5"/>
        <v>0</v>
      </c>
      <c r="AG111" s="117">
        <f>MIN(MAX(+$P$1-'FA Addition'!$D111,0),365*'FA Addition'!$O111)</f>
        <v>1095</v>
      </c>
      <c r="AH111" s="117">
        <f>MIN(MAX($L$1-'FA Addition'!$D111+1,0),365*'FA Addition'!$O111)</f>
        <v>1095</v>
      </c>
      <c r="AI111" s="117" cm="1">
        <f t="array" ref="AI111">_xlfn.XLOOKUP(1,('FA Write off'!A:A='FA Addition'!$A111)*('FA Write off'!D:D=AA111),'FA Write off'!H:H,0,0)</f>
        <v>0</v>
      </c>
      <c r="AJ111" s="117">
        <f>IF(AC111&gt;0,MAX(IF('FA Addition'!$N111="SLM",($AC111-'FA Addition'!$M111)*'FA Addition'!$P111*AI111/365,(AC111-'FA Addition'!$M111)*(1-(1-'FA Addition'!$P111)^(AI111/365))),0),0)</f>
        <v>0</v>
      </c>
      <c r="AL111" s="117">
        <f>MAX(IF(AG111&gt;0,IF('FA Addition'!$N111="SLM",($AE111-'FA Addition'!$M111)*'FA Addition'!$P111*AG111/365,IFERROR(VDB(AE111,AE111*0.05,'FA Addition'!$O111,0,YEARFRAC('FA Addition'!$C111,$P$1-1,3),'FA Addition'!$Q111),FAAddition[[#This Row],[Original Cost (Rs)]]-FAAddition[[#This Row],[Salvage Value]])),0),0)</f>
        <v>21175</v>
      </c>
      <c r="AM111" s="119"/>
      <c r="AN111" s="117">
        <f>MAX(IF(AH111&gt;0,IF('FA Addition'!$N111="SLM",($AF111-'FA Addition'!$M111)*'FA Addition'!$P111*AH111/365,IFERROR(VDB(AF111,AF111*0.05,'FA Addition'!$O111,0,YEARFRAC('FA Addition'!$C111,$L$1,3),'FA Addition'!$Q111),FAAddition[[#This Row],[Original Cost (Rs)]]-FAAddition[[#This Row],[Salvage Value]])),0),0)</f>
        <v>21175</v>
      </c>
      <c r="AO111" s="117">
        <f t="shared" si="8"/>
        <v>0</v>
      </c>
      <c r="AQ111" s="117">
        <f t="shared" si="6"/>
        <v>-21175</v>
      </c>
      <c r="AR111" s="120">
        <f t="shared" si="7"/>
        <v>-21175</v>
      </c>
      <c r="AS111" s="121"/>
    </row>
    <row r="112" spans="1:45" ht="13.5" x14ac:dyDescent="0.4">
      <c r="A112" s="12">
        <f t="shared" si="9"/>
        <v>109</v>
      </c>
      <c r="B112" s="44" t="s">
        <v>439</v>
      </c>
      <c r="C112" s="45">
        <v>42423</v>
      </c>
      <c r="D112" s="45">
        <v>42423</v>
      </c>
      <c r="E112" s="46" t="s">
        <v>32</v>
      </c>
      <c r="F112" s="44" t="s">
        <v>32</v>
      </c>
      <c r="G112" s="44" t="s">
        <v>550</v>
      </c>
      <c r="H112" s="44" t="s">
        <v>32</v>
      </c>
      <c r="I112" s="47" t="s">
        <v>551</v>
      </c>
      <c r="J112" s="56">
        <v>1</v>
      </c>
      <c r="K112" s="44"/>
      <c r="L112" s="77">
        <v>1599</v>
      </c>
      <c r="M112" s="50">
        <f>ROUND('FA Addition'!$L112*5%,0.1)</f>
        <v>80</v>
      </c>
      <c r="N112" s="113" t="str">
        <f>_xlfn.XLOOKUP(_xlfn.CONCAT(E112,B112),'Year Wise Master Dep Approach'!F:F,'Year Wise Master Dep Approach'!D:D)</f>
        <v>WDV</v>
      </c>
      <c r="O112" s="113">
        <f>_xlfn.XLOOKUP(_xlfn.CONCAT(E112,B112),'Year Wise Master Dep Approach'!F:F,'Year Wise Master Dep Approach'!E:E)</f>
        <v>3</v>
      </c>
      <c r="P112" s="114">
        <f>IFERROR(IF('FA Addition'!$N112="WDV",1-('FA Addition'!$M112/'FA Addition'!$L112)^(1/'FA Addition'!$O112),1/'FA Addition'!$O112),0)</f>
        <v>0.63152006748474587</v>
      </c>
      <c r="Q112" s="122">
        <f>'FA Addition'!$P112*'FA Addition'!$O112</f>
        <v>1.8945602024542376</v>
      </c>
      <c r="R112" s="122"/>
      <c r="S112" s="116">
        <f>IF(AND(DATE(20&amp;LEFT(FAAddition[[#This Row],[FY]],2),4,1)&lt;$L$1+1,DATE(20&amp;LEFT(FAAddition[[#This Row],[FY]],2),4,1)&gt;$P$1-1),'FA Addition'!$J112,0)</f>
        <v>0</v>
      </c>
      <c r="U112" s="117">
        <f>S112*'FA Addition'!$L112/'FA Addition'!$J112</f>
        <v>0</v>
      </c>
      <c r="W112" s="116">
        <f>SUMIFS('FA Write off'!D:D,'FA Write off'!A:A,'FA Addition'!$A112,'FA Write off'!C:C,"&lt;"&amp;'FA Addition'!$P$1)</f>
        <v>1</v>
      </c>
      <c r="Y112" s="191">
        <f>IFERROR(W112/'FA Addition'!$J112*'FA Addition'!$L112,0)</f>
        <v>1599</v>
      </c>
      <c r="AA112" s="116">
        <f>SUMIFS('FA Write off'!D:D,'FA Write off'!A:A,'FA Addition'!$A112,'FA Write off'!C:C,"&lt;"&amp;'FA Addition'!$L$1+1,'FA Write off'!C:C,"&gt;"&amp;'FA Addition'!$L$1-365)</f>
        <v>0</v>
      </c>
      <c r="AC112" s="118">
        <f>IFERROR(AA112/'FA Addition'!$J112*'FA Addition'!$L112,0)</f>
        <v>0</v>
      </c>
      <c r="AE112" s="117">
        <f>IF(AND('FA Addition'!$D112&lt;$P$1+1,U112=0),'FA Addition'!$L112,0)-Y112</f>
        <v>0</v>
      </c>
      <c r="AF112" s="117">
        <f t="shared" si="5"/>
        <v>0</v>
      </c>
      <c r="AG112" s="117">
        <f>MIN(MAX(+$P$1-'FA Addition'!$D112,0),365*'FA Addition'!$O112)</f>
        <v>1095</v>
      </c>
      <c r="AH112" s="117">
        <f>MIN(MAX($L$1-'FA Addition'!$D112+1,0),365*'FA Addition'!$O112)</f>
        <v>1095</v>
      </c>
      <c r="AI112" s="117" cm="1">
        <f t="array" ref="AI112">_xlfn.XLOOKUP(1,('FA Write off'!A:A='FA Addition'!$A112)*('FA Write off'!D:D=AA112),'FA Write off'!H:H,0,0)</f>
        <v>0</v>
      </c>
      <c r="AJ112" s="117">
        <f>IF(AC112&gt;0,MAX(IF('FA Addition'!$N112="SLM",($AC112-'FA Addition'!$M112)*'FA Addition'!$P112*AI112/365,(AC112-'FA Addition'!$M112)*(1-(1-'FA Addition'!$P112)^(AI112/365))),0),0)</f>
        <v>0</v>
      </c>
      <c r="AL112" s="117">
        <f>MAX(IF(AG112&gt;0,IF('FA Addition'!$N112="SLM",($AE112-'FA Addition'!$M112)*'FA Addition'!$P112*AG112/365,IFERROR(VDB(AE112,AE112*0.05,'FA Addition'!$O112,0,YEARFRAC('FA Addition'!$C112,$P$1-1,3),'FA Addition'!$Q112),FAAddition[[#This Row],[Original Cost (Rs)]]-FAAddition[[#This Row],[Salvage Value]])),0),0)</f>
        <v>1519</v>
      </c>
      <c r="AM112" s="119"/>
      <c r="AN112" s="117">
        <f>MAX(IF(AH112&gt;0,IF('FA Addition'!$N112="SLM",($AF112-'FA Addition'!$M112)*'FA Addition'!$P112*AH112/365,IFERROR(VDB(AF112,AF112*0.05,'FA Addition'!$O112,0,YEARFRAC('FA Addition'!$C112,$L$1,3),'FA Addition'!$Q112),FAAddition[[#This Row],[Original Cost (Rs)]]-FAAddition[[#This Row],[Salvage Value]])),0),0)</f>
        <v>1519</v>
      </c>
      <c r="AO112" s="117">
        <f t="shared" si="8"/>
        <v>0</v>
      </c>
      <c r="AQ112" s="117">
        <f t="shared" si="6"/>
        <v>-1519</v>
      </c>
      <c r="AR112" s="120">
        <f t="shared" si="7"/>
        <v>-1519</v>
      </c>
      <c r="AS112" s="121"/>
    </row>
    <row r="113" spans="1:45" ht="13.5" x14ac:dyDescent="0.4">
      <c r="A113" s="12">
        <f t="shared" si="9"/>
        <v>110</v>
      </c>
      <c r="B113" s="44" t="s">
        <v>439</v>
      </c>
      <c r="C113" s="45">
        <v>42423</v>
      </c>
      <c r="D113" s="45">
        <v>42423</v>
      </c>
      <c r="E113" s="46" t="s">
        <v>32</v>
      </c>
      <c r="F113" s="44" t="s">
        <v>32</v>
      </c>
      <c r="G113" s="44" t="s">
        <v>552</v>
      </c>
      <c r="H113" s="44" t="s">
        <v>32</v>
      </c>
      <c r="I113" s="47"/>
      <c r="J113" s="56">
        <v>1</v>
      </c>
      <c r="K113" s="44"/>
      <c r="L113" s="77">
        <v>1998</v>
      </c>
      <c r="M113" s="50">
        <f>ROUND('FA Addition'!$L113*5%,0.1)</f>
        <v>100</v>
      </c>
      <c r="N113" s="113" t="str">
        <f>_xlfn.XLOOKUP(_xlfn.CONCAT(E113,B113),'Year Wise Master Dep Approach'!F:F,'Year Wise Master Dep Approach'!D:D)</f>
        <v>WDV</v>
      </c>
      <c r="O113" s="113">
        <f>_xlfn.XLOOKUP(_xlfn.CONCAT(E113,B113),'Year Wise Master Dep Approach'!F:F,'Year Wise Master Dep Approach'!E:E)</f>
        <v>3</v>
      </c>
      <c r="P113" s="114">
        <f>IFERROR(IF('FA Addition'!$N113="WDV",1-('FA Addition'!$M113/'FA Addition'!$L113)^(1/'FA Addition'!$O113),1/'FA Addition'!$O113),0)</f>
        <v>0.63147396715491233</v>
      </c>
      <c r="Q113" s="122">
        <f>'FA Addition'!$P113*'FA Addition'!$O113</f>
        <v>1.894421901464737</v>
      </c>
      <c r="R113" s="122"/>
      <c r="S113" s="116">
        <f>IF(AND(DATE(20&amp;LEFT(FAAddition[[#This Row],[FY]],2),4,1)&lt;$L$1+1,DATE(20&amp;LEFT(FAAddition[[#This Row],[FY]],2),4,1)&gt;$P$1-1),'FA Addition'!$J113,0)</f>
        <v>0</v>
      </c>
      <c r="U113" s="117">
        <f>S113*'FA Addition'!$L113/'FA Addition'!$J113</f>
        <v>0</v>
      </c>
      <c r="W113" s="116">
        <f>SUMIFS('FA Write off'!D:D,'FA Write off'!A:A,'FA Addition'!$A113,'FA Write off'!C:C,"&lt;"&amp;'FA Addition'!$P$1)</f>
        <v>1</v>
      </c>
      <c r="Y113" s="191">
        <f>IFERROR(W113/'FA Addition'!$J113*'FA Addition'!$L113,0)</f>
        <v>1998</v>
      </c>
      <c r="AA113" s="116">
        <f>SUMIFS('FA Write off'!D:D,'FA Write off'!A:A,'FA Addition'!$A113,'FA Write off'!C:C,"&lt;"&amp;'FA Addition'!$L$1+1,'FA Write off'!C:C,"&gt;"&amp;'FA Addition'!$L$1-365)</f>
        <v>0</v>
      </c>
      <c r="AC113" s="118">
        <f>IFERROR(AA113/'FA Addition'!$J113*'FA Addition'!$L113,0)</f>
        <v>0</v>
      </c>
      <c r="AE113" s="117">
        <f>IF(AND('FA Addition'!$D113&lt;$P$1+1,U113=0),'FA Addition'!$L113,0)-Y113</f>
        <v>0</v>
      </c>
      <c r="AF113" s="117">
        <f t="shared" si="5"/>
        <v>0</v>
      </c>
      <c r="AG113" s="117">
        <f>MIN(MAX(+$P$1-'FA Addition'!$D113,0),365*'FA Addition'!$O113)</f>
        <v>1095</v>
      </c>
      <c r="AH113" s="117">
        <f>MIN(MAX($L$1-'FA Addition'!$D113+1,0),365*'FA Addition'!$O113)</f>
        <v>1095</v>
      </c>
      <c r="AI113" s="117" cm="1">
        <f t="array" ref="AI113">_xlfn.XLOOKUP(1,('FA Write off'!A:A='FA Addition'!$A113)*('FA Write off'!D:D=AA113),'FA Write off'!H:H,0,0)</f>
        <v>0</v>
      </c>
      <c r="AJ113" s="117">
        <f>IF(AC113&gt;0,MAX(IF('FA Addition'!$N113="SLM",($AC113-'FA Addition'!$M113)*'FA Addition'!$P113*AI113/365,(AC113-'FA Addition'!$M113)*(1-(1-'FA Addition'!$P113)^(AI113/365))),0),0)</f>
        <v>0</v>
      </c>
      <c r="AL113" s="117">
        <f>MAX(IF(AG113&gt;0,IF('FA Addition'!$N113="SLM",($AE113-'FA Addition'!$M113)*'FA Addition'!$P113*AG113/365,IFERROR(VDB(AE113,AE113*0.05,'FA Addition'!$O113,0,YEARFRAC('FA Addition'!$C113,$P$1-1,3),'FA Addition'!$Q113),FAAddition[[#This Row],[Original Cost (Rs)]]-FAAddition[[#This Row],[Salvage Value]])),0),0)</f>
        <v>1898</v>
      </c>
      <c r="AM113" s="119"/>
      <c r="AN113" s="117">
        <f>MAX(IF(AH113&gt;0,IF('FA Addition'!$N113="SLM",($AF113-'FA Addition'!$M113)*'FA Addition'!$P113*AH113/365,IFERROR(VDB(AF113,AF113*0.05,'FA Addition'!$O113,0,YEARFRAC('FA Addition'!$C113,$L$1,3),'FA Addition'!$Q113),FAAddition[[#This Row],[Original Cost (Rs)]]-FAAddition[[#This Row],[Salvage Value]])),0),0)</f>
        <v>1898</v>
      </c>
      <c r="AO113" s="117">
        <f t="shared" si="8"/>
        <v>0</v>
      </c>
      <c r="AQ113" s="117">
        <f t="shared" si="6"/>
        <v>-1898</v>
      </c>
      <c r="AR113" s="120">
        <f t="shared" si="7"/>
        <v>-1898</v>
      </c>
      <c r="AS113" s="121"/>
    </row>
    <row r="114" spans="1:45" ht="13.5" x14ac:dyDescent="0.4">
      <c r="A114" s="12">
        <f t="shared" si="9"/>
        <v>111</v>
      </c>
      <c r="B114" s="44" t="s">
        <v>439</v>
      </c>
      <c r="C114" s="45">
        <v>42460</v>
      </c>
      <c r="D114" s="45">
        <v>42460</v>
      </c>
      <c r="E114" s="46" t="s">
        <v>451</v>
      </c>
      <c r="F114" s="44" t="s">
        <v>21</v>
      </c>
      <c r="G114" s="44"/>
      <c r="H114" s="44"/>
      <c r="I114" s="47"/>
      <c r="J114" s="56">
        <v>1</v>
      </c>
      <c r="K114" s="44"/>
      <c r="L114" s="52">
        <v>246327</v>
      </c>
      <c r="M114" s="50">
        <f>ROUND('FA Addition'!$L114*5%,0.1)</f>
        <v>12316</v>
      </c>
      <c r="N114" s="113" t="str">
        <f>_xlfn.XLOOKUP(_xlfn.CONCAT(E114,B114),'Year Wise Master Dep Approach'!F:F,'Year Wise Master Dep Approach'!D:D)</f>
        <v>WDV</v>
      </c>
      <c r="O114" s="113">
        <f>_xlfn.XLOOKUP(_xlfn.CONCAT(E114,B114),'Year Wise Master Dep Approach'!F:F,'Year Wise Master Dep Approach'!E:E)</f>
        <v>3</v>
      </c>
      <c r="P114" s="114">
        <f>IFERROR(IF('FA Addition'!$N114="WDV",1-('FA Addition'!$M114/'FA Addition'!$L114)^(1/'FA Addition'!$O114),1/'FA Addition'!$O114),0)</f>
        <v>0.63160033986909025</v>
      </c>
      <c r="Q114" s="122">
        <f>'FA Addition'!$P114*'FA Addition'!$O114</f>
        <v>1.8948010196072707</v>
      </c>
      <c r="R114" s="122"/>
      <c r="S114" s="116">
        <f>IF(AND(DATE(20&amp;LEFT(FAAddition[[#This Row],[FY]],2),4,1)&lt;$L$1+1,DATE(20&amp;LEFT(FAAddition[[#This Row],[FY]],2),4,1)&gt;$P$1-1),'FA Addition'!$J114,0)</f>
        <v>0</v>
      </c>
      <c r="U114" s="117">
        <f>S114*'FA Addition'!$L114/'FA Addition'!$J114</f>
        <v>0</v>
      </c>
      <c r="W114" s="116">
        <f>SUMIFS('FA Write off'!D:D,'FA Write off'!A:A,'FA Addition'!$A114,'FA Write off'!C:C,"&lt;"&amp;'FA Addition'!$P$1)</f>
        <v>0</v>
      </c>
      <c r="Y114" s="191">
        <f>IFERROR(W114/'FA Addition'!$J114*'FA Addition'!$L114,0)</f>
        <v>0</v>
      </c>
      <c r="AA114" s="116">
        <f>SUMIFS('FA Write off'!D:D,'FA Write off'!A:A,'FA Addition'!$A114,'FA Write off'!C:C,"&lt;"&amp;'FA Addition'!$L$1+1,'FA Write off'!C:C,"&gt;"&amp;'FA Addition'!$L$1-365)</f>
        <v>0</v>
      </c>
      <c r="AC114" s="118">
        <f>IFERROR(AA114/'FA Addition'!$J114*'FA Addition'!$L114,0)</f>
        <v>0</v>
      </c>
      <c r="AE114" s="117">
        <f>IF(AND('FA Addition'!$D114&lt;$P$1+1,U114=0),'FA Addition'!$L114,0)-Y114</f>
        <v>246327</v>
      </c>
      <c r="AF114" s="117">
        <f t="shared" si="5"/>
        <v>246327</v>
      </c>
      <c r="AG114" s="117">
        <f>MIN(MAX(+$P$1-'FA Addition'!$D114,0),365*'FA Addition'!$O114)</f>
        <v>1095</v>
      </c>
      <c r="AH114" s="117">
        <f>MIN(MAX($L$1-'FA Addition'!$D114+1,0),365*'FA Addition'!$O114)</f>
        <v>1095</v>
      </c>
      <c r="AI114" s="117" cm="1">
        <f t="array" ref="AI114">_xlfn.XLOOKUP(1,('FA Write off'!A:A='FA Addition'!$A114)*('FA Write off'!D:D=AA114),'FA Write off'!H:H,0,0)</f>
        <v>0</v>
      </c>
      <c r="AJ114" s="117">
        <f>IF(AC114&gt;0,MAX(IF('FA Addition'!$N114="SLM",($AC114-'FA Addition'!$M114)*'FA Addition'!$P114*AI114/365,(AC114-'FA Addition'!$M114)*(1-(1-'FA Addition'!$P114)^(AI114/365))),0),0)</f>
        <v>0</v>
      </c>
      <c r="AL114" s="117">
        <f>MAX(IF(AG114&gt;0,IF('FA Addition'!$N114="SLM",($AE114-'FA Addition'!$M114)*'FA Addition'!$P114*AG114/365,IFERROR(VDB(AE114,AE114*0.05,'FA Addition'!$O114,0,YEARFRAC('FA Addition'!$C114,$P$1-1,3),'FA Addition'!$Q114),FAAddition[[#This Row],[Original Cost (Rs)]]-FAAddition[[#This Row],[Salvage Value]])),0),0)</f>
        <v>234011</v>
      </c>
      <c r="AM114" s="119"/>
      <c r="AN114" s="117">
        <f>MAX(IF(AH114&gt;0,IF('FA Addition'!$N114="SLM",($AF114-'FA Addition'!$M114)*'FA Addition'!$P114*AH114/365,IFERROR(VDB(AF114,AF114*0.05,'FA Addition'!$O114,0,YEARFRAC('FA Addition'!$C114,$L$1,3),'FA Addition'!$Q114),FAAddition[[#This Row],[Original Cost (Rs)]]-FAAddition[[#This Row],[Salvage Value]])),0),0)</f>
        <v>234011</v>
      </c>
      <c r="AO114" s="117">
        <f t="shared" si="8"/>
        <v>0</v>
      </c>
      <c r="AQ114" s="117">
        <f t="shared" si="6"/>
        <v>12316</v>
      </c>
      <c r="AR114" s="120">
        <f t="shared" si="7"/>
        <v>12316</v>
      </c>
      <c r="AS114" s="121"/>
    </row>
    <row r="115" spans="1:45" ht="13.5" x14ac:dyDescent="0.4">
      <c r="A115" s="12">
        <f t="shared" si="9"/>
        <v>112</v>
      </c>
      <c r="B115" s="44" t="s">
        <v>439</v>
      </c>
      <c r="C115" s="45">
        <v>42460</v>
      </c>
      <c r="D115" s="45">
        <v>42460</v>
      </c>
      <c r="E115" s="46" t="s">
        <v>32</v>
      </c>
      <c r="F115" s="44" t="s">
        <v>32</v>
      </c>
      <c r="G115" s="44"/>
      <c r="H115" s="44" t="s">
        <v>32</v>
      </c>
      <c r="I115" s="47"/>
      <c r="J115" s="48">
        <v>5</v>
      </c>
      <c r="K115" s="44"/>
      <c r="L115" s="77">
        <v>111451</v>
      </c>
      <c r="M115" s="50">
        <f>ROUND('FA Addition'!$L115*5%,0.1)</f>
        <v>5573</v>
      </c>
      <c r="N115" s="113" t="str">
        <f>_xlfn.XLOOKUP(_xlfn.CONCAT(E115,B115),'Year Wise Master Dep Approach'!F:F,'Year Wise Master Dep Approach'!D:D)</f>
        <v>WDV</v>
      </c>
      <c r="O115" s="113">
        <f>_xlfn.XLOOKUP(_xlfn.CONCAT(E115,B115),'Year Wise Master Dep Approach'!F:F,'Year Wise Master Dep Approach'!E:E)</f>
        <v>3</v>
      </c>
      <c r="P115" s="114">
        <f>IFERROR(IF('FA Addition'!$N115="WDV",1-('FA Addition'!$M115/'FA Addition'!$L115)^(1/'FA Addition'!$O115),1/'FA Addition'!$O115),0)</f>
        <v>0.63158693385256071</v>
      </c>
      <c r="Q115" s="122">
        <f>'FA Addition'!$P115*'FA Addition'!$O115</f>
        <v>1.8947608015576822</v>
      </c>
      <c r="R115" s="122"/>
      <c r="S115" s="116">
        <f>IF(AND(DATE(20&amp;LEFT(FAAddition[[#This Row],[FY]],2),4,1)&lt;$L$1+1,DATE(20&amp;LEFT(FAAddition[[#This Row],[FY]],2),4,1)&gt;$P$1-1),'FA Addition'!$J115,0)</f>
        <v>0</v>
      </c>
      <c r="U115" s="117">
        <f>S115*'FA Addition'!$L115/'FA Addition'!$J115</f>
        <v>0</v>
      </c>
      <c r="W115" s="116">
        <f>SUMIFS('FA Write off'!D:D,'FA Write off'!A:A,'FA Addition'!$A115,'FA Write off'!C:C,"&lt;"&amp;'FA Addition'!$P$1)</f>
        <v>1.1933499999999999</v>
      </c>
      <c r="Y115" s="191">
        <f>IFERROR(W115/'FA Addition'!$J115*'FA Addition'!$L115,0)</f>
        <v>26600.010169999998</v>
      </c>
      <c r="AA115" s="123">
        <f>SUMIFS('FA Write off'!D:D,'FA Write off'!A:A,'FA Addition'!$A115,'FA Write off'!C:C,"&lt;"&amp;'FA Addition'!$L$1+1,'FA Write off'!C:C,"&gt;"&amp;'FA Addition'!$L$1-365)</f>
        <v>0</v>
      </c>
      <c r="AC115" s="118">
        <f>IFERROR(AA115/'FA Addition'!$J115*'FA Addition'!$L115,0)</f>
        <v>0</v>
      </c>
      <c r="AE115" s="117">
        <f>IF(AND('FA Addition'!$D115&lt;$P$1+1,U115=0),'FA Addition'!$L115,0)-Y115</f>
        <v>84850.989830000006</v>
      </c>
      <c r="AF115" s="117">
        <f t="shared" si="5"/>
        <v>84850.989830000006</v>
      </c>
      <c r="AG115" s="117">
        <f>MIN(MAX(+$P$1-'FA Addition'!$D115,0),365*'FA Addition'!$O115)</f>
        <v>1095</v>
      </c>
      <c r="AH115" s="117">
        <f>MIN(MAX($L$1-'FA Addition'!$D115+1,0),365*'FA Addition'!$O115)</f>
        <v>1095</v>
      </c>
      <c r="AI115" s="117" cm="1">
        <f t="array" ref="AI115">_xlfn.XLOOKUP(1,('FA Write off'!A:A='FA Addition'!$A115)*('FA Write off'!D:D=AA115),'FA Write off'!H:H,0,0)</f>
        <v>0</v>
      </c>
      <c r="AJ115" s="117">
        <f>IF(AC115&gt;0,MAX(IF('FA Addition'!$N115="SLM",($AC115-'FA Addition'!$M115)*'FA Addition'!$P115*AI115/365,(AC115-'FA Addition'!$M115)*(1-(1-'FA Addition'!$P115)^(AI115/365))),0),0)</f>
        <v>0</v>
      </c>
      <c r="AL115" s="117">
        <f>MAX(IF(AG115&gt;0,IF('FA Addition'!$N115="SLM",($AE115-'FA Addition'!$M115)*'FA Addition'!$P115*AG115/365,IFERROR(VDB(AE115,AE115*0.05,'FA Addition'!$O115,0,YEARFRAC('FA Addition'!$C115,$P$1-1,3),'FA Addition'!$Q115),FAAddition[[#This Row],[Original Cost (Rs)]]-FAAddition[[#This Row],[Salvage Value]])),0),0)</f>
        <v>105878</v>
      </c>
      <c r="AM115" s="119"/>
      <c r="AN115" s="117">
        <f>MAX(IF(AH115&gt;0,IF('FA Addition'!$N115="SLM",($AF115-'FA Addition'!$M115)*'FA Addition'!$P115*AH115/365,IFERROR(VDB(AF115,AF115*0.05,'FA Addition'!$O115,0,YEARFRAC('FA Addition'!$C115,$L$1,3),'FA Addition'!$Q115),FAAddition[[#This Row],[Original Cost (Rs)]]-FAAddition[[#This Row],[Salvage Value]])),0),0)</f>
        <v>105878</v>
      </c>
      <c r="AO115" s="117">
        <f t="shared" si="8"/>
        <v>0</v>
      </c>
      <c r="AQ115" s="117">
        <f t="shared" si="6"/>
        <v>-21027.010169999994</v>
      </c>
      <c r="AR115" s="120">
        <f t="shared" si="7"/>
        <v>-21027.010169999994</v>
      </c>
      <c r="AS115" s="121"/>
    </row>
    <row r="116" spans="1:45" ht="13.5" x14ac:dyDescent="0.4">
      <c r="A116" s="12">
        <f t="shared" si="9"/>
        <v>113</v>
      </c>
      <c r="B116" s="51" t="s">
        <v>439</v>
      </c>
      <c r="C116" s="54">
        <v>42460</v>
      </c>
      <c r="D116" s="54">
        <v>42460</v>
      </c>
      <c r="E116" s="46" t="s">
        <v>445</v>
      </c>
      <c r="F116" s="51" t="s">
        <v>147</v>
      </c>
      <c r="G116" s="51" t="s">
        <v>553</v>
      </c>
      <c r="H116" s="60" t="s">
        <v>207</v>
      </c>
      <c r="I116" s="55"/>
      <c r="J116" s="56">
        <v>1</v>
      </c>
      <c r="K116" s="51" t="s">
        <v>207</v>
      </c>
      <c r="L116" s="58">
        <v>5999</v>
      </c>
      <c r="M116" s="50">
        <f>ROUND('FA Addition'!$L116*5%,0.1)</f>
        <v>300</v>
      </c>
      <c r="N116" s="113" t="str">
        <f>_xlfn.XLOOKUP(_xlfn.CONCAT(E116,B116),'Year Wise Master Dep Approach'!F:F,'Year Wise Master Dep Approach'!D:D)</f>
        <v>WDV</v>
      </c>
      <c r="O116" s="113">
        <f>_xlfn.XLOOKUP(_xlfn.CONCAT(E116,B116),'Year Wise Master Dep Approach'!F:F,'Year Wise Master Dep Approach'!E:E)</f>
        <v>5</v>
      </c>
      <c r="P116" s="114">
        <f>IFERROR(IF('FA Addition'!$N116="WDV",1-('FA Addition'!$M116/'FA Addition'!$L116)^(1/'FA Addition'!$O116),1/'FA Addition'!$O116),0)</f>
        <v>0.45070141717339463</v>
      </c>
      <c r="Q116" s="122">
        <f>'FA Addition'!$P116*'FA Addition'!$O116</f>
        <v>2.253507085866973</v>
      </c>
      <c r="R116" s="122"/>
      <c r="S116" s="116">
        <f>IF(AND(DATE(20&amp;LEFT(FAAddition[[#This Row],[FY]],2),4,1)&lt;$L$1+1,DATE(20&amp;LEFT(FAAddition[[#This Row],[FY]],2),4,1)&gt;$P$1-1),'FA Addition'!$J116,0)</f>
        <v>0</v>
      </c>
      <c r="U116" s="117">
        <f>S116*'FA Addition'!$L116/'FA Addition'!$J116</f>
        <v>0</v>
      </c>
      <c r="W116" s="116">
        <f>SUMIFS('FA Write off'!D:D,'FA Write off'!A:A,'FA Addition'!$A116,'FA Write off'!C:C,"&lt;"&amp;'FA Addition'!$P$1)</f>
        <v>0</v>
      </c>
      <c r="Y116" s="191">
        <f>IFERROR(W116/'FA Addition'!$J116*'FA Addition'!$L116,0)</f>
        <v>0</v>
      </c>
      <c r="AA116" s="116">
        <f>SUMIFS('FA Write off'!D:D,'FA Write off'!A:A,'FA Addition'!$A116,'FA Write off'!C:C,"&lt;"&amp;'FA Addition'!$L$1+1,'FA Write off'!C:C,"&gt;"&amp;'FA Addition'!$L$1-365)</f>
        <v>0</v>
      </c>
      <c r="AC116" s="118">
        <f>IFERROR(AA116/'FA Addition'!$J116*'FA Addition'!$L116,0)</f>
        <v>0</v>
      </c>
      <c r="AE116" s="117">
        <f>IF(AND('FA Addition'!$D116&lt;$P$1+1,U116=0),'FA Addition'!$L116,0)-Y116</f>
        <v>5999</v>
      </c>
      <c r="AF116" s="117">
        <f t="shared" si="5"/>
        <v>5999</v>
      </c>
      <c r="AG116" s="117">
        <f>MIN(MAX(+$P$1-'FA Addition'!$D116,0),365*'FA Addition'!$O116)</f>
        <v>1825</v>
      </c>
      <c r="AH116" s="117">
        <f>MIN(MAX($L$1-'FA Addition'!$D116+1,0),365*'FA Addition'!$O116)</f>
        <v>1825</v>
      </c>
      <c r="AI116" s="117" cm="1">
        <f t="array" ref="AI116">_xlfn.XLOOKUP(1,('FA Write off'!A:A='FA Addition'!$A116)*('FA Write off'!D:D=AA116),'FA Write off'!H:H,0,0)</f>
        <v>0</v>
      </c>
      <c r="AJ116" s="117">
        <f>IF(AC116&gt;0,MAX(IF('FA Addition'!$N116="SLM",($AC116-'FA Addition'!$M116)*'FA Addition'!$P116*AI116/365,(AC116-'FA Addition'!$M116)*(1-(1-'FA Addition'!$P116)^(AI116/365))),0),0)</f>
        <v>0</v>
      </c>
      <c r="AL116" s="117">
        <f>MAX(IF(AG116&gt;0,IF('FA Addition'!$N116="SLM",($AE116-'FA Addition'!$M116)*'FA Addition'!$P116*AG116/365,IFERROR(VDB(AE116,AE116*0.05,'FA Addition'!$O116,0,YEARFRAC('FA Addition'!$C116,$P$1-1,3),'FA Addition'!$Q116),FAAddition[[#This Row],[Original Cost (Rs)]]-FAAddition[[#This Row],[Salvage Value]])),0),0)</f>
        <v>5699</v>
      </c>
      <c r="AM116" s="119"/>
      <c r="AN116" s="117">
        <f>MAX(IF(AH116&gt;0,IF('FA Addition'!$N116="SLM",($AF116-'FA Addition'!$M116)*'FA Addition'!$P116*AH116/365,IFERROR(VDB(AF116,AF116*0.05,'FA Addition'!$O116,0,YEARFRAC('FA Addition'!$C116,$L$1,3),'FA Addition'!$Q116),FAAddition[[#This Row],[Original Cost (Rs)]]-FAAddition[[#This Row],[Salvage Value]])),0),0)</f>
        <v>5699</v>
      </c>
      <c r="AO116" s="117">
        <f t="shared" si="8"/>
        <v>0</v>
      </c>
      <c r="AQ116" s="117">
        <f t="shared" si="6"/>
        <v>300</v>
      </c>
      <c r="AR116" s="120">
        <f t="shared" si="7"/>
        <v>300</v>
      </c>
      <c r="AS116" s="121"/>
    </row>
    <row r="117" spans="1:45" ht="13.5" x14ac:dyDescent="0.4">
      <c r="A117" s="12">
        <f t="shared" si="9"/>
        <v>114</v>
      </c>
      <c r="B117" s="44" t="s">
        <v>439</v>
      </c>
      <c r="C117" s="45">
        <v>42460</v>
      </c>
      <c r="D117" s="45">
        <v>42460</v>
      </c>
      <c r="E117" s="46" t="s">
        <v>445</v>
      </c>
      <c r="F117" s="44" t="s">
        <v>147</v>
      </c>
      <c r="G117" s="44" t="s">
        <v>553</v>
      </c>
      <c r="H117" s="44" t="s">
        <v>207</v>
      </c>
      <c r="I117" s="47"/>
      <c r="J117" s="56">
        <v>1</v>
      </c>
      <c r="K117" s="44" t="s">
        <v>207</v>
      </c>
      <c r="L117" s="52">
        <v>5981</v>
      </c>
      <c r="M117" s="50">
        <f>ROUND('FA Addition'!$L117*5%,0.1)</f>
        <v>299</v>
      </c>
      <c r="N117" s="113" t="str">
        <f>_xlfn.XLOOKUP(_xlfn.CONCAT(E117,B117),'Year Wise Master Dep Approach'!F:F,'Year Wise Master Dep Approach'!D:D)</f>
        <v>WDV</v>
      </c>
      <c r="O117" s="113">
        <f>_xlfn.XLOOKUP(_xlfn.CONCAT(E117,B117),'Year Wise Master Dep Approach'!F:F,'Year Wise Master Dep Approach'!E:E)</f>
        <v>5</v>
      </c>
      <c r="P117" s="114">
        <f>IFERROR(IF('FA Addition'!$N117="WDV",1-('FA Addition'!$M117/'FA Addition'!$L117)^(1/'FA Addition'!$O117),1/'FA Addition'!$O117),0)</f>
        <v>0.45073809708161261</v>
      </c>
      <c r="Q117" s="122">
        <f>'FA Addition'!$P117*'FA Addition'!$O117</f>
        <v>2.2536904854080628</v>
      </c>
      <c r="R117" s="122"/>
      <c r="S117" s="116">
        <f>IF(AND(DATE(20&amp;LEFT(FAAddition[[#This Row],[FY]],2),4,1)&lt;$L$1+1,DATE(20&amp;LEFT(FAAddition[[#This Row],[FY]],2),4,1)&gt;$P$1-1),'FA Addition'!$J117,0)</f>
        <v>0</v>
      </c>
      <c r="U117" s="117">
        <f>S117*'FA Addition'!$L117/'FA Addition'!$J117</f>
        <v>0</v>
      </c>
      <c r="W117" s="116">
        <f>SUMIFS('FA Write off'!D:D,'FA Write off'!A:A,'FA Addition'!$A117,'FA Write off'!C:C,"&lt;"&amp;'FA Addition'!$P$1)</f>
        <v>0</v>
      </c>
      <c r="Y117" s="191">
        <f>IFERROR(W117/'FA Addition'!$J117*'FA Addition'!$L117,0)</f>
        <v>0</v>
      </c>
      <c r="AA117" s="116">
        <f>SUMIFS('FA Write off'!D:D,'FA Write off'!A:A,'FA Addition'!$A117,'FA Write off'!C:C,"&lt;"&amp;'FA Addition'!$L$1+1,'FA Write off'!C:C,"&gt;"&amp;'FA Addition'!$L$1-365)</f>
        <v>0</v>
      </c>
      <c r="AC117" s="118">
        <f>IFERROR(AA117/'FA Addition'!$J117*'FA Addition'!$L117,0)</f>
        <v>0</v>
      </c>
      <c r="AE117" s="117">
        <f>IF(AND('FA Addition'!$D117&lt;$P$1+1,U117=0),'FA Addition'!$L117,0)-Y117</f>
        <v>5981</v>
      </c>
      <c r="AF117" s="117">
        <f t="shared" si="5"/>
        <v>5981</v>
      </c>
      <c r="AG117" s="117">
        <f>MIN(MAX(+$P$1-'FA Addition'!$D117,0),365*'FA Addition'!$O117)</f>
        <v>1825</v>
      </c>
      <c r="AH117" s="117">
        <f>MIN(MAX($L$1-'FA Addition'!$D117+1,0),365*'FA Addition'!$O117)</f>
        <v>1825</v>
      </c>
      <c r="AI117" s="117" cm="1">
        <f t="array" ref="AI117">_xlfn.XLOOKUP(1,('FA Write off'!A:A='FA Addition'!$A117)*('FA Write off'!D:D=AA117),'FA Write off'!H:H,0,0)</f>
        <v>0</v>
      </c>
      <c r="AJ117" s="117">
        <f>IF(AC117&gt;0,MAX(IF('FA Addition'!$N117="SLM",($AC117-'FA Addition'!$M117)*'FA Addition'!$P117*AI117/365,(AC117-'FA Addition'!$M117)*(1-(1-'FA Addition'!$P117)^(AI117/365))),0),0)</f>
        <v>0</v>
      </c>
      <c r="AL117" s="117">
        <f>MAX(IF(AG117&gt;0,IF('FA Addition'!$N117="SLM",($AE117-'FA Addition'!$M117)*'FA Addition'!$P117*AG117/365,IFERROR(VDB(AE117,AE117*0.05,'FA Addition'!$O117,0,YEARFRAC('FA Addition'!$C117,$P$1-1,3),'FA Addition'!$Q117),FAAddition[[#This Row],[Original Cost (Rs)]]-FAAddition[[#This Row],[Salvage Value]])),0),0)</f>
        <v>5682</v>
      </c>
      <c r="AM117" s="119"/>
      <c r="AN117" s="117">
        <f>MAX(IF(AH117&gt;0,IF('FA Addition'!$N117="SLM",($AF117-'FA Addition'!$M117)*'FA Addition'!$P117*AH117/365,IFERROR(VDB(AF117,AF117*0.05,'FA Addition'!$O117,0,YEARFRAC('FA Addition'!$C117,$L$1,3),'FA Addition'!$Q117),FAAddition[[#This Row],[Original Cost (Rs)]]-FAAddition[[#This Row],[Salvage Value]])),0),0)</f>
        <v>5682</v>
      </c>
      <c r="AO117" s="117">
        <f t="shared" si="8"/>
        <v>0</v>
      </c>
      <c r="AQ117" s="117">
        <f t="shared" si="6"/>
        <v>299</v>
      </c>
      <c r="AR117" s="120">
        <f t="shared" si="7"/>
        <v>299</v>
      </c>
      <c r="AS117" s="121"/>
    </row>
    <row r="118" spans="1:45" ht="13.5" x14ac:dyDescent="0.4">
      <c r="A118" s="12">
        <f t="shared" si="9"/>
        <v>115</v>
      </c>
      <c r="B118" s="44" t="s">
        <v>439</v>
      </c>
      <c r="C118" s="45">
        <v>42460</v>
      </c>
      <c r="D118" s="45">
        <v>42460</v>
      </c>
      <c r="E118" s="46" t="s">
        <v>445</v>
      </c>
      <c r="F118" s="44" t="s">
        <v>147</v>
      </c>
      <c r="G118" s="44" t="s">
        <v>554</v>
      </c>
      <c r="H118" s="44"/>
      <c r="I118" s="47"/>
      <c r="J118" s="56">
        <v>1</v>
      </c>
      <c r="K118" s="44"/>
      <c r="L118" s="52">
        <v>40789</v>
      </c>
      <c r="M118" s="50">
        <f>ROUND('FA Addition'!$L118*5%,0.1)</f>
        <v>2039</v>
      </c>
      <c r="N118" s="113" t="str">
        <f>_xlfn.XLOOKUP(_xlfn.CONCAT(E118,B118),'Year Wise Master Dep Approach'!F:F,'Year Wise Master Dep Approach'!D:D)</f>
        <v>WDV</v>
      </c>
      <c r="O118" s="113">
        <f>_xlfn.XLOOKUP(_xlfn.CONCAT(E118,B118),'Year Wise Master Dep Approach'!F:F,'Year Wise Master Dep Approach'!E:E)</f>
        <v>5</v>
      </c>
      <c r="P118" s="114">
        <f>IFERROR(IF('FA Addition'!$N118="WDV",1-('FA Addition'!$M118/'FA Addition'!$L118)^(1/'FA Addition'!$O118),1/'FA Addition'!$O118),0)</f>
        <v>0.45074396997489696</v>
      </c>
      <c r="Q118" s="122">
        <f>'FA Addition'!$P118*'FA Addition'!$O118</f>
        <v>2.2537198498744848</v>
      </c>
      <c r="R118" s="122"/>
      <c r="S118" s="116">
        <f>IF(AND(DATE(20&amp;LEFT(FAAddition[[#This Row],[FY]],2),4,1)&lt;$L$1+1,DATE(20&amp;LEFT(FAAddition[[#This Row],[FY]],2),4,1)&gt;$P$1-1),'FA Addition'!$J118,0)</f>
        <v>0</v>
      </c>
      <c r="U118" s="117">
        <f>S118*'FA Addition'!$L118/'FA Addition'!$J118</f>
        <v>0</v>
      </c>
      <c r="W118" s="116">
        <f>SUMIFS('FA Write off'!D:D,'FA Write off'!A:A,'FA Addition'!$A118,'FA Write off'!C:C,"&lt;"&amp;'FA Addition'!$P$1)</f>
        <v>0</v>
      </c>
      <c r="Y118" s="191">
        <f>IFERROR(W118/'FA Addition'!$J118*'FA Addition'!$L118,0)</f>
        <v>0</v>
      </c>
      <c r="AA118" s="116">
        <f>SUMIFS('FA Write off'!D:D,'FA Write off'!A:A,'FA Addition'!$A118,'FA Write off'!C:C,"&lt;"&amp;'FA Addition'!$L$1+1,'FA Write off'!C:C,"&gt;"&amp;'FA Addition'!$L$1-365)</f>
        <v>0</v>
      </c>
      <c r="AC118" s="118">
        <f>IFERROR(AA118/'FA Addition'!$J118*'FA Addition'!$L118,0)</f>
        <v>0</v>
      </c>
      <c r="AE118" s="117">
        <f>IF(AND('FA Addition'!$D118&lt;$P$1+1,U118=0),'FA Addition'!$L118,0)-Y118</f>
        <v>40789</v>
      </c>
      <c r="AF118" s="117">
        <f t="shared" si="5"/>
        <v>40789</v>
      </c>
      <c r="AG118" s="117">
        <f>MIN(MAX(+$P$1-'FA Addition'!$D118,0),365*'FA Addition'!$O118)</f>
        <v>1825</v>
      </c>
      <c r="AH118" s="117">
        <f>MIN(MAX($L$1-'FA Addition'!$D118+1,0),365*'FA Addition'!$O118)</f>
        <v>1825</v>
      </c>
      <c r="AI118" s="117" cm="1">
        <f t="array" ref="AI118">_xlfn.XLOOKUP(1,('FA Write off'!A:A='FA Addition'!$A118)*('FA Write off'!D:D=AA118),'FA Write off'!H:H,0,0)</f>
        <v>0</v>
      </c>
      <c r="AJ118" s="117">
        <f>IF(AC118&gt;0,MAX(IF('FA Addition'!$N118="SLM",($AC118-'FA Addition'!$M118)*'FA Addition'!$P118*AI118/365,(AC118-'FA Addition'!$M118)*(1-(1-'FA Addition'!$P118)^(AI118/365))),0),0)</f>
        <v>0</v>
      </c>
      <c r="AL118" s="117">
        <f>MAX(IF(AG118&gt;0,IF('FA Addition'!$N118="SLM",($AE118-'FA Addition'!$M118)*'FA Addition'!$P118*AG118/365,IFERROR(VDB(AE118,AE118*0.05,'FA Addition'!$O118,0,YEARFRAC('FA Addition'!$C118,$P$1-1,3),'FA Addition'!$Q118),FAAddition[[#This Row],[Original Cost (Rs)]]-FAAddition[[#This Row],[Salvage Value]])),0),0)</f>
        <v>38750</v>
      </c>
      <c r="AM118" s="119"/>
      <c r="AN118" s="117">
        <f>MAX(IF(AH118&gt;0,IF('FA Addition'!$N118="SLM",($AF118-'FA Addition'!$M118)*'FA Addition'!$P118*AH118/365,IFERROR(VDB(AF118,AF118*0.05,'FA Addition'!$O118,0,YEARFRAC('FA Addition'!$C118,$L$1,3),'FA Addition'!$Q118),FAAddition[[#This Row],[Original Cost (Rs)]]-FAAddition[[#This Row],[Salvage Value]])),0),0)</f>
        <v>38750</v>
      </c>
      <c r="AO118" s="117">
        <f t="shared" si="8"/>
        <v>0</v>
      </c>
      <c r="AQ118" s="117">
        <f t="shared" si="6"/>
        <v>2039</v>
      </c>
      <c r="AR118" s="120">
        <f t="shared" si="7"/>
        <v>2039</v>
      </c>
      <c r="AS118" s="121"/>
    </row>
    <row r="119" spans="1:45" ht="13.5" x14ac:dyDescent="0.4">
      <c r="A119" s="12">
        <f t="shared" si="9"/>
        <v>116</v>
      </c>
      <c r="B119" s="44" t="s">
        <v>439</v>
      </c>
      <c r="C119" s="45">
        <v>42460</v>
      </c>
      <c r="D119" s="45">
        <v>42460</v>
      </c>
      <c r="E119" s="46" t="s">
        <v>451</v>
      </c>
      <c r="F119" s="44" t="s">
        <v>452</v>
      </c>
      <c r="G119" s="44" t="s">
        <v>555</v>
      </c>
      <c r="H119" s="44" t="s">
        <v>209</v>
      </c>
      <c r="I119" s="47" t="s">
        <v>556</v>
      </c>
      <c r="J119" s="56">
        <v>1</v>
      </c>
      <c r="K119" s="44" t="s">
        <v>555</v>
      </c>
      <c r="L119" s="52">
        <v>290</v>
      </c>
      <c r="M119" s="50">
        <f>ROUND('FA Addition'!$L119*5%,0.1)</f>
        <v>15</v>
      </c>
      <c r="N119" s="113" t="str">
        <f>_xlfn.XLOOKUP(_xlfn.CONCAT(E119,B119),'Year Wise Master Dep Approach'!F:F,'Year Wise Master Dep Approach'!D:D)</f>
        <v>WDV</v>
      </c>
      <c r="O119" s="113">
        <f>_xlfn.XLOOKUP(_xlfn.CONCAT(E119,B119),'Year Wise Master Dep Approach'!F:F,'Year Wise Master Dep Approach'!E:E)</f>
        <v>3</v>
      </c>
      <c r="P119" s="114">
        <f>IFERROR(IF('FA Addition'!$N119="WDV",1-('FA Addition'!$M119/'FA Addition'!$L119)^(1/'FA Addition'!$O119),1/'FA Addition'!$O119),0)</f>
        <v>0.62741009228506495</v>
      </c>
      <c r="Q119" s="122">
        <f>'FA Addition'!$P119*'FA Addition'!$O119</f>
        <v>1.8822302768551948</v>
      </c>
      <c r="R119" s="122"/>
      <c r="S119" s="116">
        <f>IF(AND(DATE(20&amp;LEFT(FAAddition[[#This Row],[FY]],2),4,1)&lt;$L$1+1,DATE(20&amp;LEFT(FAAddition[[#This Row],[FY]],2),4,1)&gt;$P$1-1),'FA Addition'!$J119,0)</f>
        <v>0</v>
      </c>
      <c r="U119" s="117">
        <f>S119*'FA Addition'!$L119/'FA Addition'!$J119</f>
        <v>0</v>
      </c>
      <c r="W119" s="116">
        <f>SUMIFS('FA Write off'!D:D,'FA Write off'!A:A,'FA Addition'!$A119,'FA Write off'!C:C,"&lt;"&amp;'FA Addition'!$P$1)</f>
        <v>0</v>
      </c>
      <c r="Y119" s="191">
        <f>IFERROR(W119/'FA Addition'!$J119*'FA Addition'!$L119,0)</f>
        <v>0</v>
      </c>
      <c r="AA119" s="116">
        <f>SUMIFS('FA Write off'!D:D,'FA Write off'!A:A,'FA Addition'!$A119,'FA Write off'!C:C,"&lt;"&amp;'FA Addition'!$L$1+1,'FA Write off'!C:C,"&gt;"&amp;'FA Addition'!$L$1-365)</f>
        <v>0</v>
      </c>
      <c r="AC119" s="118">
        <f>IFERROR(AA119/'FA Addition'!$J119*'FA Addition'!$L119,0)</f>
        <v>0</v>
      </c>
      <c r="AE119" s="117">
        <f>IF(AND('FA Addition'!$D119&lt;$P$1+1,U119=0),'FA Addition'!$L119,0)-Y119</f>
        <v>290</v>
      </c>
      <c r="AF119" s="117">
        <f t="shared" si="5"/>
        <v>290</v>
      </c>
      <c r="AG119" s="117">
        <f>MIN(MAX(+$P$1-'FA Addition'!$D119,0),365*'FA Addition'!$O119)</f>
        <v>1095</v>
      </c>
      <c r="AH119" s="117">
        <f>MIN(MAX($L$1-'FA Addition'!$D119+1,0),365*'FA Addition'!$O119)</f>
        <v>1095</v>
      </c>
      <c r="AI119" s="117" cm="1">
        <f t="array" ref="AI119">_xlfn.XLOOKUP(1,('FA Write off'!A:A='FA Addition'!$A119)*('FA Write off'!D:D=AA119),'FA Write off'!H:H,0,0)</f>
        <v>0</v>
      </c>
      <c r="AJ119" s="117">
        <f>IF(AC119&gt;0,MAX(IF('FA Addition'!$N119="SLM",($AC119-'FA Addition'!$M119)*'FA Addition'!$P119*AI119/365,(AC119-'FA Addition'!$M119)*(1-(1-'FA Addition'!$P119)^(AI119/365))),0),0)</f>
        <v>0</v>
      </c>
      <c r="AL119" s="117">
        <f>MAX(IF(AG119&gt;0,IF('FA Addition'!$N119="SLM",($AE119-'FA Addition'!$M119)*'FA Addition'!$P119*AG119/365,IFERROR(VDB(AE119,AE119*0.05,'FA Addition'!$O119,0,YEARFRAC('FA Addition'!$C119,$P$1-1,3),'FA Addition'!$Q119),FAAddition[[#This Row],[Original Cost (Rs)]]-FAAddition[[#This Row],[Salvage Value]])),0),0)</f>
        <v>275</v>
      </c>
      <c r="AM119" s="119"/>
      <c r="AN119" s="117">
        <f>MAX(IF(AH119&gt;0,IF('FA Addition'!$N119="SLM",($AF119-'FA Addition'!$M119)*'FA Addition'!$P119*AH119/365,IFERROR(VDB(AF119,AF119*0.05,'FA Addition'!$O119,0,YEARFRAC('FA Addition'!$C119,$L$1,3),'FA Addition'!$Q119),FAAddition[[#This Row],[Original Cost (Rs)]]-FAAddition[[#This Row],[Salvage Value]])),0),0)</f>
        <v>275</v>
      </c>
      <c r="AO119" s="117">
        <f t="shared" si="8"/>
        <v>0</v>
      </c>
      <c r="AQ119" s="117">
        <f t="shared" si="6"/>
        <v>15</v>
      </c>
      <c r="AR119" s="120">
        <f t="shared" si="7"/>
        <v>15</v>
      </c>
      <c r="AS119" s="121"/>
    </row>
    <row r="120" spans="1:45" ht="13.5" x14ac:dyDescent="0.4">
      <c r="A120" s="12">
        <f t="shared" si="9"/>
        <v>117</v>
      </c>
      <c r="B120" s="44" t="s">
        <v>439</v>
      </c>
      <c r="C120" s="45">
        <v>42460</v>
      </c>
      <c r="D120" s="45">
        <v>42460</v>
      </c>
      <c r="E120" s="46" t="s">
        <v>451</v>
      </c>
      <c r="F120" s="44" t="s">
        <v>452</v>
      </c>
      <c r="G120" s="44" t="s">
        <v>557</v>
      </c>
      <c r="H120" s="44"/>
      <c r="I120" s="47"/>
      <c r="J120" s="56">
        <v>1</v>
      </c>
      <c r="K120" s="44"/>
      <c r="L120" s="52">
        <v>21000</v>
      </c>
      <c r="M120" s="50">
        <f>ROUND('FA Addition'!$L120*5%,0.1)</f>
        <v>1050</v>
      </c>
      <c r="N120" s="113" t="str">
        <f>_xlfn.XLOOKUP(_xlfn.CONCAT(E120,B120),'Year Wise Master Dep Approach'!F:F,'Year Wise Master Dep Approach'!D:D)</f>
        <v>WDV</v>
      </c>
      <c r="O120" s="113">
        <f>_xlfn.XLOOKUP(_xlfn.CONCAT(E120,B120),'Year Wise Master Dep Approach'!F:F,'Year Wise Master Dep Approach'!E:E)</f>
        <v>3</v>
      </c>
      <c r="P120" s="114">
        <f>IFERROR(IF('FA Addition'!$N120="WDV",1-('FA Addition'!$M120/'FA Addition'!$L120)^(1/'FA Addition'!$O120),1/'FA Addition'!$O120),0)</f>
        <v>0.63159685013596123</v>
      </c>
      <c r="Q120" s="122">
        <f>'FA Addition'!$P120*'FA Addition'!$O120</f>
        <v>1.8947905504078837</v>
      </c>
      <c r="R120" s="122"/>
      <c r="S120" s="116">
        <f>IF(AND(DATE(20&amp;LEFT(FAAddition[[#This Row],[FY]],2),4,1)&lt;$L$1+1,DATE(20&amp;LEFT(FAAddition[[#This Row],[FY]],2),4,1)&gt;$P$1-1),'FA Addition'!$J120,0)</f>
        <v>0</v>
      </c>
      <c r="U120" s="117">
        <f>S120*'FA Addition'!$L120/'FA Addition'!$J120</f>
        <v>0</v>
      </c>
      <c r="W120" s="116">
        <f>SUMIFS('FA Write off'!D:D,'FA Write off'!A:A,'FA Addition'!$A120,'FA Write off'!C:C,"&lt;"&amp;'FA Addition'!$P$1)</f>
        <v>0</v>
      </c>
      <c r="Y120" s="191">
        <f>IFERROR(W120/'FA Addition'!$J120*'FA Addition'!$L120,0)</f>
        <v>0</v>
      </c>
      <c r="AA120" s="116">
        <f>SUMIFS('FA Write off'!D:D,'FA Write off'!A:A,'FA Addition'!$A120,'FA Write off'!C:C,"&lt;"&amp;'FA Addition'!$L$1+1,'FA Write off'!C:C,"&gt;"&amp;'FA Addition'!$L$1-365)</f>
        <v>0</v>
      </c>
      <c r="AC120" s="118">
        <f>IFERROR(AA120/'FA Addition'!$J120*'FA Addition'!$L120,0)</f>
        <v>0</v>
      </c>
      <c r="AE120" s="117">
        <f>IF(AND('FA Addition'!$D120&lt;$P$1+1,U120=0),'FA Addition'!$L120,0)-Y120</f>
        <v>21000</v>
      </c>
      <c r="AF120" s="117">
        <f t="shared" si="5"/>
        <v>21000</v>
      </c>
      <c r="AG120" s="117">
        <f>MIN(MAX(+$P$1-'FA Addition'!$D120,0),365*'FA Addition'!$O120)</f>
        <v>1095</v>
      </c>
      <c r="AH120" s="117">
        <f>MIN(MAX($L$1-'FA Addition'!$D120+1,0),365*'FA Addition'!$O120)</f>
        <v>1095</v>
      </c>
      <c r="AI120" s="117" cm="1">
        <f t="array" ref="AI120">_xlfn.XLOOKUP(1,('FA Write off'!A:A='FA Addition'!$A120)*('FA Write off'!D:D=AA120),'FA Write off'!H:H,0,0)</f>
        <v>0</v>
      </c>
      <c r="AJ120" s="117">
        <f>IF(AC120&gt;0,MAX(IF('FA Addition'!$N120="SLM",($AC120-'FA Addition'!$M120)*'FA Addition'!$P120*AI120/365,(AC120-'FA Addition'!$M120)*(1-(1-'FA Addition'!$P120)^(AI120/365))),0),0)</f>
        <v>0</v>
      </c>
      <c r="AL120" s="117">
        <f>MAX(IF(AG120&gt;0,IF('FA Addition'!$N120="SLM",($AE120-'FA Addition'!$M120)*'FA Addition'!$P120*AG120/365,IFERROR(VDB(AE120,AE120*0.05,'FA Addition'!$O120,0,YEARFRAC('FA Addition'!$C120,$P$1-1,3),'FA Addition'!$Q120),FAAddition[[#This Row],[Original Cost (Rs)]]-FAAddition[[#This Row],[Salvage Value]])),0),0)</f>
        <v>19950</v>
      </c>
      <c r="AM120" s="119"/>
      <c r="AN120" s="117">
        <f>MAX(IF(AH120&gt;0,IF('FA Addition'!$N120="SLM",($AF120-'FA Addition'!$M120)*'FA Addition'!$P120*AH120/365,IFERROR(VDB(AF120,AF120*0.05,'FA Addition'!$O120,0,YEARFRAC('FA Addition'!$C120,$L$1,3),'FA Addition'!$Q120),FAAddition[[#This Row],[Original Cost (Rs)]]-FAAddition[[#This Row],[Salvage Value]])),0),0)</f>
        <v>19950</v>
      </c>
      <c r="AO120" s="117">
        <f t="shared" si="8"/>
        <v>0</v>
      </c>
      <c r="AQ120" s="117">
        <f t="shared" si="6"/>
        <v>1050</v>
      </c>
      <c r="AR120" s="120">
        <f t="shared" si="7"/>
        <v>1050</v>
      </c>
      <c r="AS120" s="121"/>
    </row>
    <row r="121" spans="1:45" ht="13.5" x14ac:dyDescent="0.4">
      <c r="A121" s="12">
        <f t="shared" si="9"/>
        <v>118</v>
      </c>
      <c r="B121" s="44" t="s">
        <v>439</v>
      </c>
      <c r="C121" s="45">
        <v>42460</v>
      </c>
      <c r="D121" s="45">
        <v>42460</v>
      </c>
      <c r="E121" s="46" t="s">
        <v>451</v>
      </c>
      <c r="F121" s="44" t="s">
        <v>187</v>
      </c>
      <c r="G121" s="44" t="s">
        <v>554</v>
      </c>
      <c r="H121" s="44"/>
      <c r="I121" s="47"/>
      <c r="J121" s="56">
        <v>1</v>
      </c>
      <c r="K121" s="44"/>
      <c r="L121" s="52">
        <v>13499</v>
      </c>
      <c r="M121" s="50">
        <f>ROUND('FA Addition'!$L121*5%,0.1)</f>
        <v>675</v>
      </c>
      <c r="N121" s="113" t="str">
        <f>_xlfn.XLOOKUP(_xlfn.CONCAT(E121,B121),'Year Wise Master Dep Approach'!F:F,'Year Wise Master Dep Approach'!D:D)</f>
        <v>WDV</v>
      </c>
      <c r="O121" s="113">
        <f>_xlfn.XLOOKUP(_xlfn.CONCAT(E121,B121),'Year Wise Master Dep Approach'!F:F,'Year Wise Master Dep Approach'!E:E)</f>
        <v>3</v>
      </c>
      <c r="P121" s="114">
        <f>IFERROR(IF('FA Addition'!$N121="WDV",1-('FA Addition'!$M121/'FA Addition'!$L121)^(1/'FA Addition'!$O121),1/'FA Addition'!$O121),0)</f>
        <v>0.63158775331266104</v>
      </c>
      <c r="Q121" s="122">
        <f>'FA Addition'!$P121*'FA Addition'!$O121</f>
        <v>1.8947632599379831</v>
      </c>
      <c r="R121" s="122"/>
      <c r="S121" s="116">
        <f>IF(AND(DATE(20&amp;LEFT(FAAddition[[#This Row],[FY]],2),4,1)&lt;$L$1+1,DATE(20&amp;LEFT(FAAddition[[#This Row],[FY]],2),4,1)&gt;$P$1-1),'FA Addition'!$J121,0)</f>
        <v>0</v>
      </c>
      <c r="U121" s="117">
        <f>S121*'FA Addition'!$L121/'FA Addition'!$J121</f>
        <v>0</v>
      </c>
      <c r="W121" s="116">
        <f>SUMIFS('FA Write off'!D:D,'FA Write off'!A:A,'FA Addition'!$A121,'FA Write off'!C:C,"&lt;"&amp;'FA Addition'!$P$1)</f>
        <v>0</v>
      </c>
      <c r="Y121" s="191">
        <f>IFERROR(W121/'FA Addition'!$J121*'FA Addition'!$L121,0)</f>
        <v>0</v>
      </c>
      <c r="AA121" s="116">
        <f>SUMIFS('FA Write off'!D:D,'FA Write off'!A:A,'FA Addition'!$A121,'FA Write off'!C:C,"&lt;"&amp;'FA Addition'!$L$1+1,'FA Write off'!C:C,"&gt;"&amp;'FA Addition'!$L$1-365)</f>
        <v>0</v>
      </c>
      <c r="AC121" s="118">
        <f>IFERROR(AA121/'FA Addition'!$J121*'FA Addition'!$L121,0)</f>
        <v>0</v>
      </c>
      <c r="AE121" s="117">
        <f>IF(AND('FA Addition'!$D121&lt;$P$1+1,U121=0),'FA Addition'!$L121,0)-Y121</f>
        <v>13499</v>
      </c>
      <c r="AF121" s="117">
        <f t="shared" si="5"/>
        <v>13499</v>
      </c>
      <c r="AG121" s="117">
        <f>MIN(MAX(+$P$1-'FA Addition'!$D121,0),365*'FA Addition'!$O121)</f>
        <v>1095</v>
      </c>
      <c r="AH121" s="117">
        <f>MIN(MAX($L$1-'FA Addition'!$D121+1,0),365*'FA Addition'!$O121)</f>
        <v>1095</v>
      </c>
      <c r="AI121" s="117" cm="1">
        <f t="array" ref="AI121">_xlfn.XLOOKUP(1,('FA Write off'!A:A='FA Addition'!$A121)*('FA Write off'!D:D=AA121),'FA Write off'!H:H,0,0)</f>
        <v>0</v>
      </c>
      <c r="AJ121" s="117">
        <f>IF(AC121&gt;0,MAX(IF('FA Addition'!$N121="SLM",($AC121-'FA Addition'!$M121)*'FA Addition'!$P121*AI121/365,(AC121-'FA Addition'!$M121)*(1-(1-'FA Addition'!$P121)^(AI121/365))),0),0)</f>
        <v>0</v>
      </c>
      <c r="AL121" s="117">
        <f>MAX(IF(AG121&gt;0,IF('FA Addition'!$N121="SLM",($AE121-'FA Addition'!$M121)*'FA Addition'!$P121*AG121/365,IFERROR(VDB(AE121,AE121*0.05,'FA Addition'!$O121,0,YEARFRAC('FA Addition'!$C121,$P$1-1,3),'FA Addition'!$Q121),FAAddition[[#This Row],[Original Cost (Rs)]]-FAAddition[[#This Row],[Salvage Value]])),0),0)</f>
        <v>12824</v>
      </c>
      <c r="AM121" s="119"/>
      <c r="AN121" s="117">
        <f>MAX(IF(AH121&gt;0,IF('FA Addition'!$N121="SLM",($AF121-'FA Addition'!$M121)*'FA Addition'!$P121*AH121/365,IFERROR(VDB(AF121,AF121*0.05,'FA Addition'!$O121,0,YEARFRAC('FA Addition'!$C121,$L$1,3),'FA Addition'!$Q121),FAAddition[[#This Row],[Original Cost (Rs)]]-FAAddition[[#This Row],[Salvage Value]])),0),0)</f>
        <v>12824</v>
      </c>
      <c r="AO121" s="117">
        <f t="shared" si="8"/>
        <v>0</v>
      </c>
      <c r="AQ121" s="117">
        <f t="shared" si="6"/>
        <v>675</v>
      </c>
      <c r="AR121" s="120">
        <f t="shared" si="7"/>
        <v>675</v>
      </c>
      <c r="AS121" s="121"/>
    </row>
    <row r="122" spans="1:45" ht="13.5" x14ac:dyDescent="0.4">
      <c r="A122" s="12">
        <f t="shared" si="9"/>
        <v>119</v>
      </c>
      <c r="B122" s="44" t="s">
        <v>439</v>
      </c>
      <c r="C122" s="45">
        <v>42460</v>
      </c>
      <c r="D122" s="45">
        <v>42460</v>
      </c>
      <c r="E122" s="46" t="s">
        <v>523</v>
      </c>
      <c r="F122" s="44" t="s">
        <v>524</v>
      </c>
      <c r="G122" s="44" t="s">
        <v>558</v>
      </c>
      <c r="H122" s="44"/>
      <c r="I122" s="47"/>
      <c r="J122" s="56">
        <v>1</v>
      </c>
      <c r="K122" s="44"/>
      <c r="L122" s="52">
        <v>6650</v>
      </c>
      <c r="M122" s="50">
        <f>ROUND('FA Addition'!$L122*5%,0.1)</f>
        <v>333</v>
      </c>
      <c r="N122" s="113" t="str">
        <f>_xlfn.XLOOKUP(_xlfn.CONCAT(E122,B122),'Year Wise Master Dep Approach'!F:F,'Year Wise Master Dep Approach'!D:D)</f>
        <v>WDV</v>
      </c>
      <c r="O122" s="113">
        <f>_xlfn.XLOOKUP(_xlfn.CONCAT(E122,B122),'Year Wise Master Dep Approach'!F:F,'Year Wise Master Dep Approach'!E:E)</f>
        <v>10</v>
      </c>
      <c r="P122" s="114">
        <f>IFERROR(IF('FA Addition'!$N122="WDV",1-('FA Addition'!$M122/'FA Addition'!$L122)^(1/'FA Addition'!$O122),1/'FA Addition'!$O122),0)</f>
        <v>0.25875417744843987</v>
      </c>
      <c r="Q122" s="122">
        <f>'FA Addition'!$P122*'FA Addition'!$O122</f>
        <v>2.5875417744843987</v>
      </c>
      <c r="R122" s="122"/>
      <c r="S122" s="116">
        <f>IF(AND(DATE(20&amp;LEFT(FAAddition[[#This Row],[FY]],2),4,1)&lt;$L$1+1,DATE(20&amp;LEFT(FAAddition[[#This Row],[FY]],2),4,1)&gt;$P$1-1),'FA Addition'!$J122,0)</f>
        <v>0</v>
      </c>
      <c r="U122" s="117">
        <f>S122*'FA Addition'!$L122/'FA Addition'!$J122</f>
        <v>0</v>
      </c>
      <c r="W122" s="116">
        <f>SUMIFS('FA Write off'!D:D,'FA Write off'!A:A,'FA Addition'!$A122,'FA Write off'!C:C,"&lt;"&amp;'FA Addition'!$P$1)</f>
        <v>0</v>
      </c>
      <c r="Y122" s="191">
        <f>IFERROR(W122/'FA Addition'!$J122*'FA Addition'!$L122,0)</f>
        <v>0</v>
      </c>
      <c r="AA122" s="116">
        <f>SUMIFS('FA Write off'!D:D,'FA Write off'!A:A,'FA Addition'!$A122,'FA Write off'!C:C,"&lt;"&amp;'FA Addition'!$L$1+1,'FA Write off'!C:C,"&gt;"&amp;'FA Addition'!$L$1-365)</f>
        <v>0</v>
      </c>
      <c r="AC122" s="118">
        <f>IFERROR(AA122/'FA Addition'!$J122*'FA Addition'!$L122,0)</f>
        <v>0</v>
      </c>
      <c r="AE122" s="117">
        <f>IF(AND('FA Addition'!$D122&lt;$P$1+1,U122=0),'FA Addition'!$L122,0)-Y122</f>
        <v>6650</v>
      </c>
      <c r="AF122" s="117">
        <f t="shared" si="5"/>
        <v>6650</v>
      </c>
      <c r="AG122" s="117">
        <f>MIN(MAX(+$P$1-'FA Addition'!$D122,0),365*'FA Addition'!$O122)</f>
        <v>2557</v>
      </c>
      <c r="AH122" s="117">
        <f>MIN(MAX($L$1-'FA Addition'!$D122+1,0),365*'FA Addition'!$O122)</f>
        <v>2923</v>
      </c>
      <c r="AI122" s="117" cm="1">
        <f t="array" ref="AI122">_xlfn.XLOOKUP(1,('FA Write off'!A:A='FA Addition'!$A122)*('FA Write off'!D:D=AA122),'FA Write off'!H:H,0,0)</f>
        <v>0</v>
      </c>
      <c r="AJ122" s="117">
        <f>IF(AC122&gt;0,MAX(IF('FA Addition'!$N122="SLM",($AC122-'FA Addition'!$M122)*'FA Addition'!$P122*AI122/365,(AC122-'FA Addition'!$M122)*(1-(1-'FA Addition'!$P122)^(AI122/365))),0),0)</f>
        <v>0</v>
      </c>
      <c r="AL122" s="117">
        <f>MAX(IF(AG122&gt;0,IF('FA Addition'!$N122="SLM",($AE122-'FA Addition'!$M122)*'FA Addition'!$P122*AG122/365,IFERROR(VDB(AE122,AE122*0.05,'FA Addition'!$O122,0,YEARFRAC('FA Addition'!$C122,$P$1-1,3),'FA Addition'!$Q122),FAAddition[[#This Row],[Original Cost (Rs)]]-FAAddition[[#This Row],[Salvage Value]])),0),0)</f>
        <v>5832.9484282971025</v>
      </c>
      <c r="AM122" s="119"/>
      <c r="AN122" s="117">
        <f>MAX(IF(AH122&gt;0,IF('FA Addition'!$N122="SLM",($AF122-'FA Addition'!$M122)*'FA Addition'!$P122*AH122/365,IFERROR(VDB(AF122,AF122*0.05,'FA Addition'!$O122,0,YEARFRAC('FA Addition'!$C122,$L$1,3),'FA Addition'!$Q122),FAAddition[[#This Row],[Original Cost (Rs)]]-FAAddition[[#This Row],[Salvage Value]])),0),0)</f>
        <v>6044.7935850776566</v>
      </c>
      <c r="AO122" s="117">
        <f t="shared" si="8"/>
        <v>211.84515678055413</v>
      </c>
      <c r="AQ122" s="117">
        <f t="shared" si="6"/>
        <v>817.05157170289749</v>
      </c>
      <c r="AR122" s="120">
        <f t="shared" si="7"/>
        <v>605.20641492234336</v>
      </c>
      <c r="AS122" s="121"/>
    </row>
    <row r="123" spans="1:45" ht="13.5" x14ac:dyDescent="0.4">
      <c r="A123" s="12">
        <f t="shared" si="9"/>
        <v>120</v>
      </c>
      <c r="B123" s="44" t="s">
        <v>439</v>
      </c>
      <c r="C123" s="45">
        <v>42460</v>
      </c>
      <c r="D123" s="45">
        <v>42460</v>
      </c>
      <c r="E123" s="46" t="s">
        <v>523</v>
      </c>
      <c r="F123" s="44" t="s">
        <v>524</v>
      </c>
      <c r="G123" s="44" t="s">
        <v>554</v>
      </c>
      <c r="H123" s="44"/>
      <c r="I123" s="47"/>
      <c r="J123" s="56">
        <v>1</v>
      </c>
      <c r="K123" s="44"/>
      <c r="L123" s="52">
        <v>6400</v>
      </c>
      <c r="M123" s="50">
        <f>ROUND('FA Addition'!$L123*5%,0.1)</f>
        <v>320</v>
      </c>
      <c r="N123" s="113" t="str">
        <f>_xlfn.XLOOKUP(_xlfn.CONCAT(E123,B123),'Year Wise Master Dep Approach'!F:F,'Year Wise Master Dep Approach'!D:D)</f>
        <v>WDV</v>
      </c>
      <c r="O123" s="113">
        <f>_xlfn.XLOOKUP(_xlfn.CONCAT(E123,B123),'Year Wise Master Dep Approach'!F:F,'Year Wise Master Dep Approach'!E:E)</f>
        <v>10</v>
      </c>
      <c r="P123" s="114">
        <f>IFERROR(IF('FA Addition'!$N123="WDV",1-('FA Addition'!$M123/'FA Addition'!$L123)^(1/'FA Addition'!$O123),1/'FA Addition'!$O123),0)</f>
        <v>0.2588655508930523</v>
      </c>
      <c r="Q123" s="122">
        <f>'FA Addition'!$P123*'FA Addition'!$O123</f>
        <v>2.5886555089305228</v>
      </c>
      <c r="R123" s="122"/>
      <c r="S123" s="116">
        <f>IF(AND(DATE(20&amp;LEFT(FAAddition[[#This Row],[FY]],2),4,1)&lt;$L$1+1,DATE(20&amp;LEFT(FAAddition[[#This Row],[FY]],2),4,1)&gt;$P$1-1),'FA Addition'!$J123,0)</f>
        <v>0</v>
      </c>
      <c r="U123" s="117">
        <f>S123*'FA Addition'!$L123/'FA Addition'!$J123</f>
        <v>0</v>
      </c>
      <c r="W123" s="116">
        <f>SUMIFS('FA Write off'!D:D,'FA Write off'!A:A,'FA Addition'!$A123,'FA Write off'!C:C,"&lt;"&amp;'FA Addition'!$P$1)</f>
        <v>0</v>
      </c>
      <c r="Y123" s="191">
        <f>IFERROR(W123/'FA Addition'!$J123*'FA Addition'!$L123,0)</f>
        <v>0</v>
      </c>
      <c r="AA123" s="116">
        <f>SUMIFS('FA Write off'!D:D,'FA Write off'!A:A,'FA Addition'!$A123,'FA Write off'!C:C,"&lt;"&amp;'FA Addition'!$L$1+1,'FA Write off'!C:C,"&gt;"&amp;'FA Addition'!$L$1-365)</f>
        <v>0</v>
      </c>
      <c r="AC123" s="118">
        <f>IFERROR(AA123/'FA Addition'!$J123*'FA Addition'!$L123,0)</f>
        <v>0</v>
      </c>
      <c r="AE123" s="117">
        <f>IF(AND('FA Addition'!$D123&lt;$P$1+1,U123=0),'FA Addition'!$L123,0)-Y123</f>
        <v>6400</v>
      </c>
      <c r="AF123" s="117">
        <f t="shared" si="5"/>
        <v>6400</v>
      </c>
      <c r="AG123" s="117">
        <f>MIN(MAX(+$P$1-'FA Addition'!$D123,0),365*'FA Addition'!$O123)</f>
        <v>2557</v>
      </c>
      <c r="AH123" s="117">
        <f>MIN(MAX($L$1-'FA Addition'!$D123+1,0),365*'FA Addition'!$O123)</f>
        <v>2923</v>
      </c>
      <c r="AI123" s="117" cm="1">
        <f t="array" ref="AI123">_xlfn.XLOOKUP(1,('FA Write off'!A:A='FA Addition'!$A123)*('FA Write off'!D:D=AA123),'FA Write off'!H:H,0,0)</f>
        <v>0</v>
      </c>
      <c r="AJ123" s="117">
        <f>IF(AC123&gt;0,MAX(IF('FA Addition'!$N123="SLM",($AC123-'FA Addition'!$M123)*'FA Addition'!$P123*AI123/365,(AC123-'FA Addition'!$M123)*(1-(1-'FA Addition'!$P123)^(AI123/365))),0),0)</f>
        <v>0</v>
      </c>
      <c r="AL123" s="117">
        <f>MAX(IF(AG123&gt;0,IF('FA Addition'!$N123="SLM",($AE123-'FA Addition'!$M123)*'FA Addition'!$P123*AG123/365,IFERROR(VDB(AE123,AE123*0.05,'FA Addition'!$O123,0,YEARFRAC('FA Addition'!$C123,$P$1-1,3),'FA Addition'!$Q123),FAAddition[[#This Row],[Original Cost (Rs)]]-FAAddition[[#This Row],[Salvage Value]])),0),0)</f>
        <v>5614.4915575098539</v>
      </c>
      <c r="AM123" s="119"/>
      <c r="AN123" s="117">
        <f>MAX(IF(AH123&gt;0,IF('FA Addition'!$N123="SLM",($AF123-'FA Addition'!$M123)*'FA Addition'!$P123*AH123/365,IFERROR(VDB(AF123,AF123*0.05,'FA Addition'!$O123,0,YEARFRAC('FA Addition'!$C123,$L$1,3),'FA Addition'!$Q123),FAAddition[[#This Row],[Original Cost (Rs)]]-FAAddition[[#This Row],[Salvage Value]])),0),0)</f>
        <v>5818.2458113807643</v>
      </c>
      <c r="AO123" s="117">
        <f t="shared" si="8"/>
        <v>203.75425387091036</v>
      </c>
      <c r="AQ123" s="117">
        <f t="shared" si="6"/>
        <v>785.50844249014608</v>
      </c>
      <c r="AR123" s="120">
        <f t="shared" si="7"/>
        <v>581.75418861923572</v>
      </c>
      <c r="AS123" s="121"/>
    </row>
    <row r="124" spans="1:45" ht="13.5" x14ac:dyDescent="0.4">
      <c r="A124" s="12">
        <f t="shared" si="9"/>
        <v>121</v>
      </c>
      <c r="B124" s="44" t="s">
        <v>559</v>
      </c>
      <c r="C124" s="45">
        <v>42465</v>
      </c>
      <c r="D124" s="45">
        <v>42465</v>
      </c>
      <c r="E124" s="46" t="s">
        <v>32</v>
      </c>
      <c r="F124" s="44" t="s">
        <v>32</v>
      </c>
      <c r="G124" s="44" t="s">
        <v>433</v>
      </c>
      <c r="H124" s="44" t="s">
        <v>32</v>
      </c>
      <c r="I124" s="47" t="s">
        <v>560</v>
      </c>
      <c r="J124" s="48">
        <v>50</v>
      </c>
      <c r="K124" s="44" t="s">
        <v>561</v>
      </c>
      <c r="L124" s="52">
        <v>55125</v>
      </c>
      <c r="M124" s="50">
        <f>ROUND('FA Addition'!$L124*5%,0.1)</f>
        <v>2756</v>
      </c>
      <c r="N124" s="113" t="str">
        <f>_xlfn.XLOOKUP(_xlfn.CONCAT(E124,B124),'Year Wise Master Dep Approach'!F:F,'Year Wise Master Dep Approach'!D:D)</f>
        <v>WDV</v>
      </c>
      <c r="O124" s="113">
        <f>_xlfn.XLOOKUP(_xlfn.CONCAT(E124,B124),'Year Wise Master Dep Approach'!F:F,'Year Wise Master Dep Approach'!E:E)</f>
        <v>3</v>
      </c>
      <c r="P124" s="114">
        <f>IFERROR(IF('FA Addition'!$N124="WDV",1-('FA Addition'!$M124/'FA Addition'!$L124)^(1/'FA Addition'!$O124),1/'FA Addition'!$O124),0)</f>
        <v>0.63160798888997016</v>
      </c>
      <c r="Q124" s="122">
        <f>'FA Addition'!$P124*'FA Addition'!$O124</f>
        <v>1.8948239666699105</v>
      </c>
      <c r="R124" s="122"/>
      <c r="S124" s="116">
        <f>IF(AND(DATE(20&amp;LEFT(FAAddition[[#This Row],[FY]],2),4,1)&lt;$L$1+1,DATE(20&amp;LEFT(FAAddition[[#This Row],[FY]],2),4,1)&gt;$P$1-1),'FA Addition'!$J124,0)</f>
        <v>0</v>
      </c>
      <c r="U124" s="117">
        <f>S124*'FA Addition'!$L124/'FA Addition'!$J124</f>
        <v>0</v>
      </c>
      <c r="W124" s="116">
        <f>SUMIFS('FA Write off'!D:D,'FA Write off'!A:A,'FA Addition'!$A124,'FA Write off'!C:C,"&lt;"&amp;'FA Addition'!$P$1)</f>
        <v>2</v>
      </c>
      <c r="Y124" s="191">
        <f>IFERROR(W124/'FA Addition'!$J124*'FA Addition'!$L124,0)</f>
        <v>2205</v>
      </c>
      <c r="AA124" s="116">
        <f>SUMIFS('FA Write off'!D:D,'FA Write off'!A:A,'FA Addition'!$A124,'FA Write off'!C:C,"&lt;"&amp;'FA Addition'!$L$1+1,'FA Write off'!C:C,"&gt;"&amp;'FA Addition'!$L$1-365)</f>
        <v>0</v>
      </c>
      <c r="AC124" s="191">
        <f>IFERROR(AA124/'FA Addition'!$J124*'FA Addition'!$L124,0)</f>
        <v>0</v>
      </c>
      <c r="AE124" s="117">
        <f>IF(AND('FA Addition'!$D124&lt;$P$1+1,U124=0),'FA Addition'!$L124,0)-Y124</f>
        <v>52920</v>
      </c>
      <c r="AF124" s="117">
        <f t="shared" si="5"/>
        <v>52920</v>
      </c>
      <c r="AG124" s="117">
        <f>MIN(MAX(+$P$1-'FA Addition'!$D124,0),365*'FA Addition'!$O124)</f>
        <v>1095</v>
      </c>
      <c r="AH124" s="117">
        <f>MIN(MAX($L$1-'FA Addition'!$D124+1,0),365*'FA Addition'!$O124)</f>
        <v>1095</v>
      </c>
      <c r="AI124" s="117" cm="1">
        <f t="array" ref="AI124">_xlfn.XLOOKUP(1,('FA Write off'!A:A='FA Addition'!$A124)*('FA Write off'!D:D=AA124),'FA Write off'!H:H,0,0)</f>
        <v>0</v>
      </c>
      <c r="AJ124" s="117">
        <f>IF(AC124&gt;0,MAX(IF('FA Addition'!$N124="SLM",($AC124-'FA Addition'!$M124)*'FA Addition'!$P124*AI124/365,(AC124-'FA Addition'!$M124)*(1-(1-'FA Addition'!$P124)^(AI124/365))),0),0)</f>
        <v>0</v>
      </c>
      <c r="AL124" s="117">
        <f>MAX(IF(AG124&gt;0,IF('FA Addition'!$N124="SLM",($AE124-'FA Addition'!$M124)*'FA Addition'!$P124*AG124/365,IFERROR(VDB(AE124,AE124*0.05,'FA Addition'!$O124,0,YEARFRAC('FA Addition'!$C124,$P$1-1,3),'FA Addition'!$Q124),FAAddition[[#This Row],[Original Cost (Rs)]]-FAAddition[[#This Row],[Salvage Value]])),0),0)</f>
        <v>52369</v>
      </c>
      <c r="AM124" s="119"/>
      <c r="AN124" s="117">
        <f>MAX(IF(AH124&gt;0,IF('FA Addition'!$N124="SLM",($AF124-'FA Addition'!$M124)*'FA Addition'!$P124*AH124/365,IFERROR(VDB(AF124,AF124*0.05,'FA Addition'!$O124,0,YEARFRAC('FA Addition'!$C124,$L$1,3),'FA Addition'!$Q124),FAAddition[[#This Row],[Original Cost (Rs)]]-FAAddition[[#This Row],[Salvage Value]])),0),0)</f>
        <v>52369</v>
      </c>
      <c r="AO124" s="117">
        <f t="shared" si="8"/>
        <v>0</v>
      </c>
      <c r="AQ124" s="117">
        <f t="shared" si="6"/>
        <v>551</v>
      </c>
      <c r="AR124" s="120">
        <f t="shared" si="7"/>
        <v>551</v>
      </c>
      <c r="AS124" s="121"/>
    </row>
    <row r="125" spans="1:45" ht="13.5" x14ac:dyDescent="0.4">
      <c r="A125" s="12">
        <f t="shared" si="9"/>
        <v>122</v>
      </c>
      <c r="B125" s="44" t="s">
        <v>559</v>
      </c>
      <c r="C125" s="45">
        <v>42467</v>
      </c>
      <c r="D125" s="45">
        <v>42467</v>
      </c>
      <c r="E125" s="46" t="s">
        <v>32</v>
      </c>
      <c r="F125" s="44" t="s">
        <v>32</v>
      </c>
      <c r="G125" s="44" t="s">
        <v>433</v>
      </c>
      <c r="H125" s="44" t="s">
        <v>32</v>
      </c>
      <c r="I125" s="47" t="s">
        <v>562</v>
      </c>
      <c r="J125" s="48">
        <v>10</v>
      </c>
      <c r="K125" s="44" t="s">
        <v>563</v>
      </c>
      <c r="L125" s="52">
        <v>44100</v>
      </c>
      <c r="M125" s="50">
        <f>ROUND('FA Addition'!$L125*5%,0.1)</f>
        <v>2205</v>
      </c>
      <c r="N125" s="113" t="str">
        <f>_xlfn.XLOOKUP(_xlfn.CONCAT(E125,B125),'Year Wise Master Dep Approach'!F:F,'Year Wise Master Dep Approach'!D:D)</f>
        <v>WDV</v>
      </c>
      <c r="O125" s="113">
        <f>_xlfn.XLOOKUP(_xlfn.CONCAT(E125,B125),'Year Wise Master Dep Approach'!F:F,'Year Wise Master Dep Approach'!E:E)</f>
        <v>3</v>
      </c>
      <c r="P125" s="114">
        <f>IFERROR(IF('FA Addition'!$N125="WDV",1-('FA Addition'!$M125/'FA Addition'!$L125)^(1/'FA Addition'!$O125),1/'FA Addition'!$O125),0)</f>
        <v>0.63159685013596123</v>
      </c>
      <c r="Q125" s="122">
        <f>'FA Addition'!$P125*'FA Addition'!$O125</f>
        <v>1.8947905504078837</v>
      </c>
      <c r="R125" s="122"/>
      <c r="S125" s="116">
        <f>IF(AND(DATE(20&amp;LEFT(FAAddition[[#This Row],[FY]],2),4,1)&lt;$L$1+1,DATE(20&amp;LEFT(FAAddition[[#This Row],[FY]],2),4,1)&gt;$P$1-1),'FA Addition'!$J125,0)</f>
        <v>0</v>
      </c>
      <c r="U125" s="117">
        <f>S125*'FA Addition'!$L125/'FA Addition'!$J125</f>
        <v>0</v>
      </c>
      <c r="W125" s="116">
        <f>SUMIFS('FA Write off'!D:D,'FA Write off'!A:A,'FA Addition'!$A125,'FA Write off'!C:C,"&lt;"&amp;'FA Addition'!$P$1)</f>
        <v>0</v>
      </c>
      <c r="Y125" s="191">
        <f>IFERROR(W125/'FA Addition'!$J125*'FA Addition'!$L125,0)</f>
        <v>0</v>
      </c>
      <c r="AA125" s="116">
        <f>SUMIFS('FA Write off'!D:D,'FA Write off'!A:A,'FA Addition'!$A125,'FA Write off'!C:C,"&lt;"&amp;'FA Addition'!$L$1+1,'FA Write off'!C:C,"&gt;"&amp;'FA Addition'!$L$1-365)</f>
        <v>0</v>
      </c>
      <c r="AC125" s="118">
        <f>IFERROR(AA125/'FA Addition'!$J125*'FA Addition'!$L125,0)</f>
        <v>0</v>
      </c>
      <c r="AE125" s="117">
        <f>IF(AND('FA Addition'!$D125&lt;$P$1+1,U125=0),'FA Addition'!$L125,0)-Y125</f>
        <v>44100</v>
      </c>
      <c r="AF125" s="117">
        <f t="shared" si="5"/>
        <v>44100</v>
      </c>
      <c r="AG125" s="117">
        <f>MIN(MAX(+$P$1-'FA Addition'!$D125,0),365*'FA Addition'!$O125)</f>
        <v>1095</v>
      </c>
      <c r="AH125" s="117">
        <f>MIN(MAX($L$1-'FA Addition'!$D125+1,0),365*'FA Addition'!$O125)</f>
        <v>1095</v>
      </c>
      <c r="AI125" s="117" cm="1">
        <f t="array" ref="AI125">_xlfn.XLOOKUP(1,('FA Write off'!A:A='FA Addition'!$A125)*('FA Write off'!D:D=AA125),'FA Write off'!H:H,0,0)</f>
        <v>0</v>
      </c>
      <c r="AJ125" s="117">
        <f>IF(AC125&gt;0,MAX(IF('FA Addition'!$N125="SLM",($AC125-'FA Addition'!$M125)*'FA Addition'!$P125*AI125/365,(AC125-'FA Addition'!$M125)*(1-(1-'FA Addition'!$P125)^(AI125/365))),0),0)</f>
        <v>0</v>
      </c>
      <c r="AL125" s="117">
        <f>MAX(IF(AG125&gt;0,IF('FA Addition'!$N125="SLM",($AE125-'FA Addition'!$M125)*'FA Addition'!$P125*AG125/365,IFERROR(VDB(AE125,AE125*0.05,'FA Addition'!$O125,0,YEARFRAC('FA Addition'!$C125,$P$1-1,3),'FA Addition'!$Q125),FAAddition[[#This Row],[Original Cost (Rs)]]-FAAddition[[#This Row],[Salvage Value]])),0),0)</f>
        <v>41895</v>
      </c>
      <c r="AM125" s="119"/>
      <c r="AN125" s="117">
        <f>MAX(IF(AH125&gt;0,IF('FA Addition'!$N125="SLM",($AF125-'FA Addition'!$M125)*'FA Addition'!$P125*AH125/365,IFERROR(VDB(AF125,AF125*0.05,'FA Addition'!$O125,0,YEARFRAC('FA Addition'!$C125,$L$1,3),'FA Addition'!$Q125),FAAddition[[#This Row],[Original Cost (Rs)]]-FAAddition[[#This Row],[Salvage Value]])),0),0)</f>
        <v>41895</v>
      </c>
      <c r="AO125" s="117">
        <f t="shared" si="8"/>
        <v>0</v>
      </c>
      <c r="AQ125" s="117">
        <f t="shared" si="6"/>
        <v>2205</v>
      </c>
      <c r="AR125" s="120">
        <f t="shared" si="7"/>
        <v>2205</v>
      </c>
      <c r="AS125" s="121"/>
    </row>
    <row r="126" spans="1:45" ht="13.5" x14ac:dyDescent="0.4">
      <c r="A126" s="12">
        <f t="shared" si="9"/>
        <v>123</v>
      </c>
      <c r="B126" s="44" t="s">
        <v>559</v>
      </c>
      <c r="C126" s="45">
        <v>42472</v>
      </c>
      <c r="D126" s="45">
        <v>42472</v>
      </c>
      <c r="E126" s="46" t="s">
        <v>32</v>
      </c>
      <c r="F126" s="44" t="s">
        <v>32</v>
      </c>
      <c r="G126" s="44" t="s">
        <v>433</v>
      </c>
      <c r="H126" s="44" t="s">
        <v>32</v>
      </c>
      <c r="I126" s="47" t="s">
        <v>564</v>
      </c>
      <c r="J126" s="48">
        <v>43</v>
      </c>
      <c r="K126" s="44" t="s">
        <v>565</v>
      </c>
      <c r="L126" s="52">
        <v>150360</v>
      </c>
      <c r="M126" s="50">
        <f>ROUND('FA Addition'!$L126*5%,0.1)</f>
        <v>7518</v>
      </c>
      <c r="N126" s="113" t="str">
        <f>_xlfn.XLOOKUP(_xlfn.CONCAT(E126,B126),'Year Wise Master Dep Approach'!F:F,'Year Wise Master Dep Approach'!D:D)</f>
        <v>WDV</v>
      </c>
      <c r="O126" s="113">
        <f>_xlfn.XLOOKUP(_xlfn.CONCAT(E126,B126),'Year Wise Master Dep Approach'!F:F,'Year Wise Master Dep Approach'!E:E)</f>
        <v>3</v>
      </c>
      <c r="P126" s="114">
        <f>IFERROR(IF('FA Addition'!$N126="WDV",1-('FA Addition'!$M126/'FA Addition'!$L126)^(1/'FA Addition'!$O126),1/'FA Addition'!$O126),0)</f>
        <v>0.63159685013596123</v>
      </c>
      <c r="Q126" s="122">
        <f>'FA Addition'!$P126*'FA Addition'!$O126</f>
        <v>1.8947905504078837</v>
      </c>
      <c r="R126" s="122"/>
      <c r="S126" s="116">
        <f>IF(AND(DATE(20&amp;LEFT(FAAddition[[#This Row],[FY]],2),4,1)&lt;$L$1+1,DATE(20&amp;LEFT(FAAddition[[#This Row],[FY]],2),4,1)&gt;$P$1-1),'FA Addition'!$J126,0)</f>
        <v>0</v>
      </c>
      <c r="U126" s="117">
        <f>S126*'FA Addition'!$L126/'FA Addition'!$J126</f>
        <v>0</v>
      </c>
      <c r="W126" s="116">
        <f>SUMIFS('FA Write off'!D:D,'FA Write off'!A:A,'FA Addition'!$A126,'FA Write off'!C:C,"&lt;"&amp;'FA Addition'!$P$1)</f>
        <v>1</v>
      </c>
      <c r="Y126" s="191">
        <f>IFERROR(W126/'FA Addition'!$J126*'FA Addition'!$L126,0)</f>
        <v>3496.7441860465115</v>
      </c>
      <c r="AA126" s="116">
        <f>SUMIFS('FA Write off'!D:D,'FA Write off'!A:A,'FA Addition'!$A126,'FA Write off'!C:C,"&lt;"&amp;'FA Addition'!$L$1+1,'FA Write off'!C:C,"&gt;"&amp;'FA Addition'!$L$1-365)</f>
        <v>0</v>
      </c>
      <c r="AC126" s="191">
        <f>IFERROR(AA126/'FA Addition'!$J126*'FA Addition'!$L126,0)</f>
        <v>0</v>
      </c>
      <c r="AE126" s="117">
        <f>IF(AND('FA Addition'!$D126&lt;$P$1+1,U126=0),'FA Addition'!$L126,0)-Y126</f>
        <v>146863.2558139535</v>
      </c>
      <c r="AF126" s="117">
        <f t="shared" si="5"/>
        <v>146863.2558139535</v>
      </c>
      <c r="AG126" s="117">
        <f>MIN(MAX(+$P$1-'FA Addition'!$D126,0),365*'FA Addition'!$O126)</f>
        <v>1095</v>
      </c>
      <c r="AH126" s="117">
        <f>MIN(MAX($L$1-'FA Addition'!$D126+1,0),365*'FA Addition'!$O126)</f>
        <v>1095</v>
      </c>
      <c r="AI126" s="117" cm="1">
        <f t="array" ref="AI126">_xlfn.XLOOKUP(1,('FA Write off'!A:A='FA Addition'!$A126)*('FA Write off'!D:D=AA126),'FA Write off'!H:H,0,0)</f>
        <v>0</v>
      </c>
      <c r="AJ126" s="117">
        <f>IF(AC126&gt;0,MAX(IF('FA Addition'!$N126="SLM",($AC126-'FA Addition'!$M126)*'FA Addition'!$P126*AI126/365,(AC126-'FA Addition'!$M126)*(1-(1-'FA Addition'!$P126)^(AI126/365))),0),0)</f>
        <v>0</v>
      </c>
      <c r="AL126" s="117">
        <f>MAX(IF(AG126&gt;0,IF('FA Addition'!$N126="SLM",($AE126-'FA Addition'!$M126)*'FA Addition'!$P126*AG126/365,IFERROR(VDB(AE126,AE126*0.05,'FA Addition'!$O126,0,YEARFRAC('FA Addition'!$C126,$P$1-1,3),'FA Addition'!$Q126),FAAddition[[#This Row],[Original Cost (Rs)]]-FAAddition[[#This Row],[Salvage Value]])),0),0)</f>
        <v>142842</v>
      </c>
      <c r="AM126" s="119"/>
      <c r="AN126" s="117">
        <f>MAX(IF(AH126&gt;0,IF('FA Addition'!$N126="SLM",($AF126-'FA Addition'!$M126)*'FA Addition'!$P126*AH126/365,IFERROR(VDB(AF126,AF126*0.05,'FA Addition'!$O126,0,YEARFRAC('FA Addition'!$C126,$L$1,3),'FA Addition'!$Q126),FAAddition[[#This Row],[Original Cost (Rs)]]-FAAddition[[#This Row],[Salvage Value]])),0),0)</f>
        <v>142842</v>
      </c>
      <c r="AO126" s="117">
        <f t="shared" si="8"/>
        <v>0</v>
      </c>
      <c r="AQ126" s="117">
        <f t="shared" si="6"/>
        <v>4021.2558139534958</v>
      </c>
      <c r="AR126" s="120">
        <f t="shared" si="7"/>
        <v>4021.2558139534958</v>
      </c>
      <c r="AS126" s="121"/>
    </row>
    <row r="127" spans="1:45" ht="13.5" x14ac:dyDescent="0.4">
      <c r="A127" s="12">
        <f t="shared" si="9"/>
        <v>124</v>
      </c>
      <c r="B127" s="44" t="s">
        <v>559</v>
      </c>
      <c r="C127" s="45">
        <v>42480</v>
      </c>
      <c r="D127" s="45">
        <v>42480</v>
      </c>
      <c r="E127" s="46" t="s">
        <v>32</v>
      </c>
      <c r="F127" s="44" t="s">
        <v>32</v>
      </c>
      <c r="G127" s="44" t="s">
        <v>475</v>
      </c>
      <c r="H127" s="44" t="s">
        <v>32</v>
      </c>
      <c r="I127" s="47"/>
      <c r="J127" s="56">
        <v>1</v>
      </c>
      <c r="K127" s="44" t="s">
        <v>32</v>
      </c>
      <c r="L127" s="52">
        <v>100495</v>
      </c>
      <c r="M127" s="50">
        <f>ROUND('FA Addition'!$L127*5%,0.1)</f>
        <v>5025</v>
      </c>
      <c r="N127" s="113" t="str">
        <f>_xlfn.XLOOKUP(_xlfn.CONCAT(E127,B127),'Year Wise Master Dep Approach'!F:F,'Year Wise Master Dep Approach'!D:D)</f>
        <v>WDV</v>
      </c>
      <c r="O127" s="113">
        <f>_xlfn.XLOOKUP(_xlfn.CONCAT(E127,B127),'Year Wise Master Dep Approach'!F:F,'Year Wise Master Dep Approach'!E:E)</f>
        <v>3</v>
      </c>
      <c r="P127" s="114">
        <f>IFERROR(IF('FA Addition'!$N127="WDV",1-('FA Addition'!$M127/'FA Addition'!$L127)^(1/'FA Addition'!$O127),1/'FA Addition'!$O127),0)</f>
        <v>0.63159074042834362</v>
      </c>
      <c r="Q127" s="122">
        <f>'FA Addition'!$P127*'FA Addition'!$O127</f>
        <v>1.8947722212850309</v>
      </c>
      <c r="R127" s="122"/>
      <c r="S127" s="116">
        <f>IF(AND(DATE(20&amp;LEFT(FAAddition[[#This Row],[FY]],2),4,1)&lt;$L$1+1,DATE(20&amp;LEFT(FAAddition[[#This Row],[FY]],2),4,1)&gt;$P$1-1),'FA Addition'!$J127,0)</f>
        <v>0</v>
      </c>
      <c r="U127" s="117">
        <f>S127*'FA Addition'!$L127/'FA Addition'!$J127</f>
        <v>0</v>
      </c>
      <c r="W127" s="116">
        <f>SUMIFS('FA Write off'!D:D,'FA Write off'!A:A,'FA Addition'!$A127,'FA Write off'!C:C,"&lt;"&amp;'FA Addition'!$P$1)</f>
        <v>0</v>
      </c>
      <c r="Y127" s="191">
        <f>IFERROR(W127/'FA Addition'!$J127*'FA Addition'!$L127,0)</f>
        <v>0</v>
      </c>
      <c r="AA127" s="116">
        <f>SUMIFS('FA Write off'!D:D,'FA Write off'!A:A,'FA Addition'!$A127,'FA Write off'!C:C,"&lt;"&amp;'FA Addition'!$L$1+1,'FA Write off'!C:C,"&gt;"&amp;'FA Addition'!$L$1-365)</f>
        <v>0</v>
      </c>
      <c r="AC127" s="118">
        <f>IFERROR(AA127/'FA Addition'!$J127*'FA Addition'!$L127,0)</f>
        <v>0</v>
      </c>
      <c r="AE127" s="117">
        <f>IF(AND('FA Addition'!$D127&lt;$P$1+1,U127=0),'FA Addition'!$L127,0)-Y127</f>
        <v>100495</v>
      </c>
      <c r="AF127" s="117">
        <f t="shared" si="5"/>
        <v>100495</v>
      </c>
      <c r="AG127" s="117">
        <f>MIN(MAX(+$P$1-'FA Addition'!$D127,0),365*'FA Addition'!$O127)</f>
        <v>1095</v>
      </c>
      <c r="AH127" s="117">
        <f>MIN(MAX($L$1-'FA Addition'!$D127+1,0),365*'FA Addition'!$O127)</f>
        <v>1095</v>
      </c>
      <c r="AI127" s="117" cm="1">
        <f t="array" ref="AI127">_xlfn.XLOOKUP(1,('FA Write off'!A:A='FA Addition'!$A127)*('FA Write off'!D:D=AA127),'FA Write off'!H:H,0,0)</f>
        <v>0</v>
      </c>
      <c r="AJ127" s="117">
        <f>IF(AC127&gt;0,MAX(IF('FA Addition'!$N127="SLM",($AC127-'FA Addition'!$M127)*'FA Addition'!$P127*AI127/365,(AC127-'FA Addition'!$M127)*(1-(1-'FA Addition'!$P127)^(AI127/365))),0),0)</f>
        <v>0</v>
      </c>
      <c r="AL127" s="117">
        <f>MAX(IF(AG127&gt;0,IF('FA Addition'!$N127="SLM",($AE127-'FA Addition'!$M127)*'FA Addition'!$P127*AG127/365,IFERROR(VDB(AE127,AE127*0.05,'FA Addition'!$O127,0,YEARFRAC('FA Addition'!$C127,$P$1-1,3),'FA Addition'!$Q127),FAAddition[[#This Row],[Original Cost (Rs)]]-FAAddition[[#This Row],[Salvage Value]])),0),0)</f>
        <v>95470</v>
      </c>
      <c r="AM127" s="119"/>
      <c r="AN127" s="117">
        <f>MAX(IF(AH127&gt;0,IF('FA Addition'!$N127="SLM",($AF127-'FA Addition'!$M127)*'FA Addition'!$P127*AH127/365,IFERROR(VDB(AF127,AF127*0.05,'FA Addition'!$O127,0,YEARFRAC('FA Addition'!$C127,$L$1,3),'FA Addition'!$Q127),FAAddition[[#This Row],[Original Cost (Rs)]]-FAAddition[[#This Row],[Salvage Value]])),0),0)</f>
        <v>95470</v>
      </c>
      <c r="AO127" s="117">
        <f t="shared" si="8"/>
        <v>0</v>
      </c>
      <c r="AQ127" s="117">
        <f t="shared" si="6"/>
        <v>5025</v>
      </c>
      <c r="AR127" s="120">
        <f t="shared" si="7"/>
        <v>5025</v>
      </c>
      <c r="AS127" s="121"/>
    </row>
    <row r="128" spans="1:45" ht="13.5" x14ac:dyDescent="0.4">
      <c r="A128" s="12">
        <f t="shared" si="9"/>
        <v>125</v>
      </c>
      <c r="B128" s="44" t="s">
        <v>559</v>
      </c>
      <c r="C128" s="45">
        <v>42486</v>
      </c>
      <c r="D128" s="45">
        <v>42486</v>
      </c>
      <c r="E128" s="46" t="s">
        <v>32</v>
      </c>
      <c r="F128" s="44" t="s">
        <v>32</v>
      </c>
      <c r="G128" s="44" t="s">
        <v>433</v>
      </c>
      <c r="H128" s="44" t="s">
        <v>32</v>
      </c>
      <c r="I128" s="47" t="s">
        <v>566</v>
      </c>
      <c r="J128" s="48">
        <v>10</v>
      </c>
      <c r="K128" s="44" t="s">
        <v>567</v>
      </c>
      <c r="L128" s="52">
        <v>30450</v>
      </c>
      <c r="M128" s="50">
        <f>ROUND('FA Addition'!$L128*5%,0.1)</f>
        <v>1523</v>
      </c>
      <c r="N128" s="113" t="str">
        <f>_xlfn.XLOOKUP(_xlfn.CONCAT(E128,B128),'Year Wise Master Dep Approach'!F:F,'Year Wise Master Dep Approach'!D:D)</f>
        <v>WDV</v>
      </c>
      <c r="O128" s="113">
        <f>_xlfn.XLOOKUP(_xlfn.CONCAT(E128,B128),'Year Wise Master Dep Approach'!F:F,'Year Wise Master Dep Approach'!E:E)</f>
        <v>3</v>
      </c>
      <c r="P128" s="114">
        <f>IFERROR(IF('FA Addition'!$N128="WDV",1-('FA Addition'!$M128/'FA Addition'!$L128)^(1/'FA Addition'!$O128),1/'FA Addition'!$O128),0)</f>
        <v>0.63155652579786958</v>
      </c>
      <c r="Q128" s="122">
        <f>'FA Addition'!$P128*'FA Addition'!$O128</f>
        <v>1.8946695773936089</v>
      </c>
      <c r="R128" s="122"/>
      <c r="S128" s="116">
        <f>IF(AND(DATE(20&amp;LEFT(FAAddition[[#This Row],[FY]],2),4,1)&lt;$L$1+1,DATE(20&amp;LEFT(FAAddition[[#This Row],[FY]],2),4,1)&gt;$P$1-1),'FA Addition'!$J128,0)</f>
        <v>0</v>
      </c>
      <c r="U128" s="117">
        <f>S128*'FA Addition'!$L128/'FA Addition'!$J128</f>
        <v>0</v>
      </c>
      <c r="W128" s="116">
        <f>SUMIFS('FA Write off'!D:D,'FA Write off'!A:A,'FA Addition'!$A128,'FA Write off'!C:C,"&lt;"&amp;'FA Addition'!$P$1)</f>
        <v>1</v>
      </c>
      <c r="Y128" s="191">
        <f>IFERROR(W128/'FA Addition'!$J128*'FA Addition'!$L128,0)</f>
        <v>3045</v>
      </c>
      <c r="AA128" s="116">
        <f>SUMIFS('FA Write off'!D:D,'FA Write off'!A:A,'FA Addition'!$A128,'FA Write off'!C:C,"&lt;"&amp;'FA Addition'!$L$1+1,'FA Write off'!C:C,"&gt;"&amp;'FA Addition'!$L$1-365)</f>
        <v>0</v>
      </c>
      <c r="AC128" s="191">
        <f>IFERROR(AA128/'FA Addition'!$J128*'FA Addition'!$L128,0)</f>
        <v>0</v>
      </c>
      <c r="AE128" s="117">
        <f>IF(AND('FA Addition'!$D128&lt;$P$1+1,U128=0),'FA Addition'!$L128,0)-Y128</f>
        <v>27405</v>
      </c>
      <c r="AF128" s="117">
        <f t="shared" si="5"/>
        <v>27405</v>
      </c>
      <c r="AG128" s="117">
        <f>MIN(MAX(+$P$1-'FA Addition'!$D128,0),365*'FA Addition'!$O128)</f>
        <v>1095</v>
      </c>
      <c r="AH128" s="117">
        <f>MIN(MAX($L$1-'FA Addition'!$D128+1,0),365*'FA Addition'!$O128)</f>
        <v>1095</v>
      </c>
      <c r="AI128" s="117" cm="1">
        <f t="array" ref="AI128">_xlfn.XLOOKUP(1,('FA Write off'!A:A='FA Addition'!$A128)*('FA Write off'!D:D=AA128),'FA Write off'!H:H,0,0)</f>
        <v>0</v>
      </c>
      <c r="AJ128" s="117">
        <f>IF(AC128&gt;0,MAX(IF('FA Addition'!$N128="SLM",($AC128-'FA Addition'!$M128)*'FA Addition'!$P128*AI128/365,(AC128-'FA Addition'!$M128)*(1-(1-'FA Addition'!$P128)^(AI128/365))),0),0)</f>
        <v>0</v>
      </c>
      <c r="AL128" s="117">
        <f>MAX(IF(AG128&gt;0,IF('FA Addition'!$N128="SLM",($AE128-'FA Addition'!$M128)*'FA Addition'!$P128*AG128/365,IFERROR(VDB(AE128,AE128*0.05,'FA Addition'!$O128,0,YEARFRAC('FA Addition'!$C128,$P$1-1,3),'FA Addition'!$Q128),FAAddition[[#This Row],[Original Cost (Rs)]]-FAAddition[[#This Row],[Salvage Value]])),0),0)</f>
        <v>28927</v>
      </c>
      <c r="AM128" s="119"/>
      <c r="AN128" s="117">
        <f>MAX(IF(AH128&gt;0,IF('FA Addition'!$N128="SLM",($AF128-'FA Addition'!$M128)*'FA Addition'!$P128*AH128/365,IFERROR(VDB(AF128,AF128*0.05,'FA Addition'!$O128,0,YEARFRAC('FA Addition'!$C128,$L$1,3),'FA Addition'!$Q128),FAAddition[[#This Row],[Original Cost (Rs)]]-FAAddition[[#This Row],[Salvage Value]])),0),0)</f>
        <v>28927</v>
      </c>
      <c r="AO128" s="117">
        <f t="shared" si="8"/>
        <v>0</v>
      </c>
      <c r="AQ128" s="117">
        <f t="shared" si="6"/>
        <v>-1522</v>
      </c>
      <c r="AR128" s="120">
        <f t="shared" si="7"/>
        <v>-1522</v>
      </c>
      <c r="AS128" s="121"/>
    </row>
    <row r="129" spans="1:45" ht="13.5" x14ac:dyDescent="0.4">
      <c r="A129" s="12">
        <f t="shared" si="9"/>
        <v>126</v>
      </c>
      <c r="B129" s="51" t="s">
        <v>559</v>
      </c>
      <c r="C129" s="54">
        <v>42486</v>
      </c>
      <c r="D129" s="54">
        <v>42486</v>
      </c>
      <c r="E129" s="46" t="s">
        <v>207</v>
      </c>
      <c r="F129" s="51" t="s">
        <v>147</v>
      </c>
      <c r="G129" s="51" t="s">
        <v>568</v>
      </c>
      <c r="H129" s="51" t="s">
        <v>207</v>
      </c>
      <c r="I129" s="55"/>
      <c r="J129" s="56">
        <v>1</v>
      </c>
      <c r="K129" s="51" t="s">
        <v>569</v>
      </c>
      <c r="L129" s="58">
        <v>10099</v>
      </c>
      <c r="M129" s="50">
        <f>ROUND('FA Addition'!$L129*5%,0.1)</f>
        <v>505</v>
      </c>
      <c r="N129" s="113" t="str">
        <f>_xlfn.XLOOKUP(_xlfn.CONCAT(E129,B129),'Year Wise Master Dep Approach'!F:F,'Year Wise Master Dep Approach'!D:D)</f>
        <v>WDV</v>
      </c>
      <c r="O129" s="113">
        <f>_xlfn.XLOOKUP(_xlfn.CONCAT(E129,B129),'Year Wise Master Dep Approach'!F:F,'Year Wise Master Dep Approach'!E:E)</f>
        <v>5</v>
      </c>
      <c r="P129" s="114">
        <f>IFERROR(IF('FA Addition'!$N129="WDV",1-('FA Addition'!$M129/'FA Addition'!$L129)^(1/'FA Addition'!$O129),1/'FA Addition'!$O129),0)</f>
        <v>0.45070885086368306</v>
      </c>
      <c r="Q129" s="122">
        <f>'FA Addition'!$P129*'FA Addition'!$O129</f>
        <v>2.2535442543184154</v>
      </c>
      <c r="R129" s="122"/>
      <c r="S129" s="116">
        <f>IF(AND(DATE(20&amp;LEFT(FAAddition[[#This Row],[FY]],2),4,1)&lt;$L$1+1,DATE(20&amp;LEFT(FAAddition[[#This Row],[FY]],2),4,1)&gt;$P$1-1),'FA Addition'!$J129,0)</f>
        <v>0</v>
      </c>
      <c r="U129" s="117">
        <f>S129*'FA Addition'!$L129/'FA Addition'!$J129</f>
        <v>0</v>
      </c>
      <c r="W129" s="116">
        <f>SUMIFS('FA Write off'!D:D,'FA Write off'!A:A,'FA Addition'!$A129,'FA Write off'!C:C,"&lt;"&amp;'FA Addition'!$P$1)</f>
        <v>0</v>
      </c>
      <c r="Y129" s="191">
        <f>IFERROR(W129/'FA Addition'!$J129*'FA Addition'!$L129,0)</f>
        <v>0</v>
      </c>
      <c r="AA129" s="116">
        <f>SUMIFS('FA Write off'!D:D,'FA Write off'!A:A,'FA Addition'!$A129,'FA Write off'!C:C,"&lt;"&amp;'FA Addition'!$L$1+1,'FA Write off'!C:C,"&gt;"&amp;'FA Addition'!$L$1-365)</f>
        <v>0</v>
      </c>
      <c r="AC129" s="118">
        <f>IFERROR(AA129/'FA Addition'!$J129*'FA Addition'!$L129,0)</f>
        <v>0</v>
      </c>
      <c r="AE129" s="117">
        <f>IF(AND('FA Addition'!$D129&lt;$P$1+1,U129=0),'FA Addition'!$L129,0)-Y129</f>
        <v>10099</v>
      </c>
      <c r="AF129" s="117">
        <f t="shared" si="5"/>
        <v>10099</v>
      </c>
      <c r="AG129" s="117">
        <f>MIN(MAX(+$P$1-'FA Addition'!$D129,0),365*'FA Addition'!$O129)</f>
        <v>1825</v>
      </c>
      <c r="AH129" s="117">
        <f>MIN(MAX($L$1-'FA Addition'!$D129+1,0),365*'FA Addition'!$O129)</f>
        <v>1825</v>
      </c>
      <c r="AI129" s="117" cm="1">
        <f t="array" ref="AI129">_xlfn.XLOOKUP(1,('FA Write off'!A:A='FA Addition'!$A129)*('FA Write off'!D:D=AA129),'FA Write off'!H:H,0,0)</f>
        <v>0</v>
      </c>
      <c r="AJ129" s="117">
        <f>IF(AC129&gt;0,MAX(IF('FA Addition'!$N129="SLM",($AC129-'FA Addition'!$M129)*'FA Addition'!$P129*AI129/365,(AC129-'FA Addition'!$M129)*(1-(1-'FA Addition'!$P129)^(AI129/365))),0),0)</f>
        <v>0</v>
      </c>
      <c r="AL129" s="117">
        <f>MAX(IF(AG129&gt;0,IF('FA Addition'!$N129="SLM",($AE129-'FA Addition'!$M129)*'FA Addition'!$P129*AG129/365,IFERROR(VDB(AE129,AE129*0.05,'FA Addition'!$O129,0,YEARFRAC('FA Addition'!$C129,$P$1-1,3),'FA Addition'!$Q129),FAAddition[[#This Row],[Original Cost (Rs)]]-FAAddition[[#This Row],[Salvage Value]])),0),0)</f>
        <v>9594</v>
      </c>
      <c r="AM129" s="119"/>
      <c r="AN129" s="117">
        <f>MAX(IF(AH129&gt;0,IF('FA Addition'!$N129="SLM",($AF129-'FA Addition'!$M129)*'FA Addition'!$P129*AH129/365,IFERROR(VDB(AF129,AF129*0.05,'FA Addition'!$O129,0,YEARFRAC('FA Addition'!$C129,$L$1,3),'FA Addition'!$Q129),FAAddition[[#This Row],[Original Cost (Rs)]]-FAAddition[[#This Row],[Salvage Value]])),0),0)</f>
        <v>9594</v>
      </c>
      <c r="AO129" s="117">
        <f t="shared" si="8"/>
        <v>0</v>
      </c>
      <c r="AQ129" s="117">
        <f t="shared" si="6"/>
        <v>505</v>
      </c>
      <c r="AR129" s="120">
        <f t="shared" si="7"/>
        <v>505</v>
      </c>
      <c r="AS129" s="121"/>
    </row>
    <row r="130" spans="1:45" ht="13.5" x14ac:dyDescent="0.4">
      <c r="A130" s="12">
        <f t="shared" si="9"/>
        <v>127</v>
      </c>
      <c r="B130" s="51" t="s">
        <v>559</v>
      </c>
      <c r="C130" s="54">
        <v>42488</v>
      </c>
      <c r="D130" s="54">
        <v>42488</v>
      </c>
      <c r="E130" s="46" t="s">
        <v>32</v>
      </c>
      <c r="F130" s="51" t="s">
        <v>32</v>
      </c>
      <c r="G130" s="51" t="s">
        <v>433</v>
      </c>
      <c r="H130" s="51" t="s">
        <v>32</v>
      </c>
      <c r="I130" s="55" t="s">
        <v>570</v>
      </c>
      <c r="J130" s="56">
        <v>3</v>
      </c>
      <c r="K130" s="51" t="s">
        <v>571</v>
      </c>
      <c r="L130" s="58">
        <v>20790</v>
      </c>
      <c r="M130" s="50">
        <f>ROUND('FA Addition'!$L130*5%,0.1)</f>
        <v>1040</v>
      </c>
      <c r="N130" s="113" t="str">
        <f>_xlfn.XLOOKUP(_xlfn.CONCAT(E130,B130),'Year Wise Master Dep Approach'!F:F,'Year Wise Master Dep Approach'!D:D)</f>
        <v>WDV</v>
      </c>
      <c r="O130" s="113">
        <f>_xlfn.XLOOKUP(_xlfn.CONCAT(E130,B130),'Year Wise Master Dep Approach'!F:F,'Year Wise Master Dep Approach'!E:E)</f>
        <v>3</v>
      </c>
      <c r="P130" s="114">
        <f>IFERROR(IF('FA Addition'!$N130="WDV",1-('FA Addition'!$M130/'FA Addition'!$L130)^(1/'FA Addition'!$O130),1/'FA Addition'!$O130),0)</f>
        <v>0.63153779223981266</v>
      </c>
      <c r="Q130" s="122">
        <f>'FA Addition'!$P130*'FA Addition'!$O130</f>
        <v>1.894613376719438</v>
      </c>
      <c r="R130" s="122"/>
      <c r="S130" s="116">
        <f>IF(AND(DATE(20&amp;LEFT(FAAddition[[#This Row],[FY]],2),4,1)&lt;$L$1+1,DATE(20&amp;LEFT(FAAddition[[#This Row],[FY]],2),4,1)&gt;$P$1-1),'FA Addition'!$J130,0)</f>
        <v>0</v>
      </c>
      <c r="U130" s="117">
        <f>S130*'FA Addition'!$L130/'FA Addition'!$J130</f>
        <v>0</v>
      </c>
      <c r="W130" s="116">
        <f>SUMIFS('FA Write off'!D:D,'FA Write off'!A:A,'FA Addition'!$A130,'FA Write off'!C:C,"&lt;"&amp;'FA Addition'!$P$1)</f>
        <v>0</v>
      </c>
      <c r="Y130" s="191">
        <f>IFERROR(W130/'FA Addition'!$J130*'FA Addition'!$L130,0)</f>
        <v>0</v>
      </c>
      <c r="AA130" s="116">
        <f>SUMIFS('FA Write off'!D:D,'FA Write off'!A:A,'FA Addition'!$A130,'FA Write off'!C:C,"&lt;"&amp;'FA Addition'!$L$1+1,'FA Write off'!C:C,"&gt;"&amp;'FA Addition'!$L$1-365)</f>
        <v>0</v>
      </c>
      <c r="AC130" s="118">
        <f>IFERROR(AA130/'FA Addition'!$J130*'FA Addition'!$L130,0)</f>
        <v>0</v>
      </c>
      <c r="AE130" s="117">
        <f>IF(AND('FA Addition'!$D130&lt;$P$1+1,U130=0),'FA Addition'!$L130,0)-Y130</f>
        <v>20790</v>
      </c>
      <c r="AF130" s="117">
        <f t="shared" si="5"/>
        <v>20790</v>
      </c>
      <c r="AG130" s="117">
        <f>MIN(MAX(+$P$1-'FA Addition'!$D130,0),365*'FA Addition'!$O130)</f>
        <v>1095</v>
      </c>
      <c r="AH130" s="117">
        <f>MIN(MAX($L$1-'FA Addition'!$D130+1,0),365*'FA Addition'!$O130)</f>
        <v>1095</v>
      </c>
      <c r="AI130" s="117" cm="1">
        <f t="array" ref="AI130">_xlfn.XLOOKUP(1,('FA Write off'!A:A='FA Addition'!$A130)*('FA Write off'!D:D=AA130),'FA Write off'!H:H,0,0)</f>
        <v>0</v>
      </c>
      <c r="AJ130" s="117">
        <f>IF(AC130&gt;0,MAX(IF('FA Addition'!$N130="SLM",($AC130-'FA Addition'!$M130)*'FA Addition'!$P130*AI130/365,(AC130-'FA Addition'!$M130)*(1-(1-'FA Addition'!$P130)^(AI130/365))),0),0)</f>
        <v>0</v>
      </c>
      <c r="AL130" s="117">
        <f>MAX(IF(AG130&gt;0,IF('FA Addition'!$N130="SLM",($AE130-'FA Addition'!$M130)*'FA Addition'!$P130*AG130/365,IFERROR(VDB(AE130,AE130*0.05,'FA Addition'!$O130,0,YEARFRAC('FA Addition'!$C130,$P$1-1,3),'FA Addition'!$Q130),FAAddition[[#This Row],[Original Cost (Rs)]]-FAAddition[[#This Row],[Salvage Value]])),0),0)</f>
        <v>19750</v>
      </c>
      <c r="AM130" s="119"/>
      <c r="AN130" s="117">
        <f>MAX(IF(AH130&gt;0,IF('FA Addition'!$N130="SLM",($AF130-'FA Addition'!$M130)*'FA Addition'!$P130*AH130/365,IFERROR(VDB(AF130,AF130*0.05,'FA Addition'!$O130,0,YEARFRAC('FA Addition'!$C130,$L$1,3),'FA Addition'!$Q130),FAAddition[[#This Row],[Original Cost (Rs)]]-FAAddition[[#This Row],[Salvage Value]])),0),0)</f>
        <v>19750</v>
      </c>
      <c r="AO130" s="117">
        <f t="shared" si="8"/>
        <v>0</v>
      </c>
      <c r="AQ130" s="117">
        <f t="shared" si="6"/>
        <v>1040</v>
      </c>
      <c r="AR130" s="120">
        <f t="shared" si="7"/>
        <v>1040</v>
      </c>
      <c r="AS130" s="121"/>
    </row>
    <row r="131" spans="1:45" ht="13.5" x14ac:dyDescent="0.4">
      <c r="A131" s="12">
        <f t="shared" si="9"/>
        <v>128</v>
      </c>
      <c r="B131" s="51" t="s">
        <v>559</v>
      </c>
      <c r="C131" s="54">
        <v>42488</v>
      </c>
      <c r="D131" s="54">
        <v>42488</v>
      </c>
      <c r="E131" s="46" t="s">
        <v>32</v>
      </c>
      <c r="F131" s="51" t="s">
        <v>32</v>
      </c>
      <c r="G131" s="51" t="s">
        <v>572</v>
      </c>
      <c r="H131" s="51" t="s">
        <v>32</v>
      </c>
      <c r="I131" s="55" t="s">
        <v>573</v>
      </c>
      <c r="J131" s="56">
        <v>4</v>
      </c>
      <c r="K131" s="51" t="s">
        <v>574</v>
      </c>
      <c r="L131" s="58">
        <v>16353</v>
      </c>
      <c r="M131" s="50">
        <f>ROUND('FA Addition'!$L131*5%,0.1)</f>
        <v>818</v>
      </c>
      <c r="N131" s="113" t="str">
        <f>_xlfn.XLOOKUP(_xlfn.CONCAT(E131,B131),'Year Wise Master Dep Approach'!F:F,'Year Wise Master Dep Approach'!D:D)</f>
        <v>WDV</v>
      </c>
      <c r="O131" s="113">
        <f>_xlfn.XLOOKUP(_xlfn.CONCAT(E131,B131),'Year Wise Master Dep Approach'!F:F,'Year Wise Master Dep Approach'!E:E)</f>
        <v>3</v>
      </c>
      <c r="P131" s="114">
        <f>IFERROR(IF('FA Addition'!$N131="WDV",1-('FA Addition'!$M131/'FA Addition'!$L131)^(1/'FA Addition'!$O131),1/'FA Addition'!$O131),0)</f>
        <v>0.63154429190655526</v>
      </c>
      <c r="Q131" s="122">
        <f>'FA Addition'!$P131*'FA Addition'!$O131</f>
        <v>1.8946328757196658</v>
      </c>
      <c r="R131" s="122"/>
      <c r="S131" s="116">
        <f>IF(AND(DATE(20&amp;LEFT(FAAddition[[#This Row],[FY]],2),4,1)&lt;$L$1+1,DATE(20&amp;LEFT(FAAddition[[#This Row],[FY]],2),4,1)&gt;$P$1-1),'FA Addition'!$J131,0)</f>
        <v>0</v>
      </c>
      <c r="U131" s="117">
        <f>S131*'FA Addition'!$L131/'FA Addition'!$J131</f>
        <v>0</v>
      </c>
      <c r="W131" s="116">
        <f>SUMIFS('FA Write off'!D:D,'FA Write off'!A:A,'FA Addition'!$A131,'FA Write off'!C:C,"&lt;"&amp;'FA Addition'!$P$1)</f>
        <v>0</v>
      </c>
      <c r="Y131" s="191">
        <f>IFERROR(W131/'FA Addition'!$J131*'FA Addition'!$L131,0)</f>
        <v>0</v>
      </c>
      <c r="AA131" s="116">
        <f>SUMIFS('FA Write off'!D:D,'FA Write off'!A:A,'FA Addition'!$A131,'FA Write off'!C:C,"&lt;"&amp;'FA Addition'!$L$1+1,'FA Write off'!C:C,"&gt;"&amp;'FA Addition'!$L$1-365)</f>
        <v>0</v>
      </c>
      <c r="AC131" s="118">
        <f>IFERROR(AA131/'FA Addition'!$J131*'FA Addition'!$L131,0)</f>
        <v>0</v>
      </c>
      <c r="AE131" s="117">
        <f>IF(AND('FA Addition'!$D131&lt;$P$1+1,U131=0),'FA Addition'!$L131,0)-Y131</f>
        <v>16353</v>
      </c>
      <c r="AF131" s="117">
        <f t="shared" si="5"/>
        <v>16353</v>
      </c>
      <c r="AG131" s="117">
        <f>MIN(MAX(+$P$1-'FA Addition'!$D131,0),365*'FA Addition'!$O131)</f>
        <v>1095</v>
      </c>
      <c r="AH131" s="117">
        <f>MIN(MAX($L$1-'FA Addition'!$D131+1,0),365*'FA Addition'!$O131)</f>
        <v>1095</v>
      </c>
      <c r="AI131" s="117" cm="1">
        <f t="array" ref="AI131">_xlfn.XLOOKUP(1,('FA Write off'!A:A='FA Addition'!$A131)*('FA Write off'!D:D=AA131),'FA Write off'!H:H,0,0)</f>
        <v>0</v>
      </c>
      <c r="AJ131" s="117">
        <f>IF(AC131&gt;0,MAX(IF('FA Addition'!$N131="SLM",($AC131-'FA Addition'!$M131)*'FA Addition'!$P131*AI131/365,(AC131-'FA Addition'!$M131)*(1-(1-'FA Addition'!$P131)^(AI131/365))),0),0)</f>
        <v>0</v>
      </c>
      <c r="AL131" s="117">
        <f>MAX(IF(AG131&gt;0,IF('FA Addition'!$N131="SLM",($AE131-'FA Addition'!$M131)*'FA Addition'!$P131*AG131/365,IFERROR(VDB(AE131,AE131*0.05,'FA Addition'!$O131,0,YEARFRAC('FA Addition'!$C131,$P$1-1,3),'FA Addition'!$Q131),FAAddition[[#This Row],[Original Cost (Rs)]]-FAAddition[[#This Row],[Salvage Value]])),0),0)</f>
        <v>15535</v>
      </c>
      <c r="AM131" s="119"/>
      <c r="AN131" s="117">
        <f>MAX(IF(AH131&gt;0,IF('FA Addition'!$N131="SLM",($AF131-'FA Addition'!$M131)*'FA Addition'!$P131*AH131/365,IFERROR(VDB(AF131,AF131*0.05,'FA Addition'!$O131,0,YEARFRAC('FA Addition'!$C131,$L$1,3),'FA Addition'!$Q131),FAAddition[[#This Row],[Original Cost (Rs)]]-FAAddition[[#This Row],[Salvage Value]])),0),0)</f>
        <v>15535</v>
      </c>
      <c r="AO131" s="117">
        <f t="shared" si="8"/>
        <v>0</v>
      </c>
      <c r="AQ131" s="117">
        <f t="shared" si="6"/>
        <v>818</v>
      </c>
      <c r="AR131" s="120">
        <f t="shared" si="7"/>
        <v>818</v>
      </c>
      <c r="AS131" s="121"/>
    </row>
    <row r="132" spans="1:45" ht="13.5" x14ac:dyDescent="0.4">
      <c r="A132" s="12">
        <f t="shared" si="9"/>
        <v>129</v>
      </c>
      <c r="B132" s="44" t="s">
        <v>559</v>
      </c>
      <c r="C132" s="45">
        <v>42489</v>
      </c>
      <c r="D132" s="45">
        <v>42489</v>
      </c>
      <c r="E132" s="46" t="s">
        <v>32</v>
      </c>
      <c r="F132" s="44" t="s">
        <v>32</v>
      </c>
      <c r="G132" s="44" t="s">
        <v>433</v>
      </c>
      <c r="H132" s="44" t="s">
        <v>32</v>
      </c>
      <c r="I132" s="47" t="s">
        <v>575</v>
      </c>
      <c r="J132" s="48">
        <v>101</v>
      </c>
      <c r="K132" s="44" t="s">
        <v>576</v>
      </c>
      <c r="L132" s="52">
        <v>104475</v>
      </c>
      <c r="M132" s="50">
        <f>ROUND('FA Addition'!$L132*5%,0.1)</f>
        <v>5224</v>
      </c>
      <c r="N132" s="113" t="str">
        <f>_xlfn.XLOOKUP(_xlfn.CONCAT(E132,B132),'Year Wise Master Dep Approach'!F:F,'Year Wise Master Dep Approach'!D:D)</f>
        <v>WDV</v>
      </c>
      <c r="O132" s="113">
        <f>_xlfn.XLOOKUP(_xlfn.CONCAT(E132,B132),'Year Wise Master Dep Approach'!F:F,'Year Wise Master Dep Approach'!E:E)</f>
        <v>3</v>
      </c>
      <c r="P132" s="114">
        <f>IFERROR(IF('FA Addition'!$N132="WDV",1-('FA Addition'!$M132/'FA Addition'!$L132)^(1/'FA Addition'!$O132),1/'FA Addition'!$O132),0)</f>
        <v>0.63159097317539714</v>
      </c>
      <c r="Q132" s="122">
        <f>'FA Addition'!$P132*'FA Addition'!$O132</f>
        <v>1.8947729195261913</v>
      </c>
      <c r="R132" s="122"/>
      <c r="S132" s="116">
        <f>IF(AND(DATE(20&amp;LEFT(FAAddition[[#This Row],[FY]],2),4,1)&lt;$L$1+1,DATE(20&amp;LEFT(FAAddition[[#This Row],[FY]],2),4,1)&gt;$P$1-1),'FA Addition'!$J132,0)</f>
        <v>0</v>
      </c>
      <c r="U132" s="117">
        <f>S132*'FA Addition'!$L132/'FA Addition'!$J132</f>
        <v>0</v>
      </c>
      <c r="W132" s="116">
        <f>SUMIFS('FA Write off'!D:D,'FA Write off'!A:A,'FA Addition'!$A132,'FA Write off'!C:C,"&lt;"&amp;'FA Addition'!$P$1)</f>
        <v>5</v>
      </c>
      <c r="Y132" s="191">
        <f>IFERROR(W132/'FA Addition'!$J132*'FA Addition'!$L132,0)</f>
        <v>5172.029702970297</v>
      </c>
      <c r="AA132" s="116">
        <f>SUMIFS('FA Write off'!D:D,'FA Write off'!A:A,'FA Addition'!$A132,'FA Write off'!C:C,"&lt;"&amp;'FA Addition'!$L$1+1,'FA Write off'!C:C,"&gt;"&amp;'FA Addition'!$L$1-365)</f>
        <v>0</v>
      </c>
      <c r="AC132" s="191">
        <f>IFERROR(AA132/'FA Addition'!$J132*'FA Addition'!$L132,0)</f>
        <v>0</v>
      </c>
      <c r="AE132" s="117">
        <f>IF(AND('FA Addition'!$D132&lt;$P$1+1,U132=0),'FA Addition'!$L132,0)-Y132</f>
        <v>99302.970297029708</v>
      </c>
      <c r="AF132" s="117">
        <f t="shared" ref="AF132:AF195" si="10">AE132+U132-AC132</f>
        <v>99302.970297029708</v>
      </c>
      <c r="AG132" s="117">
        <f>MIN(MAX(+$P$1-'FA Addition'!$D132,0),365*'FA Addition'!$O132)</f>
        <v>1095</v>
      </c>
      <c r="AH132" s="117">
        <f>MIN(MAX($L$1-'FA Addition'!$D132+1,0),365*'FA Addition'!$O132)</f>
        <v>1095</v>
      </c>
      <c r="AI132" s="117" cm="1">
        <f t="array" ref="AI132">_xlfn.XLOOKUP(1,('FA Write off'!A:A='FA Addition'!$A132)*('FA Write off'!D:D=AA132),'FA Write off'!H:H,0,0)</f>
        <v>0</v>
      </c>
      <c r="AJ132" s="117">
        <f>IF(AC132&gt;0,MAX(IF('FA Addition'!$N132="SLM",($AC132-'FA Addition'!$M132)*'FA Addition'!$P132*AI132/365,(AC132-'FA Addition'!$M132)*(1-(1-'FA Addition'!$P132)^(AI132/365))),0),0)</f>
        <v>0</v>
      </c>
      <c r="AL132" s="117">
        <f>MAX(IF(AG132&gt;0,IF('FA Addition'!$N132="SLM",($AE132-'FA Addition'!$M132)*'FA Addition'!$P132*AG132/365,IFERROR(VDB(AE132,AE132*0.05,'FA Addition'!$O132,0,YEARFRAC('FA Addition'!$C132,$P$1-1,3),'FA Addition'!$Q132),FAAddition[[#This Row],[Original Cost (Rs)]]-FAAddition[[#This Row],[Salvage Value]])),0),0)</f>
        <v>99251</v>
      </c>
      <c r="AM132" s="119"/>
      <c r="AN132" s="117">
        <f>MAX(IF(AH132&gt;0,IF('FA Addition'!$N132="SLM",($AF132-'FA Addition'!$M132)*'FA Addition'!$P132*AH132/365,IFERROR(VDB(AF132,AF132*0.05,'FA Addition'!$O132,0,YEARFRAC('FA Addition'!$C132,$L$1,3),'FA Addition'!$Q132),FAAddition[[#This Row],[Original Cost (Rs)]]-FAAddition[[#This Row],[Salvage Value]])),0),0)</f>
        <v>99251</v>
      </c>
      <c r="AO132" s="117">
        <f t="shared" si="8"/>
        <v>0</v>
      </c>
      <c r="AQ132" s="117">
        <f t="shared" ref="AQ132:AQ195" si="11">AE132-AL132</f>
        <v>51.970297029707581</v>
      </c>
      <c r="AR132" s="120">
        <f t="shared" ref="AR132:AR195" si="12">AF132-AN132</f>
        <v>51.970297029707581</v>
      </c>
      <c r="AS132" s="121"/>
    </row>
    <row r="133" spans="1:45" ht="13.5" x14ac:dyDescent="0.4">
      <c r="A133" s="12">
        <f t="shared" si="9"/>
        <v>130</v>
      </c>
      <c r="B133" s="44" t="s">
        <v>559</v>
      </c>
      <c r="C133" s="45">
        <v>42493</v>
      </c>
      <c r="D133" s="45">
        <v>42493</v>
      </c>
      <c r="E133" s="46" t="s">
        <v>32</v>
      </c>
      <c r="F133" s="44" t="s">
        <v>32</v>
      </c>
      <c r="G133" s="44" t="s">
        <v>577</v>
      </c>
      <c r="H133" s="44" t="s">
        <v>32</v>
      </c>
      <c r="I133" s="47"/>
      <c r="J133" s="56">
        <v>1</v>
      </c>
      <c r="K133" s="44" t="s">
        <v>32</v>
      </c>
      <c r="L133" s="52">
        <v>879</v>
      </c>
      <c r="M133" s="50">
        <f>ROUND('FA Addition'!$L133*5%,0.1)</f>
        <v>44</v>
      </c>
      <c r="N133" s="113" t="str">
        <f>_xlfn.XLOOKUP(_xlfn.CONCAT(E133,B133),'Year Wise Master Dep Approach'!F:F,'Year Wise Master Dep Approach'!D:D)</f>
        <v>WDV</v>
      </c>
      <c r="O133" s="113">
        <f>_xlfn.XLOOKUP(_xlfn.CONCAT(E133,B133),'Year Wise Master Dep Approach'!F:F,'Year Wise Master Dep Approach'!E:E)</f>
        <v>3</v>
      </c>
      <c r="P133" s="114">
        <f>IFERROR(IF('FA Addition'!$N133="WDV",1-('FA Addition'!$M133/'FA Addition'!$L133)^(1/'FA Addition'!$O133),1/'FA Addition'!$O133),0)</f>
        <v>0.63145719767760278</v>
      </c>
      <c r="Q133" s="122">
        <f>'FA Addition'!$P133*'FA Addition'!$O133</f>
        <v>1.8943715930328082</v>
      </c>
      <c r="R133" s="122"/>
      <c r="S133" s="116">
        <f>IF(AND(DATE(20&amp;LEFT(FAAddition[[#This Row],[FY]],2),4,1)&lt;$L$1+1,DATE(20&amp;LEFT(FAAddition[[#This Row],[FY]],2),4,1)&gt;$P$1-1),'FA Addition'!$J133,0)</f>
        <v>0</v>
      </c>
      <c r="U133" s="117">
        <f>S133*'FA Addition'!$L133/'FA Addition'!$J133</f>
        <v>0</v>
      </c>
      <c r="W133" s="116">
        <f>SUMIFS('FA Write off'!D:D,'FA Write off'!A:A,'FA Addition'!$A133,'FA Write off'!C:C,"&lt;"&amp;'FA Addition'!$P$1)</f>
        <v>0</v>
      </c>
      <c r="Y133" s="191">
        <f>IFERROR(W133/'FA Addition'!$J133*'FA Addition'!$L133,0)</f>
        <v>0</v>
      </c>
      <c r="AA133" s="116">
        <f>SUMIFS('FA Write off'!D:D,'FA Write off'!A:A,'FA Addition'!$A133,'FA Write off'!C:C,"&lt;"&amp;'FA Addition'!$L$1+1,'FA Write off'!C:C,"&gt;"&amp;'FA Addition'!$L$1-365)</f>
        <v>0</v>
      </c>
      <c r="AC133" s="118">
        <f>IFERROR(AA133/'FA Addition'!$J133*'FA Addition'!$L133,0)</f>
        <v>0</v>
      </c>
      <c r="AE133" s="117">
        <f>IF(AND('FA Addition'!$D133&lt;$P$1+1,U133=0),'FA Addition'!$L133,0)-Y133</f>
        <v>879</v>
      </c>
      <c r="AF133" s="117">
        <f t="shared" si="10"/>
        <v>879</v>
      </c>
      <c r="AG133" s="117">
        <f>MIN(MAX(+$P$1-'FA Addition'!$D133,0),365*'FA Addition'!$O133)</f>
        <v>1095</v>
      </c>
      <c r="AH133" s="117">
        <f>MIN(MAX($L$1-'FA Addition'!$D133+1,0),365*'FA Addition'!$O133)</f>
        <v>1095</v>
      </c>
      <c r="AI133" s="117" cm="1">
        <f t="array" ref="AI133">_xlfn.XLOOKUP(1,('FA Write off'!A:A='FA Addition'!$A133)*('FA Write off'!D:D=AA133),'FA Write off'!H:H,0,0)</f>
        <v>0</v>
      </c>
      <c r="AJ133" s="117">
        <f>IF(AC133&gt;0,MAX(IF('FA Addition'!$N133="SLM",($AC133-'FA Addition'!$M133)*'FA Addition'!$P133*AI133/365,(AC133-'FA Addition'!$M133)*(1-(1-'FA Addition'!$P133)^(AI133/365))),0),0)</f>
        <v>0</v>
      </c>
      <c r="AL133" s="117">
        <f>MAX(IF(AG133&gt;0,IF('FA Addition'!$N133="SLM",($AE133-'FA Addition'!$M133)*'FA Addition'!$P133*AG133/365,IFERROR(VDB(AE133,AE133*0.05,'FA Addition'!$O133,0,YEARFRAC('FA Addition'!$C133,$P$1-1,3),'FA Addition'!$Q133),FAAddition[[#This Row],[Original Cost (Rs)]]-FAAddition[[#This Row],[Salvage Value]])),0),0)</f>
        <v>835</v>
      </c>
      <c r="AM133" s="119"/>
      <c r="AN133" s="117">
        <f>MAX(IF(AH133&gt;0,IF('FA Addition'!$N133="SLM",($AF133-'FA Addition'!$M133)*'FA Addition'!$P133*AH133/365,IFERROR(VDB(AF133,AF133*0.05,'FA Addition'!$O133,0,YEARFRAC('FA Addition'!$C133,$L$1,3),'FA Addition'!$Q133),FAAddition[[#This Row],[Original Cost (Rs)]]-FAAddition[[#This Row],[Salvage Value]])),0),0)</f>
        <v>835</v>
      </c>
      <c r="AO133" s="117">
        <f t="shared" ref="AO133:AO196" si="13">AN133-AL133+AJ133</f>
        <v>0</v>
      </c>
      <c r="AQ133" s="117">
        <f t="shared" si="11"/>
        <v>44</v>
      </c>
      <c r="AR133" s="120">
        <f t="shared" si="12"/>
        <v>44</v>
      </c>
      <c r="AS133" s="121"/>
    </row>
    <row r="134" spans="1:45" ht="13.5" x14ac:dyDescent="0.4">
      <c r="A134" s="12">
        <f t="shared" ref="A134:A197" si="14">A133+1</f>
        <v>131</v>
      </c>
      <c r="B134" s="44" t="s">
        <v>559</v>
      </c>
      <c r="C134" s="45">
        <v>42494</v>
      </c>
      <c r="D134" s="45">
        <v>42494</v>
      </c>
      <c r="E134" s="46" t="s">
        <v>523</v>
      </c>
      <c r="F134" s="44" t="s">
        <v>524</v>
      </c>
      <c r="G134" s="44" t="s">
        <v>578</v>
      </c>
      <c r="H134" s="44" t="s">
        <v>113</v>
      </c>
      <c r="I134" s="47"/>
      <c r="J134" s="48">
        <v>21</v>
      </c>
      <c r="K134" s="44" t="s">
        <v>579</v>
      </c>
      <c r="L134" s="52">
        <v>63938</v>
      </c>
      <c r="M134" s="50">
        <f>ROUND('FA Addition'!$L134*5%,0.1)</f>
        <v>3197</v>
      </c>
      <c r="N134" s="113" t="str">
        <f>_xlfn.XLOOKUP(_xlfn.CONCAT(E134,B134),'Year Wise Master Dep Approach'!F:F,'Year Wise Master Dep Approach'!D:D)</f>
        <v>WDV</v>
      </c>
      <c r="O134" s="113">
        <f>_xlfn.XLOOKUP(_xlfn.CONCAT(E134,B134),'Year Wise Master Dep Approach'!F:F,'Year Wise Master Dep Approach'!E:E)</f>
        <v>10</v>
      </c>
      <c r="P134" s="114">
        <f>IFERROR(IF('FA Addition'!$N134="WDV",1-('FA Addition'!$M134/'FA Addition'!$L134)^(1/'FA Addition'!$O134),1/'FA Addition'!$O134),0)</f>
        <v>0.25886323263468636</v>
      </c>
      <c r="Q134" s="122">
        <f>'FA Addition'!$P134*'FA Addition'!$O134</f>
        <v>2.5886323263468638</v>
      </c>
      <c r="R134" s="122"/>
      <c r="S134" s="116">
        <f>IF(AND(DATE(20&amp;LEFT(FAAddition[[#This Row],[FY]],2),4,1)&lt;$L$1+1,DATE(20&amp;LEFT(FAAddition[[#This Row],[FY]],2),4,1)&gt;$P$1-1),'FA Addition'!$J134,0)</f>
        <v>0</v>
      </c>
      <c r="U134" s="117">
        <f>S134*'FA Addition'!$L134/'FA Addition'!$J134</f>
        <v>0</v>
      </c>
      <c r="W134" s="116">
        <f>SUMIFS('FA Write off'!D:D,'FA Write off'!A:A,'FA Addition'!$A134,'FA Write off'!C:C,"&lt;"&amp;'FA Addition'!$P$1)</f>
        <v>0</v>
      </c>
      <c r="Y134" s="191">
        <f>IFERROR(W134/'FA Addition'!$J134*'FA Addition'!$L134,0)</f>
        <v>0</v>
      </c>
      <c r="AA134" s="116">
        <f>SUMIFS('FA Write off'!D:D,'FA Write off'!A:A,'FA Addition'!$A134,'FA Write off'!C:C,"&lt;"&amp;'FA Addition'!$L$1+1,'FA Write off'!C:C,"&gt;"&amp;'FA Addition'!$L$1-365)</f>
        <v>0</v>
      </c>
      <c r="AC134" s="118">
        <f>IFERROR(AA134/'FA Addition'!$J134*'FA Addition'!$L134,0)</f>
        <v>0</v>
      </c>
      <c r="AE134" s="117">
        <f>IF(AND('FA Addition'!$D134&lt;$P$1+1,U134=0),'FA Addition'!$L134,0)-Y134</f>
        <v>63938</v>
      </c>
      <c r="AF134" s="117">
        <f t="shared" si="10"/>
        <v>63938</v>
      </c>
      <c r="AG134" s="117">
        <f>MIN(MAX(+$P$1-'FA Addition'!$D134,0),365*'FA Addition'!$O134)</f>
        <v>2523</v>
      </c>
      <c r="AH134" s="117">
        <f>MIN(MAX($L$1-'FA Addition'!$D134+1,0),365*'FA Addition'!$O134)</f>
        <v>2889</v>
      </c>
      <c r="AI134" s="117" cm="1">
        <f t="array" ref="AI134">_xlfn.XLOOKUP(1,('FA Write off'!A:A='FA Addition'!$A134)*('FA Write off'!D:D=AA134),'FA Write off'!H:H,0,0)</f>
        <v>0</v>
      </c>
      <c r="AJ134" s="117">
        <f>IF(AC134&gt;0,MAX(IF('FA Addition'!$N134="SLM",($AC134-'FA Addition'!$M134)*'FA Addition'!$P134*AI134/365,(AC134-'FA Addition'!$M134)*(1-(1-'FA Addition'!$P134)^(AI134/365))),0),0)</f>
        <v>0</v>
      </c>
      <c r="AL134" s="117">
        <f>MAX(IF(AG134&gt;0,IF('FA Addition'!$N134="SLM",($AE134-'FA Addition'!$M134)*'FA Addition'!$P134*AG134/365,IFERROR(VDB(AE134,AE134*0.05,'FA Addition'!$O134,0,YEARFRAC('FA Addition'!$C134,$P$1-1,3),'FA Addition'!$Q134),FAAddition[[#This Row],[Original Cost (Rs)]]-FAAddition[[#This Row],[Salvage Value]])),0),0)</f>
        <v>55836.789996559724</v>
      </c>
      <c r="AM134" s="119"/>
      <c r="AN134" s="117">
        <f>MAX(IF(AH134&gt;0,IF('FA Addition'!$N134="SLM",($AF134-'FA Addition'!$M134)*'FA Addition'!$P134*AH134/365,IFERROR(VDB(AF134,AF134*0.05,'FA Addition'!$O134,0,YEARFRAC('FA Addition'!$C134,$L$1,3),'FA Addition'!$Q134),FAAddition[[#This Row],[Original Cost (Rs)]]-FAAddition[[#This Row],[Salvage Value]])),0),0)</f>
        <v>57939.465019889474</v>
      </c>
      <c r="AO134" s="117">
        <f t="shared" si="13"/>
        <v>2102.6750233297498</v>
      </c>
      <c r="AQ134" s="117">
        <f t="shared" si="11"/>
        <v>8101.2100034402756</v>
      </c>
      <c r="AR134" s="120">
        <f t="shared" si="12"/>
        <v>5998.5349801105258</v>
      </c>
      <c r="AS134" s="121"/>
    </row>
    <row r="135" spans="1:45" ht="13.5" x14ac:dyDescent="0.4">
      <c r="A135" s="12">
        <f t="shared" si="14"/>
        <v>132</v>
      </c>
      <c r="B135" s="44" t="s">
        <v>559</v>
      </c>
      <c r="C135" s="45">
        <v>42494</v>
      </c>
      <c r="D135" s="45">
        <v>42494</v>
      </c>
      <c r="E135" s="46" t="s">
        <v>32</v>
      </c>
      <c r="F135" s="44" t="s">
        <v>32</v>
      </c>
      <c r="G135" s="44" t="s">
        <v>572</v>
      </c>
      <c r="H135" s="44" t="s">
        <v>32</v>
      </c>
      <c r="I135" s="47" t="s">
        <v>580</v>
      </c>
      <c r="J135" s="48">
        <v>101</v>
      </c>
      <c r="K135" s="44" t="s">
        <v>581</v>
      </c>
      <c r="L135" s="52">
        <v>105740</v>
      </c>
      <c r="M135" s="50">
        <f>ROUND('FA Addition'!$L135*5%,0.1)</f>
        <v>5287</v>
      </c>
      <c r="N135" s="113" t="str">
        <f>_xlfn.XLOOKUP(_xlfn.CONCAT(E135,B135),'Year Wise Master Dep Approach'!F:F,'Year Wise Master Dep Approach'!D:D)</f>
        <v>WDV</v>
      </c>
      <c r="O135" s="113">
        <f>_xlfn.XLOOKUP(_xlfn.CONCAT(E135,B135),'Year Wise Master Dep Approach'!F:F,'Year Wise Master Dep Approach'!E:E)</f>
        <v>3</v>
      </c>
      <c r="P135" s="114">
        <f>IFERROR(IF('FA Addition'!$N135="WDV",1-('FA Addition'!$M135/'FA Addition'!$L135)^(1/'FA Addition'!$O135),1/'FA Addition'!$O135),0)</f>
        <v>0.63159685013596123</v>
      </c>
      <c r="Q135" s="122">
        <f>'FA Addition'!$P135*'FA Addition'!$O135</f>
        <v>1.8947905504078837</v>
      </c>
      <c r="R135" s="122"/>
      <c r="S135" s="116">
        <f>IF(AND(DATE(20&amp;LEFT(FAAddition[[#This Row],[FY]],2),4,1)&lt;$L$1+1,DATE(20&amp;LEFT(FAAddition[[#This Row],[FY]],2),4,1)&gt;$P$1-1),'FA Addition'!$J135,0)</f>
        <v>0</v>
      </c>
      <c r="U135" s="117">
        <f>S135*'FA Addition'!$L135/'FA Addition'!$J135</f>
        <v>0</v>
      </c>
      <c r="W135" s="116">
        <f>SUMIFS('FA Write off'!D:D,'FA Write off'!A:A,'FA Addition'!$A135,'FA Write off'!C:C,"&lt;"&amp;'FA Addition'!$P$1)</f>
        <v>2</v>
      </c>
      <c r="Y135" s="191">
        <f>IFERROR(W135/'FA Addition'!$J135*'FA Addition'!$L135,0)</f>
        <v>2093.8613861386139</v>
      </c>
      <c r="AA135" s="116">
        <f>SUMIFS('FA Write off'!D:D,'FA Write off'!A:A,'FA Addition'!$A135,'FA Write off'!C:C,"&lt;"&amp;'FA Addition'!$L$1+1,'FA Write off'!C:C,"&gt;"&amp;'FA Addition'!$L$1-365)</f>
        <v>0</v>
      </c>
      <c r="AC135" s="191">
        <f>IFERROR(AA135/'FA Addition'!$J135*'FA Addition'!$L135,0)</f>
        <v>0</v>
      </c>
      <c r="AE135" s="117">
        <f>IF(AND('FA Addition'!$D135&lt;$P$1+1,U135=0),'FA Addition'!$L135,0)-Y135</f>
        <v>103646.13861386139</v>
      </c>
      <c r="AF135" s="117">
        <f t="shared" si="10"/>
        <v>103646.13861386139</v>
      </c>
      <c r="AG135" s="117">
        <f>MIN(MAX(+$P$1-'FA Addition'!$D135,0),365*'FA Addition'!$O135)</f>
        <v>1095</v>
      </c>
      <c r="AH135" s="117">
        <f>MIN(MAX($L$1-'FA Addition'!$D135+1,0),365*'FA Addition'!$O135)</f>
        <v>1095</v>
      </c>
      <c r="AI135" s="117" cm="1">
        <f t="array" ref="AI135">_xlfn.XLOOKUP(1,('FA Write off'!A:A='FA Addition'!$A135)*('FA Write off'!D:D=AA135),'FA Write off'!H:H,0,0)</f>
        <v>0</v>
      </c>
      <c r="AJ135" s="117">
        <f>IF(AC135&gt;0,MAX(IF('FA Addition'!$N135="SLM",($AC135-'FA Addition'!$M135)*'FA Addition'!$P135*AI135/365,(AC135-'FA Addition'!$M135)*(1-(1-'FA Addition'!$P135)^(AI135/365))),0),0)</f>
        <v>0</v>
      </c>
      <c r="AL135" s="117">
        <f>MAX(IF(AG135&gt;0,IF('FA Addition'!$N135="SLM",($AE135-'FA Addition'!$M135)*'FA Addition'!$P135*AG135/365,IFERROR(VDB(AE135,AE135*0.05,'FA Addition'!$O135,0,YEARFRAC('FA Addition'!$C135,$P$1-1,3),'FA Addition'!$Q135),FAAddition[[#This Row],[Original Cost (Rs)]]-FAAddition[[#This Row],[Salvage Value]])),0),0)</f>
        <v>100453</v>
      </c>
      <c r="AM135" s="119"/>
      <c r="AN135" s="117">
        <f>MAX(IF(AH135&gt;0,IF('FA Addition'!$N135="SLM",($AF135-'FA Addition'!$M135)*'FA Addition'!$P135*AH135/365,IFERROR(VDB(AF135,AF135*0.05,'FA Addition'!$O135,0,YEARFRAC('FA Addition'!$C135,$L$1,3),'FA Addition'!$Q135),FAAddition[[#This Row],[Original Cost (Rs)]]-FAAddition[[#This Row],[Salvage Value]])),0),0)</f>
        <v>100453</v>
      </c>
      <c r="AO135" s="117">
        <f t="shared" si="13"/>
        <v>0</v>
      </c>
      <c r="AQ135" s="117">
        <f t="shared" si="11"/>
        <v>3193.1386138613889</v>
      </c>
      <c r="AR135" s="120">
        <f t="shared" si="12"/>
        <v>3193.1386138613889</v>
      </c>
      <c r="AS135" s="121"/>
    </row>
    <row r="136" spans="1:45" ht="13.5" x14ac:dyDescent="0.4">
      <c r="A136" s="12">
        <f t="shared" si="14"/>
        <v>133</v>
      </c>
      <c r="B136" s="44" t="s">
        <v>559</v>
      </c>
      <c r="C136" s="45">
        <v>42495</v>
      </c>
      <c r="D136" s="45">
        <v>42495</v>
      </c>
      <c r="E136" s="46" t="s">
        <v>523</v>
      </c>
      <c r="F136" s="44" t="s">
        <v>524</v>
      </c>
      <c r="G136" s="44" t="s">
        <v>582</v>
      </c>
      <c r="H136" s="44" t="s">
        <v>583</v>
      </c>
      <c r="I136" s="47"/>
      <c r="J136" s="56">
        <v>1</v>
      </c>
      <c r="K136" s="44" t="s">
        <v>584</v>
      </c>
      <c r="L136" s="52">
        <v>10000</v>
      </c>
      <c r="M136" s="50">
        <f>ROUND('FA Addition'!$L136*5%,0.1)</f>
        <v>500</v>
      </c>
      <c r="N136" s="113" t="str">
        <f>_xlfn.XLOOKUP(_xlfn.CONCAT(E136,B136),'Year Wise Master Dep Approach'!F:F,'Year Wise Master Dep Approach'!D:D)</f>
        <v>WDV</v>
      </c>
      <c r="O136" s="113">
        <f>_xlfn.XLOOKUP(_xlfn.CONCAT(E136,B136),'Year Wise Master Dep Approach'!F:F,'Year Wise Master Dep Approach'!E:E)</f>
        <v>10</v>
      </c>
      <c r="P136" s="114">
        <f>IFERROR(IF('FA Addition'!$N136="WDV",1-('FA Addition'!$M136/'FA Addition'!$L136)^(1/'FA Addition'!$O136),1/'FA Addition'!$O136),0)</f>
        <v>0.2588655508930523</v>
      </c>
      <c r="Q136" s="122">
        <f>'FA Addition'!$P136*'FA Addition'!$O136</f>
        <v>2.5886555089305228</v>
      </c>
      <c r="R136" s="122"/>
      <c r="S136" s="116">
        <f>IF(AND(DATE(20&amp;LEFT(FAAddition[[#This Row],[FY]],2),4,1)&lt;$L$1+1,DATE(20&amp;LEFT(FAAddition[[#This Row],[FY]],2),4,1)&gt;$P$1-1),'FA Addition'!$J136,0)</f>
        <v>0</v>
      </c>
      <c r="U136" s="117">
        <f>S136*'FA Addition'!$L136/'FA Addition'!$J136</f>
        <v>0</v>
      </c>
      <c r="W136" s="116">
        <f>SUMIFS('FA Write off'!D:D,'FA Write off'!A:A,'FA Addition'!$A136,'FA Write off'!C:C,"&lt;"&amp;'FA Addition'!$P$1)</f>
        <v>0</v>
      </c>
      <c r="Y136" s="191">
        <f>IFERROR(W136/'FA Addition'!$J136*'FA Addition'!$L136,0)</f>
        <v>0</v>
      </c>
      <c r="AA136" s="116">
        <f>SUMIFS('FA Write off'!D:D,'FA Write off'!A:A,'FA Addition'!$A136,'FA Write off'!C:C,"&lt;"&amp;'FA Addition'!$L$1+1,'FA Write off'!C:C,"&gt;"&amp;'FA Addition'!$L$1-365)</f>
        <v>0</v>
      </c>
      <c r="AC136" s="118">
        <f>IFERROR(AA136/'FA Addition'!$J136*'FA Addition'!$L136,0)</f>
        <v>0</v>
      </c>
      <c r="AE136" s="117">
        <f>IF(AND('FA Addition'!$D136&lt;$P$1+1,U136=0),'FA Addition'!$L136,0)-Y136</f>
        <v>10000</v>
      </c>
      <c r="AF136" s="117">
        <f t="shared" si="10"/>
        <v>10000</v>
      </c>
      <c r="AG136" s="117">
        <f>MIN(MAX(+$P$1-'FA Addition'!$D136,0),365*'FA Addition'!$O136)</f>
        <v>2522</v>
      </c>
      <c r="AH136" s="117">
        <f>MIN(MAX($L$1-'FA Addition'!$D136+1,0),365*'FA Addition'!$O136)</f>
        <v>2888</v>
      </c>
      <c r="AI136" s="117" cm="1">
        <f t="array" ref="AI136">_xlfn.XLOOKUP(1,('FA Write off'!A:A='FA Addition'!$A136)*('FA Write off'!D:D=AA136),'FA Write off'!H:H,0,0)</f>
        <v>0</v>
      </c>
      <c r="AJ136" s="117">
        <f>IF(AC136&gt;0,MAX(IF('FA Addition'!$N136="SLM",($AC136-'FA Addition'!$M136)*'FA Addition'!$P136*AI136/365,(AC136-'FA Addition'!$M136)*(1-(1-'FA Addition'!$P136)^(AI136/365))),0),0)</f>
        <v>0</v>
      </c>
      <c r="AL136" s="117">
        <f>MAX(IF(AG136&gt;0,IF('FA Addition'!$N136="SLM",($AE136-'FA Addition'!$M136)*'FA Addition'!$P136*AG136/365,IFERROR(VDB(AE136,AE136*0.05,'FA Addition'!$O136,0,YEARFRAC('FA Addition'!$C136,$P$1-1,3),'FA Addition'!$Q136),FAAddition[[#This Row],[Original Cost (Rs)]]-FAAddition[[#This Row],[Salvage Value]])),0),0)</f>
        <v>8731.8104248243653</v>
      </c>
      <c r="AM136" s="119"/>
      <c r="AN136" s="117">
        <f>MAX(IF(AH136&gt;0,IF('FA Addition'!$N136="SLM",($AF136-'FA Addition'!$M136)*'FA Addition'!$P136*AH136/365,IFERROR(VDB(AF136,AF136*0.05,'FA Addition'!$O136,0,YEARFRAC('FA Addition'!$C136,$L$1,3),'FA Addition'!$Q136),FAAddition[[#This Row],[Original Cost (Rs)]]-FAAddition[[#This Row],[Salvage Value]])),0),0)</f>
        <v>9060.9721025639719</v>
      </c>
      <c r="AO136" s="117">
        <f t="shared" si="13"/>
        <v>329.1616777396066</v>
      </c>
      <c r="AQ136" s="117">
        <f t="shared" si="11"/>
        <v>1268.1895751756347</v>
      </c>
      <c r="AR136" s="120">
        <f t="shared" si="12"/>
        <v>939.02789743602807</v>
      </c>
      <c r="AS136" s="121"/>
    </row>
    <row r="137" spans="1:45" ht="13.5" x14ac:dyDescent="0.4">
      <c r="A137" s="12">
        <f t="shared" si="14"/>
        <v>134</v>
      </c>
      <c r="B137" s="44" t="s">
        <v>559</v>
      </c>
      <c r="C137" s="45">
        <v>42496</v>
      </c>
      <c r="D137" s="45">
        <v>42496</v>
      </c>
      <c r="E137" s="46" t="s">
        <v>32</v>
      </c>
      <c r="F137" s="44" t="s">
        <v>32</v>
      </c>
      <c r="G137" s="44" t="s">
        <v>433</v>
      </c>
      <c r="H137" s="44" t="s">
        <v>32</v>
      </c>
      <c r="I137" s="47" t="s">
        <v>585</v>
      </c>
      <c r="J137" s="56">
        <v>1</v>
      </c>
      <c r="K137" s="44" t="s">
        <v>586</v>
      </c>
      <c r="L137" s="52">
        <v>2625</v>
      </c>
      <c r="M137" s="50">
        <f>ROUND('FA Addition'!$L137*5%,0.1)</f>
        <v>131</v>
      </c>
      <c r="N137" s="113" t="str">
        <f>_xlfn.XLOOKUP(_xlfn.CONCAT(E137,B137),'Year Wise Master Dep Approach'!F:F,'Year Wise Master Dep Approach'!D:D)</f>
        <v>WDV</v>
      </c>
      <c r="O137" s="113">
        <f>_xlfn.XLOOKUP(_xlfn.CONCAT(E137,B137),'Year Wise Master Dep Approach'!F:F,'Year Wise Master Dep Approach'!E:E)</f>
        <v>3</v>
      </c>
      <c r="P137" s="114">
        <f>IFERROR(IF('FA Addition'!$N137="WDV",1-('FA Addition'!$M137/'FA Addition'!$L137)^(1/'FA Addition'!$O137),1/'FA Addition'!$O137),0)</f>
        <v>0.63183090556736521</v>
      </c>
      <c r="Q137" s="122">
        <f>'FA Addition'!$P137*'FA Addition'!$O137</f>
        <v>1.8954927167020956</v>
      </c>
      <c r="R137" s="122"/>
      <c r="S137" s="116">
        <f>IF(AND(DATE(20&amp;LEFT(FAAddition[[#This Row],[FY]],2),4,1)&lt;$L$1+1,DATE(20&amp;LEFT(FAAddition[[#This Row],[FY]],2),4,1)&gt;$P$1-1),'FA Addition'!$J137,0)</f>
        <v>0</v>
      </c>
      <c r="U137" s="117">
        <f>S137*'FA Addition'!$L137/'FA Addition'!$J137</f>
        <v>0</v>
      </c>
      <c r="W137" s="116">
        <f>SUMIFS('FA Write off'!D:D,'FA Write off'!A:A,'FA Addition'!$A137,'FA Write off'!C:C,"&lt;"&amp;'FA Addition'!$P$1)</f>
        <v>0</v>
      </c>
      <c r="Y137" s="191">
        <f>IFERROR(W137/'FA Addition'!$J137*'FA Addition'!$L137,0)</f>
        <v>0</v>
      </c>
      <c r="AA137" s="116">
        <f>SUMIFS('FA Write off'!D:D,'FA Write off'!A:A,'FA Addition'!$A137,'FA Write off'!C:C,"&lt;"&amp;'FA Addition'!$L$1+1,'FA Write off'!C:C,"&gt;"&amp;'FA Addition'!$L$1-365)</f>
        <v>0</v>
      </c>
      <c r="AC137" s="118">
        <f>IFERROR(AA137/'FA Addition'!$J137*'FA Addition'!$L137,0)</f>
        <v>0</v>
      </c>
      <c r="AE137" s="117">
        <f>IF(AND('FA Addition'!$D137&lt;$P$1+1,U137=0),'FA Addition'!$L137,0)-Y137</f>
        <v>2625</v>
      </c>
      <c r="AF137" s="117">
        <f t="shared" si="10"/>
        <v>2625</v>
      </c>
      <c r="AG137" s="117">
        <f>MIN(MAX(+$P$1-'FA Addition'!$D137,0),365*'FA Addition'!$O137)</f>
        <v>1095</v>
      </c>
      <c r="AH137" s="117">
        <f>MIN(MAX($L$1-'FA Addition'!$D137+1,0),365*'FA Addition'!$O137)</f>
        <v>1095</v>
      </c>
      <c r="AI137" s="117" cm="1">
        <f t="array" ref="AI137">_xlfn.XLOOKUP(1,('FA Write off'!A:A='FA Addition'!$A137)*('FA Write off'!D:D=AA137),'FA Write off'!H:H,0,0)</f>
        <v>0</v>
      </c>
      <c r="AJ137" s="117">
        <f>IF(AC137&gt;0,MAX(IF('FA Addition'!$N137="SLM",($AC137-'FA Addition'!$M137)*'FA Addition'!$P137*AI137/365,(AC137-'FA Addition'!$M137)*(1-(1-'FA Addition'!$P137)^(AI137/365))),0),0)</f>
        <v>0</v>
      </c>
      <c r="AL137" s="117">
        <f>MAX(IF(AG137&gt;0,IF('FA Addition'!$N137="SLM",($AE137-'FA Addition'!$M137)*'FA Addition'!$P137*AG137/365,IFERROR(VDB(AE137,AE137*0.05,'FA Addition'!$O137,0,YEARFRAC('FA Addition'!$C137,$P$1-1,3),'FA Addition'!$Q137),FAAddition[[#This Row],[Original Cost (Rs)]]-FAAddition[[#This Row],[Salvage Value]])),0),0)</f>
        <v>2494</v>
      </c>
      <c r="AM137" s="119"/>
      <c r="AN137" s="117">
        <f>MAX(IF(AH137&gt;0,IF('FA Addition'!$N137="SLM",($AF137-'FA Addition'!$M137)*'FA Addition'!$P137*AH137/365,IFERROR(VDB(AF137,AF137*0.05,'FA Addition'!$O137,0,YEARFRAC('FA Addition'!$C137,$L$1,3),'FA Addition'!$Q137),FAAddition[[#This Row],[Original Cost (Rs)]]-FAAddition[[#This Row],[Salvage Value]])),0),0)</f>
        <v>2494</v>
      </c>
      <c r="AO137" s="117">
        <f t="shared" si="13"/>
        <v>0</v>
      </c>
      <c r="AQ137" s="117">
        <f t="shared" si="11"/>
        <v>131</v>
      </c>
      <c r="AR137" s="120">
        <f t="shared" si="12"/>
        <v>131</v>
      </c>
      <c r="AS137" s="121"/>
    </row>
    <row r="138" spans="1:45" ht="13.5" x14ac:dyDescent="0.4">
      <c r="A138" s="12">
        <f t="shared" si="14"/>
        <v>135</v>
      </c>
      <c r="B138" s="44" t="s">
        <v>559</v>
      </c>
      <c r="C138" s="45">
        <v>42497</v>
      </c>
      <c r="D138" s="45">
        <v>42497</v>
      </c>
      <c r="E138" s="46" t="s">
        <v>451</v>
      </c>
      <c r="F138" s="44" t="s">
        <v>21</v>
      </c>
      <c r="G138" s="44" t="s">
        <v>587</v>
      </c>
      <c r="H138" s="44"/>
      <c r="I138" s="47"/>
      <c r="J138" s="56">
        <v>1</v>
      </c>
      <c r="K138" s="44" t="s">
        <v>21</v>
      </c>
      <c r="L138" s="52">
        <v>53500</v>
      </c>
      <c r="M138" s="50">
        <f>ROUND('FA Addition'!$L138*5%,0.1)</f>
        <v>2675</v>
      </c>
      <c r="N138" s="113" t="str">
        <f>_xlfn.XLOOKUP(_xlfn.CONCAT(E138,B138),'Year Wise Master Dep Approach'!F:F,'Year Wise Master Dep Approach'!D:D)</f>
        <v>WDV</v>
      </c>
      <c r="O138" s="113">
        <f>_xlfn.XLOOKUP(_xlfn.CONCAT(E138,B138),'Year Wise Master Dep Approach'!F:F,'Year Wise Master Dep Approach'!E:E)</f>
        <v>3</v>
      </c>
      <c r="P138" s="114">
        <f>IFERROR(IF('FA Addition'!$N138="WDV",1-('FA Addition'!$M138/'FA Addition'!$L138)^(1/'FA Addition'!$O138),1/'FA Addition'!$O138),0)</f>
        <v>0.63159685013596123</v>
      </c>
      <c r="Q138" s="122">
        <f>'FA Addition'!$P138*'FA Addition'!$O138</f>
        <v>1.8947905504078837</v>
      </c>
      <c r="R138" s="122"/>
      <c r="S138" s="116">
        <f>IF(AND(DATE(20&amp;LEFT(FAAddition[[#This Row],[FY]],2),4,1)&lt;$L$1+1,DATE(20&amp;LEFT(FAAddition[[#This Row],[FY]],2),4,1)&gt;$P$1-1),'FA Addition'!$J138,0)</f>
        <v>0</v>
      </c>
      <c r="U138" s="117">
        <f>S138*'FA Addition'!$L138/'FA Addition'!$J138</f>
        <v>0</v>
      </c>
      <c r="W138" s="116">
        <f>SUMIFS('FA Write off'!D:D,'FA Write off'!A:A,'FA Addition'!$A138,'FA Write off'!C:C,"&lt;"&amp;'FA Addition'!$P$1)</f>
        <v>0</v>
      </c>
      <c r="Y138" s="191">
        <f>IFERROR(W138/'FA Addition'!$J138*'FA Addition'!$L138,0)</f>
        <v>0</v>
      </c>
      <c r="AA138" s="116">
        <f>SUMIFS('FA Write off'!D:D,'FA Write off'!A:A,'FA Addition'!$A138,'FA Write off'!C:C,"&lt;"&amp;'FA Addition'!$L$1+1,'FA Write off'!C:C,"&gt;"&amp;'FA Addition'!$L$1-365)</f>
        <v>0</v>
      </c>
      <c r="AC138" s="118">
        <f>IFERROR(AA138/'FA Addition'!$J138*'FA Addition'!$L138,0)</f>
        <v>0</v>
      </c>
      <c r="AE138" s="117">
        <f>IF(AND('FA Addition'!$D138&lt;$P$1+1,U138=0),'FA Addition'!$L138,0)-Y138</f>
        <v>53500</v>
      </c>
      <c r="AF138" s="117">
        <f t="shared" si="10"/>
        <v>53500</v>
      </c>
      <c r="AG138" s="117">
        <f>MIN(MAX(+$P$1-'FA Addition'!$D138,0),365*'FA Addition'!$O138)</f>
        <v>1095</v>
      </c>
      <c r="AH138" s="117">
        <f>MIN(MAX($L$1-'FA Addition'!$D138+1,0),365*'FA Addition'!$O138)</f>
        <v>1095</v>
      </c>
      <c r="AI138" s="117" cm="1">
        <f t="array" ref="AI138">_xlfn.XLOOKUP(1,('FA Write off'!A:A='FA Addition'!$A138)*('FA Write off'!D:D=AA138),'FA Write off'!H:H,0,0)</f>
        <v>0</v>
      </c>
      <c r="AJ138" s="117">
        <f>IF(AC138&gt;0,MAX(IF('FA Addition'!$N138="SLM",($AC138-'FA Addition'!$M138)*'FA Addition'!$P138*AI138/365,(AC138-'FA Addition'!$M138)*(1-(1-'FA Addition'!$P138)^(AI138/365))),0),0)</f>
        <v>0</v>
      </c>
      <c r="AL138" s="117">
        <f>MAX(IF(AG138&gt;0,IF('FA Addition'!$N138="SLM",($AE138-'FA Addition'!$M138)*'FA Addition'!$P138*AG138/365,IFERROR(VDB(AE138,AE138*0.05,'FA Addition'!$O138,0,YEARFRAC('FA Addition'!$C138,$P$1-1,3),'FA Addition'!$Q138),FAAddition[[#This Row],[Original Cost (Rs)]]-FAAddition[[#This Row],[Salvage Value]])),0),0)</f>
        <v>50825</v>
      </c>
      <c r="AM138" s="119"/>
      <c r="AN138" s="117">
        <f>MAX(IF(AH138&gt;0,IF('FA Addition'!$N138="SLM",($AF138-'FA Addition'!$M138)*'FA Addition'!$P138*AH138/365,IFERROR(VDB(AF138,AF138*0.05,'FA Addition'!$O138,0,YEARFRAC('FA Addition'!$C138,$L$1,3),'FA Addition'!$Q138),FAAddition[[#This Row],[Original Cost (Rs)]]-FAAddition[[#This Row],[Salvage Value]])),0),0)</f>
        <v>50825</v>
      </c>
      <c r="AO138" s="117">
        <f t="shared" si="13"/>
        <v>0</v>
      </c>
      <c r="AQ138" s="117">
        <f t="shared" si="11"/>
        <v>2675</v>
      </c>
      <c r="AR138" s="120">
        <f t="shared" si="12"/>
        <v>2675</v>
      </c>
      <c r="AS138" s="121"/>
    </row>
    <row r="139" spans="1:45" ht="13.5" x14ac:dyDescent="0.4">
      <c r="A139" s="12">
        <f t="shared" si="14"/>
        <v>136</v>
      </c>
      <c r="B139" s="44" t="s">
        <v>559</v>
      </c>
      <c r="C139" s="45">
        <v>42497</v>
      </c>
      <c r="D139" s="45">
        <v>42497</v>
      </c>
      <c r="E139" s="46" t="s">
        <v>32</v>
      </c>
      <c r="F139" s="44" t="s">
        <v>32</v>
      </c>
      <c r="G139" s="44" t="s">
        <v>588</v>
      </c>
      <c r="H139" s="44" t="s">
        <v>32</v>
      </c>
      <c r="I139" s="47"/>
      <c r="J139" s="56">
        <v>1</v>
      </c>
      <c r="K139" s="44" t="s">
        <v>32</v>
      </c>
      <c r="L139" s="52">
        <v>31050</v>
      </c>
      <c r="M139" s="50">
        <f>ROUND('FA Addition'!$L139*5%,0.1)</f>
        <v>1553</v>
      </c>
      <c r="N139" s="113" t="str">
        <f>_xlfn.XLOOKUP(_xlfn.CONCAT(E139,B139),'Year Wise Master Dep Approach'!F:F,'Year Wise Master Dep Approach'!D:D)</f>
        <v>WDV</v>
      </c>
      <c r="O139" s="113">
        <f>_xlfn.XLOOKUP(_xlfn.CONCAT(E139,B139),'Year Wise Master Dep Approach'!F:F,'Year Wise Master Dep Approach'!E:E)</f>
        <v>3</v>
      </c>
      <c r="P139" s="114">
        <f>IFERROR(IF('FA Addition'!$N139="WDV",1-('FA Addition'!$M139/'FA Addition'!$L139)^(1/'FA Addition'!$O139),1/'FA Addition'!$O139),0)</f>
        <v>0.63155730492850171</v>
      </c>
      <c r="Q139" s="122">
        <f>'FA Addition'!$P139*'FA Addition'!$O139</f>
        <v>1.8946719147855051</v>
      </c>
      <c r="R139" s="122"/>
      <c r="S139" s="116">
        <f>IF(AND(DATE(20&amp;LEFT(FAAddition[[#This Row],[FY]],2),4,1)&lt;$L$1+1,DATE(20&amp;LEFT(FAAddition[[#This Row],[FY]],2),4,1)&gt;$P$1-1),'FA Addition'!$J139,0)</f>
        <v>0</v>
      </c>
      <c r="U139" s="117">
        <f>S139*'FA Addition'!$L139/'FA Addition'!$J139</f>
        <v>0</v>
      </c>
      <c r="W139" s="116">
        <f>SUMIFS('FA Write off'!D:D,'FA Write off'!A:A,'FA Addition'!$A139,'FA Write off'!C:C,"&lt;"&amp;'FA Addition'!$P$1)</f>
        <v>0</v>
      </c>
      <c r="Y139" s="191">
        <f>IFERROR(W139/'FA Addition'!$J139*'FA Addition'!$L139,0)</f>
        <v>0</v>
      </c>
      <c r="AA139" s="116">
        <f>SUMIFS('FA Write off'!D:D,'FA Write off'!A:A,'FA Addition'!$A139,'FA Write off'!C:C,"&lt;"&amp;'FA Addition'!$L$1+1,'FA Write off'!C:C,"&gt;"&amp;'FA Addition'!$L$1-365)</f>
        <v>0</v>
      </c>
      <c r="AC139" s="118">
        <f>IFERROR(AA139/'FA Addition'!$J139*'FA Addition'!$L139,0)</f>
        <v>0</v>
      </c>
      <c r="AE139" s="117">
        <f>IF(AND('FA Addition'!$D139&lt;$P$1+1,U139=0),'FA Addition'!$L139,0)-Y139</f>
        <v>31050</v>
      </c>
      <c r="AF139" s="117">
        <f t="shared" si="10"/>
        <v>31050</v>
      </c>
      <c r="AG139" s="117">
        <f>MIN(MAX(+$P$1-'FA Addition'!$D139,0),365*'FA Addition'!$O139)</f>
        <v>1095</v>
      </c>
      <c r="AH139" s="117">
        <f>MIN(MAX($L$1-'FA Addition'!$D139+1,0),365*'FA Addition'!$O139)</f>
        <v>1095</v>
      </c>
      <c r="AI139" s="117" cm="1">
        <f t="array" ref="AI139">_xlfn.XLOOKUP(1,('FA Write off'!A:A='FA Addition'!$A139)*('FA Write off'!D:D=AA139),'FA Write off'!H:H,0,0)</f>
        <v>0</v>
      </c>
      <c r="AJ139" s="117">
        <f>IF(AC139&gt;0,MAX(IF('FA Addition'!$N139="SLM",($AC139-'FA Addition'!$M139)*'FA Addition'!$P139*AI139/365,(AC139-'FA Addition'!$M139)*(1-(1-'FA Addition'!$P139)^(AI139/365))),0),0)</f>
        <v>0</v>
      </c>
      <c r="AL139" s="117">
        <f>MAX(IF(AG139&gt;0,IF('FA Addition'!$N139="SLM",($AE139-'FA Addition'!$M139)*'FA Addition'!$P139*AG139/365,IFERROR(VDB(AE139,AE139*0.05,'FA Addition'!$O139,0,YEARFRAC('FA Addition'!$C139,$P$1-1,3),'FA Addition'!$Q139),FAAddition[[#This Row],[Original Cost (Rs)]]-FAAddition[[#This Row],[Salvage Value]])),0),0)</f>
        <v>29497</v>
      </c>
      <c r="AM139" s="119"/>
      <c r="AN139" s="117">
        <f>MAX(IF(AH139&gt;0,IF('FA Addition'!$N139="SLM",($AF139-'FA Addition'!$M139)*'FA Addition'!$P139*AH139/365,IFERROR(VDB(AF139,AF139*0.05,'FA Addition'!$O139,0,YEARFRAC('FA Addition'!$C139,$L$1,3),'FA Addition'!$Q139),FAAddition[[#This Row],[Original Cost (Rs)]]-FAAddition[[#This Row],[Salvage Value]])),0),0)</f>
        <v>29497</v>
      </c>
      <c r="AO139" s="117">
        <f t="shared" si="13"/>
        <v>0</v>
      </c>
      <c r="AQ139" s="117">
        <f t="shared" si="11"/>
        <v>1553</v>
      </c>
      <c r="AR139" s="120">
        <f t="shared" si="12"/>
        <v>1553</v>
      </c>
      <c r="AS139" s="121"/>
    </row>
    <row r="140" spans="1:45" ht="13.5" x14ac:dyDescent="0.4">
      <c r="A140" s="12">
        <f t="shared" si="14"/>
        <v>137</v>
      </c>
      <c r="B140" s="44" t="s">
        <v>559</v>
      </c>
      <c r="C140" s="45">
        <v>42499</v>
      </c>
      <c r="D140" s="45">
        <v>42499</v>
      </c>
      <c r="E140" s="46" t="s">
        <v>32</v>
      </c>
      <c r="F140" s="44" t="s">
        <v>32</v>
      </c>
      <c r="G140" s="44" t="s">
        <v>433</v>
      </c>
      <c r="H140" s="44" t="s">
        <v>32</v>
      </c>
      <c r="I140" s="47" t="s">
        <v>589</v>
      </c>
      <c r="J140" s="48">
        <v>2</v>
      </c>
      <c r="K140" s="44" t="s">
        <v>590</v>
      </c>
      <c r="L140" s="52">
        <v>3150</v>
      </c>
      <c r="M140" s="50">
        <f>ROUND('FA Addition'!$L140*5%,0.1)</f>
        <v>158</v>
      </c>
      <c r="N140" s="113" t="str">
        <f>_xlfn.XLOOKUP(_xlfn.CONCAT(E140,B140),'Year Wise Master Dep Approach'!F:F,'Year Wise Master Dep Approach'!D:D)</f>
        <v>WDV</v>
      </c>
      <c r="O140" s="113">
        <f>_xlfn.XLOOKUP(_xlfn.CONCAT(E140,B140),'Year Wise Master Dep Approach'!F:F,'Year Wise Master Dep Approach'!E:E)</f>
        <v>3</v>
      </c>
      <c r="P140" s="114">
        <f>IFERROR(IF('FA Addition'!$N140="WDV",1-('FA Addition'!$M140/'FA Addition'!$L140)^(1/'FA Addition'!$O140),1/'FA Addition'!$O140),0)</f>
        <v>0.63120741734086516</v>
      </c>
      <c r="Q140" s="122">
        <f>'FA Addition'!$P140*'FA Addition'!$O140</f>
        <v>1.8936222520225954</v>
      </c>
      <c r="R140" s="122"/>
      <c r="S140" s="116">
        <f>IF(AND(DATE(20&amp;LEFT(FAAddition[[#This Row],[FY]],2),4,1)&lt;$L$1+1,DATE(20&amp;LEFT(FAAddition[[#This Row],[FY]],2),4,1)&gt;$P$1-1),'FA Addition'!$J140,0)</f>
        <v>0</v>
      </c>
      <c r="U140" s="117">
        <f>S140*'FA Addition'!$L140/'FA Addition'!$J140</f>
        <v>0</v>
      </c>
      <c r="W140" s="116">
        <f>SUMIFS('FA Write off'!D:D,'FA Write off'!A:A,'FA Addition'!$A140,'FA Write off'!C:C,"&lt;"&amp;'FA Addition'!$P$1)</f>
        <v>0</v>
      </c>
      <c r="Y140" s="191">
        <f>IFERROR(W140/'FA Addition'!$J140*'FA Addition'!$L140,0)</f>
        <v>0</v>
      </c>
      <c r="AA140" s="116">
        <f>SUMIFS('FA Write off'!D:D,'FA Write off'!A:A,'FA Addition'!$A140,'FA Write off'!C:C,"&lt;"&amp;'FA Addition'!$L$1+1,'FA Write off'!C:C,"&gt;"&amp;'FA Addition'!$L$1-365)</f>
        <v>0</v>
      </c>
      <c r="AC140" s="118">
        <f>IFERROR(AA140/'FA Addition'!$J140*'FA Addition'!$L140,0)</f>
        <v>0</v>
      </c>
      <c r="AE140" s="117">
        <f>IF(AND('FA Addition'!$D140&lt;$P$1+1,U140=0),'FA Addition'!$L140,0)-Y140</f>
        <v>3150</v>
      </c>
      <c r="AF140" s="117">
        <f t="shared" si="10"/>
        <v>3150</v>
      </c>
      <c r="AG140" s="117">
        <f>MIN(MAX(+$P$1-'FA Addition'!$D140,0),365*'FA Addition'!$O140)</f>
        <v>1095</v>
      </c>
      <c r="AH140" s="117">
        <f>MIN(MAX($L$1-'FA Addition'!$D140+1,0),365*'FA Addition'!$O140)</f>
        <v>1095</v>
      </c>
      <c r="AI140" s="117" cm="1">
        <f t="array" ref="AI140">_xlfn.XLOOKUP(1,('FA Write off'!A:A='FA Addition'!$A140)*('FA Write off'!D:D=AA140),'FA Write off'!H:H,0,0)</f>
        <v>0</v>
      </c>
      <c r="AJ140" s="117">
        <f>IF(AC140&gt;0,MAX(IF('FA Addition'!$N140="SLM",($AC140-'FA Addition'!$M140)*'FA Addition'!$P140*AI140/365,(AC140-'FA Addition'!$M140)*(1-(1-'FA Addition'!$P140)^(AI140/365))),0),0)</f>
        <v>0</v>
      </c>
      <c r="AL140" s="117">
        <f>MAX(IF(AG140&gt;0,IF('FA Addition'!$N140="SLM",($AE140-'FA Addition'!$M140)*'FA Addition'!$P140*AG140/365,IFERROR(VDB(AE140,AE140*0.05,'FA Addition'!$O140,0,YEARFRAC('FA Addition'!$C140,$P$1-1,3),'FA Addition'!$Q140),FAAddition[[#This Row],[Original Cost (Rs)]]-FAAddition[[#This Row],[Salvage Value]])),0),0)</f>
        <v>2992</v>
      </c>
      <c r="AM140" s="119"/>
      <c r="AN140" s="117">
        <f>MAX(IF(AH140&gt;0,IF('FA Addition'!$N140="SLM",($AF140-'FA Addition'!$M140)*'FA Addition'!$P140*AH140/365,IFERROR(VDB(AF140,AF140*0.05,'FA Addition'!$O140,0,YEARFRAC('FA Addition'!$C140,$L$1,3),'FA Addition'!$Q140),FAAddition[[#This Row],[Original Cost (Rs)]]-FAAddition[[#This Row],[Salvage Value]])),0),0)</f>
        <v>2992</v>
      </c>
      <c r="AO140" s="117">
        <f t="shared" si="13"/>
        <v>0</v>
      </c>
      <c r="AQ140" s="117">
        <f t="shared" si="11"/>
        <v>158</v>
      </c>
      <c r="AR140" s="120">
        <f t="shared" si="12"/>
        <v>158</v>
      </c>
      <c r="AS140" s="121"/>
    </row>
    <row r="141" spans="1:45" ht="13.5" x14ac:dyDescent="0.4">
      <c r="A141" s="12">
        <f t="shared" si="14"/>
        <v>138</v>
      </c>
      <c r="B141" s="44" t="s">
        <v>559</v>
      </c>
      <c r="C141" s="45">
        <v>42503</v>
      </c>
      <c r="D141" s="45">
        <v>42503</v>
      </c>
      <c r="E141" s="46" t="s">
        <v>32</v>
      </c>
      <c r="F141" s="44" t="s">
        <v>32</v>
      </c>
      <c r="G141" s="44" t="s">
        <v>433</v>
      </c>
      <c r="H141" s="44" t="s">
        <v>32</v>
      </c>
      <c r="I141" s="47" t="s">
        <v>591</v>
      </c>
      <c r="J141" s="48">
        <v>4</v>
      </c>
      <c r="K141" s="44" t="s">
        <v>592</v>
      </c>
      <c r="L141" s="52">
        <v>14871</v>
      </c>
      <c r="M141" s="50">
        <f>ROUND('FA Addition'!$L141*5%,0.1)</f>
        <v>744</v>
      </c>
      <c r="N141" s="113" t="str">
        <f>_xlfn.XLOOKUP(_xlfn.CONCAT(E141,B141),'Year Wise Master Dep Approach'!F:F,'Year Wise Master Dep Approach'!D:D)</f>
        <v>WDV</v>
      </c>
      <c r="O141" s="113">
        <f>_xlfn.XLOOKUP(_xlfn.CONCAT(E141,B141),'Year Wise Master Dep Approach'!F:F,'Year Wise Master Dep Approach'!E:E)</f>
        <v>3</v>
      </c>
      <c r="P141" s="114">
        <f>IFERROR(IF('FA Addition'!$N141="WDV",1-('FA Addition'!$M141/'FA Addition'!$L141)^(1/'FA Addition'!$O141),1/'FA Addition'!$O141),0)</f>
        <v>0.63152254534373575</v>
      </c>
      <c r="Q141" s="122">
        <f>'FA Addition'!$P141*'FA Addition'!$O141</f>
        <v>1.8945676360312071</v>
      </c>
      <c r="R141" s="122"/>
      <c r="S141" s="116">
        <f>IF(AND(DATE(20&amp;LEFT(FAAddition[[#This Row],[FY]],2),4,1)&lt;$L$1+1,DATE(20&amp;LEFT(FAAddition[[#This Row],[FY]],2),4,1)&gt;$P$1-1),'FA Addition'!$J141,0)</f>
        <v>0</v>
      </c>
      <c r="U141" s="117">
        <f>S141*'FA Addition'!$L141/'FA Addition'!$J141</f>
        <v>0</v>
      </c>
      <c r="W141" s="116">
        <f>SUMIFS('FA Write off'!D:D,'FA Write off'!A:A,'FA Addition'!$A141,'FA Write off'!C:C,"&lt;"&amp;'FA Addition'!$P$1)</f>
        <v>0</v>
      </c>
      <c r="Y141" s="191">
        <f>IFERROR(W141/'FA Addition'!$J141*'FA Addition'!$L141,0)</f>
        <v>0</v>
      </c>
      <c r="AA141" s="116">
        <f>SUMIFS('FA Write off'!D:D,'FA Write off'!A:A,'FA Addition'!$A141,'FA Write off'!C:C,"&lt;"&amp;'FA Addition'!$L$1+1,'FA Write off'!C:C,"&gt;"&amp;'FA Addition'!$L$1-365)</f>
        <v>0</v>
      </c>
      <c r="AC141" s="118">
        <f>IFERROR(AA141/'FA Addition'!$J141*'FA Addition'!$L141,0)</f>
        <v>0</v>
      </c>
      <c r="AE141" s="117">
        <f>IF(AND('FA Addition'!$D141&lt;$P$1+1,U141=0),'FA Addition'!$L141,0)-Y141</f>
        <v>14871</v>
      </c>
      <c r="AF141" s="117">
        <f t="shared" si="10"/>
        <v>14871</v>
      </c>
      <c r="AG141" s="117">
        <f>MIN(MAX(+$P$1-'FA Addition'!$D141,0),365*'FA Addition'!$O141)</f>
        <v>1095</v>
      </c>
      <c r="AH141" s="117">
        <f>MIN(MAX($L$1-'FA Addition'!$D141+1,0),365*'FA Addition'!$O141)</f>
        <v>1095</v>
      </c>
      <c r="AI141" s="117" cm="1">
        <f t="array" ref="AI141">_xlfn.XLOOKUP(1,('FA Write off'!A:A='FA Addition'!$A141)*('FA Write off'!D:D=AA141),'FA Write off'!H:H,0,0)</f>
        <v>0</v>
      </c>
      <c r="AJ141" s="117">
        <f>IF(AC141&gt;0,MAX(IF('FA Addition'!$N141="SLM",($AC141-'FA Addition'!$M141)*'FA Addition'!$P141*AI141/365,(AC141-'FA Addition'!$M141)*(1-(1-'FA Addition'!$P141)^(AI141/365))),0),0)</f>
        <v>0</v>
      </c>
      <c r="AL141" s="117">
        <f>MAX(IF(AG141&gt;0,IF('FA Addition'!$N141="SLM",($AE141-'FA Addition'!$M141)*'FA Addition'!$P141*AG141/365,IFERROR(VDB(AE141,AE141*0.05,'FA Addition'!$O141,0,YEARFRAC('FA Addition'!$C141,$P$1-1,3),'FA Addition'!$Q141),FAAddition[[#This Row],[Original Cost (Rs)]]-FAAddition[[#This Row],[Salvage Value]])),0),0)</f>
        <v>14127</v>
      </c>
      <c r="AM141" s="119"/>
      <c r="AN141" s="117">
        <f>MAX(IF(AH141&gt;0,IF('FA Addition'!$N141="SLM",($AF141-'FA Addition'!$M141)*'FA Addition'!$P141*AH141/365,IFERROR(VDB(AF141,AF141*0.05,'FA Addition'!$O141,0,YEARFRAC('FA Addition'!$C141,$L$1,3),'FA Addition'!$Q141),FAAddition[[#This Row],[Original Cost (Rs)]]-FAAddition[[#This Row],[Salvage Value]])),0),0)</f>
        <v>14127</v>
      </c>
      <c r="AO141" s="117">
        <f t="shared" si="13"/>
        <v>0</v>
      </c>
      <c r="AQ141" s="117">
        <f t="shared" si="11"/>
        <v>744</v>
      </c>
      <c r="AR141" s="120">
        <f t="shared" si="12"/>
        <v>744</v>
      </c>
      <c r="AS141" s="121"/>
    </row>
    <row r="142" spans="1:45" ht="13.5" x14ac:dyDescent="0.4">
      <c r="A142" s="12">
        <f t="shared" si="14"/>
        <v>139</v>
      </c>
      <c r="B142" s="44" t="s">
        <v>559</v>
      </c>
      <c r="C142" s="45">
        <v>42517</v>
      </c>
      <c r="D142" s="45">
        <v>42517</v>
      </c>
      <c r="E142" s="46" t="s">
        <v>32</v>
      </c>
      <c r="F142" s="44" t="s">
        <v>32</v>
      </c>
      <c r="G142" s="44" t="s">
        <v>433</v>
      </c>
      <c r="H142" s="44" t="s">
        <v>32</v>
      </c>
      <c r="I142" s="47" t="s">
        <v>434</v>
      </c>
      <c r="J142" s="48">
        <v>580</v>
      </c>
      <c r="K142" s="44" t="s">
        <v>32</v>
      </c>
      <c r="L142" s="52">
        <v>609000</v>
      </c>
      <c r="M142" s="50">
        <f>ROUND('FA Addition'!$L142*5%,0.1)</f>
        <v>30450</v>
      </c>
      <c r="N142" s="113" t="str">
        <f>_xlfn.XLOOKUP(_xlfn.CONCAT(E142,B142),'Year Wise Master Dep Approach'!F:F,'Year Wise Master Dep Approach'!D:D)</f>
        <v>WDV</v>
      </c>
      <c r="O142" s="113">
        <f>_xlfn.XLOOKUP(_xlfn.CONCAT(E142,B142),'Year Wise Master Dep Approach'!F:F,'Year Wise Master Dep Approach'!E:E)</f>
        <v>3</v>
      </c>
      <c r="P142" s="114">
        <f>IFERROR(IF('FA Addition'!$N142="WDV",1-('FA Addition'!$M142/'FA Addition'!$L142)^(1/'FA Addition'!$O142),1/'FA Addition'!$O142),0)</f>
        <v>0.63159685013596123</v>
      </c>
      <c r="Q142" s="122">
        <f>'FA Addition'!$P142*'FA Addition'!$O142</f>
        <v>1.8947905504078837</v>
      </c>
      <c r="R142" s="122"/>
      <c r="S142" s="116">
        <f>IF(AND(DATE(20&amp;LEFT(FAAddition[[#This Row],[FY]],2),4,1)&lt;$L$1+1,DATE(20&amp;LEFT(FAAddition[[#This Row],[FY]],2),4,1)&gt;$P$1-1),'FA Addition'!$J142,0)</f>
        <v>0</v>
      </c>
      <c r="U142" s="117">
        <f>S142*'FA Addition'!$L142/'FA Addition'!$J142</f>
        <v>0</v>
      </c>
      <c r="W142" s="116">
        <f>SUMIFS('FA Write off'!D:D,'FA Write off'!A:A,'FA Addition'!$A142,'FA Write off'!C:C,"&lt;"&amp;'FA Addition'!$P$1)</f>
        <v>7</v>
      </c>
      <c r="Y142" s="191">
        <f>IFERROR(W142/'FA Addition'!$J142*'FA Addition'!$L142,0)</f>
        <v>7350</v>
      </c>
      <c r="AA142" s="116">
        <f>SUMIFS('FA Write off'!D:D,'FA Write off'!A:A,'FA Addition'!$A142,'FA Write off'!C:C,"&lt;"&amp;'FA Addition'!$L$1+1,'FA Write off'!C:C,"&gt;"&amp;'FA Addition'!$L$1-365)</f>
        <v>0</v>
      </c>
      <c r="AC142" s="191">
        <f>IFERROR(AA142/'FA Addition'!$J142*'FA Addition'!$L142,0)</f>
        <v>0</v>
      </c>
      <c r="AE142" s="117">
        <f>IF(AND('FA Addition'!$D142&lt;$P$1+1,U142=0),'FA Addition'!$L142,0)-Y142</f>
        <v>601650</v>
      </c>
      <c r="AF142" s="117">
        <f t="shared" si="10"/>
        <v>601650</v>
      </c>
      <c r="AG142" s="117">
        <f>MIN(MAX(+$P$1-'FA Addition'!$D142,0),365*'FA Addition'!$O142)</f>
        <v>1095</v>
      </c>
      <c r="AH142" s="117">
        <f>MIN(MAX($L$1-'FA Addition'!$D142+1,0),365*'FA Addition'!$O142)</f>
        <v>1095</v>
      </c>
      <c r="AI142" s="117" cm="1">
        <f t="array" ref="AI142">_xlfn.XLOOKUP(1,('FA Write off'!A:A='FA Addition'!$A142)*('FA Write off'!D:D=AA142),'FA Write off'!H:H,0,0)</f>
        <v>0</v>
      </c>
      <c r="AJ142" s="117">
        <f>IF(AC142&gt;0,MAX(IF('FA Addition'!$N142="SLM",($AC142-'FA Addition'!$M142)*'FA Addition'!$P142*AI142/365,(AC142-'FA Addition'!$M142)*(1-(1-'FA Addition'!$P142)^(AI142/365))),0),0)</f>
        <v>0</v>
      </c>
      <c r="AL142" s="117">
        <f>MAX(IF(AG142&gt;0,IF('FA Addition'!$N142="SLM",($AE142-'FA Addition'!$M142)*'FA Addition'!$P142*AG142/365,IFERROR(VDB(AE142,AE142*0.05,'FA Addition'!$O142,0,YEARFRAC('FA Addition'!$C142,$P$1-1,3),'FA Addition'!$Q142),FAAddition[[#This Row],[Original Cost (Rs)]]-FAAddition[[#This Row],[Salvage Value]])),0),0)</f>
        <v>578550</v>
      </c>
      <c r="AM142" s="119"/>
      <c r="AN142" s="117">
        <f>MAX(IF(AH142&gt;0,IF('FA Addition'!$N142="SLM",($AF142-'FA Addition'!$M142)*'FA Addition'!$P142*AH142/365,IFERROR(VDB(AF142,AF142*0.05,'FA Addition'!$O142,0,YEARFRAC('FA Addition'!$C142,$L$1,3),'FA Addition'!$Q142),FAAddition[[#This Row],[Original Cost (Rs)]]-FAAddition[[#This Row],[Salvage Value]])),0),0)</f>
        <v>578550</v>
      </c>
      <c r="AO142" s="117">
        <f t="shared" si="13"/>
        <v>0</v>
      </c>
      <c r="AQ142" s="117">
        <f t="shared" si="11"/>
        <v>23100</v>
      </c>
      <c r="AR142" s="120">
        <f t="shared" si="12"/>
        <v>23100</v>
      </c>
      <c r="AS142" s="121"/>
    </row>
    <row r="143" spans="1:45" ht="13.5" x14ac:dyDescent="0.4">
      <c r="A143" s="12">
        <f t="shared" si="14"/>
        <v>140</v>
      </c>
      <c r="B143" s="51" t="s">
        <v>559</v>
      </c>
      <c r="C143" s="54">
        <v>42517</v>
      </c>
      <c r="D143" s="54">
        <v>42517</v>
      </c>
      <c r="E143" s="46" t="s">
        <v>32</v>
      </c>
      <c r="F143" s="51" t="s">
        <v>32</v>
      </c>
      <c r="G143" s="51" t="s">
        <v>593</v>
      </c>
      <c r="H143" s="51" t="s">
        <v>32</v>
      </c>
      <c r="I143" s="55"/>
      <c r="J143" s="56">
        <v>1</v>
      </c>
      <c r="K143" s="51" t="s">
        <v>32</v>
      </c>
      <c r="L143" s="58">
        <v>53885</v>
      </c>
      <c r="M143" s="50">
        <f>ROUND('FA Addition'!$L143*5%,0.1)</f>
        <v>2694</v>
      </c>
      <c r="N143" s="113" t="str">
        <f>_xlfn.XLOOKUP(_xlfn.CONCAT(E143,B143),'Year Wise Master Dep Approach'!F:F,'Year Wise Master Dep Approach'!D:D)</f>
        <v>WDV</v>
      </c>
      <c r="O143" s="113">
        <f>_xlfn.XLOOKUP(_xlfn.CONCAT(E143,B143),'Year Wise Master Dep Approach'!F:F,'Year Wise Master Dep Approach'!E:E)</f>
        <v>3</v>
      </c>
      <c r="P143" s="114">
        <f>IFERROR(IF('FA Addition'!$N143="WDV",1-('FA Addition'!$M143/'FA Addition'!$L143)^(1/'FA Addition'!$O143),1/'FA Addition'!$O143),0)</f>
        <v>0.63160824522257131</v>
      </c>
      <c r="Q143" s="122">
        <f>'FA Addition'!$P143*'FA Addition'!$O143</f>
        <v>1.8948247356677139</v>
      </c>
      <c r="R143" s="122"/>
      <c r="S143" s="116">
        <f>IF(AND(DATE(20&amp;LEFT(FAAddition[[#This Row],[FY]],2),4,1)&lt;$L$1+1,DATE(20&amp;LEFT(FAAddition[[#This Row],[FY]],2),4,1)&gt;$P$1-1),'FA Addition'!$J143,0)</f>
        <v>0</v>
      </c>
      <c r="U143" s="117">
        <f>S143*'FA Addition'!$L143/'FA Addition'!$J143</f>
        <v>0</v>
      </c>
      <c r="W143" s="116">
        <f>SUMIFS('FA Write off'!D:D,'FA Write off'!A:A,'FA Addition'!$A143,'FA Write off'!C:C,"&lt;"&amp;'FA Addition'!$P$1)</f>
        <v>0</v>
      </c>
      <c r="Y143" s="191">
        <f>IFERROR(W143/'FA Addition'!$J143*'FA Addition'!$L143,0)</f>
        <v>0</v>
      </c>
      <c r="AA143" s="116">
        <f>SUMIFS('FA Write off'!D:D,'FA Write off'!A:A,'FA Addition'!$A143,'FA Write off'!C:C,"&lt;"&amp;'FA Addition'!$L$1+1,'FA Write off'!C:C,"&gt;"&amp;'FA Addition'!$L$1-365)</f>
        <v>0</v>
      </c>
      <c r="AC143" s="118">
        <f>IFERROR(AA143/'FA Addition'!$J143*'FA Addition'!$L143,0)</f>
        <v>0</v>
      </c>
      <c r="AE143" s="117">
        <f>IF(AND('FA Addition'!$D143&lt;$P$1+1,U143=0),'FA Addition'!$L143,0)-Y143</f>
        <v>53885</v>
      </c>
      <c r="AF143" s="117">
        <f t="shared" si="10"/>
        <v>53885</v>
      </c>
      <c r="AG143" s="117">
        <f>MIN(MAX(+$P$1-'FA Addition'!$D143,0),365*'FA Addition'!$O143)</f>
        <v>1095</v>
      </c>
      <c r="AH143" s="117">
        <f>MIN(MAX($L$1-'FA Addition'!$D143+1,0),365*'FA Addition'!$O143)</f>
        <v>1095</v>
      </c>
      <c r="AI143" s="117" cm="1">
        <f t="array" ref="AI143">_xlfn.XLOOKUP(1,('FA Write off'!A:A='FA Addition'!$A143)*('FA Write off'!D:D=AA143),'FA Write off'!H:H,0,0)</f>
        <v>0</v>
      </c>
      <c r="AJ143" s="117">
        <f>IF(AC143&gt;0,MAX(IF('FA Addition'!$N143="SLM",($AC143-'FA Addition'!$M143)*'FA Addition'!$P143*AI143/365,(AC143-'FA Addition'!$M143)*(1-(1-'FA Addition'!$P143)^(AI143/365))),0),0)</f>
        <v>0</v>
      </c>
      <c r="AL143" s="117">
        <f>MAX(IF(AG143&gt;0,IF('FA Addition'!$N143="SLM",($AE143-'FA Addition'!$M143)*'FA Addition'!$P143*AG143/365,IFERROR(VDB(AE143,AE143*0.05,'FA Addition'!$O143,0,YEARFRAC('FA Addition'!$C143,$P$1-1,3),'FA Addition'!$Q143),FAAddition[[#This Row],[Original Cost (Rs)]]-FAAddition[[#This Row],[Salvage Value]])),0),0)</f>
        <v>51191</v>
      </c>
      <c r="AM143" s="119"/>
      <c r="AN143" s="117">
        <f>MAX(IF(AH143&gt;0,IF('FA Addition'!$N143="SLM",($AF143-'FA Addition'!$M143)*'FA Addition'!$P143*AH143/365,IFERROR(VDB(AF143,AF143*0.05,'FA Addition'!$O143,0,YEARFRAC('FA Addition'!$C143,$L$1,3),'FA Addition'!$Q143),FAAddition[[#This Row],[Original Cost (Rs)]]-FAAddition[[#This Row],[Salvage Value]])),0),0)</f>
        <v>51191</v>
      </c>
      <c r="AO143" s="117">
        <f t="shared" si="13"/>
        <v>0</v>
      </c>
      <c r="AQ143" s="117">
        <f t="shared" si="11"/>
        <v>2694</v>
      </c>
      <c r="AR143" s="120">
        <f t="shared" si="12"/>
        <v>2694</v>
      </c>
      <c r="AS143" s="121"/>
    </row>
    <row r="144" spans="1:45" ht="13.5" x14ac:dyDescent="0.4">
      <c r="A144" s="12">
        <f t="shared" si="14"/>
        <v>141</v>
      </c>
      <c r="B144" s="44" t="s">
        <v>559</v>
      </c>
      <c r="C144" s="45">
        <v>42520</v>
      </c>
      <c r="D144" s="45">
        <v>42520</v>
      </c>
      <c r="E144" s="46" t="s">
        <v>32</v>
      </c>
      <c r="F144" s="44" t="s">
        <v>32</v>
      </c>
      <c r="G144" s="44" t="s">
        <v>433</v>
      </c>
      <c r="H144" s="44" t="s">
        <v>32</v>
      </c>
      <c r="I144" s="47" t="s">
        <v>594</v>
      </c>
      <c r="J144" s="48">
        <v>8</v>
      </c>
      <c r="K144" s="44" t="s">
        <v>590</v>
      </c>
      <c r="L144" s="52">
        <v>11676</v>
      </c>
      <c r="M144" s="50">
        <f>ROUND('FA Addition'!$L144*5%,0.1)</f>
        <v>584</v>
      </c>
      <c r="N144" s="113" t="str">
        <f>_xlfn.XLOOKUP(_xlfn.CONCAT(E144,B144),'Year Wise Master Dep Approach'!F:F,'Year Wise Master Dep Approach'!D:D)</f>
        <v>WDV</v>
      </c>
      <c r="O144" s="113">
        <f>_xlfn.XLOOKUP(_xlfn.CONCAT(E144,B144),'Year Wise Master Dep Approach'!F:F,'Year Wise Master Dep Approach'!E:E)</f>
        <v>3</v>
      </c>
      <c r="P144" s="114">
        <f>IFERROR(IF('FA Addition'!$N144="WDV",1-('FA Addition'!$M144/'FA Addition'!$L144)^(1/'FA Addition'!$O144),1/'FA Addition'!$O144),0)</f>
        <v>0.63155478537767562</v>
      </c>
      <c r="Q144" s="122">
        <f>'FA Addition'!$P144*'FA Addition'!$O144</f>
        <v>1.8946643561330268</v>
      </c>
      <c r="R144" s="122"/>
      <c r="S144" s="116">
        <f>IF(AND(DATE(20&amp;LEFT(FAAddition[[#This Row],[FY]],2),4,1)&lt;$L$1+1,DATE(20&amp;LEFT(FAAddition[[#This Row],[FY]],2),4,1)&gt;$P$1-1),'FA Addition'!$J144,0)</f>
        <v>0</v>
      </c>
      <c r="U144" s="117">
        <f>S144*'FA Addition'!$L144/'FA Addition'!$J144</f>
        <v>0</v>
      </c>
      <c r="W144" s="116">
        <f>SUMIFS('FA Write off'!D:D,'FA Write off'!A:A,'FA Addition'!$A144,'FA Write off'!C:C,"&lt;"&amp;'FA Addition'!$P$1)</f>
        <v>0</v>
      </c>
      <c r="Y144" s="191">
        <f>IFERROR(W144/'FA Addition'!$J144*'FA Addition'!$L144,0)</f>
        <v>0</v>
      </c>
      <c r="AA144" s="116">
        <f>SUMIFS('FA Write off'!D:D,'FA Write off'!A:A,'FA Addition'!$A144,'FA Write off'!C:C,"&lt;"&amp;'FA Addition'!$L$1+1,'FA Write off'!C:C,"&gt;"&amp;'FA Addition'!$L$1-365)</f>
        <v>0</v>
      </c>
      <c r="AC144" s="118">
        <f>IFERROR(AA144/'FA Addition'!$J144*'FA Addition'!$L144,0)</f>
        <v>0</v>
      </c>
      <c r="AE144" s="117">
        <f>IF(AND('FA Addition'!$D144&lt;$P$1+1,U144=0),'FA Addition'!$L144,0)-Y144</f>
        <v>11676</v>
      </c>
      <c r="AF144" s="117">
        <f t="shared" si="10"/>
        <v>11676</v>
      </c>
      <c r="AG144" s="117">
        <f>MIN(MAX(+$P$1-'FA Addition'!$D144,0),365*'FA Addition'!$O144)</f>
        <v>1095</v>
      </c>
      <c r="AH144" s="117">
        <f>MIN(MAX($L$1-'FA Addition'!$D144+1,0),365*'FA Addition'!$O144)</f>
        <v>1095</v>
      </c>
      <c r="AI144" s="117" cm="1">
        <f t="array" ref="AI144">_xlfn.XLOOKUP(1,('FA Write off'!A:A='FA Addition'!$A144)*('FA Write off'!D:D=AA144),'FA Write off'!H:H,0,0)</f>
        <v>0</v>
      </c>
      <c r="AJ144" s="117">
        <f>IF(AC144&gt;0,MAX(IF('FA Addition'!$N144="SLM",($AC144-'FA Addition'!$M144)*'FA Addition'!$P144*AI144/365,(AC144-'FA Addition'!$M144)*(1-(1-'FA Addition'!$P144)^(AI144/365))),0),0)</f>
        <v>0</v>
      </c>
      <c r="AL144" s="117">
        <f>MAX(IF(AG144&gt;0,IF('FA Addition'!$N144="SLM",($AE144-'FA Addition'!$M144)*'FA Addition'!$P144*AG144/365,IFERROR(VDB(AE144,AE144*0.05,'FA Addition'!$O144,0,YEARFRAC('FA Addition'!$C144,$P$1-1,3),'FA Addition'!$Q144),FAAddition[[#This Row],[Original Cost (Rs)]]-FAAddition[[#This Row],[Salvage Value]])),0),0)</f>
        <v>11092</v>
      </c>
      <c r="AM144" s="119"/>
      <c r="AN144" s="117">
        <f>MAX(IF(AH144&gt;0,IF('FA Addition'!$N144="SLM",($AF144-'FA Addition'!$M144)*'FA Addition'!$P144*AH144/365,IFERROR(VDB(AF144,AF144*0.05,'FA Addition'!$O144,0,YEARFRAC('FA Addition'!$C144,$L$1,3),'FA Addition'!$Q144),FAAddition[[#This Row],[Original Cost (Rs)]]-FAAddition[[#This Row],[Salvage Value]])),0),0)</f>
        <v>11092</v>
      </c>
      <c r="AO144" s="117">
        <f t="shared" si="13"/>
        <v>0</v>
      </c>
      <c r="AQ144" s="117">
        <f t="shared" si="11"/>
        <v>584</v>
      </c>
      <c r="AR144" s="120">
        <f t="shared" si="12"/>
        <v>584</v>
      </c>
      <c r="AS144" s="121"/>
    </row>
    <row r="145" spans="1:45" ht="13.5" x14ac:dyDescent="0.4">
      <c r="A145" s="12">
        <f t="shared" si="14"/>
        <v>142</v>
      </c>
      <c r="B145" s="44" t="s">
        <v>559</v>
      </c>
      <c r="C145" s="45">
        <v>42522</v>
      </c>
      <c r="D145" s="45">
        <v>42522</v>
      </c>
      <c r="E145" s="46" t="s">
        <v>32</v>
      </c>
      <c r="F145" s="44" t="s">
        <v>32</v>
      </c>
      <c r="G145" s="44" t="s">
        <v>433</v>
      </c>
      <c r="H145" s="44" t="s">
        <v>32</v>
      </c>
      <c r="I145" s="47" t="s">
        <v>595</v>
      </c>
      <c r="J145" s="48">
        <v>4</v>
      </c>
      <c r="K145" s="44" t="s">
        <v>596</v>
      </c>
      <c r="L145" s="52">
        <v>7287</v>
      </c>
      <c r="M145" s="50">
        <f>ROUND('FA Addition'!$L145*5%,0.1)</f>
        <v>364</v>
      </c>
      <c r="N145" s="113" t="str">
        <f>_xlfn.XLOOKUP(_xlfn.CONCAT(E145,B145),'Year Wise Master Dep Approach'!F:F,'Year Wise Master Dep Approach'!D:D)</f>
        <v>WDV</v>
      </c>
      <c r="O145" s="113">
        <f>_xlfn.XLOOKUP(_xlfn.CONCAT(E145,B145),'Year Wise Master Dep Approach'!F:F,'Year Wise Master Dep Approach'!E:E)</f>
        <v>3</v>
      </c>
      <c r="P145" s="114">
        <f>IFERROR(IF('FA Addition'!$N145="WDV",1-('FA Addition'!$M145/'FA Addition'!$L145)^(1/'FA Addition'!$O145),1/'FA Addition'!$O145),0)</f>
        <v>0.63171485243418879</v>
      </c>
      <c r="Q145" s="122">
        <f>'FA Addition'!$P145*'FA Addition'!$O145</f>
        <v>1.8951445573025665</v>
      </c>
      <c r="R145" s="122"/>
      <c r="S145" s="116">
        <f>IF(AND(DATE(20&amp;LEFT(FAAddition[[#This Row],[FY]],2),4,1)&lt;$L$1+1,DATE(20&amp;LEFT(FAAddition[[#This Row],[FY]],2),4,1)&gt;$P$1-1),'FA Addition'!$J145,0)</f>
        <v>0</v>
      </c>
      <c r="U145" s="117">
        <f>S145*'FA Addition'!$L145/'FA Addition'!$J145</f>
        <v>0</v>
      </c>
      <c r="W145" s="116">
        <f>SUMIFS('FA Write off'!D:D,'FA Write off'!A:A,'FA Addition'!$A145,'FA Write off'!C:C,"&lt;"&amp;'FA Addition'!$P$1)</f>
        <v>0</v>
      </c>
      <c r="Y145" s="191">
        <f>IFERROR(W145/'FA Addition'!$J145*'FA Addition'!$L145,0)</f>
        <v>0</v>
      </c>
      <c r="AA145" s="116">
        <f>SUMIFS('FA Write off'!D:D,'FA Write off'!A:A,'FA Addition'!$A145,'FA Write off'!C:C,"&lt;"&amp;'FA Addition'!$L$1+1,'FA Write off'!C:C,"&gt;"&amp;'FA Addition'!$L$1-365)</f>
        <v>0</v>
      </c>
      <c r="AC145" s="118">
        <f>IFERROR(AA145/'FA Addition'!$J145*'FA Addition'!$L145,0)</f>
        <v>0</v>
      </c>
      <c r="AE145" s="117">
        <f>IF(AND('FA Addition'!$D145&lt;$P$1+1,U145=0),'FA Addition'!$L145,0)-Y145</f>
        <v>7287</v>
      </c>
      <c r="AF145" s="117">
        <f t="shared" si="10"/>
        <v>7287</v>
      </c>
      <c r="AG145" s="117">
        <f>MIN(MAX(+$P$1-'FA Addition'!$D145,0),365*'FA Addition'!$O145)</f>
        <v>1095</v>
      </c>
      <c r="AH145" s="117">
        <f>MIN(MAX($L$1-'FA Addition'!$D145+1,0),365*'FA Addition'!$O145)</f>
        <v>1095</v>
      </c>
      <c r="AI145" s="117" cm="1">
        <f t="array" ref="AI145">_xlfn.XLOOKUP(1,('FA Write off'!A:A='FA Addition'!$A145)*('FA Write off'!D:D=AA145),'FA Write off'!H:H,0,0)</f>
        <v>0</v>
      </c>
      <c r="AJ145" s="117">
        <f>IF(AC145&gt;0,MAX(IF('FA Addition'!$N145="SLM",($AC145-'FA Addition'!$M145)*'FA Addition'!$P145*AI145/365,(AC145-'FA Addition'!$M145)*(1-(1-'FA Addition'!$P145)^(AI145/365))),0),0)</f>
        <v>0</v>
      </c>
      <c r="AL145" s="117">
        <f>MAX(IF(AG145&gt;0,IF('FA Addition'!$N145="SLM",($AE145-'FA Addition'!$M145)*'FA Addition'!$P145*AG145/365,IFERROR(VDB(AE145,AE145*0.05,'FA Addition'!$O145,0,YEARFRAC('FA Addition'!$C145,$P$1-1,3),'FA Addition'!$Q145),FAAddition[[#This Row],[Original Cost (Rs)]]-FAAddition[[#This Row],[Salvage Value]])),0),0)</f>
        <v>6923</v>
      </c>
      <c r="AM145" s="119"/>
      <c r="AN145" s="117">
        <f>MAX(IF(AH145&gt;0,IF('FA Addition'!$N145="SLM",($AF145-'FA Addition'!$M145)*'FA Addition'!$P145*AH145/365,IFERROR(VDB(AF145,AF145*0.05,'FA Addition'!$O145,0,YEARFRAC('FA Addition'!$C145,$L$1,3),'FA Addition'!$Q145),FAAddition[[#This Row],[Original Cost (Rs)]]-FAAddition[[#This Row],[Salvage Value]])),0),0)</f>
        <v>6923</v>
      </c>
      <c r="AO145" s="117">
        <f t="shared" si="13"/>
        <v>0</v>
      </c>
      <c r="AQ145" s="117">
        <f t="shared" si="11"/>
        <v>364</v>
      </c>
      <c r="AR145" s="120">
        <f t="shared" si="12"/>
        <v>364</v>
      </c>
      <c r="AS145" s="121"/>
    </row>
    <row r="146" spans="1:45" ht="13.5" x14ac:dyDescent="0.4">
      <c r="A146" s="12">
        <f t="shared" si="14"/>
        <v>143</v>
      </c>
      <c r="B146" s="44" t="s">
        <v>559</v>
      </c>
      <c r="C146" s="45">
        <v>42522</v>
      </c>
      <c r="D146" s="45">
        <v>42522</v>
      </c>
      <c r="E146" s="46" t="s">
        <v>32</v>
      </c>
      <c r="F146" s="44" t="s">
        <v>32</v>
      </c>
      <c r="G146" s="44" t="s">
        <v>597</v>
      </c>
      <c r="H146" s="44" t="s">
        <v>32</v>
      </c>
      <c r="I146" s="47" t="s">
        <v>598</v>
      </c>
      <c r="J146" s="48">
        <v>2</v>
      </c>
      <c r="K146" s="44" t="s">
        <v>32</v>
      </c>
      <c r="L146" s="52">
        <v>4500</v>
      </c>
      <c r="M146" s="50">
        <f>ROUND('FA Addition'!$L146*5%,0.1)</f>
        <v>225</v>
      </c>
      <c r="N146" s="113" t="str">
        <f>_xlfn.XLOOKUP(_xlfn.CONCAT(E146,B146),'Year Wise Master Dep Approach'!F:F,'Year Wise Master Dep Approach'!D:D)</f>
        <v>WDV</v>
      </c>
      <c r="O146" s="113">
        <f>_xlfn.XLOOKUP(_xlfn.CONCAT(E146,B146),'Year Wise Master Dep Approach'!F:F,'Year Wise Master Dep Approach'!E:E)</f>
        <v>3</v>
      </c>
      <c r="P146" s="114">
        <f>IFERROR(IF('FA Addition'!$N146="WDV",1-('FA Addition'!$M146/'FA Addition'!$L146)^(1/'FA Addition'!$O146),1/'FA Addition'!$O146),0)</f>
        <v>0.63159685013596123</v>
      </c>
      <c r="Q146" s="122">
        <f>'FA Addition'!$P146*'FA Addition'!$O146</f>
        <v>1.8947905504078837</v>
      </c>
      <c r="R146" s="122"/>
      <c r="S146" s="116">
        <f>IF(AND(DATE(20&amp;LEFT(FAAddition[[#This Row],[FY]],2),4,1)&lt;$L$1+1,DATE(20&amp;LEFT(FAAddition[[#This Row],[FY]],2),4,1)&gt;$P$1-1),'FA Addition'!$J146,0)</f>
        <v>0</v>
      </c>
      <c r="U146" s="117">
        <f>S146*'FA Addition'!$L146/'FA Addition'!$J146</f>
        <v>0</v>
      </c>
      <c r="W146" s="116">
        <f>SUMIFS('FA Write off'!D:D,'FA Write off'!A:A,'FA Addition'!$A146,'FA Write off'!C:C,"&lt;"&amp;'FA Addition'!$P$1)</f>
        <v>0</v>
      </c>
      <c r="Y146" s="191">
        <f>IFERROR(W146/'FA Addition'!$J146*'FA Addition'!$L146,0)</f>
        <v>0</v>
      </c>
      <c r="AA146" s="116">
        <f>SUMIFS('FA Write off'!D:D,'FA Write off'!A:A,'FA Addition'!$A146,'FA Write off'!C:C,"&lt;"&amp;'FA Addition'!$L$1+1,'FA Write off'!C:C,"&gt;"&amp;'FA Addition'!$L$1-365)</f>
        <v>0</v>
      </c>
      <c r="AC146" s="118">
        <f>IFERROR(AA146/'FA Addition'!$J146*'FA Addition'!$L146,0)</f>
        <v>0</v>
      </c>
      <c r="AE146" s="117">
        <f>IF(AND('FA Addition'!$D146&lt;$P$1+1,U146=0),'FA Addition'!$L146,0)-Y146</f>
        <v>4500</v>
      </c>
      <c r="AF146" s="117">
        <f t="shared" si="10"/>
        <v>4500</v>
      </c>
      <c r="AG146" s="117">
        <f>MIN(MAX(+$P$1-'FA Addition'!$D146,0),365*'FA Addition'!$O146)</f>
        <v>1095</v>
      </c>
      <c r="AH146" s="117">
        <f>MIN(MAX($L$1-'FA Addition'!$D146+1,0),365*'FA Addition'!$O146)</f>
        <v>1095</v>
      </c>
      <c r="AI146" s="117" cm="1">
        <f t="array" ref="AI146">_xlfn.XLOOKUP(1,('FA Write off'!A:A='FA Addition'!$A146)*('FA Write off'!D:D=AA146),'FA Write off'!H:H,0,0)</f>
        <v>0</v>
      </c>
      <c r="AJ146" s="117">
        <f>IF(AC146&gt;0,MAX(IF('FA Addition'!$N146="SLM",($AC146-'FA Addition'!$M146)*'FA Addition'!$P146*AI146/365,(AC146-'FA Addition'!$M146)*(1-(1-'FA Addition'!$P146)^(AI146/365))),0),0)</f>
        <v>0</v>
      </c>
      <c r="AL146" s="117">
        <f>MAX(IF(AG146&gt;0,IF('FA Addition'!$N146="SLM",($AE146-'FA Addition'!$M146)*'FA Addition'!$P146*AG146/365,IFERROR(VDB(AE146,AE146*0.05,'FA Addition'!$O146,0,YEARFRAC('FA Addition'!$C146,$P$1-1,3),'FA Addition'!$Q146),FAAddition[[#This Row],[Original Cost (Rs)]]-FAAddition[[#This Row],[Salvage Value]])),0),0)</f>
        <v>4275</v>
      </c>
      <c r="AM146" s="119"/>
      <c r="AN146" s="117">
        <f>MAX(IF(AH146&gt;0,IF('FA Addition'!$N146="SLM",($AF146-'FA Addition'!$M146)*'FA Addition'!$P146*AH146/365,IFERROR(VDB(AF146,AF146*0.05,'FA Addition'!$O146,0,YEARFRAC('FA Addition'!$C146,$L$1,3),'FA Addition'!$Q146),FAAddition[[#This Row],[Original Cost (Rs)]]-FAAddition[[#This Row],[Salvage Value]])),0),0)</f>
        <v>4275</v>
      </c>
      <c r="AO146" s="117">
        <f t="shared" si="13"/>
        <v>0</v>
      </c>
      <c r="AQ146" s="117">
        <f t="shared" si="11"/>
        <v>225</v>
      </c>
      <c r="AR146" s="120">
        <f t="shared" si="12"/>
        <v>225</v>
      </c>
      <c r="AS146" s="121"/>
    </row>
    <row r="147" spans="1:45" ht="13.5" x14ac:dyDescent="0.4">
      <c r="A147" s="12">
        <f t="shared" si="14"/>
        <v>144</v>
      </c>
      <c r="B147" s="44" t="s">
        <v>559</v>
      </c>
      <c r="C147" s="45">
        <v>42525</v>
      </c>
      <c r="D147" s="45">
        <v>42525</v>
      </c>
      <c r="E147" s="46" t="s">
        <v>32</v>
      </c>
      <c r="F147" s="44" t="s">
        <v>32</v>
      </c>
      <c r="G147" s="44" t="s">
        <v>433</v>
      </c>
      <c r="H147" s="44" t="s">
        <v>32</v>
      </c>
      <c r="I147" s="47" t="s">
        <v>599</v>
      </c>
      <c r="J147" s="48">
        <v>120</v>
      </c>
      <c r="K147" s="44" t="s">
        <v>600</v>
      </c>
      <c r="L147" s="52">
        <v>115920</v>
      </c>
      <c r="M147" s="50">
        <f>ROUND('FA Addition'!$L147*5%,0.1)</f>
        <v>5796</v>
      </c>
      <c r="N147" s="113" t="str">
        <f>_xlfn.XLOOKUP(_xlfn.CONCAT(E147,B147),'Year Wise Master Dep Approach'!F:F,'Year Wise Master Dep Approach'!D:D)</f>
        <v>WDV</v>
      </c>
      <c r="O147" s="113">
        <f>_xlfn.XLOOKUP(_xlfn.CONCAT(E147,B147),'Year Wise Master Dep Approach'!F:F,'Year Wise Master Dep Approach'!E:E)</f>
        <v>3</v>
      </c>
      <c r="P147" s="114">
        <f>IFERROR(IF('FA Addition'!$N147="WDV",1-('FA Addition'!$M147/'FA Addition'!$L147)^(1/'FA Addition'!$O147),1/'FA Addition'!$O147),0)</f>
        <v>0.63159685013596123</v>
      </c>
      <c r="Q147" s="122">
        <f>'FA Addition'!$P147*'FA Addition'!$O147</f>
        <v>1.8947905504078837</v>
      </c>
      <c r="R147" s="122"/>
      <c r="S147" s="116">
        <f>IF(AND(DATE(20&amp;LEFT(FAAddition[[#This Row],[FY]],2),4,1)&lt;$L$1+1,DATE(20&amp;LEFT(FAAddition[[#This Row],[FY]],2),4,1)&gt;$P$1-1),'FA Addition'!$J147,0)</f>
        <v>0</v>
      </c>
      <c r="U147" s="117">
        <f>S147*'FA Addition'!$L147/'FA Addition'!$J147</f>
        <v>0</v>
      </c>
      <c r="W147" s="116">
        <f>SUMIFS('FA Write off'!D:D,'FA Write off'!A:A,'FA Addition'!$A147,'FA Write off'!C:C,"&lt;"&amp;'FA Addition'!$P$1)</f>
        <v>2</v>
      </c>
      <c r="Y147" s="191">
        <f>IFERROR(W147/'FA Addition'!$J147*'FA Addition'!$L147,0)</f>
        <v>1932</v>
      </c>
      <c r="AA147" s="116">
        <f>SUMIFS('FA Write off'!D:D,'FA Write off'!A:A,'FA Addition'!$A147,'FA Write off'!C:C,"&lt;"&amp;'FA Addition'!$L$1+1,'FA Write off'!C:C,"&gt;"&amp;'FA Addition'!$L$1-365)</f>
        <v>0</v>
      </c>
      <c r="AC147" s="191">
        <f>IFERROR(AA147/'FA Addition'!$J147*'FA Addition'!$L147,0)</f>
        <v>0</v>
      </c>
      <c r="AE147" s="117">
        <f>IF(AND('FA Addition'!$D147&lt;$P$1+1,U147=0),'FA Addition'!$L147,0)-Y147</f>
        <v>113988</v>
      </c>
      <c r="AF147" s="117">
        <f t="shared" si="10"/>
        <v>113988</v>
      </c>
      <c r="AG147" s="117">
        <f>MIN(MAX(+$P$1-'FA Addition'!$D147,0),365*'FA Addition'!$O147)</f>
        <v>1095</v>
      </c>
      <c r="AH147" s="117">
        <f>MIN(MAX($L$1-'FA Addition'!$D147+1,0),365*'FA Addition'!$O147)</f>
        <v>1095</v>
      </c>
      <c r="AI147" s="117" cm="1">
        <f t="array" ref="AI147">_xlfn.XLOOKUP(1,('FA Write off'!A:A='FA Addition'!$A147)*('FA Write off'!D:D=AA147),'FA Write off'!H:H,0,0)</f>
        <v>0</v>
      </c>
      <c r="AJ147" s="117">
        <f>IF(AC147&gt;0,MAX(IF('FA Addition'!$N147="SLM",($AC147-'FA Addition'!$M147)*'FA Addition'!$P147*AI147/365,(AC147-'FA Addition'!$M147)*(1-(1-'FA Addition'!$P147)^(AI147/365))),0),0)</f>
        <v>0</v>
      </c>
      <c r="AL147" s="117">
        <f>MAX(IF(AG147&gt;0,IF('FA Addition'!$N147="SLM",($AE147-'FA Addition'!$M147)*'FA Addition'!$P147*AG147/365,IFERROR(VDB(AE147,AE147*0.05,'FA Addition'!$O147,0,YEARFRAC('FA Addition'!$C147,$P$1-1,3),'FA Addition'!$Q147),FAAddition[[#This Row],[Original Cost (Rs)]]-FAAddition[[#This Row],[Salvage Value]])),0),0)</f>
        <v>110124</v>
      </c>
      <c r="AM147" s="119"/>
      <c r="AN147" s="117">
        <f>MAX(IF(AH147&gt;0,IF('FA Addition'!$N147="SLM",($AF147-'FA Addition'!$M147)*'FA Addition'!$P147*AH147/365,IFERROR(VDB(AF147,AF147*0.05,'FA Addition'!$O147,0,YEARFRAC('FA Addition'!$C147,$L$1,3),'FA Addition'!$Q147),FAAddition[[#This Row],[Original Cost (Rs)]]-FAAddition[[#This Row],[Salvage Value]])),0),0)</f>
        <v>110124</v>
      </c>
      <c r="AO147" s="117">
        <f t="shared" si="13"/>
        <v>0</v>
      </c>
      <c r="AQ147" s="117">
        <f t="shared" si="11"/>
        <v>3864</v>
      </c>
      <c r="AR147" s="120">
        <f t="shared" si="12"/>
        <v>3864</v>
      </c>
      <c r="AS147" s="121"/>
    </row>
    <row r="148" spans="1:45" ht="13.5" x14ac:dyDescent="0.4">
      <c r="A148" s="12">
        <f t="shared" si="14"/>
        <v>145</v>
      </c>
      <c r="B148" s="44" t="s">
        <v>559</v>
      </c>
      <c r="C148" s="45">
        <v>42529</v>
      </c>
      <c r="D148" s="45">
        <v>42529</v>
      </c>
      <c r="E148" s="46" t="s">
        <v>32</v>
      </c>
      <c r="F148" s="44" t="s">
        <v>32</v>
      </c>
      <c r="G148" s="44" t="s">
        <v>433</v>
      </c>
      <c r="H148" s="44" t="s">
        <v>32</v>
      </c>
      <c r="I148" s="47" t="s">
        <v>601</v>
      </c>
      <c r="J148" s="48">
        <v>80</v>
      </c>
      <c r="K148" s="44" t="s">
        <v>600</v>
      </c>
      <c r="L148" s="52">
        <v>77280</v>
      </c>
      <c r="M148" s="50">
        <f>ROUND('FA Addition'!$L148*5%,0.1)</f>
        <v>3864</v>
      </c>
      <c r="N148" s="113" t="str">
        <f>_xlfn.XLOOKUP(_xlfn.CONCAT(E148,B148),'Year Wise Master Dep Approach'!F:F,'Year Wise Master Dep Approach'!D:D)</f>
        <v>WDV</v>
      </c>
      <c r="O148" s="113">
        <f>_xlfn.XLOOKUP(_xlfn.CONCAT(E148,B148),'Year Wise Master Dep Approach'!F:F,'Year Wise Master Dep Approach'!E:E)</f>
        <v>3</v>
      </c>
      <c r="P148" s="114">
        <f>IFERROR(IF('FA Addition'!$N148="WDV",1-('FA Addition'!$M148/'FA Addition'!$L148)^(1/'FA Addition'!$O148),1/'FA Addition'!$O148),0)</f>
        <v>0.63159685013596123</v>
      </c>
      <c r="Q148" s="122">
        <f>'FA Addition'!$P148*'FA Addition'!$O148</f>
        <v>1.8947905504078837</v>
      </c>
      <c r="R148" s="122"/>
      <c r="S148" s="116">
        <f>IF(AND(DATE(20&amp;LEFT(FAAddition[[#This Row],[FY]],2),4,1)&lt;$L$1+1,DATE(20&amp;LEFT(FAAddition[[#This Row],[FY]],2),4,1)&gt;$P$1-1),'FA Addition'!$J148,0)</f>
        <v>0</v>
      </c>
      <c r="U148" s="117">
        <f>S148*'FA Addition'!$L148/'FA Addition'!$J148</f>
        <v>0</v>
      </c>
      <c r="W148" s="116">
        <f>SUMIFS('FA Write off'!D:D,'FA Write off'!A:A,'FA Addition'!$A148,'FA Write off'!C:C,"&lt;"&amp;'FA Addition'!$P$1)</f>
        <v>4</v>
      </c>
      <c r="Y148" s="191">
        <f>IFERROR(W148/'FA Addition'!$J148*'FA Addition'!$L148,0)</f>
        <v>3864</v>
      </c>
      <c r="AA148" s="116">
        <f>SUMIFS('FA Write off'!D:D,'FA Write off'!A:A,'FA Addition'!$A148,'FA Write off'!C:C,"&lt;"&amp;'FA Addition'!$L$1+1,'FA Write off'!C:C,"&gt;"&amp;'FA Addition'!$L$1-365)</f>
        <v>0</v>
      </c>
      <c r="AC148" s="191">
        <f>IFERROR(AA148/'FA Addition'!$J148*'FA Addition'!$L148,0)</f>
        <v>0</v>
      </c>
      <c r="AE148" s="117">
        <f>IF(AND('FA Addition'!$D148&lt;$P$1+1,U148=0),'FA Addition'!$L148,0)-Y148</f>
        <v>73416</v>
      </c>
      <c r="AF148" s="117">
        <f t="shared" si="10"/>
        <v>73416</v>
      </c>
      <c r="AG148" s="117">
        <f>MIN(MAX(+$P$1-'FA Addition'!$D148,0),365*'FA Addition'!$O148)</f>
        <v>1095</v>
      </c>
      <c r="AH148" s="117">
        <f>MIN(MAX($L$1-'FA Addition'!$D148+1,0),365*'FA Addition'!$O148)</f>
        <v>1095</v>
      </c>
      <c r="AI148" s="117" cm="1">
        <f t="array" ref="AI148">_xlfn.XLOOKUP(1,('FA Write off'!A:A='FA Addition'!$A148)*('FA Write off'!D:D=AA148),'FA Write off'!H:H,0,0)</f>
        <v>0</v>
      </c>
      <c r="AJ148" s="117">
        <f>IF(AC148&gt;0,MAX(IF('FA Addition'!$N148="SLM",($AC148-'FA Addition'!$M148)*'FA Addition'!$P148*AI148/365,(AC148-'FA Addition'!$M148)*(1-(1-'FA Addition'!$P148)^(AI148/365))),0),0)</f>
        <v>0</v>
      </c>
      <c r="AL148" s="117">
        <f>MAX(IF(AG148&gt;0,IF('FA Addition'!$N148="SLM",($AE148-'FA Addition'!$M148)*'FA Addition'!$P148*AG148/365,IFERROR(VDB(AE148,AE148*0.05,'FA Addition'!$O148,0,YEARFRAC('FA Addition'!$C148,$P$1-1,3),'FA Addition'!$Q148),FAAddition[[#This Row],[Original Cost (Rs)]]-FAAddition[[#This Row],[Salvage Value]])),0),0)</f>
        <v>73416</v>
      </c>
      <c r="AM148" s="119"/>
      <c r="AN148" s="117">
        <f>MAX(IF(AH148&gt;0,IF('FA Addition'!$N148="SLM",($AF148-'FA Addition'!$M148)*'FA Addition'!$P148*AH148/365,IFERROR(VDB(AF148,AF148*0.05,'FA Addition'!$O148,0,YEARFRAC('FA Addition'!$C148,$L$1,3),'FA Addition'!$Q148),FAAddition[[#This Row],[Original Cost (Rs)]]-FAAddition[[#This Row],[Salvage Value]])),0),0)</f>
        <v>73416</v>
      </c>
      <c r="AO148" s="117">
        <f t="shared" si="13"/>
        <v>0</v>
      </c>
      <c r="AQ148" s="117">
        <f t="shared" si="11"/>
        <v>0</v>
      </c>
      <c r="AR148" s="120">
        <f t="shared" si="12"/>
        <v>0</v>
      </c>
      <c r="AS148" s="121"/>
    </row>
    <row r="149" spans="1:45" ht="13.5" x14ac:dyDescent="0.4">
      <c r="A149" s="12">
        <f t="shared" si="14"/>
        <v>146</v>
      </c>
      <c r="B149" s="44" t="s">
        <v>559</v>
      </c>
      <c r="C149" s="45">
        <v>42530</v>
      </c>
      <c r="D149" s="45">
        <v>42530</v>
      </c>
      <c r="E149" s="46" t="s">
        <v>32</v>
      </c>
      <c r="F149" s="44" t="s">
        <v>32</v>
      </c>
      <c r="G149" s="44" t="s">
        <v>433</v>
      </c>
      <c r="H149" s="44" t="s">
        <v>32</v>
      </c>
      <c r="I149" s="47" t="s">
        <v>602</v>
      </c>
      <c r="J149" s="48">
        <v>15</v>
      </c>
      <c r="K149" s="44" t="s">
        <v>603</v>
      </c>
      <c r="L149" s="52">
        <v>101325</v>
      </c>
      <c r="M149" s="50">
        <f>ROUND('FA Addition'!$L149*5%,0.1)</f>
        <v>5066</v>
      </c>
      <c r="N149" s="113" t="str">
        <f>_xlfn.XLOOKUP(_xlfn.CONCAT(E149,B149),'Year Wise Master Dep Approach'!F:F,'Year Wise Master Dep Approach'!D:D)</f>
        <v>WDV</v>
      </c>
      <c r="O149" s="113">
        <f>_xlfn.XLOOKUP(_xlfn.CONCAT(E149,B149),'Year Wise Master Dep Approach'!F:F,'Year Wise Master Dep Approach'!E:E)</f>
        <v>3</v>
      </c>
      <c r="P149" s="114">
        <f>IFERROR(IF('FA Addition'!$N149="WDV",1-('FA Addition'!$M149/'FA Addition'!$L149)^(1/'FA Addition'!$O149),1/'FA Addition'!$O149),0)</f>
        <v>0.6316029099963083</v>
      </c>
      <c r="Q149" s="122">
        <f>'FA Addition'!$P149*'FA Addition'!$O149</f>
        <v>1.8948087299889249</v>
      </c>
      <c r="R149" s="122"/>
      <c r="S149" s="116">
        <f>IF(AND(DATE(20&amp;LEFT(FAAddition[[#This Row],[FY]],2),4,1)&lt;$L$1+1,DATE(20&amp;LEFT(FAAddition[[#This Row],[FY]],2),4,1)&gt;$P$1-1),'FA Addition'!$J149,0)</f>
        <v>0</v>
      </c>
      <c r="U149" s="117">
        <f>S149*'FA Addition'!$L149/'FA Addition'!$J149</f>
        <v>0</v>
      </c>
      <c r="W149" s="116">
        <f>SUMIFS('FA Write off'!D:D,'FA Write off'!A:A,'FA Addition'!$A149,'FA Write off'!C:C,"&lt;"&amp;'FA Addition'!$P$1)</f>
        <v>0</v>
      </c>
      <c r="Y149" s="191">
        <f>IFERROR(W149/'FA Addition'!$J149*'FA Addition'!$L149,0)</f>
        <v>0</v>
      </c>
      <c r="AA149" s="116">
        <f>SUMIFS('FA Write off'!D:D,'FA Write off'!A:A,'FA Addition'!$A149,'FA Write off'!C:C,"&lt;"&amp;'FA Addition'!$L$1+1,'FA Write off'!C:C,"&gt;"&amp;'FA Addition'!$L$1-365)</f>
        <v>0</v>
      </c>
      <c r="AC149" s="118">
        <f>IFERROR(AA149/'FA Addition'!$J149*'FA Addition'!$L149,0)</f>
        <v>0</v>
      </c>
      <c r="AE149" s="117">
        <f>IF(AND('FA Addition'!$D149&lt;$P$1+1,U149=0),'FA Addition'!$L149,0)-Y149</f>
        <v>101325</v>
      </c>
      <c r="AF149" s="117">
        <f t="shared" si="10"/>
        <v>101325</v>
      </c>
      <c r="AG149" s="117">
        <f>MIN(MAX(+$P$1-'FA Addition'!$D149,0),365*'FA Addition'!$O149)</f>
        <v>1095</v>
      </c>
      <c r="AH149" s="117">
        <f>MIN(MAX($L$1-'FA Addition'!$D149+1,0),365*'FA Addition'!$O149)</f>
        <v>1095</v>
      </c>
      <c r="AI149" s="117" cm="1">
        <f t="array" ref="AI149">_xlfn.XLOOKUP(1,('FA Write off'!A:A='FA Addition'!$A149)*('FA Write off'!D:D=AA149),'FA Write off'!H:H,0,0)</f>
        <v>0</v>
      </c>
      <c r="AJ149" s="117">
        <f>IF(AC149&gt;0,MAX(IF('FA Addition'!$N149="SLM",($AC149-'FA Addition'!$M149)*'FA Addition'!$P149*AI149/365,(AC149-'FA Addition'!$M149)*(1-(1-'FA Addition'!$P149)^(AI149/365))),0),0)</f>
        <v>0</v>
      </c>
      <c r="AL149" s="117">
        <f>MAX(IF(AG149&gt;0,IF('FA Addition'!$N149="SLM",($AE149-'FA Addition'!$M149)*'FA Addition'!$P149*AG149/365,IFERROR(VDB(AE149,AE149*0.05,'FA Addition'!$O149,0,YEARFRAC('FA Addition'!$C149,$P$1-1,3),'FA Addition'!$Q149),FAAddition[[#This Row],[Original Cost (Rs)]]-FAAddition[[#This Row],[Salvage Value]])),0),0)</f>
        <v>96259</v>
      </c>
      <c r="AM149" s="119"/>
      <c r="AN149" s="117">
        <f>MAX(IF(AH149&gt;0,IF('FA Addition'!$N149="SLM",($AF149-'FA Addition'!$M149)*'FA Addition'!$P149*AH149/365,IFERROR(VDB(AF149,AF149*0.05,'FA Addition'!$O149,0,YEARFRAC('FA Addition'!$C149,$L$1,3),'FA Addition'!$Q149),FAAddition[[#This Row],[Original Cost (Rs)]]-FAAddition[[#This Row],[Salvage Value]])),0),0)</f>
        <v>96259</v>
      </c>
      <c r="AO149" s="117">
        <f t="shared" si="13"/>
        <v>0</v>
      </c>
      <c r="AQ149" s="117">
        <f t="shared" si="11"/>
        <v>5066</v>
      </c>
      <c r="AR149" s="120">
        <f t="shared" si="12"/>
        <v>5066</v>
      </c>
      <c r="AS149" s="121"/>
    </row>
    <row r="150" spans="1:45" ht="13.5" x14ac:dyDescent="0.4">
      <c r="A150" s="12">
        <f t="shared" si="14"/>
        <v>147</v>
      </c>
      <c r="B150" s="44" t="s">
        <v>559</v>
      </c>
      <c r="C150" s="45">
        <v>42530</v>
      </c>
      <c r="D150" s="45">
        <v>42530</v>
      </c>
      <c r="E150" s="46" t="s">
        <v>32</v>
      </c>
      <c r="F150" s="44" t="s">
        <v>32</v>
      </c>
      <c r="G150" s="44" t="s">
        <v>597</v>
      </c>
      <c r="H150" s="44" t="s">
        <v>32</v>
      </c>
      <c r="I150" s="47" t="s">
        <v>604</v>
      </c>
      <c r="J150" s="56">
        <v>1</v>
      </c>
      <c r="K150" s="44" t="s">
        <v>32</v>
      </c>
      <c r="L150" s="52">
        <v>2499</v>
      </c>
      <c r="M150" s="50">
        <f>ROUND('FA Addition'!$L150*5%,0.1)</f>
        <v>125</v>
      </c>
      <c r="N150" s="113" t="str">
        <f>_xlfn.XLOOKUP(_xlfn.CONCAT(E150,B150),'Year Wise Master Dep Approach'!F:F,'Year Wise Master Dep Approach'!D:D)</f>
        <v>WDV</v>
      </c>
      <c r="O150" s="113">
        <f>_xlfn.XLOOKUP(_xlfn.CONCAT(E150,B150),'Year Wise Master Dep Approach'!F:F,'Year Wise Master Dep Approach'!E:E)</f>
        <v>3</v>
      </c>
      <c r="P150" s="114">
        <f>IFERROR(IF('FA Addition'!$N150="WDV",1-('FA Addition'!$M150/'FA Addition'!$L150)^(1/'FA Addition'!$O150),1/'FA Addition'!$O150),0)</f>
        <v>0.63154771661312425</v>
      </c>
      <c r="Q150" s="122">
        <f>'FA Addition'!$P150*'FA Addition'!$O150</f>
        <v>1.8946431498393728</v>
      </c>
      <c r="R150" s="122"/>
      <c r="S150" s="116">
        <f>IF(AND(DATE(20&amp;LEFT(FAAddition[[#This Row],[FY]],2),4,1)&lt;$L$1+1,DATE(20&amp;LEFT(FAAddition[[#This Row],[FY]],2),4,1)&gt;$P$1-1),'FA Addition'!$J150,0)</f>
        <v>0</v>
      </c>
      <c r="U150" s="117">
        <f>S150*'FA Addition'!$L150/'FA Addition'!$J150</f>
        <v>0</v>
      </c>
      <c r="W150" s="116">
        <f>SUMIFS('FA Write off'!D:D,'FA Write off'!A:A,'FA Addition'!$A150,'FA Write off'!C:C,"&lt;"&amp;'FA Addition'!$P$1)</f>
        <v>0</v>
      </c>
      <c r="Y150" s="191">
        <f>IFERROR(W150/'FA Addition'!$J150*'FA Addition'!$L150,0)</f>
        <v>0</v>
      </c>
      <c r="AA150" s="116">
        <f>SUMIFS('FA Write off'!D:D,'FA Write off'!A:A,'FA Addition'!$A150,'FA Write off'!C:C,"&lt;"&amp;'FA Addition'!$L$1+1,'FA Write off'!C:C,"&gt;"&amp;'FA Addition'!$L$1-365)</f>
        <v>0</v>
      </c>
      <c r="AC150" s="118">
        <f>IFERROR(AA150/'FA Addition'!$J150*'FA Addition'!$L150,0)</f>
        <v>0</v>
      </c>
      <c r="AE150" s="117">
        <f>IF(AND('FA Addition'!$D150&lt;$P$1+1,U150=0),'FA Addition'!$L150,0)-Y150</f>
        <v>2499</v>
      </c>
      <c r="AF150" s="117">
        <f t="shared" si="10"/>
        <v>2499</v>
      </c>
      <c r="AG150" s="117">
        <f>MIN(MAX(+$P$1-'FA Addition'!$D150,0),365*'FA Addition'!$O150)</f>
        <v>1095</v>
      </c>
      <c r="AH150" s="117">
        <f>MIN(MAX($L$1-'FA Addition'!$D150+1,0),365*'FA Addition'!$O150)</f>
        <v>1095</v>
      </c>
      <c r="AI150" s="117" cm="1">
        <f t="array" ref="AI150">_xlfn.XLOOKUP(1,('FA Write off'!A:A='FA Addition'!$A150)*('FA Write off'!D:D=AA150),'FA Write off'!H:H,0,0)</f>
        <v>0</v>
      </c>
      <c r="AJ150" s="117">
        <f>IF(AC150&gt;0,MAX(IF('FA Addition'!$N150="SLM",($AC150-'FA Addition'!$M150)*'FA Addition'!$P150*AI150/365,(AC150-'FA Addition'!$M150)*(1-(1-'FA Addition'!$P150)^(AI150/365))),0),0)</f>
        <v>0</v>
      </c>
      <c r="AL150" s="117">
        <f>MAX(IF(AG150&gt;0,IF('FA Addition'!$N150="SLM",($AE150-'FA Addition'!$M150)*'FA Addition'!$P150*AG150/365,IFERROR(VDB(AE150,AE150*0.05,'FA Addition'!$O150,0,YEARFRAC('FA Addition'!$C150,$P$1-1,3),'FA Addition'!$Q150),FAAddition[[#This Row],[Original Cost (Rs)]]-FAAddition[[#This Row],[Salvage Value]])),0),0)</f>
        <v>2374</v>
      </c>
      <c r="AM150" s="119"/>
      <c r="AN150" s="117">
        <f>MAX(IF(AH150&gt;0,IF('FA Addition'!$N150="SLM",($AF150-'FA Addition'!$M150)*'FA Addition'!$P150*AH150/365,IFERROR(VDB(AF150,AF150*0.05,'FA Addition'!$O150,0,YEARFRAC('FA Addition'!$C150,$L$1,3),'FA Addition'!$Q150),FAAddition[[#This Row],[Original Cost (Rs)]]-FAAddition[[#This Row],[Salvage Value]])),0),0)</f>
        <v>2374</v>
      </c>
      <c r="AO150" s="117">
        <f t="shared" si="13"/>
        <v>0</v>
      </c>
      <c r="AQ150" s="117">
        <f t="shared" si="11"/>
        <v>125</v>
      </c>
      <c r="AR150" s="120">
        <f t="shared" si="12"/>
        <v>125</v>
      </c>
      <c r="AS150" s="121"/>
    </row>
    <row r="151" spans="1:45" ht="13.5" x14ac:dyDescent="0.4">
      <c r="A151" s="12">
        <f t="shared" si="14"/>
        <v>148</v>
      </c>
      <c r="B151" s="44" t="s">
        <v>559</v>
      </c>
      <c r="C151" s="45">
        <v>42535</v>
      </c>
      <c r="D151" s="45">
        <v>42535</v>
      </c>
      <c r="E151" s="46" t="s">
        <v>32</v>
      </c>
      <c r="F151" s="44" t="s">
        <v>32</v>
      </c>
      <c r="G151" s="44" t="s">
        <v>572</v>
      </c>
      <c r="H151" s="44" t="s">
        <v>32</v>
      </c>
      <c r="I151" s="47" t="s">
        <v>605</v>
      </c>
      <c r="J151" s="48">
        <v>124</v>
      </c>
      <c r="K151" s="44" t="s">
        <v>606</v>
      </c>
      <c r="L151" s="52">
        <v>143586</v>
      </c>
      <c r="M151" s="50">
        <f>ROUND('FA Addition'!$L151*5%,0.1)</f>
        <v>7179</v>
      </c>
      <c r="N151" s="113" t="str">
        <f>_xlfn.XLOOKUP(_xlfn.CONCAT(E151,B151),'Year Wise Master Dep Approach'!F:F,'Year Wise Master Dep Approach'!D:D)</f>
        <v>WDV</v>
      </c>
      <c r="O151" s="113">
        <f>_xlfn.XLOOKUP(_xlfn.CONCAT(E151,B151),'Year Wise Master Dep Approach'!F:F,'Year Wise Master Dep Approach'!E:E)</f>
        <v>3</v>
      </c>
      <c r="P151" s="114">
        <f>IFERROR(IF('FA Addition'!$N151="WDV",1-('FA Addition'!$M151/'FA Addition'!$L151)^(1/'FA Addition'!$O151),1/'FA Addition'!$O151),0)</f>
        <v>0.63160198167081072</v>
      </c>
      <c r="Q151" s="122">
        <f>'FA Addition'!$P151*'FA Addition'!$O151</f>
        <v>1.8948059450124322</v>
      </c>
      <c r="R151" s="122"/>
      <c r="S151" s="116">
        <f>IF(AND(DATE(20&amp;LEFT(FAAddition[[#This Row],[FY]],2),4,1)&lt;$L$1+1,DATE(20&amp;LEFT(FAAddition[[#This Row],[FY]],2),4,1)&gt;$P$1-1),'FA Addition'!$J151,0)</f>
        <v>0</v>
      </c>
      <c r="U151" s="117">
        <f>S151*'FA Addition'!$L151/'FA Addition'!$J151</f>
        <v>0</v>
      </c>
      <c r="W151" s="116">
        <f>SUMIFS('FA Write off'!D:D,'FA Write off'!A:A,'FA Addition'!$A151,'FA Write off'!C:C,"&lt;"&amp;'FA Addition'!$P$1)</f>
        <v>6</v>
      </c>
      <c r="Y151" s="191">
        <f>IFERROR(W151/'FA Addition'!$J151*'FA Addition'!$L151,0)</f>
        <v>6947.7096774193542</v>
      </c>
      <c r="AA151" s="116">
        <f>SUMIFS('FA Write off'!D:D,'FA Write off'!A:A,'FA Addition'!$A151,'FA Write off'!C:C,"&lt;"&amp;'FA Addition'!$L$1+1,'FA Write off'!C:C,"&gt;"&amp;'FA Addition'!$L$1-365)</f>
        <v>0</v>
      </c>
      <c r="AC151" s="191">
        <f>IFERROR(AA151/'FA Addition'!$J151*'FA Addition'!$L151,0)</f>
        <v>0</v>
      </c>
      <c r="AE151" s="117">
        <f>IF(AND('FA Addition'!$D151&lt;$P$1+1,U151=0),'FA Addition'!$L151,0)-Y151</f>
        <v>136638.29032258064</v>
      </c>
      <c r="AF151" s="117">
        <f t="shared" si="10"/>
        <v>136638.29032258064</v>
      </c>
      <c r="AG151" s="117">
        <f>MIN(MAX(+$P$1-'FA Addition'!$D151,0),365*'FA Addition'!$O151)</f>
        <v>1095</v>
      </c>
      <c r="AH151" s="117">
        <f>MIN(MAX($L$1-'FA Addition'!$D151+1,0),365*'FA Addition'!$O151)</f>
        <v>1095</v>
      </c>
      <c r="AI151" s="117" cm="1">
        <f t="array" ref="AI151">_xlfn.XLOOKUP(1,('FA Write off'!A:A='FA Addition'!$A151)*('FA Write off'!D:D=AA151),'FA Write off'!H:H,0,0)</f>
        <v>0</v>
      </c>
      <c r="AJ151" s="117">
        <f>IF(AC151&gt;0,MAX(IF('FA Addition'!$N151="SLM",($AC151-'FA Addition'!$M151)*'FA Addition'!$P151*AI151/365,(AC151-'FA Addition'!$M151)*(1-(1-'FA Addition'!$P151)^(AI151/365))),0),0)</f>
        <v>0</v>
      </c>
      <c r="AL151" s="117">
        <f>MAX(IF(AG151&gt;0,IF('FA Addition'!$N151="SLM",($AE151-'FA Addition'!$M151)*'FA Addition'!$P151*AG151/365,IFERROR(VDB(AE151,AE151*0.05,'FA Addition'!$O151,0,YEARFRAC('FA Addition'!$C151,$P$1-1,3),'FA Addition'!$Q151),FAAddition[[#This Row],[Original Cost (Rs)]]-FAAddition[[#This Row],[Salvage Value]])),0),0)</f>
        <v>136407</v>
      </c>
      <c r="AM151" s="119"/>
      <c r="AN151" s="117">
        <f>MAX(IF(AH151&gt;0,IF('FA Addition'!$N151="SLM",($AF151-'FA Addition'!$M151)*'FA Addition'!$P151*AH151/365,IFERROR(VDB(AF151,AF151*0.05,'FA Addition'!$O151,0,YEARFRAC('FA Addition'!$C151,$L$1,3),'FA Addition'!$Q151),FAAddition[[#This Row],[Original Cost (Rs)]]-FAAddition[[#This Row],[Salvage Value]])),0),0)</f>
        <v>136407</v>
      </c>
      <c r="AO151" s="117">
        <f t="shared" si="13"/>
        <v>0</v>
      </c>
      <c r="AQ151" s="117">
        <f t="shared" si="11"/>
        <v>231.29032258063671</v>
      </c>
      <c r="AR151" s="120">
        <f t="shared" si="12"/>
        <v>231.29032258063671</v>
      </c>
      <c r="AS151" s="121"/>
    </row>
    <row r="152" spans="1:45" ht="13.5" x14ac:dyDescent="0.4">
      <c r="A152" s="12">
        <f t="shared" si="14"/>
        <v>149</v>
      </c>
      <c r="B152" s="44" t="s">
        <v>559</v>
      </c>
      <c r="C152" s="45">
        <v>42556</v>
      </c>
      <c r="D152" s="45">
        <v>42556</v>
      </c>
      <c r="E152" s="46" t="s">
        <v>451</v>
      </c>
      <c r="F152" s="44" t="s">
        <v>21</v>
      </c>
      <c r="G152" s="44" t="s">
        <v>607</v>
      </c>
      <c r="H152" s="44" t="s">
        <v>498</v>
      </c>
      <c r="I152" s="47" t="s">
        <v>436</v>
      </c>
      <c r="J152" s="56">
        <v>1</v>
      </c>
      <c r="K152" s="44" t="s">
        <v>496</v>
      </c>
      <c r="L152" s="52">
        <v>10999</v>
      </c>
      <c r="M152" s="50">
        <f>ROUND('FA Addition'!$L152*5%,0.1)</f>
        <v>550</v>
      </c>
      <c r="N152" s="113" t="str">
        <f>_xlfn.XLOOKUP(_xlfn.CONCAT(E152,B152),'Year Wise Master Dep Approach'!F:F,'Year Wise Master Dep Approach'!D:D)</f>
        <v>WDV</v>
      </c>
      <c r="O152" s="113">
        <f>_xlfn.XLOOKUP(_xlfn.CONCAT(E152,B152),'Year Wise Master Dep Approach'!F:F,'Year Wise Master Dep Approach'!E:E)</f>
        <v>3</v>
      </c>
      <c r="P152" s="114">
        <f>IFERROR(IF('FA Addition'!$N152="WDV",1-('FA Addition'!$M152/'FA Addition'!$L152)^(1/'FA Addition'!$O152),1/'FA Addition'!$O152),0)</f>
        <v>0.63158568572750962</v>
      </c>
      <c r="Q152" s="122">
        <f>'FA Addition'!$P152*'FA Addition'!$O152</f>
        <v>1.8947570571825287</v>
      </c>
      <c r="R152" s="122"/>
      <c r="S152" s="116">
        <f>IF(AND(DATE(20&amp;LEFT(FAAddition[[#This Row],[FY]],2),4,1)&lt;$L$1+1,DATE(20&amp;LEFT(FAAddition[[#This Row],[FY]],2),4,1)&gt;$P$1-1),'FA Addition'!$J152,0)</f>
        <v>0</v>
      </c>
      <c r="U152" s="117">
        <f>S152*'FA Addition'!$L152/'FA Addition'!$J152</f>
        <v>0</v>
      </c>
      <c r="W152" s="116">
        <f>SUMIFS('FA Write off'!D:D,'FA Write off'!A:A,'FA Addition'!$A152,'FA Write off'!C:C,"&lt;"&amp;'FA Addition'!$P$1)</f>
        <v>0</v>
      </c>
      <c r="Y152" s="191">
        <f>IFERROR(W152/'FA Addition'!$J152*'FA Addition'!$L152,0)</f>
        <v>0</v>
      </c>
      <c r="AA152" s="116">
        <f>SUMIFS('FA Write off'!D:D,'FA Write off'!A:A,'FA Addition'!$A152,'FA Write off'!C:C,"&lt;"&amp;'FA Addition'!$L$1+1,'FA Write off'!C:C,"&gt;"&amp;'FA Addition'!$L$1-365)</f>
        <v>0</v>
      </c>
      <c r="AC152" s="118">
        <f>IFERROR(AA152/'FA Addition'!$J152*'FA Addition'!$L152,0)</f>
        <v>0</v>
      </c>
      <c r="AE152" s="117">
        <f>IF(AND('FA Addition'!$D152&lt;$P$1+1,U152=0),'FA Addition'!$L152,0)-Y152</f>
        <v>10999</v>
      </c>
      <c r="AF152" s="117">
        <f t="shared" si="10"/>
        <v>10999</v>
      </c>
      <c r="AG152" s="117">
        <f>MIN(MAX(+$P$1-'FA Addition'!$D152,0),365*'FA Addition'!$O152)</f>
        <v>1095</v>
      </c>
      <c r="AH152" s="117">
        <f>MIN(MAX($L$1-'FA Addition'!$D152+1,0),365*'FA Addition'!$O152)</f>
        <v>1095</v>
      </c>
      <c r="AI152" s="117" cm="1">
        <f t="array" ref="AI152">_xlfn.XLOOKUP(1,('FA Write off'!A:A='FA Addition'!$A152)*('FA Write off'!D:D=AA152),'FA Write off'!H:H,0,0)</f>
        <v>0</v>
      </c>
      <c r="AJ152" s="117">
        <f>IF(AC152&gt;0,MAX(IF('FA Addition'!$N152="SLM",($AC152-'FA Addition'!$M152)*'FA Addition'!$P152*AI152/365,(AC152-'FA Addition'!$M152)*(1-(1-'FA Addition'!$P152)^(AI152/365))),0),0)</f>
        <v>0</v>
      </c>
      <c r="AL152" s="117">
        <f>MAX(IF(AG152&gt;0,IF('FA Addition'!$N152="SLM",($AE152-'FA Addition'!$M152)*'FA Addition'!$P152*AG152/365,IFERROR(VDB(AE152,AE152*0.05,'FA Addition'!$O152,0,YEARFRAC('FA Addition'!$C152,$P$1-1,3),'FA Addition'!$Q152),FAAddition[[#This Row],[Original Cost (Rs)]]-FAAddition[[#This Row],[Salvage Value]])),0),0)</f>
        <v>10449</v>
      </c>
      <c r="AM152" s="119"/>
      <c r="AN152" s="117">
        <f>MAX(IF(AH152&gt;0,IF('FA Addition'!$N152="SLM",($AF152-'FA Addition'!$M152)*'FA Addition'!$P152*AH152/365,IFERROR(VDB(AF152,AF152*0.05,'FA Addition'!$O152,0,YEARFRAC('FA Addition'!$C152,$L$1,3),'FA Addition'!$Q152),FAAddition[[#This Row],[Original Cost (Rs)]]-FAAddition[[#This Row],[Salvage Value]])),0),0)</f>
        <v>10449</v>
      </c>
      <c r="AO152" s="117">
        <f t="shared" si="13"/>
        <v>0</v>
      </c>
      <c r="AQ152" s="117">
        <f t="shared" si="11"/>
        <v>550</v>
      </c>
      <c r="AR152" s="120">
        <f t="shared" si="12"/>
        <v>550</v>
      </c>
      <c r="AS152" s="121"/>
    </row>
    <row r="153" spans="1:45" ht="13.5" x14ac:dyDescent="0.4">
      <c r="A153" s="12">
        <f t="shared" si="14"/>
        <v>150</v>
      </c>
      <c r="B153" s="44" t="s">
        <v>559</v>
      </c>
      <c r="C153" s="45">
        <v>42560</v>
      </c>
      <c r="D153" s="45">
        <v>42560</v>
      </c>
      <c r="E153" s="46" t="s">
        <v>32</v>
      </c>
      <c r="F153" s="44" t="s">
        <v>32</v>
      </c>
      <c r="G153" s="44" t="s">
        <v>433</v>
      </c>
      <c r="H153" s="44" t="s">
        <v>32</v>
      </c>
      <c r="I153" s="47" t="s">
        <v>608</v>
      </c>
      <c r="J153" s="48">
        <v>2</v>
      </c>
      <c r="K153" s="44" t="s">
        <v>609</v>
      </c>
      <c r="L153" s="52">
        <v>13860</v>
      </c>
      <c r="M153" s="50">
        <f>ROUND('FA Addition'!$L153*5%,0.1)</f>
        <v>693</v>
      </c>
      <c r="N153" s="113" t="str">
        <f>_xlfn.XLOOKUP(_xlfn.CONCAT(E153,B153),'Year Wise Master Dep Approach'!F:F,'Year Wise Master Dep Approach'!D:D)</f>
        <v>WDV</v>
      </c>
      <c r="O153" s="113">
        <f>_xlfn.XLOOKUP(_xlfn.CONCAT(E153,B153),'Year Wise Master Dep Approach'!F:F,'Year Wise Master Dep Approach'!E:E)</f>
        <v>3</v>
      </c>
      <c r="P153" s="114">
        <f>IFERROR(IF('FA Addition'!$N153="WDV",1-('FA Addition'!$M153/'FA Addition'!$L153)^(1/'FA Addition'!$O153),1/'FA Addition'!$O153),0)</f>
        <v>0.63159685013596123</v>
      </c>
      <c r="Q153" s="122">
        <f>'FA Addition'!$P153*'FA Addition'!$O153</f>
        <v>1.8947905504078837</v>
      </c>
      <c r="R153" s="122"/>
      <c r="S153" s="116">
        <f>IF(AND(DATE(20&amp;LEFT(FAAddition[[#This Row],[FY]],2),4,1)&lt;$L$1+1,DATE(20&amp;LEFT(FAAddition[[#This Row],[FY]],2),4,1)&gt;$P$1-1),'FA Addition'!$J153,0)</f>
        <v>0</v>
      </c>
      <c r="U153" s="117">
        <f>S153*'FA Addition'!$L153/'FA Addition'!$J153</f>
        <v>0</v>
      </c>
      <c r="W153" s="116">
        <f>SUMIFS('FA Write off'!D:D,'FA Write off'!A:A,'FA Addition'!$A153,'FA Write off'!C:C,"&lt;"&amp;'FA Addition'!$P$1)</f>
        <v>0</v>
      </c>
      <c r="Y153" s="191">
        <f>IFERROR(W153/'FA Addition'!$J153*'FA Addition'!$L153,0)</f>
        <v>0</v>
      </c>
      <c r="AA153" s="116">
        <f>SUMIFS('FA Write off'!D:D,'FA Write off'!A:A,'FA Addition'!$A153,'FA Write off'!C:C,"&lt;"&amp;'FA Addition'!$L$1+1,'FA Write off'!C:C,"&gt;"&amp;'FA Addition'!$L$1-365)</f>
        <v>0</v>
      </c>
      <c r="AC153" s="118">
        <f>IFERROR(AA153/'FA Addition'!$J153*'FA Addition'!$L153,0)</f>
        <v>0</v>
      </c>
      <c r="AE153" s="117">
        <f>IF(AND('FA Addition'!$D153&lt;$P$1+1,U153=0),'FA Addition'!$L153,0)-Y153</f>
        <v>13860</v>
      </c>
      <c r="AF153" s="117">
        <f t="shared" si="10"/>
        <v>13860</v>
      </c>
      <c r="AG153" s="117">
        <f>MIN(MAX(+$P$1-'FA Addition'!$D153,0),365*'FA Addition'!$O153)</f>
        <v>1095</v>
      </c>
      <c r="AH153" s="117">
        <f>MIN(MAX($L$1-'FA Addition'!$D153+1,0),365*'FA Addition'!$O153)</f>
        <v>1095</v>
      </c>
      <c r="AI153" s="117" cm="1">
        <f t="array" ref="AI153">_xlfn.XLOOKUP(1,('FA Write off'!A:A='FA Addition'!$A153)*('FA Write off'!D:D=AA153),'FA Write off'!H:H,0,0)</f>
        <v>0</v>
      </c>
      <c r="AJ153" s="117">
        <f>IF(AC153&gt;0,MAX(IF('FA Addition'!$N153="SLM",($AC153-'FA Addition'!$M153)*'FA Addition'!$P153*AI153/365,(AC153-'FA Addition'!$M153)*(1-(1-'FA Addition'!$P153)^(AI153/365))),0),0)</f>
        <v>0</v>
      </c>
      <c r="AL153" s="117">
        <f>MAX(IF(AG153&gt;0,IF('FA Addition'!$N153="SLM",($AE153-'FA Addition'!$M153)*'FA Addition'!$P153*AG153/365,IFERROR(VDB(AE153,AE153*0.05,'FA Addition'!$O153,0,YEARFRAC('FA Addition'!$C153,$P$1-1,3),'FA Addition'!$Q153),FAAddition[[#This Row],[Original Cost (Rs)]]-FAAddition[[#This Row],[Salvage Value]])),0),0)</f>
        <v>13167</v>
      </c>
      <c r="AM153" s="119"/>
      <c r="AN153" s="117">
        <f>MAX(IF(AH153&gt;0,IF('FA Addition'!$N153="SLM",($AF153-'FA Addition'!$M153)*'FA Addition'!$P153*AH153/365,IFERROR(VDB(AF153,AF153*0.05,'FA Addition'!$O153,0,YEARFRAC('FA Addition'!$C153,$L$1,3),'FA Addition'!$Q153),FAAddition[[#This Row],[Original Cost (Rs)]]-FAAddition[[#This Row],[Salvage Value]])),0),0)</f>
        <v>13167</v>
      </c>
      <c r="AO153" s="117">
        <f t="shared" si="13"/>
        <v>0</v>
      </c>
      <c r="AQ153" s="117">
        <f t="shared" si="11"/>
        <v>693</v>
      </c>
      <c r="AR153" s="120">
        <f t="shared" si="12"/>
        <v>693</v>
      </c>
      <c r="AS153" s="121"/>
    </row>
    <row r="154" spans="1:45" ht="13.5" x14ac:dyDescent="0.4">
      <c r="A154" s="12">
        <f t="shared" si="14"/>
        <v>151</v>
      </c>
      <c r="B154" s="44" t="s">
        <v>559</v>
      </c>
      <c r="C154" s="45">
        <v>42562</v>
      </c>
      <c r="D154" s="45">
        <v>42562</v>
      </c>
      <c r="E154" s="46" t="s">
        <v>32</v>
      </c>
      <c r="F154" s="44" t="s">
        <v>32</v>
      </c>
      <c r="G154" s="44" t="s">
        <v>433</v>
      </c>
      <c r="H154" s="44" t="s">
        <v>32</v>
      </c>
      <c r="I154" s="47" t="s">
        <v>610</v>
      </c>
      <c r="J154" s="48">
        <v>8</v>
      </c>
      <c r="K154" s="44" t="s">
        <v>609</v>
      </c>
      <c r="L154" s="52">
        <v>55440</v>
      </c>
      <c r="M154" s="50">
        <f>ROUND('FA Addition'!$L154*5%,0.1)</f>
        <v>2772</v>
      </c>
      <c r="N154" s="113" t="str">
        <f>_xlfn.XLOOKUP(_xlfn.CONCAT(E154,B154),'Year Wise Master Dep Approach'!F:F,'Year Wise Master Dep Approach'!D:D)</f>
        <v>WDV</v>
      </c>
      <c r="O154" s="113">
        <f>_xlfn.XLOOKUP(_xlfn.CONCAT(E154,B154),'Year Wise Master Dep Approach'!F:F,'Year Wise Master Dep Approach'!E:E)</f>
        <v>3</v>
      </c>
      <c r="P154" s="114">
        <f>IFERROR(IF('FA Addition'!$N154="WDV",1-('FA Addition'!$M154/'FA Addition'!$L154)^(1/'FA Addition'!$O154),1/'FA Addition'!$O154),0)</f>
        <v>0.63159685013596123</v>
      </c>
      <c r="Q154" s="122">
        <f>'FA Addition'!$P154*'FA Addition'!$O154</f>
        <v>1.8947905504078837</v>
      </c>
      <c r="R154" s="122"/>
      <c r="S154" s="116">
        <f>IF(AND(DATE(20&amp;LEFT(FAAddition[[#This Row],[FY]],2),4,1)&lt;$L$1+1,DATE(20&amp;LEFT(FAAddition[[#This Row],[FY]],2),4,1)&gt;$P$1-1),'FA Addition'!$J154,0)</f>
        <v>0</v>
      </c>
      <c r="U154" s="117">
        <f>S154*'FA Addition'!$L154/'FA Addition'!$J154</f>
        <v>0</v>
      </c>
      <c r="W154" s="116">
        <f>SUMIFS('FA Write off'!D:D,'FA Write off'!A:A,'FA Addition'!$A154,'FA Write off'!C:C,"&lt;"&amp;'FA Addition'!$P$1)</f>
        <v>0</v>
      </c>
      <c r="Y154" s="191">
        <f>IFERROR(W154/'FA Addition'!$J154*'FA Addition'!$L154,0)</f>
        <v>0</v>
      </c>
      <c r="AA154" s="116">
        <f>SUMIFS('FA Write off'!D:D,'FA Write off'!A:A,'FA Addition'!$A154,'FA Write off'!C:C,"&lt;"&amp;'FA Addition'!$L$1+1,'FA Write off'!C:C,"&gt;"&amp;'FA Addition'!$L$1-365)</f>
        <v>0</v>
      </c>
      <c r="AC154" s="118">
        <f>IFERROR(AA154/'FA Addition'!$J154*'FA Addition'!$L154,0)</f>
        <v>0</v>
      </c>
      <c r="AE154" s="117">
        <f>IF(AND('FA Addition'!$D154&lt;$P$1+1,U154=0),'FA Addition'!$L154,0)-Y154</f>
        <v>55440</v>
      </c>
      <c r="AF154" s="117">
        <f t="shared" si="10"/>
        <v>55440</v>
      </c>
      <c r="AG154" s="117">
        <f>MIN(MAX(+$P$1-'FA Addition'!$D154,0),365*'FA Addition'!$O154)</f>
        <v>1095</v>
      </c>
      <c r="AH154" s="117">
        <f>MIN(MAX($L$1-'FA Addition'!$D154+1,0),365*'FA Addition'!$O154)</f>
        <v>1095</v>
      </c>
      <c r="AI154" s="117" cm="1">
        <f t="array" ref="AI154">_xlfn.XLOOKUP(1,('FA Write off'!A:A='FA Addition'!$A154)*('FA Write off'!D:D=AA154),'FA Write off'!H:H,0,0)</f>
        <v>0</v>
      </c>
      <c r="AJ154" s="117">
        <f>IF(AC154&gt;0,MAX(IF('FA Addition'!$N154="SLM",($AC154-'FA Addition'!$M154)*'FA Addition'!$P154*AI154/365,(AC154-'FA Addition'!$M154)*(1-(1-'FA Addition'!$P154)^(AI154/365))),0),0)</f>
        <v>0</v>
      </c>
      <c r="AL154" s="117">
        <f>MAX(IF(AG154&gt;0,IF('FA Addition'!$N154="SLM",($AE154-'FA Addition'!$M154)*'FA Addition'!$P154*AG154/365,IFERROR(VDB(AE154,AE154*0.05,'FA Addition'!$O154,0,YEARFRAC('FA Addition'!$C154,$P$1-1,3),'FA Addition'!$Q154),FAAddition[[#This Row],[Original Cost (Rs)]]-FAAddition[[#This Row],[Salvage Value]])),0),0)</f>
        <v>52668</v>
      </c>
      <c r="AM154" s="119"/>
      <c r="AN154" s="117">
        <f>MAX(IF(AH154&gt;0,IF('FA Addition'!$N154="SLM",($AF154-'FA Addition'!$M154)*'FA Addition'!$P154*AH154/365,IFERROR(VDB(AF154,AF154*0.05,'FA Addition'!$O154,0,YEARFRAC('FA Addition'!$C154,$L$1,3),'FA Addition'!$Q154),FAAddition[[#This Row],[Original Cost (Rs)]]-FAAddition[[#This Row],[Salvage Value]])),0),0)</f>
        <v>52668</v>
      </c>
      <c r="AO154" s="117">
        <f t="shared" si="13"/>
        <v>0</v>
      </c>
      <c r="AQ154" s="117">
        <f t="shared" si="11"/>
        <v>2772</v>
      </c>
      <c r="AR154" s="120">
        <f t="shared" si="12"/>
        <v>2772</v>
      </c>
      <c r="AS154" s="121"/>
    </row>
    <row r="155" spans="1:45" ht="13.5" x14ac:dyDescent="0.4">
      <c r="A155" s="12">
        <f t="shared" si="14"/>
        <v>152</v>
      </c>
      <c r="B155" s="44" t="s">
        <v>559</v>
      </c>
      <c r="C155" s="45">
        <v>42570</v>
      </c>
      <c r="D155" s="45">
        <v>42570</v>
      </c>
      <c r="E155" s="46" t="s">
        <v>32</v>
      </c>
      <c r="F155" s="44" t="s">
        <v>32</v>
      </c>
      <c r="G155" s="44" t="s">
        <v>433</v>
      </c>
      <c r="H155" s="44" t="s">
        <v>32</v>
      </c>
      <c r="I155" s="47" t="s">
        <v>611</v>
      </c>
      <c r="J155" s="48">
        <v>240</v>
      </c>
      <c r="K155" s="44" t="s">
        <v>561</v>
      </c>
      <c r="L155" s="52">
        <v>267120</v>
      </c>
      <c r="M155" s="50">
        <f>ROUND('FA Addition'!$L155*5%,0.1)</f>
        <v>13356</v>
      </c>
      <c r="N155" s="113" t="str">
        <f>_xlfn.XLOOKUP(_xlfn.CONCAT(E155,B155),'Year Wise Master Dep Approach'!F:F,'Year Wise Master Dep Approach'!D:D)</f>
        <v>WDV</v>
      </c>
      <c r="O155" s="113">
        <f>_xlfn.XLOOKUP(_xlfn.CONCAT(E155,B155),'Year Wise Master Dep Approach'!F:F,'Year Wise Master Dep Approach'!E:E)</f>
        <v>3</v>
      </c>
      <c r="P155" s="114">
        <f>IFERROR(IF('FA Addition'!$N155="WDV",1-('FA Addition'!$M155/'FA Addition'!$L155)^(1/'FA Addition'!$O155),1/'FA Addition'!$O155),0)</f>
        <v>0.63159685013596123</v>
      </c>
      <c r="Q155" s="122">
        <f>'FA Addition'!$P155*'FA Addition'!$O155</f>
        <v>1.8947905504078837</v>
      </c>
      <c r="R155" s="122"/>
      <c r="S155" s="116">
        <f>IF(AND(DATE(20&amp;LEFT(FAAddition[[#This Row],[FY]],2),4,1)&lt;$L$1+1,DATE(20&amp;LEFT(FAAddition[[#This Row],[FY]],2),4,1)&gt;$P$1-1),'FA Addition'!$J155,0)</f>
        <v>0</v>
      </c>
      <c r="U155" s="117">
        <f>S155*'FA Addition'!$L155/'FA Addition'!$J155</f>
        <v>0</v>
      </c>
      <c r="W155" s="116">
        <f>SUMIFS('FA Write off'!D:D,'FA Write off'!A:A,'FA Addition'!$A155,'FA Write off'!C:C,"&lt;"&amp;'FA Addition'!$P$1)</f>
        <v>7</v>
      </c>
      <c r="Y155" s="191">
        <f>IFERROR(W155/'FA Addition'!$J155*'FA Addition'!$L155,0)</f>
        <v>7791</v>
      </c>
      <c r="AA155" s="116">
        <f>SUMIFS('FA Write off'!D:D,'FA Write off'!A:A,'FA Addition'!$A155,'FA Write off'!C:C,"&lt;"&amp;'FA Addition'!$L$1+1,'FA Write off'!C:C,"&gt;"&amp;'FA Addition'!$L$1-365)</f>
        <v>0</v>
      </c>
      <c r="AC155" s="191">
        <f>IFERROR(AA155/'FA Addition'!$J155*'FA Addition'!$L155,0)</f>
        <v>0</v>
      </c>
      <c r="AE155" s="117">
        <f>IF(AND('FA Addition'!$D155&lt;$P$1+1,U155=0),'FA Addition'!$L155,0)-Y155</f>
        <v>259329</v>
      </c>
      <c r="AF155" s="117">
        <f t="shared" si="10"/>
        <v>259329</v>
      </c>
      <c r="AG155" s="117">
        <f>MIN(MAX(+$P$1-'FA Addition'!$D155,0),365*'FA Addition'!$O155)</f>
        <v>1095</v>
      </c>
      <c r="AH155" s="117">
        <f>MIN(MAX($L$1-'FA Addition'!$D155+1,0),365*'FA Addition'!$O155)</f>
        <v>1095</v>
      </c>
      <c r="AI155" s="117" cm="1">
        <f t="array" ref="AI155">_xlfn.XLOOKUP(1,('FA Write off'!A:A='FA Addition'!$A155)*('FA Write off'!D:D=AA155),'FA Write off'!H:H,0,0)</f>
        <v>0</v>
      </c>
      <c r="AJ155" s="117">
        <f>IF(AC155&gt;0,MAX(IF('FA Addition'!$N155="SLM",($AC155-'FA Addition'!$M155)*'FA Addition'!$P155*AI155/365,(AC155-'FA Addition'!$M155)*(1-(1-'FA Addition'!$P155)^(AI155/365))),0),0)</f>
        <v>0</v>
      </c>
      <c r="AL155" s="117">
        <f>MAX(IF(AG155&gt;0,IF('FA Addition'!$N155="SLM",($AE155-'FA Addition'!$M155)*'FA Addition'!$P155*AG155/365,IFERROR(VDB(AE155,AE155*0.05,'FA Addition'!$O155,0,YEARFRAC('FA Addition'!$C155,$P$1-1,3),'FA Addition'!$Q155),FAAddition[[#This Row],[Original Cost (Rs)]]-FAAddition[[#This Row],[Salvage Value]])),0),0)</f>
        <v>253764</v>
      </c>
      <c r="AM155" s="119"/>
      <c r="AN155" s="117">
        <f>MAX(IF(AH155&gt;0,IF('FA Addition'!$N155="SLM",($AF155-'FA Addition'!$M155)*'FA Addition'!$P155*AH155/365,IFERROR(VDB(AF155,AF155*0.05,'FA Addition'!$O155,0,YEARFRAC('FA Addition'!$C155,$L$1,3),'FA Addition'!$Q155),FAAddition[[#This Row],[Original Cost (Rs)]]-FAAddition[[#This Row],[Salvage Value]])),0),0)</f>
        <v>253764</v>
      </c>
      <c r="AO155" s="117">
        <f t="shared" si="13"/>
        <v>0</v>
      </c>
      <c r="AQ155" s="117">
        <f t="shared" si="11"/>
        <v>5565</v>
      </c>
      <c r="AR155" s="120">
        <f t="shared" si="12"/>
        <v>5565</v>
      </c>
      <c r="AS155" s="121"/>
    </row>
    <row r="156" spans="1:45" ht="13.5" x14ac:dyDescent="0.4">
      <c r="A156" s="12">
        <f t="shared" si="14"/>
        <v>153</v>
      </c>
      <c r="B156" s="44" t="s">
        <v>559</v>
      </c>
      <c r="C156" s="45">
        <v>42570</v>
      </c>
      <c r="D156" s="45">
        <v>42570</v>
      </c>
      <c r="E156" s="46" t="s">
        <v>32</v>
      </c>
      <c r="F156" s="44" t="s">
        <v>32</v>
      </c>
      <c r="G156" s="44" t="s">
        <v>433</v>
      </c>
      <c r="H156" s="44" t="s">
        <v>32</v>
      </c>
      <c r="I156" s="47" t="s">
        <v>612</v>
      </c>
      <c r="J156" s="48">
        <v>20</v>
      </c>
      <c r="K156" s="44" t="s">
        <v>567</v>
      </c>
      <c r="L156" s="52">
        <v>64050</v>
      </c>
      <c r="M156" s="50">
        <f>ROUND('FA Addition'!$L156*5%,0.1)</f>
        <v>3203</v>
      </c>
      <c r="N156" s="113" t="str">
        <f>_xlfn.XLOOKUP(_xlfn.CONCAT(E156,B156),'Year Wise Master Dep Approach'!F:F,'Year Wise Master Dep Approach'!D:D)</f>
        <v>WDV</v>
      </c>
      <c r="O156" s="113">
        <f>_xlfn.XLOOKUP(_xlfn.CONCAT(E156,B156),'Year Wise Master Dep Approach'!F:F,'Year Wise Master Dep Approach'!E:E)</f>
        <v>3</v>
      </c>
      <c r="P156" s="114">
        <f>IFERROR(IF('FA Addition'!$N156="WDV",1-('FA Addition'!$M156/'FA Addition'!$L156)^(1/'FA Addition'!$O156),1/'FA Addition'!$O156),0)</f>
        <v>0.63157767844827761</v>
      </c>
      <c r="Q156" s="122">
        <f>'FA Addition'!$P156*'FA Addition'!$O156</f>
        <v>1.8947330353448328</v>
      </c>
      <c r="R156" s="122"/>
      <c r="S156" s="116">
        <f>IF(AND(DATE(20&amp;LEFT(FAAddition[[#This Row],[FY]],2),4,1)&lt;$L$1+1,DATE(20&amp;LEFT(FAAddition[[#This Row],[FY]],2),4,1)&gt;$P$1-1),'FA Addition'!$J156,0)</f>
        <v>0</v>
      </c>
      <c r="U156" s="117">
        <f>S156*'FA Addition'!$L156/'FA Addition'!$J156</f>
        <v>0</v>
      </c>
      <c r="W156" s="116">
        <f>SUMIFS('FA Write off'!D:D,'FA Write off'!A:A,'FA Addition'!$A156,'FA Write off'!C:C,"&lt;"&amp;'FA Addition'!$P$1)</f>
        <v>0</v>
      </c>
      <c r="Y156" s="191">
        <f>IFERROR(W156/'FA Addition'!$J156*'FA Addition'!$L156,0)</f>
        <v>0</v>
      </c>
      <c r="AA156" s="116">
        <f>SUMIFS('FA Write off'!D:D,'FA Write off'!A:A,'FA Addition'!$A156,'FA Write off'!C:C,"&lt;"&amp;'FA Addition'!$L$1+1,'FA Write off'!C:C,"&gt;"&amp;'FA Addition'!$L$1-365)</f>
        <v>0</v>
      </c>
      <c r="AC156" s="118">
        <f>IFERROR(AA156/'FA Addition'!$J156*'FA Addition'!$L156,0)</f>
        <v>0</v>
      </c>
      <c r="AE156" s="117">
        <f>IF(AND('FA Addition'!$D156&lt;$P$1+1,U156=0),'FA Addition'!$L156,0)-Y156</f>
        <v>64050</v>
      </c>
      <c r="AF156" s="117">
        <f t="shared" si="10"/>
        <v>64050</v>
      </c>
      <c r="AG156" s="117">
        <f>MIN(MAX(+$P$1-'FA Addition'!$D156,0),365*'FA Addition'!$O156)</f>
        <v>1095</v>
      </c>
      <c r="AH156" s="117">
        <f>MIN(MAX($L$1-'FA Addition'!$D156+1,0),365*'FA Addition'!$O156)</f>
        <v>1095</v>
      </c>
      <c r="AI156" s="117" cm="1">
        <f t="array" ref="AI156">_xlfn.XLOOKUP(1,('FA Write off'!A:A='FA Addition'!$A156)*('FA Write off'!D:D=AA156),'FA Write off'!H:H,0,0)</f>
        <v>0</v>
      </c>
      <c r="AJ156" s="117">
        <f>IF(AC156&gt;0,MAX(IF('FA Addition'!$N156="SLM",($AC156-'FA Addition'!$M156)*'FA Addition'!$P156*AI156/365,(AC156-'FA Addition'!$M156)*(1-(1-'FA Addition'!$P156)^(AI156/365))),0),0)</f>
        <v>0</v>
      </c>
      <c r="AL156" s="117">
        <f>MAX(IF(AG156&gt;0,IF('FA Addition'!$N156="SLM",($AE156-'FA Addition'!$M156)*'FA Addition'!$P156*AG156/365,IFERROR(VDB(AE156,AE156*0.05,'FA Addition'!$O156,0,YEARFRAC('FA Addition'!$C156,$P$1-1,3),'FA Addition'!$Q156),FAAddition[[#This Row],[Original Cost (Rs)]]-FAAddition[[#This Row],[Salvage Value]])),0),0)</f>
        <v>60847</v>
      </c>
      <c r="AM156" s="119"/>
      <c r="AN156" s="117">
        <f>MAX(IF(AH156&gt;0,IF('FA Addition'!$N156="SLM",($AF156-'FA Addition'!$M156)*'FA Addition'!$P156*AH156/365,IFERROR(VDB(AF156,AF156*0.05,'FA Addition'!$O156,0,YEARFRAC('FA Addition'!$C156,$L$1,3),'FA Addition'!$Q156),FAAddition[[#This Row],[Original Cost (Rs)]]-FAAddition[[#This Row],[Salvage Value]])),0),0)</f>
        <v>60847</v>
      </c>
      <c r="AO156" s="117">
        <f t="shared" si="13"/>
        <v>0</v>
      </c>
      <c r="AQ156" s="117">
        <f t="shared" si="11"/>
        <v>3203</v>
      </c>
      <c r="AR156" s="120">
        <f t="shared" si="12"/>
        <v>3203</v>
      </c>
      <c r="AS156" s="121"/>
    </row>
    <row r="157" spans="1:45" ht="13.5" x14ac:dyDescent="0.4">
      <c r="A157" s="12">
        <f t="shared" si="14"/>
        <v>154</v>
      </c>
      <c r="B157" s="44" t="s">
        <v>559</v>
      </c>
      <c r="C157" s="45">
        <v>42570</v>
      </c>
      <c r="D157" s="45">
        <v>42570</v>
      </c>
      <c r="E157" s="46" t="s">
        <v>32</v>
      </c>
      <c r="F157" s="44" t="s">
        <v>32</v>
      </c>
      <c r="G157" s="44" t="s">
        <v>433</v>
      </c>
      <c r="H157" s="44" t="s">
        <v>32</v>
      </c>
      <c r="I157" s="47" t="s">
        <v>613</v>
      </c>
      <c r="J157" s="48">
        <v>18</v>
      </c>
      <c r="K157" s="44" t="s">
        <v>567</v>
      </c>
      <c r="L157" s="52">
        <v>57645</v>
      </c>
      <c r="M157" s="50">
        <f>ROUND('FA Addition'!$L157*5%,0.1)</f>
        <v>2882</v>
      </c>
      <c r="N157" s="113" t="str">
        <f>_xlfn.XLOOKUP(_xlfn.CONCAT(E157,B157),'Year Wise Master Dep Approach'!F:F,'Year Wise Master Dep Approach'!D:D)</f>
        <v>WDV</v>
      </c>
      <c r="O157" s="113">
        <f>_xlfn.XLOOKUP(_xlfn.CONCAT(E157,B157),'Year Wise Master Dep Approach'!F:F,'Year Wise Master Dep Approach'!E:E)</f>
        <v>3</v>
      </c>
      <c r="P157" s="114">
        <f>IFERROR(IF('FA Addition'!$N157="WDV",1-('FA Addition'!$M157/'FA Addition'!$L157)^(1/'FA Addition'!$O157),1/'FA Addition'!$O157),0)</f>
        <v>0.63160750193582449</v>
      </c>
      <c r="Q157" s="122">
        <f>'FA Addition'!$P157*'FA Addition'!$O157</f>
        <v>1.8948225058074735</v>
      </c>
      <c r="R157" s="122"/>
      <c r="S157" s="116">
        <f>IF(AND(DATE(20&amp;LEFT(FAAddition[[#This Row],[FY]],2),4,1)&lt;$L$1+1,DATE(20&amp;LEFT(FAAddition[[#This Row],[FY]],2),4,1)&gt;$P$1-1),'FA Addition'!$J157,0)</f>
        <v>0</v>
      </c>
      <c r="U157" s="117">
        <f>S157*'FA Addition'!$L157/'FA Addition'!$J157</f>
        <v>0</v>
      </c>
      <c r="W157" s="116">
        <f>SUMIFS('FA Write off'!D:D,'FA Write off'!A:A,'FA Addition'!$A157,'FA Write off'!C:C,"&lt;"&amp;'FA Addition'!$P$1)</f>
        <v>0</v>
      </c>
      <c r="Y157" s="191">
        <f>IFERROR(W157/'FA Addition'!$J157*'FA Addition'!$L157,0)</f>
        <v>0</v>
      </c>
      <c r="AA157" s="116">
        <f>SUMIFS('FA Write off'!D:D,'FA Write off'!A:A,'FA Addition'!$A157,'FA Write off'!C:C,"&lt;"&amp;'FA Addition'!$L$1+1,'FA Write off'!C:C,"&gt;"&amp;'FA Addition'!$L$1-365)</f>
        <v>0</v>
      </c>
      <c r="AC157" s="118">
        <f>IFERROR(AA157/'FA Addition'!$J157*'FA Addition'!$L157,0)</f>
        <v>0</v>
      </c>
      <c r="AE157" s="117">
        <f>IF(AND('FA Addition'!$D157&lt;$P$1+1,U157=0),'FA Addition'!$L157,0)-Y157</f>
        <v>57645</v>
      </c>
      <c r="AF157" s="117">
        <f t="shared" si="10"/>
        <v>57645</v>
      </c>
      <c r="AG157" s="117">
        <f>MIN(MAX(+$P$1-'FA Addition'!$D157,0),365*'FA Addition'!$O157)</f>
        <v>1095</v>
      </c>
      <c r="AH157" s="117">
        <f>MIN(MAX($L$1-'FA Addition'!$D157+1,0),365*'FA Addition'!$O157)</f>
        <v>1095</v>
      </c>
      <c r="AI157" s="117" cm="1">
        <f t="array" ref="AI157">_xlfn.XLOOKUP(1,('FA Write off'!A:A='FA Addition'!$A157)*('FA Write off'!D:D=AA157),'FA Write off'!H:H,0,0)</f>
        <v>0</v>
      </c>
      <c r="AJ157" s="117">
        <f>IF(AC157&gt;0,MAX(IF('FA Addition'!$N157="SLM",($AC157-'FA Addition'!$M157)*'FA Addition'!$P157*AI157/365,(AC157-'FA Addition'!$M157)*(1-(1-'FA Addition'!$P157)^(AI157/365))),0),0)</f>
        <v>0</v>
      </c>
      <c r="AL157" s="117">
        <f>MAX(IF(AG157&gt;0,IF('FA Addition'!$N157="SLM",($AE157-'FA Addition'!$M157)*'FA Addition'!$P157*AG157/365,IFERROR(VDB(AE157,AE157*0.05,'FA Addition'!$O157,0,YEARFRAC('FA Addition'!$C157,$P$1-1,3),'FA Addition'!$Q157),FAAddition[[#This Row],[Original Cost (Rs)]]-FAAddition[[#This Row],[Salvage Value]])),0),0)</f>
        <v>54763</v>
      </c>
      <c r="AM157" s="119"/>
      <c r="AN157" s="117">
        <f>MAX(IF(AH157&gt;0,IF('FA Addition'!$N157="SLM",($AF157-'FA Addition'!$M157)*'FA Addition'!$P157*AH157/365,IFERROR(VDB(AF157,AF157*0.05,'FA Addition'!$O157,0,YEARFRAC('FA Addition'!$C157,$L$1,3),'FA Addition'!$Q157),FAAddition[[#This Row],[Original Cost (Rs)]]-FAAddition[[#This Row],[Salvage Value]])),0),0)</f>
        <v>54763</v>
      </c>
      <c r="AO157" s="117">
        <f t="shared" si="13"/>
        <v>0</v>
      </c>
      <c r="AQ157" s="117">
        <f t="shared" si="11"/>
        <v>2882</v>
      </c>
      <c r="AR157" s="120">
        <f t="shared" si="12"/>
        <v>2882</v>
      </c>
      <c r="AS157" s="121"/>
    </row>
    <row r="158" spans="1:45" ht="13.5" x14ac:dyDescent="0.4">
      <c r="A158" s="12">
        <f t="shared" si="14"/>
        <v>155</v>
      </c>
      <c r="B158" s="44" t="s">
        <v>559</v>
      </c>
      <c r="C158" s="45">
        <v>42584</v>
      </c>
      <c r="D158" s="45">
        <v>42584</v>
      </c>
      <c r="E158" s="46" t="s">
        <v>32</v>
      </c>
      <c r="F158" s="44" t="s">
        <v>32</v>
      </c>
      <c r="G158" s="44" t="s">
        <v>433</v>
      </c>
      <c r="H158" s="44" t="s">
        <v>32</v>
      </c>
      <c r="I158" s="47" t="s">
        <v>614</v>
      </c>
      <c r="J158" s="48">
        <v>100</v>
      </c>
      <c r="K158" s="44" t="s">
        <v>561</v>
      </c>
      <c r="L158" s="52">
        <v>111300</v>
      </c>
      <c r="M158" s="50">
        <f>ROUND('FA Addition'!$L158*5%,0.1)</f>
        <v>5565</v>
      </c>
      <c r="N158" s="113" t="str">
        <f>_xlfn.XLOOKUP(_xlfn.CONCAT(E158,B158),'Year Wise Master Dep Approach'!F:F,'Year Wise Master Dep Approach'!D:D)</f>
        <v>WDV</v>
      </c>
      <c r="O158" s="113">
        <f>_xlfn.XLOOKUP(_xlfn.CONCAT(E158,B158),'Year Wise Master Dep Approach'!F:F,'Year Wise Master Dep Approach'!E:E)</f>
        <v>3</v>
      </c>
      <c r="P158" s="114">
        <f>IFERROR(IF('FA Addition'!$N158="WDV",1-('FA Addition'!$M158/'FA Addition'!$L158)^(1/'FA Addition'!$O158),1/'FA Addition'!$O158),0)</f>
        <v>0.63159685013596123</v>
      </c>
      <c r="Q158" s="122">
        <f>'FA Addition'!$P158*'FA Addition'!$O158</f>
        <v>1.8947905504078837</v>
      </c>
      <c r="R158" s="122"/>
      <c r="S158" s="116">
        <f>IF(AND(DATE(20&amp;LEFT(FAAddition[[#This Row],[FY]],2),4,1)&lt;$L$1+1,DATE(20&amp;LEFT(FAAddition[[#This Row],[FY]],2),4,1)&gt;$P$1-1),'FA Addition'!$J158,0)</f>
        <v>0</v>
      </c>
      <c r="U158" s="117">
        <f>S158*'FA Addition'!$L158/'FA Addition'!$J158</f>
        <v>0</v>
      </c>
      <c r="W158" s="116">
        <f>SUMIFS('FA Write off'!D:D,'FA Write off'!A:A,'FA Addition'!$A158,'FA Write off'!C:C,"&lt;"&amp;'FA Addition'!$P$1)</f>
        <v>0</v>
      </c>
      <c r="Y158" s="191">
        <f>IFERROR(W158/'FA Addition'!$J158*'FA Addition'!$L158,0)</f>
        <v>0</v>
      </c>
      <c r="AA158" s="116">
        <f>SUMIFS('FA Write off'!D:D,'FA Write off'!A:A,'FA Addition'!$A158,'FA Write off'!C:C,"&lt;"&amp;'FA Addition'!$L$1+1,'FA Write off'!C:C,"&gt;"&amp;'FA Addition'!$L$1-365)</f>
        <v>0</v>
      </c>
      <c r="AC158" s="118">
        <f>IFERROR(AA158/'FA Addition'!$J158*'FA Addition'!$L158,0)</f>
        <v>0</v>
      </c>
      <c r="AE158" s="117">
        <f>IF(AND('FA Addition'!$D158&lt;$P$1+1,U158=0),'FA Addition'!$L158,0)-Y158</f>
        <v>111300</v>
      </c>
      <c r="AF158" s="117">
        <f t="shared" si="10"/>
        <v>111300</v>
      </c>
      <c r="AG158" s="117">
        <f>MIN(MAX(+$P$1-'FA Addition'!$D158,0),365*'FA Addition'!$O158)</f>
        <v>1095</v>
      </c>
      <c r="AH158" s="117">
        <f>MIN(MAX($L$1-'FA Addition'!$D158+1,0),365*'FA Addition'!$O158)</f>
        <v>1095</v>
      </c>
      <c r="AI158" s="117" cm="1">
        <f t="array" ref="AI158">_xlfn.XLOOKUP(1,('FA Write off'!A:A='FA Addition'!$A158)*('FA Write off'!D:D=AA158),'FA Write off'!H:H,0,0)</f>
        <v>0</v>
      </c>
      <c r="AJ158" s="117">
        <f>IF(AC158&gt;0,MAX(IF('FA Addition'!$N158="SLM",($AC158-'FA Addition'!$M158)*'FA Addition'!$P158*AI158/365,(AC158-'FA Addition'!$M158)*(1-(1-'FA Addition'!$P158)^(AI158/365))),0),0)</f>
        <v>0</v>
      </c>
      <c r="AL158" s="117">
        <f>MAX(IF(AG158&gt;0,IF('FA Addition'!$N158="SLM",($AE158-'FA Addition'!$M158)*'FA Addition'!$P158*AG158/365,IFERROR(VDB(AE158,AE158*0.05,'FA Addition'!$O158,0,YEARFRAC('FA Addition'!$C158,$P$1-1,3),'FA Addition'!$Q158),FAAddition[[#This Row],[Original Cost (Rs)]]-FAAddition[[#This Row],[Salvage Value]])),0),0)</f>
        <v>105735</v>
      </c>
      <c r="AM158" s="119"/>
      <c r="AN158" s="117">
        <f>MAX(IF(AH158&gt;0,IF('FA Addition'!$N158="SLM",($AF158-'FA Addition'!$M158)*'FA Addition'!$P158*AH158/365,IFERROR(VDB(AF158,AF158*0.05,'FA Addition'!$O158,0,YEARFRAC('FA Addition'!$C158,$L$1,3),'FA Addition'!$Q158),FAAddition[[#This Row],[Original Cost (Rs)]]-FAAddition[[#This Row],[Salvage Value]])),0),0)</f>
        <v>105735</v>
      </c>
      <c r="AO158" s="117">
        <f t="shared" si="13"/>
        <v>0</v>
      </c>
      <c r="AQ158" s="117">
        <f t="shared" si="11"/>
        <v>5565</v>
      </c>
      <c r="AR158" s="120">
        <f t="shared" si="12"/>
        <v>5565</v>
      </c>
      <c r="AS158" s="121"/>
    </row>
    <row r="159" spans="1:45" ht="13.5" x14ac:dyDescent="0.4">
      <c r="A159" s="12">
        <f t="shared" si="14"/>
        <v>156</v>
      </c>
      <c r="B159" s="51" t="s">
        <v>559</v>
      </c>
      <c r="C159" s="54">
        <v>42585</v>
      </c>
      <c r="D159" s="54">
        <v>42585</v>
      </c>
      <c r="E159" s="46" t="s">
        <v>32</v>
      </c>
      <c r="F159" s="61" t="s">
        <v>32</v>
      </c>
      <c r="G159" s="51" t="s">
        <v>433</v>
      </c>
      <c r="H159" s="51" t="s">
        <v>32</v>
      </c>
      <c r="I159" s="55" t="s">
        <v>615</v>
      </c>
      <c r="J159" s="56">
        <v>200</v>
      </c>
      <c r="K159" s="51" t="s">
        <v>616</v>
      </c>
      <c r="L159" s="58">
        <v>213675</v>
      </c>
      <c r="M159" s="50">
        <f>ROUND('FA Addition'!$L159*5%,0.1)</f>
        <v>10684</v>
      </c>
      <c r="N159" s="113" t="str">
        <f>_xlfn.XLOOKUP(_xlfn.CONCAT(E159,B159),'Year Wise Master Dep Approach'!F:F,'Year Wise Master Dep Approach'!D:D)</f>
        <v>WDV</v>
      </c>
      <c r="O159" s="113">
        <f>_xlfn.XLOOKUP(_xlfn.CONCAT(E159,B159),'Year Wise Master Dep Approach'!F:F,'Year Wise Master Dep Approach'!E:E)</f>
        <v>3</v>
      </c>
      <c r="P159" s="114">
        <f>IFERROR(IF('FA Addition'!$N159="WDV",1-('FA Addition'!$M159/'FA Addition'!$L159)^(1/'FA Addition'!$O159),1/'FA Addition'!$O159),0)</f>
        <v>0.6315939766109322</v>
      </c>
      <c r="Q159" s="122">
        <f>'FA Addition'!$P159*'FA Addition'!$O159</f>
        <v>1.8947819298327966</v>
      </c>
      <c r="R159" s="122"/>
      <c r="S159" s="116">
        <f>IF(AND(DATE(20&amp;LEFT(FAAddition[[#This Row],[FY]],2),4,1)&lt;$L$1+1,DATE(20&amp;LEFT(FAAddition[[#This Row],[FY]],2),4,1)&gt;$P$1-1),'FA Addition'!$J159,0)</f>
        <v>0</v>
      </c>
      <c r="U159" s="117">
        <f>S159*'FA Addition'!$L159/'FA Addition'!$J159</f>
        <v>0</v>
      </c>
      <c r="W159" s="116">
        <f>SUMIFS('FA Write off'!D:D,'FA Write off'!A:A,'FA Addition'!$A159,'FA Write off'!C:C,"&lt;"&amp;'FA Addition'!$P$1)</f>
        <v>1</v>
      </c>
      <c r="Y159" s="191">
        <f>IFERROR(W159/'FA Addition'!$J159*'FA Addition'!$L159,0)</f>
        <v>1068.375</v>
      </c>
      <c r="AA159" s="116">
        <f>SUMIFS('FA Write off'!D:D,'FA Write off'!A:A,'FA Addition'!$A159,'FA Write off'!C:C,"&lt;"&amp;'FA Addition'!$L$1+1,'FA Write off'!C:C,"&gt;"&amp;'FA Addition'!$L$1-365)</f>
        <v>0</v>
      </c>
      <c r="AC159" s="191">
        <f>IFERROR(AA159/'FA Addition'!$J159*'FA Addition'!$L159,0)</f>
        <v>0</v>
      </c>
      <c r="AE159" s="117">
        <f>IF(AND('FA Addition'!$D159&lt;$P$1+1,U159=0),'FA Addition'!$L159,0)-Y159</f>
        <v>212606.625</v>
      </c>
      <c r="AF159" s="117">
        <f t="shared" si="10"/>
        <v>212606.625</v>
      </c>
      <c r="AG159" s="117">
        <f>MIN(MAX(+$P$1-'FA Addition'!$D159,0),365*'FA Addition'!$O159)</f>
        <v>1095</v>
      </c>
      <c r="AH159" s="117">
        <f>MIN(MAX($L$1-'FA Addition'!$D159+1,0),365*'FA Addition'!$O159)</f>
        <v>1095</v>
      </c>
      <c r="AI159" s="117" cm="1">
        <f t="array" ref="AI159">_xlfn.XLOOKUP(1,('FA Write off'!A:A='FA Addition'!$A159)*('FA Write off'!D:D=AA159),'FA Write off'!H:H,0,0)</f>
        <v>0</v>
      </c>
      <c r="AJ159" s="117">
        <f>IF(AC159&gt;0,MAX(IF('FA Addition'!$N159="SLM",($AC159-'FA Addition'!$M159)*'FA Addition'!$P159*AI159/365,(AC159-'FA Addition'!$M159)*(1-(1-'FA Addition'!$P159)^(AI159/365))),0),0)</f>
        <v>0</v>
      </c>
      <c r="AL159" s="117">
        <f>MAX(IF(AG159&gt;0,IF('FA Addition'!$N159="SLM",($AE159-'FA Addition'!$M159)*'FA Addition'!$P159*AG159/365,IFERROR(VDB(AE159,AE159*0.05,'FA Addition'!$O159,0,YEARFRAC('FA Addition'!$C159,$P$1-1,3),'FA Addition'!$Q159),FAAddition[[#This Row],[Original Cost (Rs)]]-FAAddition[[#This Row],[Salvage Value]])),0),0)</f>
        <v>202991</v>
      </c>
      <c r="AM159" s="119"/>
      <c r="AN159" s="117">
        <f>MAX(IF(AH159&gt;0,IF('FA Addition'!$N159="SLM",($AF159-'FA Addition'!$M159)*'FA Addition'!$P159*AH159/365,IFERROR(VDB(AF159,AF159*0.05,'FA Addition'!$O159,0,YEARFRAC('FA Addition'!$C159,$L$1,3),'FA Addition'!$Q159),FAAddition[[#This Row],[Original Cost (Rs)]]-FAAddition[[#This Row],[Salvage Value]])),0),0)</f>
        <v>202991</v>
      </c>
      <c r="AO159" s="117">
        <f t="shared" si="13"/>
        <v>0</v>
      </c>
      <c r="AQ159" s="117">
        <f t="shared" si="11"/>
        <v>9615.625</v>
      </c>
      <c r="AR159" s="120">
        <f t="shared" si="12"/>
        <v>9615.625</v>
      </c>
      <c r="AS159" s="121"/>
    </row>
    <row r="160" spans="1:45" ht="13.5" x14ac:dyDescent="0.4">
      <c r="A160" s="12">
        <f t="shared" si="14"/>
        <v>157</v>
      </c>
      <c r="B160" s="51" t="s">
        <v>559</v>
      </c>
      <c r="C160" s="54">
        <v>42586</v>
      </c>
      <c r="D160" s="54">
        <v>42586</v>
      </c>
      <c r="E160" s="46" t="s">
        <v>32</v>
      </c>
      <c r="F160" s="51" t="s">
        <v>32</v>
      </c>
      <c r="G160" s="51" t="s">
        <v>572</v>
      </c>
      <c r="H160" s="51" t="s">
        <v>32</v>
      </c>
      <c r="I160" s="55" t="s">
        <v>617</v>
      </c>
      <c r="J160" s="56">
        <v>200</v>
      </c>
      <c r="K160" s="51" t="s">
        <v>618</v>
      </c>
      <c r="L160" s="58">
        <v>222605</v>
      </c>
      <c r="M160" s="50">
        <f>ROUND('FA Addition'!$L160*5%,0.1)</f>
        <v>11130</v>
      </c>
      <c r="N160" s="113" t="str">
        <f>_xlfn.XLOOKUP(_xlfn.CONCAT(E160,B160),'Year Wise Master Dep Approach'!F:F,'Year Wise Master Dep Approach'!D:D)</f>
        <v>WDV</v>
      </c>
      <c r="O160" s="113">
        <f>_xlfn.XLOOKUP(_xlfn.CONCAT(E160,B160),'Year Wise Master Dep Approach'!F:F,'Year Wise Master Dep Approach'!E:E)</f>
        <v>3</v>
      </c>
      <c r="P160" s="114">
        <f>IFERROR(IF('FA Addition'!$N160="WDV",1-('FA Addition'!$M160/'FA Addition'!$L160)^(1/'FA Addition'!$O160),1/'FA Addition'!$O160),0)</f>
        <v>0.63159960842911267</v>
      </c>
      <c r="Q160" s="122">
        <f>'FA Addition'!$P160*'FA Addition'!$O160</f>
        <v>1.894798825287338</v>
      </c>
      <c r="R160" s="122"/>
      <c r="S160" s="116">
        <f>IF(AND(DATE(20&amp;LEFT(FAAddition[[#This Row],[FY]],2),4,1)&lt;$L$1+1,DATE(20&amp;LEFT(FAAddition[[#This Row],[FY]],2),4,1)&gt;$P$1-1),'FA Addition'!$J160,0)</f>
        <v>0</v>
      </c>
      <c r="U160" s="117">
        <f>S160*'FA Addition'!$L160/'FA Addition'!$J160</f>
        <v>0</v>
      </c>
      <c r="W160" s="116">
        <f>SUMIFS('FA Write off'!D:D,'FA Write off'!A:A,'FA Addition'!$A160,'FA Write off'!C:C,"&lt;"&amp;'FA Addition'!$P$1)</f>
        <v>11</v>
      </c>
      <c r="Y160" s="191">
        <f>IFERROR(W160/'FA Addition'!$J160*'FA Addition'!$L160,0)</f>
        <v>12243.275</v>
      </c>
      <c r="AA160" s="116">
        <f>SUMIFS('FA Write off'!D:D,'FA Write off'!A:A,'FA Addition'!$A160,'FA Write off'!C:C,"&lt;"&amp;'FA Addition'!$L$1+1,'FA Write off'!C:C,"&gt;"&amp;'FA Addition'!$L$1-365)</f>
        <v>0</v>
      </c>
      <c r="AC160" s="191">
        <f>IFERROR(AA160/'FA Addition'!$J160*'FA Addition'!$L160,0)</f>
        <v>0</v>
      </c>
      <c r="AE160" s="117">
        <f>IF(AND('FA Addition'!$D160&lt;$P$1+1,U160=0),'FA Addition'!$L160,0)-Y160</f>
        <v>210361.72500000001</v>
      </c>
      <c r="AF160" s="117">
        <f t="shared" si="10"/>
        <v>210361.72500000001</v>
      </c>
      <c r="AG160" s="117">
        <f>MIN(MAX(+$P$1-'FA Addition'!$D160,0),365*'FA Addition'!$O160)</f>
        <v>1095</v>
      </c>
      <c r="AH160" s="117">
        <f>MIN(MAX($L$1-'FA Addition'!$D160+1,0),365*'FA Addition'!$O160)</f>
        <v>1095</v>
      </c>
      <c r="AI160" s="117" cm="1">
        <f t="array" ref="AI160">_xlfn.XLOOKUP(1,('FA Write off'!A:A='FA Addition'!$A160)*('FA Write off'!D:D=AA160),'FA Write off'!H:H,0,0)</f>
        <v>0</v>
      </c>
      <c r="AJ160" s="117">
        <f>IF(AC160&gt;0,MAX(IF('FA Addition'!$N160="SLM",($AC160-'FA Addition'!$M160)*'FA Addition'!$P160*AI160/365,(AC160-'FA Addition'!$M160)*(1-(1-'FA Addition'!$P160)^(AI160/365))),0),0)</f>
        <v>0</v>
      </c>
      <c r="AL160" s="117">
        <f>MAX(IF(AG160&gt;0,IF('FA Addition'!$N160="SLM",($AE160-'FA Addition'!$M160)*'FA Addition'!$P160*AG160/365,IFERROR(VDB(AE160,AE160*0.05,'FA Addition'!$O160,0,YEARFRAC('FA Addition'!$C160,$P$1-1,3),'FA Addition'!$Q160),FAAddition[[#This Row],[Original Cost (Rs)]]-FAAddition[[#This Row],[Salvage Value]])),0),0)</f>
        <v>211475</v>
      </c>
      <c r="AM160" s="119"/>
      <c r="AN160" s="117">
        <f>MAX(IF(AH160&gt;0,IF('FA Addition'!$N160="SLM",($AF160-'FA Addition'!$M160)*'FA Addition'!$P160*AH160/365,IFERROR(VDB(AF160,AF160*0.05,'FA Addition'!$O160,0,YEARFRAC('FA Addition'!$C160,$L$1,3),'FA Addition'!$Q160),FAAddition[[#This Row],[Original Cost (Rs)]]-FAAddition[[#This Row],[Salvage Value]])),0),0)</f>
        <v>211475</v>
      </c>
      <c r="AO160" s="117">
        <f t="shared" si="13"/>
        <v>0</v>
      </c>
      <c r="AQ160" s="117">
        <f t="shared" si="11"/>
        <v>-1113.2749999999942</v>
      </c>
      <c r="AR160" s="120">
        <f t="shared" si="12"/>
        <v>-1113.2749999999942</v>
      </c>
      <c r="AS160" s="121"/>
    </row>
    <row r="161" spans="1:45" ht="13.5" x14ac:dyDescent="0.4">
      <c r="A161" s="12">
        <f t="shared" si="14"/>
        <v>158</v>
      </c>
      <c r="B161" s="44" t="s">
        <v>559</v>
      </c>
      <c r="C161" s="45">
        <v>42601</v>
      </c>
      <c r="D161" s="45">
        <v>42601</v>
      </c>
      <c r="E161" s="46" t="s">
        <v>32</v>
      </c>
      <c r="F161" s="44" t="s">
        <v>32</v>
      </c>
      <c r="G161" s="44" t="s">
        <v>433</v>
      </c>
      <c r="H161" s="44" t="s">
        <v>32</v>
      </c>
      <c r="I161" s="47" t="s">
        <v>619</v>
      </c>
      <c r="J161" s="48">
        <v>20</v>
      </c>
      <c r="K161" s="44" t="s">
        <v>567</v>
      </c>
      <c r="L161" s="52">
        <v>64050</v>
      </c>
      <c r="M161" s="50">
        <f>ROUND('FA Addition'!$L161*5%,0.1)</f>
        <v>3203</v>
      </c>
      <c r="N161" s="113" t="str">
        <f>_xlfn.XLOOKUP(_xlfn.CONCAT(E161,B161),'Year Wise Master Dep Approach'!F:F,'Year Wise Master Dep Approach'!D:D)</f>
        <v>WDV</v>
      </c>
      <c r="O161" s="113">
        <f>_xlfn.XLOOKUP(_xlfn.CONCAT(E161,B161),'Year Wise Master Dep Approach'!F:F,'Year Wise Master Dep Approach'!E:E)</f>
        <v>3</v>
      </c>
      <c r="P161" s="114">
        <f>IFERROR(IF('FA Addition'!$N161="WDV",1-('FA Addition'!$M161/'FA Addition'!$L161)^(1/'FA Addition'!$O161),1/'FA Addition'!$O161),0)</f>
        <v>0.63157767844827761</v>
      </c>
      <c r="Q161" s="122">
        <f>'FA Addition'!$P161*'FA Addition'!$O161</f>
        <v>1.8947330353448328</v>
      </c>
      <c r="R161" s="122"/>
      <c r="S161" s="116">
        <f>IF(AND(DATE(20&amp;LEFT(FAAddition[[#This Row],[FY]],2),4,1)&lt;$L$1+1,DATE(20&amp;LEFT(FAAddition[[#This Row],[FY]],2),4,1)&gt;$P$1-1),'FA Addition'!$J161,0)</f>
        <v>0</v>
      </c>
      <c r="U161" s="117">
        <f>S161*'FA Addition'!$L161/'FA Addition'!$J161</f>
        <v>0</v>
      </c>
      <c r="W161" s="116">
        <f>SUMIFS('FA Write off'!D:D,'FA Write off'!A:A,'FA Addition'!$A161,'FA Write off'!C:C,"&lt;"&amp;'FA Addition'!$P$1)</f>
        <v>0</v>
      </c>
      <c r="Y161" s="191">
        <f>IFERROR(W161/'FA Addition'!$J161*'FA Addition'!$L161,0)</f>
        <v>0</v>
      </c>
      <c r="AA161" s="116">
        <f>SUMIFS('FA Write off'!D:D,'FA Write off'!A:A,'FA Addition'!$A161,'FA Write off'!C:C,"&lt;"&amp;'FA Addition'!$L$1+1,'FA Write off'!C:C,"&gt;"&amp;'FA Addition'!$L$1-365)</f>
        <v>0</v>
      </c>
      <c r="AC161" s="118">
        <f>IFERROR(AA161/'FA Addition'!$J161*'FA Addition'!$L161,0)</f>
        <v>0</v>
      </c>
      <c r="AE161" s="117">
        <f>IF(AND('FA Addition'!$D161&lt;$P$1+1,U161=0),'FA Addition'!$L161,0)-Y161</f>
        <v>64050</v>
      </c>
      <c r="AF161" s="117">
        <f t="shared" si="10"/>
        <v>64050</v>
      </c>
      <c r="AG161" s="117">
        <f>MIN(MAX(+$P$1-'FA Addition'!$D161,0),365*'FA Addition'!$O161)</f>
        <v>1095</v>
      </c>
      <c r="AH161" s="117">
        <f>MIN(MAX($L$1-'FA Addition'!$D161+1,0),365*'FA Addition'!$O161)</f>
        <v>1095</v>
      </c>
      <c r="AI161" s="117" cm="1">
        <f t="array" ref="AI161">_xlfn.XLOOKUP(1,('FA Write off'!A:A='FA Addition'!$A161)*('FA Write off'!D:D=AA161),'FA Write off'!H:H,0,0)</f>
        <v>0</v>
      </c>
      <c r="AJ161" s="117">
        <f>IF(AC161&gt;0,MAX(IF('FA Addition'!$N161="SLM",($AC161-'FA Addition'!$M161)*'FA Addition'!$P161*AI161/365,(AC161-'FA Addition'!$M161)*(1-(1-'FA Addition'!$P161)^(AI161/365))),0),0)</f>
        <v>0</v>
      </c>
      <c r="AL161" s="117">
        <f>MAX(IF(AG161&gt;0,IF('FA Addition'!$N161="SLM",($AE161-'FA Addition'!$M161)*'FA Addition'!$P161*AG161/365,IFERROR(VDB(AE161,AE161*0.05,'FA Addition'!$O161,0,YEARFRAC('FA Addition'!$C161,$P$1-1,3),'FA Addition'!$Q161),FAAddition[[#This Row],[Original Cost (Rs)]]-FAAddition[[#This Row],[Salvage Value]])),0),0)</f>
        <v>60847</v>
      </c>
      <c r="AM161" s="119"/>
      <c r="AN161" s="117">
        <f>MAX(IF(AH161&gt;0,IF('FA Addition'!$N161="SLM",($AF161-'FA Addition'!$M161)*'FA Addition'!$P161*AH161/365,IFERROR(VDB(AF161,AF161*0.05,'FA Addition'!$O161,0,YEARFRAC('FA Addition'!$C161,$L$1,3),'FA Addition'!$Q161),FAAddition[[#This Row],[Original Cost (Rs)]]-FAAddition[[#This Row],[Salvage Value]])),0),0)</f>
        <v>60847</v>
      </c>
      <c r="AO161" s="117">
        <f t="shared" si="13"/>
        <v>0</v>
      </c>
      <c r="AQ161" s="117">
        <f t="shared" si="11"/>
        <v>3203</v>
      </c>
      <c r="AR161" s="120">
        <f t="shared" si="12"/>
        <v>3203</v>
      </c>
      <c r="AS161" s="121"/>
    </row>
    <row r="162" spans="1:45" ht="13.5" x14ac:dyDescent="0.4">
      <c r="A162" s="12">
        <f t="shared" si="14"/>
        <v>159</v>
      </c>
      <c r="B162" s="44" t="s">
        <v>559</v>
      </c>
      <c r="C162" s="45">
        <v>42602</v>
      </c>
      <c r="D162" s="45">
        <v>42602</v>
      </c>
      <c r="E162" s="46" t="s">
        <v>32</v>
      </c>
      <c r="F162" s="44" t="s">
        <v>32</v>
      </c>
      <c r="G162" s="44" t="s">
        <v>620</v>
      </c>
      <c r="H162" s="44" t="s">
        <v>32</v>
      </c>
      <c r="I162" s="47"/>
      <c r="J162" s="56">
        <v>1</v>
      </c>
      <c r="K162" s="44" t="s">
        <v>32</v>
      </c>
      <c r="L162" s="52">
        <v>7140</v>
      </c>
      <c r="M162" s="50">
        <f>ROUND('FA Addition'!$L162*5%,0.1)</f>
        <v>357</v>
      </c>
      <c r="N162" s="113" t="str">
        <f>_xlfn.XLOOKUP(_xlfn.CONCAT(E162,B162),'Year Wise Master Dep Approach'!F:F,'Year Wise Master Dep Approach'!D:D)</f>
        <v>WDV</v>
      </c>
      <c r="O162" s="113">
        <f>_xlfn.XLOOKUP(_xlfn.CONCAT(E162,B162),'Year Wise Master Dep Approach'!F:F,'Year Wise Master Dep Approach'!E:E)</f>
        <v>3</v>
      </c>
      <c r="P162" s="114">
        <f>IFERROR(IF('FA Addition'!$N162="WDV",1-('FA Addition'!$M162/'FA Addition'!$L162)^(1/'FA Addition'!$O162),1/'FA Addition'!$O162),0)</f>
        <v>0.63159685013596123</v>
      </c>
      <c r="Q162" s="122">
        <f>'FA Addition'!$P162*'FA Addition'!$O162</f>
        <v>1.8947905504078837</v>
      </c>
      <c r="R162" s="122"/>
      <c r="S162" s="116">
        <f>IF(AND(DATE(20&amp;LEFT(FAAddition[[#This Row],[FY]],2),4,1)&lt;$L$1+1,DATE(20&amp;LEFT(FAAddition[[#This Row],[FY]],2),4,1)&gt;$P$1-1),'FA Addition'!$J162,0)</f>
        <v>0</v>
      </c>
      <c r="U162" s="117">
        <f>S162*'FA Addition'!$L162/'FA Addition'!$J162</f>
        <v>0</v>
      </c>
      <c r="W162" s="116">
        <f>SUMIFS('FA Write off'!D:D,'FA Write off'!A:A,'FA Addition'!$A162,'FA Write off'!C:C,"&lt;"&amp;'FA Addition'!$P$1)</f>
        <v>0</v>
      </c>
      <c r="Y162" s="191">
        <f>IFERROR(W162/'FA Addition'!$J162*'FA Addition'!$L162,0)</f>
        <v>0</v>
      </c>
      <c r="AA162" s="116">
        <f>SUMIFS('FA Write off'!D:D,'FA Write off'!A:A,'FA Addition'!$A162,'FA Write off'!C:C,"&lt;"&amp;'FA Addition'!$L$1+1,'FA Write off'!C:C,"&gt;"&amp;'FA Addition'!$L$1-365)</f>
        <v>0</v>
      </c>
      <c r="AC162" s="118">
        <f>IFERROR(AA162/'FA Addition'!$J162*'FA Addition'!$L162,0)</f>
        <v>0</v>
      </c>
      <c r="AE162" s="117">
        <f>IF(AND('FA Addition'!$D162&lt;$P$1+1,U162=0),'FA Addition'!$L162,0)-Y162</f>
        <v>7140</v>
      </c>
      <c r="AF162" s="117">
        <f t="shared" si="10"/>
        <v>7140</v>
      </c>
      <c r="AG162" s="117">
        <f>MIN(MAX(+$P$1-'FA Addition'!$D162,0),365*'FA Addition'!$O162)</f>
        <v>1095</v>
      </c>
      <c r="AH162" s="117">
        <f>MIN(MAX($L$1-'FA Addition'!$D162+1,0),365*'FA Addition'!$O162)</f>
        <v>1095</v>
      </c>
      <c r="AI162" s="117" cm="1">
        <f t="array" ref="AI162">_xlfn.XLOOKUP(1,('FA Write off'!A:A='FA Addition'!$A162)*('FA Write off'!D:D=AA162),'FA Write off'!H:H,0,0)</f>
        <v>0</v>
      </c>
      <c r="AJ162" s="117">
        <f>IF(AC162&gt;0,MAX(IF('FA Addition'!$N162="SLM",($AC162-'FA Addition'!$M162)*'FA Addition'!$P162*AI162/365,(AC162-'FA Addition'!$M162)*(1-(1-'FA Addition'!$P162)^(AI162/365))),0),0)</f>
        <v>0</v>
      </c>
      <c r="AL162" s="117">
        <f>MAX(IF(AG162&gt;0,IF('FA Addition'!$N162="SLM",($AE162-'FA Addition'!$M162)*'FA Addition'!$P162*AG162/365,IFERROR(VDB(AE162,AE162*0.05,'FA Addition'!$O162,0,YEARFRAC('FA Addition'!$C162,$P$1-1,3),'FA Addition'!$Q162),FAAddition[[#This Row],[Original Cost (Rs)]]-FAAddition[[#This Row],[Salvage Value]])),0),0)</f>
        <v>6783</v>
      </c>
      <c r="AM162" s="119"/>
      <c r="AN162" s="117">
        <f>MAX(IF(AH162&gt;0,IF('FA Addition'!$N162="SLM",($AF162-'FA Addition'!$M162)*'FA Addition'!$P162*AH162/365,IFERROR(VDB(AF162,AF162*0.05,'FA Addition'!$O162,0,YEARFRAC('FA Addition'!$C162,$L$1,3),'FA Addition'!$Q162),FAAddition[[#This Row],[Original Cost (Rs)]]-FAAddition[[#This Row],[Salvage Value]])),0),0)</f>
        <v>6783</v>
      </c>
      <c r="AO162" s="117">
        <f t="shared" si="13"/>
        <v>0</v>
      </c>
      <c r="AQ162" s="117">
        <f t="shared" si="11"/>
        <v>357</v>
      </c>
      <c r="AR162" s="120">
        <f t="shared" si="12"/>
        <v>357</v>
      </c>
      <c r="AS162" s="121"/>
    </row>
    <row r="163" spans="1:45" ht="13.5" x14ac:dyDescent="0.4">
      <c r="A163" s="12">
        <f t="shared" si="14"/>
        <v>160</v>
      </c>
      <c r="B163" s="44" t="s">
        <v>559</v>
      </c>
      <c r="C163" s="45">
        <v>42615</v>
      </c>
      <c r="D163" s="45">
        <v>42615</v>
      </c>
      <c r="E163" s="46" t="s">
        <v>32</v>
      </c>
      <c r="F163" s="44" t="s">
        <v>32</v>
      </c>
      <c r="G163" s="44" t="s">
        <v>433</v>
      </c>
      <c r="H163" s="44" t="s">
        <v>32</v>
      </c>
      <c r="I163" s="47" t="s">
        <v>621</v>
      </c>
      <c r="J163" s="48">
        <v>10</v>
      </c>
      <c r="K163" s="44" t="s">
        <v>622</v>
      </c>
      <c r="L163" s="52">
        <v>69300</v>
      </c>
      <c r="M163" s="50">
        <f>ROUND('FA Addition'!$L163*5%,0.1)</f>
        <v>3465</v>
      </c>
      <c r="N163" s="113" t="str">
        <f>_xlfn.XLOOKUP(_xlfn.CONCAT(E163,B163),'Year Wise Master Dep Approach'!F:F,'Year Wise Master Dep Approach'!D:D)</f>
        <v>WDV</v>
      </c>
      <c r="O163" s="113">
        <f>_xlfn.XLOOKUP(_xlfn.CONCAT(E163,B163),'Year Wise Master Dep Approach'!F:F,'Year Wise Master Dep Approach'!E:E)</f>
        <v>3</v>
      </c>
      <c r="P163" s="114">
        <f>IFERROR(IF('FA Addition'!$N163="WDV",1-('FA Addition'!$M163/'FA Addition'!$L163)^(1/'FA Addition'!$O163),1/'FA Addition'!$O163),0)</f>
        <v>0.63159685013596123</v>
      </c>
      <c r="Q163" s="122">
        <f>'FA Addition'!$P163*'FA Addition'!$O163</f>
        <v>1.8947905504078837</v>
      </c>
      <c r="R163" s="122"/>
      <c r="S163" s="116">
        <f>IF(AND(DATE(20&amp;LEFT(FAAddition[[#This Row],[FY]],2),4,1)&lt;$L$1+1,DATE(20&amp;LEFT(FAAddition[[#This Row],[FY]],2),4,1)&gt;$P$1-1),'FA Addition'!$J163,0)</f>
        <v>0</v>
      </c>
      <c r="U163" s="117">
        <f>S163*'FA Addition'!$L163/'FA Addition'!$J163</f>
        <v>0</v>
      </c>
      <c r="W163" s="116">
        <f>SUMIFS('FA Write off'!D:D,'FA Write off'!A:A,'FA Addition'!$A163,'FA Write off'!C:C,"&lt;"&amp;'FA Addition'!$P$1)</f>
        <v>0</v>
      </c>
      <c r="Y163" s="191">
        <f>IFERROR(W163/'FA Addition'!$J163*'FA Addition'!$L163,0)</f>
        <v>0</v>
      </c>
      <c r="AA163" s="116">
        <f>SUMIFS('FA Write off'!D:D,'FA Write off'!A:A,'FA Addition'!$A163,'FA Write off'!C:C,"&lt;"&amp;'FA Addition'!$L$1+1,'FA Write off'!C:C,"&gt;"&amp;'FA Addition'!$L$1-365)</f>
        <v>0</v>
      </c>
      <c r="AC163" s="118">
        <f>IFERROR(AA163/'FA Addition'!$J163*'FA Addition'!$L163,0)</f>
        <v>0</v>
      </c>
      <c r="AE163" s="117">
        <f>IF(AND('FA Addition'!$D163&lt;$P$1+1,U163=0),'FA Addition'!$L163,0)-Y163</f>
        <v>69300</v>
      </c>
      <c r="AF163" s="117">
        <f t="shared" si="10"/>
        <v>69300</v>
      </c>
      <c r="AG163" s="117">
        <f>MIN(MAX(+$P$1-'FA Addition'!$D163,0),365*'FA Addition'!$O163)</f>
        <v>1095</v>
      </c>
      <c r="AH163" s="117">
        <f>MIN(MAX($L$1-'FA Addition'!$D163+1,0),365*'FA Addition'!$O163)</f>
        <v>1095</v>
      </c>
      <c r="AI163" s="117" cm="1">
        <f t="array" ref="AI163">_xlfn.XLOOKUP(1,('FA Write off'!A:A='FA Addition'!$A163)*('FA Write off'!D:D=AA163),'FA Write off'!H:H,0,0)</f>
        <v>0</v>
      </c>
      <c r="AJ163" s="117">
        <f>IF(AC163&gt;0,MAX(IF('FA Addition'!$N163="SLM",($AC163-'FA Addition'!$M163)*'FA Addition'!$P163*AI163/365,(AC163-'FA Addition'!$M163)*(1-(1-'FA Addition'!$P163)^(AI163/365))),0),0)</f>
        <v>0</v>
      </c>
      <c r="AL163" s="117">
        <f>MAX(IF(AG163&gt;0,IF('FA Addition'!$N163="SLM",($AE163-'FA Addition'!$M163)*'FA Addition'!$P163*AG163/365,IFERROR(VDB(AE163,AE163*0.05,'FA Addition'!$O163,0,YEARFRAC('FA Addition'!$C163,$P$1-1,3),'FA Addition'!$Q163),FAAddition[[#This Row],[Original Cost (Rs)]]-FAAddition[[#This Row],[Salvage Value]])),0),0)</f>
        <v>65835</v>
      </c>
      <c r="AM163" s="119"/>
      <c r="AN163" s="117">
        <f>MAX(IF(AH163&gt;0,IF('FA Addition'!$N163="SLM",($AF163-'FA Addition'!$M163)*'FA Addition'!$P163*AH163/365,IFERROR(VDB(AF163,AF163*0.05,'FA Addition'!$O163,0,YEARFRAC('FA Addition'!$C163,$L$1,3),'FA Addition'!$Q163),FAAddition[[#This Row],[Original Cost (Rs)]]-FAAddition[[#This Row],[Salvage Value]])),0),0)</f>
        <v>65835</v>
      </c>
      <c r="AO163" s="117">
        <f t="shared" si="13"/>
        <v>0</v>
      </c>
      <c r="AQ163" s="117">
        <f t="shared" si="11"/>
        <v>3465</v>
      </c>
      <c r="AR163" s="120">
        <f t="shared" si="12"/>
        <v>3465</v>
      </c>
      <c r="AS163" s="121"/>
    </row>
    <row r="164" spans="1:45" ht="13.5" x14ac:dyDescent="0.4">
      <c r="A164" s="12">
        <f t="shared" si="14"/>
        <v>161</v>
      </c>
      <c r="B164" s="44" t="s">
        <v>559</v>
      </c>
      <c r="C164" s="45">
        <v>42621</v>
      </c>
      <c r="D164" s="45">
        <v>42621</v>
      </c>
      <c r="E164" s="46" t="s">
        <v>32</v>
      </c>
      <c r="F164" s="44" t="s">
        <v>32</v>
      </c>
      <c r="G164" s="44" t="s">
        <v>572</v>
      </c>
      <c r="H164" s="44" t="s">
        <v>32</v>
      </c>
      <c r="I164" s="47" t="s">
        <v>623</v>
      </c>
      <c r="J164" s="48">
        <v>43</v>
      </c>
      <c r="K164" s="44" t="s">
        <v>624</v>
      </c>
      <c r="L164" s="52">
        <v>79955</v>
      </c>
      <c r="M164" s="50">
        <f>ROUND('FA Addition'!$L164*5%,0.1)</f>
        <v>3998</v>
      </c>
      <c r="N164" s="113" t="str">
        <f>_xlfn.XLOOKUP(_xlfn.CONCAT(E164,B164),'Year Wise Master Dep Approach'!F:F,'Year Wise Master Dep Approach'!D:D)</f>
        <v>WDV</v>
      </c>
      <c r="O164" s="113">
        <f>_xlfn.XLOOKUP(_xlfn.CONCAT(E164,B164),'Year Wise Master Dep Approach'!F:F,'Year Wise Master Dep Approach'!E:E)</f>
        <v>3</v>
      </c>
      <c r="P164" s="114">
        <f>IFERROR(IF('FA Addition'!$N164="WDV",1-('FA Addition'!$M164/'FA Addition'!$L164)^(1/'FA Addition'!$O164),1/'FA Addition'!$O164),0)</f>
        <v>0.63158917091075661</v>
      </c>
      <c r="Q164" s="122">
        <f>'FA Addition'!$P164*'FA Addition'!$O164</f>
        <v>1.8947675127322698</v>
      </c>
      <c r="R164" s="122"/>
      <c r="S164" s="116">
        <f>IF(AND(DATE(20&amp;LEFT(FAAddition[[#This Row],[FY]],2),4,1)&lt;$L$1+1,DATE(20&amp;LEFT(FAAddition[[#This Row],[FY]],2),4,1)&gt;$P$1-1),'FA Addition'!$J164,0)</f>
        <v>0</v>
      </c>
      <c r="U164" s="117">
        <f>S164*'FA Addition'!$L164/'FA Addition'!$J164</f>
        <v>0</v>
      </c>
      <c r="W164" s="116">
        <f>SUMIFS('FA Write off'!D:D,'FA Write off'!A:A,'FA Addition'!$A164,'FA Write off'!C:C,"&lt;"&amp;'FA Addition'!$P$1)</f>
        <v>5</v>
      </c>
      <c r="Y164" s="191">
        <f>IFERROR(W164/'FA Addition'!$J164*'FA Addition'!$L164,0)</f>
        <v>9297.093023255813</v>
      </c>
      <c r="AA164" s="116">
        <f>SUMIFS('FA Write off'!D:D,'FA Write off'!A:A,'FA Addition'!$A164,'FA Write off'!C:C,"&lt;"&amp;'FA Addition'!$L$1+1,'FA Write off'!C:C,"&gt;"&amp;'FA Addition'!$L$1-365)</f>
        <v>0</v>
      </c>
      <c r="AC164" s="191">
        <f>IFERROR(AA164/'FA Addition'!$J164*'FA Addition'!$L164,0)</f>
        <v>0</v>
      </c>
      <c r="AE164" s="117">
        <f>IF(AND('FA Addition'!$D164&lt;$P$1+1,U164=0),'FA Addition'!$L164,0)-Y164</f>
        <v>70657.906976744183</v>
      </c>
      <c r="AF164" s="117">
        <f t="shared" si="10"/>
        <v>70657.906976744183</v>
      </c>
      <c r="AG164" s="117">
        <f>MIN(MAX(+$P$1-'FA Addition'!$D164,0),365*'FA Addition'!$O164)</f>
        <v>1095</v>
      </c>
      <c r="AH164" s="117">
        <f>MIN(MAX($L$1-'FA Addition'!$D164+1,0),365*'FA Addition'!$O164)</f>
        <v>1095</v>
      </c>
      <c r="AI164" s="117" cm="1">
        <f t="array" ref="AI164">_xlfn.XLOOKUP(1,('FA Write off'!A:A='FA Addition'!$A164)*('FA Write off'!D:D=AA164),'FA Write off'!H:H,0,0)</f>
        <v>0</v>
      </c>
      <c r="AJ164" s="117">
        <f>IF(AC164&gt;0,MAX(IF('FA Addition'!$N164="SLM",($AC164-'FA Addition'!$M164)*'FA Addition'!$P164*AI164/365,(AC164-'FA Addition'!$M164)*(1-(1-'FA Addition'!$P164)^(AI164/365))),0),0)</f>
        <v>0</v>
      </c>
      <c r="AL164" s="117">
        <f>MAX(IF(AG164&gt;0,IF('FA Addition'!$N164="SLM",($AE164-'FA Addition'!$M164)*'FA Addition'!$P164*AG164/365,IFERROR(VDB(AE164,AE164*0.05,'FA Addition'!$O164,0,YEARFRAC('FA Addition'!$C164,$P$1-1,3),'FA Addition'!$Q164),FAAddition[[#This Row],[Original Cost (Rs)]]-FAAddition[[#This Row],[Salvage Value]])),0),0)</f>
        <v>75957</v>
      </c>
      <c r="AM164" s="119"/>
      <c r="AN164" s="117">
        <f>MAX(IF(AH164&gt;0,IF('FA Addition'!$N164="SLM",($AF164-'FA Addition'!$M164)*'FA Addition'!$P164*AH164/365,IFERROR(VDB(AF164,AF164*0.05,'FA Addition'!$O164,0,YEARFRAC('FA Addition'!$C164,$L$1,3),'FA Addition'!$Q164),FAAddition[[#This Row],[Original Cost (Rs)]]-FAAddition[[#This Row],[Salvage Value]])),0),0)</f>
        <v>75957</v>
      </c>
      <c r="AO164" s="117">
        <f t="shared" si="13"/>
        <v>0</v>
      </c>
      <c r="AQ164" s="117">
        <f t="shared" si="11"/>
        <v>-5299.0930232558167</v>
      </c>
      <c r="AR164" s="120">
        <f t="shared" si="12"/>
        <v>-5299.0930232558167</v>
      </c>
      <c r="AS164" s="121"/>
    </row>
    <row r="165" spans="1:45" ht="13.5" x14ac:dyDescent="0.4">
      <c r="A165" s="12">
        <f t="shared" si="14"/>
        <v>162</v>
      </c>
      <c r="B165" s="44" t="s">
        <v>559</v>
      </c>
      <c r="C165" s="45">
        <v>42621</v>
      </c>
      <c r="D165" s="45">
        <v>42621</v>
      </c>
      <c r="E165" s="46" t="s">
        <v>32</v>
      </c>
      <c r="F165" s="44" t="s">
        <v>32</v>
      </c>
      <c r="G165" s="44" t="s">
        <v>433</v>
      </c>
      <c r="H165" s="44" t="s">
        <v>32</v>
      </c>
      <c r="I165" s="47" t="s">
        <v>625</v>
      </c>
      <c r="J165" s="48">
        <v>240</v>
      </c>
      <c r="K165" s="44" t="s">
        <v>561</v>
      </c>
      <c r="L165" s="52">
        <v>267120</v>
      </c>
      <c r="M165" s="50">
        <f>ROUND('FA Addition'!$L165*5%,0.1)</f>
        <v>13356</v>
      </c>
      <c r="N165" s="113" t="str">
        <f>_xlfn.XLOOKUP(_xlfn.CONCAT(E165,B165),'Year Wise Master Dep Approach'!F:F,'Year Wise Master Dep Approach'!D:D)</f>
        <v>WDV</v>
      </c>
      <c r="O165" s="113">
        <f>_xlfn.XLOOKUP(_xlfn.CONCAT(E165,B165),'Year Wise Master Dep Approach'!F:F,'Year Wise Master Dep Approach'!E:E)</f>
        <v>3</v>
      </c>
      <c r="P165" s="114">
        <f>IFERROR(IF('FA Addition'!$N165="WDV",1-('FA Addition'!$M165/'FA Addition'!$L165)^(1/'FA Addition'!$O165),1/'FA Addition'!$O165),0)</f>
        <v>0.63159685013596123</v>
      </c>
      <c r="Q165" s="122">
        <f>'FA Addition'!$P165*'FA Addition'!$O165</f>
        <v>1.8947905504078837</v>
      </c>
      <c r="R165" s="122"/>
      <c r="S165" s="116">
        <f>IF(AND(DATE(20&amp;LEFT(FAAddition[[#This Row],[FY]],2),4,1)&lt;$L$1+1,DATE(20&amp;LEFT(FAAddition[[#This Row],[FY]],2),4,1)&gt;$P$1-1),'FA Addition'!$J165,0)</f>
        <v>0</v>
      </c>
      <c r="U165" s="117">
        <f>S165*'FA Addition'!$L165/'FA Addition'!$J165</f>
        <v>0</v>
      </c>
      <c r="W165" s="116">
        <f>SUMIFS('FA Write off'!D:D,'FA Write off'!A:A,'FA Addition'!$A165,'FA Write off'!C:C,"&lt;"&amp;'FA Addition'!$P$1)</f>
        <v>7</v>
      </c>
      <c r="Y165" s="191">
        <f>IFERROR(W165/'FA Addition'!$J165*'FA Addition'!$L165,0)</f>
        <v>7791</v>
      </c>
      <c r="AA165" s="116">
        <f>SUMIFS('FA Write off'!D:D,'FA Write off'!A:A,'FA Addition'!$A165,'FA Write off'!C:C,"&lt;"&amp;'FA Addition'!$L$1+1,'FA Write off'!C:C,"&gt;"&amp;'FA Addition'!$L$1-365)</f>
        <v>0</v>
      </c>
      <c r="AC165" s="191">
        <f>IFERROR(AA165/'FA Addition'!$J165*'FA Addition'!$L165,0)</f>
        <v>0</v>
      </c>
      <c r="AE165" s="117">
        <f>IF(AND('FA Addition'!$D165&lt;$P$1+1,U165=0),'FA Addition'!$L165,0)-Y165</f>
        <v>259329</v>
      </c>
      <c r="AF165" s="117">
        <f t="shared" si="10"/>
        <v>259329</v>
      </c>
      <c r="AG165" s="117">
        <f>MIN(MAX(+$P$1-'FA Addition'!$D165,0),365*'FA Addition'!$O165)</f>
        <v>1095</v>
      </c>
      <c r="AH165" s="117">
        <f>MIN(MAX($L$1-'FA Addition'!$D165+1,0),365*'FA Addition'!$O165)</f>
        <v>1095</v>
      </c>
      <c r="AI165" s="117" cm="1">
        <f t="array" ref="AI165">_xlfn.XLOOKUP(1,('FA Write off'!A:A='FA Addition'!$A165)*('FA Write off'!D:D=AA165),'FA Write off'!H:H,0,0)</f>
        <v>0</v>
      </c>
      <c r="AJ165" s="117">
        <f>IF(AC165&gt;0,MAX(IF('FA Addition'!$N165="SLM",($AC165-'FA Addition'!$M165)*'FA Addition'!$P165*AI165/365,(AC165-'FA Addition'!$M165)*(1-(1-'FA Addition'!$P165)^(AI165/365))),0),0)</f>
        <v>0</v>
      </c>
      <c r="AL165" s="117">
        <f>MAX(IF(AG165&gt;0,IF('FA Addition'!$N165="SLM",($AE165-'FA Addition'!$M165)*'FA Addition'!$P165*AG165/365,IFERROR(VDB(AE165,AE165*0.05,'FA Addition'!$O165,0,YEARFRAC('FA Addition'!$C165,$P$1-1,3),'FA Addition'!$Q165),FAAddition[[#This Row],[Original Cost (Rs)]]-FAAddition[[#This Row],[Salvage Value]])),0),0)</f>
        <v>253764</v>
      </c>
      <c r="AM165" s="119"/>
      <c r="AN165" s="117">
        <f>MAX(IF(AH165&gt;0,IF('FA Addition'!$N165="SLM",($AF165-'FA Addition'!$M165)*'FA Addition'!$P165*AH165/365,IFERROR(VDB(AF165,AF165*0.05,'FA Addition'!$O165,0,YEARFRAC('FA Addition'!$C165,$L$1,3),'FA Addition'!$Q165),FAAddition[[#This Row],[Original Cost (Rs)]]-FAAddition[[#This Row],[Salvage Value]])),0),0)</f>
        <v>253764</v>
      </c>
      <c r="AO165" s="117">
        <f t="shared" si="13"/>
        <v>0</v>
      </c>
      <c r="AQ165" s="117">
        <f t="shared" si="11"/>
        <v>5565</v>
      </c>
      <c r="AR165" s="120">
        <f t="shared" si="12"/>
        <v>5565</v>
      </c>
      <c r="AS165" s="121"/>
    </row>
    <row r="166" spans="1:45" ht="13.5" x14ac:dyDescent="0.4">
      <c r="A166" s="12">
        <f t="shared" si="14"/>
        <v>163</v>
      </c>
      <c r="B166" s="44" t="s">
        <v>559</v>
      </c>
      <c r="C166" s="45">
        <v>42625</v>
      </c>
      <c r="D166" s="45">
        <v>42625</v>
      </c>
      <c r="E166" s="46" t="s">
        <v>32</v>
      </c>
      <c r="F166" s="44" t="s">
        <v>32</v>
      </c>
      <c r="G166" s="44" t="s">
        <v>626</v>
      </c>
      <c r="H166" s="44" t="s">
        <v>173</v>
      </c>
      <c r="I166" s="47"/>
      <c r="J166" s="56">
        <v>1</v>
      </c>
      <c r="K166" s="44" t="s">
        <v>627</v>
      </c>
      <c r="L166" s="52">
        <v>8499.3700000000008</v>
      </c>
      <c r="M166" s="50">
        <f>ROUND('FA Addition'!$L166*5%,0.1)</f>
        <v>425</v>
      </c>
      <c r="N166" s="113" t="str">
        <f>_xlfn.XLOOKUP(_xlfn.CONCAT(E166,B166),'Year Wise Master Dep Approach'!F:F,'Year Wise Master Dep Approach'!D:D)</f>
        <v>WDV</v>
      </c>
      <c r="O166" s="113">
        <f>_xlfn.XLOOKUP(_xlfn.CONCAT(E166,B166),'Year Wise Master Dep Approach'!F:F,'Year Wise Master Dep Approach'!E:E)</f>
        <v>3</v>
      </c>
      <c r="P166" s="114">
        <f>IFERROR(IF('FA Addition'!$N166="WDV",1-('FA Addition'!$M166/'FA Addition'!$L166)^(1/'FA Addition'!$O166),1/'FA Addition'!$O166),0)</f>
        <v>0.63158774796132411</v>
      </c>
      <c r="Q166" s="122">
        <f>'FA Addition'!$P166*'FA Addition'!$O166</f>
        <v>1.8947632438839723</v>
      </c>
      <c r="R166" s="122"/>
      <c r="S166" s="116">
        <f>IF(AND(DATE(20&amp;LEFT(FAAddition[[#This Row],[FY]],2),4,1)&lt;$L$1+1,DATE(20&amp;LEFT(FAAddition[[#This Row],[FY]],2),4,1)&gt;$P$1-1),'FA Addition'!$J166,0)</f>
        <v>0</v>
      </c>
      <c r="U166" s="117">
        <f>S166*'FA Addition'!$L166/'FA Addition'!$J166</f>
        <v>0</v>
      </c>
      <c r="W166" s="116">
        <f>SUMIFS('FA Write off'!D:D,'FA Write off'!A:A,'FA Addition'!$A166,'FA Write off'!C:C,"&lt;"&amp;'FA Addition'!$P$1)</f>
        <v>0</v>
      </c>
      <c r="Y166" s="191">
        <f>IFERROR(W166/'FA Addition'!$J166*'FA Addition'!$L166,0)</f>
        <v>0</v>
      </c>
      <c r="AA166" s="116">
        <f>SUMIFS('FA Write off'!D:D,'FA Write off'!A:A,'FA Addition'!$A166,'FA Write off'!C:C,"&lt;"&amp;'FA Addition'!$L$1+1,'FA Write off'!C:C,"&gt;"&amp;'FA Addition'!$L$1-365)</f>
        <v>0</v>
      </c>
      <c r="AC166" s="118">
        <f>IFERROR(AA166/'FA Addition'!$J166*'FA Addition'!$L166,0)</f>
        <v>0</v>
      </c>
      <c r="AE166" s="117">
        <f>IF(AND('FA Addition'!$D166&lt;$P$1+1,U166=0),'FA Addition'!$L166,0)-Y166</f>
        <v>8499.3700000000008</v>
      </c>
      <c r="AF166" s="117">
        <f t="shared" si="10"/>
        <v>8499.3700000000008</v>
      </c>
      <c r="AG166" s="117">
        <f>MIN(MAX(+$P$1-'FA Addition'!$D166,0),365*'FA Addition'!$O166)</f>
        <v>1095</v>
      </c>
      <c r="AH166" s="117">
        <f>MIN(MAX($L$1-'FA Addition'!$D166+1,0),365*'FA Addition'!$O166)</f>
        <v>1095</v>
      </c>
      <c r="AI166" s="117" cm="1">
        <f t="array" ref="AI166">_xlfn.XLOOKUP(1,('FA Write off'!A:A='FA Addition'!$A166)*('FA Write off'!D:D=AA166),'FA Write off'!H:H,0,0)</f>
        <v>0</v>
      </c>
      <c r="AJ166" s="117">
        <f>IF(AC166&gt;0,MAX(IF('FA Addition'!$N166="SLM",($AC166-'FA Addition'!$M166)*'FA Addition'!$P166*AI166/365,(AC166-'FA Addition'!$M166)*(1-(1-'FA Addition'!$P166)^(AI166/365))),0),0)</f>
        <v>0</v>
      </c>
      <c r="AL166" s="117">
        <f>MAX(IF(AG166&gt;0,IF('FA Addition'!$N166="SLM",($AE166-'FA Addition'!$M166)*'FA Addition'!$P166*AG166/365,IFERROR(VDB(AE166,AE166*0.05,'FA Addition'!$O166,0,YEARFRAC('FA Addition'!$C166,$P$1-1,3),'FA Addition'!$Q166),FAAddition[[#This Row],[Original Cost (Rs)]]-FAAddition[[#This Row],[Salvage Value]])),0),0)</f>
        <v>8074.3700000000008</v>
      </c>
      <c r="AM166" s="119"/>
      <c r="AN166" s="117">
        <f>MAX(IF(AH166&gt;0,IF('FA Addition'!$N166="SLM",($AF166-'FA Addition'!$M166)*'FA Addition'!$P166*AH166/365,IFERROR(VDB(AF166,AF166*0.05,'FA Addition'!$O166,0,YEARFRAC('FA Addition'!$C166,$L$1,3),'FA Addition'!$Q166),FAAddition[[#This Row],[Original Cost (Rs)]]-FAAddition[[#This Row],[Salvage Value]])),0),0)</f>
        <v>8074.3700000000008</v>
      </c>
      <c r="AO166" s="117">
        <f t="shared" si="13"/>
        <v>0</v>
      </c>
      <c r="AQ166" s="117">
        <f t="shared" si="11"/>
        <v>425</v>
      </c>
      <c r="AR166" s="120">
        <f t="shared" si="12"/>
        <v>425</v>
      </c>
      <c r="AS166" s="121"/>
    </row>
    <row r="167" spans="1:45" ht="13.5" x14ac:dyDescent="0.4">
      <c r="A167" s="12">
        <f t="shared" si="14"/>
        <v>164</v>
      </c>
      <c r="B167" s="44" t="s">
        <v>559</v>
      </c>
      <c r="C167" s="45">
        <v>42627</v>
      </c>
      <c r="D167" s="45">
        <v>42627</v>
      </c>
      <c r="E167" s="46" t="s">
        <v>32</v>
      </c>
      <c r="F167" s="44" t="s">
        <v>32</v>
      </c>
      <c r="G167" s="44" t="s">
        <v>433</v>
      </c>
      <c r="H167" s="44" t="s">
        <v>32</v>
      </c>
      <c r="I167" s="47" t="s">
        <v>628</v>
      </c>
      <c r="J167" s="48">
        <v>180</v>
      </c>
      <c r="K167" s="44" t="s">
        <v>629</v>
      </c>
      <c r="L167" s="52">
        <v>200340</v>
      </c>
      <c r="M167" s="50">
        <f>ROUND('FA Addition'!$L167*5%,0.1)</f>
        <v>10017</v>
      </c>
      <c r="N167" s="113" t="str">
        <f>_xlfn.XLOOKUP(_xlfn.CONCAT(E167,B167),'Year Wise Master Dep Approach'!F:F,'Year Wise Master Dep Approach'!D:D)</f>
        <v>WDV</v>
      </c>
      <c r="O167" s="113">
        <f>_xlfn.XLOOKUP(_xlfn.CONCAT(E167,B167),'Year Wise Master Dep Approach'!F:F,'Year Wise Master Dep Approach'!E:E)</f>
        <v>3</v>
      </c>
      <c r="P167" s="114">
        <f>IFERROR(IF('FA Addition'!$N167="WDV",1-('FA Addition'!$M167/'FA Addition'!$L167)^(1/'FA Addition'!$O167),1/'FA Addition'!$O167),0)</f>
        <v>0.63159685013596123</v>
      </c>
      <c r="Q167" s="122">
        <f>'FA Addition'!$P167*'FA Addition'!$O167</f>
        <v>1.8947905504078837</v>
      </c>
      <c r="R167" s="122"/>
      <c r="S167" s="116">
        <f>IF(AND(DATE(20&amp;LEFT(FAAddition[[#This Row],[FY]],2),4,1)&lt;$L$1+1,DATE(20&amp;LEFT(FAAddition[[#This Row],[FY]],2),4,1)&gt;$P$1-1),'FA Addition'!$J167,0)</f>
        <v>0</v>
      </c>
      <c r="U167" s="117">
        <f>S167*'FA Addition'!$L167/'FA Addition'!$J167</f>
        <v>0</v>
      </c>
      <c r="W167" s="116">
        <f>SUMIFS('FA Write off'!D:D,'FA Write off'!A:A,'FA Addition'!$A167,'FA Write off'!C:C,"&lt;"&amp;'FA Addition'!$P$1)</f>
        <v>2</v>
      </c>
      <c r="Y167" s="191">
        <f>IFERROR(W167/'FA Addition'!$J167*'FA Addition'!$L167,0)</f>
        <v>2226</v>
      </c>
      <c r="AA167" s="116">
        <f>SUMIFS('FA Write off'!D:D,'FA Write off'!A:A,'FA Addition'!$A167,'FA Write off'!C:C,"&lt;"&amp;'FA Addition'!$L$1+1,'FA Write off'!C:C,"&gt;"&amp;'FA Addition'!$L$1-365)</f>
        <v>0</v>
      </c>
      <c r="AC167" s="191">
        <f>IFERROR(AA167/'FA Addition'!$J167*'FA Addition'!$L167,0)</f>
        <v>0</v>
      </c>
      <c r="AE167" s="117">
        <f>IF(AND('FA Addition'!$D167&lt;$P$1+1,U167=0),'FA Addition'!$L167,0)-Y167</f>
        <v>198114</v>
      </c>
      <c r="AF167" s="117">
        <f t="shared" si="10"/>
        <v>198114</v>
      </c>
      <c r="AG167" s="117">
        <f>MIN(MAX(+$P$1-'FA Addition'!$D167,0),365*'FA Addition'!$O167)</f>
        <v>1095</v>
      </c>
      <c r="AH167" s="117">
        <f>MIN(MAX($L$1-'FA Addition'!$D167+1,0),365*'FA Addition'!$O167)</f>
        <v>1095</v>
      </c>
      <c r="AI167" s="117" cm="1">
        <f t="array" ref="AI167">_xlfn.XLOOKUP(1,('FA Write off'!A:A='FA Addition'!$A167)*('FA Write off'!D:D=AA167),'FA Write off'!H:H,0,0)</f>
        <v>0</v>
      </c>
      <c r="AJ167" s="117">
        <f>IF(AC167&gt;0,MAX(IF('FA Addition'!$N167="SLM",($AC167-'FA Addition'!$M167)*'FA Addition'!$P167*AI167/365,(AC167-'FA Addition'!$M167)*(1-(1-'FA Addition'!$P167)^(AI167/365))),0),0)</f>
        <v>0</v>
      </c>
      <c r="AL167" s="117">
        <f>MAX(IF(AG167&gt;0,IF('FA Addition'!$N167="SLM",($AE167-'FA Addition'!$M167)*'FA Addition'!$P167*AG167/365,IFERROR(VDB(AE167,AE167*0.05,'FA Addition'!$O167,0,YEARFRAC('FA Addition'!$C167,$P$1-1,3),'FA Addition'!$Q167),FAAddition[[#This Row],[Original Cost (Rs)]]-FAAddition[[#This Row],[Salvage Value]])),0),0)</f>
        <v>190323</v>
      </c>
      <c r="AM167" s="119"/>
      <c r="AN167" s="117">
        <f>MAX(IF(AH167&gt;0,IF('FA Addition'!$N167="SLM",($AF167-'FA Addition'!$M167)*'FA Addition'!$P167*AH167/365,IFERROR(VDB(AF167,AF167*0.05,'FA Addition'!$O167,0,YEARFRAC('FA Addition'!$C167,$L$1,3),'FA Addition'!$Q167),FAAddition[[#This Row],[Original Cost (Rs)]]-FAAddition[[#This Row],[Salvage Value]])),0),0)</f>
        <v>190323</v>
      </c>
      <c r="AO167" s="117">
        <f t="shared" si="13"/>
        <v>0</v>
      </c>
      <c r="AQ167" s="117">
        <f t="shared" si="11"/>
        <v>7791</v>
      </c>
      <c r="AR167" s="120">
        <f t="shared" si="12"/>
        <v>7791</v>
      </c>
      <c r="AS167" s="121"/>
    </row>
    <row r="168" spans="1:45" ht="13.5" x14ac:dyDescent="0.4">
      <c r="A168" s="12">
        <f t="shared" si="14"/>
        <v>165</v>
      </c>
      <c r="B168" s="44" t="s">
        <v>559</v>
      </c>
      <c r="C168" s="45">
        <v>42628</v>
      </c>
      <c r="D168" s="45">
        <v>42628</v>
      </c>
      <c r="E168" s="46" t="s">
        <v>32</v>
      </c>
      <c r="F168" s="44" t="s">
        <v>32</v>
      </c>
      <c r="G168" s="44" t="s">
        <v>433</v>
      </c>
      <c r="H168" s="44" t="s">
        <v>32</v>
      </c>
      <c r="I168" s="47" t="s">
        <v>630</v>
      </c>
      <c r="J168" s="48">
        <v>120</v>
      </c>
      <c r="K168" s="44" t="s">
        <v>561</v>
      </c>
      <c r="L168" s="52">
        <v>136710</v>
      </c>
      <c r="M168" s="50">
        <f>ROUND('FA Addition'!$L168*5%,0.1)</f>
        <v>6836</v>
      </c>
      <c r="N168" s="113" t="str">
        <f>_xlfn.XLOOKUP(_xlfn.CONCAT(E168,B168),'Year Wise Master Dep Approach'!F:F,'Year Wise Master Dep Approach'!D:D)</f>
        <v>WDV</v>
      </c>
      <c r="O168" s="113">
        <f>_xlfn.XLOOKUP(_xlfn.CONCAT(E168,B168),'Year Wise Master Dep Approach'!F:F,'Year Wise Master Dep Approach'!E:E)</f>
        <v>3</v>
      </c>
      <c r="P168" s="114">
        <f>IFERROR(IF('FA Addition'!$N168="WDV",1-('FA Addition'!$M168/'FA Addition'!$L168)^(1/'FA Addition'!$O168),1/'FA Addition'!$O168),0)</f>
        <v>0.63158786776043074</v>
      </c>
      <c r="Q168" s="122">
        <f>'FA Addition'!$P168*'FA Addition'!$O168</f>
        <v>1.8947636032812922</v>
      </c>
      <c r="R168" s="122"/>
      <c r="S168" s="116">
        <f>IF(AND(DATE(20&amp;LEFT(FAAddition[[#This Row],[FY]],2),4,1)&lt;$L$1+1,DATE(20&amp;LEFT(FAAddition[[#This Row],[FY]],2),4,1)&gt;$P$1-1),'FA Addition'!$J168,0)</f>
        <v>0</v>
      </c>
      <c r="U168" s="117">
        <f>S168*'FA Addition'!$L168/'FA Addition'!$J168</f>
        <v>0</v>
      </c>
      <c r="W168" s="116">
        <f>SUMIFS('FA Write off'!D:D,'FA Write off'!A:A,'FA Addition'!$A168,'FA Write off'!C:C,"&lt;"&amp;'FA Addition'!$P$1)</f>
        <v>0</v>
      </c>
      <c r="Y168" s="191">
        <f>IFERROR(W168/'FA Addition'!$J168*'FA Addition'!$L168,0)</f>
        <v>0</v>
      </c>
      <c r="AA168" s="116">
        <f>SUMIFS('FA Write off'!D:D,'FA Write off'!A:A,'FA Addition'!$A168,'FA Write off'!C:C,"&lt;"&amp;'FA Addition'!$L$1+1,'FA Write off'!C:C,"&gt;"&amp;'FA Addition'!$L$1-365)</f>
        <v>115</v>
      </c>
      <c r="AC168" s="117">
        <f>IFERROR(AA168/'FA Addition'!$J168*'FA Addition'!$L168,0)</f>
        <v>131013.75</v>
      </c>
      <c r="AE168" s="117">
        <f>IF(AND('FA Addition'!$D168&lt;$P$1+1,U168=0),'FA Addition'!$L168,0)-Y168</f>
        <v>136710</v>
      </c>
      <c r="AF168" s="117">
        <f t="shared" si="10"/>
        <v>5696.25</v>
      </c>
      <c r="AG168" s="117">
        <f>MIN(MAX(+$P$1-'FA Addition'!$D168,0),365*'FA Addition'!$O168)</f>
        <v>1095</v>
      </c>
      <c r="AH168" s="117">
        <f>MIN(MAX($L$1-'FA Addition'!$D168+1,0),365*'FA Addition'!$O168)</f>
        <v>1095</v>
      </c>
      <c r="AI168" s="117" cm="1">
        <f t="array" ref="AI168">_xlfn.XLOOKUP(1,('FA Write off'!A:A='FA Addition'!$A168)*('FA Write off'!D:D=AA168),'FA Write off'!H:H,0,0)</f>
        <v>1095</v>
      </c>
      <c r="AJ168" s="117">
        <f>IF(AC168&gt;0,MAX(IF('FA Addition'!$N168="SLM",($AC168-'FA Addition'!$M168)*'FA Addition'!$P168*AI168/365,(AC168-'FA Addition'!$M168)*(1-(1-'FA Addition'!$P168)^(AI168/365))),0),0)</f>
        <v>117968.40833516202</v>
      </c>
      <c r="AL168" s="117">
        <f>MAX(IF(AG168&gt;0,IF('FA Addition'!$N168="SLM",($AE168-'FA Addition'!$M168)*'FA Addition'!$P168*AG168/365,IFERROR(VDB(AE168,AE168*0.05,'FA Addition'!$O168,0,YEARFRAC('FA Addition'!$C168,$P$1-1,3),'FA Addition'!$Q168),FAAddition[[#This Row],[Original Cost (Rs)]]-FAAddition[[#This Row],[Salvage Value]])),0),0)</f>
        <v>129874</v>
      </c>
      <c r="AM168" s="119"/>
      <c r="AN168" s="117">
        <f>MAX(IF(AH168&gt;0,IF('FA Addition'!$N168="SLM",($AF168-'FA Addition'!$M168)*'FA Addition'!$P168*AH168/365,IFERROR(VDB(AF168,AF168*0.05,'FA Addition'!$O168,0,YEARFRAC('FA Addition'!$C168,$L$1,3),'FA Addition'!$Q168),FAAddition[[#This Row],[Original Cost (Rs)]]-FAAddition[[#This Row],[Salvage Value]])),0),0)</f>
        <v>129874</v>
      </c>
      <c r="AO168" s="117">
        <f t="shared" si="13"/>
        <v>117968.40833516202</v>
      </c>
      <c r="AQ168" s="117">
        <f t="shared" si="11"/>
        <v>6836</v>
      </c>
      <c r="AR168" s="120">
        <f t="shared" si="12"/>
        <v>-124177.75</v>
      </c>
      <c r="AS168" s="121"/>
    </row>
    <row r="169" spans="1:45" ht="13.5" x14ac:dyDescent="0.4">
      <c r="A169" s="12">
        <f t="shared" si="14"/>
        <v>166</v>
      </c>
      <c r="B169" s="44" t="s">
        <v>559</v>
      </c>
      <c r="C169" s="45">
        <v>42629</v>
      </c>
      <c r="D169" s="45">
        <v>42629</v>
      </c>
      <c r="E169" s="46" t="s">
        <v>32</v>
      </c>
      <c r="F169" s="44" t="s">
        <v>32</v>
      </c>
      <c r="G169" s="44" t="s">
        <v>433</v>
      </c>
      <c r="H169" s="44" t="s">
        <v>32</v>
      </c>
      <c r="I169" s="47" t="s">
        <v>631</v>
      </c>
      <c r="J169" s="48">
        <v>140</v>
      </c>
      <c r="K169" s="44" t="s">
        <v>567</v>
      </c>
      <c r="L169" s="52">
        <v>448350</v>
      </c>
      <c r="M169" s="50">
        <f>ROUND('FA Addition'!$L169*5%,0.1)</f>
        <v>22418</v>
      </c>
      <c r="N169" s="113" t="str">
        <f>_xlfn.XLOOKUP(_xlfn.CONCAT(E169,B169),'Year Wise Master Dep Approach'!F:F,'Year Wise Master Dep Approach'!D:D)</f>
        <v>WDV</v>
      </c>
      <c r="O169" s="113">
        <f>_xlfn.XLOOKUP(_xlfn.CONCAT(E169,B169),'Year Wise Master Dep Approach'!F:F,'Year Wise Master Dep Approach'!E:E)</f>
        <v>3</v>
      </c>
      <c r="P169" s="114">
        <f>IFERROR(IF('FA Addition'!$N169="WDV",1-('FA Addition'!$M169/'FA Addition'!$L169)^(1/'FA Addition'!$O169),1/'FA Addition'!$O169),0)</f>
        <v>0.63159411120126785</v>
      </c>
      <c r="Q169" s="122">
        <f>'FA Addition'!$P169*'FA Addition'!$O169</f>
        <v>1.8947823336038034</v>
      </c>
      <c r="R169" s="122"/>
      <c r="S169" s="116">
        <f>IF(AND(DATE(20&amp;LEFT(FAAddition[[#This Row],[FY]],2),4,1)&lt;$L$1+1,DATE(20&amp;LEFT(FAAddition[[#This Row],[FY]],2),4,1)&gt;$P$1-1),'FA Addition'!$J169,0)</f>
        <v>0</v>
      </c>
      <c r="U169" s="117">
        <f>S169*'FA Addition'!$L169/'FA Addition'!$J169</f>
        <v>0</v>
      </c>
      <c r="W169" s="116">
        <f>SUMIFS('FA Write off'!D:D,'FA Write off'!A:A,'FA Addition'!$A169,'FA Write off'!C:C,"&lt;"&amp;'FA Addition'!$P$1)</f>
        <v>1</v>
      </c>
      <c r="Y169" s="191">
        <f>IFERROR(W169/'FA Addition'!$J169*'FA Addition'!$L169,0)</f>
        <v>3202.5</v>
      </c>
      <c r="AA169" s="116">
        <f>SUMIFS('FA Write off'!D:D,'FA Write off'!A:A,'FA Addition'!$A169,'FA Write off'!C:C,"&lt;"&amp;'FA Addition'!$L$1+1,'FA Write off'!C:C,"&gt;"&amp;'FA Addition'!$L$1-365)</f>
        <v>0</v>
      </c>
      <c r="AC169" s="191">
        <f>IFERROR(AA169/'FA Addition'!$J169*'FA Addition'!$L169,0)</f>
        <v>0</v>
      </c>
      <c r="AE169" s="117">
        <f>IF(AND('FA Addition'!$D169&lt;$P$1+1,U169=0),'FA Addition'!$L169,0)-Y169</f>
        <v>445147.5</v>
      </c>
      <c r="AF169" s="117">
        <f t="shared" si="10"/>
        <v>445147.5</v>
      </c>
      <c r="AG169" s="117">
        <f>MIN(MAX(+$P$1-'FA Addition'!$D169,0),365*'FA Addition'!$O169)</f>
        <v>1095</v>
      </c>
      <c r="AH169" s="117">
        <f>MIN(MAX($L$1-'FA Addition'!$D169+1,0),365*'FA Addition'!$O169)</f>
        <v>1095</v>
      </c>
      <c r="AI169" s="117" cm="1">
        <f t="array" ref="AI169">_xlfn.XLOOKUP(1,('FA Write off'!A:A='FA Addition'!$A169)*('FA Write off'!D:D=AA169),'FA Write off'!H:H,0,0)</f>
        <v>0</v>
      </c>
      <c r="AJ169" s="117">
        <f>IF(AC169&gt;0,MAX(IF('FA Addition'!$N169="SLM",($AC169-'FA Addition'!$M169)*'FA Addition'!$P169*AI169/365,(AC169-'FA Addition'!$M169)*(1-(1-'FA Addition'!$P169)^(AI169/365))),0),0)</f>
        <v>0</v>
      </c>
      <c r="AL169" s="117">
        <f>MAX(IF(AG169&gt;0,IF('FA Addition'!$N169="SLM",($AE169-'FA Addition'!$M169)*'FA Addition'!$P169*AG169/365,IFERROR(VDB(AE169,AE169*0.05,'FA Addition'!$O169,0,YEARFRAC('FA Addition'!$C169,$P$1-1,3),'FA Addition'!$Q169),FAAddition[[#This Row],[Original Cost (Rs)]]-FAAddition[[#This Row],[Salvage Value]])),0),0)</f>
        <v>425932</v>
      </c>
      <c r="AM169" s="119"/>
      <c r="AN169" s="117">
        <f>MAX(IF(AH169&gt;0,IF('FA Addition'!$N169="SLM",($AF169-'FA Addition'!$M169)*'FA Addition'!$P169*AH169/365,IFERROR(VDB(AF169,AF169*0.05,'FA Addition'!$O169,0,YEARFRAC('FA Addition'!$C169,$L$1,3),'FA Addition'!$Q169),FAAddition[[#This Row],[Original Cost (Rs)]]-FAAddition[[#This Row],[Salvage Value]])),0),0)</f>
        <v>425932</v>
      </c>
      <c r="AO169" s="117">
        <f t="shared" si="13"/>
        <v>0</v>
      </c>
      <c r="AQ169" s="117">
        <f t="shared" si="11"/>
        <v>19215.5</v>
      </c>
      <c r="AR169" s="120">
        <f t="shared" si="12"/>
        <v>19215.5</v>
      </c>
      <c r="AS169" s="121"/>
    </row>
    <row r="170" spans="1:45" ht="13.5" x14ac:dyDescent="0.4">
      <c r="A170" s="12">
        <f t="shared" si="14"/>
        <v>167</v>
      </c>
      <c r="B170" s="44" t="s">
        <v>559</v>
      </c>
      <c r="C170" s="45">
        <v>42629</v>
      </c>
      <c r="D170" s="45">
        <v>42629</v>
      </c>
      <c r="E170" s="46" t="s">
        <v>32</v>
      </c>
      <c r="F170" s="44" t="s">
        <v>32</v>
      </c>
      <c r="G170" s="44" t="s">
        <v>433</v>
      </c>
      <c r="H170" s="44" t="s">
        <v>32</v>
      </c>
      <c r="I170" s="47" t="s">
        <v>632</v>
      </c>
      <c r="J170" s="48">
        <v>40</v>
      </c>
      <c r="K170" s="44" t="s">
        <v>567</v>
      </c>
      <c r="L170" s="52">
        <v>129360</v>
      </c>
      <c r="M170" s="50">
        <f>ROUND('FA Addition'!$L170*5%,0.1)</f>
        <v>6468</v>
      </c>
      <c r="N170" s="113" t="str">
        <f>_xlfn.XLOOKUP(_xlfn.CONCAT(E170,B170),'Year Wise Master Dep Approach'!F:F,'Year Wise Master Dep Approach'!D:D)</f>
        <v>WDV</v>
      </c>
      <c r="O170" s="113">
        <f>_xlfn.XLOOKUP(_xlfn.CONCAT(E170,B170),'Year Wise Master Dep Approach'!F:F,'Year Wise Master Dep Approach'!E:E)</f>
        <v>3</v>
      </c>
      <c r="P170" s="114">
        <f>IFERROR(IF('FA Addition'!$N170="WDV",1-('FA Addition'!$M170/'FA Addition'!$L170)^(1/'FA Addition'!$O170),1/'FA Addition'!$O170),0)</f>
        <v>0.63159685013596123</v>
      </c>
      <c r="Q170" s="122">
        <f>'FA Addition'!$P170*'FA Addition'!$O170</f>
        <v>1.8947905504078837</v>
      </c>
      <c r="R170" s="122"/>
      <c r="S170" s="116">
        <f>IF(AND(DATE(20&amp;LEFT(FAAddition[[#This Row],[FY]],2),4,1)&lt;$L$1+1,DATE(20&amp;LEFT(FAAddition[[#This Row],[FY]],2),4,1)&gt;$P$1-1),'FA Addition'!$J170,0)</f>
        <v>0</v>
      </c>
      <c r="U170" s="117">
        <f>S170*'FA Addition'!$L170/'FA Addition'!$J170</f>
        <v>0</v>
      </c>
      <c r="W170" s="116">
        <f>SUMIFS('FA Write off'!D:D,'FA Write off'!A:A,'FA Addition'!$A170,'FA Write off'!C:C,"&lt;"&amp;'FA Addition'!$P$1)</f>
        <v>0</v>
      </c>
      <c r="Y170" s="191">
        <f>IFERROR(W170/'FA Addition'!$J170*'FA Addition'!$L170,0)</f>
        <v>0</v>
      </c>
      <c r="AA170" s="116">
        <f>SUMIFS('FA Write off'!D:D,'FA Write off'!A:A,'FA Addition'!$A170,'FA Write off'!C:C,"&lt;"&amp;'FA Addition'!$L$1+1,'FA Write off'!C:C,"&gt;"&amp;'FA Addition'!$L$1-365)</f>
        <v>0</v>
      </c>
      <c r="AC170" s="118">
        <f>IFERROR(AA170/'FA Addition'!$J170*'FA Addition'!$L170,0)</f>
        <v>0</v>
      </c>
      <c r="AE170" s="117">
        <f>IF(AND('FA Addition'!$D170&lt;$P$1+1,U170=0),'FA Addition'!$L170,0)-Y170</f>
        <v>129360</v>
      </c>
      <c r="AF170" s="117">
        <f t="shared" si="10"/>
        <v>129360</v>
      </c>
      <c r="AG170" s="117">
        <f>MIN(MAX(+$P$1-'FA Addition'!$D170,0),365*'FA Addition'!$O170)</f>
        <v>1095</v>
      </c>
      <c r="AH170" s="117">
        <f>MIN(MAX($L$1-'FA Addition'!$D170+1,0),365*'FA Addition'!$O170)</f>
        <v>1095</v>
      </c>
      <c r="AI170" s="117" cm="1">
        <f t="array" ref="AI170">_xlfn.XLOOKUP(1,('FA Write off'!A:A='FA Addition'!$A170)*('FA Write off'!D:D=AA170),'FA Write off'!H:H,0,0)</f>
        <v>0</v>
      </c>
      <c r="AJ170" s="117">
        <f>IF(AC170&gt;0,MAX(IF('FA Addition'!$N170="SLM",($AC170-'FA Addition'!$M170)*'FA Addition'!$P170*AI170/365,(AC170-'FA Addition'!$M170)*(1-(1-'FA Addition'!$P170)^(AI170/365))),0),0)</f>
        <v>0</v>
      </c>
      <c r="AL170" s="117">
        <f>MAX(IF(AG170&gt;0,IF('FA Addition'!$N170="SLM",($AE170-'FA Addition'!$M170)*'FA Addition'!$P170*AG170/365,IFERROR(VDB(AE170,AE170*0.05,'FA Addition'!$O170,0,YEARFRAC('FA Addition'!$C170,$P$1-1,3),'FA Addition'!$Q170),FAAddition[[#This Row],[Original Cost (Rs)]]-FAAddition[[#This Row],[Salvage Value]])),0),0)</f>
        <v>122892</v>
      </c>
      <c r="AM170" s="119"/>
      <c r="AN170" s="117">
        <f>MAX(IF(AH170&gt;0,IF('FA Addition'!$N170="SLM",($AF170-'FA Addition'!$M170)*'FA Addition'!$P170*AH170/365,IFERROR(VDB(AF170,AF170*0.05,'FA Addition'!$O170,0,YEARFRAC('FA Addition'!$C170,$L$1,3),'FA Addition'!$Q170),FAAddition[[#This Row],[Original Cost (Rs)]]-FAAddition[[#This Row],[Salvage Value]])),0),0)</f>
        <v>122892</v>
      </c>
      <c r="AO170" s="117">
        <f t="shared" si="13"/>
        <v>0</v>
      </c>
      <c r="AQ170" s="117">
        <f t="shared" si="11"/>
        <v>6468</v>
      </c>
      <c r="AR170" s="120">
        <f t="shared" si="12"/>
        <v>6468</v>
      </c>
      <c r="AS170" s="121"/>
    </row>
    <row r="171" spans="1:45" ht="13.5" x14ac:dyDescent="0.4">
      <c r="A171" s="12">
        <f t="shared" si="14"/>
        <v>168</v>
      </c>
      <c r="B171" s="51" t="s">
        <v>559</v>
      </c>
      <c r="C171" s="54">
        <v>42632</v>
      </c>
      <c r="D171" s="54">
        <v>42632</v>
      </c>
      <c r="E171" s="46" t="s">
        <v>32</v>
      </c>
      <c r="F171" s="51" t="s">
        <v>32</v>
      </c>
      <c r="G171" s="51" t="s">
        <v>433</v>
      </c>
      <c r="H171" s="51" t="s">
        <v>32</v>
      </c>
      <c r="I171" s="55" t="s">
        <v>633</v>
      </c>
      <c r="J171" s="56">
        <v>211</v>
      </c>
      <c r="K171" s="51" t="s">
        <v>634</v>
      </c>
      <c r="L171" s="58">
        <v>241605</v>
      </c>
      <c r="M171" s="50">
        <f>ROUND('FA Addition'!$L171*5%,0.1)</f>
        <v>12080</v>
      </c>
      <c r="N171" s="113" t="str">
        <f>_xlfn.XLOOKUP(_xlfn.CONCAT(E171,B171),'Year Wise Master Dep Approach'!F:F,'Year Wise Master Dep Approach'!D:D)</f>
        <v>WDV</v>
      </c>
      <c r="O171" s="113">
        <f>_xlfn.XLOOKUP(_xlfn.CONCAT(E171,B171),'Year Wise Master Dep Approach'!F:F,'Year Wise Master Dep Approach'!E:E)</f>
        <v>3</v>
      </c>
      <c r="P171" s="114">
        <f>IFERROR(IF('FA Addition'!$N171="WDV",1-('FA Addition'!$M171/'FA Addition'!$L171)^(1/'FA Addition'!$O171),1/'FA Addition'!$O171),0)</f>
        <v>0.63159939151335598</v>
      </c>
      <c r="Q171" s="122">
        <f>'FA Addition'!$P171*'FA Addition'!$O171</f>
        <v>1.8947981745400679</v>
      </c>
      <c r="R171" s="122"/>
      <c r="S171" s="116">
        <f>IF(AND(DATE(20&amp;LEFT(FAAddition[[#This Row],[FY]],2),4,1)&lt;$L$1+1,DATE(20&amp;LEFT(FAAddition[[#This Row],[FY]],2),4,1)&gt;$P$1-1),'FA Addition'!$J171,0)</f>
        <v>0</v>
      </c>
      <c r="U171" s="117">
        <f>S171*'FA Addition'!$L171/'FA Addition'!$J171</f>
        <v>0</v>
      </c>
      <c r="W171" s="116">
        <f>SUMIFS('FA Write off'!D:D,'FA Write off'!A:A,'FA Addition'!$A171,'FA Write off'!C:C,"&lt;"&amp;'FA Addition'!$P$1)</f>
        <v>6</v>
      </c>
      <c r="Y171" s="191">
        <f>IFERROR(W171/'FA Addition'!$J171*'FA Addition'!$L171,0)</f>
        <v>6870.2843601895729</v>
      </c>
      <c r="AA171" s="116">
        <f>SUMIFS('FA Write off'!D:D,'FA Write off'!A:A,'FA Addition'!$A171,'FA Write off'!C:C,"&lt;"&amp;'FA Addition'!$L$1+1,'FA Write off'!C:C,"&gt;"&amp;'FA Addition'!$L$1-365)</f>
        <v>0</v>
      </c>
      <c r="AC171" s="191">
        <f>IFERROR(AA171/'FA Addition'!$J171*'FA Addition'!$L171,0)</f>
        <v>0</v>
      </c>
      <c r="AE171" s="117">
        <f>IF(AND('FA Addition'!$D171&lt;$P$1+1,U171=0),'FA Addition'!$L171,0)-Y171</f>
        <v>234734.71563981043</v>
      </c>
      <c r="AF171" s="117">
        <f t="shared" si="10"/>
        <v>234734.71563981043</v>
      </c>
      <c r="AG171" s="117">
        <f>MIN(MAX(+$P$1-'FA Addition'!$D171,0),365*'FA Addition'!$O171)</f>
        <v>1095</v>
      </c>
      <c r="AH171" s="117">
        <f>MIN(MAX($L$1-'FA Addition'!$D171+1,0),365*'FA Addition'!$O171)</f>
        <v>1095</v>
      </c>
      <c r="AI171" s="117" cm="1">
        <f t="array" ref="AI171">_xlfn.XLOOKUP(1,('FA Write off'!A:A='FA Addition'!$A171)*('FA Write off'!D:D=AA171),'FA Write off'!H:H,0,0)</f>
        <v>0</v>
      </c>
      <c r="AJ171" s="117">
        <f>IF(AC171&gt;0,MAX(IF('FA Addition'!$N171="SLM",($AC171-'FA Addition'!$M171)*'FA Addition'!$P171*AI171/365,(AC171-'FA Addition'!$M171)*(1-(1-'FA Addition'!$P171)^(AI171/365))),0),0)</f>
        <v>0</v>
      </c>
      <c r="AL171" s="117">
        <f>MAX(IF(AG171&gt;0,IF('FA Addition'!$N171="SLM",($AE171-'FA Addition'!$M171)*'FA Addition'!$P171*AG171/365,IFERROR(VDB(AE171,AE171*0.05,'FA Addition'!$O171,0,YEARFRAC('FA Addition'!$C171,$P$1-1,3),'FA Addition'!$Q171),FAAddition[[#This Row],[Original Cost (Rs)]]-FAAddition[[#This Row],[Salvage Value]])),0),0)</f>
        <v>229525</v>
      </c>
      <c r="AM171" s="119"/>
      <c r="AN171" s="117">
        <f>MAX(IF(AH171&gt;0,IF('FA Addition'!$N171="SLM",($AF171-'FA Addition'!$M171)*'FA Addition'!$P171*AH171/365,IFERROR(VDB(AF171,AF171*0.05,'FA Addition'!$O171,0,YEARFRAC('FA Addition'!$C171,$L$1,3),'FA Addition'!$Q171),FAAddition[[#This Row],[Original Cost (Rs)]]-FAAddition[[#This Row],[Salvage Value]])),0),0)</f>
        <v>229525</v>
      </c>
      <c r="AO171" s="117">
        <f t="shared" si="13"/>
        <v>0</v>
      </c>
      <c r="AQ171" s="117">
        <f t="shared" si="11"/>
        <v>5209.7156398104271</v>
      </c>
      <c r="AR171" s="120">
        <f t="shared" si="12"/>
        <v>5209.7156398104271</v>
      </c>
      <c r="AS171" s="121"/>
    </row>
    <row r="172" spans="1:45" ht="13.5" x14ac:dyDescent="0.4">
      <c r="A172" s="12">
        <f t="shared" si="14"/>
        <v>169</v>
      </c>
      <c r="B172" s="44" t="s">
        <v>559</v>
      </c>
      <c r="C172" s="45">
        <v>42639</v>
      </c>
      <c r="D172" s="45">
        <v>42639</v>
      </c>
      <c r="E172" s="46" t="s">
        <v>32</v>
      </c>
      <c r="F172" s="44" t="s">
        <v>32</v>
      </c>
      <c r="G172" s="44" t="s">
        <v>433</v>
      </c>
      <c r="H172" s="44" t="s">
        <v>32</v>
      </c>
      <c r="I172" s="47" t="s">
        <v>635</v>
      </c>
      <c r="J172" s="48">
        <v>50</v>
      </c>
      <c r="K172" s="44" t="s">
        <v>600</v>
      </c>
      <c r="L172" s="52">
        <v>51188</v>
      </c>
      <c r="M172" s="50">
        <f>ROUND('FA Addition'!$L172*5%,0.1)</f>
        <v>2559</v>
      </c>
      <c r="N172" s="113" t="str">
        <f>_xlfn.XLOOKUP(_xlfn.CONCAT(E172,B172),'Year Wise Master Dep Approach'!F:F,'Year Wise Master Dep Approach'!D:D)</f>
        <v>WDV</v>
      </c>
      <c r="O172" s="113">
        <f>_xlfn.XLOOKUP(_xlfn.CONCAT(E172,B172),'Year Wise Master Dep Approach'!F:F,'Year Wise Master Dep Approach'!E:E)</f>
        <v>3</v>
      </c>
      <c r="P172" s="114">
        <f>IFERROR(IF('FA Addition'!$N172="WDV",1-('FA Addition'!$M172/'FA Addition'!$L172)^(1/'FA Addition'!$O172),1/'FA Addition'!$O172),0)</f>
        <v>0.63161604329809262</v>
      </c>
      <c r="Q172" s="122">
        <f>'FA Addition'!$P172*'FA Addition'!$O172</f>
        <v>1.8948481298942779</v>
      </c>
      <c r="R172" s="122"/>
      <c r="S172" s="116">
        <f>IF(AND(DATE(20&amp;LEFT(FAAddition[[#This Row],[FY]],2),4,1)&lt;$L$1+1,DATE(20&amp;LEFT(FAAddition[[#This Row],[FY]],2),4,1)&gt;$P$1-1),'FA Addition'!$J172,0)</f>
        <v>0</v>
      </c>
      <c r="U172" s="117">
        <f>S172*'FA Addition'!$L172/'FA Addition'!$J172</f>
        <v>0</v>
      </c>
      <c r="W172" s="116">
        <f>SUMIFS('FA Write off'!D:D,'FA Write off'!A:A,'FA Addition'!$A172,'FA Write off'!C:C,"&lt;"&amp;'FA Addition'!$P$1)</f>
        <v>1</v>
      </c>
      <c r="Y172" s="191">
        <f>IFERROR(W172/'FA Addition'!$J172*'FA Addition'!$L172,0)</f>
        <v>1023.76</v>
      </c>
      <c r="AA172" s="116">
        <f>SUMIFS('FA Write off'!D:D,'FA Write off'!A:A,'FA Addition'!$A172,'FA Write off'!C:C,"&lt;"&amp;'FA Addition'!$L$1+1,'FA Write off'!C:C,"&gt;"&amp;'FA Addition'!$L$1-365)</f>
        <v>0</v>
      </c>
      <c r="AC172" s="191">
        <f>IFERROR(AA172/'FA Addition'!$J172*'FA Addition'!$L172,0)</f>
        <v>0</v>
      </c>
      <c r="AE172" s="117">
        <f>IF(AND('FA Addition'!$D172&lt;$P$1+1,U172=0),'FA Addition'!$L172,0)-Y172</f>
        <v>50164.24</v>
      </c>
      <c r="AF172" s="117">
        <f t="shared" si="10"/>
        <v>50164.24</v>
      </c>
      <c r="AG172" s="117">
        <f>MIN(MAX(+$P$1-'FA Addition'!$D172,0),365*'FA Addition'!$O172)</f>
        <v>1095</v>
      </c>
      <c r="AH172" s="117">
        <f>MIN(MAX($L$1-'FA Addition'!$D172+1,0),365*'FA Addition'!$O172)</f>
        <v>1095</v>
      </c>
      <c r="AI172" s="117" cm="1">
        <f t="array" ref="AI172">_xlfn.XLOOKUP(1,('FA Write off'!A:A='FA Addition'!$A172)*('FA Write off'!D:D=AA172),'FA Write off'!H:H,0,0)</f>
        <v>0</v>
      </c>
      <c r="AJ172" s="117">
        <f>IF(AC172&gt;0,MAX(IF('FA Addition'!$N172="SLM",($AC172-'FA Addition'!$M172)*'FA Addition'!$P172*AI172/365,(AC172-'FA Addition'!$M172)*(1-(1-'FA Addition'!$P172)^(AI172/365))),0),0)</f>
        <v>0</v>
      </c>
      <c r="AL172" s="117">
        <f>MAX(IF(AG172&gt;0,IF('FA Addition'!$N172="SLM",($AE172-'FA Addition'!$M172)*'FA Addition'!$P172*AG172/365,IFERROR(VDB(AE172,AE172*0.05,'FA Addition'!$O172,0,YEARFRAC('FA Addition'!$C172,$P$1-1,3),'FA Addition'!$Q172),FAAddition[[#This Row],[Original Cost (Rs)]]-FAAddition[[#This Row],[Salvage Value]])),0),0)</f>
        <v>48629</v>
      </c>
      <c r="AM172" s="119"/>
      <c r="AN172" s="117">
        <f>MAX(IF(AH172&gt;0,IF('FA Addition'!$N172="SLM",($AF172-'FA Addition'!$M172)*'FA Addition'!$P172*AH172/365,IFERROR(VDB(AF172,AF172*0.05,'FA Addition'!$O172,0,YEARFRAC('FA Addition'!$C172,$L$1,3),'FA Addition'!$Q172),FAAddition[[#This Row],[Original Cost (Rs)]]-FAAddition[[#This Row],[Salvage Value]])),0),0)</f>
        <v>48629</v>
      </c>
      <c r="AO172" s="117">
        <f t="shared" si="13"/>
        <v>0</v>
      </c>
      <c r="AQ172" s="117">
        <f t="shared" si="11"/>
        <v>1535.239999999998</v>
      </c>
      <c r="AR172" s="120">
        <f t="shared" si="12"/>
        <v>1535.239999999998</v>
      </c>
      <c r="AS172" s="121"/>
    </row>
    <row r="173" spans="1:45" ht="13.5" x14ac:dyDescent="0.4">
      <c r="A173" s="12">
        <f t="shared" si="14"/>
        <v>170</v>
      </c>
      <c r="B173" s="44" t="s">
        <v>559</v>
      </c>
      <c r="C173" s="45">
        <v>42641</v>
      </c>
      <c r="D173" s="45">
        <v>42641</v>
      </c>
      <c r="E173" s="46" t="s">
        <v>451</v>
      </c>
      <c r="F173" s="44" t="s">
        <v>21</v>
      </c>
      <c r="G173" s="44" t="s">
        <v>597</v>
      </c>
      <c r="H173" s="44" t="s">
        <v>21</v>
      </c>
      <c r="I173" s="47"/>
      <c r="J173" s="56">
        <v>1</v>
      </c>
      <c r="K173" s="44" t="s">
        <v>636</v>
      </c>
      <c r="L173" s="52">
        <v>14922</v>
      </c>
      <c r="M173" s="50">
        <f>ROUND('FA Addition'!$L173*5%,0.1)</f>
        <v>746</v>
      </c>
      <c r="N173" s="113" t="str">
        <f>_xlfn.XLOOKUP(_xlfn.CONCAT(E173,B173),'Year Wise Master Dep Approach'!F:F,'Year Wise Master Dep Approach'!D:D)</f>
        <v>WDV</v>
      </c>
      <c r="O173" s="113">
        <f>_xlfn.XLOOKUP(_xlfn.CONCAT(E173,B173),'Year Wise Master Dep Approach'!F:F,'Year Wise Master Dep Approach'!E:E)</f>
        <v>3</v>
      </c>
      <c r="P173" s="114">
        <f>IFERROR(IF('FA Addition'!$N173="WDV",1-('FA Addition'!$M173/'FA Addition'!$L173)^(1/'FA Addition'!$O173),1/'FA Addition'!$O173),0)</f>
        <v>0.63161330993179521</v>
      </c>
      <c r="Q173" s="122">
        <f>'FA Addition'!$P173*'FA Addition'!$O173</f>
        <v>1.8948399297953857</v>
      </c>
      <c r="R173" s="122"/>
      <c r="S173" s="116">
        <f>IF(AND(DATE(20&amp;LEFT(FAAddition[[#This Row],[FY]],2),4,1)&lt;$L$1+1,DATE(20&amp;LEFT(FAAddition[[#This Row],[FY]],2),4,1)&gt;$P$1-1),'FA Addition'!$J173,0)</f>
        <v>0</v>
      </c>
      <c r="U173" s="117">
        <f>S173*'FA Addition'!$L173/'FA Addition'!$J173</f>
        <v>0</v>
      </c>
      <c r="W173" s="116">
        <f>SUMIFS('FA Write off'!D:D,'FA Write off'!A:A,'FA Addition'!$A173,'FA Write off'!C:C,"&lt;"&amp;'FA Addition'!$P$1)</f>
        <v>0</v>
      </c>
      <c r="Y173" s="191">
        <f>IFERROR(W173/'FA Addition'!$J173*'FA Addition'!$L173,0)</f>
        <v>0</v>
      </c>
      <c r="AA173" s="116">
        <f>SUMIFS('FA Write off'!D:D,'FA Write off'!A:A,'FA Addition'!$A173,'FA Write off'!C:C,"&lt;"&amp;'FA Addition'!$L$1+1,'FA Write off'!C:C,"&gt;"&amp;'FA Addition'!$L$1-365)</f>
        <v>0</v>
      </c>
      <c r="AC173" s="118">
        <f>IFERROR(AA173/'FA Addition'!$J173*'FA Addition'!$L173,0)</f>
        <v>0</v>
      </c>
      <c r="AE173" s="117">
        <f>IF(AND('FA Addition'!$D173&lt;$P$1+1,U173=0),'FA Addition'!$L173,0)-Y173</f>
        <v>14922</v>
      </c>
      <c r="AF173" s="117">
        <f t="shared" si="10"/>
        <v>14922</v>
      </c>
      <c r="AG173" s="117">
        <f>MIN(MAX(+$P$1-'FA Addition'!$D173,0),365*'FA Addition'!$O173)</f>
        <v>1095</v>
      </c>
      <c r="AH173" s="117">
        <f>MIN(MAX($L$1-'FA Addition'!$D173+1,0),365*'FA Addition'!$O173)</f>
        <v>1095</v>
      </c>
      <c r="AI173" s="117" cm="1">
        <f t="array" ref="AI173">_xlfn.XLOOKUP(1,('FA Write off'!A:A='FA Addition'!$A173)*('FA Write off'!D:D=AA173),'FA Write off'!H:H,0,0)</f>
        <v>0</v>
      </c>
      <c r="AJ173" s="117">
        <f>IF(AC173&gt;0,MAX(IF('FA Addition'!$N173="SLM",($AC173-'FA Addition'!$M173)*'FA Addition'!$P173*AI173/365,(AC173-'FA Addition'!$M173)*(1-(1-'FA Addition'!$P173)^(AI173/365))),0),0)</f>
        <v>0</v>
      </c>
      <c r="AL173" s="117">
        <f>MAX(IF(AG173&gt;0,IF('FA Addition'!$N173="SLM",($AE173-'FA Addition'!$M173)*'FA Addition'!$P173*AG173/365,IFERROR(VDB(AE173,AE173*0.05,'FA Addition'!$O173,0,YEARFRAC('FA Addition'!$C173,$P$1-1,3),'FA Addition'!$Q173),FAAddition[[#This Row],[Original Cost (Rs)]]-FAAddition[[#This Row],[Salvage Value]])),0),0)</f>
        <v>14176</v>
      </c>
      <c r="AM173" s="119"/>
      <c r="AN173" s="117">
        <f>MAX(IF(AH173&gt;0,IF('FA Addition'!$N173="SLM",($AF173-'FA Addition'!$M173)*'FA Addition'!$P173*AH173/365,IFERROR(VDB(AF173,AF173*0.05,'FA Addition'!$O173,0,YEARFRAC('FA Addition'!$C173,$L$1,3),'FA Addition'!$Q173),FAAddition[[#This Row],[Original Cost (Rs)]]-FAAddition[[#This Row],[Salvage Value]])),0),0)</f>
        <v>14176</v>
      </c>
      <c r="AO173" s="117">
        <f t="shared" si="13"/>
        <v>0</v>
      </c>
      <c r="AQ173" s="117">
        <f t="shared" si="11"/>
        <v>746</v>
      </c>
      <c r="AR173" s="120">
        <f t="shared" si="12"/>
        <v>746</v>
      </c>
      <c r="AS173" s="121"/>
    </row>
    <row r="174" spans="1:45" ht="13.5" x14ac:dyDescent="0.4">
      <c r="A174" s="12">
        <f t="shared" si="14"/>
        <v>171</v>
      </c>
      <c r="B174" s="44" t="s">
        <v>559</v>
      </c>
      <c r="C174" s="45">
        <v>42641</v>
      </c>
      <c r="D174" s="45">
        <v>42641</v>
      </c>
      <c r="E174" s="46" t="s">
        <v>451</v>
      </c>
      <c r="F174" s="44" t="s">
        <v>21</v>
      </c>
      <c r="G174" s="44" t="s">
        <v>597</v>
      </c>
      <c r="H174" s="44" t="s">
        <v>21</v>
      </c>
      <c r="I174" s="47"/>
      <c r="J174" s="56">
        <v>1</v>
      </c>
      <c r="K174" s="44" t="s">
        <v>636</v>
      </c>
      <c r="L174" s="52">
        <v>14922</v>
      </c>
      <c r="M174" s="50">
        <f>ROUND('FA Addition'!$L174*5%,0.1)</f>
        <v>746</v>
      </c>
      <c r="N174" s="113" t="str">
        <f>_xlfn.XLOOKUP(_xlfn.CONCAT(E174,B174),'Year Wise Master Dep Approach'!F:F,'Year Wise Master Dep Approach'!D:D)</f>
        <v>WDV</v>
      </c>
      <c r="O174" s="113">
        <f>_xlfn.XLOOKUP(_xlfn.CONCAT(E174,B174),'Year Wise Master Dep Approach'!F:F,'Year Wise Master Dep Approach'!E:E)</f>
        <v>3</v>
      </c>
      <c r="P174" s="114">
        <f>IFERROR(IF('FA Addition'!$N174="WDV",1-('FA Addition'!$M174/'FA Addition'!$L174)^(1/'FA Addition'!$O174),1/'FA Addition'!$O174),0)</f>
        <v>0.63161330993179521</v>
      </c>
      <c r="Q174" s="122">
        <f>'FA Addition'!$P174*'FA Addition'!$O174</f>
        <v>1.8948399297953857</v>
      </c>
      <c r="R174" s="122"/>
      <c r="S174" s="116">
        <f>IF(AND(DATE(20&amp;LEFT(FAAddition[[#This Row],[FY]],2),4,1)&lt;$L$1+1,DATE(20&amp;LEFT(FAAddition[[#This Row],[FY]],2),4,1)&gt;$P$1-1),'FA Addition'!$J174,0)</f>
        <v>0</v>
      </c>
      <c r="U174" s="117">
        <f>S174*'FA Addition'!$L174/'FA Addition'!$J174</f>
        <v>0</v>
      </c>
      <c r="W174" s="116">
        <f>SUMIFS('FA Write off'!D:D,'FA Write off'!A:A,'FA Addition'!$A174,'FA Write off'!C:C,"&lt;"&amp;'FA Addition'!$P$1)</f>
        <v>0</v>
      </c>
      <c r="Y174" s="191">
        <f>IFERROR(W174/'FA Addition'!$J174*'FA Addition'!$L174,0)</f>
        <v>0</v>
      </c>
      <c r="AA174" s="116">
        <f>SUMIFS('FA Write off'!D:D,'FA Write off'!A:A,'FA Addition'!$A174,'FA Write off'!C:C,"&lt;"&amp;'FA Addition'!$L$1+1,'FA Write off'!C:C,"&gt;"&amp;'FA Addition'!$L$1-365)</f>
        <v>0</v>
      </c>
      <c r="AC174" s="118">
        <f>IFERROR(AA174/'FA Addition'!$J174*'FA Addition'!$L174,0)</f>
        <v>0</v>
      </c>
      <c r="AE174" s="117">
        <f>IF(AND('FA Addition'!$D174&lt;$P$1+1,U174=0),'FA Addition'!$L174,0)-Y174</f>
        <v>14922</v>
      </c>
      <c r="AF174" s="117">
        <f t="shared" si="10"/>
        <v>14922</v>
      </c>
      <c r="AG174" s="117">
        <f>MIN(MAX(+$P$1-'FA Addition'!$D174,0),365*'FA Addition'!$O174)</f>
        <v>1095</v>
      </c>
      <c r="AH174" s="117">
        <f>MIN(MAX($L$1-'FA Addition'!$D174+1,0),365*'FA Addition'!$O174)</f>
        <v>1095</v>
      </c>
      <c r="AI174" s="117" cm="1">
        <f t="array" ref="AI174">_xlfn.XLOOKUP(1,('FA Write off'!A:A='FA Addition'!$A174)*('FA Write off'!D:D=AA174),'FA Write off'!H:H,0,0)</f>
        <v>0</v>
      </c>
      <c r="AJ174" s="117">
        <f>IF(AC174&gt;0,MAX(IF('FA Addition'!$N174="SLM",($AC174-'FA Addition'!$M174)*'FA Addition'!$P174*AI174/365,(AC174-'FA Addition'!$M174)*(1-(1-'FA Addition'!$P174)^(AI174/365))),0),0)</f>
        <v>0</v>
      </c>
      <c r="AL174" s="117">
        <f>MAX(IF(AG174&gt;0,IF('FA Addition'!$N174="SLM",($AE174-'FA Addition'!$M174)*'FA Addition'!$P174*AG174/365,IFERROR(VDB(AE174,AE174*0.05,'FA Addition'!$O174,0,YEARFRAC('FA Addition'!$C174,$P$1-1,3),'FA Addition'!$Q174),FAAddition[[#This Row],[Original Cost (Rs)]]-FAAddition[[#This Row],[Salvage Value]])),0),0)</f>
        <v>14176</v>
      </c>
      <c r="AM174" s="119"/>
      <c r="AN174" s="117">
        <f>MAX(IF(AH174&gt;0,IF('FA Addition'!$N174="SLM",($AF174-'FA Addition'!$M174)*'FA Addition'!$P174*AH174/365,IFERROR(VDB(AF174,AF174*0.05,'FA Addition'!$O174,0,YEARFRAC('FA Addition'!$C174,$L$1,3),'FA Addition'!$Q174),FAAddition[[#This Row],[Original Cost (Rs)]]-FAAddition[[#This Row],[Salvage Value]])),0),0)</f>
        <v>14176</v>
      </c>
      <c r="AO174" s="117">
        <f t="shared" si="13"/>
        <v>0</v>
      </c>
      <c r="AQ174" s="117">
        <f t="shared" si="11"/>
        <v>746</v>
      </c>
      <c r="AR174" s="120">
        <f t="shared" si="12"/>
        <v>746</v>
      </c>
      <c r="AS174" s="121"/>
    </row>
    <row r="175" spans="1:45" ht="13.5" x14ac:dyDescent="0.4">
      <c r="A175" s="12">
        <f t="shared" si="14"/>
        <v>172</v>
      </c>
      <c r="B175" s="44" t="s">
        <v>559</v>
      </c>
      <c r="C175" s="45">
        <v>42641</v>
      </c>
      <c r="D175" s="45">
        <v>42641</v>
      </c>
      <c r="E175" s="46" t="s">
        <v>451</v>
      </c>
      <c r="F175" s="44" t="s">
        <v>21</v>
      </c>
      <c r="G175" s="44" t="s">
        <v>637</v>
      </c>
      <c r="H175" s="44"/>
      <c r="I175" s="47" t="s">
        <v>638</v>
      </c>
      <c r="J175" s="56">
        <v>1</v>
      </c>
      <c r="K175" s="44" t="s">
        <v>639</v>
      </c>
      <c r="L175" s="52">
        <v>48090</v>
      </c>
      <c r="M175" s="50">
        <f>ROUND('FA Addition'!$L175*5%,0.1)</f>
        <v>2405</v>
      </c>
      <c r="N175" s="113" t="str">
        <f>_xlfn.XLOOKUP(_xlfn.CONCAT(E175,B175),'Year Wise Master Dep Approach'!F:F,'Year Wise Master Dep Approach'!D:D)</f>
        <v>WDV</v>
      </c>
      <c r="O175" s="113">
        <f>_xlfn.XLOOKUP(_xlfn.CONCAT(E175,B175),'Year Wise Master Dep Approach'!F:F,'Year Wise Master Dep Approach'!E:E)</f>
        <v>3</v>
      </c>
      <c r="P175" s="114">
        <f>IFERROR(IF('FA Addition'!$N175="WDV",1-('FA Addition'!$M175/'FA Addition'!$L175)^(1/'FA Addition'!$O175),1/'FA Addition'!$O175),0)</f>
        <v>0.63157131623306118</v>
      </c>
      <c r="Q175" s="122">
        <f>'FA Addition'!$P175*'FA Addition'!$O175</f>
        <v>1.8947139486991835</v>
      </c>
      <c r="R175" s="122"/>
      <c r="S175" s="116">
        <f>IF(AND(DATE(20&amp;LEFT(FAAddition[[#This Row],[FY]],2),4,1)&lt;$L$1+1,DATE(20&amp;LEFT(FAAddition[[#This Row],[FY]],2),4,1)&gt;$P$1-1),'FA Addition'!$J175,0)</f>
        <v>0</v>
      </c>
      <c r="U175" s="117">
        <f>S175*'FA Addition'!$L175/'FA Addition'!$J175</f>
        <v>0</v>
      </c>
      <c r="W175" s="116">
        <f>SUMIFS('FA Write off'!D:D,'FA Write off'!A:A,'FA Addition'!$A175,'FA Write off'!C:C,"&lt;"&amp;'FA Addition'!$P$1)</f>
        <v>0</v>
      </c>
      <c r="Y175" s="191">
        <f>IFERROR(W175/'FA Addition'!$J175*'FA Addition'!$L175,0)</f>
        <v>0</v>
      </c>
      <c r="AA175" s="116">
        <f>SUMIFS('FA Write off'!D:D,'FA Write off'!A:A,'FA Addition'!$A175,'FA Write off'!C:C,"&lt;"&amp;'FA Addition'!$L$1+1,'FA Write off'!C:C,"&gt;"&amp;'FA Addition'!$L$1-365)</f>
        <v>0</v>
      </c>
      <c r="AC175" s="118">
        <f>IFERROR(AA175/'FA Addition'!$J175*'FA Addition'!$L175,0)</f>
        <v>0</v>
      </c>
      <c r="AE175" s="117">
        <f>IF(AND('FA Addition'!$D175&lt;$P$1+1,U175=0),'FA Addition'!$L175,0)-Y175</f>
        <v>48090</v>
      </c>
      <c r="AF175" s="117">
        <f t="shared" si="10"/>
        <v>48090</v>
      </c>
      <c r="AG175" s="117">
        <f>MIN(MAX(+$P$1-'FA Addition'!$D175,0),365*'FA Addition'!$O175)</f>
        <v>1095</v>
      </c>
      <c r="AH175" s="117">
        <f>MIN(MAX($L$1-'FA Addition'!$D175+1,0),365*'FA Addition'!$O175)</f>
        <v>1095</v>
      </c>
      <c r="AI175" s="117" cm="1">
        <f t="array" ref="AI175">_xlfn.XLOOKUP(1,('FA Write off'!A:A='FA Addition'!$A175)*('FA Write off'!D:D=AA175),'FA Write off'!H:H,0,0)</f>
        <v>0</v>
      </c>
      <c r="AJ175" s="117">
        <f>IF(AC175&gt;0,MAX(IF('FA Addition'!$N175="SLM",($AC175-'FA Addition'!$M175)*'FA Addition'!$P175*AI175/365,(AC175-'FA Addition'!$M175)*(1-(1-'FA Addition'!$P175)^(AI175/365))),0),0)</f>
        <v>0</v>
      </c>
      <c r="AL175" s="117">
        <f>MAX(IF(AG175&gt;0,IF('FA Addition'!$N175="SLM",($AE175-'FA Addition'!$M175)*'FA Addition'!$P175*AG175/365,IFERROR(VDB(AE175,AE175*0.05,'FA Addition'!$O175,0,YEARFRAC('FA Addition'!$C175,$P$1-1,3),'FA Addition'!$Q175),FAAddition[[#This Row],[Original Cost (Rs)]]-FAAddition[[#This Row],[Salvage Value]])),0),0)</f>
        <v>45685</v>
      </c>
      <c r="AM175" s="119"/>
      <c r="AN175" s="117">
        <f>MAX(IF(AH175&gt;0,IF('FA Addition'!$N175="SLM",($AF175-'FA Addition'!$M175)*'FA Addition'!$P175*AH175/365,IFERROR(VDB(AF175,AF175*0.05,'FA Addition'!$O175,0,YEARFRAC('FA Addition'!$C175,$L$1,3),'FA Addition'!$Q175),FAAddition[[#This Row],[Original Cost (Rs)]]-FAAddition[[#This Row],[Salvage Value]])),0),0)</f>
        <v>45685</v>
      </c>
      <c r="AO175" s="117">
        <f t="shared" si="13"/>
        <v>0</v>
      </c>
      <c r="AQ175" s="117">
        <f t="shared" si="11"/>
        <v>2405</v>
      </c>
      <c r="AR175" s="120">
        <f t="shared" si="12"/>
        <v>2405</v>
      </c>
      <c r="AS175" s="121"/>
    </row>
    <row r="176" spans="1:45" ht="13.5" x14ac:dyDescent="0.4">
      <c r="A176" s="12">
        <f t="shared" si="14"/>
        <v>173</v>
      </c>
      <c r="B176" s="51" t="s">
        <v>559</v>
      </c>
      <c r="C176" s="54">
        <v>42642</v>
      </c>
      <c r="D176" s="54">
        <v>42642</v>
      </c>
      <c r="E176" s="46" t="s">
        <v>32</v>
      </c>
      <c r="F176" s="51" t="s">
        <v>32</v>
      </c>
      <c r="G176" s="51" t="s">
        <v>433</v>
      </c>
      <c r="H176" s="51" t="s">
        <v>32</v>
      </c>
      <c r="I176" s="55" t="s">
        <v>640</v>
      </c>
      <c r="J176" s="56">
        <v>120</v>
      </c>
      <c r="K176" s="51" t="s">
        <v>641</v>
      </c>
      <c r="L176" s="58">
        <v>131670</v>
      </c>
      <c r="M176" s="50">
        <f>ROUND('FA Addition'!$L176*5%,0.1)</f>
        <v>6584</v>
      </c>
      <c r="N176" s="113" t="str">
        <f>_xlfn.XLOOKUP(_xlfn.CONCAT(E176,B176),'Year Wise Master Dep Approach'!F:F,'Year Wise Master Dep Approach'!D:D)</f>
        <v>WDV</v>
      </c>
      <c r="O176" s="113">
        <f>_xlfn.XLOOKUP(_xlfn.CONCAT(E176,B176),'Year Wise Master Dep Approach'!F:F,'Year Wise Master Dep Approach'!E:E)</f>
        <v>3</v>
      </c>
      <c r="P176" s="114">
        <f>IFERROR(IF('FA Addition'!$N176="WDV",1-('FA Addition'!$M176/'FA Addition'!$L176)^(1/'FA Addition'!$O176),1/'FA Addition'!$O176),0)</f>
        <v>0.63158752394614759</v>
      </c>
      <c r="Q176" s="122">
        <f>'FA Addition'!$P176*'FA Addition'!$O176</f>
        <v>1.8947625718384429</v>
      </c>
      <c r="R176" s="122"/>
      <c r="S176" s="116">
        <f>IF(AND(DATE(20&amp;LEFT(FAAddition[[#This Row],[FY]],2),4,1)&lt;$L$1+1,DATE(20&amp;LEFT(FAAddition[[#This Row],[FY]],2),4,1)&gt;$P$1-1),'FA Addition'!$J176,0)</f>
        <v>0</v>
      </c>
      <c r="U176" s="117">
        <f>S176*'FA Addition'!$L176/'FA Addition'!$J176</f>
        <v>0</v>
      </c>
      <c r="W176" s="116">
        <f>SUMIFS('FA Write off'!D:D,'FA Write off'!A:A,'FA Addition'!$A176,'FA Write off'!C:C,"&lt;"&amp;'FA Addition'!$P$1)</f>
        <v>5</v>
      </c>
      <c r="Y176" s="191">
        <f>IFERROR(W176/'FA Addition'!$J176*'FA Addition'!$L176,0)</f>
        <v>5486.25</v>
      </c>
      <c r="AA176" s="116">
        <f>SUMIFS('FA Write off'!D:D,'FA Write off'!A:A,'FA Addition'!$A176,'FA Write off'!C:C,"&lt;"&amp;'FA Addition'!$L$1+1,'FA Write off'!C:C,"&gt;"&amp;'FA Addition'!$L$1-365)</f>
        <v>0</v>
      </c>
      <c r="AC176" s="191">
        <f>IFERROR(AA176/'FA Addition'!$J176*'FA Addition'!$L176,0)</f>
        <v>0</v>
      </c>
      <c r="AE176" s="117">
        <f>IF(AND('FA Addition'!$D176&lt;$P$1+1,U176=0),'FA Addition'!$L176,0)-Y176</f>
        <v>126183.75</v>
      </c>
      <c r="AF176" s="117">
        <f t="shared" si="10"/>
        <v>126183.75</v>
      </c>
      <c r="AG176" s="117">
        <f>MIN(MAX(+$P$1-'FA Addition'!$D176,0),365*'FA Addition'!$O176)</f>
        <v>1095</v>
      </c>
      <c r="AH176" s="117">
        <f>MIN(MAX($L$1-'FA Addition'!$D176+1,0),365*'FA Addition'!$O176)</f>
        <v>1095</v>
      </c>
      <c r="AI176" s="117" cm="1">
        <f t="array" ref="AI176">_xlfn.XLOOKUP(1,('FA Write off'!A:A='FA Addition'!$A176)*('FA Write off'!D:D=AA176),'FA Write off'!H:H,0,0)</f>
        <v>0</v>
      </c>
      <c r="AJ176" s="117">
        <f>IF(AC176&gt;0,MAX(IF('FA Addition'!$N176="SLM",($AC176-'FA Addition'!$M176)*'FA Addition'!$P176*AI176/365,(AC176-'FA Addition'!$M176)*(1-(1-'FA Addition'!$P176)^(AI176/365))),0),0)</f>
        <v>0</v>
      </c>
      <c r="AL176" s="117">
        <f>MAX(IF(AG176&gt;0,IF('FA Addition'!$N176="SLM",($AE176-'FA Addition'!$M176)*'FA Addition'!$P176*AG176/365,IFERROR(VDB(AE176,AE176*0.05,'FA Addition'!$O176,0,YEARFRAC('FA Addition'!$C176,$P$1-1,3),'FA Addition'!$Q176),FAAddition[[#This Row],[Original Cost (Rs)]]-FAAddition[[#This Row],[Salvage Value]])),0),0)</f>
        <v>125086</v>
      </c>
      <c r="AM176" s="119"/>
      <c r="AN176" s="117">
        <f>MAX(IF(AH176&gt;0,IF('FA Addition'!$N176="SLM",($AF176-'FA Addition'!$M176)*'FA Addition'!$P176*AH176/365,IFERROR(VDB(AF176,AF176*0.05,'FA Addition'!$O176,0,YEARFRAC('FA Addition'!$C176,$L$1,3),'FA Addition'!$Q176),FAAddition[[#This Row],[Original Cost (Rs)]]-FAAddition[[#This Row],[Salvage Value]])),0),0)</f>
        <v>125086</v>
      </c>
      <c r="AO176" s="117">
        <f t="shared" si="13"/>
        <v>0</v>
      </c>
      <c r="AQ176" s="117">
        <f t="shared" si="11"/>
        <v>1097.75</v>
      </c>
      <c r="AR176" s="120">
        <f t="shared" si="12"/>
        <v>1097.75</v>
      </c>
      <c r="AS176" s="121"/>
    </row>
    <row r="177" spans="1:45" ht="13.5" x14ac:dyDescent="0.4">
      <c r="A177" s="12">
        <f t="shared" si="14"/>
        <v>174</v>
      </c>
      <c r="B177" s="44" t="s">
        <v>559</v>
      </c>
      <c r="C177" s="45">
        <v>42642</v>
      </c>
      <c r="D177" s="45">
        <v>42642</v>
      </c>
      <c r="E177" s="46" t="s">
        <v>32</v>
      </c>
      <c r="F177" s="44" t="s">
        <v>32</v>
      </c>
      <c r="G177" s="44" t="s">
        <v>433</v>
      </c>
      <c r="H177" s="44" t="s">
        <v>32</v>
      </c>
      <c r="I177" s="47" t="s">
        <v>642</v>
      </c>
      <c r="J177" s="48">
        <v>110</v>
      </c>
      <c r="K177" s="44" t="s">
        <v>600</v>
      </c>
      <c r="L177" s="52">
        <v>112613</v>
      </c>
      <c r="M177" s="50">
        <f>ROUND('FA Addition'!$L177*5%,0.1)</f>
        <v>5631</v>
      </c>
      <c r="N177" s="113" t="str">
        <f>_xlfn.XLOOKUP(_xlfn.CONCAT(E177,B177),'Year Wise Master Dep Approach'!F:F,'Year Wise Master Dep Approach'!D:D)</f>
        <v>WDV</v>
      </c>
      <c r="O177" s="113">
        <f>_xlfn.XLOOKUP(_xlfn.CONCAT(E177,B177),'Year Wise Master Dep Approach'!F:F,'Year Wise Master Dep Approach'!E:E)</f>
        <v>3</v>
      </c>
      <c r="P177" s="114">
        <f>IFERROR(IF('FA Addition'!$N177="WDV",1-('FA Addition'!$M177/'FA Addition'!$L177)^(1/'FA Addition'!$O177),1/'FA Addition'!$O177),0)</f>
        <v>0.63158921700711035</v>
      </c>
      <c r="Q177" s="122">
        <f>'FA Addition'!$P177*'FA Addition'!$O177</f>
        <v>1.8947676510213309</v>
      </c>
      <c r="R177" s="122"/>
      <c r="S177" s="116">
        <f>IF(AND(DATE(20&amp;LEFT(FAAddition[[#This Row],[FY]],2),4,1)&lt;$L$1+1,DATE(20&amp;LEFT(FAAddition[[#This Row],[FY]],2),4,1)&gt;$P$1-1),'FA Addition'!$J177,0)</f>
        <v>0</v>
      </c>
      <c r="U177" s="117">
        <f>S177*'FA Addition'!$L177/'FA Addition'!$J177</f>
        <v>0</v>
      </c>
      <c r="W177" s="116">
        <f>SUMIFS('FA Write off'!D:D,'FA Write off'!A:A,'FA Addition'!$A177,'FA Write off'!C:C,"&lt;"&amp;'FA Addition'!$P$1)</f>
        <v>2</v>
      </c>
      <c r="Y177" s="191">
        <f>IFERROR(W177/'FA Addition'!$J177*'FA Addition'!$L177,0)</f>
        <v>2047.5090909090909</v>
      </c>
      <c r="AA177" s="116">
        <f>SUMIFS('FA Write off'!D:D,'FA Write off'!A:A,'FA Addition'!$A177,'FA Write off'!C:C,"&lt;"&amp;'FA Addition'!$L$1+1,'FA Write off'!C:C,"&gt;"&amp;'FA Addition'!$L$1-365)</f>
        <v>0</v>
      </c>
      <c r="AC177" s="191">
        <f>IFERROR(AA177/'FA Addition'!$J177*'FA Addition'!$L177,0)</f>
        <v>0</v>
      </c>
      <c r="AE177" s="117">
        <f>IF(AND('FA Addition'!$D177&lt;$P$1+1,U177=0),'FA Addition'!$L177,0)-Y177</f>
        <v>110565.49090909091</v>
      </c>
      <c r="AF177" s="117">
        <f t="shared" si="10"/>
        <v>110565.49090909091</v>
      </c>
      <c r="AG177" s="117">
        <f>MIN(MAX(+$P$1-'FA Addition'!$D177,0),365*'FA Addition'!$O177)</f>
        <v>1095</v>
      </c>
      <c r="AH177" s="117">
        <f>MIN(MAX($L$1-'FA Addition'!$D177+1,0),365*'FA Addition'!$O177)</f>
        <v>1095</v>
      </c>
      <c r="AI177" s="117" cm="1">
        <f t="array" ref="AI177">_xlfn.XLOOKUP(1,('FA Write off'!A:A='FA Addition'!$A177)*('FA Write off'!D:D=AA177),'FA Write off'!H:H,0,0)</f>
        <v>0</v>
      </c>
      <c r="AJ177" s="117">
        <f>IF(AC177&gt;0,MAX(IF('FA Addition'!$N177="SLM",($AC177-'FA Addition'!$M177)*'FA Addition'!$P177*AI177/365,(AC177-'FA Addition'!$M177)*(1-(1-'FA Addition'!$P177)^(AI177/365))),0),0)</f>
        <v>0</v>
      </c>
      <c r="AL177" s="117">
        <f>MAX(IF(AG177&gt;0,IF('FA Addition'!$N177="SLM",($AE177-'FA Addition'!$M177)*'FA Addition'!$P177*AG177/365,IFERROR(VDB(AE177,AE177*0.05,'FA Addition'!$O177,0,YEARFRAC('FA Addition'!$C177,$P$1-1,3),'FA Addition'!$Q177),FAAddition[[#This Row],[Original Cost (Rs)]]-FAAddition[[#This Row],[Salvage Value]])),0),0)</f>
        <v>106982</v>
      </c>
      <c r="AM177" s="119"/>
      <c r="AN177" s="117">
        <f>MAX(IF(AH177&gt;0,IF('FA Addition'!$N177="SLM",($AF177-'FA Addition'!$M177)*'FA Addition'!$P177*AH177/365,IFERROR(VDB(AF177,AF177*0.05,'FA Addition'!$O177,0,YEARFRAC('FA Addition'!$C177,$L$1,3),'FA Addition'!$Q177),FAAddition[[#This Row],[Original Cost (Rs)]]-FAAddition[[#This Row],[Salvage Value]])),0),0)</f>
        <v>106982</v>
      </c>
      <c r="AO177" s="117">
        <f t="shared" si="13"/>
        <v>0</v>
      </c>
      <c r="AQ177" s="117">
        <f t="shared" si="11"/>
        <v>3583.4909090909059</v>
      </c>
      <c r="AR177" s="120">
        <f t="shared" si="12"/>
        <v>3583.4909090909059</v>
      </c>
      <c r="AS177" s="121"/>
    </row>
    <row r="178" spans="1:45" ht="13.5" x14ac:dyDescent="0.4">
      <c r="A178" s="12">
        <f t="shared" si="14"/>
        <v>175</v>
      </c>
      <c r="B178" s="44" t="s">
        <v>559</v>
      </c>
      <c r="C178" s="45">
        <v>42642</v>
      </c>
      <c r="D178" s="45">
        <v>42642</v>
      </c>
      <c r="E178" s="46" t="s">
        <v>32</v>
      </c>
      <c r="F178" s="44" t="s">
        <v>32</v>
      </c>
      <c r="G178" s="44" t="s">
        <v>433</v>
      </c>
      <c r="H178" s="44" t="s">
        <v>32</v>
      </c>
      <c r="I178" s="47" t="s">
        <v>643</v>
      </c>
      <c r="J178" s="48">
        <v>80</v>
      </c>
      <c r="K178" s="44" t="s">
        <v>600</v>
      </c>
      <c r="L178" s="52">
        <v>84420</v>
      </c>
      <c r="M178" s="50">
        <f>ROUND('FA Addition'!$L178*5%,0.1)</f>
        <v>4221</v>
      </c>
      <c r="N178" s="113" t="str">
        <f>_xlfn.XLOOKUP(_xlfn.CONCAT(E178,B178),'Year Wise Master Dep Approach'!F:F,'Year Wise Master Dep Approach'!D:D)</f>
        <v>WDV</v>
      </c>
      <c r="O178" s="113">
        <f>_xlfn.XLOOKUP(_xlfn.CONCAT(E178,B178),'Year Wise Master Dep Approach'!F:F,'Year Wise Master Dep Approach'!E:E)</f>
        <v>3</v>
      </c>
      <c r="P178" s="114">
        <f>IFERROR(IF('FA Addition'!$N178="WDV",1-('FA Addition'!$M178/'FA Addition'!$L178)^(1/'FA Addition'!$O178),1/'FA Addition'!$O178),0)</f>
        <v>0.63159685013596123</v>
      </c>
      <c r="Q178" s="122">
        <f>'FA Addition'!$P178*'FA Addition'!$O178</f>
        <v>1.8947905504078837</v>
      </c>
      <c r="R178" s="122"/>
      <c r="S178" s="116">
        <f>IF(AND(DATE(20&amp;LEFT(FAAddition[[#This Row],[FY]],2),4,1)&lt;$L$1+1,DATE(20&amp;LEFT(FAAddition[[#This Row],[FY]],2),4,1)&gt;$P$1-1),'FA Addition'!$J178,0)</f>
        <v>0</v>
      </c>
      <c r="U178" s="117">
        <f>S178*'FA Addition'!$L178/'FA Addition'!$J178</f>
        <v>0</v>
      </c>
      <c r="W178" s="116">
        <f>SUMIFS('FA Write off'!D:D,'FA Write off'!A:A,'FA Addition'!$A178,'FA Write off'!C:C,"&lt;"&amp;'FA Addition'!$P$1)</f>
        <v>4</v>
      </c>
      <c r="Y178" s="191">
        <f>IFERROR(W178/'FA Addition'!$J178*'FA Addition'!$L178,0)</f>
        <v>4221</v>
      </c>
      <c r="AA178" s="116">
        <f>SUMIFS('FA Write off'!D:D,'FA Write off'!A:A,'FA Addition'!$A178,'FA Write off'!C:C,"&lt;"&amp;'FA Addition'!$L$1+1,'FA Write off'!C:C,"&gt;"&amp;'FA Addition'!$L$1-365)</f>
        <v>0</v>
      </c>
      <c r="AC178" s="191">
        <f>IFERROR(AA178/'FA Addition'!$J178*'FA Addition'!$L178,0)</f>
        <v>0</v>
      </c>
      <c r="AE178" s="117">
        <f>IF(AND('FA Addition'!$D178&lt;$P$1+1,U178=0),'FA Addition'!$L178,0)-Y178</f>
        <v>80199</v>
      </c>
      <c r="AF178" s="117">
        <f t="shared" si="10"/>
        <v>80199</v>
      </c>
      <c r="AG178" s="117">
        <f>MIN(MAX(+$P$1-'FA Addition'!$D178,0),365*'FA Addition'!$O178)</f>
        <v>1095</v>
      </c>
      <c r="AH178" s="117">
        <f>MIN(MAX($L$1-'FA Addition'!$D178+1,0),365*'FA Addition'!$O178)</f>
        <v>1095</v>
      </c>
      <c r="AI178" s="117" cm="1">
        <f t="array" ref="AI178">_xlfn.XLOOKUP(1,('FA Write off'!A:A='FA Addition'!$A178)*('FA Write off'!D:D=AA178),'FA Write off'!H:H,0,0)</f>
        <v>0</v>
      </c>
      <c r="AJ178" s="117">
        <f>IF(AC178&gt;0,MAX(IF('FA Addition'!$N178="SLM",($AC178-'FA Addition'!$M178)*'FA Addition'!$P178*AI178/365,(AC178-'FA Addition'!$M178)*(1-(1-'FA Addition'!$P178)^(AI178/365))),0),0)</f>
        <v>0</v>
      </c>
      <c r="AL178" s="117">
        <f>MAX(IF(AG178&gt;0,IF('FA Addition'!$N178="SLM",($AE178-'FA Addition'!$M178)*'FA Addition'!$P178*AG178/365,IFERROR(VDB(AE178,AE178*0.05,'FA Addition'!$O178,0,YEARFRAC('FA Addition'!$C178,$P$1-1,3),'FA Addition'!$Q178),FAAddition[[#This Row],[Original Cost (Rs)]]-FAAddition[[#This Row],[Salvage Value]])),0),0)</f>
        <v>80199</v>
      </c>
      <c r="AM178" s="119"/>
      <c r="AN178" s="117">
        <f>MAX(IF(AH178&gt;0,IF('FA Addition'!$N178="SLM",($AF178-'FA Addition'!$M178)*'FA Addition'!$P178*AH178/365,IFERROR(VDB(AF178,AF178*0.05,'FA Addition'!$O178,0,YEARFRAC('FA Addition'!$C178,$L$1,3),'FA Addition'!$Q178),FAAddition[[#This Row],[Original Cost (Rs)]]-FAAddition[[#This Row],[Salvage Value]])),0),0)</f>
        <v>80199</v>
      </c>
      <c r="AO178" s="117">
        <f t="shared" si="13"/>
        <v>0</v>
      </c>
      <c r="AQ178" s="117">
        <f t="shared" si="11"/>
        <v>0</v>
      </c>
      <c r="AR178" s="120">
        <f t="shared" si="12"/>
        <v>0</v>
      </c>
      <c r="AS178" s="121"/>
    </row>
    <row r="179" spans="1:45" ht="13.5" x14ac:dyDescent="0.4">
      <c r="A179" s="12">
        <f t="shared" si="14"/>
        <v>176</v>
      </c>
      <c r="B179" s="44" t="s">
        <v>559</v>
      </c>
      <c r="C179" s="45">
        <v>42643</v>
      </c>
      <c r="D179" s="45">
        <v>42643</v>
      </c>
      <c r="E179" s="46" t="s">
        <v>32</v>
      </c>
      <c r="F179" s="44" t="s">
        <v>32</v>
      </c>
      <c r="G179" s="44" t="s">
        <v>433</v>
      </c>
      <c r="H179" s="44" t="s">
        <v>32</v>
      </c>
      <c r="I179" s="47" t="s">
        <v>644</v>
      </c>
      <c r="J179" s="48">
        <v>240</v>
      </c>
      <c r="K179" s="44" t="s">
        <v>561</v>
      </c>
      <c r="L179" s="52">
        <v>267120</v>
      </c>
      <c r="M179" s="50">
        <f>ROUND('FA Addition'!$L179*5%,0.1)</f>
        <v>13356</v>
      </c>
      <c r="N179" s="113" t="str">
        <f>_xlfn.XLOOKUP(_xlfn.CONCAT(E179,B179),'Year Wise Master Dep Approach'!F:F,'Year Wise Master Dep Approach'!D:D)</f>
        <v>WDV</v>
      </c>
      <c r="O179" s="113">
        <f>_xlfn.XLOOKUP(_xlfn.CONCAT(E179,B179),'Year Wise Master Dep Approach'!F:F,'Year Wise Master Dep Approach'!E:E)</f>
        <v>3</v>
      </c>
      <c r="P179" s="114">
        <f>IFERROR(IF('FA Addition'!$N179="WDV",1-('FA Addition'!$M179/'FA Addition'!$L179)^(1/'FA Addition'!$O179),1/'FA Addition'!$O179),0)</f>
        <v>0.63159685013596123</v>
      </c>
      <c r="Q179" s="122">
        <f>'FA Addition'!$P179*'FA Addition'!$O179</f>
        <v>1.8947905504078837</v>
      </c>
      <c r="R179" s="122"/>
      <c r="S179" s="116">
        <f>IF(AND(DATE(20&amp;LEFT(FAAddition[[#This Row],[FY]],2),4,1)&lt;$L$1+1,DATE(20&amp;LEFT(FAAddition[[#This Row],[FY]],2),4,1)&gt;$P$1-1),'FA Addition'!$J179,0)</f>
        <v>0</v>
      </c>
      <c r="U179" s="117">
        <f>S179*'FA Addition'!$L179/'FA Addition'!$J179</f>
        <v>0</v>
      </c>
      <c r="W179" s="116">
        <f>SUMIFS('FA Write off'!D:D,'FA Write off'!A:A,'FA Addition'!$A179,'FA Write off'!C:C,"&lt;"&amp;'FA Addition'!$P$1)</f>
        <v>7</v>
      </c>
      <c r="Y179" s="191">
        <f>IFERROR(W179/'FA Addition'!$J179*'FA Addition'!$L179,0)</f>
        <v>7791</v>
      </c>
      <c r="AA179" s="116">
        <f>SUMIFS('FA Write off'!D:D,'FA Write off'!A:A,'FA Addition'!$A179,'FA Write off'!C:C,"&lt;"&amp;'FA Addition'!$L$1+1,'FA Write off'!C:C,"&gt;"&amp;'FA Addition'!$L$1-365)</f>
        <v>0</v>
      </c>
      <c r="AC179" s="191">
        <f>IFERROR(AA179/'FA Addition'!$J179*'FA Addition'!$L179,0)</f>
        <v>0</v>
      </c>
      <c r="AE179" s="117">
        <f>IF(AND('FA Addition'!$D179&lt;$P$1+1,U179=0),'FA Addition'!$L179,0)-Y179</f>
        <v>259329</v>
      </c>
      <c r="AF179" s="117">
        <f t="shared" si="10"/>
        <v>259329</v>
      </c>
      <c r="AG179" s="117">
        <f>MIN(MAX(+$P$1-'FA Addition'!$D179,0),365*'FA Addition'!$O179)</f>
        <v>1095</v>
      </c>
      <c r="AH179" s="117">
        <f>MIN(MAX($L$1-'FA Addition'!$D179+1,0),365*'FA Addition'!$O179)</f>
        <v>1095</v>
      </c>
      <c r="AI179" s="117" cm="1">
        <f t="array" ref="AI179">_xlfn.XLOOKUP(1,('FA Write off'!A:A='FA Addition'!$A179)*('FA Write off'!D:D=AA179),'FA Write off'!H:H,0,0)</f>
        <v>0</v>
      </c>
      <c r="AJ179" s="117">
        <f>IF(AC179&gt;0,MAX(IF('FA Addition'!$N179="SLM",($AC179-'FA Addition'!$M179)*'FA Addition'!$P179*AI179/365,(AC179-'FA Addition'!$M179)*(1-(1-'FA Addition'!$P179)^(AI179/365))),0),0)</f>
        <v>0</v>
      </c>
      <c r="AL179" s="117">
        <f>MAX(IF(AG179&gt;0,IF('FA Addition'!$N179="SLM",($AE179-'FA Addition'!$M179)*'FA Addition'!$P179*AG179/365,IFERROR(VDB(AE179,AE179*0.05,'FA Addition'!$O179,0,YEARFRAC('FA Addition'!$C179,$P$1-1,3),'FA Addition'!$Q179),FAAddition[[#This Row],[Original Cost (Rs)]]-FAAddition[[#This Row],[Salvage Value]])),0),0)</f>
        <v>253764</v>
      </c>
      <c r="AM179" s="119"/>
      <c r="AN179" s="117">
        <f>MAX(IF(AH179&gt;0,IF('FA Addition'!$N179="SLM",($AF179-'FA Addition'!$M179)*'FA Addition'!$P179*AH179/365,IFERROR(VDB(AF179,AF179*0.05,'FA Addition'!$O179,0,YEARFRAC('FA Addition'!$C179,$L$1,3),'FA Addition'!$Q179),FAAddition[[#This Row],[Original Cost (Rs)]]-FAAddition[[#This Row],[Salvage Value]])),0),0)</f>
        <v>253764</v>
      </c>
      <c r="AO179" s="117">
        <f t="shared" si="13"/>
        <v>0</v>
      </c>
      <c r="AQ179" s="117">
        <f t="shared" si="11"/>
        <v>5565</v>
      </c>
      <c r="AR179" s="120">
        <f t="shared" si="12"/>
        <v>5565</v>
      </c>
      <c r="AS179" s="121"/>
    </row>
    <row r="180" spans="1:45" ht="13.5" x14ac:dyDescent="0.4">
      <c r="A180" s="12">
        <f t="shared" si="14"/>
        <v>177</v>
      </c>
      <c r="B180" s="44" t="s">
        <v>559</v>
      </c>
      <c r="C180" s="45">
        <v>42649</v>
      </c>
      <c r="D180" s="45">
        <v>42649</v>
      </c>
      <c r="E180" s="46" t="s">
        <v>207</v>
      </c>
      <c r="F180" s="44" t="s">
        <v>147</v>
      </c>
      <c r="G180" s="44" t="s">
        <v>645</v>
      </c>
      <c r="H180" s="44" t="s">
        <v>207</v>
      </c>
      <c r="I180" s="47"/>
      <c r="J180" s="56">
        <v>1</v>
      </c>
      <c r="K180" s="44" t="s">
        <v>207</v>
      </c>
      <c r="L180" s="52">
        <v>1660</v>
      </c>
      <c r="M180" s="50">
        <f>ROUND('FA Addition'!$L180*5%,0.1)</f>
        <v>83</v>
      </c>
      <c r="N180" s="113" t="str">
        <f>_xlfn.XLOOKUP(_xlfn.CONCAT(E180,B180),'Year Wise Master Dep Approach'!F:F,'Year Wise Master Dep Approach'!D:D)</f>
        <v>WDV</v>
      </c>
      <c r="O180" s="113">
        <f>_xlfn.XLOOKUP(_xlfn.CONCAT(E180,B180),'Year Wise Master Dep Approach'!F:F,'Year Wise Master Dep Approach'!E:E)</f>
        <v>5</v>
      </c>
      <c r="P180" s="114">
        <f>IFERROR(IF('FA Addition'!$N180="WDV",1-('FA Addition'!$M180/'FA Addition'!$L180)^(1/'FA Addition'!$O180),1/'FA Addition'!$O180),0)</f>
        <v>0.45071972834694107</v>
      </c>
      <c r="Q180" s="122">
        <f>'FA Addition'!$P180*'FA Addition'!$O180</f>
        <v>2.2535986417347056</v>
      </c>
      <c r="R180" s="122"/>
      <c r="S180" s="116">
        <f>IF(AND(DATE(20&amp;LEFT(FAAddition[[#This Row],[FY]],2),4,1)&lt;$L$1+1,DATE(20&amp;LEFT(FAAddition[[#This Row],[FY]],2),4,1)&gt;$P$1-1),'FA Addition'!$J180,0)</f>
        <v>0</v>
      </c>
      <c r="U180" s="117">
        <f>S180*'FA Addition'!$L180/'FA Addition'!$J180</f>
        <v>0</v>
      </c>
      <c r="W180" s="116">
        <f>SUMIFS('FA Write off'!D:D,'FA Write off'!A:A,'FA Addition'!$A180,'FA Write off'!C:C,"&lt;"&amp;'FA Addition'!$P$1)</f>
        <v>0</v>
      </c>
      <c r="Y180" s="191">
        <f>IFERROR(W180/'FA Addition'!$J180*'FA Addition'!$L180,0)</f>
        <v>0</v>
      </c>
      <c r="AA180" s="116">
        <f>SUMIFS('FA Write off'!D:D,'FA Write off'!A:A,'FA Addition'!$A180,'FA Write off'!C:C,"&lt;"&amp;'FA Addition'!$L$1+1,'FA Write off'!C:C,"&gt;"&amp;'FA Addition'!$L$1-365)</f>
        <v>0</v>
      </c>
      <c r="AC180" s="118">
        <f>IFERROR(AA180/'FA Addition'!$J180*'FA Addition'!$L180,0)</f>
        <v>0</v>
      </c>
      <c r="AE180" s="117">
        <f>IF(AND('FA Addition'!$D180&lt;$P$1+1,U180=0),'FA Addition'!$L180,0)-Y180</f>
        <v>1660</v>
      </c>
      <c r="AF180" s="117">
        <f t="shared" si="10"/>
        <v>1660</v>
      </c>
      <c r="AG180" s="117">
        <f>MIN(MAX(+$P$1-'FA Addition'!$D180,0),365*'FA Addition'!$O180)</f>
        <v>1825</v>
      </c>
      <c r="AH180" s="117">
        <f>MIN(MAX($L$1-'FA Addition'!$D180+1,0),365*'FA Addition'!$O180)</f>
        <v>1825</v>
      </c>
      <c r="AI180" s="117" cm="1">
        <f t="array" ref="AI180">_xlfn.XLOOKUP(1,('FA Write off'!A:A='FA Addition'!$A180)*('FA Write off'!D:D=AA180),'FA Write off'!H:H,0,0)</f>
        <v>0</v>
      </c>
      <c r="AJ180" s="117">
        <f>IF(AC180&gt;0,MAX(IF('FA Addition'!$N180="SLM",($AC180-'FA Addition'!$M180)*'FA Addition'!$P180*AI180/365,(AC180-'FA Addition'!$M180)*(1-(1-'FA Addition'!$P180)^(AI180/365))),0),0)</f>
        <v>0</v>
      </c>
      <c r="AL180" s="117">
        <f>MAX(IF(AG180&gt;0,IF('FA Addition'!$N180="SLM",($AE180-'FA Addition'!$M180)*'FA Addition'!$P180*AG180/365,IFERROR(VDB(AE180,AE180*0.05,'FA Addition'!$O180,0,YEARFRAC('FA Addition'!$C180,$P$1-1,3),'FA Addition'!$Q180),FAAddition[[#This Row],[Original Cost (Rs)]]-FAAddition[[#This Row],[Salvage Value]])),0),0)</f>
        <v>1577</v>
      </c>
      <c r="AM180" s="119"/>
      <c r="AN180" s="117">
        <f>MAX(IF(AH180&gt;0,IF('FA Addition'!$N180="SLM",($AF180-'FA Addition'!$M180)*'FA Addition'!$P180*AH180/365,IFERROR(VDB(AF180,AF180*0.05,'FA Addition'!$O180,0,YEARFRAC('FA Addition'!$C180,$L$1,3),'FA Addition'!$Q180),FAAddition[[#This Row],[Original Cost (Rs)]]-FAAddition[[#This Row],[Salvage Value]])),0),0)</f>
        <v>1577</v>
      </c>
      <c r="AO180" s="117">
        <f t="shared" si="13"/>
        <v>0</v>
      </c>
      <c r="AQ180" s="117">
        <f t="shared" si="11"/>
        <v>83</v>
      </c>
      <c r="AR180" s="120">
        <f t="shared" si="12"/>
        <v>83</v>
      </c>
      <c r="AS180" s="121"/>
    </row>
    <row r="181" spans="1:45" ht="13.5" x14ac:dyDescent="0.4">
      <c r="A181" s="12">
        <f t="shared" si="14"/>
        <v>178</v>
      </c>
      <c r="B181" s="44" t="s">
        <v>559</v>
      </c>
      <c r="C181" s="45">
        <v>42668</v>
      </c>
      <c r="D181" s="45">
        <v>42668</v>
      </c>
      <c r="E181" s="46" t="s">
        <v>207</v>
      </c>
      <c r="F181" s="44" t="s">
        <v>147</v>
      </c>
      <c r="G181" s="44" t="s">
        <v>646</v>
      </c>
      <c r="H181" s="44" t="s">
        <v>647</v>
      </c>
      <c r="I181" s="47"/>
      <c r="J181" s="48">
        <v>2</v>
      </c>
      <c r="K181" s="44" t="s">
        <v>648</v>
      </c>
      <c r="L181" s="52">
        <v>8466</v>
      </c>
      <c r="M181" s="50">
        <f>ROUND('FA Addition'!$L181*5%,0.1)</f>
        <v>423</v>
      </c>
      <c r="N181" s="113" t="str">
        <f>_xlfn.XLOOKUP(_xlfn.CONCAT(E181,B181),'Year Wise Master Dep Approach'!F:F,'Year Wise Master Dep Approach'!D:D)</f>
        <v>WDV</v>
      </c>
      <c r="O181" s="113">
        <f>_xlfn.XLOOKUP(_xlfn.CONCAT(E181,B181),'Year Wise Master Dep Approach'!F:F,'Year Wise Master Dep Approach'!E:E)</f>
        <v>5</v>
      </c>
      <c r="P181" s="114">
        <f>IFERROR(IF('FA Addition'!$N181="WDV",1-('FA Addition'!$M181/'FA Addition'!$L181)^(1/'FA Addition'!$O181),1/'FA Addition'!$O181),0)</f>
        <v>0.45079760730536145</v>
      </c>
      <c r="Q181" s="122">
        <f>'FA Addition'!$P181*'FA Addition'!$O181</f>
        <v>2.253988036526807</v>
      </c>
      <c r="R181" s="122"/>
      <c r="S181" s="116">
        <f>IF(AND(DATE(20&amp;LEFT(FAAddition[[#This Row],[FY]],2),4,1)&lt;$L$1+1,DATE(20&amp;LEFT(FAAddition[[#This Row],[FY]],2),4,1)&gt;$P$1-1),'FA Addition'!$J181,0)</f>
        <v>0</v>
      </c>
      <c r="U181" s="117">
        <f>S181*'FA Addition'!$L181/'FA Addition'!$J181</f>
        <v>0</v>
      </c>
      <c r="W181" s="116">
        <f>SUMIFS('FA Write off'!D:D,'FA Write off'!A:A,'FA Addition'!$A181,'FA Write off'!C:C,"&lt;"&amp;'FA Addition'!$P$1)</f>
        <v>0</v>
      </c>
      <c r="Y181" s="191">
        <f>IFERROR(W181/'FA Addition'!$J181*'FA Addition'!$L181,0)</f>
        <v>0</v>
      </c>
      <c r="AA181" s="116">
        <f>SUMIFS('FA Write off'!D:D,'FA Write off'!A:A,'FA Addition'!$A181,'FA Write off'!C:C,"&lt;"&amp;'FA Addition'!$L$1+1,'FA Write off'!C:C,"&gt;"&amp;'FA Addition'!$L$1-365)</f>
        <v>0</v>
      </c>
      <c r="AC181" s="118">
        <f>IFERROR(AA181/'FA Addition'!$J181*'FA Addition'!$L181,0)</f>
        <v>0</v>
      </c>
      <c r="AE181" s="117">
        <f>IF(AND('FA Addition'!$D181&lt;$P$1+1,U181=0),'FA Addition'!$L181,0)-Y181</f>
        <v>8466</v>
      </c>
      <c r="AF181" s="117">
        <f t="shared" si="10"/>
        <v>8466</v>
      </c>
      <c r="AG181" s="117">
        <f>MIN(MAX(+$P$1-'FA Addition'!$D181,0),365*'FA Addition'!$O181)</f>
        <v>1825</v>
      </c>
      <c r="AH181" s="117">
        <f>MIN(MAX($L$1-'FA Addition'!$D181+1,0),365*'FA Addition'!$O181)</f>
        <v>1825</v>
      </c>
      <c r="AI181" s="117" cm="1">
        <f t="array" ref="AI181">_xlfn.XLOOKUP(1,('FA Write off'!A:A='FA Addition'!$A181)*('FA Write off'!D:D=AA181),'FA Write off'!H:H,0,0)</f>
        <v>0</v>
      </c>
      <c r="AJ181" s="117">
        <f>IF(AC181&gt;0,MAX(IF('FA Addition'!$N181="SLM",($AC181-'FA Addition'!$M181)*'FA Addition'!$P181*AI181/365,(AC181-'FA Addition'!$M181)*(1-(1-'FA Addition'!$P181)^(AI181/365))),0),0)</f>
        <v>0</v>
      </c>
      <c r="AL181" s="117">
        <f>MAX(IF(AG181&gt;0,IF('FA Addition'!$N181="SLM",($AE181-'FA Addition'!$M181)*'FA Addition'!$P181*AG181/365,IFERROR(VDB(AE181,AE181*0.05,'FA Addition'!$O181,0,YEARFRAC('FA Addition'!$C181,$P$1-1,3),'FA Addition'!$Q181),FAAddition[[#This Row],[Original Cost (Rs)]]-FAAddition[[#This Row],[Salvage Value]])),0),0)</f>
        <v>8043</v>
      </c>
      <c r="AM181" s="119"/>
      <c r="AN181" s="117">
        <f>MAX(IF(AH181&gt;0,IF('FA Addition'!$N181="SLM",($AF181-'FA Addition'!$M181)*'FA Addition'!$P181*AH181/365,IFERROR(VDB(AF181,AF181*0.05,'FA Addition'!$O181,0,YEARFRAC('FA Addition'!$C181,$L$1,3),'FA Addition'!$Q181),FAAddition[[#This Row],[Original Cost (Rs)]]-FAAddition[[#This Row],[Salvage Value]])),0),0)</f>
        <v>8043</v>
      </c>
      <c r="AO181" s="117">
        <f t="shared" si="13"/>
        <v>0</v>
      </c>
      <c r="AQ181" s="117">
        <f t="shared" si="11"/>
        <v>423</v>
      </c>
      <c r="AR181" s="120">
        <f t="shared" si="12"/>
        <v>423</v>
      </c>
      <c r="AS181" s="121"/>
    </row>
    <row r="182" spans="1:45" ht="13.5" x14ac:dyDescent="0.4">
      <c r="A182" s="12">
        <f t="shared" si="14"/>
        <v>179</v>
      </c>
      <c r="B182" s="44" t="s">
        <v>559</v>
      </c>
      <c r="C182" s="45">
        <v>42677</v>
      </c>
      <c r="D182" s="45">
        <v>42677</v>
      </c>
      <c r="E182" s="46" t="s">
        <v>32</v>
      </c>
      <c r="F182" s="44" t="s">
        <v>32</v>
      </c>
      <c r="G182" s="44" t="s">
        <v>433</v>
      </c>
      <c r="H182" s="44" t="s">
        <v>32</v>
      </c>
      <c r="I182" s="47" t="s">
        <v>649</v>
      </c>
      <c r="J182" s="48">
        <v>2</v>
      </c>
      <c r="K182" s="44" t="s">
        <v>650</v>
      </c>
      <c r="L182" s="52">
        <v>5460</v>
      </c>
      <c r="M182" s="50">
        <f>ROUND('FA Addition'!$L182*5%,0.1)</f>
        <v>273</v>
      </c>
      <c r="N182" s="113" t="str">
        <f>_xlfn.XLOOKUP(_xlfn.CONCAT(E182,B182),'Year Wise Master Dep Approach'!F:F,'Year Wise Master Dep Approach'!D:D)</f>
        <v>WDV</v>
      </c>
      <c r="O182" s="113">
        <f>_xlfn.XLOOKUP(_xlfn.CONCAT(E182,B182),'Year Wise Master Dep Approach'!F:F,'Year Wise Master Dep Approach'!E:E)</f>
        <v>3</v>
      </c>
      <c r="P182" s="114">
        <f>IFERROR(IF('FA Addition'!$N182="WDV",1-('FA Addition'!$M182/'FA Addition'!$L182)^(1/'FA Addition'!$O182),1/'FA Addition'!$O182),0)</f>
        <v>0.63159685013596123</v>
      </c>
      <c r="Q182" s="122">
        <f>'FA Addition'!$P182*'FA Addition'!$O182</f>
        <v>1.8947905504078837</v>
      </c>
      <c r="R182" s="122"/>
      <c r="S182" s="116">
        <f>IF(AND(DATE(20&amp;LEFT(FAAddition[[#This Row],[FY]],2),4,1)&lt;$L$1+1,DATE(20&amp;LEFT(FAAddition[[#This Row],[FY]],2),4,1)&gt;$P$1-1),'FA Addition'!$J182,0)</f>
        <v>0</v>
      </c>
      <c r="U182" s="117">
        <f>S182*'FA Addition'!$L182/'FA Addition'!$J182</f>
        <v>0</v>
      </c>
      <c r="W182" s="116">
        <f>SUMIFS('FA Write off'!D:D,'FA Write off'!A:A,'FA Addition'!$A182,'FA Write off'!C:C,"&lt;"&amp;'FA Addition'!$P$1)</f>
        <v>0</v>
      </c>
      <c r="Y182" s="191">
        <f>IFERROR(W182/'FA Addition'!$J182*'FA Addition'!$L182,0)</f>
        <v>0</v>
      </c>
      <c r="AA182" s="116">
        <f>SUMIFS('FA Write off'!D:D,'FA Write off'!A:A,'FA Addition'!$A182,'FA Write off'!C:C,"&lt;"&amp;'FA Addition'!$L$1+1,'FA Write off'!C:C,"&gt;"&amp;'FA Addition'!$L$1-365)</f>
        <v>0</v>
      </c>
      <c r="AC182" s="118">
        <f>IFERROR(AA182/'FA Addition'!$J182*'FA Addition'!$L182,0)</f>
        <v>0</v>
      </c>
      <c r="AE182" s="117">
        <f>IF(AND('FA Addition'!$D182&lt;$P$1+1,U182=0),'FA Addition'!$L182,0)-Y182</f>
        <v>5460</v>
      </c>
      <c r="AF182" s="117">
        <f t="shared" si="10"/>
        <v>5460</v>
      </c>
      <c r="AG182" s="117">
        <f>MIN(MAX(+$P$1-'FA Addition'!$D182,0),365*'FA Addition'!$O182)</f>
        <v>1095</v>
      </c>
      <c r="AH182" s="117">
        <f>MIN(MAX($L$1-'FA Addition'!$D182+1,0),365*'FA Addition'!$O182)</f>
        <v>1095</v>
      </c>
      <c r="AI182" s="117" cm="1">
        <f t="array" ref="AI182">_xlfn.XLOOKUP(1,('FA Write off'!A:A='FA Addition'!$A182)*('FA Write off'!D:D=AA182),'FA Write off'!H:H,0,0)</f>
        <v>0</v>
      </c>
      <c r="AJ182" s="117">
        <f>IF(AC182&gt;0,MAX(IF('FA Addition'!$N182="SLM",($AC182-'FA Addition'!$M182)*'FA Addition'!$P182*AI182/365,(AC182-'FA Addition'!$M182)*(1-(1-'FA Addition'!$P182)^(AI182/365))),0),0)</f>
        <v>0</v>
      </c>
      <c r="AL182" s="117">
        <f>MAX(IF(AG182&gt;0,IF('FA Addition'!$N182="SLM",($AE182-'FA Addition'!$M182)*'FA Addition'!$P182*AG182/365,IFERROR(VDB(AE182,AE182*0.05,'FA Addition'!$O182,0,YEARFRAC('FA Addition'!$C182,$P$1-1,3),'FA Addition'!$Q182),FAAddition[[#This Row],[Original Cost (Rs)]]-FAAddition[[#This Row],[Salvage Value]])),0),0)</f>
        <v>5187</v>
      </c>
      <c r="AM182" s="119"/>
      <c r="AN182" s="117">
        <f>MAX(IF(AH182&gt;0,IF('FA Addition'!$N182="SLM",($AF182-'FA Addition'!$M182)*'FA Addition'!$P182*AH182/365,IFERROR(VDB(AF182,AF182*0.05,'FA Addition'!$O182,0,YEARFRAC('FA Addition'!$C182,$L$1,3),'FA Addition'!$Q182),FAAddition[[#This Row],[Original Cost (Rs)]]-FAAddition[[#This Row],[Salvage Value]])),0),0)</f>
        <v>5187</v>
      </c>
      <c r="AO182" s="117">
        <f t="shared" si="13"/>
        <v>0</v>
      </c>
      <c r="AQ182" s="117">
        <f t="shared" si="11"/>
        <v>273</v>
      </c>
      <c r="AR182" s="120">
        <f t="shared" si="12"/>
        <v>273</v>
      </c>
      <c r="AS182" s="121"/>
    </row>
    <row r="183" spans="1:45" ht="13.5" x14ac:dyDescent="0.4">
      <c r="A183" s="12">
        <f t="shared" si="14"/>
        <v>180</v>
      </c>
      <c r="B183" s="44" t="s">
        <v>559</v>
      </c>
      <c r="C183" s="45">
        <v>42678</v>
      </c>
      <c r="D183" s="45">
        <v>42678</v>
      </c>
      <c r="E183" s="46" t="s">
        <v>32</v>
      </c>
      <c r="F183" s="44" t="s">
        <v>32</v>
      </c>
      <c r="G183" s="44" t="s">
        <v>597</v>
      </c>
      <c r="H183" s="44" t="s">
        <v>32</v>
      </c>
      <c r="I183" s="47"/>
      <c r="J183" s="56">
        <v>1</v>
      </c>
      <c r="K183" s="44" t="s">
        <v>32</v>
      </c>
      <c r="L183" s="52">
        <v>14474</v>
      </c>
      <c r="M183" s="50">
        <f>ROUND('FA Addition'!$L183*5%,0.1)</f>
        <v>724</v>
      </c>
      <c r="N183" s="113" t="str">
        <f>_xlfn.XLOOKUP(_xlfn.CONCAT(E183,B183),'Year Wise Master Dep Approach'!F:F,'Year Wise Master Dep Approach'!D:D)</f>
        <v>WDV</v>
      </c>
      <c r="O183" s="113">
        <f>_xlfn.XLOOKUP(_xlfn.CONCAT(E183,B183),'Year Wise Master Dep Approach'!F:F,'Year Wise Master Dep Approach'!E:E)</f>
        <v>3</v>
      </c>
      <c r="P183" s="114">
        <f>IFERROR(IF('FA Addition'!$N183="WDV",1-('FA Addition'!$M183/'FA Addition'!$L183)^(1/'FA Addition'!$O183),1/'FA Addition'!$O183),0)</f>
        <v>0.63154595166199723</v>
      </c>
      <c r="Q183" s="122">
        <f>'FA Addition'!$P183*'FA Addition'!$O183</f>
        <v>1.8946378549859917</v>
      </c>
      <c r="R183" s="122"/>
      <c r="S183" s="116">
        <f>IF(AND(DATE(20&amp;LEFT(FAAddition[[#This Row],[FY]],2),4,1)&lt;$L$1+1,DATE(20&amp;LEFT(FAAddition[[#This Row],[FY]],2),4,1)&gt;$P$1-1),'FA Addition'!$J183,0)</f>
        <v>0</v>
      </c>
      <c r="U183" s="117">
        <f>S183*'FA Addition'!$L183/'FA Addition'!$J183</f>
        <v>0</v>
      </c>
      <c r="W183" s="116">
        <f>SUMIFS('FA Write off'!D:D,'FA Write off'!A:A,'FA Addition'!$A183,'FA Write off'!C:C,"&lt;"&amp;'FA Addition'!$P$1)</f>
        <v>0</v>
      </c>
      <c r="Y183" s="191">
        <f>IFERROR(W183/'FA Addition'!$J183*'FA Addition'!$L183,0)</f>
        <v>0</v>
      </c>
      <c r="AA183" s="116">
        <f>SUMIFS('FA Write off'!D:D,'FA Write off'!A:A,'FA Addition'!$A183,'FA Write off'!C:C,"&lt;"&amp;'FA Addition'!$L$1+1,'FA Write off'!C:C,"&gt;"&amp;'FA Addition'!$L$1-365)</f>
        <v>0</v>
      </c>
      <c r="AC183" s="118">
        <f>IFERROR(AA183/'FA Addition'!$J183*'FA Addition'!$L183,0)</f>
        <v>0</v>
      </c>
      <c r="AE183" s="117">
        <f>IF(AND('FA Addition'!$D183&lt;$P$1+1,U183=0),'FA Addition'!$L183,0)-Y183</f>
        <v>14474</v>
      </c>
      <c r="AF183" s="117">
        <f t="shared" si="10"/>
        <v>14474</v>
      </c>
      <c r="AG183" s="117">
        <f>MIN(MAX(+$P$1-'FA Addition'!$D183,0),365*'FA Addition'!$O183)</f>
        <v>1095</v>
      </c>
      <c r="AH183" s="117">
        <f>MIN(MAX($L$1-'FA Addition'!$D183+1,0),365*'FA Addition'!$O183)</f>
        <v>1095</v>
      </c>
      <c r="AI183" s="117" cm="1">
        <f t="array" ref="AI183">_xlfn.XLOOKUP(1,('FA Write off'!A:A='FA Addition'!$A183)*('FA Write off'!D:D=AA183),'FA Write off'!H:H,0,0)</f>
        <v>0</v>
      </c>
      <c r="AJ183" s="117">
        <f>IF(AC183&gt;0,MAX(IF('FA Addition'!$N183="SLM",($AC183-'FA Addition'!$M183)*'FA Addition'!$P183*AI183/365,(AC183-'FA Addition'!$M183)*(1-(1-'FA Addition'!$P183)^(AI183/365))),0),0)</f>
        <v>0</v>
      </c>
      <c r="AL183" s="117">
        <f>MAX(IF(AG183&gt;0,IF('FA Addition'!$N183="SLM",($AE183-'FA Addition'!$M183)*'FA Addition'!$P183*AG183/365,IFERROR(VDB(AE183,AE183*0.05,'FA Addition'!$O183,0,YEARFRAC('FA Addition'!$C183,$P$1-1,3),'FA Addition'!$Q183),FAAddition[[#This Row],[Original Cost (Rs)]]-FAAddition[[#This Row],[Salvage Value]])),0),0)</f>
        <v>13750</v>
      </c>
      <c r="AM183" s="119"/>
      <c r="AN183" s="117">
        <f>MAX(IF(AH183&gt;0,IF('FA Addition'!$N183="SLM",($AF183-'FA Addition'!$M183)*'FA Addition'!$P183*AH183/365,IFERROR(VDB(AF183,AF183*0.05,'FA Addition'!$O183,0,YEARFRAC('FA Addition'!$C183,$L$1,3),'FA Addition'!$Q183),FAAddition[[#This Row],[Original Cost (Rs)]]-FAAddition[[#This Row],[Salvage Value]])),0),0)</f>
        <v>13750</v>
      </c>
      <c r="AO183" s="117">
        <f t="shared" si="13"/>
        <v>0</v>
      </c>
      <c r="AQ183" s="117">
        <f t="shared" si="11"/>
        <v>724</v>
      </c>
      <c r="AR183" s="120">
        <f t="shared" si="12"/>
        <v>724</v>
      </c>
      <c r="AS183" s="121"/>
    </row>
    <row r="184" spans="1:45" ht="13.5" x14ac:dyDescent="0.4">
      <c r="A184" s="12">
        <f t="shared" si="14"/>
        <v>181</v>
      </c>
      <c r="B184" s="44" t="s">
        <v>559</v>
      </c>
      <c r="C184" s="45">
        <v>42678</v>
      </c>
      <c r="D184" s="45">
        <v>42678</v>
      </c>
      <c r="E184" s="46" t="s">
        <v>32</v>
      </c>
      <c r="F184" s="44" t="s">
        <v>32</v>
      </c>
      <c r="G184" s="44" t="s">
        <v>597</v>
      </c>
      <c r="H184" s="44" t="s">
        <v>32</v>
      </c>
      <c r="I184" s="47" t="s">
        <v>651</v>
      </c>
      <c r="J184" s="56">
        <v>1</v>
      </c>
      <c r="K184" s="44" t="s">
        <v>32</v>
      </c>
      <c r="L184" s="52">
        <v>2124</v>
      </c>
      <c r="M184" s="50">
        <f>ROUND('FA Addition'!$L184*5%,0.1)</f>
        <v>106</v>
      </c>
      <c r="N184" s="113" t="str">
        <f>_xlfn.XLOOKUP(_xlfn.CONCAT(E184,B184),'Year Wise Master Dep Approach'!F:F,'Year Wise Master Dep Approach'!D:D)</f>
        <v>WDV</v>
      </c>
      <c r="O184" s="113">
        <f>_xlfn.XLOOKUP(_xlfn.CONCAT(E184,B184),'Year Wise Master Dep Approach'!F:F,'Year Wise Master Dep Approach'!E:E)</f>
        <v>3</v>
      </c>
      <c r="P184" s="114">
        <f>IFERROR(IF('FA Addition'!$N184="WDV",1-('FA Addition'!$M184/'FA Addition'!$L184)^(1/'FA Addition'!$O184),1/'FA Addition'!$O184),0)</f>
        <v>0.63182825921058416</v>
      </c>
      <c r="Q184" s="122">
        <f>'FA Addition'!$P184*'FA Addition'!$O184</f>
        <v>1.8954847776317525</v>
      </c>
      <c r="R184" s="122"/>
      <c r="S184" s="116">
        <f>IF(AND(DATE(20&amp;LEFT(FAAddition[[#This Row],[FY]],2),4,1)&lt;$L$1+1,DATE(20&amp;LEFT(FAAddition[[#This Row],[FY]],2),4,1)&gt;$P$1-1),'FA Addition'!$J184,0)</f>
        <v>0</v>
      </c>
      <c r="U184" s="117">
        <f>S184*'FA Addition'!$L184/'FA Addition'!$J184</f>
        <v>0</v>
      </c>
      <c r="W184" s="116">
        <f>SUMIFS('FA Write off'!D:D,'FA Write off'!A:A,'FA Addition'!$A184,'FA Write off'!C:C,"&lt;"&amp;'FA Addition'!$P$1)</f>
        <v>0</v>
      </c>
      <c r="Y184" s="191">
        <f>IFERROR(W184/'FA Addition'!$J184*'FA Addition'!$L184,0)</f>
        <v>0</v>
      </c>
      <c r="AA184" s="116">
        <f>SUMIFS('FA Write off'!D:D,'FA Write off'!A:A,'FA Addition'!$A184,'FA Write off'!C:C,"&lt;"&amp;'FA Addition'!$L$1+1,'FA Write off'!C:C,"&gt;"&amp;'FA Addition'!$L$1-365)</f>
        <v>0</v>
      </c>
      <c r="AC184" s="118">
        <f>IFERROR(AA184/'FA Addition'!$J184*'FA Addition'!$L184,0)</f>
        <v>0</v>
      </c>
      <c r="AE184" s="117">
        <f>IF(AND('FA Addition'!$D184&lt;$P$1+1,U184=0),'FA Addition'!$L184,0)-Y184</f>
        <v>2124</v>
      </c>
      <c r="AF184" s="117">
        <f t="shared" si="10"/>
        <v>2124</v>
      </c>
      <c r="AG184" s="117">
        <f>MIN(MAX(+$P$1-'FA Addition'!$D184,0),365*'FA Addition'!$O184)</f>
        <v>1095</v>
      </c>
      <c r="AH184" s="117">
        <f>MIN(MAX($L$1-'FA Addition'!$D184+1,0),365*'FA Addition'!$O184)</f>
        <v>1095</v>
      </c>
      <c r="AI184" s="117" cm="1">
        <f t="array" ref="AI184">_xlfn.XLOOKUP(1,('FA Write off'!A:A='FA Addition'!$A184)*('FA Write off'!D:D=AA184),'FA Write off'!H:H,0,0)</f>
        <v>0</v>
      </c>
      <c r="AJ184" s="117">
        <f>IF(AC184&gt;0,MAX(IF('FA Addition'!$N184="SLM",($AC184-'FA Addition'!$M184)*'FA Addition'!$P184*AI184/365,(AC184-'FA Addition'!$M184)*(1-(1-'FA Addition'!$P184)^(AI184/365))),0),0)</f>
        <v>0</v>
      </c>
      <c r="AL184" s="117">
        <f>MAX(IF(AG184&gt;0,IF('FA Addition'!$N184="SLM",($AE184-'FA Addition'!$M184)*'FA Addition'!$P184*AG184/365,IFERROR(VDB(AE184,AE184*0.05,'FA Addition'!$O184,0,YEARFRAC('FA Addition'!$C184,$P$1-1,3),'FA Addition'!$Q184),FAAddition[[#This Row],[Original Cost (Rs)]]-FAAddition[[#This Row],[Salvage Value]])),0),0)</f>
        <v>2018</v>
      </c>
      <c r="AM184" s="119"/>
      <c r="AN184" s="117">
        <f>MAX(IF(AH184&gt;0,IF('FA Addition'!$N184="SLM",($AF184-'FA Addition'!$M184)*'FA Addition'!$P184*AH184/365,IFERROR(VDB(AF184,AF184*0.05,'FA Addition'!$O184,0,YEARFRAC('FA Addition'!$C184,$L$1,3),'FA Addition'!$Q184),FAAddition[[#This Row],[Original Cost (Rs)]]-FAAddition[[#This Row],[Salvage Value]])),0),0)</f>
        <v>2018</v>
      </c>
      <c r="AO184" s="117">
        <f t="shared" si="13"/>
        <v>0</v>
      </c>
      <c r="AQ184" s="117">
        <f t="shared" si="11"/>
        <v>106</v>
      </c>
      <c r="AR184" s="120">
        <f t="shared" si="12"/>
        <v>106</v>
      </c>
      <c r="AS184" s="121"/>
    </row>
    <row r="185" spans="1:45" ht="13.5" x14ac:dyDescent="0.4">
      <c r="A185" s="12">
        <f t="shared" si="14"/>
        <v>182</v>
      </c>
      <c r="B185" s="44" t="s">
        <v>559</v>
      </c>
      <c r="C185" s="45">
        <v>42682</v>
      </c>
      <c r="D185" s="45">
        <v>42682</v>
      </c>
      <c r="E185" s="46" t="s">
        <v>32</v>
      </c>
      <c r="F185" s="44" t="s">
        <v>32</v>
      </c>
      <c r="G185" s="44" t="s">
        <v>652</v>
      </c>
      <c r="H185" s="44" t="s">
        <v>32</v>
      </c>
      <c r="I185" s="47" t="s">
        <v>653</v>
      </c>
      <c r="J185" s="48">
        <v>7</v>
      </c>
      <c r="K185" s="44" t="s">
        <v>654</v>
      </c>
      <c r="L185" s="52">
        <v>7740</v>
      </c>
      <c r="M185" s="50">
        <f>ROUND('FA Addition'!$L185*5%,0.1)</f>
        <v>387</v>
      </c>
      <c r="N185" s="113" t="str">
        <f>_xlfn.XLOOKUP(_xlfn.CONCAT(E185,B185),'Year Wise Master Dep Approach'!F:F,'Year Wise Master Dep Approach'!D:D)</f>
        <v>WDV</v>
      </c>
      <c r="O185" s="113">
        <f>_xlfn.XLOOKUP(_xlfn.CONCAT(E185,B185),'Year Wise Master Dep Approach'!F:F,'Year Wise Master Dep Approach'!E:E)</f>
        <v>3</v>
      </c>
      <c r="P185" s="114">
        <f>IFERROR(IF('FA Addition'!$N185="WDV",1-('FA Addition'!$M185/'FA Addition'!$L185)^(1/'FA Addition'!$O185),1/'FA Addition'!$O185),0)</f>
        <v>0.63159685013596123</v>
      </c>
      <c r="Q185" s="122">
        <f>'FA Addition'!$P185*'FA Addition'!$O185</f>
        <v>1.8947905504078837</v>
      </c>
      <c r="R185" s="122"/>
      <c r="S185" s="116">
        <f>IF(AND(DATE(20&amp;LEFT(FAAddition[[#This Row],[FY]],2),4,1)&lt;$L$1+1,DATE(20&amp;LEFT(FAAddition[[#This Row],[FY]],2),4,1)&gt;$P$1-1),'FA Addition'!$J185,0)</f>
        <v>0</v>
      </c>
      <c r="U185" s="117">
        <f>S185*'FA Addition'!$L185/'FA Addition'!$J185</f>
        <v>0</v>
      </c>
      <c r="W185" s="116">
        <f>SUMIFS('FA Write off'!D:D,'FA Write off'!A:A,'FA Addition'!$A185,'FA Write off'!C:C,"&lt;"&amp;'FA Addition'!$P$1)</f>
        <v>0</v>
      </c>
      <c r="Y185" s="191">
        <f>IFERROR(W185/'FA Addition'!$J185*'FA Addition'!$L185,0)</f>
        <v>0</v>
      </c>
      <c r="AA185" s="116">
        <f>SUMIFS('FA Write off'!D:D,'FA Write off'!A:A,'FA Addition'!$A185,'FA Write off'!C:C,"&lt;"&amp;'FA Addition'!$L$1+1,'FA Write off'!C:C,"&gt;"&amp;'FA Addition'!$L$1-365)</f>
        <v>0</v>
      </c>
      <c r="AC185" s="118">
        <f>IFERROR(AA185/'FA Addition'!$J185*'FA Addition'!$L185,0)</f>
        <v>0</v>
      </c>
      <c r="AE185" s="117">
        <f>IF(AND('FA Addition'!$D185&lt;$P$1+1,U185=0),'FA Addition'!$L185,0)-Y185</f>
        <v>7740</v>
      </c>
      <c r="AF185" s="117">
        <f t="shared" si="10"/>
        <v>7740</v>
      </c>
      <c r="AG185" s="117">
        <f>MIN(MAX(+$P$1-'FA Addition'!$D185,0),365*'FA Addition'!$O185)</f>
        <v>1095</v>
      </c>
      <c r="AH185" s="117">
        <f>MIN(MAX($L$1-'FA Addition'!$D185+1,0),365*'FA Addition'!$O185)</f>
        <v>1095</v>
      </c>
      <c r="AI185" s="117" cm="1">
        <f t="array" ref="AI185">_xlfn.XLOOKUP(1,('FA Write off'!A:A='FA Addition'!$A185)*('FA Write off'!D:D=AA185),'FA Write off'!H:H,0,0)</f>
        <v>0</v>
      </c>
      <c r="AJ185" s="117">
        <f>IF(AC185&gt;0,MAX(IF('FA Addition'!$N185="SLM",($AC185-'FA Addition'!$M185)*'FA Addition'!$P185*AI185/365,(AC185-'FA Addition'!$M185)*(1-(1-'FA Addition'!$P185)^(AI185/365))),0),0)</f>
        <v>0</v>
      </c>
      <c r="AL185" s="117">
        <f>MAX(IF(AG185&gt;0,IF('FA Addition'!$N185="SLM",($AE185-'FA Addition'!$M185)*'FA Addition'!$P185*AG185/365,IFERROR(VDB(AE185,AE185*0.05,'FA Addition'!$O185,0,YEARFRAC('FA Addition'!$C185,$P$1-1,3),'FA Addition'!$Q185),FAAddition[[#This Row],[Original Cost (Rs)]]-FAAddition[[#This Row],[Salvage Value]])),0),0)</f>
        <v>7353</v>
      </c>
      <c r="AM185" s="119"/>
      <c r="AN185" s="117">
        <f>MAX(IF(AH185&gt;0,IF('FA Addition'!$N185="SLM",($AF185-'FA Addition'!$M185)*'FA Addition'!$P185*AH185/365,IFERROR(VDB(AF185,AF185*0.05,'FA Addition'!$O185,0,YEARFRAC('FA Addition'!$C185,$L$1,3),'FA Addition'!$Q185),FAAddition[[#This Row],[Original Cost (Rs)]]-FAAddition[[#This Row],[Salvage Value]])),0),0)</f>
        <v>7353</v>
      </c>
      <c r="AO185" s="117">
        <f t="shared" si="13"/>
        <v>0</v>
      </c>
      <c r="AQ185" s="117">
        <f t="shared" si="11"/>
        <v>387</v>
      </c>
      <c r="AR185" s="120">
        <f t="shared" si="12"/>
        <v>387</v>
      </c>
      <c r="AS185" s="121"/>
    </row>
    <row r="186" spans="1:45" ht="13.5" x14ac:dyDescent="0.4">
      <c r="A186" s="12">
        <f t="shared" si="14"/>
        <v>183</v>
      </c>
      <c r="B186" s="44" t="s">
        <v>559</v>
      </c>
      <c r="C186" s="45">
        <v>42689</v>
      </c>
      <c r="D186" s="45">
        <v>42689</v>
      </c>
      <c r="E186" s="46" t="s">
        <v>32</v>
      </c>
      <c r="F186" s="44" t="s">
        <v>32</v>
      </c>
      <c r="G186" s="44" t="s">
        <v>597</v>
      </c>
      <c r="H186" s="44" t="s">
        <v>32</v>
      </c>
      <c r="I186" s="47" t="s">
        <v>655</v>
      </c>
      <c r="J186" s="56">
        <v>1</v>
      </c>
      <c r="K186" s="44" t="s">
        <v>32</v>
      </c>
      <c r="L186" s="52">
        <v>17736</v>
      </c>
      <c r="M186" s="50">
        <f>ROUND('FA Addition'!$L186*5%,0.1)</f>
        <v>887</v>
      </c>
      <c r="N186" s="113" t="str">
        <f>_xlfn.XLOOKUP(_xlfn.CONCAT(E186,B186),'Year Wise Master Dep Approach'!F:F,'Year Wise Master Dep Approach'!D:D)</f>
        <v>WDV</v>
      </c>
      <c r="O186" s="113">
        <f>_xlfn.XLOOKUP(_xlfn.CONCAT(E186,B186),'Year Wise Master Dep Approach'!F:F,'Year Wise Master Dep Approach'!E:E)</f>
        <v>3</v>
      </c>
      <c r="P186" s="114">
        <f>IFERROR(IF('FA Addition'!$N186="WDV",1-('FA Addition'!$M186/'FA Addition'!$L186)^(1/'FA Addition'!$O186),1/'FA Addition'!$O186),0)</f>
        <v>0.63156915689749993</v>
      </c>
      <c r="Q186" s="122">
        <f>'FA Addition'!$P186*'FA Addition'!$O186</f>
        <v>1.8947074706924998</v>
      </c>
      <c r="R186" s="122"/>
      <c r="S186" s="116">
        <f>IF(AND(DATE(20&amp;LEFT(FAAddition[[#This Row],[FY]],2),4,1)&lt;$L$1+1,DATE(20&amp;LEFT(FAAddition[[#This Row],[FY]],2),4,1)&gt;$P$1-1),'FA Addition'!$J186,0)</f>
        <v>0</v>
      </c>
      <c r="U186" s="117">
        <f>S186*'FA Addition'!$L186/'FA Addition'!$J186</f>
        <v>0</v>
      </c>
      <c r="W186" s="116">
        <f>SUMIFS('FA Write off'!D:D,'FA Write off'!A:A,'FA Addition'!$A186,'FA Write off'!C:C,"&lt;"&amp;'FA Addition'!$P$1)</f>
        <v>0</v>
      </c>
      <c r="Y186" s="191">
        <f>IFERROR(W186/'FA Addition'!$J186*'FA Addition'!$L186,0)</f>
        <v>0</v>
      </c>
      <c r="AA186" s="116">
        <f>SUMIFS('FA Write off'!D:D,'FA Write off'!A:A,'FA Addition'!$A186,'FA Write off'!C:C,"&lt;"&amp;'FA Addition'!$L$1+1,'FA Write off'!C:C,"&gt;"&amp;'FA Addition'!$L$1-365)</f>
        <v>0</v>
      </c>
      <c r="AC186" s="118">
        <f>IFERROR(AA186/'FA Addition'!$J186*'FA Addition'!$L186,0)</f>
        <v>0</v>
      </c>
      <c r="AE186" s="117">
        <f>IF(AND('FA Addition'!$D186&lt;$P$1+1,U186=0),'FA Addition'!$L186,0)-Y186</f>
        <v>17736</v>
      </c>
      <c r="AF186" s="117">
        <f t="shared" si="10"/>
        <v>17736</v>
      </c>
      <c r="AG186" s="117">
        <f>MIN(MAX(+$P$1-'FA Addition'!$D186,0),365*'FA Addition'!$O186)</f>
        <v>1095</v>
      </c>
      <c r="AH186" s="117">
        <f>MIN(MAX($L$1-'FA Addition'!$D186+1,0),365*'FA Addition'!$O186)</f>
        <v>1095</v>
      </c>
      <c r="AI186" s="117" cm="1">
        <f t="array" ref="AI186">_xlfn.XLOOKUP(1,('FA Write off'!A:A='FA Addition'!$A186)*('FA Write off'!D:D=AA186),'FA Write off'!H:H,0,0)</f>
        <v>0</v>
      </c>
      <c r="AJ186" s="117">
        <f>IF(AC186&gt;0,MAX(IF('FA Addition'!$N186="SLM",($AC186-'FA Addition'!$M186)*'FA Addition'!$P186*AI186/365,(AC186-'FA Addition'!$M186)*(1-(1-'FA Addition'!$P186)^(AI186/365))),0),0)</f>
        <v>0</v>
      </c>
      <c r="AL186" s="117">
        <f>MAX(IF(AG186&gt;0,IF('FA Addition'!$N186="SLM",($AE186-'FA Addition'!$M186)*'FA Addition'!$P186*AG186/365,IFERROR(VDB(AE186,AE186*0.05,'FA Addition'!$O186,0,YEARFRAC('FA Addition'!$C186,$P$1-1,3),'FA Addition'!$Q186),FAAddition[[#This Row],[Original Cost (Rs)]]-FAAddition[[#This Row],[Salvage Value]])),0),0)</f>
        <v>16849</v>
      </c>
      <c r="AM186" s="119"/>
      <c r="AN186" s="117">
        <f>MAX(IF(AH186&gt;0,IF('FA Addition'!$N186="SLM",($AF186-'FA Addition'!$M186)*'FA Addition'!$P186*AH186/365,IFERROR(VDB(AF186,AF186*0.05,'FA Addition'!$O186,0,YEARFRAC('FA Addition'!$C186,$L$1,3),'FA Addition'!$Q186),FAAddition[[#This Row],[Original Cost (Rs)]]-FAAddition[[#This Row],[Salvage Value]])),0),0)</f>
        <v>16849</v>
      </c>
      <c r="AO186" s="117">
        <f t="shared" si="13"/>
        <v>0</v>
      </c>
      <c r="AQ186" s="117">
        <f t="shared" si="11"/>
        <v>887</v>
      </c>
      <c r="AR186" s="120">
        <f t="shared" si="12"/>
        <v>887</v>
      </c>
      <c r="AS186" s="121"/>
    </row>
    <row r="187" spans="1:45" ht="13.5" x14ac:dyDescent="0.4">
      <c r="A187" s="12">
        <f t="shared" si="14"/>
        <v>184</v>
      </c>
      <c r="B187" s="44" t="s">
        <v>559</v>
      </c>
      <c r="C187" s="45">
        <v>42692</v>
      </c>
      <c r="D187" s="45">
        <v>42692</v>
      </c>
      <c r="E187" s="46" t="s">
        <v>32</v>
      </c>
      <c r="F187" s="44" t="s">
        <v>32</v>
      </c>
      <c r="G187" s="44" t="s">
        <v>433</v>
      </c>
      <c r="H187" s="44" t="s">
        <v>32</v>
      </c>
      <c r="I187" s="47" t="s">
        <v>656</v>
      </c>
      <c r="J187" s="48">
        <v>100</v>
      </c>
      <c r="K187" s="44" t="s">
        <v>600</v>
      </c>
      <c r="L187" s="52">
        <v>102375</v>
      </c>
      <c r="M187" s="50">
        <f>ROUND('FA Addition'!$L187*5%,0.1)</f>
        <v>5119</v>
      </c>
      <c r="N187" s="113" t="str">
        <f>_xlfn.XLOOKUP(_xlfn.CONCAT(E187,B187),'Year Wise Master Dep Approach'!F:F,'Year Wise Master Dep Approach'!D:D)</f>
        <v>WDV</v>
      </c>
      <c r="O187" s="113">
        <f>_xlfn.XLOOKUP(_xlfn.CONCAT(E187,B187),'Year Wise Master Dep Approach'!F:F,'Year Wise Master Dep Approach'!E:E)</f>
        <v>3</v>
      </c>
      <c r="P187" s="114">
        <f>IFERROR(IF('FA Addition'!$N187="WDV",1-('FA Addition'!$M187/'FA Addition'!$L187)^(1/'FA Addition'!$O187),1/'FA Addition'!$O187),0)</f>
        <v>0.63159085262432246</v>
      </c>
      <c r="Q187" s="122">
        <f>'FA Addition'!$P187*'FA Addition'!$O187</f>
        <v>1.8947725578729675</v>
      </c>
      <c r="R187" s="122"/>
      <c r="S187" s="116">
        <f>IF(AND(DATE(20&amp;LEFT(FAAddition[[#This Row],[FY]],2),4,1)&lt;$L$1+1,DATE(20&amp;LEFT(FAAddition[[#This Row],[FY]],2),4,1)&gt;$P$1-1),'FA Addition'!$J187,0)</f>
        <v>0</v>
      </c>
      <c r="U187" s="117">
        <f>S187*'FA Addition'!$L187/'FA Addition'!$J187</f>
        <v>0</v>
      </c>
      <c r="W187" s="116">
        <f>SUMIFS('FA Write off'!D:D,'FA Write off'!A:A,'FA Addition'!$A187,'FA Write off'!C:C,"&lt;"&amp;'FA Addition'!$P$1)</f>
        <v>5</v>
      </c>
      <c r="Y187" s="191">
        <f>IFERROR(W187/'FA Addition'!$J187*'FA Addition'!$L187,0)</f>
        <v>5118.75</v>
      </c>
      <c r="AA187" s="116">
        <f>SUMIFS('FA Write off'!D:D,'FA Write off'!A:A,'FA Addition'!$A187,'FA Write off'!C:C,"&lt;"&amp;'FA Addition'!$L$1+1,'FA Write off'!C:C,"&gt;"&amp;'FA Addition'!$L$1-365)</f>
        <v>0</v>
      </c>
      <c r="AC187" s="191">
        <f>IFERROR(AA187/'FA Addition'!$J187*'FA Addition'!$L187,0)</f>
        <v>0</v>
      </c>
      <c r="AE187" s="117">
        <f>IF(AND('FA Addition'!$D187&lt;$P$1+1,U187=0),'FA Addition'!$L187,0)-Y187</f>
        <v>97256.25</v>
      </c>
      <c r="AF187" s="117">
        <f t="shared" si="10"/>
        <v>97256.25</v>
      </c>
      <c r="AG187" s="117">
        <f>MIN(MAX(+$P$1-'FA Addition'!$D187,0),365*'FA Addition'!$O187)</f>
        <v>1095</v>
      </c>
      <c r="AH187" s="117">
        <f>MIN(MAX($L$1-'FA Addition'!$D187+1,0),365*'FA Addition'!$O187)</f>
        <v>1095</v>
      </c>
      <c r="AI187" s="117" cm="1">
        <f t="array" ref="AI187">_xlfn.XLOOKUP(1,('FA Write off'!A:A='FA Addition'!$A187)*('FA Write off'!D:D=AA187),'FA Write off'!H:H,0,0)</f>
        <v>0</v>
      </c>
      <c r="AJ187" s="117">
        <f>IF(AC187&gt;0,MAX(IF('FA Addition'!$N187="SLM",($AC187-'FA Addition'!$M187)*'FA Addition'!$P187*AI187/365,(AC187-'FA Addition'!$M187)*(1-(1-'FA Addition'!$P187)^(AI187/365))),0),0)</f>
        <v>0</v>
      </c>
      <c r="AL187" s="117">
        <f>MAX(IF(AG187&gt;0,IF('FA Addition'!$N187="SLM",($AE187-'FA Addition'!$M187)*'FA Addition'!$P187*AG187/365,IFERROR(VDB(AE187,AE187*0.05,'FA Addition'!$O187,0,YEARFRAC('FA Addition'!$C187,$P$1-1,3),'FA Addition'!$Q187),FAAddition[[#This Row],[Original Cost (Rs)]]-FAAddition[[#This Row],[Salvage Value]])),0),0)</f>
        <v>97256</v>
      </c>
      <c r="AM187" s="119"/>
      <c r="AN187" s="117">
        <f>MAX(IF(AH187&gt;0,IF('FA Addition'!$N187="SLM",($AF187-'FA Addition'!$M187)*'FA Addition'!$P187*AH187/365,IFERROR(VDB(AF187,AF187*0.05,'FA Addition'!$O187,0,YEARFRAC('FA Addition'!$C187,$L$1,3),'FA Addition'!$Q187),FAAddition[[#This Row],[Original Cost (Rs)]]-FAAddition[[#This Row],[Salvage Value]])),0),0)</f>
        <v>97256</v>
      </c>
      <c r="AO187" s="117">
        <f t="shared" si="13"/>
        <v>0</v>
      </c>
      <c r="AQ187" s="117">
        <f t="shared" si="11"/>
        <v>0.25</v>
      </c>
      <c r="AR187" s="120">
        <f t="shared" si="12"/>
        <v>0.25</v>
      </c>
      <c r="AS187" s="121"/>
    </row>
    <row r="188" spans="1:45" ht="13.5" x14ac:dyDescent="0.4">
      <c r="A188" s="12">
        <f t="shared" si="14"/>
        <v>185</v>
      </c>
      <c r="B188" s="51" t="s">
        <v>559</v>
      </c>
      <c r="C188" s="54">
        <v>42698</v>
      </c>
      <c r="D188" s="54">
        <v>42698</v>
      </c>
      <c r="E188" s="46" t="s">
        <v>32</v>
      </c>
      <c r="F188" s="51" t="s">
        <v>32</v>
      </c>
      <c r="G188" s="51" t="s">
        <v>657</v>
      </c>
      <c r="H188" s="51" t="s">
        <v>32</v>
      </c>
      <c r="I188" s="55"/>
      <c r="J188" s="56">
        <v>1</v>
      </c>
      <c r="K188" s="51" t="s">
        <v>658</v>
      </c>
      <c r="L188" s="58">
        <v>20178</v>
      </c>
      <c r="M188" s="50">
        <f>ROUND('FA Addition'!$L188*5%,0.1)</f>
        <v>1009</v>
      </c>
      <c r="N188" s="113" t="str">
        <f>_xlfn.XLOOKUP(_xlfn.CONCAT(E188,B188),'Year Wise Master Dep Approach'!F:F,'Year Wise Master Dep Approach'!D:D)</f>
        <v>WDV</v>
      </c>
      <c r="O188" s="113">
        <f>_xlfn.XLOOKUP(_xlfn.CONCAT(E188,B188),'Year Wise Master Dep Approach'!F:F,'Year Wise Master Dep Approach'!E:E)</f>
        <v>3</v>
      </c>
      <c r="P188" s="114">
        <f>IFERROR(IF('FA Addition'!$N188="WDV",1-('FA Addition'!$M188/'FA Addition'!$L188)^(1/'FA Addition'!$O188),1/'FA Addition'!$O188),0)</f>
        <v>0.6315846787618985</v>
      </c>
      <c r="Q188" s="122">
        <f>'FA Addition'!$P188*'FA Addition'!$O188</f>
        <v>1.8947540362856956</v>
      </c>
      <c r="R188" s="122"/>
      <c r="S188" s="116">
        <f>IF(AND(DATE(20&amp;LEFT(FAAddition[[#This Row],[FY]],2),4,1)&lt;$L$1+1,DATE(20&amp;LEFT(FAAddition[[#This Row],[FY]],2),4,1)&gt;$P$1-1),'FA Addition'!$J188,0)</f>
        <v>0</v>
      </c>
      <c r="U188" s="117">
        <f>S188*'FA Addition'!$L188/'FA Addition'!$J188</f>
        <v>0</v>
      </c>
      <c r="W188" s="116">
        <f>SUMIFS('FA Write off'!D:D,'FA Write off'!A:A,'FA Addition'!$A188,'FA Write off'!C:C,"&lt;"&amp;'FA Addition'!$P$1)</f>
        <v>0</v>
      </c>
      <c r="Y188" s="191">
        <f>IFERROR(W188/'FA Addition'!$J188*'FA Addition'!$L188,0)</f>
        <v>0</v>
      </c>
      <c r="AA188" s="116">
        <f>SUMIFS('FA Write off'!D:D,'FA Write off'!A:A,'FA Addition'!$A188,'FA Write off'!C:C,"&lt;"&amp;'FA Addition'!$L$1+1,'FA Write off'!C:C,"&gt;"&amp;'FA Addition'!$L$1-365)</f>
        <v>0</v>
      </c>
      <c r="AC188" s="118">
        <f>IFERROR(AA188/'FA Addition'!$J188*'FA Addition'!$L188,0)</f>
        <v>0</v>
      </c>
      <c r="AE188" s="117">
        <f>IF(AND('FA Addition'!$D188&lt;$P$1+1,U188=0),'FA Addition'!$L188,0)-Y188</f>
        <v>20178</v>
      </c>
      <c r="AF188" s="117">
        <f t="shared" si="10"/>
        <v>20178</v>
      </c>
      <c r="AG188" s="117">
        <f>MIN(MAX(+$P$1-'FA Addition'!$D188,0),365*'FA Addition'!$O188)</f>
        <v>1095</v>
      </c>
      <c r="AH188" s="117">
        <f>MIN(MAX($L$1-'FA Addition'!$D188+1,0),365*'FA Addition'!$O188)</f>
        <v>1095</v>
      </c>
      <c r="AI188" s="117" cm="1">
        <f t="array" ref="AI188">_xlfn.XLOOKUP(1,('FA Write off'!A:A='FA Addition'!$A188)*('FA Write off'!D:D=AA188),'FA Write off'!H:H,0,0)</f>
        <v>0</v>
      </c>
      <c r="AJ188" s="117">
        <f>IF(AC188&gt;0,MAX(IF('FA Addition'!$N188="SLM",($AC188-'FA Addition'!$M188)*'FA Addition'!$P188*AI188/365,(AC188-'FA Addition'!$M188)*(1-(1-'FA Addition'!$P188)^(AI188/365))),0),0)</f>
        <v>0</v>
      </c>
      <c r="AL188" s="117">
        <f>MAX(IF(AG188&gt;0,IF('FA Addition'!$N188="SLM",($AE188-'FA Addition'!$M188)*'FA Addition'!$P188*AG188/365,IFERROR(VDB(AE188,AE188*0.05,'FA Addition'!$O188,0,YEARFRAC('FA Addition'!$C188,$P$1-1,3),'FA Addition'!$Q188),FAAddition[[#This Row],[Original Cost (Rs)]]-FAAddition[[#This Row],[Salvage Value]])),0),0)</f>
        <v>19169</v>
      </c>
      <c r="AM188" s="119"/>
      <c r="AN188" s="117">
        <f>MAX(IF(AH188&gt;0,IF('FA Addition'!$N188="SLM",($AF188-'FA Addition'!$M188)*'FA Addition'!$P188*AH188/365,IFERROR(VDB(AF188,AF188*0.05,'FA Addition'!$O188,0,YEARFRAC('FA Addition'!$C188,$L$1,3),'FA Addition'!$Q188),FAAddition[[#This Row],[Original Cost (Rs)]]-FAAddition[[#This Row],[Salvage Value]])),0),0)</f>
        <v>19169</v>
      </c>
      <c r="AO188" s="117">
        <f t="shared" si="13"/>
        <v>0</v>
      </c>
      <c r="AQ188" s="117">
        <f t="shared" si="11"/>
        <v>1009</v>
      </c>
      <c r="AR188" s="120">
        <f t="shared" si="12"/>
        <v>1009</v>
      </c>
      <c r="AS188" s="121"/>
    </row>
    <row r="189" spans="1:45" ht="13.5" x14ac:dyDescent="0.4">
      <c r="A189" s="12">
        <f t="shared" si="14"/>
        <v>186</v>
      </c>
      <c r="B189" s="44" t="s">
        <v>559</v>
      </c>
      <c r="C189" s="45">
        <v>42702</v>
      </c>
      <c r="D189" s="45">
        <v>42702</v>
      </c>
      <c r="E189" s="46" t="s">
        <v>32</v>
      </c>
      <c r="F189" s="44" t="s">
        <v>32</v>
      </c>
      <c r="G189" s="44" t="s">
        <v>572</v>
      </c>
      <c r="H189" s="44" t="s">
        <v>32</v>
      </c>
      <c r="I189" s="47" t="s">
        <v>659</v>
      </c>
      <c r="J189" s="48">
        <v>25</v>
      </c>
      <c r="K189" s="44" t="s">
        <v>618</v>
      </c>
      <c r="L189" s="52">
        <v>28326</v>
      </c>
      <c r="M189" s="50">
        <f>ROUND('FA Addition'!$L189*5%,0.1)</f>
        <v>1416</v>
      </c>
      <c r="N189" s="113" t="str">
        <f>_xlfn.XLOOKUP(_xlfn.CONCAT(E189,B189),'Year Wise Master Dep Approach'!F:F,'Year Wise Master Dep Approach'!D:D)</f>
        <v>WDV</v>
      </c>
      <c r="O189" s="113">
        <f>_xlfn.XLOOKUP(_xlfn.CONCAT(E189,B189),'Year Wise Master Dep Approach'!F:F,'Year Wise Master Dep Approach'!E:E)</f>
        <v>3</v>
      </c>
      <c r="P189" s="114">
        <f>IFERROR(IF('FA Addition'!$N189="WDV",1-('FA Addition'!$M189/'FA Addition'!$L189)^(1/'FA Addition'!$O189),1/'FA Addition'!$O189),0)</f>
        <v>0.63162286363342557</v>
      </c>
      <c r="Q189" s="122">
        <f>'FA Addition'!$P189*'FA Addition'!$O189</f>
        <v>1.8948685909002767</v>
      </c>
      <c r="R189" s="122"/>
      <c r="S189" s="116">
        <f>IF(AND(DATE(20&amp;LEFT(FAAddition[[#This Row],[FY]],2),4,1)&lt;$L$1+1,DATE(20&amp;LEFT(FAAddition[[#This Row],[FY]],2),4,1)&gt;$P$1-1),'FA Addition'!$J189,0)</f>
        <v>0</v>
      </c>
      <c r="U189" s="117">
        <f>S189*'FA Addition'!$L189/'FA Addition'!$J189</f>
        <v>0</v>
      </c>
      <c r="W189" s="116">
        <f>SUMIFS('FA Write off'!D:D,'FA Write off'!A:A,'FA Addition'!$A189,'FA Write off'!C:C,"&lt;"&amp;'FA Addition'!$P$1)</f>
        <v>2</v>
      </c>
      <c r="Y189" s="191">
        <f>IFERROR(W189/'FA Addition'!$J189*'FA Addition'!$L189,0)</f>
        <v>2266.08</v>
      </c>
      <c r="AA189" s="116">
        <f>SUMIFS('FA Write off'!D:D,'FA Write off'!A:A,'FA Addition'!$A189,'FA Write off'!C:C,"&lt;"&amp;'FA Addition'!$L$1+1,'FA Write off'!C:C,"&gt;"&amp;'FA Addition'!$L$1-365)</f>
        <v>0</v>
      </c>
      <c r="AC189" s="191">
        <f>IFERROR(AA189/'FA Addition'!$J189*'FA Addition'!$L189,0)</f>
        <v>0</v>
      </c>
      <c r="AE189" s="117">
        <f>IF(AND('FA Addition'!$D189&lt;$P$1+1,U189=0),'FA Addition'!$L189,0)-Y189</f>
        <v>26059.919999999998</v>
      </c>
      <c r="AF189" s="117">
        <f t="shared" si="10"/>
        <v>26059.919999999998</v>
      </c>
      <c r="AG189" s="117">
        <f>MIN(MAX(+$P$1-'FA Addition'!$D189,0),365*'FA Addition'!$O189)</f>
        <v>1095</v>
      </c>
      <c r="AH189" s="117">
        <f>MIN(MAX($L$1-'FA Addition'!$D189+1,0),365*'FA Addition'!$O189)</f>
        <v>1095</v>
      </c>
      <c r="AI189" s="117" cm="1">
        <f t="array" ref="AI189">_xlfn.XLOOKUP(1,('FA Write off'!A:A='FA Addition'!$A189)*('FA Write off'!D:D=AA189),'FA Write off'!H:H,0,0)</f>
        <v>0</v>
      </c>
      <c r="AJ189" s="117">
        <f>IF(AC189&gt;0,MAX(IF('FA Addition'!$N189="SLM",($AC189-'FA Addition'!$M189)*'FA Addition'!$P189*AI189/365,(AC189-'FA Addition'!$M189)*(1-(1-'FA Addition'!$P189)^(AI189/365))),0),0)</f>
        <v>0</v>
      </c>
      <c r="AL189" s="117">
        <f>MAX(IF(AG189&gt;0,IF('FA Addition'!$N189="SLM",($AE189-'FA Addition'!$M189)*'FA Addition'!$P189*AG189/365,IFERROR(VDB(AE189,AE189*0.05,'FA Addition'!$O189,0,YEARFRAC('FA Addition'!$C189,$P$1-1,3),'FA Addition'!$Q189),FAAddition[[#This Row],[Original Cost (Rs)]]-FAAddition[[#This Row],[Salvage Value]])),0),0)</f>
        <v>26910</v>
      </c>
      <c r="AM189" s="119"/>
      <c r="AN189" s="117">
        <f>MAX(IF(AH189&gt;0,IF('FA Addition'!$N189="SLM",($AF189-'FA Addition'!$M189)*'FA Addition'!$P189*AH189/365,IFERROR(VDB(AF189,AF189*0.05,'FA Addition'!$O189,0,YEARFRAC('FA Addition'!$C189,$L$1,3),'FA Addition'!$Q189),FAAddition[[#This Row],[Original Cost (Rs)]]-FAAddition[[#This Row],[Salvage Value]])),0),0)</f>
        <v>26910</v>
      </c>
      <c r="AO189" s="117">
        <f t="shared" si="13"/>
        <v>0</v>
      </c>
      <c r="AQ189" s="117">
        <f t="shared" si="11"/>
        <v>-850.08000000000175</v>
      </c>
      <c r="AR189" s="120">
        <f t="shared" si="12"/>
        <v>-850.08000000000175</v>
      </c>
      <c r="AS189" s="121"/>
    </row>
    <row r="190" spans="1:45" ht="13.5" x14ac:dyDescent="0.4">
      <c r="A190" s="12">
        <f t="shared" si="14"/>
        <v>187</v>
      </c>
      <c r="B190" s="44" t="s">
        <v>559</v>
      </c>
      <c r="C190" s="45">
        <v>42704</v>
      </c>
      <c r="D190" s="45">
        <v>42704</v>
      </c>
      <c r="E190" s="46" t="s">
        <v>207</v>
      </c>
      <c r="F190" s="44" t="s">
        <v>147</v>
      </c>
      <c r="G190" s="44" t="s">
        <v>660</v>
      </c>
      <c r="H190" s="44" t="s">
        <v>207</v>
      </c>
      <c r="I190" s="47">
        <v>1928</v>
      </c>
      <c r="J190" s="56">
        <v>1</v>
      </c>
      <c r="K190" s="44" t="s">
        <v>661</v>
      </c>
      <c r="L190" s="52">
        <v>8400</v>
      </c>
      <c r="M190" s="50">
        <f>ROUND('FA Addition'!$L190*5%,0.1)</f>
        <v>420</v>
      </c>
      <c r="N190" s="113" t="str">
        <f>_xlfn.XLOOKUP(_xlfn.CONCAT(E190,B190),'Year Wise Master Dep Approach'!F:F,'Year Wise Master Dep Approach'!D:D)</f>
        <v>WDV</v>
      </c>
      <c r="O190" s="113">
        <f>_xlfn.XLOOKUP(_xlfn.CONCAT(E190,B190),'Year Wise Master Dep Approach'!F:F,'Year Wise Master Dep Approach'!E:E)</f>
        <v>5</v>
      </c>
      <c r="P190" s="114">
        <f>IFERROR(IF('FA Addition'!$N190="WDV",1-('FA Addition'!$M190/'FA Addition'!$L190)^(1/'FA Addition'!$O190),1/'FA Addition'!$O190),0)</f>
        <v>0.45071972834694107</v>
      </c>
      <c r="Q190" s="122">
        <f>'FA Addition'!$P190*'FA Addition'!$O190</f>
        <v>2.2535986417347056</v>
      </c>
      <c r="R190" s="122"/>
      <c r="S190" s="116">
        <f>IF(AND(DATE(20&amp;LEFT(FAAddition[[#This Row],[FY]],2),4,1)&lt;$L$1+1,DATE(20&amp;LEFT(FAAddition[[#This Row],[FY]],2),4,1)&gt;$P$1-1),'FA Addition'!$J190,0)</f>
        <v>0</v>
      </c>
      <c r="U190" s="117">
        <f>S190*'FA Addition'!$L190/'FA Addition'!$J190</f>
        <v>0</v>
      </c>
      <c r="W190" s="116">
        <f>SUMIFS('FA Write off'!D:D,'FA Write off'!A:A,'FA Addition'!$A190,'FA Write off'!C:C,"&lt;"&amp;'FA Addition'!$P$1)</f>
        <v>0</v>
      </c>
      <c r="Y190" s="191">
        <f>IFERROR(W190/'FA Addition'!$J190*'FA Addition'!$L190,0)</f>
        <v>0</v>
      </c>
      <c r="AA190" s="116">
        <f>SUMIFS('FA Write off'!D:D,'FA Write off'!A:A,'FA Addition'!$A190,'FA Write off'!C:C,"&lt;"&amp;'FA Addition'!$L$1+1,'FA Write off'!C:C,"&gt;"&amp;'FA Addition'!$L$1-365)</f>
        <v>0</v>
      </c>
      <c r="AC190" s="118">
        <f>IFERROR(AA190/'FA Addition'!$J190*'FA Addition'!$L190,0)</f>
        <v>0</v>
      </c>
      <c r="AE190" s="117">
        <f>IF(AND('FA Addition'!$D190&lt;$P$1+1,U190=0),'FA Addition'!$L190,0)-Y190</f>
        <v>8400</v>
      </c>
      <c r="AF190" s="117">
        <f t="shared" si="10"/>
        <v>8400</v>
      </c>
      <c r="AG190" s="117">
        <f>MIN(MAX(+$P$1-'FA Addition'!$D190,0),365*'FA Addition'!$O190)</f>
        <v>1825</v>
      </c>
      <c r="AH190" s="117">
        <f>MIN(MAX($L$1-'FA Addition'!$D190+1,0),365*'FA Addition'!$O190)</f>
        <v>1825</v>
      </c>
      <c r="AI190" s="117" cm="1">
        <f t="array" ref="AI190">_xlfn.XLOOKUP(1,('FA Write off'!A:A='FA Addition'!$A190)*('FA Write off'!D:D=AA190),'FA Write off'!H:H,0,0)</f>
        <v>0</v>
      </c>
      <c r="AJ190" s="117">
        <f>IF(AC190&gt;0,MAX(IF('FA Addition'!$N190="SLM",($AC190-'FA Addition'!$M190)*'FA Addition'!$P190*AI190/365,(AC190-'FA Addition'!$M190)*(1-(1-'FA Addition'!$P190)^(AI190/365))),0),0)</f>
        <v>0</v>
      </c>
      <c r="AL190" s="117">
        <f>MAX(IF(AG190&gt;0,IF('FA Addition'!$N190="SLM",($AE190-'FA Addition'!$M190)*'FA Addition'!$P190*AG190/365,IFERROR(VDB(AE190,AE190*0.05,'FA Addition'!$O190,0,YEARFRAC('FA Addition'!$C190,$P$1-1,3),'FA Addition'!$Q190),FAAddition[[#This Row],[Original Cost (Rs)]]-FAAddition[[#This Row],[Salvage Value]])),0),0)</f>
        <v>7980</v>
      </c>
      <c r="AM190" s="119"/>
      <c r="AN190" s="117">
        <f>MAX(IF(AH190&gt;0,IF('FA Addition'!$N190="SLM",($AF190-'FA Addition'!$M190)*'FA Addition'!$P190*AH190/365,IFERROR(VDB(AF190,AF190*0.05,'FA Addition'!$O190,0,YEARFRAC('FA Addition'!$C190,$L$1,3),'FA Addition'!$Q190),FAAddition[[#This Row],[Original Cost (Rs)]]-FAAddition[[#This Row],[Salvage Value]])),0),0)</f>
        <v>7980</v>
      </c>
      <c r="AO190" s="117">
        <f t="shared" si="13"/>
        <v>0</v>
      </c>
      <c r="AQ190" s="117">
        <f t="shared" si="11"/>
        <v>420</v>
      </c>
      <c r="AR190" s="120">
        <f t="shared" si="12"/>
        <v>420</v>
      </c>
      <c r="AS190" s="121"/>
    </row>
    <row r="191" spans="1:45" ht="13.5" x14ac:dyDescent="0.4">
      <c r="A191" s="12">
        <f t="shared" si="14"/>
        <v>188</v>
      </c>
      <c r="B191" s="44" t="s">
        <v>559</v>
      </c>
      <c r="C191" s="45">
        <v>42707</v>
      </c>
      <c r="D191" s="45">
        <v>42707</v>
      </c>
      <c r="E191" s="46" t="s">
        <v>32</v>
      </c>
      <c r="F191" s="44" t="s">
        <v>32</v>
      </c>
      <c r="G191" s="44" t="s">
        <v>662</v>
      </c>
      <c r="H191" s="44" t="s">
        <v>32</v>
      </c>
      <c r="I191" s="47" t="s">
        <v>663</v>
      </c>
      <c r="J191" s="56">
        <v>1</v>
      </c>
      <c r="K191" s="44" t="s">
        <v>32</v>
      </c>
      <c r="L191" s="52">
        <v>1693</v>
      </c>
      <c r="M191" s="50">
        <f>ROUND('FA Addition'!$L191*5%,0.1)</f>
        <v>85</v>
      </c>
      <c r="N191" s="113" t="str">
        <f>_xlfn.XLOOKUP(_xlfn.CONCAT(E191,B191),'Year Wise Master Dep Approach'!F:F,'Year Wise Master Dep Approach'!D:D)</f>
        <v>WDV</v>
      </c>
      <c r="O191" s="113">
        <f>_xlfn.XLOOKUP(_xlfn.CONCAT(E191,B191),'Year Wise Master Dep Approach'!F:F,'Year Wise Master Dep Approach'!E:E)</f>
        <v>3</v>
      </c>
      <c r="P191" s="114">
        <f>IFERROR(IF('FA Addition'!$N191="WDV",1-('FA Addition'!$M191/'FA Addition'!$L191)^(1/'FA Addition'!$O191),1/'FA Addition'!$O191),0)</f>
        <v>0.63108980623043942</v>
      </c>
      <c r="Q191" s="122">
        <f>'FA Addition'!$P191*'FA Addition'!$O191</f>
        <v>1.8932694186913182</v>
      </c>
      <c r="R191" s="122"/>
      <c r="S191" s="116">
        <f>IF(AND(DATE(20&amp;LEFT(FAAddition[[#This Row],[FY]],2),4,1)&lt;$L$1+1,DATE(20&amp;LEFT(FAAddition[[#This Row],[FY]],2),4,1)&gt;$P$1-1),'FA Addition'!$J191,0)</f>
        <v>0</v>
      </c>
      <c r="U191" s="117">
        <f>S191*'FA Addition'!$L191/'FA Addition'!$J191</f>
        <v>0</v>
      </c>
      <c r="W191" s="116">
        <f>SUMIFS('FA Write off'!D:D,'FA Write off'!A:A,'FA Addition'!$A191,'FA Write off'!C:C,"&lt;"&amp;'FA Addition'!$P$1)</f>
        <v>0</v>
      </c>
      <c r="Y191" s="191">
        <f>IFERROR(W191/'FA Addition'!$J191*'FA Addition'!$L191,0)</f>
        <v>0</v>
      </c>
      <c r="AA191" s="116">
        <f>SUMIFS('FA Write off'!D:D,'FA Write off'!A:A,'FA Addition'!$A191,'FA Write off'!C:C,"&lt;"&amp;'FA Addition'!$L$1+1,'FA Write off'!C:C,"&gt;"&amp;'FA Addition'!$L$1-365)</f>
        <v>0</v>
      </c>
      <c r="AC191" s="118">
        <f>IFERROR(AA191/'FA Addition'!$J191*'FA Addition'!$L191,0)</f>
        <v>0</v>
      </c>
      <c r="AE191" s="117">
        <f>IF(AND('FA Addition'!$D191&lt;$P$1+1,U191=0),'FA Addition'!$L191,0)-Y191</f>
        <v>1693</v>
      </c>
      <c r="AF191" s="117">
        <f t="shared" si="10"/>
        <v>1693</v>
      </c>
      <c r="AG191" s="117">
        <f>MIN(MAX(+$P$1-'FA Addition'!$D191,0),365*'FA Addition'!$O191)</f>
        <v>1095</v>
      </c>
      <c r="AH191" s="117">
        <f>MIN(MAX($L$1-'FA Addition'!$D191+1,0),365*'FA Addition'!$O191)</f>
        <v>1095</v>
      </c>
      <c r="AI191" s="117" cm="1">
        <f t="array" ref="AI191">_xlfn.XLOOKUP(1,('FA Write off'!A:A='FA Addition'!$A191)*('FA Write off'!D:D=AA191),'FA Write off'!H:H,0,0)</f>
        <v>0</v>
      </c>
      <c r="AJ191" s="117">
        <f>IF(AC191&gt;0,MAX(IF('FA Addition'!$N191="SLM",($AC191-'FA Addition'!$M191)*'FA Addition'!$P191*AI191/365,(AC191-'FA Addition'!$M191)*(1-(1-'FA Addition'!$P191)^(AI191/365))),0),0)</f>
        <v>0</v>
      </c>
      <c r="AL191" s="117">
        <f>MAX(IF(AG191&gt;0,IF('FA Addition'!$N191="SLM",($AE191-'FA Addition'!$M191)*'FA Addition'!$P191*AG191/365,IFERROR(VDB(AE191,AE191*0.05,'FA Addition'!$O191,0,YEARFRAC('FA Addition'!$C191,$P$1-1,3),'FA Addition'!$Q191),FAAddition[[#This Row],[Original Cost (Rs)]]-FAAddition[[#This Row],[Salvage Value]])),0),0)</f>
        <v>1608</v>
      </c>
      <c r="AM191" s="119"/>
      <c r="AN191" s="117">
        <f>MAX(IF(AH191&gt;0,IF('FA Addition'!$N191="SLM",($AF191-'FA Addition'!$M191)*'FA Addition'!$P191*AH191/365,IFERROR(VDB(AF191,AF191*0.05,'FA Addition'!$O191,0,YEARFRAC('FA Addition'!$C191,$L$1,3),'FA Addition'!$Q191),FAAddition[[#This Row],[Original Cost (Rs)]]-FAAddition[[#This Row],[Salvage Value]])),0),0)</f>
        <v>1608</v>
      </c>
      <c r="AO191" s="117">
        <f t="shared" si="13"/>
        <v>0</v>
      </c>
      <c r="AQ191" s="117">
        <f t="shared" si="11"/>
        <v>85</v>
      </c>
      <c r="AR191" s="120">
        <f t="shared" si="12"/>
        <v>85</v>
      </c>
      <c r="AS191" s="121"/>
    </row>
    <row r="192" spans="1:45" ht="13.5" x14ac:dyDescent="0.4">
      <c r="A192" s="12">
        <f t="shared" si="14"/>
        <v>189</v>
      </c>
      <c r="B192" s="51" t="s">
        <v>559</v>
      </c>
      <c r="C192" s="54">
        <v>42709</v>
      </c>
      <c r="D192" s="54">
        <v>42709</v>
      </c>
      <c r="E192" s="46" t="s">
        <v>451</v>
      </c>
      <c r="F192" s="51" t="s">
        <v>21</v>
      </c>
      <c r="G192" s="51" t="s">
        <v>664</v>
      </c>
      <c r="H192" s="51" t="s">
        <v>21</v>
      </c>
      <c r="I192" s="55"/>
      <c r="J192" s="56">
        <v>1</v>
      </c>
      <c r="K192" s="51" t="s">
        <v>21</v>
      </c>
      <c r="L192" s="58">
        <v>64484</v>
      </c>
      <c r="M192" s="50">
        <f>ROUND('FA Addition'!$L192*5%,0.1)</f>
        <v>3224</v>
      </c>
      <c r="N192" s="113" t="str">
        <f>_xlfn.XLOOKUP(_xlfn.CONCAT(E192,B192),'Year Wise Master Dep Approach'!F:F,'Year Wise Master Dep Approach'!D:D)</f>
        <v>WDV</v>
      </c>
      <c r="O192" s="113">
        <f>_xlfn.XLOOKUP(_xlfn.CONCAT(E192,B192),'Year Wise Master Dep Approach'!F:F,'Year Wise Master Dep Approach'!E:E)</f>
        <v>3</v>
      </c>
      <c r="P192" s="114">
        <f>IFERROR(IF('FA Addition'!$N192="WDV",1-('FA Addition'!$M192/'FA Addition'!$L192)^(1/'FA Addition'!$O192),1/'FA Addition'!$O192),0)</f>
        <v>0.63160446775206425</v>
      </c>
      <c r="Q192" s="122">
        <f>'FA Addition'!$P192*'FA Addition'!$O192</f>
        <v>1.8948134032561927</v>
      </c>
      <c r="R192" s="122"/>
      <c r="S192" s="116">
        <f>IF(AND(DATE(20&amp;LEFT(FAAddition[[#This Row],[FY]],2),4,1)&lt;$L$1+1,DATE(20&amp;LEFT(FAAddition[[#This Row],[FY]],2),4,1)&gt;$P$1-1),'FA Addition'!$J192,0)</f>
        <v>0</v>
      </c>
      <c r="U192" s="117">
        <f>S192*'FA Addition'!$L192/'FA Addition'!$J192</f>
        <v>0</v>
      </c>
      <c r="W192" s="116">
        <f>SUMIFS('FA Write off'!D:D,'FA Write off'!A:A,'FA Addition'!$A192,'FA Write off'!C:C,"&lt;"&amp;'FA Addition'!$P$1)</f>
        <v>0</v>
      </c>
      <c r="Y192" s="191">
        <f>IFERROR(W192/'FA Addition'!$J192*'FA Addition'!$L192,0)</f>
        <v>0</v>
      </c>
      <c r="AA192" s="116">
        <f>SUMIFS('FA Write off'!D:D,'FA Write off'!A:A,'FA Addition'!$A192,'FA Write off'!C:C,"&lt;"&amp;'FA Addition'!$L$1+1,'FA Write off'!C:C,"&gt;"&amp;'FA Addition'!$L$1-365)</f>
        <v>0</v>
      </c>
      <c r="AC192" s="118">
        <f>IFERROR(AA192/'FA Addition'!$J192*'FA Addition'!$L192,0)</f>
        <v>0</v>
      </c>
      <c r="AE192" s="117">
        <f>IF(AND('FA Addition'!$D192&lt;$P$1+1,U192=0),'FA Addition'!$L192,0)-Y192</f>
        <v>64484</v>
      </c>
      <c r="AF192" s="117">
        <f t="shared" si="10"/>
        <v>64484</v>
      </c>
      <c r="AG192" s="117">
        <f>MIN(MAX(+$P$1-'FA Addition'!$D192,0),365*'FA Addition'!$O192)</f>
        <v>1095</v>
      </c>
      <c r="AH192" s="117">
        <f>MIN(MAX($L$1-'FA Addition'!$D192+1,0),365*'FA Addition'!$O192)</f>
        <v>1095</v>
      </c>
      <c r="AI192" s="117" cm="1">
        <f t="array" ref="AI192">_xlfn.XLOOKUP(1,('FA Write off'!A:A='FA Addition'!$A192)*('FA Write off'!D:D=AA192),'FA Write off'!H:H,0,0)</f>
        <v>0</v>
      </c>
      <c r="AJ192" s="117">
        <f>IF(AC192&gt;0,MAX(IF('FA Addition'!$N192="SLM",($AC192-'FA Addition'!$M192)*'FA Addition'!$P192*AI192/365,(AC192-'FA Addition'!$M192)*(1-(1-'FA Addition'!$P192)^(AI192/365))),0),0)</f>
        <v>0</v>
      </c>
      <c r="AL192" s="117">
        <f>MAX(IF(AG192&gt;0,IF('FA Addition'!$N192="SLM",($AE192-'FA Addition'!$M192)*'FA Addition'!$P192*AG192/365,IFERROR(VDB(AE192,AE192*0.05,'FA Addition'!$O192,0,YEARFRAC('FA Addition'!$C192,$P$1-1,3),'FA Addition'!$Q192),FAAddition[[#This Row],[Original Cost (Rs)]]-FAAddition[[#This Row],[Salvage Value]])),0),0)</f>
        <v>61260</v>
      </c>
      <c r="AM192" s="119"/>
      <c r="AN192" s="117">
        <f>MAX(IF(AH192&gt;0,IF('FA Addition'!$N192="SLM",($AF192-'FA Addition'!$M192)*'FA Addition'!$P192*AH192/365,IFERROR(VDB(AF192,AF192*0.05,'FA Addition'!$O192,0,YEARFRAC('FA Addition'!$C192,$L$1,3),'FA Addition'!$Q192),FAAddition[[#This Row],[Original Cost (Rs)]]-FAAddition[[#This Row],[Salvage Value]])),0),0)</f>
        <v>61260</v>
      </c>
      <c r="AO192" s="117">
        <f t="shared" si="13"/>
        <v>0</v>
      </c>
      <c r="AQ192" s="117">
        <f t="shared" si="11"/>
        <v>3224</v>
      </c>
      <c r="AR192" s="120">
        <f t="shared" si="12"/>
        <v>3224</v>
      </c>
      <c r="AS192" s="121"/>
    </row>
    <row r="193" spans="1:45" ht="13.5" x14ac:dyDescent="0.4">
      <c r="A193" s="12">
        <f t="shared" si="14"/>
        <v>190</v>
      </c>
      <c r="B193" s="51" t="s">
        <v>559</v>
      </c>
      <c r="C193" s="54">
        <v>42710</v>
      </c>
      <c r="D193" s="54">
        <v>42710</v>
      </c>
      <c r="E193" s="46" t="s">
        <v>32</v>
      </c>
      <c r="F193" s="51" t="s">
        <v>32</v>
      </c>
      <c r="G193" s="51" t="s">
        <v>433</v>
      </c>
      <c r="H193" s="51" t="s">
        <v>32</v>
      </c>
      <c r="I193" s="55" t="s">
        <v>665</v>
      </c>
      <c r="J193" s="56">
        <v>19</v>
      </c>
      <c r="K193" s="51" t="s">
        <v>666</v>
      </c>
      <c r="L193" s="58">
        <v>60848</v>
      </c>
      <c r="M193" s="50">
        <f>ROUND('FA Addition'!$L193*5%,0.1)</f>
        <v>3042</v>
      </c>
      <c r="N193" s="113" t="str">
        <f>_xlfn.XLOOKUP(_xlfn.CONCAT(E193,B193),'Year Wise Master Dep Approach'!F:F,'Year Wise Master Dep Approach'!D:D)</f>
        <v>WDV</v>
      </c>
      <c r="O193" s="113">
        <f>_xlfn.XLOOKUP(_xlfn.CONCAT(E193,B193),'Year Wise Master Dep Approach'!F:F,'Year Wise Master Dep Approach'!E:E)</f>
        <v>3</v>
      </c>
      <c r="P193" s="114">
        <f>IFERROR(IF('FA Addition'!$N193="WDV",1-('FA Addition'!$M193/'FA Addition'!$L193)^(1/'FA Addition'!$O193),1/'FA Addition'!$O193),0)</f>
        <v>0.63161299613019084</v>
      </c>
      <c r="Q193" s="122">
        <f>'FA Addition'!$P193*'FA Addition'!$O193</f>
        <v>1.8948389883905725</v>
      </c>
      <c r="R193" s="122"/>
      <c r="S193" s="116">
        <f>IF(AND(DATE(20&amp;LEFT(FAAddition[[#This Row],[FY]],2),4,1)&lt;$L$1+1,DATE(20&amp;LEFT(FAAddition[[#This Row],[FY]],2),4,1)&gt;$P$1-1),'FA Addition'!$J193,0)</f>
        <v>0</v>
      </c>
      <c r="U193" s="117">
        <f>S193*'FA Addition'!$L193/'FA Addition'!$J193</f>
        <v>0</v>
      </c>
      <c r="W193" s="116">
        <f>SUMIFS('FA Write off'!D:D,'FA Write off'!A:A,'FA Addition'!$A193,'FA Write off'!C:C,"&lt;"&amp;'FA Addition'!$P$1)</f>
        <v>3</v>
      </c>
      <c r="Y193" s="191">
        <f>IFERROR(W193/'FA Addition'!$J193*'FA Addition'!$L193,0)</f>
        <v>9607.5789473684199</v>
      </c>
      <c r="AA193" s="116">
        <f>SUMIFS('FA Write off'!D:D,'FA Write off'!A:A,'FA Addition'!$A193,'FA Write off'!C:C,"&lt;"&amp;'FA Addition'!$L$1+1,'FA Write off'!C:C,"&gt;"&amp;'FA Addition'!$L$1-365)</f>
        <v>0</v>
      </c>
      <c r="AC193" s="191">
        <f>IFERROR(AA193/'FA Addition'!$J193*'FA Addition'!$L193,0)</f>
        <v>0</v>
      </c>
      <c r="AE193" s="117">
        <f>IF(AND('FA Addition'!$D193&lt;$P$1+1,U193=0),'FA Addition'!$L193,0)-Y193</f>
        <v>51240.42105263158</v>
      </c>
      <c r="AF193" s="117">
        <f t="shared" si="10"/>
        <v>51240.42105263158</v>
      </c>
      <c r="AG193" s="117">
        <f>MIN(MAX(+$P$1-'FA Addition'!$D193,0),365*'FA Addition'!$O193)</f>
        <v>1095</v>
      </c>
      <c r="AH193" s="117">
        <f>MIN(MAX($L$1-'FA Addition'!$D193+1,0),365*'FA Addition'!$O193)</f>
        <v>1095</v>
      </c>
      <c r="AI193" s="117" cm="1">
        <f t="array" ref="AI193">_xlfn.XLOOKUP(1,('FA Write off'!A:A='FA Addition'!$A193)*('FA Write off'!D:D=AA193),'FA Write off'!H:H,0,0)</f>
        <v>0</v>
      </c>
      <c r="AJ193" s="117">
        <f>IF(AC193&gt;0,MAX(IF('FA Addition'!$N193="SLM",($AC193-'FA Addition'!$M193)*'FA Addition'!$P193*AI193/365,(AC193-'FA Addition'!$M193)*(1-(1-'FA Addition'!$P193)^(AI193/365))),0),0)</f>
        <v>0</v>
      </c>
      <c r="AL193" s="117">
        <f>MAX(IF(AG193&gt;0,IF('FA Addition'!$N193="SLM",($AE193-'FA Addition'!$M193)*'FA Addition'!$P193*AG193/365,IFERROR(VDB(AE193,AE193*0.05,'FA Addition'!$O193,0,YEARFRAC('FA Addition'!$C193,$P$1-1,3),'FA Addition'!$Q193),FAAddition[[#This Row],[Original Cost (Rs)]]-FAAddition[[#This Row],[Salvage Value]])),0),0)</f>
        <v>57806</v>
      </c>
      <c r="AM193" s="119"/>
      <c r="AN193" s="117">
        <f>MAX(IF(AH193&gt;0,IF('FA Addition'!$N193="SLM",($AF193-'FA Addition'!$M193)*'FA Addition'!$P193*AH193/365,IFERROR(VDB(AF193,AF193*0.05,'FA Addition'!$O193,0,YEARFRAC('FA Addition'!$C193,$L$1,3),'FA Addition'!$Q193),FAAddition[[#This Row],[Original Cost (Rs)]]-FAAddition[[#This Row],[Salvage Value]])),0),0)</f>
        <v>57806</v>
      </c>
      <c r="AO193" s="117">
        <f t="shared" si="13"/>
        <v>0</v>
      </c>
      <c r="AQ193" s="117">
        <f t="shared" si="11"/>
        <v>-6565.5789473684199</v>
      </c>
      <c r="AR193" s="120">
        <f t="shared" si="12"/>
        <v>-6565.5789473684199</v>
      </c>
      <c r="AS193" s="121"/>
    </row>
    <row r="194" spans="1:45" ht="13.5" x14ac:dyDescent="0.4">
      <c r="A194" s="12">
        <f t="shared" si="14"/>
        <v>191</v>
      </c>
      <c r="B194" s="44" t="s">
        <v>559</v>
      </c>
      <c r="C194" s="45">
        <v>42737</v>
      </c>
      <c r="D194" s="45">
        <v>42737</v>
      </c>
      <c r="E194" s="46" t="s">
        <v>32</v>
      </c>
      <c r="F194" s="44" t="s">
        <v>32</v>
      </c>
      <c r="G194" s="44" t="s">
        <v>433</v>
      </c>
      <c r="H194" s="44" t="s">
        <v>32</v>
      </c>
      <c r="I194" s="47" t="s">
        <v>667</v>
      </c>
      <c r="J194" s="48">
        <v>60</v>
      </c>
      <c r="K194" s="44" t="s">
        <v>600</v>
      </c>
      <c r="L194" s="52">
        <v>61425</v>
      </c>
      <c r="M194" s="50">
        <f>ROUND('FA Addition'!$L194*5%,0.1)</f>
        <v>3071</v>
      </c>
      <c r="N194" s="113" t="str">
        <f>_xlfn.XLOOKUP(_xlfn.CONCAT(E194,B194),'Year Wise Master Dep Approach'!F:F,'Year Wise Master Dep Approach'!D:D)</f>
        <v>WDV</v>
      </c>
      <c r="O194" s="113">
        <f>_xlfn.XLOOKUP(_xlfn.CONCAT(E194,B194),'Year Wise Master Dep Approach'!F:F,'Year Wise Master Dep Approach'!E:E)</f>
        <v>3</v>
      </c>
      <c r="P194" s="114">
        <f>IFERROR(IF('FA Addition'!$N194="WDV",1-('FA Addition'!$M194/'FA Addition'!$L194)^(1/'FA Addition'!$O194),1/'FA Addition'!$O194),0)</f>
        <v>0.63160684642266141</v>
      </c>
      <c r="Q194" s="122">
        <f>'FA Addition'!$P194*'FA Addition'!$O194</f>
        <v>1.8948205392679842</v>
      </c>
      <c r="R194" s="122"/>
      <c r="S194" s="116">
        <f>IF(AND(DATE(20&amp;LEFT(FAAddition[[#This Row],[FY]],2),4,1)&lt;$L$1+1,DATE(20&amp;LEFT(FAAddition[[#This Row],[FY]],2),4,1)&gt;$P$1-1),'FA Addition'!$J194,0)</f>
        <v>0</v>
      </c>
      <c r="U194" s="117">
        <f>S194*'FA Addition'!$L194/'FA Addition'!$J194</f>
        <v>0</v>
      </c>
      <c r="W194" s="116">
        <f>SUMIFS('FA Write off'!D:D,'FA Write off'!A:A,'FA Addition'!$A194,'FA Write off'!C:C,"&lt;"&amp;'FA Addition'!$P$1)</f>
        <v>3</v>
      </c>
      <c r="Y194" s="191">
        <f>IFERROR(W194/'FA Addition'!$J194*'FA Addition'!$L194,0)</f>
        <v>3071.25</v>
      </c>
      <c r="AA194" s="116">
        <f>SUMIFS('FA Write off'!D:D,'FA Write off'!A:A,'FA Addition'!$A194,'FA Write off'!C:C,"&lt;"&amp;'FA Addition'!$L$1+1,'FA Write off'!C:C,"&gt;"&amp;'FA Addition'!$L$1-365)</f>
        <v>0</v>
      </c>
      <c r="AC194" s="191">
        <f>IFERROR(AA194/'FA Addition'!$J194*'FA Addition'!$L194,0)</f>
        <v>0</v>
      </c>
      <c r="AE194" s="117">
        <f>IF(AND('FA Addition'!$D194&lt;$P$1+1,U194=0),'FA Addition'!$L194,0)-Y194</f>
        <v>58353.75</v>
      </c>
      <c r="AF194" s="117">
        <f t="shared" si="10"/>
        <v>58353.75</v>
      </c>
      <c r="AG194" s="117">
        <f>MIN(MAX(+$P$1-'FA Addition'!$D194,0),365*'FA Addition'!$O194)</f>
        <v>1095</v>
      </c>
      <c r="AH194" s="117">
        <f>MIN(MAX($L$1-'FA Addition'!$D194+1,0),365*'FA Addition'!$O194)</f>
        <v>1095</v>
      </c>
      <c r="AI194" s="117" cm="1">
        <f t="array" ref="AI194">_xlfn.XLOOKUP(1,('FA Write off'!A:A='FA Addition'!$A194)*('FA Write off'!D:D=AA194),'FA Write off'!H:H,0,0)</f>
        <v>0</v>
      </c>
      <c r="AJ194" s="117">
        <f>IF(AC194&gt;0,MAX(IF('FA Addition'!$N194="SLM",($AC194-'FA Addition'!$M194)*'FA Addition'!$P194*AI194/365,(AC194-'FA Addition'!$M194)*(1-(1-'FA Addition'!$P194)^(AI194/365))),0),0)</f>
        <v>0</v>
      </c>
      <c r="AL194" s="117">
        <f>MAX(IF(AG194&gt;0,IF('FA Addition'!$N194="SLM",($AE194-'FA Addition'!$M194)*'FA Addition'!$P194*AG194/365,IFERROR(VDB(AE194,AE194*0.05,'FA Addition'!$O194,0,YEARFRAC('FA Addition'!$C194,$P$1-1,3),'FA Addition'!$Q194),FAAddition[[#This Row],[Original Cost (Rs)]]-FAAddition[[#This Row],[Salvage Value]])),0),0)</f>
        <v>58354</v>
      </c>
      <c r="AM194" s="119"/>
      <c r="AN194" s="117">
        <f>MAX(IF(AH194&gt;0,IF('FA Addition'!$N194="SLM",($AF194-'FA Addition'!$M194)*'FA Addition'!$P194*AH194/365,IFERROR(VDB(AF194,AF194*0.05,'FA Addition'!$O194,0,YEARFRAC('FA Addition'!$C194,$L$1,3),'FA Addition'!$Q194),FAAddition[[#This Row],[Original Cost (Rs)]]-FAAddition[[#This Row],[Salvage Value]])),0),0)</f>
        <v>58354</v>
      </c>
      <c r="AO194" s="117">
        <f t="shared" si="13"/>
        <v>0</v>
      </c>
      <c r="AQ194" s="117">
        <f t="shared" si="11"/>
        <v>-0.25</v>
      </c>
      <c r="AR194" s="120">
        <f t="shared" si="12"/>
        <v>-0.25</v>
      </c>
      <c r="AS194" s="121"/>
    </row>
    <row r="195" spans="1:45" ht="13.5" x14ac:dyDescent="0.4">
      <c r="A195" s="12">
        <f t="shared" si="14"/>
        <v>192</v>
      </c>
      <c r="B195" s="44" t="s">
        <v>559</v>
      </c>
      <c r="C195" s="45">
        <v>42748</v>
      </c>
      <c r="D195" s="45">
        <v>42748</v>
      </c>
      <c r="E195" s="46" t="s">
        <v>32</v>
      </c>
      <c r="F195" s="44" t="s">
        <v>32</v>
      </c>
      <c r="G195" s="44" t="s">
        <v>433</v>
      </c>
      <c r="H195" s="44" t="s">
        <v>32</v>
      </c>
      <c r="I195" s="47" t="s">
        <v>668</v>
      </c>
      <c r="J195" s="48">
        <v>90</v>
      </c>
      <c r="K195" s="44" t="s">
        <v>669</v>
      </c>
      <c r="L195" s="52">
        <v>113925</v>
      </c>
      <c r="M195" s="50">
        <f>ROUND('FA Addition'!$L195*5%,0.1)</f>
        <v>5696</v>
      </c>
      <c r="N195" s="113" t="str">
        <f>_xlfn.XLOOKUP(_xlfn.CONCAT(E195,B195),'Year Wise Master Dep Approach'!F:F,'Year Wise Master Dep Approach'!D:D)</f>
        <v>WDV</v>
      </c>
      <c r="O195" s="113">
        <f>_xlfn.XLOOKUP(_xlfn.CONCAT(E195,B195),'Year Wise Master Dep Approach'!F:F,'Year Wise Master Dep Approach'!E:E)</f>
        <v>3</v>
      </c>
      <c r="P195" s="114">
        <f>IFERROR(IF('FA Addition'!$N195="WDV",1-('FA Addition'!$M195/'FA Addition'!$L195)^(1/'FA Addition'!$O195),1/'FA Addition'!$O195),0)</f>
        <v>0.63160223977153374</v>
      </c>
      <c r="Q195" s="122">
        <f>'FA Addition'!$P195*'FA Addition'!$O195</f>
        <v>1.8948067193146012</v>
      </c>
      <c r="R195" s="122"/>
      <c r="S195" s="116">
        <f>IF(AND(DATE(20&amp;LEFT(FAAddition[[#This Row],[FY]],2),4,1)&lt;$L$1+1,DATE(20&amp;LEFT(FAAddition[[#This Row],[FY]],2),4,1)&gt;$P$1-1),'FA Addition'!$J195,0)</f>
        <v>0</v>
      </c>
      <c r="U195" s="117">
        <f>S195*'FA Addition'!$L195/'FA Addition'!$J195</f>
        <v>0</v>
      </c>
      <c r="W195" s="116">
        <f>SUMIFS('FA Write off'!D:D,'FA Write off'!A:A,'FA Addition'!$A195,'FA Write off'!C:C,"&lt;"&amp;'FA Addition'!$P$1)</f>
        <v>6</v>
      </c>
      <c r="Y195" s="191">
        <f>IFERROR(W195/'FA Addition'!$J195*'FA Addition'!$L195,0)</f>
        <v>7595</v>
      </c>
      <c r="AA195" s="116">
        <f>SUMIFS('FA Write off'!D:D,'FA Write off'!A:A,'FA Addition'!$A195,'FA Write off'!C:C,"&lt;"&amp;'FA Addition'!$L$1+1,'FA Write off'!C:C,"&gt;"&amp;'FA Addition'!$L$1-365)</f>
        <v>0</v>
      </c>
      <c r="AC195" s="191">
        <f>IFERROR(AA195/'FA Addition'!$J195*'FA Addition'!$L195,0)</f>
        <v>0</v>
      </c>
      <c r="AE195" s="117">
        <f>IF(AND('FA Addition'!$D195&lt;$P$1+1,U195=0),'FA Addition'!$L195,0)-Y195</f>
        <v>106330</v>
      </c>
      <c r="AF195" s="117">
        <f t="shared" si="10"/>
        <v>106330</v>
      </c>
      <c r="AG195" s="117">
        <f>MIN(MAX(+$P$1-'FA Addition'!$D195,0),365*'FA Addition'!$O195)</f>
        <v>1095</v>
      </c>
      <c r="AH195" s="117">
        <f>MIN(MAX($L$1-'FA Addition'!$D195+1,0),365*'FA Addition'!$O195)</f>
        <v>1095</v>
      </c>
      <c r="AI195" s="117" cm="1">
        <f t="array" ref="AI195">_xlfn.XLOOKUP(1,('FA Write off'!A:A='FA Addition'!$A195)*('FA Write off'!D:D=AA195),'FA Write off'!H:H,0,0)</f>
        <v>0</v>
      </c>
      <c r="AJ195" s="117">
        <f>IF(AC195&gt;0,MAX(IF('FA Addition'!$N195="SLM",($AC195-'FA Addition'!$M195)*'FA Addition'!$P195*AI195/365,(AC195-'FA Addition'!$M195)*(1-(1-'FA Addition'!$P195)^(AI195/365))),0),0)</f>
        <v>0</v>
      </c>
      <c r="AL195" s="117">
        <f>MAX(IF(AG195&gt;0,IF('FA Addition'!$N195="SLM",($AE195-'FA Addition'!$M195)*'FA Addition'!$P195*AG195/365,IFERROR(VDB(AE195,AE195*0.05,'FA Addition'!$O195,0,YEARFRAC('FA Addition'!$C195,$P$1-1,3),'FA Addition'!$Q195),FAAddition[[#This Row],[Original Cost (Rs)]]-FAAddition[[#This Row],[Salvage Value]])),0),0)</f>
        <v>108229</v>
      </c>
      <c r="AM195" s="119"/>
      <c r="AN195" s="117">
        <f>MAX(IF(AH195&gt;0,IF('FA Addition'!$N195="SLM",($AF195-'FA Addition'!$M195)*'FA Addition'!$P195*AH195/365,IFERROR(VDB(AF195,AF195*0.05,'FA Addition'!$O195,0,YEARFRAC('FA Addition'!$C195,$L$1,3),'FA Addition'!$Q195),FAAddition[[#This Row],[Original Cost (Rs)]]-FAAddition[[#This Row],[Salvage Value]])),0),0)</f>
        <v>108229</v>
      </c>
      <c r="AO195" s="117">
        <f t="shared" si="13"/>
        <v>0</v>
      </c>
      <c r="AQ195" s="117">
        <f t="shared" si="11"/>
        <v>-1899</v>
      </c>
      <c r="AR195" s="120">
        <f t="shared" si="12"/>
        <v>-1899</v>
      </c>
      <c r="AS195" s="121"/>
    </row>
    <row r="196" spans="1:45" ht="13.5" x14ac:dyDescent="0.4">
      <c r="A196" s="12">
        <f t="shared" si="14"/>
        <v>193</v>
      </c>
      <c r="B196" s="44" t="s">
        <v>559</v>
      </c>
      <c r="C196" s="45">
        <v>42749</v>
      </c>
      <c r="D196" s="45">
        <v>42749</v>
      </c>
      <c r="E196" s="46" t="s">
        <v>32</v>
      </c>
      <c r="F196" s="44" t="s">
        <v>32</v>
      </c>
      <c r="G196" s="44" t="s">
        <v>670</v>
      </c>
      <c r="H196" s="44" t="s">
        <v>32</v>
      </c>
      <c r="I196" s="47" t="s">
        <v>671</v>
      </c>
      <c r="J196" s="56">
        <v>1</v>
      </c>
      <c r="K196" s="44" t="s">
        <v>32</v>
      </c>
      <c r="L196" s="52">
        <v>1370</v>
      </c>
      <c r="M196" s="50">
        <f>ROUND('FA Addition'!$L196*5%,0.1)</f>
        <v>69</v>
      </c>
      <c r="N196" s="113" t="str">
        <f>_xlfn.XLOOKUP(_xlfn.CONCAT(E196,B196),'Year Wise Master Dep Approach'!F:F,'Year Wise Master Dep Approach'!D:D)</f>
        <v>WDV</v>
      </c>
      <c r="O196" s="113">
        <f>_xlfn.XLOOKUP(_xlfn.CONCAT(E196,B196),'Year Wise Master Dep Approach'!F:F,'Year Wise Master Dep Approach'!E:E)</f>
        <v>3</v>
      </c>
      <c r="P196" s="114">
        <f>IFERROR(IF('FA Addition'!$N196="WDV",1-('FA Addition'!$M196/'FA Addition'!$L196)^(1/'FA Addition'!$O196),1/'FA Addition'!$O196),0)</f>
        <v>0.63070266422572363</v>
      </c>
      <c r="Q196" s="122">
        <f>'FA Addition'!$P196*'FA Addition'!$O196</f>
        <v>1.8921079926771709</v>
      </c>
      <c r="R196" s="122"/>
      <c r="S196" s="116">
        <f>IF(AND(DATE(20&amp;LEFT(FAAddition[[#This Row],[FY]],2),4,1)&lt;$L$1+1,DATE(20&amp;LEFT(FAAddition[[#This Row],[FY]],2),4,1)&gt;$P$1-1),'FA Addition'!$J196,0)</f>
        <v>0</v>
      </c>
      <c r="U196" s="117">
        <f>S196*'FA Addition'!$L196/'FA Addition'!$J196</f>
        <v>0</v>
      </c>
      <c r="W196" s="116">
        <f>SUMIFS('FA Write off'!D:D,'FA Write off'!A:A,'FA Addition'!$A196,'FA Write off'!C:C,"&lt;"&amp;'FA Addition'!$P$1)</f>
        <v>0</v>
      </c>
      <c r="Y196" s="191">
        <f>IFERROR(W196/'FA Addition'!$J196*'FA Addition'!$L196,0)</f>
        <v>0</v>
      </c>
      <c r="AA196" s="116">
        <f>SUMIFS('FA Write off'!D:D,'FA Write off'!A:A,'FA Addition'!$A196,'FA Write off'!C:C,"&lt;"&amp;'FA Addition'!$L$1+1,'FA Write off'!C:C,"&gt;"&amp;'FA Addition'!$L$1-365)</f>
        <v>0</v>
      </c>
      <c r="AC196" s="118">
        <f>IFERROR(AA196/'FA Addition'!$J196*'FA Addition'!$L196,0)</f>
        <v>0</v>
      </c>
      <c r="AE196" s="117">
        <f>IF(AND('FA Addition'!$D196&lt;$P$1+1,U196=0),'FA Addition'!$L196,0)-Y196</f>
        <v>1370</v>
      </c>
      <c r="AF196" s="117">
        <f t="shared" ref="AF196:AF259" si="15">AE196+U196-AC196</f>
        <v>1370</v>
      </c>
      <c r="AG196" s="117">
        <f>MIN(MAX(+$P$1-'FA Addition'!$D196,0),365*'FA Addition'!$O196)</f>
        <v>1095</v>
      </c>
      <c r="AH196" s="117">
        <f>MIN(MAX($L$1-'FA Addition'!$D196+1,0),365*'FA Addition'!$O196)</f>
        <v>1095</v>
      </c>
      <c r="AI196" s="117" cm="1">
        <f t="array" ref="AI196">_xlfn.XLOOKUP(1,('FA Write off'!A:A='FA Addition'!$A196)*('FA Write off'!D:D=AA196),'FA Write off'!H:H,0,0)</f>
        <v>0</v>
      </c>
      <c r="AJ196" s="117">
        <f>IF(AC196&gt;0,MAX(IF('FA Addition'!$N196="SLM",($AC196-'FA Addition'!$M196)*'FA Addition'!$P196*AI196/365,(AC196-'FA Addition'!$M196)*(1-(1-'FA Addition'!$P196)^(AI196/365))),0),0)</f>
        <v>0</v>
      </c>
      <c r="AL196" s="117">
        <f>MAX(IF(AG196&gt;0,IF('FA Addition'!$N196="SLM",($AE196-'FA Addition'!$M196)*'FA Addition'!$P196*AG196/365,IFERROR(VDB(AE196,AE196*0.05,'FA Addition'!$O196,0,YEARFRAC('FA Addition'!$C196,$P$1-1,3),'FA Addition'!$Q196),FAAddition[[#This Row],[Original Cost (Rs)]]-FAAddition[[#This Row],[Salvage Value]])),0),0)</f>
        <v>1301</v>
      </c>
      <c r="AM196" s="119"/>
      <c r="AN196" s="117">
        <f>MAX(IF(AH196&gt;0,IF('FA Addition'!$N196="SLM",($AF196-'FA Addition'!$M196)*'FA Addition'!$P196*AH196/365,IFERROR(VDB(AF196,AF196*0.05,'FA Addition'!$O196,0,YEARFRAC('FA Addition'!$C196,$L$1,3),'FA Addition'!$Q196),FAAddition[[#This Row],[Original Cost (Rs)]]-FAAddition[[#This Row],[Salvage Value]])),0),0)</f>
        <v>1301</v>
      </c>
      <c r="AO196" s="117">
        <f t="shared" si="13"/>
        <v>0</v>
      </c>
      <c r="AQ196" s="117">
        <f t="shared" ref="AQ196:AQ259" si="16">AE196-AL196</f>
        <v>69</v>
      </c>
      <c r="AR196" s="120">
        <f t="shared" ref="AR196:AR259" si="17">AF196-AN196</f>
        <v>69</v>
      </c>
      <c r="AS196" s="121"/>
    </row>
    <row r="197" spans="1:45" ht="13.5" x14ac:dyDescent="0.4">
      <c r="A197" s="12">
        <f t="shared" si="14"/>
        <v>194</v>
      </c>
      <c r="B197" s="44" t="s">
        <v>559</v>
      </c>
      <c r="C197" s="45">
        <v>42751</v>
      </c>
      <c r="D197" s="45">
        <v>42751</v>
      </c>
      <c r="E197" s="46" t="s">
        <v>451</v>
      </c>
      <c r="F197" s="44" t="s">
        <v>21</v>
      </c>
      <c r="G197" s="44" t="s">
        <v>672</v>
      </c>
      <c r="H197" s="44" t="s">
        <v>21</v>
      </c>
      <c r="I197" s="47"/>
      <c r="J197" s="56">
        <v>1</v>
      </c>
      <c r="K197" s="44" t="s">
        <v>673</v>
      </c>
      <c r="L197" s="52">
        <v>15390</v>
      </c>
      <c r="M197" s="50">
        <f>ROUND('FA Addition'!$L197*5%,0.1)</f>
        <v>770</v>
      </c>
      <c r="N197" s="113" t="str">
        <f>_xlfn.XLOOKUP(_xlfn.CONCAT(E197,B197),'Year Wise Master Dep Approach'!F:F,'Year Wise Master Dep Approach'!D:D)</f>
        <v>WDV</v>
      </c>
      <c r="O197" s="113">
        <f>_xlfn.XLOOKUP(_xlfn.CONCAT(E197,B197),'Year Wise Master Dep Approach'!F:F,'Year Wise Master Dep Approach'!E:E)</f>
        <v>3</v>
      </c>
      <c r="P197" s="114">
        <f>IFERROR(IF('FA Addition'!$N197="WDV",1-('FA Addition'!$M197/'FA Addition'!$L197)^(1/'FA Addition'!$O197),1/'FA Addition'!$O197),0)</f>
        <v>0.63151707465710039</v>
      </c>
      <c r="Q197" s="122">
        <f>'FA Addition'!$P197*'FA Addition'!$O197</f>
        <v>1.8945512239713012</v>
      </c>
      <c r="R197" s="122"/>
      <c r="S197" s="116">
        <f>IF(AND(DATE(20&amp;LEFT(FAAddition[[#This Row],[FY]],2),4,1)&lt;$L$1+1,DATE(20&amp;LEFT(FAAddition[[#This Row],[FY]],2),4,1)&gt;$P$1-1),'FA Addition'!$J197,0)</f>
        <v>0</v>
      </c>
      <c r="U197" s="117">
        <f>S197*'FA Addition'!$L197/'FA Addition'!$J197</f>
        <v>0</v>
      </c>
      <c r="W197" s="116">
        <f>SUMIFS('FA Write off'!D:D,'FA Write off'!A:A,'FA Addition'!$A197,'FA Write off'!C:C,"&lt;"&amp;'FA Addition'!$P$1)</f>
        <v>0</v>
      </c>
      <c r="Y197" s="191">
        <f>IFERROR(W197/'FA Addition'!$J197*'FA Addition'!$L197,0)</f>
        <v>0</v>
      </c>
      <c r="AA197" s="116">
        <f>SUMIFS('FA Write off'!D:D,'FA Write off'!A:A,'FA Addition'!$A197,'FA Write off'!C:C,"&lt;"&amp;'FA Addition'!$L$1+1,'FA Write off'!C:C,"&gt;"&amp;'FA Addition'!$L$1-365)</f>
        <v>0</v>
      </c>
      <c r="AC197" s="118">
        <f>IFERROR(AA197/'FA Addition'!$J197*'FA Addition'!$L197,0)</f>
        <v>0</v>
      </c>
      <c r="AE197" s="117">
        <f>IF(AND('FA Addition'!$D197&lt;$P$1+1,U197=0),'FA Addition'!$L197,0)-Y197</f>
        <v>15390</v>
      </c>
      <c r="AF197" s="117">
        <f t="shared" si="15"/>
        <v>15390</v>
      </c>
      <c r="AG197" s="117">
        <f>MIN(MAX(+$P$1-'FA Addition'!$D197,0),365*'FA Addition'!$O197)</f>
        <v>1095</v>
      </c>
      <c r="AH197" s="117">
        <f>MIN(MAX($L$1-'FA Addition'!$D197+1,0),365*'FA Addition'!$O197)</f>
        <v>1095</v>
      </c>
      <c r="AI197" s="117" cm="1">
        <f t="array" ref="AI197">_xlfn.XLOOKUP(1,('FA Write off'!A:A='FA Addition'!$A197)*('FA Write off'!D:D=AA197),'FA Write off'!H:H,0,0)</f>
        <v>0</v>
      </c>
      <c r="AJ197" s="117">
        <f>IF(AC197&gt;0,MAX(IF('FA Addition'!$N197="SLM",($AC197-'FA Addition'!$M197)*'FA Addition'!$P197*AI197/365,(AC197-'FA Addition'!$M197)*(1-(1-'FA Addition'!$P197)^(AI197/365))),0),0)</f>
        <v>0</v>
      </c>
      <c r="AL197" s="117">
        <f>MAX(IF(AG197&gt;0,IF('FA Addition'!$N197="SLM",($AE197-'FA Addition'!$M197)*'FA Addition'!$P197*AG197/365,IFERROR(VDB(AE197,AE197*0.05,'FA Addition'!$O197,0,YEARFRAC('FA Addition'!$C197,$P$1-1,3),'FA Addition'!$Q197),FAAddition[[#This Row],[Original Cost (Rs)]]-FAAddition[[#This Row],[Salvage Value]])),0),0)</f>
        <v>14620</v>
      </c>
      <c r="AM197" s="119"/>
      <c r="AN197" s="117">
        <f>MAX(IF(AH197&gt;0,IF('FA Addition'!$N197="SLM",($AF197-'FA Addition'!$M197)*'FA Addition'!$P197*AH197/365,IFERROR(VDB(AF197,AF197*0.05,'FA Addition'!$O197,0,YEARFRAC('FA Addition'!$C197,$L$1,3),'FA Addition'!$Q197),FAAddition[[#This Row],[Original Cost (Rs)]]-FAAddition[[#This Row],[Salvage Value]])),0),0)</f>
        <v>14620</v>
      </c>
      <c r="AO197" s="117">
        <f t="shared" ref="AO197:AO260" si="18">AN197-AL197+AJ197</f>
        <v>0</v>
      </c>
      <c r="AQ197" s="117">
        <f t="shared" si="16"/>
        <v>770</v>
      </c>
      <c r="AR197" s="120">
        <f t="shared" si="17"/>
        <v>770</v>
      </c>
      <c r="AS197" s="121"/>
    </row>
    <row r="198" spans="1:45" ht="13.5" x14ac:dyDescent="0.4">
      <c r="A198" s="12">
        <f t="shared" ref="A198:A261" si="19">A197+1</f>
        <v>195</v>
      </c>
      <c r="B198" s="44" t="s">
        <v>559</v>
      </c>
      <c r="C198" s="45">
        <v>42751</v>
      </c>
      <c r="D198" s="45">
        <v>42751</v>
      </c>
      <c r="E198" s="46" t="s">
        <v>451</v>
      </c>
      <c r="F198" s="44" t="s">
        <v>21</v>
      </c>
      <c r="G198" s="44" t="s">
        <v>674</v>
      </c>
      <c r="H198" s="44" t="s">
        <v>21</v>
      </c>
      <c r="I198" s="47"/>
      <c r="J198" s="56">
        <v>1</v>
      </c>
      <c r="K198" s="44" t="s">
        <v>673</v>
      </c>
      <c r="L198" s="52">
        <v>17559</v>
      </c>
      <c r="M198" s="50">
        <f>ROUND('FA Addition'!$L198*5%,0.1)</f>
        <v>878</v>
      </c>
      <c r="N198" s="113" t="str">
        <f>_xlfn.XLOOKUP(_xlfn.CONCAT(E198,B198),'Year Wise Master Dep Approach'!F:F,'Year Wise Master Dep Approach'!D:D)</f>
        <v>WDV</v>
      </c>
      <c r="O198" s="113">
        <f>_xlfn.XLOOKUP(_xlfn.CONCAT(E198,B198),'Year Wise Master Dep Approach'!F:F,'Year Wise Master Dep Approach'!E:E)</f>
        <v>3</v>
      </c>
      <c r="P198" s="114">
        <f>IFERROR(IF('FA Addition'!$N198="WDV",1-('FA Addition'!$M198/'FA Addition'!$L198)^(1/'FA Addition'!$O198),1/'FA Addition'!$O198),0)</f>
        <v>0.63158985664437184</v>
      </c>
      <c r="Q198" s="122">
        <f>'FA Addition'!$P198*'FA Addition'!$O198</f>
        <v>1.8947695699331155</v>
      </c>
      <c r="R198" s="122"/>
      <c r="S198" s="116">
        <f>IF(AND(DATE(20&amp;LEFT(FAAddition[[#This Row],[FY]],2),4,1)&lt;$L$1+1,DATE(20&amp;LEFT(FAAddition[[#This Row],[FY]],2),4,1)&gt;$P$1-1),'FA Addition'!$J198,0)</f>
        <v>0</v>
      </c>
      <c r="U198" s="117">
        <f>S198*'FA Addition'!$L198/'FA Addition'!$J198</f>
        <v>0</v>
      </c>
      <c r="W198" s="116">
        <f>SUMIFS('FA Write off'!D:D,'FA Write off'!A:A,'FA Addition'!$A198,'FA Write off'!C:C,"&lt;"&amp;'FA Addition'!$P$1)</f>
        <v>0</v>
      </c>
      <c r="Y198" s="191">
        <f>IFERROR(W198/'FA Addition'!$J198*'FA Addition'!$L198,0)</f>
        <v>0</v>
      </c>
      <c r="AA198" s="116">
        <f>SUMIFS('FA Write off'!D:D,'FA Write off'!A:A,'FA Addition'!$A198,'FA Write off'!C:C,"&lt;"&amp;'FA Addition'!$L$1+1,'FA Write off'!C:C,"&gt;"&amp;'FA Addition'!$L$1-365)</f>
        <v>0</v>
      </c>
      <c r="AC198" s="118">
        <f>IFERROR(AA198/'FA Addition'!$J198*'FA Addition'!$L198,0)</f>
        <v>0</v>
      </c>
      <c r="AE198" s="117">
        <f>IF(AND('FA Addition'!$D198&lt;$P$1+1,U198=0),'FA Addition'!$L198,0)-Y198</f>
        <v>17559</v>
      </c>
      <c r="AF198" s="117">
        <f t="shared" si="15"/>
        <v>17559</v>
      </c>
      <c r="AG198" s="117">
        <f>MIN(MAX(+$P$1-'FA Addition'!$D198,0),365*'FA Addition'!$O198)</f>
        <v>1095</v>
      </c>
      <c r="AH198" s="117">
        <f>MIN(MAX($L$1-'FA Addition'!$D198+1,0),365*'FA Addition'!$O198)</f>
        <v>1095</v>
      </c>
      <c r="AI198" s="117" cm="1">
        <f t="array" ref="AI198">_xlfn.XLOOKUP(1,('FA Write off'!A:A='FA Addition'!$A198)*('FA Write off'!D:D=AA198),'FA Write off'!H:H,0,0)</f>
        <v>0</v>
      </c>
      <c r="AJ198" s="117">
        <f>IF(AC198&gt;0,MAX(IF('FA Addition'!$N198="SLM",($AC198-'FA Addition'!$M198)*'FA Addition'!$P198*AI198/365,(AC198-'FA Addition'!$M198)*(1-(1-'FA Addition'!$P198)^(AI198/365))),0),0)</f>
        <v>0</v>
      </c>
      <c r="AL198" s="117">
        <f>MAX(IF(AG198&gt;0,IF('FA Addition'!$N198="SLM",($AE198-'FA Addition'!$M198)*'FA Addition'!$P198*AG198/365,IFERROR(VDB(AE198,AE198*0.05,'FA Addition'!$O198,0,YEARFRAC('FA Addition'!$C198,$P$1-1,3),'FA Addition'!$Q198),FAAddition[[#This Row],[Original Cost (Rs)]]-FAAddition[[#This Row],[Salvage Value]])),0),0)</f>
        <v>16681</v>
      </c>
      <c r="AM198" s="119"/>
      <c r="AN198" s="117">
        <f>MAX(IF(AH198&gt;0,IF('FA Addition'!$N198="SLM",($AF198-'FA Addition'!$M198)*'FA Addition'!$P198*AH198/365,IFERROR(VDB(AF198,AF198*0.05,'FA Addition'!$O198,0,YEARFRAC('FA Addition'!$C198,$L$1,3),'FA Addition'!$Q198),FAAddition[[#This Row],[Original Cost (Rs)]]-FAAddition[[#This Row],[Salvage Value]])),0),0)</f>
        <v>16681</v>
      </c>
      <c r="AO198" s="117">
        <f t="shared" si="18"/>
        <v>0</v>
      </c>
      <c r="AQ198" s="117">
        <f t="shared" si="16"/>
        <v>878</v>
      </c>
      <c r="AR198" s="120">
        <f t="shared" si="17"/>
        <v>878</v>
      </c>
      <c r="AS198" s="121"/>
    </row>
    <row r="199" spans="1:45" ht="13.5" x14ac:dyDescent="0.4">
      <c r="A199" s="12">
        <f t="shared" si="19"/>
        <v>196</v>
      </c>
      <c r="B199" s="44" t="s">
        <v>559</v>
      </c>
      <c r="C199" s="45">
        <v>42751</v>
      </c>
      <c r="D199" s="45">
        <v>42751</v>
      </c>
      <c r="E199" s="46" t="s">
        <v>451</v>
      </c>
      <c r="F199" s="44" t="s">
        <v>21</v>
      </c>
      <c r="G199" s="44" t="s">
        <v>674</v>
      </c>
      <c r="H199" s="44" t="s">
        <v>21</v>
      </c>
      <c r="I199" s="47"/>
      <c r="J199" s="56">
        <v>1</v>
      </c>
      <c r="K199" s="44" t="s">
        <v>673</v>
      </c>
      <c r="L199" s="52">
        <v>16727</v>
      </c>
      <c r="M199" s="50">
        <f>ROUND('FA Addition'!$L199*5%,0.1)</f>
        <v>836</v>
      </c>
      <c r="N199" s="113" t="str">
        <f>_xlfn.XLOOKUP(_xlfn.CONCAT(E199,B199),'Year Wise Master Dep Approach'!F:F,'Year Wise Master Dep Approach'!D:D)</f>
        <v>WDV</v>
      </c>
      <c r="O199" s="113">
        <f>_xlfn.XLOOKUP(_xlfn.CONCAT(E199,B199),'Year Wise Master Dep Approach'!F:F,'Year Wise Master Dep Approach'!E:E)</f>
        <v>3</v>
      </c>
      <c r="P199" s="114">
        <f>IFERROR(IF('FA Addition'!$N199="WDV",1-('FA Addition'!$M199/'FA Addition'!$L199)^(1/'FA Addition'!$O199),1/'FA Addition'!$O199),0)</f>
        <v>0.63164824771403993</v>
      </c>
      <c r="Q199" s="122">
        <f>'FA Addition'!$P199*'FA Addition'!$O199</f>
        <v>1.8949447431421198</v>
      </c>
      <c r="R199" s="122"/>
      <c r="S199" s="116">
        <f>IF(AND(DATE(20&amp;LEFT(FAAddition[[#This Row],[FY]],2),4,1)&lt;$L$1+1,DATE(20&amp;LEFT(FAAddition[[#This Row],[FY]],2),4,1)&gt;$P$1-1),'FA Addition'!$J199,0)</f>
        <v>0</v>
      </c>
      <c r="U199" s="117">
        <f>S199*'FA Addition'!$L199/'FA Addition'!$J199</f>
        <v>0</v>
      </c>
      <c r="W199" s="116">
        <f>SUMIFS('FA Write off'!D:D,'FA Write off'!A:A,'FA Addition'!$A199,'FA Write off'!C:C,"&lt;"&amp;'FA Addition'!$P$1)</f>
        <v>0</v>
      </c>
      <c r="Y199" s="191">
        <f>IFERROR(W199/'FA Addition'!$J199*'FA Addition'!$L199,0)</f>
        <v>0</v>
      </c>
      <c r="AA199" s="116">
        <f>SUMIFS('FA Write off'!D:D,'FA Write off'!A:A,'FA Addition'!$A199,'FA Write off'!C:C,"&lt;"&amp;'FA Addition'!$L$1+1,'FA Write off'!C:C,"&gt;"&amp;'FA Addition'!$L$1-365)</f>
        <v>0</v>
      </c>
      <c r="AC199" s="118">
        <f>IFERROR(AA199/'FA Addition'!$J199*'FA Addition'!$L199,0)</f>
        <v>0</v>
      </c>
      <c r="AE199" s="117">
        <f>IF(AND('FA Addition'!$D199&lt;$P$1+1,U199=0),'FA Addition'!$L199,0)-Y199</f>
        <v>16727</v>
      </c>
      <c r="AF199" s="117">
        <f t="shared" si="15"/>
        <v>16727</v>
      </c>
      <c r="AG199" s="117">
        <f>MIN(MAX(+$P$1-'FA Addition'!$D199,0),365*'FA Addition'!$O199)</f>
        <v>1095</v>
      </c>
      <c r="AH199" s="117">
        <f>MIN(MAX($L$1-'FA Addition'!$D199+1,0),365*'FA Addition'!$O199)</f>
        <v>1095</v>
      </c>
      <c r="AI199" s="117" cm="1">
        <f t="array" ref="AI199">_xlfn.XLOOKUP(1,('FA Write off'!A:A='FA Addition'!$A199)*('FA Write off'!D:D=AA199),'FA Write off'!H:H,0,0)</f>
        <v>0</v>
      </c>
      <c r="AJ199" s="117">
        <f>IF(AC199&gt;0,MAX(IF('FA Addition'!$N199="SLM",($AC199-'FA Addition'!$M199)*'FA Addition'!$P199*AI199/365,(AC199-'FA Addition'!$M199)*(1-(1-'FA Addition'!$P199)^(AI199/365))),0),0)</f>
        <v>0</v>
      </c>
      <c r="AL199" s="117">
        <f>MAX(IF(AG199&gt;0,IF('FA Addition'!$N199="SLM",($AE199-'FA Addition'!$M199)*'FA Addition'!$P199*AG199/365,IFERROR(VDB(AE199,AE199*0.05,'FA Addition'!$O199,0,YEARFRAC('FA Addition'!$C199,$P$1-1,3),'FA Addition'!$Q199),FAAddition[[#This Row],[Original Cost (Rs)]]-FAAddition[[#This Row],[Salvage Value]])),0),0)</f>
        <v>15891</v>
      </c>
      <c r="AM199" s="119"/>
      <c r="AN199" s="117">
        <f>MAX(IF(AH199&gt;0,IF('FA Addition'!$N199="SLM",($AF199-'FA Addition'!$M199)*'FA Addition'!$P199*AH199/365,IFERROR(VDB(AF199,AF199*0.05,'FA Addition'!$O199,0,YEARFRAC('FA Addition'!$C199,$L$1,3),'FA Addition'!$Q199),FAAddition[[#This Row],[Original Cost (Rs)]]-FAAddition[[#This Row],[Salvage Value]])),0),0)</f>
        <v>15891</v>
      </c>
      <c r="AO199" s="117">
        <f t="shared" si="18"/>
        <v>0</v>
      </c>
      <c r="AQ199" s="117">
        <f t="shared" si="16"/>
        <v>836</v>
      </c>
      <c r="AR199" s="120">
        <f t="shared" si="17"/>
        <v>836</v>
      </c>
      <c r="AS199" s="121"/>
    </row>
    <row r="200" spans="1:45" ht="13.5" x14ac:dyDescent="0.4">
      <c r="A200" s="12">
        <f t="shared" si="19"/>
        <v>197</v>
      </c>
      <c r="B200" s="51" t="s">
        <v>559</v>
      </c>
      <c r="C200" s="54">
        <v>42756</v>
      </c>
      <c r="D200" s="54">
        <v>42756</v>
      </c>
      <c r="E200" s="46" t="s">
        <v>32</v>
      </c>
      <c r="F200" s="51" t="s">
        <v>32</v>
      </c>
      <c r="G200" s="51" t="s">
        <v>675</v>
      </c>
      <c r="H200" s="60" t="s">
        <v>32</v>
      </c>
      <c r="I200" s="55"/>
      <c r="J200" s="56">
        <v>1</v>
      </c>
      <c r="K200" s="51" t="s">
        <v>32</v>
      </c>
      <c r="L200" s="58">
        <v>14348</v>
      </c>
      <c r="M200" s="50">
        <f>ROUND('FA Addition'!$L200*5%,0.1)</f>
        <v>717</v>
      </c>
      <c r="N200" s="113" t="str">
        <f>_xlfn.XLOOKUP(_xlfn.CONCAT(E200,B200),'Year Wise Master Dep Approach'!F:F,'Year Wise Master Dep Approach'!D:D)</f>
        <v>WDV</v>
      </c>
      <c r="O200" s="113">
        <f>_xlfn.XLOOKUP(_xlfn.CONCAT(E200,B200),'Year Wise Master Dep Approach'!F:F,'Year Wise Master Dep Approach'!E:E)</f>
        <v>3</v>
      </c>
      <c r="P200" s="114">
        <f>IFERROR(IF('FA Addition'!$N200="WDV",1-('FA Addition'!$M200/'FA Addition'!$L200)^(1/'FA Addition'!$O200),1/'FA Addition'!$O200),0)</f>
        <v>0.63166533292401816</v>
      </c>
      <c r="Q200" s="122">
        <f>'FA Addition'!$P200*'FA Addition'!$O200</f>
        <v>1.8949959987720546</v>
      </c>
      <c r="R200" s="122"/>
      <c r="S200" s="116">
        <f>IF(AND(DATE(20&amp;LEFT(FAAddition[[#This Row],[FY]],2),4,1)&lt;$L$1+1,DATE(20&amp;LEFT(FAAddition[[#This Row],[FY]],2),4,1)&gt;$P$1-1),'FA Addition'!$J200,0)</f>
        <v>0</v>
      </c>
      <c r="U200" s="117">
        <f>S200*'FA Addition'!$L200/'FA Addition'!$J200</f>
        <v>0</v>
      </c>
      <c r="W200" s="116">
        <f>SUMIFS('FA Write off'!D:D,'FA Write off'!A:A,'FA Addition'!$A200,'FA Write off'!C:C,"&lt;"&amp;'FA Addition'!$P$1)</f>
        <v>0</v>
      </c>
      <c r="Y200" s="191">
        <f>IFERROR(W200/'FA Addition'!$J200*'FA Addition'!$L200,0)</f>
        <v>0</v>
      </c>
      <c r="AA200" s="116">
        <f>SUMIFS('FA Write off'!D:D,'FA Write off'!A:A,'FA Addition'!$A200,'FA Write off'!C:C,"&lt;"&amp;'FA Addition'!$L$1+1,'FA Write off'!C:C,"&gt;"&amp;'FA Addition'!$L$1-365)</f>
        <v>0</v>
      </c>
      <c r="AC200" s="118">
        <f>IFERROR(AA200/'FA Addition'!$J200*'FA Addition'!$L200,0)</f>
        <v>0</v>
      </c>
      <c r="AE200" s="117">
        <f>IF(AND('FA Addition'!$D200&lt;$P$1+1,U200=0),'FA Addition'!$L200,0)-Y200</f>
        <v>14348</v>
      </c>
      <c r="AF200" s="117">
        <f t="shared" si="15"/>
        <v>14348</v>
      </c>
      <c r="AG200" s="117">
        <f>MIN(MAX(+$P$1-'FA Addition'!$D200,0),365*'FA Addition'!$O200)</f>
        <v>1095</v>
      </c>
      <c r="AH200" s="117">
        <f>MIN(MAX($L$1-'FA Addition'!$D200+1,0),365*'FA Addition'!$O200)</f>
        <v>1095</v>
      </c>
      <c r="AI200" s="117" cm="1">
        <f t="array" ref="AI200">_xlfn.XLOOKUP(1,('FA Write off'!A:A='FA Addition'!$A200)*('FA Write off'!D:D=AA200),'FA Write off'!H:H,0,0)</f>
        <v>0</v>
      </c>
      <c r="AJ200" s="117">
        <f>IF(AC200&gt;0,MAX(IF('FA Addition'!$N200="SLM",($AC200-'FA Addition'!$M200)*'FA Addition'!$P200*AI200/365,(AC200-'FA Addition'!$M200)*(1-(1-'FA Addition'!$P200)^(AI200/365))),0),0)</f>
        <v>0</v>
      </c>
      <c r="AL200" s="117">
        <f>MAX(IF(AG200&gt;0,IF('FA Addition'!$N200="SLM",($AE200-'FA Addition'!$M200)*'FA Addition'!$P200*AG200/365,IFERROR(VDB(AE200,AE200*0.05,'FA Addition'!$O200,0,YEARFRAC('FA Addition'!$C200,$P$1-1,3),'FA Addition'!$Q200),FAAddition[[#This Row],[Original Cost (Rs)]]-FAAddition[[#This Row],[Salvage Value]])),0),0)</f>
        <v>13631</v>
      </c>
      <c r="AM200" s="119"/>
      <c r="AN200" s="117">
        <f>MAX(IF(AH200&gt;0,IF('FA Addition'!$N200="SLM",($AF200-'FA Addition'!$M200)*'FA Addition'!$P200*AH200/365,IFERROR(VDB(AF200,AF200*0.05,'FA Addition'!$O200,0,YEARFRAC('FA Addition'!$C200,$L$1,3),'FA Addition'!$Q200),FAAddition[[#This Row],[Original Cost (Rs)]]-FAAddition[[#This Row],[Salvage Value]])),0),0)</f>
        <v>13631</v>
      </c>
      <c r="AO200" s="117">
        <f t="shared" si="18"/>
        <v>0</v>
      </c>
      <c r="AQ200" s="117">
        <f t="shared" si="16"/>
        <v>717</v>
      </c>
      <c r="AR200" s="120">
        <f t="shared" si="17"/>
        <v>717</v>
      </c>
      <c r="AS200" s="121"/>
    </row>
    <row r="201" spans="1:45" ht="13.5" x14ac:dyDescent="0.4">
      <c r="A201" s="12">
        <f t="shared" si="19"/>
        <v>198</v>
      </c>
      <c r="B201" s="44" t="s">
        <v>559</v>
      </c>
      <c r="C201" s="45">
        <v>42758</v>
      </c>
      <c r="D201" s="45">
        <v>42758</v>
      </c>
      <c r="E201" s="46" t="s">
        <v>32</v>
      </c>
      <c r="F201" s="44" t="s">
        <v>32</v>
      </c>
      <c r="G201" s="44" t="s">
        <v>433</v>
      </c>
      <c r="H201" s="44" t="s">
        <v>32</v>
      </c>
      <c r="I201" s="47" t="s">
        <v>676</v>
      </c>
      <c r="J201" s="56">
        <v>1</v>
      </c>
      <c r="K201" s="44" t="s">
        <v>677</v>
      </c>
      <c r="L201" s="58">
        <v>7875</v>
      </c>
      <c r="M201" s="50">
        <f>ROUND('FA Addition'!$L201*5%,0.1)</f>
        <v>394</v>
      </c>
      <c r="N201" s="113" t="str">
        <f>_xlfn.XLOOKUP(_xlfn.CONCAT(E201,B201),'Year Wise Master Dep Approach'!F:F,'Year Wise Master Dep Approach'!D:D)</f>
        <v>WDV</v>
      </c>
      <c r="O201" s="113">
        <f>_xlfn.XLOOKUP(_xlfn.CONCAT(E201,B201),'Year Wise Master Dep Approach'!F:F,'Year Wise Master Dep Approach'!E:E)</f>
        <v>3</v>
      </c>
      <c r="P201" s="114">
        <f>IFERROR(IF('FA Addition'!$N201="WDV",1-('FA Addition'!$M201/'FA Addition'!$L201)^(1/'FA Addition'!$O201),1/'FA Addition'!$O201),0)</f>
        <v>0.63151889771089587</v>
      </c>
      <c r="Q201" s="122">
        <f>'FA Addition'!$P201*'FA Addition'!$O201</f>
        <v>1.8945566931326876</v>
      </c>
      <c r="R201" s="122"/>
      <c r="S201" s="116">
        <f>IF(AND(DATE(20&amp;LEFT(FAAddition[[#This Row],[FY]],2),4,1)&lt;$L$1+1,DATE(20&amp;LEFT(FAAddition[[#This Row],[FY]],2),4,1)&gt;$P$1-1),'FA Addition'!$J201,0)</f>
        <v>0</v>
      </c>
      <c r="U201" s="117">
        <f>S201*'FA Addition'!$L201/'FA Addition'!$J201</f>
        <v>0</v>
      </c>
      <c r="W201" s="116">
        <f>SUMIFS('FA Write off'!D:D,'FA Write off'!A:A,'FA Addition'!$A201,'FA Write off'!C:C,"&lt;"&amp;'FA Addition'!$P$1)</f>
        <v>0</v>
      </c>
      <c r="Y201" s="191">
        <f>IFERROR(W201/'FA Addition'!$J201*'FA Addition'!$L201,0)</f>
        <v>0</v>
      </c>
      <c r="AA201" s="116">
        <f>SUMIFS('FA Write off'!D:D,'FA Write off'!A:A,'FA Addition'!$A201,'FA Write off'!C:C,"&lt;"&amp;'FA Addition'!$L$1+1,'FA Write off'!C:C,"&gt;"&amp;'FA Addition'!$L$1-365)</f>
        <v>0</v>
      </c>
      <c r="AC201" s="118">
        <f>IFERROR(AA201/'FA Addition'!$J201*'FA Addition'!$L201,0)</f>
        <v>0</v>
      </c>
      <c r="AE201" s="117">
        <f>IF(AND('FA Addition'!$D201&lt;$P$1+1,U201=0),'FA Addition'!$L201,0)-Y201</f>
        <v>7875</v>
      </c>
      <c r="AF201" s="117">
        <f t="shared" si="15"/>
        <v>7875</v>
      </c>
      <c r="AG201" s="117">
        <f>MIN(MAX(+$P$1-'FA Addition'!$D201,0),365*'FA Addition'!$O201)</f>
        <v>1095</v>
      </c>
      <c r="AH201" s="117">
        <f>MIN(MAX($L$1-'FA Addition'!$D201+1,0),365*'FA Addition'!$O201)</f>
        <v>1095</v>
      </c>
      <c r="AI201" s="117" cm="1">
        <f t="array" ref="AI201">_xlfn.XLOOKUP(1,('FA Write off'!A:A='FA Addition'!$A201)*('FA Write off'!D:D=AA201),'FA Write off'!H:H,0,0)</f>
        <v>0</v>
      </c>
      <c r="AJ201" s="117">
        <f>IF(AC201&gt;0,MAX(IF('FA Addition'!$N201="SLM",($AC201-'FA Addition'!$M201)*'FA Addition'!$P201*AI201/365,(AC201-'FA Addition'!$M201)*(1-(1-'FA Addition'!$P201)^(AI201/365))),0),0)</f>
        <v>0</v>
      </c>
      <c r="AL201" s="117">
        <f>MAX(IF(AG201&gt;0,IF('FA Addition'!$N201="SLM",($AE201-'FA Addition'!$M201)*'FA Addition'!$P201*AG201/365,IFERROR(VDB(AE201,AE201*0.05,'FA Addition'!$O201,0,YEARFRAC('FA Addition'!$C201,$P$1-1,3),'FA Addition'!$Q201),FAAddition[[#This Row],[Original Cost (Rs)]]-FAAddition[[#This Row],[Salvage Value]])),0),0)</f>
        <v>7481</v>
      </c>
      <c r="AM201" s="119"/>
      <c r="AN201" s="117">
        <f>MAX(IF(AH201&gt;0,IF('FA Addition'!$N201="SLM",($AF201-'FA Addition'!$M201)*'FA Addition'!$P201*AH201/365,IFERROR(VDB(AF201,AF201*0.05,'FA Addition'!$O201,0,YEARFRAC('FA Addition'!$C201,$L$1,3),'FA Addition'!$Q201),FAAddition[[#This Row],[Original Cost (Rs)]]-FAAddition[[#This Row],[Salvage Value]])),0),0)</f>
        <v>7481</v>
      </c>
      <c r="AO201" s="117">
        <f t="shared" si="18"/>
        <v>0</v>
      </c>
      <c r="AQ201" s="117">
        <f t="shared" si="16"/>
        <v>394</v>
      </c>
      <c r="AR201" s="120">
        <f t="shared" si="17"/>
        <v>394</v>
      </c>
      <c r="AS201" s="121"/>
    </row>
    <row r="202" spans="1:45" ht="13.5" x14ac:dyDescent="0.4">
      <c r="A202" s="12">
        <f t="shared" si="19"/>
        <v>199</v>
      </c>
      <c r="B202" s="44" t="s">
        <v>559</v>
      </c>
      <c r="C202" s="45">
        <v>42762</v>
      </c>
      <c r="D202" s="45">
        <v>42762</v>
      </c>
      <c r="E202" s="46" t="s">
        <v>32</v>
      </c>
      <c r="F202" s="44" t="s">
        <v>32</v>
      </c>
      <c r="G202" s="44" t="s">
        <v>678</v>
      </c>
      <c r="H202" s="44" t="s">
        <v>32</v>
      </c>
      <c r="I202" s="47"/>
      <c r="J202" s="56">
        <v>1</v>
      </c>
      <c r="K202" s="44" t="s">
        <v>32</v>
      </c>
      <c r="L202" s="58">
        <v>13168</v>
      </c>
      <c r="M202" s="50">
        <f>ROUND('FA Addition'!$L202*5%,0.1)</f>
        <v>658</v>
      </c>
      <c r="N202" s="113" t="str">
        <f>_xlfn.XLOOKUP(_xlfn.CONCAT(E202,B202),'Year Wise Master Dep Approach'!F:F,'Year Wise Master Dep Approach'!D:D)</f>
        <v>WDV</v>
      </c>
      <c r="O202" s="113">
        <f>_xlfn.XLOOKUP(_xlfn.CONCAT(E202,B202),'Year Wise Master Dep Approach'!F:F,'Year Wise Master Dep Approach'!E:E)</f>
        <v>3</v>
      </c>
      <c r="P202" s="114">
        <f>IFERROR(IF('FA Addition'!$N202="WDV",1-('FA Addition'!$M202/'FA Addition'!$L202)^(1/'FA Addition'!$O202),1/'FA Addition'!$O202),0)</f>
        <v>0.63167147099071952</v>
      </c>
      <c r="Q202" s="122">
        <f>'FA Addition'!$P202*'FA Addition'!$O202</f>
        <v>1.8950144129721584</v>
      </c>
      <c r="R202" s="122"/>
      <c r="S202" s="116">
        <f>IF(AND(DATE(20&amp;LEFT(FAAddition[[#This Row],[FY]],2),4,1)&lt;$L$1+1,DATE(20&amp;LEFT(FAAddition[[#This Row],[FY]],2),4,1)&gt;$P$1-1),'FA Addition'!$J202,0)</f>
        <v>0</v>
      </c>
      <c r="U202" s="117">
        <f>S202*'FA Addition'!$L202/'FA Addition'!$J202</f>
        <v>0</v>
      </c>
      <c r="W202" s="116">
        <f>SUMIFS('FA Write off'!D:D,'FA Write off'!A:A,'FA Addition'!$A202,'FA Write off'!C:C,"&lt;"&amp;'FA Addition'!$P$1)</f>
        <v>0</v>
      </c>
      <c r="Y202" s="191">
        <f>IFERROR(W202/'FA Addition'!$J202*'FA Addition'!$L202,0)</f>
        <v>0</v>
      </c>
      <c r="AA202" s="116">
        <f>SUMIFS('FA Write off'!D:D,'FA Write off'!A:A,'FA Addition'!$A202,'FA Write off'!C:C,"&lt;"&amp;'FA Addition'!$L$1+1,'FA Write off'!C:C,"&gt;"&amp;'FA Addition'!$L$1-365)</f>
        <v>0</v>
      </c>
      <c r="AC202" s="118">
        <f>IFERROR(AA202/'FA Addition'!$J202*'FA Addition'!$L202,0)</f>
        <v>0</v>
      </c>
      <c r="AE202" s="117">
        <f>IF(AND('FA Addition'!$D202&lt;$P$1+1,U202=0),'FA Addition'!$L202,0)-Y202</f>
        <v>13168</v>
      </c>
      <c r="AF202" s="117">
        <f t="shared" si="15"/>
        <v>13168</v>
      </c>
      <c r="AG202" s="117">
        <f>MIN(MAX(+$P$1-'FA Addition'!$D202,0),365*'FA Addition'!$O202)</f>
        <v>1095</v>
      </c>
      <c r="AH202" s="117">
        <f>MIN(MAX($L$1-'FA Addition'!$D202+1,0),365*'FA Addition'!$O202)</f>
        <v>1095</v>
      </c>
      <c r="AI202" s="117" cm="1">
        <f t="array" ref="AI202">_xlfn.XLOOKUP(1,('FA Write off'!A:A='FA Addition'!$A202)*('FA Write off'!D:D=AA202),'FA Write off'!H:H,0,0)</f>
        <v>0</v>
      </c>
      <c r="AJ202" s="117">
        <f>IF(AC202&gt;0,MAX(IF('FA Addition'!$N202="SLM",($AC202-'FA Addition'!$M202)*'FA Addition'!$P202*AI202/365,(AC202-'FA Addition'!$M202)*(1-(1-'FA Addition'!$P202)^(AI202/365))),0),0)</f>
        <v>0</v>
      </c>
      <c r="AL202" s="117">
        <f>MAX(IF(AG202&gt;0,IF('FA Addition'!$N202="SLM",($AE202-'FA Addition'!$M202)*'FA Addition'!$P202*AG202/365,IFERROR(VDB(AE202,AE202*0.05,'FA Addition'!$O202,0,YEARFRAC('FA Addition'!$C202,$P$1-1,3),'FA Addition'!$Q202),FAAddition[[#This Row],[Original Cost (Rs)]]-FAAddition[[#This Row],[Salvage Value]])),0),0)</f>
        <v>12510</v>
      </c>
      <c r="AM202" s="119"/>
      <c r="AN202" s="117">
        <f>MAX(IF(AH202&gt;0,IF('FA Addition'!$N202="SLM",($AF202-'FA Addition'!$M202)*'FA Addition'!$P202*AH202/365,IFERROR(VDB(AF202,AF202*0.05,'FA Addition'!$O202,0,YEARFRAC('FA Addition'!$C202,$L$1,3),'FA Addition'!$Q202),FAAddition[[#This Row],[Original Cost (Rs)]]-FAAddition[[#This Row],[Salvage Value]])),0),0)</f>
        <v>12510</v>
      </c>
      <c r="AO202" s="117">
        <f t="shared" si="18"/>
        <v>0</v>
      </c>
      <c r="AQ202" s="117">
        <f t="shared" si="16"/>
        <v>658</v>
      </c>
      <c r="AR202" s="120">
        <f t="shared" si="17"/>
        <v>658</v>
      </c>
      <c r="AS202" s="121"/>
    </row>
    <row r="203" spans="1:45" ht="13.5" x14ac:dyDescent="0.4">
      <c r="A203" s="12">
        <f t="shared" si="19"/>
        <v>200</v>
      </c>
      <c r="B203" s="44" t="s">
        <v>559</v>
      </c>
      <c r="C203" s="45">
        <v>42767</v>
      </c>
      <c r="D203" s="45">
        <v>42767</v>
      </c>
      <c r="E203" s="46" t="s">
        <v>32</v>
      </c>
      <c r="F203" s="44" t="s">
        <v>32</v>
      </c>
      <c r="G203" s="44" t="s">
        <v>433</v>
      </c>
      <c r="H203" s="44" t="s">
        <v>26</v>
      </c>
      <c r="I203" s="47" t="s">
        <v>679</v>
      </c>
      <c r="J203" s="56">
        <v>120</v>
      </c>
      <c r="K203" s="44" t="s">
        <v>680</v>
      </c>
      <c r="L203" s="58">
        <v>51450</v>
      </c>
      <c r="M203" s="50">
        <f>ROUND('FA Addition'!$L203*5%,0.1)</f>
        <v>2573</v>
      </c>
      <c r="N203" s="113" t="str">
        <f>_xlfn.XLOOKUP(_xlfn.CONCAT(E203,B203),'Year Wise Master Dep Approach'!F:F,'Year Wise Master Dep Approach'!D:D)</f>
        <v>WDV</v>
      </c>
      <c r="O203" s="113">
        <f>_xlfn.XLOOKUP(_xlfn.CONCAT(E203,B203),'Year Wise Master Dep Approach'!F:F,'Year Wise Master Dep Approach'!E:E)</f>
        <v>3</v>
      </c>
      <c r="P203" s="114">
        <f>IFERROR(IF('FA Addition'!$N203="WDV",1-('FA Addition'!$M203/'FA Addition'!$L203)^(1/'FA Addition'!$O203),1/'FA Addition'!$O203),0)</f>
        <v>0.63157298364523218</v>
      </c>
      <c r="Q203" s="122">
        <f>'FA Addition'!$P203*'FA Addition'!$O203</f>
        <v>1.8947189509356965</v>
      </c>
      <c r="R203" s="122"/>
      <c r="S203" s="116">
        <f>IF(AND(DATE(20&amp;LEFT(FAAddition[[#This Row],[FY]],2),4,1)&lt;$L$1+1,DATE(20&amp;LEFT(FAAddition[[#This Row],[FY]],2),4,1)&gt;$P$1-1),'FA Addition'!$J203,0)</f>
        <v>0</v>
      </c>
      <c r="U203" s="117">
        <f>S203*'FA Addition'!$L203/'FA Addition'!$J203</f>
        <v>0</v>
      </c>
      <c r="W203" s="116">
        <f>SUMIFS('FA Write off'!D:D,'FA Write off'!A:A,'FA Addition'!$A203,'FA Write off'!C:C,"&lt;"&amp;'FA Addition'!$P$1)</f>
        <v>0</v>
      </c>
      <c r="Y203" s="191">
        <f>IFERROR(W203/'FA Addition'!$J203*'FA Addition'!$L203,0)</f>
        <v>0</v>
      </c>
      <c r="AA203" s="116">
        <f>SUMIFS('FA Write off'!D:D,'FA Write off'!A:A,'FA Addition'!$A203,'FA Write off'!C:C,"&lt;"&amp;'FA Addition'!$L$1+1,'FA Write off'!C:C,"&gt;"&amp;'FA Addition'!$L$1-365)</f>
        <v>0</v>
      </c>
      <c r="AC203" s="118">
        <f>IFERROR(AA203/'FA Addition'!$J203*'FA Addition'!$L203,0)</f>
        <v>0</v>
      </c>
      <c r="AE203" s="117">
        <f>IF(AND('FA Addition'!$D203&lt;$P$1+1,U203=0),'FA Addition'!$L203,0)-Y203</f>
        <v>51450</v>
      </c>
      <c r="AF203" s="117">
        <f t="shared" si="15"/>
        <v>51450</v>
      </c>
      <c r="AG203" s="117">
        <f>MIN(MAX(+$P$1-'FA Addition'!$D203,0),365*'FA Addition'!$O203)</f>
        <v>1095</v>
      </c>
      <c r="AH203" s="117">
        <f>MIN(MAX($L$1-'FA Addition'!$D203+1,0),365*'FA Addition'!$O203)</f>
        <v>1095</v>
      </c>
      <c r="AI203" s="117" cm="1">
        <f t="array" ref="AI203">_xlfn.XLOOKUP(1,('FA Write off'!A:A='FA Addition'!$A203)*('FA Write off'!D:D=AA203),'FA Write off'!H:H,0,0)</f>
        <v>0</v>
      </c>
      <c r="AJ203" s="117">
        <f>IF(AC203&gt;0,MAX(IF('FA Addition'!$N203="SLM",($AC203-'FA Addition'!$M203)*'FA Addition'!$P203*AI203/365,(AC203-'FA Addition'!$M203)*(1-(1-'FA Addition'!$P203)^(AI203/365))),0),0)</f>
        <v>0</v>
      </c>
      <c r="AL203" s="117">
        <f>MAX(IF(AG203&gt;0,IF('FA Addition'!$N203="SLM",($AE203-'FA Addition'!$M203)*'FA Addition'!$P203*AG203/365,IFERROR(VDB(AE203,AE203*0.05,'FA Addition'!$O203,0,YEARFRAC('FA Addition'!$C203,$P$1-1,3),'FA Addition'!$Q203),FAAddition[[#This Row],[Original Cost (Rs)]]-FAAddition[[#This Row],[Salvage Value]])),0),0)</f>
        <v>48877</v>
      </c>
      <c r="AM203" s="119"/>
      <c r="AN203" s="117">
        <f>MAX(IF(AH203&gt;0,IF('FA Addition'!$N203="SLM",($AF203-'FA Addition'!$M203)*'FA Addition'!$P203*AH203/365,IFERROR(VDB(AF203,AF203*0.05,'FA Addition'!$O203,0,YEARFRAC('FA Addition'!$C203,$L$1,3),'FA Addition'!$Q203),FAAddition[[#This Row],[Original Cost (Rs)]]-FAAddition[[#This Row],[Salvage Value]])),0),0)</f>
        <v>48877</v>
      </c>
      <c r="AO203" s="117">
        <f t="shared" si="18"/>
        <v>0</v>
      </c>
      <c r="AQ203" s="117">
        <f t="shared" si="16"/>
        <v>2573</v>
      </c>
      <c r="AR203" s="120">
        <f t="shared" si="17"/>
        <v>2573</v>
      </c>
      <c r="AS203" s="121"/>
    </row>
    <row r="204" spans="1:45" ht="13.5" x14ac:dyDescent="0.4">
      <c r="A204" s="12">
        <f t="shared" si="19"/>
        <v>201</v>
      </c>
      <c r="B204" s="44" t="s">
        <v>559</v>
      </c>
      <c r="C204" s="45">
        <v>42768</v>
      </c>
      <c r="D204" s="45">
        <v>42768</v>
      </c>
      <c r="E204" s="46" t="s">
        <v>32</v>
      </c>
      <c r="F204" s="44" t="s">
        <v>32</v>
      </c>
      <c r="G204" s="44" t="s">
        <v>433</v>
      </c>
      <c r="H204" s="44" t="s">
        <v>32</v>
      </c>
      <c r="I204" s="47" t="s">
        <v>681</v>
      </c>
      <c r="J204" s="56">
        <v>20</v>
      </c>
      <c r="K204" s="44" t="s">
        <v>567</v>
      </c>
      <c r="L204" s="52">
        <v>61000</v>
      </c>
      <c r="M204" s="50">
        <f>ROUND('FA Addition'!$L204*5%,0.1)</f>
        <v>3050</v>
      </c>
      <c r="N204" s="113" t="str">
        <f>_xlfn.XLOOKUP(_xlfn.CONCAT(E204,B204),'Year Wise Master Dep Approach'!F:F,'Year Wise Master Dep Approach'!D:D)</f>
        <v>WDV</v>
      </c>
      <c r="O204" s="113">
        <f>_xlfn.XLOOKUP(_xlfn.CONCAT(E204,B204),'Year Wise Master Dep Approach'!F:F,'Year Wise Master Dep Approach'!E:E)</f>
        <v>3</v>
      </c>
      <c r="P204" s="114">
        <f>IFERROR(IF('FA Addition'!$N204="WDV",1-('FA Addition'!$M204/'FA Addition'!$L204)^(1/'FA Addition'!$O204),1/'FA Addition'!$O204),0)</f>
        <v>0.63159685013596123</v>
      </c>
      <c r="Q204" s="122">
        <f>'FA Addition'!$P204*'FA Addition'!$O204</f>
        <v>1.8947905504078837</v>
      </c>
      <c r="R204" s="122"/>
      <c r="S204" s="116">
        <f>IF(AND(DATE(20&amp;LEFT(FAAddition[[#This Row],[FY]],2),4,1)&lt;$L$1+1,DATE(20&amp;LEFT(FAAddition[[#This Row],[FY]],2),4,1)&gt;$P$1-1),'FA Addition'!$J204,0)</f>
        <v>0</v>
      </c>
      <c r="U204" s="117">
        <f>S204*'FA Addition'!$L204/'FA Addition'!$J204</f>
        <v>0</v>
      </c>
      <c r="W204" s="116">
        <f>SUMIFS('FA Write off'!D:D,'FA Write off'!A:A,'FA Addition'!$A204,'FA Write off'!C:C,"&lt;"&amp;'FA Addition'!$P$1)</f>
        <v>0</v>
      </c>
      <c r="Y204" s="191">
        <f>IFERROR(W204/'FA Addition'!$J204*'FA Addition'!$L204,0)</f>
        <v>0</v>
      </c>
      <c r="AA204" s="116">
        <f>SUMIFS('FA Write off'!D:D,'FA Write off'!A:A,'FA Addition'!$A204,'FA Write off'!C:C,"&lt;"&amp;'FA Addition'!$L$1+1,'FA Write off'!C:C,"&gt;"&amp;'FA Addition'!$L$1-365)</f>
        <v>0</v>
      </c>
      <c r="AC204" s="118">
        <f>IFERROR(AA204/'FA Addition'!$J204*'FA Addition'!$L204,0)</f>
        <v>0</v>
      </c>
      <c r="AE204" s="117">
        <f>IF(AND('FA Addition'!$D204&lt;$P$1+1,U204=0),'FA Addition'!$L204,0)-Y204</f>
        <v>61000</v>
      </c>
      <c r="AF204" s="117">
        <f t="shared" si="15"/>
        <v>61000</v>
      </c>
      <c r="AG204" s="117">
        <f>MIN(MAX(+$P$1-'FA Addition'!$D204,0),365*'FA Addition'!$O204)</f>
        <v>1095</v>
      </c>
      <c r="AH204" s="117">
        <f>MIN(MAX($L$1-'FA Addition'!$D204+1,0),365*'FA Addition'!$O204)</f>
        <v>1095</v>
      </c>
      <c r="AI204" s="117" cm="1">
        <f t="array" ref="AI204">_xlfn.XLOOKUP(1,('FA Write off'!A:A='FA Addition'!$A204)*('FA Write off'!D:D=AA204),'FA Write off'!H:H,0,0)</f>
        <v>0</v>
      </c>
      <c r="AJ204" s="117">
        <f>IF(AC204&gt;0,MAX(IF('FA Addition'!$N204="SLM",($AC204-'FA Addition'!$M204)*'FA Addition'!$P204*AI204/365,(AC204-'FA Addition'!$M204)*(1-(1-'FA Addition'!$P204)^(AI204/365))),0),0)</f>
        <v>0</v>
      </c>
      <c r="AL204" s="117">
        <f>MAX(IF(AG204&gt;0,IF('FA Addition'!$N204="SLM",($AE204-'FA Addition'!$M204)*'FA Addition'!$P204*AG204/365,IFERROR(VDB(AE204,AE204*0.05,'FA Addition'!$O204,0,YEARFRAC('FA Addition'!$C204,$P$1-1,3),'FA Addition'!$Q204),FAAddition[[#This Row],[Original Cost (Rs)]]-FAAddition[[#This Row],[Salvage Value]])),0),0)</f>
        <v>57950</v>
      </c>
      <c r="AM204" s="119"/>
      <c r="AN204" s="117">
        <f>MAX(IF(AH204&gt;0,IF('FA Addition'!$N204="SLM",($AF204-'FA Addition'!$M204)*'FA Addition'!$P204*AH204/365,IFERROR(VDB(AF204,AF204*0.05,'FA Addition'!$O204,0,YEARFRAC('FA Addition'!$C204,$L$1,3),'FA Addition'!$Q204),FAAddition[[#This Row],[Original Cost (Rs)]]-FAAddition[[#This Row],[Salvage Value]])),0),0)</f>
        <v>57950</v>
      </c>
      <c r="AO204" s="117">
        <f t="shared" si="18"/>
        <v>0</v>
      </c>
      <c r="AQ204" s="117">
        <f t="shared" si="16"/>
        <v>3050</v>
      </c>
      <c r="AR204" s="120">
        <f t="shared" si="17"/>
        <v>3050</v>
      </c>
      <c r="AS204" s="121"/>
    </row>
    <row r="205" spans="1:45" ht="13.5" x14ac:dyDescent="0.4">
      <c r="A205" s="12">
        <f t="shared" si="19"/>
        <v>202</v>
      </c>
      <c r="B205" s="44" t="s">
        <v>559</v>
      </c>
      <c r="C205" s="45">
        <v>42772</v>
      </c>
      <c r="D205" s="45">
        <v>42772</v>
      </c>
      <c r="E205" s="46" t="s">
        <v>32</v>
      </c>
      <c r="F205" s="44" t="s">
        <v>32</v>
      </c>
      <c r="G205" s="44" t="s">
        <v>682</v>
      </c>
      <c r="H205" s="44" t="s">
        <v>32</v>
      </c>
      <c r="I205" s="47"/>
      <c r="J205" s="56">
        <v>1</v>
      </c>
      <c r="K205" s="44" t="s">
        <v>683</v>
      </c>
      <c r="L205" s="52">
        <v>14400</v>
      </c>
      <c r="M205" s="50">
        <f>ROUND('FA Addition'!$L205*5%,0.1)</f>
        <v>720</v>
      </c>
      <c r="N205" s="113" t="str">
        <f>_xlfn.XLOOKUP(_xlfn.CONCAT(E205,B205),'Year Wise Master Dep Approach'!F:F,'Year Wise Master Dep Approach'!D:D)</f>
        <v>WDV</v>
      </c>
      <c r="O205" s="113">
        <f>_xlfn.XLOOKUP(_xlfn.CONCAT(E205,B205),'Year Wise Master Dep Approach'!F:F,'Year Wise Master Dep Approach'!E:E)</f>
        <v>3</v>
      </c>
      <c r="P205" s="114">
        <f>IFERROR(IF('FA Addition'!$N205="WDV",1-('FA Addition'!$M205/'FA Addition'!$L205)^(1/'FA Addition'!$O205),1/'FA Addition'!$O205),0)</f>
        <v>0.63159685013596123</v>
      </c>
      <c r="Q205" s="122">
        <f>'FA Addition'!$P205*'FA Addition'!$O205</f>
        <v>1.8947905504078837</v>
      </c>
      <c r="R205" s="122"/>
      <c r="S205" s="116">
        <f>IF(AND(DATE(20&amp;LEFT(FAAddition[[#This Row],[FY]],2),4,1)&lt;$L$1+1,DATE(20&amp;LEFT(FAAddition[[#This Row],[FY]],2),4,1)&gt;$P$1-1),'FA Addition'!$J205,0)</f>
        <v>0</v>
      </c>
      <c r="U205" s="117">
        <f>S205*'FA Addition'!$L205/'FA Addition'!$J205</f>
        <v>0</v>
      </c>
      <c r="W205" s="116">
        <f>SUMIFS('FA Write off'!D:D,'FA Write off'!A:A,'FA Addition'!$A205,'FA Write off'!C:C,"&lt;"&amp;'FA Addition'!$P$1)</f>
        <v>0</v>
      </c>
      <c r="Y205" s="191">
        <f>IFERROR(W205/'FA Addition'!$J205*'FA Addition'!$L205,0)</f>
        <v>0</v>
      </c>
      <c r="AA205" s="116">
        <f>SUMIFS('FA Write off'!D:D,'FA Write off'!A:A,'FA Addition'!$A205,'FA Write off'!C:C,"&lt;"&amp;'FA Addition'!$L$1+1,'FA Write off'!C:C,"&gt;"&amp;'FA Addition'!$L$1-365)</f>
        <v>0</v>
      </c>
      <c r="AC205" s="118">
        <f>IFERROR(AA205/'FA Addition'!$J205*'FA Addition'!$L205,0)</f>
        <v>0</v>
      </c>
      <c r="AE205" s="117">
        <f>IF(AND('FA Addition'!$D205&lt;$P$1+1,U205=0),'FA Addition'!$L205,0)-Y205</f>
        <v>14400</v>
      </c>
      <c r="AF205" s="117">
        <f t="shared" si="15"/>
        <v>14400</v>
      </c>
      <c r="AG205" s="117">
        <f>MIN(MAX(+$P$1-'FA Addition'!$D205,0),365*'FA Addition'!$O205)</f>
        <v>1095</v>
      </c>
      <c r="AH205" s="117">
        <f>MIN(MAX($L$1-'FA Addition'!$D205+1,0),365*'FA Addition'!$O205)</f>
        <v>1095</v>
      </c>
      <c r="AI205" s="117" cm="1">
        <f t="array" ref="AI205">_xlfn.XLOOKUP(1,('FA Write off'!A:A='FA Addition'!$A205)*('FA Write off'!D:D=AA205),'FA Write off'!H:H,0,0)</f>
        <v>0</v>
      </c>
      <c r="AJ205" s="117">
        <f>IF(AC205&gt;0,MAX(IF('FA Addition'!$N205="SLM",($AC205-'FA Addition'!$M205)*'FA Addition'!$P205*AI205/365,(AC205-'FA Addition'!$M205)*(1-(1-'FA Addition'!$P205)^(AI205/365))),0),0)</f>
        <v>0</v>
      </c>
      <c r="AL205" s="117">
        <f>MAX(IF(AG205&gt;0,IF('FA Addition'!$N205="SLM",($AE205-'FA Addition'!$M205)*'FA Addition'!$P205*AG205/365,IFERROR(VDB(AE205,AE205*0.05,'FA Addition'!$O205,0,YEARFRAC('FA Addition'!$C205,$P$1-1,3),'FA Addition'!$Q205),FAAddition[[#This Row],[Original Cost (Rs)]]-FAAddition[[#This Row],[Salvage Value]])),0),0)</f>
        <v>13680</v>
      </c>
      <c r="AM205" s="119"/>
      <c r="AN205" s="117">
        <f>MAX(IF(AH205&gt;0,IF('FA Addition'!$N205="SLM",($AF205-'FA Addition'!$M205)*'FA Addition'!$P205*AH205/365,IFERROR(VDB(AF205,AF205*0.05,'FA Addition'!$O205,0,YEARFRAC('FA Addition'!$C205,$L$1,3),'FA Addition'!$Q205),FAAddition[[#This Row],[Original Cost (Rs)]]-FAAddition[[#This Row],[Salvage Value]])),0),0)</f>
        <v>13680</v>
      </c>
      <c r="AO205" s="117">
        <f t="shared" si="18"/>
        <v>0</v>
      </c>
      <c r="AQ205" s="117">
        <f t="shared" si="16"/>
        <v>720</v>
      </c>
      <c r="AR205" s="120">
        <f t="shared" si="17"/>
        <v>720</v>
      </c>
      <c r="AS205" s="121"/>
    </row>
    <row r="206" spans="1:45" ht="13.5" x14ac:dyDescent="0.4">
      <c r="A206" s="12">
        <f t="shared" si="19"/>
        <v>203</v>
      </c>
      <c r="B206" s="51" t="s">
        <v>559</v>
      </c>
      <c r="C206" s="54">
        <v>42773</v>
      </c>
      <c r="D206" s="54">
        <v>42773</v>
      </c>
      <c r="E206" s="46" t="s">
        <v>32</v>
      </c>
      <c r="F206" s="51" t="s">
        <v>32</v>
      </c>
      <c r="G206" s="51" t="s">
        <v>433</v>
      </c>
      <c r="H206" s="51" t="s">
        <v>32</v>
      </c>
      <c r="I206" s="55" t="s">
        <v>684</v>
      </c>
      <c r="J206" s="48">
        <v>9</v>
      </c>
      <c r="K206" s="51" t="s">
        <v>567</v>
      </c>
      <c r="L206" s="58">
        <v>29295</v>
      </c>
      <c r="M206" s="50">
        <f>ROUND('FA Addition'!$L206*5%,0.1)</f>
        <v>1465</v>
      </c>
      <c r="N206" s="113" t="str">
        <f>_xlfn.XLOOKUP(_xlfn.CONCAT(E206,B206),'Year Wise Master Dep Approach'!F:F,'Year Wise Master Dep Approach'!D:D)</f>
        <v>WDV</v>
      </c>
      <c r="O206" s="113">
        <f>_xlfn.XLOOKUP(_xlfn.CONCAT(E206,B206),'Year Wise Master Dep Approach'!F:F,'Year Wise Master Dep Approach'!E:E)</f>
        <v>3</v>
      </c>
      <c r="P206" s="114">
        <f>IFERROR(IF('FA Addition'!$N206="WDV",1-('FA Addition'!$M206/'FA Addition'!$L206)^(1/'FA Addition'!$O206),1/'FA Addition'!$O206),0)</f>
        <v>0.63157589194102104</v>
      </c>
      <c r="Q206" s="122">
        <f>'FA Addition'!$P206*'FA Addition'!$O206</f>
        <v>1.8947276758230631</v>
      </c>
      <c r="R206" s="122"/>
      <c r="S206" s="116">
        <f>IF(AND(DATE(20&amp;LEFT(FAAddition[[#This Row],[FY]],2),4,1)&lt;$L$1+1,DATE(20&amp;LEFT(FAAddition[[#This Row],[FY]],2),4,1)&gt;$P$1-1),'FA Addition'!$J206,0)</f>
        <v>0</v>
      </c>
      <c r="U206" s="117">
        <f>S206*'FA Addition'!$L206/'FA Addition'!$J206</f>
        <v>0</v>
      </c>
      <c r="W206" s="116">
        <f>SUMIFS('FA Write off'!D:D,'FA Write off'!A:A,'FA Addition'!$A206,'FA Write off'!C:C,"&lt;"&amp;'FA Addition'!$P$1)</f>
        <v>0</v>
      </c>
      <c r="Y206" s="191">
        <f>IFERROR(W206/'FA Addition'!$J206*'FA Addition'!$L206,0)</f>
        <v>0</v>
      </c>
      <c r="AA206" s="116">
        <f>SUMIFS('FA Write off'!D:D,'FA Write off'!A:A,'FA Addition'!$A206,'FA Write off'!C:C,"&lt;"&amp;'FA Addition'!$L$1+1,'FA Write off'!C:C,"&gt;"&amp;'FA Addition'!$L$1-365)</f>
        <v>0</v>
      </c>
      <c r="AC206" s="118">
        <f>IFERROR(AA206/'FA Addition'!$J206*'FA Addition'!$L206,0)</f>
        <v>0</v>
      </c>
      <c r="AE206" s="117">
        <f>IF(AND('FA Addition'!$D206&lt;$P$1+1,U206=0),'FA Addition'!$L206,0)-Y206</f>
        <v>29295</v>
      </c>
      <c r="AF206" s="117">
        <f t="shared" si="15"/>
        <v>29295</v>
      </c>
      <c r="AG206" s="117">
        <f>MIN(MAX(+$P$1-'FA Addition'!$D206,0),365*'FA Addition'!$O206)</f>
        <v>1095</v>
      </c>
      <c r="AH206" s="117">
        <f>MIN(MAX($L$1-'FA Addition'!$D206+1,0),365*'FA Addition'!$O206)</f>
        <v>1095</v>
      </c>
      <c r="AI206" s="117" cm="1">
        <f t="array" ref="AI206">_xlfn.XLOOKUP(1,('FA Write off'!A:A='FA Addition'!$A206)*('FA Write off'!D:D=AA206),'FA Write off'!H:H,0,0)</f>
        <v>0</v>
      </c>
      <c r="AJ206" s="117">
        <f>IF(AC206&gt;0,MAX(IF('FA Addition'!$N206="SLM",($AC206-'FA Addition'!$M206)*'FA Addition'!$P206*AI206/365,(AC206-'FA Addition'!$M206)*(1-(1-'FA Addition'!$P206)^(AI206/365))),0),0)</f>
        <v>0</v>
      </c>
      <c r="AL206" s="117">
        <f>MAX(IF(AG206&gt;0,IF('FA Addition'!$N206="SLM",($AE206-'FA Addition'!$M206)*'FA Addition'!$P206*AG206/365,IFERROR(VDB(AE206,AE206*0.05,'FA Addition'!$O206,0,YEARFRAC('FA Addition'!$C206,$P$1-1,3),'FA Addition'!$Q206),FAAddition[[#This Row],[Original Cost (Rs)]]-FAAddition[[#This Row],[Salvage Value]])),0),0)</f>
        <v>27830</v>
      </c>
      <c r="AM206" s="119"/>
      <c r="AN206" s="117">
        <f>MAX(IF(AH206&gt;0,IF('FA Addition'!$N206="SLM",($AF206-'FA Addition'!$M206)*'FA Addition'!$P206*AH206/365,IFERROR(VDB(AF206,AF206*0.05,'FA Addition'!$O206,0,YEARFRAC('FA Addition'!$C206,$L$1,3),'FA Addition'!$Q206),FAAddition[[#This Row],[Original Cost (Rs)]]-FAAddition[[#This Row],[Salvage Value]])),0),0)</f>
        <v>27830</v>
      </c>
      <c r="AO206" s="117">
        <f t="shared" si="18"/>
        <v>0</v>
      </c>
      <c r="AQ206" s="117">
        <f t="shared" si="16"/>
        <v>1465</v>
      </c>
      <c r="AR206" s="120">
        <f t="shared" si="17"/>
        <v>1465</v>
      </c>
      <c r="AS206" s="121"/>
    </row>
    <row r="207" spans="1:45" ht="13.5" x14ac:dyDescent="0.4">
      <c r="A207" s="12">
        <f t="shared" si="19"/>
        <v>204</v>
      </c>
      <c r="B207" s="51" t="s">
        <v>559</v>
      </c>
      <c r="C207" s="54">
        <v>42786</v>
      </c>
      <c r="D207" s="54">
        <v>42786</v>
      </c>
      <c r="E207" s="46" t="s">
        <v>207</v>
      </c>
      <c r="F207" s="51" t="s">
        <v>147</v>
      </c>
      <c r="G207" s="51" t="s">
        <v>597</v>
      </c>
      <c r="H207" s="51" t="s">
        <v>207</v>
      </c>
      <c r="I207" s="55"/>
      <c r="J207" s="56">
        <v>1</v>
      </c>
      <c r="K207" s="51" t="s">
        <v>685</v>
      </c>
      <c r="L207" s="58">
        <v>7990</v>
      </c>
      <c r="M207" s="50">
        <f>ROUND('FA Addition'!$L207*5%,0.1)</f>
        <v>400</v>
      </c>
      <c r="N207" s="113" t="str">
        <f>_xlfn.XLOOKUP(_xlfn.CONCAT(E207,B207),'Year Wise Master Dep Approach'!F:F,'Year Wise Master Dep Approach'!D:D)</f>
        <v>WDV</v>
      </c>
      <c r="O207" s="113">
        <f>_xlfn.XLOOKUP(_xlfn.CONCAT(E207,B207),'Year Wise Master Dep Approach'!F:F,'Year Wise Master Dep Approach'!E:E)</f>
        <v>5</v>
      </c>
      <c r="P207" s="114">
        <f>IFERROR(IF('FA Addition'!$N207="WDV",1-('FA Addition'!$M207/'FA Addition'!$L207)^(1/'FA Addition'!$O207),1/'FA Addition'!$O207),0)</f>
        <v>0.45058230519447484</v>
      </c>
      <c r="Q207" s="122">
        <f>'FA Addition'!$P207*'FA Addition'!$O207</f>
        <v>2.2529115259723742</v>
      </c>
      <c r="R207" s="122"/>
      <c r="S207" s="116">
        <f>IF(AND(DATE(20&amp;LEFT(FAAddition[[#This Row],[FY]],2),4,1)&lt;$L$1+1,DATE(20&amp;LEFT(FAAddition[[#This Row],[FY]],2),4,1)&gt;$P$1-1),'FA Addition'!$J207,0)</f>
        <v>0</v>
      </c>
      <c r="U207" s="117">
        <f>S207*'FA Addition'!$L207/'FA Addition'!$J207</f>
        <v>0</v>
      </c>
      <c r="W207" s="116">
        <f>SUMIFS('FA Write off'!D:D,'FA Write off'!A:A,'FA Addition'!$A207,'FA Write off'!C:C,"&lt;"&amp;'FA Addition'!$P$1)</f>
        <v>0</v>
      </c>
      <c r="Y207" s="191">
        <f>IFERROR(W207/'FA Addition'!$J207*'FA Addition'!$L207,0)</f>
        <v>0</v>
      </c>
      <c r="AA207" s="116">
        <f>SUMIFS('FA Write off'!D:D,'FA Write off'!A:A,'FA Addition'!$A207,'FA Write off'!C:C,"&lt;"&amp;'FA Addition'!$L$1+1,'FA Write off'!C:C,"&gt;"&amp;'FA Addition'!$L$1-365)</f>
        <v>0</v>
      </c>
      <c r="AC207" s="118">
        <f>IFERROR(AA207/'FA Addition'!$J207*'FA Addition'!$L207,0)</f>
        <v>0</v>
      </c>
      <c r="AE207" s="117">
        <f>IF(AND('FA Addition'!$D207&lt;$P$1+1,U207=0),'FA Addition'!$L207,0)-Y207</f>
        <v>7990</v>
      </c>
      <c r="AF207" s="117">
        <f t="shared" si="15"/>
        <v>7990</v>
      </c>
      <c r="AG207" s="117">
        <f>MIN(MAX(+$P$1-'FA Addition'!$D207,0),365*'FA Addition'!$O207)</f>
        <v>1825</v>
      </c>
      <c r="AH207" s="117">
        <f>MIN(MAX($L$1-'FA Addition'!$D207+1,0),365*'FA Addition'!$O207)</f>
        <v>1825</v>
      </c>
      <c r="AI207" s="117" cm="1">
        <f t="array" ref="AI207">_xlfn.XLOOKUP(1,('FA Write off'!A:A='FA Addition'!$A207)*('FA Write off'!D:D=AA207),'FA Write off'!H:H,0,0)</f>
        <v>0</v>
      </c>
      <c r="AJ207" s="117">
        <f>IF(AC207&gt;0,MAX(IF('FA Addition'!$N207="SLM",($AC207-'FA Addition'!$M207)*'FA Addition'!$P207*AI207/365,(AC207-'FA Addition'!$M207)*(1-(1-'FA Addition'!$P207)^(AI207/365))),0),0)</f>
        <v>0</v>
      </c>
      <c r="AL207" s="117">
        <f>MAX(IF(AG207&gt;0,IF('FA Addition'!$N207="SLM",($AE207-'FA Addition'!$M207)*'FA Addition'!$P207*AG207/365,IFERROR(VDB(AE207,AE207*0.05,'FA Addition'!$O207,0,YEARFRAC('FA Addition'!$C207,$P$1-1,3),'FA Addition'!$Q207),FAAddition[[#This Row],[Original Cost (Rs)]]-FAAddition[[#This Row],[Salvage Value]])),0),0)</f>
        <v>7590</v>
      </c>
      <c r="AM207" s="119"/>
      <c r="AN207" s="117">
        <f>MAX(IF(AH207&gt;0,IF('FA Addition'!$N207="SLM",($AF207-'FA Addition'!$M207)*'FA Addition'!$P207*AH207/365,IFERROR(VDB(AF207,AF207*0.05,'FA Addition'!$O207,0,YEARFRAC('FA Addition'!$C207,$L$1,3),'FA Addition'!$Q207),FAAddition[[#This Row],[Original Cost (Rs)]]-FAAddition[[#This Row],[Salvage Value]])),0),0)</f>
        <v>7590</v>
      </c>
      <c r="AO207" s="117">
        <f t="shared" si="18"/>
        <v>0</v>
      </c>
      <c r="AQ207" s="117">
        <f t="shared" si="16"/>
        <v>400</v>
      </c>
      <c r="AR207" s="120">
        <f t="shared" si="17"/>
        <v>400</v>
      </c>
      <c r="AS207" s="121"/>
    </row>
    <row r="208" spans="1:45" ht="13.5" x14ac:dyDescent="0.4">
      <c r="A208" s="12">
        <f t="shared" si="19"/>
        <v>205</v>
      </c>
      <c r="B208" s="51" t="s">
        <v>559</v>
      </c>
      <c r="C208" s="54">
        <v>42795</v>
      </c>
      <c r="D208" s="54">
        <v>42795</v>
      </c>
      <c r="E208" s="46" t="s">
        <v>32</v>
      </c>
      <c r="F208" s="51" t="s">
        <v>32</v>
      </c>
      <c r="G208" s="51" t="s">
        <v>433</v>
      </c>
      <c r="H208" s="51" t="s">
        <v>32</v>
      </c>
      <c r="I208" s="55" t="s">
        <v>686</v>
      </c>
      <c r="J208" s="56">
        <v>19</v>
      </c>
      <c r="K208" s="51" t="s">
        <v>567</v>
      </c>
      <c r="L208" s="58">
        <v>56858</v>
      </c>
      <c r="M208" s="50">
        <f>ROUND('FA Addition'!$L208*5%,0.1)</f>
        <v>2843</v>
      </c>
      <c r="N208" s="113" t="str">
        <f>_xlfn.XLOOKUP(_xlfn.CONCAT(E208,B208),'Year Wise Master Dep Approach'!F:F,'Year Wise Master Dep Approach'!D:D)</f>
        <v>WDV</v>
      </c>
      <c r="O208" s="113">
        <f>_xlfn.XLOOKUP(_xlfn.CONCAT(E208,B208),'Year Wise Master Dep Approach'!F:F,'Year Wise Master Dep Approach'!E:E)</f>
        <v>3</v>
      </c>
      <c r="P208" s="114">
        <f>IFERROR(IF('FA Addition'!$N208="WDV",1-('FA Addition'!$M208/'FA Addition'!$L208)^(1/'FA Addition'!$O208),1/'FA Addition'!$O208),0)</f>
        <v>0.63159253061680387</v>
      </c>
      <c r="Q208" s="122">
        <f>'FA Addition'!$P208*'FA Addition'!$O208</f>
        <v>1.8947775918504117</v>
      </c>
      <c r="R208" s="122"/>
      <c r="S208" s="116">
        <f>IF(AND(DATE(20&amp;LEFT(FAAddition[[#This Row],[FY]],2),4,1)&lt;$L$1+1,DATE(20&amp;LEFT(FAAddition[[#This Row],[FY]],2),4,1)&gt;$P$1-1),'FA Addition'!$J208,0)</f>
        <v>0</v>
      </c>
      <c r="U208" s="117">
        <f>S208*'FA Addition'!$L208/'FA Addition'!$J208</f>
        <v>0</v>
      </c>
      <c r="W208" s="116">
        <f>SUMIFS('FA Write off'!D:D,'FA Write off'!A:A,'FA Addition'!$A208,'FA Write off'!C:C,"&lt;"&amp;'FA Addition'!$P$1)</f>
        <v>0</v>
      </c>
      <c r="Y208" s="191">
        <f>IFERROR(W208/'FA Addition'!$J208*'FA Addition'!$L208,0)</f>
        <v>0</v>
      </c>
      <c r="AA208" s="116">
        <f>SUMIFS('FA Write off'!D:D,'FA Write off'!A:A,'FA Addition'!$A208,'FA Write off'!C:C,"&lt;"&amp;'FA Addition'!$L$1+1,'FA Write off'!C:C,"&gt;"&amp;'FA Addition'!$L$1-365)</f>
        <v>0</v>
      </c>
      <c r="AC208" s="118">
        <f>IFERROR(AA208/'FA Addition'!$J208*'FA Addition'!$L208,0)</f>
        <v>0</v>
      </c>
      <c r="AE208" s="117">
        <f>IF(AND('FA Addition'!$D208&lt;$P$1+1,U208=0),'FA Addition'!$L208,0)-Y208</f>
        <v>56858</v>
      </c>
      <c r="AF208" s="117">
        <f t="shared" si="15"/>
        <v>56858</v>
      </c>
      <c r="AG208" s="117">
        <f>MIN(MAX(+$P$1-'FA Addition'!$D208,0),365*'FA Addition'!$O208)</f>
        <v>1095</v>
      </c>
      <c r="AH208" s="117">
        <f>MIN(MAX($L$1-'FA Addition'!$D208+1,0),365*'FA Addition'!$O208)</f>
        <v>1095</v>
      </c>
      <c r="AI208" s="117" cm="1">
        <f t="array" ref="AI208">_xlfn.XLOOKUP(1,('FA Write off'!A:A='FA Addition'!$A208)*('FA Write off'!D:D=AA208),'FA Write off'!H:H,0,0)</f>
        <v>0</v>
      </c>
      <c r="AJ208" s="117">
        <f>IF(AC208&gt;0,MAX(IF('FA Addition'!$N208="SLM",($AC208-'FA Addition'!$M208)*'FA Addition'!$P208*AI208/365,(AC208-'FA Addition'!$M208)*(1-(1-'FA Addition'!$P208)^(AI208/365))),0),0)</f>
        <v>0</v>
      </c>
      <c r="AL208" s="117">
        <f>MAX(IF(AG208&gt;0,IF('FA Addition'!$N208="SLM",($AE208-'FA Addition'!$M208)*'FA Addition'!$P208*AG208/365,IFERROR(VDB(AE208,AE208*0.05,'FA Addition'!$O208,0,YEARFRAC('FA Addition'!$C208,$P$1-1,3),'FA Addition'!$Q208),FAAddition[[#This Row],[Original Cost (Rs)]]-FAAddition[[#This Row],[Salvage Value]])),0),0)</f>
        <v>54015</v>
      </c>
      <c r="AM208" s="119"/>
      <c r="AN208" s="117">
        <f>MAX(IF(AH208&gt;0,IF('FA Addition'!$N208="SLM",($AF208-'FA Addition'!$M208)*'FA Addition'!$P208*AH208/365,IFERROR(VDB(AF208,AF208*0.05,'FA Addition'!$O208,0,YEARFRAC('FA Addition'!$C208,$L$1,3),'FA Addition'!$Q208),FAAddition[[#This Row],[Original Cost (Rs)]]-FAAddition[[#This Row],[Salvage Value]])),0),0)</f>
        <v>54015</v>
      </c>
      <c r="AO208" s="117">
        <f t="shared" si="18"/>
        <v>0</v>
      </c>
      <c r="AQ208" s="117">
        <f t="shared" si="16"/>
        <v>2843</v>
      </c>
      <c r="AR208" s="120">
        <f t="shared" si="17"/>
        <v>2843</v>
      </c>
      <c r="AS208" s="121"/>
    </row>
    <row r="209" spans="1:45" ht="13.5" x14ac:dyDescent="0.4">
      <c r="A209" s="12">
        <f t="shared" si="19"/>
        <v>206</v>
      </c>
      <c r="B209" s="51" t="s">
        <v>559</v>
      </c>
      <c r="C209" s="54">
        <v>42796</v>
      </c>
      <c r="D209" s="54">
        <v>42796</v>
      </c>
      <c r="E209" s="46" t="s">
        <v>32</v>
      </c>
      <c r="F209" s="51" t="s">
        <v>32</v>
      </c>
      <c r="G209" s="51" t="s">
        <v>433</v>
      </c>
      <c r="H209" s="51" t="s">
        <v>32</v>
      </c>
      <c r="I209" s="55" t="s">
        <v>687</v>
      </c>
      <c r="J209" s="56">
        <v>20</v>
      </c>
      <c r="K209" s="51" t="s">
        <v>567</v>
      </c>
      <c r="L209" s="58">
        <v>59850</v>
      </c>
      <c r="M209" s="50">
        <f>ROUND('FA Addition'!$L209*5%,0.1)</f>
        <v>2993</v>
      </c>
      <c r="N209" s="113" t="str">
        <f>_xlfn.XLOOKUP(_xlfn.CONCAT(E209,B209),'Year Wise Master Dep Approach'!F:F,'Year Wise Master Dep Approach'!D:D)</f>
        <v>WDV</v>
      </c>
      <c r="O209" s="113">
        <f>_xlfn.XLOOKUP(_xlfn.CONCAT(E209,B209),'Year Wise Master Dep Approach'!F:F,'Year Wise Master Dep Approach'!E:E)</f>
        <v>3</v>
      </c>
      <c r="P209" s="114">
        <f>IFERROR(IF('FA Addition'!$N209="WDV",1-('FA Addition'!$M209/'FA Addition'!$L209)^(1/'FA Addition'!$O209),1/'FA Addition'!$O209),0)</f>
        <v>0.6315763331416071</v>
      </c>
      <c r="Q209" s="122">
        <f>'FA Addition'!$P209*'FA Addition'!$O209</f>
        <v>1.8947289994248213</v>
      </c>
      <c r="R209" s="122"/>
      <c r="S209" s="116">
        <f>IF(AND(DATE(20&amp;LEFT(FAAddition[[#This Row],[FY]],2),4,1)&lt;$L$1+1,DATE(20&amp;LEFT(FAAddition[[#This Row],[FY]],2),4,1)&gt;$P$1-1),'FA Addition'!$J209,0)</f>
        <v>0</v>
      </c>
      <c r="U209" s="117">
        <f>S209*'FA Addition'!$L209/'FA Addition'!$J209</f>
        <v>0</v>
      </c>
      <c r="W209" s="116">
        <f>SUMIFS('FA Write off'!D:D,'FA Write off'!A:A,'FA Addition'!$A209,'FA Write off'!C:C,"&lt;"&amp;'FA Addition'!$P$1)</f>
        <v>0</v>
      </c>
      <c r="Y209" s="191">
        <f>IFERROR(W209/'FA Addition'!$J209*'FA Addition'!$L209,0)</f>
        <v>0</v>
      </c>
      <c r="AA209" s="116">
        <f>SUMIFS('FA Write off'!D:D,'FA Write off'!A:A,'FA Addition'!$A209,'FA Write off'!C:C,"&lt;"&amp;'FA Addition'!$L$1+1,'FA Write off'!C:C,"&gt;"&amp;'FA Addition'!$L$1-365)</f>
        <v>0</v>
      </c>
      <c r="AC209" s="118">
        <f>IFERROR(AA209/'FA Addition'!$J209*'FA Addition'!$L209,0)</f>
        <v>0</v>
      </c>
      <c r="AE209" s="117">
        <f>IF(AND('FA Addition'!$D209&lt;$P$1+1,U209=0),'FA Addition'!$L209,0)-Y209</f>
        <v>59850</v>
      </c>
      <c r="AF209" s="117">
        <f t="shared" si="15"/>
        <v>59850</v>
      </c>
      <c r="AG209" s="117">
        <f>MIN(MAX(+$P$1-'FA Addition'!$D209,0),365*'FA Addition'!$O209)</f>
        <v>1095</v>
      </c>
      <c r="AH209" s="117">
        <f>MIN(MAX($L$1-'FA Addition'!$D209+1,0),365*'FA Addition'!$O209)</f>
        <v>1095</v>
      </c>
      <c r="AI209" s="117" cm="1">
        <f t="array" ref="AI209">_xlfn.XLOOKUP(1,('FA Write off'!A:A='FA Addition'!$A209)*('FA Write off'!D:D=AA209),'FA Write off'!H:H,0,0)</f>
        <v>0</v>
      </c>
      <c r="AJ209" s="117">
        <f>IF(AC209&gt;0,MAX(IF('FA Addition'!$N209="SLM",($AC209-'FA Addition'!$M209)*'FA Addition'!$P209*AI209/365,(AC209-'FA Addition'!$M209)*(1-(1-'FA Addition'!$P209)^(AI209/365))),0),0)</f>
        <v>0</v>
      </c>
      <c r="AL209" s="117">
        <f>MAX(IF(AG209&gt;0,IF('FA Addition'!$N209="SLM",($AE209-'FA Addition'!$M209)*'FA Addition'!$P209*AG209/365,IFERROR(VDB(AE209,AE209*0.05,'FA Addition'!$O209,0,YEARFRAC('FA Addition'!$C209,$P$1-1,3),'FA Addition'!$Q209),FAAddition[[#This Row],[Original Cost (Rs)]]-FAAddition[[#This Row],[Salvage Value]])),0),0)</f>
        <v>56857</v>
      </c>
      <c r="AM209" s="119"/>
      <c r="AN209" s="117">
        <f>MAX(IF(AH209&gt;0,IF('FA Addition'!$N209="SLM",($AF209-'FA Addition'!$M209)*'FA Addition'!$P209*AH209/365,IFERROR(VDB(AF209,AF209*0.05,'FA Addition'!$O209,0,YEARFRAC('FA Addition'!$C209,$L$1,3),'FA Addition'!$Q209),FAAddition[[#This Row],[Original Cost (Rs)]]-FAAddition[[#This Row],[Salvage Value]])),0),0)</f>
        <v>56857</v>
      </c>
      <c r="AO209" s="117">
        <f t="shared" si="18"/>
        <v>0</v>
      </c>
      <c r="AQ209" s="117">
        <f t="shared" si="16"/>
        <v>2993</v>
      </c>
      <c r="AR209" s="120">
        <f t="shared" si="17"/>
        <v>2993</v>
      </c>
      <c r="AS209" s="121"/>
    </row>
    <row r="210" spans="1:45" ht="13.5" x14ac:dyDescent="0.4">
      <c r="A210" s="12">
        <f t="shared" si="19"/>
        <v>207</v>
      </c>
      <c r="B210" s="51" t="s">
        <v>559</v>
      </c>
      <c r="C210" s="54">
        <v>42804</v>
      </c>
      <c r="D210" s="54">
        <v>42804</v>
      </c>
      <c r="E210" s="46" t="s">
        <v>32</v>
      </c>
      <c r="F210" s="51" t="s">
        <v>32</v>
      </c>
      <c r="G210" s="51" t="s">
        <v>433</v>
      </c>
      <c r="H210" s="51" t="s">
        <v>32</v>
      </c>
      <c r="I210" s="55" t="s">
        <v>688</v>
      </c>
      <c r="J210" s="48">
        <v>41</v>
      </c>
      <c r="K210" s="51" t="s">
        <v>567</v>
      </c>
      <c r="L210" s="58">
        <v>122693</v>
      </c>
      <c r="M210" s="50">
        <f>ROUND('FA Addition'!$L210*5%,0.1)</f>
        <v>6135</v>
      </c>
      <c r="N210" s="113" t="str">
        <f>_xlfn.XLOOKUP(_xlfn.CONCAT(E210,B210),'Year Wise Master Dep Approach'!F:F,'Year Wise Master Dep Approach'!D:D)</f>
        <v>WDV</v>
      </c>
      <c r="O210" s="113">
        <f>_xlfn.XLOOKUP(_xlfn.CONCAT(E210,B210),'Year Wise Master Dep Approach'!F:F,'Year Wise Master Dep Approach'!E:E)</f>
        <v>3</v>
      </c>
      <c r="P210" s="114">
        <f>IFERROR(IF('FA Addition'!$N210="WDV",1-('FA Addition'!$M210/'FA Addition'!$L210)^(1/'FA Addition'!$O210),1/'FA Addition'!$O210),0)</f>
        <v>0.63158984410462715</v>
      </c>
      <c r="Q210" s="122">
        <f>'FA Addition'!$P210*'FA Addition'!$O210</f>
        <v>1.8947695323138816</v>
      </c>
      <c r="R210" s="122"/>
      <c r="S210" s="116">
        <f>IF(AND(DATE(20&amp;LEFT(FAAddition[[#This Row],[FY]],2),4,1)&lt;$L$1+1,DATE(20&amp;LEFT(FAAddition[[#This Row],[FY]],2),4,1)&gt;$P$1-1),'FA Addition'!$J210,0)</f>
        <v>0</v>
      </c>
      <c r="U210" s="117">
        <f>S210*'FA Addition'!$L210/'FA Addition'!$J210</f>
        <v>0</v>
      </c>
      <c r="W210" s="116">
        <f>SUMIFS('FA Write off'!D:D,'FA Write off'!A:A,'FA Addition'!$A210,'FA Write off'!C:C,"&lt;"&amp;'FA Addition'!$P$1)</f>
        <v>7</v>
      </c>
      <c r="Y210" s="191">
        <f>IFERROR(W210/'FA Addition'!$J210*'FA Addition'!$L210,0)</f>
        <v>20947.585365853662</v>
      </c>
      <c r="AA210" s="116">
        <f>SUMIFS('FA Write off'!D:D,'FA Write off'!A:A,'FA Addition'!$A210,'FA Write off'!C:C,"&lt;"&amp;'FA Addition'!$L$1+1,'FA Write off'!C:C,"&gt;"&amp;'FA Addition'!$L$1-365)</f>
        <v>0</v>
      </c>
      <c r="AC210" s="191">
        <f>IFERROR(AA210/'FA Addition'!$J210*'FA Addition'!$L210,0)</f>
        <v>0</v>
      </c>
      <c r="AE210" s="117">
        <f>IF(AND('FA Addition'!$D210&lt;$P$1+1,U210=0),'FA Addition'!$L210,0)-Y210</f>
        <v>101745.41463414633</v>
      </c>
      <c r="AF210" s="117">
        <f t="shared" si="15"/>
        <v>101745.41463414633</v>
      </c>
      <c r="AG210" s="117">
        <f>MIN(MAX(+$P$1-'FA Addition'!$D210,0),365*'FA Addition'!$O210)</f>
        <v>1095</v>
      </c>
      <c r="AH210" s="117">
        <f>MIN(MAX($L$1-'FA Addition'!$D210+1,0),365*'FA Addition'!$O210)</f>
        <v>1095</v>
      </c>
      <c r="AI210" s="117" cm="1">
        <f t="array" ref="AI210">_xlfn.XLOOKUP(1,('FA Write off'!A:A='FA Addition'!$A210)*('FA Write off'!D:D=AA210),'FA Write off'!H:H,0,0)</f>
        <v>0</v>
      </c>
      <c r="AJ210" s="117">
        <f>IF(AC210&gt;0,MAX(IF('FA Addition'!$N210="SLM",($AC210-'FA Addition'!$M210)*'FA Addition'!$P210*AI210/365,(AC210-'FA Addition'!$M210)*(1-(1-'FA Addition'!$P210)^(AI210/365))),0),0)</f>
        <v>0</v>
      </c>
      <c r="AL210" s="117">
        <f>MAX(IF(AG210&gt;0,IF('FA Addition'!$N210="SLM",($AE210-'FA Addition'!$M210)*'FA Addition'!$P210*AG210/365,IFERROR(VDB(AE210,AE210*0.05,'FA Addition'!$O210,0,YEARFRAC('FA Addition'!$C210,$P$1-1,3),'FA Addition'!$Q210),FAAddition[[#This Row],[Original Cost (Rs)]]-FAAddition[[#This Row],[Salvage Value]])),0),0)</f>
        <v>116558</v>
      </c>
      <c r="AM210" s="119"/>
      <c r="AN210" s="117">
        <f>MAX(IF(AH210&gt;0,IF('FA Addition'!$N210="SLM",($AF210-'FA Addition'!$M210)*'FA Addition'!$P210*AH210/365,IFERROR(VDB(AF210,AF210*0.05,'FA Addition'!$O210,0,YEARFRAC('FA Addition'!$C210,$L$1,3),'FA Addition'!$Q210),FAAddition[[#This Row],[Original Cost (Rs)]]-FAAddition[[#This Row],[Salvage Value]])),0),0)</f>
        <v>116558</v>
      </c>
      <c r="AO210" s="117">
        <f t="shared" si="18"/>
        <v>0</v>
      </c>
      <c r="AQ210" s="117">
        <f t="shared" si="16"/>
        <v>-14812.585365853665</v>
      </c>
      <c r="AR210" s="120">
        <f t="shared" si="17"/>
        <v>-14812.585365853665</v>
      </c>
      <c r="AS210" s="121"/>
    </row>
    <row r="211" spans="1:45" ht="13.5" x14ac:dyDescent="0.4">
      <c r="A211" s="12">
        <f t="shared" si="19"/>
        <v>208</v>
      </c>
      <c r="B211" s="44" t="s">
        <v>559</v>
      </c>
      <c r="C211" s="45">
        <v>42809</v>
      </c>
      <c r="D211" s="45">
        <v>42809</v>
      </c>
      <c r="E211" s="46" t="s">
        <v>32</v>
      </c>
      <c r="F211" s="44" t="s">
        <v>32</v>
      </c>
      <c r="G211" s="44" t="s">
        <v>689</v>
      </c>
      <c r="H211" s="44" t="s">
        <v>32</v>
      </c>
      <c r="I211" s="47"/>
      <c r="J211" s="56">
        <v>1</v>
      </c>
      <c r="K211" s="44" t="s">
        <v>690</v>
      </c>
      <c r="L211" s="52">
        <v>16535</v>
      </c>
      <c r="M211" s="50">
        <f>ROUND('FA Addition'!$L211*5%,0.1)</f>
        <v>827</v>
      </c>
      <c r="N211" s="113" t="str">
        <f>_xlfn.XLOOKUP(_xlfn.CONCAT(E211,B211),'Year Wise Master Dep Approach'!F:F,'Year Wise Master Dep Approach'!D:D)</f>
        <v>WDV</v>
      </c>
      <c r="O211" s="113">
        <f>_xlfn.XLOOKUP(_xlfn.CONCAT(E211,B211),'Year Wise Master Dep Approach'!F:F,'Year Wise Master Dep Approach'!E:E)</f>
        <v>3</v>
      </c>
      <c r="P211" s="114">
        <f>IFERROR(IF('FA Addition'!$N211="WDV",1-('FA Addition'!$M211/'FA Addition'!$L211)^(1/'FA Addition'!$O211),1/'FA Addition'!$O211),0)</f>
        <v>0.63155972020728179</v>
      </c>
      <c r="Q211" s="122">
        <f>'FA Addition'!$P211*'FA Addition'!$O211</f>
        <v>1.8946791606218454</v>
      </c>
      <c r="R211" s="122"/>
      <c r="S211" s="116">
        <f>IF(AND(DATE(20&amp;LEFT(FAAddition[[#This Row],[FY]],2),4,1)&lt;$L$1+1,DATE(20&amp;LEFT(FAAddition[[#This Row],[FY]],2),4,1)&gt;$P$1-1),'FA Addition'!$J211,0)</f>
        <v>0</v>
      </c>
      <c r="U211" s="117">
        <f>S211*'FA Addition'!$L211/'FA Addition'!$J211</f>
        <v>0</v>
      </c>
      <c r="W211" s="116">
        <f>SUMIFS('FA Write off'!D:D,'FA Write off'!A:A,'FA Addition'!$A211,'FA Write off'!C:C,"&lt;"&amp;'FA Addition'!$P$1)</f>
        <v>0</v>
      </c>
      <c r="Y211" s="191">
        <f>IFERROR(W211/'FA Addition'!$J211*'FA Addition'!$L211,0)</f>
        <v>0</v>
      </c>
      <c r="AA211" s="116">
        <f>SUMIFS('FA Write off'!D:D,'FA Write off'!A:A,'FA Addition'!$A211,'FA Write off'!C:C,"&lt;"&amp;'FA Addition'!$L$1+1,'FA Write off'!C:C,"&gt;"&amp;'FA Addition'!$L$1-365)</f>
        <v>0</v>
      </c>
      <c r="AC211" s="118">
        <f>IFERROR(AA211/'FA Addition'!$J211*'FA Addition'!$L211,0)</f>
        <v>0</v>
      </c>
      <c r="AE211" s="117">
        <f>IF(AND('FA Addition'!$D211&lt;$P$1+1,U211=0),'FA Addition'!$L211,0)-Y211</f>
        <v>16535</v>
      </c>
      <c r="AF211" s="117">
        <f t="shared" si="15"/>
        <v>16535</v>
      </c>
      <c r="AG211" s="117">
        <f>MIN(MAX(+$P$1-'FA Addition'!$D211,0),365*'FA Addition'!$O211)</f>
        <v>1095</v>
      </c>
      <c r="AH211" s="117">
        <f>MIN(MAX($L$1-'FA Addition'!$D211+1,0),365*'FA Addition'!$O211)</f>
        <v>1095</v>
      </c>
      <c r="AI211" s="117" cm="1">
        <f t="array" ref="AI211">_xlfn.XLOOKUP(1,('FA Write off'!A:A='FA Addition'!$A211)*('FA Write off'!D:D=AA211),'FA Write off'!H:H,0,0)</f>
        <v>0</v>
      </c>
      <c r="AJ211" s="117">
        <f>IF(AC211&gt;0,MAX(IF('FA Addition'!$N211="SLM",($AC211-'FA Addition'!$M211)*'FA Addition'!$P211*AI211/365,(AC211-'FA Addition'!$M211)*(1-(1-'FA Addition'!$P211)^(AI211/365))),0),0)</f>
        <v>0</v>
      </c>
      <c r="AL211" s="117">
        <f>MAX(IF(AG211&gt;0,IF('FA Addition'!$N211="SLM",($AE211-'FA Addition'!$M211)*'FA Addition'!$P211*AG211/365,IFERROR(VDB(AE211,AE211*0.05,'FA Addition'!$O211,0,YEARFRAC('FA Addition'!$C211,$P$1-1,3),'FA Addition'!$Q211),FAAddition[[#This Row],[Original Cost (Rs)]]-FAAddition[[#This Row],[Salvage Value]])),0),0)</f>
        <v>15708</v>
      </c>
      <c r="AM211" s="119"/>
      <c r="AN211" s="117">
        <f>MAX(IF(AH211&gt;0,IF('FA Addition'!$N211="SLM",($AF211-'FA Addition'!$M211)*'FA Addition'!$P211*AH211/365,IFERROR(VDB(AF211,AF211*0.05,'FA Addition'!$O211,0,YEARFRAC('FA Addition'!$C211,$L$1,3),'FA Addition'!$Q211),FAAddition[[#This Row],[Original Cost (Rs)]]-FAAddition[[#This Row],[Salvage Value]])),0),0)</f>
        <v>15708</v>
      </c>
      <c r="AO211" s="117">
        <f t="shared" si="18"/>
        <v>0</v>
      </c>
      <c r="AQ211" s="117">
        <f t="shared" si="16"/>
        <v>827</v>
      </c>
      <c r="AR211" s="120">
        <f t="shared" si="17"/>
        <v>827</v>
      </c>
      <c r="AS211" s="121"/>
    </row>
    <row r="212" spans="1:45" ht="13.5" x14ac:dyDescent="0.4">
      <c r="A212" s="12">
        <f t="shared" si="19"/>
        <v>209</v>
      </c>
      <c r="B212" s="44" t="s">
        <v>559</v>
      </c>
      <c r="C212" s="45">
        <v>42810</v>
      </c>
      <c r="D212" s="45">
        <v>42810</v>
      </c>
      <c r="E212" s="46" t="s">
        <v>32</v>
      </c>
      <c r="F212" s="44" t="s">
        <v>32</v>
      </c>
      <c r="G212" s="44" t="s">
        <v>691</v>
      </c>
      <c r="H212" s="44" t="s">
        <v>32</v>
      </c>
      <c r="I212" s="47" t="s">
        <v>692</v>
      </c>
      <c r="J212" s="48">
        <v>3</v>
      </c>
      <c r="K212" s="44" t="s">
        <v>693</v>
      </c>
      <c r="L212" s="52">
        <v>3600</v>
      </c>
      <c r="M212" s="50">
        <f>ROUND('FA Addition'!$L212*5%,0.1)</f>
        <v>180</v>
      </c>
      <c r="N212" s="113" t="str">
        <f>_xlfn.XLOOKUP(_xlfn.CONCAT(E212,B212),'Year Wise Master Dep Approach'!F:F,'Year Wise Master Dep Approach'!D:D)</f>
        <v>WDV</v>
      </c>
      <c r="O212" s="113">
        <f>_xlfn.XLOOKUP(_xlfn.CONCAT(E212,B212),'Year Wise Master Dep Approach'!F:F,'Year Wise Master Dep Approach'!E:E)</f>
        <v>3</v>
      </c>
      <c r="P212" s="114">
        <f>IFERROR(IF('FA Addition'!$N212="WDV",1-('FA Addition'!$M212/'FA Addition'!$L212)^(1/'FA Addition'!$O212),1/'FA Addition'!$O212),0)</f>
        <v>0.63159685013596123</v>
      </c>
      <c r="Q212" s="122">
        <f>'FA Addition'!$P212*'FA Addition'!$O212</f>
        <v>1.8947905504078837</v>
      </c>
      <c r="R212" s="122"/>
      <c r="S212" s="116">
        <f>IF(AND(DATE(20&amp;LEFT(FAAddition[[#This Row],[FY]],2),4,1)&lt;$L$1+1,DATE(20&amp;LEFT(FAAddition[[#This Row],[FY]],2),4,1)&gt;$P$1-1),'FA Addition'!$J212,0)</f>
        <v>0</v>
      </c>
      <c r="U212" s="117">
        <f>S212*'FA Addition'!$L212/'FA Addition'!$J212</f>
        <v>0</v>
      </c>
      <c r="W212" s="116">
        <f>SUMIFS('FA Write off'!D:D,'FA Write off'!A:A,'FA Addition'!$A212,'FA Write off'!C:C,"&lt;"&amp;'FA Addition'!$P$1)</f>
        <v>0</v>
      </c>
      <c r="Y212" s="191">
        <f>IFERROR(W212/'FA Addition'!$J212*'FA Addition'!$L212,0)</f>
        <v>0</v>
      </c>
      <c r="AA212" s="116">
        <f>SUMIFS('FA Write off'!D:D,'FA Write off'!A:A,'FA Addition'!$A212,'FA Write off'!C:C,"&lt;"&amp;'FA Addition'!$L$1+1,'FA Write off'!C:C,"&gt;"&amp;'FA Addition'!$L$1-365)</f>
        <v>0</v>
      </c>
      <c r="AC212" s="118">
        <f>IFERROR(AA212/'FA Addition'!$J212*'FA Addition'!$L212,0)</f>
        <v>0</v>
      </c>
      <c r="AE212" s="117">
        <f>IF(AND('FA Addition'!$D212&lt;$P$1+1,U212=0),'FA Addition'!$L212,0)-Y212</f>
        <v>3600</v>
      </c>
      <c r="AF212" s="117">
        <f t="shared" si="15"/>
        <v>3600</v>
      </c>
      <c r="AG212" s="117">
        <f>MIN(MAX(+$P$1-'FA Addition'!$D212,0),365*'FA Addition'!$O212)</f>
        <v>1095</v>
      </c>
      <c r="AH212" s="117">
        <f>MIN(MAX($L$1-'FA Addition'!$D212+1,0),365*'FA Addition'!$O212)</f>
        <v>1095</v>
      </c>
      <c r="AI212" s="117" cm="1">
        <f t="array" ref="AI212">_xlfn.XLOOKUP(1,('FA Write off'!A:A='FA Addition'!$A212)*('FA Write off'!D:D=AA212),'FA Write off'!H:H,0,0)</f>
        <v>0</v>
      </c>
      <c r="AJ212" s="117">
        <f>IF(AC212&gt;0,MAX(IF('FA Addition'!$N212="SLM",($AC212-'FA Addition'!$M212)*'FA Addition'!$P212*AI212/365,(AC212-'FA Addition'!$M212)*(1-(1-'FA Addition'!$P212)^(AI212/365))),0),0)</f>
        <v>0</v>
      </c>
      <c r="AL212" s="117">
        <f>MAX(IF(AG212&gt;0,IF('FA Addition'!$N212="SLM",($AE212-'FA Addition'!$M212)*'FA Addition'!$P212*AG212/365,IFERROR(VDB(AE212,AE212*0.05,'FA Addition'!$O212,0,YEARFRAC('FA Addition'!$C212,$P$1-1,3),'FA Addition'!$Q212),FAAddition[[#This Row],[Original Cost (Rs)]]-FAAddition[[#This Row],[Salvage Value]])),0),0)</f>
        <v>3420</v>
      </c>
      <c r="AM212" s="119"/>
      <c r="AN212" s="117">
        <f>MAX(IF(AH212&gt;0,IF('FA Addition'!$N212="SLM",($AF212-'FA Addition'!$M212)*'FA Addition'!$P212*AH212/365,IFERROR(VDB(AF212,AF212*0.05,'FA Addition'!$O212,0,YEARFRAC('FA Addition'!$C212,$L$1,3),'FA Addition'!$Q212),FAAddition[[#This Row],[Original Cost (Rs)]]-FAAddition[[#This Row],[Salvage Value]])),0),0)</f>
        <v>3420</v>
      </c>
      <c r="AO212" s="117">
        <f t="shared" si="18"/>
        <v>0</v>
      </c>
      <c r="AQ212" s="117">
        <f t="shared" si="16"/>
        <v>180</v>
      </c>
      <c r="AR212" s="120">
        <f t="shared" si="17"/>
        <v>180</v>
      </c>
      <c r="AS212" s="121"/>
    </row>
    <row r="213" spans="1:45" ht="13.5" x14ac:dyDescent="0.4">
      <c r="A213" s="12">
        <f t="shared" si="19"/>
        <v>210</v>
      </c>
      <c r="B213" s="44" t="s">
        <v>559</v>
      </c>
      <c r="C213" s="45">
        <v>42810</v>
      </c>
      <c r="D213" s="45">
        <v>42810</v>
      </c>
      <c r="E213" s="46" t="s">
        <v>32</v>
      </c>
      <c r="F213" s="44" t="s">
        <v>32</v>
      </c>
      <c r="G213" s="44" t="s">
        <v>691</v>
      </c>
      <c r="H213" s="44" t="s">
        <v>32</v>
      </c>
      <c r="I213" s="47" t="s">
        <v>694</v>
      </c>
      <c r="J213" s="48">
        <v>3</v>
      </c>
      <c r="K213" s="44" t="s">
        <v>695</v>
      </c>
      <c r="L213" s="52">
        <v>3600</v>
      </c>
      <c r="M213" s="50">
        <f>ROUND('FA Addition'!$L213*5%,0.1)</f>
        <v>180</v>
      </c>
      <c r="N213" s="113" t="str">
        <f>_xlfn.XLOOKUP(_xlfn.CONCAT(E213,B213),'Year Wise Master Dep Approach'!F:F,'Year Wise Master Dep Approach'!D:D)</f>
        <v>WDV</v>
      </c>
      <c r="O213" s="113">
        <f>_xlfn.XLOOKUP(_xlfn.CONCAT(E213,B213),'Year Wise Master Dep Approach'!F:F,'Year Wise Master Dep Approach'!E:E)</f>
        <v>3</v>
      </c>
      <c r="P213" s="114">
        <f>IFERROR(IF('FA Addition'!$N213="WDV",1-('FA Addition'!$M213/'FA Addition'!$L213)^(1/'FA Addition'!$O213),1/'FA Addition'!$O213),0)</f>
        <v>0.63159685013596123</v>
      </c>
      <c r="Q213" s="122">
        <f>'FA Addition'!$P213*'FA Addition'!$O213</f>
        <v>1.8947905504078837</v>
      </c>
      <c r="R213" s="122"/>
      <c r="S213" s="116">
        <f>IF(AND(DATE(20&amp;LEFT(FAAddition[[#This Row],[FY]],2),4,1)&lt;$L$1+1,DATE(20&amp;LEFT(FAAddition[[#This Row],[FY]],2),4,1)&gt;$P$1-1),'FA Addition'!$J213,0)</f>
        <v>0</v>
      </c>
      <c r="U213" s="117">
        <f>S213*'FA Addition'!$L213/'FA Addition'!$J213</f>
        <v>0</v>
      </c>
      <c r="W213" s="116">
        <f>SUMIFS('FA Write off'!D:D,'FA Write off'!A:A,'FA Addition'!$A213,'FA Write off'!C:C,"&lt;"&amp;'FA Addition'!$P$1)</f>
        <v>0</v>
      </c>
      <c r="Y213" s="191">
        <f>IFERROR(W213/'FA Addition'!$J213*'FA Addition'!$L213,0)</f>
        <v>0</v>
      </c>
      <c r="AA213" s="116">
        <f>SUMIFS('FA Write off'!D:D,'FA Write off'!A:A,'FA Addition'!$A213,'FA Write off'!C:C,"&lt;"&amp;'FA Addition'!$L$1+1,'FA Write off'!C:C,"&gt;"&amp;'FA Addition'!$L$1-365)</f>
        <v>0</v>
      </c>
      <c r="AC213" s="118">
        <f>IFERROR(AA213/'FA Addition'!$J213*'FA Addition'!$L213,0)</f>
        <v>0</v>
      </c>
      <c r="AE213" s="117">
        <f>IF(AND('FA Addition'!$D213&lt;$P$1+1,U213=0),'FA Addition'!$L213,0)-Y213</f>
        <v>3600</v>
      </c>
      <c r="AF213" s="117">
        <f t="shared" si="15"/>
        <v>3600</v>
      </c>
      <c r="AG213" s="117">
        <f>MIN(MAX(+$P$1-'FA Addition'!$D213,0),365*'FA Addition'!$O213)</f>
        <v>1095</v>
      </c>
      <c r="AH213" s="117">
        <f>MIN(MAX($L$1-'FA Addition'!$D213+1,0),365*'FA Addition'!$O213)</f>
        <v>1095</v>
      </c>
      <c r="AI213" s="117" cm="1">
        <f t="array" ref="AI213">_xlfn.XLOOKUP(1,('FA Write off'!A:A='FA Addition'!$A213)*('FA Write off'!D:D=AA213),'FA Write off'!H:H,0,0)</f>
        <v>0</v>
      </c>
      <c r="AJ213" s="117">
        <f>IF(AC213&gt;0,MAX(IF('FA Addition'!$N213="SLM",($AC213-'FA Addition'!$M213)*'FA Addition'!$P213*AI213/365,(AC213-'FA Addition'!$M213)*(1-(1-'FA Addition'!$P213)^(AI213/365))),0),0)</f>
        <v>0</v>
      </c>
      <c r="AL213" s="117">
        <f>MAX(IF(AG213&gt;0,IF('FA Addition'!$N213="SLM",($AE213-'FA Addition'!$M213)*'FA Addition'!$P213*AG213/365,IFERROR(VDB(AE213,AE213*0.05,'FA Addition'!$O213,0,YEARFRAC('FA Addition'!$C213,$P$1-1,3),'FA Addition'!$Q213),FAAddition[[#This Row],[Original Cost (Rs)]]-FAAddition[[#This Row],[Salvage Value]])),0),0)</f>
        <v>3420</v>
      </c>
      <c r="AM213" s="119"/>
      <c r="AN213" s="117">
        <f>MAX(IF(AH213&gt;0,IF('FA Addition'!$N213="SLM",($AF213-'FA Addition'!$M213)*'FA Addition'!$P213*AH213/365,IFERROR(VDB(AF213,AF213*0.05,'FA Addition'!$O213,0,YEARFRAC('FA Addition'!$C213,$L$1,3),'FA Addition'!$Q213),FAAddition[[#This Row],[Original Cost (Rs)]]-FAAddition[[#This Row],[Salvage Value]])),0),0)</f>
        <v>3420</v>
      </c>
      <c r="AO213" s="117">
        <f t="shared" si="18"/>
        <v>0</v>
      </c>
      <c r="AQ213" s="117">
        <f t="shared" si="16"/>
        <v>180</v>
      </c>
      <c r="AR213" s="120">
        <f t="shared" si="17"/>
        <v>180</v>
      </c>
      <c r="AS213" s="121"/>
    </row>
    <row r="214" spans="1:45" ht="13.5" x14ac:dyDescent="0.4">
      <c r="A214" s="12">
        <f t="shared" si="19"/>
        <v>211</v>
      </c>
      <c r="B214" s="44" t="s">
        <v>559</v>
      </c>
      <c r="C214" s="45">
        <v>42810</v>
      </c>
      <c r="D214" s="45">
        <v>42810</v>
      </c>
      <c r="E214" s="46" t="s">
        <v>32</v>
      </c>
      <c r="F214" s="44" t="s">
        <v>32</v>
      </c>
      <c r="G214" s="44" t="s">
        <v>691</v>
      </c>
      <c r="H214" s="44" t="s">
        <v>32</v>
      </c>
      <c r="I214" s="47" t="s">
        <v>696</v>
      </c>
      <c r="J214" s="48">
        <v>3</v>
      </c>
      <c r="K214" s="44" t="s">
        <v>697</v>
      </c>
      <c r="L214" s="52">
        <v>3600</v>
      </c>
      <c r="M214" s="50">
        <f>ROUND('FA Addition'!$L214*5%,0.1)</f>
        <v>180</v>
      </c>
      <c r="N214" s="113" t="str">
        <f>_xlfn.XLOOKUP(_xlfn.CONCAT(E214,B214),'Year Wise Master Dep Approach'!F:F,'Year Wise Master Dep Approach'!D:D)</f>
        <v>WDV</v>
      </c>
      <c r="O214" s="113">
        <f>_xlfn.XLOOKUP(_xlfn.CONCAT(E214,B214),'Year Wise Master Dep Approach'!F:F,'Year Wise Master Dep Approach'!E:E)</f>
        <v>3</v>
      </c>
      <c r="P214" s="114">
        <f>IFERROR(IF('FA Addition'!$N214="WDV",1-('FA Addition'!$M214/'FA Addition'!$L214)^(1/'FA Addition'!$O214),1/'FA Addition'!$O214),0)</f>
        <v>0.63159685013596123</v>
      </c>
      <c r="Q214" s="122">
        <f>'FA Addition'!$P214*'FA Addition'!$O214</f>
        <v>1.8947905504078837</v>
      </c>
      <c r="R214" s="122"/>
      <c r="S214" s="116">
        <f>IF(AND(DATE(20&amp;LEFT(FAAddition[[#This Row],[FY]],2),4,1)&lt;$L$1+1,DATE(20&amp;LEFT(FAAddition[[#This Row],[FY]],2),4,1)&gt;$P$1-1),'FA Addition'!$J214,0)</f>
        <v>0</v>
      </c>
      <c r="U214" s="117">
        <f>S214*'FA Addition'!$L214/'FA Addition'!$J214</f>
        <v>0</v>
      </c>
      <c r="W214" s="116">
        <f>SUMIFS('FA Write off'!D:D,'FA Write off'!A:A,'FA Addition'!$A214,'FA Write off'!C:C,"&lt;"&amp;'FA Addition'!$P$1)</f>
        <v>0</v>
      </c>
      <c r="Y214" s="191">
        <f>IFERROR(W214/'FA Addition'!$J214*'FA Addition'!$L214,0)</f>
        <v>0</v>
      </c>
      <c r="AA214" s="116">
        <f>SUMIFS('FA Write off'!D:D,'FA Write off'!A:A,'FA Addition'!$A214,'FA Write off'!C:C,"&lt;"&amp;'FA Addition'!$L$1+1,'FA Write off'!C:C,"&gt;"&amp;'FA Addition'!$L$1-365)</f>
        <v>0</v>
      </c>
      <c r="AC214" s="118">
        <f>IFERROR(AA214/'FA Addition'!$J214*'FA Addition'!$L214,0)</f>
        <v>0</v>
      </c>
      <c r="AE214" s="117">
        <f>IF(AND('FA Addition'!$D214&lt;$P$1+1,U214=0),'FA Addition'!$L214,0)-Y214</f>
        <v>3600</v>
      </c>
      <c r="AF214" s="117">
        <f t="shared" si="15"/>
        <v>3600</v>
      </c>
      <c r="AG214" s="117">
        <f>MIN(MAX(+$P$1-'FA Addition'!$D214,0),365*'FA Addition'!$O214)</f>
        <v>1095</v>
      </c>
      <c r="AH214" s="117">
        <f>MIN(MAX($L$1-'FA Addition'!$D214+1,0),365*'FA Addition'!$O214)</f>
        <v>1095</v>
      </c>
      <c r="AI214" s="117" cm="1">
        <f t="array" ref="AI214">_xlfn.XLOOKUP(1,('FA Write off'!A:A='FA Addition'!$A214)*('FA Write off'!D:D=AA214),'FA Write off'!H:H,0,0)</f>
        <v>0</v>
      </c>
      <c r="AJ214" s="117">
        <f>IF(AC214&gt;0,MAX(IF('FA Addition'!$N214="SLM",($AC214-'FA Addition'!$M214)*'FA Addition'!$P214*AI214/365,(AC214-'FA Addition'!$M214)*(1-(1-'FA Addition'!$P214)^(AI214/365))),0),0)</f>
        <v>0</v>
      </c>
      <c r="AL214" s="117">
        <f>MAX(IF(AG214&gt;0,IF('FA Addition'!$N214="SLM",($AE214-'FA Addition'!$M214)*'FA Addition'!$P214*AG214/365,IFERROR(VDB(AE214,AE214*0.05,'FA Addition'!$O214,0,YEARFRAC('FA Addition'!$C214,$P$1-1,3),'FA Addition'!$Q214),FAAddition[[#This Row],[Original Cost (Rs)]]-FAAddition[[#This Row],[Salvage Value]])),0),0)</f>
        <v>3420</v>
      </c>
      <c r="AM214" s="119"/>
      <c r="AN214" s="117">
        <f>MAX(IF(AH214&gt;0,IF('FA Addition'!$N214="SLM",($AF214-'FA Addition'!$M214)*'FA Addition'!$P214*AH214/365,IFERROR(VDB(AF214,AF214*0.05,'FA Addition'!$O214,0,YEARFRAC('FA Addition'!$C214,$L$1,3),'FA Addition'!$Q214),FAAddition[[#This Row],[Original Cost (Rs)]]-FAAddition[[#This Row],[Salvage Value]])),0),0)</f>
        <v>3420</v>
      </c>
      <c r="AO214" s="117">
        <f t="shared" si="18"/>
        <v>0</v>
      </c>
      <c r="AQ214" s="117">
        <f t="shared" si="16"/>
        <v>180</v>
      </c>
      <c r="AR214" s="120">
        <f t="shared" si="17"/>
        <v>180</v>
      </c>
      <c r="AS214" s="121"/>
    </row>
    <row r="215" spans="1:45" ht="13.5" x14ac:dyDescent="0.4">
      <c r="A215" s="12">
        <f t="shared" si="19"/>
        <v>212</v>
      </c>
      <c r="B215" s="44" t="s">
        <v>559</v>
      </c>
      <c r="C215" s="45">
        <v>42810</v>
      </c>
      <c r="D215" s="45">
        <v>42810</v>
      </c>
      <c r="E215" s="46" t="s">
        <v>32</v>
      </c>
      <c r="F215" s="44" t="s">
        <v>32</v>
      </c>
      <c r="G215" s="44" t="s">
        <v>691</v>
      </c>
      <c r="H215" s="44" t="s">
        <v>32</v>
      </c>
      <c r="I215" s="47" t="s">
        <v>698</v>
      </c>
      <c r="J215" s="48">
        <v>3</v>
      </c>
      <c r="K215" s="44" t="s">
        <v>699</v>
      </c>
      <c r="L215" s="52">
        <v>3600</v>
      </c>
      <c r="M215" s="50">
        <f>ROUND('FA Addition'!$L215*5%,0.1)</f>
        <v>180</v>
      </c>
      <c r="N215" s="113" t="str">
        <f>_xlfn.XLOOKUP(_xlfn.CONCAT(E215,B215),'Year Wise Master Dep Approach'!F:F,'Year Wise Master Dep Approach'!D:D)</f>
        <v>WDV</v>
      </c>
      <c r="O215" s="113">
        <f>_xlfn.XLOOKUP(_xlfn.CONCAT(E215,B215),'Year Wise Master Dep Approach'!F:F,'Year Wise Master Dep Approach'!E:E)</f>
        <v>3</v>
      </c>
      <c r="P215" s="114">
        <f>IFERROR(IF('FA Addition'!$N215="WDV",1-('FA Addition'!$M215/'FA Addition'!$L215)^(1/'FA Addition'!$O215),1/'FA Addition'!$O215),0)</f>
        <v>0.63159685013596123</v>
      </c>
      <c r="Q215" s="122">
        <f>'FA Addition'!$P215*'FA Addition'!$O215</f>
        <v>1.8947905504078837</v>
      </c>
      <c r="R215" s="122"/>
      <c r="S215" s="116">
        <f>IF(AND(DATE(20&amp;LEFT(FAAddition[[#This Row],[FY]],2),4,1)&lt;$L$1+1,DATE(20&amp;LEFT(FAAddition[[#This Row],[FY]],2),4,1)&gt;$P$1-1),'FA Addition'!$J215,0)</f>
        <v>0</v>
      </c>
      <c r="U215" s="117">
        <f>S215*'FA Addition'!$L215/'FA Addition'!$J215</f>
        <v>0</v>
      </c>
      <c r="W215" s="116">
        <f>SUMIFS('FA Write off'!D:D,'FA Write off'!A:A,'FA Addition'!$A215,'FA Write off'!C:C,"&lt;"&amp;'FA Addition'!$P$1)</f>
        <v>0</v>
      </c>
      <c r="Y215" s="191">
        <f>IFERROR(W215/'FA Addition'!$J215*'FA Addition'!$L215,0)</f>
        <v>0</v>
      </c>
      <c r="AA215" s="116">
        <f>SUMIFS('FA Write off'!D:D,'FA Write off'!A:A,'FA Addition'!$A215,'FA Write off'!C:C,"&lt;"&amp;'FA Addition'!$L$1+1,'FA Write off'!C:C,"&gt;"&amp;'FA Addition'!$L$1-365)</f>
        <v>0</v>
      </c>
      <c r="AC215" s="118">
        <f>IFERROR(AA215/'FA Addition'!$J215*'FA Addition'!$L215,0)</f>
        <v>0</v>
      </c>
      <c r="AE215" s="117">
        <f>IF(AND('FA Addition'!$D215&lt;$P$1+1,U215=0),'FA Addition'!$L215,0)-Y215</f>
        <v>3600</v>
      </c>
      <c r="AF215" s="117">
        <f t="shared" si="15"/>
        <v>3600</v>
      </c>
      <c r="AG215" s="117">
        <f>MIN(MAX(+$P$1-'FA Addition'!$D215,0),365*'FA Addition'!$O215)</f>
        <v>1095</v>
      </c>
      <c r="AH215" s="117">
        <f>MIN(MAX($L$1-'FA Addition'!$D215+1,0),365*'FA Addition'!$O215)</f>
        <v>1095</v>
      </c>
      <c r="AI215" s="117" cm="1">
        <f t="array" ref="AI215">_xlfn.XLOOKUP(1,('FA Write off'!A:A='FA Addition'!$A215)*('FA Write off'!D:D=AA215),'FA Write off'!H:H,0,0)</f>
        <v>0</v>
      </c>
      <c r="AJ215" s="117">
        <f>IF(AC215&gt;0,MAX(IF('FA Addition'!$N215="SLM",($AC215-'FA Addition'!$M215)*'FA Addition'!$P215*AI215/365,(AC215-'FA Addition'!$M215)*(1-(1-'FA Addition'!$P215)^(AI215/365))),0),0)</f>
        <v>0</v>
      </c>
      <c r="AL215" s="117">
        <f>MAX(IF(AG215&gt;0,IF('FA Addition'!$N215="SLM",($AE215-'FA Addition'!$M215)*'FA Addition'!$P215*AG215/365,IFERROR(VDB(AE215,AE215*0.05,'FA Addition'!$O215,0,YEARFRAC('FA Addition'!$C215,$P$1-1,3),'FA Addition'!$Q215),FAAddition[[#This Row],[Original Cost (Rs)]]-FAAddition[[#This Row],[Salvage Value]])),0),0)</f>
        <v>3420</v>
      </c>
      <c r="AM215" s="119"/>
      <c r="AN215" s="117">
        <f>MAX(IF(AH215&gt;0,IF('FA Addition'!$N215="SLM",($AF215-'FA Addition'!$M215)*'FA Addition'!$P215*AH215/365,IFERROR(VDB(AF215,AF215*0.05,'FA Addition'!$O215,0,YEARFRAC('FA Addition'!$C215,$L$1,3),'FA Addition'!$Q215),FAAddition[[#This Row],[Original Cost (Rs)]]-FAAddition[[#This Row],[Salvage Value]])),0),0)</f>
        <v>3420</v>
      </c>
      <c r="AO215" s="117">
        <f t="shared" si="18"/>
        <v>0</v>
      </c>
      <c r="AQ215" s="117">
        <f t="shared" si="16"/>
        <v>180</v>
      </c>
      <c r="AR215" s="120">
        <f t="shared" si="17"/>
        <v>180</v>
      </c>
      <c r="AS215" s="121"/>
    </row>
    <row r="216" spans="1:45" ht="13.5" x14ac:dyDescent="0.4">
      <c r="A216" s="12">
        <f t="shared" si="19"/>
        <v>213</v>
      </c>
      <c r="B216" s="44" t="s">
        <v>559</v>
      </c>
      <c r="C216" s="45">
        <v>42810</v>
      </c>
      <c r="D216" s="45">
        <v>42810</v>
      </c>
      <c r="E216" s="46" t="s">
        <v>32</v>
      </c>
      <c r="F216" s="44" t="s">
        <v>32</v>
      </c>
      <c r="G216" s="44" t="s">
        <v>691</v>
      </c>
      <c r="H216" s="44" t="s">
        <v>32</v>
      </c>
      <c r="I216" s="47" t="s">
        <v>700</v>
      </c>
      <c r="J216" s="48">
        <v>2</v>
      </c>
      <c r="K216" s="44" t="s">
        <v>701</v>
      </c>
      <c r="L216" s="52">
        <v>2400</v>
      </c>
      <c r="M216" s="50">
        <f>ROUND('FA Addition'!$L216*5%,0.1)</f>
        <v>120</v>
      </c>
      <c r="N216" s="113" t="str">
        <f>_xlfn.XLOOKUP(_xlfn.CONCAT(E216,B216),'Year Wise Master Dep Approach'!F:F,'Year Wise Master Dep Approach'!D:D)</f>
        <v>WDV</v>
      </c>
      <c r="O216" s="113">
        <f>_xlfn.XLOOKUP(_xlfn.CONCAT(E216,B216),'Year Wise Master Dep Approach'!F:F,'Year Wise Master Dep Approach'!E:E)</f>
        <v>3</v>
      </c>
      <c r="P216" s="114">
        <f>IFERROR(IF('FA Addition'!$N216="WDV",1-('FA Addition'!$M216/'FA Addition'!$L216)^(1/'FA Addition'!$O216),1/'FA Addition'!$O216),0)</f>
        <v>0.63159685013596123</v>
      </c>
      <c r="Q216" s="122">
        <f>'FA Addition'!$P216*'FA Addition'!$O216</f>
        <v>1.8947905504078837</v>
      </c>
      <c r="R216" s="122"/>
      <c r="S216" s="116">
        <f>IF(AND(DATE(20&amp;LEFT(FAAddition[[#This Row],[FY]],2),4,1)&lt;$L$1+1,DATE(20&amp;LEFT(FAAddition[[#This Row],[FY]],2),4,1)&gt;$P$1-1),'FA Addition'!$J216,0)</f>
        <v>0</v>
      </c>
      <c r="U216" s="117">
        <f>S216*'FA Addition'!$L216/'FA Addition'!$J216</f>
        <v>0</v>
      </c>
      <c r="W216" s="116">
        <f>SUMIFS('FA Write off'!D:D,'FA Write off'!A:A,'FA Addition'!$A216,'FA Write off'!C:C,"&lt;"&amp;'FA Addition'!$P$1)</f>
        <v>0</v>
      </c>
      <c r="Y216" s="191">
        <f>IFERROR(W216/'FA Addition'!$J216*'FA Addition'!$L216,0)</f>
        <v>0</v>
      </c>
      <c r="AA216" s="116">
        <f>SUMIFS('FA Write off'!D:D,'FA Write off'!A:A,'FA Addition'!$A216,'FA Write off'!C:C,"&lt;"&amp;'FA Addition'!$L$1+1,'FA Write off'!C:C,"&gt;"&amp;'FA Addition'!$L$1-365)</f>
        <v>0</v>
      </c>
      <c r="AC216" s="118">
        <f>IFERROR(AA216/'FA Addition'!$J216*'FA Addition'!$L216,0)</f>
        <v>0</v>
      </c>
      <c r="AE216" s="117">
        <f>IF(AND('FA Addition'!$D216&lt;$P$1+1,U216=0),'FA Addition'!$L216,0)-Y216</f>
        <v>2400</v>
      </c>
      <c r="AF216" s="117">
        <f t="shared" si="15"/>
        <v>2400</v>
      </c>
      <c r="AG216" s="117">
        <f>MIN(MAX(+$P$1-'FA Addition'!$D216,0),365*'FA Addition'!$O216)</f>
        <v>1095</v>
      </c>
      <c r="AH216" s="117">
        <f>MIN(MAX($L$1-'FA Addition'!$D216+1,0),365*'FA Addition'!$O216)</f>
        <v>1095</v>
      </c>
      <c r="AI216" s="117" cm="1">
        <f t="array" ref="AI216">_xlfn.XLOOKUP(1,('FA Write off'!A:A='FA Addition'!$A216)*('FA Write off'!D:D=AA216),'FA Write off'!H:H,0,0)</f>
        <v>0</v>
      </c>
      <c r="AJ216" s="117">
        <f>IF(AC216&gt;0,MAX(IF('FA Addition'!$N216="SLM",($AC216-'FA Addition'!$M216)*'FA Addition'!$P216*AI216/365,(AC216-'FA Addition'!$M216)*(1-(1-'FA Addition'!$P216)^(AI216/365))),0),0)</f>
        <v>0</v>
      </c>
      <c r="AL216" s="117">
        <f>MAX(IF(AG216&gt;0,IF('FA Addition'!$N216="SLM",($AE216-'FA Addition'!$M216)*'FA Addition'!$P216*AG216/365,IFERROR(VDB(AE216,AE216*0.05,'FA Addition'!$O216,0,YEARFRAC('FA Addition'!$C216,$P$1-1,3),'FA Addition'!$Q216),FAAddition[[#This Row],[Original Cost (Rs)]]-FAAddition[[#This Row],[Salvage Value]])),0),0)</f>
        <v>2280</v>
      </c>
      <c r="AM216" s="119"/>
      <c r="AN216" s="117">
        <f>MAX(IF(AH216&gt;0,IF('FA Addition'!$N216="SLM",($AF216-'FA Addition'!$M216)*'FA Addition'!$P216*AH216/365,IFERROR(VDB(AF216,AF216*0.05,'FA Addition'!$O216,0,YEARFRAC('FA Addition'!$C216,$L$1,3),'FA Addition'!$Q216),FAAddition[[#This Row],[Original Cost (Rs)]]-FAAddition[[#This Row],[Salvage Value]])),0),0)</f>
        <v>2280</v>
      </c>
      <c r="AO216" s="117">
        <f t="shared" si="18"/>
        <v>0</v>
      </c>
      <c r="AQ216" s="117">
        <f t="shared" si="16"/>
        <v>120</v>
      </c>
      <c r="AR216" s="120">
        <f t="shared" si="17"/>
        <v>120</v>
      </c>
      <c r="AS216" s="121"/>
    </row>
    <row r="217" spans="1:45" ht="13.5" x14ac:dyDescent="0.4">
      <c r="A217" s="12">
        <f t="shared" si="19"/>
        <v>214</v>
      </c>
      <c r="B217" s="44" t="s">
        <v>559</v>
      </c>
      <c r="C217" s="45">
        <v>42810</v>
      </c>
      <c r="D217" s="45">
        <v>42810</v>
      </c>
      <c r="E217" s="46" t="s">
        <v>32</v>
      </c>
      <c r="F217" s="44" t="s">
        <v>32</v>
      </c>
      <c r="G217" s="44" t="s">
        <v>702</v>
      </c>
      <c r="H217" s="44" t="s">
        <v>32</v>
      </c>
      <c r="I217" s="47" t="s">
        <v>703</v>
      </c>
      <c r="J217" s="56">
        <v>1</v>
      </c>
      <c r="K217" s="44" t="s">
        <v>704</v>
      </c>
      <c r="L217" s="52">
        <v>1200</v>
      </c>
      <c r="M217" s="50">
        <f>ROUND('FA Addition'!$L217*5%,0.1)</f>
        <v>60</v>
      </c>
      <c r="N217" s="113" t="str">
        <f>_xlfn.XLOOKUP(_xlfn.CONCAT(E217,B217),'Year Wise Master Dep Approach'!F:F,'Year Wise Master Dep Approach'!D:D)</f>
        <v>WDV</v>
      </c>
      <c r="O217" s="113">
        <f>_xlfn.XLOOKUP(_xlfn.CONCAT(E217,B217),'Year Wise Master Dep Approach'!F:F,'Year Wise Master Dep Approach'!E:E)</f>
        <v>3</v>
      </c>
      <c r="P217" s="114">
        <f>IFERROR(IF('FA Addition'!$N217="WDV",1-('FA Addition'!$M217/'FA Addition'!$L217)^(1/'FA Addition'!$O217),1/'FA Addition'!$O217),0)</f>
        <v>0.63159685013596123</v>
      </c>
      <c r="Q217" s="122">
        <f>'FA Addition'!$P217*'FA Addition'!$O217</f>
        <v>1.8947905504078837</v>
      </c>
      <c r="R217" s="122"/>
      <c r="S217" s="116">
        <f>IF(AND(DATE(20&amp;LEFT(FAAddition[[#This Row],[FY]],2),4,1)&lt;$L$1+1,DATE(20&amp;LEFT(FAAddition[[#This Row],[FY]],2),4,1)&gt;$P$1-1),'FA Addition'!$J217,0)</f>
        <v>0</v>
      </c>
      <c r="U217" s="117">
        <f>S217*'FA Addition'!$L217/'FA Addition'!$J217</f>
        <v>0</v>
      </c>
      <c r="W217" s="116">
        <f>SUMIFS('FA Write off'!D:D,'FA Write off'!A:A,'FA Addition'!$A217,'FA Write off'!C:C,"&lt;"&amp;'FA Addition'!$P$1)</f>
        <v>0</v>
      </c>
      <c r="Y217" s="191">
        <f>IFERROR(W217/'FA Addition'!$J217*'FA Addition'!$L217,0)</f>
        <v>0</v>
      </c>
      <c r="AA217" s="116">
        <f>SUMIFS('FA Write off'!D:D,'FA Write off'!A:A,'FA Addition'!$A217,'FA Write off'!C:C,"&lt;"&amp;'FA Addition'!$L$1+1,'FA Write off'!C:C,"&gt;"&amp;'FA Addition'!$L$1-365)</f>
        <v>0</v>
      </c>
      <c r="AC217" s="118">
        <f>IFERROR(AA217/'FA Addition'!$J217*'FA Addition'!$L217,0)</f>
        <v>0</v>
      </c>
      <c r="AE217" s="117">
        <f>IF(AND('FA Addition'!$D217&lt;$P$1+1,U217=0),'FA Addition'!$L217,0)-Y217</f>
        <v>1200</v>
      </c>
      <c r="AF217" s="117">
        <f t="shared" si="15"/>
        <v>1200</v>
      </c>
      <c r="AG217" s="117">
        <f>MIN(MAX(+$P$1-'FA Addition'!$D217,0),365*'FA Addition'!$O217)</f>
        <v>1095</v>
      </c>
      <c r="AH217" s="117">
        <f>MIN(MAX($L$1-'FA Addition'!$D217+1,0),365*'FA Addition'!$O217)</f>
        <v>1095</v>
      </c>
      <c r="AI217" s="117" cm="1">
        <f t="array" ref="AI217">_xlfn.XLOOKUP(1,('FA Write off'!A:A='FA Addition'!$A217)*('FA Write off'!D:D=AA217),'FA Write off'!H:H,0,0)</f>
        <v>0</v>
      </c>
      <c r="AJ217" s="117">
        <f>IF(AC217&gt;0,MAX(IF('FA Addition'!$N217="SLM",($AC217-'FA Addition'!$M217)*'FA Addition'!$P217*AI217/365,(AC217-'FA Addition'!$M217)*(1-(1-'FA Addition'!$P217)^(AI217/365))),0),0)</f>
        <v>0</v>
      </c>
      <c r="AL217" s="117">
        <f>MAX(IF(AG217&gt;0,IF('FA Addition'!$N217="SLM",($AE217-'FA Addition'!$M217)*'FA Addition'!$P217*AG217/365,IFERROR(VDB(AE217,AE217*0.05,'FA Addition'!$O217,0,YEARFRAC('FA Addition'!$C217,$P$1-1,3),'FA Addition'!$Q217),FAAddition[[#This Row],[Original Cost (Rs)]]-FAAddition[[#This Row],[Salvage Value]])),0),0)</f>
        <v>1140</v>
      </c>
      <c r="AM217" s="119"/>
      <c r="AN217" s="117">
        <f>MAX(IF(AH217&gt;0,IF('FA Addition'!$N217="SLM",($AF217-'FA Addition'!$M217)*'FA Addition'!$P217*AH217/365,IFERROR(VDB(AF217,AF217*0.05,'FA Addition'!$O217,0,YEARFRAC('FA Addition'!$C217,$L$1,3),'FA Addition'!$Q217),FAAddition[[#This Row],[Original Cost (Rs)]]-FAAddition[[#This Row],[Salvage Value]])),0),0)</f>
        <v>1140</v>
      </c>
      <c r="AO217" s="117">
        <f t="shared" si="18"/>
        <v>0</v>
      </c>
      <c r="AQ217" s="117">
        <f t="shared" si="16"/>
        <v>60</v>
      </c>
      <c r="AR217" s="120">
        <f t="shared" si="17"/>
        <v>60</v>
      </c>
      <c r="AS217" s="121"/>
    </row>
    <row r="218" spans="1:45" ht="13.5" x14ac:dyDescent="0.4">
      <c r="A218" s="12">
        <f t="shared" si="19"/>
        <v>215</v>
      </c>
      <c r="B218" s="44" t="s">
        <v>559</v>
      </c>
      <c r="C218" s="45">
        <v>42810</v>
      </c>
      <c r="D218" s="45">
        <v>42810</v>
      </c>
      <c r="E218" s="46" t="s">
        <v>32</v>
      </c>
      <c r="F218" s="44" t="s">
        <v>32</v>
      </c>
      <c r="G218" s="44" t="s">
        <v>691</v>
      </c>
      <c r="H218" s="44" t="s">
        <v>32</v>
      </c>
      <c r="I218" s="47" t="s">
        <v>705</v>
      </c>
      <c r="J218" s="48">
        <v>3</v>
      </c>
      <c r="K218" s="44" t="s">
        <v>706</v>
      </c>
      <c r="L218" s="52">
        <v>3600</v>
      </c>
      <c r="M218" s="50">
        <f>ROUND('FA Addition'!$L218*5%,0.1)</f>
        <v>180</v>
      </c>
      <c r="N218" s="113" t="str">
        <f>_xlfn.XLOOKUP(_xlfn.CONCAT(E218,B218),'Year Wise Master Dep Approach'!F:F,'Year Wise Master Dep Approach'!D:D)</f>
        <v>WDV</v>
      </c>
      <c r="O218" s="113">
        <f>_xlfn.XLOOKUP(_xlfn.CONCAT(E218,B218),'Year Wise Master Dep Approach'!F:F,'Year Wise Master Dep Approach'!E:E)</f>
        <v>3</v>
      </c>
      <c r="P218" s="114">
        <f>IFERROR(IF('FA Addition'!$N218="WDV",1-('FA Addition'!$M218/'FA Addition'!$L218)^(1/'FA Addition'!$O218),1/'FA Addition'!$O218),0)</f>
        <v>0.63159685013596123</v>
      </c>
      <c r="Q218" s="122">
        <f>'FA Addition'!$P218*'FA Addition'!$O218</f>
        <v>1.8947905504078837</v>
      </c>
      <c r="R218" s="122"/>
      <c r="S218" s="116">
        <f>IF(AND(DATE(20&amp;LEFT(FAAddition[[#This Row],[FY]],2),4,1)&lt;$L$1+1,DATE(20&amp;LEFT(FAAddition[[#This Row],[FY]],2),4,1)&gt;$P$1-1),'FA Addition'!$J218,0)</f>
        <v>0</v>
      </c>
      <c r="U218" s="117">
        <f>S218*'FA Addition'!$L218/'FA Addition'!$J218</f>
        <v>0</v>
      </c>
      <c r="W218" s="116">
        <f>SUMIFS('FA Write off'!D:D,'FA Write off'!A:A,'FA Addition'!$A218,'FA Write off'!C:C,"&lt;"&amp;'FA Addition'!$P$1)</f>
        <v>0</v>
      </c>
      <c r="Y218" s="191">
        <f>IFERROR(W218/'FA Addition'!$J218*'FA Addition'!$L218,0)</f>
        <v>0</v>
      </c>
      <c r="AA218" s="116">
        <f>SUMIFS('FA Write off'!D:D,'FA Write off'!A:A,'FA Addition'!$A218,'FA Write off'!C:C,"&lt;"&amp;'FA Addition'!$L$1+1,'FA Write off'!C:C,"&gt;"&amp;'FA Addition'!$L$1-365)</f>
        <v>0</v>
      </c>
      <c r="AC218" s="118">
        <f>IFERROR(AA218/'FA Addition'!$J218*'FA Addition'!$L218,0)</f>
        <v>0</v>
      </c>
      <c r="AE218" s="117">
        <f>IF(AND('FA Addition'!$D218&lt;$P$1+1,U218=0),'FA Addition'!$L218,0)-Y218</f>
        <v>3600</v>
      </c>
      <c r="AF218" s="117">
        <f t="shared" si="15"/>
        <v>3600</v>
      </c>
      <c r="AG218" s="117">
        <f>MIN(MAX(+$P$1-'FA Addition'!$D218,0),365*'FA Addition'!$O218)</f>
        <v>1095</v>
      </c>
      <c r="AH218" s="117">
        <f>MIN(MAX($L$1-'FA Addition'!$D218+1,0),365*'FA Addition'!$O218)</f>
        <v>1095</v>
      </c>
      <c r="AI218" s="117" cm="1">
        <f t="array" ref="AI218">_xlfn.XLOOKUP(1,('FA Write off'!A:A='FA Addition'!$A218)*('FA Write off'!D:D=AA218),'FA Write off'!H:H,0,0)</f>
        <v>0</v>
      </c>
      <c r="AJ218" s="117">
        <f>IF(AC218&gt;0,MAX(IF('FA Addition'!$N218="SLM",($AC218-'FA Addition'!$M218)*'FA Addition'!$P218*AI218/365,(AC218-'FA Addition'!$M218)*(1-(1-'FA Addition'!$P218)^(AI218/365))),0),0)</f>
        <v>0</v>
      </c>
      <c r="AL218" s="117">
        <f>MAX(IF(AG218&gt;0,IF('FA Addition'!$N218="SLM",($AE218-'FA Addition'!$M218)*'FA Addition'!$P218*AG218/365,IFERROR(VDB(AE218,AE218*0.05,'FA Addition'!$O218,0,YEARFRAC('FA Addition'!$C218,$P$1-1,3),'FA Addition'!$Q218),FAAddition[[#This Row],[Original Cost (Rs)]]-FAAddition[[#This Row],[Salvage Value]])),0),0)</f>
        <v>3420</v>
      </c>
      <c r="AM218" s="119"/>
      <c r="AN218" s="117">
        <f>MAX(IF(AH218&gt;0,IF('FA Addition'!$N218="SLM",($AF218-'FA Addition'!$M218)*'FA Addition'!$P218*AH218/365,IFERROR(VDB(AF218,AF218*0.05,'FA Addition'!$O218,0,YEARFRAC('FA Addition'!$C218,$L$1,3),'FA Addition'!$Q218),FAAddition[[#This Row],[Original Cost (Rs)]]-FAAddition[[#This Row],[Salvage Value]])),0),0)</f>
        <v>3420</v>
      </c>
      <c r="AO218" s="117">
        <f t="shared" si="18"/>
        <v>0</v>
      </c>
      <c r="AQ218" s="117">
        <f t="shared" si="16"/>
        <v>180</v>
      </c>
      <c r="AR218" s="120">
        <f t="shared" si="17"/>
        <v>180</v>
      </c>
      <c r="AS218" s="121"/>
    </row>
    <row r="219" spans="1:45" ht="13.5" x14ac:dyDescent="0.4">
      <c r="A219" s="12">
        <f t="shared" si="19"/>
        <v>216</v>
      </c>
      <c r="B219" s="44" t="s">
        <v>559</v>
      </c>
      <c r="C219" s="45">
        <v>42810</v>
      </c>
      <c r="D219" s="45">
        <v>42810</v>
      </c>
      <c r="E219" s="46" t="s">
        <v>32</v>
      </c>
      <c r="F219" s="44" t="s">
        <v>32</v>
      </c>
      <c r="G219" s="44" t="s">
        <v>691</v>
      </c>
      <c r="H219" s="44" t="s">
        <v>32</v>
      </c>
      <c r="I219" s="47" t="s">
        <v>707</v>
      </c>
      <c r="J219" s="48">
        <v>2</v>
      </c>
      <c r="K219" s="44" t="s">
        <v>708</v>
      </c>
      <c r="L219" s="52">
        <v>2400</v>
      </c>
      <c r="M219" s="50">
        <f>ROUND('FA Addition'!$L219*5%,0.1)</f>
        <v>120</v>
      </c>
      <c r="N219" s="113" t="str">
        <f>_xlfn.XLOOKUP(_xlfn.CONCAT(E219,B219),'Year Wise Master Dep Approach'!F:F,'Year Wise Master Dep Approach'!D:D)</f>
        <v>WDV</v>
      </c>
      <c r="O219" s="113">
        <f>_xlfn.XLOOKUP(_xlfn.CONCAT(E219,B219),'Year Wise Master Dep Approach'!F:F,'Year Wise Master Dep Approach'!E:E)</f>
        <v>3</v>
      </c>
      <c r="P219" s="114">
        <f>IFERROR(IF('FA Addition'!$N219="WDV",1-('FA Addition'!$M219/'FA Addition'!$L219)^(1/'FA Addition'!$O219),1/'FA Addition'!$O219),0)</f>
        <v>0.63159685013596123</v>
      </c>
      <c r="Q219" s="122">
        <f>'FA Addition'!$P219*'FA Addition'!$O219</f>
        <v>1.8947905504078837</v>
      </c>
      <c r="R219" s="122"/>
      <c r="S219" s="116">
        <f>IF(AND(DATE(20&amp;LEFT(FAAddition[[#This Row],[FY]],2),4,1)&lt;$L$1+1,DATE(20&amp;LEFT(FAAddition[[#This Row],[FY]],2),4,1)&gt;$P$1-1),'FA Addition'!$J219,0)</f>
        <v>0</v>
      </c>
      <c r="U219" s="117">
        <f>S219*'FA Addition'!$L219/'FA Addition'!$J219</f>
        <v>0</v>
      </c>
      <c r="W219" s="116">
        <f>SUMIFS('FA Write off'!D:D,'FA Write off'!A:A,'FA Addition'!$A219,'FA Write off'!C:C,"&lt;"&amp;'FA Addition'!$P$1)</f>
        <v>0</v>
      </c>
      <c r="Y219" s="191">
        <f>IFERROR(W219/'FA Addition'!$J219*'FA Addition'!$L219,0)</f>
        <v>0</v>
      </c>
      <c r="AA219" s="116">
        <f>SUMIFS('FA Write off'!D:D,'FA Write off'!A:A,'FA Addition'!$A219,'FA Write off'!C:C,"&lt;"&amp;'FA Addition'!$L$1+1,'FA Write off'!C:C,"&gt;"&amp;'FA Addition'!$L$1-365)</f>
        <v>0</v>
      </c>
      <c r="AC219" s="118">
        <f>IFERROR(AA219/'FA Addition'!$J219*'FA Addition'!$L219,0)</f>
        <v>0</v>
      </c>
      <c r="AE219" s="117">
        <f>IF(AND('FA Addition'!$D219&lt;$P$1+1,U219=0),'FA Addition'!$L219,0)-Y219</f>
        <v>2400</v>
      </c>
      <c r="AF219" s="117">
        <f t="shared" si="15"/>
        <v>2400</v>
      </c>
      <c r="AG219" s="117">
        <f>MIN(MAX(+$P$1-'FA Addition'!$D219,0),365*'FA Addition'!$O219)</f>
        <v>1095</v>
      </c>
      <c r="AH219" s="117">
        <f>MIN(MAX($L$1-'FA Addition'!$D219+1,0),365*'FA Addition'!$O219)</f>
        <v>1095</v>
      </c>
      <c r="AI219" s="117" cm="1">
        <f t="array" ref="AI219">_xlfn.XLOOKUP(1,('FA Write off'!A:A='FA Addition'!$A219)*('FA Write off'!D:D=AA219),'FA Write off'!H:H,0,0)</f>
        <v>0</v>
      </c>
      <c r="AJ219" s="117">
        <f>IF(AC219&gt;0,MAX(IF('FA Addition'!$N219="SLM",($AC219-'FA Addition'!$M219)*'FA Addition'!$P219*AI219/365,(AC219-'FA Addition'!$M219)*(1-(1-'FA Addition'!$P219)^(AI219/365))),0),0)</f>
        <v>0</v>
      </c>
      <c r="AL219" s="117">
        <f>MAX(IF(AG219&gt;0,IF('FA Addition'!$N219="SLM",($AE219-'FA Addition'!$M219)*'FA Addition'!$P219*AG219/365,IFERROR(VDB(AE219,AE219*0.05,'FA Addition'!$O219,0,YEARFRAC('FA Addition'!$C219,$P$1-1,3),'FA Addition'!$Q219),FAAddition[[#This Row],[Original Cost (Rs)]]-FAAddition[[#This Row],[Salvage Value]])),0),0)</f>
        <v>2280</v>
      </c>
      <c r="AM219" s="119"/>
      <c r="AN219" s="117">
        <f>MAX(IF(AH219&gt;0,IF('FA Addition'!$N219="SLM",($AF219-'FA Addition'!$M219)*'FA Addition'!$P219*AH219/365,IFERROR(VDB(AF219,AF219*0.05,'FA Addition'!$O219,0,YEARFRAC('FA Addition'!$C219,$L$1,3),'FA Addition'!$Q219),FAAddition[[#This Row],[Original Cost (Rs)]]-FAAddition[[#This Row],[Salvage Value]])),0),0)</f>
        <v>2280</v>
      </c>
      <c r="AO219" s="117">
        <f t="shared" si="18"/>
        <v>0</v>
      </c>
      <c r="AQ219" s="117">
        <f t="shared" si="16"/>
        <v>120</v>
      </c>
      <c r="AR219" s="120">
        <f t="shared" si="17"/>
        <v>120</v>
      </c>
      <c r="AS219" s="121"/>
    </row>
    <row r="220" spans="1:45" ht="13.5" x14ac:dyDescent="0.4">
      <c r="A220" s="12">
        <f t="shared" si="19"/>
        <v>217</v>
      </c>
      <c r="B220" s="44" t="s">
        <v>559</v>
      </c>
      <c r="C220" s="45">
        <v>42810</v>
      </c>
      <c r="D220" s="45">
        <v>42810</v>
      </c>
      <c r="E220" s="46" t="s">
        <v>32</v>
      </c>
      <c r="F220" s="44" t="s">
        <v>32</v>
      </c>
      <c r="G220" s="44" t="s">
        <v>702</v>
      </c>
      <c r="H220" s="44" t="s">
        <v>32</v>
      </c>
      <c r="I220" s="47" t="s">
        <v>709</v>
      </c>
      <c r="J220" s="56">
        <v>1</v>
      </c>
      <c r="K220" s="44" t="s">
        <v>710</v>
      </c>
      <c r="L220" s="52">
        <v>1200</v>
      </c>
      <c r="M220" s="50">
        <f>ROUND('FA Addition'!$L220*5%,0.1)</f>
        <v>60</v>
      </c>
      <c r="N220" s="113" t="str">
        <f>_xlfn.XLOOKUP(_xlfn.CONCAT(E220,B220),'Year Wise Master Dep Approach'!F:F,'Year Wise Master Dep Approach'!D:D)</f>
        <v>WDV</v>
      </c>
      <c r="O220" s="113">
        <f>_xlfn.XLOOKUP(_xlfn.CONCAT(E220,B220),'Year Wise Master Dep Approach'!F:F,'Year Wise Master Dep Approach'!E:E)</f>
        <v>3</v>
      </c>
      <c r="P220" s="114">
        <f>IFERROR(IF('FA Addition'!$N220="WDV",1-('FA Addition'!$M220/'FA Addition'!$L220)^(1/'FA Addition'!$O220),1/'FA Addition'!$O220),0)</f>
        <v>0.63159685013596123</v>
      </c>
      <c r="Q220" s="122">
        <f>'FA Addition'!$P220*'FA Addition'!$O220</f>
        <v>1.8947905504078837</v>
      </c>
      <c r="R220" s="122"/>
      <c r="S220" s="116">
        <f>IF(AND(DATE(20&amp;LEFT(FAAddition[[#This Row],[FY]],2),4,1)&lt;$L$1+1,DATE(20&amp;LEFT(FAAddition[[#This Row],[FY]],2),4,1)&gt;$P$1-1),'FA Addition'!$J220,0)</f>
        <v>0</v>
      </c>
      <c r="U220" s="117">
        <f>S220*'FA Addition'!$L220/'FA Addition'!$J220</f>
        <v>0</v>
      </c>
      <c r="W220" s="116">
        <f>SUMIFS('FA Write off'!D:D,'FA Write off'!A:A,'FA Addition'!$A220,'FA Write off'!C:C,"&lt;"&amp;'FA Addition'!$P$1)</f>
        <v>0</v>
      </c>
      <c r="Y220" s="191">
        <f>IFERROR(W220/'FA Addition'!$J220*'FA Addition'!$L220,0)</f>
        <v>0</v>
      </c>
      <c r="AA220" s="116">
        <f>SUMIFS('FA Write off'!D:D,'FA Write off'!A:A,'FA Addition'!$A220,'FA Write off'!C:C,"&lt;"&amp;'FA Addition'!$L$1+1,'FA Write off'!C:C,"&gt;"&amp;'FA Addition'!$L$1-365)</f>
        <v>0</v>
      </c>
      <c r="AC220" s="118">
        <f>IFERROR(AA220/'FA Addition'!$J220*'FA Addition'!$L220,0)</f>
        <v>0</v>
      </c>
      <c r="AE220" s="117">
        <f>IF(AND('FA Addition'!$D220&lt;$P$1+1,U220=0),'FA Addition'!$L220,0)-Y220</f>
        <v>1200</v>
      </c>
      <c r="AF220" s="117">
        <f t="shared" si="15"/>
        <v>1200</v>
      </c>
      <c r="AG220" s="117">
        <f>MIN(MAX(+$P$1-'FA Addition'!$D220,0),365*'FA Addition'!$O220)</f>
        <v>1095</v>
      </c>
      <c r="AH220" s="117">
        <f>MIN(MAX($L$1-'FA Addition'!$D220+1,0),365*'FA Addition'!$O220)</f>
        <v>1095</v>
      </c>
      <c r="AI220" s="117" cm="1">
        <f t="array" ref="AI220">_xlfn.XLOOKUP(1,('FA Write off'!A:A='FA Addition'!$A220)*('FA Write off'!D:D=AA220),'FA Write off'!H:H,0,0)</f>
        <v>0</v>
      </c>
      <c r="AJ220" s="117">
        <f>IF(AC220&gt;0,MAX(IF('FA Addition'!$N220="SLM",($AC220-'FA Addition'!$M220)*'FA Addition'!$P220*AI220/365,(AC220-'FA Addition'!$M220)*(1-(1-'FA Addition'!$P220)^(AI220/365))),0),0)</f>
        <v>0</v>
      </c>
      <c r="AL220" s="117">
        <f>MAX(IF(AG220&gt;0,IF('FA Addition'!$N220="SLM",($AE220-'FA Addition'!$M220)*'FA Addition'!$P220*AG220/365,IFERROR(VDB(AE220,AE220*0.05,'FA Addition'!$O220,0,YEARFRAC('FA Addition'!$C220,$P$1-1,3),'FA Addition'!$Q220),FAAddition[[#This Row],[Original Cost (Rs)]]-FAAddition[[#This Row],[Salvage Value]])),0),0)</f>
        <v>1140</v>
      </c>
      <c r="AM220" s="119"/>
      <c r="AN220" s="117">
        <f>MAX(IF(AH220&gt;0,IF('FA Addition'!$N220="SLM",($AF220-'FA Addition'!$M220)*'FA Addition'!$P220*AH220/365,IFERROR(VDB(AF220,AF220*0.05,'FA Addition'!$O220,0,YEARFRAC('FA Addition'!$C220,$L$1,3),'FA Addition'!$Q220),FAAddition[[#This Row],[Original Cost (Rs)]]-FAAddition[[#This Row],[Salvage Value]])),0),0)</f>
        <v>1140</v>
      </c>
      <c r="AO220" s="117">
        <f t="shared" si="18"/>
        <v>0</v>
      </c>
      <c r="AQ220" s="117">
        <f t="shared" si="16"/>
        <v>60</v>
      </c>
      <c r="AR220" s="120">
        <f t="shared" si="17"/>
        <v>60</v>
      </c>
      <c r="AS220" s="121"/>
    </row>
    <row r="221" spans="1:45" ht="13.5" x14ac:dyDescent="0.4">
      <c r="A221" s="12">
        <f t="shared" si="19"/>
        <v>218</v>
      </c>
      <c r="B221" s="44" t="s">
        <v>559</v>
      </c>
      <c r="C221" s="45">
        <v>42810</v>
      </c>
      <c r="D221" s="45">
        <v>42810</v>
      </c>
      <c r="E221" s="46" t="s">
        <v>207</v>
      </c>
      <c r="F221" s="44" t="s">
        <v>147</v>
      </c>
      <c r="G221" s="44" t="s">
        <v>597</v>
      </c>
      <c r="H221" s="44" t="s">
        <v>207</v>
      </c>
      <c r="I221" s="47"/>
      <c r="J221" s="56">
        <v>1</v>
      </c>
      <c r="K221" s="44" t="s">
        <v>685</v>
      </c>
      <c r="L221" s="52">
        <v>7490</v>
      </c>
      <c r="M221" s="50">
        <f>ROUND('FA Addition'!$L221*5%,0.1)</f>
        <v>375</v>
      </c>
      <c r="N221" s="113" t="str">
        <f>_xlfn.XLOOKUP(_xlfn.CONCAT(E221,B221),'Year Wise Master Dep Approach'!F:F,'Year Wise Master Dep Approach'!D:D)</f>
        <v>WDV</v>
      </c>
      <c r="O221" s="113">
        <f>_xlfn.XLOOKUP(_xlfn.CONCAT(E221,B221),'Year Wise Master Dep Approach'!F:F,'Year Wise Master Dep Approach'!E:E)</f>
        <v>5</v>
      </c>
      <c r="P221" s="114">
        <f>IFERROR(IF('FA Addition'!$N221="WDV",1-('FA Addition'!$M221/'FA Addition'!$L221)^(1/'FA Addition'!$O221),1/'FA Addition'!$O221),0)</f>
        <v>0.45057313631334428</v>
      </c>
      <c r="Q221" s="122">
        <f>'FA Addition'!$P221*'FA Addition'!$O221</f>
        <v>2.2528656815667212</v>
      </c>
      <c r="R221" s="122"/>
      <c r="S221" s="116">
        <f>IF(AND(DATE(20&amp;LEFT(FAAddition[[#This Row],[FY]],2),4,1)&lt;$L$1+1,DATE(20&amp;LEFT(FAAddition[[#This Row],[FY]],2),4,1)&gt;$P$1-1),'FA Addition'!$J221,0)</f>
        <v>0</v>
      </c>
      <c r="U221" s="117">
        <f>S221*'FA Addition'!$L221/'FA Addition'!$J221</f>
        <v>0</v>
      </c>
      <c r="W221" s="116">
        <f>SUMIFS('FA Write off'!D:D,'FA Write off'!A:A,'FA Addition'!$A221,'FA Write off'!C:C,"&lt;"&amp;'FA Addition'!$P$1)</f>
        <v>0</v>
      </c>
      <c r="Y221" s="191">
        <f>IFERROR(W221/'FA Addition'!$J221*'FA Addition'!$L221,0)</f>
        <v>0</v>
      </c>
      <c r="AA221" s="116">
        <f>SUMIFS('FA Write off'!D:D,'FA Write off'!A:A,'FA Addition'!$A221,'FA Write off'!C:C,"&lt;"&amp;'FA Addition'!$L$1+1,'FA Write off'!C:C,"&gt;"&amp;'FA Addition'!$L$1-365)</f>
        <v>0</v>
      </c>
      <c r="AC221" s="118">
        <f>IFERROR(AA221/'FA Addition'!$J221*'FA Addition'!$L221,0)</f>
        <v>0</v>
      </c>
      <c r="AE221" s="117">
        <f>IF(AND('FA Addition'!$D221&lt;$P$1+1,U221=0),'FA Addition'!$L221,0)-Y221</f>
        <v>7490</v>
      </c>
      <c r="AF221" s="117">
        <f t="shared" si="15"/>
        <v>7490</v>
      </c>
      <c r="AG221" s="117">
        <f>MIN(MAX(+$P$1-'FA Addition'!$D221,0),365*'FA Addition'!$O221)</f>
        <v>1825</v>
      </c>
      <c r="AH221" s="117">
        <f>MIN(MAX($L$1-'FA Addition'!$D221+1,0),365*'FA Addition'!$O221)</f>
        <v>1825</v>
      </c>
      <c r="AI221" s="117" cm="1">
        <f t="array" ref="AI221">_xlfn.XLOOKUP(1,('FA Write off'!A:A='FA Addition'!$A221)*('FA Write off'!D:D=AA221),'FA Write off'!H:H,0,0)</f>
        <v>0</v>
      </c>
      <c r="AJ221" s="117">
        <f>IF(AC221&gt;0,MAX(IF('FA Addition'!$N221="SLM",($AC221-'FA Addition'!$M221)*'FA Addition'!$P221*AI221/365,(AC221-'FA Addition'!$M221)*(1-(1-'FA Addition'!$P221)^(AI221/365))),0),0)</f>
        <v>0</v>
      </c>
      <c r="AL221" s="117">
        <f>MAX(IF(AG221&gt;0,IF('FA Addition'!$N221="SLM",($AE221-'FA Addition'!$M221)*'FA Addition'!$P221*AG221/365,IFERROR(VDB(AE221,AE221*0.05,'FA Addition'!$O221,0,YEARFRAC('FA Addition'!$C221,$P$1-1,3),'FA Addition'!$Q221),FAAddition[[#This Row],[Original Cost (Rs)]]-FAAddition[[#This Row],[Salvage Value]])),0),0)</f>
        <v>7115</v>
      </c>
      <c r="AM221" s="119"/>
      <c r="AN221" s="117">
        <f>MAX(IF(AH221&gt;0,IF('FA Addition'!$N221="SLM",($AF221-'FA Addition'!$M221)*'FA Addition'!$P221*AH221/365,IFERROR(VDB(AF221,AF221*0.05,'FA Addition'!$O221,0,YEARFRAC('FA Addition'!$C221,$L$1,3),'FA Addition'!$Q221),FAAddition[[#This Row],[Original Cost (Rs)]]-FAAddition[[#This Row],[Salvage Value]])),0),0)</f>
        <v>7115</v>
      </c>
      <c r="AO221" s="117">
        <f t="shared" si="18"/>
        <v>0</v>
      </c>
      <c r="AQ221" s="117">
        <f t="shared" si="16"/>
        <v>375</v>
      </c>
      <c r="AR221" s="120">
        <f t="shared" si="17"/>
        <v>375</v>
      </c>
      <c r="AS221" s="121"/>
    </row>
    <row r="222" spans="1:45" ht="13.5" x14ac:dyDescent="0.4">
      <c r="A222" s="12">
        <f t="shared" si="19"/>
        <v>219</v>
      </c>
      <c r="B222" s="44" t="s">
        <v>559</v>
      </c>
      <c r="C222" s="45">
        <v>42810</v>
      </c>
      <c r="D222" s="45">
        <v>42810</v>
      </c>
      <c r="E222" s="46" t="s">
        <v>207</v>
      </c>
      <c r="F222" s="44" t="s">
        <v>147</v>
      </c>
      <c r="G222" s="44" t="s">
        <v>597</v>
      </c>
      <c r="H222" s="44" t="s">
        <v>207</v>
      </c>
      <c r="I222" s="47"/>
      <c r="J222" s="56">
        <v>1</v>
      </c>
      <c r="K222" s="44" t="s">
        <v>685</v>
      </c>
      <c r="L222" s="52">
        <v>7490</v>
      </c>
      <c r="M222" s="50">
        <f>ROUND('FA Addition'!$L222*5%,0.1)</f>
        <v>375</v>
      </c>
      <c r="N222" s="113" t="str">
        <f>_xlfn.XLOOKUP(_xlfn.CONCAT(E222,B222),'Year Wise Master Dep Approach'!F:F,'Year Wise Master Dep Approach'!D:D)</f>
        <v>WDV</v>
      </c>
      <c r="O222" s="113">
        <f>_xlfn.XLOOKUP(_xlfn.CONCAT(E222,B222),'Year Wise Master Dep Approach'!F:F,'Year Wise Master Dep Approach'!E:E)</f>
        <v>5</v>
      </c>
      <c r="P222" s="114">
        <f>IFERROR(IF('FA Addition'!$N222="WDV",1-('FA Addition'!$M222/'FA Addition'!$L222)^(1/'FA Addition'!$O222),1/'FA Addition'!$O222),0)</f>
        <v>0.45057313631334428</v>
      </c>
      <c r="Q222" s="122">
        <f>'FA Addition'!$P222*'FA Addition'!$O222</f>
        <v>2.2528656815667212</v>
      </c>
      <c r="R222" s="122"/>
      <c r="S222" s="116">
        <f>IF(AND(DATE(20&amp;LEFT(FAAddition[[#This Row],[FY]],2),4,1)&lt;$L$1+1,DATE(20&amp;LEFT(FAAddition[[#This Row],[FY]],2),4,1)&gt;$P$1-1),'FA Addition'!$J222,0)</f>
        <v>0</v>
      </c>
      <c r="U222" s="117">
        <f>S222*'FA Addition'!$L222/'FA Addition'!$J222</f>
        <v>0</v>
      </c>
      <c r="W222" s="116">
        <f>SUMIFS('FA Write off'!D:D,'FA Write off'!A:A,'FA Addition'!$A222,'FA Write off'!C:C,"&lt;"&amp;'FA Addition'!$P$1)</f>
        <v>0</v>
      </c>
      <c r="Y222" s="191">
        <f>IFERROR(W222/'FA Addition'!$J222*'FA Addition'!$L222,0)</f>
        <v>0</v>
      </c>
      <c r="AA222" s="116">
        <f>SUMIFS('FA Write off'!D:D,'FA Write off'!A:A,'FA Addition'!$A222,'FA Write off'!C:C,"&lt;"&amp;'FA Addition'!$L$1+1,'FA Write off'!C:C,"&gt;"&amp;'FA Addition'!$L$1-365)</f>
        <v>0</v>
      </c>
      <c r="AC222" s="118">
        <f>IFERROR(AA222/'FA Addition'!$J222*'FA Addition'!$L222,0)</f>
        <v>0</v>
      </c>
      <c r="AE222" s="117">
        <f>IF(AND('FA Addition'!$D222&lt;$P$1+1,U222=0),'FA Addition'!$L222,0)-Y222</f>
        <v>7490</v>
      </c>
      <c r="AF222" s="117">
        <f t="shared" si="15"/>
        <v>7490</v>
      </c>
      <c r="AG222" s="117">
        <f>MIN(MAX(+$P$1-'FA Addition'!$D222,0),365*'FA Addition'!$O222)</f>
        <v>1825</v>
      </c>
      <c r="AH222" s="117">
        <f>MIN(MAX($L$1-'FA Addition'!$D222+1,0),365*'FA Addition'!$O222)</f>
        <v>1825</v>
      </c>
      <c r="AI222" s="117" cm="1">
        <f t="array" ref="AI222">_xlfn.XLOOKUP(1,('FA Write off'!A:A='FA Addition'!$A222)*('FA Write off'!D:D=AA222),'FA Write off'!H:H,0,0)</f>
        <v>0</v>
      </c>
      <c r="AJ222" s="117">
        <f>IF(AC222&gt;0,MAX(IF('FA Addition'!$N222="SLM",($AC222-'FA Addition'!$M222)*'FA Addition'!$P222*AI222/365,(AC222-'FA Addition'!$M222)*(1-(1-'FA Addition'!$P222)^(AI222/365))),0),0)</f>
        <v>0</v>
      </c>
      <c r="AL222" s="117">
        <f>MAX(IF(AG222&gt;0,IF('FA Addition'!$N222="SLM",($AE222-'FA Addition'!$M222)*'FA Addition'!$P222*AG222/365,IFERROR(VDB(AE222,AE222*0.05,'FA Addition'!$O222,0,YEARFRAC('FA Addition'!$C222,$P$1-1,3),'FA Addition'!$Q222),FAAddition[[#This Row],[Original Cost (Rs)]]-FAAddition[[#This Row],[Salvage Value]])),0),0)</f>
        <v>7115</v>
      </c>
      <c r="AM222" s="119"/>
      <c r="AN222" s="117">
        <f>MAX(IF(AH222&gt;0,IF('FA Addition'!$N222="SLM",($AF222-'FA Addition'!$M222)*'FA Addition'!$P222*AH222/365,IFERROR(VDB(AF222,AF222*0.05,'FA Addition'!$O222,0,YEARFRAC('FA Addition'!$C222,$L$1,3),'FA Addition'!$Q222),FAAddition[[#This Row],[Original Cost (Rs)]]-FAAddition[[#This Row],[Salvage Value]])),0),0)</f>
        <v>7115</v>
      </c>
      <c r="AO222" s="117">
        <f t="shared" si="18"/>
        <v>0</v>
      </c>
      <c r="AQ222" s="117">
        <f t="shared" si="16"/>
        <v>375</v>
      </c>
      <c r="AR222" s="120">
        <f t="shared" si="17"/>
        <v>375</v>
      </c>
      <c r="AS222" s="121"/>
    </row>
    <row r="223" spans="1:45" ht="13.5" x14ac:dyDescent="0.4">
      <c r="A223" s="12">
        <f t="shared" si="19"/>
        <v>220</v>
      </c>
      <c r="B223" s="44" t="s">
        <v>559</v>
      </c>
      <c r="C223" s="45">
        <v>42810</v>
      </c>
      <c r="D223" s="45">
        <v>42810</v>
      </c>
      <c r="E223" s="46" t="s">
        <v>32</v>
      </c>
      <c r="F223" s="44" t="s">
        <v>32</v>
      </c>
      <c r="G223" s="44" t="s">
        <v>597</v>
      </c>
      <c r="H223" s="44" t="s">
        <v>32</v>
      </c>
      <c r="I223" s="47" t="s">
        <v>711</v>
      </c>
      <c r="J223" s="56">
        <v>1</v>
      </c>
      <c r="K223" s="44" t="s">
        <v>690</v>
      </c>
      <c r="L223" s="52">
        <v>2350</v>
      </c>
      <c r="M223" s="50">
        <f>ROUND('FA Addition'!$L223*5%,0.1)</f>
        <v>118</v>
      </c>
      <c r="N223" s="113" t="str">
        <f>_xlfn.XLOOKUP(_xlfn.CONCAT(E223,B223),'Year Wise Master Dep Approach'!F:F,'Year Wise Master Dep Approach'!D:D)</f>
        <v>WDV</v>
      </c>
      <c r="O223" s="113">
        <f>_xlfn.XLOOKUP(_xlfn.CONCAT(E223,B223),'Year Wise Master Dep Approach'!F:F,'Year Wise Master Dep Approach'!E:E)</f>
        <v>3</v>
      </c>
      <c r="P223" s="114">
        <f>IFERROR(IF('FA Addition'!$N223="WDV",1-('FA Addition'!$M223/'FA Addition'!$L223)^(1/'FA Addition'!$O223),1/'FA Addition'!$O223),0)</f>
        <v>0.6310750319457884</v>
      </c>
      <c r="Q223" s="122">
        <f>'FA Addition'!$P223*'FA Addition'!$O223</f>
        <v>1.8932250958373653</v>
      </c>
      <c r="R223" s="122"/>
      <c r="S223" s="116">
        <f>IF(AND(DATE(20&amp;LEFT(FAAddition[[#This Row],[FY]],2),4,1)&lt;$L$1+1,DATE(20&amp;LEFT(FAAddition[[#This Row],[FY]],2),4,1)&gt;$P$1-1),'FA Addition'!$J223,0)</f>
        <v>0</v>
      </c>
      <c r="U223" s="117">
        <f>S223*'FA Addition'!$L223/'FA Addition'!$J223</f>
        <v>0</v>
      </c>
      <c r="W223" s="116">
        <f>SUMIFS('FA Write off'!D:D,'FA Write off'!A:A,'FA Addition'!$A223,'FA Write off'!C:C,"&lt;"&amp;'FA Addition'!$P$1)</f>
        <v>0</v>
      </c>
      <c r="Y223" s="191">
        <f>IFERROR(W223/'FA Addition'!$J223*'FA Addition'!$L223,0)</f>
        <v>0</v>
      </c>
      <c r="AA223" s="116">
        <f>SUMIFS('FA Write off'!D:D,'FA Write off'!A:A,'FA Addition'!$A223,'FA Write off'!C:C,"&lt;"&amp;'FA Addition'!$L$1+1,'FA Write off'!C:C,"&gt;"&amp;'FA Addition'!$L$1-365)</f>
        <v>0</v>
      </c>
      <c r="AC223" s="118">
        <f>IFERROR(AA223/'FA Addition'!$J223*'FA Addition'!$L223,0)</f>
        <v>0</v>
      </c>
      <c r="AE223" s="117">
        <f>IF(AND('FA Addition'!$D223&lt;$P$1+1,U223=0),'FA Addition'!$L223,0)-Y223</f>
        <v>2350</v>
      </c>
      <c r="AF223" s="117">
        <f t="shared" si="15"/>
        <v>2350</v>
      </c>
      <c r="AG223" s="117">
        <f>MIN(MAX(+$P$1-'FA Addition'!$D223,0),365*'FA Addition'!$O223)</f>
        <v>1095</v>
      </c>
      <c r="AH223" s="117">
        <f>MIN(MAX($L$1-'FA Addition'!$D223+1,0),365*'FA Addition'!$O223)</f>
        <v>1095</v>
      </c>
      <c r="AI223" s="117" cm="1">
        <f t="array" ref="AI223">_xlfn.XLOOKUP(1,('FA Write off'!A:A='FA Addition'!$A223)*('FA Write off'!D:D=AA223),'FA Write off'!H:H,0,0)</f>
        <v>0</v>
      </c>
      <c r="AJ223" s="117">
        <f>IF(AC223&gt;0,MAX(IF('FA Addition'!$N223="SLM",($AC223-'FA Addition'!$M223)*'FA Addition'!$P223*AI223/365,(AC223-'FA Addition'!$M223)*(1-(1-'FA Addition'!$P223)^(AI223/365))),0),0)</f>
        <v>0</v>
      </c>
      <c r="AL223" s="117">
        <f>MAX(IF(AG223&gt;0,IF('FA Addition'!$N223="SLM",($AE223-'FA Addition'!$M223)*'FA Addition'!$P223*AG223/365,IFERROR(VDB(AE223,AE223*0.05,'FA Addition'!$O223,0,YEARFRAC('FA Addition'!$C223,$P$1-1,3),'FA Addition'!$Q223),FAAddition[[#This Row],[Original Cost (Rs)]]-FAAddition[[#This Row],[Salvage Value]])),0),0)</f>
        <v>2232</v>
      </c>
      <c r="AM223" s="119"/>
      <c r="AN223" s="117">
        <f>MAX(IF(AH223&gt;0,IF('FA Addition'!$N223="SLM",($AF223-'FA Addition'!$M223)*'FA Addition'!$P223*AH223/365,IFERROR(VDB(AF223,AF223*0.05,'FA Addition'!$O223,0,YEARFRAC('FA Addition'!$C223,$L$1,3),'FA Addition'!$Q223),FAAddition[[#This Row],[Original Cost (Rs)]]-FAAddition[[#This Row],[Salvage Value]])),0),0)</f>
        <v>2232</v>
      </c>
      <c r="AO223" s="117">
        <f t="shared" si="18"/>
        <v>0</v>
      </c>
      <c r="AQ223" s="117">
        <f t="shared" si="16"/>
        <v>118</v>
      </c>
      <c r="AR223" s="120">
        <f t="shared" si="17"/>
        <v>118</v>
      </c>
      <c r="AS223" s="121"/>
    </row>
    <row r="224" spans="1:45" ht="13.5" x14ac:dyDescent="0.4">
      <c r="A224" s="12">
        <f t="shared" si="19"/>
        <v>221</v>
      </c>
      <c r="B224" s="51" t="s">
        <v>559</v>
      </c>
      <c r="C224" s="54">
        <v>42810</v>
      </c>
      <c r="D224" s="54">
        <v>42810</v>
      </c>
      <c r="E224" s="46" t="s">
        <v>32</v>
      </c>
      <c r="F224" s="51" t="s">
        <v>32</v>
      </c>
      <c r="G224" s="51" t="s">
        <v>597</v>
      </c>
      <c r="H224" s="51" t="s">
        <v>32</v>
      </c>
      <c r="I224" s="56" t="s">
        <v>712</v>
      </c>
      <c r="J224" s="56">
        <v>1</v>
      </c>
      <c r="K224" s="51" t="s">
        <v>690</v>
      </c>
      <c r="L224" s="58">
        <v>1175</v>
      </c>
      <c r="M224" s="50">
        <f>ROUND('FA Addition'!$L224*5%,0.1)</f>
        <v>59</v>
      </c>
      <c r="N224" s="113" t="str">
        <f>_xlfn.XLOOKUP(_xlfn.CONCAT(E224,B224),'Year Wise Master Dep Approach'!F:F,'Year Wise Master Dep Approach'!D:D)</f>
        <v>WDV</v>
      </c>
      <c r="O224" s="113">
        <f>_xlfn.XLOOKUP(_xlfn.CONCAT(E224,B224),'Year Wise Master Dep Approach'!F:F,'Year Wise Master Dep Approach'!E:E)</f>
        <v>3</v>
      </c>
      <c r="P224" s="114">
        <f>IFERROR(IF('FA Addition'!$N224="WDV",1-('FA Addition'!$M224/'FA Addition'!$L224)^(1/'FA Addition'!$O224),1/'FA Addition'!$O224),0)</f>
        <v>0.6310750319457884</v>
      </c>
      <c r="Q224" s="122">
        <f>'FA Addition'!$P224*'FA Addition'!$O224</f>
        <v>1.8932250958373653</v>
      </c>
      <c r="R224" s="122"/>
      <c r="S224" s="116">
        <f>IF(AND(DATE(20&amp;LEFT(FAAddition[[#This Row],[FY]],2),4,1)&lt;$L$1+1,DATE(20&amp;LEFT(FAAddition[[#This Row],[FY]],2),4,1)&gt;$P$1-1),'FA Addition'!$J224,0)</f>
        <v>0</v>
      </c>
      <c r="U224" s="117">
        <f>S224*'FA Addition'!$L224/'FA Addition'!$J224</f>
        <v>0</v>
      </c>
      <c r="W224" s="116">
        <f>SUMIFS('FA Write off'!D:D,'FA Write off'!A:A,'FA Addition'!$A224,'FA Write off'!C:C,"&lt;"&amp;'FA Addition'!$P$1)</f>
        <v>0</v>
      </c>
      <c r="Y224" s="191">
        <f>IFERROR(W224/'FA Addition'!$J224*'FA Addition'!$L224,0)</f>
        <v>0</v>
      </c>
      <c r="AA224" s="116">
        <f>SUMIFS('FA Write off'!D:D,'FA Write off'!A:A,'FA Addition'!$A224,'FA Write off'!C:C,"&lt;"&amp;'FA Addition'!$L$1+1,'FA Write off'!C:C,"&gt;"&amp;'FA Addition'!$L$1-365)</f>
        <v>0</v>
      </c>
      <c r="AC224" s="118">
        <f>IFERROR(AA224/'FA Addition'!$J224*'FA Addition'!$L224,0)</f>
        <v>0</v>
      </c>
      <c r="AE224" s="117">
        <f>IF(AND('FA Addition'!$D224&lt;$P$1+1,U224=0),'FA Addition'!$L224,0)-Y224</f>
        <v>1175</v>
      </c>
      <c r="AF224" s="117">
        <f t="shared" si="15"/>
        <v>1175</v>
      </c>
      <c r="AG224" s="117">
        <f>MIN(MAX(+$P$1-'FA Addition'!$D224,0),365*'FA Addition'!$O224)</f>
        <v>1095</v>
      </c>
      <c r="AH224" s="117">
        <f>MIN(MAX($L$1-'FA Addition'!$D224+1,0),365*'FA Addition'!$O224)</f>
        <v>1095</v>
      </c>
      <c r="AI224" s="117" cm="1">
        <f t="array" ref="AI224">_xlfn.XLOOKUP(1,('FA Write off'!A:A='FA Addition'!$A224)*('FA Write off'!D:D=AA224),'FA Write off'!H:H,0,0)</f>
        <v>0</v>
      </c>
      <c r="AJ224" s="117">
        <f>IF(AC224&gt;0,MAX(IF('FA Addition'!$N224="SLM",($AC224-'FA Addition'!$M224)*'FA Addition'!$P224*AI224/365,(AC224-'FA Addition'!$M224)*(1-(1-'FA Addition'!$P224)^(AI224/365))),0),0)</f>
        <v>0</v>
      </c>
      <c r="AL224" s="117">
        <f>MAX(IF(AG224&gt;0,IF('FA Addition'!$N224="SLM",($AE224-'FA Addition'!$M224)*'FA Addition'!$P224*AG224/365,IFERROR(VDB(AE224,AE224*0.05,'FA Addition'!$O224,0,YEARFRAC('FA Addition'!$C224,$P$1-1,3),'FA Addition'!$Q224),FAAddition[[#This Row],[Original Cost (Rs)]]-FAAddition[[#This Row],[Salvage Value]])),0),0)</f>
        <v>1116</v>
      </c>
      <c r="AM224" s="119"/>
      <c r="AN224" s="117">
        <f>MAX(IF(AH224&gt;0,IF('FA Addition'!$N224="SLM",($AF224-'FA Addition'!$M224)*'FA Addition'!$P224*AH224/365,IFERROR(VDB(AF224,AF224*0.05,'FA Addition'!$O224,0,YEARFRAC('FA Addition'!$C224,$L$1,3),'FA Addition'!$Q224),FAAddition[[#This Row],[Original Cost (Rs)]]-FAAddition[[#This Row],[Salvage Value]])),0),0)</f>
        <v>1116</v>
      </c>
      <c r="AO224" s="117">
        <f t="shared" si="18"/>
        <v>0</v>
      </c>
      <c r="AQ224" s="117">
        <f t="shared" si="16"/>
        <v>59</v>
      </c>
      <c r="AR224" s="120">
        <f t="shared" si="17"/>
        <v>59</v>
      </c>
      <c r="AS224" s="121"/>
    </row>
    <row r="225" spans="1:45" ht="13.5" x14ac:dyDescent="0.4">
      <c r="A225" s="12">
        <f t="shared" si="19"/>
        <v>222</v>
      </c>
      <c r="B225" s="51" t="s">
        <v>559</v>
      </c>
      <c r="C225" s="54">
        <v>42811</v>
      </c>
      <c r="D225" s="54">
        <v>42811</v>
      </c>
      <c r="E225" s="46" t="s">
        <v>451</v>
      </c>
      <c r="F225" s="44" t="s">
        <v>21</v>
      </c>
      <c r="G225" s="51" t="s">
        <v>713</v>
      </c>
      <c r="H225" s="51" t="s">
        <v>21</v>
      </c>
      <c r="I225" s="48" t="s">
        <v>714</v>
      </c>
      <c r="J225" s="56">
        <v>1</v>
      </c>
      <c r="K225" s="51" t="s">
        <v>715</v>
      </c>
      <c r="L225" s="58">
        <v>36875</v>
      </c>
      <c r="M225" s="50">
        <f>ROUND('FA Addition'!$L225*5%,0.1)</f>
        <v>1844</v>
      </c>
      <c r="N225" s="113" t="str">
        <f>_xlfn.XLOOKUP(_xlfn.CONCAT(E225,B225),'Year Wise Master Dep Approach'!F:F,'Year Wise Master Dep Approach'!D:D)</f>
        <v>WDV</v>
      </c>
      <c r="O225" s="113">
        <f>_xlfn.XLOOKUP(_xlfn.CONCAT(E225,B225),'Year Wise Master Dep Approach'!F:F,'Year Wise Master Dep Approach'!E:E)</f>
        <v>3</v>
      </c>
      <c r="P225" s="114">
        <f>IFERROR(IF('FA Addition'!$N225="WDV",1-('FA Addition'!$M225/'FA Addition'!$L225)^(1/'FA Addition'!$O225),1/'FA Addition'!$O225),0)</f>
        <v>0.63158019989866743</v>
      </c>
      <c r="Q225" s="122">
        <f>'FA Addition'!$P225*'FA Addition'!$O225</f>
        <v>1.8947405996960023</v>
      </c>
      <c r="R225" s="122"/>
      <c r="S225" s="116">
        <f>IF(AND(DATE(20&amp;LEFT(FAAddition[[#This Row],[FY]],2),4,1)&lt;$L$1+1,DATE(20&amp;LEFT(FAAddition[[#This Row],[FY]],2),4,1)&gt;$P$1-1),'FA Addition'!$J225,0)</f>
        <v>0</v>
      </c>
      <c r="U225" s="117">
        <f>S225*'FA Addition'!$L225/'FA Addition'!$J225</f>
        <v>0</v>
      </c>
      <c r="W225" s="116">
        <f>SUMIFS('FA Write off'!D:D,'FA Write off'!A:A,'FA Addition'!$A225,'FA Write off'!C:C,"&lt;"&amp;'FA Addition'!$P$1)</f>
        <v>0</v>
      </c>
      <c r="Y225" s="191">
        <f>IFERROR(W225/'FA Addition'!$J225*'FA Addition'!$L225,0)</f>
        <v>0</v>
      </c>
      <c r="AA225" s="116">
        <f>SUMIFS('FA Write off'!D:D,'FA Write off'!A:A,'FA Addition'!$A225,'FA Write off'!C:C,"&lt;"&amp;'FA Addition'!$L$1+1,'FA Write off'!C:C,"&gt;"&amp;'FA Addition'!$L$1-365)</f>
        <v>0</v>
      </c>
      <c r="AC225" s="118">
        <f>IFERROR(AA225/'FA Addition'!$J225*'FA Addition'!$L225,0)</f>
        <v>0</v>
      </c>
      <c r="AE225" s="117">
        <f>IF(AND('FA Addition'!$D225&lt;$P$1+1,U225=0),'FA Addition'!$L225,0)-Y225</f>
        <v>36875</v>
      </c>
      <c r="AF225" s="117">
        <f t="shared" si="15"/>
        <v>36875</v>
      </c>
      <c r="AG225" s="117">
        <f>MIN(MAX(+$P$1-'FA Addition'!$D225,0),365*'FA Addition'!$O225)</f>
        <v>1095</v>
      </c>
      <c r="AH225" s="117">
        <f>MIN(MAX($L$1-'FA Addition'!$D225+1,0),365*'FA Addition'!$O225)</f>
        <v>1095</v>
      </c>
      <c r="AI225" s="117" cm="1">
        <f t="array" ref="AI225">_xlfn.XLOOKUP(1,('FA Write off'!A:A='FA Addition'!$A225)*('FA Write off'!D:D=AA225),'FA Write off'!H:H,0,0)</f>
        <v>0</v>
      </c>
      <c r="AJ225" s="117">
        <f>IF(AC225&gt;0,MAX(IF('FA Addition'!$N225="SLM",($AC225-'FA Addition'!$M225)*'FA Addition'!$P225*AI225/365,(AC225-'FA Addition'!$M225)*(1-(1-'FA Addition'!$P225)^(AI225/365))),0),0)</f>
        <v>0</v>
      </c>
      <c r="AL225" s="117">
        <f>MAX(IF(AG225&gt;0,IF('FA Addition'!$N225="SLM",($AE225-'FA Addition'!$M225)*'FA Addition'!$P225*AG225/365,IFERROR(VDB(AE225,AE225*0.05,'FA Addition'!$O225,0,YEARFRAC('FA Addition'!$C225,$P$1-1,3),'FA Addition'!$Q225),FAAddition[[#This Row],[Original Cost (Rs)]]-FAAddition[[#This Row],[Salvage Value]])),0),0)</f>
        <v>35031</v>
      </c>
      <c r="AM225" s="119"/>
      <c r="AN225" s="117">
        <f>MAX(IF(AH225&gt;0,IF('FA Addition'!$N225="SLM",($AF225-'FA Addition'!$M225)*'FA Addition'!$P225*AH225/365,IFERROR(VDB(AF225,AF225*0.05,'FA Addition'!$O225,0,YEARFRAC('FA Addition'!$C225,$L$1,3),'FA Addition'!$Q225),FAAddition[[#This Row],[Original Cost (Rs)]]-FAAddition[[#This Row],[Salvage Value]])),0),0)</f>
        <v>35031</v>
      </c>
      <c r="AO225" s="117">
        <f t="shared" si="18"/>
        <v>0</v>
      </c>
      <c r="AQ225" s="117">
        <f t="shared" si="16"/>
        <v>1844</v>
      </c>
      <c r="AR225" s="120">
        <f t="shared" si="17"/>
        <v>1844</v>
      </c>
      <c r="AS225" s="121"/>
    </row>
    <row r="226" spans="1:45" ht="13.5" x14ac:dyDescent="0.4">
      <c r="A226" s="12">
        <f t="shared" si="19"/>
        <v>223</v>
      </c>
      <c r="B226" s="51" t="s">
        <v>559</v>
      </c>
      <c r="C226" s="54">
        <v>42811</v>
      </c>
      <c r="D226" s="54">
        <v>42811</v>
      </c>
      <c r="E226" s="46" t="s">
        <v>32</v>
      </c>
      <c r="F226" s="44" t="s">
        <v>32</v>
      </c>
      <c r="G226" s="51" t="s">
        <v>716</v>
      </c>
      <c r="H226" s="51" t="s">
        <v>32</v>
      </c>
      <c r="I226" s="48" t="s">
        <v>717</v>
      </c>
      <c r="J226" s="56">
        <v>20</v>
      </c>
      <c r="K226" s="51" t="s">
        <v>718</v>
      </c>
      <c r="L226" s="58">
        <v>22490</v>
      </c>
      <c r="M226" s="50">
        <f>ROUND('FA Addition'!$L226*5%,0.1)</f>
        <v>1125</v>
      </c>
      <c r="N226" s="113" t="str">
        <f>_xlfn.XLOOKUP(_xlfn.CONCAT(E226,B226),'Year Wise Master Dep Approach'!F:F,'Year Wise Master Dep Approach'!D:D)</f>
        <v>WDV</v>
      </c>
      <c r="O226" s="113">
        <f>_xlfn.XLOOKUP(_xlfn.CONCAT(E226,B226),'Year Wise Master Dep Approach'!F:F,'Year Wise Master Dep Approach'!E:E)</f>
        <v>3</v>
      </c>
      <c r="P226" s="114">
        <f>IFERROR(IF('FA Addition'!$N226="WDV",1-('FA Addition'!$M226/'FA Addition'!$L226)^(1/'FA Addition'!$O226),1/'FA Addition'!$O226),0)</f>
        <v>0.63154225571461309</v>
      </c>
      <c r="Q226" s="122">
        <f>'FA Addition'!$P226*'FA Addition'!$O226</f>
        <v>1.8946267671438393</v>
      </c>
      <c r="R226" s="122"/>
      <c r="S226" s="116">
        <f>IF(AND(DATE(20&amp;LEFT(FAAddition[[#This Row],[FY]],2),4,1)&lt;$L$1+1,DATE(20&amp;LEFT(FAAddition[[#This Row],[FY]],2),4,1)&gt;$P$1-1),'FA Addition'!$J226,0)</f>
        <v>0</v>
      </c>
      <c r="U226" s="117">
        <f>S226*'FA Addition'!$L226/'FA Addition'!$J226</f>
        <v>0</v>
      </c>
      <c r="W226" s="116">
        <f>SUMIFS('FA Write off'!D:D,'FA Write off'!A:A,'FA Addition'!$A226,'FA Write off'!C:C,"&lt;"&amp;'FA Addition'!$P$1)</f>
        <v>0</v>
      </c>
      <c r="Y226" s="191">
        <f>IFERROR(W226/'FA Addition'!$J226*'FA Addition'!$L226,0)</f>
        <v>0</v>
      </c>
      <c r="AA226" s="116">
        <f>SUMIFS('FA Write off'!D:D,'FA Write off'!A:A,'FA Addition'!$A226,'FA Write off'!C:C,"&lt;"&amp;'FA Addition'!$L$1+1,'FA Write off'!C:C,"&gt;"&amp;'FA Addition'!$L$1-365)</f>
        <v>0</v>
      </c>
      <c r="AC226" s="118">
        <f>IFERROR(AA226/'FA Addition'!$J226*'FA Addition'!$L226,0)</f>
        <v>0</v>
      </c>
      <c r="AE226" s="117">
        <f>IF(AND('FA Addition'!$D226&lt;$P$1+1,U226=0),'FA Addition'!$L226,0)-Y226</f>
        <v>22490</v>
      </c>
      <c r="AF226" s="117">
        <f t="shared" si="15"/>
        <v>22490</v>
      </c>
      <c r="AG226" s="117">
        <f>MIN(MAX(+$P$1-'FA Addition'!$D226,0),365*'FA Addition'!$O226)</f>
        <v>1095</v>
      </c>
      <c r="AH226" s="117">
        <f>MIN(MAX($L$1-'FA Addition'!$D226+1,0),365*'FA Addition'!$O226)</f>
        <v>1095</v>
      </c>
      <c r="AI226" s="117" cm="1">
        <f t="array" ref="AI226">_xlfn.XLOOKUP(1,('FA Write off'!A:A='FA Addition'!$A226)*('FA Write off'!D:D=AA226),'FA Write off'!H:H,0,0)</f>
        <v>0</v>
      </c>
      <c r="AJ226" s="117">
        <f>IF(AC226&gt;0,MAX(IF('FA Addition'!$N226="SLM",($AC226-'FA Addition'!$M226)*'FA Addition'!$P226*AI226/365,(AC226-'FA Addition'!$M226)*(1-(1-'FA Addition'!$P226)^(AI226/365))),0),0)</f>
        <v>0</v>
      </c>
      <c r="AL226" s="117">
        <f>MAX(IF(AG226&gt;0,IF('FA Addition'!$N226="SLM",($AE226-'FA Addition'!$M226)*'FA Addition'!$P226*AG226/365,IFERROR(VDB(AE226,AE226*0.05,'FA Addition'!$O226,0,YEARFRAC('FA Addition'!$C226,$P$1-1,3),'FA Addition'!$Q226),FAAddition[[#This Row],[Original Cost (Rs)]]-FAAddition[[#This Row],[Salvage Value]])),0),0)</f>
        <v>21365</v>
      </c>
      <c r="AM226" s="119"/>
      <c r="AN226" s="117">
        <f>MAX(IF(AH226&gt;0,IF('FA Addition'!$N226="SLM",($AF226-'FA Addition'!$M226)*'FA Addition'!$P226*AH226/365,IFERROR(VDB(AF226,AF226*0.05,'FA Addition'!$O226,0,YEARFRAC('FA Addition'!$C226,$L$1,3),'FA Addition'!$Q226),FAAddition[[#This Row],[Original Cost (Rs)]]-FAAddition[[#This Row],[Salvage Value]])),0),0)</f>
        <v>21365</v>
      </c>
      <c r="AO226" s="117">
        <f t="shared" si="18"/>
        <v>0</v>
      </c>
      <c r="AQ226" s="117">
        <f t="shared" si="16"/>
        <v>1125</v>
      </c>
      <c r="AR226" s="120">
        <f t="shared" si="17"/>
        <v>1125</v>
      </c>
      <c r="AS226" s="121"/>
    </row>
    <row r="227" spans="1:45" ht="13.5" x14ac:dyDescent="0.4">
      <c r="A227" s="12">
        <f t="shared" si="19"/>
        <v>224</v>
      </c>
      <c r="B227" s="51" t="s">
        <v>559</v>
      </c>
      <c r="C227" s="54">
        <v>42811</v>
      </c>
      <c r="D227" s="54">
        <v>42811</v>
      </c>
      <c r="E227" s="46" t="s">
        <v>32</v>
      </c>
      <c r="F227" s="44" t="s">
        <v>32</v>
      </c>
      <c r="G227" s="51" t="s">
        <v>719</v>
      </c>
      <c r="H227" s="51" t="s">
        <v>32</v>
      </c>
      <c r="I227" s="48" t="s">
        <v>720</v>
      </c>
      <c r="J227" s="56">
        <v>1</v>
      </c>
      <c r="K227" s="51" t="s">
        <v>721</v>
      </c>
      <c r="L227" s="58">
        <v>15804</v>
      </c>
      <c r="M227" s="50">
        <f>ROUND('FA Addition'!$L227*5%,0.1)</f>
        <v>790</v>
      </c>
      <c r="N227" s="113" t="str">
        <f>_xlfn.XLOOKUP(_xlfn.CONCAT(E227,B227),'Year Wise Master Dep Approach'!F:F,'Year Wise Master Dep Approach'!D:D)</f>
        <v>WDV</v>
      </c>
      <c r="O227" s="113">
        <f>_xlfn.XLOOKUP(_xlfn.CONCAT(E227,B227),'Year Wise Master Dep Approach'!F:F,'Year Wise Master Dep Approach'!E:E)</f>
        <v>3</v>
      </c>
      <c r="P227" s="114">
        <f>IFERROR(IF('FA Addition'!$N227="WDV",1-('FA Addition'!$M227/'FA Addition'!$L227)^(1/'FA Addition'!$O227),1/'FA Addition'!$O227),0)</f>
        <v>0.63162793376333326</v>
      </c>
      <c r="Q227" s="122">
        <f>'FA Addition'!$P227*'FA Addition'!$O227</f>
        <v>1.8948838012899998</v>
      </c>
      <c r="R227" s="122"/>
      <c r="S227" s="116">
        <f>IF(AND(DATE(20&amp;LEFT(FAAddition[[#This Row],[FY]],2),4,1)&lt;$L$1+1,DATE(20&amp;LEFT(FAAddition[[#This Row],[FY]],2),4,1)&gt;$P$1-1),'FA Addition'!$J227,0)</f>
        <v>0</v>
      </c>
      <c r="U227" s="117">
        <f>S227*'FA Addition'!$L227/'FA Addition'!$J227</f>
        <v>0</v>
      </c>
      <c r="W227" s="116">
        <f>SUMIFS('FA Write off'!D:D,'FA Write off'!A:A,'FA Addition'!$A227,'FA Write off'!C:C,"&lt;"&amp;'FA Addition'!$P$1)</f>
        <v>0</v>
      </c>
      <c r="Y227" s="191">
        <f>IFERROR(W227/'FA Addition'!$J227*'FA Addition'!$L227,0)</f>
        <v>0</v>
      </c>
      <c r="AA227" s="116">
        <f>SUMIFS('FA Write off'!D:D,'FA Write off'!A:A,'FA Addition'!$A227,'FA Write off'!C:C,"&lt;"&amp;'FA Addition'!$L$1+1,'FA Write off'!C:C,"&gt;"&amp;'FA Addition'!$L$1-365)</f>
        <v>0</v>
      </c>
      <c r="AC227" s="118">
        <f>IFERROR(AA227/'FA Addition'!$J227*'FA Addition'!$L227,0)</f>
        <v>0</v>
      </c>
      <c r="AE227" s="117">
        <f>IF(AND('FA Addition'!$D227&lt;$P$1+1,U227=0),'FA Addition'!$L227,0)-Y227</f>
        <v>15804</v>
      </c>
      <c r="AF227" s="117">
        <f t="shared" si="15"/>
        <v>15804</v>
      </c>
      <c r="AG227" s="117">
        <f>MIN(MAX(+$P$1-'FA Addition'!$D227,0),365*'FA Addition'!$O227)</f>
        <v>1095</v>
      </c>
      <c r="AH227" s="117">
        <f>MIN(MAX($L$1-'FA Addition'!$D227+1,0),365*'FA Addition'!$O227)</f>
        <v>1095</v>
      </c>
      <c r="AI227" s="117" cm="1">
        <f t="array" ref="AI227">_xlfn.XLOOKUP(1,('FA Write off'!A:A='FA Addition'!$A227)*('FA Write off'!D:D=AA227),'FA Write off'!H:H,0,0)</f>
        <v>0</v>
      </c>
      <c r="AJ227" s="117">
        <f>IF(AC227&gt;0,MAX(IF('FA Addition'!$N227="SLM",($AC227-'FA Addition'!$M227)*'FA Addition'!$P227*AI227/365,(AC227-'FA Addition'!$M227)*(1-(1-'FA Addition'!$P227)^(AI227/365))),0),0)</f>
        <v>0</v>
      </c>
      <c r="AL227" s="117">
        <f>MAX(IF(AG227&gt;0,IF('FA Addition'!$N227="SLM",($AE227-'FA Addition'!$M227)*'FA Addition'!$P227*AG227/365,IFERROR(VDB(AE227,AE227*0.05,'FA Addition'!$O227,0,YEARFRAC('FA Addition'!$C227,$P$1-1,3),'FA Addition'!$Q227),FAAddition[[#This Row],[Original Cost (Rs)]]-FAAddition[[#This Row],[Salvage Value]])),0),0)</f>
        <v>15014</v>
      </c>
      <c r="AM227" s="119"/>
      <c r="AN227" s="117">
        <f>MAX(IF(AH227&gt;0,IF('FA Addition'!$N227="SLM",($AF227-'FA Addition'!$M227)*'FA Addition'!$P227*AH227/365,IFERROR(VDB(AF227,AF227*0.05,'FA Addition'!$O227,0,YEARFRAC('FA Addition'!$C227,$L$1,3),'FA Addition'!$Q227),FAAddition[[#This Row],[Original Cost (Rs)]]-FAAddition[[#This Row],[Salvage Value]])),0),0)</f>
        <v>15014</v>
      </c>
      <c r="AO227" s="117">
        <f t="shared" si="18"/>
        <v>0</v>
      </c>
      <c r="AQ227" s="117">
        <f t="shared" si="16"/>
        <v>790</v>
      </c>
      <c r="AR227" s="120">
        <f t="shared" si="17"/>
        <v>790</v>
      </c>
      <c r="AS227" s="121"/>
    </row>
    <row r="228" spans="1:45" ht="13.5" x14ac:dyDescent="0.4">
      <c r="A228" s="12">
        <f t="shared" si="19"/>
        <v>225</v>
      </c>
      <c r="B228" s="51" t="s">
        <v>559</v>
      </c>
      <c r="C228" s="54">
        <v>42811</v>
      </c>
      <c r="D228" s="54">
        <v>42811</v>
      </c>
      <c r="E228" s="46" t="s">
        <v>32</v>
      </c>
      <c r="F228" s="44" t="s">
        <v>32</v>
      </c>
      <c r="G228" s="51" t="s">
        <v>597</v>
      </c>
      <c r="H228" s="51" t="s">
        <v>32</v>
      </c>
      <c r="I228" s="48" t="s">
        <v>722</v>
      </c>
      <c r="J228" s="56">
        <v>1</v>
      </c>
      <c r="K228" s="51" t="s">
        <v>690</v>
      </c>
      <c r="L228" s="58">
        <v>2550</v>
      </c>
      <c r="M228" s="50">
        <f>ROUND('FA Addition'!$L228*5%,0.1)</f>
        <v>128</v>
      </c>
      <c r="N228" s="113" t="str">
        <f>_xlfn.XLOOKUP(_xlfn.CONCAT(E228,B228),'Year Wise Master Dep Approach'!F:F,'Year Wise Master Dep Approach'!D:D)</f>
        <v>WDV</v>
      </c>
      <c r="O228" s="113">
        <f>_xlfn.XLOOKUP(_xlfn.CONCAT(E228,B228),'Year Wise Master Dep Approach'!F:F,'Year Wise Master Dep Approach'!E:E)</f>
        <v>3</v>
      </c>
      <c r="P228" s="114">
        <f>IFERROR(IF('FA Addition'!$N228="WDV",1-('FA Addition'!$M228/'FA Addition'!$L228)^(1/'FA Addition'!$O228),1/'FA Addition'!$O228),0)</f>
        <v>0.63111590552999774</v>
      </c>
      <c r="Q228" s="122">
        <f>'FA Addition'!$P228*'FA Addition'!$O228</f>
        <v>1.8933477165899932</v>
      </c>
      <c r="R228" s="122"/>
      <c r="S228" s="116">
        <f>IF(AND(DATE(20&amp;LEFT(FAAddition[[#This Row],[FY]],2),4,1)&lt;$L$1+1,DATE(20&amp;LEFT(FAAddition[[#This Row],[FY]],2),4,1)&gt;$P$1-1),'FA Addition'!$J228,0)</f>
        <v>0</v>
      </c>
      <c r="U228" s="117">
        <f>S228*'FA Addition'!$L228/'FA Addition'!$J228</f>
        <v>0</v>
      </c>
      <c r="W228" s="116">
        <f>SUMIFS('FA Write off'!D:D,'FA Write off'!A:A,'FA Addition'!$A228,'FA Write off'!C:C,"&lt;"&amp;'FA Addition'!$P$1)</f>
        <v>0</v>
      </c>
      <c r="Y228" s="191">
        <f>IFERROR(W228/'FA Addition'!$J228*'FA Addition'!$L228,0)</f>
        <v>0</v>
      </c>
      <c r="AA228" s="116">
        <f>SUMIFS('FA Write off'!D:D,'FA Write off'!A:A,'FA Addition'!$A228,'FA Write off'!C:C,"&lt;"&amp;'FA Addition'!$L$1+1,'FA Write off'!C:C,"&gt;"&amp;'FA Addition'!$L$1-365)</f>
        <v>0</v>
      </c>
      <c r="AC228" s="118">
        <f>IFERROR(AA228/'FA Addition'!$J228*'FA Addition'!$L228,0)</f>
        <v>0</v>
      </c>
      <c r="AE228" s="117">
        <f>IF(AND('FA Addition'!$D228&lt;$P$1+1,U228=0),'FA Addition'!$L228,0)-Y228</f>
        <v>2550</v>
      </c>
      <c r="AF228" s="117">
        <f t="shared" si="15"/>
        <v>2550</v>
      </c>
      <c r="AG228" s="117">
        <f>MIN(MAX(+$P$1-'FA Addition'!$D228,0),365*'FA Addition'!$O228)</f>
        <v>1095</v>
      </c>
      <c r="AH228" s="117">
        <f>MIN(MAX($L$1-'FA Addition'!$D228+1,0),365*'FA Addition'!$O228)</f>
        <v>1095</v>
      </c>
      <c r="AI228" s="117" cm="1">
        <f t="array" ref="AI228">_xlfn.XLOOKUP(1,('FA Write off'!A:A='FA Addition'!$A228)*('FA Write off'!D:D=AA228),'FA Write off'!H:H,0,0)</f>
        <v>0</v>
      </c>
      <c r="AJ228" s="117">
        <f>IF(AC228&gt;0,MAX(IF('FA Addition'!$N228="SLM",($AC228-'FA Addition'!$M228)*'FA Addition'!$P228*AI228/365,(AC228-'FA Addition'!$M228)*(1-(1-'FA Addition'!$P228)^(AI228/365))),0),0)</f>
        <v>0</v>
      </c>
      <c r="AL228" s="117">
        <f>MAX(IF(AG228&gt;0,IF('FA Addition'!$N228="SLM",($AE228-'FA Addition'!$M228)*'FA Addition'!$P228*AG228/365,IFERROR(VDB(AE228,AE228*0.05,'FA Addition'!$O228,0,YEARFRAC('FA Addition'!$C228,$P$1-1,3),'FA Addition'!$Q228),FAAddition[[#This Row],[Original Cost (Rs)]]-FAAddition[[#This Row],[Salvage Value]])),0),0)</f>
        <v>2422</v>
      </c>
      <c r="AM228" s="119"/>
      <c r="AN228" s="117">
        <f>MAX(IF(AH228&gt;0,IF('FA Addition'!$N228="SLM",($AF228-'FA Addition'!$M228)*'FA Addition'!$P228*AH228/365,IFERROR(VDB(AF228,AF228*0.05,'FA Addition'!$O228,0,YEARFRAC('FA Addition'!$C228,$L$1,3),'FA Addition'!$Q228),FAAddition[[#This Row],[Original Cost (Rs)]]-FAAddition[[#This Row],[Salvage Value]])),0),0)</f>
        <v>2422</v>
      </c>
      <c r="AO228" s="117">
        <f t="shared" si="18"/>
        <v>0</v>
      </c>
      <c r="AQ228" s="117">
        <f t="shared" si="16"/>
        <v>128</v>
      </c>
      <c r="AR228" s="120">
        <f t="shared" si="17"/>
        <v>128</v>
      </c>
      <c r="AS228" s="121"/>
    </row>
    <row r="229" spans="1:45" ht="13.5" x14ac:dyDescent="0.4">
      <c r="A229" s="12">
        <f t="shared" si="19"/>
        <v>226</v>
      </c>
      <c r="B229" s="51" t="s">
        <v>559</v>
      </c>
      <c r="C229" s="54">
        <v>42812</v>
      </c>
      <c r="D229" s="54">
        <v>42812</v>
      </c>
      <c r="E229" s="46" t="s">
        <v>32</v>
      </c>
      <c r="F229" s="44" t="s">
        <v>32</v>
      </c>
      <c r="G229" s="51" t="s">
        <v>572</v>
      </c>
      <c r="H229" s="51" t="s">
        <v>32</v>
      </c>
      <c r="I229" s="48" t="s">
        <v>723</v>
      </c>
      <c r="J229" s="56">
        <v>40</v>
      </c>
      <c r="K229" s="51" t="s">
        <v>724</v>
      </c>
      <c r="L229" s="58">
        <v>44310</v>
      </c>
      <c r="M229" s="50">
        <f>ROUND('FA Addition'!$L229*5%,0.1)</f>
        <v>2216</v>
      </c>
      <c r="N229" s="113" t="str">
        <f>_xlfn.XLOOKUP(_xlfn.CONCAT(E229,B229),'Year Wise Master Dep Approach'!F:F,'Year Wise Master Dep Approach'!D:D)</f>
        <v>WDV</v>
      </c>
      <c r="O229" s="113">
        <f>_xlfn.XLOOKUP(_xlfn.CONCAT(E229,B229),'Year Wise Master Dep Approach'!F:F,'Year Wise Master Dep Approach'!E:E)</f>
        <v>3</v>
      </c>
      <c r="P229" s="114">
        <f>IFERROR(IF('FA Addition'!$N229="WDV",1-('FA Addition'!$M229/'FA Addition'!$L229)^(1/'FA Addition'!$O229),1/'FA Addition'!$O229),0)</f>
        <v>0.63156913814925653</v>
      </c>
      <c r="Q229" s="122">
        <f>'FA Addition'!$P229*'FA Addition'!$O229</f>
        <v>1.8947074144477696</v>
      </c>
      <c r="R229" s="122"/>
      <c r="S229" s="116">
        <f>IF(AND(DATE(20&amp;LEFT(FAAddition[[#This Row],[FY]],2),4,1)&lt;$L$1+1,DATE(20&amp;LEFT(FAAddition[[#This Row],[FY]],2),4,1)&gt;$P$1-1),'FA Addition'!$J229,0)</f>
        <v>0</v>
      </c>
      <c r="U229" s="117">
        <f>S229*'FA Addition'!$L229/'FA Addition'!$J229</f>
        <v>0</v>
      </c>
      <c r="W229" s="116">
        <f>SUMIFS('FA Write off'!D:D,'FA Write off'!A:A,'FA Addition'!$A229,'FA Write off'!C:C,"&lt;"&amp;'FA Addition'!$P$1)</f>
        <v>0</v>
      </c>
      <c r="Y229" s="191">
        <f>IFERROR(W229/'FA Addition'!$J229*'FA Addition'!$L229,0)</f>
        <v>0</v>
      </c>
      <c r="AA229" s="116">
        <f>SUMIFS('FA Write off'!D:D,'FA Write off'!A:A,'FA Addition'!$A229,'FA Write off'!C:C,"&lt;"&amp;'FA Addition'!$L$1+1,'FA Write off'!C:C,"&gt;"&amp;'FA Addition'!$L$1-365)</f>
        <v>0</v>
      </c>
      <c r="AC229" s="118">
        <f>IFERROR(AA229/'FA Addition'!$J229*'FA Addition'!$L229,0)</f>
        <v>0</v>
      </c>
      <c r="AE229" s="117">
        <f>IF(AND('FA Addition'!$D229&lt;$P$1+1,U229=0),'FA Addition'!$L229,0)-Y229</f>
        <v>44310</v>
      </c>
      <c r="AF229" s="117">
        <f t="shared" si="15"/>
        <v>44310</v>
      </c>
      <c r="AG229" s="117">
        <f>MIN(MAX(+$P$1-'FA Addition'!$D229,0),365*'FA Addition'!$O229)</f>
        <v>1095</v>
      </c>
      <c r="AH229" s="117">
        <f>MIN(MAX($L$1-'FA Addition'!$D229+1,0),365*'FA Addition'!$O229)</f>
        <v>1095</v>
      </c>
      <c r="AI229" s="117" cm="1">
        <f t="array" ref="AI229">_xlfn.XLOOKUP(1,('FA Write off'!A:A='FA Addition'!$A229)*('FA Write off'!D:D=AA229),'FA Write off'!H:H,0,0)</f>
        <v>0</v>
      </c>
      <c r="AJ229" s="117">
        <f>IF(AC229&gt;0,MAX(IF('FA Addition'!$N229="SLM",($AC229-'FA Addition'!$M229)*'FA Addition'!$P229*AI229/365,(AC229-'FA Addition'!$M229)*(1-(1-'FA Addition'!$P229)^(AI229/365))),0),0)</f>
        <v>0</v>
      </c>
      <c r="AL229" s="117">
        <f>MAX(IF(AG229&gt;0,IF('FA Addition'!$N229="SLM",($AE229-'FA Addition'!$M229)*'FA Addition'!$P229*AG229/365,IFERROR(VDB(AE229,AE229*0.05,'FA Addition'!$O229,0,YEARFRAC('FA Addition'!$C229,$P$1-1,3),'FA Addition'!$Q229),FAAddition[[#This Row],[Original Cost (Rs)]]-FAAddition[[#This Row],[Salvage Value]])),0),0)</f>
        <v>42094</v>
      </c>
      <c r="AM229" s="119"/>
      <c r="AN229" s="117">
        <f>MAX(IF(AH229&gt;0,IF('FA Addition'!$N229="SLM",($AF229-'FA Addition'!$M229)*'FA Addition'!$P229*AH229/365,IFERROR(VDB(AF229,AF229*0.05,'FA Addition'!$O229,0,YEARFRAC('FA Addition'!$C229,$L$1,3),'FA Addition'!$Q229),FAAddition[[#This Row],[Original Cost (Rs)]]-FAAddition[[#This Row],[Salvage Value]])),0),0)</f>
        <v>42094</v>
      </c>
      <c r="AO229" s="117">
        <f t="shared" si="18"/>
        <v>0</v>
      </c>
      <c r="AQ229" s="117">
        <f t="shared" si="16"/>
        <v>2216</v>
      </c>
      <c r="AR229" s="120">
        <f t="shared" si="17"/>
        <v>2216</v>
      </c>
      <c r="AS229" s="121"/>
    </row>
    <row r="230" spans="1:45" ht="13.5" x14ac:dyDescent="0.4">
      <c r="A230" s="12">
        <f t="shared" si="19"/>
        <v>227</v>
      </c>
      <c r="B230" s="51" t="s">
        <v>559</v>
      </c>
      <c r="C230" s="54">
        <v>42812</v>
      </c>
      <c r="D230" s="54">
        <v>42812</v>
      </c>
      <c r="E230" s="46" t="s">
        <v>32</v>
      </c>
      <c r="F230" s="51" t="s">
        <v>32</v>
      </c>
      <c r="G230" s="44" t="s">
        <v>725</v>
      </c>
      <c r="H230" s="51" t="s">
        <v>32</v>
      </c>
      <c r="I230" s="48">
        <v>11702</v>
      </c>
      <c r="J230" s="56">
        <v>1</v>
      </c>
      <c r="K230" s="44" t="s">
        <v>726</v>
      </c>
      <c r="L230" s="58">
        <v>5200</v>
      </c>
      <c r="M230" s="50">
        <f>ROUND('FA Addition'!$L230*5%,0.1)</f>
        <v>260</v>
      </c>
      <c r="N230" s="113" t="str">
        <f>_xlfn.XLOOKUP(_xlfn.CONCAT(E230,B230),'Year Wise Master Dep Approach'!F:F,'Year Wise Master Dep Approach'!D:D)</f>
        <v>WDV</v>
      </c>
      <c r="O230" s="113">
        <f>_xlfn.XLOOKUP(_xlfn.CONCAT(E230,B230),'Year Wise Master Dep Approach'!F:F,'Year Wise Master Dep Approach'!E:E)</f>
        <v>3</v>
      </c>
      <c r="P230" s="114">
        <f>IFERROR(IF('FA Addition'!$N230="WDV",1-('FA Addition'!$M230/'FA Addition'!$L230)^(1/'FA Addition'!$O230),1/'FA Addition'!$O230),0)</f>
        <v>0.63159685013596123</v>
      </c>
      <c r="Q230" s="122">
        <f>'FA Addition'!$P230*'FA Addition'!$O230</f>
        <v>1.8947905504078837</v>
      </c>
      <c r="R230" s="122"/>
      <c r="S230" s="116">
        <f>IF(AND(DATE(20&amp;LEFT(FAAddition[[#This Row],[FY]],2),4,1)&lt;$L$1+1,DATE(20&amp;LEFT(FAAddition[[#This Row],[FY]],2),4,1)&gt;$P$1-1),'FA Addition'!$J230,0)</f>
        <v>0</v>
      </c>
      <c r="U230" s="117">
        <f>S230*'FA Addition'!$L230/'FA Addition'!$J230</f>
        <v>0</v>
      </c>
      <c r="W230" s="116">
        <f>SUMIFS('FA Write off'!D:D,'FA Write off'!A:A,'FA Addition'!$A230,'FA Write off'!C:C,"&lt;"&amp;'FA Addition'!$P$1)</f>
        <v>0</v>
      </c>
      <c r="Y230" s="191">
        <f>IFERROR(W230/'FA Addition'!$J230*'FA Addition'!$L230,0)</f>
        <v>0</v>
      </c>
      <c r="AA230" s="116">
        <f>SUMIFS('FA Write off'!D:D,'FA Write off'!A:A,'FA Addition'!$A230,'FA Write off'!C:C,"&lt;"&amp;'FA Addition'!$L$1+1,'FA Write off'!C:C,"&gt;"&amp;'FA Addition'!$L$1-365)</f>
        <v>0</v>
      </c>
      <c r="AC230" s="118">
        <f>IFERROR(AA230/'FA Addition'!$J230*'FA Addition'!$L230,0)</f>
        <v>0</v>
      </c>
      <c r="AE230" s="117">
        <f>IF(AND('FA Addition'!$D230&lt;$P$1+1,U230=0),'FA Addition'!$L230,0)-Y230</f>
        <v>5200</v>
      </c>
      <c r="AF230" s="117">
        <f t="shared" si="15"/>
        <v>5200</v>
      </c>
      <c r="AG230" s="117">
        <f>MIN(MAX(+$P$1-'FA Addition'!$D230,0),365*'FA Addition'!$O230)</f>
        <v>1095</v>
      </c>
      <c r="AH230" s="117">
        <f>MIN(MAX($L$1-'FA Addition'!$D230+1,0),365*'FA Addition'!$O230)</f>
        <v>1095</v>
      </c>
      <c r="AI230" s="117" cm="1">
        <f t="array" ref="AI230">_xlfn.XLOOKUP(1,('FA Write off'!A:A='FA Addition'!$A230)*('FA Write off'!D:D=AA230),'FA Write off'!H:H,0,0)</f>
        <v>0</v>
      </c>
      <c r="AJ230" s="117">
        <f>IF(AC230&gt;0,MAX(IF('FA Addition'!$N230="SLM",($AC230-'FA Addition'!$M230)*'FA Addition'!$P230*AI230/365,(AC230-'FA Addition'!$M230)*(1-(1-'FA Addition'!$P230)^(AI230/365))),0),0)</f>
        <v>0</v>
      </c>
      <c r="AL230" s="117">
        <f>MAX(IF(AG230&gt;0,IF('FA Addition'!$N230="SLM",($AE230-'FA Addition'!$M230)*'FA Addition'!$P230*AG230/365,IFERROR(VDB(AE230,AE230*0.05,'FA Addition'!$O230,0,YEARFRAC('FA Addition'!$C230,$P$1-1,3),'FA Addition'!$Q230),FAAddition[[#This Row],[Original Cost (Rs)]]-FAAddition[[#This Row],[Salvage Value]])),0),0)</f>
        <v>4940</v>
      </c>
      <c r="AM230" s="119"/>
      <c r="AN230" s="117">
        <f>MAX(IF(AH230&gt;0,IF('FA Addition'!$N230="SLM",($AF230-'FA Addition'!$M230)*'FA Addition'!$P230*AH230/365,IFERROR(VDB(AF230,AF230*0.05,'FA Addition'!$O230,0,YEARFRAC('FA Addition'!$C230,$L$1,3),'FA Addition'!$Q230),FAAddition[[#This Row],[Original Cost (Rs)]]-FAAddition[[#This Row],[Salvage Value]])),0),0)</f>
        <v>4940</v>
      </c>
      <c r="AO230" s="117">
        <f t="shared" si="18"/>
        <v>0</v>
      </c>
      <c r="AQ230" s="117">
        <f t="shared" si="16"/>
        <v>260</v>
      </c>
      <c r="AR230" s="120">
        <f t="shared" si="17"/>
        <v>260</v>
      </c>
      <c r="AS230" s="121"/>
    </row>
    <row r="231" spans="1:45" ht="13.5" x14ac:dyDescent="0.4">
      <c r="A231" s="12">
        <f t="shared" si="19"/>
        <v>228</v>
      </c>
      <c r="B231" s="51" t="s">
        <v>559</v>
      </c>
      <c r="C231" s="54">
        <v>42817</v>
      </c>
      <c r="D231" s="54">
        <v>42817</v>
      </c>
      <c r="E231" s="46" t="s">
        <v>32</v>
      </c>
      <c r="F231" s="51" t="s">
        <v>32</v>
      </c>
      <c r="G231" s="51" t="s">
        <v>727</v>
      </c>
      <c r="H231" s="51" t="s">
        <v>32</v>
      </c>
      <c r="I231" s="56" t="s">
        <v>728</v>
      </c>
      <c r="J231" s="56">
        <v>1</v>
      </c>
      <c r="K231" s="51" t="s">
        <v>729</v>
      </c>
      <c r="L231" s="58">
        <v>17745</v>
      </c>
      <c r="M231" s="50">
        <f>ROUND('FA Addition'!$L231*5%,0.1)</f>
        <v>887</v>
      </c>
      <c r="N231" s="113" t="str">
        <f>_xlfn.XLOOKUP(_xlfn.CONCAT(E231,B231),'Year Wise Master Dep Approach'!F:F,'Year Wise Master Dep Approach'!D:D)</f>
        <v>WDV</v>
      </c>
      <c r="O231" s="113">
        <f>_xlfn.XLOOKUP(_xlfn.CONCAT(E231,B231),'Year Wise Master Dep Approach'!F:F,'Year Wise Master Dep Approach'!E:E)</f>
        <v>3</v>
      </c>
      <c r="P231" s="114">
        <f>IFERROR(IF('FA Addition'!$N231="WDV",1-('FA Addition'!$M231/'FA Addition'!$L231)^(1/'FA Addition'!$O231),1/'FA Addition'!$O231),0)</f>
        <v>0.63163145497834638</v>
      </c>
      <c r="Q231" s="122">
        <f>'FA Addition'!$P231*'FA Addition'!$O231</f>
        <v>1.8948943649350392</v>
      </c>
      <c r="R231" s="122"/>
      <c r="S231" s="116">
        <f>IF(AND(DATE(20&amp;LEFT(FAAddition[[#This Row],[FY]],2),4,1)&lt;$L$1+1,DATE(20&amp;LEFT(FAAddition[[#This Row],[FY]],2),4,1)&gt;$P$1-1),'FA Addition'!$J231,0)</f>
        <v>0</v>
      </c>
      <c r="U231" s="117">
        <f>S231*'FA Addition'!$L231/'FA Addition'!$J231</f>
        <v>0</v>
      </c>
      <c r="W231" s="116">
        <f>SUMIFS('FA Write off'!D:D,'FA Write off'!A:A,'FA Addition'!$A231,'FA Write off'!C:C,"&lt;"&amp;'FA Addition'!$P$1)</f>
        <v>0</v>
      </c>
      <c r="Y231" s="191">
        <f>IFERROR(W231/'FA Addition'!$J231*'FA Addition'!$L231,0)</f>
        <v>0</v>
      </c>
      <c r="AA231" s="116">
        <f>SUMIFS('FA Write off'!D:D,'FA Write off'!A:A,'FA Addition'!$A231,'FA Write off'!C:C,"&lt;"&amp;'FA Addition'!$L$1+1,'FA Write off'!C:C,"&gt;"&amp;'FA Addition'!$L$1-365)</f>
        <v>0</v>
      </c>
      <c r="AC231" s="118">
        <f>IFERROR(AA231/'FA Addition'!$J231*'FA Addition'!$L231,0)</f>
        <v>0</v>
      </c>
      <c r="AE231" s="117">
        <f>IF(AND('FA Addition'!$D231&lt;$P$1+1,U231=0),'FA Addition'!$L231,0)-Y231</f>
        <v>17745</v>
      </c>
      <c r="AF231" s="117">
        <f t="shared" si="15"/>
        <v>17745</v>
      </c>
      <c r="AG231" s="117">
        <f>MIN(MAX(+$P$1-'FA Addition'!$D231,0),365*'FA Addition'!$O231)</f>
        <v>1095</v>
      </c>
      <c r="AH231" s="117">
        <f>MIN(MAX($L$1-'FA Addition'!$D231+1,0),365*'FA Addition'!$O231)</f>
        <v>1095</v>
      </c>
      <c r="AI231" s="117" cm="1">
        <f t="array" ref="AI231">_xlfn.XLOOKUP(1,('FA Write off'!A:A='FA Addition'!$A231)*('FA Write off'!D:D=AA231),'FA Write off'!H:H,0,0)</f>
        <v>0</v>
      </c>
      <c r="AJ231" s="117">
        <f>IF(AC231&gt;0,MAX(IF('FA Addition'!$N231="SLM",($AC231-'FA Addition'!$M231)*'FA Addition'!$P231*AI231/365,(AC231-'FA Addition'!$M231)*(1-(1-'FA Addition'!$P231)^(AI231/365))),0),0)</f>
        <v>0</v>
      </c>
      <c r="AL231" s="117">
        <f>MAX(IF(AG231&gt;0,IF('FA Addition'!$N231="SLM",($AE231-'FA Addition'!$M231)*'FA Addition'!$P231*AG231/365,IFERROR(VDB(AE231,AE231*0.05,'FA Addition'!$O231,0,YEARFRAC('FA Addition'!$C231,$P$1-1,3),'FA Addition'!$Q231),FAAddition[[#This Row],[Original Cost (Rs)]]-FAAddition[[#This Row],[Salvage Value]])),0),0)</f>
        <v>16858</v>
      </c>
      <c r="AM231" s="119"/>
      <c r="AN231" s="117">
        <f>MAX(IF(AH231&gt;0,IF('FA Addition'!$N231="SLM",($AF231-'FA Addition'!$M231)*'FA Addition'!$P231*AH231/365,IFERROR(VDB(AF231,AF231*0.05,'FA Addition'!$O231,0,YEARFRAC('FA Addition'!$C231,$L$1,3),'FA Addition'!$Q231),FAAddition[[#This Row],[Original Cost (Rs)]]-FAAddition[[#This Row],[Salvage Value]])),0),0)</f>
        <v>16858</v>
      </c>
      <c r="AO231" s="117">
        <f t="shared" si="18"/>
        <v>0</v>
      </c>
      <c r="AQ231" s="117">
        <f t="shared" si="16"/>
        <v>887</v>
      </c>
      <c r="AR231" s="120">
        <f t="shared" si="17"/>
        <v>887</v>
      </c>
      <c r="AS231" s="121"/>
    </row>
    <row r="232" spans="1:45" ht="13.5" x14ac:dyDescent="0.4">
      <c r="A232" s="12">
        <f t="shared" si="19"/>
        <v>229</v>
      </c>
      <c r="B232" s="51" t="s">
        <v>559</v>
      </c>
      <c r="C232" s="54">
        <v>42818</v>
      </c>
      <c r="D232" s="54">
        <v>42818</v>
      </c>
      <c r="E232" s="46" t="s">
        <v>32</v>
      </c>
      <c r="F232" s="51" t="s">
        <v>32</v>
      </c>
      <c r="G232" s="51" t="s">
        <v>730</v>
      </c>
      <c r="H232" s="51" t="s">
        <v>32</v>
      </c>
      <c r="I232" s="56"/>
      <c r="J232" s="56">
        <v>1</v>
      </c>
      <c r="K232" s="44" t="s">
        <v>32</v>
      </c>
      <c r="L232" s="58">
        <v>31575</v>
      </c>
      <c r="M232" s="50">
        <f>ROUND('FA Addition'!$L232*5%,0.1)</f>
        <v>1579</v>
      </c>
      <c r="N232" s="113" t="str">
        <f>_xlfn.XLOOKUP(_xlfn.CONCAT(E232,B232),'Year Wise Master Dep Approach'!F:F,'Year Wise Master Dep Approach'!D:D)</f>
        <v>WDV</v>
      </c>
      <c r="O232" s="113">
        <f>_xlfn.XLOOKUP(_xlfn.CONCAT(E232,B232),'Year Wise Master Dep Approach'!F:F,'Year Wise Master Dep Approach'!E:E)</f>
        <v>3</v>
      </c>
      <c r="P232" s="114">
        <f>IFERROR(IF('FA Addition'!$N232="WDV",1-('FA Addition'!$M232/'FA Addition'!$L232)^(1/'FA Addition'!$O232),1/'FA Addition'!$O232),0)</f>
        <v>0.6315774052319949</v>
      </c>
      <c r="Q232" s="122">
        <f>'FA Addition'!$P232*'FA Addition'!$O232</f>
        <v>1.8947322156959847</v>
      </c>
      <c r="R232" s="122"/>
      <c r="S232" s="116">
        <f>IF(AND(DATE(20&amp;LEFT(FAAddition[[#This Row],[FY]],2),4,1)&lt;$L$1+1,DATE(20&amp;LEFT(FAAddition[[#This Row],[FY]],2),4,1)&gt;$P$1-1),'FA Addition'!$J232,0)</f>
        <v>0</v>
      </c>
      <c r="U232" s="117">
        <f>S232*'FA Addition'!$L232/'FA Addition'!$J232</f>
        <v>0</v>
      </c>
      <c r="W232" s="116">
        <f>SUMIFS('FA Write off'!D:D,'FA Write off'!A:A,'FA Addition'!$A232,'FA Write off'!C:C,"&lt;"&amp;'FA Addition'!$P$1)</f>
        <v>0</v>
      </c>
      <c r="Y232" s="191">
        <f>IFERROR(W232/'FA Addition'!$J232*'FA Addition'!$L232,0)</f>
        <v>0</v>
      </c>
      <c r="AA232" s="116">
        <f>SUMIFS('FA Write off'!D:D,'FA Write off'!A:A,'FA Addition'!$A232,'FA Write off'!C:C,"&lt;"&amp;'FA Addition'!$L$1+1,'FA Write off'!C:C,"&gt;"&amp;'FA Addition'!$L$1-365)</f>
        <v>0</v>
      </c>
      <c r="AC232" s="118">
        <f>IFERROR(AA232/'FA Addition'!$J232*'FA Addition'!$L232,0)</f>
        <v>0</v>
      </c>
      <c r="AE232" s="117">
        <f>IF(AND('FA Addition'!$D232&lt;$P$1+1,U232=0),'FA Addition'!$L232,0)-Y232</f>
        <v>31575</v>
      </c>
      <c r="AF232" s="117">
        <f t="shared" si="15"/>
        <v>31575</v>
      </c>
      <c r="AG232" s="117">
        <f>MIN(MAX(+$P$1-'FA Addition'!$D232,0),365*'FA Addition'!$O232)</f>
        <v>1095</v>
      </c>
      <c r="AH232" s="117">
        <f>MIN(MAX($L$1-'FA Addition'!$D232+1,0),365*'FA Addition'!$O232)</f>
        <v>1095</v>
      </c>
      <c r="AI232" s="117" cm="1">
        <f t="array" ref="AI232">_xlfn.XLOOKUP(1,('FA Write off'!A:A='FA Addition'!$A232)*('FA Write off'!D:D=AA232),'FA Write off'!H:H,0,0)</f>
        <v>0</v>
      </c>
      <c r="AJ232" s="117">
        <f>IF(AC232&gt;0,MAX(IF('FA Addition'!$N232="SLM",($AC232-'FA Addition'!$M232)*'FA Addition'!$P232*AI232/365,(AC232-'FA Addition'!$M232)*(1-(1-'FA Addition'!$P232)^(AI232/365))),0),0)</f>
        <v>0</v>
      </c>
      <c r="AL232" s="117">
        <f>MAX(IF(AG232&gt;0,IF('FA Addition'!$N232="SLM",($AE232-'FA Addition'!$M232)*'FA Addition'!$P232*AG232/365,IFERROR(VDB(AE232,AE232*0.05,'FA Addition'!$O232,0,YEARFRAC('FA Addition'!$C232,$P$1-1,3),'FA Addition'!$Q232),FAAddition[[#This Row],[Original Cost (Rs)]]-FAAddition[[#This Row],[Salvage Value]])),0),0)</f>
        <v>29996</v>
      </c>
      <c r="AM232" s="119"/>
      <c r="AN232" s="117">
        <f>MAX(IF(AH232&gt;0,IF('FA Addition'!$N232="SLM",($AF232-'FA Addition'!$M232)*'FA Addition'!$P232*AH232/365,IFERROR(VDB(AF232,AF232*0.05,'FA Addition'!$O232,0,YEARFRAC('FA Addition'!$C232,$L$1,3),'FA Addition'!$Q232),FAAddition[[#This Row],[Original Cost (Rs)]]-FAAddition[[#This Row],[Salvage Value]])),0),0)</f>
        <v>29996</v>
      </c>
      <c r="AO232" s="117">
        <f t="shared" si="18"/>
        <v>0</v>
      </c>
      <c r="AQ232" s="117">
        <f t="shared" si="16"/>
        <v>1579</v>
      </c>
      <c r="AR232" s="120">
        <f t="shared" si="17"/>
        <v>1579</v>
      </c>
      <c r="AS232" s="121"/>
    </row>
    <row r="233" spans="1:45" ht="13.5" x14ac:dyDescent="0.4">
      <c r="A233" s="12">
        <f t="shared" si="19"/>
        <v>230</v>
      </c>
      <c r="B233" s="51" t="s">
        <v>731</v>
      </c>
      <c r="C233" s="54">
        <v>42828</v>
      </c>
      <c r="D233" s="54">
        <v>42828</v>
      </c>
      <c r="E233" s="46" t="s">
        <v>451</v>
      </c>
      <c r="F233" s="51" t="s">
        <v>21</v>
      </c>
      <c r="G233" s="51" t="s">
        <v>732</v>
      </c>
      <c r="H233" s="51" t="s">
        <v>21</v>
      </c>
      <c r="I233" s="56" t="s">
        <v>733</v>
      </c>
      <c r="J233" s="56">
        <v>1</v>
      </c>
      <c r="K233" s="44" t="s">
        <v>734</v>
      </c>
      <c r="L233" s="58">
        <v>37990</v>
      </c>
      <c r="M233" s="50">
        <f>ROUND('FA Addition'!$L233*5%,0.1)</f>
        <v>1900</v>
      </c>
      <c r="N233" s="113" t="str">
        <f>_xlfn.XLOOKUP(_xlfn.CONCAT(E233,B233),'Year Wise Master Dep Approach'!F:F,'Year Wise Master Dep Approach'!D:D)</f>
        <v>WDV</v>
      </c>
      <c r="O233" s="113">
        <f>_xlfn.XLOOKUP(_xlfn.CONCAT(E233,B233),'Year Wise Master Dep Approach'!F:F,'Year Wise Master Dep Approach'!E:E)</f>
        <v>3</v>
      </c>
      <c r="P233" s="114">
        <f>IFERROR(IF('FA Addition'!$N233="WDV",1-('FA Addition'!$M233/'FA Addition'!$L233)^(1/'FA Addition'!$O233),1/'FA Addition'!$O233),0)</f>
        <v>0.63156452839953792</v>
      </c>
      <c r="Q233" s="122">
        <f>'FA Addition'!$P233*'FA Addition'!$O233</f>
        <v>1.8946935851986138</v>
      </c>
      <c r="R233" s="122"/>
      <c r="S233" s="116">
        <f>IF(AND(DATE(20&amp;LEFT(FAAddition[[#This Row],[FY]],2),4,1)&lt;$L$1+1,DATE(20&amp;LEFT(FAAddition[[#This Row],[FY]],2),4,1)&gt;$P$1-1),'FA Addition'!$J233,0)</f>
        <v>0</v>
      </c>
      <c r="U233" s="117">
        <f>S233*'FA Addition'!$L233/'FA Addition'!$J233</f>
        <v>0</v>
      </c>
      <c r="W233" s="116">
        <f>SUMIFS('FA Write off'!D:D,'FA Write off'!A:A,'FA Addition'!$A233,'FA Write off'!C:C,"&lt;"&amp;'FA Addition'!$P$1)</f>
        <v>0</v>
      </c>
      <c r="Y233" s="191">
        <f>IFERROR(W233/'FA Addition'!$J233*'FA Addition'!$L233,0)</f>
        <v>0</v>
      </c>
      <c r="AA233" s="116">
        <f>SUMIFS('FA Write off'!D:D,'FA Write off'!A:A,'FA Addition'!$A233,'FA Write off'!C:C,"&lt;"&amp;'FA Addition'!$L$1+1,'FA Write off'!C:C,"&gt;"&amp;'FA Addition'!$L$1-365)</f>
        <v>0</v>
      </c>
      <c r="AC233" s="118">
        <f>IFERROR(AA233/'FA Addition'!$J233*'FA Addition'!$L233,0)</f>
        <v>0</v>
      </c>
      <c r="AE233" s="117">
        <f>IF(AND('FA Addition'!$D233&lt;$P$1+1,U233=0),'FA Addition'!$L233,0)-Y233</f>
        <v>37990</v>
      </c>
      <c r="AF233" s="117">
        <f t="shared" si="15"/>
        <v>37990</v>
      </c>
      <c r="AG233" s="117">
        <f>MIN(MAX(+$P$1-'FA Addition'!$D233,0),365*'FA Addition'!$O233)</f>
        <v>1095</v>
      </c>
      <c r="AH233" s="117">
        <f>MIN(MAX($L$1-'FA Addition'!$D233+1,0),365*'FA Addition'!$O233)</f>
        <v>1095</v>
      </c>
      <c r="AI233" s="117" cm="1">
        <f t="array" ref="AI233">_xlfn.XLOOKUP(1,('FA Write off'!A:A='FA Addition'!$A233)*('FA Write off'!D:D=AA233),'FA Write off'!H:H,0,0)</f>
        <v>0</v>
      </c>
      <c r="AJ233" s="117">
        <f>IF(AC233&gt;0,MAX(IF('FA Addition'!$N233="SLM",($AC233-'FA Addition'!$M233)*'FA Addition'!$P233*AI233/365,(AC233-'FA Addition'!$M233)*(1-(1-'FA Addition'!$P233)^(AI233/365))),0),0)</f>
        <v>0</v>
      </c>
      <c r="AL233" s="117">
        <f>MAX(IF(AG233&gt;0,IF('FA Addition'!$N233="SLM",($AE233-'FA Addition'!$M233)*'FA Addition'!$P233*AG233/365,IFERROR(VDB(AE233,AE233*0.05,'FA Addition'!$O233,0,YEARFRAC('FA Addition'!$C233,$P$1-1,3),'FA Addition'!$Q233),FAAddition[[#This Row],[Original Cost (Rs)]]-FAAddition[[#This Row],[Salvage Value]])),0),0)</f>
        <v>36090</v>
      </c>
      <c r="AM233" s="119"/>
      <c r="AN233" s="117">
        <f>MAX(IF(AH233&gt;0,IF('FA Addition'!$N233="SLM",($AF233-'FA Addition'!$M233)*'FA Addition'!$P233*AH233/365,IFERROR(VDB(AF233,AF233*0.05,'FA Addition'!$O233,0,YEARFRAC('FA Addition'!$C233,$L$1,3),'FA Addition'!$Q233),FAAddition[[#This Row],[Original Cost (Rs)]]-FAAddition[[#This Row],[Salvage Value]])),0),0)</f>
        <v>36090</v>
      </c>
      <c r="AO233" s="117">
        <f t="shared" si="18"/>
        <v>0</v>
      </c>
      <c r="AQ233" s="117">
        <f t="shared" si="16"/>
        <v>1900</v>
      </c>
      <c r="AR233" s="120">
        <f t="shared" si="17"/>
        <v>1900</v>
      </c>
      <c r="AS233" s="121"/>
    </row>
    <row r="234" spans="1:45" ht="13.5" x14ac:dyDescent="0.4">
      <c r="A234" s="12">
        <f t="shared" si="19"/>
        <v>231</v>
      </c>
      <c r="B234" s="51" t="s">
        <v>731</v>
      </c>
      <c r="C234" s="54">
        <v>42828</v>
      </c>
      <c r="D234" s="54">
        <v>42828</v>
      </c>
      <c r="E234" s="46" t="s">
        <v>451</v>
      </c>
      <c r="F234" s="51" t="s">
        <v>21</v>
      </c>
      <c r="G234" s="51" t="s">
        <v>735</v>
      </c>
      <c r="H234" s="51" t="s">
        <v>21</v>
      </c>
      <c r="I234" s="56" t="s">
        <v>736</v>
      </c>
      <c r="J234" s="56">
        <v>1</v>
      </c>
      <c r="K234" s="44" t="s">
        <v>737</v>
      </c>
      <c r="L234" s="58">
        <v>18377</v>
      </c>
      <c r="M234" s="50">
        <f>ROUND('FA Addition'!$L234*5%,0.1)</f>
        <v>919</v>
      </c>
      <c r="N234" s="113" t="str">
        <f>_xlfn.XLOOKUP(_xlfn.CONCAT(E234,B234),'Year Wise Master Dep Approach'!F:F,'Year Wise Master Dep Approach'!D:D)</f>
        <v>WDV</v>
      </c>
      <c r="O234" s="113">
        <f>_xlfn.XLOOKUP(_xlfn.CONCAT(E234,B234),'Year Wise Master Dep Approach'!F:F,'Year Wise Master Dep Approach'!E:E)</f>
        <v>3</v>
      </c>
      <c r="P234" s="114">
        <f>IFERROR(IF('FA Addition'!$N234="WDV",1-('FA Addition'!$M234/'FA Addition'!$L234)^(1/'FA Addition'!$O234),1/'FA Addition'!$O234),0)</f>
        <v>0.63157680425770524</v>
      </c>
      <c r="Q234" s="122">
        <f>'FA Addition'!$P234*'FA Addition'!$O234</f>
        <v>1.8947304127731157</v>
      </c>
      <c r="R234" s="122"/>
      <c r="S234" s="116">
        <f>IF(AND(DATE(20&amp;LEFT(FAAddition[[#This Row],[FY]],2),4,1)&lt;$L$1+1,DATE(20&amp;LEFT(FAAddition[[#This Row],[FY]],2),4,1)&gt;$P$1-1),'FA Addition'!$J234,0)</f>
        <v>0</v>
      </c>
      <c r="U234" s="117">
        <f>S234*'FA Addition'!$L234/'FA Addition'!$J234</f>
        <v>0</v>
      </c>
      <c r="W234" s="116">
        <f>SUMIFS('FA Write off'!D:D,'FA Write off'!A:A,'FA Addition'!$A234,'FA Write off'!C:C,"&lt;"&amp;'FA Addition'!$P$1)</f>
        <v>0</v>
      </c>
      <c r="Y234" s="191">
        <f>IFERROR(W234/'FA Addition'!$J234*'FA Addition'!$L234,0)</f>
        <v>0</v>
      </c>
      <c r="AA234" s="116">
        <f>SUMIFS('FA Write off'!D:D,'FA Write off'!A:A,'FA Addition'!$A234,'FA Write off'!C:C,"&lt;"&amp;'FA Addition'!$L$1+1,'FA Write off'!C:C,"&gt;"&amp;'FA Addition'!$L$1-365)</f>
        <v>0</v>
      </c>
      <c r="AC234" s="118">
        <f>IFERROR(AA234/'FA Addition'!$J234*'FA Addition'!$L234,0)</f>
        <v>0</v>
      </c>
      <c r="AE234" s="117">
        <f>IF(AND('FA Addition'!$D234&lt;$P$1+1,U234=0),'FA Addition'!$L234,0)-Y234</f>
        <v>18377</v>
      </c>
      <c r="AF234" s="117">
        <f t="shared" si="15"/>
        <v>18377</v>
      </c>
      <c r="AG234" s="117">
        <f>MIN(MAX(+$P$1-'FA Addition'!$D234,0),365*'FA Addition'!$O234)</f>
        <v>1095</v>
      </c>
      <c r="AH234" s="117">
        <f>MIN(MAX($L$1-'FA Addition'!$D234+1,0),365*'FA Addition'!$O234)</f>
        <v>1095</v>
      </c>
      <c r="AI234" s="117" cm="1">
        <f t="array" ref="AI234">_xlfn.XLOOKUP(1,('FA Write off'!A:A='FA Addition'!$A234)*('FA Write off'!D:D=AA234),'FA Write off'!H:H,0,0)</f>
        <v>0</v>
      </c>
      <c r="AJ234" s="117">
        <f>IF(AC234&gt;0,MAX(IF('FA Addition'!$N234="SLM",($AC234-'FA Addition'!$M234)*'FA Addition'!$P234*AI234/365,(AC234-'FA Addition'!$M234)*(1-(1-'FA Addition'!$P234)^(AI234/365))),0),0)</f>
        <v>0</v>
      </c>
      <c r="AL234" s="117">
        <f>MAX(IF(AG234&gt;0,IF('FA Addition'!$N234="SLM",($AE234-'FA Addition'!$M234)*'FA Addition'!$P234*AG234/365,IFERROR(VDB(AE234,AE234*0.05,'FA Addition'!$O234,0,YEARFRAC('FA Addition'!$C234,$P$1-1,3),'FA Addition'!$Q234),FAAddition[[#This Row],[Original Cost (Rs)]]-FAAddition[[#This Row],[Salvage Value]])),0),0)</f>
        <v>17458</v>
      </c>
      <c r="AM234" s="119"/>
      <c r="AN234" s="117">
        <f>MAX(IF(AH234&gt;0,IF('FA Addition'!$N234="SLM",($AF234-'FA Addition'!$M234)*'FA Addition'!$P234*AH234/365,IFERROR(VDB(AF234,AF234*0.05,'FA Addition'!$O234,0,YEARFRAC('FA Addition'!$C234,$L$1,3),'FA Addition'!$Q234),FAAddition[[#This Row],[Original Cost (Rs)]]-FAAddition[[#This Row],[Salvage Value]])),0),0)</f>
        <v>17458</v>
      </c>
      <c r="AO234" s="117">
        <f t="shared" si="18"/>
        <v>0</v>
      </c>
      <c r="AQ234" s="117">
        <f t="shared" si="16"/>
        <v>919</v>
      </c>
      <c r="AR234" s="120">
        <f t="shared" si="17"/>
        <v>919</v>
      </c>
      <c r="AS234" s="121"/>
    </row>
    <row r="235" spans="1:45" ht="13.5" x14ac:dyDescent="0.4">
      <c r="A235" s="12">
        <f t="shared" si="19"/>
        <v>232</v>
      </c>
      <c r="B235" s="51" t="s">
        <v>731</v>
      </c>
      <c r="C235" s="54">
        <v>42829</v>
      </c>
      <c r="D235" s="54">
        <v>42829</v>
      </c>
      <c r="E235" s="46" t="s">
        <v>451</v>
      </c>
      <c r="F235" s="51" t="s">
        <v>21</v>
      </c>
      <c r="G235" s="51" t="s">
        <v>738</v>
      </c>
      <c r="H235" s="51" t="s">
        <v>21</v>
      </c>
      <c r="I235" s="56" t="s">
        <v>739</v>
      </c>
      <c r="J235" s="56">
        <v>1</v>
      </c>
      <c r="K235" s="44" t="s">
        <v>740</v>
      </c>
      <c r="L235" s="58">
        <v>50548</v>
      </c>
      <c r="M235" s="50">
        <f>ROUND('FA Addition'!$L235*5%,0.1)</f>
        <v>2527</v>
      </c>
      <c r="N235" s="113" t="str">
        <f>_xlfn.XLOOKUP(_xlfn.CONCAT(E235,B235),'Year Wise Master Dep Approach'!F:F,'Year Wise Master Dep Approach'!D:D)</f>
        <v>WDV</v>
      </c>
      <c r="O235" s="113">
        <f>_xlfn.XLOOKUP(_xlfn.CONCAT(E235,B235),'Year Wise Master Dep Approach'!F:F,'Year Wise Master Dep Approach'!E:E)</f>
        <v>3</v>
      </c>
      <c r="P235" s="114">
        <f>IFERROR(IF('FA Addition'!$N235="WDV",1-('FA Addition'!$M235/'FA Addition'!$L235)^(1/'FA Addition'!$O235),1/'FA Addition'!$O235),0)</f>
        <v>0.63161628632000988</v>
      </c>
      <c r="Q235" s="122">
        <f>'FA Addition'!$P235*'FA Addition'!$O235</f>
        <v>1.8948488589600296</v>
      </c>
      <c r="R235" s="122"/>
      <c r="S235" s="116">
        <f>IF(AND(DATE(20&amp;LEFT(FAAddition[[#This Row],[FY]],2),4,1)&lt;$L$1+1,DATE(20&amp;LEFT(FAAddition[[#This Row],[FY]],2),4,1)&gt;$P$1-1),'FA Addition'!$J235,0)</f>
        <v>0</v>
      </c>
      <c r="U235" s="117">
        <f>S235*'FA Addition'!$L235/'FA Addition'!$J235</f>
        <v>0</v>
      </c>
      <c r="W235" s="116">
        <f>SUMIFS('FA Write off'!D:D,'FA Write off'!A:A,'FA Addition'!$A235,'FA Write off'!C:C,"&lt;"&amp;'FA Addition'!$P$1)</f>
        <v>0</v>
      </c>
      <c r="Y235" s="191">
        <f>IFERROR(W235/'FA Addition'!$J235*'FA Addition'!$L235,0)</f>
        <v>0</v>
      </c>
      <c r="AA235" s="116">
        <f>SUMIFS('FA Write off'!D:D,'FA Write off'!A:A,'FA Addition'!$A235,'FA Write off'!C:C,"&lt;"&amp;'FA Addition'!$L$1+1,'FA Write off'!C:C,"&gt;"&amp;'FA Addition'!$L$1-365)</f>
        <v>0</v>
      </c>
      <c r="AC235" s="118">
        <f>IFERROR(AA235/'FA Addition'!$J235*'FA Addition'!$L235,0)</f>
        <v>0</v>
      </c>
      <c r="AE235" s="117">
        <f>IF(AND('FA Addition'!$D235&lt;$P$1+1,U235=0),'FA Addition'!$L235,0)-Y235</f>
        <v>50548</v>
      </c>
      <c r="AF235" s="117">
        <f t="shared" si="15"/>
        <v>50548</v>
      </c>
      <c r="AG235" s="117">
        <f>MIN(MAX(+$P$1-'FA Addition'!$D235,0),365*'FA Addition'!$O235)</f>
        <v>1095</v>
      </c>
      <c r="AH235" s="117">
        <f>MIN(MAX($L$1-'FA Addition'!$D235+1,0),365*'FA Addition'!$O235)</f>
        <v>1095</v>
      </c>
      <c r="AI235" s="117" cm="1">
        <f t="array" ref="AI235">_xlfn.XLOOKUP(1,('FA Write off'!A:A='FA Addition'!$A235)*('FA Write off'!D:D=AA235),'FA Write off'!H:H,0,0)</f>
        <v>0</v>
      </c>
      <c r="AJ235" s="117">
        <f>IF(AC235&gt;0,MAX(IF('FA Addition'!$N235="SLM",($AC235-'FA Addition'!$M235)*'FA Addition'!$P235*AI235/365,(AC235-'FA Addition'!$M235)*(1-(1-'FA Addition'!$P235)^(AI235/365))),0),0)</f>
        <v>0</v>
      </c>
      <c r="AL235" s="117">
        <f>MAX(IF(AG235&gt;0,IF('FA Addition'!$N235="SLM",($AE235-'FA Addition'!$M235)*'FA Addition'!$P235*AG235/365,IFERROR(VDB(AE235,AE235*0.05,'FA Addition'!$O235,0,YEARFRAC('FA Addition'!$C235,$P$1-1,3),'FA Addition'!$Q235),FAAddition[[#This Row],[Original Cost (Rs)]]-FAAddition[[#This Row],[Salvage Value]])),0),0)</f>
        <v>48021</v>
      </c>
      <c r="AM235" s="119"/>
      <c r="AN235" s="117">
        <f>MAX(IF(AH235&gt;0,IF('FA Addition'!$N235="SLM",($AF235-'FA Addition'!$M235)*'FA Addition'!$P235*AH235/365,IFERROR(VDB(AF235,AF235*0.05,'FA Addition'!$O235,0,YEARFRAC('FA Addition'!$C235,$L$1,3),'FA Addition'!$Q235),FAAddition[[#This Row],[Original Cost (Rs)]]-FAAddition[[#This Row],[Salvage Value]])),0),0)</f>
        <v>48021</v>
      </c>
      <c r="AO235" s="117">
        <f t="shared" si="18"/>
        <v>0</v>
      </c>
      <c r="AQ235" s="117">
        <f t="shared" si="16"/>
        <v>2527</v>
      </c>
      <c r="AR235" s="120">
        <f t="shared" si="17"/>
        <v>2527</v>
      </c>
      <c r="AS235" s="121"/>
    </row>
    <row r="236" spans="1:45" ht="13.5" x14ac:dyDescent="0.4">
      <c r="A236" s="12">
        <f t="shared" si="19"/>
        <v>233</v>
      </c>
      <c r="B236" s="51" t="s">
        <v>731</v>
      </c>
      <c r="C236" s="54">
        <v>42840</v>
      </c>
      <c r="D236" s="54">
        <v>42840</v>
      </c>
      <c r="E236" s="46" t="s">
        <v>32</v>
      </c>
      <c r="F236" s="51" t="s">
        <v>32</v>
      </c>
      <c r="G236" s="51" t="s">
        <v>433</v>
      </c>
      <c r="H236" s="51" t="s">
        <v>32</v>
      </c>
      <c r="I236" s="48" t="s">
        <v>741</v>
      </c>
      <c r="J236" s="56">
        <v>200</v>
      </c>
      <c r="K236" s="51" t="s">
        <v>567</v>
      </c>
      <c r="L236" s="58">
        <v>476200</v>
      </c>
      <c r="M236" s="50">
        <f>ROUND('FA Addition'!$L236*5%,0.1)</f>
        <v>23810</v>
      </c>
      <c r="N236" s="113" t="str">
        <f>_xlfn.XLOOKUP(_xlfn.CONCAT(E236,B236),'Year Wise Master Dep Approach'!F:F,'Year Wise Master Dep Approach'!D:D)</f>
        <v>WDV</v>
      </c>
      <c r="O236" s="113">
        <f>_xlfn.XLOOKUP(_xlfn.CONCAT(E236,B236),'Year Wise Master Dep Approach'!F:F,'Year Wise Master Dep Approach'!E:E)</f>
        <v>3</v>
      </c>
      <c r="P236" s="114">
        <f>IFERROR(IF('FA Addition'!$N236="WDV",1-('FA Addition'!$M236/'FA Addition'!$L236)^(1/'FA Addition'!$O236),1/'FA Addition'!$O236),0)</f>
        <v>0.63159685013596123</v>
      </c>
      <c r="Q236" s="122">
        <f>'FA Addition'!$P236*'FA Addition'!$O236</f>
        <v>1.8947905504078837</v>
      </c>
      <c r="R236" s="122"/>
      <c r="S236" s="116">
        <f>IF(AND(DATE(20&amp;LEFT(FAAddition[[#This Row],[FY]],2),4,1)&lt;$L$1+1,DATE(20&amp;LEFT(FAAddition[[#This Row],[FY]],2),4,1)&gt;$P$1-1),'FA Addition'!$J236,0)</f>
        <v>0</v>
      </c>
      <c r="U236" s="117">
        <f>S236*'FA Addition'!$L236/'FA Addition'!$J236</f>
        <v>0</v>
      </c>
      <c r="W236" s="116">
        <f>SUMIFS('FA Write off'!D:D,'FA Write off'!A:A,'FA Addition'!$A236,'FA Write off'!C:C,"&lt;"&amp;'FA Addition'!$P$1)</f>
        <v>15</v>
      </c>
      <c r="Y236" s="191">
        <f>IFERROR(W236/'FA Addition'!$J236*'FA Addition'!$L236,0)</f>
        <v>35715</v>
      </c>
      <c r="AA236" s="116">
        <f>SUMIFS('FA Write off'!D:D,'FA Write off'!A:A,'FA Addition'!$A236,'FA Write off'!C:C,"&lt;"&amp;'FA Addition'!$L$1+1,'FA Write off'!C:C,"&gt;"&amp;'FA Addition'!$L$1-365)</f>
        <v>0</v>
      </c>
      <c r="AC236" s="191">
        <f>IFERROR(AA236/'FA Addition'!$J236*'FA Addition'!$L236,0)</f>
        <v>0</v>
      </c>
      <c r="AE236" s="117">
        <f>IF(AND('FA Addition'!$D236&lt;$P$1+1,U236=0),'FA Addition'!$L236,0)-Y236</f>
        <v>440485</v>
      </c>
      <c r="AF236" s="117">
        <f t="shared" si="15"/>
        <v>440485</v>
      </c>
      <c r="AG236" s="117">
        <f>MIN(MAX(+$P$1-'FA Addition'!$D236,0),365*'FA Addition'!$O236)</f>
        <v>1095</v>
      </c>
      <c r="AH236" s="117">
        <f>MIN(MAX($L$1-'FA Addition'!$D236+1,0),365*'FA Addition'!$O236)</f>
        <v>1095</v>
      </c>
      <c r="AI236" s="117" cm="1">
        <f t="array" ref="AI236">_xlfn.XLOOKUP(1,('FA Write off'!A:A='FA Addition'!$A236)*('FA Write off'!D:D=AA236),'FA Write off'!H:H,0,0)</f>
        <v>0</v>
      </c>
      <c r="AJ236" s="117">
        <f>IF(AC236&gt;0,MAX(IF('FA Addition'!$N236="SLM",($AC236-'FA Addition'!$M236)*'FA Addition'!$P236*AI236/365,(AC236-'FA Addition'!$M236)*(1-(1-'FA Addition'!$P236)^(AI236/365))),0),0)</f>
        <v>0</v>
      </c>
      <c r="AL236" s="117">
        <f>MAX(IF(AG236&gt;0,IF('FA Addition'!$N236="SLM",($AE236-'FA Addition'!$M236)*'FA Addition'!$P236*AG236/365,IFERROR(VDB(AE236,AE236*0.05,'FA Addition'!$O236,0,YEARFRAC('FA Addition'!$C236,$P$1-1,3),'FA Addition'!$Q236),FAAddition[[#This Row],[Original Cost (Rs)]]-FAAddition[[#This Row],[Salvage Value]])),0),0)</f>
        <v>452390</v>
      </c>
      <c r="AM236" s="119"/>
      <c r="AN236" s="117">
        <f>MAX(IF(AH236&gt;0,IF('FA Addition'!$N236="SLM",($AF236-'FA Addition'!$M236)*'FA Addition'!$P236*AH236/365,IFERROR(VDB(AF236,AF236*0.05,'FA Addition'!$O236,0,YEARFRAC('FA Addition'!$C236,$L$1,3),'FA Addition'!$Q236),FAAddition[[#This Row],[Original Cost (Rs)]]-FAAddition[[#This Row],[Salvage Value]])),0),0)</f>
        <v>452390</v>
      </c>
      <c r="AO236" s="117">
        <f t="shared" si="18"/>
        <v>0</v>
      </c>
      <c r="AQ236" s="117">
        <f t="shared" si="16"/>
        <v>-11905</v>
      </c>
      <c r="AR236" s="120">
        <f t="shared" si="17"/>
        <v>-11905</v>
      </c>
      <c r="AS236" s="121"/>
    </row>
    <row r="237" spans="1:45" ht="13.5" x14ac:dyDescent="0.4">
      <c r="A237" s="12">
        <f t="shared" si="19"/>
        <v>234</v>
      </c>
      <c r="B237" s="51" t="s">
        <v>731</v>
      </c>
      <c r="C237" s="54">
        <v>42845</v>
      </c>
      <c r="D237" s="54">
        <v>42845</v>
      </c>
      <c r="E237" s="46" t="s">
        <v>32</v>
      </c>
      <c r="F237" s="51" t="s">
        <v>32</v>
      </c>
      <c r="G237" s="51" t="s">
        <v>742</v>
      </c>
      <c r="H237" s="51" t="s">
        <v>32</v>
      </c>
      <c r="I237" s="48"/>
      <c r="J237" s="56">
        <v>1</v>
      </c>
      <c r="K237" s="51"/>
      <c r="L237" s="58">
        <v>10000</v>
      </c>
      <c r="M237" s="50">
        <f>ROUND('FA Addition'!$L237*5%,0.1)</f>
        <v>500</v>
      </c>
      <c r="N237" s="113" t="str">
        <f>_xlfn.XLOOKUP(_xlfn.CONCAT(E237,B237),'Year Wise Master Dep Approach'!F:F,'Year Wise Master Dep Approach'!D:D)</f>
        <v>WDV</v>
      </c>
      <c r="O237" s="113">
        <f>_xlfn.XLOOKUP(_xlfn.CONCAT(E237,B237),'Year Wise Master Dep Approach'!F:F,'Year Wise Master Dep Approach'!E:E)</f>
        <v>3</v>
      </c>
      <c r="P237" s="114">
        <f>IFERROR(IF('FA Addition'!$N237="WDV",1-('FA Addition'!$M237/'FA Addition'!$L237)^(1/'FA Addition'!$O237),1/'FA Addition'!$O237),0)</f>
        <v>0.63159685013596123</v>
      </c>
      <c r="Q237" s="122">
        <f>'FA Addition'!$P237*'FA Addition'!$O237</f>
        <v>1.8947905504078837</v>
      </c>
      <c r="R237" s="122"/>
      <c r="S237" s="116">
        <f>IF(AND(DATE(20&amp;LEFT(FAAddition[[#This Row],[FY]],2),4,1)&lt;$L$1+1,DATE(20&amp;LEFT(FAAddition[[#This Row],[FY]],2),4,1)&gt;$P$1-1),'FA Addition'!$J237,0)</f>
        <v>0</v>
      </c>
      <c r="U237" s="117">
        <f>S237*'FA Addition'!$L237/'FA Addition'!$J237</f>
        <v>0</v>
      </c>
      <c r="W237" s="116">
        <f>SUMIFS('FA Write off'!D:D,'FA Write off'!A:A,'FA Addition'!$A237,'FA Write off'!C:C,"&lt;"&amp;'FA Addition'!$P$1)</f>
        <v>0</v>
      </c>
      <c r="Y237" s="191">
        <f>IFERROR(W237/'FA Addition'!$J237*'FA Addition'!$L237,0)</f>
        <v>0</v>
      </c>
      <c r="AA237" s="116">
        <f>SUMIFS('FA Write off'!D:D,'FA Write off'!A:A,'FA Addition'!$A237,'FA Write off'!C:C,"&lt;"&amp;'FA Addition'!$L$1+1,'FA Write off'!C:C,"&gt;"&amp;'FA Addition'!$L$1-365)</f>
        <v>0</v>
      </c>
      <c r="AC237" s="118">
        <f>IFERROR(AA237/'FA Addition'!$J237*'FA Addition'!$L237,0)</f>
        <v>0</v>
      </c>
      <c r="AE237" s="117">
        <f>IF(AND('FA Addition'!$D237&lt;$P$1+1,U237=0),'FA Addition'!$L237,0)-Y237</f>
        <v>10000</v>
      </c>
      <c r="AF237" s="117">
        <f t="shared" si="15"/>
        <v>10000</v>
      </c>
      <c r="AG237" s="117">
        <f>MIN(MAX(+$P$1-'FA Addition'!$D237,0),365*'FA Addition'!$O237)</f>
        <v>1095</v>
      </c>
      <c r="AH237" s="117">
        <f>MIN(MAX($L$1-'FA Addition'!$D237+1,0),365*'FA Addition'!$O237)</f>
        <v>1095</v>
      </c>
      <c r="AI237" s="117" cm="1">
        <f t="array" ref="AI237">_xlfn.XLOOKUP(1,('FA Write off'!A:A='FA Addition'!$A237)*('FA Write off'!D:D=AA237),'FA Write off'!H:H,0,0)</f>
        <v>0</v>
      </c>
      <c r="AJ237" s="117">
        <f>IF(AC237&gt;0,MAX(IF('FA Addition'!$N237="SLM",($AC237-'FA Addition'!$M237)*'FA Addition'!$P237*AI237/365,(AC237-'FA Addition'!$M237)*(1-(1-'FA Addition'!$P237)^(AI237/365))),0),0)</f>
        <v>0</v>
      </c>
      <c r="AL237" s="117">
        <f>MAX(IF(AG237&gt;0,IF('FA Addition'!$N237="SLM",($AE237-'FA Addition'!$M237)*'FA Addition'!$P237*AG237/365,IFERROR(VDB(AE237,AE237*0.05,'FA Addition'!$O237,0,YEARFRAC('FA Addition'!$C237,$P$1-1,3),'FA Addition'!$Q237),FAAddition[[#This Row],[Original Cost (Rs)]]-FAAddition[[#This Row],[Salvage Value]])),0),0)</f>
        <v>9500</v>
      </c>
      <c r="AM237" s="119"/>
      <c r="AN237" s="117">
        <f>MAX(IF(AH237&gt;0,IF('FA Addition'!$N237="SLM",($AF237-'FA Addition'!$M237)*'FA Addition'!$P237*AH237/365,IFERROR(VDB(AF237,AF237*0.05,'FA Addition'!$O237,0,YEARFRAC('FA Addition'!$C237,$L$1,3),'FA Addition'!$Q237),FAAddition[[#This Row],[Original Cost (Rs)]]-FAAddition[[#This Row],[Salvage Value]])),0),0)</f>
        <v>9500</v>
      </c>
      <c r="AO237" s="117">
        <f t="shared" si="18"/>
        <v>0</v>
      </c>
      <c r="AQ237" s="117">
        <f t="shared" si="16"/>
        <v>500</v>
      </c>
      <c r="AR237" s="120">
        <f t="shared" si="17"/>
        <v>500</v>
      </c>
      <c r="AS237" s="121"/>
    </row>
    <row r="238" spans="1:45" ht="13.5" x14ac:dyDescent="0.4">
      <c r="A238" s="12">
        <f t="shared" si="19"/>
        <v>235</v>
      </c>
      <c r="B238" s="51" t="s">
        <v>731</v>
      </c>
      <c r="C238" s="54">
        <v>42853</v>
      </c>
      <c r="D238" s="54">
        <v>42853</v>
      </c>
      <c r="E238" s="46" t="s">
        <v>32</v>
      </c>
      <c r="F238" s="51" t="s">
        <v>32</v>
      </c>
      <c r="G238" s="51" t="s">
        <v>743</v>
      </c>
      <c r="H238" s="51" t="s">
        <v>32</v>
      </c>
      <c r="I238" s="48"/>
      <c r="J238" s="56">
        <v>1</v>
      </c>
      <c r="K238" s="51" t="s">
        <v>744</v>
      </c>
      <c r="L238" s="58">
        <v>23180</v>
      </c>
      <c r="M238" s="50">
        <f>ROUND('FA Addition'!$L238*5%,0.1)</f>
        <v>1159</v>
      </c>
      <c r="N238" s="113" t="str">
        <f>_xlfn.XLOOKUP(_xlfn.CONCAT(E238,B238),'Year Wise Master Dep Approach'!F:F,'Year Wise Master Dep Approach'!D:D)</f>
        <v>WDV</v>
      </c>
      <c r="O238" s="113">
        <f>_xlfn.XLOOKUP(_xlfn.CONCAT(E238,B238),'Year Wise Master Dep Approach'!F:F,'Year Wise Master Dep Approach'!E:E)</f>
        <v>3</v>
      </c>
      <c r="P238" s="114">
        <f>IFERROR(IF('FA Addition'!$N238="WDV",1-('FA Addition'!$M238/'FA Addition'!$L238)^(1/'FA Addition'!$O238),1/'FA Addition'!$O238),0)</f>
        <v>0.63159685013596123</v>
      </c>
      <c r="Q238" s="122">
        <f>'FA Addition'!$P238*'FA Addition'!$O238</f>
        <v>1.8947905504078837</v>
      </c>
      <c r="R238" s="122"/>
      <c r="S238" s="116">
        <f>IF(AND(DATE(20&amp;LEFT(FAAddition[[#This Row],[FY]],2),4,1)&lt;$L$1+1,DATE(20&amp;LEFT(FAAddition[[#This Row],[FY]],2),4,1)&gt;$P$1-1),'FA Addition'!$J238,0)</f>
        <v>0</v>
      </c>
      <c r="U238" s="117">
        <f>S238*'FA Addition'!$L238/'FA Addition'!$J238</f>
        <v>0</v>
      </c>
      <c r="W238" s="116">
        <f>SUMIFS('FA Write off'!D:D,'FA Write off'!A:A,'FA Addition'!$A238,'FA Write off'!C:C,"&lt;"&amp;'FA Addition'!$P$1)</f>
        <v>0</v>
      </c>
      <c r="Y238" s="191">
        <f>IFERROR(W238/'FA Addition'!$J238*'FA Addition'!$L238,0)</f>
        <v>0</v>
      </c>
      <c r="AA238" s="116">
        <f>SUMIFS('FA Write off'!D:D,'FA Write off'!A:A,'FA Addition'!$A238,'FA Write off'!C:C,"&lt;"&amp;'FA Addition'!$L$1+1,'FA Write off'!C:C,"&gt;"&amp;'FA Addition'!$L$1-365)</f>
        <v>0</v>
      </c>
      <c r="AC238" s="118">
        <f>IFERROR(AA238/'FA Addition'!$J238*'FA Addition'!$L238,0)</f>
        <v>0</v>
      </c>
      <c r="AE238" s="117">
        <f>IF(AND('FA Addition'!$D238&lt;$P$1+1,U238=0),'FA Addition'!$L238,0)-Y238</f>
        <v>23180</v>
      </c>
      <c r="AF238" s="117">
        <f t="shared" si="15"/>
        <v>23180</v>
      </c>
      <c r="AG238" s="117">
        <f>MIN(MAX(+$P$1-'FA Addition'!$D238,0),365*'FA Addition'!$O238)</f>
        <v>1095</v>
      </c>
      <c r="AH238" s="117">
        <f>MIN(MAX($L$1-'FA Addition'!$D238+1,0),365*'FA Addition'!$O238)</f>
        <v>1095</v>
      </c>
      <c r="AI238" s="117" cm="1">
        <f t="array" ref="AI238">_xlfn.XLOOKUP(1,('FA Write off'!A:A='FA Addition'!$A238)*('FA Write off'!D:D=AA238),'FA Write off'!H:H,0,0)</f>
        <v>0</v>
      </c>
      <c r="AJ238" s="117">
        <f>IF(AC238&gt;0,MAX(IF('FA Addition'!$N238="SLM",($AC238-'FA Addition'!$M238)*'FA Addition'!$P238*AI238/365,(AC238-'FA Addition'!$M238)*(1-(1-'FA Addition'!$P238)^(AI238/365))),0),0)</f>
        <v>0</v>
      </c>
      <c r="AL238" s="117">
        <f>MAX(IF(AG238&gt;0,IF('FA Addition'!$N238="SLM",($AE238-'FA Addition'!$M238)*'FA Addition'!$P238*AG238/365,IFERROR(VDB(AE238,AE238*0.05,'FA Addition'!$O238,0,YEARFRAC('FA Addition'!$C238,$P$1-1,3),'FA Addition'!$Q238),FAAddition[[#This Row],[Original Cost (Rs)]]-FAAddition[[#This Row],[Salvage Value]])),0),0)</f>
        <v>22021</v>
      </c>
      <c r="AM238" s="119"/>
      <c r="AN238" s="117">
        <f>MAX(IF(AH238&gt;0,IF('FA Addition'!$N238="SLM",($AF238-'FA Addition'!$M238)*'FA Addition'!$P238*AH238/365,IFERROR(VDB(AF238,AF238*0.05,'FA Addition'!$O238,0,YEARFRAC('FA Addition'!$C238,$L$1,3),'FA Addition'!$Q238),FAAddition[[#This Row],[Original Cost (Rs)]]-FAAddition[[#This Row],[Salvage Value]])),0),0)</f>
        <v>22021</v>
      </c>
      <c r="AO238" s="117">
        <f t="shared" si="18"/>
        <v>0</v>
      </c>
      <c r="AQ238" s="117">
        <f t="shared" si="16"/>
        <v>1159</v>
      </c>
      <c r="AR238" s="120">
        <f t="shared" si="17"/>
        <v>1159</v>
      </c>
      <c r="AS238" s="121"/>
    </row>
    <row r="239" spans="1:45" ht="13.5" x14ac:dyDescent="0.4">
      <c r="A239" s="12">
        <f t="shared" si="19"/>
        <v>236</v>
      </c>
      <c r="B239" s="51" t="s">
        <v>731</v>
      </c>
      <c r="C239" s="54">
        <v>42878</v>
      </c>
      <c r="D239" s="54">
        <v>42878</v>
      </c>
      <c r="E239" s="46" t="s">
        <v>451</v>
      </c>
      <c r="F239" s="51" t="s">
        <v>21</v>
      </c>
      <c r="G239" s="51" t="s">
        <v>745</v>
      </c>
      <c r="H239" s="51" t="s">
        <v>21</v>
      </c>
      <c r="I239" s="51" t="s">
        <v>746</v>
      </c>
      <c r="J239" s="56">
        <v>1</v>
      </c>
      <c r="K239" s="51" t="s">
        <v>737</v>
      </c>
      <c r="L239" s="58">
        <v>19850</v>
      </c>
      <c r="M239" s="50">
        <f>ROUND('FA Addition'!$L239*5%,0.1)</f>
        <v>993</v>
      </c>
      <c r="N239" s="113" t="str">
        <f>_xlfn.XLOOKUP(_xlfn.CONCAT(E239,B239),'Year Wise Master Dep Approach'!F:F,'Year Wise Master Dep Approach'!D:D)</f>
        <v>WDV</v>
      </c>
      <c r="O239" s="113">
        <f>_xlfn.XLOOKUP(_xlfn.CONCAT(E239,B239),'Year Wise Master Dep Approach'!F:F,'Year Wise Master Dep Approach'!E:E)</f>
        <v>3</v>
      </c>
      <c r="P239" s="114">
        <f>IFERROR(IF('FA Addition'!$N239="WDV",1-('FA Addition'!$M239/'FA Addition'!$L239)^(1/'FA Addition'!$O239),1/'FA Addition'!$O239),0)</f>
        <v>0.63153499601292795</v>
      </c>
      <c r="Q239" s="122">
        <f>'FA Addition'!$P239*'FA Addition'!$O239</f>
        <v>1.8946049880387839</v>
      </c>
      <c r="R239" s="122"/>
      <c r="S239" s="116">
        <f>IF(AND(DATE(20&amp;LEFT(FAAddition[[#This Row],[FY]],2),4,1)&lt;$L$1+1,DATE(20&amp;LEFT(FAAddition[[#This Row],[FY]],2),4,1)&gt;$P$1-1),'FA Addition'!$J239,0)</f>
        <v>0</v>
      </c>
      <c r="U239" s="117">
        <f>S239*'FA Addition'!$L239/'FA Addition'!$J239</f>
        <v>0</v>
      </c>
      <c r="W239" s="116">
        <f>SUMIFS('FA Write off'!D:D,'FA Write off'!A:A,'FA Addition'!$A239,'FA Write off'!C:C,"&lt;"&amp;'FA Addition'!$P$1)</f>
        <v>0</v>
      </c>
      <c r="Y239" s="191">
        <f>IFERROR(W239/'FA Addition'!$J239*'FA Addition'!$L239,0)</f>
        <v>0</v>
      </c>
      <c r="AA239" s="116">
        <f>SUMIFS('FA Write off'!D:D,'FA Write off'!A:A,'FA Addition'!$A239,'FA Write off'!C:C,"&lt;"&amp;'FA Addition'!$L$1+1,'FA Write off'!C:C,"&gt;"&amp;'FA Addition'!$L$1-365)</f>
        <v>0</v>
      </c>
      <c r="AC239" s="118">
        <f>IFERROR(AA239/'FA Addition'!$J239*'FA Addition'!$L239,0)</f>
        <v>0</v>
      </c>
      <c r="AE239" s="117">
        <f>IF(AND('FA Addition'!$D239&lt;$P$1+1,U239=0),'FA Addition'!$L239,0)-Y239</f>
        <v>19850</v>
      </c>
      <c r="AF239" s="117">
        <f t="shared" si="15"/>
        <v>19850</v>
      </c>
      <c r="AG239" s="117">
        <f>MIN(MAX(+$P$1-'FA Addition'!$D239,0),365*'FA Addition'!$O239)</f>
        <v>1095</v>
      </c>
      <c r="AH239" s="117">
        <f>MIN(MAX($L$1-'FA Addition'!$D239+1,0),365*'FA Addition'!$O239)</f>
        <v>1095</v>
      </c>
      <c r="AI239" s="117" cm="1">
        <f t="array" ref="AI239">_xlfn.XLOOKUP(1,('FA Write off'!A:A='FA Addition'!$A239)*('FA Write off'!D:D=AA239),'FA Write off'!H:H,0,0)</f>
        <v>0</v>
      </c>
      <c r="AJ239" s="117">
        <f>IF(AC239&gt;0,MAX(IF('FA Addition'!$N239="SLM",($AC239-'FA Addition'!$M239)*'FA Addition'!$P239*AI239/365,(AC239-'FA Addition'!$M239)*(1-(1-'FA Addition'!$P239)^(AI239/365))),0),0)</f>
        <v>0</v>
      </c>
      <c r="AL239" s="117">
        <f>MAX(IF(AG239&gt;0,IF('FA Addition'!$N239="SLM",($AE239-'FA Addition'!$M239)*'FA Addition'!$P239*AG239/365,IFERROR(VDB(AE239,AE239*0.05,'FA Addition'!$O239,0,YEARFRAC('FA Addition'!$C239,$P$1-1,3),'FA Addition'!$Q239),FAAddition[[#This Row],[Original Cost (Rs)]]-FAAddition[[#This Row],[Salvage Value]])),0),0)</f>
        <v>18857</v>
      </c>
      <c r="AM239" s="119"/>
      <c r="AN239" s="117">
        <f>MAX(IF(AH239&gt;0,IF('FA Addition'!$N239="SLM",($AF239-'FA Addition'!$M239)*'FA Addition'!$P239*AH239/365,IFERROR(VDB(AF239,AF239*0.05,'FA Addition'!$O239,0,YEARFRAC('FA Addition'!$C239,$L$1,3),'FA Addition'!$Q239),FAAddition[[#This Row],[Original Cost (Rs)]]-FAAddition[[#This Row],[Salvage Value]])),0),0)</f>
        <v>18857</v>
      </c>
      <c r="AO239" s="117">
        <f t="shared" si="18"/>
        <v>0</v>
      </c>
      <c r="AQ239" s="117">
        <f t="shared" si="16"/>
        <v>993</v>
      </c>
      <c r="AR239" s="120">
        <f t="shared" si="17"/>
        <v>993</v>
      </c>
      <c r="AS239" s="121"/>
    </row>
    <row r="240" spans="1:45" ht="13.5" x14ac:dyDescent="0.4">
      <c r="A240" s="12">
        <f t="shared" si="19"/>
        <v>237</v>
      </c>
      <c r="B240" s="51" t="s">
        <v>731</v>
      </c>
      <c r="C240" s="54">
        <v>42878</v>
      </c>
      <c r="D240" s="54">
        <v>42878</v>
      </c>
      <c r="E240" s="46" t="s">
        <v>451</v>
      </c>
      <c r="F240" s="51" t="s">
        <v>21</v>
      </c>
      <c r="G240" s="51" t="s">
        <v>745</v>
      </c>
      <c r="H240" s="51" t="s">
        <v>21</v>
      </c>
      <c r="I240" s="51" t="s">
        <v>746</v>
      </c>
      <c r="J240" s="56">
        <v>1</v>
      </c>
      <c r="K240" s="51" t="s">
        <v>737</v>
      </c>
      <c r="L240" s="58">
        <v>19850</v>
      </c>
      <c r="M240" s="50">
        <f>ROUND('FA Addition'!$L240*5%,0.1)</f>
        <v>993</v>
      </c>
      <c r="N240" s="113" t="str">
        <f>_xlfn.XLOOKUP(_xlfn.CONCAT(E240,B240),'Year Wise Master Dep Approach'!F:F,'Year Wise Master Dep Approach'!D:D)</f>
        <v>WDV</v>
      </c>
      <c r="O240" s="113">
        <f>_xlfn.XLOOKUP(_xlfn.CONCAT(E240,B240),'Year Wise Master Dep Approach'!F:F,'Year Wise Master Dep Approach'!E:E)</f>
        <v>3</v>
      </c>
      <c r="P240" s="114">
        <f>IFERROR(IF('FA Addition'!$N240="WDV",1-('FA Addition'!$M240/'FA Addition'!$L240)^(1/'FA Addition'!$O240),1/'FA Addition'!$O240),0)</f>
        <v>0.63153499601292795</v>
      </c>
      <c r="Q240" s="122">
        <f>'FA Addition'!$P240*'FA Addition'!$O240</f>
        <v>1.8946049880387839</v>
      </c>
      <c r="R240" s="122"/>
      <c r="S240" s="116">
        <f>IF(AND(DATE(20&amp;LEFT(FAAddition[[#This Row],[FY]],2),4,1)&lt;$L$1+1,DATE(20&amp;LEFT(FAAddition[[#This Row],[FY]],2),4,1)&gt;$P$1-1),'FA Addition'!$J240,0)</f>
        <v>0</v>
      </c>
      <c r="U240" s="117">
        <f>S240*'FA Addition'!$L240/'FA Addition'!$J240</f>
        <v>0</v>
      </c>
      <c r="W240" s="116">
        <f>SUMIFS('FA Write off'!D:D,'FA Write off'!A:A,'FA Addition'!$A240,'FA Write off'!C:C,"&lt;"&amp;'FA Addition'!$P$1)</f>
        <v>0</v>
      </c>
      <c r="Y240" s="191">
        <f>IFERROR(W240/'FA Addition'!$J240*'FA Addition'!$L240,0)</f>
        <v>0</v>
      </c>
      <c r="AA240" s="116">
        <f>SUMIFS('FA Write off'!D:D,'FA Write off'!A:A,'FA Addition'!$A240,'FA Write off'!C:C,"&lt;"&amp;'FA Addition'!$L$1+1,'FA Write off'!C:C,"&gt;"&amp;'FA Addition'!$L$1-365)</f>
        <v>0</v>
      </c>
      <c r="AC240" s="118">
        <f>IFERROR(AA240/'FA Addition'!$J240*'FA Addition'!$L240,0)</f>
        <v>0</v>
      </c>
      <c r="AE240" s="117">
        <f>IF(AND('FA Addition'!$D240&lt;$P$1+1,U240=0),'FA Addition'!$L240,0)-Y240</f>
        <v>19850</v>
      </c>
      <c r="AF240" s="117">
        <f t="shared" si="15"/>
        <v>19850</v>
      </c>
      <c r="AG240" s="117">
        <f>MIN(MAX(+$P$1-'FA Addition'!$D240,0),365*'FA Addition'!$O240)</f>
        <v>1095</v>
      </c>
      <c r="AH240" s="117">
        <f>MIN(MAX($L$1-'FA Addition'!$D240+1,0),365*'FA Addition'!$O240)</f>
        <v>1095</v>
      </c>
      <c r="AI240" s="117" cm="1">
        <f t="array" ref="AI240">_xlfn.XLOOKUP(1,('FA Write off'!A:A='FA Addition'!$A240)*('FA Write off'!D:D=AA240),'FA Write off'!H:H,0,0)</f>
        <v>0</v>
      </c>
      <c r="AJ240" s="117">
        <f>IF(AC240&gt;0,MAX(IF('FA Addition'!$N240="SLM",($AC240-'FA Addition'!$M240)*'FA Addition'!$P240*AI240/365,(AC240-'FA Addition'!$M240)*(1-(1-'FA Addition'!$P240)^(AI240/365))),0),0)</f>
        <v>0</v>
      </c>
      <c r="AL240" s="117">
        <f>MAX(IF(AG240&gt;0,IF('FA Addition'!$N240="SLM",($AE240-'FA Addition'!$M240)*'FA Addition'!$P240*AG240/365,IFERROR(VDB(AE240,AE240*0.05,'FA Addition'!$O240,0,YEARFRAC('FA Addition'!$C240,$P$1-1,3),'FA Addition'!$Q240),FAAddition[[#This Row],[Original Cost (Rs)]]-FAAddition[[#This Row],[Salvage Value]])),0),0)</f>
        <v>18857</v>
      </c>
      <c r="AM240" s="119"/>
      <c r="AN240" s="117">
        <f>MAX(IF(AH240&gt;0,IF('FA Addition'!$N240="SLM",($AF240-'FA Addition'!$M240)*'FA Addition'!$P240*AH240/365,IFERROR(VDB(AF240,AF240*0.05,'FA Addition'!$O240,0,YEARFRAC('FA Addition'!$C240,$L$1,3),'FA Addition'!$Q240),FAAddition[[#This Row],[Original Cost (Rs)]]-FAAddition[[#This Row],[Salvage Value]])),0),0)</f>
        <v>18857</v>
      </c>
      <c r="AO240" s="117">
        <f t="shared" si="18"/>
        <v>0</v>
      </c>
      <c r="AQ240" s="117">
        <f t="shared" si="16"/>
        <v>993</v>
      </c>
      <c r="AR240" s="120">
        <f t="shared" si="17"/>
        <v>993</v>
      </c>
      <c r="AS240" s="121"/>
    </row>
    <row r="241" spans="1:45" ht="13.5" x14ac:dyDescent="0.4">
      <c r="A241" s="12">
        <f t="shared" si="19"/>
        <v>238</v>
      </c>
      <c r="B241" s="51" t="s">
        <v>731</v>
      </c>
      <c r="C241" s="54">
        <v>42892</v>
      </c>
      <c r="D241" s="54">
        <v>42892</v>
      </c>
      <c r="E241" s="46" t="s">
        <v>32</v>
      </c>
      <c r="F241" s="51" t="s">
        <v>32</v>
      </c>
      <c r="G241" s="44" t="s">
        <v>433</v>
      </c>
      <c r="H241" s="51" t="s">
        <v>32</v>
      </c>
      <c r="I241" s="51" t="s">
        <v>747</v>
      </c>
      <c r="J241" s="56">
        <v>150</v>
      </c>
      <c r="K241" s="51" t="s">
        <v>567</v>
      </c>
      <c r="L241" s="58">
        <v>357150</v>
      </c>
      <c r="M241" s="50">
        <f>ROUND('FA Addition'!$L241*5%,0.1)</f>
        <v>17858</v>
      </c>
      <c r="N241" s="113" t="str">
        <f>_xlfn.XLOOKUP(_xlfn.CONCAT(E241,B241),'Year Wise Master Dep Approach'!F:F,'Year Wise Master Dep Approach'!D:D)</f>
        <v>WDV</v>
      </c>
      <c r="O241" s="113">
        <f>_xlfn.XLOOKUP(_xlfn.CONCAT(E241,B241),'Year Wise Master Dep Approach'!F:F,'Year Wise Master Dep Approach'!E:E)</f>
        <v>3</v>
      </c>
      <c r="P241" s="114">
        <f>IFERROR(IF('FA Addition'!$N241="WDV",1-('FA Addition'!$M241/'FA Addition'!$L241)^(1/'FA Addition'!$O241),1/'FA Addition'!$O241),0)</f>
        <v>0.63159341180742001</v>
      </c>
      <c r="Q241" s="122">
        <f>'FA Addition'!$P241*'FA Addition'!$O241</f>
        <v>1.89478023542226</v>
      </c>
      <c r="R241" s="122"/>
      <c r="S241" s="116">
        <f>IF(AND(DATE(20&amp;LEFT(FAAddition[[#This Row],[FY]],2),4,1)&lt;$L$1+1,DATE(20&amp;LEFT(FAAddition[[#This Row],[FY]],2),4,1)&gt;$P$1-1),'FA Addition'!$J241,0)</f>
        <v>0</v>
      </c>
      <c r="U241" s="117">
        <f>S241*'FA Addition'!$L241/'FA Addition'!$J241</f>
        <v>0</v>
      </c>
      <c r="W241" s="116">
        <f>SUMIFS('FA Write off'!D:D,'FA Write off'!A:A,'FA Addition'!$A241,'FA Write off'!C:C,"&lt;"&amp;'FA Addition'!$P$1)</f>
        <v>7</v>
      </c>
      <c r="Y241" s="191">
        <f>IFERROR(W241/'FA Addition'!$J241*'FA Addition'!$L241,0)</f>
        <v>16667</v>
      </c>
      <c r="AA241" s="116">
        <f>SUMIFS('FA Write off'!D:D,'FA Write off'!A:A,'FA Addition'!$A241,'FA Write off'!C:C,"&lt;"&amp;'FA Addition'!$L$1+1,'FA Write off'!C:C,"&gt;"&amp;'FA Addition'!$L$1-365)</f>
        <v>0</v>
      </c>
      <c r="AC241" s="191">
        <f>IFERROR(AA241/'FA Addition'!$J241*'FA Addition'!$L241,0)</f>
        <v>0</v>
      </c>
      <c r="AE241" s="117">
        <f>IF(AND('FA Addition'!$D241&lt;$P$1+1,U241=0),'FA Addition'!$L241,0)-Y241</f>
        <v>340483</v>
      </c>
      <c r="AF241" s="117">
        <f t="shared" si="15"/>
        <v>340483</v>
      </c>
      <c r="AG241" s="117">
        <f>MIN(MAX(+$P$1-'FA Addition'!$D241,0),365*'FA Addition'!$O241)</f>
        <v>1095</v>
      </c>
      <c r="AH241" s="117">
        <f>MIN(MAX($L$1-'FA Addition'!$D241+1,0),365*'FA Addition'!$O241)</f>
        <v>1095</v>
      </c>
      <c r="AI241" s="117" cm="1">
        <f t="array" ref="AI241">_xlfn.XLOOKUP(1,('FA Write off'!A:A='FA Addition'!$A241)*('FA Write off'!D:D=AA241),'FA Write off'!H:H,0,0)</f>
        <v>0</v>
      </c>
      <c r="AJ241" s="117">
        <f>IF(AC241&gt;0,MAX(IF('FA Addition'!$N241="SLM",($AC241-'FA Addition'!$M241)*'FA Addition'!$P241*AI241/365,(AC241-'FA Addition'!$M241)*(1-(1-'FA Addition'!$P241)^(AI241/365))),0),0)</f>
        <v>0</v>
      </c>
      <c r="AL241" s="117">
        <f>MAX(IF(AG241&gt;0,IF('FA Addition'!$N241="SLM",($AE241-'FA Addition'!$M241)*'FA Addition'!$P241*AG241/365,IFERROR(VDB(AE241,AE241*0.05,'FA Addition'!$O241,0,YEARFRAC('FA Addition'!$C241,$P$1-1,3),'FA Addition'!$Q241),FAAddition[[#This Row],[Original Cost (Rs)]]-FAAddition[[#This Row],[Salvage Value]])),0),0)</f>
        <v>339292</v>
      </c>
      <c r="AM241" s="119"/>
      <c r="AN241" s="117">
        <f>MAX(IF(AH241&gt;0,IF('FA Addition'!$N241="SLM",($AF241-'FA Addition'!$M241)*'FA Addition'!$P241*AH241/365,IFERROR(VDB(AF241,AF241*0.05,'FA Addition'!$O241,0,YEARFRAC('FA Addition'!$C241,$L$1,3),'FA Addition'!$Q241),FAAddition[[#This Row],[Original Cost (Rs)]]-FAAddition[[#This Row],[Salvage Value]])),0),0)</f>
        <v>339292</v>
      </c>
      <c r="AO241" s="117">
        <f t="shared" si="18"/>
        <v>0</v>
      </c>
      <c r="AQ241" s="117">
        <f t="shared" si="16"/>
        <v>1191</v>
      </c>
      <c r="AR241" s="120">
        <f t="shared" si="17"/>
        <v>1191</v>
      </c>
      <c r="AS241" s="121"/>
    </row>
    <row r="242" spans="1:45" ht="13.5" x14ac:dyDescent="0.4">
      <c r="A242" s="12">
        <f t="shared" si="19"/>
        <v>239</v>
      </c>
      <c r="B242" s="51" t="s">
        <v>731</v>
      </c>
      <c r="C242" s="54">
        <v>42913</v>
      </c>
      <c r="D242" s="54">
        <v>42913</v>
      </c>
      <c r="E242" s="46" t="s">
        <v>32</v>
      </c>
      <c r="F242" s="51" t="s">
        <v>32</v>
      </c>
      <c r="G242" s="44" t="s">
        <v>433</v>
      </c>
      <c r="H242" s="51" t="s">
        <v>32</v>
      </c>
      <c r="I242" s="51" t="s">
        <v>748</v>
      </c>
      <c r="J242" s="56">
        <v>150</v>
      </c>
      <c r="K242" s="51" t="s">
        <v>567</v>
      </c>
      <c r="L242" s="58">
        <v>357150</v>
      </c>
      <c r="M242" s="50">
        <f>ROUND('FA Addition'!$L242*5%,0.1)</f>
        <v>17858</v>
      </c>
      <c r="N242" s="113" t="str">
        <f>_xlfn.XLOOKUP(_xlfn.CONCAT(E242,B242),'Year Wise Master Dep Approach'!F:F,'Year Wise Master Dep Approach'!D:D)</f>
        <v>WDV</v>
      </c>
      <c r="O242" s="113">
        <f>_xlfn.XLOOKUP(_xlfn.CONCAT(E242,B242),'Year Wise Master Dep Approach'!F:F,'Year Wise Master Dep Approach'!E:E)</f>
        <v>3</v>
      </c>
      <c r="P242" s="114">
        <f>IFERROR(IF('FA Addition'!$N242="WDV",1-('FA Addition'!$M242/'FA Addition'!$L242)^(1/'FA Addition'!$O242),1/'FA Addition'!$O242),0)</f>
        <v>0.63159341180742001</v>
      </c>
      <c r="Q242" s="122">
        <f>'FA Addition'!$P242*'FA Addition'!$O242</f>
        <v>1.89478023542226</v>
      </c>
      <c r="R242" s="122"/>
      <c r="S242" s="116">
        <f>IF(AND(DATE(20&amp;LEFT(FAAddition[[#This Row],[FY]],2),4,1)&lt;$L$1+1,DATE(20&amp;LEFT(FAAddition[[#This Row],[FY]],2),4,1)&gt;$P$1-1),'FA Addition'!$J242,0)</f>
        <v>0</v>
      </c>
      <c r="U242" s="117">
        <f>S242*'FA Addition'!$L242/'FA Addition'!$J242</f>
        <v>0</v>
      </c>
      <c r="W242" s="116">
        <f>SUMIFS('FA Write off'!D:D,'FA Write off'!A:A,'FA Addition'!$A242,'FA Write off'!C:C,"&lt;"&amp;'FA Addition'!$P$1)</f>
        <v>7</v>
      </c>
      <c r="Y242" s="191">
        <f>IFERROR(W242/'FA Addition'!$J242*'FA Addition'!$L242,0)</f>
        <v>16667</v>
      </c>
      <c r="AA242" s="116">
        <f>SUMIFS('FA Write off'!D:D,'FA Write off'!A:A,'FA Addition'!$A242,'FA Write off'!C:C,"&lt;"&amp;'FA Addition'!$L$1+1,'FA Write off'!C:C,"&gt;"&amp;'FA Addition'!$L$1-365)</f>
        <v>0</v>
      </c>
      <c r="AC242" s="191">
        <f>IFERROR(AA242/'FA Addition'!$J242*'FA Addition'!$L242,0)</f>
        <v>0</v>
      </c>
      <c r="AE242" s="117">
        <f>IF(AND('FA Addition'!$D242&lt;$P$1+1,U242=0),'FA Addition'!$L242,0)-Y242</f>
        <v>340483</v>
      </c>
      <c r="AF242" s="117">
        <f t="shared" si="15"/>
        <v>340483</v>
      </c>
      <c r="AG242" s="117">
        <f>MIN(MAX(+$P$1-'FA Addition'!$D242,0),365*'FA Addition'!$O242)</f>
        <v>1095</v>
      </c>
      <c r="AH242" s="117">
        <f>MIN(MAX($L$1-'FA Addition'!$D242+1,0),365*'FA Addition'!$O242)</f>
        <v>1095</v>
      </c>
      <c r="AI242" s="117" cm="1">
        <f t="array" ref="AI242">_xlfn.XLOOKUP(1,('FA Write off'!A:A='FA Addition'!$A242)*('FA Write off'!D:D=AA242),'FA Write off'!H:H,0,0)</f>
        <v>0</v>
      </c>
      <c r="AJ242" s="117">
        <f>IF(AC242&gt;0,MAX(IF('FA Addition'!$N242="SLM",($AC242-'FA Addition'!$M242)*'FA Addition'!$P242*AI242/365,(AC242-'FA Addition'!$M242)*(1-(1-'FA Addition'!$P242)^(AI242/365))),0),0)</f>
        <v>0</v>
      </c>
      <c r="AL242" s="117">
        <f>MAX(IF(AG242&gt;0,IF('FA Addition'!$N242="SLM",($AE242-'FA Addition'!$M242)*'FA Addition'!$P242*AG242/365,IFERROR(VDB(AE242,AE242*0.05,'FA Addition'!$O242,0,YEARFRAC('FA Addition'!$C242,$P$1-1,3),'FA Addition'!$Q242),FAAddition[[#This Row],[Original Cost (Rs)]]-FAAddition[[#This Row],[Salvage Value]])),0),0)</f>
        <v>339292</v>
      </c>
      <c r="AM242" s="119"/>
      <c r="AN242" s="117">
        <f>MAX(IF(AH242&gt;0,IF('FA Addition'!$N242="SLM",($AF242-'FA Addition'!$M242)*'FA Addition'!$P242*AH242/365,IFERROR(VDB(AF242,AF242*0.05,'FA Addition'!$O242,0,YEARFRAC('FA Addition'!$C242,$L$1,3),'FA Addition'!$Q242),FAAddition[[#This Row],[Original Cost (Rs)]]-FAAddition[[#This Row],[Salvage Value]])),0),0)</f>
        <v>339292</v>
      </c>
      <c r="AO242" s="117">
        <f t="shared" si="18"/>
        <v>0</v>
      </c>
      <c r="AQ242" s="117">
        <f t="shared" si="16"/>
        <v>1191</v>
      </c>
      <c r="AR242" s="120">
        <f t="shared" si="17"/>
        <v>1191</v>
      </c>
      <c r="AS242" s="121"/>
    </row>
    <row r="243" spans="1:45" ht="13.5" x14ac:dyDescent="0.4">
      <c r="A243" s="12">
        <f t="shared" si="19"/>
        <v>240</v>
      </c>
      <c r="B243" s="51" t="s">
        <v>731</v>
      </c>
      <c r="C243" s="54">
        <v>42959</v>
      </c>
      <c r="D243" s="54">
        <v>42959</v>
      </c>
      <c r="E243" s="46" t="s">
        <v>749</v>
      </c>
      <c r="F243" s="51" t="s">
        <v>750</v>
      </c>
      <c r="G243" s="44" t="s">
        <v>751</v>
      </c>
      <c r="H243" s="51"/>
      <c r="I243" s="51"/>
      <c r="J243" s="56">
        <v>1</v>
      </c>
      <c r="K243" s="51" t="s">
        <v>752</v>
      </c>
      <c r="L243" s="58">
        <v>48232</v>
      </c>
      <c r="M243" s="50">
        <f>ROUND('FA Addition'!$L243*5%,0.1)</f>
        <v>2412</v>
      </c>
      <c r="N243" s="113" t="str">
        <f>_xlfn.XLOOKUP(_xlfn.CONCAT(E243,B243),'Year Wise Master Dep Approach'!F:F,'Year Wise Master Dep Approach'!D:D)</f>
        <v>WDV</v>
      </c>
      <c r="O243" s="113">
        <f>_xlfn.XLOOKUP(_xlfn.CONCAT(E243,B243),'Year Wise Master Dep Approach'!F:F,'Year Wise Master Dep Approach'!E:E)</f>
        <v>5</v>
      </c>
      <c r="P243" s="114">
        <f>IFERROR(IF('FA Addition'!$N243="WDV",1-('FA Addition'!$M243/'FA Addition'!$L243)^(1/'FA Addition'!$O243),1/'FA Addition'!$O243),0)</f>
        <v>0.45070150828282662</v>
      </c>
      <c r="Q243" s="122">
        <f>'FA Addition'!$P243*'FA Addition'!$O243</f>
        <v>2.253507541414133</v>
      </c>
      <c r="R243" s="122"/>
      <c r="S243" s="116">
        <f>IF(AND(DATE(20&amp;LEFT(FAAddition[[#This Row],[FY]],2),4,1)&lt;$L$1+1,DATE(20&amp;LEFT(FAAddition[[#This Row],[FY]],2),4,1)&gt;$P$1-1),'FA Addition'!$J243,0)</f>
        <v>0</v>
      </c>
      <c r="U243" s="117">
        <f>S243*'FA Addition'!$L243/'FA Addition'!$J243</f>
        <v>0</v>
      </c>
      <c r="W243" s="116">
        <f>SUMIFS('FA Write off'!D:D,'FA Write off'!A:A,'FA Addition'!$A243,'FA Write off'!C:C,"&lt;"&amp;'FA Addition'!$P$1)</f>
        <v>0</v>
      </c>
      <c r="Y243" s="191">
        <f>IFERROR(W243/'FA Addition'!$J243*'FA Addition'!$L243,0)</f>
        <v>0</v>
      </c>
      <c r="AA243" s="116">
        <f>SUMIFS('FA Write off'!D:D,'FA Write off'!A:A,'FA Addition'!$A243,'FA Write off'!C:C,"&lt;"&amp;'FA Addition'!$L$1+1,'FA Write off'!C:C,"&gt;"&amp;'FA Addition'!$L$1-365)</f>
        <v>0</v>
      </c>
      <c r="AC243" s="118">
        <f>IFERROR(AA243/'FA Addition'!$J243*'FA Addition'!$L243,0)</f>
        <v>0</v>
      </c>
      <c r="AE243" s="117">
        <f>IF(AND('FA Addition'!$D243&lt;$P$1+1,U243=0),'FA Addition'!$L243,0)-Y243</f>
        <v>48232</v>
      </c>
      <c r="AF243" s="117">
        <f t="shared" si="15"/>
        <v>48232</v>
      </c>
      <c r="AG243" s="117">
        <f>MIN(MAX(+$P$1-'FA Addition'!$D243,0),365*'FA Addition'!$O243)</f>
        <v>1825</v>
      </c>
      <c r="AH243" s="117">
        <f>MIN(MAX($L$1-'FA Addition'!$D243+1,0),365*'FA Addition'!$O243)</f>
        <v>1825</v>
      </c>
      <c r="AI243" s="117" cm="1">
        <f t="array" ref="AI243">_xlfn.XLOOKUP(1,('FA Write off'!A:A='FA Addition'!$A243)*('FA Write off'!D:D=AA243),'FA Write off'!H:H,0,0)</f>
        <v>0</v>
      </c>
      <c r="AJ243" s="117">
        <f>IF(AC243&gt;0,MAX(IF('FA Addition'!$N243="SLM",($AC243-'FA Addition'!$M243)*'FA Addition'!$P243*AI243/365,(AC243-'FA Addition'!$M243)*(1-(1-'FA Addition'!$P243)^(AI243/365))),0),0)</f>
        <v>0</v>
      </c>
      <c r="AL243" s="117">
        <f>MAX(IF(AG243&gt;0,IF('FA Addition'!$N243="SLM",($AE243-'FA Addition'!$M243)*'FA Addition'!$P243*AG243/365,IFERROR(VDB(AE243,AE243*0.05,'FA Addition'!$O243,0,YEARFRAC('FA Addition'!$C243,$P$1-1,3),'FA Addition'!$Q243),FAAddition[[#This Row],[Original Cost (Rs)]]-FAAddition[[#This Row],[Salvage Value]])),0),0)</f>
        <v>45820</v>
      </c>
      <c r="AM243" s="119"/>
      <c r="AN243" s="117">
        <f>MAX(IF(AH243&gt;0,IF('FA Addition'!$N243="SLM",($AF243-'FA Addition'!$M243)*'FA Addition'!$P243*AH243/365,IFERROR(VDB(AF243,AF243*0.05,'FA Addition'!$O243,0,YEARFRAC('FA Addition'!$C243,$L$1,3),'FA Addition'!$Q243),FAAddition[[#This Row],[Original Cost (Rs)]]-FAAddition[[#This Row],[Salvage Value]])),0),0)</f>
        <v>45820</v>
      </c>
      <c r="AO243" s="117">
        <f t="shared" si="18"/>
        <v>0</v>
      </c>
      <c r="AQ243" s="117">
        <f t="shared" si="16"/>
        <v>2412</v>
      </c>
      <c r="AR243" s="120">
        <f t="shared" si="17"/>
        <v>2412</v>
      </c>
      <c r="AS243" s="121"/>
    </row>
    <row r="244" spans="1:45" ht="13.5" x14ac:dyDescent="0.4">
      <c r="A244" s="12">
        <f t="shared" si="19"/>
        <v>241</v>
      </c>
      <c r="B244" s="51" t="s">
        <v>731</v>
      </c>
      <c r="C244" s="54">
        <v>42970</v>
      </c>
      <c r="D244" s="54">
        <v>42970</v>
      </c>
      <c r="E244" s="46" t="s">
        <v>451</v>
      </c>
      <c r="F244" s="51" t="s">
        <v>21</v>
      </c>
      <c r="G244" s="44" t="s">
        <v>620</v>
      </c>
      <c r="H244" s="51" t="s">
        <v>21</v>
      </c>
      <c r="I244" s="51">
        <v>4226</v>
      </c>
      <c r="J244" s="56">
        <v>1</v>
      </c>
      <c r="K244" s="51" t="s">
        <v>753</v>
      </c>
      <c r="L244" s="58">
        <v>57258</v>
      </c>
      <c r="M244" s="50">
        <f>ROUND('FA Addition'!$L244*5%,0.1)</f>
        <v>2863</v>
      </c>
      <c r="N244" s="113" t="str">
        <f>_xlfn.XLOOKUP(_xlfn.CONCAT(E244,B244),'Year Wise Master Dep Approach'!F:F,'Year Wise Master Dep Approach'!D:D)</f>
        <v>WDV</v>
      </c>
      <c r="O244" s="113">
        <f>_xlfn.XLOOKUP(_xlfn.CONCAT(E244,B244),'Year Wise Master Dep Approach'!F:F,'Year Wise Master Dep Approach'!E:E)</f>
        <v>3</v>
      </c>
      <c r="P244" s="114">
        <f>IFERROR(IF('FA Addition'!$N244="WDV",1-('FA Addition'!$M244/'FA Addition'!$L244)^(1/'FA Addition'!$O244),1/'FA Addition'!$O244),0)</f>
        <v>0.63159256079228232</v>
      </c>
      <c r="Q244" s="122">
        <f>'FA Addition'!$P244*'FA Addition'!$O244</f>
        <v>1.894777682376847</v>
      </c>
      <c r="R244" s="122"/>
      <c r="S244" s="116">
        <f>IF(AND(DATE(20&amp;LEFT(FAAddition[[#This Row],[FY]],2),4,1)&lt;$L$1+1,DATE(20&amp;LEFT(FAAddition[[#This Row],[FY]],2),4,1)&gt;$P$1-1),'FA Addition'!$J244,0)</f>
        <v>0</v>
      </c>
      <c r="U244" s="117">
        <f>S244*'FA Addition'!$L244/'FA Addition'!$J244</f>
        <v>0</v>
      </c>
      <c r="W244" s="116">
        <f>SUMIFS('FA Write off'!D:D,'FA Write off'!A:A,'FA Addition'!$A244,'FA Write off'!C:C,"&lt;"&amp;'FA Addition'!$P$1)</f>
        <v>0</v>
      </c>
      <c r="Y244" s="191">
        <f>IFERROR(W244/'FA Addition'!$J244*'FA Addition'!$L244,0)</f>
        <v>0</v>
      </c>
      <c r="AA244" s="116">
        <f>SUMIFS('FA Write off'!D:D,'FA Write off'!A:A,'FA Addition'!$A244,'FA Write off'!C:C,"&lt;"&amp;'FA Addition'!$L$1+1,'FA Write off'!C:C,"&gt;"&amp;'FA Addition'!$L$1-365)</f>
        <v>0</v>
      </c>
      <c r="AC244" s="118">
        <f>IFERROR(AA244/'FA Addition'!$J244*'FA Addition'!$L244,0)</f>
        <v>0</v>
      </c>
      <c r="AE244" s="117">
        <f>IF(AND('FA Addition'!$D244&lt;$P$1+1,U244=0),'FA Addition'!$L244,0)-Y244</f>
        <v>57258</v>
      </c>
      <c r="AF244" s="117">
        <f t="shared" si="15"/>
        <v>57258</v>
      </c>
      <c r="AG244" s="117">
        <f>MIN(MAX(+$P$1-'FA Addition'!$D244,0),365*'FA Addition'!$O244)</f>
        <v>1095</v>
      </c>
      <c r="AH244" s="117">
        <f>MIN(MAX($L$1-'FA Addition'!$D244+1,0),365*'FA Addition'!$O244)</f>
        <v>1095</v>
      </c>
      <c r="AI244" s="117" cm="1">
        <f t="array" ref="AI244">_xlfn.XLOOKUP(1,('FA Write off'!A:A='FA Addition'!$A244)*('FA Write off'!D:D=AA244),'FA Write off'!H:H,0,0)</f>
        <v>0</v>
      </c>
      <c r="AJ244" s="117">
        <f>IF(AC244&gt;0,MAX(IF('FA Addition'!$N244="SLM",($AC244-'FA Addition'!$M244)*'FA Addition'!$P244*AI244/365,(AC244-'FA Addition'!$M244)*(1-(1-'FA Addition'!$P244)^(AI244/365))),0),0)</f>
        <v>0</v>
      </c>
      <c r="AL244" s="117">
        <f>MAX(IF(AG244&gt;0,IF('FA Addition'!$N244="SLM",($AE244-'FA Addition'!$M244)*'FA Addition'!$P244*AG244/365,IFERROR(VDB(AE244,AE244*0.05,'FA Addition'!$O244,0,YEARFRAC('FA Addition'!$C244,$P$1-1,3),'FA Addition'!$Q244),FAAddition[[#This Row],[Original Cost (Rs)]]-FAAddition[[#This Row],[Salvage Value]])),0),0)</f>
        <v>54395</v>
      </c>
      <c r="AM244" s="119"/>
      <c r="AN244" s="117">
        <f>MAX(IF(AH244&gt;0,IF('FA Addition'!$N244="SLM",($AF244-'FA Addition'!$M244)*'FA Addition'!$P244*AH244/365,IFERROR(VDB(AF244,AF244*0.05,'FA Addition'!$O244,0,YEARFRAC('FA Addition'!$C244,$L$1,3),'FA Addition'!$Q244),FAAddition[[#This Row],[Original Cost (Rs)]]-FAAddition[[#This Row],[Salvage Value]])),0),0)</f>
        <v>54395</v>
      </c>
      <c r="AO244" s="117">
        <f t="shared" si="18"/>
        <v>0</v>
      </c>
      <c r="AQ244" s="117">
        <f t="shared" si="16"/>
        <v>2863</v>
      </c>
      <c r="AR244" s="120">
        <f t="shared" si="17"/>
        <v>2863</v>
      </c>
      <c r="AS244" s="121"/>
    </row>
    <row r="245" spans="1:45" ht="13.5" x14ac:dyDescent="0.4">
      <c r="A245" s="12">
        <f t="shared" si="19"/>
        <v>242</v>
      </c>
      <c r="B245" s="51" t="s">
        <v>731</v>
      </c>
      <c r="C245" s="54">
        <v>42970</v>
      </c>
      <c r="D245" s="54">
        <v>42970</v>
      </c>
      <c r="E245" s="46" t="s">
        <v>451</v>
      </c>
      <c r="F245" s="51" t="s">
        <v>21</v>
      </c>
      <c r="G245" s="44" t="s">
        <v>620</v>
      </c>
      <c r="H245" s="51" t="s">
        <v>21</v>
      </c>
      <c r="I245" s="51">
        <v>4230</v>
      </c>
      <c r="J245" s="56">
        <v>1</v>
      </c>
      <c r="K245" s="51" t="s">
        <v>754</v>
      </c>
      <c r="L245" s="58">
        <v>30729</v>
      </c>
      <c r="M245" s="50">
        <f>ROUND('FA Addition'!$L245*5%,0.1)</f>
        <v>1536</v>
      </c>
      <c r="N245" s="113" t="str">
        <f>_xlfn.XLOOKUP(_xlfn.CONCAT(E245,B245),'Year Wise Master Dep Approach'!F:F,'Year Wise Master Dep Approach'!D:D)</f>
        <v>WDV</v>
      </c>
      <c r="O245" s="113">
        <f>_xlfn.XLOOKUP(_xlfn.CONCAT(E245,B245),'Year Wise Master Dep Approach'!F:F,'Year Wise Master Dep Approach'!E:E)</f>
        <v>3</v>
      </c>
      <c r="P245" s="114">
        <f>IFERROR(IF('FA Addition'!$N245="WDV",1-('FA Addition'!$M245/'FA Addition'!$L245)^(1/'FA Addition'!$O245),1/'FA Addition'!$O245),0)</f>
        <v>0.63163281998093357</v>
      </c>
      <c r="Q245" s="122">
        <f>'FA Addition'!$P245*'FA Addition'!$O245</f>
        <v>1.8948984599428007</v>
      </c>
      <c r="R245" s="122"/>
      <c r="S245" s="116">
        <f>IF(AND(DATE(20&amp;LEFT(FAAddition[[#This Row],[FY]],2),4,1)&lt;$L$1+1,DATE(20&amp;LEFT(FAAddition[[#This Row],[FY]],2),4,1)&gt;$P$1-1),'FA Addition'!$J245,0)</f>
        <v>0</v>
      </c>
      <c r="U245" s="117">
        <f>S245*'FA Addition'!$L245/'FA Addition'!$J245</f>
        <v>0</v>
      </c>
      <c r="W245" s="116">
        <f>SUMIFS('FA Write off'!D:D,'FA Write off'!A:A,'FA Addition'!$A245,'FA Write off'!C:C,"&lt;"&amp;'FA Addition'!$P$1)</f>
        <v>0</v>
      </c>
      <c r="Y245" s="191">
        <f>IFERROR(W245/'FA Addition'!$J245*'FA Addition'!$L245,0)</f>
        <v>0</v>
      </c>
      <c r="AA245" s="116">
        <f>SUMIFS('FA Write off'!D:D,'FA Write off'!A:A,'FA Addition'!$A245,'FA Write off'!C:C,"&lt;"&amp;'FA Addition'!$L$1+1,'FA Write off'!C:C,"&gt;"&amp;'FA Addition'!$L$1-365)</f>
        <v>0</v>
      </c>
      <c r="AC245" s="118">
        <f>IFERROR(AA245/'FA Addition'!$J245*'FA Addition'!$L245,0)</f>
        <v>0</v>
      </c>
      <c r="AE245" s="117">
        <f>IF(AND('FA Addition'!$D245&lt;$P$1+1,U245=0),'FA Addition'!$L245,0)-Y245</f>
        <v>30729</v>
      </c>
      <c r="AF245" s="117">
        <f t="shared" si="15"/>
        <v>30729</v>
      </c>
      <c r="AG245" s="117">
        <f>MIN(MAX(+$P$1-'FA Addition'!$D245,0),365*'FA Addition'!$O245)</f>
        <v>1095</v>
      </c>
      <c r="AH245" s="117">
        <f>MIN(MAX($L$1-'FA Addition'!$D245+1,0),365*'FA Addition'!$O245)</f>
        <v>1095</v>
      </c>
      <c r="AI245" s="117" cm="1">
        <f t="array" ref="AI245">_xlfn.XLOOKUP(1,('FA Write off'!A:A='FA Addition'!$A245)*('FA Write off'!D:D=AA245),'FA Write off'!H:H,0,0)</f>
        <v>0</v>
      </c>
      <c r="AJ245" s="117">
        <f>IF(AC245&gt;0,MAX(IF('FA Addition'!$N245="SLM",($AC245-'FA Addition'!$M245)*'FA Addition'!$P245*AI245/365,(AC245-'FA Addition'!$M245)*(1-(1-'FA Addition'!$P245)^(AI245/365))),0),0)</f>
        <v>0</v>
      </c>
      <c r="AL245" s="117">
        <f>MAX(IF(AG245&gt;0,IF('FA Addition'!$N245="SLM",($AE245-'FA Addition'!$M245)*'FA Addition'!$P245*AG245/365,IFERROR(VDB(AE245,AE245*0.05,'FA Addition'!$O245,0,YEARFRAC('FA Addition'!$C245,$P$1-1,3),'FA Addition'!$Q245),FAAddition[[#This Row],[Original Cost (Rs)]]-FAAddition[[#This Row],[Salvage Value]])),0),0)</f>
        <v>29193</v>
      </c>
      <c r="AM245" s="119"/>
      <c r="AN245" s="117">
        <f>MAX(IF(AH245&gt;0,IF('FA Addition'!$N245="SLM",($AF245-'FA Addition'!$M245)*'FA Addition'!$P245*AH245/365,IFERROR(VDB(AF245,AF245*0.05,'FA Addition'!$O245,0,YEARFRAC('FA Addition'!$C245,$L$1,3),'FA Addition'!$Q245),FAAddition[[#This Row],[Original Cost (Rs)]]-FAAddition[[#This Row],[Salvage Value]])),0),0)</f>
        <v>29193</v>
      </c>
      <c r="AO245" s="117">
        <f t="shared" si="18"/>
        <v>0</v>
      </c>
      <c r="AQ245" s="117">
        <f t="shared" si="16"/>
        <v>1536</v>
      </c>
      <c r="AR245" s="120">
        <f t="shared" si="17"/>
        <v>1536</v>
      </c>
      <c r="AS245" s="121"/>
    </row>
    <row r="246" spans="1:45" ht="13.5" x14ac:dyDescent="0.4">
      <c r="A246" s="12">
        <f t="shared" si="19"/>
        <v>243</v>
      </c>
      <c r="B246" s="51" t="s">
        <v>731</v>
      </c>
      <c r="C246" s="54">
        <v>42970</v>
      </c>
      <c r="D246" s="54">
        <v>42970</v>
      </c>
      <c r="E246" s="46" t="s">
        <v>451</v>
      </c>
      <c r="F246" s="51" t="s">
        <v>21</v>
      </c>
      <c r="G246" s="44" t="s">
        <v>755</v>
      </c>
      <c r="H246" s="51"/>
      <c r="I246" s="51"/>
      <c r="J246" s="56">
        <v>1</v>
      </c>
      <c r="K246" s="51" t="s">
        <v>756</v>
      </c>
      <c r="L246" s="58">
        <v>20000</v>
      </c>
      <c r="M246" s="50">
        <f>ROUND('FA Addition'!$L246*5%,0.1)</f>
        <v>1000</v>
      </c>
      <c r="N246" s="113" t="str">
        <f>_xlfn.XLOOKUP(_xlfn.CONCAT(E246,B246),'Year Wise Master Dep Approach'!F:F,'Year Wise Master Dep Approach'!D:D)</f>
        <v>WDV</v>
      </c>
      <c r="O246" s="113">
        <f>_xlfn.XLOOKUP(_xlfn.CONCAT(E246,B246),'Year Wise Master Dep Approach'!F:F,'Year Wise Master Dep Approach'!E:E)</f>
        <v>3</v>
      </c>
      <c r="P246" s="114">
        <f>IFERROR(IF('FA Addition'!$N246="WDV",1-('FA Addition'!$M246/'FA Addition'!$L246)^(1/'FA Addition'!$O246),1/'FA Addition'!$O246),0)</f>
        <v>0.63159685013596123</v>
      </c>
      <c r="Q246" s="122">
        <f>'FA Addition'!$P246*'FA Addition'!$O246</f>
        <v>1.8947905504078837</v>
      </c>
      <c r="R246" s="122"/>
      <c r="S246" s="116">
        <f>IF(AND(DATE(20&amp;LEFT(FAAddition[[#This Row],[FY]],2),4,1)&lt;$L$1+1,DATE(20&amp;LEFT(FAAddition[[#This Row],[FY]],2),4,1)&gt;$P$1-1),'FA Addition'!$J246,0)</f>
        <v>0</v>
      </c>
      <c r="U246" s="117">
        <f>S246*'FA Addition'!$L246/'FA Addition'!$J246</f>
        <v>0</v>
      </c>
      <c r="W246" s="116">
        <f>SUMIFS('FA Write off'!D:D,'FA Write off'!A:A,'FA Addition'!$A246,'FA Write off'!C:C,"&lt;"&amp;'FA Addition'!$P$1)</f>
        <v>0</v>
      </c>
      <c r="Y246" s="191">
        <f>IFERROR(W246/'FA Addition'!$J246*'FA Addition'!$L246,0)</f>
        <v>0</v>
      </c>
      <c r="AA246" s="116">
        <f>SUMIFS('FA Write off'!D:D,'FA Write off'!A:A,'FA Addition'!$A246,'FA Write off'!C:C,"&lt;"&amp;'FA Addition'!$L$1+1,'FA Write off'!C:C,"&gt;"&amp;'FA Addition'!$L$1-365)</f>
        <v>0</v>
      </c>
      <c r="AC246" s="118">
        <f>IFERROR(AA246/'FA Addition'!$J246*'FA Addition'!$L246,0)</f>
        <v>0</v>
      </c>
      <c r="AE246" s="117">
        <f>IF(AND('FA Addition'!$D246&lt;$P$1+1,U246=0),'FA Addition'!$L246,0)-Y246</f>
        <v>20000</v>
      </c>
      <c r="AF246" s="117">
        <f t="shared" si="15"/>
        <v>20000</v>
      </c>
      <c r="AG246" s="117">
        <f>MIN(MAX(+$P$1-'FA Addition'!$D246,0),365*'FA Addition'!$O246)</f>
        <v>1095</v>
      </c>
      <c r="AH246" s="117">
        <f>MIN(MAX($L$1-'FA Addition'!$D246+1,0),365*'FA Addition'!$O246)</f>
        <v>1095</v>
      </c>
      <c r="AI246" s="117" cm="1">
        <f t="array" ref="AI246">_xlfn.XLOOKUP(1,('FA Write off'!A:A='FA Addition'!$A246)*('FA Write off'!D:D=AA246),'FA Write off'!H:H,0,0)</f>
        <v>0</v>
      </c>
      <c r="AJ246" s="117">
        <f>IF(AC246&gt;0,MAX(IF('FA Addition'!$N246="SLM",($AC246-'FA Addition'!$M246)*'FA Addition'!$P246*AI246/365,(AC246-'FA Addition'!$M246)*(1-(1-'FA Addition'!$P246)^(AI246/365))),0),0)</f>
        <v>0</v>
      </c>
      <c r="AL246" s="117">
        <f>MAX(IF(AG246&gt;0,IF('FA Addition'!$N246="SLM",($AE246-'FA Addition'!$M246)*'FA Addition'!$P246*AG246/365,IFERROR(VDB(AE246,AE246*0.05,'FA Addition'!$O246,0,YEARFRAC('FA Addition'!$C246,$P$1-1,3),'FA Addition'!$Q246),FAAddition[[#This Row],[Original Cost (Rs)]]-FAAddition[[#This Row],[Salvage Value]])),0),0)</f>
        <v>19000</v>
      </c>
      <c r="AM246" s="119"/>
      <c r="AN246" s="117">
        <f>MAX(IF(AH246&gt;0,IF('FA Addition'!$N246="SLM",($AF246-'FA Addition'!$M246)*'FA Addition'!$P246*AH246/365,IFERROR(VDB(AF246,AF246*0.05,'FA Addition'!$O246,0,YEARFRAC('FA Addition'!$C246,$L$1,3),'FA Addition'!$Q246),FAAddition[[#This Row],[Original Cost (Rs)]]-FAAddition[[#This Row],[Salvage Value]])),0),0)</f>
        <v>19000</v>
      </c>
      <c r="AO246" s="117">
        <f t="shared" si="18"/>
        <v>0</v>
      </c>
      <c r="AQ246" s="117">
        <f t="shared" si="16"/>
        <v>1000</v>
      </c>
      <c r="AR246" s="120">
        <f t="shared" si="17"/>
        <v>1000</v>
      </c>
      <c r="AS246" s="121"/>
    </row>
    <row r="247" spans="1:45" ht="13.5" x14ac:dyDescent="0.4">
      <c r="A247" s="12">
        <f t="shared" si="19"/>
        <v>244</v>
      </c>
      <c r="B247" s="51" t="s">
        <v>731</v>
      </c>
      <c r="C247" s="54">
        <v>42970</v>
      </c>
      <c r="D247" s="54">
        <v>42970</v>
      </c>
      <c r="E247" s="46" t="s">
        <v>451</v>
      </c>
      <c r="F247" s="51" t="s">
        <v>21</v>
      </c>
      <c r="G247" s="44" t="s">
        <v>755</v>
      </c>
      <c r="H247" s="51"/>
      <c r="I247" s="51"/>
      <c r="J247" s="56">
        <v>1</v>
      </c>
      <c r="K247" s="51" t="s">
        <v>756</v>
      </c>
      <c r="L247" s="58">
        <v>20000</v>
      </c>
      <c r="M247" s="50">
        <f>ROUND('FA Addition'!$L247*5%,0.1)</f>
        <v>1000</v>
      </c>
      <c r="N247" s="113" t="str">
        <f>_xlfn.XLOOKUP(_xlfn.CONCAT(E247,B247),'Year Wise Master Dep Approach'!F:F,'Year Wise Master Dep Approach'!D:D)</f>
        <v>WDV</v>
      </c>
      <c r="O247" s="113">
        <f>_xlfn.XLOOKUP(_xlfn.CONCAT(E247,B247),'Year Wise Master Dep Approach'!F:F,'Year Wise Master Dep Approach'!E:E)</f>
        <v>3</v>
      </c>
      <c r="P247" s="114">
        <f>IFERROR(IF('FA Addition'!$N247="WDV",1-('FA Addition'!$M247/'FA Addition'!$L247)^(1/'FA Addition'!$O247),1/'FA Addition'!$O247),0)</f>
        <v>0.63159685013596123</v>
      </c>
      <c r="Q247" s="122">
        <f>'FA Addition'!$P247*'FA Addition'!$O247</f>
        <v>1.8947905504078837</v>
      </c>
      <c r="R247" s="122"/>
      <c r="S247" s="116">
        <f>IF(AND(DATE(20&amp;LEFT(FAAddition[[#This Row],[FY]],2),4,1)&lt;$L$1+1,DATE(20&amp;LEFT(FAAddition[[#This Row],[FY]],2),4,1)&gt;$P$1-1),'FA Addition'!$J247,0)</f>
        <v>0</v>
      </c>
      <c r="U247" s="117">
        <f>S247*'FA Addition'!$L247/'FA Addition'!$J247</f>
        <v>0</v>
      </c>
      <c r="W247" s="116">
        <f>SUMIFS('FA Write off'!D:D,'FA Write off'!A:A,'FA Addition'!$A247,'FA Write off'!C:C,"&lt;"&amp;'FA Addition'!$P$1)</f>
        <v>0</v>
      </c>
      <c r="Y247" s="191">
        <f>IFERROR(W247/'FA Addition'!$J247*'FA Addition'!$L247,0)</f>
        <v>0</v>
      </c>
      <c r="AA247" s="116">
        <f>SUMIFS('FA Write off'!D:D,'FA Write off'!A:A,'FA Addition'!$A247,'FA Write off'!C:C,"&lt;"&amp;'FA Addition'!$L$1+1,'FA Write off'!C:C,"&gt;"&amp;'FA Addition'!$L$1-365)</f>
        <v>0</v>
      </c>
      <c r="AC247" s="118">
        <f>IFERROR(AA247/'FA Addition'!$J247*'FA Addition'!$L247,0)</f>
        <v>0</v>
      </c>
      <c r="AE247" s="117">
        <f>IF(AND('FA Addition'!$D247&lt;$P$1+1,U247=0),'FA Addition'!$L247,0)-Y247</f>
        <v>20000</v>
      </c>
      <c r="AF247" s="117">
        <f t="shared" si="15"/>
        <v>20000</v>
      </c>
      <c r="AG247" s="117">
        <f>MIN(MAX(+$P$1-'FA Addition'!$D247,0),365*'FA Addition'!$O247)</f>
        <v>1095</v>
      </c>
      <c r="AH247" s="117">
        <f>MIN(MAX($L$1-'FA Addition'!$D247+1,0),365*'FA Addition'!$O247)</f>
        <v>1095</v>
      </c>
      <c r="AI247" s="117" cm="1">
        <f t="array" ref="AI247">_xlfn.XLOOKUP(1,('FA Write off'!A:A='FA Addition'!$A247)*('FA Write off'!D:D=AA247),'FA Write off'!H:H,0,0)</f>
        <v>0</v>
      </c>
      <c r="AJ247" s="117">
        <f>IF(AC247&gt;0,MAX(IF('FA Addition'!$N247="SLM",($AC247-'FA Addition'!$M247)*'FA Addition'!$P247*AI247/365,(AC247-'FA Addition'!$M247)*(1-(1-'FA Addition'!$P247)^(AI247/365))),0),0)</f>
        <v>0</v>
      </c>
      <c r="AL247" s="117">
        <f>MAX(IF(AG247&gt;0,IF('FA Addition'!$N247="SLM",($AE247-'FA Addition'!$M247)*'FA Addition'!$P247*AG247/365,IFERROR(VDB(AE247,AE247*0.05,'FA Addition'!$O247,0,YEARFRAC('FA Addition'!$C247,$P$1-1,3),'FA Addition'!$Q247),FAAddition[[#This Row],[Original Cost (Rs)]]-FAAddition[[#This Row],[Salvage Value]])),0),0)</f>
        <v>19000</v>
      </c>
      <c r="AM247" s="119"/>
      <c r="AN247" s="117">
        <f>MAX(IF(AH247&gt;0,IF('FA Addition'!$N247="SLM",($AF247-'FA Addition'!$M247)*'FA Addition'!$P247*AH247/365,IFERROR(VDB(AF247,AF247*0.05,'FA Addition'!$O247,0,YEARFRAC('FA Addition'!$C247,$L$1,3),'FA Addition'!$Q247),FAAddition[[#This Row],[Original Cost (Rs)]]-FAAddition[[#This Row],[Salvage Value]])),0),0)</f>
        <v>19000</v>
      </c>
      <c r="AO247" s="117">
        <f t="shared" si="18"/>
        <v>0</v>
      </c>
      <c r="AQ247" s="117">
        <f t="shared" si="16"/>
        <v>1000</v>
      </c>
      <c r="AR247" s="120">
        <f t="shared" si="17"/>
        <v>1000</v>
      </c>
      <c r="AS247" s="121"/>
    </row>
    <row r="248" spans="1:45" ht="13.5" x14ac:dyDescent="0.4">
      <c r="A248" s="12">
        <f t="shared" si="19"/>
        <v>245</v>
      </c>
      <c r="B248" s="51" t="s">
        <v>731</v>
      </c>
      <c r="C248" s="54">
        <v>42970</v>
      </c>
      <c r="D248" s="54">
        <v>42970</v>
      </c>
      <c r="E248" s="46" t="s">
        <v>451</v>
      </c>
      <c r="F248" s="51" t="s">
        <v>21</v>
      </c>
      <c r="G248" s="44" t="s">
        <v>755</v>
      </c>
      <c r="H248" s="51"/>
      <c r="I248" s="51"/>
      <c r="J248" s="56">
        <v>1</v>
      </c>
      <c r="K248" s="51" t="s">
        <v>756</v>
      </c>
      <c r="L248" s="58">
        <v>20000</v>
      </c>
      <c r="M248" s="50">
        <f>ROUND('FA Addition'!$L248*5%,0.1)</f>
        <v>1000</v>
      </c>
      <c r="N248" s="113" t="str">
        <f>_xlfn.XLOOKUP(_xlfn.CONCAT(E248,B248),'Year Wise Master Dep Approach'!F:F,'Year Wise Master Dep Approach'!D:D)</f>
        <v>WDV</v>
      </c>
      <c r="O248" s="113">
        <f>_xlfn.XLOOKUP(_xlfn.CONCAT(E248,B248),'Year Wise Master Dep Approach'!F:F,'Year Wise Master Dep Approach'!E:E)</f>
        <v>3</v>
      </c>
      <c r="P248" s="114">
        <f>IFERROR(IF('FA Addition'!$N248="WDV",1-('FA Addition'!$M248/'FA Addition'!$L248)^(1/'FA Addition'!$O248),1/'FA Addition'!$O248),0)</f>
        <v>0.63159685013596123</v>
      </c>
      <c r="Q248" s="122">
        <f>'FA Addition'!$P248*'FA Addition'!$O248</f>
        <v>1.8947905504078837</v>
      </c>
      <c r="R248" s="122"/>
      <c r="S248" s="116">
        <f>IF(AND(DATE(20&amp;LEFT(FAAddition[[#This Row],[FY]],2),4,1)&lt;$L$1+1,DATE(20&amp;LEFT(FAAddition[[#This Row],[FY]],2),4,1)&gt;$P$1-1),'FA Addition'!$J248,0)</f>
        <v>0</v>
      </c>
      <c r="U248" s="117">
        <f>S248*'FA Addition'!$L248/'FA Addition'!$J248</f>
        <v>0</v>
      </c>
      <c r="W248" s="116">
        <f>SUMIFS('FA Write off'!D:D,'FA Write off'!A:A,'FA Addition'!$A248,'FA Write off'!C:C,"&lt;"&amp;'FA Addition'!$P$1)</f>
        <v>0</v>
      </c>
      <c r="Y248" s="191">
        <f>IFERROR(W248/'FA Addition'!$J248*'FA Addition'!$L248,0)</f>
        <v>0</v>
      </c>
      <c r="AA248" s="116">
        <f>SUMIFS('FA Write off'!D:D,'FA Write off'!A:A,'FA Addition'!$A248,'FA Write off'!C:C,"&lt;"&amp;'FA Addition'!$L$1+1,'FA Write off'!C:C,"&gt;"&amp;'FA Addition'!$L$1-365)</f>
        <v>0</v>
      </c>
      <c r="AC248" s="118">
        <f>IFERROR(AA248/'FA Addition'!$J248*'FA Addition'!$L248,0)</f>
        <v>0</v>
      </c>
      <c r="AE248" s="117">
        <f>IF(AND('FA Addition'!$D248&lt;$P$1+1,U248=0),'FA Addition'!$L248,0)-Y248</f>
        <v>20000</v>
      </c>
      <c r="AF248" s="117">
        <f t="shared" si="15"/>
        <v>20000</v>
      </c>
      <c r="AG248" s="117">
        <f>MIN(MAX(+$P$1-'FA Addition'!$D248,0),365*'FA Addition'!$O248)</f>
        <v>1095</v>
      </c>
      <c r="AH248" s="117">
        <f>MIN(MAX($L$1-'FA Addition'!$D248+1,0),365*'FA Addition'!$O248)</f>
        <v>1095</v>
      </c>
      <c r="AI248" s="117" cm="1">
        <f t="array" ref="AI248">_xlfn.XLOOKUP(1,('FA Write off'!A:A='FA Addition'!$A248)*('FA Write off'!D:D=AA248),'FA Write off'!H:H,0,0)</f>
        <v>0</v>
      </c>
      <c r="AJ248" s="117">
        <f>IF(AC248&gt;0,MAX(IF('FA Addition'!$N248="SLM",($AC248-'FA Addition'!$M248)*'FA Addition'!$P248*AI248/365,(AC248-'FA Addition'!$M248)*(1-(1-'FA Addition'!$P248)^(AI248/365))),0),0)</f>
        <v>0</v>
      </c>
      <c r="AL248" s="117">
        <f>MAX(IF(AG248&gt;0,IF('FA Addition'!$N248="SLM",($AE248-'FA Addition'!$M248)*'FA Addition'!$P248*AG248/365,IFERROR(VDB(AE248,AE248*0.05,'FA Addition'!$O248,0,YEARFRAC('FA Addition'!$C248,$P$1-1,3),'FA Addition'!$Q248),FAAddition[[#This Row],[Original Cost (Rs)]]-FAAddition[[#This Row],[Salvage Value]])),0),0)</f>
        <v>19000</v>
      </c>
      <c r="AM248" s="119"/>
      <c r="AN248" s="117">
        <f>MAX(IF(AH248&gt;0,IF('FA Addition'!$N248="SLM",($AF248-'FA Addition'!$M248)*'FA Addition'!$P248*AH248/365,IFERROR(VDB(AF248,AF248*0.05,'FA Addition'!$O248,0,YEARFRAC('FA Addition'!$C248,$L$1,3),'FA Addition'!$Q248),FAAddition[[#This Row],[Original Cost (Rs)]]-FAAddition[[#This Row],[Salvage Value]])),0),0)</f>
        <v>19000</v>
      </c>
      <c r="AO248" s="117">
        <f t="shared" si="18"/>
        <v>0</v>
      </c>
      <c r="AQ248" s="117">
        <f t="shared" si="16"/>
        <v>1000</v>
      </c>
      <c r="AR248" s="120">
        <f t="shared" si="17"/>
        <v>1000</v>
      </c>
      <c r="AS248" s="121"/>
    </row>
    <row r="249" spans="1:45" ht="13.5" x14ac:dyDescent="0.4">
      <c r="A249" s="12">
        <f t="shared" si="19"/>
        <v>246</v>
      </c>
      <c r="B249" s="51" t="s">
        <v>731</v>
      </c>
      <c r="C249" s="54">
        <v>42970</v>
      </c>
      <c r="D249" s="54">
        <v>42970</v>
      </c>
      <c r="E249" s="46" t="s">
        <v>451</v>
      </c>
      <c r="F249" s="51" t="s">
        <v>151</v>
      </c>
      <c r="G249" s="44" t="s">
        <v>620</v>
      </c>
      <c r="H249" s="51" t="s">
        <v>151</v>
      </c>
      <c r="I249" s="51">
        <v>4226</v>
      </c>
      <c r="J249" s="56">
        <v>1</v>
      </c>
      <c r="K249" s="51" t="s">
        <v>757</v>
      </c>
      <c r="L249" s="58">
        <v>10547</v>
      </c>
      <c r="M249" s="50">
        <f>ROUND('FA Addition'!$L249*5%,0.1)</f>
        <v>527</v>
      </c>
      <c r="N249" s="113" t="str">
        <f>_xlfn.XLOOKUP(_xlfn.CONCAT(E249,B249),'Year Wise Master Dep Approach'!F:F,'Year Wise Master Dep Approach'!D:D)</f>
        <v>WDV</v>
      </c>
      <c r="O249" s="113">
        <f>_xlfn.XLOOKUP(_xlfn.CONCAT(E249,B249),'Year Wise Master Dep Approach'!F:F,'Year Wise Master Dep Approach'!E:E)</f>
        <v>3</v>
      </c>
      <c r="P249" s="114">
        <f>IFERROR(IF('FA Addition'!$N249="WDV",1-('FA Addition'!$M249/'FA Addition'!$L249)^(1/'FA Addition'!$O249),1/'FA Addition'!$O249),0)</f>
        <v>0.631678370719297</v>
      </c>
      <c r="Q249" s="122">
        <f>'FA Addition'!$P249*'FA Addition'!$O249</f>
        <v>1.895035112157891</v>
      </c>
      <c r="R249" s="122"/>
      <c r="S249" s="116">
        <f>IF(AND(DATE(20&amp;LEFT(FAAddition[[#This Row],[FY]],2),4,1)&lt;$L$1+1,DATE(20&amp;LEFT(FAAddition[[#This Row],[FY]],2),4,1)&gt;$P$1-1),'FA Addition'!$J249,0)</f>
        <v>0</v>
      </c>
      <c r="U249" s="117">
        <f>S249*'FA Addition'!$L249/'FA Addition'!$J249</f>
        <v>0</v>
      </c>
      <c r="W249" s="116">
        <f>SUMIFS('FA Write off'!D:D,'FA Write off'!A:A,'FA Addition'!$A249,'FA Write off'!C:C,"&lt;"&amp;'FA Addition'!$P$1)</f>
        <v>0</v>
      </c>
      <c r="Y249" s="191">
        <f>IFERROR(W249/'FA Addition'!$J249*'FA Addition'!$L249,0)</f>
        <v>0</v>
      </c>
      <c r="AA249" s="116">
        <f>SUMIFS('FA Write off'!D:D,'FA Write off'!A:A,'FA Addition'!$A249,'FA Write off'!C:C,"&lt;"&amp;'FA Addition'!$L$1+1,'FA Write off'!C:C,"&gt;"&amp;'FA Addition'!$L$1-365)</f>
        <v>0</v>
      </c>
      <c r="AC249" s="118">
        <f>IFERROR(AA249/'FA Addition'!$J249*'FA Addition'!$L249,0)</f>
        <v>0</v>
      </c>
      <c r="AE249" s="117">
        <f>IF(AND('FA Addition'!$D249&lt;$P$1+1,U249=0),'FA Addition'!$L249,0)-Y249</f>
        <v>10547</v>
      </c>
      <c r="AF249" s="117">
        <f t="shared" si="15"/>
        <v>10547</v>
      </c>
      <c r="AG249" s="117">
        <f>MIN(MAX(+$P$1-'FA Addition'!$D249,0),365*'FA Addition'!$O249)</f>
        <v>1095</v>
      </c>
      <c r="AH249" s="117">
        <f>MIN(MAX($L$1-'FA Addition'!$D249+1,0),365*'FA Addition'!$O249)</f>
        <v>1095</v>
      </c>
      <c r="AI249" s="117" cm="1">
        <f t="array" ref="AI249">_xlfn.XLOOKUP(1,('FA Write off'!A:A='FA Addition'!$A249)*('FA Write off'!D:D=AA249),'FA Write off'!H:H,0,0)</f>
        <v>0</v>
      </c>
      <c r="AJ249" s="117">
        <f>IF(AC249&gt;0,MAX(IF('FA Addition'!$N249="SLM",($AC249-'FA Addition'!$M249)*'FA Addition'!$P249*AI249/365,(AC249-'FA Addition'!$M249)*(1-(1-'FA Addition'!$P249)^(AI249/365))),0),0)</f>
        <v>0</v>
      </c>
      <c r="AL249" s="117">
        <f>MAX(IF(AG249&gt;0,IF('FA Addition'!$N249="SLM",($AE249-'FA Addition'!$M249)*'FA Addition'!$P249*AG249/365,IFERROR(VDB(AE249,AE249*0.05,'FA Addition'!$O249,0,YEARFRAC('FA Addition'!$C249,$P$1-1,3),'FA Addition'!$Q249),FAAddition[[#This Row],[Original Cost (Rs)]]-FAAddition[[#This Row],[Salvage Value]])),0),0)</f>
        <v>10020</v>
      </c>
      <c r="AM249" s="119"/>
      <c r="AN249" s="117">
        <f>MAX(IF(AH249&gt;0,IF('FA Addition'!$N249="SLM",($AF249-'FA Addition'!$M249)*'FA Addition'!$P249*AH249/365,IFERROR(VDB(AF249,AF249*0.05,'FA Addition'!$O249,0,YEARFRAC('FA Addition'!$C249,$L$1,3),'FA Addition'!$Q249),FAAddition[[#This Row],[Original Cost (Rs)]]-FAAddition[[#This Row],[Salvage Value]])),0),0)</f>
        <v>10020</v>
      </c>
      <c r="AO249" s="117">
        <f t="shared" si="18"/>
        <v>0</v>
      </c>
      <c r="AQ249" s="117">
        <f t="shared" si="16"/>
        <v>527</v>
      </c>
      <c r="AR249" s="120">
        <f t="shared" si="17"/>
        <v>527</v>
      </c>
      <c r="AS249" s="121"/>
    </row>
    <row r="250" spans="1:45" ht="13.5" x14ac:dyDescent="0.4">
      <c r="A250" s="12">
        <f t="shared" si="19"/>
        <v>247</v>
      </c>
      <c r="B250" s="51" t="s">
        <v>731</v>
      </c>
      <c r="C250" s="54">
        <v>42974</v>
      </c>
      <c r="D250" s="54">
        <v>42974</v>
      </c>
      <c r="E250" s="46" t="s">
        <v>523</v>
      </c>
      <c r="F250" s="51" t="s">
        <v>758</v>
      </c>
      <c r="G250" s="51" t="s">
        <v>759</v>
      </c>
      <c r="H250" s="51"/>
      <c r="I250" s="51">
        <v>39</v>
      </c>
      <c r="J250" s="56">
        <v>1</v>
      </c>
      <c r="K250" s="51" t="s">
        <v>760</v>
      </c>
      <c r="L250" s="58">
        <v>75696</v>
      </c>
      <c r="M250" s="50">
        <f>ROUND('FA Addition'!$L250*5%,0.1)</f>
        <v>3785</v>
      </c>
      <c r="N250" s="113" t="str">
        <f>_xlfn.XLOOKUP(_xlfn.CONCAT(E250,B250),'Year Wise Master Dep Approach'!F:F,'Year Wise Master Dep Approach'!D:D)</f>
        <v>WDV</v>
      </c>
      <c r="O250" s="113">
        <f>_xlfn.XLOOKUP(_xlfn.CONCAT(E250,B250),'Year Wise Master Dep Approach'!F:F,'Year Wise Master Dep Approach'!E:E)</f>
        <v>10</v>
      </c>
      <c r="P250" s="114">
        <f>IFERROR(IF('FA Addition'!$N250="WDV",1-('FA Addition'!$M250/'FA Addition'!$L250)^(1/'FA Addition'!$O250),1/'FA Addition'!$O250),0)</f>
        <v>0.25886163461305856</v>
      </c>
      <c r="Q250" s="122">
        <f>'FA Addition'!$P250*'FA Addition'!$O250</f>
        <v>2.5886163461305856</v>
      </c>
      <c r="R250" s="122"/>
      <c r="S250" s="116">
        <f>IF(AND(DATE(20&amp;LEFT(FAAddition[[#This Row],[FY]],2),4,1)&lt;$L$1+1,DATE(20&amp;LEFT(FAAddition[[#This Row],[FY]],2),4,1)&gt;$P$1-1),'FA Addition'!$J250,0)</f>
        <v>0</v>
      </c>
      <c r="U250" s="117">
        <f>S250*'FA Addition'!$L250/'FA Addition'!$J250</f>
        <v>0</v>
      </c>
      <c r="W250" s="116">
        <f>SUMIFS('FA Write off'!D:D,'FA Write off'!A:A,'FA Addition'!$A250,'FA Write off'!C:C,"&lt;"&amp;'FA Addition'!$P$1)</f>
        <v>0</v>
      </c>
      <c r="Y250" s="191">
        <f>IFERROR(W250/'FA Addition'!$J250*'FA Addition'!$L250,0)</f>
        <v>0</v>
      </c>
      <c r="AA250" s="116">
        <f>SUMIFS('FA Write off'!D:D,'FA Write off'!A:A,'FA Addition'!$A250,'FA Write off'!C:C,"&lt;"&amp;'FA Addition'!$L$1+1,'FA Write off'!C:C,"&gt;"&amp;'FA Addition'!$L$1-365)</f>
        <v>0</v>
      </c>
      <c r="AC250" s="118">
        <f>IFERROR(AA250/'FA Addition'!$J250*'FA Addition'!$L250,0)</f>
        <v>0</v>
      </c>
      <c r="AE250" s="117">
        <f>IF(AND('FA Addition'!$D250&lt;$P$1+1,U250=0),'FA Addition'!$L250,0)-Y250</f>
        <v>75696</v>
      </c>
      <c r="AF250" s="117">
        <f t="shared" si="15"/>
        <v>75696</v>
      </c>
      <c r="AG250" s="117">
        <f>MIN(MAX(+$P$1-'FA Addition'!$D250,0),365*'FA Addition'!$O250)</f>
        <v>2043</v>
      </c>
      <c r="AH250" s="117">
        <f>MIN(MAX($L$1-'FA Addition'!$D250+1,0),365*'FA Addition'!$O250)</f>
        <v>2409</v>
      </c>
      <c r="AI250" s="117" cm="1">
        <f t="array" ref="AI250">_xlfn.XLOOKUP(1,('FA Write off'!A:A='FA Addition'!$A250)*('FA Write off'!D:D=AA250),'FA Write off'!H:H,0,0)</f>
        <v>0</v>
      </c>
      <c r="AJ250" s="117">
        <f>IF(AC250&gt;0,MAX(IF('FA Addition'!$N250="SLM",($AC250-'FA Addition'!$M250)*'FA Addition'!$P250*AI250/365,(AC250-'FA Addition'!$M250)*(1-(1-'FA Addition'!$P250)^(AI250/365))),0),0)</f>
        <v>0</v>
      </c>
      <c r="AL250" s="117">
        <f>MAX(IF(AG250&gt;0,IF('FA Addition'!$N250="SLM",($AE250-'FA Addition'!$M250)*'FA Addition'!$P250*AG250/365,IFERROR(VDB(AE250,AE250*0.05,'FA Addition'!$O250,0,YEARFRAC('FA Addition'!$C250,$P$1-1,3),'FA Addition'!$Q250),FAAddition[[#This Row],[Original Cost (Rs)]]-FAAddition[[#This Row],[Salvage Value]])),0),0)</f>
        <v>61374.390066237262</v>
      </c>
      <c r="AM250" s="119"/>
      <c r="AN250" s="117">
        <f>MAX(IF(AH250&gt;0,IF('FA Addition'!$N250="SLM",($AF250-'FA Addition'!$M250)*'FA Addition'!$P250*AH250/365,IFERROR(VDB(AF250,AF250*0.05,'FA Addition'!$O250,0,YEARFRAC('FA Addition'!$C250,$L$1,3),'FA Addition'!$Q250),FAAddition[[#This Row],[Original Cost (Rs)]]-FAAddition[[#This Row],[Salvage Value]])),0),0)</f>
        <v>65090.602422687181</v>
      </c>
      <c r="AO250" s="117">
        <f t="shared" si="18"/>
        <v>3716.2123564499198</v>
      </c>
      <c r="AQ250" s="117">
        <f t="shared" si="16"/>
        <v>14321.609933762738</v>
      </c>
      <c r="AR250" s="120">
        <f t="shared" si="17"/>
        <v>10605.397577312819</v>
      </c>
      <c r="AS250" s="121"/>
    </row>
    <row r="251" spans="1:45" ht="13.5" x14ac:dyDescent="0.4">
      <c r="A251" s="12">
        <f t="shared" si="19"/>
        <v>248</v>
      </c>
      <c r="B251" s="51" t="s">
        <v>731</v>
      </c>
      <c r="C251" s="54">
        <v>42975</v>
      </c>
      <c r="D251" s="54">
        <v>42975</v>
      </c>
      <c r="E251" s="46" t="s">
        <v>749</v>
      </c>
      <c r="F251" s="51" t="s">
        <v>750</v>
      </c>
      <c r="G251" s="51"/>
      <c r="H251" s="44"/>
      <c r="I251" s="51"/>
      <c r="J251" s="56">
        <v>1</v>
      </c>
      <c r="K251" s="51" t="s">
        <v>761</v>
      </c>
      <c r="L251" s="58">
        <v>40000</v>
      </c>
      <c r="M251" s="50">
        <f>ROUND('FA Addition'!$L251*5%,0.1)</f>
        <v>2000</v>
      </c>
      <c r="N251" s="113" t="str">
        <f>_xlfn.XLOOKUP(_xlfn.CONCAT(E251,B251),'Year Wise Master Dep Approach'!F:F,'Year Wise Master Dep Approach'!D:D)</f>
        <v>WDV</v>
      </c>
      <c r="O251" s="113">
        <f>_xlfn.XLOOKUP(_xlfn.CONCAT(E251,B251),'Year Wise Master Dep Approach'!F:F,'Year Wise Master Dep Approach'!E:E)</f>
        <v>5</v>
      </c>
      <c r="P251" s="114">
        <f>IFERROR(IF('FA Addition'!$N251="WDV",1-('FA Addition'!$M251/'FA Addition'!$L251)^(1/'FA Addition'!$O251),1/'FA Addition'!$O251),0)</f>
        <v>0.45071972834694107</v>
      </c>
      <c r="Q251" s="122">
        <f>'FA Addition'!$P251*'FA Addition'!$O251</f>
        <v>2.2535986417347056</v>
      </c>
      <c r="R251" s="122"/>
      <c r="S251" s="116">
        <f>IF(AND(DATE(20&amp;LEFT(FAAddition[[#This Row],[FY]],2),4,1)&lt;$L$1+1,DATE(20&amp;LEFT(FAAddition[[#This Row],[FY]],2),4,1)&gt;$P$1-1),'FA Addition'!$J251,0)</f>
        <v>0</v>
      </c>
      <c r="U251" s="117">
        <f>S251*'FA Addition'!$L251/'FA Addition'!$J251</f>
        <v>0</v>
      </c>
      <c r="W251" s="116">
        <f>SUMIFS('FA Write off'!D:D,'FA Write off'!A:A,'FA Addition'!$A251,'FA Write off'!C:C,"&lt;"&amp;'FA Addition'!$P$1)</f>
        <v>0</v>
      </c>
      <c r="Y251" s="191">
        <f>IFERROR(W251/'FA Addition'!$J251*'FA Addition'!$L251,0)</f>
        <v>0</v>
      </c>
      <c r="AA251" s="116">
        <f>SUMIFS('FA Write off'!D:D,'FA Write off'!A:A,'FA Addition'!$A251,'FA Write off'!C:C,"&lt;"&amp;'FA Addition'!$L$1+1,'FA Write off'!C:C,"&gt;"&amp;'FA Addition'!$L$1-365)</f>
        <v>0</v>
      </c>
      <c r="AC251" s="118">
        <f>IFERROR(AA251/'FA Addition'!$J251*'FA Addition'!$L251,0)</f>
        <v>0</v>
      </c>
      <c r="AE251" s="117">
        <f>IF(AND('FA Addition'!$D251&lt;$P$1+1,U251=0),'FA Addition'!$L251,0)-Y251</f>
        <v>40000</v>
      </c>
      <c r="AF251" s="117">
        <f t="shared" si="15"/>
        <v>40000</v>
      </c>
      <c r="AG251" s="117">
        <f>MIN(MAX(+$P$1-'FA Addition'!$D251,0),365*'FA Addition'!$O251)</f>
        <v>1825</v>
      </c>
      <c r="AH251" s="117">
        <f>MIN(MAX($L$1-'FA Addition'!$D251+1,0),365*'FA Addition'!$O251)</f>
        <v>1825</v>
      </c>
      <c r="AI251" s="117" cm="1">
        <f t="array" ref="AI251">_xlfn.XLOOKUP(1,('FA Write off'!A:A='FA Addition'!$A251)*('FA Write off'!D:D=AA251),'FA Write off'!H:H,0,0)</f>
        <v>0</v>
      </c>
      <c r="AJ251" s="117">
        <f>IF(AC251&gt;0,MAX(IF('FA Addition'!$N251="SLM",($AC251-'FA Addition'!$M251)*'FA Addition'!$P251*AI251/365,(AC251-'FA Addition'!$M251)*(1-(1-'FA Addition'!$P251)^(AI251/365))),0),0)</f>
        <v>0</v>
      </c>
      <c r="AL251" s="117">
        <f>MAX(IF(AG251&gt;0,IF('FA Addition'!$N251="SLM",($AE251-'FA Addition'!$M251)*'FA Addition'!$P251*AG251/365,IFERROR(VDB(AE251,AE251*0.05,'FA Addition'!$O251,0,YEARFRAC('FA Addition'!$C251,$P$1-1,3),'FA Addition'!$Q251),FAAddition[[#This Row],[Original Cost (Rs)]]-FAAddition[[#This Row],[Salvage Value]])),0),0)</f>
        <v>38000</v>
      </c>
      <c r="AM251" s="119"/>
      <c r="AN251" s="117">
        <f>MAX(IF(AH251&gt;0,IF('FA Addition'!$N251="SLM",($AF251-'FA Addition'!$M251)*'FA Addition'!$P251*AH251/365,IFERROR(VDB(AF251,AF251*0.05,'FA Addition'!$O251,0,YEARFRAC('FA Addition'!$C251,$L$1,3),'FA Addition'!$Q251),FAAddition[[#This Row],[Original Cost (Rs)]]-FAAddition[[#This Row],[Salvage Value]])),0),0)</f>
        <v>38000</v>
      </c>
      <c r="AO251" s="117">
        <f t="shared" si="18"/>
        <v>0</v>
      </c>
      <c r="AQ251" s="117">
        <f t="shared" si="16"/>
        <v>2000</v>
      </c>
      <c r="AR251" s="120">
        <f t="shared" si="17"/>
        <v>2000</v>
      </c>
      <c r="AS251" s="121"/>
    </row>
    <row r="252" spans="1:45" ht="13.5" x14ac:dyDescent="0.4">
      <c r="A252" s="12">
        <f t="shared" si="19"/>
        <v>249</v>
      </c>
      <c r="B252" s="51" t="s">
        <v>731</v>
      </c>
      <c r="C252" s="54">
        <v>42976</v>
      </c>
      <c r="D252" s="54">
        <v>42976</v>
      </c>
      <c r="E252" s="46" t="s">
        <v>749</v>
      </c>
      <c r="F252" s="51" t="s">
        <v>750</v>
      </c>
      <c r="G252" s="51"/>
      <c r="H252" s="51"/>
      <c r="I252" s="51"/>
      <c r="J252" s="56">
        <v>1</v>
      </c>
      <c r="K252" s="51" t="s">
        <v>761</v>
      </c>
      <c r="L252" s="58">
        <v>5000</v>
      </c>
      <c r="M252" s="50">
        <f>ROUND('FA Addition'!$L252*5%,0.1)</f>
        <v>250</v>
      </c>
      <c r="N252" s="113" t="str">
        <f>_xlfn.XLOOKUP(_xlfn.CONCAT(E252,B252),'Year Wise Master Dep Approach'!F:F,'Year Wise Master Dep Approach'!D:D)</f>
        <v>WDV</v>
      </c>
      <c r="O252" s="113">
        <f>_xlfn.XLOOKUP(_xlfn.CONCAT(E252,B252),'Year Wise Master Dep Approach'!F:F,'Year Wise Master Dep Approach'!E:E)</f>
        <v>5</v>
      </c>
      <c r="P252" s="114">
        <f>IFERROR(IF('FA Addition'!$N252="WDV",1-('FA Addition'!$M252/'FA Addition'!$L252)^(1/'FA Addition'!$O252),1/'FA Addition'!$O252),0)</f>
        <v>0.45071972834694107</v>
      </c>
      <c r="Q252" s="122">
        <f>'FA Addition'!$P252*'FA Addition'!$O252</f>
        <v>2.2535986417347056</v>
      </c>
      <c r="R252" s="122"/>
      <c r="S252" s="116">
        <f>IF(AND(DATE(20&amp;LEFT(FAAddition[[#This Row],[FY]],2),4,1)&lt;$L$1+1,DATE(20&amp;LEFT(FAAddition[[#This Row],[FY]],2),4,1)&gt;$P$1-1),'FA Addition'!$J252,0)</f>
        <v>0</v>
      </c>
      <c r="U252" s="117">
        <f>S252*'FA Addition'!$L252/'FA Addition'!$J252</f>
        <v>0</v>
      </c>
      <c r="W252" s="116">
        <f>SUMIFS('FA Write off'!D:D,'FA Write off'!A:A,'FA Addition'!$A252,'FA Write off'!C:C,"&lt;"&amp;'FA Addition'!$P$1)</f>
        <v>0</v>
      </c>
      <c r="Y252" s="191">
        <f>IFERROR(W252/'FA Addition'!$J252*'FA Addition'!$L252,0)</f>
        <v>0</v>
      </c>
      <c r="AA252" s="116">
        <f>SUMIFS('FA Write off'!D:D,'FA Write off'!A:A,'FA Addition'!$A252,'FA Write off'!C:C,"&lt;"&amp;'FA Addition'!$L$1+1,'FA Write off'!C:C,"&gt;"&amp;'FA Addition'!$L$1-365)</f>
        <v>0</v>
      </c>
      <c r="AC252" s="118">
        <f>IFERROR(AA252/'FA Addition'!$J252*'FA Addition'!$L252,0)</f>
        <v>0</v>
      </c>
      <c r="AE252" s="117">
        <f>IF(AND('FA Addition'!$D252&lt;$P$1+1,U252=0),'FA Addition'!$L252,0)-Y252</f>
        <v>5000</v>
      </c>
      <c r="AF252" s="117">
        <f t="shared" si="15"/>
        <v>5000</v>
      </c>
      <c r="AG252" s="117">
        <f>MIN(MAX(+$P$1-'FA Addition'!$D252,0),365*'FA Addition'!$O252)</f>
        <v>1825</v>
      </c>
      <c r="AH252" s="117">
        <f>MIN(MAX($L$1-'FA Addition'!$D252+1,0),365*'FA Addition'!$O252)</f>
        <v>1825</v>
      </c>
      <c r="AI252" s="117" cm="1">
        <f t="array" ref="AI252">_xlfn.XLOOKUP(1,('FA Write off'!A:A='FA Addition'!$A252)*('FA Write off'!D:D=AA252),'FA Write off'!H:H,0,0)</f>
        <v>0</v>
      </c>
      <c r="AJ252" s="117">
        <f>IF(AC252&gt;0,MAX(IF('FA Addition'!$N252="SLM",($AC252-'FA Addition'!$M252)*'FA Addition'!$P252*AI252/365,(AC252-'FA Addition'!$M252)*(1-(1-'FA Addition'!$P252)^(AI252/365))),0),0)</f>
        <v>0</v>
      </c>
      <c r="AL252" s="117">
        <f>MAX(IF(AG252&gt;0,IF('FA Addition'!$N252="SLM",($AE252-'FA Addition'!$M252)*'FA Addition'!$P252*AG252/365,IFERROR(VDB(AE252,AE252*0.05,'FA Addition'!$O252,0,YEARFRAC('FA Addition'!$C252,$P$1-1,3),'FA Addition'!$Q252),FAAddition[[#This Row],[Original Cost (Rs)]]-FAAddition[[#This Row],[Salvage Value]])),0),0)</f>
        <v>4750</v>
      </c>
      <c r="AM252" s="119"/>
      <c r="AN252" s="117">
        <f>MAX(IF(AH252&gt;0,IF('FA Addition'!$N252="SLM",($AF252-'FA Addition'!$M252)*'FA Addition'!$P252*AH252/365,IFERROR(VDB(AF252,AF252*0.05,'FA Addition'!$O252,0,YEARFRAC('FA Addition'!$C252,$L$1,3),'FA Addition'!$Q252),FAAddition[[#This Row],[Original Cost (Rs)]]-FAAddition[[#This Row],[Salvage Value]])),0),0)</f>
        <v>4750</v>
      </c>
      <c r="AO252" s="117">
        <f t="shared" si="18"/>
        <v>0</v>
      </c>
      <c r="AQ252" s="117">
        <f t="shared" si="16"/>
        <v>250</v>
      </c>
      <c r="AR252" s="120">
        <f t="shared" si="17"/>
        <v>250</v>
      </c>
      <c r="AS252" s="121"/>
    </row>
    <row r="253" spans="1:45" ht="13.5" x14ac:dyDescent="0.4">
      <c r="A253" s="12">
        <f t="shared" si="19"/>
        <v>250</v>
      </c>
      <c r="B253" s="51" t="s">
        <v>731</v>
      </c>
      <c r="C253" s="54">
        <v>42978</v>
      </c>
      <c r="D253" s="54">
        <v>42978</v>
      </c>
      <c r="E253" s="46" t="s">
        <v>451</v>
      </c>
      <c r="F253" s="51" t="s">
        <v>21</v>
      </c>
      <c r="G253" s="51" t="s">
        <v>620</v>
      </c>
      <c r="H253" s="51" t="s">
        <v>21</v>
      </c>
      <c r="I253" s="51">
        <v>4479</v>
      </c>
      <c r="J253" s="56">
        <v>1</v>
      </c>
      <c r="K253" s="51" t="s">
        <v>762</v>
      </c>
      <c r="L253" s="58">
        <v>17678.63</v>
      </c>
      <c r="M253" s="50">
        <f>ROUND('FA Addition'!$L253*5%,0.1)</f>
        <v>884</v>
      </c>
      <c r="N253" s="113" t="str">
        <f>_xlfn.XLOOKUP(_xlfn.CONCAT(E253,B253),'Year Wise Master Dep Approach'!F:F,'Year Wise Master Dep Approach'!D:D)</f>
        <v>WDV</v>
      </c>
      <c r="O253" s="113">
        <f>_xlfn.XLOOKUP(_xlfn.CONCAT(E253,B253),'Year Wise Master Dep Approach'!F:F,'Year Wise Master Dep Approach'!E:E)</f>
        <v>3</v>
      </c>
      <c r="P253" s="114">
        <f>IFERROR(IF('FA Addition'!$N253="WDV",1-('FA Addition'!$M253/'FA Addition'!$L253)^(1/'FA Addition'!$O253),1/'FA Addition'!$O253),0)</f>
        <v>0.63158733395214006</v>
      </c>
      <c r="Q253" s="122">
        <f>'FA Addition'!$P253*'FA Addition'!$O253</f>
        <v>1.8947620018564202</v>
      </c>
      <c r="R253" s="122"/>
      <c r="S253" s="116">
        <f>IF(AND(DATE(20&amp;LEFT(FAAddition[[#This Row],[FY]],2),4,1)&lt;$L$1+1,DATE(20&amp;LEFT(FAAddition[[#This Row],[FY]],2),4,1)&gt;$P$1-1),'FA Addition'!$J253,0)</f>
        <v>0</v>
      </c>
      <c r="U253" s="117">
        <f>S253*'FA Addition'!$L253/'FA Addition'!$J253</f>
        <v>0</v>
      </c>
      <c r="W253" s="116">
        <f>SUMIFS('FA Write off'!D:D,'FA Write off'!A:A,'FA Addition'!$A253,'FA Write off'!C:C,"&lt;"&amp;'FA Addition'!$P$1)</f>
        <v>0</v>
      </c>
      <c r="Y253" s="191">
        <f>IFERROR(W253/'FA Addition'!$J253*'FA Addition'!$L253,0)</f>
        <v>0</v>
      </c>
      <c r="AA253" s="116">
        <f>SUMIFS('FA Write off'!D:D,'FA Write off'!A:A,'FA Addition'!$A253,'FA Write off'!C:C,"&lt;"&amp;'FA Addition'!$L$1+1,'FA Write off'!C:C,"&gt;"&amp;'FA Addition'!$L$1-365)</f>
        <v>0</v>
      </c>
      <c r="AC253" s="118">
        <f>IFERROR(AA253/'FA Addition'!$J253*'FA Addition'!$L253,0)</f>
        <v>0</v>
      </c>
      <c r="AE253" s="117">
        <f>IF(AND('FA Addition'!$D253&lt;$P$1+1,U253=0),'FA Addition'!$L253,0)-Y253</f>
        <v>17678.63</v>
      </c>
      <c r="AF253" s="117">
        <f t="shared" si="15"/>
        <v>17678.63</v>
      </c>
      <c r="AG253" s="117">
        <f>MIN(MAX(+$P$1-'FA Addition'!$D253,0),365*'FA Addition'!$O253)</f>
        <v>1095</v>
      </c>
      <c r="AH253" s="117">
        <f>MIN(MAX($L$1-'FA Addition'!$D253+1,0),365*'FA Addition'!$O253)</f>
        <v>1095</v>
      </c>
      <c r="AI253" s="117" cm="1">
        <f t="array" ref="AI253">_xlfn.XLOOKUP(1,('FA Write off'!A:A='FA Addition'!$A253)*('FA Write off'!D:D=AA253),'FA Write off'!H:H,0,0)</f>
        <v>0</v>
      </c>
      <c r="AJ253" s="117">
        <f>IF(AC253&gt;0,MAX(IF('FA Addition'!$N253="SLM",($AC253-'FA Addition'!$M253)*'FA Addition'!$P253*AI253/365,(AC253-'FA Addition'!$M253)*(1-(1-'FA Addition'!$P253)^(AI253/365))),0),0)</f>
        <v>0</v>
      </c>
      <c r="AL253" s="117">
        <f>MAX(IF(AG253&gt;0,IF('FA Addition'!$N253="SLM",($AE253-'FA Addition'!$M253)*'FA Addition'!$P253*AG253/365,IFERROR(VDB(AE253,AE253*0.05,'FA Addition'!$O253,0,YEARFRAC('FA Addition'!$C253,$P$1-1,3),'FA Addition'!$Q253),FAAddition[[#This Row],[Original Cost (Rs)]]-FAAddition[[#This Row],[Salvage Value]])),0),0)</f>
        <v>16794.63</v>
      </c>
      <c r="AM253" s="119"/>
      <c r="AN253" s="117">
        <f>MAX(IF(AH253&gt;0,IF('FA Addition'!$N253="SLM",($AF253-'FA Addition'!$M253)*'FA Addition'!$P253*AH253/365,IFERROR(VDB(AF253,AF253*0.05,'FA Addition'!$O253,0,YEARFRAC('FA Addition'!$C253,$L$1,3),'FA Addition'!$Q253),FAAddition[[#This Row],[Original Cost (Rs)]]-FAAddition[[#This Row],[Salvage Value]])),0),0)</f>
        <v>16794.63</v>
      </c>
      <c r="AO253" s="117">
        <f t="shared" si="18"/>
        <v>0</v>
      </c>
      <c r="AQ253" s="117">
        <f t="shared" si="16"/>
        <v>884</v>
      </c>
      <c r="AR253" s="120">
        <f t="shared" si="17"/>
        <v>884</v>
      </c>
      <c r="AS253" s="121"/>
    </row>
    <row r="254" spans="1:45" ht="13.5" x14ac:dyDescent="0.4">
      <c r="A254" s="12">
        <f t="shared" si="19"/>
        <v>251</v>
      </c>
      <c r="B254" s="51" t="s">
        <v>731</v>
      </c>
      <c r="C254" s="54">
        <v>42978</v>
      </c>
      <c r="D254" s="54">
        <v>42978</v>
      </c>
      <c r="E254" s="46" t="s">
        <v>451</v>
      </c>
      <c r="F254" s="51" t="s">
        <v>21</v>
      </c>
      <c r="G254" s="51" t="s">
        <v>620</v>
      </c>
      <c r="H254" s="51" t="s">
        <v>21</v>
      </c>
      <c r="I254" s="51">
        <v>4479</v>
      </c>
      <c r="J254" s="56">
        <v>1</v>
      </c>
      <c r="K254" s="51" t="s">
        <v>762</v>
      </c>
      <c r="L254" s="58">
        <v>17678.63</v>
      </c>
      <c r="M254" s="50">
        <f>ROUND('FA Addition'!$L254*5%,0.1)</f>
        <v>884</v>
      </c>
      <c r="N254" s="113" t="str">
        <f>_xlfn.XLOOKUP(_xlfn.CONCAT(E254,B254),'Year Wise Master Dep Approach'!F:F,'Year Wise Master Dep Approach'!D:D)</f>
        <v>WDV</v>
      </c>
      <c r="O254" s="113">
        <f>_xlfn.XLOOKUP(_xlfn.CONCAT(E254,B254),'Year Wise Master Dep Approach'!F:F,'Year Wise Master Dep Approach'!E:E)</f>
        <v>3</v>
      </c>
      <c r="P254" s="114">
        <f>IFERROR(IF('FA Addition'!$N254="WDV",1-('FA Addition'!$M254/'FA Addition'!$L254)^(1/'FA Addition'!$O254),1/'FA Addition'!$O254),0)</f>
        <v>0.63158733395214006</v>
      </c>
      <c r="Q254" s="122">
        <f>'FA Addition'!$P254*'FA Addition'!$O254</f>
        <v>1.8947620018564202</v>
      </c>
      <c r="R254" s="122"/>
      <c r="S254" s="116">
        <f>IF(AND(DATE(20&amp;LEFT(FAAddition[[#This Row],[FY]],2),4,1)&lt;$L$1+1,DATE(20&amp;LEFT(FAAddition[[#This Row],[FY]],2),4,1)&gt;$P$1-1),'FA Addition'!$J254,0)</f>
        <v>0</v>
      </c>
      <c r="U254" s="117">
        <f>S254*'FA Addition'!$L254/'FA Addition'!$J254</f>
        <v>0</v>
      </c>
      <c r="W254" s="116">
        <f>SUMIFS('FA Write off'!D:D,'FA Write off'!A:A,'FA Addition'!$A254,'FA Write off'!C:C,"&lt;"&amp;'FA Addition'!$P$1)</f>
        <v>0</v>
      </c>
      <c r="Y254" s="191">
        <f>IFERROR(W254/'FA Addition'!$J254*'FA Addition'!$L254,0)</f>
        <v>0</v>
      </c>
      <c r="AA254" s="116">
        <f>SUMIFS('FA Write off'!D:D,'FA Write off'!A:A,'FA Addition'!$A254,'FA Write off'!C:C,"&lt;"&amp;'FA Addition'!$L$1+1,'FA Write off'!C:C,"&gt;"&amp;'FA Addition'!$L$1-365)</f>
        <v>0</v>
      </c>
      <c r="AC254" s="118">
        <f>IFERROR(AA254/'FA Addition'!$J254*'FA Addition'!$L254,0)</f>
        <v>0</v>
      </c>
      <c r="AE254" s="117">
        <f>IF(AND('FA Addition'!$D254&lt;$P$1+1,U254=0),'FA Addition'!$L254,0)-Y254</f>
        <v>17678.63</v>
      </c>
      <c r="AF254" s="117">
        <f t="shared" si="15"/>
        <v>17678.63</v>
      </c>
      <c r="AG254" s="117">
        <f>MIN(MAX(+$P$1-'FA Addition'!$D254,0),365*'FA Addition'!$O254)</f>
        <v>1095</v>
      </c>
      <c r="AH254" s="117">
        <f>MIN(MAX($L$1-'FA Addition'!$D254+1,0),365*'FA Addition'!$O254)</f>
        <v>1095</v>
      </c>
      <c r="AI254" s="117" cm="1">
        <f t="array" ref="AI254">_xlfn.XLOOKUP(1,('FA Write off'!A:A='FA Addition'!$A254)*('FA Write off'!D:D=AA254),'FA Write off'!H:H,0,0)</f>
        <v>0</v>
      </c>
      <c r="AJ254" s="117">
        <f>IF(AC254&gt;0,MAX(IF('FA Addition'!$N254="SLM",($AC254-'FA Addition'!$M254)*'FA Addition'!$P254*AI254/365,(AC254-'FA Addition'!$M254)*(1-(1-'FA Addition'!$P254)^(AI254/365))),0),0)</f>
        <v>0</v>
      </c>
      <c r="AL254" s="117">
        <f>MAX(IF(AG254&gt;0,IF('FA Addition'!$N254="SLM",($AE254-'FA Addition'!$M254)*'FA Addition'!$P254*AG254/365,IFERROR(VDB(AE254,AE254*0.05,'FA Addition'!$O254,0,YEARFRAC('FA Addition'!$C254,$P$1-1,3),'FA Addition'!$Q254),FAAddition[[#This Row],[Original Cost (Rs)]]-FAAddition[[#This Row],[Salvage Value]])),0),0)</f>
        <v>16794.63</v>
      </c>
      <c r="AM254" s="119"/>
      <c r="AN254" s="117">
        <f>MAX(IF(AH254&gt;0,IF('FA Addition'!$N254="SLM",($AF254-'FA Addition'!$M254)*'FA Addition'!$P254*AH254/365,IFERROR(VDB(AF254,AF254*0.05,'FA Addition'!$O254,0,YEARFRAC('FA Addition'!$C254,$L$1,3),'FA Addition'!$Q254),FAAddition[[#This Row],[Original Cost (Rs)]]-FAAddition[[#This Row],[Salvage Value]])),0),0)</f>
        <v>16794.63</v>
      </c>
      <c r="AO254" s="117">
        <f t="shared" si="18"/>
        <v>0</v>
      </c>
      <c r="AQ254" s="117">
        <f t="shared" si="16"/>
        <v>884</v>
      </c>
      <c r="AR254" s="120">
        <f t="shared" si="17"/>
        <v>884</v>
      </c>
      <c r="AS254" s="121"/>
    </row>
    <row r="255" spans="1:45" ht="13.5" x14ac:dyDescent="0.4">
      <c r="A255" s="12">
        <f t="shared" si="19"/>
        <v>252</v>
      </c>
      <c r="B255" s="51" t="s">
        <v>731</v>
      </c>
      <c r="C255" s="54">
        <v>42978</v>
      </c>
      <c r="D255" s="54">
        <v>42978</v>
      </c>
      <c r="E255" s="46" t="s">
        <v>451</v>
      </c>
      <c r="F255" s="51" t="s">
        <v>21</v>
      </c>
      <c r="G255" s="51" t="s">
        <v>620</v>
      </c>
      <c r="H255" s="51" t="s">
        <v>21</v>
      </c>
      <c r="I255" s="51">
        <v>4479</v>
      </c>
      <c r="J255" s="56">
        <v>1</v>
      </c>
      <c r="K255" s="44" t="s">
        <v>762</v>
      </c>
      <c r="L255" s="58">
        <v>17678.63</v>
      </c>
      <c r="M255" s="50">
        <f>ROUND('FA Addition'!$L255*5%,0.1)</f>
        <v>884</v>
      </c>
      <c r="N255" s="113" t="str">
        <f>_xlfn.XLOOKUP(_xlfn.CONCAT(E255,B255),'Year Wise Master Dep Approach'!F:F,'Year Wise Master Dep Approach'!D:D)</f>
        <v>WDV</v>
      </c>
      <c r="O255" s="113">
        <f>_xlfn.XLOOKUP(_xlfn.CONCAT(E255,B255),'Year Wise Master Dep Approach'!F:F,'Year Wise Master Dep Approach'!E:E)</f>
        <v>3</v>
      </c>
      <c r="P255" s="114">
        <f>IFERROR(IF('FA Addition'!$N255="WDV",1-('FA Addition'!$M255/'FA Addition'!$L255)^(1/'FA Addition'!$O255),1/'FA Addition'!$O255),0)</f>
        <v>0.63158733395214006</v>
      </c>
      <c r="Q255" s="122">
        <f>'FA Addition'!$P255*'FA Addition'!$O255</f>
        <v>1.8947620018564202</v>
      </c>
      <c r="R255" s="122"/>
      <c r="S255" s="116">
        <f>IF(AND(DATE(20&amp;LEFT(FAAddition[[#This Row],[FY]],2),4,1)&lt;$L$1+1,DATE(20&amp;LEFT(FAAddition[[#This Row],[FY]],2),4,1)&gt;$P$1-1),'FA Addition'!$J255,0)</f>
        <v>0</v>
      </c>
      <c r="U255" s="117">
        <f>S255*'FA Addition'!$L255/'FA Addition'!$J255</f>
        <v>0</v>
      </c>
      <c r="W255" s="116">
        <f>SUMIFS('FA Write off'!D:D,'FA Write off'!A:A,'FA Addition'!$A255,'FA Write off'!C:C,"&lt;"&amp;'FA Addition'!$P$1)</f>
        <v>0</v>
      </c>
      <c r="Y255" s="191">
        <f>IFERROR(W255/'FA Addition'!$J255*'FA Addition'!$L255,0)</f>
        <v>0</v>
      </c>
      <c r="AA255" s="116">
        <f>SUMIFS('FA Write off'!D:D,'FA Write off'!A:A,'FA Addition'!$A255,'FA Write off'!C:C,"&lt;"&amp;'FA Addition'!$L$1+1,'FA Write off'!C:C,"&gt;"&amp;'FA Addition'!$L$1-365)</f>
        <v>0</v>
      </c>
      <c r="AC255" s="118">
        <f>IFERROR(AA255/'FA Addition'!$J255*'FA Addition'!$L255,0)</f>
        <v>0</v>
      </c>
      <c r="AE255" s="117">
        <f>IF(AND('FA Addition'!$D255&lt;$P$1+1,U255=0),'FA Addition'!$L255,0)-Y255</f>
        <v>17678.63</v>
      </c>
      <c r="AF255" s="117">
        <f t="shared" si="15"/>
        <v>17678.63</v>
      </c>
      <c r="AG255" s="117">
        <f>MIN(MAX(+$P$1-'FA Addition'!$D255,0),365*'FA Addition'!$O255)</f>
        <v>1095</v>
      </c>
      <c r="AH255" s="117">
        <f>MIN(MAX($L$1-'FA Addition'!$D255+1,0),365*'FA Addition'!$O255)</f>
        <v>1095</v>
      </c>
      <c r="AI255" s="117" cm="1">
        <f t="array" ref="AI255">_xlfn.XLOOKUP(1,('FA Write off'!A:A='FA Addition'!$A255)*('FA Write off'!D:D=AA255),'FA Write off'!H:H,0,0)</f>
        <v>0</v>
      </c>
      <c r="AJ255" s="117">
        <f>IF(AC255&gt;0,MAX(IF('FA Addition'!$N255="SLM",($AC255-'FA Addition'!$M255)*'FA Addition'!$P255*AI255/365,(AC255-'FA Addition'!$M255)*(1-(1-'FA Addition'!$P255)^(AI255/365))),0),0)</f>
        <v>0</v>
      </c>
      <c r="AL255" s="117">
        <f>MAX(IF(AG255&gt;0,IF('FA Addition'!$N255="SLM",($AE255-'FA Addition'!$M255)*'FA Addition'!$P255*AG255/365,IFERROR(VDB(AE255,AE255*0.05,'FA Addition'!$O255,0,YEARFRAC('FA Addition'!$C255,$P$1-1,3),'FA Addition'!$Q255),FAAddition[[#This Row],[Original Cost (Rs)]]-FAAddition[[#This Row],[Salvage Value]])),0),0)</f>
        <v>16794.63</v>
      </c>
      <c r="AM255" s="119"/>
      <c r="AN255" s="117">
        <f>MAX(IF(AH255&gt;0,IF('FA Addition'!$N255="SLM",($AF255-'FA Addition'!$M255)*'FA Addition'!$P255*AH255/365,IFERROR(VDB(AF255,AF255*0.05,'FA Addition'!$O255,0,YEARFRAC('FA Addition'!$C255,$L$1,3),'FA Addition'!$Q255),FAAddition[[#This Row],[Original Cost (Rs)]]-FAAddition[[#This Row],[Salvage Value]])),0),0)</f>
        <v>16794.63</v>
      </c>
      <c r="AO255" s="117">
        <f t="shared" si="18"/>
        <v>0</v>
      </c>
      <c r="AQ255" s="117">
        <f t="shared" si="16"/>
        <v>884</v>
      </c>
      <c r="AR255" s="120">
        <f t="shared" si="17"/>
        <v>884</v>
      </c>
      <c r="AS255" s="121"/>
    </row>
    <row r="256" spans="1:45" ht="13.5" x14ac:dyDescent="0.4">
      <c r="A256" s="12">
        <f t="shared" si="19"/>
        <v>253</v>
      </c>
      <c r="B256" s="51" t="s">
        <v>731</v>
      </c>
      <c r="C256" s="54">
        <v>42978</v>
      </c>
      <c r="D256" s="54">
        <v>42978</v>
      </c>
      <c r="E256" s="46" t="s">
        <v>451</v>
      </c>
      <c r="F256" s="51" t="s">
        <v>21</v>
      </c>
      <c r="G256" s="51" t="s">
        <v>620</v>
      </c>
      <c r="H256" s="51" t="s">
        <v>21</v>
      </c>
      <c r="I256" s="51">
        <v>4479</v>
      </c>
      <c r="J256" s="56">
        <v>1</v>
      </c>
      <c r="K256" s="51" t="s">
        <v>763</v>
      </c>
      <c r="L256" s="58">
        <v>25899.100000000002</v>
      </c>
      <c r="M256" s="50">
        <f>ROUND('FA Addition'!$L256*5%,0.1)</f>
        <v>1295</v>
      </c>
      <c r="N256" s="113" t="str">
        <f>_xlfn.XLOOKUP(_xlfn.CONCAT(E256,B256),'Year Wise Master Dep Approach'!F:F,'Year Wise Master Dep Approach'!D:D)</f>
        <v>WDV</v>
      </c>
      <c r="O256" s="113">
        <f>_xlfn.XLOOKUP(_xlfn.CONCAT(E256,B256),'Year Wise Master Dep Approach'!F:F,'Year Wise Master Dep Approach'!E:E)</f>
        <v>3</v>
      </c>
      <c r="P256" s="114">
        <f>IFERROR(IF('FA Addition'!$N256="WDV",1-('FA Addition'!$M256/'FA Addition'!$L256)^(1/'FA Addition'!$O256),1/'FA Addition'!$O256),0)</f>
        <v>0.63159258281915209</v>
      </c>
      <c r="Q256" s="122">
        <f>'FA Addition'!$P256*'FA Addition'!$O256</f>
        <v>1.8947777484574564</v>
      </c>
      <c r="R256" s="122"/>
      <c r="S256" s="116">
        <f>IF(AND(DATE(20&amp;LEFT(FAAddition[[#This Row],[FY]],2),4,1)&lt;$L$1+1,DATE(20&amp;LEFT(FAAddition[[#This Row],[FY]],2),4,1)&gt;$P$1-1),'FA Addition'!$J256,0)</f>
        <v>0</v>
      </c>
      <c r="U256" s="117">
        <f>S256*'FA Addition'!$L256/'FA Addition'!$J256</f>
        <v>0</v>
      </c>
      <c r="W256" s="116">
        <f>SUMIFS('FA Write off'!D:D,'FA Write off'!A:A,'FA Addition'!$A256,'FA Write off'!C:C,"&lt;"&amp;'FA Addition'!$P$1)</f>
        <v>0</v>
      </c>
      <c r="Y256" s="191">
        <f>IFERROR(W256/'FA Addition'!$J256*'FA Addition'!$L256,0)</f>
        <v>0</v>
      </c>
      <c r="AA256" s="116">
        <f>SUMIFS('FA Write off'!D:D,'FA Write off'!A:A,'FA Addition'!$A256,'FA Write off'!C:C,"&lt;"&amp;'FA Addition'!$L$1+1,'FA Write off'!C:C,"&gt;"&amp;'FA Addition'!$L$1-365)</f>
        <v>0</v>
      </c>
      <c r="AC256" s="118">
        <f>IFERROR(AA256/'FA Addition'!$J256*'FA Addition'!$L256,0)</f>
        <v>0</v>
      </c>
      <c r="AE256" s="117">
        <f>IF(AND('FA Addition'!$D256&lt;$P$1+1,U256=0),'FA Addition'!$L256,0)-Y256</f>
        <v>25899.100000000002</v>
      </c>
      <c r="AF256" s="117">
        <f t="shared" si="15"/>
        <v>25899.100000000002</v>
      </c>
      <c r="AG256" s="117">
        <f>MIN(MAX(+$P$1-'FA Addition'!$D256,0),365*'FA Addition'!$O256)</f>
        <v>1095</v>
      </c>
      <c r="AH256" s="117">
        <f>MIN(MAX($L$1-'FA Addition'!$D256+1,0),365*'FA Addition'!$O256)</f>
        <v>1095</v>
      </c>
      <c r="AI256" s="117" cm="1">
        <f t="array" ref="AI256">_xlfn.XLOOKUP(1,('FA Write off'!A:A='FA Addition'!$A256)*('FA Write off'!D:D=AA256),'FA Write off'!H:H,0,0)</f>
        <v>0</v>
      </c>
      <c r="AJ256" s="117">
        <f>IF(AC256&gt;0,MAX(IF('FA Addition'!$N256="SLM",($AC256-'FA Addition'!$M256)*'FA Addition'!$P256*AI256/365,(AC256-'FA Addition'!$M256)*(1-(1-'FA Addition'!$P256)^(AI256/365))),0),0)</f>
        <v>0</v>
      </c>
      <c r="AL256" s="117">
        <f>MAX(IF(AG256&gt;0,IF('FA Addition'!$N256="SLM",($AE256-'FA Addition'!$M256)*'FA Addition'!$P256*AG256/365,IFERROR(VDB(AE256,AE256*0.05,'FA Addition'!$O256,0,YEARFRAC('FA Addition'!$C256,$P$1-1,3),'FA Addition'!$Q256),FAAddition[[#This Row],[Original Cost (Rs)]]-FAAddition[[#This Row],[Salvage Value]])),0),0)</f>
        <v>24604.100000000002</v>
      </c>
      <c r="AM256" s="119"/>
      <c r="AN256" s="117">
        <f>MAX(IF(AH256&gt;0,IF('FA Addition'!$N256="SLM",($AF256-'FA Addition'!$M256)*'FA Addition'!$P256*AH256/365,IFERROR(VDB(AF256,AF256*0.05,'FA Addition'!$O256,0,YEARFRAC('FA Addition'!$C256,$L$1,3),'FA Addition'!$Q256),FAAddition[[#This Row],[Original Cost (Rs)]]-FAAddition[[#This Row],[Salvage Value]])),0),0)</f>
        <v>24604.100000000002</v>
      </c>
      <c r="AO256" s="117">
        <f t="shared" si="18"/>
        <v>0</v>
      </c>
      <c r="AQ256" s="117">
        <f t="shared" si="16"/>
        <v>1295</v>
      </c>
      <c r="AR256" s="120">
        <f t="shared" si="17"/>
        <v>1295</v>
      </c>
      <c r="AS256" s="121"/>
    </row>
    <row r="257" spans="1:45" ht="13.5" x14ac:dyDescent="0.4">
      <c r="A257" s="12">
        <f t="shared" si="19"/>
        <v>254</v>
      </c>
      <c r="B257" s="51" t="s">
        <v>731</v>
      </c>
      <c r="C257" s="54">
        <v>42978</v>
      </c>
      <c r="D257" s="54">
        <v>42978</v>
      </c>
      <c r="E257" s="46" t="s">
        <v>451</v>
      </c>
      <c r="F257" s="51" t="s">
        <v>21</v>
      </c>
      <c r="G257" s="51" t="s">
        <v>620</v>
      </c>
      <c r="H257" s="51" t="s">
        <v>21</v>
      </c>
      <c r="I257" s="51">
        <v>4479</v>
      </c>
      <c r="J257" s="56">
        <v>1</v>
      </c>
      <c r="K257" s="51" t="s">
        <v>764</v>
      </c>
      <c r="L257" s="58">
        <v>25899.100000000002</v>
      </c>
      <c r="M257" s="50">
        <f>ROUND('FA Addition'!$L257*5%,0.1)</f>
        <v>1295</v>
      </c>
      <c r="N257" s="113" t="str">
        <f>_xlfn.XLOOKUP(_xlfn.CONCAT(E257,B257),'Year Wise Master Dep Approach'!F:F,'Year Wise Master Dep Approach'!D:D)</f>
        <v>WDV</v>
      </c>
      <c r="O257" s="113">
        <f>_xlfn.XLOOKUP(_xlfn.CONCAT(E257,B257),'Year Wise Master Dep Approach'!F:F,'Year Wise Master Dep Approach'!E:E)</f>
        <v>3</v>
      </c>
      <c r="P257" s="114">
        <f>IFERROR(IF('FA Addition'!$N257="WDV",1-('FA Addition'!$M257/'FA Addition'!$L257)^(1/'FA Addition'!$O257),1/'FA Addition'!$O257),0)</f>
        <v>0.63159258281915209</v>
      </c>
      <c r="Q257" s="122">
        <f>'FA Addition'!$P257*'FA Addition'!$O257</f>
        <v>1.8947777484574564</v>
      </c>
      <c r="R257" s="122"/>
      <c r="S257" s="116">
        <f>IF(AND(DATE(20&amp;LEFT(FAAddition[[#This Row],[FY]],2),4,1)&lt;$L$1+1,DATE(20&amp;LEFT(FAAddition[[#This Row],[FY]],2),4,1)&gt;$P$1-1),'FA Addition'!$J257,0)</f>
        <v>0</v>
      </c>
      <c r="U257" s="117">
        <f>S257*'FA Addition'!$L257/'FA Addition'!$J257</f>
        <v>0</v>
      </c>
      <c r="W257" s="116">
        <f>SUMIFS('FA Write off'!D:D,'FA Write off'!A:A,'FA Addition'!$A257,'FA Write off'!C:C,"&lt;"&amp;'FA Addition'!$P$1)</f>
        <v>0</v>
      </c>
      <c r="Y257" s="191">
        <f>IFERROR(W257/'FA Addition'!$J257*'FA Addition'!$L257,0)</f>
        <v>0</v>
      </c>
      <c r="AA257" s="116">
        <f>SUMIFS('FA Write off'!D:D,'FA Write off'!A:A,'FA Addition'!$A257,'FA Write off'!C:C,"&lt;"&amp;'FA Addition'!$L$1+1,'FA Write off'!C:C,"&gt;"&amp;'FA Addition'!$L$1-365)</f>
        <v>0</v>
      </c>
      <c r="AC257" s="118">
        <f>IFERROR(AA257/'FA Addition'!$J257*'FA Addition'!$L257,0)</f>
        <v>0</v>
      </c>
      <c r="AE257" s="117">
        <f>IF(AND('FA Addition'!$D257&lt;$P$1+1,U257=0),'FA Addition'!$L257,0)-Y257</f>
        <v>25899.100000000002</v>
      </c>
      <c r="AF257" s="117">
        <f t="shared" si="15"/>
        <v>25899.100000000002</v>
      </c>
      <c r="AG257" s="117">
        <f>MIN(MAX(+$P$1-'FA Addition'!$D257,0),365*'FA Addition'!$O257)</f>
        <v>1095</v>
      </c>
      <c r="AH257" s="117">
        <f>MIN(MAX($L$1-'FA Addition'!$D257+1,0),365*'FA Addition'!$O257)</f>
        <v>1095</v>
      </c>
      <c r="AI257" s="117" cm="1">
        <f t="array" ref="AI257">_xlfn.XLOOKUP(1,('FA Write off'!A:A='FA Addition'!$A257)*('FA Write off'!D:D=AA257),'FA Write off'!H:H,0,0)</f>
        <v>0</v>
      </c>
      <c r="AJ257" s="117">
        <f>IF(AC257&gt;0,MAX(IF('FA Addition'!$N257="SLM",($AC257-'FA Addition'!$M257)*'FA Addition'!$P257*AI257/365,(AC257-'FA Addition'!$M257)*(1-(1-'FA Addition'!$P257)^(AI257/365))),0),0)</f>
        <v>0</v>
      </c>
      <c r="AL257" s="117">
        <f>MAX(IF(AG257&gt;0,IF('FA Addition'!$N257="SLM",($AE257-'FA Addition'!$M257)*'FA Addition'!$P257*AG257/365,IFERROR(VDB(AE257,AE257*0.05,'FA Addition'!$O257,0,YEARFRAC('FA Addition'!$C257,$P$1-1,3),'FA Addition'!$Q257),FAAddition[[#This Row],[Original Cost (Rs)]]-FAAddition[[#This Row],[Salvage Value]])),0),0)</f>
        <v>24604.100000000002</v>
      </c>
      <c r="AM257" s="119"/>
      <c r="AN257" s="117">
        <f>MAX(IF(AH257&gt;0,IF('FA Addition'!$N257="SLM",($AF257-'FA Addition'!$M257)*'FA Addition'!$P257*AH257/365,IFERROR(VDB(AF257,AF257*0.05,'FA Addition'!$O257,0,YEARFRAC('FA Addition'!$C257,$L$1,3),'FA Addition'!$Q257),FAAddition[[#This Row],[Original Cost (Rs)]]-FAAddition[[#This Row],[Salvage Value]])),0),0)</f>
        <v>24604.100000000002</v>
      </c>
      <c r="AO257" s="117">
        <f t="shared" si="18"/>
        <v>0</v>
      </c>
      <c r="AQ257" s="117">
        <f t="shared" si="16"/>
        <v>1295</v>
      </c>
      <c r="AR257" s="120">
        <f t="shared" si="17"/>
        <v>1295</v>
      </c>
      <c r="AS257" s="121"/>
    </row>
    <row r="258" spans="1:45" ht="13.5" x14ac:dyDescent="0.4">
      <c r="A258" s="12">
        <f t="shared" si="19"/>
        <v>255</v>
      </c>
      <c r="B258" s="51" t="s">
        <v>731</v>
      </c>
      <c r="C258" s="54">
        <v>42978</v>
      </c>
      <c r="D258" s="54">
        <v>42978</v>
      </c>
      <c r="E258" s="46" t="s">
        <v>451</v>
      </c>
      <c r="F258" s="51" t="s">
        <v>21</v>
      </c>
      <c r="G258" s="51" t="s">
        <v>765</v>
      </c>
      <c r="H258" s="51" t="s">
        <v>21</v>
      </c>
      <c r="I258" s="51" t="s">
        <v>766</v>
      </c>
      <c r="J258" s="56">
        <v>1</v>
      </c>
      <c r="K258" s="51" t="s">
        <v>21</v>
      </c>
      <c r="L258" s="58">
        <v>49990</v>
      </c>
      <c r="M258" s="50">
        <f>ROUND('FA Addition'!$L258*5%,0.1)</f>
        <v>2500</v>
      </c>
      <c r="N258" s="113" t="str">
        <f>_xlfn.XLOOKUP(_xlfn.CONCAT(E258,B258),'Year Wise Master Dep Approach'!F:F,'Year Wise Master Dep Approach'!D:D)</f>
        <v>WDV</v>
      </c>
      <c r="O258" s="113">
        <f>_xlfn.XLOOKUP(_xlfn.CONCAT(E258,B258),'Year Wise Master Dep Approach'!F:F,'Year Wise Master Dep Approach'!E:E)</f>
        <v>3</v>
      </c>
      <c r="P258" s="114">
        <f>IFERROR(IF('FA Addition'!$N258="WDV",1-('FA Addition'!$M258/'FA Addition'!$L258)^(1/'FA Addition'!$O258),1/'FA Addition'!$O258),0)</f>
        <v>0.63157228665076626</v>
      </c>
      <c r="Q258" s="122">
        <f>'FA Addition'!$P258*'FA Addition'!$O258</f>
        <v>1.8947168599522988</v>
      </c>
      <c r="R258" s="122"/>
      <c r="S258" s="116">
        <f>IF(AND(DATE(20&amp;LEFT(FAAddition[[#This Row],[FY]],2),4,1)&lt;$L$1+1,DATE(20&amp;LEFT(FAAddition[[#This Row],[FY]],2),4,1)&gt;$P$1-1),'FA Addition'!$J258,0)</f>
        <v>0</v>
      </c>
      <c r="U258" s="117">
        <f>S258*'FA Addition'!$L258/'FA Addition'!$J258</f>
        <v>0</v>
      </c>
      <c r="W258" s="116">
        <f>SUMIFS('FA Write off'!D:D,'FA Write off'!A:A,'FA Addition'!$A258,'FA Write off'!C:C,"&lt;"&amp;'FA Addition'!$P$1)</f>
        <v>0</v>
      </c>
      <c r="Y258" s="191">
        <f>IFERROR(W258/'FA Addition'!$J258*'FA Addition'!$L258,0)</f>
        <v>0</v>
      </c>
      <c r="AA258" s="116">
        <f>SUMIFS('FA Write off'!D:D,'FA Write off'!A:A,'FA Addition'!$A258,'FA Write off'!C:C,"&lt;"&amp;'FA Addition'!$L$1+1,'FA Write off'!C:C,"&gt;"&amp;'FA Addition'!$L$1-365)</f>
        <v>0</v>
      </c>
      <c r="AC258" s="118">
        <f>IFERROR(AA258/'FA Addition'!$J258*'FA Addition'!$L258,0)</f>
        <v>0</v>
      </c>
      <c r="AE258" s="117">
        <f>IF(AND('FA Addition'!$D258&lt;$P$1+1,U258=0),'FA Addition'!$L258,0)-Y258</f>
        <v>49990</v>
      </c>
      <c r="AF258" s="117">
        <f t="shared" si="15"/>
        <v>49990</v>
      </c>
      <c r="AG258" s="117">
        <f>MIN(MAX(+$P$1-'FA Addition'!$D258,0),365*'FA Addition'!$O258)</f>
        <v>1095</v>
      </c>
      <c r="AH258" s="117">
        <f>MIN(MAX($L$1-'FA Addition'!$D258+1,0),365*'FA Addition'!$O258)</f>
        <v>1095</v>
      </c>
      <c r="AI258" s="117" cm="1">
        <f t="array" ref="AI258">_xlfn.XLOOKUP(1,('FA Write off'!A:A='FA Addition'!$A258)*('FA Write off'!D:D=AA258),'FA Write off'!H:H,0,0)</f>
        <v>0</v>
      </c>
      <c r="AJ258" s="117">
        <f>IF(AC258&gt;0,MAX(IF('FA Addition'!$N258="SLM",($AC258-'FA Addition'!$M258)*'FA Addition'!$P258*AI258/365,(AC258-'FA Addition'!$M258)*(1-(1-'FA Addition'!$P258)^(AI258/365))),0),0)</f>
        <v>0</v>
      </c>
      <c r="AL258" s="117">
        <f>MAX(IF(AG258&gt;0,IF('FA Addition'!$N258="SLM",($AE258-'FA Addition'!$M258)*'FA Addition'!$P258*AG258/365,IFERROR(VDB(AE258,AE258*0.05,'FA Addition'!$O258,0,YEARFRAC('FA Addition'!$C258,$P$1-1,3),'FA Addition'!$Q258),FAAddition[[#This Row],[Original Cost (Rs)]]-FAAddition[[#This Row],[Salvage Value]])),0),0)</f>
        <v>47490</v>
      </c>
      <c r="AM258" s="119"/>
      <c r="AN258" s="117">
        <f>MAX(IF(AH258&gt;0,IF('FA Addition'!$N258="SLM",($AF258-'FA Addition'!$M258)*'FA Addition'!$P258*AH258/365,IFERROR(VDB(AF258,AF258*0.05,'FA Addition'!$O258,0,YEARFRAC('FA Addition'!$C258,$L$1,3),'FA Addition'!$Q258),FAAddition[[#This Row],[Original Cost (Rs)]]-FAAddition[[#This Row],[Salvage Value]])),0),0)</f>
        <v>47490</v>
      </c>
      <c r="AO258" s="117">
        <f t="shared" si="18"/>
        <v>0</v>
      </c>
      <c r="AQ258" s="117">
        <f t="shared" si="16"/>
        <v>2500</v>
      </c>
      <c r="AR258" s="120">
        <f t="shared" si="17"/>
        <v>2500</v>
      </c>
      <c r="AS258" s="121"/>
    </row>
    <row r="259" spans="1:45" ht="13.5" x14ac:dyDescent="0.4">
      <c r="A259" s="12">
        <f t="shared" si="19"/>
        <v>256</v>
      </c>
      <c r="B259" s="51" t="s">
        <v>731</v>
      </c>
      <c r="C259" s="54">
        <v>42978</v>
      </c>
      <c r="D259" s="54">
        <v>42978</v>
      </c>
      <c r="E259" s="46" t="s">
        <v>451</v>
      </c>
      <c r="F259" s="51" t="s">
        <v>21</v>
      </c>
      <c r="G259" s="51" t="s">
        <v>620</v>
      </c>
      <c r="H259" s="51" t="s">
        <v>21</v>
      </c>
      <c r="I259" s="51"/>
      <c r="J259" s="56">
        <v>1</v>
      </c>
      <c r="K259" s="51" t="s">
        <v>21</v>
      </c>
      <c r="L259" s="58">
        <v>25000</v>
      </c>
      <c r="M259" s="50">
        <f>ROUND('FA Addition'!$L259*5%,0.1)</f>
        <v>1250</v>
      </c>
      <c r="N259" s="113" t="str">
        <f>_xlfn.XLOOKUP(_xlfn.CONCAT(E259,B259),'Year Wise Master Dep Approach'!F:F,'Year Wise Master Dep Approach'!D:D)</f>
        <v>WDV</v>
      </c>
      <c r="O259" s="113">
        <f>_xlfn.XLOOKUP(_xlfn.CONCAT(E259,B259),'Year Wise Master Dep Approach'!F:F,'Year Wise Master Dep Approach'!E:E)</f>
        <v>3</v>
      </c>
      <c r="P259" s="114">
        <f>IFERROR(IF('FA Addition'!$N259="WDV",1-('FA Addition'!$M259/'FA Addition'!$L259)^(1/'FA Addition'!$O259),1/'FA Addition'!$O259),0)</f>
        <v>0.63159685013596123</v>
      </c>
      <c r="Q259" s="122">
        <f>'FA Addition'!$P259*'FA Addition'!$O259</f>
        <v>1.8947905504078837</v>
      </c>
      <c r="R259" s="122"/>
      <c r="S259" s="116">
        <f>IF(AND(DATE(20&amp;LEFT(FAAddition[[#This Row],[FY]],2),4,1)&lt;$L$1+1,DATE(20&amp;LEFT(FAAddition[[#This Row],[FY]],2),4,1)&gt;$P$1-1),'FA Addition'!$J259,0)</f>
        <v>0</v>
      </c>
      <c r="U259" s="117">
        <f>S259*'FA Addition'!$L259/'FA Addition'!$J259</f>
        <v>0</v>
      </c>
      <c r="W259" s="116">
        <f>SUMIFS('FA Write off'!D:D,'FA Write off'!A:A,'FA Addition'!$A259,'FA Write off'!C:C,"&lt;"&amp;'FA Addition'!$P$1)</f>
        <v>0</v>
      </c>
      <c r="Y259" s="191">
        <f>IFERROR(W259/'FA Addition'!$J259*'FA Addition'!$L259,0)</f>
        <v>0</v>
      </c>
      <c r="AA259" s="116">
        <f>SUMIFS('FA Write off'!D:D,'FA Write off'!A:A,'FA Addition'!$A259,'FA Write off'!C:C,"&lt;"&amp;'FA Addition'!$L$1+1,'FA Write off'!C:C,"&gt;"&amp;'FA Addition'!$L$1-365)</f>
        <v>0</v>
      </c>
      <c r="AC259" s="118">
        <f>IFERROR(AA259/'FA Addition'!$J259*'FA Addition'!$L259,0)</f>
        <v>0</v>
      </c>
      <c r="AE259" s="117">
        <f>IF(AND('FA Addition'!$D259&lt;$P$1+1,U259=0),'FA Addition'!$L259,0)-Y259</f>
        <v>25000</v>
      </c>
      <c r="AF259" s="117">
        <f t="shared" si="15"/>
        <v>25000</v>
      </c>
      <c r="AG259" s="117">
        <f>MIN(MAX(+$P$1-'FA Addition'!$D259,0),365*'FA Addition'!$O259)</f>
        <v>1095</v>
      </c>
      <c r="AH259" s="117">
        <f>MIN(MAX($L$1-'FA Addition'!$D259+1,0),365*'FA Addition'!$O259)</f>
        <v>1095</v>
      </c>
      <c r="AI259" s="117" cm="1">
        <f t="array" ref="AI259">_xlfn.XLOOKUP(1,('FA Write off'!A:A='FA Addition'!$A259)*('FA Write off'!D:D=AA259),'FA Write off'!H:H,0,0)</f>
        <v>0</v>
      </c>
      <c r="AJ259" s="117">
        <f>IF(AC259&gt;0,MAX(IF('FA Addition'!$N259="SLM",($AC259-'FA Addition'!$M259)*'FA Addition'!$P259*AI259/365,(AC259-'FA Addition'!$M259)*(1-(1-'FA Addition'!$P259)^(AI259/365))),0),0)</f>
        <v>0</v>
      </c>
      <c r="AL259" s="117">
        <f>MAX(IF(AG259&gt;0,IF('FA Addition'!$N259="SLM",($AE259-'FA Addition'!$M259)*'FA Addition'!$P259*AG259/365,IFERROR(VDB(AE259,AE259*0.05,'FA Addition'!$O259,0,YEARFRAC('FA Addition'!$C259,$P$1-1,3),'FA Addition'!$Q259),FAAddition[[#This Row],[Original Cost (Rs)]]-FAAddition[[#This Row],[Salvage Value]])),0),0)</f>
        <v>23750</v>
      </c>
      <c r="AM259" s="119"/>
      <c r="AN259" s="117">
        <f>MAX(IF(AH259&gt;0,IF('FA Addition'!$N259="SLM",($AF259-'FA Addition'!$M259)*'FA Addition'!$P259*AH259/365,IFERROR(VDB(AF259,AF259*0.05,'FA Addition'!$O259,0,YEARFRAC('FA Addition'!$C259,$L$1,3),'FA Addition'!$Q259),FAAddition[[#This Row],[Original Cost (Rs)]]-FAAddition[[#This Row],[Salvage Value]])),0),0)</f>
        <v>23750</v>
      </c>
      <c r="AO259" s="117">
        <f t="shared" si="18"/>
        <v>0</v>
      </c>
      <c r="AQ259" s="117">
        <f t="shared" si="16"/>
        <v>1250</v>
      </c>
      <c r="AR259" s="120">
        <f t="shared" si="17"/>
        <v>1250</v>
      </c>
      <c r="AS259" s="121"/>
    </row>
    <row r="260" spans="1:45" ht="13.5" x14ac:dyDescent="0.4">
      <c r="A260" s="12">
        <f t="shared" si="19"/>
        <v>257</v>
      </c>
      <c r="B260" s="51" t="s">
        <v>731</v>
      </c>
      <c r="C260" s="54">
        <v>42978</v>
      </c>
      <c r="D260" s="54">
        <v>42978</v>
      </c>
      <c r="E260" s="46" t="s">
        <v>451</v>
      </c>
      <c r="F260" s="51" t="s">
        <v>21</v>
      </c>
      <c r="G260" s="51" t="s">
        <v>767</v>
      </c>
      <c r="H260" s="51" t="s">
        <v>647</v>
      </c>
      <c r="I260" s="51">
        <v>1500</v>
      </c>
      <c r="J260" s="56">
        <v>1</v>
      </c>
      <c r="K260" s="51" t="s">
        <v>768</v>
      </c>
      <c r="L260" s="58">
        <v>6426</v>
      </c>
      <c r="M260" s="50">
        <f>ROUND('FA Addition'!$L260*5%,0.1)</f>
        <v>321</v>
      </c>
      <c r="N260" s="113" t="str">
        <f>_xlfn.XLOOKUP(_xlfn.CONCAT(E260,B260),'Year Wise Master Dep Approach'!F:F,'Year Wise Master Dep Approach'!D:D)</f>
        <v>WDV</v>
      </c>
      <c r="O260" s="113">
        <f>_xlfn.XLOOKUP(_xlfn.CONCAT(E260,B260),'Year Wise Master Dep Approach'!F:F,'Year Wise Master Dep Approach'!E:E)</f>
        <v>3</v>
      </c>
      <c r="P260" s="114">
        <f>IFERROR(IF('FA Addition'!$N260="WDV",1-('FA Addition'!$M260/'FA Addition'!$L260)^(1/'FA Addition'!$O260),1/'FA Addition'!$O260),0)</f>
        <v>0.63171154601817592</v>
      </c>
      <c r="Q260" s="122">
        <f>'FA Addition'!$P260*'FA Addition'!$O260</f>
        <v>1.8951346380545278</v>
      </c>
      <c r="R260" s="122"/>
      <c r="S260" s="116">
        <f>IF(AND(DATE(20&amp;LEFT(FAAddition[[#This Row],[FY]],2),4,1)&lt;$L$1+1,DATE(20&amp;LEFT(FAAddition[[#This Row],[FY]],2),4,1)&gt;$P$1-1),'FA Addition'!$J260,0)</f>
        <v>0</v>
      </c>
      <c r="U260" s="117">
        <f>S260*'FA Addition'!$L260/'FA Addition'!$J260</f>
        <v>0</v>
      </c>
      <c r="W260" s="116">
        <f>SUMIFS('FA Write off'!D:D,'FA Write off'!A:A,'FA Addition'!$A260,'FA Write off'!C:C,"&lt;"&amp;'FA Addition'!$P$1)</f>
        <v>0</v>
      </c>
      <c r="Y260" s="191">
        <f>IFERROR(W260/'FA Addition'!$J260*'FA Addition'!$L260,0)</f>
        <v>0</v>
      </c>
      <c r="AA260" s="116">
        <f>SUMIFS('FA Write off'!D:D,'FA Write off'!A:A,'FA Addition'!$A260,'FA Write off'!C:C,"&lt;"&amp;'FA Addition'!$L$1+1,'FA Write off'!C:C,"&gt;"&amp;'FA Addition'!$L$1-365)</f>
        <v>0</v>
      </c>
      <c r="AC260" s="118">
        <f>IFERROR(AA260/'FA Addition'!$J260*'FA Addition'!$L260,0)</f>
        <v>0</v>
      </c>
      <c r="AE260" s="117">
        <f>IF(AND('FA Addition'!$D260&lt;$P$1+1,U260=0),'FA Addition'!$L260,0)-Y260</f>
        <v>6426</v>
      </c>
      <c r="AF260" s="117">
        <f t="shared" ref="AF260:AF323" si="20">AE260+U260-AC260</f>
        <v>6426</v>
      </c>
      <c r="AG260" s="117">
        <f>MIN(MAX(+$P$1-'FA Addition'!$D260,0),365*'FA Addition'!$O260)</f>
        <v>1095</v>
      </c>
      <c r="AH260" s="117">
        <f>MIN(MAX($L$1-'FA Addition'!$D260+1,0),365*'FA Addition'!$O260)</f>
        <v>1095</v>
      </c>
      <c r="AI260" s="117" cm="1">
        <f t="array" ref="AI260">_xlfn.XLOOKUP(1,('FA Write off'!A:A='FA Addition'!$A260)*('FA Write off'!D:D=AA260),'FA Write off'!H:H,0,0)</f>
        <v>0</v>
      </c>
      <c r="AJ260" s="117">
        <f>IF(AC260&gt;0,MAX(IF('FA Addition'!$N260="SLM",($AC260-'FA Addition'!$M260)*'FA Addition'!$P260*AI260/365,(AC260-'FA Addition'!$M260)*(1-(1-'FA Addition'!$P260)^(AI260/365))),0),0)</f>
        <v>0</v>
      </c>
      <c r="AL260" s="117">
        <f>MAX(IF(AG260&gt;0,IF('FA Addition'!$N260="SLM",($AE260-'FA Addition'!$M260)*'FA Addition'!$P260*AG260/365,IFERROR(VDB(AE260,AE260*0.05,'FA Addition'!$O260,0,YEARFRAC('FA Addition'!$C260,$P$1-1,3),'FA Addition'!$Q260),FAAddition[[#This Row],[Original Cost (Rs)]]-FAAddition[[#This Row],[Salvage Value]])),0),0)</f>
        <v>6105</v>
      </c>
      <c r="AM260" s="119"/>
      <c r="AN260" s="117">
        <f>MAX(IF(AH260&gt;0,IF('FA Addition'!$N260="SLM",($AF260-'FA Addition'!$M260)*'FA Addition'!$P260*AH260/365,IFERROR(VDB(AF260,AF260*0.05,'FA Addition'!$O260,0,YEARFRAC('FA Addition'!$C260,$L$1,3),'FA Addition'!$Q260),FAAddition[[#This Row],[Original Cost (Rs)]]-FAAddition[[#This Row],[Salvage Value]])),0),0)</f>
        <v>6105</v>
      </c>
      <c r="AO260" s="117">
        <f t="shared" si="18"/>
        <v>0</v>
      </c>
      <c r="AQ260" s="117">
        <f t="shared" ref="AQ260:AQ323" si="21">AE260-AL260</f>
        <v>321</v>
      </c>
      <c r="AR260" s="120">
        <f t="shared" ref="AR260:AR323" si="22">AF260-AN260</f>
        <v>321</v>
      </c>
      <c r="AS260" s="121"/>
    </row>
    <row r="261" spans="1:45" ht="13.5" x14ac:dyDescent="0.4">
      <c r="A261" s="12">
        <f t="shared" si="19"/>
        <v>258</v>
      </c>
      <c r="B261" s="51" t="s">
        <v>731</v>
      </c>
      <c r="C261" s="54">
        <v>42980</v>
      </c>
      <c r="D261" s="54">
        <v>42980</v>
      </c>
      <c r="E261" s="46" t="s">
        <v>749</v>
      </c>
      <c r="F261" s="51" t="s">
        <v>750</v>
      </c>
      <c r="G261" s="51"/>
      <c r="H261" s="51"/>
      <c r="I261" s="51"/>
      <c r="J261" s="56">
        <v>1</v>
      </c>
      <c r="K261" s="51" t="s">
        <v>769</v>
      </c>
      <c r="L261" s="58">
        <v>4250</v>
      </c>
      <c r="M261" s="50">
        <f>ROUND('FA Addition'!$L261*5%,0.1)</f>
        <v>213</v>
      </c>
      <c r="N261" s="113" t="str">
        <f>_xlfn.XLOOKUP(_xlfn.CONCAT(E261,B261),'Year Wise Master Dep Approach'!F:F,'Year Wise Master Dep Approach'!D:D)</f>
        <v>WDV</v>
      </c>
      <c r="O261" s="113">
        <f>_xlfn.XLOOKUP(_xlfn.CONCAT(E261,B261),'Year Wise Master Dep Approach'!F:F,'Year Wise Master Dep Approach'!E:E)</f>
        <v>5</v>
      </c>
      <c r="P261" s="114">
        <f>IFERROR(IF('FA Addition'!$N261="WDV",1-('FA Addition'!$M261/'FA Addition'!$L261)^(1/'FA Addition'!$O261),1/'FA Addition'!$O261),0)</f>
        <v>0.45046148645017636</v>
      </c>
      <c r="Q261" s="122">
        <f>'FA Addition'!$P261*'FA Addition'!$O261</f>
        <v>2.2523074322508818</v>
      </c>
      <c r="R261" s="122"/>
      <c r="S261" s="116">
        <f>IF(AND(DATE(20&amp;LEFT(FAAddition[[#This Row],[FY]],2),4,1)&lt;$L$1+1,DATE(20&amp;LEFT(FAAddition[[#This Row],[FY]],2),4,1)&gt;$P$1-1),'FA Addition'!$J261,0)</f>
        <v>0</v>
      </c>
      <c r="U261" s="117">
        <f>S261*'FA Addition'!$L261/'FA Addition'!$J261</f>
        <v>0</v>
      </c>
      <c r="W261" s="116">
        <f>SUMIFS('FA Write off'!D:D,'FA Write off'!A:A,'FA Addition'!$A261,'FA Write off'!C:C,"&lt;"&amp;'FA Addition'!$P$1)</f>
        <v>0</v>
      </c>
      <c r="Y261" s="191">
        <f>IFERROR(W261/'FA Addition'!$J261*'FA Addition'!$L261,0)</f>
        <v>0</v>
      </c>
      <c r="AA261" s="116">
        <f>SUMIFS('FA Write off'!D:D,'FA Write off'!A:A,'FA Addition'!$A261,'FA Write off'!C:C,"&lt;"&amp;'FA Addition'!$L$1+1,'FA Write off'!C:C,"&gt;"&amp;'FA Addition'!$L$1-365)</f>
        <v>0</v>
      </c>
      <c r="AC261" s="118">
        <f>IFERROR(AA261/'FA Addition'!$J261*'FA Addition'!$L261,0)</f>
        <v>0</v>
      </c>
      <c r="AE261" s="117">
        <f>IF(AND('FA Addition'!$D261&lt;$P$1+1,U261=0),'FA Addition'!$L261,0)-Y261</f>
        <v>4250</v>
      </c>
      <c r="AF261" s="117">
        <f t="shared" si="20"/>
        <v>4250</v>
      </c>
      <c r="AG261" s="117">
        <f>MIN(MAX(+$P$1-'FA Addition'!$D261,0),365*'FA Addition'!$O261)</f>
        <v>1825</v>
      </c>
      <c r="AH261" s="117">
        <f>MIN(MAX($L$1-'FA Addition'!$D261+1,0),365*'FA Addition'!$O261)</f>
        <v>1825</v>
      </c>
      <c r="AI261" s="117" cm="1">
        <f t="array" ref="AI261">_xlfn.XLOOKUP(1,('FA Write off'!A:A='FA Addition'!$A261)*('FA Write off'!D:D=AA261),'FA Write off'!H:H,0,0)</f>
        <v>0</v>
      </c>
      <c r="AJ261" s="117">
        <f>IF(AC261&gt;0,MAX(IF('FA Addition'!$N261="SLM",($AC261-'FA Addition'!$M261)*'FA Addition'!$P261*AI261/365,(AC261-'FA Addition'!$M261)*(1-(1-'FA Addition'!$P261)^(AI261/365))),0),0)</f>
        <v>0</v>
      </c>
      <c r="AL261" s="117">
        <f>MAX(IF(AG261&gt;0,IF('FA Addition'!$N261="SLM",($AE261-'FA Addition'!$M261)*'FA Addition'!$P261*AG261/365,IFERROR(VDB(AE261,AE261*0.05,'FA Addition'!$O261,0,YEARFRAC('FA Addition'!$C261,$P$1-1,3),'FA Addition'!$Q261),FAAddition[[#This Row],[Original Cost (Rs)]]-FAAddition[[#This Row],[Salvage Value]])),0),0)</f>
        <v>4037</v>
      </c>
      <c r="AM261" s="119"/>
      <c r="AN261" s="117">
        <f>MAX(IF(AH261&gt;0,IF('FA Addition'!$N261="SLM",($AF261-'FA Addition'!$M261)*'FA Addition'!$P261*AH261/365,IFERROR(VDB(AF261,AF261*0.05,'FA Addition'!$O261,0,YEARFRAC('FA Addition'!$C261,$L$1,3),'FA Addition'!$Q261),FAAddition[[#This Row],[Original Cost (Rs)]]-FAAddition[[#This Row],[Salvage Value]])),0),0)</f>
        <v>4037</v>
      </c>
      <c r="AO261" s="117">
        <f t="shared" ref="AO261:AO324" si="23">AN261-AL261+AJ261</f>
        <v>0</v>
      </c>
      <c r="AQ261" s="117">
        <f t="shared" si="21"/>
        <v>213</v>
      </c>
      <c r="AR261" s="120">
        <f t="shared" si="22"/>
        <v>213</v>
      </c>
      <c r="AS261" s="121"/>
    </row>
    <row r="262" spans="1:45" ht="13.5" x14ac:dyDescent="0.4">
      <c r="A262" s="12">
        <f t="shared" ref="A262:A325" si="24">A261+1</f>
        <v>259</v>
      </c>
      <c r="B262" s="51" t="s">
        <v>731</v>
      </c>
      <c r="C262" s="45">
        <v>42985</v>
      </c>
      <c r="D262" s="45">
        <v>42985</v>
      </c>
      <c r="E262" s="46" t="s">
        <v>749</v>
      </c>
      <c r="F262" s="51" t="s">
        <v>750</v>
      </c>
      <c r="G262" s="44" t="s">
        <v>770</v>
      </c>
      <c r="H262" s="44" t="s">
        <v>129</v>
      </c>
      <c r="I262" s="44" t="s">
        <v>771</v>
      </c>
      <c r="J262" s="48">
        <v>2</v>
      </c>
      <c r="K262" s="44" t="s">
        <v>772</v>
      </c>
      <c r="L262" s="52">
        <v>89844</v>
      </c>
      <c r="M262" s="50">
        <f>ROUND('FA Addition'!$L262*5%,0.1)</f>
        <v>4492</v>
      </c>
      <c r="N262" s="113" t="str">
        <f>_xlfn.XLOOKUP(_xlfn.CONCAT(E262,B262),'Year Wise Master Dep Approach'!F:F,'Year Wise Master Dep Approach'!D:D)</f>
        <v>WDV</v>
      </c>
      <c r="O262" s="113">
        <f>_xlfn.XLOOKUP(_xlfn.CONCAT(E262,B262),'Year Wise Master Dep Approach'!F:F,'Year Wise Master Dep Approach'!E:E)</f>
        <v>5</v>
      </c>
      <c r="P262" s="114">
        <f>IFERROR(IF('FA Addition'!$N262="WDV",1-('FA Addition'!$M262/'FA Addition'!$L262)^(1/'FA Addition'!$O262),1/'FA Addition'!$O262),0)</f>
        <v>0.4507246194030281</v>
      </c>
      <c r="Q262" s="122">
        <f>'FA Addition'!$P262*'FA Addition'!$O262</f>
        <v>2.2536230970151405</v>
      </c>
      <c r="R262" s="122"/>
      <c r="S262" s="116">
        <f>IF(AND(DATE(20&amp;LEFT(FAAddition[[#This Row],[FY]],2),4,1)&lt;$L$1+1,DATE(20&amp;LEFT(FAAddition[[#This Row],[FY]],2),4,1)&gt;$P$1-1),'FA Addition'!$J262,0)</f>
        <v>0</v>
      </c>
      <c r="U262" s="117">
        <f>S262*'FA Addition'!$L262/'FA Addition'!$J262</f>
        <v>0</v>
      </c>
      <c r="W262" s="116">
        <f>SUMIFS('FA Write off'!D:D,'FA Write off'!A:A,'FA Addition'!$A262,'FA Write off'!C:C,"&lt;"&amp;'FA Addition'!$P$1)</f>
        <v>0</v>
      </c>
      <c r="Y262" s="191">
        <f>IFERROR(W262/'FA Addition'!$J262*'FA Addition'!$L262,0)</f>
        <v>0</v>
      </c>
      <c r="AA262" s="116">
        <f>SUMIFS('FA Write off'!D:D,'FA Write off'!A:A,'FA Addition'!$A262,'FA Write off'!C:C,"&lt;"&amp;'FA Addition'!$L$1+1,'FA Write off'!C:C,"&gt;"&amp;'FA Addition'!$L$1-365)</f>
        <v>0</v>
      </c>
      <c r="AC262" s="118">
        <f>IFERROR(AA262/'FA Addition'!$J262*'FA Addition'!$L262,0)</f>
        <v>0</v>
      </c>
      <c r="AE262" s="117">
        <f>IF(AND('FA Addition'!$D262&lt;$P$1+1,U262=0),'FA Addition'!$L262,0)-Y262</f>
        <v>89844</v>
      </c>
      <c r="AF262" s="117">
        <f t="shared" si="20"/>
        <v>89844</v>
      </c>
      <c r="AG262" s="117">
        <f>MIN(MAX(+$P$1-'FA Addition'!$D262,0),365*'FA Addition'!$O262)</f>
        <v>1825</v>
      </c>
      <c r="AH262" s="117">
        <f>MIN(MAX($L$1-'FA Addition'!$D262+1,0),365*'FA Addition'!$O262)</f>
        <v>1825</v>
      </c>
      <c r="AI262" s="117" cm="1">
        <f t="array" ref="AI262">_xlfn.XLOOKUP(1,('FA Write off'!A:A='FA Addition'!$A262)*('FA Write off'!D:D=AA262),'FA Write off'!H:H,0,0)</f>
        <v>0</v>
      </c>
      <c r="AJ262" s="117">
        <f>IF(AC262&gt;0,MAX(IF('FA Addition'!$N262="SLM",($AC262-'FA Addition'!$M262)*'FA Addition'!$P262*AI262/365,(AC262-'FA Addition'!$M262)*(1-(1-'FA Addition'!$P262)^(AI262/365))),0),0)</f>
        <v>0</v>
      </c>
      <c r="AL262" s="117">
        <f>MAX(IF(AG262&gt;0,IF('FA Addition'!$N262="SLM",($AE262-'FA Addition'!$M262)*'FA Addition'!$P262*AG262/365,IFERROR(VDB(AE262,AE262*0.05,'FA Addition'!$O262,0,YEARFRAC('FA Addition'!$C262,$P$1-1,3),'FA Addition'!$Q262),FAAddition[[#This Row],[Original Cost (Rs)]]-FAAddition[[#This Row],[Salvage Value]])),0),0)</f>
        <v>85352</v>
      </c>
      <c r="AM262" s="119"/>
      <c r="AN262" s="117">
        <f>MAX(IF(AH262&gt;0,IF('FA Addition'!$N262="SLM",($AF262-'FA Addition'!$M262)*'FA Addition'!$P262*AH262/365,IFERROR(VDB(AF262,AF262*0.05,'FA Addition'!$O262,0,YEARFRAC('FA Addition'!$C262,$L$1,3),'FA Addition'!$Q262),FAAddition[[#This Row],[Original Cost (Rs)]]-FAAddition[[#This Row],[Salvage Value]])),0),0)</f>
        <v>85352</v>
      </c>
      <c r="AO262" s="117">
        <f t="shared" si="23"/>
        <v>0</v>
      </c>
      <c r="AQ262" s="117">
        <f t="shared" si="21"/>
        <v>4492</v>
      </c>
      <c r="AR262" s="120">
        <f t="shared" si="22"/>
        <v>4492</v>
      </c>
      <c r="AS262" s="121"/>
    </row>
    <row r="263" spans="1:45" ht="13.5" x14ac:dyDescent="0.4">
      <c r="A263" s="12">
        <f t="shared" si="24"/>
        <v>260</v>
      </c>
      <c r="B263" s="51" t="s">
        <v>731</v>
      </c>
      <c r="C263" s="45">
        <v>42985</v>
      </c>
      <c r="D263" s="45">
        <v>42985</v>
      </c>
      <c r="E263" s="46" t="s">
        <v>749</v>
      </c>
      <c r="F263" s="51" t="s">
        <v>750</v>
      </c>
      <c r="G263" s="44" t="s">
        <v>773</v>
      </c>
      <c r="H263" s="44" t="s">
        <v>129</v>
      </c>
      <c r="I263" s="44" t="s">
        <v>774</v>
      </c>
      <c r="J263" s="56">
        <v>1</v>
      </c>
      <c r="K263" s="44" t="s">
        <v>775</v>
      </c>
      <c r="L263" s="52">
        <v>55000</v>
      </c>
      <c r="M263" s="50">
        <f>ROUND('FA Addition'!$L263*5%,0.1)</f>
        <v>2750</v>
      </c>
      <c r="N263" s="113" t="str">
        <f>_xlfn.XLOOKUP(_xlfn.CONCAT(E263,B263),'Year Wise Master Dep Approach'!F:F,'Year Wise Master Dep Approach'!D:D)</f>
        <v>WDV</v>
      </c>
      <c r="O263" s="113">
        <f>_xlfn.XLOOKUP(_xlfn.CONCAT(E263,B263),'Year Wise Master Dep Approach'!F:F,'Year Wise Master Dep Approach'!E:E)</f>
        <v>5</v>
      </c>
      <c r="P263" s="114">
        <f>IFERROR(IF('FA Addition'!$N263="WDV",1-('FA Addition'!$M263/'FA Addition'!$L263)^(1/'FA Addition'!$O263),1/'FA Addition'!$O263),0)</f>
        <v>0.45071972834694107</v>
      </c>
      <c r="Q263" s="122">
        <f>'FA Addition'!$P263*'FA Addition'!$O263</f>
        <v>2.2535986417347056</v>
      </c>
      <c r="R263" s="122"/>
      <c r="S263" s="116">
        <f>IF(AND(DATE(20&amp;LEFT(FAAddition[[#This Row],[FY]],2),4,1)&lt;$L$1+1,DATE(20&amp;LEFT(FAAddition[[#This Row],[FY]],2),4,1)&gt;$P$1-1),'FA Addition'!$J263,0)</f>
        <v>0</v>
      </c>
      <c r="U263" s="117">
        <f>S263*'FA Addition'!$L263/'FA Addition'!$J263</f>
        <v>0</v>
      </c>
      <c r="W263" s="116">
        <f>SUMIFS('FA Write off'!D:D,'FA Write off'!A:A,'FA Addition'!$A263,'FA Write off'!C:C,"&lt;"&amp;'FA Addition'!$P$1)</f>
        <v>0</v>
      </c>
      <c r="Y263" s="191">
        <f>IFERROR(W263/'FA Addition'!$J263*'FA Addition'!$L263,0)</f>
        <v>0</v>
      </c>
      <c r="AA263" s="116">
        <f>SUMIFS('FA Write off'!D:D,'FA Write off'!A:A,'FA Addition'!$A263,'FA Write off'!C:C,"&lt;"&amp;'FA Addition'!$L$1+1,'FA Write off'!C:C,"&gt;"&amp;'FA Addition'!$L$1-365)</f>
        <v>0</v>
      </c>
      <c r="AC263" s="118">
        <f>IFERROR(AA263/'FA Addition'!$J263*'FA Addition'!$L263,0)</f>
        <v>0</v>
      </c>
      <c r="AE263" s="117">
        <f>IF(AND('FA Addition'!$D263&lt;$P$1+1,U263=0),'FA Addition'!$L263,0)-Y263</f>
        <v>55000</v>
      </c>
      <c r="AF263" s="117">
        <f t="shared" si="20"/>
        <v>55000</v>
      </c>
      <c r="AG263" s="117">
        <f>MIN(MAX(+$P$1-'FA Addition'!$D263,0),365*'FA Addition'!$O263)</f>
        <v>1825</v>
      </c>
      <c r="AH263" s="117">
        <f>MIN(MAX($L$1-'FA Addition'!$D263+1,0),365*'FA Addition'!$O263)</f>
        <v>1825</v>
      </c>
      <c r="AI263" s="117" cm="1">
        <f t="array" ref="AI263">_xlfn.XLOOKUP(1,('FA Write off'!A:A='FA Addition'!$A263)*('FA Write off'!D:D=AA263),'FA Write off'!H:H,0,0)</f>
        <v>0</v>
      </c>
      <c r="AJ263" s="117">
        <f>IF(AC263&gt;0,MAX(IF('FA Addition'!$N263="SLM",($AC263-'FA Addition'!$M263)*'FA Addition'!$P263*AI263/365,(AC263-'FA Addition'!$M263)*(1-(1-'FA Addition'!$P263)^(AI263/365))),0),0)</f>
        <v>0</v>
      </c>
      <c r="AL263" s="117">
        <f>MAX(IF(AG263&gt;0,IF('FA Addition'!$N263="SLM",($AE263-'FA Addition'!$M263)*'FA Addition'!$P263*AG263/365,IFERROR(VDB(AE263,AE263*0.05,'FA Addition'!$O263,0,YEARFRAC('FA Addition'!$C263,$P$1-1,3),'FA Addition'!$Q263),FAAddition[[#This Row],[Original Cost (Rs)]]-FAAddition[[#This Row],[Salvage Value]])),0),0)</f>
        <v>52250</v>
      </c>
      <c r="AM263" s="119"/>
      <c r="AN263" s="117">
        <f>MAX(IF(AH263&gt;0,IF('FA Addition'!$N263="SLM",($AF263-'FA Addition'!$M263)*'FA Addition'!$P263*AH263/365,IFERROR(VDB(AF263,AF263*0.05,'FA Addition'!$O263,0,YEARFRAC('FA Addition'!$C263,$L$1,3),'FA Addition'!$Q263),FAAddition[[#This Row],[Original Cost (Rs)]]-FAAddition[[#This Row],[Salvage Value]])),0),0)</f>
        <v>52250</v>
      </c>
      <c r="AO263" s="117">
        <f t="shared" si="23"/>
        <v>0</v>
      </c>
      <c r="AQ263" s="117">
        <f t="shared" si="21"/>
        <v>2750</v>
      </c>
      <c r="AR263" s="120">
        <f t="shared" si="22"/>
        <v>2750</v>
      </c>
      <c r="AS263" s="121"/>
    </row>
    <row r="264" spans="1:45" ht="13.5" x14ac:dyDescent="0.4">
      <c r="A264" s="12">
        <f t="shared" si="24"/>
        <v>261</v>
      </c>
      <c r="B264" s="51" t="s">
        <v>731</v>
      </c>
      <c r="C264" s="45">
        <v>42985</v>
      </c>
      <c r="D264" s="45">
        <v>42985</v>
      </c>
      <c r="E264" s="46" t="s">
        <v>523</v>
      </c>
      <c r="F264" s="51" t="s">
        <v>758</v>
      </c>
      <c r="G264" s="44" t="s">
        <v>776</v>
      </c>
      <c r="H264" s="44"/>
      <c r="I264" s="44">
        <v>33</v>
      </c>
      <c r="J264" s="56">
        <v>1</v>
      </c>
      <c r="K264" s="44" t="s">
        <v>777</v>
      </c>
      <c r="L264" s="52">
        <v>35000</v>
      </c>
      <c r="M264" s="50">
        <f>ROUND('FA Addition'!$L264*5%,0.1)</f>
        <v>1750</v>
      </c>
      <c r="N264" s="113" t="str">
        <f>_xlfn.XLOOKUP(_xlfn.CONCAT(E264,B264),'Year Wise Master Dep Approach'!F:F,'Year Wise Master Dep Approach'!D:D)</f>
        <v>WDV</v>
      </c>
      <c r="O264" s="113">
        <f>_xlfn.XLOOKUP(_xlfn.CONCAT(E264,B264),'Year Wise Master Dep Approach'!F:F,'Year Wise Master Dep Approach'!E:E)</f>
        <v>10</v>
      </c>
      <c r="P264" s="114">
        <f>IFERROR(IF('FA Addition'!$N264="WDV",1-('FA Addition'!$M264/'FA Addition'!$L264)^(1/'FA Addition'!$O264),1/'FA Addition'!$O264),0)</f>
        <v>0.2588655508930523</v>
      </c>
      <c r="Q264" s="122">
        <f>'FA Addition'!$P264*'FA Addition'!$O264</f>
        <v>2.5886555089305228</v>
      </c>
      <c r="R264" s="122"/>
      <c r="S264" s="116">
        <f>IF(AND(DATE(20&amp;LEFT(FAAddition[[#This Row],[FY]],2),4,1)&lt;$L$1+1,DATE(20&amp;LEFT(FAAddition[[#This Row],[FY]],2),4,1)&gt;$P$1-1),'FA Addition'!$J264,0)</f>
        <v>0</v>
      </c>
      <c r="U264" s="117">
        <f>S264*'FA Addition'!$L264/'FA Addition'!$J264</f>
        <v>0</v>
      </c>
      <c r="W264" s="116">
        <f>SUMIFS('FA Write off'!D:D,'FA Write off'!A:A,'FA Addition'!$A264,'FA Write off'!C:C,"&lt;"&amp;'FA Addition'!$P$1)</f>
        <v>0</v>
      </c>
      <c r="Y264" s="191">
        <f>IFERROR(W264/'FA Addition'!$J264*'FA Addition'!$L264,0)</f>
        <v>0</v>
      </c>
      <c r="AA264" s="116">
        <f>SUMIFS('FA Write off'!D:D,'FA Write off'!A:A,'FA Addition'!$A264,'FA Write off'!C:C,"&lt;"&amp;'FA Addition'!$L$1+1,'FA Write off'!C:C,"&gt;"&amp;'FA Addition'!$L$1-365)</f>
        <v>0</v>
      </c>
      <c r="AC264" s="118">
        <f>IFERROR(AA264/'FA Addition'!$J264*'FA Addition'!$L264,0)</f>
        <v>0</v>
      </c>
      <c r="AE264" s="117">
        <f>IF(AND('FA Addition'!$D264&lt;$P$1+1,U264=0),'FA Addition'!$L264,0)-Y264</f>
        <v>35000</v>
      </c>
      <c r="AF264" s="117">
        <f t="shared" si="20"/>
        <v>35000</v>
      </c>
      <c r="AG264" s="117">
        <f>MIN(MAX(+$P$1-'FA Addition'!$D264,0),365*'FA Addition'!$O264)</f>
        <v>2032</v>
      </c>
      <c r="AH264" s="117">
        <f>MIN(MAX($L$1-'FA Addition'!$D264+1,0),365*'FA Addition'!$O264)</f>
        <v>2398</v>
      </c>
      <c r="AI264" s="117" cm="1">
        <f t="array" ref="AI264">_xlfn.XLOOKUP(1,('FA Write off'!A:A='FA Addition'!$A264)*('FA Write off'!D:D=AA264),'FA Write off'!H:H,0,0)</f>
        <v>0</v>
      </c>
      <c r="AJ264" s="117">
        <f>IF(AC264&gt;0,MAX(IF('FA Addition'!$N264="SLM",($AC264-'FA Addition'!$M264)*'FA Addition'!$P264*AI264/365,(AC264-'FA Addition'!$M264)*(1-(1-'FA Addition'!$P264)^(AI264/365))),0),0)</f>
        <v>0</v>
      </c>
      <c r="AL264" s="117">
        <f>MAX(IF(AG264&gt;0,IF('FA Addition'!$N264="SLM",($AE264-'FA Addition'!$M264)*'FA Addition'!$P264*AG264/365,IFERROR(VDB(AE264,AE264*0.05,'FA Addition'!$O264,0,YEARFRAC('FA Addition'!$C264,$P$1-1,3),'FA Addition'!$Q264),FAAddition[[#This Row],[Original Cost (Rs)]]-FAAddition[[#This Row],[Salvage Value]])),0),0)</f>
        <v>28317.171225398088</v>
      </c>
      <c r="AM264" s="119"/>
      <c r="AN264" s="117">
        <f>MAX(IF(AH264&gt;0,IF('FA Addition'!$N264="SLM",($AF264-'FA Addition'!$M264)*'FA Addition'!$P264*AH264/365,IFERROR(VDB(AF264,AF264*0.05,'FA Addition'!$O264,0,YEARFRAC('FA Addition'!$C264,$L$1,3),'FA Addition'!$Q264),FAAddition[[#This Row],[Original Cost (Rs)]]-FAAddition[[#This Row],[Salvage Value]])),0),0)</f>
        <v>30051.239066533162</v>
      </c>
      <c r="AO264" s="117">
        <f t="shared" si="23"/>
        <v>1734.0678411350746</v>
      </c>
      <c r="AQ264" s="117">
        <f t="shared" si="21"/>
        <v>6682.8287746019123</v>
      </c>
      <c r="AR264" s="120">
        <f t="shared" si="22"/>
        <v>4948.7609334668377</v>
      </c>
      <c r="AS264" s="121"/>
    </row>
    <row r="265" spans="1:45" ht="13.5" x14ac:dyDescent="0.4">
      <c r="A265" s="12">
        <f t="shared" si="24"/>
        <v>262</v>
      </c>
      <c r="B265" s="51" t="s">
        <v>731</v>
      </c>
      <c r="C265" s="45">
        <v>42986</v>
      </c>
      <c r="D265" s="45">
        <v>42986</v>
      </c>
      <c r="E265" s="46" t="s">
        <v>749</v>
      </c>
      <c r="F265" s="51" t="s">
        <v>750</v>
      </c>
      <c r="G265" s="44" t="s">
        <v>436</v>
      </c>
      <c r="H265" s="44"/>
      <c r="I265" s="44"/>
      <c r="J265" s="56">
        <v>1</v>
      </c>
      <c r="K265" s="44" t="s">
        <v>778</v>
      </c>
      <c r="L265" s="52">
        <v>7500</v>
      </c>
      <c r="M265" s="50">
        <f>ROUND('FA Addition'!$L265*5%,0.1)</f>
        <v>375</v>
      </c>
      <c r="N265" s="113" t="str">
        <f>_xlfn.XLOOKUP(_xlfn.CONCAT(E265,B265),'Year Wise Master Dep Approach'!F:F,'Year Wise Master Dep Approach'!D:D)</f>
        <v>WDV</v>
      </c>
      <c r="O265" s="113">
        <f>_xlfn.XLOOKUP(_xlfn.CONCAT(E265,B265),'Year Wise Master Dep Approach'!F:F,'Year Wise Master Dep Approach'!E:E)</f>
        <v>5</v>
      </c>
      <c r="P265" s="114">
        <f>IFERROR(IF('FA Addition'!$N265="WDV",1-('FA Addition'!$M265/'FA Addition'!$L265)^(1/'FA Addition'!$O265),1/'FA Addition'!$O265),0)</f>
        <v>0.45071972834694107</v>
      </c>
      <c r="Q265" s="122">
        <f>'FA Addition'!$P265*'FA Addition'!$O265</f>
        <v>2.2535986417347056</v>
      </c>
      <c r="R265" s="122"/>
      <c r="S265" s="116">
        <f>IF(AND(DATE(20&amp;LEFT(FAAddition[[#This Row],[FY]],2),4,1)&lt;$L$1+1,DATE(20&amp;LEFT(FAAddition[[#This Row],[FY]],2),4,1)&gt;$P$1-1),'FA Addition'!$J265,0)</f>
        <v>0</v>
      </c>
      <c r="U265" s="117">
        <f>S265*'FA Addition'!$L265/'FA Addition'!$J265</f>
        <v>0</v>
      </c>
      <c r="W265" s="116">
        <f>SUMIFS('FA Write off'!D:D,'FA Write off'!A:A,'FA Addition'!$A265,'FA Write off'!C:C,"&lt;"&amp;'FA Addition'!$P$1)</f>
        <v>0</v>
      </c>
      <c r="Y265" s="191">
        <f>IFERROR(W265/'FA Addition'!$J265*'FA Addition'!$L265,0)</f>
        <v>0</v>
      </c>
      <c r="AA265" s="116">
        <f>SUMIFS('FA Write off'!D:D,'FA Write off'!A:A,'FA Addition'!$A265,'FA Write off'!C:C,"&lt;"&amp;'FA Addition'!$L$1+1,'FA Write off'!C:C,"&gt;"&amp;'FA Addition'!$L$1-365)</f>
        <v>0</v>
      </c>
      <c r="AC265" s="118">
        <f>IFERROR(AA265/'FA Addition'!$J265*'FA Addition'!$L265,0)</f>
        <v>0</v>
      </c>
      <c r="AE265" s="117">
        <f>IF(AND('FA Addition'!$D265&lt;$P$1+1,U265=0),'FA Addition'!$L265,0)-Y265</f>
        <v>7500</v>
      </c>
      <c r="AF265" s="117">
        <f t="shared" si="20"/>
        <v>7500</v>
      </c>
      <c r="AG265" s="117">
        <f>MIN(MAX(+$P$1-'FA Addition'!$D265,0),365*'FA Addition'!$O265)</f>
        <v>1825</v>
      </c>
      <c r="AH265" s="117">
        <f>MIN(MAX($L$1-'FA Addition'!$D265+1,0),365*'FA Addition'!$O265)</f>
        <v>1825</v>
      </c>
      <c r="AI265" s="117" cm="1">
        <f t="array" ref="AI265">_xlfn.XLOOKUP(1,('FA Write off'!A:A='FA Addition'!$A265)*('FA Write off'!D:D=AA265),'FA Write off'!H:H,0,0)</f>
        <v>0</v>
      </c>
      <c r="AJ265" s="117">
        <f>IF(AC265&gt;0,MAX(IF('FA Addition'!$N265="SLM",($AC265-'FA Addition'!$M265)*'FA Addition'!$P265*AI265/365,(AC265-'FA Addition'!$M265)*(1-(1-'FA Addition'!$P265)^(AI265/365))),0),0)</f>
        <v>0</v>
      </c>
      <c r="AL265" s="117">
        <f>MAX(IF(AG265&gt;0,IF('FA Addition'!$N265="SLM",($AE265-'FA Addition'!$M265)*'FA Addition'!$P265*AG265/365,IFERROR(VDB(AE265,AE265*0.05,'FA Addition'!$O265,0,YEARFRAC('FA Addition'!$C265,$P$1-1,3),'FA Addition'!$Q265),FAAddition[[#This Row],[Original Cost (Rs)]]-FAAddition[[#This Row],[Salvage Value]])),0),0)</f>
        <v>7125</v>
      </c>
      <c r="AM265" s="119"/>
      <c r="AN265" s="117">
        <f>MAX(IF(AH265&gt;0,IF('FA Addition'!$N265="SLM",($AF265-'FA Addition'!$M265)*'FA Addition'!$P265*AH265/365,IFERROR(VDB(AF265,AF265*0.05,'FA Addition'!$O265,0,YEARFRAC('FA Addition'!$C265,$L$1,3),'FA Addition'!$Q265),FAAddition[[#This Row],[Original Cost (Rs)]]-FAAddition[[#This Row],[Salvage Value]])),0),0)</f>
        <v>7125</v>
      </c>
      <c r="AO265" s="117">
        <f t="shared" si="23"/>
        <v>0</v>
      </c>
      <c r="AQ265" s="117">
        <f t="shared" si="21"/>
        <v>375</v>
      </c>
      <c r="AR265" s="120">
        <f t="shared" si="22"/>
        <v>375</v>
      </c>
      <c r="AS265" s="121"/>
    </row>
    <row r="266" spans="1:45" ht="13.5" x14ac:dyDescent="0.4">
      <c r="A266" s="12">
        <f t="shared" si="24"/>
        <v>263</v>
      </c>
      <c r="B266" s="51" t="s">
        <v>731</v>
      </c>
      <c r="C266" s="45">
        <v>42986</v>
      </c>
      <c r="D266" s="45">
        <v>42986</v>
      </c>
      <c r="E266" s="46" t="s">
        <v>32</v>
      </c>
      <c r="F266" s="51" t="s">
        <v>32</v>
      </c>
      <c r="G266" s="44" t="s">
        <v>433</v>
      </c>
      <c r="H266" s="44" t="s">
        <v>32</v>
      </c>
      <c r="I266" s="44" t="s">
        <v>779</v>
      </c>
      <c r="J266" s="48">
        <v>15</v>
      </c>
      <c r="K266" s="44" t="s">
        <v>780</v>
      </c>
      <c r="L266" s="52">
        <v>20625</v>
      </c>
      <c r="M266" s="50">
        <f>ROUND('FA Addition'!$L266*5%,0.1)</f>
        <v>1031</v>
      </c>
      <c r="N266" s="113" t="str">
        <f>_xlfn.XLOOKUP(_xlfn.CONCAT(E266,B266),'Year Wise Master Dep Approach'!F:F,'Year Wise Master Dep Approach'!D:D)</f>
        <v>WDV</v>
      </c>
      <c r="O266" s="113">
        <f>_xlfn.XLOOKUP(_xlfn.CONCAT(E266,B266),'Year Wise Master Dep Approach'!F:F,'Year Wise Master Dep Approach'!E:E)</f>
        <v>3</v>
      </c>
      <c r="P266" s="114">
        <f>IFERROR(IF('FA Addition'!$N266="WDV",1-('FA Addition'!$M266/'FA Addition'!$L266)^(1/'FA Addition'!$O266),1/'FA Addition'!$O266),0)</f>
        <v>0.63162662249344215</v>
      </c>
      <c r="Q266" s="122">
        <f>'FA Addition'!$P266*'FA Addition'!$O266</f>
        <v>1.8948798674803264</v>
      </c>
      <c r="R266" s="122"/>
      <c r="S266" s="116">
        <f>IF(AND(DATE(20&amp;LEFT(FAAddition[[#This Row],[FY]],2),4,1)&lt;$L$1+1,DATE(20&amp;LEFT(FAAddition[[#This Row],[FY]],2),4,1)&gt;$P$1-1),'FA Addition'!$J266,0)</f>
        <v>0</v>
      </c>
      <c r="U266" s="117">
        <f>S266*'FA Addition'!$L266/'FA Addition'!$J266</f>
        <v>0</v>
      </c>
      <c r="W266" s="116">
        <f>SUMIFS('FA Write off'!D:D,'FA Write off'!A:A,'FA Addition'!$A266,'FA Write off'!C:C,"&lt;"&amp;'FA Addition'!$P$1)</f>
        <v>0</v>
      </c>
      <c r="Y266" s="191">
        <f>IFERROR(W266/'FA Addition'!$J266*'FA Addition'!$L266,0)</f>
        <v>0</v>
      </c>
      <c r="AA266" s="116">
        <f>SUMIFS('FA Write off'!D:D,'FA Write off'!A:A,'FA Addition'!$A266,'FA Write off'!C:C,"&lt;"&amp;'FA Addition'!$L$1+1,'FA Write off'!C:C,"&gt;"&amp;'FA Addition'!$L$1-365)</f>
        <v>0</v>
      </c>
      <c r="AC266" s="118">
        <f>IFERROR(AA266/'FA Addition'!$J266*'FA Addition'!$L266,0)</f>
        <v>0</v>
      </c>
      <c r="AE266" s="117">
        <f>IF(AND('FA Addition'!$D266&lt;$P$1+1,U266=0),'FA Addition'!$L266,0)-Y266</f>
        <v>20625</v>
      </c>
      <c r="AF266" s="117">
        <f t="shared" si="20"/>
        <v>20625</v>
      </c>
      <c r="AG266" s="117">
        <f>MIN(MAX(+$P$1-'FA Addition'!$D266,0),365*'FA Addition'!$O266)</f>
        <v>1095</v>
      </c>
      <c r="AH266" s="117">
        <f>MIN(MAX($L$1-'FA Addition'!$D266+1,0),365*'FA Addition'!$O266)</f>
        <v>1095</v>
      </c>
      <c r="AI266" s="117" cm="1">
        <f t="array" ref="AI266">_xlfn.XLOOKUP(1,('FA Write off'!A:A='FA Addition'!$A266)*('FA Write off'!D:D=AA266),'FA Write off'!H:H,0,0)</f>
        <v>0</v>
      </c>
      <c r="AJ266" s="117">
        <f>IF(AC266&gt;0,MAX(IF('FA Addition'!$N266="SLM",($AC266-'FA Addition'!$M266)*'FA Addition'!$P266*AI266/365,(AC266-'FA Addition'!$M266)*(1-(1-'FA Addition'!$P266)^(AI266/365))),0),0)</f>
        <v>0</v>
      </c>
      <c r="AL266" s="117">
        <f>MAX(IF(AG266&gt;0,IF('FA Addition'!$N266="SLM",($AE266-'FA Addition'!$M266)*'FA Addition'!$P266*AG266/365,IFERROR(VDB(AE266,AE266*0.05,'FA Addition'!$O266,0,YEARFRAC('FA Addition'!$C266,$P$1-1,3),'FA Addition'!$Q266),FAAddition[[#This Row],[Original Cost (Rs)]]-FAAddition[[#This Row],[Salvage Value]])),0),0)</f>
        <v>19594</v>
      </c>
      <c r="AM266" s="119"/>
      <c r="AN266" s="117">
        <f>MAX(IF(AH266&gt;0,IF('FA Addition'!$N266="SLM",($AF266-'FA Addition'!$M266)*'FA Addition'!$P266*AH266/365,IFERROR(VDB(AF266,AF266*0.05,'FA Addition'!$O266,0,YEARFRAC('FA Addition'!$C266,$L$1,3),'FA Addition'!$Q266),FAAddition[[#This Row],[Original Cost (Rs)]]-FAAddition[[#This Row],[Salvage Value]])),0),0)</f>
        <v>19594</v>
      </c>
      <c r="AO266" s="117">
        <f t="shared" si="23"/>
        <v>0</v>
      </c>
      <c r="AQ266" s="117">
        <f t="shared" si="21"/>
        <v>1031</v>
      </c>
      <c r="AR266" s="120">
        <f t="shared" si="22"/>
        <v>1031</v>
      </c>
      <c r="AS266" s="121"/>
    </row>
    <row r="267" spans="1:45" ht="13.5" x14ac:dyDescent="0.4">
      <c r="A267" s="12">
        <f t="shared" si="24"/>
        <v>264</v>
      </c>
      <c r="B267" s="51" t="s">
        <v>731</v>
      </c>
      <c r="C267" s="45">
        <v>42987</v>
      </c>
      <c r="D267" s="45">
        <v>42987</v>
      </c>
      <c r="E267" s="46" t="s">
        <v>749</v>
      </c>
      <c r="F267" s="51" t="s">
        <v>750</v>
      </c>
      <c r="G267" s="44" t="s">
        <v>436</v>
      </c>
      <c r="H267" s="44"/>
      <c r="I267" s="44"/>
      <c r="J267" s="56">
        <v>1</v>
      </c>
      <c r="K267" s="44" t="s">
        <v>781</v>
      </c>
      <c r="L267" s="52">
        <v>4500</v>
      </c>
      <c r="M267" s="50">
        <f>ROUND('FA Addition'!$L267*5%,0.1)</f>
        <v>225</v>
      </c>
      <c r="N267" s="113" t="str">
        <f>_xlfn.XLOOKUP(_xlfn.CONCAT(E267,B267),'Year Wise Master Dep Approach'!F:F,'Year Wise Master Dep Approach'!D:D)</f>
        <v>WDV</v>
      </c>
      <c r="O267" s="113">
        <f>_xlfn.XLOOKUP(_xlfn.CONCAT(E267,B267),'Year Wise Master Dep Approach'!F:F,'Year Wise Master Dep Approach'!E:E)</f>
        <v>5</v>
      </c>
      <c r="P267" s="114">
        <f>IFERROR(IF('FA Addition'!$N267="WDV",1-('FA Addition'!$M267/'FA Addition'!$L267)^(1/'FA Addition'!$O267),1/'FA Addition'!$O267),0)</f>
        <v>0.45071972834694107</v>
      </c>
      <c r="Q267" s="122">
        <f>'FA Addition'!$P267*'FA Addition'!$O267</f>
        <v>2.2535986417347056</v>
      </c>
      <c r="R267" s="122"/>
      <c r="S267" s="116">
        <f>IF(AND(DATE(20&amp;LEFT(FAAddition[[#This Row],[FY]],2),4,1)&lt;$L$1+1,DATE(20&amp;LEFT(FAAddition[[#This Row],[FY]],2),4,1)&gt;$P$1-1),'FA Addition'!$J267,0)</f>
        <v>0</v>
      </c>
      <c r="U267" s="117">
        <f>S267*'FA Addition'!$L267/'FA Addition'!$J267</f>
        <v>0</v>
      </c>
      <c r="W267" s="116">
        <f>SUMIFS('FA Write off'!D:D,'FA Write off'!A:A,'FA Addition'!$A267,'FA Write off'!C:C,"&lt;"&amp;'FA Addition'!$P$1)</f>
        <v>0</v>
      </c>
      <c r="Y267" s="191">
        <f>IFERROR(W267/'FA Addition'!$J267*'FA Addition'!$L267,0)</f>
        <v>0</v>
      </c>
      <c r="AA267" s="116">
        <f>SUMIFS('FA Write off'!D:D,'FA Write off'!A:A,'FA Addition'!$A267,'FA Write off'!C:C,"&lt;"&amp;'FA Addition'!$L$1+1,'FA Write off'!C:C,"&gt;"&amp;'FA Addition'!$L$1-365)</f>
        <v>0</v>
      </c>
      <c r="AC267" s="118">
        <f>IFERROR(AA267/'FA Addition'!$J267*'FA Addition'!$L267,0)</f>
        <v>0</v>
      </c>
      <c r="AE267" s="117">
        <f>IF(AND('FA Addition'!$D267&lt;$P$1+1,U267=0),'FA Addition'!$L267,0)-Y267</f>
        <v>4500</v>
      </c>
      <c r="AF267" s="117">
        <f t="shared" si="20"/>
        <v>4500</v>
      </c>
      <c r="AG267" s="117">
        <f>MIN(MAX(+$P$1-'FA Addition'!$D267,0),365*'FA Addition'!$O267)</f>
        <v>1825</v>
      </c>
      <c r="AH267" s="117">
        <f>MIN(MAX($L$1-'FA Addition'!$D267+1,0),365*'FA Addition'!$O267)</f>
        <v>1825</v>
      </c>
      <c r="AI267" s="117" cm="1">
        <f t="array" ref="AI267">_xlfn.XLOOKUP(1,('FA Write off'!A:A='FA Addition'!$A267)*('FA Write off'!D:D=AA267),'FA Write off'!H:H,0,0)</f>
        <v>0</v>
      </c>
      <c r="AJ267" s="117">
        <f>IF(AC267&gt;0,MAX(IF('FA Addition'!$N267="SLM",($AC267-'FA Addition'!$M267)*'FA Addition'!$P267*AI267/365,(AC267-'FA Addition'!$M267)*(1-(1-'FA Addition'!$P267)^(AI267/365))),0),0)</f>
        <v>0</v>
      </c>
      <c r="AL267" s="117">
        <f>MAX(IF(AG267&gt;0,IF('FA Addition'!$N267="SLM",($AE267-'FA Addition'!$M267)*'FA Addition'!$P267*AG267/365,IFERROR(VDB(AE267,AE267*0.05,'FA Addition'!$O267,0,YEARFRAC('FA Addition'!$C267,$P$1-1,3),'FA Addition'!$Q267),FAAddition[[#This Row],[Original Cost (Rs)]]-FAAddition[[#This Row],[Salvage Value]])),0),0)</f>
        <v>4275</v>
      </c>
      <c r="AM267" s="119"/>
      <c r="AN267" s="117">
        <f>MAX(IF(AH267&gt;0,IF('FA Addition'!$N267="SLM",($AF267-'FA Addition'!$M267)*'FA Addition'!$P267*AH267/365,IFERROR(VDB(AF267,AF267*0.05,'FA Addition'!$O267,0,YEARFRAC('FA Addition'!$C267,$L$1,3),'FA Addition'!$Q267),FAAddition[[#This Row],[Original Cost (Rs)]]-FAAddition[[#This Row],[Salvage Value]])),0),0)</f>
        <v>4275</v>
      </c>
      <c r="AO267" s="117">
        <f t="shared" si="23"/>
        <v>0</v>
      </c>
      <c r="AQ267" s="117">
        <f t="shared" si="21"/>
        <v>225</v>
      </c>
      <c r="AR267" s="120">
        <f t="shared" si="22"/>
        <v>225</v>
      </c>
      <c r="AS267" s="121"/>
    </row>
    <row r="268" spans="1:45" ht="13.5" x14ac:dyDescent="0.4">
      <c r="A268" s="12">
        <f t="shared" si="24"/>
        <v>265</v>
      </c>
      <c r="B268" s="51" t="s">
        <v>731</v>
      </c>
      <c r="C268" s="45">
        <v>42988</v>
      </c>
      <c r="D268" s="45">
        <v>42988</v>
      </c>
      <c r="E268" s="46" t="s">
        <v>749</v>
      </c>
      <c r="F268" s="51" t="s">
        <v>750</v>
      </c>
      <c r="G268" s="44" t="s">
        <v>782</v>
      </c>
      <c r="H268" s="44"/>
      <c r="I268" s="44"/>
      <c r="J268" s="56">
        <v>1</v>
      </c>
      <c r="K268" s="44" t="s">
        <v>783</v>
      </c>
      <c r="L268" s="52">
        <v>34825</v>
      </c>
      <c r="M268" s="50">
        <f>ROUND('FA Addition'!$L268*5%,0.1)</f>
        <v>1741</v>
      </c>
      <c r="N268" s="113" t="str">
        <f>_xlfn.XLOOKUP(_xlfn.CONCAT(E268,B268),'Year Wise Master Dep Approach'!F:F,'Year Wise Master Dep Approach'!D:D)</f>
        <v>WDV</v>
      </c>
      <c r="O268" s="113">
        <f>_xlfn.XLOOKUP(_xlfn.CONCAT(E268,B268),'Year Wise Master Dep Approach'!F:F,'Year Wise Master Dep Approach'!E:E)</f>
        <v>5</v>
      </c>
      <c r="P268" s="114">
        <f>IFERROR(IF('FA Addition'!$N268="WDV",1-('FA Addition'!$M268/'FA Addition'!$L268)^(1/'FA Addition'!$O268),1/'FA Addition'!$O268),0)</f>
        <v>0.45073550183781086</v>
      </c>
      <c r="Q268" s="122">
        <f>'FA Addition'!$P268*'FA Addition'!$O268</f>
        <v>2.2536775091890542</v>
      </c>
      <c r="R268" s="122"/>
      <c r="S268" s="116">
        <f>IF(AND(DATE(20&amp;LEFT(FAAddition[[#This Row],[FY]],2),4,1)&lt;$L$1+1,DATE(20&amp;LEFT(FAAddition[[#This Row],[FY]],2),4,1)&gt;$P$1-1),'FA Addition'!$J268,0)</f>
        <v>0</v>
      </c>
      <c r="U268" s="117">
        <f>S268*'FA Addition'!$L268/'FA Addition'!$J268</f>
        <v>0</v>
      </c>
      <c r="W268" s="116">
        <f>SUMIFS('FA Write off'!D:D,'FA Write off'!A:A,'FA Addition'!$A268,'FA Write off'!C:C,"&lt;"&amp;'FA Addition'!$P$1)</f>
        <v>0</v>
      </c>
      <c r="Y268" s="191">
        <f>IFERROR(W268/'FA Addition'!$J268*'FA Addition'!$L268,0)</f>
        <v>0</v>
      </c>
      <c r="AA268" s="116">
        <f>SUMIFS('FA Write off'!D:D,'FA Write off'!A:A,'FA Addition'!$A268,'FA Write off'!C:C,"&lt;"&amp;'FA Addition'!$L$1+1,'FA Write off'!C:C,"&gt;"&amp;'FA Addition'!$L$1-365)</f>
        <v>0</v>
      </c>
      <c r="AC268" s="118">
        <f>IFERROR(AA268/'FA Addition'!$J268*'FA Addition'!$L268,0)</f>
        <v>0</v>
      </c>
      <c r="AE268" s="117">
        <f>IF(AND('FA Addition'!$D268&lt;$P$1+1,U268=0),'FA Addition'!$L268,0)-Y268</f>
        <v>34825</v>
      </c>
      <c r="AF268" s="117">
        <f t="shared" si="20"/>
        <v>34825</v>
      </c>
      <c r="AG268" s="117">
        <f>MIN(MAX(+$P$1-'FA Addition'!$D268,0),365*'FA Addition'!$O268)</f>
        <v>1825</v>
      </c>
      <c r="AH268" s="117">
        <f>MIN(MAX($L$1-'FA Addition'!$D268+1,0),365*'FA Addition'!$O268)</f>
        <v>1825</v>
      </c>
      <c r="AI268" s="117" cm="1">
        <f t="array" ref="AI268">_xlfn.XLOOKUP(1,('FA Write off'!A:A='FA Addition'!$A268)*('FA Write off'!D:D=AA268),'FA Write off'!H:H,0,0)</f>
        <v>0</v>
      </c>
      <c r="AJ268" s="117">
        <f>IF(AC268&gt;0,MAX(IF('FA Addition'!$N268="SLM",($AC268-'FA Addition'!$M268)*'FA Addition'!$P268*AI268/365,(AC268-'FA Addition'!$M268)*(1-(1-'FA Addition'!$P268)^(AI268/365))),0),0)</f>
        <v>0</v>
      </c>
      <c r="AL268" s="117">
        <f>MAX(IF(AG268&gt;0,IF('FA Addition'!$N268="SLM",($AE268-'FA Addition'!$M268)*'FA Addition'!$P268*AG268/365,IFERROR(VDB(AE268,AE268*0.05,'FA Addition'!$O268,0,YEARFRAC('FA Addition'!$C268,$P$1-1,3),'FA Addition'!$Q268),FAAddition[[#This Row],[Original Cost (Rs)]]-FAAddition[[#This Row],[Salvage Value]])),0),0)</f>
        <v>33084</v>
      </c>
      <c r="AM268" s="119"/>
      <c r="AN268" s="117">
        <f>MAX(IF(AH268&gt;0,IF('FA Addition'!$N268="SLM",($AF268-'FA Addition'!$M268)*'FA Addition'!$P268*AH268/365,IFERROR(VDB(AF268,AF268*0.05,'FA Addition'!$O268,0,YEARFRAC('FA Addition'!$C268,$L$1,3),'FA Addition'!$Q268),FAAddition[[#This Row],[Original Cost (Rs)]]-FAAddition[[#This Row],[Salvage Value]])),0),0)</f>
        <v>33084</v>
      </c>
      <c r="AO268" s="117">
        <f t="shared" si="23"/>
        <v>0</v>
      </c>
      <c r="AQ268" s="117">
        <f t="shared" si="21"/>
        <v>1741</v>
      </c>
      <c r="AR268" s="120">
        <f t="shared" si="22"/>
        <v>1741</v>
      </c>
      <c r="AS268" s="121"/>
    </row>
    <row r="269" spans="1:45" ht="13.5" x14ac:dyDescent="0.4">
      <c r="A269" s="12">
        <f t="shared" si="24"/>
        <v>266</v>
      </c>
      <c r="B269" s="51" t="s">
        <v>731</v>
      </c>
      <c r="C269" s="45">
        <v>43107</v>
      </c>
      <c r="D269" s="45">
        <v>42988</v>
      </c>
      <c r="E269" s="46" t="s">
        <v>749</v>
      </c>
      <c r="F269" s="51" t="s">
        <v>750</v>
      </c>
      <c r="G269" s="44" t="s">
        <v>784</v>
      </c>
      <c r="H269" s="44" t="s">
        <v>207</v>
      </c>
      <c r="I269" s="44" t="s">
        <v>785</v>
      </c>
      <c r="J269" s="56">
        <v>1</v>
      </c>
      <c r="K269" s="44" t="s">
        <v>786</v>
      </c>
      <c r="L269" s="52">
        <v>8000</v>
      </c>
      <c r="M269" s="50">
        <f>ROUND('FA Addition'!$L269*5%,0.1)</f>
        <v>400</v>
      </c>
      <c r="N269" s="113" t="str">
        <f>_xlfn.XLOOKUP(_xlfn.CONCAT(E269,B269),'Year Wise Master Dep Approach'!F:F,'Year Wise Master Dep Approach'!D:D)</f>
        <v>WDV</v>
      </c>
      <c r="O269" s="113">
        <f>_xlfn.XLOOKUP(_xlfn.CONCAT(E269,B269),'Year Wise Master Dep Approach'!F:F,'Year Wise Master Dep Approach'!E:E)</f>
        <v>5</v>
      </c>
      <c r="P269" s="114">
        <f>IFERROR(IF('FA Addition'!$N269="WDV",1-('FA Addition'!$M269/'FA Addition'!$L269)^(1/'FA Addition'!$O269),1/'FA Addition'!$O269),0)</f>
        <v>0.45071972834694107</v>
      </c>
      <c r="Q269" s="122">
        <f>'FA Addition'!$P269*'FA Addition'!$O269</f>
        <v>2.2535986417347056</v>
      </c>
      <c r="R269" s="122"/>
      <c r="S269" s="116">
        <f>IF(AND(DATE(20&amp;LEFT(FAAddition[[#This Row],[FY]],2),4,1)&lt;$L$1+1,DATE(20&amp;LEFT(FAAddition[[#This Row],[FY]],2),4,1)&gt;$P$1-1),'FA Addition'!$J269,0)</f>
        <v>0</v>
      </c>
      <c r="U269" s="117">
        <f>S269*'FA Addition'!$L269/'FA Addition'!$J269</f>
        <v>0</v>
      </c>
      <c r="W269" s="116">
        <f>SUMIFS('FA Write off'!D:D,'FA Write off'!A:A,'FA Addition'!$A269,'FA Write off'!C:C,"&lt;"&amp;'FA Addition'!$P$1)</f>
        <v>0</v>
      </c>
      <c r="Y269" s="191">
        <f>IFERROR(W269/'FA Addition'!$J269*'FA Addition'!$L269,0)</f>
        <v>0</v>
      </c>
      <c r="AA269" s="116">
        <f>SUMIFS('FA Write off'!D:D,'FA Write off'!A:A,'FA Addition'!$A269,'FA Write off'!C:C,"&lt;"&amp;'FA Addition'!$L$1+1,'FA Write off'!C:C,"&gt;"&amp;'FA Addition'!$L$1-365)</f>
        <v>0</v>
      </c>
      <c r="AC269" s="118">
        <f>IFERROR(AA269/'FA Addition'!$J269*'FA Addition'!$L269,0)</f>
        <v>0</v>
      </c>
      <c r="AE269" s="117">
        <f>IF(AND('FA Addition'!$D269&lt;$P$1+1,U269=0),'FA Addition'!$L269,0)-Y269</f>
        <v>8000</v>
      </c>
      <c r="AF269" s="117">
        <f t="shared" si="20"/>
        <v>8000</v>
      </c>
      <c r="AG269" s="117">
        <f>MIN(MAX(+$P$1-'FA Addition'!$D269,0),365*'FA Addition'!$O269)</f>
        <v>1825</v>
      </c>
      <c r="AH269" s="117">
        <f>MIN(MAX($L$1-'FA Addition'!$D269+1,0),365*'FA Addition'!$O269)</f>
        <v>1825</v>
      </c>
      <c r="AI269" s="117" cm="1">
        <f t="array" ref="AI269">_xlfn.XLOOKUP(1,('FA Write off'!A:A='FA Addition'!$A269)*('FA Write off'!D:D=AA269),'FA Write off'!H:H,0,0)</f>
        <v>0</v>
      </c>
      <c r="AJ269" s="117">
        <f>IF(AC269&gt;0,MAX(IF('FA Addition'!$N269="SLM",($AC269-'FA Addition'!$M269)*'FA Addition'!$P269*AI269/365,(AC269-'FA Addition'!$M269)*(1-(1-'FA Addition'!$P269)^(AI269/365))),0),0)</f>
        <v>0</v>
      </c>
      <c r="AL269" s="117">
        <f>MAX(IF(AG269&gt;0,IF('FA Addition'!$N269="SLM",($AE269-'FA Addition'!$M269)*'FA Addition'!$P269*AG269/365,IFERROR(VDB(AE269,AE269*0.05,'FA Addition'!$O269,0,YEARFRAC('FA Addition'!$C269,$P$1-1,3),'FA Addition'!$Q269),FAAddition[[#This Row],[Original Cost (Rs)]]-FAAddition[[#This Row],[Salvage Value]])),0),0)</f>
        <v>7600</v>
      </c>
      <c r="AM269" s="119"/>
      <c r="AN269" s="117">
        <f>MAX(IF(AH269&gt;0,IF('FA Addition'!$N269="SLM",($AF269-'FA Addition'!$M269)*'FA Addition'!$P269*AH269/365,IFERROR(VDB(AF269,AF269*0.05,'FA Addition'!$O269,0,YEARFRAC('FA Addition'!$C269,$L$1,3),'FA Addition'!$Q269),FAAddition[[#This Row],[Original Cost (Rs)]]-FAAddition[[#This Row],[Salvage Value]])),0),0)</f>
        <v>7600</v>
      </c>
      <c r="AO269" s="117">
        <f t="shared" si="23"/>
        <v>0</v>
      </c>
      <c r="AQ269" s="117">
        <f t="shared" si="21"/>
        <v>400</v>
      </c>
      <c r="AR269" s="120">
        <f t="shared" si="22"/>
        <v>400</v>
      </c>
      <c r="AS269" s="121"/>
    </row>
    <row r="270" spans="1:45" ht="13.5" x14ac:dyDescent="0.4">
      <c r="A270" s="12">
        <f t="shared" si="24"/>
        <v>267</v>
      </c>
      <c r="B270" s="51" t="s">
        <v>731</v>
      </c>
      <c r="C270" s="45">
        <v>42988</v>
      </c>
      <c r="D270" s="45">
        <v>42988</v>
      </c>
      <c r="E270" s="46" t="s">
        <v>523</v>
      </c>
      <c r="F270" s="51" t="s">
        <v>758</v>
      </c>
      <c r="G270" s="44" t="s">
        <v>787</v>
      </c>
      <c r="H270" s="44"/>
      <c r="I270" s="44">
        <v>441</v>
      </c>
      <c r="J270" s="56">
        <v>1</v>
      </c>
      <c r="K270" s="44" t="s">
        <v>788</v>
      </c>
      <c r="L270" s="52">
        <v>6500</v>
      </c>
      <c r="M270" s="50">
        <f>ROUND('FA Addition'!$L270*5%,0.1)</f>
        <v>325</v>
      </c>
      <c r="N270" s="113" t="str">
        <f>_xlfn.XLOOKUP(_xlfn.CONCAT(E270,B270),'Year Wise Master Dep Approach'!F:F,'Year Wise Master Dep Approach'!D:D)</f>
        <v>WDV</v>
      </c>
      <c r="O270" s="113">
        <f>_xlfn.XLOOKUP(_xlfn.CONCAT(E270,B270),'Year Wise Master Dep Approach'!F:F,'Year Wise Master Dep Approach'!E:E)</f>
        <v>10</v>
      </c>
      <c r="P270" s="114">
        <f>IFERROR(IF('FA Addition'!$N270="WDV",1-('FA Addition'!$M270/'FA Addition'!$L270)^(1/'FA Addition'!$O270),1/'FA Addition'!$O270),0)</f>
        <v>0.2588655508930523</v>
      </c>
      <c r="Q270" s="122">
        <f>'FA Addition'!$P270*'FA Addition'!$O270</f>
        <v>2.5886555089305228</v>
      </c>
      <c r="R270" s="122"/>
      <c r="S270" s="116">
        <f>IF(AND(DATE(20&amp;LEFT(FAAddition[[#This Row],[FY]],2),4,1)&lt;$L$1+1,DATE(20&amp;LEFT(FAAddition[[#This Row],[FY]],2),4,1)&gt;$P$1-1),'FA Addition'!$J270,0)</f>
        <v>0</v>
      </c>
      <c r="U270" s="117">
        <f>S270*'FA Addition'!$L270/'FA Addition'!$J270</f>
        <v>0</v>
      </c>
      <c r="W270" s="116">
        <f>SUMIFS('FA Write off'!D:D,'FA Write off'!A:A,'FA Addition'!$A270,'FA Write off'!C:C,"&lt;"&amp;'FA Addition'!$P$1)</f>
        <v>0</v>
      </c>
      <c r="Y270" s="191">
        <f>IFERROR(W270/'FA Addition'!$J270*'FA Addition'!$L270,0)</f>
        <v>0</v>
      </c>
      <c r="AA270" s="116">
        <f>SUMIFS('FA Write off'!D:D,'FA Write off'!A:A,'FA Addition'!$A270,'FA Write off'!C:C,"&lt;"&amp;'FA Addition'!$L$1+1,'FA Write off'!C:C,"&gt;"&amp;'FA Addition'!$L$1-365)</f>
        <v>0</v>
      </c>
      <c r="AC270" s="118">
        <f>IFERROR(AA270/'FA Addition'!$J270*'FA Addition'!$L270,0)</f>
        <v>0</v>
      </c>
      <c r="AE270" s="117">
        <f>IF(AND('FA Addition'!$D270&lt;$P$1+1,U270=0),'FA Addition'!$L270,0)-Y270</f>
        <v>6500</v>
      </c>
      <c r="AF270" s="117">
        <f t="shared" si="20"/>
        <v>6500</v>
      </c>
      <c r="AG270" s="117">
        <f>MIN(MAX(+$P$1-'FA Addition'!$D270,0),365*'FA Addition'!$O270)</f>
        <v>2029</v>
      </c>
      <c r="AH270" s="117">
        <f>MIN(MAX($L$1-'FA Addition'!$D270+1,0),365*'FA Addition'!$O270)</f>
        <v>2395</v>
      </c>
      <c r="AI270" s="117" cm="1">
        <f t="array" ref="AI270">_xlfn.XLOOKUP(1,('FA Write off'!A:A='FA Addition'!$A270)*('FA Write off'!D:D=AA270),'FA Write off'!H:H,0,0)</f>
        <v>0</v>
      </c>
      <c r="AJ270" s="117">
        <f>IF(AC270&gt;0,MAX(IF('FA Addition'!$N270="SLM",($AC270-'FA Addition'!$M270)*'FA Addition'!$P270*AI270/365,(AC270-'FA Addition'!$M270)*(1-(1-'FA Addition'!$P270)^(AI270/365))),0),0)</f>
        <v>0</v>
      </c>
      <c r="AL270" s="117">
        <f>MAX(IF(AG270&gt;0,IF('FA Addition'!$N270="SLM",($AE270-'FA Addition'!$M270)*'FA Addition'!$P270*AG270/365,IFERROR(VDB(AE270,AE270*0.05,'FA Addition'!$O270,0,YEARFRAC('FA Addition'!$C270,$P$1-1,3),'FA Addition'!$Q270),FAAddition[[#This Row],[Original Cost (Rs)]]-FAAddition[[#This Row],[Salvage Value]])),0),0)</f>
        <v>5255.8107895212779</v>
      </c>
      <c r="AM270" s="119"/>
      <c r="AN270" s="117">
        <f>MAX(IF(AH270&gt;0,IF('FA Addition'!$N270="SLM",($AF270-'FA Addition'!$M270)*'FA Addition'!$P270*AH270/365,IFERROR(VDB(AF270,AF270*0.05,'FA Addition'!$O270,0,YEARFRAC('FA Addition'!$C270,$L$1,3),'FA Addition'!$Q270),FAAddition[[#This Row],[Original Cost (Rs)]]-FAAddition[[#This Row],[Salvage Value]])),0),0)</f>
        <v>5578.652485697894</v>
      </c>
      <c r="AO270" s="117">
        <f t="shared" si="23"/>
        <v>322.8416961766161</v>
      </c>
      <c r="AQ270" s="117">
        <f t="shared" si="21"/>
        <v>1244.1892104787221</v>
      </c>
      <c r="AR270" s="120">
        <f t="shared" si="22"/>
        <v>921.34751430210599</v>
      </c>
      <c r="AS270" s="121"/>
    </row>
    <row r="271" spans="1:45" ht="13.5" x14ac:dyDescent="0.4">
      <c r="A271" s="12">
        <f t="shared" si="24"/>
        <v>268</v>
      </c>
      <c r="B271" s="51" t="s">
        <v>731</v>
      </c>
      <c r="C271" s="45">
        <v>42989</v>
      </c>
      <c r="D271" s="45">
        <v>42989</v>
      </c>
      <c r="E271" s="46" t="s">
        <v>749</v>
      </c>
      <c r="F271" s="51" t="s">
        <v>750</v>
      </c>
      <c r="G271" s="44"/>
      <c r="H271" s="44"/>
      <c r="I271" s="44"/>
      <c r="J271" s="56">
        <v>1</v>
      </c>
      <c r="K271" s="44"/>
      <c r="L271" s="52">
        <v>77758</v>
      </c>
      <c r="M271" s="50">
        <f>ROUND('FA Addition'!$L271*5%,0.1)</f>
        <v>3888</v>
      </c>
      <c r="N271" s="113" t="str">
        <f>_xlfn.XLOOKUP(_xlfn.CONCAT(E271,B271),'Year Wise Master Dep Approach'!F:F,'Year Wise Master Dep Approach'!D:D)</f>
        <v>WDV</v>
      </c>
      <c r="O271" s="113">
        <f>_xlfn.XLOOKUP(_xlfn.CONCAT(E271,B271),'Year Wise Master Dep Approach'!F:F,'Year Wise Master Dep Approach'!E:E)</f>
        <v>5</v>
      </c>
      <c r="P271" s="114">
        <f>IFERROR(IF('FA Addition'!$N271="WDV",1-('FA Addition'!$M271/'FA Addition'!$L271)^(1/'FA Addition'!$O271),1/'FA Addition'!$O271),0)</f>
        <v>0.45071690278753596</v>
      </c>
      <c r="Q271" s="122">
        <f>'FA Addition'!$P271*'FA Addition'!$O271</f>
        <v>2.25358451393768</v>
      </c>
      <c r="R271" s="122"/>
      <c r="S271" s="116">
        <f>IF(AND(DATE(20&amp;LEFT(FAAddition[[#This Row],[FY]],2),4,1)&lt;$L$1+1,DATE(20&amp;LEFT(FAAddition[[#This Row],[FY]],2),4,1)&gt;$P$1-1),'FA Addition'!$J271,0)</f>
        <v>0</v>
      </c>
      <c r="U271" s="117">
        <f>S271*'FA Addition'!$L271/'FA Addition'!$J271</f>
        <v>0</v>
      </c>
      <c r="W271" s="116">
        <f>SUMIFS('FA Write off'!D:D,'FA Write off'!A:A,'FA Addition'!$A271,'FA Write off'!C:C,"&lt;"&amp;'FA Addition'!$P$1)</f>
        <v>0</v>
      </c>
      <c r="Y271" s="191">
        <f>IFERROR(W271/'FA Addition'!$J271*'FA Addition'!$L271,0)</f>
        <v>0</v>
      </c>
      <c r="AA271" s="116">
        <f>SUMIFS('FA Write off'!D:D,'FA Write off'!A:A,'FA Addition'!$A271,'FA Write off'!C:C,"&lt;"&amp;'FA Addition'!$L$1+1,'FA Write off'!C:C,"&gt;"&amp;'FA Addition'!$L$1-365)</f>
        <v>0</v>
      </c>
      <c r="AC271" s="118">
        <f>IFERROR(AA271/'FA Addition'!$J271*'FA Addition'!$L271,0)</f>
        <v>0</v>
      </c>
      <c r="AE271" s="117">
        <f>IF(AND('FA Addition'!$D271&lt;$P$1+1,U271=0),'FA Addition'!$L271,0)-Y271</f>
        <v>77758</v>
      </c>
      <c r="AF271" s="117">
        <f t="shared" si="20"/>
        <v>77758</v>
      </c>
      <c r="AG271" s="117">
        <f>MIN(MAX(+$P$1-'FA Addition'!$D271,0),365*'FA Addition'!$O271)</f>
        <v>1825</v>
      </c>
      <c r="AH271" s="117">
        <f>MIN(MAX($L$1-'FA Addition'!$D271+1,0),365*'FA Addition'!$O271)</f>
        <v>1825</v>
      </c>
      <c r="AI271" s="117" cm="1">
        <f t="array" ref="AI271">_xlfn.XLOOKUP(1,('FA Write off'!A:A='FA Addition'!$A271)*('FA Write off'!D:D=AA271),'FA Write off'!H:H,0,0)</f>
        <v>0</v>
      </c>
      <c r="AJ271" s="117">
        <f>IF(AC271&gt;0,MAX(IF('FA Addition'!$N271="SLM",($AC271-'FA Addition'!$M271)*'FA Addition'!$P271*AI271/365,(AC271-'FA Addition'!$M271)*(1-(1-'FA Addition'!$P271)^(AI271/365))),0),0)</f>
        <v>0</v>
      </c>
      <c r="AL271" s="117">
        <f>MAX(IF(AG271&gt;0,IF('FA Addition'!$N271="SLM",($AE271-'FA Addition'!$M271)*'FA Addition'!$P271*AG271/365,IFERROR(VDB(AE271,AE271*0.05,'FA Addition'!$O271,0,YEARFRAC('FA Addition'!$C271,$P$1-1,3),'FA Addition'!$Q271),FAAddition[[#This Row],[Original Cost (Rs)]]-FAAddition[[#This Row],[Salvage Value]])),0),0)</f>
        <v>73870</v>
      </c>
      <c r="AM271" s="119"/>
      <c r="AN271" s="117">
        <f>MAX(IF(AH271&gt;0,IF('FA Addition'!$N271="SLM",($AF271-'FA Addition'!$M271)*'FA Addition'!$P271*AH271/365,IFERROR(VDB(AF271,AF271*0.05,'FA Addition'!$O271,0,YEARFRAC('FA Addition'!$C271,$L$1,3),'FA Addition'!$Q271),FAAddition[[#This Row],[Original Cost (Rs)]]-FAAddition[[#This Row],[Salvage Value]])),0),0)</f>
        <v>73870</v>
      </c>
      <c r="AO271" s="117">
        <f t="shared" si="23"/>
        <v>0</v>
      </c>
      <c r="AQ271" s="117">
        <f t="shared" si="21"/>
        <v>3888</v>
      </c>
      <c r="AR271" s="120">
        <f t="shared" si="22"/>
        <v>3888</v>
      </c>
      <c r="AS271" s="121"/>
    </row>
    <row r="272" spans="1:45" ht="13.5" x14ac:dyDescent="0.4">
      <c r="A272" s="12">
        <f t="shared" si="24"/>
        <v>269</v>
      </c>
      <c r="B272" s="51" t="s">
        <v>731</v>
      </c>
      <c r="C272" s="45">
        <v>42989</v>
      </c>
      <c r="D272" s="45">
        <v>42989</v>
      </c>
      <c r="E272" s="46" t="s">
        <v>523</v>
      </c>
      <c r="F272" s="51" t="s">
        <v>758</v>
      </c>
      <c r="G272" s="44" t="s">
        <v>789</v>
      </c>
      <c r="H272" s="44"/>
      <c r="I272" s="44" t="s">
        <v>790</v>
      </c>
      <c r="J272" s="56">
        <v>1</v>
      </c>
      <c r="K272" s="44" t="s">
        <v>791</v>
      </c>
      <c r="L272" s="52">
        <v>10000</v>
      </c>
      <c r="M272" s="50">
        <f>ROUND('FA Addition'!$L272*5%,0.1)</f>
        <v>500</v>
      </c>
      <c r="N272" s="113" t="str">
        <f>_xlfn.XLOOKUP(_xlfn.CONCAT(E272,B272),'Year Wise Master Dep Approach'!F:F,'Year Wise Master Dep Approach'!D:D)</f>
        <v>WDV</v>
      </c>
      <c r="O272" s="113">
        <f>_xlfn.XLOOKUP(_xlfn.CONCAT(E272,B272),'Year Wise Master Dep Approach'!F:F,'Year Wise Master Dep Approach'!E:E)</f>
        <v>10</v>
      </c>
      <c r="P272" s="114">
        <f>IFERROR(IF('FA Addition'!$N272="WDV",1-('FA Addition'!$M272/'FA Addition'!$L272)^(1/'FA Addition'!$O272),1/'FA Addition'!$O272),0)</f>
        <v>0.2588655508930523</v>
      </c>
      <c r="Q272" s="122">
        <f>'FA Addition'!$P272*'FA Addition'!$O272</f>
        <v>2.5886555089305228</v>
      </c>
      <c r="R272" s="122"/>
      <c r="S272" s="116">
        <f>IF(AND(DATE(20&amp;LEFT(FAAddition[[#This Row],[FY]],2),4,1)&lt;$L$1+1,DATE(20&amp;LEFT(FAAddition[[#This Row],[FY]],2),4,1)&gt;$P$1-1),'FA Addition'!$J272,0)</f>
        <v>0</v>
      </c>
      <c r="U272" s="117">
        <f>S272*'FA Addition'!$L272/'FA Addition'!$J272</f>
        <v>0</v>
      </c>
      <c r="W272" s="116">
        <f>SUMIFS('FA Write off'!D:D,'FA Write off'!A:A,'FA Addition'!$A272,'FA Write off'!C:C,"&lt;"&amp;'FA Addition'!$P$1)</f>
        <v>0</v>
      </c>
      <c r="Y272" s="191">
        <f>IFERROR(W272/'FA Addition'!$J272*'FA Addition'!$L272,0)</f>
        <v>0</v>
      </c>
      <c r="AA272" s="116">
        <f>SUMIFS('FA Write off'!D:D,'FA Write off'!A:A,'FA Addition'!$A272,'FA Write off'!C:C,"&lt;"&amp;'FA Addition'!$L$1+1,'FA Write off'!C:C,"&gt;"&amp;'FA Addition'!$L$1-365)</f>
        <v>0</v>
      </c>
      <c r="AC272" s="118">
        <f>IFERROR(AA272/'FA Addition'!$J272*'FA Addition'!$L272,0)</f>
        <v>0</v>
      </c>
      <c r="AE272" s="117">
        <f>IF(AND('FA Addition'!$D272&lt;$P$1+1,U272=0),'FA Addition'!$L272,0)-Y272</f>
        <v>10000</v>
      </c>
      <c r="AF272" s="117">
        <f t="shared" si="20"/>
        <v>10000</v>
      </c>
      <c r="AG272" s="117">
        <f>MIN(MAX(+$P$1-'FA Addition'!$D272,0),365*'FA Addition'!$O272)</f>
        <v>2028</v>
      </c>
      <c r="AH272" s="117">
        <f>MIN(MAX($L$1-'FA Addition'!$D272+1,0),365*'FA Addition'!$O272)</f>
        <v>2394</v>
      </c>
      <c r="AI272" s="117" cm="1">
        <f t="array" ref="AI272">_xlfn.XLOOKUP(1,('FA Write off'!A:A='FA Addition'!$A272)*('FA Write off'!D:D=AA272),'FA Write off'!H:H,0,0)</f>
        <v>0</v>
      </c>
      <c r="AJ272" s="117">
        <f>IF(AC272&gt;0,MAX(IF('FA Addition'!$N272="SLM",($AC272-'FA Addition'!$M272)*'FA Addition'!$P272*AI272/365,(AC272-'FA Addition'!$M272)*(1-(1-'FA Addition'!$P272)^(AI272/365))),0),0)</f>
        <v>0</v>
      </c>
      <c r="AL272" s="117">
        <f>MAX(IF(AG272&gt;0,IF('FA Addition'!$N272="SLM",($AE272-'FA Addition'!$M272)*'FA Addition'!$P272*AG272/365,IFERROR(VDB(AE272,AE272*0.05,'FA Addition'!$O272,0,YEARFRAC('FA Addition'!$C272,$P$1-1,3),'FA Addition'!$Q272),FAAddition[[#This Row],[Original Cost (Rs)]]-FAAddition[[#This Row],[Salvage Value]])),0),0)</f>
        <v>8084.2768874416315</v>
      </c>
      <c r="AM272" s="119"/>
      <c r="AN272" s="117">
        <f>MAX(IF(AH272&gt;0,IF('FA Addition'!$N272="SLM",($AF272-'FA Addition'!$M272)*'FA Addition'!$P272*AH272/365,IFERROR(VDB(AF272,AF272*0.05,'FA Addition'!$O272,0,YEARFRAC('FA Addition'!$C272,$L$1,3),'FA Addition'!$Q272),FAAddition[[#This Row],[Original Cost (Rs)]]-FAAddition[[#This Row],[Salvage Value]])),0),0)</f>
        <v>8581.3669460108376</v>
      </c>
      <c r="AO272" s="117">
        <f t="shared" si="23"/>
        <v>497.09005856920612</v>
      </c>
      <c r="AQ272" s="117">
        <f t="shared" si="21"/>
        <v>1915.7231125583685</v>
      </c>
      <c r="AR272" s="120">
        <f t="shared" si="22"/>
        <v>1418.6330539891624</v>
      </c>
      <c r="AS272" s="121"/>
    </row>
    <row r="273" spans="1:45" ht="13.5" x14ac:dyDescent="0.4">
      <c r="A273" s="12">
        <f t="shared" si="24"/>
        <v>270</v>
      </c>
      <c r="B273" s="51" t="s">
        <v>731</v>
      </c>
      <c r="C273" s="45">
        <v>42990</v>
      </c>
      <c r="D273" s="45">
        <v>42990</v>
      </c>
      <c r="E273" s="46" t="s">
        <v>749</v>
      </c>
      <c r="F273" s="51" t="s">
        <v>750</v>
      </c>
      <c r="G273" s="44" t="s">
        <v>436</v>
      </c>
      <c r="H273" s="44"/>
      <c r="I273" s="44"/>
      <c r="J273" s="56">
        <v>1</v>
      </c>
      <c r="K273" s="44"/>
      <c r="L273" s="52">
        <v>100000</v>
      </c>
      <c r="M273" s="50">
        <f>ROUND('FA Addition'!$L273*5%,0.1)</f>
        <v>5000</v>
      </c>
      <c r="N273" s="113" t="str">
        <f>_xlfn.XLOOKUP(_xlfn.CONCAT(E273,B273),'Year Wise Master Dep Approach'!F:F,'Year Wise Master Dep Approach'!D:D)</f>
        <v>WDV</v>
      </c>
      <c r="O273" s="113">
        <f>_xlfn.XLOOKUP(_xlfn.CONCAT(E273,B273),'Year Wise Master Dep Approach'!F:F,'Year Wise Master Dep Approach'!E:E)</f>
        <v>5</v>
      </c>
      <c r="P273" s="114">
        <f>IFERROR(IF('FA Addition'!$N273="WDV",1-('FA Addition'!$M273/'FA Addition'!$L273)^(1/'FA Addition'!$O273),1/'FA Addition'!$O273),0)</f>
        <v>0.45071972834694107</v>
      </c>
      <c r="Q273" s="122">
        <f>'FA Addition'!$P273*'FA Addition'!$O273</f>
        <v>2.2535986417347056</v>
      </c>
      <c r="R273" s="122"/>
      <c r="S273" s="116">
        <f>IF(AND(DATE(20&amp;LEFT(FAAddition[[#This Row],[FY]],2),4,1)&lt;$L$1+1,DATE(20&amp;LEFT(FAAddition[[#This Row],[FY]],2),4,1)&gt;$P$1-1),'FA Addition'!$J273,0)</f>
        <v>0</v>
      </c>
      <c r="U273" s="117">
        <f>S273*'FA Addition'!$L273/'FA Addition'!$J273</f>
        <v>0</v>
      </c>
      <c r="W273" s="116">
        <f>SUMIFS('FA Write off'!D:D,'FA Write off'!A:A,'FA Addition'!$A273,'FA Write off'!C:C,"&lt;"&amp;'FA Addition'!$P$1)</f>
        <v>0</v>
      </c>
      <c r="Y273" s="191">
        <f>IFERROR(W273/'FA Addition'!$J273*'FA Addition'!$L273,0)</f>
        <v>0</v>
      </c>
      <c r="AA273" s="116">
        <f>SUMIFS('FA Write off'!D:D,'FA Write off'!A:A,'FA Addition'!$A273,'FA Write off'!C:C,"&lt;"&amp;'FA Addition'!$L$1+1,'FA Write off'!C:C,"&gt;"&amp;'FA Addition'!$L$1-365)</f>
        <v>0</v>
      </c>
      <c r="AC273" s="118">
        <f>IFERROR(AA273/'FA Addition'!$J273*'FA Addition'!$L273,0)</f>
        <v>0</v>
      </c>
      <c r="AE273" s="117">
        <f>IF(AND('FA Addition'!$D273&lt;$P$1+1,U273=0),'FA Addition'!$L273,0)-Y273</f>
        <v>100000</v>
      </c>
      <c r="AF273" s="117">
        <f t="shared" si="20"/>
        <v>100000</v>
      </c>
      <c r="AG273" s="117">
        <f>MIN(MAX(+$P$1-'FA Addition'!$D273,0),365*'FA Addition'!$O273)</f>
        <v>1825</v>
      </c>
      <c r="AH273" s="117">
        <f>MIN(MAX($L$1-'FA Addition'!$D273+1,0),365*'FA Addition'!$O273)</f>
        <v>1825</v>
      </c>
      <c r="AI273" s="117" cm="1">
        <f t="array" ref="AI273">_xlfn.XLOOKUP(1,('FA Write off'!A:A='FA Addition'!$A273)*('FA Write off'!D:D=AA273),'FA Write off'!H:H,0,0)</f>
        <v>0</v>
      </c>
      <c r="AJ273" s="117">
        <f>IF(AC273&gt;0,MAX(IF('FA Addition'!$N273="SLM",($AC273-'FA Addition'!$M273)*'FA Addition'!$P273*AI273/365,(AC273-'FA Addition'!$M273)*(1-(1-'FA Addition'!$P273)^(AI273/365))),0),0)</f>
        <v>0</v>
      </c>
      <c r="AL273" s="117">
        <f>MAX(IF(AG273&gt;0,IF('FA Addition'!$N273="SLM",($AE273-'FA Addition'!$M273)*'FA Addition'!$P273*AG273/365,IFERROR(VDB(AE273,AE273*0.05,'FA Addition'!$O273,0,YEARFRAC('FA Addition'!$C273,$P$1-1,3),'FA Addition'!$Q273),FAAddition[[#This Row],[Original Cost (Rs)]]-FAAddition[[#This Row],[Salvage Value]])),0),0)</f>
        <v>95000</v>
      </c>
      <c r="AM273" s="119"/>
      <c r="AN273" s="117">
        <f>MAX(IF(AH273&gt;0,IF('FA Addition'!$N273="SLM",($AF273-'FA Addition'!$M273)*'FA Addition'!$P273*AH273/365,IFERROR(VDB(AF273,AF273*0.05,'FA Addition'!$O273,0,YEARFRAC('FA Addition'!$C273,$L$1,3),'FA Addition'!$Q273),FAAddition[[#This Row],[Original Cost (Rs)]]-FAAddition[[#This Row],[Salvage Value]])),0),0)</f>
        <v>95000</v>
      </c>
      <c r="AO273" s="117">
        <f t="shared" si="23"/>
        <v>0</v>
      </c>
      <c r="AQ273" s="117">
        <f t="shared" si="21"/>
        <v>5000</v>
      </c>
      <c r="AR273" s="120">
        <f t="shared" si="22"/>
        <v>5000</v>
      </c>
      <c r="AS273" s="121"/>
    </row>
    <row r="274" spans="1:45" ht="13.5" x14ac:dyDescent="0.4">
      <c r="A274" s="12">
        <f t="shared" si="24"/>
        <v>271</v>
      </c>
      <c r="B274" s="51" t="s">
        <v>731</v>
      </c>
      <c r="C274" s="54">
        <v>42990</v>
      </c>
      <c r="D274" s="54">
        <v>42990</v>
      </c>
      <c r="E274" s="46" t="s">
        <v>749</v>
      </c>
      <c r="F274" s="51" t="s">
        <v>750</v>
      </c>
      <c r="G274" s="51" t="s">
        <v>792</v>
      </c>
      <c r="H274" s="51" t="s">
        <v>222</v>
      </c>
      <c r="I274" s="51" t="s">
        <v>793</v>
      </c>
      <c r="J274" s="56">
        <v>4</v>
      </c>
      <c r="K274" s="51" t="s">
        <v>794</v>
      </c>
      <c r="L274" s="58">
        <v>35994</v>
      </c>
      <c r="M274" s="50">
        <f>ROUND('FA Addition'!$L274*5%,0.1)</f>
        <v>1800</v>
      </c>
      <c r="N274" s="113" t="str">
        <f>_xlfn.XLOOKUP(_xlfn.CONCAT(E274,B274),'Year Wise Master Dep Approach'!F:F,'Year Wise Master Dep Approach'!D:D)</f>
        <v>WDV</v>
      </c>
      <c r="O274" s="113">
        <f>_xlfn.XLOOKUP(_xlfn.CONCAT(E274,B274),'Year Wise Master Dep Approach'!F:F,'Year Wise Master Dep Approach'!E:E)</f>
        <v>5</v>
      </c>
      <c r="P274" s="114">
        <f>IFERROR(IF('FA Addition'!$N274="WDV",1-('FA Addition'!$M274/'FA Addition'!$L274)^(1/'FA Addition'!$O274),1/'FA Addition'!$O274),0)</f>
        <v>0.45070141717339463</v>
      </c>
      <c r="Q274" s="122">
        <f>'FA Addition'!$P274*'FA Addition'!$O274</f>
        <v>2.253507085866973</v>
      </c>
      <c r="R274" s="122"/>
      <c r="S274" s="116">
        <f>IF(AND(DATE(20&amp;LEFT(FAAddition[[#This Row],[FY]],2),4,1)&lt;$L$1+1,DATE(20&amp;LEFT(FAAddition[[#This Row],[FY]],2),4,1)&gt;$P$1-1),'FA Addition'!$J274,0)</f>
        <v>0</v>
      </c>
      <c r="U274" s="117">
        <f>S274*'FA Addition'!$L274/'FA Addition'!$J274</f>
        <v>0</v>
      </c>
      <c r="W274" s="116">
        <f>SUMIFS('FA Write off'!D:D,'FA Write off'!A:A,'FA Addition'!$A274,'FA Write off'!C:C,"&lt;"&amp;'FA Addition'!$P$1)</f>
        <v>0</v>
      </c>
      <c r="Y274" s="191">
        <f>IFERROR(W274/'FA Addition'!$J274*'FA Addition'!$L274,0)</f>
        <v>0</v>
      </c>
      <c r="AA274" s="116">
        <f>SUMIFS('FA Write off'!D:D,'FA Write off'!A:A,'FA Addition'!$A274,'FA Write off'!C:C,"&lt;"&amp;'FA Addition'!$L$1+1,'FA Write off'!C:C,"&gt;"&amp;'FA Addition'!$L$1-365)</f>
        <v>0</v>
      </c>
      <c r="AC274" s="118">
        <f>IFERROR(AA274/'FA Addition'!$J274*'FA Addition'!$L274,0)</f>
        <v>0</v>
      </c>
      <c r="AE274" s="117">
        <f>IF(AND('FA Addition'!$D274&lt;$P$1+1,U274=0),'FA Addition'!$L274,0)-Y274</f>
        <v>35994</v>
      </c>
      <c r="AF274" s="117">
        <f t="shared" si="20"/>
        <v>35994</v>
      </c>
      <c r="AG274" s="117">
        <f>MIN(MAX(+$P$1-'FA Addition'!$D274,0),365*'FA Addition'!$O274)</f>
        <v>1825</v>
      </c>
      <c r="AH274" s="117">
        <f>MIN(MAX($L$1-'FA Addition'!$D274+1,0),365*'FA Addition'!$O274)</f>
        <v>1825</v>
      </c>
      <c r="AI274" s="117" cm="1">
        <f t="array" ref="AI274">_xlfn.XLOOKUP(1,('FA Write off'!A:A='FA Addition'!$A274)*('FA Write off'!D:D=AA274),'FA Write off'!H:H,0,0)</f>
        <v>0</v>
      </c>
      <c r="AJ274" s="117">
        <f>IF(AC274&gt;0,MAX(IF('FA Addition'!$N274="SLM",($AC274-'FA Addition'!$M274)*'FA Addition'!$P274*AI274/365,(AC274-'FA Addition'!$M274)*(1-(1-'FA Addition'!$P274)^(AI274/365))),0),0)</f>
        <v>0</v>
      </c>
      <c r="AL274" s="117">
        <f>MAX(IF(AG274&gt;0,IF('FA Addition'!$N274="SLM",($AE274-'FA Addition'!$M274)*'FA Addition'!$P274*AG274/365,IFERROR(VDB(AE274,AE274*0.05,'FA Addition'!$O274,0,YEARFRAC('FA Addition'!$C274,$P$1-1,3),'FA Addition'!$Q274),FAAddition[[#This Row],[Original Cost (Rs)]]-FAAddition[[#This Row],[Salvage Value]])),0),0)</f>
        <v>34194</v>
      </c>
      <c r="AM274" s="119"/>
      <c r="AN274" s="117">
        <f>MAX(IF(AH274&gt;0,IF('FA Addition'!$N274="SLM",($AF274-'FA Addition'!$M274)*'FA Addition'!$P274*AH274/365,IFERROR(VDB(AF274,AF274*0.05,'FA Addition'!$O274,0,YEARFRAC('FA Addition'!$C274,$L$1,3),'FA Addition'!$Q274),FAAddition[[#This Row],[Original Cost (Rs)]]-FAAddition[[#This Row],[Salvage Value]])),0),0)</f>
        <v>34194</v>
      </c>
      <c r="AO274" s="117">
        <f t="shared" si="23"/>
        <v>0</v>
      </c>
      <c r="AQ274" s="117">
        <f t="shared" si="21"/>
        <v>1800</v>
      </c>
      <c r="AR274" s="120">
        <f t="shared" si="22"/>
        <v>1800</v>
      </c>
      <c r="AS274" s="121"/>
    </row>
    <row r="275" spans="1:45" ht="13.5" x14ac:dyDescent="0.4">
      <c r="A275" s="12">
        <f t="shared" si="24"/>
        <v>272</v>
      </c>
      <c r="B275" s="51" t="s">
        <v>731</v>
      </c>
      <c r="C275" s="54">
        <v>42990</v>
      </c>
      <c r="D275" s="54">
        <v>42990</v>
      </c>
      <c r="E275" s="46" t="s">
        <v>523</v>
      </c>
      <c r="F275" s="51" t="s">
        <v>758</v>
      </c>
      <c r="G275" s="51" t="s">
        <v>795</v>
      </c>
      <c r="H275" s="51"/>
      <c r="I275" s="51"/>
      <c r="J275" s="56">
        <v>1</v>
      </c>
      <c r="K275" s="51" t="s">
        <v>796</v>
      </c>
      <c r="L275" s="58">
        <v>13520</v>
      </c>
      <c r="M275" s="50">
        <f>ROUND('FA Addition'!$L275*5%,0.1)</f>
        <v>676</v>
      </c>
      <c r="N275" s="113" t="str">
        <f>_xlfn.XLOOKUP(_xlfn.CONCAT(E275,B275),'Year Wise Master Dep Approach'!F:F,'Year Wise Master Dep Approach'!D:D)</f>
        <v>WDV</v>
      </c>
      <c r="O275" s="113">
        <f>_xlfn.XLOOKUP(_xlfn.CONCAT(E275,B275),'Year Wise Master Dep Approach'!F:F,'Year Wise Master Dep Approach'!E:E)</f>
        <v>10</v>
      </c>
      <c r="P275" s="114">
        <f>IFERROR(IF('FA Addition'!$N275="WDV",1-('FA Addition'!$M275/'FA Addition'!$L275)^(1/'FA Addition'!$O275),1/'FA Addition'!$O275),0)</f>
        <v>0.2588655508930523</v>
      </c>
      <c r="Q275" s="122">
        <f>'FA Addition'!$P275*'FA Addition'!$O275</f>
        <v>2.5886555089305228</v>
      </c>
      <c r="R275" s="122"/>
      <c r="S275" s="116">
        <f>IF(AND(DATE(20&amp;LEFT(FAAddition[[#This Row],[FY]],2),4,1)&lt;$L$1+1,DATE(20&amp;LEFT(FAAddition[[#This Row],[FY]],2),4,1)&gt;$P$1-1),'FA Addition'!$J275,0)</f>
        <v>0</v>
      </c>
      <c r="U275" s="117">
        <f>S275*'FA Addition'!$L275/'FA Addition'!$J275</f>
        <v>0</v>
      </c>
      <c r="W275" s="116">
        <f>SUMIFS('FA Write off'!D:D,'FA Write off'!A:A,'FA Addition'!$A275,'FA Write off'!C:C,"&lt;"&amp;'FA Addition'!$P$1)</f>
        <v>0</v>
      </c>
      <c r="Y275" s="191">
        <f>IFERROR(W275/'FA Addition'!$J275*'FA Addition'!$L275,0)</f>
        <v>0</v>
      </c>
      <c r="AA275" s="116">
        <f>SUMIFS('FA Write off'!D:D,'FA Write off'!A:A,'FA Addition'!$A275,'FA Write off'!C:C,"&lt;"&amp;'FA Addition'!$L$1+1,'FA Write off'!C:C,"&gt;"&amp;'FA Addition'!$L$1-365)</f>
        <v>0</v>
      </c>
      <c r="AC275" s="118">
        <f>IFERROR(AA275/'FA Addition'!$J275*'FA Addition'!$L275,0)</f>
        <v>0</v>
      </c>
      <c r="AE275" s="117">
        <f>IF(AND('FA Addition'!$D275&lt;$P$1+1,U275=0),'FA Addition'!$L275,0)-Y275</f>
        <v>13520</v>
      </c>
      <c r="AF275" s="117">
        <f t="shared" si="20"/>
        <v>13520</v>
      </c>
      <c r="AG275" s="117">
        <f>MIN(MAX(+$P$1-'FA Addition'!$D275,0),365*'FA Addition'!$O275)</f>
        <v>2027</v>
      </c>
      <c r="AH275" s="117">
        <f>MIN(MAX($L$1-'FA Addition'!$D275+1,0),365*'FA Addition'!$O275)</f>
        <v>2393</v>
      </c>
      <c r="AI275" s="117" cm="1">
        <f t="array" ref="AI275">_xlfn.XLOOKUP(1,('FA Write off'!A:A='FA Addition'!$A275)*('FA Write off'!D:D=AA275),'FA Write off'!H:H,0,0)</f>
        <v>0</v>
      </c>
      <c r="AJ275" s="117">
        <f>IF(AC275&gt;0,MAX(IF('FA Addition'!$N275="SLM",($AC275-'FA Addition'!$M275)*'FA Addition'!$P275*AI275/365,(AC275-'FA Addition'!$M275)*(1-(1-'FA Addition'!$P275)^(AI275/365))),0),0)</f>
        <v>0</v>
      </c>
      <c r="AL275" s="117">
        <f>MAX(IF(AG275&gt;0,IF('FA Addition'!$N275="SLM",($AE275-'FA Addition'!$M275)*'FA Addition'!$P275*AG275/365,IFERROR(VDB(AE275,AE275*0.05,'FA Addition'!$O275,0,YEARFRAC('FA Addition'!$C275,$P$1-1,3),'FA Addition'!$Q275),FAAddition[[#This Row],[Original Cost (Rs)]]-FAAddition[[#This Row],[Salvage Value]])),0),0)</f>
        <v>10927.798261437914</v>
      </c>
      <c r="AM275" s="119"/>
      <c r="AN275" s="117">
        <f>MAX(IF(AH275&gt;0,IF('FA Addition'!$N275="SLM",($AF275-'FA Addition'!$M275)*'FA Addition'!$P275*AH275/365,IFERROR(VDB(AF275,AF275*0.05,'FA Addition'!$O275,0,YEARFRAC('FA Addition'!$C275,$L$1,3),'FA Addition'!$Q275),FAAddition[[#This Row],[Original Cost (Rs)]]-FAAddition[[#This Row],[Salvage Value]])),0),0)</f>
        <v>11600.419051761684</v>
      </c>
      <c r="AO275" s="117">
        <f t="shared" si="23"/>
        <v>672.62079032377005</v>
      </c>
      <c r="AQ275" s="117">
        <f t="shared" si="21"/>
        <v>2592.2017385620857</v>
      </c>
      <c r="AR275" s="120">
        <f t="shared" si="22"/>
        <v>1919.5809482383156</v>
      </c>
      <c r="AS275" s="121"/>
    </row>
    <row r="276" spans="1:45" ht="13.5" x14ac:dyDescent="0.4">
      <c r="A276" s="12">
        <f t="shared" si="24"/>
        <v>273</v>
      </c>
      <c r="B276" s="51" t="s">
        <v>731</v>
      </c>
      <c r="C276" s="54">
        <v>42990</v>
      </c>
      <c r="D276" s="54">
        <v>42990</v>
      </c>
      <c r="E276" s="46" t="s">
        <v>749</v>
      </c>
      <c r="F276" s="51" t="s">
        <v>750</v>
      </c>
      <c r="G276" s="51" t="s">
        <v>792</v>
      </c>
      <c r="H276" s="51"/>
      <c r="I276" s="51" t="s">
        <v>436</v>
      </c>
      <c r="J276" s="56">
        <v>1</v>
      </c>
      <c r="K276" s="51" t="s">
        <v>797</v>
      </c>
      <c r="L276" s="58">
        <v>1288</v>
      </c>
      <c r="M276" s="50">
        <f>ROUND('FA Addition'!$L276*5%,0.1)</f>
        <v>64</v>
      </c>
      <c r="N276" s="113" t="str">
        <f>_xlfn.XLOOKUP(_xlfn.CONCAT(E276,B276),'Year Wise Master Dep Approach'!F:F,'Year Wise Master Dep Approach'!D:D)</f>
        <v>WDV</v>
      </c>
      <c r="O276" s="113">
        <f>_xlfn.XLOOKUP(_xlfn.CONCAT(E276,B276),'Year Wise Master Dep Approach'!F:F,'Year Wise Master Dep Approach'!E:E)</f>
        <v>5</v>
      </c>
      <c r="P276" s="114">
        <f>IFERROR(IF('FA Addition'!$N276="WDV",1-('FA Addition'!$M276/'FA Addition'!$L276)^(1/'FA Addition'!$O276),1/'FA Addition'!$O276),0)</f>
        <v>0.45140376567748075</v>
      </c>
      <c r="Q276" s="122">
        <f>'FA Addition'!$P276*'FA Addition'!$O276</f>
        <v>2.2570188283874035</v>
      </c>
      <c r="R276" s="122"/>
      <c r="S276" s="116">
        <f>IF(AND(DATE(20&amp;LEFT(FAAddition[[#This Row],[FY]],2),4,1)&lt;$L$1+1,DATE(20&amp;LEFT(FAAddition[[#This Row],[FY]],2),4,1)&gt;$P$1-1),'FA Addition'!$J276,0)</f>
        <v>0</v>
      </c>
      <c r="U276" s="117">
        <f>S276*'FA Addition'!$L276/'FA Addition'!$J276</f>
        <v>0</v>
      </c>
      <c r="W276" s="116">
        <f>SUMIFS('FA Write off'!D:D,'FA Write off'!A:A,'FA Addition'!$A276,'FA Write off'!C:C,"&lt;"&amp;'FA Addition'!$P$1)</f>
        <v>0</v>
      </c>
      <c r="Y276" s="191">
        <f>IFERROR(W276/'FA Addition'!$J276*'FA Addition'!$L276,0)</f>
        <v>0</v>
      </c>
      <c r="AA276" s="116">
        <f>SUMIFS('FA Write off'!D:D,'FA Write off'!A:A,'FA Addition'!$A276,'FA Write off'!C:C,"&lt;"&amp;'FA Addition'!$L$1+1,'FA Write off'!C:C,"&gt;"&amp;'FA Addition'!$L$1-365)</f>
        <v>0</v>
      </c>
      <c r="AC276" s="118">
        <f>IFERROR(AA276/'FA Addition'!$J276*'FA Addition'!$L276,0)</f>
        <v>0</v>
      </c>
      <c r="AE276" s="117">
        <f>IF(AND('FA Addition'!$D276&lt;$P$1+1,U276=0),'FA Addition'!$L276,0)-Y276</f>
        <v>1288</v>
      </c>
      <c r="AF276" s="117">
        <f t="shared" si="20"/>
        <v>1288</v>
      </c>
      <c r="AG276" s="117">
        <f>MIN(MAX(+$P$1-'FA Addition'!$D276,0),365*'FA Addition'!$O276)</f>
        <v>1825</v>
      </c>
      <c r="AH276" s="117">
        <f>MIN(MAX($L$1-'FA Addition'!$D276+1,0),365*'FA Addition'!$O276)</f>
        <v>1825</v>
      </c>
      <c r="AI276" s="117" cm="1">
        <f t="array" ref="AI276">_xlfn.XLOOKUP(1,('FA Write off'!A:A='FA Addition'!$A276)*('FA Write off'!D:D=AA276),'FA Write off'!H:H,0,0)</f>
        <v>0</v>
      </c>
      <c r="AJ276" s="117">
        <f>IF(AC276&gt;0,MAX(IF('FA Addition'!$N276="SLM",($AC276-'FA Addition'!$M276)*'FA Addition'!$P276*AI276/365,(AC276-'FA Addition'!$M276)*(1-(1-'FA Addition'!$P276)^(AI276/365))),0),0)</f>
        <v>0</v>
      </c>
      <c r="AL276" s="117">
        <f>MAX(IF(AG276&gt;0,IF('FA Addition'!$N276="SLM",($AE276-'FA Addition'!$M276)*'FA Addition'!$P276*AG276/365,IFERROR(VDB(AE276,AE276*0.05,'FA Addition'!$O276,0,YEARFRAC('FA Addition'!$C276,$P$1-1,3),'FA Addition'!$Q276),FAAddition[[#This Row],[Original Cost (Rs)]]-FAAddition[[#This Row],[Salvage Value]])),0),0)</f>
        <v>1224</v>
      </c>
      <c r="AM276" s="119"/>
      <c r="AN276" s="117">
        <f>MAX(IF(AH276&gt;0,IF('FA Addition'!$N276="SLM",($AF276-'FA Addition'!$M276)*'FA Addition'!$P276*AH276/365,IFERROR(VDB(AF276,AF276*0.05,'FA Addition'!$O276,0,YEARFRAC('FA Addition'!$C276,$L$1,3),'FA Addition'!$Q276),FAAddition[[#This Row],[Original Cost (Rs)]]-FAAddition[[#This Row],[Salvage Value]])),0),0)</f>
        <v>1224</v>
      </c>
      <c r="AO276" s="117">
        <f t="shared" si="23"/>
        <v>0</v>
      </c>
      <c r="AQ276" s="117">
        <f t="shared" si="21"/>
        <v>64</v>
      </c>
      <c r="AR276" s="120">
        <f t="shared" si="22"/>
        <v>64</v>
      </c>
      <c r="AS276" s="121"/>
    </row>
    <row r="277" spans="1:45" ht="13.5" x14ac:dyDescent="0.4">
      <c r="A277" s="12">
        <f t="shared" si="24"/>
        <v>274</v>
      </c>
      <c r="B277" s="51" t="s">
        <v>731</v>
      </c>
      <c r="C277" s="54">
        <v>42990</v>
      </c>
      <c r="D277" s="54">
        <v>42990</v>
      </c>
      <c r="E277" s="46" t="s">
        <v>32</v>
      </c>
      <c r="F277" s="51" t="s">
        <v>32</v>
      </c>
      <c r="G277" s="51" t="s">
        <v>433</v>
      </c>
      <c r="H277" s="51" t="s">
        <v>32</v>
      </c>
      <c r="I277" s="51" t="s">
        <v>798</v>
      </c>
      <c r="J277" s="56">
        <v>3</v>
      </c>
      <c r="K277" s="51" t="s">
        <v>799</v>
      </c>
      <c r="L277" s="58">
        <v>20900</v>
      </c>
      <c r="M277" s="50">
        <f>ROUND('FA Addition'!$L277*5%,0.1)</f>
        <v>1045</v>
      </c>
      <c r="N277" s="113" t="str">
        <f>_xlfn.XLOOKUP(_xlfn.CONCAT(E277,B277),'Year Wise Master Dep Approach'!F:F,'Year Wise Master Dep Approach'!D:D)</f>
        <v>WDV</v>
      </c>
      <c r="O277" s="113">
        <f>_xlfn.XLOOKUP(_xlfn.CONCAT(E277,B277),'Year Wise Master Dep Approach'!F:F,'Year Wise Master Dep Approach'!E:E)</f>
        <v>3</v>
      </c>
      <c r="P277" s="114">
        <f>IFERROR(IF('FA Addition'!$N277="WDV",1-('FA Addition'!$M277/'FA Addition'!$L277)^(1/'FA Addition'!$O277),1/'FA Addition'!$O277),0)</f>
        <v>0.63159685013596123</v>
      </c>
      <c r="Q277" s="122">
        <f>'FA Addition'!$P277*'FA Addition'!$O277</f>
        <v>1.8947905504078837</v>
      </c>
      <c r="R277" s="122"/>
      <c r="S277" s="116">
        <f>IF(AND(DATE(20&amp;LEFT(FAAddition[[#This Row],[FY]],2),4,1)&lt;$L$1+1,DATE(20&amp;LEFT(FAAddition[[#This Row],[FY]],2),4,1)&gt;$P$1-1),'FA Addition'!$J277,0)</f>
        <v>0</v>
      </c>
      <c r="U277" s="117">
        <f>S277*'FA Addition'!$L277/'FA Addition'!$J277</f>
        <v>0</v>
      </c>
      <c r="W277" s="116">
        <f>SUMIFS('FA Write off'!D:D,'FA Write off'!A:A,'FA Addition'!$A277,'FA Write off'!C:C,"&lt;"&amp;'FA Addition'!$P$1)</f>
        <v>0</v>
      </c>
      <c r="Y277" s="191">
        <f>IFERROR(W277/'FA Addition'!$J277*'FA Addition'!$L277,0)</f>
        <v>0</v>
      </c>
      <c r="AA277" s="116">
        <f>SUMIFS('FA Write off'!D:D,'FA Write off'!A:A,'FA Addition'!$A277,'FA Write off'!C:C,"&lt;"&amp;'FA Addition'!$L$1+1,'FA Write off'!C:C,"&gt;"&amp;'FA Addition'!$L$1-365)</f>
        <v>0</v>
      </c>
      <c r="AC277" s="118">
        <f>IFERROR(AA277/'FA Addition'!$J277*'FA Addition'!$L277,0)</f>
        <v>0</v>
      </c>
      <c r="AE277" s="117">
        <f>IF(AND('FA Addition'!$D277&lt;$P$1+1,U277=0),'FA Addition'!$L277,0)-Y277</f>
        <v>20900</v>
      </c>
      <c r="AF277" s="117">
        <f t="shared" si="20"/>
        <v>20900</v>
      </c>
      <c r="AG277" s="117">
        <f>MIN(MAX(+$P$1-'FA Addition'!$D277,0),365*'FA Addition'!$O277)</f>
        <v>1095</v>
      </c>
      <c r="AH277" s="117">
        <f>MIN(MAX($L$1-'FA Addition'!$D277+1,0),365*'FA Addition'!$O277)</f>
        <v>1095</v>
      </c>
      <c r="AI277" s="117" cm="1">
        <f t="array" ref="AI277">_xlfn.XLOOKUP(1,('FA Write off'!A:A='FA Addition'!$A277)*('FA Write off'!D:D=AA277),'FA Write off'!H:H,0,0)</f>
        <v>0</v>
      </c>
      <c r="AJ277" s="117">
        <f>IF(AC277&gt;0,MAX(IF('FA Addition'!$N277="SLM",($AC277-'FA Addition'!$M277)*'FA Addition'!$P277*AI277/365,(AC277-'FA Addition'!$M277)*(1-(1-'FA Addition'!$P277)^(AI277/365))),0),0)</f>
        <v>0</v>
      </c>
      <c r="AL277" s="117">
        <f>MAX(IF(AG277&gt;0,IF('FA Addition'!$N277="SLM",($AE277-'FA Addition'!$M277)*'FA Addition'!$P277*AG277/365,IFERROR(VDB(AE277,AE277*0.05,'FA Addition'!$O277,0,YEARFRAC('FA Addition'!$C277,$P$1-1,3),'FA Addition'!$Q277),FAAddition[[#This Row],[Original Cost (Rs)]]-FAAddition[[#This Row],[Salvage Value]])),0),0)</f>
        <v>19855</v>
      </c>
      <c r="AM277" s="119"/>
      <c r="AN277" s="117">
        <f>MAX(IF(AH277&gt;0,IF('FA Addition'!$N277="SLM",($AF277-'FA Addition'!$M277)*'FA Addition'!$P277*AH277/365,IFERROR(VDB(AF277,AF277*0.05,'FA Addition'!$O277,0,YEARFRAC('FA Addition'!$C277,$L$1,3),'FA Addition'!$Q277),FAAddition[[#This Row],[Original Cost (Rs)]]-FAAddition[[#This Row],[Salvage Value]])),0),0)</f>
        <v>19855</v>
      </c>
      <c r="AO277" s="117">
        <f t="shared" si="23"/>
        <v>0</v>
      </c>
      <c r="AQ277" s="117">
        <f t="shared" si="21"/>
        <v>1045</v>
      </c>
      <c r="AR277" s="120">
        <f t="shared" si="22"/>
        <v>1045</v>
      </c>
      <c r="AS277" s="121"/>
    </row>
    <row r="278" spans="1:45" ht="13.5" x14ac:dyDescent="0.4">
      <c r="A278" s="12">
        <f t="shared" si="24"/>
        <v>275</v>
      </c>
      <c r="B278" s="51" t="s">
        <v>731</v>
      </c>
      <c r="C278" s="54">
        <v>42991</v>
      </c>
      <c r="D278" s="54">
        <v>42991</v>
      </c>
      <c r="E278" s="46" t="s">
        <v>32</v>
      </c>
      <c r="F278" s="51" t="s">
        <v>32</v>
      </c>
      <c r="G278" s="51" t="s">
        <v>433</v>
      </c>
      <c r="H278" s="51" t="s">
        <v>32</v>
      </c>
      <c r="I278" s="51" t="s">
        <v>800</v>
      </c>
      <c r="J278" s="56">
        <v>5</v>
      </c>
      <c r="K278" s="51" t="s">
        <v>801</v>
      </c>
      <c r="L278" s="58">
        <v>27900</v>
      </c>
      <c r="M278" s="50">
        <f>ROUND('FA Addition'!$L278*5%,0.1)</f>
        <v>1395</v>
      </c>
      <c r="N278" s="113" t="str">
        <f>_xlfn.XLOOKUP(_xlfn.CONCAT(E278,B278),'Year Wise Master Dep Approach'!F:F,'Year Wise Master Dep Approach'!D:D)</f>
        <v>WDV</v>
      </c>
      <c r="O278" s="113">
        <f>_xlfn.XLOOKUP(_xlfn.CONCAT(E278,B278),'Year Wise Master Dep Approach'!F:F,'Year Wise Master Dep Approach'!E:E)</f>
        <v>3</v>
      </c>
      <c r="P278" s="114">
        <f>IFERROR(IF('FA Addition'!$N278="WDV",1-('FA Addition'!$M278/'FA Addition'!$L278)^(1/'FA Addition'!$O278),1/'FA Addition'!$O278),0)</f>
        <v>0.63159685013596123</v>
      </c>
      <c r="Q278" s="122">
        <f>'FA Addition'!$P278*'FA Addition'!$O278</f>
        <v>1.8947905504078837</v>
      </c>
      <c r="R278" s="122"/>
      <c r="S278" s="116">
        <f>IF(AND(DATE(20&amp;LEFT(FAAddition[[#This Row],[FY]],2),4,1)&lt;$L$1+1,DATE(20&amp;LEFT(FAAddition[[#This Row],[FY]],2),4,1)&gt;$P$1-1),'FA Addition'!$J278,0)</f>
        <v>0</v>
      </c>
      <c r="U278" s="117">
        <f>S278*'FA Addition'!$L278/'FA Addition'!$J278</f>
        <v>0</v>
      </c>
      <c r="W278" s="116">
        <f>SUMIFS('FA Write off'!D:D,'FA Write off'!A:A,'FA Addition'!$A278,'FA Write off'!C:C,"&lt;"&amp;'FA Addition'!$P$1)</f>
        <v>0</v>
      </c>
      <c r="Y278" s="191">
        <f>IFERROR(W278/'FA Addition'!$J278*'FA Addition'!$L278,0)</f>
        <v>0</v>
      </c>
      <c r="AA278" s="116">
        <f>SUMIFS('FA Write off'!D:D,'FA Write off'!A:A,'FA Addition'!$A278,'FA Write off'!C:C,"&lt;"&amp;'FA Addition'!$L$1+1,'FA Write off'!C:C,"&gt;"&amp;'FA Addition'!$L$1-365)</f>
        <v>0</v>
      </c>
      <c r="AC278" s="118">
        <f>IFERROR(AA278/'FA Addition'!$J278*'FA Addition'!$L278,0)</f>
        <v>0</v>
      </c>
      <c r="AE278" s="117">
        <f>IF(AND('FA Addition'!$D278&lt;$P$1+1,U278=0),'FA Addition'!$L278,0)-Y278</f>
        <v>27900</v>
      </c>
      <c r="AF278" s="117">
        <f t="shared" si="20"/>
        <v>27900</v>
      </c>
      <c r="AG278" s="117">
        <f>MIN(MAX(+$P$1-'FA Addition'!$D278,0),365*'FA Addition'!$O278)</f>
        <v>1095</v>
      </c>
      <c r="AH278" s="117">
        <f>MIN(MAX($L$1-'FA Addition'!$D278+1,0),365*'FA Addition'!$O278)</f>
        <v>1095</v>
      </c>
      <c r="AI278" s="117" cm="1">
        <f t="array" ref="AI278">_xlfn.XLOOKUP(1,('FA Write off'!A:A='FA Addition'!$A278)*('FA Write off'!D:D=AA278),'FA Write off'!H:H,0,0)</f>
        <v>0</v>
      </c>
      <c r="AJ278" s="117">
        <f>IF(AC278&gt;0,MAX(IF('FA Addition'!$N278="SLM",($AC278-'FA Addition'!$M278)*'FA Addition'!$P278*AI278/365,(AC278-'FA Addition'!$M278)*(1-(1-'FA Addition'!$P278)^(AI278/365))),0),0)</f>
        <v>0</v>
      </c>
      <c r="AL278" s="117">
        <f>MAX(IF(AG278&gt;0,IF('FA Addition'!$N278="SLM",($AE278-'FA Addition'!$M278)*'FA Addition'!$P278*AG278/365,IFERROR(VDB(AE278,AE278*0.05,'FA Addition'!$O278,0,YEARFRAC('FA Addition'!$C278,$P$1-1,3),'FA Addition'!$Q278),FAAddition[[#This Row],[Original Cost (Rs)]]-FAAddition[[#This Row],[Salvage Value]])),0),0)</f>
        <v>26505</v>
      </c>
      <c r="AM278" s="119"/>
      <c r="AN278" s="117">
        <f>MAX(IF(AH278&gt;0,IF('FA Addition'!$N278="SLM",($AF278-'FA Addition'!$M278)*'FA Addition'!$P278*AH278/365,IFERROR(VDB(AF278,AF278*0.05,'FA Addition'!$O278,0,YEARFRAC('FA Addition'!$C278,$L$1,3),'FA Addition'!$Q278),FAAddition[[#This Row],[Original Cost (Rs)]]-FAAddition[[#This Row],[Salvage Value]])),0),0)</f>
        <v>26505</v>
      </c>
      <c r="AO278" s="117">
        <f t="shared" si="23"/>
        <v>0</v>
      </c>
      <c r="AQ278" s="117">
        <f t="shared" si="21"/>
        <v>1395</v>
      </c>
      <c r="AR278" s="120">
        <f t="shared" si="22"/>
        <v>1395</v>
      </c>
      <c r="AS278" s="121"/>
    </row>
    <row r="279" spans="1:45" ht="13.5" x14ac:dyDescent="0.4">
      <c r="A279" s="12">
        <f t="shared" si="24"/>
        <v>276</v>
      </c>
      <c r="B279" s="51" t="s">
        <v>731</v>
      </c>
      <c r="C279" s="54">
        <v>42991</v>
      </c>
      <c r="D279" s="54">
        <v>42991</v>
      </c>
      <c r="E279" s="46" t="s">
        <v>749</v>
      </c>
      <c r="F279" s="51" t="s">
        <v>750</v>
      </c>
      <c r="G279" s="51"/>
      <c r="H279" s="51"/>
      <c r="I279" s="51"/>
      <c r="J279" s="56">
        <v>1</v>
      </c>
      <c r="K279" s="51"/>
      <c r="L279" s="52">
        <v>37000</v>
      </c>
      <c r="M279" s="50">
        <f>ROUND('FA Addition'!$L279*5%,0.1)</f>
        <v>1850</v>
      </c>
      <c r="N279" s="113" t="str">
        <f>_xlfn.XLOOKUP(_xlfn.CONCAT(E279,B279),'Year Wise Master Dep Approach'!F:F,'Year Wise Master Dep Approach'!D:D)</f>
        <v>WDV</v>
      </c>
      <c r="O279" s="113">
        <f>_xlfn.XLOOKUP(_xlfn.CONCAT(E279,B279),'Year Wise Master Dep Approach'!F:F,'Year Wise Master Dep Approach'!E:E)</f>
        <v>5</v>
      </c>
      <c r="P279" s="114">
        <f>IFERROR(IF('FA Addition'!$N279="WDV",1-('FA Addition'!$M279/'FA Addition'!$L279)^(1/'FA Addition'!$O279),1/'FA Addition'!$O279),0)</f>
        <v>0.45071972834694107</v>
      </c>
      <c r="Q279" s="122">
        <f>'FA Addition'!$P279*'FA Addition'!$O279</f>
        <v>2.2535986417347056</v>
      </c>
      <c r="R279" s="122"/>
      <c r="S279" s="116">
        <f>IF(AND(DATE(20&amp;LEFT(FAAddition[[#This Row],[FY]],2),4,1)&lt;$L$1+1,DATE(20&amp;LEFT(FAAddition[[#This Row],[FY]],2),4,1)&gt;$P$1-1),'FA Addition'!$J279,0)</f>
        <v>0</v>
      </c>
      <c r="U279" s="117">
        <f>S279*'FA Addition'!$L279/'FA Addition'!$J279</f>
        <v>0</v>
      </c>
      <c r="W279" s="116">
        <f>SUMIFS('FA Write off'!D:D,'FA Write off'!A:A,'FA Addition'!$A279,'FA Write off'!C:C,"&lt;"&amp;'FA Addition'!$P$1)</f>
        <v>0</v>
      </c>
      <c r="Y279" s="191">
        <f>IFERROR(W279/'FA Addition'!$J279*'FA Addition'!$L279,0)</f>
        <v>0</v>
      </c>
      <c r="AA279" s="116">
        <f>SUMIFS('FA Write off'!D:D,'FA Write off'!A:A,'FA Addition'!$A279,'FA Write off'!C:C,"&lt;"&amp;'FA Addition'!$L$1+1,'FA Write off'!C:C,"&gt;"&amp;'FA Addition'!$L$1-365)</f>
        <v>0</v>
      </c>
      <c r="AC279" s="118">
        <f>IFERROR(AA279/'FA Addition'!$J279*'FA Addition'!$L279,0)</f>
        <v>0</v>
      </c>
      <c r="AE279" s="117">
        <f>IF(AND('FA Addition'!$D279&lt;$P$1+1,U279=0),'FA Addition'!$L279,0)-Y279</f>
        <v>37000</v>
      </c>
      <c r="AF279" s="117">
        <f t="shared" si="20"/>
        <v>37000</v>
      </c>
      <c r="AG279" s="117">
        <f>MIN(MAX(+$P$1-'FA Addition'!$D279,0),365*'FA Addition'!$O279)</f>
        <v>1825</v>
      </c>
      <c r="AH279" s="117">
        <f>MIN(MAX($L$1-'FA Addition'!$D279+1,0),365*'FA Addition'!$O279)</f>
        <v>1825</v>
      </c>
      <c r="AI279" s="117" cm="1">
        <f t="array" ref="AI279">_xlfn.XLOOKUP(1,('FA Write off'!A:A='FA Addition'!$A279)*('FA Write off'!D:D=AA279),'FA Write off'!H:H,0,0)</f>
        <v>0</v>
      </c>
      <c r="AJ279" s="117">
        <f>IF(AC279&gt;0,MAX(IF('FA Addition'!$N279="SLM",($AC279-'FA Addition'!$M279)*'FA Addition'!$P279*AI279/365,(AC279-'FA Addition'!$M279)*(1-(1-'FA Addition'!$P279)^(AI279/365))),0),0)</f>
        <v>0</v>
      </c>
      <c r="AL279" s="117">
        <f>MAX(IF(AG279&gt;0,IF('FA Addition'!$N279="SLM",($AE279-'FA Addition'!$M279)*'FA Addition'!$P279*AG279/365,IFERROR(VDB(AE279,AE279*0.05,'FA Addition'!$O279,0,YEARFRAC('FA Addition'!$C279,$P$1-1,3),'FA Addition'!$Q279),FAAddition[[#This Row],[Original Cost (Rs)]]-FAAddition[[#This Row],[Salvage Value]])),0),0)</f>
        <v>35150</v>
      </c>
      <c r="AM279" s="119"/>
      <c r="AN279" s="117">
        <f>MAX(IF(AH279&gt;0,IF('FA Addition'!$N279="SLM",($AF279-'FA Addition'!$M279)*'FA Addition'!$P279*AH279/365,IFERROR(VDB(AF279,AF279*0.05,'FA Addition'!$O279,0,YEARFRAC('FA Addition'!$C279,$L$1,3),'FA Addition'!$Q279),FAAddition[[#This Row],[Original Cost (Rs)]]-FAAddition[[#This Row],[Salvage Value]])),0),0)</f>
        <v>35150</v>
      </c>
      <c r="AO279" s="117">
        <f t="shared" si="23"/>
        <v>0</v>
      </c>
      <c r="AQ279" s="117">
        <f t="shared" si="21"/>
        <v>1850</v>
      </c>
      <c r="AR279" s="120">
        <f t="shared" si="22"/>
        <v>1850</v>
      </c>
      <c r="AS279" s="121"/>
    </row>
    <row r="280" spans="1:45" ht="13.5" x14ac:dyDescent="0.4">
      <c r="A280" s="12">
        <f t="shared" si="24"/>
        <v>277</v>
      </c>
      <c r="B280" s="51" t="s">
        <v>731</v>
      </c>
      <c r="C280" s="54">
        <v>42991</v>
      </c>
      <c r="D280" s="54">
        <v>42991</v>
      </c>
      <c r="E280" s="46" t="s">
        <v>749</v>
      </c>
      <c r="F280" s="51" t="s">
        <v>750</v>
      </c>
      <c r="G280" s="51" t="s">
        <v>802</v>
      </c>
      <c r="H280" s="51" t="s">
        <v>803</v>
      </c>
      <c r="I280" s="51" t="s">
        <v>804</v>
      </c>
      <c r="J280" s="56">
        <v>1</v>
      </c>
      <c r="K280" s="51" t="s">
        <v>805</v>
      </c>
      <c r="L280" s="58">
        <v>19000</v>
      </c>
      <c r="M280" s="50">
        <f>ROUND('FA Addition'!$L280*5%,0.1)</f>
        <v>950</v>
      </c>
      <c r="N280" s="113" t="str">
        <f>_xlfn.XLOOKUP(_xlfn.CONCAT(E280,B280),'Year Wise Master Dep Approach'!F:F,'Year Wise Master Dep Approach'!D:D)</f>
        <v>WDV</v>
      </c>
      <c r="O280" s="113">
        <f>_xlfn.XLOOKUP(_xlfn.CONCAT(E280,B280),'Year Wise Master Dep Approach'!F:F,'Year Wise Master Dep Approach'!E:E)</f>
        <v>5</v>
      </c>
      <c r="P280" s="114">
        <f>IFERROR(IF('FA Addition'!$N280="WDV",1-('FA Addition'!$M280/'FA Addition'!$L280)^(1/'FA Addition'!$O280),1/'FA Addition'!$O280),0)</f>
        <v>0.45071972834694107</v>
      </c>
      <c r="Q280" s="122">
        <f>'FA Addition'!$P280*'FA Addition'!$O280</f>
        <v>2.2535986417347056</v>
      </c>
      <c r="R280" s="122"/>
      <c r="S280" s="116">
        <f>IF(AND(DATE(20&amp;LEFT(FAAddition[[#This Row],[FY]],2),4,1)&lt;$L$1+1,DATE(20&amp;LEFT(FAAddition[[#This Row],[FY]],2),4,1)&gt;$P$1-1),'FA Addition'!$J280,0)</f>
        <v>0</v>
      </c>
      <c r="U280" s="117">
        <f>S280*'FA Addition'!$L280/'FA Addition'!$J280</f>
        <v>0</v>
      </c>
      <c r="W280" s="116">
        <f>SUMIFS('FA Write off'!D:D,'FA Write off'!A:A,'FA Addition'!$A280,'FA Write off'!C:C,"&lt;"&amp;'FA Addition'!$P$1)</f>
        <v>0</v>
      </c>
      <c r="Y280" s="191">
        <f>IFERROR(W280/'FA Addition'!$J280*'FA Addition'!$L280,0)</f>
        <v>0</v>
      </c>
      <c r="AA280" s="116">
        <f>SUMIFS('FA Write off'!D:D,'FA Write off'!A:A,'FA Addition'!$A280,'FA Write off'!C:C,"&lt;"&amp;'FA Addition'!$L$1+1,'FA Write off'!C:C,"&gt;"&amp;'FA Addition'!$L$1-365)</f>
        <v>0</v>
      </c>
      <c r="AC280" s="118">
        <f>IFERROR(AA280/'FA Addition'!$J280*'FA Addition'!$L280,0)</f>
        <v>0</v>
      </c>
      <c r="AE280" s="117">
        <f>IF(AND('FA Addition'!$D280&lt;$P$1+1,U280=0),'FA Addition'!$L280,0)-Y280</f>
        <v>19000</v>
      </c>
      <c r="AF280" s="117">
        <f t="shared" si="20"/>
        <v>19000</v>
      </c>
      <c r="AG280" s="117">
        <f>MIN(MAX(+$P$1-'FA Addition'!$D280,0),365*'FA Addition'!$O280)</f>
        <v>1825</v>
      </c>
      <c r="AH280" s="117">
        <f>MIN(MAX($L$1-'FA Addition'!$D280+1,0),365*'FA Addition'!$O280)</f>
        <v>1825</v>
      </c>
      <c r="AI280" s="117" cm="1">
        <f t="array" ref="AI280">_xlfn.XLOOKUP(1,('FA Write off'!A:A='FA Addition'!$A280)*('FA Write off'!D:D=AA280),'FA Write off'!H:H,0,0)</f>
        <v>0</v>
      </c>
      <c r="AJ280" s="117">
        <f>IF(AC280&gt;0,MAX(IF('FA Addition'!$N280="SLM",($AC280-'FA Addition'!$M280)*'FA Addition'!$P280*AI280/365,(AC280-'FA Addition'!$M280)*(1-(1-'FA Addition'!$P280)^(AI280/365))),0),0)</f>
        <v>0</v>
      </c>
      <c r="AL280" s="117">
        <f>MAX(IF(AG280&gt;0,IF('FA Addition'!$N280="SLM",($AE280-'FA Addition'!$M280)*'FA Addition'!$P280*AG280/365,IFERROR(VDB(AE280,AE280*0.05,'FA Addition'!$O280,0,YEARFRAC('FA Addition'!$C280,$P$1-1,3),'FA Addition'!$Q280),FAAddition[[#This Row],[Original Cost (Rs)]]-FAAddition[[#This Row],[Salvage Value]])),0),0)</f>
        <v>18050</v>
      </c>
      <c r="AM280" s="119"/>
      <c r="AN280" s="117">
        <f>MAX(IF(AH280&gt;0,IF('FA Addition'!$N280="SLM",($AF280-'FA Addition'!$M280)*'FA Addition'!$P280*AH280/365,IFERROR(VDB(AF280,AF280*0.05,'FA Addition'!$O280,0,YEARFRAC('FA Addition'!$C280,$L$1,3),'FA Addition'!$Q280),FAAddition[[#This Row],[Original Cost (Rs)]]-FAAddition[[#This Row],[Salvage Value]])),0),0)</f>
        <v>18050</v>
      </c>
      <c r="AO280" s="117">
        <f t="shared" si="23"/>
        <v>0</v>
      </c>
      <c r="AQ280" s="117">
        <f t="shared" si="21"/>
        <v>950</v>
      </c>
      <c r="AR280" s="120">
        <f t="shared" si="22"/>
        <v>950</v>
      </c>
      <c r="AS280" s="121"/>
    </row>
    <row r="281" spans="1:45" ht="13.5" x14ac:dyDescent="0.4">
      <c r="A281" s="12">
        <f t="shared" si="24"/>
        <v>278</v>
      </c>
      <c r="B281" s="44" t="s">
        <v>731</v>
      </c>
      <c r="C281" s="45">
        <v>42991</v>
      </c>
      <c r="D281" s="45">
        <v>42991</v>
      </c>
      <c r="E281" s="46" t="s">
        <v>749</v>
      </c>
      <c r="F281" s="44" t="s">
        <v>750</v>
      </c>
      <c r="G281" s="44" t="s">
        <v>806</v>
      </c>
      <c r="H281" s="44"/>
      <c r="I281" s="44"/>
      <c r="J281" s="56">
        <v>1</v>
      </c>
      <c r="K281" s="44" t="s">
        <v>807</v>
      </c>
      <c r="L281" s="52">
        <v>12358</v>
      </c>
      <c r="M281" s="50">
        <f>ROUND('FA Addition'!$L281*5%,0.1)</f>
        <v>618</v>
      </c>
      <c r="N281" s="113" t="str">
        <f>_xlfn.XLOOKUP(_xlfn.CONCAT(E281,B281),'Year Wise Master Dep Approach'!F:F,'Year Wise Master Dep Approach'!D:D)</f>
        <v>WDV</v>
      </c>
      <c r="O281" s="113">
        <f>_xlfn.XLOOKUP(_xlfn.CONCAT(E281,B281),'Year Wise Master Dep Approach'!F:F,'Year Wise Master Dep Approach'!E:E)</f>
        <v>5</v>
      </c>
      <c r="P281" s="114">
        <f>IFERROR(IF('FA Addition'!$N281="WDV",1-('FA Addition'!$M281/'FA Addition'!$L281)^(1/'FA Addition'!$O281),1/'FA Addition'!$O281),0)</f>
        <v>0.45070195056033391</v>
      </c>
      <c r="Q281" s="122">
        <f>'FA Addition'!$P281*'FA Addition'!$O281</f>
        <v>2.2535097528016697</v>
      </c>
      <c r="R281" s="122"/>
      <c r="S281" s="116">
        <f>IF(AND(DATE(20&amp;LEFT(FAAddition[[#This Row],[FY]],2),4,1)&lt;$L$1+1,DATE(20&amp;LEFT(FAAddition[[#This Row],[FY]],2),4,1)&gt;$P$1-1),'FA Addition'!$J281,0)</f>
        <v>0</v>
      </c>
      <c r="U281" s="117">
        <f>S281*'FA Addition'!$L281/'FA Addition'!$J281</f>
        <v>0</v>
      </c>
      <c r="W281" s="116">
        <f>SUMIFS('FA Write off'!D:D,'FA Write off'!A:A,'FA Addition'!$A281,'FA Write off'!C:C,"&lt;"&amp;'FA Addition'!$P$1)</f>
        <v>0</v>
      </c>
      <c r="Y281" s="191">
        <f>IFERROR(W281/'FA Addition'!$J281*'FA Addition'!$L281,0)</f>
        <v>0</v>
      </c>
      <c r="AA281" s="116">
        <f>SUMIFS('FA Write off'!D:D,'FA Write off'!A:A,'FA Addition'!$A281,'FA Write off'!C:C,"&lt;"&amp;'FA Addition'!$L$1+1,'FA Write off'!C:C,"&gt;"&amp;'FA Addition'!$L$1-365)</f>
        <v>0</v>
      </c>
      <c r="AC281" s="118">
        <f>IFERROR(AA281/'FA Addition'!$J281*'FA Addition'!$L281,0)</f>
        <v>0</v>
      </c>
      <c r="AE281" s="117">
        <f>IF(AND('FA Addition'!$D281&lt;$P$1+1,U281=0),'FA Addition'!$L281,0)-Y281</f>
        <v>12358</v>
      </c>
      <c r="AF281" s="117">
        <f t="shared" si="20"/>
        <v>12358</v>
      </c>
      <c r="AG281" s="117">
        <f>MIN(MAX(+$P$1-'FA Addition'!$D281,0),365*'FA Addition'!$O281)</f>
        <v>1825</v>
      </c>
      <c r="AH281" s="117">
        <f>MIN(MAX($L$1-'FA Addition'!$D281+1,0),365*'FA Addition'!$O281)</f>
        <v>1825</v>
      </c>
      <c r="AI281" s="117" cm="1">
        <f t="array" ref="AI281">_xlfn.XLOOKUP(1,('FA Write off'!A:A='FA Addition'!$A281)*('FA Write off'!D:D=AA281),'FA Write off'!H:H,0,0)</f>
        <v>0</v>
      </c>
      <c r="AJ281" s="117">
        <f>IF(AC281&gt;0,MAX(IF('FA Addition'!$N281="SLM",($AC281-'FA Addition'!$M281)*'FA Addition'!$P281*AI281/365,(AC281-'FA Addition'!$M281)*(1-(1-'FA Addition'!$P281)^(AI281/365))),0),0)</f>
        <v>0</v>
      </c>
      <c r="AL281" s="117">
        <f>MAX(IF(AG281&gt;0,IF('FA Addition'!$N281="SLM",($AE281-'FA Addition'!$M281)*'FA Addition'!$P281*AG281/365,IFERROR(VDB(AE281,AE281*0.05,'FA Addition'!$O281,0,YEARFRAC('FA Addition'!$C281,$P$1-1,3),'FA Addition'!$Q281),FAAddition[[#This Row],[Original Cost (Rs)]]-FAAddition[[#This Row],[Salvage Value]])),0),0)</f>
        <v>11740</v>
      </c>
      <c r="AM281" s="119"/>
      <c r="AN281" s="117">
        <f>MAX(IF(AH281&gt;0,IF('FA Addition'!$N281="SLM",($AF281-'FA Addition'!$M281)*'FA Addition'!$P281*AH281/365,IFERROR(VDB(AF281,AF281*0.05,'FA Addition'!$O281,0,YEARFRAC('FA Addition'!$C281,$L$1,3),'FA Addition'!$Q281),FAAddition[[#This Row],[Original Cost (Rs)]]-FAAddition[[#This Row],[Salvage Value]])),0),0)</f>
        <v>11740</v>
      </c>
      <c r="AO281" s="117">
        <f t="shared" si="23"/>
        <v>0</v>
      </c>
      <c r="AQ281" s="117">
        <f t="shared" si="21"/>
        <v>618</v>
      </c>
      <c r="AR281" s="120">
        <f t="shared" si="22"/>
        <v>618</v>
      </c>
      <c r="AS281" s="121"/>
    </row>
    <row r="282" spans="1:45" ht="13.5" x14ac:dyDescent="0.4">
      <c r="A282" s="12">
        <f t="shared" si="24"/>
        <v>279</v>
      </c>
      <c r="B282" s="51" t="s">
        <v>731</v>
      </c>
      <c r="C282" s="45">
        <v>42991</v>
      </c>
      <c r="D282" s="45">
        <v>42991</v>
      </c>
      <c r="E282" s="46" t="s">
        <v>749</v>
      </c>
      <c r="F282" s="51" t="s">
        <v>808</v>
      </c>
      <c r="G282" s="44" t="s">
        <v>809</v>
      </c>
      <c r="H282" s="44"/>
      <c r="I282" s="44"/>
      <c r="J282" s="56">
        <v>1</v>
      </c>
      <c r="K282" s="44" t="s">
        <v>810</v>
      </c>
      <c r="L282" s="52">
        <v>11200</v>
      </c>
      <c r="M282" s="50">
        <f>ROUND('FA Addition'!$L282*5%,0.1)</f>
        <v>560</v>
      </c>
      <c r="N282" s="113" t="str">
        <f>_xlfn.XLOOKUP(_xlfn.CONCAT(E282,B282),'Year Wise Master Dep Approach'!F:F,'Year Wise Master Dep Approach'!D:D)</f>
        <v>WDV</v>
      </c>
      <c r="O282" s="113">
        <f>_xlfn.XLOOKUP(_xlfn.CONCAT(E282,B282),'Year Wise Master Dep Approach'!F:F,'Year Wise Master Dep Approach'!E:E)</f>
        <v>5</v>
      </c>
      <c r="P282" s="114">
        <f>IFERROR(IF('FA Addition'!$N282="WDV",1-('FA Addition'!$M282/'FA Addition'!$L282)^(1/'FA Addition'!$O282),1/'FA Addition'!$O282),0)</f>
        <v>0.45071972834694107</v>
      </c>
      <c r="Q282" s="122">
        <f>'FA Addition'!$P282*'FA Addition'!$O282</f>
        <v>2.2535986417347056</v>
      </c>
      <c r="R282" s="122"/>
      <c r="S282" s="116">
        <f>IF(AND(DATE(20&amp;LEFT(FAAddition[[#This Row],[FY]],2),4,1)&lt;$L$1+1,DATE(20&amp;LEFT(FAAddition[[#This Row],[FY]],2),4,1)&gt;$P$1-1),'FA Addition'!$J282,0)</f>
        <v>0</v>
      </c>
      <c r="U282" s="117">
        <f>S282*'FA Addition'!$L282/'FA Addition'!$J282</f>
        <v>0</v>
      </c>
      <c r="W282" s="116">
        <f>SUMIFS('FA Write off'!D:D,'FA Write off'!A:A,'FA Addition'!$A282,'FA Write off'!C:C,"&lt;"&amp;'FA Addition'!$P$1)</f>
        <v>0</v>
      </c>
      <c r="Y282" s="191">
        <f>IFERROR(W282/'FA Addition'!$J282*'FA Addition'!$L282,0)</f>
        <v>0</v>
      </c>
      <c r="AA282" s="116">
        <f>SUMIFS('FA Write off'!D:D,'FA Write off'!A:A,'FA Addition'!$A282,'FA Write off'!C:C,"&lt;"&amp;'FA Addition'!$L$1+1,'FA Write off'!C:C,"&gt;"&amp;'FA Addition'!$L$1-365)</f>
        <v>0</v>
      </c>
      <c r="AC282" s="118">
        <f>IFERROR(AA282/'FA Addition'!$J282*'FA Addition'!$L282,0)</f>
        <v>0</v>
      </c>
      <c r="AE282" s="117">
        <f>IF(AND('FA Addition'!$D282&lt;$P$1+1,U282=0),'FA Addition'!$L282,0)-Y282</f>
        <v>11200</v>
      </c>
      <c r="AF282" s="117">
        <f t="shared" si="20"/>
        <v>11200</v>
      </c>
      <c r="AG282" s="117">
        <f>MIN(MAX(+$P$1-'FA Addition'!$D282,0),365*'FA Addition'!$O282)</f>
        <v>1825</v>
      </c>
      <c r="AH282" s="117">
        <f>MIN(MAX($L$1-'FA Addition'!$D282+1,0),365*'FA Addition'!$O282)</f>
        <v>1825</v>
      </c>
      <c r="AI282" s="117" cm="1">
        <f t="array" ref="AI282">_xlfn.XLOOKUP(1,('FA Write off'!A:A='FA Addition'!$A282)*('FA Write off'!D:D=AA282),'FA Write off'!H:H,0,0)</f>
        <v>0</v>
      </c>
      <c r="AJ282" s="117">
        <f>IF(AC282&gt;0,MAX(IF('FA Addition'!$N282="SLM",($AC282-'FA Addition'!$M282)*'FA Addition'!$P282*AI282/365,(AC282-'FA Addition'!$M282)*(1-(1-'FA Addition'!$P282)^(AI282/365))),0),0)</f>
        <v>0</v>
      </c>
      <c r="AL282" s="117">
        <f>MAX(IF(AG282&gt;0,IF('FA Addition'!$N282="SLM",($AE282-'FA Addition'!$M282)*'FA Addition'!$P282*AG282/365,IFERROR(VDB(AE282,AE282*0.05,'FA Addition'!$O282,0,YEARFRAC('FA Addition'!$C282,$P$1-1,3),'FA Addition'!$Q282),FAAddition[[#This Row],[Original Cost (Rs)]]-FAAddition[[#This Row],[Salvage Value]])),0),0)</f>
        <v>10640</v>
      </c>
      <c r="AM282" s="119"/>
      <c r="AN282" s="117">
        <f>MAX(IF(AH282&gt;0,IF('FA Addition'!$N282="SLM",($AF282-'FA Addition'!$M282)*'FA Addition'!$P282*AH282/365,IFERROR(VDB(AF282,AF282*0.05,'FA Addition'!$O282,0,YEARFRAC('FA Addition'!$C282,$L$1,3),'FA Addition'!$Q282),FAAddition[[#This Row],[Original Cost (Rs)]]-FAAddition[[#This Row],[Salvage Value]])),0),0)</f>
        <v>10640</v>
      </c>
      <c r="AO282" s="117">
        <f t="shared" si="23"/>
        <v>0</v>
      </c>
      <c r="AQ282" s="117">
        <f t="shared" si="21"/>
        <v>560</v>
      </c>
      <c r="AR282" s="120">
        <f t="shared" si="22"/>
        <v>560</v>
      </c>
      <c r="AS282" s="121"/>
    </row>
    <row r="283" spans="1:45" ht="13.5" x14ac:dyDescent="0.4">
      <c r="A283" s="12">
        <f t="shared" si="24"/>
        <v>280</v>
      </c>
      <c r="B283" s="44" t="s">
        <v>731</v>
      </c>
      <c r="C283" s="45">
        <v>42991</v>
      </c>
      <c r="D283" s="45">
        <v>42991</v>
      </c>
      <c r="E283" s="46" t="s">
        <v>32</v>
      </c>
      <c r="F283" s="51" t="s">
        <v>32</v>
      </c>
      <c r="G283" s="44" t="s">
        <v>433</v>
      </c>
      <c r="H283" s="44" t="s">
        <v>32</v>
      </c>
      <c r="I283" s="44" t="s">
        <v>811</v>
      </c>
      <c r="J283" s="48">
        <v>3</v>
      </c>
      <c r="K283" s="44" t="s">
        <v>799</v>
      </c>
      <c r="L283" s="52">
        <v>16900</v>
      </c>
      <c r="M283" s="50">
        <f>ROUND('FA Addition'!$L283*5%,0.1)</f>
        <v>845</v>
      </c>
      <c r="N283" s="113" t="str">
        <f>_xlfn.XLOOKUP(_xlfn.CONCAT(E283,B283),'Year Wise Master Dep Approach'!F:F,'Year Wise Master Dep Approach'!D:D)</f>
        <v>WDV</v>
      </c>
      <c r="O283" s="113">
        <f>_xlfn.XLOOKUP(_xlfn.CONCAT(E283,B283),'Year Wise Master Dep Approach'!F:F,'Year Wise Master Dep Approach'!E:E)</f>
        <v>3</v>
      </c>
      <c r="P283" s="114">
        <f>IFERROR(IF('FA Addition'!$N283="WDV",1-('FA Addition'!$M283/'FA Addition'!$L283)^(1/'FA Addition'!$O283),1/'FA Addition'!$O283),0)</f>
        <v>0.63159685013596123</v>
      </c>
      <c r="Q283" s="122">
        <f>'FA Addition'!$P283*'FA Addition'!$O283</f>
        <v>1.8947905504078837</v>
      </c>
      <c r="R283" s="122"/>
      <c r="S283" s="116">
        <f>IF(AND(DATE(20&amp;LEFT(FAAddition[[#This Row],[FY]],2),4,1)&lt;$L$1+1,DATE(20&amp;LEFT(FAAddition[[#This Row],[FY]],2),4,1)&gt;$P$1-1),'FA Addition'!$J283,0)</f>
        <v>0</v>
      </c>
      <c r="U283" s="117">
        <f>S283*'FA Addition'!$L283/'FA Addition'!$J283</f>
        <v>0</v>
      </c>
      <c r="W283" s="116">
        <f>SUMIFS('FA Write off'!D:D,'FA Write off'!A:A,'FA Addition'!$A283,'FA Write off'!C:C,"&lt;"&amp;'FA Addition'!$P$1)</f>
        <v>0</v>
      </c>
      <c r="Y283" s="191">
        <f>IFERROR(W283/'FA Addition'!$J283*'FA Addition'!$L283,0)</f>
        <v>0</v>
      </c>
      <c r="AA283" s="116">
        <f>SUMIFS('FA Write off'!D:D,'FA Write off'!A:A,'FA Addition'!$A283,'FA Write off'!C:C,"&lt;"&amp;'FA Addition'!$L$1+1,'FA Write off'!C:C,"&gt;"&amp;'FA Addition'!$L$1-365)</f>
        <v>0</v>
      </c>
      <c r="AC283" s="118">
        <f>IFERROR(AA283/'FA Addition'!$J283*'FA Addition'!$L283,0)</f>
        <v>0</v>
      </c>
      <c r="AE283" s="117">
        <f>IF(AND('FA Addition'!$D283&lt;$P$1+1,U283=0),'FA Addition'!$L283,0)-Y283</f>
        <v>16900</v>
      </c>
      <c r="AF283" s="117">
        <f t="shared" si="20"/>
        <v>16900</v>
      </c>
      <c r="AG283" s="117">
        <f>MIN(MAX(+$P$1-'FA Addition'!$D283,0),365*'FA Addition'!$O283)</f>
        <v>1095</v>
      </c>
      <c r="AH283" s="117">
        <f>MIN(MAX($L$1-'FA Addition'!$D283+1,0),365*'FA Addition'!$O283)</f>
        <v>1095</v>
      </c>
      <c r="AI283" s="117" cm="1">
        <f t="array" ref="AI283">_xlfn.XLOOKUP(1,('FA Write off'!A:A='FA Addition'!$A283)*('FA Write off'!D:D=AA283),'FA Write off'!H:H,0,0)</f>
        <v>0</v>
      </c>
      <c r="AJ283" s="117">
        <f>IF(AC283&gt;0,MAX(IF('FA Addition'!$N283="SLM",($AC283-'FA Addition'!$M283)*'FA Addition'!$P283*AI283/365,(AC283-'FA Addition'!$M283)*(1-(1-'FA Addition'!$P283)^(AI283/365))),0),0)</f>
        <v>0</v>
      </c>
      <c r="AL283" s="117">
        <f>MAX(IF(AG283&gt;0,IF('FA Addition'!$N283="SLM",($AE283-'FA Addition'!$M283)*'FA Addition'!$P283*AG283/365,IFERROR(VDB(AE283,AE283*0.05,'FA Addition'!$O283,0,YEARFRAC('FA Addition'!$C283,$P$1-1,3),'FA Addition'!$Q283),FAAddition[[#This Row],[Original Cost (Rs)]]-FAAddition[[#This Row],[Salvage Value]])),0),0)</f>
        <v>16055</v>
      </c>
      <c r="AM283" s="119"/>
      <c r="AN283" s="117">
        <f>MAX(IF(AH283&gt;0,IF('FA Addition'!$N283="SLM",($AF283-'FA Addition'!$M283)*'FA Addition'!$P283*AH283/365,IFERROR(VDB(AF283,AF283*0.05,'FA Addition'!$O283,0,YEARFRAC('FA Addition'!$C283,$L$1,3),'FA Addition'!$Q283),FAAddition[[#This Row],[Original Cost (Rs)]]-FAAddition[[#This Row],[Salvage Value]])),0),0)</f>
        <v>16055</v>
      </c>
      <c r="AO283" s="117">
        <f t="shared" si="23"/>
        <v>0</v>
      </c>
      <c r="AQ283" s="117">
        <f t="shared" si="21"/>
        <v>845</v>
      </c>
      <c r="AR283" s="120">
        <f t="shared" si="22"/>
        <v>845</v>
      </c>
      <c r="AS283" s="121"/>
    </row>
    <row r="284" spans="1:45" ht="13.5" x14ac:dyDescent="0.4">
      <c r="A284" s="12">
        <f t="shared" si="24"/>
        <v>281</v>
      </c>
      <c r="B284" s="44" t="s">
        <v>731</v>
      </c>
      <c r="C284" s="45">
        <v>42993</v>
      </c>
      <c r="D284" s="45">
        <v>42993</v>
      </c>
      <c r="E284" s="46" t="s">
        <v>749</v>
      </c>
      <c r="F284" s="51" t="s">
        <v>750</v>
      </c>
      <c r="G284" s="44" t="s">
        <v>806</v>
      </c>
      <c r="H284" s="44"/>
      <c r="I284" s="44"/>
      <c r="J284" s="56">
        <v>1</v>
      </c>
      <c r="K284" s="44" t="s">
        <v>807</v>
      </c>
      <c r="L284" s="52">
        <v>11023</v>
      </c>
      <c r="M284" s="50">
        <f>ROUND('FA Addition'!$L284*5%,0.1)</f>
        <v>551</v>
      </c>
      <c r="N284" s="113" t="str">
        <f>_xlfn.XLOOKUP(_xlfn.CONCAT(E284,B284),'Year Wise Master Dep Approach'!F:F,'Year Wise Master Dep Approach'!D:D)</f>
        <v>WDV</v>
      </c>
      <c r="O284" s="113">
        <f>_xlfn.XLOOKUP(_xlfn.CONCAT(E284,B284),'Year Wise Master Dep Approach'!F:F,'Year Wise Master Dep Approach'!E:E)</f>
        <v>5</v>
      </c>
      <c r="P284" s="114">
        <f>IFERROR(IF('FA Addition'!$N284="WDV",1-('FA Addition'!$M284/'FA Addition'!$L284)^(1/'FA Addition'!$O284),1/'FA Addition'!$O284),0)</f>
        <v>0.4507496298299063</v>
      </c>
      <c r="Q284" s="122">
        <f>'FA Addition'!$P284*'FA Addition'!$O284</f>
        <v>2.2537481491495317</v>
      </c>
      <c r="R284" s="122"/>
      <c r="S284" s="116">
        <f>IF(AND(DATE(20&amp;LEFT(FAAddition[[#This Row],[FY]],2),4,1)&lt;$L$1+1,DATE(20&amp;LEFT(FAAddition[[#This Row],[FY]],2),4,1)&gt;$P$1-1),'FA Addition'!$J284,0)</f>
        <v>0</v>
      </c>
      <c r="U284" s="117">
        <f>S284*'FA Addition'!$L284/'FA Addition'!$J284</f>
        <v>0</v>
      </c>
      <c r="W284" s="116">
        <f>SUMIFS('FA Write off'!D:D,'FA Write off'!A:A,'FA Addition'!$A284,'FA Write off'!C:C,"&lt;"&amp;'FA Addition'!$P$1)</f>
        <v>0</v>
      </c>
      <c r="Y284" s="191">
        <f>IFERROR(W284/'FA Addition'!$J284*'FA Addition'!$L284,0)</f>
        <v>0</v>
      </c>
      <c r="AA284" s="116">
        <f>SUMIFS('FA Write off'!D:D,'FA Write off'!A:A,'FA Addition'!$A284,'FA Write off'!C:C,"&lt;"&amp;'FA Addition'!$L$1+1,'FA Write off'!C:C,"&gt;"&amp;'FA Addition'!$L$1-365)</f>
        <v>0</v>
      </c>
      <c r="AC284" s="118">
        <f>IFERROR(AA284/'FA Addition'!$J284*'FA Addition'!$L284,0)</f>
        <v>0</v>
      </c>
      <c r="AE284" s="117">
        <f>IF(AND('FA Addition'!$D284&lt;$P$1+1,U284=0),'FA Addition'!$L284,0)-Y284</f>
        <v>11023</v>
      </c>
      <c r="AF284" s="117">
        <f t="shared" si="20"/>
        <v>11023</v>
      </c>
      <c r="AG284" s="117">
        <f>MIN(MAX(+$P$1-'FA Addition'!$D284,0),365*'FA Addition'!$O284)</f>
        <v>1825</v>
      </c>
      <c r="AH284" s="117">
        <f>MIN(MAX($L$1-'FA Addition'!$D284+1,0),365*'FA Addition'!$O284)</f>
        <v>1825</v>
      </c>
      <c r="AI284" s="117" cm="1">
        <f t="array" ref="AI284">_xlfn.XLOOKUP(1,('FA Write off'!A:A='FA Addition'!$A284)*('FA Write off'!D:D=AA284),'FA Write off'!H:H,0,0)</f>
        <v>0</v>
      </c>
      <c r="AJ284" s="117">
        <f>IF(AC284&gt;0,MAX(IF('FA Addition'!$N284="SLM",($AC284-'FA Addition'!$M284)*'FA Addition'!$P284*AI284/365,(AC284-'FA Addition'!$M284)*(1-(1-'FA Addition'!$P284)^(AI284/365))),0),0)</f>
        <v>0</v>
      </c>
      <c r="AL284" s="117">
        <f>MAX(IF(AG284&gt;0,IF('FA Addition'!$N284="SLM",($AE284-'FA Addition'!$M284)*'FA Addition'!$P284*AG284/365,IFERROR(VDB(AE284,AE284*0.05,'FA Addition'!$O284,0,YEARFRAC('FA Addition'!$C284,$P$1-1,3),'FA Addition'!$Q284),FAAddition[[#This Row],[Original Cost (Rs)]]-FAAddition[[#This Row],[Salvage Value]])),0),0)</f>
        <v>10472</v>
      </c>
      <c r="AM284" s="119"/>
      <c r="AN284" s="117">
        <f>MAX(IF(AH284&gt;0,IF('FA Addition'!$N284="SLM",($AF284-'FA Addition'!$M284)*'FA Addition'!$P284*AH284/365,IFERROR(VDB(AF284,AF284*0.05,'FA Addition'!$O284,0,YEARFRAC('FA Addition'!$C284,$L$1,3),'FA Addition'!$Q284),FAAddition[[#This Row],[Original Cost (Rs)]]-FAAddition[[#This Row],[Salvage Value]])),0),0)</f>
        <v>10472</v>
      </c>
      <c r="AO284" s="117">
        <f t="shared" si="23"/>
        <v>0</v>
      </c>
      <c r="AQ284" s="117">
        <f t="shared" si="21"/>
        <v>551</v>
      </c>
      <c r="AR284" s="120">
        <f t="shared" si="22"/>
        <v>551</v>
      </c>
      <c r="AS284" s="121"/>
    </row>
    <row r="285" spans="1:45" ht="13.5" x14ac:dyDescent="0.4">
      <c r="A285" s="12">
        <f t="shared" si="24"/>
        <v>282</v>
      </c>
      <c r="B285" s="44" t="s">
        <v>731</v>
      </c>
      <c r="C285" s="45">
        <v>42998</v>
      </c>
      <c r="D285" s="45">
        <v>42998</v>
      </c>
      <c r="E285" s="46" t="s">
        <v>749</v>
      </c>
      <c r="F285" s="51" t="s">
        <v>750</v>
      </c>
      <c r="G285" s="44" t="s">
        <v>812</v>
      </c>
      <c r="H285" s="44" t="s">
        <v>813</v>
      </c>
      <c r="I285" s="44"/>
      <c r="J285" s="56">
        <v>1</v>
      </c>
      <c r="K285" s="44" t="s">
        <v>814</v>
      </c>
      <c r="L285" s="52">
        <v>19000</v>
      </c>
      <c r="M285" s="50">
        <f>ROUND('FA Addition'!$L285*5%,0.1)</f>
        <v>950</v>
      </c>
      <c r="N285" s="113" t="str">
        <f>_xlfn.XLOOKUP(_xlfn.CONCAT(E285,B285),'Year Wise Master Dep Approach'!F:F,'Year Wise Master Dep Approach'!D:D)</f>
        <v>WDV</v>
      </c>
      <c r="O285" s="113">
        <f>_xlfn.XLOOKUP(_xlfn.CONCAT(E285,B285),'Year Wise Master Dep Approach'!F:F,'Year Wise Master Dep Approach'!E:E)</f>
        <v>5</v>
      </c>
      <c r="P285" s="114">
        <f>IFERROR(IF('FA Addition'!$N285="WDV",1-('FA Addition'!$M285/'FA Addition'!$L285)^(1/'FA Addition'!$O285),1/'FA Addition'!$O285),0)</f>
        <v>0.45071972834694107</v>
      </c>
      <c r="Q285" s="122">
        <f>'FA Addition'!$P285*'FA Addition'!$O285</f>
        <v>2.2535986417347056</v>
      </c>
      <c r="R285" s="122"/>
      <c r="S285" s="116">
        <f>IF(AND(DATE(20&amp;LEFT(FAAddition[[#This Row],[FY]],2),4,1)&lt;$L$1+1,DATE(20&amp;LEFT(FAAddition[[#This Row],[FY]],2),4,1)&gt;$P$1-1),'FA Addition'!$J285,0)</f>
        <v>0</v>
      </c>
      <c r="U285" s="117">
        <f>S285*'FA Addition'!$L285/'FA Addition'!$J285</f>
        <v>0</v>
      </c>
      <c r="W285" s="116">
        <f>SUMIFS('FA Write off'!D:D,'FA Write off'!A:A,'FA Addition'!$A285,'FA Write off'!C:C,"&lt;"&amp;'FA Addition'!$P$1)</f>
        <v>0</v>
      </c>
      <c r="Y285" s="191">
        <f>IFERROR(W285/'FA Addition'!$J285*'FA Addition'!$L285,0)</f>
        <v>0</v>
      </c>
      <c r="AA285" s="116">
        <f>SUMIFS('FA Write off'!D:D,'FA Write off'!A:A,'FA Addition'!$A285,'FA Write off'!C:C,"&lt;"&amp;'FA Addition'!$L$1+1,'FA Write off'!C:C,"&gt;"&amp;'FA Addition'!$L$1-365)</f>
        <v>0</v>
      </c>
      <c r="AC285" s="118">
        <f>IFERROR(AA285/'FA Addition'!$J285*'FA Addition'!$L285,0)</f>
        <v>0</v>
      </c>
      <c r="AE285" s="117">
        <f>IF(AND('FA Addition'!$D285&lt;$P$1+1,U285=0),'FA Addition'!$L285,0)-Y285</f>
        <v>19000</v>
      </c>
      <c r="AF285" s="117">
        <f t="shared" si="20"/>
        <v>19000</v>
      </c>
      <c r="AG285" s="117">
        <f>MIN(MAX(+$P$1-'FA Addition'!$D285,0),365*'FA Addition'!$O285)</f>
        <v>1825</v>
      </c>
      <c r="AH285" s="117">
        <f>MIN(MAX($L$1-'FA Addition'!$D285+1,0),365*'FA Addition'!$O285)</f>
        <v>1825</v>
      </c>
      <c r="AI285" s="117" cm="1">
        <f t="array" ref="AI285">_xlfn.XLOOKUP(1,('FA Write off'!A:A='FA Addition'!$A285)*('FA Write off'!D:D=AA285),'FA Write off'!H:H,0,0)</f>
        <v>0</v>
      </c>
      <c r="AJ285" s="117">
        <f>IF(AC285&gt;0,MAX(IF('FA Addition'!$N285="SLM",($AC285-'FA Addition'!$M285)*'FA Addition'!$P285*AI285/365,(AC285-'FA Addition'!$M285)*(1-(1-'FA Addition'!$P285)^(AI285/365))),0),0)</f>
        <v>0</v>
      </c>
      <c r="AL285" s="117">
        <f>MAX(IF(AG285&gt;0,IF('FA Addition'!$N285="SLM",($AE285-'FA Addition'!$M285)*'FA Addition'!$P285*AG285/365,IFERROR(VDB(AE285,AE285*0.05,'FA Addition'!$O285,0,YEARFRAC('FA Addition'!$C285,$P$1-1,3),'FA Addition'!$Q285),FAAddition[[#This Row],[Original Cost (Rs)]]-FAAddition[[#This Row],[Salvage Value]])),0),0)</f>
        <v>18050</v>
      </c>
      <c r="AM285" s="119"/>
      <c r="AN285" s="117">
        <f>MAX(IF(AH285&gt;0,IF('FA Addition'!$N285="SLM",($AF285-'FA Addition'!$M285)*'FA Addition'!$P285*AH285/365,IFERROR(VDB(AF285,AF285*0.05,'FA Addition'!$O285,0,YEARFRAC('FA Addition'!$C285,$L$1,3),'FA Addition'!$Q285),FAAddition[[#This Row],[Original Cost (Rs)]]-FAAddition[[#This Row],[Salvage Value]])),0),0)</f>
        <v>18050</v>
      </c>
      <c r="AO285" s="117">
        <f t="shared" si="23"/>
        <v>0</v>
      </c>
      <c r="AQ285" s="117">
        <f t="shared" si="21"/>
        <v>950</v>
      </c>
      <c r="AR285" s="120">
        <f t="shared" si="22"/>
        <v>950</v>
      </c>
      <c r="AS285" s="121"/>
    </row>
    <row r="286" spans="1:45" ht="13.5" x14ac:dyDescent="0.4">
      <c r="A286" s="12">
        <f t="shared" si="24"/>
        <v>283</v>
      </c>
      <c r="B286" s="44" t="s">
        <v>731</v>
      </c>
      <c r="C286" s="45">
        <v>42998</v>
      </c>
      <c r="D286" s="45">
        <v>42998</v>
      </c>
      <c r="E286" s="46" t="s">
        <v>32</v>
      </c>
      <c r="F286" s="51" t="s">
        <v>32</v>
      </c>
      <c r="G286" s="44" t="s">
        <v>433</v>
      </c>
      <c r="H286" s="44" t="s">
        <v>32</v>
      </c>
      <c r="I286" s="44" t="s">
        <v>815</v>
      </c>
      <c r="J286" s="48">
        <v>2</v>
      </c>
      <c r="K286" s="44" t="s">
        <v>816</v>
      </c>
      <c r="L286" s="52">
        <v>13400</v>
      </c>
      <c r="M286" s="50">
        <f>ROUND('FA Addition'!$L286*5%,0.1)</f>
        <v>670</v>
      </c>
      <c r="N286" s="113" t="str">
        <f>_xlfn.XLOOKUP(_xlfn.CONCAT(E286,B286),'Year Wise Master Dep Approach'!F:F,'Year Wise Master Dep Approach'!D:D)</f>
        <v>WDV</v>
      </c>
      <c r="O286" s="113">
        <f>_xlfn.XLOOKUP(_xlfn.CONCAT(E286,B286),'Year Wise Master Dep Approach'!F:F,'Year Wise Master Dep Approach'!E:E)</f>
        <v>3</v>
      </c>
      <c r="P286" s="114">
        <f>IFERROR(IF('FA Addition'!$N286="WDV",1-('FA Addition'!$M286/'FA Addition'!$L286)^(1/'FA Addition'!$O286),1/'FA Addition'!$O286),0)</f>
        <v>0.63159685013596123</v>
      </c>
      <c r="Q286" s="122">
        <f>'FA Addition'!$P286*'FA Addition'!$O286</f>
        <v>1.8947905504078837</v>
      </c>
      <c r="R286" s="122"/>
      <c r="S286" s="116">
        <f>IF(AND(DATE(20&amp;LEFT(FAAddition[[#This Row],[FY]],2),4,1)&lt;$L$1+1,DATE(20&amp;LEFT(FAAddition[[#This Row],[FY]],2),4,1)&gt;$P$1-1),'FA Addition'!$J286,0)</f>
        <v>0</v>
      </c>
      <c r="U286" s="117">
        <f>S286*'FA Addition'!$L286/'FA Addition'!$J286</f>
        <v>0</v>
      </c>
      <c r="W286" s="116">
        <f>SUMIFS('FA Write off'!D:D,'FA Write off'!A:A,'FA Addition'!$A286,'FA Write off'!C:C,"&lt;"&amp;'FA Addition'!$P$1)</f>
        <v>0</v>
      </c>
      <c r="Y286" s="191">
        <f>IFERROR(W286/'FA Addition'!$J286*'FA Addition'!$L286,0)</f>
        <v>0</v>
      </c>
      <c r="AA286" s="116">
        <f>SUMIFS('FA Write off'!D:D,'FA Write off'!A:A,'FA Addition'!$A286,'FA Write off'!C:C,"&lt;"&amp;'FA Addition'!$L$1+1,'FA Write off'!C:C,"&gt;"&amp;'FA Addition'!$L$1-365)</f>
        <v>0</v>
      </c>
      <c r="AC286" s="118">
        <f>IFERROR(AA286/'FA Addition'!$J286*'FA Addition'!$L286,0)</f>
        <v>0</v>
      </c>
      <c r="AE286" s="117">
        <f>IF(AND('FA Addition'!$D286&lt;$P$1+1,U286=0),'FA Addition'!$L286,0)-Y286</f>
        <v>13400</v>
      </c>
      <c r="AF286" s="117">
        <f t="shared" si="20"/>
        <v>13400</v>
      </c>
      <c r="AG286" s="117">
        <f>MIN(MAX(+$P$1-'FA Addition'!$D286,0),365*'FA Addition'!$O286)</f>
        <v>1095</v>
      </c>
      <c r="AH286" s="117">
        <f>MIN(MAX($L$1-'FA Addition'!$D286+1,0),365*'FA Addition'!$O286)</f>
        <v>1095</v>
      </c>
      <c r="AI286" s="117" cm="1">
        <f t="array" ref="AI286">_xlfn.XLOOKUP(1,('FA Write off'!A:A='FA Addition'!$A286)*('FA Write off'!D:D=AA286),'FA Write off'!H:H,0,0)</f>
        <v>0</v>
      </c>
      <c r="AJ286" s="117">
        <f>IF(AC286&gt;0,MAX(IF('FA Addition'!$N286="SLM",($AC286-'FA Addition'!$M286)*'FA Addition'!$P286*AI286/365,(AC286-'FA Addition'!$M286)*(1-(1-'FA Addition'!$P286)^(AI286/365))),0),0)</f>
        <v>0</v>
      </c>
      <c r="AL286" s="117">
        <f>MAX(IF(AG286&gt;0,IF('FA Addition'!$N286="SLM",($AE286-'FA Addition'!$M286)*'FA Addition'!$P286*AG286/365,IFERROR(VDB(AE286,AE286*0.05,'FA Addition'!$O286,0,YEARFRAC('FA Addition'!$C286,$P$1-1,3),'FA Addition'!$Q286),FAAddition[[#This Row],[Original Cost (Rs)]]-FAAddition[[#This Row],[Salvage Value]])),0),0)</f>
        <v>12730</v>
      </c>
      <c r="AM286" s="119"/>
      <c r="AN286" s="117">
        <f>MAX(IF(AH286&gt;0,IF('FA Addition'!$N286="SLM",($AF286-'FA Addition'!$M286)*'FA Addition'!$P286*AH286/365,IFERROR(VDB(AF286,AF286*0.05,'FA Addition'!$O286,0,YEARFRAC('FA Addition'!$C286,$L$1,3),'FA Addition'!$Q286),FAAddition[[#This Row],[Original Cost (Rs)]]-FAAddition[[#This Row],[Salvage Value]])),0),0)</f>
        <v>12730</v>
      </c>
      <c r="AO286" s="117">
        <f t="shared" si="23"/>
        <v>0</v>
      </c>
      <c r="AQ286" s="117">
        <f t="shared" si="21"/>
        <v>670</v>
      </c>
      <c r="AR286" s="120">
        <f t="shared" si="22"/>
        <v>670</v>
      </c>
      <c r="AS286" s="121"/>
    </row>
    <row r="287" spans="1:45" ht="13.5" x14ac:dyDescent="0.4">
      <c r="A287" s="12">
        <f t="shared" si="24"/>
        <v>284</v>
      </c>
      <c r="B287" s="44" t="s">
        <v>731</v>
      </c>
      <c r="C287" s="45">
        <v>43003</v>
      </c>
      <c r="D287" s="45">
        <v>43003</v>
      </c>
      <c r="E287" s="46" t="s">
        <v>32</v>
      </c>
      <c r="F287" s="51" t="s">
        <v>32</v>
      </c>
      <c r="G287" s="44" t="s">
        <v>817</v>
      </c>
      <c r="H287" s="44" t="s">
        <v>32</v>
      </c>
      <c r="I287" s="44" t="s">
        <v>818</v>
      </c>
      <c r="J287" s="48">
        <v>10</v>
      </c>
      <c r="K287" s="44" t="s">
        <v>819</v>
      </c>
      <c r="L287" s="52">
        <v>11590</v>
      </c>
      <c r="M287" s="50">
        <f>ROUND('FA Addition'!$L287*5%,0.1)</f>
        <v>580</v>
      </c>
      <c r="N287" s="113" t="str">
        <f>_xlfn.XLOOKUP(_xlfn.CONCAT(E287,B287),'Year Wise Master Dep Approach'!F:F,'Year Wise Master Dep Approach'!D:D)</f>
        <v>WDV</v>
      </c>
      <c r="O287" s="113">
        <f>_xlfn.XLOOKUP(_xlfn.CONCAT(E287,B287),'Year Wise Master Dep Approach'!F:F,'Year Wise Master Dep Approach'!E:E)</f>
        <v>3</v>
      </c>
      <c r="P287" s="114">
        <f>IFERROR(IF('FA Addition'!$N287="WDV",1-('FA Addition'!$M287/'FA Addition'!$L287)^(1/'FA Addition'!$O287),1/'FA Addition'!$O287),0)</f>
        <v>0.63149092628024983</v>
      </c>
      <c r="Q287" s="122">
        <f>'FA Addition'!$P287*'FA Addition'!$O287</f>
        <v>1.8944727788407496</v>
      </c>
      <c r="R287" s="122"/>
      <c r="S287" s="116">
        <f>IF(AND(DATE(20&amp;LEFT(FAAddition[[#This Row],[FY]],2),4,1)&lt;$L$1+1,DATE(20&amp;LEFT(FAAddition[[#This Row],[FY]],2),4,1)&gt;$P$1-1),'FA Addition'!$J287,0)</f>
        <v>0</v>
      </c>
      <c r="U287" s="117">
        <f>S287*'FA Addition'!$L287/'FA Addition'!$J287</f>
        <v>0</v>
      </c>
      <c r="W287" s="116">
        <f>SUMIFS('FA Write off'!D:D,'FA Write off'!A:A,'FA Addition'!$A287,'FA Write off'!C:C,"&lt;"&amp;'FA Addition'!$P$1)</f>
        <v>0</v>
      </c>
      <c r="Y287" s="191">
        <f>IFERROR(W287/'FA Addition'!$J287*'FA Addition'!$L287,0)</f>
        <v>0</v>
      </c>
      <c r="AA287" s="116">
        <f>SUMIFS('FA Write off'!D:D,'FA Write off'!A:A,'FA Addition'!$A287,'FA Write off'!C:C,"&lt;"&amp;'FA Addition'!$L$1+1,'FA Write off'!C:C,"&gt;"&amp;'FA Addition'!$L$1-365)</f>
        <v>0</v>
      </c>
      <c r="AC287" s="118">
        <f>IFERROR(AA287/'FA Addition'!$J287*'FA Addition'!$L287,0)</f>
        <v>0</v>
      </c>
      <c r="AE287" s="117">
        <f>IF(AND('FA Addition'!$D287&lt;$P$1+1,U287=0),'FA Addition'!$L287,0)-Y287</f>
        <v>11590</v>
      </c>
      <c r="AF287" s="117">
        <f t="shared" si="20"/>
        <v>11590</v>
      </c>
      <c r="AG287" s="117">
        <f>MIN(MAX(+$P$1-'FA Addition'!$D287,0),365*'FA Addition'!$O287)</f>
        <v>1095</v>
      </c>
      <c r="AH287" s="117">
        <f>MIN(MAX($L$1-'FA Addition'!$D287+1,0),365*'FA Addition'!$O287)</f>
        <v>1095</v>
      </c>
      <c r="AI287" s="117" cm="1">
        <f t="array" ref="AI287">_xlfn.XLOOKUP(1,('FA Write off'!A:A='FA Addition'!$A287)*('FA Write off'!D:D=AA287),'FA Write off'!H:H,0,0)</f>
        <v>0</v>
      </c>
      <c r="AJ287" s="117">
        <f>IF(AC287&gt;0,MAX(IF('FA Addition'!$N287="SLM",($AC287-'FA Addition'!$M287)*'FA Addition'!$P287*AI287/365,(AC287-'FA Addition'!$M287)*(1-(1-'FA Addition'!$P287)^(AI287/365))),0),0)</f>
        <v>0</v>
      </c>
      <c r="AL287" s="117">
        <f>MAX(IF(AG287&gt;0,IF('FA Addition'!$N287="SLM",($AE287-'FA Addition'!$M287)*'FA Addition'!$P287*AG287/365,IFERROR(VDB(AE287,AE287*0.05,'FA Addition'!$O287,0,YEARFRAC('FA Addition'!$C287,$P$1-1,3),'FA Addition'!$Q287),FAAddition[[#This Row],[Original Cost (Rs)]]-FAAddition[[#This Row],[Salvage Value]])),0),0)</f>
        <v>11010</v>
      </c>
      <c r="AM287" s="119"/>
      <c r="AN287" s="117">
        <f>MAX(IF(AH287&gt;0,IF('FA Addition'!$N287="SLM",($AF287-'FA Addition'!$M287)*'FA Addition'!$P287*AH287/365,IFERROR(VDB(AF287,AF287*0.05,'FA Addition'!$O287,0,YEARFRAC('FA Addition'!$C287,$L$1,3),'FA Addition'!$Q287),FAAddition[[#This Row],[Original Cost (Rs)]]-FAAddition[[#This Row],[Salvage Value]])),0),0)</f>
        <v>11010</v>
      </c>
      <c r="AO287" s="117">
        <f t="shared" si="23"/>
        <v>0</v>
      </c>
      <c r="AQ287" s="117">
        <f t="shared" si="21"/>
        <v>580</v>
      </c>
      <c r="AR287" s="120">
        <f t="shared" si="22"/>
        <v>580</v>
      </c>
      <c r="AS287" s="121"/>
    </row>
    <row r="288" spans="1:45" ht="13.5" x14ac:dyDescent="0.4">
      <c r="A288" s="12">
        <f t="shared" si="24"/>
        <v>285</v>
      </c>
      <c r="B288" s="44" t="s">
        <v>731</v>
      </c>
      <c r="C288" s="45">
        <v>43006</v>
      </c>
      <c r="D288" s="45">
        <v>43006</v>
      </c>
      <c r="E288" s="46" t="s">
        <v>451</v>
      </c>
      <c r="F288" s="51" t="s">
        <v>21</v>
      </c>
      <c r="G288" s="44" t="s">
        <v>765</v>
      </c>
      <c r="H288" s="60"/>
      <c r="I288" s="44" t="s">
        <v>820</v>
      </c>
      <c r="J288" s="56">
        <v>1</v>
      </c>
      <c r="K288" s="44" t="s">
        <v>21</v>
      </c>
      <c r="L288" s="52">
        <v>33990</v>
      </c>
      <c r="M288" s="50">
        <f>ROUND('FA Addition'!$L288*5%,0.1)</f>
        <v>1700</v>
      </c>
      <c r="N288" s="113" t="str">
        <f>_xlfn.XLOOKUP(_xlfn.CONCAT(E288,B288),'Year Wise Master Dep Approach'!F:F,'Year Wise Master Dep Approach'!D:D)</f>
        <v>WDV</v>
      </c>
      <c r="O288" s="113">
        <f>_xlfn.XLOOKUP(_xlfn.CONCAT(E288,B288),'Year Wise Master Dep Approach'!F:F,'Year Wise Master Dep Approach'!E:E)</f>
        <v>3</v>
      </c>
      <c r="P288" s="114">
        <f>IFERROR(IF('FA Addition'!$N288="WDV",1-('FA Addition'!$M288/'FA Addition'!$L288)^(1/'FA Addition'!$O288),1/'FA Addition'!$O288),0)</f>
        <v>0.63156072509651962</v>
      </c>
      <c r="Q288" s="122">
        <f>'FA Addition'!$P288*'FA Addition'!$O288</f>
        <v>1.8946821752895588</v>
      </c>
      <c r="R288" s="122"/>
      <c r="S288" s="116">
        <f>IF(AND(DATE(20&amp;LEFT(FAAddition[[#This Row],[FY]],2),4,1)&lt;$L$1+1,DATE(20&amp;LEFT(FAAddition[[#This Row],[FY]],2),4,1)&gt;$P$1-1),'FA Addition'!$J288,0)</f>
        <v>0</v>
      </c>
      <c r="U288" s="117">
        <f>S288*'FA Addition'!$L288/'FA Addition'!$J288</f>
        <v>0</v>
      </c>
      <c r="W288" s="116">
        <f>SUMIFS('FA Write off'!D:D,'FA Write off'!A:A,'FA Addition'!$A288,'FA Write off'!C:C,"&lt;"&amp;'FA Addition'!$P$1)</f>
        <v>0</v>
      </c>
      <c r="Y288" s="191">
        <f>IFERROR(W288/'FA Addition'!$J288*'FA Addition'!$L288,0)</f>
        <v>0</v>
      </c>
      <c r="AA288" s="116">
        <f>SUMIFS('FA Write off'!D:D,'FA Write off'!A:A,'FA Addition'!$A288,'FA Write off'!C:C,"&lt;"&amp;'FA Addition'!$L$1+1,'FA Write off'!C:C,"&gt;"&amp;'FA Addition'!$L$1-365)</f>
        <v>0</v>
      </c>
      <c r="AC288" s="118">
        <f>IFERROR(AA288/'FA Addition'!$J288*'FA Addition'!$L288,0)</f>
        <v>0</v>
      </c>
      <c r="AE288" s="117">
        <f>IF(AND('FA Addition'!$D288&lt;$P$1+1,U288=0),'FA Addition'!$L288,0)-Y288</f>
        <v>33990</v>
      </c>
      <c r="AF288" s="117">
        <f t="shared" si="20"/>
        <v>33990</v>
      </c>
      <c r="AG288" s="117">
        <f>MIN(MAX(+$P$1-'FA Addition'!$D288,0),365*'FA Addition'!$O288)</f>
        <v>1095</v>
      </c>
      <c r="AH288" s="117">
        <f>MIN(MAX($L$1-'FA Addition'!$D288+1,0),365*'FA Addition'!$O288)</f>
        <v>1095</v>
      </c>
      <c r="AI288" s="117" cm="1">
        <f t="array" ref="AI288">_xlfn.XLOOKUP(1,('FA Write off'!A:A='FA Addition'!$A288)*('FA Write off'!D:D=AA288),'FA Write off'!H:H,0,0)</f>
        <v>0</v>
      </c>
      <c r="AJ288" s="117">
        <f>IF(AC288&gt;0,MAX(IF('FA Addition'!$N288="SLM",($AC288-'FA Addition'!$M288)*'FA Addition'!$P288*AI288/365,(AC288-'FA Addition'!$M288)*(1-(1-'FA Addition'!$P288)^(AI288/365))),0),0)</f>
        <v>0</v>
      </c>
      <c r="AL288" s="117">
        <f>MAX(IF(AG288&gt;0,IF('FA Addition'!$N288="SLM",($AE288-'FA Addition'!$M288)*'FA Addition'!$P288*AG288/365,IFERROR(VDB(AE288,AE288*0.05,'FA Addition'!$O288,0,YEARFRAC('FA Addition'!$C288,$P$1-1,3),'FA Addition'!$Q288),FAAddition[[#This Row],[Original Cost (Rs)]]-FAAddition[[#This Row],[Salvage Value]])),0),0)</f>
        <v>32290</v>
      </c>
      <c r="AM288" s="119"/>
      <c r="AN288" s="117">
        <f>MAX(IF(AH288&gt;0,IF('FA Addition'!$N288="SLM",($AF288-'FA Addition'!$M288)*'FA Addition'!$P288*AH288/365,IFERROR(VDB(AF288,AF288*0.05,'FA Addition'!$O288,0,YEARFRAC('FA Addition'!$C288,$L$1,3),'FA Addition'!$Q288),FAAddition[[#This Row],[Original Cost (Rs)]]-FAAddition[[#This Row],[Salvage Value]])),0),0)</f>
        <v>32290</v>
      </c>
      <c r="AO288" s="117">
        <f t="shared" si="23"/>
        <v>0</v>
      </c>
      <c r="AQ288" s="117">
        <f t="shared" si="21"/>
        <v>1700</v>
      </c>
      <c r="AR288" s="120">
        <f t="shared" si="22"/>
        <v>1700</v>
      </c>
      <c r="AS288" s="121"/>
    </row>
    <row r="289" spans="1:45" ht="13.5" x14ac:dyDescent="0.4">
      <c r="A289" s="12">
        <f t="shared" si="24"/>
        <v>286</v>
      </c>
      <c r="B289" s="44" t="s">
        <v>731</v>
      </c>
      <c r="C289" s="45">
        <v>43006</v>
      </c>
      <c r="D289" s="45">
        <v>43006</v>
      </c>
      <c r="E289" s="46" t="s">
        <v>451</v>
      </c>
      <c r="F289" s="51" t="s">
        <v>187</v>
      </c>
      <c r="G289" s="44" t="s">
        <v>620</v>
      </c>
      <c r="H289" s="60" t="s">
        <v>187</v>
      </c>
      <c r="I289" s="44">
        <v>5338</v>
      </c>
      <c r="J289" s="56">
        <v>1</v>
      </c>
      <c r="K289" s="44" t="s">
        <v>821</v>
      </c>
      <c r="L289" s="52">
        <v>30078</v>
      </c>
      <c r="M289" s="50">
        <f>ROUND('FA Addition'!$L289*5%,0.1)</f>
        <v>1504</v>
      </c>
      <c r="N289" s="113" t="str">
        <f>_xlfn.XLOOKUP(_xlfn.CONCAT(E289,B289),'Year Wise Master Dep Approach'!F:F,'Year Wise Master Dep Approach'!D:D)</f>
        <v>WDV</v>
      </c>
      <c r="O289" s="113">
        <f>_xlfn.XLOOKUP(_xlfn.CONCAT(E289,B289),'Year Wise Master Dep Approach'!F:F,'Year Wise Master Dep Approach'!E:E)</f>
        <v>3</v>
      </c>
      <c r="P289" s="114">
        <f>IFERROR(IF('FA Addition'!$N289="WDV",1-('FA Addition'!$M289/'FA Addition'!$L289)^(1/'FA Addition'!$O289),1/'FA Addition'!$O289),0)</f>
        <v>0.63158868481059272</v>
      </c>
      <c r="Q289" s="122">
        <f>'FA Addition'!$P289*'FA Addition'!$O289</f>
        <v>1.8947660544317781</v>
      </c>
      <c r="R289" s="122"/>
      <c r="S289" s="116">
        <f>IF(AND(DATE(20&amp;LEFT(FAAddition[[#This Row],[FY]],2),4,1)&lt;$L$1+1,DATE(20&amp;LEFT(FAAddition[[#This Row],[FY]],2),4,1)&gt;$P$1-1),'FA Addition'!$J289,0)</f>
        <v>0</v>
      </c>
      <c r="U289" s="117">
        <f>S289*'FA Addition'!$L289/'FA Addition'!$J289</f>
        <v>0</v>
      </c>
      <c r="W289" s="116">
        <f>SUMIFS('FA Write off'!D:D,'FA Write off'!A:A,'FA Addition'!$A289,'FA Write off'!C:C,"&lt;"&amp;'FA Addition'!$P$1)</f>
        <v>0</v>
      </c>
      <c r="Y289" s="191">
        <f>IFERROR(W289/'FA Addition'!$J289*'FA Addition'!$L289,0)</f>
        <v>0</v>
      </c>
      <c r="AA289" s="116">
        <f>SUMIFS('FA Write off'!D:D,'FA Write off'!A:A,'FA Addition'!$A289,'FA Write off'!C:C,"&lt;"&amp;'FA Addition'!$L$1+1,'FA Write off'!C:C,"&gt;"&amp;'FA Addition'!$L$1-365)</f>
        <v>0</v>
      </c>
      <c r="AC289" s="118">
        <f>IFERROR(AA289/'FA Addition'!$J289*'FA Addition'!$L289,0)</f>
        <v>0</v>
      </c>
      <c r="AE289" s="117">
        <f>IF(AND('FA Addition'!$D289&lt;$P$1+1,U289=0),'FA Addition'!$L289,0)-Y289</f>
        <v>30078</v>
      </c>
      <c r="AF289" s="117">
        <f t="shared" si="20"/>
        <v>30078</v>
      </c>
      <c r="AG289" s="117">
        <f>MIN(MAX(+$P$1-'FA Addition'!$D289,0),365*'FA Addition'!$O289)</f>
        <v>1095</v>
      </c>
      <c r="AH289" s="117">
        <f>MIN(MAX($L$1-'FA Addition'!$D289+1,0),365*'FA Addition'!$O289)</f>
        <v>1095</v>
      </c>
      <c r="AI289" s="117" cm="1">
        <f t="array" ref="AI289">_xlfn.XLOOKUP(1,('FA Write off'!A:A='FA Addition'!$A289)*('FA Write off'!D:D=AA289),'FA Write off'!H:H,0,0)</f>
        <v>0</v>
      </c>
      <c r="AJ289" s="117">
        <f>IF(AC289&gt;0,MAX(IF('FA Addition'!$N289="SLM",($AC289-'FA Addition'!$M289)*'FA Addition'!$P289*AI289/365,(AC289-'FA Addition'!$M289)*(1-(1-'FA Addition'!$P289)^(AI289/365))),0),0)</f>
        <v>0</v>
      </c>
      <c r="AL289" s="117">
        <f>MAX(IF(AG289&gt;0,IF('FA Addition'!$N289="SLM",($AE289-'FA Addition'!$M289)*'FA Addition'!$P289*AG289/365,IFERROR(VDB(AE289,AE289*0.05,'FA Addition'!$O289,0,YEARFRAC('FA Addition'!$C289,$P$1-1,3),'FA Addition'!$Q289),FAAddition[[#This Row],[Original Cost (Rs)]]-FAAddition[[#This Row],[Salvage Value]])),0),0)</f>
        <v>28574</v>
      </c>
      <c r="AM289" s="119"/>
      <c r="AN289" s="117">
        <f>MAX(IF(AH289&gt;0,IF('FA Addition'!$N289="SLM",($AF289-'FA Addition'!$M289)*'FA Addition'!$P289*AH289/365,IFERROR(VDB(AF289,AF289*0.05,'FA Addition'!$O289,0,YEARFRAC('FA Addition'!$C289,$L$1,3),'FA Addition'!$Q289),FAAddition[[#This Row],[Original Cost (Rs)]]-FAAddition[[#This Row],[Salvage Value]])),0),0)</f>
        <v>28574</v>
      </c>
      <c r="AO289" s="117">
        <f t="shared" si="23"/>
        <v>0</v>
      </c>
      <c r="AQ289" s="117">
        <f t="shared" si="21"/>
        <v>1504</v>
      </c>
      <c r="AR289" s="120">
        <f t="shared" si="22"/>
        <v>1504</v>
      </c>
      <c r="AS289" s="121"/>
    </row>
    <row r="290" spans="1:45" ht="13.5" x14ac:dyDescent="0.4">
      <c r="A290" s="12">
        <f t="shared" si="24"/>
        <v>287</v>
      </c>
      <c r="B290" s="44" t="s">
        <v>731</v>
      </c>
      <c r="C290" s="45">
        <v>43006</v>
      </c>
      <c r="D290" s="45">
        <v>43006</v>
      </c>
      <c r="E290" s="46" t="s">
        <v>451</v>
      </c>
      <c r="F290" s="51" t="s">
        <v>151</v>
      </c>
      <c r="G290" s="44" t="s">
        <v>620</v>
      </c>
      <c r="H290" s="51" t="s">
        <v>151</v>
      </c>
      <c r="I290" s="44">
        <v>5338</v>
      </c>
      <c r="J290" s="48">
        <v>2</v>
      </c>
      <c r="K290" s="44" t="s">
        <v>822</v>
      </c>
      <c r="L290" s="52">
        <v>20390</v>
      </c>
      <c r="M290" s="50">
        <f>ROUND('FA Addition'!$L290*5%,0.1)</f>
        <v>1020</v>
      </c>
      <c r="N290" s="113" t="str">
        <f>_xlfn.XLOOKUP(_xlfn.CONCAT(E290,B290),'Year Wise Master Dep Approach'!F:F,'Year Wise Master Dep Approach'!D:D)</f>
        <v>WDV</v>
      </c>
      <c r="O290" s="113">
        <f>_xlfn.XLOOKUP(_xlfn.CONCAT(E290,B290),'Year Wise Master Dep Approach'!F:F,'Year Wise Master Dep Approach'!E:E)</f>
        <v>3</v>
      </c>
      <c r="P290" s="114">
        <f>IFERROR(IF('FA Addition'!$N290="WDV",1-('FA Addition'!$M290/'FA Addition'!$L290)^(1/'FA Addition'!$O290),1/'FA Addition'!$O290),0)</f>
        <v>0.63153663386325376</v>
      </c>
      <c r="Q290" s="122">
        <f>'FA Addition'!$P290*'FA Addition'!$O290</f>
        <v>1.8946099015897613</v>
      </c>
      <c r="R290" s="122"/>
      <c r="S290" s="116">
        <f>IF(AND(DATE(20&amp;LEFT(FAAddition[[#This Row],[FY]],2),4,1)&lt;$L$1+1,DATE(20&amp;LEFT(FAAddition[[#This Row],[FY]],2),4,1)&gt;$P$1-1),'FA Addition'!$J290,0)</f>
        <v>0</v>
      </c>
      <c r="U290" s="117">
        <f>S290*'FA Addition'!$L290/'FA Addition'!$J290</f>
        <v>0</v>
      </c>
      <c r="W290" s="116">
        <f>SUMIFS('FA Write off'!D:D,'FA Write off'!A:A,'FA Addition'!$A290,'FA Write off'!C:C,"&lt;"&amp;'FA Addition'!$P$1)</f>
        <v>0</v>
      </c>
      <c r="Y290" s="191">
        <f>IFERROR(W290/'FA Addition'!$J290*'FA Addition'!$L290,0)</f>
        <v>0</v>
      </c>
      <c r="AA290" s="116">
        <f>SUMIFS('FA Write off'!D:D,'FA Write off'!A:A,'FA Addition'!$A290,'FA Write off'!C:C,"&lt;"&amp;'FA Addition'!$L$1+1,'FA Write off'!C:C,"&gt;"&amp;'FA Addition'!$L$1-365)</f>
        <v>0</v>
      </c>
      <c r="AC290" s="118">
        <f>IFERROR(AA290/'FA Addition'!$J290*'FA Addition'!$L290,0)</f>
        <v>0</v>
      </c>
      <c r="AE290" s="117">
        <f>IF(AND('FA Addition'!$D290&lt;$P$1+1,U290=0),'FA Addition'!$L290,0)-Y290</f>
        <v>20390</v>
      </c>
      <c r="AF290" s="117">
        <f t="shared" si="20"/>
        <v>20390</v>
      </c>
      <c r="AG290" s="117">
        <f>MIN(MAX(+$P$1-'FA Addition'!$D290,0),365*'FA Addition'!$O290)</f>
        <v>1095</v>
      </c>
      <c r="AH290" s="117">
        <f>MIN(MAX($L$1-'FA Addition'!$D290+1,0),365*'FA Addition'!$O290)</f>
        <v>1095</v>
      </c>
      <c r="AI290" s="117" cm="1">
        <f t="array" ref="AI290">_xlfn.XLOOKUP(1,('FA Write off'!A:A='FA Addition'!$A290)*('FA Write off'!D:D=AA290),'FA Write off'!H:H,0,0)</f>
        <v>0</v>
      </c>
      <c r="AJ290" s="117">
        <f>IF(AC290&gt;0,MAX(IF('FA Addition'!$N290="SLM",($AC290-'FA Addition'!$M290)*'FA Addition'!$P290*AI290/365,(AC290-'FA Addition'!$M290)*(1-(1-'FA Addition'!$P290)^(AI290/365))),0),0)</f>
        <v>0</v>
      </c>
      <c r="AL290" s="117">
        <f>MAX(IF(AG290&gt;0,IF('FA Addition'!$N290="SLM",($AE290-'FA Addition'!$M290)*'FA Addition'!$P290*AG290/365,IFERROR(VDB(AE290,AE290*0.05,'FA Addition'!$O290,0,YEARFRAC('FA Addition'!$C290,$P$1-1,3),'FA Addition'!$Q290),FAAddition[[#This Row],[Original Cost (Rs)]]-FAAddition[[#This Row],[Salvage Value]])),0),0)</f>
        <v>19370</v>
      </c>
      <c r="AM290" s="119"/>
      <c r="AN290" s="117">
        <f>MAX(IF(AH290&gt;0,IF('FA Addition'!$N290="SLM",($AF290-'FA Addition'!$M290)*'FA Addition'!$P290*AH290/365,IFERROR(VDB(AF290,AF290*0.05,'FA Addition'!$O290,0,YEARFRAC('FA Addition'!$C290,$L$1,3),'FA Addition'!$Q290),FAAddition[[#This Row],[Original Cost (Rs)]]-FAAddition[[#This Row],[Salvage Value]])),0),0)</f>
        <v>19370</v>
      </c>
      <c r="AO290" s="117">
        <f t="shared" si="23"/>
        <v>0</v>
      </c>
      <c r="AQ290" s="117">
        <f t="shared" si="21"/>
        <v>1020</v>
      </c>
      <c r="AR290" s="120">
        <f t="shared" si="22"/>
        <v>1020</v>
      </c>
      <c r="AS290" s="121"/>
    </row>
    <row r="291" spans="1:45" ht="13.5" x14ac:dyDescent="0.4">
      <c r="A291" s="12">
        <f t="shared" si="24"/>
        <v>288</v>
      </c>
      <c r="B291" s="44" t="s">
        <v>731</v>
      </c>
      <c r="C291" s="45">
        <v>43006</v>
      </c>
      <c r="D291" s="45">
        <v>43006</v>
      </c>
      <c r="E291" s="46" t="s">
        <v>451</v>
      </c>
      <c r="F291" s="51" t="s">
        <v>21</v>
      </c>
      <c r="G291" s="44" t="s">
        <v>620</v>
      </c>
      <c r="H291" s="51" t="s">
        <v>21</v>
      </c>
      <c r="I291" s="44">
        <v>5342</v>
      </c>
      <c r="J291" s="56">
        <v>1</v>
      </c>
      <c r="K291" s="44" t="s">
        <v>21</v>
      </c>
      <c r="L291" s="52">
        <v>16949</v>
      </c>
      <c r="M291" s="50">
        <f>ROUND('FA Addition'!$L291*5%,0.1)</f>
        <v>847</v>
      </c>
      <c r="N291" s="113" t="str">
        <f>_xlfn.XLOOKUP(_xlfn.CONCAT(E291,B291),'Year Wise Master Dep Approach'!F:F,'Year Wise Master Dep Approach'!D:D)</f>
        <v>WDV</v>
      </c>
      <c r="O291" s="113">
        <f>_xlfn.XLOOKUP(_xlfn.CONCAT(E291,B291),'Year Wise Master Dep Approach'!F:F,'Year Wise Master Dep Approach'!E:E)</f>
        <v>3</v>
      </c>
      <c r="P291" s="114">
        <f>IFERROR(IF('FA Addition'!$N291="WDV",1-('FA Addition'!$M291/'FA Addition'!$L291)^(1/'FA Addition'!$O291),1/'FA Addition'!$O291),0)</f>
        <v>0.63166206962567495</v>
      </c>
      <c r="Q291" s="122">
        <f>'FA Addition'!$P291*'FA Addition'!$O291</f>
        <v>1.8949862088770248</v>
      </c>
      <c r="R291" s="122"/>
      <c r="S291" s="116">
        <f>IF(AND(DATE(20&amp;LEFT(FAAddition[[#This Row],[FY]],2),4,1)&lt;$L$1+1,DATE(20&amp;LEFT(FAAddition[[#This Row],[FY]],2),4,1)&gt;$P$1-1),'FA Addition'!$J291,0)</f>
        <v>0</v>
      </c>
      <c r="U291" s="117">
        <f>S291*'FA Addition'!$L291/'FA Addition'!$J291</f>
        <v>0</v>
      </c>
      <c r="W291" s="116">
        <f>SUMIFS('FA Write off'!D:D,'FA Write off'!A:A,'FA Addition'!$A291,'FA Write off'!C:C,"&lt;"&amp;'FA Addition'!$P$1)</f>
        <v>0</v>
      </c>
      <c r="Y291" s="191">
        <f>IFERROR(W291/'FA Addition'!$J291*'FA Addition'!$L291,0)</f>
        <v>0</v>
      </c>
      <c r="AA291" s="116">
        <f>SUMIFS('FA Write off'!D:D,'FA Write off'!A:A,'FA Addition'!$A291,'FA Write off'!C:C,"&lt;"&amp;'FA Addition'!$L$1+1,'FA Write off'!C:C,"&gt;"&amp;'FA Addition'!$L$1-365)</f>
        <v>0</v>
      </c>
      <c r="AC291" s="118">
        <f>IFERROR(AA291/'FA Addition'!$J291*'FA Addition'!$L291,0)</f>
        <v>0</v>
      </c>
      <c r="AE291" s="117">
        <f>IF(AND('FA Addition'!$D291&lt;$P$1+1,U291=0),'FA Addition'!$L291,0)-Y291</f>
        <v>16949</v>
      </c>
      <c r="AF291" s="117">
        <f t="shared" si="20"/>
        <v>16949</v>
      </c>
      <c r="AG291" s="117">
        <f>MIN(MAX(+$P$1-'FA Addition'!$D291,0),365*'FA Addition'!$O291)</f>
        <v>1095</v>
      </c>
      <c r="AH291" s="117">
        <f>MIN(MAX($L$1-'FA Addition'!$D291+1,0),365*'FA Addition'!$O291)</f>
        <v>1095</v>
      </c>
      <c r="AI291" s="117" cm="1">
        <f t="array" ref="AI291">_xlfn.XLOOKUP(1,('FA Write off'!A:A='FA Addition'!$A291)*('FA Write off'!D:D=AA291),'FA Write off'!H:H,0,0)</f>
        <v>0</v>
      </c>
      <c r="AJ291" s="117">
        <f>IF(AC291&gt;0,MAX(IF('FA Addition'!$N291="SLM",($AC291-'FA Addition'!$M291)*'FA Addition'!$P291*AI291/365,(AC291-'FA Addition'!$M291)*(1-(1-'FA Addition'!$P291)^(AI291/365))),0),0)</f>
        <v>0</v>
      </c>
      <c r="AL291" s="117">
        <f>MAX(IF(AG291&gt;0,IF('FA Addition'!$N291="SLM",($AE291-'FA Addition'!$M291)*'FA Addition'!$P291*AG291/365,IFERROR(VDB(AE291,AE291*0.05,'FA Addition'!$O291,0,YEARFRAC('FA Addition'!$C291,$P$1-1,3),'FA Addition'!$Q291),FAAddition[[#This Row],[Original Cost (Rs)]]-FAAddition[[#This Row],[Salvage Value]])),0),0)</f>
        <v>16102</v>
      </c>
      <c r="AM291" s="119"/>
      <c r="AN291" s="117">
        <f>MAX(IF(AH291&gt;0,IF('FA Addition'!$N291="SLM",($AF291-'FA Addition'!$M291)*'FA Addition'!$P291*AH291/365,IFERROR(VDB(AF291,AF291*0.05,'FA Addition'!$O291,0,YEARFRAC('FA Addition'!$C291,$L$1,3),'FA Addition'!$Q291),FAAddition[[#This Row],[Original Cost (Rs)]]-FAAddition[[#This Row],[Salvage Value]])),0),0)</f>
        <v>16102</v>
      </c>
      <c r="AO291" s="117">
        <f t="shared" si="23"/>
        <v>0</v>
      </c>
      <c r="AQ291" s="117">
        <f t="shared" si="21"/>
        <v>847</v>
      </c>
      <c r="AR291" s="120">
        <f t="shared" si="22"/>
        <v>847</v>
      </c>
      <c r="AS291" s="121"/>
    </row>
    <row r="292" spans="1:45" ht="13.5" x14ac:dyDescent="0.4">
      <c r="A292" s="12">
        <f t="shared" si="24"/>
        <v>289</v>
      </c>
      <c r="B292" s="44" t="s">
        <v>731</v>
      </c>
      <c r="C292" s="45">
        <v>43006</v>
      </c>
      <c r="D292" s="45">
        <v>43006</v>
      </c>
      <c r="E292" s="46" t="s">
        <v>207</v>
      </c>
      <c r="F292" s="51" t="s">
        <v>147</v>
      </c>
      <c r="G292" s="44" t="s">
        <v>597</v>
      </c>
      <c r="H292" s="51" t="s">
        <v>207</v>
      </c>
      <c r="I292" s="44"/>
      <c r="J292" s="56">
        <v>1</v>
      </c>
      <c r="K292" s="44" t="s">
        <v>823</v>
      </c>
      <c r="L292" s="52">
        <v>16396</v>
      </c>
      <c r="M292" s="50">
        <f>ROUND('FA Addition'!$L292*5%,0.1)</f>
        <v>820</v>
      </c>
      <c r="N292" s="113" t="str">
        <f>_xlfn.XLOOKUP(_xlfn.CONCAT(E292,B292),'Year Wise Master Dep Approach'!F:F,'Year Wise Master Dep Approach'!D:D)</f>
        <v>WDV</v>
      </c>
      <c r="O292" s="113">
        <f>_xlfn.XLOOKUP(_xlfn.CONCAT(E292,B292),'Year Wise Master Dep Approach'!F:F,'Year Wise Master Dep Approach'!E:E)</f>
        <v>5</v>
      </c>
      <c r="P292" s="114">
        <f>IFERROR(IF('FA Addition'!$N292="WDV",1-('FA Addition'!$M292/'FA Addition'!$L292)^(1/'FA Addition'!$O292),1/'FA Addition'!$O292),0)</f>
        <v>0.45069293026555035</v>
      </c>
      <c r="Q292" s="122">
        <f>'FA Addition'!$P292*'FA Addition'!$O292</f>
        <v>2.2534646513277519</v>
      </c>
      <c r="R292" s="122"/>
      <c r="S292" s="116">
        <f>IF(AND(DATE(20&amp;LEFT(FAAddition[[#This Row],[FY]],2),4,1)&lt;$L$1+1,DATE(20&amp;LEFT(FAAddition[[#This Row],[FY]],2),4,1)&gt;$P$1-1),'FA Addition'!$J292,0)</f>
        <v>0</v>
      </c>
      <c r="U292" s="117">
        <f>S292*'FA Addition'!$L292/'FA Addition'!$J292</f>
        <v>0</v>
      </c>
      <c r="W292" s="116">
        <f>SUMIFS('FA Write off'!D:D,'FA Write off'!A:A,'FA Addition'!$A292,'FA Write off'!C:C,"&lt;"&amp;'FA Addition'!$P$1)</f>
        <v>0</v>
      </c>
      <c r="Y292" s="191">
        <f>IFERROR(W292/'FA Addition'!$J292*'FA Addition'!$L292,0)</f>
        <v>0</v>
      </c>
      <c r="AA292" s="116">
        <f>SUMIFS('FA Write off'!D:D,'FA Write off'!A:A,'FA Addition'!$A292,'FA Write off'!C:C,"&lt;"&amp;'FA Addition'!$L$1+1,'FA Write off'!C:C,"&gt;"&amp;'FA Addition'!$L$1-365)</f>
        <v>0</v>
      </c>
      <c r="AC292" s="118">
        <f>IFERROR(AA292/'FA Addition'!$J292*'FA Addition'!$L292,0)</f>
        <v>0</v>
      </c>
      <c r="AE292" s="117">
        <f>IF(AND('FA Addition'!$D292&lt;$P$1+1,U292=0),'FA Addition'!$L292,0)-Y292</f>
        <v>16396</v>
      </c>
      <c r="AF292" s="117">
        <f t="shared" si="20"/>
        <v>16396</v>
      </c>
      <c r="AG292" s="117">
        <f>MIN(MAX(+$P$1-'FA Addition'!$D292,0),365*'FA Addition'!$O292)</f>
        <v>1825</v>
      </c>
      <c r="AH292" s="117">
        <f>MIN(MAX($L$1-'FA Addition'!$D292+1,0),365*'FA Addition'!$O292)</f>
        <v>1825</v>
      </c>
      <c r="AI292" s="117" cm="1">
        <f t="array" ref="AI292">_xlfn.XLOOKUP(1,('FA Write off'!A:A='FA Addition'!$A292)*('FA Write off'!D:D=AA292),'FA Write off'!H:H,0,0)</f>
        <v>0</v>
      </c>
      <c r="AJ292" s="117">
        <f>IF(AC292&gt;0,MAX(IF('FA Addition'!$N292="SLM",($AC292-'FA Addition'!$M292)*'FA Addition'!$P292*AI292/365,(AC292-'FA Addition'!$M292)*(1-(1-'FA Addition'!$P292)^(AI292/365))),0),0)</f>
        <v>0</v>
      </c>
      <c r="AL292" s="117">
        <f>MAX(IF(AG292&gt;0,IF('FA Addition'!$N292="SLM",($AE292-'FA Addition'!$M292)*'FA Addition'!$P292*AG292/365,IFERROR(VDB(AE292,AE292*0.05,'FA Addition'!$O292,0,YEARFRAC('FA Addition'!$C292,$P$1-1,3),'FA Addition'!$Q292),FAAddition[[#This Row],[Original Cost (Rs)]]-FAAddition[[#This Row],[Salvage Value]])),0),0)</f>
        <v>15576</v>
      </c>
      <c r="AM292" s="119"/>
      <c r="AN292" s="117">
        <f>MAX(IF(AH292&gt;0,IF('FA Addition'!$N292="SLM",($AF292-'FA Addition'!$M292)*'FA Addition'!$P292*AH292/365,IFERROR(VDB(AF292,AF292*0.05,'FA Addition'!$O292,0,YEARFRAC('FA Addition'!$C292,$L$1,3),'FA Addition'!$Q292),FAAddition[[#This Row],[Original Cost (Rs)]]-FAAddition[[#This Row],[Salvage Value]])),0),0)</f>
        <v>15576</v>
      </c>
      <c r="AO292" s="117">
        <f t="shared" si="23"/>
        <v>0</v>
      </c>
      <c r="AQ292" s="117">
        <f t="shared" si="21"/>
        <v>820</v>
      </c>
      <c r="AR292" s="120">
        <f t="shared" si="22"/>
        <v>820</v>
      </c>
      <c r="AS292" s="121"/>
    </row>
    <row r="293" spans="1:45" ht="13.5" x14ac:dyDescent="0.4">
      <c r="A293" s="12">
        <f t="shared" si="24"/>
        <v>290</v>
      </c>
      <c r="B293" s="44" t="s">
        <v>731</v>
      </c>
      <c r="C293" s="45">
        <v>43007</v>
      </c>
      <c r="D293" s="45">
        <v>43007</v>
      </c>
      <c r="E293" s="46" t="s">
        <v>749</v>
      </c>
      <c r="F293" s="51" t="s">
        <v>750</v>
      </c>
      <c r="G293" s="44" t="s">
        <v>597</v>
      </c>
      <c r="H293" s="60"/>
      <c r="I293" s="44"/>
      <c r="J293" s="56">
        <v>1</v>
      </c>
      <c r="K293" s="44"/>
      <c r="L293" s="52">
        <v>6990</v>
      </c>
      <c r="M293" s="50">
        <f>ROUND('FA Addition'!$L293*5%,0.1)</f>
        <v>350</v>
      </c>
      <c r="N293" s="113" t="str">
        <f>_xlfn.XLOOKUP(_xlfn.CONCAT(E293,B293),'Year Wise Master Dep Approach'!F:F,'Year Wise Master Dep Approach'!D:D)</f>
        <v>WDV</v>
      </c>
      <c r="O293" s="113">
        <f>_xlfn.XLOOKUP(_xlfn.CONCAT(E293,B293),'Year Wise Master Dep Approach'!F:F,'Year Wise Master Dep Approach'!E:E)</f>
        <v>5</v>
      </c>
      <c r="P293" s="114">
        <f>IFERROR(IF('FA Addition'!$N293="WDV",1-('FA Addition'!$M293/'FA Addition'!$L293)^(1/'FA Addition'!$O293),1/'FA Addition'!$O293),0)</f>
        <v>0.45056265646776683</v>
      </c>
      <c r="Q293" s="122">
        <f>'FA Addition'!$P293*'FA Addition'!$O293</f>
        <v>2.2528132823388343</v>
      </c>
      <c r="R293" s="122"/>
      <c r="S293" s="116">
        <f>IF(AND(DATE(20&amp;LEFT(FAAddition[[#This Row],[FY]],2),4,1)&lt;$L$1+1,DATE(20&amp;LEFT(FAAddition[[#This Row],[FY]],2),4,1)&gt;$P$1-1),'FA Addition'!$J293,0)</f>
        <v>0</v>
      </c>
      <c r="U293" s="117">
        <f>S293*'FA Addition'!$L293/'FA Addition'!$J293</f>
        <v>0</v>
      </c>
      <c r="W293" s="116">
        <f>SUMIFS('FA Write off'!D:D,'FA Write off'!A:A,'FA Addition'!$A293,'FA Write off'!C:C,"&lt;"&amp;'FA Addition'!$P$1)</f>
        <v>0</v>
      </c>
      <c r="Y293" s="191">
        <f>IFERROR(W293/'FA Addition'!$J293*'FA Addition'!$L293,0)</f>
        <v>0</v>
      </c>
      <c r="AA293" s="116">
        <f>SUMIFS('FA Write off'!D:D,'FA Write off'!A:A,'FA Addition'!$A293,'FA Write off'!C:C,"&lt;"&amp;'FA Addition'!$L$1+1,'FA Write off'!C:C,"&gt;"&amp;'FA Addition'!$L$1-365)</f>
        <v>0</v>
      </c>
      <c r="AC293" s="118">
        <f>IFERROR(AA293/'FA Addition'!$J293*'FA Addition'!$L293,0)</f>
        <v>0</v>
      </c>
      <c r="AE293" s="117">
        <f>IF(AND('FA Addition'!$D293&lt;$P$1+1,U293=0),'FA Addition'!$L293,0)-Y293</f>
        <v>6990</v>
      </c>
      <c r="AF293" s="117">
        <f t="shared" si="20"/>
        <v>6990</v>
      </c>
      <c r="AG293" s="117">
        <f>MIN(MAX(+$P$1-'FA Addition'!$D293,0),365*'FA Addition'!$O293)</f>
        <v>1825</v>
      </c>
      <c r="AH293" s="117">
        <f>MIN(MAX($L$1-'FA Addition'!$D293+1,0),365*'FA Addition'!$O293)</f>
        <v>1825</v>
      </c>
      <c r="AI293" s="117" cm="1">
        <f t="array" ref="AI293">_xlfn.XLOOKUP(1,('FA Write off'!A:A='FA Addition'!$A293)*('FA Write off'!D:D=AA293),'FA Write off'!H:H,0,0)</f>
        <v>0</v>
      </c>
      <c r="AJ293" s="117">
        <f>IF(AC293&gt;0,MAX(IF('FA Addition'!$N293="SLM",($AC293-'FA Addition'!$M293)*'FA Addition'!$P293*AI293/365,(AC293-'FA Addition'!$M293)*(1-(1-'FA Addition'!$P293)^(AI293/365))),0),0)</f>
        <v>0</v>
      </c>
      <c r="AL293" s="117">
        <f>MAX(IF(AG293&gt;0,IF('FA Addition'!$N293="SLM",($AE293-'FA Addition'!$M293)*'FA Addition'!$P293*AG293/365,IFERROR(VDB(AE293,AE293*0.05,'FA Addition'!$O293,0,YEARFRAC('FA Addition'!$C293,$P$1-1,3),'FA Addition'!$Q293),FAAddition[[#This Row],[Original Cost (Rs)]]-FAAddition[[#This Row],[Salvage Value]])),0),0)</f>
        <v>6640</v>
      </c>
      <c r="AM293" s="119"/>
      <c r="AN293" s="117">
        <f>MAX(IF(AH293&gt;0,IF('FA Addition'!$N293="SLM",($AF293-'FA Addition'!$M293)*'FA Addition'!$P293*AH293/365,IFERROR(VDB(AF293,AF293*0.05,'FA Addition'!$O293,0,YEARFRAC('FA Addition'!$C293,$L$1,3),'FA Addition'!$Q293),FAAddition[[#This Row],[Original Cost (Rs)]]-FAAddition[[#This Row],[Salvage Value]])),0),0)</f>
        <v>6640</v>
      </c>
      <c r="AO293" s="117">
        <f t="shared" si="23"/>
        <v>0</v>
      </c>
      <c r="AQ293" s="117">
        <f t="shared" si="21"/>
        <v>350</v>
      </c>
      <c r="AR293" s="120">
        <f t="shared" si="22"/>
        <v>350</v>
      </c>
      <c r="AS293" s="121"/>
    </row>
    <row r="294" spans="1:45" ht="13.5" x14ac:dyDescent="0.4">
      <c r="A294" s="12">
        <f t="shared" si="24"/>
        <v>291</v>
      </c>
      <c r="B294" s="44" t="s">
        <v>731</v>
      </c>
      <c r="C294" s="45">
        <v>43008</v>
      </c>
      <c r="D294" s="45">
        <v>43008</v>
      </c>
      <c r="E294" s="46" t="s">
        <v>749</v>
      </c>
      <c r="F294" s="51" t="s">
        <v>750</v>
      </c>
      <c r="G294" s="44"/>
      <c r="H294" s="60"/>
      <c r="I294" s="44"/>
      <c r="J294" s="56">
        <v>1</v>
      </c>
      <c r="K294" s="44" t="s">
        <v>824</v>
      </c>
      <c r="L294" s="52">
        <v>22782</v>
      </c>
      <c r="M294" s="50">
        <f>ROUND('FA Addition'!$L294*5%,0.1)</f>
        <v>1139</v>
      </c>
      <c r="N294" s="113" t="str">
        <f>_xlfn.XLOOKUP(_xlfn.CONCAT(E294,B294),'Year Wise Master Dep Approach'!F:F,'Year Wise Master Dep Approach'!D:D)</f>
        <v>WDV</v>
      </c>
      <c r="O294" s="113">
        <f>_xlfn.XLOOKUP(_xlfn.CONCAT(E294,B294),'Year Wise Master Dep Approach'!F:F,'Year Wise Master Dep Approach'!E:E)</f>
        <v>5</v>
      </c>
      <c r="P294" s="114">
        <f>IFERROR(IF('FA Addition'!$N294="WDV",1-('FA Addition'!$M294/'FA Addition'!$L294)^(1/'FA Addition'!$O294),1/'FA Addition'!$O294),0)</f>
        <v>0.45072937279538094</v>
      </c>
      <c r="Q294" s="122">
        <f>'FA Addition'!$P294*'FA Addition'!$O294</f>
        <v>2.2536468639769049</v>
      </c>
      <c r="R294" s="122"/>
      <c r="S294" s="116">
        <f>IF(AND(DATE(20&amp;LEFT(FAAddition[[#This Row],[FY]],2),4,1)&lt;$L$1+1,DATE(20&amp;LEFT(FAAddition[[#This Row],[FY]],2),4,1)&gt;$P$1-1),'FA Addition'!$J294,0)</f>
        <v>0</v>
      </c>
      <c r="U294" s="117">
        <f>S294*'FA Addition'!$L294/'FA Addition'!$J294</f>
        <v>0</v>
      </c>
      <c r="W294" s="116">
        <f>SUMIFS('FA Write off'!D:D,'FA Write off'!A:A,'FA Addition'!$A294,'FA Write off'!C:C,"&lt;"&amp;'FA Addition'!$P$1)</f>
        <v>0</v>
      </c>
      <c r="Y294" s="191">
        <f>IFERROR(W294/'FA Addition'!$J294*'FA Addition'!$L294,0)</f>
        <v>0</v>
      </c>
      <c r="AA294" s="116">
        <f>SUMIFS('FA Write off'!D:D,'FA Write off'!A:A,'FA Addition'!$A294,'FA Write off'!C:C,"&lt;"&amp;'FA Addition'!$L$1+1,'FA Write off'!C:C,"&gt;"&amp;'FA Addition'!$L$1-365)</f>
        <v>0</v>
      </c>
      <c r="AC294" s="118">
        <f>IFERROR(AA294/'FA Addition'!$J294*'FA Addition'!$L294,0)</f>
        <v>0</v>
      </c>
      <c r="AE294" s="117">
        <f>IF(AND('FA Addition'!$D294&lt;$P$1+1,U294=0),'FA Addition'!$L294,0)-Y294</f>
        <v>22782</v>
      </c>
      <c r="AF294" s="117">
        <f t="shared" si="20"/>
        <v>22782</v>
      </c>
      <c r="AG294" s="117">
        <f>MIN(MAX(+$P$1-'FA Addition'!$D294,0),365*'FA Addition'!$O294)</f>
        <v>1825</v>
      </c>
      <c r="AH294" s="117">
        <f>MIN(MAX($L$1-'FA Addition'!$D294+1,0),365*'FA Addition'!$O294)</f>
        <v>1825</v>
      </c>
      <c r="AI294" s="117" cm="1">
        <f t="array" ref="AI294">_xlfn.XLOOKUP(1,('FA Write off'!A:A='FA Addition'!$A294)*('FA Write off'!D:D=AA294),'FA Write off'!H:H,0,0)</f>
        <v>0</v>
      </c>
      <c r="AJ294" s="117">
        <f>IF(AC294&gt;0,MAX(IF('FA Addition'!$N294="SLM",($AC294-'FA Addition'!$M294)*'FA Addition'!$P294*AI294/365,(AC294-'FA Addition'!$M294)*(1-(1-'FA Addition'!$P294)^(AI294/365))),0),0)</f>
        <v>0</v>
      </c>
      <c r="AL294" s="117">
        <f>MAX(IF(AG294&gt;0,IF('FA Addition'!$N294="SLM",($AE294-'FA Addition'!$M294)*'FA Addition'!$P294*AG294/365,IFERROR(VDB(AE294,AE294*0.05,'FA Addition'!$O294,0,YEARFRAC('FA Addition'!$C294,$P$1-1,3),'FA Addition'!$Q294),FAAddition[[#This Row],[Original Cost (Rs)]]-FAAddition[[#This Row],[Salvage Value]])),0),0)</f>
        <v>21643</v>
      </c>
      <c r="AM294" s="119"/>
      <c r="AN294" s="117">
        <f>MAX(IF(AH294&gt;0,IF('FA Addition'!$N294="SLM",($AF294-'FA Addition'!$M294)*'FA Addition'!$P294*AH294/365,IFERROR(VDB(AF294,AF294*0.05,'FA Addition'!$O294,0,YEARFRAC('FA Addition'!$C294,$L$1,3),'FA Addition'!$Q294),FAAddition[[#This Row],[Original Cost (Rs)]]-FAAddition[[#This Row],[Salvage Value]])),0),0)</f>
        <v>21643</v>
      </c>
      <c r="AO294" s="117">
        <f t="shared" si="23"/>
        <v>0</v>
      </c>
      <c r="AQ294" s="117">
        <f t="shared" si="21"/>
        <v>1139</v>
      </c>
      <c r="AR294" s="120">
        <f t="shared" si="22"/>
        <v>1139</v>
      </c>
      <c r="AS294" s="121"/>
    </row>
    <row r="295" spans="1:45" ht="13.5" x14ac:dyDescent="0.4">
      <c r="A295" s="12">
        <f t="shared" si="24"/>
        <v>292</v>
      </c>
      <c r="B295" s="44" t="s">
        <v>731</v>
      </c>
      <c r="C295" s="45">
        <v>43011</v>
      </c>
      <c r="D295" s="45">
        <v>43011</v>
      </c>
      <c r="E295" s="46" t="s">
        <v>749</v>
      </c>
      <c r="F295" s="51" t="s">
        <v>750</v>
      </c>
      <c r="G295" s="44"/>
      <c r="H295" s="60"/>
      <c r="I295" s="44"/>
      <c r="J295" s="56">
        <v>1</v>
      </c>
      <c r="K295" s="44" t="s">
        <v>825</v>
      </c>
      <c r="L295" s="52">
        <v>2800</v>
      </c>
      <c r="M295" s="50">
        <f>ROUND('FA Addition'!$L295*5%,0.1)</f>
        <v>140</v>
      </c>
      <c r="N295" s="113" t="str">
        <f>_xlfn.XLOOKUP(_xlfn.CONCAT(E295,B295),'Year Wise Master Dep Approach'!F:F,'Year Wise Master Dep Approach'!D:D)</f>
        <v>WDV</v>
      </c>
      <c r="O295" s="113">
        <f>_xlfn.XLOOKUP(_xlfn.CONCAT(E295,B295),'Year Wise Master Dep Approach'!F:F,'Year Wise Master Dep Approach'!E:E)</f>
        <v>5</v>
      </c>
      <c r="P295" s="114">
        <f>IFERROR(IF('FA Addition'!$N295="WDV",1-('FA Addition'!$M295/'FA Addition'!$L295)^(1/'FA Addition'!$O295),1/'FA Addition'!$O295),0)</f>
        <v>0.45071972834694107</v>
      </c>
      <c r="Q295" s="122">
        <f>'FA Addition'!$P295*'FA Addition'!$O295</f>
        <v>2.2535986417347056</v>
      </c>
      <c r="R295" s="122"/>
      <c r="S295" s="116">
        <f>IF(AND(DATE(20&amp;LEFT(FAAddition[[#This Row],[FY]],2),4,1)&lt;$L$1+1,DATE(20&amp;LEFT(FAAddition[[#This Row],[FY]],2),4,1)&gt;$P$1-1),'FA Addition'!$J295,0)</f>
        <v>0</v>
      </c>
      <c r="U295" s="117">
        <f>S295*'FA Addition'!$L295/'FA Addition'!$J295</f>
        <v>0</v>
      </c>
      <c r="W295" s="116">
        <f>SUMIFS('FA Write off'!D:D,'FA Write off'!A:A,'FA Addition'!$A295,'FA Write off'!C:C,"&lt;"&amp;'FA Addition'!$P$1)</f>
        <v>0</v>
      </c>
      <c r="Y295" s="191">
        <f>IFERROR(W295/'FA Addition'!$J295*'FA Addition'!$L295,0)</f>
        <v>0</v>
      </c>
      <c r="AA295" s="116">
        <f>SUMIFS('FA Write off'!D:D,'FA Write off'!A:A,'FA Addition'!$A295,'FA Write off'!C:C,"&lt;"&amp;'FA Addition'!$L$1+1,'FA Write off'!C:C,"&gt;"&amp;'FA Addition'!$L$1-365)</f>
        <v>0</v>
      </c>
      <c r="AC295" s="118">
        <f>IFERROR(AA295/'FA Addition'!$J295*'FA Addition'!$L295,0)</f>
        <v>0</v>
      </c>
      <c r="AE295" s="117">
        <f>IF(AND('FA Addition'!$D295&lt;$P$1+1,U295=0),'FA Addition'!$L295,0)-Y295</f>
        <v>2800</v>
      </c>
      <c r="AF295" s="117">
        <f t="shared" si="20"/>
        <v>2800</v>
      </c>
      <c r="AG295" s="117">
        <f>MIN(MAX(+$P$1-'FA Addition'!$D295,0),365*'FA Addition'!$O295)</f>
        <v>1825</v>
      </c>
      <c r="AH295" s="117">
        <f>MIN(MAX($L$1-'FA Addition'!$D295+1,0),365*'FA Addition'!$O295)</f>
        <v>1825</v>
      </c>
      <c r="AI295" s="117" cm="1">
        <f t="array" ref="AI295">_xlfn.XLOOKUP(1,('FA Write off'!A:A='FA Addition'!$A295)*('FA Write off'!D:D=AA295),'FA Write off'!H:H,0,0)</f>
        <v>0</v>
      </c>
      <c r="AJ295" s="117">
        <f>IF(AC295&gt;0,MAX(IF('FA Addition'!$N295="SLM",($AC295-'FA Addition'!$M295)*'FA Addition'!$P295*AI295/365,(AC295-'FA Addition'!$M295)*(1-(1-'FA Addition'!$P295)^(AI295/365))),0),0)</f>
        <v>0</v>
      </c>
      <c r="AL295" s="117">
        <f>MAX(IF(AG295&gt;0,IF('FA Addition'!$N295="SLM",($AE295-'FA Addition'!$M295)*'FA Addition'!$P295*AG295/365,IFERROR(VDB(AE295,AE295*0.05,'FA Addition'!$O295,0,YEARFRAC('FA Addition'!$C295,$P$1-1,3),'FA Addition'!$Q295),FAAddition[[#This Row],[Original Cost (Rs)]]-FAAddition[[#This Row],[Salvage Value]])),0),0)</f>
        <v>2660</v>
      </c>
      <c r="AM295" s="119"/>
      <c r="AN295" s="117">
        <f>MAX(IF(AH295&gt;0,IF('FA Addition'!$N295="SLM",($AF295-'FA Addition'!$M295)*'FA Addition'!$P295*AH295/365,IFERROR(VDB(AF295,AF295*0.05,'FA Addition'!$O295,0,YEARFRAC('FA Addition'!$C295,$L$1,3),'FA Addition'!$Q295),FAAddition[[#This Row],[Original Cost (Rs)]]-FAAddition[[#This Row],[Salvage Value]])),0),0)</f>
        <v>2660</v>
      </c>
      <c r="AO295" s="117">
        <f t="shared" si="23"/>
        <v>0</v>
      </c>
      <c r="AQ295" s="117">
        <f t="shared" si="21"/>
        <v>140</v>
      </c>
      <c r="AR295" s="120">
        <f t="shared" si="22"/>
        <v>140</v>
      </c>
      <c r="AS295" s="121"/>
    </row>
    <row r="296" spans="1:45" ht="13.5" x14ac:dyDescent="0.4">
      <c r="A296" s="12">
        <f t="shared" si="24"/>
        <v>293</v>
      </c>
      <c r="B296" s="44" t="s">
        <v>731</v>
      </c>
      <c r="C296" s="45">
        <v>43014</v>
      </c>
      <c r="D296" s="45">
        <v>43014</v>
      </c>
      <c r="E296" s="46" t="s">
        <v>32</v>
      </c>
      <c r="F296" s="51" t="s">
        <v>32</v>
      </c>
      <c r="G296" s="44" t="s">
        <v>433</v>
      </c>
      <c r="H296" s="60" t="s">
        <v>32</v>
      </c>
      <c r="I296" s="44" t="s">
        <v>826</v>
      </c>
      <c r="J296" s="48">
        <v>3</v>
      </c>
      <c r="K296" s="44" t="s">
        <v>827</v>
      </c>
      <c r="L296" s="52">
        <v>20700</v>
      </c>
      <c r="M296" s="50">
        <f>ROUND('FA Addition'!$L296*5%,0.1)</f>
        <v>1035</v>
      </c>
      <c r="N296" s="113" t="str">
        <f>_xlfn.XLOOKUP(_xlfn.CONCAT(E296,B296),'Year Wise Master Dep Approach'!F:F,'Year Wise Master Dep Approach'!D:D)</f>
        <v>WDV</v>
      </c>
      <c r="O296" s="113">
        <f>_xlfn.XLOOKUP(_xlfn.CONCAT(E296,B296),'Year Wise Master Dep Approach'!F:F,'Year Wise Master Dep Approach'!E:E)</f>
        <v>3</v>
      </c>
      <c r="P296" s="114">
        <f>IFERROR(IF('FA Addition'!$N296="WDV",1-('FA Addition'!$M296/'FA Addition'!$L296)^(1/'FA Addition'!$O296),1/'FA Addition'!$O296),0)</f>
        <v>0.63159685013596123</v>
      </c>
      <c r="Q296" s="122">
        <f>'FA Addition'!$P296*'FA Addition'!$O296</f>
        <v>1.8947905504078837</v>
      </c>
      <c r="R296" s="122"/>
      <c r="S296" s="116">
        <f>IF(AND(DATE(20&amp;LEFT(FAAddition[[#This Row],[FY]],2),4,1)&lt;$L$1+1,DATE(20&amp;LEFT(FAAddition[[#This Row],[FY]],2),4,1)&gt;$P$1-1),'FA Addition'!$J296,0)</f>
        <v>0</v>
      </c>
      <c r="U296" s="117">
        <f>S296*'FA Addition'!$L296/'FA Addition'!$J296</f>
        <v>0</v>
      </c>
      <c r="W296" s="116">
        <f>SUMIFS('FA Write off'!D:D,'FA Write off'!A:A,'FA Addition'!$A296,'FA Write off'!C:C,"&lt;"&amp;'FA Addition'!$P$1)</f>
        <v>1</v>
      </c>
      <c r="Y296" s="191">
        <f>IFERROR(W296/'FA Addition'!$J296*'FA Addition'!$L296,0)</f>
        <v>6900</v>
      </c>
      <c r="AA296" s="116">
        <f>SUMIFS('FA Write off'!D:D,'FA Write off'!A:A,'FA Addition'!$A296,'FA Write off'!C:C,"&lt;"&amp;'FA Addition'!$L$1+1,'FA Write off'!C:C,"&gt;"&amp;'FA Addition'!$L$1-365)</f>
        <v>0</v>
      </c>
      <c r="AC296" s="191">
        <f>IFERROR(AA296/'FA Addition'!$J296*'FA Addition'!$L296,0)</f>
        <v>0</v>
      </c>
      <c r="AE296" s="117">
        <f>IF(AND('FA Addition'!$D296&lt;$P$1+1,U296=0),'FA Addition'!$L296,0)-Y296</f>
        <v>13800</v>
      </c>
      <c r="AF296" s="117">
        <f t="shared" si="20"/>
        <v>13800</v>
      </c>
      <c r="AG296" s="117">
        <f>MIN(MAX(+$P$1-'FA Addition'!$D296,0),365*'FA Addition'!$O296)</f>
        <v>1095</v>
      </c>
      <c r="AH296" s="117">
        <f>MIN(MAX($L$1-'FA Addition'!$D296+1,0),365*'FA Addition'!$O296)</f>
        <v>1095</v>
      </c>
      <c r="AI296" s="117" cm="1">
        <f t="array" ref="AI296">_xlfn.XLOOKUP(1,('FA Write off'!A:A='FA Addition'!$A296)*('FA Write off'!D:D=AA296),'FA Write off'!H:H,0,0)</f>
        <v>0</v>
      </c>
      <c r="AJ296" s="117">
        <f>IF(AC296&gt;0,MAX(IF('FA Addition'!$N296="SLM",($AC296-'FA Addition'!$M296)*'FA Addition'!$P296*AI296/365,(AC296-'FA Addition'!$M296)*(1-(1-'FA Addition'!$P296)^(AI296/365))),0),0)</f>
        <v>0</v>
      </c>
      <c r="AL296" s="117">
        <f>MAX(IF(AG296&gt;0,IF('FA Addition'!$N296="SLM",($AE296-'FA Addition'!$M296)*'FA Addition'!$P296*AG296/365,IFERROR(VDB(AE296,AE296*0.05,'FA Addition'!$O296,0,YEARFRAC('FA Addition'!$C296,$P$1-1,3),'FA Addition'!$Q296),FAAddition[[#This Row],[Original Cost (Rs)]]-FAAddition[[#This Row],[Salvage Value]])),0),0)</f>
        <v>19665</v>
      </c>
      <c r="AM296" s="119"/>
      <c r="AN296" s="117">
        <f>MAX(IF(AH296&gt;0,IF('FA Addition'!$N296="SLM",($AF296-'FA Addition'!$M296)*'FA Addition'!$P296*AH296/365,IFERROR(VDB(AF296,AF296*0.05,'FA Addition'!$O296,0,YEARFRAC('FA Addition'!$C296,$L$1,3),'FA Addition'!$Q296),FAAddition[[#This Row],[Original Cost (Rs)]]-FAAddition[[#This Row],[Salvage Value]])),0),0)</f>
        <v>19665</v>
      </c>
      <c r="AO296" s="117">
        <f t="shared" si="23"/>
        <v>0</v>
      </c>
      <c r="AQ296" s="117">
        <f t="shared" si="21"/>
        <v>-5865</v>
      </c>
      <c r="AR296" s="120">
        <f t="shared" si="22"/>
        <v>-5865</v>
      </c>
      <c r="AS296" s="121"/>
    </row>
    <row r="297" spans="1:45" ht="13.5" x14ac:dyDescent="0.4">
      <c r="A297" s="12">
        <f t="shared" si="24"/>
        <v>294</v>
      </c>
      <c r="B297" s="44" t="s">
        <v>731</v>
      </c>
      <c r="C297" s="45">
        <v>43020</v>
      </c>
      <c r="D297" s="45">
        <v>43020</v>
      </c>
      <c r="E297" s="46" t="s">
        <v>32</v>
      </c>
      <c r="F297" s="51" t="s">
        <v>32</v>
      </c>
      <c r="G297" s="44" t="s">
        <v>597</v>
      </c>
      <c r="H297" s="60" t="s">
        <v>32</v>
      </c>
      <c r="I297" s="44" t="s">
        <v>828</v>
      </c>
      <c r="J297" s="56">
        <v>1</v>
      </c>
      <c r="K297" s="44" t="s">
        <v>829</v>
      </c>
      <c r="L297" s="52">
        <v>11974</v>
      </c>
      <c r="M297" s="50">
        <f>ROUND('FA Addition'!$L297*5%,0.1)</f>
        <v>599</v>
      </c>
      <c r="N297" s="113" t="str">
        <f>_xlfn.XLOOKUP(_xlfn.CONCAT(E297,B297),'Year Wise Master Dep Approach'!F:F,'Year Wise Master Dep Approach'!D:D)</f>
        <v>WDV</v>
      </c>
      <c r="O297" s="113">
        <f>_xlfn.XLOOKUP(_xlfn.CONCAT(E297,B297),'Year Wise Master Dep Approach'!F:F,'Year Wise Master Dep Approach'!E:E)</f>
        <v>3</v>
      </c>
      <c r="P297" s="114">
        <f>IFERROR(IF('FA Addition'!$N297="WDV",1-('FA Addition'!$M297/'FA Addition'!$L297)^(1/'FA Addition'!$O297),1/'FA Addition'!$O297),0)</f>
        <v>0.63153532656269595</v>
      </c>
      <c r="Q297" s="122">
        <f>'FA Addition'!$P297*'FA Addition'!$O297</f>
        <v>1.8946059796880879</v>
      </c>
      <c r="R297" s="122"/>
      <c r="S297" s="116">
        <f>IF(AND(DATE(20&amp;LEFT(FAAddition[[#This Row],[FY]],2),4,1)&lt;$L$1+1,DATE(20&amp;LEFT(FAAddition[[#This Row],[FY]],2),4,1)&gt;$P$1-1),'FA Addition'!$J297,0)</f>
        <v>0</v>
      </c>
      <c r="U297" s="117">
        <f>S297*'FA Addition'!$L297/'FA Addition'!$J297</f>
        <v>0</v>
      </c>
      <c r="W297" s="116">
        <f>SUMIFS('FA Write off'!D:D,'FA Write off'!A:A,'FA Addition'!$A297,'FA Write off'!C:C,"&lt;"&amp;'FA Addition'!$P$1)</f>
        <v>0</v>
      </c>
      <c r="Y297" s="191">
        <f>IFERROR(W297/'FA Addition'!$J297*'FA Addition'!$L297,0)</f>
        <v>0</v>
      </c>
      <c r="AA297" s="116">
        <f>SUMIFS('FA Write off'!D:D,'FA Write off'!A:A,'FA Addition'!$A297,'FA Write off'!C:C,"&lt;"&amp;'FA Addition'!$L$1+1,'FA Write off'!C:C,"&gt;"&amp;'FA Addition'!$L$1-365)</f>
        <v>0</v>
      </c>
      <c r="AC297" s="118">
        <f>IFERROR(AA297/'FA Addition'!$J297*'FA Addition'!$L297,0)</f>
        <v>0</v>
      </c>
      <c r="AE297" s="117">
        <f>IF(AND('FA Addition'!$D297&lt;$P$1+1,U297=0),'FA Addition'!$L297,0)-Y297</f>
        <v>11974</v>
      </c>
      <c r="AF297" s="117">
        <f t="shared" si="20"/>
        <v>11974</v>
      </c>
      <c r="AG297" s="117">
        <f>MIN(MAX(+$P$1-'FA Addition'!$D297,0),365*'FA Addition'!$O297)</f>
        <v>1095</v>
      </c>
      <c r="AH297" s="117">
        <f>MIN(MAX($L$1-'FA Addition'!$D297+1,0),365*'FA Addition'!$O297)</f>
        <v>1095</v>
      </c>
      <c r="AI297" s="117" cm="1">
        <f t="array" ref="AI297">_xlfn.XLOOKUP(1,('FA Write off'!A:A='FA Addition'!$A297)*('FA Write off'!D:D=AA297),'FA Write off'!H:H,0,0)</f>
        <v>0</v>
      </c>
      <c r="AJ297" s="117">
        <f>IF(AC297&gt;0,MAX(IF('FA Addition'!$N297="SLM",($AC297-'FA Addition'!$M297)*'FA Addition'!$P297*AI297/365,(AC297-'FA Addition'!$M297)*(1-(1-'FA Addition'!$P297)^(AI297/365))),0),0)</f>
        <v>0</v>
      </c>
      <c r="AL297" s="117">
        <f>MAX(IF(AG297&gt;0,IF('FA Addition'!$N297="SLM",($AE297-'FA Addition'!$M297)*'FA Addition'!$P297*AG297/365,IFERROR(VDB(AE297,AE297*0.05,'FA Addition'!$O297,0,YEARFRAC('FA Addition'!$C297,$P$1-1,3),'FA Addition'!$Q297),FAAddition[[#This Row],[Original Cost (Rs)]]-FAAddition[[#This Row],[Salvage Value]])),0),0)</f>
        <v>11375</v>
      </c>
      <c r="AM297" s="119"/>
      <c r="AN297" s="117">
        <f>MAX(IF(AH297&gt;0,IF('FA Addition'!$N297="SLM",($AF297-'FA Addition'!$M297)*'FA Addition'!$P297*AH297/365,IFERROR(VDB(AF297,AF297*0.05,'FA Addition'!$O297,0,YEARFRAC('FA Addition'!$C297,$L$1,3),'FA Addition'!$Q297),FAAddition[[#This Row],[Original Cost (Rs)]]-FAAddition[[#This Row],[Salvage Value]])),0),0)</f>
        <v>11375</v>
      </c>
      <c r="AO297" s="117">
        <f t="shared" si="23"/>
        <v>0</v>
      </c>
      <c r="AQ297" s="117">
        <f t="shared" si="21"/>
        <v>599</v>
      </c>
      <c r="AR297" s="120">
        <f t="shared" si="22"/>
        <v>599</v>
      </c>
      <c r="AS297" s="121"/>
    </row>
    <row r="298" spans="1:45" ht="13.5" x14ac:dyDescent="0.4">
      <c r="A298" s="12">
        <f t="shared" si="24"/>
        <v>295</v>
      </c>
      <c r="B298" s="44" t="s">
        <v>731</v>
      </c>
      <c r="C298" s="45">
        <v>43023</v>
      </c>
      <c r="D298" s="45">
        <v>43023</v>
      </c>
      <c r="E298" s="46" t="s">
        <v>749</v>
      </c>
      <c r="F298" s="51" t="s">
        <v>750</v>
      </c>
      <c r="G298" s="44" t="s">
        <v>597</v>
      </c>
      <c r="H298" s="60"/>
      <c r="I298" s="44"/>
      <c r="J298" s="56">
        <v>1</v>
      </c>
      <c r="K298" s="44" t="s">
        <v>830</v>
      </c>
      <c r="L298" s="52">
        <v>18629</v>
      </c>
      <c r="M298" s="50">
        <f>ROUND('FA Addition'!$L298*5%,0.1)</f>
        <v>931</v>
      </c>
      <c r="N298" s="113" t="str">
        <f>_xlfn.XLOOKUP(_xlfn.CONCAT(E298,B298),'Year Wise Master Dep Approach'!F:F,'Year Wise Master Dep Approach'!D:D)</f>
        <v>WDV</v>
      </c>
      <c r="O298" s="113">
        <f>_xlfn.XLOOKUP(_xlfn.CONCAT(E298,B298),'Year Wise Master Dep Approach'!F:F,'Year Wise Master Dep Approach'!E:E)</f>
        <v>5</v>
      </c>
      <c r="P298" s="114">
        <f>IFERROR(IF('FA Addition'!$N298="WDV",1-('FA Addition'!$M298/'FA Addition'!$L298)^(1/'FA Addition'!$O298),1/'FA Addition'!$O298),0)</f>
        <v>0.45077281201265818</v>
      </c>
      <c r="Q298" s="122">
        <f>'FA Addition'!$P298*'FA Addition'!$O298</f>
        <v>2.2538640600632909</v>
      </c>
      <c r="R298" s="122"/>
      <c r="S298" s="116">
        <f>IF(AND(DATE(20&amp;LEFT(FAAddition[[#This Row],[FY]],2),4,1)&lt;$L$1+1,DATE(20&amp;LEFT(FAAddition[[#This Row],[FY]],2),4,1)&gt;$P$1-1),'FA Addition'!$J298,0)</f>
        <v>0</v>
      </c>
      <c r="U298" s="117">
        <f>S298*'FA Addition'!$L298/'FA Addition'!$J298</f>
        <v>0</v>
      </c>
      <c r="W298" s="116">
        <f>SUMIFS('FA Write off'!D:D,'FA Write off'!A:A,'FA Addition'!$A298,'FA Write off'!C:C,"&lt;"&amp;'FA Addition'!$P$1)</f>
        <v>0</v>
      </c>
      <c r="Y298" s="191">
        <f>IFERROR(W298/'FA Addition'!$J298*'FA Addition'!$L298,0)</f>
        <v>0</v>
      </c>
      <c r="AA298" s="116">
        <f>SUMIFS('FA Write off'!D:D,'FA Write off'!A:A,'FA Addition'!$A298,'FA Write off'!C:C,"&lt;"&amp;'FA Addition'!$L$1+1,'FA Write off'!C:C,"&gt;"&amp;'FA Addition'!$L$1-365)</f>
        <v>0</v>
      </c>
      <c r="AC298" s="118">
        <f>IFERROR(AA298/'FA Addition'!$J298*'FA Addition'!$L298,0)</f>
        <v>0</v>
      </c>
      <c r="AE298" s="117">
        <f>IF(AND('FA Addition'!$D298&lt;$P$1+1,U298=0),'FA Addition'!$L298,0)-Y298</f>
        <v>18629</v>
      </c>
      <c r="AF298" s="117">
        <f t="shared" si="20"/>
        <v>18629</v>
      </c>
      <c r="AG298" s="117">
        <f>MIN(MAX(+$P$1-'FA Addition'!$D298,0),365*'FA Addition'!$O298)</f>
        <v>1825</v>
      </c>
      <c r="AH298" s="117">
        <f>MIN(MAX($L$1-'FA Addition'!$D298+1,0),365*'FA Addition'!$O298)</f>
        <v>1825</v>
      </c>
      <c r="AI298" s="117" cm="1">
        <f t="array" ref="AI298">_xlfn.XLOOKUP(1,('FA Write off'!A:A='FA Addition'!$A298)*('FA Write off'!D:D=AA298),'FA Write off'!H:H,0,0)</f>
        <v>0</v>
      </c>
      <c r="AJ298" s="117">
        <f>IF(AC298&gt;0,MAX(IF('FA Addition'!$N298="SLM",($AC298-'FA Addition'!$M298)*'FA Addition'!$P298*AI298/365,(AC298-'FA Addition'!$M298)*(1-(1-'FA Addition'!$P298)^(AI298/365))),0),0)</f>
        <v>0</v>
      </c>
      <c r="AL298" s="117">
        <f>MAX(IF(AG298&gt;0,IF('FA Addition'!$N298="SLM",($AE298-'FA Addition'!$M298)*'FA Addition'!$P298*AG298/365,IFERROR(VDB(AE298,AE298*0.05,'FA Addition'!$O298,0,YEARFRAC('FA Addition'!$C298,$P$1-1,3),'FA Addition'!$Q298),FAAddition[[#This Row],[Original Cost (Rs)]]-FAAddition[[#This Row],[Salvage Value]])),0),0)</f>
        <v>17698</v>
      </c>
      <c r="AM298" s="119"/>
      <c r="AN298" s="117">
        <f>MAX(IF(AH298&gt;0,IF('FA Addition'!$N298="SLM",($AF298-'FA Addition'!$M298)*'FA Addition'!$P298*AH298/365,IFERROR(VDB(AF298,AF298*0.05,'FA Addition'!$O298,0,YEARFRAC('FA Addition'!$C298,$L$1,3),'FA Addition'!$Q298),FAAddition[[#This Row],[Original Cost (Rs)]]-FAAddition[[#This Row],[Salvage Value]])),0),0)</f>
        <v>17698</v>
      </c>
      <c r="AO298" s="117">
        <f t="shared" si="23"/>
        <v>0</v>
      </c>
      <c r="AQ298" s="117">
        <f t="shared" si="21"/>
        <v>931</v>
      </c>
      <c r="AR298" s="120">
        <f t="shared" si="22"/>
        <v>931</v>
      </c>
      <c r="AS298" s="121"/>
    </row>
    <row r="299" spans="1:45" ht="13.5" x14ac:dyDescent="0.4">
      <c r="A299" s="12">
        <f t="shared" si="24"/>
        <v>296</v>
      </c>
      <c r="B299" s="44" t="s">
        <v>731</v>
      </c>
      <c r="C299" s="45">
        <v>43028</v>
      </c>
      <c r="D299" s="45">
        <v>43028</v>
      </c>
      <c r="E299" s="46" t="s">
        <v>749</v>
      </c>
      <c r="F299" s="51" t="s">
        <v>750</v>
      </c>
      <c r="G299" s="44"/>
      <c r="H299" s="44"/>
      <c r="I299" s="44"/>
      <c r="J299" s="56">
        <v>1</v>
      </c>
      <c r="K299" s="44" t="s">
        <v>831</v>
      </c>
      <c r="L299" s="52">
        <v>47396</v>
      </c>
      <c r="M299" s="50">
        <f>ROUND('FA Addition'!$L299*5%,0.1)</f>
        <v>2370</v>
      </c>
      <c r="N299" s="113" t="str">
        <f>_xlfn.XLOOKUP(_xlfn.CONCAT(E299,B299),'Year Wise Master Dep Approach'!F:F,'Year Wise Master Dep Approach'!D:D)</f>
        <v>WDV</v>
      </c>
      <c r="O299" s="113">
        <f>_xlfn.XLOOKUP(_xlfn.CONCAT(E299,B299),'Year Wise Master Dep Approach'!F:F,'Year Wise Master Dep Approach'!E:E)</f>
        <v>5</v>
      </c>
      <c r="P299" s="114">
        <f>IFERROR(IF('FA Addition'!$N299="WDV",1-('FA Addition'!$M299/'FA Addition'!$L299)^(1/'FA Addition'!$O299),1/'FA Addition'!$O299),0)</f>
        <v>0.45071045732440895</v>
      </c>
      <c r="Q299" s="122">
        <f>'FA Addition'!$P299*'FA Addition'!$O299</f>
        <v>2.2535522866220448</v>
      </c>
      <c r="R299" s="122"/>
      <c r="S299" s="116">
        <f>IF(AND(DATE(20&amp;LEFT(FAAddition[[#This Row],[FY]],2),4,1)&lt;$L$1+1,DATE(20&amp;LEFT(FAAddition[[#This Row],[FY]],2),4,1)&gt;$P$1-1),'FA Addition'!$J299,0)</f>
        <v>0</v>
      </c>
      <c r="U299" s="117">
        <f>S299*'FA Addition'!$L299/'FA Addition'!$J299</f>
        <v>0</v>
      </c>
      <c r="W299" s="116">
        <f>SUMIFS('FA Write off'!D:D,'FA Write off'!A:A,'FA Addition'!$A299,'FA Write off'!C:C,"&lt;"&amp;'FA Addition'!$P$1)</f>
        <v>0</v>
      </c>
      <c r="Y299" s="191">
        <f>IFERROR(W299/'FA Addition'!$J299*'FA Addition'!$L299,0)</f>
        <v>0</v>
      </c>
      <c r="AA299" s="116">
        <f>SUMIFS('FA Write off'!D:D,'FA Write off'!A:A,'FA Addition'!$A299,'FA Write off'!C:C,"&lt;"&amp;'FA Addition'!$L$1+1,'FA Write off'!C:C,"&gt;"&amp;'FA Addition'!$L$1-365)</f>
        <v>0</v>
      </c>
      <c r="AC299" s="118">
        <f>IFERROR(AA299/'FA Addition'!$J299*'FA Addition'!$L299,0)</f>
        <v>0</v>
      </c>
      <c r="AE299" s="117">
        <f>IF(AND('FA Addition'!$D299&lt;$P$1+1,U299=0),'FA Addition'!$L299,0)-Y299</f>
        <v>47396</v>
      </c>
      <c r="AF299" s="117">
        <f t="shared" si="20"/>
        <v>47396</v>
      </c>
      <c r="AG299" s="117">
        <f>MIN(MAX(+$P$1-'FA Addition'!$D299,0),365*'FA Addition'!$O299)</f>
        <v>1825</v>
      </c>
      <c r="AH299" s="117">
        <f>MIN(MAX($L$1-'FA Addition'!$D299+1,0),365*'FA Addition'!$O299)</f>
        <v>1825</v>
      </c>
      <c r="AI299" s="117" cm="1">
        <f t="array" ref="AI299">_xlfn.XLOOKUP(1,('FA Write off'!A:A='FA Addition'!$A299)*('FA Write off'!D:D=AA299),'FA Write off'!H:H,0,0)</f>
        <v>0</v>
      </c>
      <c r="AJ299" s="117">
        <f>IF(AC299&gt;0,MAX(IF('FA Addition'!$N299="SLM",($AC299-'FA Addition'!$M299)*'FA Addition'!$P299*AI299/365,(AC299-'FA Addition'!$M299)*(1-(1-'FA Addition'!$P299)^(AI299/365))),0),0)</f>
        <v>0</v>
      </c>
      <c r="AL299" s="117">
        <f>MAX(IF(AG299&gt;0,IF('FA Addition'!$N299="SLM",($AE299-'FA Addition'!$M299)*'FA Addition'!$P299*AG299/365,IFERROR(VDB(AE299,AE299*0.05,'FA Addition'!$O299,0,YEARFRAC('FA Addition'!$C299,$P$1-1,3),'FA Addition'!$Q299),FAAddition[[#This Row],[Original Cost (Rs)]]-FAAddition[[#This Row],[Salvage Value]])),0),0)</f>
        <v>45026</v>
      </c>
      <c r="AM299" s="119"/>
      <c r="AN299" s="117">
        <f>MAX(IF(AH299&gt;0,IF('FA Addition'!$N299="SLM",($AF299-'FA Addition'!$M299)*'FA Addition'!$P299*AH299/365,IFERROR(VDB(AF299,AF299*0.05,'FA Addition'!$O299,0,YEARFRAC('FA Addition'!$C299,$L$1,3),'FA Addition'!$Q299),FAAddition[[#This Row],[Original Cost (Rs)]]-FAAddition[[#This Row],[Salvage Value]])),0),0)</f>
        <v>45026</v>
      </c>
      <c r="AO299" s="117">
        <f t="shared" si="23"/>
        <v>0</v>
      </c>
      <c r="AQ299" s="117">
        <f t="shared" si="21"/>
        <v>2370</v>
      </c>
      <c r="AR299" s="120">
        <f t="shared" si="22"/>
        <v>2370</v>
      </c>
      <c r="AS299" s="121"/>
    </row>
    <row r="300" spans="1:45" ht="13.5" x14ac:dyDescent="0.4">
      <c r="A300" s="12">
        <f t="shared" si="24"/>
        <v>297</v>
      </c>
      <c r="B300" s="44" t="s">
        <v>731</v>
      </c>
      <c r="C300" s="45">
        <v>43028</v>
      </c>
      <c r="D300" s="45">
        <v>43028</v>
      </c>
      <c r="E300" s="46" t="s">
        <v>749</v>
      </c>
      <c r="F300" s="51" t="s">
        <v>750</v>
      </c>
      <c r="G300" s="44" t="s">
        <v>812</v>
      </c>
      <c r="H300" s="44" t="s">
        <v>813</v>
      </c>
      <c r="I300" s="44"/>
      <c r="J300" s="56">
        <v>1</v>
      </c>
      <c r="K300" s="44" t="s">
        <v>814</v>
      </c>
      <c r="L300" s="52">
        <v>30000</v>
      </c>
      <c r="M300" s="50">
        <f>ROUND('FA Addition'!$L300*5%,0.1)</f>
        <v>1500</v>
      </c>
      <c r="N300" s="113" t="str">
        <f>_xlfn.XLOOKUP(_xlfn.CONCAT(E300,B300),'Year Wise Master Dep Approach'!F:F,'Year Wise Master Dep Approach'!D:D)</f>
        <v>WDV</v>
      </c>
      <c r="O300" s="113">
        <f>_xlfn.XLOOKUP(_xlfn.CONCAT(E300,B300),'Year Wise Master Dep Approach'!F:F,'Year Wise Master Dep Approach'!E:E)</f>
        <v>5</v>
      </c>
      <c r="P300" s="114">
        <f>IFERROR(IF('FA Addition'!$N300="WDV",1-('FA Addition'!$M300/'FA Addition'!$L300)^(1/'FA Addition'!$O300),1/'FA Addition'!$O300),0)</f>
        <v>0.45071972834694107</v>
      </c>
      <c r="Q300" s="122">
        <f>'FA Addition'!$P300*'FA Addition'!$O300</f>
        <v>2.2535986417347056</v>
      </c>
      <c r="R300" s="122"/>
      <c r="S300" s="116">
        <f>IF(AND(DATE(20&amp;LEFT(FAAddition[[#This Row],[FY]],2),4,1)&lt;$L$1+1,DATE(20&amp;LEFT(FAAddition[[#This Row],[FY]],2),4,1)&gt;$P$1-1),'FA Addition'!$J300,0)</f>
        <v>0</v>
      </c>
      <c r="U300" s="117">
        <f>S300*'FA Addition'!$L300/'FA Addition'!$J300</f>
        <v>0</v>
      </c>
      <c r="W300" s="116">
        <f>SUMIFS('FA Write off'!D:D,'FA Write off'!A:A,'FA Addition'!$A300,'FA Write off'!C:C,"&lt;"&amp;'FA Addition'!$P$1)</f>
        <v>0</v>
      </c>
      <c r="Y300" s="191">
        <f>IFERROR(W300/'FA Addition'!$J300*'FA Addition'!$L300,0)</f>
        <v>0</v>
      </c>
      <c r="AA300" s="116">
        <f>SUMIFS('FA Write off'!D:D,'FA Write off'!A:A,'FA Addition'!$A300,'FA Write off'!C:C,"&lt;"&amp;'FA Addition'!$L$1+1,'FA Write off'!C:C,"&gt;"&amp;'FA Addition'!$L$1-365)</f>
        <v>0</v>
      </c>
      <c r="AC300" s="118">
        <f>IFERROR(AA300/'FA Addition'!$J300*'FA Addition'!$L300,0)</f>
        <v>0</v>
      </c>
      <c r="AE300" s="117">
        <f>IF(AND('FA Addition'!$D300&lt;$P$1+1,U300=0),'FA Addition'!$L300,0)-Y300</f>
        <v>30000</v>
      </c>
      <c r="AF300" s="117">
        <f t="shared" si="20"/>
        <v>30000</v>
      </c>
      <c r="AG300" s="117">
        <f>MIN(MAX(+$P$1-'FA Addition'!$D300,0),365*'FA Addition'!$O300)</f>
        <v>1825</v>
      </c>
      <c r="AH300" s="117">
        <f>MIN(MAX($L$1-'FA Addition'!$D300+1,0),365*'FA Addition'!$O300)</f>
        <v>1825</v>
      </c>
      <c r="AI300" s="117" cm="1">
        <f t="array" ref="AI300">_xlfn.XLOOKUP(1,('FA Write off'!A:A='FA Addition'!$A300)*('FA Write off'!D:D=AA300),'FA Write off'!H:H,0,0)</f>
        <v>0</v>
      </c>
      <c r="AJ300" s="117">
        <f>IF(AC300&gt;0,MAX(IF('FA Addition'!$N300="SLM",($AC300-'FA Addition'!$M300)*'FA Addition'!$P300*AI300/365,(AC300-'FA Addition'!$M300)*(1-(1-'FA Addition'!$P300)^(AI300/365))),0),0)</f>
        <v>0</v>
      </c>
      <c r="AL300" s="117">
        <f>MAX(IF(AG300&gt;0,IF('FA Addition'!$N300="SLM",($AE300-'FA Addition'!$M300)*'FA Addition'!$P300*AG300/365,IFERROR(VDB(AE300,AE300*0.05,'FA Addition'!$O300,0,YEARFRAC('FA Addition'!$C300,$P$1-1,3),'FA Addition'!$Q300),FAAddition[[#This Row],[Original Cost (Rs)]]-FAAddition[[#This Row],[Salvage Value]])),0),0)</f>
        <v>28500</v>
      </c>
      <c r="AM300" s="119"/>
      <c r="AN300" s="117">
        <f>MAX(IF(AH300&gt;0,IF('FA Addition'!$N300="SLM",($AF300-'FA Addition'!$M300)*'FA Addition'!$P300*AH300/365,IFERROR(VDB(AF300,AF300*0.05,'FA Addition'!$O300,0,YEARFRAC('FA Addition'!$C300,$L$1,3),'FA Addition'!$Q300),FAAddition[[#This Row],[Original Cost (Rs)]]-FAAddition[[#This Row],[Salvage Value]])),0),0)</f>
        <v>28500</v>
      </c>
      <c r="AO300" s="117">
        <f t="shared" si="23"/>
        <v>0</v>
      </c>
      <c r="AQ300" s="117">
        <f t="shared" si="21"/>
        <v>1500</v>
      </c>
      <c r="AR300" s="120">
        <f t="shared" si="22"/>
        <v>1500</v>
      </c>
      <c r="AS300" s="121"/>
    </row>
    <row r="301" spans="1:45" ht="13.5" x14ac:dyDescent="0.4">
      <c r="A301" s="12">
        <f t="shared" si="24"/>
        <v>298</v>
      </c>
      <c r="B301" s="44" t="s">
        <v>731</v>
      </c>
      <c r="C301" s="45">
        <v>43032</v>
      </c>
      <c r="D301" s="45">
        <v>43032</v>
      </c>
      <c r="E301" s="46" t="s">
        <v>451</v>
      </c>
      <c r="F301" s="51" t="s">
        <v>21</v>
      </c>
      <c r="G301" s="44" t="s">
        <v>620</v>
      </c>
      <c r="H301" s="51" t="s">
        <v>21</v>
      </c>
      <c r="I301" s="44">
        <v>5907</v>
      </c>
      <c r="J301" s="56">
        <v>1</v>
      </c>
      <c r="K301" s="44" t="s">
        <v>21</v>
      </c>
      <c r="L301" s="62">
        <v>16949</v>
      </c>
      <c r="M301" s="50">
        <f>ROUND('FA Addition'!$L301*5%,0.1)</f>
        <v>847</v>
      </c>
      <c r="N301" s="113" t="str">
        <f>_xlfn.XLOOKUP(_xlfn.CONCAT(E301,B301),'Year Wise Master Dep Approach'!F:F,'Year Wise Master Dep Approach'!D:D)</f>
        <v>WDV</v>
      </c>
      <c r="O301" s="113">
        <f>_xlfn.XLOOKUP(_xlfn.CONCAT(E301,B301),'Year Wise Master Dep Approach'!F:F,'Year Wise Master Dep Approach'!E:E)</f>
        <v>3</v>
      </c>
      <c r="P301" s="114">
        <f>IFERROR(IF('FA Addition'!$N301="WDV",1-('FA Addition'!$M301/'FA Addition'!$L301)^(1/'FA Addition'!$O301),1/'FA Addition'!$O301),0)</f>
        <v>0.63166206962567495</v>
      </c>
      <c r="Q301" s="122">
        <f>'FA Addition'!$P301*'FA Addition'!$O301</f>
        <v>1.8949862088770248</v>
      </c>
      <c r="R301" s="122"/>
      <c r="S301" s="116">
        <f>IF(AND(DATE(20&amp;LEFT(FAAddition[[#This Row],[FY]],2),4,1)&lt;$L$1+1,DATE(20&amp;LEFT(FAAddition[[#This Row],[FY]],2),4,1)&gt;$P$1-1),'FA Addition'!$J301,0)</f>
        <v>0</v>
      </c>
      <c r="U301" s="117">
        <f>S301*'FA Addition'!$L301/'FA Addition'!$J301</f>
        <v>0</v>
      </c>
      <c r="W301" s="116">
        <f>SUMIFS('FA Write off'!D:D,'FA Write off'!A:A,'FA Addition'!$A301,'FA Write off'!C:C,"&lt;"&amp;'FA Addition'!$P$1)</f>
        <v>0</v>
      </c>
      <c r="Y301" s="191">
        <f>IFERROR(W301/'FA Addition'!$J301*'FA Addition'!$L301,0)</f>
        <v>0</v>
      </c>
      <c r="AA301" s="116">
        <f>SUMIFS('FA Write off'!D:D,'FA Write off'!A:A,'FA Addition'!$A301,'FA Write off'!C:C,"&lt;"&amp;'FA Addition'!$L$1+1,'FA Write off'!C:C,"&gt;"&amp;'FA Addition'!$L$1-365)</f>
        <v>0</v>
      </c>
      <c r="AC301" s="118">
        <f>IFERROR(AA301/'FA Addition'!$J301*'FA Addition'!$L301,0)</f>
        <v>0</v>
      </c>
      <c r="AE301" s="117">
        <f>IF(AND('FA Addition'!$D301&lt;$P$1+1,U301=0),'FA Addition'!$L301,0)-Y301</f>
        <v>16949</v>
      </c>
      <c r="AF301" s="117">
        <f t="shared" si="20"/>
        <v>16949</v>
      </c>
      <c r="AG301" s="117">
        <f>MIN(MAX(+$P$1-'FA Addition'!$D301,0),365*'FA Addition'!$O301)</f>
        <v>1095</v>
      </c>
      <c r="AH301" s="117">
        <f>MIN(MAX($L$1-'FA Addition'!$D301+1,0),365*'FA Addition'!$O301)</f>
        <v>1095</v>
      </c>
      <c r="AI301" s="117" cm="1">
        <f t="array" ref="AI301">_xlfn.XLOOKUP(1,('FA Write off'!A:A='FA Addition'!$A301)*('FA Write off'!D:D=AA301),'FA Write off'!H:H,0,0)</f>
        <v>0</v>
      </c>
      <c r="AJ301" s="117">
        <f>IF(AC301&gt;0,MAX(IF('FA Addition'!$N301="SLM",($AC301-'FA Addition'!$M301)*'FA Addition'!$P301*AI301/365,(AC301-'FA Addition'!$M301)*(1-(1-'FA Addition'!$P301)^(AI301/365))),0),0)</f>
        <v>0</v>
      </c>
      <c r="AL301" s="117">
        <f>MAX(IF(AG301&gt;0,IF('FA Addition'!$N301="SLM",($AE301-'FA Addition'!$M301)*'FA Addition'!$P301*AG301/365,IFERROR(VDB(AE301,AE301*0.05,'FA Addition'!$O301,0,YEARFRAC('FA Addition'!$C301,$P$1-1,3),'FA Addition'!$Q301),FAAddition[[#This Row],[Original Cost (Rs)]]-FAAddition[[#This Row],[Salvage Value]])),0),0)</f>
        <v>16102</v>
      </c>
      <c r="AM301" s="119"/>
      <c r="AN301" s="117">
        <f>MAX(IF(AH301&gt;0,IF('FA Addition'!$N301="SLM",($AF301-'FA Addition'!$M301)*'FA Addition'!$P301*AH301/365,IFERROR(VDB(AF301,AF301*0.05,'FA Addition'!$O301,0,YEARFRAC('FA Addition'!$C301,$L$1,3),'FA Addition'!$Q301),FAAddition[[#This Row],[Original Cost (Rs)]]-FAAddition[[#This Row],[Salvage Value]])),0),0)</f>
        <v>16102</v>
      </c>
      <c r="AO301" s="117">
        <f t="shared" si="23"/>
        <v>0</v>
      </c>
      <c r="AQ301" s="117">
        <f t="shared" si="21"/>
        <v>847</v>
      </c>
      <c r="AR301" s="120">
        <f t="shared" si="22"/>
        <v>847</v>
      </c>
      <c r="AS301" s="121"/>
    </row>
    <row r="302" spans="1:45" ht="13.5" x14ac:dyDescent="0.4">
      <c r="A302" s="12">
        <f t="shared" si="24"/>
        <v>299</v>
      </c>
      <c r="B302" s="44" t="s">
        <v>731</v>
      </c>
      <c r="C302" s="45">
        <v>43043</v>
      </c>
      <c r="D302" s="45">
        <v>43043</v>
      </c>
      <c r="E302" s="46" t="s">
        <v>32</v>
      </c>
      <c r="F302" s="51" t="s">
        <v>32</v>
      </c>
      <c r="G302" s="44" t="s">
        <v>433</v>
      </c>
      <c r="H302" s="60" t="s">
        <v>32</v>
      </c>
      <c r="I302" s="44" t="s">
        <v>832</v>
      </c>
      <c r="J302" s="48">
        <v>15</v>
      </c>
      <c r="K302" s="44" t="s">
        <v>567</v>
      </c>
      <c r="L302" s="62">
        <v>43220</v>
      </c>
      <c r="M302" s="50">
        <f>ROUND('FA Addition'!$L302*5%,0.1)</f>
        <v>2161</v>
      </c>
      <c r="N302" s="113" t="str">
        <f>_xlfn.XLOOKUP(_xlfn.CONCAT(E302,B302),'Year Wise Master Dep Approach'!F:F,'Year Wise Master Dep Approach'!D:D)</f>
        <v>WDV</v>
      </c>
      <c r="O302" s="113">
        <f>_xlfn.XLOOKUP(_xlfn.CONCAT(E302,B302),'Year Wise Master Dep Approach'!F:F,'Year Wise Master Dep Approach'!E:E)</f>
        <v>3</v>
      </c>
      <c r="P302" s="114">
        <f>IFERROR(IF('FA Addition'!$N302="WDV",1-('FA Addition'!$M302/'FA Addition'!$L302)^(1/'FA Addition'!$O302),1/'FA Addition'!$O302),0)</f>
        <v>0.63159685013596123</v>
      </c>
      <c r="Q302" s="122">
        <f>'FA Addition'!$P302*'FA Addition'!$O302</f>
        <v>1.8947905504078837</v>
      </c>
      <c r="R302" s="122"/>
      <c r="S302" s="116">
        <f>IF(AND(DATE(20&amp;LEFT(FAAddition[[#This Row],[FY]],2),4,1)&lt;$L$1+1,DATE(20&amp;LEFT(FAAddition[[#This Row],[FY]],2),4,1)&gt;$P$1-1),'FA Addition'!$J302,0)</f>
        <v>0</v>
      </c>
      <c r="U302" s="117">
        <f>S302*'FA Addition'!$L302/'FA Addition'!$J302</f>
        <v>0</v>
      </c>
      <c r="W302" s="116">
        <f>SUMIFS('FA Write off'!D:D,'FA Write off'!A:A,'FA Addition'!$A302,'FA Write off'!C:C,"&lt;"&amp;'FA Addition'!$P$1)</f>
        <v>1</v>
      </c>
      <c r="Y302" s="191">
        <f>IFERROR(W302/'FA Addition'!$J302*'FA Addition'!$L302,0)</f>
        <v>2881.3333333333335</v>
      </c>
      <c r="AA302" s="116">
        <f>SUMIFS('FA Write off'!D:D,'FA Write off'!A:A,'FA Addition'!$A302,'FA Write off'!C:C,"&lt;"&amp;'FA Addition'!$L$1+1,'FA Write off'!C:C,"&gt;"&amp;'FA Addition'!$L$1-365)</f>
        <v>0</v>
      </c>
      <c r="AC302" s="191">
        <f>IFERROR(AA302/'FA Addition'!$J302*'FA Addition'!$L302,0)</f>
        <v>0</v>
      </c>
      <c r="AE302" s="117">
        <f>IF(AND('FA Addition'!$D302&lt;$P$1+1,U302=0),'FA Addition'!$L302,0)-Y302</f>
        <v>40338.666666666664</v>
      </c>
      <c r="AF302" s="117">
        <f t="shared" si="20"/>
        <v>40338.666666666664</v>
      </c>
      <c r="AG302" s="117">
        <f>MIN(MAX(+$P$1-'FA Addition'!$D302,0),365*'FA Addition'!$O302)</f>
        <v>1095</v>
      </c>
      <c r="AH302" s="117">
        <f>MIN(MAX($L$1-'FA Addition'!$D302+1,0),365*'FA Addition'!$O302)</f>
        <v>1095</v>
      </c>
      <c r="AI302" s="117" cm="1">
        <f t="array" ref="AI302">_xlfn.XLOOKUP(1,('FA Write off'!A:A='FA Addition'!$A302)*('FA Write off'!D:D=AA302),'FA Write off'!H:H,0,0)</f>
        <v>0</v>
      </c>
      <c r="AJ302" s="117">
        <f>IF(AC302&gt;0,MAX(IF('FA Addition'!$N302="SLM",($AC302-'FA Addition'!$M302)*'FA Addition'!$P302*AI302/365,(AC302-'FA Addition'!$M302)*(1-(1-'FA Addition'!$P302)^(AI302/365))),0),0)</f>
        <v>0</v>
      </c>
      <c r="AL302" s="117">
        <f>MAX(IF(AG302&gt;0,IF('FA Addition'!$N302="SLM",($AE302-'FA Addition'!$M302)*'FA Addition'!$P302*AG302/365,IFERROR(VDB(AE302,AE302*0.05,'FA Addition'!$O302,0,YEARFRAC('FA Addition'!$C302,$P$1-1,3),'FA Addition'!$Q302),FAAddition[[#This Row],[Original Cost (Rs)]]-FAAddition[[#This Row],[Salvage Value]])),0),0)</f>
        <v>41059</v>
      </c>
      <c r="AM302" s="119"/>
      <c r="AN302" s="117">
        <f>MAX(IF(AH302&gt;0,IF('FA Addition'!$N302="SLM",($AF302-'FA Addition'!$M302)*'FA Addition'!$P302*AH302/365,IFERROR(VDB(AF302,AF302*0.05,'FA Addition'!$O302,0,YEARFRAC('FA Addition'!$C302,$L$1,3),'FA Addition'!$Q302),FAAddition[[#This Row],[Original Cost (Rs)]]-FAAddition[[#This Row],[Salvage Value]])),0),0)</f>
        <v>41059</v>
      </c>
      <c r="AO302" s="117">
        <f t="shared" si="23"/>
        <v>0</v>
      </c>
      <c r="AQ302" s="117">
        <f t="shared" si="21"/>
        <v>-720.33333333333576</v>
      </c>
      <c r="AR302" s="120">
        <f t="shared" si="22"/>
        <v>-720.33333333333576</v>
      </c>
      <c r="AS302" s="121"/>
    </row>
    <row r="303" spans="1:45" ht="13.5" x14ac:dyDescent="0.4">
      <c r="A303" s="12">
        <f t="shared" si="24"/>
        <v>300</v>
      </c>
      <c r="B303" s="44" t="s">
        <v>731</v>
      </c>
      <c r="C303" s="45">
        <v>43043</v>
      </c>
      <c r="D303" s="45">
        <v>43043</v>
      </c>
      <c r="E303" s="46" t="s">
        <v>451</v>
      </c>
      <c r="F303" s="51" t="s">
        <v>21</v>
      </c>
      <c r="G303" s="44" t="s">
        <v>620</v>
      </c>
      <c r="H303" s="51"/>
      <c r="I303" s="44">
        <v>6209</v>
      </c>
      <c r="J303" s="56">
        <v>1</v>
      </c>
      <c r="K303" s="44" t="s">
        <v>833</v>
      </c>
      <c r="L303" s="62">
        <v>90423</v>
      </c>
      <c r="M303" s="50">
        <f>ROUND('FA Addition'!$L303*5%,0.1)</f>
        <v>4521</v>
      </c>
      <c r="N303" s="113" t="str">
        <f>_xlfn.XLOOKUP(_xlfn.CONCAT(E303,B303),'Year Wise Master Dep Approach'!F:F,'Year Wise Master Dep Approach'!D:D)</f>
        <v>WDV</v>
      </c>
      <c r="O303" s="113">
        <f>_xlfn.XLOOKUP(_xlfn.CONCAT(E303,B303),'Year Wise Master Dep Approach'!F:F,'Year Wise Master Dep Approach'!E:E)</f>
        <v>3</v>
      </c>
      <c r="P303" s="114">
        <f>IFERROR(IF('FA Addition'!$N303="WDV",1-('FA Addition'!$M303/'FA Addition'!$L303)^(1/'FA Addition'!$O303),1/'FA Addition'!$O303),0)</f>
        <v>0.63160092440051963</v>
      </c>
      <c r="Q303" s="122">
        <f>'FA Addition'!$P303*'FA Addition'!$O303</f>
        <v>1.8948027732015589</v>
      </c>
      <c r="R303" s="122"/>
      <c r="S303" s="116">
        <f>IF(AND(DATE(20&amp;LEFT(FAAddition[[#This Row],[FY]],2),4,1)&lt;$L$1+1,DATE(20&amp;LEFT(FAAddition[[#This Row],[FY]],2),4,1)&gt;$P$1-1),'FA Addition'!$J303,0)</f>
        <v>0</v>
      </c>
      <c r="U303" s="117">
        <f>S303*'FA Addition'!$L303/'FA Addition'!$J303</f>
        <v>0</v>
      </c>
      <c r="W303" s="116">
        <f>SUMIFS('FA Write off'!D:D,'FA Write off'!A:A,'FA Addition'!$A303,'FA Write off'!C:C,"&lt;"&amp;'FA Addition'!$P$1)</f>
        <v>0</v>
      </c>
      <c r="Y303" s="191">
        <f>IFERROR(W303/'FA Addition'!$J303*'FA Addition'!$L303,0)</f>
        <v>0</v>
      </c>
      <c r="AA303" s="116">
        <f>SUMIFS('FA Write off'!D:D,'FA Write off'!A:A,'FA Addition'!$A303,'FA Write off'!C:C,"&lt;"&amp;'FA Addition'!$L$1+1,'FA Write off'!C:C,"&gt;"&amp;'FA Addition'!$L$1-365)</f>
        <v>0</v>
      </c>
      <c r="AC303" s="118">
        <f>IFERROR(AA303/'FA Addition'!$J303*'FA Addition'!$L303,0)</f>
        <v>0</v>
      </c>
      <c r="AE303" s="117">
        <f>IF(AND('FA Addition'!$D303&lt;$P$1+1,U303=0),'FA Addition'!$L303,0)-Y303</f>
        <v>90423</v>
      </c>
      <c r="AF303" s="117">
        <f t="shared" si="20"/>
        <v>90423</v>
      </c>
      <c r="AG303" s="117">
        <f>MIN(MAX(+$P$1-'FA Addition'!$D303,0),365*'FA Addition'!$O303)</f>
        <v>1095</v>
      </c>
      <c r="AH303" s="117">
        <f>MIN(MAX($L$1-'FA Addition'!$D303+1,0),365*'FA Addition'!$O303)</f>
        <v>1095</v>
      </c>
      <c r="AI303" s="117" cm="1">
        <f t="array" ref="AI303">_xlfn.XLOOKUP(1,('FA Write off'!A:A='FA Addition'!$A303)*('FA Write off'!D:D=AA303),'FA Write off'!H:H,0,0)</f>
        <v>0</v>
      </c>
      <c r="AJ303" s="117">
        <f>IF(AC303&gt;0,MAX(IF('FA Addition'!$N303="SLM",($AC303-'FA Addition'!$M303)*'FA Addition'!$P303*AI303/365,(AC303-'FA Addition'!$M303)*(1-(1-'FA Addition'!$P303)^(AI303/365))),0),0)</f>
        <v>0</v>
      </c>
      <c r="AL303" s="117">
        <f>MAX(IF(AG303&gt;0,IF('FA Addition'!$N303="SLM",($AE303-'FA Addition'!$M303)*'FA Addition'!$P303*AG303/365,IFERROR(VDB(AE303,AE303*0.05,'FA Addition'!$O303,0,YEARFRAC('FA Addition'!$C303,$P$1-1,3),'FA Addition'!$Q303),FAAddition[[#This Row],[Original Cost (Rs)]]-FAAddition[[#This Row],[Salvage Value]])),0),0)</f>
        <v>85902</v>
      </c>
      <c r="AM303" s="119"/>
      <c r="AN303" s="117">
        <f>MAX(IF(AH303&gt;0,IF('FA Addition'!$N303="SLM",($AF303-'FA Addition'!$M303)*'FA Addition'!$P303*AH303/365,IFERROR(VDB(AF303,AF303*0.05,'FA Addition'!$O303,0,YEARFRAC('FA Addition'!$C303,$L$1,3),'FA Addition'!$Q303),FAAddition[[#This Row],[Original Cost (Rs)]]-FAAddition[[#This Row],[Salvage Value]])),0),0)</f>
        <v>85902</v>
      </c>
      <c r="AO303" s="117">
        <f t="shared" si="23"/>
        <v>0</v>
      </c>
      <c r="AQ303" s="117">
        <f t="shared" si="21"/>
        <v>4521</v>
      </c>
      <c r="AR303" s="120">
        <f t="shared" si="22"/>
        <v>4521</v>
      </c>
      <c r="AS303" s="121"/>
    </row>
    <row r="304" spans="1:45" ht="13.5" x14ac:dyDescent="0.4">
      <c r="A304" s="12">
        <f t="shared" si="24"/>
        <v>301</v>
      </c>
      <c r="B304" s="44" t="s">
        <v>731</v>
      </c>
      <c r="C304" s="45">
        <v>43043</v>
      </c>
      <c r="D304" s="45">
        <v>43043</v>
      </c>
      <c r="E304" s="46" t="s">
        <v>451</v>
      </c>
      <c r="F304" s="51" t="s">
        <v>21</v>
      </c>
      <c r="G304" s="44" t="s">
        <v>834</v>
      </c>
      <c r="H304" s="51" t="s">
        <v>21</v>
      </c>
      <c r="I304" s="44" t="s">
        <v>835</v>
      </c>
      <c r="J304" s="56">
        <v>1</v>
      </c>
      <c r="K304" s="44" t="s">
        <v>836</v>
      </c>
      <c r="L304" s="62">
        <v>41257</v>
      </c>
      <c r="M304" s="50">
        <f>ROUND('FA Addition'!$L304*5%,0.1)</f>
        <v>2063</v>
      </c>
      <c r="N304" s="113" t="str">
        <f>_xlfn.XLOOKUP(_xlfn.CONCAT(E304,B304),'Year Wise Master Dep Approach'!F:F,'Year Wise Master Dep Approach'!D:D)</f>
        <v>WDV</v>
      </c>
      <c r="O304" s="113">
        <f>_xlfn.XLOOKUP(_xlfn.CONCAT(E304,B304),'Year Wise Master Dep Approach'!F:F,'Year Wise Master Dep Approach'!E:E)</f>
        <v>3</v>
      </c>
      <c r="P304" s="114">
        <f>IFERROR(IF('FA Addition'!$N304="WDV",1-('FA Addition'!$M304/'FA Addition'!$L304)^(1/'FA Addition'!$O304),1/'FA Addition'!$O304),0)</f>
        <v>0.63158792088224058</v>
      </c>
      <c r="Q304" s="122">
        <f>'FA Addition'!$P304*'FA Addition'!$O304</f>
        <v>1.8947637626467217</v>
      </c>
      <c r="R304" s="122"/>
      <c r="S304" s="116">
        <f>IF(AND(DATE(20&amp;LEFT(FAAddition[[#This Row],[FY]],2),4,1)&lt;$L$1+1,DATE(20&amp;LEFT(FAAddition[[#This Row],[FY]],2),4,1)&gt;$P$1-1),'FA Addition'!$J304,0)</f>
        <v>0</v>
      </c>
      <c r="U304" s="117">
        <f>S304*'FA Addition'!$L304/'FA Addition'!$J304</f>
        <v>0</v>
      </c>
      <c r="W304" s="116">
        <f>SUMIFS('FA Write off'!D:D,'FA Write off'!A:A,'FA Addition'!$A304,'FA Write off'!C:C,"&lt;"&amp;'FA Addition'!$P$1)</f>
        <v>0</v>
      </c>
      <c r="Y304" s="191">
        <f>IFERROR(W304/'FA Addition'!$J304*'FA Addition'!$L304,0)</f>
        <v>0</v>
      </c>
      <c r="AA304" s="116">
        <f>SUMIFS('FA Write off'!D:D,'FA Write off'!A:A,'FA Addition'!$A304,'FA Write off'!C:C,"&lt;"&amp;'FA Addition'!$L$1+1,'FA Write off'!C:C,"&gt;"&amp;'FA Addition'!$L$1-365)</f>
        <v>0</v>
      </c>
      <c r="AC304" s="118">
        <f>IFERROR(AA304/'FA Addition'!$J304*'FA Addition'!$L304,0)</f>
        <v>0</v>
      </c>
      <c r="AE304" s="117">
        <f>IF(AND('FA Addition'!$D304&lt;$P$1+1,U304=0),'FA Addition'!$L304,0)-Y304</f>
        <v>41257</v>
      </c>
      <c r="AF304" s="117">
        <f t="shared" si="20"/>
        <v>41257</v>
      </c>
      <c r="AG304" s="117">
        <f>MIN(MAX(+$P$1-'FA Addition'!$D304,0),365*'FA Addition'!$O304)</f>
        <v>1095</v>
      </c>
      <c r="AH304" s="117">
        <f>MIN(MAX($L$1-'FA Addition'!$D304+1,0),365*'FA Addition'!$O304)</f>
        <v>1095</v>
      </c>
      <c r="AI304" s="117" cm="1">
        <f t="array" ref="AI304">_xlfn.XLOOKUP(1,('FA Write off'!A:A='FA Addition'!$A304)*('FA Write off'!D:D=AA304),'FA Write off'!H:H,0,0)</f>
        <v>0</v>
      </c>
      <c r="AJ304" s="117">
        <f>IF(AC304&gt;0,MAX(IF('FA Addition'!$N304="SLM",($AC304-'FA Addition'!$M304)*'FA Addition'!$P304*AI304/365,(AC304-'FA Addition'!$M304)*(1-(1-'FA Addition'!$P304)^(AI304/365))),0),0)</f>
        <v>0</v>
      </c>
      <c r="AL304" s="117">
        <f>MAX(IF(AG304&gt;0,IF('FA Addition'!$N304="SLM",($AE304-'FA Addition'!$M304)*'FA Addition'!$P304*AG304/365,IFERROR(VDB(AE304,AE304*0.05,'FA Addition'!$O304,0,YEARFRAC('FA Addition'!$C304,$P$1-1,3),'FA Addition'!$Q304),FAAddition[[#This Row],[Original Cost (Rs)]]-FAAddition[[#This Row],[Salvage Value]])),0),0)</f>
        <v>39194</v>
      </c>
      <c r="AM304" s="119"/>
      <c r="AN304" s="117">
        <f>MAX(IF(AH304&gt;0,IF('FA Addition'!$N304="SLM",($AF304-'FA Addition'!$M304)*'FA Addition'!$P304*AH304/365,IFERROR(VDB(AF304,AF304*0.05,'FA Addition'!$O304,0,YEARFRAC('FA Addition'!$C304,$L$1,3),'FA Addition'!$Q304),FAAddition[[#This Row],[Original Cost (Rs)]]-FAAddition[[#This Row],[Salvage Value]])),0),0)</f>
        <v>39194</v>
      </c>
      <c r="AO304" s="117">
        <f t="shared" si="23"/>
        <v>0</v>
      </c>
      <c r="AQ304" s="117">
        <f t="shared" si="21"/>
        <v>2063</v>
      </c>
      <c r="AR304" s="120">
        <f t="shared" si="22"/>
        <v>2063</v>
      </c>
      <c r="AS304" s="121"/>
    </row>
    <row r="305" spans="1:45" ht="13.5" x14ac:dyDescent="0.4">
      <c r="A305" s="12">
        <f t="shared" si="24"/>
        <v>302</v>
      </c>
      <c r="B305" s="44" t="s">
        <v>731</v>
      </c>
      <c r="C305" s="45">
        <v>43046</v>
      </c>
      <c r="D305" s="45">
        <v>43046</v>
      </c>
      <c r="E305" s="46" t="s">
        <v>32</v>
      </c>
      <c r="F305" s="44" t="s">
        <v>32</v>
      </c>
      <c r="G305" s="44" t="s">
        <v>597</v>
      </c>
      <c r="H305" s="51" t="s">
        <v>32</v>
      </c>
      <c r="I305" s="44"/>
      <c r="J305" s="56">
        <v>1</v>
      </c>
      <c r="K305" s="44" t="s">
        <v>837</v>
      </c>
      <c r="L305" s="62">
        <v>6998</v>
      </c>
      <c r="M305" s="50">
        <f>ROUND('FA Addition'!$L305*5%,0.1)</f>
        <v>350</v>
      </c>
      <c r="N305" s="113" t="str">
        <f>_xlfn.XLOOKUP(_xlfn.CONCAT(E305,B305),'Year Wise Master Dep Approach'!F:F,'Year Wise Master Dep Approach'!D:D)</f>
        <v>WDV</v>
      </c>
      <c r="O305" s="113">
        <f>_xlfn.XLOOKUP(_xlfn.CONCAT(E305,B305),'Year Wise Master Dep Approach'!F:F,'Year Wise Master Dep Approach'!E:E)</f>
        <v>3</v>
      </c>
      <c r="P305" s="114">
        <f>IFERROR(IF('FA Addition'!$N305="WDV",1-('FA Addition'!$M305/'FA Addition'!$L305)^(1/'FA Addition'!$O305),1/'FA Addition'!$O305),0)</f>
        <v>0.63156175743715282</v>
      </c>
      <c r="Q305" s="122">
        <f>'FA Addition'!$P305*'FA Addition'!$O305</f>
        <v>1.8946852723114584</v>
      </c>
      <c r="R305" s="122"/>
      <c r="S305" s="116">
        <f>IF(AND(DATE(20&amp;LEFT(FAAddition[[#This Row],[FY]],2),4,1)&lt;$L$1+1,DATE(20&amp;LEFT(FAAddition[[#This Row],[FY]],2),4,1)&gt;$P$1-1),'FA Addition'!$J305,0)</f>
        <v>0</v>
      </c>
      <c r="U305" s="117">
        <f>S305*'FA Addition'!$L305/'FA Addition'!$J305</f>
        <v>0</v>
      </c>
      <c r="W305" s="116">
        <f>SUMIFS('FA Write off'!D:D,'FA Write off'!A:A,'FA Addition'!$A305,'FA Write off'!C:C,"&lt;"&amp;'FA Addition'!$P$1)</f>
        <v>0</v>
      </c>
      <c r="Y305" s="191">
        <f>IFERROR(W305/'FA Addition'!$J305*'FA Addition'!$L305,0)</f>
        <v>0</v>
      </c>
      <c r="AA305" s="116">
        <f>SUMIFS('FA Write off'!D:D,'FA Write off'!A:A,'FA Addition'!$A305,'FA Write off'!C:C,"&lt;"&amp;'FA Addition'!$L$1+1,'FA Write off'!C:C,"&gt;"&amp;'FA Addition'!$L$1-365)</f>
        <v>0</v>
      </c>
      <c r="AC305" s="118">
        <f>IFERROR(AA305/'FA Addition'!$J305*'FA Addition'!$L305,0)</f>
        <v>0</v>
      </c>
      <c r="AE305" s="117">
        <f>IF(AND('FA Addition'!$D305&lt;$P$1+1,U305=0),'FA Addition'!$L305,0)-Y305</f>
        <v>6998</v>
      </c>
      <c r="AF305" s="117">
        <f t="shared" si="20"/>
        <v>6998</v>
      </c>
      <c r="AG305" s="117">
        <f>MIN(MAX(+$P$1-'FA Addition'!$D305,0),365*'FA Addition'!$O305)</f>
        <v>1095</v>
      </c>
      <c r="AH305" s="117">
        <f>MIN(MAX($L$1-'FA Addition'!$D305+1,0),365*'FA Addition'!$O305)</f>
        <v>1095</v>
      </c>
      <c r="AI305" s="117" cm="1">
        <f t="array" ref="AI305">_xlfn.XLOOKUP(1,('FA Write off'!A:A='FA Addition'!$A305)*('FA Write off'!D:D=AA305),'FA Write off'!H:H,0,0)</f>
        <v>0</v>
      </c>
      <c r="AJ305" s="117">
        <f>IF(AC305&gt;0,MAX(IF('FA Addition'!$N305="SLM",($AC305-'FA Addition'!$M305)*'FA Addition'!$P305*AI305/365,(AC305-'FA Addition'!$M305)*(1-(1-'FA Addition'!$P305)^(AI305/365))),0),0)</f>
        <v>0</v>
      </c>
      <c r="AL305" s="117">
        <f>MAX(IF(AG305&gt;0,IF('FA Addition'!$N305="SLM",($AE305-'FA Addition'!$M305)*'FA Addition'!$P305*AG305/365,IFERROR(VDB(AE305,AE305*0.05,'FA Addition'!$O305,0,YEARFRAC('FA Addition'!$C305,$P$1-1,3),'FA Addition'!$Q305),FAAddition[[#This Row],[Original Cost (Rs)]]-FAAddition[[#This Row],[Salvage Value]])),0),0)</f>
        <v>6648</v>
      </c>
      <c r="AM305" s="119"/>
      <c r="AN305" s="117">
        <f>MAX(IF(AH305&gt;0,IF('FA Addition'!$N305="SLM",($AF305-'FA Addition'!$M305)*'FA Addition'!$P305*AH305/365,IFERROR(VDB(AF305,AF305*0.05,'FA Addition'!$O305,0,YEARFRAC('FA Addition'!$C305,$L$1,3),'FA Addition'!$Q305),FAAddition[[#This Row],[Original Cost (Rs)]]-FAAddition[[#This Row],[Salvage Value]])),0),0)</f>
        <v>6648</v>
      </c>
      <c r="AO305" s="117">
        <f t="shared" si="23"/>
        <v>0</v>
      </c>
      <c r="AQ305" s="117">
        <f t="shared" si="21"/>
        <v>350</v>
      </c>
      <c r="AR305" s="120">
        <f t="shared" si="22"/>
        <v>350</v>
      </c>
      <c r="AS305" s="121"/>
    </row>
    <row r="306" spans="1:45" ht="13.5" x14ac:dyDescent="0.4">
      <c r="A306" s="12">
        <f t="shared" si="24"/>
        <v>303</v>
      </c>
      <c r="B306" s="44" t="s">
        <v>731</v>
      </c>
      <c r="C306" s="45">
        <v>43047</v>
      </c>
      <c r="D306" s="45">
        <v>43047</v>
      </c>
      <c r="E306" s="46" t="s">
        <v>32</v>
      </c>
      <c r="F306" s="44" t="s">
        <v>32</v>
      </c>
      <c r="G306" s="44" t="s">
        <v>597</v>
      </c>
      <c r="H306" s="51" t="s">
        <v>32</v>
      </c>
      <c r="I306" s="44"/>
      <c r="J306" s="56">
        <v>1</v>
      </c>
      <c r="K306" s="44" t="s">
        <v>837</v>
      </c>
      <c r="L306" s="62">
        <v>6998</v>
      </c>
      <c r="M306" s="50">
        <f>ROUND('FA Addition'!$L306*5%,0.1)</f>
        <v>350</v>
      </c>
      <c r="N306" s="113" t="str">
        <f>_xlfn.XLOOKUP(_xlfn.CONCAT(E306,B306),'Year Wise Master Dep Approach'!F:F,'Year Wise Master Dep Approach'!D:D)</f>
        <v>WDV</v>
      </c>
      <c r="O306" s="113">
        <f>_xlfn.XLOOKUP(_xlfn.CONCAT(E306,B306),'Year Wise Master Dep Approach'!F:F,'Year Wise Master Dep Approach'!E:E)</f>
        <v>3</v>
      </c>
      <c r="P306" s="114">
        <f>IFERROR(IF('FA Addition'!$N306="WDV",1-('FA Addition'!$M306/'FA Addition'!$L306)^(1/'FA Addition'!$O306),1/'FA Addition'!$O306),0)</f>
        <v>0.63156175743715282</v>
      </c>
      <c r="Q306" s="122">
        <f>'FA Addition'!$P306*'FA Addition'!$O306</f>
        <v>1.8946852723114584</v>
      </c>
      <c r="R306" s="122"/>
      <c r="S306" s="116">
        <f>IF(AND(DATE(20&amp;LEFT(FAAddition[[#This Row],[FY]],2),4,1)&lt;$L$1+1,DATE(20&amp;LEFT(FAAddition[[#This Row],[FY]],2),4,1)&gt;$P$1-1),'FA Addition'!$J306,0)</f>
        <v>0</v>
      </c>
      <c r="U306" s="117">
        <f>S306*'FA Addition'!$L306/'FA Addition'!$J306</f>
        <v>0</v>
      </c>
      <c r="W306" s="116">
        <f>SUMIFS('FA Write off'!D:D,'FA Write off'!A:A,'FA Addition'!$A306,'FA Write off'!C:C,"&lt;"&amp;'FA Addition'!$P$1)</f>
        <v>0</v>
      </c>
      <c r="Y306" s="191">
        <f>IFERROR(W306/'FA Addition'!$J306*'FA Addition'!$L306,0)</f>
        <v>0</v>
      </c>
      <c r="AA306" s="116">
        <f>SUMIFS('FA Write off'!D:D,'FA Write off'!A:A,'FA Addition'!$A306,'FA Write off'!C:C,"&lt;"&amp;'FA Addition'!$L$1+1,'FA Write off'!C:C,"&gt;"&amp;'FA Addition'!$L$1-365)</f>
        <v>0</v>
      </c>
      <c r="AC306" s="118">
        <f>IFERROR(AA306/'FA Addition'!$J306*'FA Addition'!$L306,0)</f>
        <v>0</v>
      </c>
      <c r="AE306" s="117">
        <f>IF(AND('FA Addition'!$D306&lt;$P$1+1,U306=0),'FA Addition'!$L306,0)-Y306</f>
        <v>6998</v>
      </c>
      <c r="AF306" s="117">
        <f t="shared" si="20"/>
        <v>6998</v>
      </c>
      <c r="AG306" s="117">
        <f>MIN(MAX(+$P$1-'FA Addition'!$D306,0),365*'FA Addition'!$O306)</f>
        <v>1095</v>
      </c>
      <c r="AH306" s="117">
        <f>MIN(MAX($L$1-'FA Addition'!$D306+1,0),365*'FA Addition'!$O306)</f>
        <v>1095</v>
      </c>
      <c r="AI306" s="117" cm="1">
        <f t="array" ref="AI306">_xlfn.XLOOKUP(1,('FA Write off'!A:A='FA Addition'!$A306)*('FA Write off'!D:D=AA306),'FA Write off'!H:H,0,0)</f>
        <v>0</v>
      </c>
      <c r="AJ306" s="117">
        <f>IF(AC306&gt;0,MAX(IF('FA Addition'!$N306="SLM",($AC306-'FA Addition'!$M306)*'FA Addition'!$P306*AI306/365,(AC306-'FA Addition'!$M306)*(1-(1-'FA Addition'!$P306)^(AI306/365))),0),0)</f>
        <v>0</v>
      </c>
      <c r="AL306" s="117">
        <f>MAX(IF(AG306&gt;0,IF('FA Addition'!$N306="SLM",($AE306-'FA Addition'!$M306)*'FA Addition'!$P306*AG306/365,IFERROR(VDB(AE306,AE306*0.05,'FA Addition'!$O306,0,YEARFRAC('FA Addition'!$C306,$P$1-1,3),'FA Addition'!$Q306),FAAddition[[#This Row],[Original Cost (Rs)]]-FAAddition[[#This Row],[Salvage Value]])),0),0)</f>
        <v>6648</v>
      </c>
      <c r="AM306" s="119"/>
      <c r="AN306" s="117">
        <f>MAX(IF(AH306&gt;0,IF('FA Addition'!$N306="SLM",($AF306-'FA Addition'!$M306)*'FA Addition'!$P306*AH306/365,IFERROR(VDB(AF306,AF306*0.05,'FA Addition'!$O306,0,YEARFRAC('FA Addition'!$C306,$L$1,3),'FA Addition'!$Q306),FAAddition[[#This Row],[Original Cost (Rs)]]-FAAddition[[#This Row],[Salvage Value]])),0),0)</f>
        <v>6648</v>
      </c>
      <c r="AO306" s="117">
        <f t="shared" si="23"/>
        <v>0</v>
      </c>
      <c r="AQ306" s="117">
        <f t="shared" si="21"/>
        <v>350</v>
      </c>
      <c r="AR306" s="120">
        <f t="shared" si="22"/>
        <v>350</v>
      </c>
      <c r="AS306" s="121"/>
    </row>
    <row r="307" spans="1:45" ht="13.5" x14ac:dyDescent="0.4">
      <c r="A307" s="12">
        <f t="shared" si="24"/>
        <v>304</v>
      </c>
      <c r="B307" s="44" t="s">
        <v>731</v>
      </c>
      <c r="C307" s="45">
        <v>43047</v>
      </c>
      <c r="D307" s="45">
        <v>43047</v>
      </c>
      <c r="E307" s="46" t="s">
        <v>32</v>
      </c>
      <c r="F307" s="44" t="s">
        <v>32</v>
      </c>
      <c r="G307" s="44" t="s">
        <v>597</v>
      </c>
      <c r="H307" s="51" t="s">
        <v>32</v>
      </c>
      <c r="I307" s="44"/>
      <c r="J307" s="56">
        <v>1</v>
      </c>
      <c r="K307" s="44" t="s">
        <v>837</v>
      </c>
      <c r="L307" s="62">
        <v>6998</v>
      </c>
      <c r="M307" s="50">
        <f>ROUND('FA Addition'!$L307*5%,0.1)</f>
        <v>350</v>
      </c>
      <c r="N307" s="113" t="str">
        <f>_xlfn.XLOOKUP(_xlfn.CONCAT(E307,B307),'Year Wise Master Dep Approach'!F:F,'Year Wise Master Dep Approach'!D:D)</f>
        <v>WDV</v>
      </c>
      <c r="O307" s="113">
        <f>_xlfn.XLOOKUP(_xlfn.CONCAT(E307,B307),'Year Wise Master Dep Approach'!F:F,'Year Wise Master Dep Approach'!E:E)</f>
        <v>3</v>
      </c>
      <c r="P307" s="114">
        <f>IFERROR(IF('FA Addition'!$N307="WDV",1-('FA Addition'!$M307/'FA Addition'!$L307)^(1/'FA Addition'!$O307),1/'FA Addition'!$O307),0)</f>
        <v>0.63156175743715282</v>
      </c>
      <c r="Q307" s="122">
        <f>'FA Addition'!$P307*'FA Addition'!$O307</f>
        <v>1.8946852723114584</v>
      </c>
      <c r="R307" s="122"/>
      <c r="S307" s="116">
        <f>IF(AND(DATE(20&amp;LEFT(FAAddition[[#This Row],[FY]],2),4,1)&lt;$L$1+1,DATE(20&amp;LEFT(FAAddition[[#This Row],[FY]],2),4,1)&gt;$P$1-1),'FA Addition'!$J307,0)</f>
        <v>0</v>
      </c>
      <c r="U307" s="117">
        <f>S307*'FA Addition'!$L307/'FA Addition'!$J307</f>
        <v>0</v>
      </c>
      <c r="W307" s="116">
        <f>SUMIFS('FA Write off'!D:D,'FA Write off'!A:A,'FA Addition'!$A307,'FA Write off'!C:C,"&lt;"&amp;'FA Addition'!$P$1)</f>
        <v>0</v>
      </c>
      <c r="Y307" s="191">
        <f>IFERROR(W307/'FA Addition'!$J307*'FA Addition'!$L307,0)</f>
        <v>0</v>
      </c>
      <c r="AA307" s="116">
        <f>SUMIFS('FA Write off'!D:D,'FA Write off'!A:A,'FA Addition'!$A307,'FA Write off'!C:C,"&lt;"&amp;'FA Addition'!$L$1+1,'FA Write off'!C:C,"&gt;"&amp;'FA Addition'!$L$1-365)</f>
        <v>0</v>
      </c>
      <c r="AC307" s="118">
        <f>IFERROR(AA307/'FA Addition'!$J307*'FA Addition'!$L307,0)</f>
        <v>0</v>
      </c>
      <c r="AE307" s="117">
        <f>IF(AND('FA Addition'!$D307&lt;$P$1+1,U307=0),'FA Addition'!$L307,0)-Y307</f>
        <v>6998</v>
      </c>
      <c r="AF307" s="117">
        <f t="shared" si="20"/>
        <v>6998</v>
      </c>
      <c r="AG307" s="117">
        <f>MIN(MAX(+$P$1-'FA Addition'!$D307,0),365*'FA Addition'!$O307)</f>
        <v>1095</v>
      </c>
      <c r="AH307" s="117">
        <f>MIN(MAX($L$1-'FA Addition'!$D307+1,0),365*'FA Addition'!$O307)</f>
        <v>1095</v>
      </c>
      <c r="AI307" s="117" cm="1">
        <f t="array" ref="AI307">_xlfn.XLOOKUP(1,('FA Write off'!A:A='FA Addition'!$A307)*('FA Write off'!D:D=AA307),'FA Write off'!H:H,0,0)</f>
        <v>0</v>
      </c>
      <c r="AJ307" s="117">
        <f>IF(AC307&gt;0,MAX(IF('FA Addition'!$N307="SLM",($AC307-'FA Addition'!$M307)*'FA Addition'!$P307*AI307/365,(AC307-'FA Addition'!$M307)*(1-(1-'FA Addition'!$P307)^(AI307/365))),0),0)</f>
        <v>0</v>
      </c>
      <c r="AL307" s="117">
        <f>MAX(IF(AG307&gt;0,IF('FA Addition'!$N307="SLM",($AE307-'FA Addition'!$M307)*'FA Addition'!$P307*AG307/365,IFERROR(VDB(AE307,AE307*0.05,'FA Addition'!$O307,0,YEARFRAC('FA Addition'!$C307,$P$1-1,3),'FA Addition'!$Q307),FAAddition[[#This Row],[Original Cost (Rs)]]-FAAddition[[#This Row],[Salvage Value]])),0),0)</f>
        <v>6648</v>
      </c>
      <c r="AM307" s="119"/>
      <c r="AN307" s="117">
        <f>MAX(IF(AH307&gt;0,IF('FA Addition'!$N307="SLM",($AF307-'FA Addition'!$M307)*'FA Addition'!$P307*AH307/365,IFERROR(VDB(AF307,AF307*0.05,'FA Addition'!$O307,0,YEARFRAC('FA Addition'!$C307,$L$1,3),'FA Addition'!$Q307),FAAddition[[#This Row],[Original Cost (Rs)]]-FAAddition[[#This Row],[Salvage Value]])),0),0)</f>
        <v>6648</v>
      </c>
      <c r="AO307" s="117">
        <f t="shared" si="23"/>
        <v>0</v>
      </c>
      <c r="AQ307" s="117">
        <f t="shared" si="21"/>
        <v>350</v>
      </c>
      <c r="AR307" s="120">
        <f t="shared" si="22"/>
        <v>350</v>
      </c>
      <c r="AS307" s="121"/>
    </row>
    <row r="308" spans="1:45" ht="13.5" x14ac:dyDescent="0.4">
      <c r="A308" s="12">
        <f t="shared" si="24"/>
        <v>305</v>
      </c>
      <c r="B308" s="44" t="s">
        <v>731</v>
      </c>
      <c r="C308" s="45">
        <v>43048</v>
      </c>
      <c r="D308" s="45">
        <v>43048</v>
      </c>
      <c r="E308" s="46" t="s">
        <v>32</v>
      </c>
      <c r="F308" s="44" t="s">
        <v>32</v>
      </c>
      <c r="G308" s="44" t="s">
        <v>433</v>
      </c>
      <c r="H308" s="51" t="s">
        <v>32</v>
      </c>
      <c r="I308" s="44" t="s">
        <v>838</v>
      </c>
      <c r="J308" s="48">
        <v>2</v>
      </c>
      <c r="K308" s="44" t="s">
        <v>839</v>
      </c>
      <c r="L308" s="62">
        <v>12150</v>
      </c>
      <c r="M308" s="50">
        <f>ROUND('FA Addition'!$L308*5%,0.1)</f>
        <v>608</v>
      </c>
      <c r="N308" s="113" t="str">
        <f>_xlfn.XLOOKUP(_xlfn.CONCAT(E308,B308),'Year Wise Master Dep Approach'!F:F,'Year Wise Master Dep Approach'!D:D)</f>
        <v>WDV</v>
      </c>
      <c r="O308" s="113">
        <f>_xlfn.XLOOKUP(_xlfn.CONCAT(E308,B308),'Year Wise Master Dep Approach'!F:F,'Year Wise Master Dep Approach'!E:E)</f>
        <v>3</v>
      </c>
      <c r="P308" s="114">
        <f>IFERROR(IF('FA Addition'!$N308="WDV",1-('FA Addition'!$M308/'FA Addition'!$L308)^(1/'FA Addition'!$O308),1/'FA Addition'!$O308),0)</f>
        <v>0.63149580702890229</v>
      </c>
      <c r="Q308" s="122">
        <f>'FA Addition'!$P308*'FA Addition'!$O308</f>
        <v>1.8944874210867069</v>
      </c>
      <c r="R308" s="122"/>
      <c r="S308" s="116">
        <f>IF(AND(DATE(20&amp;LEFT(FAAddition[[#This Row],[FY]],2),4,1)&lt;$L$1+1,DATE(20&amp;LEFT(FAAddition[[#This Row],[FY]],2),4,1)&gt;$P$1-1),'FA Addition'!$J308,0)</f>
        <v>0</v>
      </c>
      <c r="U308" s="117">
        <f>S308*'FA Addition'!$L308/'FA Addition'!$J308</f>
        <v>0</v>
      </c>
      <c r="W308" s="116">
        <f>SUMIFS('FA Write off'!D:D,'FA Write off'!A:A,'FA Addition'!$A308,'FA Write off'!C:C,"&lt;"&amp;'FA Addition'!$P$1)</f>
        <v>0</v>
      </c>
      <c r="Y308" s="191">
        <f>IFERROR(W308/'FA Addition'!$J308*'FA Addition'!$L308,0)</f>
        <v>0</v>
      </c>
      <c r="AA308" s="116">
        <f>SUMIFS('FA Write off'!D:D,'FA Write off'!A:A,'FA Addition'!$A308,'FA Write off'!C:C,"&lt;"&amp;'FA Addition'!$L$1+1,'FA Write off'!C:C,"&gt;"&amp;'FA Addition'!$L$1-365)</f>
        <v>0</v>
      </c>
      <c r="AC308" s="118">
        <f>IFERROR(AA308/'FA Addition'!$J308*'FA Addition'!$L308,0)</f>
        <v>0</v>
      </c>
      <c r="AE308" s="117">
        <f>IF(AND('FA Addition'!$D308&lt;$P$1+1,U308=0),'FA Addition'!$L308,0)-Y308</f>
        <v>12150</v>
      </c>
      <c r="AF308" s="117">
        <f t="shared" si="20"/>
        <v>12150</v>
      </c>
      <c r="AG308" s="117">
        <f>MIN(MAX(+$P$1-'FA Addition'!$D308,0),365*'FA Addition'!$O308)</f>
        <v>1095</v>
      </c>
      <c r="AH308" s="117">
        <f>MIN(MAX($L$1-'FA Addition'!$D308+1,0),365*'FA Addition'!$O308)</f>
        <v>1095</v>
      </c>
      <c r="AI308" s="117" cm="1">
        <f t="array" ref="AI308">_xlfn.XLOOKUP(1,('FA Write off'!A:A='FA Addition'!$A308)*('FA Write off'!D:D=AA308),'FA Write off'!H:H,0,0)</f>
        <v>0</v>
      </c>
      <c r="AJ308" s="117">
        <f>IF(AC308&gt;0,MAX(IF('FA Addition'!$N308="SLM",($AC308-'FA Addition'!$M308)*'FA Addition'!$P308*AI308/365,(AC308-'FA Addition'!$M308)*(1-(1-'FA Addition'!$P308)^(AI308/365))),0),0)</f>
        <v>0</v>
      </c>
      <c r="AL308" s="117">
        <f>MAX(IF(AG308&gt;0,IF('FA Addition'!$N308="SLM",($AE308-'FA Addition'!$M308)*'FA Addition'!$P308*AG308/365,IFERROR(VDB(AE308,AE308*0.05,'FA Addition'!$O308,0,YEARFRAC('FA Addition'!$C308,$P$1-1,3),'FA Addition'!$Q308),FAAddition[[#This Row],[Original Cost (Rs)]]-FAAddition[[#This Row],[Salvage Value]])),0),0)</f>
        <v>11542</v>
      </c>
      <c r="AM308" s="119"/>
      <c r="AN308" s="117">
        <f>MAX(IF(AH308&gt;0,IF('FA Addition'!$N308="SLM",($AF308-'FA Addition'!$M308)*'FA Addition'!$P308*AH308/365,IFERROR(VDB(AF308,AF308*0.05,'FA Addition'!$O308,0,YEARFRAC('FA Addition'!$C308,$L$1,3),'FA Addition'!$Q308),FAAddition[[#This Row],[Original Cost (Rs)]]-FAAddition[[#This Row],[Salvage Value]])),0),0)</f>
        <v>11542</v>
      </c>
      <c r="AO308" s="117">
        <f t="shared" si="23"/>
        <v>0</v>
      </c>
      <c r="AQ308" s="117">
        <f t="shared" si="21"/>
        <v>608</v>
      </c>
      <c r="AR308" s="120">
        <f t="shared" si="22"/>
        <v>608</v>
      </c>
      <c r="AS308" s="121"/>
    </row>
    <row r="309" spans="1:45" ht="13.5" x14ac:dyDescent="0.4">
      <c r="A309" s="12">
        <f t="shared" si="24"/>
        <v>306</v>
      </c>
      <c r="B309" s="44" t="s">
        <v>731</v>
      </c>
      <c r="C309" s="45">
        <v>43055</v>
      </c>
      <c r="D309" s="45">
        <v>43055</v>
      </c>
      <c r="E309" s="46" t="s">
        <v>749</v>
      </c>
      <c r="F309" s="44" t="s">
        <v>808</v>
      </c>
      <c r="G309" s="44" t="s">
        <v>840</v>
      </c>
      <c r="H309" s="51"/>
      <c r="I309" s="44">
        <v>2039</v>
      </c>
      <c r="J309" s="56">
        <v>1</v>
      </c>
      <c r="K309" s="44"/>
      <c r="L309" s="62">
        <v>33474</v>
      </c>
      <c r="M309" s="50">
        <f>ROUND('FA Addition'!$L309*5%,0.1)</f>
        <v>1674</v>
      </c>
      <c r="N309" s="113" t="str">
        <f>_xlfn.XLOOKUP(_xlfn.CONCAT(E309,B309),'Year Wise Master Dep Approach'!F:F,'Year Wise Master Dep Approach'!D:D)</f>
        <v>WDV</v>
      </c>
      <c r="O309" s="113">
        <f>_xlfn.XLOOKUP(_xlfn.CONCAT(E309,B309),'Year Wise Master Dep Approach'!F:F,'Year Wise Master Dep Approach'!E:E)</f>
        <v>5</v>
      </c>
      <c r="P309" s="114">
        <f>IFERROR(IF('FA Addition'!$N309="WDV",1-('FA Addition'!$M309/'FA Addition'!$L309)^(1/'FA Addition'!$O309),1/'FA Addition'!$O309),0)</f>
        <v>0.45070003876479736</v>
      </c>
      <c r="Q309" s="122">
        <f>'FA Addition'!$P309*'FA Addition'!$O309</f>
        <v>2.2535001938239869</v>
      </c>
      <c r="R309" s="122"/>
      <c r="S309" s="116">
        <f>IF(AND(DATE(20&amp;LEFT(FAAddition[[#This Row],[FY]],2),4,1)&lt;$L$1+1,DATE(20&amp;LEFT(FAAddition[[#This Row],[FY]],2),4,1)&gt;$P$1-1),'FA Addition'!$J309,0)</f>
        <v>0</v>
      </c>
      <c r="U309" s="117">
        <f>S309*'FA Addition'!$L309/'FA Addition'!$J309</f>
        <v>0</v>
      </c>
      <c r="W309" s="116">
        <f>SUMIFS('FA Write off'!D:D,'FA Write off'!A:A,'FA Addition'!$A309,'FA Write off'!C:C,"&lt;"&amp;'FA Addition'!$P$1)</f>
        <v>0</v>
      </c>
      <c r="Y309" s="191">
        <f>IFERROR(W309/'FA Addition'!$J309*'FA Addition'!$L309,0)</f>
        <v>0</v>
      </c>
      <c r="AA309" s="116">
        <f>SUMIFS('FA Write off'!D:D,'FA Write off'!A:A,'FA Addition'!$A309,'FA Write off'!C:C,"&lt;"&amp;'FA Addition'!$L$1+1,'FA Write off'!C:C,"&gt;"&amp;'FA Addition'!$L$1-365)</f>
        <v>0</v>
      </c>
      <c r="AC309" s="118">
        <f>IFERROR(AA309/'FA Addition'!$J309*'FA Addition'!$L309,0)</f>
        <v>0</v>
      </c>
      <c r="AE309" s="117">
        <f>IF(AND('FA Addition'!$D309&lt;$P$1+1,U309=0),'FA Addition'!$L309,0)-Y309</f>
        <v>33474</v>
      </c>
      <c r="AF309" s="117">
        <f t="shared" si="20"/>
        <v>33474</v>
      </c>
      <c r="AG309" s="117">
        <f>MIN(MAX(+$P$1-'FA Addition'!$D309,0),365*'FA Addition'!$O309)</f>
        <v>1825</v>
      </c>
      <c r="AH309" s="117">
        <f>MIN(MAX($L$1-'FA Addition'!$D309+1,0),365*'FA Addition'!$O309)</f>
        <v>1825</v>
      </c>
      <c r="AI309" s="117" cm="1">
        <f t="array" ref="AI309">_xlfn.XLOOKUP(1,('FA Write off'!A:A='FA Addition'!$A309)*('FA Write off'!D:D=AA309),'FA Write off'!H:H,0,0)</f>
        <v>0</v>
      </c>
      <c r="AJ309" s="117">
        <f>IF(AC309&gt;0,MAX(IF('FA Addition'!$N309="SLM",($AC309-'FA Addition'!$M309)*'FA Addition'!$P309*AI309/365,(AC309-'FA Addition'!$M309)*(1-(1-'FA Addition'!$P309)^(AI309/365))),0),0)</f>
        <v>0</v>
      </c>
      <c r="AL309" s="117">
        <f>MAX(IF(AG309&gt;0,IF('FA Addition'!$N309="SLM",($AE309-'FA Addition'!$M309)*'FA Addition'!$P309*AG309/365,IFERROR(VDB(AE309,AE309*0.05,'FA Addition'!$O309,0,YEARFRAC('FA Addition'!$C309,$P$1-1,3),'FA Addition'!$Q309),FAAddition[[#This Row],[Original Cost (Rs)]]-FAAddition[[#This Row],[Salvage Value]])),0),0)</f>
        <v>31800</v>
      </c>
      <c r="AM309" s="119"/>
      <c r="AN309" s="117">
        <f>MAX(IF(AH309&gt;0,IF('FA Addition'!$N309="SLM",($AF309-'FA Addition'!$M309)*'FA Addition'!$P309*AH309/365,IFERROR(VDB(AF309,AF309*0.05,'FA Addition'!$O309,0,YEARFRAC('FA Addition'!$C309,$L$1,3),'FA Addition'!$Q309),FAAddition[[#This Row],[Original Cost (Rs)]]-FAAddition[[#This Row],[Salvage Value]])),0),0)</f>
        <v>31800</v>
      </c>
      <c r="AO309" s="117">
        <f t="shared" si="23"/>
        <v>0</v>
      </c>
      <c r="AQ309" s="117">
        <f t="shared" si="21"/>
        <v>1674</v>
      </c>
      <c r="AR309" s="120">
        <f t="shared" si="22"/>
        <v>1674</v>
      </c>
      <c r="AS309" s="121"/>
    </row>
    <row r="310" spans="1:45" ht="13.5" x14ac:dyDescent="0.4">
      <c r="A310" s="12">
        <f t="shared" si="24"/>
        <v>307</v>
      </c>
      <c r="B310" s="44" t="s">
        <v>731</v>
      </c>
      <c r="C310" s="45">
        <v>43055</v>
      </c>
      <c r="D310" s="45">
        <v>43055</v>
      </c>
      <c r="E310" s="46" t="s">
        <v>523</v>
      </c>
      <c r="F310" s="44" t="s">
        <v>758</v>
      </c>
      <c r="G310" s="44" t="s">
        <v>795</v>
      </c>
      <c r="H310" s="51"/>
      <c r="I310" s="44"/>
      <c r="J310" s="56">
        <v>1</v>
      </c>
      <c r="K310" s="44" t="s">
        <v>796</v>
      </c>
      <c r="L310" s="62">
        <v>32985</v>
      </c>
      <c r="M310" s="50">
        <f>ROUND('FA Addition'!$L310*5%,0.1)</f>
        <v>1649</v>
      </c>
      <c r="N310" s="113" t="str">
        <f>_xlfn.XLOOKUP(_xlfn.CONCAT(E310,B310),'Year Wise Master Dep Approach'!F:F,'Year Wise Master Dep Approach'!D:D)</f>
        <v>WDV</v>
      </c>
      <c r="O310" s="113">
        <f>_xlfn.XLOOKUP(_xlfn.CONCAT(E310,B310),'Year Wise Master Dep Approach'!F:F,'Year Wise Master Dep Approach'!E:E)</f>
        <v>10</v>
      </c>
      <c r="P310" s="114">
        <f>IFERROR(IF('FA Addition'!$N310="WDV",1-('FA Addition'!$M310/'FA Addition'!$L310)^(1/'FA Addition'!$O310),1/'FA Addition'!$O310),0)</f>
        <v>0.25887678607584497</v>
      </c>
      <c r="Q310" s="122">
        <f>'FA Addition'!$P310*'FA Addition'!$O310</f>
        <v>2.5887678607584497</v>
      </c>
      <c r="R310" s="122"/>
      <c r="S310" s="116">
        <f>IF(AND(DATE(20&amp;LEFT(FAAddition[[#This Row],[FY]],2),4,1)&lt;$L$1+1,DATE(20&amp;LEFT(FAAddition[[#This Row],[FY]],2),4,1)&gt;$P$1-1),'FA Addition'!$J310,0)</f>
        <v>0</v>
      </c>
      <c r="U310" s="117">
        <f>S310*'FA Addition'!$L310/'FA Addition'!$J310</f>
        <v>0</v>
      </c>
      <c r="W310" s="116">
        <f>SUMIFS('FA Write off'!D:D,'FA Write off'!A:A,'FA Addition'!$A310,'FA Write off'!C:C,"&lt;"&amp;'FA Addition'!$P$1)</f>
        <v>0</v>
      </c>
      <c r="Y310" s="191">
        <f>IFERROR(W310/'FA Addition'!$J310*'FA Addition'!$L310,0)</f>
        <v>0</v>
      </c>
      <c r="AA310" s="116">
        <f>SUMIFS('FA Write off'!D:D,'FA Write off'!A:A,'FA Addition'!$A310,'FA Write off'!C:C,"&lt;"&amp;'FA Addition'!$L$1+1,'FA Write off'!C:C,"&gt;"&amp;'FA Addition'!$L$1-365)</f>
        <v>0</v>
      </c>
      <c r="AC310" s="118">
        <f>IFERROR(AA310/'FA Addition'!$J310*'FA Addition'!$L310,0)</f>
        <v>0</v>
      </c>
      <c r="AE310" s="117">
        <f>IF(AND('FA Addition'!$D310&lt;$P$1+1,U310=0),'FA Addition'!$L310,0)-Y310</f>
        <v>32985</v>
      </c>
      <c r="AF310" s="117">
        <f t="shared" si="20"/>
        <v>32985</v>
      </c>
      <c r="AG310" s="117">
        <f>MIN(MAX(+$P$1-'FA Addition'!$D310,0),365*'FA Addition'!$O310)</f>
        <v>1962</v>
      </c>
      <c r="AH310" s="117">
        <f>MIN(MAX($L$1-'FA Addition'!$D310+1,0),365*'FA Addition'!$O310)</f>
        <v>2328</v>
      </c>
      <c r="AI310" s="117" cm="1">
        <f t="array" ref="AI310">_xlfn.XLOOKUP(1,('FA Write off'!A:A='FA Addition'!$A310)*('FA Write off'!D:D=AA310),'FA Write off'!H:H,0,0)</f>
        <v>0</v>
      </c>
      <c r="AJ310" s="117">
        <f>IF(AC310&gt;0,MAX(IF('FA Addition'!$N310="SLM",($AC310-'FA Addition'!$M310)*'FA Addition'!$P310*AI310/365,(AC310-'FA Addition'!$M310)*(1-(1-'FA Addition'!$P310)^(AI310/365))),0),0)</f>
        <v>0</v>
      </c>
      <c r="AL310" s="117">
        <f>MAX(IF(AG310&gt;0,IF('FA Addition'!$N310="SLM",($AE310-'FA Addition'!$M310)*'FA Addition'!$P310*AG310/365,IFERROR(VDB(AE310,AE310*0.05,'FA Addition'!$O310,0,YEARFRAC('FA Addition'!$C310,$P$1-1,3),'FA Addition'!$Q310),FAAddition[[#This Row],[Original Cost (Rs)]]-FAAddition[[#This Row],[Salvage Value]])),0),0)</f>
        <v>26321.27876226755</v>
      </c>
      <c r="AM310" s="119"/>
      <c r="AN310" s="117">
        <f>MAX(IF(AH310&gt;0,IF('FA Addition'!$N310="SLM",($AF310-'FA Addition'!$M310)*'FA Addition'!$P310*AH310/365,IFERROR(VDB(AF310,AF310*0.05,'FA Addition'!$O310,0,YEARFRAC('FA Addition'!$C310,$L$1,3),'FA Addition'!$Q310),FAAddition[[#This Row],[Original Cost (Rs)]]-FAAddition[[#This Row],[Salvage Value]])),0),0)</f>
        <v>28050.238173159716</v>
      </c>
      <c r="AO310" s="117">
        <f t="shared" si="23"/>
        <v>1728.9594108921665</v>
      </c>
      <c r="AQ310" s="117">
        <f t="shared" si="21"/>
        <v>6663.7212377324504</v>
      </c>
      <c r="AR310" s="120">
        <f t="shared" si="22"/>
        <v>4934.7618268402839</v>
      </c>
      <c r="AS310" s="121"/>
    </row>
    <row r="311" spans="1:45" ht="13.5" x14ac:dyDescent="0.4">
      <c r="A311" s="12">
        <f t="shared" si="24"/>
        <v>308</v>
      </c>
      <c r="B311" s="44" t="s">
        <v>731</v>
      </c>
      <c r="C311" s="45">
        <v>43055</v>
      </c>
      <c r="D311" s="45">
        <v>43055</v>
      </c>
      <c r="E311" s="46" t="s">
        <v>451</v>
      </c>
      <c r="F311" s="44" t="s">
        <v>79</v>
      </c>
      <c r="G311" s="44" t="s">
        <v>620</v>
      </c>
      <c r="H311" s="51" t="s">
        <v>79</v>
      </c>
      <c r="I311" s="44">
        <v>4881</v>
      </c>
      <c r="J311" s="56">
        <v>1</v>
      </c>
      <c r="K311" s="44" t="s">
        <v>841</v>
      </c>
      <c r="L311" s="62">
        <v>30211</v>
      </c>
      <c r="M311" s="50">
        <f>ROUND('FA Addition'!$L311*5%,0.1)</f>
        <v>1511</v>
      </c>
      <c r="N311" s="113" t="str">
        <f>_xlfn.XLOOKUP(_xlfn.CONCAT(E311,B311),'Year Wise Master Dep Approach'!F:F,'Year Wise Master Dep Approach'!D:D)</f>
        <v>WDV</v>
      </c>
      <c r="O311" s="113">
        <f>_xlfn.XLOOKUP(_xlfn.CONCAT(E311,B311),'Year Wise Master Dep Approach'!F:F,'Year Wise Master Dep Approach'!E:E)</f>
        <v>3</v>
      </c>
      <c r="P311" s="114">
        <f>IFERROR(IF('FA Addition'!$N311="WDV",1-('FA Addition'!$M311/'FA Addition'!$L311)^(1/'FA Addition'!$O311),1/'FA Addition'!$O311),0)</f>
        <v>0.63156027075365984</v>
      </c>
      <c r="Q311" s="122">
        <f>'FA Addition'!$P311*'FA Addition'!$O311</f>
        <v>1.8946808122609795</v>
      </c>
      <c r="R311" s="122"/>
      <c r="S311" s="116">
        <f>IF(AND(DATE(20&amp;LEFT(FAAddition[[#This Row],[FY]],2),4,1)&lt;$L$1+1,DATE(20&amp;LEFT(FAAddition[[#This Row],[FY]],2),4,1)&gt;$P$1-1),'FA Addition'!$J311,0)</f>
        <v>0</v>
      </c>
      <c r="U311" s="117">
        <f>S311*'FA Addition'!$L311/'FA Addition'!$J311</f>
        <v>0</v>
      </c>
      <c r="W311" s="116">
        <f>SUMIFS('FA Write off'!D:D,'FA Write off'!A:A,'FA Addition'!$A311,'FA Write off'!C:C,"&lt;"&amp;'FA Addition'!$P$1)</f>
        <v>0</v>
      </c>
      <c r="Y311" s="191">
        <f>IFERROR(W311/'FA Addition'!$J311*'FA Addition'!$L311,0)</f>
        <v>0</v>
      </c>
      <c r="AA311" s="116">
        <f>SUMIFS('FA Write off'!D:D,'FA Write off'!A:A,'FA Addition'!$A311,'FA Write off'!C:C,"&lt;"&amp;'FA Addition'!$L$1+1,'FA Write off'!C:C,"&gt;"&amp;'FA Addition'!$L$1-365)</f>
        <v>0</v>
      </c>
      <c r="AC311" s="118">
        <f>IFERROR(AA311/'FA Addition'!$J311*'FA Addition'!$L311,0)</f>
        <v>0</v>
      </c>
      <c r="AE311" s="117">
        <f>IF(AND('FA Addition'!$D311&lt;$P$1+1,U311=0),'FA Addition'!$L311,0)-Y311</f>
        <v>30211</v>
      </c>
      <c r="AF311" s="117">
        <f t="shared" si="20"/>
        <v>30211</v>
      </c>
      <c r="AG311" s="117">
        <f>MIN(MAX(+$P$1-'FA Addition'!$D311,0),365*'FA Addition'!$O311)</f>
        <v>1095</v>
      </c>
      <c r="AH311" s="117">
        <f>MIN(MAX($L$1-'FA Addition'!$D311+1,0),365*'FA Addition'!$O311)</f>
        <v>1095</v>
      </c>
      <c r="AI311" s="117" cm="1">
        <f t="array" ref="AI311">_xlfn.XLOOKUP(1,('FA Write off'!A:A='FA Addition'!$A311)*('FA Write off'!D:D=AA311),'FA Write off'!H:H,0,0)</f>
        <v>0</v>
      </c>
      <c r="AJ311" s="117">
        <f>IF(AC311&gt;0,MAX(IF('FA Addition'!$N311="SLM",($AC311-'FA Addition'!$M311)*'FA Addition'!$P311*AI311/365,(AC311-'FA Addition'!$M311)*(1-(1-'FA Addition'!$P311)^(AI311/365))),0),0)</f>
        <v>0</v>
      </c>
      <c r="AL311" s="117">
        <f>MAX(IF(AG311&gt;0,IF('FA Addition'!$N311="SLM",($AE311-'FA Addition'!$M311)*'FA Addition'!$P311*AG311/365,IFERROR(VDB(AE311,AE311*0.05,'FA Addition'!$O311,0,YEARFRAC('FA Addition'!$C311,$P$1-1,3),'FA Addition'!$Q311),FAAddition[[#This Row],[Original Cost (Rs)]]-FAAddition[[#This Row],[Salvage Value]])),0),0)</f>
        <v>28700</v>
      </c>
      <c r="AM311" s="119"/>
      <c r="AN311" s="117">
        <f>MAX(IF(AH311&gt;0,IF('FA Addition'!$N311="SLM",($AF311-'FA Addition'!$M311)*'FA Addition'!$P311*AH311/365,IFERROR(VDB(AF311,AF311*0.05,'FA Addition'!$O311,0,YEARFRAC('FA Addition'!$C311,$L$1,3),'FA Addition'!$Q311),FAAddition[[#This Row],[Original Cost (Rs)]]-FAAddition[[#This Row],[Salvage Value]])),0),0)</f>
        <v>28700</v>
      </c>
      <c r="AO311" s="117">
        <f t="shared" si="23"/>
        <v>0</v>
      </c>
      <c r="AQ311" s="117">
        <f t="shared" si="21"/>
        <v>1511</v>
      </c>
      <c r="AR311" s="120">
        <f t="shared" si="22"/>
        <v>1511</v>
      </c>
      <c r="AS311" s="121"/>
    </row>
    <row r="312" spans="1:45" ht="13.5" x14ac:dyDescent="0.4">
      <c r="A312" s="12">
        <f t="shared" si="24"/>
        <v>309</v>
      </c>
      <c r="B312" s="44" t="s">
        <v>731</v>
      </c>
      <c r="C312" s="45">
        <v>43055</v>
      </c>
      <c r="D312" s="45">
        <v>43055</v>
      </c>
      <c r="E312" s="46" t="s">
        <v>749</v>
      </c>
      <c r="F312" s="44" t="s">
        <v>808</v>
      </c>
      <c r="G312" s="44" t="s">
        <v>842</v>
      </c>
      <c r="H312" s="51" t="s">
        <v>843</v>
      </c>
      <c r="I312" s="44" t="s">
        <v>844</v>
      </c>
      <c r="J312" s="48">
        <v>2</v>
      </c>
      <c r="K312" s="44" t="s">
        <v>845</v>
      </c>
      <c r="L312" s="62">
        <v>26000</v>
      </c>
      <c r="M312" s="50">
        <f>ROUND('FA Addition'!$L312*5%,0.1)</f>
        <v>1300</v>
      </c>
      <c r="N312" s="113" t="str">
        <f>_xlfn.XLOOKUP(_xlfn.CONCAT(E312,B312),'Year Wise Master Dep Approach'!F:F,'Year Wise Master Dep Approach'!D:D)</f>
        <v>WDV</v>
      </c>
      <c r="O312" s="113">
        <f>_xlfn.XLOOKUP(_xlfn.CONCAT(E312,B312),'Year Wise Master Dep Approach'!F:F,'Year Wise Master Dep Approach'!E:E)</f>
        <v>5</v>
      </c>
      <c r="P312" s="114">
        <f>IFERROR(IF('FA Addition'!$N312="WDV",1-('FA Addition'!$M312/'FA Addition'!$L312)^(1/'FA Addition'!$O312),1/'FA Addition'!$O312),0)</f>
        <v>0.45071972834694107</v>
      </c>
      <c r="Q312" s="122">
        <f>'FA Addition'!$P312*'FA Addition'!$O312</f>
        <v>2.2535986417347056</v>
      </c>
      <c r="R312" s="122"/>
      <c r="S312" s="116">
        <f>IF(AND(DATE(20&amp;LEFT(FAAddition[[#This Row],[FY]],2),4,1)&lt;$L$1+1,DATE(20&amp;LEFT(FAAddition[[#This Row],[FY]],2),4,1)&gt;$P$1-1),'FA Addition'!$J312,0)</f>
        <v>0</v>
      </c>
      <c r="U312" s="117">
        <f>S312*'FA Addition'!$L312/'FA Addition'!$J312</f>
        <v>0</v>
      </c>
      <c r="W312" s="116">
        <f>SUMIFS('FA Write off'!D:D,'FA Write off'!A:A,'FA Addition'!$A312,'FA Write off'!C:C,"&lt;"&amp;'FA Addition'!$P$1)</f>
        <v>0</v>
      </c>
      <c r="Y312" s="191">
        <f>IFERROR(W312/'FA Addition'!$J312*'FA Addition'!$L312,0)</f>
        <v>0</v>
      </c>
      <c r="AA312" s="116">
        <f>SUMIFS('FA Write off'!D:D,'FA Write off'!A:A,'FA Addition'!$A312,'FA Write off'!C:C,"&lt;"&amp;'FA Addition'!$L$1+1,'FA Write off'!C:C,"&gt;"&amp;'FA Addition'!$L$1-365)</f>
        <v>0</v>
      </c>
      <c r="AC312" s="118">
        <f>IFERROR(AA312/'FA Addition'!$J312*'FA Addition'!$L312,0)</f>
        <v>0</v>
      </c>
      <c r="AE312" s="117">
        <f>IF(AND('FA Addition'!$D312&lt;$P$1+1,U312=0),'FA Addition'!$L312,0)-Y312</f>
        <v>26000</v>
      </c>
      <c r="AF312" s="117">
        <f t="shared" si="20"/>
        <v>26000</v>
      </c>
      <c r="AG312" s="117">
        <f>MIN(MAX(+$P$1-'FA Addition'!$D312,0),365*'FA Addition'!$O312)</f>
        <v>1825</v>
      </c>
      <c r="AH312" s="117">
        <f>MIN(MAX($L$1-'FA Addition'!$D312+1,0),365*'FA Addition'!$O312)</f>
        <v>1825</v>
      </c>
      <c r="AI312" s="117" cm="1">
        <f t="array" ref="AI312">_xlfn.XLOOKUP(1,('FA Write off'!A:A='FA Addition'!$A312)*('FA Write off'!D:D=AA312),'FA Write off'!H:H,0,0)</f>
        <v>0</v>
      </c>
      <c r="AJ312" s="117">
        <f>IF(AC312&gt;0,MAX(IF('FA Addition'!$N312="SLM",($AC312-'FA Addition'!$M312)*'FA Addition'!$P312*AI312/365,(AC312-'FA Addition'!$M312)*(1-(1-'FA Addition'!$P312)^(AI312/365))),0),0)</f>
        <v>0</v>
      </c>
      <c r="AL312" s="117">
        <f>MAX(IF(AG312&gt;0,IF('FA Addition'!$N312="SLM",($AE312-'FA Addition'!$M312)*'FA Addition'!$P312*AG312/365,IFERROR(VDB(AE312,AE312*0.05,'FA Addition'!$O312,0,YEARFRAC('FA Addition'!$C312,$P$1-1,3),'FA Addition'!$Q312),FAAddition[[#This Row],[Original Cost (Rs)]]-FAAddition[[#This Row],[Salvage Value]])),0),0)</f>
        <v>24700</v>
      </c>
      <c r="AM312" s="119"/>
      <c r="AN312" s="117">
        <f>MAX(IF(AH312&gt;0,IF('FA Addition'!$N312="SLM",($AF312-'FA Addition'!$M312)*'FA Addition'!$P312*AH312/365,IFERROR(VDB(AF312,AF312*0.05,'FA Addition'!$O312,0,YEARFRAC('FA Addition'!$C312,$L$1,3),'FA Addition'!$Q312),FAAddition[[#This Row],[Original Cost (Rs)]]-FAAddition[[#This Row],[Salvage Value]])),0),0)</f>
        <v>24700</v>
      </c>
      <c r="AO312" s="117">
        <f t="shared" si="23"/>
        <v>0</v>
      </c>
      <c r="AQ312" s="117">
        <f t="shared" si="21"/>
        <v>1300</v>
      </c>
      <c r="AR312" s="120">
        <f t="shared" si="22"/>
        <v>1300</v>
      </c>
      <c r="AS312" s="121"/>
    </row>
    <row r="313" spans="1:45" ht="13.5" x14ac:dyDescent="0.4">
      <c r="A313" s="12">
        <f t="shared" si="24"/>
        <v>310</v>
      </c>
      <c r="B313" s="44" t="s">
        <v>731</v>
      </c>
      <c r="C313" s="45">
        <v>43055</v>
      </c>
      <c r="D313" s="45">
        <v>43055</v>
      </c>
      <c r="E313" s="46" t="s">
        <v>523</v>
      </c>
      <c r="F313" s="44" t="s">
        <v>758</v>
      </c>
      <c r="G313" s="44" t="s">
        <v>846</v>
      </c>
      <c r="H313" s="51"/>
      <c r="I313" s="44"/>
      <c r="J313" s="56">
        <v>1</v>
      </c>
      <c r="K313" s="44" t="s">
        <v>847</v>
      </c>
      <c r="L313" s="62">
        <v>22474</v>
      </c>
      <c r="M313" s="50">
        <f>ROUND('FA Addition'!$L313*5%,0.1)</f>
        <v>1124</v>
      </c>
      <c r="N313" s="113" t="str">
        <f>_xlfn.XLOOKUP(_xlfn.CONCAT(E313,B313),'Year Wise Master Dep Approach'!F:F,'Year Wise Master Dep Approach'!D:D)</f>
        <v>WDV</v>
      </c>
      <c r="O313" s="113">
        <f>_xlfn.XLOOKUP(_xlfn.CONCAT(E313,B313),'Year Wise Master Dep Approach'!F:F,'Year Wise Master Dep Approach'!E:E)</f>
        <v>10</v>
      </c>
      <c r="P313" s="114">
        <f>IFERROR(IF('FA Addition'!$N313="WDV",1-('FA Addition'!$M313/'FA Addition'!$L313)^(1/'FA Addition'!$O313),1/'FA Addition'!$O313),0)</f>
        <v>0.25884576682011995</v>
      </c>
      <c r="Q313" s="122">
        <f>'FA Addition'!$P313*'FA Addition'!$O313</f>
        <v>2.5884576682011993</v>
      </c>
      <c r="R313" s="122"/>
      <c r="S313" s="116">
        <f>IF(AND(DATE(20&amp;LEFT(FAAddition[[#This Row],[FY]],2),4,1)&lt;$L$1+1,DATE(20&amp;LEFT(FAAddition[[#This Row],[FY]],2),4,1)&gt;$P$1-1),'FA Addition'!$J313,0)</f>
        <v>0</v>
      </c>
      <c r="U313" s="117">
        <f>S313*'FA Addition'!$L313/'FA Addition'!$J313</f>
        <v>0</v>
      </c>
      <c r="W313" s="116">
        <f>SUMIFS('FA Write off'!D:D,'FA Write off'!A:A,'FA Addition'!$A313,'FA Write off'!C:C,"&lt;"&amp;'FA Addition'!$P$1)</f>
        <v>0</v>
      </c>
      <c r="Y313" s="191">
        <f>IFERROR(W313/'FA Addition'!$J313*'FA Addition'!$L313,0)</f>
        <v>0</v>
      </c>
      <c r="AA313" s="116">
        <f>SUMIFS('FA Write off'!D:D,'FA Write off'!A:A,'FA Addition'!$A313,'FA Write off'!C:C,"&lt;"&amp;'FA Addition'!$L$1+1,'FA Write off'!C:C,"&gt;"&amp;'FA Addition'!$L$1-365)</f>
        <v>0</v>
      </c>
      <c r="AC313" s="118">
        <f>IFERROR(AA313/'FA Addition'!$J313*'FA Addition'!$L313,0)</f>
        <v>0</v>
      </c>
      <c r="AE313" s="117">
        <f>IF(AND('FA Addition'!$D313&lt;$P$1+1,U313=0),'FA Addition'!$L313,0)-Y313</f>
        <v>22474</v>
      </c>
      <c r="AF313" s="117">
        <f t="shared" si="20"/>
        <v>22474</v>
      </c>
      <c r="AG313" s="117">
        <f>MIN(MAX(+$P$1-'FA Addition'!$D313,0),365*'FA Addition'!$O313)</f>
        <v>1962</v>
      </c>
      <c r="AH313" s="117">
        <f>MIN(MAX($L$1-'FA Addition'!$D313+1,0),365*'FA Addition'!$O313)</f>
        <v>2328</v>
      </c>
      <c r="AI313" s="117" cm="1">
        <f t="array" ref="AI313">_xlfn.XLOOKUP(1,('FA Write off'!A:A='FA Addition'!$A313)*('FA Write off'!D:D=AA313),'FA Write off'!H:H,0,0)</f>
        <v>0</v>
      </c>
      <c r="AJ313" s="117">
        <f>IF(AC313&gt;0,MAX(IF('FA Addition'!$N313="SLM",($AC313-'FA Addition'!$M313)*'FA Addition'!$P313*AI313/365,(AC313-'FA Addition'!$M313)*(1-(1-'FA Addition'!$P313)^(AI313/365))),0),0)</f>
        <v>0</v>
      </c>
      <c r="AL313" s="117">
        <f>MAX(IF(AG313&gt;0,IF('FA Addition'!$N313="SLM",($AE313-'FA Addition'!$M313)*'FA Addition'!$P313*AG313/365,IFERROR(VDB(AE313,AE313*0.05,'FA Addition'!$O313,0,YEARFRAC('FA Addition'!$C313,$P$1-1,3),'FA Addition'!$Q313),FAAddition[[#This Row],[Original Cost (Rs)]]-FAAddition[[#This Row],[Salvage Value]])),0),0)</f>
        <v>17932.731833324313</v>
      </c>
      <c r="AM313" s="119"/>
      <c r="AN313" s="117">
        <f>MAX(IF(AH313&gt;0,IF('FA Addition'!$N313="SLM",($AF313-'FA Addition'!$M313)*'FA Addition'!$P313*AH313/365,IFERROR(VDB(AF313,AF313*0.05,'FA Addition'!$O313,0,YEARFRAC('FA Addition'!$C313,$L$1,3),'FA Addition'!$Q313),FAAddition[[#This Row],[Original Cost (Rs)]]-FAAddition[[#This Row],[Salvage Value]])),0),0)</f>
        <v>19110.861553847248</v>
      </c>
      <c r="AO313" s="117">
        <f t="shared" si="23"/>
        <v>1178.1297205229348</v>
      </c>
      <c r="AQ313" s="117">
        <f t="shared" si="21"/>
        <v>4541.2681666756871</v>
      </c>
      <c r="AR313" s="120">
        <f t="shared" si="22"/>
        <v>3363.1384461527523</v>
      </c>
      <c r="AS313" s="121"/>
    </row>
    <row r="314" spans="1:45" ht="13.5" x14ac:dyDescent="0.4">
      <c r="A314" s="12">
        <f t="shared" si="24"/>
        <v>311</v>
      </c>
      <c r="B314" s="44" t="s">
        <v>731</v>
      </c>
      <c r="C314" s="45">
        <v>43055</v>
      </c>
      <c r="D314" s="45">
        <v>43055</v>
      </c>
      <c r="E314" s="46" t="s">
        <v>749</v>
      </c>
      <c r="F314" s="44" t="s">
        <v>750</v>
      </c>
      <c r="G314" s="44" t="s">
        <v>840</v>
      </c>
      <c r="H314" s="51" t="s">
        <v>848</v>
      </c>
      <c r="I314" s="44">
        <v>2040</v>
      </c>
      <c r="J314" s="56">
        <v>1</v>
      </c>
      <c r="K314" s="44" t="s">
        <v>849</v>
      </c>
      <c r="L314" s="62">
        <v>1640</v>
      </c>
      <c r="M314" s="50">
        <f>ROUND('FA Addition'!$L314*5%,0.1)</f>
        <v>82</v>
      </c>
      <c r="N314" s="113" t="str">
        <f>_xlfn.XLOOKUP(_xlfn.CONCAT(E314,B314),'Year Wise Master Dep Approach'!F:F,'Year Wise Master Dep Approach'!D:D)</f>
        <v>WDV</v>
      </c>
      <c r="O314" s="113">
        <f>_xlfn.XLOOKUP(_xlfn.CONCAT(E314,B314),'Year Wise Master Dep Approach'!F:F,'Year Wise Master Dep Approach'!E:E)</f>
        <v>5</v>
      </c>
      <c r="P314" s="114">
        <f>IFERROR(IF('FA Addition'!$N314="WDV",1-('FA Addition'!$M314/'FA Addition'!$L314)^(1/'FA Addition'!$O314),1/'FA Addition'!$O314),0)</f>
        <v>0.45071972834694107</v>
      </c>
      <c r="Q314" s="122">
        <f>'FA Addition'!$P314*'FA Addition'!$O314</f>
        <v>2.2535986417347056</v>
      </c>
      <c r="R314" s="122"/>
      <c r="S314" s="116">
        <f>IF(AND(DATE(20&amp;LEFT(FAAddition[[#This Row],[FY]],2),4,1)&lt;$L$1+1,DATE(20&amp;LEFT(FAAddition[[#This Row],[FY]],2),4,1)&gt;$P$1-1),'FA Addition'!$J314,0)</f>
        <v>0</v>
      </c>
      <c r="U314" s="117">
        <f>S314*'FA Addition'!$L314/'FA Addition'!$J314</f>
        <v>0</v>
      </c>
      <c r="W314" s="116">
        <f>SUMIFS('FA Write off'!D:D,'FA Write off'!A:A,'FA Addition'!$A314,'FA Write off'!C:C,"&lt;"&amp;'FA Addition'!$P$1)</f>
        <v>0</v>
      </c>
      <c r="Y314" s="191">
        <f>IFERROR(W314/'FA Addition'!$J314*'FA Addition'!$L314,0)</f>
        <v>0</v>
      </c>
      <c r="AA314" s="116">
        <f>SUMIFS('FA Write off'!D:D,'FA Write off'!A:A,'FA Addition'!$A314,'FA Write off'!C:C,"&lt;"&amp;'FA Addition'!$L$1+1,'FA Write off'!C:C,"&gt;"&amp;'FA Addition'!$L$1-365)</f>
        <v>0</v>
      </c>
      <c r="AC314" s="118">
        <f>IFERROR(AA314/'FA Addition'!$J314*'FA Addition'!$L314,0)</f>
        <v>0</v>
      </c>
      <c r="AE314" s="117">
        <f>IF(AND('FA Addition'!$D314&lt;$P$1+1,U314=0),'FA Addition'!$L314,0)-Y314</f>
        <v>1640</v>
      </c>
      <c r="AF314" s="117">
        <f t="shared" si="20"/>
        <v>1640</v>
      </c>
      <c r="AG314" s="117">
        <f>MIN(MAX(+$P$1-'FA Addition'!$D314,0),365*'FA Addition'!$O314)</f>
        <v>1825</v>
      </c>
      <c r="AH314" s="117">
        <f>MIN(MAX($L$1-'FA Addition'!$D314+1,0),365*'FA Addition'!$O314)</f>
        <v>1825</v>
      </c>
      <c r="AI314" s="117" cm="1">
        <f t="array" ref="AI314">_xlfn.XLOOKUP(1,('FA Write off'!A:A='FA Addition'!$A314)*('FA Write off'!D:D=AA314),'FA Write off'!H:H,0,0)</f>
        <v>0</v>
      </c>
      <c r="AJ314" s="117">
        <f>IF(AC314&gt;0,MAX(IF('FA Addition'!$N314="SLM",($AC314-'FA Addition'!$M314)*'FA Addition'!$P314*AI314/365,(AC314-'FA Addition'!$M314)*(1-(1-'FA Addition'!$P314)^(AI314/365))),0),0)</f>
        <v>0</v>
      </c>
      <c r="AL314" s="117">
        <f>MAX(IF(AG314&gt;0,IF('FA Addition'!$N314="SLM",($AE314-'FA Addition'!$M314)*'FA Addition'!$P314*AG314/365,IFERROR(VDB(AE314,AE314*0.05,'FA Addition'!$O314,0,YEARFRAC('FA Addition'!$C314,$P$1-1,3),'FA Addition'!$Q314),FAAddition[[#This Row],[Original Cost (Rs)]]-FAAddition[[#This Row],[Salvage Value]])),0),0)</f>
        <v>1558</v>
      </c>
      <c r="AM314" s="119"/>
      <c r="AN314" s="117">
        <f>MAX(IF(AH314&gt;0,IF('FA Addition'!$N314="SLM",($AF314-'FA Addition'!$M314)*'FA Addition'!$P314*AH314/365,IFERROR(VDB(AF314,AF314*0.05,'FA Addition'!$O314,0,YEARFRAC('FA Addition'!$C314,$L$1,3),'FA Addition'!$Q314),FAAddition[[#This Row],[Original Cost (Rs)]]-FAAddition[[#This Row],[Salvage Value]])),0),0)</f>
        <v>1558</v>
      </c>
      <c r="AO314" s="117">
        <f t="shared" si="23"/>
        <v>0</v>
      </c>
      <c r="AQ314" s="117">
        <f t="shared" si="21"/>
        <v>82</v>
      </c>
      <c r="AR314" s="120">
        <f t="shared" si="22"/>
        <v>82</v>
      </c>
      <c r="AS314" s="121"/>
    </row>
    <row r="315" spans="1:45" ht="13.5" x14ac:dyDescent="0.4">
      <c r="A315" s="12">
        <f t="shared" si="24"/>
        <v>312</v>
      </c>
      <c r="B315" s="44" t="s">
        <v>731</v>
      </c>
      <c r="C315" s="45">
        <v>43055</v>
      </c>
      <c r="D315" s="45">
        <v>43055</v>
      </c>
      <c r="E315" s="46" t="s">
        <v>32</v>
      </c>
      <c r="F315" s="44" t="s">
        <v>32</v>
      </c>
      <c r="G315" s="44" t="s">
        <v>732</v>
      </c>
      <c r="H315" s="51" t="s">
        <v>850</v>
      </c>
      <c r="I315" s="44" t="s">
        <v>851</v>
      </c>
      <c r="J315" s="48">
        <v>2</v>
      </c>
      <c r="K315" s="44" t="s">
        <v>852</v>
      </c>
      <c r="L315" s="62">
        <v>6998</v>
      </c>
      <c r="M315" s="50">
        <f>ROUND('FA Addition'!$L315*5%,0.1)</f>
        <v>350</v>
      </c>
      <c r="N315" s="113" t="str">
        <f>_xlfn.XLOOKUP(_xlfn.CONCAT(E315,B315),'Year Wise Master Dep Approach'!F:F,'Year Wise Master Dep Approach'!D:D)</f>
        <v>WDV</v>
      </c>
      <c r="O315" s="113">
        <f>_xlfn.XLOOKUP(_xlfn.CONCAT(E315,B315),'Year Wise Master Dep Approach'!F:F,'Year Wise Master Dep Approach'!E:E)</f>
        <v>3</v>
      </c>
      <c r="P315" s="114">
        <f>IFERROR(IF('FA Addition'!$N315="WDV",1-('FA Addition'!$M315/'FA Addition'!$L315)^(1/'FA Addition'!$O315),1/'FA Addition'!$O315),0)</f>
        <v>0.63156175743715282</v>
      </c>
      <c r="Q315" s="122">
        <f>'FA Addition'!$P315*'FA Addition'!$O315</f>
        <v>1.8946852723114584</v>
      </c>
      <c r="R315" s="122"/>
      <c r="S315" s="116">
        <f>IF(AND(DATE(20&amp;LEFT(FAAddition[[#This Row],[FY]],2),4,1)&lt;$L$1+1,DATE(20&amp;LEFT(FAAddition[[#This Row],[FY]],2),4,1)&gt;$P$1-1),'FA Addition'!$J315,0)</f>
        <v>0</v>
      </c>
      <c r="U315" s="117">
        <f>S315*'FA Addition'!$L315/'FA Addition'!$J315</f>
        <v>0</v>
      </c>
      <c r="W315" s="116">
        <f>SUMIFS('FA Write off'!D:D,'FA Write off'!A:A,'FA Addition'!$A315,'FA Write off'!C:C,"&lt;"&amp;'FA Addition'!$P$1)</f>
        <v>0</v>
      </c>
      <c r="Y315" s="191">
        <f>IFERROR(W315/'FA Addition'!$J315*'FA Addition'!$L315,0)</f>
        <v>0</v>
      </c>
      <c r="AA315" s="116">
        <f>SUMIFS('FA Write off'!D:D,'FA Write off'!A:A,'FA Addition'!$A315,'FA Write off'!C:C,"&lt;"&amp;'FA Addition'!$L$1+1,'FA Write off'!C:C,"&gt;"&amp;'FA Addition'!$L$1-365)</f>
        <v>0</v>
      </c>
      <c r="AC315" s="118">
        <f>IFERROR(AA315/'FA Addition'!$J315*'FA Addition'!$L315,0)</f>
        <v>0</v>
      </c>
      <c r="AE315" s="117">
        <f>IF(AND('FA Addition'!$D315&lt;$P$1+1,U315=0),'FA Addition'!$L315,0)-Y315</f>
        <v>6998</v>
      </c>
      <c r="AF315" s="117">
        <f t="shared" si="20"/>
        <v>6998</v>
      </c>
      <c r="AG315" s="117">
        <f>MIN(MAX(+$P$1-'FA Addition'!$D315,0),365*'FA Addition'!$O315)</f>
        <v>1095</v>
      </c>
      <c r="AH315" s="117">
        <f>MIN(MAX($L$1-'FA Addition'!$D315+1,0),365*'FA Addition'!$O315)</f>
        <v>1095</v>
      </c>
      <c r="AI315" s="117" cm="1">
        <f t="array" ref="AI315">_xlfn.XLOOKUP(1,('FA Write off'!A:A='FA Addition'!$A315)*('FA Write off'!D:D=AA315),'FA Write off'!H:H,0,0)</f>
        <v>0</v>
      </c>
      <c r="AJ315" s="117">
        <f>IF(AC315&gt;0,MAX(IF('FA Addition'!$N315="SLM",($AC315-'FA Addition'!$M315)*'FA Addition'!$P315*AI315/365,(AC315-'FA Addition'!$M315)*(1-(1-'FA Addition'!$P315)^(AI315/365))),0),0)</f>
        <v>0</v>
      </c>
      <c r="AL315" s="117">
        <f>MAX(IF(AG315&gt;0,IF('FA Addition'!$N315="SLM",($AE315-'FA Addition'!$M315)*'FA Addition'!$P315*AG315/365,IFERROR(VDB(AE315,AE315*0.05,'FA Addition'!$O315,0,YEARFRAC('FA Addition'!$C315,$P$1-1,3),'FA Addition'!$Q315),FAAddition[[#This Row],[Original Cost (Rs)]]-FAAddition[[#This Row],[Salvage Value]])),0),0)</f>
        <v>6648</v>
      </c>
      <c r="AM315" s="119"/>
      <c r="AN315" s="117">
        <f>MAX(IF(AH315&gt;0,IF('FA Addition'!$N315="SLM",($AF315-'FA Addition'!$M315)*'FA Addition'!$P315*AH315/365,IFERROR(VDB(AF315,AF315*0.05,'FA Addition'!$O315,0,YEARFRAC('FA Addition'!$C315,$L$1,3),'FA Addition'!$Q315),FAAddition[[#This Row],[Original Cost (Rs)]]-FAAddition[[#This Row],[Salvage Value]])),0),0)</f>
        <v>6648</v>
      </c>
      <c r="AO315" s="117">
        <f t="shared" si="23"/>
        <v>0</v>
      </c>
      <c r="AQ315" s="117">
        <f t="shared" si="21"/>
        <v>350</v>
      </c>
      <c r="AR315" s="120">
        <f t="shared" si="22"/>
        <v>350</v>
      </c>
      <c r="AS315" s="121"/>
    </row>
    <row r="316" spans="1:45" ht="13.5" x14ac:dyDescent="0.4">
      <c r="A316" s="12">
        <f t="shared" si="24"/>
        <v>313</v>
      </c>
      <c r="B316" s="44" t="s">
        <v>731</v>
      </c>
      <c r="C316" s="45">
        <v>43059</v>
      </c>
      <c r="D316" s="45">
        <v>43059</v>
      </c>
      <c r="E316" s="46" t="s">
        <v>32</v>
      </c>
      <c r="F316" s="44" t="s">
        <v>32</v>
      </c>
      <c r="G316" s="44" t="s">
        <v>597</v>
      </c>
      <c r="H316" s="51" t="s">
        <v>32</v>
      </c>
      <c r="I316" s="44"/>
      <c r="J316" s="56">
        <v>1</v>
      </c>
      <c r="K316" s="44" t="s">
        <v>32</v>
      </c>
      <c r="L316" s="62">
        <v>6998</v>
      </c>
      <c r="M316" s="50">
        <f>ROUND('FA Addition'!$L316*5%,0.1)</f>
        <v>350</v>
      </c>
      <c r="N316" s="113" t="str">
        <f>_xlfn.XLOOKUP(_xlfn.CONCAT(E316,B316),'Year Wise Master Dep Approach'!F:F,'Year Wise Master Dep Approach'!D:D)</f>
        <v>WDV</v>
      </c>
      <c r="O316" s="113">
        <f>_xlfn.XLOOKUP(_xlfn.CONCAT(E316,B316),'Year Wise Master Dep Approach'!F:F,'Year Wise Master Dep Approach'!E:E)</f>
        <v>3</v>
      </c>
      <c r="P316" s="114">
        <f>IFERROR(IF('FA Addition'!$N316="WDV",1-('FA Addition'!$M316/'FA Addition'!$L316)^(1/'FA Addition'!$O316),1/'FA Addition'!$O316),0)</f>
        <v>0.63156175743715282</v>
      </c>
      <c r="Q316" s="122">
        <f>'FA Addition'!$P316*'FA Addition'!$O316</f>
        <v>1.8946852723114584</v>
      </c>
      <c r="R316" s="122"/>
      <c r="S316" s="116">
        <f>IF(AND(DATE(20&amp;LEFT(FAAddition[[#This Row],[FY]],2),4,1)&lt;$L$1+1,DATE(20&amp;LEFT(FAAddition[[#This Row],[FY]],2),4,1)&gt;$P$1-1),'FA Addition'!$J316,0)</f>
        <v>0</v>
      </c>
      <c r="U316" s="117">
        <f>S316*'FA Addition'!$L316/'FA Addition'!$J316</f>
        <v>0</v>
      </c>
      <c r="W316" s="116">
        <f>SUMIFS('FA Write off'!D:D,'FA Write off'!A:A,'FA Addition'!$A316,'FA Write off'!C:C,"&lt;"&amp;'FA Addition'!$P$1)</f>
        <v>0</v>
      </c>
      <c r="Y316" s="191">
        <f>IFERROR(W316/'FA Addition'!$J316*'FA Addition'!$L316,0)</f>
        <v>0</v>
      </c>
      <c r="AA316" s="116">
        <f>SUMIFS('FA Write off'!D:D,'FA Write off'!A:A,'FA Addition'!$A316,'FA Write off'!C:C,"&lt;"&amp;'FA Addition'!$L$1+1,'FA Write off'!C:C,"&gt;"&amp;'FA Addition'!$L$1-365)</f>
        <v>0</v>
      </c>
      <c r="AC316" s="118">
        <f>IFERROR(AA316/'FA Addition'!$J316*'FA Addition'!$L316,0)</f>
        <v>0</v>
      </c>
      <c r="AE316" s="117">
        <f>IF(AND('FA Addition'!$D316&lt;$P$1+1,U316=0),'FA Addition'!$L316,0)-Y316</f>
        <v>6998</v>
      </c>
      <c r="AF316" s="117">
        <f t="shared" si="20"/>
        <v>6998</v>
      </c>
      <c r="AG316" s="117">
        <f>MIN(MAX(+$P$1-'FA Addition'!$D316,0),365*'FA Addition'!$O316)</f>
        <v>1095</v>
      </c>
      <c r="AH316" s="117">
        <f>MIN(MAX($L$1-'FA Addition'!$D316+1,0),365*'FA Addition'!$O316)</f>
        <v>1095</v>
      </c>
      <c r="AI316" s="117" cm="1">
        <f t="array" ref="AI316">_xlfn.XLOOKUP(1,('FA Write off'!A:A='FA Addition'!$A316)*('FA Write off'!D:D=AA316),'FA Write off'!H:H,0,0)</f>
        <v>0</v>
      </c>
      <c r="AJ316" s="117">
        <f>IF(AC316&gt;0,MAX(IF('FA Addition'!$N316="SLM",($AC316-'FA Addition'!$M316)*'FA Addition'!$P316*AI316/365,(AC316-'FA Addition'!$M316)*(1-(1-'FA Addition'!$P316)^(AI316/365))),0),0)</f>
        <v>0</v>
      </c>
      <c r="AL316" s="117">
        <f>MAX(IF(AG316&gt;0,IF('FA Addition'!$N316="SLM",($AE316-'FA Addition'!$M316)*'FA Addition'!$P316*AG316/365,IFERROR(VDB(AE316,AE316*0.05,'FA Addition'!$O316,0,YEARFRAC('FA Addition'!$C316,$P$1-1,3),'FA Addition'!$Q316),FAAddition[[#This Row],[Original Cost (Rs)]]-FAAddition[[#This Row],[Salvage Value]])),0),0)</f>
        <v>6648</v>
      </c>
      <c r="AM316" s="119"/>
      <c r="AN316" s="117">
        <f>MAX(IF(AH316&gt;0,IF('FA Addition'!$N316="SLM",($AF316-'FA Addition'!$M316)*'FA Addition'!$P316*AH316/365,IFERROR(VDB(AF316,AF316*0.05,'FA Addition'!$O316,0,YEARFRAC('FA Addition'!$C316,$L$1,3),'FA Addition'!$Q316),FAAddition[[#This Row],[Original Cost (Rs)]]-FAAddition[[#This Row],[Salvage Value]])),0),0)</f>
        <v>6648</v>
      </c>
      <c r="AO316" s="117">
        <f t="shared" si="23"/>
        <v>0</v>
      </c>
      <c r="AQ316" s="117">
        <f t="shared" si="21"/>
        <v>350</v>
      </c>
      <c r="AR316" s="120">
        <f t="shared" si="22"/>
        <v>350</v>
      </c>
      <c r="AS316" s="121"/>
    </row>
    <row r="317" spans="1:45" ht="13.5" x14ac:dyDescent="0.4">
      <c r="A317" s="12">
        <f t="shared" si="24"/>
        <v>314</v>
      </c>
      <c r="B317" s="44" t="s">
        <v>731</v>
      </c>
      <c r="C317" s="45">
        <v>43062</v>
      </c>
      <c r="D317" s="45">
        <v>43062</v>
      </c>
      <c r="E317" s="46" t="s">
        <v>32</v>
      </c>
      <c r="F317" s="44" t="s">
        <v>32</v>
      </c>
      <c r="G317" s="44" t="s">
        <v>433</v>
      </c>
      <c r="H317" s="51" t="s">
        <v>32</v>
      </c>
      <c r="I317" s="44" t="s">
        <v>853</v>
      </c>
      <c r="J317" s="48">
        <v>83</v>
      </c>
      <c r="K317" s="44" t="s">
        <v>854</v>
      </c>
      <c r="L317" s="62">
        <v>97200</v>
      </c>
      <c r="M317" s="50">
        <f>ROUND('FA Addition'!$L317*5%,0.1)</f>
        <v>4860</v>
      </c>
      <c r="N317" s="113" t="str">
        <f>_xlfn.XLOOKUP(_xlfn.CONCAT(E317,B317),'Year Wise Master Dep Approach'!F:F,'Year Wise Master Dep Approach'!D:D)</f>
        <v>WDV</v>
      </c>
      <c r="O317" s="113">
        <f>_xlfn.XLOOKUP(_xlfn.CONCAT(E317,B317),'Year Wise Master Dep Approach'!F:F,'Year Wise Master Dep Approach'!E:E)</f>
        <v>3</v>
      </c>
      <c r="P317" s="114">
        <f>IFERROR(IF('FA Addition'!$N317="WDV",1-('FA Addition'!$M317/'FA Addition'!$L317)^(1/'FA Addition'!$O317),1/'FA Addition'!$O317),0)</f>
        <v>0.63159685013596123</v>
      </c>
      <c r="Q317" s="122">
        <f>'FA Addition'!$P317*'FA Addition'!$O317</f>
        <v>1.8947905504078837</v>
      </c>
      <c r="R317" s="122"/>
      <c r="S317" s="116">
        <f>IF(AND(DATE(20&amp;LEFT(FAAddition[[#This Row],[FY]],2),4,1)&lt;$L$1+1,DATE(20&amp;LEFT(FAAddition[[#This Row],[FY]],2),4,1)&gt;$P$1-1),'FA Addition'!$J317,0)</f>
        <v>0</v>
      </c>
      <c r="U317" s="117">
        <f>S317*'FA Addition'!$L317/'FA Addition'!$J317</f>
        <v>0</v>
      </c>
      <c r="W317" s="116">
        <f>SUMIFS('FA Write off'!D:D,'FA Write off'!A:A,'FA Addition'!$A317,'FA Write off'!C:C,"&lt;"&amp;'FA Addition'!$P$1)</f>
        <v>6</v>
      </c>
      <c r="Y317" s="191">
        <f>IFERROR(W317/'FA Addition'!$J317*'FA Addition'!$L317,0)</f>
        <v>7026.5060240963849</v>
      </c>
      <c r="AA317" s="116">
        <f>SUMIFS('FA Write off'!D:D,'FA Write off'!A:A,'FA Addition'!$A317,'FA Write off'!C:C,"&lt;"&amp;'FA Addition'!$L$1+1,'FA Write off'!C:C,"&gt;"&amp;'FA Addition'!$L$1-365)</f>
        <v>0</v>
      </c>
      <c r="AC317" s="191">
        <f>IFERROR(AA317/'FA Addition'!$J317*'FA Addition'!$L317,0)</f>
        <v>0</v>
      </c>
      <c r="AE317" s="117">
        <f>IF(AND('FA Addition'!$D317&lt;$P$1+1,U317=0),'FA Addition'!$L317,0)-Y317</f>
        <v>90173.493975903621</v>
      </c>
      <c r="AF317" s="117">
        <f t="shared" si="20"/>
        <v>90173.493975903621</v>
      </c>
      <c r="AG317" s="117">
        <f>MIN(MAX(+$P$1-'FA Addition'!$D317,0),365*'FA Addition'!$O317)</f>
        <v>1095</v>
      </c>
      <c r="AH317" s="117">
        <f>MIN(MAX($L$1-'FA Addition'!$D317+1,0),365*'FA Addition'!$O317)</f>
        <v>1095</v>
      </c>
      <c r="AI317" s="117" cm="1">
        <f t="array" ref="AI317">_xlfn.XLOOKUP(1,('FA Write off'!A:A='FA Addition'!$A317)*('FA Write off'!D:D=AA317),'FA Write off'!H:H,0,0)</f>
        <v>0</v>
      </c>
      <c r="AJ317" s="117">
        <f>IF(AC317&gt;0,MAX(IF('FA Addition'!$N317="SLM",($AC317-'FA Addition'!$M317)*'FA Addition'!$P317*AI317/365,(AC317-'FA Addition'!$M317)*(1-(1-'FA Addition'!$P317)^(AI317/365))),0),0)</f>
        <v>0</v>
      </c>
      <c r="AL317" s="117">
        <f>MAX(IF(AG317&gt;0,IF('FA Addition'!$N317="SLM",($AE317-'FA Addition'!$M317)*'FA Addition'!$P317*AG317/365,IFERROR(VDB(AE317,AE317*0.05,'FA Addition'!$O317,0,YEARFRAC('FA Addition'!$C317,$P$1-1,3),'FA Addition'!$Q317),FAAddition[[#This Row],[Original Cost (Rs)]]-FAAddition[[#This Row],[Salvage Value]])),0),0)</f>
        <v>92340</v>
      </c>
      <c r="AM317" s="119"/>
      <c r="AN317" s="117">
        <f>MAX(IF(AH317&gt;0,IF('FA Addition'!$N317="SLM",($AF317-'FA Addition'!$M317)*'FA Addition'!$P317*AH317/365,IFERROR(VDB(AF317,AF317*0.05,'FA Addition'!$O317,0,YEARFRAC('FA Addition'!$C317,$L$1,3),'FA Addition'!$Q317),FAAddition[[#This Row],[Original Cost (Rs)]]-FAAddition[[#This Row],[Salvage Value]])),0),0)</f>
        <v>92340</v>
      </c>
      <c r="AO317" s="117">
        <f t="shared" si="23"/>
        <v>0</v>
      </c>
      <c r="AQ317" s="117">
        <f t="shared" si="21"/>
        <v>-2166.5060240963794</v>
      </c>
      <c r="AR317" s="120">
        <f t="shared" si="22"/>
        <v>-2166.5060240963794</v>
      </c>
      <c r="AS317" s="121"/>
    </row>
    <row r="318" spans="1:45" ht="13.5" x14ac:dyDescent="0.4">
      <c r="A318" s="12">
        <f t="shared" si="24"/>
        <v>315</v>
      </c>
      <c r="B318" s="44" t="s">
        <v>731</v>
      </c>
      <c r="C318" s="45">
        <v>43063</v>
      </c>
      <c r="D318" s="45">
        <v>43063</v>
      </c>
      <c r="E318" s="46" t="s">
        <v>451</v>
      </c>
      <c r="F318" s="44" t="s">
        <v>21</v>
      </c>
      <c r="G318" s="44" t="s">
        <v>620</v>
      </c>
      <c r="H318" s="51" t="s">
        <v>21</v>
      </c>
      <c r="I318" s="44">
        <v>6654</v>
      </c>
      <c r="J318" s="48">
        <v>2</v>
      </c>
      <c r="K318" s="44" t="s">
        <v>21</v>
      </c>
      <c r="L318" s="62">
        <v>33898</v>
      </c>
      <c r="M318" s="50">
        <f>ROUND('FA Addition'!$L318*5%,0.1)</f>
        <v>1695</v>
      </c>
      <c r="N318" s="113" t="str">
        <f>_xlfn.XLOOKUP(_xlfn.CONCAT(E318,B318),'Year Wise Master Dep Approach'!F:F,'Year Wise Master Dep Approach'!D:D)</f>
        <v>WDV</v>
      </c>
      <c r="O318" s="113">
        <f>_xlfn.XLOOKUP(_xlfn.CONCAT(E318,B318),'Year Wise Master Dep Approach'!F:F,'Year Wise Master Dep Approach'!E:E)</f>
        <v>3</v>
      </c>
      <c r="P318" s="114">
        <f>IFERROR(IF('FA Addition'!$N318="WDV",1-('FA Addition'!$M318/'FA Addition'!$L318)^(1/'FA Addition'!$O318),1/'FA Addition'!$O318),0)</f>
        <v>0.63158960495129413</v>
      </c>
      <c r="Q318" s="122">
        <f>'FA Addition'!$P318*'FA Addition'!$O318</f>
        <v>1.8947688148538824</v>
      </c>
      <c r="R318" s="122"/>
      <c r="S318" s="116">
        <f>IF(AND(DATE(20&amp;LEFT(FAAddition[[#This Row],[FY]],2),4,1)&lt;$L$1+1,DATE(20&amp;LEFT(FAAddition[[#This Row],[FY]],2),4,1)&gt;$P$1-1),'FA Addition'!$J318,0)</f>
        <v>0</v>
      </c>
      <c r="U318" s="117">
        <f>S318*'FA Addition'!$L318/'FA Addition'!$J318</f>
        <v>0</v>
      </c>
      <c r="W318" s="116">
        <f>SUMIFS('FA Write off'!D:D,'FA Write off'!A:A,'FA Addition'!$A318,'FA Write off'!C:C,"&lt;"&amp;'FA Addition'!$P$1)</f>
        <v>0</v>
      </c>
      <c r="Y318" s="191">
        <f>IFERROR(W318/'FA Addition'!$J318*'FA Addition'!$L318,0)</f>
        <v>0</v>
      </c>
      <c r="AA318" s="116">
        <f>SUMIFS('FA Write off'!D:D,'FA Write off'!A:A,'FA Addition'!$A318,'FA Write off'!C:C,"&lt;"&amp;'FA Addition'!$L$1+1,'FA Write off'!C:C,"&gt;"&amp;'FA Addition'!$L$1-365)</f>
        <v>0</v>
      </c>
      <c r="AC318" s="118">
        <f>IFERROR(AA318/'FA Addition'!$J318*'FA Addition'!$L318,0)</f>
        <v>0</v>
      </c>
      <c r="AE318" s="117">
        <f>IF(AND('FA Addition'!$D318&lt;$P$1+1,U318=0),'FA Addition'!$L318,0)-Y318</f>
        <v>33898</v>
      </c>
      <c r="AF318" s="117">
        <f t="shared" si="20"/>
        <v>33898</v>
      </c>
      <c r="AG318" s="117">
        <f>MIN(MAX(+$P$1-'FA Addition'!$D318,0),365*'FA Addition'!$O318)</f>
        <v>1095</v>
      </c>
      <c r="AH318" s="117">
        <f>MIN(MAX($L$1-'FA Addition'!$D318+1,0),365*'FA Addition'!$O318)</f>
        <v>1095</v>
      </c>
      <c r="AI318" s="117" cm="1">
        <f t="array" ref="AI318">_xlfn.XLOOKUP(1,('FA Write off'!A:A='FA Addition'!$A318)*('FA Write off'!D:D=AA318),'FA Write off'!H:H,0,0)</f>
        <v>0</v>
      </c>
      <c r="AJ318" s="117">
        <f>IF(AC318&gt;0,MAX(IF('FA Addition'!$N318="SLM",($AC318-'FA Addition'!$M318)*'FA Addition'!$P318*AI318/365,(AC318-'FA Addition'!$M318)*(1-(1-'FA Addition'!$P318)^(AI318/365))),0),0)</f>
        <v>0</v>
      </c>
      <c r="AL318" s="117">
        <f>MAX(IF(AG318&gt;0,IF('FA Addition'!$N318="SLM",($AE318-'FA Addition'!$M318)*'FA Addition'!$P318*AG318/365,IFERROR(VDB(AE318,AE318*0.05,'FA Addition'!$O318,0,YEARFRAC('FA Addition'!$C318,$P$1-1,3),'FA Addition'!$Q318),FAAddition[[#This Row],[Original Cost (Rs)]]-FAAddition[[#This Row],[Salvage Value]])),0),0)</f>
        <v>32203</v>
      </c>
      <c r="AM318" s="119"/>
      <c r="AN318" s="117">
        <f>MAX(IF(AH318&gt;0,IF('FA Addition'!$N318="SLM",($AF318-'FA Addition'!$M318)*'FA Addition'!$P318*AH318/365,IFERROR(VDB(AF318,AF318*0.05,'FA Addition'!$O318,0,YEARFRAC('FA Addition'!$C318,$L$1,3),'FA Addition'!$Q318),FAAddition[[#This Row],[Original Cost (Rs)]]-FAAddition[[#This Row],[Salvage Value]])),0),0)</f>
        <v>32203</v>
      </c>
      <c r="AO318" s="117">
        <f t="shared" si="23"/>
        <v>0</v>
      </c>
      <c r="AQ318" s="117">
        <f t="shared" si="21"/>
        <v>1695</v>
      </c>
      <c r="AR318" s="120">
        <f t="shared" si="22"/>
        <v>1695</v>
      </c>
      <c r="AS318" s="121"/>
    </row>
    <row r="319" spans="1:45" ht="13.5" x14ac:dyDescent="0.4">
      <c r="A319" s="12">
        <f t="shared" si="24"/>
        <v>316</v>
      </c>
      <c r="B319" s="44" t="s">
        <v>731</v>
      </c>
      <c r="C319" s="45">
        <v>43069</v>
      </c>
      <c r="D319" s="45">
        <v>43069</v>
      </c>
      <c r="E319" s="46" t="s">
        <v>749</v>
      </c>
      <c r="F319" s="44" t="s">
        <v>750</v>
      </c>
      <c r="G319" s="44"/>
      <c r="H319" s="51"/>
      <c r="I319" s="44"/>
      <c r="J319" s="56">
        <v>1</v>
      </c>
      <c r="K319" s="44"/>
      <c r="L319" s="62">
        <v>4887</v>
      </c>
      <c r="M319" s="50">
        <f>ROUND('FA Addition'!$L319*5%,0.1)</f>
        <v>244</v>
      </c>
      <c r="N319" s="113" t="str">
        <f>_xlfn.XLOOKUP(_xlfn.CONCAT(E319,B319),'Year Wise Master Dep Approach'!F:F,'Year Wise Master Dep Approach'!D:D)</f>
        <v>WDV</v>
      </c>
      <c r="O319" s="113">
        <f>_xlfn.XLOOKUP(_xlfn.CONCAT(E319,B319),'Year Wise Master Dep Approach'!F:F,'Year Wise Master Dep Approach'!E:E)</f>
        <v>5</v>
      </c>
      <c r="P319" s="114">
        <f>IFERROR(IF('FA Addition'!$N319="WDV",1-('FA Addition'!$M319/'FA Addition'!$L319)^(1/'FA Addition'!$O319),1/'FA Addition'!$O319),0)</f>
        <v>0.45087717327276233</v>
      </c>
      <c r="Q319" s="122">
        <f>'FA Addition'!$P319*'FA Addition'!$O319</f>
        <v>2.2543858663638119</v>
      </c>
      <c r="R319" s="122"/>
      <c r="S319" s="116">
        <f>IF(AND(DATE(20&amp;LEFT(FAAddition[[#This Row],[FY]],2),4,1)&lt;$L$1+1,DATE(20&amp;LEFT(FAAddition[[#This Row],[FY]],2),4,1)&gt;$P$1-1),'FA Addition'!$J319,0)</f>
        <v>0</v>
      </c>
      <c r="U319" s="117">
        <f>S319*'FA Addition'!$L319/'FA Addition'!$J319</f>
        <v>0</v>
      </c>
      <c r="W319" s="116">
        <f>SUMIFS('FA Write off'!D:D,'FA Write off'!A:A,'FA Addition'!$A319,'FA Write off'!C:C,"&lt;"&amp;'FA Addition'!$P$1)</f>
        <v>0</v>
      </c>
      <c r="Y319" s="191">
        <f>IFERROR(W319/'FA Addition'!$J319*'FA Addition'!$L319,0)</f>
        <v>0</v>
      </c>
      <c r="AA319" s="116">
        <f>SUMIFS('FA Write off'!D:D,'FA Write off'!A:A,'FA Addition'!$A319,'FA Write off'!C:C,"&lt;"&amp;'FA Addition'!$L$1+1,'FA Write off'!C:C,"&gt;"&amp;'FA Addition'!$L$1-365)</f>
        <v>0</v>
      </c>
      <c r="AC319" s="118">
        <f>IFERROR(AA319/'FA Addition'!$J319*'FA Addition'!$L319,0)</f>
        <v>0</v>
      </c>
      <c r="AE319" s="117">
        <f>IF(AND('FA Addition'!$D319&lt;$P$1+1,U319=0),'FA Addition'!$L319,0)-Y319</f>
        <v>4887</v>
      </c>
      <c r="AF319" s="117">
        <f t="shared" si="20"/>
        <v>4887</v>
      </c>
      <c r="AG319" s="117">
        <f>MIN(MAX(+$P$1-'FA Addition'!$D319,0),365*'FA Addition'!$O319)</f>
        <v>1825</v>
      </c>
      <c r="AH319" s="117">
        <f>MIN(MAX($L$1-'FA Addition'!$D319+1,0),365*'FA Addition'!$O319)</f>
        <v>1825</v>
      </c>
      <c r="AI319" s="117" cm="1">
        <f t="array" ref="AI319">_xlfn.XLOOKUP(1,('FA Write off'!A:A='FA Addition'!$A319)*('FA Write off'!D:D=AA319),'FA Write off'!H:H,0,0)</f>
        <v>0</v>
      </c>
      <c r="AJ319" s="117">
        <f>IF(AC319&gt;0,MAX(IF('FA Addition'!$N319="SLM",($AC319-'FA Addition'!$M319)*'FA Addition'!$P319*AI319/365,(AC319-'FA Addition'!$M319)*(1-(1-'FA Addition'!$P319)^(AI319/365))),0),0)</f>
        <v>0</v>
      </c>
      <c r="AL319" s="117">
        <f>MAX(IF(AG319&gt;0,IF('FA Addition'!$N319="SLM",($AE319-'FA Addition'!$M319)*'FA Addition'!$P319*AG319/365,IFERROR(VDB(AE319,AE319*0.05,'FA Addition'!$O319,0,YEARFRAC('FA Addition'!$C319,$P$1-1,3),'FA Addition'!$Q319),FAAddition[[#This Row],[Original Cost (Rs)]]-FAAddition[[#This Row],[Salvage Value]])),0),0)</f>
        <v>4643</v>
      </c>
      <c r="AM319" s="119"/>
      <c r="AN319" s="117">
        <f>MAX(IF(AH319&gt;0,IF('FA Addition'!$N319="SLM",($AF319-'FA Addition'!$M319)*'FA Addition'!$P319*AH319/365,IFERROR(VDB(AF319,AF319*0.05,'FA Addition'!$O319,0,YEARFRAC('FA Addition'!$C319,$L$1,3),'FA Addition'!$Q319),FAAddition[[#This Row],[Original Cost (Rs)]]-FAAddition[[#This Row],[Salvage Value]])),0),0)</f>
        <v>4643</v>
      </c>
      <c r="AO319" s="117">
        <f t="shared" si="23"/>
        <v>0</v>
      </c>
      <c r="AQ319" s="117">
        <f t="shared" si="21"/>
        <v>244</v>
      </c>
      <c r="AR319" s="120">
        <f t="shared" si="22"/>
        <v>244</v>
      </c>
      <c r="AS319" s="121"/>
    </row>
    <row r="320" spans="1:45" ht="13.5" x14ac:dyDescent="0.4">
      <c r="A320" s="12">
        <f t="shared" si="24"/>
        <v>317</v>
      </c>
      <c r="B320" s="44" t="s">
        <v>731</v>
      </c>
      <c r="C320" s="45">
        <v>43070</v>
      </c>
      <c r="D320" s="45">
        <v>43070</v>
      </c>
      <c r="E320" s="46" t="s">
        <v>32</v>
      </c>
      <c r="F320" s="44" t="s">
        <v>32</v>
      </c>
      <c r="G320" s="44" t="s">
        <v>433</v>
      </c>
      <c r="H320" s="51" t="s">
        <v>32</v>
      </c>
      <c r="I320" s="44" t="s">
        <v>855</v>
      </c>
      <c r="J320" s="48">
        <v>12</v>
      </c>
      <c r="K320" s="44" t="s">
        <v>856</v>
      </c>
      <c r="L320" s="62">
        <v>12740</v>
      </c>
      <c r="M320" s="50">
        <f>ROUND('FA Addition'!$L320*5%,0.1)</f>
        <v>637</v>
      </c>
      <c r="N320" s="113" t="str">
        <f>_xlfn.XLOOKUP(_xlfn.CONCAT(E320,B320),'Year Wise Master Dep Approach'!F:F,'Year Wise Master Dep Approach'!D:D)</f>
        <v>WDV</v>
      </c>
      <c r="O320" s="113">
        <f>_xlfn.XLOOKUP(_xlfn.CONCAT(E320,B320),'Year Wise Master Dep Approach'!F:F,'Year Wise Master Dep Approach'!E:E)</f>
        <v>3</v>
      </c>
      <c r="P320" s="114">
        <f>IFERROR(IF('FA Addition'!$N320="WDV",1-('FA Addition'!$M320/'FA Addition'!$L320)^(1/'FA Addition'!$O320),1/'FA Addition'!$O320),0)</f>
        <v>0.63159685013596123</v>
      </c>
      <c r="Q320" s="122">
        <f>'FA Addition'!$P320*'FA Addition'!$O320</f>
        <v>1.8947905504078837</v>
      </c>
      <c r="R320" s="122"/>
      <c r="S320" s="116">
        <f>IF(AND(DATE(20&amp;LEFT(FAAddition[[#This Row],[FY]],2),4,1)&lt;$L$1+1,DATE(20&amp;LEFT(FAAddition[[#This Row],[FY]],2),4,1)&gt;$P$1-1),'FA Addition'!$J320,0)</f>
        <v>0</v>
      </c>
      <c r="U320" s="117">
        <f>S320*'FA Addition'!$L320/'FA Addition'!$J320</f>
        <v>0</v>
      </c>
      <c r="W320" s="116">
        <f>SUMIFS('FA Write off'!D:D,'FA Write off'!A:A,'FA Addition'!$A320,'FA Write off'!C:C,"&lt;"&amp;'FA Addition'!$P$1)</f>
        <v>0</v>
      </c>
      <c r="Y320" s="191">
        <f>IFERROR(W320/'FA Addition'!$J320*'FA Addition'!$L320,0)</f>
        <v>0</v>
      </c>
      <c r="AA320" s="116">
        <f>SUMIFS('FA Write off'!D:D,'FA Write off'!A:A,'FA Addition'!$A320,'FA Write off'!C:C,"&lt;"&amp;'FA Addition'!$L$1+1,'FA Write off'!C:C,"&gt;"&amp;'FA Addition'!$L$1-365)</f>
        <v>0</v>
      </c>
      <c r="AC320" s="118">
        <f>IFERROR(AA320/'FA Addition'!$J320*'FA Addition'!$L320,0)</f>
        <v>0</v>
      </c>
      <c r="AE320" s="117">
        <f>IF(AND('FA Addition'!$D320&lt;$P$1+1,U320=0),'FA Addition'!$L320,0)-Y320</f>
        <v>12740</v>
      </c>
      <c r="AF320" s="117">
        <f t="shared" si="20"/>
        <v>12740</v>
      </c>
      <c r="AG320" s="117">
        <f>MIN(MAX(+$P$1-'FA Addition'!$D320,0),365*'FA Addition'!$O320)</f>
        <v>1095</v>
      </c>
      <c r="AH320" s="117">
        <f>MIN(MAX($L$1-'FA Addition'!$D320+1,0),365*'FA Addition'!$O320)</f>
        <v>1095</v>
      </c>
      <c r="AI320" s="117" cm="1">
        <f t="array" ref="AI320">_xlfn.XLOOKUP(1,('FA Write off'!A:A='FA Addition'!$A320)*('FA Write off'!D:D=AA320),'FA Write off'!H:H,0,0)</f>
        <v>0</v>
      </c>
      <c r="AJ320" s="117">
        <f>IF(AC320&gt;0,MAX(IF('FA Addition'!$N320="SLM",($AC320-'FA Addition'!$M320)*'FA Addition'!$P320*AI320/365,(AC320-'FA Addition'!$M320)*(1-(1-'FA Addition'!$P320)^(AI320/365))),0),0)</f>
        <v>0</v>
      </c>
      <c r="AL320" s="117">
        <f>MAX(IF(AG320&gt;0,IF('FA Addition'!$N320="SLM",($AE320-'FA Addition'!$M320)*'FA Addition'!$P320*AG320/365,IFERROR(VDB(AE320,AE320*0.05,'FA Addition'!$O320,0,YEARFRAC('FA Addition'!$C320,$P$1-1,3),'FA Addition'!$Q320),FAAddition[[#This Row],[Original Cost (Rs)]]-FAAddition[[#This Row],[Salvage Value]])),0),0)</f>
        <v>12103</v>
      </c>
      <c r="AM320" s="119"/>
      <c r="AN320" s="117">
        <f>MAX(IF(AH320&gt;0,IF('FA Addition'!$N320="SLM",($AF320-'FA Addition'!$M320)*'FA Addition'!$P320*AH320/365,IFERROR(VDB(AF320,AF320*0.05,'FA Addition'!$O320,0,YEARFRAC('FA Addition'!$C320,$L$1,3),'FA Addition'!$Q320),FAAddition[[#This Row],[Original Cost (Rs)]]-FAAddition[[#This Row],[Salvage Value]])),0),0)</f>
        <v>12103</v>
      </c>
      <c r="AO320" s="117">
        <f t="shared" si="23"/>
        <v>0</v>
      </c>
      <c r="AQ320" s="117">
        <f t="shared" si="21"/>
        <v>637</v>
      </c>
      <c r="AR320" s="120">
        <f t="shared" si="22"/>
        <v>637</v>
      </c>
      <c r="AS320" s="121"/>
    </row>
    <row r="321" spans="1:45" ht="13.5" x14ac:dyDescent="0.4">
      <c r="A321" s="12">
        <f t="shared" si="24"/>
        <v>318</v>
      </c>
      <c r="B321" s="44" t="s">
        <v>731</v>
      </c>
      <c r="C321" s="45">
        <v>43076</v>
      </c>
      <c r="D321" s="45">
        <v>43076</v>
      </c>
      <c r="E321" s="46" t="s">
        <v>32</v>
      </c>
      <c r="F321" s="44" t="s">
        <v>32</v>
      </c>
      <c r="G321" s="44" t="s">
        <v>857</v>
      </c>
      <c r="H321" s="51" t="s">
        <v>32</v>
      </c>
      <c r="I321" s="44" t="s">
        <v>858</v>
      </c>
      <c r="J321" s="48">
        <v>409</v>
      </c>
      <c r="K321" s="44" t="s">
        <v>859</v>
      </c>
      <c r="L321" s="62">
        <v>423328</v>
      </c>
      <c r="M321" s="50">
        <f>ROUND('FA Addition'!$L321*5%,0.1)</f>
        <v>21166</v>
      </c>
      <c r="N321" s="113" t="str">
        <f>_xlfn.XLOOKUP(_xlfn.CONCAT(E321,B321),'Year Wise Master Dep Approach'!F:F,'Year Wise Master Dep Approach'!D:D)</f>
        <v>WDV</v>
      </c>
      <c r="O321" s="113">
        <f>_xlfn.XLOOKUP(_xlfn.CONCAT(E321,B321),'Year Wise Master Dep Approach'!F:F,'Year Wise Master Dep Approach'!E:E)</f>
        <v>3</v>
      </c>
      <c r="P321" s="114">
        <f>IFERROR(IF('FA Addition'!$N321="WDV",1-('FA Addition'!$M321/'FA Addition'!$L321)^(1/'FA Addition'!$O321),1/'FA Addition'!$O321),0)</f>
        <v>0.63159917082957984</v>
      </c>
      <c r="Q321" s="122">
        <f>'FA Addition'!$P321*'FA Addition'!$O321</f>
        <v>1.8947975124887395</v>
      </c>
      <c r="R321" s="122"/>
      <c r="S321" s="116">
        <f>IF(AND(DATE(20&amp;LEFT(FAAddition[[#This Row],[FY]],2),4,1)&lt;$L$1+1,DATE(20&amp;LEFT(FAAddition[[#This Row],[FY]],2),4,1)&gt;$P$1-1),'FA Addition'!$J321,0)</f>
        <v>0</v>
      </c>
      <c r="U321" s="117">
        <f>S321*'FA Addition'!$L321/'FA Addition'!$J321</f>
        <v>0</v>
      </c>
      <c r="W321" s="116">
        <f>SUMIFS('FA Write off'!D:D,'FA Write off'!A:A,'FA Addition'!$A321,'FA Write off'!C:C,"&lt;"&amp;'FA Addition'!$P$1)</f>
        <v>15</v>
      </c>
      <c r="Y321" s="191">
        <f>IFERROR(W321/'FA Addition'!$J321*'FA Addition'!$L321,0)</f>
        <v>15525.476772616137</v>
      </c>
      <c r="AA321" s="116">
        <f>SUMIFS('FA Write off'!D:D,'FA Write off'!A:A,'FA Addition'!$A321,'FA Write off'!C:C,"&lt;"&amp;'FA Addition'!$L$1+1,'FA Write off'!C:C,"&gt;"&amp;'FA Addition'!$L$1-365)</f>
        <v>0</v>
      </c>
      <c r="AC321" s="191">
        <f>IFERROR(AA321/'FA Addition'!$J321*'FA Addition'!$L321,0)</f>
        <v>0</v>
      </c>
      <c r="AE321" s="117">
        <f>IF(AND('FA Addition'!$D321&lt;$P$1+1,U321=0),'FA Addition'!$L321,0)-Y321</f>
        <v>407802.52322738385</v>
      </c>
      <c r="AF321" s="117">
        <f t="shared" si="20"/>
        <v>407802.52322738385</v>
      </c>
      <c r="AG321" s="117">
        <f>MIN(MAX(+$P$1-'FA Addition'!$D321,0),365*'FA Addition'!$O321)</f>
        <v>1095</v>
      </c>
      <c r="AH321" s="117">
        <f>MIN(MAX($L$1-'FA Addition'!$D321+1,0),365*'FA Addition'!$O321)</f>
        <v>1095</v>
      </c>
      <c r="AI321" s="117" cm="1">
        <f t="array" ref="AI321">_xlfn.XLOOKUP(1,('FA Write off'!A:A='FA Addition'!$A321)*('FA Write off'!D:D=AA321),'FA Write off'!H:H,0,0)</f>
        <v>0</v>
      </c>
      <c r="AJ321" s="117">
        <f>IF(AC321&gt;0,MAX(IF('FA Addition'!$N321="SLM",($AC321-'FA Addition'!$M321)*'FA Addition'!$P321*AI321/365,(AC321-'FA Addition'!$M321)*(1-(1-'FA Addition'!$P321)^(AI321/365))),0),0)</f>
        <v>0</v>
      </c>
      <c r="AL321" s="117">
        <f>MAX(IF(AG321&gt;0,IF('FA Addition'!$N321="SLM",($AE321-'FA Addition'!$M321)*'FA Addition'!$P321*AG321/365,IFERROR(VDB(AE321,AE321*0.05,'FA Addition'!$O321,0,YEARFRAC('FA Addition'!$C321,$P$1-1,3),'FA Addition'!$Q321),FAAddition[[#This Row],[Original Cost (Rs)]]-FAAddition[[#This Row],[Salvage Value]])),0),0)</f>
        <v>402162</v>
      </c>
      <c r="AM321" s="119"/>
      <c r="AN321" s="117">
        <f>MAX(IF(AH321&gt;0,IF('FA Addition'!$N321="SLM",($AF321-'FA Addition'!$M321)*'FA Addition'!$P321*AH321/365,IFERROR(VDB(AF321,AF321*0.05,'FA Addition'!$O321,0,YEARFRAC('FA Addition'!$C321,$L$1,3),'FA Addition'!$Q321),FAAddition[[#This Row],[Original Cost (Rs)]]-FAAddition[[#This Row],[Salvage Value]])),0),0)</f>
        <v>402162</v>
      </c>
      <c r="AO321" s="117">
        <f t="shared" si="23"/>
        <v>0</v>
      </c>
      <c r="AQ321" s="117">
        <f t="shared" si="21"/>
        <v>5640.5232273838483</v>
      </c>
      <c r="AR321" s="120">
        <f t="shared" si="22"/>
        <v>5640.5232273838483</v>
      </c>
      <c r="AS321" s="121"/>
    </row>
    <row r="322" spans="1:45" ht="13.5" x14ac:dyDescent="0.4">
      <c r="A322" s="12">
        <f t="shared" si="24"/>
        <v>319</v>
      </c>
      <c r="B322" s="44" t="s">
        <v>731</v>
      </c>
      <c r="C322" s="45">
        <v>43083</v>
      </c>
      <c r="D322" s="45">
        <v>43083</v>
      </c>
      <c r="E322" s="46" t="s">
        <v>32</v>
      </c>
      <c r="F322" s="44" t="s">
        <v>32</v>
      </c>
      <c r="G322" s="44" t="s">
        <v>857</v>
      </c>
      <c r="H322" s="51" t="s">
        <v>32</v>
      </c>
      <c r="I322" s="44" t="s">
        <v>860</v>
      </c>
      <c r="J322" s="48">
        <v>300</v>
      </c>
      <c r="K322" s="44" t="s">
        <v>861</v>
      </c>
      <c r="L322" s="62">
        <v>247882</v>
      </c>
      <c r="M322" s="50">
        <f>ROUND('FA Addition'!$L322*5%,0.1)</f>
        <v>12394</v>
      </c>
      <c r="N322" s="113" t="str">
        <f>_xlfn.XLOOKUP(_xlfn.CONCAT(E322,B322),'Year Wise Master Dep Approach'!F:F,'Year Wise Master Dep Approach'!D:D)</f>
        <v>WDV</v>
      </c>
      <c r="O322" s="113">
        <f>_xlfn.XLOOKUP(_xlfn.CONCAT(E322,B322),'Year Wise Master Dep Approach'!F:F,'Year Wise Master Dep Approach'!E:E)</f>
        <v>3</v>
      </c>
      <c r="P322" s="114">
        <f>IFERROR(IF('FA Addition'!$N322="WDV",1-('FA Addition'!$M322/'FA Addition'!$L322)^(1/'FA Addition'!$O322),1/'FA Addition'!$O322),0)</f>
        <v>0.63159784094110427</v>
      </c>
      <c r="Q322" s="122">
        <f>'FA Addition'!$P322*'FA Addition'!$O322</f>
        <v>1.8947935228233128</v>
      </c>
      <c r="R322" s="122"/>
      <c r="S322" s="116">
        <f>IF(AND(DATE(20&amp;LEFT(FAAddition[[#This Row],[FY]],2),4,1)&lt;$L$1+1,DATE(20&amp;LEFT(FAAddition[[#This Row],[FY]],2),4,1)&gt;$P$1-1),'FA Addition'!$J322,0)</f>
        <v>0</v>
      </c>
      <c r="U322" s="117">
        <f>S322*'FA Addition'!$L322/'FA Addition'!$J322</f>
        <v>0</v>
      </c>
      <c r="W322" s="116">
        <f>SUMIFS('FA Write off'!D:D,'FA Write off'!A:A,'FA Addition'!$A322,'FA Write off'!C:C,"&lt;"&amp;'FA Addition'!$P$1)</f>
        <v>18</v>
      </c>
      <c r="Y322" s="191">
        <f>IFERROR(W322/'FA Addition'!$J322*'FA Addition'!$L322,0)</f>
        <v>14872.92</v>
      </c>
      <c r="AA322" s="116">
        <f>SUMIFS('FA Write off'!D:D,'FA Write off'!A:A,'FA Addition'!$A322,'FA Write off'!C:C,"&lt;"&amp;'FA Addition'!$L$1+1,'FA Write off'!C:C,"&gt;"&amp;'FA Addition'!$L$1-365)</f>
        <v>0</v>
      </c>
      <c r="AC322" s="191">
        <f>IFERROR(AA322/'FA Addition'!$J322*'FA Addition'!$L322,0)</f>
        <v>0</v>
      </c>
      <c r="AE322" s="117">
        <f>IF(AND('FA Addition'!$D322&lt;$P$1+1,U322=0),'FA Addition'!$L322,0)-Y322</f>
        <v>233009.08</v>
      </c>
      <c r="AF322" s="117">
        <f t="shared" si="20"/>
        <v>233009.08</v>
      </c>
      <c r="AG322" s="117">
        <f>MIN(MAX(+$P$1-'FA Addition'!$D322,0),365*'FA Addition'!$O322)</f>
        <v>1095</v>
      </c>
      <c r="AH322" s="117">
        <f>MIN(MAX($L$1-'FA Addition'!$D322+1,0),365*'FA Addition'!$O322)</f>
        <v>1095</v>
      </c>
      <c r="AI322" s="117" cm="1">
        <f t="array" ref="AI322">_xlfn.XLOOKUP(1,('FA Write off'!A:A='FA Addition'!$A322)*('FA Write off'!D:D=AA322),'FA Write off'!H:H,0,0)</f>
        <v>0</v>
      </c>
      <c r="AJ322" s="117">
        <f>IF(AC322&gt;0,MAX(IF('FA Addition'!$N322="SLM",($AC322-'FA Addition'!$M322)*'FA Addition'!$P322*AI322/365,(AC322-'FA Addition'!$M322)*(1-(1-'FA Addition'!$P322)^(AI322/365))),0),0)</f>
        <v>0</v>
      </c>
      <c r="AL322" s="117">
        <f>MAX(IF(AG322&gt;0,IF('FA Addition'!$N322="SLM",($AE322-'FA Addition'!$M322)*'FA Addition'!$P322*AG322/365,IFERROR(VDB(AE322,AE322*0.05,'FA Addition'!$O322,0,YEARFRAC('FA Addition'!$C322,$P$1-1,3),'FA Addition'!$Q322),FAAddition[[#This Row],[Original Cost (Rs)]]-FAAddition[[#This Row],[Salvage Value]])),0),0)</f>
        <v>235488</v>
      </c>
      <c r="AM322" s="119"/>
      <c r="AN322" s="117">
        <f>MAX(IF(AH322&gt;0,IF('FA Addition'!$N322="SLM",($AF322-'FA Addition'!$M322)*'FA Addition'!$P322*AH322/365,IFERROR(VDB(AF322,AF322*0.05,'FA Addition'!$O322,0,YEARFRAC('FA Addition'!$C322,$L$1,3),'FA Addition'!$Q322),FAAddition[[#This Row],[Original Cost (Rs)]]-FAAddition[[#This Row],[Salvage Value]])),0),0)</f>
        <v>235488</v>
      </c>
      <c r="AO322" s="117">
        <f t="shared" si="23"/>
        <v>0</v>
      </c>
      <c r="AQ322" s="117">
        <f t="shared" si="21"/>
        <v>-2478.9200000000128</v>
      </c>
      <c r="AR322" s="120">
        <f t="shared" si="22"/>
        <v>-2478.9200000000128</v>
      </c>
      <c r="AS322" s="121"/>
    </row>
    <row r="323" spans="1:45" ht="13.5" x14ac:dyDescent="0.4">
      <c r="A323" s="12">
        <f t="shared" si="24"/>
        <v>320</v>
      </c>
      <c r="B323" s="44" t="s">
        <v>731</v>
      </c>
      <c r="C323" s="45">
        <v>43091</v>
      </c>
      <c r="D323" s="45">
        <v>43089</v>
      </c>
      <c r="E323" s="46" t="s">
        <v>32</v>
      </c>
      <c r="F323" s="44" t="s">
        <v>32</v>
      </c>
      <c r="G323" s="44" t="s">
        <v>857</v>
      </c>
      <c r="H323" s="51" t="s">
        <v>32</v>
      </c>
      <c r="I323" s="44" t="s">
        <v>862</v>
      </c>
      <c r="J323" s="48">
        <v>100</v>
      </c>
      <c r="K323" s="44" t="s">
        <v>861</v>
      </c>
      <c r="L323" s="62">
        <v>82627</v>
      </c>
      <c r="M323" s="50">
        <f>ROUND('FA Addition'!$L323*5%,0.1)</f>
        <v>4131</v>
      </c>
      <c r="N323" s="113" t="str">
        <f>_xlfn.XLOOKUP(_xlfn.CONCAT(E323,B323),'Year Wise Master Dep Approach'!F:F,'Year Wise Master Dep Approach'!D:D)</f>
        <v>WDV</v>
      </c>
      <c r="O323" s="113">
        <f>_xlfn.XLOOKUP(_xlfn.CONCAT(E323,B323),'Year Wise Master Dep Approach'!F:F,'Year Wise Master Dep Approach'!E:E)</f>
        <v>3</v>
      </c>
      <c r="P323" s="114">
        <f>IFERROR(IF('FA Addition'!$N323="WDV",1-('FA Addition'!$M323/'FA Addition'!$L323)^(1/'FA Addition'!$O323),1/'FA Addition'!$O323),0)</f>
        <v>0.6316072538977533</v>
      </c>
      <c r="Q323" s="122">
        <f>'FA Addition'!$P323*'FA Addition'!$O323</f>
        <v>1.8948217616932599</v>
      </c>
      <c r="R323" s="122"/>
      <c r="S323" s="116">
        <f>IF(AND(DATE(20&amp;LEFT(FAAddition[[#This Row],[FY]],2),4,1)&lt;$L$1+1,DATE(20&amp;LEFT(FAAddition[[#This Row],[FY]],2),4,1)&gt;$P$1-1),'FA Addition'!$J323,0)</f>
        <v>0</v>
      </c>
      <c r="U323" s="117">
        <f>S323*'FA Addition'!$L323/'FA Addition'!$J323</f>
        <v>0</v>
      </c>
      <c r="W323" s="116">
        <f>SUMIFS('FA Write off'!D:D,'FA Write off'!A:A,'FA Addition'!$A323,'FA Write off'!C:C,"&lt;"&amp;'FA Addition'!$P$1)</f>
        <v>12</v>
      </c>
      <c r="Y323" s="191">
        <f>IFERROR(W323/'FA Addition'!$J323*'FA Addition'!$L323,0)</f>
        <v>9915.24</v>
      </c>
      <c r="AA323" s="116">
        <f>SUMIFS('FA Write off'!D:D,'FA Write off'!A:A,'FA Addition'!$A323,'FA Write off'!C:C,"&lt;"&amp;'FA Addition'!$L$1+1,'FA Write off'!C:C,"&gt;"&amp;'FA Addition'!$L$1-365)</f>
        <v>0</v>
      </c>
      <c r="AC323" s="191">
        <f>IFERROR(AA323/'FA Addition'!$J323*'FA Addition'!$L323,0)</f>
        <v>0</v>
      </c>
      <c r="AE323" s="117">
        <f>IF(AND('FA Addition'!$D323&lt;$P$1+1,U323=0),'FA Addition'!$L323,0)-Y323</f>
        <v>72711.759999999995</v>
      </c>
      <c r="AF323" s="117">
        <f t="shared" si="20"/>
        <v>72711.759999999995</v>
      </c>
      <c r="AG323" s="117">
        <f>MIN(MAX(+$P$1-'FA Addition'!$D323,0),365*'FA Addition'!$O323)</f>
        <v>1095</v>
      </c>
      <c r="AH323" s="117">
        <f>MIN(MAX($L$1-'FA Addition'!$D323+1,0),365*'FA Addition'!$O323)</f>
        <v>1095</v>
      </c>
      <c r="AI323" s="117" cm="1">
        <f t="array" ref="AI323">_xlfn.XLOOKUP(1,('FA Write off'!A:A='FA Addition'!$A323)*('FA Write off'!D:D=AA323),'FA Write off'!H:H,0,0)</f>
        <v>0</v>
      </c>
      <c r="AJ323" s="117">
        <f>IF(AC323&gt;0,MAX(IF('FA Addition'!$N323="SLM",($AC323-'FA Addition'!$M323)*'FA Addition'!$P323*AI323/365,(AC323-'FA Addition'!$M323)*(1-(1-'FA Addition'!$P323)^(AI323/365))),0),0)</f>
        <v>0</v>
      </c>
      <c r="AL323" s="117">
        <f>MAX(IF(AG323&gt;0,IF('FA Addition'!$N323="SLM",($AE323-'FA Addition'!$M323)*'FA Addition'!$P323*AG323/365,IFERROR(VDB(AE323,AE323*0.05,'FA Addition'!$O323,0,YEARFRAC('FA Addition'!$C323,$P$1-1,3),'FA Addition'!$Q323),FAAddition[[#This Row],[Original Cost (Rs)]]-FAAddition[[#This Row],[Salvage Value]])),0),0)</f>
        <v>78496</v>
      </c>
      <c r="AM323" s="119"/>
      <c r="AN323" s="117">
        <f>MAX(IF(AH323&gt;0,IF('FA Addition'!$N323="SLM",($AF323-'FA Addition'!$M323)*'FA Addition'!$P323*AH323/365,IFERROR(VDB(AF323,AF323*0.05,'FA Addition'!$O323,0,YEARFRAC('FA Addition'!$C323,$L$1,3),'FA Addition'!$Q323),FAAddition[[#This Row],[Original Cost (Rs)]]-FAAddition[[#This Row],[Salvage Value]])),0),0)</f>
        <v>78496</v>
      </c>
      <c r="AO323" s="117">
        <f t="shared" si="23"/>
        <v>0</v>
      </c>
      <c r="AQ323" s="117">
        <f t="shared" si="21"/>
        <v>-5784.2400000000052</v>
      </c>
      <c r="AR323" s="120">
        <f t="shared" si="22"/>
        <v>-5784.2400000000052</v>
      </c>
      <c r="AS323" s="121"/>
    </row>
    <row r="324" spans="1:45" ht="13.5" x14ac:dyDescent="0.4">
      <c r="A324" s="12">
        <f t="shared" si="24"/>
        <v>321</v>
      </c>
      <c r="B324" s="44" t="s">
        <v>731</v>
      </c>
      <c r="C324" s="45">
        <v>43089</v>
      </c>
      <c r="D324" s="45">
        <v>43089</v>
      </c>
      <c r="E324" s="46" t="s">
        <v>32</v>
      </c>
      <c r="F324" s="44" t="s">
        <v>32</v>
      </c>
      <c r="G324" s="44" t="s">
        <v>857</v>
      </c>
      <c r="H324" s="51" t="s">
        <v>32</v>
      </c>
      <c r="I324" s="44" t="s">
        <v>863</v>
      </c>
      <c r="J324" s="56">
        <v>1</v>
      </c>
      <c r="K324" s="44" t="s">
        <v>864</v>
      </c>
      <c r="L324" s="62">
        <v>2800</v>
      </c>
      <c r="M324" s="50">
        <f>ROUND('FA Addition'!$L324*5%,0.1)</f>
        <v>140</v>
      </c>
      <c r="N324" s="113" t="str">
        <f>_xlfn.XLOOKUP(_xlfn.CONCAT(E324,B324),'Year Wise Master Dep Approach'!F:F,'Year Wise Master Dep Approach'!D:D)</f>
        <v>WDV</v>
      </c>
      <c r="O324" s="113">
        <f>_xlfn.XLOOKUP(_xlfn.CONCAT(E324,B324),'Year Wise Master Dep Approach'!F:F,'Year Wise Master Dep Approach'!E:E)</f>
        <v>3</v>
      </c>
      <c r="P324" s="114">
        <f>IFERROR(IF('FA Addition'!$N324="WDV",1-('FA Addition'!$M324/'FA Addition'!$L324)^(1/'FA Addition'!$O324),1/'FA Addition'!$O324),0)</f>
        <v>0.63159685013596123</v>
      </c>
      <c r="Q324" s="122">
        <f>'FA Addition'!$P324*'FA Addition'!$O324</f>
        <v>1.8947905504078837</v>
      </c>
      <c r="R324" s="122"/>
      <c r="S324" s="116">
        <f>IF(AND(DATE(20&amp;LEFT(FAAddition[[#This Row],[FY]],2),4,1)&lt;$L$1+1,DATE(20&amp;LEFT(FAAddition[[#This Row],[FY]],2),4,1)&gt;$P$1-1),'FA Addition'!$J324,0)</f>
        <v>0</v>
      </c>
      <c r="U324" s="117">
        <f>S324*'FA Addition'!$L324/'FA Addition'!$J324</f>
        <v>0</v>
      </c>
      <c r="W324" s="116">
        <f>SUMIFS('FA Write off'!D:D,'FA Write off'!A:A,'FA Addition'!$A324,'FA Write off'!C:C,"&lt;"&amp;'FA Addition'!$P$1)</f>
        <v>0</v>
      </c>
      <c r="Y324" s="191">
        <f>IFERROR(W324/'FA Addition'!$J324*'FA Addition'!$L324,0)</f>
        <v>0</v>
      </c>
      <c r="AA324" s="116">
        <f>SUMIFS('FA Write off'!D:D,'FA Write off'!A:A,'FA Addition'!$A324,'FA Write off'!C:C,"&lt;"&amp;'FA Addition'!$L$1+1,'FA Write off'!C:C,"&gt;"&amp;'FA Addition'!$L$1-365)</f>
        <v>0</v>
      </c>
      <c r="AC324" s="118">
        <f>IFERROR(AA324/'FA Addition'!$J324*'FA Addition'!$L324,0)</f>
        <v>0</v>
      </c>
      <c r="AE324" s="117">
        <f>IF(AND('FA Addition'!$D324&lt;$P$1+1,U324=0),'FA Addition'!$L324,0)-Y324</f>
        <v>2800</v>
      </c>
      <c r="AF324" s="117">
        <f t="shared" ref="AF324:AF387" si="25">AE324+U324-AC324</f>
        <v>2800</v>
      </c>
      <c r="AG324" s="117">
        <f>MIN(MAX(+$P$1-'FA Addition'!$D324,0),365*'FA Addition'!$O324)</f>
        <v>1095</v>
      </c>
      <c r="AH324" s="117">
        <f>MIN(MAX($L$1-'FA Addition'!$D324+1,0),365*'FA Addition'!$O324)</f>
        <v>1095</v>
      </c>
      <c r="AI324" s="117" cm="1">
        <f t="array" ref="AI324">_xlfn.XLOOKUP(1,('FA Write off'!A:A='FA Addition'!$A324)*('FA Write off'!D:D=AA324),'FA Write off'!H:H,0,0)</f>
        <v>0</v>
      </c>
      <c r="AJ324" s="117">
        <f>IF(AC324&gt;0,MAX(IF('FA Addition'!$N324="SLM",($AC324-'FA Addition'!$M324)*'FA Addition'!$P324*AI324/365,(AC324-'FA Addition'!$M324)*(1-(1-'FA Addition'!$P324)^(AI324/365))),0),0)</f>
        <v>0</v>
      </c>
      <c r="AL324" s="117">
        <f>MAX(IF(AG324&gt;0,IF('FA Addition'!$N324="SLM",($AE324-'FA Addition'!$M324)*'FA Addition'!$P324*AG324/365,IFERROR(VDB(AE324,AE324*0.05,'FA Addition'!$O324,0,YEARFRAC('FA Addition'!$C324,$P$1-1,3),'FA Addition'!$Q324),FAAddition[[#This Row],[Original Cost (Rs)]]-FAAddition[[#This Row],[Salvage Value]])),0),0)</f>
        <v>2660</v>
      </c>
      <c r="AM324" s="119"/>
      <c r="AN324" s="117">
        <f>MAX(IF(AH324&gt;0,IF('FA Addition'!$N324="SLM",($AF324-'FA Addition'!$M324)*'FA Addition'!$P324*AH324/365,IFERROR(VDB(AF324,AF324*0.05,'FA Addition'!$O324,0,YEARFRAC('FA Addition'!$C324,$L$1,3),'FA Addition'!$Q324),FAAddition[[#This Row],[Original Cost (Rs)]]-FAAddition[[#This Row],[Salvage Value]])),0),0)</f>
        <v>2660</v>
      </c>
      <c r="AO324" s="117">
        <f t="shared" si="23"/>
        <v>0</v>
      </c>
      <c r="AQ324" s="117">
        <f t="shared" ref="AQ324:AQ387" si="26">AE324-AL324</f>
        <v>140</v>
      </c>
      <c r="AR324" s="120">
        <f t="shared" ref="AR324:AR387" si="27">AF324-AN324</f>
        <v>140</v>
      </c>
      <c r="AS324" s="121"/>
    </row>
    <row r="325" spans="1:45" ht="13.5" x14ac:dyDescent="0.4">
      <c r="A325" s="12">
        <f t="shared" si="24"/>
        <v>322</v>
      </c>
      <c r="B325" s="44" t="s">
        <v>731</v>
      </c>
      <c r="C325" s="45">
        <v>43090</v>
      </c>
      <c r="D325" s="45">
        <v>43090</v>
      </c>
      <c r="E325" s="46" t="s">
        <v>32</v>
      </c>
      <c r="F325" s="44" t="s">
        <v>32</v>
      </c>
      <c r="G325" s="44" t="s">
        <v>572</v>
      </c>
      <c r="H325" s="51" t="s">
        <v>32</v>
      </c>
      <c r="I325" s="44"/>
      <c r="J325" s="56">
        <v>1</v>
      </c>
      <c r="K325" s="44" t="s">
        <v>32</v>
      </c>
      <c r="L325" s="62">
        <v>85550</v>
      </c>
      <c r="M325" s="50">
        <f>ROUND('FA Addition'!$L325*5%,0.1)</f>
        <v>4278</v>
      </c>
      <c r="N325" s="113" t="str">
        <f>_xlfn.XLOOKUP(_xlfn.CONCAT(E325,B325),'Year Wise Master Dep Approach'!F:F,'Year Wise Master Dep Approach'!D:D)</f>
        <v>WDV</v>
      </c>
      <c r="O325" s="113">
        <f>_xlfn.XLOOKUP(_xlfn.CONCAT(E325,B325),'Year Wise Master Dep Approach'!F:F,'Year Wise Master Dep Approach'!E:E)</f>
        <v>3</v>
      </c>
      <c r="P325" s="114">
        <f>IFERROR(IF('FA Addition'!$N325="WDV",1-('FA Addition'!$M325/'FA Addition'!$L325)^(1/'FA Addition'!$O325),1/'FA Addition'!$O325),0)</f>
        <v>0.63158249639364716</v>
      </c>
      <c r="Q325" s="122">
        <f>'FA Addition'!$P325*'FA Addition'!$O325</f>
        <v>1.8947474891809415</v>
      </c>
      <c r="R325" s="122"/>
      <c r="S325" s="116">
        <f>IF(AND(DATE(20&amp;LEFT(FAAddition[[#This Row],[FY]],2),4,1)&lt;$L$1+1,DATE(20&amp;LEFT(FAAddition[[#This Row],[FY]],2),4,1)&gt;$P$1-1),'FA Addition'!$J325,0)</f>
        <v>0</v>
      </c>
      <c r="U325" s="117">
        <f>S325*'FA Addition'!$L325/'FA Addition'!$J325</f>
        <v>0</v>
      </c>
      <c r="W325" s="116">
        <f>SUMIFS('FA Write off'!D:D,'FA Write off'!A:A,'FA Addition'!$A325,'FA Write off'!C:C,"&lt;"&amp;'FA Addition'!$P$1)</f>
        <v>0</v>
      </c>
      <c r="Y325" s="191">
        <f>IFERROR(W325/'FA Addition'!$J325*'FA Addition'!$L325,0)</f>
        <v>0</v>
      </c>
      <c r="AA325" s="116">
        <f>SUMIFS('FA Write off'!D:D,'FA Write off'!A:A,'FA Addition'!$A325,'FA Write off'!C:C,"&lt;"&amp;'FA Addition'!$L$1+1,'FA Write off'!C:C,"&gt;"&amp;'FA Addition'!$L$1-365)</f>
        <v>0</v>
      </c>
      <c r="AC325" s="118">
        <f>IFERROR(AA325/'FA Addition'!$J325*'FA Addition'!$L325,0)</f>
        <v>0</v>
      </c>
      <c r="AE325" s="117">
        <f>IF(AND('FA Addition'!$D325&lt;$P$1+1,U325=0),'FA Addition'!$L325,0)-Y325</f>
        <v>85550</v>
      </c>
      <c r="AF325" s="117">
        <f t="shared" si="25"/>
        <v>85550</v>
      </c>
      <c r="AG325" s="117">
        <f>MIN(MAX(+$P$1-'FA Addition'!$D325,0),365*'FA Addition'!$O325)</f>
        <v>1095</v>
      </c>
      <c r="AH325" s="117">
        <f>MIN(MAX($L$1-'FA Addition'!$D325+1,0),365*'FA Addition'!$O325)</f>
        <v>1095</v>
      </c>
      <c r="AI325" s="117" cm="1">
        <f t="array" ref="AI325">_xlfn.XLOOKUP(1,('FA Write off'!A:A='FA Addition'!$A325)*('FA Write off'!D:D=AA325),'FA Write off'!H:H,0,0)</f>
        <v>0</v>
      </c>
      <c r="AJ325" s="117">
        <f>IF(AC325&gt;0,MAX(IF('FA Addition'!$N325="SLM",($AC325-'FA Addition'!$M325)*'FA Addition'!$P325*AI325/365,(AC325-'FA Addition'!$M325)*(1-(1-'FA Addition'!$P325)^(AI325/365))),0),0)</f>
        <v>0</v>
      </c>
      <c r="AL325" s="117">
        <f>MAX(IF(AG325&gt;0,IF('FA Addition'!$N325="SLM",($AE325-'FA Addition'!$M325)*'FA Addition'!$P325*AG325/365,IFERROR(VDB(AE325,AE325*0.05,'FA Addition'!$O325,0,YEARFRAC('FA Addition'!$C325,$P$1-1,3),'FA Addition'!$Q325),FAAddition[[#This Row],[Original Cost (Rs)]]-FAAddition[[#This Row],[Salvage Value]])),0),0)</f>
        <v>81272</v>
      </c>
      <c r="AM325" s="119"/>
      <c r="AN325" s="117">
        <f>MAX(IF(AH325&gt;0,IF('FA Addition'!$N325="SLM",($AF325-'FA Addition'!$M325)*'FA Addition'!$P325*AH325/365,IFERROR(VDB(AF325,AF325*0.05,'FA Addition'!$O325,0,YEARFRAC('FA Addition'!$C325,$L$1,3),'FA Addition'!$Q325),FAAddition[[#This Row],[Original Cost (Rs)]]-FAAddition[[#This Row],[Salvage Value]])),0),0)</f>
        <v>81272</v>
      </c>
      <c r="AO325" s="117">
        <f t="shared" ref="AO325:AO388" si="28">AN325-AL325+AJ325</f>
        <v>0</v>
      </c>
      <c r="AQ325" s="117">
        <f t="shared" si="26"/>
        <v>4278</v>
      </c>
      <c r="AR325" s="120">
        <f t="shared" si="27"/>
        <v>4278</v>
      </c>
      <c r="AS325" s="121"/>
    </row>
    <row r="326" spans="1:45" ht="13.5" x14ac:dyDescent="0.4">
      <c r="A326" s="12">
        <f t="shared" ref="A326:A389" si="29">A325+1</f>
        <v>323</v>
      </c>
      <c r="B326" s="44" t="s">
        <v>731</v>
      </c>
      <c r="C326" s="45">
        <v>43096</v>
      </c>
      <c r="D326" s="45">
        <v>43096</v>
      </c>
      <c r="E326" s="46" t="s">
        <v>451</v>
      </c>
      <c r="F326" s="44" t="s">
        <v>865</v>
      </c>
      <c r="G326" s="44" t="s">
        <v>620</v>
      </c>
      <c r="H326" s="51" t="s">
        <v>647</v>
      </c>
      <c r="I326" s="44">
        <v>7430</v>
      </c>
      <c r="J326" s="48">
        <v>2</v>
      </c>
      <c r="K326" s="44" t="s">
        <v>866</v>
      </c>
      <c r="L326" s="62">
        <v>11525</v>
      </c>
      <c r="M326" s="50">
        <f>ROUND('FA Addition'!$L326*5%,0.1)</f>
        <v>576</v>
      </c>
      <c r="N326" s="113" t="str">
        <f>_xlfn.XLOOKUP(_xlfn.CONCAT(E326,B326),'Year Wise Master Dep Approach'!F:F,'Year Wise Master Dep Approach'!D:D)</f>
        <v>WDV</v>
      </c>
      <c r="O326" s="113">
        <f>_xlfn.XLOOKUP(_xlfn.CONCAT(E326,B326),'Year Wise Master Dep Approach'!F:F,'Year Wise Master Dep Approach'!E:E)</f>
        <v>3</v>
      </c>
      <c r="P326" s="114">
        <f>IFERROR(IF('FA Addition'!$N326="WDV",1-('FA Addition'!$M326/'FA Addition'!$L326)^(1/'FA Addition'!$O326),1/'FA Addition'!$O326),0)</f>
        <v>0.63165013378580248</v>
      </c>
      <c r="Q326" s="122">
        <f>'FA Addition'!$P326*'FA Addition'!$O326</f>
        <v>1.8949504013574074</v>
      </c>
      <c r="R326" s="122"/>
      <c r="S326" s="116">
        <f>IF(AND(DATE(20&amp;LEFT(FAAddition[[#This Row],[FY]],2),4,1)&lt;$L$1+1,DATE(20&amp;LEFT(FAAddition[[#This Row],[FY]],2),4,1)&gt;$P$1-1),'FA Addition'!$J326,0)</f>
        <v>0</v>
      </c>
      <c r="U326" s="117">
        <f>S326*'FA Addition'!$L326/'FA Addition'!$J326</f>
        <v>0</v>
      </c>
      <c r="W326" s="116">
        <f>SUMIFS('FA Write off'!D:D,'FA Write off'!A:A,'FA Addition'!$A326,'FA Write off'!C:C,"&lt;"&amp;'FA Addition'!$P$1)</f>
        <v>0</v>
      </c>
      <c r="Y326" s="191">
        <f>IFERROR(W326/'FA Addition'!$J326*'FA Addition'!$L326,0)</f>
        <v>0</v>
      </c>
      <c r="AA326" s="116">
        <f>SUMIFS('FA Write off'!D:D,'FA Write off'!A:A,'FA Addition'!$A326,'FA Write off'!C:C,"&lt;"&amp;'FA Addition'!$L$1+1,'FA Write off'!C:C,"&gt;"&amp;'FA Addition'!$L$1-365)</f>
        <v>0</v>
      </c>
      <c r="AC326" s="118">
        <f>IFERROR(AA326/'FA Addition'!$J326*'FA Addition'!$L326,0)</f>
        <v>0</v>
      </c>
      <c r="AE326" s="117">
        <f>IF(AND('FA Addition'!$D326&lt;$P$1+1,U326=0),'FA Addition'!$L326,0)-Y326</f>
        <v>11525</v>
      </c>
      <c r="AF326" s="117">
        <f t="shared" si="25"/>
        <v>11525</v>
      </c>
      <c r="AG326" s="117">
        <f>MIN(MAX(+$P$1-'FA Addition'!$D326,0),365*'FA Addition'!$O326)</f>
        <v>1095</v>
      </c>
      <c r="AH326" s="117">
        <f>MIN(MAX($L$1-'FA Addition'!$D326+1,0),365*'FA Addition'!$O326)</f>
        <v>1095</v>
      </c>
      <c r="AI326" s="117" cm="1">
        <f t="array" ref="AI326">_xlfn.XLOOKUP(1,('FA Write off'!A:A='FA Addition'!$A326)*('FA Write off'!D:D=AA326),'FA Write off'!H:H,0,0)</f>
        <v>0</v>
      </c>
      <c r="AJ326" s="117">
        <f>IF(AC326&gt;0,MAX(IF('FA Addition'!$N326="SLM",($AC326-'FA Addition'!$M326)*'FA Addition'!$P326*AI326/365,(AC326-'FA Addition'!$M326)*(1-(1-'FA Addition'!$P326)^(AI326/365))),0),0)</f>
        <v>0</v>
      </c>
      <c r="AL326" s="117">
        <f>MAX(IF(AG326&gt;0,IF('FA Addition'!$N326="SLM",($AE326-'FA Addition'!$M326)*'FA Addition'!$P326*AG326/365,IFERROR(VDB(AE326,AE326*0.05,'FA Addition'!$O326,0,YEARFRAC('FA Addition'!$C326,$P$1-1,3),'FA Addition'!$Q326),FAAddition[[#This Row],[Original Cost (Rs)]]-FAAddition[[#This Row],[Salvage Value]])),0),0)</f>
        <v>10949</v>
      </c>
      <c r="AM326" s="119"/>
      <c r="AN326" s="117">
        <f>MAX(IF(AH326&gt;0,IF('FA Addition'!$N326="SLM",($AF326-'FA Addition'!$M326)*'FA Addition'!$P326*AH326/365,IFERROR(VDB(AF326,AF326*0.05,'FA Addition'!$O326,0,YEARFRAC('FA Addition'!$C326,$L$1,3),'FA Addition'!$Q326),FAAddition[[#This Row],[Original Cost (Rs)]]-FAAddition[[#This Row],[Salvage Value]])),0),0)</f>
        <v>10949</v>
      </c>
      <c r="AO326" s="117">
        <f t="shared" si="28"/>
        <v>0</v>
      </c>
      <c r="AQ326" s="117">
        <f t="shared" si="26"/>
        <v>576</v>
      </c>
      <c r="AR326" s="120">
        <f t="shared" si="27"/>
        <v>576</v>
      </c>
      <c r="AS326" s="121"/>
    </row>
    <row r="327" spans="1:45" ht="13.5" x14ac:dyDescent="0.4">
      <c r="A327" s="12">
        <f t="shared" si="29"/>
        <v>324</v>
      </c>
      <c r="B327" s="44" t="s">
        <v>731</v>
      </c>
      <c r="C327" s="45">
        <v>43096</v>
      </c>
      <c r="D327" s="45">
        <v>43096</v>
      </c>
      <c r="E327" s="46" t="s">
        <v>451</v>
      </c>
      <c r="F327" s="44" t="s">
        <v>865</v>
      </c>
      <c r="G327" s="44" t="s">
        <v>620</v>
      </c>
      <c r="H327" s="51" t="s">
        <v>79</v>
      </c>
      <c r="I327" s="44">
        <v>7430</v>
      </c>
      <c r="J327" s="56">
        <v>1</v>
      </c>
      <c r="K327" s="44" t="s">
        <v>867</v>
      </c>
      <c r="L327" s="62">
        <v>11610</v>
      </c>
      <c r="M327" s="50">
        <f>ROUND('FA Addition'!$L327*5%,0.1)</f>
        <v>581</v>
      </c>
      <c r="N327" s="113" t="str">
        <f>_xlfn.XLOOKUP(_xlfn.CONCAT(E327,B327),'Year Wise Master Dep Approach'!F:F,'Year Wise Master Dep Approach'!D:D)</f>
        <v>WDV</v>
      </c>
      <c r="O327" s="113">
        <f>_xlfn.XLOOKUP(_xlfn.CONCAT(E327,B327),'Year Wise Master Dep Approach'!F:F,'Year Wise Master Dep Approach'!E:E)</f>
        <v>3</v>
      </c>
      <c r="P327" s="114">
        <f>IFERROR(IF('FA Addition'!$N327="WDV",1-('FA Addition'!$M327/'FA Addition'!$L327)^(1/'FA Addition'!$O327),1/'FA Addition'!$O327),0)</f>
        <v>0.63149110869793179</v>
      </c>
      <c r="Q327" s="122">
        <f>'FA Addition'!$P327*'FA Addition'!$O327</f>
        <v>1.8944733260937954</v>
      </c>
      <c r="R327" s="122"/>
      <c r="S327" s="116">
        <f>IF(AND(DATE(20&amp;LEFT(FAAddition[[#This Row],[FY]],2),4,1)&lt;$L$1+1,DATE(20&amp;LEFT(FAAddition[[#This Row],[FY]],2),4,1)&gt;$P$1-1),'FA Addition'!$J327,0)</f>
        <v>0</v>
      </c>
      <c r="U327" s="117">
        <f>S327*'FA Addition'!$L327/'FA Addition'!$J327</f>
        <v>0</v>
      </c>
      <c r="W327" s="116">
        <f>SUMIFS('FA Write off'!D:D,'FA Write off'!A:A,'FA Addition'!$A327,'FA Write off'!C:C,"&lt;"&amp;'FA Addition'!$P$1)</f>
        <v>0</v>
      </c>
      <c r="Y327" s="191">
        <f>IFERROR(W327/'FA Addition'!$J327*'FA Addition'!$L327,0)</f>
        <v>0</v>
      </c>
      <c r="AA327" s="116">
        <f>SUMIFS('FA Write off'!D:D,'FA Write off'!A:A,'FA Addition'!$A327,'FA Write off'!C:C,"&lt;"&amp;'FA Addition'!$L$1+1,'FA Write off'!C:C,"&gt;"&amp;'FA Addition'!$L$1-365)</f>
        <v>0</v>
      </c>
      <c r="AC327" s="118">
        <f>IFERROR(AA327/'FA Addition'!$J327*'FA Addition'!$L327,0)</f>
        <v>0</v>
      </c>
      <c r="AE327" s="117">
        <f>IF(AND('FA Addition'!$D327&lt;$P$1+1,U327=0),'FA Addition'!$L327,0)-Y327</f>
        <v>11610</v>
      </c>
      <c r="AF327" s="117">
        <f t="shared" si="25"/>
        <v>11610</v>
      </c>
      <c r="AG327" s="117">
        <f>MIN(MAX(+$P$1-'FA Addition'!$D327,0),365*'FA Addition'!$O327)</f>
        <v>1095</v>
      </c>
      <c r="AH327" s="117">
        <f>MIN(MAX($L$1-'FA Addition'!$D327+1,0),365*'FA Addition'!$O327)</f>
        <v>1095</v>
      </c>
      <c r="AI327" s="117" cm="1">
        <f t="array" ref="AI327">_xlfn.XLOOKUP(1,('FA Write off'!A:A='FA Addition'!$A327)*('FA Write off'!D:D=AA327),'FA Write off'!H:H,0,0)</f>
        <v>0</v>
      </c>
      <c r="AJ327" s="117">
        <f>IF(AC327&gt;0,MAX(IF('FA Addition'!$N327="SLM",($AC327-'FA Addition'!$M327)*'FA Addition'!$P327*AI327/365,(AC327-'FA Addition'!$M327)*(1-(1-'FA Addition'!$P327)^(AI327/365))),0),0)</f>
        <v>0</v>
      </c>
      <c r="AL327" s="117">
        <f>MAX(IF(AG327&gt;0,IF('FA Addition'!$N327="SLM",($AE327-'FA Addition'!$M327)*'FA Addition'!$P327*AG327/365,IFERROR(VDB(AE327,AE327*0.05,'FA Addition'!$O327,0,YEARFRAC('FA Addition'!$C327,$P$1-1,3),'FA Addition'!$Q327),FAAddition[[#This Row],[Original Cost (Rs)]]-FAAddition[[#This Row],[Salvage Value]])),0),0)</f>
        <v>11029</v>
      </c>
      <c r="AM327" s="119"/>
      <c r="AN327" s="117">
        <f>MAX(IF(AH327&gt;0,IF('FA Addition'!$N327="SLM",($AF327-'FA Addition'!$M327)*'FA Addition'!$P327*AH327/365,IFERROR(VDB(AF327,AF327*0.05,'FA Addition'!$O327,0,YEARFRAC('FA Addition'!$C327,$L$1,3),'FA Addition'!$Q327),FAAddition[[#This Row],[Original Cost (Rs)]]-FAAddition[[#This Row],[Salvage Value]])),0),0)</f>
        <v>11029</v>
      </c>
      <c r="AO327" s="117">
        <f t="shared" si="28"/>
        <v>0</v>
      </c>
      <c r="AQ327" s="117">
        <f t="shared" si="26"/>
        <v>581</v>
      </c>
      <c r="AR327" s="120">
        <f t="shared" si="27"/>
        <v>581</v>
      </c>
      <c r="AS327" s="121"/>
    </row>
    <row r="328" spans="1:45" ht="13.5" x14ac:dyDescent="0.4">
      <c r="A328" s="12">
        <f t="shared" si="29"/>
        <v>325</v>
      </c>
      <c r="B328" s="44" t="s">
        <v>731</v>
      </c>
      <c r="C328" s="45">
        <v>43096</v>
      </c>
      <c r="D328" s="45">
        <v>43096</v>
      </c>
      <c r="E328" s="46" t="s">
        <v>451</v>
      </c>
      <c r="F328" s="44" t="s">
        <v>865</v>
      </c>
      <c r="G328" s="44" t="s">
        <v>792</v>
      </c>
      <c r="H328" s="60" t="s">
        <v>222</v>
      </c>
      <c r="I328" s="44" t="s">
        <v>868</v>
      </c>
      <c r="J328" s="48">
        <v>2</v>
      </c>
      <c r="K328" s="44" t="s">
        <v>869</v>
      </c>
      <c r="L328" s="62">
        <v>15747</v>
      </c>
      <c r="M328" s="50">
        <f>ROUND('FA Addition'!$L328*5%,0.1)</f>
        <v>787</v>
      </c>
      <c r="N328" s="113" t="str">
        <f>_xlfn.XLOOKUP(_xlfn.CONCAT(E328,B328),'Year Wise Master Dep Approach'!F:F,'Year Wise Master Dep Approach'!D:D)</f>
        <v>WDV</v>
      </c>
      <c r="O328" s="113">
        <f>_xlfn.XLOOKUP(_xlfn.CONCAT(E328,B328),'Year Wise Master Dep Approach'!F:F,'Year Wise Master Dep Approach'!E:E)</f>
        <v>3</v>
      </c>
      <c r="P328" s="114">
        <f>IFERROR(IF('FA Addition'!$N328="WDV",1-('FA Addition'!$M328/'FA Addition'!$L328)^(1/'FA Addition'!$O328),1/'FA Addition'!$O328),0)</f>
        <v>0.63165144686896735</v>
      </c>
      <c r="Q328" s="122">
        <f>'FA Addition'!$P328*'FA Addition'!$O328</f>
        <v>1.894954340606902</v>
      </c>
      <c r="R328" s="122"/>
      <c r="S328" s="116">
        <f>IF(AND(DATE(20&amp;LEFT(FAAddition[[#This Row],[FY]],2),4,1)&lt;$L$1+1,DATE(20&amp;LEFT(FAAddition[[#This Row],[FY]],2),4,1)&gt;$P$1-1),'FA Addition'!$J328,0)</f>
        <v>0</v>
      </c>
      <c r="U328" s="117">
        <f>S328*'FA Addition'!$L328/'FA Addition'!$J328</f>
        <v>0</v>
      </c>
      <c r="W328" s="116">
        <f>SUMIFS('FA Write off'!D:D,'FA Write off'!A:A,'FA Addition'!$A328,'FA Write off'!C:C,"&lt;"&amp;'FA Addition'!$P$1)</f>
        <v>0</v>
      </c>
      <c r="Y328" s="191">
        <f>IFERROR(W328/'FA Addition'!$J328*'FA Addition'!$L328,0)</f>
        <v>0</v>
      </c>
      <c r="AA328" s="116">
        <f>SUMIFS('FA Write off'!D:D,'FA Write off'!A:A,'FA Addition'!$A328,'FA Write off'!C:C,"&lt;"&amp;'FA Addition'!$L$1+1,'FA Write off'!C:C,"&gt;"&amp;'FA Addition'!$L$1-365)</f>
        <v>0</v>
      </c>
      <c r="AC328" s="118">
        <f>IFERROR(AA328/'FA Addition'!$J328*'FA Addition'!$L328,0)</f>
        <v>0</v>
      </c>
      <c r="AE328" s="117">
        <f>IF(AND('FA Addition'!$D328&lt;$P$1+1,U328=0),'FA Addition'!$L328,0)-Y328</f>
        <v>15747</v>
      </c>
      <c r="AF328" s="117">
        <f t="shared" si="25"/>
        <v>15747</v>
      </c>
      <c r="AG328" s="117">
        <f>MIN(MAX(+$P$1-'FA Addition'!$D328,0),365*'FA Addition'!$O328)</f>
        <v>1095</v>
      </c>
      <c r="AH328" s="117">
        <f>MIN(MAX($L$1-'FA Addition'!$D328+1,0),365*'FA Addition'!$O328)</f>
        <v>1095</v>
      </c>
      <c r="AI328" s="117" cm="1">
        <f t="array" ref="AI328">_xlfn.XLOOKUP(1,('FA Write off'!A:A='FA Addition'!$A328)*('FA Write off'!D:D=AA328),'FA Write off'!H:H,0,0)</f>
        <v>0</v>
      </c>
      <c r="AJ328" s="117">
        <f>IF(AC328&gt;0,MAX(IF('FA Addition'!$N328="SLM",($AC328-'FA Addition'!$M328)*'FA Addition'!$P328*AI328/365,(AC328-'FA Addition'!$M328)*(1-(1-'FA Addition'!$P328)^(AI328/365))),0),0)</f>
        <v>0</v>
      </c>
      <c r="AL328" s="117">
        <f>MAX(IF(AG328&gt;0,IF('FA Addition'!$N328="SLM",($AE328-'FA Addition'!$M328)*'FA Addition'!$P328*AG328/365,IFERROR(VDB(AE328,AE328*0.05,'FA Addition'!$O328,0,YEARFRAC('FA Addition'!$C328,$P$1-1,3),'FA Addition'!$Q328),FAAddition[[#This Row],[Original Cost (Rs)]]-FAAddition[[#This Row],[Salvage Value]])),0),0)</f>
        <v>14960</v>
      </c>
      <c r="AM328" s="119"/>
      <c r="AN328" s="117">
        <f>MAX(IF(AH328&gt;0,IF('FA Addition'!$N328="SLM",($AF328-'FA Addition'!$M328)*'FA Addition'!$P328*AH328/365,IFERROR(VDB(AF328,AF328*0.05,'FA Addition'!$O328,0,YEARFRAC('FA Addition'!$C328,$L$1,3),'FA Addition'!$Q328),FAAddition[[#This Row],[Original Cost (Rs)]]-FAAddition[[#This Row],[Salvage Value]])),0),0)</f>
        <v>14960</v>
      </c>
      <c r="AO328" s="117">
        <f t="shared" si="28"/>
        <v>0</v>
      </c>
      <c r="AQ328" s="117">
        <f t="shared" si="26"/>
        <v>787</v>
      </c>
      <c r="AR328" s="120">
        <f t="shared" si="27"/>
        <v>787</v>
      </c>
      <c r="AS328" s="121"/>
    </row>
    <row r="329" spans="1:45" ht="13.5" x14ac:dyDescent="0.4">
      <c r="A329" s="12">
        <f t="shared" si="29"/>
        <v>326</v>
      </c>
      <c r="B329" s="44" t="s">
        <v>731</v>
      </c>
      <c r="C329" s="45">
        <v>43098</v>
      </c>
      <c r="D329" s="45">
        <v>43098</v>
      </c>
      <c r="E329" s="46" t="s">
        <v>32</v>
      </c>
      <c r="F329" s="44" t="s">
        <v>32</v>
      </c>
      <c r="G329" s="44" t="s">
        <v>857</v>
      </c>
      <c r="H329" s="51" t="s">
        <v>32</v>
      </c>
      <c r="I329" s="44" t="s">
        <v>870</v>
      </c>
      <c r="J329" s="48">
        <v>21</v>
      </c>
      <c r="K329" s="44" t="s">
        <v>871</v>
      </c>
      <c r="L329" s="62">
        <v>51966</v>
      </c>
      <c r="M329" s="50">
        <f>ROUND('FA Addition'!$L329*5%,0.1)</f>
        <v>2598</v>
      </c>
      <c r="N329" s="113" t="str">
        <f>_xlfn.XLOOKUP(_xlfn.CONCAT(E329,B329),'Year Wise Master Dep Approach'!F:F,'Year Wise Master Dep Approach'!D:D)</f>
        <v>WDV</v>
      </c>
      <c r="O329" s="113">
        <f>_xlfn.XLOOKUP(_xlfn.CONCAT(E329,B329),'Year Wise Master Dep Approach'!F:F,'Year Wise Master Dep Approach'!E:E)</f>
        <v>3</v>
      </c>
      <c r="P329" s="114">
        <f>IFERROR(IF('FA Addition'!$N329="WDV",1-('FA Addition'!$M329/'FA Addition'!$L329)^(1/'FA Addition'!$O329),1/'FA Addition'!$O329),0)</f>
        <v>0.63161102930424051</v>
      </c>
      <c r="Q329" s="122">
        <f>'FA Addition'!$P329*'FA Addition'!$O329</f>
        <v>1.8948330879127215</v>
      </c>
      <c r="R329" s="122"/>
      <c r="S329" s="116">
        <f>IF(AND(DATE(20&amp;LEFT(FAAddition[[#This Row],[FY]],2),4,1)&lt;$L$1+1,DATE(20&amp;LEFT(FAAddition[[#This Row],[FY]],2),4,1)&gt;$P$1-1),'FA Addition'!$J329,0)</f>
        <v>0</v>
      </c>
      <c r="U329" s="117">
        <f>S329*'FA Addition'!$L329/'FA Addition'!$J329</f>
        <v>0</v>
      </c>
      <c r="W329" s="116">
        <f>SUMIFS('FA Write off'!D:D,'FA Write off'!A:A,'FA Addition'!$A329,'FA Write off'!C:C,"&lt;"&amp;'FA Addition'!$P$1)</f>
        <v>3</v>
      </c>
      <c r="Y329" s="191">
        <f>IFERROR(W329/'FA Addition'!$J329*'FA Addition'!$L329,0)</f>
        <v>7423.7142857142853</v>
      </c>
      <c r="AA329" s="116">
        <f>SUMIFS('FA Write off'!D:D,'FA Write off'!A:A,'FA Addition'!$A329,'FA Write off'!C:C,"&lt;"&amp;'FA Addition'!$L$1+1,'FA Write off'!C:C,"&gt;"&amp;'FA Addition'!$L$1-365)</f>
        <v>0</v>
      </c>
      <c r="AC329" s="191">
        <f>IFERROR(AA329/'FA Addition'!$J329*'FA Addition'!$L329,0)</f>
        <v>0</v>
      </c>
      <c r="AE329" s="117">
        <f>IF(AND('FA Addition'!$D329&lt;$P$1+1,U329=0),'FA Addition'!$L329,0)-Y329</f>
        <v>44542.285714285717</v>
      </c>
      <c r="AF329" s="117">
        <f t="shared" si="25"/>
        <v>44542.285714285717</v>
      </c>
      <c r="AG329" s="117">
        <f>MIN(MAX(+$P$1-'FA Addition'!$D329,0),365*'FA Addition'!$O329)</f>
        <v>1095</v>
      </c>
      <c r="AH329" s="117">
        <f>MIN(MAX($L$1-'FA Addition'!$D329+1,0),365*'FA Addition'!$O329)</f>
        <v>1095</v>
      </c>
      <c r="AI329" s="117" cm="1">
        <f t="array" ref="AI329">_xlfn.XLOOKUP(1,('FA Write off'!A:A='FA Addition'!$A329)*('FA Write off'!D:D=AA329),'FA Write off'!H:H,0,0)</f>
        <v>0</v>
      </c>
      <c r="AJ329" s="117">
        <f>IF(AC329&gt;0,MAX(IF('FA Addition'!$N329="SLM",($AC329-'FA Addition'!$M329)*'FA Addition'!$P329*AI329/365,(AC329-'FA Addition'!$M329)*(1-(1-'FA Addition'!$P329)^(AI329/365))),0),0)</f>
        <v>0</v>
      </c>
      <c r="AL329" s="117">
        <f>MAX(IF(AG329&gt;0,IF('FA Addition'!$N329="SLM",($AE329-'FA Addition'!$M329)*'FA Addition'!$P329*AG329/365,IFERROR(VDB(AE329,AE329*0.05,'FA Addition'!$O329,0,YEARFRAC('FA Addition'!$C329,$P$1-1,3),'FA Addition'!$Q329),FAAddition[[#This Row],[Original Cost (Rs)]]-FAAddition[[#This Row],[Salvage Value]])),0),0)</f>
        <v>49368</v>
      </c>
      <c r="AM329" s="119"/>
      <c r="AN329" s="117">
        <f>MAX(IF(AH329&gt;0,IF('FA Addition'!$N329="SLM",($AF329-'FA Addition'!$M329)*'FA Addition'!$P329*AH329/365,IFERROR(VDB(AF329,AF329*0.05,'FA Addition'!$O329,0,YEARFRAC('FA Addition'!$C329,$L$1,3),'FA Addition'!$Q329),FAAddition[[#This Row],[Original Cost (Rs)]]-FAAddition[[#This Row],[Salvage Value]])),0),0)</f>
        <v>49368</v>
      </c>
      <c r="AO329" s="117">
        <f t="shared" si="28"/>
        <v>0</v>
      </c>
      <c r="AQ329" s="117">
        <f t="shared" si="26"/>
        <v>-4825.7142857142826</v>
      </c>
      <c r="AR329" s="120">
        <f t="shared" si="27"/>
        <v>-4825.7142857142826</v>
      </c>
      <c r="AS329" s="121"/>
    </row>
    <row r="330" spans="1:45" ht="13.5" x14ac:dyDescent="0.4">
      <c r="A330" s="12">
        <f t="shared" si="29"/>
        <v>327</v>
      </c>
      <c r="B330" s="44" t="s">
        <v>731</v>
      </c>
      <c r="C330" s="45">
        <v>43103</v>
      </c>
      <c r="D330" s="45">
        <v>43103</v>
      </c>
      <c r="E330" s="46" t="s">
        <v>451</v>
      </c>
      <c r="F330" s="44" t="s">
        <v>21</v>
      </c>
      <c r="G330" s="44" t="s">
        <v>755</v>
      </c>
      <c r="H330" s="51" t="s">
        <v>21</v>
      </c>
      <c r="I330" s="44"/>
      <c r="J330" s="48">
        <v>2</v>
      </c>
      <c r="K330" s="44" t="s">
        <v>21</v>
      </c>
      <c r="L330" s="62">
        <v>72000</v>
      </c>
      <c r="M330" s="50">
        <f>ROUND('FA Addition'!$L330*5%,0.1)</f>
        <v>3600</v>
      </c>
      <c r="N330" s="113" t="str">
        <f>_xlfn.XLOOKUP(_xlfn.CONCAT(E330,B330),'Year Wise Master Dep Approach'!F:F,'Year Wise Master Dep Approach'!D:D)</f>
        <v>WDV</v>
      </c>
      <c r="O330" s="113">
        <f>_xlfn.XLOOKUP(_xlfn.CONCAT(E330,B330),'Year Wise Master Dep Approach'!F:F,'Year Wise Master Dep Approach'!E:E)</f>
        <v>3</v>
      </c>
      <c r="P330" s="114">
        <f>IFERROR(IF('FA Addition'!$N330="WDV",1-('FA Addition'!$M330/'FA Addition'!$L330)^(1/'FA Addition'!$O330),1/'FA Addition'!$O330),0)</f>
        <v>0.63159685013596123</v>
      </c>
      <c r="Q330" s="122">
        <f>'FA Addition'!$P330*'FA Addition'!$O330</f>
        <v>1.8947905504078837</v>
      </c>
      <c r="R330" s="122"/>
      <c r="S330" s="116">
        <f>IF(AND(DATE(20&amp;LEFT(FAAddition[[#This Row],[FY]],2),4,1)&lt;$L$1+1,DATE(20&amp;LEFT(FAAddition[[#This Row],[FY]],2),4,1)&gt;$P$1-1),'FA Addition'!$J330,0)</f>
        <v>0</v>
      </c>
      <c r="U330" s="117">
        <f>S330*'FA Addition'!$L330/'FA Addition'!$J330</f>
        <v>0</v>
      </c>
      <c r="W330" s="116">
        <f>SUMIFS('FA Write off'!D:D,'FA Write off'!A:A,'FA Addition'!$A330,'FA Write off'!C:C,"&lt;"&amp;'FA Addition'!$P$1)</f>
        <v>0</v>
      </c>
      <c r="Y330" s="191">
        <f>IFERROR(W330/'FA Addition'!$J330*'FA Addition'!$L330,0)</f>
        <v>0</v>
      </c>
      <c r="AA330" s="116">
        <f>SUMIFS('FA Write off'!D:D,'FA Write off'!A:A,'FA Addition'!$A330,'FA Write off'!C:C,"&lt;"&amp;'FA Addition'!$L$1+1,'FA Write off'!C:C,"&gt;"&amp;'FA Addition'!$L$1-365)</f>
        <v>0</v>
      </c>
      <c r="AC330" s="118">
        <f>IFERROR(AA330/'FA Addition'!$J330*'FA Addition'!$L330,0)</f>
        <v>0</v>
      </c>
      <c r="AE330" s="117">
        <f>IF(AND('FA Addition'!$D330&lt;$P$1+1,U330=0),'FA Addition'!$L330,0)-Y330</f>
        <v>72000</v>
      </c>
      <c r="AF330" s="117">
        <f t="shared" si="25"/>
        <v>72000</v>
      </c>
      <c r="AG330" s="117">
        <f>MIN(MAX(+$P$1-'FA Addition'!$D330,0),365*'FA Addition'!$O330)</f>
        <v>1095</v>
      </c>
      <c r="AH330" s="117">
        <f>MIN(MAX($L$1-'FA Addition'!$D330+1,0),365*'FA Addition'!$O330)</f>
        <v>1095</v>
      </c>
      <c r="AI330" s="117" cm="1">
        <f t="array" ref="AI330">_xlfn.XLOOKUP(1,('FA Write off'!A:A='FA Addition'!$A330)*('FA Write off'!D:D=AA330),'FA Write off'!H:H,0,0)</f>
        <v>0</v>
      </c>
      <c r="AJ330" s="117">
        <f>IF(AC330&gt;0,MAX(IF('FA Addition'!$N330="SLM",($AC330-'FA Addition'!$M330)*'FA Addition'!$P330*AI330/365,(AC330-'FA Addition'!$M330)*(1-(1-'FA Addition'!$P330)^(AI330/365))),0),0)</f>
        <v>0</v>
      </c>
      <c r="AL330" s="117">
        <f>MAX(IF(AG330&gt;0,IF('FA Addition'!$N330="SLM",($AE330-'FA Addition'!$M330)*'FA Addition'!$P330*AG330/365,IFERROR(VDB(AE330,AE330*0.05,'FA Addition'!$O330,0,YEARFRAC('FA Addition'!$C330,$P$1-1,3),'FA Addition'!$Q330),FAAddition[[#This Row],[Original Cost (Rs)]]-FAAddition[[#This Row],[Salvage Value]])),0),0)</f>
        <v>68400</v>
      </c>
      <c r="AM330" s="119"/>
      <c r="AN330" s="117">
        <f>MAX(IF(AH330&gt;0,IF('FA Addition'!$N330="SLM",($AF330-'FA Addition'!$M330)*'FA Addition'!$P330*AH330/365,IFERROR(VDB(AF330,AF330*0.05,'FA Addition'!$O330,0,YEARFRAC('FA Addition'!$C330,$L$1,3),'FA Addition'!$Q330),FAAddition[[#This Row],[Original Cost (Rs)]]-FAAddition[[#This Row],[Salvage Value]])),0),0)</f>
        <v>68400</v>
      </c>
      <c r="AO330" s="117">
        <f t="shared" si="28"/>
        <v>0</v>
      </c>
      <c r="AQ330" s="117">
        <f t="shared" si="26"/>
        <v>3600</v>
      </c>
      <c r="AR330" s="120">
        <f t="shared" si="27"/>
        <v>3600</v>
      </c>
      <c r="AS330" s="121"/>
    </row>
    <row r="331" spans="1:45" ht="13.5" x14ac:dyDescent="0.4">
      <c r="A331" s="12">
        <f t="shared" si="29"/>
        <v>328</v>
      </c>
      <c r="B331" s="44" t="s">
        <v>731</v>
      </c>
      <c r="C331" s="45">
        <v>43104</v>
      </c>
      <c r="D331" s="45">
        <v>43104</v>
      </c>
      <c r="E331" s="46" t="s">
        <v>451</v>
      </c>
      <c r="F331" s="44" t="s">
        <v>21</v>
      </c>
      <c r="G331" s="44" t="s">
        <v>872</v>
      </c>
      <c r="H331" s="51" t="s">
        <v>21</v>
      </c>
      <c r="I331" s="44" t="s">
        <v>873</v>
      </c>
      <c r="J331" s="56">
        <v>1</v>
      </c>
      <c r="K331" s="44" t="s">
        <v>874</v>
      </c>
      <c r="L331" s="62">
        <v>29652</v>
      </c>
      <c r="M331" s="50">
        <f>ROUND('FA Addition'!$L331*5%,0.1)</f>
        <v>1483</v>
      </c>
      <c r="N331" s="113" t="str">
        <f>_xlfn.XLOOKUP(_xlfn.CONCAT(E331,B331),'Year Wise Master Dep Approach'!F:F,'Year Wise Master Dep Approach'!D:D)</f>
        <v>WDV</v>
      </c>
      <c r="O331" s="113">
        <f>_xlfn.XLOOKUP(_xlfn.CONCAT(E331,B331),'Year Wise Master Dep Approach'!F:F,'Year Wise Master Dep Approach'!E:E)</f>
        <v>3</v>
      </c>
      <c r="P331" s="114">
        <f>IFERROR(IF('FA Addition'!$N331="WDV",1-('FA Addition'!$M331/'FA Addition'!$L331)^(1/'FA Addition'!$O331),1/'FA Addition'!$O331),0)</f>
        <v>0.63156372184570009</v>
      </c>
      <c r="Q331" s="122">
        <f>'FA Addition'!$P331*'FA Addition'!$O331</f>
        <v>1.8946911655371004</v>
      </c>
      <c r="R331" s="122"/>
      <c r="S331" s="116">
        <f>IF(AND(DATE(20&amp;LEFT(FAAddition[[#This Row],[FY]],2),4,1)&lt;$L$1+1,DATE(20&amp;LEFT(FAAddition[[#This Row],[FY]],2),4,1)&gt;$P$1-1),'FA Addition'!$J331,0)</f>
        <v>0</v>
      </c>
      <c r="U331" s="117">
        <f>S331*'FA Addition'!$L331/'FA Addition'!$J331</f>
        <v>0</v>
      </c>
      <c r="W331" s="116">
        <f>SUMIFS('FA Write off'!D:D,'FA Write off'!A:A,'FA Addition'!$A331,'FA Write off'!C:C,"&lt;"&amp;'FA Addition'!$P$1)</f>
        <v>0</v>
      </c>
      <c r="Y331" s="191">
        <f>IFERROR(W331/'FA Addition'!$J331*'FA Addition'!$L331,0)</f>
        <v>0</v>
      </c>
      <c r="AA331" s="116">
        <f>SUMIFS('FA Write off'!D:D,'FA Write off'!A:A,'FA Addition'!$A331,'FA Write off'!C:C,"&lt;"&amp;'FA Addition'!$L$1+1,'FA Write off'!C:C,"&gt;"&amp;'FA Addition'!$L$1-365)</f>
        <v>0</v>
      </c>
      <c r="AC331" s="118">
        <f>IFERROR(AA331/'FA Addition'!$J331*'FA Addition'!$L331,0)</f>
        <v>0</v>
      </c>
      <c r="AE331" s="117">
        <f>IF(AND('FA Addition'!$D331&lt;$P$1+1,U331=0),'FA Addition'!$L331,0)-Y331</f>
        <v>29652</v>
      </c>
      <c r="AF331" s="117">
        <f t="shared" si="25"/>
        <v>29652</v>
      </c>
      <c r="AG331" s="117">
        <f>MIN(MAX(+$P$1-'FA Addition'!$D331,0),365*'FA Addition'!$O331)</f>
        <v>1095</v>
      </c>
      <c r="AH331" s="117">
        <f>MIN(MAX($L$1-'FA Addition'!$D331+1,0),365*'FA Addition'!$O331)</f>
        <v>1095</v>
      </c>
      <c r="AI331" s="117" cm="1">
        <f t="array" ref="AI331">_xlfn.XLOOKUP(1,('FA Write off'!A:A='FA Addition'!$A331)*('FA Write off'!D:D=AA331),'FA Write off'!H:H,0,0)</f>
        <v>0</v>
      </c>
      <c r="AJ331" s="117">
        <f>IF(AC331&gt;0,MAX(IF('FA Addition'!$N331="SLM",($AC331-'FA Addition'!$M331)*'FA Addition'!$P331*AI331/365,(AC331-'FA Addition'!$M331)*(1-(1-'FA Addition'!$P331)^(AI331/365))),0),0)</f>
        <v>0</v>
      </c>
      <c r="AL331" s="117">
        <f>MAX(IF(AG331&gt;0,IF('FA Addition'!$N331="SLM",($AE331-'FA Addition'!$M331)*'FA Addition'!$P331*AG331/365,IFERROR(VDB(AE331,AE331*0.05,'FA Addition'!$O331,0,YEARFRAC('FA Addition'!$C331,$P$1-1,3),'FA Addition'!$Q331),FAAddition[[#This Row],[Original Cost (Rs)]]-FAAddition[[#This Row],[Salvage Value]])),0),0)</f>
        <v>28169</v>
      </c>
      <c r="AM331" s="119"/>
      <c r="AN331" s="117">
        <f>MAX(IF(AH331&gt;0,IF('FA Addition'!$N331="SLM",($AF331-'FA Addition'!$M331)*'FA Addition'!$P331*AH331/365,IFERROR(VDB(AF331,AF331*0.05,'FA Addition'!$O331,0,YEARFRAC('FA Addition'!$C331,$L$1,3),'FA Addition'!$Q331),FAAddition[[#This Row],[Original Cost (Rs)]]-FAAddition[[#This Row],[Salvage Value]])),0),0)</f>
        <v>28169</v>
      </c>
      <c r="AO331" s="117">
        <f t="shared" si="28"/>
        <v>0</v>
      </c>
      <c r="AQ331" s="117">
        <f t="shared" si="26"/>
        <v>1483</v>
      </c>
      <c r="AR331" s="120">
        <f t="shared" si="27"/>
        <v>1483</v>
      </c>
      <c r="AS331" s="121"/>
    </row>
    <row r="332" spans="1:45" ht="13.5" x14ac:dyDescent="0.4">
      <c r="A332" s="12">
        <f t="shared" si="29"/>
        <v>329</v>
      </c>
      <c r="B332" s="44" t="s">
        <v>731</v>
      </c>
      <c r="C332" s="45">
        <v>43109</v>
      </c>
      <c r="D332" s="45">
        <v>43109</v>
      </c>
      <c r="E332" s="46" t="s">
        <v>32</v>
      </c>
      <c r="F332" s="44" t="s">
        <v>32</v>
      </c>
      <c r="G332" s="44" t="s">
        <v>857</v>
      </c>
      <c r="H332" s="51" t="s">
        <v>32</v>
      </c>
      <c r="I332" s="63" t="s">
        <v>875</v>
      </c>
      <c r="J332" s="48">
        <v>700</v>
      </c>
      <c r="K332" s="44" t="s">
        <v>876</v>
      </c>
      <c r="L332" s="62">
        <v>752541</v>
      </c>
      <c r="M332" s="50">
        <f>ROUND('FA Addition'!$L332*5%,0.1)</f>
        <v>37627</v>
      </c>
      <c r="N332" s="113" t="str">
        <f>_xlfn.XLOOKUP(_xlfn.CONCAT(E332,B332),'Year Wise Master Dep Approach'!F:F,'Year Wise Master Dep Approach'!D:D)</f>
        <v>WDV</v>
      </c>
      <c r="O332" s="113">
        <f>_xlfn.XLOOKUP(_xlfn.CONCAT(E332,B332),'Year Wise Master Dep Approach'!F:F,'Year Wise Master Dep Approach'!E:E)</f>
        <v>3</v>
      </c>
      <c r="P332" s="114">
        <f>IFERROR(IF('FA Addition'!$N332="WDV",1-('FA Addition'!$M332/'FA Addition'!$L332)^(1/'FA Addition'!$O332),1/'FA Addition'!$O332),0)</f>
        <v>0.63159701331790674</v>
      </c>
      <c r="Q332" s="122">
        <f>'FA Addition'!$P332*'FA Addition'!$O332</f>
        <v>1.8947910399537202</v>
      </c>
      <c r="R332" s="122"/>
      <c r="S332" s="116">
        <f>IF(AND(DATE(20&amp;LEFT(FAAddition[[#This Row],[FY]],2),4,1)&lt;$L$1+1,DATE(20&amp;LEFT(FAAddition[[#This Row],[FY]],2),4,1)&gt;$P$1-1),'FA Addition'!$J332,0)</f>
        <v>0</v>
      </c>
      <c r="U332" s="117">
        <f>S332*'FA Addition'!$L332/'FA Addition'!$J332</f>
        <v>0</v>
      </c>
      <c r="W332" s="116">
        <f>SUMIFS('FA Write off'!D:D,'FA Write off'!A:A,'FA Addition'!$A332,'FA Write off'!C:C,"&lt;"&amp;'FA Addition'!$P$1)</f>
        <v>42</v>
      </c>
      <c r="Y332" s="191">
        <f>IFERROR(W332/'FA Addition'!$J332*'FA Addition'!$L332,0)</f>
        <v>45152.46</v>
      </c>
      <c r="AA332" s="116">
        <f>SUMIFS('FA Write off'!D:D,'FA Write off'!A:A,'FA Addition'!$A332,'FA Write off'!C:C,"&lt;"&amp;'FA Addition'!$L$1+1,'FA Write off'!C:C,"&gt;"&amp;'FA Addition'!$L$1-365)</f>
        <v>0</v>
      </c>
      <c r="AC332" s="191">
        <f>IFERROR(AA332/'FA Addition'!$J332*'FA Addition'!$L332,0)</f>
        <v>0</v>
      </c>
      <c r="AE332" s="117">
        <f>IF(AND('FA Addition'!$D332&lt;$P$1+1,U332=0),'FA Addition'!$L332,0)-Y332</f>
        <v>707388.54</v>
      </c>
      <c r="AF332" s="117">
        <f t="shared" si="25"/>
        <v>707388.54</v>
      </c>
      <c r="AG332" s="117">
        <f>MIN(MAX(+$P$1-'FA Addition'!$D332,0),365*'FA Addition'!$O332)</f>
        <v>1095</v>
      </c>
      <c r="AH332" s="117">
        <f>MIN(MAX($L$1-'FA Addition'!$D332+1,0),365*'FA Addition'!$O332)</f>
        <v>1095</v>
      </c>
      <c r="AI332" s="117" cm="1">
        <f t="array" ref="AI332">_xlfn.XLOOKUP(1,('FA Write off'!A:A='FA Addition'!$A332)*('FA Write off'!D:D=AA332),'FA Write off'!H:H,0,0)</f>
        <v>0</v>
      </c>
      <c r="AJ332" s="117">
        <f>IF(AC332&gt;0,MAX(IF('FA Addition'!$N332="SLM",($AC332-'FA Addition'!$M332)*'FA Addition'!$P332*AI332/365,(AC332-'FA Addition'!$M332)*(1-(1-'FA Addition'!$P332)^(AI332/365))),0),0)</f>
        <v>0</v>
      </c>
      <c r="AL332" s="117">
        <f>MAX(IF(AG332&gt;0,IF('FA Addition'!$N332="SLM",($AE332-'FA Addition'!$M332)*'FA Addition'!$P332*AG332/365,IFERROR(VDB(AE332,AE332*0.05,'FA Addition'!$O332,0,YEARFRAC('FA Addition'!$C332,$P$1-1,3),'FA Addition'!$Q332),FAAddition[[#This Row],[Original Cost (Rs)]]-FAAddition[[#This Row],[Salvage Value]])),0),0)</f>
        <v>714914</v>
      </c>
      <c r="AM332" s="119"/>
      <c r="AN332" s="117">
        <f>MAX(IF(AH332&gt;0,IF('FA Addition'!$N332="SLM",($AF332-'FA Addition'!$M332)*'FA Addition'!$P332*AH332/365,IFERROR(VDB(AF332,AF332*0.05,'FA Addition'!$O332,0,YEARFRAC('FA Addition'!$C332,$L$1,3),'FA Addition'!$Q332),FAAddition[[#This Row],[Original Cost (Rs)]]-FAAddition[[#This Row],[Salvage Value]])),0),0)</f>
        <v>714914</v>
      </c>
      <c r="AO332" s="117">
        <f t="shared" si="28"/>
        <v>0</v>
      </c>
      <c r="AQ332" s="117">
        <f t="shared" si="26"/>
        <v>-7525.4599999999627</v>
      </c>
      <c r="AR332" s="120">
        <f t="shared" si="27"/>
        <v>-7525.4599999999627</v>
      </c>
      <c r="AS332" s="121"/>
    </row>
    <row r="333" spans="1:45" ht="13.5" x14ac:dyDescent="0.4">
      <c r="A333" s="12">
        <f t="shared" si="29"/>
        <v>330</v>
      </c>
      <c r="B333" s="44" t="s">
        <v>731</v>
      </c>
      <c r="C333" s="45">
        <v>43110</v>
      </c>
      <c r="D333" s="45">
        <v>43110</v>
      </c>
      <c r="E333" s="46" t="s">
        <v>451</v>
      </c>
      <c r="F333" s="44" t="s">
        <v>21</v>
      </c>
      <c r="G333" s="44" t="s">
        <v>620</v>
      </c>
      <c r="H333" s="51" t="s">
        <v>21</v>
      </c>
      <c r="I333" s="44">
        <v>7777</v>
      </c>
      <c r="J333" s="56">
        <v>1</v>
      </c>
      <c r="K333" s="44" t="s">
        <v>21</v>
      </c>
      <c r="L333" s="62">
        <v>25424</v>
      </c>
      <c r="M333" s="50">
        <f>ROUND('FA Addition'!$L333*5%,0.1)</f>
        <v>1271</v>
      </c>
      <c r="N333" s="113" t="str">
        <f>_xlfn.XLOOKUP(_xlfn.CONCAT(E333,B333),'Year Wise Master Dep Approach'!F:F,'Year Wise Master Dep Approach'!D:D)</f>
        <v>WDV</v>
      </c>
      <c r="O333" s="113">
        <f>_xlfn.XLOOKUP(_xlfn.CONCAT(E333,B333),'Year Wise Master Dep Approach'!F:F,'Year Wise Master Dep Approach'!E:E)</f>
        <v>3</v>
      </c>
      <c r="P333" s="114">
        <f>IFERROR(IF('FA Addition'!$N333="WDV",1-('FA Addition'!$M333/'FA Addition'!$L333)^(1/'FA Addition'!$O333),1/'FA Addition'!$O333),0)</f>
        <v>0.63161617164173256</v>
      </c>
      <c r="Q333" s="122">
        <f>'FA Addition'!$P333*'FA Addition'!$O333</f>
        <v>1.8948485149251977</v>
      </c>
      <c r="R333" s="122"/>
      <c r="S333" s="116">
        <f>IF(AND(DATE(20&amp;LEFT(FAAddition[[#This Row],[FY]],2),4,1)&lt;$L$1+1,DATE(20&amp;LEFT(FAAddition[[#This Row],[FY]],2),4,1)&gt;$P$1-1),'FA Addition'!$J333,0)</f>
        <v>0</v>
      </c>
      <c r="U333" s="117">
        <f>S333*'FA Addition'!$L333/'FA Addition'!$J333</f>
        <v>0</v>
      </c>
      <c r="W333" s="116">
        <f>SUMIFS('FA Write off'!D:D,'FA Write off'!A:A,'FA Addition'!$A333,'FA Write off'!C:C,"&lt;"&amp;'FA Addition'!$P$1)</f>
        <v>0</v>
      </c>
      <c r="Y333" s="191">
        <f>IFERROR(W333/'FA Addition'!$J333*'FA Addition'!$L333,0)</f>
        <v>0</v>
      </c>
      <c r="AA333" s="116">
        <f>SUMIFS('FA Write off'!D:D,'FA Write off'!A:A,'FA Addition'!$A333,'FA Write off'!C:C,"&lt;"&amp;'FA Addition'!$L$1+1,'FA Write off'!C:C,"&gt;"&amp;'FA Addition'!$L$1-365)</f>
        <v>0</v>
      </c>
      <c r="AC333" s="118">
        <f>IFERROR(AA333/'FA Addition'!$J333*'FA Addition'!$L333,0)</f>
        <v>0</v>
      </c>
      <c r="AE333" s="117">
        <f>IF(AND('FA Addition'!$D333&lt;$P$1+1,U333=0),'FA Addition'!$L333,0)-Y333</f>
        <v>25424</v>
      </c>
      <c r="AF333" s="117">
        <f t="shared" si="25"/>
        <v>25424</v>
      </c>
      <c r="AG333" s="117">
        <f>MIN(MAX(+$P$1-'FA Addition'!$D333,0),365*'FA Addition'!$O333)</f>
        <v>1095</v>
      </c>
      <c r="AH333" s="117">
        <f>MIN(MAX($L$1-'FA Addition'!$D333+1,0),365*'FA Addition'!$O333)</f>
        <v>1095</v>
      </c>
      <c r="AI333" s="117" cm="1">
        <f t="array" ref="AI333">_xlfn.XLOOKUP(1,('FA Write off'!A:A='FA Addition'!$A333)*('FA Write off'!D:D=AA333),'FA Write off'!H:H,0,0)</f>
        <v>0</v>
      </c>
      <c r="AJ333" s="117">
        <f>IF(AC333&gt;0,MAX(IF('FA Addition'!$N333="SLM",($AC333-'FA Addition'!$M333)*'FA Addition'!$P333*AI333/365,(AC333-'FA Addition'!$M333)*(1-(1-'FA Addition'!$P333)^(AI333/365))),0),0)</f>
        <v>0</v>
      </c>
      <c r="AL333" s="117">
        <f>MAX(IF(AG333&gt;0,IF('FA Addition'!$N333="SLM",($AE333-'FA Addition'!$M333)*'FA Addition'!$P333*AG333/365,IFERROR(VDB(AE333,AE333*0.05,'FA Addition'!$O333,0,YEARFRAC('FA Addition'!$C333,$P$1-1,3),'FA Addition'!$Q333),FAAddition[[#This Row],[Original Cost (Rs)]]-FAAddition[[#This Row],[Salvage Value]])),0),0)</f>
        <v>24153</v>
      </c>
      <c r="AM333" s="119"/>
      <c r="AN333" s="117">
        <f>MAX(IF(AH333&gt;0,IF('FA Addition'!$N333="SLM",($AF333-'FA Addition'!$M333)*'FA Addition'!$P333*AH333/365,IFERROR(VDB(AF333,AF333*0.05,'FA Addition'!$O333,0,YEARFRAC('FA Addition'!$C333,$L$1,3),'FA Addition'!$Q333),FAAddition[[#This Row],[Original Cost (Rs)]]-FAAddition[[#This Row],[Salvage Value]])),0),0)</f>
        <v>24153</v>
      </c>
      <c r="AO333" s="117">
        <f t="shared" si="28"/>
        <v>0</v>
      </c>
      <c r="AQ333" s="117">
        <f t="shared" si="26"/>
        <v>1271</v>
      </c>
      <c r="AR333" s="120">
        <f t="shared" si="27"/>
        <v>1271</v>
      </c>
      <c r="AS333" s="121"/>
    </row>
    <row r="334" spans="1:45" ht="13.5" x14ac:dyDescent="0.4">
      <c r="A334" s="12">
        <f t="shared" si="29"/>
        <v>331</v>
      </c>
      <c r="B334" s="44" t="s">
        <v>731</v>
      </c>
      <c r="C334" s="45">
        <v>43110</v>
      </c>
      <c r="D334" s="45">
        <v>43110</v>
      </c>
      <c r="E334" s="46" t="s">
        <v>451</v>
      </c>
      <c r="F334" s="44" t="s">
        <v>21</v>
      </c>
      <c r="G334" s="44" t="s">
        <v>620</v>
      </c>
      <c r="H334" s="51" t="s">
        <v>151</v>
      </c>
      <c r="I334" s="44">
        <v>7778</v>
      </c>
      <c r="J334" s="56">
        <v>1</v>
      </c>
      <c r="K334" s="44" t="s">
        <v>877</v>
      </c>
      <c r="L334" s="62">
        <v>7734</v>
      </c>
      <c r="M334" s="50">
        <f>ROUND('FA Addition'!$L334*5%,0.1)</f>
        <v>387</v>
      </c>
      <c r="N334" s="113" t="str">
        <f>_xlfn.XLOOKUP(_xlfn.CONCAT(E334,B334),'Year Wise Master Dep Approach'!F:F,'Year Wise Master Dep Approach'!D:D)</f>
        <v>WDV</v>
      </c>
      <c r="O334" s="113">
        <f>_xlfn.XLOOKUP(_xlfn.CONCAT(E334,B334),'Year Wise Master Dep Approach'!F:F,'Year Wise Master Dep Approach'!E:E)</f>
        <v>3</v>
      </c>
      <c r="P334" s="114">
        <f>IFERROR(IF('FA Addition'!$N334="WDV",1-('FA Addition'!$M334/'FA Addition'!$L334)^(1/'FA Addition'!$O334),1/'FA Addition'!$O334),0)</f>
        <v>0.63150160629773033</v>
      </c>
      <c r="Q334" s="122">
        <f>'FA Addition'!$P334*'FA Addition'!$O334</f>
        <v>1.894504818893191</v>
      </c>
      <c r="R334" s="122"/>
      <c r="S334" s="116">
        <f>IF(AND(DATE(20&amp;LEFT(FAAddition[[#This Row],[FY]],2),4,1)&lt;$L$1+1,DATE(20&amp;LEFT(FAAddition[[#This Row],[FY]],2),4,1)&gt;$P$1-1),'FA Addition'!$J334,0)</f>
        <v>0</v>
      </c>
      <c r="U334" s="117">
        <f>S334*'FA Addition'!$L334/'FA Addition'!$J334</f>
        <v>0</v>
      </c>
      <c r="W334" s="116">
        <f>SUMIFS('FA Write off'!D:D,'FA Write off'!A:A,'FA Addition'!$A334,'FA Write off'!C:C,"&lt;"&amp;'FA Addition'!$P$1)</f>
        <v>0</v>
      </c>
      <c r="Y334" s="191">
        <f>IFERROR(W334/'FA Addition'!$J334*'FA Addition'!$L334,0)</f>
        <v>0</v>
      </c>
      <c r="AA334" s="116">
        <f>SUMIFS('FA Write off'!D:D,'FA Write off'!A:A,'FA Addition'!$A334,'FA Write off'!C:C,"&lt;"&amp;'FA Addition'!$L$1+1,'FA Write off'!C:C,"&gt;"&amp;'FA Addition'!$L$1-365)</f>
        <v>0</v>
      </c>
      <c r="AC334" s="118">
        <f>IFERROR(AA334/'FA Addition'!$J334*'FA Addition'!$L334,0)</f>
        <v>0</v>
      </c>
      <c r="AE334" s="117">
        <f>IF(AND('FA Addition'!$D334&lt;$P$1+1,U334=0),'FA Addition'!$L334,0)-Y334</f>
        <v>7734</v>
      </c>
      <c r="AF334" s="117">
        <f t="shared" si="25"/>
        <v>7734</v>
      </c>
      <c r="AG334" s="117">
        <f>MIN(MAX(+$P$1-'FA Addition'!$D334,0),365*'FA Addition'!$O334)</f>
        <v>1095</v>
      </c>
      <c r="AH334" s="117">
        <f>MIN(MAX($L$1-'FA Addition'!$D334+1,0),365*'FA Addition'!$O334)</f>
        <v>1095</v>
      </c>
      <c r="AI334" s="117" cm="1">
        <f t="array" ref="AI334">_xlfn.XLOOKUP(1,('FA Write off'!A:A='FA Addition'!$A334)*('FA Write off'!D:D=AA334),'FA Write off'!H:H,0,0)</f>
        <v>0</v>
      </c>
      <c r="AJ334" s="117">
        <f>IF(AC334&gt;0,MAX(IF('FA Addition'!$N334="SLM",($AC334-'FA Addition'!$M334)*'FA Addition'!$P334*AI334/365,(AC334-'FA Addition'!$M334)*(1-(1-'FA Addition'!$P334)^(AI334/365))),0),0)</f>
        <v>0</v>
      </c>
      <c r="AL334" s="117">
        <f>MAX(IF(AG334&gt;0,IF('FA Addition'!$N334="SLM",($AE334-'FA Addition'!$M334)*'FA Addition'!$P334*AG334/365,IFERROR(VDB(AE334,AE334*0.05,'FA Addition'!$O334,0,YEARFRAC('FA Addition'!$C334,$P$1-1,3),'FA Addition'!$Q334),FAAddition[[#This Row],[Original Cost (Rs)]]-FAAddition[[#This Row],[Salvage Value]])),0),0)</f>
        <v>7347</v>
      </c>
      <c r="AM334" s="119"/>
      <c r="AN334" s="117">
        <f>MAX(IF(AH334&gt;0,IF('FA Addition'!$N334="SLM",($AF334-'FA Addition'!$M334)*'FA Addition'!$P334*AH334/365,IFERROR(VDB(AF334,AF334*0.05,'FA Addition'!$O334,0,YEARFRAC('FA Addition'!$C334,$L$1,3),'FA Addition'!$Q334),FAAddition[[#This Row],[Original Cost (Rs)]]-FAAddition[[#This Row],[Salvage Value]])),0),0)</f>
        <v>7347</v>
      </c>
      <c r="AO334" s="117">
        <f t="shared" si="28"/>
        <v>0</v>
      </c>
      <c r="AQ334" s="117">
        <f t="shared" si="26"/>
        <v>387</v>
      </c>
      <c r="AR334" s="120">
        <f t="shared" si="27"/>
        <v>387</v>
      </c>
      <c r="AS334" s="121"/>
    </row>
    <row r="335" spans="1:45" ht="13.5" x14ac:dyDescent="0.4">
      <c r="A335" s="12">
        <f t="shared" si="29"/>
        <v>332</v>
      </c>
      <c r="B335" s="44" t="s">
        <v>731</v>
      </c>
      <c r="C335" s="45">
        <v>43111</v>
      </c>
      <c r="D335" s="45">
        <v>43111</v>
      </c>
      <c r="E335" s="46" t="s">
        <v>32</v>
      </c>
      <c r="F335" s="44" t="s">
        <v>32</v>
      </c>
      <c r="G335" s="44" t="s">
        <v>857</v>
      </c>
      <c r="H335" s="51" t="s">
        <v>32</v>
      </c>
      <c r="I335" s="44" t="s">
        <v>878</v>
      </c>
      <c r="J335" s="48">
        <v>2</v>
      </c>
      <c r="K335" s="44" t="s">
        <v>609</v>
      </c>
      <c r="L335" s="62">
        <v>9830</v>
      </c>
      <c r="M335" s="50">
        <f>ROUND('FA Addition'!$L335*5%,0.1)</f>
        <v>492</v>
      </c>
      <c r="N335" s="113" t="str">
        <f>_xlfn.XLOOKUP(_xlfn.CONCAT(E335,B335),'Year Wise Master Dep Approach'!F:F,'Year Wise Master Dep Approach'!D:D)</f>
        <v>WDV</v>
      </c>
      <c r="O335" s="113">
        <f>_xlfn.XLOOKUP(_xlfn.CONCAT(E335,B335),'Year Wise Master Dep Approach'!F:F,'Year Wise Master Dep Approach'!E:E)</f>
        <v>3</v>
      </c>
      <c r="P335" s="114">
        <f>IFERROR(IF('FA Addition'!$N335="WDV",1-('FA Addition'!$M335/'FA Addition'!$L335)^(1/'FA Addition'!$O335),1/'FA Addition'!$O335),0)</f>
        <v>0.63147196770271341</v>
      </c>
      <c r="Q335" s="122">
        <f>'FA Addition'!$P335*'FA Addition'!$O335</f>
        <v>1.8944159031081402</v>
      </c>
      <c r="R335" s="122"/>
      <c r="S335" s="116">
        <f>IF(AND(DATE(20&amp;LEFT(FAAddition[[#This Row],[FY]],2),4,1)&lt;$L$1+1,DATE(20&amp;LEFT(FAAddition[[#This Row],[FY]],2),4,1)&gt;$P$1-1),'FA Addition'!$J335,0)</f>
        <v>0</v>
      </c>
      <c r="U335" s="117">
        <f>S335*'FA Addition'!$L335/'FA Addition'!$J335</f>
        <v>0</v>
      </c>
      <c r="W335" s="116">
        <f>SUMIFS('FA Write off'!D:D,'FA Write off'!A:A,'FA Addition'!$A335,'FA Write off'!C:C,"&lt;"&amp;'FA Addition'!$P$1)</f>
        <v>0</v>
      </c>
      <c r="Y335" s="191">
        <f>IFERROR(W335/'FA Addition'!$J335*'FA Addition'!$L335,0)</f>
        <v>0</v>
      </c>
      <c r="AA335" s="116">
        <f>SUMIFS('FA Write off'!D:D,'FA Write off'!A:A,'FA Addition'!$A335,'FA Write off'!C:C,"&lt;"&amp;'FA Addition'!$L$1+1,'FA Write off'!C:C,"&gt;"&amp;'FA Addition'!$L$1-365)</f>
        <v>0</v>
      </c>
      <c r="AC335" s="118">
        <f>IFERROR(AA335/'FA Addition'!$J335*'FA Addition'!$L335,0)</f>
        <v>0</v>
      </c>
      <c r="AE335" s="117">
        <f>IF(AND('FA Addition'!$D335&lt;$P$1+1,U335=0),'FA Addition'!$L335,0)-Y335</f>
        <v>9830</v>
      </c>
      <c r="AF335" s="117">
        <f t="shared" si="25"/>
        <v>9830</v>
      </c>
      <c r="AG335" s="117">
        <f>MIN(MAX(+$P$1-'FA Addition'!$D335,0),365*'FA Addition'!$O335)</f>
        <v>1095</v>
      </c>
      <c r="AH335" s="117">
        <f>MIN(MAX($L$1-'FA Addition'!$D335+1,0),365*'FA Addition'!$O335)</f>
        <v>1095</v>
      </c>
      <c r="AI335" s="117" cm="1">
        <f t="array" ref="AI335">_xlfn.XLOOKUP(1,('FA Write off'!A:A='FA Addition'!$A335)*('FA Write off'!D:D=AA335),'FA Write off'!H:H,0,0)</f>
        <v>0</v>
      </c>
      <c r="AJ335" s="117">
        <f>IF(AC335&gt;0,MAX(IF('FA Addition'!$N335="SLM",($AC335-'FA Addition'!$M335)*'FA Addition'!$P335*AI335/365,(AC335-'FA Addition'!$M335)*(1-(1-'FA Addition'!$P335)^(AI335/365))),0),0)</f>
        <v>0</v>
      </c>
      <c r="AL335" s="117">
        <f>MAX(IF(AG335&gt;0,IF('FA Addition'!$N335="SLM",($AE335-'FA Addition'!$M335)*'FA Addition'!$P335*AG335/365,IFERROR(VDB(AE335,AE335*0.05,'FA Addition'!$O335,0,YEARFRAC('FA Addition'!$C335,$P$1-1,3),'FA Addition'!$Q335),FAAddition[[#This Row],[Original Cost (Rs)]]-FAAddition[[#This Row],[Salvage Value]])),0),0)</f>
        <v>9338</v>
      </c>
      <c r="AM335" s="119"/>
      <c r="AN335" s="117">
        <f>MAX(IF(AH335&gt;0,IF('FA Addition'!$N335="SLM",($AF335-'FA Addition'!$M335)*'FA Addition'!$P335*AH335/365,IFERROR(VDB(AF335,AF335*0.05,'FA Addition'!$O335,0,YEARFRAC('FA Addition'!$C335,$L$1,3),'FA Addition'!$Q335),FAAddition[[#This Row],[Original Cost (Rs)]]-FAAddition[[#This Row],[Salvage Value]])),0),0)</f>
        <v>9338</v>
      </c>
      <c r="AO335" s="117">
        <f t="shared" si="28"/>
        <v>0</v>
      </c>
      <c r="AQ335" s="117">
        <f t="shared" si="26"/>
        <v>492</v>
      </c>
      <c r="AR335" s="120">
        <f t="shared" si="27"/>
        <v>492</v>
      </c>
      <c r="AS335" s="121"/>
    </row>
    <row r="336" spans="1:45" ht="13.5" x14ac:dyDescent="0.4">
      <c r="A336" s="12">
        <f t="shared" si="29"/>
        <v>333</v>
      </c>
      <c r="B336" s="44" t="s">
        <v>731</v>
      </c>
      <c r="C336" s="45">
        <v>43111</v>
      </c>
      <c r="D336" s="45">
        <v>43111</v>
      </c>
      <c r="E336" s="46" t="s">
        <v>207</v>
      </c>
      <c r="F336" s="44" t="s">
        <v>147</v>
      </c>
      <c r="G336" s="44" t="s">
        <v>755</v>
      </c>
      <c r="H336" s="51" t="s">
        <v>207</v>
      </c>
      <c r="I336" s="44"/>
      <c r="J336" s="48">
        <v>2</v>
      </c>
      <c r="K336" s="44" t="s">
        <v>879</v>
      </c>
      <c r="L336" s="62">
        <v>24097</v>
      </c>
      <c r="M336" s="50">
        <f>ROUND('FA Addition'!$L336*5%,0.1)</f>
        <v>1205</v>
      </c>
      <c r="N336" s="113" t="str">
        <f>_xlfn.XLOOKUP(_xlfn.CONCAT(E336,B336),'Year Wise Master Dep Approach'!F:F,'Year Wise Master Dep Approach'!D:D)</f>
        <v>WDV</v>
      </c>
      <c r="O336" s="113">
        <f>_xlfn.XLOOKUP(_xlfn.CONCAT(E336,B336),'Year Wise Master Dep Approach'!F:F,'Year Wise Master Dep Approach'!E:E)</f>
        <v>5</v>
      </c>
      <c r="P336" s="114">
        <f>IFERROR(IF('FA Addition'!$N336="WDV",1-('FA Addition'!$M336/'FA Addition'!$L336)^(1/'FA Addition'!$O336),1/'FA Addition'!$O336),0)</f>
        <v>0.45070605229796645</v>
      </c>
      <c r="Q336" s="122">
        <f>'FA Addition'!$P336*'FA Addition'!$O336</f>
        <v>2.253530261489832</v>
      </c>
      <c r="R336" s="122"/>
      <c r="S336" s="116">
        <f>IF(AND(DATE(20&amp;LEFT(FAAddition[[#This Row],[FY]],2),4,1)&lt;$L$1+1,DATE(20&amp;LEFT(FAAddition[[#This Row],[FY]],2),4,1)&gt;$P$1-1),'FA Addition'!$J336,0)</f>
        <v>0</v>
      </c>
      <c r="U336" s="117">
        <f>S336*'FA Addition'!$L336/'FA Addition'!$J336</f>
        <v>0</v>
      </c>
      <c r="W336" s="116">
        <f>SUMIFS('FA Write off'!D:D,'FA Write off'!A:A,'FA Addition'!$A336,'FA Write off'!C:C,"&lt;"&amp;'FA Addition'!$P$1)</f>
        <v>0</v>
      </c>
      <c r="Y336" s="191">
        <f>IFERROR(W336/'FA Addition'!$J336*'FA Addition'!$L336,0)</f>
        <v>0</v>
      </c>
      <c r="AA336" s="116">
        <f>SUMIFS('FA Write off'!D:D,'FA Write off'!A:A,'FA Addition'!$A336,'FA Write off'!C:C,"&lt;"&amp;'FA Addition'!$L$1+1,'FA Write off'!C:C,"&gt;"&amp;'FA Addition'!$L$1-365)</f>
        <v>0</v>
      </c>
      <c r="AC336" s="118">
        <f>IFERROR(AA336/'FA Addition'!$J336*'FA Addition'!$L336,0)</f>
        <v>0</v>
      </c>
      <c r="AE336" s="117">
        <f>IF(AND('FA Addition'!$D336&lt;$P$1+1,U336=0),'FA Addition'!$L336,0)-Y336</f>
        <v>24097</v>
      </c>
      <c r="AF336" s="117">
        <f t="shared" si="25"/>
        <v>24097</v>
      </c>
      <c r="AG336" s="117">
        <f>MIN(MAX(+$P$1-'FA Addition'!$D336,0),365*'FA Addition'!$O336)</f>
        <v>1825</v>
      </c>
      <c r="AH336" s="117">
        <f>MIN(MAX($L$1-'FA Addition'!$D336+1,0),365*'FA Addition'!$O336)</f>
        <v>1825</v>
      </c>
      <c r="AI336" s="117" cm="1">
        <f t="array" ref="AI336">_xlfn.XLOOKUP(1,('FA Write off'!A:A='FA Addition'!$A336)*('FA Write off'!D:D=AA336),'FA Write off'!H:H,0,0)</f>
        <v>0</v>
      </c>
      <c r="AJ336" s="117">
        <f>IF(AC336&gt;0,MAX(IF('FA Addition'!$N336="SLM",($AC336-'FA Addition'!$M336)*'FA Addition'!$P336*AI336/365,(AC336-'FA Addition'!$M336)*(1-(1-'FA Addition'!$P336)^(AI336/365))),0),0)</f>
        <v>0</v>
      </c>
      <c r="AL336" s="117">
        <f>MAX(IF(AG336&gt;0,IF('FA Addition'!$N336="SLM",($AE336-'FA Addition'!$M336)*'FA Addition'!$P336*AG336/365,IFERROR(VDB(AE336,AE336*0.05,'FA Addition'!$O336,0,YEARFRAC('FA Addition'!$C336,$P$1-1,3),'FA Addition'!$Q336),FAAddition[[#This Row],[Original Cost (Rs)]]-FAAddition[[#This Row],[Salvage Value]])),0),0)</f>
        <v>22892</v>
      </c>
      <c r="AM336" s="119"/>
      <c r="AN336" s="117">
        <f>MAX(IF(AH336&gt;0,IF('FA Addition'!$N336="SLM",($AF336-'FA Addition'!$M336)*'FA Addition'!$P336*AH336/365,IFERROR(VDB(AF336,AF336*0.05,'FA Addition'!$O336,0,YEARFRAC('FA Addition'!$C336,$L$1,3),'FA Addition'!$Q336),FAAddition[[#This Row],[Original Cost (Rs)]]-FAAddition[[#This Row],[Salvage Value]])),0),0)</f>
        <v>22892</v>
      </c>
      <c r="AO336" s="117">
        <f t="shared" si="28"/>
        <v>0</v>
      </c>
      <c r="AQ336" s="117">
        <f t="shared" si="26"/>
        <v>1205</v>
      </c>
      <c r="AR336" s="120">
        <f t="shared" si="27"/>
        <v>1205</v>
      </c>
      <c r="AS336" s="121"/>
    </row>
    <row r="337" spans="1:45" ht="13.5" x14ac:dyDescent="0.4">
      <c r="A337" s="12">
        <f t="shared" si="29"/>
        <v>334</v>
      </c>
      <c r="B337" s="44" t="s">
        <v>731</v>
      </c>
      <c r="C337" s="45">
        <v>43114</v>
      </c>
      <c r="D337" s="45">
        <v>43114</v>
      </c>
      <c r="E337" s="46" t="s">
        <v>207</v>
      </c>
      <c r="F337" s="44" t="s">
        <v>147</v>
      </c>
      <c r="G337" s="44" t="s">
        <v>880</v>
      </c>
      <c r="H337" s="44" t="s">
        <v>207</v>
      </c>
      <c r="I337" s="44" t="s">
        <v>881</v>
      </c>
      <c r="J337" s="56">
        <v>1</v>
      </c>
      <c r="K337" s="44" t="s">
        <v>882</v>
      </c>
      <c r="L337" s="62">
        <v>6242</v>
      </c>
      <c r="M337" s="50">
        <f>ROUND('FA Addition'!$L337*5%,0.1)</f>
        <v>312</v>
      </c>
      <c r="N337" s="113" t="str">
        <f>_xlfn.XLOOKUP(_xlfn.CONCAT(E337,B337),'Year Wise Master Dep Approach'!F:F,'Year Wise Master Dep Approach'!D:D)</f>
        <v>WDV</v>
      </c>
      <c r="O337" s="113">
        <f>_xlfn.XLOOKUP(_xlfn.CONCAT(E337,B337),'Year Wise Master Dep Approach'!F:F,'Year Wise Master Dep Approach'!E:E)</f>
        <v>5</v>
      </c>
      <c r="P337" s="114">
        <f>IFERROR(IF('FA Addition'!$N337="WDV",1-('FA Addition'!$M337/'FA Addition'!$L337)^(1/'FA Addition'!$O337),1/'FA Addition'!$O337),0)</f>
        <v>0.45075493185114968</v>
      </c>
      <c r="Q337" s="122">
        <f>'FA Addition'!$P337*'FA Addition'!$O337</f>
        <v>2.2537746592557486</v>
      </c>
      <c r="R337" s="122"/>
      <c r="S337" s="116">
        <f>IF(AND(DATE(20&amp;LEFT(FAAddition[[#This Row],[FY]],2),4,1)&lt;$L$1+1,DATE(20&amp;LEFT(FAAddition[[#This Row],[FY]],2),4,1)&gt;$P$1-1),'FA Addition'!$J337,0)</f>
        <v>0</v>
      </c>
      <c r="U337" s="117">
        <f>S337*'FA Addition'!$L337/'FA Addition'!$J337</f>
        <v>0</v>
      </c>
      <c r="W337" s="116">
        <f>SUMIFS('FA Write off'!D:D,'FA Write off'!A:A,'FA Addition'!$A337,'FA Write off'!C:C,"&lt;"&amp;'FA Addition'!$P$1)</f>
        <v>0</v>
      </c>
      <c r="Y337" s="191">
        <f>IFERROR(W337/'FA Addition'!$J337*'FA Addition'!$L337,0)</f>
        <v>0</v>
      </c>
      <c r="AA337" s="116">
        <f>SUMIFS('FA Write off'!D:D,'FA Write off'!A:A,'FA Addition'!$A337,'FA Write off'!C:C,"&lt;"&amp;'FA Addition'!$L$1+1,'FA Write off'!C:C,"&gt;"&amp;'FA Addition'!$L$1-365)</f>
        <v>0</v>
      </c>
      <c r="AC337" s="118">
        <f>IFERROR(AA337/'FA Addition'!$J337*'FA Addition'!$L337,0)</f>
        <v>0</v>
      </c>
      <c r="AE337" s="117">
        <f>IF(AND('FA Addition'!$D337&lt;$P$1+1,U337=0),'FA Addition'!$L337,0)-Y337</f>
        <v>6242</v>
      </c>
      <c r="AF337" s="117">
        <f t="shared" si="25"/>
        <v>6242</v>
      </c>
      <c r="AG337" s="117">
        <f>MIN(MAX(+$P$1-'FA Addition'!$D337,0),365*'FA Addition'!$O337)</f>
        <v>1825</v>
      </c>
      <c r="AH337" s="117">
        <f>MIN(MAX($L$1-'FA Addition'!$D337+1,0),365*'FA Addition'!$O337)</f>
        <v>1825</v>
      </c>
      <c r="AI337" s="117" cm="1">
        <f t="array" ref="AI337">_xlfn.XLOOKUP(1,('FA Write off'!A:A='FA Addition'!$A337)*('FA Write off'!D:D=AA337),'FA Write off'!H:H,0,0)</f>
        <v>0</v>
      </c>
      <c r="AJ337" s="117">
        <f>IF(AC337&gt;0,MAX(IF('FA Addition'!$N337="SLM",($AC337-'FA Addition'!$M337)*'FA Addition'!$P337*AI337/365,(AC337-'FA Addition'!$M337)*(1-(1-'FA Addition'!$P337)^(AI337/365))),0),0)</f>
        <v>0</v>
      </c>
      <c r="AL337" s="117">
        <f>MAX(IF(AG337&gt;0,IF('FA Addition'!$N337="SLM",($AE337-'FA Addition'!$M337)*'FA Addition'!$P337*AG337/365,IFERROR(VDB(AE337,AE337*0.05,'FA Addition'!$O337,0,YEARFRAC('FA Addition'!$C337,$P$1-1,3),'FA Addition'!$Q337),FAAddition[[#This Row],[Original Cost (Rs)]]-FAAddition[[#This Row],[Salvage Value]])),0),0)</f>
        <v>5930</v>
      </c>
      <c r="AM337" s="119"/>
      <c r="AN337" s="117">
        <f>MAX(IF(AH337&gt;0,IF('FA Addition'!$N337="SLM",($AF337-'FA Addition'!$M337)*'FA Addition'!$P337*AH337/365,IFERROR(VDB(AF337,AF337*0.05,'FA Addition'!$O337,0,YEARFRAC('FA Addition'!$C337,$L$1,3),'FA Addition'!$Q337),FAAddition[[#This Row],[Original Cost (Rs)]]-FAAddition[[#This Row],[Salvage Value]])),0),0)</f>
        <v>5930</v>
      </c>
      <c r="AO337" s="117">
        <f t="shared" si="28"/>
        <v>0</v>
      </c>
      <c r="AQ337" s="117">
        <f t="shared" si="26"/>
        <v>312</v>
      </c>
      <c r="AR337" s="120">
        <f t="shared" si="27"/>
        <v>312</v>
      </c>
      <c r="AS337" s="121"/>
    </row>
    <row r="338" spans="1:45" ht="13.5" x14ac:dyDescent="0.4">
      <c r="A338" s="12">
        <f t="shared" si="29"/>
        <v>335</v>
      </c>
      <c r="B338" s="44" t="s">
        <v>731</v>
      </c>
      <c r="C338" s="45">
        <v>43116</v>
      </c>
      <c r="D338" s="45">
        <v>43116</v>
      </c>
      <c r="E338" s="46" t="s">
        <v>207</v>
      </c>
      <c r="F338" s="44" t="s">
        <v>147</v>
      </c>
      <c r="G338" s="44" t="s">
        <v>883</v>
      </c>
      <c r="H338" s="44" t="s">
        <v>207</v>
      </c>
      <c r="I338" s="44"/>
      <c r="J338" s="48">
        <v>3</v>
      </c>
      <c r="K338" s="44" t="s">
        <v>884</v>
      </c>
      <c r="L338" s="62">
        <v>20373</v>
      </c>
      <c r="M338" s="50">
        <f>ROUND('FA Addition'!$L338*5%,0.1)</f>
        <v>1019</v>
      </c>
      <c r="N338" s="113" t="str">
        <f>_xlfn.XLOOKUP(_xlfn.CONCAT(E338,B338),'Year Wise Master Dep Approach'!F:F,'Year Wise Master Dep Approach'!D:D)</f>
        <v>WDV</v>
      </c>
      <c r="O338" s="113">
        <f>_xlfn.XLOOKUP(_xlfn.CONCAT(E338,B338),'Year Wise Master Dep Approach'!F:F,'Year Wise Master Dep Approach'!E:E)</f>
        <v>5</v>
      </c>
      <c r="P338" s="114">
        <f>IFERROR(IF('FA Addition'!$N338="WDV",1-('FA Addition'!$M338/'FA Addition'!$L338)^(1/'FA Addition'!$O338),1/'FA Addition'!$O338),0)</f>
        <v>0.45068198787110347</v>
      </c>
      <c r="Q338" s="122">
        <f>'FA Addition'!$P338*'FA Addition'!$O338</f>
        <v>2.2534099393555174</v>
      </c>
      <c r="R338" s="122"/>
      <c r="S338" s="116">
        <f>IF(AND(DATE(20&amp;LEFT(FAAddition[[#This Row],[FY]],2),4,1)&lt;$L$1+1,DATE(20&amp;LEFT(FAAddition[[#This Row],[FY]],2),4,1)&gt;$P$1-1),'FA Addition'!$J338,0)</f>
        <v>0</v>
      </c>
      <c r="U338" s="117">
        <f>S338*'FA Addition'!$L338/'FA Addition'!$J338</f>
        <v>0</v>
      </c>
      <c r="W338" s="116">
        <f>SUMIFS('FA Write off'!D:D,'FA Write off'!A:A,'FA Addition'!$A338,'FA Write off'!C:C,"&lt;"&amp;'FA Addition'!$P$1)</f>
        <v>0</v>
      </c>
      <c r="Y338" s="191">
        <f>IFERROR(W338/'FA Addition'!$J338*'FA Addition'!$L338,0)</f>
        <v>0</v>
      </c>
      <c r="AA338" s="116">
        <f>SUMIFS('FA Write off'!D:D,'FA Write off'!A:A,'FA Addition'!$A338,'FA Write off'!C:C,"&lt;"&amp;'FA Addition'!$L$1+1,'FA Write off'!C:C,"&gt;"&amp;'FA Addition'!$L$1-365)</f>
        <v>0</v>
      </c>
      <c r="AC338" s="118">
        <f>IFERROR(AA338/'FA Addition'!$J338*'FA Addition'!$L338,0)</f>
        <v>0</v>
      </c>
      <c r="AE338" s="117">
        <f>IF(AND('FA Addition'!$D338&lt;$P$1+1,U338=0),'FA Addition'!$L338,0)-Y338</f>
        <v>20373</v>
      </c>
      <c r="AF338" s="117">
        <f t="shared" si="25"/>
        <v>20373</v>
      </c>
      <c r="AG338" s="117">
        <f>MIN(MAX(+$P$1-'FA Addition'!$D338,0),365*'FA Addition'!$O338)</f>
        <v>1825</v>
      </c>
      <c r="AH338" s="117">
        <f>MIN(MAX($L$1-'FA Addition'!$D338+1,0),365*'FA Addition'!$O338)</f>
        <v>1825</v>
      </c>
      <c r="AI338" s="117" cm="1">
        <f t="array" ref="AI338">_xlfn.XLOOKUP(1,('FA Write off'!A:A='FA Addition'!$A338)*('FA Write off'!D:D=AA338),'FA Write off'!H:H,0,0)</f>
        <v>0</v>
      </c>
      <c r="AJ338" s="117">
        <f>IF(AC338&gt;0,MAX(IF('FA Addition'!$N338="SLM",($AC338-'FA Addition'!$M338)*'FA Addition'!$P338*AI338/365,(AC338-'FA Addition'!$M338)*(1-(1-'FA Addition'!$P338)^(AI338/365))),0),0)</f>
        <v>0</v>
      </c>
      <c r="AL338" s="117">
        <f>MAX(IF(AG338&gt;0,IF('FA Addition'!$N338="SLM",($AE338-'FA Addition'!$M338)*'FA Addition'!$P338*AG338/365,IFERROR(VDB(AE338,AE338*0.05,'FA Addition'!$O338,0,YEARFRAC('FA Addition'!$C338,$P$1-1,3),'FA Addition'!$Q338),FAAddition[[#This Row],[Original Cost (Rs)]]-FAAddition[[#This Row],[Salvage Value]])),0),0)</f>
        <v>19354</v>
      </c>
      <c r="AM338" s="119"/>
      <c r="AN338" s="117">
        <f>MAX(IF(AH338&gt;0,IF('FA Addition'!$N338="SLM",($AF338-'FA Addition'!$M338)*'FA Addition'!$P338*AH338/365,IFERROR(VDB(AF338,AF338*0.05,'FA Addition'!$O338,0,YEARFRAC('FA Addition'!$C338,$L$1,3),'FA Addition'!$Q338),FAAddition[[#This Row],[Original Cost (Rs)]]-FAAddition[[#This Row],[Salvage Value]])),0),0)</f>
        <v>19354</v>
      </c>
      <c r="AO338" s="117">
        <f t="shared" si="28"/>
        <v>0</v>
      </c>
      <c r="AQ338" s="117">
        <f t="shared" si="26"/>
        <v>1019</v>
      </c>
      <c r="AR338" s="120">
        <f t="shared" si="27"/>
        <v>1019</v>
      </c>
      <c r="AS338" s="121"/>
    </row>
    <row r="339" spans="1:45" ht="13.5" x14ac:dyDescent="0.4">
      <c r="A339" s="12">
        <f t="shared" si="29"/>
        <v>336</v>
      </c>
      <c r="B339" s="44" t="s">
        <v>731</v>
      </c>
      <c r="C339" s="45">
        <v>43122</v>
      </c>
      <c r="D339" s="45">
        <v>43122</v>
      </c>
      <c r="E339" s="46" t="s">
        <v>451</v>
      </c>
      <c r="F339" s="44" t="s">
        <v>21</v>
      </c>
      <c r="G339" s="44" t="s">
        <v>620</v>
      </c>
      <c r="H339" s="44" t="s">
        <v>21</v>
      </c>
      <c r="I339" s="44">
        <v>8096</v>
      </c>
      <c r="J339" s="48">
        <v>3</v>
      </c>
      <c r="K339" s="44" t="s">
        <v>21</v>
      </c>
      <c r="L339" s="62">
        <v>76271</v>
      </c>
      <c r="M339" s="50">
        <f>ROUND('FA Addition'!$L339*5%,0.1)</f>
        <v>3814</v>
      </c>
      <c r="N339" s="113" t="str">
        <f>_xlfn.XLOOKUP(_xlfn.CONCAT(E339,B339),'Year Wise Master Dep Approach'!F:F,'Year Wise Master Dep Approach'!D:D)</f>
        <v>WDV</v>
      </c>
      <c r="O339" s="113">
        <f>_xlfn.XLOOKUP(_xlfn.CONCAT(E339,B339),'Year Wise Master Dep Approach'!F:F,'Year Wise Master Dep Approach'!E:E)</f>
        <v>3</v>
      </c>
      <c r="P339" s="114">
        <f>IFERROR(IF('FA Addition'!$N339="WDV",1-('FA Addition'!$M339/'FA Addition'!$L339)^(1/'FA Addition'!$O339),1/'FA Addition'!$O339),0)</f>
        <v>0.63158236014657132</v>
      </c>
      <c r="Q339" s="122">
        <f>'FA Addition'!$P339*'FA Addition'!$O339</f>
        <v>1.894747080439714</v>
      </c>
      <c r="R339" s="122"/>
      <c r="S339" s="116">
        <f>IF(AND(DATE(20&amp;LEFT(FAAddition[[#This Row],[FY]],2),4,1)&lt;$L$1+1,DATE(20&amp;LEFT(FAAddition[[#This Row],[FY]],2),4,1)&gt;$P$1-1),'FA Addition'!$J339,0)</f>
        <v>0</v>
      </c>
      <c r="U339" s="117">
        <f>S339*'FA Addition'!$L339/'FA Addition'!$J339</f>
        <v>0</v>
      </c>
      <c r="W339" s="116">
        <f>SUMIFS('FA Write off'!D:D,'FA Write off'!A:A,'FA Addition'!$A339,'FA Write off'!C:C,"&lt;"&amp;'FA Addition'!$P$1)</f>
        <v>0</v>
      </c>
      <c r="Y339" s="191">
        <f>IFERROR(W339/'FA Addition'!$J339*'FA Addition'!$L339,0)</f>
        <v>0</v>
      </c>
      <c r="AA339" s="116">
        <f>SUMIFS('FA Write off'!D:D,'FA Write off'!A:A,'FA Addition'!$A339,'FA Write off'!C:C,"&lt;"&amp;'FA Addition'!$L$1+1,'FA Write off'!C:C,"&gt;"&amp;'FA Addition'!$L$1-365)</f>
        <v>0</v>
      </c>
      <c r="AC339" s="118">
        <f>IFERROR(AA339/'FA Addition'!$J339*'FA Addition'!$L339,0)</f>
        <v>0</v>
      </c>
      <c r="AE339" s="117">
        <f>IF(AND('FA Addition'!$D339&lt;$P$1+1,U339=0),'FA Addition'!$L339,0)-Y339</f>
        <v>76271</v>
      </c>
      <c r="AF339" s="117">
        <f t="shared" si="25"/>
        <v>76271</v>
      </c>
      <c r="AG339" s="117">
        <f>MIN(MAX(+$P$1-'FA Addition'!$D339,0),365*'FA Addition'!$O339)</f>
        <v>1095</v>
      </c>
      <c r="AH339" s="117">
        <f>MIN(MAX($L$1-'FA Addition'!$D339+1,0),365*'FA Addition'!$O339)</f>
        <v>1095</v>
      </c>
      <c r="AI339" s="117" cm="1">
        <f t="array" ref="AI339">_xlfn.XLOOKUP(1,('FA Write off'!A:A='FA Addition'!$A339)*('FA Write off'!D:D=AA339),'FA Write off'!H:H,0,0)</f>
        <v>0</v>
      </c>
      <c r="AJ339" s="117">
        <f>IF(AC339&gt;0,MAX(IF('FA Addition'!$N339="SLM",($AC339-'FA Addition'!$M339)*'FA Addition'!$P339*AI339/365,(AC339-'FA Addition'!$M339)*(1-(1-'FA Addition'!$P339)^(AI339/365))),0),0)</f>
        <v>0</v>
      </c>
      <c r="AL339" s="117">
        <f>MAX(IF(AG339&gt;0,IF('FA Addition'!$N339="SLM",($AE339-'FA Addition'!$M339)*'FA Addition'!$P339*AG339/365,IFERROR(VDB(AE339,AE339*0.05,'FA Addition'!$O339,0,YEARFRAC('FA Addition'!$C339,$P$1-1,3),'FA Addition'!$Q339),FAAddition[[#This Row],[Original Cost (Rs)]]-FAAddition[[#This Row],[Salvage Value]])),0),0)</f>
        <v>72457</v>
      </c>
      <c r="AM339" s="119"/>
      <c r="AN339" s="117">
        <f>MAX(IF(AH339&gt;0,IF('FA Addition'!$N339="SLM",($AF339-'FA Addition'!$M339)*'FA Addition'!$P339*AH339/365,IFERROR(VDB(AF339,AF339*0.05,'FA Addition'!$O339,0,YEARFRAC('FA Addition'!$C339,$L$1,3),'FA Addition'!$Q339),FAAddition[[#This Row],[Original Cost (Rs)]]-FAAddition[[#This Row],[Salvage Value]])),0),0)</f>
        <v>72457</v>
      </c>
      <c r="AO339" s="117">
        <f t="shared" si="28"/>
        <v>0</v>
      </c>
      <c r="AQ339" s="117">
        <f t="shared" si="26"/>
        <v>3814</v>
      </c>
      <c r="AR339" s="120">
        <f t="shared" si="27"/>
        <v>3814</v>
      </c>
      <c r="AS339" s="121"/>
    </row>
    <row r="340" spans="1:45" ht="13.5" x14ac:dyDescent="0.4">
      <c r="A340" s="12">
        <f t="shared" si="29"/>
        <v>337</v>
      </c>
      <c r="B340" s="44" t="s">
        <v>731</v>
      </c>
      <c r="C340" s="45">
        <v>43124</v>
      </c>
      <c r="D340" s="45">
        <v>43124</v>
      </c>
      <c r="E340" s="46" t="s">
        <v>32</v>
      </c>
      <c r="F340" s="44" t="s">
        <v>32</v>
      </c>
      <c r="G340" s="44" t="s">
        <v>857</v>
      </c>
      <c r="H340" s="44" t="s">
        <v>32</v>
      </c>
      <c r="I340" s="44" t="s">
        <v>885</v>
      </c>
      <c r="J340" s="48">
        <v>254</v>
      </c>
      <c r="K340" s="44" t="s">
        <v>886</v>
      </c>
      <c r="L340" s="62">
        <v>213100</v>
      </c>
      <c r="M340" s="50">
        <f>ROUND('FA Addition'!$L340*5%,0.1)</f>
        <v>10655</v>
      </c>
      <c r="N340" s="113" t="str">
        <f>_xlfn.XLOOKUP(_xlfn.CONCAT(E340,B340),'Year Wise Master Dep Approach'!F:F,'Year Wise Master Dep Approach'!D:D)</f>
        <v>WDV</v>
      </c>
      <c r="O340" s="113">
        <f>_xlfn.XLOOKUP(_xlfn.CONCAT(E340,B340),'Year Wise Master Dep Approach'!F:F,'Year Wise Master Dep Approach'!E:E)</f>
        <v>3</v>
      </c>
      <c r="P340" s="114">
        <f>IFERROR(IF('FA Addition'!$N340="WDV",1-('FA Addition'!$M340/'FA Addition'!$L340)^(1/'FA Addition'!$O340),1/'FA Addition'!$O340),0)</f>
        <v>0.63159685013596123</v>
      </c>
      <c r="Q340" s="122">
        <f>'FA Addition'!$P340*'FA Addition'!$O340</f>
        <v>1.8947905504078837</v>
      </c>
      <c r="R340" s="122"/>
      <c r="S340" s="116">
        <f>IF(AND(DATE(20&amp;LEFT(FAAddition[[#This Row],[FY]],2),4,1)&lt;$L$1+1,DATE(20&amp;LEFT(FAAddition[[#This Row],[FY]],2),4,1)&gt;$P$1-1),'FA Addition'!$J340,0)</f>
        <v>0</v>
      </c>
      <c r="U340" s="117">
        <f>S340*'FA Addition'!$L340/'FA Addition'!$J340</f>
        <v>0</v>
      </c>
      <c r="W340" s="116">
        <f>SUMIFS('FA Write off'!D:D,'FA Write off'!A:A,'FA Addition'!$A340,'FA Write off'!C:C,"&lt;"&amp;'FA Addition'!$P$1)</f>
        <v>10</v>
      </c>
      <c r="Y340" s="191">
        <f>IFERROR(W340/'FA Addition'!$J340*'FA Addition'!$L340,0)</f>
        <v>8389.7637795275587</v>
      </c>
      <c r="AA340" s="116">
        <f>SUMIFS('FA Write off'!D:D,'FA Write off'!A:A,'FA Addition'!$A340,'FA Write off'!C:C,"&lt;"&amp;'FA Addition'!$L$1+1,'FA Write off'!C:C,"&gt;"&amp;'FA Addition'!$L$1-365)</f>
        <v>0</v>
      </c>
      <c r="AC340" s="191">
        <f>IFERROR(AA340/'FA Addition'!$J340*'FA Addition'!$L340,0)</f>
        <v>0</v>
      </c>
      <c r="AE340" s="117">
        <f>IF(AND('FA Addition'!$D340&lt;$P$1+1,U340=0),'FA Addition'!$L340,0)-Y340</f>
        <v>204710.23622047243</v>
      </c>
      <c r="AF340" s="117">
        <f t="shared" si="25"/>
        <v>204710.23622047243</v>
      </c>
      <c r="AG340" s="117">
        <f>MIN(MAX(+$P$1-'FA Addition'!$D340,0),365*'FA Addition'!$O340)</f>
        <v>1095</v>
      </c>
      <c r="AH340" s="117">
        <f>MIN(MAX($L$1-'FA Addition'!$D340+1,0),365*'FA Addition'!$O340)</f>
        <v>1095</v>
      </c>
      <c r="AI340" s="117" cm="1">
        <f t="array" ref="AI340">_xlfn.XLOOKUP(1,('FA Write off'!A:A='FA Addition'!$A340)*('FA Write off'!D:D=AA340),'FA Write off'!H:H,0,0)</f>
        <v>0</v>
      </c>
      <c r="AJ340" s="117">
        <f>IF(AC340&gt;0,MAX(IF('FA Addition'!$N340="SLM",($AC340-'FA Addition'!$M340)*'FA Addition'!$P340*AI340/365,(AC340-'FA Addition'!$M340)*(1-(1-'FA Addition'!$P340)^(AI340/365))),0),0)</f>
        <v>0</v>
      </c>
      <c r="AL340" s="117">
        <f>MAX(IF(AG340&gt;0,IF('FA Addition'!$N340="SLM",($AE340-'FA Addition'!$M340)*'FA Addition'!$P340*AG340/365,IFERROR(VDB(AE340,AE340*0.05,'FA Addition'!$O340,0,YEARFRAC('FA Addition'!$C340,$P$1-1,3),'FA Addition'!$Q340),FAAddition[[#This Row],[Original Cost (Rs)]]-FAAddition[[#This Row],[Salvage Value]])),0),0)</f>
        <v>202445</v>
      </c>
      <c r="AM340" s="119"/>
      <c r="AN340" s="117">
        <f>MAX(IF(AH340&gt;0,IF('FA Addition'!$N340="SLM",($AF340-'FA Addition'!$M340)*'FA Addition'!$P340*AH340/365,IFERROR(VDB(AF340,AF340*0.05,'FA Addition'!$O340,0,YEARFRAC('FA Addition'!$C340,$L$1,3),'FA Addition'!$Q340),FAAddition[[#This Row],[Original Cost (Rs)]]-FAAddition[[#This Row],[Salvage Value]])),0),0)</f>
        <v>202445</v>
      </c>
      <c r="AO340" s="117">
        <f t="shared" si="28"/>
        <v>0</v>
      </c>
      <c r="AQ340" s="117">
        <f t="shared" si="26"/>
        <v>2265.2362204724341</v>
      </c>
      <c r="AR340" s="120">
        <f t="shared" si="27"/>
        <v>2265.2362204724341</v>
      </c>
      <c r="AS340" s="121"/>
    </row>
    <row r="341" spans="1:45" ht="13.5" x14ac:dyDescent="0.4">
      <c r="A341" s="12">
        <f t="shared" si="29"/>
        <v>338</v>
      </c>
      <c r="B341" s="44" t="s">
        <v>731</v>
      </c>
      <c r="C341" s="45">
        <v>43131</v>
      </c>
      <c r="D341" s="45">
        <v>43131</v>
      </c>
      <c r="E341" s="46" t="s">
        <v>32</v>
      </c>
      <c r="F341" s="44" t="s">
        <v>32</v>
      </c>
      <c r="G341" s="44" t="s">
        <v>433</v>
      </c>
      <c r="H341" s="44" t="s">
        <v>32</v>
      </c>
      <c r="I341" s="44" t="s">
        <v>887</v>
      </c>
      <c r="J341" s="48">
        <v>300</v>
      </c>
      <c r="K341" s="44" t="s">
        <v>666</v>
      </c>
      <c r="L341" s="62">
        <v>600000</v>
      </c>
      <c r="M341" s="50">
        <f>ROUND('FA Addition'!$L341*5%,0.1)</f>
        <v>30000</v>
      </c>
      <c r="N341" s="113" t="str">
        <f>_xlfn.XLOOKUP(_xlfn.CONCAT(E341,B341),'Year Wise Master Dep Approach'!F:F,'Year Wise Master Dep Approach'!D:D)</f>
        <v>WDV</v>
      </c>
      <c r="O341" s="113">
        <f>_xlfn.XLOOKUP(_xlfn.CONCAT(E341,B341),'Year Wise Master Dep Approach'!F:F,'Year Wise Master Dep Approach'!E:E)</f>
        <v>3</v>
      </c>
      <c r="P341" s="114">
        <f>IFERROR(IF('FA Addition'!$N341="WDV",1-('FA Addition'!$M341/'FA Addition'!$L341)^(1/'FA Addition'!$O341),1/'FA Addition'!$O341),0)</f>
        <v>0.63159685013596123</v>
      </c>
      <c r="Q341" s="122">
        <f>'FA Addition'!$P341*'FA Addition'!$O341</f>
        <v>1.8947905504078837</v>
      </c>
      <c r="R341" s="122"/>
      <c r="S341" s="116">
        <f>IF(AND(DATE(20&amp;LEFT(FAAddition[[#This Row],[FY]],2),4,1)&lt;$L$1+1,DATE(20&amp;LEFT(FAAddition[[#This Row],[FY]],2),4,1)&gt;$P$1-1),'FA Addition'!$J341,0)</f>
        <v>0</v>
      </c>
      <c r="U341" s="117">
        <f>S341*'FA Addition'!$L341/'FA Addition'!$J341</f>
        <v>0</v>
      </c>
      <c r="W341" s="116">
        <f>SUMIFS('FA Write off'!D:D,'FA Write off'!A:A,'FA Addition'!$A341,'FA Write off'!C:C,"&lt;"&amp;'FA Addition'!$P$1)</f>
        <v>11</v>
      </c>
      <c r="Y341" s="191">
        <f>IFERROR(W341/'FA Addition'!$J341*'FA Addition'!$L341,0)</f>
        <v>22000</v>
      </c>
      <c r="AA341" s="116">
        <f>SUMIFS('FA Write off'!D:D,'FA Write off'!A:A,'FA Addition'!$A341,'FA Write off'!C:C,"&lt;"&amp;'FA Addition'!$L$1+1,'FA Write off'!C:C,"&gt;"&amp;'FA Addition'!$L$1-365)</f>
        <v>0</v>
      </c>
      <c r="AC341" s="191">
        <f>IFERROR(AA341/'FA Addition'!$J341*'FA Addition'!$L341,0)</f>
        <v>0</v>
      </c>
      <c r="AE341" s="117">
        <f>IF(AND('FA Addition'!$D341&lt;$P$1+1,U341=0),'FA Addition'!$L341,0)-Y341</f>
        <v>578000</v>
      </c>
      <c r="AF341" s="117">
        <f t="shared" si="25"/>
        <v>578000</v>
      </c>
      <c r="AG341" s="117">
        <f>MIN(MAX(+$P$1-'FA Addition'!$D341,0),365*'FA Addition'!$O341)</f>
        <v>1095</v>
      </c>
      <c r="AH341" s="117">
        <f>MIN(MAX($L$1-'FA Addition'!$D341+1,0),365*'FA Addition'!$O341)</f>
        <v>1095</v>
      </c>
      <c r="AI341" s="117" cm="1">
        <f t="array" ref="AI341">_xlfn.XLOOKUP(1,('FA Write off'!A:A='FA Addition'!$A341)*('FA Write off'!D:D=AA341),'FA Write off'!H:H,0,0)</f>
        <v>0</v>
      </c>
      <c r="AJ341" s="117">
        <f>IF(AC341&gt;0,MAX(IF('FA Addition'!$N341="SLM",($AC341-'FA Addition'!$M341)*'FA Addition'!$P341*AI341/365,(AC341-'FA Addition'!$M341)*(1-(1-'FA Addition'!$P341)^(AI341/365))),0),0)</f>
        <v>0</v>
      </c>
      <c r="AL341" s="117">
        <f>MAX(IF(AG341&gt;0,IF('FA Addition'!$N341="SLM",($AE341-'FA Addition'!$M341)*'FA Addition'!$P341*AG341/365,IFERROR(VDB(AE341,AE341*0.05,'FA Addition'!$O341,0,YEARFRAC('FA Addition'!$C341,$P$1-1,3),'FA Addition'!$Q341),FAAddition[[#This Row],[Original Cost (Rs)]]-FAAddition[[#This Row],[Salvage Value]])),0),0)</f>
        <v>570000</v>
      </c>
      <c r="AM341" s="119"/>
      <c r="AN341" s="117">
        <f>MAX(IF(AH341&gt;0,IF('FA Addition'!$N341="SLM",($AF341-'FA Addition'!$M341)*'FA Addition'!$P341*AH341/365,IFERROR(VDB(AF341,AF341*0.05,'FA Addition'!$O341,0,YEARFRAC('FA Addition'!$C341,$L$1,3),'FA Addition'!$Q341),FAAddition[[#This Row],[Original Cost (Rs)]]-FAAddition[[#This Row],[Salvage Value]])),0),0)</f>
        <v>570000</v>
      </c>
      <c r="AO341" s="117">
        <f t="shared" si="28"/>
        <v>0</v>
      </c>
      <c r="AQ341" s="117">
        <f t="shared" si="26"/>
        <v>8000</v>
      </c>
      <c r="AR341" s="120">
        <f t="shared" si="27"/>
        <v>8000</v>
      </c>
      <c r="AS341" s="121"/>
    </row>
    <row r="342" spans="1:45" ht="13.5" x14ac:dyDescent="0.4">
      <c r="A342" s="12">
        <f t="shared" si="29"/>
        <v>339</v>
      </c>
      <c r="B342" s="44" t="s">
        <v>731</v>
      </c>
      <c r="C342" s="45">
        <v>43132</v>
      </c>
      <c r="D342" s="45">
        <v>43132</v>
      </c>
      <c r="E342" s="46" t="s">
        <v>451</v>
      </c>
      <c r="F342" s="44" t="s">
        <v>21</v>
      </c>
      <c r="G342" s="44" t="s">
        <v>888</v>
      </c>
      <c r="H342" s="44" t="s">
        <v>21</v>
      </c>
      <c r="I342" s="44" t="s">
        <v>889</v>
      </c>
      <c r="J342" s="56">
        <v>1</v>
      </c>
      <c r="K342" s="44" t="s">
        <v>890</v>
      </c>
      <c r="L342" s="62">
        <v>90169</v>
      </c>
      <c r="M342" s="50">
        <f>ROUND('FA Addition'!$L342*5%,0.1)</f>
        <v>4508</v>
      </c>
      <c r="N342" s="113" t="str">
        <f>_xlfn.XLOOKUP(_xlfn.CONCAT(E342,B342),'Year Wise Master Dep Approach'!F:F,'Year Wise Master Dep Approach'!D:D)</f>
        <v>WDV</v>
      </c>
      <c r="O342" s="113">
        <f>_xlfn.XLOOKUP(_xlfn.CONCAT(E342,B342),'Year Wise Master Dep Approach'!F:F,'Year Wise Master Dep Approach'!E:E)</f>
        <v>3</v>
      </c>
      <c r="P342" s="114">
        <f>IFERROR(IF('FA Addition'!$N342="WDV",1-('FA Addition'!$M342/'FA Addition'!$L342)^(1/'FA Addition'!$O342),1/'FA Addition'!$O342),0)</f>
        <v>0.63160910763269418</v>
      </c>
      <c r="Q342" s="122">
        <f>'FA Addition'!$P342*'FA Addition'!$O342</f>
        <v>1.8948273228980825</v>
      </c>
      <c r="R342" s="122"/>
      <c r="S342" s="116">
        <f>IF(AND(DATE(20&amp;LEFT(FAAddition[[#This Row],[FY]],2),4,1)&lt;$L$1+1,DATE(20&amp;LEFT(FAAddition[[#This Row],[FY]],2),4,1)&gt;$P$1-1),'FA Addition'!$J342,0)</f>
        <v>0</v>
      </c>
      <c r="U342" s="117">
        <f>S342*'FA Addition'!$L342/'FA Addition'!$J342</f>
        <v>0</v>
      </c>
      <c r="W342" s="116">
        <f>SUMIFS('FA Write off'!D:D,'FA Write off'!A:A,'FA Addition'!$A342,'FA Write off'!C:C,"&lt;"&amp;'FA Addition'!$P$1)</f>
        <v>0</v>
      </c>
      <c r="Y342" s="191">
        <f>IFERROR(W342/'FA Addition'!$J342*'FA Addition'!$L342,0)</f>
        <v>0</v>
      </c>
      <c r="AA342" s="116">
        <f>SUMIFS('FA Write off'!D:D,'FA Write off'!A:A,'FA Addition'!$A342,'FA Write off'!C:C,"&lt;"&amp;'FA Addition'!$L$1+1,'FA Write off'!C:C,"&gt;"&amp;'FA Addition'!$L$1-365)</f>
        <v>0</v>
      </c>
      <c r="AC342" s="118">
        <f>IFERROR(AA342/'FA Addition'!$J342*'FA Addition'!$L342,0)</f>
        <v>0</v>
      </c>
      <c r="AE342" s="117">
        <f>IF(AND('FA Addition'!$D342&lt;$P$1+1,U342=0),'FA Addition'!$L342,0)-Y342</f>
        <v>90169</v>
      </c>
      <c r="AF342" s="117">
        <f t="shared" si="25"/>
        <v>90169</v>
      </c>
      <c r="AG342" s="117">
        <f>MIN(MAX(+$P$1-'FA Addition'!$D342,0),365*'FA Addition'!$O342)</f>
        <v>1095</v>
      </c>
      <c r="AH342" s="117">
        <f>MIN(MAX($L$1-'FA Addition'!$D342+1,0),365*'FA Addition'!$O342)</f>
        <v>1095</v>
      </c>
      <c r="AI342" s="117" cm="1">
        <f t="array" ref="AI342">_xlfn.XLOOKUP(1,('FA Write off'!A:A='FA Addition'!$A342)*('FA Write off'!D:D=AA342),'FA Write off'!H:H,0,0)</f>
        <v>0</v>
      </c>
      <c r="AJ342" s="117">
        <f>IF(AC342&gt;0,MAX(IF('FA Addition'!$N342="SLM",($AC342-'FA Addition'!$M342)*'FA Addition'!$P342*AI342/365,(AC342-'FA Addition'!$M342)*(1-(1-'FA Addition'!$P342)^(AI342/365))),0),0)</f>
        <v>0</v>
      </c>
      <c r="AL342" s="117">
        <f>MAX(IF(AG342&gt;0,IF('FA Addition'!$N342="SLM",($AE342-'FA Addition'!$M342)*'FA Addition'!$P342*AG342/365,IFERROR(VDB(AE342,AE342*0.05,'FA Addition'!$O342,0,YEARFRAC('FA Addition'!$C342,$P$1-1,3),'FA Addition'!$Q342),FAAddition[[#This Row],[Original Cost (Rs)]]-FAAddition[[#This Row],[Salvage Value]])),0),0)</f>
        <v>85661</v>
      </c>
      <c r="AM342" s="119"/>
      <c r="AN342" s="117">
        <f>MAX(IF(AH342&gt;0,IF('FA Addition'!$N342="SLM",($AF342-'FA Addition'!$M342)*'FA Addition'!$P342*AH342/365,IFERROR(VDB(AF342,AF342*0.05,'FA Addition'!$O342,0,YEARFRAC('FA Addition'!$C342,$L$1,3),'FA Addition'!$Q342),FAAddition[[#This Row],[Original Cost (Rs)]]-FAAddition[[#This Row],[Salvage Value]])),0),0)</f>
        <v>85661</v>
      </c>
      <c r="AO342" s="117">
        <f t="shared" si="28"/>
        <v>0</v>
      </c>
      <c r="AQ342" s="117">
        <f t="shared" si="26"/>
        <v>4508</v>
      </c>
      <c r="AR342" s="120">
        <f t="shared" si="27"/>
        <v>4508</v>
      </c>
      <c r="AS342" s="121"/>
    </row>
    <row r="343" spans="1:45" ht="13.5" x14ac:dyDescent="0.4">
      <c r="A343" s="12">
        <f t="shared" si="29"/>
        <v>340</v>
      </c>
      <c r="B343" s="44" t="s">
        <v>731</v>
      </c>
      <c r="C343" s="45">
        <v>43132</v>
      </c>
      <c r="D343" s="45">
        <v>43132</v>
      </c>
      <c r="E343" s="46" t="s">
        <v>451</v>
      </c>
      <c r="F343" s="44" t="s">
        <v>21</v>
      </c>
      <c r="G343" s="44" t="s">
        <v>888</v>
      </c>
      <c r="H343" s="44" t="s">
        <v>21</v>
      </c>
      <c r="I343" s="44" t="s">
        <v>891</v>
      </c>
      <c r="J343" s="56">
        <v>1</v>
      </c>
      <c r="K343" s="44" t="s">
        <v>21</v>
      </c>
      <c r="L343" s="62">
        <v>45161</v>
      </c>
      <c r="M343" s="50">
        <f>ROUND('FA Addition'!$L343*5%,0.1)</f>
        <v>2258</v>
      </c>
      <c r="N343" s="113" t="str">
        <f>_xlfn.XLOOKUP(_xlfn.CONCAT(E343,B343),'Year Wise Master Dep Approach'!F:F,'Year Wise Master Dep Approach'!D:D)</f>
        <v>WDV</v>
      </c>
      <c r="O343" s="113">
        <f>_xlfn.XLOOKUP(_xlfn.CONCAT(E343,B343),'Year Wise Master Dep Approach'!F:F,'Year Wise Master Dep Approach'!E:E)</f>
        <v>3</v>
      </c>
      <c r="P343" s="114">
        <f>IFERROR(IF('FA Addition'!$N343="WDV",1-('FA Addition'!$M343/'FA Addition'!$L343)^(1/'FA Addition'!$O343),1/'FA Addition'!$O343),0)</f>
        <v>0.63159956933961847</v>
      </c>
      <c r="Q343" s="122">
        <f>'FA Addition'!$P343*'FA Addition'!$O343</f>
        <v>1.8947987080188553</v>
      </c>
      <c r="R343" s="122"/>
      <c r="S343" s="116">
        <f>IF(AND(DATE(20&amp;LEFT(FAAddition[[#This Row],[FY]],2),4,1)&lt;$L$1+1,DATE(20&amp;LEFT(FAAddition[[#This Row],[FY]],2),4,1)&gt;$P$1-1),'FA Addition'!$J343,0)</f>
        <v>0</v>
      </c>
      <c r="U343" s="117">
        <f>S343*'FA Addition'!$L343/'FA Addition'!$J343</f>
        <v>0</v>
      </c>
      <c r="W343" s="116">
        <f>SUMIFS('FA Write off'!D:D,'FA Write off'!A:A,'FA Addition'!$A343,'FA Write off'!C:C,"&lt;"&amp;'FA Addition'!$P$1)</f>
        <v>0</v>
      </c>
      <c r="Y343" s="191">
        <f>IFERROR(W343/'FA Addition'!$J343*'FA Addition'!$L343,0)</f>
        <v>0</v>
      </c>
      <c r="AA343" s="116">
        <f>SUMIFS('FA Write off'!D:D,'FA Write off'!A:A,'FA Addition'!$A343,'FA Write off'!C:C,"&lt;"&amp;'FA Addition'!$L$1+1,'FA Write off'!C:C,"&gt;"&amp;'FA Addition'!$L$1-365)</f>
        <v>0</v>
      </c>
      <c r="AC343" s="118">
        <f>IFERROR(AA343/'FA Addition'!$J343*'FA Addition'!$L343,0)</f>
        <v>0</v>
      </c>
      <c r="AE343" s="117">
        <f>IF(AND('FA Addition'!$D343&lt;$P$1+1,U343=0),'FA Addition'!$L343,0)-Y343</f>
        <v>45161</v>
      </c>
      <c r="AF343" s="117">
        <f t="shared" si="25"/>
        <v>45161</v>
      </c>
      <c r="AG343" s="117">
        <f>MIN(MAX(+$P$1-'FA Addition'!$D343,0),365*'FA Addition'!$O343)</f>
        <v>1095</v>
      </c>
      <c r="AH343" s="117">
        <f>MIN(MAX($L$1-'FA Addition'!$D343+1,0),365*'FA Addition'!$O343)</f>
        <v>1095</v>
      </c>
      <c r="AI343" s="117" cm="1">
        <f t="array" ref="AI343">_xlfn.XLOOKUP(1,('FA Write off'!A:A='FA Addition'!$A343)*('FA Write off'!D:D=AA343),'FA Write off'!H:H,0,0)</f>
        <v>0</v>
      </c>
      <c r="AJ343" s="117">
        <f>IF(AC343&gt;0,MAX(IF('FA Addition'!$N343="SLM",($AC343-'FA Addition'!$M343)*'FA Addition'!$P343*AI343/365,(AC343-'FA Addition'!$M343)*(1-(1-'FA Addition'!$P343)^(AI343/365))),0),0)</f>
        <v>0</v>
      </c>
      <c r="AL343" s="117">
        <f>MAX(IF(AG343&gt;0,IF('FA Addition'!$N343="SLM",($AE343-'FA Addition'!$M343)*'FA Addition'!$P343*AG343/365,IFERROR(VDB(AE343,AE343*0.05,'FA Addition'!$O343,0,YEARFRAC('FA Addition'!$C343,$P$1-1,3),'FA Addition'!$Q343),FAAddition[[#This Row],[Original Cost (Rs)]]-FAAddition[[#This Row],[Salvage Value]])),0),0)</f>
        <v>42903</v>
      </c>
      <c r="AM343" s="119"/>
      <c r="AN343" s="117">
        <f>MAX(IF(AH343&gt;0,IF('FA Addition'!$N343="SLM",($AF343-'FA Addition'!$M343)*'FA Addition'!$P343*AH343/365,IFERROR(VDB(AF343,AF343*0.05,'FA Addition'!$O343,0,YEARFRAC('FA Addition'!$C343,$L$1,3),'FA Addition'!$Q343),FAAddition[[#This Row],[Original Cost (Rs)]]-FAAddition[[#This Row],[Salvage Value]])),0),0)</f>
        <v>42903</v>
      </c>
      <c r="AO343" s="117">
        <f t="shared" si="28"/>
        <v>0</v>
      </c>
      <c r="AQ343" s="117">
        <f t="shared" si="26"/>
        <v>2258</v>
      </c>
      <c r="AR343" s="120">
        <f t="shared" si="27"/>
        <v>2258</v>
      </c>
      <c r="AS343" s="121"/>
    </row>
    <row r="344" spans="1:45" ht="13.5" x14ac:dyDescent="0.4">
      <c r="A344" s="12">
        <f t="shared" si="29"/>
        <v>341</v>
      </c>
      <c r="B344" s="44" t="s">
        <v>731</v>
      </c>
      <c r="C344" s="45">
        <v>43136</v>
      </c>
      <c r="D344" s="45">
        <v>43136</v>
      </c>
      <c r="E344" s="46" t="s">
        <v>32</v>
      </c>
      <c r="F344" s="44" t="s">
        <v>32</v>
      </c>
      <c r="G344" s="44" t="s">
        <v>857</v>
      </c>
      <c r="H344" s="44" t="s">
        <v>32</v>
      </c>
      <c r="I344" s="44" t="s">
        <v>892</v>
      </c>
      <c r="J344" s="48">
        <v>5</v>
      </c>
      <c r="K344" s="44" t="s">
        <v>893</v>
      </c>
      <c r="L344" s="62">
        <v>13481.36</v>
      </c>
      <c r="M344" s="50">
        <f>ROUND('FA Addition'!$L344*5%,0.1)</f>
        <v>674</v>
      </c>
      <c r="N344" s="113" t="str">
        <f>_xlfn.XLOOKUP(_xlfn.CONCAT(E344,B344),'Year Wise Master Dep Approach'!F:F,'Year Wise Master Dep Approach'!D:D)</f>
        <v>WDV</v>
      </c>
      <c r="O344" s="113">
        <f>_xlfn.XLOOKUP(_xlfn.CONCAT(E344,B344),'Year Wise Master Dep Approach'!F:F,'Year Wise Master Dep Approach'!E:E)</f>
        <v>3</v>
      </c>
      <c r="P344" s="114">
        <f>IFERROR(IF('FA Addition'!$N344="WDV",1-('FA Addition'!$M344/'FA Addition'!$L344)^(1/'FA Addition'!$O344),1/'FA Addition'!$O344),0)</f>
        <v>0.63160923872614994</v>
      </c>
      <c r="Q344" s="122">
        <f>'FA Addition'!$P344*'FA Addition'!$O344</f>
        <v>1.8948277161784497</v>
      </c>
      <c r="R344" s="122"/>
      <c r="S344" s="116">
        <f>IF(AND(DATE(20&amp;LEFT(FAAddition[[#This Row],[FY]],2),4,1)&lt;$L$1+1,DATE(20&amp;LEFT(FAAddition[[#This Row],[FY]],2),4,1)&gt;$P$1-1),'FA Addition'!$J344,0)</f>
        <v>0</v>
      </c>
      <c r="U344" s="117">
        <f>S344*'FA Addition'!$L344/'FA Addition'!$J344</f>
        <v>0</v>
      </c>
      <c r="W344" s="116">
        <f>SUMIFS('FA Write off'!D:D,'FA Write off'!A:A,'FA Addition'!$A344,'FA Write off'!C:C,"&lt;"&amp;'FA Addition'!$P$1)</f>
        <v>0</v>
      </c>
      <c r="Y344" s="191">
        <f>IFERROR(W344/'FA Addition'!$J344*'FA Addition'!$L344,0)</f>
        <v>0</v>
      </c>
      <c r="AA344" s="116">
        <f>SUMIFS('FA Write off'!D:D,'FA Write off'!A:A,'FA Addition'!$A344,'FA Write off'!C:C,"&lt;"&amp;'FA Addition'!$L$1+1,'FA Write off'!C:C,"&gt;"&amp;'FA Addition'!$L$1-365)</f>
        <v>0</v>
      </c>
      <c r="AC344" s="118">
        <f>IFERROR(AA344/'FA Addition'!$J344*'FA Addition'!$L344,0)</f>
        <v>0</v>
      </c>
      <c r="AE344" s="117">
        <f>IF(AND('FA Addition'!$D344&lt;$P$1+1,U344=0),'FA Addition'!$L344,0)-Y344</f>
        <v>13481.36</v>
      </c>
      <c r="AF344" s="117">
        <f t="shared" si="25"/>
        <v>13481.36</v>
      </c>
      <c r="AG344" s="117">
        <f>MIN(MAX(+$P$1-'FA Addition'!$D344,0),365*'FA Addition'!$O344)</f>
        <v>1095</v>
      </c>
      <c r="AH344" s="117">
        <f>MIN(MAX($L$1-'FA Addition'!$D344+1,0),365*'FA Addition'!$O344)</f>
        <v>1095</v>
      </c>
      <c r="AI344" s="117" cm="1">
        <f t="array" ref="AI344">_xlfn.XLOOKUP(1,('FA Write off'!A:A='FA Addition'!$A344)*('FA Write off'!D:D=AA344),'FA Write off'!H:H,0,0)</f>
        <v>0</v>
      </c>
      <c r="AJ344" s="117">
        <f>IF(AC344&gt;0,MAX(IF('FA Addition'!$N344="SLM",($AC344-'FA Addition'!$M344)*'FA Addition'!$P344*AI344/365,(AC344-'FA Addition'!$M344)*(1-(1-'FA Addition'!$P344)^(AI344/365))),0),0)</f>
        <v>0</v>
      </c>
      <c r="AL344" s="117">
        <f>MAX(IF(AG344&gt;0,IF('FA Addition'!$N344="SLM",($AE344-'FA Addition'!$M344)*'FA Addition'!$P344*AG344/365,IFERROR(VDB(AE344,AE344*0.05,'FA Addition'!$O344,0,YEARFRAC('FA Addition'!$C344,$P$1-1,3),'FA Addition'!$Q344),FAAddition[[#This Row],[Original Cost (Rs)]]-FAAddition[[#This Row],[Salvage Value]])),0),0)</f>
        <v>12807.36</v>
      </c>
      <c r="AM344" s="119"/>
      <c r="AN344" s="117">
        <f>MAX(IF(AH344&gt;0,IF('FA Addition'!$N344="SLM",($AF344-'FA Addition'!$M344)*'FA Addition'!$P344*AH344/365,IFERROR(VDB(AF344,AF344*0.05,'FA Addition'!$O344,0,YEARFRAC('FA Addition'!$C344,$L$1,3),'FA Addition'!$Q344),FAAddition[[#This Row],[Original Cost (Rs)]]-FAAddition[[#This Row],[Salvage Value]])),0),0)</f>
        <v>12807.36</v>
      </c>
      <c r="AO344" s="117">
        <f t="shared" si="28"/>
        <v>0</v>
      </c>
      <c r="AQ344" s="117">
        <f t="shared" si="26"/>
        <v>674</v>
      </c>
      <c r="AR344" s="120">
        <f t="shared" si="27"/>
        <v>674</v>
      </c>
      <c r="AS344" s="121"/>
    </row>
    <row r="345" spans="1:45" ht="13.5" x14ac:dyDescent="0.4">
      <c r="A345" s="12">
        <f t="shared" si="29"/>
        <v>342</v>
      </c>
      <c r="B345" s="44" t="s">
        <v>731</v>
      </c>
      <c r="C345" s="45">
        <v>43141</v>
      </c>
      <c r="D345" s="45">
        <v>43141</v>
      </c>
      <c r="E345" s="46" t="s">
        <v>451</v>
      </c>
      <c r="F345" s="44" t="s">
        <v>21</v>
      </c>
      <c r="G345" s="44" t="s">
        <v>620</v>
      </c>
      <c r="H345" s="60" t="s">
        <v>244</v>
      </c>
      <c r="I345" s="44">
        <v>8613</v>
      </c>
      <c r="J345" s="56">
        <v>1</v>
      </c>
      <c r="K345" s="44" t="s">
        <v>894</v>
      </c>
      <c r="L345" s="62">
        <v>43898</v>
      </c>
      <c r="M345" s="50">
        <f>ROUND('FA Addition'!$L345*5%,0.1)</f>
        <v>2195</v>
      </c>
      <c r="N345" s="113" t="str">
        <f>_xlfn.XLOOKUP(_xlfn.CONCAT(E345,B345),'Year Wise Master Dep Approach'!F:F,'Year Wise Master Dep Approach'!D:D)</f>
        <v>WDV</v>
      </c>
      <c r="O345" s="113">
        <f>_xlfn.XLOOKUP(_xlfn.CONCAT(E345,B345),'Year Wise Master Dep Approach'!F:F,'Year Wise Master Dep Approach'!E:E)</f>
        <v>3</v>
      </c>
      <c r="P345" s="114">
        <f>IFERROR(IF('FA Addition'!$N345="WDV",1-('FA Addition'!$M345/'FA Addition'!$L345)^(1/'FA Addition'!$O345),1/'FA Addition'!$O345),0)</f>
        <v>0.6315912553851728</v>
      </c>
      <c r="Q345" s="122">
        <f>'FA Addition'!$P345*'FA Addition'!$O345</f>
        <v>1.8947737661555184</v>
      </c>
      <c r="R345" s="122"/>
      <c r="S345" s="116">
        <f>IF(AND(DATE(20&amp;LEFT(FAAddition[[#This Row],[FY]],2),4,1)&lt;$L$1+1,DATE(20&amp;LEFT(FAAddition[[#This Row],[FY]],2),4,1)&gt;$P$1-1),'FA Addition'!$J345,0)</f>
        <v>0</v>
      </c>
      <c r="U345" s="117">
        <f>S345*'FA Addition'!$L345/'FA Addition'!$J345</f>
        <v>0</v>
      </c>
      <c r="W345" s="116">
        <f>SUMIFS('FA Write off'!D:D,'FA Write off'!A:A,'FA Addition'!$A345,'FA Write off'!C:C,"&lt;"&amp;'FA Addition'!$P$1)</f>
        <v>0</v>
      </c>
      <c r="Y345" s="191">
        <f>IFERROR(W345/'FA Addition'!$J345*'FA Addition'!$L345,0)</f>
        <v>0</v>
      </c>
      <c r="AA345" s="116">
        <f>SUMIFS('FA Write off'!D:D,'FA Write off'!A:A,'FA Addition'!$A345,'FA Write off'!C:C,"&lt;"&amp;'FA Addition'!$L$1+1,'FA Write off'!C:C,"&gt;"&amp;'FA Addition'!$L$1-365)</f>
        <v>0</v>
      </c>
      <c r="AC345" s="118">
        <f>IFERROR(AA345/'FA Addition'!$J345*'FA Addition'!$L345,0)</f>
        <v>0</v>
      </c>
      <c r="AE345" s="117">
        <f>IF(AND('FA Addition'!$D345&lt;$P$1+1,U345=0),'FA Addition'!$L345,0)-Y345</f>
        <v>43898</v>
      </c>
      <c r="AF345" s="117">
        <f t="shared" si="25"/>
        <v>43898</v>
      </c>
      <c r="AG345" s="117">
        <f>MIN(MAX(+$P$1-'FA Addition'!$D345,0),365*'FA Addition'!$O345)</f>
        <v>1095</v>
      </c>
      <c r="AH345" s="117">
        <f>MIN(MAX($L$1-'FA Addition'!$D345+1,0),365*'FA Addition'!$O345)</f>
        <v>1095</v>
      </c>
      <c r="AI345" s="117" cm="1">
        <f t="array" ref="AI345">_xlfn.XLOOKUP(1,('FA Write off'!A:A='FA Addition'!$A345)*('FA Write off'!D:D=AA345),'FA Write off'!H:H,0,0)</f>
        <v>0</v>
      </c>
      <c r="AJ345" s="117">
        <f>IF(AC345&gt;0,MAX(IF('FA Addition'!$N345="SLM",($AC345-'FA Addition'!$M345)*'FA Addition'!$P345*AI345/365,(AC345-'FA Addition'!$M345)*(1-(1-'FA Addition'!$P345)^(AI345/365))),0),0)</f>
        <v>0</v>
      </c>
      <c r="AL345" s="117">
        <f>MAX(IF(AG345&gt;0,IF('FA Addition'!$N345="SLM",($AE345-'FA Addition'!$M345)*'FA Addition'!$P345*AG345/365,IFERROR(VDB(AE345,AE345*0.05,'FA Addition'!$O345,0,YEARFRAC('FA Addition'!$C345,$P$1-1,3),'FA Addition'!$Q345),FAAddition[[#This Row],[Original Cost (Rs)]]-FAAddition[[#This Row],[Salvage Value]])),0),0)</f>
        <v>41703</v>
      </c>
      <c r="AM345" s="119"/>
      <c r="AN345" s="117">
        <f>MAX(IF(AH345&gt;0,IF('FA Addition'!$N345="SLM",($AF345-'FA Addition'!$M345)*'FA Addition'!$P345*AH345/365,IFERROR(VDB(AF345,AF345*0.05,'FA Addition'!$O345,0,YEARFRAC('FA Addition'!$C345,$L$1,3),'FA Addition'!$Q345),FAAddition[[#This Row],[Original Cost (Rs)]]-FAAddition[[#This Row],[Salvage Value]])),0),0)</f>
        <v>41703</v>
      </c>
      <c r="AO345" s="117">
        <f t="shared" si="28"/>
        <v>0</v>
      </c>
      <c r="AQ345" s="117">
        <f t="shared" si="26"/>
        <v>2195</v>
      </c>
      <c r="AR345" s="120">
        <f t="shared" si="27"/>
        <v>2195</v>
      </c>
      <c r="AS345" s="121"/>
    </row>
    <row r="346" spans="1:45" ht="13.5" x14ac:dyDescent="0.4">
      <c r="A346" s="12">
        <f t="shared" si="29"/>
        <v>343</v>
      </c>
      <c r="B346" s="44" t="s">
        <v>731</v>
      </c>
      <c r="C346" s="45">
        <v>43147</v>
      </c>
      <c r="D346" s="45">
        <v>43147</v>
      </c>
      <c r="E346" s="46" t="s">
        <v>451</v>
      </c>
      <c r="F346" s="44" t="s">
        <v>21</v>
      </c>
      <c r="G346" s="44" t="s">
        <v>895</v>
      </c>
      <c r="H346" s="60" t="s">
        <v>21</v>
      </c>
      <c r="I346" s="44" t="s">
        <v>896</v>
      </c>
      <c r="J346" s="48">
        <v>2</v>
      </c>
      <c r="K346" s="44" t="s">
        <v>897</v>
      </c>
      <c r="L346" s="62">
        <v>171323</v>
      </c>
      <c r="M346" s="50">
        <f>ROUND('FA Addition'!$L346*5%,0.1)</f>
        <v>8566</v>
      </c>
      <c r="N346" s="113" t="str">
        <f>_xlfn.XLOOKUP(_xlfn.CONCAT(E346,B346),'Year Wise Master Dep Approach'!F:F,'Year Wise Master Dep Approach'!D:D)</f>
        <v>WDV</v>
      </c>
      <c r="O346" s="113">
        <f>_xlfn.XLOOKUP(_xlfn.CONCAT(E346,B346),'Year Wise Master Dep Approach'!F:F,'Year Wise Master Dep Approach'!E:E)</f>
        <v>3</v>
      </c>
      <c r="P346" s="114">
        <f>IFERROR(IF('FA Addition'!$N346="WDV",1-('FA Addition'!$M346/'FA Addition'!$L346)^(1/'FA Addition'!$O346),1/'FA Addition'!$O346),0)</f>
        <v>0.63159900049113971</v>
      </c>
      <c r="Q346" s="122">
        <f>'FA Addition'!$P346*'FA Addition'!$O346</f>
        <v>1.8947970014734192</v>
      </c>
      <c r="R346" s="122"/>
      <c r="S346" s="116">
        <f>IF(AND(DATE(20&amp;LEFT(FAAddition[[#This Row],[FY]],2),4,1)&lt;$L$1+1,DATE(20&amp;LEFT(FAAddition[[#This Row],[FY]],2),4,1)&gt;$P$1-1),'FA Addition'!$J346,0)</f>
        <v>0</v>
      </c>
      <c r="U346" s="117">
        <f>S346*'FA Addition'!$L346/'FA Addition'!$J346</f>
        <v>0</v>
      </c>
      <c r="W346" s="116">
        <f>SUMIFS('FA Write off'!D:D,'FA Write off'!A:A,'FA Addition'!$A346,'FA Write off'!C:C,"&lt;"&amp;'FA Addition'!$P$1)</f>
        <v>0</v>
      </c>
      <c r="Y346" s="191">
        <f>IFERROR(W346/'FA Addition'!$J346*'FA Addition'!$L346,0)</f>
        <v>0</v>
      </c>
      <c r="AA346" s="116">
        <f>SUMIFS('FA Write off'!D:D,'FA Write off'!A:A,'FA Addition'!$A346,'FA Write off'!C:C,"&lt;"&amp;'FA Addition'!$L$1+1,'FA Write off'!C:C,"&gt;"&amp;'FA Addition'!$L$1-365)</f>
        <v>0</v>
      </c>
      <c r="AC346" s="118">
        <f>IFERROR(AA346/'FA Addition'!$J346*'FA Addition'!$L346,0)</f>
        <v>0</v>
      </c>
      <c r="AE346" s="117">
        <f>IF(AND('FA Addition'!$D346&lt;$P$1+1,U346=0),'FA Addition'!$L346,0)-Y346</f>
        <v>171323</v>
      </c>
      <c r="AF346" s="117">
        <f t="shared" si="25"/>
        <v>171323</v>
      </c>
      <c r="AG346" s="117">
        <f>MIN(MAX(+$P$1-'FA Addition'!$D346,0),365*'FA Addition'!$O346)</f>
        <v>1095</v>
      </c>
      <c r="AH346" s="117">
        <f>MIN(MAX($L$1-'FA Addition'!$D346+1,0),365*'FA Addition'!$O346)</f>
        <v>1095</v>
      </c>
      <c r="AI346" s="117" cm="1">
        <f t="array" ref="AI346">_xlfn.XLOOKUP(1,('FA Write off'!A:A='FA Addition'!$A346)*('FA Write off'!D:D=AA346),'FA Write off'!H:H,0,0)</f>
        <v>0</v>
      </c>
      <c r="AJ346" s="117">
        <f>IF(AC346&gt;0,MAX(IF('FA Addition'!$N346="SLM",($AC346-'FA Addition'!$M346)*'FA Addition'!$P346*AI346/365,(AC346-'FA Addition'!$M346)*(1-(1-'FA Addition'!$P346)^(AI346/365))),0),0)</f>
        <v>0</v>
      </c>
      <c r="AL346" s="117">
        <f>MAX(IF(AG346&gt;0,IF('FA Addition'!$N346="SLM",($AE346-'FA Addition'!$M346)*'FA Addition'!$P346*AG346/365,IFERROR(VDB(AE346,AE346*0.05,'FA Addition'!$O346,0,YEARFRAC('FA Addition'!$C346,$P$1-1,3),'FA Addition'!$Q346),FAAddition[[#This Row],[Original Cost (Rs)]]-FAAddition[[#This Row],[Salvage Value]])),0),0)</f>
        <v>162757</v>
      </c>
      <c r="AM346" s="119"/>
      <c r="AN346" s="117">
        <f>MAX(IF(AH346&gt;0,IF('FA Addition'!$N346="SLM",($AF346-'FA Addition'!$M346)*'FA Addition'!$P346*AH346/365,IFERROR(VDB(AF346,AF346*0.05,'FA Addition'!$O346,0,YEARFRAC('FA Addition'!$C346,$L$1,3),'FA Addition'!$Q346),FAAddition[[#This Row],[Original Cost (Rs)]]-FAAddition[[#This Row],[Salvage Value]])),0),0)</f>
        <v>162757</v>
      </c>
      <c r="AO346" s="117">
        <f t="shared" si="28"/>
        <v>0</v>
      </c>
      <c r="AQ346" s="117">
        <f t="shared" si="26"/>
        <v>8566</v>
      </c>
      <c r="AR346" s="120">
        <f t="shared" si="27"/>
        <v>8566</v>
      </c>
      <c r="AS346" s="121"/>
    </row>
    <row r="347" spans="1:45" ht="13.5" x14ac:dyDescent="0.4">
      <c r="A347" s="12">
        <f t="shared" si="29"/>
        <v>344</v>
      </c>
      <c r="B347" s="44" t="s">
        <v>731</v>
      </c>
      <c r="C347" s="45">
        <v>43147</v>
      </c>
      <c r="D347" s="45">
        <v>43147</v>
      </c>
      <c r="E347" s="46" t="s">
        <v>32</v>
      </c>
      <c r="F347" s="44" t="s">
        <v>32</v>
      </c>
      <c r="G347" s="44" t="s">
        <v>898</v>
      </c>
      <c r="H347" s="60" t="s">
        <v>32</v>
      </c>
      <c r="I347" s="44"/>
      <c r="J347" s="56">
        <v>1</v>
      </c>
      <c r="K347" s="44" t="s">
        <v>32</v>
      </c>
      <c r="L347" s="62">
        <v>6998</v>
      </c>
      <c r="M347" s="50">
        <f>ROUND('FA Addition'!$L347*5%,0.1)</f>
        <v>350</v>
      </c>
      <c r="N347" s="113" t="str">
        <f>_xlfn.XLOOKUP(_xlfn.CONCAT(E347,B347),'Year Wise Master Dep Approach'!F:F,'Year Wise Master Dep Approach'!D:D)</f>
        <v>WDV</v>
      </c>
      <c r="O347" s="113">
        <f>_xlfn.XLOOKUP(_xlfn.CONCAT(E347,B347),'Year Wise Master Dep Approach'!F:F,'Year Wise Master Dep Approach'!E:E)</f>
        <v>3</v>
      </c>
      <c r="P347" s="114">
        <f>IFERROR(IF('FA Addition'!$N347="WDV",1-('FA Addition'!$M347/'FA Addition'!$L347)^(1/'FA Addition'!$O347),1/'FA Addition'!$O347),0)</f>
        <v>0.63156175743715282</v>
      </c>
      <c r="Q347" s="122">
        <f>'FA Addition'!$P347*'FA Addition'!$O347</f>
        <v>1.8946852723114584</v>
      </c>
      <c r="R347" s="122"/>
      <c r="S347" s="116">
        <f>IF(AND(DATE(20&amp;LEFT(FAAddition[[#This Row],[FY]],2),4,1)&lt;$L$1+1,DATE(20&amp;LEFT(FAAddition[[#This Row],[FY]],2),4,1)&gt;$P$1-1),'FA Addition'!$J347,0)</f>
        <v>0</v>
      </c>
      <c r="U347" s="117">
        <f>S347*'FA Addition'!$L347/'FA Addition'!$J347</f>
        <v>0</v>
      </c>
      <c r="W347" s="116">
        <f>SUMIFS('FA Write off'!D:D,'FA Write off'!A:A,'FA Addition'!$A347,'FA Write off'!C:C,"&lt;"&amp;'FA Addition'!$P$1)</f>
        <v>0</v>
      </c>
      <c r="Y347" s="191">
        <f>IFERROR(W347/'FA Addition'!$J347*'FA Addition'!$L347,0)</f>
        <v>0</v>
      </c>
      <c r="AA347" s="116">
        <f>SUMIFS('FA Write off'!D:D,'FA Write off'!A:A,'FA Addition'!$A347,'FA Write off'!C:C,"&lt;"&amp;'FA Addition'!$L$1+1,'FA Write off'!C:C,"&gt;"&amp;'FA Addition'!$L$1-365)</f>
        <v>0</v>
      </c>
      <c r="AC347" s="118">
        <f>IFERROR(AA347/'FA Addition'!$J347*'FA Addition'!$L347,0)</f>
        <v>0</v>
      </c>
      <c r="AE347" s="117">
        <f>IF(AND('FA Addition'!$D347&lt;$P$1+1,U347=0),'FA Addition'!$L347,0)-Y347</f>
        <v>6998</v>
      </c>
      <c r="AF347" s="117">
        <f t="shared" si="25"/>
        <v>6998</v>
      </c>
      <c r="AG347" s="117">
        <f>MIN(MAX(+$P$1-'FA Addition'!$D347,0),365*'FA Addition'!$O347)</f>
        <v>1095</v>
      </c>
      <c r="AH347" s="117">
        <f>MIN(MAX($L$1-'FA Addition'!$D347+1,0),365*'FA Addition'!$O347)</f>
        <v>1095</v>
      </c>
      <c r="AI347" s="117" cm="1">
        <f t="array" ref="AI347">_xlfn.XLOOKUP(1,('FA Write off'!A:A='FA Addition'!$A347)*('FA Write off'!D:D=AA347),'FA Write off'!H:H,0,0)</f>
        <v>0</v>
      </c>
      <c r="AJ347" s="117">
        <f>IF(AC347&gt;0,MAX(IF('FA Addition'!$N347="SLM",($AC347-'FA Addition'!$M347)*'FA Addition'!$P347*AI347/365,(AC347-'FA Addition'!$M347)*(1-(1-'FA Addition'!$P347)^(AI347/365))),0),0)</f>
        <v>0</v>
      </c>
      <c r="AL347" s="117">
        <f>MAX(IF(AG347&gt;0,IF('FA Addition'!$N347="SLM",($AE347-'FA Addition'!$M347)*'FA Addition'!$P347*AG347/365,IFERROR(VDB(AE347,AE347*0.05,'FA Addition'!$O347,0,YEARFRAC('FA Addition'!$C347,$P$1-1,3),'FA Addition'!$Q347),FAAddition[[#This Row],[Original Cost (Rs)]]-FAAddition[[#This Row],[Salvage Value]])),0),0)</f>
        <v>6648</v>
      </c>
      <c r="AM347" s="119"/>
      <c r="AN347" s="117">
        <f>MAX(IF(AH347&gt;0,IF('FA Addition'!$N347="SLM",($AF347-'FA Addition'!$M347)*'FA Addition'!$P347*AH347/365,IFERROR(VDB(AF347,AF347*0.05,'FA Addition'!$O347,0,YEARFRAC('FA Addition'!$C347,$L$1,3),'FA Addition'!$Q347),FAAddition[[#This Row],[Original Cost (Rs)]]-FAAddition[[#This Row],[Salvage Value]])),0),0)</f>
        <v>6648</v>
      </c>
      <c r="AO347" s="117">
        <f t="shared" si="28"/>
        <v>0</v>
      </c>
      <c r="AQ347" s="117">
        <f t="shared" si="26"/>
        <v>350</v>
      </c>
      <c r="AR347" s="120">
        <f t="shared" si="27"/>
        <v>350</v>
      </c>
      <c r="AS347" s="121"/>
    </row>
    <row r="348" spans="1:45" ht="13.5" x14ac:dyDescent="0.4">
      <c r="A348" s="12">
        <f t="shared" si="29"/>
        <v>345</v>
      </c>
      <c r="B348" s="44" t="s">
        <v>731</v>
      </c>
      <c r="C348" s="45">
        <v>43164</v>
      </c>
      <c r="D348" s="45">
        <v>43164</v>
      </c>
      <c r="E348" s="46" t="s">
        <v>451</v>
      </c>
      <c r="F348" s="44" t="s">
        <v>21</v>
      </c>
      <c r="G348" s="44" t="s">
        <v>899</v>
      </c>
      <c r="H348" s="60" t="s">
        <v>113</v>
      </c>
      <c r="I348" s="44"/>
      <c r="J348" s="56">
        <v>1</v>
      </c>
      <c r="K348" s="44"/>
      <c r="L348" s="62">
        <v>81605</v>
      </c>
      <c r="M348" s="50">
        <f>ROUND('FA Addition'!$L348*5%,0.1)</f>
        <v>4080</v>
      </c>
      <c r="N348" s="113" t="str">
        <f>_xlfn.XLOOKUP(_xlfn.CONCAT(E348,B348),'Year Wise Master Dep Approach'!F:F,'Year Wise Master Dep Approach'!D:D)</f>
        <v>WDV</v>
      </c>
      <c r="O348" s="113">
        <f>_xlfn.XLOOKUP(_xlfn.CONCAT(E348,B348),'Year Wise Master Dep Approach'!F:F,'Year Wise Master Dep Approach'!E:E)</f>
        <v>3</v>
      </c>
      <c r="P348" s="114">
        <f>IFERROR(IF('FA Addition'!$N348="WDV",1-('FA Addition'!$M348/'FA Addition'!$L348)^(1/'FA Addition'!$O348),1/'FA Addition'!$O348),0)</f>
        <v>0.63160437440273898</v>
      </c>
      <c r="Q348" s="122">
        <f>'FA Addition'!$P348*'FA Addition'!$O348</f>
        <v>1.894813123208217</v>
      </c>
      <c r="R348" s="122"/>
      <c r="S348" s="116">
        <f>IF(AND(DATE(20&amp;LEFT(FAAddition[[#This Row],[FY]],2),4,1)&lt;$L$1+1,DATE(20&amp;LEFT(FAAddition[[#This Row],[FY]],2),4,1)&gt;$P$1-1),'FA Addition'!$J348,0)</f>
        <v>0</v>
      </c>
      <c r="U348" s="117">
        <f>S348*'FA Addition'!$L348/'FA Addition'!$J348</f>
        <v>0</v>
      </c>
      <c r="W348" s="116">
        <f>SUMIFS('FA Write off'!D:D,'FA Write off'!A:A,'FA Addition'!$A348,'FA Write off'!C:C,"&lt;"&amp;'FA Addition'!$P$1)</f>
        <v>0</v>
      </c>
      <c r="Y348" s="191">
        <f>IFERROR(W348/'FA Addition'!$J348*'FA Addition'!$L348,0)</f>
        <v>0</v>
      </c>
      <c r="AA348" s="116">
        <f>SUMIFS('FA Write off'!D:D,'FA Write off'!A:A,'FA Addition'!$A348,'FA Write off'!C:C,"&lt;"&amp;'FA Addition'!$L$1+1,'FA Write off'!C:C,"&gt;"&amp;'FA Addition'!$L$1-365)</f>
        <v>0</v>
      </c>
      <c r="AC348" s="118">
        <f>IFERROR(AA348/'FA Addition'!$J348*'FA Addition'!$L348,0)</f>
        <v>0</v>
      </c>
      <c r="AE348" s="117">
        <f>IF(AND('FA Addition'!$D348&lt;$P$1+1,U348=0),'FA Addition'!$L348,0)-Y348</f>
        <v>81605</v>
      </c>
      <c r="AF348" s="117">
        <f t="shared" si="25"/>
        <v>81605</v>
      </c>
      <c r="AG348" s="117">
        <f>MIN(MAX(+$P$1-'FA Addition'!$D348,0),365*'FA Addition'!$O348)</f>
        <v>1095</v>
      </c>
      <c r="AH348" s="117">
        <f>MIN(MAX($L$1-'FA Addition'!$D348+1,0),365*'FA Addition'!$O348)</f>
        <v>1095</v>
      </c>
      <c r="AI348" s="117" cm="1">
        <f t="array" ref="AI348">_xlfn.XLOOKUP(1,('FA Write off'!A:A='FA Addition'!$A348)*('FA Write off'!D:D=AA348),'FA Write off'!H:H,0,0)</f>
        <v>0</v>
      </c>
      <c r="AJ348" s="117">
        <f>IF(AC348&gt;0,MAX(IF('FA Addition'!$N348="SLM",($AC348-'FA Addition'!$M348)*'FA Addition'!$P348*AI348/365,(AC348-'FA Addition'!$M348)*(1-(1-'FA Addition'!$P348)^(AI348/365))),0),0)</f>
        <v>0</v>
      </c>
      <c r="AL348" s="117">
        <f>MAX(IF(AG348&gt;0,IF('FA Addition'!$N348="SLM",($AE348-'FA Addition'!$M348)*'FA Addition'!$P348*AG348/365,IFERROR(VDB(AE348,AE348*0.05,'FA Addition'!$O348,0,YEARFRAC('FA Addition'!$C348,$P$1-1,3),'FA Addition'!$Q348),FAAddition[[#This Row],[Original Cost (Rs)]]-FAAddition[[#This Row],[Salvage Value]])),0),0)</f>
        <v>77525</v>
      </c>
      <c r="AM348" s="119"/>
      <c r="AN348" s="117">
        <f>MAX(IF(AH348&gt;0,IF('FA Addition'!$N348="SLM",($AF348-'FA Addition'!$M348)*'FA Addition'!$P348*AH348/365,IFERROR(VDB(AF348,AF348*0.05,'FA Addition'!$O348,0,YEARFRAC('FA Addition'!$C348,$L$1,3),'FA Addition'!$Q348),FAAddition[[#This Row],[Original Cost (Rs)]]-FAAddition[[#This Row],[Salvage Value]])),0),0)</f>
        <v>77525</v>
      </c>
      <c r="AO348" s="117">
        <f t="shared" si="28"/>
        <v>0</v>
      </c>
      <c r="AQ348" s="117">
        <f t="shared" si="26"/>
        <v>4080</v>
      </c>
      <c r="AR348" s="120">
        <f t="shared" si="27"/>
        <v>4080</v>
      </c>
      <c r="AS348" s="121"/>
    </row>
    <row r="349" spans="1:45" ht="13.5" x14ac:dyDescent="0.4">
      <c r="A349" s="12">
        <f t="shared" si="29"/>
        <v>346</v>
      </c>
      <c r="B349" s="44" t="s">
        <v>731</v>
      </c>
      <c r="C349" s="45">
        <v>43179</v>
      </c>
      <c r="D349" s="45">
        <v>43179</v>
      </c>
      <c r="E349" s="46" t="s">
        <v>32</v>
      </c>
      <c r="F349" s="44" t="s">
        <v>32</v>
      </c>
      <c r="G349" s="44" t="s">
        <v>433</v>
      </c>
      <c r="H349" s="60" t="s">
        <v>32</v>
      </c>
      <c r="I349" s="44" t="s">
        <v>900</v>
      </c>
      <c r="J349" s="56">
        <v>1</v>
      </c>
      <c r="K349" s="44" t="s">
        <v>901</v>
      </c>
      <c r="L349" s="62">
        <v>2712</v>
      </c>
      <c r="M349" s="50">
        <f>ROUND('FA Addition'!$L349*5%,0.1)</f>
        <v>136</v>
      </c>
      <c r="N349" s="113" t="str">
        <f>_xlfn.XLOOKUP(_xlfn.CONCAT(E349,B349),'Year Wise Master Dep Approach'!F:F,'Year Wise Master Dep Approach'!D:D)</f>
        <v>WDV</v>
      </c>
      <c r="O349" s="113">
        <f>_xlfn.XLOOKUP(_xlfn.CONCAT(E349,B349),'Year Wise Master Dep Approach'!F:F,'Year Wise Master Dep Approach'!E:E)</f>
        <v>3</v>
      </c>
      <c r="P349" s="114">
        <f>IFERROR(IF('FA Addition'!$N349="WDV",1-('FA Addition'!$M349/'FA Addition'!$L349)^(1/'FA Addition'!$O349),1/'FA Addition'!$O349),0)</f>
        <v>0.63123496075802277</v>
      </c>
      <c r="Q349" s="122">
        <f>'FA Addition'!$P349*'FA Addition'!$O349</f>
        <v>1.8937048822740683</v>
      </c>
      <c r="R349" s="122"/>
      <c r="S349" s="116">
        <f>IF(AND(DATE(20&amp;LEFT(FAAddition[[#This Row],[FY]],2),4,1)&lt;$L$1+1,DATE(20&amp;LEFT(FAAddition[[#This Row],[FY]],2),4,1)&gt;$P$1-1),'FA Addition'!$J349,0)</f>
        <v>0</v>
      </c>
      <c r="U349" s="117">
        <f>S349*'FA Addition'!$L349/'FA Addition'!$J349</f>
        <v>0</v>
      </c>
      <c r="W349" s="116">
        <f>SUMIFS('FA Write off'!D:D,'FA Write off'!A:A,'FA Addition'!$A349,'FA Write off'!C:C,"&lt;"&amp;'FA Addition'!$P$1)</f>
        <v>0</v>
      </c>
      <c r="Y349" s="191">
        <f>IFERROR(W349/'FA Addition'!$J349*'FA Addition'!$L349,0)</f>
        <v>0</v>
      </c>
      <c r="AA349" s="116">
        <f>SUMIFS('FA Write off'!D:D,'FA Write off'!A:A,'FA Addition'!$A349,'FA Write off'!C:C,"&lt;"&amp;'FA Addition'!$L$1+1,'FA Write off'!C:C,"&gt;"&amp;'FA Addition'!$L$1-365)</f>
        <v>0</v>
      </c>
      <c r="AC349" s="118">
        <f>IFERROR(AA349/'FA Addition'!$J349*'FA Addition'!$L349,0)</f>
        <v>0</v>
      </c>
      <c r="AE349" s="117">
        <f>IF(AND('FA Addition'!$D349&lt;$P$1+1,U349=0),'FA Addition'!$L349,0)-Y349</f>
        <v>2712</v>
      </c>
      <c r="AF349" s="117">
        <f t="shared" si="25"/>
        <v>2712</v>
      </c>
      <c r="AG349" s="117">
        <f>MIN(MAX(+$P$1-'FA Addition'!$D349,0),365*'FA Addition'!$O349)</f>
        <v>1095</v>
      </c>
      <c r="AH349" s="117">
        <f>MIN(MAX($L$1-'FA Addition'!$D349+1,0),365*'FA Addition'!$O349)</f>
        <v>1095</v>
      </c>
      <c r="AI349" s="117" cm="1">
        <f t="array" ref="AI349">_xlfn.XLOOKUP(1,('FA Write off'!A:A='FA Addition'!$A349)*('FA Write off'!D:D=AA349),'FA Write off'!H:H,0,0)</f>
        <v>0</v>
      </c>
      <c r="AJ349" s="117">
        <f>IF(AC349&gt;0,MAX(IF('FA Addition'!$N349="SLM",($AC349-'FA Addition'!$M349)*'FA Addition'!$P349*AI349/365,(AC349-'FA Addition'!$M349)*(1-(1-'FA Addition'!$P349)^(AI349/365))),0),0)</f>
        <v>0</v>
      </c>
      <c r="AL349" s="117">
        <f>MAX(IF(AG349&gt;0,IF('FA Addition'!$N349="SLM",($AE349-'FA Addition'!$M349)*'FA Addition'!$P349*AG349/365,IFERROR(VDB(AE349,AE349*0.05,'FA Addition'!$O349,0,YEARFRAC('FA Addition'!$C349,$P$1-1,3),'FA Addition'!$Q349),FAAddition[[#This Row],[Original Cost (Rs)]]-FAAddition[[#This Row],[Salvage Value]])),0),0)</f>
        <v>2576</v>
      </c>
      <c r="AM349" s="119"/>
      <c r="AN349" s="117">
        <f>MAX(IF(AH349&gt;0,IF('FA Addition'!$N349="SLM",($AF349-'FA Addition'!$M349)*'FA Addition'!$P349*AH349/365,IFERROR(VDB(AF349,AF349*0.05,'FA Addition'!$O349,0,YEARFRAC('FA Addition'!$C349,$L$1,3),'FA Addition'!$Q349),FAAddition[[#This Row],[Original Cost (Rs)]]-FAAddition[[#This Row],[Salvage Value]])),0),0)</f>
        <v>2576</v>
      </c>
      <c r="AO349" s="117">
        <f t="shared" si="28"/>
        <v>0</v>
      </c>
      <c r="AQ349" s="117">
        <f t="shared" si="26"/>
        <v>136</v>
      </c>
      <c r="AR349" s="120">
        <f t="shared" si="27"/>
        <v>136</v>
      </c>
      <c r="AS349" s="121"/>
    </row>
    <row r="350" spans="1:45" ht="13.5" x14ac:dyDescent="0.4">
      <c r="A350" s="12">
        <f t="shared" si="29"/>
        <v>347</v>
      </c>
      <c r="B350" s="44" t="s">
        <v>902</v>
      </c>
      <c r="C350" s="45">
        <v>43194</v>
      </c>
      <c r="D350" s="45">
        <v>43194</v>
      </c>
      <c r="E350" s="46" t="s">
        <v>451</v>
      </c>
      <c r="F350" s="44" t="s">
        <v>21</v>
      </c>
      <c r="G350" s="44" t="s">
        <v>903</v>
      </c>
      <c r="H350" s="60" t="s">
        <v>21</v>
      </c>
      <c r="I350" s="44" t="s">
        <v>904</v>
      </c>
      <c r="J350" s="56">
        <v>1</v>
      </c>
      <c r="K350" s="44" t="s">
        <v>905</v>
      </c>
      <c r="L350" s="62">
        <v>58189</v>
      </c>
      <c r="M350" s="50">
        <f>ROUND('FA Addition'!$L350*5%,0.1)</f>
        <v>2909</v>
      </c>
      <c r="N350" s="113" t="str">
        <f>_xlfn.XLOOKUP(_xlfn.CONCAT(E350,B350),'Year Wise Master Dep Approach'!F:F,'Year Wise Master Dep Approach'!D:D)</f>
        <v>WDV</v>
      </c>
      <c r="O350" s="113">
        <f>_xlfn.XLOOKUP(_xlfn.CONCAT(E350,B350),'Year Wise Master Dep Approach'!F:F,'Year Wise Master Dep Approach'!E:E)</f>
        <v>3</v>
      </c>
      <c r="P350" s="114">
        <f>IFERROR(IF('FA Addition'!$N350="WDV",1-('FA Addition'!$M350/'FA Addition'!$L350)^(1/'FA Addition'!$O350),1/'FA Addition'!$O350),0)</f>
        <v>0.63161584455818587</v>
      </c>
      <c r="Q350" s="122">
        <f>'FA Addition'!$P350*'FA Addition'!$O350</f>
        <v>1.8948475336745576</v>
      </c>
      <c r="R350" s="122"/>
      <c r="S350" s="116">
        <f>IF(AND(DATE(20&amp;LEFT(FAAddition[[#This Row],[FY]],2),4,1)&lt;$L$1+1,DATE(20&amp;LEFT(FAAddition[[#This Row],[FY]],2),4,1)&gt;$P$1-1),'FA Addition'!$J350,0)</f>
        <v>0</v>
      </c>
      <c r="U350" s="117">
        <f>S350*'FA Addition'!$L350/'FA Addition'!$J350</f>
        <v>0</v>
      </c>
      <c r="W350" s="116">
        <f>SUMIFS('FA Write off'!D:D,'FA Write off'!A:A,'FA Addition'!$A350,'FA Write off'!C:C,"&lt;"&amp;'FA Addition'!$P$1)</f>
        <v>0</v>
      </c>
      <c r="Y350" s="191">
        <f>IFERROR(W350/'FA Addition'!$J350*'FA Addition'!$L350,0)</f>
        <v>0</v>
      </c>
      <c r="AA350" s="116">
        <f>SUMIFS('FA Write off'!D:D,'FA Write off'!A:A,'FA Addition'!$A350,'FA Write off'!C:C,"&lt;"&amp;'FA Addition'!$L$1+1,'FA Write off'!C:C,"&gt;"&amp;'FA Addition'!$L$1-365)</f>
        <v>0</v>
      </c>
      <c r="AC350" s="118">
        <f>IFERROR(AA350/'FA Addition'!$J350*'FA Addition'!$L350,0)</f>
        <v>0</v>
      </c>
      <c r="AE350" s="117">
        <f>IF(AND('FA Addition'!$D350&lt;$P$1+1,U350=0),'FA Addition'!$L350,0)-Y350</f>
        <v>58189</v>
      </c>
      <c r="AF350" s="117">
        <f t="shared" si="25"/>
        <v>58189</v>
      </c>
      <c r="AG350" s="117">
        <f>MIN(MAX(+$P$1-'FA Addition'!$D350,0),365*'FA Addition'!$O350)</f>
        <v>1095</v>
      </c>
      <c r="AH350" s="117">
        <f>MIN(MAX($L$1-'FA Addition'!$D350+1,0),365*'FA Addition'!$O350)</f>
        <v>1095</v>
      </c>
      <c r="AI350" s="117" cm="1">
        <f t="array" ref="AI350">_xlfn.XLOOKUP(1,('FA Write off'!A:A='FA Addition'!$A350)*('FA Write off'!D:D=AA350),'FA Write off'!H:H,0,0)</f>
        <v>0</v>
      </c>
      <c r="AJ350" s="117">
        <f>IF(AC350&gt;0,MAX(IF('FA Addition'!$N350="SLM",($AC350-'FA Addition'!$M350)*'FA Addition'!$P350*AI350/365,(AC350-'FA Addition'!$M350)*(1-(1-'FA Addition'!$P350)^(AI350/365))),0),0)</f>
        <v>0</v>
      </c>
      <c r="AL350" s="117">
        <f>MAX(IF(AG350&gt;0,IF('FA Addition'!$N350="SLM",($AE350-'FA Addition'!$M350)*'FA Addition'!$P350*AG350/365,IFERROR(VDB(AE350,AE350*0.05,'FA Addition'!$O350,0,YEARFRAC('FA Addition'!$C350,$P$1-1,3),'FA Addition'!$Q350),FAAddition[[#This Row],[Original Cost (Rs)]]-FAAddition[[#This Row],[Salvage Value]])),0),0)</f>
        <v>55280</v>
      </c>
      <c r="AM350" s="119"/>
      <c r="AN350" s="117">
        <f>MAX(IF(AH350&gt;0,IF('FA Addition'!$N350="SLM",($AF350-'FA Addition'!$M350)*'FA Addition'!$P350*AH350/365,IFERROR(VDB(AF350,AF350*0.05,'FA Addition'!$O350,0,YEARFRAC('FA Addition'!$C350,$L$1,3),'FA Addition'!$Q350),FAAddition[[#This Row],[Original Cost (Rs)]]-FAAddition[[#This Row],[Salvage Value]])),0),0)</f>
        <v>55280</v>
      </c>
      <c r="AO350" s="117">
        <f t="shared" si="28"/>
        <v>0</v>
      </c>
      <c r="AQ350" s="117">
        <f t="shared" si="26"/>
        <v>2909</v>
      </c>
      <c r="AR350" s="120">
        <f t="shared" si="27"/>
        <v>2909</v>
      </c>
      <c r="AS350" s="121"/>
    </row>
    <row r="351" spans="1:45" ht="13.5" x14ac:dyDescent="0.4">
      <c r="A351" s="12">
        <f t="shared" si="29"/>
        <v>348</v>
      </c>
      <c r="B351" s="44" t="s">
        <v>902</v>
      </c>
      <c r="C351" s="45">
        <v>43194</v>
      </c>
      <c r="D351" s="45">
        <v>43194</v>
      </c>
      <c r="E351" s="46" t="s">
        <v>451</v>
      </c>
      <c r="F351" s="44" t="s">
        <v>21</v>
      </c>
      <c r="G351" s="44" t="s">
        <v>903</v>
      </c>
      <c r="H351" s="60" t="s">
        <v>21</v>
      </c>
      <c r="I351" s="44">
        <v>201080404174024</v>
      </c>
      <c r="J351" s="56">
        <v>1</v>
      </c>
      <c r="K351" s="44" t="s">
        <v>905</v>
      </c>
      <c r="L351" s="62">
        <v>38990</v>
      </c>
      <c r="M351" s="50">
        <f>ROUND('FA Addition'!$L351*5%,0.1)</f>
        <v>1950</v>
      </c>
      <c r="N351" s="113" t="str">
        <f>_xlfn.XLOOKUP(_xlfn.CONCAT(E351,B351),'Year Wise Master Dep Approach'!F:F,'Year Wise Master Dep Approach'!D:D)</f>
        <v>WDV</v>
      </c>
      <c r="O351" s="113">
        <f>_xlfn.XLOOKUP(_xlfn.CONCAT(E351,B351),'Year Wise Master Dep Approach'!F:F,'Year Wise Master Dep Approach'!E:E)</f>
        <v>3</v>
      </c>
      <c r="P351" s="114">
        <f>IFERROR(IF('FA Addition'!$N351="WDV",1-('FA Addition'!$M351/'FA Addition'!$L351)^(1/'FA Addition'!$O351),1/'FA Addition'!$O351),0)</f>
        <v>0.63156535730371144</v>
      </c>
      <c r="Q351" s="122">
        <f>'FA Addition'!$P351*'FA Addition'!$O351</f>
        <v>1.8946960719111343</v>
      </c>
      <c r="R351" s="122"/>
      <c r="S351" s="116">
        <f>IF(AND(DATE(20&amp;LEFT(FAAddition[[#This Row],[FY]],2),4,1)&lt;$L$1+1,DATE(20&amp;LEFT(FAAddition[[#This Row],[FY]],2),4,1)&gt;$P$1-1),'FA Addition'!$J351,0)</f>
        <v>0</v>
      </c>
      <c r="U351" s="117">
        <f>S351*'FA Addition'!$L351/'FA Addition'!$J351</f>
        <v>0</v>
      </c>
      <c r="W351" s="116">
        <f>SUMIFS('FA Write off'!D:D,'FA Write off'!A:A,'FA Addition'!$A351,'FA Write off'!C:C,"&lt;"&amp;'FA Addition'!$P$1)</f>
        <v>0</v>
      </c>
      <c r="Y351" s="191">
        <f>IFERROR(W351/'FA Addition'!$J351*'FA Addition'!$L351,0)</f>
        <v>0</v>
      </c>
      <c r="AA351" s="116">
        <f>SUMIFS('FA Write off'!D:D,'FA Write off'!A:A,'FA Addition'!$A351,'FA Write off'!C:C,"&lt;"&amp;'FA Addition'!$L$1+1,'FA Write off'!C:C,"&gt;"&amp;'FA Addition'!$L$1-365)</f>
        <v>0</v>
      </c>
      <c r="AC351" s="118">
        <f>IFERROR(AA351/'FA Addition'!$J351*'FA Addition'!$L351,0)</f>
        <v>0</v>
      </c>
      <c r="AE351" s="117">
        <f>IF(AND('FA Addition'!$D351&lt;$P$1+1,U351=0),'FA Addition'!$L351,0)-Y351</f>
        <v>38990</v>
      </c>
      <c r="AF351" s="117">
        <f t="shared" si="25"/>
        <v>38990</v>
      </c>
      <c r="AG351" s="117">
        <f>MIN(MAX(+$P$1-'FA Addition'!$D351,0),365*'FA Addition'!$O351)</f>
        <v>1095</v>
      </c>
      <c r="AH351" s="117">
        <f>MIN(MAX($L$1-'FA Addition'!$D351+1,0),365*'FA Addition'!$O351)</f>
        <v>1095</v>
      </c>
      <c r="AI351" s="117" cm="1">
        <f t="array" ref="AI351">_xlfn.XLOOKUP(1,('FA Write off'!A:A='FA Addition'!$A351)*('FA Write off'!D:D=AA351),'FA Write off'!H:H,0,0)</f>
        <v>0</v>
      </c>
      <c r="AJ351" s="117">
        <f>IF(AC351&gt;0,MAX(IF('FA Addition'!$N351="SLM",($AC351-'FA Addition'!$M351)*'FA Addition'!$P351*AI351/365,(AC351-'FA Addition'!$M351)*(1-(1-'FA Addition'!$P351)^(AI351/365))),0),0)</f>
        <v>0</v>
      </c>
      <c r="AL351" s="117">
        <f>MAX(IF(AG351&gt;0,IF('FA Addition'!$N351="SLM",($AE351-'FA Addition'!$M351)*'FA Addition'!$P351*AG351/365,IFERROR(VDB(AE351,AE351*0.05,'FA Addition'!$O351,0,YEARFRAC('FA Addition'!$C351,$P$1-1,3),'FA Addition'!$Q351),FAAddition[[#This Row],[Original Cost (Rs)]]-FAAddition[[#This Row],[Salvage Value]])),0),0)</f>
        <v>37040</v>
      </c>
      <c r="AM351" s="119"/>
      <c r="AN351" s="117">
        <f>MAX(IF(AH351&gt;0,IF('FA Addition'!$N351="SLM",($AF351-'FA Addition'!$M351)*'FA Addition'!$P351*AH351/365,IFERROR(VDB(AF351,AF351*0.05,'FA Addition'!$O351,0,YEARFRAC('FA Addition'!$C351,$L$1,3),'FA Addition'!$Q351),FAAddition[[#This Row],[Original Cost (Rs)]]-FAAddition[[#This Row],[Salvage Value]])),0),0)</f>
        <v>37040</v>
      </c>
      <c r="AO351" s="117">
        <f t="shared" si="28"/>
        <v>0</v>
      </c>
      <c r="AQ351" s="117">
        <f t="shared" si="26"/>
        <v>1950</v>
      </c>
      <c r="AR351" s="120">
        <f t="shared" si="27"/>
        <v>1950</v>
      </c>
      <c r="AS351" s="121"/>
    </row>
    <row r="352" spans="1:45" ht="13.5" x14ac:dyDescent="0.4">
      <c r="A352" s="12">
        <f t="shared" si="29"/>
        <v>349</v>
      </c>
      <c r="B352" s="44" t="s">
        <v>902</v>
      </c>
      <c r="C352" s="45">
        <v>43194</v>
      </c>
      <c r="D352" s="45">
        <v>43194</v>
      </c>
      <c r="E352" s="46" t="s">
        <v>32</v>
      </c>
      <c r="F352" s="44" t="s">
        <v>32</v>
      </c>
      <c r="G352" s="44" t="s">
        <v>433</v>
      </c>
      <c r="H352" s="60" t="s">
        <v>32</v>
      </c>
      <c r="I352" s="44" t="s">
        <v>906</v>
      </c>
      <c r="J352" s="48">
        <v>2</v>
      </c>
      <c r="K352" s="44" t="s">
        <v>571</v>
      </c>
      <c r="L352" s="62">
        <v>8500</v>
      </c>
      <c r="M352" s="50">
        <f>ROUND('FA Addition'!$L352*5%,0.1)</f>
        <v>425</v>
      </c>
      <c r="N352" s="113" t="str">
        <f>_xlfn.XLOOKUP(_xlfn.CONCAT(E352,B352),'Year Wise Master Dep Approach'!F:F,'Year Wise Master Dep Approach'!D:D)</f>
        <v>WDV</v>
      </c>
      <c r="O352" s="113">
        <f>_xlfn.XLOOKUP(_xlfn.CONCAT(E352,B352),'Year Wise Master Dep Approach'!F:F,'Year Wise Master Dep Approach'!E:E)</f>
        <v>3</v>
      </c>
      <c r="P352" s="114">
        <f>IFERROR(IF('FA Addition'!$N352="WDV",1-('FA Addition'!$M352/'FA Addition'!$L352)^(1/'FA Addition'!$O352),1/'FA Addition'!$O352),0)</f>
        <v>0.63159685013596123</v>
      </c>
      <c r="Q352" s="122">
        <f>'FA Addition'!$P352*'FA Addition'!$O352</f>
        <v>1.8947905504078837</v>
      </c>
      <c r="R352" s="122"/>
      <c r="S352" s="116">
        <f>IF(AND(DATE(20&amp;LEFT(FAAddition[[#This Row],[FY]],2),4,1)&lt;$L$1+1,DATE(20&amp;LEFT(FAAddition[[#This Row],[FY]],2),4,1)&gt;$P$1-1),'FA Addition'!$J352,0)</f>
        <v>0</v>
      </c>
      <c r="U352" s="117">
        <f>S352*'FA Addition'!$L352/'FA Addition'!$J352</f>
        <v>0</v>
      </c>
      <c r="W352" s="116">
        <f>SUMIFS('FA Write off'!D:D,'FA Write off'!A:A,'FA Addition'!$A352,'FA Write off'!C:C,"&lt;"&amp;'FA Addition'!$P$1)</f>
        <v>0</v>
      </c>
      <c r="Y352" s="191">
        <f>IFERROR(W352/'FA Addition'!$J352*'FA Addition'!$L352,0)</f>
        <v>0</v>
      </c>
      <c r="AA352" s="116">
        <f>SUMIFS('FA Write off'!D:D,'FA Write off'!A:A,'FA Addition'!$A352,'FA Write off'!C:C,"&lt;"&amp;'FA Addition'!$L$1+1,'FA Write off'!C:C,"&gt;"&amp;'FA Addition'!$L$1-365)</f>
        <v>0</v>
      </c>
      <c r="AC352" s="118">
        <f>IFERROR(AA352/'FA Addition'!$J352*'FA Addition'!$L352,0)</f>
        <v>0</v>
      </c>
      <c r="AE352" s="117">
        <f>IF(AND('FA Addition'!$D352&lt;$P$1+1,U352=0),'FA Addition'!$L352,0)-Y352</f>
        <v>8500</v>
      </c>
      <c r="AF352" s="117">
        <f t="shared" si="25"/>
        <v>8500</v>
      </c>
      <c r="AG352" s="117">
        <f>MIN(MAX(+$P$1-'FA Addition'!$D352,0),365*'FA Addition'!$O352)</f>
        <v>1095</v>
      </c>
      <c r="AH352" s="117">
        <f>MIN(MAX($L$1-'FA Addition'!$D352+1,0),365*'FA Addition'!$O352)</f>
        <v>1095</v>
      </c>
      <c r="AI352" s="117" cm="1">
        <f t="array" ref="AI352">_xlfn.XLOOKUP(1,('FA Write off'!A:A='FA Addition'!$A352)*('FA Write off'!D:D=AA352),'FA Write off'!H:H,0,0)</f>
        <v>0</v>
      </c>
      <c r="AJ352" s="117">
        <f>IF(AC352&gt;0,MAX(IF('FA Addition'!$N352="SLM",($AC352-'FA Addition'!$M352)*'FA Addition'!$P352*AI352/365,(AC352-'FA Addition'!$M352)*(1-(1-'FA Addition'!$P352)^(AI352/365))),0),0)</f>
        <v>0</v>
      </c>
      <c r="AL352" s="117">
        <f>MAX(IF(AG352&gt;0,IF('FA Addition'!$N352="SLM",($AE352-'FA Addition'!$M352)*'FA Addition'!$P352*AG352/365,IFERROR(VDB(AE352,AE352*0.05,'FA Addition'!$O352,0,YEARFRAC('FA Addition'!$C352,$P$1-1,3),'FA Addition'!$Q352),FAAddition[[#This Row],[Original Cost (Rs)]]-FAAddition[[#This Row],[Salvage Value]])),0),0)</f>
        <v>8075</v>
      </c>
      <c r="AM352" s="119"/>
      <c r="AN352" s="117">
        <f>MAX(IF(AH352&gt;0,IF('FA Addition'!$N352="SLM",($AF352-'FA Addition'!$M352)*'FA Addition'!$P352*AH352/365,IFERROR(VDB(AF352,AF352*0.05,'FA Addition'!$O352,0,YEARFRAC('FA Addition'!$C352,$L$1,3),'FA Addition'!$Q352),FAAddition[[#This Row],[Original Cost (Rs)]]-FAAddition[[#This Row],[Salvage Value]])),0),0)</f>
        <v>8075</v>
      </c>
      <c r="AO352" s="117">
        <f t="shared" si="28"/>
        <v>0</v>
      </c>
      <c r="AQ352" s="117">
        <f t="shared" si="26"/>
        <v>425</v>
      </c>
      <c r="AR352" s="120">
        <f t="shared" si="27"/>
        <v>425</v>
      </c>
      <c r="AS352" s="121"/>
    </row>
    <row r="353" spans="1:45" ht="13.5" x14ac:dyDescent="0.4">
      <c r="A353" s="12">
        <f t="shared" si="29"/>
        <v>350</v>
      </c>
      <c r="B353" s="44" t="s">
        <v>902</v>
      </c>
      <c r="C353" s="45">
        <v>43201</v>
      </c>
      <c r="D353" s="45">
        <v>43201</v>
      </c>
      <c r="E353" s="46" t="s">
        <v>32</v>
      </c>
      <c r="F353" s="44" t="s">
        <v>32</v>
      </c>
      <c r="G353" s="44" t="s">
        <v>433</v>
      </c>
      <c r="H353" s="51" t="s">
        <v>32</v>
      </c>
      <c r="I353" s="44" t="s">
        <v>907</v>
      </c>
      <c r="J353" s="48">
        <v>5</v>
      </c>
      <c r="K353" s="44" t="s">
        <v>571</v>
      </c>
      <c r="L353" s="62">
        <v>21250</v>
      </c>
      <c r="M353" s="50">
        <f>ROUND('FA Addition'!$L353*5%,0.1)</f>
        <v>1063</v>
      </c>
      <c r="N353" s="113" t="str">
        <f>_xlfn.XLOOKUP(_xlfn.CONCAT(E353,B353),'Year Wise Master Dep Approach'!F:F,'Year Wise Master Dep Approach'!D:D)</f>
        <v>WDV</v>
      </c>
      <c r="O353" s="113">
        <f>_xlfn.XLOOKUP(_xlfn.CONCAT(E353,B353),'Year Wise Master Dep Approach'!F:F,'Year Wise Master Dep Approach'!E:E)</f>
        <v>3</v>
      </c>
      <c r="P353" s="114">
        <f>IFERROR(IF('FA Addition'!$N353="WDV",1-('FA Addition'!$M353/'FA Addition'!$L353)^(1/'FA Addition'!$O353),1/'FA Addition'!$O353),0)</f>
        <v>0.63153907046910041</v>
      </c>
      <c r="Q353" s="122">
        <f>'FA Addition'!$P353*'FA Addition'!$O353</f>
        <v>1.8946172114073012</v>
      </c>
      <c r="R353" s="122"/>
      <c r="S353" s="116">
        <f>IF(AND(DATE(20&amp;LEFT(FAAddition[[#This Row],[FY]],2),4,1)&lt;$L$1+1,DATE(20&amp;LEFT(FAAddition[[#This Row],[FY]],2),4,1)&gt;$P$1-1),'FA Addition'!$J353,0)</f>
        <v>0</v>
      </c>
      <c r="U353" s="117">
        <f>S353*'FA Addition'!$L353/'FA Addition'!$J353</f>
        <v>0</v>
      </c>
      <c r="W353" s="116">
        <f>SUMIFS('FA Write off'!D:D,'FA Write off'!A:A,'FA Addition'!$A353,'FA Write off'!C:C,"&lt;"&amp;'FA Addition'!$P$1)</f>
        <v>0</v>
      </c>
      <c r="Y353" s="191">
        <f>IFERROR(W353/'FA Addition'!$J353*'FA Addition'!$L353,0)</f>
        <v>0</v>
      </c>
      <c r="AA353" s="116">
        <f>SUMIFS('FA Write off'!D:D,'FA Write off'!A:A,'FA Addition'!$A353,'FA Write off'!C:C,"&lt;"&amp;'FA Addition'!$L$1+1,'FA Write off'!C:C,"&gt;"&amp;'FA Addition'!$L$1-365)</f>
        <v>0</v>
      </c>
      <c r="AC353" s="118">
        <f>IFERROR(AA353/'FA Addition'!$J353*'FA Addition'!$L353,0)</f>
        <v>0</v>
      </c>
      <c r="AE353" s="117">
        <f>IF(AND('FA Addition'!$D353&lt;$P$1+1,U353=0),'FA Addition'!$L353,0)-Y353</f>
        <v>21250</v>
      </c>
      <c r="AF353" s="117">
        <f t="shared" si="25"/>
        <v>21250</v>
      </c>
      <c r="AG353" s="117">
        <f>MIN(MAX(+$P$1-'FA Addition'!$D353,0),365*'FA Addition'!$O353)</f>
        <v>1095</v>
      </c>
      <c r="AH353" s="117">
        <f>MIN(MAX($L$1-'FA Addition'!$D353+1,0),365*'FA Addition'!$O353)</f>
        <v>1095</v>
      </c>
      <c r="AI353" s="117" cm="1">
        <f t="array" ref="AI353">_xlfn.XLOOKUP(1,('FA Write off'!A:A='FA Addition'!$A353)*('FA Write off'!D:D=AA353),'FA Write off'!H:H,0,0)</f>
        <v>0</v>
      </c>
      <c r="AJ353" s="117">
        <f>IF(AC353&gt;0,MAX(IF('FA Addition'!$N353="SLM",($AC353-'FA Addition'!$M353)*'FA Addition'!$P353*AI353/365,(AC353-'FA Addition'!$M353)*(1-(1-'FA Addition'!$P353)^(AI353/365))),0),0)</f>
        <v>0</v>
      </c>
      <c r="AL353" s="117">
        <f>MAX(IF(AG353&gt;0,IF('FA Addition'!$N353="SLM",($AE353-'FA Addition'!$M353)*'FA Addition'!$P353*AG353/365,IFERROR(VDB(AE353,AE353*0.05,'FA Addition'!$O353,0,YEARFRAC('FA Addition'!$C353,$P$1-1,3),'FA Addition'!$Q353),FAAddition[[#This Row],[Original Cost (Rs)]]-FAAddition[[#This Row],[Salvage Value]])),0),0)</f>
        <v>20187</v>
      </c>
      <c r="AM353" s="119"/>
      <c r="AN353" s="117">
        <f>MAX(IF(AH353&gt;0,IF('FA Addition'!$N353="SLM",($AF353-'FA Addition'!$M353)*'FA Addition'!$P353*AH353/365,IFERROR(VDB(AF353,AF353*0.05,'FA Addition'!$O353,0,YEARFRAC('FA Addition'!$C353,$L$1,3),'FA Addition'!$Q353),FAAddition[[#This Row],[Original Cost (Rs)]]-FAAddition[[#This Row],[Salvage Value]])),0),0)</f>
        <v>20187</v>
      </c>
      <c r="AO353" s="117">
        <f t="shared" si="28"/>
        <v>0</v>
      </c>
      <c r="AQ353" s="117">
        <f t="shared" si="26"/>
        <v>1063</v>
      </c>
      <c r="AR353" s="120">
        <f t="shared" si="27"/>
        <v>1063</v>
      </c>
      <c r="AS353" s="121"/>
    </row>
    <row r="354" spans="1:45" ht="13.5" x14ac:dyDescent="0.4">
      <c r="A354" s="12">
        <f t="shared" si="29"/>
        <v>351</v>
      </c>
      <c r="B354" s="44" t="s">
        <v>902</v>
      </c>
      <c r="C354" s="45">
        <v>43206</v>
      </c>
      <c r="D354" s="45">
        <v>43206</v>
      </c>
      <c r="E354" s="46" t="s">
        <v>32</v>
      </c>
      <c r="F354" s="44" t="s">
        <v>32</v>
      </c>
      <c r="G354" s="44" t="s">
        <v>433</v>
      </c>
      <c r="H354" s="51" t="s">
        <v>32</v>
      </c>
      <c r="I354" s="44" t="s">
        <v>908</v>
      </c>
      <c r="J354" s="48">
        <v>9</v>
      </c>
      <c r="K354" s="44" t="s">
        <v>571</v>
      </c>
      <c r="L354" s="62">
        <v>40950</v>
      </c>
      <c r="M354" s="50">
        <f>ROUND('FA Addition'!$L354*5%,0.1)</f>
        <v>2048</v>
      </c>
      <c r="N354" s="113" t="str">
        <f>_xlfn.XLOOKUP(_xlfn.CONCAT(E354,B354),'Year Wise Master Dep Approach'!F:F,'Year Wise Master Dep Approach'!D:D)</f>
        <v>WDV</v>
      </c>
      <c r="O354" s="113">
        <f>_xlfn.XLOOKUP(_xlfn.CONCAT(E354,B354),'Year Wise Master Dep Approach'!F:F,'Year Wise Master Dep Approach'!E:E)</f>
        <v>3</v>
      </c>
      <c r="P354" s="114">
        <f>IFERROR(IF('FA Addition'!$N354="WDV",1-('FA Addition'!$M354/'FA Addition'!$L354)^(1/'FA Addition'!$O354),1/'FA Addition'!$O354),0)</f>
        <v>0.63156686453027266</v>
      </c>
      <c r="Q354" s="122">
        <f>'FA Addition'!$P354*'FA Addition'!$O354</f>
        <v>1.8947005935908181</v>
      </c>
      <c r="R354" s="122"/>
      <c r="S354" s="116">
        <f>IF(AND(DATE(20&amp;LEFT(FAAddition[[#This Row],[FY]],2),4,1)&lt;$L$1+1,DATE(20&amp;LEFT(FAAddition[[#This Row],[FY]],2),4,1)&gt;$P$1-1),'FA Addition'!$J354,0)</f>
        <v>0</v>
      </c>
      <c r="U354" s="117">
        <f>S354*'FA Addition'!$L354/'FA Addition'!$J354</f>
        <v>0</v>
      </c>
      <c r="W354" s="116">
        <f>SUMIFS('FA Write off'!D:D,'FA Write off'!A:A,'FA Addition'!$A354,'FA Write off'!C:C,"&lt;"&amp;'FA Addition'!$P$1)</f>
        <v>1</v>
      </c>
      <c r="Y354" s="191">
        <f>IFERROR(W354/'FA Addition'!$J354*'FA Addition'!$L354,0)</f>
        <v>4550</v>
      </c>
      <c r="AA354" s="116">
        <f>SUMIFS('FA Write off'!D:D,'FA Write off'!A:A,'FA Addition'!$A354,'FA Write off'!C:C,"&lt;"&amp;'FA Addition'!$L$1+1,'FA Write off'!C:C,"&gt;"&amp;'FA Addition'!$L$1-365)</f>
        <v>0</v>
      </c>
      <c r="AC354" s="191">
        <f>IFERROR(AA354/'FA Addition'!$J354*'FA Addition'!$L354,0)</f>
        <v>0</v>
      </c>
      <c r="AE354" s="117">
        <f>IF(AND('FA Addition'!$D354&lt;$P$1+1,U354=0),'FA Addition'!$L354,0)-Y354</f>
        <v>36400</v>
      </c>
      <c r="AF354" s="117">
        <f t="shared" si="25"/>
        <v>36400</v>
      </c>
      <c r="AG354" s="117">
        <f>MIN(MAX(+$P$1-'FA Addition'!$D354,0),365*'FA Addition'!$O354)</f>
        <v>1095</v>
      </c>
      <c r="AH354" s="117">
        <f>MIN(MAX($L$1-'FA Addition'!$D354+1,0),365*'FA Addition'!$O354)</f>
        <v>1095</v>
      </c>
      <c r="AI354" s="117" cm="1">
        <f t="array" ref="AI354">_xlfn.XLOOKUP(1,('FA Write off'!A:A='FA Addition'!$A354)*('FA Write off'!D:D=AA354),'FA Write off'!H:H,0,0)</f>
        <v>0</v>
      </c>
      <c r="AJ354" s="117">
        <f>IF(AC354&gt;0,MAX(IF('FA Addition'!$N354="SLM",($AC354-'FA Addition'!$M354)*'FA Addition'!$P354*AI354/365,(AC354-'FA Addition'!$M354)*(1-(1-'FA Addition'!$P354)^(AI354/365))),0),0)</f>
        <v>0</v>
      </c>
      <c r="AL354" s="117">
        <f>MAX(IF(AG354&gt;0,IF('FA Addition'!$N354="SLM",($AE354-'FA Addition'!$M354)*'FA Addition'!$P354*AG354/365,IFERROR(VDB(AE354,AE354*0.05,'FA Addition'!$O354,0,YEARFRAC('FA Addition'!$C354,$P$1-1,3),'FA Addition'!$Q354),FAAddition[[#This Row],[Original Cost (Rs)]]-FAAddition[[#This Row],[Salvage Value]])),0),0)</f>
        <v>38902</v>
      </c>
      <c r="AM354" s="119"/>
      <c r="AN354" s="117">
        <f>MAX(IF(AH354&gt;0,IF('FA Addition'!$N354="SLM",($AF354-'FA Addition'!$M354)*'FA Addition'!$P354*AH354/365,IFERROR(VDB(AF354,AF354*0.05,'FA Addition'!$O354,0,YEARFRAC('FA Addition'!$C354,$L$1,3),'FA Addition'!$Q354),FAAddition[[#This Row],[Original Cost (Rs)]]-FAAddition[[#This Row],[Salvage Value]])),0),0)</f>
        <v>38902</v>
      </c>
      <c r="AO354" s="117">
        <f t="shared" si="28"/>
        <v>0</v>
      </c>
      <c r="AQ354" s="117">
        <f t="shared" si="26"/>
        <v>-2502</v>
      </c>
      <c r="AR354" s="120">
        <f t="shared" si="27"/>
        <v>-2502</v>
      </c>
      <c r="AS354" s="121"/>
    </row>
    <row r="355" spans="1:45" ht="13.5" x14ac:dyDescent="0.4">
      <c r="A355" s="12">
        <f t="shared" si="29"/>
        <v>352</v>
      </c>
      <c r="B355" s="44" t="s">
        <v>902</v>
      </c>
      <c r="C355" s="45">
        <v>43206</v>
      </c>
      <c r="D355" s="45">
        <v>43206</v>
      </c>
      <c r="E355" s="46" t="s">
        <v>32</v>
      </c>
      <c r="F355" s="44" t="s">
        <v>32</v>
      </c>
      <c r="G355" s="44" t="s">
        <v>857</v>
      </c>
      <c r="H355" s="51" t="s">
        <v>32</v>
      </c>
      <c r="I355" s="44" t="s">
        <v>909</v>
      </c>
      <c r="J355" s="56">
        <v>1</v>
      </c>
      <c r="K355" s="44" t="s">
        <v>910</v>
      </c>
      <c r="L355" s="62">
        <v>694.92</v>
      </c>
      <c r="M355" s="50">
        <f>ROUND('FA Addition'!$L355*5%,0.1)</f>
        <v>35</v>
      </c>
      <c r="N355" s="113" t="str">
        <f>_xlfn.XLOOKUP(_xlfn.CONCAT(E355,B355),'Year Wise Master Dep Approach'!F:F,'Year Wise Master Dep Approach'!D:D)</f>
        <v>WDV</v>
      </c>
      <c r="O355" s="113">
        <f>_xlfn.XLOOKUP(_xlfn.CONCAT(E355,B355),'Year Wise Master Dep Approach'!F:F,'Year Wise Master Dep Approach'!E:E)</f>
        <v>3</v>
      </c>
      <c r="P355" s="114">
        <f>IFERROR(IF('FA Addition'!$N355="WDV",1-('FA Addition'!$M355/'FA Addition'!$L355)^(1/'FA Addition'!$O355),1/'FA Addition'!$O355),0)</f>
        <v>0.6307013292517718</v>
      </c>
      <c r="Q355" s="122">
        <f>'FA Addition'!$P355*'FA Addition'!$O355</f>
        <v>1.8921039877553154</v>
      </c>
      <c r="R355" s="122"/>
      <c r="S355" s="116">
        <f>IF(AND(DATE(20&amp;LEFT(FAAddition[[#This Row],[FY]],2),4,1)&lt;$L$1+1,DATE(20&amp;LEFT(FAAddition[[#This Row],[FY]],2),4,1)&gt;$P$1-1),'FA Addition'!$J355,0)</f>
        <v>0</v>
      </c>
      <c r="U355" s="117">
        <f>S355*'FA Addition'!$L355/'FA Addition'!$J355</f>
        <v>0</v>
      </c>
      <c r="W355" s="116">
        <f>SUMIFS('FA Write off'!D:D,'FA Write off'!A:A,'FA Addition'!$A355,'FA Write off'!C:C,"&lt;"&amp;'FA Addition'!$P$1)</f>
        <v>0</v>
      </c>
      <c r="Y355" s="191">
        <f>IFERROR(W355/'FA Addition'!$J355*'FA Addition'!$L355,0)</f>
        <v>0</v>
      </c>
      <c r="AA355" s="116">
        <f>SUMIFS('FA Write off'!D:D,'FA Write off'!A:A,'FA Addition'!$A355,'FA Write off'!C:C,"&lt;"&amp;'FA Addition'!$L$1+1,'FA Write off'!C:C,"&gt;"&amp;'FA Addition'!$L$1-365)</f>
        <v>0</v>
      </c>
      <c r="AC355" s="118">
        <f>IFERROR(AA355/'FA Addition'!$J355*'FA Addition'!$L355,0)</f>
        <v>0</v>
      </c>
      <c r="AE355" s="117">
        <f>IF(AND('FA Addition'!$D355&lt;$P$1+1,U355=0),'FA Addition'!$L355,0)-Y355</f>
        <v>694.92</v>
      </c>
      <c r="AF355" s="117">
        <f t="shared" si="25"/>
        <v>694.92</v>
      </c>
      <c r="AG355" s="117">
        <f>MIN(MAX(+$P$1-'FA Addition'!$D355,0),365*'FA Addition'!$O355)</f>
        <v>1095</v>
      </c>
      <c r="AH355" s="117">
        <f>MIN(MAX($L$1-'FA Addition'!$D355+1,0),365*'FA Addition'!$O355)</f>
        <v>1095</v>
      </c>
      <c r="AI355" s="117" cm="1">
        <f t="array" ref="AI355">_xlfn.XLOOKUP(1,('FA Write off'!A:A='FA Addition'!$A355)*('FA Write off'!D:D=AA355),'FA Write off'!H:H,0,0)</f>
        <v>0</v>
      </c>
      <c r="AJ355" s="117">
        <f>IF(AC355&gt;0,MAX(IF('FA Addition'!$N355="SLM",($AC355-'FA Addition'!$M355)*'FA Addition'!$P355*AI355/365,(AC355-'FA Addition'!$M355)*(1-(1-'FA Addition'!$P355)^(AI355/365))),0),0)</f>
        <v>0</v>
      </c>
      <c r="AL355" s="117">
        <f>MAX(IF(AG355&gt;0,IF('FA Addition'!$N355="SLM",($AE355-'FA Addition'!$M355)*'FA Addition'!$P355*AG355/365,IFERROR(VDB(AE355,AE355*0.05,'FA Addition'!$O355,0,YEARFRAC('FA Addition'!$C355,$P$1-1,3),'FA Addition'!$Q355),FAAddition[[#This Row],[Original Cost (Rs)]]-FAAddition[[#This Row],[Salvage Value]])),0),0)</f>
        <v>659.92</v>
      </c>
      <c r="AM355" s="119"/>
      <c r="AN355" s="117">
        <f>MAX(IF(AH355&gt;0,IF('FA Addition'!$N355="SLM",($AF355-'FA Addition'!$M355)*'FA Addition'!$P355*AH355/365,IFERROR(VDB(AF355,AF355*0.05,'FA Addition'!$O355,0,YEARFRAC('FA Addition'!$C355,$L$1,3),'FA Addition'!$Q355),FAAddition[[#This Row],[Original Cost (Rs)]]-FAAddition[[#This Row],[Salvage Value]])),0),0)</f>
        <v>659.92</v>
      </c>
      <c r="AO355" s="117">
        <f t="shared" si="28"/>
        <v>0</v>
      </c>
      <c r="AQ355" s="117">
        <f t="shared" si="26"/>
        <v>35</v>
      </c>
      <c r="AR355" s="120">
        <f t="shared" si="27"/>
        <v>35</v>
      </c>
      <c r="AS355" s="121"/>
    </row>
    <row r="356" spans="1:45" ht="13.5" x14ac:dyDescent="0.4">
      <c r="A356" s="12">
        <f t="shared" si="29"/>
        <v>353</v>
      </c>
      <c r="B356" s="44" t="s">
        <v>902</v>
      </c>
      <c r="C356" s="45">
        <v>43207</v>
      </c>
      <c r="D356" s="45">
        <v>43207</v>
      </c>
      <c r="E356" s="46" t="s">
        <v>32</v>
      </c>
      <c r="F356" s="44" t="s">
        <v>32</v>
      </c>
      <c r="G356" s="44" t="s">
        <v>433</v>
      </c>
      <c r="H356" s="51" t="s">
        <v>32</v>
      </c>
      <c r="I356" s="44" t="s">
        <v>911</v>
      </c>
      <c r="J356" s="48">
        <v>9</v>
      </c>
      <c r="K356" s="44" t="s">
        <v>571</v>
      </c>
      <c r="L356" s="62">
        <v>40950</v>
      </c>
      <c r="M356" s="50">
        <f>ROUND('FA Addition'!$L356*5%,0.1)</f>
        <v>2048</v>
      </c>
      <c r="N356" s="113" t="str">
        <f>_xlfn.XLOOKUP(_xlfn.CONCAT(E356,B356),'Year Wise Master Dep Approach'!F:F,'Year Wise Master Dep Approach'!D:D)</f>
        <v>WDV</v>
      </c>
      <c r="O356" s="113">
        <f>_xlfn.XLOOKUP(_xlfn.CONCAT(E356,B356),'Year Wise Master Dep Approach'!F:F,'Year Wise Master Dep Approach'!E:E)</f>
        <v>3</v>
      </c>
      <c r="P356" s="114">
        <f>IFERROR(IF('FA Addition'!$N356="WDV",1-('FA Addition'!$M356/'FA Addition'!$L356)^(1/'FA Addition'!$O356),1/'FA Addition'!$O356),0)</f>
        <v>0.63156686453027266</v>
      </c>
      <c r="Q356" s="122">
        <f>'FA Addition'!$P356*'FA Addition'!$O356</f>
        <v>1.8947005935908181</v>
      </c>
      <c r="R356" s="122"/>
      <c r="S356" s="116">
        <f>IF(AND(DATE(20&amp;LEFT(FAAddition[[#This Row],[FY]],2),4,1)&lt;$L$1+1,DATE(20&amp;LEFT(FAAddition[[#This Row],[FY]],2),4,1)&gt;$P$1-1),'FA Addition'!$J356,0)</f>
        <v>0</v>
      </c>
      <c r="U356" s="117">
        <f>S356*'FA Addition'!$L356/'FA Addition'!$J356</f>
        <v>0</v>
      </c>
      <c r="W356" s="116">
        <f>SUMIFS('FA Write off'!D:D,'FA Write off'!A:A,'FA Addition'!$A356,'FA Write off'!C:C,"&lt;"&amp;'FA Addition'!$P$1)</f>
        <v>0</v>
      </c>
      <c r="Y356" s="191">
        <f>IFERROR(W356/'FA Addition'!$J356*'FA Addition'!$L356,0)</f>
        <v>0</v>
      </c>
      <c r="AA356" s="116">
        <f>SUMIFS('FA Write off'!D:D,'FA Write off'!A:A,'FA Addition'!$A356,'FA Write off'!C:C,"&lt;"&amp;'FA Addition'!$L$1+1,'FA Write off'!C:C,"&gt;"&amp;'FA Addition'!$L$1-365)</f>
        <v>0</v>
      </c>
      <c r="AC356" s="118">
        <f>IFERROR(AA356/'FA Addition'!$J356*'FA Addition'!$L356,0)</f>
        <v>0</v>
      </c>
      <c r="AE356" s="117">
        <f>IF(AND('FA Addition'!$D356&lt;$P$1+1,U356=0),'FA Addition'!$L356,0)-Y356</f>
        <v>40950</v>
      </c>
      <c r="AF356" s="117">
        <f t="shared" si="25"/>
        <v>40950</v>
      </c>
      <c r="AG356" s="117">
        <f>MIN(MAX(+$P$1-'FA Addition'!$D356,0),365*'FA Addition'!$O356)</f>
        <v>1095</v>
      </c>
      <c r="AH356" s="117">
        <f>MIN(MAX($L$1-'FA Addition'!$D356+1,0),365*'FA Addition'!$O356)</f>
        <v>1095</v>
      </c>
      <c r="AI356" s="117" cm="1">
        <f t="array" ref="AI356">_xlfn.XLOOKUP(1,('FA Write off'!A:A='FA Addition'!$A356)*('FA Write off'!D:D=AA356),'FA Write off'!H:H,0,0)</f>
        <v>0</v>
      </c>
      <c r="AJ356" s="117">
        <f>IF(AC356&gt;0,MAX(IF('FA Addition'!$N356="SLM",($AC356-'FA Addition'!$M356)*'FA Addition'!$P356*AI356/365,(AC356-'FA Addition'!$M356)*(1-(1-'FA Addition'!$P356)^(AI356/365))),0),0)</f>
        <v>0</v>
      </c>
      <c r="AL356" s="117">
        <f>MAX(IF(AG356&gt;0,IF('FA Addition'!$N356="SLM",($AE356-'FA Addition'!$M356)*'FA Addition'!$P356*AG356/365,IFERROR(VDB(AE356,AE356*0.05,'FA Addition'!$O356,0,YEARFRAC('FA Addition'!$C356,$P$1-1,3),'FA Addition'!$Q356),FAAddition[[#This Row],[Original Cost (Rs)]]-FAAddition[[#This Row],[Salvage Value]])),0),0)</f>
        <v>38902</v>
      </c>
      <c r="AM356" s="119"/>
      <c r="AN356" s="117">
        <f>MAX(IF(AH356&gt;0,IF('FA Addition'!$N356="SLM",($AF356-'FA Addition'!$M356)*'FA Addition'!$P356*AH356/365,IFERROR(VDB(AF356,AF356*0.05,'FA Addition'!$O356,0,YEARFRAC('FA Addition'!$C356,$L$1,3),'FA Addition'!$Q356),FAAddition[[#This Row],[Original Cost (Rs)]]-FAAddition[[#This Row],[Salvage Value]])),0),0)</f>
        <v>38902</v>
      </c>
      <c r="AO356" s="117">
        <f t="shared" si="28"/>
        <v>0</v>
      </c>
      <c r="AQ356" s="117">
        <f t="shared" si="26"/>
        <v>2048</v>
      </c>
      <c r="AR356" s="120">
        <f t="shared" si="27"/>
        <v>2048</v>
      </c>
      <c r="AS356" s="121"/>
    </row>
    <row r="357" spans="1:45" ht="13.5" x14ac:dyDescent="0.4">
      <c r="A357" s="12">
        <f t="shared" si="29"/>
        <v>354</v>
      </c>
      <c r="B357" s="44" t="s">
        <v>902</v>
      </c>
      <c r="C357" s="45">
        <v>43213</v>
      </c>
      <c r="D357" s="45">
        <v>43213</v>
      </c>
      <c r="E357" s="46" t="s">
        <v>451</v>
      </c>
      <c r="F357" s="44" t="s">
        <v>21</v>
      </c>
      <c r="G357" s="44" t="s">
        <v>912</v>
      </c>
      <c r="H357" s="51" t="s">
        <v>21</v>
      </c>
      <c r="I357" s="44" t="s">
        <v>913</v>
      </c>
      <c r="J357" s="56">
        <v>1</v>
      </c>
      <c r="K357" s="44" t="s">
        <v>914</v>
      </c>
      <c r="L357" s="62">
        <v>52970</v>
      </c>
      <c r="M357" s="50">
        <f>ROUND('FA Addition'!$L357*5%,0.1)</f>
        <v>2649</v>
      </c>
      <c r="N357" s="113" t="str">
        <f>_xlfn.XLOOKUP(_xlfn.CONCAT(E357,B357),'Year Wise Master Dep Approach'!F:F,'Year Wise Master Dep Approach'!D:D)</f>
        <v>WDV</v>
      </c>
      <c r="O357" s="113">
        <f>_xlfn.XLOOKUP(_xlfn.CONCAT(E357,B357),'Year Wise Master Dep Approach'!F:F,'Year Wise Master Dep Approach'!E:E)</f>
        <v>3</v>
      </c>
      <c r="P357" s="114">
        <f>IFERROR(IF('FA Addition'!$N357="WDV",1-('FA Addition'!$M357/'FA Addition'!$L357)^(1/'FA Addition'!$O357),1/'FA Addition'!$O357),0)</f>
        <v>0.63157366846273977</v>
      </c>
      <c r="Q357" s="122">
        <f>'FA Addition'!$P357*'FA Addition'!$O357</f>
        <v>1.8947210053882193</v>
      </c>
      <c r="R357" s="122"/>
      <c r="S357" s="116">
        <f>IF(AND(DATE(20&amp;LEFT(FAAddition[[#This Row],[FY]],2),4,1)&lt;$L$1+1,DATE(20&amp;LEFT(FAAddition[[#This Row],[FY]],2),4,1)&gt;$P$1-1),'FA Addition'!$J357,0)</f>
        <v>0</v>
      </c>
      <c r="U357" s="117">
        <f>S357*'FA Addition'!$L357/'FA Addition'!$J357</f>
        <v>0</v>
      </c>
      <c r="W357" s="116">
        <f>SUMIFS('FA Write off'!D:D,'FA Write off'!A:A,'FA Addition'!$A357,'FA Write off'!C:C,"&lt;"&amp;'FA Addition'!$P$1)</f>
        <v>0</v>
      </c>
      <c r="Y357" s="191">
        <f>IFERROR(W357/'FA Addition'!$J357*'FA Addition'!$L357,0)</f>
        <v>0</v>
      </c>
      <c r="AA357" s="116">
        <f>SUMIFS('FA Write off'!D:D,'FA Write off'!A:A,'FA Addition'!$A357,'FA Write off'!C:C,"&lt;"&amp;'FA Addition'!$L$1+1,'FA Write off'!C:C,"&gt;"&amp;'FA Addition'!$L$1-365)</f>
        <v>0</v>
      </c>
      <c r="AC357" s="118">
        <f>IFERROR(AA357/'FA Addition'!$J357*'FA Addition'!$L357,0)</f>
        <v>0</v>
      </c>
      <c r="AE357" s="117">
        <f>IF(AND('FA Addition'!$D357&lt;$P$1+1,U357=0),'FA Addition'!$L357,0)-Y357</f>
        <v>52970</v>
      </c>
      <c r="AF357" s="117">
        <f t="shared" si="25"/>
        <v>52970</v>
      </c>
      <c r="AG357" s="117">
        <f>MIN(MAX(+$P$1-'FA Addition'!$D357,0),365*'FA Addition'!$O357)</f>
        <v>1095</v>
      </c>
      <c r="AH357" s="117">
        <f>MIN(MAX($L$1-'FA Addition'!$D357+1,0),365*'FA Addition'!$O357)</f>
        <v>1095</v>
      </c>
      <c r="AI357" s="117" cm="1">
        <f t="array" ref="AI357">_xlfn.XLOOKUP(1,('FA Write off'!A:A='FA Addition'!$A357)*('FA Write off'!D:D=AA357),'FA Write off'!H:H,0,0)</f>
        <v>0</v>
      </c>
      <c r="AJ357" s="117">
        <f>IF(AC357&gt;0,MAX(IF('FA Addition'!$N357="SLM",($AC357-'FA Addition'!$M357)*'FA Addition'!$P357*AI357/365,(AC357-'FA Addition'!$M357)*(1-(1-'FA Addition'!$P357)^(AI357/365))),0),0)</f>
        <v>0</v>
      </c>
      <c r="AL357" s="117">
        <f>MAX(IF(AG357&gt;0,IF('FA Addition'!$N357="SLM",($AE357-'FA Addition'!$M357)*'FA Addition'!$P357*AG357/365,IFERROR(VDB(AE357,AE357*0.05,'FA Addition'!$O357,0,YEARFRAC('FA Addition'!$C357,$P$1-1,3),'FA Addition'!$Q357),FAAddition[[#This Row],[Original Cost (Rs)]]-FAAddition[[#This Row],[Salvage Value]])),0),0)</f>
        <v>50321</v>
      </c>
      <c r="AM357" s="119"/>
      <c r="AN357" s="117">
        <f>MAX(IF(AH357&gt;0,IF('FA Addition'!$N357="SLM",($AF357-'FA Addition'!$M357)*'FA Addition'!$P357*AH357/365,IFERROR(VDB(AF357,AF357*0.05,'FA Addition'!$O357,0,YEARFRAC('FA Addition'!$C357,$L$1,3),'FA Addition'!$Q357),FAAddition[[#This Row],[Original Cost (Rs)]]-FAAddition[[#This Row],[Salvage Value]])),0),0)</f>
        <v>50321</v>
      </c>
      <c r="AO357" s="117">
        <f t="shared" si="28"/>
        <v>0</v>
      </c>
      <c r="AQ357" s="117">
        <f t="shared" si="26"/>
        <v>2649</v>
      </c>
      <c r="AR357" s="120">
        <f t="shared" si="27"/>
        <v>2649</v>
      </c>
      <c r="AS357" s="121"/>
    </row>
    <row r="358" spans="1:45" ht="13.5" x14ac:dyDescent="0.4">
      <c r="A358" s="12">
        <f t="shared" si="29"/>
        <v>355</v>
      </c>
      <c r="B358" s="44" t="s">
        <v>902</v>
      </c>
      <c r="C358" s="45">
        <v>43228</v>
      </c>
      <c r="D358" s="45">
        <v>43228</v>
      </c>
      <c r="E358" s="46" t="s">
        <v>32</v>
      </c>
      <c r="F358" s="44" t="s">
        <v>32</v>
      </c>
      <c r="G358" s="44" t="s">
        <v>620</v>
      </c>
      <c r="H358" s="51" t="s">
        <v>32</v>
      </c>
      <c r="I358" s="44">
        <v>1067</v>
      </c>
      <c r="J358" s="48">
        <v>30</v>
      </c>
      <c r="K358" s="44" t="s">
        <v>915</v>
      </c>
      <c r="L358" s="62">
        <v>105932.2</v>
      </c>
      <c r="M358" s="50">
        <f>ROUND('FA Addition'!$L358*5%,0.1)</f>
        <v>5297</v>
      </c>
      <c r="N358" s="113" t="str">
        <f>_xlfn.XLOOKUP(_xlfn.CONCAT(E358,B358),'Year Wise Master Dep Approach'!F:F,'Year Wise Master Dep Approach'!D:D)</f>
        <v>WDV</v>
      </c>
      <c r="O358" s="113">
        <f>_xlfn.XLOOKUP(_xlfn.CONCAT(E358,B358),'Year Wise Master Dep Approach'!F:F,'Year Wise Master Dep Approach'!E:E)</f>
        <v>3</v>
      </c>
      <c r="P358" s="114">
        <f>IFERROR(IF('FA Addition'!$N358="WDV",1-('FA Addition'!$M358/'FA Addition'!$L358)^(1/'FA Addition'!$O358),1/'FA Addition'!$O358),0)</f>
        <v>0.63158780827068162</v>
      </c>
      <c r="Q358" s="122">
        <f>'FA Addition'!$P358*'FA Addition'!$O358</f>
        <v>1.8947634248120448</v>
      </c>
      <c r="R358" s="122"/>
      <c r="S358" s="116">
        <f>IF(AND(DATE(20&amp;LEFT(FAAddition[[#This Row],[FY]],2),4,1)&lt;$L$1+1,DATE(20&amp;LEFT(FAAddition[[#This Row],[FY]],2),4,1)&gt;$P$1-1),'FA Addition'!$J358,0)</f>
        <v>0</v>
      </c>
      <c r="U358" s="117">
        <f>S358*'FA Addition'!$L358/'FA Addition'!$J358</f>
        <v>0</v>
      </c>
      <c r="W358" s="116">
        <f>SUMIFS('FA Write off'!D:D,'FA Write off'!A:A,'FA Addition'!$A358,'FA Write off'!C:C,"&lt;"&amp;'FA Addition'!$P$1)</f>
        <v>0</v>
      </c>
      <c r="Y358" s="191">
        <f>IFERROR(W358/'FA Addition'!$J358*'FA Addition'!$L358,0)</f>
        <v>0</v>
      </c>
      <c r="AA358" s="116">
        <f>SUMIFS('FA Write off'!D:D,'FA Write off'!A:A,'FA Addition'!$A358,'FA Write off'!C:C,"&lt;"&amp;'FA Addition'!$L$1+1,'FA Write off'!C:C,"&gt;"&amp;'FA Addition'!$L$1-365)</f>
        <v>0</v>
      </c>
      <c r="AC358" s="118">
        <f>IFERROR(AA358/'FA Addition'!$J358*'FA Addition'!$L358,0)</f>
        <v>0</v>
      </c>
      <c r="AE358" s="117">
        <f>IF(AND('FA Addition'!$D358&lt;$P$1+1,U358=0),'FA Addition'!$L358,0)-Y358</f>
        <v>105932.2</v>
      </c>
      <c r="AF358" s="117">
        <f t="shared" si="25"/>
        <v>105932.2</v>
      </c>
      <c r="AG358" s="117">
        <f>MIN(MAX(+$P$1-'FA Addition'!$D358,0),365*'FA Addition'!$O358)</f>
        <v>1095</v>
      </c>
      <c r="AH358" s="117">
        <f>MIN(MAX($L$1-'FA Addition'!$D358+1,0),365*'FA Addition'!$O358)</f>
        <v>1095</v>
      </c>
      <c r="AI358" s="117" cm="1">
        <f t="array" ref="AI358">_xlfn.XLOOKUP(1,('FA Write off'!A:A='FA Addition'!$A358)*('FA Write off'!D:D=AA358),'FA Write off'!H:H,0,0)</f>
        <v>0</v>
      </c>
      <c r="AJ358" s="117">
        <f>IF(AC358&gt;0,MAX(IF('FA Addition'!$N358="SLM",($AC358-'FA Addition'!$M358)*'FA Addition'!$P358*AI358/365,(AC358-'FA Addition'!$M358)*(1-(1-'FA Addition'!$P358)^(AI358/365))),0),0)</f>
        <v>0</v>
      </c>
      <c r="AL358" s="117">
        <f>MAX(IF(AG358&gt;0,IF('FA Addition'!$N358="SLM",($AE358-'FA Addition'!$M358)*'FA Addition'!$P358*AG358/365,IFERROR(VDB(AE358,AE358*0.05,'FA Addition'!$O358,0,YEARFRAC('FA Addition'!$C358,$P$1-1,3),'FA Addition'!$Q358),FAAddition[[#This Row],[Original Cost (Rs)]]-FAAddition[[#This Row],[Salvage Value]])),0),0)</f>
        <v>100635.2</v>
      </c>
      <c r="AM358" s="119"/>
      <c r="AN358" s="117">
        <f>MAX(IF(AH358&gt;0,IF('FA Addition'!$N358="SLM",($AF358-'FA Addition'!$M358)*'FA Addition'!$P358*AH358/365,IFERROR(VDB(AF358,AF358*0.05,'FA Addition'!$O358,0,YEARFRAC('FA Addition'!$C358,$L$1,3),'FA Addition'!$Q358),FAAddition[[#This Row],[Original Cost (Rs)]]-FAAddition[[#This Row],[Salvage Value]])),0),0)</f>
        <v>100635.2</v>
      </c>
      <c r="AO358" s="117">
        <f t="shared" si="28"/>
        <v>0</v>
      </c>
      <c r="AQ358" s="117">
        <f t="shared" si="26"/>
        <v>5297</v>
      </c>
      <c r="AR358" s="120">
        <f t="shared" si="27"/>
        <v>5297</v>
      </c>
      <c r="AS358" s="121"/>
    </row>
    <row r="359" spans="1:45" ht="13.5" x14ac:dyDescent="0.4">
      <c r="A359" s="12">
        <f t="shared" si="29"/>
        <v>356</v>
      </c>
      <c r="B359" s="51" t="s">
        <v>902</v>
      </c>
      <c r="C359" s="54">
        <v>43228</v>
      </c>
      <c r="D359" s="54">
        <v>43228</v>
      </c>
      <c r="E359" s="46" t="s">
        <v>32</v>
      </c>
      <c r="F359" s="51" t="s">
        <v>32</v>
      </c>
      <c r="G359" s="51" t="s">
        <v>433</v>
      </c>
      <c r="H359" s="44" t="s">
        <v>32</v>
      </c>
      <c r="I359" s="55" t="s">
        <v>916</v>
      </c>
      <c r="J359" s="56">
        <v>50</v>
      </c>
      <c r="K359" s="51" t="s">
        <v>917</v>
      </c>
      <c r="L359" s="58">
        <v>41500</v>
      </c>
      <c r="M359" s="50">
        <f>ROUND('FA Addition'!$L359*5%,0.1)</f>
        <v>2075</v>
      </c>
      <c r="N359" s="113" t="str">
        <f>_xlfn.XLOOKUP(_xlfn.CONCAT(E359,B359),'Year Wise Master Dep Approach'!F:F,'Year Wise Master Dep Approach'!D:D)</f>
        <v>WDV</v>
      </c>
      <c r="O359" s="113">
        <f>_xlfn.XLOOKUP(_xlfn.CONCAT(E359,B359),'Year Wise Master Dep Approach'!F:F,'Year Wise Master Dep Approach'!E:E)</f>
        <v>3</v>
      </c>
      <c r="P359" s="114">
        <f>IFERROR(IF('FA Addition'!$N359="WDV",1-('FA Addition'!$M359/'FA Addition'!$L359)^(1/'FA Addition'!$O359),1/'FA Addition'!$O359),0)</f>
        <v>0.63159685013596123</v>
      </c>
      <c r="Q359" s="122">
        <f>'FA Addition'!$P359*'FA Addition'!$O359</f>
        <v>1.8947905504078837</v>
      </c>
      <c r="R359" s="122"/>
      <c r="S359" s="116">
        <f>IF(AND(DATE(20&amp;LEFT(FAAddition[[#This Row],[FY]],2),4,1)&lt;$L$1+1,DATE(20&amp;LEFT(FAAddition[[#This Row],[FY]],2),4,1)&gt;$P$1-1),'FA Addition'!$J359,0)</f>
        <v>0</v>
      </c>
      <c r="U359" s="117">
        <f>S359*'FA Addition'!$L359/'FA Addition'!$J359</f>
        <v>0</v>
      </c>
      <c r="W359" s="116">
        <f>SUMIFS('FA Write off'!D:D,'FA Write off'!A:A,'FA Addition'!$A359,'FA Write off'!C:C,"&lt;"&amp;'FA Addition'!$P$1)</f>
        <v>3</v>
      </c>
      <c r="Y359" s="191">
        <f>IFERROR(W359/'FA Addition'!$J359*'FA Addition'!$L359,0)</f>
        <v>2490</v>
      </c>
      <c r="AA359" s="116">
        <f>SUMIFS('FA Write off'!D:D,'FA Write off'!A:A,'FA Addition'!$A359,'FA Write off'!C:C,"&lt;"&amp;'FA Addition'!$L$1+1,'FA Write off'!C:C,"&gt;"&amp;'FA Addition'!$L$1-365)</f>
        <v>0</v>
      </c>
      <c r="AC359" s="191">
        <f>IFERROR(AA359/'FA Addition'!$J359*'FA Addition'!$L359,0)</f>
        <v>0</v>
      </c>
      <c r="AE359" s="117">
        <f>IF(AND('FA Addition'!$D359&lt;$P$1+1,U359=0),'FA Addition'!$L359,0)-Y359</f>
        <v>39010</v>
      </c>
      <c r="AF359" s="117">
        <f t="shared" si="25"/>
        <v>39010</v>
      </c>
      <c r="AG359" s="117">
        <f>MIN(MAX(+$P$1-'FA Addition'!$D359,0),365*'FA Addition'!$O359)</f>
        <v>1095</v>
      </c>
      <c r="AH359" s="117">
        <f>MIN(MAX($L$1-'FA Addition'!$D359+1,0),365*'FA Addition'!$O359)</f>
        <v>1095</v>
      </c>
      <c r="AI359" s="117" cm="1">
        <f t="array" ref="AI359">_xlfn.XLOOKUP(1,('FA Write off'!A:A='FA Addition'!$A359)*('FA Write off'!D:D=AA359),'FA Write off'!H:H,0,0)</f>
        <v>0</v>
      </c>
      <c r="AJ359" s="117">
        <f>IF(AC359&gt;0,MAX(IF('FA Addition'!$N359="SLM",($AC359-'FA Addition'!$M359)*'FA Addition'!$P359*AI359/365,(AC359-'FA Addition'!$M359)*(1-(1-'FA Addition'!$P359)^(AI359/365))),0),0)</f>
        <v>0</v>
      </c>
      <c r="AL359" s="117">
        <f>MAX(IF(AG359&gt;0,IF('FA Addition'!$N359="SLM",($AE359-'FA Addition'!$M359)*'FA Addition'!$P359*AG359/365,IFERROR(VDB(AE359,AE359*0.05,'FA Addition'!$O359,0,YEARFRAC('FA Addition'!$C359,$P$1-1,3),'FA Addition'!$Q359),FAAddition[[#This Row],[Original Cost (Rs)]]-FAAddition[[#This Row],[Salvage Value]])),0),0)</f>
        <v>39425</v>
      </c>
      <c r="AM359" s="119"/>
      <c r="AN359" s="117">
        <f>MAX(IF(AH359&gt;0,IF('FA Addition'!$N359="SLM",($AF359-'FA Addition'!$M359)*'FA Addition'!$P359*AH359/365,IFERROR(VDB(AF359,AF359*0.05,'FA Addition'!$O359,0,YEARFRAC('FA Addition'!$C359,$L$1,3),'FA Addition'!$Q359),FAAddition[[#This Row],[Original Cost (Rs)]]-FAAddition[[#This Row],[Salvage Value]])),0),0)</f>
        <v>39425</v>
      </c>
      <c r="AO359" s="117">
        <f t="shared" si="28"/>
        <v>0</v>
      </c>
      <c r="AQ359" s="117">
        <f t="shared" si="26"/>
        <v>-415</v>
      </c>
      <c r="AR359" s="120">
        <f t="shared" si="27"/>
        <v>-415</v>
      </c>
      <c r="AS359" s="121"/>
    </row>
    <row r="360" spans="1:45" ht="13.5" x14ac:dyDescent="0.4">
      <c r="A360" s="12">
        <f t="shared" si="29"/>
        <v>357</v>
      </c>
      <c r="B360" s="51" t="s">
        <v>902</v>
      </c>
      <c r="C360" s="54">
        <v>43228</v>
      </c>
      <c r="D360" s="54">
        <v>43228</v>
      </c>
      <c r="E360" s="46" t="s">
        <v>749</v>
      </c>
      <c r="F360" s="51" t="s">
        <v>808</v>
      </c>
      <c r="G360" s="51" t="s">
        <v>918</v>
      </c>
      <c r="H360" s="51" t="s">
        <v>919</v>
      </c>
      <c r="I360" s="55" t="s">
        <v>920</v>
      </c>
      <c r="J360" s="56">
        <v>1</v>
      </c>
      <c r="K360" s="51" t="s">
        <v>921</v>
      </c>
      <c r="L360" s="58">
        <v>8473.73</v>
      </c>
      <c r="M360" s="50">
        <f>ROUND('FA Addition'!$L360*5%,0.1)</f>
        <v>424</v>
      </c>
      <c r="N360" s="113" t="str">
        <f>_xlfn.XLOOKUP(_xlfn.CONCAT(E360,B360),'Year Wise Master Dep Approach'!F:F,'Year Wise Master Dep Approach'!D:D)</f>
        <v>WDV</v>
      </c>
      <c r="O360" s="113">
        <f>_xlfn.XLOOKUP(_xlfn.CONCAT(E360,B360),'Year Wise Master Dep Approach'!F:F,'Year Wise Master Dep Approach'!E:E)</f>
        <v>5</v>
      </c>
      <c r="P360" s="114">
        <f>IFERROR(IF('FA Addition'!$N360="WDV",1-('FA Addition'!$M360/'FA Addition'!$L360)^(1/'FA Addition'!$O360),1/'FA Addition'!$O360),0)</f>
        <v>0.45063846617723768</v>
      </c>
      <c r="Q360" s="122">
        <f>'FA Addition'!$P360*'FA Addition'!$O360</f>
        <v>2.2531923308861885</v>
      </c>
      <c r="R360" s="122"/>
      <c r="S360" s="116">
        <f>IF(AND(DATE(20&amp;LEFT(FAAddition[[#This Row],[FY]],2),4,1)&lt;$L$1+1,DATE(20&amp;LEFT(FAAddition[[#This Row],[FY]],2),4,1)&gt;$P$1-1),'FA Addition'!$J360,0)</f>
        <v>0</v>
      </c>
      <c r="U360" s="117">
        <f>S360*'FA Addition'!$L360/'FA Addition'!$J360</f>
        <v>0</v>
      </c>
      <c r="W360" s="116">
        <f>SUMIFS('FA Write off'!D:D,'FA Write off'!A:A,'FA Addition'!$A360,'FA Write off'!C:C,"&lt;"&amp;'FA Addition'!$P$1)</f>
        <v>0</v>
      </c>
      <c r="Y360" s="191">
        <f>IFERROR(W360/'FA Addition'!$J360*'FA Addition'!$L360,0)</f>
        <v>0</v>
      </c>
      <c r="AA360" s="116">
        <f>SUMIFS('FA Write off'!D:D,'FA Write off'!A:A,'FA Addition'!$A360,'FA Write off'!C:C,"&lt;"&amp;'FA Addition'!$L$1+1,'FA Write off'!C:C,"&gt;"&amp;'FA Addition'!$L$1-365)</f>
        <v>0</v>
      </c>
      <c r="AC360" s="118">
        <f>IFERROR(AA360/'FA Addition'!$J360*'FA Addition'!$L360,0)</f>
        <v>0</v>
      </c>
      <c r="AE360" s="117">
        <f>IF(AND('FA Addition'!$D360&lt;$P$1+1,U360=0),'FA Addition'!$L360,0)-Y360</f>
        <v>8473.73</v>
      </c>
      <c r="AF360" s="117">
        <f t="shared" si="25"/>
        <v>8473.73</v>
      </c>
      <c r="AG360" s="117">
        <f>MIN(MAX(+$P$1-'FA Addition'!$D360,0),365*'FA Addition'!$O360)</f>
        <v>1789</v>
      </c>
      <c r="AH360" s="117">
        <f>MIN(MAX($L$1-'FA Addition'!$D360+1,0),365*'FA Addition'!$O360)</f>
        <v>1825</v>
      </c>
      <c r="AI360" s="117" cm="1">
        <f t="array" ref="AI360">_xlfn.XLOOKUP(1,('FA Write off'!A:A='FA Addition'!$A360)*('FA Write off'!D:D=AA360),'FA Write off'!H:H,0,0)</f>
        <v>0</v>
      </c>
      <c r="AJ360" s="117">
        <f>IF(AC360&gt;0,MAX(IF('FA Addition'!$N360="SLM",($AC360-'FA Addition'!$M360)*'FA Addition'!$P360*AI360/365,(AC360-'FA Addition'!$M360)*(1-(1-'FA Addition'!$P360)^(AI360/365))),0),0)</f>
        <v>0</v>
      </c>
      <c r="AL360" s="117">
        <f>MAX(IF(AG360&gt;0,IF('FA Addition'!$N360="SLM",($AE360-'FA Addition'!$M360)*'FA Addition'!$P360*AG360/365,IFERROR(VDB(AE360,AE360*0.05,'FA Addition'!$O360,0,YEARFRAC('FA Addition'!$C360,$P$1-1,3),'FA Addition'!$Q360),FAAddition[[#This Row],[Original Cost (Rs)]]-FAAddition[[#This Row],[Salvage Value]])),0),0)</f>
        <v>8014.7547713959002</v>
      </c>
      <c r="AM360" s="119"/>
      <c r="AN360" s="117">
        <f>MAX(IF(AH360&gt;0,IF('FA Addition'!$N360="SLM",($AF360-'FA Addition'!$M360)*'FA Addition'!$P360*AH360/365,IFERROR(VDB(AF360,AF360*0.05,'FA Addition'!$O360,0,YEARFRAC('FA Addition'!$C360,$L$1,3),'FA Addition'!$Q360),FAAddition[[#This Row],[Original Cost (Rs)]]-FAAddition[[#This Row],[Salvage Value]])),0),0)</f>
        <v>8049.73</v>
      </c>
      <c r="AO360" s="117">
        <f t="shared" si="28"/>
        <v>34.975228604099357</v>
      </c>
      <c r="AQ360" s="117">
        <f t="shared" si="26"/>
        <v>458.97522860409936</v>
      </c>
      <c r="AR360" s="120">
        <f t="shared" si="27"/>
        <v>424</v>
      </c>
      <c r="AS360" s="121"/>
    </row>
    <row r="361" spans="1:45" ht="13.5" x14ac:dyDescent="0.4">
      <c r="A361" s="12">
        <f t="shared" si="29"/>
        <v>358</v>
      </c>
      <c r="B361" s="64" t="s">
        <v>902</v>
      </c>
      <c r="C361" s="54">
        <v>43236</v>
      </c>
      <c r="D361" s="54">
        <v>43236</v>
      </c>
      <c r="E361" s="46" t="s">
        <v>207</v>
      </c>
      <c r="F361" s="51" t="s">
        <v>147</v>
      </c>
      <c r="G361" s="51" t="s">
        <v>922</v>
      </c>
      <c r="H361" s="51" t="s">
        <v>207</v>
      </c>
      <c r="I361" s="55" t="s">
        <v>923</v>
      </c>
      <c r="J361" s="56">
        <v>1</v>
      </c>
      <c r="K361" s="51" t="s">
        <v>924</v>
      </c>
      <c r="L361" s="58">
        <v>11579.46</v>
      </c>
      <c r="M361" s="50">
        <f>ROUND('FA Addition'!$L361*5%,0.1)</f>
        <v>579</v>
      </c>
      <c r="N361" s="113" t="str">
        <f>_xlfn.XLOOKUP(_xlfn.CONCAT(E361,B361),'Year Wise Master Dep Approach'!F:F,'Year Wise Master Dep Approach'!D:D)</f>
        <v>WDV</v>
      </c>
      <c r="O361" s="113">
        <f>_xlfn.XLOOKUP(_xlfn.CONCAT(E361,B361),'Year Wise Master Dep Approach'!F:F,'Year Wise Master Dep Approach'!E:E)</f>
        <v>5</v>
      </c>
      <c r="P361" s="114">
        <f>IFERROR(IF('FA Addition'!$N361="WDV",1-('FA Addition'!$M361/'FA Addition'!$L361)^(1/'FA Addition'!$O361),1/'FA Addition'!$O361),0)</f>
        <v>0.45071460538241692</v>
      </c>
      <c r="Q361" s="122">
        <f>'FA Addition'!$P361*'FA Addition'!$O361</f>
        <v>2.2535730269120844</v>
      </c>
      <c r="R361" s="122"/>
      <c r="S361" s="116">
        <f>IF(AND(DATE(20&amp;LEFT(FAAddition[[#This Row],[FY]],2),4,1)&lt;$L$1+1,DATE(20&amp;LEFT(FAAddition[[#This Row],[FY]],2),4,1)&gt;$P$1-1),'FA Addition'!$J361,0)</f>
        <v>0</v>
      </c>
      <c r="U361" s="117">
        <f>S361*'FA Addition'!$L361/'FA Addition'!$J361</f>
        <v>0</v>
      </c>
      <c r="W361" s="116">
        <f>SUMIFS('FA Write off'!D:D,'FA Write off'!A:A,'FA Addition'!$A361,'FA Write off'!C:C,"&lt;"&amp;'FA Addition'!$P$1)</f>
        <v>0</v>
      </c>
      <c r="Y361" s="191">
        <f>IFERROR(W361/'FA Addition'!$J361*'FA Addition'!$L361,0)</f>
        <v>0</v>
      </c>
      <c r="AA361" s="116">
        <f>SUMIFS('FA Write off'!D:D,'FA Write off'!A:A,'FA Addition'!$A361,'FA Write off'!C:C,"&lt;"&amp;'FA Addition'!$L$1+1,'FA Write off'!C:C,"&gt;"&amp;'FA Addition'!$L$1-365)</f>
        <v>0</v>
      </c>
      <c r="AC361" s="118">
        <f>IFERROR(AA361/'FA Addition'!$J361*'FA Addition'!$L361,0)</f>
        <v>0</v>
      </c>
      <c r="AE361" s="117">
        <f>IF(AND('FA Addition'!$D361&lt;$P$1+1,U361=0),'FA Addition'!$L361,0)-Y361</f>
        <v>11579.46</v>
      </c>
      <c r="AF361" s="117">
        <f t="shared" si="25"/>
        <v>11579.46</v>
      </c>
      <c r="AG361" s="117">
        <f>MIN(MAX(+$P$1-'FA Addition'!$D361,0),365*'FA Addition'!$O361)</f>
        <v>1781</v>
      </c>
      <c r="AH361" s="117">
        <f>MIN(MAX($L$1-'FA Addition'!$D361+1,0),365*'FA Addition'!$O361)</f>
        <v>1825</v>
      </c>
      <c r="AI361" s="117" cm="1">
        <f t="array" ref="AI361">_xlfn.XLOOKUP(1,('FA Write off'!A:A='FA Addition'!$A361)*('FA Write off'!D:D=AA361),'FA Write off'!H:H,0,0)</f>
        <v>0</v>
      </c>
      <c r="AJ361" s="117">
        <f>IF(AC361&gt;0,MAX(IF('FA Addition'!$N361="SLM",($AC361-'FA Addition'!$M361)*'FA Addition'!$P361*AI361/365,(AC361-'FA Addition'!$M361)*(1-(1-'FA Addition'!$P361)^(AI361/365))),0),0)</f>
        <v>0</v>
      </c>
      <c r="AL361" s="117">
        <f>MAX(IF(AG361&gt;0,IF('FA Addition'!$N361="SLM",($AE361-'FA Addition'!$M361)*'FA Addition'!$P361*AG361/365,IFERROR(VDB(AE361,AE361*0.05,'FA Addition'!$O361,0,YEARFRAC('FA Addition'!$C361,$P$1-1,3),'FA Addition'!$Q361),FAAddition[[#This Row],[Original Cost (Rs)]]-FAAddition[[#This Row],[Salvage Value]])),0),0)</f>
        <v>10941.9100879329</v>
      </c>
      <c r="AM361" s="119"/>
      <c r="AN361" s="117">
        <f>MAX(IF(AH361&gt;0,IF('FA Addition'!$N361="SLM",($AF361-'FA Addition'!$M361)*'FA Addition'!$P361*AH361/365,IFERROR(VDB(AF361,AF361*0.05,'FA Addition'!$O361,0,YEARFRAC('FA Addition'!$C361,$L$1,3),'FA Addition'!$Q361),FAAddition[[#This Row],[Original Cost (Rs)]]-FAAddition[[#This Row],[Salvage Value]])),0),0)</f>
        <v>11000.46</v>
      </c>
      <c r="AO361" s="117">
        <f t="shared" si="28"/>
        <v>58.549912067099285</v>
      </c>
      <c r="AQ361" s="117">
        <f t="shared" si="26"/>
        <v>637.54991206709929</v>
      </c>
      <c r="AR361" s="120">
        <f t="shared" si="27"/>
        <v>579</v>
      </c>
      <c r="AS361" s="121"/>
    </row>
    <row r="362" spans="1:45" ht="13.5" x14ac:dyDescent="0.4">
      <c r="A362" s="12">
        <f t="shared" si="29"/>
        <v>359</v>
      </c>
      <c r="B362" s="64" t="s">
        <v>902</v>
      </c>
      <c r="C362" s="54">
        <v>43236</v>
      </c>
      <c r="D362" s="54">
        <v>43236</v>
      </c>
      <c r="E362" s="46" t="s">
        <v>32</v>
      </c>
      <c r="F362" s="51" t="s">
        <v>32</v>
      </c>
      <c r="G362" s="51" t="s">
        <v>433</v>
      </c>
      <c r="H362" s="51" t="s">
        <v>32</v>
      </c>
      <c r="I362" s="55" t="s">
        <v>925</v>
      </c>
      <c r="J362" s="56">
        <v>2</v>
      </c>
      <c r="K362" s="51" t="s">
        <v>926</v>
      </c>
      <c r="L362" s="58">
        <v>4500</v>
      </c>
      <c r="M362" s="50">
        <f>ROUND('FA Addition'!$L362*5%,0.1)</f>
        <v>225</v>
      </c>
      <c r="N362" s="113" t="str">
        <f>_xlfn.XLOOKUP(_xlfn.CONCAT(E362,B362),'Year Wise Master Dep Approach'!F:F,'Year Wise Master Dep Approach'!D:D)</f>
        <v>WDV</v>
      </c>
      <c r="O362" s="113">
        <f>_xlfn.XLOOKUP(_xlfn.CONCAT(E362,B362),'Year Wise Master Dep Approach'!F:F,'Year Wise Master Dep Approach'!E:E)</f>
        <v>3</v>
      </c>
      <c r="P362" s="114">
        <f>IFERROR(IF('FA Addition'!$N362="WDV",1-('FA Addition'!$M362/'FA Addition'!$L362)^(1/'FA Addition'!$O362),1/'FA Addition'!$O362),0)</f>
        <v>0.63159685013596123</v>
      </c>
      <c r="Q362" s="122">
        <f>'FA Addition'!$P362*'FA Addition'!$O362</f>
        <v>1.8947905504078837</v>
      </c>
      <c r="R362" s="122"/>
      <c r="S362" s="116">
        <f>IF(AND(DATE(20&amp;LEFT(FAAddition[[#This Row],[FY]],2),4,1)&lt;$L$1+1,DATE(20&amp;LEFT(FAAddition[[#This Row],[FY]],2),4,1)&gt;$P$1-1),'FA Addition'!$J362,0)</f>
        <v>0</v>
      </c>
      <c r="U362" s="117">
        <f>S362*'FA Addition'!$L362/'FA Addition'!$J362</f>
        <v>0</v>
      </c>
      <c r="W362" s="116">
        <f>SUMIFS('FA Write off'!D:D,'FA Write off'!A:A,'FA Addition'!$A362,'FA Write off'!C:C,"&lt;"&amp;'FA Addition'!$P$1)</f>
        <v>0</v>
      </c>
      <c r="Y362" s="191">
        <f>IFERROR(W362/'FA Addition'!$J362*'FA Addition'!$L362,0)</f>
        <v>0</v>
      </c>
      <c r="AA362" s="116">
        <f>SUMIFS('FA Write off'!D:D,'FA Write off'!A:A,'FA Addition'!$A362,'FA Write off'!C:C,"&lt;"&amp;'FA Addition'!$L$1+1,'FA Write off'!C:C,"&gt;"&amp;'FA Addition'!$L$1-365)</f>
        <v>0</v>
      </c>
      <c r="AC362" s="118">
        <f>IFERROR(AA362/'FA Addition'!$J362*'FA Addition'!$L362,0)</f>
        <v>0</v>
      </c>
      <c r="AE362" s="117">
        <f>IF(AND('FA Addition'!$D362&lt;$P$1+1,U362=0),'FA Addition'!$L362,0)-Y362</f>
        <v>4500</v>
      </c>
      <c r="AF362" s="117">
        <f t="shared" si="25"/>
        <v>4500</v>
      </c>
      <c r="AG362" s="117">
        <f>MIN(MAX(+$P$1-'FA Addition'!$D362,0),365*'FA Addition'!$O362)</f>
        <v>1095</v>
      </c>
      <c r="AH362" s="117">
        <f>MIN(MAX($L$1-'FA Addition'!$D362+1,0),365*'FA Addition'!$O362)</f>
        <v>1095</v>
      </c>
      <c r="AI362" s="117" cm="1">
        <f t="array" ref="AI362">_xlfn.XLOOKUP(1,('FA Write off'!A:A='FA Addition'!$A362)*('FA Write off'!D:D=AA362),'FA Write off'!H:H,0,0)</f>
        <v>0</v>
      </c>
      <c r="AJ362" s="117">
        <f>IF(AC362&gt;0,MAX(IF('FA Addition'!$N362="SLM",($AC362-'FA Addition'!$M362)*'FA Addition'!$P362*AI362/365,(AC362-'FA Addition'!$M362)*(1-(1-'FA Addition'!$P362)^(AI362/365))),0),0)</f>
        <v>0</v>
      </c>
      <c r="AL362" s="117">
        <f>MAX(IF(AG362&gt;0,IF('FA Addition'!$N362="SLM",($AE362-'FA Addition'!$M362)*'FA Addition'!$P362*AG362/365,IFERROR(VDB(AE362,AE362*0.05,'FA Addition'!$O362,0,YEARFRAC('FA Addition'!$C362,$P$1-1,3),'FA Addition'!$Q362),FAAddition[[#This Row],[Original Cost (Rs)]]-FAAddition[[#This Row],[Salvage Value]])),0),0)</f>
        <v>4275</v>
      </c>
      <c r="AM362" s="119"/>
      <c r="AN362" s="117">
        <f>MAX(IF(AH362&gt;0,IF('FA Addition'!$N362="SLM",($AF362-'FA Addition'!$M362)*'FA Addition'!$P362*AH362/365,IFERROR(VDB(AF362,AF362*0.05,'FA Addition'!$O362,0,YEARFRAC('FA Addition'!$C362,$L$1,3),'FA Addition'!$Q362),FAAddition[[#This Row],[Original Cost (Rs)]]-FAAddition[[#This Row],[Salvage Value]])),0),0)</f>
        <v>4275</v>
      </c>
      <c r="AO362" s="117">
        <f t="shared" si="28"/>
        <v>0</v>
      </c>
      <c r="AQ362" s="117">
        <f t="shared" si="26"/>
        <v>225</v>
      </c>
      <c r="AR362" s="120">
        <f t="shared" si="27"/>
        <v>225</v>
      </c>
      <c r="AS362" s="121"/>
    </row>
    <row r="363" spans="1:45" ht="13.5" x14ac:dyDescent="0.4">
      <c r="A363" s="12">
        <f t="shared" si="29"/>
        <v>360</v>
      </c>
      <c r="B363" s="64" t="s">
        <v>902</v>
      </c>
      <c r="C363" s="54">
        <v>43238</v>
      </c>
      <c r="D363" s="54">
        <v>43238</v>
      </c>
      <c r="E363" s="46" t="s">
        <v>32</v>
      </c>
      <c r="F363" s="51" t="s">
        <v>32</v>
      </c>
      <c r="G363" s="51" t="s">
        <v>433</v>
      </c>
      <c r="H363" s="51" t="s">
        <v>32</v>
      </c>
      <c r="I363" s="55" t="s">
        <v>927</v>
      </c>
      <c r="J363" s="56">
        <v>100</v>
      </c>
      <c r="K363" s="51" t="s">
        <v>917</v>
      </c>
      <c r="L363" s="58">
        <v>83000</v>
      </c>
      <c r="M363" s="50">
        <f>ROUND('FA Addition'!$L363*5%,0.1)</f>
        <v>4150</v>
      </c>
      <c r="N363" s="113" t="str">
        <f>_xlfn.XLOOKUP(_xlfn.CONCAT(E363,B363),'Year Wise Master Dep Approach'!F:F,'Year Wise Master Dep Approach'!D:D)</f>
        <v>WDV</v>
      </c>
      <c r="O363" s="113">
        <f>_xlfn.XLOOKUP(_xlfn.CONCAT(E363,B363),'Year Wise Master Dep Approach'!F:F,'Year Wise Master Dep Approach'!E:E)</f>
        <v>3</v>
      </c>
      <c r="P363" s="114">
        <f>IFERROR(IF('FA Addition'!$N363="WDV",1-('FA Addition'!$M363/'FA Addition'!$L363)^(1/'FA Addition'!$O363),1/'FA Addition'!$O363),0)</f>
        <v>0.63159685013596123</v>
      </c>
      <c r="Q363" s="122">
        <f>'FA Addition'!$P363*'FA Addition'!$O363</f>
        <v>1.8947905504078837</v>
      </c>
      <c r="R363" s="122"/>
      <c r="S363" s="116">
        <f>IF(AND(DATE(20&amp;LEFT(FAAddition[[#This Row],[FY]],2),4,1)&lt;$L$1+1,DATE(20&amp;LEFT(FAAddition[[#This Row],[FY]],2),4,1)&gt;$P$1-1),'FA Addition'!$J363,0)</f>
        <v>0</v>
      </c>
      <c r="U363" s="117">
        <f>S363*'FA Addition'!$L363/'FA Addition'!$J363</f>
        <v>0</v>
      </c>
      <c r="W363" s="116">
        <f>SUMIFS('FA Write off'!D:D,'FA Write off'!A:A,'FA Addition'!$A363,'FA Write off'!C:C,"&lt;"&amp;'FA Addition'!$P$1)</f>
        <v>3</v>
      </c>
      <c r="Y363" s="191">
        <f>IFERROR(W363/'FA Addition'!$J363*'FA Addition'!$L363,0)</f>
        <v>2490</v>
      </c>
      <c r="AA363" s="116">
        <f>SUMIFS('FA Write off'!D:D,'FA Write off'!A:A,'FA Addition'!$A363,'FA Write off'!C:C,"&lt;"&amp;'FA Addition'!$L$1+1,'FA Write off'!C:C,"&gt;"&amp;'FA Addition'!$L$1-365)</f>
        <v>0</v>
      </c>
      <c r="AC363" s="191">
        <f>IFERROR(AA363/'FA Addition'!$J363*'FA Addition'!$L363,0)</f>
        <v>0</v>
      </c>
      <c r="AE363" s="117">
        <f>IF(AND('FA Addition'!$D363&lt;$P$1+1,U363=0),'FA Addition'!$L363,0)-Y363</f>
        <v>80510</v>
      </c>
      <c r="AF363" s="117">
        <f t="shared" si="25"/>
        <v>80510</v>
      </c>
      <c r="AG363" s="117">
        <f>MIN(MAX(+$P$1-'FA Addition'!$D363,0),365*'FA Addition'!$O363)</f>
        <v>1095</v>
      </c>
      <c r="AH363" s="117">
        <f>MIN(MAX($L$1-'FA Addition'!$D363+1,0),365*'FA Addition'!$O363)</f>
        <v>1095</v>
      </c>
      <c r="AI363" s="117" cm="1">
        <f t="array" ref="AI363">_xlfn.XLOOKUP(1,('FA Write off'!A:A='FA Addition'!$A363)*('FA Write off'!D:D=AA363),'FA Write off'!H:H,0,0)</f>
        <v>0</v>
      </c>
      <c r="AJ363" s="117">
        <f>IF(AC363&gt;0,MAX(IF('FA Addition'!$N363="SLM",($AC363-'FA Addition'!$M363)*'FA Addition'!$P363*AI363/365,(AC363-'FA Addition'!$M363)*(1-(1-'FA Addition'!$P363)^(AI363/365))),0),0)</f>
        <v>0</v>
      </c>
      <c r="AL363" s="117">
        <f>MAX(IF(AG363&gt;0,IF('FA Addition'!$N363="SLM",($AE363-'FA Addition'!$M363)*'FA Addition'!$P363*AG363/365,IFERROR(VDB(AE363,AE363*0.05,'FA Addition'!$O363,0,YEARFRAC('FA Addition'!$C363,$P$1-1,3),'FA Addition'!$Q363),FAAddition[[#This Row],[Original Cost (Rs)]]-FAAddition[[#This Row],[Salvage Value]])),0),0)</f>
        <v>78850</v>
      </c>
      <c r="AM363" s="119"/>
      <c r="AN363" s="117">
        <f>MAX(IF(AH363&gt;0,IF('FA Addition'!$N363="SLM",($AF363-'FA Addition'!$M363)*'FA Addition'!$P363*AH363/365,IFERROR(VDB(AF363,AF363*0.05,'FA Addition'!$O363,0,YEARFRAC('FA Addition'!$C363,$L$1,3),'FA Addition'!$Q363),FAAddition[[#This Row],[Original Cost (Rs)]]-FAAddition[[#This Row],[Salvage Value]])),0),0)</f>
        <v>78850</v>
      </c>
      <c r="AO363" s="117">
        <f t="shared" si="28"/>
        <v>0</v>
      </c>
      <c r="AQ363" s="117">
        <f t="shared" si="26"/>
        <v>1660</v>
      </c>
      <c r="AR363" s="120">
        <f t="shared" si="27"/>
        <v>1660</v>
      </c>
      <c r="AS363" s="121"/>
    </row>
    <row r="364" spans="1:45" ht="13.5" x14ac:dyDescent="0.4">
      <c r="A364" s="12">
        <f t="shared" si="29"/>
        <v>361</v>
      </c>
      <c r="B364" s="64" t="s">
        <v>902</v>
      </c>
      <c r="C364" s="54">
        <v>43238</v>
      </c>
      <c r="D364" s="54">
        <v>43238</v>
      </c>
      <c r="E364" s="46" t="s">
        <v>749</v>
      </c>
      <c r="F364" s="51" t="s">
        <v>808</v>
      </c>
      <c r="G364" s="51" t="s">
        <v>928</v>
      </c>
      <c r="H364" s="51" t="s">
        <v>919</v>
      </c>
      <c r="I364" s="55" t="s">
        <v>929</v>
      </c>
      <c r="J364" s="56">
        <v>1</v>
      </c>
      <c r="K364" s="51" t="s">
        <v>930</v>
      </c>
      <c r="L364" s="58">
        <v>6355.08</v>
      </c>
      <c r="M364" s="50">
        <f>ROUND('FA Addition'!$L364*5%,0.1)</f>
        <v>318</v>
      </c>
      <c r="N364" s="113" t="str">
        <f>_xlfn.XLOOKUP(_xlfn.CONCAT(E364,B364),'Year Wise Master Dep Approach'!F:F,'Year Wise Master Dep Approach'!D:D)</f>
        <v>WDV</v>
      </c>
      <c r="O364" s="113">
        <f>_xlfn.XLOOKUP(_xlfn.CONCAT(E364,B364),'Year Wise Master Dep Approach'!F:F,'Year Wise Master Dep Approach'!E:E)</f>
        <v>5</v>
      </c>
      <c r="P364" s="114">
        <f>IFERROR(IF('FA Addition'!$N364="WDV",1-('FA Addition'!$M364/'FA Addition'!$L364)^(1/'FA Addition'!$O364),1/'FA Addition'!$O364),0)</f>
        <v>0.45063470589419186</v>
      </c>
      <c r="Q364" s="122">
        <f>'FA Addition'!$P364*'FA Addition'!$O364</f>
        <v>2.2531735294709594</v>
      </c>
      <c r="R364" s="122"/>
      <c r="S364" s="116">
        <f>IF(AND(DATE(20&amp;LEFT(FAAddition[[#This Row],[FY]],2),4,1)&lt;$L$1+1,DATE(20&amp;LEFT(FAAddition[[#This Row],[FY]],2),4,1)&gt;$P$1-1),'FA Addition'!$J364,0)</f>
        <v>0</v>
      </c>
      <c r="U364" s="117">
        <f>S364*'FA Addition'!$L364/'FA Addition'!$J364</f>
        <v>0</v>
      </c>
      <c r="W364" s="116">
        <f>SUMIFS('FA Write off'!D:D,'FA Write off'!A:A,'FA Addition'!$A364,'FA Write off'!C:C,"&lt;"&amp;'FA Addition'!$P$1)</f>
        <v>0</v>
      </c>
      <c r="Y364" s="191">
        <f>IFERROR(W364/'FA Addition'!$J364*'FA Addition'!$L364,0)</f>
        <v>0</v>
      </c>
      <c r="AA364" s="116">
        <f>SUMIFS('FA Write off'!D:D,'FA Write off'!A:A,'FA Addition'!$A364,'FA Write off'!C:C,"&lt;"&amp;'FA Addition'!$L$1+1,'FA Write off'!C:C,"&gt;"&amp;'FA Addition'!$L$1-365)</f>
        <v>0</v>
      </c>
      <c r="AC364" s="118">
        <f>IFERROR(AA364/'FA Addition'!$J364*'FA Addition'!$L364,0)</f>
        <v>0</v>
      </c>
      <c r="AE364" s="117">
        <f>IF(AND('FA Addition'!$D364&lt;$P$1+1,U364=0),'FA Addition'!$L364,0)-Y364</f>
        <v>6355.08</v>
      </c>
      <c r="AF364" s="117">
        <f t="shared" si="25"/>
        <v>6355.08</v>
      </c>
      <c r="AG364" s="117">
        <f>MIN(MAX(+$P$1-'FA Addition'!$D364,0),365*'FA Addition'!$O364)</f>
        <v>1779</v>
      </c>
      <c r="AH364" s="117">
        <f>MIN(MAX($L$1-'FA Addition'!$D364+1,0),365*'FA Addition'!$O364)</f>
        <v>1825</v>
      </c>
      <c r="AI364" s="117" cm="1">
        <f t="array" ref="AI364">_xlfn.XLOOKUP(1,('FA Write off'!A:A='FA Addition'!$A364)*('FA Write off'!D:D=AA364),'FA Write off'!H:H,0,0)</f>
        <v>0</v>
      </c>
      <c r="AJ364" s="117">
        <f>IF(AC364&gt;0,MAX(IF('FA Addition'!$N364="SLM",($AC364-'FA Addition'!$M364)*'FA Addition'!$P364*AI364/365,(AC364-'FA Addition'!$M364)*(1-(1-'FA Addition'!$P364)^(AI364/365))),0),0)</f>
        <v>0</v>
      </c>
      <c r="AL364" s="117">
        <f>MAX(IF(AG364&gt;0,IF('FA Addition'!$N364="SLM",($AE364-'FA Addition'!$M364)*'FA Addition'!$P364*AG364/365,IFERROR(VDB(AE364,AE364*0.05,'FA Addition'!$O364,0,YEARFRAC('FA Addition'!$C364,$P$1-1,3),'FA Addition'!$Q364),FAAddition[[#This Row],[Original Cost (Rs)]]-FAAddition[[#This Row],[Salvage Value]])),0),0)</f>
        <v>6003.7054427329258</v>
      </c>
      <c r="AM364" s="119"/>
      <c r="AN364" s="117">
        <f>MAX(IF(AH364&gt;0,IF('FA Addition'!$N364="SLM",($AF364-'FA Addition'!$M364)*'FA Addition'!$P364*AH364/365,IFERROR(VDB(AF364,AF364*0.05,'FA Addition'!$O364,0,YEARFRAC('FA Addition'!$C364,$L$1,3),'FA Addition'!$Q364),FAAddition[[#This Row],[Original Cost (Rs)]]-FAAddition[[#This Row],[Salvage Value]])),0),0)</f>
        <v>6037.08</v>
      </c>
      <c r="AO364" s="117">
        <f t="shared" si="28"/>
        <v>33.374557267074124</v>
      </c>
      <c r="AQ364" s="117">
        <f t="shared" si="26"/>
        <v>351.37455726707412</v>
      </c>
      <c r="AR364" s="120">
        <f t="shared" si="27"/>
        <v>318</v>
      </c>
      <c r="AS364" s="121"/>
    </row>
    <row r="365" spans="1:45" ht="13.5" x14ac:dyDescent="0.4">
      <c r="A365" s="12">
        <f t="shared" si="29"/>
        <v>362</v>
      </c>
      <c r="B365" s="64" t="s">
        <v>902</v>
      </c>
      <c r="C365" s="54">
        <v>43242</v>
      </c>
      <c r="D365" s="54">
        <v>43242</v>
      </c>
      <c r="E365" s="46" t="s">
        <v>207</v>
      </c>
      <c r="F365" s="51" t="s">
        <v>147</v>
      </c>
      <c r="G365" s="51" t="s">
        <v>931</v>
      </c>
      <c r="H365" s="51" t="s">
        <v>207</v>
      </c>
      <c r="I365" s="55" t="s">
        <v>932</v>
      </c>
      <c r="J365" s="56">
        <v>1</v>
      </c>
      <c r="K365" s="51" t="s">
        <v>933</v>
      </c>
      <c r="L365" s="58">
        <v>6241.07</v>
      </c>
      <c r="M365" s="50">
        <f>ROUND('FA Addition'!$L365*5%,0.1)</f>
        <v>312</v>
      </c>
      <c r="N365" s="113" t="str">
        <f>_xlfn.XLOOKUP(_xlfn.CONCAT(E365,B365),'Year Wise Master Dep Approach'!F:F,'Year Wise Master Dep Approach'!D:D)</f>
        <v>WDV</v>
      </c>
      <c r="O365" s="113">
        <f>_xlfn.XLOOKUP(_xlfn.CONCAT(E365,B365),'Year Wise Master Dep Approach'!F:F,'Year Wise Master Dep Approach'!E:E)</f>
        <v>5</v>
      </c>
      <c r="P365" s="114">
        <f>IFERROR(IF('FA Addition'!$N365="WDV",1-('FA Addition'!$M365/'FA Addition'!$L365)^(1/'FA Addition'!$O365),1/'FA Addition'!$O365),0)</f>
        <v>0.45073856390559197</v>
      </c>
      <c r="Q365" s="122">
        <f>'FA Addition'!$P365*'FA Addition'!$O365</f>
        <v>2.2536928195279597</v>
      </c>
      <c r="R365" s="122"/>
      <c r="S365" s="116">
        <f>IF(AND(DATE(20&amp;LEFT(FAAddition[[#This Row],[FY]],2),4,1)&lt;$L$1+1,DATE(20&amp;LEFT(FAAddition[[#This Row],[FY]],2),4,1)&gt;$P$1-1),'FA Addition'!$J365,0)</f>
        <v>0</v>
      </c>
      <c r="U365" s="117">
        <f>S365*'FA Addition'!$L365/'FA Addition'!$J365</f>
        <v>0</v>
      </c>
      <c r="W365" s="116">
        <f>SUMIFS('FA Write off'!D:D,'FA Write off'!A:A,'FA Addition'!$A365,'FA Write off'!C:C,"&lt;"&amp;'FA Addition'!$P$1)</f>
        <v>0</v>
      </c>
      <c r="Y365" s="191">
        <f>IFERROR(W365/'FA Addition'!$J365*'FA Addition'!$L365,0)</f>
        <v>0</v>
      </c>
      <c r="AA365" s="116">
        <f>SUMIFS('FA Write off'!D:D,'FA Write off'!A:A,'FA Addition'!$A365,'FA Write off'!C:C,"&lt;"&amp;'FA Addition'!$L$1+1,'FA Write off'!C:C,"&gt;"&amp;'FA Addition'!$L$1-365)</f>
        <v>0</v>
      </c>
      <c r="AC365" s="118">
        <f>IFERROR(AA365/'FA Addition'!$J365*'FA Addition'!$L365,0)</f>
        <v>0</v>
      </c>
      <c r="AE365" s="117">
        <f>IF(AND('FA Addition'!$D365&lt;$P$1+1,U365=0),'FA Addition'!$L365,0)-Y365</f>
        <v>6241.07</v>
      </c>
      <c r="AF365" s="117">
        <f t="shared" si="25"/>
        <v>6241.07</v>
      </c>
      <c r="AG365" s="117">
        <f>MIN(MAX(+$P$1-'FA Addition'!$D365,0),365*'FA Addition'!$O365)</f>
        <v>1775</v>
      </c>
      <c r="AH365" s="117">
        <f>MIN(MAX($L$1-'FA Addition'!$D365+1,0),365*'FA Addition'!$O365)</f>
        <v>1825</v>
      </c>
      <c r="AI365" s="117" cm="1">
        <f t="array" ref="AI365">_xlfn.XLOOKUP(1,('FA Write off'!A:A='FA Addition'!$A365)*('FA Write off'!D:D=AA365),'FA Write off'!H:H,0,0)</f>
        <v>0</v>
      </c>
      <c r="AJ365" s="117">
        <f>IF(AC365&gt;0,MAX(IF('FA Addition'!$N365="SLM",($AC365-'FA Addition'!$M365)*'FA Addition'!$P365*AI365/365,(AC365-'FA Addition'!$M365)*(1-(1-'FA Addition'!$P365)^(AI365/365))),0),0)</f>
        <v>0</v>
      </c>
      <c r="AL365" s="117">
        <f>MAX(IF(AG365&gt;0,IF('FA Addition'!$N365="SLM",($AE365-'FA Addition'!$M365)*'FA Addition'!$P365*AG365/365,IFERROR(VDB(AE365,AE365*0.05,'FA Addition'!$O365,0,YEARFRAC('FA Addition'!$C365,$P$1-1,3),'FA Addition'!$Q365),FAAddition[[#This Row],[Original Cost (Rs)]]-FAAddition[[#This Row],[Salvage Value]])),0),0)</f>
        <v>5893.2491506512306</v>
      </c>
      <c r="AM365" s="119"/>
      <c r="AN365" s="117">
        <f>MAX(IF(AH365&gt;0,IF('FA Addition'!$N365="SLM",($AF365-'FA Addition'!$M365)*'FA Addition'!$P365*AH365/365,IFERROR(VDB(AF365,AF365*0.05,'FA Addition'!$O365,0,YEARFRAC('FA Addition'!$C365,$L$1,3),'FA Addition'!$Q365),FAAddition[[#This Row],[Original Cost (Rs)]]-FAAddition[[#This Row],[Salvage Value]])),0),0)</f>
        <v>5929.07</v>
      </c>
      <c r="AO365" s="117">
        <f t="shared" si="28"/>
        <v>35.820849348769116</v>
      </c>
      <c r="AQ365" s="117">
        <f t="shared" si="26"/>
        <v>347.82084934876912</v>
      </c>
      <c r="AR365" s="120">
        <f t="shared" si="27"/>
        <v>312</v>
      </c>
      <c r="AS365" s="121"/>
    </row>
    <row r="366" spans="1:45" ht="13.5" x14ac:dyDescent="0.4">
      <c r="A366" s="12">
        <f t="shared" si="29"/>
        <v>363</v>
      </c>
      <c r="B366" s="64" t="s">
        <v>902</v>
      </c>
      <c r="C366" s="54">
        <v>43276</v>
      </c>
      <c r="D366" s="54">
        <v>43276</v>
      </c>
      <c r="E366" s="46" t="s">
        <v>32</v>
      </c>
      <c r="F366" s="51" t="s">
        <v>32</v>
      </c>
      <c r="G366" s="51" t="s">
        <v>433</v>
      </c>
      <c r="H366" s="51" t="s">
        <v>32</v>
      </c>
      <c r="I366" s="55" t="s">
        <v>934</v>
      </c>
      <c r="J366" s="56">
        <v>4</v>
      </c>
      <c r="K366" s="51" t="s">
        <v>935</v>
      </c>
      <c r="L366" s="58">
        <v>4780</v>
      </c>
      <c r="M366" s="50">
        <f>ROUND('FA Addition'!$L366*5%,0.1)</f>
        <v>239</v>
      </c>
      <c r="N366" s="113" t="str">
        <f>_xlfn.XLOOKUP(_xlfn.CONCAT(E366,B366),'Year Wise Master Dep Approach'!F:F,'Year Wise Master Dep Approach'!D:D)</f>
        <v>WDV</v>
      </c>
      <c r="O366" s="113">
        <f>_xlfn.XLOOKUP(_xlfn.CONCAT(E366,B366),'Year Wise Master Dep Approach'!F:F,'Year Wise Master Dep Approach'!E:E)</f>
        <v>3</v>
      </c>
      <c r="P366" s="114">
        <f>IFERROR(IF('FA Addition'!$N366="WDV",1-('FA Addition'!$M366/'FA Addition'!$L366)^(1/'FA Addition'!$O366),1/'FA Addition'!$O366),0)</f>
        <v>0.63159685013596123</v>
      </c>
      <c r="Q366" s="122">
        <f>'FA Addition'!$P366*'FA Addition'!$O366</f>
        <v>1.8947905504078837</v>
      </c>
      <c r="R366" s="122"/>
      <c r="S366" s="116">
        <f>IF(AND(DATE(20&amp;LEFT(FAAddition[[#This Row],[FY]],2),4,1)&lt;$L$1+1,DATE(20&amp;LEFT(FAAddition[[#This Row],[FY]],2),4,1)&gt;$P$1-1),'FA Addition'!$J366,0)</f>
        <v>0</v>
      </c>
      <c r="U366" s="117">
        <f>S366*'FA Addition'!$L366/'FA Addition'!$J366</f>
        <v>0</v>
      </c>
      <c r="W366" s="116">
        <f>SUMIFS('FA Write off'!D:D,'FA Write off'!A:A,'FA Addition'!$A366,'FA Write off'!C:C,"&lt;"&amp;'FA Addition'!$P$1)</f>
        <v>0</v>
      </c>
      <c r="Y366" s="191">
        <f>IFERROR(W366/'FA Addition'!$J366*'FA Addition'!$L366,0)</f>
        <v>0</v>
      </c>
      <c r="AA366" s="116">
        <f>SUMIFS('FA Write off'!D:D,'FA Write off'!A:A,'FA Addition'!$A366,'FA Write off'!C:C,"&lt;"&amp;'FA Addition'!$L$1+1,'FA Write off'!C:C,"&gt;"&amp;'FA Addition'!$L$1-365)</f>
        <v>0</v>
      </c>
      <c r="AC366" s="118">
        <f>IFERROR(AA366/'FA Addition'!$J366*'FA Addition'!$L366,0)</f>
        <v>0</v>
      </c>
      <c r="AE366" s="117">
        <f>IF(AND('FA Addition'!$D366&lt;$P$1+1,U366=0),'FA Addition'!$L366,0)-Y366</f>
        <v>4780</v>
      </c>
      <c r="AF366" s="117">
        <f t="shared" si="25"/>
        <v>4780</v>
      </c>
      <c r="AG366" s="117">
        <f>MIN(MAX(+$P$1-'FA Addition'!$D366,0),365*'FA Addition'!$O366)</f>
        <v>1095</v>
      </c>
      <c r="AH366" s="117">
        <f>MIN(MAX($L$1-'FA Addition'!$D366+1,0),365*'FA Addition'!$O366)</f>
        <v>1095</v>
      </c>
      <c r="AI366" s="117" cm="1">
        <f t="array" ref="AI366">_xlfn.XLOOKUP(1,('FA Write off'!A:A='FA Addition'!$A366)*('FA Write off'!D:D=AA366),'FA Write off'!H:H,0,0)</f>
        <v>0</v>
      </c>
      <c r="AJ366" s="117">
        <f>IF(AC366&gt;0,MAX(IF('FA Addition'!$N366="SLM",($AC366-'FA Addition'!$M366)*'FA Addition'!$P366*AI366/365,(AC366-'FA Addition'!$M366)*(1-(1-'FA Addition'!$P366)^(AI366/365))),0),0)</f>
        <v>0</v>
      </c>
      <c r="AL366" s="117">
        <f>MAX(IF(AG366&gt;0,IF('FA Addition'!$N366="SLM",($AE366-'FA Addition'!$M366)*'FA Addition'!$P366*AG366/365,IFERROR(VDB(AE366,AE366*0.05,'FA Addition'!$O366,0,YEARFRAC('FA Addition'!$C366,$P$1-1,3),'FA Addition'!$Q366),FAAddition[[#This Row],[Original Cost (Rs)]]-FAAddition[[#This Row],[Salvage Value]])),0),0)</f>
        <v>4541</v>
      </c>
      <c r="AM366" s="119"/>
      <c r="AN366" s="117">
        <f>MAX(IF(AH366&gt;0,IF('FA Addition'!$N366="SLM",($AF366-'FA Addition'!$M366)*'FA Addition'!$P366*AH366/365,IFERROR(VDB(AF366,AF366*0.05,'FA Addition'!$O366,0,YEARFRAC('FA Addition'!$C366,$L$1,3),'FA Addition'!$Q366),FAAddition[[#This Row],[Original Cost (Rs)]]-FAAddition[[#This Row],[Salvage Value]])),0),0)</f>
        <v>4541</v>
      </c>
      <c r="AO366" s="117">
        <f t="shared" si="28"/>
        <v>0</v>
      </c>
      <c r="AQ366" s="117">
        <f t="shared" si="26"/>
        <v>239</v>
      </c>
      <c r="AR366" s="120">
        <f t="shared" si="27"/>
        <v>239</v>
      </c>
      <c r="AS366" s="121"/>
    </row>
    <row r="367" spans="1:45" ht="13.5" x14ac:dyDescent="0.4">
      <c r="A367" s="12">
        <f t="shared" si="29"/>
        <v>364</v>
      </c>
      <c r="B367" s="64" t="s">
        <v>902</v>
      </c>
      <c r="C367" s="54">
        <v>43286</v>
      </c>
      <c r="D367" s="54">
        <v>43286</v>
      </c>
      <c r="E367" s="46" t="s">
        <v>749</v>
      </c>
      <c r="F367" s="51" t="s">
        <v>936</v>
      </c>
      <c r="G367" s="51" t="s">
        <v>937</v>
      </c>
      <c r="H367" s="51" t="s">
        <v>171</v>
      </c>
      <c r="I367" s="55">
        <v>207</v>
      </c>
      <c r="J367" s="56">
        <v>1</v>
      </c>
      <c r="K367" s="51" t="s">
        <v>938</v>
      </c>
      <c r="L367" s="58">
        <v>7812.5</v>
      </c>
      <c r="M367" s="50">
        <f>ROUND('FA Addition'!$L367*5%,0.1)</f>
        <v>391</v>
      </c>
      <c r="N367" s="113" t="str">
        <f>_xlfn.XLOOKUP(_xlfn.CONCAT(E367,B367),'Year Wise Master Dep Approach'!F:F,'Year Wise Master Dep Approach'!D:D)</f>
        <v>WDV</v>
      </c>
      <c r="O367" s="113">
        <f>_xlfn.XLOOKUP(_xlfn.CONCAT(E367,B367),'Year Wise Master Dep Approach'!F:F,'Year Wise Master Dep Approach'!E:E)</f>
        <v>5</v>
      </c>
      <c r="P367" s="114">
        <f>IFERROR(IF('FA Addition'!$N367="WDV",1-('FA Addition'!$M367/'FA Addition'!$L367)^(1/'FA Addition'!$O367),1/'FA Addition'!$O367),0)</f>
        <v>0.45061430700880889</v>
      </c>
      <c r="Q367" s="122">
        <f>'FA Addition'!$P367*'FA Addition'!$O367</f>
        <v>2.2530715350440444</v>
      </c>
      <c r="R367" s="122"/>
      <c r="S367" s="116">
        <f>IF(AND(DATE(20&amp;LEFT(FAAddition[[#This Row],[FY]],2),4,1)&lt;$L$1+1,DATE(20&amp;LEFT(FAAddition[[#This Row],[FY]],2),4,1)&gt;$P$1-1),'FA Addition'!$J367,0)</f>
        <v>0</v>
      </c>
      <c r="U367" s="117">
        <f>S367*'FA Addition'!$L367/'FA Addition'!$J367</f>
        <v>0</v>
      </c>
      <c r="W367" s="116">
        <f>SUMIFS('FA Write off'!D:D,'FA Write off'!A:A,'FA Addition'!$A367,'FA Write off'!C:C,"&lt;"&amp;'FA Addition'!$P$1)</f>
        <v>0</v>
      </c>
      <c r="Y367" s="191">
        <f>IFERROR(W367/'FA Addition'!$J367*'FA Addition'!$L367,0)</f>
        <v>0</v>
      </c>
      <c r="AA367" s="116">
        <f>SUMIFS('FA Write off'!D:D,'FA Write off'!A:A,'FA Addition'!$A367,'FA Write off'!C:C,"&lt;"&amp;'FA Addition'!$L$1+1,'FA Write off'!C:C,"&gt;"&amp;'FA Addition'!$L$1-365)</f>
        <v>0</v>
      </c>
      <c r="AC367" s="118">
        <f>IFERROR(AA367/'FA Addition'!$J367*'FA Addition'!$L367,0)</f>
        <v>0</v>
      </c>
      <c r="AE367" s="117">
        <f>IF(AND('FA Addition'!$D367&lt;$P$1+1,U367=0),'FA Addition'!$L367,0)-Y367</f>
        <v>7812.5</v>
      </c>
      <c r="AF367" s="117">
        <f t="shared" si="25"/>
        <v>7812.5</v>
      </c>
      <c r="AG367" s="117">
        <f>MIN(MAX(+$P$1-'FA Addition'!$D367,0),365*'FA Addition'!$O367)</f>
        <v>1731</v>
      </c>
      <c r="AH367" s="117">
        <f>MIN(MAX($L$1-'FA Addition'!$D367+1,0),365*'FA Addition'!$O367)</f>
        <v>1825</v>
      </c>
      <c r="AI367" s="117" cm="1">
        <f t="array" ref="AI367">_xlfn.XLOOKUP(1,('FA Write off'!A:A='FA Addition'!$A367)*('FA Write off'!D:D=AA367),'FA Write off'!H:H,0,0)</f>
        <v>0</v>
      </c>
      <c r="AJ367" s="117">
        <f>IF(AC367&gt;0,MAX(IF('FA Addition'!$N367="SLM",($AC367-'FA Addition'!$M367)*'FA Addition'!$P367*AI367/365,(AC367-'FA Addition'!$M367)*(1-(1-'FA Addition'!$P367)^(AI367/365))),0),0)</f>
        <v>0</v>
      </c>
      <c r="AL367" s="117">
        <f>MAX(IF(AG367&gt;0,IF('FA Addition'!$N367="SLM",($AE367-'FA Addition'!$M367)*'FA Addition'!$P367*AG367/365,IFERROR(VDB(AE367,AE367*0.05,'FA Addition'!$O367,0,YEARFRAC('FA Addition'!$C367,$P$1-1,3),'FA Addition'!$Q367),FAAddition[[#This Row],[Original Cost (Rs)]]-FAAddition[[#This Row],[Salvage Value]])),0),0)</f>
        <v>7338.306490897794</v>
      </c>
      <c r="AM367" s="119"/>
      <c r="AN367" s="117">
        <f>MAX(IF(AH367&gt;0,IF('FA Addition'!$N367="SLM",($AF367-'FA Addition'!$M367)*'FA Addition'!$P367*AH367/365,IFERROR(VDB(AF367,AF367*0.05,'FA Addition'!$O367,0,YEARFRAC('FA Addition'!$C367,$L$1,3),'FA Addition'!$Q367),FAAddition[[#This Row],[Original Cost (Rs)]]-FAAddition[[#This Row],[Salvage Value]])),0),0)</f>
        <v>7421.5</v>
      </c>
      <c r="AO367" s="117">
        <f t="shared" si="28"/>
        <v>83.193509102206008</v>
      </c>
      <c r="AQ367" s="117">
        <f t="shared" si="26"/>
        <v>474.19350910220601</v>
      </c>
      <c r="AR367" s="120">
        <f t="shared" si="27"/>
        <v>391</v>
      </c>
      <c r="AS367" s="121"/>
    </row>
    <row r="368" spans="1:45" ht="13.5" x14ac:dyDescent="0.4">
      <c r="A368" s="12">
        <f t="shared" si="29"/>
        <v>365</v>
      </c>
      <c r="B368" s="64" t="s">
        <v>902</v>
      </c>
      <c r="C368" s="54">
        <v>43286</v>
      </c>
      <c r="D368" s="54">
        <v>43286</v>
      </c>
      <c r="E368" s="46" t="s">
        <v>749</v>
      </c>
      <c r="F368" s="51" t="s">
        <v>936</v>
      </c>
      <c r="G368" s="51" t="s">
        <v>937</v>
      </c>
      <c r="H368" s="51" t="s">
        <v>939</v>
      </c>
      <c r="I368" s="55">
        <v>206</v>
      </c>
      <c r="J368" s="56">
        <v>1</v>
      </c>
      <c r="K368" s="51" t="s">
        <v>940</v>
      </c>
      <c r="L368" s="58">
        <v>3813.56</v>
      </c>
      <c r="M368" s="50">
        <f>ROUND('FA Addition'!$L368*5%,0.1)</f>
        <v>191</v>
      </c>
      <c r="N368" s="113" t="str">
        <f>_xlfn.XLOOKUP(_xlfn.CONCAT(E368,B368),'Year Wise Master Dep Approach'!F:F,'Year Wise Master Dep Approach'!D:D)</f>
        <v>WDV</v>
      </c>
      <c r="O368" s="113">
        <f>_xlfn.XLOOKUP(_xlfn.CONCAT(E368,B368),'Year Wise Master Dep Approach'!F:F,'Year Wise Master Dep Approach'!E:E)</f>
        <v>5</v>
      </c>
      <c r="P368" s="114">
        <f>IFERROR(IF('FA Addition'!$N368="WDV",1-('FA Addition'!$M368/'FA Addition'!$L368)^(1/'FA Addition'!$O368),1/'FA Addition'!$O368),0)</f>
        <v>0.45053433842607693</v>
      </c>
      <c r="Q368" s="122">
        <f>'FA Addition'!$P368*'FA Addition'!$O368</f>
        <v>2.2526716921303844</v>
      </c>
      <c r="R368" s="122"/>
      <c r="S368" s="116">
        <f>IF(AND(DATE(20&amp;LEFT(FAAddition[[#This Row],[FY]],2),4,1)&lt;$L$1+1,DATE(20&amp;LEFT(FAAddition[[#This Row],[FY]],2),4,1)&gt;$P$1-1),'FA Addition'!$J368,0)</f>
        <v>0</v>
      </c>
      <c r="U368" s="117">
        <f>S368*'FA Addition'!$L368/'FA Addition'!$J368</f>
        <v>0</v>
      </c>
      <c r="W368" s="116">
        <f>SUMIFS('FA Write off'!D:D,'FA Write off'!A:A,'FA Addition'!$A368,'FA Write off'!C:C,"&lt;"&amp;'FA Addition'!$P$1)</f>
        <v>0</v>
      </c>
      <c r="Y368" s="191">
        <f>IFERROR(W368/'FA Addition'!$J368*'FA Addition'!$L368,0)</f>
        <v>0</v>
      </c>
      <c r="AA368" s="116">
        <f>SUMIFS('FA Write off'!D:D,'FA Write off'!A:A,'FA Addition'!$A368,'FA Write off'!C:C,"&lt;"&amp;'FA Addition'!$L$1+1,'FA Write off'!C:C,"&gt;"&amp;'FA Addition'!$L$1-365)</f>
        <v>0</v>
      </c>
      <c r="AC368" s="118">
        <f>IFERROR(AA368/'FA Addition'!$J368*'FA Addition'!$L368,0)</f>
        <v>0</v>
      </c>
      <c r="AE368" s="117">
        <f>IF(AND('FA Addition'!$D368&lt;$P$1+1,U368=0),'FA Addition'!$L368,0)-Y368</f>
        <v>3813.56</v>
      </c>
      <c r="AF368" s="117">
        <f t="shared" si="25"/>
        <v>3813.56</v>
      </c>
      <c r="AG368" s="117">
        <f>MIN(MAX(+$P$1-'FA Addition'!$D368,0),365*'FA Addition'!$O368)</f>
        <v>1731</v>
      </c>
      <c r="AH368" s="117">
        <f>MIN(MAX($L$1-'FA Addition'!$D368+1,0),365*'FA Addition'!$O368)</f>
        <v>1825</v>
      </c>
      <c r="AI368" s="117" cm="1">
        <f t="array" ref="AI368">_xlfn.XLOOKUP(1,('FA Write off'!A:A='FA Addition'!$A368)*('FA Write off'!D:D=AA368),'FA Write off'!H:H,0,0)</f>
        <v>0</v>
      </c>
      <c r="AJ368" s="117">
        <f>IF(AC368&gt;0,MAX(IF('FA Addition'!$N368="SLM",($AC368-'FA Addition'!$M368)*'FA Addition'!$P368*AI368/365,(AC368-'FA Addition'!$M368)*(1-(1-'FA Addition'!$P368)^(AI368/365))),0),0)</f>
        <v>0</v>
      </c>
      <c r="AL368" s="117">
        <f>MAX(IF(AG368&gt;0,IF('FA Addition'!$N368="SLM",($AE368-'FA Addition'!$M368)*'FA Addition'!$P368*AG368/365,IFERROR(VDB(AE368,AE368*0.05,'FA Addition'!$O368,0,YEARFRAC('FA Addition'!$C368,$P$1-1,3),'FA Addition'!$Q368),FAAddition[[#This Row],[Original Cost (Rs)]]-FAAddition[[#This Row],[Salvage Value]])),0),0)</f>
        <v>3582.0365705931395</v>
      </c>
      <c r="AM368" s="119"/>
      <c r="AN368" s="117">
        <f>MAX(IF(AH368&gt;0,IF('FA Addition'!$N368="SLM",($AF368-'FA Addition'!$M368)*'FA Addition'!$P368*AH368/365,IFERROR(VDB(AF368,AF368*0.05,'FA Addition'!$O368,0,YEARFRAC('FA Addition'!$C368,$L$1,3),'FA Addition'!$Q368),FAAddition[[#This Row],[Original Cost (Rs)]]-FAAddition[[#This Row],[Salvage Value]])),0),0)</f>
        <v>3622.56</v>
      </c>
      <c r="AO368" s="117">
        <f t="shared" si="28"/>
        <v>40.523429406860487</v>
      </c>
      <c r="AQ368" s="117">
        <f t="shared" si="26"/>
        <v>231.52342940686049</v>
      </c>
      <c r="AR368" s="120">
        <f t="shared" si="27"/>
        <v>191</v>
      </c>
      <c r="AS368" s="121"/>
    </row>
    <row r="369" spans="1:45" ht="13.5" x14ac:dyDescent="0.4">
      <c r="A369" s="12">
        <f t="shared" si="29"/>
        <v>366</v>
      </c>
      <c r="B369" s="64" t="s">
        <v>902</v>
      </c>
      <c r="C369" s="54">
        <v>43294</v>
      </c>
      <c r="D369" s="54">
        <v>43294</v>
      </c>
      <c r="E369" s="46" t="s">
        <v>32</v>
      </c>
      <c r="F369" s="51" t="s">
        <v>32</v>
      </c>
      <c r="G369" s="51" t="s">
        <v>433</v>
      </c>
      <c r="H369" s="51" t="s">
        <v>32</v>
      </c>
      <c r="I369" s="55" t="s">
        <v>941</v>
      </c>
      <c r="J369" s="56">
        <v>106</v>
      </c>
      <c r="K369" s="51" t="s">
        <v>942</v>
      </c>
      <c r="L369" s="58">
        <v>108800</v>
      </c>
      <c r="M369" s="50">
        <f>ROUND('FA Addition'!$L369*5%,0.1)</f>
        <v>5440</v>
      </c>
      <c r="N369" s="113" t="str">
        <f>_xlfn.XLOOKUP(_xlfn.CONCAT(E369,B369),'Year Wise Master Dep Approach'!F:F,'Year Wise Master Dep Approach'!D:D)</f>
        <v>WDV</v>
      </c>
      <c r="O369" s="113">
        <f>_xlfn.XLOOKUP(_xlfn.CONCAT(E369,B369),'Year Wise Master Dep Approach'!F:F,'Year Wise Master Dep Approach'!E:E)</f>
        <v>3</v>
      </c>
      <c r="P369" s="114">
        <f>IFERROR(IF('FA Addition'!$N369="WDV",1-('FA Addition'!$M369/'FA Addition'!$L369)^(1/'FA Addition'!$O369),1/'FA Addition'!$O369),0)</f>
        <v>0.63159685013596123</v>
      </c>
      <c r="Q369" s="122">
        <f>'FA Addition'!$P369*'FA Addition'!$O369</f>
        <v>1.8947905504078837</v>
      </c>
      <c r="R369" s="122"/>
      <c r="S369" s="116">
        <f>IF(AND(DATE(20&amp;LEFT(FAAddition[[#This Row],[FY]],2),4,1)&lt;$L$1+1,DATE(20&amp;LEFT(FAAddition[[#This Row],[FY]],2),4,1)&gt;$P$1-1),'FA Addition'!$J369,0)</f>
        <v>0</v>
      </c>
      <c r="U369" s="117">
        <f>S369*'FA Addition'!$L369/'FA Addition'!$J369</f>
        <v>0</v>
      </c>
      <c r="W369" s="116">
        <f>SUMIFS('FA Write off'!D:D,'FA Write off'!A:A,'FA Addition'!$A369,'FA Write off'!C:C,"&lt;"&amp;'FA Addition'!$P$1)</f>
        <v>4</v>
      </c>
      <c r="Y369" s="191">
        <f>IFERROR(W369/'FA Addition'!$J369*'FA Addition'!$L369,0)</f>
        <v>4105.6603773584902</v>
      </c>
      <c r="AA369" s="116">
        <f>SUMIFS('FA Write off'!D:D,'FA Write off'!A:A,'FA Addition'!$A369,'FA Write off'!C:C,"&lt;"&amp;'FA Addition'!$L$1+1,'FA Write off'!C:C,"&gt;"&amp;'FA Addition'!$L$1-365)</f>
        <v>68</v>
      </c>
      <c r="AC369" s="191">
        <f>IFERROR(AA369/'FA Addition'!$J369*'FA Addition'!$L369,0)</f>
        <v>69796.226415094337</v>
      </c>
      <c r="AE369" s="117">
        <f>IF(AND('FA Addition'!$D369&lt;$P$1+1,U369=0),'FA Addition'!$L369,0)-Y369</f>
        <v>104694.33962264151</v>
      </c>
      <c r="AF369" s="117">
        <f t="shared" si="25"/>
        <v>34898.113207547169</v>
      </c>
      <c r="AG369" s="117">
        <f>MIN(MAX(+$P$1-'FA Addition'!$D369,0),365*'FA Addition'!$O369)</f>
        <v>1095</v>
      </c>
      <c r="AH369" s="117">
        <f>MIN(MAX($L$1-'FA Addition'!$D369+1,0),365*'FA Addition'!$O369)</f>
        <v>1095</v>
      </c>
      <c r="AI369" s="117" cm="1">
        <f t="array" ref="AI369">_xlfn.XLOOKUP(1,('FA Write off'!A:A='FA Addition'!$A369)*('FA Write off'!D:D=AA369),'FA Write off'!H:H,0,0)</f>
        <v>1095</v>
      </c>
      <c r="AJ369" s="117">
        <f>IF(AC369&gt;0,MAX(IF('FA Addition'!$N369="SLM",($AC369-'FA Addition'!$M369)*'FA Addition'!$P369*AI369/365,(AC369-'FA Addition'!$M369)*(1-(1-'FA Addition'!$P369)^(AI369/365))),0),0)</f>
        <v>61138.415094339616</v>
      </c>
      <c r="AL369" s="117">
        <f>MAX(IF(AG369&gt;0,IF('FA Addition'!$N369="SLM",($AE369-'FA Addition'!$M369)*'FA Addition'!$P369*AG369/365,IFERROR(VDB(AE369,AE369*0.05,'FA Addition'!$O369,0,YEARFRAC('FA Addition'!$C369,$P$1-1,3),'FA Addition'!$Q369),FAAddition[[#This Row],[Original Cost (Rs)]]-FAAddition[[#This Row],[Salvage Value]])),0),0)</f>
        <v>103360</v>
      </c>
      <c r="AM369" s="119"/>
      <c r="AN369" s="117">
        <f>MAX(IF(AH369&gt;0,IF('FA Addition'!$N369="SLM",($AF369-'FA Addition'!$M369)*'FA Addition'!$P369*AH369/365,IFERROR(VDB(AF369,AF369*0.05,'FA Addition'!$O369,0,YEARFRAC('FA Addition'!$C369,$L$1,3),'FA Addition'!$Q369),FAAddition[[#This Row],[Original Cost (Rs)]]-FAAddition[[#This Row],[Salvage Value]])),0),0)</f>
        <v>103360</v>
      </c>
      <c r="AO369" s="117">
        <f t="shared" si="28"/>
        <v>61138.415094339616</v>
      </c>
      <c r="AQ369" s="117">
        <f t="shared" si="26"/>
        <v>1334.3396226415061</v>
      </c>
      <c r="AR369" s="120">
        <f t="shared" si="27"/>
        <v>-68461.886792452831</v>
      </c>
      <c r="AS369" s="121"/>
    </row>
    <row r="370" spans="1:45" ht="13.5" x14ac:dyDescent="0.4">
      <c r="A370" s="12">
        <f t="shared" si="29"/>
        <v>367</v>
      </c>
      <c r="B370" s="64" t="s">
        <v>902</v>
      </c>
      <c r="C370" s="54">
        <v>43304</v>
      </c>
      <c r="D370" s="54">
        <v>43304</v>
      </c>
      <c r="E370" s="46" t="s">
        <v>32</v>
      </c>
      <c r="F370" s="51" t="s">
        <v>32</v>
      </c>
      <c r="G370" s="51" t="s">
        <v>433</v>
      </c>
      <c r="H370" s="51" t="s">
        <v>32</v>
      </c>
      <c r="I370" s="55" t="s">
        <v>943</v>
      </c>
      <c r="J370" s="56">
        <v>50</v>
      </c>
      <c r="K370" s="51" t="s">
        <v>917</v>
      </c>
      <c r="L370" s="58">
        <v>41500</v>
      </c>
      <c r="M370" s="50">
        <f>ROUND('FA Addition'!$L370*5%,0.1)</f>
        <v>2075</v>
      </c>
      <c r="N370" s="113" t="str">
        <f>_xlfn.XLOOKUP(_xlfn.CONCAT(E370,B370),'Year Wise Master Dep Approach'!F:F,'Year Wise Master Dep Approach'!D:D)</f>
        <v>WDV</v>
      </c>
      <c r="O370" s="113">
        <f>_xlfn.XLOOKUP(_xlfn.CONCAT(E370,B370),'Year Wise Master Dep Approach'!F:F,'Year Wise Master Dep Approach'!E:E)</f>
        <v>3</v>
      </c>
      <c r="P370" s="114">
        <f>IFERROR(IF('FA Addition'!$N370="WDV",1-('FA Addition'!$M370/'FA Addition'!$L370)^(1/'FA Addition'!$O370),1/'FA Addition'!$O370),0)</f>
        <v>0.63159685013596123</v>
      </c>
      <c r="Q370" s="122">
        <f>'FA Addition'!$P370*'FA Addition'!$O370</f>
        <v>1.8947905504078837</v>
      </c>
      <c r="R370" s="122"/>
      <c r="S370" s="116">
        <f>IF(AND(DATE(20&amp;LEFT(FAAddition[[#This Row],[FY]],2),4,1)&lt;$L$1+1,DATE(20&amp;LEFT(FAAddition[[#This Row],[FY]],2),4,1)&gt;$P$1-1),'FA Addition'!$J370,0)</f>
        <v>0</v>
      </c>
      <c r="U370" s="117">
        <f>S370*'FA Addition'!$L370/'FA Addition'!$J370</f>
        <v>0</v>
      </c>
      <c r="W370" s="116">
        <f>SUMIFS('FA Write off'!D:D,'FA Write off'!A:A,'FA Addition'!$A370,'FA Write off'!C:C,"&lt;"&amp;'FA Addition'!$P$1)</f>
        <v>2</v>
      </c>
      <c r="Y370" s="191">
        <f>IFERROR(W370/'FA Addition'!$J370*'FA Addition'!$L370,0)</f>
        <v>1660</v>
      </c>
      <c r="AA370" s="116">
        <f>SUMIFS('FA Write off'!D:D,'FA Write off'!A:A,'FA Addition'!$A370,'FA Write off'!C:C,"&lt;"&amp;'FA Addition'!$L$1+1,'FA Write off'!C:C,"&gt;"&amp;'FA Addition'!$L$1-365)</f>
        <v>0</v>
      </c>
      <c r="AC370" s="191">
        <f>IFERROR(AA370/'FA Addition'!$J370*'FA Addition'!$L370,0)</f>
        <v>0</v>
      </c>
      <c r="AE370" s="117">
        <f>IF(AND('FA Addition'!$D370&lt;$P$1+1,U370=0),'FA Addition'!$L370,0)-Y370</f>
        <v>39840</v>
      </c>
      <c r="AF370" s="117">
        <f t="shared" si="25"/>
        <v>39840</v>
      </c>
      <c r="AG370" s="117">
        <f>MIN(MAX(+$P$1-'FA Addition'!$D370,0),365*'FA Addition'!$O370)</f>
        <v>1095</v>
      </c>
      <c r="AH370" s="117">
        <f>MIN(MAX($L$1-'FA Addition'!$D370+1,0),365*'FA Addition'!$O370)</f>
        <v>1095</v>
      </c>
      <c r="AI370" s="117" cm="1">
        <f t="array" ref="AI370">_xlfn.XLOOKUP(1,('FA Write off'!A:A='FA Addition'!$A370)*('FA Write off'!D:D=AA370),'FA Write off'!H:H,0,0)</f>
        <v>0</v>
      </c>
      <c r="AJ370" s="117">
        <f>IF(AC370&gt;0,MAX(IF('FA Addition'!$N370="SLM",($AC370-'FA Addition'!$M370)*'FA Addition'!$P370*AI370/365,(AC370-'FA Addition'!$M370)*(1-(1-'FA Addition'!$P370)^(AI370/365))),0),0)</f>
        <v>0</v>
      </c>
      <c r="AL370" s="117">
        <f>MAX(IF(AG370&gt;0,IF('FA Addition'!$N370="SLM",($AE370-'FA Addition'!$M370)*'FA Addition'!$P370*AG370/365,IFERROR(VDB(AE370,AE370*0.05,'FA Addition'!$O370,0,YEARFRAC('FA Addition'!$C370,$P$1-1,3),'FA Addition'!$Q370),FAAddition[[#This Row],[Original Cost (Rs)]]-FAAddition[[#This Row],[Salvage Value]])),0),0)</f>
        <v>39425</v>
      </c>
      <c r="AM370" s="119"/>
      <c r="AN370" s="117">
        <f>MAX(IF(AH370&gt;0,IF('FA Addition'!$N370="SLM",($AF370-'FA Addition'!$M370)*'FA Addition'!$P370*AH370/365,IFERROR(VDB(AF370,AF370*0.05,'FA Addition'!$O370,0,YEARFRAC('FA Addition'!$C370,$L$1,3),'FA Addition'!$Q370),FAAddition[[#This Row],[Original Cost (Rs)]]-FAAddition[[#This Row],[Salvage Value]])),0),0)</f>
        <v>39425</v>
      </c>
      <c r="AO370" s="117">
        <f t="shared" si="28"/>
        <v>0</v>
      </c>
      <c r="AQ370" s="117">
        <f t="shared" si="26"/>
        <v>415</v>
      </c>
      <c r="AR370" s="120">
        <f t="shared" si="27"/>
        <v>415</v>
      </c>
      <c r="AS370" s="121"/>
    </row>
    <row r="371" spans="1:45" ht="13.5" x14ac:dyDescent="0.4">
      <c r="A371" s="12">
        <f t="shared" si="29"/>
        <v>368</v>
      </c>
      <c r="B371" s="64" t="s">
        <v>902</v>
      </c>
      <c r="C371" s="54">
        <v>43320</v>
      </c>
      <c r="D371" s="54">
        <v>43320</v>
      </c>
      <c r="E371" s="46" t="s">
        <v>32</v>
      </c>
      <c r="F371" s="51" t="s">
        <v>32</v>
      </c>
      <c r="G371" s="51" t="s">
        <v>433</v>
      </c>
      <c r="H371" s="51" t="s">
        <v>32</v>
      </c>
      <c r="I371" s="55" t="s">
        <v>944</v>
      </c>
      <c r="J371" s="56">
        <v>1</v>
      </c>
      <c r="K371" s="51" t="s">
        <v>901</v>
      </c>
      <c r="L371" s="58">
        <v>2800</v>
      </c>
      <c r="M371" s="50">
        <f>ROUND('FA Addition'!$L371*5%,0.1)</f>
        <v>140</v>
      </c>
      <c r="N371" s="113" t="str">
        <f>_xlfn.XLOOKUP(_xlfn.CONCAT(E371,B371),'Year Wise Master Dep Approach'!F:F,'Year Wise Master Dep Approach'!D:D)</f>
        <v>WDV</v>
      </c>
      <c r="O371" s="113">
        <f>_xlfn.XLOOKUP(_xlfn.CONCAT(E371,B371),'Year Wise Master Dep Approach'!F:F,'Year Wise Master Dep Approach'!E:E)</f>
        <v>3</v>
      </c>
      <c r="P371" s="114">
        <f>IFERROR(IF('FA Addition'!$N371="WDV",1-('FA Addition'!$M371/'FA Addition'!$L371)^(1/'FA Addition'!$O371),1/'FA Addition'!$O371),0)</f>
        <v>0.63159685013596123</v>
      </c>
      <c r="Q371" s="122">
        <f>'FA Addition'!$P371*'FA Addition'!$O371</f>
        <v>1.8947905504078837</v>
      </c>
      <c r="R371" s="122"/>
      <c r="S371" s="116">
        <f>IF(AND(DATE(20&amp;LEFT(FAAddition[[#This Row],[FY]],2),4,1)&lt;$L$1+1,DATE(20&amp;LEFT(FAAddition[[#This Row],[FY]],2),4,1)&gt;$P$1-1),'FA Addition'!$J371,0)</f>
        <v>0</v>
      </c>
      <c r="U371" s="117">
        <f>S371*'FA Addition'!$L371/'FA Addition'!$J371</f>
        <v>0</v>
      </c>
      <c r="W371" s="116">
        <f>SUMIFS('FA Write off'!D:D,'FA Write off'!A:A,'FA Addition'!$A371,'FA Write off'!C:C,"&lt;"&amp;'FA Addition'!$P$1)</f>
        <v>0</v>
      </c>
      <c r="Y371" s="191">
        <f>IFERROR(W371/'FA Addition'!$J371*'FA Addition'!$L371,0)</f>
        <v>0</v>
      </c>
      <c r="AA371" s="116">
        <f>SUMIFS('FA Write off'!D:D,'FA Write off'!A:A,'FA Addition'!$A371,'FA Write off'!C:C,"&lt;"&amp;'FA Addition'!$L$1+1,'FA Write off'!C:C,"&gt;"&amp;'FA Addition'!$L$1-365)</f>
        <v>0</v>
      </c>
      <c r="AC371" s="118">
        <f>IFERROR(AA371/'FA Addition'!$J371*'FA Addition'!$L371,0)</f>
        <v>0</v>
      </c>
      <c r="AE371" s="117">
        <f>IF(AND('FA Addition'!$D371&lt;$P$1+1,U371=0),'FA Addition'!$L371,0)-Y371</f>
        <v>2800</v>
      </c>
      <c r="AF371" s="117">
        <f t="shared" si="25"/>
        <v>2800</v>
      </c>
      <c r="AG371" s="117">
        <f>MIN(MAX(+$P$1-'FA Addition'!$D371,0),365*'FA Addition'!$O371)</f>
        <v>1095</v>
      </c>
      <c r="AH371" s="117">
        <f>MIN(MAX($L$1-'FA Addition'!$D371+1,0),365*'FA Addition'!$O371)</f>
        <v>1095</v>
      </c>
      <c r="AI371" s="117" cm="1">
        <f t="array" ref="AI371">_xlfn.XLOOKUP(1,('FA Write off'!A:A='FA Addition'!$A371)*('FA Write off'!D:D=AA371),'FA Write off'!H:H,0,0)</f>
        <v>0</v>
      </c>
      <c r="AJ371" s="117">
        <f>IF(AC371&gt;0,MAX(IF('FA Addition'!$N371="SLM",($AC371-'FA Addition'!$M371)*'FA Addition'!$P371*AI371/365,(AC371-'FA Addition'!$M371)*(1-(1-'FA Addition'!$P371)^(AI371/365))),0),0)</f>
        <v>0</v>
      </c>
      <c r="AL371" s="117">
        <f>MAX(IF(AG371&gt;0,IF('FA Addition'!$N371="SLM",($AE371-'FA Addition'!$M371)*'FA Addition'!$P371*AG371/365,IFERROR(VDB(AE371,AE371*0.05,'FA Addition'!$O371,0,YEARFRAC('FA Addition'!$C371,$P$1-1,3),'FA Addition'!$Q371),FAAddition[[#This Row],[Original Cost (Rs)]]-FAAddition[[#This Row],[Salvage Value]])),0),0)</f>
        <v>2660</v>
      </c>
      <c r="AM371" s="119"/>
      <c r="AN371" s="117">
        <f>MAX(IF(AH371&gt;0,IF('FA Addition'!$N371="SLM",($AF371-'FA Addition'!$M371)*'FA Addition'!$P371*AH371/365,IFERROR(VDB(AF371,AF371*0.05,'FA Addition'!$O371,0,YEARFRAC('FA Addition'!$C371,$L$1,3),'FA Addition'!$Q371),FAAddition[[#This Row],[Original Cost (Rs)]]-FAAddition[[#This Row],[Salvage Value]])),0),0)</f>
        <v>2660</v>
      </c>
      <c r="AO371" s="117">
        <f t="shared" si="28"/>
        <v>0</v>
      </c>
      <c r="AQ371" s="117">
        <f t="shared" si="26"/>
        <v>140</v>
      </c>
      <c r="AR371" s="120">
        <f t="shared" si="27"/>
        <v>140</v>
      </c>
      <c r="AS371" s="121"/>
    </row>
    <row r="372" spans="1:45" ht="13.5" x14ac:dyDescent="0.4">
      <c r="A372" s="12">
        <f t="shared" si="29"/>
        <v>369</v>
      </c>
      <c r="B372" s="64" t="s">
        <v>902</v>
      </c>
      <c r="C372" s="54">
        <v>43323</v>
      </c>
      <c r="D372" s="54">
        <v>43323</v>
      </c>
      <c r="E372" s="46" t="s">
        <v>32</v>
      </c>
      <c r="F372" s="51" t="s">
        <v>32</v>
      </c>
      <c r="G372" s="51" t="s">
        <v>433</v>
      </c>
      <c r="H372" s="51" t="s">
        <v>32</v>
      </c>
      <c r="I372" s="55" t="s">
        <v>945</v>
      </c>
      <c r="J372" s="56">
        <v>283</v>
      </c>
      <c r="K372" s="51" t="s">
        <v>946</v>
      </c>
      <c r="L372" s="58">
        <v>509400</v>
      </c>
      <c r="M372" s="50">
        <f>ROUND('FA Addition'!$L372*5%,0.1)</f>
        <v>25470</v>
      </c>
      <c r="N372" s="113" t="str">
        <f>_xlfn.XLOOKUP(_xlfn.CONCAT(E372,B372),'Year Wise Master Dep Approach'!F:F,'Year Wise Master Dep Approach'!D:D)</f>
        <v>WDV</v>
      </c>
      <c r="O372" s="113">
        <f>_xlfn.XLOOKUP(_xlfn.CONCAT(E372,B372),'Year Wise Master Dep Approach'!F:F,'Year Wise Master Dep Approach'!E:E)</f>
        <v>3</v>
      </c>
      <c r="P372" s="114">
        <f>IFERROR(IF('FA Addition'!$N372="WDV",1-('FA Addition'!$M372/'FA Addition'!$L372)^(1/'FA Addition'!$O372),1/'FA Addition'!$O372),0)</f>
        <v>0.63159685013596123</v>
      </c>
      <c r="Q372" s="122">
        <f>'FA Addition'!$P372*'FA Addition'!$O372</f>
        <v>1.8947905504078837</v>
      </c>
      <c r="R372" s="122"/>
      <c r="S372" s="116">
        <f>IF(AND(DATE(20&amp;LEFT(FAAddition[[#This Row],[FY]],2),4,1)&lt;$L$1+1,DATE(20&amp;LEFT(FAAddition[[#This Row],[FY]],2),4,1)&gt;$P$1-1),'FA Addition'!$J372,0)</f>
        <v>0</v>
      </c>
      <c r="U372" s="117">
        <f>S372*'FA Addition'!$L372/'FA Addition'!$J372</f>
        <v>0</v>
      </c>
      <c r="W372" s="116">
        <f>SUMIFS('FA Write off'!D:D,'FA Write off'!A:A,'FA Addition'!$A372,'FA Write off'!C:C,"&lt;"&amp;'FA Addition'!$P$1)</f>
        <v>18</v>
      </c>
      <c r="Y372" s="191">
        <f>IFERROR(W372/'FA Addition'!$J372*'FA Addition'!$L372,0)</f>
        <v>32399.999999999996</v>
      </c>
      <c r="AA372" s="116">
        <f>SUMIFS('FA Write off'!D:D,'FA Write off'!A:A,'FA Addition'!$A372,'FA Write off'!C:C,"&lt;"&amp;'FA Addition'!$L$1+1,'FA Write off'!C:C,"&gt;"&amp;'FA Addition'!$L$1-365)</f>
        <v>0</v>
      </c>
      <c r="AC372" s="191">
        <f>IFERROR(AA372/'FA Addition'!$J372*'FA Addition'!$L372,0)</f>
        <v>0</v>
      </c>
      <c r="AE372" s="117">
        <f>IF(AND('FA Addition'!$D372&lt;$P$1+1,U372=0),'FA Addition'!$L372,0)-Y372</f>
        <v>477000</v>
      </c>
      <c r="AF372" s="117">
        <f t="shared" si="25"/>
        <v>477000</v>
      </c>
      <c r="AG372" s="117">
        <f>MIN(MAX(+$P$1-'FA Addition'!$D372,0),365*'FA Addition'!$O372)</f>
        <v>1095</v>
      </c>
      <c r="AH372" s="117">
        <f>MIN(MAX($L$1-'FA Addition'!$D372+1,0),365*'FA Addition'!$O372)</f>
        <v>1095</v>
      </c>
      <c r="AI372" s="117" cm="1">
        <f t="array" ref="AI372">_xlfn.XLOOKUP(1,('FA Write off'!A:A='FA Addition'!$A372)*('FA Write off'!D:D=AA372),'FA Write off'!H:H,0,0)</f>
        <v>0</v>
      </c>
      <c r="AJ372" s="117">
        <f>IF(AC372&gt;0,MAX(IF('FA Addition'!$N372="SLM",($AC372-'FA Addition'!$M372)*'FA Addition'!$P372*AI372/365,(AC372-'FA Addition'!$M372)*(1-(1-'FA Addition'!$P372)^(AI372/365))),0),0)</f>
        <v>0</v>
      </c>
      <c r="AL372" s="117">
        <f>MAX(IF(AG372&gt;0,IF('FA Addition'!$N372="SLM",($AE372-'FA Addition'!$M372)*'FA Addition'!$P372*AG372/365,IFERROR(VDB(AE372,AE372*0.05,'FA Addition'!$O372,0,YEARFRAC('FA Addition'!$C372,$P$1-1,3),'FA Addition'!$Q372),FAAddition[[#This Row],[Original Cost (Rs)]]-FAAddition[[#This Row],[Salvage Value]])),0),0)</f>
        <v>483930</v>
      </c>
      <c r="AM372" s="119"/>
      <c r="AN372" s="117">
        <f>MAX(IF(AH372&gt;0,IF('FA Addition'!$N372="SLM",($AF372-'FA Addition'!$M372)*'FA Addition'!$P372*AH372/365,IFERROR(VDB(AF372,AF372*0.05,'FA Addition'!$O372,0,YEARFRAC('FA Addition'!$C372,$L$1,3),'FA Addition'!$Q372),FAAddition[[#This Row],[Original Cost (Rs)]]-FAAddition[[#This Row],[Salvage Value]])),0),0)</f>
        <v>483930</v>
      </c>
      <c r="AO372" s="117">
        <f t="shared" si="28"/>
        <v>0</v>
      </c>
      <c r="AQ372" s="117">
        <f t="shared" si="26"/>
        <v>-6930</v>
      </c>
      <c r="AR372" s="120">
        <f t="shared" si="27"/>
        <v>-6930</v>
      </c>
      <c r="AS372" s="121"/>
    </row>
    <row r="373" spans="1:45" ht="13.5" x14ac:dyDescent="0.4">
      <c r="A373" s="12">
        <f t="shared" si="29"/>
        <v>370</v>
      </c>
      <c r="B373" s="64" t="s">
        <v>902</v>
      </c>
      <c r="C373" s="54">
        <v>43328</v>
      </c>
      <c r="D373" s="54">
        <v>43328</v>
      </c>
      <c r="E373" s="46" t="s">
        <v>32</v>
      </c>
      <c r="F373" s="51" t="s">
        <v>32</v>
      </c>
      <c r="G373" s="51" t="s">
        <v>433</v>
      </c>
      <c r="H373" s="51" t="s">
        <v>32</v>
      </c>
      <c r="I373" s="55" t="s">
        <v>947</v>
      </c>
      <c r="J373" s="56">
        <v>1</v>
      </c>
      <c r="K373" s="51" t="s">
        <v>948</v>
      </c>
      <c r="L373" s="58">
        <v>4500</v>
      </c>
      <c r="M373" s="50">
        <f>ROUND('FA Addition'!$L373*5%,0.1)</f>
        <v>225</v>
      </c>
      <c r="N373" s="113" t="str">
        <f>_xlfn.XLOOKUP(_xlfn.CONCAT(E373,B373),'Year Wise Master Dep Approach'!F:F,'Year Wise Master Dep Approach'!D:D)</f>
        <v>WDV</v>
      </c>
      <c r="O373" s="113">
        <f>_xlfn.XLOOKUP(_xlfn.CONCAT(E373,B373),'Year Wise Master Dep Approach'!F:F,'Year Wise Master Dep Approach'!E:E)</f>
        <v>3</v>
      </c>
      <c r="P373" s="114">
        <f>IFERROR(IF('FA Addition'!$N373="WDV",1-('FA Addition'!$M373/'FA Addition'!$L373)^(1/'FA Addition'!$O373),1/'FA Addition'!$O373),0)</f>
        <v>0.63159685013596123</v>
      </c>
      <c r="Q373" s="122">
        <f>'FA Addition'!$P373*'FA Addition'!$O373</f>
        <v>1.8947905504078837</v>
      </c>
      <c r="R373" s="122"/>
      <c r="S373" s="116">
        <f>IF(AND(DATE(20&amp;LEFT(FAAddition[[#This Row],[FY]],2),4,1)&lt;$L$1+1,DATE(20&amp;LEFT(FAAddition[[#This Row],[FY]],2),4,1)&gt;$P$1-1),'FA Addition'!$J373,0)</f>
        <v>0</v>
      </c>
      <c r="U373" s="117">
        <f>S373*'FA Addition'!$L373/'FA Addition'!$J373</f>
        <v>0</v>
      </c>
      <c r="W373" s="116">
        <f>SUMIFS('FA Write off'!D:D,'FA Write off'!A:A,'FA Addition'!$A373,'FA Write off'!C:C,"&lt;"&amp;'FA Addition'!$P$1)</f>
        <v>0</v>
      </c>
      <c r="Y373" s="191">
        <f>IFERROR(W373/'FA Addition'!$J373*'FA Addition'!$L373,0)</f>
        <v>0</v>
      </c>
      <c r="AA373" s="116">
        <f>SUMIFS('FA Write off'!D:D,'FA Write off'!A:A,'FA Addition'!$A373,'FA Write off'!C:C,"&lt;"&amp;'FA Addition'!$L$1+1,'FA Write off'!C:C,"&gt;"&amp;'FA Addition'!$L$1-365)</f>
        <v>0</v>
      </c>
      <c r="AC373" s="118">
        <f>IFERROR(AA373/'FA Addition'!$J373*'FA Addition'!$L373,0)</f>
        <v>0</v>
      </c>
      <c r="AE373" s="117">
        <f>IF(AND('FA Addition'!$D373&lt;$P$1+1,U373=0),'FA Addition'!$L373,0)-Y373</f>
        <v>4500</v>
      </c>
      <c r="AF373" s="117">
        <f t="shared" si="25"/>
        <v>4500</v>
      </c>
      <c r="AG373" s="117">
        <f>MIN(MAX(+$P$1-'FA Addition'!$D373,0),365*'FA Addition'!$O373)</f>
        <v>1095</v>
      </c>
      <c r="AH373" s="117">
        <f>MIN(MAX($L$1-'FA Addition'!$D373+1,0),365*'FA Addition'!$O373)</f>
        <v>1095</v>
      </c>
      <c r="AI373" s="117" cm="1">
        <f t="array" ref="AI373">_xlfn.XLOOKUP(1,('FA Write off'!A:A='FA Addition'!$A373)*('FA Write off'!D:D=AA373),'FA Write off'!H:H,0,0)</f>
        <v>0</v>
      </c>
      <c r="AJ373" s="117">
        <f>IF(AC373&gt;0,MAX(IF('FA Addition'!$N373="SLM",($AC373-'FA Addition'!$M373)*'FA Addition'!$P373*AI373/365,(AC373-'FA Addition'!$M373)*(1-(1-'FA Addition'!$P373)^(AI373/365))),0),0)</f>
        <v>0</v>
      </c>
      <c r="AL373" s="117">
        <f>MAX(IF(AG373&gt;0,IF('FA Addition'!$N373="SLM",($AE373-'FA Addition'!$M373)*'FA Addition'!$P373*AG373/365,IFERROR(VDB(AE373,AE373*0.05,'FA Addition'!$O373,0,YEARFRAC('FA Addition'!$C373,$P$1-1,3),'FA Addition'!$Q373),FAAddition[[#This Row],[Original Cost (Rs)]]-FAAddition[[#This Row],[Salvage Value]])),0),0)</f>
        <v>4275</v>
      </c>
      <c r="AM373" s="119"/>
      <c r="AN373" s="117">
        <f>MAX(IF(AH373&gt;0,IF('FA Addition'!$N373="SLM",($AF373-'FA Addition'!$M373)*'FA Addition'!$P373*AH373/365,IFERROR(VDB(AF373,AF373*0.05,'FA Addition'!$O373,0,YEARFRAC('FA Addition'!$C373,$L$1,3),'FA Addition'!$Q373),FAAddition[[#This Row],[Original Cost (Rs)]]-FAAddition[[#This Row],[Salvage Value]])),0),0)</f>
        <v>4275</v>
      </c>
      <c r="AO373" s="117">
        <f t="shared" si="28"/>
        <v>0</v>
      </c>
      <c r="AQ373" s="117">
        <f t="shared" si="26"/>
        <v>225</v>
      </c>
      <c r="AR373" s="120">
        <f t="shared" si="27"/>
        <v>225</v>
      </c>
      <c r="AS373" s="121"/>
    </row>
    <row r="374" spans="1:45" ht="13.5" x14ac:dyDescent="0.4">
      <c r="A374" s="12">
        <f t="shared" si="29"/>
        <v>371</v>
      </c>
      <c r="B374" s="64" t="s">
        <v>902</v>
      </c>
      <c r="C374" s="54">
        <v>43351</v>
      </c>
      <c r="D374" s="54">
        <v>43351</v>
      </c>
      <c r="E374" s="46" t="s">
        <v>32</v>
      </c>
      <c r="F374" s="51" t="s">
        <v>32</v>
      </c>
      <c r="G374" s="51" t="s">
        <v>949</v>
      </c>
      <c r="H374" s="51" t="s">
        <v>32</v>
      </c>
      <c r="I374" s="55" t="s">
        <v>950</v>
      </c>
      <c r="J374" s="56">
        <v>2</v>
      </c>
      <c r="K374" s="51" t="s">
        <v>951</v>
      </c>
      <c r="L374" s="58">
        <v>9532.2199999999993</v>
      </c>
      <c r="M374" s="50">
        <f>ROUND('FA Addition'!$L374*5%,0.1)</f>
        <v>477</v>
      </c>
      <c r="N374" s="113" t="str">
        <f>_xlfn.XLOOKUP(_xlfn.CONCAT(E374,B374),'Year Wise Master Dep Approach'!F:F,'Year Wise Master Dep Approach'!D:D)</f>
        <v>WDV</v>
      </c>
      <c r="O374" s="113">
        <f>_xlfn.XLOOKUP(_xlfn.CONCAT(E374,B374),'Year Wise Master Dep Approach'!F:F,'Year Wise Master Dep Approach'!E:E)</f>
        <v>3</v>
      </c>
      <c r="P374" s="114">
        <f>IFERROR(IF('FA Addition'!$N374="WDV",1-('FA Addition'!$M374/'FA Addition'!$L374)^(1/'FA Addition'!$O374),1/'FA Addition'!$O374),0)</f>
        <v>0.63149664972486164</v>
      </c>
      <c r="Q374" s="122">
        <f>'FA Addition'!$P374*'FA Addition'!$O374</f>
        <v>1.8944899491745848</v>
      </c>
      <c r="R374" s="122"/>
      <c r="S374" s="116">
        <f>IF(AND(DATE(20&amp;LEFT(FAAddition[[#This Row],[FY]],2),4,1)&lt;$L$1+1,DATE(20&amp;LEFT(FAAddition[[#This Row],[FY]],2),4,1)&gt;$P$1-1),'FA Addition'!$J374,0)</f>
        <v>0</v>
      </c>
      <c r="U374" s="117">
        <f>S374*'FA Addition'!$L374/'FA Addition'!$J374</f>
        <v>0</v>
      </c>
      <c r="W374" s="116">
        <f>SUMIFS('FA Write off'!D:D,'FA Write off'!A:A,'FA Addition'!$A374,'FA Write off'!C:C,"&lt;"&amp;'FA Addition'!$P$1)</f>
        <v>0</v>
      </c>
      <c r="Y374" s="191">
        <f>IFERROR(W374/'FA Addition'!$J374*'FA Addition'!$L374,0)</f>
        <v>0</v>
      </c>
      <c r="AA374" s="116">
        <f>SUMIFS('FA Write off'!D:D,'FA Write off'!A:A,'FA Addition'!$A374,'FA Write off'!C:C,"&lt;"&amp;'FA Addition'!$L$1+1,'FA Write off'!C:C,"&gt;"&amp;'FA Addition'!$L$1-365)</f>
        <v>0</v>
      </c>
      <c r="AC374" s="118">
        <f>IFERROR(AA374/'FA Addition'!$J374*'FA Addition'!$L374,0)</f>
        <v>0</v>
      </c>
      <c r="AE374" s="117">
        <f>IF(AND('FA Addition'!$D374&lt;$P$1+1,U374=0),'FA Addition'!$L374,0)-Y374</f>
        <v>9532.2199999999993</v>
      </c>
      <c r="AF374" s="117">
        <f t="shared" si="25"/>
        <v>9532.2199999999993</v>
      </c>
      <c r="AG374" s="117">
        <f>MIN(MAX(+$P$1-'FA Addition'!$D374,0),365*'FA Addition'!$O374)</f>
        <v>1095</v>
      </c>
      <c r="AH374" s="117">
        <f>MIN(MAX($L$1-'FA Addition'!$D374+1,0),365*'FA Addition'!$O374)</f>
        <v>1095</v>
      </c>
      <c r="AI374" s="117" cm="1">
        <f t="array" ref="AI374">_xlfn.XLOOKUP(1,('FA Write off'!A:A='FA Addition'!$A374)*('FA Write off'!D:D=AA374),'FA Write off'!H:H,0,0)</f>
        <v>0</v>
      </c>
      <c r="AJ374" s="117">
        <f>IF(AC374&gt;0,MAX(IF('FA Addition'!$N374="SLM",($AC374-'FA Addition'!$M374)*'FA Addition'!$P374*AI374/365,(AC374-'FA Addition'!$M374)*(1-(1-'FA Addition'!$P374)^(AI374/365))),0),0)</f>
        <v>0</v>
      </c>
      <c r="AL374" s="117">
        <f>MAX(IF(AG374&gt;0,IF('FA Addition'!$N374="SLM",($AE374-'FA Addition'!$M374)*'FA Addition'!$P374*AG374/365,IFERROR(VDB(AE374,AE374*0.05,'FA Addition'!$O374,0,YEARFRAC('FA Addition'!$C374,$P$1-1,3),'FA Addition'!$Q374),FAAddition[[#This Row],[Original Cost (Rs)]]-FAAddition[[#This Row],[Salvage Value]])),0),0)</f>
        <v>9055.2199999999993</v>
      </c>
      <c r="AM374" s="119"/>
      <c r="AN374" s="117">
        <f>MAX(IF(AH374&gt;0,IF('FA Addition'!$N374="SLM",($AF374-'FA Addition'!$M374)*'FA Addition'!$P374*AH374/365,IFERROR(VDB(AF374,AF374*0.05,'FA Addition'!$O374,0,YEARFRAC('FA Addition'!$C374,$L$1,3),'FA Addition'!$Q374),FAAddition[[#This Row],[Original Cost (Rs)]]-FAAddition[[#This Row],[Salvage Value]])),0),0)</f>
        <v>9055.2199999999993</v>
      </c>
      <c r="AO374" s="117">
        <f t="shared" si="28"/>
        <v>0</v>
      </c>
      <c r="AQ374" s="117">
        <f t="shared" si="26"/>
        <v>477</v>
      </c>
      <c r="AR374" s="120">
        <f t="shared" si="27"/>
        <v>477</v>
      </c>
      <c r="AS374" s="121"/>
    </row>
    <row r="375" spans="1:45" ht="13.5" x14ac:dyDescent="0.4">
      <c r="A375" s="12">
        <f t="shared" si="29"/>
        <v>372</v>
      </c>
      <c r="B375" s="64" t="s">
        <v>902</v>
      </c>
      <c r="C375" s="54">
        <v>43354</v>
      </c>
      <c r="D375" s="54">
        <v>43354</v>
      </c>
      <c r="E375" s="46" t="s">
        <v>32</v>
      </c>
      <c r="F375" s="51" t="s">
        <v>32</v>
      </c>
      <c r="G375" s="51" t="s">
        <v>433</v>
      </c>
      <c r="H375" s="51" t="s">
        <v>32</v>
      </c>
      <c r="I375" s="55" t="s">
        <v>952</v>
      </c>
      <c r="J375" s="56">
        <v>4</v>
      </c>
      <c r="K375" s="51" t="s">
        <v>942</v>
      </c>
      <c r="L375" s="58">
        <v>11120</v>
      </c>
      <c r="M375" s="50">
        <f>ROUND('FA Addition'!$L375*5%,0.1)</f>
        <v>556</v>
      </c>
      <c r="N375" s="113" t="str">
        <f>_xlfn.XLOOKUP(_xlfn.CONCAT(E375,B375),'Year Wise Master Dep Approach'!F:F,'Year Wise Master Dep Approach'!D:D)</f>
        <v>WDV</v>
      </c>
      <c r="O375" s="113">
        <f>_xlfn.XLOOKUP(_xlfn.CONCAT(E375,B375),'Year Wise Master Dep Approach'!F:F,'Year Wise Master Dep Approach'!E:E)</f>
        <v>3</v>
      </c>
      <c r="P375" s="114">
        <f>IFERROR(IF('FA Addition'!$N375="WDV",1-('FA Addition'!$M375/'FA Addition'!$L375)^(1/'FA Addition'!$O375),1/'FA Addition'!$O375),0)</f>
        <v>0.63159685013596123</v>
      </c>
      <c r="Q375" s="122">
        <f>'FA Addition'!$P375*'FA Addition'!$O375</f>
        <v>1.8947905504078837</v>
      </c>
      <c r="R375" s="122"/>
      <c r="S375" s="116">
        <f>IF(AND(DATE(20&amp;LEFT(FAAddition[[#This Row],[FY]],2),4,1)&lt;$L$1+1,DATE(20&amp;LEFT(FAAddition[[#This Row],[FY]],2),4,1)&gt;$P$1-1),'FA Addition'!$J375,0)</f>
        <v>0</v>
      </c>
      <c r="U375" s="117">
        <f>S375*'FA Addition'!$L375/'FA Addition'!$J375</f>
        <v>0</v>
      </c>
      <c r="W375" s="116">
        <f>SUMIFS('FA Write off'!D:D,'FA Write off'!A:A,'FA Addition'!$A375,'FA Write off'!C:C,"&lt;"&amp;'FA Addition'!$P$1)</f>
        <v>0</v>
      </c>
      <c r="Y375" s="191">
        <f>IFERROR(W375/'FA Addition'!$J375*'FA Addition'!$L375,0)</f>
        <v>0</v>
      </c>
      <c r="AA375" s="116">
        <f>SUMIFS('FA Write off'!D:D,'FA Write off'!A:A,'FA Addition'!$A375,'FA Write off'!C:C,"&lt;"&amp;'FA Addition'!$L$1+1,'FA Write off'!C:C,"&gt;"&amp;'FA Addition'!$L$1-365)</f>
        <v>0</v>
      </c>
      <c r="AC375" s="118">
        <f>IFERROR(AA375/'FA Addition'!$J375*'FA Addition'!$L375,0)</f>
        <v>0</v>
      </c>
      <c r="AE375" s="117">
        <f>IF(AND('FA Addition'!$D375&lt;$P$1+1,U375=0),'FA Addition'!$L375,0)-Y375</f>
        <v>11120</v>
      </c>
      <c r="AF375" s="117">
        <f t="shared" si="25"/>
        <v>11120</v>
      </c>
      <c r="AG375" s="117">
        <f>MIN(MAX(+$P$1-'FA Addition'!$D375,0),365*'FA Addition'!$O375)</f>
        <v>1095</v>
      </c>
      <c r="AH375" s="117">
        <f>MIN(MAX($L$1-'FA Addition'!$D375+1,0),365*'FA Addition'!$O375)</f>
        <v>1095</v>
      </c>
      <c r="AI375" s="117" cm="1">
        <f t="array" ref="AI375">_xlfn.XLOOKUP(1,('FA Write off'!A:A='FA Addition'!$A375)*('FA Write off'!D:D=AA375),'FA Write off'!H:H,0,0)</f>
        <v>0</v>
      </c>
      <c r="AJ375" s="117">
        <f>IF(AC375&gt;0,MAX(IF('FA Addition'!$N375="SLM",($AC375-'FA Addition'!$M375)*'FA Addition'!$P375*AI375/365,(AC375-'FA Addition'!$M375)*(1-(1-'FA Addition'!$P375)^(AI375/365))),0),0)</f>
        <v>0</v>
      </c>
      <c r="AL375" s="117">
        <f>MAX(IF(AG375&gt;0,IF('FA Addition'!$N375="SLM",($AE375-'FA Addition'!$M375)*'FA Addition'!$P375*AG375/365,IFERROR(VDB(AE375,AE375*0.05,'FA Addition'!$O375,0,YEARFRAC('FA Addition'!$C375,$P$1-1,3),'FA Addition'!$Q375),FAAddition[[#This Row],[Original Cost (Rs)]]-FAAddition[[#This Row],[Salvage Value]])),0),0)</f>
        <v>10564</v>
      </c>
      <c r="AM375" s="119"/>
      <c r="AN375" s="117">
        <f>MAX(IF(AH375&gt;0,IF('FA Addition'!$N375="SLM",($AF375-'FA Addition'!$M375)*'FA Addition'!$P375*AH375/365,IFERROR(VDB(AF375,AF375*0.05,'FA Addition'!$O375,0,YEARFRAC('FA Addition'!$C375,$L$1,3),'FA Addition'!$Q375),FAAddition[[#This Row],[Original Cost (Rs)]]-FAAddition[[#This Row],[Salvage Value]])),0),0)</f>
        <v>10564</v>
      </c>
      <c r="AO375" s="117">
        <f t="shared" si="28"/>
        <v>0</v>
      </c>
      <c r="AQ375" s="117">
        <f t="shared" si="26"/>
        <v>556</v>
      </c>
      <c r="AR375" s="120">
        <f t="shared" si="27"/>
        <v>556</v>
      </c>
      <c r="AS375" s="121"/>
    </row>
    <row r="376" spans="1:45" ht="13.5" x14ac:dyDescent="0.4">
      <c r="A376" s="12">
        <f t="shared" si="29"/>
        <v>373</v>
      </c>
      <c r="B376" s="64" t="s">
        <v>902</v>
      </c>
      <c r="C376" s="54">
        <v>43354</v>
      </c>
      <c r="D376" s="54">
        <v>43354</v>
      </c>
      <c r="E376" s="46" t="s">
        <v>32</v>
      </c>
      <c r="F376" s="51" t="s">
        <v>32</v>
      </c>
      <c r="G376" s="51" t="s">
        <v>953</v>
      </c>
      <c r="H376" s="51" t="s">
        <v>32</v>
      </c>
      <c r="I376" s="55" t="s">
        <v>954</v>
      </c>
      <c r="J376" s="56">
        <v>2</v>
      </c>
      <c r="K376" s="51" t="s">
        <v>955</v>
      </c>
      <c r="L376" s="58">
        <v>5180.3599999999997</v>
      </c>
      <c r="M376" s="50">
        <f>ROUND('FA Addition'!$L376*5%,0.1)</f>
        <v>259</v>
      </c>
      <c r="N376" s="113" t="str">
        <f>_xlfn.XLOOKUP(_xlfn.CONCAT(E376,B376),'Year Wise Master Dep Approach'!F:F,'Year Wise Master Dep Approach'!D:D)</f>
        <v>WDV</v>
      </c>
      <c r="O376" s="113">
        <f>_xlfn.XLOOKUP(_xlfn.CONCAT(E376,B376),'Year Wise Master Dep Approach'!F:F,'Year Wise Master Dep Approach'!E:E)</f>
        <v>3</v>
      </c>
      <c r="P376" s="114">
        <f>IFERROR(IF('FA Addition'!$N376="WDV",1-('FA Addition'!$M376/'FA Addition'!$L376)^(1/'FA Addition'!$O376),1/'FA Addition'!$O376),0)</f>
        <v>0.63160538417646905</v>
      </c>
      <c r="Q376" s="122">
        <f>'FA Addition'!$P376*'FA Addition'!$O376</f>
        <v>1.8948161525294072</v>
      </c>
      <c r="R376" s="122"/>
      <c r="S376" s="116">
        <f>IF(AND(DATE(20&amp;LEFT(FAAddition[[#This Row],[FY]],2),4,1)&lt;$L$1+1,DATE(20&amp;LEFT(FAAddition[[#This Row],[FY]],2),4,1)&gt;$P$1-1),'FA Addition'!$J376,0)</f>
        <v>0</v>
      </c>
      <c r="U376" s="117">
        <f>S376*'FA Addition'!$L376/'FA Addition'!$J376</f>
        <v>0</v>
      </c>
      <c r="W376" s="116">
        <f>SUMIFS('FA Write off'!D:D,'FA Write off'!A:A,'FA Addition'!$A376,'FA Write off'!C:C,"&lt;"&amp;'FA Addition'!$P$1)</f>
        <v>0</v>
      </c>
      <c r="Y376" s="191">
        <f>IFERROR(W376/'FA Addition'!$J376*'FA Addition'!$L376,0)</f>
        <v>0</v>
      </c>
      <c r="AA376" s="116">
        <f>SUMIFS('FA Write off'!D:D,'FA Write off'!A:A,'FA Addition'!$A376,'FA Write off'!C:C,"&lt;"&amp;'FA Addition'!$L$1+1,'FA Write off'!C:C,"&gt;"&amp;'FA Addition'!$L$1-365)</f>
        <v>0</v>
      </c>
      <c r="AC376" s="118">
        <f>IFERROR(AA376/'FA Addition'!$J376*'FA Addition'!$L376,0)</f>
        <v>0</v>
      </c>
      <c r="AE376" s="117">
        <f>IF(AND('FA Addition'!$D376&lt;$P$1+1,U376=0),'FA Addition'!$L376,0)-Y376</f>
        <v>5180.3599999999997</v>
      </c>
      <c r="AF376" s="117">
        <f t="shared" si="25"/>
        <v>5180.3599999999997</v>
      </c>
      <c r="AG376" s="117">
        <f>MIN(MAX(+$P$1-'FA Addition'!$D376,0),365*'FA Addition'!$O376)</f>
        <v>1095</v>
      </c>
      <c r="AH376" s="117">
        <f>MIN(MAX($L$1-'FA Addition'!$D376+1,0),365*'FA Addition'!$O376)</f>
        <v>1095</v>
      </c>
      <c r="AI376" s="117" cm="1">
        <f t="array" ref="AI376">_xlfn.XLOOKUP(1,('FA Write off'!A:A='FA Addition'!$A376)*('FA Write off'!D:D=AA376),'FA Write off'!H:H,0,0)</f>
        <v>0</v>
      </c>
      <c r="AJ376" s="117">
        <f>IF(AC376&gt;0,MAX(IF('FA Addition'!$N376="SLM",($AC376-'FA Addition'!$M376)*'FA Addition'!$P376*AI376/365,(AC376-'FA Addition'!$M376)*(1-(1-'FA Addition'!$P376)^(AI376/365))),0),0)</f>
        <v>0</v>
      </c>
      <c r="AL376" s="117">
        <f>MAX(IF(AG376&gt;0,IF('FA Addition'!$N376="SLM",($AE376-'FA Addition'!$M376)*'FA Addition'!$P376*AG376/365,IFERROR(VDB(AE376,AE376*0.05,'FA Addition'!$O376,0,YEARFRAC('FA Addition'!$C376,$P$1-1,3),'FA Addition'!$Q376),FAAddition[[#This Row],[Original Cost (Rs)]]-FAAddition[[#This Row],[Salvage Value]])),0),0)</f>
        <v>4921.3599999999997</v>
      </c>
      <c r="AM376" s="119"/>
      <c r="AN376" s="117">
        <f>MAX(IF(AH376&gt;0,IF('FA Addition'!$N376="SLM",($AF376-'FA Addition'!$M376)*'FA Addition'!$P376*AH376/365,IFERROR(VDB(AF376,AF376*0.05,'FA Addition'!$O376,0,YEARFRAC('FA Addition'!$C376,$L$1,3),'FA Addition'!$Q376),FAAddition[[#This Row],[Original Cost (Rs)]]-FAAddition[[#This Row],[Salvage Value]])),0),0)</f>
        <v>4921.3599999999997</v>
      </c>
      <c r="AO376" s="117">
        <f t="shared" si="28"/>
        <v>0</v>
      </c>
      <c r="AQ376" s="117">
        <f t="shared" si="26"/>
        <v>259</v>
      </c>
      <c r="AR376" s="120">
        <f t="shared" si="27"/>
        <v>259</v>
      </c>
      <c r="AS376" s="121"/>
    </row>
    <row r="377" spans="1:45" ht="13.5" x14ac:dyDescent="0.4">
      <c r="A377" s="12">
        <f t="shared" si="29"/>
        <v>374</v>
      </c>
      <c r="B377" s="64" t="s">
        <v>902</v>
      </c>
      <c r="C377" s="54">
        <v>43361</v>
      </c>
      <c r="D377" s="54">
        <v>43361</v>
      </c>
      <c r="E377" s="46" t="s">
        <v>32</v>
      </c>
      <c r="F377" s="51" t="s">
        <v>32</v>
      </c>
      <c r="G377" s="51" t="s">
        <v>433</v>
      </c>
      <c r="H377" s="51" t="s">
        <v>32</v>
      </c>
      <c r="I377" s="55" t="s">
        <v>956</v>
      </c>
      <c r="J377" s="56">
        <v>115</v>
      </c>
      <c r="K377" s="51" t="s">
        <v>957</v>
      </c>
      <c r="L377" s="58">
        <v>98900</v>
      </c>
      <c r="M377" s="50">
        <f>ROUND('FA Addition'!$L377*5%,0.1)</f>
        <v>4945</v>
      </c>
      <c r="N377" s="113" t="str">
        <f>_xlfn.XLOOKUP(_xlfn.CONCAT(E377,B377),'Year Wise Master Dep Approach'!F:F,'Year Wise Master Dep Approach'!D:D)</f>
        <v>WDV</v>
      </c>
      <c r="O377" s="113">
        <f>_xlfn.XLOOKUP(_xlfn.CONCAT(E377,B377),'Year Wise Master Dep Approach'!F:F,'Year Wise Master Dep Approach'!E:E)</f>
        <v>3</v>
      </c>
      <c r="P377" s="114">
        <f>IFERROR(IF('FA Addition'!$N377="WDV",1-('FA Addition'!$M377/'FA Addition'!$L377)^(1/'FA Addition'!$O377),1/'FA Addition'!$O377),0)</f>
        <v>0.63159685013596123</v>
      </c>
      <c r="Q377" s="122">
        <f>'FA Addition'!$P377*'FA Addition'!$O377</f>
        <v>1.8947905504078837</v>
      </c>
      <c r="R377" s="122"/>
      <c r="S377" s="116">
        <f>IF(AND(DATE(20&amp;LEFT(FAAddition[[#This Row],[FY]],2),4,1)&lt;$L$1+1,DATE(20&amp;LEFT(FAAddition[[#This Row],[FY]],2),4,1)&gt;$P$1-1),'FA Addition'!$J377,0)</f>
        <v>0</v>
      </c>
      <c r="U377" s="117">
        <f>S377*'FA Addition'!$L377/'FA Addition'!$J377</f>
        <v>0</v>
      </c>
      <c r="W377" s="116">
        <f>SUMIFS('FA Write off'!D:D,'FA Write off'!A:A,'FA Addition'!$A377,'FA Write off'!C:C,"&lt;"&amp;'FA Addition'!$P$1)</f>
        <v>5</v>
      </c>
      <c r="Y377" s="191">
        <f>IFERROR(W377/'FA Addition'!$J377*'FA Addition'!$L377,0)</f>
        <v>4300</v>
      </c>
      <c r="AA377" s="116">
        <f>SUMIFS('FA Write off'!D:D,'FA Write off'!A:A,'FA Addition'!$A377,'FA Write off'!C:C,"&lt;"&amp;'FA Addition'!$L$1+1,'FA Write off'!C:C,"&gt;"&amp;'FA Addition'!$L$1-365)</f>
        <v>0</v>
      </c>
      <c r="AC377" s="191">
        <f>IFERROR(AA377/'FA Addition'!$J377*'FA Addition'!$L377,0)</f>
        <v>0</v>
      </c>
      <c r="AE377" s="117">
        <f>IF(AND('FA Addition'!$D377&lt;$P$1+1,U377=0),'FA Addition'!$L377,0)-Y377</f>
        <v>94600</v>
      </c>
      <c r="AF377" s="117">
        <f t="shared" si="25"/>
        <v>94600</v>
      </c>
      <c r="AG377" s="117">
        <f>MIN(MAX(+$P$1-'FA Addition'!$D377,0),365*'FA Addition'!$O377)</f>
        <v>1095</v>
      </c>
      <c r="AH377" s="117">
        <f>MIN(MAX($L$1-'FA Addition'!$D377+1,0),365*'FA Addition'!$O377)</f>
        <v>1095</v>
      </c>
      <c r="AI377" s="117" cm="1">
        <f t="array" ref="AI377">_xlfn.XLOOKUP(1,('FA Write off'!A:A='FA Addition'!$A377)*('FA Write off'!D:D=AA377),'FA Write off'!H:H,0,0)</f>
        <v>0</v>
      </c>
      <c r="AJ377" s="117">
        <f>IF(AC377&gt;0,MAX(IF('FA Addition'!$N377="SLM",($AC377-'FA Addition'!$M377)*'FA Addition'!$P377*AI377/365,(AC377-'FA Addition'!$M377)*(1-(1-'FA Addition'!$P377)^(AI377/365))),0),0)</f>
        <v>0</v>
      </c>
      <c r="AL377" s="117">
        <f>MAX(IF(AG377&gt;0,IF('FA Addition'!$N377="SLM",($AE377-'FA Addition'!$M377)*'FA Addition'!$P377*AG377/365,IFERROR(VDB(AE377,AE377*0.05,'FA Addition'!$O377,0,YEARFRAC('FA Addition'!$C377,$P$1-1,3),'FA Addition'!$Q377),FAAddition[[#This Row],[Original Cost (Rs)]]-FAAddition[[#This Row],[Salvage Value]])),0),0)</f>
        <v>93955</v>
      </c>
      <c r="AM377" s="119"/>
      <c r="AN377" s="117">
        <f>MAX(IF(AH377&gt;0,IF('FA Addition'!$N377="SLM",($AF377-'FA Addition'!$M377)*'FA Addition'!$P377*AH377/365,IFERROR(VDB(AF377,AF377*0.05,'FA Addition'!$O377,0,YEARFRAC('FA Addition'!$C377,$L$1,3),'FA Addition'!$Q377),FAAddition[[#This Row],[Original Cost (Rs)]]-FAAddition[[#This Row],[Salvage Value]])),0),0)</f>
        <v>93955</v>
      </c>
      <c r="AO377" s="117">
        <f t="shared" si="28"/>
        <v>0</v>
      </c>
      <c r="AQ377" s="117">
        <f t="shared" si="26"/>
        <v>645</v>
      </c>
      <c r="AR377" s="120">
        <f t="shared" si="27"/>
        <v>645</v>
      </c>
      <c r="AS377" s="121"/>
    </row>
    <row r="378" spans="1:45" ht="13.5" x14ac:dyDescent="0.4">
      <c r="A378" s="12">
        <f t="shared" si="29"/>
        <v>375</v>
      </c>
      <c r="B378" s="64" t="s">
        <v>902</v>
      </c>
      <c r="C378" s="54">
        <v>43361</v>
      </c>
      <c r="D378" s="54">
        <v>43361</v>
      </c>
      <c r="E378" s="46" t="s">
        <v>32</v>
      </c>
      <c r="F378" s="51" t="s">
        <v>32</v>
      </c>
      <c r="G378" s="51" t="s">
        <v>433</v>
      </c>
      <c r="H378" s="51" t="s">
        <v>32</v>
      </c>
      <c r="I378" s="55" t="s">
        <v>958</v>
      </c>
      <c r="J378" s="56">
        <v>60</v>
      </c>
      <c r="K378" s="51" t="s">
        <v>957</v>
      </c>
      <c r="L378" s="58">
        <v>51600</v>
      </c>
      <c r="M378" s="50">
        <f>ROUND('FA Addition'!$L378*5%,0.1)</f>
        <v>2580</v>
      </c>
      <c r="N378" s="113" t="str">
        <f>_xlfn.XLOOKUP(_xlfn.CONCAT(E378,B378),'Year Wise Master Dep Approach'!F:F,'Year Wise Master Dep Approach'!D:D)</f>
        <v>WDV</v>
      </c>
      <c r="O378" s="113">
        <f>_xlfn.XLOOKUP(_xlfn.CONCAT(E378,B378),'Year Wise Master Dep Approach'!F:F,'Year Wise Master Dep Approach'!E:E)</f>
        <v>3</v>
      </c>
      <c r="P378" s="114">
        <f>IFERROR(IF('FA Addition'!$N378="WDV",1-('FA Addition'!$M378/'FA Addition'!$L378)^(1/'FA Addition'!$O378),1/'FA Addition'!$O378),0)</f>
        <v>0.63159685013596123</v>
      </c>
      <c r="Q378" s="122">
        <f>'FA Addition'!$P378*'FA Addition'!$O378</f>
        <v>1.8947905504078837</v>
      </c>
      <c r="R378" s="122"/>
      <c r="S378" s="116">
        <f>IF(AND(DATE(20&amp;LEFT(FAAddition[[#This Row],[FY]],2),4,1)&lt;$L$1+1,DATE(20&amp;LEFT(FAAddition[[#This Row],[FY]],2),4,1)&gt;$P$1-1),'FA Addition'!$J378,0)</f>
        <v>0</v>
      </c>
      <c r="U378" s="117">
        <f>S378*'FA Addition'!$L378/'FA Addition'!$J378</f>
        <v>0</v>
      </c>
      <c r="W378" s="116">
        <f>SUMIFS('FA Write off'!D:D,'FA Write off'!A:A,'FA Addition'!$A378,'FA Write off'!C:C,"&lt;"&amp;'FA Addition'!$P$1)</f>
        <v>3</v>
      </c>
      <c r="Y378" s="191">
        <f>IFERROR(W378/'FA Addition'!$J378*'FA Addition'!$L378,0)</f>
        <v>2580</v>
      </c>
      <c r="AA378" s="116">
        <f>SUMIFS('FA Write off'!D:D,'FA Write off'!A:A,'FA Addition'!$A378,'FA Write off'!C:C,"&lt;"&amp;'FA Addition'!$L$1+1,'FA Write off'!C:C,"&gt;"&amp;'FA Addition'!$L$1-365)</f>
        <v>0</v>
      </c>
      <c r="AC378" s="191">
        <f>IFERROR(AA378/'FA Addition'!$J378*'FA Addition'!$L378,0)</f>
        <v>0</v>
      </c>
      <c r="AE378" s="117">
        <f>IF(AND('FA Addition'!$D378&lt;$P$1+1,U378=0),'FA Addition'!$L378,0)-Y378</f>
        <v>49020</v>
      </c>
      <c r="AF378" s="117">
        <f t="shared" si="25"/>
        <v>49020</v>
      </c>
      <c r="AG378" s="117">
        <f>MIN(MAX(+$P$1-'FA Addition'!$D378,0),365*'FA Addition'!$O378)</f>
        <v>1095</v>
      </c>
      <c r="AH378" s="117">
        <f>MIN(MAX($L$1-'FA Addition'!$D378+1,0),365*'FA Addition'!$O378)</f>
        <v>1095</v>
      </c>
      <c r="AI378" s="117" cm="1">
        <f t="array" ref="AI378">_xlfn.XLOOKUP(1,('FA Write off'!A:A='FA Addition'!$A378)*('FA Write off'!D:D=AA378),'FA Write off'!H:H,0,0)</f>
        <v>0</v>
      </c>
      <c r="AJ378" s="117">
        <f>IF(AC378&gt;0,MAX(IF('FA Addition'!$N378="SLM",($AC378-'FA Addition'!$M378)*'FA Addition'!$P378*AI378/365,(AC378-'FA Addition'!$M378)*(1-(1-'FA Addition'!$P378)^(AI378/365))),0),0)</f>
        <v>0</v>
      </c>
      <c r="AL378" s="117">
        <f>MAX(IF(AG378&gt;0,IF('FA Addition'!$N378="SLM",($AE378-'FA Addition'!$M378)*'FA Addition'!$P378*AG378/365,IFERROR(VDB(AE378,AE378*0.05,'FA Addition'!$O378,0,YEARFRAC('FA Addition'!$C378,$P$1-1,3),'FA Addition'!$Q378),FAAddition[[#This Row],[Original Cost (Rs)]]-FAAddition[[#This Row],[Salvage Value]])),0),0)</f>
        <v>49020</v>
      </c>
      <c r="AM378" s="119"/>
      <c r="AN378" s="117">
        <f>MAX(IF(AH378&gt;0,IF('FA Addition'!$N378="SLM",($AF378-'FA Addition'!$M378)*'FA Addition'!$P378*AH378/365,IFERROR(VDB(AF378,AF378*0.05,'FA Addition'!$O378,0,YEARFRAC('FA Addition'!$C378,$L$1,3),'FA Addition'!$Q378),FAAddition[[#This Row],[Original Cost (Rs)]]-FAAddition[[#This Row],[Salvage Value]])),0),0)</f>
        <v>49020</v>
      </c>
      <c r="AO378" s="117">
        <f t="shared" si="28"/>
        <v>0</v>
      </c>
      <c r="AQ378" s="117">
        <f t="shared" si="26"/>
        <v>0</v>
      </c>
      <c r="AR378" s="120">
        <f t="shared" si="27"/>
        <v>0</v>
      </c>
      <c r="AS378" s="121"/>
    </row>
    <row r="379" spans="1:45" ht="13.5" x14ac:dyDescent="0.4">
      <c r="A379" s="12">
        <f t="shared" si="29"/>
        <v>376</v>
      </c>
      <c r="B379" s="64" t="s">
        <v>902</v>
      </c>
      <c r="C379" s="54">
        <v>43361</v>
      </c>
      <c r="D379" s="54">
        <v>43361</v>
      </c>
      <c r="E379" s="46" t="s">
        <v>451</v>
      </c>
      <c r="F379" s="51" t="s">
        <v>21</v>
      </c>
      <c r="G379" s="51" t="s">
        <v>959</v>
      </c>
      <c r="H379" s="51" t="s">
        <v>21</v>
      </c>
      <c r="I379" s="55" t="s">
        <v>960</v>
      </c>
      <c r="J379" s="56">
        <v>1</v>
      </c>
      <c r="K379" s="51" t="s">
        <v>961</v>
      </c>
      <c r="L379" s="58">
        <v>40338.99</v>
      </c>
      <c r="M379" s="50">
        <f>ROUND('FA Addition'!$L379*5%,0.1)</f>
        <v>2017</v>
      </c>
      <c r="N379" s="113" t="str">
        <f>_xlfn.XLOOKUP(_xlfn.CONCAT(E379,B379),'Year Wise Master Dep Approach'!F:F,'Year Wise Master Dep Approach'!D:D)</f>
        <v>WDV</v>
      </c>
      <c r="O379" s="113">
        <f>_xlfn.XLOOKUP(_xlfn.CONCAT(E379,B379),'Year Wise Master Dep Approach'!F:F,'Year Wise Master Dep Approach'!E:E)</f>
        <v>3</v>
      </c>
      <c r="P379" s="114">
        <f>IFERROR(IF('FA Addition'!$N379="WDV",1-('FA Addition'!$M379/'FA Addition'!$L379)^(1/'FA Addition'!$O379),1/'FA Addition'!$O379),0)</f>
        <v>0.63159377549216567</v>
      </c>
      <c r="Q379" s="122">
        <f>'FA Addition'!$P379*'FA Addition'!$O379</f>
        <v>1.894781326476497</v>
      </c>
      <c r="R379" s="122"/>
      <c r="S379" s="116">
        <f>IF(AND(DATE(20&amp;LEFT(FAAddition[[#This Row],[FY]],2),4,1)&lt;$L$1+1,DATE(20&amp;LEFT(FAAddition[[#This Row],[FY]],2),4,1)&gt;$P$1-1),'FA Addition'!$J379,0)</f>
        <v>0</v>
      </c>
      <c r="U379" s="117">
        <f>S379*'FA Addition'!$L379/'FA Addition'!$J379</f>
        <v>0</v>
      </c>
      <c r="W379" s="116">
        <f>SUMIFS('FA Write off'!D:D,'FA Write off'!A:A,'FA Addition'!$A379,'FA Write off'!C:C,"&lt;"&amp;'FA Addition'!$P$1)</f>
        <v>0</v>
      </c>
      <c r="Y379" s="191">
        <f>IFERROR(W379/'FA Addition'!$J379*'FA Addition'!$L379,0)</f>
        <v>0</v>
      </c>
      <c r="AA379" s="116">
        <f>SUMIFS('FA Write off'!D:D,'FA Write off'!A:A,'FA Addition'!$A379,'FA Write off'!C:C,"&lt;"&amp;'FA Addition'!$L$1+1,'FA Write off'!C:C,"&gt;"&amp;'FA Addition'!$L$1-365)</f>
        <v>0</v>
      </c>
      <c r="AC379" s="118">
        <f>IFERROR(AA379/'FA Addition'!$J379*'FA Addition'!$L379,0)</f>
        <v>0</v>
      </c>
      <c r="AE379" s="117">
        <f>IF(AND('FA Addition'!$D379&lt;$P$1+1,U379=0),'FA Addition'!$L379,0)-Y379</f>
        <v>40338.99</v>
      </c>
      <c r="AF379" s="117">
        <f t="shared" si="25"/>
        <v>40338.99</v>
      </c>
      <c r="AG379" s="117">
        <f>MIN(MAX(+$P$1-'FA Addition'!$D379,0),365*'FA Addition'!$O379)</f>
        <v>1095</v>
      </c>
      <c r="AH379" s="117">
        <f>MIN(MAX($L$1-'FA Addition'!$D379+1,0),365*'FA Addition'!$O379)</f>
        <v>1095</v>
      </c>
      <c r="AI379" s="117" cm="1">
        <f t="array" ref="AI379">_xlfn.XLOOKUP(1,('FA Write off'!A:A='FA Addition'!$A379)*('FA Write off'!D:D=AA379),'FA Write off'!H:H,0,0)</f>
        <v>0</v>
      </c>
      <c r="AJ379" s="117">
        <f>IF(AC379&gt;0,MAX(IF('FA Addition'!$N379="SLM",($AC379-'FA Addition'!$M379)*'FA Addition'!$P379*AI379/365,(AC379-'FA Addition'!$M379)*(1-(1-'FA Addition'!$P379)^(AI379/365))),0),0)</f>
        <v>0</v>
      </c>
      <c r="AL379" s="117">
        <f>MAX(IF(AG379&gt;0,IF('FA Addition'!$N379="SLM",($AE379-'FA Addition'!$M379)*'FA Addition'!$P379*AG379/365,IFERROR(VDB(AE379,AE379*0.05,'FA Addition'!$O379,0,YEARFRAC('FA Addition'!$C379,$P$1-1,3),'FA Addition'!$Q379),FAAddition[[#This Row],[Original Cost (Rs)]]-FAAddition[[#This Row],[Salvage Value]])),0),0)</f>
        <v>38321.99</v>
      </c>
      <c r="AM379" s="119"/>
      <c r="AN379" s="117">
        <f>MAX(IF(AH379&gt;0,IF('FA Addition'!$N379="SLM",($AF379-'FA Addition'!$M379)*'FA Addition'!$P379*AH379/365,IFERROR(VDB(AF379,AF379*0.05,'FA Addition'!$O379,0,YEARFRAC('FA Addition'!$C379,$L$1,3),'FA Addition'!$Q379),FAAddition[[#This Row],[Original Cost (Rs)]]-FAAddition[[#This Row],[Salvage Value]])),0),0)</f>
        <v>38321.99</v>
      </c>
      <c r="AO379" s="117">
        <f t="shared" si="28"/>
        <v>0</v>
      </c>
      <c r="AQ379" s="117">
        <f t="shared" si="26"/>
        <v>2017</v>
      </c>
      <c r="AR379" s="120">
        <f t="shared" si="27"/>
        <v>2017</v>
      </c>
      <c r="AS379" s="121"/>
    </row>
    <row r="380" spans="1:45" ht="13.5" x14ac:dyDescent="0.4">
      <c r="A380" s="12">
        <f t="shared" si="29"/>
        <v>377</v>
      </c>
      <c r="B380" s="64" t="s">
        <v>902</v>
      </c>
      <c r="C380" s="54">
        <v>43361</v>
      </c>
      <c r="D380" s="54">
        <v>43361</v>
      </c>
      <c r="E380" s="46" t="s">
        <v>451</v>
      </c>
      <c r="F380" s="51" t="s">
        <v>21</v>
      </c>
      <c r="G380" s="51" t="s">
        <v>962</v>
      </c>
      <c r="H380" s="51" t="s">
        <v>21</v>
      </c>
      <c r="I380" s="55" t="s">
        <v>963</v>
      </c>
      <c r="J380" s="56">
        <v>1</v>
      </c>
      <c r="K380" s="51" t="s">
        <v>964</v>
      </c>
      <c r="L380" s="58">
        <v>30522.32</v>
      </c>
      <c r="M380" s="50">
        <f>ROUND('FA Addition'!$L380*5%,0.1)</f>
        <v>1526</v>
      </c>
      <c r="N380" s="113" t="str">
        <f>_xlfn.XLOOKUP(_xlfn.CONCAT(E380,B380),'Year Wise Master Dep Approach'!F:F,'Year Wise Master Dep Approach'!D:D)</f>
        <v>WDV</v>
      </c>
      <c r="O380" s="113">
        <f>_xlfn.XLOOKUP(_xlfn.CONCAT(E380,B380),'Year Wise Master Dep Approach'!F:F,'Year Wise Master Dep Approach'!E:E)</f>
        <v>3</v>
      </c>
      <c r="P380" s="114">
        <f>IFERROR(IF('FA Addition'!$N380="WDV",1-('FA Addition'!$M380/'FA Addition'!$L380)^(1/'FA Addition'!$O380),1/'FA Addition'!$O380),0)</f>
        <v>0.63160618447406436</v>
      </c>
      <c r="Q380" s="122">
        <f>'FA Addition'!$P380*'FA Addition'!$O380</f>
        <v>1.8948185534221931</v>
      </c>
      <c r="R380" s="122"/>
      <c r="S380" s="116">
        <f>IF(AND(DATE(20&amp;LEFT(FAAddition[[#This Row],[FY]],2),4,1)&lt;$L$1+1,DATE(20&amp;LEFT(FAAddition[[#This Row],[FY]],2),4,1)&gt;$P$1-1),'FA Addition'!$J380,0)</f>
        <v>0</v>
      </c>
      <c r="U380" s="117">
        <f>S380*'FA Addition'!$L380/'FA Addition'!$J380</f>
        <v>0</v>
      </c>
      <c r="W380" s="116">
        <f>SUMIFS('FA Write off'!D:D,'FA Write off'!A:A,'FA Addition'!$A380,'FA Write off'!C:C,"&lt;"&amp;'FA Addition'!$P$1)</f>
        <v>0</v>
      </c>
      <c r="Y380" s="191">
        <f>IFERROR(W380/'FA Addition'!$J380*'FA Addition'!$L380,0)</f>
        <v>0</v>
      </c>
      <c r="AA380" s="116">
        <f>SUMIFS('FA Write off'!D:D,'FA Write off'!A:A,'FA Addition'!$A380,'FA Write off'!C:C,"&lt;"&amp;'FA Addition'!$L$1+1,'FA Write off'!C:C,"&gt;"&amp;'FA Addition'!$L$1-365)</f>
        <v>0</v>
      </c>
      <c r="AC380" s="118">
        <f>IFERROR(AA380/'FA Addition'!$J380*'FA Addition'!$L380,0)</f>
        <v>0</v>
      </c>
      <c r="AE380" s="117">
        <f>IF(AND('FA Addition'!$D380&lt;$P$1+1,U380=0),'FA Addition'!$L380,0)-Y380</f>
        <v>30522.32</v>
      </c>
      <c r="AF380" s="117">
        <f t="shared" si="25"/>
        <v>30522.32</v>
      </c>
      <c r="AG380" s="117">
        <f>MIN(MAX(+$P$1-'FA Addition'!$D380,0),365*'FA Addition'!$O380)</f>
        <v>1095</v>
      </c>
      <c r="AH380" s="117">
        <f>MIN(MAX($L$1-'FA Addition'!$D380+1,0),365*'FA Addition'!$O380)</f>
        <v>1095</v>
      </c>
      <c r="AI380" s="117" cm="1">
        <f t="array" ref="AI380">_xlfn.XLOOKUP(1,('FA Write off'!A:A='FA Addition'!$A380)*('FA Write off'!D:D=AA380),'FA Write off'!H:H,0,0)</f>
        <v>0</v>
      </c>
      <c r="AJ380" s="117">
        <f>IF(AC380&gt;0,MAX(IF('FA Addition'!$N380="SLM",($AC380-'FA Addition'!$M380)*'FA Addition'!$P380*AI380/365,(AC380-'FA Addition'!$M380)*(1-(1-'FA Addition'!$P380)^(AI380/365))),0),0)</f>
        <v>0</v>
      </c>
      <c r="AL380" s="117">
        <f>MAX(IF(AG380&gt;0,IF('FA Addition'!$N380="SLM",($AE380-'FA Addition'!$M380)*'FA Addition'!$P380*AG380/365,IFERROR(VDB(AE380,AE380*0.05,'FA Addition'!$O380,0,YEARFRAC('FA Addition'!$C380,$P$1-1,3),'FA Addition'!$Q380),FAAddition[[#This Row],[Original Cost (Rs)]]-FAAddition[[#This Row],[Salvage Value]])),0),0)</f>
        <v>28996.32</v>
      </c>
      <c r="AM380" s="119"/>
      <c r="AN380" s="117">
        <f>MAX(IF(AH380&gt;0,IF('FA Addition'!$N380="SLM",($AF380-'FA Addition'!$M380)*'FA Addition'!$P380*AH380/365,IFERROR(VDB(AF380,AF380*0.05,'FA Addition'!$O380,0,YEARFRAC('FA Addition'!$C380,$L$1,3),'FA Addition'!$Q380),FAAddition[[#This Row],[Original Cost (Rs)]]-FAAddition[[#This Row],[Salvage Value]])),0),0)</f>
        <v>28996.32</v>
      </c>
      <c r="AO380" s="117">
        <f t="shared" si="28"/>
        <v>0</v>
      </c>
      <c r="AQ380" s="117">
        <f t="shared" si="26"/>
        <v>1526</v>
      </c>
      <c r="AR380" s="120">
        <f t="shared" si="27"/>
        <v>1526</v>
      </c>
      <c r="AS380" s="121"/>
    </row>
    <row r="381" spans="1:45" ht="13.5" x14ac:dyDescent="0.4">
      <c r="A381" s="12">
        <f t="shared" si="29"/>
        <v>378</v>
      </c>
      <c r="B381" s="64" t="s">
        <v>902</v>
      </c>
      <c r="C381" s="54">
        <v>43361</v>
      </c>
      <c r="D381" s="54">
        <v>43361</v>
      </c>
      <c r="E381" s="46" t="s">
        <v>32</v>
      </c>
      <c r="F381" s="51" t="s">
        <v>32</v>
      </c>
      <c r="G381" s="51" t="s">
        <v>433</v>
      </c>
      <c r="H381" s="51" t="s">
        <v>32</v>
      </c>
      <c r="I381" s="55" t="s">
        <v>965</v>
      </c>
      <c r="J381" s="56">
        <v>3</v>
      </c>
      <c r="K381" s="51" t="s">
        <v>966</v>
      </c>
      <c r="L381" s="58">
        <v>7410</v>
      </c>
      <c r="M381" s="50">
        <f>ROUND('FA Addition'!$L381*5%,0.1)</f>
        <v>371</v>
      </c>
      <c r="N381" s="113" t="str">
        <f>_xlfn.XLOOKUP(_xlfn.CONCAT(E381,B381),'Year Wise Master Dep Approach'!F:F,'Year Wise Master Dep Approach'!D:D)</f>
        <v>WDV</v>
      </c>
      <c r="O381" s="113">
        <f>_xlfn.XLOOKUP(_xlfn.CONCAT(E381,B381),'Year Wise Master Dep Approach'!F:F,'Year Wise Master Dep Approach'!E:E)</f>
        <v>3</v>
      </c>
      <c r="P381" s="114">
        <f>IFERROR(IF('FA Addition'!$N381="WDV",1-('FA Addition'!$M381/'FA Addition'!$L381)^(1/'FA Addition'!$O381),1/'FA Addition'!$O381),0)</f>
        <v>0.63143120121531937</v>
      </c>
      <c r="Q381" s="122">
        <f>'FA Addition'!$P381*'FA Addition'!$O381</f>
        <v>1.8942936036459581</v>
      </c>
      <c r="R381" s="122"/>
      <c r="S381" s="116">
        <f>IF(AND(DATE(20&amp;LEFT(FAAddition[[#This Row],[FY]],2),4,1)&lt;$L$1+1,DATE(20&amp;LEFT(FAAddition[[#This Row],[FY]],2),4,1)&gt;$P$1-1),'FA Addition'!$J381,0)</f>
        <v>0</v>
      </c>
      <c r="U381" s="117">
        <f>S381*'FA Addition'!$L381/'FA Addition'!$J381</f>
        <v>0</v>
      </c>
      <c r="W381" s="116">
        <f>SUMIFS('FA Write off'!D:D,'FA Write off'!A:A,'FA Addition'!$A381,'FA Write off'!C:C,"&lt;"&amp;'FA Addition'!$P$1)</f>
        <v>0</v>
      </c>
      <c r="Y381" s="191">
        <f>IFERROR(W381/'FA Addition'!$J381*'FA Addition'!$L381,0)</f>
        <v>0</v>
      </c>
      <c r="AA381" s="116">
        <f>SUMIFS('FA Write off'!D:D,'FA Write off'!A:A,'FA Addition'!$A381,'FA Write off'!C:C,"&lt;"&amp;'FA Addition'!$L$1+1,'FA Write off'!C:C,"&gt;"&amp;'FA Addition'!$L$1-365)</f>
        <v>0</v>
      </c>
      <c r="AC381" s="118">
        <f>IFERROR(AA381/'FA Addition'!$J381*'FA Addition'!$L381,0)</f>
        <v>0</v>
      </c>
      <c r="AE381" s="117">
        <f>IF(AND('FA Addition'!$D381&lt;$P$1+1,U381=0),'FA Addition'!$L381,0)-Y381</f>
        <v>7410</v>
      </c>
      <c r="AF381" s="117">
        <f t="shared" si="25"/>
        <v>7410</v>
      </c>
      <c r="AG381" s="117">
        <f>MIN(MAX(+$P$1-'FA Addition'!$D381,0),365*'FA Addition'!$O381)</f>
        <v>1095</v>
      </c>
      <c r="AH381" s="117">
        <f>MIN(MAX($L$1-'FA Addition'!$D381+1,0),365*'FA Addition'!$O381)</f>
        <v>1095</v>
      </c>
      <c r="AI381" s="117" cm="1">
        <f t="array" ref="AI381">_xlfn.XLOOKUP(1,('FA Write off'!A:A='FA Addition'!$A381)*('FA Write off'!D:D=AA381),'FA Write off'!H:H,0,0)</f>
        <v>0</v>
      </c>
      <c r="AJ381" s="117">
        <f>IF(AC381&gt;0,MAX(IF('FA Addition'!$N381="SLM",($AC381-'FA Addition'!$M381)*'FA Addition'!$P381*AI381/365,(AC381-'FA Addition'!$M381)*(1-(1-'FA Addition'!$P381)^(AI381/365))),0),0)</f>
        <v>0</v>
      </c>
      <c r="AL381" s="117">
        <f>MAX(IF(AG381&gt;0,IF('FA Addition'!$N381="SLM",($AE381-'FA Addition'!$M381)*'FA Addition'!$P381*AG381/365,IFERROR(VDB(AE381,AE381*0.05,'FA Addition'!$O381,0,YEARFRAC('FA Addition'!$C381,$P$1-1,3),'FA Addition'!$Q381),FAAddition[[#This Row],[Original Cost (Rs)]]-FAAddition[[#This Row],[Salvage Value]])),0),0)</f>
        <v>7039</v>
      </c>
      <c r="AM381" s="119"/>
      <c r="AN381" s="117">
        <f>MAX(IF(AH381&gt;0,IF('FA Addition'!$N381="SLM",($AF381-'FA Addition'!$M381)*'FA Addition'!$P381*AH381/365,IFERROR(VDB(AF381,AF381*0.05,'FA Addition'!$O381,0,YEARFRAC('FA Addition'!$C381,$L$1,3),'FA Addition'!$Q381),FAAddition[[#This Row],[Original Cost (Rs)]]-FAAddition[[#This Row],[Salvage Value]])),0),0)</f>
        <v>7039</v>
      </c>
      <c r="AO381" s="117">
        <f t="shared" si="28"/>
        <v>0</v>
      </c>
      <c r="AQ381" s="117">
        <f t="shared" si="26"/>
        <v>371</v>
      </c>
      <c r="AR381" s="120">
        <f t="shared" si="27"/>
        <v>371</v>
      </c>
      <c r="AS381" s="121"/>
    </row>
    <row r="382" spans="1:45" ht="13.5" x14ac:dyDescent="0.4">
      <c r="A382" s="12">
        <f t="shared" si="29"/>
        <v>379</v>
      </c>
      <c r="B382" s="64" t="s">
        <v>902</v>
      </c>
      <c r="C382" s="54">
        <v>43362</v>
      </c>
      <c r="D382" s="54">
        <v>43362</v>
      </c>
      <c r="E382" s="46" t="s">
        <v>451</v>
      </c>
      <c r="F382" s="51" t="s">
        <v>21</v>
      </c>
      <c r="G382" s="51" t="s">
        <v>967</v>
      </c>
      <c r="H382" s="51" t="s">
        <v>21</v>
      </c>
      <c r="I382" s="55" t="s">
        <v>968</v>
      </c>
      <c r="J382" s="56">
        <v>1</v>
      </c>
      <c r="K382" s="51" t="s">
        <v>969</v>
      </c>
      <c r="L382" s="58">
        <v>28812.71</v>
      </c>
      <c r="M382" s="50">
        <f>ROUND('FA Addition'!$L382*5%,0.1)</f>
        <v>1441</v>
      </c>
      <c r="N382" s="113" t="str">
        <f>_xlfn.XLOOKUP(_xlfn.CONCAT(E382,B382),'Year Wise Master Dep Approach'!F:F,'Year Wise Master Dep Approach'!D:D)</f>
        <v>WDV</v>
      </c>
      <c r="O382" s="113">
        <f>_xlfn.XLOOKUP(_xlfn.CONCAT(E382,B382),'Year Wise Master Dep Approach'!F:F,'Year Wise Master Dep Approach'!E:E)</f>
        <v>3</v>
      </c>
      <c r="P382" s="114">
        <f>IFERROR(IF('FA Addition'!$N382="WDV",1-('FA Addition'!$M382/'FA Addition'!$L382)^(1/'FA Addition'!$O382),1/'FA Addition'!$O382),0)</f>
        <v>0.631565782452153</v>
      </c>
      <c r="Q382" s="122">
        <f>'FA Addition'!$P382*'FA Addition'!$O382</f>
        <v>1.894697347356459</v>
      </c>
      <c r="R382" s="122"/>
      <c r="S382" s="116">
        <f>IF(AND(DATE(20&amp;LEFT(FAAddition[[#This Row],[FY]],2),4,1)&lt;$L$1+1,DATE(20&amp;LEFT(FAAddition[[#This Row],[FY]],2),4,1)&gt;$P$1-1),'FA Addition'!$J382,0)</f>
        <v>0</v>
      </c>
      <c r="U382" s="117">
        <f>S382*'FA Addition'!$L382/'FA Addition'!$J382</f>
        <v>0</v>
      </c>
      <c r="W382" s="116">
        <f>SUMIFS('FA Write off'!D:D,'FA Write off'!A:A,'FA Addition'!$A382,'FA Write off'!C:C,"&lt;"&amp;'FA Addition'!$P$1)</f>
        <v>0</v>
      </c>
      <c r="Y382" s="191">
        <f>IFERROR(W382/'FA Addition'!$J382*'FA Addition'!$L382,0)</f>
        <v>0</v>
      </c>
      <c r="AA382" s="116">
        <f>SUMIFS('FA Write off'!D:D,'FA Write off'!A:A,'FA Addition'!$A382,'FA Write off'!C:C,"&lt;"&amp;'FA Addition'!$L$1+1,'FA Write off'!C:C,"&gt;"&amp;'FA Addition'!$L$1-365)</f>
        <v>0</v>
      </c>
      <c r="AC382" s="118">
        <f>IFERROR(AA382/'FA Addition'!$J382*'FA Addition'!$L382,0)</f>
        <v>0</v>
      </c>
      <c r="AE382" s="117">
        <f>IF(AND('FA Addition'!$D382&lt;$P$1+1,U382=0),'FA Addition'!$L382,0)-Y382</f>
        <v>28812.71</v>
      </c>
      <c r="AF382" s="117">
        <f t="shared" si="25"/>
        <v>28812.71</v>
      </c>
      <c r="AG382" s="117">
        <f>MIN(MAX(+$P$1-'FA Addition'!$D382,0),365*'FA Addition'!$O382)</f>
        <v>1095</v>
      </c>
      <c r="AH382" s="117">
        <f>MIN(MAX($L$1-'FA Addition'!$D382+1,0),365*'FA Addition'!$O382)</f>
        <v>1095</v>
      </c>
      <c r="AI382" s="117" cm="1">
        <f t="array" ref="AI382">_xlfn.XLOOKUP(1,('FA Write off'!A:A='FA Addition'!$A382)*('FA Write off'!D:D=AA382),'FA Write off'!H:H,0,0)</f>
        <v>0</v>
      </c>
      <c r="AJ382" s="117">
        <f>IF(AC382&gt;0,MAX(IF('FA Addition'!$N382="SLM",($AC382-'FA Addition'!$M382)*'FA Addition'!$P382*AI382/365,(AC382-'FA Addition'!$M382)*(1-(1-'FA Addition'!$P382)^(AI382/365))),0),0)</f>
        <v>0</v>
      </c>
      <c r="AL382" s="117">
        <f>MAX(IF(AG382&gt;0,IF('FA Addition'!$N382="SLM",($AE382-'FA Addition'!$M382)*'FA Addition'!$P382*AG382/365,IFERROR(VDB(AE382,AE382*0.05,'FA Addition'!$O382,0,YEARFRAC('FA Addition'!$C382,$P$1-1,3),'FA Addition'!$Q382),FAAddition[[#This Row],[Original Cost (Rs)]]-FAAddition[[#This Row],[Salvage Value]])),0),0)</f>
        <v>27371.71</v>
      </c>
      <c r="AM382" s="119"/>
      <c r="AN382" s="117">
        <f>MAX(IF(AH382&gt;0,IF('FA Addition'!$N382="SLM",($AF382-'FA Addition'!$M382)*'FA Addition'!$P382*AH382/365,IFERROR(VDB(AF382,AF382*0.05,'FA Addition'!$O382,0,YEARFRAC('FA Addition'!$C382,$L$1,3),'FA Addition'!$Q382),FAAddition[[#This Row],[Original Cost (Rs)]]-FAAddition[[#This Row],[Salvage Value]])),0),0)</f>
        <v>27371.71</v>
      </c>
      <c r="AO382" s="117">
        <f t="shared" si="28"/>
        <v>0</v>
      </c>
      <c r="AQ382" s="117">
        <f t="shared" si="26"/>
        <v>1441</v>
      </c>
      <c r="AR382" s="120">
        <f t="shared" si="27"/>
        <v>1441</v>
      </c>
      <c r="AS382" s="121"/>
    </row>
    <row r="383" spans="1:45" ht="13.5" x14ac:dyDescent="0.4">
      <c r="A383" s="12">
        <f t="shared" si="29"/>
        <v>380</v>
      </c>
      <c r="B383" s="64" t="s">
        <v>902</v>
      </c>
      <c r="C383" s="54">
        <v>43363</v>
      </c>
      <c r="D383" s="54">
        <v>43363</v>
      </c>
      <c r="E383" s="46" t="s">
        <v>451</v>
      </c>
      <c r="F383" s="51" t="s">
        <v>21</v>
      </c>
      <c r="G383" s="51" t="s">
        <v>949</v>
      </c>
      <c r="H383" s="51" t="s">
        <v>21</v>
      </c>
      <c r="I383" s="55" t="s">
        <v>970</v>
      </c>
      <c r="J383" s="56">
        <v>1</v>
      </c>
      <c r="K383" s="51" t="s">
        <v>971</v>
      </c>
      <c r="L383" s="58">
        <v>24567.8</v>
      </c>
      <c r="M383" s="50">
        <f>ROUND('FA Addition'!$L383*5%,0.1)</f>
        <v>1228</v>
      </c>
      <c r="N383" s="113" t="str">
        <f>_xlfn.XLOOKUP(_xlfn.CONCAT(E383,B383),'Year Wise Master Dep Approach'!F:F,'Year Wise Master Dep Approach'!D:D)</f>
        <v>WDV</v>
      </c>
      <c r="O383" s="113">
        <f>_xlfn.XLOOKUP(_xlfn.CONCAT(E383,B383),'Year Wise Master Dep Approach'!F:F,'Year Wise Master Dep Approach'!E:E)</f>
        <v>3</v>
      </c>
      <c r="P383" s="114">
        <f>IFERROR(IF('FA Addition'!$N383="WDV",1-('FA Addition'!$M383/'FA Addition'!$L383)^(1/'FA Addition'!$O383),1/'FA Addition'!$O383),0)</f>
        <v>0.63163584221405555</v>
      </c>
      <c r="Q383" s="122">
        <f>'FA Addition'!$P383*'FA Addition'!$O383</f>
        <v>1.8949075266421667</v>
      </c>
      <c r="R383" s="122"/>
      <c r="S383" s="116">
        <f>IF(AND(DATE(20&amp;LEFT(FAAddition[[#This Row],[FY]],2),4,1)&lt;$L$1+1,DATE(20&amp;LEFT(FAAddition[[#This Row],[FY]],2),4,1)&gt;$P$1-1),'FA Addition'!$J383,0)</f>
        <v>0</v>
      </c>
      <c r="U383" s="117">
        <f>S383*'FA Addition'!$L383/'FA Addition'!$J383</f>
        <v>0</v>
      </c>
      <c r="W383" s="116">
        <f>SUMIFS('FA Write off'!D:D,'FA Write off'!A:A,'FA Addition'!$A383,'FA Write off'!C:C,"&lt;"&amp;'FA Addition'!$P$1)</f>
        <v>0</v>
      </c>
      <c r="Y383" s="191">
        <f>IFERROR(W383/'FA Addition'!$J383*'FA Addition'!$L383,0)</f>
        <v>0</v>
      </c>
      <c r="AA383" s="116">
        <f>SUMIFS('FA Write off'!D:D,'FA Write off'!A:A,'FA Addition'!$A383,'FA Write off'!C:C,"&lt;"&amp;'FA Addition'!$L$1+1,'FA Write off'!C:C,"&gt;"&amp;'FA Addition'!$L$1-365)</f>
        <v>0</v>
      </c>
      <c r="AC383" s="118">
        <f>IFERROR(AA383/'FA Addition'!$J383*'FA Addition'!$L383,0)</f>
        <v>0</v>
      </c>
      <c r="AE383" s="117">
        <f>IF(AND('FA Addition'!$D383&lt;$P$1+1,U383=0),'FA Addition'!$L383,0)-Y383</f>
        <v>24567.8</v>
      </c>
      <c r="AF383" s="117">
        <f t="shared" si="25"/>
        <v>24567.8</v>
      </c>
      <c r="AG383" s="117">
        <f>MIN(MAX(+$P$1-'FA Addition'!$D383,0),365*'FA Addition'!$O383)</f>
        <v>1095</v>
      </c>
      <c r="AH383" s="117">
        <f>MIN(MAX($L$1-'FA Addition'!$D383+1,0),365*'FA Addition'!$O383)</f>
        <v>1095</v>
      </c>
      <c r="AI383" s="117" cm="1">
        <f t="array" ref="AI383">_xlfn.XLOOKUP(1,('FA Write off'!A:A='FA Addition'!$A383)*('FA Write off'!D:D=AA383),'FA Write off'!H:H,0,0)</f>
        <v>0</v>
      </c>
      <c r="AJ383" s="117">
        <f>IF(AC383&gt;0,MAX(IF('FA Addition'!$N383="SLM",($AC383-'FA Addition'!$M383)*'FA Addition'!$P383*AI383/365,(AC383-'FA Addition'!$M383)*(1-(1-'FA Addition'!$P383)^(AI383/365))),0),0)</f>
        <v>0</v>
      </c>
      <c r="AL383" s="117">
        <f>MAX(IF(AG383&gt;0,IF('FA Addition'!$N383="SLM",($AE383-'FA Addition'!$M383)*'FA Addition'!$P383*AG383/365,IFERROR(VDB(AE383,AE383*0.05,'FA Addition'!$O383,0,YEARFRAC('FA Addition'!$C383,$P$1-1,3),'FA Addition'!$Q383),FAAddition[[#This Row],[Original Cost (Rs)]]-FAAddition[[#This Row],[Salvage Value]])),0),0)</f>
        <v>23339.8</v>
      </c>
      <c r="AM383" s="119"/>
      <c r="AN383" s="117">
        <f>MAX(IF(AH383&gt;0,IF('FA Addition'!$N383="SLM",($AF383-'FA Addition'!$M383)*'FA Addition'!$P383*AH383/365,IFERROR(VDB(AF383,AF383*0.05,'FA Addition'!$O383,0,YEARFRAC('FA Addition'!$C383,$L$1,3),'FA Addition'!$Q383),FAAddition[[#This Row],[Original Cost (Rs)]]-FAAddition[[#This Row],[Salvage Value]])),0),0)</f>
        <v>23339.8</v>
      </c>
      <c r="AO383" s="117">
        <f t="shared" si="28"/>
        <v>0</v>
      </c>
      <c r="AQ383" s="117">
        <f t="shared" si="26"/>
        <v>1228</v>
      </c>
      <c r="AR383" s="120">
        <f t="shared" si="27"/>
        <v>1228</v>
      </c>
      <c r="AS383" s="121"/>
    </row>
    <row r="384" spans="1:45" ht="13.5" x14ac:dyDescent="0.4">
      <c r="A384" s="12">
        <f t="shared" si="29"/>
        <v>381</v>
      </c>
      <c r="B384" s="64" t="s">
        <v>902</v>
      </c>
      <c r="C384" s="54">
        <v>43364</v>
      </c>
      <c r="D384" s="54">
        <v>43364</v>
      </c>
      <c r="E384" s="46" t="s">
        <v>451</v>
      </c>
      <c r="F384" s="51" t="s">
        <v>21</v>
      </c>
      <c r="G384" s="51" t="s">
        <v>972</v>
      </c>
      <c r="H384" s="51" t="s">
        <v>21</v>
      </c>
      <c r="I384" s="55" t="s">
        <v>436</v>
      </c>
      <c r="J384" s="56">
        <v>1</v>
      </c>
      <c r="K384" s="51" t="s">
        <v>973</v>
      </c>
      <c r="L384" s="58">
        <v>51686.44</v>
      </c>
      <c r="M384" s="50">
        <f>ROUND('FA Addition'!$L384*5%,0.1)</f>
        <v>2584</v>
      </c>
      <c r="N384" s="113" t="str">
        <f>_xlfn.XLOOKUP(_xlfn.CONCAT(E384,B384),'Year Wise Master Dep Approach'!F:F,'Year Wise Master Dep Approach'!D:D)</f>
        <v>WDV</v>
      </c>
      <c r="O384" s="113">
        <f>_xlfn.XLOOKUP(_xlfn.CONCAT(E384,B384),'Year Wise Master Dep Approach'!F:F,'Year Wise Master Dep Approach'!E:E)</f>
        <v>3</v>
      </c>
      <c r="P384" s="114">
        <f>IFERROR(IF('FA Addition'!$N384="WDV",1-('FA Addition'!$M384/'FA Addition'!$L384)^(1/'FA Addition'!$O384),1/'FA Addition'!$O384),0)</f>
        <v>0.63161215147243344</v>
      </c>
      <c r="Q384" s="122">
        <f>'FA Addition'!$P384*'FA Addition'!$O384</f>
        <v>1.8948364544173004</v>
      </c>
      <c r="R384" s="122"/>
      <c r="S384" s="116">
        <f>IF(AND(DATE(20&amp;LEFT(FAAddition[[#This Row],[FY]],2),4,1)&lt;$L$1+1,DATE(20&amp;LEFT(FAAddition[[#This Row],[FY]],2),4,1)&gt;$P$1-1),'FA Addition'!$J384,0)</f>
        <v>0</v>
      </c>
      <c r="U384" s="117">
        <f>S384*'FA Addition'!$L384/'FA Addition'!$J384</f>
        <v>0</v>
      </c>
      <c r="W384" s="116">
        <f>SUMIFS('FA Write off'!D:D,'FA Write off'!A:A,'FA Addition'!$A384,'FA Write off'!C:C,"&lt;"&amp;'FA Addition'!$P$1)</f>
        <v>0</v>
      </c>
      <c r="Y384" s="191">
        <f>IFERROR(W384/'FA Addition'!$J384*'FA Addition'!$L384,0)</f>
        <v>0</v>
      </c>
      <c r="AA384" s="116">
        <f>SUMIFS('FA Write off'!D:D,'FA Write off'!A:A,'FA Addition'!$A384,'FA Write off'!C:C,"&lt;"&amp;'FA Addition'!$L$1+1,'FA Write off'!C:C,"&gt;"&amp;'FA Addition'!$L$1-365)</f>
        <v>0</v>
      </c>
      <c r="AC384" s="118">
        <f>IFERROR(AA384/'FA Addition'!$J384*'FA Addition'!$L384,0)</f>
        <v>0</v>
      </c>
      <c r="AE384" s="117">
        <f>IF(AND('FA Addition'!$D384&lt;$P$1+1,U384=0),'FA Addition'!$L384,0)-Y384</f>
        <v>51686.44</v>
      </c>
      <c r="AF384" s="117">
        <f t="shared" si="25"/>
        <v>51686.44</v>
      </c>
      <c r="AG384" s="117">
        <f>MIN(MAX(+$P$1-'FA Addition'!$D384,0),365*'FA Addition'!$O384)</f>
        <v>1095</v>
      </c>
      <c r="AH384" s="117">
        <f>MIN(MAX($L$1-'FA Addition'!$D384+1,0),365*'FA Addition'!$O384)</f>
        <v>1095</v>
      </c>
      <c r="AI384" s="117" cm="1">
        <f t="array" ref="AI384">_xlfn.XLOOKUP(1,('FA Write off'!A:A='FA Addition'!$A384)*('FA Write off'!D:D=AA384),'FA Write off'!H:H,0,0)</f>
        <v>0</v>
      </c>
      <c r="AJ384" s="117">
        <f>IF(AC384&gt;0,MAX(IF('FA Addition'!$N384="SLM",($AC384-'FA Addition'!$M384)*'FA Addition'!$P384*AI384/365,(AC384-'FA Addition'!$M384)*(1-(1-'FA Addition'!$P384)^(AI384/365))),0),0)</f>
        <v>0</v>
      </c>
      <c r="AL384" s="117">
        <f>MAX(IF(AG384&gt;0,IF('FA Addition'!$N384="SLM",($AE384-'FA Addition'!$M384)*'FA Addition'!$P384*AG384/365,IFERROR(VDB(AE384,AE384*0.05,'FA Addition'!$O384,0,YEARFRAC('FA Addition'!$C384,$P$1-1,3),'FA Addition'!$Q384),FAAddition[[#This Row],[Original Cost (Rs)]]-FAAddition[[#This Row],[Salvage Value]])),0),0)</f>
        <v>49102.44</v>
      </c>
      <c r="AM384" s="119"/>
      <c r="AN384" s="117">
        <f>MAX(IF(AH384&gt;0,IF('FA Addition'!$N384="SLM",($AF384-'FA Addition'!$M384)*'FA Addition'!$P384*AH384/365,IFERROR(VDB(AF384,AF384*0.05,'FA Addition'!$O384,0,YEARFRAC('FA Addition'!$C384,$L$1,3),'FA Addition'!$Q384),FAAddition[[#This Row],[Original Cost (Rs)]]-FAAddition[[#This Row],[Salvage Value]])),0),0)</f>
        <v>49102.44</v>
      </c>
      <c r="AO384" s="117">
        <f t="shared" si="28"/>
        <v>0</v>
      </c>
      <c r="AQ384" s="117">
        <f t="shared" si="26"/>
        <v>2584</v>
      </c>
      <c r="AR384" s="120">
        <f t="shared" si="27"/>
        <v>2584</v>
      </c>
      <c r="AS384" s="121"/>
    </row>
    <row r="385" spans="1:45" ht="13.5" x14ac:dyDescent="0.4">
      <c r="A385" s="12">
        <f t="shared" si="29"/>
        <v>382</v>
      </c>
      <c r="B385" s="64" t="s">
        <v>902</v>
      </c>
      <c r="C385" s="54">
        <v>43371</v>
      </c>
      <c r="D385" s="54">
        <v>43371</v>
      </c>
      <c r="E385" s="46" t="s">
        <v>32</v>
      </c>
      <c r="F385" s="51" t="s">
        <v>32</v>
      </c>
      <c r="G385" s="51" t="s">
        <v>433</v>
      </c>
      <c r="H385" s="51" t="s">
        <v>32</v>
      </c>
      <c r="I385" s="55" t="s">
        <v>974</v>
      </c>
      <c r="J385" s="56">
        <v>36</v>
      </c>
      <c r="K385" s="51" t="s">
        <v>917</v>
      </c>
      <c r="L385" s="58">
        <v>30960</v>
      </c>
      <c r="M385" s="50">
        <f>ROUND('FA Addition'!$L385*5%,0.1)</f>
        <v>1548</v>
      </c>
      <c r="N385" s="113" t="str">
        <f>_xlfn.XLOOKUP(_xlfn.CONCAT(E385,B385),'Year Wise Master Dep Approach'!F:F,'Year Wise Master Dep Approach'!D:D)</f>
        <v>WDV</v>
      </c>
      <c r="O385" s="113">
        <f>_xlfn.XLOOKUP(_xlfn.CONCAT(E385,B385),'Year Wise Master Dep Approach'!F:F,'Year Wise Master Dep Approach'!E:E)</f>
        <v>3</v>
      </c>
      <c r="P385" s="114">
        <f>IFERROR(IF('FA Addition'!$N385="WDV",1-('FA Addition'!$M385/'FA Addition'!$L385)^(1/'FA Addition'!$O385),1/'FA Addition'!$O385),0)</f>
        <v>0.63159685013596123</v>
      </c>
      <c r="Q385" s="122">
        <f>'FA Addition'!$P385*'FA Addition'!$O385</f>
        <v>1.8947905504078837</v>
      </c>
      <c r="R385" s="122"/>
      <c r="S385" s="116">
        <f>IF(AND(DATE(20&amp;LEFT(FAAddition[[#This Row],[FY]],2),4,1)&lt;$L$1+1,DATE(20&amp;LEFT(FAAddition[[#This Row],[FY]],2),4,1)&gt;$P$1-1),'FA Addition'!$J385,0)</f>
        <v>0</v>
      </c>
      <c r="U385" s="117">
        <f>S385*'FA Addition'!$L385/'FA Addition'!$J385</f>
        <v>0</v>
      </c>
      <c r="W385" s="116">
        <f>SUMIFS('FA Write off'!D:D,'FA Write off'!A:A,'FA Addition'!$A385,'FA Write off'!C:C,"&lt;"&amp;'FA Addition'!$P$1)</f>
        <v>1</v>
      </c>
      <c r="Y385" s="191">
        <f>IFERROR(W385/'FA Addition'!$J385*'FA Addition'!$L385,0)</f>
        <v>860</v>
      </c>
      <c r="AA385" s="116">
        <f>SUMIFS('FA Write off'!D:D,'FA Write off'!A:A,'FA Addition'!$A385,'FA Write off'!C:C,"&lt;"&amp;'FA Addition'!$L$1+1,'FA Write off'!C:C,"&gt;"&amp;'FA Addition'!$L$1-365)</f>
        <v>0</v>
      </c>
      <c r="AC385" s="191">
        <f>IFERROR(AA385/'FA Addition'!$J385*'FA Addition'!$L385,0)</f>
        <v>0</v>
      </c>
      <c r="AE385" s="117">
        <f>IF(AND('FA Addition'!$D385&lt;$P$1+1,U385=0),'FA Addition'!$L385,0)-Y385</f>
        <v>30100</v>
      </c>
      <c r="AF385" s="117">
        <f t="shared" si="25"/>
        <v>30100</v>
      </c>
      <c r="AG385" s="117">
        <f>MIN(MAX(+$P$1-'FA Addition'!$D385,0),365*'FA Addition'!$O385)</f>
        <v>1095</v>
      </c>
      <c r="AH385" s="117">
        <f>MIN(MAX($L$1-'FA Addition'!$D385+1,0),365*'FA Addition'!$O385)</f>
        <v>1095</v>
      </c>
      <c r="AI385" s="117" cm="1">
        <f t="array" ref="AI385">_xlfn.XLOOKUP(1,('FA Write off'!A:A='FA Addition'!$A385)*('FA Write off'!D:D=AA385),'FA Write off'!H:H,0,0)</f>
        <v>0</v>
      </c>
      <c r="AJ385" s="117">
        <f>IF(AC385&gt;0,MAX(IF('FA Addition'!$N385="SLM",($AC385-'FA Addition'!$M385)*'FA Addition'!$P385*AI385/365,(AC385-'FA Addition'!$M385)*(1-(1-'FA Addition'!$P385)^(AI385/365))),0),0)</f>
        <v>0</v>
      </c>
      <c r="AL385" s="117">
        <f>MAX(IF(AG385&gt;0,IF('FA Addition'!$N385="SLM",($AE385-'FA Addition'!$M385)*'FA Addition'!$P385*AG385/365,IFERROR(VDB(AE385,AE385*0.05,'FA Addition'!$O385,0,YEARFRAC('FA Addition'!$C385,$P$1-1,3),'FA Addition'!$Q385),FAAddition[[#This Row],[Original Cost (Rs)]]-FAAddition[[#This Row],[Salvage Value]])),0),0)</f>
        <v>29412</v>
      </c>
      <c r="AM385" s="119"/>
      <c r="AN385" s="117">
        <f>MAX(IF(AH385&gt;0,IF('FA Addition'!$N385="SLM",($AF385-'FA Addition'!$M385)*'FA Addition'!$P385*AH385/365,IFERROR(VDB(AF385,AF385*0.05,'FA Addition'!$O385,0,YEARFRAC('FA Addition'!$C385,$L$1,3),'FA Addition'!$Q385),FAAddition[[#This Row],[Original Cost (Rs)]]-FAAddition[[#This Row],[Salvage Value]])),0),0)</f>
        <v>29412</v>
      </c>
      <c r="AO385" s="117">
        <f t="shared" si="28"/>
        <v>0</v>
      </c>
      <c r="AQ385" s="117">
        <f t="shared" si="26"/>
        <v>688</v>
      </c>
      <c r="AR385" s="120">
        <f t="shared" si="27"/>
        <v>688</v>
      </c>
      <c r="AS385" s="121"/>
    </row>
    <row r="386" spans="1:45" ht="13.5" x14ac:dyDescent="0.4">
      <c r="A386" s="12">
        <f t="shared" si="29"/>
        <v>383</v>
      </c>
      <c r="B386" s="64" t="s">
        <v>902</v>
      </c>
      <c r="C386" s="54">
        <v>43364</v>
      </c>
      <c r="D386" s="54">
        <v>43374</v>
      </c>
      <c r="E386" s="46" t="s">
        <v>451</v>
      </c>
      <c r="F386" s="51" t="s">
        <v>151</v>
      </c>
      <c r="G386" s="51" t="s">
        <v>949</v>
      </c>
      <c r="H386" s="51" t="s">
        <v>151</v>
      </c>
      <c r="I386" s="55" t="s">
        <v>975</v>
      </c>
      <c r="J386" s="56">
        <v>1</v>
      </c>
      <c r="K386" s="51" t="s">
        <v>976</v>
      </c>
      <c r="L386" s="58">
        <v>12030.47</v>
      </c>
      <c r="M386" s="50">
        <f>ROUND('FA Addition'!$L386*5%,0.1)</f>
        <v>602</v>
      </c>
      <c r="N386" s="113" t="str">
        <f>_xlfn.XLOOKUP(_xlfn.CONCAT(E386,B386),'Year Wise Master Dep Approach'!F:F,'Year Wise Master Dep Approach'!D:D)</f>
        <v>WDV</v>
      </c>
      <c r="O386" s="113">
        <f>_xlfn.XLOOKUP(_xlfn.CONCAT(E386,B386),'Year Wise Master Dep Approach'!F:F,'Year Wise Master Dep Approach'!E:E)</f>
        <v>3</v>
      </c>
      <c r="P386" s="114">
        <f>IFERROR(IF('FA Addition'!$N386="WDV",1-('FA Addition'!$M386/'FA Addition'!$L386)^(1/'FA Addition'!$O386),1/'FA Addition'!$O386),0)</f>
        <v>0.63149959831422797</v>
      </c>
      <c r="Q386" s="122">
        <f>'FA Addition'!$P386*'FA Addition'!$O386</f>
        <v>1.8944987949426839</v>
      </c>
      <c r="R386" s="122"/>
      <c r="S386" s="116">
        <f>IF(AND(DATE(20&amp;LEFT(FAAddition[[#This Row],[FY]],2),4,1)&lt;$L$1+1,DATE(20&amp;LEFT(FAAddition[[#This Row],[FY]],2),4,1)&gt;$P$1-1),'FA Addition'!$J386,0)</f>
        <v>0</v>
      </c>
      <c r="U386" s="117">
        <f>S386*'FA Addition'!$L386/'FA Addition'!$J386</f>
        <v>0</v>
      </c>
      <c r="W386" s="116">
        <f>SUMIFS('FA Write off'!D:D,'FA Write off'!A:A,'FA Addition'!$A386,'FA Write off'!C:C,"&lt;"&amp;'FA Addition'!$P$1)</f>
        <v>0</v>
      </c>
      <c r="Y386" s="191">
        <f>IFERROR(W386/'FA Addition'!$J386*'FA Addition'!$L386,0)</f>
        <v>0</v>
      </c>
      <c r="AA386" s="116">
        <f>SUMIFS('FA Write off'!D:D,'FA Write off'!A:A,'FA Addition'!$A386,'FA Write off'!C:C,"&lt;"&amp;'FA Addition'!$L$1+1,'FA Write off'!C:C,"&gt;"&amp;'FA Addition'!$L$1-365)</f>
        <v>0</v>
      </c>
      <c r="AC386" s="118">
        <f>IFERROR(AA386/'FA Addition'!$J386*'FA Addition'!$L386,0)</f>
        <v>0</v>
      </c>
      <c r="AE386" s="117">
        <f>IF(AND('FA Addition'!$D386&lt;$P$1+1,U386=0),'FA Addition'!$L386,0)-Y386</f>
        <v>12030.47</v>
      </c>
      <c r="AF386" s="117">
        <f t="shared" si="25"/>
        <v>12030.47</v>
      </c>
      <c r="AG386" s="117">
        <f>MIN(MAX(+$P$1-'FA Addition'!$D386,0),365*'FA Addition'!$O386)</f>
        <v>1095</v>
      </c>
      <c r="AH386" s="117">
        <f>MIN(MAX($L$1-'FA Addition'!$D386+1,0),365*'FA Addition'!$O386)</f>
        <v>1095</v>
      </c>
      <c r="AI386" s="117" cm="1">
        <f t="array" ref="AI386">_xlfn.XLOOKUP(1,('FA Write off'!A:A='FA Addition'!$A386)*('FA Write off'!D:D=AA386),'FA Write off'!H:H,0,0)</f>
        <v>0</v>
      </c>
      <c r="AJ386" s="117">
        <f>IF(AC386&gt;0,MAX(IF('FA Addition'!$N386="SLM",($AC386-'FA Addition'!$M386)*'FA Addition'!$P386*AI386/365,(AC386-'FA Addition'!$M386)*(1-(1-'FA Addition'!$P386)^(AI386/365))),0),0)</f>
        <v>0</v>
      </c>
      <c r="AL386" s="117">
        <f>MAX(IF(AG386&gt;0,IF('FA Addition'!$N386="SLM",($AE386-'FA Addition'!$M386)*'FA Addition'!$P386*AG386/365,IFERROR(VDB(AE386,AE386*0.05,'FA Addition'!$O386,0,YEARFRAC('FA Addition'!$C386,$P$1-1,3),'FA Addition'!$Q386),FAAddition[[#This Row],[Original Cost (Rs)]]-FAAddition[[#This Row],[Salvage Value]])),0),0)</f>
        <v>11428.47</v>
      </c>
      <c r="AM386" s="119"/>
      <c r="AN386" s="117">
        <f>MAX(IF(AH386&gt;0,IF('FA Addition'!$N386="SLM",($AF386-'FA Addition'!$M386)*'FA Addition'!$P386*AH386/365,IFERROR(VDB(AF386,AF386*0.05,'FA Addition'!$O386,0,YEARFRAC('FA Addition'!$C386,$L$1,3),'FA Addition'!$Q386),FAAddition[[#This Row],[Original Cost (Rs)]]-FAAddition[[#This Row],[Salvage Value]])),0),0)</f>
        <v>11428.47</v>
      </c>
      <c r="AO386" s="117">
        <f t="shared" si="28"/>
        <v>0</v>
      </c>
      <c r="AQ386" s="117">
        <f t="shared" si="26"/>
        <v>602</v>
      </c>
      <c r="AR386" s="120">
        <f t="shared" si="27"/>
        <v>602</v>
      </c>
      <c r="AS386" s="121"/>
    </row>
    <row r="387" spans="1:45" ht="13.5" x14ac:dyDescent="0.4">
      <c r="A387" s="12">
        <f t="shared" si="29"/>
        <v>384</v>
      </c>
      <c r="B387" s="64" t="s">
        <v>902</v>
      </c>
      <c r="C387" s="54">
        <v>43378</v>
      </c>
      <c r="D387" s="54">
        <v>43378</v>
      </c>
      <c r="E387" s="46" t="s">
        <v>32</v>
      </c>
      <c r="F387" s="51" t="s">
        <v>32</v>
      </c>
      <c r="G387" s="51" t="s">
        <v>433</v>
      </c>
      <c r="H387" s="51" t="s">
        <v>32</v>
      </c>
      <c r="I387" s="55" t="s">
        <v>977</v>
      </c>
      <c r="J387" s="56">
        <v>10</v>
      </c>
      <c r="K387" s="51" t="s">
        <v>978</v>
      </c>
      <c r="L387" s="58">
        <v>12800</v>
      </c>
      <c r="M387" s="50">
        <f>ROUND('FA Addition'!$L387*5%,0.1)</f>
        <v>640</v>
      </c>
      <c r="N387" s="113" t="str">
        <f>_xlfn.XLOOKUP(_xlfn.CONCAT(E387,B387),'Year Wise Master Dep Approach'!F:F,'Year Wise Master Dep Approach'!D:D)</f>
        <v>WDV</v>
      </c>
      <c r="O387" s="113">
        <f>_xlfn.XLOOKUP(_xlfn.CONCAT(E387,B387),'Year Wise Master Dep Approach'!F:F,'Year Wise Master Dep Approach'!E:E)</f>
        <v>3</v>
      </c>
      <c r="P387" s="114">
        <f>IFERROR(IF('FA Addition'!$N387="WDV",1-('FA Addition'!$M387/'FA Addition'!$L387)^(1/'FA Addition'!$O387),1/'FA Addition'!$O387),0)</f>
        <v>0.63159685013596123</v>
      </c>
      <c r="Q387" s="122">
        <f>'FA Addition'!$P387*'FA Addition'!$O387</f>
        <v>1.8947905504078837</v>
      </c>
      <c r="R387" s="122"/>
      <c r="S387" s="116">
        <f>IF(AND(DATE(20&amp;LEFT(FAAddition[[#This Row],[FY]],2),4,1)&lt;$L$1+1,DATE(20&amp;LEFT(FAAddition[[#This Row],[FY]],2),4,1)&gt;$P$1-1),'FA Addition'!$J387,0)</f>
        <v>0</v>
      </c>
      <c r="U387" s="117">
        <f>S387*'FA Addition'!$L387/'FA Addition'!$J387</f>
        <v>0</v>
      </c>
      <c r="W387" s="116">
        <f>SUMIFS('FA Write off'!D:D,'FA Write off'!A:A,'FA Addition'!$A387,'FA Write off'!C:C,"&lt;"&amp;'FA Addition'!$P$1)</f>
        <v>0</v>
      </c>
      <c r="Y387" s="191">
        <f>IFERROR(W387/'FA Addition'!$J387*'FA Addition'!$L387,0)</f>
        <v>0</v>
      </c>
      <c r="AA387" s="116">
        <f>SUMIFS('FA Write off'!D:D,'FA Write off'!A:A,'FA Addition'!$A387,'FA Write off'!C:C,"&lt;"&amp;'FA Addition'!$L$1+1,'FA Write off'!C:C,"&gt;"&amp;'FA Addition'!$L$1-365)</f>
        <v>0</v>
      </c>
      <c r="AC387" s="118">
        <f>IFERROR(AA387/'FA Addition'!$J387*'FA Addition'!$L387,0)</f>
        <v>0</v>
      </c>
      <c r="AE387" s="117">
        <f>IF(AND('FA Addition'!$D387&lt;$P$1+1,U387=0),'FA Addition'!$L387,0)-Y387</f>
        <v>12800</v>
      </c>
      <c r="AF387" s="117">
        <f t="shared" si="25"/>
        <v>12800</v>
      </c>
      <c r="AG387" s="117">
        <f>MIN(MAX(+$P$1-'FA Addition'!$D387,0),365*'FA Addition'!$O387)</f>
        <v>1095</v>
      </c>
      <c r="AH387" s="117">
        <f>MIN(MAX($L$1-'FA Addition'!$D387+1,0),365*'FA Addition'!$O387)</f>
        <v>1095</v>
      </c>
      <c r="AI387" s="117" cm="1">
        <f t="array" ref="AI387">_xlfn.XLOOKUP(1,('FA Write off'!A:A='FA Addition'!$A387)*('FA Write off'!D:D=AA387),'FA Write off'!H:H,0,0)</f>
        <v>0</v>
      </c>
      <c r="AJ387" s="117">
        <f>IF(AC387&gt;0,MAX(IF('FA Addition'!$N387="SLM",($AC387-'FA Addition'!$M387)*'FA Addition'!$P387*AI387/365,(AC387-'FA Addition'!$M387)*(1-(1-'FA Addition'!$P387)^(AI387/365))),0),0)</f>
        <v>0</v>
      </c>
      <c r="AL387" s="117">
        <f>MAX(IF(AG387&gt;0,IF('FA Addition'!$N387="SLM",($AE387-'FA Addition'!$M387)*'FA Addition'!$P387*AG387/365,IFERROR(VDB(AE387,AE387*0.05,'FA Addition'!$O387,0,YEARFRAC('FA Addition'!$C387,$P$1-1,3),'FA Addition'!$Q387),FAAddition[[#This Row],[Original Cost (Rs)]]-FAAddition[[#This Row],[Salvage Value]])),0),0)</f>
        <v>12160</v>
      </c>
      <c r="AM387" s="119"/>
      <c r="AN387" s="117">
        <f>MAX(IF(AH387&gt;0,IF('FA Addition'!$N387="SLM",($AF387-'FA Addition'!$M387)*'FA Addition'!$P387*AH387/365,IFERROR(VDB(AF387,AF387*0.05,'FA Addition'!$O387,0,YEARFRAC('FA Addition'!$C387,$L$1,3),'FA Addition'!$Q387),FAAddition[[#This Row],[Original Cost (Rs)]]-FAAddition[[#This Row],[Salvage Value]])),0),0)</f>
        <v>12160</v>
      </c>
      <c r="AO387" s="117">
        <f t="shared" si="28"/>
        <v>0</v>
      </c>
      <c r="AQ387" s="117">
        <f t="shared" si="26"/>
        <v>640</v>
      </c>
      <c r="AR387" s="120">
        <f t="shared" si="27"/>
        <v>640</v>
      </c>
      <c r="AS387" s="121"/>
    </row>
    <row r="388" spans="1:45" ht="13.5" x14ac:dyDescent="0.4">
      <c r="A388" s="12">
        <f t="shared" si="29"/>
        <v>385</v>
      </c>
      <c r="B388" s="64" t="s">
        <v>902</v>
      </c>
      <c r="C388" s="54">
        <v>43382</v>
      </c>
      <c r="D388" s="54">
        <v>43382</v>
      </c>
      <c r="E388" s="46" t="s">
        <v>207</v>
      </c>
      <c r="F388" s="51" t="s">
        <v>147</v>
      </c>
      <c r="G388" s="51" t="s">
        <v>979</v>
      </c>
      <c r="H388" s="51" t="s">
        <v>207</v>
      </c>
      <c r="I388" s="55" t="s">
        <v>980</v>
      </c>
      <c r="J388" s="56">
        <v>1</v>
      </c>
      <c r="K388" s="51" t="s">
        <v>981</v>
      </c>
      <c r="L388" s="58">
        <v>8034.82</v>
      </c>
      <c r="M388" s="50">
        <f>ROUND('FA Addition'!$L388*5%,0.1)</f>
        <v>402</v>
      </c>
      <c r="N388" s="113" t="str">
        <f>_xlfn.XLOOKUP(_xlfn.CONCAT(E388,B388),'Year Wise Master Dep Approach'!F:F,'Year Wise Master Dep Approach'!D:D)</f>
        <v>WDV</v>
      </c>
      <c r="O388" s="113">
        <f>_xlfn.XLOOKUP(_xlfn.CONCAT(E388,B388),'Year Wise Master Dep Approach'!F:F,'Year Wise Master Dep Approach'!E:E)</f>
        <v>5</v>
      </c>
      <c r="P388" s="114">
        <f>IFERROR(IF('FA Addition'!$N388="WDV",1-('FA Addition'!$M388/'FA Addition'!$L388)^(1/'FA Addition'!$O388),1/'FA Addition'!$O388),0)</f>
        <v>0.45064892306794235</v>
      </c>
      <c r="Q388" s="122">
        <f>'FA Addition'!$P388*'FA Addition'!$O388</f>
        <v>2.2532446153397117</v>
      </c>
      <c r="R388" s="122"/>
      <c r="S388" s="116">
        <f>IF(AND(DATE(20&amp;LEFT(FAAddition[[#This Row],[FY]],2),4,1)&lt;$L$1+1,DATE(20&amp;LEFT(FAAddition[[#This Row],[FY]],2),4,1)&gt;$P$1-1),'FA Addition'!$J388,0)</f>
        <v>0</v>
      </c>
      <c r="U388" s="117">
        <f>S388*'FA Addition'!$L388/'FA Addition'!$J388</f>
        <v>0</v>
      </c>
      <c r="W388" s="116">
        <f>SUMIFS('FA Write off'!D:D,'FA Write off'!A:A,'FA Addition'!$A388,'FA Write off'!C:C,"&lt;"&amp;'FA Addition'!$P$1)</f>
        <v>0</v>
      </c>
      <c r="Y388" s="191">
        <f>IFERROR(W388/'FA Addition'!$J388*'FA Addition'!$L388,0)</f>
        <v>0</v>
      </c>
      <c r="AA388" s="116">
        <f>SUMIFS('FA Write off'!D:D,'FA Write off'!A:A,'FA Addition'!$A388,'FA Write off'!C:C,"&lt;"&amp;'FA Addition'!$L$1+1,'FA Write off'!C:C,"&gt;"&amp;'FA Addition'!$L$1-365)</f>
        <v>0</v>
      </c>
      <c r="AC388" s="118">
        <f>IFERROR(AA388/'FA Addition'!$J388*'FA Addition'!$L388,0)</f>
        <v>0</v>
      </c>
      <c r="AE388" s="117">
        <f>IF(AND('FA Addition'!$D388&lt;$P$1+1,U388=0),'FA Addition'!$L388,0)-Y388</f>
        <v>8034.82</v>
      </c>
      <c r="AF388" s="117">
        <f t="shared" ref="AF388:AF451" si="30">AE388+U388-AC388</f>
        <v>8034.82</v>
      </c>
      <c r="AG388" s="117">
        <f>MIN(MAX(+$P$1-'FA Addition'!$D388,0),365*'FA Addition'!$O388)</f>
        <v>1635</v>
      </c>
      <c r="AH388" s="117">
        <f>MIN(MAX($L$1-'FA Addition'!$D388+1,0),365*'FA Addition'!$O388)</f>
        <v>1825</v>
      </c>
      <c r="AI388" s="117" cm="1">
        <f t="array" ref="AI388">_xlfn.XLOOKUP(1,('FA Write off'!A:A='FA Addition'!$A388)*('FA Write off'!D:D=AA388),'FA Write off'!H:H,0,0)</f>
        <v>0</v>
      </c>
      <c r="AJ388" s="117">
        <f>IF(AC388&gt;0,MAX(IF('FA Addition'!$N388="SLM",($AC388-'FA Addition'!$M388)*'FA Addition'!$P388*AI388/365,(AC388-'FA Addition'!$M388)*(1-(1-'FA Addition'!$P388)^(AI388/365))),0),0)</f>
        <v>0</v>
      </c>
      <c r="AL388" s="117">
        <f>MAX(IF(AG388&gt;0,IF('FA Addition'!$N388="SLM",($AE388-'FA Addition'!$M388)*'FA Addition'!$P388*AG388/365,IFERROR(VDB(AE388,AE388*0.05,'FA Addition'!$O388,0,YEARFRAC('FA Addition'!$C388,$P$1-1,3),'FA Addition'!$Q388),FAAddition[[#This Row],[Original Cost (Rs)]]-FAAddition[[#This Row],[Salvage Value]])),0),0)</f>
        <v>7460.3775953565309</v>
      </c>
      <c r="AM388" s="119"/>
      <c r="AN388" s="117">
        <f>MAX(IF(AH388&gt;0,IF('FA Addition'!$N388="SLM",($AF388-'FA Addition'!$M388)*'FA Addition'!$P388*AH388/365,IFERROR(VDB(AF388,AF388*0.05,'FA Addition'!$O388,0,YEARFRAC('FA Addition'!$C388,$L$1,3),'FA Addition'!$Q388),FAAddition[[#This Row],[Original Cost (Rs)]]-FAAddition[[#This Row],[Salvage Value]])),0),0)</f>
        <v>7632.82</v>
      </c>
      <c r="AO388" s="117">
        <f t="shared" si="28"/>
        <v>172.44240464346876</v>
      </c>
      <c r="AQ388" s="117">
        <f t="shared" ref="AQ388:AQ451" si="31">AE388-AL388</f>
        <v>574.44240464346876</v>
      </c>
      <c r="AR388" s="120">
        <f t="shared" ref="AR388:AR451" si="32">AF388-AN388</f>
        <v>402</v>
      </c>
      <c r="AS388" s="121"/>
    </row>
    <row r="389" spans="1:45" ht="13.5" x14ac:dyDescent="0.4">
      <c r="A389" s="12">
        <f t="shared" si="29"/>
        <v>386</v>
      </c>
      <c r="B389" s="64" t="s">
        <v>902</v>
      </c>
      <c r="C389" s="54">
        <v>43398</v>
      </c>
      <c r="D389" s="54">
        <v>43398</v>
      </c>
      <c r="E389" s="46" t="s">
        <v>451</v>
      </c>
      <c r="F389" s="51" t="s">
        <v>21</v>
      </c>
      <c r="G389" s="51" t="s">
        <v>888</v>
      </c>
      <c r="H389" s="51" t="s">
        <v>21</v>
      </c>
      <c r="I389" s="55" t="s">
        <v>982</v>
      </c>
      <c r="J389" s="56">
        <v>1</v>
      </c>
      <c r="K389" s="51" t="s">
        <v>983</v>
      </c>
      <c r="L389" s="58">
        <v>50415</v>
      </c>
      <c r="M389" s="50">
        <f>ROUND('FA Addition'!$L389*5%,0.1)</f>
        <v>2521</v>
      </c>
      <c r="N389" s="113" t="str">
        <f>_xlfn.XLOOKUP(_xlfn.CONCAT(E389,B389),'Year Wise Master Dep Approach'!F:F,'Year Wise Master Dep Approach'!D:D)</f>
        <v>WDV</v>
      </c>
      <c r="O389" s="113">
        <f>_xlfn.XLOOKUP(_xlfn.CONCAT(E389,B389),'Year Wise Master Dep Approach'!F:F,'Year Wise Master Dep Approach'!E:E)</f>
        <v>3</v>
      </c>
      <c r="P389" s="114">
        <f>IFERROR(IF('FA Addition'!$N389="WDV",1-('FA Addition'!$M389/'FA Addition'!$L389)^(1/'FA Addition'!$O389),1/'FA Addition'!$O389),0)</f>
        <v>0.63158467151942799</v>
      </c>
      <c r="Q389" s="122">
        <f>'FA Addition'!$P389*'FA Addition'!$O389</f>
        <v>1.894754014558284</v>
      </c>
      <c r="R389" s="122"/>
      <c r="S389" s="116">
        <f>IF(AND(DATE(20&amp;LEFT(FAAddition[[#This Row],[FY]],2),4,1)&lt;$L$1+1,DATE(20&amp;LEFT(FAAddition[[#This Row],[FY]],2),4,1)&gt;$P$1-1),'FA Addition'!$J389,0)</f>
        <v>0</v>
      </c>
      <c r="U389" s="117">
        <f>S389*'FA Addition'!$L389/'FA Addition'!$J389</f>
        <v>0</v>
      </c>
      <c r="W389" s="116">
        <f>SUMIFS('FA Write off'!D:D,'FA Write off'!A:A,'FA Addition'!$A389,'FA Write off'!C:C,"&lt;"&amp;'FA Addition'!$P$1)</f>
        <v>0</v>
      </c>
      <c r="Y389" s="191">
        <f>IFERROR(W389/'FA Addition'!$J389*'FA Addition'!$L389,0)</f>
        <v>0</v>
      </c>
      <c r="AA389" s="116">
        <f>SUMIFS('FA Write off'!D:D,'FA Write off'!A:A,'FA Addition'!$A389,'FA Write off'!C:C,"&lt;"&amp;'FA Addition'!$L$1+1,'FA Write off'!C:C,"&gt;"&amp;'FA Addition'!$L$1-365)</f>
        <v>0</v>
      </c>
      <c r="AC389" s="118">
        <f>IFERROR(AA389/'FA Addition'!$J389*'FA Addition'!$L389,0)</f>
        <v>0</v>
      </c>
      <c r="AE389" s="117">
        <f>IF(AND('FA Addition'!$D389&lt;$P$1+1,U389=0),'FA Addition'!$L389,0)-Y389</f>
        <v>50415</v>
      </c>
      <c r="AF389" s="117">
        <f t="shared" si="30"/>
        <v>50415</v>
      </c>
      <c r="AG389" s="117">
        <f>MIN(MAX(+$P$1-'FA Addition'!$D389,0),365*'FA Addition'!$O389)</f>
        <v>1095</v>
      </c>
      <c r="AH389" s="117">
        <f>MIN(MAX($L$1-'FA Addition'!$D389+1,0),365*'FA Addition'!$O389)</f>
        <v>1095</v>
      </c>
      <c r="AI389" s="117" cm="1">
        <f t="array" ref="AI389">_xlfn.XLOOKUP(1,('FA Write off'!A:A='FA Addition'!$A389)*('FA Write off'!D:D=AA389),'FA Write off'!H:H,0,0)</f>
        <v>0</v>
      </c>
      <c r="AJ389" s="117">
        <f>IF(AC389&gt;0,MAX(IF('FA Addition'!$N389="SLM",($AC389-'FA Addition'!$M389)*'FA Addition'!$P389*AI389/365,(AC389-'FA Addition'!$M389)*(1-(1-'FA Addition'!$P389)^(AI389/365))),0),0)</f>
        <v>0</v>
      </c>
      <c r="AL389" s="117">
        <f>MAX(IF(AG389&gt;0,IF('FA Addition'!$N389="SLM",($AE389-'FA Addition'!$M389)*'FA Addition'!$P389*AG389/365,IFERROR(VDB(AE389,AE389*0.05,'FA Addition'!$O389,0,YEARFRAC('FA Addition'!$C389,$P$1-1,3),'FA Addition'!$Q389),FAAddition[[#This Row],[Original Cost (Rs)]]-FAAddition[[#This Row],[Salvage Value]])),0),0)</f>
        <v>47894</v>
      </c>
      <c r="AM389" s="119"/>
      <c r="AN389" s="117">
        <f>MAX(IF(AH389&gt;0,IF('FA Addition'!$N389="SLM",($AF389-'FA Addition'!$M389)*'FA Addition'!$P389*AH389/365,IFERROR(VDB(AF389,AF389*0.05,'FA Addition'!$O389,0,YEARFRAC('FA Addition'!$C389,$L$1,3),'FA Addition'!$Q389),FAAddition[[#This Row],[Original Cost (Rs)]]-FAAddition[[#This Row],[Salvage Value]])),0),0)</f>
        <v>47894</v>
      </c>
      <c r="AO389" s="117">
        <f t="shared" ref="AO389:AO452" si="33">AN389-AL389+AJ389</f>
        <v>0</v>
      </c>
      <c r="AQ389" s="117">
        <f t="shared" si="31"/>
        <v>2521</v>
      </c>
      <c r="AR389" s="120">
        <f t="shared" si="32"/>
        <v>2521</v>
      </c>
      <c r="AS389" s="121"/>
    </row>
    <row r="390" spans="1:45" ht="13.5" x14ac:dyDescent="0.4">
      <c r="A390" s="12">
        <f t="shared" ref="A390:A453" si="34">A389+1</f>
        <v>387</v>
      </c>
      <c r="B390" s="64" t="s">
        <v>902</v>
      </c>
      <c r="C390" s="54">
        <v>43382</v>
      </c>
      <c r="D390" s="54">
        <v>43424</v>
      </c>
      <c r="E390" s="46" t="s">
        <v>207</v>
      </c>
      <c r="F390" s="51" t="s">
        <v>147</v>
      </c>
      <c r="G390" s="51" t="s">
        <v>984</v>
      </c>
      <c r="H390" s="51" t="s">
        <v>207</v>
      </c>
      <c r="I390" s="55" t="s">
        <v>980</v>
      </c>
      <c r="J390" s="56">
        <v>1</v>
      </c>
      <c r="K390" s="51" t="s">
        <v>981</v>
      </c>
      <c r="L390" s="58">
        <v>8999</v>
      </c>
      <c r="M390" s="50">
        <f>ROUND('FA Addition'!$L390*5%,0.1)</f>
        <v>450</v>
      </c>
      <c r="N390" s="113" t="str">
        <f>_xlfn.XLOOKUP(_xlfn.CONCAT(E390,B390),'Year Wise Master Dep Approach'!F:F,'Year Wise Master Dep Approach'!D:D)</f>
        <v>WDV</v>
      </c>
      <c r="O390" s="113">
        <f>_xlfn.XLOOKUP(_xlfn.CONCAT(E390,B390),'Year Wise Master Dep Approach'!F:F,'Year Wise Master Dep Approach'!E:E)</f>
        <v>5</v>
      </c>
      <c r="P390" s="114">
        <f>IFERROR(IF('FA Addition'!$N390="WDV",1-('FA Addition'!$M390/'FA Addition'!$L390)^(1/'FA Addition'!$O390),1/'FA Addition'!$O390),0)</f>
        <v>0.45070752130486724</v>
      </c>
      <c r="Q390" s="122">
        <f>'FA Addition'!$P390*'FA Addition'!$O390</f>
        <v>2.2535376065243362</v>
      </c>
      <c r="R390" s="122"/>
      <c r="S390" s="116">
        <f>IF(AND(DATE(20&amp;LEFT(FAAddition[[#This Row],[FY]],2),4,1)&lt;$L$1+1,DATE(20&amp;LEFT(FAAddition[[#This Row],[FY]],2),4,1)&gt;$P$1-1),'FA Addition'!$J390,0)</f>
        <v>0</v>
      </c>
      <c r="U390" s="117">
        <f>S390*'FA Addition'!$L390/'FA Addition'!$J390</f>
        <v>0</v>
      </c>
      <c r="W390" s="116">
        <f>SUMIFS('FA Write off'!D:D,'FA Write off'!A:A,'FA Addition'!$A390,'FA Write off'!C:C,"&lt;"&amp;'FA Addition'!$P$1)</f>
        <v>0</v>
      </c>
      <c r="Y390" s="191">
        <f>IFERROR(W390/'FA Addition'!$J390*'FA Addition'!$L390,0)</f>
        <v>0</v>
      </c>
      <c r="AA390" s="116">
        <f>SUMIFS('FA Write off'!D:D,'FA Write off'!A:A,'FA Addition'!$A390,'FA Write off'!C:C,"&lt;"&amp;'FA Addition'!$L$1+1,'FA Write off'!C:C,"&gt;"&amp;'FA Addition'!$L$1-365)</f>
        <v>0</v>
      </c>
      <c r="AC390" s="118">
        <f>IFERROR(AA390/'FA Addition'!$J390*'FA Addition'!$L390,0)</f>
        <v>0</v>
      </c>
      <c r="AE390" s="117">
        <f>IF(AND('FA Addition'!$D390&lt;$P$1+1,U390=0),'FA Addition'!$L390,0)-Y390</f>
        <v>8999</v>
      </c>
      <c r="AF390" s="117">
        <f t="shared" si="30"/>
        <v>8999</v>
      </c>
      <c r="AG390" s="117">
        <f>MIN(MAX(+$P$1-'FA Addition'!$D390,0),365*'FA Addition'!$O390)</f>
        <v>1593</v>
      </c>
      <c r="AH390" s="117">
        <f>MIN(MAX($L$1-'FA Addition'!$D390+1,0),365*'FA Addition'!$O390)</f>
        <v>1825</v>
      </c>
      <c r="AI390" s="117" cm="1">
        <f t="array" ref="AI390">_xlfn.XLOOKUP(1,('FA Write off'!A:A='FA Addition'!$A390)*('FA Write off'!D:D=AA390),'FA Write off'!H:H,0,0)</f>
        <v>0</v>
      </c>
      <c r="AJ390" s="117">
        <f>IF(AC390&gt;0,MAX(IF('FA Addition'!$N390="SLM",($AC390-'FA Addition'!$M390)*'FA Addition'!$P390*AI390/365,(AC390-'FA Addition'!$M390)*(1-(1-'FA Addition'!$P390)^(AI390/365))),0),0)</f>
        <v>0</v>
      </c>
      <c r="AL390" s="117">
        <f>MAX(IF(AG390&gt;0,IF('FA Addition'!$N390="SLM",($AE390-'FA Addition'!$M390)*'FA Addition'!$P390*AG390/365,IFERROR(VDB(AE390,AE390*0.05,'FA Addition'!$O390,0,YEARFRAC('FA Addition'!$C390,$P$1-1,3),'FA Addition'!$Q390),FAAddition[[#This Row],[Original Cost (Rs)]]-FAAddition[[#This Row],[Salvage Value]])),0),0)</f>
        <v>8355.8073539235393</v>
      </c>
      <c r="AM390" s="119"/>
      <c r="AN390" s="117">
        <f>MAX(IF(AH390&gt;0,IF('FA Addition'!$N390="SLM",($AF390-'FA Addition'!$M390)*'FA Addition'!$P390*AH390/365,IFERROR(VDB(AF390,AF390*0.05,'FA Addition'!$O390,0,YEARFRAC('FA Addition'!$C390,$L$1,3),'FA Addition'!$Q390),FAAddition[[#This Row],[Original Cost (Rs)]]-FAAddition[[#This Row],[Salvage Value]])),0),0)</f>
        <v>8549</v>
      </c>
      <c r="AO390" s="117">
        <f t="shared" si="33"/>
        <v>193.19264607646073</v>
      </c>
      <c r="AQ390" s="117">
        <f t="shared" si="31"/>
        <v>643.19264607646073</v>
      </c>
      <c r="AR390" s="120">
        <f t="shared" si="32"/>
        <v>450</v>
      </c>
      <c r="AS390" s="121"/>
    </row>
    <row r="391" spans="1:45" ht="13.5" x14ac:dyDescent="0.4">
      <c r="A391" s="12">
        <f t="shared" si="34"/>
        <v>388</v>
      </c>
      <c r="B391" s="64" t="s">
        <v>902</v>
      </c>
      <c r="C391" s="54">
        <v>43424</v>
      </c>
      <c r="D391" s="54">
        <v>43424</v>
      </c>
      <c r="E391" s="46" t="s">
        <v>207</v>
      </c>
      <c r="F391" s="51" t="s">
        <v>147</v>
      </c>
      <c r="G391" s="51" t="s">
        <v>985</v>
      </c>
      <c r="H391" s="51" t="s">
        <v>207</v>
      </c>
      <c r="I391" s="55" t="s">
        <v>436</v>
      </c>
      <c r="J391" s="56">
        <v>1</v>
      </c>
      <c r="K391" s="51" t="s">
        <v>986</v>
      </c>
      <c r="L391" s="58">
        <v>8100</v>
      </c>
      <c r="M391" s="50">
        <f>ROUND('FA Addition'!$L391*5%,0.1)</f>
        <v>405</v>
      </c>
      <c r="N391" s="113" t="str">
        <f>_xlfn.XLOOKUP(_xlfn.CONCAT(E391,B391),'Year Wise Master Dep Approach'!F:F,'Year Wise Master Dep Approach'!D:D)</f>
        <v>WDV</v>
      </c>
      <c r="O391" s="113">
        <f>_xlfn.XLOOKUP(_xlfn.CONCAT(E391,B391),'Year Wise Master Dep Approach'!F:F,'Year Wise Master Dep Approach'!E:E)</f>
        <v>5</v>
      </c>
      <c r="P391" s="114">
        <f>IFERROR(IF('FA Addition'!$N391="WDV",1-('FA Addition'!$M391/'FA Addition'!$L391)^(1/'FA Addition'!$O391),1/'FA Addition'!$O391),0)</f>
        <v>0.45071972834694107</v>
      </c>
      <c r="Q391" s="122">
        <f>'FA Addition'!$P391*'FA Addition'!$O391</f>
        <v>2.2535986417347056</v>
      </c>
      <c r="R391" s="122"/>
      <c r="S391" s="116">
        <f>IF(AND(DATE(20&amp;LEFT(FAAddition[[#This Row],[FY]],2),4,1)&lt;$L$1+1,DATE(20&amp;LEFT(FAAddition[[#This Row],[FY]],2),4,1)&gt;$P$1-1),'FA Addition'!$J391,0)</f>
        <v>0</v>
      </c>
      <c r="U391" s="117">
        <f>S391*'FA Addition'!$L391/'FA Addition'!$J391</f>
        <v>0</v>
      </c>
      <c r="W391" s="116">
        <f>SUMIFS('FA Write off'!D:D,'FA Write off'!A:A,'FA Addition'!$A391,'FA Write off'!C:C,"&lt;"&amp;'FA Addition'!$P$1)</f>
        <v>0</v>
      </c>
      <c r="Y391" s="191">
        <f>IFERROR(W391/'FA Addition'!$J391*'FA Addition'!$L391,0)</f>
        <v>0</v>
      </c>
      <c r="AA391" s="116">
        <f>SUMIFS('FA Write off'!D:D,'FA Write off'!A:A,'FA Addition'!$A391,'FA Write off'!C:C,"&lt;"&amp;'FA Addition'!$L$1+1,'FA Write off'!C:C,"&gt;"&amp;'FA Addition'!$L$1-365)</f>
        <v>0</v>
      </c>
      <c r="AC391" s="118">
        <f>IFERROR(AA391/'FA Addition'!$J391*'FA Addition'!$L391,0)</f>
        <v>0</v>
      </c>
      <c r="AE391" s="117">
        <f>IF(AND('FA Addition'!$D391&lt;$P$1+1,U391=0),'FA Addition'!$L391,0)-Y391</f>
        <v>8100</v>
      </c>
      <c r="AF391" s="117">
        <f t="shared" si="30"/>
        <v>8100</v>
      </c>
      <c r="AG391" s="117">
        <f>MIN(MAX(+$P$1-'FA Addition'!$D391,0),365*'FA Addition'!$O391)</f>
        <v>1593</v>
      </c>
      <c r="AH391" s="117">
        <f>MIN(MAX($L$1-'FA Addition'!$D391+1,0),365*'FA Addition'!$O391)</f>
        <v>1825</v>
      </c>
      <c r="AI391" s="117" cm="1">
        <f t="array" ref="AI391">_xlfn.XLOOKUP(1,('FA Write off'!A:A='FA Addition'!$A391)*('FA Write off'!D:D=AA391),'FA Write off'!H:H,0,0)</f>
        <v>0</v>
      </c>
      <c r="AJ391" s="117">
        <f>IF(AC391&gt;0,MAX(IF('FA Addition'!$N391="SLM",($AC391-'FA Addition'!$M391)*'FA Addition'!$P391*AI391/365,(AC391-'FA Addition'!$M391)*(1-(1-'FA Addition'!$P391)^(AI391/365))),0),0)</f>
        <v>0</v>
      </c>
      <c r="AL391" s="117">
        <f>MAX(IF(AG391&gt;0,IF('FA Addition'!$N391="SLM",($AE391-'FA Addition'!$M391)*'FA Addition'!$P391*AG391/365,IFERROR(VDB(AE391,AE391*0.05,'FA Addition'!$O391,0,YEARFRAC('FA Addition'!$C391,$P$1-1,3),'FA Addition'!$Q391),FAAddition[[#This Row],[Original Cost (Rs)]]-FAAddition[[#This Row],[Salvage Value]])),0),0)</f>
        <v>7482.8560520039555</v>
      </c>
      <c r="AM391" s="119"/>
      <c r="AN391" s="117">
        <f>MAX(IF(AH391&gt;0,IF('FA Addition'!$N391="SLM",($AF391-'FA Addition'!$M391)*'FA Addition'!$P391*AH391/365,IFERROR(VDB(AF391,AF391*0.05,'FA Addition'!$O391,0,YEARFRAC('FA Addition'!$C391,$L$1,3),'FA Addition'!$Q391),FAAddition[[#This Row],[Original Cost (Rs)]]-FAAddition[[#This Row],[Salvage Value]])),0),0)</f>
        <v>7695</v>
      </c>
      <c r="AO391" s="117">
        <f t="shared" si="33"/>
        <v>212.14394799604452</v>
      </c>
      <c r="AQ391" s="117">
        <f t="shared" si="31"/>
        <v>617.14394799604452</v>
      </c>
      <c r="AR391" s="120">
        <f t="shared" si="32"/>
        <v>405</v>
      </c>
      <c r="AS391" s="121"/>
    </row>
    <row r="392" spans="1:45" ht="13.5" x14ac:dyDescent="0.4">
      <c r="A392" s="12">
        <f t="shared" si="34"/>
        <v>389</v>
      </c>
      <c r="B392" s="64" t="s">
        <v>902</v>
      </c>
      <c r="C392" s="54">
        <v>43425</v>
      </c>
      <c r="D392" s="54">
        <v>43425</v>
      </c>
      <c r="E392" s="46" t="s">
        <v>749</v>
      </c>
      <c r="F392" s="51" t="s">
        <v>118</v>
      </c>
      <c r="G392" s="51" t="s">
        <v>732</v>
      </c>
      <c r="H392" s="51" t="s">
        <v>118</v>
      </c>
      <c r="I392" s="55" t="s">
        <v>987</v>
      </c>
      <c r="J392" s="56">
        <v>1</v>
      </c>
      <c r="K392" s="51" t="s">
        <v>988</v>
      </c>
      <c r="L392" s="58">
        <v>7625.42</v>
      </c>
      <c r="M392" s="50">
        <f>ROUND('FA Addition'!$L392*5%,0.1)</f>
        <v>381</v>
      </c>
      <c r="N392" s="113" t="str">
        <f>_xlfn.XLOOKUP(_xlfn.CONCAT(E392,B392),'Year Wise Master Dep Approach'!F:F,'Year Wise Master Dep Approach'!D:D)</f>
        <v>WDV</v>
      </c>
      <c r="O392" s="113">
        <f>_xlfn.XLOOKUP(_xlfn.CONCAT(E392,B392),'Year Wise Master Dep Approach'!F:F,'Year Wise Master Dep Approach'!E:E)</f>
        <v>5</v>
      </c>
      <c r="P392" s="114">
        <f>IFERROR(IF('FA Addition'!$N392="WDV",1-('FA Addition'!$M392/'FA Addition'!$L392)^(1/'FA Addition'!$O392),1/'FA Addition'!$O392),0)</f>
        <v>0.45079783410004393</v>
      </c>
      <c r="Q392" s="122">
        <f>'FA Addition'!$P392*'FA Addition'!$O392</f>
        <v>2.2539891705002195</v>
      </c>
      <c r="R392" s="122"/>
      <c r="S392" s="116">
        <f>IF(AND(DATE(20&amp;LEFT(FAAddition[[#This Row],[FY]],2),4,1)&lt;$L$1+1,DATE(20&amp;LEFT(FAAddition[[#This Row],[FY]],2),4,1)&gt;$P$1-1),'FA Addition'!$J392,0)</f>
        <v>0</v>
      </c>
      <c r="U392" s="117">
        <f>S392*'FA Addition'!$L392/'FA Addition'!$J392</f>
        <v>0</v>
      </c>
      <c r="W392" s="116">
        <f>SUMIFS('FA Write off'!D:D,'FA Write off'!A:A,'FA Addition'!$A392,'FA Write off'!C:C,"&lt;"&amp;'FA Addition'!$P$1)</f>
        <v>0</v>
      </c>
      <c r="Y392" s="191">
        <f>IFERROR(W392/'FA Addition'!$J392*'FA Addition'!$L392,0)</f>
        <v>0</v>
      </c>
      <c r="AA392" s="116">
        <f>SUMIFS('FA Write off'!D:D,'FA Write off'!A:A,'FA Addition'!$A392,'FA Write off'!C:C,"&lt;"&amp;'FA Addition'!$L$1+1,'FA Write off'!C:C,"&gt;"&amp;'FA Addition'!$L$1-365)</f>
        <v>0</v>
      </c>
      <c r="AC392" s="118">
        <f>IFERROR(AA392/'FA Addition'!$J392*'FA Addition'!$L392,0)</f>
        <v>0</v>
      </c>
      <c r="AE392" s="117">
        <f>IF(AND('FA Addition'!$D392&lt;$P$1+1,U392=0),'FA Addition'!$L392,0)-Y392</f>
        <v>7625.42</v>
      </c>
      <c r="AF392" s="117">
        <f t="shared" si="30"/>
        <v>7625.42</v>
      </c>
      <c r="AG392" s="117">
        <f>MIN(MAX(+$P$1-'FA Addition'!$D392,0),365*'FA Addition'!$O392)</f>
        <v>1592</v>
      </c>
      <c r="AH392" s="117">
        <f>MIN(MAX($L$1-'FA Addition'!$D392+1,0),365*'FA Addition'!$O392)</f>
        <v>1825</v>
      </c>
      <c r="AI392" s="117" cm="1">
        <f t="array" ref="AI392">_xlfn.XLOOKUP(1,('FA Write off'!A:A='FA Addition'!$A392)*('FA Write off'!D:D=AA392),'FA Write off'!H:H,0,0)</f>
        <v>0</v>
      </c>
      <c r="AJ392" s="117">
        <f>IF(AC392&gt;0,MAX(IF('FA Addition'!$N392="SLM",($AC392-'FA Addition'!$M392)*'FA Addition'!$P392*AI392/365,(AC392-'FA Addition'!$M392)*(1-(1-'FA Addition'!$P392)^(AI392/365))),0),0)</f>
        <v>0</v>
      </c>
      <c r="AL392" s="117">
        <f>MAX(IF(AG392&gt;0,IF('FA Addition'!$N392="SLM",($AE392-'FA Addition'!$M392)*'FA Addition'!$P392*AG392/365,IFERROR(VDB(AE392,AE392*0.05,'FA Addition'!$O392,0,YEARFRAC('FA Addition'!$C392,$P$1-1,3),'FA Addition'!$Q392),FAAddition[[#This Row],[Original Cost (Rs)]]-FAAddition[[#This Row],[Salvage Value]])),0),0)</f>
        <v>7043.8305061872124</v>
      </c>
      <c r="AM392" s="119"/>
      <c r="AN392" s="117">
        <f>MAX(IF(AH392&gt;0,IF('FA Addition'!$N392="SLM",($AF392-'FA Addition'!$M392)*'FA Addition'!$P392*AH392/365,IFERROR(VDB(AF392,AF392*0.05,'FA Addition'!$O392,0,YEARFRAC('FA Addition'!$C392,$L$1,3),'FA Addition'!$Q392),FAAddition[[#This Row],[Original Cost (Rs)]]-FAAddition[[#This Row],[Salvage Value]])),0),0)</f>
        <v>7244.42</v>
      </c>
      <c r="AO392" s="117">
        <f t="shared" si="33"/>
        <v>200.58949381278762</v>
      </c>
      <c r="AQ392" s="117">
        <f t="shared" si="31"/>
        <v>581.58949381278762</v>
      </c>
      <c r="AR392" s="120">
        <f t="shared" si="32"/>
        <v>381</v>
      </c>
      <c r="AS392" s="121"/>
    </row>
    <row r="393" spans="1:45" ht="13.5" x14ac:dyDescent="0.4">
      <c r="A393" s="12">
        <f t="shared" si="34"/>
        <v>390</v>
      </c>
      <c r="B393" s="64" t="s">
        <v>902</v>
      </c>
      <c r="C393" s="54">
        <v>43425</v>
      </c>
      <c r="D393" s="54">
        <v>43425</v>
      </c>
      <c r="E393" s="46" t="s">
        <v>749</v>
      </c>
      <c r="F393" s="51" t="s">
        <v>118</v>
      </c>
      <c r="G393" s="51" t="s">
        <v>732</v>
      </c>
      <c r="H393" s="51" t="s">
        <v>118</v>
      </c>
      <c r="I393" s="55" t="s">
        <v>987</v>
      </c>
      <c r="J393" s="56">
        <v>1</v>
      </c>
      <c r="K393" s="51" t="s">
        <v>988</v>
      </c>
      <c r="L393" s="58">
        <v>7625.42</v>
      </c>
      <c r="M393" s="50">
        <f>ROUND('FA Addition'!$L393*5%,0.1)</f>
        <v>381</v>
      </c>
      <c r="N393" s="113" t="str">
        <f>_xlfn.XLOOKUP(_xlfn.CONCAT(E393,B393),'Year Wise Master Dep Approach'!F:F,'Year Wise Master Dep Approach'!D:D)</f>
        <v>WDV</v>
      </c>
      <c r="O393" s="113">
        <f>_xlfn.XLOOKUP(_xlfn.CONCAT(E393,B393),'Year Wise Master Dep Approach'!F:F,'Year Wise Master Dep Approach'!E:E)</f>
        <v>5</v>
      </c>
      <c r="P393" s="114">
        <f>IFERROR(IF('FA Addition'!$N393="WDV",1-('FA Addition'!$M393/'FA Addition'!$L393)^(1/'FA Addition'!$O393),1/'FA Addition'!$O393),0)</f>
        <v>0.45079783410004393</v>
      </c>
      <c r="Q393" s="122">
        <f>'FA Addition'!$P393*'FA Addition'!$O393</f>
        <v>2.2539891705002195</v>
      </c>
      <c r="R393" s="122"/>
      <c r="S393" s="116">
        <f>IF(AND(DATE(20&amp;LEFT(FAAddition[[#This Row],[FY]],2),4,1)&lt;$L$1+1,DATE(20&amp;LEFT(FAAddition[[#This Row],[FY]],2),4,1)&gt;$P$1-1),'FA Addition'!$J393,0)</f>
        <v>0</v>
      </c>
      <c r="U393" s="117">
        <f>S393*'FA Addition'!$L393/'FA Addition'!$J393</f>
        <v>0</v>
      </c>
      <c r="W393" s="116">
        <f>SUMIFS('FA Write off'!D:D,'FA Write off'!A:A,'FA Addition'!$A393,'FA Write off'!C:C,"&lt;"&amp;'FA Addition'!$P$1)</f>
        <v>0</v>
      </c>
      <c r="Y393" s="191">
        <f>IFERROR(W393/'FA Addition'!$J393*'FA Addition'!$L393,0)</f>
        <v>0</v>
      </c>
      <c r="AA393" s="116">
        <f>SUMIFS('FA Write off'!D:D,'FA Write off'!A:A,'FA Addition'!$A393,'FA Write off'!C:C,"&lt;"&amp;'FA Addition'!$L$1+1,'FA Write off'!C:C,"&gt;"&amp;'FA Addition'!$L$1-365)</f>
        <v>0</v>
      </c>
      <c r="AC393" s="118">
        <f>IFERROR(AA393/'FA Addition'!$J393*'FA Addition'!$L393,0)</f>
        <v>0</v>
      </c>
      <c r="AE393" s="117">
        <f>IF(AND('FA Addition'!$D393&lt;$P$1+1,U393=0),'FA Addition'!$L393,0)-Y393</f>
        <v>7625.42</v>
      </c>
      <c r="AF393" s="117">
        <f t="shared" si="30"/>
        <v>7625.42</v>
      </c>
      <c r="AG393" s="117">
        <f>MIN(MAX(+$P$1-'FA Addition'!$D393,0),365*'FA Addition'!$O393)</f>
        <v>1592</v>
      </c>
      <c r="AH393" s="117">
        <f>MIN(MAX($L$1-'FA Addition'!$D393+1,0),365*'FA Addition'!$O393)</f>
        <v>1825</v>
      </c>
      <c r="AI393" s="117" cm="1">
        <f t="array" ref="AI393">_xlfn.XLOOKUP(1,('FA Write off'!A:A='FA Addition'!$A393)*('FA Write off'!D:D=AA393),'FA Write off'!H:H,0,0)</f>
        <v>0</v>
      </c>
      <c r="AJ393" s="117">
        <f>IF(AC393&gt;0,MAX(IF('FA Addition'!$N393="SLM",($AC393-'FA Addition'!$M393)*'FA Addition'!$P393*AI393/365,(AC393-'FA Addition'!$M393)*(1-(1-'FA Addition'!$P393)^(AI393/365))),0),0)</f>
        <v>0</v>
      </c>
      <c r="AL393" s="117">
        <f>MAX(IF(AG393&gt;0,IF('FA Addition'!$N393="SLM",($AE393-'FA Addition'!$M393)*'FA Addition'!$P393*AG393/365,IFERROR(VDB(AE393,AE393*0.05,'FA Addition'!$O393,0,YEARFRAC('FA Addition'!$C393,$P$1-1,3),'FA Addition'!$Q393),FAAddition[[#This Row],[Original Cost (Rs)]]-FAAddition[[#This Row],[Salvage Value]])),0),0)</f>
        <v>7043.8305061872124</v>
      </c>
      <c r="AM393" s="119"/>
      <c r="AN393" s="117">
        <f>MAX(IF(AH393&gt;0,IF('FA Addition'!$N393="SLM",($AF393-'FA Addition'!$M393)*'FA Addition'!$P393*AH393/365,IFERROR(VDB(AF393,AF393*0.05,'FA Addition'!$O393,0,YEARFRAC('FA Addition'!$C393,$L$1,3),'FA Addition'!$Q393),FAAddition[[#This Row],[Original Cost (Rs)]]-FAAddition[[#This Row],[Salvage Value]])),0),0)</f>
        <v>7244.42</v>
      </c>
      <c r="AO393" s="117">
        <f t="shared" si="33"/>
        <v>200.58949381278762</v>
      </c>
      <c r="AQ393" s="117">
        <f t="shared" si="31"/>
        <v>581.58949381278762</v>
      </c>
      <c r="AR393" s="120">
        <f t="shared" si="32"/>
        <v>381</v>
      </c>
      <c r="AS393" s="121"/>
    </row>
    <row r="394" spans="1:45" ht="13.5" x14ac:dyDescent="0.4">
      <c r="A394" s="12">
        <f t="shared" si="34"/>
        <v>391</v>
      </c>
      <c r="B394" s="64" t="s">
        <v>902</v>
      </c>
      <c r="C394" s="54">
        <v>43440</v>
      </c>
      <c r="D394" s="54">
        <v>43440</v>
      </c>
      <c r="E394" s="46" t="s">
        <v>32</v>
      </c>
      <c r="F394" s="51" t="s">
        <v>32</v>
      </c>
      <c r="G394" s="51" t="s">
        <v>433</v>
      </c>
      <c r="H394" s="51" t="s">
        <v>32</v>
      </c>
      <c r="I394" s="55" t="s">
        <v>989</v>
      </c>
      <c r="J394" s="56">
        <v>170</v>
      </c>
      <c r="K394" s="51" t="s">
        <v>978</v>
      </c>
      <c r="L394" s="58">
        <v>195500</v>
      </c>
      <c r="M394" s="50">
        <f>ROUND('FA Addition'!$L394*5%,0.1)</f>
        <v>9775</v>
      </c>
      <c r="N394" s="113" t="str">
        <f>_xlfn.XLOOKUP(_xlfn.CONCAT(E394,B394),'Year Wise Master Dep Approach'!F:F,'Year Wise Master Dep Approach'!D:D)</f>
        <v>WDV</v>
      </c>
      <c r="O394" s="113">
        <f>_xlfn.XLOOKUP(_xlfn.CONCAT(E394,B394),'Year Wise Master Dep Approach'!F:F,'Year Wise Master Dep Approach'!E:E)</f>
        <v>3</v>
      </c>
      <c r="P394" s="114">
        <f>IFERROR(IF('FA Addition'!$N394="WDV",1-('FA Addition'!$M394/'FA Addition'!$L394)^(1/'FA Addition'!$O394),1/'FA Addition'!$O394),0)</f>
        <v>0.63159685013596123</v>
      </c>
      <c r="Q394" s="122">
        <f>'FA Addition'!$P394*'FA Addition'!$O394</f>
        <v>1.8947905504078837</v>
      </c>
      <c r="R394" s="122"/>
      <c r="S394" s="116">
        <f>IF(AND(DATE(20&amp;LEFT(FAAddition[[#This Row],[FY]],2),4,1)&lt;$L$1+1,DATE(20&amp;LEFT(FAAddition[[#This Row],[FY]],2),4,1)&gt;$P$1-1),'FA Addition'!$J394,0)</f>
        <v>0</v>
      </c>
      <c r="U394" s="117">
        <f>S394*'FA Addition'!$L394/'FA Addition'!$J394</f>
        <v>0</v>
      </c>
      <c r="W394" s="116">
        <f>SUMIFS('FA Write off'!D:D,'FA Write off'!A:A,'FA Addition'!$A394,'FA Write off'!C:C,"&lt;"&amp;'FA Addition'!$P$1)</f>
        <v>9</v>
      </c>
      <c r="Y394" s="191">
        <f>IFERROR(W394/'FA Addition'!$J394*'FA Addition'!$L394,0)</f>
        <v>10350</v>
      </c>
      <c r="AA394" s="116">
        <f>SUMIFS('FA Write off'!D:D,'FA Write off'!A:A,'FA Addition'!$A394,'FA Write off'!C:C,"&lt;"&amp;'FA Addition'!$L$1+1,'FA Write off'!C:C,"&gt;"&amp;'FA Addition'!$L$1-365)</f>
        <v>0</v>
      </c>
      <c r="AC394" s="191">
        <f>IFERROR(AA394/'FA Addition'!$J394*'FA Addition'!$L394,0)</f>
        <v>0</v>
      </c>
      <c r="AE394" s="117">
        <f>IF(AND('FA Addition'!$D394&lt;$P$1+1,U394=0),'FA Addition'!$L394,0)-Y394</f>
        <v>185150</v>
      </c>
      <c r="AF394" s="117">
        <f t="shared" si="30"/>
        <v>185150</v>
      </c>
      <c r="AG394" s="117">
        <f>MIN(MAX(+$P$1-'FA Addition'!$D394,0),365*'FA Addition'!$O394)</f>
        <v>1095</v>
      </c>
      <c r="AH394" s="117">
        <f>MIN(MAX($L$1-'FA Addition'!$D394+1,0),365*'FA Addition'!$O394)</f>
        <v>1095</v>
      </c>
      <c r="AI394" s="117" cm="1">
        <f t="array" ref="AI394">_xlfn.XLOOKUP(1,('FA Write off'!A:A='FA Addition'!$A394)*('FA Write off'!D:D=AA394),'FA Write off'!H:H,0,0)</f>
        <v>0</v>
      </c>
      <c r="AJ394" s="117">
        <f>IF(AC394&gt;0,MAX(IF('FA Addition'!$N394="SLM",($AC394-'FA Addition'!$M394)*'FA Addition'!$P394*AI394/365,(AC394-'FA Addition'!$M394)*(1-(1-'FA Addition'!$P394)^(AI394/365))),0),0)</f>
        <v>0</v>
      </c>
      <c r="AL394" s="117">
        <f>MAX(IF(AG394&gt;0,IF('FA Addition'!$N394="SLM",($AE394-'FA Addition'!$M394)*'FA Addition'!$P394*AG394/365,IFERROR(VDB(AE394,AE394*0.05,'FA Addition'!$O394,0,YEARFRAC('FA Addition'!$C394,$P$1-1,3),'FA Addition'!$Q394),FAAddition[[#This Row],[Original Cost (Rs)]]-FAAddition[[#This Row],[Salvage Value]])),0),0)</f>
        <v>185725</v>
      </c>
      <c r="AM394" s="119"/>
      <c r="AN394" s="117">
        <f>MAX(IF(AH394&gt;0,IF('FA Addition'!$N394="SLM",($AF394-'FA Addition'!$M394)*'FA Addition'!$P394*AH394/365,IFERROR(VDB(AF394,AF394*0.05,'FA Addition'!$O394,0,YEARFRAC('FA Addition'!$C394,$L$1,3),'FA Addition'!$Q394),FAAddition[[#This Row],[Original Cost (Rs)]]-FAAddition[[#This Row],[Salvage Value]])),0),0)</f>
        <v>185725</v>
      </c>
      <c r="AO394" s="117">
        <f t="shared" si="33"/>
        <v>0</v>
      </c>
      <c r="AQ394" s="117">
        <f t="shared" si="31"/>
        <v>-575</v>
      </c>
      <c r="AR394" s="120">
        <f t="shared" si="32"/>
        <v>-575</v>
      </c>
      <c r="AS394" s="121"/>
    </row>
    <row r="395" spans="1:45" ht="13.5" x14ac:dyDescent="0.4">
      <c r="A395" s="12">
        <f t="shared" si="34"/>
        <v>392</v>
      </c>
      <c r="B395" s="64" t="s">
        <v>902</v>
      </c>
      <c r="C395" s="54">
        <v>43441</v>
      </c>
      <c r="D395" s="54">
        <v>43441</v>
      </c>
      <c r="E395" s="46" t="s">
        <v>32</v>
      </c>
      <c r="F395" s="51" t="s">
        <v>32</v>
      </c>
      <c r="G395" s="51" t="s">
        <v>433</v>
      </c>
      <c r="H395" s="51" t="s">
        <v>32</v>
      </c>
      <c r="I395" s="55" t="s">
        <v>990</v>
      </c>
      <c r="J395" s="56">
        <v>30</v>
      </c>
      <c r="K395" s="51" t="s">
        <v>978</v>
      </c>
      <c r="L395" s="58">
        <v>34500</v>
      </c>
      <c r="M395" s="50">
        <f>ROUND('FA Addition'!$L395*5%,0.1)</f>
        <v>1725</v>
      </c>
      <c r="N395" s="113" t="str">
        <f>_xlfn.XLOOKUP(_xlfn.CONCAT(E395,B395),'Year Wise Master Dep Approach'!F:F,'Year Wise Master Dep Approach'!D:D)</f>
        <v>WDV</v>
      </c>
      <c r="O395" s="113">
        <f>_xlfn.XLOOKUP(_xlfn.CONCAT(E395,B395),'Year Wise Master Dep Approach'!F:F,'Year Wise Master Dep Approach'!E:E)</f>
        <v>3</v>
      </c>
      <c r="P395" s="114">
        <f>IFERROR(IF('FA Addition'!$N395="WDV",1-('FA Addition'!$M395/'FA Addition'!$L395)^(1/'FA Addition'!$O395),1/'FA Addition'!$O395),0)</f>
        <v>0.63159685013596123</v>
      </c>
      <c r="Q395" s="122">
        <f>'FA Addition'!$P395*'FA Addition'!$O395</f>
        <v>1.8947905504078837</v>
      </c>
      <c r="R395" s="122"/>
      <c r="S395" s="116">
        <f>IF(AND(DATE(20&amp;LEFT(FAAddition[[#This Row],[FY]],2),4,1)&lt;$L$1+1,DATE(20&amp;LEFT(FAAddition[[#This Row],[FY]],2),4,1)&gt;$P$1-1),'FA Addition'!$J395,0)</f>
        <v>0</v>
      </c>
      <c r="U395" s="117">
        <f>S395*'FA Addition'!$L395/'FA Addition'!$J395</f>
        <v>0</v>
      </c>
      <c r="W395" s="116">
        <f>SUMIFS('FA Write off'!D:D,'FA Write off'!A:A,'FA Addition'!$A395,'FA Write off'!C:C,"&lt;"&amp;'FA Addition'!$P$1)</f>
        <v>2</v>
      </c>
      <c r="Y395" s="191">
        <f>IFERROR(W395/'FA Addition'!$J395*'FA Addition'!$L395,0)</f>
        <v>2300</v>
      </c>
      <c r="AA395" s="116">
        <f>SUMIFS('FA Write off'!D:D,'FA Write off'!A:A,'FA Addition'!$A395,'FA Write off'!C:C,"&lt;"&amp;'FA Addition'!$L$1+1,'FA Write off'!C:C,"&gt;"&amp;'FA Addition'!$L$1-365)</f>
        <v>0</v>
      </c>
      <c r="AC395" s="191">
        <f>IFERROR(AA395/'FA Addition'!$J395*'FA Addition'!$L395,0)</f>
        <v>0</v>
      </c>
      <c r="AE395" s="117">
        <f>IF(AND('FA Addition'!$D395&lt;$P$1+1,U395=0),'FA Addition'!$L395,0)-Y395</f>
        <v>32200</v>
      </c>
      <c r="AF395" s="117">
        <f t="shared" si="30"/>
        <v>32200</v>
      </c>
      <c r="AG395" s="117">
        <f>MIN(MAX(+$P$1-'FA Addition'!$D395,0),365*'FA Addition'!$O395)</f>
        <v>1095</v>
      </c>
      <c r="AH395" s="117">
        <f>MIN(MAX($L$1-'FA Addition'!$D395+1,0),365*'FA Addition'!$O395)</f>
        <v>1095</v>
      </c>
      <c r="AI395" s="117" cm="1">
        <f t="array" ref="AI395">_xlfn.XLOOKUP(1,('FA Write off'!A:A='FA Addition'!$A395)*('FA Write off'!D:D=AA395),'FA Write off'!H:H,0,0)</f>
        <v>0</v>
      </c>
      <c r="AJ395" s="117">
        <f>IF(AC395&gt;0,MAX(IF('FA Addition'!$N395="SLM",($AC395-'FA Addition'!$M395)*'FA Addition'!$P395*AI395/365,(AC395-'FA Addition'!$M395)*(1-(1-'FA Addition'!$P395)^(AI395/365))),0),0)</f>
        <v>0</v>
      </c>
      <c r="AL395" s="117">
        <f>MAX(IF(AG395&gt;0,IF('FA Addition'!$N395="SLM",($AE395-'FA Addition'!$M395)*'FA Addition'!$P395*AG395/365,IFERROR(VDB(AE395,AE395*0.05,'FA Addition'!$O395,0,YEARFRAC('FA Addition'!$C395,$P$1-1,3),'FA Addition'!$Q395),FAAddition[[#This Row],[Original Cost (Rs)]]-FAAddition[[#This Row],[Salvage Value]])),0),0)</f>
        <v>32775</v>
      </c>
      <c r="AM395" s="119"/>
      <c r="AN395" s="117">
        <f>MAX(IF(AH395&gt;0,IF('FA Addition'!$N395="SLM",($AF395-'FA Addition'!$M395)*'FA Addition'!$P395*AH395/365,IFERROR(VDB(AF395,AF395*0.05,'FA Addition'!$O395,0,YEARFRAC('FA Addition'!$C395,$L$1,3),'FA Addition'!$Q395),FAAddition[[#This Row],[Original Cost (Rs)]]-FAAddition[[#This Row],[Salvage Value]])),0),0)</f>
        <v>32775</v>
      </c>
      <c r="AO395" s="117">
        <f t="shared" si="33"/>
        <v>0</v>
      </c>
      <c r="AQ395" s="117">
        <f t="shared" si="31"/>
        <v>-575</v>
      </c>
      <c r="AR395" s="120">
        <f t="shared" si="32"/>
        <v>-575</v>
      </c>
      <c r="AS395" s="121"/>
    </row>
    <row r="396" spans="1:45" ht="13.5" x14ac:dyDescent="0.4">
      <c r="A396" s="12">
        <f t="shared" si="34"/>
        <v>393</v>
      </c>
      <c r="B396" s="64" t="s">
        <v>902</v>
      </c>
      <c r="C396" s="54">
        <v>43487</v>
      </c>
      <c r="D396" s="54">
        <v>43487</v>
      </c>
      <c r="E396" s="46" t="s">
        <v>32</v>
      </c>
      <c r="F396" s="51" t="s">
        <v>32</v>
      </c>
      <c r="G396" s="51" t="s">
        <v>433</v>
      </c>
      <c r="H396" s="51" t="s">
        <v>32</v>
      </c>
      <c r="I396" s="55" t="s">
        <v>991</v>
      </c>
      <c r="J396" s="56">
        <v>650</v>
      </c>
      <c r="K396" s="51" t="s">
        <v>978</v>
      </c>
      <c r="L396" s="58">
        <v>747500</v>
      </c>
      <c r="M396" s="50">
        <f>ROUND('FA Addition'!$L396*5%,0.1)</f>
        <v>37375</v>
      </c>
      <c r="N396" s="113" t="str">
        <f>_xlfn.XLOOKUP(_xlfn.CONCAT(E396,B396),'Year Wise Master Dep Approach'!F:F,'Year Wise Master Dep Approach'!D:D)</f>
        <v>WDV</v>
      </c>
      <c r="O396" s="113">
        <f>_xlfn.XLOOKUP(_xlfn.CONCAT(E396,B396),'Year Wise Master Dep Approach'!F:F,'Year Wise Master Dep Approach'!E:E)</f>
        <v>3</v>
      </c>
      <c r="P396" s="114">
        <f>IFERROR(IF('FA Addition'!$N396="WDV",1-('FA Addition'!$M396/'FA Addition'!$L396)^(1/'FA Addition'!$O396),1/'FA Addition'!$O396),0)</f>
        <v>0.63159685013596123</v>
      </c>
      <c r="Q396" s="122">
        <f>'FA Addition'!$P396*'FA Addition'!$O396</f>
        <v>1.8947905504078837</v>
      </c>
      <c r="R396" s="122"/>
      <c r="S396" s="116">
        <f>IF(AND(DATE(20&amp;LEFT(FAAddition[[#This Row],[FY]],2),4,1)&lt;$L$1+1,DATE(20&amp;LEFT(FAAddition[[#This Row],[FY]],2),4,1)&gt;$P$1-1),'FA Addition'!$J396,0)</f>
        <v>0</v>
      </c>
      <c r="U396" s="117">
        <f>S396*'FA Addition'!$L396/'FA Addition'!$J396</f>
        <v>0</v>
      </c>
      <c r="W396" s="116">
        <f>SUMIFS('FA Write off'!D:D,'FA Write off'!A:A,'FA Addition'!$A396,'FA Write off'!C:C,"&lt;"&amp;'FA Addition'!$P$1)</f>
        <v>25</v>
      </c>
      <c r="Y396" s="191">
        <f>IFERROR(W396/'FA Addition'!$J396*'FA Addition'!$L396,0)</f>
        <v>28750</v>
      </c>
      <c r="AA396" s="116">
        <f>SUMIFS('FA Write off'!D:D,'FA Write off'!A:A,'FA Addition'!$A396,'FA Write off'!C:C,"&lt;"&amp;'FA Addition'!$L$1+1,'FA Write off'!C:C,"&gt;"&amp;'FA Addition'!$L$1-365)</f>
        <v>0</v>
      </c>
      <c r="AC396" s="191">
        <f>IFERROR(AA396/'FA Addition'!$J396*'FA Addition'!$L396,0)</f>
        <v>0</v>
      </c>
      <c r="AE396" s="117">
        <f>IF(AND('FA Addition'!$D396&lt;$P$1+1,U396=0),'FA Addition'!$L396,0)-Y396</f>
        <v>718750</v>
      </c>
      <c r="AF396" s="117">
        <f t="shared" si="30"/>
        <v>718750</v>
      </c>
      <c r="AG396" s="117">
        <f>MIN(MAX(+$P$1-'FA Addition'!$D396,0),365*'FA Addition'!$O396)</f>
        <v>1095</v>
      </c>
      <c r="AH396" s="117">
        <f>MIN(MAX($L$1-'FA Addition'!$D396+1,0),365*'FA Addition'!$O396)</f>
        <v>1095</v>
      </c>
      <c r="AI396" s="117" cm="1">
        <f t="array" ref="AI396">_xlfn.XLOOKUP(1,('FA Write off'!A:A='FA Addition'!$A396)*('FA Write off'!D:D=AA396),'FA Write off'!H:H,0,0)</f>
        <v>0</v>
      </c>
      <c r="AJ396" s="117">
        <f>IF(AC396&gt;0,MAX(IF('FA Addition'!$N396="SLM",($AC396-'FA Addition'!$M396)*'FA Addition'!$P396*AI396/365,(AC396-'FA Addition'!$M396)*(1-(1-'FA Addition'!$P396)^(AI396/365))),0),0)</f>
        <v>0</v>
      </c>
      <c r="AL396" s="117">
        <f>MAX(IF(AG396&gt;0,IF('FA Addition'!$N396="SLM",($AE396-'FA Addition'!$M396)*'FA Addition'!$P396*AG396/365,IFERROR(VDB(AE396,AE396*0.05,'FA Addition'!$O396,0,YEARFRAC('FA Addition'!$C396,$P$1-1,3),'FA Addition'!$Q396),FAAddition[[#This Row],[Original Cost (Rs)]]-FAAddition[[#This Row],[Salvage Value]])),0),0)</f>
        <v>710125</v>
      </c>
      <c r="AM396" s="119"/>
      <c r="AN396" s="117">
        <f>MAX(IF(AH396&gt;0,IF('FA Addition'!$N396="SLM",($AF396-'FA Addition'!$M396)*'FA Addition'!$P396*AH396/365,IFERROR(VDB(AF396,AF396*0.05,'FA Addition'!$O396,0,YEARFRAC('FA Addition'!$C396,$L$1,3),'FA Addition'!$Q396),FAAddition[[#This Row],[Original Cost (Rs)]]-FAAddition[[#This Row],[Salvage Value]])),0),0)</f>
        <v>710125</v>
      </c>
      <c r="AO396" s="117">
        <f t="shared" si="33"/>
        <v>0</v>
      </c>
      <c r="AQ396" s="117">
        <f t="shared" si="31"/>
        <v>8625</v>
      </c>
      <c r="AR396" s="120">
        <f t="shared" si="32"/>
        <v>8625</v>
      </c>
      <c r="AS396" s="121"/>
    </row>
    <row r="397" spans="1:45" ht="13.5" x14ac:dyDescent="0.4">
      <c r="A397" s="12">
        <f t="shared" si="34"/>
        <v>394</v>
      </c>
      <c r="B397" s="64" t="s">
        <v>902</v>
      </c>
      <c r="C397" s="54">
        <v>43500</v>
      </c>
      <c r="D397" s="54">
        <v>43500</v>
      </c>
      <c r="E397" s="46" t="s">
        <v>32</v>
      </c>
      <c r="F397" s="51" t="s">
        <v>32</v>
      </c>
      <c r="G397" s="51" t="s">
        <v>433</v>
      </c>
      <c r="H397" s="51" t="s">
        <v>32</v>
      </c>
      <c r="I397" s="55" t="s">
        <v>992</v>
      </c>
      <c r="J397" s="56">
        <v>20</v>
      </c>
      <c r="K397" s="51" t="s">
        <v>993</v>
      </c>
      <c r="L397" s="58">
        <v>84000</v>
      </c>
      <c r="M397" s="50">
        <f>ROUND('FA Addition'!$L397*5%,0.1)</f>
        <v>4200</v>
      </c>
      <c r="N397" s="113" t="str">
        <f>_xlfn.XLOOKUP(_xlfn.CONCAT(E397,B397),'Year Wise Master Dep Approach'!F:F,'Year Wise Master Dep Approach'!D:D)</f>
        <v>WDV</v>
      </c>
      <c r="O397" s="113">
        <f>_xlfn.XLOOKUP(_xlfn.CONCAT(E397,B397),'Year Wise Master Dep Approach'!F:F,'Year Wise Master Dep Approach'!E:E)</f>
        <v>3</v>
      </c>
      <c r="P397" s="114">
        <f>IFERROR(IF('FA Addition'!$N397="WDV",1-('FA Addition'!$M397/'FA Addition'!$L397)^(1/'FA Addition'!$O397),1/'FA Addition'!$O397),0)</f>
        <v>0.63159685013596123</v>
      </c>
      <c r="Q397" s="122">
        <f>'FA Addition'!$P397*'FA Addition'!$O397</f>
        <v>1.8947905504078837</v>
      </c>
      <c r="R397" s="122"/>
      <c r="S397" s="116">
        <f>IF(AND(DATE(20&amp;LEFT(FAAddition[[#This Row],[FY]],2),4,1)&lt;$L$1+1,DATE(20&amp;LEFT(FAAddition[[#This Row],[FY]],2),4,1)&gt;$P$1-1),'FA Addition'!$J397,0)</f>
        <v>0</v>
      </c>
      <c r="U397" s="117">
        <f>S397*'FA Addition'!$L397/'FA Addition'!$J397</f>
        <v>0</v>
      </c>
      <c r="W397" s="116">
        <f>SUMIFS('FA Write off'!D:D,'FA Write off'!A:A,'FA Addition'!$A397,'FA Write off'!C:C,"&lt;"&amp;'FA Addition'!$P$1)</f>
        <v>1</v>
      </c>
      <c r="Y397" s="191">
        <f>IFERROR(W397/'FA Addition'!$J397*'FA Addition'!$L397,0)</f>
        <v>4200</v>
      </c>
      <c r="AA397" s="116">
        <f>SUMIFS('FA Write off'!D:D,'FA Write off'!A:A,'FA Addition'!$A397,'FA Write off'!C:C,"&lt;"&amp;'FA Addition'!$L$1+1,'FA Write off'!C:C,"&gt;"&amp;'FA Addition'!$L$1-365)</f>
        <v>0</v>
      </c>
      <c r="AC397" s="191">
        <f>IFERROR(AA397/'FA Addition'!$J397*'FA Addition'!$L397,0)</f>
        <v>0</v>
      </c>
      <c r="AE397" s="117">
        <f>IF(AND('FA Addition'!$D397&lt;$P$1+1,U397=0),'FA Addition'!$L397,0)-Y397</f>
        <v>79800</v>
      </c>
      <c r="AF397" s="117">
        <f t="shared" si="30"/>
        <v>79800</v>
      </c>
      <c r="AG397" s="117">
        <f>MIN(MAX(+$P$1-'FA Addition'!$D397,0),365*'FA Addition'!$O397)</f>
        <v>1095</v>
      </c>
      <c r="AH397" s="117">
        <f>MIN(MAX($L$1-'FA Addition'!$D397+1,0),365*'FA Addition'!$O397)</f>
        <v>1095</v>
      </c>
      <c r="AI397" s="117" cm="1">
        <f t="array" ref="AI397">_xlfn.XLOOKUP(1,('FA Write off'!A:A='FA Addition'!$A397)*('FA Write off'!D:D=AA397),'FA Write off'!H:H,0,0)</f>
        <v>0</v>
      </c>
      <c r="AJ397" s="117">
        <f>IF(AC397&gt;0,MAX(IF('FA Addition'!$N397="SLM",($AC397-'FA Addition'!$M397)*'FA Addition'!$P397*AI397/365,(AC397-'FA Addition'!$M397)*(1-(1-'FA Addition'!$P397)^(AI397/365))),0),0)</f>
        <v>0</v>
      </c>
      <c r="AL397" s="117">
        <f>MAX(IF(AG397&gt;0,IF('FA Addition'!$N397="SLM",($AE397-'FA Addition'!$M397)*'FA Addition'!$P397*AG397/365,IFERROR(VDB(AE397,AE397*0.05,'FA Addition'!$O397,0,YEARFRAC('FA Addition'!$C397,$P$1-1,3),'FA Addition'!$Q397),FAAddition[[#This Row],[Original Cost (Rs)]]-FAAddition[[#This Row],[Salvage Value]])),0),0)</f>
        <v>79800</v>
      </c>
      <c r="AM397" s="119"/>
      <c r="AN397" s="117">
        <f>MAX(IF(AH397&gt;0,IF('FA Addition'!$N397="SLM",($AF397-'FA Addition'!$M397)*'FA Addition'!$P397*AH397/365,IFERROR(VDB(AF397,AF397*0.05,'FA Addition'!$O397,0,YEARFRAC('FA Addition'!$C397,$L$1,3),'FA Addition'!$Q397),FAAddition[[#This Row],[Original Cost (Rs)]]-FAAddition[[#This Row],[Salvage Value]])),0),0)</f>
        <v>79800</v>
      </c>
      <c r="AO397" s="117">
        <f t="shared" si="33"/>
        <v>0</v>
      </c>
      <c r="AQ397" s="117">
        <f t="shared" si="31"/>
        <v>0</v>
      </c>
      <c r="AR397" s="120">
        <f t="shared" si="32"/>
        <v>0</v>
      </c>
      <c r="AS397" s="121"/>
    </row>
    <row r="398" spans="1:45" ht="13.5" x14ac:dyDescent="0.4">
      <c r="A398" s="12">
        <f t="shared" si="34"/>
        <v>395</v>
      </c>
      <c r="B398" s="64" t="s">
        <v>902</v>
      </c>
      <c r="C398" s="54">
        <v>43460</v>
      </c>
      <c r="D398" s="54">
        <v>43501</v>
      </c>
      <c r="E398" s="46" t="s">
        <v>207</v>
      </c>
      <c r="F398" s="51" t="s">
        <v>147</v>
      </c>
      <c r="G398" s="51" t="s">
        <v>994</v>
      </c>
      <c r="H398" s="51" t="s">
        <v>207</v>
      </c>
      <c r="I398" s="55" t="s">
        <v>995</v>
      </c>
      <c r="J398" s="56">
        <v>1</v>
      </c>
      <c r="K398" s="51" t="s">
        <v>981</v>
      </c>
      <c r="L398" s="58">
        <v>8034.82</v>
      </c>
      <c r="M398" s="50">
        <f>ROUND('FA Addition'!$L398*5%,0.1)</f>
        <v>402</v>
      </c>
      <c r="N398" s="113" t="str">
        <f>_xlfn.XLOOKUP(_xlfn.CONCAT(E398,B398),'Year Wise Master Dep Approach'!F:F,'Year Wise Master Dep Approach'!D:D)</f>
        <v>WDV</v>
      </c>
      <c r="O398" s="113">
        <f>_xlfn.XLOOKUP(_xlfn.CONCAT(E398,B398),'Year Wise Master Dep Approach'!F:F,'Year Wise Master Dep Approach'!E:E)</f>
        <v>5</v>
      </c>
      <c r="P398" s="114">
        <f>IFERROR(IF('FA Addition'!$N398="WDV",1-('FA Addition'!$M398/'FA Addition'!$L398)^(1/'FA Addition'!$O398),1/'FA Addition'!$O398),0)</f>
        <v>0.45064892306794235</v>
      </c>
      <c r="Q398" s="122">
        <f>'FA Addition'!$P398*'FA Addition'!$O398</f>
        <v>2.2532446153397117</v>
      </c>
      <c r="R398" s="122"/>
      <c r="S398" s="116">
        <f>IF(AND(DATE(20&amp;LEFT(FAAddition[[#This Row],[FY]],2),4,1)&lt;$L$1+1,DATE(20&amp;LEFT(FAAddition[[#This Row],[FY]],2),4,1)&gt;$P$1-1),'FA Addition'!$J398,0)</f>
        <v>0</v>
      </c>
      <c r="U398" s="117">
        <f>S398*'FA Addition'!$L398/'FA Addition'!$J398</f>
        <v>0</v>
      </c>
      <c r="W398" s="116">
        <f>SUMIFS('FA Write off'!D:D,'FA Write off'!A:A,'FA Addition'!$A398,'FA Write off'!C:C,"&lt;"&amp;'FA Addition'!$P$1)</f>
        <v>0</v>
      </c>
      <c r="Y398" s="191">
        <f>IFERROR(W398/'FA Addition'!$J398*'FA Addition'!$L398,0)</f>
        <v>0</v>
      </c>
      <c r="AA398" s="116">
        <f>SUMIFS('FA Write off'!D:D,'FA Write off'!A:A,'FA Addition'!$A398,'FA Write off'!C:C,"&lt;"&amp;'FA Addition'!$L$1+1,'FA Write off'!C:C,"&gt;"&amp;'FA Addition'!$L$1-365)</f>
        <v>0</v>
      </c>
      <c r="AC398" s="118">
        <f>IFERROR(AA398/'FA Addition'!$J398*'FA Addition'!$L398,0)</f>
        <v>0</v>
      </c>
      <c r="AE398" s="117">
        <f>IF(AND('FA Addition'!$D398&lt;$P$1+1,U398=0),'FA Addition'!$L398,0)-Y398</f>
        <v>8034.82</v>
      </c>
      <c r="AF398" s="117">
        <f t="shared" si="30"/>
        <v>8034.82</v>
      </c>
      <c r="AG398" s="117">
        <f>MIN(MAX(+$P$1-'FA Addition'!$D398,0),365*'FA Addition'!$O398)</f>
        <v>1516</v>
      </c>
      <c r="AH398" s="117">
        <f>MIN(MAX($L$1-'FA Addition'!$D398+1,0),365*'FA Addition'!$O398)</f>
        <v>1825</v>
      </c>
      <c r="AI398" s="117" cm="1">
        <f t="array" ref="AI398">_xlfn.XLOOKUP(1,('FA Write off'!A:A='FA Addition'!$A398)*('FA Write off'!D:D=AA398),'FA Write off'!H:H,0,0)</f>
        <v>0</v>
      </c>
      <c r="AJ398" s="117">
        <f>IF(AC398&gt;0,MAX(IF('FA Addition'!$N398="SLM",($AC398-'FA Addition'!$M398)*'FA Addition'!$P398*AI398/365,(AC398-'FA Addition'!$M398)*(1-(1-'FA Addition'!$P398)^(AI398/365))),0),0)</f>
        <v>0</v>
      </c>
      <c r="AL398" s="117">
        <f>MAX(IF(AG398&gt;0,IF('FA Addition'!$N398="SLM",($AE398-'FA Addition'!$M398)*'FA Addition'!$P398*AG398/365,IFERROR(VDB(AE398,AE398*0.05,'FA Addition'!$O398,0,YEARFRAC('FA Addition'!$C398,$P$1-1,3),'FA Addition'!$Q398),FAAddition[[#This Row],[Original Cost (Rs)]]-FAAddition[[#This Row],[Salvage Value]])),0),0)</f>
        <v>7389.8503201618169</v>
      </c>
      <c r="AM398" s="119"/>
      <c r="AN398" s="117">
        <f>MAX(IF(AH398&gt;0,IF('FA Addition'!$N398="SLM",($AF398-'FA Addition'!$M398)*'FA Addition'!$P398*AH398/365,IFERROR(VDB(AF398,AF398*0.05,'FA Addition'!$O398,0,YEARFRAC('FA Addition'!$C398,$L$1,3),'FA Addition'!$Q398),FAAddition[[#This Row],[Original Cost (Rs)]]-FAAddition[[#This Row],[Salvage Value]])),0),0)</f>
        <v>7632.82</v>
      </c>
      <c r="AO398" s="117">
        <f t="shared" si="33"/>
        <v>242.96967983818286</v>
      </c>
      <c r="AQ398" s="117">
        <f t="shared" si="31"/>
        <v>644.96967983818286</v>
      </c>
      <c r="AR398" s="120">
        <f t="shared" si="32"/>
        <v>402</v>
      </c>
      <c r="AS398" s="121"/>
    </row>
    <row r="399" spans="1:45" ht="13.5" x14ac:dyDescent="0.4">
      <c r="A399" s="12">
        <f t="shared" si="34"/>
        <v>396</v>
      </c>
      <c r="B399" s="64" t="s">
        <v>902</v>
      </c>
      <c r="C399" s="54">
        <v>43504</v>
      </c>
      <c r="D399" s="54">
        <v>43510</v>
      </c>
      <c r="E399" s="46" t="s">
        <v>451</v>
      </c>
      <c r="F399" s="51" t="s">
        <v>21</v>
      </c>
      <c r="G399" s="51" t="s">
        <v>996</v>
      </c>
      <c r="H399" s="51" t="s">
        <v>21</v>
      </c>
      <c r="I399" s="55" t="s">
        <v>997</v>
      </c>
      <c r="J399" s="56">
        <v>1</v>
      </c>
      <c r="K399" s="51" t="s">
        <v>998</v>
      </c>
      <c r="L399" s="58">
        <v>58466.1</v>
      </c>
      <c r="M399" s="50">
        <f>ROUND('FA Addition'!$L399*5%,0.1)</f>
        <v>2923</v>
      </c>
      <c r="N399" s="113" t="str">
        <f>_xlfn.XLOOKUP(_xlfn.CONCAT(E399,B399),'Year Wise Master Dep Approach'!F:F,'Year Wise Master Dep Approach'!D:D)</f>
        <v>WDV</v>
      </c>
      <c r="O399" s="113">
        <f>_xlfn.XLOOKUP(_xlfn.CONCAT(E399,B399),'Year Wise Master Dep Approach'!F:F,'Year Wise Master Dep Approach'!E:E)</f>
        <v>3</v>
      </c>
      <c r="P399" s="114">
        <f>IFERROR(IF('FA Addition'!$N399="WDV",1-('FA Addition'!$M399/'FA Addition'!$L399)^(1/'FA Addition'!$O399),1/'FA Addition'!$O399),0)</f>
        <v>0.63160966290195653</v>
      </c>
      <c r="Q399" s="122">
        <f>'FA Addition'!$P399*'FA Addition'!$O399</f>
        <v>1.8948289887058696</v>
      </c>
      <c r="R399" s="122"/>
      <c r="S399" s="116">
        <f>IF(AND(DATE(20&amp;LEFT(FAAddition[[#This Row],[FY]],2),4,1)&lt;$L$1+1,DATE(20&amp;LEFT(FAAddition[[#This Row],[FY]],2),4,1)&gt;$P$1-1),'FA Addition'!$J399,0)</f>
        <v>0</v>
      </c>
      <c r="U399" s="117">
        <f>S399*'FA Addition'!$L399/'FA Addition'!$J399</f>
        <v>0</v>
      </c>
      <c r="W399" s="116">
        <f>SUMIFS('FA Write off'!D:D,'FA Write off'!A:A,'FA Addition'!$A399,'FA Write off'!C:C,"&lt;"&amp;'FA Addition'!$P$1)</f>
        <v>0</v>
      </c>
      <c r="Y399" s="191">
        <f>IFERROR(W399/'FA Addition'!$J399*'FA Addition'!$L399,0)</f>
        <v>0</v>
      </c>
      <c r="AA399" s="116">
        <f>SUMIFS('FA Write off'!D:D,'FA Write off'!A:A,'FA Addition'!$A399,'FA Write off'!C:C,"&lt;"&amp;'FA Addition'!$L$1+1,'FA Write off'!C:C,"&gt;"&amp;'FA Addition'!$L$1-365)</f>
        <v>0</v>
      </c>
      <c r="AC399" s="118">
        <f>IFERROR(AA399/'FA Addition'!$J399*'FA Addition'!$L399,0)</f>
        <v>0</v>
      </c>
      <c r="AE399" s="117">
        <f>IF(AND('FA Addition'!$D399&lt;$P$1+1,U399=0),'FA Addition'!$L399,0)-Y399</f>
        <v>58466.1</v>
      </c>
      <c r="AF399" s="117">
        <f t="shared" si="30"/>
        <v>58466.1</v>
      </c>
      <c r="AG399" s="117">
        <f>MIN(MAX(+$P$1-'FA Addition'!$D399,0),365*'FA Addition'!$O399)</f>
        <v>1095</v>
      </c>
      <c r="AH399" s="117">
        <f>MIN(MAX($L$1-'FA Addition'!$D399+1,0),365*'FA Addition'!$O399)</f>
        <v>1095</v>
      </c>
      <c r="AI399" s="117" cm="1">
        <f t="array" ref="AI399">_xlfn.XLOOKUP(1,('FA Write off'!A:A='FA Addition'!$A399)*('FA Write off'!D:D=AA399),'FA Write off'!H:H,0,0)</f>
        <v>0</v>
      </c>
      <c r="AJ399" s="117">
        <f>IF(AC399&gt;0,MAX(IF('FA Addition'!$N399="SLM",($AC399-'FA Addition'!$M399)*'FA Addition'!$P399*AI399/365,(AC399-'FA Addition'!$M399)*(1-(1-'FA Addition'!$P399)^(AI399/365))),0),0)</f>
        <v>0</v>
      </c>
      <c r="AL399" s="117">
        <f>MAX(IF(AG399&gt;0,IF('FA Addition'!$N399="SLM",($AE399-'FA Addition'!$M399)*'FA Addition'!$P399*AG399/365,IFERROR(VDB(AE399,AE399*0.05,'FA Addition'!$O399,0,YEARFRAC('FA Addition'!$C399,$P$1-1,3),'FA Addition'!$Q399),FAAddition[[#This Row],[Original Cost (Rs)]]-FAAddition[[#This Row],[Salvage Value]])),0),0)</f>
        <v>55543.1</v>
      </c>
      <c r="AM399" s="119"/>
      <c r="AN399" s="117">
        <f>MAX(IF(AH399&gt;0,IF('FA Addition'!$N399="SLM",($AF399-'FA Addition'!$M399)*'FA Addition'!$P399*AH399/365,IFERROR(VDB(AF399,AF399*0.05,'FA Addition'!$O399,0,YEARFRAC('FA Addition'!$C399,$L$1,3),'FA Addition'!$Q399),FAAddition[[#This Row],[Original Cost (Rs)]]-FAAddition[[#This Row],[Salvage Value]])),0),0)</f>
        <v>55543.1</v>
      </c>
      <c r="AO399" s="117">
        <f t="shared" si="33"/>
        <v>0</v>
      </c>
      <c r="AQ399" s="117">
        <f t="shared" si="31"/>
        <v>2923</v>
      </c>
      <c r="AR399" s="120">
        <f t="shared" si="32"/>
        <v>2923</v>
      </c>
      <c r="AS399" s="121"/>
    </row>
    <row r="400" spans="1:45" ht="13.5" x14ac:dyDescent="0.4">
      <c r="A400" s="12">
        <f t="shared" si="34"/>
        <v>397</v>
      </c>
      <c r="B400" s="64" t="s">
        <v>902</v>
      </c>
      <c r="C400" s="54">
        <v>43510</v>
      </c>
      <c r="D400" s="54">
        <v>43510</v>
      </c>
      <c r="E400" s="46" t="s">
        <v>451</v>
      </c>
      <c r="F400" s="51" t="s">
        <v>21</v>
      </c>
      <c r="G400" s="51" t="s">
        <v>999</v>
      </c>
      <c r="H400" s="51" t="s">
        <v>21</v>
      </c>
      <c r="I400" s="55" t="s">
        <v>1000</v>
      </c>
      <c r="J400" s="56">
        <v>1</v>
      </c>
      <c r="K400" s="51" t="s">
        <v>1001</v>
      </c>
      <c r="L400" s="58">
        <v>30495.759999999998</v>
      </c>
      <c r="M400" s="50">
        <f>ROUND('FA Addition'!$L400*5%,0.1)</f>
        <v>1525</v>
      </c>
      <c r="N400" s="113" t="str">
        <f>_xlfn.XLOOKUP(_xlfn.CONCAT(E400,B400),'Year Wise Master Dep Approach'!F:F,'Year Wise Master Dep Approach'!D:D)</f>
        <v>WDV</v>
      </c>
      <c r="O400" s="113">
        <f>_xlfn.XLOOKUP(_xlfn.CONCAT(E400,B400),'Year Wise Master Dep Approach'!F:F,'Year Wise Master Dep Approach'!E:E)</f>
        <v>3</v>
      </c>
      <c r="P400" s="114">
        <f>IFERROR(IF('FA Addition'!$N400="WDV",1-('FA Addition'!$M400/'FA Addition'!$L400)^(1/'FA Addition'!$O400),1/'FA Addition'!$O400),0)</f>
        <v>0.63157977719458214</v>
      </c>
      <c r="Q400" s="122">
        <f>'FA Addition'!$P400*'FA Addition'!$O400</f>
        <v>1.8947393315837464</v>
      </c>
      <c r="R400" s="122"/>
      <c r="S400" s="116">
        <f>IF(AND(DATE(20&amp;LEFT(FAAddition[[#This Row],[FY]],2),4,1)&lt;$L$1+1,DATE(20&amp;LEFT(FAAddition[[#This Row],[FY]],2),4,1)&gt;$P$1-1),'FA Addition'!$J400,0)</f>
        <v>0</v>
      </c>
      <c r="U400" s="117">
        <f>S400*'FA Addition'!$L400/'FA Addition'!$J400</f>
        <v>0</v>
      </c>
      <c r="W400" s="116">
        <f>SUMIFS('FA Write off'!D:D,'FA Write off'!A:A,'FA Addition'!$A400,'FA Write off'!C:C,"&lt;"&amp;'FA Addition'!$P$1)</f>
        <v>0</v>
      </c>
      <c r="Y400" s="191">
        <f>IFERROR(W400/'FA Addition'!$J400*'FA Addition'!$L400,0)</f>
        <v>0</v>
      </c>
      <c r="AA400" s="116">
        <f>SUMIFS('FA Write off'!D:D,'FA Write off'!A:A,'FA Addition'!$A400,'FA Write off'!C:C,"&lt;"&amp;'FA Addition'!$L$1+1,'FA Write off'!C:C,"&gt;"&amp;'FA Addition'!$L$1-365)</f>
        <v>0</v>
      </c>
      <c r="AC400" s="118">
        <f>IFERROR(AA400/'FA Addition'!$J400*'FA Addition'!$L400,0)</f>
        <v>0</v>
      </c>
      <c r="AE400" s="117">
        <f>IF(AND('FA Addition'!$D400&lt;$P$1+1,U400=0),'FA Addition'!$L400,0)-Y400</f>
        <v>30495.759999999998</v>
      </c>
      <c r="AF400" s="117">
        <f t="shared" si="30"/>
        <v>30495.759999999998</v>
      </c>
      <c r="AG400" s="117">
        <f>MIN(MAX(+$P$1-'FA Addition'!$D400,0),365*'FA Addition'!$O400)</f>
        <v>1095</v>
      </c>
      <c r="AH400" s="117">
        <f>MIN(MAX($L$1-'FA Addition'!$D400+1,0),365*'FA Addition'!$O400)</f>
        <v>1095</v>
      </c>
      <c r="AI400" s="117" cm="1">
        <f t="array" ref="AI400">_xlfn.XLOOKUP(1,('FA Write off'!A:A='FA Addition'!$A400)*('FA Write off'!D:D=AA400),'FA Write off'!H:H,0,0)</f>
        <v>0</v>
      </c>
      <c r="AJ400" s="117">
        <f>IF(AC400&gt;0,MAX(IF('FA Addition'!$N400="SLM",($AC400-'FA Addition'!$M400)*'FA Addition'!$P400*AI400/365,(AC400-'FA Addition'!$M400)*(1-(1-'FA Addition'!$P400)^(AI400/365))),0),0)</f>
        <v>0</v>
      </c>
      <c r="AL400" s="117">
        <f>MAX(IF(AG400&gt;0,IF('FA Addition'!$N400="SLM",($AE400-'FA Addition'!$M400)*'FA Addition'!$P400*AG400/365,IFERROR(VDB(AE400,AE400*0.05,'FA Addition'!$O400,0,YEARFRAC('FA Addition'!$C400,$P$1-1,3),'FA Addition'!$Q400),FAAddition[[#This Row],[Original Cost (Rs)]]-FAAddition[[#This Row],[Salvage Value]])),0),0)</f>
        <v>28970.76</v>
      </c>
      <c r="AM400" s="119"/>
      <c r="AN400" s="117">
        <f>MAX(IF(AH400&gt;0,IF('FA Addition'!$N400="SLM",($AF400-'FA Addition'!$M400)*'FA Addition'!$P400*AH400/365,IFERROR(VDB(AF400,AF400*0.05,'FA Addition'!$O400,0,YEARFRAC('FA Addition'!$C400,$L$1,3),'FA Addition'!$Q400),FAAddition[[#This Row],[Original Cost (Rs)]]-FAAddition[[#This Row],[Salvage Value]])),0),0)</f>
        <v>28970.76</v>
      </c>
      <c r="AO400" s="117">
        <f t="shared" si="33"/>
        <v>0</v>
      </c>
      <c r="AQ400" s="117">
        <f t="shared" si="31"/>
        <v>1525</v>
      </c>
      <c r="AR400" s="120">
        <f t="shared" si="32"/>
        <v>1525</v>
      </c>
      <c r="AS400" s="121"/>
    </row>
    <row r="401" spans="1:45" ht="13.5" x14ac:dyDescent="0.4">
      <c r="A401" s="12">
        <f t="shared" si="34"/>
        <v>398</v>
      </c>
      <c r="B401" s="64" t="s">
        <v>902</v>
      </c>
      <c r="C401" s="54">
        <v>43481</v>
      </c>
      <c r="D401" s="54">
        <v>43510</v>
      </c>
      <c r="E401" s="46" t="s">
        <v>207</v>
      </c>
      <c r="F401" s="51" t="s">
        <v>147</v>
      </c>
      <c r="G401" s="51" t="s">
        <v>949</v>
      </c>
      <c r="H401" s="51" t="s">
        <v>207</v>
      </c>
      <c r="I401" s="55" t="s">
        <v>1002</v>
      </c>
      <c r="J401" s="56">
        <v>1</v>
      </c>
      <c r="K401" s="51" t="s">
        <v>1003</v>
      </c>
      <c r="L401" s="58">
        <v>11151.79</v>
      </c>
      <c r="M401" s="50">
        <f>ROUND('FA Addition'!$L401*5%,0.1)</f>
        <v>558</v>
      </c>
      <c r="N401" s="113" t="str">
        <f>_xlfn.XLOOKUP(_xlfn.CONCAT(E401,B401),'Year Wise Master Dep Approach'!F:F,'Year Wise Master Dep Approach'!D:D)</f>
        <v>WDV</v>
      </c>
      <c r="O401" s="113">
        <f>_xlfn.XLOOKUP(_xlfn.CONCAT(E401,B401),'Year Wise Master Dep Approach'!F:F,'Year Wise Master Dep Approach'!E:E)</f>
        <v>5</v>
      </c>
      <c r="P401" s="114">
        <f>IFERROR(IF('FA Addition'!$N401="WDV",1-('FA Addition'!$M401/'FA Addition'!$L401)^(1/'FA Addition'!$O401),1/'FA Addition'!$O401),0)</f>
        <v>0.4506388756116626</v>
      </c>
      <c r="Q401" s="122">
        <f>'FA Addition'!$P401*'FA Addition'!$O401</f>
        <v>2.2531943780583132</v>
      </c>
      <c r="R401" s="122"/>
      <c r="S401" s="116">
        <f>IF(AND(DATE(20&amp;LEFT(FAAddition[[#This Row],[FY]],2),4,1)&lt;$L$1+1,DATE(20&amp;LEFT(FAAddition[[#This Row],[FY]],2),4,1)&gt;$P$1-1),'FA Addition'!$J401,0)</f>
        <v>0</v>
      </c>
      <c r="U401" s="117">
        <f>S401*'FA Addition'!$L401/'FA Addition'!$J401</f>
        <v>0</v>
      </c>
      <c r="W401" s="116">
        <f>SUMIFS('FA Write off'!D:D,'FA Write off'!A:A,'FA Addition'!$A401,'FA Write off'!C:C,"&lt;"&amp;'FA Addition'!$P$1)</f>
        <v>0</v>
      </c>
      <c r="Y401" s="191">
        <f>IFERROR(W401/'FA Addition'!$J401*'FA Addition'!$L401,0)</f>
        <v>0</v>
      </c>
      <c r="AA401" s="116">
        <f>SUMIFS('FA Write off'!D:D,'FA Write off'!A:A,'FA Addition'!$A401,'FA Write off'!C:C,"&lt;"&amp;'FA Addition'!$L$1+1,'FA Write off'!C:C,"&gt;"&amp;'FA Addition'!$L$1-365)</f>
        <v>0</v>
      </c>
      <c r="AC401" s="118">
        <f>IFERROR(AA401/'FA Addition'!$J401*'FA Addition'!$L401,0)</f>
        <v>0</v>
      </c>
      <c r="AE401" s="117">
        <f>IF(AND('FA Addition'!$D401&lt;$P$1+1,U401=0),'FA Addition'!$L401,0)-Y401</f>
        <v>11151.79</v>
      </c>
      <c r="AF401" s="117">
        <f t="shared" si="30"/>
        <v>11151.79</v>
      </c>
      <c r="AG401" s="117">
        <f>MIN(MAX(+$P$1-'FA Addition'!$D401,0),365*'FA Addition'!$O401)</f>
        <v>1507</v>
      </c>
      <c r="AH401" s="117">
        <f>MIN(MAX($L$1-'FA Addition'!$D401+1,0),365*'FA Addition'!$O401)</f>
        <v>1825</v>
      </c>
      <c r="AI401" s="117" cm="1">
        <f t="array" ref="AI401">_xlfn.XLOOKUP(1,('FA Write off'!A:A='FA Addition'!$A401)*('FA Write off'!D:D=AA401),'FA Write off'!H:H,0,0)</f>
        <v>0</v>
      </c>
      <c r="AJ401" s="117">
        <f>IF(AC401&gt;0,MAX(IF('FA Addition'!$N401="SLM",($AC401-'FA Addition'!$M401)*'FA Addition'!$P401*AI401/365,(AC401-'FA Addition'!$M401)*(1-(1-'FA Addition'!$P401)^(AI401/365))),0),0)</f>
        <v>0</v>
      </c>
      <c r="AL401" s="117">
        <f>MAX(IF(AG401&gt;0,IF('FA Addition'!$N401="SLM",($AE401-'FA Addition'!$M401)*'FA Addition'!$P401*AG401/365,IFERROR(VDB(AE401,AE401*0.05,'FA Addition'!$O401,0,YEARFRAC('FA Addition'!$C401,$P$1-1,3),'FA Addition'!$Q401),FAAddition[[#This Row],[Original Cost (Rs)]]-FAAddition[[#This Row],[Salvage Value]])),0),0)</f>
        <v>10230.202182849942</v>
      </c>
      <c r="AM401" s="119"/>
      <c r="AN401" s="117">
        <f>MAX(IF(AH401&gt;0,IF('FA Addition'!$N401="SLM",($AF401-'FA Addition'!$M401)*'FA Addition'!$P401*AH401/365,IFERROR(VDB(AF401,AF401*0.05,'FA Addition'!$O401,0,YEARFRAC('FA Addition'!$C401,$L$1,3),'FA Addition'!$Q401),FAAddition[[#This Row],[Original Cost (Rs)]]-FAAddition[[#This Row],[Salvage Value]])),0),0)</f>
        <v>10593.79</v>
      </c>
      <c r="AO401" s="117">
        <f t="shared" si="33"/>
        <v>363.58781715005898</v>
      </c>
      <c r="AQ401" s="117">
        <f t="shared" si="31"/>
        <v>921.58781715005898</v>
      </c>
      <c r="AR401" s="120">
        <f t="shared" si="32"/>
        <v>558</v>
      </c>
      <c r="AS401" s="121"/>
    </row>
    <row r="402" spans="1:45" ht="13.5" x14ac:dyDescent="0.4">
      <c r="A402" s="12">
        <f t="shared" si="34"/>
        <v>399</v>
      </c>
      <c r="B402" s="64" t="s">
        <v>902</v>
      </c>
      <c r="C402" s="54">
        <v>43510</v>
      </c>
      <c r="D402" s="54">
        <v>43510</v>
      </c>
      <c r="E402" s="46" t="s">
        <v>207</v>
      </c>
      <c r="F402" s="51" t="s">
        <v>147</v>
      </c>
      <c r="G402" s="51" t="s">
        <v>1004</v>
      </c>
      <c r="H402" s="51" t="s">
        <v>207</v>
      </c>
      <c r="I402" s="55" t="s">
        <v>1005</v>
      </c>
      <c r="J402" s="56">
        <v>1</v>
      </c>
      <c r="K402" s="51" t="s">
        <v>1006</v>
      </c>
      <c r="L402" s="58">
        <v>9366.07</v>
      </c>
      <c r="M402" s="50">
        <f>ROUND('FA Addition'!$L402*5%,0.1)</f>
        <v>468</v>
      </c>
      <c r="N402" s="113" t="str">
        <f>_xlfn.XLOOKUP(_xlfn.CONCAT(E402,B402),'Year Wise Master Dep Approach'!F:F,'Year Wise Master Dep Approach'!D:D)</f>
        <v>WDV</v>
      </c>
      <c r="O402" s="113">
        <f>_xlfn.XLOOKUP(_xlfn.CONCAT(E402,B402),'Year Wise Master Dep Approach'!F:F,'Year Wise Master Dep Approach'!E:E)</f>
        <v>5</v>
      </c>
      <c r="P402" s="114">
        <f>IFERROR(IF('FA Addition'!$N402="WDV",1-('FA Addition'!$M402/'FA Addition'!$L402)^(1/'FA Addition'!$O402),1/'FA Addition'!$O402),0)</f>
        <v>0.45079094276032927</v>
      </c>
      <c r="Q402" s="122">
        <f>'FA Addition'!$P402*'FA Addition'!$O402</f>
        <v>2.2539547138016465</v>
      </c>
      <c r="R402" s="122"/>
      <c r="S402" s="116">
        <f>IF(AND(DATE(20&amp;LEFT(FAAddition[[#This Row],[FY]],2),4,1)&lt;$L$1+1,DATE(20&amp;LEFT(FAAddition[[#This Row],[FY]],2),4,1)&gt;$P$1-1),'FA Addition'!$J402,0)</f>
        <v>0</v>
      </c>
      <c r="U402" s="117">
        <f>S402*'FA Addition'!$L402/'FA Addition'!$J402</f>
        <v>0</v>
      </c>
      <c r="W402" s="116">
        <f>SUMIFS('FA Write off'!D:D,'FA Write off'!A:A,'FA Addition'!$A402,'FA Write off'!C:C,"&lt;"&amp;'FA Addition'!$P$1)</f>
        <v>0</v>
      </c>
      <c r="Y402" s="191">
        <f>IFERROR(W402/'FA Addition'!$J402*'FA Addition'!$L402,0)</f>
        <v>0</v>
      </c>
      <c r="AA402" s="116">
        <f>SUMIFS('FA Write off'!D:D,'FA Write off'!A:A,'FA Addition'!$A402,'FA Write off'!C:C,"&lt;"&amp;'FA Addition'!$L$1+1,'FA Write off'!C:C,"&gt;"&amp;'FA Addition'!$L$1-365)</f>
        <v>0</v>
      </c>
      <c r="AC402" s="118">
        <f>IFERROR(AA402/'FA Addition'!$J402*'FA Addition'!$L402,0)</f>
        <v>0</v>
      </c>
      <c r="AE402" s="117">
        <f>IF(AND('FA Addition'!$D402&lt;$P$1+1,U402=0),'FA Addition'!$L402,0)-Y402</f>
        <v>9366.07</v>
      </c>
      <c r="AF402" s="117">
        <f t="shared" si="30"/>
        <v>9366.07</v>
      </c>
      <c r="AG402" s="117">
        <f>MIN(MAX(+$P$1-'FA Addition'!$D402,0),365*'FA Addition'!$O402)</f>
        <v>1507</v>
      </c>
      <c r="AH402" s="117">
        <f>MIN(MAX($L$1-'FA Addition'!$D402+1,0),365*'FA Addition'!$O402)</f>
        <v>1825</v>
      </c>
      <c r="AI402" s="117" cm="1">
        <f t="array" ref="AI402">_xlfn.XLOOKUP(1,('FA Write off'!A:A='FA Addition'!$A402)*('FA Write off'!D:D=AA402),'FA Write off'!H:H,0,0)</f>
        <v>0</v>
      </c>
      <c r="AJ402" s="117">
        <f>IF(AC402&gt;0,MAX(IF('FA Addition'!$N402="SLM",($AC402-'FA Addition'!$M402)*'FA Addition'!$P402*AI402/365,(AC402-'FA Addition'!$M402)*(1-(1-'FA Addition'!$P402)^(AI402/365))),0),0)</f>
        <v>0</v>
      </c>
      <c r="AL402" s="117">
        <f>MAX(IF(AG402&gt;0,IF('FA Addition'!$N402="SLM",($AE402-'FA Addition'!$M402)*'FA Addition'!$P402*AG402/365,IFERROR(VDB(AE402,AE402*0.05,'FA Addition'!$O402,0,YEARFRAC('FA Addition'!$C402,$P$1-1,3),'FA Addition'!$Q402),FAAddition[[#This Row],[Original Cost (Rs)]]-FAAddition[[#This Row],[Salvage Value]])),0),0)</f>
        <v>8562.3086986627513</v>
      </c>
      <c r="AM402" s="119"/>
      <c r="AN402" s="117">
        <f>MAX(IF(AH402&gt;0,IF('FA Addition'!$N402="SLM",($AF402-'FA Addition'!$M402)*'FA Addition'!$P402*AH402/365,IFERROR(VDB(AF402,AF402*0.05,'FA Addition'!$O402,0,YEARFRAC('FA Addition'!$C402,$L$1,3),'FA Addition'!$Q402),FAAddition[[#This Row],[Original Cost (Rs)]]-FAAddition[[#This Row],[Salvage Value]])),0),0)</f>
        <v>8898.07</v>
      </c>
      <c r="AO402" s="117">
        <f t="shared" si="33"/>
        <v>335.76130133724837</v>
      </c>
      <c r="AQ402" s="117">
        <f t="shared" si="31"/>
        <v>803.76130133724837</v>
      </c>
      <c r="AR402" s="120">
        <f t="shared" si="32"/>
        <v>468</v>
      </c>
      <c r="AS402" s="121"/>
    </row>
    <row r="403" spans="1:45" ht="13.5" x14ac:dyDescent="0.4">
      <c r="A403" s="12">
        <f t="shared" si="34"/>
        <v>400</v>
      </c>
      <c r="B403" s="64" t="s">
        <v>902</v>
      </c>
      <c r="C403" s="54">
        <v>43510</v>
      </c>
      <c r="D403" s="54">
        <v>43510</v>
      </c>
      <c r="E403" s="46" t="s">
        <v>207</v>
      </c>
      <c r="F403" s="51" t="s">
        <v>147</v>
      </c>
      <c r="G403" s="51" t="s">
        <v>1007</v>
      </c>
      <c r="H403" s="51" t="s">
        <v>207</v>
      </c>
      <c r="I403" s="55" t="s">
        <v>1008</v>
      </c>
      <c r="J403" s="56">
        <v>1</v>
      </c>
      <c r="K403" s="51" t="s">
        <v>1009</v>
      </c>
      <c r="L403" s="58">
        <v>4470.34</v>
      </c>
      <c r="M403" s="50">
        <f>ROUND('FA Addition'!$L403*5%,0.1)</f>
        <v>224</v>
      </c>
      <c r="N403" s="113" t="str">
        <f>_xlfn.XLOOKUP(_xlfn.CONCAT(E403,B403),'Year Wise Master Dep Approach'!F:F,'Year Wise Master Dep Approach'!D:D)</f>
        <v>WDV</v>
      </c>
      <c r="O403" s="113">
        <f>_xlfn.XLOOKUP(_xlfn.CONCAT(E403,B403),'Year Wise Master Dep Approach'!F:F,'Year Wise Master Dep Approach'!E:E)</f>
        <v>5</v>
      </c>
      <c r="P403" s="114">
        <f>IFERROR(IF('FA Addition'!$N403="WDV",1-('FA Addition'!$M403/'FA Addition'!$L403)^(1/'FA Addition'!$O403),1/'FA Addition'!$O403),0)</f>
        <v>0.45048254428459344</v>
      </c>
      <c r="Q403" s="122">
        <f>'FA Addition'!$P403*'FA Addition'!$O403</f>
        <v>2.2524127214229672</v>
      </c>
      <c r="R403" s="122"/>
      <c r="S403" s="116">
        <f>IF(AND(DATE(20&amp;LEFT(FAAddition[[#This Row],[FY]],2),4,1)&lt;$L$1+1,DATE(20&amp;LEFT(FAAddition[[#This Row],[FY]],2),4,1)&gt;$P$1-1),'FA Addition'!$J403,0)</f>
        <v>0</v>
      </c>
      <c r="U403" s="117">
        <f>S403*'FA Addition'!$L403/'FA Addition'!$J403</f>
        <v>0</v>
      </c>
      <c r="W403" s="116">
        <f>SUMIFS('FA Write off'!D:D,'FA Write off'!A:A,'FA Addition'!$A403,'FA Write off'!C:C,"&lt;"&amp;'FA Addition'!$P$1)</f>
        <v>0</v>
      </c>
      <c r="Y403" s="191">
        <f>IFERROR(W403/'FA Addition'!$J403*'FA Addition'!$L403,0)</f>
        <v>0</v>
      </c>
      <c r="AA403" s="116">
        <f>SUMIFS('FA Write off'!D:D,'FA Write off'!A:A,'FA Addition'!$A403,'FA Write off'!C:C,"&lt;"&amp;'FA Addition'!$L$1+1,'FA Write off'!C:C,"&gt;"&amp;'FA Addition'!$L$1-365)</f>
        <v>0</v>
      </c>
      <c r="AC403" s="118">
        <f>IFERROR(AA403/'FA Addition'!$J403*'FA Addition'!$L403,0)</f>
        <v>0</v>
      </c>
      <c r="AE403" s="117">
        <f>IF(AND('FA Addition'!$D403&lt;$P$1+1,U403=0),'FA Addition'!$L403,0)-Y403</f>
        <v>4470.34</v>
      </c>
      <c r="AF403" s="117">
        <f t="shared" si="30"/>
        <v>4470.34</v>
      </c>
      <c r="AG403" s="117">
        <f>MIN(MAX(+$P$1-'FA Addition'!$D403,0),365*'FA Addition'!$O403)</f>
        <v>1507</v>
      </c>
      <c r="AH403" s="117">
        <f>MIN(MAX($L$1-'FA Addition'!$D403+1,0),365*'FA Addition'!$O403)</f>
        <v>1825</v>
      </c>
      <c r="AI403" s="117" cm="1">
        <f t="array" ref="AI403">_xlfn.XLOOKUP(1,('FA Write off'!A:A='FA Addition'!$A403)*('FA Write off'!D:D=AA403),'FA Write off'!H:H,0,0)</f>
        <v>0</v>
      </c>
      <c r="AJ403" s="117">
        <f>IF(AC403&gt;0,MAX(IF('FA Addition'!$N403="SLM",($AC403-'FA Addition'!$M403)*'FA Addition'!$P403*AI403/365,(AC403-'FA Addition'!$M403)*(1-(1-'FA Addition'!$P403)^(AI403/365))),0),0)</f>
        <v>0</v>
      </c>
      <c r="AL403" s="117">
        <f>MAX(IF(AG403&gt;0,IF('FA Addition'!$N403="SLM",($AE403-'FA Addition'!$M403)*'FA Addition'!$P403*AG403/365,IFERROR(VDB(AE403,AE403*0.05,'FA Addition'!$O403,0,YEARFRAC('FA Addition'!$C403,$P$1-1,3),'FA Addition'!$Q403),FAAddition[[#This Row],[Original Cost (Rs)]]-FAAddition[[#This Row],[Salvage Value]])),0),0)</f>
        <v>4085.9129648571948</v>
      </c>
      <c r="AM403" s="119"/>
      <c r="AN403" s="117">
        <f>MAX(IF(AH403&gt;0,IF('FA Addition'!$N403="SLM",($AF403-'FA Addition'!$M403)*'FA Addition'!$P403*AH403/365,IFERROR(VDB(AF403,AF403*0.05,'FA Addition'!$O403,0,YEARFRAC('FA Addition'!$C403,$L$1,3),'FA Addition'!$Q403),FAAddition[[#This Row],[Original Cost (Rs)]]-FAAddition[[#This Row],[Salvage Value]])),0),0)</f>
        <v>4246.34</v>
      </c>
      <c r="AO403" s="117">
        <f t="shared" si="33"/>
        <v>160.42703514280538</v>
      </c>
      <c r="AQ403" s="117">
        <f t="shared" si="31"/>
        <v>384.42703514280538</v>
      </c>
      <c r="AR403" s="120">
        <f t="shared" si="32"/>
        <v>224</v>
      </c>
      <c r="AS403" s="121"/>
    </row>
    <row r="404" spans="1:45" ht="13.5" x14ac:dyDescent="0.4">
      <c r="A404" s="12">
        <f t="shared" si="34"/>
        <v>401</v>
      </c>
      <c r="B404" s="64" t="s">
        <v>902</v>
      </c>
      <c r="C404" s="54">
        <v>43510</v>
      </c>
      <c r="D404" s="54">
        <v>43510</v>
      </c>
      <c r="E404" s="46" t="s">
        <v>207</v>
      </c>
      <c r="F404" s="51" t="s">
        <v>147</v>
      </c>
      <c r="G404" s="51" t="s">
        <v>1010</v>
      </c>
      <c r="H404" s="51" t="s">
        <v>207</v>
      </c>
      <c r="I404" s="55" t="s">
        <v>1011</v>
      </c>
      <c r="J404" s="56">
        <v>1</v>
      </c>
      <c r="K404" s="51" t="s">
        <v>1012</v>
      </c>
      <c r="L404" s="58">
        <v>4419.6400000000003</v>
      </c>
      <c r="M404" s="50">
        <f>ROUND('FA Addition'!$L404*5%,0.1)</f>
        <v>221</v>
      </c>
      <c r="N404" s="113" t="str">
        <f>_xlfn.XLOOKUP(_xlfn.CONCAT(E404,B404),'Year Wise Master Dep Approach'!F:F,'Year Wise Master Dep Approach'!D:D)</f>
        <v>WDV</v>
      </c>
      <c r="O404" s="113">
        <f>_xlfn.XLOOKUP(_xlfn.CONCAT(E404,B404),'Year Wise Master Dep Approach'!F:F,'Year Wise Master Dep Approach'!E:E)</f>
        <v>5</v>
      </c>
      <c r="P404" s="114">
        <f>IFERROR(IF('FA Addition'!$N404="WDV",1-('FA Addition'!$M404/'FA Addition'!$L404)^(1/'FA Addition'!$O404),1/'FA Addition'!$O404),0)</f>
        <v>0.45071078035772272</v>
      </c>
      <c r="Q404" s="122">
        <f>'FA Addition'!$P404*'FA Addition'!$O404</f>
        <v>2.2535539017886137</v>
      </c>
      <c r="R404" s="122"/>
      <c r="S404" s="116">
        <f>IF(AND(DATE(20&amp;LEFT(FAAddition[[#This Row],[FY]],2),4,1)&lt;$L$1+1,DATE(20&amp;LEFT(FAAddition[[#This Row],[FY]],2),4,1)&gt;$P$1-1),'FA Addition'!$J404,0)</f>
        <v>0</v>
      </c>
      <c r="U404" s="117">
        <f>S404*'FA Addition'!$L404/'FA Addition'!$J404</f>
        <v>0</v>
      </c>
      <c r="W404" s="116">
        <f>SUMIFS('FA Write off'!D:D,'FA Write off'!A:A,'FA Addition'!$A404,'FA Write off'!C:C,"&lt;"&amp;'FA Addition'!$P$1)</f>
        <v>0</v>
      </c>
      <c r="Y404" s="191">
        <f>IFERROR(W404/'FA Addition'!$J404*'FA Addition'!$L404,0)</f>
        <v>0</v>
      </c>
      <c r="AA404" s="116">
        <f>SUMIFS('FA Write off'!D:D,'FA Write off'!A:A,'FA Addition'!$A404,'FA Write off'!C:C,"&lt;"&amp;'FA Addition'!$L$1+1,'FA Write off'!C:C,"&gt;"&amp;'FA Addition'!$L$1-365)</f>
        <v>0</v>
      </c>
      <c r="AC404" s="118">
        <f>IFERROR(AA404/'FA Addition'!$J404*'FA Addition'!$L404,0)</f>
        <v>0</v>
      </c>
      <c r="AE404" s="117">
        <f>IF(AND('FA Addition'!$D404&lt;$P$1+1,U404=0),'FA Addition'!$L404,0)-Y404</f>
        <v>4419.6400000000003</v>
      </c>
      <c r="AF404" s="117">
        <f t="shared" si="30"/>
        <v>4419.6400000000003</v>
      </c>
      <c r="AG404" s="117">
        <f>MIN(MAX(+$P$1-'FA Addition'!$D404,0),365*'FA Addition'!$O404)</f>
        <v>1507</v>
      </c>
      <c r="AH404" s="117">
        <f>MIN(MAX($L$1-'FA Addition'!$D404+1,0),365*'FA Addition'!$O404)</f>
        <v>1825</v>
      </c>
      <c r="AI404" s="117" cm="1">
        <f t="array" ref="AI404">_xlfn.XLOOKUP(1,('FA Write off'!A:A='FA Addition'!$A404)*('FA Write off'!D:D=AA404),'FA Write off'!H:H,0,0)</f>
        <v>0</v>
      </c>
      <c r="AJ404" s="117">
        <f>IF(AC404&gt;0,MAX(IF('FA Addition'!$N404="SLM",($AC404-'FA Addition'!$M404)*'FA Addition'!$P404*AI404/365,(AC404-'FA Addition'!$M404)*(1-(1-'FA Addition'!$P404)^(AI404/365))),0),0)</f>
        <v>0</v>
      </c>
      <c r="AL404" s="117">
        <f>MAX(IF(AG404&gt;0,IF('FA Addition'!$N404="SLM",($AE404-'FA Addition'!$M404)*'FA Addition'!$P404*AG404/365,IFERROR(VDB(AE404,AE404*0.05,'FA Addition'!$O404,0,YEARFRAC('FA Addition'!$C404,$P$1-1,3),'FA Addition'!$Q404),FAAddition[[#This Row],[Original Cost (Rs)]]-FAAddition[[#This Row],[Salvage Value]])),0),0)</f>
        <v>4040.157706999762</v>
      </c>
      <c r="AM404" s="119"/>
      <c r="AN404" s="117">
        <f>MAX(IF(AH404&gt;0,IF('FA Addition'!$N404="SLM",($AF404-'FA Addition'!$M404)*'FA Addition'!$P404*AH404/365,IFERROR(VDB(AF404,AF404*0.05,'FA Addition'!$O404,0,YEARFRAC('FA Addition'!$C404,$L$1,3),'FA Addition'!$Q404),FAAddition[[#This Row],[Original Cost (Rs)]]-FAAddition[[#This Row],[Salvage Value]])),0),0)</f>
        <v>4198.6400000000003</v>
      </c>
      <c r="AO404" s="117">
        <f t="shared" si="33"/>
        <v>158.48229300023831</v>
      </c>
      <c r="AQ404" s="117">
        <f t="shared" si="31"/>
        <v>379.48229300023831</v>
      </c>
      <c r="AR404" s="120">
        <f t="shared" si="32"/>
        <v>221</v>
      </c>
      <c r="AS404" s="121"/>
    </row>
    <row r="405" spans="1:45" ht="13.5" x14ac:dyDescent="0.4">
      <c r="A405" s="12">
        <f t="shared" si="34"/>
        <v>402</v>
      </c>
      <c r="B405" s="64" t="s">
        <v>902</v>
      </c>
      <c r="C405" s="54">
        <v>43523</v>
      </c>
      <c r="D405" s="54">
        <v>43523</v>
      </c>
      <c r="E405" s="46" t="s">
        <v>32</v>
      </c>
      <c r="F405" s="51" t="s">
        <v>32</v>
      </c>
      <c r="G405" s="51" t="s">
        <v>433</v>
      </c>
      <c r="H405" s="51" t="s">
        <v>32</v>
      </c>
      <c r="I405" s="55" t="s">
        <v>1013</v>
      </c>
      <c r="J405" s="56">
        <v>78</v>
      </c>
      <c r="K405" s="51" t="s">
        <v>978</v>
      </c>
      <c r="L405" s="58">
        <v>89700</v>
      </c>
      <c r="M405" s="50">
        <f>ROUND('FA Addition'!$L405*5%,0.1)</f>
        <v>4485</v>
      </c>
      <c r="N405" s="113" t="str">
        <f>_xlfn.XLOOKUP(_xlfn.CONCAT(E405,B405),'Year Wise Master Dep Approach'!F:F,'Year Wise Master Dep Approach'!D:D)</f>
        <v>WDV</v>
      </c>
      <c r="O405" s="113">
        <f>_xlfn.XLOOKUP(_xlfn.CONCAT(E405,B405),'Year Wise Master Dep Approach'!F:F,'Year Wise Master Dep Approach'!E:E)</f>
        <v>3</v>
      </c>
      <c r="P405" s="114">
        <f>IFERROR(IF('FA Addition'!$N405="WDV",1-('FA Addition'!$M405/'FA Addition'!$L405)^(1/'FA Addition'!$O405),1/'FA Addition'!$O405),0)</f>
        <v>0.63159685013596123</v>
      </c>
      <c r="Q405" s="122">
        <f>'FA Addition'!$P405*'FA Addition'!$O405</f>
        <v>1.8947905504078837</v>
      </c>
      <c r="R405" s="122"/>
      <c r="S405" s="116">
        <f>IF(AND(DATE(20&amp;LEFT(FAAddition[[#This Row],[FY]],2),4,1)&lt;$L$1+1,DATE(20&amp;LEFT(FAAddition[[#This Row],[FY]],2),4,1)&gt;$P$1-1),'FA Addition'!$J405,0)</f>
        <v>0</v>
      </c>
      <c r="U405" s="117">
        <f>S405*'FA Addition'!$L405/'FA Addition'!$J405</f>
        <v>0</v>
      </c>
      <c r="W405" s="116">
        <f>SUMIFS('FA Write off'!D:D,'FA Write off'!A:A,'FA Addition'!$A405,'FA Write off'!C:C,"&lt;"&amp;'FA Addition'!$P$1)</f>
        <v>5</v>
      </c>
      <c r="Y405" s="191">
        <f>IFERROR(W405/'FA Addition'!$J405*'FA Addition'!$L405,0)</f>
        <v>5749.9999999999991</v>
      </c>
      <c r="AA405" s="116">
        <f>SUMIFS('FA Write off'!D:D,'FA Write off'!A:A,'FA Addition'!$A405,'FA Write off'!C:C,"&lt;"&amp;'FA Addition'!$L$1+1,'FA Write off'!C:C,"&gt;"&amp;'FA Addition'!$L$1-365)</f>
        <v>0</v>
      </c>
      <c r="AC405" s="191">
        <f>IFERROR(AA405/'FA Addition'!$J405*'FA Addition'!$L405,0)</f>
        <v>0</v>
      </c>
      <c r="AE405" s="117">
        <f>IF(AND('FA Addition'!$D405&lt;$P$1+1,U405=0),'FA Addition'!$L405,0)-Y405</f>
        <v>83950</v>
      </c>
      <c r="AF405" s="117">
        <f t="shared" si="30"/>
        <v>83950</v>
      </c>
      <c r="AG405" s="117">
        <f>MIN(MAX(+$P$1-'FA Addition'!$D405,0),365*'FA Addition'!$O405)</f>
        <v>1095</v>
      </c>
      <c r="AH405" s="117">
        <f>MIN(MAX($L$1-'FA Addition'!$D405+1,0),365*'FA Addition'!$O405)</f>
        <v>1095</v>
      </c>
      <c r="AI405" s="117" cm="1">
        <f t="array" ref="AI405">_xlfn.XLOOKUP(1,('FA Write off'!A:A='FA Addition'!$A405)*('FA Write off'!D:D=AA405),'FA Write off'!H:H,0,0)</f>
        <v>0</v>
      </c>
      <c r="AJ405" s="117">
        <f>IF(AC405&gt;0,MAX(IF('FA Addition'!$N405="SLM",($AC405-'FA Addition'!$M405)*'FA Addition'!$P405*AI405/365,(AC405-'FA Addition'!$M405)*(1-(1-'FA Addition'!$P405)^(AI405/365))),0),0)</f>
        <v>0</v>
      </c>
      <c r="AL405" s="117">
        <f>MAX(IF(AG405&gt;0,IF('FA Addition'!$N405="SLM",($AE405-'FA Addition'!$M405)*'FA Addition'!$P405*AG405/365,IFERROR(VDB(AE405,AE405*0.05,'FA Addition'!$O405,0,YEARFRAC('FA Addition'!$C405,$P$1-1,3),'FA Addition'!$Q405),FAAddition[[#This Row],[Original Cost (Rs)]]-FAAddition[[#This Row],[Salvage Value]])),0),0)</f>
        <v>85215</v>
      </c>
      <c r="AM405" s="119"/>
      <c r="AN405" s="117">
        <f>MAX(IF(AH405&gt;0,IF('FA Addition'!$N405="SLM",($AF405-'FA Addition'!$M405)*'FA Addition'!$P405*AH405/365,IFERROR(VDB(AF405,AF405*0.05,'FA Addition'!$O405,0,YEARFRAC('FA Addition'!$C405,$L$1,3),'FA Addition'!$Q405),FAAddition[[#This Row],[Original Cost (Rs)]]-FAAddition[[#This Row],[Salvage Value]])),0),0)</f>
        <v>85215</v>
      </c>
      <c r="AO405" s="117">
        <f t="shared" si="33"/>
        <v>0</v>
      </c>
      <c r="AQ405" s="117">
        <f t="shared" si="31"/>
        <v>-1265</v>
      </c>
      <c r="AR405" s="120">
        <f t="shared" si="32"/>
        <v>-1265</v>
      </c>
      <c r="AS405" s="121"/>
    </row>
    <row r="406" spans="1:45" ht="13.5" x14ac:dyDescent="0.4">
      <c r="A406" s="12">
        <f t="shared" si="34"/>
        <v>403</v>
      </c>
      <c r="B406" s="64" t="s">
        <v>902</v>
      </c>
      <c r="C406" s="54">
        <v>43538</v>
      </c>
      <c r="D406" s="54">
        <v>43538</v>
      </c>
      <c r="E406" s="46" t="s">
        <v>32</v>
      </c>
      <c r="F406" s="51" t="s">
        <v>32</v>
      </c>
      <c r="G406" s="51" t="s">
        <v>433</v>
      </c>
      <c r="H406" s="51" t="s">
        <v>32</v>
      </c>
      <c r="I406" s="55" t="s">
        <v>1014</v>
      </c>
      <c r="J406" s="56">
        <v>20</v>
      </c>
      <c r="K406" s="51" t="s">
        <v>993</v>
      </c>
      <c r="L406" s="58">
        <v>84000</v>
      </c>
      <c r="M406" s="50">
        <f>ROUND('FA Addition'!$L406*5%,0.1)</f>
        <v>4200</v>
      </c>
      <c r="N406" s="113" t="str">
        <f>_xlfn.XLOOKUP(_xlfn.CONCAT(E406,B406),'Year Wise Master Dep Approach'!F:F,'Year Wise Master Dep Approach'!D:D)</f>
        <v>WDV</v>
      </c>
      <c r="O406" s="113">
        <f>_xlfn.XLOOKUP(_xlfn.CONCAT(E406,B406),'Year Wise Master Dep Approach'!F:F,'Year Wise Master Dep Approach'!E:E)</f>
        <v>3</v>
      </c>
      <c r="P406" s="114">
        <f>IFERROR(IF('FA Addition'!$N406="WDV",1-('FA Addition'!$M406/'FA Addition'!$L406)^(1/'FA Addition'!$O406),1/'FA Addition'!$O406),0)</f>
        <v>0.63159685013596123</v>
      </c>
      <c r="Q406" s="122">
        <f>'FA Addition'!$P406*'FA Addition'!$O406</f>
        <v>1.8947905504078837</v>
      </c>
      <c r="R406" s="122"/>
      <c r="S406" s="116">
        <f>IF(AND(DATE(20&amp;LEFT(FAAddition[[#This Row],[FY]],2),4,1)&lt;$L$1+1,DATE(20&amp;LEFT(FAAddition[[#This Row],[FY]],2),4,1)&gt;$P$1-1),'FA Addition'!$J406,0)</f>
        <v>0</v>
      </c>
      <c r="U406" s="117">
        <f>S406*'FA Addition'!$L406/'FA Addition'!$J406</f>
        <v>0</v>
      </c>
      <c r="W406" s="116">
        <f>SUMIFS('FA Write off'!D:D,'FA Write off'!A:A,'FA Addition'!$A406,'FA Write off'!C:C,"&lt;"&amp;'FA Addition'!$P$1)</f>
        <v>1</v>
      </c>
      <c r="Y406" s="191">
        <f>IFERROR(W406/'FA Addition'!$J406*'FA Addition'!$L406,0)</f>
        <v>4200</v>
      </c>
      <c r="AA406" s="116">
        <f>SUMIFS('FA Write off'!D:D,'FA Write off'!A:A,'FA Addition'!$A406,'FA Write off'!C:C,"&lt;"&amp;'FA Addition'!$L$1+1,'FA Write off'!C:C,"&gt;"&amp;'FA Addition'!$L$1-365)</f>
        <v>0</v>
      </c>
      <c r="AC406" s="191">
        <f>IFERROR(AA406/'FA Addition'!$J406*'FA Addition'!$L406,0)</f>
        <v>0</v>
      </c>
      <c r="AE406" s="117">
        <f>IF(AND('FA Addition'!$D406&lt;$P$1+1,U406=0),'FA Addition'!$L406,0)-Y406</f>
        <v>79800</v>
      </c>
      <c r="AF406" s="117">
        <f t="shared" si="30"/>
        <v>79800</v>
      </c>
      <c r="AG406" s="117">
        <f>MIN(MAX(+$P$1-'FA Addition'!$D406,0),365*'FA Addition'!$O406)</f>
        <v>1095</v>
      </c>
      <c r="AH406" s="117">
        <f>MIN(MAX($L$1-'FA Addition'!$D406+1,0),365*'FA Addition'!$O406)</f>
        <v>1095</v>
      </c>
      <c r="AI406" s="117" cm="1">
        <f t="array" ref="AI406">_xlfn.XLOOKUP(1,('FA Write off'!A:A='FA Addition'!$A406)*('FA Write off'!D:D=AA406),'FA Write off'!H:H,0,0)</f>
        <v>0</v>
      </c>
      <c r="AJ406" s="117">
        <f>IF(AC406&gt;0,MAX(IF('FA Addition'!$N406="SLM",($AC406-'FA Addition'!$M406)*'FA Addition'!$P406*AI406/365,(AC406-'FA Addition'!$M406)*(1-(1-'FA Addition'!$P406)^(AI406/365))),0),0)</f>
        <v>0</v>
      </c>
      <c r="AL406" s="117">
        <f>MAX(IF(AG406&gt;0,IF('FA Addition'!$N406="SLM",($AE406-'FA Addition'!$M406)*'FA Addition'!$P406*AG406/365,IFERROR(VDB(AE406,AE406*0.05,'FA Addition'!$O406,0,YEARFRAC('FA Addition'!$C406,$P$1-1,3),'FA Addition'!$Q406),FAAddition[[#This Row],[Original Cost (Rs)]]-FAAddition[[#This Row],[Salvage Value]])),0),0)</f>
        <v>79800</v>
      </c>
      <c r="AM406" s="119"/>
      <c r="AN406" s="117">
        <f>MAX(IF(AH406&gt;0,IF('FA Addition'!$N406="SLM",($AF406-'FA Addition'!$M406)*'FA Addition'!$P406*AH406/365,IFERROR(VDB(AF406,AF406*0.05,'FA Addition'!$O406,0,YEARFRAC('FA Addition'!$C406,$L$1,3),'FA Addition'!$Q406),FAAddition[[#This Row],[Original Cost (Rs)]]-FAAddition[[#This Row],[Salvage Value]])),0),0)</f>
        <v>79800</v>
      </c>
      <c r="AO406" s="117">
        <f t="shared" si="33"/>
        <v>0</v>
      </c>
      <c r="AQ406" s="117">
        <f t="shared" si="31"/>
        <v>0</v>
      </c>
      <c r="AR406" s="120">
        <f t="shared" si="32"/>
        <v>0</v>
      </c>
      <c r="AS406" s="121"/>
    </row>
    <row r="407" spans="1:45" ht="13.5" x14ac:dyDescent="0.4">
      <c r="A407" s="12">
        <f t="shared" si="34"/>
        <v>404</v>
      </c>
      <c r="B407" s="64" t="s">
        <v>902</v>
      </c>
      <c r="C407" s="54">
        <v>43538</v>
      </c>
      <c r="D407" s="54">
        <v>43538</v>
      </c>
      <c r="E407" s="46" t="s">
        <v>32</v>
      </c>
      <c r="F407" s="51" t="s">
        <v>32</v>
      </c>
      <c r="G407" s="51" t="s">
        <v>433</v>
      </c>
      <c r="H407" s="51" t="s">
        <v>32</v>
      </c>
      <c r="I407" s="55" t="s">
        <v>1015</v>
      </c>
      <c r="J407" s="56">
        <v>12</v>
      </c>
      <c r="K407" s="51" t="s">
        <v>1016</v>
      </c>
      <c r="L407" s="58">
        <v>13800</v>
      </c>
      <c r="M407" s="50">
        <f>ROUND('FA Addition'!$L407*5%,0.1)</f>
        <v>690</v>
      </c>
      <c r="N407" s="113" t="str">
        <f>_xlfn.XLOOKUP(_xlfn.CONCAT(E407,B407),'Year Wise Master Dep Approach'!F:F,'Year Wise Master Dep Approach'!D:D)</f>
        <v>WDV</v>
      </c>
      <c r="O407" s="113">
        <f>_xlfn.XLOOKUP(_xlfn.CONCAT(E407,B407),'Year Wise Master Dep Approach'!F:F,'Year Wise Master Dep Approach'!E:E)</f>
        <v>3</v>
      </c>
      <c r="P407" s="114">
        <f>IFERROR(IF('FA Addition'!$N407="WDV",1-('FA Addition'!$M407/'FA Addition'!$L407)^(1/'FA Addition'!$O407),1/'FA Addition'!$O407),0)</f>
        <v>0.63159685013596123</v>
      </c>
      <c r="Q407" s="122">
        <f>'FA Addition'!$P407*'FA Addition'!$O407</f>
        <v>1.8947905504078837</v>
      </c>
      <c r="R407" s="122"/>
      <c r="S407" s="116">
        <f>IF(AND(DATE(20&amp;LEFT(FAAddition[[#This Row],[FY]],2),4,1)&lt;$L$1+1,DATE(20&amp;LEFT(FAAddition[[#This Row],[FY]],2),4,1)&gt;$P$1-1),'FA Addition'!$J407,0)</f>
        <v>0</v>
      </c>
      <c r="U407" s="117">
        <f>S407*'FA Addition'!$L407/'FA Addition'!$J407</f>
        <v>0</v>
      </c>
      <c r="W407" s="116">
        <f>SUMIFS('FA Write off'!D:D,'FA Write off'!A:A,'FA Addition'!$A407,'FA Write off'!C:C,"&lt;"&amp;'FA Addition'!$P$1)</f>
        <v>0</v>
      </c>
      <c r="Y407" s="191">
        <f>IFERROR(W407/'FA Addition'!$J407*'FA Addition'!$L407,0)</f>
        <v>0</v>
      </c>
      <c r="AA407" s="116">
        <f>SUMIFS('FA Write off'!D:D,'FA Write off'!A:A,'FA Addition'!$A407,'FA Write off'!C:C,"&lt;"&amp;'FA Addition'!$L$1+1,'FA Write off'!C:C,"&gt;"&amp;'FA Addition'!$L$1-365)</f>
        <v>0</v>
      </c>
      <c r="AC407" s="118">
        <f>IFERROR(AA407/'FA Addition'!$J407*'FA Addition'!$L407,0)</f>
        <v>0</v>
      </c>
      <c r="AE407" s="117">
        <f>IF(AND('FA Addition'!$D407&lt;$P$1+1,U407=0),'FA Addition'!$L407,0)-Y407</f>
        <v>13800</v>
      </c>
      <c r="AF407" s="117">
        <f t="shared" si="30"/>
        <v>13800</v>
      </c>
      <c r="AG407" s="117">
        <f>MIN(MAX(+$P$1-'FA Addition'!$D407,0),365*'FA Addition'!$O407)</f>
        <v>1095</v>
      </c>
      <c r="AH407" s="117">
        <f>MIN(MAX($L$1-'FA Addition'!$D407+1,0),365*'FA Addition'!$O407)</f>
        <v>1095</v>
      </c>
      <c r="AI407" s="117" cm="1">
        <f t="array" ref="AI407">_xlfn.XLOOKUP(1,('FA Write off'!A:A='FA Addition'!$A407)*('FA Write off'!D:D=AA407),'FA Write off'!H:H,0,0)</f>
        <v>0</v>
      </c>
      <c r="AJ407" s="117">
        <f>IF(AC407&gt;0,MAX(IF('FA Addition'!$N407="SLM",($AC407-'FA Addition'!$M407)*'FA Addition'!$P407*AI407/365,(AC407-'FA Addition'!$M407)*(1-(1-'FA Addition'!$P407)^(AI407/365))),0),0)</f>
        <v>0</v>
      </c>
      <c r="AL407" s="117">
        <f>MAX(IF(AG407&gt;0,IF('FA Addition'!$N407="SLM",($AE407-'FA Addition'!$M407)*'FA Addition'!$P407*AG407/365,IFERROR(VDB(AE407,AE407*0.05,'FA Addition'!$O407,0,YEARFRAC('FA Addition'!$C407,$P$1-1,3),'FA Addition'!$Q407),FAAddition[[#This Row],[Original Cost (Rs)]]-FAAddition[[#This Row],[Salvage Value]])),0),0)</f>
        <v>13110</v>
      </c>
      <c r="AM407" s="119"/>
      <c r="AN407" s="117">
        <f>MAX(IF(AH407&gt;0,IF('FA Addition'!$N407="SLM",($AF407-'FA Addition'!$M407)*'FA Addition'!$P407*AH407/365,IFERROR(VDB(AF407,AF407*0.05,'FA Addition'!$O407,0,YEARFRAC('FA Addition'!$C407,$L$1,3),'FA Addition'!$Q407),FAAddition[[#This Row],[Original Cost (Rs)]]-FAAddition[[#This Row],[Salvage Value]])),0),0)</f>
        <v>13110</v>
      </c>
      <c r="AO407" s="117">
        <f t="shared" si="33"/>
        <v>0</v>
      </c>
      <c r="AQ407" s="117">
        <f t="shared" si="31"/>
        <v>690</v>
      </c>
      <c r="AR407" s="120">
        <f t="shared" si="32"/>
        <v>690</v>
      </c>
      <c r="AS407" s="121"/>
    </row>
    <row r="408" spans="1:45" ht="13.5" x14ac:dyDescent="0.4">
      <c r="A408" s="12">
        <f t="shared" si="34"/>
        <v>405</v>
      </c>
      <c r="B408" s="64" t="s">
        <v>902</v>
      </c>
      <c r="C408" s="54">
        <v>43555</v>
      </c>
      <c r="D408" s="54">
        <v>43555</v>
      </c>
      <c r="E408" s="46" t="s">
        <v>207</v>
      </c>
      <c r="F408" s="51" t="s">
        <v>147</v>
      </c>
      <c r="G408" s="51" t="s">
        <v>1017</v>
      </c>
      <c r="H408" s="51" t="s">
        <v>848</v>
      </c>
      <c r="I408" s="55"/>
      <c r="J408" s="56">
        <v>1</v>
      </c>
      <c r="K408" s="51"/>
      <c r="L408" s="58">
        <v>1000</v>
      </c>
      <c r="M408" s="50">
        <f>ROUND('FA Addition'!$L408*5%,0.1)</f>
        <v>50</v>
      </c>
      <c r="N408" s="113" t="str">
        <f>_xlfn.XLOOKUP(_xlfn.CONCAT(E408,B408),'Year Wise Master Dep Approach'!F:F,'Year Wise Master Dep Approach'!D:D)</f>
        <v>WDV</v>
      </c>
      <c r="O408" s="113">
        <f>_xlfn.XLOOKUP(_xlfn.CONCAT(E408,B408),'Year Wise Master Dep Approach'!F:F,'Year Wise Master Dep Approach'!E:E)</f>
        <v>5</v>
      </c>
      <c r="P408" s="114">
        <f>IFERROR(IF('FA Addition'!$N408="WDV",1-('FA Addition'!$M408/'FA Addition'!$L408)^(1/'FA Addition'!$O408),1/'FA Addition'!$O408),0)</f>
        <v>0.45071972834694107</v>
      </c>
      <c r="Q408" s="122">
        <f>'FA Addition'!$P408*'FA Addition'!$O408</f>
        <v>2.2535986417347056</v>
      </c>
      <c r="R408" s="122"/>
      <c r="S408" s="116">
        <f>IF(AND(DATE(20&amp;LEFT(FAAddition[[#This Row],[FY]],2),4,1)&lt;$L$1+1,DATE(20&amp;LEFT(FAAddition[[#This Row],[FY]],2),4,1)&gt;$P$1-1),'FA Addition'!$J408,0)</f>
        <v>0</v>
      </c>
      <c r="U408" s="117">
        <f>S408*'FA Addition'!$L408/'FA Addition'!$J408</f>
        <v>0</v>
      </c>
      <c r="W408" s="116">
        <f>SUMIFS('FA Write off'!D:D,'FA Write off'!A:A,'FA Addition'!$A408,'FA Write off'!C:C,"&lt;"&amp;'FA Addition'!$P$1)</f>
        <v>0</v>
      </c>
      <c r="Y408" s="191">
        <f>IFERROR(W408/'FA Addition'!$J408*'FA Addition'!$L408,0)</f>
        <v>0</v>
      </c>
      <c r="AA408" s="116">
        <f>SUMIFS('FA Write off'!D:D,'FA Write off'!A:A,'FA Addition'!$A408,'FA Write off'!C:C,"&lt;"&amp;'FA Addition'!$L$1+1,'FA Write off'!C:C,"&gt;"&amp;'FA Addition'!$L$1-365)</f>
        <v>0</v>
      </c>
      <c r="AC408" s="118">
        <f>IFERROR(AA408/'FA Addition'!$J408*'FA Addition'!$L408,0)</f>
        <v>0</v>
      </c>
      <c r="AE408" s="117">
        <f>IF(AND('FA Addition'!$D408&lt;$P$1+1,U408=0),'FA Addition'!$L408,0)-Y408</f>
        <v>1000</v>
      </c>
      <c r="AF408" s="117">
        <f t="shared" si="30"/>
        <v>1000</v>
      </c>
      <c r="AG408" s="117">
        <f>MIN(MAX(+$P$1-'FA Addition'!$D408,0),365*'FA Addition'!$O408)</f>
        <v>1462</v>
      </c>
      <c r="AH408" s="117">
        <f>MIN(MAX($L$1-'FA Addition'!$D408+1,0),365*'FA Addition'!$O408)</f>
        <v>1825</v>
      </c>
      <c r="AI408" s="117" cm="1">
        <f t="array" ref="AI408">_xlfn.XLOOKUP(1,('FA Write off'!A:A='FA Addition'!$A408)*('FA Write off'!D:D=AA408),'FA Write off'!H:H,0,0)</f>
        <v>0</v>
      </c>
      <c r="AJ408" s="117">
        <f>IF(AC408&gt;0,MAX(IF('FA Addition'!$N408="SLM",($AC408-'FA Addition'!$M408)*'FA Addition'!$P408*AI408/365,(AC408-'FA Addition'!$M408)*(1-(1-'FA Addition'!$P408)^(AI408/365))),0),0)</f>
        <v>0</v>
      </c>
      <c r="AL408" s="117">
        <f>MAX(IF(AG408&gt;0,IF('FA Addition'!$N408="SLM",($AE408-'FA Addition'!$M408)*'FA Addition'!$P408*AG408/365,IFERROR(VDB(AE408,AE408*0.05,'FA Addition'!$O408,0,YEARFRAC('FA Addition'!$C408,$P$1-1,3),'FA Addition'!$Q408),FAAddition[[#This Row],[Original Cost (Rs)]]-FAAddition[[#This Row],[Salvage Value]])),0),0)</f>
        <v>909.08419590390508</v>
      </c>
      <c r="AM408" s="119"/>
      <c r="AN408" s="117">
        <f>MAX(IF(AH408&gt;0,IF('FA Addition'!$N408="SLM",($AF408-'FA Addition'!$M408)*'FA Addition'!$P408*AH408/365,IFERROR(VDB(AF408,AF408*0.05,'FA Addition'!$O408,0,YEARFRAC('FA Addition'!$C408,$L$1,3),'FA Addition'!$Q408),FAAddition[[#This Row],[Original Cost (Rs)]]-FAAddition[[#This Row],[Salvage Value]])),0),0)</f>
        <v>950</v>
      </c>
      <c r="AO408" s="117">
        <f t="shared" si="33"/>
        <v>40.915804096094917</v>
      </c>
      <c r="AQ408" s="117">
        <f t="shared" si="31"/>
        <v>90.915804096094917</v>
      </c>
      <c r="AR408" s="120">
        <f t="shared" si="32"/>
        <v>50</v>
      </c>
      <c r="AS408" s="121"/>
    </row>
    <row r="409" spans="1:45" ht="13.5" x14ac:dyDescent="0.4">
      <c r="A409" s="12">
        <f t="shared" si="34"/>
        <v>406</v>
      </c>
      <c r="B409" s="64" t="s">
        <v>1018</v>
      </c>
      <c r="C409" s="54">
        <v>43579</v>
      </c>
      <c r="D409" s="54">
        <v>43580</v>
      </c>
      <c r="E409" s="46" t="s">
        <v>32</v>
      </c>
      <c r="F409" s="51" t="s">
        <v>32</v>
      </c>
      <c r="G409" s="51" t="s">
        <v>433</v>
      </c>
      <c r="H409" s="51" t="s">
        <v>32</v>
      </c>
      <c r="I409" s="55" t="s">
        <v>1019</v>
      </c>
      <c r="J409" s="56">
        <v>80</v>
      </c>
      <c r="K409" s="51" t="s">
        <v>993</v>
      </c>
      <c r="L409" s="58">
        <v>329600</v>
      </c>
      <c r="M409" s="50">
        <f>ROUND('FA Addition'!$L409*5%,0.1)</f>
        <v>16480</v>
      </c>
      <c r="N409" s="113" t="str">
        <f>_xlfn.XLOOKUP(_xlfn.CONCAT(E409,B409),'Year Wise Master Dep Approach'!F:F,'Year Wise Master Dep Approach'!D:D)</f>
        <v>WDV</v>
      </c>
      <c r="O409" s="113">
        <f>_xlfn.XLOOKUP(_xlfn.CONCAT(E409,B409),'Year Wise Master Dep Approach'!F:F,'Year Wise Master Dep Approach'!E:E)</f>
        <v>3</v>
      </c>
      <c r="P409" s="114">
        <f>IFERROR(IF('FA Addition'!$N409="WDV",1-('FA Addition'!$M409/'FA Addition'!$L409)^(1/'FA Addition'!$O409),1/'FA Addition'!$O409),0)</f>
        <v>0.63159685013596123</v>
      </c>
      <c r="Q409" s="122">
        <f>'FA Addition'!$P409*'FA Addition'!$O409</f>
        <v>1.8947905504078837</v>
      </c>
      <c r="R409" s="122"/>
      <c r="S409" s="116">
        <f>IF(AND(DATE(20&amp;LEFT(FAAddition[[#This Row],[FY]],2),4,1)&lt;$L$1+1,DATE(20&amp;LEFT(FAAddition[[#This Row],[FY]],2),4,1)&gt;$P$1-1),'FA Addition'!$J409,0)</f>
        <v>0</v>
      </c>
      <c r="U409" s="117">
        <f>S409*'FA Addition'!$L409/'FA Addition'!$J409</f>
        <v>0</v>
      </c>
      <c r="W409" s="116">
        <f>SUMIFS('FA Write off'!D:D,'FA Write off'!A:A,'FA Addition'!$A409,'FA Write off'!C:C,"&lt;"&amp;'FA Addition'!$P$1)</f>
        <v>0</v>
      </c>
      <c r="Y409" s="191">
        <f>IFERROR(W409/'FA Addition'!$J409*'FA Addition'!$L409,0)</f>
        <v>0</v>
      </c>
      <c r="AA409" s="116">
        <f>SUMIFS('FA Write off'!D:D,'FA Write off'!A:A,'FA Addition'!$A409,'FA Write off'!C:C,"&lt;"&amp;'FA Addition'!$L$1+1,'FA Write off'!C:C,"&gt;"&amp;'FA Addition'!$L$1-365)</f>
        <v>0</v>
      </c>
      <c r="AC409" s="118">
        <f>IFERROR(AA409/'FA Addition'!$J409*'FA Addition'!$L409,0)</f>
        <v>0</v>
      </c>
      <c r="AE409" s="117">
        <f>IF(AND('FA Addition'!$D409&lt;$P$1+1,U409=0),'FA Addition'!$L409,0)-Y409</f>
        <v>329600</v>
      </c>
      <c r="AF409" s="117">
        <f t="shared" si="30"/>
        <v>329600</v>
      </c>
      <c r="AG409" s="117">
        <f>MIN(MAX(+$P$1-'FA Addition'!$D409,0),365*'FA Addition'!$O409)</f>
        <v>1095</v>
      </c>
      <c r="AH409" s="117">
        <f>MIN(MAX($L$1-'FA Addition'!$D409+1,0),365*'FA Addition'!$O409)</f>
        <v>1095</v>
      </c>
      <c r="AI409" s="117" cm="1">
        <f t="array" ref="AI409">_xlfn.XLOOKUP(1,('FA Write off'!A:A='FA Addition'!$A409)*('FA Write off'!D:D=AA409),'FA Write off'!H:H,0,0)</f>
        <v>0</v>
      </c>
      <c r="AJ409" s="117">
        <f>IF(AC409&gt;0,MAX(IF('FA Addition'!$N409="SLM",($AC409-'FA Addition'!$M409)*'FA Addition'!$P409*AI409/365,(AC409-'FA Addition'!$M409)*(1-(1-'FA Addition'!$P409)^(AI409/365))),0),0)</f>
        <v>0</v>
      </c>
      <c r="AL409" s="117">
        <f>MAX(IF(AG409&gt;0,IF('FA Addition'!$N409="SLM",($AE409-'FA Addition'!$M409)*'FA Addition'!$P409*AG409/365,IFERROR(VDB(AE409,AE409*0.05,'FA Addition'!$O409,0,YEARFRAC('FA Addition'!$C409,$P$1-1,3),'FA Addition'!$Q409),FAAddition[[#This Row],[Original Cost (Rs)]]-FAAddition[[#This Row],[Salvage Value]])),0),0)</f>
        <v>313120</v>
      </c>
      <c r="AM409" s="119"/>
      <c r="AN409" s="117">
        <f>MAX(IF(AH409&gt;0,IF('FA Addition'!$N409="SLM",($AF409-'FA Addition'!$M409)*'FA Addition'!$P409*AH409/365,IFERROR(VDB(AF409,AF409*0.05,'FA Addition'!$O409,0,YEARFRAC('FA Addition'!$C409,$L$1,3),'FA Addition'!$Q409),FAAddition[[#This Row],[Original Cost (Rs)]]-FAAddition[[#This Row],[Salvage Value]])),0),0)</f>
        <v>313120</v>
      </c>
      <c r="AO409" s="117">
        <f t="shared" si="33"/>
        <v>0</v>
      </c>
      <c r="AQ409" s="117">
        <f t="shared" si="31"/>
        <v>16480</v>
      </c>
      <c r="AR409" s="120">
        <f t="shared" si="32"/>
        <v>16480</v>
      </c>
      <c r="AS409" s="121"/>
    </row>
    <row r="410" spans="1:45" ht="13.5" x14ac:dyDescent="0.4">
      <c r="A410" s="12">
        <f t="shared" si="34"/>
        <v>407</v>
      </c>
      <c r="B410" s="64" t="s">
        <v>1018</v>
      </c>
      <c r="C410" s="54">
        <v>43585</v>
      </c>
      <c r="D410" s="54">
        <v>43585</v>
      </c>
      <c r="E410" s="46" t="s">
        <v>207</v>
      </c>
      <c r="F410" s="51" t="s">
        <v>147</v>
      </c>
      <c r="G410" s="51" t="s">
        <v>1020</v>
      </c>
      <c r="H410" s="51" t="s">
        <v>207</v>
      </c>
      <c r="I410" s="55" t="s">
        <v>1021</v>
      </c>
      <c r="J410" s="56">
        <v>1</v>
      </c>
      <c r="K410" s="51" t="s">
        <v>1022</v>
      </c>
      <c r="L410" s="58">
        <v>7579.46</v>
      </c>
      <c r="M410" s="50">
        <f>ROUND('FA Addition'!$L410*5%,0.1)</f>
        <v>379</v>
      </c>
      <c r="N410" s="113" t="str">
        <f>_xlfn.XLOOKUP(_xlfn.CONCAT(E410,B410),'Year Wise Master Dep Approach'!F:F,'Year Wise Master Dep Approach'!D:D)</f>
        <v>WDV</v>
      </c>
      <c r="O410" s="113">
        <f>_xlfn.XLOOKUP(_xlfn.CONCAT(E410,B410),'Year Wise Master Dep Approach'!F:F,'Year Wise Master Dep Approach'!E:E)</f>
        <v>5</v>
      </c>
      <c r="P410" s="114">
        <f>IFERROR(IF('FA Addition'!$N410="WDV",1-('FA Addition'!$M410/'FA Addition'!$L410)^(1/'FA Addition'!$O410),1/'FA Addition'!$O410),0)</f>
        <v>0.45071190185549714</v>
      </c>
      <c r="Q410" s="122">
        <f>'FA Addition'!$P410*'FA Addition'!$O410</f>
        <v>2.2535595092774856</v>
      </c>
      <c r="R410" s="122"/>
      <c r="S410" s="116">
        <f>IF(AND(DATE(20&amp;LEFT(FAAddition[[#This Row],[FY]],2),4,1)&lt;$L$1+1,DATE(20&amp;LEFT(FAAddition[[#This Row],[FY]],2),4,1)&gt;$P$1-1),'FA Addition'!$J410,0)</f>
        <v>0</v>
      </c>
      <c r="U410" s="117">
        <f>S410*'FA Addition'!$L410/'FA Addition'!$J410</f>
        <v>0</v>
      </c>
      <c r="W410" s="116">
        <f>SUMIFS('FA Write off'!D:D,'FA Write off'!A:A,'FA Addition'!$A410,'FA Write off'!C:C,"&lt;"&amp;'FA Addition'!$P$1)</f>
        <v>0</v>
      </c>
      <c r="Y410" s="191">
        <f>IFERROR(W410/'FA Addition'!$J410*'FA Addition'!$L410,0)</f>
        <v>0</v>
      </c>
      <c r="AA410" s="116">
        <f>SUMIFS('FA Write off'!D:D,'FA Write off'!A:A,'FA Addition'!$A410,'FA Write off'!C:C,"&lt;"&amp;'FA Addition'!$L$1+1,'FA Write off'!C:C,"&gt;"&amp;'FA Addition'!$L$1-365)</f>
        <v>0</v>
      </c>
      <c r="AC410" s="118">
        <f>IFERROR(AA410/'FA Addition'!$J410*'FA Addition'!$L410,0)</f>
        <v>0</v>
      </c>
      <c r="AE410" s="117">
        <f>IF(AND('FA Addition'!$D410&lt;$P$1+1,U410=0),'FA Addition'!$L410,0)-Y410</f>
        <v>7579.46</v>
      </c>
      <c r="AF410" s="117">
        <f t="shared" si="30"/>
        <v>7579.46</v>
      </c>
      <c r="AG410" s="117">
        <f>MIN(MAX(+$P$1-'FA Addition'!$D410,0),365*'FA Addition'!$O410)</f>
        <v>1432</v>
      </c>
      <c r="AH410" s="117">
        <f>MIN(MAX($L$1-'FA Addition'!$D410+1,0),365*'FA Addition'!$O410)</f>
        <v>1798</v>
      </c>
      <c r="AI410" s="117" cm="1">
        <f t="array" ref="AI410">_xlfn.XLOOKUP(1,('FA Write off'!A:A='FA Addition'!$A410)*('FA Write off'!D:D=AA410),'FA Write off'!H:H,0,0)</f>
        <v>0</v>
      </c>
      <c r="AJ410" s="117">
        <f>IF(AC410&gt;0,MAX(IF('FA Addition'!$N410="SLM",($AC410-'FA Addition'!$M410)*'FA Addition'!$P410*AI410/365,(AC410-'FA Addition'!$M410)*(1-(1-'FA Addition'!$P410)^(AI410/365))),0),0)</f>
        <v>0</v>
      </c>
      <c r="AL410" s="117">
        <f>MAX(IF(AG410&gt;0,IF('FA Addition'!$N410="SLM",($AE410-'FA Addition'!$M410)*'FA Addition'!$P410*AG410/365,IFERROR(VDB(AE410,AE410*0.05,'FA Addition'!$O410,0,YEARFRAC('FA Addition'!$C410,$P$1-1,3),'FA Addition'!$Q410),FAAddition[[#This Row],[Original Cost (Rs)]]-FAAddition[[#This Row],[Salvage Value]])),0),0)</f>
        <v>6844.4935601651268</v>
      </c>
      <c r="AM410" s="119"/>
      <c r="AN410" s="117">
        <f>MAX(IF(AH410&gt;0,IF('FA Addition'!$N410="SLM",($AF410-'FA Addition'!$M410)*'FA Addition'!$P410*AH410/365,IFERROR(VDB(AF410,AF410*0.05,'FA Addition'!$O410,0,YEARFRAC('FA Addition'!$C410,$L$1,3),'FA Addition'!$Q410),FAAddition[[#This Row],[Original Cost (Rs)]]-FAAddition[[#This Row],[Salvage Value]])),0),0)</f>
        <v>7176.6286217935321</v>
      </c>
      <c r="AO410" s="117">
        <f t="shared" si="33"/>
        <v>332.13506162840531</v>
      </c>
      <c r="AQ410" s="117">
        <f t="shared" si="31"/>
        <v>734.9664398348732</v>
      </c>
      <c r="AR410" s="120">
        <f t="shared" si="32"/>
        <v>402.83137820646789</v>
      </c>
      <c r="AS410" s="121"/>
    </row>
    <row r="411" spans="1:45" ht="13.5" x14ac:dyDescent="0.4">
      <c r="A411" s="12">
        <f t="shared" si="34"/>
        <v>408</v>
      </c>
      <c r="B411" s="64" t="s">
        <v>1018</v>
      </c>
      <c r="C411" s="54">
        <v>43587</v>
      </c>
      <c r="D411" s="54">
        <v>43587</v>
      </c>
      <c r="E411" s="46" t="s">
        <v>32</v>
      </c>
      <c r="F411" s="51" t="s">
        <v>32</v>
      </c>
      <c r="G411" s="51" t="s">
        <v>433</v>
      </c>
      <c r="H411" s="51" t="s">
        <v>32</v>
      </c>
      <c r="I411" s="55" t="s">
        <v>1023</v>
      </c>
      <c r="J411" s="56">
        <v>30</v>
      </c>
      <c r="K411" s="51" t="s">
        <v>993</v>
      </c>
      <c r="L411" s="58">
        <v>123600</v>
      </c>
      <c r="M411" s="50">
        <f>ROUND('FA Addition'!$L411*5%,0.1)</f>
        <v>6180</v>
      </c>
      <c r="N411" s="113" t="str">
        <f>_xlfn.XLOOKUP(_xlfn.CONCAT(E411,B411),'Year Wise Master Dep Approach'!F:F,'Year Wise Master Dep Approach'!D:D)</f>
        <v>WDV</v>
      </c>
      <c r="O411" s="113">
        <f>_xlfn.XLOOKUP(_xlfn.CONCAT(E411,B411),'Year Wise Master Dep Approach'!F:F,'Year Wise Master Dep Approach'!E:E)</f>
        <v>3</v>
      </c>
      <c r="P411" s="114">
        <f>IFERROR(IF('FA Addition'!$N411="WDV",1-('FA Addition'!$M411/'FA Addition'!$L411)^(1/'FA Addition'!$O411),1/'FA Addition'!$O411),0)</f>
        <v>0.63159685013596123</v>
      </c>
      <c r="Q411" s="122">
        <f>'FA Addition'!$P411*'FA Addition'!$O411</f>
        <v>1.8947905504078837</v>
      </c>
      <c r="R411" s="122"/>
      <c r="S411" s="116">
        <f>IF(AND(DATE(20&amp;LEFT(FAAddition[[#This Row],[FY]],2),4,1)&lt;$L$1+1,DATE(20&amp;LEFT(FAAddition[[#This Row],[FY]],2),4,1)&gt;$P$1-1),'FA Addition'!$J411,0)</f>
        <v>0</v>
      </c>
      <c r="U411" s="117">
        <f>S411*'FA Addition'!$L411/'FA Addition'!$J411</f>
        <v>0</v>
      </c>
      <c r="W411" s="116">
        <f>SUMIFS('FA Write off'!D:D,'FA Write off'!A:A,'FA Addition'!$A411,'FA Write off'!C:C,"&lt;"&amp;'FA Addition'!$P$1)</f>
        <v>0</v>
      </c>
      <c r="Y411" s="191">
        <f>IFERROR(W411/'FA Addition'!$J411*'FA Addition'!$L411,0)</f>
        <v>0</v>
      </c>
      <c r="AA411" s="116">
        <f>SUMIFS('FA Write off'!D:D,'FA Write off'!A:A,'FA Addition'!$A411,'FA Write off'!C:C,"&lt;"&amp;'FA Addition'!$L$1+1,'FA Write off'!C:C,"&gt;"&amp;'FA Addition'!$L$1-365)</f>
        <v>0</v>
      </c>
      <c r="AC411" s="118">
        <f>IFERROR(AA411/'FA Addition'!$J411*'FA Addition'!$L411,0)</f>
        <v>0</v>
      </c>
      <c r="AE411" s="117">
        <f>IF(AND('FA Addition'!$D411&lt;$P$1+1,U411=0),'FA Addition'!$L411,0)-Y411</f>
        <v>123600</v>
      </c>
      <c r="AF411" s="117">
        <f t="shared" si="30"/>
        <v>123600</v>
      </c>
      <c r="AG411" s="117">
        <f>MIN(MAX(+$P$1-'FA Addition'!$D411,0),365*'FA Addition'!$O411)</f>
        <v>1095</v>
      </c>
      <c r="AH411" s="117">
        <f>MIN(MAX($L$1-'FA Addition'!$D411+1,0),365*'FA Addition'!$O411)</f>
        <v>1095</v>
      </c>
      <c r="AI411" s="117" cm="1">
        <f t="array" ref="AI411">_xlfn.XLOOKUP(1,('FA Write off'!A:A='FA Addition'!$A411)*('FA Write off'!D:D=AA411),'FA Write off'!H:H,0,0)</f>
        <v>0</v>
      </c>
      <c r="AJ411" s="117">
        <f>IF(AC411&gt;0,MAX(IF('FA Addition'!$N411="SLM",($AC411-'FA Addition'!$M411)*'FA Addition'!$P411*AI411/365,(AC411-'FA Addition'!$M411)*(1-(1-'FA Addition'!$P411)^(AI411/365))),0),0)</f>
        <v>0</v>
      </c>
      <c r="AL411" s="117">
        <f>MAX(IF(AG411&gt;0,IF('FA Addition'!$N411="SLM",($AE411-'FA Addition'!$M411)*'FA Addition'!$P411*AG411/365,IFERROR(VDB(AE411,AE411*0.05,'FA Addition'!$O411,0,YEARFRAC('FA Addition'!$C411,$P$1-1,3),'FA Addition'!$Q411),FAAddition[[#This Row],[Original Cost (Rs)]]-FAAddition[[#This Row],[Salvage Value]])),0),0)</f>
        <v>117420</v>
      </c>
      <c r="AM411" s="119"/>
      <c r="AN411" s="117">
        <f>MAX(IF(AH411&gt;0,IF('FA Addition'!$N411="SLM",($AF411-'FA Addition'!$M411)*'FA Addition'!$P411*AH411/365,IFERROR(VDB(AF411,AF411*0.05,'FA Addition'!$O411,0,YEARFRAC('FA Addition'!$C411,$L$1,3),'FA Addition'!$Q411),FAAddition[[#This Row],[Original Cost (Rs)]]-FAAddition[[#This Row],[Salvage Value]])),0),0)</f>
        <v>117420</v>
      </c>
      <c r="AO411" s="117">
        <f t="shared" si="33"/>
        <v>0</v>
      </c>
      <c r="AQ411" s="117">
        <f t="shared" si="31"/>
        <v>6180</v>
      </c>
      <c r="AR411" s="120">
        <f t="shared" si="32"/>
        <v>6180</v>
      </c>
      <c r="AS411" s="121"/>
    </row>
    <row r="412" spans="1:45" ht="13.5" x14ac:dyDescent="0.4">
      <c r="A412" s="12">
        <f t="shared" si="34"/>
        <v>409</v>
      </c>
      <c r="B412" s="64" t="s">
        <v>1018</v>
      </c>
      <c r="C412" s="54">
        <v>43603</v>
      </c>
      <c r="D412" s="54">
        <v>43603</v>
      </c>
      <c r="E412" s="46" t="s">
        <v>32</v>
      </c>
      <c r="F412" s="51" t="s">
        <v>32</v>
      </c>
      <c r="G412" s="51" t="s">
        <v>433</v>
      </c>
      <c r="H412" s="51" t="s">
        <v>32</v>
      </c>
      <c r="I412" s="55" t="s">
        <v>1024</v>
      </c>
      <c r="J412" s="56">
        <v>250</v>
      </c>
      <c r="K412" s="51" t="s">
        <v>978</v>
      </c>
      <c r="L412" s="58">
        <v>287500</v>
      </c>
      <c r="M412" s="50">
        <f>ROUND('FA Addition'!$L412*5%,0.1)</f>
        <v>14375</v>
      </c>
      <c r="N412" s="113" t="str">
        <f>_xlfn.XLOOKUP(_xlfn.CONCAT(E412,B412),'Year Wise Master Dep Approach'!F:F,'Year Wise Master Dep Approach'!D:D)</f>
        <v>WDV</v>
      </c>
      <c r="O412" s="113">
        <f>_xlfn.XLOOKUP(_xlfn.CONCAT(E412,B412),'Year Wise Master Dep Approach'!F:F,'Year Wise Master Dep Approach'!E:E)</f>
        <v>3</v>
      </c>
      <c r="P412" s="114">
        <f>IFERROR(IF('FA Addition'!$N412="WDV",1-('FA Addition'!$M412/'FA Addition'!$L412)^(1/'FA Addition'!$O412),1/'FA Addition'!$O412),0)</f>
        <v>0.63159685013596123</v>
      </c>
      <c r="Q412" s="122">
        <f>'FA Addition'!$P412*'FA Addition'!$O412</f>
        <v>1.8947905504078837</v>
      </c>
      <c r="R412" s="122"/>
      <c r="S412" s="116">
        <f>IF(AND(DATE(20&amp;LEFT(FAAddition[[#This Row],[FY]],2),4,1)&lt;$L$1+1,DATE(20&amp;LEFT(FAAddition[[#This Row],[FY]],2),4,1)&gt;$P$1-1),'FA Addition'!$J412,0)</f>
        <v>0</v>
      </c>
      <c r="U412" s="117">
        <f>S412*'FA Addition'!$L412/'FA Addition'!$J412</f>
        <v>0</v>
      </c>
      <c r="W412" s="116">
        <f>SUMIFS('FA Write off'!D:D,'FA Write off'!A:A,'FA Addition'!$A412,'FA Write off'!C:C,"&lt;"&amp;'FA Addition'!$P$1)</f>
        <v>1</v>
      </c>
      <c r="Y412" s="191">
        <f>IFERROR(W412/'FA Addition'!$J412*'FA Addition'!$L412,0)</f>
        <v>1150</v>
      </c>
      <c r="AA412" s="116">
        <f>SUMIFS('FA Write off'!D:D,'FA Write off'!A:A,'FA Addition'!$A412,'FA Write off'!C:C,"&lt;"&amp;'FA Addition'!$L$1+1,'FA Write off'!C:C,"&gt;"&amp;'FA Addition'!$L$1-365)</f>
        <v>12</v>
      </c>
      <c r="AC412" s="191">
        <f>IFERROR(AA412/'FA Addition'!$J412*'FA Addition'!$L412,0)</f>
        <v>13800</v>
      </c>
      <c r="AE412" s="117">
        <f>IF(AND('FA Addition'!$D412&lt;$P$1+1,U412=0),'FA Addition'!$L412,0)-Y412</f>
        <v>286350</v>
      </c>
      <c r="AF412" s="117">
        <f t="shared" si="30"/>
        <v>272550</v>
      </c>
      <c r="AG412" s="117">
        <f>MIN(MAX(+$P$1-'FA Addition'!$D412,0),365*'FA Addition'!$O412)</f>
        <v>1095</v>
      </c>
      <c r="AH412" s="117">
        <f>MIN(MAX($L$1-'FA Addition'!$D412+1,0),365*'FA Addition'!$O412)</f>
        <v>1095</v>
      </c>
      <c r="AI412" s="117" cm="1">
        <f t="array" ref="AI412">_xlfn.XLOOKUP(1,('FA Write off'!A:A='FA Addition'!$A412)*('FA Write off'!D:D=AA412),'FA Write off'!H:H,0,0)</f>
        <v>1095</v>
      </c>
      <c r="AJ412" s="117">
        <f>IF(AC412&gt;0,MAX(IF('FA Addition'!$N412="SLM",($AC412-'FA Addition'!$M412)*'FA Addition'!$P412*AI412/365,(AC412-'FA Addition'!$M412)*(1-(1-'FA Addition'!$P412)^(AI412/365))),0),0)</f>
        <v>0</v>
      </c>
      <c r="AL412" s="117">
        <f>MAX(IF(AG412&gt;0,IF('FA Addition'!$N412="SLM",($AE412-'FA Addition'!$M412)*'FA Addition'!$P412*AG412/365,IFERROR(VDB(AE412,AE412*0.05,'FA Addition'!$O412,0,YEARFRAC('FA Addition'!$C412,$P$1-1,3),'FA Addition'!$Q412),FAAddition[[#This Row],[Original Cost (Rs)]]-FAAddition[[#This Row],[Salvage Value]])),0),0)</f>
        <v>273125</v>
      </c>
      <c r="AM412" s="119"/>
      <c r="AN412" s="117">
        <f>MAX(IF(AH412&gt;0,IF('FA Addition'!$N412="SLM",($AF412-'FA Addition'!$M412)*'FA Addition'!$P412*AH412/365,IFERROR(VDB(AF412,AF412*0.05,'FA Addition'!$O412,0,YEARFRAC('FA Addition'!$C412,$L$1,3),'FA Addition'!$Q412),FAAddition[[#This Row],[Original Cost (Rs)]]-FAAddition[[#This Row],[Salvage Value]])),0),0)</f>
        <v>273125</v>
      </c>
      <c r="AO412" s="117">
        <f t="shared" si="33"/>
        <v>0</v>
      </c>
      <c r="AQ412" s="117">
        <f t="shared" si="31"/>
        <v>13225</v>
      </c>
      <c r="AR412" s="120">
        <f t="shared" si="32"/>
        <v>-575</v>
      </c>
      <c r="AS412" s="121"/>
    </row>
    <row r="413" spans="1:45" ht="13.5" x14ac:dyDescent="0.4">
      <c r="A413" s="12">
        <f t="shared" si="34"/>
        <v>410</v>
      </c>
      <c r="B413" s="64" t="s">
        <v>1018</v>
      </c>
      <c r="C413" s="54">
        <v>43612</v>
      </c>
      <c r="D413" s="54">
        <v>43612</v>
      </c>
      <c r="E413" s="46" t="s">
        <v>451</v>
      </c>
      <c r="F413" s="51" t="s">
        <v>808</v>
      </c>
      <c r="G413" s="51" t="s">
        <v>949</v>
      </c>
      <c r="H413" s="51" t="s">
        <v>113</v>
      </c>
      <c r="I413" s="55"/>
      <c r="J413" s="56">
        <v>1</v>
      </c>
      <c r="K413" s="51"/>
      <c r="L413" s="58">
        <v>17795.759999999998</v>
      </c>
      <c r="M413" s="50">
        <f>ROUND('FA Addition'!$L413*5%,0.1)</f>
        <v>890</v>
      </c>
      <c r="N413" s="113" t="str">
        <f>_xlfn.XLOOKUP(_xlfn.CONCAT(E413,B413),'Year Wise Master Dep Approach'!F:F,'Year Wise Master Dep Approach'!D:D)</f>
        <v>WDV</v>
      </c>
      <c r="O413" s="113">
        <f>_xlfn.XLOOKUP(_xlfn.CONCAT(E413,B413),'Year Wise Master Dep Approach'!F:F,'Year Wise Master Dep Approach'!E:E)</f>
        <v>3</v>
      </c>
      <c r="P413" s="114">
        <f>IFERROR(IF('FA Addition'!$N413="WDV",1-('FA Addition'!$M413/'FA Addition'!$L413)^(1/'FA Addition'!$O413),1/'FA Addition'!$O413),0)</f>
        <v>0.63156759400386409</v>
      </c>
      <c r="Q413" s="122">
        <f>'FA Addition'!$P413*'FA Addition'!$O413</f>
        <v>1.8947027820115923</v>
      </c>
      <c r="R413" s="122"/>
      <c r="S413" s="116">
        <f>IF(AND(DATE(20&amp;LEFT(FAAddition[[#This Row],[FY]],2),4,1)&lt;$L$1+1,DATE(20&amp;LEFT(FAAddition[[#This Row],[FY]],2),4,1)&gt;$P$1-1),'FA Addition'!$J413,0)</f>
        <v>0</v>
      </c>
      <c r="U413" s="117">
        <f>S413*'FA Addition'!$L413/'FA Addition'!$J413</f>
        <v>0</v>
      </c>
      <c r="W413" s="116">
        <f>SUMIFS('FA Write off'!D:D,'FA Write off'!A:A,'FA Addition'!$A413,'FA Write off'!C:C,"&lt;"&amp;'FA Addition'!$P$1)</f>
        <v>0</v>
      </c>
      <c r="Y413" s="191">
        <f>IFERROR(W413/'FA Addition'!$J413*'FA Addition'!$L413,0)</f>
        <v>0</v>
      </c>
      <c r="AA413" s="116">
        <f>SUMIFS('FA Write off'!D:D,'FA Write off'!A:A,'FA Addition'!$A413,'FA Write off'!C:C,"&lt;"&amp;'FA Addition'!$L$1+1,'FA Write off'!C:C,"&gt;"&amp;'FA Addition'!$L$1-365)</f>
        <v>0</v>
      </c>
      <c r="AC413" s="118">
        <f>IFERROR(AA413/'FA Addition'!$J413*'FA Addition'!$L413,0)</f>
        <v>0</v>
      </c>
      <c r="AE413" s="117">
        <f>IF(AND('FA Addition'!$D413&lt;$P$1+1,U413=0),'FA Addition'!$L413,0)-Y413</f>
        <v>17795.759999999998</v>
      </c>
      <c r="AF413" s="117">
        <f t="shared" si="30"/>
        <v>17795.759999999998</v>
      </c>
      <c r="AG413" s="117">
        <f>MIN(MAX(+$P$1-'FA Addition'!$D413,0),365*'FA Addition'!$O413)</f>
        <v>1095</v>
      </c>
      <c r="AH413" s="117">
        <f>MIN(MAX($L$1-'FA Addition'!$D413+1,0),365*'FA Addition'!$O413)</f>
        <v>1095</v>
      </c>
      <c r="AI413" s="117" cm="1">
        <f t="array" ref="AI413">_xlfn.XLOOKUP(1,('FA Write off'!A:A='FA Addition'!$A413)*('FA Write off'!D:D=AA413),'FA Write off'!H:H,0,0)</f>
        <v>0</v>
      </c>
      <c r="AJ413" s="117">
        <f>IF(AC413&gt;0,MAX(IF('FA Addition'!$N413="SLM",($AC413-'FA Addition'!$M413)*'FA Addition'!$P413*AI413/365,(AC413-'FA Addition'!$M413)*(1-(1-'FA Addition'!$P413)^(AI413/365))),0),0)</f>
        <v>0</v>
      </c>
      <c r="AL413" s="117">
        <f>MAX(IF(AG413&gt;0,IF('FA Addition'!$N413="SLM",($AE413-'FA Addition'!$M413)*'FA Addition'!$P413*AG413/365,IFERROR(VDB(AE413,AE413*0.05,'FA Addition'!$O413,0,YEARFRAC('FA Addition'!$C413,$P$1-1,3),'FA Addition'!$Q413),FAAddition[[#This Row],[Original Cost (Rs)]]-FAAddition[[#This Row],[Salvage Value]])),0),0)</f>
        <v>16905.759999999998</v>
      </c>
      <c r="AM413" s="119"/>
      <c r="AN413" s="117">
        <f>MAX(IF(AH413&gt;0,IF('FA Addition'!$N413="SLM",($AF413-'FA Addition'!$M413)*'FA Addition'!$P413*AH413/365,IFERROR(VDB(AF413,AF413*0.05,'FA Addition'!$O413,0,YEARFRAC('FA Addition'!$C413,$L$1,3),'FA Addition'!$Q413),FAAddition[[#This Row],[Original Cost (Rs)]]-FAAddition[[#This Row],[Salvage Value]])),0),0)</f>
        <v>16905.759999999998</v>
      </c>
      <c r="AO413" s="117">
        <f t="shared" si="33"/>
        <v>0</v>
      </c>
      <c r="AQ413" s="117">
        <f t="shared" si="31"/>
        <v>890</v>
      </c>
      <c r="AR413" s="120">
        <f t="shared" si="32"/>
        <v>890</v>
      </c>
      <c r="AS413" s="121"/>
    </row>
    <row r="414" spans="1:45" ht="13.5" x14ac:dyDescent="0.4">
      <c r="A414" s="12">
        <f t="shared" si="34"/>
        <v>411</v>
      </c>
      <c r="B414" s="64" t="s">
        <v>1018</v>
      </c>
      <c r="C414" s="54">
        <v>43612</v>
      </c>
      <c r="D414" s="54">
        <v>43612</v>
      </c>
      <c r="E414" s="46" t="s">
        <v>451</v>
      </c>
      <c r="F414" s="51" t="s">
        <v>808</v>
      </c>
      <c r="G414" s="51" t="s">
        <v>967</v>
      </c>
      <c r="H414" s="51" t="s">
        <v>151</v>
      </c>
      <c r="I414" s="55" t="s">
        <v>1025</v>
      </c>
      <c r="J414" s="56">
        <v>1</v>
      </c>
      <c r="K414" s="51" t="s">
        <v>1026</v>
      </c>
      <c r="L414" s="58">
        <v>18381</v>
      </c>
      <c r="M414" s="50">
        <f>ROUND('FA Addition'!$L414*5%,0.1)</f>
        <v>919</v>
      </c>
      <c r="N414" s="113" t="str">
        <f>_xlfn.XLOOKUP(_xlfn.CONCAT(E414,B414),'Year Wise Master Dep Approach'!F:F,'Year Wise Master Dep Approach'!D:D)</f>
        <v>WDV</v>
      </c>
      <c r="O414" s="113">
        <f>_xlfn.XLOOKUP(_xlfn.CONCAT(E414,B414),'Year Wise Master Dep Approach'!F:F,'Year Wise Master Dep Approach'!E:E)</f>
        <v>3</v>
      </c>
      <c r="P414" s="114">
        <f>IFERROR(IF('FA Addition'!$N414="WDV",1-('FA Addition'!$M414/'FA Addition'!$L414)^(1/'FA Addition'!$O414),1/'FA Addition'!$O414),0)</f>
        <v>0.6316035311259498</v>
      </c>
      <c r="Q414" s="122">
        <f>'FA Addition'!$P414*'FA Addition'!$O414</f>
        <v>1.8948105933778494</v>
      </c>
      <c r="R414" s="122"/>
      <c r="S414" s="116">
        <f>IF(AND(DATE(20&amp;LEFT(FAAddition[[#This Row],[FY]],2),4,1)&lt;$L$1+1,DATE(20&amp;LEFT(FAAddition[[#This Row],[FY]],2),4,1)&gt;$P$1-1),'FA Addition'!$J414,0)</f>
        <v>0</v>
      </c>
      <c r="U414" s="117">
        <f>S414*'FA Addition'!$L414/'FA Addition'!$J414</f>
        <v>0</v>
      </c>
      <c r="W414" s="116">
        <f>SUMIFS('FA Write off'!D:D,'FA Write off'!A:A,'FA Addition'!$A414,'FA Write off'!C:C,"&lt;"&amp;'FA Addition'!$P$1)</f>
        <v>0</v>
      </c>
      <c r="Y414" s="191">
        <f>IFERROR(W414/'FA Addition'!$J414*'FA Addition'!$L414,0)</f>
        <v>0</v>
      </c>
      <c r="AA414" s="116">
        <f>SUMIFS('FA Write off'!D:D,'FA Write off'!A:A,'FA Addition'!$A414,'FA Write off'!C:C,"&lt;"&amp;'FA Addition'!$L$1+1,'FA Write off'!C:C,"&gt;"&amp;'FA Addition'!$L$1-365)</f>
        <v>0</v>
      </c>
      <c r="AC414" s="118">
        <f>IFERROR(AA414/'FA Addition'!$J414*'FA Addition'!$L414,0)</f>
        <v>0</v>
      </c>
      <c r="AE414" s="117">
        <f>IF(AND('FA Addition'!$D414&lt;$P$1+1,U414=0),'FA Addition'!$L414,0)-Y414</f>
        <v>18381</v>
      </c>
      <c r="AF414" s="117">
        <f t="shared" si="30"/>
        <v>18381</v>
      </c>
      <c r="AG414" s="117">
        <f>MIN(MAX(+$P$1-'FA Addition'!$D414,0),365*'FA Addition'!$O414)</f>
        <v>1095</v>
      </c>
      <c r="AH414" s="117">
        <f>MIN(MAX($L$1-'FA Addition'!$D414+1,0),365*'FA Addition'!$O414)</f>
        <v>1095</v>
      </c>
      <c r="AI414" s="117" cm="1">
        <f t="array" ref="AI414">_xlfn.XLOOKUP(1,('FA Write off'!A:A='FA Addition'!$A414)*('FA Write off'!D:D=AA414),'FA Write off'!H:H,0,0)</f>
        <v>0</v>
      </c>
      <c r="AJ414" s="117">
        <f>IF(AC414&gt;0,MAX(IF('FA Addition'!$N414="SLM",($AC414-'FA Addition'!$M414)*'FA Addition'!$P414*AI414/365,(AC414-'FA Addition'!$M414)*(1-(1-'FA Addition'!$P414)^(AI414/365))),0),0)</f>
        <v>0</v>
      </c>
      <c r="AL414" s="117">
        <f>MAX(IF(AG414&gt;0,IF('FA Addition'!$N414="SLM",($AE414-'FA Addition'!$M414)*'FA Addition'!$P414*AG414/365,IFERROR(VDB(AE414,AE414*0.05,'FA Addition'!$O414,0,YEARFRAC('FA Addition'!$C414,$P$1-1,3),'FA Addition'!$Q414),FAAddition[[#This Row],[Original Cost (Rs)]]-FAAddition[[#This Row],[Salvage Value]])),0),0)</f>
        <v>17462</v>
      </c>
      <c r="AM414" s="119"/>
      <c r="AN414" s="117">
        <f>MAX(IF(AH414&gt;0,IF('FA Addition'!$N414="SLM",($AF414-'FA Addition'!$M414)*'FA Addition'!$P414*AH414/365,IFERROR(VDB(AF414,AF414*0.05,'FA Addition'!$O414,0,YEARFRAC('FA Addition'!$C414,$L$1,3),'FA Addition'!$Q414),FAAddition[[#This Row],[Original Cost (Rs)]]-FAAddition[[#This Row],[Salvage Value]])),0),0)</f>
        <v>17462</v>
      </c>
      <c r="AO414" s="117">
        <f t="shared" si="33"/>
        <v>0</v>
      </c>
      <c r="AQ414" s="117">
        <f t="shared" si="31"/>
        <v>919</v>
      </c>
      <c r="AR414" s="120">
        <f t="shared" si="32"/>
        <v>919</v>
      </c>
      <c r="AS414" s="121"/>
    </row>
    <row r="415" spans="1:45" ht="13.5" x14ac:dyDescent="0.4">
      <c r="A415" s="12">
        <f t="shared" si="34"/>
        <v>412</v>
      </c>
      <c r="B415" s="64" t="s">
        <v>1018</v>
      </c>
      <c r="C415" s="54">
        <v>43614</v>
      </c>
      <c r="D415" s="54">
        <v>43614</v>
      </c>
      <c r="E415" s="46" t="s">
        <v>207</v>
      </c>
      <c r="F415" s="51" t="s">
        <v>147</v>
      </c>
      <c r="G415" s="51" t="s">
        <v>949</v>
      </c>
      <c r="H415" s="51" t="s">
        <v>207</v>
      </c>
      <c r="I415" s="55" t="s">
        <v>1027</v>
      </c>
      <c r="J415" s="56">
        <v>1</v>
      </c>
      <c r="K415" s="51" t="s">
        <v>1028</v>
      </c>
      <c r="L415" s="58">
        <v>5356.25</v>
      </c>
      <c r="M415" s="50">
        <f>ROUND('FA Addition'!$L415*5%,0.1)</f>
        <v>268</v>
      </c>
      <c r="N415" s="113" t="str">
        <f>_xlfn.XLOOKUP(_xlfn.CONCAT(E415,B415),'Year Wise Master Dep Approach'!F:F,'Year Wise Master Dep Approach'!D:D)</f>
        <v>WDV</v>
      </c>
      <c r="O415" s="113">
        <f>_xlfn.XLOOKUP(_xlfn.CONCAT(E415,B415),'Year Wise Master Dep Approach'!F:F,'Year Wise Master Dep Approach'!E:E)</f>
        <v>5</v>
      </c>
      <c r="P415" s="114">
        <f>IFERROR(IF('FA Addition'!$N415="WDV",1-('FA Addition'!$M415/'FA Addition'!$L415)^(1/'FA Addition'!$O415),1/'FA Addition'!$O415),0)</f>
        <v>0.45064283782015579</v>
      </c>
      <c r="Q415" s="122">
        <f>'FA Addition'!$P415*'FA Addition'!$O415</f>
        <v>2.2532141891007789</v>
      </c>
      <c r="R415" s="122"/>
      <c r="S415" s="116">
        <f>IF(AND(DATE(20&amp;LEFT(FAAddition[[#This Row],[FY]],2),4,1)&lt;$L$1+1,DATE(20&amp;LEFT(FAAddition[[#This Row],[FY]],2),4,1)&gt;$P$1-1),'FA Addition'!$J415,0)</f>
        <v>0</v>
      </c>
      <c r="U415" s="117">
        <f>S415*'FA Addition'!$L415/'FA Addition'!$J415</f>
        <v>0</v>
      </c>
      <c r="W415" s="116">
        <f>SUMIFS('FA Write off'!D:D,'FA Write off'!A:A,'FA Addition'!$A415,'FA Write off'!C:C,"&lt;"&amp;'FA Addition'!$P$1)</f>
        <v>0</v>
      </c>
      <c r="Y415" s="191">
        <f>IFERROR(W415/'FA Addition'!$J415*'FA Addition'!$L415,0)</f>
        <v>0</v>
      </c>
      <c r="AA415" s="116">
        <f>SUMIFS('FA Write off'!D:D,'FA Write off'!A:A,'FA Addition'!$A415,'FA Write off'!C:C,"&lt;"&amp;'FA Addition'!$L$1+1,'FA Write off'!C:C,"&gt;"&amp;'FA Addition'!$L$1-365)</f>
        <v>0</v>
      </c>
      <c r="AC415" s="118">
        <f>IFERROR(AA415/'FA Addition'!$J415*'FA Addition'!$L415,0)</f>
        <v>0</v>
      </c>
      <c r="AE415" s="117">
        <f>IF(AND('FA Addition'!$D415&lt;$P$1+1,U415=0),'FA Addition'!$L415,0)-Y415</f>
        <v>5356.25</v>
      </c>
      <c r="AF415" s="117">
        <f t="shared" si="30"/>
        <v>5356.25</v>
      </c>
      <c r="AG415" s="117">
        <f>MIN(MAX(+$P$1-'FA Addition'!$D415,0),365*'FA Addition'!$O415)</f>
        <v>1403</v>
      </c>
      <c r="AH415" s="117">
        <f>MIN(MAX($L$1-'FA Addition'!$D415+1,0),365*'FA Addition'!$O415)</f>
        <v>1769</v>
      </c>
      <c r="AI415" s="117" cm="1">
        <f t="array" ref="AI415">_xlfn.XLOOKUP(1,('FA Write off'!A:A='FA Addition'!$A415)*('FA Write off'!D:D=AA415),'FA Write off'!H:H,0,0)</f>
        <v>0</v>
      </c>
      <c r="AJ415" s="117">
        <f>IF(AC415&gt;0,MAX(IF('FA Addition'!$N415="SLM",($AC415-'FA Addition'!$M415)*'FA Addition'!$P415*AI415/365,(AC415-'FA Addition'!$M415)*(1-(1-'FA Addition'!$P415)^(AI415/365))),0),0)</f>
        <v>0</v>
      </c>
      <c r="AL415" s="117">
        <f>MAX(IF(AG415&gt;0,IF('FA Addition'!$N415="SLM",($AE415-'FA Addition'!$M415)*'FA Addition'!$P415*AG415/365,IFERROR(VDB(AE415,AE415*0.05,'FA Addition'!$O415,0,YEARFRAC('FA Addition'!$C415,$P$1-1,3),'FA Addition'!$Q415),FAAddition[[#This Row],[Original Cost (Rs)]]-FAAddition[[#This Row],[Salvage Value]])),0),0)</f>
        <v>4804.8164997310942</v>
      </c>
      <c r="AM415" s="119"/>
      <c r="AN415" s="117">
        <f>MAX(IF(AH415&gt;0,IF('FA Addition'!$N415="SLM",($AF415-'FA Addition'!$M415)*'FA Addition'!$P415*AH415/365,IFERROR(VDB(AF415,AF415*0.05,'FA Addition'!$O415,0,YEARFRAC('FA Addition'!$C415,$L$1,3),'FA Addition'!$Q415),FAAddition[[#This Row],[Original Cost (Rs)]]-FAAddition[[#This Row],[Salvage Value]])),0),0)</f>
        <v>5054.0765856987446</v>
      </c>
      <c r="AO415" s="117">
        <f t="shared" si="33"/>
        <v>249.26008596765041</v>
      </c>
      <c r="AQ415" s="117">
        <f t="shared" si="31"/>
        <v>551.43350026890585</v>
      </c>
      <c r="AR415" s="120">
        <f t="shared" si="32"/>
        <v>302.17341430125543</v>
      </c>
      <c r="AS415" s="121"/>
    </row>
    <row r="416" spans="1:45" ht="13.5" x14ac:dyDescent="0.4">
      <c r="A416" s="12">
        <f t="shared" si="34"/>
        <v>413</v>
      </c>
      <c r="B416" s="64" t="s">
        <v>1018</v>
      </c>
      <c r="C416" s="54">
        <v>43622</v>
      </c>
      <c r="D416" s="54">
        <v>43624</v>
      </c>
      <c r="E416" s="46" t="s">
        <v>451</v>
      </c>
      <c r="F416" s="51" t="s">
        <v>21</v>
      </c>
      <c r="G416" s="51" t="s">
        <v>949</v>
      </c>
      <c r="H416" s="51" t="s">
        <v>21</v>
      </c>
      <c r="I416" s="55" t="s">
        <v>1029</v>
      </c>
      <c r="J416" s="56">
        <v>1</v>
      </c>
      <c r="K416" s="51" t="s">
        <v>1030</v>
      </c>
      <c r="L416" s="58">
        <v>54990</v>
      </c>
      <c r="M416" s="50">
        <f>ROUND('FA Addition'!$L416*5%,0.1)</f>
        <v>2750</v>
      </c>
      <c r="N416" s="113" t="str">
        <f>_xlfn.XLOOKUP(_xlfn.CONCAT(E416,B416),'Year Wise Master Dep Approach'!F:F,'Year Wise Master Dep Approach'!D:D)</f>
        <v>WDV</v>
      </c>
      <c r="O416" s="113">
        <f>_xlfn.XLOOKUP(_xlfn.CONCAT(E416,B416),'Year Wise Master Dep Approach'!F:F,'Year Wise Master Dep Approach'!E:E)</f>
        <v>3</v>
      </c>
      <c r="P416" s="114">
        <f>IFERROR(IF('FA Addition'!$N416="WDV",1-('FA Addition'!$M416/'FA Addition'!$L416)^(1/'FA Addition'!$O416),1/'FA Addition'!$O416),0)</f>
        <v>0.63157451996559122</v>
      </c>
      <c r="Q416" s="122">
        <f>'FA Addition'!$P416*'FA Addition'!$O416</f>
        <v>1.8947235598967738</v>
      </c>
      <c r="R416" s="122"/>
      <c r="S416" s="116">
        <f>IF(AND(DATE(20&amp;LEFT(FAAddition[[#This Row],[FY]],2),4,1)&lt;$L$1+1,DATE(20&amp;LEFT(FAAddition[[#This Row],[FY]],2),4,1)&gt;$P$1-1),'FA Addition'!$J416,0)</f>
        <v>0</v>
      </c>
      <c r="U416" s="117">
        <f>S416*'FA Addition'!$L416/'FA Addition'!$J416</f>
        <v>0</v>
      </c>
      <c r="W416" s="116">
        <f>SUMIFS('FA Write off'!D:D,'FA Write off'!A:A,'FA Addition'!$A416,'FA Write off'!C:C,"&lt;"&amp;'FA Addition'!$P$1)</f>
        <v>0</v>
      </c>
      <c r="Y416" s="191">
        <f>IFERROR(W416/'FA Addition'!$J416*'FA Addition'!$L416,0)</f>
        <v>0</v>
      </c>
      <c r="AA416" s="116">
        <f>SUMIFS('FA Write off'!D:D,'FA Write off'!A:A,'FA Addition'!$A416,'FA Write off'!C:C,"&lt;"&amp;'FA Addition'!$L$1+1,'FA Write off'!C:C,"&gt;"&amp;'FA Addition'!$L$1-365)</f>
        <v>0</v>
      </c>
      <c r="AC416" s="118">
        <f>IFERROR(AA416/'FA Addition'!$J416*'FA Addition'!$L416,0)</f>
        <v>0</v>
      </c>
      <c r="AE416" s="117">
        <f>IF(AND('FA Addition'!$D416&lt;$P$1+1,U416=0),'FA Addition'!$L416,0)-Y416</f>
        <v>54990</v>
      </c>
      <c r="AF416" s="117">
        <f t="shared" si="30"/>
        <v>54990</v>
      </c>
      <c r="AG416" s="117">
        <f>MIN(MAX(+$P$1-'FA Addition'!$D416,0),365*'FA Addition'!$O416)</f>
        <v>1095</v>
      </c>
      <c r="AH416" s="117">
        <f>MIN(MAX($L$1-'FA Addition'!$D416+1,0),365*'FA Addition'!$O416)</f>
        <v>1095</v>
      </c>
      <c r="AI416" s="117" cm="1">
        <f t="array" ref="AI416">_xlfn.XLOOKUP(1,('FA Write off'!A:A='FA Addition'!$A416)*('FA Write off'!D:D=AA416),'FA Write off'!H:H,0,0)</f>
        <v>0</v>
      </c>
      <c r="AJ416" s="117">
        <f>IF(AC416&gt;0,MAX(IF('FA Addition'!$N416="SLM",($AC416-'FA Addition'!$M416)*'FA Addition'!$P416*AI416/365,(AC416-'FA Addition'!$M416)*(1-(1-'FA Addition'!$P416)^(AI416/365))),0),0)</f>
        <v>0</v>
      </c>
      <c r="AL416" s="117">
        <f>MAX(IF(AG416&gt;0,IF('FA Addition'!$N416="SLM",($AE416-'FA Addition'!$M416)*'FA Addition'!$P416*AG416/365,IFERROR(VDB(AE416,AE416*0.05,'FA Addition'!$O416,0,YEARFRAC('FA Addition'!$C416,$P$1-1,3),'FA Addition'!$Q416),FAAddition[[#This Row],[Original Cost (Rs)]]-FAAddition[[#This Row],[Salvage Value]])),0),0)</f>
        <v>52240</v>
      </c>
      <c r="AM416" s="119"/>
      <c r="AN416" s="117">
        <f>MAX(IF(AH416&gt;0,IF('FA Addition'!$N416="SLM",($AF416-'FA Addition'!$M416)*'FA Addition'!$P416*AH416/365,IFERROR(VDB(AF416,AF416*0.05,'FA Addition'!$O416,0,YEARFRAC('FA Addition'!$C416,$L$1,3),'FA Addition'!$Q416),FAAddition[[#This Row],[Original Cost (Rs)]]-FAAddition[[#This Row],[Salvage Value]])),0),0)</f>
        <v>52240</v>
      </c>
      <c r="AO416" s="117">
        <f t="shared" si="33"/>
        <v>0</v>
      </c>
      <c r="AQ416" s="117">
        <f t="shared" si="31"/>
        <v>2750</v>
      </c>
      <c r="AR416" s="120">
        <f t="shared" si="32"/>
        <v>2750</v>
      </c>
      <c r="AS416" s="121"/>
    </row>
    <row r="417" spans="1:45" ht="13.5" x14ac:dyDescent="0.4">
      <c r="A417" s="12">
        <f t="shared" si="34"/>
        <v>414</v>
      </c>
      <c r="B417" s="64" t="s">
        <v>1018</v>
      </c>
      <c r="C417" s="54">
        <v>43622</v>
      </c>
      <c r="D417" s="54">
        <v>43624</v>
      </c>
      <c r="E417" s="46" t="s">
        <v>451</v>
      </c>
      <c r="F417" s="51" t="s">
        <v>21</v>
      </c>
      <c r="G417" s="51" t="s">
        <v>949</v>
      </c>
      <c r="H417" s="51" t="s">
        <v>21</v>
      </c>
      <c r="I417" s="55" t="s">
        <v>1031</v>
      </c>
      <c r="J417" s="56">
        <v>1</v>
      </c>
      <c r="K417" s="51" t="s">
        <v>1032</v>
      </c>
      <c r="L417" s="58">
        <v>30990</v>
      </c>
      <c r="M417" s="50">
        <f>ROUND('FA Addition'!$L417*5%,0.1)</f>
        <v>1550</v>
      </c>
      <c r="N417" s="113" t="str">
        <f>_xlfn.XLOOKUP(_xlfn.CONCAT(E417,B417),'Year Wise Master Dep Approach'!F:F,'Year Wise Master Dep Approach'!D:D)</f>
        <v>WDV</v>
      </c>
      <c r="O417" s="113">
        <f>_xlfn.XLOOKUP(_xlfn.CONCAT(E417,B417),'Year Wise Master Dep Approach'!F:F,'Year Wise Master Dep Approach'!E:E)</f>
        <v>3</v>
      </c>
      <c r="P417" s="114">
        <f>IFERROR(IF('FA Addition'!$N417="WDV",1-('FA Addition'!$M417/'FA Addition'!$L417)^(1/'FA Addition'!$O417),1/'FA Addition'!$O417),0)</f>
        <v>0.63155722837292572</v>
      </c>
      <c r="Q417" s="122">
        <f>'FA Addition'!$P417*'FA Addition'!$O417</f>
        <v>1.894671685118777</v>
      </c>
      <c r="R417" s="122"/>
      <c r="S417" s="116">
        <f>IF(AND(DATE(20&amp;LEFT(FAAddition[[#This Row],[FY]],2),4,1)&lt;$L$1+1,DATE(20&amp;LEFT(FAAddition[[#This Row],[FY]],2),4,1)&gt;$P$1-1),'FA Addition'!$J417,0)</f>
        <v>0</v>
      </c>
      <c r="U417" s="117">
        <f>S417*'FA Addition'!$L417/'FA Addition'!$J417</f>
        <v>0</v>
      </c>
      <c r="W417" s="116">
        <f>SUMIFS('FA Write off'!D:D,'FA Write off'!A:A,'FA Addition'!$A417,'FA Write off'!C:C,"&lt;"&amp;'FA Addition'!$P$1)</f>
        <v>0</v>
      </c>
      <c r="Y417" s="191">
        <f>IFERROR(W417/'FA Addition'!$J417*'FA Addition'!$L417,0)</f>
        <v>0</v>
      </c>
      <c r="AA417" s="116">
        <f>SUMIFS('FA Write off'!D:D,'FA Write off'!A:A,'FA Addition'!$A417,'FA Write off'!C:C,"&lt;"&amp;'FA Addition'!$L$1+1,'FA Write off'!C:C,"&gt;"&amp;'FA Addition'!$L$1-365)</f>
        <v>0</v>
      </c>
      <c r="AC417" s="118">
        <f>IFERROR(AA417/'FA Addition'!$J417*'FA Addition'!$L417,0)</f>
        <v>0</v>
      </c>
      <c r="AE417" s="117">
        <f>IF(AND('FA Addition'!$D417&lt;$P$1+1,U417=0),'FA Addition'!$L417,0)-Y417</f>
        <v>30990</v>
      </c>
      <c r="AF417" s="117">
        <f t="shared" si="30"/>
        <v>30990</v>
      </c>
      <c r="AG417" s="117">
        <f>MIN(MAX(+$P$1-'FA Addition'!$D417,0),365*'FA Addition'!$O417)</f>
        <v>1095</v>
      </c>
      <c r="AH417" s="117">
        <f>MIN(MAX($L$1-'FA Addition'!$D417+1,0),365*'FA Addition'!$O417)</f>
        <v>1095</v>
      </c>
      <c r="AI417" s="117" cm="1">
        <f t="array" ref="AI417">_xlfn.XLOOKUP(1,('FA Write off'!A:A='FA Addition'!$A417)*('FA Write off'!D:D=AA417),'FA Write off'!H:H,0,0)</f>
        <v>0</v>
      </c>
      <c r="AJ417" s="117">
        <f>IF(AC417&gt;0,MAX(IF('FA Addition'!$N417="SLM",($AC417-'FA Addition'!$M417)*'FA Addition'!$P417*AI417/365,(AC417-'FA Addition'!$M417)*(1-(1-'FA Addition'!$P417)^(AI417/365))),0),0)</f>
        <v>0</v>
      </c>
      <c r="AL417" s="117">
        <f>MAX(IF(AG417&gt;0,IF('FA Addition'!$N417="SLM",($AE417-'FA Addition'!$M417)*'FA Addition'!$P417*AG417/365,IFERROR(VDB(AE417,AE417*0.05,'FA Addition'!$O417,0,YEARFRAC('FA Addition'!$C417,$P$1-1,3),'FA Addition'!$Q417),FAAddition[[#This Row],[Original Cost (Rs)]]-FAAddition[[#This Row],[Salvage Value]])),0),0)</f>
        <v>29440</v>
      </c>
      <c r="AM417" s="119"/>
      <c r="AN417" s="117">
        <f>MAX(IF(AH417&gt;0,IF('FA Addition'!$N417="SLM",($AF417-'FA Addition'!$M417)*'FA Addition'!$P417*AH417/365,IFERROR(VDB(AF417,AF417*0.05,'FA Addition'!$O417,0,YEARFRAC('FA Addition'!$C417,$L$1,3),'FA Addition'!$Q417),FAAddition[[#This Row],[Original Cost (Rs)]]-FAAddition[[#This Row],[Salvage Value]])),0),0)</f>
        <v>29440</v>
      </c>
      <c r="AO417" s="117">
        <f t="shared" si="33"/>
        <v>0</v>
      </c>
      <c r="AQ417" s="117">
        <f t="shared" si="31"/>
        <v>1550</v>
      </c>
      <c r="AR417" s="120">
        <f t="shared" si="32"/>
        <v>1550</v>
      </c>
      <c r="AS417" s="121"/>
    </row>
    <row r="418" spans="1:45" ht="13.5" x14ac:dyDescent="0.4">
      <c r="A418" s="12">
        <f t="shared" si="34"/>
        <v>415</v>
      </c>
      <c r="B418" s="64" t="s">
        <v>1018</v>
      </c>
      <c r="C418" s="54">
        <v>43622</v>
      </c>
      <c r="D418" s="54">
        <v>43624</v>
      </c>
      <c r="E418" s="46" t="s">
        <v>451</v>
      </c>
      <c r="F418" s="51" t="s">
        <v>21</v>
      </c>
      <c r="G418" s="51" t="s">
        <v>949</v>
      </c>
      <c r="H418" s="51" t="s">
        <v>21</v>
      </c>
      <c r="I418" s="55" t="s">
        <v>1033</v>
      </c>
      <c r="J418" s="56">
        <v>1</v>
      </c>
      <c r="K418" s="51" t="s">
        <v>1032</v>
      </c>
      <c r="L418" s="58">
        <v>30990</v>
      </c>
      <c r="M418" s="50">
        <f>ROUND('FA Addition'!$L418*5%,0.1)</f>
        <v>1550</v>
      </c>
      <c r="N418" s="113" t="str">
        <f>_xlfn.XLOOKUP(_xlfn.CONCAT(E418,B418),'Year Wise Master Dep Approach'!F:F,'Year Wise Master Dep Approach'!D:D)</f>
        <v>WDV</v>
      </c>
      <c r="O418" s="113">
        <f>_xlfn.XLOOKUP(_xlfn.CONCAT(E418,B418),'Year Wise Master Dep Approach'!F:F,'Year Wise Master Dep Approach'!E:E)</f>
        <v>3</v>
      </c>
      <c r="P418" s="114">
        <f>IFERROR(IF('FA Addition'!$N418="WDV",1-('FA Addition'!$M418/'FA Addition'!$L418)^(1/'FA Addition'!$O418),1/'FA Addition'!$O418),0)</f>
        <v>0.63155722837292572</v>
      </c>
      <c r="Q418" s="122">
        <f>'FA Addition'!$P418*'FA Addition'!$O418</f>
        <v>1.894671685118777</v>
      </c>
      <c r="R418" s="122"/>
      <c r="S418" s="116">
        <f>IF(AND(DATE(20&amp;LEFT(FAAddition[[#This Row],[FY]],2),4,1)&lt;$L$1+1,DATE(20&amp;LEFT(FAAddition[[#This Row],[FY]],2),4,1)&gt;$P$1-1),'FA Addition'!$J418,0)</f>
        <v>0</v>
      </c>
      <c r="U418" s="117">
        <f>S418*'FA Addition'!$L418/'FA Addition'!$J418</f>
        <v>0</v>
      </c>
      <c r="W418" s="116">
        <f>SUMIFS('FA Write off'!D:D,'FA Write off'!A:A,'FA Addition'!$A418,'FA Write off'!C:C,"&lt;"&amp;'FA Addition'!$P$1)</f>
        <v>0</v>
      </c>
      <c r="Y418" s="191">
        <f>IFERROR(W418/'FA Addition'!$J418*'FA Addition'!$L418,0)</f>
        <v>0</v>
      </c>
      <c r="AA418" s="116">
        <f>SUMIFS('FA Write off'!D:D,'FA Write off'!A:A,'FA Addition'!$A418,'FA Write off'!C:C,"&lt;"&amp;'FA Addition'!$L$1+1,'FA Write off'!C:C,"&gt;"&amp;'FA Addition'!$L$1-365)</f>
        <v>0</v>
      </c>
      <c r="AC418" s="118">
        <f>IFERROR(AA418/'FA Addition'!$J418*'FA Addition'!$L418,0)</f>
        <v>0</v>
      </c>
      <c r="AE418" s="117">
        <f>IF(AND('FA Addition'!$D418&lt;$P$1+1,U418=0),'FA Addition'!$L418,0)-Y418</f>
        <v>30990</v>
      </c>
      <c r="AF418" s="117">
        <f t="shared" si="30"/>
        <v>30990</v>
      </c>
      <c r="AG418" s="117">
        <f>MIN(MAX(+$P$1-'FA Addition'!$D418,0),365*'FA Addition'!$O418)</f>
        <v>1095</v>
      </c>
      <c r="AH418" s="117">
        <f>MIN(MAX($L$1-'FA Addition'!$D418+1,0),365*'FA Addition'!$O418)</f>
        <v>1095</v>
      </c>
      <c r="AI418" s="117" cm="1">
        <f t="array" ref="AI418">_xlfn.XLOOKUP(1,('FA Write off'!A:A='FA Addition'!$A418)*('FA Write off'!D:D=AA418),'FA Write off'!H:H,0,0)</f>
        <v>0</v>
      </c>
      <c r="AJ418" s="117">
        <f>IF(AC418&gt;0,MAX(IF('FA Addition'!$N418="SLM",($AC418-'FA Addition'!$M418)*'FA Addition'!$P418*AI418/365,(AC418-'FA Addition'!$M418)*(1-(1-'FA Addition'!$P418)^(AI418/365))),0),0)</f>
        <v>0</v>
      </c>
      <c r="AL418" s="117">
        <f>MAX(IF(AG418&gt;0,IF('FA Addition'!$N418="SLM",($AE418-'FA Addition'!$M418)*'FA Addition'!$P418*AG418/365,IFERROR(VDB(AE418,AE418*0.05,'FA Addition'!$O418,0,YEARFRAC('FA Addition'!$C418,$P$1-1,3),'FA Addition'!$Q418),FAAddition[[#This Row],[Original Cost (Rs)]]-FAAddition[[#This Row],[Salvage Value]])),0),0)</f>
        <v>29440</v>
      </c>
      <c r="AM418" s="119"/>
      <c r="AN418" s="117">
        <f>MAX(IF(AH418&gt;0,IF('FA Addition'!$N418="SLM",($AF418-'FA Addition'!$M418)*'FA Addition'!$P418*AH418/365,IFERROR(VDB(AF418,AF418*0.05,'FA Addition'!$O418,0,YEARFRAC('FA Addition'!$C418,$L$1,3),'FA Addition'!$Q418),FAAddition[[#This Row],[Original Cost (Rs)]]-FAAddition[[#This Row],[Salvage Value]])),0),0)</f>
        <v>29440</v>
      </c>
      <c r="AO418" s="117">
        <f t="shared" si="33"/>
        <v>0</v>
      </c>
      <c r="AQ418" s="117">
        <f t="shared" si="31"/>
        <v>1550</v>
      </c>
      <c r="AR418" s="120">
        <f t="shared" si="32"/>
        <v>1550</v>
      </c>
      <c r="AS418" s="121"/>
    </row>
    <row r="419" spans="1:45" ht="13.5" x14ac:dyDescent="0.4">
      <c r="A419" s="12">
        <f t="shared" si="34"/>
        <v>416</v>
      </c>
      <c r="B419" s="64" t="s">
        <v>1018</v>
      </c>
      <c r="C419" s="54">
        <v>43624</v>
      </c>
      <c r="D419" s="54">
        <v>43626</v>
      </c>
      <c r="E419" s="46" t="s">
        <v>451</v>
      </c>
      <c r="F419" s="51" t="s">
        <v>21</v>
      </c>
      <c r="G419" s="51" t="s">
        <v>1034</v>
      </c>
      <c r="H419" s="51" t="s">
        <v>21</v>
      </c>
      <c r="I419" s="55" t="s">
        <v>1008</v>
      </c>
      <c r="J419" s="56">
        <v>1</v>
      </c>
      <c r="K419" s="51" t="s">
        <v>1035</v>
      </c>
      <c r="L419" s="58">
        <v>50076.28</v>
      </c>
      <c r="M419" s="50">
        <f>ROUND('FA Addition'!$L419*5%,0.1)</f>
        <v>2504</v>
      </c>
      <c r="N419" s="113" t="str">
        <f>_xlfn.XLOOKUP(_xlfn.CONCAT(E419,B419),'Year Wise Master Dep Approach'!F:F,'Year Wise Master Dep Approach'!D:D)</f>
        <v>WDV</v>
      </c>
      <c r="O419" s="113">
        <f>_xlfn.XLOOKUP(_xlfn.CONCAT(E419,B419),'Year Wise Master Dep Approach'!F:F,'Year Wise Master Dep Approach'!E:E)</f>
        <v>3</v>
      </c>
      <c r="P419" s="114">
        <f>IFERROR(IF('FA Addition'!$N419="WDV",1-('FA Addition'!$M419/'FA Addition'!$L419)^(1/'FA Addition'!$O419),1/'FA Addition'!$O419),0)</f>
        <v>0.63158772788098505</v>
      </c>
      <c r="Q419" s="122">
        <f>'FA Addition'!$P419*'FA Addition'!$O419</f>
        <v>1.8947631836429553</v>
      </c>
      <c r="R419" s="122"/>
      <c r="S419" s="116">
        <f>IF(AND(DATE(20&amp;LEFT(FAAddition[[#This Row],[FY]],2),4,1)&lt;$L$1+1,DATE(20&amp;LEFT(FAAddition[[#This Row],[FY]],2),4,1)&gt;$P$1-1),'FA Addition'!$J419,0)</f>
        <v>0</v>
      </c>
      <c r="U419" s="117">
        <f>S419*'FA Addition'!$L419/'FA Addition'!$J419</f>
        <v>0</v>
      </c>
      <c r="W419" s="116">
        <f>SUMIFS('FA Write off'!D:D,'FA Write off'!A:A,'FA Addition'!$A419,'FA Write off'!C:C,"&lt;"&amp;'FA Addition'!$P$1)</f>
        <v>0</v>
      </c>
      <c r="Y419" s="191">
        <f>IFERROR(W419/'FA Addition'!$J419*'FA Addition'!$L419,0)</f>
        <v>0</v>
      </c>
      <c r="AA419" s="116">
        <f>SUMIFS('FA Write off'!D:D,'FA Write off'!A:A,'FA Addition'!$A419,'FA Write off'!C:C,"&lt;"&amp;'FA Addition'!$L$1+1,'FA Write off'!C:C,"&gt;"&amp;'FA Addition'!$L$1-365)</f>
        <v>0</v>
      </c>
      <c r="AC419" s="118">
        <f>IFERROR(AA419/'FA Addition'!$J419*'FA Addition'!$L419,0)</f>
        <v>0</v>
      </c>
      <c r="AE419" s="117">
        <f>IF(AND('FA Addition'!$D419&lt;$P$1+1,U419=0),'FA Addition'!$L419,0)-Y419</f>
        <v>50076.28</v>
      </c>
      <c r="AF419" s="117">
        <f t="shared" si="30"/>
        <v>50076.28</v>
      </c>
      <c r="AG419" s="117">
        <f>MIN(MAX(+$P$1-'FA Addition'!$D419,0),365*'FA Addition'!$O419)</f>
        <v>1095</v>
      </c>
      <c r="AH419" s="117">
        <f>MIN(MAX($L$1-'FA Addition'!$D419+1,0),365*'FA Addition'!$O419)</f>
        <v>1095</v>
      </c>
      <c r="AI419" s="117" cm="1">
        <f t="array" ref="AI419">_xlfn.XLOOKUP(1,('FA Write off'!A:A='FA Addition'!$A419)*('FA Write off'!D:D=AA419),'FA Write off'!H:H,0,0)</f>
        <v>0</v>
      </c>
      <c r="AJ419" s="117">
        <f>IF(AC419&gt;0,MAX(IF('FA Addition'!$N419="SLM",($AC419-'FA Addition'!$M419)*'FA Addition'!$P419*AI419/365,(AC419-'FA Addition'!$M419)*(1-(1-'FA Addition'!$P419)^(AI419/365))),0),0)</f>
        <v>0</v>
      </c>
      <c r="AL419" s="117">
        <f>MAX(IF(AG419&gt;0,IF('FA Addition'!$N419="SLM",($AE419-'FA Addition'!$M419)*'FA Addition'!$P419*AG419/365,IFERROR(VDB(AE419,AE419*0.05,'FA Addition'!$O419,0,YEARFRAC('FA Addition'!$C419,$P$1-1,3),'FA Addition'!$Q419),FAAddition[[#This Row],[Original Cost (Rs)]]-FAAddition[[#This Row],[Salvage Value]])),0),0)</f>
        <v>47572.28</v>
      </c>
      <c r="AM419" s="119"/>
      <c r="AN419" s="117">
        <f>MAX(IF(AH419&gt;0,IF('FA Addition'!$N419="SLM",($AF419-'FA Addition'!$M419)*'FA Addition'!$P419*AH419/365,IFERROR(VDB(AF419,AF419*0.05,'FA Addition'!$O419,0,YEARFRAC('FA Addition'!$C419,$L$1,3),'FA Addition'!$Q419),FAAddition[[#This Row],[Original Cost (Rs)]]-FAAddition[[#This Row],[Salvage Value]])),0),0)</f>
        <v>47572.28</v>
      </c>
      <c r="AO419" s="117">
        <f t="shared" si="33"/>
        <v>0</v>
      </c>
      <c r="AQ419" s="117">
        <f t="shared" si="31"/>
        <v>2504</v>
      </c>
      <c r="AR419" s="120">
        <f t="shared" si="32"/>
        <v>2504</v>
      </c>
      <c r="AS419" s="121"/>
    </row>
    <row r="420" spans="1:45" ht="13.5" x14ac:dyDescent="0.4">
      <c r="A420" s="12">
        <f t="shared" si="34"/>
        <v>417</v>
      </c>
      <c r="B420" s="64" t="s">
        <v>1018</v>
      </c>
      <c r="C420" s="54">
        <v>43710</v>
      </c>
      <c r="D420" s="54">
        <v>43710</v>
      </c>
      <c r="E420" s="46" t="s">
        <v>451</v>
      </c>
      <c r="F420" s="51" t="s">
        <v>21</v>
      </c>
      <c r="G420" s="51" t="s">
        <v>949</v>
      </c>
      <c r="H420" s="51" t="s">
        <v>21</v>
      </c>
      <c r="I420" s="55" t="s">
        <v>1036</v>
      </c>
      <c r="J420" s="56">
        <v>1</v>
      </c>
      <c r="K420" s="51" t="s">
        <v>1037</v>
      </c>
      <c r="L420" s="58">
        <v>38774.58</v>
      </c>
      <c r="M420" s="50">
        <f>ROUND('FA Addition'!$L420*5%,0.1)</f>
        <v>1939</v>
      </c>
      <c r="N420" s="113" t="str">
        <f>_xlfn.XLOOKUP(_xlfn.CONCAT(E420,B420),'Year Wise Master Dep Approach'!F:F,'Year Wise Master Dep Approach'!D:D)</f>
        <v>WDV</v>
      </c>
      <c r="O420" s="113">
        <f>_xlfn.XLOOKUP(_xlfn.CONCAT(E420,B420),'Year Wise Master Dep Approach'!F:F,'Year Wise Master Dep Approach'!E:E)</f>
        <v>3</v>
      </c>
      <c r="P420" s="114">
        <f>IFERROR(IF('FA Addition'!$N420="WDV",1-('FA Addition'!$M420/'FA Addition'!$L420)^(1/'FA Addition'!$O420),1/'FA Addition'!$O420),0)</f>
        <v>0.63157968552241861</v>
      </c>
      <c r="Q420" s="122">
        <f>'FA Addition'!$P420*'FA Addition'!$O420</f>
        <v>1.8947390565672557</v>
      </c>
      <c r="R420" s="122"/>
      <c r="S420" s="116">
        <f>IF(AND(DATE(20&amp;LEFT(FAAddition[[#This Row],[FY]],2),4,1)&lt;$L$1+1,DATE(20&amp;LEFT(FAAddition[[#This Row],[FY]],2),4,1)&gt;$P$1-1),'FA Addition'!$J420,0)</f>
        <v>0</v>
      </c>
      <c r="U420" s="117">
        <f>S420*'FA Addition'!$L420/'FA Addition'!$J420</f>
        <v>0</v>
      </c>
      <c r="W420" s="116">
        <f>SUMIFS('FA Write off'!D:D,'FA Write off'!A:A,'FA Addition'!$A420,'FA Write off'!C:C,"&lt;"&amp;'FA Addition'!$P$1)</f>
        <v>0</v>
      </c>
      <c r="Y420" s="191">
        <f>IFERROR(W420/'FA Addition'!$J420*'FA Addition'!$L420,0)</f>
        <v>0</v>
      </c>
      <c r="AA420" s="116">
        <f>SUMIFS('FA Write off'!D:D,'FA Write off'!A:A,'FA Addition'!$A420,'FA Write off'!C:C,"&lt;"&amp;'FA Addition'!$L$1+1,'FA Write off'!C:C,"&gt;"&amp;'FA Addition'!$L$1-365)</f>
        <v>0</v>
      </c>
      <c r="AC420" s="118">
        <f>IFERROR(AA420/'FA Addition'!$J420*'FA Addition'!$L420,0)</f>
        <v>0</v>
      </c>
      <c r="AE420" s="117">
        <f>IF(AND('FA Addition'!$D420&lt;$P$1+1,U420=0),'FA Addition'!$L420,0)-Y420</f>
        <v>38774.58</v>
      </c>
      <c r="AF420" s="117">
        <f t="shared" si="30"/>
        <v>38774.58</v>
      </c>
      <c r="AG420" s="117">
        <f>MIN(MAX(+$P$1-'FA Addition'!$D420,0),365*'FA Addition'!$O420)</f>
        <v>1095</v>
      </c>
      <c r="AH420" s="117">
        <f>MIN(MAX($L$1-'FA Addition'!$D420+1,0),365*'FA Addition'!$O420)</f>
        <v>1095</v>
      </c>
      <c r="AI420" s="117" cm="1">
        <f t="array" ref="AI420">_xlfn.XLOOKUP(1,('FA Write off'!A:A='FA Addition'!$A420)*('FA Write off'!D:D=AA420),'FA Write off'!H:H,0,0)</f>
        <v>0</v>
      </c>
      <c r="AJ420" s="117">
        <f>IF(AC420&gt;0,MAX(IF('FA Addition'!$N420="SLM",($AC420-'FA Addition'!$M420)*'FA Addition'!$P420*AI420/365,(AC420-'FA Addition'!$M420)*(1-(1-'FA Addition'!$P420)^(AI420/365))),0),0)</f>
        <v>0</v>
      </c>
      <c r="AL420" s="117">
        <f>MAX(IF(AG420&gt;0,IF('FA Addition'!$N420="SLM",($AE420-'FA Addition'!$M420)*'FA Addition'!$P420*AG420/365,IFERROR(VDB(AE420,AE420*0.05,'FA Addition'!$O420,0,YEARFRAC('FA Addition'!$C420,$P$1-1,3),'FA Addition'!$Q420),FAAddition[[#This Row],[Original Cost (Rs)]]-FAAddition[[#This Row],[Salvage Value]])),0),0)</f>
        <v>36835.58</v>
      </c>
      <c r="AM420" s="119"/>
      <c r="AN420" s="117">
        <f>MAX(IF(AH420&gt;0,IF('FA Addition'!$N420="SLM",($AF420-'FA Addition'!$M420)*'FA Addition'!$P420*AH420/365,IFERROR(VDB(AF420,AF420*0.05,'FA Addition'!$O420,0,YEARFRAC('FA Addition'!$C420,$L$1,3),'FA Addition'!$Q420),FAAddition[[#This Row],[Original Cost (Rs)]]-FAAddition[[#This Row],[Salvage Value]])),0),0)</f>
        <v>36835.58</v>
      </c>
      <c r="AO420" s="117">
        <f t="shared" si="33"/>
        <v>0</v>
      </c>
      <c r="AQ420" s="117">
        <f t="shared" si="31"/>
        <v>1939</v>
      </c>
      <c r="AR420" s="120">
        <f t="shared" si="32"/>
        <v>1939</v>
      </c>
      <c r="AS420" s="121"/>
    </row>
    <row r="421" spans="1:45" ht="13.5" x14ac:dyDescent="0.4">
      <c r="A421" s="12">
        <f t="shared" si="34"/>
        <v>418</v>
      </c>
      <c r="B421" s="64" t="s">
        <v>1018</v>
      </c>
      <c r="C421" s="54">
        <v>43713</v>
      </c>
      <c r="D421" s="54">
        <v>43713</v>
      </c>
      <c r="E421" s="46" t="s">
        <v>32</v>
      </c>
      <c r="F421" s="51" t="s">
        <v>32</v>
      </c>
      <c r="G421" s="51" t="s">
        <v>1038</v>
      </c>
      <c r="H421" s="51" t="s">
        <v>173</v>
      </c>
      <c r="I421" s="55" t="s">
        <v>1039</v>
      </c>
      <c r="J421" s="56">
        <v>12</v>
      </c>
      <c r="K421" s="51" t="s">
        <v>1040</v>
      </c>
      <c r="L421" s="58">
        <v>187200</v>
      </c>
      <c r="M421" s="50">
        <f>ROUND('FA Addition'!$L421*5%,0.1)</f>
        <v>9360</v>
      </c>
      <c r="N421" s="113" t="str">
        <f>_xlfn.XLOOKUP(_xlfn.CONCAT(E421,B421),'Year Wise Master Dep Approach'!F:F,'Year Wise Master Dep Approach'!D:D)</f>
        <v>WDV</v>
      </c>
      <c r="O421" s="113">
        <f>_xlfn.XLOOKUP(_xlfn.CONCAT(E421,B421),'Year Wise Master Dep Approach'!F:F,'Year Wise Master Dep Approach'!E:E)</f>
        <v>3</v>
      </c>
      <c r="P421" s="114">
        <f>IFERROR(IF('FA Addition'!$N421="WDV",1-('FA Addition'!$M421/'FA Addition'!$L421)^(1/'FA Addition'!$O421),1/'FA Addition'!$O421),0)</f>
        <v>0.63159685013596123</v>
      </c>
      <c r="Q421" s="122">
        <f>'FA Addition'!$P421*'FA Addition'!$O421</f>
        <v>1.8947905504078837</v>
      </c>
      <c r="R421" s="122"/>
      <c r="S421" s="116">
        <f>IF(AND(DATE(20&amp;LEFT(FAAddition[[#This Row],[FY]],2),4,1)&lt;$L$1+1,DATE(20&amp;LEFT(FAAddition[[#This Row],[FY]],2),4,1)&gt;$P$1-1),'FA Addition'!$J421,0)</f>
        <v>0</v>
      </c>
      <c r="U421" s="117">
        <f>S421*'FA Addition'!$L421/'FA Addition'!$J421</f>
        <v>0</v>
      </c>
      <c r="W421" s="116">
        <f>SUMIFS('FA Write off'!D:D,'FA Write off'!A:A,'FA Addition'!$A421,'FA Write off'!C:C,"&lt;"&amp;'FA Addition'!$P$1)</f>
        <v>0</v>
      </c>
      <c r="Y421" s="191">
        <f>IFERROR(W421/'FA Addition'!$J421*'FA Addition'!$L421,0)</f>
        <v>0</v>
      </c>
      <c r="AA421" s="116">
        <f>SUMIFS('FA Write off'!D:D,'FA Write off'!A:A,'FA Addition'!$A421,'FA Write off'!C:C,"&lt;"&amp;'FA Addition'!$L$1+1,'FA Write off'!C:C,"&gt;"&amp;'FA Addition'!$L$1-365)</f>
        <v>0</v>
      </c>
      <c r="AC421" s="118">
        <f>IFERROR(AA421/'FA Addition'!$J421*'FA Addition'!$L421,0)</f>
        <v>0</v>
      </c>
      <c r="AE421" s="117">
        <f>IF(AND('FA Addition'!$D421&lt;$P$1+1,U421=0),'FA Addition'!$L421,0)-Y421</f>
        <v>187200</v>
      </c>
      <c r="AF421" s="117">
        <f t="shared" si="30"/>
        <v>187200</v>
      </c>
      <c r="AG421" s="117">
        <f>MIN(MAX(+$P$1-'FA Addition'!$D421,0),365*'FA Addition'!$O421)</f>
        <v>1095</v>
      </c>
      <c r="AH421" s="117">
        <f>MIN(MAX($L$1-'FA Addition'!$D421+1,0),365*'FA Addition'!$O421)</f>
        <v>1095</v>
      </c>
      <c r="AI421" s="117" cm="1">
        <f t="array" ref="AI421">_xlfn.XLOOKUP(1,('FA Write off'!A:A='FA Addition'!$A421)*('FA Write off'!D:D=AA421),'FA Write off'!H:H,0,0)</f>
        <v>0</v>
      </c>
      <c r="AJ421" s="117">
        <f>IF(AC421&gt;0,MAX(IF('FA Addition'!$N421="SLM",($AC421-'FA Addition'!$M421)*'FA Addition'!$P421*AI421/365,(AC421-'FA Addition'!$M421)*(1-(1-'FA Addition'!$P421)^(AI421/365))),0),0)</f>
        <v>0</v>
      </c>
      <c r="AL421" s="117">
        <f>MAX(IF(AG421&gt;0,IF('FA Addition'!$N421="SLM",($AE421-'FA Addition'!$M421)*'FA Addition'!$P421*AG421/365,IFERROR(VDB(AE421,AE421*0.05,'FA Addition'!$O421,0,YEARFRAC('FA Addition'!$C421,$P$1-1,3),'FA Addition'!$Q421),FAAddition[[#This Row],[Original Cost (Rs)]]-FAAddition[[#This Row],[Salvage Value]])),0),0)</f>
        <v>177840</v>
      </c>
      <c r="AM421" s="119"/>
      <c r="AN421" s="117">
        <f>MAX(IF(AH421&gt;0,IF('FA Addition'!$N421="SLM",($AF421-'FA Addition'!$M421)*'FA Addition'!$P421*AH421/365,IFERROR(VDB(AF421,AF421*0.05,'FA Addition'!$O421,0,YEARFRAC('FA Addition'!$C421,$L$1,3),'FA Addition'!$Q421),FAAddition[[#This Row],[Original Cost (Rs)]]-FAAddition[[#This Row],[Salvage Value]])),0),0)</f>
        <v>177840</v>
      </c>
      <c r="AO421" s="117">
        <f t="shared" si="33"/>
        <v>0</v>
      </c>
      <c r="AQ421" s="117">
        <f t="shared" si="31"/>
        <v>9360</v>
      </c>
      <c r="AR421" s="120">
        <f t="shared" si="32"/>
        <v>9360</v>
      </c>
      <c r="AS421" s="121"/>
    </row>
    <row r="422" spans="1:45" ht="13.5" x14ac:dyDescent="0.4">
      <c r="A422" s="12">
        <f t="shared" si="34"/>
        <v>419</v>
      </c>
      <c r="B422" s="64" t="s">
        <v>1018</v>
      </c>
      <c r="C422" s="54">
        <v>43720</v>
      </c>
      <c r="D422" s="54">
        <v>43720</v>
      </c>
      <c r="E422" s="46" t="s">
        <v>451</v>
      </c>
      <c r="F422" s="51" t="s">
        <v>21</v>
      </c>
      <c r="G422" s="51" t="s">
        <v>895</v>
      </c>
      <c r="H422" s="51" t="s">
        <v>21</v>
      </c>
      <c r="I422" s="55" t="s">
        <v>1041</v>
      </c>
      <c r="J422" s="56">
        <v>1</v>
      </c>
      <c r="K422" s="51" t="s">
        <v>1042</v>
      </c>
      <c r="L422" s="58">
        <v>58389.84</v>
      </c>
      <c r="M422" s="50">
        <f>ROUND('FA Addition'!$L422*5%,0.1)</f>
        <v>2919</v>
      </c>
      <c r="N422" s="113" t="str">
        <f>_xlfn.XLOOKUP(_xlfn.CONCAT(E422,B422),'Year Wise Master Dep Approach'!F:F,'Year Wise Master Dep Approach'!D:D)</f>
        <v>WDV</v>
      </c>
      <c r="O422" s="113">
        <f>_xlfn.XLOOKUP(_xlfn.CONCAT(E422,B422),'Year Wise Master Dep Approach'!F:F,'Year Wise Master Dep Approach'!E:E)</f>
        <v>3</v>
      </c>
      <c r="P422" s="114">
        <f>IFERROR(IF('FA Addition'!$N422="WDV",1-('FA Addition'!$M422/'FA Addition'!$L422)^(1/'FA Addition'!$O422),1/'FA Addition'!$O422),0)</f>
        <v>0.63161754603471087</v>
      </c>
      <c r="Q422" s="122">
        <f>'FA Addition'!$P422*'FA Addition'!$O422</f>
        <v>1.8948526381041326</v>
      </c>
      <c r="R422" s="122"/>
      <c r="S422" s="116">
        <f>IF(AND(DATE(20&amp;LEFT(FAAddition[[#This Row],[FY]],2),4,1)&lt;$L$1+1,DATE(20&amp;LEFT(FAAddition[[#This Row],[FY]],2),4,1)&gt;$P$1-1),'FA Addition'!$J422,0)</f>
        <v>0</v>
      </c>
      <c r="U422" s="117">
        <f>S422*'FA Addition'!$L422/'FA Addition'!$J422</f>
        <v>0</v>
      </c>
      <c r="W422" s="116">
        <f>SUMIFS('FA Write off'!D:D,'FA Write off'!A:A,'FA Addition'!$A422,'FA Write off'!C:C,"&lt;"&amp;'FA Addition'!$P$1)</f>
        <v>0</v>
      </c>
      <c r="Y422" s="191">
        <f>IFERROR(W422/'FA Addition'!$J422*'FA Addition'!$L422,0)</f>
        <v>0</v>
      </c>
      <c r="AA422" s="116">
        <f>SUMIFS('FA Write off'!D:D,'FA Write off'!A:A,'FA Addition'!$A422,'FA Write off'!C:C,"&lt;"&amp;'FA Addition'!$L$1+1,'FA Write off'!C:C,"&gt;"&amp;'FA Addition'!$L$1-365)</f>
        <v>0</v>
      </c>
      <c r="AC422" s="118">
        <f>IFERROR(AA422/'FA Addition'!$J422*'FA Addition'!$L422,0)</f>
        <v>0</v>
      </c>
      <c r="AE422" s="117">
        <f>IF(AND('FA Addition'!$D422&lt;$P$1+1,U422=0),'FA Addition'!$L422,0)-Y422</f>
        <v>58389.84</v>
      </c>
      <c r="AF422" s="117">
        <f t="shared" si="30"/>
        <v>58389.84</v>
      </c>
      <c r="AG422" s="117">
        <f>MIN(MAX(+$P$1-'FA Addition'!$D422,0),365*'FA Addition'!$O422)</f>
        <v>1095</v>
      </c>
      <c r="AH422" s="117">
        <f>MIN(MAX($L$1-'FA Addition'!$D422+1,0),365*'FA Addition'!$O422)</f>
        <v>1095</v>
      </c>
      <c r="AI422" s="117" cm="1">
        <f t="array" ref="AI422">_xlfn.XLOOKUP(1,('FA Write off'!A:A='FA Addition'!$A422)*('FA Write off'!D:D=AA422),'FA Write off'!H:H,0,0)</f>
        <v>0</v>
      </c>
      <c r="AJ422" s="117">
        <f>IF(AC422&gt;0,MAX(IF('FA Addition'!$N422="SLM",($AC422-'FA Addition'!$M422)*'FA Addition'!$P422*AI422/365,(AC422-'FA Addition'!$M422)*(1-(1-'FA Addition'!$P422)^(AI422/365))),0),0)</f>
        <v>0</v>
      </c>
      <c r="AL422" s="117">
        <f>MAX(IF(AG422&gt;0,IF('FA Addition'!$N422="SLM",($AE422-'FA Addition'!$M422)*'FA Addition'!$P422*AG422/365,IFERROR(VDB(AE422,AE422*0.05,'FA Addition'!$O422,0,YEARFRAC('FA Addition'!$C422,$P$1-1,3),'FA Addition'!$Q422),FAAddition[[#This Row],[Original Cost (Rs)]]-FAAddition[[#This Row],[Salvage Value]])),0),0)</f>
        <v>55470.84</v>
      </c>
      <c r="AM422" s="119"/>
      <c r="AN422" s="117">
        <f>MAX(IF(AH422&gt;0,IF('FA Addition'!$N422="SLM",($AF422-'FA Addition'!$M422)*'FA Addition'!$P422*AH422/365,IFERROR(VDB(AF422,AF422*0.05,'FA Addition'!$O422,0,YEARFRAC('FA Addition'!$C422,$L$1,3),'FA Addition'!$Q422),FAAddition[[#This Row],[Original Cost (Rs)]]-FAAddition[[#This Row],[Salvage Value]])),0),0)</f>
        <v>55470.84</v>
      </c>
      <c r="AO422" s="117">
        <f t="shared" si="33"/>
        <v>0</v>
      </c>
      <c r="AQ422" s="117">
        <f t="shared" si="31"/>
        <v>2919</v>
      </c>
      <c r="AR422" s="120">
        <f t="shared" si="32"/>
        <v>2919</v>
      </c>
      <c r="AS422" s="121"/>
    </row>
    <row r="423" spans="1:45" ht="13.5" x14ac:dyDescent="0.4">
      <c r="A423" s="12">
        <f t="shared" si="34"/>
        <v>420</v>
      </c>
      <c r="B423" s="64" t="s">
        <v>1018</v>
      </c>
      <c r="C423" s="54">
        <v>43720</v>
      </c>
      <c r="D423" s="54">
        <v>43720</v>
      </c>
      <c r="E423" s="46" t="s">
        <v>451</v>
      </c>
      <c r="F423" s="51" t="s">
        <v>21</v>
      </c>
      <c r="G423" s="51" t="s">
        <v>895</v>
      </c>
      <c r="H423" s="51" t="s">
        <v>21</v>
      </c>
      <c r="I423" s="55" t="s">
        <v>1043</v>
      </c>
      <c r="J423" s="56">
        <v>1</v>
      </c>
      <c r="K423" s="51" t="s">
        <v>1042</v>
      </c>
      <c r="L423" s="58">
        <v>58389.84</v>
      </c>
      <c r="M423" s="50">
        <f>ROUND('FA Addition'!$L423*5%,0.1)</f>
        <v>2919</v>
      </c>
      <c r="N423" s="113" t="str">
        <f>_xlfn.XLOOKUP(_xlfn.CONCAT(E423,B423),'Year Wise Master Dep Approach'!F:F,'Year Wise Master Dep Approach'!D:D)</f>
        <v>WDV</v>
      </c>
      <c r="O423" s="113">
        <f>_xlfn.XLOOKUP(_xlfn.CONCAT(E423,B423),'Year Wise Master Dep Approach'!F:F,'Year Wise Master Dep Approach'!E:E)</f>
        <v>3</v>
      </c>
      <c r="P423" s="114">
        <f>IFERROR(IF('FA Addition'!$N423="WDV",1-('FA Addition'!$M423/'FA Addition'!$L423)^(1/'FA Addition'!$O423),1/'FA Addition'!$O423),0)</f>
        <v>0.63161754603471087</v>
      </c>
      <c r="Q423" s="122">
        <f>'FA Addition'!$P423*'FA Addition'!$O423</f>
        <v>1.8948526381041326</v>
      </c>
      <c r="R423" s="122"/>
      <c r="S423" s="116">
        <f>IF(AND(DATE(20&amp;LEFT(FAAddition[[#This Row],[FY]],2),4,1)&lt;$L$1+1,DATE(20&amp;LEFT(FAAddition[[#This Row],[FY]],2),4,1)&gt;$P$1-1),'FA Addition'!$J423,0)</f>
        <v>0</v>
      </c>
      <c r="U423" s="117">
        <f>S423*'FA Addition'!$L423/'FA Addition'!$J423</f>
        <v>0</v>
      </c>
      <c r="W423" s="116">
        <f>SUMIFS('FA Write off'!D:D,'FA Write off'!A:A,'FA Addition'!$A423,'FA Write off'!C:C,"&lt;"&amp;'FA Addition'!$P$1)</f>
        <v>0</v>
      </c>
      <c r="Y423" s="191">
        <f>IFERROR(W423/'FA Addition'!$J423*'FA Addition'!$L423,0)</f>
        <v>0</v>
      </c>
      <c r="AA423" s="116">
        <f>SUMIFS('FA Write off'!D:D,'FA Write off'!A:A,'FA Addition'!$A423,'FA Write off'!C:C,"&lt;"&amp;'FA Addition'!$L$1+1,'FA Write off'!C:C,"&gt;"&amp;'FA Addition'!$L$1-365)</f>
        <v>0</v>
      </c>
      <c r="AC423" s="118">
        <f>IFERROR(AA423/'FA Addition'!$J423*'FA Addition'!$L423,0)</f>
        <v>0</v>
      </c>
      <c r="AE423" s="117">
        <f>IF(AND('FA Addition'!$D423&lt;$P$1+1,U423=0),'FA Addition'!$L423,0)-Y423</f>
        <v>58389.84</v>
      </c>
      <c r="AF423" s="117">
        <f t="shared" si="30"/>
        <v>58389.84</v>
      </c>
      <c r="AG423" s="117">
        <f>MIN(MAX(+$P$1-'FA Addition'!$D423,0),365*'FA Addition'!$O423)</f>
        <v>1095</v>
      </c>
      <c r="AH423" s="117">
        <f>MIN(MAX($L$1-'FA Addition'!$D423+1,0),365*'FA Addition'!$O423)</f>
        <v>1095</v>
      </c>
      <c r="AI423" s="117" cm="1">
        <f t="array" ref="AI423">_xlfn.XLOOKUP(1,('FA Write off'!A:A='FA Addition'!$A423)*('FA Write off'!D:D=AA423),'FA Write off'!H:H,0,0)</f>
        <v>0</v>
      </c>
      <c r="AJ423" s="117">
        <f>IF(AC423&gt;0,MAX(IF('FA Addition'!$N423="SLM",($AC423-'FA Addition'!$M423)*'FA Addition'!$P423*AI423/365,(AC423-'FA Addition'!$M423)*(1-(1-'FA Addition'!$P423)^(AI423/365))),0),0)</f>
        <v>0</v>
      </c>
      <c r="AL423" s="117">
        <f>MAX(IF(AG423&gt;0,IF('FA Addition'!$N423="SLM",($AE423-'FA Addition'!$M423)*'FA Addition'!$P423*AG423/365,IFERROR(VDB(AE423,AE423*0.05,'FA Addition'!$O423,0,YEARFRAC('FA Addition'!$C423,$P$1-1,3),'FA Addition'!$Q423),FAAddition[[#This Row],[Original Cost (Rs)]]-FAAddition[[#This Row],[Salvage Value]])),0),0)</f>
        <v>55470.84</v>
      </c>
      <c r="AM423" s="119"/>
      <c r="AN423" s="117">
        <f>MAX(IF(AH423&gt;0,IF('FA Addition'!$N423="SLM",($AF423-'FA Addition'!$M423)*'FA Addition'!$P423*AH423/365,IFERROR(VDB(AF423,AF423*0.05,'FA Addition'!$O423,0,YEARFRAC('FA Addition'!$C423,$L$1,3),'FA Addition'!$Q423),FAAddition[[#This Row],[Original Cost (Rs)]]-FAAddition[[#This Row],[Salvage Value]])),0),0)</f>
        <v>55470.84</v>
      </c>
      <c r="AO423" s="117">
        <f t="shared" si="33"/>
        <v>0</v>
      </c>
      <c r="AQ423" s="117">
        <f t="shared" si="31"/>
        <v>2919</v>
      </c>
      <c r="AR423" s="120">
        <f t="shared" si="32"/>
        <v>2919</v>
      </c>
      <c r="AS423" s="121"/>
    </row>
    <row r="424" spans="1:45" ht="13.5" x14ac:dyDescent="0.4">
      <c r="A424" s="12">
        <f t="shared" si="34"/>
        <v>421</v>
      </c>
      <c r="B424" s="64" t="s">
        <v>1018</v>
      </c>
      <c r="C424" s="54">
        <v>43720</v>
      </c>
      <c r="D424" s="54">
        <v>43720</v>
      </c>
      <c r="E424" s="46" t="s">
        <v>451</v>
      </c>
      <c r="F424" s="51" t="s">
        <v>21</v>
      </c>
      <c r="G424" s="51" t="s">
        <v>895</v>
      </c>
      <c r="H424" s="51" t="s">
        <v>21</v>
      </c>
      <c r="I424" s="55" t="s">
        <v>1044</v>
      </c>
      <c r="J424" s="56">
        <v>1</v>
      </c>
      <c r="K424" s="51" t="s">
        <v>1042</v>
      </c>
      <c r="L424" s="58">
        <v>58389.84</v>
      </c>
      <c r="M424" s="50">
        <f>ROUND('FA Addition'!$L424*5%,0.1)</f>
        <v>2919</v>
      </c>
      <c r="N424" s="113" t="str">
        <f>_xlfn.XLOOKUP(_xlfn.CONCAT(E424,B424),'Year Wise Master Dep Approach'!F:F,'Year Wise Master Dep Approach'!D:D)</f>
        <v>WDV</v>
      </c>
      <c r="O424" s="113">
        <f>_xlfn.XLOOKUP(_xlfn.CONCAT(E424,B424),'Year Wise Master Dep Approach'!F:F,'Year Wise Master Dep Approach'!E:E)</f>
        <v>3</v>
      </c>
      <c r="P424" s="114">
        <f>IFERROR(IF('FA Addition'!$N424="WDV",1-('FA Addition'!$M424/'FA Addition'!$L424)^(1/'FA Addition'!$O424),1/'FA Addition'!$O424),0)</f>
        <v>0.63161754603471087</v>
      </c>
      <c r="Q424" s="122">
        <f>'FA Addition'!$P424*'FA Addition'!$O424</f>
        <v>1.8948526381041326</v>
      </c>
      <c r="R424" s="122"/>
      <c r="S424" s="116">
        <f>IF(AND(DATE(20&amp;LEFT(FAAddition[[#This Row],[FY]],2),4,1)&lt;$L$1+1,DATE(20&amp;LEFT(FAAddition[[#This Row],[FY]],2),4,1)&gt;$P$1-1),'FA Addition'!$J424,0)</f>
        <v>0</v>
      </c>
      <c r="U424" s="117">
        <f>S424*'FA Addition'!$L424/'FA Addition'!$J424</f>
        <v>0</v>
      </c>
      <c r="W424" s="116">
        <f>SUMIFS('FA Write off'!D:D,'FA Write off'!A:A,'FA Addition'!$A424,'FA Write off'!C:C,"&lt;"&amp;'FA Addition'!$P$1)</f>
        <v>0</v>
      </c>
      <c r="Y424" s="191">
        <f>IFERROR(W424/'FA Addition'!$J424*'FA Addition'!$L424,0)</f>
        <v>0</v>
      </c>
      <c r="AA424" s="116">
        <f>SUMIFS('FA Write off'!D:D,'FA Write off'!A:A,'FA Addition'!$A424,'FA Write off'!C:C,"&lt;"&amp;'FA Addition'!$L$1+1,'FA Write off'!C:C,"&gt;"&amp;'FA Addition'!$L$1-365)</f>
        <v>0</v>
      </c>
      <c r="AC424" s="118">
        <f>IFERROR(AA424/'FA Addition'!$J424*'FA Addition'!$L424,0)</f>
        <v>0</v>
      </c>
      <c r="AE424" s="117">
        <f>IF(AND('FA Addition'!$D424&lt;$P$1+1,U424=0),'FA Addition'!$L424,0)-Y424</f>
        <v>58389.84</v>
      </c>
      <c r="AF424" s="117">
        <f t="shared" si="30"/>
        <v>58389.84</v>
      </c>
      <c r="AG424" s="117">
        <f>MIN(MAX(+$P$1-'FA Addition'!$D424,0),365*'FA Addition'!$O424)</f>
        <v>1095</v>
      </c>
      <c r="AH424" s="117">
        <f>MIN(MAX($L$1-'FA Addition'!$D424+1,0),365*'FA Addition'!$O424)</f>
        <v>1095</v>
      </c>
      <c r="AI424" s="117" cm="1">
        <f t="array" ref="AI424">_xlfn.XLOOKUP(1,('FA Write off'!A:A='FA Addition'!$A424)*('FA Write off'!D:D=AA424),'FA Write off'!H:H,0,0)</f>
        <v>0</v>
      </c>
      <c r="AJ424" s="117">
        <f>IF(AC424&gt;0,MAX(IF('FA Addition'!$N424="SLM",($AC424-'FA Addition'!$M424)*'FA Addition'!$P424*AI424/365,(AC424-'FA Addition'!$M424)*(1-(1-'FA Addition'!$P424)^(AI424/365))),0),0)</f>
        <v>0</v>
      </c>
      <c r="AL424" s="117">
        <f>MAX(IF(AG424&gt;0,IF('FA Addition'!$N424="SLM",($AE424-'FA Addition'!$M424)*'FA Addition'!$P424*AG424/365,IFERROR(VDB(AE424,AE424*0.05,'FA Addition'!$O424,0,YEARFRAC('FA Addition'!$C424,$P$1-1,3),'FA Addition'!$Q424),FAAddition[[#This Row],[Original Cost (Rs)]]-FAAddition[[#This Row],[Salvage Value]])),0),0)</f>
        <v>55470.84</v>
      </c>
      <c r="AM424" s="119"/>
      <c r="AN424" s="117">
        <f>MAX(IF(AH424&gt;0,IF('FA Addition'!$N424="SLM",($AF424-'FA Addition'!$M424)*'FA Addition'!$P424*AH424/365,IFERROR(VDB(AF424,AF424*0.05,'FA Addition'!$O424,0,YEARFRAC('FA Addition'!$C424,$L$1,3),'FA Addition'!$Q424),FAAddition[[#This Row],[Original Cost (Rs)]]-FAAddition[[#This Row],[Salvage Value]])),0),0)</f>
        <v>55470.84</v>
      </c>
      <c r="AO424" s="117">
        <f t="shared" si="33"/>
        <v>0</v>
      </c>
      <c r="AQ424" s="117">
        <f t="shared" si="31"/>
        <v>2919</v>
      </c>
      <c r="AR424" s="120">
        <f t="shared" si="32"/>
        <v>2919</v>
      </c>
      <c r="AS424" s="121"/>
    </row>
    <row r="425" spans="1:45" ht="13.5" x14ac:dyDescent="0.4">
      <c r="A425" s="12">
        <f t="shared" si="34"/>
        <v>422</v>
      </c>
      <c r="B425" s="64" t="s">
        <v>1018</v>
      </c>
      <c r="C425" s="54">
        <v>43722</v>
      </c>
      <c r="D425" s="54">
        <v>43722</v>
      </c>
      <c r="E425" s="46" t="s">
        <v>451</v>
      </c>
      <c r="F425" s="51" t="s">
        <v>21</v>
      </c>
      <c r="G425" s="51" t="s">
        <v>1045</v>
      </c>
      <c r="H425" s="51" t="s">
        <v>21</v>
      </c>
      <c r="I425" s="55">
        <v>2110248318</v>
      </c>
      <c r="J425" s="56">
        <v>1</v>
      </c>
      <c r="K425" s="51" t="s">
        <v>1046</v>
      </c>
      <c r="L425" s="58">
        <v>62487.99</v>
      </c>
      <c r="M425" s="50">
        <f>ROUND('FA Addition'!$L425*5%,0.1)</f>
        <v>3124</v>
      </c>
      <c r="N425" s="113" t="str">
        <f>_xlfn.XLOOKUP(_xlfn.CONCAT(E425,B425),'Year Wise Master Dep Approach'!F:F,'Year Wise Master Dep Approach'!D:D)</f>
        <v>WDV</v>
      </c>
      <c r="O425" s="113">
        <f>_xlfn.XLOOKUP(_xlfn.CONCAT(E425,B425),'Year Wise Master Dep Approach'!F:F,'Year Wise Master Dep Approach'!E:E)</f>
        <v>3</v>
      </c>
      <c r="P425" s="114">
        <f>IFERROR(IF('FA Addition'!$N425="WDV",1-('FA Addition'!$M425/'FA Addition'!$L425)^(1/'FA Addition'!$O425),1/'FA Addition'!$O425),0)</f>
        <v>0.63161255270875194</v>
      </c>
      <c r="Q425" s="122">
        <f>'FA Addition'!$P425*'FA Addition'!$O425</f>
        <v>1.8948376581262558</v>
      </c>
      <c r="R425" s="122"/>
      <c r="S425" s="116">
        <f>IF(AND(DATE(20&amp;LEFT(FAAddition[[#This Row],[FY]],2),4,1)&lt;$L$1+1,DATE(20&amp;LEFT(FAAddition[[#This Row],[FY]],2),4,1)&gt;$P$1-1),'FA Addition'!$J425,0)</f>
        <v>0</v>
      </c>
      <c r="U425" s="117">
        <f>S425*'FA Addition'!$L425/'FA Addition'!$J425</f>
        <v>0</v>
      </c>
      <c r="W425" s="116">
        <f>SUMIFS('FA Write off'!D:D,'FA Write off'!A:A,'FA Addition'!$A425,'FA Write off'!C:C,"&lt;"&amp;'FA Addition'!$P$1)</f>
        <v>0</v>
      </c>
      <c r="Y425" s="191">
        <f>IFERROR(W425/'FA Addition'!$J425*'FA Addition'!$L425,0)</f>
        <v>0</v>
      </c>
      <c r="AA425" s="116">
        <f>SUMIFS('FA Write off'!D:D,'FA Write off'!A:A,'FA Addition'!$A425,'FA Write off'!C:C,"&lt;"&amp;'FA Addition'!$L$1+1,'FA Write off'!C:C,"&gt;"&amp;'FA Addition'!$L$1-365)</f>
        <v>0</v>
      </c>
      <c r="AC425" s="118">
        <f>IFERROR(AA425/'FA Addition'!$J425*'FA Addition'!$L425,0)</f>
        <v>0</v>
      </c>
      <c r="AE425" s="117">
        <f>IF(AND('FA Addition'!$D425&lt;$P$1+1,U425=0),'FA Addition'!$L425,0)-Y425</f>
        <v>62487.99</v>
      </c>
      <c r="AF425" s="117">
        <f t="shared" si="30"/>
        <v>62487.99</v>
      </c>
      <c r="AG425" s="117">
        <f>MIN(MAX(+$P$1-'FA Addition'!$D425,0),365*'FA Addition'!$O425)</f>
        <v>1095</v>
      </c>
      <c r="AH425" s="117">
        <f>MIN(MAX($L$1-'FA Addition'!$D425+1,0),365*'FA Addition'!$O425)</f>
        <v>1095</v>
      </c>
      <c r="AI425" s="117" cm="1">
        <f t="array" ref="AI425">_xlfn.XLOOKUP(1,('FA Write off'!A:A='FA Addition'!$A425)*('FA Write off'!D:D=AA425),'FA Write off'!H:H,0,0)</f>
        <v>0</v>
      </c>
      <c r="AJ425" s="117">
        <f>IF(AC425&gt;0,MAX(IF('FA Addition'!$N425="SLM",($AC425-'FA Addition'!$M425)*'FA Addition'!$P425*AI425/365,(AC425-'FA Addition'!$M425)*(1-(1-'FA Addition'!$P425)^(AI425/365))),0),0)</f>
        <v>0</v>
      </c>
      <c r="AL425" s="117">
        <f>MAX(IF(AG425&gt;0,IF('FA Addition'!$N425="SLM",($AE425-'FA Addition'!$M425)*'FA Addition'!$P425*AG425/365,IFERROR(VDB(AE425,AE425*0.05,'FA Addition'!$O425,0,YEARFRAC('FA Addition'!$C425,$P$1-1,3),'FA Addition'!$Q425),FAAddition[[#This Row],[Original Cost (Rs)]]-FAAddition[[#This Row],[Salvage Value]])),0),0)</f>
        <v>59363.99</v>
      </c>
      <c r="AM425" s="119"/>
      <c r="AN425" s="117">
        <f>MAX(IF(AH425&gt;0,IF('FA Addition'!$N425="SLM",($AF425-'FA Addition'!$M425)*'FA Addition'!$P425*AH425/365,IFERROR(VDB(AF425,AF425*0.05,'FA Addition'!$O425,0,YEARFRAC('FA Addition'!$C425,$L$1,3),'FA Addition'!$Q425),FAAddition[[#This Row],[Original Cost (Rs)]]-FAAddition[[#This Row],[Salvage Value]])),0),0)</f>
        <v>59363.99</v>
      </c>
      <c r="AO425" s="117">
        <f t="shared" si="33"/>
        <v>0</v>
      </c>
      <c r="AQ425" s="117">
        <f t="shared" si="31"/>
        <v>3124</v>
      </c>
      <c r="AR425" s="120">
        <f t="shared" si="32"/>
        <v>3124</v>
      </c>
      <c r="AS425" s="121"/>
    </row>
    <row r="426" spans="1:45" ht="13.5" x14ac:dyDescent="0.4">
      <c r="A426" s="12">
        <f t="shared" si="34"/>
        <v>423</v>
      </c>
      <c r="B426" s="64" t="s">
        <v>1018</v>
      </c>
      <c r="C426" s="54">
        <v>43725</v>
      </c>
      <c r="D426" s="54">
        <v>43725</v>
      </c>
      <c r="E426" s="46" t="s">
        <v>451</v>
      </c>
      <c r="F426" s="51" t="s">
        <v>21</v>
      </c>
      <c r="G426" s="51" t="s">
        <v>1047</v>
      </c>
      <c r="H426" s="51" t="s">
        <v>21</v>
      </c>
      <c r="I426" s="55" t="s">
        <v>1048</v>
      </c>
      <c r="J426" s="56">
        <v>1</v>
      </c>
      <c r="K426" s="51" t="s">
        <v>1049</v>
      </c>
      <c r="L426" s="58">
        <v>45324.58</v>
      </c>
      <c r="M426" s="50">
        <f>ROUND('FA Addition'!$L426*5%,0.1)</f>
        <v>2266</v>
      </c>
      <c r="N426" s="113" t="str">
        <f>_xlfn.XLOOKUP(_xlfn.CONCAT(E426,B426),'Year Wise Master Dep Approach'!F:F,'Year Wise Master Dep Approach'!D:D)</f>
        <v>WDV</v>
      </c>
      <c r="O426" s="113">
        <f>_xlfn.XLOOKUP(_xlfn.CONCAT(E426,B426),'Year Wise Master Dep Approach'!F:F,'Year Wise Master Dep Approach'!E:E)</f>
        <v>3</v>
      </c>
      <c r="P426" s="114">
        <f>IFERROR(IF('FA Addition'!$N426="WDV",1-('FA Addition'!$M426/'FA Addition'!$L426)^(1/'FA Addition'!$O426),1/'FA Addition'!$O426),0)</f>
        <v>0.63160925946781021</v>
      </c>
      <c r="Q426" s="122">
        <f>'FA Addition'!$P426*'FA Addition'!$O426</f>
        <v>1.8948277784034306</v>
      </c>
      <c r="R426" s="122"/>
      <c r="S426" s="116">
        <f>IF(AND(DATE(20&amp;LEFT(FAAddition[[#This Row],[FY]],2),4,1)&lt;$L$1+1,DATE(20&amp;LEFT(FAAddition[[#This Row],[FY]],2),4,1)&gt;$P$1-1),'FA Addition'!$J426,0)</f>
        <v>0</v>
      </c>
      <c r="U426" s="117">
        <f>S426*'FA Addition'!$L426/'FA Addition'!$J426</f>
        <v>0</v>
      </c>
      <c r="W426" s="116">
        <f>SUMIFS('FA Write off'!D:D,'FA Write off'!A:A,'FA Addition'!$A426,'FA Write off'!C:C,"&lt;"&amp;'FA Addition'!$P$1)</f>
        <v>0</v>
      </c>
      <c r="Y426" s="191">
        <f>IFERROR(W426/'FA Addition'!$J426*'FA Addition'!$L426,0)</f>
        <v>0</v>
      </c>
      <c r="AA426" s="116">
        <f>SUMIFS('FA Write off'!D:D,'FA Write off'!A:A,'FA Addition'!$A426,'FA Write off'!C:C,"&lt;"&amp;'FA Addition'!$L$1+1,'FA Write off'!C:C,"&gt;"&amp;'FA Addition'!$L$1-365)</f>
        <v>0</v>
      </c>
      <c r="AC426" s="118">
        <f>IFERROR(AA426/'FA Addition'!$J426*'FA Addition'!$L426,0)</f>
        <v>0</v>
      </c>
      <c r="AE426" s="117">
        <f>IF(AND('FA Addition'!$D426&lt;$P$1+1,U426=0),'FA Addition'!$L426,0)-Y426</f>
        <v>45324.58</v>
      </c>
      <c r="AF426" s="117">
        <f t="shared" si="30"/>
        <v>45324.58</v>
      </c>
      <c r="AG426" s="117">
        <f>MIN(MAX(+$P$1-'FA Addition'!$D426,0),365*'FA Addition'!$O426)</f>
        <v>1095</v>
      </c>
      <c r="AH426" s="117">
        <f>MIN(MAX($L$1-'FA Addition'!$D426+1,0),365*'FA Addition'!$O426)</f>
        <v>1095</v>
      </c>
      <c r="AI426" s="117" cm="1">
        <f t="array" ref="AI426">_xlfn.XLOOKUP(1,('FA Write off'!A:A='FA Addition'!$A426)*('FA Write off'!D:D=AA426),'FA Write off'!H:H,0,0)</f>
        <v>0</v>
      </c>
      <c r="AJ426" s="117">
        <f>IF(AC426&gt;0,MAX(IF('FA Addition'!$N426="SLM",($AC426-'FA Addition'!$M426)*'FA Addition'!$P426*AI426/365,(AC426-'FA Addition'!$M426)*(1-(1-'FA Addition'!$P426)^(AI426/365))),0),0)</f>
        <v>0</v>
      </c>
      <c r="AL426" s="117">
        <f>MAX(IF(AG426&gt;0,IF('FA Addition'!$N426="SLM",($AE426-'FA Addition'!$M426)*'FA Addition'!$P426*AG426/365,IFERROR(VDB(AE426,AE426*0.05,'FA Addition'!$O426,0,YEARFRAC('FA Addition'!$C426,$P$1-1,3),'FA Addition'!$Q426),FAAddition[[#This Row],[Original Cost (Rs)]]-FAAddition[[#This Row],[Salvage Value]])),0),0)</f>
        <v>43058.58</v>
      </c>
      <c r="AM426" s="119"/>
      <c r="AN426" s="117">
        <f>MAX(IF(AH426&gt;0,IF('FA Addition'!$N426="SLM",($AF426-'FA Addition'!$M426)*'FA Addition'!$P426*AH426/365,IFERROR(VDB(AF426,AF426*0.05,'FA Addition'!$O426,0,YEARFRAC('FA Addition'!$C426,$L$1,3),'FA Addition'!$Q426),FAAddition[[#This Row],[Original Cost (Rs)]]-FAAddition[[#This Row],[Salvage Value]])),0),0)</f>
        <v>43058.58</v>
      </c>
      <c r="AO426" s="117">
        <f t="shared" si="33"/>
        <v>0</v>
      </c>
      <c r="AQ426" s="117">
        <f t="shared" si="31"/>
        <v>2266</v>
      </c>
      <c r="AR426" s="120">
        <f t="shared" si="32"/>
        <v>2266</v>
      </c>
      <c r="AS426" s="121"/>
    </row>
    <row r="427" spans="1:45" ht="13.5" x14ac:dyDescent="0.4">
      <c r="A427" s="12">
        <f t="shared" si="34"/>
        <v>424</v>
      </c>
      <c r="B427" s="64" t="s">
        <v>1018</v>
      </c>
      <c r="C427" s="54">
        <v>43735</v>
      </c>
      <c r="D427" s="54">
        <v>43735</v>
      </c>
      <c r="E427" s="46" t="s">
        <v>451</v>
      </c>
      <c r="F427" s="51" t="s">
        <v>21</v>
      </c>
      <c r="G427" s="51" t="s">
        <v>834</v>
      </c>
      <c r="H427" s="51" t="s">
        <v>21</v>
      </c>
      <c r="I427" s="55" t="s">
        <v>1050</v>
      </c>
      <c r="J427" s="56">
        <v>1</v>
      </c>
      <c r="K427" s="51" t="s">
        <v>1051</v>
      </c>
      <c r="L427" s="58">
        <v>54083.37</v>
      </c>
      <c r="M427" s="50">
        <f>ROUND('FA Addition'!$L427*5%,0.1)</f>
        <v>2704</v>
      </c>
      <c r="N427" s="113" t="str">
        <f>_xlfn.XLOOKUP(_xlfn.CONCAT(E427,B427),'Year Wise Master Dep Approach'!F:F,'Year Wise Master Dep Approach'!D:D)</f>
        <v>WDV</v>
      </c>
      <c r="O427" s="113">
        <f>_xlfn.XLOOKUP(_xlfn.CONCAT(E427,B427),'Year Wise Master Dep Approach'!F:F,'Year Wise Master Dep Approach'!E:E)</f>
        <v>3</v>
      </c>
      <c r="P427" s="114">
        <f>IFERROR(IF('FA Addition'!$N427="WDV",1-('FA Addition'!$M427/'FA Addition'!$L427)^(1/'FA Addition'!$O427),1/'FA Addition'!$O427),0)</f>
        <v>0.63160450217639919</v>
      </c>
      <c r="Q427" s="122">
        <f>'FA Addition'!$P427*'FA Addition'!$O427</f>
        <v>1.8948135065291976</v>
      </c>
      <c r="R427" s="122"/>
      <c r="S427" s="116">
        <f>IF(AND(DATE(20&amp;LEFT(FAAddition[[#This Row],[FY]],2),4,1)&lt;$L$1+1,DATE(20&amp;LEFT(FAAddition[[#This Row],[FY]],2),4,1)&gt;$P$1-1),'FA Addition'!$J427,0)</f>
        <v>0</v>
      </c>
      <c r="U427" s="117">
        <f>S427*'FA Addition'!$L427/'FA Addition'!$J427</f>
        <v>0</v>
      </c>
      <c r="W427" s="116">
        <f>SUMIFS('FA Write off'!D:D,'FA Write off'!A:A,'FA Addition'!$A427,'FA Write off'!C:C,"&lt;"&amp;'FA Addition'!$P$1)</f>
        <v>0</v>
      </c>
      <c r="Y427" s="191">
        <f>IFERROR(W427/'FA Addition'!$J427*'FA Addition'!$L427,0)</f>
        <v>0</v>
      </c>
      <c r="AA427" s="116">
        <f>SUMIFS('FA Write off'!D:D,'FA Write off'!A:A,'FA Addition'!$A427,'FA Write off'!C:C,"&lt;"&amp;'FA Addition'!$L$1+1,'FA Write off'!C:C,"&gt;"&amp;'FA Addition'!$L$1-365)</f>
        <v>0</v>
      </c>
      <c r="AC427" s="118">
        <f>IFERROR(AA427/'FA Addition'!$J427*'FA Addition'!$L427,0)</f>
        <v>0</v>
      </c>
      <c r="AE427" s="117">
        <f>IF(AND('FA Addition'!$D427&lt;$P$1+1,U427=0),'FA Addition'!$L427,0)-Y427</f>
        <v>54083.37</v>
      </c>
      <c r="AF427" s="117">
        <f t="shared" si="30"/>
        <v>54083.37</v>
      </c>
      <c r="AG427" s="117">
        <f>MIN(MAX(+$P$1-'FA Addition'!$D427,0),365*'FA Addition'!$O427)</f>
        <v>1095</v>
      </c>
      <c r="AH427" s="117">
        <f>MIN(MAX($L$1-'FA Addition'!$D427+1,0),365*'FA Addition'!$O427)</f>
        <v>1095</v>
      </c>
      <c r="AI427" s="117" cm="1">
        <f t="array" ref="AI427">_xlfn.XLOOKUP(1,('FA Write off'!A:A='FA Addition'!$A427)*('FA Write off'!D:D=AA427),'FA Write off'!H:H,0,0)</f>
        <v>0</v>
      </c>
      <c r="AJ427" s="117">
        <f>IF(AC427&gt;0,MAX(IF('FA Addition'!$N427="SLM",($AC427-'FA Addition'!$M427)*'FA Addition'!$P427*AI427/365,(AC427-'FA Addition'!$M427)*(1-(1-'FA Addition'!$P427)^(AI427/365))),0),0)</f>
        <v>0</v>
      </c>
      <c r="AL427" s="117">
        <f>MAX(IF(AG427&gt;0,IF('FA Addition'!$N427="SLM",($AE427-'FA Addition'!$M427)*'FA Addition'!$P427*AG427/365,IFERROR(VDB(AE427,AE427*0.05,'FA Addition'!$O427,0,YEARFRAC('FA Addition'!$C427,$P$1-1,3),'FA Addition'!$Q427),FAAddition[[#This Row],[Original Cost (Rs)]]-FAAddition[[#This Row],[Salvage Value]])),0),0)</f>
        <v>51379.37</v>
      </c>
      <c r="AM427" s="119"/>
      <c r="AN427" s="117">
        <f>MAX(IF(AH427&gt;0,IF('FA Addition'!$N427="SLM",($AF427-'FA Addition'!$M427)*'FA Addition'!$P427*AH427/365,IFERROR(VDB(AF427,AF427*0.05,'FA Addition'!$O427,0,YEARFRAC('FA Addition'!$C427,$L$1,3),'FA Addition'!$Q427),FAAddition[[#This Row],[Original Cost (Rs)]]-FAAddition[[#This Row],[Salvage Value]])),0),0)</f>
        <v>51379.37</v>
      </c>
      <c r="AO427" s="117">
        <f t="shared" si="33"/>
        <v>0</v>
      </c>
      <c r="AQ427" s="117">
        <f t="shared" si="31"/>
        <v>2704</v>
      </c>
      <c r="AR427" s="120">
        <f t="shared" si="32"/>
        <v>2704</v>
      </c>
      <c r="AS427" s="121"/>
    </row>
    <row r="428" spans="1:45" ht="13.5" x14ac:dyDescent="0.4">
      <c r="A428" s="12">
        <f t="shared" si="34"/>
        <v>425</v>
      </c>
      <c r="B428" s="64" t="s">
        <v>1018</v>
      </c>
      <c r="C428" s="54">
        <v>43735</v>
      </c>
      <c r="D428" s="54">
        <v>43739</v>
      </c>
      <c r="E428" s="46" t="s">
        <v>451</v>
      </c>
      <c r="F428" s="51" t="s">
        <v>808</v>
      </c>
      <c r="G428" s="51" t="s">
        <v>949</v>
      </c>
      <c r="H428" s="51" t="s">
        <v>151</v>
      </c>
      <c r="I428" s="55" t="s">
        <v>1052</v>
      </c>
      <c r="J428" s="56">
        <v>1</v>
      </c>
      <c r="K428" s="51" t="s">
        <v>1053</v>
      </c>
      <c r="L428" s="58">
        <v>17795.759999999998</v>
      </c>
      <c r="M428" s="50">
        <f>ROUND('FA Addition'!$L428*5%,0.1)</f>
        <v>890</v>
      </c>
      <c r="N428" s="113" t="str">
        <f>_xlfn.XLOOKUP(_xlfn.CONCAT(E428,B428),'Year Wise Master Dep Approach'!F:F,'Year Wise Master Dep Approach'!D:D)</f>
        <v>WDV</v>
      </c>
      <c r="O428" s="113">
        <f>_xlfn.XLOOKUP(_xlfn.CONCAT(E428,B428),'Year Wise Master Dep Approach'!F:F,'Year Wise Master Dep Approach'!E:E)</f>
        <v>3</v>
      </c>
      <c r="P428" s="114">
        <f>IFERROR(IF('FA Addition'!$N428="WDV",1-('FA Addition'!$M428/'FA Addition'!$L428)^(1/'FA Addition'!$O428),1/'FA Addition'!$O428),0)</f>
        <v>0.63156759400386409</v>
      </c>
      <c r="Q428" s="122">
        <f>'FA Addition'!$P428*'FA Addition'!$O428</f>
        <v>1.8947027820115923</v>
      </c>
      <c r="R428" s="122"/>
      <c r="S428" s="116">
        <f>IF(AND(DATE(20&amp;LEFT(FAAddition[[#This Row],[FY]],2),4,1)&lt;$L$1+1,DATE(20&amp;LEFT(FAAddition[[#This Row],[FY]],2),4,1)&gt;$P$1-1),'FA Addition'!$J428,0)</f>
        <v>0</v>
      </c>
      <c r="U428" s="117">
        <f>S428*'FA Addition'!$L428/'FA Addition'!$J428</f>
        <v>0</v>
      </c>
      <c r="W428" s="116">
        <f>SUMIFS('FA Write off'!D:D,'FA Write off'!A:A,'FA Addition'!$A428,'FA Write off'!C:C,"&lt;"&amp;'FA Addition'!$P$1)</f>
        <v>0</v>
      </c>
      <c r="Y428" s="191">
        <f>IFERROR(W428/'FA Addition'!$J428*'FA Addition'!$L428,0)</f>
        <v>0</v>
      </c>
      <c r="AA428" s="116">
        <f>SUMIFS('FA Write off'!D:D,'FA Write off'!A:A,'FA Addition'!$A428,'FA Write off'!C:C,"&lt;"&amp;'FA Addition'!$L$1+1,'FA Write off'!C:C,"&gt;"&amp;'FA Addition'!$L$1-365)</f>
        <v>0</v>
      </c>
      <c r="AC428" s="118">
        <f>IFERROR(AA428/'FA Addition'!$J428*'FA Addition'!$L428,0)</f>
        <v>0</v>
      </c>
      <c r="AE428" s="117">
        <f>IF(AND('FA Addition'!$D428&lt;$P$1+1,U428=0),'FA Addition'!$L428,0)-Y428</f>
        <v>17795.759999999998</v>
      </c>
      <c r="AF428" s="117">
        <f t="shared" si="30"/>
        <v>17795.759999999998</v>
      </c>
      <c r="AG428" s="117">
        <f>MIN(MAX(+$P$1-'FA Addition'!$D428,0),365*'FA Addition'!$O428)</f>
        <v>1095</v>
      </c>
      <c r="AH428" s="117">
        <f>MIN(MAX($L$1-'FA Addition'!$D428+1,0),365*'FA Addition'!$O428)</f>
        <v>1095</v>
      </c>
      <c r="AI428" s="117" cm="1">
        <f t="array" ref="AI428">_xlfn.XLOOKUP(1,('FA Write off'!A:A='FA Addition'!$A428)*('FA Write off'!D:D=AA428),'FA Write off'!H:H,0,0)</f>
        <v>0</v>
      </c>
      <c r="AJ428" s="117">
        <f>IF(AC428&gt;0,MAX(IF('FA Addition'!$N428="SLM",($AC428-'FA Addition'!$M428)*'FA Addition'!$P428*AI428/365,(AC428-'FA Addition'!$M428)*(1-(1-'FA Addition'!$P428)^(AI428/365))),0),0)</f>
        <v>0</v>
      </c>
      <c r="AL428" s="117">
        <f>MAX(IF(AG428&gt;0,IF('FA Addition'!$N428="SLM",($AE428-'FA Addition'!$M428)*'FA Addition'!$P428*AG428/365,IFERROR(VDB(AE428,AE428*0.05,'FA Addition'!$O428,0,YEARFRAC('FA Addition'!$C428,$P$1-1,3),'FA Addition'!$Q428),FAAddition[[#This Row],[Original Cost (Rs)]]-FAAddition[[#This Row],[Salvage Value]])),0),0)</f>
        <v>16905.759999999998</v>
      </c>
      <c r="AM428" s="119"/>
      <c r="AN428" s="117">
        <f>MAX(IF(AH428&gt;0,IF('FA Addition'!$N428="SLM",($AF428-'FA Addition'!$M428)*'FA Addition'!$P428*AH428/365,IFERROR(VDB(AF428,AF428*0.05,'FA Addition'!$O428,0,YEARFRAC('FA Addition'!$C428,$L$1,3),'FA Addition'!$Q428),FAAddition[[#This Row],[Original Cost (Rs)]]-FAAddition[[#This Row],[Salvage Value]])),0),0)</f>
        <v>16905.759999999998</v>
      </c>
      <c r="AO428" s="117">
        <f t="shared" si="33"/>
        <v>0</v>
      </c>
      <c r="AQ428" s="117">
        <f t="shared" si="31"/>
        <v>890</v>
      </c>
      <c r="AR428" s="120">
        <f t="shared" si="32"/>
        <v>890</v>
      </c>
      <c r="AS428" s="121"/>
    </row>
    <row r="429" spans="1:45" ht="13.5" x14ac:dyDescent="0.4">
      <c r="A429" s="12">
        <f t="shared" si="34"/>
        <v>426</v>
      </c>
      <c r="B429" s="64" t="s">
        <v>1018</v>
      </c>
      <c r="C429" s="54">
        <v>43747</v>
      </c>
      <c r="D429" s="54">
        <v>43747</v>
      </c>
      <c r="E429" s="46" t="s">
        <v>32</v>
      </c>
      <c r="F429" s="51" t="s">
        <v>32</v>
      </c>
      <c r="G429" s="51" t="s">
        <v>433</v>
      </c>
      <c r="H429" s="51" t="s">
        <v>32</v>
      </c>
      <c r="I429" s="55" t="s">
        <v>1054</v>
      </c>
      <c r="J429" s="56">
        <v>10</v>
      </c>
      <c r="K429" s="51" t="s">
        <v>1055</v>
      </c>
      <c r="L429" s="58">
        <v>40000</v>
      </c>
      <c r="M429" s="50">
        <f>ROUND('FA Addition'!$L429*5%,0.1)</f>
        <v>2000</v>
      </c>
      <c r="N429" s="113" t="str">
        <f>_xlfn.XLOOKUP(_xlfn.CONCAT(E429,B429),'Year Wise Master Dep Approach'!F:F,'Year Wise Master Dep Approach'!D:D)</f>
        <v>WDV</v>
      </c>
      <c r="O429" s="113">
        <f>_xlfn.XLOOKUP(_xlfn.CONCAT(E429,B429),'Year Wise Master Dep Approach'!F:F,'Year Wise Master Dep Approach'!E:E)</f>
        <v>3</v>
      </c>
      <c r="P429" s="114">
        <f>IFERROR(IF('FA Addition'!$N429="WDV",1-('FA Addition'!$M429/'FA Addition'!$L429)^(1/'FA Addition'!$O429),1/'FA Addition'!$O429),0)</f>
        <v>0.63159685013596123</v>
      </c>
      <c r="Q429" s="122">
        <f>'FA Addition'!$P429*'FA Addition'!$O429</f>
        <v>1.8947905504078837</v>
      </c>
      <c r="R429" s="122"/>
      <c r="S429" s="116">
        <f>IF(AND(DATE(20&amp;LEFT(FAAddition[[#This Row],[FY]],2),4,1)&lt;$L$1+1,DATE(20&amp;LEFT(FAAddition[[#This Row],[FY]],2),4,1)&gt;$P$1-1),'FA Addition'!$J429,0)</f>
        <v>0</v>
      </c>
      <c r="U429" s="117">
        <f>S429*'FA Addition'!$L429/'FA Addition'!$J429</f>
        <v>0</v>
      </c>
      <c r="W429" s="116">
        <f>SUMIFS('FA Write off'!D:D,'FA Write off'!A:A,'FA Addition'!$A429,'FA Write off'!C:C,"&lt;"&amp;'FA Addition'!$P$1)</f>
        <v>0</v>
      </c>
      <c r="Y429" s="191">
        <f>IFERROR(W429/'FA Addition'!$J429*'FA Addition'!$L429,0)</f>
        <v>0</v>
      </c>
      <c r="AA429" s="116">
        <f>SUMIFS('FA Write off'!D:D,'FA Write off'!A:A,'FA Addition'!$A429,'FA Write off'!C:C,"&lt;"&amp;'FA Addition'!$L$1+1,'FA Write off'!C:C,"&gt;"&amp;'FA Addition'!$L$1-365)</f>
        <v>0</v>
      </c>
      <c r="AC429" s="118">
        <f>IFERROR(AA429/'FA Addition'!$J429*'FA Addition'!$L429,0)</f>
        <v>0</v>
      </c>
      <c r="AE429" s="117">
        <f>IF(AND('FA Addition'!$D429&lt;$P$1+1,U429=0),'FA Addition'!$L429,0)-Y429</f>
        <v>40000</v>
      </c>
      <c r="AF429" s="117">
        <f t="shared" si="30"/>
        <v>40000</v>
      </c>
      <c r="AG429" s="117">
        <f>MIN(MAX(+$P$1-'FA Addition'!$D429,0),365*'FA Addition'!$O429)</f>
        <v>1095</v>
      </c>
      <c r="AH429" s="117">
        <f>MIN(MAX($L$1-'FA Addition'!$D429+1,0),365*'FA Addition'!$O429)</f>
        <v>1095</v>
      </c>
      <c r="AI429" s="117" cm="1">
        <f t="array" ref="AI429">_xlfn.XLOOKUP(1,('FA Write off'!A:A='FA Addition'!$A429)*('FA Write off'!D:D=AA429),'FA Write off'!H:H,0,0)</f>
        <v>0</v>
      </c>
      <c r="AJ429" s="117">
        <f>IF(AC429&gt;0,MAX(IF('FA Addition'!$N429="SLM",($AC429-'FA Addition'!$M429)*'FA Addition'!$P429*AI429/365,(AC429-'FA Addition'!$M429)*(1-(1-'FA Addition'!$P429)^(AI429/365))),0),0)</f>
        <v>0</v>
      </c>
      <c r="AL429" s="117">
        <f>MAX(IF(AG429&gt;0,IF('FA Addition'!$N429="SLM",($AE429-'FA Addition'!$M429)*'FA Addition'!$P429*AG429/365,IFERROR(VDB(AE429,AE429*0.05,'FA Addition'!$O429,0,YEARFRAC('FA Addition'!$C429,$P$1-1,3),'FA Addition'!$Q429),FAAddition[[#This Row],[Original Cost (Rs)]]-FAAddition[[#This Row],[Salvage Value]])),0),0)</f>
        <v>38000</v>
      </c>
      <c r="AM429" s="119"/>
      <c r="AN429" s="117">
        <f>MAX(IF(AH429&gt;0,IF('FA Addition'!$N429="SLM",($AF429-'FA Addition'!$M429)*'FA Addition'!$P429*AH429/365,IFERROR(VDB(AF429,AF429*0.05,'FA Addition'!$O429,0,YEARFRAC('FA Addition'!$C429,$L$1,3),'FA Addition'!$Q429),FAAddition[[#This Row],[Original Cost (Rs)]]-FAAddition[[#This Row],[Salvage Value]])),0),0)</f>
        <v>38000</v>
      </c>
      <c r="AO429" s="117">
        <f t="shared" si="33"/>
        <v>0</v>
      </c>
      <c r="AQ429" s="117">
        <f t="shared" si="31"/>
        <v>2000</v>
      </c>
      <c r="AR429" s="120">
        <f t="shared" si="32"/>
        <v>2000</v>
      </c>
      <c r="AS429" s="121"/>
    </row>
    <row r="430" spans="1:45" ht="13.5" x14ac:dyDescent="0.4">
      <c r="A430" s="12">
        <f t="shared" si="34"/>
        <v>427</v>
      </c>
      <c r="B430" s="64" t="s">
        <v>1018</v>
      </c>
      <c r="C430" s="54">
        <v>43769</v>
      </c>
      <c r="D430" s="54">
        <v>43769</v>
      </c>
      <c r="E430" s="46" t="s">
        <v>207</v>
      </c>
      <c r="F430" s="51" t="s">
        <v>147</v>
      </c>
      <c r="G430" s="51" t="s">
        <v>1056</v>
      </c>
      <c r="H430" s="51" t="s">
        <v>207</v>
      </c>
      <c r="I430" s="55" t="s">
        <v>1057</v>
      </c>
      <c r="J430" s="56">
        <v>1</v>
      </c>
      <c r="K430" s="51" t="s">
        <v>1058</v>
      </c>
      <c r="L430" s="58">
        <v>8034.82</v>
      </c>
      <c r="M430" s="50">
        <f>ROUND('FA Addition'!$L430*5%,0.1)</f>
        <v>402</v>
      </c>
      <c r="N430" s="113" t="str">
        <f>_xlfn.XLOOKUP(_xlfn.CONCAT(E430,B430),'Year Wise Master Dep Approach'!F:F,'Year Wise Master Dep Approach'!D:D)</f>
        <v>WDV</v>
      </c>
      <c r="O430" s="113">
        <f>_xlfn.XLOOKUP(_xlfn.CONCAT(E430,B430),'Year Wise Master Dep Approach'!F:F,'Year Wise Master Dep Approach'!E:E)</f>
        <v>5</v>
      </c>
      <c r="P430" s="114">
        <f>IFERROR(IF('FA Addition'!$N430="WDV",1-('FA Addition'!$M430/'FA Addition'!$L430)^(1/'FA Addition'!$O430),1/'FA Addition'!$O430),0)</f>
        <v>0.45064892306794235</v>
      </c>
      <c r="Q430" s="122">
        <f>'FA Addition'!$P430*'FA Addition'!$O430</f>
        <v>2.2532446153397117</v>
      </c>
      <c r="R430" s="122"/>
      <c r="S430" s="116">
        <f>IF(AND(DATE(20&amp;LEFT(FAAddition[[#This Row],[FY]],2),4,1)&lt;$L$1+1,DATE(20&amp;LEFT(FAAddition[[#This Row],[FY]],2),4,1)&gt;$P$1-1),'FA Addition'!$J430,0)</f>
        <v>0</v>
      </c>
      <c r="U430" s="117">
        <f>S430*'FA Addition'!$L430/'FA Addition'!$J430</f>
        <v>0</v>
      </c>
      <c r="W430" s="116">
        <f>SUMIFS('FA Write off'!D:D,'FA Write off'!A:A,'FA Addition'!$A430,'FA Write off'!C:C,"&lt;"&amp;'FA Addition'!$P$1)</f>
        <v>0</v>
      </c>
      <c r="Y430" s="191">
        <f>IFERROR(W430/'FA Addition'!$J430*'FA Addition'!$L430,0)</f>
        <v>0</v>
      </c>
      <c r="AA430" s="116">
        <f>SUMIFS('FA Write off'!D:D,'FA Write off'!A:A,'FA Addition'!$A430,'FA Write off'!C:C,"&lt;"&amp;'FA Addition'!$L$1+1,'FA Write off'!C:C,"&gt;"&amp;'FA Addition'!$L$1-365)</f>
        <v>0</v>
      </c>
      <c r="AC430" s="118">
        <f>IFERROR(AA430/'FA Addition'!$J430*'FA Addition'!$L430,0)</f>
        <v>0</v>
      </c>
      <c r="AE430" s="117">
        <f>IF(AND('FA Addition'!$D430&lt;$P$1+1,U430=0),'FA Addition'!$L430,0)-Y430</f>
        <v>8034.82</v>
      </c>
      <c r="AF430" s="117">
        <f t="shared" si="30"/>
        <v>8034.82</v>
      </c>
      <c r="AG430" s="117">
        <f>MIN(MAX(+$P$1-'FA Addition'!$D430,0),365*'FA Addition'!$O430)</f>
        <v>1248</v>
      </c>
      <c r="AH430" s="117">
        <f>MIN(MAX($L$1-'FA Addition'!$D430+1,0),365*'FA Addition'!$O430)</f>
        <v>1614</v>
      </c>
      <c r="AI430" s="117" cm="1">
        <f t="array" ref="AI430">_xlfn.XLOOKUP(1,('FA Write off'!A:A='FA Addition'!$A430)*('FA Write off'!D:D=AA430),'FA Write off'!H:H,0,0)</f>
        <v>0</v>
      </c>
      <c r="AJ430" s="117">
        <f>IF(AC430&gt;0,MAX(IF('FA Addition'!$N430="SLM",($AC430-'FA Addition'!$M430)*'FA Addition'!$P430*AI430/365,(AC430-'FA Addition'!$M430)*(1-(1-'FA Addition'!$P430)^(AI430/365))),0),0)</f>
        <v>0</v>
      </c>
      <c r="AL430" s="117">
        <f>MAX(IF(AG430&gt;0,IF('FA Addition'!$N430="SLM",($AE430-'FA Addition'!$M430)*'FA Addition'!$P430*AG430/365,IFERROR(VDB(AE430,AE430*0.05,'FA Addition'!$O430,0,YEARFRAC('FA Addition'!$C430,$P$1-1,3),'FA Addition'!$Q430),FAAddition[[#This Row],[Original Cost (Rs)]]-FAAddition[[#This Row],[Salvage Value]])),0),0)</f>
        <v>6952.7386215748738</v>
      </c>
      <c r="AM430" s="119"/>
      <c r="AN430" s="117">
        <f>MAX(IF(AH430&gt;0,IF('FA Addition'!$N430="SLM",($AF430-'FA Addition'!$M430)*'FA Addition'!$P430*AH430/365,IFERROR(VDB(AF430,AF430*0.05,'FA Addition'!$O430,0,YEARFRAC('FA Addition'!$C430,$L$1,3),'FA Addition'!$Q430),FAAddition[[#This Row],[Original Cost (Rs)]]-FAAddition[[#This Row],[Salvage Value]])),0),0)</f>
        <v>7441.3894828041084</v>
      </c>
      <c r="AO430" s="117">
        <f t="shared" si="33"/>
        <v>488.65086122923458</v>
      </c>
      <c r="AQ430" s="117">
        <f t="shared" si="31"/>
        <v>1082.0813784251259</v>
      </c>
      <c r="AR430" s="120">
        <f t="shared" si="32"/>
        <v>593.4305171958913</v>
      </c>
      <c r="AS430" s="121"/>
    </row>
    <row r="431" spans="1:45" ht="13.5" x14ac:dyDescent="0.4">
      <c r="A431" s="12">
        <f t="shared" si="34"/>
        <v>428</v>
      </c>
      <c r="B431" s="64" t="s">
        <v>1018</v>
      </c>
      <c r="C431" s="54">
        <v>43785</v>
      </c>
      <c r="D431" s="54">
        <v>43785</v>
      </c>
      <c r="E431" s="46" t="s">
        <v>451</v>
      </c>
      <c r="F431" s="51" t="s">
        <v>21</v>
      </c>
      <c r="G431" s="51" t="s">
        <v>620</v>
      </c>
      <c r="H431" s="51" t="s">
        <v>113</v>
      </c>
      <c r="I431" s="55">
        <v>12067</v>
      </c>
      <c r="J431" s="56">
        <v>1</v>
      </c>
      <c r="K431" s="51"/>
      <c r="L431" s="58">
        <v>85593.21</v>
      </c>
      <c r="M431" s="50">
        <f>ROUND('FA Addition'!$L431*5%,0.1)</f>
        <v>4280</v>
      </c>
      <c r="N431" s="113" t="str">
        <f>_xlfn.XLOOKUP(_xlfn.CONCAT(E431,B431),'Year Wise Master Dep Approach'!F:F,'Year Wise Master Dep Approach'!D:D)</f>
        <v>WDV</v>
      </c>
      <c r="O431" s="113">
        <f>_xlfn.XLOOKUP(_xlfn.CONCAT(E431,B431),'Year Wise Master Dep Approach'!F:F,'Year Wise Master Dep Approach'!E:E)</f>
        <v>3</v>
      </c>
      <c r="P431" s="114">
        <f>IFERROR(IF('FA Addition'!$N431="WDV",1-('FA Addition'!$M431/'FA Addition'!$L431)^(1/'FA Addition'!$O431),1/'FA Addition'!$O431),0)</f>
        <v>0.63158710874313861</v>
      </c>
      <c r="Q431" s="122">
        <f>'FA Addition'!$P431*'FA Addition'!$O431</f>
        <v>1.8947613262294158</v>
      </c>
      <c r="R431" s="122"/>
      <c r="S431" s="116">
        <f>IF(AND(DATE(20&amp;LEFT(FAAddition[[#This Row],[FY]],2),4,1)&lt;$L$1+1,DATE(20&amp;LEFT(FAAddition[[#This Row],[FY]],2),4,1)&gt;$P$1-1),'FA Addition'!$J431,0)</f>
        <v>0</v>
      </c>
      <c r="U431" s="117">
        <f>S431*'FA Addition'!$L431/'FA Addition'!$J431</f>
        <v>0</v>
      </c>
      <c r="W431" s="116">
        <f>SUMIFS('FA Write off'!D:D,'FA Write off'!A:A,'FA Addition'!$A431,'FA Write off'!C:C,"&lt;"&amp;'FA Addition'!$P$1)</f>
        <v>0</v>
      </c>
      <c r="Y431" s="191">
        <f>IFERROR(W431/'FA Addition'!$J431*'FA Addition'!$L431,0)</f>
        <v>0</v>
      </c>
      <c r="AA431" s="116">
        <f>SUMIFS('FA Write off'!D:D,'FA Write off'!A:A,'FA Addition'!$A431,'FA Write off'!C:C,"&lt;"&amp;'FA Addition'!$L$1+1,'FA Write off'!C:C,"&gt;"&amp;'FA Addition'!$L$1-365)</f>
        <v>0</v>
      </c>
      <c r="AC431" s="118">
        <f>IFERROR(AA431/'FA Addition'!$J431*'FA Addition'!$L431,0)</f>
        <v>0</v>
      </c>
      <c r="AE431" s="117">
        <f>IF(AND('FA Addition'!$D431&lt;$P$1+1,U431=0),'FA Addition'!$L431,0)-Y431</f>
        <v>85593.21</v>
      </c>
      <c r="AF431" s="117">
        <f t="shared" si="30"/>
        <v>85593.21</v>
      </c>
      <c r="AG431" s="117">
        <f>MIN(MAX(+$P$1-'FA Addition'!$D431,0),365*'FA Addition'!$O431)</f>
        <v>1095</v>
      </c>
      <c r="AH431" s="117">
        <f>MIN(MAX($L$1-'FA Addition'!$D431+1,0),365*'FA Addition'!$O431)</f>
        <v>1095</v>
      </c>
      <c r="AI431" s="117" cm="1">
        <f t="array" ref="AI431">_xlfn.XLOOKUP(1,('FA Write off'!A:A='FA Addition'!$A431)*('FA Write off'!D:D=AA431),'FA Write off'!H:H,0,0)</f>
        <v>0</v>
      </c>
      <c r="AJ431" s="117">
        <f>IF(AC431&gt;0,MAX(IF('FA Addition'!$N431="SLM",($AC431-'FA Addition'!$M431)*'FA Addition'!$P431*AI431/365,(AC431-'FA Addition'!$M431)*(1-(1-'FA Addition'!$P431)^(AI431/365))),0),0)</f>
        <v>0</v>
      </c>
      <c r="AL431" s="117">
        <f>MAX(IF(AG431&gt;0,IF('FA Addition'!$N431="SLM",($AE431-'FA Addition'!$M431)*'FA Addition'!$P431*AG431/365,IFERROR(VDB(AE431,AE431*0.05,'FA Addition'!$O431,0,YEARFRAC('FA Addition'!$C431,$P$1-1,3),'FA Addition'!$Q431),FAAddition[[#This Row],[Original Cost (Rs)]]-FAAddition[[#This Row],[Salvage Value]])),0),0)</f>
        <v>81313.210000000006</v>
      </c>
      <c r="AM431" s="119"/>
      <c r="AN431" s="117">
        <f>MAX(IF(AH431&gt;0,IF('FA Addition'!$N431="SLM",($AF431-'FA Addition'!$M431)*'FA Addition'!$P431*AH431/365,IFERROR(VDB(AF431,AF431*0.05,'FA Addition'!$O431,0,YEARFRAC('FA Addition'!$C431,$L$1,3),'FA Addition'!$Q431),FAAddition[[#This Row],[Original Cost (Rs)]]-FAAddition[[#This Row],[Salvage Value]])),0),0)</f>
        <v>81313.210000000006</v>
      </c>
      <c r="AO431" s="117">
        <f t="shared" si="33"/>
        <v>0</v>
      </c>
      <c r="AQ431" s="117">
        <f t="shared" si="31"/>
        <v>4280</v>
      </c>
      <c r="AR431" s="120">
        <f t="shared" si="32"/>
        <v>4280</v>
      </c>
      <c r="AS431" s="121"/>
    </row>
    <row r="432" spans="1:45" ht="13.5" x14ac:dyDescent="0.4">
      <c r="A432" s="12">
        <f t="shared" si="34"/>
        <v>429</v>
      </c>
      <c r="B432" s="64" t="s">
        <v>1018</v>
      </c>
      <c r="C432" s="54">
        <v>43809</v>
      </c>
      <c r="D432" s="54">
        <v>43809</v>
      </c>
      <c r="E432" s="46" t="s">
        <v>451</v>
      </c>
      <c r="F432" s="51" t="s">
        <v>808</v>
      </c>
      <c r="G432" s="51" t="s">
        <v>1059</v>
      </c>
      <c r="H432" s="51" t="s">
        <v>151</v>
      </c>
      <c r="I432" s="55" t="s">
        <v>1060</v>
      </c>
      <c r="J432" s="56">
        <v>1</v>
      </c>
      <c r="K432" s="51" t="s">
        <v>1061</v>
      </c>
      <c r="L432" s="58">
        <v>40880.51</v>
      </c>
      <c r="M432" s="50">
        <f>ROUND('FA Addition'!$L432*5%,0.1)</f>
        <v>2044</v>
      </c>
      <c r="N432" s="113" t="str">
        <f>_xlfn.XLOOKUP(_xlfn.CONCAT(E432,B432),'Year Wise Master Dep Approach'!F:F,'Year Wise Master Dep Approach'!D:D)</f>
        <v>WDV</v>
      </c>
      <c r="O432" s="113">
        <f>_xlfn.XLOOKUP(_xlfn.CONCAT(E432,B432),'Year Wise Master Dep Approach'!F:F,'Year Wise Master Dep Approach'!E:E)</f>
        <v>3</v>
      </c>
      <c r="P432" s="114">
        <f>IFERROR(IF('FA Addition'!$N432="WDV",1-('FA Addition'!$M432/'FA Addition'!$L432)^(1/'FA Addition'!$O432),1/'FA Addition'!$O432),0)</f>
        <v>0.63159838213240449</v>
      </c>
      <c r="Q432" s="122">
        <f>'FA Addition'!$P432*'FA Addition'!$O432</f>
        <v>1.8947951463972135</v>
      </c>
      <c r="R432" s="122"/>
      <c r="S432" s="116">
        <f>IF(AND(DATE(20&amp;LEFT(FAAddition[[#This Row],[FY]],2),4,1)&lt;$L$1+1,DATE(20&amp;LEFT(FAAddition[[#This Row],[FY]],2),4,1)&gt;$P$1-1),'FA Addition'!$J432,0)</f>
        <v>0</v>
      </c>
      <c r="U432" s="117">
        <f>S432*'FA Addition'!$L432/'FA Addition'!$J432</f>
        <v>0</v>
      </c>
      <c r="W432" s="116">
        <f>SUMIFS('FA Write off'!D:D,'FA Write off'!A:A,'FA Addition'!$A432,'FA Write off'!C:C,"&lt;"&amp;'FA Addition'!$P$1)</f>
        <v>0</v>
      </c>
      <c r="Y432" s="191">
        <f>IFERROR(W432/'FA Addition'!$J432*'FA Addition'!$L432,0)</f>
        <v>0</v>
      </c>
      <c r="AA432" s="116">
        <f>SUMIFS('FA Write off'!D:D,'FA Write off'!A:A,'FA Addition'!$A432,'FA Write off'!C:C,"&lt;"&amp;'FA Addition'!$L$1+1,'FA Write off'!C:C,"&gt;"&amp;'FA Addition'!$L$1-365)</f>
        <v>0</v>
      </c>
      <c r="AC432" s="118">
        <f>IFERROR(AA432/'FA Addition'!$J432*'FA Addition'!$L432,0)</f>
        <v>0</v>
      </c>
      <c r="AE432" s="117">
        <f>IF(AND('FA Addition'!$D432&lt;$P$1+1,U432=0),'FA Addition'!$L432,0)-Y432</f>
        <v>40880.51</v>
      </c>
      <c r="AF432" s="117">
        <f t="shared" si="30"/>
        <v>40880.51</v>
      </c>
      <c r="AG432" s="117">
        <f>MIN(MAX(+$P$1-'FA Addition'!$D432,0),365*'FA Addition'!$O432)</f>
        <v>1095</v>
      </c>
      <c r="AH432" s="117">
        <f>MIN(MAX($L$1-'FA Addition'!$D432+1,0),365*'FA Addition'!$O432)</f>
        <v>1095</v>
      </c>
      <c r="AI432" s="117" cm="1">
        <f t="array" ref="AI432">_xlfn.XLOOKUP(1,('FA Write off'!A:A='FA Addition'!$A432)*('FA Write off'!D:D=AA432),'FA Write off'!H:H,0,0)</f>
        <v>0</v>
      </c>
      <c r="AJ432" s="117">
        <f>IF(AC432&gt;0,MAX(IF('FA Addition'!$N432="SLM",($AC432-'FA Addition'!$M432)*'FA Addition'!$P432*AI432/365,(AC432-'FA Addition'!$M432)*(1-(1-'FA Addition'!$P432)^(AI432/365))),0),0)</f>
        <v>0</v>
      </c>
      <c r="AL432" s="117">
        <f>MAX(IF(AG432&gt;0,IF('FA Addition'!$N432="SLM",($AE432-'FA Addition'!$M432)*'FA Addition'!$P432*AG432/365,IFERROR(VDB(AE432,AE432*0.05,'FA Addition'!$O432,0,YEARFRAC('FA Addition'!$C432,$P$1-1,3),'FA Addition'!$Q432),FAAddition[[#This Row],[Original Cost (Rs)]]-FAAddition[[#This Row],[Salvage Value]])),0),0)</f>
        <v>38836.51</v>
      </c>
      <c r="AM432" s="119"/>
      <c r="AN432" s="117">
        <f>MAX(IF(AH432&gt;0,IF('FA Addition'!$N432="SLM",($AF432-'FA Addition'!$M432)*'FA Addition'!$P432*AH432/365,IFERROR(VDB(AF432,AF432*0.05,'FA Addition'!$O432,0,YEARFRAC('FA Addition'!$C432,$L$1,3),'FA Addition'!$Q432),FAAddition[[#This Row],[Original Cost (Rs)]]-FAAddition[[#This Row],[Salvage Value]])),0),0)</f>
        <v>38836.51</v>
      </c>
      <c r="AO432" s="117">
        <f t="shared" si="33"/>
        <v>0</v>
      </c>
      <c r="AQ432" s="117">
        <f t="shared" si="31"/>
        <v>2044</v>
      </c>
      <c r="AR432" s="120">
        <f t="shared" si="32"/>
        <v>2044</v>
      </c>
      <c r="AS432" s="121"/>
    </row>
    <row r="433" spans="1:45" ht="13.5" x14ac:dyDescent="0.4">
      <c r="A433" s="12">
        <f t="shared" si="34"/>
        <v>430</v>
      </c>
      <c r="B433" s="64" t="s">
        <v>1018</v>
      </c>
      <c r="C433" s="54">
        <v>43813</v>
      </c>
      <c r="D433" s="54">
        <v>43813</v>
      </c>
      <c r="E433" s="46" t="s">
        <v>451</v>
      </c>
      <c r="F433" s="51" t="s">
        <v>21</v>
      </c>
      <c r="G433" s="51" t="s">
        <v>620</v>
      </c>
      <c r="H433" s="51" t="s">
        <v>21</v>
      </c>
      <c r="I433" s="55">
        <v>12806</v>
      </c>
      <c r="J433" s="56">
        <v>1</v>
      </c>
      <c r="K433" s="51"/>
      <c r="L433" s="58">
        <v>113050</v>
      </c>
      <c r="M433" s="50">
        <f>ROUND('FA Addition'!$L433*5%,0.1)</f>
        <v>5653</v>
      </c>
      <c r="N433" s="113" t="str">
        <f>_xlfn.XLOOKUP(_xlfn.CONCAT(E433,B433),'Year Wise Master Dep Approach'!F:F,'Year Wise Master Dep Approach'!D:D)</f>
        <v>WDV</v>
      </c>
      <c r="O433" s="113">
        <f>_xlfn.XLOOKUP(_xlfn.CONCAT(E433,B433),'Year Wise Master Dep Approach'!F:F,'Year Wise Master Dep Approach'!E:E)</f>
        <v>3</v>
      </c>
      <c r="P433" s="114">
        <f>IFERROR(IF('FA Addition'!$N433="WDV",1-('FA Addition'!$M433/'FA Addition'!$L433)^(1/'FA Addition'!$O433),1/'FA Addition'!$O433),0)</f>
        <v>0.63158598791311427</v>
      </c>
      <c r="Q433" s="122">
        <f>'FA Addition'!$P433*'FA Addition'!$O433</f>
        <v>1.8947579637393428</v>
      </c>
      <c r="R433" s="122"/>
      <c r="S433" s="116">
        <f>IF(AND(DATE(20&amp;LEFT(FAAddition[[#This Row],[FY]],2),4,1)&lt;$L$1+1,DATE(20&amp;LEFT(FAAddition[[#This Row],[FY]],2),4,1)&gt;$P$1-1),'FA Addition'!$J433,0)</f>
        <v>0</v>
      </c>
      <c r="U433" s="117">
        <f>S433*'FA Addition'!$L433/'FA Addition'!$J433</f>
        <v>0</v>
      </c>
      <c r="W433" s="116">
        <f>SUMIFS('FA Write off'!D:D,'FA Write off'!A:A,'FA Addition'!$A433,'FA Write off'!C:C,"&lt;"&amp;'FA Addition'!$P$1)</f>
        <v>0</v>
      </c>
      <c r="Y433" s="191">
        <f>IFERROR(W433/'FA Addition'!$J433*'FA Addition'!$L433,0)</f>
        <v>0</v>
      </c>
      <c r="AA433" s="116">
        <f>SUMIFS('FA Write off'!D:D,'FA Write off'!A:A,'FA Addition'!$A433,'FA Write off'!C:C,"&lt;"&amp;'FA Addition'!$L$1+1,'FA Write off'!C:C,"&gt;"&amp;'FA Addition'!$L$1-365)</f>
        <v>0</v>
      </c>
      <c r="AC433" s="118">
        <f>IFERROR(AA433/'FA Addition'!$J433*'FA Addition'!$L433,0)</f>
        <v>0</v>
      </c>
      <c r="AE433" s="117">
        <f>IF(AND('FA Addition'!$D433&lt;$P$1+1,U433=0),'FA Addition'!$L433,0)-Y433</f>
        <v>113050</v>
      </c>
      <c r="AF433" s="117">
        <f t="shared" si="30"/>
        <v>113050</v>
      </c>
      <c r="AG433" s="117">
        <f>MIN(MAX(+$P$1-'FA Addition'!$D433,0),365*'FA Addition'!$O433)</f>
        <v>1095</v>
      </c>
      <c r="AH433" s="117">
        <f>MIN(MAX($L$1-'FA Addition'!$D433+1,0),365*'FA Addition'!$O433)</f>
        <v>1095</v>
      </c>
      <c r="AI433" s="117" cm="1">
        <f t="array" ref="AI433">_xlfn.XLOOKUP(1,('FA Write off'!A:A='FA Addition'!$A433)*('FA Write off'!D:D=AA433),'FA Write off'!H:H,0,0)</f>
        <v>0</v>
      </c>
      <c r="AJ433" s="117">
        <f>IF(AC433&gt;0,MAX(IF('FA Addition'!$N433="SLM",($AC433-'FA Addition'!$M433)*'FA Addition'!$P433*AI433/365,(AC433-'FA Addition'!$M433)*(1-(1-'FA Addition'!$P433)^(AI433/365))),0),0)</f>
        <v>0</v>
      </c>
      <c r="AL433" s="117">
        <f>MAX(IF(AG433&gt;0,IF('FA Addition'!$N433="SLM",($AE433-'FA Addition'!$M433)*'FA Addition'!$P433*AG433/365,IFERROR(VDB(AE433,AE433*0.05,'FA Addition'!$O433,0,YEARFRAC('FA Addition'!$C433,$P$1-1,3),'FA Addition'!$Q433),FAAddition[[#This Row],[Original Cost (Rs)]]-FAAddition[[#This Row],[Salvage Value]])),0),0)</f>
        <v>107397</v>
      </c>
      <c r="AM433" s="119"/>
      <c r="AN433" s="117">
        <f>MAX(IF(AH433&gt;0,IF('FA Addition'!$N433="SLM",($AF433-'FA Addition'!$M433)*'FA Addition'!$P433*AH433/365,IFERROR(VDB(AF433,AF433*0.05,'FA Addition'!$O433,0,YEARFRAC('FA Addition'!$C433,$L$1,3),'FA Addition'!$Q433),FAAddition[[#This Row],[Original Cost (Rs)]]-FAAddition[[#This Row],[Salvage Value]])),0),0)</f>
        <v>107397</v>
      </c>
      <c r="AO433" s="117">
        <f t="shared" si="33"/>
        <v>0</v>
      </c>
      <c r="AQ433" s="117">
        <f t="shared" si="31"/>
        <v>5653</v>
      </c>
      <c r="AR433" s="120">
        <f t="shared" si="32"/>
        <v>5653</v>
      </c>
      <c r="AS433" s="121"/>
    </row>
    <row r="434" spans="1:45" ht="13.5" x14ac:dyDescent="0.4">
      <c r="A434" s="12">
        <f t="shared" si="34"/>
        <v>431</v>
      </c>
      <c r="B434" s="64" t="s">
        <v>1018</v>
      </c>
      <c r="C434" s="54">
        <v>43818</v>
      </c>
      <c r="D434" s="54">
        <v>43818</v>
      </c>
      <c r="E434" s="46" t="s">
        <v>451</v>
      </c>
      <c r="F434" s="51" t="s">
        <v>808</v>
      </c>
      <c r="G434" s="51" t="s">
        <v>1062</v>
      </c>
      <c r="H434" s="51" t="s">
        <v>21</v>
      </c>
      <c r="I434" s="55" t="s">
        <v>1063</v>
      </c>
      <c r="J434" s="56">
        <v>1</v>
      </c>
      <c r="K434" s="51" t="s">
        <v>1064</v>
      </c>
      <c r="L434" s="58">
        <v>12569.49</v>
      </c>
      <c r="M434" s="50">
        <f>ROUND('FA Addition'!$L434*5%,0.1)</f>
        <v>628</v>
      </c>
      <c r="N434" s="113" t="str">
        <f>_xlfn.XLOOKUP(_xlfn.CONCAT(E434,B434),'Year Wise Master Dep Approach'!F:F,'Year Wise Master Dep Approach'!D:D)</f>
        <v>WDV</v>
      </c>
      <c r="O434" s="113">
        <f>_xlfn.XLOOKUP(_xlfn.CONCAT(E434,B434),'Year Wise Master Dep Approach'!F:F,'Year Wise Master Dep Approach'!E:E)</f>
        <v>3</v>
      </c>
      <c r="P434" s="114">
        <f>IFERROR(IF('FA Addition'!$N434="WDV",1-('FA Addition'!$M434/'FA Addition'!$L434)^(1/'FA Addition'!$O434),1/'FA Addition'!$O434),0)</f>
        <v>0.63168958861429481</v>
      </c>
      <c r="Q434" s="122">
        <f>'FA Addition'!$P434*'FA Addition'!$O434</f>
        <v>1.8950687658428844</v>
      </c>
      <c r="R434" s="122"/>
      <c r="S434" s="116">
        <f>IF(AND(DATE(20&amp;LEFT(FAAddition[[#This Row],[FY]],2),4,1)&lt;$L$1+1,DATE(20&amp;LEFT(FAAddition[[#This Row],[FY]],2),4,1)&gt;$P$1-1),'FA Addition'!$J434,0)</f>
        <v>0</v>
      </c>
      <c r="U434" s="117">
        <f>S434*'FA Addition'!$L434/'FA Addition'!$J434</f>
        <v>0</v>
      </c>
      <c r="W434" s="116">
        <f>SUMIFS('FA Write off'!D:D,'FA Write off'!A:A,'FA Addition'!$A434,'FA Write off'!C:C,"&lt;"&amp;'FA Addition'!$P$1)</f>
        <v>0</v>
      </c>
      <c r="Y434" s="191">
        <f>IFERROR(W434/'FA Addition'!$J434*'FA Addition'!$L434,0)</f>
        <v>0</v>
      </c>
      <c r="AA434" s="116">
        <f>SUMIFS('FA Write off'!D:D,'FA Write off'!A:A,'FA Addition'!$A434,'FA Write off'!C:C,"&lt;"&amp;'FA Addition'!$L$1+1,'FA Write off'!C:C,"&gt;"&amp;'FA Addition'!$L$1-365)</f>
        <v>0</v>
      </c>
      <c r="AC434" s="118">
        <f>IFERROR(AA434/'FA Addition'!$J434*'FA Addition'!$L434,0)</f>
        <v>0</v>
      </c>
      <c r="AE434" s="117">
        <f>IF(AND('FA Addition'!$D434&lt;$P$1+1,U434=0),'FA Addition'!$L434,0)-Y434</f>
        <v>12569.49</v>
      </c>
      <c r="AF434" s="117">
        <f t="shared" si="30"/>
        <v>12569.49</v>
      </c>
      <c r="AG434" s="117">
        <f>MIN(MAX(+$P$1-'FA Addition'!$D434,0),365*'FA Addition'!$O434)</f>
        <v>1095</v>
      </c>
      <c r="AH434" s="117">
        <f>MIN(MAX($L$1-'FA Addition'!$D434+1,0),365*'FA Addition'!$O434)</f>
        <v>1095</v>
      </c>
      <c r="AI434" s="117" cm="1">
        <f t="array" ref="AI434">_xlfn.XLOOKUP(1,('FA Write off'!A:A='FA Addition'!$A434)*('FA Write off'!D:D=AA434),'FA Write off'!H:H,0,0)</f>
        <v>0</v>
      </c>
      <c r="AJ434" s="117">
        <f>IF(AC434&gt;0,MAX(IF('FA Addition'!$N434="SLM",($AC434-'FA Addition'!$M434)*'FA Addition'!$P434*AI434/365,(AC434-'FA Addition'!$M434)*(1-(1-'FA Addition'!$P434)^(AI434/365))),0),0)</f>
        <v>0</v>
      </c>
      <c r="AL434" s="117">
        <f>MAX(IF(AG434&gt;0,IF('FA Addition'!$N434="SLM",($AE434-'FA Addition'!$M434)*'FA Addition'!$P434*AG434/365,IFERROR(VDB(AE434,AE434*0.05,'FA Addition'!$O434,0,YEARFRAC('FA Addition'!$C434,$P$1-1,3),'FA Addition'!$Q434),FAAddition[[#This Row],[Original Cost (Rs)]]-FAAddition[[#This Row],[Salvage Value]])),0),0)</f>
        <v>11941.49</v>
      </c>
      <c r="AM434" s="119"/>
      <c r="AN434" s="117">
        <f>MAX(IF(AH434&gt;0,IF('FA Addition'!$N434="SLM",($AF434-'FA Addition'!$M434)*'FA Addition'!$P434*AH434/365,IFERROR(VDB(AF434,AF434*0.05,'FA Addition'!$O434,0,YEARFRAC('FA Addition'!$C434,$L$1,3),'FA Addition'!$Q434),FAAddition[[#This Row],[Original Cost (Rs)]]-FAAddition[[#This Row],[Salvage Value]])),0),0)</f>
        <v>11941.49</v>
      </c>
      <c r="AO434" s="117">
        <f t="shared" si="33"/>
        <v>0</v>
      </c>
      <c r="AQ434" s="117">
        <f t="shared" si="31"/>
        <v>628</v>
      </c>
      <c r="AR434" s="120">
        <f t="shared" si="32"/>
        <v>628</v>
      </c>
      <c r="AS434" s="121"/>
    </row>
    <row r="435" spans="1:45" ht="13.5" x14ac:dyDescent="0.4">
      <c r="A435" s="12">
        <f t="shared" si="34"/>
        <v>432</v>
      </c>
      <c r="B435" s="64" t="s">
        <v>1018</v>
      </c>
      <c r="C435" s="54">
        <v>43841</v>
      </c>
      <c r="D435" s="54">
        <v>43841</v>
      </c>
      <c r="E435" s="46" t="s">
        <v>451</v>
      </c>
      <c r="F435" s="51" t="s">
        <v>21</v>
      </c>
      <c r="G435" s="51" t="s">
        <v>620</v>
      </c>
      <c r="H435" s="51" t="s">
        <v>21</v>
      </c>
      <c r="I435" s="55">
        <v>13642</v>
      </c>
      <c r="J435" s="56">
        <v>1</v>
      </c>
      <c r="K435" s="51"/>
      <c r="L435" s="58">
        <v>61440.68</v>
      </c>
      <c r="M435" s="50">
        <f>ROUND('FA Addition'!$L435*5%,0.1)</f>
        <v>3072</v>
      </c>
      <c r="N435" s="113" t="str">
        <f>_xlfn.XLOOKUP(_xlfn.CONCAT(E435,B435),'Year Wise Master Dep Approach'!F:F,'Year Wise Master Dep Approach'!D:D)</f>
        <v>WDV</v>
      </c>
      <c r="O435" s="113">
        <f>_xlfn.XLOOKUP(_xlfn.CONCAT(E435,B435),'Year Wise Master Dep Approach'!F:F,'Year Wise Master Dep Approach'!E:E)</f>
        <v>3</v>
      </c>
      <c r="P435" s="114">
        <f>IFERROR(IF('FA Addition'!$N435="WDV",1-('FA Addition'!$M435/'FA Addition'!$L435)^(1/'FA Addition'!$O435),1/'FA Addition'!$O435),0)</f>
        <v>0.63159820925213706</v>
      </c>
      <c r="Q435" s="122">
        <f>'FA Addition'!$P435*'FA Addition'!$O435</f>
        <v>1.8947946277564112</v>
      </c>
      <c r="R435" s="122"/>
      <c r="S435" s="116">
        <f>IF(AND(DATE(20&amp;LEFT(FAAddition[[#This Row],[FY]],2),4,1)&lt;$L$1+1,DATE(20&amp;LEFT(FAAddition[[#This Row],[FY]],2),4,1)&gt;$P$1-1),'FA Addition'!$J435,0)</f>
        <v>0</v>
      </c>
      <c r="U435" s="117">
        <f>S435*'FA Addition'!$L435/'FA Addition'!$J435</f>
        <v>0</v>
      </c>
      <c r="W435" s="116">
        <f>SUMIFS('FA Write off'!D:D,'FA Write off'!A:A,'FA Addition'!$A435,'FA Write off'!C:C,"&lt;"&amp;'FA Addition'!$P$1)</f>
        <v>0</v>
      </c>
      <c r="Y435" s="191">
        <f>IFERROR(W435/'FA Addition'!$J435*'FA Addition'!$L435,0)</f>
        <v>0</v>
      </c>
      <c r="AA435" s="116">
        <f>SUMIFS('FA Write off'!D:D,'FA Write off'!A:A,'FA Addition'!$A435,'FA Write off'!C:C,"&lt;"&amp;'FA Addition'!$L$1+1,'FA Write off'!C:C,"&gt;"&amp;'FA Addition'!$L$1-365)</f>
        <v>0</v>
      </c>
      <c r="AC435" s="118">
        <f>IFERROR(AA435/'FA Addition'!$J435*'FA Addition'!$L435,0)</f>
        <v>0</v>
      </c>
      <c r="AE435" s="117">
        <f>IF(AND('FA Addition'!$D435&lt;$P$1+1,U435=0),'FA Addition'!$L435,0)-Y435</f>
        <v>61440.68</v>
      </c>
      <c r="AF435" s="117">
        <f t="shared" si="30"/>
        <v>61440.68</v>
      </c>
      <c r="AG435" s="117">
        <f>MIN(MAX(+$P$1-'FA Addition'!$D435,0),365*'FA Addition'!$O435)</f>
        <v>1095</v>
      </c>
      <c r="AH435" s="117">
        <f>MIN(MAX($L$1-'FA Addition'!$D435+1,0),365*'FA Addition'!$O435)</f>
        <v>1095</v>
      </c>
      <c r="AI435" s="117" cm="1">
        <f t="array" ref="AI435">_xlfn.XLOOKUP(1,('FA Write off'!A:A='FA Addition'!$A435)*('FA Write off'!D:D=AA435),'FA Write off'!H:H,0,0)</f>
        <v>0</v>
      </c>
      <c r="AJ435" s="117">
        <f>IF(AC435&gt;0,MAX(IF('FA Addition'!$N435="SLM",($AC435-'FA Addition'!$M435)*'FA Addition'!$P435*AI435/365,(AC435-'FA Addition'!$M435)*(1-(1-'FA Addition'!$P435)^(AI435/365))),0),0)</f>
        <v>0</v>
      </c>
      <c r="AL435" s="117">
        <f>MAX(IF(AG435&gt;0,IF('FA Addition'!$N435="SLM",($AE435-'FA Addition'!$M435)*'FA Addition'!$P435*AG435/365,IFERROR(VDB(AE435,AE435*0.05,'FA Addition'!$O435,0,YEARFRAC('FA Addition'!$C435,$P$1-1,3),'FA Addition'!$Q435),FAAddition[[#This Row],[Original Cost (Rs)]]-FAAddition[[#This Row],[Salvage Value]])),0),0)</f>
        <v>58368.68</v>
      </c>
      <c r="AM435" s="119"/>
      <c r="AN435" s="117">
        <f>MAX(IF(AH435&gt;0,IF('FA Addition'!$N435="SLM",($AF435-'FA Addition'!$M435)*'FA Addition'!$P435*AH435/365,IFERROR(VDB(AF435,AF435*0.05,'FA Addition'!$O435,0,YEARFRAC('FA Addition'!$C435,$L$1,3),'FA Addition'!$Q435),FAAddition[[#This Row],[Original Cost (Rs)]]-FAAddition[[#This Row],[Salvage Value]])),0),0)</f>
        <v>58368.68</v>
      </c>
      <c r="AO435" s="117">
        <f t="shared" si="33"/>
        <v>0</v>
      </c>
      <c r="AQ435" s="117">
        <f t="shared" si="31"/>
        <v>3072</v>
      </c>
      <c r="AR435" s="120">
        <f t="shared" si="32"/>
        <v>3072</v>
      </c>
      <c r="AS435" s="121"/>
    </row>
    <row r="436" spans="1:45" ht="13.5" x14ac:dyDescent="0.4">
      <c r="A436" s="12">
        <f t="shared" si="34"/>
        <v>433</v>
      </c>
      <c r="B436" s="64" t="s">
        <v>1018</v>
      </c>
      <c r="C436" s="54">
        <v>43862</v>
      </c>
      <c r="D436" s="54">
        <v>43862</v>
      </c>
      <c r="E436" s="46" t="s">
        <v>207</v>
      </c>
      <c r="F436" s="51" t="s">
        <v>147</v>
      </c>
      <c r="G436" s="51" t="s">
        <v>1065</v>
      </c>
      <c r="H436" s="51" t="s">
        <v>207</v>
      </c>
      <c r="I436" s="55" t="s">
        <v>1066</v>
      </c>
      <c r="J436" s="56">
        <v>1</v>
      </c>
      <c r="K436" s="51" t="s">
        <v>1067</v>
      </c>
      <c r="L436" s="58">
        <v>14640.18</v>
      </c>
      <c r="M436" s="50">
        <f>ROUND('FA Addition'!$L436*5%,0.1)</f>
        <v>732</v>
      </c>
      <c r="N436" s="113" t="str">
        <f>_xlfn.XLOOKUP(_xlfn.CONCAT(E436,B436),'Year Wise Master Dep Approach'!F:F,'Year Wise Master Dep Approach'!D:D)</f>
        <v>WDV</v>
      </c>
      <c r="O436" s="113">
        <f>_xlfn.XLOOKUP(_xlfn.CONCAT(E436,B436),'Year Wise Master Dep Approach'!F:F,'Year Wise Master Dep Approach'!E:E)</f>
        <v>5</v>
      </c>
      <c r="P436" s="114">
        <f>IFERROR(IF('FA Addition'!$N436="WDV",1-('FA Addition'!$M436/'FA Addition'!$L436)^(1/'FA Addition'!$O436),1/'FA Addition'!$O436),0)</f>
        <v>0.45072107902616976</v>
      </c>
      <c r="Q436" s="122">
        <f>'FA Addition'!$P436*'FA Addition'!$O436</f>
        <v>2.2536053951308488</v>
      </c>
      <c r="R436" s="122"/>
      <c r="S436" s="116">
        <f>IF(AND(DATE(20&amp;LEFT(FAAddition[[#This Row],[FY]],2),4,1)&lt;$L$1+1,DATE(20&amp;LEFT(FAAddition[[#This Row],[FY]],2),4,1)&gt;$P$1-1),'FA Addition'!$J436,0)</f>
        <v>0</v>
      </c>
      <c r="U436" s="117">
        <f>S436*'FA Addition'!$L436/'FA Addition'!$J436</f>
        <v>0</v>
      </c>
      <c r="W436" s="116">
        <f>SUMIFS('FA Write off'!D:D,'FA Write off'!A:A,'FA Addition'!$A436,'FA Write off'!C:C,"&lt;"&amp;'FA Addition'!$P$1)</f>
        <v>0</v>
      </c>
      <c r="Y436" s="191">
        <f>IFERROR(W436/'FA Addition'!$J436*'FA Addition'!$L436,0)</f>
        <v>0</v>
      </c>
      <c r="AA436" s="116">
        <f>SUMIFS('FA Write off'!D:D,'FA Write off'!A:A,'FA Addition'!$A436,'FA Write off'!C:C,"&lt;"&amp;'FA Addition'!$L$1+1,'FA Write off'!C:C,"&gt;"&amp;'FA Addition'!$L$1-365)</f>
        <v>0</v>
      </c>
      <c r="AC436" s="118">
        <f>IFERROR(AA436/'FA Addition'!$J436*'FA Addition'!$L436,0)</f>
        <v>0</v>
      </c>
      <c r="AE436" s="117">
        <f>IF(AND('FA Addition'!$D436&lt;$P$1+1,U436=0),'FA Addition'!$L436,0)-Y436</f>
        <v>14640.18</v>
      </c>
      <c r="AF436" s="117">
        <f t="shared" si="30"/>
        <v>14640.18</v>
      </c>
      <c r="AG436" s="117">
        <f>MIN(MAX(+$P$1-'FA Addition'!$D436,0),365*'FA Addition'!$O436)</f>
        <v>1155</v>
      </c>
      <c r="AH436" s="117">
        <f>MIN(MAX($L$1-'FA Addition'!$D436+1,0),365*'FA Addition'!$O436)</f>
        <v>1521</v>
      </c>
      <c r="AI436" s="117" cm="1">
        <f t="array" ref="AI436">_xlfn.XLOOKUP(1,('FA Write off'!A:A='FA Addition'!$A436)*('FA Write off'!D:D=AA436),'FA Write off'!H:H,0,0)</f>
        <v>0</v>
      </c>
      <c r="AJ436" s="117">
        <f>IF(AC436&gt;0,MAX(IF('FA Addition'!$N436="SLM",($AC436-'FA Addition'!$M436)*'FA Addition'!$P436*AI436/365,(AC436-'FA Addition'!$M436)*(1-(1-'FA Addition'!$P436)^(AI436/365))),0),0)</f>
        <v>0</v>
      </c>
      <c r="AL436" s="117">
        <f>MAX(IF(AG436&gt;0,IF('FA Addition'!$N436="SLM",($AE436-'FA Addition'!$M436)*'FA Addition'!$P436*AG436/365,IFERROR(VDB(AE436,AE436*0.05,'FA Addition'!$O436,0,YEARFRAC('FA Addition'!$C436,$P$1-1,3),'FA Addition'!$Q436),FAAddition[[#This Row],[Original Cost (Rs)]]-FAAddition[[#This Row],[Salvage Value]])),0),0)</f>
        <v>12390.751080590811</v>
      </c>
      <c r="AM436" s="119"/>
      <c r="AN436" s="117">
        <f>MAX(IF(AH436&gt;0,IF('FA Addition'!$N436="SLM",($AF436-'FA Addition'!$M436)*'FA Addition'!$P436*AH436/365,IFERROR(VDB(AF436,AF436*0.05,'FA Addition'!$O436,0,YEARFRAC('FA Addition'!$C436,$L$1,3),'FA Addition'!$Q436),FAAddition[[#This Row],[Original Cost (Rs)]]-FAAddition[[#This Row],[Salvage Value]])),0),0)</f>
        <v>13406.26026451388</v>
      </c>
      <c r="AO436" s="117">
        <f t="shared" si="33"/>
        <v>1015.5091839230681</v>
      </c>
      <c r="AQ436" s="117">
        <f t="shared" si="31"/>
        <v>2249.4289194091889</v>
      </c>
      <c r="AR436" s="120">
        <f t="shared" si="32"/>
        <v>1233.9197354861208</v>
      </c>
      <c r="AS436" s="121"/>
    </row>
    <row r="437" spans="1:45" ht="13.5" x14ac:dyDescent="0.4">
      <c r="A437" s="12">
        <f t="shared" si="34"/>
        <v>434</v>
      </c>
      <c r="B437" s="64" t="s">
        <v>1018</v>
      </c>
      <c r="C437" s="54">
        <v>43868</v>
      </c>
      <c r="D437" s="54">
        <v>43868</v>
      </c>
      <c r="E437" s="46" t="s">
        <v>451</v>
      </c>
      <c r="F437" s="51" t="s">
        <v>21</v>
      </c>
      <c r="G437" s="51" t="s">
        <v>620</v>
      </c>
      <c r="H437" s="51" t="s">
        <v>21</v>
      </c>
      <c r="I437" s="55">
        <v>14626</v>
      </c>
      <c r="J437" s="56">
        <v>1</v>
      </c>
      <c r="K437" s="51" t="s">
        <v>1068</v>
      </c>
      <c r="L437" s="58">
        <v>61864.41</v>
      </c>
      <c r="M437" s="50">
        <f>ROUND('FA Addition'!$L437*5%,0.1)</f>
        <v>3093</v>
      </c>
      <c r="N437" s="113" t="str">
        <f>_xlfn.XLOOKUP(_xlfn.CONCAT(E437,B437),'Year Wise Master Dep Approach'!F:F,'Year Wise Master Dep Approach'!D:D)</f>
        <v>WDV</v>
      </c>
      <c r="O437" s="113">
        <f>_xlfn.XLOOKUP(_xlfn.CONCAT(E437,B437),'Year Wise Master Dep Approach'!F:F,'Year Wise Master Dep Approach'!E:E)</f>
        <v>3</v>
      </c>
      <c r="P437" s="114">
        <f>IFERROR(IF('FA Addition'!$N437="WDV",1-('FA Addition'!$M437/'FA Addition'!$L437)^(1/'FA Addition'!$O437),1/'FA Addition'!$O437),0)</f>
        <v>0.63160560420795508</v>
      </c>
      <c r="Q437" s="122">
        <f>'FA Addition'!$P437*'FA Addition'!$O437</f>
        <v>1.8948168126238651</v>
      </c>
      <c r="R437" s="122"/>
      <c r="S437" s="116">
        <f>IF(AND(DATE(20&amp;LEFT(FAAddition[[#This Row],[FY]],2),4,1)&lt;$L$1+1,DATE(20&amp;LEFT(FAAddition[[#This Row],[FY]],2),4,1)&gt;$P$1-1),'FA Addition'!$J437,0)</f>
        <v>0</v>
      </c>
      <c r="U437" s="117">
        <f>S437*'FA Addition'!$L437/'FA Addition'!$J437</f>
        <v>0</v>
      </c>
      <c r="W437" s="116">
        <f>SUMIFS('FA Write off'!D:D,'FA Write off'!A:A,'FA Addition'!$A437,'FA Write off'!C:C,"&lt;"&amp;'FA Addition'!$P$1)</f>
        <v>0</v>
      </c>
      <c r="Y437" s="191">
        <f>IFERROR(W437/'FA Addition'!$J437*'FA Addition'!$L437,0)</f>
        <v>0</v>
      </c>
      <c r="AA437" s="116">
        <f>SUMIFS('FA Write off'!D:D,'FA Write off'!A:A,'FA Addition'!$A437,'FA Write off'!C:C,"&lt;"&amp;'FA Addition'!$L$1+1,'FA Write off'!C:C,"&gt;"&amp;'FA Addition'!$L$1-365)</f>
        <v>0</v>
      </c>
      <c r="AC437" s="118">
        <f>IFERROR(AA437/'FA Addition'!$J437*'FA Addition'!$L437,0)</f>
        <v>0</v>
      </c>
      <c r="AE437" s="117">
        <f>IF(AND('FA Addition'!$D437&lt;$P$1+1,U437=0),'FA Addition'!$L437,0)-Y437</f>
        <v>61864.41</v>
      </c>
      <c r="AF437" s="117">
        <f t="shared" si="30"/>
        <v>61864.41</v>
      </c>
      <c r="AG437" s="117">
        <f>MIN(MAX(+$P$1-'FA Addition'!$D437,0),365*'FA Addition'!$O437)</f>
        <v>1095</v>
      </c>
      <c r="AH437" s="117">
        <f>MIN(MAX($L$1-'FA Addition'!$D437+1,0),365*'FA Addition'!$O437)</f>
        <v>1095</v>
      </c>
      <c r="AI437" s="117" cm="1">
        <f t="array" ref="AI437">_xlfn.XLOOKUP(1,('FA Write off'!A:A='FA Addition'!$A437)*('FA Write off'!D:D=AA437),'FA Write off'!H:H,0,0)</f>
        <v>0</v>
      </c>
      <c r="AJ437" s="117">
        <f>IF(AC437&gt;0,MAX(IF('FA Addition'!$N437="SLM",($AC437-'FA Addition'!$M437)*'FA Addition'!$P437*AI437/365,(AC437-'FA Addition'!$M437)*(1-(1-'FA Addition'!$P437)^(AI437/365))),0),0)</f>
        <v>0</v>
      </c>
      <c r="AL437" s="117">
        <f>MAX(IF(AG437&gt;0,IF('FA Addition'!$N437="SLM",($AE437-'FA Addition'!$M437)*'FA Addition'!$P437*AG437/365,IFERROR(VDB(AE437,AE437*0.05,'FA Addition'!$O437,0,YEARFRAC('FA Addition'!$C437,$P$1-1,3),'FA Addition'!$Q437),FAAddition[[#This Row],[Original Cost (Rs)]]-FAAddition[[#This Row],[Salvage Value]])),0),0)</f>
        <v>58771.41</v>
      </c>
      <c r="AM437" s="119"/>
      <c r="AN437" s="117">
        <f>MAX(IF(AH437&gt;0,IF('FA Addition'!$N437="SLM",($AF437-'FA Addition'!$M437)*'FA Addition'!$P437*AH437/365,IFERROR(VDB(AF437,AF437*0.05,'FA Addition'!$O437,0,YEARFRAC('FA Addition'!$C437,$L$1,3),'FA Addition'!$Q437),FAAddition[[#This Row],[Original Cost (Rs)]]-FAAddition[[#This Row],[Salvage Value]])),0),0)</f>
        <v>58771.41</v>
      </c>
      <c r="AO437" s="117">
        <f t="shared" si="33"/>
        <v>0</v>
      </c>
      <c r="AQ437" s="117">
        <f t="shared" si="31"/>
        <v>3093</v>
      </c>
      <c r="AR437" s="120">
        <f t="shared" si="32"/>
        <v>3093</v>
      </c>
      <c r="AS437" s="121"/>
    </row>
    <row r="438" spans="1:45" ht="13.5" x14ac:dyDescent="0.4">
      <c r="A438" s="12">
        <f t="shared" si="34"/>
        <v>435</v>
      </c>
      <c r="B438" s="64" t="s">
        <v>1069</v>
      </c>
      <c r="C438" s="54">
        <v>44165</v>
      </c>
      <c r="D438" s="54">
        <v>44165</v>
      </c>
      <c r="E438" s="46" t="s">
        <v>207</v>
      </c>
      <c r="F438" s="51" t="s">
        <v>147</v>
      </c>
      <c r="G438" s="51"/>
      <c r="H438" s="51" t="s">
        <v>207</v>
      </c>
      <c r="I438" s="55"/>
      <c r="J438" s="56">
        <v>1</v>
      </c>
      <c r="K438" s="51"/>
      <c r="L438" s="58">
        <v>7642</v>
      </c>
      <c r="M438" s="50">
        <f>ROUND('FA Addition'!$L438*5%,0.1)</f>
        <v>382</v>
      </c>
      <c r="N438" s="113" t="str">
        <f>_xlfn.XLOOKUP(_xlfn.CONCAT(E438,B438),'Year Wise Master Dep Approach'!F:F,'Year Wise Master Dep Approach'!D:D)</f>
        <v>WDV</v>
      </c>
      <c r="O438" s="113">
        <f>_xlfn.XLOOKUP(_xlfn.CONCAT(E438,B438),'Year Wise Master Dep Approach'!F:F,'Year Wise Master Dep Approach'!E:E)</f>
        <v>5</v>
      </c>
      <c r="P438" s="114">
        <f>IFERROR(IF('FA Addition'!$N438="WDV",1-('FA Addition'!$M438/'FA Addition'!$L438)^(1/'FA Addition'!$O438),1/'FA Addition'!$O438),0)</f>
        <v>0.45074848196023032</v>
      </c>
      <c r="Q438" s="122">
        <f>'FA Addition'!$P438*'FA Addition'!$O438</f>
        <v>2.2537424098011516</v>
      </c>
      <c r="R438" s="122"/>
      <c r="S438" s="116">
        <f>IF(AND(DATE(20&amp;LEFT(FAAddition[[#This Row],[FY]],2),4,1)&lt;$L$1+1,DATE(20&amp;LEFT(FAAddition[[#This Row],[FY]],2),4,1)&gt;$P$1-1),'FA Addition'!$J438,0)</f>
        <v>0</v>
      </c>
      <c r="U438" s="117">
        <f>S438*'FA Addition'!$L438/'FA Addition'!$J438</f>
        <v>0</v>
      </c>
      <c r="W438" s="116">
        <f>SUMIFS('FA Write off'!D:D,'FA Write off'!A:A,'FA Addition'!$A438,'FA Write off'!C:C,"&lt;"&amp;'FA Addition'!$P$1)</f>
        <v>0</v>
      </c>
      <c r="Y438" s="191">
        <f>IFERROR(W438/'FA Addition'!$J438*'FA Addition'!$L438,0)</f>
        <v>0</v>
      </c>
      <c r="AA438" s="116">
        <f>SUMIFS('FA Write off'!D:D,'FA Write off'!A:A,'FA Addition'!$A438,'FA Write off'!C:C,"&lt;"&amp;'FA Addition'!$L$1+1,'FA Write off'!C:C,"&gt;"&amp;'FA Addition'!$L$1-365)</f>
        <v>0</v>
      </c>
      <c r="AC438" s="118">
        <f>IFERROR(AA438/'FA Addition'!$J438*'FA Addition'!$L438,0)</f>
        <v>0</v>
      </c>
      <c r="AE438" s="117">
        <f>IF(AND('FA Addition'!$D438&lt;$P$1+1,U438=0),'FA Addition'!$L438,0)-Y438</f>
        <v>7642</v>
      </c>
      <c r="AF438" s="117">
        <f t="shared" si="30"/>
        <v>7642</v>
      </c>
      <c r="AG438" s="117">
        <f>MIN(MAX(+$P$1-'FA Addition'!$D438,0),365*'FA Addition'!$O438)</f>
        <v>852</v>
      </c>
      <c r="AH438" s="117">
        <f>MIN(MAX($L$1-'FA Addition'!$D438+1,0),365*'FA Addition'!$O438)</f>
        <v>1218</v>
      </c>
      <c r="AI438" s="117" cm="1">
        <f t="array" ref="AI438">_xlfn.XLOOKUP(1,('FA Write off'!A:A='FA Addition'!$A438)*('FA Write off'!D:D=AA438),'FA Write off'!H:H,0,0)</f>
        <v>0</v>
      </c>
      <c r="AJ438" s="117">
        <f>IF(AC438&gt;0,MAX(IF('FA Addition'!$N438="SLM",($AC438-'FA Addition'!$M438)*'FA Addition'!$P438*AI438/365,(AC438-'FA Addition'!$M438)*(1-(1-'FA Addition'!$P438)^(AI438/365))),0),0)</f>
        <v>0</v>
      </c>
      <c r="AL438" s="117">
        <f>MAX(IF(AG438&gt;0,IF('FA Addition'!$N438="SLM",($AE438-'FA Addition'!$M438)*'FA Addition'!$P438*AG438/365,IFERROR(VDB(AE438,AE438*0.05,'FA Addition'!$O438,0,YEARFRAC('FA Addition'!$C438,$P$1-1,3),'FA Addition'!$Q438),FAAddition[[#This Row],[Original Cost (Rs)]]-FAAddition[[#This Row],[Salvage Value]])),0),0)</f>
        <v>5681.0723890932777</v>
      </c>
      <c r="AM438" s="119"/>
      <c r="AN438" s="117">
        <f>MAX(IF(AH438&gt;0,IF('FA Addition'!$N438="SLM",($AF438-'FA Addition'!$M438)*'FA Addition'!$P438*AH438/365,IFERROR(VDB(AF438,AF438*0.05,'FA Addition'!$O438,0,YEARFRAC('FA Addition'!$C438,$L$1,3),'FA Addition'!$Q438),FAAddition[[#This Row],[Original Cost (Rs)]]-FAAddition[[#This Row],[Salvage Value]])),0),0)</f>
        <v>6566.5212646402233</v>
      </c>
      <c r="AO438" s="117">
        <f t="shared" si="33"/>
        <v>885.4488755469456</v>
      </c>
      <c r="AQ438" s="117">
        <f t="shared" si="31"/>
        <v>1960.9276109067223</v>
      </c>
      <c r="AR438" s="120">
        <f t="shared" si="32"/>
        <v>1075.4787353597767</v>
      </c>
      <c r="AS438" s="121"/>
    </row>
    <row r="439" spans="1:45" ht="13.5" x14ac:dyDescent="0.4">
      <c r="A439" s="12">
        <f t="shared" si="34"/>
        <v>436</v>
      </c>
      <c r="B439" s="64" t="s">
        <v>1070</v>
      </c>
      <c r="C439" s="54">
        <v>44345</v>
      </c>
      <c r="D439" s="54">
        <v>44345</v>
      </c>
      <c r="E439" s="46" t="s">
        <v>749</v>
      </c>
      <c r="F439" s="51" t="s">
        <v>1071</v>
      </c>
      <c r="G439" s="51" t="s">
        <v>1072</v>
      </c>
      <c r="H439" s="51" t="s">
        <v>1071</v>
      </c>
      <c r="I439" s="55">
        <v>141</v>
      </c>
      <c r="J439" s="56">
        <v>1</v>
      </c>
      <c r="K439" s="51" t="s">
        <v>1073</v>
      </c>
      <c r="L439" s="58">
        <v>55000</v>
      </c>
      <c r="M439" s="50">
        <f>ROUND('FA Addition'!$L439*5%,0.1)</f>
        <v>2750</v>
      </c>
      <c r="N439" s="113" t="str">
        <f>_xlfn.XLOOKUP(_xlfn.CONCAT(E439,B439),'Year Wise Master Dep Approach'!F:F,'Year Wise Master Dep Approach'!D:D)</f>
        <v>WDV</v>
      </c>
      <c r="O439" s="113">
        <f>_xlfn.XLOOKUP(_xlfn.CONCAT(E439,B439),'Year Wise Master Dep Approach'!F:F,'Year Wise Master Dep Approach'!E:E)</f>
        <v>5</v>
      </c>
      <c r="P439" s="114">
        <f>IFERROR(IF('FA Addition'!$N439="WDV",1-('FA Addition'!$M439/'FA Addition'!$L439)^(1/'FA Addition'!$O439),1/'FA Addition'!$O439),0)</f>
        <v>0.45071972834694107</v>
      </c>
      <c r="Q439" s="122">
        <f>'FA Addition'!$P439*'FA Addition'!$O439</f>
        <v>2.2535986417347056</v>
      </c>
      <c r="R439" s="122"/>
      <c r="S439" s="116">
        <f>IF(AND(DATE(20&amp;LEFT(FAAddition[[#This Row],[FY]],2),4,1)&lt;$L$1+1,DATE(20&amp;LEFT(FAAddition[[#This Row],[FY]],2),4,1)&gt;$P$1-1),'FA Addition'!$J439,0)</f>
        <v>0</v>
      </c>
      <c r="U439" s="117">
        <f>S439*'FA Addition'!$L439/'FA Addition'!$J439</f>
        <v>0</v>
      </c>
      <c r="W439" s="116">
        <f>SUMIFS('FA Write off'!D:D,'FA Write off'!A:A,'FA Addition'!$A439,'FA Write off'!C:C,"&lt;"&amp;'FA Addition'!$P$1)</f>
        <v>0</v>
      </c>
      <c r="Y439" s="191">
        <f>IFERROR(W439/'FA Addition'!$J439*'FA Addition'!$L439,0)</f>
        <v>0</v>
      </c>
      <c r="AA439" s="116">
        <f>SUMIFS('FA Write off'!D:D,'FA Write off'!A:A,'FA Addition'!$A439,'FA Write off'!C:C,"&lt;"&amp;'FA Addition'!$L$1+1,'FA Write off'!C:C,"&gt;"&amp;'FA Addition'!$L$1-365)</f>
        <v>0</v>
      </c>
      <c r="AC439" s="118">
        <f>IFERROR(AA439/'FA Addition'!$J439*'FA Addition'!$L439,0)</f>
        <v>0</v>
      </c>
      <c r="AE439" s="117">
        <f>IF(AND('FA Addition'!$D439&lt;$P$1+1,U439=0),'FA Addition'!$L439,0)-Y439</f>
        <v>55000</v>
      </c>
      <c r="AF439" s="117">
        <f t="shared" si="30"/>
        <v>55000</v>
      </c>
      <c r="AG439" s="117">
        <f>MIN(MAX(+$P$1-'FA Addition'!$D439,0),365*'FA Addition'!$O439)</f>
        <v>672</v>
      </c>
      <c r="AH439" s="117">
        <f>MIN(MAX($L$1-'FA Addition'!$D439+1,0),365*'FA Addition'!$O439)</f>
        <v>1038</v>
      </c>
      <c r="AI439" s="117" cm="1">
        <f t="array" ref="AI439">_xlfn.XLOOKUP(1,('FA Write off'!A:A='FA Addition'!$A439)*('FA Write off'!D:D=AA439),'FA Write off'!H:H,0,0)</f>
        <v>0</v>
      </c>
      <c r="AJ439" s="117">
        <f>IF(AC439&gt;0,MAX(IF('FA Addition'!$N439="SLM",($AC439-'FA Addition'!$M439)*'FA Addition'!$P439*AI439/365,(AC439-'FA Addition'!$M439)*(1-(1-'FA Addition'!$P439)^(AI439/365))),0),0)</f>
        <v>0</v>
      </c>
      <c r="AL439" s="117">
        <f>MAX(IF(AG439&gt;0,IF('FA Addition'!$N439="SLM",($AE439-'FA Addition'!$M439)*'FA Addition'!$P439*AG439/365,IFERROR(VDB(AE439,AE439*0.05,'FA Addition'!$O439,0,YEARFRAC('FA Addition'!$C439,$P$1-1,3),'FA Addition'!$Q439),FAAddition[[#This Row],[Original Cost (Rs)]]-FAAddition[[#This Row],[Salvage Value]])),0),0)</f>
        <v>36205.003099405672</v>
      </c>
      <c r="AM439" s="119"/>
      <c r="AN439" s="117">
        <f>MAX(IF(AH439&gt;0,IF('FA Addition'!$N439="SLM",($AF439-'FA Addition'!$M439)*'FA Addition'!$P439*AH439/365,IFERROR(VDB(AF439,AF439*0.05,'FA Addition'!$O439,0,YEARFRAC('FA Addition'!$C439,$L$1,3),'FA Addition'!$Q439),FAAddition[[#This Row],[Original Cost (Rs)]]-FAAddition[[#This Row],[Salvage Value]])),0),0)</f>
        <v>44696.770055292502</v>
      </c>
      <c r="AO439" s="117">
        <f t="shared" si="33"/>
        <v>8491.7669558868292</v>
      </c>
      <c r="AQ439" s="117">
        <f t="shared" si="31"/>
        <v>18794.996900594328</v>
      </c>
      <c r="AR439" s="120">
        <f t="shared" si="32"/>
        <v>10303.229944707498</v>
      </c>
      <c r="AS439" s="121"/>
    </row>
    <row r="440" spans="1:45" ht="13.5" x14ac:dyDescent="0.4">
      <c r="A440" s="12">
        <f t="shared" si="34"/>
        <v>437</v>
      </c>
      <c r="B440" s="64" t="s">
        <v>1070</v>
      </c>
      <c r="C440" s="54">
        <v>44554</v>
      </c>
      <c r="D440" s="54">
        <v>44554</v>
      </c>
      <c r="E440" s="46" t="s">
        <v>749</v>
      </c>
      <c r="F440" s="51" t="s">
        <v>939</v>
      </c>
      <c r="G440" s="51" t="s">
        <v>1074</v>
      </c>
      <c r="H440" s="51" t="s">
        <v>939</v>
      </c>
      <c r="I440" s="55">
        <v>899</v>
      </c>
      <c r="J440" s="56">
        <v>1</v>
      </c>
      <c r="K440" s="51" t="s">
        <v>1075</v>
      </c>
      <c r="L440" s="58">
        <v>15800</v>
      </c>
      <c r="M440" s="50">
        <f>ROUND('FA Addition'!$L440*5%,0.1)</f>
        <v>790</v>
      </c>
      <c r="N440" s="113" t="str">
        <f>_xlfn.XLOOKUP(_xlfn.CONCAT(E440,B440),'Year Wise Master Dep Approach'!F:F,'Year Wise Master Dep Approach'!D:D)</f>
        <v>WDV</v>
      </c>
      <c r="O440" s="113">
        <f>_xlfn.XLOOKUP(_xlfn.CONCAT(E440,B440),'Year Wise Master Dep Approach'!F:F,'Year Wise Master Dep Approach'!E:E)</f>
        <v>5</v>
      </c>
      <c r="P440" s="114">
        <f>IFERROR(IF('FA Addition'!$N440="WDV",1-('FA Addition'!$M440/'FA Addition'!$L440)^(1/'FA Addition'!$O440),1/'FA Addition'!$O440),0)</f>
        <v>0.45071972834694107</v>
      </c>
      <c r="Q440" s="122">
        <f>'FA Addition'!$P440*'FA Addition'!$O440</f>
        <v>2.2535986417347056</v>
      </c>
      <c r="R440" s="122"/>
      <c r="S440" s="116">
        <f>IF(AND(DATE(20&amp;LEFT(FAAddition[[#This Row],[FY]],2),4,1)&lt;$L$1+1,DATE(20&amp;LEFT(FAAddition[[#This Row],[FY]],2),4,1)&gt;$P$1-1),'FA Addition'!$J440,0)</f>
        <v>0</v>
      </c>
      <c r="U440" s="117">
        <f>S440*'FA Addition'!$L440/'FA Addition'!$J440</f>
        <v>0</v>
      </c>
      <c r="W440" s="116">
        <f>SUMIFS('FA Write off'!D:D,'FA Write off'!A:A,'FA Addition'!$A440,'FA Write off'!C:C,"&lt;"&amp;'FA Addition'!$P$1)</f>
        <v>0</v>
      </c>
      <c r="Y440" s="191">
        <f>IFERROR(W440/'FA Addition'!$J440*'FA Addition'!$L440,0)</f>
        <v>0</v>
      </c>
      <c r="AA440" s="116">
        <f>SUMIFS('FA Write off'!D:D,'FA Write off'!A:A,'FA Addition'!$A440,'FA Write off'!C:C,"&lt;"&amp;'FA Addition'!$L$1+1,'FA Write off'!C:C,"&gt;"&amp;'FA Addition'!$L$1-365)</f>
        <v>0</v>
      </c>
      <c r="AC440" s="118">
        <f>IFERROR(AA440/'FA Addition'!$J440*'FA Addition'!$L440,0)</f>
        <v>0</v>
      </c>
      <c r="AE440" s="117">
        <f>IF(AND('FA Addition'!$D440&lt;$P$1+1,U440=0),'FA Addition'!$L440,0)-Y440</f>
        <v>15800</v>
      </c>
      <c r="AF440" s="117">
        <f t="shared" si="30"/>
        <v>15800</v>
      </c>
      <c r="AG440" s="117">
        <f>MIN(MAX(+$P$1-'FA Addition'!$D440,0),365*'FA Addition'!$O440)</f>
        <v>463</v>
      </c>
      <c r="AH440" s="117">
        <f>MIN(MAX($L$1-'FA Addition'!$D440+1,0),365*'FA Addition'!$O440)</f>
        <v>829</v>
      </c>
      <c r="AI440" s="117" cm="1">
        <f t="array" ref="AI440">_xlfn.XLOOKUP(1,('FA Write off'!A:A='FA Addition'!$A440)*('FA Write off'!D:D=AA440),'FA Write off'!H:H,0,0)</f>
        <v>0</v>
      </c>
      <c r="AJ440" s="117">
        <f>IF(AC440&gt;0,MAX(IF('FA Addition'!$N440="SLM",($AC440-'FA Addition'!$M440)*'FA Addition'!$P440*AI440/365,(AC440-'FA Addition'!$M440)*(1-(1-'FA Addition'!$P440)^(AI440/365))),0),0)</f>
        <v>0</v>
      </c>
      <c r="AL440" s="117">
        <f>MAX(IF(AG440&gt;0,IF('FA Addition'!$N440="SLM",($AE440-'FA Addition'!$M440)*'FA Addition'!$P440*AG440/365,IFERROR(VDB(AE440,AE440*0.05,'FA Addition'!$O440,0,YEARFRAC('FA Addition'!$C440,$P$1-1,3),'FA Addition'!$Q440),FAAddition[[#This Row],[Original Cost (Rs)]]-FAAddition[[#This Row],[Salvage Value]])),0),0)</f>
        <v>8160.9005069666619</v>
      </c>
      <c r="AM440" s="119"/>
      <c r="AN440" s="117">
        <f>MAX(IF(AH440&gt;0,IF('FA Addition'!$N440="SLM",($AF440-'FA Addition'!$M440)*'FA Addition'!$P440*AH440/365,IFERROR(VDB(AF440,AF440*0.05,'FA Addition'!$O440,0,YEARFRAC('FA Addition'!$C440,$L$1,3),'FA Addition'!$Q440),FAAddition[[#This Row],[Original Cost (Rs)]]-FAAddition[[#This Row],[Salvage Value]])),0),0)</f>
        <v>11609.879877561827</v>
      </c>
      <c r="AO440" s="117">
        <f t="shared" si="33"/>
        <v>3448.9793705951652</v>
      </c>
      <c r="AQ440" s="117">
        <f t="shared" si="31"/>
        <v>7639.0994930333381</v>
      </c>
      <c r="AR440" s="120">
        <f t="shared" si="32"/>
        <v>4190.120122438173</v>
      </c>
      <c r="AS440" s="121"/>
    </row>
    <row r="441" spans="1:45" ht="13.5" x14ac:dyDescent="0.4">
      <c r="A441" s="12">
        <f t="shared" si="34"/>
        <v>438</v>
      </c>
      <c r="B441" s="64" t="s">
        <v>1070</v>
      </c>
      <c r="C441" s="54">
        <v>44601</v>
      </c>
      <c r="D441" s="54">
        <v>44601</v>
      </c>
      <c r="E441" s="46" t="s">
        <v>451</v>
      </c>
      <c r="F441" s="51" t="s">
        <v>21</v>
      </c>
      <c r="G441" s="51" t="s">
        <v>996</v>
      </c>
      <c r="H441" s="51" t="s">
        <v>21</v>
      </c>
      <c r="I441" s="55" t="s">
        <v>1076</v>
      </c>
      <c r="J441" s="56">
        <v>1</v>
      </c>
      <c r="K441" s="51" t="s">
        <v>1077</v>
      </c>
      <c r="L441" s="58">
        <v>34737.29</v>
      </c>
      <c r="M441" s="50">
        <f>ROUND('FA Addition'!$L441*5%,0.1)</f>
        <v>1737</v>
      </c>
      <c r="N441" s="113" t="str">
        <f>_xlfn.XLOOKUP(_xlfn.CONCAT(E441,B441),'Year Wise Master Dep Approach'!F:F,'Year Wise Master Dep Approach'!D:D)</f>
        <v>WDV</v>
      </c>
      <c r="O441" s="113">
        <f>_xlfn.XLOOKUP(_xlfn.CONCAT(E441,B441),'Year Wise Master Dep Approach'!F:F,'Year Wise Master Dep Approach'!E:E)</f>
        <v>3</v>
      </c>
      <c r="P441" s="114">
        <f>IFERROR(IF('FA Addition'!$N441="WDV",1-('FA Addition'!$M441/'FA Addition'!$L441)^(1/'FA Addition'!$O441),1/'FA Addition'!$O441),0)</f>
        <v>0.63158727016608973</v>
      </c>
      <c r="Q441" s="122">
        <f>'FA Addition'!$P441*'FA Addition'!$O441</f>
        <v>1.8947618104982693</v>
      </c>
      <c r="R441" s="122"/>
      <c r="S441" s="116">
        <f>IF(AND(DATE(20&amp;LEFT(FAAddition[[#This Row],[FY]],2),4,1)&lt;$L$1+1,DATE(20&amp;LEFT(FAAddition[[#This Row],[FY]],2),4,1)&gt;$P$1-1),'FA Addition'!$J441,0)</f>
        <v>0</v>
      </c>
      <c r="U441" s="117">
        <f>S441*'FA Addition'!$L441/'FA Addition'!$J441</f>
        <v>0</v>
      </c>
      <c r="W441" s="116">
        <f>SUMIFS('FA Write off'!D:D,'FA Write off'!A:A,'FA Addition'!$A441,'FA Write off'!C:C,"&lt;"&amp;'FA Addition'!$P$1)</f>
        <v>0</v>
      </c>
      <c r="Y441" s="191">
        <f>IFERROR(W441/'FA Addition'!$J441*'FA Addition'!$L441,0)</f>
        <v>0</v>
      </c>
      <c r="AA441" s="116">
        <f>SUMIFS('FA Write off'!D:D,'FA Write off'!A:A,'FA Addition'!$A441,'FA Write off'!C:C,"&lt;"&amp;'FA Addition'!$L$1+1,'FA Write off'!C:C,"&gt;"&amp;'FA Addition'!$L$1-365)</f>
        <v>0</v>
      </c>
      <c r="AC441" s="118">
        <f>IFERROR(AA441/'FA Addition'!$J441*'FA Addition'!$L441,0)</f>
        <v>0</v>
      </c>
      <c r="AE441" s="117">
        <f>IF(AND('FA Addition'!$D441&lt;$P$1+1,U441=0),'FA Addition'!$L441,0)-Y441</f>
        <v>34737.29</v>
      </c>
      <c r="AF441" s="117">
        <f t="shared" si="30"/>
        <v>34737.29</v>
      </c>
      <c r="AG441" s="117">
        <f>MIN(MAX(+$P$1-'FA Addition'!$D441,0),365*'FA Addition'!$O441)</f>
        <v>416</v>
      </c>
      <c r="AH441" s="117">
        <f>MIN(MAX($L$1-'FA Addition'!$D441+1,0),365*'FA Addition'!$O441)</f>
        <v>782</v>
      </c>
      <c r="AI441" s="117" cm="1">
        <f t="array" ref="AI441">_xlfn.XLOOKUP(1,('FA Write off'!A:A='FA Addition'!$A441)*('FA Write off'!D:D=AA441),'FA Write off'!H:H,0,0)</f>
        <v>0</v>
      </c>
      <c r="AJ441" s="117">
        <f>IF(AC441&gt;0,MAX(IF('FA Addition'!$N441="SLM",($AC441-'FA Addition'!$M441)*'FA Addition'!$P441*AI441/365,(AC441-'FA Addition'!$M441)*(1-(1-'FA Addition'!$P441)^(AI441/365))),0),0)</f>
        <v>0</v>
      </c>
      <c r="AL441" s="117">
        <f>MAX(IF(AG441&gt;0,IF('FA Addition'!$N441="SLM",($AE441-'FA Addition'!$M441)*'FA Addition'!$P441*AG441/365,IFERROR(VDB(AE441,AE441*0.05,'FA Addition'!$O441,0,YEARFRAC('FA Addition'!$C441,$P$1-1,3),'FA Addition'!$Q441),FAAddition[[#This Row],[Original Cost (Rs)]]-FAAddition[[#This Row],[Salvage Value]])),0),0)</f>
        <v>23046.868388765153</v>
      </c>
      <c r="AM441" s="119"/>
      <c r="AN441" s="117">
        <f>MAX(IF(AH441&gt;0,IF('FA Addition'!$N441="SLM",($AF441-'FA Addition'!$M441)*'FA Addition'!$P441*AH441/365,IFERROR(VDB(AF441,AF441*0.05,'FA Addition'!$O441,0,YEARFRAC('FA Addition'!$C441,$L$1,3),'FA Addition'!$Q441),FAAddition[[#This Row],[Original Cost (Rs)]]-FAAddition[[#This Row],[Salvage Value]])),0),0)</f>
        <v>30438.567207311087</v>
      </c>
      <c r="AO441" s="117">
        <f t="shared" si="33"/>
        <v>7391.698818545934</v>
      </c>
      <c r="AQ441" s="117">
        <f t="shared" si="31"/>
        <v>11690.421611234848</v>
      </c>
      <c r="AR441" s="120">
        <f t="shared" si="32"/>
        <v>4298.7227926889136</v>
      </c>
      <c r="AS441" s="121"/>
    </row>
    <row r="442" spans="1:45" ht="13.5" x14ac:dyDescent="0.4">
      <c r="A442" s="12">
        <f t="shared" si="34"/>
        <v>439</v>
      </c>
      <c r="B442" s="64" t="s">
        <v>1070</v>
      </c>
      <c r="C442" s="54">
        <v>44601</v>
      </c>
      <c r="D442" s="54">
        <v>44601</v>
      </c>
      <c r="E442" s="46" t="s">
        <v>451</v>
      </c>
      <c r="F442" s="51" t="s">
        <v>21</v>
      </c>
      <c r="G442" s="51" t="s">
        <v>996</v>
      </c>
      <c r="H442" s="51" t="s">
        <v>21</v>
      </c>
      <c r="I442" s="55" t="s">
        <v>1076</v>
      </c>
      <c r="J442" s="56">
        <v>1</v>
      </c>
      <c r="K442" s="51" t="s">
        <v>1077</v>
      </c>
      <c r="L442" s="58">
        <v>34737.29</v>
      </c>
      <c r="M442" s="50">
        <f>ROUND('FA Addition'!$L442*5%,0.1)</f>
        <v>1737</v>
      </c>
      <c r="N442" s="113" t="str">
        <f>_xlfn.XLOOKUP(_xlfn.CONCAT(E442,B442),'Year Wise Master Dep Approach'!F:F,'Year Wise Master Dep Approach'!D:D)</f>
        <v>WDV</v>
      </c>
      <c r="O442" s="113">
        <f>_xlfn.XLOOKUP(_xlfn.CONCAT(E442,B442),'Year Wise Master Dep Approach'!F:F,'Year Wise Master Dep Approach'!E:E)</f>
        <v>3</v>
      </c>
      <c r="P442" s="114">
        <f>IFERROR(IF('FA Addition'!$N442="WDV",1-('FA Addition'!$M442/'FA Addition'!$L442)^(1/'FA Addition'!$O442),1/'FA Addition'!$O442),0)</f>
        <v>0.63158727016608973</v>
      </c>
      <c r="Q442" s="122">
        <f>'FA Addition'!$P442*'FA Addition'!$O442</f>
        <v>1.8947618104982693</v>
      </c>
      <c r="R442" s="122"/>
      <c r="S442" s="116">
        <f>IF(AND(DATE(20&amp;LEFT(FAAddition[[#This Row],[FY]],2),4,1)&lt;$L$1+1,DATE(20&amp;LEFT(FAAddition[[#This Row],[FY]],2),4,1)&gt;$P$1-1),'FA Addition'!$J442,0)</f>
        <v>0</v>
      </c>
      <c r="U442" s="117">
        <f>S442*'FA Addition'!$L442/'FA Addition'!$J442</f>
        <v>0</v>
      </c>
      <c r="W442" s="116">
        <f>SUMIFS('FA Write off'!D:D,'FA Write off'!A:A,'FA Addition'!$A442,'FA Write off'!C:C,"&lt;"&amp;'FA Addition'!$P$1)</f>
        <v>0</v>
      </c>
      <c r="Y442" s="191">
        <f>IFERROR(W442/'FA Addition'!$J442*'FA Addition'!$L442,0)</f>
        <v>0</v>
      </c>
      <c r="AA442" s="116">
        <f>SUMIFS('FA Write off'!D:D,'FA Write off'!A:A,'FA Addition'!$A442,'FA Write off'!C:C,"&lt;"&amp;'FA Addition'!$L$1+1,'FA Write off'!C:C,"&gt;"&amp;'FA Addition'!$L$1-365)</f>
        <v>0</v>
      </c>
      <c r="AC442" s="118">
        <f>IFERROR(AA442/'FA Addition'!$J442*'FA Addition'!$L442,0)</f>
        <v>0</v>
      </c>
      <c r="AE442" s="117">
        <f>IF(AND('FA Addition'!$D442&lt;$P$1+1,U442=0),'FA Addition'!$L442,0)-Y442</f>
        <v>34737.29</v>
      </c>
      <c r="AF442" s="117">
        <f t="shared" si="30"/>
        <v>34737.29</v>
      </c>
      <c r="AG442" s="117">
        <f>MIN(MAX(+$P$1-'FA Addition'!$D442,0),365*'FA Addition'!$O442)</f>
        <v>416</v>
      </c>
      <c r="AH442" s="117">
        <f>MIN(MAX($L$1-'FA Addition'!$D442+1,0),365*'FA Addition'!$O442)</f>
        <v>782</v>
      </c>
      <c r="AI442" s="117" cm="1">
        <f t="array" ref="AI442">_xlfn.XLOOKUP(1,('FA Write off'!A:A='FA Addition'!$A442)*('FA Write off'!D:D=AA442),'FA Write off'!H:H,0,0)</f>
        <v>0</v>
      </c>
      <c r="AJ442" s="117">
        <f>IF(AC442&gt;0,MAX(IF('FA Addition'!$N442="SLM",($AC442-'FA Addition'!$M442)*'FA Addition'!$P442*AI442/365,(AC442-'FA Addition'!$M442)*(1-(1-'FA Addition'!$P442)^(AI442/365))),0),0)</f>
        <v>0</v>
      </c>
      <c r="AL442" s="117">
        <f>MAX(IF(AG442&gt;0,IF('FA Addition'!$N442="SLM",($AE442-'FA Addition'!$M442)*'FA Addition'!$P442*AG442/365,IFERROR(VDB(AE442,AE442*0.05,'FA Addition'!$O442,0,YEARFRAC('FA Addition'!$C442,$P$1-1,3),'FA Addition'!$Q442),FAAddition[[#This Row],[Original Cost (Rs)]]-FAAddition[[#This Row],[Salvage Value]])),0),0)</f>
        <v>23046.868388765153</v>
      </c>
      <c r="AM442" s="119"/>
      <c r="AN442" s="117">
        <f>MAX(IF(AH442&gt;0,IF('FA Addition'!$N442="SLM",($AF442-'FA Addition'!$M442)*'FA Addition'!$P442*AH442/365,IFERROR(VDB(AF442,AF442*0.05,'FA Addition'!$O442,0,YEARFRAC('FA Addition'!$C442,$L$1,3),'FA Addition'!$Q442),FAAddition[[#This Row],[Original Cost (Rs)]]-FAAddition[[#This Row],[Salvage Value]])),0),0)</f>
        <v>30438.567207311087</v>
      </c>
      <c r="AO442" s="117">
        <f t="shared" si="33"/>
        <v>7391.698818545934</v>
      </c>
      <c r="AQ442" s="117">
        <f t="shared" si="31"/>
        <v>11690.421611234848</v>
      </c>
      <c r="AR442" s="120">
        <f t="shared" si="32"/>
        <v>4298.7227926889136</v>
      </c>
      <c r="AS442" s="121"/>
    </row>
    <row r="443" spans="1:45" ht="13.5" x14ac:dyDescent="0.4">
      <c r="A443" s="12">
        <f t="shared" si="34"/>
        <v>440</v>
      </c>
      <c r="B443" s="64" t="s">
        <v>1070</v>
      </c>
      <c r="C443" s="54">
        <v>44620</v>
      </c>
      <c r="D443" s="54">
        <v>44620</v>
      </c>
      <c r="E443" s="46" t="s">
        <v>451</v>
      </c>
      <c r="F443" s="51" t="s">
        <v>21</v>
      </c>
      <c r="G443" s="51" t="s">
        <v>996</v>
      </c>
      <c r="H443" s="51" t="s">
        <v>21</v>
      </c>
      <c r="I443" s="55" t="s">
        <v>1078</v>
      </c>
      <c r="J443" s="56">
        <v>1</v>
      </c>
      <c r="K443" s="51" t="s">
        <v>996</v>
      </c>
      <c r="L443" s="58">
        <v>49991.53</v>
      </c>
      <c r="M443" s="50">
        <f>ROUND('FA Addition'!$L443*5%,0.1)</f>
        <v>2500</v>
      </c>
      <c r="N443" s="113" t="str">
        <f>_xlfn.XLOOKUP(_xlfn.CONCAT(E443,B443),'Year Wise Master Dep Approach'!F:F,'Year Wise Master Dep Approach'!D:D)</f>
        <v>WDV</v>
      </c>
      <c r="O443" s="113">
        <f>_xlfn.XLOOKUP(_xlfn.CONCAT(E443,B443),'Year Wise Master Dep Approach'!F:F,'Year Wise Master Dep Approach'!E:E)</f>
        <v>3</v>
      </c>
      <c r="P443" s="114">
        <f>IFERROR(IF('FA Addition'!$N443="WDV",1-('FA Addition'!$M443/'FA Addition'!$L443)^(1/'FA Addition'!$O443),1/'FA Addition'!$O443),0)</f>
        <v>0.63157604528849398</v>
      </c>
      <c r="Q443" s="122">
        <f>'FA Addition'!$P443*'FA Addition'!$O443</f>
        <v>1.8947281358654819</v>
      </c>
      <c r="R443" s="122"/>
      <c r="S443" s="116">
        <f>IF(AND(DATE(20&amp;LEFT(FAAddition[[#This Row],[FY]],2),4,1)&lt;$L$1+1,DATE(20&amp;LEFT(FAAddition[[#This Row],[FY]],2),4,1)&gt;$P$1-1),'FA Addition'!$J443,0)</f>
        <v>0</v>
      </c>
      <c r="U443" s="117">
        <f>S443*'FA Addition'!$L443/'FA Addition'!$J443</f>
        <v>0</v>
      </c>
      <c r="W443" s="116">
        <f>SUMIFS('FA Write off'!D:D,'FA Write off'!A:A,'FA Addition'!$A443,'FA Write off'!C:C,"&lt;"&amp;'FA Addition'!$P$1)</f>
        <v>0</v>
      </c>
      <c r="Y443" s="191">
        <f>IFERROR(W443/'FA Addition'!$J443*'FA Addition'!$L443,0)</f>
        <v>0</v>
      </c>
      <c r="AA443" s="116">
        <f>SUMIFS('FA Write off'!D:D,'FA Write off'!A:A,'FA Addition'!$A443,'FA Write off'!C:C,"&lt;"&amp;'FA Addition'!$L$1+1,'FA Write off'!C:C,"&gt;"&amp;'FA Addition'!$L$1-365)</f>
        <v>0</v>
      </c>
      <c r="AC443" s="118">
        <f>IFERROR(AA443/'FA Addition'!$J443*'FA Addition'!$L443,0)</f>
        <v>0</v>
      </c>
      <c r="AE443" s="117">
        <f>IF(AND('FA Addition'!$D443&lt;$P$1+1,U443=0),'FA Addition'!$L443,0)-Y443</f>
        <v>49991.53</v>
      </c>
      <c r="AF443" s="117">
        <f t="shared" si="30"/>
        <v>49991.53</v>
      </c>
      <c r="AG443" s="117">
        <f>MIN(MAX(+$P$1-'FA Addition'!$D443,0),365*'FA Addition'!$O443)</f>
        <v>397</v>
      </c>
      <c r="AH443" s="117">
        <f>MIN(MAX($L$1-'FA Addition'!$D443+1,0),365*'FA Addition'!$O443)</f>
        <v>763</v>
      </c>
      <c r="AI443" s="117" cm="1">
        <f t="array" ref="AI443">_xlfn.XLOOKUP(1,('FA Write off'!A:A='FA Addition'!$A443)*('FA Write off'!D:D=AA443),'FA Write off'!H:H,0,0)</f>
        <v>0</v>
      </c>
      <c r="AJ443" s="117">
        <f>IF(AC443&gt;0,MAX(IF('FA Addition'!$N443="SLM",($AC443-'FA Addition'!$M443)*'FA Addition'!$P443*AI443/365,(AC443-'FA Addition'!$M443)*(1-(1-'FA Addition'!$P443)^(AI443/365))),0),0)</f>
        <v>0</v>
      </c>
      <c r="AL443" s="117">
        <f>MAX(IF(AG443&gt;0,IF('FA Addition'!$N443="SLM",($AE443-'FA Addition'!$M443)*'FA Addition'!$P443*AG443/365,IFERROR(VDB(AE443,AE443*0.05,'FA Addition'!$O443,0,YEARFRAC('FA Addition'!$C443,$P$1-1,3),'FA Addition'!$Q443),FAAddition[[#This Row],[Original Cost (Rs)]]-FAAddition[[#This Row],[Salvage Value]])),0),0)</f>
        <v>32561.411464235211</v>
      </c>
      <c r="AM443" s="119"/>
      <c r="AN443" s="117">
        <f>MAX(IF(AH443&gt;0,IF('FA Addition'!$N443="SLM",($AF443-'FA Addition'!$M443)*'FA Addition'!$P443*AH443/365,IFERROR(VDB(AF443,AF443*0.05,'FA Addition'!$O443,0,YEARFRAC('FA Addition'!$C443,$L$1,3),'FA Addition'!$Q443),FAAddition[[#This Row],[Original Cost (Rs)]]-FAAddition[[#This Row],[Salvage Value]])),0),0)</f>
        <v>43581.635463263381</v>
      </c>
      <c r="AO443" s="117">
        <f t="shared" si="33"/>
        <v>11020.223999028171</v>
      </c>
      <c r="AQ443" s="117">
        <f t="shared" si="31"/>
        <v>17430.118535764788</v>
      </c>
      <c r="AR443" s="120">
        <f t="shared" si="32"/>
        <v>6409.8945367366177</v>
      </c>
      <c r="AS443" s="121"/>
    </row>
    <row r="444" spans="1:45" ht="13.5" x14ac:dyDescent="0.4">
      <c r="A444" s="12">
        <f t="shared" si="34"/>
        <v>441</v>
      </c>
      <c r="B444" s="64" t="s">
        <v>1070</v>
      </c>
      <c r="C444" s="54">
        <v>44621</v>
      </c>
      <c r="D444" s="54">
        <v>44621</v>
      </c>
      <c r="E444" s="46" t="s">
        <v>207</v>
      </c>
      <c r="F444" s="51" t="s">
        <v>147</v>
      </c>
      <c r="G444" s="51" t="s">
        <v>1079</v>
      </c>
      <c r="H444" s="51" t="s">
        <v>207</v>
      </c>
      <c r="I444" s="55" t="s">
        <v>1080</v>
      </c>
      <c r="J444" s="56">
        <v>1</v>
      </c>
      <c r="K444" s="51" t="s">
        <v>1081</v>
      </c>
      <c r="L444" s="58">
        <v>11016</v>
      </c>
      <c r="M444" s="50">
        <f>ROUND('FA Addition'!$L444*5%,0.1)</f>
        <v>551</v>
      </c>
      <c r="N444" s="113" t="str">
        <f>_xlfn.XLOOKUP(_xlfn.CONCAT(E444,B444),'Year Wise Master Dep Approach'!F:F,'Year Wise Master Dep Approach'!D:D)</f>
        <v>WDV</v>
      </c>
      <c r="O444" s="113">
        <f>_xlfn.XLOOKUP(_xlfn.CONCAT(E444,B444),'Year Wise Master Dep Approach'!F:F,'Year Wise Master Dep Approach'!E:E)</f>
        <v>5</v>
      </c>
      <c r="P444" s="114">
        <f>IFERROR(IF('FA Addition'!$N444="WDV",1-('FA Addition'!$M444/'FA Addition'!$L444)^(1/'FA Addition'!$O444),1/'FA Addition'!$O444),0)</f>
        <v>0.45067984450454746</v>
      </c>
      <c r="Q444" s="122">
        <f>'FA Addition'!$P444*'FA Addition'!$O444</f>
        <v>2.2533992225227371</v>
      </c>
      <c r="R444" s="122"/>
      <c r="S444" s="116">
        <f>IF(AND(DATE(20&amp;LEFT(FAAddition[[#This Row],[FY]],2),4,1)&lt;$L$1+1,DATE(20&amp;LEFT(FAAddition[[#This Row],[FY]],2),4,1)&gt;$P$1-1),'FA Addition'!$J444,0)</f>
        <v>0</v>
      </c>
      <c r="U444" s="117">
        <f>S444*'FA Addition'!$L444/'FA Addition'!$J444</f>
        <v>0</v>
      </c>
      <c r="W444" s="116">
        <f>SUMIFS('FA Write off'!D:D,'FA Write off'!A:A,'FA Addition'!$A444,'FA Write off'!C:C,"&lt;"&amp;'FA Addition'!$P$1)</f>
        <v>0</v>
      </c>
      <c r="Y444" s="191">
        <f>IFERROR(W444/'FA Addition'!$J444*'FA Addition'!$L444,0)</f>
        <v>0</v>
      </c>
      <c r="AA444" s="116">
        <f>SUMIFS('FA Write off'!D:D,'FA Write off'!A:A,'FA Addition'!$A444,'FA Write off'!C:C,"&lt;"&amp;'FA Addition'!$L$1+1,'FA Write off'!C:C,"&gt;"&amp;'FA Addition'!$L$1-365)</f>
        <v>0</v>
      </c>
      <c r="AC444" s="118">
        <f>IFERROR(AA444/'FA Addition'!$J444*'FA Addition'!$L444,0)</f>
        <v>0</v>
      </c>
      <c r="AE444" s="117">
        <f>IF(AND('FA Addition'!$D444&lt;$P$1+1,U444=0),'FA Addition'!$L444,0)-Y444</f>
        <v>11016</v>
      </c>
      <c r="AF444" s="117">
        <f t="shared" si="30"/>
        <v>11016</v>
      </c>
      <c r="AG444" s="117">
        <f>MIN(MAX(+$P$1-'FA Addition'!$D444,0),365*'FA Addition'!$O444)</f>
        <v>396</v>
      </c>
      <c r="AH444" s="117">
        <f>MIN(MAX($L$1-'FA Addition'!$D444+1,0),365*'FA Addition'!$O444)</f>
        <v>762</v>
      </c>
      <c r="AI444" s="117" cm="1">
        <f t="array" ref="AI444">_xlfn.XLOOKUP(1,('FA Write off'!A:A='FA Addition'!$A444)*('FA Write off'!D:D=AA444),'FA Write off'!H:H,0,0)</f>
        <v>0</v>
      </c>
      <c r="AJ444" s="117">
        <f>IF(AC444&gt;0,MAX(IF('FA Addition'!$N444="SLM",($AC444-'FA Addition'!$M444)*'FA Addition'!$P444*AI444/365,(AC444-'FA Addition'!$M444)*(1-(1-'FA Addition'!$P444)^(AI444/365))),0),0)</f>
        <v>0</v>
      </c>
      <c r="AL444" s="117">
        <f>MAX(IF(AG444&gt;0,IF('FA Addition'!$N444="SLM",($AE444-'FA Addition'!$M444)*'FA Addition'!$P444*AG444/365,IFERROR(VDB(AE444,AE444*0.05,'FA Addition'!$O444,0,YEARFRAC('FA Addition'!$C444,$P$1-1,3),'FA Addition'!$Q444),FAAddition[[#This Row],[Original Cost (Rs)]]-FAAddition[[#This Row],[Salvage Value]])),0),0)</f>
        <v>5188.8429061226816</v>
      </c>
      <c r="AM444" s="119"/>
      <c r="AN444" s="117">
        <f>MAX(IF(AH444&gt;0,IF('FA Addition'!$N444="SLM",($AF444-'FA Addition'!$M444)*'FA Addition'!$P444*AH444/365,IFERROR(VDB(AF444,AF444*0.05,'FA Addition'!$O444,0,YEARFRAC('FA Addition'!$C444,$L$1,3),'FA Addition'!$Q444),FAAddition[[#This Row],[Original Cost (Rs)]]-FAAddition[[#This Row],[Salvage Value]])),0),0)</f>
        <v>7819.1295646547369</v>
      </c>
      <c r="AO444" s="117">
        <f t="shared" si="33"/>
        <v>2630.2866585320553</v>
      </c>
      <c r="AQ444" s="117">
        <f t="shared" si="31"/>
        <v>5827.1570938773184</v>
      </c>
      <c r="AR444" s="120">
        <f t="shared" si="32"/>
        <v>3196.8704353452631</v>
      </c>
      <c r="AS444" s="121"/>
    </row>
    <row r="445" spans="1:45" ht="13.5" x14ac:dyDescent="0.4">
      <c r="A445" s="12">
        <f t="shared" si="34"/>
        <v>442</v>
      </c>
      <c r="B445" s="64" t="s">
        <v>1070</v>
      </c>
      <c r="C445" s="54">
        <v>44621</v>
      </c>
      <c r="D445" s="54">
        <v>44621</v>
      </c>
      <c r="E445" s="46" t="s">
        <v>207</v>
      </c>
      <c r="F445" s="51" t="s">
        <v>147</v>
      </c>
      <c r="G445" s="51" t="s">
        <v>1079</v>
      </c>
      <c r="H445" s="51" t="s">
        <v>207</v>
      </c>
      <c r="I445" s="55" t="s">
        <v>1080</v>
      </c>
      <c r="J445" s="56">
        <v>1</v>
      </c>
      <c r="K445" s="51" t="s">
        <v>1082</v>
      </c>
      <c r="L445" s="58">
        <v>10592</v>
      </c>
      <c r="M445" s="50">
        <f>ROUND('FA Addition'!$L445*5%,0.1)</f>
        <v>530</v>
      </c>
      <c r="N445" s="113" t="str">
        <f>_xlfn.XLOOKUP(_xlfn.CONCAT(E445,B445),'Year Wise Master Dep Approach'!F:F,'Year Wise Master Dep Approach'!D:D)</f>
        <v>WDV</v>
      </c>
      <c r="O445" s="113">
        <f>_xlfn.XLOOKUP(_xlfn.CONCAT(E445,B445),'Year Wise Master Dep Approach'!F:F,'Year Wise Master Dep Approach'!E:E)</f>
        <v>5</v>
      </c>
      <c r="P445" s="114">
        <f>IFERROR(IF('FA Addition'!$N445="WDV",1-('FA Addition'!$M445/'FA Addition'!$L445)^(1/'FA Addition'!$O445),1/'FA Addition'!$O445),0)</f>
        <v>0.45063678055221101</v>
      </c>
      <c r="Q445" s="122">
        <f>'FA Addition'!$P445*'FA Addition'!$O445</f>
        <v>2.2531839027610552</v>
      </c>
      <c r="R445" s="122"/>
      <c r="S445" s="116">
        <f>IF(AND(DATE(20&amp;LEFT(FAAddition[[#This Row],[FY]],2),4,1)&lt;$L$1+1,DATE(20&amp;LEFT(FAAddition[[#This Row],[FY]],2),4,1)&gt;$P$1-1),'FA Addition'!$J445,0)</f>
        <v>0</v>
      </c>
      <c r="U445" s="117">
        <f>S445*'FA Addition'!$L445/'FA Addition'!$J445</f>
        <v>0</v>
      </c>
      <c r="W445" s="116">
        <f>SUMIFS('FA Write off'!D:D,'FA Write off'!A:A,'FA Addition'!$A445,'FA Write off'!C:C,"&lt;"&amp;'FA Addition'!$P$1)</f>
        <v>0</v>
      </c>
      <c r="Y445" s="191">
        <f>IFERROR(W445/'FA Addition'!$J445*'FA Addition'!$L445,0)</f>
        <v>0</v>
      </c>
      <c r="AA445" s="116">
        <f>SUMIFS('FA Write off'!D:D,'FA Write off'!A:A,'FA Addition'!$A445,'FA Write off'!C:C,"&lt;"&amp;'FA Addition'!$L$1+1,'FA Write off'!C:C,"&gt;"&amp;'FA Addition'!$L$1-365)</f>
        <v>0</v>
      </c>
      <c r="AC445" s="118">
        <f>IFERROR(AA445/'FA Addition'!$J445*'FA Addition'!$L445,0)</f>
        <v>0</v>
      </c>
      <c r="AE445" s="117">
        <f>IF(AND('FA Addition'!$D445&lt;$P$1+1,U445=0),'FA Addition'!$L445,0)-Y445</f>
        <v>10592</v>
      </c>
      <c r="AF445" s="117">
        <f t="shared" si="30"/>
        <v>10592</v>
      </c>
      <c r="AG445" s="117">
        <f>MIN(MAX(+$P$1-'FA Addition'!$D445,0),365*'FA Addition'!$O445)</f>
        <v>396</v>
      </c>
      <c r="AH445" s="117">
        <f>MIN(MAX($L$1-'FA Addition'!$D445+1,0),365*'FA Addition'!$O445)</f>
        <v>762</v>
      </c>
      <c r="AI445" s="117" cm="1">
        <f t="array" ref="AI445">_xlfn.XLOOKUP(1,('FA Write off'!A:A='FA Addition'!$A445)*('FA Write off'!D:D=AA445),'FA Write off'!H:H,0,0)</f>
        <v>0</v>
      </c>
      <c r="AJ445" s="117">
        <f>IF(AC445&gt;0,MAX(IF('FA Addition'!$N445="SLM",($AC445-'FA Addition'!$M445)*'FA Addition'!$P445*AI445/365,(AC445-'FA Addition'!$M445)*(1-(1-'FA Addition'!$P445)^(AI445/365))),0),0)</f>
        <v>0</v>
      </c>
      <c r="AL445" s="117">
        <f>MAX(IF(AG445&gt;0,IF('FA Addition'!$N445="SLM",($AE445-'FA Addition'!$M445)*'FA Addition'!$P445*AG445/365,IFERROR(VDB(AE445,AE445*0.05,'FA Addition'!$O445,0,YEARFRAC('FA Addition'!$C445,$P$1-1,3),'FA Addition'!$Q445),FAAddition[[#This Row],[Original Cost (Rs)]]-FAAddition[[#This Row],[Salvage Value]])),0),0)</f>
        <v>4988.667260404889</v>
      </c>
      <c r="AM445" s="119"/>
      <c r="AN445" s="117">
        <f>MAX(IF(AH445&gt;0,IF('FA Addition'!$N445="SLM",($AF445-'FA Addition'!$M445)*'FA Addition'!$P445*AH445/365,IFERROR(VDB(AF445,AF445*0.05,'FA Addition'!$O445,0,YEARFRAC('FA Addition'!$C445,$L$1,3),'FA Addition'!$Q445),FAAddition[[#This Row],[Original Cost (Rs)]]-FAAddition[[#This Row],[Salvage Value]])),0),0)</f>
        <v>7517.6817573359431</v>
      </c>
      <c r="AO445" s="117">
        <f t="shared" si="33"/>
        <v>2529.0144969310541</v>
      </c>
      <c r="AQ445" s="117">
        <f t="shared" si="31"/>
        <v>5603.332739595111</v>
      </c>
      <c r="AR445" s="120">
        <f t="shared" si="32"/>
        <v>3074.3182426640569</v>
      </c>
      <c r="AS445" s="121"/>
    </row>
    <row r="446" spans="1:45" ht="13.5" x14ac:dyDescent="0.4">
      <c r="A446" s="12">
        <f t="shared" si="34"/>
        <v>443</v>
      </c>
      <c r="B446" s="64" t="s">
        <v>1070</v>
      </c>
      <c r="C446" s="54">
        <v>44629</v>
      </c>
      <c r="D446" s="54">
        <v>44629</v>
      </c>
      <c r="E446" s="46" t="s">
        <v>451</v>
      </c>
      <c r="F446" s="51" t="s">
        <v>21</v>
      </c>
      <c r="G446" s="51" t="s">
        <v>996</v>
      </c>
      <c r="H446" s="51" t="s">
        <v>187</v>
      </c>
      <c r="I446" s="55" t="s">
        <v>1083</v>
      </c>
      <c r="J446" s="56">
        <v>1</v>
      </c>
      <c r="K446" s="51" t="s">
        <v>1084</v>
      </c>
      <c r="L446" s="58">
        <v>11863.56</v>
      </c>
      <c r="M446" s="50">
        <f>ROUND('FA Addition'!$L446*5%,0.1)</f>
        <v>593</v>
      </c>
      <c r="N446" s="113" t="str">
        <f>_xlfn.XLOOKUP(_xlfn.CONCAT(E446,B446),'Year Wise Master Dep Approach'!F:F,'Year Wise Master Dep Approach'!D:D)</f>
        <v>WDV</v>
      </c>
      <c r="O446" s="113">
        <f>_xlfn.XLOOKUP(_xlfn.CONCAT(E446,B446),'Year Wise Master Dep Approach'!F:F,'Year Wise Master Dep Approach'!E:E)</f>
        <v>3</v>
      </c>
      <c r="P446" s="114">
        <f>IFERROR(IF('FA Addition'!$N446="WDV",1-('FA Addition'!$M446/'FA Addition'!$L446)^(1/'FA Addition'!$O446),1/'FA Addition'!$O446),0)</f>
        <v>0.6316337037847608</v>
      </c>
      <c r="Q446" s="122">
        <f>'FA Addition'!$P446*'FA Addition'!$O446</f>
        <v>1.8949011113542824</v>
      </c>
      <c r="R446" s="122"/>
      <c r="S446" s="116">
        <f>IF(AND(DATE(20&amp;LEFT(FAAddition[[#This Row],[FY]],2),4,1)&lt;$L$1+1,DATE(20&amp;LEFT(FAAddition[[#This Row],[FY]],2),4,1)&gt;$P$1-1),'FA Addition'!$J446,0)</f>
        <v>0</v>
      </c>
      <c r="U446" s="117">
        <f>S446*'FA Addition'!$L446/'FA Addition'!$J446</f>
        <v>0</v>
      </c>
      <c r="W446" s="116">
        <f>SUMIFS('FA Write off'!D:D,'FA Write off'!A:A,'FA Addition'!$A446,'FA Write off'!C:C,"&lt;"&amp;'FA Addition'!$P$1)</f>
        <v>0</v>
      </c>
      <c r="Y446" s="191">
        <f>IFERROR(W446/'FA Addition'!$J446*'FA Addition'!$L446,0)</f>
        <v>0</v>
      </c>
      <c r="AA446" s="116">
        <f>SUMIFS('FA Write off'!D:D,'FA Write off'!A:A,'FA Addition'!$A446,'FA Write off'!C:C,"&lt;"&amp;'FA Addition'!$L$1+1,'FA Write off'!C:C,"&gt;"&amp;'FA Addition'!$L$1-365)</f>
        <v>0</v>
      </c>
      <c r="AC446" s="118">
        <f>IFERROR(AA446/'FA Addition'!$J446*'FA Addition'!$L446,0)</f>
        <v>0</v>
      </c>
      <c r="AE446" s="117">
        <f>IF(AND('FA Addition'!$D446&lt;$P$1+1,U446=0),'FA Addition'!$L446,0)-Y446</f>
        <v>11863.56</v>
      </c>
      <c r="AF446" s="117">
        <f t="shared" si="30"/>
        <v>11863.56</v>
      </c>
      <c r="AG446" s="117">
        <f>MIN(MAX(+$P$1-'FA Addition'!$D446,0),365*'FA Addition'!$O446)</f>
        <v>388</v>
      </c>
      <c r="AH446" s="117">
        <f>MIN(MAX($L$1-'FA Addition'!$D446+1,0),365*'FA Addition'!$O446)</f>
        <v>754</v>
      </c>
      <c r="AI446" s="117" cm="1">
        <f t="array" ref="AI446">_xlfn.XLOOKUP(1,('FA Write off'!A:A='FA Addition'!$A446)*('FA Write off'!D:D=AA446),'FA Write off'!H:H,0,0)</f>
        <v>0</v>
      </c>
      <c r="AJ446" s="117">
        <f>IF(AC446&gt;0,MAX(IF('FA Addition'!$N446="SLM",($AC446-'FA Addition'!$M446)*'FA Addition'!$P446*AI446/365,(AC446-'FA Addition'!$M446)*(1-(1-'FA Addition'!$P446)^(AI446/365))),0),0)</f>
        <v>0</v>
      </c>
      <c r="AL446" s="117">
        <f>MAX(IF(AG446&gt;0,IF('FA Addition'!$N446="SLM",($AE446-'FA Addition'!$M446)*'FA Addition'!$P446*AG446/365,IFERROR(VDB(AE446,AE446*0.05,'FA Addition'!$O446,0,YEARFRAC('FA Addition'!$C446,$P$1-1,3),'FA Addition'!$Q446),FAAddition[[#This Row],[Original Cost (Rs)]]-FAAddition[[#This Row],[Salvage Value]])),0),0)</f>
        <v>7659.8000945586791</v>
      </c>
      <c r="AM446" s="119"/>
      <c r="AN446" s="117">
        <f>MAX(IF(AH446&gt;0,IF('FA Addition'!$N446="SLM",($AF446-'FA Addition'!$M446)*'FA Addition'!$P446*AH446/365,IFERROR(VDB(AF446,AF446*0.05,'FA Addition'!$O446,0,YEARFRAC('FA Addition'!$C446,$L$1,3),'FA Addition'!$Q446),FAAddition[[#This Row],[Original Cost (Rs)]]-FAAddition[[#This Row],[Salvage Value]])),0),0)</f>
        <v>10317.811099717399</v>
      </c>
      <c r="AO446" s="117">
        <f t="shared" si="33"/>
        <v>2658.0110051587199</v>
      </c>
      <c r="AQ446" s="117">
        <f t="shared" si="31"/>
        <v>4203.7599054413204</v>
      </c>
      <c r="AR446" s="120">
        <f t="shared" si="32"/>
        <v>1545.7489002826005</v>
      </c>
      <c r="AS446" s="121"/>
    </row>
    <row r="447" spans="1:45" ht="13.5" x14ac:dyDescent="0.4">
      <c r="A447" s="12">
        <f t="shared" si="34"/>
        <v>444</v>
      </c>
      <c r="B447" s="64" t="s">
        <v>1070</v>
      </c>
      <c r="C447" s="54">
        <v>44642</v>
      </c>
      <c r="D447" s="54">
        <v>44642</v>
      </c>
      <c r="E447" s="46" t="s">
        <v>451</v>
      </c>
      <c r="F447" s="51" t="s">
        <v>21</v>
      </c>
      <c r="G447" s="51" t="s">
        <v>996</v>
      </c>
      <c r="H447" s="51" t="s">
        <v>21</v>
      </c>
      <c r="I447" s="55" t="s">
        <v>1085</v>
      </c>
      <c r="J447" s="56">
        <v>1</v>
      </c>
      <c r="K447" s="51" t="s">
        <v>1086</v>
      </c>
      <c r="L447" s="58">
        <v>51686.44</v>
      </c>
      <c r="M447" s="50">
        <f>ROUND('FA Addition'!$L447*5%,0.1)</f>
        <v>2584</v>
      </c>
      <c r="N447" s="113" t="str">
        <f>_xlfn.XLOOKUP(_xlfn.CONCAT(E447,B447),'Year Wise Master Dep Approach'!F:F,'Year Wise Master Dep Approach'!D:D)</f>
        <v>WDV</v>
      </c>
      <c r="O447" s="113">
        <f>_xlfn.XLOOKUP(_xlfn.CONCAT(E447,B447),'Year Wise Master Dep Approach'!F:F,'Year Wise Master Dep Approach'!E:E)</f>
        <v>3</v>
      </c>
      <c r="P447" s="114">
        <f>IFERROR(IF('FA Addition'!$N447="WDV",1-('FA Addition'!$M447/'FA Addition'!$L447)^(1/'FA Addition'!$O447),1/'FA Addition'!$O447),0)</f>
        <v>0.63161215147243344</v>
      </c>
      <c r="Q447" s="122">
        <f>'FA Addition'!$P447*'FA Addition'!$O447</f>
        <v>1.8948364544173004</v>
      </c>
      <c r="R447" s="122"/>
      <c r="S447" s="116">
        <f>IF(AND(DATE(20&amp;LEFT(FAAddition[[#This Row],[FY]],2),4,1)&lt;$L$1+1,DATE(20&amp;LEFT(FAAddition[[#This Row],[FY]],2),4,1)&gt;$P$1-1),'FA Addition'!$J447,0)</f>
        <v>0</v>
      </c>
      <c r="U447" s="117">
        <f>S447*'FA Addition'!$L447/'FA Addition'!$J447</f>
        <v>0</v>
      </c>
      <c r="W447" s="116">
        <f>SUMIFS('FA Write off'!D:D,'FA Write off'!A:A,'FA Addition'!$A447,'FA Write off'!C:C,"&lt;"&amp;'FA Addition'!$P$1)</f>
        <v>0</v>
      </c>
      <c r="Y447" s="191">
        <f>IFERROR(W447/'FA Addition'!$J447*'FA Addition'!$L447,0)</f>
        <v>0</v>
      </c>
      <c r="AA447" s="116">
        <f>SUMIFS('FA Write off'!D:D,'FA Write off'!A:A,'FA Addition'!$A447,'FA Write off'!C:C,"&lt;"&amp;'FA Addition'!$L$1+1,'FA Write off'!C:C,"&gt;"&amp;'FA Addition'!$L$1-365)</f>
        <v>0</v>
      </c>
      <c r="AC447" s="118">
        <f>IFERROR(AA447/'FA Addition'!$J447*'FA Addition'!$L447,0)</f>
        <v>0</v>
      </c>
      <c r="AE447" s="117">
        <f>IF(AND('FA Addition'!$D447&lt;$P$1+1,U447=0),'FA Addition'!$L447,0)-Y447</f>
        <v>51686.44</v>
      </c>
      <c r="AF447" s="117">
        <f t="shared" si="30"/>
        <v>51686.44</v>
      </c>
      <c r="AG447" s="117">
        <f>MIN(MAX(+$P$1-'FA Addition'!$D447,0),365*'FA Addition'!$O447)</f>
        <v>375</v>
      </c>
      <c r="AH447" s="117">
        <f>MIN(MAX($L$1-'FA Addition'!$D447+1,0),365*'FA Addition'!$O447)</f>
        <v>741</v>
      </c>
      <c r="AI447" s="117" cm="1">
        <f t="array" ref="AI447">_xlfn.XLOOKUP(1,('FA Write off'!A:A='FA Addition'!$A447)*('FA Write off'!D:D=AA447),'FA Write off'!H:H,0,0)</f>
        <v>0</v>
      </c>
      <c r="AJ447" s="117">
        <f>IF(AC447&gt;0,MAX(IF('FA Addition'!$N447="SLM",($AC447-'FA Addition'!$M447)*'FA Addition'!$P447*AI447/365,(AC447-'FA Addition'!$M447)*(1-(1-'FA Addition'!$P447)^(AI447/365))),0),0)</f>
        <v>0</v>
      </c>
      <c r="AL447" s="117">
        <f>MAX(IF(AG447&gt;0,IF('FA Addition'!$N447="SLM",($AE447-'FA Addition'!$M447)*'FA Addition'!$P447*AG447/365,IFERROR(VDB(AE447,AE447*0.05,'FA Addition'!$O447,0,YEARFRAC('FA Addition'!$C447,$P$1-1,3),'FA Addition'!$Q447),FAAddition[[#This Row],[Original Cost (Rs)]]-FAAddition[[#This Row],[Salvage Value]])),0),0)</f>
        <v>32942.322720369484</v>
      </c>
      <c r="AM447" s="119"/>
      <c r="AN447" s="117">
        <f>MAX(IF(AH447&gt;0,IF('FA Addition'!$N447="SLM",($AF447-'FA Addition'!$M447)*'FA Addition'!$P447*AH447/365,IFERROR(VDB(AF447,AF447*0.05,'FA Addition'!$O447,0,YEARFRAC('FA Addition'!$C447,$L$1,3),'FA Addition'!$Q447),FAAddition[[#This Row],[Original Cost (Rs)]]-FAAddition[[#This Row],[Salvage Value]])),0),0)</f>
        <v>44793.464076388453</v>
      </c>
      <c r="AO447" s="117">
        <f t="shared" si="33"/>
        <v>11851.141356018969</v>
      </c>
      <c r="AQ447" s="117">
        <f t="shared" si="31"/>
        <v>18744.117279630518</v>
      </c>
      <c r="AR447" s="120">
        <f t="shared" si="32"/>
        <v>6892.9759236115497</v>
      </c>
      <c r="AS447" s="121"/>
    </row>
    <row r="448" spans="1:45" ht="13.5" x14ac:dyDescent="0.4">
      <c r="A448" s="12">
        <f t="shared" si="34"/>
        <v>445</v>
      </c>
      <c r="B448" s="64" t="s">
        <v>1070</v>
      </c>
      <c r="C448" s="54">
        <v>44648</v>
      </c>
      <c r="D448" s="54">
        <v>44648</v>
      </c>
      <c r="E448" s="46" t="s">
        <v>451</v>
      </c>
      <c r="F448" s="51" t="s">
        <v>21</v>
      </c>
      <c r="G448" s="51" t="s">
        <v>996</v>
      </c>
      <c r="H448" s="51" t="s">
        <v>21</v>
      </c>
      <c r="I448" s="55" t="s">
        <v>1087</v>
      </c>
      <c r="J448" s="56">
        <v>1</v>
      </c>
      <c r="K448" s="51" t="s">
        <v>1088</v>
      </c>
      <c r="L448" s="58">
        <v>110161.02</v>
      </c>
      <c r="M448" s="50">
        <f>ROUND('FA Addition'!$L448*5%,0.1)</f>
        <v>5508</v>
      </c>
      <c r="N448" s="113" t="str">
        <f>_xlfn.XLOOKUP(_xlfn.CONCAT(E448,B448),'Year Wise Master Dep Approach'!F:F,'Year Wise Master Dep Approach'!D:D)</f>
        <v>WDV</v>
      </c>
      <c r="O448" s="113">
        <f>_xlfn.XLOOKUP(_xlfn.CONCAT(E448,B448),'Year Wise Master Dep Approach'!F:F,'Year Wise Master Dep Approach'!E:E)</f>
        <v>3</v>
      </c>
      <c r="P448" s="114">
        <f>IFERROR(IF('FA Addition'!$N448="WDV",1-('FA Addition'!$M448/'FA Addition'!$L448)^(1/'FA Addition'!$O448),1/'FA Addition'!$O448),0)</f>
        <v>0.63159798717570137</v>
      </c>
      <c r="Q448" s="122">
        <f>'FA Addition'!$P448*'FA Addition'!$O448</f>
        <v>1.8947939615271041</v>
      </c>
      <c r="R448" s="122"/>
      <c r="S448" s="116">
        <f>IF(AND(DATE(20&amp;LEFT(FAAddition[[#This Row],[FY]],2),4,1)&lt;$L$1+1,DATE(20&amp;LEFT(FAAddition[[#This Row],[FY]],2),4,1)&gt;$P$1-1),'FA Addition'!$J448,0)</f>
        <v>0</v>
      </c>
      <c r="U448" s="117">
        <f>S448*'FA Addition'!$L448/'FA Addition'!$J448</f>
        <v>0</v>
      </c>
      <c r="W448" s="116">
        <f>SUMIFS('FA Write off'!D:D,'FA Write off'!A:A,'FA Addition'!$A448,'FA Write off'!C:C,"&lt;"&amp;'FA Addition'!$P$1)</f>
        <v>0</v>
      </c>
      <c r="Y448" s="191">
        <f>IFERROR(W448/'FA Addition'!$J448*'FA Addition'!$L448,0)</f>
        <v>0</v>
      </c>
      <c r="AA448" s="116">
        <f>SUMIFS('FA Write off'!D:D,'FA Write off'!A:A,'FA Addition'!$A448,'FA Write off'!C:C,"&lt;"&amp;'FA Addition'!$L$1+1,'FA Write off'!C:C,"&gt;"&amp;'FA Addition'!$L$1-365)</f>
        <v>0</v>
      </c>
      <c r="AC448" s="118">
        <f>IFERROR(AA448/'FA Addition'!$J448*'FA Addition'!$L448,0)</f>
        <v>0</v>
      </c>
      <c r="AE448" s="117">
        <f>IF(AND('FA Addition'!$D448&lt;$P$1+1,U448=0),'FA Addition'!$L448,0)-Y448</f>
        <v>110161.02</v>
      </c>
      <c r="AF448" s="117">
        <f t="shared" si="30"/>
        <v>110161.02</v>
      </c>
      <c r="AG448" s="117">
        <f>MIN(MAX(+$P$1-'FA Addition'!$D448,0),365*'FA Addition'!$O448)</f>
        <v>369</v>
      </c>
      <c r="AH448" s="117">
        <f>MIN(MAX($L$1-'FA Addition'!$D448+1,0),365*'FA Addition'!$O448)</f>
        <v>735</v>
      </c>
      <c r="AI448" s="117" cm="1">
        <f t="array" ref="AI448">_xlfn.XLOOKUP(1,('FA Write off'!A:A='FA Addition'!$A448)*('FA Write off'!D:D=AA448),'FA Write off'!H:H,0,0)</f>
        <v>0</v>
      </c>
      <c r="AJ448" s="117">
        <f>IF(AC448&gt;0,MAX(IF('FA Addition'!$N448="SLM",($AC448-'FA Addition'!$M448)*'FA Addition'!$P448*AI448/365,(AC448-'FA Addition'!$M448)*(1-(1-'FA Addition'!$P448)^(AI448/365))),0),0)</f>
        <v>0</v>
      </c>
      <c r="AL448" s="117">
        <f>MAX(IF(AG448&gt;0,IF('FA Addition'!$N448="SLM",($AE448-'FA Addition'!$M448)*'FA Addition'!$P448*AG448/365,IFERROR(VDB(AE448,AE448*0.05,'FA Addition'!$O448,0,YEARFRAC('FA Addition'!$C448,$P$1-1,3),'FA Addition'!$Q448),FAAddition[[#This Row],[Original Cost (Rs)]]-FAAddition[[#This Row],[Salvage Value]])),0),0)</f>
        <v>69788.156440720399</v>
      </c>
      <c r="AM448" s="119"/>
      <c r="AN448" s="117">
        <f>MAX(IF(AH448&gt;0,IF('FA Addition'!$N448="SLM",($AF448-'FA Addition'!$M448)*'FA Addition'!$P448*AH448/365,IFERROR(VDB(AF448,AF448*0.05,'FA Addition'!$O448,0,YEARFRAC('FA Addition'!$C448,$L$1,3),'FA Addition'!$Q448),FAAddition[[#This Row],[Original Cost (Rs)]]-FAAddition[[#This Row],[Salvage Value]])),0),0)</f>
        <v>95313.446635190645</v>
      </c>
      <c r="AO448" s="117">
        <f t="shared" si="33"/>
        <v>25525.290194470246</v>
      </c>
      <c r="AQ448" s="117">
        <f t="shared" si="31"/>
        <v>40372.863559279605</v>
      </c>
      <c r="AR448" s="120">
        <f t="shared" si="32"/>
        <v>14847.573364809359</v>
      </c>
      <c r="AS448" s="121"/>
    </row>
    <row r="449" spans="1:45" ht="13.5" x14ac:dyDescent="0.4">
      <c r="A449" s="12">
        <f t="shared" si="34"/>
        <v>446</v>
      </c>
      <c r="B449" s="64" t="s">
        <v>1089</v>
      </c>
      <c r="C449" s="54">
        <v>44652</v>
      </c>
      <c r="D449" s="54">
        <v>44652</v>
      </c>
      <c r="E449" s="46" t="s">
        <v>32</v>
      </c>
      <c r="F449" s="51" t="s">
        <v>1090</v>
      </c>
      <c r="G449" s="51" t="s">
        <v>1091</v>
      </c>
      <c r="H449" s="51" t="s">
        <v>32</v>
      </c>
      <c r="I449" s="55" t="s">
        <v>1092</v>
      </c>
      <c r="J449" s="56">
        <v>500</v>
      </c>
      <c r="K449" s="51" t="s">
        <v>1093</v>
      </c>
      <c r="L449" s="58">
        <v>555000</v>
      </c>
      <c r="M449" s="50">
        <f>ROUND('FA Addition'!$L449*5%,0.1)</f>
        <v>27750</v>
      </c>
      <c r="N449" s="113" t="str">
        <f>_xlfn.XLOOKUP(_xlfn.CONCAT(E449,B449),'Year Wise Master Dep Approach'!F:F,'Year Wise Master Dep Approach'!D:D)</f>
        <v>WDV</v>
      </c>
      <c r="O449" s="113">
        <f>_xlfn.XLOOKUP(_xlfn.CONCAT(E449,B449),'Year Wise Master Dep Approach'!F:F,'Year Wise Master Dep Approach'!E:E)</f>
        <v>3</v>
      </c>
      <c r="P449" s="114">
        <f>IFERROR(IF('FA Addition'!$N449="WDV",1-('FA Addition'!$M449/'FA Addition'!$L449)^(1/'FA Addition'!$O449),1/'FA Addition'!$O449),0)</f>
        <v>0.63159685013596123</v>
      </c>
      <c r="Q449" s="122">
        <f>'FA Addition'!$P449*'FA Addition'!$O449</f>
        <v>1.8947905504078837</v>
      </c>
      <c r="R449" s="122"/>
      <c r="S449" s="116">
        <f>IF(AND(DATE(20&amp;LEFT(FAAddition[[#This Row],[FY]],2),4,1)&lt;$L$1+1,DATE(20&amp;LEFT(FAAddition[[#This Row],[FY]],2),4,1)&gt;$P$1-1),'FA Addition'!$J449,0)</f>
        <v>0</v>
      </c>
      <c r="U449" s="117">
        <f>S449*'FA Addition'!$L449/'FA Addition'!$J449</f>
        <v>0</v>
      </c>
      <c r="W449" s="116">
        <f>SUMIFS('FA Write off'!D:D,'FA Write off'!A:A,'FA Addition'!$A449,'FA Write off'!C:C,"&lt;"&amp;'FA Addition'!$P$1)</f>
        <v>5</v>
      </c>
      <c r="Y449" s="191">
        <f>IFERROR(W449/'FA Addition'!$J449*'FA Addition'!$L449,0)</f>
        <v>5550</v>
      </c>
      <c r="AA449" s="116">
        <f>SUMIFS('FA Write off'!D:D,'FA Write off'!A:A,'FA Addition'!$A449,'FA Write off'!C:C,"&lt;"&amp;'FA Addition'!$L$1+1,'FA Write off'!C:C,"&gt;"&amp;'FA Addition'!$L$1-365)</f>
        <v>0</v>
      </c>
      <c r="AC449" s="191">
        <f>IFERROR(AA449/'FA Addition'!$J449*'FA Addition'!$L449,0)</f>
        <v>0</v>
      </c>
      <c r="AE449" s="117">
        <f>IF(AND('FA Addition'!$D449&lt;$P$1+1,U449=0),'FA Addition'!$L449,0)-Y449</f>
        <v>549450</v>
      </c>
      <c r="AF449" s="117">
        <f t="shared" si="30"/>
        <v>549450</v>
      </c>
      <c r="AG449" s="117">
        <f>MIN(MAX(+$P$1-'FA Addition'!$D449,0),365*'FA Addition'!$O449)</f>
        <v>365</v>
      </c>
      <c r="AH449" s="117">
        <f>MIN(MAX($L$1-'FA Addition'!$D449+1,0),365*'FA Addition'!$O449)</f>
        <v>731</v>
      </c>
      <c r="AI449" s="117" cm="1">
        <f t="array" ref="AI449">_xlfn.XLOOKUP(1,('FA Write off'!A:A='FA Addition'!$A449)*('FA Write off'!D:D=AA449),'FA Write off'!H:H,0,0)</f>
        <v>0</v>
      </c>
      <c r="AJ449" s="117">
        <f>IF(AC449&gt;0,MAX(IF('FA Addition'!$N449="SLM",($AC449-'FA Addition'!$M449)*'FA Addition'!$P449*AI449/365,(AC449-'FA Addition'!$M449)*(1-(1-'FA Addition'!$P449)^(AI449/365))),0),0)</f>
        <v>0</v>
      </c>
      <c r="AL449" s="117">
        <f>MAX(IF(AG449&gt;0,IF('FA Addition'!$N449="SLM",($AE449-'FA Addition'!$M449)*'FA Addition'!$P449*AG449/365,IFERROR(VDB(AE449,AE449*0.05,'FA Addition'!$O449,0,YEARFRAC('FA Addition'!$C449,$P$1-1,3),'FA Addition'!$Q449),FAAddition[[#This Row],[Original Cost (Rs)]]-FAAddition[[#This Row],[Salvage Value]])),0),0)</f>
        <v>346080.11974745814</v>
      </c>
      <c r="AM449" s="119"/>
      <c r="AN449" s="117">
        <f>MAX(IF(AH449&gt;0,IF('FA Addition'!$N449="SLM",($AF449-'FA Addition'!$M449)*'FA Addition'!$P449*AH449/365,IFERROR(VDB(AF449,AF449*0.05,'FA Addition'!$O449,0,YEARFRAC('FA Addition'!$C449,$L$1,3),'FA Addition'!$Q449),FAAddition[[#This Row],[Original Cost (Rs)]]-FAAddition[[#This Row],[Salvage Value]])),0),0)</f>
        <v>474878.16202809638</v>
      </c>
      <c r="AO449" s="117">
        <f t="shared" si="33"/>
        <v>128798.04228063824</v>
      </c>
      <c r="AP449" s="206"/>
      <c r="AQ449" s="117">
        <f t="shared" si="31"/>
        <v>203369.88025254186</v>
      </c>
      <c r="AR449" s="120">
        <f t="shared" si="32"/>
        <v>74571.837971903617</v>
      </c>
      <c r="AS449" s="121"/>
    </row>
    <row r="450" spans="1:45" ht="13.5" x14ac:dyDescent="0.4">
      <c r="A450" s="12">
        <f t="shared" si="34"/>
        <v>447</v>
      </c>
      <c r="B450" s="64" t="s">
        <v>1089</v>
      </c>
      <c r="C450" s="54">
        <v>44652</v>
      </c>
      <c r="D450" s="54">
        <v>44652</v>
      </c>
      <c r="E450" s="46" t="s">
        <v>32</v>
      </c>
      <c r="F450" s="51" t="s">
        <v>1090</v>
      </c>
      <c r="G450" s="51" t="s">
        <v>1091</v>
      </c>
      <c r="H450" s="51" t="s">
        <v>32</v>
      </c>
      <c r="I450" s="55" t="s">
        <v>1094</v>
      </c>
      <c r="J450" s="56">
        <v>80</v>
      </c>
      <c r="K450" s="51" t="s">
        <v>1095</v>
      </c>
      <c r="L450" s="58">
        <v>84000</v>
      </c>
      <c r="M450" s="50">
        <f>ROUND('FA Addition'!$L450*5%,0.1)</f>
        <v>4200</v>
      </c>
      <c r="N450" s="113" t="str">
        <f>_xlfn.XLOOKUP(_xlfn.CONCAT(E450,B450),'Year Wise Master Dep Approach'!F:F,'Year Wise Master Dep Approach'!D:D)</f>
        <v>WDV</v>
      </c>
      <c r="O450" s="113">
        <f>_xlfn.XLOOKUP(_xlfn.CONCAT(E450,B450),'Year Wise Master Dep Approach'!F:F,'Year Wise Master Dep Approach'!E:E)</f>
        <v>3</v>
      </c>
      <c r="P450" s="114">
        <f>IFERROR(IF('FA Addition'!$N450="WDV",1-('FA Addition'!$M450/'FA Addition'!$L450)^(1/'FA Addition'!$O450),1/'FA Addition'!$O450),0)</f>
        <v>0.63159685013596123</v>
      </c>
      <c r="Q450" s="122">
        <f>'FA Addition'!$P450*'FA Addition'!$O450</f>
        <v>1.8947905504078837</v>
      </c>
      <c r="R450" s="122"/>
      <c r="S450" s="116">
        <f>IF(AND(DATE(20&amp;LEFT(FAAddition[[#This Row],[FY]],2),4,1)&lt;$L$1+1,DATE(20&amp;LEFT(FAAddition[[#This Row],[FY]],2),4,1)&gt;$P$1-1),'FA Addition'!$J450,0)</f>
        <v>0</v>
      </c>
      <c r="U450" s="117">
        <f>S450*'FA Addition'!$L450/'FA Addition'!$J450</f>
        <v>0</v>
      </c>
      <c r="W450" s="116">
        <f>SUMIFS('FA Write off'!D:D,'FA Write off'!A:A,'FA Addition'!$A450,'FA Write off'!C:C,"&lt;"&amp;'FA Addition'!$P$1)</f>
        <v>1</v>
      </c>
      <c r="Y450" s="191">
        <f>IFERROR(W450/'FA Addition'!$J450*'FA Addition'!$L450,0)</f>
        <v>1050</v>
      </c>
      <c r="AA450" s="116">
        <f>SUMIFS('FA Write off'!D:D,'FA Write off'!A:A,'FA Addition'!$A450,'FA Write off'!C:C,"&lt;"&amp;'FA Addition'!$L$1+1,'FA Write off'!C:C,"&gt;"&amp;'FA Addition'!$L$1-365)</f>
        <v>0</v>
      </c>
      <c r="AC450" s="191">
        <f>IFERROR(AA450/'FA Addition'!$J450*'FA Addition'!$L450,0)</f>
        <v>0</v>
      </c>
      <c r="AE450" s="117">
        <f>IF(AND('FA Addition'!$D450&lt;$P$1+1,U450=0),'FA Addition'!$L450,0)-Y450</f>
        <v>82950</v>
      </c>
      <c r="AF450" s="117">
        <f t="shared" si="30"/>
        <v>82950</v>
      </c>
      <c r="AG450" s="117">
        <f>MIN(MAX(+$P$1-'FA Addition'!$D450,0),365*'FA Addition'!$O450)</f>
        <v>365</v>
      </c>
      <c r="AH450" s="117">
        <f>MIN(MAX($L$1-'FA Addition'!$D450+1,0),365*'FA Addition'!$O450)</f>
        <v>731</v>
      </c>
      <c r="AI450" s="117" cm="1">
        <f t="array" ref="AI450">_xlfn.XLOOKUP(1,('FA Write off'!A:A='FA Addition'!$A450)*('FA Write off'!D:D=AA450),'FA Write off'!H:H,0,0)</f>
        <v>0</v>
      </c>
      <c r="AJ450" s="117">
        <f>IF(AC450&gt;0,MAX(IF('FA Addition'!$N450="SLM",($AC450-'FA Addition'!$M450)*'FA Addition'!$P450*AI450/365,(AC450-'FA Addition'!$M450)*(1-(1-'FA Addition'!$P450)^(AI450/365))),0),0)</f>
        <v>0</v>
      </c>
      <c r="AL450" s="117">
        <f>MAX(IF(AG450&gt;0,IF('FA Addition'!$N450="SLM",($AE450-'FA Addition'!$M450)*'FA Addition'!$P450*AG450/365,IFERROR(VDB(AE450,AE450*0.05,'FA Addition'!$O450,0,YEARFRAC('FA Addition'!$C450,$P$1-1,3),'FA Addition'!$Q450),FAAddition[[#This Row],[Original Cost (Rs)]]-FAAddition[[#This Row],[Salvage Value]])),0),0)</f>
        <v>52247.421845575853</v>
      </c>
      <c r="AM450" s="119"/>
      <c r="AN450" s="117">
        <f>MAX(IF(AH450&gt;0,IF('FA Addition'!$N450="SLM",($AF450-'FA Addition'!$M450)*'FA Addition'!$P450*AH450/365,IFERROR(VDB(AF450,AF450*0.05,'FA Addition'!$O450,0,YEARFRAC('FA Addition'!$C450,$L$1,3),'FA Addition'!$Q450),FAAddition[[#This Row],[Original Cost (Rs)]]-FAAddition[[#This Row],[Salvage Value]])),0),0)</f>
        <v>71691.952935172623</v>
      </c>
      <c r="AO450" s="117">
        <f t="shared" si="33"/>
        <v>19444.53108959677</v>
      </c>
      <c r="AP450" s="206"/>
      <c r="AQ450" s="117">
        <f t="shared" si="31"/>
        <v>30702.578154424147</v>
      </c>
      <c r="AR450" s="120">
        <f t="shared" si="32"/>
        <v>11258.047064827377</v>
      </c>
      <c r="AS450" s="121"/>
    </row>
    <row r="451" spans="1:45" ht="13.5" x14ac:dyDescent="0.4">
      <c r="A451" s="12">
        <f t="shared" si="34"/>
        <v>448</v>
      </c>
      <c r="B451" s="64" t="s">
        <v>1089</v>
      </c>
      <c r="C451" s="54">
        <v>44652</v>
      </c>
      <c r="D451" s="54">
        <v>44652</v>
      </c>
      <c r="E451" s="46" t="s">
        <v>32</v>
      </c>
      <c r="F451" s="51" t="s">
        <v>1090</v>
      </c>
      <c r="G451" s="51" t="s">
        <v>1091</v>
      </c>
      <c r="H451" s="51" t="s">
        <v>32</v>
      </c>
      <c r="I451" s="55" t="s">
        <v>1096</v>
      </c>
      <c r="J451" s="56">
        <v>500</v>
      </c>
      <c r="K451" s="51" t="s">
        <v>1097</v>
      </c>
      <c r="L451" s="58">
        <v>555000</v>
      </c>
      <c r="M451" s="50">
        <f>ROUND('FA Addition'!$L451*5%,0.1)</f>
        <v>27750</v>
      </c>
      <c r="N451" s="113" t="str">
        <f>_xlfn.XLOOKUP(_xlfn.CONCAT(E451,B451),'Year Wise Master Dep Approach'!F:F,'Year Wise Master Dep Approach'!D:D)</f>
        <v>WDV</v>
      </c>
      <c r="O451" s="113">
        <f>_xlfn.XLOOKUP(_xlfn.CONCAT(E451,B451),'Year Wise Master Dep Approach'!F:F,'Year Wise Master Dep Approach'!E:E)</f>
        <v>3</v>
      </c>
      <c r="P451" s="114">
        <f>IFERROR(IF('FA Addition'!$N451="WDV",1-('FA Addition'!$M451/'FA Addition'!$L451)^(1/'FA Addition'!$O451),1/'FA Addition'!$O451),0)</f>
        <v>0.63159685013596123</v>
      </c>
      <c r="Q451" s="122">
        <f>'FA Addition'!$P451*'FA Addition'!$O451</f>
        <v>1.8947905504078837</v>
      </c>
      <c r="R451" s="122"/>
      <c r="S451" s="116">
        <f>IF(AND(DATE(20&amp;LEFT(FAAddition[[#This Row],[FY]],2),4,1)&lt;$L$1+1,DATE(20&amp;LEFT(FAAddition[[#This Row],[FY]],2),4,1)&gt;$P$1-1),'FA Addition'!$J451,0)</f>
        <v>0</v>
      </c>
      <c r="U451" s="117">
        <f>S451*'FA Addition'!$L451/'FA Addition'!$J451</f>
        <v>0</v>
      </c>
      <c r="W451" s="116">
        <f>SUMIFS('FA Write off'!D:D,'FA Write off'!A:A,'FA Addition'!$A451,'FA Write off'!C:C,"&lt;"&amp;'FA Addition'!$P$1)</f>
        <v>3</v>
      </c>
      <c r="Y451" s="191">
        <f>IFERROR(W451/'FA Addition'!$J451*'FA Addition'!$L451,0)</f>
        <v>3330</v>
      </c>
      <c r="AA451" s="116">
        <f>SUMIFS('FA Write off'!D:D,'FA Write off'!A:A,'FA Addition'!$A451,'FA Write off'!C:C,"&lt;"&amp;'FA Addition'!$L$1+1,'FA Write off'!C:C,"&gt;"&amp;'FA Addition'!$L$1-365)</f>
        <v>0</v>
      </c>
      <c r="AC451" s="191">
        <f>IFERROR(AA451/'FA Addition'!$J451*'FA Addition'!$L451,0)</f>
        <v>0</v>
      </c>
      <c r="AE451" s="117">
        <f>IF(AND('FA Addition'!$D451&lt;$P$1+1,U451=0),'FA Addition'!$L451,0)-Y451</f>
        <v>551670</v>
      </c>
      <c r="AF451" s="117">
        <f t="shared" si="30"/>
        <v>551670</v>
      </c>
      <c r="AG451" s="117">
        <f>MIN(MAX(+$P$1-'FA Addition'!$D451,0),365*'FA Addition'!$O451)</f>
        <v>365</v>
      </c>
      <c r="AH451" s="117">
        <f>MIN(MAX($L$1-'FA Addition'!$D451+1,0),365*'FA Addition'!$O451)</f>
        <v>731</v>
      </c>
      <c r="AI451" s="117" cm="1">
        <f t="array" ref="AI451">_xlfn.XLOOKUP(1,('FA Write off'!A:A='FA Addition'!$A451)*('FA Write off'!D:D=AA451),'FA Write off'!H:H,0,0)</f>
        <v>0</v>
      </c>
      <c r="AJ451" s="117">
        <f>IF(AC451&gt;0,MAX(IF('FA Addition'!$N451="SLM",($AC451-'FA Addition'!$M451)*'FA Addition'!$P451*AI451/365,(AC451-'FA Addition'!$M451)*(1-(1-'FA Addition'!$P451)^(AI451/365))),0),0)</f>
        <v>0</v>
      </c>
      <c r="AL451" s="117">
        <f>MAX(IF(AG451&gt;0,IF('FA Addition'!$N451="SLM",($AE451-'FA Addition'!$M451)*'FA Addition'!$P451*AG451/365,IFERROR(VDB(AE451,AE451*0.05,'FA Addition'!$O451,0,YEARFRAC('FA Addition'!$C451,$P$1-1,3),'FA Addition'!$Q451),FAAddition[[#This Row],[Original Cost (Rs)]]-FAAddition[[#This Row],[Salvage Value]])),0),0)</f>
        <v>347478.42326158931</v>
      </c>
      <c r="AM451" s="119"/>
      <c r="AN451" s="117">
        <f>MAX(IF(AH451&gt;0,IF('FA Addition'!$N451="SLM",($AF451-'FA Addition'!$M451)*'FA Addition'!$P451*AH451/365,IFERROR(VDB(AF451,AF451*0.05,'FA Addition'!$O451,0,YEARFRAC('FA Addition'!$C451,$L$1,3),'FA Addition'!$Q451),FAAddition[[#This Row],[Original Cost (Rs)]]-FAAddition[[#This Row],[Salvage Value]])),0),0)</f>
        <v>476796.86167265434</v>
      </c>
      <c r="AO451" s="117">
        <f t="shared" si="33"/>
        <v>129318.43841106503</v>
      </c>
      <c r="AP451" s="206"/>
      <c r="AQ451" s="117">
        <f t="shared" si="31"/>
        <v>204191.57673841069</v>
      </c>
      <c r="AR451" s="120">
        <f t="shared" si="32"/>
        <v>74873.138327345659</v>
      </c>
      <c r="AS451" s="121"/>
    </row>
    <row r="452" spans="1:45" ht="13.5" x14ac:dyDescent="0.4">
      <c r="A452" s="12">
        <f t="shared" si="34"/>
        <v>449</v>
      </c>
      <c r="B452" s="64" t="s">
        <v>1089</v>
      </c>
      <c r="C452" s="54">
        <v>44652</v>
      </c>
      <c r="D452" s="54">
        <v>44652</v>
      </c>
      <c r="E452" s="46" t="s">
        <v>32</v>
      </c>
      <c r="F452" s="51" t="s">
        <v>1090</v>
      </c>
      <c r="G452" s="51" t="s">
        <v>1091</v>
      </c>
      <c r="H452" s="51" t="s">
        <v>32</v>
      </c>
      <c r="I452" s="55" t="s">
        <v>1098</v>
      </c>
      <c r="J452" s="56">
        <v>1000</v>
      </c>
      <c r="K452" s="51" t="s">
        <v>1099</v>
      </c>
      <c r="L452" s="58">
        <v>1050000</v>
      </c>
      <c r="M452" s="50">
        <f>ROUND('FA Addition'!$L452*5%,0.1)</f>
        <v>52500</v>
      </c>
      <c r="N452" s="113" t="str">
        <f>_xlfn.XLOOKUP(_xlfn.CONCAT(E452,B452),'Year Wise Master Dep Approach'!F:F,'Year Wise Master Dep Approach'!D:D)</f>
        <v>WDV</v>
      </c>
      <c r="O452" s="113">
        <f>_xlfn.XLOOKUP(_xlfn.CONCAT(E452,B452),'Year Wise Master Dep Approach'!F:F,'Year Wise Master Dep Approach'!E:E)</f>
        <v>3</v>
      </c>
      <c r="P452" s="114">
        <f>IFERROR(IF('FA Addition'!$N452="WDV",1-('FA Addition'!$M452/'FA Addition'!$L452)^(1/'FA Addition'!$O452),1/'FA Addition'!$O452),0)</f>
        <v>0.63159685013596123</v>
      </c>
      <c r="Q452" s="122">
        <f>'FA Addition'!$P452*'FA Addition'!$O452</f>
        <v>1.8947905504078837</v>
      </c>
      <c r="R452" s="122"/>
      <c r="S452" s="116">
        <f>IF(AND(DATE(20&amp;LEFT(FAAddition[[#This Row],[FY]],2),4,1)&lt;$L$1+1,DATE(20&amp;LEFT(FAAddition[[#This Row],[FY]],2),4,1)&gt;$P$1-1),'FA Addition'!$J452,0)</f>
        <v>0</v>
      </c>
      <c r="U452" s="117">
        <f>S452*'FA Addition'!$L452/'FA Addition'!$J452</f>
        <v>0</v>
      </c>
      <c r="W452" s="116">
        <f>SUMIFS('FA Write off'!D:D,'FA Write off'!A:A,'FA Addition'!$A452,'FA Write off'!C:C,"&lt;"&amp;'FA Addition'!$P$1)</f>
        <v>4</v>
      </c>
      <c r="Y452" s="191">
        <f>IFERROR(W452/'FA Addition'!$J452*'FA Addition'!$L452,0)</f>
        <v>4200</v>
      </c>
      <c r="AA452" s="116">
        <f>SUMIFS('FA Write off'!D:D,'FA Write off'!A:A,'FA Addition'!$A452,'FA Write off'!C:C,"&lt;"&amp;'FA Addition'!$L$1+1,'FA Write off'!C:C,"&gt;"&amp;'FA Addition'!$L$1-365)</f>
        <v>0</v>
      </c>
      <c r="AC452" s="191">
        <f>IFERROR(AA452/'FA Addition'!$J452*'FA Addition'!$L452,0)</f>
        <v>0</v>
      </c>
      <c r="AE452" s="117">
        <f>IF(AND('FA Addition'!$D452&lt;$P$1+1,U452=0),'FA Addition'!$L452,0)-Y452</f>
        <v>1045800</v>
      </c>
      <c r="AF452" s="117">
        <f t="shared" ref="AF452:AF515" si="35">AE452+U452-AC452</f>
        <v>1045800</v>
      </c>
      <c r="AG452" s="117">
        <f>MIN(MAX(+$P$1-'FA Addition'!$D452,0),365*'FA Addition'!$O452)</f>
        <v>365</v>
      </c>
      <c r="AH452" s="117">
        <f>MIN(MAX($L$1-'FA Addition'!$D452+1,0),365*'FA Addition'!$O452)</f>
        <v>731</v>
      </c>
      <c r="AI452" s="117" cm="1">
        <f t="array" ref="AI452">_xlfn.XLOOKUP(1,('FA Write off'!A:A='FA Addition'!$A452)*('FA Write off'!D:D=AA452),'FA Write off'!H:H,0,0)</f>
        <v>0</v>
      </c>
      <c r="AJ452" s="117">
        <f>IF(AC452&gt;0,MAX(IF('FA Addition'!$N452="SLM",($AC452-'FA Addition'!$M452)*'FA Addition'!$P452*AI452/365,(AC452-'FA Addition'!$M452)*(1-(1-'FA Addition'!$P452)^(AI452/365))),0),0)</f>
        <v>0</v>
      </c>
      <c r="AL452" s="117">
        <f>MAX(IF(AG452&gt;0,IF('FA Addition'!$N452="SLM",($AE452-'FA Addition'!$M452)*'FA Addition'!$P452*AG452/365,IFERROR(VDB(AE452,AE452*0.05,'FA Addition'!$O452,0,YEARFRAC('FA Addition'!$C452,$P$1-1,3),'FA Addition'!$Q452),FAAddition[[#This Row],[Original Cost (Rs)]]-FAAddition[[#This Row],[Salvage Value]])),0),0)</f>
        <v>658714.331116374</v>
      </c>
      <c r="AM452" s="119"/>
      <c r="AN452" s="117">
        <f>MAX(IF(AH452&gt;0,IF('FA Addition'!$N452="SLM",($AF452-'FA Addition'!$M452)*'FA Addition'!$P452*AH452/365,IFERROR(VDB(AF452,AF452*0.05,'FA Addition'!$O452,0,YEARFRAC('FA Addition'!$C452,$L$1,3),'FA Addition'!$Q452),FAAddition[[#This Row],[Original Cost (Rs)]]-FAAddition[[#This Row],[Salvage Value]])),0),0)</f>
        <v>903863.10282825225</v>
      </c>
      <c r="AO452" s="117">
        <f t="shared" si="33"/>
        <v>245148.77171187825</v>
      </c>
      <c r="AP452" s="206"/>
      <c r="AQ452" s="117">
        <f t="shared" ref="AQ452:AQ515" si="36">AE452-AL452</f>
        <v>387085.668883626</v>
      </c>
      <c r="AR452" s="120">
        <f t="shared" ref="AR452:AR515" si="37">AF452-AN452</f>
        <v>141936.89717174775</v>
      </c>
      <c r="AS452" s="121"/>
    </row>
    <row r="453" spans="1:45" ht="13.5" x14ac:dyDescent="0.4">
      <c r="A453" s="12">
        <f t="shared" si="34"/>
        <v>450</v>
      </c>
      <c r="B453" s="64" t="s">
        <v>1089</v>
      </c>
      <c r="C453" s="54">
        <v>44652</v>
      </c>
      <c r="D453" s="54">
        <v>44652</v>
      </c>
      <c r="E453" s="46" t="s">
        <v>32</v>
      </c>
      <c r="F453" s="51" t="s">
        <v>1090</v>
      </c>
      <c r="G453" s="51" t="s">
        <v>1091</v>
      </c>
      <c r="H453" s="51" t="s">
        <v>32</v>
      </c>
      <c r="I453" s="55" t="s">
        <v>1100</v>
      </c>
      <c r="J453" s="56">
        <v>2000</v>
      </c>
      <c r="K453" s="51" t="s">
        <v>1101</v>
      </c>
      <c r="L453" s="58">
        <v>2100000</v>
      </c>
      <c r="M453" s="50">
        <f>ROUND('FA Addition'!$L453*5%,0.1)</f>
        <v>105000</v>
      </c>
      <c r="N453" s="113" t="str">
        <f>_xlfn.XLOOKUP(_xlfn.CONCAT(E453,B453),'Year Wise Master Dep Approach'!F:F,'Year Wise Master Dep Approach'!D:D)</f>
        <v>WDV</v>
      </c>
      <c r="O453" s="113">
        <f>_xlfn.XLOOKUP(_xlfn.CONCAT(E453,B453),'Year Wise Master Dep Approach'!F:F,'Year Wise Master Dep Approach'!E:E)</f>
        <v>3</v>
      </c>
      <c r="P453" s="114">
        <f>IFERROR(IF('FA Addition'!$N453="WDV",1-('FA Addition'!$M453/'FA Addition'!$L453)^(1/'FA Addition'!$O453),1/'FA Addition'!$O453),0)</f>
        <v>0.63159685013596123</v>
      </c>
      <c r="Q453" s="122">
        <f>'FA Addition'!$P453*'FA Addition'!$O453</f>
        <v>1.8947905504078837</v>
      </c>
      <c r="R453" s="122"/>
      <c r="S453" s="116">
        <f>IF(AND(DATE(20&amp;LEFT(FAAddition[[#This Row],[FY]],2),4,1)&lt;$L$1+1,DATE(20&amp;LEFT(FAAddition[[#This Row],[FY]],2),4,1)&gt;$P$1-1),'FA Addition'!$J453,0)</f>
        <v>0</v>
      </c>
      <c r="U453" s="117">
        <f>S453*'FA Addition'!$L453/'FA Addition'!$J453</f>
        <v>0</v>
      </c>
      <c r="W453" s="116">
        <f>SUMIFS('FA Write off'!D:D,'FA Write off'!A:A,'FA Addition'!$A453,'FA Write off'!C:C,"&lt;"&amp;'FA Addition'!$P$1)</f>
        <v>9</v>
      </c>
      <c r="Y453" s="191">
        <f>IFERROR(W453/'FA Addition'!$J453*'FA Addition'!$L453,0)</f>
        <v>9450</v>
      </c>
      <c r="AA453" s="116">
        <f>SUMIFS('FA Write off'!D:D,'FA Write off'!A:A,'FA Addition'!$A453,'FA Write off'!C:C,"&lt;"&amp;'FA Addition'!$L$1+1,'FA Write off'!C:C,"&gt;"&amp;'FA Addition'!$L$1-365)</f>
        <v>0</v>
      </c>
      <c r="AC453" s="191">
        <f>IFERROR(AA453/'FA Addition'!$J453*'FA Addition'!$L453,0)</f>
        <v>0</v>
      </c>
      <c r="AE453" s="117">
        <f>IF(AND('FA Addition'!$D453&lt;$P$1+1,U453=0),'FA Addition'!$L453,0)-Y453</f>
        <v>2090550</v>
      </c>
      <c r="AF453" s="117">
        <f t="shared" si="35"/>
        <v>2090550</v>
      </c>
      <c r="AG453" s="117">
        <f>MIN(MAX(+$P$1-'FA Addition'!$D453,0),365*'FA Addition'!$O453)</f>
        <v>365</v>
      </c>
      <c r="AH453" s="117">
        <f>MIN(MAX($L$1-'FA Addition'!$D453+1,0),365*'FA Addition'!$O453)</f>
        <v>731</v>
      </c>
      <c r="AI453" s="117" cm="1">
        <f t="array" ref="AI453">_xlfn.XLOOKUP(1,('FA Write off'!A:A='FA Addition'!$A453)*('FA Write off'!D:D=AA453),'FA Write off'!H:H,0,0)</f>
        <v>0</v>
      </c>
      <c r="AJ453" s="117">
        <f>IF(AC453&gt;0,MAX(IF('FA Addition'!$N453="SLM",($AC453-'FA Addition'!$M453)*'FA Addition'!$P453*AI453/365,(AC453-'FA Addition'!$M453)*(1-(1-'FA Addition'!$P453)^(AI453/365))),0),0)</f>
        <v>0</v>
      </c>
      <c r="AL453" s="117">
        <f>MAX(IF(AG453&gt;0,IF('FA Addition'!$N453="SLM",($AE453-'FA Addition'!$M453)*'FA Addition'!$P453*AG453/365,IFERROR(VDB(AE453,AE453*0.05,'FA Addition'!$O453,0,YEARFRAC('FA Addition'!$C453,$P$1-1,3),'FA Addition'!$Q453),FAAddition[[#This Row],[Original Cost (Rs)]]-FAAddition[[#This Row],[Salvage Value]])),0),0)</f>
        <v>1316767.3024625508</v>
      </c>
      <c r="AM453" s="119"/>
      <c r="AN453" s="117">
        <f>MAX(IF(AH453&gt;0,IF('FA Addition'!$N453="SLM",($AF453-'FA Addition'!$M453)*'FA Addition'!$P453*AH453/365,IFERROR(VDB(AF453,AF453*0.05,'FA Addition'!$O453,0,YEARFRAC('FA Addition'!$C453,$L$1,3),'FA Addition'!$Q453),FAAddition[[#This Row],[Original Cost (Rs)]]-FAAddition[[#This Row],[Salvage Value]])),0),0)</f>
        <v>1806818.7125813756</v>
      </c>
      <c r="AO453" s="117">
        <f t="shared" ref="AO453:AO516" si="38">AN453-AL453+AJ453</f>
        <v>490051.4101188248</v>
      </c>
      <c r="AP453" s="206"/>
      <c r="AQ453" s="117">
        <f t="shared" si="36"/>
        <v>773782.69753744919</v>
      </c>
      <c r="AR453" s="120">
        <f t="shared" si="37"/>
        <v>283731.28741862439</v>
      </c>
      <c r="AS453" s="121"/>
    </row>
    <row r="454" spans="1:45" ht="13.5" x14ac:dyDescent="0.4">
      <c r="A454" s="12">
        <f t="shared" ref="A454:A517" si="39">A453+1</f>
        <v>451</v>
      </c>
      <c r="B454" s="64" t="s">
        <v>1089</v>
      </c>
      <c r="C454" s="54">
        <v>44652</v>
      </c>
      <c r="D454" s="54">
        <v>44652</v>
      </c>
      <c r="E454" s="46" t="s">
        <v>32</v>
      </c>
      <c r="F454" s="51" t="s">
        <v>1090</v>
      </c>
      <c r="G454" s="51" t="s">
        <v>1091</v>
      </c>
      <c r="H454" s="51" t="s">
        <v>32</v>
      </c>
      <c r="I454" s="55" t="s">
        <v>1102</v>
      </c>
      <c r="J454" s="56">
        <v>1000</v>
      </c>
      <c r="K454" s="51" t="s">
        <v>1103</v>
      </c>
      <c r="L454" s="58">
        <v>1050000</v>
      </c>
      <c r="M454" s="50">
        <f>ROUND('FA Addition'!$L454*5%,0.1)</f>
        <v>52500</v>
      </c>
      <c r="N454" s="113" t="str">
        <f>_xlfn.XLOOKUP(_xlfn.CONCAT(E454,B454),'Year Wise Master Dep Approach'!F:F,'Year Wise Master Dep Approach'!D:D)</f>
        <v>WDV</v>
      </c>
      <c r="O454" s="113">
        <f>_xlfn.XLOOKUP(_xlfn.CONCAT(E454,B454),'Year Wise Master Dep Approach'!F:F,'Year Wise Master Dep Approach'!E:E)</f>
        <v>3</v>
      </c>
      <c r="P454" s="114">
        <f>IFERROR(IF('FA Addition'!$N454="WDV",1-('FA Addition'!$M454/'FA Addition'!$L454)^(1/'FA Addition'!$O454),1/'FA Addition'!$O454),0)</f>
        <v>0.63159685013596123</v>
      </c>
      <c r="Q454" s="122">
        <f>'FA Addition'!$P454*'FA Addition'!$O454</f>
        <v>1.8947905504078837</v>
      </c>
      <c r="R454" s="122"/>
      <c r="S454" s="116">
        <f>IF(AND(DATE(20&amp;LEFT(FAAddition[[#This Row],[FY]],2),4,1)&lt;$L$1+1,DATE(20&amp;LEFT(FAAddition[[#This Row],[FY]],2),4,1)&gt;$P$1-1),'FA Addition'!$J454,0)</f>
        <v>0</v>
      </c>
      <c r="U454" s="117">
        <f>S454*'FA Addition'!$L454/'FA Addition'!$J454</f>
        <v>0</v>
      </c>
      <c r="W454" s="116">
        <f>SUMIFS('FA Write off'!D:D,'FA Write off'!A:A,'FA Addition'!$A454,'FA Write off'!C:C,"&lt;"&amp;'FA Addition'!$P$1)</f>
        <v>15</v>
      </c>
      <c r="Y454" s="191">
        <f>IFERROR(W454/'FA Addition'!$J454*'FA Addition'!$L454,0)</f>
        <v>15750</v>
      </c>
      <c r="AA454" s="116">
        <f>SUMIFS('FA Write off'!D:D,'FA Write off'!A:A,'FA Addition'!$A454,'FA Write off'!C:C,"&lt;"&amp;'FA Addition'!$L$1+1,'FA Write off'!C:C,"&gt;"&amp;'FA Addition'!$L$1-365)</f>
        <v>0</v>
      </c>
      <c r="AC454" s="191">
        <f>IFERROR(AA454/'FA Addition'!$J454*'FA Addition'!$L454,0)</f>
        <v>0</v>
      </c>
      <c r="AE454" s="117">
        <f>IF(AND('FA Addition'!$D454&lt;$P$1+1,U454=0),'FA Addition'!$L454,0)-Y454</f>
        <v>1034250</v>
      </c>
      <c r="AF454" s="117">
        <f t="shared" si="35"/>
        <v>1034250</v>
      </c>
      <c r="AG454" s="117">
        <f>MIN(MAX(+$P$1-'FA Addition'!$D454,0),365*'FA Addition'!$O454)</f>
        <v>365</v>
      </c>
      <c r="AH454" s="117">
        <f>MIN(MAX($L$1-'FA Addition'!$D454+1,0),365*'FA Addition'!$O454)</f>
        <v>731</v>
      </c>
      <c r="AI454" s="117" cm="1">
        <f t="array" ref="AI454">_xlfn.XLOOKUP(1,('FA Write off'!A:A='FA Addition'!$A454)*('FA Write off'!D:D=AA454),'FA Write off'!H:H,0,0)</f>
        <v>0</v>
      </c>
      <c r="AJ454" s="117">
        <f>IF(AC454&gt;0,MAX(IF('FA Addition'!$N454="SLM",($AC454-'FA Addition'!$M454)*'FA Addition'!$P454*AI454/365,(AC454-'FA Addition'!$M454)*(1-(1-'FA Addition'!$P454)^(AI454/365))),0),0)</f>
        <v>0</v>
      </c>
      <c r="AL454" s="117">
        <f>MAX(IF(AG454&gt;0,IF('FA Addition'!$N454="SLM",($AE454-'FA Addition'!$M454)*'FA Addition'!$P454*AG454/365,IFERROR(VDB(AE454,AE454*0.05,'FA Addition'!$O454,0,YEARFRAC('FA Addition'!$C454,$P$1-1,3),'FA Addition'!$Q454),FAAddition[[#This Row],[Original Cost (Rs)]]-FAAddition[[#This Row],[Salvage Value]])),0),0)</f>
        <v>651439.37364420528</v>
      </c>
      <c r="AM454" s="119"/>
      <c r="AN454" s="117">
        <f>MAX(IF(AH454&gt;0,IF('FA Addition'!$N454="SLM",($AF454-'FA Addition'!$M454)*'FA Addition'!$P454*AH454/365,IFERROR(VDB(AF454,AF454*0.05,'FA Addition'!$O454,0,YEARFRAC('FA Addition'!$C454,$L$1,3),'FA Addition'!$Q454),FAAddition[[#This Row],[Original Cost (Rs)]]-FAAddition[[#This Row],[Salvage Value]])),0),0)</f>
        <v>893880.67900183587</v>
      </c>
      <c r="AO454" s="117">
        <f t="shared" si="38"/>
        <v>242441.3053576306</v>
      </c>
      <c r="AP454" s="206"/>
      <c r="AQ454" s="117">
        <f t="shared" si="36"/>
        <v>382810.62635579472</v>
      </c>
      <c r="AR454" s="120">
        <f t="shared" si="37"/>
        <v>140369.32099816413</v>
      </c>
      <c r="AS454" s="121"/>
    </row>
    <row r="455" spans="1:45" ht="13.5" x14ac:dyDescent="0.4">
      <c r="A455" s="12">
        <f t="shared" si="39"/>
        <v>452</v>
      </c>
      <c r="B455" s="64" t="s">
        <v>1089</v>
      </c>
      <c r="C455" s="54">
        <v>44652</v>
      </c>
      <c r="D455" s="54">
        <v>44652</v>
      </c>
      <c r="E455" s="46" t="s">
        <v>32</v>
      </c>
      <c r="F455" s="51" t="s">
        <v>1090</v>
      </c>
      <c r="G455" s="51" t="s">
        <v>1091</v>
      </c>
      <c r="H455" s="51" t="s">
        <v>32</v>
      </c>
      <c r="I455" s="55" t="s">
        <v>1104</v>
      </c>
      <c r="J455" s="56">
        <v>1500</v>
      </c>
      <c r="K455" s="51" t="s">
        <v>1105</v>
      </c>
      <c r="L455" s="58">
        <v>1575000</v>
      </c>
      <c r="M455" s="50">
        <f>ROUND('FA Addition'!$L455*5%,0.1)</f>
        <v>78750</v>
      </c>
      <c r="N455" s="113" t="str">
        <f>_xlfn.XLOOKUP(_xlfn.CONCAT(E455,B455),'Year Wise Master Dep Approach'!F:F,'Year Wise Master Dep Approach'!D:D)</f>
        <v>WDV</v>
      </c>
      <c r="O455" s="113">
        <f>_xlfn.XLOOKUP(_xlfn.CONCAT(E455,B455),'Year Wise Master Dep Approach'!F:F,'Year Wise Master Dep Approach'!E:E)</f>
        <v>3</v>
      </c>
      <c r="P455" s="114">
        <f>IFERROR(IF('FA Addition'!$N455="WDV",1-('FA Addition'!$M455/'FA Addition'!$L455)^(1/'FA Addition'!$O455),1/'FA Addition'!$O455),0)</f>
        <v>0.63159685013596123</v>
      </c>
      <c r="Q455" s="122">
        <f>'FA Addition'!$P455*'FA Addition'!$O455</f>
        <v>1.8947905504078837</v>
      </c>
      <c r="R455" s="122"/>
      <c r="S455" s="116">
        <f>IF(AND(DATE(20&amp;LEFT(FAAddition[[#This Row],[FY]],2),4,1)&lt;$L$1+1,DATE(20&amp;LEFT(FAAddition[[#This Row],[FY]],2),4,1)&gt;$P$1-1),'FA Addition'!$J455,0)</f>
        <v>0</v>
      </c>
      <c r="U455" s="117">
        <f>S455*'FA Addition'!$L455/'FA Addition'!$J455</f>
        <v>0</v>
      </c>
      <c r="W455" s="116">
        <f>SUMIFS('FA Write off'!D:D,'FA Write off'!A:A,'FA Addition'!$A455,'FA Write off'!C:C,"&lt;"&amp;'FA Addition'!$P$1)</f>
        <v>0</v>
      </c>
      <c r="Y455" s="191">
        <f>IFERROR(W455/'FA Addition'!$J455*'FA Addition'!$L455,0)</f>
        <v>0</v>
      </c>
      <c r="AA455" s="116">
        <f>SUMIFS('FA Write off'!D:D,'FA Write off'!A:A,'FA Addition'!$A455,'FA Write off'!C:C,"&lt;"&amp;'FA Addition'!$L$1+1,'FA Write off'!C:C,"&gt;"&amp;'FA Addition'!$L$1-365)</f>
        <v>0</v>
      </c>
      <c r="AC455" s="118">
        <f>IFERROR(AA455/'FA Addition'!$J455*'FA Addition'!$L455,0)</f>
        <v>0</v>
      </c>
      <c r="AE455" s="117">
        <f>IF(AND('FA Addition'!$D455&lt;$P$1+1,U455=0),'FA Addition'!$L455,0)-Y455</f>
        <v>1575000</v>
      </c>
      <c r="AF455" s="117">
        <f t="shared" si="35"/>
        <v>1575000</v>
      </c>
      <c r="AG455" s="117">
        <f>MIN(MAX(+$P$1-'FA Addition'!$D455,0),365*'FA Addition'!$O455)</f>
        <v>365</v>
      </c>
      <c r="AH455" s="117">
        <f>MIN(MAX($L$1-'FA Addition'!$D455+1,0),365*'FA Addition'!$O455)</f>
        <v>731</v>
      </c>
      <c r="AI455" s="117" cm="1">
        <f t="array" ref="AI455">_xlfn.XLOOKUP(1,('FA Write off'!A:A='FA Addition'!$A455)*('FA Write off'!D:D=AA455),'FA Write off'!H:H,0,0)</f>
        <v>0</v>
      </c>
      <c r="AJ455" s="117">
        <f>IF(AC455&gt;0,MAX(IF('FA Addition'!$N455="SLM",($AC455-'FA Addition'!$M455)*'FA Addition'!$P455*AI455/365,(AC455-'FA Addition'!$M455)*(1-(1-'FA Addition'!$P455)^(AI455/365))),0),0)</f>
        <v>0</v>
      </c>
      <c r="AL455" s="117">
        <f>MAX(IF(AG455&gt;0,IF('FA Addition'!$N455="SLM",($AE455-'FA Addition'!$M455)*'FA Addition'!$P455*AG455/365,IFERROR(VDB(AE455,AE455*0.05,'FA Addition'!$O455,0,YEARFRAC('FA Addition'!$C455,$P$1-1,3),'FA Addition'!$Q455),FAAddition[[#This Row],[Original Cost (Rs)]]-FAAddition[[#This Row],[Salvage Value]])),0),0)</f>
        <v>992039.65529574407</v>
      </c>
      <c r="AM455" s="119"/>
      <c r="AN455" s="117">
        <f>MAX(IF(AH455&gt;0,IF('FA Addition'!$N455="SLM",($AF455-'FA Addition'!$M455)*'FA Addition'!$P455*AH455/365,IFERROR(VDB(AF455,AF455*0.05,'FA Addition'!$O455,0,YEARFRAC('FA Addition'!$C455,$L$1,3),'FA Addition'!$Q455),FAAddition[[#This Row],[Original Cost (Rs)]]-FAAddition[[#This Row],[Salvage Value]])),0),0)</f>
        <v>1361239.612693151</v>
      </c>
      <c r="AO455" s="117">
        <f t="shared" si="38"/>
        <v>369199.95739740692</v>
      </c>
      <c r="AP455" s="206"/>
      <c r="AQ455" s="117">
        <f t="shared" si="36"/>
        <v>582960.34470425593</v>
      </c>
      <c r="AR455" s="120">
        <f t="shared" si="37"/>
        <v>213760.38730684901</v>
      </c>
      <c r="AS455" s="121"/>
    </row>
    <row r="456" spans="1:45" ht="13.5" x14ac:dyDescent="0.4">
      <c r="A456" s="12">
        <f t="shared" si="39"/>
        <v>453</v>
      </c>
      <c r="B456" s="64" t="s">
        <v>1089</v>
      </c>
      <c r="C456" s="54">
        <v>44652</v>
      </c>
      <c r="D456" s="54">
        <v>44652</v>
      </c>
      <c r="E456" s="46" t="s">
        <v>32</v>
      </c>
      <c r="F456" s="51" t="s">
        <v>1090</v>
      </c>
      <c r="G456" s="51" t="s">
        <v>1091</v>
      </c>
      <c r="H456" s="51" t="s">
        <v>32</v>
      </c>
      <c r="I456" s="55" t="s">
        <v>1106</v>
      </c>
      <c r="J456" s="56">
        <v>533</v>
      </c>
      <c r="K456" s="51" t="s">
        <v>1107</v>
      </c>
      <c r="L456" s="58">
        <v>560000</v>
      </c>
      <c r="M456" s="50">
        <f>ROUND('FA Addition'!$L456*5%,0.1)</f>
        <v>28000</v>
      </c>
      <c r="N456" s="113" t="str">
        <f>_xlfn.XLOOKUP(_xlfn.CONCAT(E456,B456),'Year Wise Master Dep Approach'!F:F,'Year Wise Master Dep Approach'!D:D)</f>
        <v>WDV</v>
      </c>
      <c r="O456" s="113">
        <f>_xlfn.XLOOKUP(_xlfn.CONCAT(E456,B456),'Year Wise Master Dep Approach'!F:F,'Year Wise Master Dep Approach'!E:E)</f>
        <v>3</v>
      </c>
      <c r="P456" s="114">
        <f>IFERROR(IF('FA Addition'!$N456="WDV",1-('FA Addition'!$M456/'FA Addition'!$L456)^(1/'FA Addition'!$O456),1/'FA Addition'!$O456),0)</f>
        <v>0.63159685013596123</v>
      </c>
      <c r="Q456" s="122">
        <f>'FA Addition'!$P456*'FA Addition'!$O456</f>
        <v>1.8947905504078837</v>
      </c>
      <c r="R456" s="122"/>
      <c r="S456" s="116">
        <f>IF(AND(DATE(20&amp;LEFT(FAAddition[[#This Row],[FY]],2),4,1)&lt;$L$1+1,DATE(20&amp;LEFT(FAAddition[[#This Row],[FY]],2),4,1)&gt;$P$1-1),'FA Addition'!$J456,0)</f>
        <v>0</v>
      </c>
      <c r="U456" s="117">
        <f>S456*'FA Addition'!$L456/'FA Addition'!$J456</f>
        <v>0</v>
      </c>
      <c r="W456" s="116">
        <f>SUMIFS('FA Write off'!D:D,'FA Write off'!A:A,'FA Addition'!$A456,'FA Write off'!C:C,"&lt;"&amp;'FA Addition'!$P$1)</f>
        <v>0</v>
      </c>
      <c r="Y456" s="191">
        <f>IFERROR(W456/'FA Addition'!$J456*'FA Addition'!$L456,0)</f>
        <v>0</v>
      </c>
      <c r="AA456" s="116">
        <f>SUMIFS('FA Write off'!D:D,'FA Write off'!A:A,'FA Addition'!$A456,'FA Write off'!C:C,"&lt;"&amp;'FA Addition'!$L$1+1,'FA Write off'!C:C,"&gt;"&amp;'FA Addition'!$L$1-365)</f>
        <v>0</v>
      </c>
      <c r="AC456" s="118">
        <f>IFERROR(AA456/'FA Addition'!$J456*'FA Addition'!$L456,0)</f>
        <v>0</v>
      </c>
      <c r="AE456" s="117">
        <f>IF(AND('FA Addition'!$D456&lt;$P$1+1,U456=0),'FA Addition'!$L456,0)-Y456</f>
        <v>560000</v>
      </c>
      <c r="AF456" s="117">
        <f t="shared" si="35"/>
        <v>560000</v>
      </c>
      <c r="AG456" s="117">
        <f>MIN(MAX(+$P$1-'FA Addition'!$D456,0),365*'FA Addition'!$O456)</f>
        <v>365</v>
      </c>
      <c r="AH456" s="117">
        <f>MIN(MAX($L$1-'FA Addition'!$D456+1,0),365*'FA Addition'!$O456)</f>
        <v>731</v>
      </c>
      <c r="AI456" s="117" cm="1">
        <f t="array" ref="AI456">_xlfn.XLOOKUP(1,('FA Write off'!A:A='FA Addition'!$A456)*('FA Write off'!D:D=AA456),'FA Write off'!H:H,0,0)</f>
        <v>0</v>
      </c>
      <c r="AJ456" s="117">
        <f>IF(AC456&gt;0,MAX(IF('FA Addition'!$N456="SLM",($AC456-'FA Addition'!$M456)*'FA Addition'!$P456*AI456/365,(AC456-'FA Addition'!$M456)*(1-(1-'FA Addition'!$P456)^(AI456/365))),0),0)</f>
        <v>0</v>
      </c>
      <c r="AL456" s="117">
        <f>MAX(IF(AG456&gt;0,IF('FA Addition'!$N456="SLM",($AE456-'FA Addition'!$M456)*'FA Addition'!$P456*AG456/365,IFERROR(VDB(AE456,AE456*0.05,'FA Addition'!$O456,0,YEARFRAC('FA Addition'!$C456,$P$1-1,3),'FA Addition'!$Q456),FAAddition[[#This Row],[Original Cost (Rs)]]-FAAddition[[#This Row],[Salvage Value]])),0),0)</f>
        <v>352725.2107718201</v>
      </c>
      <c r="AM456" s="119"/>
      <c r="AN456" s="117">
        <f>MAX(IF(AH456&gt;0,IF('FA Addition'!$N456="SLM",($AF456-'FA Addition'!$M456)*'FA Addition'!$P456*AH456/365,IFERROR(VDB(AF456,AF456*0.05,'FA Addition'!$O456,0,YEARFRAC('FA Addition'!$C456,$L$1,3),'FA Addition'!$Q456),FAAddition[[#This Row],[Original Cost (Rs)]]-FAAddition[[#This Row],[Salvage Value]])),0),0)</f>
        <v>483996.3067353426</v>
      </c>
      <c r="AO456" s="117">
        <f t="shared" si="38"/>
        <v>131271.0959635225</v>
      </c>
      <c r="AP456" s="206"/>
      <c r="AQ456" s="117">
        <f t="shared" si="36"/>
        <v>207274.7892281799</v>
      </c>
      <c r="AR456" s="120">
        <f t="shared" si="37"/>
        <v>76003.693264657399</v>
      </c>
      <c r="AS456" s="121"/>
    </row>
    <row r="457" spans="1:45" ht="13.5" x14ac:dyDescent="0.4">
      <c r="A457" s="12">
        <f t="shared" si="39"/>
        <v>454</v>
      </c>
      <c r="B457" s="64" t="s">
        <v>1089</v>
      </c>
      <c r="C457" s="54">
        <v>44652</v>
      </c>
      <c r="D457" s="54">
        <v>44652</v>
      </c>
      <c r="E457" s="46" t="s">
        <v>32</v>
      </c>
      <c r="F457" s="51" t="s">
        <v>1090</v>
      </c>
      <c r="G457" s="51" t="s">
        <v>1091</v>
      </c>
      <c r="H457" s="51" t="s">
        <v>32</v>
      </c>
      <c r="I457" s="55" t="s">
        <v>1108</v>
      </c>
      <c r="J457" s="56">
        <v>162</v>
      </c>
      <c r="K457" s="51" t="s">
        <v>1109</v>
      </c>
      <c r="L457" s="58">
        <v>170000</v>
      </c>
      <c r="M457" s="50">
        <f>ROUND('FA Addition'!$L457*5%,0.1)</f>
        <v>8500</v>
      </c>
      <c r="N457" s="113" t="str">
        <f>_xlfn.XLOOKUP(_xlfn.CONCAT(E457,B457),'Year Wise Master Dep Approach'!F:F,'Year Wise Master Dep Approach'!D:D)</f>
        <v>WDV</v>
      </c>
      <c r="O457" s="113">
        <f>_xlfn.XLOOKUP(_xlfn.CONCAT(E457,B457),'Year Wise Master Dep Approach'!F:F,'Year Wise Master Dep Approach'!E:E)</f>
        <v>3</v>
      </c>
      <c r="P457" s="114">
        <f>IFERROR(IF('FA Addition'!$N457="WDV",1-('FA Addition'!$M457/'FA Addition'!$L457)^(1/'FA Addition'!$O457),1/'FA Addition'!$O457),0)</f>
        <v>0.63159685013596123</v>
      </c>
      <c r="Q457" s="122">
        <f>'FA Addition'!$P457*'FA Addition'!$O457</f>
        <v>1.8947905504078837</v>
      </c>
      <c r="R457" s="122"/>
      <c r="S457" s="116">
        <f>IF(AND(DATE(20&amp;LEFT(FAAddition[[#This Row],[FY]],2),4,1)&lt;$L$1+1,DATE(20&amp;LEFT(FAAddition[[#This Row],[FY]],2),4,1)&gt;$P$1-1),'FA Addition'!$J457,0)</f>
        <v>0</v>
      </c>
      <c r="U457" s="117">
        <f>S457*'FA Addition'!$L457/'FA Addition'!$J457</f>
        <v>0</v>
      </c>
      <c r="W457" s="116">
        <f>SUMIFS('FA Write off'!D:D,'FA Write off'!A:A,'FA Addition'!$A457,'FA Write off'!C:C,"&lt;"&amp;'FA Addition'!$P$1)</f>
        <v>0</v>
      </c>
      <c r="Y457" s="191">
        <f>IFERROR(W457/'FA Addition'!$J457*'FA Addition'!$L457,0)</f>
        <v>0</v>
      </c>
      <c r="AA457" s="116">
        <f>SUMIFS('FA Write off'!D:D,'FA Write off'!A:A,'FA Addition'!$A457,'FA Write off'!C:C,"&lt;"&amp;'FA Addition'!$L$1+1,'FA Write off'!C:C,"&gt;"&amp;'FA Addition'!$L$1-365)</f>
        <v>0</v>
      </c>
      <c r="AC457" s="118">
        <f>IFERROR(AA457/'FA Addition'!$J457*'FA Addition'!$L457,0)</f>
        <v>0</v>
      </c>
      <c r="AE457" s="117">
        <f>IF(AND('FA Addition'!$D457&lt;$P$1+1,U457=0),'FA Addition'!$L457,0)-Y457</f>
        <v>170000</v>
      </c>
      <c r="AF457" s="117">
        <f t="shared" si="35"/>
        <v>170000</v>
      </c>
      <c r="AG457" s="117">
        <f>MIN(MAX(+$P$1-'FA Addition'!$D457,0),365*'FA Addition'!$O457)</f>
        <v>365</v>
      </c>
      <c r="AH457" s="117">
        <f>MIN(MAX($L$1-'FA Addition'!$D457+1,0),365*'FA Addition'!$O457)</f>
        <v>731</v>
      </c>
      <c r="AI457" s="117" cm="1">
        <f t="array" ref="AI457">_xlfn.XLOOKUP(1,('FA Write off'!A:A='FA Addition'!$A457)*('FA Write off'!D:D=AA457),'FA Write off'!H:H,0,0)</f>
        <v>0</v>
      </c>
      <c r="AJ457" s="117">
        <f>IF(AC457&gt;0,MAX(IF('FA Addition'!$N457="SLM",($AC457-'FA Addition'!$M457)*'FA Addition'!$P457*AI457/365,(AC457-'FA Addition'!$M457)*(1-(1-'FA Addition'!$P457)^(AI457/365))),0),0)</f>
        <v>0</v>
      </c>
      <c r="AL457" s="117">
        <f>MAX(IF(AG457&gt;0,IF('FA Addition'!$N457="SLM",($AE457-'FA Addition'!$M457)*'FA Addition'!$P457*AG457/365,IFERROR(VDB(AE457,AE457*0.05,'FA Addition'!$O457,0,YEARFRAC('FA Addition'!$C457,$P$1-1,3),'FA Addition'!$Q457),FAAddition[[#This Row],[Original Cost (Rs)]]-FAAddition[[#This Row],[Salvage Value]])),0),0)</f>
        <v>107077.29612715967</v>
      </c>
      <c r="AM457" s="119"/>
      <c r="AN457" s="117">
        <f>MAX(IF(AH457&gt;0,IF('FA Addition'!$N457="SLM",($AF457-'FA Addition'!$M457)*'FA Addition'!$P457*AH457/365,IFERROR(VDB(AF457,AF457*0.05,'FA Addition'!$O457,0,YEARFRAC('FA Addition'!$C457,$L$1,3),'FA Addition'!$Q457),FAAddition[[#This Row],[Original Cost (Rs)]]-FAAddition[[#This Row],[Salvage Value]])),0),0)</f>
        <v>146927.45025894328</v>
      </c>
      <c r="AO457" s="117">
        <f t="shared" si="38"/>
        <v>39850.154131783609</v>
      </c>
      <c r="AP457" s="206"/>
      <c r="AQ457" s="117">
        <f t="shared" si="36"/>
        <v>62922.703872840328</v>
      </c>
      <c r="AR457" s="120">
        <f t="shared" si="37"/>
        <v>23072.549741056719</v>
      </c>
      <c r="AS457" s="121"/>
    </row>
    <row r="458" spans="1:45" ht="13.5" x14ac:dyDescent="0.4">
      <c r="A458" s="12">
        <f t="shared" si="39"/>
        <v>455</v>
      </c>
      <c r="B458" s="64" t="s">
        <v>1089</v>
      </c>
      <c r="C458" s="54">
        <v>44652</v>
      </c>
      <c r="D458" s="54">
        <v>44652</v>
      </c>
      <c r="E458" s="46" t="s">
        <v>32</v>
      </c>
      <c r="F458" s="51" t="s">
        <v>1090</v>
      </c>
      <c r="G458" s="51" t="s">
        <v>1091</v>
      </c>
      <c r="H458" s="51" t="s">
        <v>32</v>
      </c>
      <c r="I458" s="55" t="s">
        <v>1110</v>
      </c>
      <c r="J458" s="56">
        <v>106</v>
      </c>
      <c r="K458" s="51" t="s">
        <v>1111</v>
      </c>
      <c r="L458" s="58">
        <v>110840</v>
      </c>
      <c r="M458" s="50">
        <f>ROUND('FA Addition'!$L458*5%,0.1)</f>
        <v>5542</v>
      </c>
      <c r="N458" s="113" t="str">
        <f>_xlfn.XLOOKUP(_xlfn.CONCAT(E458,B458),'Year Wise Master Dep Approach'!F:F,'Year Wise Master Dep Approach'!D:D)</f>
        <v>WDV</v>
      </c>
      <c r="O458" s="113">
        <f>_xlfn.XLOOKUP(_xlfn.CONCAT(E458,B458),'Year Wise Master Dep Approach'!F:F,'Year Wise Master Dep Approach'!E:E)</f>
        <v>3</v>
      </c>
      <c r="P458" s="114">
        <f>IFERROR(IF('FA Addition'!$N458="WDV",1-('FA Addition'!$M458/'FA Addition'!$L458)^(1/'FA Addition'!$O458),1/'FA Addition'!$O458),0)</f>
        <v>0.63159685013596123</v>
      </c>
      <c r="Q458" s="122">
        <f>'FA Addition'!$P458*'FA Addition'!$O458</f>
        <v>1.8947905504078837</v>
      </c>
      <c r="R458" s="122"/>
      <c r="S458" s="116">
        <f>IF(AND(DATE(20&amp;LEFT(FAAddition[[#This Row],[FY]],2),4,1)&lt;$L$1+1,DATE(20&amp;LEFT(FAAddition[[#This Row],[FY]],2),4,1)&gt;$P$1-1),'FA Addition'!$J458,0)</f>
        <v>0</v>
      </c>
      <c r="U458" s="117">
        <f>S458*'FA Addition'!$L458/'FA Addition'!$J458</f>
        <v>0</v>
      </c>
      <c r="W458" s="116">
        <f>SUMIFS('FA Write off'!D:D,'FA Write off'!A:A,'FA Addition'!$A458,'FA Write off'!C:C,"&lt;"&amp;'FA Addition'!$P$1)</f>
        <v>0</v>
      </c>
      <c r="Y458" s="191">
        <f>IFERROR(W458/'FA Addition'!$J458*'FA Addition'!$L458,0)</f>
        <v>0</v>
      </c>
      <c r="AA458" s="116">
        <f>SUMIFS('FA Write off'!D:D,'FA Write off'!A:A,'FA Addition'!$A458,'FA Write off'!C:C,"&lt;"&amp;'FA Addition'!$L$1+1,'FA Write off'!C:C,"&gt;"&amp;'FA Addition'!$L$1-365)</f>
        <v>0</v>
      </c>
      <c r="AC458" s="118">
        <f>IFERROR(AA458/'FA Addition'!$J458*'FA Addition'!$L458,0)</f>
        <v>0</v>
      </c>
      <c r="AE458" s="117">
        <f>IF(AND('FA Addition'!$D458&lt;$P$1+1,U458=0),'FA Addition'!$L458,0)-Y458</f>
        <v>110840</v>
      </c>
      <c r="AF458" s="117">
        <f t="shared" si="35"/>
        <v>110840</v>
      </c>
      <c r="AG458" s="117">
        <f>MIN(MAX(+$P$1-'FA Addition'!$D458,0),365*'FA Addition'!$O458)</f>
        <v>365</v>
      </c>
      <c r="AH458" s="117">
        <f>MIN(MAX($L$1-'FA Addition'!$D458+1,0),365*'FA Addition'!$O458)</f>
        <v>731</v>
      </c>
      <c r="AI458" s="117" cm="1">
        <f t="array" ref="AI458">_xlfn.XLOOKUP(1,('FA Write off'!A:A='FA Addition'!$A458)*('FA Write off'!D:D=AA458),'FA Write off'!H:H,0,0)</f>
        <v>0</v>
      </c>
      <c r="AJ458" s="117">
        <f>IF(AC458&gt;0,MAX(IF('FA Addition'!$N458="SLM",($AC458-'FA Addition'!$M458)*'FA Addition'!$P458*AI458/365,(AC458-'FA Addition'!$M458)*(1-(1-'FA Addition'!$P458)^(AI458/365))),0),0)</f>
        <v>0</v>
      </c>
      <c r="AL458" s="117">
        <f>MAX(IF(AG458&gt;0,IF('FA Addition'!$N458="SLM",($AE458-'FA Addition'!$M458)*'FA Addition'!$P458*AG458/365,IFERROR(VDB(AE458,AE458*0.05,'FA Addition'!$O458,0,YEARFRAC('FA Addition'!$C458,$P$1-1,3),'FA Addition'!$Q458),FAAddition[[#This Row],[Original Cost (Rs)]]-FAAddition[[#This Row],[Salvage Value]])),0),0)</f>
        <v>69814.397074908105</v>
      </c>
      <c r="AM458" s="119"/>
      <c r="AN458" s="117">
        <f>MAX(IF(AH458&gt;0,IF('FA Addition'!$N458="SLM",($AF458-'FA Addition'!$M458)*'FA Addition'!$P458*AH458/365,IFERROR(VDB(AF458,AF458*0.05,'FA Addition'!$O458,0,YEARFRAC('FA Addition'!$C458,$L$1,3),'FA Addition'!$Q458),FAAddition[[#This Row],[Original Cost (Rs)]]-FAAddition[[#This Row],[Salvage Value]])),0),0)</f>
        <v>95796.697568831019</v>
      </c>
      <c r="AO458" s="117">
        <f t="shared" si="38"/>
        <v>25982.300493922914</v>
      </c>
      <c r="AP458" s="206"/>
      <c r="AQ458" s="117">
        <f t="shared" si="36"/>
        <v>41025.602925091895</v>
      </c>
      <c r="AR458" s="120">
        <f t="shared" si="37"/>
        <v>15043.302431168981</v>
      </c>
      <c r="AS458" s="121"/>
    </row>
    <row r="459" spans="1:45" ht="13.5" x14ac:dyDescent="0.4">
      <c r="A459" s="12">
        <f t="shared" si="39"/>
        <v>456</v>
      </c>
      <c r="B459" s="64" t="s">
        <v>1089</v>
      </c>
      <c r="C459" s="54">
        <v>44658</v>
      </c>
      <c r="D459" s="54">
        <v>44658</v>
      </c>
      <c r="E459" s="46" t="s">
        <v>1389</v>
      </c>
      <c r="F459" s="51" t="s">
        <v>1112</v>
      </c>
      <c r="G459" s="51" t="s">
        <v>34</v>
      </c>
      <c r="H459" s="51" t="s">
        <v>1113</v>
      </c>
      <c r="I459" s="55" t="s">
        <v>1114</v>
      </c>
      <c r="J459" s="56">
        <v>120</v>
      </c>
      <c r="K459" s="51" t="s">
        <v>1115</v>
      </c>
      <c r="L459" s="58">
        <v>114000</v>
      </c>
      <c r="M459" s="50">
        <f>ROUND('FA Addition'!$L459*5%,0.1)</f>
        <v>5700</v>
      </c>
      <c r="N459" s="113" t="str">
        <f>_xlfn.XLOOKUP(_xlfn.CONCAT(E459,B459),'Year Wise Master Dep Approach'!F:F,'Year Wise Master Dep Approach'!D:D)</f>
        <v>SLM</v>
      </c>
      <c r="O459" s="113">
        <f>_xlfn.XLOOKUP(_xlfn.CONCAT(E459,B459),'Year Wise Master Dep Approach'!F:F,'Year Wise Master Dep Approach'!E:E)</f>
        <v>3</v>
      </c>
      <c r="P459" s="114">
        <f>IFERROR(IF('FA Addition'!$N459="WDV",1-('FA Addition'!$M459/'FA Addition'!$L459)^(1/'FA Addition'!$O459),1/'FA Addition'!$O459),0)</f>
        <v>0.33333333333333331</v>
      </c>
      <c r="Q459" s="122">
        <f>'FA Addition'!$P459*'FA Addition'!$O459</f>
        <v>1</v>
      </c>
      <c r="R459" s="122"/>
      <c r="S459" s="116">
        <f>IF(AND(DATE(20&amp;LEFT(FAAddition[[#This Row],[FY]],2),4,1)&lt;$L$1+1,DATE(20&amp;LEFT(FAAddition[[#This Row],[FY]],2),4,1)&gt;$P$1-1),'FA Addition'!$J459,0)</f>
        <v>0</v>
      </c>
      <c r="U459" s="117">
        <f>S459*'FA Addition'!$L459/'FA Addition'!$J459</f>
        <v>0</v>
      </c>
      <c r="W459" s="116">
        <f>SUMIFS('FA Write off'!D:D,'FA Write off'!A:A,'FA Addition'!$A459,'FA Write off'!C:C,"&lt;"&amp;'FA Addition'!$P$1)</f>
        <v>120</v>
      </c>
      <c r="Y459" s="191">
        <f>IFERROR(W459/'FA Addition'!$J459*'FA Addition'!$L459,0)</f>
        <v>114000</v>
      </c>
      <c r="AA459" s="116">
        <f>SUMIFS('FA Write off'!D:D,'FA Write off'!A:A,'FA Addition'!$A459,'FA Write off'!C:C,"&lt;"&amp;'FA Addition'!$L$1+1,'FA Write off'!C:C,"&gt;"&amp;'FA Addition'!$L$1-365)</f>
        <v>0</v>
      </c>
      <c r="AC459" s="191">
        <f>IFERROR(AA459/'FA Addition'!$J459*'FA Addition'!$L459,0)</f>
        <v>0</v>
      </c>
      <c r="AE459" s="117">
        <f>IF(AND('FA Addition'!$D459&lt;$P$1+1,U459=0),'FA Addition'!$L459,0)-Y459</f>
        <v>0</v>
      </c>
      <c r="AF459" s="117">
        <f t="shared" si="35"/>
        <v>0</v>
      </c>
      <c r="AG459" s="117">
        <f>MIN(MAX(+$P$1-'FA Addition'!$D459,0),365*'FA Addition'!$O459)</f>
        <v>359</v>
      </c>
      <c r="AH459" s="117">
        <f>MIN(MAX($L$1-'FA Addition'!$D459+1,0),365*'FA Addition'!$O459)</f>
        <v>725</v>
      </c>
      <c r="AI459" s="117" cm="1">
        <f t="array" ref="AI459">_xlfn.XLOOKUP(1,('FA Write off'!A:A='FA Addition'!$A459)*('FA Write off'!D:D=AA459),'FA Write off'!H:H,0,0)</f>
        <v>0</v>
      </c>
      <c r="AJ459" s="117">
        <f>IF(AC459&gt;0,MAX(IF('FA Addition'!$N459="SLM",($AC459-'FA Addition'!$M459)*'FA Addition'!$P459*AI459/365,(AC459-'FA Addition'!$M459)*(1-(1-'FA Addition'!$P459)^(AI459/365))),0),0)</f>
        <v>0</v>
      </c>
      <c r="AL459" s="117">
        <f>MAX(IF(AG459&gt;0,IF('FA Addition'!$N459="SLM",($AE459-'FA Addition'!$M459)*'FA Addition'!$P459*AG459/365,IFERROR(VDB(AE459,AE459*0.05,'FA Addition'!$O459,0,YEARFRAC('FA Addition'!$C459,$P$1-1,3),'FA Addition'!$Q459),FAAddition[[#This Row],[Original Cost (Rs)]]-FAAddition[[#This Row],[Salvage Value]])),0),0)</f>
        <v>0</v>
      </c>
      <c r="AM459" s="119"/>
      <c r="AN459" s="117">
        <f>MAX(IF(AH459&gt;0,IF('FA Addition'!$N459="SLM",($AF459-'FA Addition'!$M459)*'FA Addition'!$P459*AH459/365,IFERROR(VDB(AF459,AF459*0.05,'FA Addition'!$O459,0,YEARFRAC('FA Addition'!$C459,$L$1,3),'FA Addition'!$Q459),FAAddition[[#This Row],[Original Cost (Rs)]]-FAAddition[[#This Row],[Salvage Value]])),0),0)</f>
        <v>0</v>
      </c>
      <c r="AO459" s="117">
        <f t="shared" si="38"/>
        <v>0</v>
      </c>
      <c r="AP459" s="206"/>
      <c r="AQ459" s="117">
        <f t="shared" si="36"/>
        <v>0</v>
      </c>
      <c r="AR459" s="120">
        <f t="shared" si="37"/>
        <v>0</v>
      </c>
      <c r="AS459" s="121"/>
    </row>
    <row r="460" spans="1:45" ht="13.5" x14ac:dyDescent="0.4">
      <c r="A460" s="12">
        <f t="shared" si="39"/>
        <v>457</v>
      </c>
      <c r="B460" s="64" t="s">
        <v>1089</v>
      </c>
      <c r="C460" s="54">
        <v>44658</v>
      </c>
      <c r="D460" s="54">
        <v>44658</v>
      </c>
      <c r="E460" s="46" t="s">
        <v>207</v>
      </c>
      <c r="F460" s="51" t="s">
        <v>1116</v>
      </c>
      <c r="G460" s="51" t="s">
        <v>1117</v>
      </c>
      <c r="H460" s="51" t="s">
        <v>498</v>
      </c>
      <c r="I460" s="55" t="s">
        <v>1118</v>
      </c>
      <c r="J460" s="56">
        <v>1</v>
      </c>
      <c r="K460" s="51" t="s">
        <v>1119</v>
      </c>
      <c r="L460" s="58">
        <v>8864</v>
      </c>
      <c r="M460" s="50">
        <f>ROUND('FA Addition'!$L460*5%,0.1)</f>
        <v>443</v>
      </c>
      <c r="N460" s="113" t="str">
        <f>_xlfn.XLOOKUP(_xlfn.CONCAT(E460,B460),'Year Wise Master Dep Approach'!F:F,'Year Wise Master Dep Approach'!D:D)</f>
        <v>WDV</v>
      </c>
      <c r="O460" s="113">
        <f>_xlfn.XLOOKUP(_xlfn.CONCAT(E460,B460),'Year Wise Master Dep Approach'!F:F,'Year Wise Master Dep Approach'!E:E)</f>
        <v>5</v>
      </c>
      <c r="P460" s="114">
        <f>IFERROR(IF('FA Addition'!$N460="WDV",1-('FA Addition'!$M460/'FA Addition'!$L460)^(1/'FA Addition'!$O460),1/'FA Addition'!$O460),0)</f>
        <v>0.4507693113294835</v>
      </c>
      <c r="Q460" s="122">
        <f>'FA Addition'!$P460*'FA Addition'!$O460</f>
        <v>2.2538465566474173</v>
      </c>
      <c r="R460" s="122"/>
      <c r="S460" s="116">
        <f>IF(AND(DATE(20&amp;LEFT(FAAddition[[#This Row],[FY]],2),4,1)&lt;$L$1+1,DATE(20&amp;LEFT(FAAddition[[#This Row],[FY]],2),4,1)&gt;$P$1-1),'FA Addition'!$J460,0)</f>
        <v>0</v>
      </c>
      <c r="U460" s="117">
        <f>S460*'FA Addition'!$L460/'FA Addition'!$J460</f>
        <v>0</v>
      </c>
      <c r="W460" s="116">
        <f>SUMIFS('FA Write off'!D:D,'FA Write off'!A:A,'FA Addition'!$A460,'FA Write off'!C:C,"&lt;"&amp;'FA Addition'!$P$1)</f>
        <v>0</v>
      </c>
      <c r="Y460" s="191">
        <f>IFERROR(W460/'FA Addition'!$J460*'FA Addition'!$L460,0)</f>
        <v>0</v>
      </c>
      <c r="AA460" s="116">
        <f>SUMIFS('FA Write off'!D:D,'FA Write off'!A:A,'FA Addition'!$A460,'FA Write off'!C:C,"&lt;"&amp;'FA Addition'!$L$1+1,'FA Write off'!C:C,"&gt;"&amp;'FA Addition'!$L$1-365)</f>
        <v>0</v>
      </c>
      <c r="AC460" s="118">
        <f>IFERROR(AA460/'FA Addition'!$J460*'FA Addition'!$L460,0)</f>
        <v>0</v>
      </c>
      <c r="AE460" s="117">
        <f>IF(AND('FA Addition'!$D460&lt;$P$1+1,U460=0),'FA Addition'!$L460,0)-Y460</f>
        <v>8864</v>
      </c>
      <c r="AF460" s="117">
        <f t="shared" si="35"/>
        <v>8864</v>
      </c>
      <c r="AG460" s="117">
        <f>MIN(MAX(+$P$1-'FA Addition'!$D460,0),365*'FA Addition'!$O460)</f>
        <v>359</v>
      </c>
      <c r="AH460" s="117">
        <f>MIN(MAX($L$1-'FA Addition'!$D460+1,0),365*'FA Addition'!$O460)</f>
        <v>725</v>
      </c>
      <c r="AI460" s="117" cm="1">
        <f t="array" ref="AI460">_xlfn.XLOOKUP(1,('FA Write off'!A:A='FA Addition'!$A460)*('FA Write off'!D:D=AA460),'FA Write off'!H:H,0,0)</f>
        <v>0</v>
      </c>
      <c r="AJ460" s="117">
        <f>IF(AC460&gt;0,MAX(IF('FA Addition'!$N460="SLM",($AC460-'FA Addition'!$M460)*'FA Addition'!$P460*AI460/365,(AC460-'FA Addition'!$M460)*(1-(1-'FA Addition'!$P460)^(AI460/365))),0),0)</f>
        <v>0</v>
      </c>
      <c r="AL460" s="117">
        <f>MAX(IF(AG460&gt;0,IF('FA Addition'!$N460="SLM",($AE460-'FA Addition'!$M460)*'FA Addition'!$P460*AG460/365,IFERROR(VDB(AE460,AE460*0.05,'FA Addition'!$O460,0,YEARFRAC('FA Addition'!$C460,$P$1-1,3),'FA Addition'!$Q460),FAAddition[[#This Row],[Original Cost (Rs)]]-FAAddition[[#This Row],[Salvage Value]])),0),0)</f>
        <v>3918.9908626673582</v>
      </c>
      <c r="AM460" s="119"/>
      <c r="AN460" s="117">
        <f>MAX(IF(AH460&gt;0,IF('FA Addition'!$N460="SLM",($AF460-'FA Addition'!$M460)*'FA Addition'!$P460*AH460/365,IFERROR(VDB(AF460,AF460*0.05,'FA Addition'!$O460,0,YEARFRAC('FA Addition'!$C460,$L$1,3),'FA Addition'!$Q460),FAAddition[[#This Row],[Original Cost (Rs)]]-FAAddition[[#This Row],[Salvage Value]])),0),0)</f>
        <v>6154.0616004632438</v>
      </c>
      <c r="AO460" s="117">
        <f t="shared" si="38"/>
        <v>2235.0707377958856</v>
      </c>
      <c r="AP460" s="206"/>
      <c r="AQ460" s="117">
        <f t="shared" si="36"/>
        <v>4945.0091373326413</v>
      </c>
      <c r="AR460" s="120">
        <f t="shared" si="37"/>
        <v>2709.9383995367562</v>
      </c>
      <c r="AS460" s="121"/>
    </row>
    <row r="461" spans="1:45" ht="13.5" x14ac:dyDescent="0.4">
      <c r="A461" s="12">
        <f t="shared" si="39"/>
        <v>458</v>
      </c>
      <c r="B461" s="64" t="s">
        <v>1089</v>
      </c>
      <c r="C461" s="54">
        <v>44665</v>
      </c>
      <c r="D461" s="54">
        <v>44665</v>
      </c>
      <c r="E461" s="46" t="s">
        <v>749</v>
      </c>
      <c r="F461" s="51" t="s">
        <v>74</v>
      </c>
      <c r="G461" s="51" t="s">
        <v>1120</v>
      </c>
      <c r="H461" s="51" t="s">
        <v>1121</v>
      </c>
      <c r="I461" s="55" t="s">
        <v>1122</v>
      </c>
      <c r="J461" s="56">
        <v>50</v>
      </c>
      <c r="K461" s="51" t="s">
        <v>1123</v>
      </c>
      <c r="L461" s="58">
        <v>61500</v>
      </c>
      <c r="M461" s="50">
        <f>ROUND('FA Addition'!$L461*5%,0.1)</f>
        <v>3075</v>
      </c>
      <c r="N461" s="113" t="str">
        <f>_xlfn.XLOOKUP(_xlfn.CONCAT(E461,B461),'Year Wise Master Dep Approach'!F:F,'Year Wise Master Dep Approach'!D:D)</f>
        <v>WDV</v>
      </c>
      <c r="O461" s="113">
        <f>_xlfn.XLOOKUP(_xlfn.CONCAT(E461,B461),'Year Wise Master Dep Approach'!F:F,'Year Wise Master Dep Approach'!E:E)</f>
        <v>5</v>
      </c>
      <c r="P461" s="114">
        <f>IFERROR(IF('FA Addition'!$N461="WDV",1-('FA Addition'!$M461/'FA Addition'!$L461)^(1/'FA Addition'!$O461),1/'FA Addition'!$O461),0)</f>
        <v>0.45071972834694107</v>
      </c>
      <c r="Q461" s="122">
        <f>'FA Addition'!$P461*'FA Addition'!$O461</f>
        <v>2.2535986417347056</v>
      </c>
      <c r="R461" s="122"/>
      <c r="S461" s="116">
        <f>IF(AND(DATE(20&amp;LEFT(FAAddition[[#This Row],[FY]],2),4,1)&lt;$L$1+1,DATE(20&amp;LEFT(FAAddition[[#This Row],[FY]],2),4,1)&gt;$P$1-1),'FA Addition'!$J461,0)</f>
        <v>0</v>
      </c>
      <c r="U461" s="117">
        <f>S461*'FA Addition'!$L461/'FA Addition'!$J461</f>
        <v>0</v>
      </c>
      <c r="W461" s="116">
        <f>SUMIFS('FA Write off'!D:D,'FA Write off'!A:A,'FA Addition'!$A461,'FA Write off'!C:C,"&lt;"&amp;'FA Addition'!$P$1)</f>
        <v>0</v>
      </c>
      <c r="Y461" s="191">
        <f>IFERROR(W461/'FA Addition'!$J461*'FA Addition'!$L461,0)</f>
        <v>0</v>
      </c>
      <c r="AA461" s="116">
        <f>SUMIFS('FA Write off'!D:D,'FA Write off'!A:A,'FA Addition'!$A461,'FA Write off'!C:C,"&lt;"&amp;'FA Addition'!$L$1+1,'FA Write off'!C:C,"&gt;"&amp;'FA Addition'!$L$1-365)</f>
        <v>0</v>
      </c>
      <c r="AC461" s="118">
        <f>IFERROR(AA461/'FA Addition'!$J461*'FA Addition'!$L461,0)</f>
        <v>0</v>
      </c>
      <c r="AE461" s="117">
        <f>IF(AND('FA Addition'!$D461&lt;$P$1+1,U461=0),'FA Addition'!$L461,0)-Y461</f>
        <v>61500</v>
      </c>
      <c r="AF461" s="117">
        <f t="shared" si="35"/>
        <v>61500</v>
      </c>
      <c r="AG461" s="117">
        <f>MIN(MAX(+$P$1-'FA Addition'!$D461,0),365*'FA Addition'!$O461)</f>
        <v>352</v>
      </c>
      <c r="AH461" s="117">
        <f>MIN(MAX($L$1-'FA Addition'!$D461+1,0),365*'FA Addition'!$O461)</f>
        <v>718</v>
      </c>
      <c r="AI461" s="117" cm="1">
        <f t="array" ref="AI461">_xlfn.XLOOKUP(1,('FA Write off'!A:A='FA Addition'!$A461)*('FA Write off'!D:D=AA461),'FA Write off'!H:H,0,0)</f>
        <v>0</v>
      </c>
      <c r="AJ461" s="117">
        <f>IF(AC461&gt;0,MAX(IF('FA Addition'!$N461="SLM",($AC461-'FA Addition'!$M461)*'FA Addition'!$P461*AI461/365,(AC461-'FA Addition'!$M461)*(1-(1-'FA Addition'!$P461)^(AI461/365))),0),0)</f>
        <v>0</v>
      </c>
      <c r="AL461" s="117">
        <f>MAX(IF(AG461&gt;0,IF('FA Addition'!$N461="SLM",($AE461-'FA Addition'!$M461)*'FA Addition'!$P461*AG461/365,IFERROR(VDB(AE461,AE461*0.05,'FA Addition'!$O461,0,YEARFRAC('FA Addition'!$C461,$P$1-1,3),'FA Addition'!$Q461),FAAddition[[#This Row],[Original Cost (Rs)]]-FAAddition[[#This Row],[Salvage Value]])),0),0)</f>
        <v>26656.058673866428</v>
      </c>
      <c r="AM461" s="119"/>
      <c r="AN461" s="117">
        <f>MAX(IF(AH461&gt;0,IF('FA Addition'!$N461="SLM",($AF461-'FA Addition'!$M461)*'FA Addition'!$P461*AH461/365,IFERROR(VDB(AF461,AF461*0.05,'FA Addition'!$O461,0,YEARFRAC('FA Addition'!$C461,$L$1,3),'FA Addition'!$Q461),FAAddition[[#This Row],[Original Cost (Rs)]]-FAAddition[[#This Row],[Salvage Value]])),0),0)</f>
        <v>42402.624537361356</v>
      </c>
      <c r="AO461" s="117">
        <f t="shared" si="38"/>
        <v>15746.565863494929</v>
      </c>
      <c r="AP461" s="206"/>
      <c r="AQ461" s="117">
        <f t="shared" si="36"/>
        <v>34843.941326133572</v>
      </c>
      <c r="AR461" s="120">
        <f t="shared" si="37"/>
        <v>19097.375462638644</v>
      </c>
      <c r="AS461" s="121"/>
    </row>
    <row r="462" spans="1:45" ht="13.5" x14ac:dyDescent="0.4">
      <c r="A462" s="12">
        <f t="shared" si="39"/>
        <v>459</v>
      </c>
      <c r="B462" s="64" t="s">
        <v>1089</v>
      </c>
      <c r="C462" s="54">
        <v>44669</v>
      </c>
      <c r="D462" s="54">
        <v>44669</v>
      </c>
      <c r="E462" s="46" t="s">
        <v>32</v>
      </c>
      <c r="F462" s="51" t="s">
        <v>1090</v>
      </c>
      <c r="G462" s="51" t="s">
        <v>433</v>
      </c>
      <c r="H462" s="51" t="s">
        <v>32</v>
      </c>
      <c r="I462" s="55" t="s">
        <v>1124</v>
      </c>
      <c r="J462" s="56">
        <v>2000</v>
      </c>
      <c r="K462" s="51" t="s">
        <v>935</v>
      </c>
      <c r="L462" s="58">
        <v>2100000</v>
      </c>
      <c r="M462" s="50">
        <f>ROUND('FA Addition'!$L462*5%,0.1)</f>
        <v>105000</v>
      </c>
      <c r="N462" s="113" t="str">
        <f>_xlfn.XLOOKUP(_xlfn.CONCAT(E462,B462),'Year Wise Master Dep Approach'!F:F,'Year Wise Master Dep Approach'!D:D)</f>
        <v>WDV</v>
      </c>
      <c r="O462" s="113">
        <f>_xlfn.XLOOKUP(_xlfn.CONCAT(E462,B462),'Year Wise Master Dep Approach'!F:F,'Year Wise Master Dep Approach'!E:E)</f>
        <v>3</v>
      </c>
      <c r="P462" s="114">
        <f>IFERROR(IF('FA Addition'!$N462="WDV",1-('FA Addition'!$M462/'FA Addition'!$L462)^(1/'FA Addition'!$O462),1/'FA Addition'!$O462),0)</f>
        <v>0.63159685013596123</v>
      </c>
      <c r="Q462" s="122">
        <f>'FA Addition'!$P462*'FA Addition'!$O462</f>
        <v>1.8947905504078837</v>
      </c>
      <c r="R462" s="122"/>
      <c r="S462" s="116">
        <f>IF(AND(DATE(20&amp;LEFT(FAAddition[[#This Row],[FY]],2),4,1)&lt;$L$1+1,DATE(20&amp;LEFT(FAAddition[[#This Row],[FY]],2),4,1)&gt;$P$1-1),'FA Addition'!$J462,0)</f>
        <v>0</v>
      </c>
      <c r="U462" s="117">
        <f>S462*'FA Addition'!$L462/'FA Addition'!$J462</f>
        <v>0</v>
      </c>
      <c r="W462" s="116">
        <f>SUMIFS('FA Write off'!D:D,'FA Write off'!A:A,'FA Addition'!$A462,'FA Write off'!C:C,"&lt;"&amp;'FA Addition'!$P$1)</f>
        <v>57</v>
      </c>
      <c r="Y462" s="191">
        <f>IFERROR(W462/'FA Addition'!$J462*'FA Addition'!$L462,0)</f>
        <v>59850</v>
      </c>
      <c r="AA462" s="116">
        <f>SUMIFS('FA Write off'!D:D,'FA Write off'!A:A,'FA Addition'!$A462,'FA Write off'!C:C,"&lt;"&amp;'FA Addition'!$L$1+1,'FA Write off'!C:C,"&gt;"&amp;'FA Addition'!$L$1-365)</f>
        <v>306</v>
      </c>
      <c r="AC462" s="191">
        <f>IFERROR(AA462/'FA Addition'!$J462*'FA Addition'!$L462,0)</f>
        <v>321300</v>
      </c>
      <c r="AE462" s="117">
        <f>IF(AND('FA Addition'!$D462&lt;$P$1+1,U462=0),'FA Addition'!$L462,0)-Y462</f>
        <v>2040150</v>
      </c>
      <c r="AF462" s="117">
        <f t="shared" si="35"/>
        <v>1718850</v>
      </c>
      <c r="AG462" s="117">
        <f>MIN(MAX(+$P$1-'FA Addition'!$D462,0),365*'FA Addition'!$O462)</f>
        <v>348</v>
      </c>
      <c r="AH462" s="117">
        <f>MIN(MAX($L$1-'FA Addition'!$D462+1,0),365*'FA Addition'!$O462)</f>
        <v>714</v>
      </c>
      <c r="AI462" s="117" cm="1">
        <f t="array" ref="AI462">_xlfn.XLOOKUP(1,('FA Write off'!A:A='FA Addition'!$A462)*('FA Write off'!D:D=AA462),'FA Write off'!H:H,0,0)</f>
        <v>714</v>
      </c>
      <c r="AJ462" s="117">
        <f>IF(AC462&gt;0,MAX(IF('FA Addition'!$N462="SLM",($AC462-'FA Addition'!$M462)*'FA Addition'!$P462*AI462/365,(AC462-'FA Addition'!$M462)*(1-(1-'FA Addition'!$P462)^(AI462/365))),0),0)</f>
        <v>185630.00727608762</v>
      </c>
      <c r="AL462" s="117">
        <f>MAX(IF(AG462&gt;0,IF('FA Addition'!$N462="SLM",($AE462-'FA Addition'!$M462)*'FA Addition'!$P462*AG462/365,IFERROR(VDB(AE462,AE462*0.05,'FA Addition'!$O462,0,YEARFRAC('FA Addition'!$C462,$P$1-1,3),'FA Addition'!$Q462),FAAddition[[#This Row],[Original Cost (Rs)]]-FAAddition[[#This Row],[Salvage Value]])),0),0)</f>
        <v>1225007.2681925858</v>
      </c>
      <c r="AM462" s="119"/>
      <c r="AN462" s="117">
        <f>MAX(IF(AH462&gt;0,IF('FA Addition'!$N462="SLM",($AF462-'FA Addition'!$M462)*'FA Addition'!$P462*AH462/365,IFERROR(VDB(AF462,AF462*0.05,'FA Addition'!$O462,0,YEARFRAC('FA Addition'!$C462,$L$1,3),'FA Addition'!$Q462),FAAddition[[#This Row],[Original Cost (Rs)]]-FAAddition[[#This Row],[Salvage Value]])),0),0)</f>
        <v>1466938.5458811261</v>
      </c>
      <c r="AO462" s="117">
        <f t="shared" si="38"/>
        <v>427561.28496462794</v>
      </c>
      <c r="AP462" s="206"/>
      <c r="AQ462" s="117">
        <f t="shared" si="36"/>
        <v>815142.73180741421</v>
      </c>
      <c r="AR462" s="120">
        <f t="shared" si="37"/>
        <v>251911.45411887392</v>
      </c>
      <c r="AS462" s="121"/>
    </row>
    <row r="463" spans="1:45" ht="13.5" x14ac:dyDescent="0.4">
      <c r="A463" s="12">
        <f t="shared" si="39"/>
        <v>460</v>
      </c>
      <c r="B463" s="64" t="s">
        <v>1089</v>
      </c>
      <c r="C463" s="54">
        <v>44688</v>
      </c>
      <c r="D463" s="54">
        <v>44688</v>
      </c>
      <c r="E463" s="46" t="s">
        <v>749</v>
      </c>
      <c r="F463" s="51" t="s">
        <v>74</v>
      </c>
      <c r="G463" s="51" t="s">
        <v>1120</v>
      </c>
      <c r="H463" s="51" t="s">
        <v>1121</v>
      </c>
      <c r="I463" s="55" t="s">
        <v>1125</v>
      </c>
      <c r="J463" s="56">
        <v>200</v>
      </c>
      <c r="K463" s="51" t="s">
        <v>1123</v>
      </c>
      <c r="L463" s="58">
        <v>246000</v>
      </c>
      <c r="M463" s="50">
        <f>ROUND('FA Addition'!$L463*5%,0.1)</f>
        <v>12300</v>
      </c>
      <c r="N463" s="113" t="str">
        <f>_xlfn.XLOOKUP(_xlfn.CONCAT(E463,B463),'Year Wise Master Dep Approach'!F:F,'Year Wise Master Dep Approach'!D:D)</f>
        <v>WDV</v>
      </c>
      <c r="O463" s="113">
        <f>_xlfn.XLOOKUP(_xlfn.CONCAT(E463,B463),'Year Wise Master Dep Approach'!F:F,'Year Wise Master Dep Approach'!E:E)</f>
        <v>5</v>
      </c>
      <c r="P463" s="114">
        <f>IFERROR(IF('FA Addition'!$N463="WDV",1-('FA Addition'!$M463/'FA Addition'!$L463)^(1/'FA Addition'!$O463),1/'FA Addition'!$O463),0)</f>
        <v>0.45071972834694107</v>
      </c>
      <c r="Q463" s="122">
        <f>'FA Addition'!$P463*'FA Addition'!$O463</f>
        <v>2.2535986417347056</v>
      </c>
      <c r="R463" s="122"/>
      <c r="S463" s="116">
        <f>IF(AND(DATE(20&amp;LEFT(FAAddition[[#This Row],[FY]],2),4,1)&lt;$L$1+1,DATE(20&amp;LEFT(FAAddition[[#This Row],[FY]],2),4,1)&gt;$P$1-1),'FA Addition'!$J463,0)</f>
        <v>0</v>
      </c>
      <c r="U463" s="117">
        <f>S463*'FA Addition'!$L463/'FA Addition'!$J463</f>
        <v>0</v>
      </c>
      <c r="W463" s="116">
        <f>SUMIFS('FA Write off'!D:D,'FA Write off'!A:A,'FA Addition'!$A463,'FA Write off'!C:C,"&lt;"&amp;'FA Addition'!$P$1)</f>
        <v>0</v>
      </c>
      <c r="Y463" s="191">
        <f>IFERROR(W463/'FA Addition'!$J463*'FA Addition'!$L463,0)</f>
        <v>0</v>
      </c>
      <c r="AA463" s="116">
        <f>SUMIFS('FA Write off'!D:D,'FA Write off'!A:A,'FA Addition'!$A463,'FA Write off'!C:C,"&lt;"&amp;'FA Addition'!$L$1+1,'FA Write off'!C:C,"&gt;"&amp;'FA Addition'!$L$1-365)</f>
        <v>0</v>
      </c>
      <c r="AC463" s="118">
        <f>IFERROR(AA463/'FA Addition'!$J463*'FA Addition'!$L463,0)</f>
        <v>0</v>
      </c>
      <c r="AE463" s="117">
        <f>IF(AND('FA Addition'!$D463&lt;$P$1+1,U463=0),'FA Addition'!$L463,0)-Y463</f>
        <v>246000</v>
      </c>
      <c r="AF463" s="117">
        <f t="shared" si="35"/>
        <v>246000</v>
      </c>
      <c r="AG463" s="117">
        <f>MIN(MAX(+$P$1-'FA Addition'!$D463,0),365*'FA Addition'!$O463)</f>
        <v>329</v>
      </c>
      <c r="AH463" s="117">
        <f>MIN(MAX($L$1-'FA Addition'!$D463+1,0),365*'FA Addition'!$O463)</f>
        <v>695</v>
      </c>
      <c r="AI463" s="117" cm="1">
        <f t="array" ref="AI463">_xlfn.XLOOKUP(1,('FA Write off'!A:A='FA Addition'!$A463)*('FA Write off'!D:D=AA463),'FA Write off'!H:H,0,0)</f>
        <v>0</v>
      </c>
      <c r="AJ463" s="117">
        <f>IF(AC463&gt;0,MAX(IF('FA Addition'!$N463="SLM",($AC463-'FA Addition'!$M463)*'FA Addition'!$P463*AI463/365,(AC463-'FA Addition'!$M463)*(1-(1-'FA Addition'!$P463)^(AI463/365))),0),0)</f>
        <v>0</v>
      </c>
      <c r="AL463" s="117">
        <f>MAX(IF(AG463&gt;0,IF('FA Addition'!$N463="SLM",($AE463-'FA Addition'!$M463)*'FA Addition'!$P463*AG463/365,IFERROR(VDB(AE463,AE463*0.05,'FA Addition'!$O463,0,YEARFRAC('FA Addition'!$C463,$P$1-1,3),'FA Addition'!$Q463),FAAddition[[#This Row],[Original Cost (Rs)]]-FAAddition[[#This Row],[Salvage Value]])),0),0)</f>
        <v>99637.461481802704</v>
      </c>
      <c r="AM463" s="119"/>
      <c r="AN463" s="117">
        <f>MAX(IF(AH463&gt;0,IF('FA Addition'!$N463="SLM",($AF463-'FA Addition'!$M463)*'FA Addition'!$P463*AH463/365,IFERROR(VDB(AF463,AF463*0.05,'FA Addition'!$O463,0,YEARFRAC('FA Addition'!$C463,$L$1,3),'FA Addition'!$Q463),FAAddition[[#This Row],[Original Cost (Rs)]]-FAAddition[[#This Row],[Salvage Value]])),0),0)</f>
        <v>165772.80146066629</v>
      </c>
      <c r="AO463" s="117">
        <f t="shared" si="38"/>
        <v>66135.339978863587</v>
      </c>
      <c r="AP463" s="206"/>
      <c r="AQ463" s="117">
        <f t="shared" si="36"/>
        <v>146362.53851819731</v>
      </c>
      <c r="AR463" s="120">
        <f t="shared" si="37"/>
        <v>80227.198539333709</v>
      </c>
      <c r="AS463" s="121"/>
    </row>
    <row r="464" spans="1:45" ht="13.5" x14ac:dyDescent="0.4">
      <c r="A464" s="12">
        <f t="shared" si="39"/>
        <v>461</v>
      </c>
      <c r="B464" s="64" t="s">
        <v>1089</v>
      </c>
      <c r="C464" s="54">
        <v>44690</v>
      </c>
      <c r="D464" s="54">
        <v>44690</v>
      </c>
      <c r="E464" s="46" t="s">
        <v>1389</v>
      </c>
      <c r="F464" s="51" t="s">
        <v>1112</v>
      </c>
      <c r="G464" s="51" t="s">
        <v>1126</v>
      </c>
      <c r="H464" s="51" t="s">
        <v>1113</v>
      </c>
      <c r="I464" s="55" t="s">
        <v>1127</v>
      </c>
      <c r="J464" s="56">
        <v>260</v>
      </c>
      <c r="K464" s="51" t="s">
        <v>1128</v>
      </c>
      <c r="L464" s="58">
        <v>203000</v>
      </c>
      <c r="M464" s="50">
        <f>ROUND('FA Addition'!$L464*5%,0.1)</f>
        <v>10150</v>
      </c>
      <c r="N464" s="113" t="str">
        <f>_xlfn.XLOOKUP(_xlfn.CONCAT(E464,B464),'Year Wise Master Dep Approach'!F:F,'Year Wise Master Dep Approach'!D:D)</f>
        <v>SLM</v>
      </c>
      <c r="O464" s="113">
        <f>_xlfn.XLOOKUP(_xlfn.CONCAT(E464,B464),'Year Wise Master Dep Approach'!F:F,'Year Wise Master Dep Approach'!E:E)</f>
        <v>3</v>
      </c>
      <c r="P464" s="114">
        <f>IFERROR(IF('FA Addition'!$N464="WDV",1-('FA Addition'!$M464/'FA Addition'!$L464)^(1/'FA Addition'!$O464),1/'FA Addition'!$O464),0)</f>
        <v>0.33333333333333331</v>
      </c>
      <c r="Q464" s="122">
        <f>'FA Addition'!$P464*'FA Addition'!$O464</f>
        <v>1</v>
      </c>
      <c r="R464" s="122"/>
      <c r="S464" s="116">
        <f>IF(AND(DATE(20&amp;LEFT(FAAddition[[#This Row],[FY]],2),4,1)&lt;$L$1+1,DATE(20&amp;LEFT(FAAddition[[#This Row],[FY]],2),4,1)&gt;$P$1-1),'FA Addition'!$J464,0)</f>
        <v>0</v>
      </c>
      <c r="U464" s="117">
        <f>S464*'FA Addition'!$L464/'FA Addition'!$J464</f>
        <v>0</v>
      </c>
      <c r="W464" s="116">
        <f>SUMIFS('FA Write off'!D:D,'FA Write off'!A:A,'FA Addition'!$A464,'FA Write off'!C:C,"&lt;"&amp;'FA Addition'!$P$1)</f>
        <v>260</v>
      </c>
      <c r="Y464" s="191">
        <f>IFERROR(W464/'FA Addition'!$J464*'FA Addition'!$L464,0)</f>
        <v>203000</v>
      </c>
      <c r="AA464" s="116">
        <f>SUMIFS('FA Write off'!D:D,'FA Write off'!A:A,'FA Addition'!$A464,'FA Write off'!C:C,"&lt;"&amp;'FA Addition'!$L$1+1,'FA Write off'!C:C,"&gt;"&amp;'FA Addition'!$L$1-365)</f>
        <v>0</v>
      </c>
      <c r="AC464" s="191">
        <f>IFERROR(AA464/'FA Addition'!$J464*'FA Addition'!$L464,0)</f>
        <v>0</v>
      </c>
      <c r="AE464" s="117">
        <f>IF(AND('FA Addition'!$D464&lt;$P$1+1,U464=0),'FA Addition'!$L464,0)-Y464</f>
        <v>0</v>
      </c>
      <c r="AF464" s="117">
        <f t="shared" si="35"/>
        <v>0</v>
      </c>
      <c r="AG464" s="117">
        <f>MIN(MAX(+$P$1-'FA Addition'!$D464,0),365*'FA Addition'!$O464)</f>
        <v>327</v>
      </c>
      <c r="AH464" s="117">
        <f>MIN(MAX($L$1-'FA Addition'!$D464+1,0),365*'FA Addition'!$O464)</f>
        <v>693</v>
      </c>
      <c r="AI464" s="117" cm="1">
        <f t="array" ref="AI464">_xlfn.XLOOKUP(1,('FA Write off'!A:A='FA Addition'!$A464)*('FA Write off'!D:D=AA464),'FA Write off'!H:H,0,0)</f>
        <v>0</v>
      </c>
      <c r="AJ464" s="117">
        <f>IF(AC464&gt;0,MAX(IF('FA Addition'!$N464="SLM",($AC464-'FA Addition'!$M464)*'FA Addition'!$P464*AI464/365,(AC464-'FA Addition'!$M464)*(1-(1-'FA Addition'!$P464)^(AI464/365))),0),0)</f>
        <v>0</v>
      </c>
      <c r="AL464" s="117">
        <f>MAX(IF(AG464&gt;0,IF('FA Addition'!$N464="SLM",($AE464-'FA Addition'!$M464)*'FA Addition'!$P464*AG464/365,IFERROR(VDB(AE464,AE464*0.05,'FA Addition'!$O464,0,YEARFRAC('FA Addition'!$C464,$P$1-1,3),'FA Addition'!$Q464),FAAddition[[#This Row],[Original Cost (Rs)]]-FAAddition[[#This Row],[Salvage Value]])),0),0)</f>
        <v>0</v>
      </c>
      <c r="AM464" s="119"/>
      <c r="AN464" s="117">
        <f>MAX(IF(AH464&gt;0,IF('FA Addition'!$N464="SLM",($AF464-'FA Addition'!$M464)*'FA Addition'!$P464*AH464/365,IFERROR(VDB(AF464,AF464*0.05,'FA Addition'!$O464,0,YEARFRAC('FA Addition'!$C464,$L$1,3),'FA Addition'!$Q464),FAAddition[[#This Row],[Original Cost (Rs)]]-FAAddition[[#This Row],[Salvage Value]])),0),0)</f>
        <v>0</v>
      </c>
      <c r="AO464" s="117">
        <f t="shared" si="38"/>
        <v>0</v>
      </c>
      <c r="AP464" s="206"/>
      <c r="AQ464" s="117">
        <f t="shared" si="36"/>
        <v>0</v>
      </c>
      <c r="AR464" s="120">
        <f t="shared" si="37"/>
        <v>0</v>
      </c>
      <c r="AS464" s="121"/>
    </row>
    <row r="465" spans="1:45" ht="13.5" x14ac:dyDescent="0.4">
      <c r="A465" s="12">
        <f t="shared" si="39"/>
        <v>462</v>
      </c>
      <c r="B465" s="64" t="s">
        <v>1089</v>
      </c>
      <c r="C465" s="54">
        <v>44692</v>
      </c>
      <c r="D465" s="54">
        <v>44692</v>
      </c>
      <c r="E465" s="46" t="s">
        <v>1389</v>
      </c>
      <c r="F465" s="51" t="s">
        <v>1112</v>
      </c>
      <c r="G465" s="51" t="s">
        <v>1126</v>
      </c>
      <c r="H465" s="51" t="s">
        <v>1113</v>
      </c>
      <c r="I465" s="55" t="s">
        <v>1129</v>
      </c>
      <c r="J465" s="56">
        <v>200</v>
      </c>
      <c r="K465" s="51" t="s">
        <v>1130</v>
      </c>
      <c r="L465" s="58">
        <v>156000</v>
      </c>
      <c r="M465" s="50">
        <f>ROUND('FA Addition'!$L465*5%,0.1)</f>
        <v>7800</v>
      </c>
      <c r="N465" s="113" t="str">
        <f>_xlfn.XLOOKUP(_xlfn.CONCAT(E465,B465),'Year Wise Master Dep Approach'!F:F,'Year Wise Master Dep Approach'!D:D)</f>
        <v>SLM</v>
      </c>
      <c r="O465" s="113">
        <f>_xlfn.XLOOKUP(_xlfn.CONCAT(E465,B465),'Year Wise Master Dep Approach'!F:F,'Year Wise Master Dep Approach'!E:E)</f>
        <v>3</v>
      </c>
      <c r="P465" s="114">
        <f>IFERROR(IF('FA Addition'!$N465="WDV",1-('FA Addition'!$M465/'FA Addition'!$L465)^(1/'FA Addition'!$O465),1/'FA Addition'!$O465),0)</f>
        <v>0.33333333333333331</v>
      </c>
      <c r="Q465" s="122">
        <f>'FA Addition'!$P465*'FA Addition'!$O465</f>
        <v>1</v>
      </c>
      <c r="R465" s="122"/>
      <c r="S465" s="116">
        <f>IF(AND(DATE(20&amp;LEFT(FAAddition[[#This Row],[FY]],2),4,1)&lt;$L$1+1,DATE(20&amp;LEFT(FAAddition[[#This Row],[FY]],2),4,1)&gt;$P$1-1),'FA Addition'!$J465,0)</f>
        <v>0</v>
      </c>
      <c r="U465" s="117">
        <f>S465*'FA Addition'!$L465/'FA Addition'!$J465</f>
        <v>0</v>
      </c>
      <c r="W465" s="116">
        <f>SUMIFS('FA Write off'!D:D,'FA Write off'!A:A,'FA Addition'!$A465,'FA Write off'!C:C,"&lt;"&amp;'FA Addition'!$P$1)</f>
        <v>200</v>
      </c>
      <c r="Y465" s="191">
        <f>IFERROR(W465/'FA Addition'!$J465*'FA Addition'!$L465,0)</f>
        <v>156000</v>
      </c>
      <c r="AA465" s="116">
        <f>SUMIFS('FA Write off'!D:D,'FA Write off'!A:A,'FA Addition'!$A465,'FA Write off'!C:C,"&lt;"&amp;'FA Addition'!$L$1+1,'FA Write off'!C:C,"&gt;"&amp;'FA Addition'!$L$1-365)</f>
        <v>0</v>
      </c>
      <c r="AC465" s="191">
        <f>IFERROR(AA465/'FA Addition'!$J465*'FA Addition'!$L465,0)</f>
        <v>0</v>
      </c>
      <c r="AE465" s="117">
        <f>IF(AND('FA Addition'!$D465&lt;$P$1+1,U465=0),'FA Addition'!$L465,0)-Y465</f>
        <v>0</v>
      </c>
      <c r="AF465" s="117">
        <f t="shared" si="35"/>
        <v>0</v>
      </c>
      <c r="AG465" s="117">
        <f>MIN(MAX(+$P$1-'FA Addition'!$D465,0),365*'FA Addition'!$O465)</f>
        <v>325</v>
      </c>
      <c r="AH465" s="117">
        <f>MIN(MAX($L$1-'FA Addition'!$D465+1,0),365*'FA Addition'!$O465)</f>
        <v>691</v>
      </c>
      <c r="AI465" s="117" cm="1">
        <f t="array" ref="AI465">_xlfn.XLOOKUP(1,('FA Write off'!A:A='FA Addition'!$A465)*('FA Write off'!D:D=AA465),'FA Write off'!H:H,0,0)</f>
        <v>0</v>
      </c>
      <c r="AJ465" s="117">
        <f>IF(AC465&gt;0,MAX(IF('FA Addition'!$N465="SLM",($AC465-'FA Addition'!$M465)*'FA Addition'!$P465*AI465/365,(AC465-'FA Addition'!$M465)*(1-(1-'FA Addition'!$P465)^(AI465/365))),0),0)</f>
        <v>0</v>
      </c>
      <c r="AL465" s="117">
        <f>MAX(IF(AG465&gt;0,IF('FA Addition'!$N465="SLM",($AE465-'FA Addition'!$M465)*'FA Addition'!$P465*AG465/365,IFERROR(VDB(AE465,AE465*0.05,'FA Addition'!$O465,0,YEARFRAC('FA Addition'!$C465,$P$1-1,3),'FA Addition'!$Q465),FAAddition[[#This Row],[Original Cost (Rs)]]-FAAddition[[#This Row],[Salvage Value]])),0),0)</f>
        <v>0</v>
      </c>
      <c r="AM465" s="119"/>
      <c r="AN465" s="117">
        <f>MAX(IF(AH465&gt;0,IF('FA Addition'!$N465="SLM",($AF465-'FA Addition'!$M465)*'FA Addition'!$P465*AH465/365,IFERROR(VDB(AF465,AF465*0.05,'FA Addition'!$O465,0,YEARFRAC('FA Addition'!$C465,$L$1,3),'FA Addition'!$Q465),FAAddition[[#This Row],[Original Cost (Rs)]]-FAAddition[[#This Row],[Salvage Value]])),0),0)</f>
        <v>0</v>
      </c>
      <c r="AO465" s="117">
        <f t="shared" si="38"/>
        <v>0</v>
      </c>
      <c r="AP465" s="206"/>
      <c r="AQ465" s="117">
        <f t="shared" si="36"/>
        <v>0</v>
      </c>
      <c r="AR465" s="120">
        <f t="shared" si="37"/>
        <v>0</v>
      </c>
      <c r="AS465" s="121"/>
    </row>
    <row r="466" spans="1:45" ht="13.5" x14ac:dyDescent="0.4">
      <c r="A466" s="12">
        <f t="shared" si="39"/>
        <v>463</v>
      </c>
      <c r="B466" s="64" t="s">
        <v>1089</v>
      </c>
      <c r="C466" s="54">
        <v>44692</v>
      </c>
      <c r="D466" s="54">
        <v>44692</v>
      </c>
      <c r="E466" s="46" t="s">
        <v>1389</v>
      </c>
      <c r="F466" s="51" t="s">
        <v>1112</v>
      </c>
      <c r="G466" s="51" t="s">
        <v>36</v>
      </c>
      <c r="H466" s="51" t="s">
        <v>1113</v>
      </c>
      <c r="I466" s="55" t="s">
        <v>1131</v>
      </c>
      <c r="J466" s="56">
        <v>1000</v>
      </c>
      <c r="K466" s="51" t="s">
        <v>1132</v>
      </c>
      <c r="L466" s="58">
        <v>810000</v>
      </c>
      <c r="M466" s="50">
        <f>ROUND('FA Addition'!$L466*5%,0.1)</f>
        <v>40500</v>
      </c>
      <c r="N466" s="113" t="str">
        <f>_xlfn.XLOOKUP(_xlfn.CONCAT(E466,B466),'Year Wise Master Dep Approach'!F:F,'Year Wise Master Dep Approach'!D:D)</f>
        <v>SLM</v>
      </c>
      <c r="O466" s="113">
        <f>_xlfn.XLOOKUP(_xlfn.CONCAT(E466,B466),'Year Wise Master Dep Approach'!F:F,'Year Wise Master Dep Approach'!E:E)</f>
        <v>3</v>
      </c>
      <c r="P466" s="114">
        <f>IFERROR(IF('FA Addition'!$N466="WDV",1-('FA Addition'!$M466/'FA Addition'!$L466)^(1/'FA Addition'!$O466),1/'FA Addition'!$O466),0)</f>
        <v>0.33333333333333331</v>
      </c>
      <c r="Q466" s="122">
        <f>'FA Addition'!$P466*'FA Addition'!$O466</f>
        <v>1</v>
      </c>
      <c r="R466" s="122"/>
      <c r="S466" s="116">
        <f>IF(AND(DATE(20&amp;LEFT(FAAddition[[#This Row],[FY]],2),4,1)&lt;$L$1+1,DATE(20&amp;LEFT(FAAddition[[#This Row],[FY]],2),4,1)&gt;$P$1-1),'FA Addition'!$J466,0)</f>
        <v>0</v>
      </c>
      <c r="U466" s="117">
        <f>S466*'FA Addition'!$L466/'FA Addition'!$J466</f>
        <v>0</v>
      </c>
      <c r="W466" s="116">
        <f>SUMIFS('FA Write off'!D:D,'FA Write off'!A:A,'FA Addition'!$A466,'FA Write off'!C:C,"&lt;"&amp;'FA Addition'!$P$1)</f>
        <v>1000</v>
      </c>
      <c r="Y466" s="191">
        <f>IFERROR(W466/'FA Addition'!$J466*'FA Addition'!$L466,0)</f>
        <v>810000</v>
      </c>
      <c r="AA466" s="116">
        <f>SUMIFS('FA Write off'!D:D,'FA Write off'!A:A,'FA Addition'!$A466,'FA Write off'!C:C,"&lt;"&amp;'FA Addition'!$L$1+1,'FA Write off'!C:C,"&gt;"&amp;'FA Addition'!$L$1-365)</f>
        <v>0</v>
      </c>
      <c r="AC466" s="191">
        <f>IFERROR(AA466/'FA Addition'!$J466*'FA Addition'!$L466,0)</f>
        <v>0</v>
      </c>
      <c r="AE466" s="117">
        <f>IF(AND('FA Addition'!$D466&lt;$P$1+1,U466=0),'FA Addition'!$L466,0)-Y466</f>
        <v>0</v>
      </c>
      <c r="AF466" s="117">
        <f t="shared" si="35"/>
        <v>0</v>
      </c>
      <c r="AG466" s="117">
        <f>MIN(MAX(+$P$1-'FA Addition'!$D466,0),365*'FA Addition'!$O466)</f>
        <v>325</v>
      </c>
      <c r="AH466" s="117">
        <f>MIN(MAX($L$1-'FA Addition'!$D466+1,0),365*'FA Addition'!$O466)</f>
        <v>691</v>
      </c>
      <c r="AI466" s="117" cm="1">
        <f t="array" ref="AI466">_xlfn.XLOOKUP(1,('FA Write off'!A:A='FA Addition'!$A466)*('FA Write off'!D:D=AA466),'FA Write off'!H:H,0,0)</f>
        <v>0</v>
      </c>
      <c r="AJ466" s="117">
        <f>IF(AC466&gt;0,MAX(IF('FA Addition'!$N466="SLM",($AC466-'FA Addition'!$M466)*'FA Addition'!$P466*AI466/365,(AC466-'FA Addition'!$M466)*(1-(1-'FA Addition'!$P466)^(AI466/365))),0),0)</f>
        <v>0</v>
      </c>
      <c r="AL466" s="117">
        <f>MAX(IF(AG466&gt;0,IF('FA Addition'!$N466="SLM",($AE466-'FA Addition'!$M466)*'FA Addition'!$P466*AG466/365,IFERROR(VDB(AE466,AE466*0.05,'FA Addition'!$O466,0,YEARFRAC('FA Addition'!$C466,$P$1-1,3),'FA Addition'!$Q466),FAAddition[[#This Row],[Original Cost (Rs)]]-FAAddition[[#This Row],[Salvage Value]])),0),0)</f>
        <v>0</v>
      </c>
      <c r="AM466" s="119"/>
      <c r="AN466" s="117">
        <f>MAX(IF(AH466&gt;0,IF('FA Addition'!$N466="SLM",($AF466-'FA Addition'!$M466)*'FA Addition'!$P466*AH466/365,IFERROR(VDB(AF466,AF466*0.05,'FA Addition'!$O466,0,YEARFRAC('FA Addition'!$C466,$L$1,3),'FA Addition'!$Q466),FAAddition[[#This Row],[Original Cost (Rs)]]-FAAddition[[#This Row],[Salvage Value]])),0),0)</f>
        <v>0</v>
      </c>
      <c r="AO466" s="117">
        <f t="shared" si="38"/>
        <v>0</v>
      </c>
      <c r="AP466" s="206"/>
      <c r="AQ466" s="117">
        <f t="shared" si="36"/>
        <v>0</v>
      </c>
      <c r="AR466" s="120">
        <f t="shared" si="37"/>
        <v>0</v>
      </c>
      <c r="AS466" s="121"/>
    </row>
    <row r="467" spans="1:45" ht="13.5" x14ac:dyDescent="0.4">
      <c r="A467" s="12">
        <f t="shared" si="39"/>
        <v>464</v>
      </c>
      <c r="B467" s="64" t="s">
        <v>1089</v>
      </c>
      <c r="C467" s="54">
        <v>44694</v>
      </c>
      <c r="D467" s="54">
        <v>44694</v>
      </c>
      <c r="E467" s="46" t="s">
        <v>451</v>
      </c>
      <c r="F467" s="51" t="s">
        <v>1133</v>
      </c>
      <c r="G467" s="51" t="s">
        <v>1134</v>
      </c>
      <c r="H467" s="51" t="s">
        <v>21</v>
      </c>
      <c r="I467" s="55" t="s">
        <v>1135</v>
      </c>
      <c r="J467" s="56">
        <v>1</v>
      </c>
      <c r="K467" s="51" t="s">
        <v>1136</v>
      </c>
      <c r="L467" s="58">
        <v>32873</v>
      </c>
      <c r="M467" s="50">
        <f>ROUND('FA Addition'!$L467*5%,0.1)</f>
        <v>1644</v>
      </c>
      <c r="N467" s="113" t="str">
        <f>_xlfn.XLOOKUP(_xlfn.CONCAT(E467,B467),'Year Wise Master Dep Approach'!F:F,'Year Wise Master Dep Approach'!D:D)</f>
        <v>WDV</v>
      </c>
      <c r="O467" s="113">
        <f>_xlfn.XLOOKUP(_xlfn.CONCAT(E467,B467),'Year Wise Master Dep Approach'!F:F,'Year Wise Master Dep Approach'!E:E)</f>
        <v>3</v>
      </c>
      <c r="P467" s="114">
        <f>IFERROR(IF('FA Addition'!$N467="WDV",1-('FA Addition'!$M467/'FA Addition'!$L467)^(1/'FA Addition'!$O467),1/'FA Addition'!$O467),0)</f>
        <v>0.63157070264891213</v>
      </c>
      <c r="Q467" s="122">
        <f>'FA Addition'!$P467*'FA Addition'!$O467</f>
        <v>1.8947121079467364</v>
      </c>
      <c r="R467" s="122"/>
      <c r="S467" s="116">
        <f>IF(AND(DATE(20&amp;LEFT(FAAddition[[#This Row],[FY]],2),4,1)&lt;$L$1+1,DATE(20&amp;LEFT(FAAddition[[#This Row],[FY]],2),4,1)&gt;$P$1-1),'FA Addition'!$J467,0)</f>
        <v>0</v>
      </c>
      <c r="U467" s="117">
        <f>S467*'FA Addition'!$L467/'FA Addition'!$J467</f>
        <v>0</v>
      </c>
      <c r="W467" s="116">
        <f>SUMIFS('FA Write off'!D:D,'FA Write off'!A:A,'FA Addition'!$A467,'FA Write off'!C:C,"&lt;"&amp;'FA Addition'!$P$1)</f>
        <v>0</v>
      </c>
      <c r="Y467" s="191">
        <f>IFERROR(W467/'FA Addition'!$J467*'FA Addition'!$L467,0)</f>
        <v>0</v>
      </c>
      <c r="AA467" s="116">
        <f>SUMIFS('FA Write off'!D:D,'FA Write off'!A:A,'FA Addition'!$A467,'FA Write off'!C:C,"&lt;"&amp;'FA Addition'!$L$1+1,'FA Write off'!C:C,"&gt;"&amp;'FA Addition'!$L$1-365)</f>
        <v>0</v>
      </c>
      <c r="AC467" s="118">
        <f>IFERROR(AA467/'FA Addition'!$J467*'FA Addition'!$L467,0)</f>
        <v>0</v>
      </c>
      <c r="AE467" s="117">
        <f>IF(AND('FA Addition'!$D467&lt;$P$1+1,U467=0),'FA Addition'!$L467,0)-Y467</f>
        <v>32873</v>
      </c>
      <c r="AF467" s="117">
        <f t="shared" si="35"/>
        <v>32873</v>
      </c>
      <c r="AG467" s="117">
        <f>MIN(MAX(+$P$1-'FA Addition'!$D467,0),365*'FA Addition'!$O467)</f>
        <v>323</v>
      </c>
      <c r="AH467" s="117">
        <f>MIN(MAX($L$1-'FA Addition'!$D467+1,0),365*'FA Addition'!$O467)</f>
        <v>689</v>
      </c>
      <c r="AI467" s="117" cm="1">
        <f t="array" ref="AI467">_xlfn.XLOOKUP(1,('FA Write off'!A:A='FA Addition'!$A467)*('FA Write off'!D:D=AA467),'FA Write off'!H:H,0,0)</f>
        <v>0</v>
      </c>
      <c r="AJ467" s="117">
        <f>IF(AC467&gt;0,MAX(IF('FA Addition'!$N467="SLM",($AC467-'FA Addition'!$M467)*'FA Addition'!$P467*AI467/365,(AC467-'FA Addition'!$M467)*(1-(1-'FA Addition'!$P467)^(AI467/365))),0),0)</f>
        <v>0</v>
      </c>
      <c r="AL467" s="117">
        <f>MAX(IF(AG467&gt;0,IF('FA Addition'!$N467="SLM",($AE467-'FA Addition'!$M467)*'FA Addition'!$P467*AG467/365,IFERROR(VDB(AE467,AE467*0.05,'FA Addition'!$O467,0,YEARFRAC('FA Addition'!$C467,$P$1-1,3),'FA Addition'!$Q467),FAAddition[[#This Row],[Original Cost (Rs)]]-FAAddition[[#This Row],[Salvage Value]])),0),0)</f>
        <v>18315.733791871826</v>
      </c>
      <c r="AM467" s="119"/>
      <c r="AN467" s="117">
        <f>MAX(IF(AH467&gt;0,IF('FA Addition'!$N467="SLM",($AF467-'FA Addition'!$M467)*'FA Addition'!$P467*AH467/365,IFERROR(VDB(AF467,AF467*0.05,'FA Addition'!$O467,0,YEARFRAC('FA Addition'!$C467,$L$1,3),'FA Addition'!$Q467),FAAddition[[#This Row],[Original Cost (Rs)]]-FAAddition[[#This Row],[Salvage Value]])),0),0)</f>
        <v>27530.63332570899</v>
      </c>
      <c r="AO467" s="117">
        <f t="shared" si="38"/>
        <v>9214.8995338371642</v>
      </c>
      <c r="AP467" s="206"/>
      <c r="AQ467" s="117">
        <f t="shared" si="36"/>
        <v>14557.266208128174</v>
      </c>
      <c r="AR467" s="120">
        <f t="shared" si="37"/>
        <v>5342.36667429101</v>
      </c>
      <c r="AS467" s="121"/>
    </row>
    <row r="468" spans="1:45" ht="13.5" x14ac:dyDescent="0.4">
      <c r="A468" s="12">
        <f t="shared" si="39"/>
        <v>465</v>
      </c>
      <c r="B468" s="64" t="s">
        <v>1089</v>
      </c>
      <c r="C468" s="54">
        <v>44694</v>
      </c>
      <c r="D468" s="54">
        <v>44694</v>
      </c>
      <c r="E468" s="46" t="s">
        <v>451</v>
      </c>
      <c r="F468" s="51" t="s">
        <v>1133</v>
      </c>
      <c r="G468" s="51" t="s">
        <v>1134</v>
      </c>
      <c r="H468" s="51" t="s">
        <v>21</v>
      </c>
      <c r="I468" s="55" t="s">
        <v>1135</v>
      </c>
      <c r="J468" s="56">
        <v>1</v>
      </c>
      <c r="K468" s="51" t="s">
        <v>1136</v>
      </c>
      <c r="L468" s="58">
        <v>32873</v>
      </c>
      <c r="M468" s="50">
        <f>ROUND('FA Addition'!$L468*5%,0.1)</f>
        <v>1644</v>
      </c>
      <c r="N468" s="113" t="str">
        <f>_xlfn.XLOOKUP(_xlfn.CONCAT(E468,B468),'Year Wise Master Dep Approach'!F:F,'Year Wise Master Dep Approach'!D:D)</f>
        <v>WDV</v>
      </c>
      <c r="O468" s="113">
        <f>_xlfn.XLOOKUP(_xlfn.CONCAT(E468,B468),'Year Wise Master Dep Approach'!F:F,'Year Wise Master Dep Approach'!E:E)</f>
        <v>3</v>
      </c>
      <c r="P468" s="114">
        <f>IFERROR(IF('FA Addition'!$N468="WDV",1-('FA Addition'!$M468/'FA Addition'!$L468)^(1/'FA Addition'!$O468),1/'FA Addition'!$O468),0)</f>
        <v>0.63157070264891213</v>
      </c>
      <c r="Q468" s="122">
        <f>'FA Addition'!$P468*'FA Addition'!$O468</f>
        <v>1.8947121079467364</v>
      </c>
      <c r="R468" s="122"/>
      <c r="S468" s="116">
        <f>IF(AND(DATE(20&amp;LEFT(FAAddition[[#This Row],[FY]],2),4,1)&lt;$L$1+1,DATE(20&amp;LEFT(FAAddition[[#This Row],[FY]],2),4,1)&gt;$P$1-1),'FA Addition'!$J468,0)</f>
        <v>0</v>
      </c>
      <c r="U468" s="117">
        <f>S468*'FA Addition'!$L468/'FA Addition'!$J468</f>
        <v>0</v>
      </c>
      <c r="W468" s="116">
        <f>SUMIFS('FA Write off'!D:D,'FA Write off'!A:A,'FA Addition'!$A468,'FA Write off'!C:C,"&lt;"&amp;'FA Addition'!$P$1)</f>
        <v>0</v>
      </c>
      <c r="Y468" s="191">
        <f>IFERROR(W468/'FA Addition'!$J468*'FA Addition'!$L468,0)</f>
        <v>0</v>
      </c>
      <c r="AA468" s="116">
        <f>SUMIFS('FA Write off'!D:D,'FA Write off'!A:A,'FA Addition'!$A468,'FA Write off'!C:C,"&lt;"&amp;'FA Addition'!$L$1+1,'FA Write off'!C:C,"&gt;"&amp;'FA Addition'!$L$1-365)</f>
        <v>0</v>
      </c>
      <c r="AC468" s="118">
        <f>IFERROR(AA468/'FA Addition'!$J468*'FA Addition'!$L468,0)</f>
        <v>0</v>
      </c>
      <c r="AE468" s="117">
        <f>IF(AND('FA Addition'!$D468&lt;$P$1+1,U468=0),'FA Addition'!$L468,0)-Y468</f>
        <v>32873</v>
      </c>
      <c r="AF468" s="117">
        <f t="shared" si="35"/>
        <v>32873</v>
      </c>
      <c r="AG468" s="117">
        <f>MIN(MAX(+$P$1-'FA Addition'!$D468,0),365*'FA Addition'!$O468)</f>
        <v>323</v>
      </c>
      <c r="AH468" s="117">
        <f>MIN(MAX($L$1-'FA Addition'!$D468+1,0),365*'FA Addition'!$O468)</f>
        <v>689</v>
      </c>
      <c r="AI468" s="117" cm="1">
        <f t="array" ref="AI468">_xlfn.XLOOKUP(1,('FA Write off'!A:A='FA Addition'!$A468)*('FA Write off'!D:D=AA468),'FA Write off'!H:H,0,0)</f>
        <v>0</v>
      </c>
      <c r="AJ468" s="117">
        <f>IF(AC468&gt;0,MAX(IF('FA Addition'!$N468="SLM",($AC468-'FA Addition'!$M468)*'FA Addition'!$P468*AI468/365,(AC468-'FA Addition'!$M468)*(1-(1-'FA Addition'!$P468)^(AI468/365))),0),0)</f>
        <v>0</v>
      </c>
      <c r="AL468" s="117">
        <f>MAX(IF(AG468&gt;0,IF('FA Addition'!$N468="SLM",($AE468-'FA Addition'!$M468)*'FA Addition'!$P468*AG468/365,IFERROR(VDB(AE468,AE468*0.05,'FA Addition'!$O468,0,YEARFRAC('FA Addition'!$C468,$P$1-1,3),'FA Addition'!$Q468),FAAddition[[#This Row],[Original Cost (Rs)]]-FAAddition[[#This Row],[Salvage Value]])),0),0)</f>
        <v>18315.733791871826</v>
      </c>
      <c r="AM468" s="119"/>
      <c r="AN468" s="117">
        <f>MAX(IF(AH468&gt;0,IF('FA Addition'!$N468="SLM",($AF468-'FA Addition'!$M468)*'FA Addition'!$P468*AH468/365,IFERROR(VDB(AF468,AF468*0.05,'FA Addition'!$O468,0,YEARFRAC('FA Addition'!$C468,$L$1,3),'FA Addition'!$Q468),FAAddition[[#This Row],[Original Cost (Rs)]]-FAAddition[[#This Row],[Salvage Value]])),0),0)</f>
        <v>27530.63332570899</v>
      </c>
      <c r="AO468" s="117">
        <f t="shared" si="38"/>
        <v>9214.8995338371642</v>
      </c>
      <c r="AP468" s="206"/>
      <c r="AQ468" s="117">
        <f t="shared" si="36"/>
        <v>14557.266208128174</v>
      </c>
      <c r="AR468" s="120">
        <f t="shared" si="37"/>
        <v>5342.36667429101</v>
      </c>
      <c r="AS468" s="121"/>
    </row>
    <row r="469" spans="1:45" ht="13.5" x14ac:dyDescent="0.4">
      <c r="A469" s="12">
        <f t="shared" si="39"/>
        <v>466</v>
      </c>
      <c r="B469" s="64" t="s">
        <v>1089</v>
      </c>
      <c r="C469" s="54">
        <v>44694</v>
      </c>
      <c r="D469" s="54">
        <v>44694</v>
      </c>
      <c r="E469" s="46" t="s">
        <v>32</v>
      </c>
      <c r="F469" s="51" t="s">
        <v>1090</v>
      </c>
      <c r="G469" s="51" t="s">
        <v>1137</v>
      </c>
      <c r="H469" s="51" t="s">
        <v>32</v>
      </c>
      <c r="I469" s="55" t="s">
        <v>1138</v>
      </c>
      <c r="J469" s="56">
        <v>10</v>
      </c>
      <c r="K469" s="51" t="s">
        <v>1139</v>
      </c>
      <c r="L469" s="58">
        <v>10000</v>
      </c>
      <c r="M469" s="50">
        <f>ROUND('FA Addition'!$L469*5%,0.1)</f>
        <v>500</v>
      </c>
      <c r="N469" s="113" t="str">
        <f>_xlfn.XLOOKUP(_xlfn.CONCAT(E469,B469),'Year Wise Master Dep Approach'!F:F,'Year Wise Master Dep Approach'!D:D)</f>
        <v>WDV</v>
      </c>
      <c r="O469" s="113">
        <f>_xlfn.XLOOKUP(_xlfn.CONCAT(E469,B469),'Year Wise Master Dep Approach'!F:F,'Year Wise Master Dep Approach'!E:E)</f>
        <v>3</v>
      </c>
      <c r="P469" s="114">
        <f>IFERROR(IF('FA Addition'!$N469="WDV",1-('FA Addition'!$M469/'FA Addition'!$L469)^(1/'FA Addition'!$O469),1/'FA Addition'!$O469),0)</f>
        <v>0.63159685013596123</v>
      </c>
      <c r="Q469" s="122">
        <f>'FA Addition'!$P469*'FA Addition'!$O469</f>
        <v>1.8947905504078837</v>
      </c>
      <c r="R469" s="122"/>
      <c r="S469" s="116">
        <f>IF(AND(DATE(20&amp;LEFT(FAAddition[[#This Row],[FY]],2),4,1)&lt;$L$1+1,DATE(20&amp;LEFT(FAAddition[[#This Row],[FY]],2),4,1)&gt;$P$1-1),'FA Addition'!$J469,0)</f>
        <v>0</v>
      </c>
      <c r="U469" s="117">
        <f>S469*'FA Addition'!$L469/'FA Addition'!$J469</f>
        <v>0</v>
      </c>
      <c r="W469" s="116">
        <f>SUMIFS('FA Write off'!D:D,'FA Write off'!A:A,'FA Addition'!$A469,'FA Write off'!C:C,"&lt;"&amp;'FA Addition'!$P$1)</f>
        <v>0</v>
      </c>
      <c r="Y469" s="191">
        <f>IFERROR(W469/'FA Addition'!$J469*'FA Addition'!$L469,0)</f>
        <v>0</v>
      </c>
      <c r="AA469" s="116">
        <f>SUMIFS('FA Write off'!D:D,'FA Write off'!A:A,'FA Addition'!$A469,'FA Write off'!C:C,"&lt;"&amp;'FA Addition'!$L$1+1,'FA Write off'!C:C,"&gt;"&amp;'FA Addition'!$L$1-365)</f>
        <v>0</v>
      </c>
      <c r="AC469" s="118">
        <f>IFERROR(AA469/'FA Addition'!$J469*'FA Addition'!$L469,0)</f>
        <v>0</v>
      </c>
      <c r="AE469" s="117">
        <f>IF(AND('FA Addition'!$D469&lt;$P$1+1,U469=0),'FA Addition'!$L469,0)-Y469</f>
        <v>10000</v>
      </c>
      <c r="AF469" s="117">
        <f t="shared" si="35"/>
        <v>10000</v>
      </c>
      <c r="AG469" s="117">
        <f>MIN(MAX(+$P$1-'FA Addition'!$D469,0),365*'FA Addition'!$O469)</f>
        <v>323</v>
      </c>
      <c r="AH469" s="117">
        <f>MIN(MAX($L$1-'FA Addition'!$D469+1,0),365*'FA Addition'!$O469)</f>
        <v>689</v>
      </c>
      <c r="AI469" s="117" cm="1">
        <f t="array" ref="AI469">_xlfn.XLOOKUP(1,('FA Write off'!A:A='FA Addition'!$A469)*('FA Write off'!D:D=AA469),'FA Write off'!H:H,0,0)</f>
        <v>0</v>
      </c>
      <c r="AJ469" s="117">
        <f>IF(AC469&gt;0,MAX(IF('FA Addition'!$N469="SLM",($AC469-'FA Addition'!$M469)*'FA Addition'!$P469*AI469/365,(AC469-'FA Addition'!$M469)*(1-(1-'FA Addition'!$P469)^(AI469/365))),0),0)</f>
        <v>0</v>
      </c>
      <c r="AL469" s="117">
        <f>MAX(IF(AG469&gt;0,IF('FA Addition'!$N469="SLM",($AE469-'FA Addition'!$M469)*'FA Addition'!$P469*AG469/365,IFERROR(VDB(AE469,AE469*0.05,'FA Addition'!$O469,0,YEARFRAC('FA Addition'!$C469,$P$1-1,3),'FA Addition'!$Q469),FAAddition[[#This Row],[Original Cost (Rs)]]-FAAddition[[#This Row],[Salvage Value]])),0),0)</f>
        <v>5571.8954998295767</v>
      </c>
      <c r="AM469" s="119"/>
      <c r="AN469" s="117">
        <f>MAX(IF(AH469&gt;0,IF('FA Addition'!$N469="SLM",($AF469-'FA Addition'!$M469)*'FA Addition'!$P469*AH469/365,IFERROR(VDB(AF469,AF469*0.05,'FA Addition'!$O469,0,YEARFRAC('FA Addition'!$C469,$L$1,3),'FA Addition'!$Q469),FAAddition[[#This Row],[Original Cost (Rs)]]-FAAddition[[#This Row],[Salvage Value]])),0),0)</f>
        <v>8375.0472108959621</v>
      </c>
      <c r="AO469" s="117">
        <f t="shared" si="38"/>
        <v>2803.1517110663854</v>
      </c>
      <c r="AP469" s="206"/>
      <c r="AQ469" s="117">
        <f t="shared" si="36"/>
        <v>4428.1045001704233</v>
      </c>
      <c r="AR469" s="120">
        <f t="shared" si="37"/>
        <v>1624.9527891040379</v>
      </c>
      <c r="AS469" s="121"/>
    </row>
    <row r="470" spans="1:45" ht="13.5" x14ac:dyDescent="0.4">
      <c r="A470" s="12">
        <f t="shared" si="39"/>
        <v>467</v>
      </c>
      <c r="B470" s="64" t="s">
        <v>1089</v>
      </c>
      <c r="C470" s="54">
        <v>44697</v>
      </c>
      <c r="D470" s="54">
        <v>44697</v>
      </c>
      <c r="E470" s="46" t="s">
        <v>1389</v>
      </c>
      <c r="F470" s="51" t="s">
        <v>1112</v>
      </c>
      <c r="G470" s="51" t="s">
        <v>36</v>
      </c>
      <c r="H470" s="51" t="s">
        <v>1113</v>
      </c>
      <c r="I470" s="55" t="s">
        <v>1140</v>
      </c>
      <c r="J470" s="56">
        <v>1000</v>
      </c>
      <c r="K470" s="51" t="s">
        <v>1132</v>
      </c>
      <c r="L470" s="58">
        <v>810000</v>
      </c>
      <c r="M470" s="50">
        <f>ROUND('FA Addition'!$L470*5%,0.1)</f>
        <v>40500</v>
      </c>
      <c r="N470" s="113" t="str">
        <f>_xlfn.XLOOKUP(_xlfn.CONCAT(E470,B470),'Year Wise Master Dep Approach'!F:F,'Year Wise Master Dep Approach'!D:D)</f>
        <v>SLM</v>
      </c>
      <c r="O470" s="113">
        <f>_xlfn.XLOOKUP(_xlfn.CONCAT(E470,B470),'Year Wise Master Dep Approach'!F:F,'Year Wise Master Dep Approach'!E:E)</f>
        <v>3</v>
      </c>
      <c r="P470" s="114">
        <f>IFERROR(IF('FA Addition'!$N470="WDV",1-('FA Addition'!$M470/'FA Addition'!$L470)^(1/'FA Addition'!$O470),1/'FA Addition'!$O470),0)</f>
        <v>0.33333333333333331</v>
      </c>
      <c r="Q470" s="122">
        <f>'FA Addition'!$P470*'FA Addition'!$O470</f>
        <v>1</v>
      </c>
      <c r="R470" s="122"/>
      <c r="S470" s="116">
        <f>IF(AND(DATE(20&amp;LEFT(FAAddition[[#This Row],[FY]],2),4,1)&lt;$L$1+1,DATE(20&amp;LEFT(FAAddition[[#This Row],[FY]],2),4,1)&gt;$P$1-1),'FA Addition'!$J470,0)</f>
        <v>0</v>
      </c>
      <c r="U470" s="117">
        <f>S470*'FA Addition'!$L470/'FA Addition'!$J470</f>
        <v>0</v>
      </c>
      <c r="W470" s="116">
        <f>SUMIFS('FA Write off'!D:D,'FA Write off'!A:A,'FA Addition'!$A470,'FA Write off'!C:C,"&lt;"&amp;'FA Addition'!$P$1)</f>
        <v>1000</v>
      </c>
      <c r="Y470" s="191">
        <f>IFERROR(W470/'FA Addition'!$J470*'FA Addition'!$L470,0)</f>
        <v>810000</v>
      </c>
      <c r="AA470" s="116">
        <f>SUMIFS('FA Write off'!D:D,'FA Write off'!A:A,'FA Addition'!$A470,'FA Write off'!C:C,"&lt;"&amp;'FA Addition'!$L$1+1,'FA Write off'!C:C,"&gt;"&amp;'FA Addition'!$L$1-365)</f>
        <v>0</v>
      </c>
      <c r="AC470" s="191">
        <f>IFERROR(AA470/'FA Addition'!$J470*'FA Addition'!$L470,0)</f>
        <v>0</v>
      </c>
      <c r="AE470" s="117">
        <f>IF(AND('FA Addition'!$D470&lt;$P$1+1,U470=0),'FA Addition'!$L470,0)-Y470</f>
        <v>0</v>
      </c>
      <c r="AF470" s="117">
        <f t="shared" si="35"/>
        <v>0</v>
      </c>
      <c r="AG470" s="117">
        <f>MIN(MAX(+$P$1-'FA Addition'!$D470,0),365*'FA Addition'!$O470)</f>
        <v>320</v>
      </c>
      <c r="AH470" s="117">
        <f>MIN(MAX($L$1-'FA Addition'!$D470+1,0),365*'FA Addition'!$O470)</f>
        <v>686</v>
      </c>
      <c r="AI470" s="117" cm="1">
        <f t="array" ref="AI470">_xlfn.XLOOKUP(1,('FA Write off'!A:A='FA Addition'!$A470)*('FA Write off'!D:D=AA470),'FA Write off'!H:H,0,0)</f>
        <v>0</v>
      </c>
      <c r="AJ470" s="117">
        <f>IF(AC470&gt;0,MAX(IF('FA Addition'!$N470="SLM",($AC470-'FA Addition'!$M470)*'FA Addition'!$P470*AI470/365,(AC470-'FA Addition'!$M470)*(1-(1-'FA Addition'!$P470)^(AI470/365))),0),0)</f>
        <v>0</v>
      </c>
      <c r="AL470" s="117">
        <f>MAX(IF(AG470&gt;0,IF('FA Addition'!$N470="SLM",($AE470-'FA Addition'!$M470)*'FA Addition'!$P470*AG470/365,IFERROR(VDB(AE470,AE470*0.05,'FA Addition'!$O470,0,YEARFRAC('FA Addition'!$C470,$P$1-1,3),'FA Addition'!$Q470),FAAddition[[#This Row],[Original Cost (Rs)]]-FAAddition[[#This Row],[Salvage Value]])),0),0)</f>
        <v>0</v>
      </c>
      <c r="AM470" s="119"/>
      <c r="AN470" s="117">
        <f>MAX(IF(AH470&gt;0,IF('FA Addition'!$N470="SLM",($AF470-'FA Addition'!$M470)*'FA Addition'!$P470*AH470/365,IFERROR(VDB(AF470,AF470*0.05,'FA Addition'!$O470,0,YEARFRAC('FA Addition'!$C470,$L$1,3),'FA Addition'!$Q470),FAAddition[[#This Row],[Original Cost (Rs)]]-FAAddition[[#This Row],[Salvage Value]])),0),0)</f>
        <v>0</v>
      </c>
      <c r="AO470" s="117">
        <f t="shared" si="38"/>
        <v>0</v>
      </c>
      <c r="AP470" s="206"/>
      <c r="AQ470" s="117">
        <f t="shared" si="36"/>
        <v>0</v>
      </c>
      <c r="AR470" s="120">
        <f t="shared" si="37"/>
        <v>0</v>
      </c>
      <c r="AS470" s="121"/>
    </row>
    <row r="471" spans="1:45" ht="13.5" x14ac:dyDescent="0.4">
      <c r="A471" s="12">
        <f t="shared" si="39"/>
        <v>468</v>
      </c>
      <c r="B471" s="64" t="s">
        <v>1089</v>
      </c>
      <c r="C471" s="54">
        <v>44704</v>
      </c>
      <c r="D471" s="54">
        <v>44704</v>
      </c>
      <c r="E471" s="46" t="s">
        <v>523</v>
      </c>
      <c r="F471" s="51" t="s">
        <v>523</v>
      </c>
      <c r="G471" s="51" t="s">
        <v>1141</v>
      </c>
      <c r="H471" s="51" t="s">
        <v>1142</v>
      </c>
      <c r="I471" s="55" t="s">
        <v>1143</v>
      </c>
      <c r="J471" s="56">
        <v>1</v>
      </c>
      <c r="K471" s="51" t="s">
        <v>1144</v>
      </c>
      <c r="L471" s="58">
        <v>21295</v>
      </c>
      <c r="M471" s="50">
        <f>ROUND('FA Addition'!$L471*5%,0.1)</f>
        <v>1065</v>
      </c>
      <c r="N471" s="113" t="str">
        <f>_xlfn.XLOOKUP(_xlfn.CONCAT(E471,B471),'Year Wise Master Dep Approach'!F:F,'Year Wise Master Dep Approach'!D:D)</f>
        <v>WDV</v>
      </c>
      <c r="O471" s="113">
        <f>_xlfn.XLOOKUP(_xlfn.CONCAT(E471,B471),'Year Wise Master Dep Approach'!F:F,'Year Wise Master Dep Approach'!E:E)</f>
        <v>10</v>
      </c>
      <c r="P471" s="114">
        <f>IFERROR(IF('FA Addition'!$N471="WDV",1-('FA Addition'!$M471/'FA Addition'!$L471)^(1/'FA Addition'!$O471),1/'FA Addition'!$O471),0)</f>
        <v>0.25884815112424464</v>
      </c>
      <c r="Q471" s="122">
        <f>'FA Addition'!$P471*'FA Addition'!$O471</f>
        <v>2.5884815112424464</v>
      </c>
      <c r="R471" s="122"/>
      <c r="S471" s="116">
        <f>IF(AND(DATE(20&amp;LEFT(FAAddition[[#This Row],[FY]],2),4,1)&lt;$L$1+1,DATE(20&amp;LEFT(FAAddition[[#This Row],[FY]],2),4,1)&gt;$P$1-1),'FA Addition'!$J471,0)</f>
        <v>0</v>
      </c>
      <c r="U471" s="117">
        <f>S471*'FA Addition'!$L471/'FA Addition'!$J471</f>
        <v>0</v>
      </c>
      <c r="W471" s="116">
        <f>SUMIFS('FA Write off'!D:D,'FA Write off'!A:A,'FA Addition'!$A471,'FA Write off'!C:C,"&lt;"&amp;'FA Addition'!$P$1)</f>
        <v>0</v>
      </c>
      <c r="Y471" s="191">
        <f>IFERROR(W471/'FA Addition'!$J471*'FA Addition'!$L471,0)</f>
        <v>0</v>
      </c>
      <c r="AA471" s="116">
        <f>SUMIFS('FA Write off'!D:D,'FA Write off'!A:A,'FA Addition'!$A471,'FA Write off'!C:C,"&lt;"&amp;'FA Addition'!$L$1+1,'FA Write off'!C:C,"&gt;"&amp;'FA Addition'!$L$1-365)</f>
        <v>0</v>
      </c>
      <c r="AC471" s="118">
        <f>IFERROR(AA471/'FA Addition'!$J471*'FA Addition'!$L471,0)</f>
        <v>0</v>
      </c>
      <c r="AE471" s="117">
        <f>IF(AND('FA Addition'!$D471&lt;$P$1+1,U471=0),'FA Addition'!$L471,0)-Y471</f>
        <v>21295</v>
      </c>
      <c r="AF471" s="117">
        <f t="shared" si="35"/>
        <v>21295</v>
      </c>
      <c r="AG471" s="117">
        <f>MIN(MAX(+$P$1-'FA Addition'!$D471,0),365*'FA Addition'!$O471)</f>
        <v>313</v>
      </c>
      <c r="AH471" s="117">
        <f>MIN(MAX($L$1-'FA Addition'!$D471+1,0),365*'FA Addition'!$O471)</f>
        <v>679</v>
      </c>
      <c r="AI471" s="117" cm="1">
        <f t="array" ref="AI471">_xlfn.XLOOKUP(1,('FA Write off'!A:A='FA Addition'!$A471)*('FA Write off'!D:D=AA471),'FA Write off'!H:H,0,0)</f>
        <v>0</v>
      </c>
      <c r="AJ471" s="117">
        <f>IF(AC471&gt;0,MAX(IF('FA Addition'!$N471="SLM",($AC471-'FA Addition'!$M471)*'FA Addition'!$P471*AI471/365,(AC471-'FA Addition'!$M471)*(1-(1-'FA Addition'!$P471)^(AI471/365))),0),0)</f>
        <v>0</v>
      </c>
      <c r="AL471" s="117">
        <f>MAX(IF(AG471&gt;0,IF('FA Addition'!$N471="SLM",($AE471-'FA Addition'!$M471)*'FA Addition'!$P471*AG471/365,IFERROR(VDB(AE471,AE471*0.05,'FA Addition'!$O471,0,YEARFRAC('FA Addition'!$C471,$P$1-1,3),'FA Addition'!$Q471),FAAddition[[#This Row],[Original Cost (Rs)]]-FAAddition[[#This Row],[Salvage Value]])),0),0)</f>
        <v>4711.773890398702</v>
      </c>
      <c r="AM471" s="119"/>
      <c r="AN471" s="117">
        <f>MAX(IF(AH471&gt;0,IF('FA Addition'!$N471="SLM",($AF471-'FA Addition'!$M471)*'FA Addition'!$P471*AH471/365,IFERROR(VDB(AF471,AF471*0.05,'FA Addition'!$O471,0,YEARFRAC('FA Addition'!$C471,$L$1,3),'FA Addition'!$Q471),FAAddition[[#This Row],[Original Cost (Rs)]]-FAAddition[[#This Row],[Salvage Value]])),0),0)</f>
        <v>9015.504064731329</v>
      </c>
      <c r="AO471" s="117">
        <f t="shared" si="38"/>
        <v>4303.730174332627</v>
      </c>
      <c r="AP471" s="206"/>
      <c r="AQ471" s="117">
        <f t="shared" si="36"/>
        <v>16583.226109601299</v>
      </c>
      <c r="AR471" s="120">
        <f t="shared" si="37"/>
        <v>12279.495935268671</v>
      </c>
      <c r="AS471" s="121"/>
    </row>
    <row r="472" spans="1:45" ht="13.5" x14ac:dyDescent="0.4">
      <c r="A472" s="12">
        <f t="shared" si="39"/>
        <v>469</v>
      </c>
      <c r="B472" s="64" t="s">
        <v>1089</v>
      </c>
      <c r="C472" s="54">
        <v>44705</v>
      </c>
      <c r="D472" s="54">
        <v>44705</v>
      </c>
      <c r="E472" s="46" t="s">
        <v>32</v>
      </c>
      <c r="F472" s="51" t="s">
        <v>1090</v>
      </c>
      <c r="G472" s="51" t="s">
        <v>433</v>
      </c>
      <c r="H472" s="51" t="s">
        <v>32</v>
      </c>
      <c r="I472" s="55" t="s">
        <v>1145</v>
      </c>
      <c r="J472" s="56">
        <v>1000</v>
      </c>
      <c r="K472" s="51" t="s">
        <v>1146</v>
      </c>
      <c r="L472" s="58">
        <v>1050000</v>
      </c>
      <c r="M472" s="50">
        <f>ROUND('FA Addition'!$L472*5%,0.1)</f>
        <v>52500</v>
      </c>
      <c r="N472" s="113" t="str">
        <f>_xlfn.XLOOKUP(_xlfn.CONCAT(E472,B472),'Year Wise Master Dep Approach'!F:F,'Year Wise Master Dep Approach'!D:D)</f>
        <v>WDV</v>
      </c>
      <c r="O472" s="113">
        <f>_xlfn.XLOOKUP(_xlfn.CONCAT(E472,B472),'Year Wise Master Dep Approach'!F:F,'Year Wise Master Dep Approach'!E:E)</f>
        <v>3</v>
      </c>
      <c r="P472" s="114">
        <f>IFERROR(IF('FA Addition'!$N472="WDV",1-('FA Addition'!$M472/'FA Addition'!$L472)^(1/'FA Addition'!$O472),1/'FA Addition'!$O472),0)</f>
        <v>0.63159685013596123</v>
      </c>
      <c r="Q472" s="122">
        <f>'FA Addition'!$P472*'FA Addition'!$O472</f>
        <v>1.8947905504078837</v>
      </c>
      <c r="R472" s="122"/>
      <c r="S472" s="116">
        <f>IF(AND(DATE(20&amp;LEFT(FAAddition[[#This Row],[FY]],2),4,1)&lt;$L$1+1,DATE(20&amp;LEFT(FAAddition[[#This Row],[FY]],2),4,1)&gt;$P$1-1),'FA Addition'!$J472,0)</f>
        <v>0</v>
      </c>
      <c r="U472" s="117">
        <f>S472*'FA Addition'!$L472/'FA Addition'!$J472</f>
        <v>0</v>
      </c>
      <c r="W472" s="116">
        <f>SUMIFS('FA Write off'!D:D,'FA Write off'!A:A,'FA Addition'!$A472,'FA Write off'!C:C,"&lt;"&amp;'FA Addition'!$P$1)</f>
        <v>31</v>
      </c>
      <c r="Y472" s="191">
        <f>IFERROR(W472/'FA Addition'!$J472*'FA Addition'!$L472,0)</f>
        <v>32550</v>
      </c>
      <c r="AA472" s="116">
        <f>SUMIFS('FA Write off'!D:D,'FA Write off'!A:A,'FA Addition'!$A472,'FA Write off'!C:C,"&lt;"&amp;'FA Addition'!$L$1+1,'FA Write off'!C:C,"&gt;"&amp;'FA Addition'!$L$1-365)</f>
        <v>287</v>
      </c>
      <c r="AC472" s="191">
        <f>IFERROR(AA472/'FA Addition'!$J472*'FA Addition'!$L472,0)</f>
        <v>301350</v>
      </c>
      <c r="AE472" s="117">
        <f>IF(AND('FA Addition'!$D472&lt;$P$1+1,U472=0),'FA Addition'!$L472,0)-Y472</f>
        <v>1017450</v>
      </c>
      <c r="AF472" s="117">
        <f t="shared" si="35"/>
        <v>716100</v>
      </c>
      <c r="AG472" s="117">
        <f>MIN(MAX(+$P$1-'FA Addition'!$D472,0),365*'FA Addition'!$O472)</f>
        <v>312</v>
      </c>
      <c r="AH472" s="117">
        <f>MIN(MAX($L$1-'FA Addition'!$D472+1,0),365*'FA Addition'!$O472)</f>
        <v>678</v>
      </c>
      <c r="AI472" s="117" cm="1">
        <f t="array" ref="AI472">_xlfn.XLOOKUP(1,('FA Write off'!A:A='FA Addition'!$A472)*('FA Write off'!D:D=AA472),'FA Write off'!H:H,0,0)</f>
        <v>678</v>
      </c>
      <c r="AJ472" s="117">
        <f>IF(AC472&gt;0,MAX(IF('FA Addition'!$N472="SLM",($AC472-'FA Addition'!$M472)*'FA Addition'!$P472*AI472/365,(AC472-'FA Addition'!$M472)*(1-(1-'FA Addition'!$P472)^(AI472/365))),0),0)</f>
        <v>209912.47099709217</v>
      </c>
      <c r="AL472" s="117">
        <f>MAX(IF(AG472&gt;0,IF('FA Addition'!$N472="SLM",($AE472-'FA Addition'!$M472)*'FA Addition'!$P472*AG472/365,IFERROR(VDB(AE472,AE472*0.05,'FA Addition'!$O472,0,YEARFRAC('FA Addition'!$C472,$P$1-1,3),'FA Addition'!$Q472),FAAddition[[#This Row],[Original Cost (Rs)]]-FAAddition[[#This Row],[Salvage Value]])),0),0)</f>
        <v>547545.93128254602</v>
      </c>
      <c r="AM472" s="119"/>
      <c r="AN472" s="117">
        <f>MAX(IF(AH472&gt;0,IF('FA Addition'!$N472="SLM",($AF472-'FA Addition'!$M472)*'FA Addition'!$P472*AH472/365,IFERROR(VDB(AF472,AF472*0.05,'FA Addition'!$O472,0,YEARFRAC('FA Addition'!$C472,$L$1,3),'FA Addition'!$Q472),FAAddition[[#This Row],[Original Cost (Rs)]]-FAAddition[[#This Row],[Salvage Value]])),0),0)</f>
        <v>594715.5924122323</v>
      </c>
      <c r="AO472" s="117">
        <f t="shared" si="38"/>
        <v>257082.13212677845</v>
      </c>
      <c r="AP472" s="206"/>
      <c r="AQ472" s="117">
        <f t="shared" si="36"/>
        <v>469904.06871745398</v>
      </c>
      <c r="AR472" s="120">
        <f t="shared" si="37"/>
        <v>121384.4075877677</v>
      </c>
      <c r="AS472" s="121"/>
    </row>
    <row r="473" spans="1:45" ht="13.5" x14ac:dyDescent="0.4">
      <c r="A473" s="12">
        <f t="shared" si="39"/>
        <v>470</v>
      </c>
      <c r="B473" s="64" t="s">
        <v>1089</v>
      </c>
      <c r="C473" s="54">
        <v>44706</v>
      </c>
      <c r="D473" s="54">
        <v>44706</v>
      </c>
      <c r="E473" s="46" t="s">
        <v>523</v>
      </c>
      <c r="F473" s="51" t="s">
        <v>523</v>
      </c>
      <c r="G473" s="51" t="s">
        <v>1147</v>
      </c>
      <c r="H473" s="51" t="s">
        <v>17</v>
      </c>
      <c r="I473" s="55">
        <v>930</v>
      </c>
      <c r="J473" s="56">
        <v>1</v>
      </c>
      <c r="K473" s="51" t="s">
        <v>1148</v>
      </c>
      <c r="L473" s="58">
        <v>28516</v>
      </c>
      <c r="M473" s="50">
        <f>ROUND('FA Addition'!$L473*5%,0.1)</f>
        <v>1426</v>
      </c>
      <c r="N473" s="113" t="str">
        <f>_xlfn.XLOOKUP(_xlfn.CONCAT(E473,B473),'Year Wise Master Dep Approach'!F:F,'Year Wise Master Dep Approach'!D:D)</f>
        <v>WDV</v>
      </c>
      <c r="O473" s="113">
        <f>_xlfn.XLOOKUP(_xlfn.CONCAT(E473,B473),'Year Wise Master Dep Approach'!F:F,'Year Wise Master Dep Approach'!E:E)</f>
        <v>10</v>
      </c>
      <c r="P473" s="114">
        <f>IFERROR(IF('FA Addition'!$N473="WDV",1-('FA Addition'!$M473/'FA Addition'!$L473)^(1/'FA Addition'!$O473),1/'FA Addition'!$O473),0)</f>
        <v>0.2588551554985925</v>
      </c>
      <c r="Q473" s="122">
        <f>'FA Addition'!$P473*'FA Addition'!$O473</f>
        <v>2.588551554985925</v>
      </c>
      <c r="R473" s="122"/>
      <c r="S473" s="116">
        <f>IF(AND(DATE(20&amp;LEFT(FAAddition[[#This Row],[FY]],2),4,1)&lt;$L$1+1,DATE(20&amp;LEFT(FAAddition[[#This Row],[FY]],2),4,1)&gt;$P$1-1),'FA Addition'!$J473,0)</f>
        <v>0</v>
      </c>
      <c r="U473" s="117">
        <f>S473*'FA Addition'!$L473/'FA Addition'!$J473</f>
        <v>0</v>
      </c>
      <c r="W473" s="116">
        <f>SUMIFS('FA Write off'!D:D,'FA Write off'!A:A,'FA Addition'!$A473,'FA Write off'!C:C,"&lt;"&amp;'FA Addition'!$P$1)</f>
        <v>0</v>
      </c>
      <c r="Y473" s="191">
        <f>IFERROR(W473/'FA Addition'!$J473*'FA Addition'!$L473,0)</f>
        <v>0</v>
      </c>
      <c r="AA473" s="116">
        <f>SUMIFS('FA Write off'!D:D,'FA Write off'!A:A,'FA Addition'!$A473,'FA Write off'!C:C,"&lt;"&amp;'FA Addition'!$L$1+1,'FA Write off'!C:C,"&gt;"&amp;'FA Addition'!$L$1-365)</f>
        <v>0</v>
      </c>
      <c r="AC473" s="118">
        <f>IFERROR(AA473/'FA Addition'!$J473*'FA Addition'!$L473,0)</f>
        <v>0</v>
      </c>
      <c r="AE473" s="117">
        <f>IF(AND('FA Addition'!$D473&lt;$P$1+1,U473=0),'FA Addition'!$L473,0)-Y473</f>
        <v>28516</v>
      </c>
      <c r="AF473" s="117">
        <f t="shared" si="35"/>
        <v>28516</v>
      </c>
      <c r="AG473" s="117">
        <f>MIN(MAX(+$P$1-'FA Addition'!$D473,0),365*'FA Addition'!$O473)</f>
        <v>311</v>
      </c>
      <c r="AH473" s="117">
        <f>MIN(MAX($L$1-'FA Addition'!$D473+1,0),365*'FA Addition'!$O473)</f>
        <v>677</v>
      </c>
      <c r="AI473" s="117" cm="1">
        <f t="array" ref="AI473">_xlfn.XLOOKUP(1,('FA Write off'!A:A='FA Addition'!$A473)*('FA Write off'!D:D=AA473),'FA Write off'!H:H,0,0)</f>
        <v>0</v>
      </c>
      <c r="AJ473" s="117">
        <f>IF(AC473&gt;0,MAX(IF('FA Addition'!$N473="SLM",($AC473-'FA Addition'!$M473)*'FA Addition'!$P473*AI473/365,(AC473-'FA Addition'!$M473)*(1-(1-'FA Addition'!$P473)^(AI473/365))),0),0)</f>
        <v>0</v>
      </c>
      <c r="AL473" s="117">
        <f>MAX(IF(AG473&gt;0,IF('FA Addition'!$N473="SLM",($AE473-'FA Addition'!$M473)*'FA Addition'!$P473*AG473/365,IFERROR(VDB(AE473,AE473*0.05,'FA Addition'!$O473,0,YEARFRAC('FA Addition'!$C473,$P$1-1,3),'FA Addition'!$Q473),FAAddition[[#This Row],[Original Cost (Rs)]]-FAAddition[[#This Row],[Salvage Value]])),0),0)</f>
        <v>6269.2307408255829</v>
      </c>
      <c r="AM473" s="119"/>
      <c r="AN473" s="117">
        <f>MAX(IF(AH473&gt;0,IF('FA Addition'!$N473="SLM",($AF473-'FA Addition'!$M473)*'FA Addition'!$P473*AH473/365,IFERROR(VDB(AF473,AF473*0.05,'FA Addition'!$O473,0,YEARFRAC('FA Addition'!$C473,$L$1,3),'FA Addition'!$Q473),FAAddition[[#This Row],[Original Cost (Rs)]]-FAAddition[[#This Row],[Salvage Value]])),0),0)</f>
        <v>12042.910069790976</v>
      </c>
      <c r="AO473" s="117">
        <f t="shared" si="38"/>
        <v>5773.6793289653933</v>
      </c>
      <c r="AP473" s="206"/>
      <c r="AQ473" s="117">
        <f t="shared" si="36"/>
        <v>22246.769259174416</v>
      </c>
      <c r="AR473" s="120">
        <f t="shared" si="37"/>
        <v>16473.089930209026</v>
      </c>
      <c r="AS473" s="121"/>
    </row>
    <row r="474" spans="1:45" ht="13.5" x14ac:dyDescent="0.4">
      <c r="A474" s="12">
        <f t="shared" si="39"/>
        <v>471</v>
      </c>
      <c r="B474" s="64" t="s">
        <v>1089</v>
      </c>
      <c r="C474" s="54">
        <v>44709</v>
      </c>
      <c r="D474" s="54">
        <v>44709</v>
      </c>
      <c r="E474" s="46" t="s">
        <v>451</v>
      </c>
      <c r="F474" s="51" t="s">
        <v>1133</v>
      </c>
      <c r="G474" s="51" t="s">
        <v>1134</v>
      </c>
      <c r="H474" s="51" t="s">
        <v>21</v>
      </c>
      <c r="I474" s="55" t="s">
        <v>1149</v>
      </c>
      <c r="J474" s="56">
        <v>1</v>
      </c>
      <c r="K474" s="51" t="s">
        <v>1150</v>
      </c>
      <c r="L474" s="58">
        <v>67796</v>
      </c>
      <c r="M474" s="50">
        <f>ROUND('FA Addition'!$L474*5%,0.1)</f>
        <v>3390</v>
      </c>
      <c r="N474" s="113" t="str">
        <f>_xlfn.XLOOKUP(_xlfn.CONCAT(E474,B474),'Year Wise Master Dep Approach'!F:F,'Year Wise Master Dep Approach'!D:D)</f>
        <v>WDV</v>
      </c>
      <c r="O474" s="113">
        <f>_xlfn.XLOOKUP(_xlfn.CONCAT(E474,B474),'Year Wise Master Dep Approach'!F:F,'Year Wise Master Dep Approach'!E:E)</f>
        <v>3</v>
      </c>
      <c r="P474" s="114">
        <f>IFERROR(IF('FA Addition'!$N474="WDV",1-('FA Addition'!$M474/'FA Addition'!$L474)^(1/'FA Addition'!$O474),1/'FA Addition'!$O474),0)</f>
        <v>0.63158960495129413</v>
      </c>
      <c r="Q474" s="122">
        <f>'FA Addition'!$P474*'FA Addition'!$O474</f>
        <v>1.8947688148538824</v>
      </c>
      <c r="R474" s="122"/>
      <c r="S474" s="116">
        <f>IF(AND(DATE(20&amp;LEFT(FAAddition[[#This Row],[FY]],2),4,1)&lt;$L$1+1,DATE(20&amp;LEFT(FAAddition[[#This Row],[FY]],2),4,1)&gt;$P$1-1),'FA Addition'!$J474,0)</f>
        <v>0</v>
      </c>
      <c r="U474" s="117">
        <f>S474*'FA Addition'!$L474/'FA Addition'!$J474</f>
        <v>0</v>
      </c>
      <c r="W474" s="116">
        <f>SUMIFS('FA Write off'!D:D,'FA Write off'!A:A,'FA Addition'!$A474,'FA Write off'!C:C,"&lt;"&amp;'FA Addition'!$P$1)</f>
        <v>0</v>
      </c>
      <c r="Y474" s="191">
        <f>IFERROR(W474/'FA Addition'!$J474*'FA Addition'!$L474,0)</f>
        <v>0</v>
      </c>
      <c r="AA474" s="116">
        <f>SUMIFS('FA Write off'!D:D,'FA Write off'!A:A,'FA Addition'!$A474,'FA Write off'!C:C,"&lt;"&amp;'FA Addition'!$L$1+1,'FA Write off'!C:C,"&gt;"&amp;'FA Addition'!$L$1-365)</f>
        <v>0</v>
      </c>
      <c r="AC474" s="118">
        <f>IFERROR(AA474/'FA Addition'!$J474*'FA Addition'!$L474,0)</f>
        <v>0</v>
      </c>
      <c r="AE474" s="117">
        <f>IF(AND('FA Addition'!$D474&lt;$P$1+1,U474=0),'FA Addition'!$L474,0)-Y474</f>
        <v>67796</v>
      </c>
      <c r="AF474" s="117">
        <f t="shared" si="35"/>
        <v>67796</v>
      </c>
      <c r="AG474" s="117">
        <f>MIN(MAX(+$P$1-'FA Addition'!$D474,0),365*'FA Addition'!$O474)</f>
        <v>308</v>
      </c>
      <c r="AH474" s="117">
        <f>MIN(MAX($L$1-'FA Addition'!$D474+1,0),365*'FA Addition'!$O474)</f>
        <v>674</v>
      </c>
      <c r="AI474" s="117" cm="1">
        <f t="array" ref="AI474">_xlfn.XLOOKUP(1,('FA Write off'!A:A='FA Addition'!$A474)*('FA Write off'!D:D=AA474),'FA Write off'!H:H,0,0)</f>
        <v>0</v>
      </c>
      <c r="AJ474" s="117">
        <f>IF(AC474&gt;0,MAX(IF('FA Addition'!$N474="SLM",($AC474-'FA Addition'!$M474)*'FA Addition'!$P474*AI474/365,(AC474-'FA Addition'!$M474)*(1-(1-'FA Addition'!$P474)^(AI474/365))),0),0)</f>
        <v>0</v>
      </c>
      <c r="AL474" s="117">
        <f>MAX(IF(AG474&gt;0,IF('FA Addition'!$N474="SLM",($AE474-'FA Addition'!$M474)*'FA Addition'!$P474*AG474/365,IFERROR(VDB(AE474,AE474*0.05,'FA Addition'!$O474,0,YEARFRAC('FA Addition'!$C474,$P$1-1,3),'FA Addition'!$Q474),FAAddition[[#This Row],[Original Cost (Rs)]]-FAAddition[[#This Row],[Salvage Value]])),0),0)</f>
        <v>36015.094244340617</v>
      </c>
      <c r="AM474" s="119"/>
      <c r="AN474" s="117">
        <f>MAX(IF(AH474&gt;0,IF('FA Addition'!$N474="SLM",($AF474-'FA Addition'!$M474)*'FA Addition'!$P474*AH474/365,IFERROR(VDB(AF474,AF474*0.05,'FA Addition'!$O474,0,YEARFRAC('FA Addition'!$C474,$L$1,3),'FA Addition'!$Q474),FAAddition[[#This Row],[Original Cost (Rs)]]-FAAddition[[#This Row],[Salvage Value]])),0),0)</f>
        <v>56130.803288119503</v>
      </c>
      <c r="AO474" s="117">
        <f t="shared" si="38"/>
        <v>20115.709043778887</v>
      </c>
      <c r="AP474" s="206"/>
      <c r="AQ474" s="117">
        <f t="shared" si="36"/>
        <v>31780.905755659383</v>
      </c>
      <c r="AR474" s="120">
        <f t="shared" si="37"/>
        <v>11665.196711880497</v>
      </c>
      <c r="AS474" s="121"/>
    </row>
    <row r="475" spans="1:45" ht="13.5" x14ac:dyDescent="0.4">
      <c r="A475" s="12">
        <f t="shared" si="39"/>
        <v>472</v>
      </c>
      <c r="B475" s="64" t="s">
        <v>1089</v>
      </c>
      <c r="C475" s="54">
        <v>44712</v>
      </c>
      <c r="D475" s="54">
        <v>44712</v>
      </c>
      <c r="E475" s="46" t="s">
        <v>1389</v>
      </c>
      <c r="F475" s="51" t="s">
        <v>1112</v>
      </c>
      <c r="G475" s="51" t="s">
        <v>36</v>
      </c>
      <c r="H475" s="51" t="s">
        <v>1113</v>
      </c>
      <c r="I475" s="55" t="s">
        <v>1151</v>
      </c>
      <c r="J475" s="56">
        <v>1500</v>
      </c>
      <c r="K475" s="51" t="s">
        <v>1132</v>
      </c>
      <c r="L475" s="58">
        <v>1215000</v>
      </c>
      <c r="M475" s="50">
        <f>ROUND('FA Addition'!$L475*5%,0.1)</f>
        <v>60750</v>
      </c>
      <c r="N475" s="113" t="str">
        <f>_xlfn.XLOOKUP(_xlfn.CONCAT(E475,B475),'Year Wise Master Dep Approach'!F:F,'Year Wise Master Dep Approach'!D:D)</f>
        <v>SLM</v>
      </c>
      <c r="O475" s="113">
        <f>_xlfn.XLOOKUP(_xlfn.CONCAT(E475,B475),'Year Wise Master Dep Approach'!F:F,'Year Wise Master Dep Approach'!E:E)</f>
        <v>3</v>
      </c>
      <c r="P475" s="114">
        <f>IFERROR(IF('FA Addition'!$N475="WDV",1-('FA Addition'!$M475/'FA Addition'!$L475)^(1/'FA Addition'!$O475),1/'FA Addition'!$O475),0)</f>
        <v>0.33333333333333331</v>
      </c>
      <c r="Q475" s="122">
        <f>'FA Addition'!$P475*'FA Addition'!$O475</f>
        <v>1</v>
      </c>
      <c r="R475" s="122"/>
      <c r="S475" s="116">
        <f>IF(AND(DATE(20&amp;LEFT(FAAddition[[#This Row],[FY]],2),4,1)&lt;$L$1+1,DATE(20&amp;LEFT(FAAddition[[#This Row],[FY]],2),4,1)&gt;$P$1-1),'FA Addition'!$J475,0)</f>
        <v>0</v>
      </c>
      <c r="U475" s="117">
        <f>S475*'FA Addition'!$L475/'FA Addition'!$J475</f>
        <v>0</v>
      </c>
      <c r="W475" s="116">
        <f>SUMIFS('FA Write off'!D:D,'FA Write off'!A:A,'FA Addition'!$A475,'FA Write off'!C:C,"&lt;"&amp;'FA Addition'!$P$1)</f>
        <v>934.19135802469134</v>
      </c>
      <c r="Y475" s="191">
        <f>IFERROR(W475/'FA Addition'!$J475*'FA Addition'!$L475,0)</f>
        <v>756695</v>
      </c>
      <c r="AA475" s="116">
        <f>SUMIFS('FA Write off'!D:D,'FA Write off'!A:A,'FA Addition'!$A475,'FA Write off'!C:C,"&lt;"&amp;'FA Addition'!$L$1+1,'FA Write off'!C:C,"&gt;"&amp;'FA Addition'!$L$1-365)</f>
        <v>565.80864197530866</v>
      </c>
      <c r="AC475" s="191">
        <f>IFERROR(AA475/'FA Addition'!$J475*'FA Addition'!$L475,0)</f>
        <v>458305</v>
      </c>
      <c r="AE475" s="117">
        <f>IF(AND('FA Addition'!$D475&lt;$P$1+1,U475=0),'FA Addition'!$L475,0)-Y475</f>
        <v>458305</v>
      </c>
      <c r="AF475" s="117">
        <f t="shared" si="35"/>
        <v>0</v>
      </c>
      <c r="AG475" s="117">
        <f>MIN(MAX(+$P$1-'FA Addition'!$D475,0),365*'FA Addition'!$O475)</f>
        <v>305</v>
      </c>
      <c r="AH475" s="117">
        <f>MIN(MAX($L$1-'FA Addition'!$D475+1,0),365*'FA Addition'!$O475)</f>
        <v>671</v>
      </c>
      <c r="AI475" s="117" cm="1">
        <f t="array" ref="AI475">_xlfn.XLOOKUP(1,('FA Write off'!A:A='FA Addition'!$A475)*('FA Write off'!D:D=AA475),'FA Write off'!H:H,0,0)</f>
        <v>671</v>
      </c>
      <c r="AJ475" s="117">
        <f>IF(AC475&gt;0,MAX(IF('FA Addition'!$N475="SLM",($AC475-'FA Addition'!$M475)*'FA Addition'!$P475*AI475/365,(AC475-'FA Addition'!$M475)*(1-(1-'FA Addition'!$P475)^(AI475/365))),0),0)</f>
        <v>243615.89497716894</v>
      </c>
      <c r="AL475" s="117">
        <f>MAX(IF(AG475&gt;0,IF('FA Addition'!$N475="SLM",($AE475-'FA Addition'!$M475)*'FA Addition'!$P475*AG475/365,IFERROR(VDB(AE475,AE475*0.05,'FA Addition'!$O475,0,YEARFRAC('FA Addition'!$C475,$P$1-1,3),'FA Addition'!$Q475),FAAddition[[#This Row],[Original Cost (Rs)]]-FAAddition[[#This Row],[Salvage Value]])),0),0)</f>
        <v>110734.49771689497</v>
      </c>
      <c r="AM475" s="119"/>
      <c r="AN475" s="117">
        <f>MAX(IF(AH475&gt;0,IF('FA Addition'!$N475="SLM",($AF475-'FA Addition'!$M475)*'FA Addition'!$P475*AH475/365,IFERROR(VDB(AF475,AF475*0.05,'FA Addition'!$O475,0,YEARFRAC('FA Addition'!$C475,$L$1,3),'FA Addition'!$Q475),FAAddition[[#This Row],[Original Cost (Rs)]]-FAAddition[[#This Row],[Salvage Value]])),0),0)</f>
        <v>0</v>
      </c>
      <c r="AO475" s="117">
        <f t="shared" si="38"/>
        <v>132881.39726027398</v>
      </c>
      <c r="AP475" s="206"/>
      <c r="AQ475" s="117">
        <f t="shared" si="36"/>
        <v>347570.50228310504</v>
      </c>
      <c r="AR475" s="120">
        <f t="shared" si="37"/>
        <v>0</v>
      </c>
      <c r="AS475" s="121"/>
    </row>
    <row r="476" spans="1:45" ht="13.5" x14ac:dyDescent="0.4">
      <c r="A476" s="12">
        <f t="shared" si="39"/>
        <v>473</v>
      </c>
      <c r="B476" s="64" t="s">
        <v>1089</v>
      </c>
      <c r="C476" s="54">
        <v>44713</v>
      </c>
      <c r="D476" s="54">
        <v>44713</v>
      </c>
      <c r="E476" s="46" t="s">
        <v>451</v>
      </c>
      <c r="F476" s="51" t="s">
        <v>1133</v>
      </c>
      <c r="G476" s="51" t="s">
        <v>1134</v>
      </c>
      <c r="H476" s="51" t="s">
        <v>21</v>
      </c>
      <c r="I476" s="55" t="s">
        <v>1152</v>
      </c>
      <c r="J476" s="56">
        <v>1</v>
      </c>
      <c r="K476" s="51" t="s">
        <v>1150</v>
      </c>
      <c r="L476" s="58">
        <v>67788</v>
      </c>
      <c r="M476" s="50">
        <f>ROUND('FA Addition'!$L476*5%,0.1)</f>
        <v>3389</v>
      </c>
      <c r="N476" s="113" t="str">
        <f>_xlfn.XLOOKUP(_xlfn.CONCAT(E476,B476),'Year Wise Master Dep Approach'!F:F,'Year Wise Master Dep Approach'!D:D)</f>
        <v>WDV</v>
      </c>
      <c r="O476" s="113">
        <f>_xlfn.XLOOKUP(_xlfn.CONCAT(E476,B476),'Year Wise Master Dep Approach'!F:F,'Year Wise Master Dep Approach'!E:E)</f>
        <v>3</v>
      </c>
      <c r="P476" s="114">
        <f>IFERROR(IF('FA Addition'!$N476="WDV",1-('FA Addition'!$M476/'FA Addition'!$L476)^(1/'FA Addition'!$O476),1/'FA Addition'!$O476),0)</f>
        <v>0.63161134307052902</v>
      </c>
      <c r="Q476" s="122">
        <f>'FA Addition'!$P476*'FA Addition'!$O476</f>
        <v>1.8948340292115871</v>
      </c>
      <c r="R476" s="122"/>
      <c r="S476" s="116">
        <f>IF(AND(DATE(20&amp;LEFT(FAAddition[[#This Row],[FY]],2),4,1)&lt;$L$1+1,DATE(20&amp;LEFT(FAAddition[[#This Row],[FY]],2),4,1)&gt;$P$1-1),'FA Addition'!$J476,0)</f>
        <v>0</v>
      </c>
      <c r="U476" s="117">
        <f>S476*'FA Addition'!$L476/'FA Addition'!$J476</f>
        <v>0</v>
      </c>
      <c r="W476" s="116">
        <f>SUMIFS('FA Write off'!D:D,'FA Write off'!A:A,'FA Addition'!$A476,'FA Write off'!C:C,"&lt;"&amp;'FA Addition'!$P$1)</f>
        <v>0</v>
      </c>
      <c r="Y476" s="191">
        <f>IFERROR(W476/'FA Addition'!$J476*'FA Addition'!$L476,0)</f>
        <v>0</v>
      </c>
      <c r="AA476" s="116">
        <f>SUMIFS('FA Write off'!D:D,'FA Write off'!A:A,'FA Addition'!$A476,'FA Write off'!C:C,"&lt;"&amp;'FA Addition'!$L$1+1,'FA Write off'!C:C,"&gt;"&amp;'FA Addition'!$L$1-365)</f>
        <v>0</v>
      </c>
      <c r="AC476" s="118">
        <f>IFERROR(AA476/'FA Addition'!$J476*'FA Addition'!$L476,0)</f>
        <v>0</v>
      </c>
      <c r="AE476" s="117">
        <f>IF(AND('FA Addition'!$D476&lt;$P$1+1,U476=0),'FA Addition'!$L476,0)-Y476</f>
        <v>67788</v>
      </c>
      <c r="AF476" s="117">
        <f t="shared" si="35"/>
        <v>67788</v>
      </c>
      <c r="AG476" s="117">
        <f>MIN(MAX(+$P$1-'FA Addition'!$D476,0),365*'FA Addition'!$O476)</f>
        <v>304</v>
      </c>
      <c r="AH476" s="117">
        <f>MIN(MAX($L$1-'FA Addition'!$D476+1,0),365*'FA Addition'!$O476)</f>
        <v>670</v>
      </c>
      <c r="AI476" s="117" cm="1">
        <f t="array" ref="AI476">_xlfn.XLOOKUP(1,('FA Write off'!A:A='FA Addition'!$A476)*('FA Write off'!D:D=AA476),'FA Write off'!H:H,0,0)</f>
        <v>0</v>
      </c>
      <c r="AJ476" s="117">
        <f>IF(AC476&gt;0,MAX(IF('FA Addition'!$N476="SLM",($AC476-'FA Addition'!$M476)*'FA Addition'!$P476*AI476/365,(AC476-'FA Addition'!$M476)*(1-(1-'FA Addition'!$P476)^(AI476/365))),0),0)</f>
        <v>0</v>
      </c>
      <c r="AL476" s="117">
        <f>MAX(IF(AG476&gt;0,IF('FA Addition'!$N476="SLM",($AE476-'FA Addition'!$M476)*'FA Addition'!$P476*AG476/365,IFERROR(VDB(AE476,AE476*0.05,'FA Addition'!$O476,0,YEARFRAC('FA Addition'!$C476,$P$1-1,3),'FA Addition'!$Q476),FAAddition[[#This Row],[Original Cost (Rs)]]-FAAddition[[#This Row],[Salvage Value]])),0),0)</f>
        <v>35542.871031210147</v>
      </c>
      <c r="AM476" s="119"/>
      <c r="AN476" s="117">
        <f>MAX(IF(AH476&gt;0,IF('FA Addition'!$N476="SLM",($AF476-'FA Addition'!$M476)*'FA Addition'!$P476*AH476/365,IFERROR(VDB(AF476,AF476*0.05,'FA Addition'!$O476,0,YEARFRAC('FA Addition'!$C476,$L$1,3),'FA Addition'!$Q476),FAAddition[[#This Row],[Original Cost (Rs)]]-FAAddition[[#This Row],[Salvage Value]])),0),0)</f>
        <v>55952.473416711524</v>
      </c>
      <c r="AO476" s="117">
        <f t="shared" si="38"/>
        <v>20409.602385501377</v>
      </c>
      <c r="AP476" s="206"/>
      <c r="AQ476" s="117">
        <f t="shared" si="36"/>
        <v>32245.128968789853</v>
      </c>
      <c r="AR476" s="120">
        <f t="shared" si="37"/>
        <v>11835.526583288476</v>
      </c>
      <c r="AS476" s="121"/>
    </row>
    <row r="477" spans="1:45" ht="13.5" x14ac:dyDescent="0.4">
      <c r="A477" s="12">
        <f t="shared" si="39"/>
        <v>474</v>
      </c>
      <c r="B477" s="64" t="s">
        <v>1089</v>
      </c>
      <c r="C477" s="54">
        <v>44713</v>
      </c>
      <c r="D477" s="54">
        <v>44713</v>
      </c>
      <c r="E477" s="46" t="s">
        <v>451</v>
      </c>
      <c r="F477" s="51" t="s">
        <v>1133</v>
      </c>
      <c r="G477" s="51" t="s">
        <v>1134</v>
      </c>
      <c r="H477" s="51" t="s">
        <v>21</v>
      </c>
      <c r="I477" s="55" t="s">
        <v>1153</v>
      </c>
      <c r="J477" s="56">
        <v>1</v>
      </c>
      <c r="K477" s="51" t="s">
        <v>1136</v>
      </c>
      <c r="L477" s="58">
        <v>32873</v>
      </c>
      <c r="M477" s="50">
        <f>ROUND('FA Addition'!$L477*5%,0.1)</f>
        <v>1644</v>
      </c>
      <c r="N477" s="113" t="str">
        <f>_xlfn.XLOOKUP(_xlfn.CONCAT(E477,B477),'Year Wise Master Dep Approach'!F:F,'Year Wise Master Dep Approach'!D:D)</f>
        <v>WDV</v>
      </c>
      <c r="O477" s="113">
        <f>_xlfn.XLOOKUP(_xlfn.CONCAT(E477,B477),'Year Wise Master Dep Approach'!F:F,'Year Wise Master Dep Approach'!E:E)</f>
        <v>3</v>
      </c>
      <c r="P477" s="114">
        <f>IFERROR(IF('FA Addition'!$N477="WDV",1-('FA Addition'!$M477/'FA Addition'!$L477)^(1/'FA Addition'!$O477),1/'FA Addition'!$O477),0)</f>
        <v>0.63157070264891213</v>
      </c>
      <c r="Q477" s="122">
        <f>'FA Addition'!$P477*'FA Addition'!$O477</f>
        <v>1.8947121079467364</v>
      </c>
      <c r="R477" s="122"/>
      <c r="S477" s="116">
        <f>IF(AND(DATE(20&amp;LEFT(FAAddition[[#This Row],[FY]],2),4,1)&lt;$L$1+1,DATE(20&amp;LEFT(FAAddition[[#This Row],[FY]],2),4,1)&gt;$P$1-1),'FA Addition'!$J477,0)</f>
        <v>0</v>
      </c>
      <c r="U477" s="117">
        <f>S477*'FA Addition'!$L477/'FA Addition'!$J477</f>
        <v>0</v>
      </c>
      <c r="W477" s="116">
        <f>SUMIFS('FA Write off'!D:D,'FA Write off'!A:A,'FA Addition'!$A477,'FA Write off'!C:C,"&lt;"&amp;'FA Addition'!$P$1)</f>
        <v>0</v>
      </c>
      <c r="Y477" s="191">
        <f>IFERROR(W477/'FA Addition'!$J477*'FA Addition'!$L477,0)</f>
        <v>0</v>
      </c>
      <c r="AA477" s="116">
        <f>SUMIFS('FA Write off'!D:D,'FA Write off'!A:A,'FA Addition'!$A477,'FA Write off'!C:C,"&lt;"&amp;'FA Addition'!$L$1+1,'FA Write off'!C:C,"&gt;"&amp;'FA Addition'!$L$1-365)</f>
        <v>0</v>
      </c>
      <c r="AC477" s="118">
        <f>IFERROR(AA477/'FA Addition'!$J477*'FA Addition'!$L477,0)</f>
        <v>0</v>
      </c>
      <c r="AE477" s="117">
        <f>IF(AND('FA Addition'!$D477&lt;$P$1+1,U477=0),'FA Addition'!$L477,0)-Y477</f>
        <v>32873</v>
      </c>
      <c r="AF477" s="117">
        <f t="shared" si="35"/>
        <v>32873</v>
      </c>
      <c r="AG477" s="117">
        <f>MIN(MAX(+$P$1-'FA Addition'!$D477,0),365*'FA Addition'!$O477)</f>
        <v>304</v>
      </c>
      <c r="AH477" s="117">
        <f>MIN(MAX($L$1-'FA Addition'!$D477+1,0),365*'FA Addition'!$O477)</f>
        <v>670</v>
      </c>
      <c r="AI477" s="117" cm="1">
        <f t="array" ref="AI477">_xlfn.XLOOKUP(1,('FA Write off'!A:A='FA Addition'!$A477)*('FA Write off'!D:D=AA477),'FA Write off'!H:H,0,0)</f>
        <v>0</v>
      </c>
      <c r="AJ477" s="117">
        <f>IF(AC477&gt;0,MAX(IF('FA Addition'!$N477="SLM",($AC477-'FA Addition'!$M477)*'FA Addition'!$P477*AI477/365,(AC477-'FA Addition'!$M477)*(1-(1-'FA Addition'!$P477)^(AI477/365))),0),0)</f>
        <v>0</v>
      </c>
      <c r="AL477" s="117">
        <f>MAX(IF(AG477&gt;0,IF('FA Addition'!$N477="SLM",($AE477-'FA Addition'!$M477)*'FA Addition'!$P477*AG477/365,IFERROR(VDB(AE477,AE477*0.05,'FA Addition'!$O477,0,YEARFRAC('FA Addition'!$C477,$P$1-1,3),'FA Addition'!$Q477),FAAddition[[#This Row],[Original Cost (Rs)]]-FAAddition[[#This Row],[Salvage Value]])),0),0)</f>
        <v>17234.991735829699</v>
      </c>
      <c r="AM477" s="119"/>
      <c r="AN477" s="117">
        <f>MAX(IF(AH477&gt;0,IF('FA Addition'!$N477="SLM",($AF477-'FA Addition'!$M477)*'FA Addition'!$P477*AH477/365,IFERROR(VDB(AF477,AF477*0.05,'FA Addition'!$O477,0,YEARFRAC('FA Addition'!$C477,$L$1,3),'FA Addition'!$Q477),FAAddition[[#This Row],[Original Cost (Rs)]]-FAAddition[[#This Row],[Salvage Value]])),0),0)</f>
        <v>27132.456289383619</v>
      </c>
      <c r="AO477" s="117">
        <f t="shared" si="38"/>
        <v>9897.4645535539203</v>
      </c>
      <c r="AP477" s="206"/>
      <c r="AQ477" s="117">
        <f t="shared" si="36"/>
        <v>15638.008264170301</v>
      </c>
      <c r="AR477" s="120">
        <f t="shared" si="37"/>
        <v>5740.5437106163808</v>
      </c>
      <c r="AS477" s="121"/>
    </row>
    <row r="478" spans="1:45" ht="13.5" x14ac:dyDescent="0.4">
      <c r="A478" s="12">
        <f t="shared" si="39"/>
        <v>475</v>
      </c>
      <c r="B478" s="64" t="s">
        <v>1089</v>
      </c>
      <c r="C478" s="54">
        <v>44713</v>
      </c>
      <c r="D478" s="54">
        <v>44713</v>
      </c>
      <c r="E478" s="46" t="s">
        <v>451</v>
      </c>
      <c r="F478" s="51" t="s">
        <v>1133</v>
      </c>
      <c r="G478" s="51" t="s">
        <v>1134</v>
      </c>
      <c r="H478" s="51" t="s">
        <v>21</v>
      </c>
      <c r="I478" s="55" t="s">
        <v>1153</v>
      </c>
      <c r="J478" s="56">
        <v>1</v>
      </c>
      <c r="K478" s="51" t="s">
        <v>1136</v>
      </c>
      <c r="L478" s="58">
        <v>32873</v>
      </c>
      <c r="M478" s="50">
        <f>ROUND('FA Addition'!$L478*5%,0.1)</f>
        <v>1644</v>
      </c>
      <c r="N478" s="113" t="str">
        <f>_xlfn.XLOOKUP(_xlfn.CONCAT(E478,B478),'Year Wise Master Dep Approach'!F:F,'Year Wise Master Dep Approach'!D:D)</f>
        <v>WDV</v>
      </c>
      <c r="O478" s="113">
        <f>_xlfn.XLOOKUP(_xlfn.CONCAT(E478,B478),'Year Wise Master Dep Approach'!F:F,'Year Wise Master Dep Approach'!E:E)</f>
        <v>3</v>
      </c>
      <c r="P478" s="114">
        <f>IFERROR(IF('FA Addition'!$N478="WDV",1-('FA Addition'!$M478/'FA Addition'!$L478)^(1/'FA Addition'!$O478),1/'FA Addition'!$O478),0)</f>
        <v>0.63157070264891213</v>
      </c>
      <c r="Q478" s="122">
        <f>'FA Addition'!$P478*'FA Addition'!$O478</f>
        <v>1.8947121079467364</v>
      </c>
      <c r="R478" s="122"/>
      <c r="S478" s="116">
        <f>IF(AND(DATE(20&amp;LEFT(FAAddition[[#This Row],[FY]],2),4,1)&lt;$L$1+1,DATE(20&amp;LEFT(FAAddition[[#This Row],[FY]],2),4,1)&gt;$P$1-1),'FA Addition'!$J478,0)</f>
        <v>0</v>
      </c>
      <c r="U478" s="117">
        <f>S478*'FA Addition'!$L478/'FA Addition'!$J478</f>
        <v>0</v>
      </c>
      <c r="W478" s="116">
        <f>SUMIFS('FA Write off'!D:D,'FA Write off'!A:A,'FA Addition'!$A478,'FA Write off'!C:C,"&lt;"&amp;'FA Addition'!$P$1)</f>
        <v>0</v>
      </c>
      <c r="Y478" s="191">
        <f>IFERROR(W478/'FA Addition'!$J478*'FA Addition'!$L478,0)</f>
        <v>0</v>
      </c>
      <c r="AA478" s="116">
        <f>SUMIFS('FA Write off'!D:D,'FA Write off'!A:A,'FA Addition'!$A478,'FA Write off'!C:C,"&lt;"&amp;'FA Addition'!$L$1+1,'FA Write off'!C:C,"&gt;"&amp;'FA Addition'!$L$1-365)</f>
        <v>0</v>
      </c>
      <c r="AC478" s="118">
        <f>IFERROR(AA478/'FA Addition'!$J478*'FA Addition'!$L478,0)</f>
        <v>0</v>
      </c>
      <c r="AE478" s="117">
        <f>IF(AND('FA Addition'!$D478&lt;$P$1+1,U478=0),'FA Addition'!$L478,0)-Y478</f>
        <v>32873</v>
      </c>
      <c r="AF478" s="117">
        <f t="shared" si="35"/>
        <v>32873</v>
      </c>
      <c r="AG478" s="117">
        <f>MIN(MAX(+$P$1-'FA Addition'!$D478,0),365*'FA Addition'!$O478)</f>
        <v>304</v>
      </c>
      <c r="AH478" s="117">
        <f>MIN(MAX($L$1-'FA Addition'!$D478+1,0),365*'FA Addition'!$O478)</f>
        <v>670</v>
      </c>
      <c r="AI478" s="117" cm="1">
        <f t="array" ref="AI478">_xlfn.XLOOKUP(1,('FA Write off'!A:A='FA Addition'!$A478)*('FA Write off'!D:D=AA478),'FA Write off'!H:H,0,0)</f>
        <v>0</v>
      </c>
      <c r="AJ478" s="117">
        <f>IF(AC478&gt;0,MAX(IF('FA Addition'!$N478="SLM",($AC478-'FA Addition'!$M478)*'FA Addition'!$P478*AI478/365,(AC478-'FA Addition'!$M478)*(1-(1-'FA Addition'!$P478)^(AI478/365))),0),0)</f>
        <v>0</v>
      </c>
      <c r="AL478" s="117">
        <f>MAX(IF(AG478&gt;0,IF('FA Addition'!$N478="SLM",($AE478-'FA Addition'!$M478)*'FA Addition'!$P478*AG478/365,IFERROR(VDB(AE478,AE478*0.05,'FA Addition'!$O478,0,YEARFRAC('FA Addition'!$C478,$P$1-1,3),'FA Addition'!$Q478),FAAddition[[#This Row],[Original Cost (Rs)]]-FAAddition[[#This Row],[Salvage Value]])),0),0)</f>
        <v>17234.991735829699</v>
      </c>
      <c r="AM478" s="119"/>
      <c r="AN478" s="117">
        <f>MAX(IF(AH478&gt;0,IF('FA Addition'!$N478="SLM",($AF478-'FA Addition'!$M478)*'FA Addition'!$P478*AH478/365,IFERROR(VDB(AF478,AF478*0.05,'FA Addition'!$O478,0,YEARFRAC('FA Addition'!$C478,$L$1,3),'FA Addition'!$Q478),FAAddition[[#This Row],[Original Cost (Rs)]]-FAAddition[[#This Row],[Salvage Value]])),0),0)</f>
        <v>27132.456289383619</v>
      </c>
      <c r="AO478" s="117">
        <f t="shared" si="38"/>
        <v>9897.4645535539203</v>
      </c>
      <c r="AP478" s="206"/>
      <c r="AQ478" s="117">
        <f t="shared" si="36"/>
        <v>15638.008264170301</v>
      </c>
      <c r="AR478" s="120">
        <f t="shared" si="37"/>
        <v>5740.5437106163808</v>
      </c>
      <c r="AS478" s="121"/>
    </row>
    <row r="479" spans="1:45" ht="13.5" x14ac:dyDescent="0.4">
      <c r="A479" s="12">
        <f t="shared" si="39"/>
        <v>476</v>
      </c>
      <c r="B479" s="64" t="s">
        <v>1089</v>
      </c>
      <c r="C479" s="54">
        <v>44713</v>
      </c>
      <c r="D479" s="54">
        <v>44713</v>
      </c>
      <c r="E479" s="46" t="s">
        <v>451</v>
      </c>
      <c r="F479" s="51" t="s">
        <v>1133</v>
      </c>
      <c r="G479" s="51" t="s">
        <v>1154</v>
      </c>
      <c r="H479" s="51" t="s">
        <v>21</v>
      </c>
      <c r="I479" s="55" t="s">
        <v>1155</v>
      </c>
      <c r="J479" s="56">
        <v>1</v>
      </c>
      <c r="K479" s="51" t="s">
        <v>1156</v>
      </c>
      <c r="L479" s="58">
        <v>50839</v>
      </c>
      <c r="M479" s="50">
        <f>ROUND('FA Addition'!$L479*5%,0.1)</f>
        <v>2542</v>
      </c>
      <c r="N479" s="113" t="str">
        <f>_xlfn.XLOOKUP(_xlfn.CONCAT(E479,B479),'Year Wise Master Dep Approach'!F:F,'Year Wise Master Dep Approach'!D:D)</f>
        <v>WDV</v>
      </c>
      <c r="O479" s="113">
        <f>_xlfn.XLOOKUP(_xlfn.CONCAT(E479,B479),'Year Wise Master Dep Approach'!F:F,'Year Wise Master Dep Approach'!E:E)</f>
        <v>3</v>
      </c>
      <c r="P479" s="114">
        <f>IFERROR(IF('FA Addition'!$N479="WDV",1-('FA Addition'!$M479/'FA Addition'!$L479)^(1/'FA Addition'!$O479),1/'FA Addition'!$O479),0)</f>
        <v>0.63159443466270648</v>
      </c>
      <c r="Q479" s="122">
        <f>'FA Addition'!$P479*'FA Addition'!$O479</f>
        <v>1.8947833039881194</v>
      </c>
      <c r="R479" s="122"/>
      <c r="S479" s="116">
        <f>IF(AND(DATE(20&amp;LEFT(FAAddition[[#This Row],[FY]],2),4,1)&lt;$L$1+1,DATE(20&amp;LEFT(FAAddition[[#This Row],[FY]],2),4,1)&gt;$P$1-1),'FA Addition'!$J479,0)</f>
        <v>0</v>
      </c>
      <c r="U479" s="117">
        <f>S479*'FA Addition'!$L479/'FA Addition'!$J479</f>
        <v>0</v>
      </c>
      <c r="W479" s="116">
        <f>SUMIFS('FA Write off'!D:D,'FA Write off'!A:A,'FA Addition'!$A479,'FA Write off'!C:C,"&lt;"&amp;'FA Addition'!$P$1)</f>
        <v>0</v>
      </c>
      <c r="Y479" s="191">
        <f>IFERROR(W479/'FA Addition'!$J479*'FA Addition'!$L479,0)</f>
        <v>0</v>
      </c>
      <c r="AA479" s="116">
        <f>SUMIFS('FA Write off'!D:D,'FA Write off'!A:A,'FA Addition'!$A479,'FA Write off'!C:C,"&lt;"&amp;'FA Addition'!$L$1+1,'FA Write off'!C:C,"&gt;"&amp;'FA Addition'!$L$1-365)</f>
        <v>0</v>
      </c>
      <c r="AC479" s="118">
        <f>IFERROR(AA479/'FA Addition'!$J479*'FA Addition'!$L479,0)</f>
        <v>0</v>
      </c>
      <c r="AE479" s="117">
        <f>IF(AND('FA Addition'!$D479&lt;$P$1+1,U479=0),'FA Addition'!$L479,0)-Y479</f>
        <v>50839</v>
      </c>
      <c r="AF479" s="117">
        <f t="shared" si="35"/>
        <v>50839</v>
      </c>
      <c r="AG479" s="117">
        <f>MIN(MAX(+$P$1-'FA Addition'!$D479,0),365*'FA Addition'!$O479)</f>
        <v>304</v>
      </c>
      <c r="AH479" s="117">
        <f>MIN(MAX($L$1-'FA Addition'!$D479+1,0),365*'FA Addition'!$O479)</f>
        <v>670</v>
      </c>
      <c r="AI479" s="117" cm="1">
        <f t="array" ref="AI479">_xlfn.XLOOKUP(1,('FA Write off'!A:A='FA Addition'!$A479)*('FA Write off'!D:D=AA479),'FA Write off'!H:H,0,0)</f>
        <v>0</v>
      </c>
      <c r="AJ479" s="117">
        <f>IF(AC479&gt;0,MAX(IF('FA Addition'!$N479="SLM",($AC479-'FA Addition'!$M479)*'FA Addition'!$P479*AI479/365,(AC479-'FA Addition'!$M479)*(1-(1-'FA Addition'!$P479)^(AI479/365))),0),0)</f>
        <v>0</v>
      </c>
      <c r="AL479" s="117">
        <f>MAX(IF(AG479&gt;0,IF('FA Addition'!$N479="SLM",($AE479-'FA Addition'!$M479)*'FA Addition'!$P479*AG479/365,IFERROR(VDB(AE479,AE479*0.05,'FA Addition'!$O479,0,YEARFRAC('FA Addition'!$C479,$P$1-1,3),'FA Addition'!$Q479),FAAddition[[#This Row],[Original Cost (Rs)]]-FAAddition[[#This Row],[Salvage Value]])),0),0)</f>
        <v>26655.391034346994</v>
      </c>
      <c r="AM479" s="119"/>
      <c r="AN479" s="117">
        <f>MAX(IF(AH479&gt;0,IF('FA Addition'!$N479="SLM",($AF479-'FA Addition'!$M479)*'FA Addition'!$P479*AH479/365,IFERROR(VDB(AF479,AF479*0.05,'FA Addition'!$O479,0,YEARFRAC('FA Addition'!$C479,$L$1,3),'FA Addition'!$Q479),FAAddition[[#This Row],[Original Cost (Rs)]]-FAAddition[[#This Row],[Salvage Value]])),0),0)</f>
        <v>41962.033089565681</v>
      </c>
      <c r="AO479" s="117">
        <f t="shared" si="38"/>
        <v>15306.642055218686</v>
      </c>
      <c r="AP479" s="206"/>
      <c r="AQ479" s="117">
        <f t="shared" si="36"/>
        <v>24183.608965653006</v>
      </c>
      <c r="AR479" s="120">
        <f t="shared" si="37"/>
        <v>8876.9669104343193</v>
      </c>
      <c r="AS479" s="121"/>
    </row>
    <row r="480" spans="1:45" ht="13.5" x14ac:dyDescent="0.4">
      <c r="A480" s="12">
        <f t="shared" si="39"/>
        <v>477</v>
      </c>
      <c r="B480" s="64" t="s">
        <v>1089</v>
      </c>
      <c r="C480" s="54">
        <v>44714</v>
      </c>
      <c r="D480" s="54">
        <v>44714</v>
      </c>
      <c r="E480" s="46" t="s">
        <v>32</v>
      </c>
      <c r="F480" s="51" t="s">
        <v>1090</v>
      </c>
      <c r="G480" s="51" t="s">
        <v>433</v>
      </c>
      <c r="H480" s="51" t="s">
        <v>32</v>
      </c>
      <c r="I480" s="55" t="s">
        <v>1157</v>
      </c>
      <c r="J480" s="56">
        <v>500</v>
      </c>
      <c r="K480" s="51" t="s">
        <v>1146</v>
      </c>
      <c r="L480" s="58">
        <v>525000</v>
      </c>
      <c r="M480" s="50">
        <f>ROUND('FA Addition'!$L480*5%,0.1)</f>
        <v>26250</v>
      </c>
      <c r="N480" s="113" t="str">
        <f>_xlfn.XLOOKUP(_xlfn.CONCAT(E480,B480),'Year Wise Master Dep Approach'!F:F,'Year Wise Master Dep Approach'!D:D)</f>
        <v>WDV</v>
      </c>
      <c r="O480" s="113">
        <f>_xlfn.XLOOKUP(_xlfn.CONCAT(E480,B480),'Year Wise Master Dep Approach'!F:F,'Year Wise Master Dep Approach'!E:E)</f>
        <v>3</v>
      </c>
      <c r="P480" s="114">
        <f>IFERROR(IF('FA Addition'!$N480="WDV",1-('FA Addition'!$M480/'FA Addition'!$L480)^(1/'FA Addition'!$O480),1/'FA Addition'!$O480),0)</f>
        <v>0.63159685013596123</v>
      </c>
      <c r="Q480" s="122">
        <f>'FA Addition'!$P480*'FA Addition'!$O480</f>
        <v>1.8947905504078837</v>
      </c>
      <c r="R480" s="122"/>
      <c r="S480" s="116">
        <f>IF(AND(DATE(20&amp;LEFT(FAAddition[[#This Row],[FY]],2),4,1)&lt;$L$1+1,DATE(20&amp;LEFT(FAAddition[[#This Row],[FY]],2),4,1)&gt;$P$1-1),'FA Addition'!$J480,0)</f>
        <v>0</v>
      </c>
      <c r="U480" s="117">
        <f>S480*'FA Addition'!$L480/'FA Addition'!$J480</f>
        <v>0</v>
      </c>
      <c r="W480" s="116">
        <f>SUMIFS('FA Write off'!D:D,'FA Write off'!A:A,'FA Addition'!$A480,'FA Write off'!C:C,"&lt;"&amp;'FA Addition'!$P$1)</f>
        <v>10</v>
      </c>
      <c r="Y480" s="191">
        <f>IFERROR(W480/'FA Addition'!$J480*'FA Addition'!$L480,0)</f>
        <v>10500</v>
      </c>
      <c r="AA480" s="116">
        <f>SUMIFS('FA Write off'!D:D,'FA Write off'!A:A,'FA Addition'!$A480,'FA Write off'!C:C,"&lt;"&amp;'FA Addition'!$L$1+1,'FA Write off'!C:C,"&gt;"&amp;'FA Addition'!$L$1-365)</f>
        <v>288</v>
      </c>
      <c r="AC480" s="191">
        <f>IFERROR(AA480/'FA Addition'!$J480*'FA Addition'!$L480,0)</f>
        <v>302400</v>
      </c>
      <c r="AE480" s="117">
        <f>IF(AND('FA Addition'!$D480&lt;$P$1+1,U480=0),'FA Addition'!$L480,0)-Y480</f>
        <v>514500</v>
      </c>
      <c r="AF480" s="117">
        <f t="shared" si="35"/>
        <v>212100</v>
      </c>
      <c r="AG480" s="117">
        <f>MIN(MAX(+$P$1-'FA Addition'!$D480,0),365*'FA Addition'!$O480)</f>
        <v>303</v>
      </c>
      <c r="AH480" s="117">
        <f>MIN(MAX($L$1-'FA Addition'!$D480+1,0),365*'FA Addition'!$O480)</f>
        <v>669</v>
      </c>
      <c r="AI480" s="117" cm="1">
        <f t="array" ref="AI480">_xlfn.XLOOKUP(1,('FA Write off'!A:A='FA Addition'!$A480)*('FA Write off'!D:D=AA480),'FA Write off'!H:H,0,0)</f>
        <v>669</v>
      </c>
      <c r="AJ480" s="117">
        <f>IF(AC480&gt;0,MAX(IF('FA Addition'!$N480="SLM",($AC480-'FA Addition'!$M480)*'FA Addition'!$P480*AI480/365,(AC480-'FA Addition'!$M480)*(1-(1-'FA Addition'!$P480)^(AI480/365))),0),0)</f>
        <v>231863.72146343629</v>
      </c>
      <c r="AL480" s="117">
        <f>MAX(IF(AG480&gt;0,IF('FA Addition'!$N480="SLM",($AE480-'FA Addition'!$M480)*'FA Addition'!$P480*AG480/365,IFERROR(VDB(AE480,AE480*0.05,'FA Addition'!$O480,0,YEARFRAC('FA Addition'!$C480,$P$1-1,3),'FA Addition'!$Q480),FAAddition[[#This Row],[Original Cost (Rs)]]-FAAddition[[#This Row],[Salvage Value]])),0),0)</f>
        <v>268868.18349938502</v>
      </c>
      <c r="AM480" s="119"/>
      <c r="AN480" s="117">
        <f>MAX(IF(AH480&gt;0,IF('FA Addition'!$N480="SLM",($AF480-'FA Addition'!$M480)*'FA Addition'!$P480*AH480/365,IFERROR(VDB(AF480,AF480*0.05,'FA Addition'!$O480,0,YEARFRAC('FA Addition'!$C480,$L$1,3),'FA Addition'!$Q480),FAAddition[[#This Row],[Original Cost (Rs)]]-FAAddition[[#This Row],[Salvage Value]])),0),0)</f>
        <v>174930.53713695685</v>
      </c>
      <c r="AO480" s="117">
        <f t="shared" si="38"/>
        <v>137926.07510100811</v>
      </c>
      <c r="AP480" s="206"/>
      <c r="AQ480" s="117">
        <f t="shared" si="36"/>
        <v>245631.81650061498</v>
      </c>
      <c r="AR480" s="120">
        <f t="shared" si="37"/>
        <v>37169.462863043154</v>
      </c>
      <c r="AS480" s="121"/>
    </row>
    <row r="481" spans="1:45" ht="13.5" x14ac:dyDescent="0.4">
      <c r="A481" s="12">
        <f t="shared" si="39"/>
        <v>478</v>
      </c>
      <c r="B481" s="64" t="s">
        <v>1089</v>
      </c>
      <c r="C481" s="54">
        <v>44718</v>
      </c>
      <c r="D481" s="54">
        <v>44718</v>
      </c>
      <c r="E481" s="46" t="s">
        <v>32</v>
      </c>
      <c r="F481" s="51" t="s">
        <v>1090</v>
      </c>
      <c r="G481" s="51" t="s">
        <v>433</v>
      </c>
      <c r="H481" s="51" t="s">
        <v>32</v>
      </c>
      <c r="I481" s="55" t="s">
        <v>1158</v>
      </c>
      <c r="J481" s="56">
        <v>1000</v>
      </c>
      <c r="K481" s="51" t="s">
        <v>935</v>
      </c>
      <c r="L481" s="58">
        <v>1100000</v>
      </c>
      <c r="M481" s="50">
        <f>ROUND('FA Addition'!$L481*5%,0.1)</f>
        <v>55000</v>
      </c>
      <c r="N481" s="113" t="str">
        <f>_xlfn.XLOOKUP(_xlfn.CONCAT(E481,B481),'Year Wise Master Dep Approach'!F:F,'Year Wise Master Dep Approach'!D:D)</f>
        <v>WDV</v>
      </c>
      <c r="O481" s="113">
        <f>_xlfn.XLOOKUP(_xlfn.CONCAT(E481,B481),'Year Wise Master Dep Approach'!F:F,'Year Wise Master Dep Approach'!E:E)</f>
        <v>3</v>
      </c>
      <c r="P481" s="114">
        <f>IFERROR(IF('FA Addition'!$N481="WDV",1-('FA Addition'!$M481/'FA Addition'!$L481)^(1/'FA Addition'!$O481),1/'FA Addition'!$O481),0)</f>
        <v>0.63159685013596123</v>
      </c>
      <c r="Q481" s="122">
        <f>'FA Addition'!$P481*'FA Addition'!$O481</f>
        <v>1.8947905504078837</v>
      </c>
      <c r="R481" s="122"/>
      <c r="S481" s="116">
        <f>IF(AND(DATE(20&amp;LEFT(FAAddition[[#This Row],[FY]],2),4,1)&lt;$L$1+1,DATE(20&amp;LEFT(FAAddition[[#This Row],[FY]],2),4,1)&gt;$P$1-1),'FA Addition'!$J481,0)</f>
        <v>0</v>
      </c>
      <c r="U481" s="117">
        <f>S481*'FA Addition'!$L481/'FA Addition'!$J481</f>
        <v>0</v>
      </c>
      <c r="W481" s="116">
        <f>SUMIFS('FA Write off'!D:D,'FA Write off'!A:A,'FA Addition'!$A481,'FA Write off'!C:C,"&lt;"&amp;'FA Addition'!$P$1)</f>
        <v>35</v>
      </c>
      <c r="Y481" s="191">
        <f>IFERROR(W481/'FA Addition'!$J481*'FA Addition'!$L481,0)</f>
        <v>38500.000000000007</v>
      </c>
      <c r="AA481" s="116">
        <f>SUMIFS('FA Write off'!D:D,'FA Write off'!A:A,'FA Addition'!$A481,'FA Write off'!C:C,"&lt;"&amp;'FA Addition'!$L$1+1,'FA Write off'!C:C,"&gt;"&amp;'FA Addition'!$L$1-365)</f>
        <v>0</v>
      </c>
      <c r="AC481" s="191">
        <f>IFERROR(AA481/'FA Addition'!$J481*'FA Addition'!$L481,0)</f>
        <v>0</v>
      </c>
      <c r="AE481" s="117">
        <f>IF(AND('FA Addition'!$D481&lt;$P$1+1,U481=0),'FA Addition'!$L481,0)-Y481</f>
        <v>1061500</v>
      </c>
      <c r="AF481" s="117">
        <f t="shared" si="35"/>
        <v>1061500</v>
      </c>
      <c r="AG481" s="117">
        <f>MIN(MAX(+$P$1-'FA Addition'!$D481,0),365*'FA Addition'!$O481)</f>
        <v>299</v>
      </c>
      <c r="AH481" s="117">
        <f>MIN(MAX($L$1-'FA Addition'!$D481+1,0),365*'FA Addition'!$O481)</f>
        <v>665</v>
      </c>
      <c r="AI481" s="117" cm="1">
        <f t="array" ref="AI481">_xlfn.XLOOKUP(1,('FA Write off'!A:A='FA Addition'!$A481)*('FA Write off'!D:D=AA481),'FA Write off'!H:H,0,0)</f>
        <v>0</v>
      </c>
      <c r="AJ481" s="117">
        <f>IF(AC481&gt;0,MAX(IF('FA Addition'!$N481="SLM",($AC481-'FA Addition'!$M481)*'FA Addition'!$P481*AI481/365,(AC481-'FA Addition'!$M481)*(1-(1-'FA Addition'!$P481)^(AI481/365))),0),0)</f>
        <v>0</v>
      </c>
      <c r="AL481" s="117">
        <f>MAX(IF(AG481&gt;0,IF('FA Addition'!$N481="SLM",($AE481-'FA Addition'!$M481)*'FA Addition'!$P481*AG481/365,IFERROR(VDB(AE481,AE481*0.05,'FA Addition'!$O481,0,YEARFRAC('FA Addition'!$C481,$P$1-1,3),'FA Addition'!$Q481),FAAddition[[#This Row],[Original Cost (Rs)]]-FAAddition[[#This Row],[Salvage Value]])),0),0)</f>
        <v>547372.97756974853</v>
      </c>
      <c r="AM481" s="119"/>
      <c r="AN481" s="117">
        <f>MAX(IF(AH481&gt;0,IF('FA Addition'!$N481="SLM",($AF481-'FA Addition'!$M481)*'FA Addition'!$P481*AH481/365,IFERROR(VDB(AF481,AF481*0.05,'FA Addition'!$O481,0,YEARFRAC('FA Addition'!$C481,$L$1,3),'FA Addition'!$Q481),FAAddition[[#This Row],[Original Cost (Rs)]]-FAAddition[[#This Row],[Salvage Value]])),0),0)</f>
        <v>872770.6765436813</v>
      </c>
      <c r="AO481" s="117">
        <f t="shared" si="38"/>
        <v>325397.69897393277</v>
      </c>
      <c r="AP481" s="206"/>
      <c r="AQ481" s="117">
        <f t="shared" si="36"/>
        <v>514127.02243025147</v>
      </c>
      <c r="AR481" s="120">
        <f t="shared" si="37"/>
        <v>188729.3234563187</v>
      </c>
      <c r="AS481" s="121"/>
    </row>
    <row r="482" spans="1:45" ht="13.5" x14ac:dyDescent="0.4">
      <c r="A482" s="12">
        <f t="shared" si="39"/>
        <v>479</v>
      </c>
      <c r="B482" s="64" t="s">
        <v>1089</v>
      </c>
      <c r="C482" s="54">
        <v>44721</v>
      </c>
      <c r="D482" s="54">
        <v>44721</v>
      </c>
      <c r="E482" s="46" t="s">
        <v>32</v>
      </c>
      <c r="F482" s="51" t="s">
        <v>1090</v>
      </c>
      <c r="G482" s="51" t="s">
        <v>433</v>
      </c>
      <c r="H482" s="51" t="s">
        <v>32</v>
      </c>
      <c r="I482" s="55" t="s">
        <v>1159</v>
      </c>
      <c r="J482" s="56">
        <v>1000</v>
      </c>
      <c r="K482" s="51" t="s">
        <v>935</v>
      </c>
      <c r="L482" s="58">
        <v>1100000</v>
      </c>
      <c r="M482" s="50">
        <f>ROUND('FA Addition'!$L482*5%,0.1)</f>
        <v>55000</v>
      </c>
      <c r="N482" s="113" t="str">
        <f>_xlfn.XLOOKUP(_xlfn.CONCAT(E482,B482),'Year Wise Master Dep Approach'!F:F,'Year Wise Master Dep Approach'!D:D)</f>
        <v>WDV</v>
      </c>
      <c r="O482" s="113">
        <f>_xlfn.XLOOKUP(_xlfn.CONCAT(E482,B482),'Year Wise Master Dep Approach'!F:F,'Year Wise Master Dep Approach'!E:E)</f>
        <v>3</v>
      </c>
      <c r="P482" s="114">
        <f>IFERROR(IF('FA Addition'!$N482="WDV",1-('FA Addition'!$M482/'FA Addition'!$L482)^(1/'FA Addition'!$O482),1/'FA Addition'!$O482),0)</f>
        <v>0.63159685013596123</v>
      </c>
      <c r="Q482" s="122">
        <f>'FA Addition'!$P482*'FA Addition'!$O482</f>
        <v>1.8947905504078837</v>
      </c>
      <c r="R482" s="122"/>
      <c r="S482" s="116">
        <f>IF(AND(DATE(20&amp;LEFT(FAAddition[[#This Row],[FY]],2),4,1)&lt;$L$1+1,DATE(20&amp;LEFT(FAAddition[[#This Row],[FY]],2),4,1)&gt;$P$1-1),'FA Addition'!$J482,0)</f>
        <v>0</v>
      </c>
      <c r="U482" s="117">
        <f>S482*'FA Addition'!$L482/'FA Addition'!$J482</f>
        <v>0</v>
      </c>
      <c r="W482" s="116">
        <f>SUMIFS('FA Write off'!D:D,'FA Write off'!A:A,'FA Addition'!$A482,'FA Write off'!C:C,"&lt;"&amp;'FA Addition'!$P$1)</f>
        <v>70</v>
      </c>
      <c r="Y482" s="191">
        <f>IFERROR(W482/'FA Addition'!$J482*'FA Addition'!$L482,0)</f>
        <v>77000.000000000015</v>
      </c>
      <c r="AA482" s="116">
        <f>SUMIFS('FA Write off'!D:D,'FA Write off'!A:A,'FA Addition'!$A482,'FA Write off'!C:C,"&lt;"&amp;'FA Addition'!$L$1+1,'FA Write off'!C:C,"&gt;"&amp;'FA Addition'!$L$1-365)</f>
        <v>0</v>
      </c>
      <c r="AC482" s="191">
        <f>IFERROR(AA482/'FA Addition'!$J482*'FA Addition'!$L482,0)</f>
        <v>0</v>
      </c>
      <c r="AE482" s="117">
        <f>IF(AND('FA Addition'!$D482&lt;$P$1+1,U482=0),'FA Addition'!$L482,0)-Y482</f>
        <v>1023000</v>
      </c>
      <c r="AF482" s="117">
        <f t="shared" si="35"/>
        <v>1023000</v>
      </c>
      <c r="AG482" s="117">
        <f>MIN(MAX(+$P$1-'FA Addition'!$D482,0),365*'FA Addition'!$O482)</f>
        <v>296</v>
      </c>
      <c r="AH482" s="117">
        <f>MIN(MAX($L$1-'FA Addition'!$D482+1,0),365*'FA Addition'!$O482)</f>
        <v>662</v>
      </c>
      <c r="AI482" s="117" cm="1">
        <f t="array" ref="AI482">_xlfn.XLOOKUP(1,('FA Write off'!A:A='FA Addition'!$A482)*('FA Write off'!D:D=AA482),'FA Write off'!H:H,0,0)</f>
        <v>0</v>
      </c>
      <c r="AJ482" s="117">
        <f>IF(AC482&gt;0,MAX(IF('FA Addition'!$N482="SLM",($AC482-'FA Addition'!$M482)*'FA Addition'!$P482*AI482/365,(AC482-'FA Addition'!$M482)*(1-(1-'FA Addition'!$P482)^(AI482/365))),0),0)</f>
        <v>0</v>
      </c>
      <c r="AL482" s="117">
        <f>MAX(IF(AG482&gt;0,IF('FA Addition'!$N482="SLM",($AE482-'FA Addition'!$M482)*'FA Addition'!$P482*AG482/365,IFERROR(VDB(AE482,AE482*0.05,'FA Addition'!$O482,0,YEARFRAC('FA Addition'!$C482,$P$1-1,3),'FA Addition'!$Q482),FAAddition[[#This Row],[Original Cost (Rs)]]-FAAddition[[#This Row],[Salvage Value]])),0),0)</f>
        <v>522209.46689940011</v>
      </c>
      <c r="AM482" s="119"/>
      <c r="AN482" s="117">
        <f>MAX(IF(AH482&gt;0,IF('FA Addition'!$N482="SLM",($AF482-'FA Addition'!$M482)*'FA Addition'!$P482*AH482/365,IFERROR(VDB(AF482,AF482*0.05,'FA Addition'!$O482,0,YEARFRAC('FA Addition'!$C482,$L$1,3),'FA Addition'!$Q482),FAAddition[[#This Row],[Original Cost (Rs)]]-FAAddition[[#This Row],[Salvage Value]])),0),0)</f>
        <v>839159.3380226125</v>
      </c>
      <c r="AO482" s="117">
        <f t="shared" si="38"/>
        <v>316949.87112321239</v>
      </c>
      <c r="AP482" s="206"/>
      <c r="AQ482" s="117">
        <f t="shared" si="36"/>
        <v>500790.53310059989</v>
      </c>
      <c r="AR482" s="120">
        <f t="shared" si="37"/>
        <v>183840.6619773875</v>
      </c>
      <c r="AS482" s="121"/>
    </row>
    <row r="483" spans="1:45" ht="13.5" x14ac:dyDescent="0.4">
      <c r="A483" s="12">
        <f t="shared" si="39"/>
        <v>480</v>
      </c>
      <c r="B483" s="64" t="s">
        <v>1089</v>
      </c>
      <c r="C483" s="54">
        <v>44722</v>
      </c>
      <c r="D483" s="54">
        <v>44722</v>
      </c>
      <c r="E483" s="46" t="s">
        <v>523</v>
      </c>
      <c r="F483" s="51" t="s">
        <v>523</v>
      </c>
      <c r="G483" s="51" t="s">
        <v>1160</v>
      </c>
      <c r="H483" s="51" t="s">
        <v>1161</v>
      </c>
      <c r="I483" s="55" t="s">
        <v>1162</v>
      </c>
      <c r="J483" s="56">
        <v>1</v>
      </c>
      <c r="K483" s="51" t="s">
        <v>1163</v>
      </c>
      <c r="L483" s="58">
        <v>6373</v>
      </c>
      <c r="M483" s="50">
        <f>ROUND('FA Addition'!$L483*5%,0.1)</f>
        <v>319</v>
      </c>
      <c r="N483" s="113" t="str">
        <f>_xlfn.XLOOKUP(_xlfn.CONCAT(E483,B483),'Year Wise Master Dep Approach'!F:F,'Year Wise Master Dep Approach'!D:D)</f>
        <v>WDV</v>
      </c>
      <c r="O483" s="113">
        <f>_xlfn.XLOOKUP(_xlfn.CONCAT(E483,B483),'Year Wise Master Dep Approach'!F:F,'Year Wise Master Dep Approach'!E:E)</f>
        <v>10</v>
      </c>
      <c r="P483" s="114">
        <f>IFERROR(IF('FA Addition'!$N483="WDV",1-('FA Addition'!$M483/'FA Addition'!$L483)^(1/'FA Addition'!$O483),1/'FA Addition'!$O483),0)</f>
        <v>0.25878418609361098</v>
      </c>
      <c r="Q483" s="122">
        <f>'FA Addition'!$P483*'FA Addition'!$O483</f>
        <v>2.58784186093611</v>
      </c>
      <c r="R483" s="122"/>
      <c r="S483" s="116">
        <f>IF(AND(DATE(20&amp;LEFT(FAAddition[[#This Row],[FY]],2),4,1)&lt;$L$1+1,DATE(20&amp;LEFT(FAAddition[[#This Row],[FY]],2),4,1)&gt;$P$1-1),'FA Addition'!$J483,0)</f>
        <v>0</v>
      </c>
      <c r="U483" s="117">
        <f>S483*'FA Addition'!$L483/'FA Addition'!$J483</f>
        <v>0</v>
      </c>
      <c r="W483" s="116">
        <f>SUMIFS('FA Write off'!D:D,'FA Write off'!A:A,'FA Addition'!$A483,'FA Write off'!C:C,"&lt;"&amp;'FA Addition'!$P$1)</f>
        <v>0</v>
      </c>
      <c r="Y483" s="191">
        <f>IFERROR(W483/'FA Addition'!$J483*'FA Addition'!$L483,0)</f>
        <v>0</v>
      </c>
      <c r="AA483" s="116">
        <f>SUMIFS('FA Write off'!D:D,'FA Write off'!A:A,'FA Addition'!$A483,'FA Write off'!C:C,"&lt;"&amp;'FA Addition'!$L$1+1,'FA Write off'!C:C,"&gt;"&amp;'FA Addition'!$L$1-365)</f>
        <v>0</v>
      </c>
      <c r="AC483" s="118">
        <f>IFERROR(AA483/'FA Addition'!$J483*'FA Addition'!$L483,0)</f>
        <v>0</v>
      </c>
      <c r="AE483" s="117">
        <f>IF(AND('FA Addition'!$D483&lt;$P$1+1,U483=0),'FA Addition'!$L483,0)-Y483</f>
        <v>6373</v>
      </c>
      <c r="AF483" s="117">
        <f t="shared" si="35"/>
        <v>6373</v>
      </c>
      <c r="AG483" s="117">
        <f>MIN(MAX(+$P$1-'FA Addition'!$D483,0),365*'FA Addition'!$O483)</f>
        <v>295</v>
      </c>
      <c r="AH483" s="117">
        <f>MIN(MAX($L$1-'FA Addition'!$D483+1,0),365*'FA Addition'!$O483)</f>
        <v>661</v>
      </c>
      <c r="AI483" s="117" cm="1">
        <f t="array" ref="AI483">_xlfn.XLOOKUP(1,('FA Write off'!A:A='FA Addition'!$A483)*('FA Write off'!D:D=AA483),'FA Write off'!H:H,0,0)</f>
        <v>0</v>
      </c>
      <c r="AJ483" s="117">
        <f>IF(AC483&gt;0,MAX(IF('FA Addition'!$N483="SLM",($AC483-'FA Addition'!$M483)*'FA Addition'!$P483*AI483/365,(AC483-'FA Addition'!$M483)*(1-(1-'FA Addition'!$P483)^(AI483/365))),0),0)</f>
        <v>0</v>
      </c>
      <c r="AL483" s="117">
        <f>MAX(IF(AG483&gt;0,IF('FA Addition'!$N483="SLM",($AE483-'FA Addition'!$M483)*'FA Addition'!$P483*AG483/365,IFERROR(VDB(AE483,AE483*0.05,'FA Addition'!$O483,0,YEARFRAC('FA Addition'!$C483,$P$1-1,3),'FA Addition'!$Q483),FAAddition[[#This Row],[Original Cost (Rs)]]-FAAddition[[#This Row],[Salvage Value]])),0),0)</f>
        <v>1328.4221799576092</v>
      </c>
      <c r="AM483" s="119"/>
      <c r="AN483" s="117">
        <f>MAX(IF(AH483&gt;0,IF('FA Addition'!$N483="SLM",($AF483-'FA Addition'!$M483)*'FA Addition'!$P483*AH483/365,IFERROR(VDB(AF483,AF483*0.05,'FA Addition'!$O483,0,YEARFRAC('FA Addition'!$C483,$L$1,3),'FA Addition'!$Q483),FAAddition[[#This Row],[Original Cost (Rs)]]-FAAddition[[#This Row],[Salvage Value]])),0),0)</f>
        <v>2637.2282865525785</v>
      </c>
      <c r="AO483" s="117">
        <f t="shared" si="38"/>
        <v>1308.8061065949694</v>
      </c>
      <c r="AP483" s="206"/>
      <c r="AQ483" s="117">
        <f t="shared" si="36"/>
        <v>5044.5778200423911</v>
      </c>
      <c r="AR483" s="120">
        <f t="shared" si="37"/>
        <v>3735.7717134474215</v>
      </c>
      <c r="AS483" s="121"/>
    </row>
    <row r="484" spans="1:45" ht="13.5" x14ac:dyDescent="0.4">
      <c r="A484" s="12">
        <f t="shared" si="39"/>
        <v>481</v>
      </c>
      <c r="B484" s="64" t="s">
        <v>1089</v>
      </c>
      <c r="C484" s="54">
        <v>44725</v>
      </c>
      <c r="D484" s="54">
        <v>44725</v>
      </c>
      <c r="E484" s="46" t="s">
        <v>1389</v>
      </c>
      <c r="F484" s="51" t="s">
        <v>1112</v>
      </c>
      <c r="G484" s="51" t="s">
        <v>36</v>
      </c>
      <c r="H484" s="51" t="s">
        <v>1113</v>
      </c>
      <c r="I484" s="55" t="s">
        <v>1164</v>
      </c>
      <c r="J484" s="56">
        <v>1000</v>
      </c>
      <c r="K484" s="51" t="s">
        <v>1132</v>
      </c>
      <c r="L484" s="58">
        <v>810000</v>
      </c>
      <c r="M484" s="50">
        <f>ROUND('FA Addition'!$L484*5%,0.1)</f>
        <v>40500</v>
      </c>
      <c r="N484" s="113" t="str">
        <f>_xlfn.XLOOKUP(_xlfn.CONCAT(E484,B484),'Year Wise Master Dep Approach'!F:F,'Year Wise Master Dep Approach'!D:D)</f>
        <v>SLM</v>
      </c>
      <c r="O484" s="113">
        <f>_xlfn.XLOOKUP(_xlfn.CONCAT(E484,B484),'Year Wise Master Dep Approach'!F:F,'Year Wise Master Dep Approach'!E:E)</f>
        <v>3</v>
      </c>
      <c r="P484" s="114">
        <f>IFERROR(IF('FA Addition'!$N484="WDV",1-('FA Addition'!$M484/'FA Addition'!$L484)^(1/'FA Addition'!$O484),1/'FA Addition'!$O484),0)</f>
        <v>0.33333333333333331</v>
      </c>
      <c r="Q484" s="122">
        <f>'FA Addition'!$P484*'FA Addition'!$O484</f>
        <v>1</v>
      </c>
      <c r="R484" s="122"/>
      <c r="S484" s="116">
        <f>IF(AND(DATE(20&amp;LEFT(FAAddition[[#This Row],[FY]],2),4,1)&lt;$L$1+1,DATE(20&amp;LEFT(FAAddition[[#This Row],[FY]],2),4,1)&gt;$P$1-1),'FA Addition'!$J484,0)</f>
        <v>0</v>
      </c>
      <c r="U484" s="117">
        <f>S484*'FA Addition'!$L484/'FA Addition'!$J484</f>
        <v>0</v>
      </c>
      <c r="W484" s="116">
        <f>SUMIFS('FA Write off'!D:D,'FA Write off'!A:A,'FA Addition'!$A484,'FA Write off'!C:C,"&lt;"&amp;'FA Addition'!$P$1)</f>
        <v>0</v>
      </c>
      <c r="Y484" s="191">
        <f>IFERROR(W484/'FA Addition'!$J484*'FA Addition'!$L484,0)</f>
        <v>0</v>
      </c>
      <c r="AA484" s="116">
        <f>SUMIFS('FA Write off'!D:D,'FA Write off'!A:A,'FA Addition'!$A484,'FA Write off'!C:C,"&lt;"&amp;'FA Addition'!$L$1+1,'FA Write off'!C:C,"&gt;"&amp;'FA Addition'!$L$1-365)</f>
        <v>1000</v>
      </c>
      <c r="AC484" s="117">
        <f>IFERROR(AA484/'FA Addition'!$J484*'FA Addition'!$L484,0)</f>
        <v>810000</v>
      </c>
      <c r="AE484" s="117">
        <f>IF(AND('FA Addition'!$D484&lt;$P$1+1,U484=0),'FA Addition'!$L484,0)-Y484</f>
        <v>810000</v>
      </c>
      <c r="AF484" s="117">
        <f t="shared" si="35"/>
        <v>0</v>
      </c>
      <c r="AG484" s="117">
        <f>MIN(MAX(+$P$1-'FA Addition'!$D484,0),365*'FA Addition'!$O484)</f>
        <v>292</v>
      </c>
      <c r="AH484" s="117">
        <f>MIN(MAX($L$1-'FA Addition'!$D484+1,0),365*'FA Addition'!$O484)</f>
        <v>658</v>
      </c>
      <c r="AI484" s="117" cm="1">
        <f t="array" ref="AI484">_xlfn.XLOOKUP(1,('FA Write off'!A:A='FA Addition'!$A484)*('FA Write off'!D:D=AA484),'FA Write off'!H:H,0,0)</f>
        <v>658</v>
      </c>
      <c r="AJ484" s="117">
        <f>IF(AC484&gt;0,MAX(IF('FA Addition'!$N484="SLM",($AC484-'FA Addition'!$M484)*'FA Addition'!$P484*AI484/365,(AC484-'FA Addition'!$M484)*(1-(1-'FA Addition'!$P484)^(AI484/365))),0),0)</f>
        <v>462402.73972602742</v>
      </c>
      <c r="AL484" s="117">
        <f>MAX(IF(AG484&gt;0,IF('FA Addition'!$N484="SLM",($AE484-'FA Addition'!$M484)*'FA Addition'!$P484*AG484/365,IFERROR(VDB(AE484,AE484*0.05,'FA Addition'!$O484,0,YEARFRAC('FA Addition'!$C484,$P$1-1,3),'FA Addition'!$Q484),FAAddition[[#This Row],[Original Cost (Rs)]]-FAAddition[[#This Row],[Salvage Value]])),0),0)</f>
        <v>205200</v>
      </c>
      <c r="AM484" s="119"/>
      <c r="AN484" s="117">
        <f>MAX(IF(AH484&gt;0,IF('FA Addition'!$N484="SLM",($AF484-'FA Addition'!$M484)*'FA Addition'!$P484*AH484/365,IFERROR(VDB(AF484,AF484*0.05,'FA Addition'!$O484,0,YEARFRAC('FA Addition'!$C484,$L$1,3),'FA Addition'!$Q484),FAAddition[[#This Row],[Original Cost (Rs)]]-FAAddition[[#This Row],[Salvage Value]])),0),0)</f>
        <v>0</v>
      </c>
      <c r="AO484" s="117">
        <f t="shared" si="38"/>
        <v>257202.73972602742</v>
      </c>
      <c r="AP484" s="206"/>
      <c r="AQ484" s="117">
        <f t="shared" si="36"/>
        <v>604800</v>
      </c>
      <c r="AR484" s="120">
        <f t="shared" si="37"/>
        <v>0</v>
      </c>
      <c r="AS484" s="121"/>
    </row>
    <row r="485" spans="1:45" ht="13.5" x14ac:dyDescent="0.4">
      <c r="A485" s="12">
        <f t="shared" si="39"/>
        <v>482</v>
      </c>
      <c r="B485" s="64" t="s">
        <v>1089</v>
      </c>
      <c r="C485" s="54">
        <v>44730</v>
      </c>
      <c r="D485" s="54">
        <v>44730</v>
      </c>
      <c r="E485" s="46" t="s">
        <v>32</v>
      </c>
      <c r="F485" s="51" t="s">
        <v>1090</v>
      </c>
      <c r="G485" s="51" t="s">
        <v>433</v>
      </c>
      <c r="H485" s="51" t="s">
        <v>32</v>
      </c>
      <c r="I485" s="55" t="s">
        <v>1165</v>
      </c>
      <c r="J485" s="56">
        <v>1000</v>
      </c>
      <c r="K485" s="51" t="s">
        <v>935</v>
      </c>
      <c r="L485" s="58">
        <v>1100000</v>
      </c>
      <c r="M485" s="50">
        <f>ROUND('FA Addition'!$L485*5%,0.1)</f>
        <v>55000</v>
      </c>
      <c r="N485" s="113" t="str">
        <f>_xlfn.XLOOKUP(_xlfn.CONCAT(E485,B485),'Year Wise Master Dep Approach'!F:F,'Year Wise Master Dep Approach'!D:D)</f>
        <v>WDV</v>
      </c>
      <c r="O485" s="113">
        <f>_xlfn.XLOOKUP(_xlfn.CONCAT(E485,B485),'Year Wise Master Dep Approach'!F:F,'Year Wise Master Dep Approach'!E:E)</f>
        <v>3</v>
      </c>
      <c r="P485" s="114">
        <f>IFERROR(IF('FA Addition'!$N485="WDV",1-('FA Addition'!$M485/'FA Addition'!$L485)^(1/'FA Addition'!$O485),1/'FA Addition'!$O485),0)</f>
        <v>0.63159685013596123</v>
      </c>
      <c r="Q485" s="122">
        <f>'FA Addition'!$P485*'FA Addition'!$O485</f>
        <v>1.8947905504078837</v>
      </c>
      <c r="R485" s="122"/>
      <c r="S485" s="116">
        <f>IF(AND(DATE(20&amp;LEFT(FAAddition[[#This Row],[FY]],2),4,1)&lt;$L$1+1,DATE(20&amp;LEFT(FAAddition[[#This Row],[FY]],2),4,1)&gt;$P$1-1),'FA Addition'!$J485,0)</f>
        <v>0</v>
      </c>
      <c r="U485" s="117">
        <f>S485*'FA Addition'!$L485/'FA Addition'!$J485</f>
        <v>0</v>
      </c>
      <c r="W485" s="116">
        <f>SUMIFS('FA Write off'!D:D,'FA Write off'!A:A,'FA Addition'!$A485,'FA Write off'!C:C,"&lt;"&amp;'FA Addition'!$P$1)</f>
        <v>23</v>
      </c>
      <c r="Y485" s="191">
        <f>IFERROR(W485/'FA Addition'!$J485*'FA Addition'!$L485,0)</f>
        <v>25300</v>
      </c>
      <c r="AA485" s="116">
        <f>SUMIFS('FA Write off'!D:D,'FA Write off'!A:A,'FA Addition'!$A485,'FA Write off'!C:C,"&lt;"&amp;'FA Addition'!$L$1+1,'FA Write off'!C:C,"&gt;"&amp;'FA Addition'!$L$1-365)</f>
        <v>0</v>
      </c>
      <c r="AC485" s="191">
        <f>IFERROR(AA485/'FA Addition'!$J485*'FA Addition'!$L485,0)</f>
        <v>0</v>
      </c>
      <c r="AE485" s="117">
        <f>IF(AND('FA Addition'!$D485&lt;$P$1+1,U485=0),'FA Addition'!$L485,0)-Y485</f>
        <v>1074700</v>
      </c>
      <c r="AF485" s="117">
        <f t="shared" si="35"/>
        <v>1074700</v>
      </c>
      <c r="AG485" s="117">
        <f>MIN(MAX(+$P$1-'FA Addition'!$D485,0),365*'FA Addition'!$O485)</f>
        <v>287</v>
      </c>
      <c r="AH485" s="117">
        <f>MIN(MAX($L$1-'FA Addition'!$D485+1,0),365*'FA Addition'!$O485)</f>
        <v>653</v>
      </c>
      <c r="AI485" s="117" cm="1">
        <f t="array" ref="AI485">_xlfn.XLOOKUP(1,('FA Write off'!A:A='FA Addition'!$A485)*('FA Write off'!D:D=AA485),'FA Write off'!H:H,0,0)</f>
        <v>0</v>
      </c>
      <c r="AJ485" s="117">
        <f>IF(AC485&gt;0,MAX(IF('FA Addition'!$N485="SLM",($AC485-'FA Addition'!$M485)*'FA Addition'!$P485*AI485/365,(AC485-'FA Addition'!$M485)*(1-(1-'FA Addition'!$P485)^(AI485/365))),0),0)</f>
        <v>0</v>
      </c>
      <c r="AL485" s="117">
        <f>MAX(IF(AG485&gt;0,IF('FA Addition'!$N485="SLM",($AE485-'FA Addition'!$M485)*'FA Addition'!$P485*AG485/365,IFERROR(VDB(AE485,AE485*0.05,'FA Addition'!$O485,0,YEARFRAC('FA Addition'!$C485,$P$1-1,3),'FA Addition'!$Q485),FAAddition[[#This Row],[Original Cost (Rs)]]-FAAddition[[#This Row],[Salvage Value]])),0),0)</f>
        <v>531863.72757413599</v>
      </c>
      <c r="AM485" s="119"/>
      <c r="AN485" s="117">
        <f>MAX(IF(AH485&gt;0,IF('FA Addition'!$N485="SLM",($AF485-'FA Addition'!$M485)*'FA Addition'!$P485*AH485/365,IFERROR(VDB(AF485,AF485*0.05,'FA Addition'!$O485,0,YEARFRAC('FA Addition'!$C485,$L$1,3),'FA Addition'!$Q485),FAAddition[[#This Row],[Original Cost (Rs)]]-FAAddition[[#This Row],[Salvage Value]])),0),0)</f>
        <v>875402.51322588883</v>
      </c>
      <c r="AO485" s="117">
        <f t="shared" si="38"/>
        <v>343538.78565175284</v>
      </c>
      <c r="AP485" s="206"/>
      <c r="AQ485" s="117">
        <f t="shared" si="36"/>
        <v>542836.27242586401</v>
      </c>
      <c r="AR485" s="120">
        <f t="shared" si="37"/>
        <v>199297.48677411117</v>
      </c>
      <c r="AS485" s="121"/>
    </row>
    <row r="486" spans="1:45" ht="13.5" x14ac:dyDescent="0.4">
      <c r="A486" s="12">
        <f t="shared" si="39"/>
        <v>483</v>
      </c>
      <c r="B486" s="64" t="s">
        <v>1089</v>
      </c>
      <c r="C486" s="54">
        <v>44731</v>
      </c>
      <c r="D486" s="54">
        <v>44731</v>
      </c>
      <c r="E486" s="46" t="s">
        <v>451</v>
      </c>
      <c r="F486" s="51" t="s">
        <v>1133</v>
      </c>
      <c r="G486" s="51" t="s">
        <v>1166</v>
      </c>
      <c r="H486" s="51" t="s">
        <v>21</v>
      </c>
      <c r="I486" s="55" t="s">
        <v>1167</v>
      </c>
      <c r="J486" s="56">
        <v>1</v>
      </c>
      <c r="K486" s="51" t="s">
        <v>1168</v>
      </c>
      <c r="L486" s="58">
        <v>50839</v>
      </c>
      <c r="M486" s="50">
        <f>ROUND('FA Addition'!$L486*5%,0.1)</f>
        <v>2542</v>
      </c>
      <c r="N486" s="113" t="str">
        <f>_xlfn.XLOOKUP(_xlfn.CONCAT(E486,B486),'Year Wise Master Dep Approach'!F:F,'Year Wise Master Dep Approach'!D:D)</f>
        <v>WDV</v>
      </c>
      <c r="O486" s="113">
        <f>_xlfn.XLOOKUP(_xlfn.CONCAT(E486,B486),'Year Wise Master Dep Approach'!F:F,'Year Wise Master Dep Approach'!E:E)</f>
        <v>3</v>
      </c>
      <c r="P486" s="114">
        <f>IFERROR(IF('FA Addition'!$N486="WDV",1-('FA Addition'!$M486/'FA Addition'!$L486)^(1/'FA Addition'!$O486),1/'FA Addition'!$O486),0)</f>
        <v>0.63159443466270648</v>
      </c>
      <c r="Q486" s="122">
        <f>'FA Addition'!$P486*'FA Addition'!$O486</f>
        <v>1.8947833039881194</v>
      </c>
      <c r="R486" s="122"/>
      <c r="S486" s="116">
        <f>IF(AND(DATE(20&amp;LEFT(FAAddition[[#This Row],[FY]],2),4,1)&lt;$L$1+1,DATE(20&amp;LEFT(FAAddition[[#This Row],[FY]],2),4,1)&gt;$P$1-1),'FA Addition'!$J486,0)</f>
        <v>0</v>
      </c>
      <c r="U486" s="117">
        <f>S486*'FA Addition'!$L486/'FA Addition'!$J486</f>
        <v>0</v>
      </c>
      <c r="W486" s="116">
        <f>SUMIFS('FA Write off'!D:D,'FA Write off'!A:A,'FA Addition'!$A486,'FA Write off'!C:C,"&lt;"&amp;'FA Addition'!$P$1)</f>
        <v>0</v>
      </c>
      <c r="Y486" s="191">
        <f>IFERROR(W486/'FA Addition'!$J486*'FA Addition'!$L486,0)</f>
        <v>0</v>
      </c>
      <c r="AA486" s="116">
        <f>SUMIFS('FA Write off'!D:D,'FA Write off'!A:A,'FA Addition'!$A486,'FA Write off'!C:C,"&lt;"&amp;'FA Addition'!$L$1+1,'FA Write off'!C:C,"&gt;"&amp;'FA Addition'!$L$1-365)</f>
        <v>0</v>
      </c>
      <c r="AC486" s="118">
        <f>IFERROR(AA486/'FA Addition'!$J486*'FA Addition'!$L486,0)</f>
        <v>0</v>
      </c>
      <c r="AE486" s="117">
        <f>IF(AND('FA Addition'!$D486&lt;$P$1+1,U486=0),'FA Addition'!$L486,0)-Y486</f>
        <v>50839</v>
      </c>
      <c r="AF486" s="117">
        <f t="shared" si="35"/>
        <v>50839</v>
      </c>
      <c r="AG486" s="117">
        <f>MIN(MAX(+$P$1-'FA Addition'!$D486,0),365*'FA Addition'!$O486)</f>
        <v>286</v>
      </c>
      <c r="AH486" s="117">
        <f>MIN(MAX($L$1-'FA Addition'!$D486+1,0),365*'FA Addition'!$O486)</f>
        <v>652</v>
      </c>
      <c r="AI486" s="117" cm="1">
        <f t="array" ref="AI486">_xlfn.XLOOKUP(1,('FA Write off'!A:A='FA Addition'!$A486)*('FA Write off'!D:D=AA486),'FA Write off'!H:H,0,0)</f>
        <v>0</v>
      </c>
      <c r="AJ486" s="117">
        <f>IF(AC486&gt;0,MAX(IF('FA Addition'!$N486="SLM",($AC486-'FA Addition'!$M486)*'FA Addition'!$P486*AI486/365,(AC486-'FA Addition'!$M486)*(1-(1-'FA Addition'!$P486)^(AI486/365))),0),0)</f>
        <v>0</v>
      </c>
      <c r="AL486" s="117">
        <f>MAX(IF(AG486&gt;0,IF('FA Addition'!$N486="SLM",($AE486-'FA Addition'!$M486)*'FA Addition'!$P486*AG486/365,IFERROR(VDB(AE486,AE486*0.05,'FA Addition'!$O486,0,YEARFRAC('FA Addition'!$C486,$P$1-1,3),'FA Addition'!$Q486),FAAddition[[#This Row],[Original Cost (Rs)]]-FAAddition[[#This Row],[Salvage Value]])),0),0)</f>
        <v>25071.902458049153</v>
      </c>
      <c r="AM486" s="119"/>
      <c r="AN486" s="117">
        <f>MAX(IF(AH486&gt;0,IF('FA Addition'!$N486="SLM",($AF486-'FA Addition'!$M486)*'FA Addition'!$P486*AH486/365,IFERROR(VDB(AF486,AF486*0.05,'FA Addition'!$O486,0,YEARFRAC('FA Addition'!$C486,$L$1,3),'FA Addition'!$Q486),FAAddition[[#This Row],[Original Cost (Rs)]]-FAAddition[[#This Row],[Salvage Value]])),0),0)</f>
        <v>41378.667085409528</v>
      </c>
      <c r="AO486" s="117">
        <f t="shared" si="38"/>
        <v>16306.764627360375</v>
      </c>
      <c r="AP486" s="206"/>
      <c r="AQ486" s="117">
        <f t="shared" si="36"/>
        <v>25767.097541950847</v>
      </c>
      <c r="AR486" s="120">
        <f t="shared" si="37"/>
        <v>9460.3329145904718</v>
      </c>
      <c r="AS486" s="121"/>
    </row>
    <row r="487" spans="1:45" ht="13.5" x14ac:dyDescent="0.4">
      <c r="A487" s="12">
        <f t="shared" si="39"/>
        <v>484</v>
      </c>
      <c r="B487" s="64" t="s">
        <v>1089</v>
      </c>
      <c r="C487" s="54">
        <v>44735</v>
      </c>
      <c r="D487" s="54">
        <v>44735</v>
      </c>
      <c r="E487" s="46" t="s">
        <v>451</v>
      </c>
      <c r="F487" s="51" t="s">
        <v>1133</v>
      </c>
      <c r="G487" s="51" t="s">
        <v>1154</v>
      </c>
      <c r="H487" s="51" t="s">
        <v>21</v>
      </c>
      <c r="I487" s="55" t="s">
        <v>1169</v>
      </c>
      <c r="J487" s="56">
        <v>1</v>
      </c>
      <c r="K487" s="51" t="s">
        <v>1170</v>
      </c>
      <c r="L487" s="58">
        <v>50839</v>
      </c>
      <c r="M487" s="50">
        <f>ROUND('FA Addition'!$L487*5%,0.1)</f>
        <v>2542</v>
      </c>
      <c r="N487" s="113" t="str">
        <f>_xlfn.XLOOKUP(_xlfn.CONCAT(E487,B487),'Year Wise Master Dep Approach'!F:F,'Year Wise Master Dep Approach'!D:D)</f>
        <v>WDV</v>
      </c>
      <c r="O487" s="113">
        <f>_xlfn.XLOOKUP(_xlfn.CONCAT(E487,B487),'Year Wise Master Dep Approach'!F:F,'Year Wise Master Dep Approach'!E:E)</f>
        <v>3</v>
      </c>
      <c r="P487" s="114">
        <f>IFERROR(IF('FA Addition'!$N487="WDV",1-('FA Addition'!$M487/'FA Addition'!$L487)^(1/'FA Addition'!$O487),1/'FA Addition'!$O487),0)</f>
        <v>0.63159443466270648</v>
      </c>
      <c r="Q487" s="122">
        <f>'FA Addition'!$P487*'FA Addition'!$O487</f>
        <v>1.8947833039881194</v>
      </c>
      <c r="R487" s="122"/>
      <c r="S487" s="116">
        <f>IF(AND(DATE(20&amp;LEFT(FAAddition[[#This Row],[FY]],2),4,1)&lt;$L$1+1,DATE(20&amp;LEFT(FAAddition[[#This Row],[FY]],2),4,1)&gt;$P$1-1),'FA Addition'!$J487,0)</f>
        <v>0</v>
      </c>
      <c r="U487" s="117">
        <f>S487*'FA Addition'!$L487/'FA Addition'!$J487</f>
        <v>0</v>
      </c>
      <c r="W487" s="116">
        <f>SUMIFS('FA Write off'!D:D,'FA Write off'!A:A,'FA Addition'!$A487,'FA Write off'!C:C,"&lt;"&amp;'FA Addition'!$P$1)</f>
        <v>0</v>
      </c>
      <c r="Y487" s="191">
        <f>IFERROR(W487/'FA Addition'!$J487*'FA Addition'!$L487,0)</f>
        <v>0</v>
      </c>
      <c r="AA487" s="116">
        <f>SUMIFS('FA Write off'!D:D,'FA Write off'!A:A,'FA Addition'!$A487,'FA Write off'!C:C,"&lt;"&amp;'FA Addition'!$L$1+1,'FA Write off'!C:C,"&gt;"&amp;'FA Addition'!$L$1-365)</f>
        <v>0</v>
      </c>
      <c r="AC487" s="118">
        <f>IFERROR(AA487/'FA Addition'!$J487*'FA Addition'!$L487,0)</f>
        <v>0</v>
      </c>
      <c r="AE487" s="117">
        <f>IF(AND('FA Addition'!$D487&lt;$P$1+1,U487=0),'FA Addition'!$L487,0)-Y487</f>
        <v>50839</v>
      </c>
      <c r="AF487" s="117">
        <f t="shared" si="35"/>
        <v>50839</v>
      </c>
      <c r="AG487" s="117">
        <f>MIN(MAX(+$P$1-'FA Addition'!$D487,0),365*'FA Addition'!$O487)</f>
        <v>282</v>
      </c>
      <c r="AH487" s="117">
        <f>MIN(MAX($L$1-'FA Addition'!$D487+1,0),365*'FA Addition'!$O487)</f>
        <v>648</v>
      </c>
      <c r="AI487" s="117" cm="1">
        <f t="array" ref="AI487">_xlfn.XLOOKUP(1,('FA Write off'!A:A='FA Addition'!$A487)*('FA Write off'!D:D=AA487),'FA Write off'!H:H,0,0)</f>
        <v>0</v>
      </c>
      <c r="AJ487" s="117">
        <f>IF(AC487&gt;0,MAX(IF('FA Addition'!$N487="SLM",($AC487-'FA Addition'!$M487)*'FA Addition'!$P487*AI487/365,(AC487-'FA Addition'!$M487)*(1-(1-'FA Addition'!$P487)^(AI487/365))),0),0)</f>
        <v>0</v>
      </c>
      <c r="AL487" s="117">
        <f>MAX(IF(AG487&gt;0,IF('FA Addition'!$N487="SLM",($AE487-'FA Addition'!$M487)*'FA Addition'!$P487*AG487/365,IFERROR(VDB(AE487,AE487*0.05,'FA Addition'!$O487,0,YEARFRAC('FA Addition'!$C487,$P$1-1,3),'FA Addition'!$Q487),FAAddition[[#This Row],[Original Cost (Rs)]]-FAAddition[[#This Row],[Salvage Value]])),0),0)</f>
        <v>24720.016107760741</v>
      </c>
      <c r="AM487" s="119"/>
      <c r="AN487" s="117">
        <f>MAX(IF(AH487&gt;0,IF('FA Addition'!$N487="SLM",($AF487-'FA Addition'!$M487)*'FA Addition'!$P487*AH487/365,IFERROR(VDB(AF487,AF487*0.05,'FA Addition'!$O487,0,YEARFRAC('FA Addition'!$C487,$L$1,3),'FA Addition'!$Q487),FAAddition[[#This Row],[Original Cost (Rs)]]-FAAddition[[#This Row],[Salvage Value]])),0),0)</f>
        <v>41249.03019559705</v>
      </c>
      <c r="AO487" s="117">
        <f t="shared" si="38"/>
        <v>16529.014087836309</v>
      </c>
      <c r="AP487" s="206"/>
      <c r="AQ487" s="117">
        <f t="shared" si="36"/>
        <v>26118.983892239259</v>
      </c>
      <c r="AR487" s="120">
        <f t="shared" si="37"/>
        <v>9589.9698044029501</v>
      </c>
      <c r="AS487" s="121"/>
    </row>
    <row r="488" spans="1:45" ht="13.5" x14ac:dyDescent="0.4">
      <c r="A488" s="12">
        <f t="shared" si="39"/>
        <v>485</v>
      </c>
      <c r="B488" s="64" t="s">
        <v>1089</v>
      </c>
      <c r="C488" s="54">
        <v>44735</v>
      </c>
      <c r="D488" s="54">
        <v>44735</v>
      </c>
      <c r="E488" s="46" t="s">
        <v>32</v>
      </c>
      <c r="F488" s="51" t="s">
        <v>1090</v>
      </c>
      <c r="G488" s="51" t="s">
        <v>433</v>
      </c>
      <c r="H488" s="51" t="s">
        <v>32</v>
      </c>
      <c r="I488" s="55" t="s">
        <v>1171</v>
      </c>
      <c r="J488" s="56">
        <v>1300</v>
      </c>
      <c r="K488" s="51" t="s">
        <v>935</v>
      </c>
      <c r="L488" s="58">
        <v>1430000</v>
      </c>
      <c r="M488" s="50">
        <f>ROUND('FA Addition'!$L488*5%,0.1)</f>
        <v>71500</v>
      </c>
      <c r="N488" s="113" t="str">
        <f>_xlfn.XLOOKUP(_xlfn.CONCAT(E488,B488),'Year Wise Master Dep Approach'!F:F,'Year Wise Master Dep Approach'!D:D)</f>
        <v>WDV</v>
      </c>
      <c r="O488" s="113">
        <f>_xlfn.XLOOKUP(_xlfn.CONCAT(E488,B488),'Year Wise Master Dep Approach'!F:F,'Year Wise Master Dep Approach'!E:E)</f>
        <v>3</v>
      </c>
      <c r="P488" s="114">
        <f>IFERROR(IF('FA Addition'!$N488="WDV",1-('FA Addition'!$M488/'FA Addition'!$L488)^(1/'FA Addition'!$O488),1/'FA Addition'!$O488),0)</f>
        <v>0.63159685013596123</v>
      </c>
      <c r="Q488" s="122">
        <f>'FA Addition'!$P488*'FA Addition'!$O488</f>
        <v>1.8947905504078837</v>
      </c>
      <c r="R488" s="122"/>
      <c r="S488" s="116">
        <f>IF(AND(DATE(20&amp;LEFT(FAAddition[[#This Row],[FY]],2),4,1)&lt;$L$1+1,DATE(20&amp;LEFT(FAAddition[[#This Row],[FY]],2),4,1)&gt;$P$1-1),'FA Addition'!$J488,0)</f>
        <v>0</v>
      </c>
      <c r="U488" s="117">
        <f>S488*'FA Addition'!$L488/'FA Addition'!$J488</f>
        <v>0</v>
      </c>
      <c r="W488" s="116">
        <f>SUMIFS('FA Write off'!D:D,'FA Write off'!A:A,'FA Addition'!$A488,'FA Write off'!C:C,"&lt;"&amp;'FA Addition'!$P$1)</f>
        <v>28</v>
      </c>
      <c r="Y488" s="191">
        <f>IFERROR(W488/'FA Addition'!$J488*'FA Addition'!$L488,0)</f>
        <v>30800</v>
      </c>
      <c r="AA488" s="116">
        <f>SUMIFS('FA Write off'!D:D,'FA Write off'!A:A,'FA Addition'!$A488,'FA Write off'!C:C,"&lt;"&amp;'FA Addition'!$L$1+1,'FA Write off'!C:C,"&gt;"&amp;'FA Addition'!$L$1-365)</f>
        <v>377</v>
      </c>
      <c r="AC488" s="191">
        <f>IFERROR(AA488/'FA Addition'!$J488*'FA Addition'!$L488,0)</f>
        <v>414700</v>
      </c>
      <c r="AE488" s="117">
        <f>IF(AND('FA Addition'!$D488&lt;$P$1+1,U488=0),'FA Addition'!$L488,0)-Y488</f>
        <v>1399200</v>
      </c>
      <c r="AF488" s="117">
        <f t="shared" si="35"/>
        <v>984500</v>
      </c>
      <c r="AG488" s="117">
        <f>MIN(MAX(+$P$1-'FA Addition'!$D488,0),365*'FA Addition'!$O488)</f>
        <v>282</v>
      </c>
      <c r="AH488" s="117">
        <f>MIN(MAX($L$1-'FA Addition'!$D488+1,0),365*'FA Addition'!$O488)</f>
        <v>648</v>
      </c>
      <c r="AI488" s="117" cm="1">
        <f t="array" ref="AI488">_xlfn.XLOOKUP(1,('FA Write off'!A:A='FA Addition'!$A488)*('FA Write off'!D:D=AA488),'FA Write off'!H:H,0,0)</f>
        <v>648</v>
      </c>
      <c r="AJ488" s="117">
        <f>IF(AC488&gt;0,MAX(IF('FA Addition'!$N488="SLM",($AC488-'FA Addition'!$M488)*'FA Addition'!$P488*AI488/365,(AC488-'FA Addition'!$M488)*(1-(1-'FA Addition'!$P488)^(AI488/365))),0),0)</f>
        <v>284906.15806886001</v>
      </c>
      <c r="AL488" s="117">
        <f>MAX(IF(AG488&gt;0,IF('FA Addition'!$N488="SLM",($AE488-'FA Addition'!$M488)*'FA Addition'!$P488*AG488/365,IFERROR(VDB(AE488,AE488*0.05,'FA Addition'!$O488,0,YEARFRAC('FA Addition'!$C488,$P$1-1,3),'FA Addition'!$Q488),FAAddition[[#This Row],[Original Cost (Rs)]]-FAAddition[[#This Row],[Salvage Value]])),0),0)</f>
        <v>680351.28183993581</v>
      </c>
      <c r="AM488" s="119"/>
      <c r="AN488" s="117">
        <f>MAX(IF(AH488&gt;0,IF('FA Addition'!$N488="SLM",($AF488-'FA Addition'!$M488)*'FA Addition'!$P488*AH488/365,IFERROR(VDB(AF488,AF488*0.05,'FA Addition'!$O488,0,YEARFRAC('FA Addition'!$C488,$L$1,3),'FA Addition'!$Q488),FAAddition[[#This Row],[Original Cost (Rs)]]-FAAddition[[#This Row],[Salvage Value]])),0),0)</f>
        <v>798791.60764302325</v>
      </c>
      <c r="AO488" s="117">
        <f t="shared" si="38"/>
        <v>403346.48387194745</v>
      </c>
      <c r="AP488" s="206"/>
      <c r="AQ488" s="117">
        <f t="shared" si="36"/>
        <v>718848.71816006419</v>
      </c>
      <c r="AR488" s="120">
        <f t="shared" si="37"/>
        <v>185708.39235697675</v>
      </c>
      <c r="AS488" s="121"/>
    </row>
    <row r="489" spans="1:45" ht="13.5" x14ac:dyDescent="0.4">
      <c r="A489" s="12">
        <f t="shared" si="39"/>
        <v>486</v>
      </c>
      <c r="B489" s="64" t="s">
        <v>1089</v>
      </c>
      <c r="C489" s="54">
        <v>44735</v>
      </c>
      <c r="D489" s="54">
        <v>44735</v>
      </c>
      <c r="E489" s="46" t="s">
        <v>1389</v>
      </c>
      <c r="F489" s="51" t="s">
        <v>1112</v>
      </c>
      <c r="G489" s="51" t="s">
        <v>34</v>
      </c>
      <c r="H489" s="51" t="s">
        <v>1113</v>
      </c>
      <c r="I489" s="55" t="s">
        <v>1172</v>
      </c>
      <c r="J489" s="56">
        <v>300</v>
      </c>
      <c r="K489" s="51" t="s">
        <v>1173</v>
      </c>
      <c r="L489" s="58">
        <v>285000</v>
      </c>
      <c r="M489" s="50">
        <f>ROUND('FA Addition'!$L489*5%,0.1)</f>
        <v>14250</v>
      </c>
      <c r="N489" s="113" t="str">
        <f>_xlfn.XLOOKUP(_xlfn.CONCAT(E489,B489),'Year Wise Master Dep Approach'!F:F,'Year Wise Master Dep Approach'!D:D)</f>
        <v>SLM</v>
      </c>
      <c r="O489" s="113">
        <f>_xlfn.XLOOKUP(_xlfn.CONCAT(E489,B489),'Year Wise Master Dep Approach'!F:F,'Year Wise Master Dep Approach'!E:E)</f>
        <v>3</v>
      </c>
      <c r="P489" s="114">
        <f>IFERROR(IF('FA Addition'!$N489="WDV",1-('FA Addition'!$M489/'FA Addition'!$L489)^(1/'FA Addition'!$O489),1/'FA Addition'!$O489),0)</f>
        <v>0.33333333333333331</v>
      </c>
      <c r="Q489" s="122">
        <f>'FA Addition'!$P489*'FA Addition'!$O489</f>
        <v>1</v>
      </c>
      <c r="R489" s="122"/>
      <c r="S489" s="116">
        <f>IF(AND(DATE(20&amp;LEFT(FAAddition[[#This Row],[FY]],2),4,1)&lt;$L$1+1,DATE(20&amp;LEFT(FAAddition[[#This Row],[FY]],2),4,1)&gt;$P$1-1),'FA Addition'!$J489,0)</f>
        <v>0</v>
      </c>
      <c r="U489" s="117">
        <f>S489*'FA Addition'!$L489/'FA Addition'!$J489</f>
        <v>0</v>
      </c>
      <c r="W489" s="116">
        <f>SUMIFS('FA Write off'!D:D,'FA Write off'!A:A,'FA Addition'!$A489,'FA Write off'!C:C,"&lt;"&amp;'FA Addition'!$P$1)</f>
        <v>0</v>
      </c>
      <c r="Y489" s="191">
        <f>IFERROR(W489/'FA Addition'!$J489*'FA Addition'!$L489,0)</f>
        <v>0</v>
      </c>
      <c r="AA489" s="116">
        <f>SUMIFS('FA Write off'!D:D,'FA Write off'!A:A,'FA Addition'!$A489,'FA Write off'!C:C,"&lt;"&amp;'FA Addition'!$L$1+1,'FA Write off'!C:C,"&gt;"&amp;'FA Addition'!$L$1-365)</f>
        <v>300</v>
      </c>
      <c r="AC489" s="117">
        <f>IFERROR(AA489/'FA Addition'!$J489*'FA Addition'!$L489,0)</f>
        <v>285000</v>
      </c>
      <c r="AE489" s="117">
        <f>IF(AND('FA Addition'!$D489&lt;$P$1+1,U489=0),'FA Addition'!$L489,0)-Y489</f>
        <v>285000</v>
      </c>
      <c r="AF489" s="117">
        <f t="shared" si="35"/>
        <v>0</v>
      </c>
      <c r="AG489" s="117">
        <f>MIN(MAX(+$P$1-'FA Addition'!$D489,0),365*'FA Addition'!$O489)</f>
        <v>282</v>
      </c>
      <c r="AH489" s="117">
        <f>MIN(MAX($L$1-'FA Addition'!$D489+1,0),365*'FA Addition'!$O489)</f>
        <v>648</v>
      </c>
      <c r="AI489" s="117" cm="1">
        <f t="array" ref="AI489">_xlfn.XLOOKUP(1,('FA Write off'!A:A='FA Addition'!$A489)*('FA Write off'!D:D=AA489),'FA Write off'!H:H,0,0)</f>
        <v>648</v>
      </c>
      <c r="AJ489" s="117">
        <f>IF(AC489&gt;0,MAX(IF('FA Addition'!$N489="SLM",($AC489-'FA Addition'!$M489)*'FA Addition'!$P489*AI489/365,(AC489-'FA Addition'!$M489)*(1-(1-'FA Addition'!$P489)^(AI489/365))),0),0)</f>
        <v>160224.65753424657</v>
      </c>
      <c r="AL489" s="117">
        <f>MAX(IF(AG489&gt;0,IF('FA Addition'!$N489="SLM",($AE489-'FA Addition'!$M489)*'FA Addition'!$P489*AG489/365,IFERROR(VDB(AE489,AE489*0.05,'FA Addition'!$O489,0,YEARFRAC('FA Addition'!$C489,$P$1-1,3),'FA Addition'!$Q489),FAAddition[[#This Row],[Original Cost (Rs)]]-FAAddition[[#This Row],[Salvage Value]])),0),0)</f>
        <v>69727.397260273967</v>
      </c>
      <c r="AM489" s="119"/>
      <c r="AN489" s="117">
        <f>MAX(IF(AH489&gt;0,IF('FA Addition'!$N489="SLM",($AF489-'FA Addition'!$M489)*'FA Addition'!$P489*AH489/365,IFERROR(VDB(AF489,AF489*0.05,'FA Addition'!$O489,0,YEARFRAC('FA Addition'!$C489,$L$1,3),'FA Addition'!$Q489),FAAddition[[#This Row],[Original Cost (Rs)]]-FAAddition[[#This Row],[Salvage Value]])),0),0)</f>
        <v>0</v>
      </c>
      <c r="AO489" s="117">
        <f t="shared" si="38"/>
        <v>90497.260273972599</v>
      </c>
      <c r="AP489" s="206"/>
      <c r="AQ489" s="117">
        <f t="shared" si="36"/>
        <v>215272.60273972602</v>
      </c>
      <c r="AR489" s="120">
        <f t="shared" si="37"/>
        <v>0</v>
      </c>
      <c r="AS489" s="121"/>
    </row>
    <row r="490" spans="1:45" ht="13.5" x14ac:dyDescent="0.4">
      <c r="A490" s="12">
        <f t="shared" si="39"/>
        <v>487</v>
      </c>
      <c r="B490" s="64" t="s">
        <v>1089</v>
      </c>
      <c r="C490" s="54">
        <v>44736</v>
      </c>
      <c r="D490" s="54">
        <v>44736</v>
      </c>
      <c r="E490" s="46" t="s">
        <v>523</v>
      </c>
      <c r="F490" s="51" t="s">
        <v>523</v>
      </c>
      <c r="G490" s="51" t="s">
        <v>1174</v>
      </c>
      <c r="H490" s="51" t="s">
        <v>1175</v>
      </c>
      <c r="I490" s="55">
        <v>81</v>
      </c>
      <c r="J490" s="56">
        <v>7</v>
      </c>
      <c r="K490" s="51" t="s">
        <v>1175</v>
      </c>
      <c r="L490" s="58">
        <v>23800</v>
      </c>
      <c r="M490" s="50">
        <f>ROUND('FA Addition'!$L490*5%,0.1)</f>
        <v>1190</v>
      </c>
      <c r="N490" s="113" t="str">
        <f>_xlfn.XLOOKUP(_xlfn.CONCAT(E490,B490),'Year Wise Master Dep Approach'!F:F,'Year Wise Master Dep Approach'!D:D)</f>
        <v>WDV</v>
      </c>
      <c r="O490" s="113">
        <f>_xlfn.XLOOKUP(_xlfn.CONCAT(E490,B490),'Year Wise Master Dep Approach'!F:F,'Year Wise Master Dep Approach'!E:E)</f>
        <v>10</v>
      </c>
      <c r="P490" s="114">
        <f>IFERROR(IF('FA Addition'!$N490="WDV",1-('FA Addition'!$M490/'FA Addition'!$L490)^(1/'FA Addition'!$O490),1/'FA Addition'!$O490),0)</f>
        <v>0.2588655508930523</v>
      </c>
      <c r="Q490" s="122">
        <f>'FA Addition'!$P490*'FA Addition'!$O490</f>
        <v>2.5886555089305228</v>
      </c>
      <c r="R490" s="122"/>
      <c r="S490" s="116">
        <f>IF(AND(DATE(20&amp;LEFT(FAAddition[[#This Row],[FY]],2),4,1)&lt;$L$1+1,DATE(20&amp;LEFT(FAAddition[[#This Row],[FY]],2),4,1)&gt;$P$1-1),'FA Addition'!$J490,0)</f>
        <v>0</v>
      </c>
      <c r="U490" s="117">
        <f>S490*'FA Addition'!$L490/'FA Addition'!$J490</f>
        <v>0</v>
      </c>
      <c r="W490" s="116">
        <f>SUMIFS('FA Write off'!D:D,'FA Write off'!A:A,'FA Addition'!$A490,'FA Write off'!C:C,"&lt;"&amp;'FA Addition'!$P$1)</f>
        <v>0</v>
      </c>
      <c r="Y490" s="191">
        <f>IFERROR(W490/'FA Addition'!$J490*'FA Addition'!$L490,0)</f>
        <v>0</v>
      </c>
      <c r="AA490" s="116">
        <f>SUMIFS('FA Write off'!D:D,'FA Write off'!A:A,'FA Addition'!$A490,'FA Write off'!C:C,"&lt;"&amp;'FA Addition'!$L$1+1,'FA Write off'!C:C,"&gt;"&amp;'FA Addition'!$L$1-365)</f>
        <v>0</v>
      </c>
      <c r="AC490" s="118">
        <f>IFERROR(AA490/'FA Addition'!$J490*'FA Addition'!$L490,0)</f>
        <v>0</v>
      </c>
      <c r="AE490" s="117">
        <f>IF(AND('FA Addition'!$D490&lt;$P$1+1,U490=0),'FA Addition'!$L490,0)-Y490</f>
        <v>23800</v>
      </c>
      <c r="AF490" s="117">
        <f t="shared" si="35"/>
        <v>23800</v>
      </c>
      <c r="AG490" s="117">
        <f>MIN(MAX(+$P$1-'FA Addition'!$D490,0),365*'FA Addition'!$O490)</f>
        <v>281</v>
      </c>
      <c r="AH490" s="117">
        <f>MIN(MAX($L$1-'FA Addition'!$D490+1,0),365*'FA Addition'!$O490)</f>
        <v>647</v>
      </c>
      <c r="AI490" s="117" cm="1">
        <f t="array" ref="AI490">_xlfn.XLOOKUP(1,('FA Write off'!A:A='FA Addition'!$A490)*('FA Write off'!D:D=AA490),'FA Write off'!H:H,0,0)</f>
        <v>0</v>
      </c>
      <c r="AJ490" s="117">
        <f>IF(AC490&gt;0,MAX(IF('FA Addition'!$N490="SLM",($AC490-'FA Addition'!$M490)*'FA Addition'!$P490*AI490/365,(AC490-'FA Addition'!$M490)*(1-(1-'FA Addition'!$P490)^(AI490/365))),0),0)</f>
        <v>0</v>
      </c>
      <c r="AL490" s="117">
        <f>MAX(IF(AG490&gt;0,IF('FA Addition'!$N490="SLM",($AE490-'FA Addition'!$M490)*'FA Addition'!$P490*AG490/365,IFERROR(VDB(AE490,AE490*0.05,'FA Addition'!$O490,0,YEARFRAC('FA Addition'!$C490,$P$1-1,3),'FA Addition'!$Q490),FAAddition[[#This Row],[Original Cost (Rs)]]-FAAddition[[#This Row],[Salvage Value]])),0),0)</f>
        <v>4726.2466606884936</v>
      </c>
      <c r="AM490" s="119"/>
      <c r="AN490" s="117">
        <f>MAX(IF(AH490&gt;0,IF('FA Addition'!$N490="SLM",($AF490-'FA Addition'!$M490)*'FA Addition'!$P490*AH490/365,IFERROR(VDB(AF490,AF490*0.05,'FA Addition'!$O490,0,YEARFRAC('FA Addition'!$C490,$L$1,3),'FA Addition'!$Q490),FAAddition[[#This Row],[Original Cost (Rs)]]-FAAddition[[#This Row],[Salvage Value]])),0),0)</f>
        <v>9676.2942700933236</v>
      </c>
      <c r="AO490" s="117">
        <f t="shared" si="38"/>
        <v>4950.0476094048299</v>
      </c>
      <c r="AP490" s="206"/>
      <c r="AQ490" s="117">
        <f t="shared" si="36"/>
        <v>19073.753339311508</v>
      </c>
      <c r="AR490" s="120">
        <f t="shared" si="37"/>
        <v>14123.705729906676</v>
      </c>
      <c r="AS490" s="121"/>
    </row>
    <row r="491" spans="1:45" ht="13.5" x14ac:dyDescent="0.4">
      <c r="A491" s="12">
        <f t="shared" si="39"/>
        <v>488</v>
      </c>
      <c r="B491" s="64" t="s">
        <v>1089</v>
      </c>
      <c r="C491" s="54">
        <v>44736</v>
      </c>
      <c r="D491" s="54">
        <v>44736</v>
      </c>
      <c r="E491" s="46" t="s">
        <v>523</v>
      </c>
      <c r="F491" s="51" t="s">
        <v>523</v>
      </c>
      <c r="G491" s="51" t="s">
        <v>1174</v>
      </c>
      <c r="H491" s="51" t="s">
        <v>1175</v>
      </c>
      <c r="I491" s="55">
        <v>81</v>
      </c>
      <c r="J491" s="56">
        <v>4</v>
      </c>
      <c r="K491" s="51" t="s">
        <v>1175</v>
      </c>
      <c r="L491" s="58">
        <v>14800</v>
      </c>
      <c r="M491" s="50">
        <f>ROUND('FA Addition'!$L491*5%,0.1)</f>
        <v>740</v>
      </c>
      <c r="N491" s="113" t="str">
        <f>_xlfn.XLOOKUP(_xlfn.CONCAT(E491,B491),'Year Wise Master Dep Approach'!F:F,'Year Wise Master Dep Approach'!D:D)</f>
        <v>WDV</v>
      </c>
      <c r="O491" s="113">
        <f>_xlfn.XLOOKUP(_xlfn.CONCAT(E491,B491),'Year Wise Master Dep Approach'!F:F,'Year Wise Master Dep Approach'!E:E)</f>
        <v>10</v>
      </c>
      <c r="P491" s="114">
        <f>IFERROR(IF('FA Addition'!$N491="WDV",1-('FA Addition'!$M491/'FA Addition'!$L491)^(1/'FA Addition'!$O491),1/'FA Addition'!$O491),0)</f>
        <v>0.2588655508930523</v>
      </c>
      <c r="Q491" s="122">
        <f>'FA Addition'!$P491*'FA Addition'!$O491</f>
        <v>2.5886555089305228</v>
      </c>
      <c r="R491" s="122"/>
      <c r="S491" s="116">
        <f>IF(AND(DATE(20&amp;LEFT(FAAddition[[#This Row],[FY]],2),4,1)&lt;$L$1+1,DATE(20&amp;LEFT(FAAddition[[#This Row],[FY]],2),4,1)&gt;$P$1-1),'FA Addition'!$J491,0)</f>
        <v>0</v>
      </c>
      <c r="U491" s="117">
        <f>S491*'FA Addition'!$L491/'FA Addition'!$J491</f>
        <v>0</v>
      </c>
      <c r="W491" s="116">
        <f>SUMIFS('FA Write off'!D:D,'FA Write off'!A:A,'FA Addition'!$A491,'FA Write off'!C:C,"&lt;"&amp;'FA Addition'!$P$1)</f>
        <v>0</v>
      </c>
      <c r="Y491" s="191">
        <f>IFERROR(W491/'FA Addition'!$J491*'FA Addition'!$L491,0)</f>
        <v>0</v>
      </c>
      <c r="AA491" s="116">
        <f>SUMIFS('FA Write off'!D:D,'FA Write off'!A:A,'FA Addition'!$A491,'FA Write off'!C:C,"&lt;"&amp;'FA Addition'!$L$1+1,'FA Write off'!C:C,"&gt;"&amp;'FA Addition'!$L$1-365)</f>
        <v>0</v>
      </c>
      <c r="AC491" s="118">
        <f>IFERROR(AA491/'FA Addition'!$J491*'FA Addition'!$L491,0)</f>
        <v>0</v>
      </c>
      <c r="AE491" s="117">
        <f>IF(AND('FA Addition'!$D491&lt;$P$1+1,U491=0),'FA Addition'!$L491,0)-Y491</f>
        <v>14800</v>
      </c>
      <c r="AF491" s="117">
        <f t="shared" si="35"/>
        <v>14800</v>
      </c>
      <c r="AG491" s="117">
        <f>MIN(MAX(+$P$1-'FA Addition'!$D491,0),365*'FA Addition'!$O491)</f>
        <v>281</v>
      </c>
      <c r="AH491" s="117">
        <f>MIN(MAX($L$1-'FA Addition'!$D491+1,0),365*'FA Addition'!$O491)</f>
        <v>647</v>
      </c>
      <c r="AI491" s="117" cm="1">
        <f t="array" ref="AI491">_xlfn.XLOOKUP(1,('FA Write off'!A:A='FA Addition'!$A491)*('FA Write off'!D:D=AA491),'FA Write off'!H:H,0,0)</f>
        <v>0</v>
      </c>
      <c r="AJ491" s="117">
        <f>IF(AC491&gt;0,MAX(IF('FA Addition'!$N491="SLM",($AC491-'FA Addition'!$M491)*'FA Addition'!$P491*AI491/365,(AC491-'FA Addition'!$M491)*(1-(1-'FA Addition'!$P491)^(AI491/365))),0),0)</f>
        <v>0</v>
      </c>
      <c r="AL491" s="117">
        <f>MAX(IF(AG491&gt;0,IF('FA Addition'!$N491="SLM",($AE491-'FA Addition'!$M491)*'FA Addition'!$P491*AG491/365,IFERROR(VDB(AE491,AE491*0.05,'FA Addition'!$O491,0,YEARFRAC('FA Addition'!$C491,$P$1-1,3),'FA Addition'!$Q491),FAAddition[[#This Row],[Original Cost (Rs)]]-FAAddition[[#This Row],[Salvage Value]])),0),0)</f>
        <v>2939.0105284953661</v>
      </c>
      <c r="AM491" s="119"/>
      <c r="AN491" s="117">
        <f>MAX(IF(AH491&gt;0,IF('FA Addition'!$N491="SLM",($AF491-'FA Addition'!$M491)*'FA Addition'!$P491*AH491/365,IFERROR(VDB(AF491,AF491*0.05,'FA Addition'!$O491,0,YEARFRAC('FA Addition'!$C491,$L$1,3),'FA Addition'!$Q491),FAAddition[[#This Row],[Original Cost (Rs)]]-FAAddition[[#This Row],[Salvage Value]])),0),0)</f>
        <v>6017.1913948479496</v>
      </c>
      <c r="AO491" s="117">
        <f t="shared" si="38"/>
        <v>3078.1808663525835</v>
      </c>
      <c r="AP491" s="206"/>
      <c r="AQ491" s="117">
        <f t="shared" si="36"/>
        <v>11860.989471504634</v>
      </c>
      <c r="AR491" s="120">
        <f t="shared" si="37"/>
        <v>8782.8086051520513</v>
      </c>
      <c r="AS491" s="121"/>
    </row>
    <row r="492" spans="1:45" ht="13.5" x14ac:dyDescent="0.4">
      <c r="A492" s="12">
        <f t="shared" si="39"/>
        <v>489</v>
      </c>
      <c r="B492" s="64" t="s">
        <v>1089</v>
      </c>
      <c r="C492" s="54">
        <v>44736</v>
      </c>
      <c r="D492" s="54">
        <v>44736</v>
      </c>
      <c r="E492" s="46" t="s">
        <v>523</v>
      </c>
      <c r="F492" s="51" t="s">
        <v>523</v>
      </c>
      <c r="G492" s="51" t="s">
        <v>1174</v>
      </c>
      <c r="H492" s="51" t="s">
        <v>524</v>
      </c>
      <c r="I492" s="55">
        <v>81</v>
      </c>
      <c r="J492" s="56">
        <v>1</v>
      </c>
      <c r="K492" s="51" t="s">
        <v>1176</v>
      </c>
      <c r="L492" s="58">
        <v>58000</v>
      </c>
      <c r="M492" s="50">
        <f>ROUND('FA Addition'!$L492*5%,0.1)</f>
        <v>2900</v>
      </c>
      <c r="N492" s="113" t="str">
        <f>_xlfn.XLOOKUP(_xlfn.CONCAT(E492,B492),'Year Wise Master Dep Approach'!F:F,'Year Wise Master Dep Approach'!D:D)</f>
        <v>WDV</v>
      </c>
      <c r="O492" s="113">
        <f>_xlfn.XLOOKUP(_xlfn.CONCAT(E492,B492),'Year Wise Master Dep Approach'!F:F,'Year Wise Master Dep Approach'!E:E)</f>
        <v>10</v>
      </c>
      <c r="P492" s="114">
        <f>IFERROR(IF('FA Addition'!$N492="WDV",1-('FA Addition'!$M492/'FA Addition'!$L492)^(1/'FA Addition'!$O492),1/'FA Addition'!$O492),0)</f>
        <v>0.2588655508930523</v>
      </c>
      <c r="Q492" s="122">
        <f>'FA Addition'!$P492*'FA Addition'!$O492</f>
        <v>2.5886555089305228</v>
      </c>
      <c r="R492" s="122"/>
      <c r="S492" s="116">
        <f>IF(AND(DATE(20&amp;LEFT(FAAddition[[#This Row],[FY]],2),4,1)&lt;$L$1+1,DATE(20&amp;LEFT(FAAddition[[#This Row],[FY]],2),4,1)&gt;$P$1-1),'FA Addition'!$J492,0)</f>
        <v>0</v>
      </c>
      <c r="U492" s="117">
        <f>S492*'FA Addition'!$L492/'FA Addition'!$J492</f>
        <v>0</v>
      </c>
      <c r="W492" s="116">
        <f>SUMIFS('FA Write off'!D:D,'FA Write off'!A:A,'FA Addition'!$A492,'FA Write off'!C:C,"&lt;"&amp;'FA Addition'!$P$1)</f>
        <v>0</v>
      </c>
      <c r="Y492" s="191">
        <f>IFERROR(W492/'FA Addition'!$J492*'FA Addition'!$L492,0)</f>
        <v>0</v>
      </c>
      <c r="AA492" s="116">
        <f>SUMIFS('FA Write off'!D:D,'FA Write off'!A:A,'FA Addition'!$A492,'FA Write off'!C:C,"&lt;"&amp;'FA Addition'!$L$1+1,'FA Write off'!C:C,"&gt;"&amp;'FA Addition'!$L$1-365)</f>
        <v>0</v>
      </c>
      <c r="AC492" s="118">
        <f>IFERROR(AA492/'FA Addition'!$J492*'FA Addition'!$L492,0)</f>
        <v>0</v>
      </c>
      <c r="AE492" s="117">
        <f>IF(AND('FA Addition'!$D492&lt;$P$1+1,U492=0),'FA Addition'!$L492,0)-Y492</f>
        <v>58000</v>
      </c>
      <c r="AF492" s="117">
        <f t="shared" si="35"/>
        <v>58000</v>
      </c>
      <c r="AG492" s="117">
        <f>MIN(MAX(+$P$1-'FA Addition'!$D492,0),365*'FA Addition'!$O492)</f>
        <v>281</v>
      </c>
      <c r="AH492" s="117">
        <f>MIN(MAX($L$1-'FA Addition'!$D492+1,0),365*'FA Addition'!$O492)</f>
        <v>647</v>
      </c>
      <c r="AI492" s="117" cm="1">
        <f t="array" ref="AI492">_xlfn.XLOOKUP(1,('FA Write off'!A:A='FA Addition'!$A492)*('FA Write off'!D:D=AA492),'FA Write off'!H:H,0,0)</f>
        <v>0</v>
      </c>
      <c r="AJ492" s="117">
        <f>IF(AC492&gt;0,MAX(IF('FA Addition'!$N492="SLM",($AC492-'FA Addition'!$M492)*'FA Addition'!$P492*AI492/365,(AC492-'FA Addition'!$M492)*(1-(1-'FA Addition'!$P492)^(AI492/365))),0),0)</f>
        <v>0</v>
      </c>
      <c r="AL492" s="117">
        <f>MAX(IF(AG492&gt;0,IF('FA Addition'!$N492="SLM",($AE492-'FA Addition'!$M492)*'FA Addition'!$P492*AG492/365,IFERROR(VDB(AE492,AE492*0.05,'FA Addition'!$O492,0,YEARFRAC('FA Addition'!$C492,$P$1-1,3),'FA Addition'!$Q492),FAAddition[[#This Row],[Original Cost (Rs)]]-FAAddition[[#This Row],[Salvage Value]])),0),0)</f>
        <v>11517.743963022382</v>
      </c>
      <c r="AM492" s="119"/>
      <c r="AN492" s="117">
        <f>MAX(IF(AH492&gt;0,IF('FA Addition'!$N492="SLM",($AF492-'FA Addition'!$M492)*'FA Addition'!$P492*AH492/365,IFERROR(VDB(AF492,AF492*0.05,'FA Addition'!$O492,0,YEARFRAC('FA Addition'!$C492,$L$1,3),'FA Addition'!$Q492),FAAddition[[#This Row],[Original Cost (Rs)]]-FAAddition[[#This Row],[Salvage Value]])),0),0)</f>
        <v>23580.885196025745</v>
      </c>
      <c r="AO492" s="117">
        <f t="shared" si="38"/>
        <v>12063.141233003364</v>
      </c>
      <c r="AP492" s="206"/>
      <c r="AQ492" s="117">
        <f t="shared" si="36"/>
        <v>46482.256036977618</v>
      </c>
      <c r="AR492" s="120">
        <f t="shared" si="37"/>
        <v>34419.114803974255</v>
      </c>
      <c r="AS492" s="121"/>
    </row>
    <row r="493" spans="1:45" ht="13.5" x14ac:dyDescent="0.4">
      <c r="A493" s="12">
        <f t="shared" si="39"/>
        <v>490</v>
      </c>
      <c r="B493" s="64" t="s">
        <v>1089</v>
      </c>
      <c r="C493" s="54">
        <v>44736</v>
      </c>
      <c r="D493" s="54">
        <v>44736</v>
      </c>
      <c r="E493" s="46" t="s">
        <v>523</v>
      </c>
      <c r="F493" s="51" t="s">
        <v>523</v>
      </c>
      <c r="G493" s="51" t="s">
        <v>1174</v>
      </c>
      <c r="H493" s="51" t="s">
        <v>524</v>
      </c>
      <c r="I493" s="55">
        <v>81</v>
      </c>
      <c r="J493" s="56">
        <v>1</v>
      </c>
      <c r="K493" s="51" t="s">
        <v>1177</v>
      </c>
      <c r="L493" s="58">
        <v>23200</v>
      </c>
      <c r="M493" s="50">
        <f>ROUND('FA Addition'!$L493*5%,0.1)</f>
        <v>1160</v>
      </c>
      <c r="N493" s="113" t="str">
        <f>_xlfn.XLOOKUP(_xlfn.CONCAT(E493,B493),'Year Wise Master Dep Approach'!F:F,'Year Wise Master Dep Approach'!D:D)</f>
        <v>WDV</v>
      </c>
      <c r="O493" s="113">
        <f>_xlfn.XLOOKUP(_xlfn.CONCAT(E493,B493),'Year Wise Master Dep Approach'!F:F,'Year Wise Master Dep Approach'!E:E)</f>
        <v>10</v>
      </c>
      <c r="P493" s="114">
        <f>IFERROR(IF('FA Addition'!$N493="WDV",1-('FA Addition'!$M493/'FA Addition'!$L493)^(1/'FA Addition'!$O493),1/'FA Addition'!$O493),0)</f>
        <v>0.2588655508930523</v>
      </c>
      <c r="Q493" s="122">
        <f>'FA Addition'!$P493*'FA Addition'!$O493</f>
        <v>2.5886555089305228</v>
      </c>
      <c r="R493" s="122"/>
      <c r="S493" s="116">
        <f>IF(AND(DATE(20&amp;LEFT(FAAddition[[#This Row],[FY]],2),4,1)&lt;$L$1+1,DATE(20&amp;LEFT(FAAddition[[#This Row],[FY]],2),4,1)&gt;$P$1-1),'FA Addition'!$J493,0)</f>
        <v>0</v>
      </c>
      <c r="U493" s="117">
        <f>S493*'FA Addition'!$L493/'FA Addition'!$J493</f>
        <v>0</v>
      </c>
      <c r="W493" s="116">
        <f>SUMIFS('FA Write off'!D:D,'FA Write off'!A:A,'FA Addition'!$A493,'FA Write off'!C:C,"&lt;"&amp;'FA Addition'!$P$1)</f>
        <v>0</v>
      </c>
      <c r="Y493" s="191">
        <f>IFERROR(W493/'FA Addition'!$J493*'FA Addition'!$L493,0)</f>
        <v>0</v>
      </c>
      <c r="AA493" s="116">
        <f>SUMIFS('FA Write off'!D:D,'FA Write off'!A:A,'FA Addition'!$A493,'FA Write off'!C:C,"&lt;"&amp;'FA Addition'!$L$1+1,'FA Write off'!C:C,"&gt;"&amp;'FA Addition'!$L$1-365)</f>
        <v>0</v>
      </c>
      <c r="AC493" s="118">
        <f>IFERROR(AA493/'FA Addition'!$J493*'FA Addition'!$L493,0)</f>
        <v>0</v>
      </c>
      <c r="AE493" s="117">
        <f>IF(AND('FA Addition'!$D493&lt;$P$1+1,U493=0),'FA Addition'!$L493,0)-Y493</f>
        <v>23200</v>
      </c>
      <c r="AF493" s="117">
        <f t="shared" si="35"/>
        <v>23200</v>
      </c>
      <c r="AG493" s="117">
        <f>MIN(MAX(+$P$1-'FA Addition'!$D493,0),365*'FA Addition'!$O493)</f>
        <v>281</v>
      </c>
      <c r="AH493" s="117">
        <f>MIN(MAX($L$1-'FA Addition'!$D493+1,0),365*'FA Addition'!$O493)</f>
        <v>647</v>
      </c>
      <c r="AI493" s="117" cm="1">
        <f t="array" ref="AI493">_xlfn.XLOOKUP(1,('FA Write off'!A:A='FA Addition'!$A493)*('FA Write off'!D:D=AA493),'FA Write off'!H:H,0,0)</f>
        <v>0</v>
      </c>
      <c r="AJ493" s="117">
        <f>IF(AC493&gt;0,MAX(IF('FA Addition'!$N493="SLM",($AC493-'FA Addition'!$M493)*'FA Addition'!$P493*AI493/365,(AC493-'FA Addition'!$M493)*(1-(1-'FA Addition'!$P493)^(AI493/365))),0),0)</f>
        <v>0</v>
      </c>
      <c r="AL493" s="117">
        <f>MAX(IF(AG493&gt;0,IF('FA Addition'!$N493="SLM",($AE493-'FA Addition'!$M493)*'FA Addition'!$P493*AG493/365,IFERROR(VDB(AE493,AE493*0.05,'FA Addition'!$O493,0,YEARFRAC('FA Addition'!$C493,$P$1-1,3),'FA Addition'!$Q493),FAAddition[[#This Row],[Original Cost (Rs)]]-FAAddition[[#This Row],[Salvage Value]])),0),0)</f>
        <v>4607.0975852089523</v>
      </c>
      <c r="AM493" s="119"/>
      <c r="AN493" s="117">
        <f>MAX(IF(AH493&gt;0,IF('FA Addition'!$N493="SLM",($AF493-'FA Addition'!$M493)*'FA Addition'!$P493*AH493/365,IFERROR(VDB(AF493,AF493*0.05,'FA Addition'!$O493,0,YEARFRAC('FA Addition'!$C493,$L$1,3),'FA Addition'!$Q493),FAAddition[[#This Row],[Original Cost (Rs)]]-FAAddition[[#This Row],[Salvage Value]])),0),0)</f>
        <v>9432.3540784102988</v>
      </c>
      <c r="AO493" s="117">
        <f t="shared" si="38"/>
        <v>4825.2564932013465</v>
      </c>
      <c r="AP493" s="206"/>
      <c r="AQ493" s="117">
        <f t="shared" si="36"/>
        <v>18592.902414791046</v>
      </c>
      <c r="AR493" s="120">
        <f t="shared" si="37"/>
        <v>13767.645921589701</v>
      </c>
      <c r="AS493" s="121"/>
    </row>
    <row r="494" spans="1:45" ht="13.5" x14ac:dyDescent="0.4">
      <c r="A494" s="12">
        <f t="shared" si="39"/>
        <v>491</v>
      </c>
      <c r="B494" s="64" t="s">
        <v>1089</v>
      </c>
      <c r="C494" s="54">
        <v>44736</v>
      </c>
      <c r="D494" s="54">
        <v>44736</v>
      </c>
      <c r="E494" s="46" t="s">
        <v>523</v>
      </c>
      <c r="F494" s="51" t="s">
        <v>523</v>
      </c>
      <c r="G494" s="51" t="s">
        <v>1174</v>
      </c>
      <c r="H494" s="51" t="s">
        <v>524</v>
      </c>
      <c r="I494" s="55">
        <v>81</v>
      </c>
      <c r="J494" s="56">
        <v>1</v>
      </c>
      <c r="K494" s="51" t="s">
        <v>1178</v>
      </c>
      <c r="L494" s="58">
        <v>41500</v>
      </c>
      <c r="M494" s="50">
        <f>ROUND('FA Addition'!$L494*5%,0.1)</f>
        <v>2075</v>
      </c>
      <c r="N494" s="113" t="str">
        <f>_xlfn.XLOOKUP(_xlfn.CONCAT(E494,B494),'Year Wise Master Dep Approach'!F:F,'Year Wise Master Dep Approach'!D:D)</f>
        <v>WDV</v>
      </c>
      <c r="O494" s="113">
        <f>_xlfn.XLOOKUP(_xlfn.CONCAT(E494,B494),'Year Wise Master Dep Approach'!F:F,'Year Wise Master Dep Approach'!E:E)</f>
        <v>10</v>
      </c>
      <c r="P494" s="114">
        <f>IFERROR(IF('FA Addition'!$N494="WDV",1-('FA Addition'!$M494/'FA Addition'!$L494)^(1/'FA Addition'!$O494),1/'FA Addition'!$O494),0)</f>
        <v>0.2588655508930523</v>
      </c>
      <c r="Q494" s="122">
        <f>'FA Addition'!$P494*'FA Addition'!$O494</f>
        <v>2.5886555089305228</v>
      </c>
      <c r="R494" s="122"/>
      <c r="S494" s="116">
        <f>IF(AND(DATE(20&amp;LEFT(FAAddition[[#This Row],[FY]],2),4,1)&lt;$L$1+1,DATE(20&amp;LEFT(FAAddition[[#This Row],[FY]],2),4,1)&gt;$P$1-1),'FA Addition'!$J494,0)</f>
        <v>0</v>
      </c>
      <c r="U494" s="117">
        <f>S494*'FA Addition'!$L494/'FA Addition'!$J494</f>
        <v>0</v>
      </c>
      <c r="W494" s="116">
        <f>SUMIFS('FA Write off'!D:D,'FA Write off'!A:A,'FA Addition'!$A494,'FA Write off'!C:C,"&lt;"&amp;'FA Addition'!$P$1)</f>
        <v>0</v>
      </c>
      <c r="Y494" s="191">
        <f>IFERROR(W494/'FA Addition'!$J494*'FA Addition'!$L494,0)</f>
        <v>0</v>
      </c>
      <c r="AA494" s="116">
        <f>SUMIFS('FA Write off'!D:D,'FA Write off'!A:A,'FA Addition'!$A494,'FA Write off'!C:C,"&lt;"&amp;'FA Addition'!$L$1+1,'FA Write off'!C:C,"&gt;"&amp;'FA Addition'!$L$1-365)</f>
        <v>0</v>
      </c>
      <c r="AC494" s="118">
        <f>IFERROR(AA494/'FA Addition'!$J494*'FA Addition'!$L494,0)</f>
        <v>0</v>
      </c>
      <c r="AE494" s="117">
        <f>IF(AND('FA Addition'!$D494&lt;$P$1+1,U494=0),'FA Addition'!$L494,0)-Y494</f>
        <v>41500</v>
      </c>
      <c r="AF494" s="117">
        <f t="shared" si="35"/>
        <v>41500</v>
      </c>
      <c r="AG494" s="117">
        <f>MIN(MAX(+$P$1-'FA Addition'!$D494,0),365*'FA Addition'!$O494)</f>
        <v>281</v>
      </c>
      <c r="AH494" s="117">
        <f>MIN(MAX($L$1-'FA Addition'!$D494+1,0),365*'FA Addition'!$O494)</f>
        <v>647</v>
      </c>
      <c r="AI494" s="117" cm="1">
        <f t="array" ref="AI494">_xlfn.XLOOKUP(1,('FA Write off'!A:A='FA Addition'!$A494)*('FA Write off'!D:D=AA494),'FA Write off'!H:H,0,0)</f>
        <v>0</v>
      </c>
      <c r="AJ494" s="117">
        <f>IF(AC494&gt;0,MAX(IF('FA Addition'!$N494="SLM",($AC494-'FA Addition'!$M494)*'FA Addition'!$P494*AI494/365,(AC494-'FA Addition'!$M494)*(1-(1-'FA Addition'!$P494)^(AI494/365))),0),0)</f>
        <v>0</v>
      </c>
      <c r="AL494" s="117">
        <f>MAX(IF(AG494&gt;0,IF('FA Addition'!$N494="SLM",($AE494-'FA Addition'!$M494)*'FA Addition'!$P494*AG494/365,IFERROR(VDB(AE494,AE494*0.05,'FA Addition'!$O494,0,YEARFRAC('FA Addition'!$C494,$P$1-1,3),'FA Addition'!$Q494),FAAddition[[#This Row],[Original Cost (Rs)]]-FAAddition[[#This Row],[Salvage Value]])),0),0)</f>
        <v>8241.1443873349799</v>
      </c>
      <c r="AM494" s="119"/>
      <c r="AN494" s="117">
        <f>MAX(IF(AH494&gt;0,IF('FA Addition'!$N494="SLM",($AF494-'FA Addition'!$M494)*'FA Addition'!$P494*AH494/365,IFERROR(VDB(AF494,AF494*0.05,'FA Addition'!$O494,0,YEARFRAC('FA Addition'!$C494,$L$1,3),'FA Addition'!$Q494),FAAddition[[#This Row],[Original Cost (Rs)]]-FAAddition[[#This Row],[Salvage Value]])),0),0)</f>
        <v>16872.529924742561</v>
      </c>
      <c r="AO494" s="117">
        <f t="shared" si="38"/>
        <v>8631.3855374075811</v>
      </c>
      <c r="AP494" s="206"/>
      <c r="AQ494" s="117">
        <f t="shared" si="36"/>
        <v>33258.855612665022</v>
      </c>
      <c r="AR494" s="120">
        <f t="shared" si="37"/>
        <v>24627.470075257439</v>
      </c>
      <c r="AS494" s="121"/>
    </row>
    <row r="495" spans="1:45" ht="13.5" x14ac:dyDescent="0.4">
      <c r="A495" s="12">
        <f t="shared" si="39"/>
        <v>492</v>
      </c>
      <c r="B495" s="64" t="s">
        <v>1089</v>
      </c>
      <c r="C495" s="54">
        <v>44737</v>
      </c>
      <c r="D495" s="54">
        <v>44737</v>
      </c>
      <c r="E495" s="46" t="s">
        <v>1389</v>
      </c>
      <c r="F495" s="51" t="s">
        <v>1112</v>
      </c>
      <c r="G495" s="51" t="s">
        <v>36</v>
      </c>
      <c r="H495" s="51" t="s">
        <v>1113</v>
      </c>
      <c r="I495" s="55" t="s">
        <v>1179</v>
      </c>
      <c r="J495" s="56">
        <v>1200</v>
      </c>
      <c r="K495" s="51" t="s">
        <v>1180</v>
      </c>
      <c r="L495" s="58">
        <v>846000</v>
      </c>
      <c r="M495" s="50">
        <f>ROUND('FA Addition'!$L495*5%,0.1)</f>
        <v>42300</v>
      </c>
      <c r="N495" s="113" t="str">
        <f>_xlfn.XLOOKUP(_xlfn.CONCAT(E495,B495),'Year Wise Master Dep Approach'!F:F,'Year Wise Master Dep Approach'!D:D)</f>
        <v>SLM</v>
      </c>
      <c r="O495" s="113">
        <f>_xlfn.XLOOKUP(_xlfn.CONCAT(E495,B495),'Year Wise Master Dep Approach'!F:F,'Year Wise Master Dep Approach'!E:E)</f>
        <v>3</v>
      </c>
      <c r="P495" s="114">
        <f>IFERROR(IF('FA Addition'!$N495="WDV",1-('FA Addition'!$M495/'FA Addition'!$L495)^(1/'FA Addition'!$O495),1/'FA Addition'!$O495),0)</f>
        <v>0.33333333333333331</v>
      </c>
      <c r="Q495" s="122">
        <f>'FA Addition'!$P495*'FA Addition'!$O495</f>
        <v>1</v>
      </c>
      <c r="R495" s="122"/>
      <c r="S495" s="116">
        <f>IF(AND(DATE(20&amp;LEFT(FAAddition[[#This Row],[FY]],2),4,1)&lt;$L$1+1,DATE(20&amp;LEFT(FAAddition[[#This Row],[FY]],2),4,1)&gt;$P$1-1),'FA Addition'!$J495,0)</f>
        <v>0</v>
      </c>
      <c r="U495" s="117">
        <f>S495*'FA Addition'!$L495/'FA Addition'!$J495</f>
        <v>0</v>
      </c>
      <c r="W495" s="116">
        <f>SUMIFS('FA Write off'!D:D,'FA Write off'!A:A,'FA Addition'!$A495,'FA Write off'!C:C,"&lt;"&amp;'FA Addition'!$P$1)</f>
        <v>0</v>
      </c>
      <c r="Y495" s="191">
        <f>IFERROR(W495/'FA Addition'!$J495*'FA Addition'!$L495,0)</f>
        <v>0</v>
      </c>
      <c r="AA495" s="116">
        <f>SUMIFS('FA Write off'!D:D,'FA Write off'!A:A,'FA Addition'!$A495,'FA Write off'!C:C,"&lt;"&amp;'FA Addition'!$L$1+1,'FA Write off'!C:C,"&gt;"&amp;'FA Addition'!$L$1-365)</f>
        <v>1200</v>
      </c>
      <c r="AC495" s="117">
        <f>IFERROR(AA495/'FA Addition'!$J495*'FA Addition'!$L495,0)</f>
        <v>846000</v>
      </c>
      <c r="AE495" s="117">
        <f>IF(AND('FA Addition'!$D495&lt;$P$1+1,U495=0),'FA Addition'!$L495,0)-Y495</f>
        <v>846000</v>
      </c>
      <c r="AF495" s="117">
        <f t="shared" si="35"/>
        <v>0</v>
      </c>
      <c r="AG495" s="117">
        <f>MIN(MAX(+$P$1-'FA Addition'!$D495,0),365*'FA Addition'!$O495)</f>
        <v>280</v>
      </c>
      <c r="AH495" s="117">
        <f>MIN(MAX($L$1-'FA Addition'!$D495+1,0),365*'FA Addition'!$O495)</f>
        <v>646</v>
      </c>
      <c r="AI495" s="117" cm="1">
        <f t="array" ref="AI495">_xlfn.XLOOKUP(1,('FA Write off'!A:A='FA Addition'!$A495)*('FA Write off'!D:D=AA495),'FA Write off'!H:H,0,0)</f>
        <v>646</v>
      </c>
      <c r="AJ495" s="117">
        <f>IF(AC495&gt;0,MAX(IF('FA Addition'!$N495="SLM",($AC495-'FA Addition'!$M495)*'FA Addition'!$P495*AI495/365,(AC495-'FA Addition'!$M495)*(1-(1-'FA Addition'!$P495)^(AI495/365))),0),0)</f>
        <v>474146.30136986304</v>
      </c>
      <c r="AL495" s="117">
        <f>MAX(IF(AG495&gt;0,IF('FA Addition'!$N495="SLM",($AE495-'FA Addition'!$M495)*'FA Addition'!$P495*AG495/365,IFERROR(VDB(AE495,AE495*0.05,'FA Addition'!$O495,0,YEARFRAC('FA Addition'!$C495,$P$1-1,3),'FA Addition'!$Q495),FAAddition[[#This Row],[Original Cost (Rs)]]-FAAddition[[#This Row],[Salvage Value]])),0),0)</f>
        <v>205512.32876712328</v>
      </c>
      <c r="AM495" s="119"/>
      <c r="AN495" s="117">
        <f>MAX(IF(AH495&gt;0,IF('FA Addition'!$N495="SLM",($AF495-'FA Addition'!$M495)*'FA Addition'!$P495*AH495/365,IFERROR(VDB(AF495,AF495*0.05,'FA Addition'!$O495,0,YEARFRAC('FA Addition'!$C495,$L$1,3),'FA Addition'!$Q495),FAAddition[[#This Row],[Original Cost (Rs)]]-FAAddition[[#This Row],[Salvage Value]])),0),0)</f>
        <v>0</v>
      </c>
      <c r="AO495" s="117">
        <f t="shared" si="38"/>
        <v>268633.97260273976</v>
      </c>
      <c r="AP495" s="206"/>
      <c r="AQ495" s="117">
        <f t="shared" si="36"/>
        <v>640487.67123287672</v>
      </c>
      <c r="AR495" s="120">
        <f t="shared" si="37"/>
        <v>0</v>
      </c>
      <c r="AS495" s="121"/>
    </row>
    <row r="496" spans="1:45" ht="13.5" x14ac:dyDescent="0.4">
      <c r="A496" s="12">
        <f t="shared" si="39"/>
        <v>493</v>
      </c>
      <c r="B496" s="64" t="s">
        <v>1089</v>
      </c>
      <c r="C496" s="54">
        <v>44738</v>
      </c>
      <c r="D496" s="54">
        <v>44738</v>
      </c>
      <c r="E496" s="46" t="s">
        <v>451</v>
      </c>
      <c r="F496" s="51" t="s">
        <v>1133</v>
      </c>
      <c r="G496" s="51" t="s">
        <v>1181</v>
      </c>
      <c r="H496" s="51" t="s">
        <v>21</v>
      </c>
      <c r="I496" s="55" t="s">
        <v>1182</v>
      </c>
      <c r="J496" s="56">
        <v>1</v>
      </c>
      <c r="K496" s="51" t="s">
        <v>1183</v>
      </c>
      <c r="L496" s="58">
        <v>50839</v>
      </c>
      <c r="M496" s="50">
        <f>ROUND('FA Addition'!$L496*5%,0.1)</f>
        <v>2542</v>
      </c>
      <c r="N496" s="113" t="str">
        <f>_xlfn.XLOOKUP(_xlfn.CONCAT(E496,B496),'Year Wise Master Dep Approach'!F:F,'Year Wise Master Dep Approach'!D:D)</f>
        <v>WDV</v>
      </c>
      <c r="O496" s="113">
        <f>_xlfn.XLOOKUP(_xlfn.CONCAT(E496,B496),'Year Wise Master Dep Approach'!F:F,'Year Wise Master Dep Approach'!E:E)</f>
        <v>3</v>
      </c>
      <c r="P496" s="114">
        <f>IFERROR(IF('FA Addition'!$N496="WDV",1-('FA Addition'!$M496/'FA Addition'!$L496)^(1/'FA Addition'!$O496),1/'FA Addition'!$O496),0)</f>
        <v>0.63159443466270648</v>
      </c>
      <c r="Q496" s="122">
        <f>'FA Addition'!$P496*'FA Addition'!$O496</f>
        <v>1.8947833039881194</v>
      </c>
      <c r="R496" s="122"/>
      <c r="S496" s="116">
        <f>IF(AND(DATE(20&amp;LEFT(FAAddition[[#This Row],[FY]],2),4,1)&lt;$L$1+1,DATE(20&amp;LEFT(FAAddition[[#This Row],[FY]],2),4,1)&gt;$P$1-1),'FA Addition'!$J496,0)</f>
        <v>0</v>
      </c>
      <c r="U496" s="117">
        <f>S496*'FA Addition'!$L496/'FA Addition'!$J496</f>
        <v>0</v>
      </c>
      <c r="W496" s="116">
        <f>SUMIFS('FA Write off'!D:D,'FA Write off'!A:A,'FA Addition'!$A496,'FA Write off'!C:C,"&lt;"&amp;'FA Addition'!$P$1)</f>
        <v>0</v>
      </c>
      <c r="Y496" s="191">
        <f>IFERROR(W496/'FA Addition'!$J496*'FA Addition'!$L496,0)</f>
        <v>0</v>
      </c>
      <c r="AA496" s="116">
        <f>SUMIFS('FA Write off'!D:D,'FA Write off'!A:A,'FA Addition'!$A496,'FA Write off'!C:C,"&lt;"&amp;'FA Addition'!$L$1+1,'FA Write off'!C:C,"&gt;"&amp;'FA Addition'!$L$1-365)</f>
        <v>0</v>
      </c>
      <c r="AC496" s="118">
        <f>IFERROR(AA496/'FA Addition'!$J496*'FA Addition'!$L496,0)</f>
        <v>0</v>
      </c>
      <c r="AE496" s="117">
        <f>IF(AND('FA Addition'!$D496&lt;$P$1+1,U496=0),'FA Addition'!$L496,0)-Y496</f>
        <v>50839</v>
      </c>
      <c r="AF496" s="117">
        <f t="shared" si="35"/>
        <v>50839</v>
      </c>
      <c r="AG496" s="117">
        <f>MIN(MAX(+$P$1-'FA Addition'!$D496,0),365*'FA Addition'!$O496)</f>
        <v>279</v>
      </c>
      <c r="AH496" s="117">
        <f>MIN(MAX($L$1-'FA Addition'!$D496+1,0),365*'FA Addition'!$O496)</f>
        <v>645</v>
      </c>
      <c r="AI496" s="117" cm="1">
        <f t="array" ref="AI496">_xlfn.XLOOKUP(1,('FA Write off'!A:A='FA Addition'!$A496)*('FA Write off'!D:D=AA496),'FA Write off'!H:H,0,0)</f>
        <v>0</v>
      </c>
      <c r="AJ496" s="117">
        <f>IF(AC496&gt;0,MAX(IF('FA Addition'!$N496="SLM",($AC496-'FA Addition'!$M496)*'FA Addition'!$P496*AI496/365,(AC496-'FA Addition'!$M496)*(1-(1-'FA Addition'!$P496)^(AI496/365))),0),0)</f>
        <v>0</v>
      </c>
      <c r="AL496" s="117">
        <f>MAX(IF(AG496&gt;0,IF('FA Addition'!$N496="SLM",($AE496-'FA Addition'!$M496)*'FA Addition'!$P496*AG496/365,IFERROR(VDB(AE496,AE496*0.05,'FA Addition'!$O496,0,YEARFRAC('FA Addition'!$C496,$P$1-1,3),'FA Addition'!$Q496),FAAddition[[#This Row],[Original Cost (Rs)]]-FAAddition[[#This Row],[Salvage Value]])),0),0)</f>
        <v>24456.101345044437</v>
      </c>
      <c r="AM496" s="119"/>
      <c r="AN496" s="117">
        <f>MAX(IF(AH496&gt;0,IF('FA Addition'!$N496="SLM",($AF496-'FA Addition'!$M496)*'FA Addition'!$P496*AH496/365,IFERROR(VDB(AF496,AF496*0.05,'FA Addition'!$O496,0,YEARFRAC('FA Addition'!$C496,$L$1,3),'FA Addition'!$Q496),FAAddition[[#This Row],[Original Cost (Rs)]]-FAAddition[[#This Row],[Salvage Value]])),0),0)</f>
        <v>41151.802528237691</v>
      </c>
      <c r="AO496" s="117">
        <f t="shared" si="38"/>
        <v>16695.701183193254</v>
      </c>
      <c r="AP496" s="206"/>
      <c r="AQ496" s="117">
        <f t="shared" si="36"/>
        <v>26382.898654955563</v>
      </c>
      <c r="AR496" s="120">
        <f t="shared" si="37"/>
        <v>9687.1974717623089</v>
      </c>
      <c r="AS496" s="121"/>
    </row>
    <row r="497" spans="1:45" ht="13.5" x14ac:dyDescent="0.4">
      <c r="A497" s="12">
        <f t="shared" si="39"/>
        <v>494</v>
      </c>
      <c r="B497" s="64" t="s">
        <v>1089</v>
      </c>
      <c r="C497" s="54">
        <v>44738</v>
      </c>
      <c r="D497" s="54">
        <v>44738</v>
      </c>
      <c r="E497" s="46" t="s">
        <v>451</v>
      </c>
      <c r="F497" s="51" t="s">
        <v>1133</v>
      </c>
      <c r="G497" s="51" t="s">
        <v>1134</v>
      </c>
      <c r="H497" s="51" t="s">
        <v>21</v>
      </c>
      <c r="I497" s="55" t="s">
        <v>1184</v>
      </c>
      <c r="J497" s="56">
        <v>1</v>
      </c>
      <c r="K497" s="51" t="s">
        <v>1185</v>
      </c>
      <c r="L497" s="58">
        <v>55915</v>
      </c>
      <c r="M497" s="50">
        <f>ROUND('FA Addition'!$L497*5%,0.1)</f>
        <v>2796</v>
      </c>
      <c r="N497" s="113" t="str">
        <f>_xlfn.XLOOKUP(_xlfn.CONCAT(E497,B497),'Year Wise Master Dep Approach'!F:F,'Year Wise Master Dep Approach'!D:D)</f>
        <v>WDV</v>
      </c>
      <c r="O497" s="113">
        <f>_xlfn.XLOOKUP(_xlfn.CONCAT(E497,B497),'Year Wise Master Dep Approach'!F:F,'Year Wise Master Dep Approach'!E:E)</f>
        <v>3</v>
      </c>
      <c r="P497" s="114">
        <f>IFERROR(IF('FA Addition'!$N497="WDV",1-('FA Addition'!$M497/'FA Addition'!$L497)^(1/'FA Addition'!$O497),1/'FA Addition'!$O497),0)</f>
        <v>0.6315858694161377</v>
      </c>
      <c r="Q497" s="122">
        <f>'FA Addition'!$P497*'FA Addition'!$O497</f>
        <v>1.8947576082484132</v>
      </c>
      <c r="R497" s="122"/>
      <c r="S497" s="116">
        <f>IF(AND(DATE(20&amp;LEFT(FAAddition[[#This Row],[FY]],2),4,1)&lt;$L$1+1,DATE(20&amp;LEFT(FAAddition[[#This Row],[FY]],2),4,1)&gt;$P$1-1),'FA Addition'!$J497,0)</f>
        <v>0</v>
      </c>
      <c r="U497" s="117">
        <f>S497*'FA Addition'!$L497/'FA Addition'!$J497</f>
        <v>0</v>
      </c>
      <c r="W497" s="116">
        <f>SUMIFS('FA Write off'!D:D,'FA Write off'!A:A,'FA Addition'!$A497,'FA Write off'!C:C,"&lt;"&amp;'FA Addition'!$P$1)</f>
        <v>0</v>
      </c>
      <c r="Y497" s="191">
        <f>IFERROR(W497/'FA Addition'!$J497*'FA Addition'!$L497,0)</f>
        <v>0</v>
      </c>
      <c r="AA497" s="116">
        <f>SUMIFS('FA Write off'!D:D,'FA Write off'!A:A,'FA Addition'!$A497,'FA Write off'!C:C,"&lt;"&amp;'FA Addition'!$L$1+1,'FA Write off'!C:C,"&gt;"&amp;'FA Addition'!$L$1-365)</f>
        <v>0</v>
      </c>
      <c r="AC497" s="118">
        <f>IFERROR(AA497/'FA Addition'!$J497*'FA Addition'!$L497,0)</f>
        <v>0</v>
      </c>
      <c r="AE497" s="117">
        <f>IF(AND('FA Addition'!$D497&lt;$P$1+1,U497=0),'FA Addition'!$L497,0)-Y497</f>
        <v>55915</v>
      </c>
      <c r="AF497" s="117">
        <f t="shared" si="35"/>
        <v>55915</v>
      </c>
      <c r="AG497" s="117">
        <f>MIN(MAX(+$P$1-'FA Addition'!$D497,0),365*'FA Addition'!$O497)</f>
        <v>279</v>
      </c>
      <c r="AH497" s="117">
        <f>MIN(MAX($L$1-'FA Addition'!$D497+1,0),365*'FA Addition'!$O497)</f>
        <v>645</v>
      </c>
      <c r="AI497" s="117" cm="1">
        <f t="array" ref="AI497">_xlfn.XLOOKUP(1,('FA Write off'!A:A='FA Addition'!$A497)*('FA Write off'!D:D=AA497),'FA Write off'!H:H,0,0)</f>
        <v>0</v>
      </c>
      <c r="AJ497" s="117">
        <f>IF(AC497&gt;0,MAX(IF('FA Addition'!$N497="SLM",($AC497-'FA Addition'!$M497)*'FA Addition'!$P497*AI497/365,(AC497-'FA Addition'!$M497)*(1-(1-'FA Addition'!$P497)^(AI497/365))),0),0)</f>
        <v>0</v>
      </c>
      <c r="AL497" s="117">
        <f>MAX(IF(AG497&gt;0,IF('FA Addition'!$N497="SLM",($AE497-'FA Addition'!$M497)*'FA Addition'!$P497*AG497/365,IFERROR(VDB(AE497,AE497*0.05,'FA Addition'!$O497,0,YEARFRAC('FA Addition'!$C497,$P$1-1,3),'FA Addition'!$Q497),FAAddition[[#This Row],[Original Cost (Rs)]]-FAAddition[[#This Row],[Salvage Value]])),0),0)</f>
        <v>26897.546413633227</v>
      </c>
      <c r="AM497" s="119"/>
      <c r="AN497" s="117">
        <f>MAX(IF(AH497&gt;0,IF('FA Addition'!$N497="SLM",($AF497-'FA Addition'!$M497)*'FA Addition'!$P497*AH497/365,IFERROR(VDB(AF497,AF497*0.05,'FA Addition'!$O497,0,YEARFRAC('FA Addition'!$C497,$L$1,3),'FA Addition'!$Q497),FAAddition[[#This Row],[Original Cost (Rs)]]-FAAddition[[#This Row],[Salvage Value]])),0),0)</f>
        <v>45260.205519094554</v>
      </c>
      <c r="AO497" s="117">
        <f t="shared" si="38"/>
        <v>18362.659105461327</v>
      </c>
      <c r="AP497" s="206"/>
      <c r="AQ497" s="117">
        <f t="shared" si="36"/>
        <v>29017.453586366773</v>
      </c>
      <c r="AR497" s="120">
        <f t="shared" si="37"/>
        <v>10654.794480905446</v>
      </c>
      <c r="AS497" s="121"/>
    </row>
    <row r="498" spans="1:45" ht="13.5" x14ac:dyDescent="0.4">
      <c r="A498" s="12">
        <f t="shared" si="39"/>
        <v>495</v>
      </c>
      <c r="B498" s="64" t="s">
        <v>1089</v>
      </c>
      <c r="C498" s="54">
        <v>44744</v>
      </c>
      <c r="D498" s="54">
        <v>44744</v>
      </c>
      <c r="E498" s="46" t="s">
        <v>451</v>
      </c>
      <c r="F498" s="51" t="s">
        <v>1133</v>
      </c>
      <c r="G498" s="51" t="s">
        <v>1186</v>
      </c>
      <c r="H498" s="51" t="s">
        <v>21</v>
      </c>
      <c r="I498" s="55" t="s">
        <v>1187</v>
      </c>
      <c r="J498" s="56">
        <v>1</v>
      </c>
      <c r="K498" s="51" t="s">
        <v>1188</v>
      </c>
      <c r="L498" s="58">
        <v>78504.63</v>
      </c>
      <c r="M498" s="50">
        <f>ROUND('FA Addition'!$L498*5%,0.1)</f>
        <v>3925</v>
      </c>
      <c r="N498" s="113" t="str">
        <f>_xlfn.XLOOKUP(_xlfn.CONCAT(E498,B498),'Year Wise Master Dep Approach'!F:F,'Year Wise Master Dep Approach'!D:D)</f>
        <v>WDV</v>
      </c>
      <c r="O498" s="113">
        <f>_xlfn.XLOOKUP(_xlfn.CONCAT(E498,B498),'Year Wise Master Dep Approach'!F:F,'Year Wise Master Dep Approach'!E:E)</f>
        <v>3</v>
      </c>
      <c r="P498" s="114">
        <f>IFERROR(IF('FA Addition'!$N498="WDV",1-('FA Addition'!$M498/'FA Addition'!$L498)^(1/'FA Addition'!$O498),1/'FA Addition'!$O498),0)</f>
        <v>0.63160409276660912</v>
      </c>
      <c r="Q498" s="122">
        <f>'FA Addition'!$P498*'FA Addition'!$O498</f>
        <v>1.8948122782998273</v>
      </c>
      <c r="R498" s="122"/>
      <c r="S498" s="116">
        <f>IF(AND(DATE(20&amp;LEFT(FAAddition[[#This Row],[FY]],2),4,1)&lt;$L$1+1,DATE(20&amp;LEFT(FAAddition[[#This Row],[FY]],2),4,1)&gt;$P$1-1),'FA Addition'!$J498,0)</f>
        <v>0</v>
      </c>
      <c r="U498" s="117">
        <f>S498*'FA Addition'!$L498/'FA Addition'!$J498</f>
        <v>0</v>
      </c>
      <c r="W498" s="116">
        <f>SUMIFS('FA Write off'!D:D,'FA Write off'!A:A,'FA Addition'!$A498,'FA Write off'!C:C,"&lt;"&amp;'FA Addition'!$P$1)</f>
        <v>0</v>
      </c>
      <c r="Y498" s="191">
        <f>IFERROR(W498/'FA Addition'!$J498*'FA Addition'!$L498,0)</f>
        <v>0</v>
      </c>
      <c r="AA498" s="116">
        <f>SUMIFS('FA Write off'!D:D,'FA Write off'!A:A,'FA Addition'!$A498,'FA Write off'!C:C,"&lt;"&amp;'FA Addition'!$L$1+1,'FA Write off'!C:C,"&gt;"&amp;'FA Addition'!$L$1-365)</f>
        <v>0</v>
      </c>
      <c r="AC498" s="118">
        <f>IFERROR(AA498/'FA Addition'!$J498*'FA Addition'!$L498,0)</f>
        <v>0</v>
      </c>
      <c r="AE498" s="117">
        <f>IF(AND('FA Addition'!$D498&lt;$P$1+1,U498=0),'FA Addition'!$L498,0)-Y498</f>
        <v>78504.63</v>
      </c>
      <c r="AF498" s="117">
        <f t="shared" si="35"/>
        <v>78504.63</v>
      </c>
      <c r="AG498" s="117">
        <f>MIN(MAX(+$P$1-'FA Addition'!$D498,0),365*'FA Addition'!$O498)</f>
        <v>273</v>
      </c>
      <c r="AH498" s="117">
        <f>MIN(MAX($L$1-'FA Addition'!$D498+1,0),365*'FA Addition'!$O498)</f>
        <v>639</v>
      </c>
      <c r="AI498" s="117" cm="1">
        <f t="array" ref="AI498">_xlfn.XLOOKUP(1,('FA Write off'!A:A='FA Addition'!$A498)*('FA Write off'!D:D=AA498),'FA Write off'!H:H,0,0)</f>
        <v>0</v>
      </c>
      <c r="AJ498" s="117">
        <f>IF(AC498&gt;0,MAX(IF('FA Addition'!$N498="SLM",($AC498-'FA Addition'!$M498)*'FA Addition'!$P498*AI498/365,(AC498-'FA Addition'!$M498)*(1-(1-'FA Addition'!$P498)^(AI498/365))),0),0)</f>
        <v>0</v>
      </c>
      <c r="AL498" s="117">
        <f>MAX(IF(AG498&gt;0,IF('FA Addition'!$N498="SLM",($AE498-'FA Addition'!$M498)*'FA Addition'!$P498*AG498/365,IFERROR(VDB(AE498,AE498*0.05,'FA Addition'!$O498,0,YEARFRAC('FA Addition'!$C498,$P$1-1,3),'FA Addition'!$Q498),FAAddition[[#This Row],[Original Cost (Rs)]]-FAAddition[[#This Row],[Salvage Value]])),0),0)</f>
        <v>36950.153440227143</v>
      </c>
      <c r="AM498" s="119"/>
      <c r="AN498" s="117">
        <f>MAX(IF(AH498&gt;0,IF('FA Addition'!$N498="SLM",($AF498-'FA Addition'!$M498)*'FA Addition'!$P498*AH498/365,IFERROR(VDB(AF498,AF498*0.05,'FA Addition'!$O498,0,YEARFRAC('FA Addition'!$C498,$L$1,3),'FA Addition'!$Q498),FAAddition[[#This Row],[Original Cost (Rs)]]-FAAddition[[#This Row],[Salvage Value]])),0),0)</f>
        <v>63246.176074694333</v>
      </c>
      <c r="AO498" s="117">
        <f t="shared" si="38"/>
        <v>26296.02263446719</v>
      </c>
      <c r="AP498" s="206"/>
      <c r="AQ498" s="117">
        <f t="shared" si="36"/>
        <v>41554.476559772862</v>
      </c>
      <c r="AR498" s="120">
        <f t="shared" si="37"/>
        <v>15258.453925305672</v>
      </c>
      <c r="AS498" s="121"/>
    </row>
    <row r="499" spans="1:45" ht="13.5" x14ac:dyDescent="0.4">
      <c r="A499" s="12">
        <f t="shared" si="39"/>
        <v>496</v>
      </c>
      <c r="B499" s="64" t="s">
        <v>1089</v>
      </c>
      <c r="C499" s="54">
        <v>44747</v>
      </c>
      <c r="D499" s="54">
        <v>44747</v>
      </c>
      <c r="E499" s="46" t="s">
        <v>1389</v>
      </c>
      <c r="F499" s="51" t="s">
        <v>1112</v>
      </c>
      <c r="G499" s="51" t="s">
        <v>36</v>
      </c>
      <c r="H499" s="51" t="s">
        <v>1113</v>
      </c>
      <c r="I499" s="55" t="s">
        <v>1189</v>
      </c>
      <c r="J499" s="56">
        <v>500</v>
      </c>
      <c r="K499" s="51" t="s">
        <v>1132</v>
      </c>
      <c r="L499" s="58">
        <v>405000</v>
      </c>
      <c r="M499" s="50">
        <f>ROUND('FA Addition'!$L499*5%,0.1)</f>
        <v>20250</v>
      </c>
      <c r="N499" s="113" t="str">
        <f>_xlfn.XLOOKUP(_xlfn.CONCAT(E499,B499),'Year Wise Master Dep Approach'!F:F,'Year Wise Master Dep Approach'!D:D)</f>
        <v>SLM</v>
      </c>
      <c r="O499" s="113">
        <f>_xlfn.XLOOKUP(_xlfn.CONCAT(E499,B499),'Year Wise Master Dep Approach'!F:F,'Year Wise Master Dep Approach'!E:E)</f>
        <v>3</v>
      </c>
      <c r="P499" s="114">
        <f>IFERROR(IF('FA Addition'!$N499="WDV",1-('FA Addition'!$M499/'FA Addition'!$L499)^(1/'FA Addition'!$O499),1/'FA Addition'!$O499),0)</f>
        <v>0.33333333333333331</v>
      </c>
      <c r="Q499" s="122">
        <f>'FA Addition'!$P499*'FA Addition'!$O499</f>
        <v>1</v>
      </c>
      <c r="R499" s="122"/>
      <c r="S499" s="116">
        <f>IF(AND(DATE(20&amp;LEFT(FAAddition[[#This Row],[FY]],2),4,1)&lt;$L$1+1,DATE(20&amp;LEFT(FAAddition[[#This Row],[FY]],2),4,1)&gt;$P$1-1),'FA Addition'!$J499,0)</f>
        <v>0</v>
      </c>
      <c r="U499" s="117">
        <f>S499*'FA Addition'!$L499/'FA Addition'!$J499</f>
        <v>0</v>
      </c>
      <c r="W499" s="116">
        <f>SUMIFS('FA Write off'!D:D,'FA Write off'!A:A,'FA Addition'!$A499,'FA Write off'!C:C,"&lt;"&amp;'FA Addition'!$P$1)</f>
        <v>0</v>
      </c>
      <c r="Y499" s="191">
        <f>IFERROR(W499/'FA Addition'!$J499*'FA Addition'!$L499,0)</f>
        <v>0</v>
      </c>
      <c r="AA499" s="116">
        <f>SUMIFS('FA Write off'!D:D,'FA Write off'!A:A,'FA Addition'!$A499,'FA Write off'!C:C,"&lt;"&amp;'FA Addition'!$L$1+1,'FA Write off'!C:C,"&gt;"&amp;'FA Addition'!$L$1-365)</f>
        <v>500</v>
      </c>
      <c r="AC499" s="117">
        <f>IFERROR(AA499/'FA Addition'!$J499*'FA Addition'!$L499,0)</f>
        <v>405000</v>
      </c>
      <c r="AE499" s="117">
        <f>IF(AND('FA Addition'!$D499&lt;$P$1+1,U499=0),'FA Addition'!$L499,0)-Y499</f>
        <v>405000</v>
      </c>
      <c r="AF499" s="117">
        <f t="shared" si="35"/>
        <v>0</v>
      </c>
      <c r="AG499" s="117">
        <f>MIN(MAX(+$P$1-'FA Addition'!$D499,0),365*'FA Addition'!$O499)</f>
        <v>270</v>
      </c>
      <c r="AH499" s="117">
        <f>MIN(MAX($L$1-'FA Addition'!$D499+1,0),365*'FA Addition'!$O499)</f>
        <v>636</v>
      </c>
      <c r="AI499" s="117" cm="1">
        <f t="array" ref="AI499">_xlfn.XLOOKUP(1,('FA Write off'!A:A='FA Addition'!$A499)*('FA Write off'!D:D=AA499),'FA Write off'!H:H,0,0)</f>
        <v>636</v>
      </c>
      <c r="AJ499" s="117">
        <f>IF(AC499&gt;0,MAX(IF('FA Addition'!$N499="SLM",($AC499-'FA Addition'!$M499)*'FA Addition'!$P499*AI499/365,(AC499-'FA Addition'!$M499)*(1-(1-'FA Addition'!$P499)^(AI499/365))),0),0)</f>
        <v>223471.23287671234</v>
      </c>
      <c r="AL499" s="117">
        <f>MAX(IF(AG499&gt;0,IF('FA Addition'!$N499="SLM",($AE499-'FA Addition'!$M499)*'FA Addition'!$P499*AG499/365,IFERROR(VDB(AE499,AE499*0.05,'FA Addition'!$O499,0,YEARFRAC('FA Addition'!$C499,$P$1-1,3),'FA Addition'!$Q499),FAAddition[[#This Row],[Original Cost (Rs)]]-FAAddition[[#This Row],[Salvage Value]])),0),0)</f>
        <v>94869.863013698632</v>
      </c>
      <c r="AM499" s="119"/>
      <c r="AN499" s="117">
        <f>MAX(IF(AH499&gt;0,IF('FA Addition'!$N499="SLM",($AF499-'FA Addition'!$M499)*'FA Addition'!$P499*AH499/365,IFERROR(VDB(AF499,AF499*0.05,'FA Addition'!$O499,0,YEARFRAC('FA Addition'!$C499,$L$1,3),'FA Addition'!$Q499),FAAddition[[#This Row],[Original Cost (Rs)]]-FAAddition[[#This Row],[Salvage Value]])),0),0)</f>
        <v>0</v>
      </c>
      <c r="AO499" s="117">
        <f t="shared" si="38"/>
        <v>128601.36986301371</v>
      </c>
      <c r="AP499" s="206"/>
      <c r="AQ499" s="117">
        <f t="shared" si="36"/>
        <v>310130.1369863014</v>
      </c>
      <c r="AR499" s="120">
        <f t="shared" si="37"/>
        <v>0</v>
      </c>
      <c r="AS499" s="121"/>
    </row>
    <row r="500" spans="1:45" ht="13.5" x14ac:dyDescent="0.4">
      <c r="A500" s="12">
        <f t="shared" si="39"/>
        <v>497</v>
      </c>
      <c r="B500" s="64" t="s">
        <v>1089</v>
      </c>
      <c r="C500" s="54">
        <v>44754</v>
      </c>
      <c r="D500" s="54">
        <v>44754</v>
      </c>
      <c r="E500" s="46" t="s">
        <v>523</v>
      </c>
      <c r="F500" s="51" t="s">
        <v>523</v>
      </c>
      <c r="G500" s="51" t="s">
        <v>1147</v>
      </c>
      <c r="H500" s="51" t="s">
        <v>17</v>
      </c>
      <c r="I500" s="55">
        <v>1190</v>
      </c>
      <c r="J500" s="56">
        <v>1</v>
      </c>
      <c r="K500" s="51" t="s">
        <v>1190</v>
      </c>
      <c r="L500" s="58">
        <v>34375</v>
      </c>
      <c r="M500" s="50">
        <f>ROUND('FA Addition'!$L500*5%,0.1)</f>
        <v>1719</v>
      </c>
      <c r="N500" s="113" t="str">
        <f>_xlfn.XLOOKUP(_xlfn.CONCAT(E500,B500),'Year Wise Master Dep Approach'!F:F,'Year Wise Master Dep Approach'!D:D)</f>
        <v>WDV</v>
      </c>
      <c r="O500" s="113">
        <f>_xlfn.XLOOKUP(_xlfn.CONCAT(E500,B500),'Year Wise Master Dep Approach'!F:F,'Year Wise Master Dep Approach'!E:E)</f>
        <v>10</v>
      </c>
      <c r="P500" s="114">
        <f>IFERROR(IF('FA Addition'!$N500="WDV",1-('FA Addition'!$M500/'FA Addition'!$L500)^(1/'FA Addition'!$O500),1/'FA Addition'!$O500),0)</f>
        <v>0.25885477146115476</v>
      </c>
      <c r="Q500" s="122">
        <f>'FA Addition'!$P500*'FA Addition'!$O500</f>
        <v>2.5885477146115479</v>
      </c>
      <c r="R500" s="122"/>
      <c r="S500" s="116">
        <f>IF(AND(DATE(20&amp;LEFT(FAAddition[[#This Row],[FY]],2),4,1)&lt;$L$1+1,DATE(20&amp;LEFT(FAAddition[[#This Row],[FY]],2),4,1)&gt;$P$1-1),'FA Addition'!$J500,0)</f>
        <v>0</v>
      </c>
      <c r="U500" s="117">
        <f>S500*'FA Addition'!$L500/'FA Addition'!$J500</f>
        <v>0</v>
      </c>
      <c r="W500" s="116">
        <f>SUMIFS('FA Write off'!D:D,'FA Write off'!A:A,'FA Addition'!$A500,'FA Write off'!C:C,"&lt;"&amp;'FA Addition'!$P$1)</f>
        <v>0</v>
      </c>
      <c r="Y500" s="191">
        <f>IFERROR(W500/'FA Addition'!$J500*'FA Addition'!$L500,0)</f>
        <v>0</v>
      </c>
      <c r="AA500" s="116">
        <f>SUMIFS('FA Write off'!D:D,'FA Write off'!A:A,'FA Addition'!$A500,'FA Write off'!C:C,"&lt;"&amp;'FA Addition'!$L$1+1,'FA Write off'!C:C,"&gt;"&amp;'FA Addition'!$L$1-365)</f>
        <v>0</v>
      </c>
      <c r="AC500" s="118">
        <f>IFERROR(AA500/'FA Addition'!$J500*'FA Addition'!$L500,0)</f>
        <v>0</v>
      </c>
      <c r="AE500" s="117">
        <f>IF(AND('FA Addition'!$D500&lt;$P$1+1,U500=0),'FA Addition'!$L500,0)-Y500</f>
        <v>34375</v>
      </c>
      <c r="AF500" s="117">
        <f t="shared" si="35"/>
        <v>34375</v>
      </c>
      <c r="AG500" s="117">
        <f>MIN(MAX(+$P$1-'FA Addition'!$D500,0),365*'FA Addition'!$O500)</f>
        <v>263</v>
      </c>
      <c r="AH500" s="117">
        <f>MIN(MAX($L$1-'FA Addition'!$D500+1,0),365*'FA Addition'!$O500)</f>
        <v>629</v>
      </c>
      <c r="AI500" s="117" cm="1">
        <f t="array" ref="AI500">_xlfn.XLOOKUP(1,('FA Write off'!A:A='FA Addition'!$A500)*('FA Write off'!D:D=AA500),'FA Write off'!H:H,0,0)</f>
        <v>0</v>
      </c>
      <c r="AJ500" s="117">
        <f>IF(AC500&gt;0,MAX(IF('FA Addition'!$N500="SLM",($AC500-'FA Addition'!$M500)*'FA Addition'!$P500*AI500/365,(AC500-'FA Addition'!$M500)*(1-(1-'FA Addition'!$P500)^(AI500/365))),0),0)</f>
        <v>0</v>
      </c>
      <c r="AL500" s="117">
        <f>MAX(IF(AG500&gt;0,IF('FA Addition'!$N500="SLM",($AE500-'FA Addition'!$M500)*'FA Addition'!$P500*AG500/365,IFERROR(VDB(AE500,AE500*0.05,'FA Addition'!$O500,0,YEARFRAC('FA Addition'!$C500,$P$1-1,3),'FA Addition'!$Q500),FAAddition[[#This Row],[Original Cost (Rs)]]-FAAddition[[#This Row],[Salvage Value]])),0),0)</f>
        <v>6387.1528369096586</v>
      </c>
      <c r="AM500" s="119"/>
      <c r="AN500" s="117">
        <f>MAX(IF(AH500&gt;0,IF('FA Addition'!$N500="SLM",($AF500-'FA Addition'!$M500)*'FA Addition'!$P500*AH500/365,IFERROR(VDB(AF500,AF500*0.05,'FA Addition'!$O500,0,YEARFRAC('FA Addition'!$C500,$L$1,3),'FA Addition'!$Q500),FAAddition[[#This Row],[Original Cost (Rs)]]-FAAddition[[#This Row],[Salvage Value]])),0),0)</f>
        <v>13650.008586890543</v>
      </c>
      <c r="AO500" s="117">
        <f t="shared" si="38"/>
        <v>7262.855749980884</v>
      </c>
      <c r="AP500" s="206"/>
      <c r="AQ500" s="117">
        <f t="shared" si="36"/>
        <v>27987.84716309034</v>
      </c>
      <c r="AR500" s="120">
        <f t="shared" si="37"/>
        <v>20724.991413109456</v>
      </c>
      <c r="AS500" s="121"/>
    </row>
    <row r="501" spans="1:45" ht="13.5" x14ac:dyDescent="0.4">
      <c r="A501" s="12">
        <f t="shared" si="39"/>
        <v>498</v>
      </c>
      <c r="B501" s="64" t="s">
        <v>1089</v>
      </c>
      <c r="C501" s="54">
        <v>44754</v>
      </c>
      <c r="D501" s="54">
        <v>44754</v>
      </c>
      <c r="E501" s="46" t="s">
        <v>523</v>
      </c>
      <c r="F501" s="51" t="s">
        <v>523</v>
      </c>
      <c r="G501" s="51" t="s">
        <v>1147</v>
      </c>
      <c r="H501" s="51" t="s">
        <v>17</v>
      </c>
      <c r="I501" s="55">
        <v>1190</v>
      </c>
      <c r="J501" s="56">
        <v>1</v>
      </c>
      <c r="K501" s="51" t="s">
        <v>1191</v>
      </c>
      <c r="L501" s="58">
        <v>44156.25</v>
      </c>
      <c r="M501" s="50">
        <f>ROUND('FA Addition'!$L501*5%,0.1)</f>
        <v>2208</v>
      </c>
      <c r="N501" s="113" t="str">
        <f>_xlfn.XLOOKUP(_xlfn.CONCAT(E501,B501),'Year Wise Master Dep Approach'!F:F,'Year Wise Master Dep Approach'!D:D)</f>
        <v>WDV</v>
      </c>
      <c r="O501" s="113">
        <f>_xlfn.XLOOKUP(_xlfn.CONCAT(E501,B501),'Year Wise Master Dep Approach'!F:F,'Year Wise Master Dep Approach'!E:E)</f>
        <v>10</v>
      </c>
      <c r="P501" s="114">
        <f>IFERROR(IF('FA Addition'!$N501="WDV",1-('FA Addition'!$M501/'FA Addition'!$L501)^(1/'FA Addition'!$O501),1/'FA Addition'!$O501),0)</f>
        <v>0.25885925699813062</v>
      </c>
      <c r="Q501" s="122">
        <f>'FA Addition'!$P501*'FA Addition'!$O501</f>
        <v>2.5885925699813059</v>
      </c>
      <c r="R501" s="122"/>
      <c r="S501" s="116">
        <f>IF(AND(DATE(20&amp;LEFT(FAAddition[[#This Row],[FY]],2),4,1)&lt;$L$1+1,DATE(20&amp;LEFT(FAAddition[[#This Row],[FY]],2),4,1)&gt;$P$1-1),'FA Addition'!$J501,0)</f>
        <v>0</v>
      </c>
      <c r="U501" s="117">
        <f>S501*'FA Addition'!$L501/'FA Addition'!$J501</f>
        <v>0</v>
      </c>
      <c r="W501" s="116">
        <f>SUMIFS('FA Write off'!D:D,'FA Write off'!A:A,'FA Addition'!$A501,'FA Write off'!C:C,"&lt;"&amp;'FA Addition'!$P$1)</f>
        <v>0</v>
      </c>
      <c r="Y501" s="191">
        <f>IFERROR(W501/'FA Addition'!$J501*'FA Addition'!$L501,0)</f>
        <v>0</v>
      </c>
      <c r="AA501" s="116">
        <f>SUMIFS('FA Write off'!D:D,'FA Write off'!A:A,'FA Addition'!$A501,'FA Write off'!C:C,"&lt;"&amp;'FA Addition'!$L$1+1,'FA Write off'!C:C,"&gt;"&amp;'FA Addition'!$L$1-365)</f>
        <v>0</v>
      </c>
      <c r="AC501" s="118">
        <f>IFERROR(AA501/'FA Addition'!$J501*'FA Addition'!$L501,0)</f>
        <v>0</v>
      </c>
      <c r="AE501" s="117">
        <f>IF(AND('FA Addition'!$D501&lt;$P$1+1,U501=0),'FA Addition'!$L501,0)-Y501</f>
        <v>44156.25</v>
      </c>
      <c r="AF501" s="117">
        <f t="shared" si="35"/>
        <v>44156.25</v>
      </c>
      <c r="AG501" s="117">
        <f>MIN(MAX(+$P$1-'FA Addition'!$D501,0),365*'FA Addition'!$O501)</f>
        <v>263</v>
      </c>
      <c r="AH501" s="117">
        <f>MIN(MAX($L$1-'FA Addition'!$D501+1,0),365*'FA Addition'!$O501)</f>
        <v>629</v>
      </c>
      <c r="AI501" s="117" cm="1">
        <f t="array" ref="AI501">_xlfn.XLOOKUP(1,('FA Write off'!A:A='FA Addition'!$A501)*('FA Write off'!D:D=AA501),'FA Write off'!H:H,0,0)</f>
        <v>0</v>
      </c>
      <c r="AJ501" s="117">
        <f>IF(AC501&gt;0,MAX(IF('FA Addition'!$N501="SLM",($AC501-'FA Addition'!$M501)*'FA Addition'!$P501*AI501/365,(AC501-'FA Addition'!$M501)*(1-(1-'FA Addition'!$P501)^(AI501/365))),0),0)</f>
        <v>0</v>
      </c>
      <c r="AL501" s="117">
        <f>MAX(IF(AG501&gt;0,IF('FA Addition'!$N501="SLM",($AE501-'FA Addition'!$M501)*'FA Addition'!$P501*AG501/365,IFERROR(VDB(AE501,AE501*0.05,'FA Addition'!$O501,0,YEARFRAC('FA Addition'!$C501,$P$1-1,3),'FA Addition'!$Q501),FAAddition[[#This Row],[Original Cost (Rs)]]-FAAddition[[#This Row],[Salvage Value]])),0),0)</f>
        <v>8204.7303164597561</v>
      </c>
      <c r="AM501" s="119"/>
      <c r="AN501" s="117">
        <f>MAX(IF(AH501&gt;0,IF('FA Addition'!$N501="SLM",($AF501-'FA Addition'!$M501)*'FA Addition'!$P501*AH501/365,IFERROR(VDB(AF501,AF501*0.05,'FA Addition'!$O501,0,YEARFRAC('FA Addition'!$C501,$L$1,3),'FA Addition'!$Q501),FAAddition[[#This Row],[Original Cost (Rs)]]-FAAddition[[#This Row],[Salvage Value]])),0),0)</f>
        <v>17534.323378713241</v>
      </c>
      <c r="AO501" s="117">
        <f t="shared" si="38"/>
        <v>9329.5930622534852</v>
      </c>
      <c r="AP501" s="206"/>
      <c r="AQ501" s="117">
        <f t="shared" si="36"/>
        <v>35951.519683540246</v>
      </c>
      <c r="AR501" s="120">
        <f t="shared" si="37"/>
        <v>26621.926621286759</v>
      </c>
      <c r="AS501" s="121"/>
    </row>
    <row r="502" spans="1:45" ht="13.5" x14ac:dyDescent="0.4">
      <c r="A502" s="12">
        <f t="shared" si="39"/>
        <v>499</v>
      </c>
      <c r="B502" s="64" t="s">
        <v>1089</v>
      </c>
      <c r="C502" s="54">
        <v>44754</v>
      </c>
      <c r="D502" s="54">
        <v>44754</v>
      </c>
      <c r="E502" s="46" t="s">
        <v>523</v>
      </c>
      <c r="F502" s="51" t="s">
        <v>523</v>
      </c>
      <c r="G502" s="51" t="s">
        <v>1147</v>
      </c>
      <c r="H502" s="51" t="s">
        <v>17</v>
      </c>
      <c r="I502" s="55">
        <v>1190</v>
      </c>
      <c r="J502" s="56">
        <v>1</v>
      </c>
      <c r="K502" s="51" t="s">
        <v>1191</v>
      </c>
      <c r="L502" s="58">
        <v>44156.25</v>
      </c>
      <c r="M502" s="50">
        <f>ROUND('FA Addition'!$L502*5%,0.1)</f>
        <v>2208</v>
      </c>
      <c r="N502" s="113" t="str">
        <f>_xlfn.XLOOKUP(_xlfn.CONCAT(E502,B502),'Year Wise Master Dep Approach'!F:F,'Year Wise Master Dep Approach'!D:D)</f>
        <v>WDV</v>
      </c>
      <c r="O502" s="113">
        <f>_xlfn.XLOOKUP(_xlfn.CONCAT(E502,B502),'Year Wise Master Dep Approach'!F:F,'Year Wise Master Dep Approach'!E:E)</f>
        <v>10</v>
      </c>
      <c r="P502" s="114">
        <f>IFERROR(IF('FA Addition'!$N502="WDV",1-('FA Addition'!$M502/'FA Addition'!$L502)^(1/'FA Addition'!$O502),1/'FA Addition'!$O502),0)</f>
        <v>0.25885925699813062</v>
      </c>
      <c r="Q502" s="122">
        <f>'FA Addition'!$P502*'FA Addition'!$O502</f>
        <v>2.5885925699813059</v>
      </c>
      <c r="R502" s="122"/>
      <c r="S502" s="116">
        <f>IF(AND(DATE(20&amp;LEFT(FAAddition[[#This Row],[FY]],2),4,1)&lt;$L$1+1,DATE(20&amp;LEFT(FAAddition[[#This Row],[FY]],2),4,1)&gt;$P$1-1),'FA Addition'!$J502,0)</f>
        <v>0</v>
      </c>
      <c r="U502" s="117">
        <f>S502*'FA Addition'!$L502/'FA Addition'!$J502</f>
        <v>0</v>
      </c>
      <c r="W502" s="116">
        <f>SUMIFS('FA Write off'!D:D,'FA Write off'!A:A,'FA Addition'!$A502,'FA Write off'!C:C,"&lt;"&amp;'FA Addition'!$P$1)</f>
        <v>0</v>
      </c>
      <c r="Y502" s="191">
        <f>IFERROR(W502/'FA Addition'!$J502*'FA Addition'!$L502,0)</f>
        <v>0</v>
      </c>
      <c r="AA502" s="116">
        <f>SUMIFS('FA Write off'!D:D,'FA Write off'!A:A,'FA Addition'!$A502,'FA Write off'!C:C,"&lt;"&amp;'FA Addition'!$L$1+1,'FA Write off'!C:C,"&gt;"&amp;'FA Addition'!$L$1-365)</f>
        <v>0</v>
      </c>
      <c r="AC502" s="118">
        <f>IFERROR(AA502/'FA Addition'!$J502*'FA Addition'!$L502,0)</f>
        <v>0</v>
      </c>
      <c r="AE502" s="117">
        <f>IF(AND('FA Addition'!$D502&lt;$P$1+1,U502=0),'FA Addition'!$L502,0)-Y502</f>
        <v>44156.25</v>
      </c>
      <c r="AF502" s="117">
        <f t="shared" si="35"/>
        <v>44156.25</v>
      </c>
      <c r="AG502" s="117">
        <f>MIN(MAX(+$P$1-'FA Addition'!$D502,0),365*'FA Addition'!$O502)</f>
        <v>263</v>
      </c>
      <c r="AH502" s="117">
        <f>MIN(MAX($L$1-'FA Addition'!$D502+1,0),365*'FA Addition'!$O502)</f>
        <v>629</v>
      </c>
      <c r="AI502" s="117" cm="1">
        <f t="array" ref="AI502">_xlfn.XLOOKUP(1,('FA Write off'!A:A='FA Addition'!$A502)*('FA Write off'!D:D=AA502),'FA Write off'!H:H,0,0)</f>
        <v>0</v>
      </c>
      <c r="AJ502" s="117">
        <f>IF(AC502&gt;0,MAX(IF('FA Addition'!$N502="SLM",($AC502-'FA Addition'!$M502)*'FA Addition'!$P502*AI502/365,(AC502-'FA Addition'!$M502)*(1-(1-'FA Addition'!$P502)^(AI502/365))),0),0)</f>
        <v>0</v>
      </c>
      <c r="AL502" s="117">
        <f>MAX(IF(AG502&gt;0,IF('FA Addition'!$N502="SLM",($AE502-'FA Addition'!$M502)*'FA Addition'!$P502*AG502/365,IFERROR(VDB(AE502,AE502*0.05,'FA Addition'!$O502,0,YEARFRAC('FA Addition'!$C502,$P$1-1,3),'FA Addition'!$Q502),FAAddition[[#This Row],[Original Cost (Rs)]]-FAAddition[[#This Row],[Salvage Value]])),0),0)</f>
        <v>8204.7303164597561</v>
      </c>
      <c r="AM502" s="119"/>
      <c r="AN502" s="117">
        <f>MAX(IF(AH502&gt;0,IF('FA Addition'!$N502="SLM",($AF502-'FA Addition'!$M502)*'FA Addition'!$P502*AH502/365,IFERROR(VDB(AF502,AF502*0.05,'FA Addition'!$O502,0,YEARFRAC('FA Addition'!$C502,$L$1,3),'FA Addition'!$Q502),FAAddition[[#This Row],[Original Cost (Rs)]]-FAAddition[[#This Row],[Salvage Value]])),0),0)</f>
        <v>17534.323378713241</v>
      </c>
      <c r="AO502" s="117">
        <f t="shared" si="38"/>
        <v>9329.5930622534852</v>
      </c>
      <c r="AP502" s="206"/>
      <c r="AQ502" s="117">
        <f t="shared" si="36"/>
        <v>35951.519683540246</v>
      </c>
      <c r="AR502" s="120">
        <f t="shared" si="37"/>
        <v>26621.926621286759</v>
      </c>
      <c r="AS502" s="121"/>
    </row>
    <row r="503" spans="1:45" ht="13.5" x14ac:dyDescent="0.4">
      <c r="A503" s="12">
        <f t="shared" si="39"/>
        <v>500</v>
      </c>
      <c r="B503" s="64" t="s">
        <v>1089</v>
      </c>
      <c r="C503" s="54">
        <v>44764</v>
      </c>
      <c r="D503" s="54">
        <v>44764</v>
      </c>
      <c r="E503" s="46" t="s">
        <v>749</v>
      </c>
      <c r="F503" s="51" t="s">
        <v>1192</v>
      </c>
      <c r="G503" s="51" t="s">
        <v>1193</v>
      </c>
      <c r="H503" s="51" t="s">
        <v>129</v>
      </c>
      <c r="I503" s="55" t="s">
        <v>1194</v>
      </c>
      <c r="J503" s="56">
        <v>1</v>
      </c>
      <c r="K503" s="51" t="s">
        <v>1195</v>
      </c>
      <c r="L503" s="58">
        <v>29990</v>
      </c>
      <c r="M503" s="50">
        <f>ROUND('FA Addition'!$L503*5%,0.1)</f>
        <v>1500</v>
      </c>
      <c r="N503" s="113" t="str">
        <f>_xlfn.XLOOKUP(_xlfn.CONCAT(E503,B503),'Year Wise Master Dep Approach'!F:F,'Year Wise Master Dep Approach'!D:D)</f>
        <v>WDV</v>
      </c>
      <c r="O503" s="113">
        <f>_xlfn.XLOOKUP(_xlfn.CONCAT(E503,B503),'Year Wise Master Dep Approach'!F:F,'Year Wise Master Dep Approach'!E:E)</f>
        <v>5</v>
      </c>
      <c r="P503" s="114">
        <f>IFERROR(IF('FA Addition'!$N503="WDV",1-('FA Addition'!$M503/'FA Addition'!$L503)^(1/'FA Addition'!$O503),1/'FA Addition'!$O503),0)</f>
        <v>0.45068310233663655</v>
      </c>
      <c r="Q503" s="122">
        <f>'FA Addition'!$P503*'FA Addition'!$O503</f>
        <v>2.2534155116831829</v>
      </c>
      <c r="R503" s="122"/>
      <c r="S503" s="116">
        <f>IF(AND(DATE(20&amp;LEFT(FAAddition[[#This Row],[FY]],2),4,1)&lt;$L$1+1,DATE(20&amp;LEFT(FAAddition[[#This Row],[FY]],2),4,1)&gt;$P$1-1),'FA Addition'!$J503,0)</f>
        <v>0</v>
      </c>
      <c r="U503" s="117">
        <f>S503*'FA Addition'!$L503/'FA Addition'!$J503</f>
        <v>0</v>
      </c>
      <c r="W503" s="116">
        <f>SUMIFS('FA Write off'!D:D,'FA Write off'!A:A,'FA Addition'!$A503,'FA Write off'!C:C,"&lt;"&amp;'FA Addition'!$P$1)</f>
        <v>0</v>
      </c>
      <c r="Y503" s="191">
        <f>IFERROR(W503/'FA Addition'!$J503*'FA Addition'!$L503,0)</f>
        <v>0</v>
      </c>
      <c r="AA503" s="116">
        <f>SUMIFS('FA Write off'!D:D,'FA Write off'!A:A,'FA Addition'!$A503,'FA Write off'!C:C,"&lt;"&amp;'FA Addition'!$L$1+1,'FA Write off'!C:C,"&gt;"&amp;'FA Addition'!$L$1-365)</f>
        <v>0</v>
      </c>
      <c r="AC503" s="118">
        <f>IFERROR(AA503/'FA Addition'!$J503*'FA Addition'!$L503,0)</f>
        <v>0</v>
      </c>
      <c r="AE503" s="117">
        <f>IF(AND('FA Addition'!$D503&lt;$P$1+1,U503=0),'FA Addition'!$L503,0)-Y503</f>
        <v>29990</v>
      </c>
      <c r="AF503" s="117">
        <f t="shared" si="35"/>
        <v>29990</v>
      </c>
      <c r="AG503" s="117">
        <f>MIN(MAX(+$P$1-'FA Addition'!$D503,0),365*'FA Addition'!$O503)</f>
        <v>253</v>
      </c>
      <c r="AH503" s="117">
        <f>MIN(MAX($L$1-'FA Addition'!$D503+1,0),365*'FA Addition'!$O503)</f>
        <v>619</v>
      </c>
      <c r="AI503" s="117" cm="1">
        <f t="array" ref="AI503">_xlfn.XLOOKUP(1,('FA Write off'!A:A='FA Addition'!$A503)*('FA Write off'!D:D=AA503),'FA Write off'!H:H,0,0)</f>
        <v>0</v>
      </c>
      <c r="AJ503" s="117">
        <f>IF(AC503&gt;0,MAX(IF('FA Addition'!$N503="SLM",($AC503-'FA Addition'!$M503)*'FA Addition'!$P503*AI503/365,(AC503-'FA Addition'!$M503)*(1-(1-'FA Addition'!$P503)^(AI503/365))),0),0)</f>
        <v>0</v>
      </c>
      <c r="AL503" s="117">
        <f>MAX(IF(AG503&gt;0,IF('FA Addition'!$N503="SLM",($AE503-'FA Addition'!$M503)*'FA Addition'!$P503*AG503/365,IFERROR(VDB(AE503,AE503*0.05,'FA Addition'!$O503,0,YEARFRAC('FA Addition'!$C503,$P$1-1,3),'FA Addition'!$Q503),FAAddition[[#This Row],[Original Cost (Rs)]]-FAAddition[[#This Row],[Salvage Value]])),0),0)</f>
        <v>9331.5850198550252</v>
      </c>
      <c r="AM503" s="119"/>
      <c r="AN503" s="117">
        <f>MAX(IF(AH503&gt;0,IF('FA Addition'!$N503="SLM",($AF503-'FA Addition'!$M503)*'FA Addition'!$P503*AH503/365,IFERROR(VDB(AF503,AF503*0.05,'FA Addition'!$O503,0,YEARFRAC('FA Addition'!$C503,$L$1,3),'FA Addition'!$Q503),FAAddition[[#This Row],[Original Cost (Rs)]]-FAAddition[[#This Row],[Salvage Value]])),0),0)</f>
        <v>18662.324831723887</v>
      </c>
      <c r="AO503" s="117">
        <f t="shared" si="38"/>
        <v>9330.7398118688616</v>
      </c>
      <c r="AP503" s="206"/>
      <c r="AQ503" s="117">
        <f t="shared" si="36"/>
        <v>20658.414980144975</v>
      </c>
      <c r="AR503" s="120">
        <f t="shared" si="37"/>
        <v>11327.675168276113</v>
      </c>
      <c r="AS503" s="121"/>
    </row>
    <row r="504" spans="1:45" ht="13.5" x14ac:dyDescent="0.4">
      <c r="A504" s="12">
        <f t="shared" si="39"/>
        <v>501</v>
      </c>
      <c r="B504" s="64" t="s">
        <v>1089</v>
      </c>
      <c r="C504" s="54">
        <v>44767</v>
      </c>
      <c r="D504" s="54">
        <v>44767</v>
      </c>
      <c r="E504" s="46" t="s">
        <v>451</v>
      </c>
      <c r="F504" s="51" t="s">
        <v>1133</v>
      </c>
      <c r="G504" s="51" t="s">
        <v>1196</v>
      </c>
      <c r="H504" s="51" t="s">
        <v>21</v>
      </c>
      <c r="I504" s="55" t="s">
        <v>1197</v>
      </c>
      <c r="J504" s="56">
        <v>1</v>
      </c>
      <c r="K504" s="51" t="s">
        <v>1198</v>
      </c>
      <c r="L504" s="58">
        <v>76178</v>
      </c>
      <c r="M504" s="50">
        <f>ROUND('FA Addition'!$L504*5%,0.1)</f>
        <v>3809</v>
      </c>
      <c r="N504" s="113" t="str">
        <f>_xlfn.XLOOKUP(_xlfn.CONCAT(E504,B504),'Year Wise Master Dep Approach'!F:F,'Year Wise Master Dep Approach'!D:D)</f>
        <v>WDV</v>
      </c>
      <c r="O504" s="113">
        <f>_xlfn.XLOOKUP(_xlfn.CONCAT(E504,B504),'Year Wise Master Dep Approach'!F:F,'Year Wise Master Dep Approach'!E:E)</f>
        <v>3</v>
      </c>
      <c r="P504" s="114">
        <f>IFERROR(IF('FA Addition'!$N504="WDV",1-('FA Addition'!$M504/'FA Addition'!$L504)^(1/'FA Addition'!$O504),1/'FA Addition'!$O504),0)</f>
        <v>0.63159362610867564</v>
      </c>
      <c r="Q504" s="122">
        <f>'FA Addition'!$P504*'FA Addition'!$O504</f>
        <v>1.8947808783260269</v>
      </c>
      <c r="R504" s="122"/>
      <c r="S504" s="116">
        <f>IF(AND(DATE(20&amp;LEFT(FAAddition[[#This Row],[FY]],2),4,1)&lt;$L$1+1,DATE(20&amp;LEFT(FAAddition[[#This Row],[FY]],2),4,1)&gt;$P$1-1),'FA Addition'!$J504,0)</f>
        <v>0</v>
      </c>
      <c r="U504" s="117">
        <f>S504*'FA Addition'!$L504/'FA Addition'!$J504</f>
        <v>0</v>
      </c>
      <c r="W504" s="116">
        <f>SUMIFS('FA Write off'!D:D,'FA Write off'!A:A,'FA Addition'!$A504,'FA Write off'!C:C,"&lt;"&amp;'FA Addition'!$P$1)</f>
        <v>0</v>
      </c>
      <c r="Y504" s="191">
        <f>IFERROR(W504/'FA Addition'!$J504*'FA Addition'!$L504,0)</f>
        <v>0</v>
      </c>
      <c r="AA504" s="116">
        <f>SUMIFS('FA Write off'!D:D,'FA Write off'!A:A,'FA Addition'!$A504,'FA Write off'!C:C,"&lt;"&amp;'FA Addition'!$L$1+1,'FA Write off'!C:C,"&gt;"&amp;'FA Addition'!$L$1-365)</f>
        <v>0</v>
      </c>
      <c r="AC504" s="118">
        <f>IFERROR(AA504/'FA Addition'!$J504*'FA Addition'!$L504,0)</f>
        <v>0</v>
      </c>
      <c r="AE504" s="117">
        <f>IF(AND('FA Addition'!$D504&lt;$P$1+1,U504=0),'FA Addition'!$L504,0)-Y504</f>
        <v>76178</v>
      </c>
      <c r="AF504" s="117">
        <f t="shared" si="35"/>
        <v>76178</v>
      </c>
      <c r="AG504" s="117">
        <f>MIN(MAX(+$P$1-'FA Addition'!$D504,0),365*'FA Addition'!$O504)</f>
        <v>250</v>
      </c>
      <c r="AH504" s="117">
        <f>MIN(MAX($L$1-'FA Addition'!$D504+1,0),365*'FA Addition'!$O504)</f>
        <v>616</v>
      </c>
      <c r="AI504" s="117" cm="1">
        <f t="array" ref="AI504">_xlfn.XLOOKUP(1,('FA Write off'!A:A='FA Addition'!$A504)*('FA Write off'!D:D=AA504),'FA Write off'!H:H,0,0)</f>
        <v>0</v>
      </c>
      <c r="AJ504" s="117">
        <f>IF(AC504&gt;0,MAX(IF('FA Addition'!$N504="SLM",($AC504-'FA Addition'!$M504)*'FA Addition'!$P504*AI504/365,(AC504-'FA Addition'!$M504)*(1-(1-'FA Addition'!$P504)^(AI504/365))),0),0)</f>
        <v>0</v>
      </c>
      <c r="AL504" s="117">
        <f>MAX(IF(AG504&gt;0,IF('FA Addition'!$N504="SLM",($AE504-'FA Addition'!$M504)*'FA Addition'!$P504*AG504/365,IFERROR(VDB(AE504,AE504*0.05,'FA Addition'!$O504,0,YEARFRAC('FA Addition'!$C504,$P$1-1,3),'FA Addition'!$Q504),FAAddition[[#This Row],[Original Cost (Rs)]]-FAAddition[[#This Row],[Salvage Value]])),0),0)</f>
        <v>32822.661022402644</v>
      </c>
      <c r="AM504" s="119"/>
      <c r="AN504" s="117">
        <f>MAX(IF(AH504&gt;0,IF('FA Addition'!$N504="SLM",($AF504-'FA Addition'!$M504)*'FA Addition'!$P504*AH504/365,IFERROR(VDB(AF504,AF504*0.05,'FA Addition'!$O504,0,YEARFRAC('FA Addition'!$C504,$L$1,3),'FA Addition'!$Q504),FAAddition[[#This Row],[Original Cost (Rs)]]-FAAddition[[#This Row],[Salvage Value]])),0),0)</f>
        <v>60254.179338790498</v>
      </c>
      <c r="AO504" s="117">
        <f t="shared" si="38"/>
        <v>27431.518316387854</v>
      </c>
      <c r="AP504" s="206"/>
      <c r="AQ504" s="117">
        <f t="shared" si="36"/>
        <v>43355.338977597356</v>
      </c>
      <c r="AR504" s="120">
        <f t="shared" si="37"/>
        <v>15923.820661209502</v>
      </c>
      <c r="AS504" s="121"/>
    </row>
    <row r="505" spans="1:45" ht="13.5" x14ac:dyDescent="0.4">
      <c r="A505" s="12">
        <f t="shared" si="39"/>
        <v>502</v>
      </c>
      <c r="B505" s="64" t="s">
        <v>1089</v>
      </c>
      <c r="C505" s="54">
        <v>44768</v>
      </c>
      <c r="D505" s="54">
        <v>44768</v>
      </c>
      <c r="E505" s="46" t="s">
        <v>451</v>
      </c>
      <c r="F505" s="51" t="s">
        <v>1133</v>
      </c>
      <c r="G505" s="51" t="s">
        <v>1134</v>
      </c>
      <c r="H505" s="51" t="s">
        <v>21</v>
      </c>
      <c r="I505" s="55" t="s">
        <v>1199</v>
      </c>
      <c r="J505" s="56">
        <v>1</v>
      </c>
      <c r="K505" s="51" t="s">
        <v>1200</v>
      </c>
      <c r="L505" s="58">
        <v>25415</v>
      </c>
      <c r="M505" s="50">
        <f>ROUND('FA Addition'!$L505*5%,0.1)</f>
        <v>1271</v>
      </c>
      <c r="N505" s="113" t="str">
        <f>_xlfn.XLOOKUP(_xlfn.CONCAT(E505,B505),'Year Wise Master Dep Approach'!F:F,'Year Wise Master Dep Approach'!D:D)</f>
        <v>WDV</v>
      </c>
      <c r="O505" s="113">
        <f>_xlfn.XLOOKUP(_xlfn.CONCAT(E505,B505),'Year Wise Master Dep Approach'!F:F,'Year Wise Master Dep Approach'!E:E)</f>
        <v>3</v>
      </c>
      <c r="P505" s="114">
        <f>IFERROR(IF('FA Addition'!$N505="WDV",1-('FA Addition'!$M505/'FA Addition'!$L505)^(1/'FA Addition'!$O505),1/'FA Addition'!$O505),0)</f>
        <v>0.63157269255229442</v>
      </c>
      <c r="Q505" s="122">
        <f>'FA Addition'!$P505*'FA Addition'!$O505</f>
        <v>1.8947180776568833</v>
      </c>
      <c r="R505" s="122"/>
      <c r="S505" s="116">
        <f>IF(AND(DATE(20&amp;LEFT(FAAddition[[#This Row],[FY]],2),4,1)&lt;$L$1+1,DATE(20&amp;LEFT(FAAddition[[#This Row],[FY]],2),4,1)&gt;$P$1-1),'FA Addition'!$J505,0)</f>
        <v>0</v>
      </c>
      <c r="U505" s="117">
        <f>S505*'FA Addition'!$L505/'FA Addition'!$J505</f>
        <v>0</v>
      </c>
      <c r="W505" s="116">
        <f>SUMIFS('FA Write off'!D:D,'FA Write off'!A:A,'FA Addition'!$A505,'FA Write off'!C:C,"&lt;"&amp;'FA Addition'!$P$1)</f>
        <v>0</v>
      </c>
      <c r="Y505" s="191">
        <f>IFERROR(W505/'FA Addition'!$J505*'FA Addition'!$L505,0)</f>
        <v>0</v>
      </c>
      <c r="AA505" s="116">
        <f>SUMIFS('FA Write off'!D:D,'FA Write off'!A:A,'FA Addition'!$A505,'FA Write off'!C:C,"&lt;"&amp;'FA Addition'!$L$1+1,'FA Write off'!C:C,"&gt;"&amp;'FA Addition'!$L$1-365)</f>
        <v>0</v>
      </c>
      <c r="AC505" s="118">
        <f>IFERROR(AA505/'FA Addition'!$J505*'FA Addition'!$L505,0)</f>
        <v>0</v>
      </c>
      <c r="AE505" s="117">
        <f>IF(AND('FA Addition'!$D505&lt;$P$1+1,U505=0),'FA Addition'!$L505,0)-Y505</f>
        <v>25415</v>
      </c>
      <c r="AF505" s="117">
        <f t="shared" si="35"/>
        <v>25415</v>
      </c>
      <c r="AG505" s="117">
        <f>MIN(MAX(+$P$1-'FA Addition'!$D505,0),365*'FA Addition'!$O505)</f>
        <v>249</v>
      </c>
      <c r="AH505" s="117">
        <f>MIN(MAX($L$1-'FA Addition'!$D505+1,0),365*'FA Addition'!$O505)</f>
        <v>615</v>
      </c>
      <c r="AI505" s="117" cm="1">
        <f t="array" ref="AI505">_xlfn.XLOOKUP(1,('FA Write off'!A:A='FA Addition'!$A505)*('FA Write off'!D:D=AA505),'FA Write off'!H:H,0,0)</f>
        <v>0</v>
      </c>
      <c r="AJ505" s="117">
        <f>IF(AC505&gt;0,MAX(IF('FA Addition'!$N505="SLM",($AC505-'FA Addition'!$M505)*'FA Addition'!$P505*AI505/365,(AC505-'FA Addition'!$M505)*(1-(1-'FA Addition'!$P505)^(AI505/365))),0),0)</f>
        <v>0</v>
      </c>
      <c r="AL505" s="117">
        <f>MAX(IF(AG505&gt;0,IF('FA Addition'!$N505="SLM",($AE505-'FA Addition'!$M505)*'FA Addition'!$P505*AG505/365,IFERROR(VDB(AE505,AE505*0.05,'FA Addition'!$O505,0,YEARFRAC('FA Addition'!$C505,$P$1-1,3),'FA Addition'!$Q505),FAAddition[[#This Row],[Original Cost (Rs)]]-FAAddition[[#This Row],[Salvage Value]])),0),0)</f>
        <v>10906.170288607418</v>
      </c>
      <c r="AM505" s="119"/>
      <c r="AN505" s="117">
        <f>MAX(IF(AH505&gt;0,IF('FA Addition'!$N505="SLM",($AF505-'FA Addition'!$M505)*'FA Addition'!$P505*AH505/365,IFERROR(VDB(AF505,AF505*0.05,'FA Addition'!$O505,0,YEARFRAC('FA Addition'!$C505,$L$1,3),'FA Addition'!$Q505),FAAddition[[#This Row],[Original Cost (Rs)]]-FAAddition[[#This Row],[Salvage Value]])),0),0)</f>
        <v>20085.7530761579</v>
      </c>
      <c r="AO505" s="117">
        <f t="shared" si="38"/>
        <v>9179.582787550482</v>
      </c>
      <c r="AP505" s="206"/>
      <c r="AQ505" s="117">
        <f t="shared" si="36"/>
        <v>14508.829711392582</v>
      </c>
      <c r="AR505" s="120">
        <f t="shared" si="37"/>
        <v>5329.2469238420999</v>
      </c>
      <c r="AS505" s="121"/>
    </row>
    <row r="506" spans="1:45" ht="13.5" x14ac:dyDescent="0.4">
      <c r="A506" s="12">
        <f t="shared" si="39"/>
        <v>503</v>
      </c>
      <c r="B506" s="64" t="s">
        <v>1089</v>
      </c>
      <c r="C506" s="54">
        <v>44768</v>
      </c>
      <c r="D506" s="54">
        <v>44768</v>
      </c>
      <c r="E506" s="46" t="s">
        <v>451</v>
      </c>
      <c r="F506" s="51" t="s">
        <v>1133</v>
      </c>
      <c r="G506" s="51" t="s">
        <v>1134</v>
      </c>
      <c r="H506" s="51" t="s">
        <v>21</v>
      </c>
      <c r="I506" s="55" t="s">
        <v>1199</v>
      </c>
      <c r="J506" s="56">
        <v>1</v>
      </c>
      <c r="K506" s="51" t="s">
        <v>1200</v>
      </c>
      <c r="L506" s="58">
        <v>25415</v>
      </c>
      <c r="M506" s="50">
        <f>ROUND('FA Addition'!$L506*5%,0.1)</f>
        <v>1271</v>
      </c>
      <c r="N506" s="113" t="str">
        <f>_xlfn.XLOOKUP(_xlfn.CONCAT(E506,B506),'Year Wise Master Dep Approach'!F:F,'Year Wise Master Dep Approach'!D:D)</f>
        <v>WDV</v>
      </c>
      <c r="O506" s="113">
        <f>_xlfn.XLOOKUP(_xlfn.CONCAT(E506,B506),'Year Wise Master Dep Approach'!F:F,'Year Wise Master Dep Approach'!E:E)</f>
        <v>3</v>
      </c>
      <c r="P506" s="114">
        <f>IFERROR(IF('FA Addition'!$N506="WDV",1-('FA Addition'!$M506/'FA Addition'!$L506)^(1/'FA Addition'!$O506),1/'FA Addition'!$O506),0)</f>
        <v>0.63157269255229442</v>
      </c>
      <c r="Q506" s="122">
        <f>'FA Addition'!$P506*'FA Addition'!$O506</f>
        <v>1.8947180776568833</v>
      </c>
      <c r="R506" s="122"/>
      <c r="S506" s="116">
        <f>IF(AND(DATE(20&amp;LEFT(FAAddition[[#This Row],[FY]],2),4,1)&lt;$L$1+1,DATE(20&amp;LEFT(FAAddition[[#This Row],[FY]],2),4,1)&gt;$P$1-1),'FA Addition'!$J506,0)</f>
        <v>0</v>
      </c>
      <c r="U506" s="117">
        <f>S506*'FA Addition'!$L506/'FA Addition'!$J506</f>
        <v>0</v>
      </c>
      <c r="W506" s="116">
        <f>SUMIFS('FA Write off'!D:D,'FA Write off'!A:A,'FA Addition'!$A506,'FA Write off'!C:C,"&lt;"&amp;'FA Addition'!$P$1)</f>
        <v>0</v>
      </c>
      <c r="Y506" s="191">
        <f>IFERROR(W506/'FA Addition'!$J506*'FA Addition'!$L506,0)</f>
        <v>0</v>
      </c>
      <c r="AA506" s="116">
        <f>SUMIFS('FA Write off'!D:D,'FA Write off'!A:A,'FA Addition'!$A506,'FA Write off'!C:C,"&lt;"&amp;'FA Addition'!$L$1+1,'FA Write off'!C:C,"&gt;"&amp;'FA Addition'!$L$1-365)</f>
        <v>0</v>
      </c>
      <c r="AC506" s="118">
        <f>IFERROR(AA506/'FA Addition'!$J506*'FA Addition'!$L506,0)</f>
        <v>0</v>
      </c>
      <c r="AE506" s="117">
        <f>IF(AND('FA Addition'!$D506&lt;$P$1+1,U506=0),'FA Addition'!$L506,0)-Y506</f>
        <v>25415</v>
      </c>
      <c r="AF506" s="117">
        <f t="shared" si="35"/>
        <v>25415</v>
      </c>
      <c r="AG506" s="117">
        <f>MIN(MAX(+$P$1-'FA Addition'!$D506,0),365*'FA Addition'!$O506)</f>
        <v>249</v>
      </c>
      <c r="AH506" s="117">
        <f>MIN(MAX($L$1-'FA Addition'!$D506+1,0),365*'FA Addition'!$O506)</f>
        <v>615</v>
      </c>
      <c r="AI506" s="117" cm="1">
        <f t="array" ref="AI506">_xlfn.XLOOKUP(1,('FA Write off'!A:A='FA Addition'!$A506)*('FA Write off'!D:D=AA506),'FA Write off'!H:H,0,0)</f>
        <v>0</v>
      </c>
      <c r="AJ506" s="117">
        <f>IF(AC506&gt;0,MAX(IF('FA Addition'!$N506="SLM",($AC506-'FA Addition'!$M506)*'FA Addition'!$P506*AI506/365,(AC506-'FA Addition'!$M506)*(1-(1-'FA Addition'!$P506)^(AI506/365))),0),0)</f>
        <v>0</v>
      </c>
      <c r="AL506" s="117">
        <f>MAX(IF(AG506&gt;0,IF('FA Addition'!$N506="SLM",($AE506-'FA Addition'!$M506)*'FA Addition'!$P506*AG506/365,IFERROR(VDB(AE506,AE506*0.05,'FA Addition'!$O506,0,YEARFRAC('FA Addition'!$C506,$P$1-1,3),'FA Addition'!$Q506),FAAddition[[#This Row],[Original Cost (Rs)]]-FAAddition[[#This Row],[Salvage Value]])),0),0)</f>
        <v>10906.170288607418</v>
      </c>
      <c r="AM506" s="119"/>
      <c r="AN506" s="117">
        <f>MAX(IF(AH506&gt;0,IF('FA Addition'!$N506="SLM",($AF506-'FA Addition'!$M506)*'FA Addition'!$P506*AH506/365,IFERROR(VDB(AF506,AF506*0.05,'FA Addition'!$O506,0,YEARFRAC('FA Addition'!$C506,$L$1,3),'FA Addition'!$Q506),FAAddition[[#This Row],[Original Cost (Rs)]]-FAAddition[[#This Row],[Salvage Value]])),0),0)</f>
        <v>20085.7530761579</v>
      </c>
      <c r="AO506" s="117">
        <f t="shared" si="38"/>
        <v>9179.582787550482</v>
      </c>
      <c r="AP506" s="206"/>
      <c r="AQ506" s="117">
        <f t="shared" si="36"/>
        <v>14508.829711392582</v>
      </c>
      <c r="AR506" s="120">
        <f t="shared" si="37"/>
        <v>5329.2469238420999</v>
      </c>
      <c r="AS506" s="121"/>
    </row>
    <row r="507" spans="1:45" ht="13.5" x14ac:dyDescent="0.4">
      <c r="A507" s="12">
        <f t="shared" si="39"/>
        <v>504</v>
      </c>
      <c r="B507" s="64" t="s">
        <v>1089</v>
      </c>
      <c r="C507" s="54">
        <v>44769</v>
      </c>
      <c r="D507" s="54">
        <v>44769</v>
      </c>
      <c r="E507" s="46" t="s">
        <v>749</v>
      </c>
      <c r="F507" s="51" t="s">
        <v>1192</v>
      </c>
      <c r="G507" s="51" t="s">
        <v>1201</v>
      </c>
      <c r="H507" s="51" t="s">
        <v>129</v>
      </c>
      <c r="I507" s="55" t="s">
        <v>1202</v>
      </c>
      <c r="J507" s="56">
        <v>1</v>
      </c>
      <c r="K507" s="51" t="s">
        <v>1203</v>
      </c>
      <c r="L507" s="58">
        <v>17990</v>
      </c>
      <c r="M507" s="50">
        <f>ROUND('FA Addition'!$L507*5%,0.1)</f>
        <v>900</v>
      </c>
      <c r="N507" s="113" t="str">
        <f>_xlfn.XLOOKUP(_xlfn.CONCAT(E507,B507),'Year Wise Master Dep Approach'!F:F,'Year Wise Master Dep Approach'!D:D)</f>
        <v>WDV</v>
      </c>
      <c r="O507" s="113">
        <f>_xlfn.XLOOKUP(_xlfn.CONCAT(E507,B507),'Year Wise Master Dep Approach'!F:F,'Year Wise Master Dep Approach'!E:E)</f>
        <v>5</v>
      </c>
      <c r="P507" s="114">
        <f>IFERROR(IF('FA Addition'!$N507="WDV",1-('FA Addition'!$M507/'FA Addition'!$L507)^(1/'FA Addition'!$O507),1/'FA Addition'!$O507),0)</f>
        <v>0.45065867685364069</v>
      </c>
      <c r="Q507" s="122">
        <f>'FA Addition'!$P507*'FA Addition'!$O507</f>
        <v>2.2532933842682032</v>
      </c>
      <c r="R507" s="122"/>
      <c r="S507" s="116">
        <f>IF(AND(DATE(20&amp;LEFT(FAAddition[[#This Row],[FY]],2),4,1)&lt;$L$1+1,DATE(20&amp;LEFT(FAAddition[[#This Row],[FY]],2),4,1)&gt;$P$1-1),'FA Addition'!$J507,0)</f>
        <v>0</v>
      </c>
      <c r="U507" s="117">
        <f>S507*'FA Addition'!$L507/'FA Addition'!$J507</f>
        <v>0</v>
      </c>
      <c r="W507" s="116">
        <f>SUMIFS('FA Write off'!D:D,'FA Write off'!A:A,'FA Addition'!$A507,'FA Write off'!C:C,"&lt;"&amp;'FA Addition'!$P$1)</f>
        <v>0</v>
      </c>
      <c r="Y507" s="191">
        <f>IFERROR(W507/'FA Addition'!$J507*'FA Addition'!$L507,0)</f>
        <v>0</v>
      </c>
      <c r="AA507" s="116">
        <f>SUMIFS('FA Write off'!D:D,'FA Write off'!A:A,'FA Addition'!$A507,'FA Write off'!C:C,"&lt;"&amp;'FA Addition'!$L$1+1,'FA Write off'!C:C,"&gt;"&amp;'FA Addition'!$L$1-365)</f>
        <v>0</v>
      </c>
      <c r="AC507" s="118">
        <f>IFERROR(AA507/'FA Addition'!$J507*'FA Addition'!$L507,0)</f>
        <v>0</v>
      </c>
      <c r="AE507" s="117">
        <f>IF(AND('FA Addition'!$D507&lt;$P$1+1,U507=0),'FA Addition'!$L507,0)-Y507</f>
        <v>17990</v>
      </c>
      <c r="AF507" s="117">
        <f t="shared" si="35"/>
        <v>17990</v>
      </c>
      <c r="AG507" s="117">
        <f>MIN(MAX(+$P$1-'FA Addition'!$D507,0),365*'FA Addition'!$O507)</f>
        <v>248</v>
      </c>
      <c r="AH507" s="117">
        <f>MIN(MAX($L$1-'FA Addition'!$D507+1,0),365*'FA Addition'!$O507)</f>
        <v>614</v>
      </c>
      <c r="AI507" s="117" cm="1">
        <f t="array" ref="AI507">_xlfn.XLOOKUP(1,('FA Write off'!A:A='FA Addition'!$A507)*('FA Write off'!D:D=AA507),'FA Write off'!H:H,0,0)</f>
        <v>0</v>
      </c>
      <c r="AJ507" s="117">
        <f>IF(AC507&gt;0,MAX(IF('FA Addition'!$N507="SLM",($AC507-'FA Addition'!$M507)*'FA Addition'!$P507*AI507/365,(AC507-'FA Addition'!$M507)*(1-(1-'FA Addition'!$P507)^(AI507/365))),0),0)</f>
        <v>0</v>
      </c>
      <c r="AL507" s="117">
        <f>MAX(IF(AG507&gt;0,IF('FA Addition'!$N507="SLM",($AE507-'FA Addition'!$M507)*'FA Addition'!$P507*AG507/365,IFERROR(VDB(AE507,AE507*0.05,'FA Addition'!$O507,0,YEARFRAC('FA Addition'!$C507,$P$1-1,3),'FA Addition'!$Q507),FAAddition[[#This Row],[Original Cost (Rs)]]-FAAddition[[#This Row],[Salvage Value]])),0),0)</f>
        <v>5486.3434256423498</v>
      </c>
      <c r="AM507" s="119"/>
      <c r="AN507" s="117">
        <f>MAX(IF(AH507&gt;0,IF('FA Addition'!$N507="SLM",($AF507-'FA Addition'!$M507)*'FA Addition'!$P507*AH507/365,IFERROR(VDB(AF507,AF507*0.05,'FA Addition'!$O507,0,YEARFRAC('FA Addition'!$C507,$L$1,3),'FA Addition'!$Q507),FAAddition[[#This Row],[Original Cost (Rs)]]-FAAddition[[#This Row],[Salvage Value]])),0),0)</f>
        <v>11133.426676985939</v>
      </c>
      <c r="AO507" s="117">
        <f t="shared" si="38"/>
        <v>5647.0832513435889</v>
      </c>
      <c r="AP507" s="206"/>
      <c r="AQ507" s="117">
        <f t="shared" si="36"/>
        <v>12503.65657435765</v>
      </c>
      <c r="AR507" s="120">
        <f t="shared" si="37"/>
        <v>6856.5733230140613</v>
      </c>
      <c r="AS507" s="121"/>
    </row>
    <row r="508" spans="1:45" ht="13.5" x14ac:dyDescent="0.4">
      <c r="A508" s="12">
        <f t="shared" si="39"/>
        <v>505</v>
      </c>
      <c r="B508" s="64" t="s">
        <v>1089</v>
      </c>
      <c r="C508" s="54">
        <v>44771</v>
      </c>
      <c r="D508" s="54">
        <v>44771</v>
      </c>
      <c r="E508" s="46" t="s">
        <v>451</v>
      </c>
      <c r="F508" s="51" t="s">
        <v>1133</v>
      </c>
      <c r="G508" s="51" t="s">
        <v>1204</v>
      </c>
      <c r="H508" s="51" t="s">
        <v>21</v>
      </c>
      <c r="I508" s="55" t="s">
        <v>1205</v>
      </c>
      <c r="J508" s="56">
        <v>1</v>
      </c>
      <c r="K508" s="51" t="s">
        <v>1168</v>
      </c>
      <c r="L508" s="58">
        <v>58604</v>
      </c>
      <c r="M508" s="50">
        <f>ROUND('FA Addition'!$L508*5%,0.1)</f>
        <v>2930</v>
      </c>
      <c r="N508" s="113" t="str">
        <f>_xlfn.XLOOKUP(_xlfn.CONCAT(E508,B508),'Year Wise Master Dep Approach'!F:F,'Year Wise Master Dep Approach'!D:D)</f>
        <v>WDV</v>
      </c>
      <c r="O508" s="113">
        <f>_xlfn.XLOOKUP(_xlfn.CONCAT(E508,B508),'Year Wise Master Dep Approach'!F:F,'Year Wise Master Dep Approach'!E:E)</f>
        <v>3</v>
      </c>
      <c r="P508" s="114">
        <f>IFERROR(IF('FA Addition'!$N508="WDV",1-('FA Addition'!$M508/'FA Addition'!$L508)^(1/'FA Addition'!$O508),1/'FA Addition'!$O508),0)</f>
        <v>0.6316052320787624</v>
      </c>
      <c r="Q508" s="122">
        <f>'FA Addition'!$P508*'FA Addition'!$O508</f>
        <v>1.8948156962362872</v>
      </c>
      <c r="R508" s="122"/>
      <c r="S508" s="116">
        <f>IF(AND(DATE(20&amp;LEFT(FAAddition[[#This Row],[FY]],2),4,1)&lt;$L$1+1,DATE(20&amp;LEFT(FAAddition[[#This Row],[FY]],2),4,1)&gt;$P$1-1),'FA Addition'!$J508,0)</f>
        <v>0</v>
      </c>
      <c r="U508" s="117">
        <f>S508*'FA Addition'!$L508/'FA Addition'!$J508</f>
        <v>0</v>
      </c>
      <c r="W508" s="116">
        <f>SUMIFS('FA Write off'!D:D,'FA Write off'!A:A,'FA Addition'!$A508,'FA Write off'!C:C,"&lt;"&amp;'FA Addition'!$P$1)</f>
        <v>0</v>
      </c>
      <c r="Y508" s="191">
        <f>IFERROR(W508/'FA Addition'!$J508*'FA Addition'!$L508,0)</f>
        <v>0</v>
      </c>
      <c r="AA508" s="116">
        <f>SUMIFS('FA Write off'!D:D,'FA Write off'!A:A,'FA Addition'!$A508,'FA Write off'!C:C,"&lt;"&amp;'FA Addition'!$L$1+1,'FA Write off'!C:C,"&gt;"&amp;'FA Addition'!$L$1-365)</f>
        <v>0</v>
      </c>
      <c r="AC508" s="118">
        <f>IFERROR(AA508/'FA Addition'!$J508*'FA Addition'!$L508,0)</f>
        <v>0</v>
      </c>
      <c r="AE508" s="117">
        <f>IF(AND('FA Addition'!$D508&lt;$P$1+1,U508=0),'FA Addition'!$L508,0)-Y508</f>
        <v>58604</v>
      </c>
      <c r="AF508" s="117">
        <f t="shared" si="35"/>
        <v>58604</v>
      </c>
      <c r="AG508" s="117">
        <f>MIN(MAX(+$P$1-'FA Addition'!$D508,0),365*'FA Addition'!$O508)</f>
        <v>246</v>
      </c>
      <c r="AH508" s="117">
        <f>MIN(MAX($L$1-'FA Addition'!$D508+1,0),365*'FA Addition'!$O508)</f>
        <v>612</v>
      </c>
      <c r="AI508" s="117" cm="1">
        <f t="array" ref="AI508">_xlfn.XLOOKUP(1,('FA Write off'!A:A='FA Addition'!$A508)*('FA Write off'!D:D=AA508),'FA Write off'!H:H,0,0)</f>
        <v>0</v>
      </c>
      <c r="AJ508" s="117">
        <f>IF(AC508&gt;0,MAX(IF('FA Addition'!$N508="SLM",($AC508-'FA Addition'!$M508)*'FA Addition'!$P508*AI508/365,(AC508-'FA Addition'!$M508)*(1-(1-'FA Addition'!$P508)^(AI508/365))),0),0)</f>
        <v>0</v>
      </c>
      <c r="AL508" s="117">
        <f>MAX(IF(AG508&gt;0,IF('FA Addition'!$N508="SLM",($AE508-'FA Addition'!$M508)*'FA Addition'!$P508*AG508/365,IFERROR(VDB(AE508,AE508*0.05,'FA Addition'!$O508,0,YEARFRAC('FA Addition'!$C508,$P$1-1,3),'FA Addition'!$Q508),FAAddition[[#This Row],[Original Cost (Rs)]]-FAAddition[[#This Row],[Salvage Value]])),0),0)</f>
        <v>24845.411753649943</v>
      </c>
      <c r="AM508" s="119"/>
      <c r="AN508" s="117">
        <f>MAX(IF(AH508&gt;0,IF('FA Addition'!$N508="SLM",($AF508-'FA Addition'!$M508)*'FA Addition'!$P508*AH508/365,IFERROR(VDB(AF508,AF508*0.05,'FA Addition'!$O508,0,YEARFRAC('FA Addition'!$C508,$L$1,3),'FA Addition'!$Q508),FAAddition[[#This Row],[Original Cost (Rs)]]-FAAddition[[#This Row],[Salvage Value]])),0),0)</f>
        <v>46204.871573542936</v>
      </c>
      <c r="AO508" s="117">
        <f t="shared" si="38"/>
        <v>21359.459819892993</v>
      </c>
      <c r="AP508" s="206"/>
      <c r="AQ508" s="117">
        <f t="shared" si="36"/>
        <v>33758.58824635006</v>
      </c>
      <c r="AR508" s="120">
        <f t="shared" si="37"/>
        <v>12399.128426457064</v>
      </c>
      <c r="AS508" s="121"/>
    </row>
    <row r="509" spans="1:45" ht="13.5" x14ac:dyDescent="0.4">
      <c r="A509" s="12">
        <f t="shared" si="39"/>
        <v>506</v>
      </c>
      <c r="B509" s="64" t="s">
        <v>1089</v>
      </c>
      <c r="C509" s="54">
        <v>44771</v>
      </c>
      <c r="D509" s="54">
        <v>44771</v>
      </c>
      <c r="E509" s="46" t="s">
        <v>523</v>
      </c>
      <c r="F509" s="51" t="s">
        <v>523</v>
      </c>
      <c r="G509" s="51" t="s">
        <v>1206</v>
      </c>
      <c r="H509" s="51" t="s">
        <v>1207</v>
      </c>
      <c r="I509" s="55" t="s">
        <v>1208</v>
      </c>
      <c r="J509" s="56">
        <v>1</v>
      </c>
      <c r="K509" s="51" t="s">
        <v>1209</v>
      </c>
      <c r="L509" s="58">
        <v>7923</v>
      </c>
      <c r="M509" s="50">
        <f>ROUND('FA Addition'!$L509*5%,0.1)</f>
        <v>396</v>
      </c>
      <c r="N509" s="113" t="str">
        <f>_xlfn.XLOOKUP(_xlfn.CONCAT(E509,B509),'Year Wise Master Dep Approach'!F:F,'Year Wise Master Dep Approach'!D:D)</f>
        <v>WDV</v>
      </c>
      <c r="O509" s="113">
        <f>_xlfn.XLOOKUP(_xlfn.CONCAT(E509,B509),'Year Wise Master Dep Approach'!F:F,'Year Wise Master Dep Approach'!E:E)</f>
        <v>10</v>
      </c>
      <c r="P509" s="114">
        <f>IFERROR(IF('FA Addition'!$N509="WDV",1-('FA Addition'!$M509/'FA Addition'!$L509)^(1/'FA Addition'!$O509),1/'FA Addition'!$O509),0)</f>
        <v>0.2588936183205911</v>
      </c>
      <c r="Q509" s="122">
        <f>'FA Addition'!$P509*'FA Addition'!$O509</f>
        <v>2.5889361832059112</v>
      </c>
      <c r="R509" s="122"/>
      <c r="S509" s="116">
        <f>IF(AND(DATE(20&amp;LEFT(FAAddition[[#This Row],[FY]],2),4,1)&lt;$L$1+1,DATE(20&amp;LEFT(FAAddition[[#This Row],[FY]],2),4,1)&gt;$P$1-1),'FA Addition'!$J509,0)</f>
        <v>0</v>
      </c>
      <c r="U509" s="117">
        <f>S509*'FA Addition'!$L509/'FA Addition'!$J509</f>
        <v>0</v>
      </c>
      <c r="W509" s="116">
        <f>SUMIFS('FA Write off'!D:D,'FA Write off'!A:A,'FA Addition'!$A509,'FA Write off'!C:C,"&lt;"&amp;'FA Addition'!$P$1)</f>
        <v>0</v>
      </c>
      <c r="Y509" s="191">
        <f>IFERROR(W509/'FA Addition'!$J509*'FA Addition'!$L509,0)</f>
        <v>0</v>
      </c>
      <c r="AA509" s="116">
        <f>SUMIFS('FA Write off'!D:D,'FA Write off'!A:A,'FA Addition'!$A509,'FA Write off'!C:C,"&lt;"&amp;'FA Addition'!$L$1+1,'FA Write off'!C:C,"&gt;"&amp;'FA Addition'!$L$1-365)</f>
        <v>0</v>
      </c>
      <c r="AC509" s="118">
        <f>IFERROR(AA509/'FA Addition'!$J509*'FA Addition'!$L509,0)</f>
        <v>0</v>
      </c>
      <c r="AE509" s="117">
        <f>IF(AND('FA Addition'!$D509&lt;$P$1+1,U509=0),'FA Addition'!$L509,0)-Y509</f>
        <v>7923</v>
      </c>
      <c r="AF509" s="117">
        <f t="shared" si="35"/>
        <v>7923</v>
      </c>
      <c r="AG509" s="117">
        <f>MIN(MAX(+$P$1-'FA Addition'!$D509,0),365*'FA Addition'!$O509)</f>
        <v>246</v>
      </c>
      <c r="AH509" s="117">
        <f>MIN(MAX($L$1-'FA Addition'!$D509+1,0),365*'FA Addition'!$O509)</f>
        <v>612</v>
      </c>
      <c r="AI509" s="117" cm="1">
        <f t="array" ref="AI509">_xlfn.XLOOKUP(1,('FA Write off'!A:A='FA Addition'!$A509)*('FA Write off'!D:D=AA509),'FA Write off'!H:H,0,0)</f>
        <v>0</v>
      </c>
      <c r="AJ509" s="117">
        <f>IF(AC509&gt;0,MAX(IF('FA Addition'!$N509="SLM",($AC509-'FA Addition'!$M509)*'FA Addition'!$P509*AI509/365,(AC509-'FA Addition'!$M509)*(1-(1-'FA Addition'!$P509)^(AI509/365))),0),0)</f>
        <v>0</v>
      </c>
      <c r="AL509" s="117">
        <f>MAX(IF(AG509&gt;0,IF('FA Addition'!$N509="SLM",($AE509-'FA Addition'!$M509)*'FA Addition'!$P509*AG509/365,IFERROR(VDB(AE509,AE509*0.05,'FA Addition'!$O509,0,YEARFRAC('FA Addition'!$C509,$P$1-1,3),'FA Addition'!$Q509),FAAddition[[#This Row],[Original Cost (Rs)]]-FAAddition[[#This Row],[Salvage Value]])),0),0)</f>
        <v>1376.8423665718922</v>
      </c>
      <c r="AM509" s="119"/>
      <c r="AN509" s="117">
        <f>MAX(IF(AH509&gt;0,IF('FA Addition'!$N509="SLM",($AF509-'FA Addition'!$M509)*'FA Addition'!$P509*AH509/365,IFERROR(VDB(AF509,AF509*0.05,'FA Addition'!$O509,0,YEARFRAC('FA Addition'!$C509,$L$1,3),'FA Addition'!$Q509),FAAddition[[#This Row],[Original Cost (Rs)]]-FAAddition[[#This Row],[Salvage Value]])),0),0)</f>
        <v>3075.7656459153504</v>
      </c>
      <c r="AO509" s="117">
        <f t="shared" si="38"/>
        <v>1698.9232793434583</v>
      </c>
      <c r="AP509" s="206"/>
      <c r="AQ509" s="117">
        <f t="shared" si="36"/>
        <v>6546.1576334281081</v>
      </c>
      <c r="AR509" s="120">
        <f t="shared" si="37"/>
        <v>4847.2343540846496</v>
      </c>
      <c r="AS509" s="121"/>
    </row>
    <row r="510" spans="1:45" ht="13.5" x14ac:dyDescent="0.4">
      <c r="A510" s="12">
        <f t="shared" si="39"/>
        <v>507</v>
      </c>
      <c r="B510" s="64" t="s">
        <v>1089</v>
      </c>
      <c r="C510" s="54">
        <v>44771</v>
      </c>
      <c r="D510" s="54">
        <v>44771</v>
      </c>
      <c r="E510" s="46" t="s">
        <v>32</v>
      </c>
      <c r="F510" s="51" t="s">
        <v>1090</v>
      </c>
      <c r="G510" s="51" t="s">
        <v>1134</v>
      </c>
      <c r="H510" s="51" t="s">
        <v>32</v>
      </c>
      <c r="I510" s="55" t="s">
        <v>1210</v>
      </c>
      <c r="J510" s="56">
        <v>1</v>
      </c>
      <c r="K510" s="51" t="s">
        <v>1211</v>
      </c>
      <c r="L510" s="58">
        <v>1355</v>
      </c>
      <c r="M510" s="50">
        <f>ROUND('FA Addition'!$L510*5%,0.1)</f>
        <v>68</v>
      </c>
      <c r="N510" s="113" t="str">
        <f>_xlfn.XLOOKUP(_xlfn.CONCAT(E510,B510),'Year Wise Master Dep Approach'!F:F,'Year Wise Master Dep Approach'!D:D)</f>
        <v>WDV</v>
      </c>
      <c r="O510" s="113">
        <f>_xlfn.XLOOKUP(_xlfn.CONCAT(E510,B510),'Year Wise Master Dep Approach'!F:F,'Year Wise Master Dep Approach'!E:E)</f>
        <v>3</v>
      </c>
      <c r="P510" s="114">
        <f>IFERROR(IF('FA Addition'!$N510="WDV",1-('FA Addition'!$M510/'FA Addition'!$L510)^(1/'FA Addition'!$O510),1/'FA Addition'!$O510),0)</f>
        <v>0.63114426595868411</v>
      </c>
      <c r="Q510" s="122">
        <f>'FA Addition'!$P510*'FA Addition'!$O510</f>
        <v>1.8934327978760523</v>
      </c>
      <c r="R510" s="122"/>
      <c r="S510" s="116">
        <f>IF(AND(DATE(20&amp;LEFT(FAAddition[[#This Row],[FY]],2),4,1)&lt;$L$1+1,DATE(20&amp;LEFT(FAAddition[[#This Row],[FY]],2),4,1)&gt;$P$1-1),'FA Addition'!$J510,0)</f>
        <v>0</v>
      </c>
      <c r="U510" s="117">
        <f>S510*'FA Addition'!$L510/'FA Addition'!$J510</f>
        <v>0</v>
      </c>
      <c r="W510" s="116">
        <f>SUMIFS('FA Write off'!D:D,'FA Write off'!A:A,'FA Addition'!$A510,'FA Write off'!C:C,"&lt;"&amp;'FA Addition'!$P$1)</f>
        <v>0</v>
      </c>
      <c r="Y510" s="191">
        <f>IFERROR(W510/'FA Addition'!$J510*'FA Addition'!$L510,0)</f>
        <v>0</v>
      </c>
      <c r="AA510" s="116">
        <f>SUMIFS('FA Write off'!D:D,'FA Write off'!A:A,'FA Addition'!$A510,'FA Write off'!C:C,"&lt;"&amp;'FA Addition'!$L$1+1,'FA Write off'!C:C,"&gt;"&amp;'FA Addition'!$L$1-365)</f>
        <v>0</v>
      </c>
      <c r="AC510" s="118">
        <f>IFERROR(AA510/'FA Addition'!$J510*'FA Addition'!$L510,0)</f>
        <v>0</v>
      </c>
      <c r="AE510" s="117">
        <f>IF(AND('FA Addition'!$D510&lt;$P$1+1,U510=0),'FA Addition'!$L510,0)-Y510</f>
        <v>1355</v>
      </c>
      <c r="AF510" s="117">
        <f t="shared" si="35"/>
        <v>1355</v>
      </c>
      <c r="AG510" s="117">
        <f>MIN(MAX(+$P$1-'FA Addition'!$D510,0),365*'FA Addition'!$O510)</f>
        <v>246</v>
      </c>
      <c r="AH510" s="117">
        <f>MIN(MAX($L$1-'FA Addition'!$D510+1,0),365*'FA Addition'!$O510)</f>
        <v>612</v>
      </c>
      <c r="AI510" s="117" cm="1">
        <f t="array" ref="AI510">_xlfn.XLOOKUP(1,('FA Write off'!A:A='FA Addition'!$A510)*('FA Write off'!D:D=AA510),'FA Write off'!H:H,0,0)</f>
        <v>0</v>
      </c>
      <c r="AJ510" s="117">
        <f>IF(AC510&gt;0,MAX(IF('FA Addition'!$N510="SLM",($AC510-'FA Addition'!$M510)*'FA Addition'!$P510*AI510/365,(AC510-'FA Addition'!$M510)*(1-(1-'FA Addition'!$P510)^(AI510/365))),0),0)</f>
        <v>0</v>
      </c>
      <c r="AL510" s="117">
        <f>MAX(IF(AG510&gt;0,IF('FA Addition'!$N510="SLM",($AE510-'FA Addition'!$M510)*'FA Addition'!$P510*AG510/365,IFERROR(VDB(AE510,AE510*0.05,'FA Addition'!$O510,0,YEARFRAC('FA Addition'!$C510,$P$1-1,3),'FA Addition'!$Q510),FAAddition[[#This Row],[Original Cost (Rs)]]-FAAddition[[#This Row],[Salvage Value]])),0),0)</f>
        <v>574.03867860721687</v>
      </c>
      <c r="AM510" s="119"/>
      <c r="AN510" s="117">
        <f>MAX(IF(AH510&gt;0,IF('FA Addition'!$N510="SLM",($AF510-'FA Addition'!$M510)*'FA Addition'!$P510*AH510/365,IFERROR(VDB(AF510,AF510*0.05,'FA Addition'!$O510,0,YEARFRAC('FA Addition'!$C510,$L$1,3),'FA Addition'!$Q510),FAAddition[[#This Row],[Original Cost (Rs)]]-FAAddition[[#This Row],[Salvage Value]])),0),0)</f>
        <v>1067.8021730629146</v>
      </c>
      <c r="AO510" s="117">
        <f t="shared" si="38"/>
        <v>493.7634944556977</v>
      </c>
      <c r="AP510" s="206"/>
      <c r="AQ510" s="117">
        <f t="shared" si="36"/>
        <v>780.96132139278313</v>
      </c>
      <c r="AR510" s="120">
        <f t="shared" si="37"/>
        <v>287.19782693708544</v>
      </c>
      <c r="AS510" s="121"/>
    </row>
    <row r="511" spans="1:45" ht="13.5" x14ac:dyDescent="0.4">
      <c r="A511" s="12">
        <f t="shared" si="39"/>
        <v>508</v>
      </c>
      <c r="B511" s="64" t="s">
        <v>1089</v>
      </c>
      <c r="C511" s="54">
        <v>44774</v>
      </c>
      <c r="D511" s="54">
        <v>44774</v>
      </c>
      <c r="E511" s="46" t="s">
        <v>451</v>
      </c>
      <c r="F511" s="51" t="s">
        <v>1133</v>
      </c>
      <c r="G511" s="51" t="s">
        <v>1212</v>
      </c>
      <c r="H511" s="51" t="s">
        <v>21</v>
      </c>
      <c r="I511" s="55" t="s">
        <v>1213</v>
      </c>
      <c r="J511" s="56">
        <v>1</v>
      </c>
      <c r="K511" s="51" t="s">
        <v>1214</v>
      </c>
      <c r="L511" s="58">
        <v>61519</v>
      </c>
      <c r="M511" s="50">
        <f>ROUND('FA Addition'!$L511*5%,0.1)</f>
        <v>3076</v>
      </c>
      <c r="N511" s="113" t="str">
        <f>_xlfn.XLOOKUP(_xlfn.CONCAT(E511,B511),'Year Wise Master Dep Approach'!F:F,'Year Wise Master Dep Approach'!D:D)</f>
        <v>WDV</v>
      </c>
      <c r="O511" s="113">
        <f>_xlfn.XLOOKUP(_xlfn.CONCAT(E511,B511),'Year Wise Master Dep Approach'!F:F,'Year Wise Master Dep Approach'!E:E)</f>
        <v>3</v>
      </c>
      <c r="P511" s="114">
        <f>IFERROR(IF('FA Addition'!$N511="WDV",1-('FA Addition'!$M511/'FA Addition'!$L511)^(1/'FA Addition'!$O511),1/'FA Addition'!$O511),0)</f>
        <v>0.6315948539984334</v>
      </c>
      <c r="Q511" s="122">
        <f>'FA Addition'!$P511*'FA Addition'!$O511</f>
        <v>1.8947845619953001</v>
      </c>
      <c r="R511" s="122"/>
      <c r="S511" s="116">
        <f>IF(AND(DATE(20&amp;LEFT(FAAddition[[#This Row],[FY]],2),4,1)&lt;$L$1+1,DATE(20&amp;LEFT(FAAddition[[#This Row],[FY]],2),4,1)&gt;$P$1-1),'FA Addition'!$J511,0)</f>
        <v>0</v>
      </c>
      <c r="U511" s="117">
        <f>S511*'FA Addition'!$L511/'FA Addition'!$J511</f>
        <v>0</v>
      </c>
      <c r="W511" s="116">
        <f>SUMIFS('FA Write off'!D:D,'FA Write off'!A:A,'FA Addition'!$A511,'FA Write off'!C:C,"&lt;"&amp;'FA Addition'!$P$1)</f>
        <v>0</v>
      </c>
      <c r="Y511" s="191">
        <f>IFERROR(W511/'FA Addition'!$J511*'FA Addition'!$L511,0)</f>
        <v>0</v>
      </c>
      <c r="AA511" s="116">
        <f>SUMIFS('FA Write off'!D:D,'FA Write off'!A:A,'FA Addition'!$A511,'FA Write off'!C:C,"&lt;"&amp;'FA Addition'!$L$1+1,'FA Write off'!C:C,"&gt;"&amp;'FA Addition'!$L$1-365)</f>
        <v>0</v>
      </c>
      <c r="AC511" s="118">
        <f>IFERROR(AA511/'FA Addition'!$J511*'FA Addition'!$L511,0)</f>
        <v>0</v>
      </c>
      <c r="AE511" s="117">
        <f>IF(AND('FA Addition'!$D511&lt;$P$1+1,U511=0),'FA Addition'!$L511,0)-Y511</f>
        <v>61519</v>
      </c>
      <c r="AF511" s="117">
        <f t="shared" si="35"/>
        <v>61519</v>
      </c>
      <c r="AG511" s="117">
        <f>MIN(MAX(+$P$1-'FA Addition'!$D511,0),365*'FA Addition'!$O511)</f>
        <v>243</v>
      </c>
      <c r="AH511" s="117">
        <f>MIN(MAX($L$1-'FA Addition'!$D511+1,0),365*'FA Addition'!$O511)</f>
        <v>609</v>
      </c>
      <c r="AI511" s="117" cm="1">
        <f t="array" ref="AI511">_xlfn.XLOOKUP(1,('FA Write off'!A:A='FA Addition'!$A511)*('FA Write off'!D:D=AA511),'FA Write off'!H:H,0,0)</f>
        <v>0</v>
      </c>
      <c r="AJ511" s="117">
        <f>IF(AC511&gt;0,MAX(IF('FA Addition'!$N511="SLM",($AC511-'FA Addition'!$M511)*'FA Addition'!$P511*AI511/365,(AC511-'FA Addition'!$M511)*(1-(1-'FA Addition'!$P511)^(AI511/365))),0),0)</f>
        <v>0</v>
      </c>
      <c r="AL511" s="117">
        <f>MAX(IF(AG511&gt;0,IF('FA Addition'!$N511="SLM",($AE511-'FA Addition'!$M511)*'FA Addition'!$P511*AG511/365,IFERROR(VDB(AE511,AE511*0.05,'FA Addition'!$O511,0,YEARFRAC('FA Addition'!$C511,$P$1-1,3),'FA Addition'!$Q511),FAAddition[[#This Row],[Original Cost (Rs)]]-FAAddition[[#This Row],[Salvage Value]])),0),0)</f>
        <v>25761.452836157176</v>
      </c>
      <c r="AM511" s="119"/>
      <c r="AN511" s="117">
        <f>MAX(IF(AH511&gt;0,IF('FA Addition'!$N511="SLM",($AF511-'FA Addition'!$M511)*'FA Addition'!$P511*AH511/365,IFERROR(VDB(AF511,AF511*0.05,'FA Addition'!$O511,0,YEARFRAC('FA Addition'!$C511,$L$1,3),'FA Addition'!$Q511),FAAddition[[#This Row],[Original Cost (Rs)]]-FAAddition[[#This Row],[Salvage Value]])),0),0)</f>
        <v>48384.953185840452</v>
      </c>
      <c r="AO511" s="117">
        <f t="shared" si="38"/>
        <v>22623.500349683276</v>
      </c>
      <c r="AP511" s="206"/>
      <c r="AQ511" s="117">
        <f t="shared" si="36"/>
        <v>35757.547163842828</v>
      </c>
      <c r="AR511" s="120">
        <f t="shared" si="37"/>
        <v>13134.046814159548</v>
      </c>
      <c r="AS511" s="121"/>
    </row>
    <row r="512" spans="1:45" ht="13.5" x14ac:dyDescent="0.4">
      <c r="A512" s="12">
        <f t="shared" si="39"/>
        <v>509</v>
      </c>
      <c r="B512" s="64" t="s">
        <v>1089</v>
      </c>
      <c r="C512" s="54">
        <v>44774</v>
      </c>
      <c r="D512" s="54">
        <v>44774</v>
      </c>
      <c r="E512" s="46" t="s">
        <v>32</v>
      </c>
      <c r="F512" s="51" t="s">
        <v>1090</v>
      </c>
      <c r="G512" s="51" t="s">
        <v>433</v>
      </c>
      <c r="H512" s="51" t="s">
        <v>32</v>
      </c>
      <c r="I512" s="55" t="s">
        <v>1215</v>
      </c>
      <c r="J512" s="56">
        <v>1000</v>
      </c>
      <c r="K512" s="51" t="s">
        <v>935</v>
      </c>
      <c r="L512" s="58">
        <v>1100000</v>
      </c>
      <c r="M512" s="50">
        <f>ROUND('FA Addition'!$L512*5%,0.1)</f>
        <v>55000</v>
      </c>
      <c r="N512" s="113" t="str">
        <f>_xlfn.XLOOKUP(_xlfn.CONCAT(E512,B512),'Year Wise Master Dep Approach'!F:F,'Year Wise Master Dep Approach'!D:D)</f>
        <v>WDV</v>
      </c>
      <c r="O512" s="113">
        <f>_xlfn.XLOOKUP(_xlfn.CONCAT(E512,B512),'Year Wise Master Dep Approach'!F:F,'Year Wise Master Dep Approach'!E:E)</f>
        <v>3</v>
      </c>
      <c r="P512" s="114">
        <f>IFERROR(IF('FA Addition'!$N512="WDV",1-('FA Addition'!$M512/'FA Addition'!$L512)^(1/'FA Addition'!$O512),1/'FA Addition'!$O512),0)</f>
        <v>0.63159685013596123</v>
      </c>
      <c r="Q512" s="122">
        <f>'FA Addition'!$P512*'FA Addition'!$O512</f>
        <v>1.8947905504078837</v>
      </c>
      <c r="R512" s="122"/>
      <c r="S512" s="116">
        <f>IF(AND(DATE(20&amp;LEFT(FAAddition[[#This Row],[FY]],2),4,1)&lt;$L$1+1,DATE(20&amp;LEFT(FAAddition[[#This Row],[FY]],2),4,1)&gt;$P$1-1),'FA Addition'!$J512,0)</f>
        <v>0</v>
      </c>
      <c r="U512" s="117">
        <f>S512*'FA Addition'!$L512/'FA Addition'!$J512</f>
        <v>0</v>
      </c>
      <c r="W512" s="116">
        <f>SUMIFS('FA Write off'!D:D,'FA Write off'!A:A,'FA Addition'!$A512,'FA Write off'!C:C,"&lt;"&amp;'FA Addition'!$P$1)</f>
        <v>25</v>
      </c>
      <c r="Y512" s="191">
        <f>IFERROR(W512/'FA Addition'!$J512*'FA Addition'!$L512,0)</f>
        <v>27500</v>
      </c>
      <c r="AA512" s="116">
        <f>SUMIFS('FA Write off'!D:D,'FA Write off'!A:A,'FA Addition'!$A512,'FA Write off'!C:C,"&lt;"&amp;'FA Addition'!$L$1+1,'FA Write off'!C:C,"&gt;"&amp;'FA Addition'!$L$1-365)</f>
        <v>411</v>
      </c>
      <c r="AC512" s="191">
        <f>IFERROR(AA512/'FA Addition'!$J512*'FA Addition'!$L512,0)</f>
        <v>452100</v>
      </c>
      <c r="AE512" s="117">
        <f>IF(AND('FA Addition'!$D512&lt;$P$1+1,U512=0),'FA Addition'!$L512,0)-Y512</f>
        <v>1072500</v>
      </c>
      <c r="AF512" s="117">
        <f t="shared" si="35"/>
        <v>620400</v>
      </c>
      <c r="AG512" s="117">
        <f>MIN(MAX(+$P$1-'FA Addition'!$D512,0),365*'FA Addition'!$O512)</f>
        <v>243</v>
      </c>
      <c r="AH512" s="117">
        <f>MIN(MAX($L$1-'FA Addition'!$D512+1,0),365*'FA Addition'!$O512)</f>
        <v>609</v>
      </c>
      <c r="AI512" s="117" cm="1">
        <f t="array" ref="AI512">_xlfn.XLOOKUP(1,('FA Write off'!A:A='FA Addition'!$A512)*('FA Write off'!D:D=AA512),'FA Write off'!H:H,0,0)</f>
        <v>609</v>
      </c>
      <c r="AJ512" s="117">
        <f>IF(AC512&gt;0,MAX(IF('FA Addition'!$N512="SLM",($AC512-'FA Addition'!$M512)*'FA Addition'!$P512*AI512/365,(AC512-'FA Addition'!$M512)*(1-(1-'FA Addition'!$P512)^(AI512/365))),0),0)</f>
        <v>322056.45501148258</v>
      </c>
      <c r="AL512" s="117">
        <f>MAX(IF(AG512&gt;0,IF('FA Addition'!$N512="SLM",($AE512-'FA Addition'!$M512)*'FA Addition'!$P512*AG512/365,IFERROR(VDB(AE512,AE512*0.05,'FA Addition'!$O512,0,YEARFRAC('FA Addition'!$C512,$P$1-1,3),'FA Addition'!$Q512),FAAddition[[#This Row],[Original Cost (Rs)]]-FAAddition[[#This Row],[Salvage Value]])),0),0)</f>
        <v>449117.27251654264</v>
      </c>
      <c r="AM512" s="119"/>
      <c r="AN512" s="117">
        <f>MAX(IF(AH512&gt;0,IF('FA Addition'!$N512="SLM",($AF512-'FA Addition'!$M512)*'FA Addition'!$P512*AH512/365,IFERROR(VDB(AF512,AF512*0.05,'FA Addition'!$O512,0,YEARFRAC('FA Addition'!$C512,$L$1,3),'FA Addition'!$Q512),FAAddition[[#This Row],[Original Cost (Rs)]]-FAAddition[[#This Row],[Salvage Value]])),0),0)</f>
        <v>487948.24026067025</v>
      </c>
      <c r="AO512" s="117">
        <f t="shared" si="38"/>
        <v>360887.4227556102</v>
      </c>
      <c r="AP512" s="206"/>
      <c r="AQ512" s="117">
        <f t="shared" si="36"/>
        <v>623382.72748345742</v>
      </c>
      <c r="AR512" s="120">
        <f t="shared" si="37"/>
        <v>132451.75973932975</v>
      </c>
      <c r="AS512" s="121"/>
    </row>
    <row r="513" spans="1:45" ht="13.5" x14ac:dyDescent="0.4">
      <c r="A513" s="12">
        <f t="shared" si="39"/>
        <v>510</v>
      </c>
      <c r="B513" s="64" t="s">
        <v>1089</v>
      </c>
      <c r="C513" s="54">
        <v>44775</v>
      </c>
      <c r="D513" s="54">
        <v>44775</v>
      </c>
      <c r="E513" s="46" t="s">
        <v>32</v>
      </c>
      <c r="F513" s="51" t="s">
        <v>1090</v>
      </c>
      <c r="G513" s="51" t="s">
        <v>433</v>
      </c>
      <c r="H513" s="51" t="s">
        <v>32</v>
      </c>
      <c r="I513" s="55" t="s">
        <v>1216</v>
      </c>
      <c r="J513" s="56">
        <v>1300</v>
      </c>
      <c r="K513" s="51" t="s">
        <v>935</v>
      </c>
      <c r="L513" s="58">
        <v>1430000</v>
      </c>
      <c r="M513" s="50">
        <f>ROUND('FA Addition'!$L513*5%,0.1)</f>
        <v>71500</v>
      </c>
      <c r="N513" s="113" t="str">
        <f>_xlfn.XLOOKUP(_xlfn.CONCAT(E513,B513),'Year Wise Master Dep Approach'!F:F,'Year Wise Master Dep Approach'!D:D)</f>
        <v>WDV</v>
      </c>
      <c r="O513" s="113">
        <f>_xlfn.XLOOKUP(_xlfn.CONCAT(E513,B513),'Year Wise Master Dep Approach'!F:F,'Year Wise Master Dep Approach'!E:E)</f>
        <v>3</v>
      </c>
      <c r="P513" s="114">
        <f>IFERROR(IF('FA Addition'!$N513="WDV",1-('FA Addition'!$M513/'FA Addition'!$L513)^(1/'FA Addition'!$O513),1/'FA Addition'!$O513),0)</f>
        <v>0.63159685013596123</v>
      </c>
      <c r="Q513" s="122">
        <f>'FA Addition'!$P513*'FA Addition'!$O513</f>
        <v>1.8947905504078837</v>
      </c>
      <c r="R513" s="122"/>
      <c r="S513" s="116">
        <f>IF(AND(DATE(20&amp;LEFT(FAAddition[[#This Row],[FY]],2),4,1)&lt;$L$1+1,DATE(20&amp;LEFT(FAAddition[[#This Row],[FY]],2),4,1)&gt;$P$1-1),'FA Addition'!$J513,0)</f>
        <v>0</v>
      </c>
      <c r="U513" s="117">
        <f>S513*'FA Addition'!$L513/'FA Addition'!$J513</f>
        <v>0</v>
      </c>
      <c r="W513" s="116">
        <f>SUMIFS('FA Write off'!D:D,'FA Write off'!A:A,'FA Addition'!$A513,'FA Write off'!C:C,"&lt;"&amp;'FA Addition'!$P$1)</f>
        <v>61</v>
      </c>
      <c r="Y513" s="191">
        <f>IFERROR(W513/'FA Addition'!$J513*'FA Addition'!$L513,0)</f>
        <v>67100</v>
      </c>
      <c r="AA513" s="116">
        <f>SUMIFS('FA Write off'!D:D,'FA Write off'!A:A,'FA Addition'!$A513,'FA Write off'!C:C,"&lt;"&amp;'FA Addition'!$L$1+1,'FA Write off'!C:C,"&gt;"&amp;'FA Addition'!$L$1-365)</f>
        <v>0</v>
      </c>
      <c r="AC513" s="191">
        <f>IFERROR(AA513/'FA Addition'!$J513*'FA Addition'!$L513,0)</f>
        <v>0</v>
      </c>
      <c r="AE513" s="117">
        <f>IF(AND('FA Addition'!$D513&lt;$P$1+1,U513=0),'FA Addition'!$L513,0)-Y513</f>
        <v>1362900</v>
      </c>
      <c r="AF513" s="117">
        <f t="shared" si="35"/>
        <v>1362900</v>
      </c>
      <c r="AG513" s="117">
        <f>MIN(MAX(+$P$1-'FA Addition'!$D513,0),365*'FA Addition'!$O513)</f>
        <v>242</v>
      </c>
      <c r="AH513" s="117">
        <f>MIN(MAX($L$1-'FA Addition'!$D513+1,0),365*'FA Addition'!$O513)</f>
        <v>608</v>
      </c>
      <c r="AI513" s="117" cm="1">
        <f t="array" ref="AI513">_xlfn.XLOOKUP(1,('FA Write off'!A:A='FA Addition'!$A513)*('FA Write off'!D:D=AA513),'FA Write off'!H:H,0,0)</f>
        <v>0</v>
      </c>
      <c r="AJ513" s="117">
        <f>IF(AC513&gt;0,MAX(IF('FA Addition'!$N513="SLM",($AC513-'FA Addition'!$M513)*'FA Addition'!$P513*AI513/365,(AC513-'FA Addition'!$M513)*(1-(1-'FA Addition'!$P513)^(AI513/365))),0),0)</f>
        <v>0</v>
      </c>
      <c r="AL513" s="117">
        <f>MAX(IF(AG513&gt;0,IF('FA Addition'!$N513="SLM",($AE513-'FA Addition'!$M513)*'FA Addition'!$P513*AG513/365,IFERROR(VDB(AE513,AE513*0.05,'FA Addition'!$O513,0,YEARFRAC('FA Addition'!$C513,$P$1-1,3),'FA Addition'!$Q513),FAAddition[[#This Row],[Original Cost (Rs)]]-FAAddition[[#This Row],[Salvage Value]])),0),0)</f>
        <v>568366.04558663745</v>
      </c>
      <c r="AM513" s="119"/>
      <c r="AN513" s="117">
        <f>MAX(IF(AH513&gt;0,IF('FA Addition'!$N513="SLM",($AF513-'FA Addition'!$M513)*'FA Addition'!$P513*AH513/365,IFERROR(VDB(AF513,AF513*0.05,'FA Addition'!$O513,0,YEARFRAC('FA Addition'!$C513,$L$1,3),'FA Addition'!$Q513),FAAddition[[#This Row],[Original Cost (Rs)]]-FAAddition[[#This Row],[Salvage Value]])),0),0)</f>
        <v>1071060.0177379041</v>
      </c>
      <c r="AO513" s="117">
        <f t="shared" si="38"/>
        <v>502693.97215126664</v>
      </c>
      <c r="AP513" s="206"/>
      <c r="AQ513" s="117">
        <f t="shared" si="36"/>
        <v>794533.95441336255</v>
      </c>
      <c r="AR513" s="120">
        <f t="shared" si="37"/>
        <v>291839.9822620959</v>
      </c>
      <c r="AS513" s="121"/>
    </row>
    <row r="514" spans="1:45" ht="13.5" x14ac:dyDescent="0.4">
      <c r="A514" s="12">
        <f t="shared" si="39"/>
        <v>511</v>
      </c>
      <c r="B514" s="64" t="s">
        <v>1089</v>
      </c>
      <c r="C514" s="54">
        <v>44776</v>
      </c>
      <c r="D514" s="54">
        <v>44776</v>
      </c>
      <c r="E514" s="46" t="s">
        <v>451</v>
      </c>
      <c r="F514" s="51" t="s">
        <v>1133</v>
      </c>
      <c r="G514" s="51" t="s">
        <v>1204</v>
      </c>
      <c r="H514" s="51" t="s">
        <v>21</v>
      </c>
      <c r="I514" s="55" t="s">
        <v>1217</v>
      </c>
      <c r="J514" s="56">
        <v>1</v>
      </c>
      <c r="K514" s="51" t="s">
        <v>1218</v>
      </c>
      <c r="L514" s="58">
        <v>49750</v>
      </c>
      <c r="M514" s="50">
        <f>ROUND('FA Addition'!$L514*5%,0.1)</f>
        <v>2488</v>
      </c>
      <c r="N514" s="113" t="str">
        <f>_xlfn.XLOOKUP(_xlfn.CONCAT(E514,B514),'Year Wise Master Dep Approach'!F:F,'Year Wise Master Dep Approach'!D:D)</f>
        <v>WDV</v>
      </c>
      <c r="O514" s="113">
        <f>_xlfn.XLOOKUP(_xlfn.CONCAT(E514,B514),'Year Wise Master Dep Approach'!F:F,'Year Wise Master Dep Approach'!E:E)</f>
        <v>3</v>
      </c>
      <c r="P514" s="114">
        <f>IFERROR(IF('FA Addition'!$N514="WDV",1-('FA Addition'!$M514/'FA Addition'!$L514)^(1/'FA Addition'!$O514),1/'FA Addition'!$O514),0)</f>
        <v>0.63157216816148942</v>
      </c>
      <c r="Q514" s="122">
        <f>'FA Addition'!$P514*'FA Addition'!$O514</f>
        <v>1.8947165044844683</v>
      </c>
      <c r="R514" s="122"/>
      <c r="S514" s="116">
        <f>IF(AND(DATE(20&amp;LEFT(FAAddition[[#This Row],[FY]],2),4,1)&lt;$L$1+1,DATE(20&amp;LEFT(FAAddition[[#This Row],[FY]],2),4,1)&gt;$P$1-1),'FA Addition'!$J514,0)</f>
        <v>0</v>
      </c>
      <c r="U514" s="117">
        <f>S514*'FA Addition'!$L514/'FA Addition'!$J514</f>
        <v>0</v>
      </c>
      <c r="W514" s="116">
        <f>SUMIFS('FA Write off'!D:D,'FA Write off'!A:A,'FA Addition'!$A514,'FA Write off'!C:C,"&lt;"&amp;'FA Addition'!$P$1)</f>
        <v>0</v>
      </c>
      <c r="Y514" s="191">
        <f>IFERROR(W514/'FA Addition'!$J514*'FA Addition'!$L514,0)</f>
        <v>0</v>
      </c>
      <c r="AA514" s="116">
        <f>SUMIFS('FA Write off'!D:D,'FA Write off'!A:A,'FA Addition'!$A514,'FA Write off'!C:C,"&lt;"&amp;'FA Addition'!$L$1+1,'FA Write off'!C:C,"&gt;"&amp;'FA Addition'!$L$1-365)</f>
        <v>0</v>
      </c>
      <c r="AC514" s="118">
        <f>IFERROR(AA514/'FA Addition'!$J514*'FA Addition'!$L514,0)</f>
        <v>0</v>
      </c>
      <c r="AE514" s="117">
        <f>IF(AND('FA Addition'!$D514&lt;$P$1+1,U514=0),'FA Addition'!$L514,0)-Y514</f>
        <v>49750</v>
      </c>
      <c r="AF514" s="117">
        <f t="shared" si="35"/>
        <v>49750</v>
      </c>
      <c r="AG514" s="117">
        <f>MIN(MAX(+$P$1-'FA Addition'!$D514,0),365*'FA Addition'!$O514)</f>
        <v>241</v>
      </c>
      <c r="AH514" s="117">
        <f>MIN(MAX($L$1-'FA Addition'!$D514+1,0),365*'FA Addition'!$O514)</f>
        <v>607</v>
      </c>
      <c r="AI514" s="117" cm="1">
        <f t="array" ref="AI514">_xlfn.XLOOKUP(1,('FA Write off'!A:A='FA Addition'!$A514)*('FA Write off'!D:D=AA514),'FA Write off'!H:H,0,0)</f>
        <v>0</v>
      </c>
      <c r="AJ514" s="117">
        <f>IF(AC514&gt;0,MAX(IF('FA Addition'!$N514="SLM",($AC514-'FA Addition'!$M514)*'FA Addition'!$P514*AI514/365,(AC514-'FA Addition'!$M514)*(1-(1-'FA Addition'!$P514)^(AI514/365))),0),0)</f>
        <v>0</v>
      </c>
      <c r="AL514" s="117">
        <f>MAX(IF(AG514&gt;0,IF('FA Addition'!$N514="SLM",($AE514-'FA Addition'!$M514)*'FA Addition'!$P514*AG514/365,IFERROR(VDB(AE514,AE514*0.05,'FA Addition'!$O514,0,YEARFRAC('FA Addition'!$C514,$P$1-1,3),'FA Addition'!$Q514),FAAddition[[#This Row],[Original Cost (Rs)]]-FAAddition[[#This Row],[Salvage Value]])),0),0)</f>
        <v>20660.196405063518</v>
      </c>
      <c r="AM514" s="119"/>
      <c r="AN514" s="117">
        <f>MAX(IF(AH514&gt;0,IF('FA Addition'!$N514="SLM",($AF514-'FA Addition'!$M514)*'FA Addition'!$P514*AH514/365,IFERROR(VDB(AF514,AF514*0.05,'FA Addition'!$O514,0,YEARFRAC('FA Addition'!$C514,$L$1,3),'FA Addition'!$Q514),FAAddition[[#This Row],[Original Cost (Rs)]]-FAAddition[[#This Row],[Salvage Value]])),0),0)</f>
        <v>39064.222530271421</v>
      </c>
      <c r="AO514" s="117">
        <f t="shared" si="38"/>
        <v>18404.026125207904</v>
      </c>
      <c r="AP514" s="206"/>
      <c r="AQ514" s="117">
        <f t="shared" si="36"/>
        <v>29089.803594936482</v>
      </c>
      <c r="AR514" s="120">
        <f t="shared" si="37"/>
        <v>10685.777469728579</v>
      </c>
      <c r="AS514" s="121"/>
    </row>
    <row r="515" spans="1:45" ht="13.5" x14ac:dyDescent="0.4">
      <c r="A515" s="12">
        <f t="shared" si="39"/>
        <v>512</v>
      </c>
      <c r="B515" s="64" t="s">
        <v>1089</v>
      </c>
      <c r="C515" s="54">
        <v>44782</v>
      </c>
      <c r="D515" s="54">
        <v>44782</v>
      </c>
      <c r="E515" s="46" t="s">
        <v>749</v>
      </c>
      <c r="F515" s="51" t="s">
        <v>74</v>
      </c>
      <c r="G515" s="51" t="s">
        <v>1219</v>
      </c>
      <c r="H515" s="51" t="s">
        <v>1220</v>
      </c>
      <c r="I515" s="55" t="s">
        <v>1221</v>
      </c>
      <c r="J515" s="56">
        <v>1</v>
      </c>
      <c r="K515" s="51" t="s">
        <v>1222</v>
      </c>
      <c r="L515" s="58">
        <v>13106</v>
      </c>
      <c r="M515" s="50">
        <f>ROUND('FA Addition'!$L515*5%,0.1)</f>
        <v>655</v>
      </c>
      <c r="N515" s="113" t="str">
        <f>_xlfn.XLOOKUP(_xlfn.CONCAT(E515,B515),'Year Wise Master Dep Approach'!F:F,'Year Wise Master Dep Approach'!D:D)</f>
        <v>WDV</v>
      </c>
      <c r="O515" s="113">
        <f>_xlfn.XLOOKUP(_xlfn.CONCAT(E515,B515),'Year Wise Master Dep Approach'!F:F,'Year Wise Master Dep Approach'!E:E)</f>
        <v>5</v>
      </c>
      <c r="P515" s="114">
        <f>IFERROR(IF('FA Addition'!$N515="WDV",1-('FA Addition'!$M515/'FA Addition'!$L515)^(1/'FA Addition'!$O515),1/'FA Addition'!$O515),0)</f>
        <v>0.45077003027442986</v>
      </c>
      <c r="Q515" s="122">
        <f>'FA Addition'!$P515*'FA Addition'!$O515</f>
        <v>2.2538501513721494</v>
      </c>
      <c r="R515" s="122"/>
      <c r="S515" s="116">
        <f>IF(AND(DATE(20&amp;LEFT(FAAddition[[#This Row],[FY]],2),4,1)&lt;$L$1+1,DATE(20&amp;LEFT(FAAddition[[#This Row],[FY]],2),4,1)&gt;$P$1-1),'FA Addition'!$J515,0)</f>
        <v>0</v>
      </c>
      <c r="U515" s="117">
        <f>S515*'FA Addition'!$L515/'FA Addition'!$J515</f>
        <v>0</v>
      </c>
      <c r="W515" s="116">
        <f>SUMIFS('FA Write off'!D:D,'FA Write off'!A:A,'FA Addition'!$A515,'FA Write off'!C:C,"&lt;"&amp;'FA Addition'!$P$1)</f>
        <v>0</v>
      </c>
      <c r="Y515" s="191">
        <f>IFERROR(W515/'FA Addition'!$J515*'FA Addition'!$L515,0)</f>
        <v>0</v>
      </c>
      <c r="AA515" s="116">
        <f>SUMIFS('FA Write off'!D:D,'FA Write off'!A:A,'FA Addition'!$A515,'FA Write off'!C:C,"&lt;"&amp;'FA Addition'!$L$1+1,'FA Write off'!C:C,"&gt;"&amp;'FA Addition'!$L$1-365)</f>
        <v>0</v>
      </c>
      <c r="AC515" s="118">
        <f>IFERROR(AA515/'FA Addition'!$J515*'FA Addition'!$L515,0)</f>
        <v>0</v>
      </c>
      <c r="AE515" s="117">
        <f>IF(AND('FA Addition'!$D515&lt;$P$1+1,U515=0),'FA Addition'!$L515,0)-Y515</f>
        <v>13106</v>
      </c>
      <c r="AF515" s="117">
        <f t="shared" si="35"/>
        <v>13106</v>
      </c>
      <c r="AG515" s="117">
        <f>MIN(MAX(+$P$1-'FA Addition'!$D515,0),365*'FA Addition'!$O515)</f>
        <v>235</v>
      </c>
      <c r="AH515" s="117">
        <f>MIN(MAX($L$1-'FA Addition'!$D515+1,0),365*'FA Addition'!$O515)</f>
        <v>601</v>
      </c>
      <c r="AI515" s="117" cm="1">
        <f t="array" ref="AI515">_xlfn.XLOOKUP(1,('FA Write off'!A:A='FA Addition'!$A515)*('FA Write off'!D:D=AA515),'FA Write off'!H:H,0,0)</f>
        <v>0</v>
      </c>
      <c r="AJ515" s="117">
        <f>IF(AC515&gt;0,MAX(IF('FA Addition'!$N515="SLM",($AC515-'FA Addition'!$M515)*'FA Addition'!$P515*AI515/365,(AC515-'FA Addition'!$M515)*(1-(1-'FA Addition'!$P515)^(AI515/365))),0),0)</f>
        <v>0</v>
      </c>
      <c r="AL515" s="117">
        <f>MAX(IF(AG515&gt;0,IF('FA Addition'!$N515="SLM",($AE515-'FA Addition'!$M515)*'FA Addition'!$P515*AG515/365,IFERROR(VDB(AE515,AE515*0.05,'FA Addition'!$O515,0,YEARFRAC('FA Addition'!$C515,$P$1-1,3),'FA Addition'!$Q515),FAAddition[[#This Row],[Original Cost (Rs)]]-FAAddition[[#This Row],[Salvage Value]])),0),0)</f>
        <v>3787.4611833581994</v>
      </c>
      <c r="AM515" s="119"/>
      <c r="AN515" s="117">
        <f>MAX(IF(AH515&gt;0,IF('FA Addition'!$N515="SLM",($AF515-'FA Addition'!$M515)*'FA Addition'!$P515*AH515/365,IFERROR(VDB(AF515,AF515*0.05,'FA Addition'!$O515,0,YEARFRAC('FA Addition'!$C515,$L$1,3),'FA Addition'!$Q515),FAAddition[[#This Row],[Original Cost (Rs)]]-FAAddition[[#This Row],[Salvage Value]])),0),0)</f>
        <v>7996.8688967000107</v>
      </c>
      <c r="AO515" s="117">
        <f t="shared" si="38"/>
        <v>4209.4077133418114</v>
      </c>
      <c r="AP515" s="206"/>
      <c r="AQ515" s="117">
        <f t="shared" si="36"/>
        <v>9318.5388166418015</v>
      </c>
      <c r="AR515" s="120">
        <f t="shared" si="37"/>
        <v>5109.1311032999893</v>
      </c>
      <c r="AS515" s="121"/>
    </row>
    <row r="516" spans="1:45" ht="13.5" x14ac:dyDescent="0.4">
      <c r="A516" s="12">
        <f t="shared" si="39"/>
        <v>513</v>
      </c>
      <c r="B516" s="64" t="s">
        <v>1089</v>
      </c>
      <c r="C516" s="54">
        <v>44785</v>
      </c>
      <c r="D516" s="54">
        <v>44785</v>
      </c>
      <c r="E516" s="46" t="s">
        <v>523</v>
      </c>
      <c r="F516" s="51" t="s">
        <v>523</v>
      </c>
      <c r="G516" s="51" t="s">
        <v>1174</v>
      </c>
      <c r="H516" s="51" t="s">
        <v>1175</v>
      </c>
      <c r="I516" s="55">
        <v>88</v>
      </c>
      <c r="J516" s="56">
        <v>12</v>
      </c>
      <c r="K516" s="51" t="s">
        <v>1175</v>
      </c>
      <c r="L516" s="58">
        <v>40800</v>
      </c>
      <c r="M516" s="50">
        <f>ROUND('FA Addition'!$L516*5%,0.1)</f>
        <v>2040</v>
      </c>
      <c r="N516" s="113" t="str">
        <f>_xlfn.XLOOKUP(_xlfn.CONCAT(E516,B516),'Year Wise Master Dep Approach'!F:F,'Year Wise Master Dep Approach'!D:D)</f>
        <v>WDV</v>
      </c>
      <c r="O516" s="113">
        <f>_xlfn.XLOOKUP(_xlfn.CONCAT(E516,B516),'Year Wise Master Dep Approach'!F:F,'Year Wise Master Dep Approach'!E:E)</f>
        <v>10</v>
      </c>
      <c r="P516" s="114">
        <f>IFERROR(IF('FA Addition'!$N516="WDV",1-('FA Addition'!$M516/'FA Addition'!$L516)^(1/'FA Addition'!$O516),1/'FA Addition'!$O516),0)</f>
        <v>0.2588655508930523</v>
      </c>
      <c r="Q516" s="122">
        <f>'FA Addition'!$P516*'FA Addition'!$O516</f>
        <v>2.5886555089305228</v>
      </c>
      <c r="R516" s="122"/>
      <c r="S516" s="116">
        <f>IF(AND(DATE(20&amp;LEFT(FAAddition[[#This Row],[FY]],2),4,1)&lt;$L$1+1,DATE(20&amp;LEFT(FAAddition[[#This Row],[FY]],2),4,1)&gt;$P$1-1),'FA Addition'!$J516,0)</f>
        <v>0</v>
      </c>
      <c r="U516" s="117">
        <f>S516*'FA Addition'!$L516/'FA Addition'!$J516</f>
        <v>0</v>
      </c>
      <c r="W516" s="116">
        <f>SUMIFS('FA Write off'!D:D,'FA Write off'!A:A,'FA Addition'!$A516,'FA Write off'!C:C,"&lt;"&amp;'FA Addition'!$P$1)</f>
        <v>0</v>
      </c>
      <c r="Y516" s="191">
        <f>IFERROR(W516/'FA Addition'!$J516*'FA Addition'!$L516,0)</f>
        <v>0</v>
      </c>
      <c r="AA516" s="116">
        <f>SUMIFS('FA Write off'!D:D,'FA Write off'!A:A,'FA Addition'!$A516,'FA Write off'!C:C,"&lt;"&amp;'FA Addition'!$L$1+1,'FA Write off'!C:C,"&gt;"&amp;'FA Addition'!$L$1-365)</f>
        <v>0</v>
      </c>
      <c r="AC516" s="118">
        <f>IFERROR(AA516/'FA Addition'!$J516*'FA Addition'!$L516,0)</f>
        <v>0</v>
      </c>
      <c r="AE516" s="117">
        <f>IF(AND('FA Addition'!$D516&lt;$P$1+1,U516=0),'FA Addition'!$L516,0)-Y516</f>
        <v>40800</v>
      </c>
      <c r="AF516" s="117">
        <f t="shared" ref="AF516:AF579" si="40">AE516+U516-AC516</f>
        <v>40800</v>
      </c>
      <c r="AG516" s="117">
        <f>MIN(MAX(+$P$1-'FA Addition'!$D516,0),365*'FA Addition'!$O516)</f>
        <v>232</v>
      </c>
      <c r="AH516" s="117">
        <f>MIN(MAX($L$1-'FA Addition'!$D516+1,0),365*'FA Addition'!$O516)</f>
        <v>598</v>
      </c>
      <c r="AI516" s="117" cm="1">
        <f t="array" ref="AI516">_xlfn.XLOOKUP(1,('FA Write off'!A:A='FA Addition'!$A516)*('FA Write off'!D:D=AA516),'FA Write off'!H:H,0,0)</f>
        <v>0</v>
      </c>
      <c r="AJ516" s="117">
        <f>IF(AC516&gt;0,MAX(IF('FA Addition'!$N516="SLM",($AC516-'FA Addition'!$M516)*'FA Addition'!$P516*AI516/365,(AC516-'FA Addition'!$M516)*(1-(1-'FA Addition'!$P516)^(AI516/365))),0),0)</f>
        <v>0</v>
      </c>
      <c r="AL516" s="117">
        <f>MAX(IF(AG516&gt;0,IF('FA Addition'!$N516="SLM",($AE516-'FA Addition'!$M516)*'FA Addition'!$P516*AG516/365,IFERROR(VDB(AE516,AE516*0.05,'FA Addition'!$O516,0,YEARFRAC('FA Addition'!$C516,$P$1-1,3),'FA Addition'!$Q516),FAAddition[[#This Row],[Original Cost (Rs)]]-FAAddition[[#This Row],[Salvage Value]])),0),0)</f>
        <v>6684.2631344022984</v>
      </c>
      <c r="AM516" s="119"/>
      <c r="AN516" s="117">
        <f>MAX(IF(AH516&gt;0,IF('FA Addition'!$N516="SLM",($AF516-'FA Addition'!$M516)*'FA Addition'!$P516*AH516/365,IFERROR(VDB(AF516,AF516*0.05,'FA Addition'!$O516,0,YEARFRAC('FA Addition'!$C516,$L$1,3),'FA Addition'!$Q516),FAAddition[[#This Row],[Original Cost (Rs)]]-FAAddition[[#This Row],[Salvage Value]])),0),0)</f>
        <v>15537.097769881821</v>
      </c>
      <c r="AO516" s="117">
        <f t="shared" si="38"/>
        <v>8852.8346354795212</v>
      </c>
      <c r="AP516" s="206"/>
      <c r="AQ516" s="117">
        <f t="shared" ref="AQ516:AQ579" si="41">AE516-AL516</f>
        <v>34115.736865597704</v>
      </c>
      <c r="AR516" s="120">
        <f t="shared" ref="AR516:AR579" si="42">AF516-AN516</f>
        <v>25262.902230118179</v>
      </c>
      <c r="AS516" s="121"/>
    </row>
    <row r="517" spans="1:45" ht="13.5" x14ac:dyDescent="0.4">
      <c r="A517" s="12">
        <f t="shared" si="39"/>
        <v>514</v>
      </c>
      <c r="B517" s="64" t="s">
        <v>1089</v>
      </c>
      <c r="C517" s="54">
        <v>44785</v>
      </c>
      <c r="D517" s="54">
        <v>44785</v>
      </c>
      <c r="E517" s="46" t="s">
        <v>523</v>
      </c>
      <c r="F517" s="51" t="s">
        <v>523</v>
      </c>
      <c r="G517" s="51" t="s">
        <v>1174</v>
      </c>
      <c r="H517" s="51" t="s">
        <v>1175</v>
      </c>
      <c r="I517" s="55">
        <v>88</v>
      </c>
      <c r="J517" s="56">
        <v>8</v>
      </c>
      <c r="K517" s="51" t="s">
        <v>1175</v>
      </c>
      <c r="L517" s="58">
        <v>24000</v>
      </c>
      <c r="M517" s="50">
        <f>ROUND('FA Addition'!$L517*5%,0.1)</f>
        <v>1200</v>
      </c>
      <c r="N517" s="113" t="str">
        <f>_xlfn.XLOOKUP(_xlfn.CONCAT(E517,B517),'Year Wise Master Dep Approach'!F:F,'Year Wise Master Dep Approach'!D:D)</f>
        <v>WDV</v>
      </c>
      <c r="O517" s="113">
        <f>_xlfn.XLOOKUP(_xlfn.CONCAT(E517,B517),'Year Wise Master Dep Approach'!F:F,'Year Wise Master Dep Approach'!E:E)</f>
        <v>10</v>
      </c>
      <c r="P517" s="114">
        <f>IFERROR(IF('FA Addition'!$N517="WDV",1-('FA Addition'!$M517/'FA Addition'!$L517)^(1/'FA Addition'!$O517),1/'FA Addition'!$O517),0)</f>
        <v>0.2588655508930523</v>
      </c>
      <c r="Q517" s="122">
        <f>'FA Addition'!$P517*'FA Addition'!$O517</f>
        <v>2.5886555089305228</v>
      </c>
      <c r="R517" s="122"/>
      <c r="S517" s="116">
        <f>IF(AND(DATE(20&amp;LEFT(FAAddition[[#This Row],[FY]],2),4,1)&lt;$L$1+1,DATE(20&amp;LEFT(FAAddition[[#This Row],[FY]],2),4,1)&gt;$P$1-1),'FA Addition'!$J517,0)</f>
        <v>0</v>
      </c>
      <c r="U517" s="117">
        <f>S517*'FA Addition'!$L517/'FA Addition'!$J517</f>
        <v>0</v>
      </c>
      <c r="W517" s="116">
        <f>SUMIFS('FA Write off'!D:D,'FA Write off'!A:A,'FA Addition'!$A517,'FA Write off'!C:C,"&lt;"&amp;'FA Addition'!$P$1)</f>
        <v>0</v>
      </c>
      <c r="Y517" s="191">
        <f>IFERROR(W517/'FA Addition'!$J517*'FA Addition'!$L517,0)</f>
        <v>0</v>
      </c>
      <c r="AA517" s="116">
        <f>SUMIFS('FA Write off'!D:D,'FA Write off'!A:A,'FA Addition'!$A517,'FA Write off'!C:C,"&lt;"&amp;'FA Addition'!$L$1+1,'FA Write off'!C:C,"&gt;"&amp;'FA Addition'!$L$1-365)</f>
        <v>0</v>
      </c>
      <c r="AC517" s="118">
        <f>IFERROR(AA517/'FA Addition'!$J517*'FA Addition'!$L517,0)</f>
        <v>0</v>
      </c>
      <c r="AE517" s="117">
        <f>IF(AND('FA Addition'!$D517&lt;$P$1+1,U517=0),'FA Addition'!$L517,0)-Y517</f>
        <v>24000</v>
      </c>
      <c r="AF517" s="117">
        <f t="shared" si="40"/>
        <v>24000</v>
      </c>
      <c r="AG517" s="117">
        <f>MIN(MAX(+$P$1-'FA Addition'!$D517,0),365*'FA Addition'!$O517)</f>
        <v>232</v>
      </c>
      <c r="AH517" s="117">
        <f>MIN(MAX($L$1-'FA Addition'!$D517+1,0),365*'FA Addition'!$O517)</f>
        <v>598</v>
      </c>
      <c r="AI517" s="117" cm="1">
        <f t="array" ref="AI517">_xlfn.XLOOKUP(1,('FA Write off'!A:A='FA Addition'!$A517)*('FA Write off'!D:D=AA517),'FA Write off'!H:H,0,0)</f>
        <v>0</v>
      </c>
      <c r="AJ517" s="117">
        <f>IF(AC517&gt;0,MAX(IF('FA Addition'!$N517="SLM",($AC517-'FA Addition'!$M517)*'FA Addition'!$P517*AI517/365,(AC517-'FA Addition'!$M517)*(1-(1-'FA Addition'!$P517)^(AI517/365))),0),0)</f>
        <v>0</v>
      </c>
      <c r="AL517" s="117">
        <f>MAX(IF(AG517&gt;0,IF('FA Addition'!$N517="SLM",($AE517-'FA Addition'!$M517)*'FA Addition'!$P517*AG517/365,IFERROR(VDB(AE517,AE517*0.05,'FA Addition'!$O517,0,YEARFRAC('FA Addition'!$C517,$P$1-1,3),'FA Addition'!$Q517),FAAddition[[#This Row],[Original Cost (Rs)]]-FAAddition[[#This Row],[Salvage Value]])),0),0)</f>
        <v>3931.9194908248819</v>
      </c>
      <c r="AM517" s="119"/>
      <c r="AN517" s="117">
        <f>MAX(IF(AH517&gt;0,IF('FA Addition'!$N517="SLM",($AF517-'FA Addition'!$M517)*'FA Addition'!$P517*AH517/365,IFERROR(VDB(AF517,AF517*0.05,'FA Addition'!$O517,0,YEARFRAC('FA Addition'!$C517,$L$1,3),'FA Addition'!$Q517),FAAddition[[#This Row],[Original Cost (Rs)]]-FAAddition[[#This Row],[Salvage Value]])),0),0)</f>
        <v>9139.4692764010724</v>
      </c>
      <c r="AO517" s="117">
        <f t="shared" ref="AO517:AO580" si="43">AN517-AL517+AJ517</f>
        <v>5207.5497855761905</v>
      </c>
      <c r="AP517" s="206"/>
      <c r="AQ517" s="117">
        <f t="shared" si="41"/>
        <v>20068.080509175117</v>
      </c>
      <c r="AR517" s="120">
        <f t="shared" si="42"/>
        <v>14860.530723598928</v>
      </c>
      <c r="AS517" s="121"/>
    </row>
    <row r="518" spans="1:45" ht="13.5" x14ac:dyDescent="0.4">
      <c r="A518" s="12">
        <f t="shared" ref="A518:A581" si="44">A517+1</f>
        <v>515</v>
      </c>
      <c r="B518" s="64" t="s">
        <v>1089</v>
      </c>
      <c r="C518" s="54">
        <v>44785</v>
      </c>
      <c r="D518" s="54">
        <v>44785</v>
      </c>
      <c r="E518" s="46" t="s">
        <v>523</v>
      </c>
      <c r="F518" s="51" t="s">
        <v>523</v>
      </c>
      <c r="G518" s="51" t="s">
        <v>1174</v>
      </c>
      <c r="H518" s="51" t="s">
        <v>1223</v>
      </c>
      <c r="I518" s="55">
        <v>88</v>
      </c>
      <c r="J518" s="56">
        <v>4</v>
      </c>
      <c r="K518" s="51" t="s">
        <v>1224</v>
      </c>
      <c r="L518" s="58">
        <v>23200</v>
      </c>
      <c r="M518" s="50">
        <f>ROUND('FA Addition'!$L518*5%,0.1)</f>
        <v>1160</v>
      </c>
      <c r="N518" s="113" t="str">
        <f>_xlfn.XLOOKUP(_xlfn.CONCAT(E518,B518),'Year Wise Master Dep Approach'!F:F,'Year Wise Master Dep Approach'!D:D)</f>
        <v>WDV</v>
      </c>
      <c r="O518" s="113">
        <f>_xlfn.XLOOKUP(_xlfn.CONCAT(E518,B518),'Year Wise Master Dep Approach'!F:F,'Year Wise Master Dep Approach'!E:E)</f>
        <v>10</v>
      </c>
      <c r="P518" s="114">
        <f>IFERROR(IF('FA Addition'!$N518="WDV",1-('FA Addition'!$M518/'FA Addition'!$L518)^(1/'FA Addition'!$O518),1/'FA Addition'!$O518),0)</f>
        <v>0.2588655508930523</v>
      </c>
      <c r="Q518" s="122">
        <f>'FA Addition'!$P518*'FA Addition'!$O518</f>
        <v>2.5886555089305228</v>
      </c>
      <c r="R518" s="122"/>
      <c r="S518" s="116">
        <f>IF(AND(DATE(20&amp;LEFT(FAAddition[[#This Row],[FY]],2),4,1)&lt;$L$1+1,DATE(20&amp;LEFT(FAAddition[[#This Row],[FY]],2),4,1)&gt;$P$1-1),'FA Addition'!$J518,0)</f>
        <v>0</v>
      </c>
      <c r="U518" s="117">
        <f>S518*'FA Addition'!$L518/'FA Addition'!$J518</f>
        <v>0</v>
      </c>
      <c r="W518" s="116">
        <f>SUMIFS('FA Write off'!D:D,'FA Write off'!A:A,'FA Addition'!$A518,'FA Write off'!C:C,"&lt;"&amp;'FA Addition'!$P$1)</f>
        <v>0</v>
      </c>
      <c r="Y518" s="191">
        <f>IFERROR(W518/'FA Addition'!$J518*'FA Addition'!$L518,0)</f>
        <v>0</v>
      </c>
      <c r="AA518" s="116">
        <f>SUMIFS('FA Write off'!D:D,'FA Write off'!A:A,'FA Addition'!$A518,'FA Write off'!C:C,"&lt;"&amp;'FA Addition'!$L$1+1,'FA Write off'!C:C,"&gt;"&amp;'FA Addition'!$L$1-365)</f>
        <v>0</v>
      </c>
      <c r="AC518" s="118">
        <f>IFERROR(AA518/'FA Addition'!$J518*'FA Addition'!$L518,0)</f>
        <v>0</v>
      </c>
      <c r="AE518" s="117">
        <f>IF(AND('FA Addition'!$D518&lt;$P$1+1,U518=0),'FA Addition'!$L518,0)-Y518</f>
        <v>23200</v>
      </c>
      <c r="AF518" s="117">
        <f t="shared" si="40"/>
        <v>23200</v>
      </c>
      <c r="AG518" s="117">
        <f>MIN(MAX(+$P$1-'FA Addition'!$D518,0),365*'FA Addition'!$O518)</f>
        <v>232</v>
      </c>
      <c r="AH518" s="117">
        <f>MIN(MAX($L$1-'FA Addition'!$D518+1,0),365*'FA Addition'!$O518)</f>
        <v>598</v>
      </c>
      <c r="AI518" s="117" cm="1">
        <f t="array" ref="AI518">_xlfn.XLOOKUP(1,('FA Write off'!A:A='FA Addition'!$A518)*('FA Write off'!D:D=AA518),'FA Write off'!H:H,0,0)</f>
        <v>0</v>
      </c>
      <c r="AJ518" s="117">
        <f>IF(AC518&gt;0,MAX(IF('FA Addition'!$N518="SLM",($AC518-'FA Addition'!$M518)*'FA Addition'!$P518*AI518/365,(AC518-'FA Addition'!$M518)*(1-(1-'FA Addition'!$P518)^(AI518/365))),0),0)</f>
        <v>0</v>
      </c>
      <c r="AL518" s="117">
        <f>MAX(IF(AG518&gt;0,IF('FA Addition'!$N518="SLM",($AE518-'FA Addition'!$M518)*'FA Addition'!$P518*AG518/365,IFERROR(VDB(AE518,AE518*0.05,'FA Addition'!$O518,0,YEARFRAC('FA Addition'!$C518,$P$1-1,3),'FA Addition'!$Q518),FAAddition[[#This Row],[Original Cost (Rs)]]-FAAddition[[#This Row],[Salvage Value]])),0),0)</f>
        <v>3800.8555077973856</v>
      </c>
      <c r="AM518" s="119"/>
      <c r="AN518" s="117">
        <f>MAX(IF(AH518&gt;0,IF('FA Addition'!$N518="SLM",($AF518-'FA Addition'!$M518)*'FA Addition'!$P518*AH518/365,IFERROR(VDB(AF518,AF518*0.05,'FA Addition'!$O518,0,YEARFRAC('FA Addition'!$C518,$L$1,3),'FA Addition'!$Q518),FAAddition[[#This Row],[Original Cost (Rs)]]-FAAddition[[#This Row],[Salvage Value]])),0),0)</f>
        <v>8834.8203005210362</v>
      </c>
      <c r="AO518" s="117">
        <f t="shared" si="43"/>
        <v>5033.964792723651</v>
      </c>
      <c r="AP518" s="206"/>
      <c r="AQ518" s="117">
        <f t="shared" si="41"/>
        <v>19399.144492202613</v>
      </c>
      <c r="AR518" s="120">
        <f t="shared" si="42"/>
        <v>14365.179699478964</v>
      </c>
      <c r="AS518" s="121"/>
    </row>
    <row r="519" spans="1:45" ht="13.5" x14ac:dyDescent="0.4">
      <c r="A519" s="12">
        <f t="shared" si="44"/>
        <v>516</v>
      </c>
      <c r="B519" s="64" t="s">
        <v>1089</v>
      </c>
      <c r="C519" s="54">
        <v>44785</v>
      </c>
      <c r="D519" s="54">
        <v>44785</v>
      </c>
      <c r="E519" s="46" t="s">
        <v>523</v>
      </c>
      <c r="F519" s="51" t="s">
        <v>523</v>
      </c>
      <c r="G519" s="51" t="s">
        <v>1174</v>
      </c>
      <c r="H519" s="51" t="s">
        <v>1223</v>
      </c>
      <c r="I519" s="55">
        <v>88</v>
      </c>
      <c r="J519" s="56">
        <v>2</v>
      </c>
      <c r="K519" s="51" t="s">
        <v>1224</v>
      </c>
      <c r="L519" s="58">
        <v>22000</v>
      </c>
      <c r="M519" s="50">
        <f>ROUND('FA Addition'!$L519*5%,0.1)</f>
        <v>1100</v>
      </c>
      <c r="N519" s="113" t="str">
        <f>_xlfn.XLOOKUP(_xlfn.CONCAT(E519,B519),'Year Wise Master Dep Approach'!F:F,'Year Wise Master Dep Approach'!D:D)</f>
        <v>WDV</v>
      </c>
      <c r="O519" s="113">
        <f>_xlfn.XLOOKUP(_xlfn.CONCAT(E519,B519),'Year Wise Master Dep Approach'!F:F,'Year Wise Master Dep Approach'!E:E)</f>
        <v>10</v>
      </c>
      <c r="P519" s="114">
        <f>IFERROR(IF('FA Addition'!$N519="WDV",1-('FA Addition'!$M519/'FA Addition'!$L519)^(1/'FA Addition'!$O519),1/'FA Addition'!$O519),0)</f>
        <v>0.2588655508930523</v>
      </c>
      <c r="Q519" s="122">
        <f>'FA Addition'!$P519*'FA Addition'!$O519</f>
        <v>2.5886555089305228</v>
      </c>
      <c r="R519" s="122"/>
      <c r="S519" s="116">
        <f>IF(AND(DATE(20&amp;LEFT(FAAddition[[#This Row],[FY]],2),4,1)&lt;$L$1+1,DATE(20&amp;LEFT(FAAddition[[#This Row],[FY]],2),4,1)&gt;$P$1-1),'FA Addition'!$J519,0)</f>
        <v>0</v>
      </c>
      <c r="U519" s="117">
        <f>S519*'FA Addition'!$L519/'FA Addition'!$J519</f>
        <v>0</v>
      </c>
      <c r="W519" s="116">
        <f>SUMIFS('FA Write off'!D:D,'FA Write off'!A:A,'FA Addition'!$A519,'FA Write off'!C:C,"&lt;"&amp;'FA Addition'!$P$1)</f>
        <v>0</v>
      </c>
      <c r="Y519" s="191">
        <f>IFERROR(W519/'FA Addition'!$J519*'FA Addition'!$L519,0)</f>
        <v>0</v>
      </c>
      <c r="AA519" s="116">
        <f>SUMIFS('FA Write off'!D:D,'FA Write off'!A:A,'FA Addition'!$A519,'FA Write off'!C:C,"&lt;"&amp;'FA Addition'!$L$1+1,'FA Write off'!C:C,"&gt;"&amp;'FA Addition'!$L$1-365)</f>
        <v>0</v>
      </c>
      <c r="AC519" s="118">
        <f>IFERROR(AA519/'FA Addition'!$J519*'FA Addition'!$L519,0)</f>
        <v>0</v>
      </c>
      <c r="AE519" s="117">
        <f>IF(AND('FA Addition'!$D519&lt;$P$1+1,U519=0),'FA Addition'!$L519,0)-Y519</f>
        <v>22000</v>
      </c>
      <c r="AF519" s="117">
        <f t="shared" si="40"/>
        <v>22000</v>
      </c>
      <c r="AG519" s="117">
        <f>MIN(MAX(+$P$1-'FA Addition'!$D519,0),365*'FA Addition'!$O519)</f>
        <v>232</v>
      </c>
      <c r="AH519" s="117">
        <f>MIN(MAX($L$1-'FA Addition'!$D519+1,0),365*'FA Addition'!$O519)</f>
        <v>598</v>
      </c>
      <c r="AI519" s="117" cm="1">
        <f t="array" ref="AI519">_xlfn.XLOOKUP(1,('FA Write off'!A:A='FA Addition'!$A519)*('FA Write off'!D:D=AA519),'FA Write off'!H:H,0,0)</f>
        <v>0</v>
      </c>
      <c r="AJ519" s="117">
        <f>IF(AC519&gt;0,MAX(IF('FA Addition'!$N519="SLM",($AC519-'FA Addition'!$M519)*'FA Addition'!$P519*AI519/365,(AC519-'FA Addition'!$M519)*(1-(1-'FA Addition'!$P519)^(AI519/365))),0),0)</f>
        <v>0</v>
      </c>
      <c r="AL519" s="117">
        <f>MAX(IF(AG519&gt;0,IF('FA Addition'!$N519="SLM",($AE519-'FA Addition'!$M519)*'FA Addition'!$P519*AG519/365,IFERROR(VDB(AE519,AE519*0.05,'FA Addition'!$O519,0,YEARFRAC('FA Addition'!$C519,$P$1-1,3),'FA Addition'!$Q519),FAAddition[[#This Row],[Original Cost (Rs)]]-FAAddition[[#This Row],[Salvage Value]])),0),0)</f>
        <v>3604.2595332561418</v>
      </c>
      <c r="AM519" s="119"/>
      <c r="AN519" s="117">
        <f>MAX(IF(AH519&gt;0,IF('FA Addition'!$N519="SLM",($AF519-'FA Addition'!$M519)*'FA Addition'!$P519*AH519/365,IFERROR(VDB(AF519,AF519*0.05,'FA Addition'!$O519,0,YEARFRAC('FA Addition'!$C519,$L$1,3),'FA Addition'!$Q519),FAAddition[[#This Row],[Original Cost (Rs)]]-FAAddition[[#This Row],[Salvage Value]])),0),0)</f>
        <v>8377.8468367009827</v>
      </c>
      <c r="AO519" s="117">
        <f t="shared" si="43"/>
        <v>4773.5873034448414</v>
      </c>
      <c r="AP519" s="206"/>
      <c r="AQ519" s="117">
        <f t="shared" si="41"/>
        <v>18395.740466743857</v>
      </c>
      <c r="AR519" s="120">
        <f t="shared" si="42"/>
        <v>13622.153163299017</v>
      </c>
      <c r="AS519" s="121"/>
    </row>
    <row r="520" spans="1:45" ht="13.5" x14ac:dyDescent="0.4">
      <c r="A520" s="12">
        <f t="shared" si="44"/>
        <v>517</v>
      </c>
      <c r="B520" s="64" t="s">
        <v>1089</v>
      </c>
      <c r="C520" s="54">
        <v>44785</v>
      </c>
      <c r="D520" s="54">
        <v>44785</v>
      </c>
      <c r="E520" s="46" t="s">
        <v>523</v>
      </c>
      <c r="F520" s="51" t="s">
        <v>523</v>
      </c>
      <c r="G520" s="51" t="s">
        <v>1174</v>
      </c>
      <c r="H520" s="51" t="s">
        <v>1223</v>
      </c>
      <c r="I520" s="55">
        <v>88</v>
      </c>
      <c r="J520" s="56">
        <v>2</v>
      </c>
      <c r="K520" s="51" t="s">
        <v>1225</v>
      </c>
      <c r="L520" s="58">
        <v>18600</v>
      </c>
      <c r="M520" s="50">
        <f>ROUND('FA Addition'!$L520*5%,0.1)</f>
        <v>930</v>
      </c>
      <c r="N520" s="113" t="str">
        <f>_xlfn.XLOOKUP(_xlfn.CONCAT(E520,B520),'Year Wise Master Dep Approach'!F:F,'Year Wise Master Dep Approach'!D:D)</f>
        <v>WDV</v>
      </c>
      <c r="O520" s="113">
        <f>_xlfn.XLOOKUP(_xlfn.CONCAT(E520,B520),'Year Wise Master Dep Approach'!F:F,'Year Wise Master Dep Approach'!E:E)</f>
        <v>10</v>
      </c>
      <c r="P520" s="114">
        <f>IFERROR(IF('FA Addition'!$N520="WDV",1-('FA Addition'!$M520/'FA Addition'!$L520)^(1/'FA Addition'!$O520),1/'FA Addition'!$O520),0)</f>
        <v>0.2588655508930523</v>
      </c>
      <c r="Q520" s="122">
        <f>'FA Addition'!$P520*'FA Addition'!$O520</f>
        <v>2.5886555089305228</v>
      </c>
      <c r="R520" s="122"/>
      <c r="S520" s="116">
        <f>IF(AND(DATE(20&amp;LEFT(FAAddition[[#This Row],[FY]],2),4,1)&lt;$L$1+1,DATE(20&amp;LEFT(FAAddition[[#This Row],[FY]],2),4,1)&gt;$P$1-1),'FA Addition'!$J520,0)</f>
        <v>0</v>
      </c>
      <c r="U520" s="117">
        <f>S520*'FA Addition'!$L520/'FA Addition'!$J520</f>
        <v>0</v>
      </c>
      <c r="W520" s="116">
        <f>SUMIFS('FA Write off'!D:D,'FA Write off'!A:A,'FA Addition'!$A520,'FA Write off'!C:C,"&lt;"&amp;'FA Addition'!$P$1)</f>
        <v>0</v>
      </c>
      <c r="Y520" s="191">
        <f>IFERROR(W520/'FA Addition'!$J520*'FA Addition'!$L520,0)</f>
        <v>0</v>
      </c>
      <c r="AA520" s="116">
        <f>SUMIFS('FA Write off'!D:D,'FA Write off'!A:A,'FA Addition'!$A520,'FA Write off'!C:C,"&lt;"&amp;'FA Addition'!$L$1+1,'FA Write off'!C:C,"&gt;"&amp;'FA Addition'!$L$1-365)</f>
        <v>0</v>
      </c>
      <c r="AC520" s="118">
        <f>IFERROR(AA520/'FA Addition'!$J520*'FA Addition'!$L520,0)</f>
        <v>0</v>
      </c>
      <c r="AE520" s="117">
        <f>IF(AND('FA Addition'!$D520&lt;$P$1+1,U520=0),'FA Addition'!$L520,0)-Y520</f>
        <v>18600</v>
      </c>
      <c r="AF520" s="117">
        <f t="shared" si="40"/>
        <v>18600</v>
      </c>
      <c r="AG520" s="117">
        <f>MIN(MAX(+$P$1-'FA Addition'!$D520,0),365*'FA Addition'!$O520)</f>
        <v>232</v>
      </c>
      <c r="AH520" s="117">
        <f>MIN(MAX($L$1-'FA Addition'!$D520+1,0),365*'FA Addition'!$O520)</f>
        <v>598</v>
      </c>
      <c r="AI520" s="117" cm="1">
        <f t="array" ref="AI520">_xlfn.XLOOKUP(1,('FA Write off'!A:A='FA Addition'!$A520)*('FA Write off'!D:D=AA520),'FA Write off'!H:H,0,0)</f>
        <v>0</v>
      </c>
      <c r="AJ520" s="117">
        <f>IF(AC520&gt;0,MAX(IF('FA Addition'!$N520="SLM",($AC520-'FA Addition'!$M520)*'FA Addition'!$P520*AI520/365,(AC520-'FA Addition'!$M520)*(1-(1-'FA Addition'!$P520)^(AI520/365))),0),0)</f>
        <v>0</v>
      </c>
      <c r="AL520" s="117">
        <f>MAX(IF(AG520&gt;0,IF('FA Addition'!$N520="SLM",($AE520-'FA Addition'!$M520)*'FA Addition'!$P520*AG520/365,IFERROR(VDB(AE520,AE520*0.05,'FA Addition'!$O520,0,YEARFRAC('FA Addition'!$C520,$P$1-1,3),'FA Addition'!$Q520),FAAddition[[#This Row],[Original Cost (Rs)]]-FAAddition[[#This Row],[Salvage Value]])),0),0)</f>
        <v>3047.2376053892835</v>
      </c>
      <c r="AM520" s="119"/>
      <c r="AN520" s="117">
        <f>MAX(IF(AH520&gt;0,IF('FA Addition'!$N520="SLM",($AF520-'FA Addition'!$M520)*'FA Addition'!$P520*AH520/365,IFERROR(VDB(AF520,AF520*0.05,'FA Addition'!$O520,0,YEARFRAC('FA Addition'!$C520,$L$1,3),'FA Addition'!$Q520),FAAddition[[#This Row],[Original Cost (Rs)]]-FAAddition[[#This Row],[Salvage Value]])),0),0)</f>
        <v>7083.0886892108301</v>
      </c>
      <c r="AO520" s="117">
        <f t="shared" si="43"/>
        <v>4035.8510838215466</v>
      </c>
      <c r="AP520" s="206"/>
      <c r="AQ520" s="117">
        <f t="shared" si="41"/>
        <v>15552.762394610716</v>
      </c>
      <c r="AR520" s="120">
        <f t="shared" si="42"/>
        <v>11516.91131078917</v>
      </c>
      <c r="AS520" s="121"/>
    </row>
    <row r="521" spans="1:45" ht="13.5" x14ac:dyDescent="0.4">
      <c r="A521" s="12">
        <f t="shared" si="44"/>
        <v>518</v>
      </c>
      <c r="B521" s="64" t="s">
        <v>1089</v>
      </c>
      <c r="C521" s="54">
        <v>44791</v>
      </c>
      <c r="D521" s="54">
        <v>44791</v>
      </c>
      <c r="E521" s="46" t="s">
        <v>1389</v>
      </c>
      <c r="F521" s="51" t="s">
        <v>1112</v>
      </c>
      <c r="G521" s="51" t="s">
        <v>36</v>
      </c>
      <c r="H521" s="51" t="s">
        <v>1113</v>
      </c>
      <c r="I521" s="55" t="s">
        <v>1226</v>
      </c>
      <c r="J521" s="56">
        <v>1200</v>
      </c>
      <c r="K521" s="51" t="s">
        <v>1132</v>
      </c>
      <c r="L521" s="58">
        <v>972000</v>
      </c>
      <c r="M521" s="50">
        <f>ROUND('FA Addition'!$L521*5%,0.1)</f>
        <v>48600</v>
      </c>
      <c r="N521" s="113" t="str">
        <f>_xlfn.XLOOKUP(_xlfn.CONCAT(E521,B521),'Year Wise Master Dep Approach'!F:F,'Year Wise Master Dep Approach'!D:D)</f>
        <v>SLM</v>
      </c>
      <c r="O521" s="113">
        <f>_xlfn.XLOOKUP(_xlfn.CONCAT(E521,B521),'Year Wise Master Dep Approach'!F:F,'Year Wise Master Dep Approach'!E:E)</f>
        <v>3</v>
      </c>
      <c r="P521" s="114">
        <f>IFERROR(IF('FA Addition'!$N521="WDV",1-('FA Addition'!$M521/'FA Addition'!$L521)^(1/'FA Addition'!$O521),1/'FA Addition'!$O521),0)</f>
        <v>0.33333333333333331</v>
      </c>
      <c r="Q521" s="122">
        <f>'FA Addition'!$P521*'FA Addition'!$O521</f>
        <v>1</v>
      </c>
      <c r="R521" s="122"/>
      <c r="S521" s="116">
        <f>IF(AND(DATE(20&amp;LEFT(FAAddition[[#This Row],[FY]],2),4,1)&lt;$L$1+1,DATE(20&amp;LEFT(FAAddition[[#This Row],[FY]],2),4,1)&gt;$P$1-1),'FA Addition'!$J521,0)</f>
        <v>0</v>
      </c>
      <c r="U521" s="117">
        <f>S521*'FA Addition'!$L521/'FA Addition'!$J521</f>
        <v>0</v>
      </c>
      <c r="W521" s="116">
        <f>SUMIFS('FA Write off'!D:D,'FA Write off'!A:A,'FA Addition'!$A521,'FA Write off'!C:C,"&lt;"&amp;'FA Addition'!$P$1)</f>
        <v>0</v>
      </c>
      <c r="Y521" s="191">
        <f>IFERROR(W521/'FA Addition'!$J521*'FA Addition'!$L521,0)</f>
        <v>0</v>
      </c>
      <c r="AA521" s="116">
        <f>SUMIFS('FA Write off'!D:D,'FA Write off'!A:A,'FA Addition'!$A521,'FA Write off'!C:C,"&lt;"&amp;'FA Addition'!$L$1+1,'FA Write off'!C:C,"&gt;"&amp;'FA Addition'!$L$1-365)</f>
        <v>1200</v>
      </c>
      <c r="AC521" s="117">
        <f>IFERROR(AA521/'FA Addition'!$J521*'FA Addition'!$L521,0)</f>
        <v>972000</v>
      </c>
      <c r="AE521" s="117">
        <f>IF(AND('FA Addition'!$D521&lt;$P$1+1,U521=0),'FA Addition'!$L521,0)-Y521</f>
        <v>972000</v>
      </c>
      <c r="AF521" s="117">
        <f t="shared" si="40"/>
        <v>0</v>
      </c>
      <c r="AG521" s="117">
        <f>MIN(MAX(+$P$1-'FA Addition'!$D521,0),365*'FA Addition'!$O521)</f>
        <v>226</v>
      </c>
      <c r="AH521" s="117">
        <f>MIN(MAX($L$1-'FA Addition'!$D521+1,0),365*'FA Addition'!$O521)</f>
        <v>592</v>
      </c>
      <c r="AI521" s="117" cm="1">
        <f t="array" ref="AI521">_xlfn.XLOOKUP(1,('FA Write off'!A:A='FA Addition'!$A521)*('FA Write off'!D:D=AA521),'FA Write off'!H:H,0,0)</f>
        <v>592</v>
      </c>
      <c r="AJ521" s="117">
        <f>IF(AC521&gt;0,MAX(IF('FA Addition'!$N521="SLM",($AC521-'FA Addition'!$M521)*'FA Addition'!$P521*AI521/365,(AC521-'FA Addition'!$M521)*(1-(1-'FA Addition'!$P521)^(AI521/365))),0),0)</f>
        <v>499226.30136986304</v>
      </c>
      <c r="AL521" s="117">
        <f>MAX(IF(AG521&gt;0,IF('FA Addition'!$N521="SLM",($AE521-'FA Addition'!$M521)*'FA Addition'!$P521*AG521/365,IFERROR(VDB(AE521,AE521*0.05,'FA Addition'!$O521,0,YEARFRAC('FA Addition'!$C521,$P$1-1,3),'FA Addition'!$Q521),FAAddition[[#This Row],[Original Cost (Rs)]]-FAAddition[[#This Row],[Salvage Value]])),0),0)</f>
        <v>190583.01369863015</v>
      </c>
      <c r="AM521" s="119"/>
      <c r="AN521" s="117">
        <f>MAX(IF(AH521&gt;0,IF('FA Addition'!$N521="SLM",($AF521-'FA Addition'!$M521)*'FA Addition'!$P521*AH521/365,IFERROR(VDB(AF521,AF521*0.05,'FA Addition'!$O521,0,YEARFRAC('FA Addition'!$C521,$L$1,3),'FA Addition'!$Q521),FAAddition[[#This Row],[Original Cost (Rs)]]-FAAddition[[#This Row],[Salvage Value]])),0),0)</f>
        <v>0</v>
      </c>
      <c r="AO521" s="117">
        <f t="shared" si="43"/>
        <v>308643.28767123289</v>
      </c>
      <c r="AP521" s="206"/>
      <c r="AQ521" s="117">
        <f t="shared" si="41"/>
        <v>781416.98630136985</v>
      </c>
      <c r="AR521" s="120">
        <f t="shared" si="42"/>
        <v>0</v>
      </c>
      <c r="AS521" s="121"/>
    </row>
    <row r="522" spans="1:45" ht="13.5" x14ac:dyDescent="0.4">
      <c r="A522" s="12">
        <f t="shared" si="44"/>
        <v>519</v>
      </c>
      <c r="B522" s="64" t="s">
        <v>1089</v>
      </c>
      <c r="C522" s="54">
        <v>44796</v>
      </c>
      <c r="D522" s="54">
        <v>44796</v>
      </c>
      <c r="E522" s="46" t="s">
        <v>451</v>
      </c>
      <c r="F522" s="51" t="s">
        <v>1133</v>
      </c>
      <c r="G522" s="51" t="s">
        <v>1134</v>
      </c>
      <c r="H522" s="51" t="s">
        <v>21</v>
      </c>
      <c r="I522" s="55" t="s">
        <v>1227</v>
      </c>
      <c r="J522" s="56">
        <v>1</v>
      </c>
      <c r="K522" s="51" t="s">
        <v>1228</v>
      </c>
      <c r="L522" s="58">
        <v>61000</v>
      </c>
      <c r="M522" s="50">
        <f>ROUND('FA Addition'!$L522*5%,0.1)</f>
        <v>3050</v>
      </c>
      <c r="N522" s="113" t="str">
        <f>_xlfn.XLOOKUP(_xlfn.CONCAT(E522,B522),'Year Wise Master Dep Approach'!F:F,'Year Wise Master Dep Approach'!D:D)</f>
        <v>WDV</v>
      </c>
      <c r="O522" s="113">
        <f>_xlfn.XLOOKUP(_xlfn.CONCAT(E522,B522),'Year Wise Master Dep Approach'!F:F,'Year Wise Master Dep Approach'!E:E)</f>
        <v>3</v>
      </c>
      <c r="P522" s="114">
        <f>IFERROR(IF('FA Addition'!$N522="WDV",1-('FA Addition'!$M522/'FA Addition'!$L522)^(1/'FA Addition'!$O522),1/'FA Addition'!$O522),0)</f>
        <v>0.63159685013596123</v>
      </c>
      <c r="Q522" s="122">
        <f>'FA Addition'!$P522*'FA Addition'!$O522</f>
        <v>1.8947905504078837</v>
      </c>
      <c r="R522" s="122"/>
      <c r="S522" s="116">
        <f>IF(AND(DATE(20&amp;LEFT(FAAddition[[#This Row],[FY]],2),4,1)&lt;$L$1+1,DATE(20&amp;LEFT(FAAddition[[#This Row],[FY]],2),4,1)&gt;$P$1-1),'FA Addition'!$J522,0)</f>
        <v>0</v>
      </c>
      <c r="U522" s="117">
        <f>S522*'FA Addition'!$L522/'FA Addition'!$J522</f>
        <v>0</v>
      </c>
      <c r="W522" s="116">
        <f>SUMIFS('FA Write off'!D:D,'FA Write off'!A:A,'FA Addition'!$A522,'FA Write off'!C:C,"&lt;"&amp;'FA Addition'!$P$1)</f>
        <v>0</v>
      </c>
      <c r="Y522" s="191">
        <f>IFERROR(W522/'FA Addition'!$J522*'FA Addition'!$L522,0)</f>
        <v>0</v>
      </c>
      <c r="AA522" s="116">
        <f>SUMIFS('FA Write off'!D:D,'FA Write off'!A:A,'FA Addition'!$A522,'FA Write off'!C:C,"&lt;"&amp;'FA Addition'!$L$1+1,'FA Write off'!C:C,"&gt;"&amp;'FA Addition'!$L$1-365)</f>
        <v>0</v>
      </c>
      <c r="AC522" s="118">
        <f>IFERROR(AA522/'FA Addition'!$J522*'FA Addition'!$L522,0)</f>
        <v>0</v>
      </c>
      <c r="AE522" s="117">
        <f>IF(AND('FA Addition'!$D522&lt;$P$1+1,U522=0),'FA Addition'!$L522,0)-Y522</f>
        <v>61000</v>
      </c>
      <c r="AF522" s="117">
        <f t="shared" si="40"/>
        <v>61000</v>
      </c>
      <c r="AG522" s="117">
        <f>MIN(MAX(+$P$1-'FA Addition'!$D522,0),365*'FA Addition'!$O522)</f>
        <v>221</v>
      </c>
      <c r="AH522" s="117">
        <f>MIN(MAX($L$1-'FA Addition'!$D522+1,0),365*'FA Addition'!$O522)</f>
        <v>587</v>
      </c>
      <c r="AI522" s="117" cm="1">
        <f t="array" ref="AI522">_xlfn.XLOOKUP(1,('FA Write off'!A:A='FA Addition'!$A522)*('FA Write off'!D:D=AA522),'FA Write off'!H:H,0,0)</f>
        <v>0</v>
      </c>
      <c r="AJ522" s="117">
        <f>IF(AC522&gt;0,MAX(IF('FA Addition'!$N522="SLM",($AC522-'FA Addition'!$M522)*'FA Addition'!$P522*AI522/365,(AC522-'FA Addition'!$M522)*(1-(1-'FA Addition'!$P522)^(AI522/365))),0),0)</f>
        <v>0</v>
      </c>
      <c r="AL522" s="117">
        <f>MAX(IF(AG522&gt;0,IF('FA Addition'!$N522="SLM",($AE522-'FA Addition'!$M522)*'FA Addition'!$P522*AG522/365,IFERROR(VDB(AE522,AE522*0.05,'FA Addition'!$O522,0,YEARFRAC('FA Addition'!$C522,$P$1-1,3),'FA Addition'!$Q522),FAAddition[[#This Row],[Original Cost (Rs)]]-FAAddition[[#This Row],[Salvage Value]])),0),0)</f>
        <v>23221.999257053696</v>
      </c>
      <c r="AM522" s="119"/>
      <c r="AN522" s="117">
        <f>MAX(IF(AH522&gt;0,IF('FA Addition'!$N522="SLM",($AF522-'FA Addition'!$M522)*'FA Addition'!$P522*AH522/365,IFERROR(VDB(AF522,AF522*0.05,'FA Addition'!$O522,0,YEARFRAC('FA Addition'!$C522,$L$1,3),'FA Addition'!$Q522),FAAddition[[#This Row],[Original Cost (Rs)]]-FAAddition[[#This Row],[Salvage Value]])),0),0)</f>
        <v>47121.352156516397</v>
      </c>
      <c r="AO522" s="117">
        <f t="shared" si="43"/>
        <v>23899.352899462701</v>
      </c>
      <c r="AP522" s="206"/>
      <c r="AQ522" s="117">
        <f t="shared" si="41"/>
        <v>37778.0007429463</v>
      </c>
      <c r="AR522" s="120">
        <f t="shared" si="42"/>
        <v>13878.647843483603</v>
      </c>
      <c r="AS522" s="121"/>
    </row>
    <row r="523" spans="1:45" ht="13.5" x14ac:dyDescent="0.4">
      <c r="A523" s="12">
        <f t="shared" si="44"/>
        <v>520</v>
      </c>
      <c r="B523" s="64" t="s">
        <v>1089</v>
      </c>
      <c r="C523" s="54">
        <v>44805</v>
      </c>
      <c r="D523" s="54">
        <v>44805</v>
      </c>
      <c r="E523" s="46" t="s">
        <v>451</v>
      </c>
      <c r="F523" s="51" t="s">
        <v>1133</v>
      </c>
      <c r="G523" s="51" t="s">
        <v>1134</v>
      </c>
      <c r="H523" s="51" t="s">
        <v>21</v>
      </c>
      <c r="I523" s="55" t="s">
        <v>1229</v>
      </c>
      <c r="J523" s="56">
        <v>1</v>
      </c>
      <c r="K523" s="51" t="s">
        <v>1200</v>
      </c>
      <c r="L523" s="58">
        <v>27958</v>
      </c>
      <c r="M523" s="50">
        <f>ROUND('FA Addition'!$L523*5%,0.1)</f>
        <v>1398</v>
      </c>
      <c r="N523" s="113" t="str">
        <f>_xlfn.XLOOKUP(_xlfn.CONCAT(E523,B523),'Year Wise Master Dep Approach'!F:F,'Year Wise Master Dep Approach'!D:D)</f>
        <v>WDV</v>
      </c>
      <c r="O523" s="113">
        <f>_xlfn.XLOOKUP(_xlfn.CONCAT(E523,B523),'Year Wise Master Dep Approach'!F:F,'Year Wise Master Dep Approach'!E:E)</f>
        <v>3</v>
      </c>
      <c r="P523" s="114">
        <f>IFERROR(IF('FA Addition'!$N523="WDV",1-('FA Addition'!$M523/'FA Addition'!$L523)^(1/'FA Addition'!$O523),1/'FA Addition'!$O523),0)</f>
        <v>0.63158806566483716</v>
      </c>
      <c r="Q523" s="122">
        <f>'FA Addition'!$P523*'FA Addition'!$O523</f>
        <v>1.8947641969945115</v>
      </c>
      <c r="R523" s="122"/>
      <c r="S523" s="116">
        <f>IF(AND(DATE(20&amp;LEFT(FAAddition[[#This Row],[FY]],2),4,1)&lt;$L$1+1,DATE(20&amp;LEFT(FAAddition[[#This Row],[FY]],2),4,1)&gt;$P$1-1),'FA Addition'!$J523,0)</f>
        <v>0</v>
      </c>
      <c r="U523" s="117">
        <f>S523*'FA Addition'!$L523/'FA Addition'!$J523</f>
        <v>0</v>
      </c>
      <c r="W523" s="116">
        <f>SUMIFS('FA Write off'!D:D,'FA Write off'!A:A,'FA Addition'!$A523,'FA Write off'!C:C,"&lt;"&amp;'FA Addition'!$P$1)</f>
        <v>0</v>
      </c>
      <c r="Y523" s="191">
        <f>IFERROR(W523/'FA Addition'!$J523*'FA Addition'!$L523,0)</f>
        <v>0</v>
      </c>
      <c r="AA523" s="116">
        <f>SUMIFS('FA Write off'!D:D,'FA Write off'!A:A,'FA Addition'!$A523,'FA Write off'!C:C,"&lt;"&amp;'FA Addition'!$L$1+1,'FA Write off'!C:C,"&gt;"&amp;'FA Addition'!$L$1-365)</f>
        <v>0</v>
      </c>
      <c r="AC523" s="118">
        <f>IFERROR(AA523/'FA Addition'!$J523*'FA Addition'!$L523,0)</f>
        <v>0</v>
      </c>
      <c r="AE523" s="117">
        <f>IF(AND('FA Addition'!$D523&lt;$P$1+1,U523=0),'FA Addition'!$L523,0)-Y523</f>
        <v>27958</v>
      </c>
      <c r="AF523" s="117">
        <f t="shared" si="40"/>
        <v>27958</v>
      </c>
      <c r="AG523" s="117">
        <f>MIN(MAX(+$P$1-'FA Addition'!$D523,0),365*'FA Addition'!$O523)</f>
        <v>212</v>
      </c>
      <c r="AH523" s="117">
        <f>MIN(MAX($L$1-'FA Addition'!$D523+1,0),365*'FA Addition'!$O523)</f>
        <v>578</v>
      </c>
      <c r="AI523" s="117" cm="1">
        <f t="array" ref="AI523">_xlfn.XLOOKUP(1,('FA Write off'!A:A='FA Addition'!$A523)*('FA Write off'!D:D=AA523),'FA Write off'!H:H,0,0)</f>
        <v>0</v>
      </c>
      <c r="AJ523" s="117">
        <f>IF(AC523&gt;0,MAX(IF('FA Addition'!$N523="SLM",($AC523-'FA Addition'!$M523)*'FA Addition'!$P523*AI523/365,(AC523-'FA Addition'!$M523)*(1-(1-'FA Addition'!$P523)^(AI523/365))),0),0)</f>
        <v>0</v>
      </c>
      <c r="AL523" s="117">
        <f>MAX(IF(AG523&gt;0,IF('FA Addition'!$N523="SLM",($AE523-'FA Addition'!$M523)*'FA Addition'!$P523*AG523/365,IFERROR(VDB(AE523,AE523*0.05,'FA Addition'!$O523,0,YEARFRAC('FA Addition'!$C523,$P$1-1,3),'FA Addition'!$Q523),FAAddition[[#This Row],[Original Cost (Rs)]]-FAAddition[[#This Row],[Salvage Value]])),0),0)</f>
        <v>10207.740160301195</v>
      </c>
      <c r="AM523" s="119"/>
      <c r="AN523" s="117">
        <f>MAX(IF(AH523&gt;0,IF('FA Addition'!$N523="SLM",($AF523-'FA Addition'!$M523)*'FA Addition'!$P523*AH523/365,IFERROR(VDB(AF523,AF523*0.05,'FA Addition'!$O523,0,YEARFRAC('FA Addition'!$C523,$L$1,3),'FA Addition'!$Q523),FAAddition[[#This Row],[Original Cost (Rs)]]-FAAddition[[#This Row],[Salvage Value]])),0),0)</f>
        <v>21436.415438915457</v>
      </c>
      <c r="AO523" s="117">
        <f t="shared" si="43"/>
        <v>11228.675278614262</v>
      </c>
      <c r="AP523" s="206"/>
      <c r="AQ523" s="117">
        <f t="shared" si="41"/>
        <v>17750.259839698803</v>
      </c>
      <c r="AR523" s="120">
        <f t="shared" si="42"/>
        <v>6521.5845610845427</v>
      </c>
      <c r="AS523" s="121"/>
    </row>
    <row r="524" spans="1:45" ht="13.5" x14ac:dyDescent="0.4">
      <c r="A524" s="12">
        <f t="shared" si="44"/>
        <v>521</v>
      </c>
      <c r="B524" s="64" t="s">
        <v>1089</v>
      </c>
      <c r="C524" s="54">
        <v>44810</v>
      </c>
      <c r="D524" s="54">
        <v>44810</v>
      </c>
      <c r="E524" s="46" t="s">
        <v>1389</v>
      </c>
      <c r="F524" s="51" t="s">
        <v>1112</v>
      </c>
      <c r="G524" s="51" t="s">
        <v>36</v>
      </c>
      <c r="H524" s="51" t="s">
        <v>1113</v>
      </c>
      <c r="I524" s="55" t="s">
        <v>1230</v>
      </c>
      <c r="J524" s="56">
        <v>1200</v>
      </c>
      <c r="K524" s="51" t="s">
        <v>1132</v>
      </c>
      <c r="L524" s="58">
        <v>972000</v>
      </c>
      <c r="M524" s="50">
        <f>ROUND('FA Addition'!$L524*5%,0.1)</f>
        <v>48600</v>
      </c>
      <c r="N524" s="113" t="str">
        <f>_xlfn.XLOOKUP(_xlfn.CONCAT(E524,B524),'Year Wise Master Dep Approach'!F:F,'Year Wise Master Dep Approach'!D:D)</f>
        <v>SLM</v>
      </c>
      <c r="O524" s="113">
        <f>_xlfn.XLOOKUP(_xlfn.CONCAT(E524,B524),'Year Wise Master Dep Approach'!F:F,'Year Wise Master Dep Approach'!E:E)</f>
        <v>3</v>
      </c>
      <c r="P524" s="114">
        <f>IFERROR(IF('FA Addition'!$N524="WDV",1-('FA Addition'!$M524/'FA Addition'!$L524)^(1/'FA Addition'!$O524),1/'FA Addition'!$O524),0)</f>
        <v>0.33333333333333331</v>
      </c>
      <c r="Q524" s="122">
        <f>'FA Addition'!$P524*'FA Addition'!$O524</f>
        <v>1</v>
      </c>
      <c r="R524" s="122"/>
      <c r="S524" s="116">
        <f>IF(AND(DATE(20&amp;LEFT(FAAddition[[#This Row],[FY]],2),4,1)&lt;$L$1+1,DATE(20&amp;LEFT(FAAddition[[#This Row],[FY]],2),4,1)&gt;$P$1-1),'FA Addition'!$J524,0)</f>
        <v>0</v>
      </c>
      <c r="U524" s="117">
        <f>S524*'FA Addition'!$L524/'FA Addition'!$J524</f>
        <v>0</v>
      </c>
      <c r="W524" s="116">
        <f>SUMIFS('FA Write off'!D:D,'FA Write off'!A:A,'FA Addition'!$A524,'FA Write off'!C:C,"&lt;"&amp;'FA Addition'!$P$1)</f>
        <v>0</v>
      </c>
      <c r="Y524" s="191">
        <f>IFERROR(W524/'FA Addition'!$J524*'FA Addition'!$L524,0)</f>
        <v>0</v>
      </c>
      <c r="AA524" s="116">
        <f>SUMIFS('FA Write off'!D:D,'FA Write off'!A:A,'FA Addition'!$A524,'FA Write off'!C:C,"&lt;"&amp;'FA Addition'!$L$1+1,'FA Write off'!C:C,"&gt;"&amp;'FA Addition'!$L$1-365)</f>
        <v>1200</v>
      </c>
      <c r="AC524" s="117">
        <f>IFERROR(AA524/'FA Addition'!$J524*'FA Addition'!$L524,0)</f>
        <v>972000</v>
      </c>
      <c r="AE524" s="117">
        <f>IF(AND('FA Addition'!$D524&lt;$P$1+1,U524=0),'FA Addition'!$L524,0)-Y524</f>
        <v>972000</v>
      </c>
      <c r="AF524" s="117">
        <f t="shared" si="40"/>
        <v>0</v>
      </c>
      <c r="AG524" s="117">
        <f>MIN(MAX(+$P$1-'FA Addition'!$D524,0),365*'FA Addition'!$O524)</f>
        <v>207</v>
      </c>
      <c r="AH524" s="117">
        <f>MIN(MAX($L$1-'FA Addition'!$D524+1,0),365*'FA Addition'!$O524)</f>
        <v>573</v>
      </c>
      <c r="AI524" s="117" cm="1">
        <f t="array" ref="AI524">_xlfn.XLOOKUP(1,('FA Write off'!A:A='FA Addition'!$A524)*('FA Write off'!D:D=AA524),'FA Write off'!H:H,0,0)</f>
        <v>573</v>
      </c>
      <c r="AJ524" s="117">
        <f>IF(AC524&gt;0,MAX(IF('FA Addition'!$N524="SLM",($AC524-'FA Addition'!$M524)*'FA Addition'!$P524*AI524/365,(AC524-'FA Addition'!$M524)*(1-(1-'FA Addition'!$P524)^(AI524/365))),0),0)</f>
        <v>483203.83561643836</v>
      </c>
      <c r="AL524" s="117">
        <f>MAX(IF(AG524&gt;0,IF('FA Addition'!$N524="SLM",($AE524-'FA Addition'!$M524)*'FA Addition'!$P524*AG524/365,IFERROR(VDB(AE524,AE524*0.05,'FA Addition'!$O524,0,YEARFRAC('FA Addition'!$C524,$P$1-1,3),'FA Addition'!$Q524),FAAddition[[#This Row],[Original Cost (Rs)]]-FAAddition[[#This Row],[Salvage Value]])),0),0)</f>
        <v>174560.54794520547</v>
      </c>
      <c r="AM524" s="119"/>
      <c r="AN524" s="117">
        <f>MAX(IF(AH524&gt;0,IF('FA Addition'!$N524="SLM",($AF524-'FA Addition'!$M524)*'FA Addition'!$P524*AH524/365,IFERROR(VDB(AF524,AF524*0.05,'FA Addition'!$O524,0,YEARFRAC('FA Addition'!$C524,$L$1,3),'FA Addition'!$Q524),FAAddition[[#This Row],[Original Cost (Rs)]]-FAAddition[[#This Row],[Salvage Value]])),0),0)</f>
        <v>0</v>
      </c>
      <c r="AO524" s="117">
        <f t="shared" si="43"/>
        <v>308643.28767123289</v>
      </c>
      <c r="AP524" s="206"/>
      <c r="AQ524" s="117">
        <f t="shared" si="41"/>
        <v>797439.45205479453</v>
      </c>
      <c r="AR524" s="120">
        <f t="shared" si="42"/>
        <v>0</v>
      </c>
      <c r="AS524" s="121"/>
    </row>
    <row r="525" spans="1:45" ht="13.5" x14ac:dyDescent="0.4">
      <c r="A525" s="12">
        <f t="shared" si="44"/>
        <v>522</v>
      </c>
      <c r="B525" s="64" t="s">
        <v>1089</v>
      </c>
      <c r="C525" s="54">
        <v>44813</v>
      </c>
      <c r="D525" s="54">
        <v>44813</v>
      </c>
      <c r="E525" s="46" t="s">
        <v>451</v>
      </c>
      <c r="F525" s="51" t="s">
        <v>1133</v>
      </c>
      <c r="G525" s="51" t="s">
        <v>1231</v>
      </c>
      <c r="H525" s="51" t="s">
        <v>21</v>
      </c>
      <c r="I525" s="55" t="s">
        <v>1232</v>
      </c>
      <c r="J525" s="56">
        <v>1</v>
      </c>
      <c r="K525" s="51" t="s">
        <v>1233</v>
      </c>
      <c r="L525" s="58">
        <v>30500</v>
      </c>
      <c r="M525" s="50">
        <f>ROUND('FA Addition'!$L525*5%,0.1)</f>
        <v>1525</v>
      </c>
      <c r="N525" s="113" t="str">
        <f>_xlfn.XLOOKUP(_xlfn.CONCAT(E525,B525),'Year Wise Master Dep Approach'!F:F,'Year Wise Master Dep Approach'!D:D)</f>
        <v>WDV</v>
      </c>
      <c r="O525" s="113">
        <f>_xlfn.XLOOKUP(_xlfn.CONCAT(E525,B525),'Year Wise Master Dep Approach'!F:F,'Year Wise Master Dep Approach'!E:E)</f>
        <v>3</v>
      </c>
      <c r="P525" s="114">
        <f>IFERROR(IF('FA Addition'!$N525="WDV",1-('FA Addition'!$M525/'FA Addition'!$L525)^(1/'FA Addition'!$O525),1/'FA Addition'!$O525),0)</f>
        <v>0.63159685013596123</v>
      </c>
      <c r="Q525" s="122">
        <f>'FA Addition'!$P525*'FA Addition'!$O525</f>
        <v>1.8947905504078837</v>
      </c>
      <c r="R525" s="122"/>
      <c r="S525" s="116">
        <f>IF(AND(DATE(20&amp;LEFT(FAAddition[[#This Row],[FY]],2),4,1)&lt;$L$1+1,DATE(20&amp;LEFT(FAAddition[[#This Row],[FY]],2),4,1)&gt;$P$1-1),'FA Addition'!$J525,0)</f>
        <v>0</v>
      </c>
      <c r="U525" s="117">
        <f>S525*'FA Addition'!$L525/'FA Addition'!$J525</f>
        <v>0</v>
      </c>
      <c r="W525" s="116">
        <f>SUMIFS('FA Write off'!D:D,'FA Write off'!A:A,'FA Addition'!$A525,'FA Write off'!C:C,"&lt;"&amp;'FA Addition'!$P$1)</f>
        <v>0</v>
      </c>
      <c r="Y525" s="191">
        <f>IFERROR(W525/'FA Addition'!$J525*'FA Addition'!$L525,0)</f>
        <v>0</v>
      </c>
      <c r="AA525" s="116">
        <f>SUMIFS('FA Write off'!D:D,'FA Write off'!A:A,'FA Addition'!$A525,'FA Write off'!C:C,"&lt;"&amp;'FA Addition'!$L$1+1,'FA Write off'!C:C,"&gt;"&amp;'FA Addition'!$L$1-365)</f>
        <v>0</v>
      </c>
      <c r="AC525" s="118">
        <f>IFERROR(AA525/'FA Addition'!$J525*'FA Addition'!$L525,0)</f>
        <v>0</v>
      </c>
      <c r="AE525" s="117">
        <f>IF(AND('FA Addition'!$D525&lt;$P$1+1,U525=0),'FA Addition'!$L525,0)-Y525</f>
        <v>30500</v>
      </c>
      <c r="AF525" s="117">
        <f t="shared" si="40"/>
        <v>30500</v>
      </c>
      <c r="AG525" s="117">
        <f>MIN(MAX(+$P$1-'FA Addition'!$D525,0),365*'FA Addition'!$O525)</f>
        <v>204</v>
      </c>
      <c r="AH525" s="117">
        <f>MIN(MAX($L$1-'FA Addition'!$D525+1,0),365*'FA Addition'!$O525)</f>
        <v>570</v>
      </c>
      <c r="AI525" s="117" cm="1">
        <f t="array" ref="AI525">_xlfn.XLOOKUP(1,('FA Write off'!A:A='FA Addition'!$A525)*('FA Write off'!D:D=AA525),'FA Write off'!H:H,0,0)</f>
        <v>0</v>
      </c>
      <c r="AJ525" s="117">
        <f>IF(AC525&gt;0,MAX(IF('FA Addition'!$N525="SLM",($AC525-'FA Addition'!$M525)*'FA Addition'!$P525*AI525/365,(AC525-'FA Addition'!$M525)*(1-(1-'FA Addition'!$P525)^(AI525/365))),0),0)</f>
        <v>0</v>
      </c>
      <c r="AL525" s="117">
        <f>MAX(IF(AG525&gt;0,IF('FA Addition'!$N525="SLM",($AE525-'FA Addition'!$M525)*'FA Addition'!$P525*AG525/365,IFERROR(VDB(AE525,AE525*0.05,'FA Addition'!$O525,0,YEARFRAC('FA Addition'!$C525,$P$1-1,3),'FA Addition'!$Q525),FAAddition[[#This Row],[Original Cost (Rs)]]-FAAddition[[#This Row],[Salvage Value]])),0),0)</f>
        <v>10713.786020867958</v>
      </c>
      <c r="AM525" s="119"/>
      <c r="AN525" s="117">
        <f>MAX(IF(AH525&gt;0,IF('FA Addition'!$N525="SLM",($AF525-'FA Addition'!$M525)*'FA Addition'!$P525*AH525/365,IFERROR(VDB(AF525,AF525*0.05,'FA Addition'!$O525,0,YEARFRAC('FA Addition'!$C525,$L$1,3),'FA Addition'!$Q525),FAAddition[[#This Row],[Original Cost (Rs)]]-FAAddition[[#This Row],[Salvage Value]])),0),0)</f>
        <v>23230.139759095786</v>
      </c>
      <c r="AO525" s="117">
        <f t="shared" si="43"/>
        <v>12516.353738227828</v>
      </c>
      <c r="AP525" s="206"/>
      <c r="AQ525" s="117">
        <f t="shared" si="41"/>
        <v>19786.213979132044</v>
      </c>
      <c r="AR525" s="120">
        <f t="shared" si="42"/>
        <v>7269.8602409042142</v>
      </c>
      <c r="AS525" s="121"/>
    </row>
    <row r="526" spans="1:45" ht="13.5" x14ac:dyDescent="0.4">
      <c r="A526" s="12">
        <f t="shared" si="44"/>
        <v>523</v>
      </c>
      <c r="B526" s="64" t="s">
        <v>1089</v>
      </c>
      <c r="C526" s="54">
        <v>44813</v>
      </c>
      <c r="D526" s="54">
        <v>44813</v>
      </c>
      <c r="E526" s="46" t="s">
        <v>451</v>
      </c>
      <c r="F526" s="51" t="s">
        <v>1133</v>
      </c>
      <c r="G526" s="51" t="s">
        <v>1231</v>
      </c>
      <c r="H526" s="51" t="s">
        <v>21</v>
      </c>
      <c r="I526" s="55" t="s">
        <v>1232</v>
      </c>
      <c r="J526" s="56">
        <v>1</v>
      </c>
      <c r="K526" s="51" t="s">
        <v>1233</v>
      </c>
      <c r="L526" s="58">
        <v>30500</v>
      </c>
      <c r="M526" s="50">
        <f>ROUND('FA Addition'!$L526*5%,0.1)</f>
        <v>1525</v>
      </c>
      <c r="N526" s="113" t="str">
        <f>_xlfn.XLOOKUP(_xlfn.CONCAT(E526,B526),'Year Wise Master Dep Approach'!F:F,'Year Wise Master Dep Approach'!D:D)</f>
        <v>WDV</v>
      </c>
      <c r="O526" s="113">
        <f>_xlfn.XLOOKUP(_xlfn.CONCAT(E526,B526),'Year Wise Master Dep Approach'!F:F,'Year Wise Master Dep Approach'!E:E)</f>
        <v>3</v>
      </c>
      <c r="P526" s="114">
        <f>IFERROR(IF('FA Addition'!$N526="WDV",1-('FA Addition'!$M526/'FA Addition'!$L526)^(1/'FA Addition'!$O526),1/'FA Addition'!$O526),0)</f>
        <v>0.63159685013596123</v>
      </c>
      <c r="Q526" s="122">
        <f>'FA Addition'!$P526*'FA Addition'!$O526</f>
        <v>1.8947905504078837</v>
      </c>
      <c r="R526" s="122"/>
      <c r="S526" s="116">
        <f>IF(AND(DATE(20&amp;LEFT(FAAddition[[#This Row],[FY]],2),4,1)&lt;$L$1+1,DATE(20&amp;LEFT(FAAddition[[#This Row],[FY]],2),4,1)&gt;$P$1-1),'FA Addition'!$J526,0)</f>
        <v>0</v>
      </c>
      <c r="U526" s="117">
        <f>S526*'FA Addition'!$L526/'FA Addition'!$J526</f>
        <v>0</v>
      </c>
      <c r="W526" s="116">
        <f>SUMIFS('FA Write off'!D:D,'FA Write off'!A:A,'FA Addition'!$A526,'FA Write off'!C:C,"&lt;"&amp;'FA Addition'!$P$1)</f>
        <v>0</v>
      </c>
      <c r="Y526" s="191">
        <f>IFERROR(W526/'FA Addition'!$J526*'FA Addition'!$L526,0)</f>
        <v>0</v>
      </c>
      <c r="AA526" s="116">
        <f>SUMIFS('FA Write off'!D:D,'FA Write off'!A:A,'FA Addition'!$A526,'FA Write off'!C:C,"&lt;"&amp;'FA Addition'!$L$1+1,'FA Write off'!C:C,"&gt;"&amp;'FA Addition'!$L$1-365)</f>
        <v>0</v>
      </c>
      <c r="AC526" s="118">
        <f>IFERROR(AA526/'FA Addition'!$J526*'FA Addition'!$L526,0)</f>
        <v>0</v>
      </c>
      <c r="AE526" s="117">
        <f>IF(AND('FA Addition'!$D526&lt;$P$1+1,U526=0),'FA Addition'!$L526,0)-Y526</f>
        <v>30500</v>
      </c>
      <c r="AF526" s="117">
        <f t="shared" si="40"/>
        <v>30500</v>
      </c>
      <c r="AG526" s="117">
        <f>MIN(MAX(+$P$1-'FA Addition'!$D526,0),365*'FA Addition'!$O526)</f>
        <v>204</v>
      </c>
      <c r="AH526" s="117">
        <f>MIN(MAX($L$1-'FA Addition'!$D526+1,0),365*'FA Addition'!$O526)</f>
        <v>570</v>
      </c>
      <c r="AI526" s="117" cm="1">
        <f t="array" ref="AI526">_xlfn.XLOOKUP(1,('FA Write off'!A:A='FA Addition'!$A526)*('FA Write off'!D:D=AA526),'FA Write off'!H:H,0,0)</f>
        <v>0</v>
      </c>
      <c r="AJ526" s="117">
        <f>IF(AC526&gt;0,MAX(IF('FA Addition'!$N526="SLM",($AC526-'FA Addition'!$M526)*'FA Addition'!$P526*AI526/365,(AC526-'FA Addition'!$M526)*(1-(1-'FA Addition'!$P526)^(AI526/365))),0),0)</f>
        <v>0</v>
      </c>
      <c r="AL526" s="117">
        <f>MAX(IF(AG526&gt;0,IF('FA Addition'!$N526="SLM",($AE526-'FA Addition'!$M526)*'FA Addition'!$P526*AG526/365,IFERROR(VDB(AE526,AE526*0.05,'FA Addition'!$O526,0,YEARFRAC('FA Addition'!$C526,$P$1-1,3),'FA Addition'!$Q526),FAAddition[[#This Row],[Original Cost (Rs)]]-FAAddition[[#This Row],[Salvage Value]])),0),0)</f>
        <v>10713.786020867958</v>
      </c>
      <c r="AM526" s="119"/>
      <c r="AN526" s="117">
        <f>MAX(IF(AH526&gt;0,IF('FA Addition'!$N526="SLM",($AF526-'FA Addition'!$M526)*'FA Addition'!$P526*AH526/365,IFERROR(VDB(AF526,AF526*0.05,'FA Addition'!$O526,0,YEARFRAC('FA Addition'!$C526,$L$1,3),'FA Addition'!$Q526),FAAddition[[#This Row],[Original Cost (Rs)]]-FAAddition[[#This Row],[Salvage Value]])),0),0)</f>
        <v>23230.139759095786</v>
      </c>
      <c r="AO526" s="117">
        <f t="shared" si="43"/>
        <v>12516.353738227828</v>
      </c>
      <c r="AP526" s="206"/>
      <c r="AQ526" s="117">
        <f t="shared" si="41"/>
        <v>19786.213979132044</v>
      </c>
      <c r="AR526" s="120">
        <f t="shared" si="42"/>
        <v>7269.8602409042142</v>
      </c>
      <c r="AS526" s="121"/>
    </row>
    <row r="527" spans="1:45" ht="13.5" x14ac:dyDescent="0.4">
      <c r="A527" s="12">
        <f t="shared" si="44"/>
        <v>524</v>
      </c>
      <c r="B527" s="64" t="s">
        <v>1089</v>
      </c>
      <c r="C527" s="54">
        <v>44813</v>
      </c>
      <c r="D527" s="54">
        <v>44813</v>
      </c>
      <c r="E527" s="46" t="s">
        <v>451</v>
      </c>
      <c r="F527" s="51" t="s">
        <v>1133</v>
      </c>
      <c r="G527" s="51" t="s">
        <v>1231</v>
      </c>
      <c r="H527" s="51" t="s">
        <v>21</v>
      </c>
      <c r="I527" s="55" t="s">
        <v>1232</v>
      </c>
      <c r="J527" s="56">
        <v>1</v>
      </c>
      <c r="K527" s="51" t="s">
        <v>1233</v>
      </c>
      <c r="L527" s="58">
        <v>30500</v>
      </c>
      <c r="M527" s="50">
        <f>ROUND('FA Addition'!$L527*5%,0.1)</f>
        <v>1525</v>
      </c>
      <c r="N527" s="113" t="str">
        <f>_xlfn.XLOOKUP(_xlfn.CONCAT(E527,B527),'Year Wise Master Dep Approach'!F:F,'Year Wise Master Dep Approach'!D:D)</f>
        <v>WDV</v>
      </c>
      <c r="O527" s="113">
        <f>_xlfn.XLOOKUP(_xlfn.CONCAT(E527,B527),'Year Wise Master Dep Approach'!F:F,'Year Wise Master Dep Approach'!E:E)</f>
        <v>3</v>
      </c>
      <c r="P527" s="114">
        <f>IFERROR(IF('FA Addition'!$N527="WDV",1-('FA Addition'!$M527/'FA Addition'!$L527)^(1/'FA Addition'!$O527),1/'FA Addition'!$O527),0)</f>
        <v>0.63159685013596123</v>
      </c>
      <c r="Q527" s="122">
        <f>'FA Addition'!$P527*'FA Addition'!$O527</f>
        <v>1.8947905504078837</v>
      </c>
      <c r="R527" s="122"/>
      <c r="S527" s="116">
        <f>IF(AND(DATE(20&amp;LEFT(FAAddition[[#This Row],[FY]],2),4,1)&lt;$L$1+1,DATE(20&amp;LEFT(FAAddition[[#This Row],[FY]],2),4,1)&gt;$P$1-1),'FA Addition'!$J527,0)</f>
        <v>0</v>
      </c>
      <c r="U527" s="117">
        <f>S527*'FA Addition'!$L527/'FA Addition'!$J527</f>
        <v>0</v>
      </c>
      <c r="W527" s="116">
        <f>SUMIFS('FA Write off'!D:D,'FA Write off'!A:A,'FA Addition'!$A527,'FA Write off'!C:C,"&lt;"&amp;'FA Addition'!$P$1)</f>
        <v>0</v>
      </c>
      <c r="Y527" s="191">
        <f>IFERROR(W527/'FA Addition'!$J527*'FA Addition'!$L527,0)</f>
        <v>0</v>
      </c>
      <c r="AA527" s="116">
        <f>SUMIFS('FA Write off'!D:D,'FA Write off'!A:A,'FA Addition'!$A527,'FA Write off'!C:C,"&lt;"&amp;'FA Addition'!$L$1+1,'FA Write off'!C:C,"&gt;"&amp;'FA Addition'!$L$1-365)</f>
        <v>0</v>
      </c>
      <c r="AC527" s="118">
        <f>IFERROR(AA527/'FA Addition'!$J527*'FA Addition'!$L527,0)</f>
        <v>0</v>
      </c>
      <c r="AE527" s="117">
        <f>IF(AND('FA Addition'!$D527&lt;$P$1+1,U527=0),'FA Addition'!$L527,0)-Y527</f>
        <v>30500</v>
      </c>
      <c r="AF527" s="117">
        <f t="shared" si="40"/>
        <v>30500</v>
      </c>
      <c r="AG527" s="117">
        <f>MIN(MAX(+$P$1-'FA Addition'!$D527,0),365*'FA Addition'!$O527)</f>
        <v>204</v>
      </c>
      <c r="AH527" s="117">
        <f>MIN(MAX($L$1-'FA Addition'!$D527+1,0),365*'FA Addition'!$O527)</f>
        <v>570</v>
      </c>
      <c r="AI527" s="117" cm="1">
        <f t="array" ref="AI527">_xlfn.XLOOKUP(1,('FA Write off'!A:A='FA Addition'!$A527)*('FA Write off'!D:D=AA527),'FA Write off'!H:H,0,0)</f>
        <v>0</v>
      </c>
      <c r="AJ527" s="117">
        <f>IF(AC527&gt;0,MAX(IF('FA Addition'!$N527="SLM",($AC527-'FA Addition'!$M527)*'FA Addition'!$P527*AI527/365,(AC527-'FA Addition'!$M527)*(1-(1-'FA Addition'!$P527)^(AI527/365))),0),0)</f>
        <v>0</v>
      </c>
      <c r="AL527" s="117">
        <f>MAX(IF(AG527&gt;0,IF('FA Addition'!$N527="SLM",($AE527-'FA Addition'!$M527)*'FA Addition'!$P527*AG527/365,IFERROR(VDB(AE527,AE527*0.05,'FA Addition'!$O527,0,YEARFRAC('FA Addition'!$C527,$P$1-1,3),'FA Addition'!$Q527),FAAddition[[#This Row],[Original Cost (Rs)]]-FAAddition[[#This Row],[Salvage Value]])),0),0)</f>
        <v>10713.786020867958</v>
      </c>
      <c r="AM527" s="119"/>
      <c r="AN527" s="117">
        <f>MAX(IF(AH527&gt;0,IF('FA Addition'!$N527="SLM",($AF527-'FA Addition'!$M527)*'FA Addition'!$P527*AH527/365,IFERROR(VDB(AF527,AF527*0.05,'FA Addition'!$O527,0,YEARFRAC('FA Addition'!$C527,$L$1,3),'FA Addition'!$Q527),FAAddition[[#This Row],[Original Cost (Rs)]]-FAAddition[[#This Row],[Salvage Value]])),0),0)</f>
        <v>23230.139759095786</v>
      </c>
      <c r="AO527" s="117">
        <f t="shared" si="43"/>
        <v>12516.353738227828</v>
      </c>
      <c r="AP527" s="206"/>
      <c r="AQ527" s="117">
        <f t="shared" si="41"/>
        <v>19786.213979132044</v>
      </c>
      <c r="AR527" s="120">
        <f t="shared" si="42"/>
        <v>7269.8602409042142</v>
      </c>
      <c r="AS527" s="121"/>
    </row>
    <row r="528" spans="1:45" ht="13.5" x14ac:dyDescent="0.4">
      <c r="A528" s="12">
        <f t="shared" si="44"/>
        <v>525</v>
      </c>
      <c r="B528" s="64" t="s">
        <v>1089</v>
      </c>
      <c r="C528" s="54">
        <v>44824</v>
      </c>
      <c r="D528" s="54">
        <v>44824</v>
      </c>
      <c r="E528" s="46" t="s">
        <v>1389</v>
      </c>
      <c r="F528" s="51" t="s">
        <v>1112</v>
      </c>
      <c r="G528" s="51" t="s">
        <v>36</v>
      </c>
      <c r="H528" s="51" t="s">
        <v>1113</v>
      </c>
      <c r="I528" s="55" t="s">
        <v>1234</v>
      </c>
      <c r="J528" s="56">
        <v>1200</v>
      </c>
      <c r="K528" s="51" t="s">
        <v>1132</v>
      </c>
      <c r="L528" s="58">
        <v>972000</v>
      </c>
      <c r="M528" s="50">
        <f>ROUND('FA Addition'!$L528*5%,0.1)</f>
        <v>48600</v>
      </c>
      <c r="N528" s="113" t="str">
        <f>_xlfn.XLOOKUP(_xlfn.CONCAT(E528,B528),'Year Wise Master Dep Approach'!F:F,'Year Wise Master Dep Approach'!D:D)</f>
        <v>SLM</v>
      </c>
      <c r="O528" s="113">
        <f>_xlfn.XLOOKUP(_xlfn.CONCAT(E528,B528),'Year Wise Master Dep Approach'!F:F,'Year Wise Master Dep Approach'!E:E)</f>
        <v>3</v>
      </c>
      <c r="P528" s="114">
        <f>IFERROR(IF('FA Addition'!$N528="WDV",1-('FA Addition'!$M528/'FA Addition'!$L528)^(1/'FA Addition'!$O528),1/'FA Addition'!$O528),0)</f>
        <v>0.33333333333333331</v>
      </c>
      <c r="Q528" s="122">
        <f>'FA Addition'!$P528*'FA Addition'!$O528</f>
        <v>1</v>
      </c>
      <c r="R528" s="122"/>
      <c r="S528" s="116">
        <f>IF(AND(DATE(20&amp;LEFT(FAAddition[[#This Row],[FY]],2),4,1)&lt;$L$1+1,DATE(20&amp;LEFT(FAAddition[[#This Row],[FY]],2),4,1)&gt;$P$1-1),'FA Addition'!$J528,0)</f>
        <v>0</v>
      </c>
      <c r="U528" s="117">
        <f>S528*'FA Addition'!$L528/'FA Addition'!$J528</f>
        <v>0</v>
      </c>
      <c r="W528" s="116">
        <f>SUMIFS('FA Write off'!D:D,'FA Write off'!A:A,'FA Addition'!$A528,'FA Write off'!C:C,"&lt;"&amp;'FA Addition'!$P$1)</f>
        <v>0</v>
      </c>
      <c r="Y528" s="191">
        <f>IFERROR(W528/'FA Addition'!$J528*'FA Addition'!$L528,0)</f>
        <v>0</v>
      </c>
      <c r="AA528" s="116">
        <f>SUMIFS('FA Write off'!D:D,'FA Write off'!A:A,'FA Addition'!$A528,'FA Write off'!C:C,"&lt;"&amp;'FA Addition'!$L$1+1,'FA Write off'!C:C,"&gt;"&amp;'FA Addition'!$L$1-365)</f>
        <v>1200</v>
      </c>
      <c r="AC528" s="117">
        <f>IFERROR(AA528/'FA Addition'!$J528*'FA Addition'!$L528,0)</f>
        <v>972000</v>
      </c>
      <c r="AE528" s="117">
        <f>IF(AND('FA Addition'!$D528&lt;$P$1+1,U528=0),'FA Addition'!$L528,0)-Y528</f>
        <v>972000</v>
      </c>
      <c r="AF528" s="117">
        <f t="shared" si="40"/>
        <v>0</v>
      </c>
      <c r="AG528" s="117">
        <f>MIN(MAX(+$P$1-'FA Addition'!$D528,0),365*'FA Addition'!$O528)</f>
        <v>193</v>
      </c>
      <c r="AH528" s="117">
        <f>MIN(MAX($L$1-'FA Addition'!$D528+1,0),365*'FA Addition'!$O528)</f>
        <v>559</v>
      </c>
      <c r="AI528" s="117" cm="1">
        <f t="array" ref="AI528">_xlfn.XLOOKUP(1,('FA Write off'!A:A='FA Addition'!$A528)*('FA Write off'!D:D=AA528),'FA Write off'!H:H,0,0)</f>
        <v>559</v>
      </c>
      <c r="AJ528" s="117">
        <f>IF(AC528&gt;0,MAX(IF('FA Addition'!$N528="SLM",($AC528-'FA Addition'!$M528)*'FA Addition'!$P528*AI528/365,(AC528-'FA Addition'!$M528)*(1-(1-'FA Addition'!$P528)^(AI528/365))),0),0)</f>
        <v>471397.80821917806</v>
      </c>
      <c r="AL528" s="117">
        <f>MAX(IF(AG528&gt;0,IF('FA Addition'!$N528="SLM",($AE528-'FA Addition'!$M528)*'FA Addition'!$P528*AG528/365,IFERROR(VDB(AE528,AE528*0.05,'FA Addition'!$O528,0,YEARFRAC('FA Addition'!$C528,$P$1-1,3),'FA Addition'!$Q528),FAAddition[[#This Row],[Original Cost (Rs)]]-FAAddition[[#This Row],[Salvage Value]])),0),0)</f>
        <v>162754.5205479452</v>
      </c>
      <c r="AM528" s="119"/>
      <c r="AN528" s="117">
        <f>MAX(IF(AH528&gt;0,IF('FA Addition'!$N528="SLM",($AF528-'FA Addition'!$M528)*'FA Addition'!$P528*AH528/365,IFERROR(VDB(AF528,AF528*0.05,'FA Addition'!$O528,0,YEARFRAC('FA Addition'!$C528,$L$1,3),'FA Addition'!$Q528),FAAddition[[#This Row],[Original Cost (Rs)]]-FAAddition[[#This Row],[Salvage Value]])),0),0)</f>
        <v>0</v>
      </c>
      <c r="AO528" s="117">
        <f t="shared" si="43"/>
        <v>308643.28767123283</v>
      </c>
      <c r="AP528" s="206"/>
      <c r="AQ528" s="117">
        <f t="shared" si="41"/>
        <v>809245.47945205483</v>
      </c>
      <c r="AR528" s="120">
        <f t="shared" si="42"/>
        <v>0</v>
      </c>
      <c r="AS528" s="121"/>
    </row>
    <row r="529" spans="1:45" ht="13.5" x14ac:dyDescent="0.4">
      <c r="A529" s="12">
        <f t="shared" si="44"/>
        <v>526</v>
      </c>
      <c r="B529" s="64" t="s">
        <v>1089</v>
      </c>
      <c r="C529" s="54">
        <v>44825</v>
      </c>
      <c r="D529" s="54">
        <v>44825</v>
      </c>
      <c r="E529" s="46" t="s">
        <v>32</v>
      </c>
      <c r="F529" s="51" t="s">
        <v>1090</v>
      </c>
      <c r="G529" s="51" t="s">
        <v>433</v>
      </c>
      <c r="H529" s="51" t="s">
        <v>32</v>
      </c>
      <c r="I529" s="55" t="s">
        <v>1235</v>
      </c>
      <c r="J529" s="56">
        <v>100</v>
      </c>
      <c r="K529" s="51" t="s">
        <v>935</v>
      </c>
      <c r="L529" s="58">
        <v>110000</v>
      </c>
      <c r="M529" s="50">
        <f>ROUND('FA Addition'!$L529*5%,0.1)</f>
        <v>5500</v>
      </c>
      <c r="N529" s="113" t="str">
        <f>_xlfn.XLOOKUP(_xlfn.CONCAT(E529,B529),'Year Wise Master Dep Approach'!F:F,'Year Wise Master Dep Approach'!D:D)</f>
        <v>WDV</v>
      </c>
      <c r="O529" s="113">
        <f>_xlfn.XLOOKUP(_xlfn.CONCAT(E529,B529),'Year Wise Master Dep Approach'!F:F,'Year Wise Master Dep Approach'!E:E)</f>
        <v>3</v>
      </c>
      <c r="P529" s="114">
        <f>IFERROR(IF('FA Addition'!$N529="WDV",1-('FA Addition'!$M529/'FA Addition'!$L529)^(1/'FA Addition'!$O529),1/'FA Addition'!$O529),0)</f>
        <v>0.63159685013596123</v>
      </c>
      <c r="Q529" s="122">
        <f>'FA Addition'!$P529*'FA Addition'!$O529</f>
        <v>1.8947905504078837</v>
      </c>
      <c r="R529" s="122"/>
      <c r="S529" s="116">
        <f>IF(AND(DATE(20&amp;LEFT(FAAddition[[#This Row],[FY]],2),4,1)&lt;$L$1+1,DATE(20&amp;LEFT(FAAddition[[#This Row],[FY]],2),4,1)&gt;$P$1-1),'FA Addition'!$J529,0)</f>
        <v>0</v>
      </c>
      <c r="U529" s="117">
        <f>S529*'FA Addition'!$L529/'FA Addition'!$J529</f>
        <v>0</v>
      </c>
      <c r="W529" s="116">
        <f>SUMIFS('FA Write off'!D:D,'FA Write off'!A:A,'FA Addition'!$A529,'FA Write off'!C:C,"&lt;"&amp;'FA Addition'!$P$1)</f>
        <v>9</v>
      </c>
      <c r="Y529" s="191">
        <f>IFERROR(W529/'FA Addition'!$J529*'FA Addition'!$L529,0)</f>
        <v>9900</v>
      </c>
      <c r="AA529" s="116">
        <f>SUMIFS('FA Write off'!D:D,'FA Write off'!A:A,'FA Addition'!$A529,'FA Write off'!C:C,"&lt;"&amp;'FA Addition'!$L$1+1,'FA Write off'!C:C,"&gt;"&amp;'FA Addition'!$L$1-365)</f>
        <v>0</v>
      </c>
      <c r="AC529" s="191">
        <f>IFERROR(AA529/'FA Addition'!$J529*'FA Addition'!$L529,0)</f>
        <v>0</v>
      </c>
      <c r="AE529" s="117">
        <f>IF(AND('FA Addition'!$D529&lt;$P$1+1,U529=0),'FA Addition'!$L529,0)-Y529</f>
        <v>100100</v>
      </c>
      <c r="AF529" s="117">
        <f t="shared" si="40"/>
        <v>100100</v>
      </c>
      <c r="AG529" s="117">
        <f>MIN(MAX(+$P$1-'FA Addition'!$D529,0),365*'FA Addition'!$O529)</f>
        <v>192</v>
      </c>
      <c r="AH529" s="117">
        <f>MIN(MAX($L$1-'FA Addition'!$D529+1,0),365*'FA Addition'!$O529)</f>
        <v>558</v>
      </c>
      <c r="AI529" s="117" cm="1">
        <f t="array" ref="AI529">_xlfn.XLOOKUP(1,('FA Write off'!A:A='FA Addition'!$A529)*('FA Write off'!D:D=AA529),'FA Write off'!H:H,0,0)</f>
        <v>0</v>
      </c>
      <c r="AJ529" s="117">
        <f>IF(AC529&gt;0,MAX(IF('FA Addition'!$N529="SLM",($AC529-'FA Addition'!$M529)*'FA Addition'!$P529*AI529/365,(AC529-'FA Addition'!$M529)*(1-(1-'FA Addition'!$P529)^(AI529/365))),0),0)</f>
        <v>0</v>
      </c>
      <c r="AL529" s="117">
        <f>MAX(IF(AG529&gt;0,IF('FA Addition'!$N529="SLM",($AE529-'FA Addition'!$M529)*'FA Addition'!$P529*AG529/365,IFERROR(VDB(AE529,AE529*0.05,'FA Addition'!$O529,0,YEARFRAC('FA Addition'!$C529,$P$1-1,3),'FA Addition'!$Q529),FAAddition[[#This Row],[Original Cost (Rs)]]-FAAddition[[#This Row],[Salvage Value]])),0),0)</f>
        <v>33083.735171053304</v>
      </c>
      <c r="AM529" s="119"/>
      <c r="AN529" s="117">
        <f>MAX(IF(AH529&gt;0,IF('FA Addition'!$N529="SLM",($AF529-'FA Addition'!$M529)*'FA Addition'!$P529*AH529/365,IFERROR(VDB(AF529,AF529*0.05,'FA Addition'!$O529,0,YEARFRAC('FA Addition'!$C529,$L$1,3),'FA Addition'!$Q529),FAAddition[[#This Row],[Original Cost (Rs)]]-FAAddition[[#This Row],[Salvage Value]])),0),0)</f>
        <v>75474.809260319016</v>
      </c>
      <c r="AO529" s="117">
        <f t="shared" si="43"/>
        <v>42391.074089265712</v>
      </c>
      <c r="AP529" s="206"/>
      <c r="AQ529" s="117">
        <f t="shared" si="41"/>
        <v>67016.264828946703</v>
      </c>
      <c r="AR529" s="120">
        <f t="shared" si="42"/>
        <v>24625.190739680984</v>
      </c>
      <c r="AS529" s="121"/>
    </row>
    <row r="530" spans="1:45" ht="13.5" x14ac:dyDescent="0.4">
      <c r="A530" s="12">
        <f t="shared" si="44"/>
        <v>527</v>
      </c>
      <c r="B530" s="64" t="s">
        <v>1089</v>
      </c>
      <c r="C530" s="54">
        <v>44830</v>
      </c>
      <c r="D530" s="54">
        <v>44830</v>
      </c>
      <c r="E530" s="46" t="s">
        <v>32</v>
      </c>
      <c r="F530" s="51" t="s">
        <v>1090</v>
      </c>
      <c r="G530" s="51" t="s">
        <v>433</v>
      </c>
      <c r="H530" s="51" t="s">
        <v>32</v>
      </c>
      <c r="I530" s="55" t="s">
        <v>1236</v>
      </c>
      <c r="J530" s="56">
        <v>1000</v>
      </c>
      <c r="K530" s="51" t="s">
        <v>935</v>
      </c>
      <c r="L530" s="58">
        <v>1100000</v>
      </c>
      <c r="M530" s="50">
        <f>ROUND('FA Addition'!$L530*5%,0.1)</f>
        <v>55000</v>
      </c>
      <c r="N530" s="113" t="str">
        <f>_xlfn.XLOOKUP(_xlfn.CONCAT(E530,B530),'Year Wise Master Dep Approach'!F:F,'Year Wise Master Dep Approach'!D:D)</f>
        <v>WDV</v>
      </c>
      <c r="O530" s="113">
        <f>_xlfn.XLOOKUP(_xlfn.CONCAT(E530,B530),'Year Wise Master Dep Approach'!F:F,'Year Wise Master Dep Approach'!E:E)</f>
        <v>3</v>
      </c>
      <c r="P530" s="114">
        <f>IFERROR(IF('FA Addition'!$N530="WDV",1-('FA Addition'!$M530/'FA Addition'!$L530)^(1/'FA Addition'!$O530),1/'FA Addition'!$O530),0)</f>
        <v>0.63159685013596123</v>
      </c>
      <c r="Q530" s="122">
        <f>'FA Addition'!$P530*'FA Addition'!$O530</f>
        <v>1.8947905504078837</v>
      </c>
      <c r="R530" s="122"/>
      <c r="S530" s="116">
        <f>IF(AND(DATE(20&amp;LEFT(FAAddition[[#This Row],[FY]],2),4,1)&lt;$L$1+1,DATE(20&amp;LEFT(FAAddition[[#This Row],[FY]],2),4,1)&gt;$P$1-1),'FA Addition'!$J530,0)</f>
        <v>0</v>
      </c>
      <c r="U530" s="117">
        <f>S530*'FA Addition'!$L530/'FA Addition'!$J530</f>
        <v>0</v>
      </c>
      <c r="W530" s="116">
        <f>SUMIFS('FA Write off'!D:D,'FA Write off'!A:A,'FA Addition'!$A530,'FA Write off'!C:C,"&lt;"&amp;'FA Addition'!$P$1)</f>
        <v>38</v>
      </c>
      <c r="Y530" s="191">
        <f>IFERROR(W530/'FA Addition'!$J530*'FA Addition'!$L530,0)</f>
        <v>41800</v>
      </c>
      <c r="AA530" s="116">
        <f>SUMIFS('FA Write off'!D:D,'FA Write off'!A:A,'FA Addition'!$A530,'FA Write off'!C:C,"&lt;"&amp;'FA Addition'!$L$1+1,'FA Write off'!C:C,"&gt;"&amp;'FA Addition'!$L$1-365)</f>
        <v>0</v>
      </c>
      <c r="AC530" s="191">
        <f>IFERROR(AA530/'FA Addition'!$J530*'FA Addition'!$L530,0)</f>
        <v>0</v>
      </c>
      <c r="AE530" s="117">
        <f>IF(AND('FA Addition'!$D530&lt;$P$1+1,U530=0),'FA Addition'!$L530,0)-Y530</f>
        <v>1058200</v>
      </c>
      <c r="AF530" s="117">
        <f t="shared" si="40"/>
        <v>1058200</v>
      </c>
      <c r="AG530" s="117">
        <f>MIN(MAX(+$P$1-'FA Addition'!$D530,0),365*'FA Addition'!$O530)</f>
        <v>187</v>
      </c>
      <c r="AH530" s="117">
        <f>MIN(MAX($L$1-'FA Addition'!$D530+1,0),365*'FA Addition'!$O530)</f>
        <v>553</v>
      </c>
      <c r="AI530" s="117" cm="1">
        <f t="array" ref="AI530">_xlfn.XLOOKUP(1,('FA Write off'!A:A='FA Addition'!$A530)*('FA Write off'!D:D=AA530),'FA Write off'!H:H,0,0)</f>
        <v>0</v>
      </c>
      <c r="AJ530" s="117">
        <f>IF(AC530&gt;0,MAX(IF('FA Addition'!$N530="SLM",($AC530-'FA Addition'!$M530)*'FA Addition'!$P530*AI530/365,(AC530-'FA Addition'!$M530)*(1-(1-'FA Addition'!$P530)^(AI530/365))),0),0)</f>
        <v>0</v>
      </c>
      <c r="AL530" s="117">
        <f>MAX(IF(AG530&gt;0,IF('FA Addition'!$N530="SLM",($AE530-'FA Addition'!$M530)*'FA Addition'!$P530*AG530/365,IFERROR(VDB(AE530,AE530*0.05,'FA Addition'!$O530,0,YEARFRAC('FA Addition'!$C530,$P$1-1,3),'FA Addition'!$Q530),FAAddition[[#This Row],[Original Cost (Rs)]]-FAAddition[[#This Row],[Salvage Value]])),0),0)</f>
        <v>340586.78451337147</v>
      </c>
      <c r="AM530" s="119"/>
      <c r="AN530" s="117">
        <f>MAX(IF(AH530&gt;0,IF('FA Addition'!$N530="SLM",($AF530-'FA Addition'!$M530)*'FA Addition'!$P530*AH530/365,IFERROR(VDB(AF530,AF530*0.05,'FA Addition'!$O530,0,YEARFRAC('FA Addition'!$C530,$L$1,3),'FA Addition'!$Q530),FAAddition[[#This Row],[Original Cost (Rs)]]-FAAddition[[#This Row],[Salvage Value]])),0),0)</f>
        <v>794503.61836516368</v>
      </c>
      <c r="AO530" s="117">
        <f t="shared" si="43"/>
        <v>453916.83385179221</v>
      </c>
      <c r="AP530" s="206"/>
      <c r="AQ530" s="117">
        <f t="shared" si="41"/>
        <v>717613.21548662847</v>
      </c>
      <c r="AR530" s="120">
        <f t="shared" si="42"/>
        <v>263696.38163483632</v>
      </c>
      <c r="AS530" s="121"/>
    </row>
    <row r="531" spans="1:45" ht="13.5" x14ac:dyDescent="0.4">
      <c r="A531" s="12">
        <f t="shared" si="44"/>
        <v>528</v>
      </c>
      <c r="B531" s="64" t="s">
        <v>1089</v>
      </c>
      <c r="C531" s="54">
        <v>44830</v>
      </c>
      <c r="D531" s="54">
        <v>44830</v>
      </c>
      <c r="E531" s="46" t="s">
        <v>32</v>
      </c>
      <c r="F531" s="51" t="s">
        <v>1090</v>
      </c>
      <c r="G531" s="51" t="s">
        <v>433</v>
      </c>
      <c r="H531" s="51" t="s">
        <v>32</v>
      </c>
      <c r="I531" s="55" t="s">
        <v>1237</v>
      </c>
      <c r="J531" s="56">
        <v>1000</v>
      </c>
      <c r="K531" s="51" t="s">
        <v>935</v>
      </c>
      <c r="L531" s="58">
        <v>1100000</v>
      </c>
      <c r="M531" s="50">
        <f>ROUND('FA Addition'!$L531*5%,0.1)</f>
        <v>55000</v>
      </c>
      <c r="N531" s="113" t="str">
        <f>_xlfn.XLOOKUP(_xlfn.CONCAT(E531,B531),'Year Wise Master Dep Approach'!F:F,'Year Wise Master Dep Approach'!D:D)</f>
        <v>WDV</v>
      </c>
      <c r="O531" s="113">
        <f>_xlfn.XLOOKUP(_xlfn.CONCAT(E531,B531),'Year Wise Master Dep Approach'!F:F,'Year Wise Master Dep Approach'!E:E)</f>
        <v>3</v>
      </c>
      <c r="P531" s="114">
        <f>IFERROR(IF('FA Addition'!$N531="WDV",1-('FA Addition'!$M531/'FA Addition'!$L531)^(1/'FA Addition'!$O531),1/'FA Addition'!$O531),0)</f>
        <v>0.63159685013596123</v>
      </c>
      <c r="Q531" s="122">
        <f>'FA Addition'!$P531*'FA Addition'!$O531</f>
        <v>1.8947905504078837</v>
      </c>
      <c r="R531" s="122"/>
      <c r="S531" s="116">
        <f>IF(AND(DATE(20&amp;LEFT(FAAddition[[#This Row],[FY]],2),4,1)&lt;$L$1+1,DATE(20&amp;LEFT(FAAddition[[#This Row],[FY]],2),4,1)&gt;$P$1-1),'FA Addition'!$J531,0)</f>
        <v>0</v>
      </c>
      <c r="U531" s="117">
        <f>S531*'FA Addition'!$L531/'FA Addition'!$J531</f>
        <v>0</v>
      </c>
      <c r="W531" s="116">
        <f>SUMIFS('FA Write off'!D:D,'FA Write off'!A:A,'FA Addition'!$A531,'FA Write off'!C:C,"&lt;"&amp;'FA Addition'!$P$1)</f>
        <v>14</v>
      </c>
      <c r="Y531" s="191">
        <f>IFERROR(W531/'FA Addition'!$J531*'FA Addition'!$L531,0)</f>
        <v>15400</v>
      </c>
      <c r="AA531" s="116">
        <f>SUMIFS('FA Write off'!D:D,'FA Write off'!A:A,'FA Addition'!$A531,'FA Write off'!C:C,"&lt;"&amp;'FA Addition'!$L$1+1,'FA Write off'!C:C,"&gt;"&amp;'FA Addition'!$L$1-365)</f>
        <v>438</v>
      </c>
      <c r="AC531" s="191">
        <f>IFERROR(AA531/'FA Addition'!$J531*'FA Addition'!$L531,0)</f>
        <v>481800</v>
      </c>
      <c r="AE531" s="117">
        <f>IF(AND('FA Addition'!$D531&lt;$P$1+1,U531=0),'FA Addition'!$L531,0)-Y531</f>
        <v>1084600</v>
      </c>
      <c r="AF531" s="117">
        <f t="shared" si="40"/>
        <v>602800</v>
      </c>
      <c r="AG531" s="117">
        <f>MIN(MAX(+$P$1-'FA Addition'!$D531,0),365*'FA Addition'!$O531)</f>
        <v>187</v>
      </c>
      <c r="AH531" s="117">
        <f>MIN(MAX($L$1-'FA Addition'!$D531+1,0),365*'FA Addition'!$O531)</f>
        <v>553</v>
      </c>
      <c r="AI531" s="117" cm="1">
        <f t="array" ref="AI531">_xlfn.XLOOKUP(1,('FA Write off'!A:A='FA Addition'!$A531)*('FA Write off'!D:D=AA531),'FA Write off'!H:H,0,0)</f>
        <v>553</v>
      </c>
      <c r="AJ531" s="117">
        <f>IF(AC531&gt;0,MAX(IF('FA Addition'!$N531="SLM",($AC531-'FA Addition'!$M531)*'FA Addition'!$P531*AI531/365,(AC531-'FA Addition'!$M531)*(1-(1-'FA Addition'!$P531)^(AI531/365))),0),0)</f>
        <v>332789.89038630994</v>
      </c>
      <c r="AL531" s="117">
        <f>MAX(IF(AG531&gt;0,IF('FA Addition'!$N531="SLM",($AE531-'FA Addition'!$M531)*'FA Addition'!$P531*AG531/365,IFERROR(VDB(AE531,AE531*0.05,'FA Addition'!$O531,0,YEARFRAC('FA Addition'!$C531,$P$1-1,3),'FA Addition'!$Q531),FAAddition[[#This Row],[Original Cost (Rs)]]-FAAddition[[#This Row],[Salvage Value]])),0),0)</f>
        <v>349083.7521103787</v>
      </c>
      <c r="AM531" s="119"/>
      <c r="AN531" s="117">
        <f>MAX(IF(AH531&gt;0,IF('FA Addition'!$N531="SLM",($AF531-'FA Addition'!$M531)*'FA Addition'!$P531*AH531/365,IFERROR(VDB(AF531,AF531*0.05,'FA Addition'!$O531,0,YEARFRAC('FA Addition'!$C531,$L$1,3),'FA Addition'!$Q531),FAAddition[[#This Row],[Original Cost (Rs)]]-FAAddition[[#This Row],[Salvage Value]])),0),0)</f>
        <v>452586.26077350281</v>
      </c>
      <c r="AO531" s="117">
        <f t="shared" si="43"/>
        <v>436292.39904943405</v>
      </c>
      <c r="AP531" s="206"/>
      <c r="AQ531" s="117">
        <f t="shared" si="41"/>
        <v>735516.2478896213</v>
      </c>
      <c r="AR531" s="120">
        <f t="shared" si="42"/>
        <v>150213.73922649719</v>
      </c>
      <c r="AS531" s="121"/>
    </row>
    <row r="532" spans="1:45" ht="13.5" x14ac:dyDescent="0.4">
      <c r="A532" s="12">
        <f t="shared" si="44"/>
        <v>529</v>
      </c>
      <c r="B532" s="64" t="s">
        <v>1089</v>
      </c>
      <c r="C532" s="54">
        <v>44831</v>
      </c>
      <c r="D532" s="54">
        <v>44831</v>
      </c>
      <c r="E532" s="46" t="s">
        <v>1389</v>
      </c>
      <c r="F532" s="51" t="s">
        <v>1112</v>
      </c>
      <c r="G532" s="51" t="s">
        <v>36</v>
      </c>
      <c r="H532" s="51" t="s">
        <v>1113</v>
      </c>
      <c r="I532" s="55" t="s">
        <v>1238</v>
      </c>
      <c r="J532" s="56">
        <v>1200</v>
      </c>
      <c r="K532" s="51" t="s">
        <v>1132</v>
      </c>
      <c r="L532" s="58">
        <v>972000</v>
      </c>
      <c r="M532" s="50">
        <f>ROUND('FA Addition'!$L532*5%,0.1)</f>
        <v>48600</v>
      </c>
      <c r="N532" s="113" t="str">
        <f>_xlfn.XLOOKUP(_xlfn.CONCAT(E532,B532),'Year Wise Master Dep Approach'!F:F,'Year Wise Master Dep Approach'!D:D)</f>
        <v>SLM</v>
      </c>
      <c r="O532" s="113">
        <f>_xlfn.XLOOKUP(_xlfn.CONCAT(E532,B532),'Year Wise Master Dep Approach'!F:F,'Year Wise Master Dep Approach'!E:E)</f>
        <v>3</v>
      </c>
      <c r="P532" s="114">
        <f>IFERROR(IF('FA Addition'!$N532="WDV",1-('FA Addition'!$M532/'FA Addition'!$L532)^(1/'FA Addition'!$O532),1/'FA Addition'!$O532),0)</f>
        <v>0.33333333333333331</v>
      </c>
      <c r="Q532" s="122">
        <f>'FA Addition'!$P532*'FA Addition'!$O532</f>
        <v>1</v>
      </c>
      <c r="R532" s="122"/>
      <c r="S532" s="116">
        <f>IF(AND(DATE(20&amp;LEFT(FAAddition[[#This Row],[FY]],2),4,1)&lt;$L$1+1,DATE(20&amp;LEFT(FAAddition[[#This Row],[FY]],2),4,1)&gt;$P$1-1),'FA Addition'!$J532,0)</f>
        <v>0</v>
      </c>
      <c r="U532" s="117">
        <f>S532*'FA Addition'!$L532/'FA Addition'!$J532</f>
        <v>0</v>
      </c>
      <c r="W532" s="116">
        <f>SUMIFS('FA Write off'!D:D,'FA Write off'!A:A,'FA Addition'!$A532,'FA Write off'!C:C,"&lt;"&amp;'FA Addition'!$P$1)</f>
        <v>0</v>
      </c>
      <c r="Y532" s="191">
        <f>IFERROR(W532/'FA Addition'!$J532*'FA Addition'!$L532,0)</f>
        <v>0</v>
      </c>
      <c r="AA532" s="116">
        <f>SUMIFS('FA Write off'!D:D,'FA Write off'!A:A,'FA Addition'!$A532,'FA Write off'!C:C,"&lt;"&amp;'FA Addition'!$L$1+1,'FA Write off'!C:C,"&gt;"&amp;'FA Addition'!$L$1-365)</f>
        <v>1200</v>
      </c>
      <c r="AC532" s="117">
        <f>IFERROR(AA532/'FA Addition'!$J532*'FA Addition'!$L532,0)</f>
        <v>972000</v>
      </c>
      <c r="AE532" s="117">
        <f>IF(AND('FA Addition'!$D532&lt;$P$1+1,U532=0),'FA Addition'!$L532,0)-Y532</f>
        <v>972000</v>
      </c>
      <c r="AF532" s="117">
        <f t="shared" si="40"/>
        <v>0</v>
      </c>
      <c r="AG532" s="117">
        <f>MIN(MAX(+$P$1-'FA Addition'!$D532,0),365*'FA Addition'!$O532)</f>
        <v>186</v>
      </c>
      <c r="AH532" s="117">
        <f>MIN(MAX($L$1-'FA Addition'!$D532+1,0),365*'FA Addition'!$O532)</f>
        <v>552</v>
      </c>
      <c r="AI532" s="117" cm="1">
        <f t="array" ref="AI532">_xlfn.XLOOKUP(1,('FA Write off'!A:A='FA Addition'!$A532)*('FA Write off'!D:D=AA532),'FA Write off'!H:H,0,0)</f>
        <v>552</v>
      </c>
      <c r="AJ532" s="117">
        <f>IF(AC532&gt;0,MAX(IF('FA Addition'!$N532="SLM",($AC532-'FA Addition'!$M532)*'FA Addition'!$P532*AI532/365,(AC532-'FA Addition'!$M532)*(1-(1-'FA Addition'!$P532)^(AI532/365))),0),0)</f>
        <v>465494.79452054796</v>
      </c>
      <c r="AL532" s="117">
        <f>MAX(IF(AG532&gt;0,IF('FA Addition'!$N532="SLM",($AE532-'FA Addition'!$M532)*'FA Addition'!$P532*AG532/365,IFERROR(VDB(AE532,AE532*0.05,'FA Addition'!$O532,0,YEARFRAC('FA Addition'!$C532,$P$1-1,3),'FA Addition'!$Q532),FAAddition[[#This Row],[Original Cost (Rs)]]-FAAddition[[#This Row],[Salvage Value]])),0),0)</f>
        <v>156851.50684931508</v>
      </c>
      <c r="AM532" s="119"/>
      <c r="AN532" s="117">
        <f>MAX(IF(AH532&gt;0,IF('FA Addition'!$N532="SLM",($AF532-'FA Addition'!$M532)*'FA Addition'!$P532*AH532/365,IFERROR(VDB(AF532,AF532*0.05,'FA Addition'!$O532,0,YEARFRAC('FA Addition'!$C532,$L$1,3),'FA Addition'!$Q532),FAAddition[[#This Row],[Original Cost (Rs)]]-FAAddition[[#This Row],[Salvage Value]])),0),0)</f>
        <v>0</v>
      </c>
      <c r="AO532" s="117">
        <f t="shared" si="43"/>
        <v>308643.28767123289</v>
      </c>
      <c r="AP532" s="206"/>
      <c r="AQ532" s="117">
        <f t="shared" si="41"/>
        <v>815148.49315068498</v>
      </c>
      <c r="AR532" s="120">
        <f t="shared" si="42"/>
        <v>0</v>
      </c>
      <c r="AS532" s="121"/>
    </row>
    <row r="533" spans="1:45" ht="13.5" x14ac:dyDescent="0.4">
      <c r="A533" s="12">
        <f t="shared" si="44"/>
        <v>530</v>
      </c>
      <c r="B533" s="64" t="s">
        <v>1089</v>
      </c>
      <c r="C533" s="54">
        <v>44832</v>
      </c>
      <c r="D533" s="54">
        <v>44832</v>
      </c>
      <c r="E533" s="46" t="s">
        <v>451</v>
      </c>
      <c r="F533" s="51" t="s">
        <v>1133</v>
      </c>
      <c r="G533" s="51" t="s">
        <v>1239</v>
      </c>
      <c r="H533" s="51" t="s">
        <v>21</v>
      </c>
      <c r="I533" s="55" t="s">
        <v>1240</v>
      </c>
      <c r="J533" s="56">
        <v>1</v>
      </c>
      <c r="K533" s="51" t="s">
        <v>1241</v>
      </c>
      <c r="L533" s="58">
        <v>28932</v>
      </c>
      <c r="M533" s="50">
        <f>ROUND('FA Addition'!$L533*5%,0.1)</f>
        <v>1447</v>
      </c>
      <c r="N533" s="113" t="str">
        <f>_xlfn.XLOOKUP(_xlfn.CONCAT(E533,B533),'Year Wise Master Dep Approach'!F:F,'Year Wise Master Dep Approach'!D:D)</f>
        <v>WDV</v>
      </c>
      <c r="O533" s="113">
        <f>_xlfn.XLOOKUP(_xlfn.CONCAT(E533,B533),'Year Wise Master Dep Approach'!F:F,'Year Wise Master Dep Approach'!E:E)</f>
        <v>3</v>
      </c>
      <c r="P533" s="114">
        <f>IFERROR(IF('FA Addition'!$N533="WDV",1-('FA Addition'!$M533/'FA Addition'!$L533)^(1/'FA Addition'!$O533),1/'FA Addition'!$O533),0)</f>
        <v>0.63156289749304628</v>
      </c>
      <c r="Q533" s="122">
        <f>'FA Addition'!$P533*'FA Addition'!$O533</f>
        <v>1.8946886924791388</v>
      </c>
      <c r="R533" s="122"/>
      <c r="S533" s="116">
        <f>IF(AND(DATE(20&amp;LEFT(FAAddition[[#This Row],[FY]],2),4,1)&lt;$L$1+1,DATE(20&amp;LEFT(FAAddition[[#This Row],[FY]],2),4,1)&gt;$P$1-1),'FA Addition'!$J533,0)</f>
        <v>0</v>
      </c>
      <c r="U533" s="117">
        <f>S533*'FA Addition'!$L533/'FA Addition'!$J533</f>
        <v>0</v>
      </c>
      <c r="W533" s="116">
        <f>SUMIFS('FA Write off'!D:D,'FA Write off'!A:A,'FA Addition'!$A533,'FA Write off'!C:C,"&lt;"&amp;'FA Addition'!$P$1)</f>
        <v>0</v>
      </c>
      <c r="Y533" s="191">
        <f>IFERROR(W533/'FA Addition'!$J533*'FA Addition'!$L533,0)</f>
        <v>0</v>
      </c>
      <c r="AA533" s="116">
        <f>SUMIFS('FA Write off'!D:D,'FA Write off'!A:A,'FA Addition'!$A533,'FA Write off'!C:C,"&lt;"&amp;'FA Addition'!$L$1+1,'FA Write off'!C:C,"&gt;"&amp;'FA Addition'!$L$1-365)</f>
        <v>0</v>
      </c>
      <c r="AC533" s="118">
        <f>IFERROR(AA533/'FA Addition'!$J533*'FA Addition'!$L533,0)</f>
        <v>0</v>
      </c>
      <c r="AE533" s="117">
        <f>IF(AND('FA Addition'!$D533&lt;$P$1+1,U533=0),'FA Addition'!$L533,0)-Y533</f>
        <v>28932</v>
      </c>
      <c r="AF533" s="117">
        <f t="shared" si="40"/>
        <v>28932</v>
      </c>
      <c r="AG533" s="117">
        <f>MIN(MAX(+$P$1-'FA Addition'!$D533,0),365*'FA Addition'!$O533)</f>
        <v>185</v>
      </c>
      <c r="AH533" s="117">
        <f>MIN(MAX($L$1-'FA Addition'!$D533+1,0),365*'FA Addition'!$O533)</f>
        <v>551</v>
      </c>
      <c r="AI533" s="117" cm="1">
        <f t="array" ref="AI533">_xlfn.XLOOKUP(1,('FA Write off'!A:A='FA Addition'!$A533)*('FA Write off'!D:D=AA533),'FA Write off'!H:H,0,0)</f>
        <v>0</v>
      </c>
      <c r="AJ533" s="117">
        <f>IF(AC533&gt;0,MAX(IF('FA Addition'!$N533="SLM",($AC533-'FA Addition'!$M533)*'FA Addition'!$P533*AI533/365,(AC533-'FA Addition'!$M533)*(1-(1-'FA Addition'!$P533)^(AI533/365))),0),0)</f>
        <v>0</v>
      </c>
      <c r="AL533" s="117">
        <f>MAX(IF(AG533&gt;0,IF('FA Addition'!$N533="SLM",($AE533-'FA Addition'!$M533)*'FA Addition'!$P533*AG533/365,IFERROR(VDB(AE533,AE533*0.05,'FA Addition'!$O533,0,YEARFRAC('FA Addition'!$C533,$P$1-1,3),'FA Addition'!$Q533),FAAddition[[#This Row],[Original Cost (Rs)]]-FAAddition[[#This Row],[Salvage Value]])),0),0)</f>
        <v>9211.2808384916771</v>
      </c>
      <c r="AM533" s="119"/>
      <c r="AN533" s="117">
        <f>MAX(IF(AH533&gt;0,IF('FA Addition'!$N533="SLM",($AF533-'FA Addition'!$M533)*'FA Addition'!$P533*AH533/365,IFERROR(VDB(AF533,AF533*0.05,'FA Addition'!$O533,0,YEARFRAC('FA Addition'!$C533,$L$1,3),'FA Addition'!$Q533),FAAddition[[#This Row],[Original Cost (Rs)]]-FAAddition[[#This Row],[Salvage Value]])),0),0)</f>
        <v>21684.599816381116</v>
      </c>
      <c r="AO533" s="117">
        <f t="shared" si="43"/>
        <v>12473.318977889439</v>
      </c>
      <c r="AP533" s="206"/>
      <c r="AQ533" s="117">
        <f t="shared" si="41"/>
        <v>19720.719161508321</v>
      </c>
      <c r="AR533" s="120">
        <f t="shared" si="42"/>
        <v>7247.4001836188836</v>
      </c>
      <c r="AS533" s="121"/>
    </row>
    <row r="534" spans="1:45" ht="13.5" x14ac:dyDescent="0.4">
      <c r="A534" s="12">
        <f t="shared" si="44"/>
        <v>531</v>
      </c>
      <c r="B534" s="64" t="s">
        <v>1089</v>
      </c>
      <c r="C534" s="54">
        <v>44832</v>
      </c>
      <c r="D534" s="54">
        <v>44832</v>
      </c>
      <c r="E534" s="46" t="s">
        <v>451</v>
      </c>
      <c r="F534" s="51" t="s">
        <v>1133</v>
      </c>
      <c r="G534" s="51" t="s">
        <v>1239</v>
      </c>
      <c r="H534" s="51" t="s">
        <v>21</v>
      </c>
      <c r="I534" s="55" t="s">
        <v>1240</v>
      </c>
      <c r="J534" s="56">
        <v>1</v>
      </c>
      <c r="K534" s="51" t="s">
        <v>1241</v>
      </c>
      <c r="L534" s="58">
        <v>28932</v>
      </c>
      <c r="M534" s="50">
        <f>ROUND('FA Addition'!$L534*5%,0.1)</f>
        <v>1447</v>
      </c>
      <c r="N534" s="113" t="str">
        <f>_xlfn.XLOOKUP(_xlfn.CONCAT(E534,B534),'Year Wise Master Dep Approach'!F:F,'Year Wise Master Dep Approach'!D:D)</f>
        <v>WDV</v>
      </c>
      <c r="O534" s="113">
        <f>_xlfn.XLOOKUP(_xlfn.CONCAT(E534,B534),'Year Wise Master Dep Approach'!F:F,'Year Wise Master Dep Approach'!E:E)</f>
        <v>3</v>
      </c>
      <c r="P534" s="114">
        <f>IFERROR(IF('FA Addition'!$N534="WDV",1-('FA Addition'!$M534/'FA Addition'!$L534)^(1/'FA Addition'!$O534),1/'FA Addition'!$O534),0)</f>
        <v>0.63156289749304628</v>
      </c>
      <c r="Q534" s="122">
        <f>'FA Addition'!$P534*'FA Addition'!$O534</f>
        <v>1.8946886924791388</v>
      </c>
      <c r="R534" s="122"/>
      <c r="S534" s="116">
        <f>IF(AND(DATE(20&amp;LEFT(FAAddition[[#This Row],[FY]],2),4,1)&lt;$L$1+1,DATE(20&amp;LEFT(FAAddition[[#This Row],[FY]],2),4,1)&gt;$P$1-1),'FA Addition'!$J534,0)</f>
        <v>0</v>
      </c>
      <c r="U534" s="117">
        <f>S534*'FA Addition'!$L534/'FA Addition'!$J534</f>
        <v>0</v>
      </c>
      <c r="W534" s="116">
        <f>SUMIFS('FA Write off'!D:D,'FA Write off'!A:A,'FA Addition'!$A534,'FA Write off'!C:C,"&lt;"&amp;'FA Addition'!$P$1)</f>
        <v>0</v>
      </c>
      <c r="Y534" s="191">
        <f>IFERROR(W534/'FA Addition'!$J534*'FA Addition'!$L534,0)</f>
        <v>0</v>
      </c>
      <c r="AA534" s="116">
        <f>SUMIFS('FA Write off'!D:D,'FA Write off'!A:A,'FA Addition'!$A534,'FA Write off'!C:C,"&lt;"&amp;'FA Addition'!$L$1+1,'FA Write off'!C:C,"&gt;"&amp;'FA Addition'!$L$1-365)</f>
        <v>0</v>
      </c>
      <c r="AC534" s="118">
        <f>IFERROR(AA534/'FA Addition'!$J534*'FA Addition'!$L534,0)</f>
        <v>0</v>
      </c>
      <c r="AE534" s="117">
        <f>IF(AND('FA Addition'!$D534&lt;$P$1+1,U534=0),'FA Addition'!$L534,0)-Y534</f>
        <v>28932</v>
      </c>
      <c r="AF534" s="117">
        <f t="shared" si="40"/>
        <v>28932</v>
      </c>
      <c r="AG534" s="117">
        <f>MIN(MAX(+$P$1-'FA Addition'!$D534,0),365*'FA Addition'!$O534)</f>
        <v>185</v>
      </c>
      <c r="AH534" s="117">
        <f>MIN(MAX($L$1-'FA Addition'!$D534+1,0),365*'FA Addition'!$O534)</f>
        <v>551</v>
      </c>
      <c r="AI534" s="117" cm="1">
        <f t="array" ref="AI534">_xlfn.XLOOKUP(1,('FA Write off'!A:A='FA Addition'!$A534)*('FA Write off'!D:D=AA534),'FA Write off'!H:H,0,0)</f>
        <v>0</v>
      </c>
      <c r="AJ534" s="117">
        <f>IF(AC534&gt;0,MAX(IF('FA Addition'!$N534="SLM",($AC534-'FA Addition'!$M534)*'FA Addition'!$P534*AI534/365,(AC534-'FA Addition'!$M534)*(1-(1-'FA Addition'!$P534)^(AI534/365))),0),0)</f>
        <v>0</v>
      </c>
      <c r="AL534" s="117">
        <f>MAX(IF(AG534&gt;0,IF('FA Addition'!$N534="SLM",($AE534-'FA Addition'!$M534)*'FA Addition'!$P534*AG534/365,IFERROR(VDB(AE534,AE534*0.05,'FA Addition'!$O534,0,YEARFRAC('FA Addition'!$C534,$P$1-1,3),'FA Addition'!$Q534),FAAddition[[#This Row],[Original Cost (Rs)]]-FAAddition[[#This Row],[Salvage Value]])),0),0)</f>
        <v>9211.2808384916771</v>
      </c>
      <c r="AM534" s="119"/>
      <c r="AN534" s="117">
        <f>MAX(IF(AH534&gt;0,IF('FA Addition'!$N534="SLM",($AF534-'FA Addition'!$M534)*'FA Addition'!$P534*AH534/365,IFERROR(VDB(AF534,AF534*0.05,'FA Addition'!$O534,0,YEARFRAC('FA Addition'!$C534,$L$1,3),'FA Addition'!$Q534),FAAddition[[#This Row],[Original Cost (Rs)]]-FAAddition[[#This Row],[Salvage Value]])),0),0)</f>
        <v>21684.599816381116</v>
      </c>
      <c r="AO534" s="117">
        <f t="shared" si="43"/>
        <v>12473.318977889439</v>
      </c>
      <c r="AP534" s="206"/>
      <c r="AQ534" s="117">
        <f t="shared" si="41"/>
        <v>19720.719161508321</v>
      </c>
      <c r="AR534" s="120">
        <f t="shared" si="42"/>
        <v>7247.4001836188836</v>
      </c>
      <c r="AS534" s="121"/>
    </row>
    <row r="535" spans="1:45" ht="13.5" x14ac:dyDescent="0.4">
      <c r="A535" s="12">
        <f t="shared" si="44"/>
        <v>532</v>
      </c>
      <c r="B535" s="64" t="s">
        <v>1089</v>
      </c>
      <c r="C535" s="54">
        <v>44832</v>
      </c>
      <c r="D535" s="54">
        <v>44832</v>
      </c>
      <c r="E535" s="46" t="s">
        <v>451</v>
      </c>
      <c r="F535" s="51" t="s">
        <v>1133</v>
      </c>
      <c r="G535" s="51" t="s">
        <v>1239</v>
      </c>
      <c r="H535" s="51" t="s">
        <v>21</v>
      </c>
      <c r="I535" s="55" t="s">
        <v>1242</v>
      </c>
      <c r="J535" s="56">
        <v>1</v>
      </c>
      <c r="K535" s="51" t="s">
        <v>1241</v>
      </c>
      <c r="L535" s="58">
        <v>28932</v>
      </c>
      <c r="M535" s="50">
        <f>ROUND('FA Addition'!$L535*5%,0.1)</f>
        <v>1447</v>
      </c>
      <c r="N535" s="113" t="str">
        <f>_xlfn.XLOOKUP(_xlfn.CONCAT(E535,B535),'Year Wise Master Dep Approach'!F:F,'Year Wise Master Dep Approach'!D:D)</f>
        <v>WDV</v>
      </c>
      <c r="O535" s="113">
        <f>_xlfn.XLOOKUP(_xlfn.CONCAT(E535,B535),'Year Wise Master Dep Approach'!F:F,'Year Wise Master Dep Approach'!E:E)</f>
        <v>3</v>
      </c>
      <c r="P535" s="114">
        <f>IFERROR(IF('FA Addition'!$N535="WDV",1-('FA Addition'!$M535/'FA Addition'!$L535)^(1/'FA Addition'!$O535),1/'FA Addition'!$O535),0)</f>
        <v>0.63156289749304628</v>
      </c>
      <c r="Q535" s="122">
        <f>'FA Addition'!$P535*'FA Addition'!$O535</f>
        <v>1.8946886924791388</v>
      </c>
      <c r="R535" s="122"/>
      <c r="S535" s="116">
        <f>IF(AND(DATE(20&amp;LEFT(FAAddition[[#This Row],[FY]],2),4,1)&lt;$L$1+1,DATE(20&amp;LEFT(FAAddition[[#This Row],[FY]],2),4,1)&gt;$P$1-1),'FA Addition'!$J535,0)</f>
        <v>0</v>
      </c>
      <c r="U535" s="117">
        <f>S535*'FA Addition'!$L535/'FA Addition'!$J535</f>
        <v>0</v>
      </c>
      <c r="W535" s="116">
        <f>SUMIFS('FA Write off'!D:D,'FA Write off'!A:A,'FA Addition'!$A535,'FA Write off'!C:C,"&lt;"&amp;'FA Addition'!$P$1)</f>
        <v>0</v>
      </c>
      <c r="Y535" s="191">
        <f>IFERROR(W535/'FA Addition'!$J535*'FA Addition'!$L535,0)</f>
        <v>0</v>
      </c>
      <c r="AA535" s="116">
        <f>SUMIFS('FA Write off'!D:D,'FA Write off'!A:A,'FA Addition'!$A535,'FA Write off'!C:C,"&lt;"&amp;'FA Addition'!$L$1+1,'FA Write off'!C:C,"&gt;"&amp;'FA Addition'!$L$1-365)</f>
        <v>0</v>
      </c>
      <c r="AC535" s="118">
        <f>IFERROR(AA535/'FA Addition'!$J535*'FA Addition'!$L535,0)</f>
        <v>0</v>
      </c>
      <c r="AE535" s="117">
        <f>IF(AND('FA Addition'!$D535&lt;$P$1+1,U535=0),'FA Addition'!$L535,0)-Y535</f>
        <v>28932</v>
      </c>
      <c r="AF535" s="117">
        <f t="shared" si="40"/>
        <v>28932</v>
      </c>
      <c r="AG535" s="117">
        <f>MIN(MAX(+$P$1-'FA Addition'!$D535,0),365*'FA Addition'!$O535)</f>
        <v>185</v>
      </c>
      <c r="AH535" s="117">
        <f>MIN(MAX($L$1-'FA Addition'!$D535+1,0),365*'FA Addition'!$O535)</f>
        <v>551</v>
      </c>
      <c r="AI535" s="117" cm="1">
        <f t="array" ref="AI535">_xlfn.XLOOKUP(1,('FA Write off'!A:A='FA Addition'!$A535)*('FA Write off'!D:D=AA535),'FA Write off'!H:H,0,0)</f>
        <v>0</v>
      </c>
      <c r="AJ535" s="117">
        <f>IF(AC535&gt;0,MAX(IF('FA Addition'!$N535="SLM",($AC535-'FA Addition'!$M535)*'FA Addition'!$P535*AI535/365,(AC535-'FA Addition'!$M535)*(1-(1-'FA Addition'!$P535)^(AI535/365))),0),0)</f>
        <v>0</v>
      </c>
      <c r="AL535" s="117">
        <f>MAX(IF(AG535&gt;0,IF('FA Addition'!$N535="SLM",($AE535-'FA Addition'!$M535)*'FA Addition'!$P535*AG535/365,IFERROR(VDB(AE535,AE535*0.05,'FA Addition'!$O535,0,YEARFRAC('FA Addition'!$C535,$P$1-1,3),'FA Addition'!$Q535),FAAddition[[#This Row],[Original Cost (Rs)]]-FAAddition[[#This Row],[Salvage Value]])),0),0)</f>
        <v>9211.2808384916771</v>
      </c>
      <c r="AM535" s="119"/>
      <c r="AN535" s="117">
        <f>MAX(IF(AH535&gt;0,IF('FA Addition'!$N535="SLM",($AF535-'FA Addition'!$M535)*'FA Addition'!$P535*AH535/365,IFERROR(VDB(AF535,AF535*0.05,'FA Addition'!$O535,0,YEARFRAC('FA Addition'!$C535,$L$1,3),'FA Addition'!$Q535),FAAddition[[#This Row],[Original Cost (Rs)]]-FAAddition[[#This Row],[Salvage Value]])),0),0)</f>
        <v>21684.599816381116</v>
      </c>
      <c r="AO535" s="117">
        <f t="shared" si="43"/>
        <v>12473.318977889439</v>
      </c>
      <c r="AP535" s="206"/>
      <c r="AQ535" s="117">
        <f t="shared" si="41"/>
        <v>19720.719161508321</v>
      </c>
      <c r="AR535" s="120">
        <f t="shared" si="42"/>
        <v>7247.4001836188836</v>
      </c>
      <c r="AS535" s="121"/>
    </row>
    <row r="536" spans="1:45" ht="13.5" x14ac:dyDescent="0.4">
      <c r="A536" s="12">
        <f t="shared" si="44"/>
        <v>533</v>
      </c>
      <c r="B536" s="64" t="s">
        <v>1089</v>
      </c>
      <c r="C536" s="54">
        <v>44832</v>
      </c>
      <c r="D536" s="54">
        <v>44832</v>
      </c>
      <c r="E536" s="46" t="s">
        <v>749</v>
      </c>
      <c r="F536" s="51" t="s">
        <v>74</v>
      </c>
      <c r="G536" s="51" t="s">
        <v>1243</v>
      </c>
      <c r="H536" s="51" t="s">
        <v>26</v>
      </c>
      <c r="I536" s="55" t="s">
        <v>1244</v>
      </c>
      <c r="J536" s="56">
        <v>200</v>
      </c>
      <c r="K536" s="51" t="s">
        <v>1245</v>
      </c>
      <c r="L536" s="58">
        <v>22000</v>
      </c>
      <c r="M536" s="50">
        <f>ROUND('FA Addition'!$L536*5%,0.1)</f>
        <v>1100</v>
      </c>
      <c r="N536" s="113" t="str">
        <f>_xlfn.XLOOKUP(_xlfn.CONCAT(E536,B536),'Year Wise Master Dep Approach'!F:F,'Year Wise Master Dep Approach'!D:D)</f>
        <v>WDV</v>
      </c>
      <c r="O536" s="113">
        <f>_xlfn.XLOOKUP(_xlfn.CONCAT(E536,B536),'Year Wise Master Dep Approach'!F:F,'Year Wise Master Dep Approach'!E:E)</f>
        <v>5</v>
      </c>
      <c r="P536" s="114">
        <f>IFERROR(IF('FA Addition'!$N536="WDV",1-('FA Addition'!$M536/'FA Addition'!$L536)^(1/'FA Addition'!$O536),1/'FA Addition'!$O536),0)</f>
        <v>0.45071972834694107</v>
      </c>
      <c r="Q536" s="122">
        <f>'FA Addition'!$P536*'FA Addition'!$O536</f>
        <v>2.2535986417347056</v>
      </c>
      <c r="R536" s="122"/>
      <c r="S536" s="116">
        <f>IF(AND(DATE(20&amp;LEFT(FAAddition[[#This Row],[FY]],2),4,1)&lt;$L$1+1,DATE(20&amp;LEFT(FAAddition[[#This Row],[FY]],2),4,1)&gt;$P$1-1),'FA Addition'!$J536,0)</f>
        <v>0</v>
      </c>
      <c r="U536" s="117">
        <f>S536*'FA Addition'!$L536/'FA Addition'!$J536</f>
        <v>0</v>
      </c>
      <c r="W536" s="116">
        <f>SUMIFS('FA Write off'!D:D,'FA Write off'!A:A,'FA Addition'!$A536,'FA Write off'!C:C,"&lt;"&amp;'FA Addition'!$P$1)</f>
        <v>0</v>
      </c>
      <c r="Y536" s="191">
        <f>IFERROR(W536/'FA Addition'!$J536*'FA Addition'!$L536,0)</f>
        <v>0</v>
      </c>
      <c r="AA536" s="116">
        <f>SUMIFS('FA Write off'!D:D,'FA Write off'!A:A,'FA Addition'!$A536,'FA Write off'!C:C,"&lt;"&amp;'FA Addition'!$L$1+1,'FA Write off'!C:C,"&gt;"&amp;'FA Addition'!$L$1-365)</f>
        <v>0</v>
      </c>
      <c r="AC536" s="118">
        <f>IFERROR(AA536/'FA Addition'!$J536*'FA Addition'!$L536,0)</f>
        <v>0</v>
      </c>
      <c r="AE536" s="117">
        <f>IF(AND('FA Addition'!$D536&lt;$P$1+1,U536=0),'FA Addition'!$L536,0)-Y536</f>
        <v>22000</v>
      </c>
      <c r="AF536" s="117">
        <f t="shared" si="40"/>
        <v>22000</v>
      </c>
      <c r="AG536" s="117">
        <f>MIN(MAX(+$P$1-'FA Addition'!$D536,0),365*'FA Addition'!$O536)</f>
        <v>185</v>
      </c>
      <c r="AH536" s="117">
        <f>MIN(MAX($L$1-'FA Addition'!$D536+1,0),365*'FA Addition'!$O536)</f>
        <v>551</v>
      </c>
      <c r="AI536" s="117" cm="1">
        <f t="array" ref="AI536">_xlfn.XLOOKUP(1,('FA Write off'!A:A='FA Addition'!$A536)*('FA Write off'!D:D=AA536),'FA Write off'!H:H,0,0)</f>
        <v>0</v>
      </c>
      <c r="AJ536" s="117">
        <f>IF(AC536&gt;0,MAX(IF('FA Addition'!$N536="SLM",($AC536-'FA Addition'!$M536)*'FA Addition'!$P536*AI536/365,(AC536-'FA Addition'!$M536)*(1-(1-'FA Addition'!$P536)^(AI536/365))),0),0)</f>
        <v>0</v>
      </c>
      <c r="AL536" s="117">
        <f>MAX(IF(AG536&gt;0,IF('FA Addition'!$N536="SLM",($AE536-'FA Addition'!$M536)*'FA Addition'!$P536*AG536/365,IFERROR(VDB(AE536,AE536*0.05,'FA Addition'!$O536,0,YEARFRAC('FA Addition'!$C536,$P$1-1,3),'FA Addition'!$Q536),FAAddition[[#This Row],[Original Cost (Rs)]]-FAAddition[[#This Row],[Salvage Value]])),0),0)</f>
        <v>4998.6670146531987</v>
      </c>
      <c r="AM536" s="119"/>
      <c r="AN536" s="117">
        <f>MAX(IF(AH536&gt;0,IF('FA Addition'!$N536="SLM",($AF536-'FA Addition'!$M536)*'FA Addition'!$P536*AH536/365,IFERROR(VDB(AF536,AF536*0.05,'FA Addition'!$O536,0,YEARFRAC('FA Addition'!$C536,$L$1,3),'FA Addition'!$Q536),FAAddition[[#This Row],[Original Cost (Rs)]]-FAAddition[[#This Row],[Salvage Value]])),0),0)</f>
        <v>12676.425314429989</v>
      </c>
      <c r="AO536" s="117">
        <f t="shared" si="43"/>
        <v>7677.7582997767904</v>
      </c>
      <c r="AP536" s="206"/>
      <c r="AQ536" s="117">
        <f t="shared" si="41"/>
        <v>17001.332985346802</v>
      </c>
      <c r="AR536" s="120">
        <f t="shared" si="42"/>
        <v>9323.5746855700108</v>
      </c>
      <c r="AS536" s="121"/>
    </row>
    <row r="537" spans="1:45" ht="13.5" x14ac:dyDescent="0.4">
      <c r="A537" s="12">
        <f t="shared" si="44"/>
        <v>534</v>
      </c>
      <c r="B537" s="64" t="s">
        <v>1089</v>
      </c>
      <c r="C537" s="54">
        <v>44834</v>
      </c>
      <c r="D537" s="54">
        <v>44834</v>
      </c>
      <c r="E537" s="46" t="s">
        <v>32</v>
      </c>
      <c r="F537" s="51" t="s">
        <v>1090</v>
      </c>
      <c r="G537" s="51" t="s">
        <v>433</v>
      </c>
      <c r="H537" s="51" t="s">
        <v>32</v>
      </c>
      <c r="I537" s="55" t="s">
        <v>1246</v>
      </c>
      <c r="J537" s="56">
        <v>1500</v>
      </c>
      <c r="K537" s="51" t="s">
        <v>935</v>
      </c>
      <c r="L537" s="58">
        <v>1650000</v>
      </c>
      <c r="M537" s="50">
        <f>ROUND('FA Addition'!$L537*5%,0.1)</f>
        <v>82500</v>
      </c>
      <c r="N537" s="113" t="str">
        <f>_xlfn.XLOOKUP(_xlfn.CONCAT(E537,B537),'Year Wise Master Dep Approach'!F:F,'Year Wise Master Dep Approach'!D:D)</f>
        <v>WDV</v>
      </c>
      <c r="O537" s="113">
        <f>_xlfn.XLOOKUP(_xlfn.CONCAT(E537,B537),'Year Wise Master Dep Approach'!F:F,'Year Wise Master Dep Approach'!E:E)</f>
        <v>3</v>
      </c>
      <c r="P537" s="114">
        <f>IFERROR(IF('FA Addition'!$N537="WDV",1-('FA Addition'!$M537/'FA Addition'!$L537)^(1/'FA Addition'!$O537),1/'FA Addition'!$O537),0)</f>
        <v>0.63159685013596123</v>
      </c>
      <c r="Q537" s="122">
        <f>'FA Addition'!$P537*'FA Addition'!$O537</f>
        <v>1.8947905504078837</v>
      </c>
      <c r="R537" s="122"/>
      <c r="S537" s="116">
        <f>IF(AND(DATE(20&amp;LEFT(FAAddition[[#This Row],[FY]],2),4,1)&lt;$L$1+1,DATE(20&amp;LEFT(FAAddition[[#This Row],[FY]],2),4,1)&gt;$P$1-1),'FA Addition'!$J537,0)</f>
        <v>0</v>
      </c>
      <c r="U537" s="117">
        <f>S537*'FA Addition'!$L537/'FA Addition'!$J537</f>
        <v>0</v>
      </c>
      <c r="W537" s="116">
        <f>SUMIFS('FA Write off'!D:D,'FA Write off'!A:A,'FA Addition'!$A537,'FA Write off'!C:C,"&lt;"&amp;'FA Addition'!$P$1)</f>
        <v>37</v>
      </c>
      <c r="Y537" s="191">
        <f>IFERROR(W537/'FA Addition'!$J537*'FA Addition'!$L537,0)</f>
        <v>40700</v>
      </c>
      <c r="AA537" s="116">
        <f>SUMIFS('FA Write off'!D:D,'FA Write off'!A:A,'FA Addition'!$A537,'FA Write off'!C:C,"&lt;"&amp;'FA Addition'!$L$1+1,'FA Write off'!C:C,"&gt;"&amp;'FA Addition'!$L$1-365)</f>
        <v>0</v>
      </c>
      <c r="AC537" s="191">
        <f>IFERROR(AA537/'FA Addition'!$J537*'FA Addition'!$L537,0)</f>
        <v>0</v>
      </c>
      <c r="AE537" s="117">
        <f>IF(AND('FA Addition'!$D537&lt;$P$1+1,U537=0),'FA Addition'!$L537,0)-Y537</f>
        <v>1609300</v>
      </c>
      <c r="AF537" s="117">
        <f t="shared" si="40"/>
        <v>1609300</v>
      </c>
      <c r="AG537" s="117">
        <f>MIN(MAX(+$P$1-'FA Addition'!$D537,0),365*'FA Addition'!$O537)</f>
        <v>183</v>
      </c>
      <c r="AH537" s="117">
        <f>MIN(MAX($L$1-'FA Addition'!$D537+1,0),365*'FA Addition'!$O537)</f>
        <v>549</v>
      </c>
      <c r="AI537" s="117" cm="1">
        <f t="array" ref="AI537">_xlfn.XLOOKUP(1,('FA Write off'!A:A='FA Addition'!$A537)*('FA Write off'!D:D=AA537),'FA Write off'!H:H,0,0)</f>
        <v>0</v>
      </c>
      <c r="AJ537" s="117">
        <f>IF(AC537&gt;0,MAX(IF('FA Addition'!$N537="SLM",($AC537-'FA Addition'!$M537)*'FA Addition'!$P537*AI537/365,(AC537-'FA Addition'!$M537)*(1-(1-'FA Addition'!$P537)^(AI537/365))),0),0)</f>
        <v>0</v>
      </c>
      <c r="AL537" s="117">
        <f>MAX(IF(AG537&gt;0,IF('FA Addition'!$N537="SLM",($AE537-'FA Addition'!$M537)*'FA Addition'!$P537*AG537/365,IFERROR(VDB(AE537,AE537*0.05,'FA Addition'!$O537,0,YEARFRAC('FA Addition'!$C537,$P$1-1,3),'FA Addition'!$Q537),FAAddition[[#This Row],[Original Cost (Rs)]]-FAAddition[[#This Row],[Salvage Value]])),0),0)</f>
        <v>506822.03722775902</v>
      </c>
      <c r="AM537" s="119"/>
      <c r="AN537" s="117">
        <f>MAX(IF(AH537&gt;0,IF('FA Addition'!$N537="SLM",($AF537-'FA Addition'!$M537)*'FA Addition'!$P537*AH537/365,IFERROR(VDB(AF537,AF537*0.05,'FA Addition'!$O537,0,YEARFRAC('FA Addition'!$C537,$L$1,3),'FA Addition'!$Q537),FAAddition[[#This Row],[Original Cost (Rs)]]-FAAddition[[#This Row],[Salvage Value]])),0),0)</f>
        <v>1204169.5515454751</v>
      </c>
      <c r="AO537" s="117">
        <f t="shared" si="43"/>
        <v>697347.51431771612</v>
      </c>
      <c r="AP537" s="206"/>
      <c r="AQ537" s="117">
        <f t="shared" si="41"/>
        <v>1102477.9627722409</v>
      </c>
      <c r="AR537" s="120">
        <f t="shared" si="42"/>
        <v>405130.44845452486</v>
      </c>
      <c r="AS537" s="121"/>
    </row>
    <row r="538" spans="1:45" ht="13.5" x14ac:dyDescent="0.4">
      <c r="A538" s="12">
        <f t="shared" si="44"/>
        <v>535</v>
      </c>
      <c r="B538" s="64" t="s">
        <v>1089</v>
      </c>
      <c r="C538" s="54">
        <v>44838</v>
      </c>
      <c r="D538" s="54">
        <v>44838</v>
      </c>
      <c r="E538" s="46" t="s">
        <v>451</v>
      </c>
      <c r="F538" s="51" t="s">
        <v>1133</v>
      </c>
      <c r="G538" s="51" t="s">
        <v>1247</v>
      </c>
      <c r="H538" s="51" t="s">
        <v>21</v>
      </c>
      <c r="I538" s="55" t="s">
        <v>1248</v>
      </c>
      <c r="J538" s="56">
        <v>1</v>
      </c>
      <c r="K538" s="51" t="s">
        <v>1249</v>
      </c>
      <c r="L538" s="58">
        <v>60584.666666666664</v>
      </c>
      <c r="M538" s="50">
        <f>ROUND('FA Addition'!$L538*5%,0.1)</f>
        <v>3029</v>
      </c>
      <c r="N538" s="113" t="str">
        <f>_xlfn.XLOOKUP(_xlfn.CONCAT(E538,B538),'Year Wise Master Dep Approach'!F:F,'Year Wise Master Dep Approach'!D:D)</f>
        <v>WDV</v>
      </c>
      <c r="O538" s="113">
        <f>_xlfn.XLOOKUP(_xlfn.CONCAT(E538,B538),'Year Wise Master Dep Approach'!F:F,'Year Wise Master Dep Approach'!E:E)</f>
        <v>3</v>
      </c>
      <c r="P538" s="114">
        <f>IFERROR(IF('FA Addition'!$N538="WDV",1-('FA Addition'!$M538/'FA Addition'!$L538)^(1/'FA Addition'!$O538),1/'FA Addition'!$O538),0)</f>
        <v>0.63160630939871942</v>
      </c>
      <c r="Q538" s="122">
        <f>'FA Addition'!$P538*'FA Addition'!$O538</f>
        <v>1.8948189281961583</v>
      </c>
      <c r="R538" s="122"/>
      <c r="S538" s="116">
        <f>IF(AND(DATE(20&amp;LEFT(FAAddition[[#This Row],[FY]],2),4,1)&lt;$L$1+1,DATE(20&amp;LEFT(FAAddition[[#This Row],[FY]],2),4,1)&gt;$P$1-1),'FA Addition'!$J538,0)</f>
        <v>0</v>
      </c>
      <c r="U538" s="117">
        <f>S538*'FA Addition'!$L538/'FA Addition'!$J538</f>
        <v>0</v>
      </c>
      <c r="W538" s="116">
        <f>SUMIFS('FA Write off'!D:D,'FA Write off'!A:A,'FA Addition'!$A538,'FA Write off'!C:C,"&lt;"&amp;'FA Addition'!$P$1)</f>
        <v>0</v>
      </c>
      <c r="Y538" s="191">
        <f>IFERROR(W538/'FA Addition'!$J538*'FA Addition'!$L538,0)</f>
        <v>0</v>
      </c>
      <c r="AA538" s="116">
        <f>SUMIFS('FA Write off'!D:D,'FA Write off'!A:A,'FA Addition'!$A538,'FA Write off'!C:C,"&lt;"&amp;'FA Addition'!$L$1+1,'FA Write off'!C:C,"&gt;"&amp;'FA Addition'!$L$1-365)</f>
        <v>0</v>
      </c>
      <c r="AC538" s="118">
        <f>IFERROR(AA538/'FA Addition'!$J538*'FA Addition'!$L538,0)</f>
        <v>0</v>
      </c>
      <c r="AE538" s="117">
        <f>IF(AND('FA Addition'!$D538&lt;$P$1+1,U538=0),'FA Addition'!$L538,0)-Y538</f>
        <v>60584.666666666664</v>
      </c>
      <c r="AF538" s="117">
        <f t="shared" si="40"/>
        <v>60584.666666666664</v>
      </c>
      <c r="AG538" s="117">
        <f>MIN(MAX(+$P$1-'FA Addition'!$D538,0),365*'FA Addition'!$O538)</f>
        <v>179</v>
      </c>
      <c r="AH538" s="117">
        <f>MIN(MAX($L$1-'FA Addition'!$D538+1,0),365*'FA Addition'!$O538)</f>
        <v>545</v>
      </c>
      <c r="AI538" s="117" cm="1">
        <f t="array" ref="AI538">_xlfn.XLOOKUP(1,('FA Write off'!A:A='FA Addition'!$A538)*('FA Write off'!D:D=AA538),'FA Write off'!H:H,0,0)</f>
        <v>0</v>
      </c>
      <c r="AJ538" s="117">
        <f>IF(AC538&gt;0,MAX(IF('FA Addition'!$N538="SLM",($AC538-'FA Addition'!$M538)*'FA Addition'!$P538*AI538/365,(AC538-'FA Addition'!$M538)*(1-(1-'FA Addition'!$P538)^(AI538/365))),0),0)</f>
        <v>0</v>
      </c>
      <c r="AL538" s="117">
        <f>MAX(IF(AG538&gt;0,IF('FA Addition'!$N538="SLM",($AE538-'FA Addition'!$M538)*'FA Addition'!$P538*AG538/365,IFERROR(VDB(AE538,AE538*0.05,'FA Addition'!$O538,0,YEARFRAC('FA Addition'!$C538,$P$1-1,3),'FA Addition'!$Q538),FAAddition[[#This Row],[Original Cost (Rs)]]-FAAddition[[#This Row],[Salvage Value]])),0),0)</f>
        <v>18661.060476899507</v>
      </c>
      <c r="AM538" s="119"/>
      <c r="AN538" s="117">
        <f>MAX(IF(AH538&gt;0,IF('FA Addition'!$N538="SLM",($AF538-'FA Addition'!$M538)*'FA Addition'!$P538*AH538/365,IFERROR(VDB(AF538,AF538*0.05,'FA Addition'!$O538,0,YEARFRAC('FA Addition'!$C538,$L$1,3),'FA Addition'!$Q538),FAAddition[[#This Row],[Original Cost (Rs)]]-FAAddition[[#This Row],[Salvage Value]])),0),0)</f>
        <v>45178.896102584651</v>
      </c>
      <c r="AO538" s="117">
        <f t="shared" si="43"/>
        <v>26517.835625685144</v>
      </c>
      <c r="AP538" s="206"/>
      <c r="AQ538" s="117">
        <f t="shared" si="41"/>
        <v>41923.606189767161</v>
      </c>
      <c r="AR538" s="120">
        <f t="shared" si="42"/>
        <v>15405.770564082013</v>
      </c>
      <c r="AS538" s="121"/>
    </row>
    <row r="539" spans="1:45" ht="13.5" x14ac:dyDescent="0.4">
      <c r="A539" s="12">
        <f t="shared" si="44"/>
        <v>536</v>
      </c>
      <c r="B539" s="64" t="s">
        <v>1089</v>
      </c>
      <c r="C539" s="54">
        <v>44838</v>
      </c>
      <c r="D539" s="54">
        <v>44838</v>
      </c>
      <c r="E539" s="46" t="s">
        <v>451</v>
      </c>
      <c r="F539" s="51" t="s">
        <v>1133</v>
      </c>
      <c r="G539" s="51" t="s">
        <v>1247</v>
      </c>
      <c r="H539" s="51" t="s">
        <v>21</v>
      </c>
      <c r="I539" s="55" t="s">
        <v>1248</v>
      </c>
      <c r="J539" s="56">
        <v>1</v>
      </c>
      <c r="K539" s="51" t="s">
        <v>1249</v>
      </c>
      <c r="L539" s="58">
        <v>60584.666666666664</v>
      </c>
      <c r="M539" s="50">
        <f>ROUND('FA Addition'!$L539*5%,0.1)</f>
        <v>3029</v>
      </c>
      <c r="N539" s="113" t="str">
        <f>_xlfn.XLOOKUP(_xlfn.CONCAT(E539,B539),'Year Wise Master Dep Approach'!F:F,'Year Wise Master Dep Approach'!D:D)</f>
        <v>WDV</v>
      </c>
      <c r="O539" s="113">
        <f>_xlfn.XLOOKUP(_xlfn.CONCAT(E539,B539),'Year Wise Master Dep Approach'!F:F,'Year Wise Master Dep Approach'!E:E)</f>
        <v>3</v>
      </c>
      <c r="P539" s="114">
        <f>IFERROR(IF('FA Addition'!$N539="WDV",1-('FA Addition'!$M539/'FA Addition'!$L539)^(1/'FA Addition'!$O539),1/'FA Addition'!$O539),0)</f>
        <v>0.63160630939871942</v>
      </c>
      <c r="Q539" s="122">
        <f>'FA Addition'!$P539*'FA Addition'!$O539</f>
        <v>1.8948189281961583</v>
      </c>
      <c r="R539" s="122"/>
      <c r="S539" s="116">
        <f>IF(AND(DATE(20&amp;LEFT(FAAddition[[#This Row],[FY]],2),4,1)&lt;$L$1+1,DATE(20&amp;LEFT(FAAddition[[#This Row],[FY]],2),4,1)&gt;$P$1-1),'FA Addition'!$J539,0)</f>
        <v>0</v>
      </c>
      <c r="U539" s="117">
        <f>S539*'FA Addition'!$L539/'FA Addition'!$J539</f>
        <v>0</v>
      </c>
      <c r="W539" s="116">
        <f>SUMIFS('FA Write off'!D:D,'FA Write off'!A:A,'FA Addition'!$A539,'FA Write off'!C:C,"&lt;"&amp;'FA Addition'!$P$1)</f>
        <v>0</v>
      </c>
      <c r="Y539" s="191">
        <f>IFERROR(W539/'FA Addition'!$J539*'FA Addition'!$L539,0)</f>
        <v>0</v>
      </c>
      <c r="AA539" s="116">
        <f>SUMIFS('FA Write off'!D:D,'FA Write off'!A:A,'FA Addition'!$A539,'FA Write off'!C:C,"&lt;"&amp;'FA Addition'!$L$1+1,'FA Write off'!C:C,"&gt;"&amp;'FA Addition'!$L$1-365)</f>
        <v>0</v>
      </c>
      <c r="AC539" s="118">
        <f>IFERROR(AA539/'FA Addition'!$J539*'FA Addition'!$L539,0)</f>
        <v>0</v>
      </c>
      <c r="AE539" s="117">
        <f>IF(AND('FA Addition'!$D539&lt;$P$1+1,U539=0),'FA Addition'!$L539,0)-Y539</f>
        <v>60584.666666666664</v>
      </c>
      <c r="AF539" s="117">
        <f t="shared" si="40"/>
        <v>60584.666666666664</v>
      </c>
      <c r="AG539" s="117">
        <f>MIN(MAX(+$P$1-'FA Addition'!$D539,0),365*'FA Addition'!$O539)</f>
        <v>179</v>
      </c>
      <c r="AH539" s="117">
        <f>MIN(MAX($L$1-'FA Addition'!$D539+1,0),365*'FA Addition'!$O539)</f>
        <v>545</v>
      </c>
      <c r="AI539" s="117" cm="1">
        <f t="array" ref="AI539">_xlfn.XLOOKUP(1,('FA Write off'!A:A='FA Addition'!$A539)*('FA Write off'!D:D=AA539),'FA Write off'!H:H,0,0)</f>
        <v>0</v>
      </c>
      <c r="AJ539" s="117">
        <f>IF(AC539&gt;0,MAX(IF('FA Addition'!$N539="SLM",($AC539-'FA Addition'!$M539)*'FA Addition'!$P539*AI539/365,(AC539-'FA Addition'!$M539)*(1-(1-'FA Addition'!$P539)^(AI539/365))),0),0)</f>
        <v>0</v>
      </c>
      <c r="AL539" s="117">
        <f>MAX(IF(AG539&gt;0,IF('FA Addition'!$N539="SLM",($AE539-'FA Addition'!$M539)*'FA Addition'!$P539*AG539/365,IFERROR(VDB(AE539,AE539*0.05,'FA Addition'!$O539,0,YEARFRAC('FA Addition'!$C539,$P$1-1,3),'FA Addition'!$Q539),FAAddition[[#This Row],[Original Cost (Rs)]]-FAAddition[[#This Row],[Salvage Value]])),0),0)</f>
        <v>18661.060476899507</v>
      </c>
      <c r="AM539" s="119"/>
      <c r="AN539" s="117">
        <f>MAX(IF(AH539&gt;0,IF('FA Addition'!$N539="SLM",($AF539-'FA Addition'!$M539)*'FA Addition'!$P539*AH539/365,IFERROR(VDB(AF539,AF539*0.05,'FA Addition'!$O539,0,YEARFRAC('FA Addition'!$C539,$L$1,3),'FA Addition'!$Q539),FAAddition[[#This Row],[Original Cost (Rs)]]-FAAddition[[#This Row],[Salvage Value]])),0),0)</f>
        <v>45178.896102584651</v>
      </c>
      <c r="AO539" s="117">
        <f t="shared" si="43"/>
        <v>26517.835625685144</v>
      </c>
      <c r="AP539" s="206"/>
      <c r="AQ539" s="117">
        <f t="shared" si="41"/>
        <v>41923.606189767161</v>
      </c>
      <c r="AR539" s="120">
        <f t="shared" si="42"/>
        <v>15405.770564082013</v>
      </c>
      <c r="AS539" s="121"/>
    </row>
    <row r="540" spans="1:45" ht="13.5" x14ac:dyDescent="0.4">
      <c r="A540" s="12">
        <f t="shared" si="44"/>
        <v>537</v>
      </c>
      <c r="B540" s="64" t="s">
        <v>1089</v>
      </c>
      <c r="C540" s="54">
        <v>44838</v>
      </c>
      <c r="D540" s="54">
        <v>44838</v>
      </c>
      <c r="E540" s="46" t="s">
        <v>451</v>
      </c>
      <c r="F540" s="51" t="s">
        <v>1133</v>
      </c>
      <c r="G540" s="51" t="s">
        <v>1247</v>
      </c>
      <c r="H540" s="51" t="s">
        <v>21</v>
      </c>
      <c r="I540" s="55" t="s">
        <v>1248</v>
      </c>
      <c r="J540" s="56">
        <v>1</v>
      </c>
      <c r="K540" s="51" t="s">
        <v>1249</v>
      </c>
      <c r="L540" s="58">
        <v>60584.666666666664</v>
      </c>
      <c r="M540" s="50">
        <f>ROUND('FA Addition'!$L540*5%,0.1)</f>
        <v>3029</v>
      </c>
      <c r="N540" s="113" t="str">
        <f>_xlfn.XLOOKUP(_xlfn.CONCAT(E540,B540),'Year Wise Master Dep Approach'!F:F,'Year Wise Master Dep Approach'!D:D)</f>
        <v>WDV</v>
      </c>
      <c r="O540" s="113">
        <f>_xlfn.XLOOKUP(_xlfn.CONCAT(E540,B540),'Year Wise Master Dep Approach'!F:F,'Year Wise Master Dep Approach'!E:E)</f>
        <v>3</v>
      </c>
      <c r="P540" s="114">
        <f>IFERROR(IF('FA Addition'!$N540="WDV",1-('FA Addition'!$M540/'FA Addition'!$L540)^(1/'FA Addition'!$O540),1/'FA Addition'!$O540),0)</f>
        <v>0.63160630939871942</v>
      </c>
      <c r="Q540" s="122">
        <f>'FA Addition'!$P540*'FA Addition'!$O540</f>
        <v>1.8948189281961583</v>
      </c>
      <c r="R540" s="122"/>
      <c r="S540" s="116">
        <f>IF(AND(DATE(20&amp;LEFT(FAAddition[[#This Row],[FY]],2),4,1)&lt;$L$1+1,DATE(20&amp;LEFT(FAAddition[[#This Row],[FY]],2),4,1)&gt;$P$1-1),'FA Addition'!$J540,0)</f>
        <v>0</v>
      </c>
      <c r="U540" s="117">
        <f>S540*'FA Addition'!$L540/'FA Addition'!$J540</f>
        <v>0</v>
      </c>
      <c r="W540" s="116">
        <f>SUMIFS('FA Write off'!D:D,'FA Write off'!A:A,'FA Addition'!$A540,'FA Write off'!C:C,"&lt;"&amp;'FA Addition'!$P$1)</f>
        <v>0</v>
      </c>
      <c r="Y540" s="191">
        <f>IFERROR(W540/'FA Addition'!$J540*'FA Addition'!$L540,0)</f>
        <v>0</v>
      </c>
      <c r="AA540" s="116">
        <f>SUMIFS('FA Write off'!D:D,'FA Write off'!A:A,'FA Addition'!$A540,'FA Write off'!C:C,"&lt;"&amp;'FA Addition'!$L$1+1,'FA Write off'!C:C,"&gt;"&amp;'FA Addition'!$L$1-365)</f>
        <v>0</v>
      </c>
      <c r="AC540" s="118">
        <f>IFERROR(AA540/'FA Addition'!$J540*'FA Addition'!$L540,0)</f>
        <v>0</v>
      </c>
      <c r="AE540" s="117">
        <f>IF(AND('FA Addition'!$D540&lt;$P$1+1,U540=0),'FA Addition'!$L540,0)-Y540</f>
        <v>60584.666666666664</v>
      </c>
      <c r="AF540" s="117">
        <f t="shared" si="40"/>
        <v>60584.666666666664</v>
      </c>
      <c r="AG540" s="117">
        <f>MIN(MAX(+$P$1-'FA Addition'!$D540,0),365*'FA Addition'!$O540)</f>
        <v>179</v>
      </c>
      <c r="AH540" s="117">
        <f>MIN(MAX($L$1-'FA Addition'!$D540+1,0),365*'FA Addition'!$O540)</f>
        <v>545</v>
      </c>
      <c r="AI540" s="117" cm="1">
        <f t="array" ref="AI540">_xlfn.XLOOKUP(1,('FA Write off'!A:A='FA Addition'!$A540)*('FA Write off'!D:D=AA540),'FA Write off'!H:H,0,0)</f>
        <v>0</v>
      </c>
      <c r="AJ540" s="117">
        <f>IF(AC540&gt;0,MAX(IF('FA Addition'!$N540="SLM",($AC540-'FA Addition'!$M540)*'FA Addition'!$P540*AI540/365,(AC540-'FA Addition'!$M540)*(1-(1-'FA Addition'!$P540)^(AI540/365))),0),0)</f>
        <v>0</v>
      </c>
      <c r="AL540" s="117">
        <f>MAX(IF(AG540&gt;0,IF('FA Addition'!$N540="SLM",($AE540-'FA Addition'!$M540)*'FA Addition'!$P540*AG540/365,IFERROR(VDB(AE540,AE540*0.05,'FA Addition'!$O540,0,YEARFRAC('FA Addition'!$C540,$P$1-1,3),'FA Addition'!$Q540),FAAddition[[#This Row],[Original Cost (Rs)]]-FAAddition[[#This Row],[Salvage Value]])),0),0)</f>
        <v>18661.060476899507</v>
      </c>
      <c r="AM540" s="119"/>
      <c r="AN540" s="117">
        <f>MAX(IF(AH540&gt;0,IF('FA Addition'!$N540="SLM",($AF540-'FA Addition'!$M540)*'FA Addition'!$P540*AH540/365,IFERROR(VDB(AF540,AF540*0.05,'FA Addition'!$O540,0,YEARFRAC('FA Addition'!$C540,$L$1,3),'FA Addition'!$Q540),FAAddition[[#This Row],[Original Cost (Rs)]]-FAAddition[[#This Row],[Salvage Value]])),0),0)</f>
        <v>45178.896102584651</v>
      </c>
      <c r="AO540" s="117">
        <f t="shared" si="43"/>
        <v>26517.835625685144</v>
      </c>
      <c r="AP540" s="206"/>
      <c r="AQ540" s="117">
        <f t="shared" si="41"/>
        <v>41923.606189767161</v>
      </c>
      <c r="AR540" s="120">
        <f t="shared" si="42"/>
        <v>15405.770564082013</v>
      </c>
      <c r="AS540" s="121"/>
    </row>
    <row r="541" spans="1:45" ht="13.5" x14ac:dyDescent="0.4">
      <c r="A541" s="12">
        <f t="shared" si="44"/>
        <v>538</v>
      </c>
      <c r="B541" s="64" t="s">
        <v>1089</v>
      </c>
      <c r="C541" s="54">
        <v>44838</v>
      </c>
      <c r="D541" s="54">
        <v>44838</v>
      </c>
      <c r="E541" s="46" t="s">
        <v>451</v>
      </c>
      <c r="F541" s="51" t="s">
        <v>1133</v>
      </c>
      <c r="G541" s="51" t="s">
        <v>1154</v>
      </c>
      <c r="H541" s="51" t="s">
        <v>21</v>
      </c>
      <c r="I541" s="55" t="s">
        <v>1250</v>
      </c>
      <c r="J541" s="56">
        <v>1</v>
      </c>
      <c r="K541" s="51" t="s">
        <v>1251</v>
      </c>
      <c r="L541" s="58">
        <v>49992</v>
      </c>
      <c r="M541" s="50">
        <f>ROUND('FA Addition'!$L541*5%,0.1)</f>
        <v>2500</v>
      </c>
      <c r="N541" s="113" t="str">
        <f>_xlfn.XLOOKUP(_xlfn.CONCAT(E541,B541),'Year Wise Master Dep Approach'!F:F,'Year Wise Master Dep Approach'!D:D)</f>
        <v>WDV</v>
      </c>
      <c r="O541" s="113">
        <f>_xlfn.XLOOKUP(_xlfn.CONCAT(E541,B541),'Year Wise Master Dep Approach'!F:F,'Year Wise Master Dep Approach'!E:E)</f>
        <v>3</v>
      </c>
      <c r="P541" s="114">
        <f>IFERROR(IF('FA Addition'!$N541="WDV",1-('FA Addition'!$M541/'FA Addition'!$L541)^(1/'FA Addition'!$O541),1/'FA Addition'!$O541),0)</f>
        <v>0.63157719987190308</v>
      </c>
      <c r="Q541" s="122">
        <f>'FA Addition'!$P541*'FA Addition'!$O541</f>
        <v>1.8947315996157092</v>
      </c>
      <c r="R541" s="122"/>
      <c r="S541" s="116">
        <f>IF(AND(DATE(20&amp;LEFT(FAAddition[[#This Row],[FY]],2),4,1)&lt;$L$1+1,DATE(20&amp;LEFT(FAAddition[[#This Row],[FY]],2),4,1)&gt;$P$1-1),'FA Addition'!$J541,0)</f>
        <v>0</v>
      </c>
      <c r="U541" s="117">
        <f>S541*'FA Addition'!$L541/'FA Addition'!$J541</f>
        <v>0</v>
      </c>
      <c r="W541" s="116">
        <f>SUMIFS('FA Write off'!D:D,'FA Write off'!A:A,'FA Addition'!$A541,'FA Write off'!C:C,"&lt;"&amp;'FA Addition'!$P$1)</f>
        <v>0</v>
      </c>
      <c r="Y541" s="191">
        <f>IFERROR(W541/'FA Addition'!$J541*'FA Addition'!$L541,0)</f>
        <v>0</v>
      </c>
      <c r="AA541" s="116">
        <f>SUMIFS('FA Write off'!D:D,'FA Write off'!A:A,'FA Addition'!$A541,'FA Write off'!C:C,"&lt;"&amp;'FA Addition'!$L$1+1,'FA Write off'!C:C,"&gt;"&amp;'FA Addition'!$L$1-365)</f>
        <v>0</v>
      </c>
      <c r="AC541" s="118">
        <f>IFERROR(AA541/'FA Addition'!$J541*'FA Addition'!$L541,0)</f>
        <v>0</v>
      </c>
      <c r="AE541" s="117">
        <f>IF(AND('FA Addition'!$D541&lt;$P$1+1,U541=0),'FA Addition'!$L541,0)-Y541</f>
        <v>49992</v>
      </c>
      <c r="AF541" s="117">
        <f t="shared" si="40"/>
        <v>49992</v>
      </c>
      <c r="AG541" s="117">
        <f>MIN(MAX(+$P$1-'FA Addition'!$D541,0),365*'FA Addition'!$O541)</f>
        <v>179</v>
      </c>
      <c r="AH541" s="117">
        <f>MIN(MAX($L$1-'FA Addition'!$D541+1,0),365*'FA Addition'!$O541)</f>
        <v>545</v>
      </c>
      <c r="AI541" s="117" cm="1">
        <f t="array" ref="AI541">_xlfn.XLOOKUP(1,('FA Write off'!A:A='FA Addition'!$A541)*('FA Write off'!D:D=AA541),'FA Write off'!H:H,0,0)</f>
        <v>0</v>
      </c>
      <c r="AJ541" s="117">
        <f>IF(AC541&gt;0,MAX(IF('FA Addition'!$N541="SLM",($AC541-'FA Addition'!$M541)*'FA Addition'!$P541*AI541/365,(AC541-'FA Addition'!$M541)*(1-(1-'FA Addition'!$P541)^(AI541/365))),0),0)</f>
        <v>0</v>
      </c>
      <c r="AL541" s="117">
        <f>MAX(IF(AG541&gt;0,IF('FA Addition'!$N541="SLM",($AE541-'FA Addition'!$M541)*'FA Addition'!$P541*AG541/365,IFERROR(VDB(AE541,AE541*0.05,'FA Addition'!$O541,0,YEARFRAC('FA Addition'!$C541,$P$1-1,3),'FA Addition'!$Q541),FAAddition[[#This Row],[Original Cost (Rs)]]-FAAddition[[#This Row],[Salvage Value]])),0),0)</f>
        <v>15397.63756966389</v>
      </c>
      <c r="AM541" s="119"/>
      <c r="AN541" s="117">
        <f>MAX(IF(AH541&gt;0,IF('FA Addition'!$N541="SLM",($AF541-'FA Addition'!$M541)*'FA Addition'!$P541*AH541/365,IFERROR(VDB(AF541,AF541*0.05,'FA Addition'!$O541,0,YEARFRAC('FA Addition'!$C541,$L$1,3),'FA Addition'!$Q541),FAAddition[[#This Row],[Original Cost (Rs)]]-FAAddition[[#This Row],[Salvage Value]])),0),0)</f>
        <v>37278.518016616377</v>
      </c>
      <c r="AO541" s="117">
        <f t="shared" si="43"/>
        <v>21880.880446952488</v>
      </c>
      <c r="AP541" s="206"/>
      <c r="AQ541" s="117">
        <f t="shared" si="41"/>
        <v>34594.362430336114</v>
      </c>
      <c r="AR541" s="120">
        <f t="shared" si="42"/>
        <v>12713.481983383623</v>
      </c>
      <c r="AS541" s="121"/>
    </row>
    <row r="542" spans="1:45" ht="13.5" x14ac:dyDescent="0.4">
      <c r="A542" s="12">
        <f t="shared" si="44"/>
        <v>539</v>
      </c>
      <c r="B542" s="64" t="s">
        <v>1089</v>
      </c>
      <c r="C542" s="54">
        <v>44838</v>
      </c>
      <c r="D542" s="54">
        <v>44838</v>
      </c>
      <c r="E542" s="46" t="s">
        <v>1389</v>
      </c>
      <c r="F542" s="51" t="s">
        <v>1112</v>
      </c>
      <c r="G542" s="51" t="s">
        <v>1252</v>
      </c>
      <c r="H542" s="51" t="s">
        <v>1113</v>
      </c>
      <c r="I542" s="55" t="s">
        <v>1253</v>
      </c>
      <c r="J542" s="56">
        <v>1</v>
      </c>
      <c r="K542" s="51" t="s">
        <v>1254</v>
      </c>
      <c r="L542" s="58">
        <v>2400</v>
      </c>
      <c r="M542" s="50">
        <f>ROUND('FA Addition'!$L542*5%,0.1)</f>
        <v>120</v>
      </c>
      <c r="N542" s="113" t="str">
        <f>_xlfn.XLOOKUP(_xlfn.CONCAT(E542,B542),'Year Wise Master Dep Approach'!F:F,'Year Wise Master Dep Approach'!D:D)</f>
        <v>SLM</v>
      </c>
      <c r="O542" s="113">
        <f>_xlfn.XLOOKUP(_xlfn.CONCAT(E542,B542),'Year Wise Master Dep Approach'!F:F,'Year Wise Master Dep Approach'!E:E)</f>
        <v>3</v>
      </c>
      <c r="P542" s="114">
        <f>IFERROR(IF('FA Addition'!$N542="WDV",1-('FA Addition'!$M542/'FA Addition'!$L542)^(1/'FA Addition'!$O542),1/'FA Addition'!$O542),0)</f>
        <v>0.33333333333333331</v>
      </c>
      <c r="Q542" s="122">
        <f>'FA Addition'!$P542*'FA Addition'!$O542</f>
        <v>1</v>
      </c>
      <c r="R542" s="122"/>
      <c r="S542" s="116">
        <f>IF(AND(DATE(20&amp;LEFT(FAAddition[[#This Row],[FY]],2),4,1)&lt;$L$1+1,DATE(20&amp;LEFT(FAAddition[[#This Row],[FY]],2),4,1)&gt;$P$1-1),'FA Addition'!$J542,0)</f>
        <v>0</v>
      </c>
      <c r="U542" s="117">
        <f>S542*'FA Addition'!$L542/'FA Addition'!$J542</f>
        <v>0</v>
      </c>
      <c r="W542" s="116">
        <f>SUMIFS('FA Write off'!D:D,'FA Write off'!A:A,'FA Addition'!$A542,'FA Write off'!C:C,"&lt;"&amp;'FA Addition'!$P$1)</f>
        <v>0</v>
      </c>
      <c r="Y542" s="191">
        <f>IFERROR(W542/'FA Addition'!$J542*'FA Addition'!$L542,0)</f>
        <v>0</v>
      </c>
      <c r="AA542" s="116">
        <f>SUMIFS('FA Write off'!D:D,'FA Write off'!A:A,'FA Addition'!$A542,'FA Write off'!C:C,"&lt;"&amp;'FA Addition'!$L$1+1,'FA Write off'!C:C,"&gt;"&amp;'FA Addition'!$L$1-365)</f>
        <v>1</v>
      </c>
      <c r="AC542" s="117">
        <f>IFERROR(AA542/'FA Addition'!$J542*'FA Addition'!$L542,0)</f>
        <v>2400</v>
      </c>
      <c r="AE542" s="117">
        <f>IF(AND('FA Addition'!$D542&lt;$P$1+1,U542=0),'FA Addition'!$L542,0)-Y542</f>
        <v>2400</v>
      </c>
      <c r="AF542" s="117">
        <f t="shared" si="40"/>
        <v>0</v>
      </c>
      <c r="AG542" s="117">
        <f>MIN(MAX(+$P$1-'FA Addition'!$D542,0),365*'FA Addition'!$O542)</f>
        <v>179</v>
      </c>
      <c r="AH542" s="117">
        <f>MIN(MAX($L$1-'FA Addition'!$D542+1,0),365*'FA Addition'!$O542)</f>
        <v>545</v>
      </c>
      <c r="AI542" s="117" cm="1">
        <f t="array" ref="AI542">_xlfn.XLOOKUP(1,('FA Write off'!A:A='FA Addition'!$A542)*('FA Write off'!D:D=AA542),'FA Write off'!H:H,0,0)</f>
        <v>545</v>
      </c>
      <c r="AJ542" s="117">
        <f>IF(AC542&gt;0,MAX(IF('FA Addition'!$N542="SLM",($AC542-'FA Addition'!$M542)*'FA Addition'!$P542*AI542/365,(AC542-'FA Addition'!$M542)*(1-(1-'FA Addition'!$P542)^(AI542/365))),0),0)</f>
        <v>1134.7945205479452</v>
      </c>
      <c r="AL542" s="117">
        <f>MAX(IF(AG542&gt;0,IF('FA Addition'!$N542="SLM",($AE542-'FA Addition'!$M542)*'FA Addition'!$P542*AG542/365,IFERROR(VDB(AE542,AE542*0.05,'FA Addition'!$O542,0,YEARFRAC('FA Addition'!$C542,$P$1-1,3),'FA Addition'!$Q542),FAAddition[[#This Row],[Original Cost (Rs)]]-FAAddition[[#This Row],[Salvage Value]])),0),0)</f>
        <v>372.71232876712327</v>
      </c>
      <c r="AM542" s="119"/>
      <c r="AN542" s="117">
        <f>MAX(IF(AH542&gt;0,IF('FA Addition'!$N542="SLM",($AF542-'FA Addition'!$M542)*'FA Addition'!$P542*AH542/365,IFERROR(VDB(AF542,AF542*0.05,'FA Addition'!$O542,0,YEARFRAC('FA Addition'!$C542,$L$1,3),'FA Addition'!$Q542),FAAddition[[#This Row],[Original Cost (Rs)]]-FAAddition[[#This Row],[Salvage Value]])),0),0)</f>
        <v>0</v>
      </c>
      <c r="AO542" s="117">
        <f t="shared" si="43"/>
        <v>762.08219178082197</v>
      </c>
      <c r="AP542" s="206"/>
      <c r="AQ542" s="117">
        <f t="shared" si="41"/>
        <v>2027.2876712328766</v>
      </c>
      <c r="AR542" s="120">
        <f t="shared" si="42"/>
        <v>0</v>
      </c>
      <c r="AS542" s="121"/>
    </row>
    <row r="543" spans="1:45" ht="13.5" x14ac:dyDescent="0.4">
      <c r="A543" s="12">
        <f t="shared" si="44"/>
        <v>540</v>
      </c>
      <c r="B543" s="64" t="s">
        <v>1089</v>
      </c>
      <c r="C543" s="54">
        <v>44839</v>
      </c>
      <c r="D543" s="54">
        <v>44839</v>
      </c>
      <c r="E543" s="46" t="s">
        <v>451</v>
      </c>
      <c r="F543" s="51" t="s">
        <v>1133</v>
      </c>
      <c r="G543" s="51" t="s">
        <v>1134</v>
      </c>
      <c r="H543" s="51" t="s">
        <v>21</v>
      </c>
      <c r="I543" s="55" t="s">
        <v>1255</v>
      </c>
      <c r="J543" s="56">
        <v>1</v>
      </c>
      <c r="K543" s="51" t="s">
        <v>1233</v>
      </c>
      <c r="L543" s="58">
        <v>28805</v>
      </c>
      <c r="M543" s="50">
        <f>ROUND('FA Addition'!$L543*5%,0.1)</f>
        <v>1440</v>
      </c>
      <c r="N543" s="113" t="str">
        <f>_xlfn.XLOOKUP(_xlfn.CONCAT(E543,B543),'Year Wise Master Dep Approach'!F:F,'Year Wise Master Dep Approach'!D:D)</f>
        <v>WDV</v>
      </c>
      <c r="O543" s="113">
        <f>_xlfn.XLOOKUP(_xlfn.CONCAT(E543,B543),'Year Wise Master Dep Approach'!F:F,'Year Wise Master Dep Approach'!E:E)</f>
        <v>3</v>
      </c>
      <c r="P543" s="114">
        <f>IFERROR(IF('FA Addition'!$N543="WDV",1-('FA Addition'!$M543/'FA Addition'!$L543)^(1/'FA Addition'!$O543),1/'FA Addition'!$O543),0)</f>
        <v>0.63161816729547327</v>
      </c>
      <c r="Q543" s="122">
        <f>'FA Addition'!$P543*'FA Addition'!$O543</f>
        <v>1.8948545018864198</v>
      </c>
      <c r="R543" s="122"/>
      <c r="S543" s="116">
        <f>IF(AND(DATE(20&amp;LEFT(FAAddition[[#This Row],[FY]],2),4,1)&lt;$L$1+1,DATE(20&amp;LEFT(FAAddition[[#This Row],[FY]],2),4,1)&gt;$P$1-1),'FA Addition'!$J543,0)</f>
        <v>0</v>
      </c>
      <c r="U543" s="117">
        <f>S543*'FA Addition'!$L543/'FA Addition'!$J543</f>
        <v>0</v>
      </c>
      <c r="W543" s="116">
        <f>SUMIFS('FA Write off'!D:D,'FA Write off'!A:A,'FA Addition'!$A543,'FA Write off'!C:C,"&lt;"&amp;'FA Addition'!$P$1)</f>
        <v>0</v>
      </c>
      <c r="Y543" s="191">
        <f>IFERROR(W543/'FA Addition'!$J543*'FA Addition'!$L543,0)</f>
        <v>0</v>
      </c>
      <c r="AA543" s="116">
        <f>SUMIFS('FA Write off'!D:D,'FA Write off'!A:A,'FA Addition'!$A543,'FA Write off'!C:C,"&lt;"&amp;'FA Addition'!$L$1+1,'FA Write off'!C:C,"&gt;"&amp;'FA Addition'!$L$1-365)</f>
        <v>0</v>
      </c>
      <c r="AC543" s="118">
        <f>IFERROR(AA543/'FA Addition'!$J543*'FA Addition'!$L543,0)</f>
        <v>0</v>
      </c>
      <c r="AE543" s="117">
        <f>IF(AND('FA Addition'!$D543&lt;$P$1+1,U543=0),'FA Addition'!$L543,0)-Y543</f>
        <v>28805</v>
      </c>
      <c r="AF543" s="117">
        <f t="shared" si="40"/>
        <v>28805</v>
      </c>
      <c r="AG543" s="117">
        <f>MIN(MAX(+$P$1-'FA Addition'!$D543,0),365*'FA Addition'!$O543)</f>
        <v>178</v>
      </c>
      <c r="AH543" s="117">
        <f>MIN(MAX($L$1-'FA Addition'!$D543+1,0),365*'FA Addition'!$O543)</f>
        <v>544</v>
      </c>
      <c r="AI543" s="117" cm="1">
        <f t="array" ref="AI543">_xlfn.XLOOKUP(1,('FA Write off'!A:A='FA Addition'!$A543)*('FA Write off'!D:D=AA543),'FA Write off'!H:H,0,0)</f>
        <v>0</v>
      </c>
      <c r="AJ543" s="117">
        <f>IF(AC543&gt;0,MAX(IF('FA Addition'!$N543="SLM",($AC543-'FA Addition'!$M543)*'FA Addition'!$P543*AI543/365,(AC543-'FA Addition'!$M543)*(1-(1-'FA Addition'!$P543)^(AI543/365))),0),0)</f>
        <v>0</v>
      </c>
      <c r="AL543" s="117">
        <f>MAX(IF(AG543&gt;0,IF('FA Addition'!$N543="SLM",($AE543-'FA Addition'!$M543)*'FA Addition'!$P543*AG543/365,IFERROR(VDB(AE543,AE543*0.05,'FA Addition'!$O543,0,YEARFRAC('FA Addition'!$C543,$P$1-1,3),'FA Addition'!$Q543),FAAddition[[#This Row],[Original Cost (Rs)]]-FAAddition[[#This Row],[Salvage Value]])),0),0)</f>
        <v>8822.7280868040034</v>
      </c>
      <c r="AM543" s="119"/>
      <c r="AN543" s="117">
        <f>MAX(IF(AH543&gt;0,IF('FA Addition'!$N543="SLM",($AF543-'FA Addition'!$M543)*'FA Addition'!$P543*AH543/365,IFERROR(VDB(AF543,AF543*0.05,'FA Addition'!$O543,0,YEARFRAC('FA Addition'!$C543,$L$1,3),'FA Addition'!$Q543),FAAddition[[#This Row],[Original Cost (Rs)]]-FAAddition[[#This Row],[Salvage Value]])),0),0)</f>
        <v>21462.256382892774</v>
      </c>
      <c r="AO543" s="117">
        <f t="shared" si="43"/>
        <v>12639.528296088771</v>
      </c>
      <c r="AP543" s="206"/>
      <c r="AQ543" s="117">
        <f t="shared" si="41"/>
        <v>19982.271913195997</v>
      </c>
      <c r="AR543" s="120">
        <f t="shared" si="42"/>
        <v>7342.7436171072259</v>
      </c>
      <c r="AS543" s="121"/>
    </row>
    <row r="544" spans="1:45" ht="13.5" x14ac:dyDescent="0.4">
      <c r="A544" s="12">
        <f t="shared" si="44"/>
        <v>541</v>
      </c>
      <c r="B544" s="64" t="s">
        <v>1089</v>
      </c>
      <c r="C544" s="54">
        <v>44839</v>
      </c>
      <c r="D544" s="54">
        <v>44839</v>
      </c>
      <c r="E544" s="46" t="s">
        <v>451</v>
      </c>
      <c r="F544" s="51" t="s">
        <v>1133</v>
      </c>
      <c r="G544" s="51" t="s">
        <v>1134</v>
      </c>
      <c r="H544" s="51" t="s">
        <v>21</v>
      </c>
      <c r="I544" s="55" t="s">
        <v>1255</v>
      </c>
      <c r="J544" s="56">
        <v>1</v>
      </c>
      <c r="K544" s="51" t="s">
        <v>1233</v>
      </c>
      <c r="L544" s="58">
        <v>28805</v>
      </c>
      <c r="M544" s="50">
        <f>ROUND('FA Addition'!$L544*5%,0.1)</f>
        <v>1440</v>
      </c>
      <c r="N544" s="113" t="str">
        <f>_xlfn.XLOOKUP(_xlfn.CONCAT(E544,B544),'Year Wise Master Dep Approach'!F:F,'Year Wise Master Dep Approach'!D:D)</f>
        <v>WDV</v>
      </c>
      <c r="O544" s="113">
        <f>_xlfn.XLOOKUP(_xlfn.CONCAT(E544,B544),'Year Wise Master Dep Approach'!F:F,'Year Wise Master Dep Approach'!E:E)</f>
        <v>3</v>
      </c>
      <c r="P544" s="114">
        <f>IFERROR(IF('FA Addition'!$N544="WDV",1-('FA Addition'!$M544/'FA Addition'!$L544)^(1/'FA Addition'!$O544),1/'FA Addition'!$O544),0)</f>
        <v>0.63161816729547327</v>
      </c>
      <c r="Q544" s="122">
        <f>'FA Addition'!$P544*'FA Addition'!$O544</f>
        <v>1.8948545018864198</v>
      </c>
      <c r="R544" s="122"/>
      <c r="S544" s="116">
        <f>IF(AND(DATE(20&amp;LEFT(FAAddition[[#This Row],[FY]],2),4,1)&lt;$L$1+1,DATE(20&amp;LEFT(FAAddition[[#This Row],[FY]],2),4,1)&gt;$P$1-1),'FA Addition'!$J544,0)</f>
        <v>0</v>
      </c>
      <c r="U544" s="117">
        <f>S544*'FA Addition'!$L544/'FA Addition'!$J544</f>
        <v>0</v>
      </c>
      <c r="W544" s="116">
        <f>SUMIFS('FA Write off'!D:D,'FA Write off'!A:A,'FA Addition'!$A544,'FA Write off'!C:C,"&lt;"&amp;'FA Addition'!$P$1)</f>
        <v>0</v>
      </c>
      <c r="Y544" s="191">
        <f>IFERROR(W544/'FA Addition'!$J544*'FA Addition'!$L544,0)</f>
        <v>0</v>
      </c>
      <c r="AA544" s="116">
        <f>SUMIFS('FA Write off'!D:D,'FA Write off'!A:A,'FA Addition'!$A544,'FA Write off'!C:C,"&lt;"&amp;'FA Addition'!$L$1+1,'FA Write off'!C:C,"&gt;"&amp;'FA Addition'!$L$1-365)</f>
        <v>0</v>
      </c>
      <c r="AC544" s="118">
        <f>IFERROR(AA544/'FA Addition'!$J544*'FA Addition'!$L544,0)</f>
        <v>0</v>
      </c>
      <c r="AE544" s="117">
        <f>IF(AND('FA Addition'!$D544&lt;$P$1+1,U544=0),'FA Addition'!$L544,0)-Y544</f>
        <v>28805</v>
      </c>
      <c r="AF544" s="117">
        <f t="shared" si="40"/>
        <v>28805</v>
      </c>
      <c r="AG544" s="117">
        <f>MIN(MAX(+$P$1-'FA Addition'!$D544,0),365*'FA Addition'!$O544)</f>
        <v>178</v>
      </c>
      <c r="AH544" s="117">
        <f>MIN(MAX($L$1-'FA Addition'!$D544+1,0),365*'FA Addition'!$O544)</f>
        <v>544</v>
      </c>
      <c r="AI544" s="117" cm="1">
        <f t="array" ref="AI544">_xlfn.XLOOKUP(1,('FA Write off'!A:A='FA Addition'!$A544)*('FA Write off'!D:D=AA544),'FA Write off'!H:H,0,0)</f>
        <v>0</v>
      </c>
      <c r="AJ544" s="117">
        <f>IF(AC544&gt;0,MAX(IF('FA Addition'!$N544="SLM",($AC544-'FA Addition'!$M544)*'FA Addition'!$P544*AI544/365,(AC544-'FA Addition'!$M544)*(1-(1-'FA Addition'!$P544)^(AI544/365))),0),0)</f>
        <v>0</v>
      </c>
      <c r="AL544" s="117">
        <f>MAX(IF(AG544&gt;0,IF('FA Addition'!$N544="SLM",($AE544-'FA Addition'!$M544)*'FA Addition'!$P544*AG544/365,IFERROR(VDB(AE544,AE544*0.05,'FA Addition'!$O544,0,YEARFRAC('FA Addition'!$C544,$P$1-1,3),'FA Addition'!$Q544),FAAddition[[#This Row],[Original Cost (Rs)]]-FAAddition[[#This Row],[Salvage Value]])),0),0)</f>
        <v>8822.7280868040034</v>
      </c>
      <c r="AM544" s="119"/>
      <c r="AN544" s="117">
        <f>MAX(IF(AH544&gt;0,IF('FA Addition'!$N544="SLM",($AF544-'FA Addition'!$M544)*'FA Addition'!$P544*AH544/365,IFERROR(VDB(AF544,AF544*0.05,'FA Addition'!$O544,0,YEARFRAC('FA Addition'!$C544,$L$1,3),'FA Addition'!$Q544),FAAddition[[#This Row],[Original Cost (Rs)]]-FAAddition[[#This Row],[Salvage Value]])),0),0)</f>
        <v>21462.256382892774</v>
      </c>
      <c r="AO544" s="117">
        <f t="shared" si="43"/>
        <v>12639.528296088771</v>
      </c>
      <c r="AP544" s="206"/>
      <c r="AQ544" s="117">
        <f t="shared" si="41"/>
        <v>19982.271913195997</v>
      </c>
      <c r="AR544" s="120">
        <f t="shared" si="42"/>
        <v>7342.7436171072259</v>
      </c>
      <c r="AS544" s="121"/>
    </row>
    <row r="545" spans="1:45" ht="13.5" x14ac:dyDescent="0.4">
      <c r="A545" s="12">
        <f t="shared" si="44"/>
        <v>542</v>
      </c>
      <c r="B545" s="64" t="s">
        <v>1089</v>
      </c>
      <c r="C545" s="54">
        <v>44839</v>
      </c>
      <c r="D545" s="54">
        <v>44839</v>
      </c>
      <c r="E545" s="46" t="s">
        <v>451</v>
      </c>
      <c r="F545" s="51" t="s">
        <v>1133</v>
      </c>
      <c r="G545" s="51" t="s">
        <v>1134</v>
      </c>
      <c r="H545" s="51" t="s">
        <v>21</v>
      </c>
      <c r="I545" s="55" t="s">
        <v>1255</v>
      </c>
      <c r="J545" s="56">
        <v>1</v>
      </c>
      <c r="K545" s="51" t="s">
        <v>1233</v>
      </c>
      <c r="L545" s="58">
        <v>28805</v>
      </c>
      <c r="M545" s="50">
        <f>ROUND('FA Addition'!$L545*5%,0.1)</f>
        <v>1440</v>
      </c>
      <c r="N545" s="113" t="str">
        <f>_xlfn.XLOOKUP(_xlfn.CONCAT(E545,B545),'Year Wise Master Dep Approach'!F:F,'Year Wise Master Dep Approach'!D:D)</f>
        <v>WDV</v>
      </c>
      <c r="O545" s="113">
        <f>_xlfn.XLOOKUP(_xlfn.CONCAT(E545,B545),'Year Wise Master Dep Approach'!F:F,'Year Wise Master Dep Approach'!E:E)</f>
        <v>3</v>
      </c>
      <c r="P545" s="114">
        <f>IFERROR(IF('FA Addition'!$N545="WDV",1-('FA Addition'!$M545/'FA Addition'!$L545)^(1/'FA Addition'!$O545),1/'FA Addition'!$O545),0)</f>
        <v>0.63161816729547327</v>
      </c>
      <c r="Q545" s="122">
        <f>'FA Addition'!$P545*'FA Addition'!$O545</f>
        <v>1.8948545018864198</v>
      </c>
      <c r="R545" s="122"/>
      <c r="S545" s="116">
        <f>IF(AND(DATE(20&amp;LEFT(FAAddition[[#This Row],[FY]],2),4,1)&lt;$L$1+1,DATE(20&amp;LEFT(FAAddition[[#This Row],[FY]],2),4,1)&gt;$P$1-1),'FA Addition'!$J545,0)</f>
        <v>0</v>
      </c>
      <c r="U545" s="117">
        <f>S545*'FA Addition'!$L545/'FA Addition'!$J545</f>
        <v>0</v>
      </c>
      <c r="W545" s="116">
        <f>SUMIFS('FA Write off'!D:D,'FA Write off'!A:A,'FA Addition'!$A545,'FA Write off'!C:C,"&lt;"&amp;'FA Addition'!$P$1)</f>
        <v>0</v>
      </c>
      <c r="Y545" s="191">
        <f>IFERROR(W545/'FA Addition'!$J545*'FA Addition'!$L545,0)</f>
        <v>0</v>
      </c>
      <c r="AA545" s="116">
        <f>SUMIFS('FA Write off'!D:D,'FA Write off'!A:A,'FA Addition'!$A545,'FA Write off'!C:C,"&lt;"&amp;'FA Addition'!$L$1+1,'FA Write off'!C:C,"&gt;"&amp;'FA Addition'!$L$1-365)</f>
        <v>0</v>
      </c>
      <c r="AC545" s="118">
        <f>IFERROR(AA545/'FA Addition'!$J545*'FA Addition'!$L545,0)</f>
        <v>0</v>
      </c>
      <c r="AE545" s="117">
        <f>IF(AND('FA Addition'!$D545&lt;$P$1+1,U545=0),'FA Addition'!$L545,0)-Y545</f>
        <v>28805</v>
      </c>
      <c r="AF545" s="117">
        <f t="shared" si="40"/>
        <v>28805</v>
      </c>
      <c r="AG545" s="117">
        <f>MIN(MAX(+$P$1-'FA Addition'!$D545,0),365*'FA Addition'!$O545)</f>
        <v>178</v>
      </c>
      <c r="AH545" s="117">
        <f>MIN(MAX($L$1-'FA Addition'!$D545+1,0),365*'FA Addition'!$O545)</f>
        <v>544</v>
      </c>
      <c r="AI545" s="117" cm="1">
        <f t="array" ref="AI545">_xlfn.XLOOKUP(1,('FA Write off'!A:A='FA Addition'!$A545)*('FA Write off'!D:D=AA545),'FA Write off'!H:H,0,0)</f>
        <v>0</v>
      </c>
      <c r="AJ545" s="117">
        <f>IF(AC545&gt;0,MAX(IF('FA Addition'!$N545="SLM",($AC545-'FA Addition'!$M545)*'FA Addition'!$P545*AI545/365,(AC545-'FA Addition'!$M545)*(1-(1-'FA Addition'!$P545)^(AI545/365))),0),0)</f>
        <v>0</v>
      </c>
      <c r="AL545" s="117">
        <f>MAX(IF(AG545&gt;0,IF('FA Addition'!$N545="SLM",($AE545-'FA Addition'!$M545)*'FA Addition'!$P545*AG545/365,IFERROR(VDB(AE545,AE545*0.05,'FA Addition'!$O545,0,YEARFRAC('FA Addition'!$C545,$P$1-1,3),'FA Addition'!$Q545),FAAddition[[#This Row],[Original Cost (Rs)]]-FAAddition[[#This Row],[Salvage Value]])),0),0)</f>
        <v>8822.7280868040034</v>
      </c>
      <c r="AM545" s="119"/>
      <c r="AN545" s="117">
        <f>MAX(IF(AH545&gt;0,IF('FA Addition'!$N545="SLM",($AF545-'FA Addition'!$M545)*'FA Addition'!$P545*AH545/365,IFERROR(VDB(AF545,AF545*0.05,'FA Addition'!$O545,0,YEARFRAC('FA Addition'!$C545,$L$1,3),'FA Addition'!$Q545),FAAddition[[#This Row],[Original Cost (Rs)]]-FAAddition[[#This Row],[Salvage Value]])),0),0)</f>
        <v>21462.256382892774</v>
      </c>
      <c r="AO545" s="117">
        <f t="shared" si="43"/>
        <v>12639.528296088771</v>
      </c>
      <c r="AP545" s="206"/>
      <c r="AQ545" s="117">
        <f t="shared" si="41"/>
        <v>19982.271913195997</v>
      </c>
      <c r="AR545" s="120">
        <f t="shared" si="42"/>
        <v>7342.7436171072259</v>
      </c>
      <c r="AS545" s="121"/>
    </row>
    <row r="546" spans="1:45" ht="13.5" x14ac:dyDescent="0.4">
      <c r="A546" s="12">
        <f t="shared" si="44"/>
        <v>543</v>
      </c>
      <c r="B546" s="64" t="s">
        <v>1089</v>
      </c>
      <c r="C546" s="54">
        <v>44841</v>
      </c>
      <c r="D546" s="54">
        <v>44841</v>
      </c>
      <c r="E546" s="46" t="s">
        <v>32</v>
      </c>
      <c r="F546" s="51" t="s">
        <v>1090</v>
      </c>
      <c r="G546" s="51" t="s">
        <v>1256</v>
      </c>
      <c r="H546" s="51" t="s">
        <v>32</v>
      </c>
      <c r="I546" s="55" t="s">
        <v>1257</v>
      </c>
      <c r="J546" s="56">
        <v>1</v>
      </c>
      <c r="K546" s="51" t="s">
        <v>32</v>
      </c>
      <c r="L546" s="58">
        <v>4999</v>
      </c>
      <c r="M546" s="50">
        <f>ROUND('FA Addition'!$L546*5%,0.1)</f>
        <v>250</v>
      </c>
      <c r="N546" s="113" t="str">
        <f>_xlfn.XLOOKUP(_xlfn.CONCAT(E546,B546),'Year Wise Master Dep Approach'!F:F,'Year Wise Master Dep Approach'!D:D)</f>
        <v>WDV</v>
      </c>
      <c r="O546" s="113">
        <f>_xlfn.XLOOKUP(_xlfn.CONCAT(E546,B546),'Year Wise Master Dep Approach'!F:F,'Year Wise Master Dep Approach'!E:E)</f>
        <v>3</v>
      </c>
      <c r="P546" s="114">
        <f>IFERROR(IF('FA Addition'!$N546="WDV",1-('FA Addition'!$M546/'FA Addition'!$L546)^(1/'FA Addition'!$O546),1/'FA Addition'!$O546),0)</f>
        <v>0.63157228665076626</v>
      </c>
      <c r="Q546" s="122">
        <f>'FA Addition'!$P546*'FA Addition'!$O546</f>
        <v>1.8947168599522988</v>
      </c>
      <c r="R546" s="122"/>
      <c r="S546" s="116">
        <f>IF(AND(DATE(20&amp;LEFT(FAAddition[[#This Row],[FY]],2),4,1)&lt;$L$1+1,DATE(20&amp;LEFT(FAAddition[[#This Row],[FY]],2),4,1)&gt;$P$1-1),'FA Addition'!$J546,0)</f>
        <v>0</v>
      </c>
      <c r="U546" s="117">
        <f>S546*'FA Addition'!$L546/'FA Addition'!$J546</f>
        <v>0</v>
      </c>
      <c r="W546" s="116">
        <f>SUMIFS('FA Write off'!D:D,'FA Write off'!A:A,'FA Addition'!$A546,'FA Write off'!C:C,"&lt;"&amp;'FA Addition'!$P$1)</f>
        <v>0</v>
      </c>
      <c r="Y546" s="191">
        <f>IFERROR(W546/'FA Addition'!$J546*'FA Addition'!$L546,0)</f>
        <v>0</v>
      </c>
      <c r="AA546" s="116">
        <f>SUMIFS('FA Write off'!D:D,'FA Write off'!A:A,'FA Addition'!$A546,'FA Write off'!C:C,"&lt;"&amp;'FA Addition'!$L$1+1,'FA Write off'!C:C,"&gt;"&amp;'FA Addition'!$L$1-365)</f>
        <v>0</v>
      </c>
      <c r="AC546" s="118">
        <f>IFERROR(AA546/'FA Addition'!$J546*'FA Addition'!$L546,0)</f>
        <v>0</v>
      </c>
      <c r="AE546" s="117">
        <f>IF(AND('FA Addition'!$D546&lt;$P$1+1,U546=0),'FA Addition'!$L546,0)-Y546</f>
        <v>4999</v>
      </c>
      <c r="AF546" s="117">
        <f t="shared" si="40"/>
        <v>4999</v>
      </c>
      <c r="AG546" s="117">
        <f>MIN(MAX(+$P$1-'FA Addition'!$D546,0),365*'FA Addition'!$O546)</f>
        <v>176</v>
      </c>
      <c r="AH546" s="117">
        <f>MIN(MAX($L$1-'FA Addition'!$D546+1,0),365*'FA Addition'!$O546)</f>
        <v>542</v>
      </c>
      <c r="AI546" s="117" cm="1">
        <f t="array" ref="AI546">_xlfn.XLOOKUP(1,('FA Write off'!A:A='FA Addition'!$A546)*('FA Write off'!D:D=AA546),'FA Write off'!H:H,0,0)</f>
        <v>0</v>
      </c>
      <c r="AJ546" s="117">
        <f>IF(AC546&gt;0,MAX(IF('FA Addition'!$N546="SLM",($AC546-'FA Addition'!$M546)*'FA Addition'!$P546*AI546/365,(AC546-'FA Addition'!$M546)*(1-(1-'FA Addition'!$P546)^(AI546/365))),0),0)</f>
        <v>0</v>
      </c>
      <c r="AL546" s="117">
        <f>MAX(IF(AG546&gt;0,IF('FA Addition'!$N546="SLM",($AE546-'FA Addition'!$M546)*'FA Addition'!$P546*AG546/365,IFERROR(VDB(AE546,AE546*0.05,'FA Addition'!$O546,0,YEARFRAC('FA Addition'!$C546,$P$1-1,3),'FA Addition'!$Q546),FAAddition[[#This Row],[Original Cost (Rs)]]-FAAddition[[#This Row],[Salvage Value]])),0),0)</f>
        <v>1513.7403442993332</v>
      </c>
      <c r="AM546" s="119"/>
      <c r="AN546" s="117">
        <f>MAX(IF(AH546&gt;0,IF('FA Addition'!$N546="SLM",($AF546-'FA Addition'!$M546)*'FA Addition'!$P546*AH546/365,IFERROR(VDB(AF546,AF546*0.05,'FA Addition'!$O546,0,YEARFRAC('FA Addition'!$C546,$L$1,3),'FA Addition'!$Q546),FAAddition[[#This Row],[Original Cost (Rs)]]-FAAddition[[#This Row],[Salvage Value]])),0),0)</f>
        <v>3718.120634014178</v>
      </c>
      <c r="AO546" s="117">
        <f t="shared" si="43"/>
        <v>2204.3802897148448</v>
      </c>
      <c r="AP546" s="206"/>
      <c r="AQ546" s="117">
        <f t="shared" si="41"/>
        <v>3485.2596557006668</v>
      </c>
      <c r="AR546" s="120">
        <f t="shared" si="42"/>
        <v>1280.879365985822</v>
      </c>
      <c r="AS546" s="121"/>
    </row>
    <row r="547" spans="1:45" ht="13.5" x14ac:dyDescent="0.4">
      <c r="A547" s="12">
        <f t="shared" si="44"/>
        <v>544</v>
      </c>
      <c r="B547" s="64" t="s">
        <v>1089</v>
      </c>
      <c r="C547" s="54">
        <v>44845</v>
      </c>
      <c r="D547" s="54">
        <v>44845</v>
      </c>
      <c r="E547" s="46" t="s">
        <v>1389</v>
      </c>
      <c r="F547" s="51" t="s">
        <v>1112</v>
      </c>
      <c r="G547" s="51" t="s">
        <v>36</v>
      </c>
      <c r="H547" s="51" t="s">
        <v>1113</v>
      </c>
      <c r="I547" s="55" t="s">
        <v>1258</v>
      </c>
      <c r="J547" s="56">
        <v>1200</v>
      </c>
      <c r="K547" s="51" t="s">
        <v>1132</v>
      </c>
      <c r="L547" s="58">
        <v>972000</v>
      </c>
      <c r="M547" s="50">
        <f>ROUND('FA Addition'!$L547*5%,0.1)</f>
        <v>48600</v>
      </c>
      <c r="N547" s="113" t="str">
        <f>_xlfn.XLOOKUP(_xlfn.CONCAT(E547,B547),'Year Wise Master Dep Approach'!F:F,'Year Wise Master Dep Approach'!D:D)</f>
        <v>SLM</v>
      </c>
      <c r="O547" s="113">
        <f>_xlfn.XLOOKUP(_xlfn.CONCAT(E547,B547),'Year Wise Master Dep Approach'!F:F,'Year Wise Master Dep Approach'!E:E)</f>
        <v>3</v>
      </c>
      <c r="P547" s="114">
        <f>IFERROR(IF('FA Addition'!$N547="WDV",1-('FA Addition'!$M547/'FA Addition'!$L547)^(1/'FA Addition'!$O547),1/'FA Addition'!$O547),0)</f>
        <v>0.33333333333333331</v>
      </c>
      <c r="Q547" s="122">
        <f>'FA Addition'!$P547*'FA Addition'!$O547</f>
        <v>1</v>
      </c>
      <c r="R547" s="122"/>
      <c r="S547" s="116">
        <f>IF(AND(DATE(20&amp;LEFT(FAAddition[[#This Row],[FY]],2),4,1)&lt;$L$1+1,DATE(20&amp;LEFT(FAAddition[[#This Row],[FY]],2),4,1)&gt;$P$1-1),'FA Addition'!$J547,0)</f>
        <v>0</v>
      </c>
      <c r="U547" s="117">
        <f>S547*'FA Addition'!$L547/'FA Addition'!$J547</f>
        <v>0</v>
      </c>
      <c r="W547" s="116">
        <f>SUMIFS('FA Write off'!D:D,'FA Write off'!A:A,'FA Addition'!$A547,'FA Write off'!C:C,"&lt;"&amp;'FA Addition'!$P$1)</f>
        <v>0</v>
      </c>
      <c r="Y547" s="191">
        <f>IFERROR(W547/'FA Addition'!$J547*'FA Addition'!$L547,0)</f>
        <v>0</v>
      </c>
      <c r="AA547" s="116">
        <f>SUMIFS('FA Write off'!D:D,'FA Write off'!A:A,'FA Addition'!$A547,'FA Write off'!C:C,"&lt;"&amp;'FA Addition'!$L$1+1,'FA Write off'!C:C,"&gt;"&amp;'FA Addition'!$L$1-365)</f>
        <v>686.83333333333337</v>
      </c>
      <c r="AC547" s="117">
        <f>IFERROR(AA547/'FA Addition'!$J547*'FA Addition'!$L547,0)</f>
        <v>556335</v>
      </c>
      <c r="AE547" s="117">
        <f>IF(AND('FA Addition'!$D547&lt;$P$1+1,U547=0),'FA Addition'!$L547,0)-Y547</f>
        <v>972000</v>
      </c>
      <c r="AF547" s="117">
        <f t="shared" si="40"/>
        <v>415665</v>
      </c>
      <c r="AG547" s="117">
        <f>MIN(MAX(+$P$1-'FA Addition'!$D547,0),365*'FA Addition'!$O547)</f>
        <v>172</v>
      </c>
      <c r="AH547" s="117">
        <f>MIN(MAX($L$1-'FA Addition'!$D547+1,0),365*'FA Addition'!$O547)</f>
        <v>538</v>
      </c>
      <c r="AI547" s="117" cm="1">
        <f t="array" ref="AI547">_xlfn.XLOOKUP(1,('FA Write off'!A:A='FA Addition'!$A547)*('FA Write off'!D:D=AA547),'FA Write off'!H:H,0,0)</f>
        <v>538</v>
      </c>
      <c r="AJ547" s="117">
        <f>IF(AC547&gt;0,MAX(IF('FA Addition'!$N547="SLM",($AC547-'FA Addition'!$M547)*'FA Addition'!$P547*AI547/365,(AC547-'FA Addition'!$M547)*(1-(1-'FA Addition'!$P547)^(AI547/365))),0),0)</f>
        <v>249462.49315068492</v>
      </c>
      <c r="AL547" s="117">
        <f>MAX(IF(AG547&gt;0,IF('FA Addition'!$N547="SLM",($AE547-'FA Addition'!$M547)*'FA Addition'!$P547*AG547/365,IFERROR(VDB(AE547,AE547*0.05,'FA Addition'!$O547,0,YEARFRAC('FA Addition'!$C547,$P$1-1,3),'FA Addition'!$Q547),FAAddition[[#This Row],[Original Cost (Rs)]]-FAAddition[[#This Row],[Salvage Value]])),0),0)</f>
        <v>145045.4794520548</v>
      </c>
      <c r="AM547" s="119"/>
      <c r="AN547" s="117">
        <f>MAX(IF(AH547&gt;0,IF('FA Addition'!$N547="SLM",($AF547-'FA Addition'!$M547)*'FA Addition'!$P547*AH547/365,IFERROR(VDB(AF547,AF547*0.05,'FA Addition'!$O547,0,YEARFRAC('FA Addition'!$C547,$L$1,3),'FA Addition'!$Q547),FAAddition[[#This Row],[Original Cost (Rs)]]-FAAddition[[#This Row],[Salvage Value]])),0),0)</f>
        <v>180347.91780821918</v>
      </c>
      <c r="AO547" s="117">
        <f t="shared" si="43"/>
        <v>284764.9315068493</v>
      </c>
      <c r="AP547" s="206"/>
      <c r="AQ547" s="117">
        <f t="shared" si="41"/>
        <v>826954.52054794517</v>
      </c>
      <c r="AR547" s="120">
        <f t="shared" si="42"/>
        <v>235317.08219178082</v>
      </c>
      <c r="AS547" s="121"/>
    </row>
    <row r="548" spans="1:45" ht="13.5" x14ac:dyDescent="0.4">
      <c r="A548" s="12">
        <f t="shared" si="44"/>
        <v>545</v>
      </c>
      <c r="B548" s="64" t="s">
        <v>1089</v>
      </c>
      <c r="C548" s="54">
        <v>44849</v>
      </c>
      <c r="D548" s="54">
        <v>44849</v>
      </c>
      <c r="E548" s="46" t="s">
        <v>32</v>
      </c>
      <c r="F548" s="51" t="s">
        <v>1090</v>
      </c>
      <c r="G548" s="51" t="s">
        <v>433</v>
      </c>
      <c r="H548" s="51" t="s">
        <v>32</v>
      </c>
      <c r="I548" s="55" t="s">
        <v>1259</v>
      </c>
      <c r="J548" s="56">
        <v>500</v>
      </c>
      <c r="K548" s="51" t="s">
        <v>1260</v>
      </c>
      <c r="L548" s="58">
        <v>550000</v>
      </c>
      <c r="M548" s="50">
        <f>ROUND('FA Addition'!$L548*5%,0.1)</f>
        <v>27500</v>
      </c>
      <c r="N548" s="113" t="str">
        <f>_xlfn.XLOOKUP(_xlfn.CONCAT(E548,B548),'Year Wise Master Dep Approach'!F:F,'Year Wise Master Dep Approach'!D:D)</f>
        <v>WDV</v>
      </c>
      <c r="O548" s="113">
        <f>_xlfn.XLOOKUP(_xlfn.CONCAT(E548,B548),'Year Wise Master Dep Approach'!F:F,'Year Wise Master Dep Approach'!E:E)</f>
        <v>3</v>
      </c>
      <c r="P548" s="114">
        <f>IFERROR(IF('FA Addition'!$N548="WDV",1-('FA Addition'!$M548/'FA Addition'!$L548)^(1/'FA Addition'!$O548),1/'FA Addition'!$O548),0)</f>
        <v>0.63159685013596123</v>
      </c>
      <c r="Q548" s="122">
        <f>'FA Addition'!$P548*'FA Addition'!$O548</f>
        <v>1.8947905504078837</v>
      </c>
      <c r="R548" s="122"/>
      <c r="S548" s="116">
        <f>IF(AND(DATE(20&amp;LEFT(FAAddition[[#This Row],[FY]],2),4,1)&lt;$L$1+1,DATE(20&amp;LEFT(FAAddition[[#This Row],[FY]],2),4,1)&gt;$P$1-1),'FA Addition'!$J548,0)</f>
        <v>0</v>
      </c>
      <c r="U548" s="117">
        <f>S548*'FA Addition'!$L548/'FA Addition'!$J548</f>
        <v>0</v>
      </c>
      <c r="W548" s="116">
        <f>SUMIFS('FA Write off'!D:D,'FA Write off'!A:A,'FA Addition'!$A548,'FA Write off'!C:C,"&lt;"&amp;'FA Addition'!$P$1)</f>
        <v>8</v>
      </c>
      <c r="Y548" s="191">
        <f>IFERROR(W548/'FA Addition'!$J548*'FA Addition'!$L548,0)</f>
        <v>8800</v>
      </c>
      <c r="AA548" s="116">
        <f>SUMIFS('FA Write off'!D:D,'FA Write off'!A:A,'FA Addition'!$A548,'FA Write off'!C:C,"&lt;"&amp;'FA Addition'!$L$1+1,'FA Write off'!C:C,"&gt;"&amp;'FA Addition'!$L$1-365)</f>
        <v>0</v>
      </c>
      <c r="AC548" s="191">
        <f>IFERROR(AA548/'FA Addition'!$J548*'FA Addition'!$L548,0)</f>
        <v>0</v>
      </c>
      <c r="AE548" s="117">
        <f>IF(AND('FA Addition'!$D548&lt;$P$1+1,U548=0),'FA Addition'!$L548,0)-Y548</f>
        <v>541200</v>
      </c>
      <c r="AF548" s="117">
        <f t="shared" si="40"/>
        <v>541200</v>
      </c>
      <c r="AG548" s="117">
        <f>MIN(MAX(+$P$1-'FA Addition'!$D548,0),365*'FA Addition'!$O548)</f>
        <v>168</v>
      </c>
      <c r="AH548" s="117">
        <f>MIN(MAX($L$1-'FA Addition'!$D548+1,0),365*'FA Addition'!$O548)</f>
        <v>534</v>
      </c>
      <c r="AI548" s="117" cm="1">
        <f t="array" ref="AI548">_xlfn.XLOOKUP(1,('FA Write off'!A:A='FA Addition'!$A548)*('FA Write off'!D:D=AA548),'FA Write off'!H:H,0,0)</f>
        <v>0</v>
      </c>
      <c r="AJ548" s="117">
        <f>IF(AC548&gt;0,MAX(IF('FA Addition'!$N548="SLM",($AC548-'FA Addition'!$M548)*'FA Addition'!$P548*AI548/365,(AC548-'FA Addition'!$M548)*(1-(1-'FA Addition'!$P548)^(AI548/365))),0),0)</f>
        <v>0</v>
      </c>
      <c r="AL548" s="117">
        <f>MAX(IF(AG548&gt;0,IF('FA Addition'!$N548="SLM",($AE548-'FA Addition'!$M548)*'FA Addition'!$P548*AG548/365,IFERROR(VDB(AE548,AE548*0.05,'FA Addition'!$O548,0,YEARFRAC('FA Addition'!$C548,$P$1-1,3),'FA Addition'!$Q548),FAAddition[[#This Row],[Original Cost (Rs)]]-FAAddition[[#This Row],[Salvage Value]])),0),0)</f>
        <v>156394.45466857051</v>
      </c>
      <c r="AM548" s="119"/>
      <c r="AN548" s="117">
        <f>MAX(IF(AH548&gt;0,IF('FA Addition'!$N548="SLM",($AF548-'FA Addition'!$M548)*'FA Addition'!$P548*AH548/365,IFERROR(VDB(AF548,AF548*0.05,'FA Addition'!$O548,0,YEARFRAC('FA Addition'!$C548,$L$1,3),'FA Addition'!$Q548),FAAddition[[#This Row],[Original Cost (Rs)]]-FAAddition[[#This Row],[Salvage Value]])),0),0)</f>
        <v>399781.43225859158</v>
      </c>
      <c r="AO548" s="117">
        <f t="shared" si="43"/>
        <v>243386.97759002107</v>
      </c>
      <c r="AP548" s="206"/>
      <c r="AQ548" s="117">
        <f t="shared" si="41"/>
        <v>384805.54533142946</v>
      </c>
      <c r="AR548" s="120">
        <f t="shared" si="42"/>
        <v>141418.56774140842</v>
      </c>
      <c r="AS548" s="121"/>
    </row>
    <row r="549" spans="1:45" ht="13.5" x14ac:dyDescent="0.4">
      <c r="A549" s="12">
        <f t="shared" si="44"/>
        <v>546</v>
      </c>
      <c r="B549" s="64" t="s">
        <v>1089</v>
      </c>
      <c r="C549" s="54">
        <v>44851</v>
      </c>
      <c r="D549" s="54">
        <v>44851</v>
      </c>
      <c r="E549" s="46" t="s">
        <v>451</v>
      </c>
      <c r="F549" s="51" t="s">
        <v>1133</v>
      </c>
      <c r="G549" s="51" t="s">
        <v>1134</v>
      </c>
      <c r="H549" s="51" t="s">
        <v>21</v>
      </c>
      <c r="I549" s="55" t="s">
        <v>1261</v>
      </c>
      <c r="J549" s="56">
        <v>1</v>
      </c>
      <c r="K549" s="51" t="s">
        <v>1233</v>
      </c>
      <c r="L549" s="58">
        <v>28805</v>
      </c>
      <c r="M549" s="50">
        <f>ROUND('FA Addition'!$L549*5%,0.1)</f>
        <v>1440</v>
      </c>
      <c r="N549" s="113" t="str">
        <f>_xlfn.XLOOKUP(_xlfn.CONCAT(E549,B549),'Year Wise Master Dep Approach'!F:F,'Year Wise Master Dep Approach'!D:D)</f>
        <v>WDV</v>
      </c>
      <c r="O549" s="113">
        <f>_xlfn.XLOOKUP(_xlfn.CONCAT(E549,B549),'Year Wise Master Dep Approach'!F:F,'Year Wise Master Dep Approach'!E:E)</f>
        <v>3</v>
      </c>
      <c r="P549" s="114">
        <f>IFERROR(IF('FA Addition'!$N549="WDV",1-('FA Addition'!$M549/'FA Addition'!$L549)^(1/'FA Addition'!$O549),1/'FA Addition'!$O549),0)</f>
        <v>0.63161816729547327</v>
      </c>
      <c r="Q549" s="122">
        <f>'FA Addition'!$P549*'FA Addition'!$O549</f>
        <v>1.8948545018864198</v>
      </c>
      <c r="R549" s="122"/>
      <c r="S549" s="116">
        <f>IF(AND(DATE(20&amp;LEFT(FAAddition[[#This Row],[FY]],2),4,1)&lt;$L$1+1,DATE(20&amp;LEFT(FAAddition[[#This Row],[FY]],2),4,1)&gt;$P$1-1),'FA Addition'!$J549,0)</f>
        <v>0</v>
      </c>
      <c r="U549" s="117">
        <f>S549*'FA Addition'!$L549/'FA Addition'!$J549</f>
        <v>0</v>
      </c>
      <c r="W549" s="116">
        <f>SUMIFS('FA Write off'!D:D,'FA Write off'!A:A,'FA Addition'!$A549,'FA Write off'!C:C,"&lt;"&amp;'FA Addition'!$P$1)</f>
        <v>0</v>
      </c>
      <c r="Y549" s="191">
        <f>IFERROR(W549/'FA Addition'!$J549*'FA Addition'!$L549,0)</f>
        <v>0</v>
      </c>
      <c r="AA549" s="116">
        <f>SUMIFS('FA Write off'!D:D,'FA Write off'!A:A,'FA Addition'!$A549,'FA Write off'!C:C,"&lt;"&amp;'FA Addition'!$L$1+1,'FA Write off'!C:C,"&gt;"&amp;'FA Addition'!$L$1-365)</f>
        <v>0</v>
      </c>
      <c r="AC549" s="118">
        <f>IFERROR(AA549/'FA Addition'!$J549*'FA Addition'!$L549,0)</f>
        <v>0</v>
      </c>
      <c r="AE549" s="117">
        <f>IF(AND('FA Addition'!$D549&lt;$P$1+1,U549=0),'FA Addition'!$L549,0)-Y549</f>
        <v>28805</v>
      </c>
      <c r="AF549" s="117">
        <f t="shared" si="40"/>
        <v>28805</v>
      </c>
      <c r="AG549" s="117">
        <f>MIN(MAX(+$P$1-'FA Addition'!$D549,0),365*'FA Addition'!$O549)</f>
        <v>166</v>
      </c>
      <c r="AH549" s="117">
        <f>MIN(MAX($L$1-'FA Addition'!$D549+1,0),365*'FA Addition'!$O549)</f>
        <v>532</v>
      </c>
      <c r="AI549" s="117" cm="1">
        <f t="array" ref="AI549">_xlfn.XLOOKUP(1,('FA Write off'!A:A='FA Addition'!$A549)*('FA Write off'!D:D=AA549),'FA Write off'!H:H,0,0)</f>
        <v>0</v>
      </c>
      <c r="AJ549" s="117">
        <f>IF(AC549&gt;0,MAX(IF('FA Addition'!$N549="SLM",($AC549-'FA Addition'!$M549)*'FA Addition'!$P549*AI549/365,(AC549-'FA Addition'!$M549)*(1-(1-'FA Addition'!$P549)^(AI549/365))),0),0)</f>
        <v>0</v>
      </c>
      <c r="AL549" s="117">
        <f>MAX(IF(AG549&gt;0,IF('FA Addition'!$N549="SLM",($AE549-'FA Addition'!$M549)*'FA Addition'!$P549*AG549/365,IFERROR(VDB(AE549,AE549*0.05,'FA Addition'!$O549,0,YEARFRAC('FA Addition'!$C549,$P$1-1,3),'FA Addition'!$Q549),FAAddition[[#This Row],[Original Cost (Rs)]]-FAAddition[[#This Row],[Salvage Value]])),0),0)</f>
        <v>8224.5770300715285</v>
      </c>
      <c r="AM549" s="119"/>
      <c r="AN549" s="117">
        <f>MAX(IF(AH549&gt;0,IF('FA Addition'!$N549="SLM",($AF549-'FA Addition'!$M549)*'FA Addition'!$P549*AH549/365,IFERROR(VDB(AF549,AF549*0.05,'FA Addition'!$O549,0,YEARFRAC('FA Addition'!$C549,$L$1,3),'FA Addition'!$Q549),FAAddition[[#This Row],[Original Cost (Rs)]]-FAAddition[[#This Row],[Salvage Value]])),0),0)</f>
        <v>21241.908400379514</v>
      </c>
      <c r="AO549" s="117">
        <f t="shared" si="43"/>
        <v>13017.331370307986</v>
      </c>
      <c r="AP549" s="206"/>
      <c r="AQ549" s="117">
        <f t="shared" si="41"/>
        <v>20580.42296992847</v>
      </c>
      <c r="AR549" s="120">
        <f t="shared" si="42"/>
        <v>7563.0915996204858</v>
      </c>
      <c r="AS549" s="121"/>
    </row>
    <row r="550" spans="1:45" ht="13.5" x14ac:dyDescent="0.4">
      <c r="A550" s="12">
        <f t="shared" si="44"/>
        <v>547</v>
      </c>
      <c r="B550" s="64" t="s">
        <v>1089</v>
      </c>
      <c r="C550" s="54">
        <v>44852</v>
      </c>
      <c r="D550" s="54">
        <v>44852</v>
      </c>
      <c r="E550" s="46" t="s">
        <v>451</v>
      </c>
      <c r="F550" s="51" t="s">
        <v>1133</v>
      </c>
      <c r="G550" s="51" t="s">
        <v>1134</v>
      </c>
      <c r="H550" s="51" t="s">
        <v>21</v>
      </c>
      <c r="I550" s="55" t="s">
        <v>1262</v>
      </c>
      <c r="J550" s="56">
        <v>1</v>
      </c>
      <c r="K550" s="51" t="s">
        <v>1233</v>
      </c>
      <c r="L550" s="58">
        <v>28805</v>
      </c>
      <c r="M550" s="50">
        <f>ROUND('FA Addition'!$L550*5%,0.1)</f>
        <v>1440</v>
      </c>
      <c r="N550" s="113" t="str">
        <f>_xlfn.XLOOKUP(_xlfn.CONCAT(E550,B550),'Year Wise Master Dep Approach'!F:F,'Year Wise Master Dep Approach'!D:D)</f>
        <v>WDV</v>
      </c>
      <c r="O550" s="113">
        <f>_xlfn.XLOOKUP(_xlfn.CONCAT(E550,B550),'Year Wise Master Dep Approach'!F:F,'Year Wise Master Dep Approach'!E:E)</f>
        <v>3</v>
      </c>
      <c r="P550" s="114">
        <f>IFERROR(IF('FA Addition'!$N550="WDV",1-('FA Addition'!$M550/'FA Addition'!$L550)^(1/'FA Addition'!$O550),1/'FA Addition'!$O550),0)</f>
        <v>0.63161816729547327</v>
      </c>
      <c r="Q550" s="122">
        <f>'FA Addition'!$P550*'FA Addition'!$O550</f>
        <v>1.8948545018864198</v>
      </c>
      <c r="R550" s="122"/>
      <c r="S550" s="116">
        <f>IF(AND(DATE(20&amp;LEFT(FAAddition[[#This Row],[FY]],2),4,1)&lt;$L$1+1,DATE(20&amp;LEFT(FAAddition[[#This Row],[FY]],2),4,1)&gt;$P$1-1),'FA Addition'!$J550,0)</f>
        <v>0</v>
      </c>
      <c r="U550" s="117">
        <f>S550*'FA Addition'!$L550/'FA Addition'!$J550</f>
        <v>0</v>
      </c>
      <c r="W550" s="116">
        <f>SUMIFS('FA Write off'!D:D,'FA Write off'!A:A,'FA Addition'!$A550,'FA Write off'!C:C,"&lt;"&amp;'FA Addition'!$P$1)</f>
        <v>0</v>
      </c>
      <c r="Y550" s="191">
        <f>IFERROR(W550/'FA Addition'!$J550*'FA Addition'!$L550,0)</f>
        <v>0</v>
      </c>
      <c r="AA550" s="116">
        <f>SUMIFS('FA Write off'!D:D,'FA Write off'!A:A,'FA Addition'!$A550,'FA Write off'!C:C,"&lt;"&amp;'FA Addition'!$L$1+1,'FA Write off'!C:C,"&gt;"&amp;'FA Addition'!$L$1-365)</f>
        <v>0</v>
      </c>
      <c r="AC550" s="118">
        <f>IFERROR(AA550/'FA Addition'!$J550*'FA Addition'!$L550,0)</f>
        <v>0</v>
      </c>
      <c r="AE550" s="117">
        <f>IF(AND('FA Addition'!$D550&lt;$P$1+1,U550=0),'FA Addition'!$L550,0)-Y550</f>
        <v>28805</v>
      </c>
      <c r="AF550" s="117">
        <f t="shared" si="40"/>
        <v>28805</v>
      </c>
      <c r="AG550" s="117">
        <f>MIN(MAX(+$P$1-'FA Addition'!$D550,0),365*'FA Addition'!$O550)</f>
        <v>165</v>
      </c>
      <c r="AH550" s="117">
        <f>MIN(MAX($L$1-'FA Addition'!$D550+1,0),365*'FA Addition'!$O550)</f>
        <v>531</v>
      </c>
      <c r="AI550" s="117" cm="1">
        <f t="array" ref="AI550">_xlfn.XLOOKUP(1,('FA Write off'!A:A='FA Addition'!$A550)*('FA Write off'!D:D=AA550),'FA Write off'!H:H,0,0)</f>
        <v>0</v>
      </c>
      <c r="AJ550" s="117">
        <f>IF(AC550&gt;0,MAX(IF('FA Addition'!$N550="SLM",($AC550-'FA Addition'!$M550)*'FA Addition'!$P550*AI550/365,(AC550-'FA Addition'!$M550)*(1-(1-'FA Addition'!$P550)^(AI550/365))),0),0)</f>
        <v>0</v>
      </c>
      <c r="AL550" s="117">
        <f>MAX(IF(AG550&gt;0,IF('FA Addition'!$N550="SLM",($AE550-'FA Addition'!$M550)*'FA Addition'!$P550*AG550/365,IFERROR(VDB(AE550,AE550*0.05,'FA Addition'!$O550,0,YEARFRAC('FA Addition'!$C550,$P$1-1,3),'FA Addition'!$Q550),FAAddition[[#This Row],[Original Cost (Rs)]]-FAAddition[[#This Row],[Salvage Value]])),0),0)</f>
        <v>8174.7311086771551</v>
      </c>
      <c r="AM550" s="119"/>
      <c r="AN550" s="117">
        <f>MAX(IF(AH550&gt;0,IF('FA Addition'!$N550="SLM",($AF550-'FA Addition'!$M550)*'FA Addition'!$P550*AH550/365,IFERROR(VDB(AF550,AF550*0.05,'FA Addition'!$O550,0,YEARFRAC('FA Addition'!$C550,$L$1,3),'FA Addition'!$Q550),FAAddition[[#This Row],[Original Cost (Rs)]]-FAAddition[[#This Row],[Salvage Value]])),0),0)</f>
        <v>21223.546068503412</v>
      </c>
      <c r="AO550" s="117">
        <f t="shared" si="43"/>
        <v>13048.814959826257</v>
      </c>
      <c r="AP550" s="206"/>
      <c r="AQ550" s="117">
        <f t="shared" si="41"/>
        <v>20630.268891322845</v>
      </c>
      <c r="AR550" s="120">
        <f t="shared" si="42"/>
        <v>7581.4539314965878</v>
      </c>
      <c r="AS550" s="121"/>
    </row>
    <row r="551" spans="1:45" ht="13.5" x14ac:dyDescent="0.4">
      <c r="A551" s="12">
        <f t="shared" si="44"/>
        <v>548</v>
      </c>
      <c r="B551" s="64" t="s">
        <v>1089</v>
      </c>
      <c r="C551" s="54">
        <v>44852</v>
      </c>
      <c r="D551" s="54">
        <v>44852</v>
      </c>
      <c r="E551" s="46" t="s">
        <v>451</v>
      </c>
      <c r="F551" s="51" t="s">
        <v>1133</v>
      </c>
      <c r="G551" s="51" t="s">
        <v>1134</v>
      </c>
      <c r="H551" s="51" t="s">
        <v>21</v>
      </c>
      <c r="I551" s="55" t="s">
        <v>1263</v>
      </c>
      <c r="J551" s="56">
        <v>1</v>
      </c>
      <c r="K551" s="51" t="s">
        <v>1233</v>
      </c>
      <c r="L551" s="58">
        <v>28805</v>
      </c>
      <c r="M551" s="50">
        <f>ROUND('FA Addition'!$L551*5%,0.1)</f>
        <v>1440</v>
      </c>
      <c r="N551" s="113" t="str">
        <f>_xlfn.XLOOKUP(_xlfn.CONCAT(E551,B551),'Year Wise Master Dep Approach'!F:F,'Year Wise Master Dep Approach'!D:D)</f>
        <v>WDV</v>
      </c>
      <c r="O551" s="113">
        <f>_xlfn.XLOOKUP(_xlfn.CONCAT(E551,B551),'Year Wise Master Dep Approach'!F:F,'Year Wise Master Dep Approach'!E:E)</f>
        <v>3</v>
      </c>
      <c r="P551" s="114">
        <f>IFERROR(IF('FA Addition'!$N551="WDV",1-('FA Addition'!$M551/'FA Addition'!$L551)^(1/'FA Addition'!$O551),1/'FA Addition'!$O551),0)</f>
        <v>0.63161816729547327</v>
      </c>
      <c r="Q551" s="122">
        <f>'FA Addition'!$P551*'FA Addition'!$O551</f>
        <v>1.8948545018864198</v>
      </c>
      <c r="R551" s="122"/>
      <c r="S551" s="116">
        <f>IF(AND(DATE(20&amp;LEFT(FAAddition[[#This Row],[FY]],2),4,1)&lt;$L$1+1,DATE(20&amp;LEFT(FAAddition[[#This Row],[FY]],2),4,1)&gt;$P$1-1),'FA Addition'!$J551,0)</f>
        <v>0</v>
      </c>
      <c r="U551" s="117">
        <f>S551*'FA Addition'!$L551/'FA Addition'!$J551</f>
        <v>0</v>
      </c>
      <c r="W551" s="116">
        <f>SUMIFS('FA Write off'!D:D,'FA Write off'!A:A,'FA Addition'!$A551,'FA Write off'!C:C,"&lt;"&amp;'FA Addition'!$P$1)</f>
        <v>0</v>
      </c>
      <c r="Y551" s="191">
        <f>IFERROR(W551/'FA Addition'!$J551*'FA Addition'!$L551,0)</f>
        <v>0</v>
      </c>
      <c r="AA551" s="116">
        <f>SUMIFS('FA Write off'!D:D,'FA Write off'!A:A,'FA Addition'!$A551,'FA Write off'!C:C,"&lt;"&amp;'FA Addition'!$L$1+1,'FA Write off'!C:C,"&gt;"&amp;'FA Addition'!$L$1-365)</f>
        <v>0</v>
      </c>
      <c r="AC551" s="118">
        <f>IFERROR(AA551/'FA Addition'!$J551*'FA Addition'!$L551,0)</f>
        <v>0</v>
      </c>
      <c r="AE551" s="117">
        <f>IF(AND('FA Addition'!$D551&lt;$P$1+1,U551=0),'FA Addition'!$L551,0)-Y551</f>
        <v>28805</v>
      </c>
      <c r="AF551" s="117">
        <f t="shared" si="40"/>
        <v>28805</v>
      </c>
      <c r="AG551" s="117">
        <f>MIN(MAX(+$P$1-'FA Addition'!$D551,0),365*'FA Addition'!$O551)</f>
        <v>165</v>
      </c>
      <c r="AH551" s="117">
        <f>MIN(MAX($L$1-'FA Addition'!$D551+1,0),365*'FA Addition'!$O551)</f>
        <v>531</v>
      </c>
      <c r="AI551" s="117" cm="1">
        <f t="array" ref="AI551">_xlfn.XLOOKUP(1,('FA Write off'!A:A='FA Addition'!$A551)*('FA Write off'!D:D=AA551),'FA Write off'!H:H,0,0)</f>
        <v>0</v>
      </c>
      <c r="AJ551" s="117">
        <f>IF(AC551&gt;0,MAX(IF('FA Addition'!$N551="SLM",($AC551-'FA Addition'!$M551)*'FA Addition'!$P551*AI551/365,(AC551-'FA Addition'!$M551)*(1-(1-'FA Addition'!$P551)^(AI551/365))),0),0)</f>
        <v>0</v>
      </c>
      <c r="AL551" s="117">
        <f>MAX(IF(AG551&gt;0,IF('FA Addition'!$N551="SLM",($AE551-'FA Addition'!$M551)*'FA Addition'!$P551*AG551/365,IFERROR(VDB(AE551,AE551*0.05,'FA Addition'!$O551,0,YEARFRAC('FA Addition'!$C551,$P$1-1,3),'FA Addition'!$Q551),FAAddition[[#This Row],[Original Cost (Rs)]]-FAAddition[[#This Row],[Salvage Value]])),0),0)</f>
        <v>8174.7311086771551</v>
      </c>
      <c r="AM551" s="119"/>
      <c r="AN551" s="117">
        <f>MAX(IF(AH551&gt;0,IF('FA Addition'!$N551="SLM",($AF551-'FA Addition'!$M551)*'FA Addition'!$P551*AH551/365,IFERROR(VDB(AF551,AF551*0.05,'FA Addition'!$O551,0,YEARFRAC('FA Addition'!$C551,$L$1,3),'FA Addition'!$Q551),FAAddition[[#This Row],[Original Cost (Rs)]]-FAAddition[[#This Row],[Salvage Value]])),0),0)</f>
        <v>21223.546068503412</v>
      </c>
      <c r="AO551" s="117">
        <f t="shared" si="43"/>
        <v>13048.814959826257</v>
      </c>
      <c r="AP551" s="206"/>
      <c r="AQ551" s="117">
        <f t="shared" si="41"/>
        <v>20630.268891322845</v>
      </c>
      <c r="AR551" s="120">
        <f t="shared" si="42"/>
        <v>7581.4539314965878</v>
      </c>
      <c r="AS551" s="121"/>
    </row>
    <row r="552" spans="1:45" ht="13.5" x14ac:dyDescent="0.4">
      <c r="A552" s="12">
        <f t="shared" si="44"/>
        <v>549</v>
      </c>
      <c r="B552" s="64" t="s">
        <v>1089</v>
      </c>
      <c r="C552" s="54">
        <v>44852</v>
      </c>
      <c r="D552" s="54">
        <v>44852</v>
      </c>
      <c r="E552" s="46" t="s">
        <v>32</v>
      </c>
      <c r="F552" s="51" t="s">
        <v>1090</v>
      </c>
      <c r="G552" s="51" t="s">
        <v>433</v>
      </c>
      <c r="H552" s="51" t="s">
        <v>32</v>
      </c>
      <c r="I552" s="55" t="s">
        <v>1264</v>
      </c>
      <c r="J552" s="56">
        <v>1900</v>
      </c>
      <c r="K552" s="51" t="s">
        <v>935</v>
      </c>
      <c r="L552" s="58">
        <v>2090000</v>
      </c>
      <c r="M552" s="50">
        <f>ROUND('FA Addition'!$L552*5%,0.1)</f>
        <v>104500</v>
      </c>
      <c r="N552" s="113" t="str">
        <f>_xlfn.XLOOKUP(_xlfn.CONCAT(E552,B552),'Year Wise Master Dep Approach'!F:F,'Year Wise Master Dep Approach'!D:D)</f>
        <v>WDV</v>
      </c>
      <c r="O552" s="113">
        <f>_xlfn.XLOOKUP(_xlfn.CONCAT(E552,B552),'Year Wise Master Dep Approach'!F:F,'Year Wise Master Dep Approach'!E:E)</f>
        <v>3</v>
      </c>
      <c r="P552" s="114">
        <f>IFERROR(IF('FA Addition'!$N552="WDV",1-('FA Addition'!$M552/'FA Addition'!$L552)^(1/'FA Addition'!$O552),1/'FA Addition'!$O552),0)</f>
        <v>0.63159685013596123</v>
      </c>
      <c r="Q552" s="122">
        <f>'FA Addition'!$P552*'FA Addition'!$O552</f>
        <v>1.8947905504078837</v>
      </c>
      <c r="R552" s="122"/>
      <c r="S552" s="116">
        <f>IF(AND(DATE(20&amp;LEFT(FAAddition[[#This Row],[FY]],2),4,1)&lt;$L$1+1,DATE(20&amp;LEFT(FAAddition[[#This Row],[FY]],2),4,1)&gt;$P$1-1),'FA Addition'!$J552,0)</f>
        <v>0</v>
      </c>
      <c r="U552" s="117">
        <f>S552*'FA Addition'!$L552/'FA Addition'!$J552</f>
        <v>0</v>
      </c>
      <c r="W552" s="116">
        <f>SUMIFS('FA Write off'!D:D,'FA Write off'!A:A,'FA Addition'!$A552,'FA Write off'!C:C,"&lt;"&amp;'FA Addition'!$P$1)</f>
        <v>28</v>
      </c>
      <c r="Y552" s="191">
        <f>IFERROR(W552/'FA Addition'!$J552*'FA Addition'!$L552,0)</f>
        <v>30800</v>
      </c>
      <c r="AA552" s="116">
        <f>SUMIFS('FA Write off'!D:D,'FA Write off'!A:A,'FA Addition'!$A552,'FA Write off'!C:C,"&lt;"&amp;'FA Addition'!$L$1+1,'FA Write off'!C:C,"&gt;"&amp;'FA Addition'!$L$1-365)</f>
        <v>565</v>
      </c>
      <c r="AC552" s="191">
        <f>IFERROR(AA552/'FA Addition'!$J552*'FA Addition'!$L552,0)</f>
        <v>621500</v>
      </c>
      <c r="AE552" s="117">
        <f>IF(AND('FA Addition'!$D552&lt;$P$1+1,U552=0),'FA Addition'!$L552,0)-Y552</f>
        <v>2059200</v>
      </c>
      <c r="AF552" s="117">
        <f t="shared" si="40"/>
        <v>1437700</v>
      </c>
      <c r="AG552" s="117">
        <f>MIN(MAX(+$P$1-'FA Addition'!$D552,0),365*'FA Addition'!$O552)</f>
        <v>165</v>
      </c>
      <c r="AH552" s="117">
        <f>MIN(MAX($L$1-'FA Addition'!$D552+1,0),365*'FA Addition'!$O552)</f>
        <v>531</v>
      </c>
      <c r="AI552" s="117" cm="1">
        <f t="array" ref="AI552">_xlfn.XLOOKUP(1,('FA Write off'!A:A='FA Addition'!$A552)*('FA Write off'!D:D=AA552),'FA Write off'!H:H,0,0)</f>
        <v>531</v>
      </c>
      <c r="AJ552" s="117">
        <f>IF(AC552&gt;0,MAX(IF('FA Addition'!$N552="SLM",($AC552-'FA Addition'!$M552)*'FA Addition'!$P552*AI552/365,(AC552-'FA Addition'!$M552)*(1-(1-'FA Addition'!$P552)^(AI552/365))),0),0)</f>
        <v>396057.17551833054</v>
      </c>
      <c r="AL552" s="117">
        <f>MAX(IF(AG552&gt;0,IF('FA Addition'!$N552="SLM",($AE552-'FA Addition'!$M552)*'FA Addition'!$P552*AG552/365,IFERROR(VDB(AE552,AE552*0.05,'FA Addition'!$O552,0,YEARFRAC('FA Addition'!$C552,$P$1-1,3),'FA Addition'!$Q552),FAAddition[[#This Row],[Original Cost (Rs)]]-FAAddition[[#This Row],[Salvage Value]])),0),0)</f>
        <v>584372.09409094602</v>
      </c>
      <c r="AM552" s="119"/>
      <c r="AN552" s="117">
        <f>MAX(IF(AH552&gt;0,IF('FA Addition'!$N552="SLM",($AF552-'FA Addition'!$M552)*'FA Addition'!$P552*AH552/365,IFERROR(VDB(AF552,AF552*0.05,'FA Addition'!$O552,0,YEARFRAC('FA Addition'!$C552,$L$1,3),'FA Addition'!$Q552),FAAddition[[#This Row],[Original Cost (Rs)]]-FAAddition[[#This Row],[Salvage Value]])),0),0)</f>
        <v>1059271.4604855389</v>
      </c>
      <c r="AO552" s="117">
        <f t="shared" si="43"/>
        <v>870956.54191292345</v>
      </c>
      <c r="AP552" s="206"/>
      <c r="AQ552" s="117">
        <f t="shared" si="41"/>
        <v>1474827.905909054</v>
      </c>
      <c r="AR552" s="120">
        <f t="shared" si="42"/>
        <v>378428.53951446107</v>
      </c>
      <c r="AS552" s="121"/>
    </row>
    <row r="553" spans="1:45" ht="13.5" x14ac:dyDescent="0.4">
      <c r="A553" s="12">
        <f t="shared" si="44"/>
        <v>550</v>
      </c>
      <c r="B553" s="64" t="s">
        <v>1089</v>
      </c>
      <c r="C553" s="54">
        <v>44855</v>
      </c>
      <c r="D553" s="54">
        <v>44855</v>
      </c>
      <c r="E553" s="46" t="s">
        <v>1389</v>
      </c>
      <c r="F553" s="51" t="s">
        <v>1112</v>
      </c>
      <c r="G553" s="51" t="s">
        <v>36</v>
      </c>
      <c r="H553" s="51" t="s">
        <v>1113</v>
      </c>
      <c r="I553" s="55" t="s">
        <v>1265</v>
      </c>
      <c r="J553" s="56">
        <v>2000</v>
      </c>
      <c r="K553" s="51" t="s">
        <v>1132</v>
      </c>
      <c r="L553" s="58">
        <v>1560000</v>
      </c>
      <c r="M553" s="50">
        <f>ROUND('FA Addition'!$L553*5%,0.1)</f>
        <v>78000</v>
      </c>
      <c r="N553" s="113" t="str">
        <f>_xlfn.XLOOKUP(_xlfn.CONCAT(E553,B553),'Year Wise Master Dep Approach'!F:F,'Year Wise Master Dep Approach'!D:D)</f>
        <v>SLM</v>
      </c>
      <c r="O553" s="113">
        <f>_xlfn.XLOOKUP(_xlfn.CONCAT(E553,B553),'Year Wise Master Dep Approach'!F:F,'Year Wise Master Dep Approach'!E:E)</f>
        <v>3</v>
      </c>
      <c r="P553" s="114">
        <f>IFERROR(IF('FA Addition'!$N553="WDV",1-('FA Addition'!$M553/'FA Addition'!$L553)^(1/'FA Addition'!$O553),1/'FA Addition'!$O553),0)</f>
        <v>0.33333333333333331</v>
      </c>
      <c r="Q553" s="122">
        <f>'FA Addition'!$P553*'FA Addition'!$O553</f>
        <v>1</v>
      </c>
      <c r="R553" s="122"/>
      <c r="S553" s="116">
        <f>IF(AND(DATE(20&amp;LEFT(FAAddition[[#This Row],[FY]],2),4,1)&lt;$L$1+1,DATE(20&amp;LEFT(FAAddition[[#This Row],[FY]],2),4,1)&gt;$P$1-1),'FA Addition'!$J553,0)</f>
        <v>0</v>
      </c>
      <c r="U553" s="117">
        <f>S553*'FA Addition'!$L553/'FA Addition'!$J553</f>
        <v>0</v>
      </c>
      <c r="W553" s="116">
        <f>SUMIFS('FA Write off'!D:D,'FA Write off'!A:A,'FA Addition'!$A553,'FA Write off'!C:C,"&lt;"&amp;'FA Addition'!$P$1)</f>
        <v>0</v>
      </c>
      <c r="Y553" s="191">
        <f>IFERROR(W553/'FA Addition'!$J553*'FA Addition'!$L553,0)</f>
        <v>0</v>
      </c>
      <c r="AA553" s="116">
        <f>SUMIFS('FA Write off'!D:D,'FA Write off'!A:A,'FA Addition'!$A553,'FA Write off'!C:C,"&lt;"&amp;'FA Addition'!$L$1+1,'FA Write off'!C:C,"&gt;"&amp;'FA Addition'!$L$1-365)</f>
        <v>0</v>
      </c>
      <c r="AC553" s="118">
        <f>IFERROR(AA553/'FA Addition'!$J553*'FA Addition'!$L553,0)</f>
        <v>0</v>
      </c>
      <c r="AE553" s="117">
        <f>IF(AND('FA Addition'!$D553&lt;$P$1+1,U553=0),'FA Addition'!$L553,0)-Y553</f>
        <v>1560000</v>
      </c>
      <c r="AF553" s="117">
        <f t="shared" si="40"/>
        <v>1560000</v>
      </c>
      <c r="AG553" s="117">
        <f>MIN(MAX(+$P$1-'FA Addition'!$D553,0),365*'FA Addition'!$O553)</f>
        <v>162</v>
      </c>
      <c r="AH553" s="117">
        <f>MIN(MAX($L$1-'FA Addition'!$D553+1,0),365*'FA Addition'!$O553)</f>
        <v>528</v>
      </c>
      <c r="AI553" s="117" cm="1">
        <f t="array" ref="AI553">_xlfn.XLOOKUP(1,('FA Write off'!A:A='FA Addition'!$A553)*('FA Write off'!D:D=AA553),'FA Write off'!H:H,0,0)</f>
        <v>0</v>
      </c>
      <c r="AJ553" s="117">
        <f>IF(AC553&gt;0,MAX(IF('FA Addition'!$N553="SLM",($AC553-'FA Addition'!$M553)*'FA Addition'!$P553*AI553/365,(AC553-'FA Addition'!$M553)*(1-(1-'FA Addition'!$P553)^(AI553/365))),0),0)</f>
        <v>0</v>
      </c>
      <c r="AL553" s="117">
        <f>MAX(IF(AG553&gt;0,IF('FA Addition'!$N553="SLM",($AE553-'FA Addition'!$M553)*'FA Addition'!$P553*AG553/365,IFERROR(VDB(AE553,AE553*0.05,'FA Addition'!$O553,0,YEARFRAC('FA Addition'!$C553,$P$1-1,3),'FA Addition'!$Q553),FAAddition[[#This Row],[Original Cost (Rs)]]-FAAddition[[#This Row],[Salvage Value]])),0),0)</f>
        <v>219254.79452054793</v>
      </c>
      <c r="AM553" s="119"/>
      <c r="AN553" s="117">
        <f>MAX(IF(AH553&gt;0,IF('FA Addition'!$N553="SLM",($AF553-'FA Addition'!$M553)*'FA Addition'!$P553*AH553/365,IFERROR(VDB(AF553,AF553*0.05,'FA Addition'!$O553,0,YEARFRAC('FA Addition'!$C553,$L$1,3),'FA Addition'!$Q553),FAAddition[[#This Row],[Original Cost (Rs)]]-FAAddition[[#This Row],[Salvage Value]])),0),0)</f>
        <v>714608.21917808219</v>
      </c>
      <c r="AO553" s="117">
        <f t="shared" si="43"/>
        <v>495353.42465753423</v>
      </c>
      <c r="AP553" s="206"/>
      <c r="AQ553" s="117">
        <f t="shared" si="41"/>
        <v>1340745.2054794522</v>
      </c>
      <c r="AR553" s="120">
        <f t="shared" si="42"/>
        <v>845391.78082191781</v>
      </c>
      <c r="AS553" s="121"/>
    </row>
    <row r="554" spans="1:45" ht="13.5" x14ac:dyDescent="0.4">
      <c r="A554" s="12">
        <f t="shared" si="44"/>
        <v>551</v>
      </c>
      <c r="B554" s="64" t="s">
        <v>1089</v>
      </c>
      <c r="C554" s="54">
        <v>44865</v>
      </c>
      <c r="D554" s="54">
        <v>44865</v>
      </c>
      <c r="E554" s="46" t="s">
        <v>1389</v>
      </c>
      <c r="F554" s="51" t="s">
        <v>1112</v>
      </c>
      <c r="G554" s="51" t="s">
        <v>36</v>
      </c>
      <c r="H554" s="51" t="s">
        <v>1113</v>
      </c>
      <c r="I554" s="55" t="s">
        <v>1266</v>
      </c>
      <c r="J554" s="56">
        <v>3000</v>
      </c>
      <c r="K554" s="51" t="s">
        <v>1132</v>
      </c>
      <c r="L554" s="58">
        <v>2340000</v>
      </c>
      <c r="M554" s="50">
        <f>ROUND('FA Addition'!$L554*5%,0.1)</f>
        <v>117000</v>
      </c>
      <c r="N554" s="113" t="str">
        <f>_xlfn.XLOOKUP(_xlfn.CONCAT(E554,B554),'Year Wise Master Dep Approach'!F:F,'Year Wise Master Dep Approach'!D:D)</f>
        <v>SLM</v>
      </c>
      <c r="O554" s="113">
        <f>_xlfn.XLOOKUP(_xlfn.CONCAT(E554,B554),'Year Wise Master Dep Approach'!F:F,'Year Wise Master Dep Approach'!E:E)</f>
        <v>3</v>
      </c>
      <c r="P554" s="114">
        <f>IFERROR(IF('FA Addition'!$N554="WDV",1-('FA Addition'!$M554/'FA Addition'!$L554)^(1/'FA Addition'!$O554),1/'FA Addition'!$O554),0)</f>
        <v>0.33333333333333331</v>
      </c>
      <c r="Q554" s="122">
        <f>'FA Addition'!$P554*'FA Addition'!$O554</f>
        <v>1</v>
      </c>
      <c r="R554" s="122"/>
      <c r="S554" s="116">
        <f>IF(AND(DATE(20&amp;LEFT(FAAddition[[#This Row],[FY]],2),4,1)&lt;$L$1+1,DATE(20&amp;LEFT(FAAddition[[#This Row],[FY]],2),4,1)&gt;$P$1-1),'FA Addition'!$J554,0)</f>
        <v>0</v>
      </c>
      <c r="U554" s="117">
        <f>S554*'FA Addition'!$L554/'FA Addition'!$J554</f>
        <v>0</v>
      </c>
      <c r="W554" s="116">
        <f>SUMIFS('FA Write off'!D:D,'FA Write off'!A:A,'FA Addition'!$A554,'FA Write off'!C:C,"&lt;"&amp;'FA Addition'!$P$1)</f>
        <v>0</v>
      </c>
      <c r="Y554" s="191">
        <f>IFERROR(W554/'FA Addition'!$J554*'FA Addition'!$L554,0)</f>
        <v>0</v>
      </c>
      <c r="AA554" s="116">
        <f>SUMIFS('FA Write off'!D:D,'FA Write off'!A:A,'FA Addition'!$A554,'FA Write off'!C:C,"&lt;"&amp;'FA Addition'!$L$1+1,'FA Write off'!C:C,"&gt;"&amp;'FA Addition'!$L$1-365)</f>
        <v>0</v>
      </c>
      <c r="AC554" s="118">
        <f>IFERROR(AA554/'FA Addition'!$J554*'FA Addition'!$L554,0)</f>
        <v>0</v>
      </c>
      <c r="AE554" s="117">
        <f>IF(AND('FA Addition'!$D554&lt;$P$1+1,U554=0),'FA Addition'!$L554,0)-Y554</f>
        <v>2340000</v>
      </c>
      <c r="AF554" s="117">
        <f t="shared" si="40"/>
        <v>2340000</v>
      </c>
      <c r="AG554" s="117">
        <f>MIN(MAX(+$P$1-'FA Addition'!$D554,0),365*'FA Addition'!$O554)</f>
        <v>152</v>
      </c>
      <c r="AH554" s="117">
        <f>MIN(MAX($L$1-'FA Addition'!$D554+1,0),365*'FA Addition'!$O554)</f>
        <v>518</v>
      </c>
      <c r="AI554" s="117" cm="1">
        <f t="array" ref="AI554">_xlfn.XLOOKUP(1,('FA Write off'!A:A='FA Addition'!$A554)*('FA Write off'!D:D=AA554),'FA Write off'!H:H,0,0)</f>
        <v>0</v>
      </c>
      <c r="AJ554" s="117">
        <f>IF(AC554&gt;0,MAX(IF('FA Addition'!$N554="SLM",($AC554-'FA Addition'!$M554)*'FA Addition'!$P554*AI554/365,(AC554-'FA Addition'!$M554)*(1-(1-'FA Addition'!$P554)^(AI554/365))),0),0)</f>
        <v>0</v>
      </c>
      <c r="AL554" s="117">
        <f>MAX(IF(AG554&gt;0,IF('FA Addition'!$N554="SLM",($AE554-'FA Addition'!$M554)*'FA Addition'!$P554*AG554/365,IFERROR(VDB(AE554,AE554*0.05,'FA Addition'!$O554,0,YEARFRAC('FA Addition'!$C554,$P$1-1,3),'FA Addition'!$Q554),FAAddition[[#This Row],[Original Cost (Rs)]]-FAAddition[[#This Row],[Salvage Value]])),0),0)</f>
        <v>308580.82191780821</v>
      </c>
      <c r="AM554" s="119"/>
      <c r="AN554" s="117">
        <f>MAX(IF(AH554&gt;0,IF('FA Addition'!$N554="SLM",($AF554-'FA Addition'!$M554)*'FA Addition'!$P554*AH554/365,IFERROR(VDB(AF554,AF554*0.05,'FA Addition'!$O554,0,YEARFRAC('FA Addition'!$C554,$L$1,3),'FA Addition'!$Q554),FAAddition[[#This Row],[Original Cost (Rs)]]-FAAddition[[#This Row],[Salvage Value]])),0),0)</f>
        <v>1051610.9589041097</v>
      </c>
      <c r="AO554" s="117">
        <f t="shared" si="43"/>
        <v>743030.13698630151</v>
      </c>
      <c r="AP554" s="206"/>
      <c r="AQ554" s="117">
        <f t="shared" si="41"/>
        <v>2031419.1780821919</v>
      </c>
      <c r="AR554" s="120">
        <f t="shared" si="42"/>
        <v>1288389.0410958903</v>
      </c>
      <c r="AS554" s="121"/>
    </row>
    <row r="555" spans="1:45" ht="13.5" x14ac:dyDescent="0.4">
      <c r="A555" s="12">
        <f t="shared" si="44"/>
        <v>552</v>
      </c>
      <c r="B555" s="64" t="s">
        <v>1089</v>
      </c>
      <c r="C555" s="54">
        <v>44866</v>
      </c>
      <c r="D555" s="54">
        <v>44866</v>
      </c>
      <c r="E555" s="46" t="s">
        <v>451</v>
      </c>
      <c r="F555" s="51" t="s">
        <v>1133</v>
      </c>
      <c r="G555" s="51" t="s">
        <v>1267</v>
      </c>
      <c r="H555" s="51" t="s">
        <v>21</v>
      </c>
      <c r="I555" s="55" t="s">
        <v>1268</v>
      </c>
      <c r="J555" s="56">
        <v>1</v>
      </c>
      <c r="K555" s="51" t="s">
        <v>1269</v>
      </c>
      <c r="L555" s="58">
        <v>38990</v>
      </c>
      <c r="M555" s="50">
        <f>ROUND('FA Addition'!$L555*5%,0.1)</f>
        <v>1950</v>
      </c>
      <c r="N555" s="113" t="str">
        <f>_xlfn.XLOOKUP(_xlfn.CONCAT(E555,B555),'Year Wise Master Dep Approach'!F:F,'Year Wise Master Dep Approach'!D:D)</f>
        <v>WDV</v>
      </c>
      <c r="O555" s="113">
        <f>_xlfn.XLOOKUP(_xlfn.CONCAT(E555,B555),'Year Wise Master Dep Approach'!F:F,'Year Wise Master Dep Approach'!E:E)</f>
        <v>3</v>
      </c>
      <c r="P555" s="114">
        <f>IFERROR(IF('FA Addition'!$N555="WDV",1-('FA Addition'!$M555/'FA Addition'!$L555)^(1/'FA Addition'!$O555),1/'FA Addition'!$O555),0)</f>
        <v>0.63156535730371144</v>
      </c>
      <c r="Q555" s="122">
        <f>'FA Addition'!$P555*'FA Addition'!$O555</f>
        <v>1.8946960719111343</v>
      </c>
      <c r="R555" s="122"/>
      <c r="S555" s="116">
        <f>IF(AND(DATE(20&amp;LEFT(FAAddition[[#This Row],[FY]],2),4,1)&lt;$L$1+1,DATE(20&amp;LEFT(FAAddition[[#This Row],[FY]],2),4,1)&gt;$P$1-1),'FA Addition'!$J555,0)</f>
        <v>0</v>
      </c>
      <c r="U555" s="117">
        <f>S555*'FA Addition'!$L555/'FA Addition'!$J555</f>
        <v>0</v>
      </c>
      <c r="W555" s="116">
        <f>SUMIFS('FA Write off'!D:D,'FA Write off'!A:A,'FA Addition'!$A555,'FA Write off'!C:C,"&lt;"&amp;'FA Addition'!$P$1)</f>
        <v>0</v>
      </c>
      <c r="Y555" s="191">
        <f>IFERROR(W555/'FA Addition'!$J555*'FA Addition'!$L555,0)</f>
        <v>0</v>
      </c>
      <c r="AA555" s="116">
        <f>SUMIFS('FA Write off'!D:D,'FA Write off'!A:A,'FA Addition'!$A555,'FA Write off'!C:C,"&lt;"&amp;'FA Addition'!$L$1+1,'FA Write off'!C:C,"&gt;"&amp;'FA Addition'!$L$1-365)</f>
        <v>0</v>
      </c>
      <c r="AC555" s="118">
        <f>IFERROR(AA555/'FA Addition'!$J555*'FA Addition'!$L555,0)</f>
        <v>0</v>
      </c>
      <c r="AE555" s="117">
        <f>IF(AND('FA Addition'!$D555&lt;$P$1+1,U555=0),'FA Addition'!$L555,0)-Y555</f>
        <v>38990</v>
      </c>
      <c r="AF555" s="117">
        <f t="shared" si="40"/>
        <v>38990</v>
      </c>
      <c r="AG555" s="117">
        <f>MIN(MAX(+$P$1-'FA Addition'!$D555,0),365*'FA Addition'!$O555)</f>
        <v>151</v>
      </c>
      <c r="AH555" s="117">
        <f>MIN(MAX($L$1-'FA Addition'!$D555+1,0),365*'FA Addition'!$O555)</f>
        <v>517</v>
      </c>
      <c r="AI555" s="117" cm="1">
        <f t="array" ref="AI555">_xlfn.XLOOKUP(1,('FA Write off'!A:A='FA Addition'!$A555)*('FA Write off'!D:D=AA555),'FA Write off'!H:H,0,0)</f>
        <v>0</v>
      </c>
      <c r="AJ555" s="117">
        <f>IF(AC555&gt;0,MAX(IF('FA Addition'!$N555="SLM",($AC555-'FA Addition'!$M555)*'FA Addition'!$P555*AI555/365,(AC555-'FA Addition'!$M555)*(1-(1-'FA Addition'!$P555)^(AI555/365))),0),0)</f>
        <v>0</v>
      </c>
      <c r="AL555" s="117">
        <f>MAX(IF(AG555&gt;0,IF('FA Addition'!$N555="SLM",($AE555-'FA Addition'!$M555)*'FA Addition'!$P555*AG555/365,IFERROR(VDB(AE555,AE555*0.05,'FA Addition'!$O555,0,YEARFRAC('FA Addition'!$C555,$P$1-1,3),'FA Addition'!$Q555),FAAddition[[#This Row],[Original Cost (Rs)]]-FAAddition[[#This Row],[Salvage Value]])),0),0)</f>
        <v>10119.753403262346</v>
      </c>
      <c r="AM555" s="119"/>
      <c r="AN555" s="117">
        <f>MAX(IF(AH555&gt;0,IF('FA Addition'!$N555="SLM",($AF555-'FA Addition'!$M555)*'FA Addition'!$P555*AH555/365,IFERROR(VDB(AF555,AF555*0.05,'FA Addition'!$O555,0,YEARFRAC('FA Addition'!$C555,$L$1,3),'FA Addition'!$Q555),FAAddition[[#This Row],[Original Cost (Rs)]]-FAAddition[[#This Row],[Salvage Value]])),0),0)</f>
        <v>28378.057462105924</v>
      </c>
      <c r="AO555" s="117">
        <f t="shared" si="43"/>
        <v>18258.304058843576</v>
      </c>
      <c r="AP555" s="206"/>
      <c r="AQ555" s="117">
        <f t="shared" si="41"/>
        <v>28870.246596737656</v>
      </c>
      <c r="AR555" s="120">
        <f t="shared" si="42"/>
        <v>10611.942537894076</v>
      </c>
      <c r="AS555" s="121"/>
    </row>
    <row r="556" spans="1:45" ht="13.5" x14ac:dyDescent="0.4">
      <c r="A556" s="12">
        <f t="shared" si="44"/>
        <v>553</v>
      </c>
      <c r="B556" s="64" t="s">
        <v>1089</v>
      </c>
      <c r="C556" s="54">
        <v>44866</v>
      </c>
      <c r="D556" s="54">
        <v>44866</v>
      </c>
      <c r="E556" s="46" t="s">
        <v>451</v>
      </c>
      <c r="F556" s="51" t="s">
        <v>1133</v>
      </c>
      <c r="G556" s="51" t="s">
        <v>1270</v>
      </c>
      <c r="H556" s="51" t="s">
        <v>21</v>
      </c>
      <c r="I556" s="55" t="s">
        <v>1271</v>
      </c>
      <c r="J556" s="56">
        <v>1</v>
      </c>
      <c r="K556" s="51" t="s">
        <v>1272</v>
      </c>
      <c r="L556" s="58">
        <v>38990</v>
      </c>
      <c r="M556" s="50">
        <f>ROUND('FA Addition'!$L556*5%,0.1)</f>
        <v>1950</v>
      </c>
      <c r="N556" s="113" t="str">
        <f>_xlfn.XLOOKUP(_xlfn.CONCAT(E556,B556),'Year Wise Master Dep Approach'!F:F,'Year Wise Master Dep Approach'!D:D)</f>
        <v>WDV</v>
      </c>
      <c r="O556" s="113">
        <f>_xlfn.XLOOKUP(_xlfn.CONCAT(E556,B556),'Year Wise Master Dep Approach'!F:F,'Year Wise Master Dep Approach'!E:E)</f>
        <v>3</v>
      </c>
      <c r="P556" s="114">
        <f>IFERROR(IF('FA Addition'!$N556="WDV",1-('FA Addition'!$M556/'FA Addition'!$L556)^(1/'FA Addition'!$O556),1/'FA Addition'!$O556),0)</f>
        <v>0.63156535730371144</v>
      </c>
      <c r="Q556" s="122">
        <f>'FA Addition'!$P556*'FA Addition'!$O556</f>
        <v>1.8946960719111343</v>
      </c>
      <c r="R556" s="122"/>
      <c r="S556" s="116">
        <f>IF(AND(DATE(20&amp;LEFT(FAAddition[[#This Row],[FY]],2),4,1)&lt;$L$1+1,DATE(20&amp;LEFT(FAAddition[[#This Row],[FY]],2),4,1)&gt;$P$1-1),'FA Addition'!$J556,0)</f>
        <v>0</v>
      </c>
      <c r="U556" s="117">
        <f>S556*'FA Addition'!$L556/'FA Addition'!$J556</f>
        <v>0</v>
      </c>
      <c r="W556" s="116">
        <f>SUMIFS('FA Write off'!D:D,'FA Write off'!A:A,'FA Addition'!$A556,'FA Write off'!C:C,"&lt;"&amp;'FA Addition'!$P$1)</f>
        <v>0</v>
      </c>
      <c r="Y556" s="191">
        <f>IFERROR(W556/'FA Addition'!$J556*'FA Addition'!$L556,0)</f>
        <v>0</v>
      </c>
      <c r="AA556" s="116">
        <f>SUMIFS('FA Write off'!D:D,'FA Write off'!A:A,'FA Addition'!$A556,'FA Write off'!C:C,"&lt;"&amp;'FA Addition'!$L$1+1,'FA Write off'!C:C,"&gt;"&amp;'FA Addition'!$L$1-365)</f>
        <v>0</v>
      </c>
      <c r="AC556" s="118">
        <f>IFERROR(AA556/'FA Addition'!$J556*'FA Addition'!$L556,0)</f>
        <v>0</v>
      </c>
      <c r="AE556" s="117">
        <f>IF(AND('FA Addition'!$D556&lt;$P$1+1,U556=0),'FA Addition'!$L556,0)-Y556</f>
        <v>38990</v>
      </c>
      <c r="AF556" s="117">
        <f t="shared" si="40"/>
        <v>38990</v>
      </c>
      <c r="AG556" s="117">
        <f>MIN(MAX(+$P$1-'FA Addition'!$D556,0),365*'FA Addition'!$O556)</f>
        <v>151</v>
      </c>
      <c r="AH556" s="117">
        <f>MIN(MAX($L$1-'FA Addition'!$D556+1,0),365*'FA Addition'!$O556)</f>
        <v>517</v>
      </c>
      <c r="AI556" s="117" cm="1">
        <f t="array" ref="AI556">_xlfn.XLOOKUP(1,('FA Write off'!A:A='FA Addition'!$A556)*('FA Write off'!D:D=AA556),'FA Write off'!H:H,0,0)</f>
        <v>0</v>
      </c>
      <c r="AJ556" s="117">
        <f>IF(AC556&gt;0,MAX(IF('FA Addition'!$N556="SLM",($AC556-'FA Addition'!$M556)*'FA Addition'!$P556*AI556/365,(AC556-'FA Addition'!$M556)*(1-(1-'FA Addition'!$P556)^(AI556/365))),0),0)</f>
        <v>0</v>
      </c>
      <c r="AL556" s="117">
        <f>MAX(IF(AG556&gt;0,IF('FA Addition'!$N556="SLM",($AE556-'FA Addition'!$M556)*'FA Addition'!$P556*AG556/365,IFERROR(VDB(AE556,AE556*0.05,'FA Addition'!$O556,0,YEARFRAC('FA Addition'!$C556,$P$1-1,3),'FA Addition'!$Q556),FAAddition[[#This Row],[Original Cost (Rs)]]-FAAddition[[#This Row],[Salvage Value]])),0),0)</f>
        <v>10119.753403262346</v>
      </c>
      <c r="AM556" s="119"/>
      <c r="AN556" s="117">
        <f>MAX(IF(AH556&gt;0,IF('FA Addition'!$N556="SLM",($AF556-'FA Addition'!$M556)*'FA Addition'!$P556*AH556/365,IFERROR(VDB(AF556,AF556*0.05,'FA Addition'!$O556,0,YEARFRAC('FA Addition'!$C556,$L$1,3),'FA Addition'!$Q556),FAAddition[[#This Row],[Original Cost (Rs)]]-FAAddition[[#This Row],[Salvage Value]])),0),0)</f>
        <v>28378.057462105924</v>
      </c>
      <c r="AO556" s="117">
        <f t="shared" si="43"/>
        <v>18258.304058843576</v>
      </c>
      <c r="AP556" s="206"/>
      <c r="AQ556" s="117">
        <f t="shared" si="41"/>
        <v>28870.246596737656</v>
      </c>
      <c r="AR556" s="120">
        <f t="shared" si="42"/>
        <v>10611.942537894076</v>
      </c>
      <c r="AS556" s="121"/>
    </row>
    <row r="557" spans="1:45" ht="13.5" x14ac:dyDescent="0.4">
      <c r="A557" s="12">
        <f t="shared" si="44"/>
        <v>554</v>
      </c>
      <c r="B557" s="64" t="s">
        <v>1089</v>
      </c>
      <c r="C557" s="54">
        <v>44872</v>
      </c>
      <c r="D557" s="54">
        <v>44872</v>
      </c>
      <c r="E557" s="46" t="s">
        <v>207</v>
      </c>
      <c r="F557" s="51" t="s">
        <v>1116</v>
      </c>
      <c r="G557" s="51" t="s">
        <v>880</v>
      </c>
      <c r="H557" s="51" t="s">
        <v>207</v>
      </c>
      <c r="I557" s="55" t="s">
        <v>1273</v>
      </c>
      <c r="J557" s="56">
        <v>1</v>
      </c>
      <c r="K557" s="51" t="s">
        <v>1274</v>
      </c>
      <c r="L557" s="58">
        <v>10169</v>
      </c>
      <c r="M557" s="50">
        <f>ROUND('FA Addition'!$L557*5%,0.1)</f>
        <v>508</v>
      </c>
      <c r="N557" s="113" t="str">
        <f>_xlfn.XLOOKUP(_xlfn.CONCAT(E557,B557),'Year Wise Master Dep Approach'!F:F,'Year Wise Master Dep Approach'!D:D)</f>
        <v>WDV</v>
      </c>
      <c r="O557" s="113">
        <f>_xlfn.XLOOKUP(_xlfn.CONCAT(E557,B557),'Year Wise Master Dep Approach'!F:F,'Year Wise Master Dep Approach'!E:E)</f>
        <v>5</v>
      </c>
      <c r="P557" s="114">
        <f>IFERROR(IF('FA Addition'!$N557="WDV",1-('FA Addition'!$M557/'FA Addition'!$L557)^(1/'FA Addition'!$O557),1/'FA Addition'!$O557),0)</f>
        <v>0.45081699009276344</v>
      </c>
      <c r="Q557" s="122">
        <f>'FA Addition'!$P557*'FA Addition'!$O557</f>
        <v>2.2540849504638172</v>
      </c>
      <c r="R557" s="122"/>
      <c r="S557" s="116">
        <f>IF(AND(DATE(20&amp;LEFT(FAAddition[[#This Row],[FY]],2),4,1)&lt;$L$1+1,DATE(20&amp;LEFT(FAAddition[[#This Row],[FY]],2),4,1)&gt;$P$1-1),'FA Addition'!$J557,0)</f>
        <v>0</v>
      </c>
      <c r="U557" s="117">
        <f>S557*'FA Addition'!$L557/'FA Addition'!$J557</f>
        <v>0</v>
      </c>
      <c r="W557" s="116">
        <f>SUMIFS('FA Write off'!D:D,'FA Write off'!A:A,'FA Addition'!$A557,'FA Write off'!C:C,"&lt;"&amp;'FA Addition'!$P$1)</f>
        <v>0</v>
      </c>
      <c r="Y557" s="191">
        <f>IFERROR(W557/'FA Addition'!$J557*'FA Addition'!$L557,0)</f>
        <v>0</v>
      </c>
      <c r="AA557" s="116">
        <f>SUMIFS('FA Write off'!D:D,'FA Write off'!A:A,'FA Addition'!$A557,'FA Write off'!C:C,"&lt;"&amp;'FA Addition'!$L$1+1,'FA Write off'!C:C,"&gt;"&amp;'FA Addition'!$L$1-365)</f>
        <v>0</v>
      </c>
      <c r="AC557" s="118">
        <f>IFERROR(AA557/'FA Addition'!$J557*'FA Addition'!$L557,0)</f>
        <v>0</v>
      </c>
      <c r="AE557" s="117">
        <f>IF(AND('FA Addition'!$D557&lt;$P$1+1,U557=0),'FA Addition'!$L557,0)-Y557</f>
        <v>10169</v>
      </c>
      <c r="AF557" s="117">
        <f t="shared" si="40"/>
        <v>10169</v>
      </c>
      <c r="AG557" s="117">
        <f>MIN(MAX(+$P$1-'FA Addition'!$D557,0),365*'FA Addition'!$O557)</f>
        <v>145</v>
      </c>
      <c r="AH557" s="117">
        <f>MIN(MAX($L$1-'FA Addition'!$D557+1,0),365*'FA Addition'!$O557)</f>
        <v>511</v>
      </c>
      <c r="AI557" s="117" cm="1">
        <f t="array" ref="AI557">_xlfn.XLOOKUP(1,('FA Write off'!A:A='FA Addition'!$A557)*('FA Write off'!D:D=AA557),'FA Write off'!H:H,0,0)</f>
        <v>0</v>
      </c>
      <c r="AJ557" s="117">
        <f>IF(AC557&gt;0,MAX(IF('FA Addition'!$N557="SLM",($AC557-'FA Addition'!$M557)*'FA Addition'!$P557*AI557/365,(AC557-'FA Addition'!$M557)*(1-(1-'FA Addition'!$P557)^(AI557/365))),0),0)</f>
        <v>0</v>
      </c>
      <c r="AL557" s="117">
        <f>MAX(IF(AG557&gt;0,IF('FA Addition'!$N557="SLM",($AE557-'FA Addition'!$M557)*'FA Addition'!$P557*AG557/365,IFERROR(VDB(AE557,AE557*0.05,'FA Addition'!$O557,0,YEARFRAC('FA Addition'!$C557,$P$1-1,3),'FA Addition'!$Q557),FAAddition[[#This Row],[Original Cost (Rs)]]-FAAddition[[#This Row],[Salvage Value]])),0),0)</f>
        <v>1808.6234191903475</v>
      </c>
      <c r="AM557" s="119"/>
      <c r="AN557" s="117">
        <f>MAX(IF(AH557&gt;0,IF('FA Addition'!$N557="SLM",($AF557-'FA Addition'!$M557)*'FA Addition'!$P557*AH557/365,IFERROR(VDB(AF557,AF557*0.05,'FA Addition'!$O557,0,YEARFRAC('FA Addition'!$C557,$L$1,3),'FA Addition'!$Q557),FAAddition[[#This Row],[Original Cost (Rs)]]-FAAddition[[#This Row],[Salvage Value]])),0),0)</f>
        <v>5584.5209007620097</v>
      </c>
      <c r="AO557" s="117">
        <f t="shared" si="43"/>
        <v>3775.897481571662</v>
      </c>
      <c r="AP557" s="206"/>
      <c r="AQ557" s="117">
        <f t="shared" si="41"/>
        <v>8360.3765808096523</v>
      </c>
      <c r="AR557" s="120">
        <f t="shared" si="42"/>
        <v>4584.4790992379903</v>
      </c>
      <c r="AS557" s="121"/>
    </row>
    <row r="558" spans="1:45" ht="13.5" x14ac:dyDescent="0.4">
      <c r="A558" s="12">
        <f t="shared" si="44"/>
        <v>555</v>
      </c>
      <c r="B558" s="64" t="s">
        <v>1089</v>
      </c>
      <c r="C558" s="54">
        <v>44878</v>
      </c>
      <c r="D558" s="54">
        <v>44878</v>
      </c>
      <c r="E558" s="46" t="s">
        <v>451</v>
      </c>
      <c r="F558" s="51" t="s">
        <v>1133</v>
      </c>
      <c r="G558" s="51" t="s">
        <v>1134</v>
      </c>
      <c r="H558" s="51" t="s">
        <v>21</v>
      </c>
      <c r="I558" s="55" t="s">
        <v>1275</v>
      </c>
      <c r="J558" s="56">
        <v>1</v>
      </c>
      <c r="K558" s="51" t="s">
        <v>1276</v>
      </c>
      <c r="L558" s="58">
        <v>30500</v>
      </c>
      <c r="M558" s="50">
        <f>ROUND('FA Addition'!$L558*5%,0.1)</f>
        <v>1525</v>
      </c>
      <c r="N558" s="113" t="str">
        <f>_xlfn.XLOOKUP(_xlfn.CONCAT(E558,B558),'Year Wise Master Dep Approach'!F:F,'Year Wise Master Dep Approach'!D:D)</f>
        <v>WDV</v>
      </c>
      <c r="O558" s="113">
        <f>_xlfn.XLOOKUP(_xlfn.CONCAT(E558,B558),'Year Wise Master Dep Approach'!F:F,'Year Wise Master Dep Approach'!E:E)</f>
        <v>3</v>
      </c>
      <c r="P558" s="114">
        <f>IFERROR(IF('FA Addition'!$N558="WDV",1-('FA Addition'!$M558/'FA Addition'!$L558)^(1/'FA Addition'!$O558),1/'FA Addition'!$O558),0)</f>
        <v>0.63159685013596123</v>
      </c>
      <c r="Q558" s="122">
        <f>'FA Addition'!$P558*'FA Addition'!$O558</f>
        <v>1.8947905504078837</v>
      </c>
      <c r="R558" s="122"/>
      <c r="S558" s="116">
        <f>IF(AND(DATE(20&amp;LEFT(FAAddition[[#This Row],[FY]],2),4,1)&lt;$L$1+1,DATE(20&amp;LEFT(FAAddition[[#This Row],[FY]],2),4,1)&gt;$P$1-1),'FA Addition'!$J558,0)</f>
        <v>0</v>
      </c>
      <c r="U558" s="117">
        <f>S558*'FA Addition'!$L558/'FA Addition'!$J558</f>
        <v>0</v>
      </c>
      <c r="W558" s="116">
        <f>SUMIFS('FA Write off'!D:D,'FA Write off'!A:A,'FA Addition'!$A558,'FA Write off'!C:C,"&lt;"&amp;'FA Addition'!$P$1)</f>
        <v>0</v>
      </c>
      <c r="Y558" s="191">
        <f>IFERROR(W558/'FA Addition'!$J558*'FA Addition'!$L558,0)</f>
        <v>0</v>
      </c>
      <c r="AA558" s="116">
        <f>SUMIFS('FA Write off'!D:D,'FA Write off'!A:A,'FA Addition'!$A558,'FA Write off'!C:C,"&lt;"&amp;'FA Addition'!$L$1+1,'FA Write off'!C:C,"&gt;"&amp;'FA Addition'!$L$1-365)</f>
        <v>0</v>
      </c>
      <c r="AC558" s="118">
        <f>IFERROR(AA558/'FA Addition'!$J558*'FA Addition'!$L558,0)</f>
        <v>0</v>
      </c>
      <c r="AE558" s="117">
        <f>IF(AND('FA Addition'!$D558&lt;$P$1+1,U558=0),'FA Addition'!$L558,0)-Y558</f>
        <v>30500</v>
      </c>
      <c r="AF558" s="117">
        <f t="shared" si="40"/>
        <v>30500</v>
      </c>
      <c r="AG558" s="117">
        <f>MIN(MAX(+$P$1-'FA Addition'!$D558,0),365*'FA Addition'!$O558)</f>
        <v>139</v>
      </c>
      <c r="AH558" s="117">
        <f>MIN(MAX($L$1-'FA Addition'!$D558+1,0),365*'FA Addition'!$O558)</f>
        <v>505</v>
      </c>
      <c r="AI558" s="117" cm="1">
        <f t="array" ref="AI558">_xlfn.XLOOKUP(1,('FA Write off'!A:A='FA Addition'!$A558)*('FA Write off'!D:D=AA558),'FA Write off'!H:H,0,0)</f>
        <v>0</v>
      </c>
      <c r="AJ558" s="117">
        <f>IF(AC558&gt;0,MAX(IF('FA Addition'!$N558="SLM",($AC558-'FA Addition'!$M558)*'FA Addition'!$P558*AI558/365,(AC558-'FA Addition'!$M558)*(1-(1-'FA Addition'!$P558)^(AI558/365))),0),0)</f>
        <v>0</v>
      </c>
      <c r="AL558" s="117">
        <f>MAX(IF(AG558&gt;0,IF('FA Addition'!$N558="SLM",($AE558-'FA Addition'!$M558)*'FA Addition'!$P558*AG558/365,IFERROR(VDB(AE558,AE558*0.05,'FA Addition'!$O558,0,YEARFRAC('FA Addition'!$C558,$P$1-1,3),'FA Addition'!$Q558),FAAddition[[#This Row],[Original Cost (Rs)]]-FAAddition[[#This Row],[Salvage Value]])),0),0)</f>
        <v>7283.2634033486593</v>
      </c>
      <c r="AM558" s="119"/>
      <c r="AN558" s="117">
        <f>MAX(IF(AH558&gt;0,IF('FA Addition'!$N558="SLM",($AF558-'FA Addition'!$M558)*'FA Addition'!$P558*AH558/365,IFERROR(VDB(AF558,AF558*0.05,'FA Addition'!$O558,0,YEARFRAC('FA Addition'!$C558,$L$1,3),'FA Addition'!$Q558),FAAddition[[#This Row],[Original Cost (Rs)]]-FAAddition[[#This Row],[Salvage Value]])),0),0)</f>
        <v>21966.324421121848</v>
      </c>
      <c r="AO558" s="117">
        <f t="shared" si="43"/>
        <v>14683.061017773189</v>
      </c>
      <c r="AP558" s="206"/>
      <c r="AQ558" s="117">
        <f t="shared" si="41"/>
        <v>23216.736596651339</v>
      </c>
      <c r="AR558" s="120">
        <f t="shared" si="42"/>
        <v>8533.675578878152</v>
      </c>
      <c r="AS558" s="121"/>
    </row>
    <row r="559" spans="1:45" ht="13.5" x14ac:dyDescent="0.4">
      <c r="A559" s="12">
        <f t="shared" si="44"/>
        <v>556</v>
      </c>
      <c r="B559" s="64" t="s">
        <v>1089</v>
      </c>
      <c r="C559" s="54">
        <v>44878</v>
      </c>
      <c r="D559" s="54">
        <v>44878</v>
      </c>
      <c r="E559" s="46" t="s">
        <v>451</v>
      </c>
      <c r="F559" s="51" t="s">
        <v>1133</v>
      </c>
      <c r="G559" s="51" t="s">
        <v>1134</v>
      </c>
      <c r="H559" s="51" t="s">
        <v>21</v>
      </c>
      <c r="I559" s="55" t="s">
        <v>1275</v>
      </c>
      <c r="J559" s="56">
        <v>1</v>
      </c>
      <c r="K559" s="51" t="s">
        <v>1276</v>
      </c>
      <c r="L559" s="58">
        <v>30500</v>
      </c>
      <c r="M559" s="50">
        <f>ROUND('FA Addition'!$L559*5%,0.1)</f>
        <v>1525</v>
      </c>
      <c r="N559" s="113" t="str">
        <f>_xlfn.XLOOKUP(_xlfn.CONCAT(E559,B559),'Year Wise Master Dep Approach'!F:F,'Year Wise Master Dep Approach'!D:D)</f>
        <v>WDV</v>
      </c>
      <c r="O559" s="113">
        <f>_xlfn.XLOOKUP(_xlfn.CONCAT(E559,B559),'Year Wise Master Dep Approach'!F:F,'Year Wise Master Dep Approach'!E:E)</f>
        <v>3</v>
      </c>
      <c r="P559" s="114">
        <f>IFERROR(IF('FA Addition'!$N559="WDV",1-('FA Addition'!$M559/'FA Addition'!$L559)^(1/'FA Addition'!$O559),1/'FA Addition'!$O559),0)</f>
        <v>0.63159685013596123</v>
      </c>
      <c r="Q559" s="122">
        <f>'FA Addition'!$P559*'FA Addition'!$O559</f>
        <v>1.8947905504078837</v>
      </c>
      <c r="R559" s="122"/>
      <c r="S559" s="116">
        <f>IF(AND(DATE(20&amp;LEFT(FAAddition[[#This Row],[FY]],2),4,1)&lt;$L$1+1,DATE(20&amp;LEFT(FAAddition[[#This Row],[FY]],2),4,1)&gt;$P$1-1),'FA Addition'!$J559,0)</f>
        <v>0</v>
      </c>
      <c r="U559" s="117">
        <f>S559*'FA Addition'!$L559/'FA Addition'!$J559</f>
        <v>0</v>
      </c>
      <c r="W559" s="116">
        <f>SUMIFS('FA Write off'!D:D,'FA Write off'!A:A,'FA Addition'!$A559,'FA Write off'!C:C,"&lt;"&amp;'FA Addition'!$P$1)</f>
        <v>0</v>
      </c>
      <c r="Y559" s="191">
        <f>IFERROR(W559/'FA Addition'!$J559*'FA Addition'!$L559,0)</f>
        <v>0</v>
      </c>
      <c r="AA559" s="116">
        <f>SUMIFS('FA Write off'!D:D,'FA Write off'!A:A,'FA Addition'!$A559,'FA Write off'!C:C,"&lt;"&amp;'FA Addition'!$L$1+1,'FA Write off'!C:C,"&gt;"&amp;'FA Addition'!$L$1-365)</f>
        <v>0</v>
      </c>
      <c r="AC559" s="118">
        <f>IFERROR(AA559/'FA Addition'!$J559*'FA Addition'!$L559,0)</f>
        <v>0</v>
      </c>
      <c r="AE559" s="117">
        <f>IF(AND('FA Addition'!$D559&lt;$P$1+1,U559=0),'FA Addition'!$L559,0)-Y559</f>
        <v>30500</v>
      </c>
      <c r="AF559" s="117">
        <f t="shared" si="40"/>
        <v>30500</v>
      </c>
      <c r="AG559" s="117">
        <f>MIN(MAX(+$P$1-'FA Addition'!$D559,0),365*'FA Addition'!$O559)</f>
        <v>139</v>
      </c>
      <c r="AH559" s="117">
        <f>MIN(MAX($L$1-'FA Addition'!$D559+1,0),365*'FA Addition'!$O559)</f>
        <v>505</v>
      </c>
      <c r="AI559" s="117" cm="1">
        <f t="array" ref="AI559">_xlfn.XLOOKUP(1,('FA Write off'!A:A='FA Addition'!$A559)*('FA Write off'!D:D=AA559),'FA Write off'!H:H,0,0)</f>
        <v>0</v>
      </c>
      <c r="AJ559" s="117">
        <f>IF(AC559&gt;0,MAX(IF('FA Addition'!$N559="SLM",($AC559-'FA Addition'!$M559)*'FA Addition'!$P559*AI559/365,(AC559-'FA Addition'!$M559)*(1-(1-'FA Addition'!$P559)^(AI559/365))),0),0)</f>
        <v>0</v>
      </c>
      <c r="AL559" s="117">
        <f>MAX(IF(AG559&gt;0,IF('FA Addition'!$N559="SLM",($AE559-'FA Addition'!$M559)*'FA Addition'!$P559*AG559/365,IFERROR(VDB(AE559,AE559*0.05,'FA Addition'!$O559,0,YEARFRAC('FA Addition'!$C559,$P$1-1,3),'FA Addition'!$Q559),FAAddition[[#This Row],[Original Cost (Rs)]]-FAAddition[[#This Row],[Salvage Value]])),0),0)</f>
        <v>7283.2634033486593</v>
      </c>
      <c r="AM559" s="119"/>
      <c r="AN559" s="117">
        <f>MAX(IF(AH559&gt;0,IF('FA Addition'!$N559="SLM",($AF559-'FA Addition'!$M559)*'FA Addition'!$P559*AH559/365,IFERROR(VDB(AF559,AF559*0.05,'FA Addition'!$O559,0,YEARFRAC('FA Addition'!$C559,$L$1,3),'FA Addition'!$Q559),FAAddition[[#This Row],[Original Cost (Rs)]]-FAAddition[[#This Row],[Salvage Value]])),0),0)</f>
        <v>21966.324421121848</v>
      </c>
      <c r="AO559" s="117">
        <f t="shared" si="43"/>
        <v>14683.061017773189</v>
      </c>
      <c r="AP559" s="206"/>
      <c r="AQ559" s="117">
        <f t="shared" si="41"/>
        <v>23216.736596651339</v>
      </c>
      <c r="AR559" s="120">
        <f t="shared" si="42"/>
        <v>8533.675578878152</v>
      </c>
      <c r="AS559" s="121"/>
    </row>
    <row r="560" spans="1:45" ht="13.5" x14ac:dyDescent="0.4">
      <c r="A560" s="12">
        <f t="shared" si="44"/>
        <v>557</v>
      </c>
      <c r="B560" s="64" t="s">
        <v>1089</v>
      </c>
      <c r="C560" s="54">
        <v>44878</v>
      </c>
      <c r="D560" s="54">
        <v>44878</v>
      </c>
      <c r="E560" s="46" t="s">
        <v>451</v>
      </c>
      <c r="F560" s="51" t="s">
        <v>1133</v>
      </c>
      <c r="G560" s="51" t="s">
        <v>1134</v>
      </c>
      <c r="H560" s="51" t="s">
        <v>21</v>
      </c>
      <c r="I560" s="55" t="s">
        <v>1275</v>
      </c>
      <c r="J560" s="56">
        <v>1</v>
      </c>
      <c r="K560" s="51" t="s">
        <v>1276</v>
      </c>
      <c r="L560" s="58">
        <v>30500</v>
      </c>
      <c r="M560" s="50">
        <f>ROUND('FA Addition'!$L560*5%,0.1)</f>
        <v>1525</v>
      </c>
      <c r="N560" s="113" t="str">
        <f>_xlfn.XLOOKUP(_xlfn.CONCAT(E560,B560),'Year Wise Master Dep Approach'!F:F,'Year Wise Master Dep Approach'!D:D)</f>
        <v>WDV</v>
      </c>
      <c r="O560" s="113">
        <f>_xlfn.XLOOKUP(_xlfn.CONCAT(E560,B560),'Year Wise Master Dep Approach'!F:F,'Year Wise Master Dep Approach'!E:E)</f>
        <v>3</v>
      </c>
      <c r="P560" s="114">
        <f>IFERROR(IF('FA Addition'!$N560="WDV",1-('FA Addition'!$M560/'FA Addition'!$L560)^(1/'FA Addition'!$O560),1/'FA Addition'!$O560),0)</f>
        <v>0.63159685013596123</v>
      </c>
      <c r="Q560" s="122">
        <f>'FA Addition'!$P560*'FA Addition'!$O560</f>
        <v>1.8947905504078837</v>
      </c>
      <c r="R560" s="122"/>
      <c r="S560" s="116">
        <f>IF(AND(DATE(20&amp;LEFT(FAAddition[[#This Row],[FY]],2),4,1)&lt;$L$1+1,DATE(20&amp;LEFT(FAAddition[[#This Row],[FY]],2),4,1)&gt;$P$1-1),'FA Addition'!$J560,0)</f>
        <v>0</v>
      </c>
      <c r="U560" s="117">
        <f>S560*'FA Addition'!$L560/'FA Addition'!$J560</f>
        <v>0</v>
      </c>
      <c r="W560" s="116">
        <f>SUMIFS('FA Write off'!D:D,'FA Write off'!A:A,'FA Addition'!$A560,'FA Write off'!C:C,"&lt;"&amp;'FA Addition'!$P$1)</f>
        <v>0</v>
      </c>
      <c r="Y560" s="191">
        <f>IFERROR(W560/'FA Addition'!$J560*'FA Addition'!$L560,0)</f>
        <v>0</v>
      </c>
      <c r="AA560" s="116">
        <f>SUMIFS('FA Write off'!D:D,'FA Write off'!A:A,'FA Addition'!$A560,'FA Write off'!C:C,"&lt;"&amp;'FA Addition'!$L$1+1,'FA Write off'!C:C,"&gt;"&amp;'FA Addition'!$L$1-365)</f>
        <v>0</v>
      </c>
      <c r="AC560" s="118">
        <f>IFERROR(AA560/'FA Addition'!$J560*'FA Addition'!$L560,0)</f>
        <v>0</v>
      </c>
      <c r="AE560" s="117">
        <f>IF(AND('FA Addition'!$D560&lt;$P$1+1,U560=0),'FA Addition'!$L560,0)-Y560</f>
        <v>30500</v>
      </c>
      <c r="AF560" s="117">
        <f t="shared" si="40"/>
        <v>30500</v>
      </c>
      <c r="AG560" s="117">
        <f>MIN(MAX(+$P$1-'FA Addition'!$D560,0),365*'FA Addition'!$O560)</f>
        <v>139</v>
      </c>
      <c r="AH560" s="117">
        <f>MIN(MAX($L$1-'FA Addition'!$D560+1,0),365*'FA Addition'!$O560)</f>
        <v>505</v>
      </c>
      <c r="AI560" s="117" cm="1">
        <f t="array" ref="AI560">_xlfn.XLOOKUP(1,('FA Write off'!A:A='FA Addition'!$A560)*('FA Write off'!D:D=AA560),'FA Write off'!H:H,0,0)</f>
        <v>0</v>
      </c>
      <c r="AJ560" s="117">
        <f>IF(AC560&gt;0,MAX(IF('FA Addition'!$N560="SLM",($AC560-'FA Addition'!$M560)*'FA Addition'!$P560*AI560/365,(AC560-'FA Addition'!$M560)*(1-(1-'FA Addition'!$P560)^(AI560/365))),0),0)</f>
        <v>0</v>
      </c>
      <c r="AL560" s="117">
        <f>MAX(IF(AG560&gt;0,IF('FA Addition'!$N560="SLM",($AE560-'FA Addition'!$M560)*'FA Addition'!$P560*AG560/365,IFERROR(VDB(AE560,AE560*0.05,'FA Addition'!$O560,0,YEARFRAC('FA Addition'!$C560,$P$1-1,3),'FA Addition'!$Q560),FAAddition[[#This Row],[Original Cost (Rs)]]-FAAddition[[#This Row],[Salvage Value]])),0),0)</f>
        <v>7283.2634033486593</v>
      </c>
      <c r="AM560" s="119"/>
      <c r="AN560" s="117">
        <f>MAX(IF(AH560&gt;0,IF('FA Addition'!$N560="SLM",($AF560-'FA Addition'!$M560)*'FA Addition'!$P560*AH560/365,IFERROR(VDB(AF560,AF560*0.05,'FA Addition'!$O560,0,YEARFRAC('FA Addition'!$C560,$L$1,3),'FA Addition'!$Q560),FAAddition[[#This Row],[Original Cost (Rs)]]-FAAddition[[#This Row],[Salvage Value]])),0),0)</f>
        <v>21966.324421121848</v>
      </c>
      <c r="AO560" s="117">
        <f t="shared" si="43"/>
        <v>14683.061017773189</v>
      </c>
      <c r="AP560" s="206"/>
      <c r="AQ560" s="117">
        <f t="shared" si="41"/>
        <v>23216.736596651339</v>
      </c>
      <c r="AR560" s="120">
        <f t="shared" si="42"/>
        <v>8533.675578878152</v>
      </c>
      <c r="AS560" s="121"/>
    </row>
    <row r="561" spans="1:45" ht="13.5" x14ac:dyDescent="0.4">
      <c r="A561" s="12">
        <f t="shared" si="44"/>
        <v>558</v>
      </c>
      <c r="B561" s="64" t="s">
        <v>1089</v>
      </c>
      <c r="C561" s="54">
        <v>44878</v>
      </c>
      <c r="D561" s="54">
        <v>44878</v>
      </c>
      <c r="E561" s="46" t="s">
        <v>451</v>
      </c>
      <c r="F561" s="51" t="s">
        <v>1133</v>
      </c>
      <c r="G561" s="51" t="s">
        <v>1134</v>
      </c>
      <c r="H561" s="51" t="s">
        <v>21</v>
      </c>
      <c r="I561" s="55" t="s">
        <v>1275</v>
      </c>
      <c r="J561" s="56">
        <v>1</v>
      </c>
      <c r="K561" s="51" t="s">
        <v>1276</v>
      </c>
      <c r="L561" s="58">
        <v>30500</v>
      </c>
      <c r="M561" s="50">
        <f>ROUND('FA Addition'!$L561*5%,0.1)</f>
        <v>1525</v>
      </c>
      <c r="N561" s="113" t="str">
        <f>_xlfn.XLOOKUP(_xlfn.CONCAT(E561,B561),'Year Wise Master Dep Approach'!F:F,'Year Wise Master Dep Approach'!D:D)</f>
        <v>WDV</v>
      </c>
      <c r="O561" s="113">
        <f>_xlfn.XLOOKUP(_xlfn.CONCAT(E561,B561),'Year Wise Master Dep Approach'!F:F,'Year Wise Master Dep Approach'!E:E)</f>
        <v>3</v>
      </c>
      <c r="P561" s="114">
        <f>IFERROR(IF('FA Addition'!$N561="WDV",1-('FA Addition'!$M561/'FA Addition'!$L561)^(1/'FA Addition'!$O561),1/'FA Addition'!$O561),0)</f>
        <v>0.63159685013596123</v>
      </c>
      <c r="Q561" s="122">
        <f>'FA Addition'!$P561*'FA Addition'!$O561</f>
        <v>1.8947905504078837</v>
      </c>
      <c r="R561" s="122"/>
      <c r="S561" s="116">
        <f>IF(AND(DATE(20&amp;LEFT(FAAddition[[#This Row],[FY]],2),4,1)&lt;$L$1+1,DATE(20&amp;LEFT(FAAddition[[#This Row],[FY]],2),4,1)&gt;$P$1-1),'FA Addition'!$J561,0)</f>
        <v>0</v>
      </c>
      <c r="U561" s="117">
        <f>S561*'FA Addition'!$L561/'FA Addition'!$J561</f>
        <v>0</v>
      </c>
      <c r="W561" s="116">
        <f>SUMIFS('FA Write off'!D:D,'FA Write off'!A:A,'FA Addition'!$A561,'FA Write off'!C:C,"&lt;"&amp;'FA Addition'!$P$1)</f>
        <v>0</v>
      </c>
      <c r="Y561" s="191">
        <f>IFERROR(W561/'FA Addition'!$J561*'FA Addition'!$L561,0)</f>
        <v>0</v>
      </c>
      <c r="AA561" s="116">
        <f>SUMIFS('FA Write off'!D:D,'FA Write off'!A:A,'FA Addition'!$A561,'FA Write off'!C:C,"&lt;"&amp;'FA Addition'!$L$1+1,'FA Write off'!C:C,"&gt;"&amp;'FA Addition'!$L$1-365)</f>
        <v>0</v>
      </c>
      <c r="AC561" s="118">
        <f>IFERROR(AA561/'FA Addition'!$J561*'FA Addition'!$L561,0)</f>
        <v>0</v>
      </c>
      <c r="AE561" s="117">
        <f>IF(AND('FA Addition'!$D561&lt;$P$1+1,U561=0),'FA Addition'!$L561,0)-Y561</f>
        <v>30500</v>
      </c>
      <c r="AF561" s="117">
        <f t="shared" si="40"/>
        <v>30500</v>
      </c>
      <c r="AG561" s="117">
        <f>MIN(MAX(+$P$1-'FA Addition'!$D561,0),365*'FA Addition'!$O561)</f>
        <v>139</v>
      </c>
      <c r="AH561" s="117">
        <f>MIN(MAX($L$1-'FA Addition'!$D561+1,0),365*'FA Addition'!$O561)</f>
        <v>505</v>
      </c>
      <c r="AI561" s="117" cm="1">
        <f t="array" ref="AI561">_xlfn.XLOOKUP(1,('FA Write off'!A:A='FA Addition'!$A561)*('FA Write off'!D:D=AA561),'FA Write off'!H:H,0,0)</f>
        <v>0</v>
      </c>
      <c r="AJ561" s="117">
        <f>IF(AC561&gt;0,MAX(IF('FA Addition'!$N561="SLM",($AC561-'FA Addition'!$M561)*'FA Addition'!$P561*AI561/365,(AC561-'FA Addition'!$M561)*(1-(1-'FA Addition'!$P561)^(AI561/365))),0),0)</f>
        <v>0</v>
      </c>
      <c r="AL561" s="117">
        <f>MAX(IF(AG561&gt;0,IF('FA Addition'!$N561="SLM",($AE561-'FA Addition'!$M561)*'FA Addition'!$P561*AG561/365,IFERROR(VDB(AE561,AE561*0.05,'FA Addition'!$O561,0,YEARFRAC('FA Addition'!$C561,$P$1-1,3),'FA Addition'!$Q561),FAAddition[[#This Row],[Original Cost (Rs)]]-FAAddition[[#This Row],[Salvage Value]])),0),0)</f>
        <v>7283.2634033486593</v>
      </c>
      <c r="AM561" s="119"/>
      <c r="AN561" s="117">
        <f>MAX(IF(AH561&gt;0,IF('FA Addition'!$N561="SLM",($AF561-'FA Addition'!$M561)*'FA Addition'!$P561*AH561/365,IFERROR(VDB(AF561,AF561*0.05,'FA Addition'!$O561,0,YEARFRAC('FA Addition'!$C561,$L$1,3),'FA Addition'!$Q561),FAAddition[[#This Row],[Original Cost (Rs)]]-FAAddition[[#This Row],[Salvage Value]])),0),0)</f>
        <v>21966.324421121848</v>
      </c>
      <c r="AO561" s="117">
        <f t="shared" si="43"/>
        <v>14683.061017773189</v>
      </c>
      <c r="AP561" s="206"/>
      <c r="AQ561" s="117">
        <f t="shared" si="41"/>
        <v>23216.736596651339</v>
      </c>
      <c r="AR561" s="120">
        <f t="shared" si="42"/>
        <v>8533.675578878152</v>
      </c>
      <c r="AS561" s="121"/>
    </row>
    <row r="562" spans="1:45" ht="13.5" x14ac:dyDescent="0.4">
      <c r="A562" s="12">
        <f t="shared" si="44"/>
        <v>559</v>
      </c>
      <c r="B562" s="64" t="s">
        <v>1089</v>
      </c>
      <c r="C562" s="54">
        <v>44878</v>
      </c>
      <c r="D562" s="54">
        <v>44878</v>
      </c>
      <c r="E562" s="46" t="s">
        <v>451</v>
      </c>
      <c r="F562" s="51" t="s">
        <v>1133</v>
      </c>
      <c r="G562" s="51" t="s">
        <v>1134</v>
      </c>
      <c r="H562" s="51" t="s">
        <v>21</v>
      </c>
      <c r="I562" s="55" t="s">
        <v>1275</v>
      </c>
      <c r="J562" s="56">
        <v>1</v>
      </c>
      <c r="K562" s="51" t="s">
        <v>1276</v>
      </c>
      <c r="L562" s="58">
        <v>30500</v>
      </c>
      <c r="M562" s="50">
        <f>ROUND('FA Addition'!$L562*5%,0.1)</f>
        <v>1525</v>
      </c>
      <c r="N562" s="113" t="str">
        <f>_xlfn.XLOOKUP(_xlfn.CONCAT(E562,B562),'Year Wise Master Dep Approach'!F:F,'Year Wise Master Dep Approach'!D:D)</f>
        <v>WDV</v>
      </c>
      <c r="O562" s="113">
        <f>_xlfn.XLOOKUP(_xlfn.CONCAT(E562,B562),'Year Wise Master Dep Approach'!F:F,'Year Wise Master Dep Approach'!E:E)</f>
        <v>3</v>
      </c>
      <c r="P562" s="114">
        <f>IFERROR(IF('FA Addition'!$N562="WDV",1-('FA Addition'!$M562/'FA Addition'!$L562)^(1/'FA Addition'!$O562),1/'FA Addition'!$O562),0)</f>
        <v>0.63159685013596123</v>
      </c>
      <c r="Q562" s="122">
        <f>'FA Addition'!$P562*'FA Addition'!$O562</f>
        <v>1.8947905504078837</v>
      </c>
      <c r="R562" s="122"/>
      <c r="S562" s="116">
        <f>IF(AND(DATE(20&amp;LEFT(FAAddition[[#This Row],[FY]],2),4,1)&lt;$L$1+1,DATE(20&amp;LEFT(FAAddition[[#This Row],[FY]],2),4,1)&gt;$P$1-1),'FA Addition'!$J562,0)</f>
        <v>0</v>
      </c>
      <c r="U562" s="117">
        <f>S562*'FA Addition'!$L562/'FA Addition'!$J562</f>
        <v>0</v>
      </c>
      <c r="W562" s="116">
        <f>SUMIFS('FA Write off'!D:D,'FA Write off'!A:A,'FA Addition'!$A562,'FA Write off'!C:C,"&lt;"&amp;'FA Addition'!$P$1)</f>
        <v>0</v>
      </c>
      <c r="Y562" s="191">
        <f>IFERROR(W562/'FA Addition'!$J562*'FA Addition'!$L562,0)</f>
        <v>0</v>
      </c>
      <c r="AA562" s="116">
        <f>SUMIFS('FA Write off'!D:D,'FA Write off'!A:A,'FA Addition'!$A562,'FA Write off'!C:C,"&lt;"&amp;'FA Addition'!$L$1+1,'FA Write off'!C:C,"&gt;"&amp;'FA Addition'!$L$1-365)</f>
        <v>0</v>
      </c>
      <c r="AC562" s="118">
        <f>IFERROR(AA562/'FA Addition'!$J562*'FA Addition'!$L562,0)</f>
        <v>0</v>
      </c>
      <c r="AE562" s="117">
        <f>IF(AND('FA Addition'!$D562&lt;$P$1+1,U562=0),'FA Addition'!$L562,0)-Y562</f>
        <v>30500</v>
      </c>
      <c r="AF562" s="117">
        <f t="shared" si="40"/>
        <v>30500</v>
      </c>
      <c r="AG562" s="117">
        <f>MIN(MAX(+$P$1-'FA Addition'!$D562,0),365*'FA Addition'!$O562)</f>
        <v>139</v>
      </c>
      <c r="AH562" s="117">
        <f>MIN(MAX($L$1-'FA Addition'!$D562+1,0),365*'FA Addition'!$O562)</f>
        <v>505</v>
      </c>
      <c r="AI562" s="117" cm="1">
        <f t="array" ref="AI562">_xlfn.XLOOKUP(1,('FA Write off'!A:A='FA Addition'!$A562)*('FA Write off'!D:D=AA562),'FA Write off'!H:H,0,0)</f>
        <v>0</v>
      </c>
      <c r="AJ562" s="117">
        <f>IF(AC562&gt;0,MAX(IF('FA Addition'!$N562="SLM",($AC562-'FA Addition'!$M562)*'FA Addition'!$P562*AI562/365,(AC562-'FA Addition'!$M562)*(1-(1-'FA Addition'!$P562)^(AI562/365))),0),0)</f>
        <v>0</v>
      </c>
      <c r="AL562" s="117">
        <f>MAX(IF(AG562&gt;0,IF('FA Addition'!$N562="SLM",($AE562-'FA Addition'!$M562)*'FA Addition'!$P562*AG562/365,IFERROR(VDB(AE562,AE562*0.05,'FA Addition'!$O562,0,YEARFRAC('FA Addition'!$C562,$P$1-1,3),'FA Addition'!$Q562),FAAddition[[#This Row],[Original Cost (Rs)]]-FAAddition[[#This Row],[Salvage Value]])),0),0)</f>
        <v>7283.2634033486593</v>
      </c>
      <c r="AM562" s="119"/>
      <c r="AN562" s="117">
        <f>MAX(IF(AH562&gt;0,IF('FA Addition'!$N562="SLM",($AF562-'FA Addition'!$M562)*'FA Addition'!$P562*AH562/365,IFERROR(VDB(AF562,AF562*0.05,'FA Addition'!$O562,0,YEARFRAC('FA Addition'!$C562,$L$1,3),'FA Addition'!$Q562),FAAddition[[#This Row],[Original Cost (Rs)]]-FAAddition[[#This Row],[Salvage Value]])),0),0)</f>
        <v>21966.324421121848</v>
      </c>
      <c r="AO562" s="117">
        <f t="shared" si="43"/>
        <v>14683.061017773189</v>
      </c>
      <c r="AP562" s="206"/>
      <c r="AQ562" s="117">
        <f t="shared" si="41"/>
        <v>23216.736596651339</v>
      </c>
      <c r="AR562" s="120">
        <f t="shared" si="42"/>
        <v>8533.675578878152</v>
      </c>
      <c r="AS562" s="121"/>
    </row>
    <row r="563" spans="1:45" ht="13.5" x14ac:dyDescent="0.4">
      <c r="A563" s="12">
        <f t="shared" si="44"/>
        <v>560</v>
      </c>
      <c r="B563" s="64" t="s">
        <v>1089</v>
      </c>
      <c r="C563" s="54">
        <v>44878</v>
      </c>
      <c r="D563" s="54">
        <v>44878</v>
      </c>
      <c r="E563" s="46" t="s">
        <v>451</v>
      </c>
      <c r="F563" s="51" t="s">
        <v>1133</v>
      </c>
      <c r="G563" s="51" t="s">
        <v>1134</v>
      </c>
      <c r="H563" s="51" t="s">
        <v>21</v>
      </c>
      <c r="I563" s="55" t="s">
        <v>1275</v>
      </c>
      <c r="J563" s="56">
        <v>1</v>
      </c>
      <c r="K563" s="51" t="s">
        <v>1276</v>
      </c>
      <c r="L563" s="58">
        <v>30500</v>
      </c>
      <c r="M563" s="50">
        <f>ROUND('FA Addition'!$L563*5%,0.1)</f>
        <v>1525</v>
      </c>
      <c r="N563" s="113" t="str">
        <f>_xlfn.XLOOKUP(_xlfn.CONCAT(E563,B563),'Year Wise Master Dep Approach'!F:F,'Year Wise Master Dep Approach'!D:D)</f>
        <v>WDV</v>
      </c>
      <c r="O563" s="113">
        <f>_xlfn.XLOOKUP(_xlfn.CONCAT(E563,B563),'Year Wise Master Dep Approach'!F:F,'Year Wise Master Dep Approach'!E:E)</f>
        <v>3</v>
      </c>
      <c r="P563" s="114">
        <f>IFERROR(IF('FA Addition'!$N563="WDV",1-('FA Addition'!$M563/'FA Addition'!$L563)^(1/'FA Addition'!$O563),1/'FA Addition'!$O563),0)</f>
        <v>0.63159685013596123</v>
      </c>
      <c r="Q563" s="122">
        <f>'FA Addition'!$P563*'FA Addition'!$O563</f>
        <v>1.8947905504078837</v>
      </c>
      <c r="R563" s="122"/>
      <c r="S563" s="116">
        <f>IF(AND(DATE(20&amp;LEFT(FAAddition[[#This Row],[FY]],2),4,1)&lt;$L$1+1,DATE(20&amp;LEFT(FAAddition[[#This Row],[FY]],2),4,1)&gt;$P$1-1),'FA Addition'!$J563,0)</f>
        <v>0</v>
      </c>
      <c r="U563" s="117">
        <f>S563*'FA Addition'!$L563/'FA Addition'!$J563</f>
        <v>0</v>
      </c>
      <c r="W563" s="116">
        <f>SUMIFS('FA Write off'!D:D,'FA Write off'!A:A,'FA Addition'!$A563,'FA Write off'!C:C,"&lt;"&amp;'FA Addition'!$P$1)</f>
        <v>0</v>
      </c>
      <c r="Y563" s="191">
        <f>IFERROR(W563/'FA Addition'!$J563*'FA Addition'!$L563,0)</f>
        <v>0</v>
      </c>
      <c r="AA563" s="116">
        <f>SUMIFS('FA Write off'!D:D,'FA Write off'!A:A,'FA Addition'!$A563,'FA Write off'!C:C,"&lt;"&amp;'FA Addition'!$L$1+1,'FA Write off'!C:C,"&gt;"&amp;'FA Addition'!$L$1-365)</f>
        <v>0</v>
      </c>
      <c r="AC563" s="118">
        <f>IFERROR(AA563/'FA Addition'!$J563*'FA Addition'!$L563,0)</f>
        <v>0</v>
      </c>
      <c r="AE563" s="117">
        <f>IF(AND('FA Addition'!$D563&lt;$P$1+1,U563=0),'FA Addition'!$L563,0)-Y563</f>
        <v>30500</v>
      </c>
      <c r="AF563" s="117">
        <f t="shared" si="40"/>
        <v>30500</v>
      </c>
      <c r="AG563" s="117">
        <f>MIN(MAX(+$P$1-'FA Addition'!$D563,0),365*'FA Addition'!$O563)</f>
        <v>139</v>
      </c>
      <c r="AH563" s="117">
        <f>MIN(MAX($L$1-'FA Addition'!$D563+1,0),365*'FA Addition'!$O563)</f>
        <v>505</v>
      </c>
      <c r="AI563" s="117" cm="1">
        <f t="array" ref="AI563">_xlfn.XLOOKUP(1,('FA Write off'!A:A='FA Addition'!$A563)*('FA Write off'!D:D=AA563),'FA Write off'!H:H,0,0)</f>
        <v>0</v>
      </c>
      <c r="AJ563" s="117">
        <f>IF(AC563&gt;0,MAX(IF('FA Addition'!$N563="SLM",($AC563-'FA Addition'!$M563)*'FA Addition'!$P563*AI563/365,(AC563-'FA Addition'!$M563)*(1-(1-'FA Addition'!$P563)^(AI563/365))),0),0)</f>
        <v>0</v>
      </c>
      <c r="AL563" s="117">
        <f>MAX(IF(AG563&gt;0,IF('FA Addition'!$N563="SLM",($AE563-'FA Addition'!$M563)*'FA Addition'!$P563*AG563/365,IFERROR(VDB(AE563,AE563*0.05,'FA Addition'!$O563,0,YEARFRAC('FA Addition'!$C563,$P$1-1,3),'FA Addition'!$Q563),FAAddition[[#This Row],[Original Cost (Rs)]]-FAAddition[[#This Row],[Salvage Value]])),0),0)</f>
        <v>7283.2634033486593</v>
      </c>
      <c r="AM563" s="119"/>
      <c r="AN563" s="117">
        <f>MAX(IF(AH563&gt;0,IF('FA Addition'!$N563="SLM",($AF563-'FA Addition'!$M563)*'FA Addition'!$P563*AH563/365,IFERROR(VDB(AF563,AF563*0.05,'FA Addition'!$O563,0,YEARFRAC('FA Addition'!$C563,$L$1,3),'FA Addition'!$Q563),FAAddition[[#This Row],[Original Cost (Rs)]]-FAAddition[[#This Row],[Salvage Value]])),0),0)</f>
        <v>21966.324421121848</v>
      </c>
      <c r="AO563" s="117">
        <f t="shared" si="43"/>
        <v>14683.061017773189</v>
      </c>
      <c r="AP563" s="206"/>
      <c r="AQ563" s="117">
        <f t="shared" si="41"/>
        <v>23216.736596651339</v>
      </c>
      <c r="AR563" s="120">
        <f t="shared" si="42"/>
        <v>8533.675578878152</v>
      </c>
      <c r="AS563" s="121"/>
    </row>
    <row r="564" spans="1:45" ht="13.5" x14ac:dyDescent="0.4">
      <c r="A564" s="12">
        <f t="shared" si="44"/>
        <v>561</v>
      </c>
      <c r="B564" s="64" t="s">
        <v>1089</v>
      </c>
      <c r="C564" s="54">
        <v>44879</v>
      </c>
      <c r="D564" s="54">
        <v>44879</v>
      </c>
      <c r="E564" s="46" t="s">
        <v>451</v>
      </c>
      <c r="F564" s="51" t="s">
        <v>1133</v>
      </c>
      <c r="G564" s="51" t="s">
        <v>1277</v>
      </c>
      <c r="H564" s="51" t="s">
        <v>21</v>
      </c>
      <c r="I564" s="55" t="s">
        <v>1278</v>
      </c>
      <c r="J564" s="56">
        <v>1</v>
      </c>
      <c r="K564" s="51" t="s">
        <v>1279</v>
      </c>
      <c r="L564" s="58">
        <v>59990</v>
      </c>
      <c r="M564" s="50">
        <f>ROUND('FA Addition'!$L564*5%,0.1)</f>
        <v>3000</v>
      </c>
      <c r="N564" s="113" t="str">
        <f>_xlfn.XLOOKUP(_xlfn.CONCAT(E564,B564),'Year Wise Master Dep Approach'!F:F,'Year Wise Master Dep Approach'!D:D)</f>
        <v>WDV</v>
      </c>
      <c r="O564" s="113">
        <f>_xlfn.XLOOKUP(_xlfn.CONCAT(E564,B564),'Year Wise Master Dep Approach'!F:F,'Year Wise Master Dep Approach'!E:E)</f>
        <v>3</v>
      </c>
      <c r="P564" s="114">
        <f>IFERROR(IF('FA Addition'!$N564="WDV",1-('FA Addition'!$M564/'FA Addition'!$L564)^(1/'FA Addition'!$O564),1/'FA Addition'!$O564),0)</f>
        <v>0.63157638101991387</v>
      </c>
      <c r="Q564" s="122">
        <f>'FA Addition'!$P564*'FA Addition'!$O564</f>
        <v>1.8947291430597417</v>
      </c>
      <c r="R564" s="122"/>
      <c r="S564" s="116">
        <f>IF(AND(DATE(20&amp;LEFT(FAAddition[[#This Row],[FY]],2),4,1)&lt;$L$1+1,DATE(20&amp;LEFT(FAAddition[[#This Row],[FY]],2),4,1)&gt;$P$1-1),'FA Addition'!$J564,0)</f>
        <v>0</v>
      </c>
      <c r="U564" s="117">
        <f>S564*'FA Addition'!$L564/'FA Addition'!$J564</f>
        <v>0</v>
      </c>
      <c r="W564" s="116">
        <f>SUMIFS('FA Write off'!D:D,'FA Write off'!A:A,'FA Addition'!$A564,'FA Write off'!C:C,"&lt;"&amp;'FA Addition'!$P$1)</f>
        <v>0</v>
      </c>
      <c r="Y564" s="191">
        <f>IFERROR(W564/'FA Addition'!$J564*'FA Addition'!$L564,0)</f>
        <v>0</v>
      </c>
      <c r="AA564" s="116">
        <f>SUMIFS('FA Write off'!D:D,'FA Write off'!A:A,'FA Addition'!$A564,'FA Write off'!C:C,"&lt;"&amp;'FA Addition'!$L$1+1,'FA Write off'!C:C,"&gt;"&amp;'FA Addition'!$L$1-365)</f>
        <v>0</v>
      </c>
      <c r="AC564" s="118">
        <f>IFERROR(AA564/'FA Addition'!$J564*'FA Addition'!$L564,0)</f>
        <v>0</v>
      </c>
      <c r="AE564" s="117">
        <f>IF(AND('FA Addition'!$D564&lt;$P$1+1,U564=0),'FA Addition'!$L564,0)-Y564</f>
        <v>59990</v>
      </c>
      <c r="AF564" s="117">
        <f t="shared" si="40"/>
        <v>59990</v>
      </c>
      <c r="AG564" s="117">
        <f>MIN(MAX(+$P$1-'FA Addition'!$D564,0),365*'FA Addition'!$O564)</f>
        <v>138</v>
      </c>
      <c r="AH564" s="117">
        <f>MIN(MAX($L$1-'FA Addition'!$D564+1,0),365*'FA Addition'!$O564)</f>
        <v>504</v>
      </c>
      <c r="AI564" s="117" cm="1">
        <f t="array" ref="AI564">_xlfn.XLOOKUP(1,('FA Write off'!A:A='FA Addition'!$A564)*('FA Write off'!D:D=AA564),'FA Write off'!H:H,0,0)</f>
        <v>0</v>
      </c>
      <c r="AJ564" s="117">
        <f>IF(AC564&gt;0,MAX(IF('FA Addition'!$N564="SLM",($AC564-'FA Addition'!$M564)*'FA Addition'!$P564*AI564/365,(AC564-'FA Addition'!$M564)*(1-(1-'FA Addition'!$P564)^(AI564/365))),0),0)</f>
        <v>0</v>
      </c>
      <c r="AL564" s="117">
        <f>MAX(IF(AG564&gt;0,IF('FA Addition'!$N564="SLM",($AE564-'FA Addition'!$M564)*'FA Addition'!$P564*AG564/365,IFERROR(VDB(AE564,AE564*0.05,'FA Addition'!$O564,0,YEARFRAC('FA Addition'!$C564,$P$1-1,3),'FA Addition'!$Q564),FAAddition[[#This Row],[Original Cost (Rs)]]-FAAddition[[#This Row],[Salvage Value]])),0),0)</f>
        <v>14221.075595456698</v>
      </c>
      <c r="AM564" s="119"/>
      <c r="AN564" s="117">
        <f>MAX(IF(AH564&gt;0,IF('FA Addition'!$N564="SLM",($AF564-'FA Addition'!$M564)*'FA Addition'!$P564*AH564/365,IFERROR(VDB(AF564,AF564*0.05,'FA Addition'!$O564,0,YEARFRAC('FA Addition'!$C564,$L$1,3),'FA Addition'!$Q564),FAAddition[[#This Row],[Original Cost (Rs)]]-FAAddition[[#This Row],[Salvage Value]])),0),0)</f>
        <v>43165.890884684784</v>
      </c>
      <c r="AO564" s="117">
        <f t="shared" si="43"/>
        <v>28944.815289228085</v>
      </c>
      <c r="AP564" s="206"/>
      <c r="AQ564" s="117">
        <f t="shared" si="41"/>
        <v>45768.924404543301</v>
      </c>
      <c r="AR564" s="120">
        <f t="shared" si="42"/>
        <v>16824.109115315216</v>
      </c>
      <c r="AS564" s="121"/>
    </row>
    <row r="565" spans="1:45" ht="13.5" x14ac:dyDescent="0.4">
      <c r="A565" s="12">
        <f t="shared" si="44"/>
        <v>562</v>
      </c>
      <c r="B565" s="64" t="s">
        <v>1089</v>
      </c>
      <c r="C565" s="54">
        <v>44879</v>
      </c>
      <c r="D565" s="54">
        <v>44879</v>
      </c>
      <c r="E565" s="46" t="s">
        <v>451</v>
      </c>
      <c r="F565" s="51" t="s">
        <v>1133</v>
      </c>
      <c r="G565" s="51" t="s">
        <v>1277</v>
      </c>
      <c r="H565" s="51" t="s">
        <v>21</v>
      </c>
      <c r="I565" s="55" t="s">
        <v>1280</v>
      </c>
      <c r="J565" s="56">
        <v>1</v>
      </c>
      <c r="K565" s="51" t="s">
        <v>1281</v>
      </c>
      <c r="L565" s="58">
        <v>59990</v>
      </c>
      <c r="M565" s="50">
        <f>ROUND('FA Addition'!$L565*5%,0.1)</f>
        <v>3000</v>
      </c>
      <c r="N565" s="113" t="str">
        <f>_xlfn.XLOOKUP(_xlfn.CONCAT(E565,B565),'Year Wise Master Dep Approach'!F:F,'Year Wise Master Dep Approach'!D:D)</f>
        <v>WDV</v>
      </c>
      <c r="O565" s="113">
        <f>_xlfn.XLOOKUP(_xlfn.CONCAT(E565,B565),'Year Wise Master Dep Approach'!F:F,'Year Wise Master Dep Approach'!E:E)</f>
        <v>3</v>
      </c>
      <c r="P565" s="114">
        <f>IFERROR(IF('FA Addition'!$N565="WDV",1-('FA Addition'!$M565/'FA Addition'!$L565)^(1/'FA Addition'!$O565),1/'FA Addition'!$O565),0)</f>
        <v>0.63157638101991387</v>
      </c>
      <c r="Q565" s="122">
        <f>'FA Addition'!$P565*'FA Addition'!$O565</f>
        <v>1.8947291430597417</v>
      </c>
      <c r="R565" s="122"/>
      <c r="S565" s="116">
        <f>IF(AND(DATE(20&amp;LEFT(FAAddition[[#This Row],[FY]],2),4,1)&lt;$L$1+1,DATE(20&amp;LEFT(FAAddition[[#This Row],[FY]],2),4,1)&gt;$P$1-1),'FA Addition'!$J565,0)</f>
        <v>0</v>
      </c>
      <c r="U565" s="117">
        <f>S565*'FA Addition'!$L565/'FA Addition'!$J565</f>
        <v>0</v>
      </c>
      <c r="W565" s="116">
        <f>SUMIFS('FA Write off'!D:D,'FA Write off'!A:A,'FA Addition'!$A565,'FA Write off'!C:C,"&lt;"&amp;'FA Addition'!$P$1)</f>
        <v>0</v>
      </c>
      <c r="Y565" s="191">
        <f>IFERROR(W565/'FA Addition'!$J565*'FA Addition'!$L565,0)</f>
        <v>0</v>
      </c>
      <c r="AA565" s="116">
        <f>SUMIFS('FA Write off'!D:D,'FA Write off'!A:A,'FA Addition'!$A565,'FA Write off'!C:C,"&lt;"&amp;'FA Addition'!$L$1+1,'FA Write off'!C:C,"&gt;"&amp;'FA Addition'!$L$1-365)</f>
        <v>0</v>
      </c>
      <c r="AC565" s="118">
        <f>IFERROR(AA565/'FA Addition'!$J565*'FA Addition'!$L565,0)</f>
        <v>0</v>
      </c>
      <c r="AE565" s="117">
        <f>IF(AND('FA Addition'!$D565&lt;$P$1+1,U565=0),'FA Addition'!$L565,0)-Y565</f>
        <v>59990</v>
      </c>
      <c r="AF565" s="117">
        <f t="shared" si="40"/>
        <v>59990</v>
      </c>
      <c r="AG565" s="117">
        <f>MIN(MAX(+$P$1-'FA Addition'!$D565,0),365*'FA Addition'!$O565)</f>
        <v>138</v>
      </c>
      <c r="AH565" s="117">
        <f>MIN(MAX($L$1-'FA Addition'!$D565+1,0),365*'FA Addition'!$O565)</f>
        <v>504</v>
      </c>
      <c r="AI565" s="117" cm="1">
        <f t="array" ref="AI565">_xlfn.XLOOKUP(1,('FA Write off'!A:A='FA Addition'!$A565)*('FA Write off'!D:D=AA565),'FA Write off'!H:H,0,0)</f>
        <v>0</v>
      </c>
      <c r="AJ565" s="117">
        <f>IF(AC565&gt;0,MAX(IF('FA Addition'!$N565="SLM",($AC565-'FA Addition'!$M565)*'FA Addition'!$P565*AI565/365,(AC565-'FA Addition'!$M565)*(1-(1-'FA Addition'!$P565)^(AI565/365))),0),0)</f>
        <v>0</v>
      </c>
      <c r="AL565" s="117">
        <f>MAX(IF(AG565&gt;0,IF('FA Addition'!$N565="SLM",($AE565-'FA Addition'!$M565)*'FA Addition'!$P565*AG565/365,IFERROR(VDB(AE565,AE565*0.05,'FA Addition'!$O565,0,YEARFRAC('FA Addition'!$C565,$P$1-1,3),'FA Addition'!$Q565),FAAddition[[#This Row],[Original Cost (Rs)]]-FAAddition[[#This Row],[Salvage Value]])),0),0)</f>
        <v>14221.075595456698</v>
      </c>
      <c r="AM565" s="119"/>
      <c r="AN565" s="117">
        <f>MAX(IF(AH565&gt;0,IF('FA Addition'!$N565="SLM",($AF565-'FA Addition'!$M565)*'FA Addition'!$P565*AH565/365,IFERROR(VDB(AF565,AF565*0.05,'FA Addition'!$O565,0,YEARFRAC('FA Addition'!$C565,$L$1,3),'FA Addition'!$Q565),FAAddition[[#This Row],[Original Cost (Rs)]]-FAAddition[[#This Row],[Salvage Value]])),0),0)</f>
        <v>43165.890884684784</v>
      </c>
      <c r="AO565" s="117">
        <f t="shared" si="43"/>
        <v>28944.815289228085</v>
      </c>
      <c r="AP565" s="206"/>
      <c r="AQ565" s="117">
        <f t="shared" si="41"/>
        <v>45768.924404543301</v>
      </c>
      <c r="AR565" s="120">
        <f t="shared" si="42"/>
        <v>16824.109115315216</v>
      </c>
      <c r="AS565" s="121"/>
    </row>
    <row r="566" spans="1:45" ht="13.5" x14ac:dyDescent="0.4">
      <c r="A566" s="12">
        <f t="shared" si="44"/>
        <v>563</v>
      </c>
      <c r="B566" s="64" t="s">
        <v>1089</v>
      </c>
      <c r="C566" s="54">
        <v>44880</v>
      </c>
      <c r="D566" s="54">
        <v>44880</v>
      </c>
      <c r="E566" s="46" t="s">
        <v>1389</v>
      </c>
      <c r="F566" s="51" t="s">
        <v>1112</v>
      </c>
      <c r="G566" s="51" t="s">
        <v>1243</v>
      </c>
      <c r="H566" s="51" t="s">
        <v>1113</v>
      </c>
      <c r="I566" s="55" t="s">
        <v>1282</v>
      </c>
      <c r="J566" s="56">
        <v>1</v>
      </c>
      <c r="K566" s="51" t="s">
        <v>296</v>
      </c>
      <c r="L566" s="58">
        <v>2400</v>
      </c>
      <c r="M566" s="50">
        <f>ROUND('FA Addition'!$L566*5%,0.1)</f>
        <v>120</v>
      </c>
      <c r="N566" s="113" t="str">
        <f>_xlfn.XLOOKUP(_xlfn.CONCAT(E566,B566),'Year Wise Master Dep Approach'!F:F,'Year Wise Master Dep Approach'!D:D)</f>
        <v>SLM</v>
      </c>
      <c r="O566" s="113">
        <f>_xlfn.XLOOKUP(_xlfn.CONCAT(E566,B566),'Year Wise Master Dep Approach'!F:F,'Year Wise Master Dep Approach'!E:E)</f>
        <v>3</v>
      </c>
      <c r="P566" s="114">
        <f>IFERROR(IF('FA Addition'!$N566="WDV",1-('FA Addition'!$M566/'FA Addition'!$L566)^(1/'FA Addition'!$O566),1/'FA Addition'!$O566),0)</f>
        <v>0.33333333333333331</v>
      </c>
      <c r="Q566" s="122">
        <f>'FA Addition'!$P566*'FA Addition'!$O566</f>
        <v>1</v>
      </c>
      <c r="R566" s="122"/>
      <c r="S566" s="116">
        <f>IF(AND(DATE(20&amp;LEFT(FAAddition[[#This Row],[FY]],2),4,1)&lt;$L$1+1,DATE(20&amp;LEFT(FAAddition[[#This Row],[FY]],2),4,1)&gt;$P$1-1),'FA Addition'!$J566,0)</f>
        <v>0</v>
      </c>
      <c r="U566" s="117">
        <f>S566*'FA Addition'!$L566/'FA Addition'!$J566</f>
        <v>0</v>
      </c>
      <c r="W566" s="116">
        <f>SUMIFS('FA Write off'!D:D,'FA Write off'!A:A,'FA Addition'!$A566,'FA Write off'!C:C,"&lt;"&amp;'FA Addition'!$P$1)</f>
        <v>0</v>
      </c>
      <c r="Y566" s="191">
        <f>IFERROR(W566/'FA Addition'!$J566*'FA Addition'!$L566,0)</f>
        <v>0</v>
      </c>
      <c r="AA566" s="116">
        <f>SUMIFS('FA Write off'!D:D,'FA Write off'!A:A,'FA Addition'!$A566,'FA Write off'!C:C,"&lt;"&amp;'FA Addition'!$L$1+1,'FA Write off'!C:C,"&gt;"&amp;'FA Addition'!$L$1-365)</f>
        <v>0</v>
      </c>
      <c r="AC566" s="118">
        <f>IFERROR(AA566/'FA Addition'!$J566*'FA Addition'!$L566,0)</f>
        <v>0</v>
      </c>
      <c r="AE566" s="117">
        <f>IF(AND('FA Addition'!$D566&lt;$P$1+1,U566=0),'FA Addition'!$L566,0)-Y566</f>
        <v>2400</v>
      </c>
      <c r="AF566" s="117">
        <f t="shared" si="40"/>
        <v>2400</v>
      </c>
      <c r="AG566" s="117">
        <f>MIN(MAX(+$P$1-'FA Addition'!$D566,0),365*'FA Addition'!$O566)</f>
        <v>137</v>
      </c>
      <c r="AH566" s="117">
        <f>MIN(MAX($L$1-'FA Addition'!$D566+1,0),365*'FA Addition'!$O566)</f>
        <v>503</v>
      </c>
      <c r="AI566" s="117" cm="1">
        <f t="array" ref="AI566">_xlfn.XLOOKUP(1,('FA Write off'!A:A='FA Addition'!$A566)*('FA Write off'!D:D=AA566),'FA Write off'!H:H,0,0)</f>
        <v>0</v>
      </c>
      <c r="AJ566" s="117">
        <f>IF(AC566&gt;0,MAX(IF('FA Addition'!$N566="SLM",($AC566-'FA Addition'!$M566)*'FA Addition'!$P566*AI566/365,(AC566-'FA Addition'!$M566)*(1-(1-'FA Addition'!$P566)^(AI566/365))),0),0)</f>
        <v>0</v>
      </c>
      <c r="AL566" s="117">
        <f>MAX(IF(AG566&gt;0,IF('FA Addition'!$N566="SLM",($AE566-'FA Addition'!$M566)*'FA Addition'!$P566*AG566/365,IFERROR(VDB(AE566,AE566*0.05,'FA Addition'!$O566,0,YEARFRAC('FA Addition'!$C566,$P$1-1,3),'FA Addition'!$Q566),FAAddition[[#This Row],[Original Cost (Rs)]]-FAAddition[[#This Row],[Salvage Value]])),0),0)</f>
        <v>285.26027397260276</v>
      </c>
      <c r="AM566" s="119"/>
      <c r="AN566" s="117">
        <f>MAX(IF(AH566&gt;0,IF('FA Addition'!$N566="SLM",($AF566-'FA Addition'!$M566)*'FA Addition'!$P566*AH566/365,IFERROR(VDB(AF566,AF566*0.05,'FA Addition'!$O566,0,YEARFRAC('FA Addition'!$C566,$L$1,3),'FA Addition'!$Q566),FAAddition[[#This Row],[Original Cost (Rs)]]-FAAddition[[#This Row],[Salvage Value]])),0),0)</f>
        <v>1047.3424657534247</v>
      </c>
      <c r="AO566" s="117">
        <f t="shared" si="43"/>
        <v>762.08219178082186</v>
      </c>
      <c r="AP566" s="206"/>
      <c r="AQ566" s="117">
        <f t="shared" si="41"/>
        <v>2114.7397260273974</v>
      </c>
      <c r="AR566" s="120">
        <f t="shared" si="42"/>
        <v>1352.6575342465753</v>
      </c>
      <c r="AS566" s="121"/>
    </row>
    <row r="567" spans="1:45" ht="13.5" x14ac:dyDescent="0.4">
      <c r="A567" s="12">
        <f t="shared" si="44"/>
        <v>564</v>
      </c>
      <c r="B567" s="64" t="s">
        <v>1089</v>
      </c>
      <c r="C567" s="54">
        <v>44886</v>
      </c>
      <c r="D567" s="54">
        <v>44886</v>
      </c>
      <c r="E567" s="46" t="s">
        <v>32</v>
      </c>
      <c r="F567" s="51" t="s">
        <v>1090</v>
      </c>
      <c r="G567" s="51" t="s">
        <v>433</v>
      </c>
      <c r="H567" s="51" t="s">
        <v>32</v>
      </c>
      <c r="I567" s="55" t="s">
        <v>1283</v>
      </c>
      <c r="J567" s="56">
        <v>1500</v>
      </c>
      <c r="K567" s="51" t="s">
        <v>935</v>
      </c>
      <c r="L567" s="58">
        <v>1650000</v>
      </c>
      <c r="M567" s="50">
        <f>ROUND('FA Addition'!$L567*5%,0.1)</f>
        <v>82500</v>
      </c>
      <c r="N567" s="113" t="str">
        <f>_xlfn.XLOOKUP(_xlfn.CONCAT(E567,B567),'Year Wise Master Dep Approach'!F:F,'Year Wise Master Dep Approach'!D:D)</f>
        <v>WDV</v>
      </c>
      <c r="O567" s="113">
        <f>_xlfn.XLOOKUP(_xlfn.CONCAT(E567,B567),'Year Wise Master Dep Approach'!F:F,'Year Wise Master Dep Approach'!E:E)</f>
        <v>3</v>
      </c>
      <c r="P567" s="114">
        <f>IFERROR(IF('FA Addition'!$N567="WDV",1-('FA Addition'!$M567/'FA Addition'!$L567)^(1/'FA Addition'!$O567),1/'FA Addition'!$O567),0)</f>
        <v>0.63159685013596123</v>
      </c>
      <c r="Q567" s="122">
        <f>'FA Addition'!$P567*'FA Addition'!$O567</f>
        <v>1.8947905504078837</v>
      </c>
      <c r="R567" s="122"/>
      <c r="S567" s="116">
        <f>IF(AND(DATE(20&amp;LEFT(FAAddition[[#This Row],[FY]],2),4,1)&lt;$L$1+1,DATE(20&amp;LEFT(FAAddition[[#This Row],[FY]],2),4,1)&gt;$P$1-1),'FA Addition'!$J567,0)</f>
        <v>0</v>
      </c>
      <c r="U567" s="117">
        <f>S567*'FA Addition'!$L567/'FA Addition'!$J567</f>
        <v>0</v>
      </c>
      <c r="W567" s="116">
        <f>SUMIFS('FA Write off'!D:D,'FA Write off'!A:A,'FA Addition'!$A567,'FA Write off'!C:C,"&lt;"&amp;'FA Addition'!$P$1)</f>
        <v>3</v>
      </c>
      <c r="Y567" s="191">
        <f>IFERROR(W567/'FA Addition'!$J567*'FA Addition'!$L567,0)</f>
        <v>3300</v>
      </c>
      <c r="AA567" s="116">
        <f>SUMIFS('FA Write off'!D:D,'FA Write off'!A:A,'FA Addition'!$A567,'FA Write off'!C:C,"&lt;"&amp;'FA Addition'!$L$1+1,'FA Write off'!C:C,"&gt;"&amp;'FA Addition'!$L$1-365)</f>
        <v>662</v>
      </c>
      <c r="AC567" s="191">
        <f>IFERROR(AA567/'FA Addition'!$J567*'FA Addition'!$L567,0)</f>
        <v>728200</v>
      </c>
      <c r="AE567" s="117">
        <f>IF(AND('FA Addition'!$D567&lt;$P$1+1,U567=0),'FA Addition'!$L567,0)-Y567</f>
        <v>1646700</v>
      </c>
      <c r="AF567" s="117">
        <f t="shared" si="40"/>
        <v>918500</v>
      </c>
      <c r="AG567" s="117">
        <f>MIN(MAX(+$P$1-'FA Addition'!$D567,0),365*'FA Addition'!$O567)</f>
        <v>131</v>
      </c>
      <c r="AH567" s="117">
        <f>MIN(MAX($L$1-'FA Addition'!$D567+1,0),365*'FA Addition'!$O567)</f>
        <v>497</v>
      </c>
      <c r="AI567" s="117" cm="1">
        <f t="array" ref="AI567">_xlfn.XLOOKUP(1,('FA Write off'!A:A='FA Addition'!$A567)*('FA Write off'!D:D=AA567),'FA Write off'!H:H,0,0)</f>
        <v>497</v>
      </c>
      <c r="AJ567" s="117">
        <f>IF(AC567&gt;0,MAX(IF('FA Addition'!$N567="SLM",($AC567-'FA Addition'!$M567)*'FA Addition'!$P567*AI567/365,(AC567-'FA Addition'!$M567)*(1-(1-'FA Addition'!$P567)^(AI567/365))),0),0)</f>
        <v>479925.53745878336</v>
      </c>
      <c r="AL567" s="117">
        <f>MAX(IF(AG567&gt;0,IF('FA Addition'!$N567="SLM",($AE567-'FA Addition'!$M567)*'FA Addition'!$P567*AG567/365,IFERROR(VDB(AE567,AE567*0.05,'FA Addition'!$O567,0,YEARFRAC('FA Addition'!$C567,$P$1-1,3),'FA Addition'!$Q567),FAAddition[[#This Row],[Original Cost (Rs)]]-FAAddition[[#This Row],[Salvage Value]])),0),0)</f>
        <v>370428.9570012475</v>
      </c>
      <c r="AM567" s="119"/>
      <c r="AN567" s="117">
        <f>MAX(IF(AH567&gt;0,IF('FA Addition'!$N567="SLM",($AF567-'FA Addition'!$M567)*'FA Addition'!$P567*AH567/365,IFERROR(VDB(AF567,AF567*0.05,'FA Addition'!$O567,0,YEARFRAC('FA Addition'!$C567,$L$1,3),'FA Addition'!$Q567),FAAddition[[#This Row],[Original Cost (Rs)]]-FAAddition[[#This Row],[Salvage Value]])),0),0)</f>
        <v>656826.21369412099</v>
      </c>
      <c r="AO567" s="117">
        <f t="shared" si="43"/>
        <v>766322.7941516568</v>
      </c>
      <c r="AP567" s="206"/>
      <c r="AQ567" s="117">
        <f t="shared" si="41"/>
        <v>1276271.0429987526</v>
      </c>
      <c r="AR567" s="120">
        <f t="shared" si="42"/>
        <v>261673.78630587901</v>
      </c>
      <c r="AS567" s="121"/>
    </row>
    <row r="568" spans="1:45" ht="13.5" x14ac:dyDescent="0.4">
      <c r="A568" s="12">
        <f t="shared" si="44"/>
        <v>565</v>
      </c>
      <c r="B568" s="64" t="s">
        <v>1089</v>
      </c>
      <c r="C568" s="54">
        <v>44888</v>
      </c>
      <c r="D568" s="54">
        <v>44888</v>
      </c>
      <c r="E568" s="46" t="s">
        <v>451</v>
      </c>
      <c r="F568" s="51" t="s">
        <v>1133</v>
      </c>
      <c r="G568" s="51" t="s">
        <v>1284</v>
      </c>
      <c r="H568" s="51" t="s">
        <v>21</v>
      </c>
      <c r="I568" s="55" t="s">
        <v>1285</v>
      </c>
      <c r="J568" s="56">
        <v>1</v>
      </c>
      <c r="K568" s="51" t="s">
        <v>1286</v>
      </c>
      <c r="L568" s="58">
        <v>27966</v>
      </c>
      <c r="M568" s="50">
        <f>ROUND('FA Addition'!$L568*5%,0.1)</f>
        <v>1398</v>
      </c>
      <c r="N568" s="113" t="str">
        <f>_xlfn.XLOOKUP(_xlfn.CONCAT(E568,B568),'Year Wise Master Dep Approach'!F:F,'Year Wise Master Dep Approach'!D:D)</f>
        <v>WDV</v>
      </c>
      <c r="O568" s="113">
        <f>_xlfn.XLOOKUP(_xlfn.CONCAT(E568,B568),'Year Wise Master Dep Approach'!F:F,'Year Wise Master Dep Approach'!E:E)</f>
        <v>3</v>
      </c>
      <c r="P568" s="114">
        <f>IFERROR(IF('FA Addition'!$N568="WDV",1-('FA Addition'!$M568/'FA Addition'!$L568)^(1/'FA Addition'!$O568),1/'FA Addition'!$O568),0)</f>
        <v>0.63162319852325355</v>
      </c>
      <c r="Q568" s="122">
        <f>'FA Addition'!$P568*'FA Addition'!$O568</f>
        <v>1.8948695955697605</v>
      </c>
      <c r="R568" s="122"/>
      <c r="S568" s="116">
        <f>IF(AND(DATE(20&amp;LEFT(FAAddition[[#This Row],[FY]],2),4,1)&lt;$L$1+1,DATE(20&amp;LEFT(FAAddition[[#This Row],[FY]],2),4,1)&gt;$P$1-1),'FA Addition'!$J568,0)</f>
        <v>0</v>
      </c>
      <c r="U568" s="117">
        <f>S568*'FA Addition'!$L568/'FA Addition'!$J568</f>
        <v>0</v>
      </c>
      <c r="W568" s="116">
        <f>SUMIFS('FA Write off'!D:D,'FA Write off'!A:A,'FA Addition'!$A568,'FA Write off'!C:C,"&lt;"&amp;'FA Addition'!$P$1)</f>
        <v>0</v>
      </c>
      <c r="Y568" s="191">
        <f>IFERROR(W568/'FA Addition'!$J568*'FA Addition'!$L568,0)</f>
        <v>0</v>
      </c>
      <c r="AA568" s="116">
        <f>SUMIFS('FA Write off'!D:D,'FA Write off'!A:A,'FA Addition'!$A568,'FA Write off'!C:C,"&lt;"&amp;'FA Addition'!$L$1+1,'FA Write off'!C:C,"&gt;"&amp;'FA Addition'!$L$1-365)</f>
        <v>0</v>
      </c>
      <c r="AC568" s="118">
        <f>IFERROR(AA568/'FA Addition'!$J568*'FA Addition'!$L568,0)</f>
        <v>0</v>
      </c>
      <c r="AE568" s="117">
        <f>IF(AND('FA Addition'!$D568&lt;$P$1+1,U568=0),'FA Addition'!$L568,0)-Y568</f>
        <v>27966</v>
      </c>
      <c r="AF568" s="117">
        <f t="shared" si="40"/>
        <v>27966</v>
      </c>
      <c r="AG568" s="117">
        <f>MIN(MAX(+$P$1-'FA Addition'!$D568,0),365*'FA Addition'!$O568)</f>
        <v>129</v>
      </c>
      <c r="AH568" s="117">
        <f>MIN(MAX($L$1-'FA Addition'!$D568+1,0),365*'FA Addition'!$O568)</f>
        <v>495</v>
      </c>
      <c r="AI568" s="117" cm="1">
        <f t="array" ref="AI568">_xlfn.XLOOKUP(1,('FA Write off'!A:A='FA Addition'!$A568)*('FA Write off'!D:D=AA568),'FA Write off'!H:H,0,0)</f>
        <v>0</v>
      </c>
      <c r="AJ568" s="117">
        <f>IF(AC568&gt;0,MAX(IF('FA Addition'!$N568="SLM",($AC568-'FA Addition'!$M568)*'FA Addition'!$P568*AI568/365,(AC568-'FA Addition'!$M568)*(1-(1-'FA Addition'!$P568)^(AI568/365))),0),0)</f>
        <v>0</v>
      </c>
      <c r="AL568" s="117">
        <f>MAX(IF(AG568&gt;0,IF('FA Addition'!$N568="SLM",($AE568-'FA Addition'!$M568)*'FA Addition'!$P568*AG568/365,IFERROR(VDB(AE568,AE568*0.05,'FA Addition'!$O568,0,YEARFRAC('FA Addition'!$C568,$P$1-1,3),'FA Addition'!$Q568),FAAddition[[#This Row],[Original Cost (Rs)]]-FAAddition[[#This Row],[Salvage Value]])),0),0)</f>
        <v>6194.4896420475825</v>
      </c>
      <c r="AM568" s="119"/>
      <c r="AN568" s="117">
        <f>MAX(IF(AH568&gt;0,IF('FA Addition'!$N568="SLM",($AF568-'FA Addition'!$M568)*'FA Addition'!$P568*AH568/365,IFERROR(VDB(AF568,AF568*0.05,'FA Addition'!$O568,0,YEARFRAC('FA Addition'!$C568,$L$1,3),'FA Addition'!$Q568),FAAddition[[#This Row],[Original Cost (Rs)]]-FAAddition[[#This Row],[Salvage Value]])),0),0)</f>
        <v>19963.70804384087</v>
      </c>
      <c r="AO568" s="117">
        <f t="shared" si="43"/>
        <v>13769.218401793289</v>
      </c>
      <c r="AP568" s="206"/>
      <c r="AQ568" s="117">
        <f t="shared" si="41"/>
        <v>21771.510357952418</v>
      </c>
      <c r="AR568" s="120">
        <f t="shared" si="42"/>
        <v>8002.2919561591298</v>
      </c>
      <c r="AS568" s="121"/>
    </row>
    <row r="569" spans="1:45" ht="13.5" x14ac:dyDescent="0.4">
      <c r="A569" s="12">
        <f t="shared" si="44"/>
        <v>566</v>
      </c>
      <c r="B569" s="64" t="s">
        <v>1089</v>
      </c>
      <c r="C569" s="54">
        <v>44888</v>
      </c>
      <c r="D569" s="54">
        <v>44888</v>
      </c>
      <c r="E569" s="46" t="s">
        <v>451</v>
      </c>
      <c r="F569" s="51" t="s">
        <v>1133</v>
      </c>
      <c r="G569" s="51" t="s">
        <v>1284</v>
      </c>
      <c r="H569" s="51" t="s">
        <v>21</v>
      </c>
      <c r="I569" s="55" t="s">
        <v>1285</v>
      </c>
      <c r="J569" s="56">
        <v>1</v>
      </c>
      <c r="K569" s="51" t="s">
        <v>1286</v>
      </c>
      <c r="L569" s="58">
        <v>27966</v>
      </c>
      <c r="M569" s="50">
        <f>ROUND('FA Addition'!$L569*5%,0.1)</f>
        <v>1398</v>
      </c>
      <c r="N569" s="113" t="str">
        <f>_xlfn.XLOOKUP(_xlfn.CONCAT(E569,B569),'Year Wise Master Dep Approach'!F:F,'Year Wise Master Dep Approach'!D:D)</f>
        <v>WDV</v>
      </c>
      <c r="O569" s="113">
        <f>_xlfn.XLOOKUP(_xlfn.CONCAT(E569,B569),'Year Wise Master Dep Approach'!F:F,'Year Wise Master Dep Approach'!E:E)</f>
        <v>3</v>
      </c>
      <c r="P569" s="114">
        <f>IFERROR(IF('FA Addition'!$N569="WDV",1-('FA Addition'!$M569/'FA Addition'!$L569)^(1/'FA Addition'!$O569),1/'FA Addition'!$O569),0)</f>
        <v>0.63162319852325355</v>
      </c>
      <c r="Q569" s="122">
        <f>'FA Addition'!$P569*'FA Addition'!$O569</f>
        <v>1.8948695955697605</v>
      </c>
      <c r="R569" s="122"/>
      <c r="S569" s="116">
        <f>IF(AND(DATE(20&amp;LEFT(FAAddition[[#This Row],[FY]],2),4,1)&lt;$L$1+1,DATE(20&amp;LEFT(FAAddition[[#This Row],[FY]],2),4,1)&gt;$P$1-1),'FA Addition'!$J569,0)</f>
        <v>0</v>
      </c>
      <c r="U569" s="117">
        <f>S569*'FA Addition'!$L569/'FA Addition'!$J569</f>
        <v>0</v>
      </c>
      <c r="W569" s="116">
        <f>SUMIFS('FA Write off'!D:D,'FA Write off'!A:A,'FA Addition'!$A569,'FA Write off'!C:C,"&lt;"&amp;'FA Addition'!$P$1)</f>
        <v>0</v>
      </c>
      <c r="Y569" s="191">
        <f>IFERROR(W569/'FA Addition'!$J569*'FA Addition'!$L569,0)</f>
        <v>0</v>
      </c>
      <c r="AA569" s="116">
        <f>SUMIFS('FA Write off'!D:D,'FA Write off'!A:A,'FA Addition'!$A569,'FA Write off'!C:C,"&lt;"&amp;'FA Addition'!$L$1+1,'FA Write off'!C:C,"&gt;"&amp;'FA Addition'!$L$1-365)</f>
        <v>0</v>
      </c>
      <c r="AC569" s="118">
        <f>IFERROR(AA569/'FA Addition'!$J569*'FA Addition'!$L569,0)</f>
        <v>0</v>
      </c>
      <c r="AE569" s="117">
        <f>IF(AND('FA Addition'!$D569&lt;$P$1+1,U569=0),'FA Addition'!$L569,0)-Y569</f>
        <v>27966</v>
      </c>
      <c r="AF569" s="117">
        <f t="shared" si="40"/>
        <v>27966</v>
      </c>
      <c r="AG569" s="117">
        <f>MIN(MAX(+$P$1-'FA Addition'!$D569,0),365*'FA Addition'!$O569)</f>
        <v>129</v>
      </c>
      <c r="AH569" s="117">
        <f>MIN(MAX($L$1-'FA Addition'!$D569+1,0),365*'FA Addition'!$O569)</f>
        <v>495</v>
      </c>
      <c r="AI569" s="117" cm="1">
        <f t="array" ref="AI569">_xlfn.XLOOKUP(1,('FA Write off'!A:A='FA Addition'!$A569)*('FA Write off'!D:D=AA569),'FA Write off'!H:H,0,0)</f>
        <v>0</v>
      </c>
      <c r="AJ569" s="117">
        <f>IF(AC569&gt;0,MAX(IF('FA Addition'!$N569="SLM",($AC569-'FA Addition'!$M569)*'FA Addition'!$P569*AI569/365,(AC569-'FA Addition'!$M569)*(1-(1-'FA Addition'!$P569)^(AI569/365))),0),0)</f>
        <v>0</v>
      </c>
      <c r="AL569" s="117">
        <f>MAX(IF(AG569&gt;0,IF('FA Addition'!$N569="SLM",($AE569-'FA Addition'!$M569)*'FA Addition'!$P569*AG569/365,IFERROR(VDB(AE569,AE569*0.05,'FA Addition'!$O569,0,YEARFRAC('FA Addition'!$C569,$P$1-1,3),'FA Addition'!$Q569),FAAddition[[#This Row],[Original Cost (Rs)]]-FAAddition[[#This Row],[Salvage Value]])),0),0)</f>
        <v>6194.4896420475825</v>
      </c>
      <c r="AM569" s="119"/>
      <c r="AN569" s="117">
        <f>MAX(IF(AH569&gt;0,IF('FA Addition'!$N569="SLM",($AF569-'FA Addition'!$M569)*'FA Addition'!$P569*AH569/365,IFERROR(VDB(AF569,AF569*0.05,'FA Addition'!$O569,0,YEARFRAC('FA Addition'!$C569,$L$1,3),'FA Addition'!$Q569),FAAddition[[#This Row],[Original Cost (Rs)]]-FAAddition[[#This Row],[Salvage Value]])),0),0)</f>
        <v>19963.70804384087</v>
      </c>
      <c r="AO569" s="117">
        <f t="shared" si="43"/>
        <v>13769.218401793289</v>
      </c>
      <c r="AP569" s="206"/>
      <c r="AQ569" s="117">
        <f t="shared" si="41"/>
        <v>21771.510357952418</v>
      </c>
      <c r="AR569" s="120">
        <f t="shared" si="42"/>
        <v>8002.2919561591298</v>
      </c>
      <c r="AS569" s="121"/>
    </row>
    <row r="570" spans="1:45" ht="13.5" x14ac:dyDescent="0.4">
      <c r="A570" s="12">
        <f t="shared" si="44"/>
        <v>567</v>
      </c>
      <c r="B570" s="64" t="s">
        <v>1089</v>
      </c>
      <c r="C570" s="54">
        <v>44888</v>
      </c>
      <c r="D570" s="54">
        <v>44888</v>
      </c>
      <c r="E570" s="46" t="s">
        <v>451</v>
      </c>
      <c r="F570" s="51" t="s">
        <v>1133</v>
      </c>
      <c r="G570" s="51" t="s">
        <v>1284</v>
      </c>
      <c r="H570" s="51" t="s">
        <v>21</v>
      </c>
      <c r="I570" s="55" t="s">
        <v>1285</v>
      </c>
      <c r="J570" s="56">
        <v>1</v>
      </c>
      <c r="K570" s="51" t="s">
        <v>1286</v>
      </c>
      <c r="L570" s="58">
        <v>27966</v>
      </c>
      <c r="M570" s="50">
        <f>ROUND('FA Addition'!$L570*5%,0.1)</f>
        <v>1398</v>
      </c>
      <c r="N570" s="113" t="str">
        <f>_xlfn.XLOOKUP(_xlfn.CONCAT(E570,B570),'Year Wise Master Dep Approach'!F:F,'Year Wise Master Dep Approach'!D:D)</f>
        <v>WDV</v>
      </c>
      <c r="O570" s="113">
        <f>_xlfn.XLOOKUP(_xlfn.CONCAT(E570,B570),'Year Wise Master Dep Approach'!F:F,'Year Wise Master Dep Approach'!E:E)</f>
        <v>3</v>
      </c>
      <c r="P570" s="114">
        <f>IFERROR(IF('FA Addition'!$N570="WDV",1-('FA Addition'!$M570/'FA Addition'!$L570)^(1/'FA Addition'!$O570),1/'FA Addition'!$O570),0)</f>
        <v>0.63162319852325355</v>
      </c>
      <c r="Q570" s="122">
        <f>'FA Addition'!$P570*'FA Addition'!$O570</f>
        <v>1.8948695955697605</v>
      </c>
      <c r="R570" s="122"/>
      <c r="S570" s="116">
        <f>IF(AND(DATE(20&amp;LEFT(FAAddition[[#This Row],[FY]],2),4,1)&lt;$L$1+1,DATE(20&amp;LEFT(FAAddition[[#This Row],[FY]],2),4,1)&gt;$P$1-1),'FA Addition'!$J570,0)</f>
        <v>0</v>
      </c>
      <c r="U570" s="117">
        <f>S570*'FA Addition'!$L570/'FA Addition'!$J570</f>
        <v>0</v>
      </c>
      <c r="W570" s="116">
        <f>SUMIFS('FA Write off'!D:D,'FA Write off'!A:A,'FA Addition'!$A570,'FA Write off'!C:C,"&lt;"&amp;'FA Addition'!$P$1)</f>
        <v>0</v>
      </c>
      <c r="Y570" s="191">
        <f>IFERROR(W570/'FA Addition'!$J570*'FA Addition'!$L570,0)</f>
        <v>0</v>
      </c>
      <c r="AA570" s="116">
        <f>SUMIFS('FA Write off'!D:D,'FA Write off'!A:A,'FA Addition'!$A570,'FA Write off'!C:C,"&lt;"&amp;'FA Addition'!$L$1+1,'FA Write off'!C:C,"&gt;"&amp;'FA Addition'!$L$1-365)</f>
        <v>0</v>
      </c>
      <c r="AC570" s="118">
        <f>IFERROR(AA570/'FA Addition'!$J570*'FA Addition'!$L570,0)</f>
        <v>0</v>
      </c>
      <c r="AE570" s="117">
        <f>IF(AND('FA Addition'!$D570&lt;$P$1+1,U570=0),'FA Addition'!$L570,0)-Y570</f>
        <v>27966</v>
      </c>
      <c r="AF570" s="117">
        <f t="shared" si="40"/>
        <v>27966</v>
      </c>
      <c r="AG570" s="117">
        <f>MIN(MAX(+$P$1-'FA Addition'!$D570,0),365*'FA Addition'!$O570)</f>
        <v>129</v>
      </c>
      <c r="AH570" s="117">
        <f>MIN(MAX($L$1-'FA Addition'!$D570+1,0),365*'FA Addition'!$O570)</f>
        <v>495</v>
      </c>
      <c r="AI570" s="117" cm="1">
        <f t="array" ref="AI570">_xlfn.XLOOKUP(1,('FA Write off'!A:A='FA Addition'!$A570)*('FA Write off'!D:D=AA570),'FA Write off'!H:H,0,0)</f>
        <v>0</v>
      </c>
      <c r="AJ570" s="117">
        <f>IF(AC570&gt;0,MAX(IF('FA Addition'!$N570="SLM",($AC570-'FA Addition'!$M570)*'FA Addition'!$P570*AI570/365,(AC570-'FA Addition'!$M570)*(1-(1-'FA Addition'!$P570)^(AI570/365))),0),0)</f>
        <v>0</v>
      </c>
      <c r="AL570" s="117">
        <f>MAX(IF(AG570&gt;0,IF('FA Addition'!$N570="SLM",($AE570-'FA Addition'!$M570)*'FA Addition'!$P570*AG570/365,IFERROR(VDB(AE570,AE570*0.05,'FA Addition'!$O570,0,YEARFRAC('FA Addition'!$C570,$P$1-1,3),'FA Addition'!$Q570),FAAddition[[#This Row],[Original Cost (Rs)]]-FAAddition[[#This Row],[Salvage Value]])),0),0)</f>
        <v>6194.4896420475825</v>
      </c>
      <c r="AM570" s="119"/>
      <c r="AN570" s="117">
        <f>MAX(IF(AH570&gt;0,IF('FA Addition'!$N570="SLM",($AF570-'FA Addition'!$M570)*'FA Addition'!$P570*AH570/365,IFERROR(VDB(AF570,AF570*0.05,'FA Addition'!$O570,0,YEARFRAC('FA Addition'!$C570,$L$1,3),'FA Addition'!$Q570),FAAddition[[#This Row],[Original Cost (Rs)]]-FAAddition[[#This Row],[Salvage Value]])),0),0)</f>
        <v>19963.70804384087</v>
      </c>
      <c r="AO570" s="117">
        <f t="shared" si="43"/>
        <v>13769.218401793289</v>
      </c>
      <c r="AP570" s="206"/>
      <c r="AQ570" s="117">
        <f t="shared" si="41"/>
        <v>21771.510357952418</v>
      </c>
      <c r="AR570" s="120">
        <f t="shared" si="42"/>
        <v>8002.2919561591298</v>
      </c>
      <c r="AS570" s="121"/>
    </row>
    <row r="571" spans="1:45" ht="13.5" x14ac:dyDescent="0.4">
      <c r="A571" s="12">
        <f t="shared" si="44"/>
        <v>568</v>
      </c>
      <c r="B571" s="64" t="s">
        <v>1089</v>
      </c>
      <c r="C571" s="54">
        <v>44888</v>
      </c>
      <c r="D571" s="54">
        <v>44888</v>
      </c>
      <c r="E571" s="46" t="s">
        <v>451</v>
      </c>
      <c r="F571" s="51" t="s">
        <v>1133</v>
      </c>
      <c r="G571" s="51" t="s">
        <v>1284</v>
      </c>
      <c r="H571" s="51" t="s">
        <v>21</v>
      </c>
      <c r="I571" s="55" t="s">
        <v>1285</v>
      </c>
      <c r="J571" s="56">
        <v>1</v>
      </c>
      <c r="K571" s="51" t="s">
        <v>1286</v>
      </c>
      <c r="L571" s="58">
        <v>27966</v>
      </c>
      <c r="M571" s="50">
        <f>ROUND('FA Addition'!$L571*5%,0.1)</f>
        <v>1398</v>
      </c>
      <c r="N571" s="113" t="str">
        <f>_xlfn.XLOOKUP(_xlfn.CONCAT(E571,B571),'Year Wise Master Dep Approach'!F:F,'Year Wise Master Dep Approach'!D:D)</f>
        <v>WDV</v>
      </c>
      <c r="O571" s="113">
        <f>_xlfn.XLOOKUP(_xlfn.CONCAT(E571,B571),'Year Wise Master Dep Approach'!F:F,'Year Wise Master Dep Approach'!E:E)</f>
        <v>3</v>
      </c>
      <c r="P571" s="114">
        <f>IFERROR(IF('FA Addition'!$N571="WDV",1-('FA Addition'!$M571/'FA Addition'!$L571)^(1/'FA Addition'!$O571),1/'FA Addition'!$O571),0)</f>
        <v>0.63162319852325355</v>
      </c>
      <c r="Q571" s="122">
        <f>'FA Addition'!$P571*'FA Addition'!$O571</f>
        <v>1.8948695955697605</v>
      </c>
      <c r="R571" s="122"/>
      <c r="S571" s="116">
        <f>IF(AND(DATE(20&amp;LEFT(FAAddition[[#This Row],[FY]],2),4,1)&lt;$L$1+1,DATE(20&amp;LEFT(FAAddition[[#This Row],[FY]],2),4,1)&gt;$P$1-1),'FA Addition'!$J571,0)</f>
        <v>0</v>
      </c>
      <c r="U571" s="117">
        <f>S571*'FA Addition'!$L571/'FA Addition'!$J571</f>
        <v>0</v>
      </c>
      <c r="W571" s="116">
        <f>SUMIFS('FA Write off'!D:D,'FA Write off'!A:A,'FA Addition'!$A571,'FA Write off'!C:C,"&lt;"&amp;'FA Addition'!$P$1)</f>
        <v>0</v>
      </c>
      <c r="Y571" s="191">
        <f>IFERROR(W571/'FA Addition'!$J571*'FA Addition'!$L571,0)</f>
        <v>0</v>
      </c>
      <c r="AA571" s="116">
        <f>SUMIFS('FA Write off'!D:D,'FA Write off'!A:A,'FA Addition'!$A571,'FA Write off'!C:C,"&lt;"&amp;'FA Addition'!$L$1+1,'FA Write off'!C:C,"&gt;"&amp;'FA Addition'!$L$1-365)</f>
        <v>0</v>
      </c>
      <c r="AC571" s="118">
        <f>IFERROR(AA571/'FA Addition'!$J571*'FA Addition'!$L571,0)</f>
        <v>0</v>
      </c>
      <c r="AE571" s="117">
        <f>IF(AND('FA Addition'!$D571&lt;$P$1+1,U571=0),'FA Addition'!$L571,0)-Y571</f>
        <v>27966</v>
      </c>
      <c r="AF571" s="117">
        <f t="shared" si="40"/>
        <v>27966</v>
      </c>
      <c r="AG571" s="117">
        <f>MIN(MAX(+$P$1-'FA Addition'!$D571,0),365*'FA Addition'!$O571)</f>
        <v>129</v>
      </c>
      <c r="AH571" s="117">
        <f>MIN(MAX($L$1-'FA Addition'!$D571+1,0),365*'FA Addition'!$O571)</f>
        <v>495</v>
      </c>
      <c r="AI571" s="117" cm="1">
        <f t="array" ref="AI571">_xlfn.XLOOKUP(1,('FA Write off'!A:A='FA Addition'!$A571)*('FA Write off'!D:D=AA571),'FA Write off'!H:H,0,0)</f>
        <v>0</v>
      </c>
      <c r="AJ571" s="117">
        <f>IF(AC571&gt;0,MAX(IF('FA Addition'!$N571="SLM",($AC571-'FA Addition'!$M571)*'FA Addition'!$P571*AI571/365,(AC571-'FA Addition'!$M571)*(1-(1-'FA Addition'!$P571)^(AI571/365))),0),0)</f>
        <v>0</v>
      </c>
      <c r="AL571" s="117">
        <f>MAX(IF(AG571&gt;0,IF('FA Addition'!$N571="SLM",($AE571-'FA Addition'!$M571)*'FA Addition'!$P571*AG571/365,IFERROR(VDB(AE571,AE571*0.05,'FA Addition'!$O571,0,YEARFRAC('FA Addition'!$C571,$P$1-1,3),'FA Addition'!$Q571),FAAddition[[#This Row],[Original Cost (Rs)]]-FAAddition[[#This Row],[Salvage Value]])),0),0)</f>
        <v>6194.4896420475825</v>
      </c>
      <c r="AM571" s="119"/>
      <c r="AN571" s="117">
        <f>MAX(IF(AH571&gt;0,IF('FA Addition'!$N571="SLM",($AF571-'FA Addition'!$M571)*'FA Addition'!$P571*AH571/365,IFERROR(VDB(AF571,AF571*0.05,'FA Addition'!$O571,0,YEARFRAC('FA Addition'!$C571,$L$1,3),'FA Addition'!$Q571),FAAddition[[#This Row],[Original Cost (Rs)]]-FAAddition[[#This Row],[Salvage Value]])),0),0)</f>
        <v>19963.70804384087</v>
      </c>
      <c r="AO571" s="117">
        <f t="shared" si="43"/>
        <v>13769.218401793289</v>
      </c>
      <c r="AP571" s="206"/>
      <c r="AQ571" s="117">
        <f t="shared" si="41"/>
        <v>21771.510357952418</v>
      </c>
      <c r="AR571" s="120">
        <f t="shared" si="42"/>
        <v>8002.2919561591298</v>
      </c>
      <c r="AS571" s="121"/>
    </row>
    <row r="572" spans="1:45" ht="13.5" x14ac:dyDescent="0.4">
      <c r="A572" s="12">
        <f t="shared" si="44"/>
        <v>569</v>
      </c>
      <c r="B572" s="64" t="s">
        <v>1089</v>
      </c>
      <c r="C572" s="54">
        <v>44888</v>
      </c>
      <c r="D572" s="54">
        <v>44888</v>
      </c>
      <c r="E572" s="46" t="s">
        <v>451</v>
      </c>
      <c r="F572" s="51" t="s">
        <v>1133</v>
      </c>
      <c r="G572" s="51" t="s">
        <v>1284</v>
      </c>
      <c r="H572" s="51" t="s">
        <v>21</v>
      </c>
      <c r="I572" s="55" t="s">
        <v>1285</v>
      </c>
      <c r="J572" s="56">
        <v>1</v>
      </c>
      <c r="K572" s="51" t="s">
        <v>1286</v>
      </c>
      <c r="L572" s="58">
        <v>27966</v>
      </c>
      <c r="M572" s="50">
        <f>ROUND('FA Addition'!$L572*5%,0.1)</f>
        <v>1398</v>
      </c>
      <c r="N572" s="113" t="str">
        <f>_xlfn.XLOOKUP(_xlfn.CONCAT(E572,B572),'Year Wise Master Dep Approach'!F:F,'Year Wise Master Dep Approach'!D:D)</f>
        <v>WDV</v>
      </c>
      <c r="O572" s="113">
        <f>_xlfn.XLOOKUP(_xlfn.CONCAT(E572,B572),'Year Wise Master Dep Approach'!F:F,'Year Wise Master Dep Approach'!E:E)</f>
        <v>3</v>
      </c>
      <c r="P572" s="114">
        <f>IFERROR(IF('FA Addition'!$N572="WDV",1-('FA Addition'!$M572/'FA Addition'!$L572)^(1/'FA Addition'!$O572),1/'FA Addition'!$O572),0)</f>
        <v>0.63162319852325355</v>
      </c>
      <c r="Q572" s="122">
        <f>'FA Addition'!$P572*'FA Addition'!$O572</f>
        <v>1.8948695955697605</v>
      </c>
      <c r="R572" s="122"/>
      <c r="S572" s="116">
        <f>IF(AND(DATE(20&amp;LEFT(FAAddition[[#This Row],[FY]],2),4,1)&lt;$L$1+1,DATE(20&amp;LEFT(FAAddition[[#This Row],[FY]],2),4,1)&gt;$P$1-1),'FA Addition'!$J572,0)</f>
        <v>0</v>
      </c>
      <c r="U572" s="117">
        <f>S572*'FA Addition'!$L572/'FA Addition'!$J572</f>
        <v>0</v>
      </c>
      <c r="W572" s="116">
        <f>SUMIFS('FA Write off'!D:D,'FA Write off'!A:A,'FA Addition'!$A572,'FA Write off'!C:C,"&lt;"&amp;'FA Addition'!$P$1)</f>
        <v>0</v>
      </c>
      <c r="Y572" s="191">
        <f>IFERROR(W572/'FA Addition'!$J572*'FA Addition'!$L572,0)</f>
        <v>0</v>
      </c>
      <c r="AA572" s="116">
        <f>SUMIFS('FA Write off'!D:D,'FA Write off'!A:A,'FA Addition'!$A572,'FA Write off'!C:C,"&lt;"&amp;'FA Addition'!$L$1+1,'FA Write off'!C:C,"&gt;"&amp;'FA Addition'!$L$1-365)</f>
        <v>0</v>
      </c>
      <c r="AC572" s="118">
        <f>IFERROR(AA572/'FA Addition'!$J572*'FA Addition'!$L572,0)</f>
        <v>0</v>
      </c>
      <c r="AE572" s="117">
        <f>IF(AND('FA Addition'!$D572&lt;$P$1+1,U572=0),'FA Addition'!$L572,0)-Y572</f>
        <v>27966</v>
      </c>
      <c r="AF572" s="117">
        <f t="shared" si="40"/>
        <v>27966</v>
      </c>
      <c r="AG572" s="117">
        <f>MIN(MAX(+$P$1-'FA Addition'!$D572,0),365*'FA Addition'!$O572)</f>
        <v>129</v>
      </c>
      <c r="AH572" s="117">
        <f>MIN(MAX($L$1-'FA Addition'!$D572+1,0),365*'FA Addition'!$O572)</f>
        <v>495</v>
      </c>
      <c r="AI572" s="117" cm="1">
        <f t="array" ref="AI572">_xlfn.XLOOKUP(1,('FA Write off'!A:A='FA Addition'!$A572)*('FA Write off'!D:D=AA572),'FA Write off'!H:H,0,0)</f>
        <v>0</v>
      </c>
      <c r="AJ572" s="117">
        <f>IF(AC572&gt;0,MAX(IF('FA Addition'!$N572="SLM",($AC572-'FA Addition'!$M572)*'FA Addition'!$P572*AI572/365,(AC572-'FA Addition'!$M572)*(1-(1-'FA Addition'!$P572)^(AI572/365))),0),0)</f>
        <v>0</v>
      </c>
      <c r="AL572" s="117">
        <f>MAX(IF(AG572&gt;0,IF('FA Addition'!$N572="SLM",($AE572-'FA Addition'!$M572)*'FA Addition'!$P572*AG572/365,IFERROR(VDB(AE572,AE572*0.05,'FA Addition'!$O572,0,YEARFRAC('FA Addition'!$C572,$P$1-1,3),'FA Addition'!$Q572),FAAddition[[#This Row],[Original Cost (Rs)]]-FAAddition[[#This Row],[Salvage Value]])),0),0)</f>
        <v>6194.4896420475825</v>
      </c>
      <c r="AM572" s="119"/>
      <c r="AN572" s="117">
        <f>MAX(IF(AH572&gt;0,IF('FA Addition'!$N572="SLM",($AF572-'FA Addition'!$M572)*'FA Addition'!$P572*AH572/365,IFERROR(VDB(AF572,AF572*0.05,'FA Addition'!$O572,0,YEARFRAC('FA Addition'!$C572,$L$1,3),'FA Addition'!$Q572),FAAddition[[#This Row],[Original Cost (Rs)]]-FAAddition[[#This Row],[Salvage Value]])),0),0)</f>
        <v>19963.70804384087</v>
      </c>
      <c r="AO572" s="117">
        <f t="shared" si="43"/>
        <v>13769.218401793289</v>
      </c>
      <c r="AP572" s="206"/>
      <c r="AQ572" s="117">
        <f t="shared" si="41"/>
        <v>21771.510357952418</v>
      </c>
      <c r="AR572" s="120">
        <f t="shared" si="42"/>
        <v>8002.2919561591298</v>
      </c>
      <c r="AS572" s="121"/>
    </row>
    <row r="573" spans="1:45" ht="13.5" x14ac:dyDescent="0.4">
      <c r="A573" s="12">
        <f t="shared" si="44"/>
        <v>570</v>
      </c>
      <c r="B573" s="64" t="s">
        <v>1089</v>
      </c>
      <c r="C573" s="54">
        <v>44893</v>
      </c>
      <c r="D573" s="54">
        <v>44893</v>
      </c>
      <c r="E573" s="46" t="s">
        <v>32</v>
      </c>
      <c r="F573" s="51" t="s">
        <v>1090</v>
      </c>
      <c r="G573" s="51" t="s">
        <v>433</v>
      </c>
      <c r="H573" s="51" t="s">
        <v>32</v>
      </c>
      <c r="I573" s="55" t="s">
        <v>1287</v>
      </c>
      <c r="J573" s="56">
        <v>1500</v>
      </c>
      <c r="K573" s="51" t="s">
        <v>1260</v>
      </c>
      <c r="L573" s="58">
        <v>1650000</v>
      </c>
      <c r="M573" s="50">
        <f>ROUND('FA Addition'!$L573*5%,0.1)</f>
        <v>82500</v>
      </c>
      <c r="N573" s="113" t="str">
        <f>_xlfn.XLOOKUP(_xlfn.CONCAT(E573,B573),'Year Wise Master Dep Approach'!F:F,'Year Wise Master Dep Approach'!D:D)</f>
        <v>WDV</v>
      </c>
      <c r="O573" s="113">
        <f>_xlfn.XLOOKUP(_xlfn.CONCAT(E573,B573),'Year Wise Master Dep Approach'!F:F,'Year Wise Master Dep Approach'!E:E)</f>
        <v>3</v>
      </c>
      <c r="P573" s="114">
        <f>IFERROR(IF('FA Addition'!$N573="WDV",1-('FA Addition'!$M573/'FA Addition'!$L573)^(1/'FA Addition'!$O573),1/'FA Addition'!$O573),0)</f>
        <v>0.63159685013596123</v>
      </c>
      <c r="Q573" s="122">
        <f>'FA Addition'!$P573*'FA Addition'!$O573</f>
        <v>1.8947905504078837</v>
      </c>
      <c r="R573" s="122"/>
      <c r="S573" s="116">
        <f>IF(AND(DATE(20&amp;LEFT(FAAddition[[#This Row],[FY]],2),4,1)&lt;$L$1+1,DATE(20&amp;LEFT(FAAddition[[#This Row],[FY]],2),4,1)&gt;$P$1-1),'FA Addition'!$J573,0)</f>
        <v>0</v>
      </c>
      <c r="U573" s="117">
        <f>S573*'FA Addition'!$L573/'FA Addition'!$J573</f>
        <v>0</v>
      </c>
      <c r="W573" s="116">
        <f>SUMIFS('FA Write off'!D:D,'FA Write off'!A:A,'FA Addition'!$A573,'FA Write off'!C:C,"&lt;"&amp;'FA Addition'!$P$1)</f>
        <v>11</v>
      </c>
      <c r="Y573" s="191">
        <f>IFERROR(W573/'FA Addition'!$J573*'FA Addition'!$L573,0)</f>
        <v>12100</v>
      </c>
      <c r="AA573" s="116">
        <f>SUMIFS('FA Write off'!D:D,'FA Write off'!A:A,'FA Addition'!$A573,'FA Write off'!C:C,"&lt;"&amp;'FA Addition'!$L$1+1,'FA Write off'!C:C,"&gt;"&amp;'FA Addition'!$L$1-365)</f>
        <v>0</v>
      </c>
      <c r="AC573" s="191">
        <f>IFERROR(AA573/'FA Addition'!$J573*'FA Addition'!$L573,0)</f>
        <v>0</v>
      </c>
      <c r="AE573" s="117">
        <f>IF(AND('FA Addition'!$D573&lt;$P$1+1,U573=0),'FA Addition'!$L573,0)-Y573</f>
        <v>1637900</v>
      </c>
      <c r="AF573" s="117">
        <f t="shared" si="40"/>
        <v>1637900</v>
      </c>
      <c r="AG573" s="117">
        <f>MIN(MAX(+$P$1-'FA Addition'!$D573,0),365*'FA Addition'!$O573)</f>
        <v>124</v>
      </c>
      <c r="AH573" s="117">
        <f>MIN(MAX($L$1-'FA Addition'!$D573+1,0),365*'FA Addition'!$O573)</f>
        <v>490</v>
      </c>
      <c r="AI573" s="117" cm="1">
        <f t="array" ref="AI573">_xlfn.XLOOKUP(1,('FA Write off'!A:A='FA Addition'!$A573)*('FA Write off'!D:D=AA573),'FA Write off'!H:H,0,0)</f>
        <v>0</v>
      </c>
      <c r="AJ573" s="117">
        <f>IF(AC573&gt;0,MAX(IF('FA Addition'!$N573="SLM",($AC573-'FA Addition'!$M573)*'FA Addition'!$P573*AI573/365,(AC573-'FA Addition'!$M573)*(1-(1-'FA Addition'!$P573)^(AI573/365))),0),0)</f>
        <v>0</v>
      </c>
      <c r="AL573" s="117">
        <f>MAX(IF(AG573&gt;0,IF('FA Addition'!$N573="SLM",($AE573-'FA Addition'!$M573)*'FA Addition'!$P573*AG573/365,IFERROR(VDB(AE573,AE573*0.05,'FA Addition'!$O573,0,YEARFRAC('FA Addition'!$C573,$P$1-1,3),'FA Addition'!$Q573),FAAddition[[#This Row],[Original Cost (Rs)]]-FAAddition[[#This Row],[Salvage Value]])),0),0)</f>
        <v>348609.79491242731</v>
      </c>
      <c r="AM573" s="119"/>
      <c r="AN573" s="117">
        <f>MAX(IF(AH573&gt;0,IF('FA Addition'!$N573="SLM",($AF573-'FA Addition'!$M573)*'FA Addition'!$P573*AH573/365,IFERROR(VDB(AF573,AF573*0.05,'FA Addition'!$O573,0,YEARFRAC('FA Addition'!$C573,$L$1,3),'FA Addition'!$Q573),FAAddition[[#This Row],[Original Cost (Rs)]]-FAAddition[[#This Row],[Salvage Value]])),0),0)</f>
        <v>1163965.5651334645</v>
      </c>
      <c r="AO573" s="117">
        <f t="shared" si="43"/>
        <v>815355.77022103721</v>
      </c>
      <c r="AP573" s="206"/>
      <c r="AQ573" s="117">
        <f t="shared" si="41"/>
        <v>1289290.2050875728</v>
      </c>
      <c r="AR573" s="120">
        <f t="shared" si="42"/>
        <v>473934.43486653548</v>
      </c>
      <c r="AS573" s="121"/>
    </row>
    <row r="574" spans="1:45" ht="13.5" x14ac:dyDescent="0.4">
      <c r="A574" s="12">
        <f t="shared" si="44"/>
        <v>571</v>
      </c>
      <c r="B574" s="64" t="s">
        <v>1089</v>
      </c>
      <c r="C574" s="54">
        <v>44897</v>
      </c>
      <c r="D574" s="54">
        <v>44897</v>
      </c>
      <c r="E574" s="46" t="s">
        <v>32</v>
      </c>
      <c r="F574" s="51" t="s">
        <v>1090</v>
      </c>
      <c r="G574" s="51" t="s">
        <v>433</v>
      </c>
      <c r="H574" s="51" t="s">
        <v>32</v>
      </c>
      <c r="I574" s="55" t="s">
        <v>1288</v>
      </c>
      <c r="J574" s="56">
        <v>2000</v>
      </c>
      <c r="K574" s="51" t="s">
        <v>935</v>
      </c>
      <c r="L574" s="58">
        <v>2200000</v>
      </c>
      <c r="M574" s="50">
        <f>ROUND('FA Addition'!$L574*5%,0.1)</f>
        <v>110000</v>
      </c>
      <c r="N574" s="113" t="str">
        <f>_xlfn.XLOOKUP(_xlfn.CONCAT(E574,B574),'Year Wise Master Dep Approach'!F:F,'Year Wise Master Dep Approach'!D:D)</f>
        <v>WDV</v>
      </c>
      <c r="O574" s="113">
        <f>_xlfn.XLOOKUP(_xlfn.CONCAT(E574,B574),'Year Wise Master Dep Approach'!F:F,'Year Wise Master Dep Approach'!E:E)</f>
        <v>3</v>
      </c>
      <c r="P574" s="114">
        <f>IFERROR(IF('FA Addition'!$N574="WDV",1-('FA Addition'!$M574/'FA Addition'!$L574)^(1/'FA Addition'!$O574),1/'FA Addition'!$O574),0)</f>
        <v>0.63159685013596123</v>
      </c>
      <c r="Q574" s="122">
        <f>'FA Addition'!$P574*'FA Addition'!$O574</f>
        <v>1.8947905504078837</v>
      </c>
      <c r="R574" s="122"/>
      <c r="S574" s="116">
        <f>IF(AND(DATE(20&amp;LEFT(FAAddition[[#This Row],[FY]],2),4,1)&lt;$L$1+1,DATE(20&amp;LEFT(FAAddition[[#This Row],[FY]],2),4,1)&gt;$P$1-1),'FA Addition'!$J574,0)</f>
        <v>0</v>
      </c>
      <c r="U574" s="117">
        <f>S574*'FA Addition'!$L574/'FA Addition'!$J574</f>
        <v>0</v>
      </c>
      <c r="W574" s="116">
        <f>SUMIFS('FA Write off'!D:D,'FA Write off'!A:A,'FA Addition'!$A574,'FA Write off'!C:C,"&lt;"&amp;'FA Addition'!$P$1)</f>
        <v>18</v>
      </c>
      <c r="Y574" s="191">
        <f>IFERROR(W574/'FA Addition'!$J574*'FA Addition'!$L574,0)</f>
        <v>19800</v>
      </c>
      <c r="AA574" s="116">
        <f>SUMIFS('FA Write off'!D:D,'FA Write off'!A:A,'FA Addition'!$A574,'FA Write off'!C:C,"&lt;"&amp;'FA Addition'!$L$1+1,'FA Write off'!C:C,"&gt;"&amp;'FA Addition'!$L$1-365)</f>
        <v>1100</v>
      </c>
      <c r="AC574" s="191">
        <f>IFERROR(AA574/'FA Addition'!$J574*'FA Addition'!$L574,0)</f>
        <v>1210000</v>
      </c>
      <c r="AE574" s="117">
        <f>IF(AND('FA Addition'!$D574&lt;$P$1+1,U574=0),'FA Addition'!$L574,0)-Y574</f>
        <v>2180200</v>
      </c>
      <c r="AF574" s="117">
        <f t="shared" si="40"/>
        <v>970200</v>
      </c>
      <c r="AG574" s="117">
        <f>MIN(MAX(+$P$1-'FA Addition'!$D574,0),365*'FA Addition'!$O574)</f>
        <v>120</v>
      </c>
      <c r="AH574" s="117">
        <f>MIN(MAX($L$1-'FA Addition'!$D574+1,0),365*'FA Addition'!$O574)</f>
        <v>486</v>
      </c>
      <c r="AI574" s="117" cm="1">
        <f t="array" ref="AI574">_xlfn.XLOOKUP(1,('FA Write off'!A:A='FA Addition'!$A574)*('FA Write off'!D:D=AA574),'FA Write off'!H:H,0,0)</f>
        <v>486</v>
      </c>
      <c r="AJ574" s="117">
        <f>IF(AC574&gt;0,MAX(IF('FA Addition'!$N574="SLM",($AC574-'FA Addition'!$M574)*'FA Addition'!$P574*AI574/365,(AC574-'FA Addition'!$M574)*(1-(1-'FA Addition'!$P574)^(AI574/365))),0),0)</f>
        <v>808962.30977172148</v>
      </c>
      <c r="AL574" s="117">
        <f>MAX(IF(AG574&gt;0,IF('FA Addition'!$N574="SLM",($AE574-'FA Addition'!$M574)*'FA Addition'!$P574*AG574/365,IFERROR(VDB(AE574,AE574*0.05,'FA Addition'!$O574,0,YEARFRAC('FA Addition'!$C574,$P$1-1,3),'FA Addition'!$Q574),FAAddition[[#This Row],[Original Cost (Rs)]]-FAAddition[[#This Row],[Salvage Value]])),0),0)</f>
        <v>448942.15580083366</v>
      </c>
      <c r="AM574" s="119"/>
      <c r="AN574" s="117">
        <f>MAX(IF(AH574&gt;0,IF('FA Addition'!$N574="SLM",($AF574-'FA Addition'!$M574)*'FA Addition'!$P574*AH574/365,IFERROR(VDB(AF574,AF574*0.05,'FA Addition'!$O574,0,YEARFRAC('FA Addition'!$C574,$L$1,3),'FA Addition'!$Q574),FAAddition[[#This Row],[Original Cost (Rs)]]-FAAddition[[#This Row],[Salvage Value]])),0),0)</f>
        <v>686993.89548149472</v>
      </c>
      <c r="AO574" s="117">
        <f t="shared" si="43"/>
        <v>1047014.0494523826</v>
      </c>
      <c r="AP574" s="206"/>
      <c r="AQ574" s="117">
        <f t="shared" si="41"/>
        <v>1731257.8441991664</v>
      </c>
      <c r="AR574" s="120">
        <f t="shared" si="42"/>
        <v>283206.10451850528</v>
      </c>
      <c r="AS574" s="121"/>
    </row>
    <row r="575" spans="1:45" ht="13.5" x14ac:dyDescent="0.4">
      <c r="A575" s="12">
        <f t="shared" si="44"/>
        <v>572</v>
      </c>
      <c r="B575" s="64" t="s">
        <v>1089</v>
      </c>
      <c r="C575" s="54">
        <v>44902</v>
      </c>
      <c r="D575" s="54">
        <v>44902</v>
      </c>
      <c r="E575" s="46" t="s">
        <v>32</v>
      </c>
      <c r="F575" s="51" t="s">
        <v>1090</v>
      </c>
      <c r="G575" s="51" t="s">
        <v>433</v>
      </c>
      <c r="H575" s="51" t="s">
        <v>32</v>
      </c>
      <c r="I575" s="55" t="s">
        <v>1289</v>
      </c>
      <c r="J575" s="56">
        <v>1000</v>
      </c>
      <c r="K575" s="51" t="s">
        <v>935</v>
      </c>
      <c r="L575" s="58">
        <v>1100000</v>
      </c>
      <c r="M575" s="50">
        <f>ROUND('FA Addition'!$L575*5%,0.1)</f>
        <v>55000</v>
      </c>
      <c r="N575" s="113" t="str">
        <f>_xlfn.XLOOKUP(_xlfn.CONCAT(E575,B575),'Year Wise Master Dep Approach'!F:F,'Year Wise Master Dep Approach'!D:D)</f>
        <v>WDV</v>
      </c>
      <c r="O575" s="113">
        <f>_xlfn.XLOOKUP(_xlfn.CONCAT(E575,B575),'Year Wise Master Dep Approach'!F:F,'Year Wise Master Dep Approach'!E:E)</f>
        <v>3</v>
      </c>
      <c r="P575" s="114">
        <f>IFERROR(IF('FA Addition'!$N575="WDV",1-('FA Addition'!$M575/'FA Addition'!$L575)^(1/'FA Addition'!$O575),1/'FA Addition'!$O575),0)</f>
        <v>0.63159685013596123</v>
      </c>
      <c r="Q575" s="122">
        <f>'FA Addition'!$P575*'FA Addition'!$O575</f>
        <v>1.8947905504078837</v>
      </c>
      <c r="R575" s="122"/>
      <c r="S575" s="116">
        <f>IF(AND(DATE(20&amp;LEFT(FAAddition[[#This Row],[FY]],2),4,1)&lt;$L$1+1,DATE(20&amp;LEFT(FAAddition[[#This Row],[FY]],2),4,1)&gt;$P$1-1),'FA Addition'!$J575,0)</f>
        <v>0</v>
      </c>
      <c r="U575" s="117">
        <f>S575*'FA Addition'!$L575/'FA Addition'!$J575</f>
        <v>0</v>
      </c>
      <c r="W575" s="116">
        <f>SUMIFS('FA Write off'!D:D,'FA Write off'!A:A,'FA Addition'!$A575,'FA Write off'!C:C,"&lt;"&amp;'FA Addition'!$P$1)</f>
        <v>106</v>
      </c>
      <c r="Y575" s="191">
        <f>IFERROR(W575/'FA Addition'!$J575*'FA Addition'!$L575,0)</f>
        <v>116600</v>
      </c>
      <c r="AA575" s="116">
        <f>SUMIFS('FA Write off'!D:D,'FA Write off'!A:A,'FA Addition'!$A575,'FA Write off'!C:C,"&lt;"&amp;'FA Addition'!$L$1+1,'FA Write off'!C:C,"&gt;"&amp;'FA Addition'!$L$1-365)</f>
        <v>0</v>
      </c>
      <c r="AC575" s="191">
        <f>IFERROR(AA575/'FA Addition'!$J575*'FA Addition'!$L575,0)</f>
        <v>0</v>
      </c>
      <c r="AE575" s="117">
        <f>IF(AND('FA Addition'!$D575&lt;$P$1+1,U575=0),'FA Addition'!$L575,0)-Y575</f>
        <v>983400</v>
      </c>
      <c r="AF575" s="117">
        <f t="shared" si="40"/>
        <v>983400</v>
      </c>
      <c r="AG575" s="117">
        <f>MIN(MAX(+$P$1-'FA Addition'!$D575,0),365*'FA Addition'!$O575)</f>
        <v>115</v>
      </c>
      <c r="AH575" s="117">
        <f>MIN(MAX($L$1-'FA Addition'!$D575+1,0),365*'FA Addition'!$O575)</f>
        <v>481</v>
      </c>
      <c r="AI575" s="117" cm="1">
        <f t="array" ref="AI575">_xlfn.XLOOKUP(1,('FA Write off'!A:A='FA Addition'!$A575)*('FA Write off'!D:D=AA575),'FA Write off'!H:H,0,0)</f>
        <v>0</v>
      </c>
      <c r="AJ575" s="117">
        <f>IF(AC575&gt;0,MAX(IF('FA Addition'!$N575="SLM",($AC575-'FA Addition'!$M575)*'FA Addition'!$P575*AI575/365,(AC575-'FA Addition'!$M575)*(1-(1-'FA Addition'!$P575)^(AI575/365))),0),0)</f>
        <v>0</v>
      </c>
      <c r="AL575" s="117">
        <f>MAX(IF(AG575&gt;0,IF('FA Addition'!$N575="SLM",($AE575-'FA Addition'!$M575)*'FA Addition'!$P575*AG575/365,IFERROR(VDB(AE575,AE575*0.05,'FA Addition'!$O575,0,YEARFRAC('FA Addition'!$C575,$P$1-1,3),'FA Addition'!$Q575),FAAddition[[#This Row],[Original Cost (Rs)]]-FAAddition[[#This Row],[Salvage Value]])),0),0)</f>
        <v>193991.25215425281</v>
      </c>
      <c r="AM575" s="119"/>
      <c r="AN575" s="117">
        <f>MAX(IF(AH575&gt;0,IF('FA Addition'!$N575="SLM",($AF575-'FA Addition'!$M575)*'FA Addition'!$P575*AH575/365,IFERROR(VDB(AF575,AF575*0.05,'FA Addition'!$O575,0,YEARFRAC('FA Addition'!$C575,$L$1,3),'FA Addition'!$Q575),FAAddition[[#This Row],[Original Cost (Rs)]]-FAAddition[[#This Row],[Salvage Value]])),0),0)</f>
        <v>693206.23416988854</v>
      </c>
      <c r="AO575" s="117">
        <f t="shared" si="43"/>
        <v>499214.9820156357</v>
      </c>
      <c r="AP575" s="206"/>
      <c r="AQ575" s="117">
        <f t="shared" si="41"/>
        <v>789408.74784574716</v>
      </c>
      <c r="AR575" s="120">
        <f t="shared" si="42"/>
        <v>290193.76583011146</v>
      </c>
      <c r="AS575" s="121"/>
    </row>
    <row r="576" spans="1:45" ht="13.5" x14ac:dyDescent="0.4">
      <c r="A576" s="12">
        <f t="shared" si="44"/>
        <v>573</v>
      </c>
      <c r="B576" s="64" t="s">
        <v>1089</v>
      </c>
      <c r="C576" s="54">
        <v>44904</v>
      </c>
      <c r="D576" s="54">
        <v>44904</v>
      </c>
      <c r="E576" s="46" t="s">
        <v>451</v>
      </c>
      <c r="F576" s="51" t="s">
        <v>1133</v>
      </c>
      <c r="G576" s="51" t="s">
        <v>1290</v>
      </c>
      <c r="H576" s="51" t="s">
        <v>21</v>
      </c>
      <c r="I576" s="55" t="s">
        <v>1291</v>
      </c>
      <c r="J576" s="56">
        <v>1</v>
      </c>
      <c r="K576" s="51" t="s">
        <v>1292</v>
      </c>
      <c r="L576" s="58">
        <v>29237.333333333332</v>
      </c>
      <c r="M576" s="50">
        <f>ROUND('FA Addition'!$L576*5%,0.1)</f>
        <v>1462</v>
      </c>
      <c r="N576" s="113" t="str">
        <f>_xlfn.XLOOKUP(_xlfn.CONCAT(E576,B576),'Year Wise Master Dep Approach'!F:F,'Year Wise Master Dep Approach'!D:D)</f>
        <v>WDV</v>
      </c>
      <c r="O576" s="113">
        <f>_xlfn.XLOOKUP(_xlfn.CONCAT(E576,B576),'Year Wise Master Dep Approach'!F:F,'Year Wise Master Dep Approach'!E:E)</f>
        <v>3</v>
      </c>
      <c r="P576" s="114">
        <f>IFERROR(IF('FA Addition'!$N576="WDV",1-('FA Addition'!$M576/'FA Addition'!$L576)^(1/'FA Addition'!$O576),1/'FA Addition'!$O576),0)</f>
        <v>0.63158565008883616</v>
      </c>
      <c r="Q576" s="122">
        <f>'FA Addition'!$P576*'FA Addition'!$O576</f>
        <v>1.8947569502665085</v>
      </c>
      <c r="R576" s="122"/>
      <c r="S576" s="116">
        <f>IF(AND(DATE(20&amp;LEFT(FAAddition[[#This Row],[FY]],2),4,1)&lt;$L$1+1,DATE(20&amp;LEFT(FAAddition[[#This Row],[FY]],2),4,1)&gt;$P$1-1),'FA Addition'!$J576,0)</f>
        <v>0</v>
      </c>
      <c r="U576" s="117">
        <f>S576*'FA Addition'!$L576/'FA Addition'!$J576</f>
        <v>0</v>
      </c>
      <c r="W576" s="116">
        <f>SUMIFS('FA Write off'!D:D,'FA Write off'!A:A,'FA Addition'!$A576,'FA Write off'!C:C,"&lt;"&amp;'FA Addition'!$P$1)</f>
        <v>0</v>
      </c>
      <c r="Y576" s="191">
        <f>IFERROR(W576/'FA Addition'!$J576*'FA Addition'!$L576,0)</f>
        <v>0</v>
      </c>
      <c r="AA576" s="116">
        <f>SUMIFS('FA Write off'!D:D,'FA Write off'!A:A,'FA Addition'!$A576,'FA Write off'!C:C,"&lt;"&amp;'FA Addition'!$L$1+1,'FA Write off'!C:C,"&gt;"&amp;'FA Addition'!$L$1-365)</f>
        <v>0</v>
      </c>
      <c r="AC576" s="118">
        <f>IFERROR(AA576/'FA Addition'!$J576*'FA Addition'!$L576,0)</f>
        <v>0</v>
      </c>
      <c r="AE576" s="117">
        <f>IF(AND('FA Addition'!$D576&lt;$P$1+1,U576=0),'FA Addition'!$L576,0)-Y576</f>
        <v>29237.333333333332</v>
      </c>
      <c r="AF576" s="117">
        <f t="shared" si="40"/>
        <v>29237.333333333332</v>
      </c>
      <c r="AG576" s="117">
        <f>MIN(MAX(+$P$1-'FA Addition'!$D576,0),365*'FA Addition'!$O576)</f>
        <v>113</v>
      </c>
      <c r="AH576" s="117">
        <f>MIN(MAX($L$1-'FA Addition'!$D576+1,0),365*'FA Addition'!$O576)</f>
        <v>479</v>
      </c>
      <c r="AI576" s="117" cm="1">
        <f t="array" ref="AI576">_xlfn.XLOOKUP(1,('FA Write off'!A:A='FA Addition'!$A576)*('FA Write off'!D:D=AA576),'FA Write off'!H:H,0,0)</f>
        <v>0</v>
      </c>
      <c r="AJ576" s="117">
        <f>IF(AC576&gt;0,MAX(IF('FA Addition'!$N576="SLM",($AC576-'FA Addition'!$M576)*'FA Addition'!$P576*AI576/365,(AC576-'FA Addition'!$M576)*(1-(1-'FA Addition'!$P576)^(AI576/365))),0),0)</f>
        <v>0</v>
      </c>
      <c r="AL576" s="117">
        <f>MAX(IF(AG576&gt;0,IF('FA Addition'!$N576="SLM",($AE576-'FA Addition'!$M576)*'FA Addition'!$P576*AG576/365,IFERROR(VDB(AE576,AE576*0.05,'FA Addition'!$O576,0,YEARFRAC('FA Addition'!$C576,$P$1-1,3),'FA Addition'!$Q576),FAAddition[[#This Row],[Original Cost (Rs)]]-FAAddition[[#This Row],[Salvage Value]])),0),0)</f>
        <v>5666.242685430414</v>
      </c>
      <c r="AM576" s="119"/>
      <c r="AN576" s="117">
        <f>MAX(IF(AH576&gt;0,IF('FA Addition'!$N576="SLM",($AF576-'FA Addition'!$M576)*'FA Addition'!$P576*AH576/365,IFERROR(VDB(AF576,AF576*0.05,'FA Addition'!$O576,0,YEARFRAC('FA Addition'!$C576,$L$1,3),'FA Addition'!$Q576),FAAddition[[#This Row],[Original Cost (Rs)]]-FAAddition[[#This Row],[Salvage Value]])),0),0)</f>
        <v>20572.043912690777</v>
      </c>
      <c r="AO576" s="117">
        <f t="shared" si="43"/>
        <v>14905.801227260363</v>
      </c>
      <c r="AP576" s="206"/>
      <c r="AQ576" s="117">
        <f t="shared" si="41"/>
        <v>23571.090647902918</v>
      </c>
      <c r="AR576" s="120">
        <f t="shared" si="42"/>
        <v>8665.2894206425553</v>
      </c>
      <c r="AS576" s="121"/>
    </row>
    <row r="577" spans="1:45" ht="13.5" x14ac:dyDescent="0.4">
      <c r="A577" s="12">
        <f t="shared" si="44"/>
        <v>574</v>
      </c>
      <c r="B577" s="64" t="s">
        <v>1089</v>
      </c>
      <c r="C577" s="54">
        <v>44904</v>
      </c>
      <c r="D577" s="54">
        <v>44904</v>
      </c>
      <c r="E577" s="46" t="s">
        <v>451</v>
      </c>
      <c r="F577" s="51" t="s">
        <v>1133</v>
      </c>
      <c r="G577" s="51" t="s">
        <v>1290</v>
      </c>
      <c r="H577" s="51" t="s">
        <v>21</v>
      </c>
      <c r="I577" s="55" t="s">
        <v>1291</v>
      </c>
      <c r="J577" s="56">
        <v>1</v>
      </c>
      <c r="K577" s="51" t="s">
        <v>1292</v>
      </c>
      <c r="L577" s="58">
        <v>29237.333333333332</v>
      </c>
      <c r="M577" s="50">
        <f>ROUND('FA Addition'!$L577*5%,0.1)</f>
        <v>1462</v>
      </c>
      <c r="N577" s="113" t="str">
        <f>_xlfn.XLOOKUP(_xlfn.CONCAT(E577,B577),'Year Wise Master Dep Approach'!F:F,'Year Wise Master Dep Approach'!D:D)</f>
        <v>WDV</v>
      </c>
      <c r="O577" s="113">
        <f>_xlfn.XLOOKUP(_xlfn.CONCAT(E577,B577),'Year Wise Master Dep Approach'!F:F,'Year Wise Master Dep Approach'!E:E)</f>
        <v>3</v>
      </c>
      <c r="P577" s="114">
        <f>IFERROR(IF('FA Addition'!$N577="WDV",1-('FA Addition'!$M577/'FA Addition'!$L577)^(1/'FA Addition'!$O577),1/'FA Addition'!$O577),0)</f>
        <v>0.63158565008883616</v>
      </c>
      <c r="Q577" s="122">
        <f>'FA Addition'!$P577*'FA Addition'!$O577</f>
        <v>1.8947569502665085</v>
      </c>
      <c r="R577" s="122"/>
      <c r="S577" s="116">
        <f>IF(AND(DATE(20&amp;LEFT(FAAddition[[#This Row],[FY]],2),4,1)&lt;$L$1+1,DATE(20&amp;LEFT(FAAddition[[#This Row],[FY]],2),4,1)&gt;$P$1-1),'FA Addition'!$J577,0)</f>
        <v>0</v>
      </c>
      <c r="U577" s="117">
        <f>S577*'FA Addition'!$L577/'FA Addition'!$J577</f>
        <v>0</v>
      </c>
      <c r="W577" s="116">
        <f>SUMIFS('FA Write off'!D:D,'FA Write off'!A:A,'FA Addition'!$A577,'FA Write off'!C:C,"&lt;"&amp;'FA Addition'!$P$1)</f>
        <v>0</v>
      </c>
      <c r="Y577" s="191">
        <f>IFERROR(W577/'FA Addition'!$J577*'FA Addition'!$L577,0)</f>
        <v>0</v>
      </c>
      <c r="AA577" s="116">
        <f>SUMIFS('FA Write off'!D:D,'FA Write off'!A:A,'FA Addition'!$A577,'FA Write off'!C:C,"&lt;"&amp;'FA Addition'!$L$1+1,'FA Write off'!C:C,"&gt;"&amp;'FA Addition'!$L$1-365)</f>
        <v>0</v>
      </c>
      <c r="AC577" s="118">
        <f>IFERROR(AA577/'FA Addition'!$J577*'FA Addition'!$L577,0)</f>
        <v>0</v>
      </c>
      <c r="AE577" s="117">
        <f>IF(AND('FA Addition'!$D577&lt;$P$1+1,U577=0),'FA Addition'!$L577,0)-Y577</f>
        <v>29237.333333333332</v>
      </c>
      <c r="AF577" s="117">
        <f t="shared" si="40"/>
        <v>29237.333333333332</v>
      </c>
      <c r="AG577" s="117">
        <f>MIN(MAX(+$P$1-'FA Addition'!$D577,0),365*'FA Addition'!$O577)</f>
        <v>113</v>
      </c>
      <c r="AH577" s="117">
        <f>MIN(MAX($L$1-'FA Addition'!$D577+1,0),365*'FA Addition'!$O577)</f>
        <v>479</v>
      </c>
      <c r="AI577" s="117" cm="1">
        <f t="array" ref="AI577">_xlfn.XLOOKUP(1,('FA Write off'!A:A='FA Addition'!$A577)*('FA Write off'!D:D=AA577),'FA Write off'!H:H,0,0)</f>
        <v>0</v>
      </c>
      <c r="AJ577" s="117">
        <f>IF(AC577&gt;0,MAX(IF('FA Addition'!$N577="SLM",($AC577-'FA Addition'!$M577)*'FA Addition'!$P577*AI577/365,(AC577-'FA Addition'!$M577)*(1-(1-'FA Addition'!$P577)^(AI577/365))),0),0)</f>
        <v>0</v>
      </c>
      <c r="AL577" s="117">
        <f>MAX(IF(AG577&gt;0,IF('FA Addition'!$N577="SLM",($AE577-'FA Addition'!$M577)*'FA Addition'!$P577*AG577/365,IFERROR(VDB(AE577,AE577*0.05,'FA Addition'!$O577,0,YEARFRAC('FA Addition'!$C577,$P$1-1,3),'FA Addition'!$Q577),FAAddition[[#This Row],[Original Cost (Rs)]]-FAAddition[[#This Row],[Salvage Value]])),0),0)</f>
        <v>5666.242685430414</v>
      </c>
      <c r="AM577" s="119"/>
      <c r="AN577" s="117">
        <f>MAX(IF(AH577&gt;0,IF('FA Addition'!$N577="SLM",($AF577-'FA Addition'!$M577)*'FA Addition'!$P577*AH577/365,IFERROR(VDB(AF577,AF577*0.05,'FA Addition'!$O577,0,YEARFRAC('FA Addition'!$C577,$L$1,3),'FA Addition'!$Q577),FAAddition[[#This Row],[Original Cost (Rs)]]-FAAddition[[#This Row],[Salvage Value]])),0),0)</f>
        <v>20572.043912690777</v>
      </c>
      <c r="AO577" s="117">
        <f t="shared" si="43"/>
        <v>14905.801227260363</v>
      </c>
      <c r="AP577" s="206"/>
      <c r="AQ577" s="117">
        <f t="shared" si="41"/>
        <v>23571.090647902918</v>
      </c>
      <c r="AR577" s="120">
        <f t="shared" si="42"/>
        <v>8665.2894206425553</v>
      </c>
      <c r="AS577" s="121"/>
    </row>
    <row r="578" spans="1:45" ht="13.5" x14ac:dyDescent="0.4">
      <c r="A578" s="12">
        <f t="shared" si="44"/>
        <v>575</v>
      </c>
      <c r="B578" s="64" t="s">
        <v>1089</v>
      </c>
      <c r="C578" s="54">
        <v>44904</v>
      </c>
      <c r="D578" s="54">
        <v>44904</v>
      </c>
      <c r="E578" s="46" t="s">
        <v>451</v>
      </c>
      <c r="F578" s="51" t="s">
        <v>1133</v>
      </c>
      <c r="G578" s="51" t="s">
        <v>1290</v>
      </c>
      <c r="H578" s="51" t="s">
        <v>21</v>
      </c>
      <c r="I578" s="55" t="s">
        <v>1291</v>
      </c>
      <c r="J578" s="56">
        <v>1</v>
      </c>
      <c r="K578" s="51" t="s">
        <v>1292</v>
      </c>
      <c r="L578" s="58">
        <v>29237.333333333332</v>
      </c>
      <c r="M578" s="50">
        <f>ROUND('FA Addition'!$L578*5%,0.1)</f>
        <v>1462</v>
      </c>
      <c r="N578" s="113" t="str">
        <f>_xlfn.XLOOKUP(_xlfn.CONCAT(E578,B578),'Year Wise Master Dep Approach'!F:F,'Year Wise Master Dep Approach'!D:D)</f>
        <v>WDV</v>
      </c>
      <c r="O578" s="113">
        <f>_xlfn.XLOOKUP(_xlfn.CONCAT(E578,B578),'Year Wise Master Dep Approach'!F:F,'Year Wise Master Dep Approach'!E:E)</f>
        <v>3</v>
      </c>
      <c r="P578" s="114">
        <f>IFERROR(IF('FA Addition'!$N578="WDV",1-('FA Addition'!$M578/'FA Addition'!$L578)^(1/'FA Addition'!$O578),1/'FA Addition'!$O578),0)</f>
        <v>0.63158565008883616</v>
      </c>
      <c r="Q578" s="122">
        <f>'FA Addition'!$P578*'FA Addition'!$O578</f>
        <v>1.8947569502665085</v>
      </c>
      <c r="R578" s="122"/>
      <c r="S578" s="116">
        <f>IF(AND(DATE(20&amp;LEFT(FAAddition[[#This Row],[FY]],2),4,1)&lt;$L$1+1,DATE(20&amp;LEFT(FAAddition[[#This Row],[FY]],2),4,1)&gt;$P$1-1),'FA Addition'!$J578,0)</f>
        <v>0</v>
      </c>
      <c r="U578" s="117">
        <f>S578*'FA Addition'!$L578/'FA Addition'!$J578</f>
        <v>0</v>
      </c>
      <c r="W578" s="116">
        <f>SUMIFS('FA Write off'!D:D,'FA Write off'!A:A,'FA Addition'!$A578,'FA Write off'!C:C,"&lt;"&amp;'FA Addition'!$P$1)</f>
        <v>0</v>
      </c>
      <c r="Y578" s="191">
        <f>IFERROR(W578/'FA Addition'!$J578*'FA Addition'!$L578,0)</f>
        <v>0</v>
      </c>
      <c r="AA578" s="116">
        <f>SUMIFS('FA Write off'!D:D,'FA Write off'!A:A,'FA Addition'!$A578,'FA Write off'!C:C,"&lt;"&amp;'FA Addition'!$L$1+1,'FA Write off'!C:C,"&gt;"&amp;'FA Addition'!$L$1-365)</f>
        <v>0</v>
      </c>
      <c r="AC578" s="118">
        <f>IFERROR(AA578/'FA Addition'!$J578*'FA Addition'!$L578,0)</f>
        <v>0</v>
      </c>
      <c r="AE578" s="117">
        <f>IF(AND('FA Addition'!$D578&lt;$P$1+1,U578=0),'FA Addition'!$L578,0)-Y578</f>
        <v>29237.333333333332</v>
      </c>
      <c r="AF578" s="117">
        <f t="shared" si="40"/>
        <v>29237.333333333332</v>
      </c>
      <c r="AG578" s="117">
        <f>MIN(MAX(+$P$1-'FA Addition'!$D578,0),365*'FA Addition'!$O578)</f>
        <v>113</v>
      </c>
      <c r="AH578" s="117">
        <f>MIN(MAX($L$1-'FA Addition'!$D578+1,0),365*'FA Addition'!$O578)</f>
        <v>479</v>
      </c>
      <c r="AI578" s="117" cm="1">
        <f t="array" ref="AI578">_xlfn.XLOOKUP(1,('FA Write off'!A:A='FA Addition'!$A578)*('FA Write off'!D:D=AA578),'FA Write off'!H:H,0,0)</f>
        <v>0</v>
      </c>
      <c r="AJ578" s="117">
        <f>IF(AC578&gt;0,MAX(IF('FA Addition'!$N578="SLM",($AC578-'FA Addition'!$M578)*'FA Addition'!$P578*AI578/365,(AC578-'FA Addition'!$M578)*(1-(1-'FA Addition'!$P578)^(AI578/365))),0),0)</f>
        <v>0</v>
      </c>
      <c r="AL578" s="117">
        <f>MAX(IF(AG578&gt;0,IF('FA Addition'!$N578="SLM",($AE578-'FA Addition'!$M578)*'FA Addition'!$P578*AG578/365,IFERROR(VDB(AE578,AE578*0.05,'FA Addition'!$O578,0,YEARFRAC('FA Addition'!$C578,$P$1-1,3),'FA Addition'!$Q578),FAAddition[[#This Row],[Original Cost (Rs)]]-FAAddition[[#This Row],[Salvage Value]])),0),0)</f>
        <v>5666.242685430414</v>
      </c>
      <c r="AM578" s="119"/>
      <c r="AN578" s="117">
        <f>MAX(IF(AH578&gt;0,IF('FA Addition'!$N578="SLM",($AF578-'FA Addition'!$M578)*'FA Addition'!$P578*AH578/365,IFERROR(VDB(AF578,AF578*0.05,'FA Addition'!$O578,0,YEARFRAC('FA Addition'!$C578,$L$1,3),'FA Addition'!$Q578),FAAddition[[#This Row],[Original Cost (Rs)]]-FAAddition[[#This Row],[Salvage Value]])),0),0)</f>
        <v>20572.043912690777</v>
      </c>
      <c r="AO578" s="117">
        <f t="shared" si="43"/>
        <v>14905.801227260363</v>
      </c>
      <c r="AP578" s="206"/>
      <c r="AQ578" s="117">
        <f t="shared" si="41"/>
        <v>23571.090647902918</v>
      </c>
      <c r="AR578" s="120">
        <f t="shared" si="42"/>
        <v>8665.2894206425553</v>
      </c>
      <c r="AS578" s="121"/>
    </row>
    <row r="579" spans="1:45" ht="13.5" x14ac:dyDescent="0.4">
      <c r="A579" s="12">
        <f t="shared" si="44"/>
        <v>576</v>
      </c>
      <c r="B579" s="64" t="s">
        <v>1089</v>
      </c>
      <c r="C579" s="54">
        <v>44904</v>
      </c>
      <c r="D579" s="54">
        <v>44904</v>
      </c>
      <c r="E579" s="46" t="s">
        <v>32</v>
      </c>
      <c r="F579" s="51" t="s">
        <v>1090</v>
      </c>
      <c r="G579" s="51" t="s">
        <v>433</v>
      </c>
      <c r="H579" s="51" t="s">
        <v>32</v>
      </c>
      <c r="I579" s="55" t="s">
        <v>1293</v>
      </c>
      <c r="J579" s="56">
        <v>1000</v>
      </c>
      <c r="K579" s="51" t="s">
        <v>935</v>
      </c>
      <c r="L579" s="58">
        <v>1100000</v>
      </c>
      <c r="M579" s="50">
        <f>ROUND('FA Addition'!$L579*5%,0.1)</f>
        <v>55000</v>
      </c>
      <c r="N579" s="113" t="str">
        <f>_xlfn.XLOOKUP(_xlfn.CONCAT(E579,B579),'Year Wise Master Dep Approach'!F:F,'Year Wise Master Dep Approach'!D:D)</f>
        <v>WDV</v>
      </c>
      <c r="O579" s="113">
        <f>_xlfn.XLOOKUP(_xlfn.CONCAT(E579,B579),'Year Wise Master Dep Approach'!F:F,'Year Wise Master Dep Approach'!E:E)</f>
        <v>3</v>
      </c>
      <c r="P579" s="114">
        <f>IFERROR(IF('FA Addition'!$N579="WDV",1-('FA Addition'!$M579/'FA Addition'!$L579)^(1/'FA Addition'!$O579),1/'FA Addition'!$O579),0)</f>
        <v>0.63159685013596123</v>
      </c>
      <c r="Q579" s="122">
        <f>'FA Addition'!$P579*'FA Addition'!$O579</f>
        <v>1.8947905504078837</v>
      </c>
      <c r="R579" s="122"/>
      <c r="S579" s="116">
        <f>IF(AND(DATE(20&amp;LEFT(FAAddition[[#This Row],[FY]],2),4,1)&lt;$L$1+1,DATE(20&amp;LEFT(FAAddition[[#This Row],[FY]],2),4,1)&gt;$P$1-1),'FA Addition'!$J579,0)</f>
        <v>0</v>
      </c>
      <c r="U579" s="117">
        <f>S579*'FA Addition'!$L579/'FA Addition'!$J579</f>
        <v>0</v>
      </c>
      <c r="W579" s="116">
        <f>SUMIFS('FA Write off'!D:D,'FA Write off'!A:A,'FA Addition'!$A579,'FA Write off'!C:C,"&lt;"&amp;'FA Addition'!$P$1)</f>
        <v>41</v>
      </c>
      <c r="Y579" s="191">
        <f>IFERROR(W579/'FA Addition'!$J579*'FA Addition'!$L579,0)</f>
        <v>45100</v>
      </c>
      <c r="AA579" s="116">
        <f>SUMIFS('FA Write off'!D:D,'FA Write off'!A:A,'FA Addition'!$A579,'FA Write off'!C:C,"&lt;"&amp;'FA Addition'!$L$1+1,'FA Write off'!C:C,"&gt;"&amp;'FA Addition'!$L$1-365)</f>
        <v>0</v>
      </c>
      <c r="AC579" s="191">
        <f>IFERROR(AA579/'FA Addition'!$J579*'FA Addition'!$L579,0)</f>
        <v>0</v>
      </c>
      <c r="AE579" s="117">
        <f>IF(AND('FA Addition'!$D579&lt;$P$1+1,U579=0),'FA Addition'!$L579,0)-Y579</f>
        <v>1054900</v>
      </c>
      <c r="AF579" s="117">
        <f t="shared" si="40"/>
        <v>1054900</v>
      </c>
      <c r="AG579" s="117">
        <f>MIN(MAX(+$P$1-'FA Addition'!$D579,0),365*'FA Addition'!$O579)</f>
        <v>113</v>
      </c>
      <c r="AH579" s="117">
        <f>MIN(MAX($L$1-'FA Addition'!$D579+1,0),365*'FA Addition'!$O579)</f>
        <v>479</v>
      </c>
      <c r="AI579" s="117" cm="1">
        <f t="array" ref="AI579">_xlfn.XLOOKUP(1,('FA Write off'!A:A='FA Addition'!$A579)*('FA Write off'!D:D=AA579),'FA Write off'!H:H,0,0)</f>
        <v>0</v>
      </c>
      <c r="AJ579" s="117">
        <f>IF(AC579&gt;0,MAX(IF('FA Addition'!$N579="SLM",($AC579-'FA Addition'!$M579)*'FA Addition'!$P579*AI579/365,(AC579-'FA Addition'!$M579)*(1-(1-'FA Addition'!$P579)^(AI579/365))),0),0)</f>
        <v>0</v>
      </c>
      <c r="AL579" s="117">
        <f>MAX(IF(AG579&gt;0,IF('FA Addition'!$N579="SLM",($AE579-'FA Addition'!$M579)*'FA Addition'!$P579*AG579/365,IFERROR(VDB(AE579,AE579*0.05,'FA Addition'!$O579,0,YEARFRAC('FA Addition'!$C579,$P$1-1,3),'FA Addition'!$Q579),FAAddition[[#This Row],[Original Cost (Rs)]]-FAAddition[[#This Row],[Salvage Value]])),0),0)</f>
        <v>204444.9587050511</v>
      </c>
      <c r="AM579" s="119"/>
      <c r="AN579" s="117">
        <f>MAX(IF(AH579&gt;0,IF('FA Addition'!$N579="SLM",($AF579-'FA Addition'!$M579)*'FA Addition'!$P579*AH579/365,IFERROR(VDB(AF579,AF579*0.05,'FA Addition'!$O579,0,YEARFRAC('FA Addition'!$C579,$L$1,3),'FA Addition'!$Q579),FAAddition[[#This Row],[Original Cost (Rs)]]-FAAddition[[#This Row],[Salvage Value]])),0),0)</f>
        <v>742262.16760098212</v>
      </c>
      <c r="AO579" s="117">
        <f t="shared" si="43"/>
        <v>537817.20889593102</v>
      </c>
      <c r="AP579" s="206"/>
      <c r="AQ579" s="117">
        <f t="shared" si="41"/>
        <v>850455.0412949489</v>
      </c>
      <c r="AR579" s="120">
        <f t="shared" si="42"/>
        <v>312637.83239901788</v>
      </c>
      <c r="AS579" s="121"/>
    </row>
    <row r="580" spans="1:45" ht="13.5" x14ac:dyDescent="0.4">
      <c r="A580" s="12">
        <f t="shared" si="44"/>
        <v>577</v>
      </c>
      <c r="B580" s="64" t="s">
        <v>1089</v>
      </c>
      <c r="C580" s="54">
        <v>44907</v>
      </c>
      <c r="D580" s="54">
        <v>44907</v>
      </c>
      <c r="E580" s="46" t="s">
        <v>451</v>
      </c>
      <c r="F580" s="51" t="s">
        <v>1133</v>
      </c>
      <c r="G580" s="51" t="s">
        <v>1059</v>
      </c>
      <c r="H580" s="51" t="s">
        <v>151</v>
      </c>
      <c r="I580" s="55" t="s">
        <v>1294</v>
      </c>
      <c r="J580" s="56">
        <v>1</v>
      </c>
      <c r="K580" s="51" t="s">
        <v>1295</v>
      </c>
      <c r="L580" s="58">
        <v>16892</v>
      </c>
      <c r="M580" s="50">
        <f>ROUND('FA Addition'!$L580*5%,0.1)</f>
        <v>845</v>
      </c>
      <c r="N580" s="113" t="str">
        <f>_xlfn.XLOOKUP(_xlfn.CONCAT(E580,B580),'Year Wise Master Dep Approach'!F:F,'Year Wise Master Dep Approach'!D:D)</f>
        <v>WDV</v>
      </c>
      <c r="O580" s="113">
        <f>_xlfn.XLOOKUP(_xlfn.CONCAT(E580,B580),'Year Wise Master Dep Approach'!F:F,'Year Wise Master Dep Approach'!E:E)</f>
        <v>3</v>
      </c>
      <c r="P580" s="114">
        <f>IFERROR(IF('FA Addition'!$N580="WDV",1-('FA Addition'!$M580/'FA Addition'!$L580)^(1/'FA Addition'!$O580),1/'FA Addition'!$O580),0)</f>
        <v>0.63153870110968358</v>
      </c>
      <c r="Q580" s="122">
        <f>'FA Addition'!$P580*'FA Addition'!$O580</f>
        <v>1.8946161033290507</v>
      </c>
      <c r="R580" s="122"/>
      <c r="S580" s="116">
        <f>IF(AND(DATE(20&amp;LEFT(FAAddition[[#This Row],[FY]],2),4,1)&lt;$L$1+1,DATE(20&amp;LEFT(FAAddition[[#This Row],[FY]],2),4,1)&gt;$P$1-1),'FA Addition'!$J580,0)</f>
        <v>0</v>
      </c>
      <c r="U580" s="117">
        <f>S580*'FA Addition'!$L580/'FA Addition'!$J580</f>
        <v>0</v>
      </c>
      <c r="W580" s="116">
        <f>SUMIFS('FA Write off'!D:D,'FA Write off'!A:A,'FA Addition'!$A580,'FA Write off'!C:C,"&lt;"&amp;'FA Addition'!$P$1)</f>
        <v>0</v>
      </c>
      <c r="Y580" s="191">
        <f>IFERROR(W580/'FA Addition'!$J580*'FA Addition'!$L580,0)</f>
        <v>0</v>
      </c>
      <c r="AA580" s="116">
        <f>SUMIFS('FA Write off'!D:D,'FA Write off'!A:A,'FA Addition'!$A580,'FA Write off'!C:C,"&lt;"&amp;'FA Addition'!$L$1+1,'FA Write off'!C:C,"&gt;"&amp;'FA Addition'!$L$1-365)</f>
        <v>0</v>
      </c>
      <c r="AC580" s="118">
        <f>IFERROR(AA580/'FA Addition'!$J580*'FA Addition'!$L580,0)</f>
        <v>0</v>
      </c>
      <c r="AE580" s="117">
        <f>IF(AND('FA Addition'!$D580&lt;$P$1+1,U580=0),'FA Addition'!$L580,0)-Y580</f>
        <v>16892</v>
      </c>
      <c r="AF580" s="117">
        <f t="shared" ref="AF580:AF643" si="45">AE580+U580-AC580</f>
        <v>16892</v>
      </c>
      <c r="AG580" s="117">
        <f>MIN(MAX(+$P$1-'FA Addition'!$D580,0),365*'FA Addition'!$O580)</f>
        <v>110</v>
      </c>
      <c r="AH580" s="117">
        <f>MIN(MAX($L$1-'FA Addition'!$D580+1,0),365*'FA Addition'!$O580)</f>
        <v>476</v>
      </c>
      <c r="AI580" s="117" cm="1">
        <f t="array" ref="AI580">_xlfn.XLOOKUP(1,('FA Write off'!A:A='FA Addition'!$A580)*('FA Write off'!D:D=AA580),'FA Write off'!H:H,0,0)</f>
        <v>0</v>
      </c>
      <c r="AJ580" s="117">
        <f>IF(AC580&gt;0,MAX(IF('FA Addition'!$N580="SLM",($AC580-'FA Addition'!$M580)*'FA Addition'!$P580*AI580/365,(AC580-'FA Addition'!$M580)*(1-(1-'FA Addition'!$P580)^(AI580/365))),0),0)</f>
        <v>0</v>
      </c>
      <c r="AL580" s="117">
        <f>MAX(IF(AG580&gt;0,IF('FA Addition'!$N580="SLM",($AE580-'FA Addition'!$M580)*'FA Addition'!$P580*AG580/365,IFERROR(VDB(AE580,AE580*0.05,'FA Addition'!$O580,0,YEARFRAC('FA Addition'!$C580,$P$1-1,3),'FA Addition'!$Q580),FAAddition[[#This Row],[Original Cost (Rs)]]-FAAddition[[#This Row],[Salvage Value]])),0),0)</f>
        <v>3185.7718892240559</v>
      </c>
      <c r="AM580" s="119"/>
      <c r="AN580" s="117">
        <f>MAX(IF(AH580&gt;0,IF('FA Addition'!$N580="SLM",($AF580-'FA Addition'!$M580)*'FA Addition'!$P580*AH580/365,IFERROR(VDB(AF580,AF580*0.05,'FA Addition'!$O580,0,YEARFRAC('FA Addition'!$C580,$L$1,3),'FA Addition'!$Q580),FAAddition[[#This Row],[Original Cost (Rs)]]-FAAddition[[#This Row],[Salvage Value]])),0),0)</f>
        <v>11852.554503455718</v>
      </c>
      <c r="AO580" s="117">
        <f t="shared" si="43"/>
        <v>8666.7826142316626</v>
      </c>
      <c r="AP580" s="206"/>
      <c r="AQ580" s="117">
        <f t="shared" ref="AQ580:AQ643" si="46">AE580-AL580</f>
        <v>13706.228110775945</v>
      </c>
      <c r="AR580" s="120">
        <f t="shared" ref="AR580:AR643" si="47">AF580-AN580</f>
        <v>5039.4454965442819</v>
      </c>
      <c r="AS580" s="121"/>
    </row>
    <row r="581" spans="1:45" ht="13.5" x14ac:dyDescent="0.4">
      <c r="A581" s="12">
        <f t="shared" si="44"/>
        <v>578</v>
      </c>
      <c r="B581" s="64" t="s">
        <v>1089</v>
      </c>
      <c r="C581" s="54">
        <v>44907</v>
      </c>
      <c r="D581" s="54">
        <v>44907</v>
      </c>
      <c r="E581" s="46" t="s">
        <v>451</v>
      </c>
      <c r="F581" s="51" t="s">
        <v>1133</v>
      </c>
      <c r="G581" s="51" t="s">
        <v>1059</v>
      </c>
      <c r="H581" s="51" t="s">
        <v>151</v>
      </c>
      <c r="I581" s="55" t="s">
        <v>1296</v>
      </c>
      <c r="J581" s="56">
        <v>1</v>
      </c>
      <c r="K581" s="51" t="s">
        <v>1295</v>
      </c>
      <c r="L581" s="58">
        <v>16892</v>
      </c>
      <c r="M581" s="50">
        <f>ROUND('FA Addition'!$L581*5%,0.1)</f>
        <v>845</v>
      </c>
      <c r="N581" s="113" t="str">
        <f>_xlfn.XLOOKUP(_xlfn.CONCAT(E581,B581),'Year Wise Master Dep Approach'!F:F,'Year Wise Master Dep Approach'!D:D)</f>
        <v>WDV</v>
      </c>
      <c r="O581" s="113">
        <f>_xlfn.XLOOKUP(_xlfn.CONCAT(E581,B581),'Year Wise Master Dep Approach'!F:F,'Year Wise Master Dep Approach'!E:E)</f>
        <v>3</v>
      </c>
      <c r="P581" s="114">
        <f>IFERROR(IF('FA Addition'!$N581="WDV",1-('FA Addition'!$M581/'FA Addition'!$L581)^(1/'FA Addition'!$O581),1/'FA Addition'!$O581),0)</f>
        <v>0.63153870110968358</v>
      </c>
      <c r="Q581" s="122">
        <f>'FA Addition'!$P581*'FA Addition'!$O581</f>
        <v>1.8946161033290507</v>
      </c>
      <c r="R581" s="122"/>
      <c r="S581" s="116">
        <f>IF(AND(DATE(20&amp;LEFT(FAAddition[[#This Row],[FY]],2),4,1)&lt;$L$1+1,DATE(20&amp;LEFT(FAAddition[[#This Row],[FY]],2),4,1)&gt;$P$1-1),'FA Addition'!$J581,0)</f>
        <v>0</v>
      </c>
      <c r="U581" s="117">
        <f>S581*'FA Addition'!$L581/'FA Addition'!$J581</f>
        <v>0</v>
      </c>
      <c r="W581" s="116">
        <f>SUMIFS('FA Write off'!D:D,'FA Write off'!A:A,'FA Addition'!$A581,'FA Write off'!C:C,"&lt;"&amp;'FA Addition'!$P$1)</f>
        <v>0</v>
      </c>
      <c r="Y581" s="191">
        <f>IFERROR(W581/'FA Addition'!$J581*'FA Addition'!$L581,0)</f>
        <v>0</v>
      </c>
      <c r="AA581" s="116">
        <f>SUMIFS('FA Write off'!D:D,'FA Write off'!A:A,'FA Addition'!$A581,'FA Write off'!C:C,"&lt;"&amp;'FA Addition'!$L$1+1,'FA Write off'!C:C,"&gt;"&amp;'FA Addition'!$L$1-365)</f>
        <v>0</v>
      </c>
      <c r="AC581" s="118">
        <f>IFERROR(AA581/'FA Addition'!$J581*'FA Addition'!$L581,0)</f>
        <v>0</v>
      </c>
      <c r="AE581" s="117">
        <f>IF(AND('FA Addition'!$D581&lt;$P$1+1,U581=0),'FA Addition'!$L581,0)-Y581</f>
        <v>16892</v>
      </c>
      <c r="AF581" s="117">
        <f t="shared" si="45"/>
        <v>16892</v>
      </c>
      <c r="AG581" s="117">
        <f>MIN(MAX(+$P$1-'FA Addition'!$D581,0),365*'FA Addition'!$O581)</f>
        <v>110</v>
      </c>
      <c r="AH581" s="117">
        <f>MIN(MAX($L$1-'FA Addition'!$D581+1,0),365*'FA Addition'!$O581)</f>
        <v>476</v>
      </c>
      <c r="AI581" s="117" cm="1">
        <f t="array" ref="AI581">_xlfn.XLOOKUP(1,('FA Write off'!A:A='FA Addition'!$A581)*('FA Write off'!D:D=AA581),'FA Write off'!H:H,0,0)</f>
        <v>0</v>
      </c>
      <c r="AJ581" s="117">
        <f>IF(AC581&gt;0,MAX(IF('FA Addition'!$N581="SLM",($AC581-'FA Addition'!$M581)*'FA Addition'!$P581*AI581/365,(AC581-'FA Addition'!$M581)*(1-(1-'FA Addition'!$P581)^(AI581/365))),0),0)</f>
        <v>0</v>
      </c>
      <c r="AL581" s="117">
        <f>MAX(IF(AG581&gt;0,IF('FA Addition'!$N581="SLM",($AE581-'FA Addition'!$M581)*'FA Addition'!$P581*AG581/365,IFERROR(VDB(AE581,AE581*0.05,'FA Addition'!$O581,0,YEARFRAC('FA Addition'!$C581,$P$1-1,3),'FA Addition'!$Q581),FAAddition[[#This Row],[Original Cost (Rs)]]-FAAddition[[#This Row],[Salvage Value]])),0),0)</f>
        <v>3185.7718892240559</v>
      </c>
      <c r="AM581" s="119"/>
      <c r="AN581" s="117">
        <f>MAX(IF(AH581&gt;0,IF('FA Addition'!$N581="SLM",($AF581-'FA Addition'!$M581)*'FA Addition'!$P581*AH581/365,IFERROR(VDB(AF581,AF581*0.05,'FA Addition'!$O581,0,YEARFRAC('FA Addition'!$C581,$L$1,3),'FA Addition'!$Q581),FAAddition[[#This Row],[Original Cost (Rs)]]-FAAddition[[#This Row],[Salvage Value]])),0),0)</f>
        <v>11852.554503455718</v>
      </c>
      <c r="AO581" s="117">
        <f t="shared" ref="AO581:AO644" si="48">AN581-AL581+AJ581</f>
        <v>8666.7826142316626</v>
      </c>
      <c r="AP581" s="206"/>
      <c r="AQ581" s="117">
        <f t="shared" si="46"/>
        <v>13706.228110775945</v>
      </c>
      <c r="AR581" s="120">
        <f t="shared" si="47"/>
        <v>5039.4454965442819</v>
      </c>
      <c r="AS581" s="121"/>
    </row>
    <row r="582" spans="1:45" ht="13.5" x14ac:dyDescent="0.4">
      <c r="A582" s="12">
        <f t="shared" ref="A582:A645" si="49">A581+1</f>
        <v>579</v>
      </c>
      <c r="B582" s="64" t="s">
        <v>1089</v>
      </c>
      <c r="C582" s="54">
        <v>44907</v>
      </c>
      <c r="D582" s="54">
        <v>44907</v>
      </c>
      <c r="E582" s="46" t="s">
        <v>451</v>
      </c>
      <c r="F582" s="51" t="s">
        <v>1133</v>
      </c>
      <c r="G582" s="51" t="s">
        <v>1059</v>
      </c>
      <c r="H582" s="51" t="s">
        <v>151</v>
      </c>
      <c r="I582" s="55" t="s">
        <v>1297</v>
      </c>
      <c r="J582" s="56">
        <v>1</v>
      </c>
      <c r="K582" s="51" t="s">
        <v>1295</v>
      </c>
      <c r="L582" s="58">
        <v>16892</v>
      </c>
      <c r="M582" s="50">
        <f>ROUND('FA Addition'!$L582*5%,0.1)</f>
        <v>845</v>
      </c>
      <c r="N582" s="113" t="str">
        <f>_xlfn.XLOOKUP(_xlfn.CONCAT(E582,B582),'Year Wise Master Dep Approach'!F:F,'Year Wise Master Dep Approach'!D:D)</f>
        <v>WDV</v>
      </c>
      <c r="O582" s="113">
        <f>_xlfn.XLOOKUP(_xlfn.CONCAT(E582,B582),'Year Wise Master Dep Approach'!F:F,'Year Wise Master Dep Approach'!E:E)</f>
        <v>3</v>
      </c>
      <c r="P582" s="114">
        <f>IFERROR(IF('FA Addition'!$N582="WDV",1-('FA Addition'!$M582/'FA Addition'!$L582)^(1/'FA Addition'!$O582),1/'FA Addition'!$O582),0)</f>
        <v>0.63153870110968358</v>
      </c>
      <c r="Q582" s="122">
        <f>'FA Addition'!$P582*'FA Addition'!$O582</f>
        <v>1.8946161033290507</v>
      </c>
      <c r="R582" s="122"/>
      <c r="S582" s="116">
        <f>IF(AND(DATE(20&amp;LEFT(FAAddition[[#This Row],[FY]],2),4,1)&lt;$L$1+1,DATE(20&amp;LEFT(FAAddition[[#This Row],[FY]],2),4,1)&gt;$P$1-1),'FA Addition'!$J582,0)</f>
        <v>0</v>
      </c>
      <c r="U582" s="117">
        <f>S582*'FA Addition'!$L582/'FA Addition'!$J582</f>
        <v>0</v>
      </c>
      <c r="W582" s="116">
        <f>SUMIFS('FA Write off'!D:D,'FA Write off'!A:A,'FA Addition'!$A582,'FA Write off'!C:C,"&lt;"&amp;'FA Addition'!$P$1)</f>
        <v>0</v>
      </c>
      <c r="Y582" s="191">
        <f>IFERROR(W582/'FA Addition'!$J582*'FA Addition'!$L582,0)</f>
        <v>0</v>
      </c>
      <c r="AA582" s="116">
        <f>SUMIFS('FA Write off'!D:D,'FA Write off'!A:A,'FA Addition'!$A582,'FA Write off'!C:C,"&lt;"&amp;'FA Addition'!$L$1+1,'FA Write off'!C:C,"&gt;"&amp;'FA Addition'!$L$1-365)</f>
        <v>0</v>
      </c>
      <c r="AC582" s="118">
        <f>IFERROR(AA582/'FA Addition'!$J582*'FA Addition'!$L582,0)</f>
        <v>0</v>
      </c>
      <c r="AE582" s="117">
        <f>IF(AND('FA Addition'!$D582&lt;$P$1+1,U582=0),'FA Addition'!$L582,0)-Y582</f>
        <v>16892</v>
      </c>
      <c r="AF582" s="117">
        <f t="shared" si="45"/>
        <v>16892</v>
      </c>
      <c r="AG582" s="117">
        <f>MIN(MAX(+$P$1-'FA Addition'!$D582,0),365*'FA Addition'!$O582)</f>
        <v>110</v>
      </c>
      <c r="AH582" s="117">
        <f>MIN(MAX($L$1-'FA Addition'!$D582+1,0),365*'FA Addition'!$O582)</f>
        <v>476</v>
      </c>
      <c r="AI582" s="117" cm="1">
        <f t="array" ref="AI582">_xlfn.XLOOKUP(1,('FA Write off'!A:A='FA Addition'!$A582)*('FA Write off'!D:D=AA582),'FA Write off'!H:H,0,0)</f>
        <v>0</v>
      </c>
      <c r="AJ582" s="117">
        <f>IF(AC582&gt;0,MAX(IF('FA Addition'!$N582="SLM",($AC582-'FA Addition'!$M582)*'FA Addition'!$P582*AI582/365,(AC582-'FA Addition'!$M582)*(1-(1-'FA Addition'!$P582)^(AI582/365))),0),0)</f>
        <v>0</v>
      </c>
      <c r="AL582" s="117">
        <f>MAX(IF(AG582&gt;0,IF('FA Addition'!$N582="SLM",($AE582-'FA Addition'!$M582)*'FA Addition'!$P582*AG582/365,IFERROR(VDB(AE582,AE582*0.05,'FA Addition'!$O582,0,YEARFRAC('FA Addition'!$C582,$P$1-1,3),'FA Addition'!$Q582),FAAddition[[#This Row],[Original Cost (Rs)]]-FAAddition[[#This Row],[Salvage Value]])),0),0)</f>
        <v>3185.7718892240559</v>
      </c>
      <c r="AM582" s="119"/>
      <c r="AN582" s="117">
        <f>MAX(IF(AH582&gt;0,IF('FA Addition'!$N582="SLM",($AF582-'FA Addition'!$M582)*'FA Addition'!$P582*AH582/365,IFERROR(VDB(AF582,AF582*0.05,'FA Addition'!$O582,0,YEARFRAC('FA Addition'!$C582,$L$1,3),'FA Addition'!$Q582),FAAddition[[#This Row],[Original Cost (Rs)]]-FAAddition[[#This Row],[Salvage Value]])),0),0)</f>
        <v>11852.554503455718</v>
      </c>
      <c r="AO582" s="117">
        <f t="shared" si="48"/>
        <v>8666.7826142316626</v>
      </c>
      <c r="AP582" s="206"/>
      <c r="AQ582" s="117">
        <f t="shared" si="46"/>
        <v>13706.228110775945</v>
      </c>
      <c r="AR582" s="120">
        <f t="shared" si="47"/>
        <v>5039.4454965442819</v>
      </c>
      <c r="AS582" s="121"/>
    </row>
    <row r="583" spans="1:45" ht="13.5" x14ac:dyDescent="0.4">
      <c r="A583" s="12">
        <f t="shared" si="49"/>
        <v>580</v>
      </c>
      <c r="B583" s="64" t="s">
        <v>1089</v>
      </c>
      <c r="C583" s="54">
        <v>44907</v>
      </c>
      <c r="D583" s="54">
        <v>44907</v>
      </c>
      <c r="E583" s="46" t="s">
        <v>451</v>
      </c>
      <c r="F583" s="51" t="s">
        <v>1133</v>
      </c>
      <c r="G583" s="51" t="s">
        <v>1059</v>
      </c>
      <c r="H583" s="51" t="s">
        <v>151</v>
      </c>
      <c r="I583" s="55" t="s">
        <v>1298</v>
      </c>
      <c r="J583" s="56">
        <v>1</v>
      </c>
      <c r="K583" s="51" t="s">
        <v>1295</v>
      </c>
      <c r="L583" s="58">
        <v>16892</v>
      </c>
      <c r="M583" s="50">
        <f>ROUND('FA Addition'!$L583*5%,0.1)</f>
        <v>845</v>
      </c>
      <c r="N583" s="113" t="str">
        <f>_xlfn.XLOOKUP(_xlfn.CONCAT(E583,B583),'Year Wise Master Dep Approach'!F:F,'Year Wise Master Dep Approach'!D:D)</f>
        <v>WDV</v>
      </c>
      <c r="O583" s="113">
        <f>_xlfn.XLOOKUP(_xlfn.CONCAT(E583,B583),'Year Wise Master Dep Approach'!F:F,'Year Wise Master Dep Approach'!E:E)</f>
        <v>3</v>
      </c>
      <c r="P583" s="114">
        <f>IFERROR(IF('FA Addition'!$N583="WDV",1-('FA Addition'!$M583/'FA Addition'!$L583)^(1/'FA Addition'!$O583),1/'FA Addition'!$O583),0)</f>
        <v>0.63153870110968358</v>
      </c>
      <c r="Q583" s="122">
        <f>'FA Addition'!$P583*'FA Addition'!$O583</f>
        <v>1.8946161033290507</v>
      </c>
      <c r="R583" s="122"/>
      <c r="S583" s="116">
        <f>IF(AND(DATE(20&amp;LEFT(FAAddition[[#This Row],[FY]],2),4,1)&lt;$L$1+1,DATE(20&amp;LEFT(FAAddition[[#This Row],[FY]],2),4,1)&gt;$P$1-1),'FA Addition'!$J583,0)</f>
        <v>0</v>
      </c>
      <c r="U583" s="117">
        <f>S583*'FA Addition'!$L583/'FA Addition'!$J583</f>
        <v>0</v>
      </c>
      <c r="W583" s="116">
        <f>SUMIFS('FA Write off'!D:D,'FA Write off'!A:A,'FA Addition'!$A583,'FA Write off'!C:C,"&lt;"&amp;'FA Addition'!$P$1)</f>
        <v>0</v>
      </c>
      <c r="Y583" s="191">
        <f>IFERROR(W583/'FA Addition'!$J583*'FA Addition'!$L583,0)</f>
        <v>0</v>
      </c>
      <c r="AA583" s="116">
        <f>SUMIFS('FA Write off'!D:D,'FA Write off'!A:A,'FA Addition'!$A583,'FA Write off'!C:C,"&lt;"&amp;'FA Addition'!$L$1+1,'FA Write off'!C:C,"&gt;"&amp;'FA Addition'!$L$1-365)</f>
        <v>0</v>
      </c>
      <c r="AC583" s="118">
        <f>IFERROR(AA583/'FA Addition'!$J583*'FA Addition'!$L583,0)</f>
        <v>0</v>
      </c>
      <c r="AE583" s="117">
        <f>IF(AND('FA Addition'!$D583&lt;$P$1+1,U583=0),'FA Addition'!$L583,0)-Y583</f>
        <v>16892</v>
      </c>
      <c r="AF583" s="117">
        <f t="shared" si="45"/>
        <v>16892</v>
      </c>
      <c r="AG583" s="117">
        <f>MIN(MAX(+$P$1-'FA Addition'!$D583,0),365*'FA Addition'!$O583)</f>
        <v>110</v>
      </c>
      <c r="AH583" s="117">
        <f>MIN(MAX($L$1-'FA Addition'!$D583+1,0),365*'FA Addition'!$O583)</f>
        <v>476</v>
      </c>
      <c r="AI583" s="117" cm="1">
        <f t="array" ref="AI583">_xlfn.XLOOKUP(1,('FA Write off'!A:A='FA Addition'!$A583)*('FA Write off'!D:D=AA583),'FA Write off'!H:H,0,0)</f>
        <v>0</v>
      </c>
      <c r="AJ583" s="117">
        <f>IF(AC583&gt;0,MAX(IF('FA Addition'!$N583="SLM",($AC583-'FA Addition'!$M583)*'FA Addition'!$P583*AI583/365,(AC583-'FA Addition'!$M583)*(1-(1-'FA Addition'!$P583)^(AI583/365))),0),0)</f>
        <v>0</v>
      </c>
      <c r="AL583" s="117">
        <f>MAX(IF(AG583&gt;0,IF('FA Addition'!$N583="SLM",($AE583-'FA Addition'!$M583)*'FA Addition'!$P583*AG583/365,IFERROR(VDB(AE583,AE583*0.05,'FA Addition'!$O583,0,YEARFRAC('FA Addition'!$C583,$P$1-1,3),'FA Addition'!$Q583),FAAddition[[#This Row],[Original Cost (Rs)]]-FAAddition[[#This Row],[Salvage Value]])),0),0)</f>
        <v>3185.7718892240559</v>
      </c>
      <c r="AM583" s="119"/>
      <c r="AN583" s="117">
        <f>MAX(IF(AH583&gt;0,IF('FA Addition'!$N583="SLM",($AF583-'FA Addition'!$M583)*'FA Addition'!$P583*AH583/365,IFERROR(VDB(AF583,AF583*0.05,'FA Addition'!$O583,0,YEARFRAC('FA Addition'!$C583,$L$1,3),'FA Addition'!$Q583),FAAddition[[#This Row],[Original Cost (Rs)]]-FAAddition[[#This Row],[Salvage Value]])),0),0)</f>
        <v>11852.554503455718</v>
      </c>
      <c r="AO583" s="117">
        <f t="shared" si="48"/>
        <v>8666.7826142316626</v>
      </c>
      <c r="AP583" s="206"/>
      <c r="AQ583" s="117">
        <f t="shared" si="46"/>
        <v>13706.228110775945</v>
      </c>
      <c r="AR583" s="120">
        <f t="shared" si="47"/>
        <v>5039.4454965442819</v>
      </c>
      <c r="AS583" s="121"/>
    </row>
    <row r="584" spans="1:45" ht="13.5" x14ac:dyDescent="0.4">
      <c r="A584" s="12">
        <f t="shared" si="49"/>
        <v>581</v>
      </c>
      <c r="B584" s="64" t="s">
        <v>1089</v>
      </c>
      <c r="C584" s="54">
        <v>44919</v>
      </c>
      <c r="D584" s="54">
        <v>44919</v>
      </c>
      <c r="E584" s="46" t="s">
        <v>451</v>
      </c>
      <c r="F584" s="51" t="s">
        <v>1133</v>
      </c>
      <c r="G584" s="51" t="s">
        <v>1290</v>
      </c>
      <c r="H584" s="51" t="s">
        <v>21</v>
      </c>
      <c r="I584" s="55" t="s">
        <v>1299</v>
      </c>
      <c r="J584" s="56">
        <v>1</v>
      </c>
      <c r="K584" s="51" t="s">
        <v>1300</v>
      </c>
      <c r="L584" s="58">
        <v>48297.5</v>
      </c>
      <c r="M584" s="50">
        <f>ROUND('FA Addition'!$L584*5%,0.1)</f>
        <v>2415</v>
      </c>
      <c r="N584" s="113" t="str">
        <f>_xlfn.XLOOKUP(_xlfn.CONCAT(E584,B584),'Year Wise Master Dep Approach'!F:F,'Year Wise Master Dep Approach'!D:D)</f>
        <v>WDV</v>
      </c>
      <c r="O584" s="113">
        <f>_xlfn.XLOOKUP(_xlfn.CONCAT(E584,B584),'Year Wise Master Dep Approach'!F:F,'Year Wise Master Dep Approach'!E:E)</f>
        <v>3</v>
      </c>
      <c r="P584" s="114">
        <f>IFERROR(IF('FA Addition'!$N584="WDV",1-('FA Addition'!$M584/'FA Addition'!$L584)^(1/'FA Addition'!$O584),1/'FA Addition'!$O584),0)</f>
        <v>0.63159049375461729</v>
      </c>
      <c r="Q584" s="122">
        <f>'FA Addition'!$P584*'FA Addition'!$O584</f>
        <v>1.8947714812638519</v>
      </c>
      <c r="R584" s="122"/>
      <c r="S584" s="116">
        <f>IF(AND(DATE(20&amp;LEFT(FAAddition[[#This Row],[FY]],2),4,1)&lt;$L$1+1,DATE(20&amp;LEFT(FAAddition[[#This Row],[FY]],2),4,1)&gt;$P$1-1),'FA Addition'!$J584,0)</f>
        <v>0</v>
      </c>
      <c r="U584" s="117">
        <f>S584*'FA Addition'!$L584/'FA Addition'!$J584</f>
        <v>0</v>
      </c>
      <c r="W584" s="116">
        <f>SUMIFS('FA Write off'!D:D,'FA Write off'!A:A,'FA Addition'!$A584,'FA Write off'!C:C,"&lt;"&amp;'FA Addition'!$P$1)</f>
        <v>0</v>
      </c>
      <c r="Y584" s="191">
        <f>IFERROR(W584/'FA Addition'!$J584*'FA Addition'!$L584,0)</f>
        <v>0</v>
      </c>
      <c r="AA584" s="116">
        <f>SUMIFS('FA Write off'!D:D,'FA Write off'!A:A,'FA Addition'!$A584,'FA Write off'!C:C,"&lt;"&amp;'FA Addition'!$L$1+1,'FA Write off'!C:C,"&gt;"&amp;'FA Addition'!$L$1-365)</f>
        <v>0</v>
      </c>
      <c r="AC584" s="118">
        <f>IFERROR(AA584/'FA Addition'!$J584*'FA Addition'!$L584,0)</f>
        <v>0</v>
      </c>
      <c r="AE584" s="117">
        <f>IF(AND('FA Addition'!$D584&lt;$P$1+1,U584=0),'FA Addition'!$L584,0)-Y584</f>
        <v>48297.5</v>
      </c>
      <c r="AF584" s="117">
        <f t="shared" si="45"/>
        <v>48297.5</v>
      </c>
      <c r="AG584" s="117">
        <f>MIN(MAX(+$P$1-'FA Addition'!$D584,0),365*'FA Addition'!$O584)</f>
        <v>98</v>
      </c>
      <c r="AH584" s="117">
        <f>MIN(MAX($L$1-'FA Addition'!$D584+1,0),365*'FA Addition'!$O584)</f>
        <v>464</v>
      </c>
      <c r="AI584" s="117" cm="1">
        <f t="array" ref="AI584">_xlfn.XLOOKUP(1,('FA Write off'!A:A='FA Addition'!$A584)*('FA Write off'!D:D=AA584),'FA Write off'!H:H,0,0)</f>
        <v>0</v>
      </c>
      <c r="AJ584" s="117">
        <f>IF(AC584&gt;0,MAX(IF('FA Addition'!$N584="SLM",($AC584-'FA Addition'!$M584)*'FA Addition'!$P584*AI584/365,(AC584-'FA Addition'!$M584)*(1-(1-'FA Addition'!$P584)^(AI584/365))),0),0)</f>
        <v>0</v>
      </c>
      <c r="AL584" s="117">
        <f>MAX(IF(AG584&gt;0,IF('FA Addition'!$N584="SLM",($AE584-'FA Addition'!$M584)*'FA Addition'!$P584*AG584/365,IFERROR(VDB(AE584,AE584*0.05,'FA Addition'!$O584,0,YEARFRAC('FA Addition'!$C584,$P$1-1,3),'FA Addition'!$Q584),FAAddition[[#This Row],[Original Cost (Rs)]]-FAAddition[[#This Row],[Salvage Value]])),0),0)</f>
        <v>8106.6067440959505</v>
      </c>
      <c r="AM584" s="119"/>
      <c r="AN584" s="117">
        <f>MAX(IF(AH584&gt;0,IF('FA Addition'!$N584="SLM",($AF584-'FA Addition'!$M584)*'FA Addition'!$P584*AH584/365,IFERROR(VDB(AF584,AF584*0.05,'FA Addition'!$O584,0,YEARFRAC('FA Addition'!$C584,$L$1,3),'FA Addition'!$Q584),FAAddition[[#This Row],[Original Cost (Rs)]]-FAAddition[[#This Row],[Salvage Value]])),0),0)</f>
        <v>33521.582045473959</v>
      </c>
      <c r="AO584" s="117">
        <f t="shared" si="48"/>
        <v>25414.975301378006</v>
      </c>
      <c r="AP584" s="206"/>
      <c r="AQ584" s="117">
        <f t="shared" si="46"/>
        <v>40190.893255904048</v>
      </c>
      <c r="AR584" s="120">
        <f t="shared" si="47"/>
        <v>14775.917954526041</v>
      </c>
      <c r="AS584" s="121"/>
    </row>
    <row r="585" spans="1:45" ht="13.5" x14ac:dyDescent="0.4">
      <c r="A585" s="12">
        <f t="shared" si="49"/>
        <v>582</v>
      </c>
      <c r="B585" s="64" t="s">
        <v>1089</v>
      </c>
      <c r="C585" s="54">
        <v>44919</v>
      </c>
      <c r="D585" s="54">
        <v>44919</v>
      </c>
      <c r="E585" s="46" t="s">
        <v>451</v>
      </c>
      <c r="F585" s="51" t="s">
        <v>1133</v>
      </c>
      <c r="G585" s="51" t="s">
        <v>1290</v>
      </c>
      <c r="H585" s="51" t="s">
        <v>21</v>
      </c>
      <c r="I585" s="55" t="s">
        <v>1299</v>
      </c>
      <c r="J585" s="56">
        <v>1</v>
      </c>
      <c r="K585" s="51" t="s">
        <v>1300</v>
      </c>
      <c r="L585" s="58">
        <v>48297.5</v>
      </c>
      <c r="M585" s="50">
        <f>ROUND('FA Addition'!$L585*5%,0.1)</f>
        <v>2415</v>
      </c>
      <c r="N585" s="113" t="str">
        <f>_xlfn.XLOOKUP(_xlfn.CONCAT(E585,B585),'Year Wise Master Dep Approach'!F:F,'Year Wise Master Dep Approach'!D:D)</f>
        <v>WDV</v>
      </c>
      <c r="O585" s="113">
        <f>_xlfn.XLOOKUP(_xlfn.CONCAT(E585,B585),'Year Wise Master Dep Approach'!F:F,'Year Wise Master Dep Approach'!E:E)</f>
        <v>3</v>
      </c>
      <c r="P585" s="114">
        <f>IFERROR(IF('FA Addition'!$N585="WDV",1-('FA Addition'!$M585/'FA Addition'!$L585)^(1/'FA Addition'!$O585),1/'FA Addition'!$O585),0)</f>
        <v>0.63159049375461729</v>
      </c>
      <c r="Q585" s="122">
        <f>'FA Addition'!$P585*'FA Addition'!$O585</f>
        <v>1.8947714812638519</v>
      </c>
      <c r="R585" s="122"/>
      <c r="S585" s="116">
        <f>IF(AND(DATE(20&amp;LEFT(FAAddition[[#This Row],[FY]],2),4,1)&lt;$L$1+1,DATE(20&amp;LEFT(FAAddition[[#This Row],[FY]],2),4,1)&gt;$P$1-1),'FA Addition'!$J585,0)</f>
        <v>0</v>
      </c>
      <c r="U585" s="117">
        <f>S585*'FA Addition'!$L585/'FA Addition'!$J585</f>
        <v>0</v>
      </c>
      <c r="W585" s="116">
        <f>SUMIFS('FA Write off'!D:D,'FA Write off'!A:A,'FA Addition'!$A585,'FA Write off'!C:C,"&lt;"&amp;'FA Addition'!$P$1)</f>
        <v>0</v>
      </c>
      <c r="Y585" s="191">
        <f>IFERROR(W585/'FA Addition'!$J585*'FA Addition'!$L585,0)</f>
        <v>0</v>
      </c>
      <c r="AA585" s="116">
        <f>SUMIFS('FA Write off'!D:D,'FA Write off'!A:A,'FA Addition'!$A585,'FA Write off'!C:C,"&lt;"&amp;'FA Addition'!$L$1+1,'FA Write off'!C:C,"&gt;"&amp;'FA Addition'!$L$1-365)</f>
        <v>0</v>
      </c>
      <c r="AC585" s="118">
        <f>IFERROR(AA585/'FA Addition'!$J585*'FA Addition'!$L585,0)</f>
        <v>0</v>
      </c>
      <c r="AE585" s="117">
        <f>IF(AND('FA Addition'!$D585&lt;$P$1+1,U585=0),'FA Addition'!$L585,0)-Y585</f>
        <v>48297.5</v>
      </c>
      <c r="AF585" s="117">
        <f t="shared" si="45"/>
        <v>48297.5</v>
      </c>
      <c r="AG585" s="117">
        <f>MIN(MAX(+$P$1-'FA Addition'!$D585,0),365*'FA Addition'!$O585)</f>
        <v>98</v>
      </c>
      <c r="AH585" s="117">
        <f>MIN(MAX($L$1-'FA Addition'!$D585+1,0),365*'FA Addition'!$O585)</f>
        <v>464</v>
      </c>
      <c r="AI585" s="117" cm="1">
        <f t="array" ref="AI585">_xlfn.XLOOKUP(1,('FA Write off'!A:A='FA Addition'!$A585)*('FA Write off'!D:D=AA585),'FA Write off'!H:H,0,0)</f>
        <v>0</v>
      </c>
      <c r="AJ585" s="117">
        <f>IF(AC585&gt;0,MAX(IF('FA Addition'!$N585="SLM",($AC585-'FA Addition'!$M585)*'FA Addition'!$P585*AI585/365,(AC585-'FA Addition'!$M585)*(1-(1-'FA Addition'!$P585)^(AI585/365))),0),0)</f>
        <v>0</v>
      </c>
      <c r="AL585" s="117">
        <f>MAX(IF(AG585&gt;0,IF('FA Addition'!$N585="SLM",($AE585-'FA Addition'!$M585)*'FA Addition'!$P585*AG585/365,IFERROR(VDB(AE585,AE585*0.05,'FA Addition'!$O585,0,YEARFRAC('FA Addition'!$C585,$P$1-1,3),'FA Addition'!$Q585),FAAddition[[#This Row],[Original Cost (Rs)]]-FAAddition[[#This Row],[Salvage Value]])),0),0)</f>
        <v>8106.6067440959505</v>
      </c>
      <c r="AM585" s="119"/>
      <c r="AN585" s="117">
        <f>MAX(IF(AH585&gt;0,IF('FA Addition'!$N585="SLM",($AF585-'FA Addition'!$M585)*'FA Addition'!$P585*AH585/365,IFERROR(VDB(AF585,AF585*0.05,'FA Addition'!$O585,0,YEARFRAC('FA Addition'!$C585,$L$1,3),'FA Addition'!$Q585),FAAddition[[#This Row],[Original Cost (Rs)]]-FAAddition[[#This Row],[Salvage Value]])),0),0)</f>
        <v>33521.582045473959</v>
      </c>
      <c r="AO585" s="117">
        <f t="shared" si="48"/>
        <v>25414.975301378006</v>
      </c>
      <c r="AP585" s="206"/>
      <c r="AQ585" s="117">
        <f t="shared" si="46"/>
        <v>40190.893255904048</v>
      </c>
      <c r="AR585" s="120">
        <f t="shared" si="47"/>
        <v>14775.917954526041</v>
      </c>
      <c r="AS585" s="121"/>
    </row>
    <row r="586" spans="1:45" ht="13.5" x14ac:dyDescent="0.4">
      <c r="A586" s="12">
        <f t="shared" si="49"/>
        <v>583</v>
      </c>
      <c r="B586" s="64" t="s">
        <v>1089</v>
      </c>
      <c r="C586" s="54">
        <v>44919</v>
      </c>
      <c r="D586" s="54">
        <v>44919</v>
      </c>
      <c r="E586" s="46" t="s">
        <v>32</v>
      </c>
      <c r="F586" s="51" t="s">
        <v>1090</v>
      </c>
      <c r="G586" s="51" t="s">
        <v>433</v>
      </c>
      <c r="H586" s="51" t="s">
        <v>32</v>
      </c>
      <c r="I586" s="55" t="s">
        <v>1301</v>
      </c>
      <c r="J586" s="56">
        <v>2000</v>
      </c>
      <c r="K586" s="51" t="s">
        <v>935</v>
      </c>
      <c r="L586" s="58">
        <v>2200000</v>
      </c>
      <c r="M586" s="50">
        <f>ROUND('FA Addition'!$L586*5%,0.1)</f>
        <v>110000</v>
      </c>
      <c r="N586" s="113" t="str">
        <f>_xlfn.XLOOKUP(_xlfn.CONCAT(E586,B586),'Year Wise Master Dep Approach'!F:F,'Year Wise Master Dep Approach'!D:D)</f>
        <v>WDV</v>
      </c>
      <c r="O586" s="113">
        <f>_xlfn.XLOOKUP(_xlfn.CONCAT(E586,B586),'Year Wise Master Dep Approach'!F:F,'Year Wise Master Dep Approach'!E:E)</f>
        <v>3</v>
      </c>
      <c r="P586" s="114">
        <f>IFERROR(IF('FA Addition'!$N586="WDV",1-('FA Addition'!$M586/'FA Addition'!$L586)^(1/'FA Addition'!$O586),1/'FA Addition'!$O586),0)</f>
        <v>0.63159685013596123</v>
      </c>
      <c r="Q586" s="122">
        <f>'FA Addition'!$P586*'FA Addition'!$O586</f>
        <v>1.8947905504078837</v>
      </c>
      <c r="R586" s="122"/>
      <c r="S586" s="116">
        <f>IF(AND(DATE(20&amp;LEFT(FAAddition[[#This Row],[FY]],2),4,1)&lt;$L$1+1,DATE(20&amp;LEFT(FAAddition[[#This Row],[FY]],2),4,1)&gt;$P$1-1),'FA Addition'!$J586,0)</f>
        <v>0</v>
      </c>
      <c r="U586" s="117">
        <f>S586*'FA Addition'!$L586/'FA Addition'!$J586</f>
        <v>0</v>
      </c>
      <c r="W586" s="116">
        <f>SUMIFS('FA Write off'!D:D,'FA Write off'!A:A,'FA Addition'!$A586,'FA Write off'!C:C,"&lt;"&amp;'FA Addition'!$P$1)</f>
        <v>60</v>
      </c>
      <c r="Y586" s="191">
        <f>IFERROR(W586/'FA Addition'!$J586*'FA Addition'!$L586,0)</f>
        <v>66000</v>
      </c>
      <c r="AA586" s="116">
        <f>SUMIFS('FA Write off'!D:D,'FA Write off'!A:A,'FA Addition'!$A586,'FA Write off'!C:C,"&lt;"&amp;'FA Addition'!$L$1+1,'FA Write off'!C:C,"&gt;"&amp;'FA Addition'!$L$1-365)</f>
        <v>0</v>
      </c>
      <c r="AC586" s="191">
        <f>IFERROR(AA586/'FA Addition'!$J586*'FA Addition'!$L586,0)</f>
        <v>0</v>
      </c>
      <c r="AE586" s="117">
        <f>IF(AND('FA Addition'!$D586&lt;$P$1+1,U586=0),'FA Addition'!$L586,0)-Y586</f>
        <v>2134000</v>
      </c>
      <c r="AF586" s="117">
        <f t="shared" si="45"/>
        <v>2134000</v>
      </c>
      <c r="AG586" s="117">
        <f>MIN(MAX(+$P$1-'FA Addition'!$D586,0),365*'FA Addition'!$O586)</f>
        <v>98</v>
      </c>
      <c r="AH586" s="117">
        <f>MIN(MAX($L$1-'FA Addition'!$D586+1,0),365*'FA Addition'!$O586)</f>
        <v>464</v>
      </c>
      <c r="AI586" s="117" cm="1">
        <f t="array" ref="AI586">_xlfn.XLOOKUP(1,('FA Write off'!A:A='FA Addition'!$A586)*('FA Write off'!D:D=AA586),'FA Write off'!H:H,0,0)</f>
        <v>0</v>
      </c>
      <c r="AJ586" s="117">
        <f>IF(AC586&gt;0,MAX(IF('FA Addition'!$N586="SLM",($AC586-'FA Addition'!$M586)*'FA Addition'!$P586*AI586/365,(AC586-'FA Addition'!$M586)*(1-(1-'FA Addition'!$P586)^(AI586/365))),0),0)</f>
        <v>0</v>
      </c>
      <c r="AL586" s="117">
        <f>MAX(IF(AG586&gt;0,IF('FA Addition'!$N586="SLM",($AE586-'FA Addition'!$M586)*'FA Addition'!$P586*AG586/365,IFERROR(VDB(AE586,AE586*0.05,'FA Addition'!$O586,0,YEARFRAC('FA Addition'!$C586,$P$1-1,3),'FA Addition'!$Q586),FAAddition[[#This Row],[Original Cost (Rs)]]-FAAddition[[#This Row],[Salvage Value]])),0),0)</f>
        <v>358189.82132724306</v>
      </c>
      <c r="AM586" s="119"/>
      <c r="AN586" s="117">
        <f>MAX(IF(AH586&gt;0,IF('FA Addition'!$N586="SLM",($AF586-'FA Addition'!$M586)*'FA Addition'!$P586*AH586/365,IFERROR(VDB(AF586,AF586*0.05,'FA Addition'!$O586,0,YEARFRAC('FA Addition'!$C586,$L$1,3),'FA Addition'!$Q586),FAAddition[[#This Row],[Original Cost (Rs)]]-FAAddition[[#This Row],[Salvage Value]])),0),0)</f>
        <v>1481146.3310330997</v>
      </c>
      <c r="AO586" s="117">
        <f t="shared" si="48"/>
        <v>1122956.5097058567</v>
      </c>
      <c r="AP586" s="206"/>
      <c r="AQ586" s="117">
        <f t="shared" si="46"/>
        <v>1775810.178672757</v>
      </c>
      <c r="AR586" s="120">
        <f t="shared" si="47"/>
        <v>652853.66896690032</v>
      </c>
      <c r="AS586" s="121"/>
    </row>
    <row r="587" spans="1:45" ht="13.5" x14ac:dyDescent="0.4">
      <c r="A587" s="12">
        <f t="shared" si="49"/>
        <v>584</v>
      </c>
      <c r="B587" s="64" t="s">
        <v>1089</v>
      </c>
      <c r="C587" s="54">
        <v>44921</v>
      </c>
      <c r="D587" s="54">
        <v>44921</v>
      </c>
      <c r="E587" s="46" t="s">
        <v>32</v>
      </c>
      <c r="F587" s="51" t="s">
        <v>1090</v>
      </c>
      <c r="G587" s="51" t="s">
        <v>433</v>
      </c>
      <c r="H587" s="51" t="s">
        <v>32</v>
      </c>
      <c r="I587" s="55" t="s">
        <v>1302</v>
      </c>
      <c r="J587" s="56">
        <v>2000</v>
      </c>
      <c r="K587" s="51" t="s">
        <v>935</v>
      </c>
      <c r="L587" s="58">
        <v>2200000</v>
      </c>
      <c r="M587" s="50">
        <f>ROUND('FA Addition'!$L587*5%,0.1)</f>
        <v>110000</v>
      </c>
      <c r="N587" s="113" t="str">
        <f>_xlfn.XLOOKUP(_xlfn.CONCAT(E587,B587),'Year Wise Master Dep Approach'!F:F,'Year Wise Master Dep Approach'!D:D)</f>
        <v>WDV</v>
      </c>
      <c r="O587" s="113">
        <f>_xlfn.XLOOKUP(_xlfn.CONCAT(E587,B587),'Year Wise Master Dep Approach'!F:F,'Year Wise Master Dep Approach'!E:E)</f>
        <v>3</v>
      </c>
      <c r="P587" s="114">
        <f>IFERROR(IF('FA Addition'!$N587="WDV",1-('FA Addition'!$M587/'FA Addition'!$L587)^(1/'FA Addition'!$O587),1/'FA Addition'!$O587),0)</f>
        <v>0.63159685013596123</v>
      </c>
      <c r="Q587" s="122">
        <f>'FA Addition'!$P587*'FA Addition'!$O587</f>
        <v>1.8947905504078837</v>
      </c>
      <c r="R587" s="122"/>
      <c r="S587" s="116">
        <f>IF(AND(DATE(20&amp;LEFT(FAAddition[[#This Row],[FY]],2),4,1)&lt;$L$1+1,DATE(20&amp;LEFT(FAAddition[[#This Row],[FY]],2),4,1)&gt;$P$1-1),'FA Addition'!$J587,0)</f>
        <v>0</v>
      </c>
      <c r="U587" s="117">
        <f>S587*'FA Addition'!$L587/'FA Addition'!$J587</f>
        <v>0</v>
      </c>
      <c r="W587" s="116">
        <f>SUMIFS('FA Write off'!D:D,'FA Write off'!A:A,'FA Addition'!$A587,'FA Write off'!C:C,"&lt;"&amp;'FA Addition'!$P$1)</f>
        <v>175</v>
      </c>
      <c r="Y587" s="191">
        <f>IFERROR(W587/'FA Addition'!$J587*'FA Addition'!$L587,0)</f>
        <v>192500</v>
      </c>
      <c r="AA587" s="116">
        <f>SUMIFS('FA Write off'!D:D,'FA Write off'!A:A,'FA Addition'!$A587,'FA Write off'!C:C,"&lt;"&amp;'FA Addition'!$L$1+1,'FA Write off'!C:C,"&gt;"&amp;'FA Addition'!$L$1-365)</f>
        <v>0</v>
      </c>
      <c r="AC587" s="191">
        <f>IFERROR(AA587/'FA Addition'!$J587*'FA Addition'!$L587,0)</f>
        <v>0</v>
      </c>
      <c r="AE587" s="117">
        <f>IF(AND('FA Addition'!$D587&lt;$P$1+1,U587=0),'FA Addition'!$L587,0)-Y587</f>
        <v>2007500</v>
      </c>
      <c r="AF587" s="117">
        <f t="shared" si="45"/>
        <v>2007500</v>
      </c>
      <c r="AG587" s="117">
        <f>MIN(MAX(+$P$1-'FA Addition'!$D587,0),365*'FA Addition'!$O587)</f>
        <v>96</v>
      </c>
      <c r="AH587" s="117">
        <f>MIN(MAX($L$1-'FA Addition'!$D587+1,0),365*'FA Addition'!$O587)</f>
        <v>462</v>
      </c>
      <c r="AI587" s="117" cm="1">
        <f t="array" ref="AI587">_xlfn.XLOOKUP(1,('FA Write off'!A:A='FA Addition'!$A587)*('FA Write off'!D:D=AA587),'FA Write off'!H:H,0,0)</f>
        <v>0</v>
      </c>
      <c r="AJ587" s="117">
        <f>IF(AC587&gt;0,MAX(IF('FA Addition'!$N587="SLM",($AC587-'FA Addition'!$M587)*'FA Addition'!$P587*AI587/365,(AC587-'FA Addition'!$M587)*(1-(1-'FA Addition'!$P587)^(AI587/365))),0),0)</f>
        <v>0</v>
      </c>
      <c r="AL587" s="117">
        <f>MAX(IF(AG587&gt;0,IF('FA Addition'!$N587="SLM",($AE587-'FA Addition'!$M587)*'FA Addition'!$P587*AG587/365,IFERROR(VDB(AE587,AE587*0.05,'FA Addition'!$O587,0,YEARFRAC('FA Addition'!$C587,$P$1-1,3),'FA Addition'!$Q587),FAAddition[[#This Row],[Original Cost (Rs)]]-FAAddition[[#This Row],[Salvage Value]])),0),0)</f>
        <v>330009.35419603973</v>
      </c>
      <c r="AM587" s="119"/>
      <c r="AN587" s="117">
        <f>MAX(IF(AH587&gt;0,IF('FA Addition'!$N587="SLM",($AF587-'FA Addition'!$M587)*'FA Addition'!$P587*AH587/365,IFERROR(VDB(AF587,AF587*0.05,'FA Addition'!$O587,0,YEARFRAC('FA Addition'!$C587,$L$1,3),'FA Addition'!$Q587),FAAddition[[#This Row],[Original Cost (Rs)]]-FAAddition[[#This Row],[Salvage Value]])),0),0)</f>
        <v>1390786.9146980492</v>
      </c>
      <c r="AO587" s="117">
        <f t="shared" si="48"/>
        <v>1060777.5605020095</v>
      </c>
      <c r="AP587" s="206"/>
      <c r="AQ587" s="117">
        <f t="shared" si="46"/>
        <v>1677490.6458039603</v>
      </c>
      <c r="AR587" s="120">
        <f t="shared" si="47"/>
        <v>616713.08530195081</v>
      </c>
      <c r="AS587" s="121"/>
    </row>
    <row r="588" spans="1:45" ht="13.5" x14ac:dyDescent="0.4">
      <c r="A588" s="12">
        <f t="shared" si="49"/>
        <v>585</v>
      </c>
      <c r="B588" s="64" t="s">
        <v>1089</v>
      </c>
      <c r="C588" s="54">
        <v>44923</v>
      </c>
      <c r="D588" s="54">
        <v>44923</v>
      </c>
      <c r="E588" s="46" t="s">
        <v>451</v>
      </c>
      <c r="F588" s="51" t="s">
        <v>1133</v>
      </c>
      <c r="G588" s="51" t="s">
        <v>1290</v>
      </c>
      <c r="H588" s="51" t="s">
        <v>21</v>
      </c>
      <c r="I588" s="55" t="s">
        <v>1303</v>
      </c>
      <c r="J588" s="56">
        <v>1</v>
      </c>
      <c r="K588" s="51" t="s">
        <v>1292</v>
      </c>
      <c r="L588" s="58">
        <v>29237.5</v>
      </c>
      <c r="M588" s="50">
        <f>ROUND('FA Addition'!$L588*5%,0.1)</f>
        <v>1462</v>
      </c>
      <c r="N588" s="113" t="str">
        <f>_xlfn.XLOOKUP(_xlfn.CONCAT(E588,B588),'Year Wise Master Dep Approach'!F:F,'Year Wise Master Dep Approach'!D:D)</f>
        <v>WDV</v>
      </c>
      <c r="O588" s="113">
        <f>_xlfn.XLOOKUP(_xlfn.CONCAT(E588,B588),'Year Wise Master Dep Approach'!F:F,'Year Wise Master Dep Approach'!E:E)</f>
        <v>3</v>
      </c>
      <c r="P588" s="114">
        <f>IFERROR(IF('FA Addition'!$N588="WDV",1-('FA Addition'!$M588/'FA Addition'!$L588)^(1/'FA Addition'!$O588),1/'FA Addition'!$O588),0)</f>
        <v>0.63158635013168429</v>
      </c>
      <c r="Q588" s="122">
        <f>'FA Addition'!$P588*'FA Addition'!$O588</f>
        <v>1.8947590503950529</v>
      </c>
      <c r="R588" s="122"/>
      <c r="S588" s="116">
        <f>IF(AND(DATE(20&amp;LEFT(FAAddition[[#This Row],[FY]],2),4,1)&lt;$L$1+1,DATE(20&amp;LEFT(FAAddition[[#This Row],[FY]],2),4,1)&gt;$P$1-1),'FA Addition'!$J588,0)</f>
        <v>0</v>
      </c>
      <c r="U588" s="117">
        <f>S588*'FA Addition'!$L588/'FA Addition'!$J588</f>
        <v>0</v>
      </c>
      <c r="W588" s="116">
        <f>SUMIFS('FA Write off'!D:D,'FA Write off'!A:A,'FA Addition'!$A588,'FA Write off'!C:C,"&lt;"&amp;'FA Addition'!$P$1)</f>
        <v>0</v>
      </c>
      <c r="Y588" s="191">
        <f>IFERROR(W588/'FA Addition'!$J588*'FA Addition'!$L588,0)</f>
        <v>0</v>
      </c>
      <c r="AA588" s="116">
        <f>SUMIFS('FA Write off'!D:D,'FA Write off'!A:A,'FA Addition'!$A588,'FA Write off'!C:C,"&lt;"&amp;'FA Addition'!$L$1+1,'FA Write off'!C:C,"&gt;"&amp;'FA Addition'!$L$1-365)</f>
        <v>0</v>
      </c>
      <c r="AC588" s="118">
        <f>IFERROR(AA588/'FA Addition'!$J588*'FA Addition'!$L588,0)</f>
        <v>0</v>
      </c>
      <c r="AE588" s="117">
        <f>IF(AND('FA Addition'!$D588&lt;$P$1+1,U588=0),'FA Addition'!$L588,0)-Y588</f>
        <v>29237.5</v>
      </c>
      <c r="AF588" s="117">
        <f t="shared" si="45"/>
        <v>29237.5</v>
      </c>
      <c r="AG588" s="117">
        <f>MIN(MAX(+$P$1-'FA Addition'!$D588,0),365*'FA Addition'!$O588)</f>
        <v>94</v>
      </c>
      <c r="AH588" s="117">
        <f>MIN(MAX($L$1-'FA Addition'!$D588+1,0),365*'FA Addition'!$O588)</f>
        <v>460</v>
      </c>
      <c r="AI588" s="117" cm="1">
        <f t="array" ref="AI588">_xlfn.XLOOKUP(1,('FA Write off'!A:A='FA Addition'!$A588)*('FA Write off'!D:D=AA588),'FA Write off'!H:H,0,0)</f>
        <v>0</v>
      </c>
      <c r="AJ588" s="117">
        <f>IF(AC588&gt;0,MAX(IF('FA Addition'!$N588="SLM",($AC588-'FA Addition'!$M588)*'FA Addition'!$P588*AI588/365,(AC588-'FA Addition'!$M588)*(1-(1-'FA Addition'!$P588)^(AI588/365))),0),0)</f>
        <v>0</v>
      </c>
      <c r="AL588" s="117">
        <f>MAX(IF(AG588&gt;0,IF('FA Addition'!$N588="SLM",($AE588-'FA Addition'!$M588)*'FA Addition'!$P588*AG588/365,IFERROR(VDB(AE588,AE588*0.05,'FA Addition'!$O588,0,YEARFRAC('FA Addition'!$C588,$P$1-1,3),'FA Addition'!$Q588),FAAddition[[#This Row],[Original Cost (Rs)]]-FAAddition[[#This Row],[Salvage Value]])),0),0)</f>
        <v>4705.037122777223</v>
      </c>
      <c r="AM588" s="119"/>
      <c r="AN588" s="117">
        <f>MAX(IF(AH588&gt;0,IF('FA Addition'!$N588="SLM",($AF588-'FA Addition'!$M588)*'FA Addition'!$P588*AH588/365,IFERROR(VDB(AF588,AF588*0.05,'FA Addition'!$O588,0,YEARFRAC('FA Addition'!$C588,$L$1,3),'FA Addition'!$Q588),FAAddition[[#This Row],[Original Cost (Rs)]]-FAAddition[[#This Row],[Salvage Value]])),0),0)</f>
        <v>20218.044519736603</v>
      </c>
      <c r="AO588" s="117">
        <f t="shared" si="48"/>
        <v>15513.00739695938</v>
      </c>
      <c r="AP588" s="206"/>
      <c r="AQ588" s="117">
        <f t="shared" si="46"/>
        <v>24532.462877222777</v>
      </c>
      <c r="AR588" s="120">
        <f t="shared" si="47"/>
        <v>9019.4554802633975</v>
      </c>
      <c r="AS588" s="121"/>
    </row>
    <row r="589" spans="1:45" ht="13.5" x14ac:dyDescent="0.4">
      <c r="A589" s="12">
        <f t="shared" si="49"/>
        <v>586</v>
      </c>
      <c r="B589" s="64" t="s">
        <v>1089</v>
      </c>
      <c r="C589" s="54">
        <v>44923</v>
      </c>
      <c r="D589" s="54">
        <v>44923</v>
      </c>
      <c r="E589" s="46" t="s">
        <v>451</v>
      </c>
      <c r="F589" s="51" t="s">
        <v>1133</v>
      </c>
      <c r="G589" s="51" t="s">
        <v>1290</v>
      </c>
      <c r="H589" s="51" t="s">
        <v>21</v>
      </c>
      <c r="I589" s="55" t="s">
        <v>1303</v>
      </c>
      <c r="J589" s="56">
        <v>1</v>
      </c>
      <c r="K589" s="51" t="s">
        <v>1292</v>
      </c>
      <c r="L589" s="58">
        <v>29237.5</v>
      </c>
      <c r="M589" s="50">
        <f>ROUND('FA Addition'!$L589*5%,0.1)</f>
        <v>1462</v>
      </c>
      <c r="N589" s="113" t="str">
        <f>_xlfn.XLOOKUP(_xlfn.CONCAT(E589,B589),'Year Wise Master Dep Approach'!F:F,'Year Wise Master Dep Approach'!D:D)</f>
        <v>WDV</v>
      </c>
      <c r="O589" s="113">
        <f>_xlfn.XLOOKUP(_xlfn.CONCAT(E589,B589),'Year Wise Master Dep Approach'!F:F,'Year Wise Master Dep Approach'!E:E)</f>
        <v>3</v>
      </c>
      <c r="P589" s="114">
        <f>IFERROR(IF('FA Addition'!$N589="WDV",1-('FA Addition'!$M589/'FA Addition'!$L589)^(1/'FA Addition'!$O589),1/'FA Addition'!$O589),0)</f>
        <v>0.63158635013168429</v>
      </c>
      <c r="Q589" s="122">
        <f>'FA Addition'!$P589*'FA Addition'!$O589</f>
        <v>1.8947590503950529</v>
      </c>
      <c r="R589" s="122"/>
      <c r="S589" s="116">
        <f>IF(AND(DATE(20&amp;LEFT(FAAddition[[#This Row],[FY]],2),4,1)&lt;$L$1+1,DATE(20&amp;LEFT(FAAddition[[#This Row],[FY]],2),4,1)&gt;$P$1-1),'FA Addition'!$J589,0)</f>
        <v>0</v>
      </c>
      <c r="U589" s="117">
        <f>S589*'FA Addition'!$L589/'FA Addition'!$J589</f>
        <v>0</v>
      </c>
      <c r="W589" s="116">
        <f>SUMIFS('FA Write off'!D:D,'FA Write off'!A:A,'FA Addition'!$A589,'FA Write off'!C:C,"&lt;"&amp;'FA Addition'!$P$1)</f>
        <v>0</v>
      </c>
      <c r="Y589" s="191">
        <f>IFERROR(W589/'FA Addition'!$J589*'FA Addition'!$L589,0)</f>
        <v>0</v>
      </c>
      <c r="AA589" s="116">
        <f>SUMIFS('FA Write off'!D:D,'FA Write off'!A:A,'FA Addition'!$A589,'FA Write off'!C:C,"&lt;"&amp;'FA Addition'!$L$1+1,'FA Write off'!C:C,"&gt;"&amp;'FA Addition'!$L$1-365)</f>
        <v>0</v>
      </c>
      <c r="AC589" s="118">
        <f>IFERROR(AA589/'FA Addition'!$J589*'FA Addition'!$L589,0)</f>
        <v>0</v>
      </c>
      <c r="AE589" s="117">
        <f>IF(AND('FA Addition'!$D589&lt;$P$1+1,U589=0),'FA Addition'!$L589,0)-Y589</f>
        <v>29237.5</v>
      </c>
      <c r="AF589" s="117">
        <f t="shared" si="45"/>
        <v>29237.5</v>
      </c>
      <c r="AG589" s="117">
        <f>MIN(MAX(+$P$1-'FA Addition'!$D589,0),365*'FA Addition'!$O589)</f>
        <v>94</v>
      </c>
      <c r="AH589" s="117">
        <f>MIN(MAX($L$1-'FA Addition'!$D589+1,0),365*'FA Addition'!$O589)</f>
        <v>460</v>
      </c>
      <c r="AI589" s="117" cm="1">
        <f t="array" ref="AI589">_xlfn.XLOOKUP(1,('FA Write off'!A:A='FA Addition'!$A589)*('FA Write off'!D:D=AA589),'FA Write off'!H:H,0,0)</f>
        <v>0</v>
      </c>
      <c r="AJ589" s="117">
        <f>IF(AC589&gt;0,MAX(IF('FA Addition'!$N589="SLM",($AC589-'FA Addition'!$M589)*'FA Addition'!$P589*AI589/365,(AC589-'FA Addition'!$M589)*(1-(1-'FA Addition'!$P589)^(AI589/365))),0),0)</f>
        <v>0</v>
      </c>
      <c r="AL589" s="117">
        <f>MAX(IF(AG589&gt;0,IF('FA Addition'!$N589="SLM",($AE589-'FA Addition'!$M589)*'FA Addition'!$P589*AG589/365,IFERROR(VDB(AE589,AE589*0.05,'FA Addition'!$O589,0,YEARFRAC('FA Addition'!$C589,$P$1-1,3),'FA Addition'!$Q589),FAAddition[[#This Row],[Original Cost (Rs)]]-FAAddition[[#This Row],[Salvage Value]])),0),0)</f>
        <v>4705.037122777223</v>
      </c>
      <c r="AM589" s="119"/>
      <c r="AN589" s="117">
        <f>MAX(IF(AH589&gt;0,IF('FA Addition'!$N589="SLM",($AF589-'FA Addition'!$M589)*'FA Addition'!$P589*AH589/365,IFERROR(VDB(AF589,AF589*0.05,'FA Addition'!$O589,0,YEARFRAC('FA Addition'!$C589,$L$1,3),'FA Addition'!$Q589),FAAddition[[#This Row],[Original Cost (Rs)]]-FAAddition[[#This Row],[Salvage Value]])),0),0)</f>
        <v>20218.044519736603</v>
      </c>
      <c r="AO589" s="117">
        <f t="shared" si="48"/>
        <v>15513.00739695938</v>
      </c>
      <c r="AP589" s="206"/>
      <c r="AQ589" s="117">
        <f t="shared" si="46"/>
        <v>24532.462877222777</v>
      </c>
      <c r="AR589" s="120">
        <f t="shared" si="47"/>
        <v>9019.4554802633975</v>
      </c>
      <c r="AS589" s="121"/>
    </row>
    <row r="590" spans="1:45" ht="13.5" x14ac:dyDescent="0.4">
      <c r="A590" s="12">
        <f t="shared" si="49"/>
        <v>587</v>
      </c>
      <c r="B590" s="64" t="s">
        <v>1089</v>
      </c>
      <c r="C590" s="54">
        <v>44929</v>
      </c>
      <c r="D590" s="54">
        <v>44929</v>
      </c>
      <c r="E590" s="46" t="s">
        <v>32</v>
      </c>
      <c r="F590" s="51" t="s">
        <v>1090</v>
      </c>
      <c r="G590" s="51" t="s">
        <v>433</v>
      </c>
      <c r="H590" s="51" t="s">
        <v>32</v>
      </c>
      <c r="I590" s="55" t="s">
        <v>1304</v>
      </c>
      <c r="J590" s="56">
        <v>2500</v>
      </c>
      <c r="K590" s="51" t="s">
        <v>935</v>
      </c>
      <c r="L590" s="58">
        <v>2750000</v>
      </c>
      <c r="M590" s="50">
        <f>ROUND('FA Addition'!$L590*5%,0.1)</f>
        <v>137500</v>
      </c>
      <c r="N590" s="113" t="str">
        <f>_xlfn.XLOOKUP(_xlfn.CONCAT(E590,B590),'Year Wise Master Dep Approach'!F:F,'Year Wise Master Dep Approach'!D:D)</f>
        <v>WDV</v>
      </c>
      <c r="O590" s="113">
        <f>_xlfn.XLOOKUP(_xlfn.CONCAT(E590,B590),'Year Wise Master Dep Approach'!F:F,'Year Wise Master Dep Approach'!E:E)</f>
        <v>3</v>
      </c>
      <c r="P590" s="114">
        <f>IFERROR(IF('FA Addition'!$N590="WDV",1-('FA Addition'!$M590/'FA Addition'!$L590)^(1/'FA Addition'!$O590),1/'FA Addition'!$O590),0)</f>
        <v>0.63159685013596123</v>
      </c>
      <c r="Q590" s="122">
        <f>'FA Addition'!$P590*'FA Addition'!$O590</f>
        <v>1.8947905504078837</v>
      </c>
      <c r="R590" s="122"/>
      <c r="S590" s="116">
        <f>IF(AND(DATE(20&amp;LEFT(FAAddition[[#This Row],[FY]],2),4,1)&lt;$L$1+1,DATE(20&amp;LEFT(FAAddition[[#This Row],[FY]],2),4,1)&gt;$P$1-1),'FA Addition'!$J590,0)</f>
        <v>0</v>
      </c>
      <c r="U590" s="117">
        <f>S590*'FA Addition'!$L590/'FA Addition'!$J590</f>
        <v>0</v>
      </c>
      <c r="W590" s="116">
        <f>SUMIFS('FA Write off'!D:D,'FA Write off'!A:A,'FA Addition'!$A590,'FA Write off'!C:C,"&lt;"&amp;'FA Addition'!$P$1)</f>
        <v>93</v>
      </c>
      <c r="Y590" s="191">
        <f>IFERROR(W590/'FA Addition'!$J590*'FA Addition'!$L590,0)</f>
        <v>102299.99999999999</v>
      </c>
      <c r="AA590" s="116">
        <f>SUMIFS('FA Write off'!D:D,'FA Write off'!A:A,'FA Addition'!$A590,'FA Write off'!C:C,"&lt;"&amp;'FA Addition'!$L$1+1,'FA Write off'!C:C,"&gt;"&amp;'FA Addition'!$L$1-365)</f>
        <v>991</v>
      </c>
      <c r="AC590" s="191">
        <f>IFERROR(AA590/'FA Addition'!$J590*'FA Addition'!$L590,0)</f>
        <v>1090100</v>
      </c>
      <c r="AE590" s="117">
        <f>IF(AND('FA Addition'!$D590&lt;$P$1+1,U590=0),'FA Addition'!$L590,0)-Y590</f>
        <v>2647700</v>
      </c>
      <c r="AF590" s="117">
        <f t="shared" si="45"/>
        <v>1557600</v>
      </c>
      <c r="AG590" s="117">
        <f>MIN(MAX(+$P$1-'FA Addition'!$D590,0),365*'FA Addition'!$O590)</f>
        <v>88</v>
      </c>
      <c r="AH590" s="117">
        <f>MIN(MAX($L$1-'FA Addition'!$D590+1,0),365*'FA Addition'!$O590)</f>
        <v>454</v>
      </c>
      <c r="AI590" s="117" cm="1">
        <f t="array" ref="AI590">_xlfn.XLOOKUP(1,('FA Write off'!A:A='FA Addition'!$A590)*('FA Write off'!D:D=AA590),'FA Write off'!H:H,0,0)</f>
        <v>454</v>
      </c>
      <c r="AJ590" s="117">
        <f>IF(AC590&gt;0,MAX(IF('FA Addition'!$N590="SLM",($AC590-'FA Addition'!$M590)*'FA Addition'!$P590*AI590/365,(AC590-'FA Addition'!$M590)*(1-(1-'FA Addition'!$P590)^(AI590/365))),0),0)</f>
        <v>677501.58070645155</v>
      </c>
      <c r="AL590" s="117">
        <f>MAX(IF(AG590&gt;0,IF('FA Addition'!$N590="SLM",($AE590-'FA Addition'!$M590)*'FA Addition'!$P590*AG590/365,IFERROR(VDB(AE590,AE590*0.05,'FA Addition'!$O590,0,YEARFRAC('FA Addition'!$C590,$P$1-1,3),'FA Addition'!$Q590),FAAddition[[#This Row],[Original Cost (Rs)]]-FAAddition[[#This Row],[Salvage Value]])),0),0)</f>
        <v>398598.00347707846</v>
      </c>
      <c r="AM590" s="119"/>
      <c r="AN590" s="117">
        <f>MAX(IF(AH590&gt;0,IF('FA Addition'!$N590="SLM",($AF590-'FA Addition'!$M590)*'FA Addition'!$P590*AH590/365,IFERROR(VDB(AF590,AF590*0.05,'FA Addition'!$O590,0,YEARFRAC('FA Addition'!$C590,$L$1,3),'FA Addition'!$Q590),FAAddition[[#This Row],[Original Cost (Rs)]]-FAAddition[[#This Row],[Salvage Value]])),0),0)</f>
        <v>1071154.6493822054</v>
      </c>
      <c r="AO590" s="117">
        <f t="shared" si="48"/>
        <v>1350058.2266115786</v>
      </c>
      <c r="AP590" s="206"/>
      <c r="AQ590" s="117">
        <f t="shared" si="46"/>
        <v>2249101.9965229216</v>
      </c>
      <c r="AR590" s="120">
        <f t="shared" si="47"/>
        <v>486445.35061779455</v>
      </c>
      <c r="AS590" s="121"/>
    </row>
    <row r="591" spans="1:45" ht="13.5" x14ac:dyDescent="0.4">
      <c r="A591" s="12">
        <f t="shared" si="49"/>
        <v>588</v>
      </c>
      <c r="B591" s="64" t="s">
        <v>1089</v>
      </c>
      <c r="C591" s="54">
        <v>44930</v>
      </c>
      <c r="D591" s="54">
        <v>44930</v>
      </c>
      <c r="E591" s="46" t="s">
        <v>451</v>
      </c>
      <c r="F591" s="51" t="s">
        <v>1133</v>
      </c>
      <c r="G591" s="51" t="s">
        <v>1290</v>
      </c>
      <c r="H591" s="51" t="s">
        <v>21</v>
      </c>
      <c r="I591" s="55" t="s">
        <v>1305</v>
      </c>
      <c r="J591" s="56">
        <v>1</v>
      </c>
      <c r="K591" s="51" t="s">
        <v>1306</v>
      </c>
      <c r="L591" s="58">
        <v>64000</v>
      </c>
      <c r="M591" s="50">
        <f>ROUND('FA Addition'!$L591*5%,0.1)</f>
        <v>3200</v>
      </c>
      <c r="N591" s="113" t="str">
        <f>_xlfn.XLOOKUP(_xlfn.CONCAT(E591,B591),'Year Wise Master Dep Approach'!F:F,'Year Wise Master Dep Approach'!D:D)</f>
        <v>WDV</v>
      </c>
      <c r="O591" s="113">
        <f>_xlfn.XLOOKUP(_xlfn.CONCAT(E591,B591),'Year Wise Master Dep Approach'!F:F,'Year Wise Master Dep Approach'!E:E)</f>
        <v>3</v>
      </c>
      <c r="P591" s="114">
        <f>IFERROR(IF('FA Addition'!$N591="WDV",1-('FA Addition'!$M591/'FA Addition'!$L591)^(1/'FA Addition'!$O591),1/'FA Addition'!$O591),0)</f>
        <v>0.63159685013596123</v>
      </c>
      <c r="Q591" s="122">
        <f>'FA Addition'!$P591*'FA Addition'!$O591</f>
        <v>1.8947905504078837</v>
      </c>
      <c r="R591" s="122"/>
      <c r="S591" s="116">
        <f>IF(AND(DATE(20&amp;LEFT(FAAddition[[#This Row],[FY]],2),4,1)&lt;$L$1+1,DATE(20&amp;LEFT(FAAddition[[#This Row],[FY]],2),4,1)&gt;$P$1-1),'FA Addition'!$J591,0)</f>
        <v>0</v>
      </c>
      <c r="U591" s="117">
        <f>S591*'FA Addition'!$L591/'FA Addition'!$J591</f>
        <v>0</v>
      </c>
      <c r="W591" s="116">
        <f>SUMIFS('FA Write off'!D:D,'FA Write off'!A:A,'FA Addition'!$A591,'FA Write off'!C:C,"&lt;"&amp;'FA Addition'!$P$1)</f>
        <v>0</v>
      </c>
      <c r="Y591" s="191">
        <f>IFERROR(W591/'FA Addition'!$J591*'FA Addition'!$L591,0)</f>
        <v>0</v>
      </c>
      <c r="AA591" s="116">
        <f>SUMIFS('FA Write off'!D:D,'FA Write off'!A:A,'FA Addition'!$A591,'FA Write off'!C:C,"&lt;"&amp;'FA Addition'!$L$1+1,'FA Write off'!C:C,"&gt;"&amp;'FA Addition'!$L$1-365)</f>
        <v>0</v>
      </c>
      <c r="AC591" s="118">
        <f>IFERROR(AA591/'FA Addition'!$J591*'FA Addition'!$L591,0)</f>
        <v>0</v>
      </c>
      <c r="AE591" s="117">
        <f>IF(AND('FA Addition'!$D591&lt;$P$1+1,U591=0),'FA Addition'!$L591,0)-Y591</f>
        <v>64000</v>
      </c>
      <c r="AF591" s="117">
        <f t="shared" si="45"/>
        <v>64000</v>
      </c>
      <c r="AG591" s="117">
        <f>MIN(MAX(+$P$1-'FA Addition'!$D591,0),365*'FA Addition'!$O591)</f>
        <v>87</v>
      </c>
      <c r="AH591" s="117">
        <f>MIN(MAX($L$1-'FA Addition'!$D591+1,0),365*'FA Addition'!$O591)</f>
        <v>453</v>
      </c>
      <c r="AI591" s="117" cm="1">
        <f t="array" ref="AI591">_xlfn.XLOOKUP(1,('FA Write off'!A:A='FA Addition'!$A591)*('FA Write off'!D:D=AA591),'FA Write off'!H:H,0,0)</f>
        <v>0</v>
      </c>
      <c r="AJ591" s="117">
        <f>IF(AC591&gt;0,MAX(IF('FA Addition'!$N591="SLM",($AC591-'FA Addition'!$M591)*'FA Addition'!$P591*AI591/365,(AC591-'FA Addition'!$M591)*(1-(1-'FA Addition'!$P591)^(AI591/365))),0),0)</f>
        <v>0</v>
      </c>
      <c r="AL591" s="117">
        <f>MAX(IF(AG591&gt;0,IF('FA Addition'!$N591="SLM",($AE591-'FA Addition'!$M591)*'FA Addition'!$P591*AG591/365,IFERROR(VDB(AE591,AE591*0.05,'FA Addition'!$O591,0,YEARFRAC('FA Addition'!$C591,$P$1-1,3),'FA Addition'!$Q591),FAAddition[[#This Row],[Original Cost (Rs)]]-FAAddition[[#This Row],[Salvage Value]])),0),0)</f>
        <v>9524.1344195844667</v>
      </c>
      <c r="AM591" s="119"/>
      <c r="AN591" s="117">
        <f>MAX(IF(AH591&gt;0,IF('FA Addition'!$N591="SLM",($AF591-'FA Addition'!$M591)*'FA Addition'!$P591*AH591/365,IFERROR(VDB(AF591,AF591*0.05,'FA Addition'!$O591,0,YEARFRAC('FA Addition'!$C591,$L$1,3),'FA Addition'!$Q591),FAAddition[[#This Row],[Original Cost (Rs)]]-FAAddition[[#This Row],[Salvage Value]])),0),0)</f>
        <v>43971.718611394521</v>
      </c>
      <c r="AO591" s="117">
        <f t="shared" si="48"/>
        <v>34447.584191810056</v>
      </c>
      <c r="AP591" s="206"/>
      <c r="AQ591" s="117">
        <f t="shared" si="46"/>
        <v>54475.865580415535</v>
      </c>
      <c r="AR591" s="120">
        <f t="shared" si="47"/>
        <v>20028.281388605479</v>
      </c>
      <c r="AS591" s="121"/>
    </row>
    <row r="592" spans="1:45" ht="13.5" x14ac:dyDescent="0.4">
      <c r="A592" s="12">
        <f t="shared" si="49"/>
        <v>589</v>
      </c>
      <c r="B592" s="64" t="s">
        <v>1089</v>
      </c>
      <c r="C592" s="54">
        <v>44930</v>
      </c>
      <c r="D592" s="54">
        <v>44930</v>
      </c>
      <c r="E592" s="46" t="s">
        <v>451</v>
      </c>
      <c r="F592" s="51" t="s">
        <v>1133</v>
      </c>
      <c r="G592" s="51" t="s">
        <v>1290</v>
      </c>
      <c r="H592" s="51" t="s">
        <v>151</v>
      </c>
      <c r="I592" s="55" t="s">
        <v>1305</v>
      </c>
      <c r="J592" s="56">
        <v>1</v>
      </c>
      <c r="K592" s="51" t="s">
        <v>1307</v>
      </c>
      <c r="L592" s="58">
        <v>16483</v>
      </c>
      <c r="M592" s="50">
        <f>ROUND('FA Addition'!$L592*5%,0.1)</f>
        <v>824</v>
      </c>
      <c r="N592" s="113" t="str">
        <f>_xlfn.XLOOKUP(_xlfn.CONCAT(E592,B592),'Year Wise Master Dep Approach'!F:F,'Year Wise Master Dep Approach'!D:D)</f>
        <v>WDV</v>
      </c>
      <c r="O592" s="113">
        <f>_xlfn.XLOOKUP(_xlfn.CONCAT(E592,B592),'Year Wise Master Dep Approach'!F:F,'Year Wise Master Dep Approach'!E:E)</f>
        <v>3</v>
      </c>
      <c r="P592" s="114">
        <f>IFERROR(IF('FA Addition'!$N592="WDV",1-('FA Addition'!$M592/'FA Addition'!$L592)^(1/'FA Addition'!$O592),1/'FA Addition'!$O592),0)</f>
        <v>0.63161920198347787</v>
      </c>
      <c r="Q592" s="122">
        <f>'FA Addition'!$P592*'FA Addition'!$O592</f>
        <v>1.8948576059504336</v>
      </c>
      <c r="R592" s="122"/>
      <c r="S592" s="116">
        <f>IF(AND(DATE(20&amp;LEFT(FAAddition[[#This Row],[FY]],2),4,1)&lt;$L$1+1,DATE(20&amp;LEFT(FAAddition[[#This Row],[FY]],2),4,1)&gt;$P$1-1),'FA Addition'!$J592,0)</f>
        <v>0</v>
      </c>
      <c r="U592" s="117">
        <f>S592*'FA Addition'!$L592/'FA Addition'!$J592</f>
        <v>0</v>
      </c>
      <c r="W592" s="116">
        <f>SUMIFS('FA Write off'!D:D,'FA Write off'!A:A,'FA Addition'!$A592,'FA Write off'!C:C,"&lt;"&amp;'FA Addition'!$P$1)</f>
        <v>0</v>
      </c>
      <c r="Y592" s="191">
        <f>IFERROR(W592/'FA Addition'!$J592*'FA Addition'!$L592,0)</f>
        <v>0</v>
      </c>
      <c r="AA592" s="116">
        <f>SUMIFS('FA Write off'!D:D,'FA Write off'!A:A,'FA Addition'!$A592,'FA Write off'!C:C,"&lt;"&amp;'FA Addition'!$L$1+1,'FA Write off'!C:C,"&gt;"&amp;'FA Addition'!$L$1-365)</f>
        <v>0</v>
      </c>
      <c r="AC592" s="118">
        <f>IFERROR(AA592/'FA Addition'!$J592*'FA Addition'!$L592,0)</f>
        <v>0</v>
      </c>
      <c r="AE592" s="117">
        <f>IF(AND('FA Addition'!$D592&lt;$P$1+1,U592=0),'FA Addition'!$L592,0)-Y592</f>
        <v>16483</v>
      </c>
      <c r="AF592" s="117">
        <f t="shared" si="45"/>
        <v>16483</v>
      </c>
      <c r="AG592" s="117">
        <f>MIN(MAX(+$P$1-'FA Addition'!$D592,0),365*'FA Addition'!$O592)</f>
        <v>87</v>
      </c>
      <c r="AH592" s="117">
        <f>MIN(MAX($L$1-'FA Addition'!$D592+1,0),365*'FA Addition'!$O592)</f>
        <v>453</v>
      </c>
      <c r="AI592" s="117" cm="1">
        <f t="array" ref="AI592">_xlfn.XLOOKUP(1,('FA Write off'!A:A='FA Addition'!$A592)*('FA Write off'!D:D=AA592),'FA Write off'!H:H,0,0)</f>
        <v>0</v>
      </c>
      <c r="AJ592" s="117">
        <f>IF(AC592&gt;0,MAX(IF('FA Addition'!$N592="SLM",($AC592-'FA Addition'!$M592)*'FA Addition'!$P592*AI592/365,(AC592-'FA Addition'!$M592)*(1-(1-'FA Addition'!$P592)^(AI592/365))),0),0)</f>
        <v>0</v>
      </c>
      <c r="AL592" s="117">
        <f>MAX(IF(AG592&gt;0,IF('FA Addition'!$N592="SLM",($AE592-'FA Addition'!$M592)*'FA Addition'!$P592*AG592/365,IFERROR(VDB(AE592,AE592*0.05,'FA Addition'!$O592,0,YEARFRAC('FA Addition'!$C592,$P$1-1,3),'FA Addition'!$Q592),FAAddition[[#This Row],[Original Cost (Rs)]]-FAAddition[[#This Row],[Salvage Value]])),0),0)</f>
        <v>2452.9978639486444</v>
      </c>
      <c r="AM592" s="119"/>
      <c r="AN592" s="117">
        <f>MAX(IF(AH592&gt;0,IF('FA Addition'!$N592="SLM",($AF592-'FA Addition'!$M592)*'FA Addition'!$P592*AH592/365,IFERROR(VDB(AF592,AF592*0.05,'FA Addition'!$O592,0,YEARFRAC('FA Addition'!$C592,$L$1,3),'FA Addition'!$Q592),FAAddition[[#This Row],[Original Cost (Rs)]]-FAAddition[[#This Row],[Salvage Value]])),0),0)</f>
        <v>11325.124027536895</v>
      </c>
      <c r="AO592" s="117">
        <f t="shared" si="48"/>
        <v>8872.1261635882511</v>
      </c>
      <c r="AP592" s="206"/>
      <c r="AQ592" s="117">
        <f t="shared" si="46"/>
        <v>14030.002136051357</v>
      </c>
      <c r="AR592" s="120">
        <f t="shared" si="47"/>
        <v>5157.8759724631054</v>
      </c>
      <c r="AS592" s="121"/>
    </row>
    <row r="593" spans="1:45" ht="13.5" x14ac:dyDescent="0.4">
      <c r="A593" s="12">
        <f t="shared" si="49"/>
        <v>590</v>
      </c>
      <c r="B593" s="205" t="s">
        <v>1308</v>
      </c>
      <c r="C593" s="54">
        <v>44932</v>
      </c>
      <c r="D593" s="54">
        <v>44932</v>
      </c>
      <c r="E593" s="46" t="s">
        <v>32</v>
      </c>
      <c r="F593" s="51" t="s">
        <v>1090</v>
      </c>
      <c r="G593" s="51" t="s">
        <v>433</v>
      </c>
      <c r="H593" s="51" t="s">
        <v>32</v>
      </c>
      <c r="I593" s="55" t="s">
        <v>1309</v>
      </c>
      <c r="J593" s="56">
        <v>1500</v>
      </c>
      <c r="K593" s="51" t="s">
        <v>935</v>
      </c>
      <c r="L593" s="58">
        <v>1485000</v>
      </c>
      <c r="M593" s="50">
        <f>ROUND('FA Addition'!$L593*5%,0.1)</f>
        <v>74250</v>
      </c>
      <c r="N593" s="113" t="str">
        <f>_xlfn.XLOOKUP(_xlfn.CONCAT(E593,B593),'Year Wise Master Dep Approach'!F:F,'Year Wise Master Dep Approach'!D:D)</f>
        <v>SLM</v>
      </c>
      <c r="O593" s="113">
        <f>_xlfn.XLOOKUP(_xlfn.CONCAT(E593,B593),'Year Wise Master Dep Approach'!F:F,'Year Wise Master Dep Approach'!E:E)</f>
        <v>5</v>
      </c>
      <c r="P593" s="114">
        <f>IFERROR(IF('FA Addition'!$N593="WDV",1-('FA Addition'!$M593/'FA Addition'!$L593)^(1/'FA Addition'!$O593),1/'FA Addition'!$O593),0)</f>
        <v>0.2</v>
      </c>
      <c r="Q593" s="122">
        <f>'FA Addition'!$P593*'FA Addition'!$O593</f>
        <v>1</v>
      </c>
      <c r="R593" s="122"/>
      <c r="S593" s="116">
        <f>IF(AND(DATE(20&amp;LEFT(FAAddition[[#This Row],[FY]],2),4,1)&lt;$L$1+1,DATE(20&amp;LEFT(FAAddition[[#This Row],[FY]],2),4,1)&gt;$P$1-1),'FA Addition'!$J593,0)</f>
        <v>1500</v>
      </c>
      <c r="U593" s="117">
        <f>S593*'FA Addition'!$L593/'FA Addition'!$J593</f>
        <v>1485000</v>
      </c>
      <c r="W593" s="116">
        <f>SUMIFS('FA Write off'!D:D,'FA Write off'!A:A,'FA Addition'!$A593,'FA Write off'!C:C,"&lt;"&amp;'FA Addition'!$P$1)</f>
        <v>17</v>
      </c>
      <c r="Y593" s="191">
        <f>IFERROR(W593/'FA Addition'!$J593*'FA Addition'!$L593,0)</f>
        <v>16830</v>
      </c>
      <c r="AA593" s="116">
        <f>SUMIFS('FA Write off'!D:D,'FA Write off'!A:A,'FA Addition'!$A593,'FA Write off'!C:C,"&lt;"&amp;'FA Addition'!$L$1+1,'FA Write off'!C:C,"&gt;"&amp;'FA Addition'!$L$1-365)</f>
        <v>0</v>
      </c>
      <c r="AC593" s="118">
        <f>IFERROR(AA593/'FA Addition'!$J593*'FA Addition'!$L593,0)</f>
        <v>0</v>
      </c>
      <c r="AE593" s="117">
        <f>IF(AND('FA Addition'!$D593&lt;$P$1+1,U593=0),'FA Addition'!$L593,0)-Y593</f>
        <v>-16830</v>
      </c>
      <c r="AF593" s="117">
        <f t="shared" si="45"/>
        <v>1468170</v>
      </c>
      <c r="AG593" s="117">
        <f>MIN(MAX(+$P$1-'FA Addition'!$D593,0),365*'FA Addition'!$O593)</f>
        <v>85</v>
      </c>
      <c r="AH593" s="117">
        <f>MIN(MAX($L$1-'FA Addition'!$D593+1,0),365*'FA Addition'!$O593)</f>
        <v>451</v>
      </c>
      <c r="AI593" s="117" cm="1">
        <f t="array" ref="AI593">_xlfn.XLOOKUP(1,('FA Write off'!A:A='FA Addition'!$A593)*('FA Write off'!D:D=AA593),'FA Write off'!H:H,0,0)</f>
        <v>0</v>
      </c>
      <c r="AJ593" s="117">
        <f>IF(AC593&gt;0,MAX(IF('FA Addition'!$N593="SLM",($AC593-'FA Addition'!$M593)*'FA Addition'!$P593*AI593/365,(AC593-'FA Addition'!$M593)*(1-(1-'FA Addition'!$P593)^(AI593/365))),0),0)</f>
        <v>0</v>
      </c>
      <c r="AL593" s="117">
        <f>MAX(IF(AG593&gt;0,IF('FA Addition'!$N593="SLM",($AE593-'FA Addition'!$M593)*'FA Addition'!$P593*AG593/365,IFERROR(VDB(AE593,AE593*0.05,'FA Addition'!$O593,0,YEARFRAC('FA Addition'!$C593,$P$1-1,3),'FA Addition'!$Q593),FAAddition[[#This Row],[Original Cost (Rs)]]-FAAddition[[#This Row],[Salvage Value]])),0),0)</f>
        <v>0</v>
      </c>
      <c r="AM593" s="119"/>
      <c r="AN593" s="117">
        <f>MAX(IF(AH593&gt;0,IF('FA Addition'!$N593="SLM",($AF593-'FA Addition'!$M593)*'FA Addition'!$P593*AH593/365,IFERROR(VDB(AF593,AF593*0.05,'FA Addition'!$O593,0,YEARFRAC('FA Addition'!$C593,$L$1,3),'FA Addition'!$Q593),FAAddition[[#This Row],[Original Cost (Rs)]]-FAAddition[[#This Row],[Salvage Value]])),0),0)</f>
        <v>344470.09315068496</v>
      </c>
      <c r="AO593" s="117">
        <f t="shared" si="48"/>
        <v>344470.09315068496</v>
      </c>
      <c r="AQ593" s="117">
        <f t="shared" si="46"/>
        <v>-16830</v>
      </c>
      <c r="AR593" s="120">
        <f t="shared" si="47"/>
        <v>1123699.9068493149</v>
      </c>
      <c r="AS593" s="121"/>
    </row>
    <row r="594" spans="1:45" ht="13.5" x14ac:dyDescent="0.4">
      <c r="A594" s="12">
        <f t="shared" si="49"/>
        <v>591</v>
      </c>
      <c r="B594" s="64" t="s">
        <v>1089</v>
      </c>
      <c r="C594" s="54">
        <v>44933</v>
      </c>
      <c r="D594" s="54">
        <v>44933</v>
      </c>
      <c r="E594" s="46" t="s">
        <v>207</v>
      </c>
      <c r="F594" s="51" t="s">
        <v>1116</v>
      </c>
      <c r="G594" s="51" t="s">
        <v>1290</v>
      </c>
      <c r="H594" s="51" t="s">
        <v>207</v>
      </c>
      <c r="I594" s="55" t="s">
        <v>1310</v>
      </c>
      <c r="J594" s="56">
        <v>1</v>
      </c>
      <c r="K594" s="51" t="s">
        <v>1311</v>
      </c>
      <c r="L594" s="58">
        <v>7288</v>
      </c>
      <c r="M594" s="50">
        <f>ROUND('FA Addition'!$L594*5%,0.1)</f>
        <v>364</v>
      </c>
      <c r="N594" s="113" t="str">
        <f>_xlfn.XLOOKUP(_xlfn.CONCAT(E594,B594),'Year Wise Master Dep Approach'!F:F,'Year Wise Master Dep Approach'!D:D)</f>
        <v>WDV</v>
      </c>
      <c r="O594" s="113">
        <f>_xlfn.XLOOKUP(_xlfn.CONCAT(E594,B594),'Year Wise Master Dep Approach'!F:F,'Year Wise Master Dep Approach'!E:E)</f>
        <v>5</v>
      </c>
      <c r="P594" s="114">
        <f>IFERROR(IF('FA Addition'!$N594="WDV",1-('FA Addition'!$M594/'FA Addition'!$L594)^(1/'FA Addition'!$O594),1/'FA Addition'!$O594),0)</f>
        <v>0.45084036975362973</v>
      </c>
      <c r="Q594" s="122">
        <f>'FA Addition'!$P594*'FA Addition'!$O594</f>
        <v>2.2542018487681488</v>
      </c>
      <c r="R594" s="122"/>
      <c r="S594" s="116">
        <f>IF(AND(DATE(20&amp;LEFT(FAAddition[[#This Row],[FY]],2),4,1)&lt;$L$1+1,DATE(20&amp;LEFT(FAAddition[[#This Row],[FY]],2),4,1)&gt;$P$1-1),'FA Addition'!$J594,0)</f>
        <v>0</v>
      </c>
      <c r="U594" s="117">
        <f>S594*'FA Addition'!$L594/'FA Addition'!$J594</f>
        <v>0</v>
      </c>
      <c r="W594" s="116">
        <f>SUMIFS('FA Write off'!D:D,'FA Write off'!A:A,'FA Addition'!$A594,'FA Write off'!C:C,"&lt;"&amp;'FA Addition'!$P$1)</f>
        <v>0</v>
      </c>
      <c r="Y594" s="191">
        <f>IFERROR(W594/'FA Addition'!$J594*'FA Addition'!$L594,0)</f>
        <v>0</v>
      </c>
      <c r="AA594" s="116">
        <f>SUMIFS('FA Write off'!D:D,'FA Write off'!A:A,'FA Addition'!$A594,'FA Write off'!C:C,"&lt;"&amp;'FA Addition'!$L$1+1,'FA Write off'!C:C,"&gt;"&amp;'FA Addition'!$L$1-365)</f>
        <v>0</v>
      </c>
      <c r="AC594" s="118">
        <f>IFERROR(AA594/'FA Addition'!$J594*'FA Addition'!$L594,0)</f>
        <v>0</v>
      </c>
      <c r="AE594" s="117">
        <f>IF(AND('FA Addition'!$D594&lt;$P$1+1,U594=0),'FA Addition'!$L594,0)-Y594</f>
        <v>7288</v>
      </c>
      <c r="AF594" s="117">
        <f t="shared" si="45"/>
        <v>7288</v>
      </c>
      <c r="AG594" s="117">
        <f>MIN(MAX(+$P$1-'FA Addition'!$D594,0),365*'FA Addition'!$O594)</f>
        <v>84</v>
      </c>
      <c r="AH594" s="117">
        <f>MIN(MAX($L$1-'FA Addition'!$D594+1,0),365*'FA Addition'!$O594)</f>
        <v>450</v>
      </c>
      <c r="AI594" s="117" cm="1">
        <f t="array" ref="AI594">_xlfn.XLOOKUP(1,('FA Write off'!A:A='FA Addition'!$A594)*('FA Write off'!D:D=AA594),'FA Write off'!H:H,0,0)</f>
        <v>0</v>
      </c>
      <c r="AJ594" s="117">
        <f>IF(AC594&gt;0,MAX(IF('FA Addition'!$N594="SLM",($AC594-'FA Addition'!$M594)*'FA Addition'!$P594*AI594/365,(AC594-'FA Addition'!$M594)*(1-(1-'FA Addition'!$P594)^(AI594/365))),0),0)</f>
        <v>0</v>
      </c>
      <c r="AL594" s="117">
        <f>MAX(IF(AG594&gt;0,IF('FA Addition'!$N594="SLM",($AE594-'FA Addition'!$M594)*'FA Addition'!$P594*AG594/365,IFERROR(VDB(AE594,AE594*0.05,'FA Addition'!$O594,0,YEARFRAC('FA Addition'!$C594,$P$1-1,3),'FA Addition'!$Q594),FAAddition[[#This Row],[Original Cost (Rs)]]-FAAddition[[#This Row],[Salvage Value]])),0),0)</f>
        <v>747.16477541219092</v>
      </c>
      <c r="AM594" s="119"/>
      <c r="AN594" s="117">
        <f>MAX(IF(AH594&gt;0,IF('FA Addition'!$N594="SLM",($AF594-'FA Addition'!$M594)*'FA Addition'!$P594*AH594/365,IFERROR(VDB(AF594,AF594*0.05,'FA Addition'!$O594,0,YEARFRAC('FA Addition'!$C594,$L$1,3),'FA Addition'!$Q594),FAAddition[[#This Row],[Original Cost (Rs)]]-FAAddition[[#This Row],[Salvage Value]])),0),0)</f>
        <v>3700.980873452063</v>
      </c>
      <c r="AO594" s="117">
        <f t="shared" si="48"/>
        <v>2953.816098039872</v>
      </c>
      <c r="AP594" s="206"/>
      <c r="AQ594" s="117">
        <f t="shared" si="46"/>
        <v>6540.8352245878086</v>
      </c>
      <c r="AR594" s="120">
        <f t="shared" si="47"/>
        <v>3587.019126547937</v>
      </c>
      <c r="AS594" s="121"/>
    </row>
    <row r="595" spans="1:45" ht="13.5" x14ac:dyDescent="0.4">
      <c r="A595" s="12">
        <f t="shared" si="49"/>
        <v>592</v>
      </c>
      <c r="B595" s="64" t="s">
        <v>1089</v>
      </c>
      <c r="C595" s="54">
        <v>44933</v>
      </c>
      <c r="D595" s="54">
        <v>44933</v>
      </c>
      <c r="E595" s="46" t="s">
        <v>207</v>
      </c>
      <c r="F595" s="51" t="s">
        <v>1116</v>
      </c>
      <c r="G595" s="51" t="s">
        <v>1290</v>
      </c>
      <c r="H595" s="51" t="s">
        <v>207</v>
      </c>
      <c r="I595" s="55" t="s">
        <v>1310</v>
      </c>
      <c r="J595" s="56">
        <v>1</v>
      </c>
      <c r="K595" s="51" t="s">
        <v>1311</v>
      </c>
      <c r="L595" s="58">
        <v>7288</v>
      </c>
      <c r="M595" s="50">
        <f>ROUND('FA Addition'!$L595*5%,0.1)</f>
        <v>364</v>
      </c>
      <c r="N595" s="113" t="str">
        <f>_xlfn.XLOOKUP(_xlfn.CONCAT(E595,B595),'Year Wise Master Dep Approach'!F:F,'Year Wise Master Dep Approach'!D:D)</f>
        <v>WDV</v>
      </c>
      <c r="O595" s="113">
        <f>_xlfn.XLOOKUP(_xlfn.CONCAT(E595,B595),'Year Wise Master Dep Approach'!F:F,'Year Wise Master Dep Approach'!E:E)</f>
        <v>5</v>
      </c>
      <c r="P595" s="114">
        <f>IFERROR(IF('FA Addition'!$N595="WDV",1-('FA Addition'!$M595/'FA Addition'!$L595)^(1/'FA Addition'!$O595),1/'FA Addition'!$O595),0)</f>
        <v>0.45084036975362973</v>
      </c>
      <c r="Q595" s="122">
        <f>'FA Addition'!$P595*'FA Addition'!$O595</f>
        <v>2.2542018487681488</v>
      </c>
      <c r="R595" s="122"/>
      <c r="S595" s="116">
        <f>IF(AND(DATE(20&amp;LEFT(FAAddition[[#This Row],[FY]],2),4,1)&lt;$L$1+1,DATE(20&amp;LEFT(FAAddition[[#This Row],[FY]],2),4,1)&gt;$P$1-1),'FA Addition'!$J595,0)</f>
        <v>0</v>
      </c>
      <c r="U595" s="117">
        <f>S595*'FA Addition'!$L595/'FA Addition'!$J595</f>
        <v>0</v>
      </c>
      <c r="W595" s="116">
        <f>SUMIFS('FA Write off'!D:D,'FA Write off'!A:A,'FA Addition'!$A595,'FA Write off'!C:C,"&lt;"&amp;'FA Addition'!$P$1)</f>
        <v>0</v>
      </c>
      <c r="Y595" s="191">
        <f>IFERROR(W595/'FA Addition'!$J595*'FA Addition'!$L595,0)</f>
        <v>0</v>
      </c>
      <c r="AA595" s="116">
        <f>SUMIFS('FA Write off'!D:D,'FA Write off'!A:A,'FA Addition'!$A595,'FA Write off'!C:C,"&lt;"&amp;'FA Addition'!$L$1+1,'FA Write off'!C:C,"&gt;"&amp;'FA Addition'!$L$1-365)</f>
        <v>0</v>
      </c>
      <c r="AC595" s="118">
        <f>IFERROR(AA595/'FA Addition'!$J595*'FA Addition'!$L595,0)</f>
        <v>0</v>
      </c>
      <c r="AE595" s="117">
        <f>IF(AND('FA Addition'!$D595&lt;$P$1+1,U595=0),'FA Addition'!$L595,0)-Y595</f>
        <v>7288</v>
      </c>
      <c r="AF595" s="117">
        <f t="shared" si="45"/>
        <v>7288</v>
      </c>
      <c r="AG595" s="117">
        <f>MIN(MAX(+$P$1-'FA Addition'!$D595,0),365*'FA Addition'!$O595)</f>
        <v>84</v>
      </c>
      <c r="AH595" s="117">
        <f>MIN(MAX($L$1-'FA Addition'!$D595+1,0),365*'FA Addition'!$O595)</f>
        <v>450</v>
      </c>
      <c r="AI595" s="117" cm="1">
        <f t="array" ref="AI595">_xlfn.XLOOKUP(1,('FA Write off'!A:A='FA Addition'!$A595)*('FA Write off'!D:D=AA595),'FA Write off'!H:H,0,0)</f>
        <v>0</v>
      </c>
      <c r="AJ595" s="117">
        <f>IF(AC595&gt;0,MAX(IF('FA Addition'!$N595="SLM",($AC595-'FA Addition'!$M595)*'FA Addition'!$P595*AI595/365,(AC595-'FA Addition'!$M595)*(1-(1-'FA Addition'!$P595)^(AI595/365))),0),0)</f>
        <v>0</v>
      </c>
      <c r="AL595" s="117">
        <f>MAX(IF(AG595&gt;0,IF('FA Addition'!$N595="SLM",($AE595-'FA Addition'!$M595)*'FA Addition'!$P595*AG595/365,IFERROR(VDB(AE595,AE595*0.05,'FA Addition'!$O595,0,YEARFRAC('FA Addition'!$C595,$P$1-1,3),'FA Addition'!$Q595),FAAddition[[#This Row],[Original Cost (Rs)]]-FAAddition[[#This Row],[Salvage Value]])),0),0)</f>
        <v>747.16477541219092</v>
      </c>
      <c r="AM595" s="119"/>
      <c r="AN595" s="117">
        <f>MAX(IF(AH595&gt;0,IF('FA Addition'!$N595="SLM",($AF595-'FA Addition'!$M595)*'FA Addition'!$P595*AH595/365,IFERROR(VDB(AF595,AF595*0.05,'FA Addition'!$O595,0,YEARFRAC('FA Addition'!$C595,$L$1,3),'FA Addition'!$Q595),FAAddition[[#This Row],[Original Cost (Rs)]]-FAAddition[[#This Row],[Salvage Value]])),0),0)</f>
        <v>3700.980873452063</v>
      </c>
      <c r="AO595" s="117">
        <f t="shared" si="48"/>
        <v>2953.816098039872</v>
      </c>
      <c r="AP595" s="206"/>
      <c r="AQ595" s="117">
        <f t="shared" si="46"/>
        <v>6540.8352245878086</v>
      </c>
      <c r="AR595" s="120">
        <f t="shared" si="47"/>
        <v>3587.019126547937</v>
      </c>
      <c r="AS595" s="121"/>
    </row>
    <row r="596" spans="1:45" ht="13.5" x14ac:dyDescent="0.4">
      <c r="A596" s="12">
        <f t="shared" si="49"/>
        <v>593</v>
      </c>
      <c r="B596" s="64" t="s">
        <v>1089</v>
      </c>
      <c r="C596" s="54">
        <v>44933</v>
      </c>
      <c r="D596" s="54">
        <v>44933</v>
      </c>
      <c r="E596" s="46" t="s">
        <v>207</v>
      </c>
      <c r="F596" s="51" t="s">
        <v>1116</v>
      </c>
      <c r="G596" s="51" t="s">
        <v>1290</v>
      </c>
      <c r="H596" s="51" t="s">
        <v>207</v>
      </c>
      <c r="I596" s="55" t="s">
        <v>1310</v>
      </c>
      <c r="J596" s="56">
        <v>1</v>
      </c>
      <c r="K596" s="51" t="s">
        <v>1311</v>
      </c>
      <c r="L596" s="58">
        <v>7288</v>
      </c>
      <c r="M596" s="50">
        <f>ROUND('FA Addition'!$L596*5%,0.1)</f>
        <v>364</v>
      </c>
      <c r="N596" s="113" t="str">
        <f>_xlfn.XLOOKUP(_xlfn.CONCAT(E596,B596),'Year Wise Master Dep Approach'!F:F,'Year Wise Master Dep Approach'!D:D)</f>
        <v>WDV</v>
      </c>
      <c r="O596" s="113">
        <f>_xlfn.XLOOKUP(_xlfn.CONCAT(E596,B596),'Year Wise Master Dep Approach'!F:F,'Year Wise Master Dep Approach'!E:E)</f>
        <v>5</v>
      </c>
      <c r="P596" s="114">
        <f>IFERROR(IF('FA Addition'!$N596="WDV",1-('FA Addition'!$M596/'FA Addition'!$L596)^(1/'FA Addition'!$O596),1/'FA Addition'!$O596),0)</f>
        <v>0.45084036975362973</v>
      </c>
      <c r="Q596" s="122">
        <f>'FA Addition'!$P596*'FA Addition'!$O596</f>
        <v>2.2542018487681488</v>
      </c>
      <c r="R596" s="122"/>
      <c r="S596" s="116">
        <f>IF(AND(DATE(20&amp;LEFT(FAAddition[[#This Row],[FY]],2),4,1)&lt;$L$1+1,DATE(20&amp;LEFT(FAAddition[[#This Row],[FY]],2),4,1)&gt;$P$1-1),'FA Addition'!$J596,0)</f>
        <v>0</v>
      </c>
      <c r="U596" s="117">
        <f>S596*'FA Addition'!$L596/'FA Addition'!$J596</f>
        <v>0</v>
      </c>
      <c r="W596" s="116">
        <f>SUMIFS('FA Write off'!D:D,'FA Write off'!A:A,'FA Addition'!$A596,'FA Write off'!C:C,"&lt;"&amp;'FA Addition'!$P$1)</f>
        <v>0</v>
      </c>
      <c r="Y596" s="191">
        <f>IFERROR(W596/'FA Addition'!$J596*'FA Addition'!$L596,0)</f>
        <v>0</v>
      </c>
      <c r="AA596" s="116">
        <f>SUMIFS('FA Write off'!D:D,'FA Write off'!A:A,'FA Addition'!$A596,'FA Write off'!C:C,"&lt;"&amp;'FA Addition'!$L$1+1,'FA Write off'!C:C,"&gt;"&amp;'FA Addition'!$L$1-365)</f>
        <v>0</v>
      </c>
      <c r="AC596" s="118">
        <f>IFERROR(AA596/'FA Addition'!$J596*'FA Addition'!$L596,0)</f>
        <v>0</v>
      </c>
      <c r="AE596" s="117">
        <f>IF(AND('FA Addition'!$D596&lt;$P$1+1,U596=0),'FA Addition'!$L596,0)-Y596</f>
        <v>7288</v>
      </c>
      <c r="AF596" s="117">
        <f t="shared" si="45"/>
        <v>7288</v>
      </c>
      <c r="AG596" s="117">
        <f>MIN(MAX(+$P$1-'FA Addition'!$D596,0),365*'FA Addition'!$O596)</f>
        <v>84</v>
      </c>
      <c r="AH596" s="117">
        <f>MIN(MAX($L$1-'FA Addition'!$D596+1,0),365*'FA Addition'!$O596)</f>
        <v>450</v>
      </c>
      <c r="AI596" s="117" cm="1">
        <f t="array" ref="AI596">_xlfn.XLOOKUP(1,('FA Write off'!A:A='FA Addition'!$A596)*('FA Write off'!D:D=AA596),'FA Write off'!H:H,0,0)</f>
        <v>0</v>
      </c>
      <c r="AJ596" s="117">
        <f>IF(AC596&gt;0,MAX(IF('FA Addition'!$N596="SLM",($AC596-'FA Addition'!$M596)*'FA Addition'!$P596*AI596/365,(AC596-'FA Addition'!$M596)*(1-(1-'FA Addition'!$P596)^(AI596/365))),0),0)</f>
        <v>0</v>
      </c>
      <c r="AL596" s="117">
        <f>MAX(IF(AG596&gt;0,IF('FA Addition'!$N596="SLM",($AE596-'FA Addition'!$M596)*'FA Addition'!$P596*AG596/365,IFERROR(VDB(AE596,AE596*0.05,'FA Addition'!$O596,0,YEARFRAC('FA Addition'!$C596,$P$1-1,3),'FA Addition'!$Q596),FAAddition[[#This Row],[Original Cost (Rs)]]-FAAddition[[#This Row],[Salvage Value]])),0),0)</f>
        <v>747.16477541219092</v>
      </c>
      <c r="AM596" s="119"/>
      <c r="AN596" s="117">
        <f>MAX(IF(AH596&gt;0,IF('FA Addition'!$N596="SLM",($AF596-'FA Addition'!$M596)*'FA Addition'!$P596*AH596/365,IFERROR(VDB(AF596,AF596*0.05,'FA Addition'!$O596,0,YEARFRAC('FA Addition'!$C596,$L$1,3),'FA Addition'!$Q596),FAAddition[[#This Row],[Original Cost (Rs)]]-FAAddition[[#This Row],[Salvage Value]])),0),0)</f>
        <v>3700.980873452063</v>
      </c>
      <c r="AO596" s="117">
        <f t="shared" si="48"/>
        <v>2953.816098039872</v>
      </c>
      <c r="AP596" s="206"/>
      <c r="AQ596" s="117">
        <f t="shared" si="46"/>
        <v>6540.8352245878086</v>
      </c>
      <c r="AR596" s="120">
        <f t="shared" si="47"/>
        <v>3587.019126547937</v>
      </c>
      <c r="AS596" s="121"/>
    </row>
    <row r="597" spans="1:45" ht="13.5" x14ac:dyDescent="0.4">
      <c r="A597" s="12">
        <f t="shared" si="49"/>
        <v>594</v>
      </c>
      <c r="B597" s="64" t="s">
        <v>1089</v>
      </c>
      <c r="C597" s="54">
        <v>44933</v>
      </c>
      <c r="D597" s="54">
        <v>44933</v>
      </c>
      <c r="E597" s="46" t="s">
        <v>749</v>
      </c>
      <c r="F597" s="51" t="s">
        <v>74</v>
      </c>
      <c r="G597" s="51" t="s">
        <v>1312</v>
      </c>
      <c r="H597" s="51" t="s">
        <v>79</v>
      </c>
      <c r="I597" s="55">
        <v>75</v>
      </c>
      <c r="J597" s="56">
        <v>1</v>
      </c>
      <c r="K597" s="51" t="s">
        <v>1313</v>
      </c>
      <c r="L597" s="58">
        <v>10000</v>
      </c>
      <c r="M597" s="50">
        <f>ROUND('FA Addition'!$L597*5%,0.1)</f>
        <v>500</v>
      </c>
      <c r="N597" s="113" t="str">
        <f>_xlfn.XLOOKUP(_xlfn.CONCAT(E597,B597),'Year Wise Master Dep Approach'!F:F,'Year Wise Master Dep Approach'!D:D)</f>
        <v>WDV</v>
      </c>
      <c r="O597" s="113">
        <f>_xlfn.XLOOKUP(_xlfn.CONCAT(E597,B597),'Year Wise Master Dep Approach'!F:F,'Year Wise Master Dep Approach'!E:E)</f>
        <v>5</v>
      </c>
      <c r="P597" s="114">
        <f>IFERROR(IF('FA Addition'!$N597="WDV",1-('FA Addition'!$M597/'FA Addition'!$L597)^(1/'FA Addition'!$O597),1/'FA Addition'!$O597),0)</f>
        <v>0.45071972834694107</v>
      </c>
      <c r="Q597" s="122">
        <f>'FA Addition'!$P597*'FA Addition'!$O597</f>
        <v>2.2535986417347056</v>
      </c>
      <c r="R597" s="122"/>
      <c r="S597" s="116">
        <f>IF(AND(DATE(20&amp;LEFT(FAAddition[[#This Row],[FY]],2),4,1)&lt;$L$1+1,DATE(20&amp;LEFT(FAAddition[[#This Row],[FY]],2),4,1)&gt;$P$1-1),'FA Addition'!$J597,0)</f>
        <v>0</v>
      </c>
      <c r="U597" s="117">
        <f>S597*'FA Addition'!$L597/'FA Addition'!$J597</f>
        <v>0</v>
      </c>
      <c r="W597" s="116">
        <f>SUMIFS('FA Write off'!D:D,'FA Write off'!A:A,'FA Addition'!$A597,'FA Write off'!C:C,"&lt;"&amp;'FA Addition'!$P$1)</f>
        <v>0</v>
      </c>
      <c r="Y597" s="191">
        <f>IFERROR(W597/'FA Addition'!$J597*'FA Addition'!$L597,0)</f>
        <v>0</v>
      </c>
      <c r="AA597" s="116">
        <f>SUMIFS('FA Write off'!D:D,'FA Write off'!A:A,'FA Addition'!$A597,'FA Write off'!C:C,"&lt;"&amp;'FA Addition'!$L$1+1,'FA Write off'!C:C,"&gt;"&amp;'FA Addition'!$L$1-365)</f>
        <v>0</v>
      </c>
      <c r="AC597" s="118">
        <f>IFERROR(AA597/'FA Addition'!$J597*'FA Addition'!$L597,0)</f>
        <v>0</v>
      </c>
      <c r="AE597" s="117">
        <f>IF(AND('FA Addition'!$D597&lt;$P$1+1,U597=0),'FA Addition'!$L597,0)-Y597</f>
        <v>10000</v>
      </c>
      <c r="AF597" s="117">
        <f t="shared" si="45"/>
        <v>10000</v>
      </c>
      <c r="AG597" s="117">
        <f>MIN(MAX(+$P$1-'FA Addition'!$D597,0),365*'FA Addition'!$O597)</f>
        <v>84</v>
      </c>
      <c r="AH597" s="117">
        <f>MIN(MAX($L$1-'FA Addition'!$D597+1,0),365*'FA Addition'!$O597)</f>
        <v>450</v>
      </c>
      <c r="AI597" s="117" cm="1">
        <f t="array" ref="AI597">_xlfn.XLOOKUP(1,('FA Write off'!A:A='FA Addition'!$A597)*('FA Write off'!D:D=AA597),'FA Write off'!H:H,0,0)</f>
        <v>0</v>
      </c>
      <c r="AJ597" s="117">
        <f>IF(AC597&gt;0,MAX(IF('FA Addition'!$N597="SLM",($AC597-'FA Addition'!$M597)*'FA Addition'!$P597*AI597/365,(AC597-'FA Addition'!$M597)*(1-(1-'FA Addition'!$P597)^(AI597/365))),0),0)</f>
        <v>0</v>
      </c>
      <c r="AL597" s="117">
        <f>MAX(IF(AG597&gt;0,IF('FA Addition'!$N597="SLM",($AE597-'FA Addition'!$M597)*'FA Addition'!$P597*AG597/365,IFERROR(VDB(AE597,AE597*0.05,'FA Addition'!$O597,0,YEARFRAC('FA Addition'!$C597,$P$1-1,3),'FA Addition'!$Q597),FAAddition[[#This Row],[Original Cost (Rs)]]-FAAddition[[#This Row],[Salvage Value]])),0),0)</f>
        <v>1024.924313775236</v>
      </c>
      <c r="AM597" s="119"/>
      <c r="AN597" s="117">
        <f>MAX(IF(AH597&gt;0,IF('FA Addition'!$N597="SLM",($AF597-'FA Addition'!$M597)*'FA Addition'!$P597*AH597/365,IFERROR(VDB(AF597,AF597*0.05,'FA Addition'!$O597,0,YEARFRAC('FA Addition'!$C597,$L$1,3),'FA Addition'!$Q597),FAAddition[[#This Row],[Original Cost (Rs)]]-FAAddition[[#This Row],[Salvage Value]])),0),0)</f>
        <v>5076.9507685479666</v>
      </c>
      <c r="AO597" s="117">
        <f t="shared" si="48"/>
        <v>4052.0264547727306</v>
      </c>
      <c r="AP597" s="206"/>
      <c r="AQ597" s="117">
        <f t="shared" si="46"/>
        <v>8975.0756862247636</v>
      </c>
      <c r="AR597" s="120">
        <f t="shared" si="47"/>
        <v>4923.0492314520334</v>
      </c>
      <c r="AS597" s="121"/>
    </row>
    <row r="598" spans="1:45" ht="13.5" x14ac:dyDescent="0.4">
      <c r="A598" s="12">
        <f t="shared" si="49"/>
        <v>595</v>
      </c>
      <c r="B598" s="64" t="s">
        <v>1089</v>
      </c>
      <c r="C598" s="54">
        <v>44933</v>
      </c>
      <c r="D598" s="54">
        <v>44933</v>
      </c>
      <c r="E598" s="46" t="s">
        <v>749</v>
      </c>
      <c r="F598" s="51" t="s">
        <v>74</v>
      </c>
      <c r="G598" s="51" t="s">
        <v>1312</v>
      </c>
      <c r="H598" s="51" t="s">
        <v>171</v>
      </c>
      <c r="I598" s="55">
        <v>75</v>
      </c>
      <c r="J598" s="56">
        <v>1</v>
      </c>
      <c r="K598" s="51" t="s">
        <v>1314</v>
      </c>
      <c r="L598" s="58">
        <v>7422</v>
      </c>
      <c r="M598" s="50">
        <f>ROUND('FA Addition'!$L598*5%,0.1)</f>
        <v>371</v>
      </c>
      <c r="N598" s="113" t="str">
        <f>_xlfn.XLOOKUP(_xlfn.CONCAT(E598,B598),'Year Wise Master Dep Approach'!F:F,'Year Wise Master Dep Approach'!D:D)</f>
        <v>WDV</v>
      </c>
      <c r="O598" s="113">
        <f>_xlfn.XLOOKUP(_xlfn.CONCAT(E598,B598),'Year Wise Master Dep Approach'!F:F,'Year Wise Master Dep Approach'!E:E)</f>
        <v>5</v>
      </c>
      <c r="P598" s="114">
        <f>IFERROR(IF('FA Addition'!$N598="WDV",1-('FA Addition'!$M598/'FA Addition'!$L598)^(1/'FA Addition'!$O598),1/'FA Addition'!$O598),0)</f>
        <v>0.4507493343553951</v>
      </c>
      <c r="Q598" s="122">
        <f>'FA Addition'!$P598*'FA Addition'!$O598</f>
        <v>2.2537466717769754</v>
      </c>
      <c r="R598" s="122"/>
      <c r="S598" s="116">
        <f>IF(AND(DATE(20&amp;LEFT(FAAddition[[#This Row],[FY]],2),4,1)&lt;$L$1+1,DATE(20&amp;LEFT(FAAddition[[#This Row],[FY]],2),4,1)&gt;$P$1-1),'FA Addition'!$J598,0)</f>
        <v>0</v>
      </c>
      <c r="U598" s="117">
        <f>S598*'FA Addition'!$L598/'FA Addition'!$J598</f>
        <v>0</v>
      </c>
      <c r="W598" s="116">
        <f>SUMIFS('FA Write off'!D:D,'FA Write off'!A:A,'FA Addition'!$A598,'FA Write off'!C:C,"&lt;"&amp;'FA Addition'!$P$1)</f>
        <v>0</v>
      </c>
      <c r="Y598" s="191">
        <f>IFERROR(W598/'FA Addition'!$J598*'FA Addition'!$L598,0)</f>
        <v>0</v>
      </c>
      <c r="AA598" s="116">
        <f>SUMIFS('FA Write off'!D:D,'FA Write off'!A:A,'FA Addition'!$A598,'FA Write off'!C:C,"&lt;"&amp;'FA Addition'!$L$1+1,'FA Write off'!C:C,"&gt;"&amp;'FA Addition'!$L$1-365)</f>
        <v>0</v>
      </c>
      <c r="AC598" s="118">
        <f>IFERROR(AA598/'FA Addition'!$J598*'FA Addition'!$L598,0)</f>
        <v>0</v>
      </c>
      <c r="AE598" s="117">
        <f>IF(AND('FA Addition'!$D598&lt;$P$1+1,U598=0),'FA Addition'!$L598,0)-Y598</f>
        <v>7422</v>
      </c>
      <c r="AF598" s="117">
        <f t="shared" si="45"/>
        <v>7422</v>
      </c>
      <c r="AG598" s="117">
        <f>MIN(MAX(+$P$1-'FA Addition'!$D598,0),365*'FA Addition'!$O598)</f>
        <v>84</v>
      </c>
      <c r="AH598" s="117">
        <f>MIN(MAX($L$1-'FA Addition'!$D598+1,0),365*'FA Addition'!$O598)</f>
        <v>450</v>
      </c>
      <c r="AI598" s="117" cm="1">
        <f t="array" ref="AI598">_xlfn.XLOOKUP(1,('FA Write off'!A:A='FA Addition'!$A598)*('FA Write off'!D:D=AA598),'FA Write off'!H:H,0,0)</f>
        <v>0</v>
      </c>
      <c r="AJ598" s="117">
        <f>IF(AC598&gt;0,MAX(IF('FA Addition'!$N598="SLM",($AC598-'FA Addition'!$M598)*'FA Addition'!$P598*AI598/365,(AC598-'FA Addition'!$M598)*(1-(1-'FA Addition'!$P598)^(AI598/365))),0),0)</f>
        <v>0</v>
      </c>
      <c r="AL598" s="117">
        <f>MAX(IF(AG598&gt;0,IF('FA Addition'!$N598="SLM",($AE598-'FA Addition'!$M598)*'FA Addition'!$P598*AG598/365,IFERROR(VDB(AE598,AE598*0.05,'FA Addition'!$O598,0,YEARFRAC('FA Addition'!$C598,$P$1-1,3),'FA Addition'!$Q598),FAAddition[[#This Row],[Original Cost (Rs)]]-FAAddition[[#This Row],[Salvage Value]])),0),0)</f>
        <v>760.74879300168948</v>
      </c>
      <c r="AM598" s="119"/>
      <c r="AN598" s="117">
        <f>MAX(IF(AH598&gt;0,IF('FA Addition'!$N598="SLM",($AF598-'FA Addition'!$M598)*'FA Addition'!$P598*AH598/365,IFERROR(VDB(AF598,AF598*0.05,'FA Addition'!$O598,0,YEARFRAC('FA Addition'!$C598,$L$1,3),'FA Addition'!$Q598),FAAddition[[#This Row],[Original Cost (Rs)]]-FAAddition[[#This Row],[Salvage Value]])),0),0)</f>
        <v>3768.3375788548828</v>
      </c>
      <c r="AO598" s="117">
        <f t="shared" si="48"/>
        <v>3007.5887858531933</v>
      </c>
      <c r="AP598" s="206"/>
      <c r="AQ598" s="117">
        <f t="shared" si="46"/>
        <v>6661.2512069983104</v>
      </c>
      <c r="AR598" s="120">
        <f t="shared" si="47"/>
        <v>3653.6624211451172</v>
      </c>
      <c r="AS598" s="121"/>
    </row>
    <row r="599" spans="1:45" ht="13.5" x14ac:dyDescent="0.4">
      <c r="A599" s="12">
        <f t="shared" si="49"/>
        <v>596</v>
      </c>
      <c r="B599" s="64" t="s">
        <v>1089</v>
      </c>
      <c r="C599" s="54">
        <v>44933</v>
      </c>
      <c r="D599" s="54">
        <v>44933</v>
      </c>
      <c r="E599" s="46" t="s">
        <v>749</v>
      </c>
      <c r="F599" s="51" t="s">
        <v>74</v>
      </c>
      <c r="G599" s="51" t="s">
        <v>1312</v>
      </c>
      <c r="H599" s="51" t="s">
        <v>171</v>
      </c>
      <c r="I599" s="55">
        <v>75</v>
      </c>
      <c r="J599" s="56">
        <v>1</v>
      </c>
      <c r="K599" s="51" t="s">
        <v>1314</v>
      </c>
      <c r="L599" s="58">
        <v>7422</v>
      </c>
      <c r="M599" s="50">
        <f>ROUND('FA Addition'!$L599*5%,0.1)</f>
        <v>371</v>
      </c>
      <c r="N599" s="113" t="str">
        <f>_xlfn.XLOOKUP(_xlfn.CONCAT(E599,B599),'Year Wise Master Dep Approach'!F:F,'Year Wise Master Dep Approach'!D:D)</f>
        <v>WDV</v>
      </c>
      <c r="O599" s="113">
        <f>_xlfn.XLOOKUP(_xlfn.CONCAT(E599,B599),'Year Wise Master Dep Approach'!F:F,'Year Wise Master Dep Approach'!E:E)</f>
        <v>5</v>
      </c>
      <c r="P599" s="114">
        <f>IFERROR(IF('FA Addition'!$N599="WDV",1-('FA Addition'!$M599/'FA Addition'!$L599)^(1/'FA Addition'!$O599),1/'FA Addition'!$O599),0)</f>
        <v>0.4507493343553951</v>
      </c>
      <c r="Q599" s="122">
        <f>'FA Addition'!$P599*'FA Addition'!$O599</f>
        <v>2.2537466717769754</v>
      </c>
      <c r="R599" s="122"/>
      <c r="S599" s="116">
        <f>IF(AND(DATE(20&amp;LEFT(FAAddition[[#This Row],[FY]],2),4,1)&lt;$L$1+1,DATE(20&amp;LEFT(FAAddition[[#This Row],[FY]],2),4,1)&gt;$P$1-1),'FA Addition'!$J599,0)</f>
        <v>0</v>
      </c>
      <c r="U599" s="117">
        <f>S599*'FA Addition'!$L599/'FA Addition'!$J599</f>
        <v>0</v>
      </c>
      <c r="W599" s="116">
        <f>SUMIFS('FA Write off'!D:D,'FA Write off'!A:A,'FA Addition'!$A599,'FA Write off'!C:C,"&lt;"&amp;'FA Addition'!$P$1)</f>
        <v>0</v>
      </c>
      <c r="Y599" s="191">
        <f>IFERROR(W599/'FA Addition'!$J599*'FA Addition'!$L599,0)</f>
        <v>0</v>
      </c>
      <c r="AA599" s="116">
        <f>SUMIFS('FA Write off'!D:D,'FA Write off'!A:A,'FA Addition'!$A599,'FA Write off'!C:C,"&lt;"&amp;'FA Addition'!$L$1+1,'FA Write off'!C:C,"&gt;"&amp;'FA Addition'!$L$1-365)</f>
        <v>0</v>
      </c>
      <c r="AC599" s="118">
        <f>IFERROR(AA599/'FA Addition'!$J599*'FA Addition'!$L599,0)</f>
        <v>0</v>
      </c>
      <c r="AE599" s="117">
        <f>IF(AND('FA Addition'!$D599&lt;$P$1+1,U599=0),'FA Addition'!$L599,0)-Y599</f>
        <v>7422</v>
      </c>
      <c r="AF599" s="117">
        <f t="shared" si="45"/>
        <v>7422</v>
      </c>
      <c r="AG599" s="117">
        <f>MIN(MAX(+$P$1-'FA Addition'!$D599,0),365*'FA Addition'!$O599)</f>
        <v>84</v>
      </c>
      <c r="AH599" s="117">
        <f>MIN(MAX($L$1-'FA Addition'!$D599+1,0),365*'FA Addition'!$O599)</f>
        <v>450</v>
      </c>
      <c r="AI599" s="117" cm="1">
        <f t="array" ref="AI599">_xlfn.XLOOKUP(1,('FA Write off'!A:A='FA Addition'!$A599)*('FA Write off'!D:D=AA599),'FA Write off'!H:H,0,0)</f>
        <v>0</v>
      </c>
      <c r="AJ599" s="117">
        <f>IF(AC599&gt;0,MAX(IF('FA Addition'!$N599="SLM",($AC599-'FA Addition'!$M599)*'FA Addition'!$P599*AI599/365,(AC599-'FA Addition'!$M599)*(1-(1-'FA Addition'!$P599)^(AI599/365))),0),0)</f>
        <v>0</v>
      </c>
      <c r="AL599" s="117">
        <f>MAX(IF(AG599&gt;0,IF('FA Addition'!$N599="SLM",($AE599-'FA Addition'!$M599)*'FA Addition'!$P599*AG599/365,IFERROR(VDB(AE599,AE599*0.05,'FA Addition'!$O599,0,YEARFRAC('FA Addition'!$C599,$P$1-1,3),'FA Addition'!$Q599),FAAddition[[#This Row],[Original Cost (Rs)]]-FAAddition[[#This Row],[Salvage Value]])),0),0)</f>
        <v>760.74879300168948</v>
      </c>
      <c r="AM599" s="119"/>
      <c r="AN599" s="117">
        <f>MAX(IF(AH599&gt;0,IF('FA Addition'!$N599="SLM",($AF599-'FA Addition'!$M599)*'FA Addition'!$P599*AH599/365,IFERROR(VDB(AF599,AF599*0.05,'FA Addition'!$O599,0,YEARFRAC('FA Addition'!$C599,$L$1,3),'FA Addition'!$Q599),FAAddition[[#This Row],[Original Cost (Rs)]]-FAAddition[[#This Row],[Salvage Value]])),0),0)</f>
        <v>3768.3375788548828</v>
      </c>
      <c r="AO599" s="117">
        <f t="shared" si="48"/>
        <v>3007.5887858531933</v>
      </c>
      <c r="AP599" s="206"/>
      <c r="AQ599" s="117">
        <f t="shared" si="46"/>
        <v>6661.2512069983104</v>
      </c>
      <c r="AR599" s="120">
        <f t="shared" si="47"/>
        <v>3653.6624211451172</v>
      </c>
      <c r="AS599" s="121"/>
    </row>
    <row r="600" spans="1:45" ht="13.5" x14ac:dyDescent="0.4">
      <c r="A600" s="12">
        <f t="shared" si="49"/>
        <v>597</v>
      </c>
      <c r="B600" s="64" t="s">
        <v>1089</v>
      </c>
      <c r="C600" s="54">
        <v>44933</v>
      </c>
      <c r="D600" s="54">
        <v>44933</v>
      </c>
      <c r="E600" s="46" t="s">
        <v>32</v>
      </c>
      <c r="F600" s="51" t="s">
        <v>1090</v>
      </c>
      <c r="G600" s="51" t="s">
        <v>433</v>
      </c>
      <c r="H600" s="51" t="s">
        <v>32</v>
      </c>
      <c r="I600" s="55" t="s">
        <v>1315</v>
      </c>
      <c r="J600" s="56">
        <v>1500</v>
      </c>
      <c r="K600" s="51" t="s">
        <v>935</v>
      </c>
      <c r="L600" s="58">
        <v>1650000</v>
      </c>
      <c r="M600" s="50">
        <f>ROUND('FA Addition'!$L600*5%,0.1)</f>
        <v>82500</v>
      </c>
      <c r="N600" s="113" t="str">
        <f>_xlfn.XLOOKUP(_xlfn.CONCAT(E600,B600),'Year Wise Master Dep Approach'!F:F,'Year Wise Master Dep Approach'!D:D)</f>
        <v>WDV</v>
      </c>
      <c r="O600" s="113">
        <f>_xlfn.XLOOKUP(_xlfn.CONCAT(E600,B600),'Year Wise Master Dep Approach'!F:F,'Year Wise Master Dep Approach'!E:E)</f>
        <v>3</v>
      </c>
      <c r="P600" s="114">
        <f>IFERROR(IF('FA Addition'!$N600="WDV",1-('FA Addition'!$M600/'FA Addition'!$L600)^(1/'FA Addition'!$O600),1/'FA Addition'!$O600),0)</f>
        <v>0.63159685013596123</v>
      </c>
      <c r="Q600" s="122">
        <f>'FA Addition'!$P600*'FA Addition'!$O600</f>
        <v>1.8947905504078837</v>
      </c>
      <c r="R600" s="122"/>
      <c r="S600" s="116">
        <f>IF(AND(DATE(20&amp;LEFT(FAAddition[[#This Row],[FY]],2),4,1)&lt;$L$1+1,DATE(20&amp;LEFT(FAAddition[[#This Row],[FY]],2),4,1)&gt;$P$1-1),'FA Addition'!$J600,0)</f>
        <v>0</v>
      </c>
      <c r="U600" s="117">
        <f>S600*'FA Addition'!$L600/'FA Addition'!$J600</f>
        <v>0</v>
      </c>
      <c r="W600" s="116">
        <f>SUMIFS('FA Write off'!D:D,'FA Write off'!A:A,'FA Addition'!$A600,'FA Write off'!C:C,"&lt;"&amp;'FA Addition'!$P$1)</f>
        <v>12</v>
      </c>
      <c r="Y600" s="191">
        <f>IFERROR(W600/'FA Addition'!$J600*'FA Addition'!$L600,0)</f>
        <v>13200</v>
      </c>
      <c r="AA600" s="116">
        <f>SUMIFS('FA Write off'!D:D,'FA Write off'!A:A,'FA Addition'!$A600,'FA Write off'!C:C,"&lt;"&amp;'FA Addition'!$L$1+1,'FA Write off'!C:C,"&gt;"&amp;'FA Addition'!$L$1-365)</f>
        <v>0</v>
      </c>
      <c r="AC600" s="191">
        <f>IFERROR(AA600/'FA Addition'!$J600*'FA Addition'!$L600,0)</f>
        <v>0</v>
      </c>
      <c r="AE600" s="117">
        <f>IF(AND('FA Addition'!$D600&lt;$P$1+1,U600=0),'FA Addition'!$L600,0)-Y600</f>
        <v>1636800</v>
      </c>
      <c r="AF600" s="117">
        <f t="shared" si="45"/>
        <v>1636800</v>
      </c>
      <c r="AG600" s="117">
        <f>MIN(MAX(+$P$1-'FA Addition'!$D600,0),365*'FA Addition'!$O600)</f>
        <v>84</v>
      </c>
      <c r="AH600" s="117">
        <f>MIN(MAX($L$1-'FA Addition'!$D600+1,0),365*'FA Addition'!$O600)</f>
        <v>450</v>
      </c>
      <c r="AI600" s="117" cm="1">
        <f t="array" ref="AI600">_xlfn.XLOOKUP(1,('FA Write off'!A:A='FA Addition'!$A600)*('FA Write off'!D:D=AA600),'FA Write off'!H:H,0,0)</f>
        <v>0</v>
      </c>
      <c r="AJ600" s="117">
        <f>IF(AC600&gt;0,MAX(IF('FA Addition'!$N600="SLM",($AC600-'FA Addition'!$M600)*'FA Addition'!$P600*AI600/365,(AC600-'FA Addition'!$M600)*(1-(1-'FA Addition'!$P600)^(AI600/365))),0),0)</f>
        <v>0</v>
      </c>
      <c r="AL600" s="117">
        <f>MAX(IF(AG600&gt;0,IF('FA Addition'!$N600="SLM",($AE600-'FA Addition'!$M600)*'FA Addition'!$P600*AG600/365,IFERROR(VDB(AE600,AE600*0.05,'FA Addition'!$O600,0,YEARFRAC('FA Addition'!$C600,$P$1-1,3),'FA Addition'!$Q600),FAAddition[[#This Row],[Original Cost (Rs)]]-FAAddition[[#This Row],[Salvage Value]])),0),0)</f>
        <v>235082.77018386556</v>
      </c>
      <c r="AM600" s="119"/>
      <c r="AN600" s="117">
        <f>MAX(IF(AH600&gt;0,IF('FA Addition'!$N600="SLM",($AF600-'FA Addition'!$M600)*'FA Addition'!$P600*AH600/365,IFERROR(VDB(AF600,AF600*0.05,'FA Addition'!$O600,0,YEARFRAC('FA Addition'!$C600,$L$1,3),'FA Addition'!$Q600),FAAddition[[#This Row],[Original Cost (Rs)]]-FAAddition[[#This Row],[Salvage Value]])),0),0)</f>
        <v>1121446.3938593848</v>
      </c>
      <c r="AO600" s="117">
        <f t="shared" si="48"/>
        <v>886363.62367551925</v>
      </c>
      <c r="AP600" s="206"/>
      <c r="AQ600" s="117">
        <f t="shared" si="46"/>
        <v>1401717.2298161346</v>
      </c>
      <c r="AR600" s="120">
        <f t="shared" si="47"/>
        <v>515353.60614061519</v>
      </c>
      <c r="AS600" s="121"/>
    </row>
    <row r="601" spans="1:45" ht="13.5" x14ac:dyDescent="0.4">
      <c r="A601" s="12">
        <f t="shared" si="49"/>
        <v>598</v>
      </c>
      <c r="B601" s="64" t="s">
        <v>1089</v>
      </c>
      <c r="C601" s="54">
        <v>44939</v>
      </c>
      <c r="D601" s="54">
        <v>44939</v>
      </c>
      <c r="E601" s="46" t="s">
        <v>32</v>
      </c>
      <c r="F601" s="51" t="s">
        <v>1090</v>
      </c>
      <c r="G601" s="51" t="s">
        <v>1316</v>
      </c>
      <c r="H601" s="51" t="s">
        <v>32</v>
      </c>
      <c r="I601" s="55" t="s">
        <v>1317</v>
      </c>
      <c r="J601" s="56">
        <v>5</v>
      </c>
      <c r="K601" s="51" t="s">
        <v>1318</v>
      </c>
      <c r="L601" s="58">
        <v>23092.9</v>
      </c>
      <c r="M601" s="50">
        <f>ROUND('FA Addition'!$L601*5%,0.1)</f>
        <v>1155</v>
      </c>
      <c r="N601" s="113" t="str">
        <f>_xlfn.XLOOKUP(_xlfn.CONCAT(E601,B601),'Year Wise Master Dep Approach'!F:F,'Year Wise Master Dep Approach'!D:D)</f>
        <v>WDV</v>
      </c>
      <c r="O601" s="113">
        <f>_xlfn.XLOOKUP(_xlfn.CONCAT(E601,B601),'Year Wise Master Dep Approach'!F:F,'Year Wise Master Dep Approach'!E:E)</f>
        <v>3</v>
      </c>
      <c r="P601" s="114">
        <f>IFERROR(IF('FA Addition'!$N601="WDV",1-('FA Addition'!$M601/'FA Addition'!$L601)^(1/'FA Addition'!$O601),1/'FA Addition'!$O601),0)</f>
        <v>0.63155909835446578</v>
      </c>
      <c r="Q601" s="122">
        <f>'FA Addition'!$P601*'FA Addition'!$O601</f>
        <v>1.8946772950633974</v>
      </c>
      <c r="R601" s="122"/>
      <c r="S601" s="116">
        <f>IF(AND(DATE(20&amp;LEFT(FAAddition[[#This Row],[FY]],2),4,1)&lt;$L$1+1,DATE(20&amp;LEFT(FAAddition[[#This Row],[FY]],2),4,1)&gt;$P$1-1),'FA Addition'!$J601,0)</f>
        <v>0</v>
      </c>
      <c r="U601" s="117">
        <f>S601*'FA Addition'!$L601/'FA Addition'!$J601</f>
        <v>0</v>
      </c>
      <c r="W601" s="116">
        <f>SUMIFS('FA Write off'!D:D,'FA Write off'!A:A,'FA Addition'!$A601,'FA Write off'!C:C,"&lt;"&amp;'FA Addition'!$P$1)</f>
        <v>0</v>
      </c>
      <c r="Y601" s="191">
        <f>IFERROR(W601/'FA Addition'!$J601*'FA Addition'!$L601,0)</f>
        <v>0</v>
      </c>
      <c r="AA601" s="116">
        <f>SUMIFS('FA Write off'!D:D,'FA Write off'!A:A,'FA Addition'!$A601,'FA Write off'!C:C,"&lt;"&amp;'FA Addition'!$L$1+1,'FA Write off'!C:C,"&gt;"&amp;'FA Addition'!$L$1-365)</f>
        <v>0</v>
      </c>
      <c r="AC601" s="118">
        <f>IFERROR(AA601/'FA Addition'!$J601*'FA Addition'!$L601,0)</f>
        <v>0</v>
      </c>
      <c r="AE601" s="117">
        <f>IF(AND('FA Addition'!$D601&lt;$P$1+1,U601=0),'FA Addition'!$L601,0)-Y601</f>
        <v>23092.9</v>
      </c>
      <c r="AF601" s="117">
        <f t="shared" si="45"/>
        <v>23092.9</v>
      </c>
      <c r="AG601" s="117">
        <f>MIN(MAX(+$P$1-'FA Addition'!$D601,0),365*'FA Addition'!$O601)</f>
        <v>78</v>
      </c>
      <c r="AH601" s="117">
        <f>MIN(MAX($L$1-'FA Addition'!$D601+1,0),365*'FA Addition'!$O601)</f>
        <v>444</v>
      </c>
      <c r="AI601" s="117" cm="1">
        <f t="array" ref="AI601">_xlfn.XLOOKUP(1,('FA Write off'!A:A='FA Addition'!$A601)*('FA Write off'!D:D=AA601),'FA Write off'!H:H,0,0)</f>
        <v>0</v>
      </c>
      <c r="AJ601" s="117">
        <f>IF(AC601&gt;0,MAX(IF('FA Addition'!$N601="SLM",($AC601-'FA Addition'!$M601)*'FA Addition'!$P601*AI601/365,(AC601-'FA Addition'!$M601)*(1-(1-'FA Addition'!$P601)^(AI601/365))),0),0)</f>
        <v>0</v>
      </c>
      <c r="AL601" s="117">
        <f>MAX(IF(AG601&gt;0,IF('FA Addition'!$N601="SLM",($AE601-'FA Addition'!$M601)*'FA Addition'!$P601*AG601/365,IFERROR(VDB(AE601,AE601*0.05,'FA Addition'!$O601,0,YEARFRAC('FA Addition'!$C601,$P$1-1,3),'FA Addition'!$Q601),FAAddition[[#This Row],[Original Cost (Rs)]]-FAAddition[[#This Row],[Salvage Value]])),0),0)</f>
        <v>3076.7366983123779</v>
      </c>
      <c r="AM601" s="119"/>
      <c r="AN601" s="117">
        <f>MAX(IF(AH601&gt;0,IF('FA Addition'!$N601="SLM",($AF601-'FA Addition'!$M601)*'FA Addition'!$P601*AH601/365,IFERROR(VDB(AF601,AF601*0.05,'FA Addition'!$O601,0,YEARFRAC('FA Addition'!$C601,$L$1,3),'FA Addition'!$Q601),FAAddition[[#This Row],[Original Cost (Rs)]]-FAAddition[[#This Row],[Salvage Value]])),0),0)</f>
        <v>15732.848766982896</v>
      </c>
      <c r="AO601" s="117">
        <f t="shared" si="48"/>
        <v>12656.112068670518</v>
      </c>
      <c r="AP601" s="206"/>
      <c r="AQ601" s="117">
        <f t="shared" si="46"/>
        <v>20016.163301687622</v>
      </c>
      <c r="AR601" s="120">
        <f t="shared" si="47"/>
        <v>7360.0512330171059</v>
      </c>
      <c r="AS601" s="121"/>
    </row>
    <row r="602" spans="1:45" ht="13.5" x14ac:dyDescent="0.4">
      <c r="A602" s="12">
        <f t="shared" si="49"/>
        <v>599</v>
      </c>
      <c r="B602" s="64" t="s">
        <v>1089</v>
      </c>
      <c r="C602" s="54">
        <v>44949</v>
      </c>
      <c r="D602" s="54">
        <v>44949</v>
      </c>
      <c r="E602" s="46" t="s">
        <v>32</v>
      </c>
      <c r="F602" s="51" t="s">
        <v>1090</v>
      </c>
      <c r="G602" s="51" t="s">
        <v>433</v>
      </c>
      <c r="H602" s="51" t="s">
        <v>32</v>
      </c>
      <c r="I602" s="55" t="s">
        <v>1319</v>
      </c>
      <c r="J602" s="56">
        <v>1500</v>
      </c>
      <c r="K602" s="51" t="s">
        <v>935</v>
      </c>
      <c r="L602" s="58">
        <v>1650000</v>
      </c>
      <c r="M602" s="50">
        <f>ROUND('FA Addition'!$L602*5%,0.1)</f>
        <v>82500</v>
      </c>
      <c r="N602" s="113" t="str">
        <f>_xlfn.XLOOKUP(_xlfn.CONCAT(E602,B602),'Year Wise Master Dep Approach'!F:F,'Year Wise Master Dep Approach'!D:D)</f>
        <v>WDV</v>
      </c>
      <c r="O602" s="113">
        <f>_xlfn.XLOOKUP(_xlfn.CONCAT(E602,B602),'Year Wise Master Dep Approach'!F:F,'Year Wise Master Dep Approach'!E:E)</f>
        <v>3</v>
      </c>
      <c r="P602" s="114">
        <f>IFERROR(IF('FA Addition'!$N602="WDV",1-('FA Addition'!$M602/'FA Addition'!$L602)^(1/'FA Addition'!$O602),1/'FA Addition'!$O602),0)</f>
        <v>0.63159685013596123</v>
      </c>
      <c r="Q602" s="122">
        <f>'FA Addition'!$P602*'FA Addition'!$O602</f>
        <v>1.8947905504078837</v>
      </c>
      <c r="R602" s="122"/>
      <c r="S602" s="116">
        <f>IF(AND(DATE(20&amp;LEFT(FAAddition[[#This Row],[FY]],2),4,1)&lt;$L$1+1,DATE(20&amp;LEFT(FAAddition[[#This Row],[FY]],2),4,1)&gt;$P$1-1),'FA Addition'!$J602,0)</f>
        <v>0</v>
      </c>
      <c r="U602" s="117">
        <f>S602*'FA Addition'!$L602/'FA Addition'!$J602</f>
        <v>0</v>
      </c>
      <c r="W602" s="116">
        <f>SUMIFS('FA Write off'!D:D,'FA Write off'!A:A,'FA Addition'!$A602,'FA Write off'!C:C,"&lt;"&amp;'FA Addition'!$P$1)</f>
        <v>8</v>
      </c>
      <c r="Y602" s="191">
        <f>IFERROR(W602/'FA Addition'!$J602*'FA Addition'!$L602,0)</f>
        <v>8800</v>
      </c>
      <c r="AA602" s="116">
        <f>SUMIFS('FA Write off'!D:D,'FA Write off'!A:A,'FA Addition'!$A602,'FA Write off'!C:C,"&lt;"&amp;'FA Addition'!$L$1+1,'FA Write off'!C:C,"&gt;"&amp;'FA Addition'!$L$1-365)</f>
        <v>0</v>
      </c>
      <c r="AC602" s="191">
        <f>IFERROR(AA602/'FA Addition'!$J602*'FA Addition'!$L602,0)</f>
        <v>0</v>
      </c>
      <c r="AE602" s="117">
        <f>IF(AND('FA Addition'!$D602&lt;$P$1+1,U602=0),'FA Addition'!$L602,0)-Y602</f>
        <v>1641200</v>
      </c>
      <c r="AF602" s="117">
        <f t="shared" si="45"/>
        <v>1641200</v>
      </c>
      <c r="AG602" s="117">
        <f>MIN(MAX(+$P$1-'FA Addition'!$D602,0),365*'FA Addition'!$O602)</f>
        <v>68</v>
      </c>
      <c r="AH602" s="117">
        <f>MIN(MAX($L$1-'FA Addition'!$D602+1,0),365*'FA Addition'!$O602)</f>
        <v>434</v>
      </c>
      <c r="AI602" s="117" cm="1">
        <f t="array" ref="AI602">_xlfn.XLOOKUP(1,('FA Write off'!A:A='FA Addition'!$A602)*('FA Write off'!D:D=AA602),'FA Write off'!H:H,0,0)</f>
        <v>0</v>
      </c>
      <c r="AJ602" s="117">
        <f>IF(AC602&gt;0,MAX(IF('FA Addition'!$N602="SLM",($AC602-'FA Addition'!$M602)*'FA Addition'!$P602*AI602/365,(AC602-'FA Addition'!$M602)*(1-(1-'FA Addition'!$P602)^(AI602/365))),0),0)</f>
        <v>0</v>
      </c>
      <c r="AL602" s="117">
        <f>MAX(IF(AG602&gt;0,IF('FA Addition'!$N602="SLM",($AE602-'FA Addition'!$M602)*'FA Addition'!$P602*AG602/365,IFERROR(VDB(AE602,AE602*0.05,'FA Addition'!$O602,0,YEARFRAC('FA Addition'!$C602,$P$1-1,3),'FA Addition'!$Q602),FAAddition[[#This Row],[Original Cost (Rs)]]-FAAddition[[#This Row],[Salvage Value]])),0),0)</f>
        <v>190275.73227312425</v>
      </c>
      <c r="AM602" s="119"/>
      <c r="AN602" s="117">
        <f>MAX(IF(AH602&gt;0,IF('FA Addition'!$N602="SLM",($AF602-'FA Addition'!$M602)*'FA Addition'!$P602*AH602/365,IFERROR(VDB(AF602,AF602*0.05,'FA Addition'!$O602,0,YEARFRAC('FA Addition'!$C602,$L$1,3),'FA Addition'!$Q602),FAAddition[[#This Row],[Original Cost (Rs)]]-FAAddition[[#This Row],[Salvage Value]])),0),0)</f>
        <v>1107721.1710345303</v>
      </c>
      <c r="AO602" s="117">
        <f t="shared" si="48"/>
        <v>917445.438761406</v>
      </c>
      <c r="AP602" s="206"/>
      <c r="AQ602" s="117">
        <f t="shared" si="46"/>
        <v>1450924.2677268758</v>
      </c>
      <c r="AR602" s="120">
        <f t="shared" si="47"/>
        <v>533478.82896546973</v>
      </c>
      <c r="AS602" s="121"/>
    </row>
    <row r="603" spans="1:45" ht="13.5" x14ac:dyDescent="0.4">
      <c r="A603" s="12">
        <f t="shared" si="49"/>
        <v>600</v>
      </c>
      <c r="B603" s="205" t="s">
        <v>1308</v>
      </c>
      <c r="C603" s="54">
        <v>45323</v>
      </c>
      <c r="D603" s="54">
        <v>44951</v>
      </c>
      <c r="E603" s="46" t="s">
        <v>1320</v>
      </c>
      <c r="F603" s="51" t="s">
        <v>33</v>
      </c>
      <c r="G603" s="51" t="s">
        <v>34</v>
      </c>
      <c r="H603" s="51" t="s">
        <v>32</v>
      </c>
      <c r="I603" s="55" t="s">
        <v>1321</v>
      </c>
      <c r="J603" s="56">
        <v>20</v>
      </c>
      <c r="K603" s="51" t="s">
        <v>1322</v>
      </c>
      <c r="L603" s="58">
        <v>39000</v>
      </c>
      <c r="M603" s="50">
        <f>ROUND('FA Addition'!$L603*5%,0.1)</f>
        <v>1950</v>
      </c>
      <c r="N603" s="113" t="str">
        <f>_xlfn.XLOOKUP(_xlfn.CONCAT(E603,B603),'Year Wise Master Dep Approach'!F:F,'Year Wise Master Dep Approach'!D:D)</f>
        <v>SLM</v>
      </c>
      <c r="O603" s="113">
        <f>_xlfn.XLOOKUP(_xlfn.CONCAT(E603,B603),'Year Wise Master Dep Approach'!F:F,'Year Wise Master Dep Approach'!E:E)</f>
        <v>5</v>
      </c>
      <c r="P603" s="114">
        <f>IFERROR(IF('FA Addition'!$N603="WDV",1-('FA Addition'!$M603/'FA Addition'!$L603)^(1/'FA Addition'!$O603),1/'FA Addition'!$O603),0)</f>
        <v>0.2</v>
      </c>
      <c r="Q603" s="122">
        <f>'FA Addition'!$P603*'FA Addition'!$O603</f>
        <v>1</v>
      </c>
      <c r="R603" s="122"/>
      <c r="S603" s="116">
        <f>IF(AND(DATE(20&amp;LEFT(FAAddition[[#This Row],[FY]],2),4,1)&lt;$L$1+1,DATE(20&amp;LEFT(FAAddition[[#This Row],[FY]],2),4,1)&gt;$P$1-1),'FA Addition'!$J603,0)</f>
        <v>20</v>
      </c>
      <c r="U603" s="117">
        <f>S603*'FA Addition'!$L603/'FA Addition'!$J603</f>
        <v>39000</v>
      </c>
      <c r="W603" s="116">
        <f>SUMIFS('FA Write off'!D:D,'FA Write off'!A:A,'FA Addition'!$A603,'FA Write off'!C:C,"&lt;"&amp;'FA Addition'!$P$1)</f>
        <v>0</v>
      </c>
      <c r="Y603" s="191">
        <f>IFERROR(W603/'FA Addition'!$J603*'FA Addition'!$L603,0)</f>
        <v>0</v>
      </c>
      <c r="AA603" s="116">
        <f>SUMIFS('FA Write off'!D:D,'FA Write off'!A:A,'FA Addition'!$A603,'FA Write off'!C:C,"&lt;"&amp;'FA Addition'!$L$1+1,'FA Write off'!C:C,"&gt;"&amp;'FA Addition'!$L$1-365)</f>
        <v>0</v>
      </c>
      <c r="AC603" s="118">
        <f>IFERROR(AA603/'FA Addition'!$J603*'FA Addition'!$L603,0)</f>
        <v>0</v>
      </c>
      <c r="AE603" s="117">
        <f>IF(AND('FA Addition'!$D603&lt;$P$1+1,U603=0),'FA Addition'!$L603,0)-Y603</f>
        <v>0</v>
      </c>
      <c r="AF603" s="117">
        <f t="shared" si="45"/>
        <v>39000</v>
      </c>
      <c r="AG603" s="117">
        <f>MIN(MAX(+$P$1-'FA Addition'!$D603,0),365*'FA Addition'!$O603)</f>
        <v>66</v>
      </c>
      <c r="AH603" s="117">
        <f>MIN(MAX($L$1-'FA Addition'!$D603+1,0),365*'FA Addition'!$O603)</f>
        <v>432</v>
      </c>
      <c r="AI603" s="117" cm="1">
        <f t="array" ref="AI603">_xlfn.XLOOKUP(1,('FA Write off'!A:A='FA Addition'!$A603)*('FA Write off'!D:D=AA603),'FA Write off'!H:H,0,0)</f>
        <v>0</v>
      </c>
      <c r="AJ603" s="117">
        <f>IF(AC603&gt;0,MAX(IF('FA Addition'!$N603="SLM",($AC603-'FA Addition'!$M603)*'FA Addition'!$P603*AI603/365,(AC603-'FA Addition'!$M603)*(1-(1-'FA Addition'!$P603)^(AI603/365))),0),0)</f>
        <v>0</v>
      </c>
      <c r="AL603" s="117">
        <f>MAX(IF(AG603&gt;0,IF('FA Addition'!$N603="SLM",($AE603-'FA Addition'!$M603)*'FA Addition'!$P603*AG603/365,IFERROR(VDB(AE603,AE603*0.05,'FA Addition'!$O603,0,YEARFRAC('FA Addition'!$C603,$P$1-1,3),'FA Addition'!$Q603),FAAddition[[#This Row],[Original Cost (Rs)]]-FAAddition[[#This Row],[Salvage Value]])),0),0)</f>
        <v>0</v>
      </c>
      <c r="AM603" s="119"/>
      <c r="AN603" s="117">
        <f>MAX(IF(AH603&gt;0,IF('FA Addition'!$N603="SLM",($AF603-'FA Addition'!$M603)*'FA Addition'!$P603*AH603/365,IFERROR(VDB(AF603,AF603*0.05,'FA Addition'!$O603,0,YEARFRAC('FA Addition'!$C603,$L$1,3),'FA Addition'!$Q603),FAAddition[[#This Row],[Original Cost (Rs)]]-FAAddition[[#This Row],[Salvage Value]])),0),0)</f>
        <v>8770.1917808219187</v>
      </c>
      <c r="AO603" s="117">
        <f t="shared" si="48"/>
        <v>8770.1917808219187</v>
      </c>
      <c r="AQ603" s="117">
        <f t="shared" si="46"/>
        <v>0</v>
      </c>
      <c r="AR603" s="120">
        <f t="shared" si="47"/>
        <v>30229.808219178081</v>
      </c>
      <c r="AS603" s="121"/>
    </row>
    <row r="604" spans="1:45" ht="13.5" x14ac:dyDescent="0.4">
      <c r="A604" s="12">
        <f t="shared" si="49"/>
        <v>601</v>
      </c>
      <c r="B604" s="64" t="s">
        <v>1089</v>
      </c>
      <c r="C604" s="54">
        <v>44951</v>
      </c>
      <c r="D604" s="54">
        <v>44951</v>
      </c>
      <c r="E604" s="46" t="s">
        <v>207</v>
      </c>
      <c r="F604" s="51" t="s">
        <v>1116</v>
      </c>
      <c r="G604" s="51" t="s">
        <v>1290</v>
      </c>
      <c r="H604" s="51" t="s">
        <v>207</v>
      </c>
      <c r="I604" s="55" t="s">
        <v>1323</v>
      </c>
      <c r="J604" s="56">
        <v>1</v>
      </c>
      <c r="K604" s="51" t="s">
        <v>1311</v>
      </c>
      <c r="L604" s="58">
        <v>7288</v>
      </c>
      <c r="M604" s="50">
        <f>ROUND('FA Addition'!$L604*5%,0.1)</f>
        <v>364</v>
      </c>
      <c r="N604" s="113" t="str">
        <f>_xlfn.XLOOKUP(_xlfn.CONCAT(E604,B604),'Year Wise Master Dep Approach'!F:F,'Year Wise Master Dep Approach'!D:D)</f>
        <v>WDV</v>
      </c>
      <c r="O604" s="113">
        <f>_xlfn.XLOOKUP(_xlfn.CONCAT(E604,B604),'Year Wise Master Dep Approach'!F:F,'Year Wise Master Dep Approach'!E:E)</f>
        <v>5</v>
      </c>
      <c r="P604" s="114">
        <f>IFERROR(IF('FA Addition'!$N604="WDV",1-('FA Addition'!$M604/'FA Addition'!$L604)^(1/'FA Addition'!$O604),1/'FA Addition'!$O604),0)</f>
        <v>0.45084036975362973</v>
      </c>
      <c r="Q604" s="122">
        <f>'FA Addition'!$P604*'FA Addition'!$O604</f>
        <v>2.2542018487681488</v>
      </c>
      <c r="R604" s="122"/>
      <c r="S604" s="116">
        <f>IF(AND(DATE(20&amp;LEFT(FAAddition[[#This Row],[FY]],2),4,1)&lt;$L$1+1,DATE(20&amp;LEFT(FAAddition[[#This Row],[FY]],2),4,1)&gt;$P$1-1),'FA Addition'!$J604,0)</f>
        <v>0</v>
      </c>
      <c r="U604" s="117">
        <f>S604*'FA Addition'!$L604/'FA Addition'!$J604</f>
        <v>0</v>
      </c>
      <c r="W604" s="116">
        <f>SUMIFS('FA Write off'!D:D,'FA Write off'!A:A,'FA Addition'!$A604,'FA Write off'!C:C,"&lt;"&amp;'FA Addition'!$P$1)</f>
        <v>0</v>
      </c>
      <c r="Y604" s="191">
        <f>IFERROR(W604/'FA Addition'!$J604*'FA Addition'!$L604,0)</f>
        <v>0</v>
      </c>
      <c r="AA604" s="116">
        <f>SUMIFS('FA Write off'!D:D,'FA Write off'!A:A,'FA Addition'!$A604,'FA Write off'!C:C,"&lt;"&amp;'FA Addition'!$L$1+1,'FA Write off'!C:C,"&gt;"&amp;'FA Addition'!$L$1-365)</f>
        <v>0</v>
      </c>
      <c r="AC604" s="118">
        <f>IFERROR(AA604/'FA Addition'!$J604*'FA Addition'!$L604,0)</f>
        <v>0</v>
      </c>
      <c r="AE604" s="117">
        <f>IF(AND('FA Addition'!$D604&lt;$P$1+1,U604=0),'FA Addition'!$L604,0)-Y604</f>
        <v>7288</v>
      </c>
      <c r="AF604" s="117">
        <f t="shared" si="45"/>
        <v>7288</v>
      </c>
      <c r="AG604" s="117">
        <f>MIN(MAX(+$P$1-'FA Addition'!$D604,0),365*'FA Addition'!$O604)</f>
        <v>66</v>
      </c>
      <c r="AH604" s="117">
        <f>MIN(MAX($L$1-'FA Addition'!$D604+1,0),365*'FA Addition'!$O604)</f>
        <v>432</v>
      </c>
      <c r="AI604" s="117" cm="1">
        <f t="array" ref="AI604">_xlfn.XLOOKUP(1,('FA Write off'!A:A='FA Addition'!$A604)*('FA Write off'!D:D=AA604),'FA Write off'!H:H,0,0)</f>
        <v>0</v>
      </c>
      <c r="AJ604" s="117">
        <f>IF(AC604&gt;0,MAX(IF('FA Addition'!$N604="SLM",($AC604-'FA Addition'!$M604)*'FA Addition'!$P604*AI604/365,(AC604-'FA Addition'!$M604)*(1-(1-'FA Addition'!$P604)^(AI604/365))),0),0)</f>
        <v>0</v>
      </c>
      <c r="AL604" s="117">
        <f>MAX(IF(AG604&gt;0,IF('FA Addition'!$N604="SLM",($AE604-'FA Addition'!$M604)*'FA Addition'!$P604*AG604/365,IFERROR(VDB(AE604,AE604*0.05,'FA Addition'!$O604,0,YEARFRAC('FA Addition'!$C604,$P$1-1,3),'FA Addition'!$Q604),FAAddition[[#This Row],[Original Cost (Rs)]]-FAAddition[[#This Row],[Salvage Value]])),0),0)</f>
        <v>585.12904098545062</v>
      </c>
      <c r="AM604" s="119"/>
      <c r="AN604" s="117">
        <f>MAX(IF(AH604&gt;0,IF('FA Addition'!$N604="SLM",($AF604-'FA Addition'!$M604)*'FA Addition'!$P604*AH604/365,IFERROR(VDB(AF604,AF604*0.05,'FA Addition'!$O604,0,YEARFRAC('FA Addition'!$C604,$L$1,3),'FA Addition'!$Q604),FAAddition[[#This Row],[Original Cost (Rs)]]-FAAddition[[#This Row],[Salvage Value]])),0),0)</f>
        <v>3611.9973894475752</v>
      </c>
      <c r="AO604" s="117">
        <f t="shared" si="48"/>
        <v>3026.8683484621247</v>
      </c>
      <c r="AP604" s="206"/>
      <c r="AQ604" s="117">
        <f t="shared" si="46"/>
        <v>6702.870959014549</v>
      </c>
      <c r="AR604" s="120">
        <f t="shared" si="47"/>
        <v>3676.0026105524248</v>
      </c>
      <c r="AS604" s="121"/>
    </row>
    <row r="605" spans="1:45" ht="13.5" x14ac:dyDescent="0.4">
      <c r="A605" s="12">
        <f t="shared" si="49"/>
        <v>602</v>
      </c>
      <c r="B605" s="205" t="s">
        <v>1308</v>
      </c>
      <c r="C605" s="54">
        <v>45318</v>
      </c>
      <c r="D605" s="54">
        <v>44953</v>
      </c>
      <c r="E605" s="46" t="s">
        <v>1320</v>
      </c>
      <c r="F605" s="51" t="s">
        <v>33</v>
      </c>
      <c r="G605" s="51" t="s">
        <v>36</v>
      </c>
      <c r="H605" s="51" t="s">
        <v>32</v>
      </c>
      <c r="I605" s="55" t="s">
        <v>1324</v>
      </c>
      <c r="J605" s="56">
        <v>300</v>
      </c>
      <c r="K605" s="51" t="s">
        <v>296</v>
      </c>
      <c r="L605" s="58">
        <v>510000</v>
      </c>
      <c r="M605" s="50">
        <f>ROUND('FA Addition'!$L605*5%,0.1)</f>
        <v>25500</v>
      </c>
      <c r="N605" s="113" t="str">
        <f>_xlfn.XLOOKUP(_xlfn.CONCAT(E605,B605),'Year Wise Master Dep Approach'!F:F,'Year Wise Master Dep Approach'!D:D)</f>
        <v>SLM</v>
      </c>
      <c r="O605" s="113">
        <f>_xlfn.XLOOKUP(_xlfn.CONCAT(E605,B605),'Year Wise Master Dep Approach'!F:F,'Year Wise Master Dep Approach'!E:E)</f>
        <v>5</v>
      </c>
      <c r="P605" s="114">
        <f>IFERROR(IF('FA Addition'!$N605="WDV",1-('FA Addition'!$M605/'FA Addition'!$L605)^(1/'FA Addition'!$O605),1/'FA Addition'!$O605),0)</f>
        <v>0.2</v>
      </c>
      <c r="Q605" s="122">
        <f>'FA Addition'!$P605*'FA Addition'!$O605</f>
        <v>1</v>
      </c>
      <c r="R605" s="122"/>
      <c r="S605" s="116">
        <f>IF(AND(DATE(20&amp;LEFT(FAAddition[[#This Row],[FY]],2),4,1)&lt;$L$1+1,DATE(20&amp;LEFT(FAAddition[[#This Row],[FY]],2),4,1)&gt;$P$1-1),'FA Addition'!$J605,0)</f>
        <v>300</v>
      </c>
      <c r="U605" s="117">
        <f>S605*'FA Addition'!$L605/'FA Addition'!$J605</f>
        <v>510000</v>
      </c>
      <c r="W605" s="116">
        <f>SUMIFS('FA Write off'!D:D,'FA Write off'!A:A,'FA Addition'!$A605,'FA Write off'!C:C,"&lt;"&amp;'FA Addition'!$P$1)</f>
        <v>0</v>
      </c>
      <c r="Y605" s="191">
        <f>IFERROR(W605/'FA Addition'!$J605*'FA Addition'!$L605,0)</f>
        <v>0</v>
      </c>
      <c r="AA605" s="116">
        <f>SUMIFS('FA Write off'!D:D,'FA Write off'!A:A,'FA Addition'!$A605,'FA Write off'!C:C,"&lt;"&amp;'FA Addition'!$L$1+1,'FA Write off'!C:C,"&gt;"&amp;'FA Addition'!$L$1-365)</f>
        <v>0</v>
      </c>
      <c r="AC605" s="118">
        <f>IFERROR(AA605/'FA Addition'!$J605*'FA Addition'!$L605,0)</f>
        <v>0</v>
      </c>
      <c r="AE605" s="117">
        <f>IF(AND('FA Addition'!$D605&lt;$P$1+1,U605=0),'FA Addition'!$L605,0)-Y605</f>
        <v>0</v>
      </c>
      <c r="AF605" s="117">
        <f t="shared" si="45"/>
        <v>510000</v>
      </c>
      <c r="AG605" s="117">
        <f>MIN(MAX(+$P$1-'FA Addition'!$D605,0),365*'FA Addition'!$O605)</f>
        <v>64</v>
      </c>
      <c r="AH605" s="117">
        <f>MIN(MAX($L$1-'FA Addition'!$D605+1,0),365*'FA Addition'!$O605)</f>
        <v>430</v>
      </c>
      <c r="AI605" s="117" cm="1">
        <f t="array" ref="AI605">_xlfn.XLOOKUP(1,('FA Write off'!A:A='FA Addition'!$A605)*('FA Write off'!D:D=AA605),'FA Write off'!H:H,0,0)</f>
        <v>0</v>
      </c>
      <c r="AJ605" s="117">
        <f>IF(AC605&gt;0,MAX(IF('FA Addition'!$N605="SLM",($AC605-'FA Addition'!$M605)*'FA Addition'!$P605*AI605/365,(AC605-'FA Addition'!$M605)*(1-(1-'FA Addition'!$P605)^(AI605/365))),0),0)</f>
        <v>0</v>
      </c>
      <c r="AL605" s="117">
        <f>MAX(IF(AG605&gt;0,IF('FA Addition'!$N605="SLM",($AE605-'FA Addition'!$M605)*'FA Addition'!$P605*AG605/365,IFERROR(VDB(AE605,AE605*0.05,'FA Addition'!$O605,0,YEARFRAC('FA Addition'!$C605,$P$1-1,3),'FA Addition'!$Q605),FAAddition[[#This Row],[Original Cost (Rs)]]-FAAddition[[#This Row],[Salvage Value]])),0),0)</f>
        <v>0</v>
      </c>
      <c r="AM605" s="119"/>
      <c r="AN605" s="117">
        <f>MAX(IF(AH605&gt;0,IF('FA Addition'!$N605="SLM",($AF605-'FA Addition'!$M605)*'FA Addition'!$P605*AH605/365,IFERROR(VDB(AF605,AF605*0.05,'FA Addition'!$O605,0,YEARFRAC('FA Addition'!$C605,$L$1,3),'FA Addition'!$Q605),FAAddition[[#This Row],[Original Cost (Rs)]]-FAAddition[[#This Row],[Salvage Value]])),0),0)</f>
        <v>114156.16438356164</v>
      </c>
      <c r="AO605" s="117">
        <f t="shared" si="48"/>
        <v>114156.16438356164</v>
      </c>
      <c r="AQ605" s="117">
        <f t="shared" si="46"/>
        <v>0</v>
      </c>
      <c r="AR605" s="120">
        <f t="shared" si="47"/>
        <v>395843.83561643836</v>
      </c>
      <c r="AS605" s="121"/>
    </row>
    <row r="606" spans="1:45" ht="13.5" x14ac:dyDescent="0.4">
      <c r="A606" s="12">
        <f t="shared" si="49"/>
        <v>603</v>
      </c>
      <c r="B606" s="64" t="s">
        <v>1089</v>
      </c>
      <c r="C606" s="54">
        <v>44956</v>
      </c>
      <c r="D606" s="54">
        <v>44956</v>
      </c>
      <c r="E606" s="46" t="s">
        <v>451</v>
      </c>
      <c r="F606" s="51" t="s">
        <v>1133</v>
      </c>
      <c r="G606" s="51" t="s">
        <v>1290</v>
      </c>
      <c r="H606" s="51" t="s">
        <v>21</v>
      </c>
      <c r="I606" s="55" t="s">
        <v>1325</v>
      </c>
      <c r="J606" s="56">
        <v>1</v>
      </c>
      <c r="K606" s="51" t="s">
        <v>1300</v>
      </c>
      <c r="L606" s="58">
        <v>48296</v>
      </c>
      <c r="M606" s="50">
        <f>ROUND('FA Addition'!$L606*5%,0.1)</f>
        <v>2415</v>
      </c>
      <c r="N606" s="113" t="str">
        <f>_xlfn.XLOOKUP(_xlfn.CONCAT(E606,B606),'Year Wise Master Dep Approach'!F:F,'Year Wise Master Dep Approach'!D:D)</f>
        <v>WDV</v>
      </c>
      <c r="O606" s="113">
        <f>_xlfn.XLOOKUP(_xlfn.CONCAT(E606,B606),'Year Wise Master Dep Approach'!F:F,'Year Wise Master Dep Approach'!E:E)</f>
        <v>3</v>
      </c>
      <c r="P606" s="114">
        <f>IFERROR(IF('FA Addition'!$N606="WDV",1-('FA Addition'!$M606/'FA Addition'!$L606)^(1/'FA Addition'!$O606),1/'FA Addition'!$O606),0)</f>
        <v>0.63158667971523275</v>
      </c>
      <c r="Q606" s="122">
        <f>'FA Addition'!$P606*'FA Addition'!$O606</f>
        <v>1.8947600391456982</v>
      </c>
      <c r="R606" s="122"/>
      <c r="S606" s="116">
        <f>IF(AND(DATE(20&amp;LEFT(FAAddition[[#This Row],[FY]],2),4,1)&lt;$L$1+1,DATE(20&amp;LEFT(FAAddition[[#This Row],[FY]],2),4,1)&gt;$P$1-1),'FA Addition'!$J606,0)</f>
        <v>0</v>
      </c>
      <c r="U606" s="117">
        <f>S606*'FA Addition'!$L606/'FA Addition'!$J606</f>
        <v>0</v>
      </c>
      <c r="W606" s="116">
        <f>SUMIFS('FA Write off'!D:D,'FA Write off'!A:A,'FA Addition'!$A606,'FA Write off'!C:C,"&lt;"&amp;'FA Addition'!$P$1)</f>
        <v>0</v>
      </c>
      <c r="Y606" s="191">
        <f>IFERROR(W606/'FA Addition'!$J606*'FA Addition'!$L606,0)</f>
        <v>0</v>
      </c>
      <c r="AA606" s="116">
        <f>SUMIFS('FA Write off'!D:D,'FA Write off'!A:A,'FA Addition'!$A606,'FA Write off'!C:C,"&lt;"&amp;'FA Addition'!$L$1+1,'FA Write off'!C:C,"&gt;"&amp;'FA Addition'!$L$1-365)</f>
        <v>0</v>
      </c>
      <c r="AC606" s="118">
        <f>IFERROR(AA606/'FA Addition'!$J606*'FA Addition'!$L606,0)</f>
        <v>0</v>
      </c>
      <c r="AE606" s="117">
        <f>IF(AND('FA Addition'!$D606&lt;$P$1+1,U606=0),'FA Addition'!$L606,0)-Y606</f>
        <v>48296</v>
      </c>
      <c r="AF606" s="117">
        <f t="shared" si="45"/>
        <v>48296</v>
      </c>
      <c r="AG606" s="117">
        <f>MIN(MAX(+$P$1-'FA Addition'!$D606,0),365*'FA Addition'!$O606)</f>
        <v>61</v>
      </c>
      <c r="AH606" s="117">
        <f>MIN(MAX($L$1-'FA Addition'!$D606+1,0),365*'FA Addition'!$O606)</f>
        <v>427</v>
      </c>
      <c r="AI606" s="117" cm="1">
        <f t="array" ref="AI606">_xlfn.XLOOKUP(1,('FA Write off'!A:A='FA Addition'!$A606)*('FA Write off'!D:D=AA606),'FA Write off'!H:H,0,0)</f>
        <v>0</v>
      </c>
      <c r="AJ606" s="117">
        <f>IF(AC606&gt;0,MAX(IF('FA Addition'!$N606="SLM",($AC606-'FA Addition'!$M606)*'FA Addition'!$P606*AI606/365,(AC606-'FA Addition'!$M606)*(1-(1-'FA Addition'!$P606)^(AI606/365))),0),0)</f>
        <v>0</v>
      </c>
      <c r="AL606" s="117">
        <f>MAX(IF(AG606&gt;0,IF('FA Addition'!$N606="SLM",($AE606-'FA Addition'!$M606)*'FA Addition'!$P606*AG606/365,IFERROR(VDB(AE606,AE606*0.05,'FA Addition'!$O606,0,YEARFRAC('FA Addition'!$C606,$P$1-1,3),'FA Addition'!$Q606),FAAddition[[#This Row],[Original Cost (Rs)]]-FAAddition[[#This Row],[Salvage Value]])),0),0)</f>
        <v>5014.2099096208567</v>
      </c>
      <c r="AM606" s="119"/>
      <c r="AN606" s="117">
        <f>MAX(IF(AH606&gt;0,IF('FA Addition'!$N606="SLM",($AF606-'FA Addition'!$M606)*'FA Addition'!$P606*AH606/365,IFERROR(VDB(AF606,AF606*0.05,'FA Addition'!$O606,0,YEARFRAC('FA Addition'!$C606,$L$1,3),'FA Addition'!$Q606),FAAddition[[#This Row],[Original Cost (Rs)]]-FAAddition[[#This Row],[Salvage Value]])),0),0)</f>
        <v>32381.200366958554</v>
      </c>
      <c r="AO606" s="117">
        <f t="shared" si="48"/>
        <v>27366.990457337699</v>
      </c>
      <c r="AP606" s="206"/>
      <c r="AQ606" s="117">
        <f t="shared" si="46"/>
        <v>43281.790090379145</v>
      </c>
      <c r="AR606" s="120">
        <f t="shared" si="47"/>
        <v>15914.799633041446</v>
      </c>
      <c r="AS606" s="121"/>
    </row>
    <row r="607" spans="1:45" ht="13.5" x14ac:dyDescent="0.4">
      <c r="A607" s="12">
        <f t="shared" si="49"/>
        <v>604</v>
      </c>
      <c r="B607" s="64" t="s">
        <v>1089</v>
      </c>
      <c r="C607" s="54">
        <v>44956</v>
      </c>
      <c r="D607" s="54">
        <v>44956</v>
      </c>
      <c r="E607" s="46" t="s">
        <v>32</v>
      </c>
      <c r="F607" s="51" t="s">
        <v>1090</v>
      </c>
      <c r="G607" s="51" t="s">
        <v>433</v>
      </c>
      <c r="H607" s="51" t="s">
        <v>32</v>
      </c>
      <c r="I607" s="55" t="s">
        <v>1326</v>
      </c>
      <c r="J607" s="56">
        <v>2000</v>
      </c>
      <c r="K607" s="51" t="s">
        <v>935</v>
      </c>
      <c r="L607" s="58">
        <v>2200000</v>
      </c>
      <c r="M607" s="50">
        <f>ROUND('FA Addition'!$L607*5%,0.1)</f>
        <v>110000</v>
      </c>
      <c r="N607" s="113" t="str">
        <f>_xlfn.XLOOKUP(_xlfn.CONCAT(E607,B607),'Year Wise Master Dep Approach'!F:F,'Year Wise Master Dep Approach'!D:D)</f>
        <v>WDV</v>
      </c>
      <c r="O607" s="113">
        <f>_xlfn.XLOOKUP(_xlfn.CONCAT(E607,B607),'Year Wise Master Dep Approach'!F:F,'Year Wise Master Dep Approach'!E:E)</f>
        <v>3</v>
      </c>
      <c r="P607" s="114">
        <f>IFERROR(IF('FA Addition'!$N607="WDV",1-('FA Addition'!$M607/'FA Addition'!$L607)^(1/'FA Addition'!$O607),1/'FA Addition'!$O607),0)</f>
        <v>0.63159685013596123</v>
      </c>
      <c r="Q607" s="122">
        <f>'FA Addition'!$P607*'FA Addition'!$O607</f>
        <v>1.8947905504078837</v>
      </c>
      <c r="R607" s="122"/>
      <c r="S607" s="116">
        <f>IF(AND(DATE(20&amp;LEFT(FAAddition[[#This Row],[FY]],2),4,1)&lt;$L$1+1,DATE(20&amp;LEFT(FAAddition[[#This Row],[FY]],2),4,1)&gt;$P$1-1),'FA Addition'!$J607,0)</f>
        <v>0</v>
      </c>
      <c r="U607" s="117">
        <f>S607*'FA Addition'!$L607/'FA Addition'!$J607</f>
        <v>0</v>
      </c>
      <c r="W607" s="116">
        <f>SUMIFS('FA Write off'!D:D,'FA Write off'!A:A,'FA Addition'!$A607,'FA Write off'!C:C,"&lt;"&amp;'FA Addition'!$P$1)</f>
        <v>4</v>
      </c>
      <c r="Y607" s="191">
        <f>IFERROR(W607/'FA Addition'!$J607*'FA Addition'!$L607,0)</f>
        <v>4400</v>
      </c>
      <c r="AA607" s="116">
        <f>SUMIFS('FA Write off'!D:D,'FA Write off'!A:A,'FA Addition'!$A607,'FA Write off'!C:C,"&lt;"&amp;'FA Addition'!$L$1+1,'FA Write off'!C:C,"&gt;"&amp;'FA Addition'!$L$1-365)</f>
        <v>735</v>
      </c>
      <c r="AC607" s="191">
        <f>IFERROR(AA607/'FA Addition'!$J607*'FA Addition'!$L607,0)</f>
        <v>808500</v>
      </c>
      <c r="AE607" s="117">
        <f>IF(AND('FA Addition'!$D607&lt;$P$1+1,U607=0),'FA Addition'!$L607,0)-Y607</f>
        <v>2195600</v>
      </c>
      <c r="AF607" s="117">
        <f t="shared" si="45"/>
        <v>1387100</v>
      </c>
      <c r="AG607" s="117">
        <f>MIN(MAX(+$P$1-'FA Addition'!$D607,0),365*'FA Addition'!$O607)</f>
        <v>61</v>
      </c>
      <c r="AH607" s="117">
        <f>MIN(MAX($L$1-'FA Addition'!$D607+1,0),365*'FA Addition'!$O607)</f>
        <v>427</v>
      </c>
      <c r="AI607" s="117" cm="1">
        <f t="array" ref="AI607">_xlfn.XLOOKUP(1,('FA Write off'!A:A='FA Addition'!$A607)*('FA Write off'!D:D=AA607),'FA Write off'!H:H,0,0)</f>
        <v>427</v>
      </c>
      <c r="AJ607" s="117">
        <f>IF(AC607&gt;0,MAX(IF('FA Addition'!$N607="SLM",($AC607-'FA Addition'!$M607)*'FA Addition'!$P607*AI607/365,(AC607-'FA Addition'!$M607)*(1-(1-'FA Addition'!$P607)^(AI607/365))),0),0)</f>
        <v>481317.85410978337</v>
      </c>
      <c r="AL607" s="117">
        <f>MAX(IF(AG607&gt;0,IF('FA Addition'!$N607="SLM",($AE607-'FA Addition'!$M607)*'FA Addition'!$P607*AG607/365,IFERROR(VDB(AE607,AE607*0.05,'FA Addition'!$O607,0,YEARFRAC('FA Addition'!$C607,$P$1-1,3),'FA Addition'!$Q607),FAAddition[[#This Row],[Original Cost (Rs)]]-FAAddition[[#This Row],[Salvage Value]])),0),0)</f>
        <v>227956.28123153694</v>
      </c>
      <c r="AM607" s="119"/>
      <c r="AN607" s="117">
        <f>MAX(IF(AH607&gt;0,IF('FA Addition'!$N607="SLM",($AF607-'FA Addition'!$M607)*'FA Addition'!$P607*AH607/365,IFERROR(VDB(AF607,AF607*0.05,'FA Addition'!$O607,0,YEARFRAC('FA Addition'!$C607,$L$1,3),'FA Addition'!$Q607),FAAddition[[#This Row],[Original Cost (Rs)]]-FAAddition[[#This Row],[Salvage Value]])),0),0)</f>
        <v>930027.62944831944</v>
      </c>
      <c r="AO607" s="117">
        <f t="shared" si="48"/>
        <v>1183389.202326566</v>
      </c>
      <c r="AP607" s="206"/>
      <c r="AQ607" s="117">
        <f t="shared" si="46"/>
        <v>1967643.718768463</v>
      </c>
      <c r="AR607" s="120">
        <f t="shared" si="47"/>
        <v>457072.37055168056</v>
      </c>
      <c r="AS607" s="121"/>
    </row>
    <row r="608" spans="1:45" ht="13.5" x14ac:dyDescent="0.4">
      <c r="A608" s="12">
        <f t="shared" si="49"/>
        <v>605</v>
      </c>
      <c r="B608" s="64" t="s">
        <v>1089</v>
      </c>
      <c r="C608" s="54">
        <v>44968</v>
      </c>
      <c r="D608" s="54">
        <v>44968</v>
      </c>
      <c r="E608" s="46" t="s">
        <v>451</v>
      </c>
      <c r="F608" s="51" t="s">
        <v>1133</v>
      </c>
      <c r="G608" s="51" t="s">
        <v>1290</v>
      </c>
      <c r="H608" s="51" t="s">
        <v>21</v>
      </c>
      <c r="I608" s="55" t="s">
        <v>1327</v>
      </c>
      <c r="J608" s="56">
        <v>1</v>
      </c>
      <c r="K608" s="51" t="s">
        <v>1292</v>
      </c>
      <c r="L608" s="58">
        <v>29237.5</v>
      </c>
      <c r="M608" s="50">
        <f>ROUND('FA Addition'!$L608*5%,0.1)</f>
        <v>1462</v>
      </c>
      <c r="N608" s="113" t="str">
        <f>_xlfn.XLOOKUP(_xlfn.CONCAT(E608,B608),'Year Wise Master Dep Approach'!F:F,'Year Wise Master Dep Approach'!D:D)</f>
        <v>WDV</v>
      </c>
      <c r="O608" s="113">
        <f>_xlfn.XLOOKUP(_xlfn.CONCAT(E608,B608),'Year Wise Master Dep Approach'!F:F,'Year Wise Master Dep Approach'!E:E)</f>
        <v>3</v>
      </c>
      <c r="P608" s="114">
        <f>IFERROR(IF('FA Addition'!$N608="WDV",1-('FA Addition'!$M608/'FA Addition'!$L608)^(1/'FA Addition'!$O608),1/'FA Addition'!$O608),0)</f>
        <v>0.63158635013168429</v>
      </c>
      <c r="Q608" s="122">
        <f>'FA Addition'!$P608*'FA Addition'!$O608</f>
        <v>1.8947590503950529</v>
      </c>
      <c r="R608" s="122"/>
      <c r="S608" s="116">
        <f>IF(AND(DATE(20&amp;LEFT(FAAddition[[#This Row],[FY]],2),4,1)&lt;$L$1+1,DATE(20&amp;LEFT(FAAddition[[#This Row],[FY]],2),4,1)&gt;$P$1-1),'FA Addition'!$J608,0)</f>
        <v>0</v>
      </c>
      <c r="U608" s="117">
        <f>S608*'FA Addition'!$L608/'FA Addition'!$J608</f>
        <v>0</v>
      </c>
      <c r="W608" s="116">
        <f>SUMIFS('FA Write off'!D:D,'FA Write off'!A:A,'FA Addition'!$A608,'FA Write off'!C:C,"&lt;"&amp;'FA Addition'!$P$1)</f>
        <v>0</v>
      </c>
      <c r="Y608" s="191">
        <f>IFERROR(W608/'FA Addition'!$J608*'FA Addition'!$L608,0)</f>
        <v>0</v>
      </c>
      <c r="AA608" s="116">
        <f>SUMIFS('FA Write off'!D:D,'FA Write off'!A:A,'FA Addition'!$A608,'FA Write off'!C:C,"&lt;"&amp;'FA Addition'!$L$1+1,'FA Write off'!C:C,"&gt;"&amp;'FA Addition'!$L$1-365)</f>
        <v>0</v>
      </c>
      <c r="AC608" s="118">
        <f>IFERROR(AA608/'FA Addition'!$J608*'FA Addition'!$L608,0)</f>
        <v>0</v>
      </c>
      <c r="AE608" s="117">
        <f>IF(AND('FA Addition'!$D608&lt;$P$1+1,U608=0),'FA Addition'!$L608,0)-Y608</f>
        <v>29237.5</v>
      </c>
      <c r="AF608" s="117">
        <f t="shared" si="45"/>
        <v>29237.5</v>
      </c>
      <c r="AG608" s="117">
        <f>MIN(MAX(+$P$1-'FA Addition'!$D608,0),365*'FA Addition'!$O608)</f>
        <v>49</v>
      </c>
      <c r="AH608" s="117">
        <f>MIN(MAX($L$1-'FA Addition'!$D608+1,0),365*'FA Addition'!$O608)</f>
        <v>415</v>
      </c>
      <c r="AI608" s="117" cm="1">
        <f t="array" ref="AI608">_xlfn.XLOOKUP(1,('FA Write off'!A:A='FA Addition'!$A608)*('FA Write off'!D:D=AA608),'FA Write off'!H:H,0,0)</f>
        <v>0</v>
      </c>
      <c r="AJ608" s="117">
        <f>IF(AC608&gt;0,MAX(IF('FA Addition'!$N608="SLM",($AC608-'FA Addition'!$M608)*'FA Addition'!$P608*AI608/365,(AC608-'FA Addition'!$M608)*(1-(1-'FA Addition'!$P608)^(AI608/365))),0),0)</f>
        <v>0</v>
      </c>
      <c r="AL608" s="117">
        <f>MAX(IF(AG608&gt;0,IF('FA Addition'!$N608="SLM",($AE608-'FA Addition'!$M608)*'FA Addition'!$P608*AG608/365,IFERROR(VDB(AE608,AE608*0.05,'FA Addition'!$O608,0,YEARFRAC('FA Addition'!$C608,$P$1-1,3),'FA Addition'!$Q608),FAAddition[[#This Row],[Original Cost (Rs)]]-FAAddition[[#This Row],[Salvage Value]])),0),0)</f>
        <v>2428.4062569172761</v>
      </c>
      <c r="AM608" s="119"/>
      <c r="AN608" s="117">
        <f>MAX(IF(AH608&gt;0,IF('FA Addition'!$N608="SLM",($AF608-'FA Addition'!$M608)*'FA Addition'!$P608*AH608/365,IFERROR(VDB(AF608,AF608*0.05,'FA Addition'!$O608,0,YEARFRAC('FA Addition'!$C608,$L$1,3),'FA Addition'!$Q608),FAAddition[[#This Row],[Original Cost (Rs)]]-FAAddition[[#This Row],[Salvage Value]])),0),0)</f>
        <v>19379.302633042276</v>
      </c>
      <c r="AO608" s="117">
        <f t="shared" si="48"/>
        <v>16950.896376125002</v>
      </c>
      <c r="AP608" s="206"/>
      <c r="AQ608" s="117">
        <f t="shared" si="46"/>
        <v>26809.093743082725</v>
      </c>
      <c r="AR608" s="120">
        <f t="shared" si="47"/>
        <v>9858.1973669577237</v>
      </c>
      <c r="AS608" s="121"/>
    </row>
    <row r="609" spans="1:45" ht="13.5" x14ac:dyDescent="0.4">
      <c r="A609" s="12">
        <f t="shared" si="49"/>
        <v>606</v>
      </c>
      <c r="B609" s="64" t="s">
        <v>1089</v>
      </c>
      <c r="C609" s="54">
        <v>44968</v>
      </c>
      <c r="D609" s="54">
        <v>44968</v>
      </c>
      <c r="E609" s="46" t="s">
        <v>451</v>
      </c>
      <c r="F609" s="51" t="s">
        <v>1133</v>
      </c>
      <c r="G609" s="51" t="s">
        <v>1290</v>
      </c>
      <c r="H609" s="51" t="s">
        <v>21</v>
      </c>
      <c r="I609" s="55" t="s">
        <v>1327</v>
      </c>
      <c r="J609" s="56">
        <v>1</v>
      </c>
      <c r="K609" s="51" t="s">
        <v>1292</v>
      </c>
      <c r="L609" s="58">
        <v>29237.5</v>
      </c>
      <c r="M609" s="50">
        <f>ROUND('FA Addition'!$L609*5%,0.1)</f>
        <v>1462</v>
      </c>
      <c r="N609" s="113" t="str">
        <f>_xlfn.XLOOKUP(_xlfn.CONCAT(E609,B609),'Year Wise Master Dep Approach'!F:F,'Year Wise Master Dep Approach'!D:D)</f>
        <v>WDV</v>
      </c>
      <c r="O609" s="113">
        <f>_xlfn.XLOOKUP(_xlfn.CONCAT(E609,B609),'Year Wise Master Dep Approach'!F:F,'Year Wise Master Dep Approach'!E:E)</f>
        <v>3</v>
      </c>
      <c r="P609" s="114">
        <f>IFERROR(IF('FA Addition'!$N609="WDV",1-('FA Addition'!$M609/'FA Addition'!$L609)^(1/'FA Addition'!$O609),1/'FA Addition'!$O609),0)</f>
        <v>0.63158635013168429</v>
      </c>
      <c r="Q609" s="122">
        <f>'FA Addition'!$P609*'FA Addition'!$O609</f>
        <v>1.8947590503950529</v>
      </c>
      <c r="R609" s="122"/>
      <c r="S609" s="116">
        <f>IF(AND(DATE(20&amp;LEFT(FAAddition[[#This Row],[FY]],2),4,1)&lt;$L$1+1,DATE(20&amp;LEFT(FAAddition[[#This Row],[FY]],2),4,1)&gt;$P$1-1),'FA Addition'!$J609,0)</f>
        <v>0</v>
      </c>
      <c r="U609" s="117">
        <f>S609*'FA Addition'!$L609/'FA Addition'!$J609</f>
        <v>0</v>
      </c>
      <c r="W609" s="116">
        <f>SUMIFS('FA Write off'!D:D,'FA Write off'!A:A,'FA Addition'!$A609,'FA Write off'!C:C,"&lt;"&amp;'FA Addition'!$P$1)</f>
        <v>0</v>
      </c>
      <c r="Y609" s="191">
        <f>IFERROR(W609/'FA Addition'!$J609*'FA Addition'!$L609,0)</f>
        <v>0</v>
      </c>
      <c r="AA609" s="116">
        <f>SUMIFS('FA Write off'!D:D,'FA Write off'!A:A,'FA Addition'!$A609,'FA Write off'!C:C,"&lt;"&amp;'FA Addition'!$L$1+1,'FA Write off'!C:C,"&gt;"&amp;'FA Addition'!$L$1-365)</f>
        <v>0</v>
      </c>
      <c r="AC609" s="118">
        <f>IFERROR(AA609/'FA Addition'!$J609*'FA Addition'!$L609,0)</f>
        <v>0</v>
      </c>
      <c r="AE609" s="117">
        <f>IF(AND('FA Addition'!$D609&lt;$P$1+1,U609=0),'FA Addition'!$L609,0)-Y609</f>
        <v>29237.5</v>
      </c>
      <c r="AF609" s="117">
        <f t="shared" si="45"/>
        <v>29237.5</v>
      </c>
      <c r="AG609" s="117">
        <f>MIN(MAX(+$P$1-'FA Addition'!$D609,0),365*'FA Addition'!$O609)</f>
        <v>49</v>
      </c>
      <c r="AH609" s="117">
        <f>MIN(MAX($L$1-'FA Addition'!$D609+1,0),365*'FA Addition'!$O609)</f>
        <v>415</v>
      </c>
      <c r="AI609" s="117" cm="1">
        <f t="array" ref="AI609">_xlfn.XLOOKUP(1,('FA Write off'!A:A='FA Addition'!$A609)*('FA Write off'!D:D=AA609),'FA Write off'!H:H,0,0)</f>
        <v>0</v>
      </c>
      <c r="AJ609" s="117">
        <f>IF(AC609&gt;0,MAX(IF('FA Addition'!$N609="SLM",($AC609-'FA Addition'!$M609)*'FA Addition'!$P609*AI609/365,(AC609-'FA Addition'!$M609)*(1-(1-'FA Addition'!$P609)^(AI609/365))),0),0)</f>
        <v>0</v>
      </c>
      <c r="AL609" s="117">
        <f>MAX(IF(AG609&gt;0,IF('FA Addition'!$N609="SLM",($AE609-'FA Addition'!$M609)*'FA Addition'!$P609*AG609/365,IFERROR(VDB(AE609,AE609*0.05,'FA Addition'!$O609,0,YEARFRAC('FA Addition'!$C609,$P$1-1,3),'FA Addition'!$Q609),FAAddition[[#This Row],[Original Cost (Rs)]]-FAAddition[[#This Row],[Salvage Value]])),0),0)</f>
        <v>2428.4062569172761</v>
      </c>
      <c r="AM609" s="119"/>
      <c r="AN609" s="117">
        <f>MAX(IF(AH609&gt;0,IF('FA Addition'!$N609="SLM",($AF609-'FA Addition'!$M609)*'FA Addition'!$P609*AH609/365,IFERROR(VDB(AF609,AF609*0.05,'FA Addition'!$O609,0,YEARFRAC('FA Addition'!$C609,$L$1,3),'FA Addition'!$Q609),FAAddition[[#This Row],[Original Cost (Rs)]]-FAAddition[[#This Row],[Salvage Value]])),0),0)</f>
        <v>19379.302633042276</v>
      </c>
      <c r="AO609" s="117">
        <f t="shared" si="48"/>
        <v>16950.896376125002</v>
      </c>
      <c r="AP609" s="206"/>
      <c r="AQ609" s="117">
        <f t="shared" si="46"/>
        <v>26809.093743082725</v>
      </c>
      <c r="AR609" s="120">
        <f t="shared" si="47"/>
        <v>9858.1973669577237</v>
      </c>
      <c r="AS609" s="121"/>
    </row>
    <row r="610" spans="1:45" ht="13.5" x14ac:dyDescent="0.4">
      <c r="A610" s="12">
        <f t="shared" si="49"/>
        <v>607</v>
      </c>
      <c r="B610" s="64" t="s">
        <v>1089</v>
      </c>
      <c r="C610" s="54">
        <v>44968</v>
      </c>
      <c r="D610" s="54">
        <v>44968</v>
      </c>
      <c r="E610" s="46" t="s">
        <v>451</v>
      </c>
      <c r="F610" s="51" t="s">
        <v>1133</v>
      </c>
      <c r="G610" s="51" t="s">
        <v>1290</v>
      </c>
      <c r="H610" s="51" t="s">
        <v>21</v>
      </c>
      <c r="I610" s="55" t="s">
        <v>1327</v>
      </c>
      <c r="J610" s="56">
        <v>1</v>
      </c>
      <c r="K610" s="51" t="s">
        <v>1292</v>
      </c>
      <c r="L610" s="58">
        <v>29237.5</v>
      </c>
      <c r="M610" s="50">
        <f>ROUND('FA Addition'!$L610*5%,0.1)</f>
        <v>1462</v>
      </c>
      <c r="N610" s="113" t="str">
        <f>_xlfn.XLOOKUP(_xlfn.CONCAT(E610,B610),'Year Wise Master Dep Approach'!F:F,'Year Wise Master Dep Approach'!D:D)</f>
        <v>WDV</v>
      </c>
      <c r="O610" s="113">
        <f>_xlfn.XLOOKUP(_xlfn.CONCAT(E610,B610),'Year Wise Master Dep Approach'!F:F,'Year Wise Master Dep Approach'!E:E)</f>
        <v>3</v>
      </c>
      <c r="P610" s="114">
        <f>IFERROR(IF('FA Addition'!$N610="WDV",1-('FA Addition'!$M610/'FA Addition'!$L610)^(1/'FA Addition'!$O610),1/'FA Addition'!$O610),0)</f>
        <v>0.63158635013168429</v>
      </c>
      <c r="Q610" s="122">
        <f>'FA Addition'!$P610*'FA Addition'!$O610</f>
        <v>1.8947590503950529</v>
      </c>
      <c r="R610" s="122"/>
      <c r="S610" s="116">
        <f>IF(AND(DATE(20&amp;LEFT(FAAddition[[#This Row],[FY]],2),4,1)&lt;$L$1+1,DATE(20&amp;LEFT(FAAddition[[#This Row],[FY]],2),4,1)&gt;$P$1-1),'FA Addition'!$J610,0)</f>
        <v>0</v>
      </c>
      <c r="U610" s="117">
        <f>S610*'FA Addition'!$L610/'FA Addition'!$J610</f>
        <v>0</v>
      </c>
      <c r="W610" s="116">
        <f>SUMIFS('FA Write off'!D:D,'FA Write off'!A:A,'FA Addition'!$A610,'FA Write off'!C:C,"&lt;"&amp;'FA Addition'!$P$1)</f>
        <v>0</v>
      </c>
      <c r="Y610" s="191">
        <f>IFERROR(W610/'FA Addition'!$J610*'FA Addition'!$L610,0)</f>
        <v>0</v>
      </c>
      <c r="AA610" s="116">
        <f>SUMIFS('FA Write off'!D:D,'FA Write off'!A:A,'FA Addition'!$A610,'FA Write off'!C:C,"&lt;"&amp;'FA Addition'!$L$1+1,'FA Write off'!C:C,"&gt;"&amp;'FA Addition'!$L$1-365)</f>
        <v>0</v>
      </c>
      <c r="AC610" s="118">
        <f>IFERROR(AA610/'FA Addition'!$J610*'FA Addition'!$L610,0)</f>
        <v>0</v>
      </c>
      <c r="AE610" s="117">
        <f>IF(AND('FA Addition'!$D610&lt;$P$1+1,U610=0),'FA Addition'!$L610,0)-Y610</f>
        <v>29237.5</v>
      </c>
      <c r="AF610" s="117">
        <f t="shared" si="45"/>
        <v>29237.5</v>
      </c>
      <c r="AG610" s="117">
        <f>MIN(MAX(+$P$1-'FA Addition'!$D610,0),365*'FA Addition'!$O610)</f>
        <v>49</v>
      </c>
      <c r="AH610" s="117">
        <f>MIN(MAX($L$1-'FA Addition'!$D610+1,0),365*'FA Addition'!$O610)</f>
        <v>415</v>
      </c>
      <c r="AI610" s="117" cm="1">
        <f t="array" ref="AI610">_xlfn.XLOOKUP(1,('FA Write off'!A:A='FA Addition'!$A610)*('FA Write off'!D:D=AA610),'FA Write off'!H:H,0,0)</f>
        <v>0</v>
      </c>
      <c r="AJ610" s="117">
        <f>IF(AC610&gt;0,MAX(IF('FA Addition'!$N610="SLM",($AC610-'FA Addition'!$M610)*'FA Addition'!$P610*AI610/365,(AC610-'FA Addition'!$M610)*(1-(1-'FA Addition'!$P610)^(AI610/365))),0),0)</f>
        <v>0</v>
      </c>
      <c r="AL610" s="117">
        <f>MAX(IF(AG610&gt;0,IF('FA Addition'!$N610="SLM",($AE610-'FA Addition'!$M610)*'FA Addition'!$P610*AG610/365,IFERROR(VDB(AE610,AE610*0.05,'FA Addition'!$O610,0,YEARFRAC('FA Addition'!$C610,$P$1-1,3),'FA Addition'!$Q610),FAAddition[[#This Row],[Original Cost (Rs)]]-FAAddition[[#This Row],[Salvage Value]])),0),0)</f>
        <v>2428.4062569172761</v>
      </c>
      <c r="AM610" s="119"/>
      <c r="AN610" s="117">
        <f>MAX(IF(AH610&gt;0,IF('FA Addition'!$N610="SLM",($AF610-'FA Addition'!$M610)*'FA Addition'!$P610*AH610/365,IFERROR(VDB(AF610,AF610*0.05,'FA Addition'!$O610,0,YEARFRAC('FA Addition'!$C610,$L$1,3),'FA Addition'!$Q610),FAAddition[[#This Row],[Original Cost (Rs)]]-FAAddition[[#This Row],[Salvage Value]])),0),0)</f>
        <v>19379.302633042276</v>
      </c>
      <c r="AO610" s="117">
        <f t="shared" si="48"/>
        <v>16950.896376125002</v>
      </c>
      <c r="AP610" s="206"/>
      <c r="AQ610" s="117">
        <f t="shared" si="46"/>
        <v>26809.093743082725</v>
      </c>
      <c r="AR610" s="120">
        <f t="shared" si="47"/>
        <v>9858.1973669577237</v>
      </c>
      <c r="AS610" s="121"/>
    </row>
    <row r="611" spans="1:45" ht="13.5" x14ac:dyDescent="0.4">
      <c r="A611" s="12">
        <f t="shared" si="49"/>
        <v>608</v>
      </c>
      <c r="B611" s="64" t="s">
        <v>1089</v>
      </c>
      <c r="C611" s="54">
        <v>44968</v>
      </c>
      <c r="D611" s="54">
        <v>44968</v>
      </c>
      <c r="E611" s="46" t="s">
        <v>451</v>
      </c>
      <c r="F611" s="51" t="s">
        <v>1133</v>
      </c>
      <c r="G611" s="51" t="s">
        <v>1290</v>
      </c>
      <c r="H611" s="51" t="s">
        <v>21</v>
      </c>
      <c r="I611" s="55" t="s">
        <v>1327</v>
      </c>
      <c r="J611" s="56">
        <v>1</v>
      </c>
      <c r="K611" s="51" t="s">
        <v>1292</v>
      </c>
      <c r="L611" s="58">
        <v>29237.5</v>
      </c>
      <c r="M611" s="50">
        <f>ROUND('FA Addition'!$L611*5%,0.1)</f>
        <v>1462</v>
      </c>
      <c r="N611" s="113" t="str">
        <f>_xlfn.XLOOKUP(_xlfn.CONCAT(E611,B611),'Year Wise Master Dep Approach'!F:F,'Year Wise Master Dep Approach'!D:D)</f>
        <v>WDV</v>
      </c>
      <c r="O611" s="113">
        <f>_xlfn.XLOOKUP(_xlfn.CONCAT(E611,B611),'Year Wise Master Dep Approach'!F:F,'Year Wise Master Dep Approach'!E:E)</f>
        <v>3</v>
      </c>
      <c r="P611" s="114">
        <f>IFERROR(IF('FA Addition'!$N611="WDV",1-('FA Addition'!$M611/'FA Addition'!$L611)^(1/'FA Addition'!$O611),1/'FA Addition'!$O611),0)</f>
        <v>0.63158635013168429</v>
      </c>
      <c r="Q611" s="122">
        <f>'FA Addition'!$P611*'FA Addition'!$O611</f>
        <v>1.8947590503950529</v>
      </c>
      <c r="R611" s="122"/>
      <c r="S611" s="116">
        <f>IF(AND(DATE(20&amp;LEFT(FAAddition[[#This Row],[FY]],2),4,1)&lt;$L$1+1,DATE(20&amp;LEFT(FAAddition[[#This Row],[FY]],2),4,1)&gt;$P$1-1),'FA Addition'!$J611,0)</f>
        <v>0</v>
      </c>
      <c r="U611" s="117">
        <f>S611*'FA Addition'!$L611/'FA Addition'!$J611</f>
        <v>0</v>
      </c>
      <c r="W611" s="116">
        <f>SUMIFS('FA Write off'!D:D,'FA Write off'!A:A,'FA Addition'!$A611,'FA Write off'!C:C,"&lt;"&amp;'FA Addition'!$P$1)</f>
        <v>0</v>
      </c>
      <c r="Y611" s="191">
        <f>IFERROR(W611/'FA Addition'!$J611*'FA Addition'!$L611,0)</f>
        <v>0</v>
      </c>
      <c r="AA611" s="116">
        <f>SUMIFS('FA Write off'!D:D,'FA Write off'!A:A,'FA Addition'!$A611,'FA Write off'!C:C,"&lt;"&amp;'FA Addition'!$L$1+1,'FA Write off'!C:C,"&gt;"&amp;'FA Addition'!$L$1-365)</f>
        <v>0</v>
      </c>
      <c r="AC611" s="118">
        <f>IFERROR(AA611/'FA Addition'!$J611*'FA Addition'!$L611,0)</f>
        <v>0</v>
      </c>
      <c r="AE611" s="117">
        <f>IF(AND('FA Addition'!$D611&lt;$P$1+1,U611=0),'FA Addition'!$L611,0)-Y611</f>
        <v>29237.5</v>
      </c>
      <c r="AF611" s="117">
        <f t="shared" si="45"/>
        <v>29237.5</v>
      </c>
      <c r="AG611" s="117">
        <f>MIN(MAX(+$P$1-'FA Addition'!$D611,0),365*'FA Addition'!$O611)</f>
        <v>49</v>
      </c>
      <c r="AH611" s="117">
        <f>MIN(MAX($L$1-'FA Addition'!$D611+1,0),365*'FA Addition'!$O611)</f>
        <v>415</v>
      </c>
      <c r="AI611" s="117" cm="1">
        <f t="array" ref="AI611">_xlfn.XLOOKUP(1,('FA Write off'!A:A='FA Addition'!$A611)*('FA Write off'!D:D=AA611),'FA Write off'!H:H,0,0)</f>
        <v>0</v>
      </c>
      <c r="AJ611" s="117">
        <f>IF(AC611&gt;0,MAX(IF('FA Addition'!$N611="SLM",($AC611-'FA Addition'!$M611)*'FA Addition'!$P611*AI611/365,(AC611-'FA Addition'!$M611)*(1-(1-'FA Addition'!$P611)^(AI611/365))),0),0)</f>
        <v>0</v>
      </c>
      <c r="AL611" s="117">
        <f>MAX(IF(AG611&gt;0,IF('FA Addition'!$N611="SLM",($AE611-'FA Addition'!$M611)*'FA Addition'!$P611*AG611/365,IFERROR(VDB(AE611,AE611*0.05,'FA Addition'!$O611,0,YEARFRAC('FA Addition'!$C611,$P$1-1,3),'FA Addition'!$Q611),FAAddition[[#This Row],[Original Cost (Rs)]]-FAAddition[[#This Row],[Salvage Value]])),0),0)</f>
        <v>2428.4062569172761</v>
      </c>
      <c r="AM611" s="119"/>
      <c r="AN611" s="117">
        <f>MAX(IF(AH611&gt;0,IF('FA Addition'!$N611="SLM",($AF611-'FA Addition'!$M611)*'FA Addition'!$P611*AH611/365,IFERROR(VDB(AF611,AF611*0.05,'FA Addition'!$O611,0,YEARFRAC('FA Addition'!$C611,$L$1,3),'FA Addition'!$Q611),FAAddition[[#This Row],[Original Cost (Rs)]]-FAAddition[[#This Row],[Salvage Value]])),0),0)</f>
        <v>19379.302633042276</v>
      </c>
      <c r="AO611" s="117">
        <f t="shared" si="48"/>
        <v>16950.896376125002</v>
      </c>
      <c r="AP611" s="206"/>
      <c r="AQ611" s="117">
        <f t="shared" si="46"/>
        <v>26809.093743082725</v>
      </c>
      <c r="AR611" s="120">
        <f t="shared" si="47"/>
        <v>9858.1973669577237</v>
      </c>
      <c r="AS611" s="121"/>
    </row>
    <row r="612" spans="1:45" ht="13.5" x14ac:dyDescent="0.4">
      <c r="A612" s="12">
        <f t="shared" si="49"/>
        <v>609</v>
      </c>
      <c r="B612" s="64" t="s">
        <v>1089</v>
      </c>
      <c r="C612" s="54">
        <v>44978</v>
      </c>
      <c r="D612" s="54">
        <v>44978</v>
      </c>
      <c r="E612" s="46" t="s">
        <v>207</v>
      </c>
      <c r="F612" s="51" t="s">
        <v>1116</v>
      </c>
      <c r="G612" s="51" t="s">
        <v>1290</v>
      </c>
      <c r="H612" s="51" t="s">
        <v>207</v>
      </c>
      <c r="I612" s="55" t="s">
        <v>1328</v>
      </c>
      <c r="J612" s="56">
        <v>1</v>
      </c>
      <c r="K612" s="51" t="s">
        <v>1311</v>
      </c>
      <c r="L612" s="58">
        <v>7627</v>
      </c>
      <c r="M612" s="50">
        <f>ROUND('FA Addition'!$L612*5%,0.1)</f>
        <v>381</v>
      </c>
      <c r="N612" s="113" t="str">
        <f>_xlfn.XLOOKUP(_xlfn.CONCAT(E612,B612),'Year Wise Master Dep Approach'!F:F,'Year Wise Master Dep Approach'!D:D)</f>
        <v>WDV</v>
      </c>
      <c r="O612" s="113">
        <f>_xlfn.XLOOKUP(_xlfn.CONCAT(E612,B612),'Year Wise Master Dep Approach'!F:F,'Year Wise Master Dep Approach'!E:E)</f>
        <v>5</v>
      </c>
      <c r="P612" s="114">
        <f>IFERROR(IF('FA Addition'!$N612="WDV",1-('FA Addition'!$M612/'FA Addition'!$L612)^(1/'FA Addition'!$O612),1/'FA Addition'!$O612),0)</f>
        <v>0.45082059039570399</v>
      </c>
      <c r="Q612" s="122">
        <f>'FA Addition'!$P612*'FA Addition'!$O612</f>
        <v>2.2541029519785201</v>
      </c>
      <c r="R612" s="122"/>
      <c r="S612" s="116">
        <f>IF(AND(DATE(20&amp;LEFT(FAAddition[[#This Row],[FY]],2),4,1)&lt;$L$1+1,DATE(20&amp;LEFT(FAAddition[[#This Row],[FY]],2),4,1)&gt;$P$1-1),'FA Addition'!$J612,0)</f>
        <v>0</v>
      </c>
      <c r="U612" s="117">
        <f>S612*'FA Addition'!$L612/'FA Addition'!$J612</f>
        <v>0</v>
      </c>
      <c r="W612" s="116">
        <f>SUMIFS('FA Write off'!D:D,'FA Write off'!A:A,'FA Addition'!$A612,'FA Write off'!C:C,"&lt;"&amp;'FA Addition'!$P$1)</f>
        <v>0</v>
      </c>
      <c r="Y612" s="191">
        <f>IFERROR(W612/'FA Addition'!$J612*'FA Addition'!$L612,0)</f>
        <v>0</v>
      </c>
      <c r="AA612" s="116">
        <f>SUMIFS('FA Write off'!D:D,'FA Write off'!A:A,'FA Addition'!$A612,'FA Write off'!C:C,"&lt;"&amp;'FA Addition'!$L$1+1,'FA Write off'!C:C,"&gt;"&amp;'FA Addition'!$L$1-365)</f>
        <v>0</v>
      </c>
      <c r="AC612" s="118">
        <f>IFERROR(AA612/'FA Addition'!$J612*'FA Addition'!$L612,0)</f>
        <v>0</v>
      </c>
      <c r="AE612" s="117">
        <f>IF(AND('FA Addition'!$D612&lt;$P$1+1,U612=0),'FA Addition'!$L612,0)-Y612</f>
        <v>7627</v>
      </c>
      <c r="AF612" s="117">
        <f t="shared" si="45"/>
        <v>7627</v>
      </c>
      <c r="AG612" s="117">
        <f>MIN(MAX(+$P$1-'FA Addition'!$D612,0),365*'FA Addition'!$O612)</f>
        <v>39</v>
      </c>
      <c r="AH612" s="117">
        <f>MIN(MAX($L$1-'FA Addition'!$D612+1,0),365*'FA Addition'!$O612)</f>
        <v>405</v>
      </c>
      <c r="AI612" s="117" cm="1">
        <f t="array" ref="AI612">_xlfn.XLOOKUP(1,('FA Write off'!A:A='FA Addition'!$A612)*('FA Write off'!D:D=AA612),'FA Write off'!H:H,0,0)</f>
        <v>0</v>
      </c>
      <c r="AJ612" s="117">
        <f>IF(AC612&gt;0,MAX(IF('FA Addition'!$N612="SLM",($AC612-'FA Addition'!$M612)*'FA Addition'!$P612*AI612/365,(AC612-'FA Addition'!$M612)*(1-(1-'FA Addition'!$P612)^(AI612/365))),0),0)</f>
        <v>0</v>
      </c>
      <c r="AL612" s="117">
        <f>MAX(IF(AG612&gt;0,IF('FA Addition'!$N612="SLM",($AE612-'FA Addition'!$M612)*'FA Addition'!$P612*AG612/365,IFERROR(VDB(AE612,AE612*0.05,'FA Addition'!$O612,0,YEARFRAC('FA Addition'!$C612,$P$1-1,3),'FA Addition'!$Q612),FAAddition[[#This Row],[Original Cost (Rs)]]-FAAddition[[#This Row],[Salvage Value]])),0),0)</f>
        <v>357.9713107726721</v>
      </c>
      <c r="AM612" s="119"/>
      <c r="AN612" s="117">
        <f>MAX(IF(AH612&gt;0,IF('FA Addition'!$N612="SLM",($AF612-'FA Addition'!$M612)*'FA Addition'!$P612*AH612/365,IFERROR(VDB(AF612,AF612*0.05,'FA Addition'!$O612,0,YEARFRAC('FA Addition'!$C612,$L$1,3),'FA Addition'!$Q612),FAAddition[[#This Row],[Original Cost (Rs)]]-FAAddition[[#This Row],[Salvage Value]])),0),0)</f>
        <v>3640.1725495562205</v>
      </c>
      <c r="AO612" s="117">
        <f t="shared" si="48"/>
        <v>3282.2012387835484</v>
      </c>
      <c r="AP612" s="206"/>
      <c r="AQ612" s="117">
        <f t="shared" si="46"/>
        <v>7269.028689227328</v>
      </c>
      <c r="AR612" s="120">
        <f t="shared" si="47"/>
        <v>3986.8274504437795</v>
      </c>
      <c r="AS612" s="121"/>
    </row>
    <row r="613" spans="1:45" ht="13.5" x14ac:dyDescent="0.4">
      <c r="A613" s="12">
        <f t="shared" si="49"/>
        <v>610</v>
      </c>
      <c r="B613" s="64" t="s">
        <v>1089</v>
      </c>
      <c r="C613" s="54">
        <v>44978</v>
      </c>
      <c r="D613" s="54">
        <v>44978</v>
      </c>
      <c r="E613" s="46" t="s">
        <v>207</v>
      </c>
      <c r="F613" s="51" t="s">
        <v>1116</v>
      </c>
      <c r="G613" s="51" t="s">
        <v>1290</v>
      </c>
      <c r="H613" s="51" t="s">
        <v>207</v>
      </c>
      <c r="I613" s="55" t="s">
        <v>1328</v>
      </c>
      <c r="J613" s="56">
        <v>1</v>
      </c>
      <c r="K613" s="51" t="s">
        <v>1311</v>
      </c>
      <c r="L613" s="58">
        <v>7627</v>
      </c>
      <c r="M613" s="50">
        <f>ROUND('FA Addition'!$L613*5%,0.1)</f>
        <v>381</v>
      </c>
      <c r="N613" s="113" t="str">
        <f>_xlfn.XLOOKUP(_xlfn.CONCAT(E613,B613),'Year Wise Master Dep Approach'!F:F,'Year Wise Master Dep Approach'!D:D)</f>
        <v>WDV</v>
      </c>
      <c r="O613" s="113">
        <f>_xlfn.XLOOKUP(_xlfn.CONCAT(E613,B613),'Year Wise Master Dep Approach'!F:F,'Year Wise Master Dep Approach'!E:E)</f>
        <v>5</v>
      </c>
      <c r="P613" s="114">
        <f>IFERROR(IF('FA Addition'!$N613="WDV",1-('FA Addition'!$M613/'FA Addition'!$L613)^(1/'FA Addition'!$O613),1/'FA Addition'!$O613),0)</f>
        <v>0.45082059039570399</v>
      </c>
      <c r="Q613" s="122">
        <f>'FA Addition'!$P613*'FA Addition'!$O613</f>
        <v>2.2541029519785201</v>
      </c>
      <c r="R613" s="122"/>
      <c r="S613" s="116">
        <f>IF(AND(DATE(20&amp;LEFT(FAAddition[[#This Row],[FY]],2),4,1)&lt;$L$1+1,DATE(20&amp;LEFT(FAAddition[[#This Row],[FY]],2),4,1)&gt;$P$1-1),'FA Addition'!$J613,0)</f>
        <v>0</v>
      </c>
      <c r="U613" s="117">
        <f>S613*'FA Addition'!$L613/'FA Addition'!$J613</f>
        <v>0</v>
      </c>
      <c r="W613" s="116">
        <f>SUMIFS('FA Write off'!D:D,'FA Write off'!A:A,'FA Addition'!$A613,'FA Write off'!C:C,"&lt;"&amp;'FA Addition'!$P$1)</f>
        <v>0</v>
      </c>
      <c r="Y613" s="191">
        <f>IFERROR(W613/'FA Addition'!$J613*'FA Addition'!$L613,0)</f>
        <v>0</v>
      </c>
      <c r="AA613" s="116">
        <f>SUMIFS('FA Write off'!D:D,'FA Write off'!A:A,'FA Addition'!$A613,'FA Write off'!C:C,"&lt;"&amp;'FA Addition'!$L$1+1,'FA Write off'!C:C,"&gt;"&amp;'FA Addition'!$L$1-365)</f>
        <v>0</v>
      </c>
      <c r="AC613" s="118">
        <f>IFERROR(AA613/'FA Addition'!$J613*'FA Addition'!$L613,0)</f>
        <v>0</v>
      </c>
      <c r="AE613" s="117">
        <f>IF(AND('FA Addition'!$D613&lt;$P$1+1,U613=0),'FA Addition'!$L613,0)-Y613</f>
        <v>7627</v>
      </c>
      <c r="AF613" s="117">
        <f t="shared" si="45"/>
        <v>7627</v>
      </c>
      <c r="AG613" s="117">
        <f>MIN(MAX(+$P$1-'FA Addition'!$D613,0),365*'FA Addition'!$O613)</f>
        <v>39</v>
      </c>
      <c r="AH613" s="117">
        <f>MIN(MAX($L$1-'FA Addition'!$D613+1,0),365*'FA Addition'!$O613)</f>
        <v>405</v>
      </c>
      <c r="AI613" s="117" cm="1">
        <f t="array" ref="AI613">_xlfn.XLOOKUP(1,('FA Write off'!A:A='FA Addition'!$A613)*('FA Write off'!D:D=AA613),'FA Write off'!H:H,0,0)</f>
        <v>0</v>
      </c>
      <c r="AJ613" s="117">
        <f>IF(AC613&gt;0,MAX(IF('FA Addition'!$N613="SLM",($AC613-'FA Addition'!$M613)*'FA Addition'!$P613*AI613/365,(AC613-'FA Addition'!$M613)*(1-(1-'FA Addition'!$P613)^(AI613/365))),0),0)</f>
        <v>0</v>
      </c>
      <c r="AL613" s="117">
        <f>MAX(IF(AG613&gt;0,IF('FA Addition'!$N613="SLM",($AE613-'FA Addition'!$M613)*'FA Addition'!$P613*AG613/365,IFERROR(VDB(AE613,AE613*0.05,'FA Addition'!$O613,0,YEARFRAC('FA Addition'!$C613,$P$1-1,3),'FA Addition'!$Q613),FAAddition[[#This Row],[Original Cost (Rs)]]-FAAddition[[#This Row],[Salvage Value]])),0),0)</f>
        <v>357.9713107726721</v>
      </c>
      <c r="AM613" s="119"/>
      <c r="AN613" s="117">
        <f>MAX(IF(AH613&gt;0,IF('FA Addition'!$N613="SLM",($AF613-'FA Addition'!$M613)*'FA Addition'!$P613*AH613/365,IFERROR(VDB(AF613,AF613*0.05,'FA Addition'!$O613,0,YEARFRAC('FA Addition'!$C613,$L$1,3),'FA Addition'!$Q613),FAAddition[[#This Row],[Original Cost (Rs)]]-FAAddition[[#This Row],[Salvage Value]])),0),0)</f>
        <v>3640.1725495562205</v>
      </c>
      <c r="AO613" s="117">
        <f t="shared" si="48"/>
        <v>3282.2012387835484</v>
      </c>
      <c r="AP613" s="206"/>
      <c r="AQ613" s="117">
        <f t="shared" si="46"/>
        <v>7269.028689227328</v>
      </c>
      <c r="AR613" s="120">
        <f t="shared" si="47"/>
        <v>3986.8274504437795</v>
      </c>
      <c r="AS613" s="121"/>
    </row>
    <row r="614" spans="1:45" ht="13.5" x14ac:dyDescent="0.4">
      <c r="A614" s="12">
        <f t="shared" si="49"/>
        <v>611</v>
      </c>
      <c r="B614" s="64" t="s">
        <v>1089</v>
      </c>
      <c r="C614" s="54">
        <v>44986</v>
      </c>
      <c r="D614" s="54">
        <v>44986</v>
      </c>
      <c r="E614" s="46" t="s">
        <v>451</v>
      </c>
      <c r="F614" s="51" t="s">
        <v>1133</v>
      </c>
      <c r="G614" s="51" t="s">
        <v>1329</v>
      </c>
      <c r="H614" s="51" t="s">
        <v>151</v>
      </c>
      <c r="I614" s="55" t="s">
        <v>1330</v>
      </c>
      <c r="J614" s="56">
        <v>1</v>
      </c>
      <c r="K614" s="51" t="s">
        <v>1331</v>
      </c>
      <c r="L614" s="58">
        <v>18600</v>
      </c>
      <c r="M614" s="50">
        <f>ROUND('FA Addition'!$L614*5%,0.1)</f>
        <v>930</v>
      </c>
      <c r="N614" s="113" t="str">
        <f>_xlfn.XLOOKUP(_xlfn.CONCAT(E614,B614),'Year Wise Master Dep Approach'!F:F,'Year Wise Master Dep Approach'!D:D)</f>
        <v>WDV</v>
      </c>
      <c r="O614" s="113">
        <f>_xlfn.XLOOKUP(_xlfn.CONCAT(E614,B614),'Year Wise Master Dep Approach'!F:F,'Year Wise Master Dep Approach'!E:E)</f>
        <v>3</v>
      </c>
      <c r="P614" s="114">
        <f>IFERROR(IF('FA Addition'!$N614="WDV",1-('FA Addition'!$M614/'FA Addition'!$L614)^(1/'FA Addition'!$O614),1/'FA Addition'!$O614),0)</f>
        <v>0.63159685013596123</v>
      </c>
      <c r="Q614" s="122">
        <f>'FA Addition'!$P614*'FA Addition'!$O614</f>
        <v>1.8947905504078837</v>
      </c>
      <c r="R614" s="122"/>
      <c r="S614" s="116">
        <f>IF(AND(DATE(20&amp;LEFT(FAAddition[[#This Row],[FY]],2),4,1)&lt;$L$1+1,DATE(20&amp;LEFT(FAAddition[[#This Row],[FY]],2),4,1)&gt;$P$1-1),'FA Addition'!$J614,0)</f>
        <v>0</v>
      </c>
      <c r="U614" s="117">
        <f>S614*'FA Addition'!$L614/'FA Addition'!$J614</f>
        <v>0</v>
      </c>
      <c r="W614" s="116">
        <f>SUMIFS('FA Write off'!D:D,'FA Write off'!A:A,'FA Addition'!$A614,'FA Write off'!C:C,"&lt;"&amp;'FA Addition'!$P$1)</f>
        <v>0</v>
      </c>
      <c r="Y614" s="191">
        <f>IFERROR(W614/'FA Addition'!$J614*'FA Addition'!$L614,0)</f>
        <v>0</v>
      </c>
      <c r="AA614" s="116">
        <f>SUMIFS('FA Write off'!D:D,'FA Write off'!A:A,'FA Addition'!$A614,'FA Write off'!C:C,"&lt;"&amp;'FA Addition'!$L$1+1,'FA Write off'!C:C,"&gt;"&amp;'FA Addition'!$L$1-365)</f>
        <v>0</v>
      </c>
      <c r="AC614" s="118">
        <f>IFERROR(AA614/'FA Addition'!$J614*'FA Addition'!$L614,0)</f>
        <v>0</v>
      </c>
      <c r="AE614" s="117">
        <f>IF(AND('FA Addition'!$D614&lt;$P$1+1,U614=0),'FA Addition'!$L614,0)-Y614</f>
        <v>18600</v>
      </c>
      <c r="AF614" s="117">
        <f t="shared" si="45"/>
        <v>18600</v>
      </c>
      <c r="AG614" s="117">
        <f>MIN(MAX(+$P$1-'FA Addition'!$D614,0),365*'FA Addition'!$O614)</f>
        <v>31</v>
      </c>
      <c r="AH614" s="117">
        <f>MIN(MAX($L$1-'FA Addition'!$D614+1,0),365*'FA Addition'!$O614)</f>
        <v>397</v>
      </c>
      <c r="AI614" s="117" cm="1">
        <f t="array" ref="AI614">_xlfn.XLOOKUP(1,('FA Write off'!A:A='FA Addition'!$A614)*('FA Write off'!D:D=AA614),'FA Write off'!H:H,0,0)</f>
        <v>0</v>
      </c>
      <c r="AJ614" s="117">
        <f>IF(AC614&gt;0,MAX(IF('FA Addition'!$N614="SLM",($AC614-'FA Addition'!$M614)*'FA Addition'!$P614*AI614/365,(AC614-'FA Addition'!$M614)*(1-(1-'FA Addition'!$P614)^(AI614/365))),0),0)</f>
        <v>0</v>
      </c>
      <c r="AL614" s="117">
        <f>MAX(IF(AG614&gt;0,IF('FA Addition'!$N614="SLM",($AE614-'FA Addition'!$M614)*'FA Addition'!$P614*AG614/365,IFERROR(VDB(AE614,AE614*0.05,'FA Addition'!$O614,0,YEARFRAC('FA Addition'!$C614,$P$1-1,3),'FA Addition'!$Q614),FAAddition[[#This Row],[Original Cost (Rs)]]-FAAddition[[#This Row],[Salvage Value]])),0),0)</f>
        <v>965.56449965990782</v>
      </c>
      <c r="AM614" s="119"/>
      <c r="AN614" s="117">
        <f>MAX(IF(AH614&gt;0,IF('FA Addition'!$N614="SLM",($AF614-'FA Addition'!$M614)*'FA Addition'!$P614*AH614/365,IFERROR(VDB(AF614,AF614*0.05,'FA Addition'!$O614,0,YEARFRAC('FA Addition'!$C614,$L$1,3),'FA Addition'!$Q614),FAAddition[[#This Row],[Original Cost (Rs)]]-FAAddition[[#This Row],[Salvage Value]])),0),0)</f>
        <v>12115.275649036204</v>
      </c>
      <c r="AO614" s="117">
        <f t="shared" si="48"/>
        <v>11149.711149376297</v>
      </c>
      <c r="AP614" s="206"/>
      <c r="AQ614" s="117">
        <f t="shared" si="46"/>
        <v>17634.435500340092</v>
      </c>
      <c r="AR614" s="120">
        <f t="shared" si="47"/>
        <v>6484.7243509637956</v>
      </c>
      <c r="AS614" s="121"/>
    </row>
    <row r="615" spans="1:45" ht="13.5" x14ac:dyDescent="0.4">
      <c r="A615" s="12">
        <f t="shared" si="49"/>
        <v>612</v>
      </c>
      <c r="B615" s="64" t="s">
        <v>1089</v>
      </c>
      <c r="C615" s="54">
        <v>44988</v>
      </c>
      <c r="D615" s="54">
        <v>44988</v>
      </c>
      <c r="E615" s="46" t="s">
        <v>451</v>
      </c>
      <c r="F615" s="51" t="s">
        <v>1133</v>
      </c>
      <c r="G615" s="51" t="s">
        <v>1290</v>
      </c>
      <c r="H615" s="51" t="s">
        <v>21</v>
      </c>
      <c r="I615" s="55" t="s">
        <v>1332</v>
      </c>
      <c r="J615" s="56">
        <v>1</v>
      </c>
      <c r="K615" s="51" t="s">
        <v>1333</v>
      </c>
      <c r="L615" s="58">
        <v>37005.666666666664</v>
      </c>
      <c r="M615" s="50">
        <f>ROUND('FA Addition'!$L615*5%,0.1)</f>
        <v>1850</v>
      </c>
      <c r="N615" s="113" t="str">
        <f>_xlfn.XLOOKUP(_xlfn.CONCAT(E615,B615),'Year Wise Master Dep Approach'!F:F,'Year Wise Master Dep Approach'!D:D)</f>
        <v>WDV</v>
      </c>
      <c r="O615" s="113">
        <f>_xlfn.XLOOKUP(_xlfn.CONCAT(E615,B615),'Year Wise Master Dep Approach'!F:F,'Year Wise Master Dep Approach'!E:E)</f>
        <v>3</v>
      </c>
      <c r="P615" s="114">
        <f>IFERROR(IF('FA Addition'!$N615="WDV",1-('FA Addition'!$M615/'FA Addition'!$L615)^(1/'FA Addition'!$O615),1/'FA Addition'!$O615),0)</f>
        <v>0.6316156555839294</v>
      </c>
      <c r="Q615" s="122">
        <f>'FA Addition'!$P615*'FA Addition'!$O615</f>
        <v>1.8948469667517882</v>
      </c>
      <c r="R615" s="122"/>
      <c r="S615" s="116">
        <f>IF(AND(DATE(20&amp;LEFT(FAAddition[[#This Row],[FY]],2),4,1)&lt;$L$1+1,DATE(20&amp;LEFT(FAAddition[[#This Row],[FY]],2),4,1)&gt;$P$1-1),'FA Addition'!$J615,0)</f>
        <v>0</v>
      </c>
      <c r="U615" s="117">
        <f>S615*'FA Addition'!$L615/'FA Addition'!$J615</f>
        <v>0</v>
      </c>
      <c r="W615" s="116">
        <f>SUMIFS('FA Write off'!D:D,'FA Write off'!A:A,'FA Addition'!$A615,'FA Write off'!C:C,"&lt;"&amp;'FA Addition'!$P$1)</f>
        <v>0</v>
      </c>
      <c r="Y615" s="191">
        <f>IFERROR(W615/'FA Addition'!$J615*'FA Addition'!$L615,0)</f>
        <v>0</v>
      </c>
      <c r="AA615" s="116">
        <f>SUMIFS('FA Write off'!D:D,'FA Write off'!A:A,'FA Addition'!$A615,'FA Write off'!C:C,"&lt;"&amp;'FA Addition'!$L$1+1,'FA Write off'!C:C,"&gt;"&amp;'FA Addition'!$L$1-365)</f>
        <v>0</v>
      </c>
      <c r="AC615" s="118">
        <f>IFERROR(AA615/'FA Addition'!$J615*'FA Addition'!$L615,0)</f>
        <v>0</v>
      </c>
      <c r="AE615" s="117">
        <f>IF(AND('FA Addition'!$D615&lt;$P$1+1,U615=0),'FA Addition'!$L615,0)-Y615</f>
        <v>37005.666666666664</v>
      </c>
      <c r="AF615" s="117">
        <f t="shared" si="45"/>
        <v>37005.666666666664</v>
      </c>
      <c r="AG615" s="117">
        <f>MIN(MAX(+$P$1-'FA Addition'!$D615,0),365*'FA Addition'!$O615)</f>
        <v>29</v>
      </c>
      <c r="AH615" s="117">
        <f>MIN(MAX($L$1-'FA Addition'!$D615+1,0),365*'FA Addition'!$O615)</f>
        <v>395</v>
      </c>
      <c r="AI615" s="117" cm="1">
        <f t="array" ref="AI615">_xlfn.XLOOKUP(1,('FA Write off'!A:A='FA Addition'!$A615)*('FA Write off'!D:D=AA615),'FA Write off'!H:H,0,0)</f>
        <v>0</v>
      </c>
      <c r="AJ615" s="117">
        <f>IF(AC615&gt;0,MAX(IF('FA Addition'!$N615="SLM",($AC615-'FA Addition'!$M615)*'FA Addition'!$P615*AI615/365,(AC615-'FA Addition'!$M615)*(1-(1-'FA Addition'!$P615)^(AI615/365))),0),0)</f>
        <v>0</v>
      </c>
      <c r="AL615" s="117">
        <f>MAX(IF(AG615&gt;0,IF('FA Addition'!$N615="SLM",($AE615-'FA Addition'!$M615)*'FA Addition'!$P615*AG615/365,IFERROR(VDB(AE615,AE615*0.05,'FA Addition'!$O615,0,YEARFRAC('FA Addition'!$C615,$P$1-1,3),'FA Addition'!$Q615),FAAddition[[#This Row],[Original Cost (Rs)]]-FAAddition[[#This Row],[Salvage Value]])),0),0)</f>
        <v>1793.0247548921557</v>
      </c>
      <c r="AM615" s="119"/>
      <c r="AN615" s="117">
        <f>MAX(IF(AH615&gt;0,IF('FA Addition'!$N615="SLM",($AF615-'FA Addition'!$M615)*'FA Addition'!$P615*AH615/365,IFERROR(VDB(AF615,AF615*0.05,'FA Addition'!$O615,0,YEARFRAC('FA Addition'!$C615,$L$1,3),'FA Addition'!$Q615),FAAddition[[#This Row],[Original Cost (Rs)]]-FAAddition[[#This Row],[Salvage Value]])),0),0)</f>
        <v>24057.470741155928</v>
      </c>
      <c r="AO615" s="117">
        <f t="shared" si="48"/>
        <v>22264.445986263774</v>
      </c>
      <c r="AP615" s="206"/>
      <c r="AQ615" s="117">
        <f t="shared" si="46"/>
        <v>35212.64191177451</v>
      </c>
      <c r="AR615" s="120">
        <f t="shared" si="47"/>
        <v>12948.195925510736</v>
      </c>
      <c r="AS615" s="121"/>
    </row>
    <row r="616" spans="1:45" ht="13.5" x14ac:dyDescent="0.4">
      <c r="A616" s="12">
        <f t="shared" si="49"/>
        <v>613</v>
      </c>
      <c r="B616" s="64" t="s">
        <v>1089</v>
      </c>
      <c r="C616" s="54">
        <v>44988</v>
      </c>
      <c r="D616" s="54">
        <v>44988</v>
      </c>
      <c r="E616" s="46" t="s">
        <v>451</v>
      </c>
      <c r="F616" s="51" t="s">
        <v>1133</v>
      </c>
      <c r="G616" s="51" t="s">
        <v>1290</v>
      </c>
      <c r="H616" s="51" t="s">
        <v>21</v>
      </c>
      <c r="I616" s="55" t="s">
        <v>1332</v>
      </c>
      <c r="J616" s="56">
        <v>1</v>
      </c>
      <c r="K616" s="51" t="s">
        <v>1333</v>
      </c>
      <c r="L616" s="58">
        <v>37005.666666666664</v>
      </c>
      <c r="M616" s="50">
        <f>ROUND('FA Addition'!$L616*5%,0.1)</f>
        <v>1850</v>
      </c>
      <c r="N616" s="113" t="str">
        <f>_xlfn.XLOOKUP(_xlfn.CONCAT(E616,B616),'Year Wise Master Dep Approach'!F:F,'Year Wise Master Dep Approach'!D:D)</f>
        <v>WDV</v>
      </c>
      <c r="O616" s="113">
        <f>_xlfn.XLOOKUP(_xlfn.CONCAT(E616,B616),'Year Wise Master Dep Approach'!F:F,'Year Wise Master Dep Approach'!E:E)</f>
        <v>3</v>
      </c>
      <c r="P616" s="114">
        <f>IFERROR(IF('FA Addition'!$N616="WDV",1-('FA Addition'!$M616/'FA Addition'!$L616)^(1/'FA Addition'!$O616),1/'FA Addition'!$O616),0)</f>
        <v>0.6316156555839294</v>
      </c>
      <c r="Q616" s="122">
        <f>'FA Addition'!$P616*'FA Addition'!$O616</f>
        <v>1.8948469667517882</v>
      </c>
      <c r="R616" s="122"/>
      <c r="S616" s="116">
        <f>IF(AND(DATE(20&amp;LEFT(FAAddition[[#This Row],[FY]],2),4,1)&lt;$L$1+1,DATE(20&amp;LEFT(FAAddition[[#This Row],[FY]],2),4,1)&gt;$P$1-1),'FA Addition'!$J616,0)</f>
        <v>0</v>
      </c>
      <c r="U616" s="117">
        <f>S616*'FA Addition'!$L616/'FA Addition'!$J616</f>
        <v>0</v>
      </c>
      <c r="W616" s="116">
        <f>SUMIFS('FA Write off'!D:D,'FA Write off'!A:A,'FA Addition'!$A616,'FA Write off'!C:C,"&lt;"&amp;'FA Addition'!$P$1)</f>
        <v>0</v>
      </c>
      <c r="Y616" s="191">
        <f>IFERROR(W616/'FA Addition'!$J616*'FA Addition'!$L616,0)</f>
        <v>0</v>
      </c>
      <c r="AA616" s="116">
        <f>SUMIFS('FA Write off'!D:D,'FA Write off'!A:A,'FA Addition'!$A616,'FA Write off'!C:C,"&lt;"&amp;'FA Addition'!$L$1+1,'FA Write off'!C:C,"&gt;"&amp;'FA Addition'!$L$1-365)</f>
        <v>0</v>
      </c>
      <c r="AC616" s="118">
        <f>IFERROR(AA616/'FA Addition'!$J616*'FA Addition'!$L616,0)</f>
        <v>0</v>
      </c>
      <c r="AE616" s="117">
        <f>IF(AND('FA Addition'!$D616&lt;$P$1+1,U616=0),'FA Addition'!$L616,0)-Y616</f>
        <v>37005.666666666664</v>
      </c>
      <c r="AF616" s="117">
        <f t="shared" si="45"/>
        <v>37005.666666666664</v>
      </c>
      <c r="AG616" s="117">
        <f>MIN(MAX(+$P$1-'FA Addition'!$D616,0),365*'FA Addition'!$O616)</f>
        <v>29</v>
      </c>
      <c r="AH616" s="117">
        <f>MIN(MAX($L$1-'FA Addition'!$D616+1,0),365*'FA Addition'!$O616)</f>
        <v>395</v>
      </c>
      <c r="AI616" s="117" cm="1">
        <f t="array" ref="AI616">_xlfn.XLOOKUP(1,('FA Write off'!A:A='FA Addition'!$A616)*('FA Write off'!D:D=AA616),'FA Write off'!H:H,0,0)</f>
        <v>0</v>
      </c>
      <c r="AJ616" s="117">
        <f>IF(AC616&gt;0,MAX(IF('FA Addition'!$N616="SLM",($AC616-'FA Addition'!$M616)*'FA Addition'!$P616*AI616/365,(AC616-'FA Addition'!$M616)*(1-(1-'FA Addition'!$P616)^(AI616/365))),0),0)</f>
        <v>0</v>
      </c>
      <c r="AL616" s="117">
        <f>MAX(IF(AG616&gt;0,IF('FA Addition'!$N616="SLM",($AE616-'FA Addition'!$M616)*'FA Addition'!$P616*AG616/365,IFERROR(VDB(AE616,AE616*0.05,'FA Addition'!$O616,0,YEARFRAC('FA Addition'!$C616,$P$1-1,3),'FA Addition'!$Q616),FAAddition[[#This Row],[Original Cost (Rs)]]-FAAddition[[#This Row],[Salvage Value]])),0),0)</f>
        <v>1793.0247548921557</v>
      </c>
      <c r="AM616" s="119"/>
      <c r="AN616" s="117">
        <f>MAX(IF(AH616&gt;0,IF('FA Addition'!$N616="SLM",($AF616-'FA Addition'!$M616)*'FA Addition'!$P616*AH616/365,IFERROR(VDB(AF616,AF616*0.05,'FA Addition'!$O616,0,YEARFRAC('FA Addition'!$C616,$L$1,3),'FA Addition'!$Q616),FAAddition[[#This Row],[Original Cost (Rs)]]-FAAddition[[#This Row],[Salvage Value]])),0),0)</f>
        <v>24057.470741155928</v>
      </c>
      <c r="AO616" s="117">
        <f t="shared" si="48"/>
        <v>22264.445986263774</v>
      </c>
      <c r="AP616" s="206"/>
      <c r="AQ616" s="117">
        <f t="shared" si="46"/>
        <v>35212.64191177451</v>
      </c>
      <c r="AR616" s="120">
        <f t="shared" si="47"/>
        <v>12948.195925510736</v>
      </c>
      <c r="AS616" s="121"/>
    </row>
    <row r="617" spans="1:45" ht="13.5" x14ac:dyDescent="0.4">
      <c r="A617" s="12">
        <f t="shared" si="49"/>
        <v>614</v>
      </c>
      <c r="B617" s="64" t="s">
        <v>1089</v>
      </c>
      <c r="C617" s="54">
        <v>44988</v>
      </c>
      <c r="D617" s="54">
        <v>44988</v>
      </c>
      <c r="E617" s="46" t="s">
        <v>451</v>
      </c>
      <c r="F617" s="51" t="s">
        <v>1133</v>
      </c>
      <c r="G617" s="51" t="s">
        <v>1290</v>
      </c>
      <c r="H617" s="51" t="s">
        <v>21</v>
      </c>
      <c r="I617" s="55" t="s">
        <v>1332</v>
      </c>
      <c r="J617" s="56">
        <v>1</v>
      </c>
      <c r="K617" s="51" t="s">
        <v>1333</v>
      </c>
      <c r="L617" s="58">
        <v>37005.666666666664</v>
      </c>
      <c r="M617" s="50">
        <f>ROUND('FA Addition'!$L617*5%,0.1)</f>
        <v>1850</v>
      </c>
      <c r="N617" s="113" t="str">
        <f>_xlfn.XLOOKUP(_xlfn.CONCAT(E617,B617),'Year Wise Master Dep Approach'!F:F,'Year Wise Master Dep Approach'!D:D)</f>
        <v>WDV</v>
      </c>
      <c r="O617" s="113">
        <f>_xlfn.XLOOKUP(_xlfn.CONCAT(E617,B617),'Year Wise Master Dep Approach'!F:F,'Year Wise Master Dep Approach'!E:E)</f>
        <v>3</v>
      </c>
      <c r="P617" s="114">
        <f>IFERROR(IF('FA Addition'!$N617="WDV",1-('FA Addition'!$M617/'FA Addition'!$L617)^(1/'FA Addition'!$O617),1/'FA Addition'!$O617),0)</f>
        <v>0.6316156555839294</v>
      </c>
      <c r="Q617" s="122">
        <f>'FA Addition'!$P617*'FA Addition'!$O617</f>
        <v>1.8948469667517882</v>
      </c>
      <c r="R617" s="122"/>
      <c r="S617" s="116">
        <f>IF(AND(DATE(20&amp;LEFT(FAAddition[[#This Row],[FY]],2),4,1)&lt;$L$1+1,DATE(20&amp;LEFT(FAAddition[[#This Row],[FY]],2),4,1)&gt;$P$1-1),'FA Addition'!$J617,0)</f>
        <v>0</v>
      </c>
      <c r="U617" s="117">
        <f>S617*'FA Addition'!$L617/'FA Addition'!$J617</f>
        <v>0</v>
      </c>
      <c r="W617" s="116">
        <f>SUMIFS('FA Write off'!D:D,'FA Write off'!A:A,'FA Addition'!$A617,'FA Write off'!C:C,"&lt;"&amp;'FA Addition'!$P$1)</f>
        <v>0</v>
      </c>
      <c r="Y617" s="191">
        <f>IFERROR(W617/'FA Addition'!$J617*'FA Addition'!$L617,0)</f>
        <v>0</v>
      </c>
      <c r="AA617" s="116">
        <f>SUMIFS('FA Write off'!D:D,'FA Write off'!A:A,'FA Addition'!$A617,'FA Write off'!C:C,"&lt;"&amp;'FA Addition'!$L$1+1,'FA Write off'!C:C,"&gt;"&amp;'FA Addition'!$L$1-365)</f>
        <v>0</v>
      </c>
      <c r="AC617" s="118">
        <f>IFERROR(AA617/'FA Addition'!$J617*'FA Addition'!$L617,0)</f>
        <v>0</v>
      </c>
      <c r="AE617" s="117">
        <f>IF(AND('FA Addition'!$D617&lt;$P$1+1,U617=0),'FA Addition'!$L617,0)-Y617</f>
        <v>37005.666666666664</v>
      </c>
      <c r="AF617" s="117">
        <f t="shared" si="45"/>
        <v>37005.666666666664</v>
      </c>
      <c r="AG617" s="117">
        <f>MIN(MAX(+$P$1-'FA Addition'!$D617,0),365*'FA Addition'!$O617)</f>
        <v>29</v>
      </c>
      <c r="AH617" s="117">
        <f>MIN(MAX($L$1-'FA Addition'!$D617+1,0),365*'FA Addition'!$O617)</f>
        <v>395</v>
      </c>
      <c r="AI617" s="117" cm="1">
        <f t="array" ref="AI617">_xlfn.XLOOKUP(1,('FA Write off'!A:A='FA Addition'!$A617)*('FA Write off'!D:D=AA617),'FA Write off'!H:H,0,0)</f>
        <v>0</v>
      </c>
      <c r="AJ617" s="117">
        <f>IF(AC617&gt;0,MAX(IF('FA Addition'!$N617="SLM",($AC617-'FA Addition'!$M617)*'FA Addition'!$P617*AI617/365,(AC617-'FA Addition'!$M617)*(1-(1-'FA Addition'!$P617)^(AI617/365))),0),0)</f>
        <v>0</v>
      </c>
      <c r="AL617" s="117">
        <f>MAX(IF(AG617&gt;0,IF('FA Addition'!$N617="SLM",($AE617-'FA Addition'!$M617)*'FA Addition'!$P617*AG617/365,IFERROR(VDB(AE617,AE617*0.05,'FA Addition'!$O617,0,YEARFRAC('FA Addition'!$C617,$P$1-1,3),'FA Addition'!$Q617),FAAddition[[#This Row],[Original Cost (Rs)]]-FAAddition[[#This Row],[Salvage Value]])),0),0)</f>
        <v>1793.0247548921557</v>
      </c>
      <c r="AM617" s="119"/>
      <c r="AN617" s="117">
        <f>MAX(IF(AH617&gt;0,IF('FA Addition'!$N617="SLM",($AF617-'FA Addition'!$M617)*'FA Addition'!$P617*AH617/365,IFERROR(VDB(AF617,AF617*0.05,'FA Addition'!$O617,0,YEARFRAC('FA Addition'!$C617,$L$1,3),'FA Addition'!$Q617),FAAddition[[#This Row],[Original Cost (Rs)]]-FAAddition[[#This Row],[Salvage Value]])),0),0)</f>
        <v>24057.470741155928</v>
      </c>
      <c r="AO617" s="117">
        <f t="shared" si="48"/>
        <v>22264.445986263774</v>
      </c>
      <c r="AP617" s="206"/>
      <c r="AQ617" s="117">
        <f t="shared" si="46"/>
        <v>35212.64191177451</v>
      </c>
      <c r="AR617" s="120">
        <f t="shared" si="47"/>
        <v>12948.195925510736</v>
      </c>
      <c r="AS617" s="121"/>
    </row>
    <row r="618" spans="1:45" ht="13.5" x14ac:dyDescent="0.4">
      <c r="A618" s="12">
        <f t="shared" si="49"/>
        <v>615</v>
      </c>
      <c r="B618" s="64" t="s">
        <v>1089</v>
      </c>
      <c r="C618" s="54">
        <v>44988</v>
      </c>
      <c r="D618" s="54">
        <v>44988</v>
      </c>
      <c r="E618" s="46" t="s">
        <v>451</v>
      </c>
      <c r="F618" s="51" t="s">
        <v>1133</v>
      </c>
      <c r="G618" s="51" t="s">
        <v>1290</v>
      </c>
      <c r="H618" s="51" t="s">
        <v>21</v>
      </c>
      <c r="I618" s="55" t="s">
        <v>1332</v>
      </c>
      <c r="J618" s="56">
        <v>1</v>
      </c>
      <c r="K618" s="51" t="s">
        <v>1333</v>
      </c>
      <c r="L618" s="58">
        <v>37005.666666666664</v>
      </c>
      <c r="M618" s="50">
        <f>ROUND('FA Addition'!$L618*5%,0.1)</f>
        <v>1850</v>
      </c>
      <c r="N618" s="113" t="str">
        <f>_xlfn.XLOOKUP(_xlfn.CONCAT(E618,B618),'Year Wise Master Dep Approach'!F:F,'Year Wise Master Dep Approach'!D:D)</f>
        <v>WDV</v>
      </c>
      <c r="O618" s="113">
        <f>_xlfn.XLOOKUP(_xlfn.CONCAT(E618,B618),'Year Wise Master Dep Approach'!F:F,'Year Wise Master Dep Approach'!E:E)</f>
        <v>3</v>
      </c>
      <c r="P618" s="114">
        <f>IFERROR(IF('FA Addition'!$N618="WDV",1-('FA Addition'!$M618/'FA Addition'!$L618)^(1/'FA Addition'!$O618),1/'FA Addition'!$O618),0)</f>
        <v>0.6316156555839294</v>
      </c>
      <c r="Q618" s="122">
        <f>'FA Addition'!$P618*'FA Addition'!$O618</f>
        <v>1.8948469667517882</v>
      </c>
      <c r="R618" s="122"/>
      <c r="S618" s="116">
        <f>IF(AND(DATE(20&amp;LEFT(FAAddition[[#This Row],[FY]],2),4,1)&lt;$L$1+1,DATE(20&amp;LEFT(FAAddition[[#This Row],[FY]],2),4,1)&gt;$P$1-1),'FA Addition'!$J618,0)</f>
        <v>0</v>
      </c>
      <c r="U618" s="117">
        <f>S618*'FA Addition'!$L618/'FA Addition'!$J618</f>
        <v>0</v>
      </c>
      <c r="W618" s="116">
        <f>SUMIFS('FA Write off'!D:D,'FA Write off'!A:A,'FA Addition'!$A618,'FA Write off'!C:C,"&lt;"&amp;'FA Addition'!$P$1)</f>
        <v>0</v>
      </c>
      <c r="Y618" s="191">
        <f>IFERROR(W618/'FA Addition'!$J618*'FA Addition'!$L618,0)</f>
        <v>0</v>
      </c>
      <c r="AA618" s="116">
        <f>SUMIFS('FA Write off'!D:D,'FA Write off'!A:A,'FA Addition'!$A618,'FA Write off'!C:C,"&lt;"&amp;'FA Addition'!$L$1+1,'FA Write off'!C:C,"&gt;"&amp;'FA Addition'!$L$1-365)</f>
        <v>0</v>
      </c>
      <c r="AC618" s="118">
        <f>IFERROR(AA618/'FA Addition'!$J618*'FA Addition'!$L618,0)</f>
        <v>0</v>
      </c>
      <c r="AE618" s="117">
        <f>IF(AND('FA Addition'!$D618&lt;$P$1+1,U618=0),'FA Addition'!$L618,0)-Y618</f>
        <v>37005.666666666664</v>
      </c>
      <c r="AF618" s="117">
        <f t="shared" si="45"/>
        <v>37005.666666666664</v>
      </c>
      <c r="AG618" s="117">
        <f>MIN(MAX(+$P$1-'FA Addition'!$D618,0),365*'FA Addition'!$O618)</f>
        <v>29</v>
      </c>
      <c r="AH618" s="117">
        <f>MIN(MAX($L$1-'FA Addition'!$D618+1,0),365*'FA Addition'!$O618)</f>
        <v>395</v>
      </c>
      <c r="AI618" s="117" cm="1">
        <f t="array" ref="AI618">_xlfn.XLOOKUP(1,('FA Write off'!A:A='FA Addition'!$A618)*('FA Write off'!D:D=AA618),'FA Write off'!H:H,0,0)</f>
        <v>0</v>
      </c>
      <c r="AJ618" s="117">
        <f>IF(AC618&gt;0,MAX(IF('FA Addition'!$N618="SLM",($AC618-'FA Addition'!$M618)*'FA Addition'!$P618*AI618/365,(AC618-'FA Addition'!$M618)*(1-(1-'FA Addition'!$P618)^(AI618/365))),0),0)</f>
        <v>0</v>
      </c>
      <c r="AL618" s="117">
        <f>MAX(IF(AG618&gt;0,IF('FA Addition'!$N618="SLM",($AE618-'FA Addition'!$M618)*'FA Addition'!$P618*AG618/365,IFERROR(VDB(AE618,AE618*0.05,'FA Addition'!$O618,0,YEARFRAC('FA Addition'!$C618,$P$1-1,3),'FA Addition'!$Q618),FAAddition[[#This Row],[Original Cost (Rs)]]-FAAddition[[#This Row],[Salvage Value]])),0),0)</f>
        <v>1793.0247548921557</v>
      </c>
      <c r="AM618" s="119"/>
      <c r="AN618" s="117">
        <f>MAX(IF(AH618&gt;0,IF('FA Addition'!$N618="SLM",($AF618-'FA Addition'!$M618)*'FA Addition'!$P618*AH618/365,IFERROR(VDB(AF618,AF618*0.05,'FA Addition'!$O618,0,YEARFRAC('FA Addition'!$C618,$L$1,3),'FA Addition'!$Q618),FAAddition[[#This Row],[Original Cost (Rs)]]-FAAddition[[#This Row],[Salvage Value]])),0),0)</f>
        <v>24057.470741155928</v>
      </c>
      <c r="AO618" s="117">
        <f t="shared" si="48"/>
        <v>22264.445986263774</v>
      </c>
      <c r="AP618" s="206"/>
      <c r="AQ618" s="117">
        <f t="shared" si="46"/>
        <v>35212.64191177451</v>
      </c>
      <c r="AR618" s="120">
        <f t="shared" si="47"/>
        <v>12948.195925510736</v>
      </c>
      <c r="AS618" s="121"/>
    </row>
    <row r="619" spans="1:45" ht="13.5" x14ac:dyDescent="0.4">
      <c r="A619" s="12">
        <f t="shared" si="49"/>
        <v>616</v>
      </c>
      <c r="B619" s="64" t="s">
        <v>1089</v>
      </c>
      <c r="C619" s="54">
        <v>44988</v>
      </c>
      <c r="D619" s="54">
        <v>44988</v>
      </c>
      <c r="E619" s="46" t="s">
        <v>451</v>
      </c>
      <c r="F619" s="51" t="s">
        <v>1133</v>
      </c>
      <c r="G619" s="51" t="s">
        <v>1290</v>
      </c>
      <c r="H619" s="51" t="s">
        <v>21</v>
      </c>
      <c r="I619" s="55" t="s">
        <v>1332</v>
      </c>
      <c r="J619" s="56">
        <v>1</v>
      </c>
      <c r="K619" s="51" t="s">
        <v>1334</v>
      </c>
      <c r="L619" s="58">
        <v>37005.666666666664</v>
      </c>
      <c r="M619" s="50">
        <f>ROUND('FA Addition'!$L619*5%,0.1)</f>
        <v>1850</v>
      </c>
      <c r="N619" s="113" t="str">
        <f>_xlfn.XLOOKUP(_xlfn.CONCAT(E619,B619),'Year Wise Master Dep Approach'!F:F,'Year Wise Master Dep Approach'!D:D)</f>
        <v>WDV</v>
      </c>
      <c r="O619" s="113">
        <f>_xlfn.XLOOKUP(_xlfn.CONCAT(E619,B619),'Year Wise Master Dep Approach'!F:F,'Year Wise Master Dep Approach'!E:E)</f>
        <v>3</v>
      </c>
      <c r="P619" s="114">
        <f>IFERROR(IF('FA Addition'!$N619="WDV",1-('FA Addition'!$M619/'FA Addition'!$L619)^(1/'FA Addition'!$O619),1/'FA Addition'!$O619),0)</f>
        <v>0.6316156555839294</v>
      </c>
      <c r="Q619" s="122">
        <f>'FA Addition'!$P619*'FA Addition'!$O619</f>
        <v>1.8948469667517882</v>
      </c>
      <c r="R619" s="122"/>
      <c r="S619" s="116">
        <f>IF(AND(DATE(20&amp;LEFT(FAAddition[[#This Row],[FY]],2),4,1)&lt;$L$1+1,DATE(20&amp;LEFT(FAAddition[[#This Row],[FY]],2),4,1)&gt;$P$1-1),'FA Addition'!$J619,0)</f>
        <v>0</v>
      </c>
      <c r="U619" s="117">
        <f>S619*'FA Addition'!$L619/'FA Addition'!$J619</f>
        <v>0</v>
      </c>
      <c r="W619" s="116">
        <f>SUMIFS('FA Write off'!D:D,'FA Write off'!A:A,'FA Addition'!$A619,'FA Write off'!C:C,"&lt;"&amp;'FA Addition'!$P$1)</f>
        <v>0</v>
      </c>
      <c r="Y619" s="191">
        <f>IFERROR(W619/'FA Addition'!$J619*'FA Addition'!$L619,0)</f>
        <v>0</v>
      </c>
      <c r="AA619" s="116">
        <f>SUMIFS('FA Write off'!D:D,'FA Write off'!A:A,'FA Addition'!$A619,'FA Write off'!C:C,"&lt;"&amp;'FA Addition'!$L$1+1,'FA Write off'!C:C,"&gt;"&amp;'FA Addition'!$L$1-365)</f>
        <v>0</v>
      </c>
      <c r="AC619" s="118">
        <f>IFERROR(AA619/'FA Addition'!$J619*'FA Addition'!$L619,0)</f>
        <v>0</v>
      </c>
      <c r="AE619" s="117">
        <f>IF(AND('FA Addition'!$D619&lt;$P$1+1,U619=0),'FA Addition'!$L619,0)-Y619</f>
        <v>37005.666666666664</v>
      </c>
      <c r="AF619" s="117">
        <f t="shared" si="45"/>
        <v>37005.666666666664</v>
      </c>
      <c r="AG619" s="117">
        <f>MIN(MAX(+$P$1-'FA Addition'!$D619,0),365*'FA Addition'!$O619)</f>
        <v>29</v>
      </c>
      <c r="AH619" s="117">
        <f>MIN(MAX($L$1-'FA Addition'!$D619+1,0),365*'FA Addition'!$O619)</f>
        <v>395</v>
      </c>
      <c r="AI619" s="117" cm="1">
        <f t="array" ref="AI619">_xlfn.XLOOKUP(1,('FA Write off'!A:A='FA Addition'!$A619)*('FA Write off'!D:D=AA619),'FA Write off'!H:H,0,0)</f>
        <v>0</v>
      </c>
      <c r="AJ619" s="117">
        <f>IF(AC619&gt;0,MAX(IF('FA Addition'!$N619="SLM",($AC619-'FA Addition'!$M619)*'FA Addition'!$P619*AI619/365,(AC619-'FA Addition'!$M619)*(1-(1-'FA Addition'!$P619)^(AI619/365))),0),0)</f>
        <v>0</v>
      </c>
      <c r="AL619" s="117">
        <f>MAX(IF(AG619&gt;0,IF('FA Addition'!$N619="SLM",($AE619-'FA Addition'!$M619)*'FA Addition'!$P619*AG619/365,IFERROR(VDB(AE619,AE619*0.05,'FA Addition'!$O619,0,YEARFRAC('FA Addition'!$C619,$P$1-1,3),'FA Addition'!$Q619),FAAddition[[#This Row],[Original Cost (Rs)]]-FAAddition[[#This Row],[Salvage Value]])),0),0)</f>
        <v>1793.0247548921557</v>
      </c>
      <c r="AM619" s="119"/>
      <c r="AN619" s="117">
        <f>MAX(IF(AH619&gt;0,IF('FA Addition'!$N619="SLM",($AF619-'FA Addition'!$M619)*'FA Addition'!$P619*AH619/365,IFERROR(VDB(AF619,AF619*0.05,'FA Addition'!$O619,0,YEARFRAC('FA Addition'!$C619,$L$1,3),'FA Addition'!$Q619),FAAddition[[#This Row],[Original Cost (Rs)]]-FAAddition[[#This Row],[Salvage Value]])),0),0)</f>
        <v>24057.470741155928</v>
      </c>
      <c r="AO619" s="117">
        <f t="shared" si="48"/>
        <v>22264.445986263774</v>
      </c>
      <c r="AP619" s="206"/>
      <c r="AQ619" s="117">
        <f t="shared" si="46"/>
        <v>35212.64191177451</v>
      </c>
      <c r="AR619" s="120">
        <f t="shared" si="47"/>
        <v>12948.195925510736</v>
      </c>
      <c r="AS619" s="121"/>
    </row>
    <row r="620" spans="1:45" ht="13.5" x14ac:dyDescent="0.4">
      <c r="A620" s="12">
        <f t="shared" si="49"/>
        <v>617</v>
      </c>
      <c r="B620" s="64" t="s">
        <v>1089</v>
      </c>
      <c r="C620" s="54">
        <v>44988</v>
      </c>
      <c r="D620" s="54">
        <v>44988</v>
      </c>
      <c r="E620" s="46" t="s">
        <v>451</v>
      </c>
      <c r="F620" s="51" t="s">
        <v>1133</v>
      </c>
      <c r="G620" s="51" t="s">
        <v>1290</v>
      </c>
      <c r="H620" s="51" t="s">
        <v>21</v>
      </c>
      <c r="I620" s="55" t="s">
        <v>1332</v>
      </c>
      <c r="J620" s="56">
        <v>1</v>
      </c>
      <c r="K620" s="51" t="s">
        <v>1334</v>
      </c>
      <c r="L620" s="58">
        <v>37005.666666666664</v>
      </c>
      <c r="M620" s="50">
        <f>ROUND('FA Addition'!$L620*5%,0.1)</f>
        <v>1850</v>
      </c>
      <c r="N620" s="113" t="str">
        <f>_xlfn.XLOOKUP(_xlfn.CONCAT(E620,B620),'Year Wise Master Dep Approach'!F:F,'Year Wise Master Dep Approach'!D:D)</f>
        <v>WDV</v>
      </c>
      <c r="O620" s="113">
        <f>_xlfn.XLOOKUP(_xlfn.CONCAT(E620,B620),'Year Wise Master Dep Approach'!F:F,'Year Wise Master Dep Approach'!E:E)</f>
        <v>3</v>
      </c>
      <c r="P620" s="114">
        <f>IFERROR(IF('FA Addition'!$N620="WDV",1-('FA Addition'!$M620/'FA Addition'!$L620)^(1/'FA Addition'!$O620),1/'FA Addition'!$O620),0)</f>
        <v>0.6316156555839294</v>
      </c>
      <c r="Q620" s="122">
        <f>'FA Addition'!$P620*'FA Addition'!$O620</f>
        <v>1.8948469667517882</v>
      </c>
      <c r="R620" s="122"/>
      <c r="S620" s="116">
        <f>IF(AND(DATE(20&amp;LEFT(FAAddition[[#This Row],[FY]],2),4,1)&lt;$L$1+1,DATE(20&amp;LEFT(FAAddition[[#This Row],[FY]],2),4,1)&gt;$P$1-1),'FA Addition'!$J620,0)</f>
        <v>0</v>
      </c>
      <c r="U620" s="117">
        <f>S620*'FA Addition'!$L620/'FA Addition'!$J620</f>
        <v>0</v>
      </c>
      <c r="W620" s="116">
        <f>SUMIFS('FA Write off'!D:D,'FA Write off'!A:A,'FA Addition'!$A620,'FA Write off'!C:C,"&lt;"&amp;'FA Addition'!$P$1)</f>
        <v>0</v>
      </c>
      <c r="Y620" s="191">
        <f>IFERROR(W620/'FA Addition'!$J620*'FA Addition'!$L620,0)</f>
        <v>0</v>
      </c>
      <c r="AA620" s="116">
        <f>SUMIFS('FA Write off'!D:D,'FA Write off'!A:A,'FA Addition'!$A620,'FA Write off'!C:C,"&lt;"&amp;'FA Addition'!$L$1+1,'FA Write off'!C:C,"&gt;"&amp;'FA Addition'!$L$1-365)</f>
        <v>0</v>
      </c>
      <c r="AC620" s="118">
        <f>IFERROR(AA620/'FA Addition'!$J620*'FA Addition'!$L620,0)</f>
        <v>0</v>
      </c>
      <c r="AE620" s="117">
        <f>IF(AND('FA Addition'!$D620&lt;$P$1+1,U620=0),'FA Addition'!$L620,0)-Y620</f>
        <v>37005.666666666664</v>
      </c>
      <c r="AF620" s="117">
        <f t="shared" si="45"/>
        <v>37005.666666666664</v>
      </c>
      <c r="AG620" s="117">
        <f>MIN(MAX(+$P$1-'FA Addition'!$D620,0),365*'FA Addition'!$O620)</f>
        <v>29</v>
      </c>
      <c r="AH620" s="117">
        <f>MIN(MAX($L$1-'FA Addition'!$D620+1,0),365*'FA Addition'!$O620)</f>
        <v>395</v>
      </c>
      <c r="AI620" s="117" cm="1">
        <f t="array" ref="AI620">_xlfn.XLOOKUP(1,('FA Write off'!A:A='FA Addition'!$A620)*('FA Write off'!D:D=AA620),'FA Write off'!H:H,0,0)</f>
        <v>0</v>
      </c>
      <c r="AJ620" s="117">
        <f>IF(AC620&gt;0,MAX(IF('FA Addition'!$N620="SLM",($AC620-'FA Addition'!$M620)*'FA Addition'!$P620*AI620/365,(AC620-'FA Addition'!$M620)*(1-(1-'FA Addition'!$P620)^(AI620/365))),0),0)</f>
        <v>0</v>
      </c>
      <c r="AL620" s="117">
        <f>MAX(IF(AG620&gt;0,IF('FA Addition'!$N620="SLM",($AE620-'FA Addition'!$M620)*'FA Addition'!$P620*AG620/365,IFERROR(VDB(AE620,AE620*0.05,'FA Addition'!$O620,0,YEARFRAC('FA Addition'!$C620,$P$1-1,3),'FA Addition'!$Q620),FAAddition[[#This Row],[Original Cost (Rs)]]-FAAddition[[#This Row],[Salvage Value]])),0),0)</f>
        <v>1793.0247548921557</v>
      </c>
      <c r="AM620" s="119"/>
      <c r="AN620" s="117">
        <f>MAX(IF(AH620&gt;0,IF('FA Addition'!$N620="SLM",($AF620-'FA Addition'!$M620)*'FA Addition'!$P620*AH620/365,IFERROR(VDB(AF620,AF620*0.05,'FA Addition'!$O620,0,YEARFRAC('FA Addition'!$C620,$L$1,3),'FA Addition'!$Q620),FAAddition[[#This Row],[Original Cost (Rs)]]-FAAddition[[#This Row],[Salvage Value]])),0),0)</f>
        <v>24057.470741155928</v>
      </c>
      <c r="AO620" s="117">
        <f t="shared" si="48"/>
        <v>22264.445986263774</v>
      </c>
      <c r="AP620" s="206"/>
      <c r="AQ620" s="117">
        <f t="shared" si="46"/>
        <v>35212.64191177451</v>
      </c>
      <c r="AR620" s="120">
        <f t="shared" si="47"/>
        <v>12948.195925510736</v>
      </c>
      <c r="AS620" s="121"/>
    </row>
    <row r="621" spans="1:45" ht="13.5" x14ac:dyDescent="0.4">
      <c r="A621" s="12">
        <f t="shared" si="49"/>
        <v>618</v>
      </c>
      <c r="B621" s="64" t="s">
        <v>1089</v>
      </c>
      <c r="C621" s="54">
        <v>44991</v>
      </c>
      <c r="D621" s="54">
        <v>44991</v>
      </c>
      <c r="E621" s="46" t="s">
        <v>32</v>
      </c>
      <c r="F621" s="51" t="s">
        <v>1090</v>
      </c>
      <c r="G621" s="51" t="s">
        <v>433</v>
      </c>
      <c r="H621" s="51" t="s">
        <v>32</v>
      </c>
      <c r="I621" s="55" t="s">
        <v>1335</v>
      </c>
      <c r="J621" s="56">
        <v>8000</v>
      </c>
      <c r="K621" s="51" t="s">
        <v>935</v>
      </c>
      <c r="L621" s="58">
        <v>8800000</v>
      </c>
      <c r="M621" s="50">
        <f>ROUND('FA Addition'!$L621*5%,0.1)</f>
        <v>440000</v>
      </c>
      <c r="N621" s="113" t="str">
        <f>_xlfn.XLOOKUP(_xlfn.CONCAT(E621,B621),'Year Wise Master Dep Approach'!F:F,'Year Wise Master Dep Approach'!D:D)</f>
        <v>WDV</v>
      </c>
      <c r="O621" s="113">
        <f>_xlfn.XLOOKUP(_xlfn.CONCAT(E621,B621),'Year Wise Master Dep Approach'!F:F,'Year Wise Master Dep Approach'!E:E)</f>
        <v>3</v>
      </c>
      <c r="P621" s="114">
        <f>IFERROR(IF('FA Addition'!$N621="WDV",1-('FA Addition'!$M621/'FA Addition'!$L621)^(1/'FA Addition'!$O621),1/'FA Addition'!$O621),0)</f>
        <v>0.63159685013596123</v>
      </c>
      <c r="Q621" s="122">
        <f>'FA Addition'!$P621*'FA Addition'!$O621</f>
        <v>1.8947905504078837</v>
      </c>
      <c r="R621" s="122"/>
      <c r="S621" s="116">
        <f>IF(AND(DATE(20&amp;LEFT(FAAddition[[#This Row],[FY]],2),4,1)&lt;$L$1+1,DATE(20&amp;LEFT(FAAddition[[#This Row],[FY]],2),4,1)&gt;$P$1-1),'FA Addition'!$J621,0)</f>
        <v>0</v>
      </c>
      <c r="U621" s="117">
        <f>S621*'FA Addition'!$L621/'FA Addition'!$J621</f>
        <v>0</v>
      </c>
      <c r="W621" s="116">
        <f>SUMIFS('FA Write off'!D:D,'FA Write off'!A:A,'FA Addition'!$A621,'FA Write off'!C:C,"&lt;"&amp;'FA Addition'!$P$1)</f>
        <v>160</v>
      </c>
      <c r="Y621" s="191">
        <f>IFERROR(W621/'FA Addition'!$J621*'FA Addition'!$L621,0)</f>
        <v>176000</v>
      </c>
      <c r="AA621" s="116">
        <f>SUMIFS('FA Write off'!D:D,'FA Write off'!A:A,'FA Addition'!$A621,'FA Write off'!C:C,"&lt;"&amp;'FA Addition'!$L$1+1,'FA Write off'!C:C,"&gt;"&amp;'FA Addition'!$L$1-365)</f>
        <v>860</v>
      </c>
      <c r="AC621" s="191">
        <f>IFERROR(AA621/'FA Addition'!$J621*'FA Addition'!$L621,0)</f>
        <v>946000</v>
      </c>
      <c r="AE621" s="117">
        <f>IF(AND('FA Addition'!$D621&lt;$P$1+1,U621=0),'FA Addition'!$L621,0)-Y621</f>
        <v>8624000</v>
      </c>
      <c r="AF621" s="117">
        <f>AE621+U621-AC621</f>
        <v>7678000</v>
      </c>
      <c r="AG621" s="117">
        <f>MIN(MAX(+$P$1-'FA Addition'!$D621,0),365*'FA Addition'!$O621)</f>
        <v>26</v>
      </c>
      <c r="AH621" s="117">
        <f>MIN(MAX($L$1-'FA Addition'!$D621+1,0),365*'FA Addition'!$O621)</f>
        <v>392</v>
      </c>
      <c r="AI621" s="117" cm="1">
        <f t="array" ref="AI621">_xlfn.XLOOKUP(1,('FA Write off'!A:A='FA Addition'!$A621)*('FA Write off'!D:D=AA621),'FA Write off'!H:H,0,0)</f>
        <v>392</v>
      </c>
      <c r="AJ621" s="117">
        <f>IF(AC621&gt;0,MAX(IF('FA Addition'!$N621="SLM",($AC621-'FA Addition'!$M621)*'FA Addition'!$P621*AI621/365,(AC621-'FA Addition'!$M621)*(1-(1-'FA Addition'!$P621)^(AI621/365))),0),0)</f>
        <v>332861.49629484647</v>
      </c>
      <c r="AL621" s="117">
        <f>MAX(IF(AG621&gt;0,IF('FA Addition'!$N621="SLM",($AE621-'FA Addition'!$M621)*'FA Addition'!$P621*AG621/365,IFERROR(VDB(AE621,AE621*0.05,'FA Addition'!$O621,0,YEARFRAC('FA Addition'!$C621,$P$1-1,3),'FA Addition'!$Q621),FAAddition[[#This Row],[Original Cost (Rs)]]-FAAddition[[#This Row],[Salvage Value]])),0),0)</f>
        <v>373074.74216250202</v>
      </c>
      <c r="AM621" s="119"/>
      <c r="AN621" s="117">
        <f>MAX(IF(AH621&gt;0,IF('FA Addition'!$N621="SLM",($AF621-'FA Addition'!$M621)*'FA Addition'!$P621*AH621/365,IFERROR(VDB(AF621,AF621*0.05,'FA Addition'!$O621,0,YEARFRAC('FA Addition'!$C621,$L$1,3),'FA Addition'!$Q621),FAAddition[[#This Row],[Original Cost (Rs)]]-FAAddition[[#This Row],[Salvage Value]])),0),0)</f>
        <v>4976660.604392617</v>
      </c>
      <c r="AO621" s="117">
        <f>AN621-AL621+AJ621</f>
        <v>4936447.3585249614</v>
      </c>
      <c r="AP621" s="206"/>
      <c r="AQ621" s="117">
        <f t="shared" si="46"/>
        <v>8250925.2578374976</v>
      </c>
      <c r="AR621" s="120">
        <f>AF621-AN621</f>
        <v>2701339.395607383</v>
      </c>
      <c r="AS621" s="121"/>
    </row>
    <row r="622" spans="1:45" ht="13.5" x14ac:dyDescent="0.4">
      <c r="A622" s="12">
        <f t="shared" si="49"/>
        <v>619</v>
      </c>
      <c r="B622" s="64" t="s">
        <v>1089</v>
      </c>
      <c r="C622" s="54">
        <v>45001</v>
      </c>
      <c r="D622" s="54">
        <v>45001</v>
      </c>
      <c r="E622" s="46" t="s">
        <v>451</v>
      </c>
      <c r="F622" s="51" t="s">
        <v>1133</v>
      </c>
      <c r="G622" s="51" t="s">
        <v>1290</v>
      </c>
      <c r="H622" s="51" t="s">
        <v>151</v>
      </c>
      <c r="I622" s="55" t="s">
        <v>1336</v>
      </c>
      <c r="J622" s="56">
        <v>1</v>
      </c>
      <c r="K622" s="51" t="s">
        <v>1337</v>
      </c>
      <c r="L622" s="58">
        <v>13517</v>
      </c>
      <c r="M622" s="50">
        <f>ROUND('FA Addition'!$L622*5%,0.1)</f>
        <v>676</v>
      </c>
      <c r="N622" s="113" t="str">
        <f>_xlfn.XLOOKUP(_xlfn.CONCAT(E622,B622),'Year Wise Master Dep Approach'!F:F,'Year Wise Master Dep Approach'!D:D)</f>
        <v>WDV</v>
      </c>
      <c r="O622" s="113">
        <f>_xlfn.XLOOKUP(_xlfn.CONCAT(E622,B622),'Year Wise Master Dep Approach'!F:F,'Year Wise Master Dep Approach'!E:E)</f>
        <v>3</v>
      </c>
      <c r="P622" s="114">
        <f>IFERROR(IF('FA Addition'!$N622="WDV",1-('FA Addition'!$M622/'FA Addition'!$L622)^(1/'FA Addition'!$O622),1/'FA Addition'!$O622),0)</f>
        <v>0.63156959735069673</v>
      </c>
      <c r="Q622" s="122">
        <f>'FA Addition'!$P622*'FA Addition'!$O622</f>
        <v>1.8947087920520902</v>
      </c>
      <c r="R622" s="122"/>
      <c r="S622" s="116">
        <f>IF(AND(DATE(20&amp;LEFT(FAAddition[[#This Row],[FY]],2),4,1)&lt;$L$1+1,DATE(20&amp;LEFT(FAAddition[[#This Row],[FY]],2),4,1)&gt;$P$1-1),'FA Addition'!$J622,0)</f>
        <v>0</v>
      </c>
      <c r="U622" s="117">
        <f>S622*'FA Addition'!$L622/'FA Addition'!$J622</f>
        <v>0</v>
      </c>
      <c r="W622" s="116">
        <f>SUMIFS('FA Write off'!D:D,'FA Write off'!A:A,'FA Addition'!$A622,'FA Write off'!C:C,"&lt;"&amp;'FA Addition'!$P$1)</f>
        <v>0</v>
      </c>
      <c r="Y622" s="191">
        <f>IFERROR(W622/'FA Addition'!$J622*'FA Addition'!$L622,0)</f>
        <v>0</v>
      </c>
      <c r="AA622" s="116">
        <f>SUMIFS('FA Write off'!D:D,'FA Write off'!A:A,'FA Addition'!$A622,'FA Write off'!C:C,"&lt;"&amp;'FA Addition'!$L$1+1,'FA Write off'!C:C,"&gt;"&amp;'FA Addition'!$L$1-365)</f>
        <v>0</v>
      </c>
      <c r="AC622" s="118">
        <f>IFERROR(AA622/'FA Addition'!$J622*'FA Addition'!$L622,0)</f>
        <v>0</v>
      </c>
      <c r="AE622" s="117">
        <f>IF(AND('FA Addition'!$D622&lt;$P$1+1,U622=0),'FA Addition'!$L622,0)-Y622</f>
        <v>13517</v>
      </c>
      <c r="AF622" s="117">
        <f t="shared" si="45"/>
        <v>13517</v>
      </c>
      <c r="AG622" s="117">
        <f>MIN(MAX(+$P$1-'FA Addition'!$D622,0),365*'FA Addition'!$O622)</f>
        <v>16</v>
      </c>
      <c r="AH622" s="117">
        <f>MIN(MAX($L$1-'FA Addition'!$D622+1,0),365*'FA Addition'!$O622)</f>
        <v>382</v>
      </c>
      <c r="AI622" s="117" cm="1">
        <f t="array" ref="AI622">_xlfn.XLOOKUP(1,('FA Write off'!A:A='FA Addition'!$A622)*('FA Write off'!D:D=AA622),'FA Write off'!H:H,0,0)</f>
        <v>0</v>
      </c>
      <c r="AJ622" s="117">
        <f>IF(AC622&gt;0,MAX(IF('FA Addition'!$N622="SLM",($AC622-'FA Addition'!$M622)*'FA Addition'!$P622*AI622/365,(AC622-'FA Addition'!$M622)*(1-(1-'FA Addition'!$P622)^(AI622/365))),0),0)</f>
        <v>0</v>
      </c>
      <c r="AL622" s="117">
        <f>MAX(IF(AG622&gt;0,IF('FA Addition'!$N622="SLM",($AE622-'FA Addition'!$M622)*'FA Addition'!$P622*AG622/365,IFERROR(VDB(AE622,AE622*0.05,'FA Addition'!$O622,0,YEARFRAC('FA Addition'!$C622,$P$1-1,3),'FA Addition'!$Q622),FAAddition[[#This Row],[Original Cost (Rs)]]-FAAddition[[#This Row],[Salvage Value]])),0),0)</f>
        <v>350.83258550915207</v>
      </c>
      <c r="AM622" s="119"/>
      <c r="AN622" s="117">
        <f>MAX(IF(AH622&gt;0,IF('FA Addition'!$N622="SLM",($AF622-'FA Addition'!$M622)*'FA Addition'!$P622*AH622/365,IFERROR(VDB(AF622,AF622*0.05,'FA Addition'!$O622,0,YEARFRAC('FA Addition'!$C622,$L$1,3),'FA Addition'!$Q622),FAAddition[[#This Row],[Original Cost (Rs)]]-FAAddition[[#This Row],[Salvage Value]])),0),0)</f>
        <v>8674.8007975137753</v>
      </c>
      <c r="AO622" s="117">
        <f t="shared" si="48"/>
        <v>8323.9682120046236</v>
      </c>
      <c r="AP622" s="206"/>
      <c r="AQ622" s="117">
        <f t="shared" si="46"/>
        <v>13166.167414490848</v>
      </c>
      <c r="AR622" s="120">
        <f t="shared" si="47"/>
        <v>4842.1992024862247</v>
      </c>
      <c r="AS622" s="121"/>
    </row>
    <row r="623" spans="1:45" ht="13.5" x14ac:dyDescent="0.4">
      <c r="A623" s="12">
        <f t="shared" si="49"/>
        <v>620</v>
      </c>
      <c r="B623" s="64" t="s">
        <v>1089</v>
      </c>
      <c r="C623" s="54">
        <v>45001</v>
      </c>
      <c r="D623" s="54">
        <v>45001</v>
      </c>
      <c r="E623" s="46" t="s">
        <v>451</v>
      </c>
      <c r="F623" s="51" t="s">
        <v>1133</v>
      </c>
      <c r="G623" s="51" t="s">
        <v>1290</v>
      </c>
      <c r="H623" s="51" t="s">
        <v>151</v>
      </c>
      <c r="I623" s="55" t="s">
        <v>1336</v>
      </c>
      <c r="J623" s="56">
        <v>1</v>
      </c>
      <c r="K623" s="51" t="s">
        <v>1337</v>
      </c>
      <c r="L623" s="58">
        <v>13517</v>
      </c>
      <c r="M623" s="50">
        <f>ROUND('FA Addition'!$L623*5%,0.1)</f>
        <v>676</v>
      </c>
      <c r="N623" s="113" t="str">
        <f>_xlfn.XLOOKUP(_xlfn.CONCAT(E623,B623),'Year Wise Master Dep Approach'!F:F,'Year Wise Master Dep Approach'!D:D)</f>
        <v>WDV</v>
      </c>
      <c r="O623" s="113">
        <f>_xlfn.XLOOKUP(_xlfn.CONCAT(E623,B623),'Year Wise Master Dep Approach'!F:F,'Year Wise Master Dep Approach'!E:E)</f>
        <v>3</v>
      </c>
      <c r="P623" s="114">
        <f>IFERROR(IF('FA Addition'!$N623="WDV",1-('FA Addition'!$M623/'FA Addition'!$L623)^(1/'FA Addition'!$O623),1/'FA Addition'!$O623),0)</f>
        <v>0.63156959735069673</v>
      </c>
      <c r="Q623" s="122">
        <f>'FA Addition'!$P623*'FA Addition'!$O623</f>
        <v>1.8947087920520902</v>
      </c>
      <c r="R623" s="122"/>
      <c r="S623" s="116">
        <f>IF(AND(DATE(20&amp;LEFT(FAAddition[[#This Row],[FY]],2),4,1)&lt;$L$1+1,DATE(20&amp;LEFT(FAAddition[[#This Row],[FY]],2),4,1)&gt;$P$1-1),'FA Addition'!$J623,0)</f>
        <v>0</v>
      </c>
      <c r="U623" s="117">
        <f>S623*'FA Addition'!$L623/'FA Addition'!$J623</f>
        <v>0</v>
      </c>
      <c r="W623" s="116">
        <f>SUMIFS('FA Write off'!D:D,'FA Write off'!A:A,'FA Addition'!$A623,'FA Write off'!C:C,"&lt;"&amp;'FA Addition'!$P$1)</f>
        <v>0</v>
      </c>
      <c r="Y623" s="191">
        <f>IFERROR(W623/'FA Addition'!$J623*'FA Addition'!$L623,0)</f>
        <v>0</v>
      </c>
      <c r="AA623" s="116">
        <f>SUMIFS('FA Write off'!D:D,'FA Write off'!A:A,'FA Addition'!$A623,'FA Write off'!C:C,"&lt;"&amp;'FA Addition'!$L$1+1,'FA Write off'!C:C,"&gt;"&amp;'FA Addition'!$L$1-365)</f>
        <v>0</v>
      </c>
      <c r="AC623" s="118">
        <f>IFERROR(AA623/'FA Addition'!$J623*'FA Addition'!$L623,0)</f>
        <v>0</v>
      </c>
      <c r="AE623" s="117">
        <f>IF(AND('FA Addition'!$D623&lt;$P$1+1,U623=0),'FA Addition'!$L623,0)-Y623</f>
        <v>13517</v>
      </c>
      <c r="AF623" s="117">
        <f t="shared" si="45"/>
        <v>13517</v>
      </c>
      <c r="AG623" s="117">
        <f>MIN(MAX(+$P$1-'FA Addition'!$D623,0),365*'FA Addition'!$O623)</f>
        <v>16</v>
      </c>
      <c r="AH623" s="117">
        <f>MIN(MAX($L$1-'FA Addition'!$D623+1,0),365*'FA Addition'!$O623)</f>
        <v>382</v>
      </c>
      <c r="AI623" s="117" cm="1">
        <f t="array" ref="AI623">_xlfn.XLOOKUP(1,('FA Write off'!A:A='FA Addition'!$A623)*('FA Write off'!D:D=AA623),'FA Write off'!H:H,0,0)</f>
        <v>0</v>
      </c>
      <c r="AJ623" s="117">
        <f>IF(AC623&gt;0,MAX(IF('FA Addition'!$N623="SLM",($AC623-'FA Addition'!$M623)*'FA Addition'!$P623*AI623/365,(AC623-'FA Addition'!$M623)*(1-(1-'FA Addition'!$P623)^(AI623/365))),0),0)</f>
        <v>0</v>
      </c>
      <c r="AL623" s="117">
        <f>MAX(IF(AG623&gt;0,IF('FA Addition'!$N623="SLM",($AE623-'FA Addition'!$M623)*'FA Addition'!$P623*AG623/365,IFERROR(VDB(AE623,AE623*0.05,'FA Addition'!$O623,0,YEARFRAC('FA Addition'!$C623,$P$1-1,3),'FA Addition'!$Q623),FAAddition[[#This Row],[Original Cost (Rs)]]-FAAddition[[#This Row],[Salvage Value]])),0),0)</f>
        <v>350.83258550915207</v>
      </c>
      <c r="AM623" s="119"/>
      <c r="AN623" s="117">
        <f>MAX(IF(AH623&gt;0,IF('FA Addition'!$N623="SLM",($AF623-'FA Addition'!$M623)*'FA Addition'!$P623*AH623/365,IFERROR(VDB(AF623,AF623*0.05,'FA Addition'!$O623,0,YEARFRAC('FA Addition'!$C623,$L$1,3),'FA Addition'!$Q623),FAAddition[[#This Row],[Original Cost (Rs)]]-FAAddition[[#This Row],[Salvage Value]])),0),0)</f>
        <v>8674.8007975137753</v>
      </c>
      <c r="AO623" s="117">
        <f t="shared" si="48"/>
        <v>8323.9682120046236</v>
      </c>
      <c r="AP623" s="206"/>
      <c r="AQ623" s="117">
        <f t="shared" si="46"/>
        <v>13166.167414490848</v>
      </c>
      <c r="AR623" s="120">
        <f t="shared" si="47"/>
        <v>4842.1992024862247</v>
      </c>
      <c r="AS623" s="121"/>
    </row>
    <row r="624" spans="1:45" ht="13.5" x14ac:dyDescent="0.4">
      <c r="A624" s="12">
        <f t="shared" si="49"/>
        <v>621</v>
      </c>
      <c r="B624" s="64" t="s">
        <v>1089</v>
      </c>
      <c r="C624" s="54">
        <v>45001</v>
      </c>
      <c r="D624" s="54">
        <v>45001</v>
      </c>
      <c r="E624" s="46" t="s">
        <v>451</v>
      </c>
      <c r="F624" s="51" t="s">
        <v>1133</v>
      </c>
      <c r="G624" s="51" t="s">
        <v>1290</v>
      </c>
      <c r="H624" s="51" t="s">
        <v>151</v>
      </c>
      <c r="I624" s="55" t="s">
        <v>1338</v>
      </c>
      <c r="J624" s="56">
        <v>1</v>
      </c>
      <c r="K624" s="51" t="s">
        <v>1337</v>
      </c>
      <c r="L624" s="58">
        <v>13516.94</v>
      </c>
      <c r="M624" s="50">
        <f>ROUND('FA Addition'!$L624*5%,0.1)</f>
        <v>676</v>
      </c>
      <c r="N624" s="113" t="str">
        <f>_xlfn.XLOOKUP(_xlfn.CONCAT(E624,B624),'Year Wise Master Dep Approach'!F:F,'Year Wise Master Dep Approach'!D:D)</f>
        <v>WDV</v>
      </c>
      <c r="O624" s="113">
        <f>_xlfn.XLOOKUP(_xlfn.CONCAT(E624,B624),'Year Wise Master Dep Approach'!F:F,'Year Wise Master Dep Approach'!E:E)</f>
        <v>3</v>
      </c>
      <c r="P624" s="114">
        <f>IFERROR(IF('FA Addition'!$N624="WDV",1-('FA Addition'!$M624/'FA Addition'!$L624)^(1/'FA Addition'!$O624),1/'FA Addition'!$O624),0)</f>
        <v>0.63156905221273263</v>
      </c>
      <c r="Q624" s="122">
        <f>'FA Addition'!$P624*'FA Addition'!$O624</f>
        <v>1.8947071566381979</v>
      </c>
      <c r="R624" s="122"/>
      <c r="S624" s="116">
        <f>IF(AND(DATE(20&amp;LEFT(FAAddition[[#This Row],[FY]],2),4,1)&lt;$L$1+1,DATE(20&amp;LEFT(FAAddition[[#This Row],[FY]],2),4,1)&gt;$P$1-1),'FA Addition'!$J624,0)</f>
        <v>0</v>
      </c>
      <c r="U624" s="117">
        <f>S624*'FA Addition'!$L624/'FA Addition'!$J624</f>
        <v>0</v>
      </c>
      <c r="W624" s="116">
        <f>SUMIFS('FA Write off'!D:D,'FA Write off'!A:A,'FA Addition'!$A624,'FA Write off'!C:C,"&lt;"&amp;'FA Addition'!$P$1)</f>
        <v>0</v>
      </c>
      <c r="Y624" s="191">
        <f>IFERROR(W624/'FA Addition'!$J624*'FA Addition'!$L624,0)</f>
        <v>0</v>
      </c>
      <c r="AA624" s="116">
        <f>SUMIFS('FA Write off'!D:D,'FA Write off'!A:A,'FA Addition'!$A624,'FA Write off'!C:C,"&lt;"&amp;'FA Addition'!$L$1+1,'FA Write off'!C:C,"&gt;"&amp;'FA Addition'!$L$1-365)</f>
        <v>0</v>
      </c>
      <c r="AC624" s="118">
        <f>IFERROR(AA624/'FA Addition'!$J624*'FA Addition'!$L624,0)</f>
        <v>0</v>
      </c>
      <c r="AE624" s="117">
        <f>IF(AND('FA Addition'!$D624&lt;$P$1+1,U624=0),'FA Addition'!$L624,0)-Y624</f>
        <v>13516.94</v>
      </c>
      <c r="AF624" s="117">
        <f t="shared" si="45"/>
        <v>13516.94</v>
      </c>
      <c r="AG624" s="117">
        <f>MIN(MAX(+$P$1-'FA Addition'!$D624,0),365*'FA Addition'!$O624)</f>
        <v>16</v>
      </c>
      <c r="AH624" s="117">
        <f>MIN(MAX($L$1-'FA Addition'!$D624+1,0),365*'FA Addition'!$O624)</f>
        <v>382</v>
      </c>
      <c r="AI624" s="117" cm="1">
        <f t="array" ref="AI624">_xlfn.XLOOKUP(1,('FA Write off'!A:A='FA Addition'!$A624)*('FA Write off'!D:D=AA624),'FA Write off'!H:H,0,0)</f>
        <v>0</v>
      </c>
      <c r="AJ624" s="117">
        <f>IF(AC624&gt;0,MAX(IF('FA Addition'!$N624="SLM",($AC624-'FA Addition'!$M624)*'FA Addition'!$P624*AI624/365,(AC624-'FA Addition'!$M624)*(1-(1-'FA Addition'!$P624)^(AI624/365))),0),0)</f>
        <v>0</v>
      </c>
      <c r="AL624" s="117">
        <f>MAX(IF(AG624&gt;0,IF('FA Addition'!$N624="SLM",($AE624-'FA Addition'!$M624)*'FA Addition'!$P624*AG624/365,IFERROR(VDB(AE624,AE624*0.05,'FA Addition'!$O624,0,YEARFRAC('FA Addition'!$C624,$P$1-1,3),'FA Addition'!$Q624),FAAddition[[#This Row],[Original Cost (Rs)]]-FAAddition[[#This Row],[Salvage Value]])),0),0)</f>
        <v>350.8307253951935</v>
      </c>
      <c r="AM624" s="119"/>
      <c r="AN624" s="117">
        <f>MAX(IF(AH624&gt;0,IF('FA Addition'!$N624="SLM",($AF624-'FA Addition'!$M624)*'FA Addition'!$P624*AH624/365,IFERROR(VDB(AF624,AF624*0.05,'FA Addition'!$O624,0,YEARFRAC('FA Addition'!$C624,$L$1,3),'FA Addition'!$Q624),FAAddition[[#This Row],[Original Cost (Rs)]]-FAAddition[[#This Row],[Salvage Value]])),0),0)</f>
        <v>8674.7550077313044</v>
      </c>
      <c r="AO624" s="117">
        <f t="shared" si="48"/>
        <v>8323.924282336111</v>
      </c>
      <c r="AP624" s="206"/>
      <c r="AQ624" s="117">
        <f t="shared" si="46"/>
        <v>13166.109274604807</v>
      </c>
      <c r="AR624" s="120">
        <f t="shared" si="47"/>
        <v>4842.1849922686961</v>
      </c>
      <c r="AS624" s="121"/>
    </row>
    <row r="625" spans="1:45" ht="13.5" x14ac:dyDescent="0.4">
      <c r="A625" s="12">
        <f t="shared" si="49"/>
        <v>622</v>
      </c>
      <c r="B625" s="64" t="s">
        <v>1089</v>
      </c>
      <c r="C625" s="54">
        <v>45008</v>
      </c>
      <c r="D625" s="54">
        <v>45008</v>
      </c>
      <c r="E625" s="46" t="s">
        <v>451</v>
      </c>
      <c r="F625" s="51" t="s">
        <v>1133</v>
      </c>
      <c r="G625" s="51" t="s">
        <v>1290</v>
      </c>
      <c r="H625" s="51" t="s">
        <v>21</v>
      </c>
      <c r="I625" s="55" t="s">
        <v>1339</v>
      </c>
      <c r="J625" s="56">
        <v>1</v>
      </c>
      <c r="K625" s="51" t="s">
        <v>1333</v>
      </c>
      <c r="L625" s="58">
        <v>29237.5</v>
      </c>
      <c r="M625" s="50">
        <f>ROUND('FA Addition'!$L625*5%,0.1)</f>
        <v>1462</v>
      </c>
      <c r="N625" s="113" t="str">
        <f>_xlfn.XLOOKUP(_xlfn.CONCAT(E625,B625),'Year Wise Master Dep Approach'!F:F,'Year Wise Master Dep Approach'!D:D)</f>
        <v>WDV</v>
      </c>
      <c r="O625" s="113">
        <f>_xlfn.XLOOKUP(_xlfn.CONCAT(E625,B625),'Year Wise Master Dep Approach'!F:F,'Year Wise Master Dep Approach'!E:E)</f>
        <v>3</v>
      </c>
      <c r="P625" s="114">
        <f>IFERROR(IF('FA Addition'!$N625="WDV",1-('FA Addition'!$M625/'FA Addition'!$L625)^(1/'FA Addition'!$O625),1/'FA Addition'!$O625),0)</f>
        <v>0.63158635013168429</v>
      </c>
      <c r="Q625" s="122">
        <f>'FA Addition'!$P625*'FA Addition'!$O625</f>
        <v>1.8947590503950529</v>
      </c>
      <c r="R625" s="122"/>
      <c r="S625" s="116">
        <f>IF(AND(DATE(20&amp;LEFT(FAAddition[[#This Row],[FY]],2),4,1)&lt;$L$1+1,DATE(20&amp;LEFT(FAAddition[[#This Row],[FY]],2),4,1)&gt;$P$1-1),'FA Addition'!$J625,0)</f>
        <v>0</v>
      </c>
      <c r="U625" s="117">
        <f>S625*'FA Addition'!$L625/'FA Addition'!$J625</f>
        <v>0</v>
      </c>
      <c r="W625" s="116">
        <f>SUMIFS('FA Write off'!D:D,'FA Write off'!A:A,'FA Addition'!$A625,'FA Write off'!C:C,"&lt;"&amp;'FA Addition'!$P$1)</f>
        <v>0</v>
      </c>
      <c r="Y625" s="191">
        <f>IFERROR(W625/'FA Addition'!$J625*'FA Addition'!$L625,0)</f>
        <v>0</v>
      </c>
      <c r="AA625" s="116">
        <f>SUMIFS('FA Write off'!D:D,'FA Write off'!A:A,'FA Addition'!$A625,'FA Write off'!C:C,"&lt;"&amp;'FA Addition'!$L$1+1,'FA Write off'!C:C,"&gt;"&amp;'FA Addition'!$L$1-365)</f>
        <v>0</v>
      </c>
      <c r="AC625" s="118">
        <f>IFERROR(AA625/'FA Addition'!$J625*'FA Addition'!$L625,0)</f>
        <v>0</v>
      </c>
      <c r="AE625" s="117">
        <f>IF(AND('FA Addition'!$D625&lt;$P$1+1,U625=0),'FA Addition'!$L625,0)-Y625</f>
        <v>29237.5</v>
      </c>
      <c r="AF625" s="117">
        <f t="shared" si="45"/>
        <v>29237.5</v>
      </c>
      <c r="AG625" s="117">
        <f>MIN(MAX(+$P$1-'FA Addition'!$D625,0),365*'FA Addition'!$O625)</f>
        <v>9</v>
      </c>
      <c r="AH625" s="117">
        <f>MIN(MAX($L$1-'FA Addition'!$D625+1,0),365*'FA Addition'!$O625)</f>
        <v>375</v>
      </c>
      <c r="AI625" s="117" cm="1">
        <f t="array" ref="AI625">_xlfn.XLOOKUP(1,('FA Write off'!A:A='FA Addition'!$A625)*('FA Write off'!D:D=AA625),'FA Write off'!H:H,0,0)</f>
        <v>0</v>
      </c>
      <c r="AJ625" s="117">
        <f>IF(AC625&gt;0,MAX(IF('FA Addition'!$N625="SLM",($AC625-'FA Addition'!$M625)*'FA Addition'!$P625*AI625/365,(AC625-'FA Addition'!$M625)*(1-(1-'FA Addition'!$P625)^(AI625/365))),0),0)</f>
        <v>0</v>
      </c>
      <c r="AL625" s="117">
        <f>MAX(IF(AG625&gt;0,IF('FA Addition'!$N625="SLM",($AE625-'FA Addition'!$M625)*'FA Addition'!$P625*AG625/365,IFERROR(VDB(AE625,AE625*0.05,'FA Addition'!$O625,0,YEARFRAC('FA Addition'!$C625,$P$1-1,3),'FA Addition'!$Q625),FAAddition[[#This Row],[Original Cost (Rs)]]-FAAddition[[#This Row],[Salvage Value]])),0),0)</f>
        <v>404.73437615287935</v>
      </c>
      <c r="AM625" s="119"/>
      <c r="AN625" s="117">
        <f>MAX(IF(AH625&gt;0,IF('FA Addition'!$N625="SLM",($AF625-'FA Addition'!$M625)*'FA Addition'!$P625*AH625/365,IFERROR(VDB(AF625,AF625*0.05,'FA Addition'!$O625,0,YEARFRAC('FA Addition'!$C625,$L$1,3),'FA Addition'!$Q625),FAAddition[[#This Row],[Original Cost (Rs)]]-FAAddition[[#This Row],[Salvage Value]])),0),0)</f>
        <v>18633.754289313987</v>
      </c>
      <c r="AO625" s="117">
        <f t="shared" si="48"/>
        <v>18229.019913161108</v>
      </c>
      <c r="AP625" s="206"/>
      <c r="AQ625" s="117">
        <f t="shared" si="46"/>
        <v>28832.765623847121</v>
      </c>
      <c r="AR625" s="120">
        <f t="shared" si="47"/>
        <v>10603.745710686013</v>
      </c>
      <c r="AS625" s="121"/>
    </row>
    <row r="626" spans="1:45" ht="13.5" x14ac:dyDescent="0.4">
      <c r="A626" s="12">
        <f t="shared" si="49"/>
        <v>623</v>
      </c>
      <c r="B626" s="64" t="s">
        <v>1089</v>
      </c>
      <c r="C626" s="54">
        <v>45008</v>
      </c>
      <c r="D626" s="54">
        <v>45008</v>
      </c>
      <c r="E626" s="46" t="s">
        <v>451</v>
      </c>
      <c r="F626" s="51" t="s">
        <v>1133</v>
      </c>
      <c r="G626" s="51" t="s">
        <v>1290</v>
      </c>
      <c r="H626" s="51" t="s">
        <v>21</v>
      </c>
      <c r="I626" s="55" t="s">
        <v>1339</v>
      </c>
      <c r="J626" s="56">
        <v>1</v>
      </c>
      <c r="K626" s="51" t="s">
        <v>1333</v>
      </c>
      <c r="L626" s="58">
        <v>29237.5</v>
      </c>
      <c r="M626" s="50">
        <f>ROUND('FA Addition'!$L626*5%,0.1)</f>
        <v>1462</v>
      </c>
      <c r="N626" s="113" t="str">
        <f>_xlfn.XLOOKUP(_xlfn.CONCAT(E626,B626),'Year Wise Master Dep Approach'!F:F,'Year Wise Master Dep Approach'!D:D)</f>
        <v>WDV</v>
      </c>
      <c r="O626" s="113">
        <f>_xlfn.XLOOKUP(_xlfn.CONCAT(E626,B626),'Year Wise Master Dep Approach'!F:F,'Year Wise Master Dep Approach'!E:E)</f>
        <v>3</v>
      </c>
      <c r="P626" s="114">
        <f>IFERROR(IF('FA Addition'!$N626="WDV",1-('FA Addition'!$M626/'FA Addition'!$L626)^(1/'FA Addition'!$O626),1/'FA Addition'!$O626),0)</f>
        <v>0.63158635013168429</v>
      </c>
      <c r="Q626" s="122">
        <f>'FA Addition'!$P626*'FA Addition'!$O626</f>
        <v>1.8947590503950529</v>
      </c>
      <c r="R626" s="122"/>
      <c r="S626" s="116">
        <f>IF(AND(DATE(20&amp;LEFT(FAAddition[[#This Row],[FY]],2),4,1)&lt;$L$1+1,DATE(20&amp;LEFT(FAAddition[[#This Row],[FY]],2),4,1)&gt;$P$1-1),'FA Addition'!$J626,0)</f>
        <v>0</v>
      </c>
      <c r="U626" s="117">
        <f>S626*'FA Addition'!$L626/'FA Addition'!$J626</f>
        <v>0</v>
      </c>
      <c r="W626" s="116">
        <f>SUMIFS('FA Write off'!D:D,'FA Write off'!A:A,'FA Addition'!$A626,'FA Write off'!C:C,"&lt;"&amp;'FA Addition'!$P$1)</f>
        <v>0</v>
      </c>
      <c r="Y626" s="191">
        <f>IFERROR(W626/'FA Addition'!$J626*'FA Addition'!$L626,0)</f>
        <v>0</v>
      </c>
      <c r="AA626" s="116">
        <f>SUMIFS('FA Write off'!D:D,'FA Write off'!A:A,'FA Addition'!$A626,'FA Write off'!C:C,"&lt;"&amp;'FA Addition'!$L$1+1,'FA Write off'!C:C,"&gt;"&amp;'FA Addition'!$L$1-365)</f>
        <v>0</v>
      </c>
      <c r="AC626" s="118">
        <f>IFERROR(AA626/'FA Addition'!$J626*'FA Addition'!$L626,0)</f>
        <v>0</v>
      </c>
      <c r="AE626" s="117">
        <f>IF(AND('FA Addition'!$D626&lt;$P$1+1,U626=0),'FA Addition'!$L626,0)-Y626</f>
        <v>29237.5</v>
      </c>
      <c r="AF626" s="117">
        <f t="shared" si="45"/>
        <v>29237.5</v>
      </c>
      <c r="AG626" s="117">
        <f>MIN(MAX(+$P$1-'FA Addition'!$D626,0),365*'FA Addition'!$O626)</f>
        <v>9</v>
      </c>
      <c r="AH626" s="117">
        <f>MIN(MAX($L$1-'FA Addition'!$D626+1,0),365*'FA Addition'!$O626)</f>
        <v>375</v>
      </c>
      <c r="AI626" s="117" cm="1">
        <f t="array" ref="AI626">_xlfn.XLOOKUP(1,('FA Write off'!A:A='FA Addition'!$A626)*('FA Write off'!D:D=AA626),'FA Write off'!H:H,0,0)</f>
        <v>0</v>
      </c>
      <c r="AJ626" s="117">
        <f>IF(AC626&gt;0,MAX(IF('FA Addition'!$N626="SLM",($AC626-'FA Addition'!$M626)*'FA Addition'!$P626*AI626/365,(AC626-'FA Addition'!$M626)*(1-(1-'FA Addition'!$P626)^(AI626/365))),0),0)</f>
        <v>0</v>
      </c>
      <c r="AL626" s="117">
        <f>MAX(IF(AG626&gt;0,IF('FA Addition'!$N626="SLM",($AE626-'FA Addition'!$M626)*'FA Addition'!$P626*AG626/365,IFERROR(VDB(AE626,AE626*0.05,'FA Addition'!$O626,0,YEARFRAC('FA Addition'!$C626,$P$1-1,3),'FA Addition'!$Q626),FAAddition[[#This Row],[Original Cost (Rs)]]-FAAddition[[#This Row],[Salvage Value]])),0),0)</f>
        <v>404.73437615287935</v>
      </c>
      <c r="AM626" s="119"/>
      <c r="AN626" s="117">
        <f>MAX(IF(AH626&gt;0,IF('FA Addition'!$N626="SLM",($AF626-'FA Addition'!$M626)*'FA Addition'!$P626*AH626/365,IFERROR(VDB(AF626,AF626*0.05,'FA Addition'!$O626,0,YEARFRAC('FA Addition'!$C626,$L$1,3),'FA Addition'!$Q626),FAAddition[[#This Row],[Original Cost (Rs)]]-FAAddition[[#This Row],[Salvage Value]])),0),0)</f>
        <v>18633.754289313987</v>
      </c>
      <c r="AO626" s="117">
        <f t="shared" si="48"/>
        <v>18229.019913161108</v>
      </c>
      <c r="AP626" s="206"/>
      <c r="AQ626" s="117">
        <f t="shared" si="46"/>
        <v>28832.765623847121</v>
      </c>
      <c r="AR626" s="120">
        <f t="shared" si="47"/>
        <v>10603.745710686013</v>
      </c>
      <c r="AS626" s="121"/>
    </row>
    <row r="627" spans="1:45" ht="13.5" x14ac:dyDescent="0.4">
      <c r="A627" s="12">
        <f t="shared" si="49"/>
        <v>624</v>
      </c>
      <c r="B627" s="64" t="s">
        <v>1089</v>
      </c>
      <c r="C627" s="54">
        <v>45008</v>
      </c>
      <c r="D627" s="54">
        <v>45008</v>
      </c>
      <c r="E627" s="46" t="s">
        <v>451</v>
      </c>
      <c r="F627" s="51" t="s">
        <v>1133</v>
      </c>
      <c r="G627" s="51" t="s">
        <v>1290</v>
      </c>
      <c r="H627" s="51" t="s">
        <v>21</v>
      </c>
      <c r="I627" s="55" t="s">
        <v>1339</v>
      </c>
      <c r="J627" s="56">
        <v>1</v>
      </c>
      <c r="K627" s="51" t="s">
        <v>1333</v>
      </c>
      <c r="L627" s="58">
        <v>29237.5</v>
      </c>
      <c r="M627" s="50">
        <f>ROUND('FA Addition'!$L627*5%,0.1)</f>
        <v>1462</v>
      </c>
      <c r="N627" s="113" t="str">
        <f>_xlfn.XLOOKUP(_xlfn.CONCAT(E627,B627),'Year Wise Master Dep Approach'!F:F,'Year Wise Master Dep Approach'!D:D)</f>
        <v>WDV</v>
      </c>
      <c r="O627" s="113">
        <f>_xlfn.XLOOKUP(_xlfn.CONCAT(E627,B627),'Year Wise Master Dep Approach'!F:F,'Year Wise Master Dep Approach'!E:E)</f>
        <v>3</v>
      </c>
      <c r="P627" s="114">
        <f>IFERROR(IF('FA Addition'!$N627="WDV",1-('FA Addition'!$M627/'FA Addition'!$L627)^(1/'FA Addition'!$O627),1/'FA Addition'!$O627),0)</f>
        <v>0.63158635013168429</v>
      </c>
      <c r="Q627" s="122">
        <f>'FA Addition'!$P627*'FA Addition'!$O627</f>
        <v>1.8947590503950529</v>
      </c>
      <c r="R627" s="122"/>
      <c r="S627" s="116">
        <f>IF(AND(DATE(20&amp;LEFT(FAAddition[[#This Row],[FY]],2),4,1)&lt;$L$1+1,DATE(20&amp;LEFT(FAAddition[[#This Row],[FY]],2),4,1)&gt;$P$1-1),'FA Addition'!$J627,0)</f>
        <v>0</v>
      </c>
      <c r="U627" s="117">
        <f>S627*'FA Addition'!$L627/'FA Addition'!$J627</f>
        <v>0</v>
      </c>
      <c r="W627" s="116">
        <f>SUMIFS('FA Write off'!D:D,'FA Write off'!A:A,'FA Addition'!$A627,'FA Write off'!C:C,"&lt;"&amp;'FA Addition'!$P$1)</f>
        <v>0</v>
      </c>
      <c r="Y627" s="191">
        <f>IFERROR(W627/'FA Addition'!$J627*'FA Addition'!$L627,0)</f>
        <v>0</v>
      </c>
      <c r="AA627" s="116">
        <f>SUMIFS('FA Write off'!D:D,'FA Write off'!A:A,'FA Addition'!$A627,'FA Write off'!C:C,"&lt;"&amp;'FA Addition'!$L$1+1,'FA Write off'!C:C,"&gt;"&amp;'FA Addition'!$L$1-365)</f>
        <v>0</v>
      </c>
      <c r="AC627" s="118">
        <f>IFERROR(AA627/'FA Addition'!$J627*'FA Addition'!$L627,0)</f>
        <v>0</v>
      </c>
      <c r="AE627" s="117">
        <f>IF(AND('FA Addition'!$D627&lt;$P$1+1,U627=0),'FA Addition'!$L627,0)-Y627</f>
        <v>29237.5</v>
      </c>
      <c r="AF627" s="117">
        <f t="shared" si="45"/>
        <v>29237.5</v>
      </c>
      <c r="AG627" s="117">
        <f>MIN(MAX(+$P$1-'FA Addition'!$D627,0),365*'FA Addition'!$O627)</f>
        <v>9</v>
      </c>
      <c r="AH627" s="117">
        <f>MIN(MAX($L$1-'FA Addition'!$D627+1,0),365*'FA Addition'!$O627)</f>
        <v>375</v>
      </c>
      <c r="AI627" s="117" cm="1">
        <f t="array" ref="AI627">_xlfn.XLOOKUP(1,('FA Write off'!A:A='FA Addition'!$A627)*('FA Write off'!D:D=AA627),'FA Write off'!H:H,0,0)</f>
        <v>0</v>
      </c>
      <c r="AJ627" s="117">
        <f>IF(AC627&gt;0,MAX(IF('FA Addition'!$N627="SLM",($AC627-'FA Addition'!$M627)*'FA Addition'!$P627*AI627/365,(AC627-'FA Addition'!$M627)*(1-(1-'FA Addition'!$P627)^(AI627/365))),0),0)</f>
        <v>0</v>
      </c>
      <c r="AL627" s="117">
        <f>MAX(IF(AG627&gt;0,IF('FA Addition'!$N627="SLM",($AE627-'FA Addition'!$M627)*'FA Addition'!$P627*AG627/365,IFERROR(VDB(AE627,AE627*0.05,'FA Addition'!$O627,0,YEARFRAC('FA Addition'!$C627,$P$1-1,3),'FA Addition'!$Q627),FAAddition[[#This Row],[Original Cost (Rs)]]-FAAddition[[#This Row],[Salvage Value]])),0),0)</f>
        <v>404.73437615287935</v>
      </c>
      <c r="AM627" s="119"/>
      <c r="AN627" s="117">
        <f>MAX(IF(AH627&gt;0,IF('FA Addition'!$N627="SLM",($AF627-'FA Addition'!$M627)*'FA Addition'!$P627*AH627/365,IFERROR(VDB(AF627,AF627*0.05,'FA Addition'!$O627,0,YEARFRAC('FA Addition'!$C627,$L$1,3),'FA Addition'!$Q627),FAAddition[[#This Row],[Original Cost (Rs)]]-FAAddition[[#This Row],[Salvage Value]])),0),0)</f>
        <v>18633.754289313987</v>
      </c>
      <c r="AO627" s="117">
        <f t="shared" si="48"/>
        <v>18229.019913161108</v>
      </c>
      <c r="AP627" s="206"/>
      <c r="AQ627" s="117">
        <f t="shared" si="46"/>
        <v>28832.765623847121</v>
      </c>
      <c r="AR627" s="120">
        <f t="shared" si="47"/>
        <v>10603.745710686013</v>
      </c>
      <c r="AS627" s="121"/>
    </row>
    <row r="628" spans="1:45" ht="13.5" x14ac:dyDescent="0.4">
      <c r="A628" s="12">
        <f t="shared" si="49"/>
        <v>625</v>
      </c>
      <c r="B628" s="64" t="s">
        <v>1089</v>
      </c>
      <c r="C628" s="54">
        <v>45008</v>
      </c>
      <c r="D628" s="54">
        <v>45008</v>
      </c>
      <c r="E628" s="46" t="s">
        <v>451</v>
      </c>
      <c r="F628" s="51" t="s">
        <v>1133</v>
      </c>
      <c r="G628" s="51" t="s">
        <v>1290</v>
      </c>
      <c r="H628" s="51" t="s">
        <v>21</v>
      </c>
      <c r="I628" s="55" t="s">
        <v>1339</v>
      </c>
      <c r="J628" s="56">
        <v>1</v>
      </c>
      <c r="K628" s="51" t="s">
        <v>1333</v>
      </c>
      <c r="L628" s="58">
        <v>29237.5</v>
      </c>
      <c r="M628" s="50">
        <f>ROUND('FA Addition'!$L628*5%,0.1)</f>
        <v>1462</v>
      </c>
      <c r="N628" s="113" t="str">
        <f>_xlfn.XLOOKUP(_xlfn.CONCAT(E628,B628),'Year Wise Master Dep Approach'!F:F,'Year Wise Master Dep Approach'!D:D)</f>
        <v>WDV</v>
      </c>
      <c r="O628" s="113">
        <f>_xlfn.XLOOKUP(_xlfn.CONCAT(E628,B628),'Year Wise Master Dep Approach'!F:F,'Year Wise Master Dep Approach'!E:E)</f>
        <v>3</v>
      </c>
      <c r="P628" s="114">
        <f>IFERROR(IF('FA Addition'!$N628="WDV",1-('FA Addition'!$M628/'FA Addition'!$L628)^(1/'FA Addition'!$O628),1/'FA Addition'!$O628),0)</f>
        <v>0.63158635013168429</v>
      </c>
      <c r="Q628" s="122">
        <f>'FA Addition'!$P628*'FA Addition'!$O628</f>
        <v>1.8947590503950529</v>
      </c>
      <c r="R628" s="122"/>
      <c r="S628" s="116">
        <f>IF(AND(DATE(20&amp;LEFT(FAAddition[[#This Row],[FY]],2),4,1)&lt;$L$1+1,DATE(20&amp;LEFT(FAAddition[[#This Row],[FY]],2),4,1)&gt;$P$1-1),'FA Addition'!$J628,0)</f>
        <v>0</v>
      </c>
      <c r="U628" s="117">
        <f>S628*'FA Addition'!$L628/'FA Addition'!$J628</f>
        <v>0</v>
      </c>
      <c r="W628" s="116">
        <f>SUMIFS('FA Write off'!D:D,'FA Write off'!A:A,'FA Addition'!$A628,'FA Write off'!C:C,"&lt;"&amp;'FA Addition'!$P$1)</f>
        <v>0</v>
      </c>
      <c r="Y628" s="191">
        <f>IFERROR(W628/'FA Addition'!$J628*'FA Addition'!$L628,0)</f>
        <v>0</v>
      </c>
      <c r="AA628" s="116">
        <f>SUMIFS('FA Write off'!D:D,'FA Write off'!A:A,'FA Addition'!$A628,'FA Write off'!C:C,"&lt;"&amp;'FA Addition'!$L$1+1,'FA Write off'!C:C,"&gt;"&amp;'FA Addition'!$L$1-365)</f>
        <v>0</v>
      </c>
      <c r="AC628" s="118">
        <f>IFERROR(AA628/'FA Addition'!$J628*'FA Addition'!$L628,0)</f>
        <v>0</v>
      </c>
      <c r="AE628" s="117">
        <f>IF(AND('FA Addition'!$D628&lt;$P$1+1,U628=0),'FA Addition'!$L628,0)-Y628</f>
        <v>29237.5</v>
      </c>
      <c r="AF628" s="117">
        <f t="shared" si="45"/>
        <v>29237.5</v>
      </c>
      <c r="AG628" s="117">
        <f>MIN(MAX(+$P$1-'FA Addition'!$D628,0),365*'FA Addition'!$O628)</f>
        <v>9</v>
      </c>
      <c r="AH628" s="117">
        <f>MIN(MAX($L$1-'FA Addition'!$D628+1,0),365*'FA Addition'!$O628)</f>
        <v>375</v>
      </c>
      <c r="AI628" s="117" cm="1">
        <f t="array" ref="AI628">_xlfn.XLOOKUP(1,('FA Write off'!A:A='FA Addition'!$A628)*('FA Write off'!D:D=AA628),'FA Write off'!H:H,0,0)</f>
        <v>0</v>
      </c>
      <c r="AJ628" s="117">
        <f>IF(AC628&gt;0,MAX(IF('FA Addition'!$N628="SLM",($AC628-'FA Addition'!$M628)*'FA Addition'!$P628*AI628/365,(AC628-'FA Addition'!$M628)*(1-(1-'FA Addition'!$P628)^(AI628/365))),0),0)</f>
        <v>0</v>
      </c>
      <c r="AL628" s="117">
        <f>MAX(IF(AG628&gt;0,IF('FA Addition'!$N628="SLM",($AE628-'FA Addition'!$M628)*'FA Addition'!$P628*AG628/365,IFERROR(VDB(AE628,AE628*0.05,'FA Addition'!$O628,0,YEARFRAC('FA Addition'!$C628,$P$1-1,3),'FA Addition'!$Q628),FAAddition[[#This Row],[Original Cost (Rs)]]-FAAddition[[#This Row],[Salvage Value]])),0),0)</f>
        <v>404.73437615287935</v>
      </c>
      <c r="AM628" s="119"/>
      <c r="AN628" s="117">
        <f>MAX(IF(AH628&gt;0,IF('FA Addition'!$N628="SLM",($AF628-'FA Addition'!$M628)*'FA Addition'!$P628*AH628/365,IFERROR(VDB(AF628,AF628*0.05,'FA Addition'!$O628,0,YEARFRAC('FA Addition'!$C628,$L$1,3),'FA Addition'!$Q628),FAAddition[[#This Row],[Original Cost (Rs)]]-FAAddition[[#This Row],[Salvage Value]])),0),0)</f>
        <v>18633.754289313987</v>
      </c>
      <c r="AO628" s="117">
        <f t="shared" si="48"/>
        <v>18229.019913161108</v>
      </c>
      <c r="AP628" s="206"/>
      <c r="AQ628" s="117">
        <f t="shared" si="46"/>
        <v>28832.765623847121</v>
      </c>
      <c r="AR628" s="120">
        <f t="shared" si="47"/>
        <v>10603.745710686013</v>
      </c>
      <c r="AS628" s="121"/>
    </row>
    <row r="629" spans="1:45" ht="13.5" x14ac:dyDescent="0.4">
      <c r="A629" s="12">
        <f t="shared" si="49"/>
        <v>626</v>
      </c>
      <c r="B629" s="64" t="s">
        <v>1089</v>
      </c>
      <c r="C629" s="54">
        <v>45015</v>
      </c>
      <c r="D629" s="54">
        <v>45015</v>
      </c>
      <c r="E629" s="46" t="s">
        <v>451</v>
      </c>
      <c r="F629" s="51" t="s">
        <v>1133</v>
      </c>
      <c r="G629" s="51" t="s">
        <v>1290</v>
      </c>
      <c r="H629" s="51" t="s">
        <v>21</v>
      </c>
      <c r="I629" s="55" t="s">
        <v>1340</v>
      </c>
      <c r="J629" s="56">
        <v>1</v>
      </c>
      <c r="K629" s="51" t="s">
        <v>1341</v>
      </c>
      <c r="L629" s="58">
        <v>49000</v>
      </c>
      <c r="M629" s="50">
        <f>ROUND('FA Addition'!$L629*5%,0.1)</f>
        <v>2450</v>
      </c>
      <c r="N629" s="113" t="str">
        <f>_xlfn.XLOOKUP(_xlfn.CONCAT(E629,B629),'Year Wise Master Dep Approach'!F:F,'Year Wise Master Dep Approach'!D:D)</f>
        <v>WDV</v>
      </c>
      <c r="O629" s="113">
        <f>_xlfn.XLOOKUP(_xlfn.CONCAT(E629,B629),'Year Wise Master Dep Approach'!F:F,'Year Wise Master Dep Approach'!E:E)</f>
        <v>3</v>
      </c>
      <c r="P629" s="114">
        <f>IFERROR(IF('FA Addition'!$N629="WDV",1-('FA Addition'!$M629/'FA Addition'!$L629)^(1/'FA Addition'!$O629),1/'FA Addition'!$O629),0)</f>
        <v>0.63159685013596123</v>
      </c>
      <c r="Q629" s="122">
        <f>'FA Addition'!$P629*'FA Addition'!$O629</f>
        <v>1.8947905504078837</v>
      </c>
      <c r="R629" s="122"/>
      <c r="S629" s="116">
        <f>IF(AND(DATE(20&amp;LEFT(FAAddition[[#This Row],[FY]],2),4,1)&lt;$L$1+1,DATE(20&amp;LEFT(FAAddition[[#This Row],[FY]],2),4,1)&gt;$P$1-1),'FA Addition'!$J629,0)</f>
        <v>0</v>
      </c>
      <c r="U629" s="117">
        <f>S629*'FA Addition'!$L629/'FA Addition'!$J629</f>
        <v>0</v>
      </c>
      <c r="W629" s="116">
        <f>SUMIFS('FA Write off'!D:D,'FA Write off'!A:A,'FA Addition'!$A629,'FA Write off'!C:C,"&lt;"&amp;'FA Addition'!$P$1)</f>
        <v>0</v>
      </c>
      <c r="Y629" s="191">
        <f>IFERROR(W629/'FA Addition'!$J629*'FA Addition'!$L629,0)</f>
        <v>0</v>
      </c>
      <c r="AA629" s="116">
        <f>SUMIFS('FA Write off'!D:D,'FA Write off'!A:A,'FA Addition'!$A629,'FA Write off'!C:C,"&lt;"&amp;'FA Addition'!$L$1+1,'FA Write off'!C:C,"&gt;"&amp;'FA Addition'!$L$1-365)</f>
        <v>0</v>
      </c>
      <c r="AC629" s="118">
        <f>IFERROR(AA629/'FA Addition'!$J629*'FA Addition'!$L629,0)</f>
        <v>0</v>
      </c>
      <c r="AE629" s="117">
        <f>IF(AND('FA Addition'!$D629&lt;$P$1+1,U629=0),'FA Addition'!$L629,0)-Y629</f>
        <v>49000</v>
      </c>
      <c r="AF629" s="117">
        <f t="shared" si="45"/>
        <v>49000</v>
      </c>
      <c r="AG629" s="117">
        <f>MIN(MAX(+$P$1-'FA Addition'!$D629,0),365*'FA Addition'!$O629)</f>
        <v>2</v>
      </c>
      <c r="AH629" s="117">
        <f>MIN(MAX($L$1-'FA Addition'!$D629+1,0),365*'FA Addition'!$O629)</f>
        <v>368</v>
      </c>
      <c r="AI629" s="117" cm="1">
        <f t="array" ref="AI629">_xlfn.XLOOKUP(1,('FA Write off'!A:A='FA Addition'!$A629)*('FA Write off'!D:D=AA629),'FA Write off'!H:H,0,0)</f>
        <v>0</v>
      </c>
      <c r="AJ629" s="117">
        <f>IF(AC629&gt;0,MAX(IF('FA Addition'!$N629="SLM",($AC629-'FA Addition'!$M629)*'FA Addition'!$P629*AI629/365,(AC629-'FA Addition'!$M629)*(1-(1-'FA Addition'!$P629)^(AI629/365))),0),0)</f>
        <v>0</v>
      </c>
      <c r="AL629" s="117">
        <f>MAX(IF(AG629&gt;0,IF('FA Addition'!$N629="SLM",($AE629-'FA Addition'!$M629)*'FA Addition'!$P629*AG629/365,IFERROR(VDB(AE629,AE629*0.05,'FA Addition'!$O629,0,YEARFRAC('FA Addition'!$C629,$P$1-1,3),'FA Addition'!$Q629),FAAddition[[#This Row],[Original Cost (Rs)]]-FAAddition[[#This Row],[Salvage Value]])),0),0)</f>
        <v>84.789714127841378</v>
      </c>
      <c r="AM629" s="119"/>
      <c r="AN629" s="117">
        <f>MAX(IF(AH629&gt;0,IF('FA Addition'!$N629="SLM",($AF629-'FA Addition'!$M629)*'FA Addition'!$P629*AH629/365,IFERROR(VDB(AF629,AF629*0.05,'FA Addition'!$O629,0,YEARFRAC('FA Addition'!$C629,$L$1,3),'FA Addition'!$Q629),FAAddition[[#This Row],[Original Cost (Rs)]]-FAAddition[[#This Row],[Salvage Value]])),0),0)</f>
        <v>31010.719252183637</v>
      </c>
      <c r="AO629" s="117">
        <f t="shared" si="48"/>
        <v>30925.929538055796</v>
      </c>
      <c r="AP629" s="206"/>
      <c r="AQ629" s="117">
        <f t="shared" si="46"/>
        <v>48915.210285872156</v>
      </c>
      <c r="AR629" s="120">
        <f t="shared" si="47"/>
        <v>17989.280747816363</v>
      </c>
      <c r="AS629" s="121"/>
    </row>
    <row r="630" spans="1:45" ht="13.5" x14ac:dyDescent="0.4">
      <c r="A630" s="12">
        <f t="shared" si="49"/>
        <v>627</v>
      </c>
      <c r="B630" s="64" t="s">
        <v>1089</v>
      </c>
      <c r="C630" s="54">
        <v>45016</v>
      </c>
      <c r="D630" s="54">
        <v>45016</v>
      </c>
      <c r="E630" s="46" t="s">
        <v>451</v>
      </c>
      <c r="F630" s="51" t="s">
        <v>1133</v>
      </c>
      <c r="G630" s="51" t="s">
        <v>1342</v>
      </c>
      <c r="H630" s="51" t="s">
        <v>244</v>
      </c>
      <c r="I630" s="55" t="s">
        <v>1343</v>
      </c>
      <c r="J630" s="56">
        <v>1</v>
      </c>
      <c r="K630" s="51" t="s">
        <v>1344</v>
      </c>
      <c r="L630" s="58">
        <v>59900</v>
      </c>
      <c r="M630" s="50">
        <f>ROUND('FA Addition'!$L630*5%,0.1)</f>
        <v>2995</v>
      </c>
      <c r="N630" s="113" t="str">
        <f>_xlfn.XLOOKUP(_xlfn.CONCAT(E630,B630),'Year Wise Master Dep Approach'!F:F,'Year Wise Master Dep Approach'!D:D)</f>
        <v>WDV</v>
      </c>
      <c r="O630" s="113">
        <f>_xlfn.XLOOKUP(_xlfn.CONCAT(E630,B630),'Year Wise Master Dep Approach'!F:F,'Year Wise Master Dep Approach'!E:E)</f>
        <v>3</v>
      </c>
      <c r="P630" s="114">
        <f>IFERROR(IF('FA Addition'!$N630="WDV",1-('FA Addition'!$M630/'FA Addition'!$L630)^(1/'FA Addition'!$O630),1/'FA Addition'!$O630),0)</f>
        <v>0.63159685013596123</v>
      </c>
      <c r="Q630" s="122">
        <f>'FA Addition'!$P630*'FA Addition'!$O630</f>
        <v>1.8947905504078837</v>
      </c>
      <c r="R630" s="122"/>
      <c r="S630" s="116">
        <f>IF(AND(DATE(20&amp;LEFT(FAAddition[[#This Row],[FY]],2),4,1)&lt;$L$1+1,DATE(20&amp;LEFT(FAAddition[[#This Row],[FY]],2),4,1)&gt;$P$1-1),'FA Addition'!$J630,0)</f>
        <v>0</v>
      </c>
      <c r="U630" s="117">
        <f>S630*'FA Addition'!$L630/'FA Addition'!$J630</f>
        <v>0</v>
      </c>
      <c r="W630" s="116">
        <f>SUMIFS('FA Write off'!D:D,'FA Write off'!A:A,'FA Addition'!$A630,'FA Write off'!C:C,"&lt;"&amp;'FA Addition'!$P$1)</f>
        <v>0</v>
      </c>
      <c r="Y630" s="191">
        <f>IFERROR(W630/'FA Addition'!$J630*'FA Addition'!$L630,0)</f>
        <v>0</v>
      </c>
      <c r="AA630" s="116">
        <f>SUMIFS('FA Write off'!D:D,'FA Write off'!A:A,'FA Addition'!$A630,'FA Write off'!C:C,"&lt;"&amp;'FA Addition'!$L$1+1,'FA Write off'!C:C,"&gt;"&amp;'FA Addition'!$L$1-365)</f>
        <v>0</v>
      </c>
      <c r="AC630" s="118">
        <f>IFERROR(AA630/'FA Addition'!$J630*'FA Addition'!$L630,0)</f>
        <v>0</v>
      </c>
      <c r="AE630" s="117">
        <f>IF(AND('FA Addition'!$D630&lt;$P$1+1,U630=0),'FA Addition'!$L630,0)-Y630</f>
        <v>59900</v>
      </c>
      <c r="AF630" s="117">
        <f t="shared" si="45"/>
        <v>59900</v>
      </c>
      <c r="AG630" s="117">
        <f>MIN(MAX(+$P$1-'FA Addition'!$D630,0),365*'FA Addition'!$O630)</f>
        <v>1</v>
      </c>
      <c r="AH630" s="117">
        <f>MIN(MAX($L$1-'FA Addition'!$D630+1,0),365*'FA Addition'!$O630)</f>
        <v>367</v>
      </c>
      <c r="AI630" s="117" cm="1">
        <f t="array" ref="AI630">_xlfn.XLOOKUP(1,('FA Write off'!A:A='FA Addition'!$A630)*('FA Write off'!D:D=AA630),'FA Write off'!H:H,0,0)</f>
        <v>0</v>
      </c>
      <c r="AJ630" s="117">
        <f>IF(AC630&gt;0,MAX(IF('FA Addition'!$N630="SLM",($AC630-'FA Addition'!$M630)*'FA Addition'!$P630*AI630/365,(AC630-'FA Addition'!$M630)*(1-(1-'FA Addition'!$P630)^(AI630/365))),0),0)</f>
        <v>0</v>
      </c>
      <c r="AL630" s="117">
        <f>MAX(IF(AG630&gt;0,IF('FA Addition'!$N630="SLM",($AE630-'FA Addition'!$M630)*'FA Addition'!$P630*AG630/365,IFERROR(VDB(AE630,AE630*0.05,'FA Addition'!$O630,0,YEARFRAC('FA Addition'!$C630,$P$1-1,3),'FA Addition'!$Q630),FAAddition[[#This Row],[Original Cost (Rs)]]-FAAddition[[#This Row],[Salvage Value]])),0),0)</f>
        <v>0</v>
      </c>
      <c r="AM630" s="119"/>
      <c r="AN630" s="117">
        <f>MAX(IF(AH630&gt;0,IF('FA Addition'!$N630="SLM",($AF630-'FA Addition'!$M630)*'FA Addition'!$P630*AH630/365,IFERROR(VDB(AF630,AF630*0.05,'FA Addition'!$O630,0,YEARFRAC('FA Addition'!$C630,$L$1,3),'FA Addition'!$Q630),FAAddition[[#This Row],[Original Cost (Rs)]]-FAAddition[[#This Row],[Salvage Value]])),0),0)</f>
        <v>37870.836714692443</v>
      </c>
      <c r="AO630" s="117">
        <f t="shared" si="48"/>
        <v>37870.836714692443</v>
      </c>
      <c r="AP630" s="206"/>
      <c r="AQ630" s="117">
        <f t="shared" si="46"/>
        <v>59900</v>
      </c>
      <c r="AR630" s="120">
        <f t="shared" si="47"/>
        <v>22029.163285307557</v>
      </c>
      <c r="AS630" s="121"/>
    </row>
    <row r="631" spans="1:45" ht="13.5" x14ac:dyDescent="0.4">
      <c r="A631" s="12">
        <f t="shared" si="49"/>
        <v>628</v>
      </c>
      <c r="B631" s="64" t="s">
        <v>1308</v>
      </c>
      <c r="C631" s="54">
        <v>45019</v>
      </c>
      <c r="D631" s="54">
        <v>45019</v>
      </c>
      <c r="E631" s="46" t="s">
        <v>523</v>
      </c>
      <c r="F631" s="51" t="s">
        <v>279</v>
      </c>
      <c r="G631" s="51" t="s">
        <v>1345</v>
      </c>
      <c r="H631" s="51" t="s">
        <v>523</v>
      </c>
      <c r="I631" s="55">
        <v>116</v>
      </c>
      <c r="J631" s="56">
        <v>10</v>
      </c>
      <c r="K631" s="51" t="s">
        <v>1175</v>
      </c>
      <c r="L631" s="58">
        <v>36500</v>
      </c>
      <c r="M631" s="50">
        <f>ROUND('FA Addition'!$L631*5%,0.1)</f>
        <v>1825</v>
      </c>
      <c r="N631" s="113" t="str">
        <f>_xlfn.XLOOKUP(_xlfn.CONCAT(E631,B631),'Year Wise Master Dep Approach'!F:F,'Year Wise Master Dep Approach'!D:D)</f>
        <v>WDV</v>
      </c>
      <c r="O631" s="113">
        <f>_xlfn.XLOOKUP(_xlfn.CONCAT(E631,B631),'Year Wise Master Dep Approach'!F:F,'Year Wise Master Dep Approach'!E:E)</f>
        <v>10</v>
      </c>
      <c r="P631" s="114">
        <f>IFERROR(IF('FA Addition'!$N631="WDV",1-('FA Addition'!$M631/'FA Addition'!$L631)^(1/'FA Addition'!$O631),1/'FA Addition'!$O631),0)</f>
        <v>0.2588655508930523</v>
      </c>
      <c r="Q631" s="122">
        <f>'FA Addition'!$P631*'FA Addition'!$O631</f>
        <v>2.5886555089305228</v>
      </c>
      <c r="R631" s="122"/>
      <c r="S631" s="116">
        <f>IF(AND(DATE(20&amp;LEFT(FAAddition[[#This Row],[FY]],2),4,1)&lt;$L$1+1,DATE(20&amp;LEFT(FAAddition[[#This Row],[FY]],2),4,1)&gt;$P$1-1),'FA Addition'!$J631,0)</f>
        <v>10</v>
      </c>
      <c r="U631" s="117">
        <f>S631*'FA Addition'!$L631/'FA Addition'!$J631</f>
        <v>36500</v>
      </c>
      <c r="W631" s="116">
        <f>SUMIFS('FA Write off'!D:D,'FA Write off'!A:A,'FA Addition'!$A631,'FA Write off'!C:C,"&lt;"&amp;'FA Addition'!$P$1)</f>
        <v>0</v>
      </c>
      <c r="Y631" s="191">
        <f>IFERROR(W631/'FA Addition'!$J631*'FA Addition'!$L631,0)</f>
        <v>0</v>
      </c>
      <c r="AA631" s="116">
        <f>SUMIFS('FA Write off'!D:D,'FA Write off'!A:A,'FA Addition'!$A631,'FA Write off'!C:C,"&lt;"&amp;'FA Addition'!$L$1+1,'FA Write off'!C:C,"&gt;"&amp;'FA Addition'!$L$1-365)</f>
        <v>0</v>
      </c>
      <c r="AC631" s="118">
        <f>IFERROR(AA631/'FA Addition'!$J631*'FA Addition'!$L631,0)</f>
        <v>0</v>
      </c>
      <c r="AE631" s="117">
        <f>IF(AND('FA Addition'!$D631&lt;$P$1+1,U631=0),'FA Addition'!$L631,0)-Y631</f>
        <v>0</v>
      </c>
      <c r="AF631" s="117">
        <f t="shared" si="45"/>
        <v>36500</v>
      </c>
      <c r="AG631" s="117">
        <f>MIN(MAX(+$P$1-'FA Addition'!$D631,0),365*'FA Addition'!$O631)</f>
        <v>0</v>
      </c>
      <c r="AH631" s="117">
        <f>MIN(MAX($L$1-'FA Addition'!$D631+1,0),365*'FA Addition'!$O631)</f>
        <v>364</v>
      </c>
      <c r="AI631" s="117" cm="1">
        <f t="array" ref="AI631">_xlfn.XLOOKUP(1,('FA Write off'!A:A='FA Addition'!$A631)*('FA Write off'!D:D=AA631),'FA Write off'!H:H,0,0)</f>
        <v>0</v>
      </c>
      <c r="AJ631" s="117">
        <f>IF(AC631&gt;0,MAX(IF('FA Addition'!$N631="SLM",($AC631-'FA Addition'!$M631)*'FA Addition'!$P631*AI631/365,(AC631-'FA Addition'!$M631)*(1-(1-'FA Addition'!$P631)^(AI631/365))),0),0)</f>
        <v>0</v>
      </c>
      <c r="AL631" s="117">
        <f>MAX(IF(AG631&gt;0,IF('FA Addition'!$N631="SLM",($AE631-'FA Addition'!$M631)*'FA Addition'!$P631*AG631/365,IFERROR(VDB(AE631,AE631*0.05,'FA Addition'!$O631,0,YEARFRAC('FA Addition'!$C631,$P$1-1,3),'FA Addition'!$Q631),FAAddition[[#This Row],[Original Cost (Rs)]]-FAAddition[[#This Row],[Salvage Value]])),0),0)</f>
        <v>0</v>
      </c>
      <c r="AM631" s="119"/>
      <c r="AN631" s="117">
        <f>MAX(IF(AH631&gt;0,IF('FA Addition'!$N631="SLM",($AF631-'FA Addition'!$M631)*'FA Addition'!$P631*AH631/365,IFERROR(VDB(AF631,AF631*0.05,'FA Addition'!$O631,0,YEARFRAC('FA Addition'!$C631,$L$1,3),'FA Addition'!$Q631),FAAddition[[#This Row],[Original Cost (Rs)]]-FAAddition[[#This Row],[Salvage Value]])),0),0)</f>
        <v>9396.8194974177986</v>
      </c>
      <c r="AO631" s="117">
        <f t="shared" si="48"/>
        <v>9396.8194974177986</v>
      </c>
      <c r="AQ631" s="117">
        <f t="shared" si="46"/>
        <v>0</v>
      </c>
      <c r="AR631" s="120">
        <f t="shared" si="47"/>
        <v>27103.180502582203</v>
      </c>
      <c r="AS631" s="121"/>
    </row>
    <row r="632" spans="1:45" ht="13.5" x14ac:dyDescent="0.4">
      <c r="A632" s="12">
        <f t="shared" si="49"/>
        <v>629</v>
      </c>
      <c r="B632" s="64" t="s">
        <v>1308</v>
      </c>
      <c r="C632" s="54">
        <v>45023</v>
      </c>
      <c r="D632" s="54">
        <v>45023</v>
      </c>
      <c r="E632" s="46" t="s">
        <v>451</v>
      </c>
      <c r="F632" s="51" t="s">
        <v>19</v>
      </c>
      <c r="G632" s="51" t="s">
        <v>1290</v>
      </c>
      <c r="H632" s="51" t="s">
        <v>21</v>
      </c>
      <c r="I632" s="55" t="s">
        <v>1346</v>
      </c>
      <c r="J632" s="56">
        <v>1</v>
      </c>
      <c r="K632" s="51" t="s">
        <v>1341</v>
      </c>
      <c r="L632" s="58">
        <v>49000</v>
      </c>
      <c r="M632" s="50">
        <f>ROUND('FA Addition'!$L632*5%,0.1)</f>
        <v>2450</v>
      </c>
      <c r="N632" s="113" t="str">
        <f>_xlfn.XLOOKUP(_xlfn.CONCAT(E632,B632),'Year Wise Master Dep Approach'!F:F,'Year Wise Master Dep Approach'!D:D)</f>
        <v>WDV</v>
      </c>
      <c r="O632" s="113">
        <f>_xlfn.XLOOKUP(_xlfn.CONCAT(E632,B632),'Year Wise Master Dep Approach'!F:F,'Year Wise Master Dep Approach'!E:E)</f>
        <v>3</v>
      </c>
      <c r="P632" s="114">
        <f>IFERROR(IF('FA Addition'!$N632="WDV",1-('FA Addition'!$M632/'FA Addition'!$L632)^(1/'FA Addition'!$O632),1/'FA Addition'!$O632),0)</f>
        <v>0.63159685013596123</v>
      </c>
      <c r="Q632" s="122">
        <f>'FA Addition'!$P632*'FA Addition'!$O632</f>
        <v>1.8947905504078837</v>
      </c>
      <c r="R632" s="122"/>
      <c r="S632" s="116">
        <f>IF(AND(DATE(20&amp;LEFT(FAAddition[[#This Row],[FY]],2),4,1)&lt;$L$1+1,DATE(20&amp;LEFT(FAAddition[[#This Row],[FY]],2),4,1)&gt;$P$1-1),'FA Addition'!$J632,0)</f>
        <v>1</v>
      </c>
      <c r="U632" s="117">
        <f>S632*'FA Addition'!$L632/'FA Addition'!$J632</f>
        <v>49000</v>
      </c>
      <c r="W632" s="116">
        <f>SUMIFS('FA Write off'!D:D,'FA Write off'!A:A,'FA Addition'!$A632,'FA Write off'!C:C,"&lt;"&amp;'FA Addition'!$P$1)</f>
        <v>0</v>
      </c>
      <c r="Y632" s="191">
        <f>IFERROR(W632/'FA Addition'!$J632*'FA Addition'!$L632,0)</f>
        <v>0</v>
      </c>
      <c r="AA632" s="116">
        <f>SUMIFS('FA Write off'!D:D,'FA Write off'!A:A,'FA Addition'!$A632,'FA Write off'!C:C,"&lt;"&amp;'FA Addition'!$L$1+1,'FA Write off'!C:C,"&gt;"&amp;'FA Addition'!$L$1-365)</f>
        <v>0</v>
      </c>
      <c r="AC632" s="118">
        <f>IFERROR(AA632/'FA Addition'!$J632*'FA Addition'!$L632,0)</f>
        <v>0</v>
      </c>
      <c r="AE632" s="117">
        <f>IF(AND('FA Addition'!$D632&lt;$P$1+1,U632=0),'FA Addition'!$L632,0)-Y632</f>
        <v>0</v>
      </c>
      <c r="AF632" s="117">
        <f t="shared" si="45"/>
        <v>49000</v>
      </c>
      <c r="AG632" s="117">
        <f>MIN(MAX(+$P$1-'FA Addition'!$D632,0),365*'FA Addition'!$O632)</f>
        <v>0</v>
      </c>
      <c r="AH632" s="117">
        <f>MIN(MAX($L$1-'FA Addition'!$D632+1,0),365*'FA Addition'!$O632)</f>
        <v>360</v>
      </c>
      <c r="AI632" s="117" cm="1">
        <f t="array" ref="AI632">_xlfn.XLOOKUP(1,('FA Write off'!A:A='FA Addition'!$A632)*('FA Write off'!D:D=AA632),'FA Write off'!H:H,0,0)</f>
        <v>0</v>
      </c>
      <c r="AJ632" s="117">
        <f>IF(AC632&gt;0,MAX(IF('FA Addition'!$N632="SLM",($AC632-'FA Addition'!$M632)*'FA Addition'!$P632*AI632/365,(AC632-'FA Addition'!$M632)*(1-(1-'FA Addition'!$P632)^(AI632/365))),0),0)</f>
        <v>0</v>
      </c>
      <c r="AL632" s="117">
        <f>MAX(IF(AG632&gt;0,IF('FA Addition'!$N632="SLM",($AE632-'FA Addition'!$M632)*'FA Addition'!$P632*AG632/365,IFERROR(VDB(AE632,AE632*0.05,'FA Addition'!$O632,0,YEARFRAC('FA Addition'!$C632,$P$1-1,3),'FA Addition'!$Q632),FAAddition[[#This Row],[Original Cost (Rs)]]-FAAddition[[#This Row],[Salvage Value]])),0),0)</f>
        <v>0</v>
      </c>
      <c r="AM632" s="119"/>
      <c r="AN632" s="117">
        <f>MAX(IF(AH632&gt;0,IF('FA Addition'!$N632="SLM",($AF632-'FA Addition'!$M632)*'FA Addition'!$P632*AH632/365,IFERROR(VDB(AF632,AF632*0.05,'FA Addition'!$O632,0,YEARFRAC('FA Addition'!$C632,$L$1,3),'FA Addition'!$Q632),FAAddition[[#This Row],[Original Cost (Rs)]]-FAAddition[[#This Row],[Salvage Value]])),0),0)</f>
        <v>30439.507371895052</v>
      </c>
      <c r="AO632" s="117">
        <f t="shared" si="48"/>
        <v>30439.507371895052</v>
      </c>
      <c r="AQ632" s="117">
        <f t="shared" si="46"/>
        <v>0</v>
      </c>
      <c r="AR632" s="120">
        <f t="shared" si="47"/>
        <v>18560.492628104948</v>
      </c>
      <c r="AS632" s="121"/>
    </row>
    <row r="633" spans="1:45" ht="13.5" x14ac:dyDescent="0.4">
      <c r="A633" s="12">
        <f t="shared" si="49"/>
        <v>630</v>
      </c>
      <c r="B633" s="64" t="s">
        <v>1308</v>
      </c>
      <c r="C633" s="54">
        <v>45023</v>
      </c>
      <c r="D633" s="54">
        <v>45023</v>
      </c>
      <c r="E633" s="46" t="s">
        <v>451</v>
      </c>
      <c r="F633" s="51" t="s">
        <v>19</v>
      </c>
      <c r="G633" s="51" t="s">
        <v>1290</v>
      </c>
      <c r="H633" s="51" t="s">
        <v>21</v>
      </c>
      <c r="I633" s="55" t="s">
        <v>1346</v>
      </c>
      <c r="J633" s="56">
        <v>1</v>
      </c>
      <c r="K633" s="51" t="s">
        <v>1341</v>
      </c>
      <c r="L633" s="58">
        <v>49000</v>
      </c>
      <c r="M633" s="50">
        <f>ROUND('FA Addition'!$L633*5%,0.1)</f>
        <v>2450</v>
      </c>
      <c r="N633" s="113" t="str">
        <f>_xlfn.XLOOKUP(_xlfn.CONCAT(E633,B633),'Year Wise Master Dep Approach'!F:F,'Year Wise Master Dep Approach'!D:D)</f>
        <v>WDV</v>
      </c>
      <c r="O633" s="113">
        <f>_xlfn.XLOOKUP(_xlfn.CONCAT(E633,B633),'Year Wise Master Dep Approach'!F:F,'Year Wise Master Dep Approach'!E:E)</f>
        <v>3</v>
      </c>
      <c r="P633" s="114">
        <f>IFERROR(IF('FA Addition'!$N633="WDV",1-('FA Addition'!$M633/'FA Addition'!$L633)^(1/'FA Addition'!$O633),1/'FA Addition'!$O633),0)</f>
        <v>0.63159685013596123</v>
      </c>
      <c r="Q633" s="122">
        <f>'FA Addition'!$P633*'FA Addition'!$O633</f>
        <v>1.8947905504078837</v>
      </c>
      <c r="R633" s="122"/>
      <c r="S633" s="116">
        <f>IF(AND(DATE(20&amp;LEFT(FAAddition[[#This Row],[FY]],2),4,1)&lt;$L$1+1,DATE(20&amp;LEFT(FAAddition[[#This Row],[FY]],2),4,1)&gt;$P$1-1),'FA Addition'!$J633,0)</f>
        <v>1</v>
      </c>
      <c r="U633" s="117">
        <f>S633*'FA Addition'!$L633/'FA Addition'!$J633</f>
        <v>49000</v>
      </c>
      <c r="W633" s="116">
        <f>SUMIFS('FA Write off'!D:D,'FA Write off'!A:A,'FA Addition'!$A633,'FA Write off'!C:C,"&lt;"&amp;'FA Addition'!$P$1)</f>
        <v>0</v>
      </c>
      <c r="Y633" s="191">
        <f>IFERROR(W633/'FA Addition'!$J633*'FA Addition'!$L633,0)</f>
        <v>0</v>
      </c>
      <c r="AA633" s="116">
        <f>SUMIFS('FA Write off'!D:D,'FA Write off'!A:A,'FA Addition'!$A633,'FA Write off'!C:C,"&lt;"&amp;'FA Addition'!$L$1+1,'FA Write off'!C:C,"&gt;"&amp;'FA Addition'!$L$1-365)</f>
        <v>0</v>
      </c>
      <c r="AC633" s="118">
        <f>IFERROR(AA633/'FA Addition'!$J633*'FA Addition'!$L633,0)</f>
        <v>0</v>
      </c>
      <c r="AE633" s="117">
        <f>IF(AND('FA Addition'!$D633&lt;$P$1+1,U633=0),'FA Addition'!$L633,0)-Y633</f>
        <v>0</v>
      </c>
      <c r="AF633" s="117">
        <f t="shared" si="45"/>
        <v>49000</v>
      </c>
      <c r="AG633" s="117">
        <f>MIN(MAX(+$P$1-'FA Addition'!$D633,0),365*'FA Addition'!$O633)</f>
        <v>0</v>
      </c>
      <c r="AH633" s="117">
        <f>MIN(MAX($L$1-'FA Addition'!$D633+1,0),365*'FA Addition'!$O633)</f>
        <v>360</v>
      </c>
      <c r="AI633" s="117" cm="1">
        <f t="array" ref="AI633">_xlfn.XLOOKUP(1,('FA Write off'!A:A='FA Addition'!$A633)*('FA Write off'!D:D=AA633),'FA Write off'!H:H,0,0)</f>
        <v>0</v>
      </c>
      <c r="AJ633" s="117">
        <f>IF(AC633&gt;0,MAX(IF('FA Addition'!$N633="SLM",($AC633-'FA Addition'!$M633)*'FA Addition'!$P633*AI633/365,(AC633-'FA Addition'!$M633)*(1-(1-'FA Addition'!$P633)^(AI633/365))),0),0)</f>
        <v>0</v>
      </c>
      <c r="AL633" s="117">
        <f>MAX(IF(AG633&gt;0,IF('FA Addition'!$N633="SLM",($AE633-'FA Addition'!$M633)*'FA Addition'!$P633*AG633/365,IFERROR(VDB(AE633,AE633*0.05,'FA Addition'!$O633,0,YEARFRAC('FA Addition'!$C633,$P$1-1,3),'FA Addition'!$Q633),FAAddition[[#This Row],[Original Cost (Rs)]]-FAAddition[[#This Row],[Salvage Value]])),0),0)</f>
        <v>0</v>
      </c>
      <c r="AM633" s="119"/>
      <c r="AN633" s="117">
        <f>MAX(IF(AH633&gt;0,IF('FA Addition'!$N633="SLM",($AF633-'FA Addition'!$M633)*'FA Addition'!$P633*AH633/365,IFERROR(VDB(AF633,AF633*0.05,'FA Addition'!$O633,0,YEARFRAC('FA Addition'!$C633,$L$1,3),'FA Addition'!$Q633),FAAddition[[#This Row],[Original Cost (Rs)]]-FAAddition[[#This Row],[Salvage Value]])),0),0)</f>
        <v>30439.507371895052</v>
      </c>
      <c r="AO633" s="117">
        <f t="shared" si="48"/>
        <v>30439.507371895052</v>
      </c>
      <c r="AQ633" s="117">
        <f t="shared" si="46"/>
        <v>0</v>
      </c>
      <c r="AR633" s="120">
        <f t="shared" si="47"/>
        <v>18560.492628104948</v>
      </c>
      <c r="AS633" s="121"/>
    </row>
    <row r="634" spans="1:45" ht="13.5" x14ac:dyDescent="0.4">
      <c r="A634" s="12">
        <f t="shared" si="49"/>
        <v>631</v>
      </c>
      <c r="B634" s="64" t="s">
        <v>1308</v>
      </c>
      <c r="C634" s="54">
        <v>45023</v>
      </c>
      <c r="D634" s="54">
        <v>45023</v>
      </c>
      <c r="E634" s="46" t="s">
        <v>451</v>
      </c>
      <c r="F634" s="51" t="s">
        <v>19</v>
      </c>
      <c r="G634" s="51" t="s">
        <v>1290</v>
      </c>
      <c r="H634" s="51" t="s">
        <v>21</v>
      </c>
      <c r="I634" s="55" t="s">
        <v>1346</v>
      </c>
      <c r="J634" s="56">
        <v>1</v>
      </c>
      <c r="K634" s="51" t="s">
        <v>1341</v>
      </c>
      <c r="L634" s="58">
        <v>49000</v>
      </c>
      <c r="M634" s="50">
        <f>ROUND('FA Addition'!$L634*5%,0.1)</f>
        <v>2450</v>
      </c>
      <c r="N634" s="113" t="str">
        <f>_xlfn.XLOOKUP(_xlfn.CONCAT(E634,B634),'Year Wise Master Dep Approach'!F:F,'Year Wise Master Dep Approach'!D:D)</f>
        <v>WDV</v>
      </c>
      <c r="O634" s="113">
        <f>_xlfn.XLOOKUP(_xlfn.CONCAT(E634,B634),'Year Wise Master Dep Approach'!F:F,'Year Wise Master Dep Approach'!E:E)</f>
        <v>3</v>
      </c>
      <c r="P634" s="114">
        <f>IFERROR(IF('FA Addition'!$N634="WDV",1-('FA Addition'!$M634/'FA Addition'!$L634)^(1/'FA Addition'!$O634),1/'FA Addition'!$O634),0)</f>
        <v>0.63159685013596123</v>
      </c>
      <c r="Q634" s="122">
        <f>'FA Addition'!$P634*'FA Addition'!$O634</f>
        <v>1.8947905504078837</v>
      </c>
      <c r="R634" s="122"/>
      <c r="S634" s="116">
        <f>IF(AND(DATE(20&amp;LEFT(FAAddition[[#This Row],[FY]],2),4,1)&lt;$L$1+1,DATE(20&amp;LEFT(FAAddition[[#This Row],[FY]],2),4,1)&gt;$P$1-1),'FA Addition'!$J634,0)</f>
        <v>1</v>
      </c>
      <c r="U634" s="117">
        <f>S634*'FA Addition'!$L634/'FA Addition'!$J634</f>
        <v>49000</v>
      </c>
      <c r="W634" s="116">
        <f>SUMIFS('FA Write off'!D:D,'FA Write off'!A:A,'FA Addition'!$A634,'FA Write off'!C:C,"&lt;"&amp;'FA Addition'!$P$1)</f>
        <v>0</v>
      </c>
      <c r="Y634" s="191">
        <f>IFERROR(W634/'FA Addition'!$J634*'FA Addition'!$L634,0)</f>
        <v>0</v>
      </c>
      <c r="AA634" s="116">
        <f>SUMIFS('FA Write off'!D:D,'FA Write off'!A:A,'FA Addition'!$A634,'FA Write off'!C:C,"&lt;"&amp;'FA Addition'!$L$1+1,'FA Write off'!C:C,"&gt;"&amp;'FA Addition'!$L$1-365)</f>
        <v>0</v>
      </c>
      <c r="AC634" s="118">
        <f>IFERROR(AA634/'FA Addition'!$J634*'FA Addition'!$L634,0)</f>
        <v>0</v>
      </c>
      <c r="AE634" s="117">
        <f>IF(AND('FA Addition'!$D634&lt;$P$1+1,U634=0),'FA Addition'!$L634,0)-Y634</f>
        <v>0</v>
      </c>
      <c r="AF634" s="117">
        <f t="shared" si="45"/>
        <v>49000</v>
      </c>
      <c r="AG634" s="117">
        <f>MIN(MAX(+$P$1-'FA Addition'!$D634,0),365*'FA Addition'!$O634)</f>
        <v>0</v>
      </c>
      <c r="AH634" s="117">
        <f>MIN(MAX($L$1-'FA Addition'!$D634+1,0),365*'FA Addition'!$O634)</f>
        <v>360</v>
      </c>
      <c r="AI634" s="117" cm="1">
        <f t="array" ref="AI634">_xlfn.XLOOKUP(1,('FA Write off'!A:A='FA Addition'!$A634)*('FA Write off'!D:D=AA634),'FA Write off'!H:H,0,0)</f>
        <v>0</v>
      </c>
      <c r="AJ634" s="117">
        <f>IF(AC634&gt;0,MAX(IF('FA Addition'!$N634="SLM",($AC634-'FA Addition'!$M634)*'FA Addition'!$P634*AI634/365,(AC634-'FA Addition'!$M634)*(1-(1-'FA Addition'!$P634)^(AI634/365))),0),0)</f>
        <v>0</v>
      </c>
      <c r="AL634" s="117">
        <f>MAX(IF(AG634&gt;0,IF('FA Addition'!$N634="SLM",($AE634-'FA Addition'!$M634)*'FA Addition'!$P634*AG634/365,IFERROR(VDB(AE634,AE634*0.05,'FA Addition'!$O634,0,YEARFRAC('FA Addition'!$C634,$P$1-1,3),'FA Addition'!$Q634),FAAddition[[#This Row],[Original Cost (Rs)]]-FAAddition[[#This Row],[Salvage Value]])),0),0)</f>
        <v>0</v>
      </c>
      <c r="AM634" s="119"/>
      <c r="AN634" s="117">
        <f>MAX(IF(AH634&gt;0,IF('FA Addition'!$N634="SLM",($AF634-'FA Addition'!$M634)*'FA Addition'!$P634*AH634/365,IFERROR(VDB(AF634,AF634*0.05,'FA Addition'!$O634,0,YEARFRAC('FA Addition'!$C634,$L$1,3),'FA Addition'!$Q634),FAAddition[[#This Row],[Original Cost (Rs)]]-FAAddition[[#This Row],[Salvage Value]])),0),0)</f>
        <v>30439.507371895052</v>
      </c>
      <c r="AO634" s="117">
        <f t="shared" si="48"/>
        <v>30439.507371895052</v>
      </c>
      <c r="AQ634" s="117">
        <f t="shared" si="46"/>
        <v>0</v>
      </c>
      <c r="AR634" s="120">
        <f t="shared" si="47"/>
        <v>18560.492628104948</v>
      </c>
      <c r="AS634" s="121"/>
    </row>
    <row r="635" spans="1:45" ht="13.5" x14ac:dyDescent="0.4">
      <c r="A635" s="12">
        <f t="shared" si="49"/>
        <v>632</v>
      </c>
      <c r="B635" s="64" t="s">
        <v>1308</v>
      </c>
      <c r="C635" s="54">
        <v>45023</v>
      </c>
      <c r="D635" s="54">
        <v>45023</v>
      </c>
      <c r="E635" s="46" t="s">
        <v>451</v>
      </c>
      <c r="F635" s="51" t="s">
        <v>19</v>
      </c>
      <c r="G635" s="51" t="s">
        <v>1290</v>
      </c>
      <c r="H635" s="51" t="s">
        <v>21</v>
      </c>
      <c r="I635" s="55" t="s">
        <v>1346</v>
      </c>
      <c r="J635" s="56">
        <v>1</v>
      </c>
      <c r="K635" s="51" t="s">
        <v>1341</v>
      </c>
      <c r="L635" s="58">
        <v>49000</v>
      </c>
      <c r="M635" s="50">
        <f>ROUND('FA Addition'!$L635*5%,0.1)</f>
        <v>2450</v>
      </c>
      <c r="N635" s="113" t="str">
        <f>_xlfn.XLOOKUP(_xlfn.CONCAT(E635,B635),'Year Wise Master Dep Approach'!F:F,'Year Wise Master Dep Approach'!D:D)</f>
        <v>WDV</v>
      </c>
      <c r="O635" s="113">
        <f>_xlfn.XLOOKUP(_xlfn.CONCAT(E635,B635),'Year Wise Master Dep Approach'!F:F,'Year Wise Master Dep Approach'!E:E)</f>
        <v>3</v>
      </c>
      <c r="P635" s="114">
        <f>IFERROR(IF('FA Addition'!$N635="WDV",1-('FA Addition'!$M635/'FA Addition'!$L635)^(1/'FA Addition'!$O635),1/'FA Addition'!$O635),0)</f>
        <v>0.63159685013596123</v>
      </c>
      <c r="Q635" s="122">
        <f>'FA Addition'!$P635*'FA Addition'!$O635</f>
        <v>1.8947905504078837</v>
      </c>
      <c r="R635" s="122"/>
      <c r="S635" s="116">
        <f>IF(AND(DATE(20&amp;LEFT(FAAddition[[#This Row],[FY]],2),4,1)&lt;$L$1+1,DATE(20&amp;LEFT(FAAddition[[#This Row],[FY]],2),4,1)&gt;$P$1-1),'FA Addition'!$J635,0)</f>
        <v>1</v>
      </c>
      <c r="U635" s="117">
        <f>S635*'FA Addition'!$L635/'FA Addition'!$J635</f>
        <v>49000</v>
      </c>
      <c r="W635" s="116">
        <f>SUMIFS('FA Write off'!D:D,'FA Write off'!A:A,'FA Addition'!$A635,'FA Write off'!C:C,"&lt;"&amp;'FA Addition'!$P$1)</f>
        <v>0</v>
      </c>
      <c r="Y635" s="191">
        <f>IFERROR(W635/'FA Addition'!$J635*'FA Addition'!$L635,0)</f>
        <v>0</v>
      </c>
      <c r="AA635" s="116">
        <f>SUMIFS('FA Write off'!D:D,'FA Write off'!A:A,'FA Addition'!$A635,'FA Write off'!C:C,"&lt;"&amp;'FA Addition'!$L$1+1,'FA Write off'!C:C,"&gt;"&amp;'FA Addition'!$L$1-365)</f>
        <v>0</v>
      </c>
      <c r="AC635" s="118">
        <f>IFERROR(AA635/'FA Addition'!$J635*'FA Addition'!$L635,0)</f>
        <v>0</v>
      </c>
      <c r="AE635" s="117">
        <f>IF(AND('FA Addition'!$D635&lt;$P$1+1,U635=0),'FA Addition'!$L635,0)-Y635</f>
        <v>0</v>
      </c>
      <c r="AF635" s="117">
        <f t="shared" si="45"/>
        <v>49000</v>
      </c>
      <c r="AG635" s="117">
        <f>MIN(MAX(+$P$1-'FA Addition'!$D635,0),365*'FA Addition'!$O635)</f>
        <v>0</v>
      </c>
      <c r="AH635" s="117">
        <f>MIN(MAX($L$1-'FA Addition'!$D635+1,0),365*'FA Addition'!$O635)</f>
        <v>360</v>
      </c>
      <c r="AI635" s="117" cm="1">
        <f t="array" ref="AI635">_xlfn.XLOOKUP(1,('FA Write off'!A:A='FA Addition'!$A635)*('FA Write off'!D:D=AA635),'FA Write off'!H:H,0,0)</f>
        <v>0</v>
      </c>
      <c r="AJ635" s="117">
        <f>IF(AC635&gt;0,MAX(IF('FA Addition'!$N635="SLM",($AC635-'FA Addition'!$M635)*'FA Addition'!$P635*AI635/365,(AC635-'FA Addition'!$M635)*(1-(1-'FA Addition'!$P635)^(AI635/365))),0),0)</f>
        <v>0</v>
      </c>
      <c r="AL635" s="117">
        <f>MAX(IF(AG635&gt;0,IF('FA Addition'!$N635="SLM",($AE635-'FA Addition'!$M635)*'FA Addition'!$P635*AG635/365,IFERROR(VDB(AE635,AE635*0.05,'FA Addition'!$O635,0,YEARFRAC('FA Addition'!$C635,$P$1-1,3),'FA Addition'!$Q635),FAAddition[[#This Row],[Original Cost (Rs)]]-FAAddition[[#This Row],[Salvage Value]])),0),0)</f>
        <v>0</v>
      </c>
      <c r="AM635" s="119"/>
      <c r="AN635" s="117">
        <f>MAX(IF(AH635&gt;0,IF('FA Addition'!$N635="SLM",($AF635-'FA Addition'!$M635)*'FA Addition'!$P635*AH635/365,IFERROR(VDB(AF635,AF635*0.05,'FA Addition'!$O635,0,YEARFRAC('FA Addition'!$C635,$L$1,3),'FA Addition'!$Q635),FAAddition[[#This Row],[Original Cost (Rs)]]-FAAddition[[#This Row],[Salvage Value]])),0),0)</f>
        <v>30439.507371895052</v>
      </c>
      <c r="AO635" s="117">
        <f t="shared" si="48"/>
        <v>30439.507371895052</v>
      </c>
      <c r="AQ635" s="117">
        <f t="shared" si="46"/>
        <v>0</v>
      </c>
      <c r="AR635" s="120">
        <f t="shared" si="47"/>
        <v>18560.492628104948</v>
      </c>
      <c r="AS635" s="121"/>
    </row>
    <row r="636" spans="1:45" ht="13.5" x14ac:dyDescent="0.4">
      <c r="A636" s="12">
        <f t="shared" si="49"/>
        <v>633</v>
      </c>
      <c r="B636" s="64" t="s">
        <v>1308</v>
      </c>
      <c r="C636" s="54">
        <v>45023</v>
      </c>
      <c r="D636" s="54">
        <v>45023</v>
      </c>
      <c r="E636" s="46" t="s">
        <v>451</v>
      </c>
      <c r="F636" s="51" t="s">
        <v>19</v>
      </c>
      <c r="G636" s="51" t="s">
        <v>1290</v>
      </c>
      <c r="H636" s="51" t="s">
        <v>21</v>
      </c>
      <c r="I636" s="55" t="s">
        <v>1346</v>
      </c>
      <c r="J636" s="56">
        <v>1</v>
      </c>
      <c r="K636" s="51" t="s">
        <v>1347</v>
      </c>
      <c r="L636" s="58">
        <v>48297</v>
      </c>
      <c r="M636" s="50">
        <f>ROUND('FA Addition'!$L636*5%,0.1)</f>
        <v>2415</v>
      </c>
      <c r="N636" s="113" t="str">
        <f>_xlfn.XLOOKUP(_xlfn.CONCAT(E636,B636),'Year Wise Master Dep Approach'!F:F,'Year Wise Master Dep Approach'!D:D)</f>
        <v>WDV</v>
      </c>
      <c r="O636" s="113">
        <f>_xlfn.XLOOKUP(_xlfn.CONCAT(E636,B636),'Year Wise Master Dep Approach'!F:F,'Year Wise Master Dep Approach'!E:E)</f>
        <v>3</v>
      </c>
      <c r="P636" s="114">
        <f>IFERROR(IF('FA Addition'!$N636="WDV",1-('FA Addition'!$M636/'FA Addition'!$L636)^(1/'FA Addition'!$O636),1/'FA Addition'!$O636),0)</f>
        <v>0.63158922242570492</v>
      </c>
      <c r="Q636" s="122">
        <f>'FA Addition'!$P636*'FA Addition'!$O636</f>
        <v>1.8947676672771148</v>
      </c>
      <c r="R636" s="122"/>
      <c r="S636" s="116">
        <f>IF(AND(DATE(20&amp;LEFT(FAAddition[[#This Row],[FY]],2),4,1)&lt;$L$1+1,DATE(20&amp;LEFT(FAAddition[[#This Row],[FY]],2),4,1)&gt;$P$1-1),'FA Addition'!$J636,0)</f>
        <v>1</v>
      </c>
      <c r="U636" s="117">
        <f>S636*'FA Addition'!$L636/'FA Addition'!$J636</f>
        <v>48297</v>
      </c>
      <c r="W636" s="116">
        <f>SUMIFS('FA Write off'!D:D,'FA Write off'!A:A,'FA Addition'!$A636,'FA Write off'!C:C,"&lt;"&amp;'FA Addition'!$P$1)</f>
        <v>0</v>
      </c>
      <c r="Y636" s="191">
        <f>IFERROR(W636/'FA Addition'!$J636*'FA Addition'!$L636,0)</f>
        <v>0</v>
      </c>
      <c r="AA636" s="116">
        <f>SUMIFS('FA Write off'!D:D,'FA Write off'!A:A,'FA Addition'!$A636,'FA Write off'!C:C,"&lt;"&amp;'FA Addition'!$L$1+1,'FA Write off'!C:C,"&gt;"&amp;'FA Addition'!$L$1-365)</f>
        <v>0</v>
      </c>
      <c r="AC636" s="118">
        <f>IFERROR(AA636/'FA Addition'!$J636*'FA Addition'!$L636,0)</f>
        <v>0</v>
      </c>
      <c r="AE636" s="117">
        <f>IF(AND('FA Addition'!$D636&lt;$P$1+1,U636=0),'FA Addition'!$L636,0)-Y636</f>
        <v>0</v>
      </c>
      <c r="AF636" s="117">
        <f t="shared" si="45"/>
        <v>48297</v>
      </c>
      <c r="AG636" s="117">
        <f>MIN(MAX(+$P$1-'FA Addition'!$D636,0),365*'FA Addition'!$O636)</f>
        <v>0</v>
      </c>
      <c r="AH636" s="117">
        <f>MIN(MAX($L$1-'FA Addition'!$D636+1,0),365*'FA Addition'!$O636)</f>
        <v>360</v>
      </c>
      <c r="AI636" s="117" cm="1">
        <f t="array" ref="AI636">_xlfn.XLOOKUP(1,('FA Write off'!A:A='FA Addition'!$A636)*('FA Write off'!D:D=AA636),'FA Write off'!H:H,0,0)</f>
        <v>0</v>
      </c>
      <c r="AJ636" s="117">
        <f>IF(AC636&gt;0,MAX(IF('FA Addition'!$N636="SLM",($AC636-'FA Addition'!$M636)*'FA Addition'!$P636*AI636/365,(AC636-'FA Addition'!$M636)*(1-(1-'FA Addition'!$P636)^(AI636/365))),0),0)</f>
        <v>0</v>
      </c>
      <c r="AL636" s="117">
        <f>MAX(IF(AG636&gt;0,IF('FA Addition'!$N636="SLM",($AE636-'FA Addition'!$M636)*'FA Addition'!$P636*AG636/365,IFERROR(VDB(AE636,AE636*0.05,'FA Addition'!$O636,0,YEARFRAC('FA Addition'!$C636,$P$1-1,3),'FA Addition'!$Q636),FAAddition[[#This Row],[Original Cost (Rs)]]-FAAddition[[#This Row],[Salvage Value]])),0),0)</f>
        <v>0</v>
      </c>
      <c r="AM636" s="119"/>
      <c r="AN636" s="117">
        <f>MAX(IF(AH636&gt;0,IF('FA Addition'!$N636="SLM",($AF636-'FA Addition'!$M636)*'FA Addition'!$P636*AH636/365,IFERROR(VDB(AF636,AF636*0.05,'FA Addition'!$O636,0,YEARFRAC('FA Addition'!$C636,$L$1,3),'FA Addition'!$Q636),FAAddition[[#This Row],[Original Cost (Rs)]]-FAAddition[[#This Row],[Salvage Value]])),0),0)</f>
        <v>30002.431283568338</v>
      </c>
      <c r="AO636" s="117">
        <f t="shared" si="48"/>
        <v>30002.431283568338</v>
      </c>
      <c r="AQ636" s="117">
        <f t="shared" si="46"/>
        <v>0</v>
      </c>
      <c r="AR636" s="120">
        <f t="shared" si="47"/>
        <v>18294.568716431662</v>
      </c>
      <c r="AS636" s="121"/>
    </row>
    <row r="637" spans="1:45" ht="13.5" x14ac:dyDescent="0.4">
      <c r="A637" s="12">
        <f t="shared" si="49"/>
        <v>634</v>
      </c>
      <c r="B637" s="64" t="s">
        <v>1308</v>
      </c>
      <c r="C637" s="54">
        <v>45023</v>
      </c>
      <c r="D637" s="54">
        <v>45023</v>
      </c>
      <c r="E637" s="46" t="s">
        <v>451</v>
      </c>
      <c r="F637" s="51" t="s">
        <v>19</v>
      </c>
      <c r="G637" s="51" t="s">
        <v>1290</v>
      </c>
      <c r="H637" s="51" t="s">
        <v>21</v>
      </c>
      <c r="I637" s="55" t="s">
        <v>1346</v>
      </c>
      <c r="J637" s="56">
        <v>1</v>
      </c>
      <c r="K637" s="51" t="s">
        <v>1348</v>
      </c>
      <c r="L637" s="58">
        <v>30086</v>
      </c>
      <c r="M637" s="50">
        <f>ROUND('FA Addition'!$L637*5%,0.1)</f>
        <v>1504</v>
      </c>
      <c r="N637" s="113" t="str">
        <f>_xlfn.XLOOKUP(_xlfn.CONCAT(E637,B637),'Year Wise Master Dep Approach'!F:F,'Year Wise Master Dep Approach'!D:D)</f>
        <v>WDV</v>
      </c>
      <c r="O637" s="113">
        <f>_xlfn.XLOOKUP(_xlfn.CONCAT(E637,B637),'Year Wise Master Dep Approach'!F:F,'Year Wise Master Dep Approach'!E:E)</f>
        <v>3</v>
      </c>
      <c r="P637" s="114">
        <f>IFERROR(IF('FA Addition'!$N637="WDV",1-('FA Addition'!$M637/'FA Addition'!$L637)^(1/'FA Addition'!$O637),1/'FA Addition'!$O637),0)</f>
        <v>0.63162134176945095</v>
      </c>
      <c r="Q637" s="122">
        <f>'FA Addition'!$P637*'FA Addition'!$O637</f>
        <v>1.8948640253083529</v>
      </c>
      <c r="R637" s="122"/>
      <c r="S637" s="116">
        <f>IF(AND(DATE(20&amp;LEFT(FAAddition[[#This Row],[FY]],2),4,1)&lt;$L$1+1,DATE(20&amp;LEFT(FAAddition[[#This Row],[FY]],2),4,1)&gt;$P$1-1),'FA Addition'!$J637,0)</f>
        <v>1</v>
      </c>
      <c r="U637" s="117">
        <f>S637*'FA Addition'!$L637/'FA Addition'!$J637</f>
        <v>30086</v>
      </c>
      <c r="W637" s="116">
        <f>SUMIFS('FA Write off'!D:D,'FA Write off'!A:A,'FA Addition'!$A637,'FA Write off'!C:C,"&lt;"&amp;'FA Addition'!$P$1)</f>
        <v>0</v>
      </c>
      <c r="Y637" s="191">
        <f>IFERROR(W637/'FA Addition'!$J637*'FA Addition'!$L637,0)</f>
        <v>0</v>
      </c>
      <c r="AA637" s="116">
        <f>SUMIFS('FA Write off'!D:D,'FA Write off'!A:A,'FA Addition'!$A637,'FA Write off'!C:C,"&lt;"&amp;'FA Addition'!$L$1+1,'FA Write off'!C:C,"&gt;"&amp;'FA Addition'!$L$1-365)</f>
        <v>0</v>
      </c>
      <c r="AC637" s="118">
        <f>IFERROR(AA637/'FA Addition'!$J637*'FA Addition'!$L637,0)</f>
        <v>0</v>
      </c>
      <c r="AE637" s="117">
        <f>IF(AND('FA Addition'!$D637&lt;$P$1+1,U637=0),'FA Addition'!$L637,0)-Y637</f>
        <v>0</v>
      </c>
      <c r="AF637" s="117">
        <f t="shared" si="45"/>
        <v>30086</v>
      </c>
      <c r="AG637" s="117">
        <f>MIN(MAX(+$P$1-'FA Addition'!$D637,0),365*'FA Addition'!$O637)</f>
        <v>0</v>
      </c>
      <c r="AH637" s="117">
        <f>MIN(MAX($L$1-'FA Addition'!$D637+1,0),365*'FA Addition'!$O637)</f>
        <v>360</v>
      </c>
      <c r="AI637" s="117" cm="1">
        <f t="array" ref="AI637">_xlfn.XLOOKUP(1,('FA Write off'!A:A='FA Addition'!$A637)*('FA Write off'!D:D=AA637),'FA Write off'!H:H,0,0)</f>
        <v>0</v>
      </c>
      <c r="AJ637" s="117">
        <f>IF(AC637&gt;0,MAX(IF('FA Addition'!$N637="SLM",($AC637-'FA Addition'!$M637)*'FA Addition'!$P637*AI637/365,(AC637-'FA Addition'!$M637)*(1-(1-'FA Addition'!$P637)^(AI637/365))),0),0)</f>
        <v>0</v>
      </c>
      <c r="AL637" s="117">
        <f>MAX(IF(AG637&gt;0,IF('FA Addition'!$N637="SLM",($AE637-'FA Addition'!$M637)*'FA Addition'!$P637*AG637/365,IFERROR(VDB(AE637,AE637*0.05,'FA Addition'!$O637,0,YEARFRAC('FA Addition'!$C637,$P$1-1,3),'FA Addition'!$Q637),FAAddition[[#This Row],[Original Cost (Rs)]]-FAAddition[[#This Row],[Salvage Value]])),0),0)</f>
        <v>0</v>
      </c>
      <c r="AM637" s="119"/>
      <c r="AN637" s="117">
        <f>MAX(IF(AH637&gt;0,IF('FA Addition'!$N637="SLM",($AF637-'FA Addition'!$M637)*'FA Addition'!$P637*AH637/365,IFERROR(VDB(AF637,AF637*0.05,'FA Addition'!$O637,0,YEARFRAC('FA Addition'!$C637,$L$1,3),'FA Addition'!$Q637),FAAddition[[#This Row],[Original Cost (Rs)]]-FAAddition[[#This Row],[Salvage Value]])),0),0)</f>
        <v>18690.582268939113</v>
      </c>
      <c r="AO637" s="117">
        <f t="shared" si="48"/>
        <v>18690.582268939113</v>
      </c>
      <c r="AQ637" s="117">
        <f t="shared" si="46"/>
        <v>0</v>
      </c>
      <c r="AR637" s="120">
        <f t="shared" si="47"/>
        <v>11395.417731060887</v>
      </c>
      <c r="AS637" s="121"/>
    </row>
    <row r="638" spans="1:45" ht="13.5" x14ac:dyDescent="0.4">
      <c r="A638" s="12">
        <f t="shared" si="49"/>
        <v>635</v>
      </c>
      <c r="B638" s="64" t="s">
        <v>1308</v>
      </c>
      <c r="C638" s="54">
        <v>45026</v>
      </c>
      <c r="D638" s="54">
        <v>45026</v>
      </c>
      <c r="E638" s="46" t="s">
        <v>32</v>
      </c>
      <c r="F638" s="51" t="s">
        <v>1090</v>
      </c>
      <c r="G638" s="51" t="s">
        <v>433</v>
      </c>
      <c r="H638" s="51" t="s">
        <v>32</v>
      </c>
      <c r="I638" s="55" t="s">
        <v>1349</v>
      </c>
      <c r="J638" s="56">
        <v>2000</v>
      </c>
      <c r="K638" s="51" t="s">
        <v>1350</v>
      </c>
      <c r="L638" s="58">
        <v>2200000</v>
      </c>
      <c r="M638" s="50">
        <f>ROUND('FA Addition'!$L638*5%,0.1)</f>
        <v>110000</v>
      </c>
      <c r="N638" s="113" t="str">
        <f>_xlfn.XLOOKUP(_xlfn.CONCAT(E638,B638),'Year Wise Master Dep Approach'!F:F,'Year Wise Master Dep Approach'!D:D)</f>
        <v>SLM</v>
      </c>
      <c r="O638" s="113">
        <f>_xlfn.XLOOKUP(_xlfn.CONCAT(E638,B638),'Year Wise Master Dep Approach'!F:F,'Year Wise Master Dep Approach'!E:E)</f>
        <v>5</v>
      </c>
      <c r="P638" s="114">
        <f>IFERROR(IF('FA Addition'!$N638="WDV",1-('FA Addition'!$M638/'FA Addition'!$L638)^(1/'FA Addition'!$O638),1/'FA Addition'!$O638),0)</f>
        <v>0.2</v>
      </c>
      <c r="Q638" s="122">
        <f>'FA Addition'!$P638*'FA Addition'!$O638</f>
        <v>1</v>
      </c>
      <c r="R638" s="122"/>
      <c r="S638" s="116">
        <f>IF(AND(DATE(20&amp;LEFT(FAAddition[[#This Row],[FY]],2),4,1)&lt;$L$1+1,DATE(20&amp;LEFT(FAAddition[[#This Row],[FY]],2),4,1)&gt;$P$1-1),'FA Addition'!$J638,0)</f>
        <v>2000</v>
      </c>
      <c r="U638" s="117">
        <f>S638*'FA Addition'!$L638/'FA Addition'!$J638</f>
        <v>2200000</v>
      </c>
      <c r="W638" s="116">
        <f>SUMIFS('FA Write off'!D:D,'FA Write off'!A:A,'FA Addition'!$A638,'FA Write off'!C:C,"&lt;"&amp;'FA Addition'!$P$1)</f>
        <v>68</v>
      </c>
      <c r="Y638" s="191">
        <f>IFERROR(W638/'FA Addition'!$J638*'FA Addition'!$L638,0)</f>
        <v>74800</v>
      </c>
      <c r="AA638" s="116">
        <f>SUMIFS('FA Write off'!D:D,'FA Write off'!A:A,'FA Addition'!$A638,'FA Write off'!C:C,"&lt;"&amp;'FA Addition'!$L$1+1,'FA Write off'!C:C,"&gt;"&amp;'FA Addition'!$L$1-365)</f>
        <v>0</v>
      </c>
      <c r="AC638" s="118">
        <f>IFERROR(AA638/'FA Addition'!$J638*'FA Addition'!$L638,0)</f>
        <v>0</v>
      </c>
      <c r="AE638" s="117">
        <f>IF(AND('FA Addition'!$D638&lt;$P$1+1,U638=0),'FA Addition'!$L638,0)-Y638</f>
        <v>-74800</v>
      </c>
      <c r="AF638" s="117">
        <f t="shared" si="45"/>
        <v>2125200</v>
      </c>
      <c r="AG638" s="117">
        <f>MIN(MAX(+$P$1-'FA Addition'!$D638,0),365*'FA Addition'!$O638)</f>
        <v>0</v>
      </c>
      <c r="AH638" s="117">
        <f>MIN(MAX($L$1-'FA Addition'!$D638+1,0),365*'FA Addition'!$O638)</f>
        <v>357</v>
      </c>
      <c r="AI638" s="117" cm="1">
        <f t="array" ref="AI638">_xlfn.XLOOKUP(1,('FA Write off'!A:A='FA Addition'!$A638)*('FA Write off'!D:D=AA638),'FA Write off'!H:H,0,0)</f>
        <v>0</v>
      </c>
      <c r="AJ638" s="117">
        <f>IF(AC638&gt;0,MAX(IF('FA Addition'!$N638="SLM",($AC638-'FA Addition'!$M638)*'FA Addition'!$P638*AI638/365,(AC638-'FA Addition'!$M638)*(1-(1-'FA Addition'!$P638)^(AI638/365))),0),0)</f>
        <v>0</v>
      </c>
      <c r="AL638" s="117">
        <f>MAX(IF(AG638&gt;0,IF('FA Addition'!$N638="SLM",($AE638-'FA Addition'!$M638)*'FA Addition'!$P638*AG638/365,IFERROR(VDB(AE638,AE638*0.05,'FA Addition'!$O638,0,YEARFRAC('FA Addition'!$C638,$P$1-1,3),'FA Addition'!$Q638),FAAddition[[#This Row],[Original Cost (Rs)]]-FAAddition[[#This Row],[Salvage Value]])),0),0)</f>
        <v>0</v>
      </c>
      <c r="AM638" s="119"/>
      <c r="AN638" s="117">
        <f>MAX(IF(AH638&gt;0,IF('FA Addition'!$N638="SLM",($AF638-'FA Addition'!$M638)*'FA Addition'!$P638*AH638/365,IFERROR(VDB(AF638,AF638*0.05,'FA Addition'!$O638,0,YEARFRAC('FA Addition'!$C638,$L$1,3),'FA Addition'!$Q638),FAAddition[[#This Row],[Original Cost (Rs)]]-FAAddition[[#This Row],[Salvage Value]])),0),0)</f>
        <v>394206.24657534249</v>
      </c>
      <c r="AO638" s="117">
        <f t="shared" si="48"/>
        <v>394206.24657534249</v>
      </c>
      <c r="AQ638" s="117">
        <f t="shared" si="46"/>
        <v>-74800</v>
      </c>
      <c r="AR638" s="120">
        <f t="shared" si="47"/>
        <v>1730993.7534246575</v>
      </c>
      <c r="AS638" s="121"/>
    </row>
    <row r="639" spans="1:45" ht="13.5" x14ac:dyDescent="0.4">
      <c r="A639" s="12">
        <f t="shared" si="49"/>
        <v>636</v>
      </c>
      <c r="B639" s="64" t="s">
        <v>1308</v>
      </c>
      <c r="C639" s="54">
        <v>45030</v>
      </c>
      <c r="D639" s="54">
        <v>45030</v>
      </c>
      <c r="E639" s="46" t="s">
        <v>32</v>
      </c>
      <c r="F639" s="51" t="s">
        <v>1090</v>
      </c>
      <c r="G639" s="51" t="s">
        <v>433</v>
      </c>
      <c r="H639" s="51" t="s">
        <v>32</v>
      </c>
      <c r="I639" s="55" t="s">
        <v>1351</v>
      </c>
      <c r="J639" s="56">
        <v>3000</v>
      </c>
      <c r="K639" s="51" t="s">
        <v>1350</v>
      </c>
      <c r="L639" s="58">
        <v>3300000</v>
      </c>
      <c r="M639" s="50">
        <f>ROUND('FA Addition'!$L639*5%,0.1)</f>
        <v>165000</v>
      </c>
      <c r="N639" s="113" t="str">
        <f>_xlfn.XLOOKUP(_xlfn.CONCAT(E639,B639),'Year Wise Master Dep Approach'!F:F,'Year Wise Master Dep Approach'!D:D)</f>
        <v>SLM</v>
      </c>
      <c r="O639" s="113">
        <f>_xlfn.XLOOKUP(_xlfn.CONCAT(E639,B639),'Year Wise Master Dep Approach'!F:F,'Year Wise Master Dep Approach'!E:E)</f>
        <v>5</v>
      </c>
      <c r="P639" s="114">
        <f>IFERROR(IF('FA Addition'!$N639="WDV",1-('FA Addition'!$M639/'FA Addition'!$L639)^(1/'FA Addition'!$O639),1/'FA Addition'!$O639),0)</f>
        <v>0.2</v>
      </c>
      <c r="Q639" s="122">
        <f>'FA Addition'!$P639*'FA Addition'!$O639</f>
        <v>1</v>
      </c>
      <c r="R639" s="122"/>
      <c r="S639" s="116">
        <f>IF(AND(DATE(20&amp;LEFT(FAAddition[[#This Row],[FY]],2),4,1)&lt;$L$1+1,DATE(20&amp;LEFT(FAAddition[[#This Row],[FY]],2),4,1)&gt;$P$1-1),'FA Addition'!$J639,0)</f>
        <v>3000</v>
      </c>
      <c r="U639" s="117">
        <f>S639*'FA Addition'!$L639/'FA Addition'!$J639</f>
        <v>3300000</v>
      </c>
      <c r="W639" s="116">
        <f>SUMIFS('FA Write off'!D:D,'FA Write off'!A:A,'FA Addition'!$A639,'FA Write off'!C:C,"&lt;"&amp;'FA Addition'!$P$1)</f>
        <v>103</v>
      </c>
      <c r="Y639" s="191">
        <f>IFERROR(W639/'FA Addition'!$J639*'FA Addition'!$L639,0)</f>
        <v>113300</v>
      </c>
      <c r="AA639" s="116">
        <f>SUMIFS('FA Write off'!D:D,'FA Write off'!A:A,'FA Addition'!$A639,'FA Write off'!C:C,"&lt;"&amp;'FA Addition'!$L$1+1,'FA Write off'!C:C,"&gt;"&amp;'FA Addition'!$L$1-365)</f>
        <v>0</v>
      </c>
      <c r="AC639" s="118">
        <f>IFERROR(AA639/'FA Addition'!$J639*'FA Addition'!$L639,0)</f>
        <v>0</v>
      </c>
      <c r="AE639" s="117">
        <f>IF(AND('FA Addition'!$D639&lt;$P$1+1,U639=0),'FA Addition'!$L639,0)-Y639</f>
        <v>-113300</v>
      </c>
      <c r="AF639" s="117">
        <f t="shared" si="45"/>
        <v>3186700</v>
      </c>
      <c r="AG639" s="117">
        <f>MIN(MAX(+$P$1-'FA Addition'!$D639,0),365*'FA Addition'!$O639)</f>
        <v>0</v>
      </c>
      <c r="AH639" s="117">
        <f>MIN(MAX($L$1-'FA Addition'!$D639+1,0),365*'FA Addition'!$O639)</f>
        <v>353</v>
      </c>
      <c r="AI639" s="117" cm="1">
        <f t="array" ref="AI639">_xlfn.XLOOKUP(1,('FA Write off'!A:A='FA Addition'!$A639)*('FA Write off'!D:D=AA639),'FA Write off'!H:H,0,0)</f>
        <v>0</v>
      </c>
      <c r="AJ639" s="117">
        <f>IF(AC639&gt;0,MAX(IF('FA Addition'!$N639="SLM",($AC639-'FA Addition'!$M639)*'FA Addition'!$P639*AI639/365,(AC639-'FA Addition'!$M639)*(1-(1-'FA Addition'!$P639)^(AI639/365))),0),0)</f>
        <v>0</v>
      </c>
      <c r="AL639" s="117">
        <f>MAX(IF(AG639&gt;0,IF('FA Addition'!$N639="SLM",($AE639-'FA Addition'!$M639)*'FA Addition'!$P639*AG639/365,IFERROR(VDB(AE639,AE639*0.05,'FA Addition'!$O639,0,YEARFRAC('FA Addition'!$C639,$P$1-1,3),'FA Addition'!$Q639),FAAddition[[#This Row],[Original Cost (Rs)]]-FAAddition[[#This Row],[Salvage Value]])),0),0)</f>
        <v>0</v>
      </c>
      <c r="AM639" s="119"/>
      <c r="AN639" s="117">
        <f>MAX(IF(AH639&gt;0,IF('FA Addition'!$N639="SLM",($AF639-'FA Addition'!$M639)*'FA Addition'!$P639*AH639/365,IFERROR(VDB(AF639,AF639*0.05,'FA Addition'!$O639,0,YEARFRAC('FA Addition'!$C639,$L$1,3),'FA Addition'!$Q639),FAAddition[[#This Row],[Original Cost (Rs)]]-FAAddition[[#This Row],[Salvage Value]])),0),0)</f>
        <v>584471.28767123283</v>
      </c>
      <c r="AO639" s="117">
        <f t="shared" si="48"/>
        <v>584471.28767123283</v>
      </c>
      <c r="AQ639" s="117">
        <f t="shared" si="46"/>
        <v>-113300</v>
      </c>
      <c r="AR639" s="120">
        <f t="shared" si="47"/>
        <v>2602228.7123287674</v>
      </c>
      <c r="AS639" s="121"/>
    </row>
    <row r="640" spans="1:45" ht="13.5" x14ac:dyDescent="0.4">
      <c r="A640" s="12">
        <f t="shared" si="49"/>
        <v>637</v>
      </c>
      <c r="B640" s="64" t="s">
        <v>1308</v>
      </c>
      <c r="C640" s="54">
        <v>45033</v>
      </c>
      <c r="D640" s="54">
        <v>45033</v>
      </c>
      <c r="E640" s="46" t="s">
        <v>451</v>
      </c>
      <c r="F640" s="51" t="s">
        <v>19</v>
      </c>
      <c r="G640" s="51" t="s">
        <v>1290</v>
      </c>
      <c r="H640" s="51" t="s">
        <v>21</v>
      </c>
      <c r="I640" s="55" t="s">
        <v>1352</v>
      </c>
      <c r="J640" s="56">
        <v>1</v>
      </c>
      <c r="K640" s="51" t="s">
        <v>1353</v>
      </c>
      <c r="L640" s="58">
        <v>56695</v>
      </c>
      <c r="M640" s="50">
        <f>ROUND('FA Addition'!$L640*5%,0.1)</f>
        <v>2835</v>
      </c>
      <c r="N640" s="113" t="str">
        <f>_xlfn.XLOOKUP(_xlfn.CONCAT(E640,B640),'Year Wise Master Dep Approach'!F:F,'Year Wise Master Dep Approach'!D:D)</f>
        <v>WDV</v>
      </c>
      <c r="O640" s="113">
        <f>_xlfn.XLOOKUP(_xlfn.CONCAT(E640,B640),'Year Wise Master Dep Approach'!F:F,'Year Wise Master Dep Approach'!E:E)</f>
        <v>3</v>
      </c>
      <c r="P640" s="114">
        <f>IFERROR(IF('FA Addition'!$N640="WDV",1-('FA Addition'!$M640/'FA Addition'!$L640)^(1/'FA Addition'!$O640),1/'FA Addition'!$O640),0)</f>
        <v>0.63158602048254031</v>
      </c>
      <c r="Q640" s="122">
        <f>'FA Addition'!$P640*'FA Addition'!$O640</f>
        <v>1.8947580614476209</v>
      </c>
      <c r="R640" s="122"/>
      <c r="S640" s="116">
        <f>IF(AND(DATE(20&amp;LEFT(FAAddition[[#This Row],[FY]],2),4,1)&lt;$L$1+1,DATE(20&amp;LEFT(FAAddition[[#This Row],[FY]],2),4,1)&gt;$P$1-1),'FA Addition'!$J640,0)</f>
        <v>1</v>
      </c>
      <c r="U640" s="117">
        <f>S640*'FA Addition'!$L640/'FA Addition'!$J640</f>
        <v>56695</v>
      </c>
      <c r="W640" s="116">
        <f>SUMIFS('FA Write off'!D:D,'FA Write off'!A:A,'FA Addition'!$A640,'FA Write off'!C:C,"&lt;"&amp;'FA Addition'!$P$1)</f>
        <v>0</v>
      </c>
      <c r="Y640" s="191">
        <f>IFERROR(W640/'FA Addition'!$J640*'FA Addition'!$L640,0)</f>
        <v>0</v>
      </c>
      <c r="AA640" s="116">
        <f>SUMIFS('FA Write off'!D:D,'FA Write off'!A:A,'FA Addition'!$A640,'FA Write off'!C:C,"&lt;"&amp;'FA Addition'!$L$1+1,'FA Write off'!C:C,"&gt;"&amp;'FA Addition'!$L$1-365)</f>
        <v>0</v>
      </c>
      <c r="AC640" s="118">
        <f>IFERROR(AA640/'FA Addition'!$J640*'FA Addition'!$L640,0)</f>
        <v>0</v>
      </c>
      <c r="AE640" s="117">
        <f>IF(AND('FA Addition'!$D640&lt;$P$1+1,U640=0),'FA Addition'!$L640,0)-Y640</f>
        <v>0</v>
      </c>
      <c r="AF640" s="117">
        <f t="shared" si="45"/>
        <v>56695</v>
      </c>
      <c r="AG640" s="117">
        <f>MIN(MAX(+$P$1-'FA Addition'!$D640,0),365*'FA Addition'!$O640)</f>
        <v>0</v>
      </c>
      <c r="AH640" s="117">
        <f>MIN(MAX($L$1-'FA Addition'!$D640+1,0),365*'FA Addition'!$O640)</f>
        <v>350</v>
      </c>
      <c r="AI640" s="117" cm="1">
        <f t="array" ref="AI640">_xlfn.XLOOKUP(1,('FA Write off'!A:A='FA Addition'!$A640)*('FA Write off'!D:D=AA640),'FA Write off'!H:H,0,0)</f>
        <v>0</v>
      </c>
      <c r="AJ640" s="117">
        <f>IF(AC640&gt;0,MAX(IF('FA Addition'!$N640="SLM",($AC640-'FA Addition'!$M640)*'FA Addition'!$P640*AI640/365,(AC640-'FA Addition'!$M640)*(1-(1-'FA Addition'!$P640)^(AI640/365))),0),0)</f>
        <v>0</v>
      </c>
      <c r="AL640" s="117">
        <f>MAX(IF(AG640&gt;0,IF('FA Addition'!$N640="SLM",($AE640-'FA Addition'!$M640)*'FA Addition'!$P640*AG640/365,IFERROR(VDB(AE640,AE640*0.05,'FA Addition'!$O640,0,YEARFRAC('FA Addition'!$C640,$P$1-1,3),'FA Addition'!$Q640),FAAddition[[#This Row],[Original Cost (Rs)]]-FAAddition[[#This Row],[Salvage Value]])),0),0)</f>
        <v>0</v>
      </c>
      <c r="AM640" s="119"/>
      <c r="AN640" s="117">
        <f>MAX(IF(AH640&gt;0,IF('FA Addition'!$N640="SLM",($AF640-'FA Addition'!$M640)*'FA Addition'!$P640*AH640/365,IFERROR(VDB(AF640,AF640*0.05,'FA Addition'!$O640,0,YEARFRAC('FA Addition'!$C640,$L$1,3),'FA Addition'!$Q640),FAAddition[[#This Row],[Original Cost (Rs)]]-FAAddition[[#This Row],[Salvage Value]])),0),0)</f>
        <v>34238.113784955916</v>
      </c>
      <c r="AO640" s="117">
        <f t="shared" si="48"/>
        <v>34238.113784955916</v>
      </c>
      <c r="AQ640" s="117">
        <f t="shared" si="46"/>
        <v>0</v>
      </c>
      <c r="AR640" s="120">
        <f t="shared" si="47"/>
        <v>22456.886215044084</v>
      </c>
      <c r="AS640" s="121"/>
    </row>
    <row r="641" spans="1:45" ht="13.5" x14ac:dyDescent="0.4">
      <c r="A641" s="12">
        <f t="shared" si="49"/>
        <v>638</v>
      </c>
      <c r="B641" s="64" t="s">
        <v>1308</v>
      </c>
      <c r="C641" s="54">
        <v>45033</v>
      </c>
      <c r="D641" s="54">
        <v>45033</v>
      </c>
      <c r="E641" s="46" t="s">
        <v>451</v>
      </c>
      <c r="F641" s="51" t="s">
        <v>19</v>
      </c>
      <c r="G641" s="51" t="s">
        <v>1290</v>
      </c>
      <c r="H641" s="51" t="s">
        <v>21</v>
      </c>
      <c r="I641" s="55" t="s">
        <v>1352</v>
      </c>
      <c r="J641" s="56">
        <v>1</v>
      </c>
      <c r="K641" s="51" t="s">
        <v>1353</v>
      </c>
      <c r="L641" s="58">
        <v>56695</v>
      </c>
      <c r="M641" s="50">
        <f>ROUND('FA Addition'!$L641*5%,0.1)</f>
        <v>2835</v>
      </c>
      <c r="N641" s="113" t="str">
        <f>_xlfn.XLOOKUP(_xlfn.CONCAT(E641,B641),'Year Wise Master Dep Approach'!F:F,'Year Wise Master Dep Approach'!D:D)</f>
        <v>WDV</v>
      </c>
      <c r="O641" s="113">
        <f>_xlfn.XLOOKUP(_xlfn.CONCAT(E641,B641),'Year Wise Master Dep Approach'!F:F,'Year Wise Master Dep Approach'!E:E)</f>
        <v>3</v>
      </c>
      <c r="P641" s="114">
        <f>IFERROR(IF('FA Addition'!$N641="WDV",1-('FA Addition'!$M641/'FA Addition'!$L641)^(1/'FA Addition'!$O641),1/'FA Addition'!$O641),0)</f>
        <v>0.63158602048254031</v>
      </c>
      <c r="Q641" s="122">
        <f>'FA Addition'!$P641*'FA Addition'!$O641</f>
        <v>1.8947580614476209</v>
      </c>
      <c r="R641" s="122"/>
      <c r="S641" s="116">
        <f>IF(AND(DATE(20&amp;LEFT(FAAddition[[#This Row],[FY]],2),4,1)&lt;$L$1+1,DATE(20&amp;LEFT(FAAddition[[#This Row],[FY]],2),4,1)&gt;$P$1-1),'FA Addition'!$J641,0)</f>
        <v>1</v>
      </c>
      <c r="U641" s="117">
        <f>S641*'FA Addition'!$L641/'FA Addition'!$J641</f>
        <v>56695</v>
      </c>
      <c r="W641" s="116">
        <f>SUMIFS('FA Write off'!D:D,'FA Write off'!A:A,'FA Addition'!$A641,'FA Write off'!C:C,"&lt;"&amp;'FA Addition'!$P$1)</f>
        <v>0</v>
      </c>
      <c r="Y641" s="191">
        <f>IFERROR(W641/'FA Addition'!$J641*'FA Addition'!$L641,0)</f>
        <v>0</v>
      </c>
      <c r="AA641" s="116">
        <f>SUMIFS('FA Write off'!D:D,'FA Write off'!A:A,'FA Addition'!$A641,'FA Write off'!C:C,"&lt;"&amp;'FA Addition'!$L$1+1,'FA Write off'!C:C,"&gt;"&amp;'FA Addition'!$L$1-365)</f>
        <v>0</v>
      </c>
      <c r="AC641" s="118">
        <f>IFERROR(AA641/'FA Addition'!$J641*'FA Addition'!$L641,0)</f>
        <v>0</v>
      </c>
      <c r="AE641" s="117">
        <f>IF(AND('FA Addition'!$D641&lt;$P$1+1,U641=0),'FA Addition'!$L641,0)-Y641</f>
        <v>0</v>
      </c>
      <c r="AF641" s="117">
        <f t="shared" si="45"/>
        <v>56695</v>
      </c>
      <c r="AG641" s="117">
        <f>MIN(MAX(+$P$1-'FA Addition'!$D641,0),365*'FA Addition'!$O641)</f>
        <v>0</v>
      </c>
      <c r="AH641" s="117">
        <f>MIN(MAX($L$1-'FA Addition'!$D641+1,0),365*'FA Addition'!$O641)</f>
        <v>350</v>
      </c>
      <c r="AI641" s="117" cm="1">
        <f t="array" ref="AI641">_xlfn.XLOOKUP(1,('FA Write off'!A:A='FA Addition'!$A641)*('FA Write off'!D:D=AA641),'FA Write off'!H:H,0,0)</f>
        <v>0</v>
      </c>
      <c r="AJ641" s="117">
        <f>IF(AC641&gt;0,MAX(IF('FA Addition'!$N641="SLM",($AC641-'FA Addition'!$M641)*'FA Addition'!$P641*AI641/365,(AC641-'FA Addition'!$M641)*(1-(1-'FA Addition'!$P641)^(AI641/365))),0),0)</f>
        <v>0</v>
      </c>
      <c r="AL641" s="117">
        <f>MAX(IF(AG641&gt;0,IF('FA Addition'!$N641="SLM",($AE641-'FA Addition'!$M641)*'FA Addition'!$P641*AG641/365,IFERROR(VDB(AE641,AE641*0.05,'FA Addition'!$O641,0,YEARFRAC('FA Addition'!$C641,$P$1-1,3),'FA Addition'!$Q641),FAAddition[[#This Row],[Original Cost (Rs)]]-FAAddition[[#This Row],[Salvage Value]])),0),0)</f>
        <v>0</v>
      </c>
      <c r="AM641" s="119"/>
      <c r="AN641" s="117">
        <f>MAX(IF(AH641&gt;0,IF('FA Addition'!$N641="SLM",($AF641-'FA Addition'!$M641)*'FA Addition'!$P641*AH641/365,IFERROR(VDB(AF641,AF641*0.05,'FA Addition'!$O641,0,YEARFRAC('FA Addition'!$C641,$L$1,3),'FA Addition'!$Q641),FAAddition[[#This Row],[Original Cost (Rs)]]-FAAddition[[#This Row],[Salvage Value]])),0),0)</f>
        <v>34238.113784955916</v>
      </c>
      <c r="AO641" s="117">
        <f t="shared" si="48"/>
        <v>34238.113784955916</v>
      </c>
      <c r="AQ641" s="117">
        <f t="shared" si="46"/>
        <v>0</v>
      </c>
      <c r="AR641" s="120">
        <f t="shared" si="47"/>
        <v>22456.886215044084</v>
      </c>
      <c r="AS641" s="121"/>
    </row>
    <row r="642" spans="1:45" ht="13.5" x14ac:dyDescent="0.4">
      <c r="A642" s="12">
        <f t="shared" si="49"/>
        <v>639</v>
      </c>
      <c r="B642" s="64" t="s">
        <v>1308</v>
      </c>
      <c r="C642" s="54">
        <v>45033</v>
      </c>
      <c r="D642" s="54">
        <v>45033</v>
      </c>
      <c r="E642" s="46" t="s">
        <v>451</v>
      </c>
      <c r="F642" s="51" t="s">
        <v>19</v>
      </c>
      <c r="G642" s="51" t="s">
        <v>1290</v>
      </c>
      <c r="H642" s="51" t="s">
        <v>21</v>
      </c>
      <c r="I642" s="55" t="s">
        <v>1352</v>
      </c>
      <c r="J642" s="56">
        <v>1</v>
      </c>
      <c r="K642" s="51" t="s">
        <v>1353</v>
      </c>
      <c r="L642" s="58">
        <v>56695</v>
      </c>
      <c r="M642" s="50">
        <f>ROUND('FA Addition'!$L642*5%,0.1)</f>
        <v>2835</v>
      </c>
      <c r="N642" s="113" t="str">
        <f>_xlfn.XLOOKUP(_xlfn.CONCAT(E642,B642),'Year Wise Master Dep Approach'!F:F,'Year Wise Master Dep Approach'!D:D)</f>
        <v>WDV</v>
      </c>
      <c r="O642" s="113">
        <f>_xlfn.XLOOKUP(_xlfn.CONCAT(E642,B642),'Year Wise Master Dep Approach'!F:F,'Year Wise Master Dep Approach'!E:E)</f>
        <v>3</v>
      </c>
      <c r="P642" s="114">
        <f>IFERROR(IF('FA Addition'!$N642="WDV",1-('FA Addition'!$M642/'FA Addition'!$L642)^(1/'FA Addition'!$O642),1/'FA Addition'!$O642),0)</f>
        <v>0.63158602048254031</v>
      </c>
      <c r="Q642" s="122">
        <f>'FA Addition'!$P642*'FA Addition'!$O642</f>
        <v>1.8947580614476209</v>
      </c>
      <c r="R642" s="122"/>
      <c r="S642" s="116">
        <f>IF(AND(DATE(20&amp;LEFT(FAAddition[[#This Row],[FY]],2),4,1)&lt;$L$1+1,DATE(20&amp;LEFT(FAAddition[[#This Row],[FY]],2),4,1)&gt;$P$1-1),'FA Addition'!$J642,0)</f>
        <v>1</v>
      </c>
      <c r="U642" s="117">
        <f>S642*'FA Addition'!$L642/'FA Addition'!$J642</f>
        <v>56695</v>
      </c>
      <c r="W642" s="116">
        <f>SUMIFS('FA Write off'!D:D,'FA Write off'!A:A,'FA Addition'!$A642,'FA Write off'!C:C,"&lt;"&amp;'FA Addition'!$P$1)</f>
        <v>0</v>
      </c>
      <c r="Y642" s="191">
        <f>IFERROR(W642/'FA Addition'!$J642*'FA Addition'!$L642,0)</f>
        <v>0</v>
      </c>
      <c r="AA642" s="116">
        <f>SUMIFS('FA Write off'!D:D,'FA Write off'!A:A,'FA Addition'!$A642,'FA Write off'!C:C,"&lt;"&amp;'FA Addition'!$L$1+1,'FA Write off'!C:C,"&gt;"&amp;'FA Addition'!$L$1-365)</f>
        <v>0</v>
      </c>
      <c r="AC642" s="118">
        <f>IFERROR(AA642/'FA Addition'!$J642*'FA Addition'!$L642,0)</f>
        <v>0</v>
      </c>
      <c r="AE642" s="117">
        <f>IF(AND('FA Addition'!$D642&lt;$P$1+1,U642=0),'FA Addition'!$L642,0)-Y642</f>
        <v>0</v>
      </c>
      <c r="AF642" s="117">
        <f t="shared" si="45"/>
        <v>56695</v>
      </c>
      <c r="AG642" s="117">
        <f>MIN(MAX(+$P$1-'FA Addition'!$D642,0),365*'FA Addition'!$O642)</f>
        <v>0</v>
      </c>
      <c r="AH642" s="117">
        <f>MIN(MAX($L$1-'FA Addition'!$D642+1,0),365*'FA Addition'!$O642)</f>
        <v>350</v>
      </c>
      <c r="AI642" s="117" cm="1">
        <f t="array" ref="AI642">_xlfn.XLOOKUP(1,('FA Write off'!A:A='FA Addition'!$A642)*('FA Write off'!D:D=AA642),'FA Write off'!H:H,0,0)</f>
        <v>0</v>
      </c>
      <c r="AJ642" s="117">
        <f>IF(AC642&gt;0,MAX(IF('FA Addition'!$N642="SLM",($AC642-'FA Addition'!$M642)*'FA Addition'!$P642*AI642/365,(AC642-'FA Addition'!$M642)*(1-(1-'FA Addition'!$P642)^(AI642/365))),0),0)</f>
        <v>0</v>
      </c>
      <c r="AL642" s="117">
        <f>MAX(IF(AG642&gt;0,IF('FA Addition'!$N642="SLM",($AE642-'FA Addition'!$M642)*'FA Addition'!$P642*AG642/365,IFERROR(VDB(AE642,AE642*0.05,'FA Addition'!$O642,0,YEARFRAC('FA Addition'!$C642,$P$1-1,3),'FA Addition'!$Q642),FAAddition[[#This Row],[Original Cost (Rs)]]-FAAddition[[#This Row],[Salvage Value]])),0),0)</f>
        <v>0</v>
      </c>
      <c r="AM642" s="119"/>
      <c r="AN642" s="117">
        <f>MAX(IF(AH642&gt;0,IF('FA Addition'!$N642="SLM",($AF642-'FA Addition'!$M642)*'FA Addition'!$P642*AH642/365,IFERROR(VDB(AF642,AF642*0.05,'FA Addition'!$O642,0,YEARFRAC('FA Addition'!$C642,$L$1,3),'FA Addition'!$Q642),FAAddition[[#This Row],[Original Cost (Rs)]]-FAAddition[[#This Row],[Salvage Value]])),0),0)</f>
        <v>34238.113784955916</v>
      </c>
      <c r="AO642" s="117">
        <f t="shared" si="48"/>
        <v>34238.113784955916</v>
      </c>
      <c r="AQ642" s="117">
        <f t="shared" si="46"/>
        <v>0</v>
      </c>
      <c r="AR642" s="120">
        <f t="shared" si="47"/>
        <v>22456.886215044084</v>
      </c>
      <c r="AS642" s="121"/>
    </row>
    <row r="643" spans="1:45" ht="13.5" x14ac:dyDescent="0.4">
      <c r="A643" s="12">
        <f t="shared" si="49"/>
        <v>640</v>
      </c>
      <c r="B643" s="64" t="s">
        <v>1308</v>
      </c>
      <c r="C643" s="54">
        <v>45033</v>
      </c>
      <c r="D643" s="54">
        <v>45033</v>
      </c>
      <c r="E643" s="46" t="s">
        <v>451</v>
      </c>
      <c r="F643" s="51" t="s">
        <v>19</v>
      </c>
      <c r="G643" s="51" t="s">
        <v>1290</v>
      </c>
      <c r="H643" s="51" t="s">
        <v>21</v>
      </c>
      <c r="I643" s="55" t="s">
        <v>1352</v>
      </c>
      <c r="J643" s="56">
        <v>1</v>
      </c>
      <c r="K643" s="51" t="s">
        <v>1353</v>
      </c>
      <c r="L643" s="58">
        <v>56695</v>
      </c>
      <c r="M643" s="50">
        <f>ROUND('FA Addition'!$L643*5%,0.1)</f>
        <v>2835</v>
      </c>
      <c r="N643" s="113" t="str">
        <f>_xlfn.XLOOKUP(_xlfn.CONCAT(E643,B643),'Year Wise Master Dep Approach'!F:F,'Year Wise Master Dep Approach'!D:D)</f>
        <v>WDV</v>
      </c>
      <c r="O643" s="113">
        <f>_xlfn.XLOOKUP(_xlfn.CONCAT(E643,B643),'Year Wise Master Dep Approach'!F:F,'Year Wise Master Dep Approach'!E:E)</f>
        <v>3</v>
      </c>
      <c r="P643" s="114">
        <f>IFERROR(IF('FA Addition'!$N643="WDV",1-('FA Addition'!$M643/'FA Addition'!$L643)^(1/'FA Addition'!$O643),1/'FA Addition'!$O643),0)</f>
        <v>0.63158602048254031</v>
      </c>
      <c r="Q643" s="122">
        <f>'FA Addition'!$P643*'FA Addition'!$O643</f>
        <v>1.8947580614476209</v>
      </c>
      <c r="R643" s="122"/>
      <c r="S643" s="116">
        <f>IF(AND(DATE(20&amp;LEFT(FAAddition[[#This Row],[FY]],2),4,1)&lt;$L$1+1,DATE(20&amp;LEFT(FAAddition[[#This Row],[FY]],2),4,1)&gt;$P$1-1),'FA Addition'!$J643,0)</f>
        <v>1</v>
      </c>
      <c r="U643" s="117">
        <f>S643*'FA Addition'!$L643/'FA Addition'!$J643</f>
        <v>56695</v>
      </c>
      <c r="W643" s="116">
        <f>SUMIFS('FA Write off'!D:D,'FA Write off'!A:A,'FA Addition'!$A643,'FA Write off'!C:C,"&lt;"&amp;'FA Addition'!$P$1)</f>
        <v>0</v>
      </c>
      <c r="Y643" s="191">
        <f>IFERROR(W643/'FA Addition'!$J643*'FA Addition'!$L643,0)</f>
        <v>0</v>
      </c>
      <c r="AA643" s="116">
        <f>SUMIFS('FA Write off'!D:D,'FA Write off'!A:A,'FA Addition'!$A643,'FA Write off'!C:C,"&lt;"&amp;'FA Addition'!$L$1+1,'FA Write off'!C:C,"&gt;"&amp;'FA Addition'!$L$1-365)</f>
        <v>0</v>
      </c>
      <c r="AC643" s="118">
        <f>IFERROR(AA643/'FA Addition'!$J643*'FA Addition'!$L643,0)</f>
        <v>0</v>
      </c>
      <c r="AE643" s="117">
        <f>IF(AND('FA Addition'!$D643&lt;$P$1+1,U643=0),'FA Addition'!$L643,0)-Y643</f>
        <v>0</v>
      </c>
      <c r="AF643" s="117">
        <f t="shared" si="45"/>
        <v>56695</v>
      </c>
      <c r="AG643" s="117">
        <f>MIN(MAX(+$P$1-'FA Addition'!$D643,0),365*'FA Addition'!$O643)</f>
        <v>0</v>
      </c>
      <c r="AH643" s="117">
        <f>MIN(MAX($L$1-'FA Addition'!$D643+1,0),365*'FA Addition'!$O643)</f>
        <v>350</v>
      </c>
      <c r="AI643" s="117" cm="1">
        <f t="array" ref="AI643">_xlfn.XLOOKUP(1,('FA Write off'!A:A='FA Addition'!$A643)*('FA Write off'!D:D=AA643),'FA Write off'!H:H,0,0)</f>
        <v>0</v>
      </c>
      <c r="AJ643" s="117">
        <f>IF(AC643&gt;0,MAX(IF('FA Addition'!$N643="SLM",($AC643-'FA Addition'!$M643)*'FA Addition'!$P643*AI643/365,(AC643-'FA Addition'!$M643)*(1-(1-'FA Addition'!$P643)^(AI643/365))),0),0)</f>
        <v>0</v>
      </c>
      <c r="AL643" s="117">
        <f>MAX(IF(AG643&gt;0,IF('FA Addition'!$N643="SLM",($AE643-'FA Addition'!$M643)*'FA Addition'!$P643*AG643/365,IFERROR(VDB(AE643,AE643*0.05,'FA Addition'!$O643,0,YEARFRAC('FA Addition'!$C643,$P$1-1,3),'FA Addition'!$Q643),FAAddition[[#This Row],[Original Cost (Rs)]]-FAAddition[[#This Row],[Salvage Value]])),0),0)</f>
        <v>0</v>
      </c>
      <c r="AM643" s="119"/>
      <c r="AN643" s="117">
        <f>MAX(IF(AH643&gt;0,IF('FA Addition'!$N643="SLM",($AF643-'FA Addition'!$M643)*'FA Addition'!$P643*AH643/365,IFERROR(VDB(AF643,AF643*0.05,'FA Addition'!$O643,0,YEARFRAC('FA Addition'!$C643,$L$1,3),'FA Addition'!$Q643),FAAddition[[#This Row],[Original Cost (Rs)]]-FAAddition[[#This Row],[Salvage Value]])),0),0)</f>
        <v>34238.113784955916</v>
      </c>
      <c r="AO643" s="117">
        <f t="shared" si="48"/>
        <v>34238.113784955916</v>
      </c>
      <c r="AQ643" s="117">
        <f t="shared" si="46"/>
        <v>0</v>
      </c>
      <c r="AR643" s="120">
        <f t="shared" si="47"/>
        <v>22456.886215044084</v>
      </c>
      <c r="AS643" s="121"/>
    </row>
    <row r="644" spans="1:45" ht="13.5" x14ac:dyDescent="0.4">
      <c r="A644" s="12">
        <f t="shared" si="49"/>
        <v>641</v>
      </c>
      <c r="B644" s="64" t="s">
        <v>1308</v>
      </c>
      <c r="C644" s="54">
        <v>45043</v>
      </c>
      <c r="D644" s="54">
        <v>45043</v>
      </c>
      <c r="E644" s="46" t="s">
        <v>451</v>
      </c>
      <c r="F644" s="51" t="s">
        <v>19</v>
      </c>
      <c r="G644" s="51" t="s">
        <v>1290</v>
      </c>
      <c r="H644" s="51" t="s">
        <v>21</v>
      </c>
      <c r="I644" s="55" t="s">
        <v>1354</v>
      </c>
      <c r="J644" s="56">
        <v>1</v>
      </c>
      <c r="K644" s="51" t="s">
        <v>1353</v>
      </c>
      <c r="L644" s="58">
        <v>56695</v>
      </c>
      <c r="M644" s="50">
        <f>ROUND('FA Addition'!$L644*5%,0.1)</f>
        <v>2835</v>
      </c>
      <c r="N644" s="113" t="str">
        <f>_xlfn.XLOOKUP(_xlfn.CONCAT(E644,B644),'Year Wise Master Dep Approach'!F:F,'Year Wise Master Dep Approach'!D:D)</f>
        <v>WDV</v>
      </c>
      <c r="O644" s="113">
        <f>_xlfn.XLOOKUP(_xlfn.CONCAT(E644,B644),'Year Wise Master Dep Approach'!F:F,'Year Wise Master Dep Approach'!E:E)</f>
        <v>3</v>
      </c>
      <c r="P644" s="114">
        <f>IFERROR(IF('FA Addition'!$N644="WDV",1-('FA Addition'!$M644/'FA Addition'!$L644)^(1/'FA Addition'!$O644),1/'FA Addition'!$O644),0)</f>
        <v>0.63158602048254031</v>
      </c>
      <c r="Q644" s="122">
        <f>'FA Addition'!$P644*'FA Addition'!$O644</f>
        <v>1.8947580614476209</v>
      </c>
      <c r="R644" s="122"/>
      <c r="S644" s="116">
        <f>IF(AND(DATE(20&amp;LEFT(FAAddition[[#This Row],[FY]],2),4,1)&lt;$L$1+1,DATE(20&amp;LEFT(FAAddition[[#This Row],[FY]],2),4,1)&gt;$P$1-1),'FA Addition'!$J644,0)</f>
        <v>1</v>
      </c>
      <c r="U644" s="117">
        <f>S644*'FA Addition'!$L644/'FA Addition'!$J644</f>
        <v>56695</v>
      </c>
      <c r="W644" s="116">
        <f>SUMIFS('FA Write off'!D:D,'FA Write off'!A:A,'FA Addition'!$A644,'FA Write off'!C:C,"&lt;"&amp;'FA Addition'!$P$1)</f>
        <v>0</v>
      </c>
      <c r="Y644" s="191">
        <f>IFERROR(W644/'FA Addition'!$J644*'FA Addition'!$L644,0)</f>
        <v>0</v>
      </c>
      <c r="AA644" s="116">
        <f>SUMIFS('FA Write off'!D:D,'FA Write off'!A:A,'FA Addition'!$A644,'FA Write off'!C:C,"&lt;"&amp;'FA Addition'!$L$1+1,'FA Write off'!C:C,"&gt;"&amp;'FA Addition'!$L$1-365)</f>
        <v>0</v>
      </c>
      <c r="AC644" s="118">
        <f>IFERROR(AA644/'FA Addition'!$J644*'FA Addition'!$L644,0)</f>
        <v>0</v>
      </c>
      <c r="AE644" s="117">
        <f>IF(AND('FA Addition'!$D644&lt;$P$1+1,U644=0),'FA Addition'!$L644,0)-Y644</f>
        <v>0</v>
      </c>
      <c r="AF644" s="117">
        <f t="shared" ref="AF644:AF707" si="50">AE644+U644-AC644</f>
        <v>56695</v>
      </c>
      <c r="AG644" s="117">
        <f>MIN(MAX(+$P$1-'FA Addition'!$D644,0),365*'FA Addition'!$O644)</f>
        <v>0</v>
      </c>
      <c r="AH644" s="117">
        <f>MIN(MAX($L$1-'FA Addition'!$D644+1,0),365*'FA Addition'!$O644)</f>
        <v>340</v>
      </c>
      <c r="AI644" s="117" cm="1">
        <f t="array" ref="AI644">_xlfn.XLOOKUP(1,('FA Write off'!A:A='FA Addition'!$A644)*('FA Write off'!D:D=AA644),'FA Write off'!H:H,0,0)</f>
        <v>0</v>
      </c>
      <c r="AJ644" s="117">
        <f>IF(AC644&gt;0,MAX(IF('FA Addition'!$N644="SLM",($AC644-'FA Addition'!$M644)*'FA Addition'!$P644*AI644/365,(AC644-'FA Addition'!$M644)*(1-(1-'FA Addition'!$P644)^(AI644/365))),0),0)</f>
        <v>0</v>
      </c>
      <c r="AL644" s="117">
        <f>MAX(IF(AG644&gt;0,IF('FA Addition'!$N644="SLM",($AE644-'FA Addition'!$M644)*'FA Addition'!$P644*AG644/365,IFERROR(VDB(AE644,AE644*0.05,'FA Addition'!$O644,0,YEARFRAC('FA Addition'!$C644,$P$1-1,3),'FA Addition'!$Q644),FAAddition[[#This Row],[Original Cost (Rs)]]-FAAddition[[#This Row],[Salvage Value]])),0),0)</f>
        <v>0</v>
      </c>
      <c r="AM644" s="119"/>
      <c r="AN644" s="117">
        <f>MAX(IF(AH644&gt;0,IF('FA Addition'!$N644="SLM",($AF644-'FA Addition'!$M644)*'FA Addition'!$P644*AH644/365,IFERROR(VDB(AF644,AF644*0.05,'FA Addition'!$O644,0,YEARFRAC('FA Addition'!$C644,$L$1,3),'FA Addition'!$Q644),FAAddition[[#This Row],[Original Cost (Rs)]]-FAAddition[[#This Row],[Salvage Value]])),0),0)</f>
        <v>33257.079006017353</v>
      </c>
      <c r="AO644" s="117">
        <f t="shared" si="48"/>
        <v>33257.079006017353</v>
      </c>
      <c r="AQ644" s="117">
        <f t="shared" ref="AQ644:AQ707" si="51">AE644-AL644</f>
        <v>0</v>
      </c>
      <c r="AR644" s="120">
        <f t="shared" ref="AR644:AR707" si="52">AF644-AN644</f>
        <v>23437.920993982647</v>
      </c>
      <c r="AS644" s="121"/>
    </row>
    <row r="645" spans="1:45" ht="13.5" x14ac:dyDescent="0.4">
      <c r="A645" s="12">
        <f t="shared" si="49"/>
        <v>642</v>
      </c>
      <c r="B645" s="64" t="s">
        <v>1308</v>
      </c>
      <c r="C645" s="54">
        <v>45043</v>
      </c>
      <c r="D645" s="54">
        <v>45043</v>
      </c>
      <c r="E645" s="46" t="s">
        <v>451</v>
      </c>
      <c r="F645" s="51" t="s">
        <v>19</v>
      </c>
      <c r="G645" s="51" t="s">
        <v>1290</v>
      </c>
      <c r="H645" s="51" t="s">
        <v>21</v>
      </c>
      <c r="I645" s="55" t="s">
        <v>1354</v>
      </c>
      <c r="J645" s="56">
        <v>1</v>
      </c>
      <c r="K645" s="51" t="s">
        <v>1353</v>
      </c>
      <c r="L645" s="58">
        <v>56695</v>
      </c>
      <c r="M645" s="50">
        <f>ROUND('FA Addition'!$L645*5%,0.1)</f>
        <v>2835</v>
      </c>
      <c r="N645" s="113" t="str">
        <f>_xlfn.XLOOKUP(_xlfn.CONCAT(E645,B645),'Year Wise Master Dep Approach'!F:F,'Year Wise Master Dep Approach'!D:D)</f>
        <v>WDV</v>
      </c>
      <c r="O645" s="113">
        <f>_xlfn.XLOOKUP(_xlfn.CONCAT(E645,B645),'Year Wise Master Dep Approach'!F:F,'Year Wise Master Dep Approach'!E:E)</f>
        <v>3</v>
      </c>
      <c r="P645" s="114">
        <f>IFERROR(IF('FA Addition'!$N645="WDV",1-('FA Addition'!$M645/'FA Addition'!$L645)^(1/'FA Addition'!$O645),1/'FA Addition'!$O645),0)</f>
        <v>0.63158602048254031</v>
      </c>
      <c r="Q645" s="122">
        <f>'FA Addition'!$P645*'FA Addition'!$O645</f>
        <v>1.8947580614476209</v>
      </c>
      <c r="R645" s="122"/>
      <c r="S645" s="116">
        <f>IF(AND(DATE(20&amp;LEFT(FAAddition[[#This Row],[FY]],2),4,1)&lt;$L$1+1,DATE(20&amp;LEFT(FAAddition[[#This Row],[FY]],2),4,1)&gt;$P$1-1),'FA Addition'!$J645,0)</f>
        <v>1</v>
      </c>
      <c r="U645" s="117">
        <f>S645*'FA Addition'!$L645/'FA Addition'!$J645</f>
        <v>56695</v>
      </c>
      <c r="W645" s="116">
        <f>SUMIFS('FA Write off'!D:D,'FA Write off'!A:A,'FA Addition'!$A645,'FA Write off'!C:C,"&lt;"&amp;'FA Addition'!$P$1)</f>
        <v>0</v>
      </c>
      <c r="Y645" s="191">
        <f>IFERROR(W645/'FA Addition'!$J645*'FA Addition'!$L645,0)</f>
        <v>0</v>
      </c>
      <c r="AA645" s="116">
        <f>SUMIFS('FA Write off'!D:D,'FA Write off'!A:A,'FA Addition'!$A645,'FA Write off'!C:C,"&lt;"&amp;'FA Addition'!$L$1+1,'FA Write off'!C:C,"&gt;"&amp;'FA Addition'!$L$1-365)</f>
        <v>0</v>
      </c>
      <c r="AC645" s="118">
        <f>IFERROR(AA645/'FA Addition'!$J645*'FA Addition'!$L645,0)</f>
        <v>0</v>
      </c>
      <c r="AE645" s="117">
        <f>IF(AND('FA Addition'!$D645&lt;$P$1+1,U645=0),'FA Addition'!$L645,0)-Y645</f>
        <v>0</v>
      </c>
      <c r="AF645" s="117">
        <f t="shared" si="50"/>
        <v>56695</v>
      </c>
      <c r="AG645" s="117">
        <f>MIN(MAX(+$P$1-'FA Addition'!$D645,0),365*'FA Addition'!$O645)</f>
        <v>0</v>
      </c>
      <c r="AH645" s="117">
        <f>MIN(MAX($L$1-'FA Addition'!$D645+1,0),365*'FA Addition'!$O645)</f>
        <v>340</v>
      </c>
      <c r="AI645" s="117" cm="1">
        <f t="array" ref="AI645">_xlfn.XLOOKUP(1,('FA Write off'!A:A='FA Addition'!$A645)*('FA Write off'!D:D=AA645),'FA Write off'!H:H,0,0)</f>
        <v>0</v>
      </c>
      <c r="AJ645" s="117">
        <f>IF(AC645&gt;0,MAX(IF('FA Addition'!$N645="SLM",($AC645-'FA Addition'!$M645)*'FA Addition'!$P645*AI645/365,(AC645-'FA Addition'!$M645)*(1-(1-'FA Addition'!$P645)^(AI645/365))),0),0)</f>
        <v>0</v>
      </c>
      <c r="AL645" s="117">
        <f>MAX(IF(AG645&gt;0,IF('FA Addition'!$N645="SLM",($AE645-'FA Addition'!$M645)*'FA Addition'!$P645*AG645/365,IFERROR(VDB(AE645,AE645*0.05,'FA Addition'!$O645,0,YEARFRAC('FA Addition'!$C645,$P$1-1,3),'FA Addition'!$Q645),FAAddition[[#This Row],[Original Cost (Rs)]]-FAAddition[[#This Row],[Salvage Value]])),0),0)</f>
        <v>0</v>
      </c>
      <c r="AM645" s="119"/>
      <c r="AN645" s="117">
        <f>MAX(IF(AH645&gt;0,IF('FA Addition'!$N645="SLM",($AF645-'FA Addition'!$M645)*'FA Addition'!$P645*AH645/365,IFERROR(VDB(AF645,AF645*0.05,'FA Addition'!$O645,0,YEARFRAC('FA Addition'!$C645,$L$1,3),'FA Addition'!$Q645),FAAddition[[#This Row],[Original Cost (Rs)]]-FAAddition[[#This Row],[Salvage Value]])),0),0)</f>
        <v>33257.079006017353</v>
      </c>
      <c r="AO645" s="117">
        <f t="shared" ref="AO645:AO708" si="53">AN645-AL645+AJ645</f>
        <v>33257.079006017353</v>
      </c>
      <c r="AQ645" s="117">
        <f t="shared" si="51"/>
        <v>0</v>
      </c>
      <c r="AR645" s="120">
        <f t="shared" si="52"/>
        <v>23437.920993982647</v>
      </c>
      <c r="AS645" s="121"/>
    </row>
    <row r="646" spans="1:45" ht="13.5" x14ac:dyDescent="0.4">
      <c r="A646" s="12">
        <f t="shared" ref="A646:A709" si="54">A645+1</f>
        <v>643</v>
      </c>
      <c r="B646" s="64" t="s">
        <v>1308</v>
      </c>
      <c r="C646" s="54">
        <v>45043</v>
      </c>
      <c r="D646" s="54">
        <v>45043</v>
      </c>
      <c r="E646" s="46" t="s">
        <v>451</v>
      </c>
      <c r="F646" s="51" t="s">
        <v>19</v>
      </c>
      <c r="G646" s="51" t="s">
        <v>1290</v>
      </c>
      <c r="H646" s="51" t="s">
        <v>21</v>
      </c>
      <c r="I646" s="55" t="s">
        <v>1354</v>
      </c>
      <c r="J646" s="56">
        <v>1</v>
      </c>
      <c r="K646" s="51" t="s">
        <v>1353</v>
      </c>
      <c r="L646" s="58">
        <v>56695</v>
      </c>
      <c r="M646" s="50">
        <f>ROUND('FA Addition'!$L646*5%,0.1)</f>
        <v>2835</v>
      </c>
      <c r="N646" s="113" t="str">
        <f>_xlfn.XLOOKUP(_xlfn.CONCAT(E646,B646),'Year Wise Master Dep Approach'!F:F,'Year Wise Master Dep Approach'!D:D)</f>
        <v>WDV</v>
      </c>
      <c r="O646" s="113">
        <f>_xlfn.XLOOKUP(_xlfn.CONCAT(E646,B646),'Year Wise Master Dep Approach'!F:F,'Year Wise Master Dep Approach'!E:E)</f>
        <v>3</v>
      </c>
      <c r="P646" s="114">
        <f>IFERROR(IF('FA Addition'!$N646="WDV",1-('FA Addition'!$M646/'FA Addition'!$L646)^(1/'FA Addition'!$O646),1/'FA Addition'!$O646),0)</f>
        <v>0.63158602048254031</v>
      </c>
      <c r="Q646" s="122">
        <f>'FA Addition'!$P646*'FA Addition'!$O646</f>
        <v>1.8947580614476209</v>
      </c>
      <c r="R646" s="122"/>
      <c r="S646" s="116">
        <f>IF(AND(DATE(20&amp;LEFT(FAAddition[[#This Row],[FY]],2),4,1)&lt;$L$1+1,DATE(20&amp;LEFT(FAAddition[[#This Row],[FY]],2),4,1)&gt;$P$1-1),'FA Addition'!$J646,0)</f>
        <v>1</v>
      </c>
      <c r="U646" s="117">
        <f>S646*'FA Addition'!$L646/'FA Addition'!$J646</f>
        <v>56695</v>
      </c>
      <c r="W646" s="116">
        <f>SUMIFS('FA Write off'!D:D,'FA Write off'!A:A,'FA Addition'!$A646,'FA Write off'!C:C,"&lt;"&amp;'FA Addition'!$P$1)</f>
        <v>0</v>
      </c>
      <c r="Y646" s="191">
        <f>IFERROR(W646/'FA Addition'!$J646*'FA Addition'!$L646,0)</f>
        <v>0</v>
      </c>
      <c r="AA646" s="116">
        <f>SUMIFS('FA Write off'!D:D,'FA Write off'!A:A,'FA Addition'!$A646,'FA Write off'!C:C,"&lt;"&amp;'FA Addition'!$L$1+1,'FA Write off'!C:C,"&gt;"&amp;'FA Addition'!$L$1-365)</f>
        <v>0</v>
      </c>
      <c r="AC646" s="118">
        <f>IFERROR(AA646/'FA Addition'!$J646*'FA Addition'!$L646,0)</f>
        <v>0</v>
      </c>
      <c r="AE646" s="117">
        <f>IF(AND('FA Addition'!$D646&lt;$P$1+1,U646=0),'FA Addition'!$L646,0)-Y646</f>
        <v>0</v>
      </c>
      <c r="AF646" s="117">
        <f t="shared" si="50"/>
        <v>56695</v>
      </c>
      <c r="AG646" s="117">
        <f>MIN(MAX(+$P$1-'FA Addition'!$D646,0),365*'FA Addition'!$O646)</f>
        <v>0</v>
      </c>
      <c r="AH646" s="117">
        <f>MIN(MAX($L$1-'FA Addition'!$D646+1,0),365*'FA Addition'!$O646)</f>
        <v>340</v>
      </c>
      <c r="AI646" s="117" cm="1">
        <f t="array" ref="AI646">_xlfn.XLOOKUP(1,('FA Write off'!A:A='FA Addition'!$A646)*('FA Write off'!D:D=AA646),'FA Write off'!H:H,0,0)</f>
        <v>0</v>
      </c>
      <c r="AJ646" s="117">
        <f>IF(AC646&gt;0,MAX(IF('FA Addition'!$N646="SLM",($AC646-'FA Addition'!$M646)*'FA Addition'!$P646*AI646/365,(AC646-'FA Addition'!$M646)*(1-(1-'FA Addition'!$P646)^(AI646/365))),0),0)</f>
        <v>0</v>
      </c>
      <c r="AL646" s="117">
        <f>MAX(IF(AG646&gt;0,IF('FA Addition'!$N646="SLM",($AE646-'FA Addition'!$M646)*'FA Addition'!$P646*AG646/365,IFERROR(VDB(AE646,AE646*0.05,'FA Addition'!$O646,0,YEARFRAC('FA Addition'!$C646,$P$1-1,3),'FA Addition'!$Q646),FAAddition[[#This Row],[Original Cost (Rs)]]-FAAddition[[#This Row],[Salvage Value]])),0),0)</f>
        <v>0</v>
      </c>
      <c r="AM646" s="119"/>
      <c r="AN646" s="117">
        <f>MAX(IF(AH646&gt;0,IF('FA Addition'!$N646="SLM",($AF646-'FA Addition'!$M646)*'FA Addition'!$P646*AH646/365,IFERROR(VDB(AF646,AF646*0.05,'FA Addition'!$O646,0,YEARFRAC('FA Addition'!$C646,$L$1,3),'FA Addition'!$Q646),FAAddition[[#This Row],[Original Cost (Rs)]]-FAAddition[[#This Row],[Salvage Value]])),0),0)</f>
        <v>33257.079006017353</v>
      </c>
      <c r="AO646" s="117">
        <f t="shared" si="53"/>
        <v>33257.079006017353</v>
      </c>
      <c r="AQ646" s="117">
        <f t="shared" si="51"/>
        <v>0</v>
      </c>
      <c r="AR646" s="120">
        <f t="shared" si="52"/>
        <v>23437.920993982647</v>
      </c>
      <c r="AS646" s="121"/>
    </row>
    <row r="647" spans="1:45" ht="13.5" x14ac:dyDescent="0.4">
      <c r="A647" s="12">
        <f t="shared" si="54"/>
        <v>644</v>
      </c>
      <c r="B647" s="64" t="s">
        <v>1308</v>
      </c>
      <c r="C647" s="54">
        <v>45043</v>
      </c>
      <c r="D647" s="54">
        <v>45043</v>
      </c>
      <c r="E647" s="46" t="s">
        <v>451</v>
      </c>
      <c r="F647" s="51" t="s">
        <v>19</v>
      </c>
      <c r="G647" s="51" t="s">
        <v>1290</v>
      </c>
      <c r="H647" s="51" t="s">
        <v>21</v>
      </c>
      <c r="I647" s="55" t="s">
        <v>1354</v>
      </c>
      <c r="J647" s="56">
        <v>1</v>
      </c>
      <c r="K647" s="51" t="s">
        <v>1355</v>
      </c>
      <c r="L647" s="58">
        <v>53381.5</v>
      </c>
      <c r="M647" s="50">
        <f>ROUND('FA Addition'!$L647*5%,0.1)</f>
        <v>2669</v>
      </c>
      <c r="N647" s="113" t="str">
        <f>_xlfn.XLOOKUP(_xlfn.CONCAT(E647,B647),'Year Wise Master Dep Approach'!F:F,'Year Wise Master Dep Approach'!D:D)</f>
        <v>WDV</v>
      </c>
      <c r="O647" s="113">
        <f>_xlfn.XLOOKUP(_xlfn.CONCAT(E647,B647),'Year Wise Master Dep Approach'!F:F,'Year Wise Master Dep Approach'!E:E)</f>
        <v>3</v>
      </c>
      <c r="P647" s="114">
        <f>IFERROR(IF('FA Addition'!$N647="WDV",1-('FA Addition'!$M647/'FA Addition'!$L647)^(1/'FA Addition'!$O647),1/'FA Addition'!$O647),0)</f>
        <v>0.63160030083143237</v>
      </c>
      <c r="Q647" s="122">
        <f>'FA Addition'!$P647*'FA Addition'!$O647</f>
        <v>1.8948009024942971</v>
      </c>
      <c r="R647" s="122"/>
      <c r="S647" s="116">
        <f>IF(AND(DATE(20&amp;LEFT(FAAddition[[#This Row],[FY]],2),4,1)&lt;$L$1+1,DATE(20&amp;LEFT(FAAddition[[#This Row],[FY]],2),4,1)&gt;$P$1-1),'FA Addition'!$J647,0)</f>
        <v>1</v>
      </c>
      <c r="U647" s="117">
        <f>S647*'FA Addition'!$L647/'FA Addition'!$J647</f>
        <v>53381.5</v>
      </c>
      <c r="W647" s="116">
        <f>SUMIFS('FA Write off'!D:D,'FA Write off'!A:A,'FA Addition'!$A647,'FA Write off'!C:C,"&lt;"&amp;'FA Addition'!$P$1)</f>
        <v>0</v>
      </c>
      <c r="Y647" s="191">
        <f>IFERROR(W647/'FA Addition'!$J647*'FA Addition'!$L647,0)</f>
        <v>0</v>
      </c>
      <c r="AA647" s="116">
        <f>SUMIFS('FA Write off'!D:D,'FA Write off'!A:A,'FA Addition'!$A647,'FA Write off'!C:C,"&lt;"&amp;'FA Addition'!$L$1+1,'FA Write off'!C:C,"&gt;"&amp;'FA Addition'!$L$1-365)</f>
        <v>0</v>
      </c>
      <c r="AC647" s="118">
        <f>IFERROR(AA647/'FA Addition'!$J647*'FA Addition'!$L647,0)</f>
        <v>0</v>
      </c>
      <c r="AE647" s="117">
        <f>IF(AND('FA Addition'!$D647&lt;$P$1+1,U647=0),'FA Addition'!$L647,0)-Y647</f>
        <v>0</v>
      </c>
      <c r="AF647" s="117">
        <f t="shared" si="50"/>
        <v>53381.5</v>
      </c>
      <c r="AG647" s="117">
        <f>MIN(MAX(+$P$1-'FA Addition'!$D647,0),365*'FA Addition'!$O647)</f>
        <v>0</v>
      </c>
      <c r="AH647" s="117">
        <f>MIN(MAX($L$1-'FA Addition'!$D647+1,0),365*'FA Addition'!$O647)</f>
        <v>340</v>
      </c>
      <c r="AI647" s="117" cm="1">
        <f t="array" ref="AI647">_xlfn.XLOOKUP(1,('FA Write off'!A:A='FA Addition'!$A647)*('FA Write off'!D:D=AA647),'FA Write off'!H:H,0,0)</f>
        <v>0</v>
      </c>
      <c r="AJ647" s="117">
        <f>IF(AC647&gt;0,MAX(IF('FA Addition'!$N647="SLM",($AC647-'FA Addition'!$M647)*'FA Addition'!$P647*AI647/365,(AC647-'FA Addition'!$M647)*(1-(1-'FA Addition'!$P647)^(AI647/365))),0),0)</f>
        <v>0</v>
      </c>
      <c r="AL647" s="117">
        <f>MAX(IF(AG647&gt;0,IF('FA Addition'!$N647="SLM",($AE647-'FA Addition'!$M647)*'FA Addition'!$P647*AG647/365,IFERROR(VDB(AE647,AE647*0.05,'FA Addition'!$O647,0,YEARFRAC('FA Addition'!$C647,$P$1-1,3),'FA Addition'!$Q647),FAAddition[[#This Row],[Original Cost (Rs)]]-FAAddition[[#This Row],[Salvage Value]])),0),0)</f>
        <v>0</v>
      </c>
      <c r="AM647" s="119"/>
      <c r="AN647" s="117">
        <f>MAX(IF(AH647&gt;0,IF('FA Addition'!$N647="SLM",($AF647-'FA Addition'!$M647)*'FA Addition'!$P647*AH647/365,IFERROR(VDB(AF647,AF647*0.05,'FA Addition'!$O647,0,YEARFRAC('FA Addition'!$C647,$L$1,3),'FA Addition'!$Q647),FAAddition[[#This Row],[Original Cost (Rs)]]-FAAddition[[#This Row],[Salvage Value]])),0),0)</f>
        <v>31314.100067244995</v>
      </c>
      <c r="AO647" s="117">
        <f t="shared" si="53"/>
        <v>31314.100067244995</v>
      </c>
      <c r="AQ647" s="117">
        <f t="shared" si="51"/>
        <v>0</v>
      </c>
      <c r="AR647" s="120">
        <f t="shared" si="52"/>
        <v>22067.399932755005</v>
      </c>
      <c r="AS647" s="121"/>
    </row>
    <row r="648" spans="1:45" ht="13.5" x14ac:dyDescent="0.4">
      <c r="A648" s="12">
        <f t="shared" si="54"/>
        <v>645</v>
      </c>
      <c r="B648" s="64" t="s">
        <v>1308</v>
      </c>
      <c r="C648" s="54">
        <v>45043</v>
      </c>
      <c r="D648" s="54">
        <v>45043</v>
      </c>
      <c r="E648" s="46" t="s">
        <v>451</v>
      </c>
      <c r="F648" s="51" t="s">
        <v>19</v>
      </c>
      <c r="G648" s="51" t="s">
        <v>1290</v>
      </c>
      <c r="H648" s="51" t="s">
        <v>21</v>
      </c>
      <c r="I648" s="55" t="s">
        <v>1354</v>
      </c>
      <c r="J648" s="56">
        <v>1</v>
      </c>
      <c r="K648" s="51" t="s">
        <v>1355</v>
      </c>
      <c r="L648" s="58">
        <v>53381.5</v>
      </c>
      <c r="M648" s="50">
        <f>ROUND('FA Addition'!$L648*5%,0.1)</f>
        <v>2669</v>
      </c>
      <c r="N648" s="113" t="str">
        <f>_xlfn.XLOOKUP(_xlfn.CONCAT(E648,B648),'Year Wise Master Dep Approach'!F:F,'Year Wise Master Dep Approach'!D:D)</f>
        <v>WDV</v>
      </c>
      <c r="O648" s="113">
        <f>_xlfn.XLOOKUP(_xlfn.CONCAT(E648,B648),'Year Wise Master Dep Approach'!F:F,'Year Wise Master Dep Approach'!E:E)</f>
        <v>3</v>
      </c>
      <c r="P648" s="114">
        <f>IFERROR(IF('FA Addition'!$N648="WDV",1-('FA Addition'!$M648/'FA Addition'!$L648)^(1/'FA Addition'!$O648),1/'FA Addition'!$O648),0)</f>
        <v>0.63160030083143237</v>
      </c>
      <c r="Q648" s="122">
        <f>'FA Addition'!$P648*'FA Addition'!$O648</f>
        <v>1.8948009024942971</v>
      </c>
      <c r="R648" s="122"/>
      <c r="S648" s="116">
        <f>IF(AND(DATE(20&amp;LEFT(FAAddition[[#This Row],[FY]],2),4,1)&lt;$L$1+1,DATE(20&amp;LEFT(FAAddition[[#This Row],[FY]],2),4,1)&gt;$P$1-1),'FA Addition'!$J648,0)</f>
        <v>1</v>
      </c>
      <c r="U648" s="117">
        <f>S648*'FA Addition'!$L648/'FA Addition'!$J648</f>
        <v>53381.5</v>
      </c>
      <c r="W648" s="116">
        <f>SUMIFS('FA Write off'!D:D,'FA Write off'!A:A,'FA Addition'!$A648,'FA Write off'!C:C,"&lt;"&amp;'FA Addition'!$P$1)</f>
        <v>0</v>
      </c>
      <c r="Y648" s="191">
        <f>IFERROR(W648/'FA Addition'!$J648*'FA Addition'!$L648,0)</f>
        <v>0</v>
      </c>
      <c r="AA648" s="116">
        <f>SUMIFS('FA Write off'!D:D,'FA Write off'!A:A,'FA Addition'!$A648,'FA Write off'!C:C,"&lt;"&amp;'FA Addition'!$L$1+1,'FA Write off'!C:C,"&gt;"&amp;'FA Addition'!$L$1-365)</f>
        <v>0</v>
      </c>
      <c r="AC648" s="118">
        <f>IFERROR(AA648/'FA Addition'!$J648*'FA Addition'!$L648,0)</f>
        <v>0</v>
      </c>
      <c r="AE648" s="117">
        <f>IF(AND('FA Addition'!$D648&lt;$P$1+1,U648=0),'FA Addition'!$L648,0)-Y648</f>
        <v>0</v>
      </c>
      <c r="AF648" s="117">
        <f t="shared" si="50"/>
        <v>53381.5</v>
      </c>
      <c r="AG648" s="117">
        <f>MIN(MAX(+$P$1-'FA Addition'!$D648,0),365*'FA Addition'!$O648)</f>
        <v>0</v>
      </c>
      <c r="AH648" s="117">
        <f>MIN(MAX($L$1-'FA Addition'!$D648+1,0),365*'FA Addition'!$O648)</f>
        <v>340</v>
      </c>
      <c r="AI648" s="117" cm="1">
        <f t="array" ref="AI648">_xlfn.XLOOKUP(1,('FA Write off'!A:A='FA Addition'!$A648)*('FA Write off'!D:D=AA648),'FA Write off'!H:H,0,0)</f>
        <v>0</v>
      </c>
      <c r="AJ648" s="117">
        <f>IF(AC648&gt;0,MAX(IF('FA Addition'!$N648="SLM",($AC648-'FA Addition'!$M648)*'FA Addition'!$P648*AI648/365,(AC648-'FA Addition'!$M648)*(1-(1-'FA Addition'!$P648)^(AI648/365))),0),0)</f>
        <v>0</v>
      </c>
      <c r="AL648" s="117">
        <f>MAX(IF(AG648&gt;0,IF('FA Addition'!$N648="SLM",($AE648-'FA Addition'!$M648)*'FA Addition'!$P648*AG648/365,IFERROR(VDB(AE648,AE648*0.05,'FA Addition'!$O648,0,YEARFRAC('FA Addition'!$C648,$P$1-1,3),'FA Addition'!$Q648),FAAddition[[#This Row],[Original Cost (Rs)]]-FAAddition[[#This Row],[Salvage Value]])),0),0)</f>
        <v>0</v>
      </c>
      <c r="AM648" s="119"/>
      <c r="AN648" s="117">
        <f>MAX(IF(AH648&gt;0,IF('FA Addition'!$N648="SLM",($AF648-'FA Addition'!$M648)*'FA Addition'!$P648*AH648/365,IFERROR(VDB(AF648,AF648*0.05,'FA Addition'!$O648,0,YEARFRAC('FA Addition'!$C648,$L$1,3),'FA Addition'!$Q648),FAAddition[[#This Row],[Original Cost (Rs)]]-FAAddition[[#This Row],[Salvage Value]])),0),0)</f>
        <v>31314.100067244995</v>
      </c>
      <c r="AO648" s="117">
        <f t="shared" si="53"/>
        <v>31314.100067244995</v>
      </c>
      <c r="AQ648" s="117">
        <f t="shared" si="51"/>
        <v>0</v>
      </c>
      <c r="AR648" s="120">
        <f t="shared" si="52"/>
        <v>22067.399932755005</v>
      </c>
      <c r="AS648" s="121"/>
    </row>
    <row r="649" spans="1:45" ht="13.5" x14ac:dyDescent="0.4">
      <c r="A649" s="12">
        <f t="shared" si="54"/>
        <v>646</v>
      </c>
      <c r="B649" s="64" t="s">
        <v>1308</v>
      </c>
      <c r="C649" s="54">
        <v>45043</v>
      </c>
      <c r="D649" s="54">
        <v>45043</v>
      </c>
      <c r="E649" s="46" t="s">
        <v>451</v>
      </c>
      <c r="F649" s="51" t="s">
        <v>19</v>
      </c>
      <c r="G649" s="51" t="s">
        <v>1290</v>
      </c>
      <c r="H649" s="51" t="s">
        <v>21</v>
      </c>
      <c r="I649" s="55" t="s">
        <v>1354</v>
      </c>
      <c r="J649" s="56">
        <v>1</v>
      </c>
      <c r="K649" s="51" t="s">
        <v>1348</v>
      </c>
      <c r="L649" s="58">
        <v>30084.666666666668</v>
      </c>
      <c r="M649" s="50">
        <f>ROUND('FA Addition'!$L649*5%,0.1)</f>
        <v>1504</v>
      </c>
      <c r="N649" s="113" t="str">
        <f>_xlfn.XLOOKUP(_xlfn.CONCAT(E649,B649),'Year Wise Master Dep Approach'!F:F,'Year Wise Master Dep Approach'!D:D)</f>
        <v>WDV</v>
      </c>
      <c r="O649" s="113">
        <f>_xlfn.XLOOKUP(_xlfn.CONCAT(E649,B649),'Year Wise Master Dep Approach'!F:F,'Year Wise Master Dep Approach'!E:E)</f>
        <v>3</v>
      </c>
      <c r="P649" s="114">
        <f>IFERROR(IF('FA Addition'!$N649="WDV",1-('FA Addition'!$M649/'FA Addition'!$L649)^(1/'FA Addition'!$O649),1/'FA Addition'!$O649),0)</f>
        <v>0.63161589974706567</v>
      </c>
      <c r="Q649" s="122">
        <f>'FA Addition'!$P649*'FA Addition'!$O649</f>
        <v>1.8948476992411969</v>
      </c>
      <c r="R649" s="122"/>
      <c r="S649" s="116">
        <f>IF(AND(DATE(20&amp;LEFT(FAAddition[[#This Row],[FY]],2),4,1)&lt;$L$1+1,DATE(20&amp;LEFT(FAAddition[[#This Row],[FY]],2),4,1)&gt;$P$1-1),'FA Addition'!$J649,0)</f>
        <v>1</v>
      </c>
      <c r="U649" s="117">
        <f>S649*'FA Addition'!$L649/'FA Addition'!$J649</f>
        <v>30084.666666666668</v>
      </c>
      <c r="W649" s="116">
        <f>SUMIFS('FA Write off'!D:D,'FA Write off'!A:A,'FA Addition'!$A649,'FA Write off'!C:C,"&lt;"&amp;'FA Addition'!$P$1)</f>
        <v>0</v>
      </c>
      <c r="Y649" s="191">
        <f>IFERROR(W649/'FA Addition'!$J649*'FA Addition'!$L649,0)</f>
        <v>0</v>
      </c>
      <c r="AA649" s="116">
        <f>SUMIFS('FA Write off'!D:D,'FA Write off'!A:A,'FA Addition'!$A649,'FA Write off'!C:C,"&lt;"&amp;'FA Addition'!$L$1+1,'FA Write off'!C:C,"&gt;"&amp;'FA Addition'!$L$1-365)</f>
        <v>0</v>
      </c>
      <c r="AC649" s="118">
        <f>IFERROR(AA649/'FA Addition'!$J649*'FA Addition'!$L649,0)</f>
        <v>0</v>
      </c>
      <c r="AE649" s="117">
        <f>IF(AND('FA Addition'!$D649&lt;$P$1+1,U649=0),'FA Addition'!$L649,0)-Y649</f>
        <v>0</v>
      </c>
      <c r="AF649" s="117">
        <f t="shared" si="50"/>
        <v>30084.666666666668</v>
      </c>
      <c r="AG649" s="117">
        <f>MIN(MAX(+$P$1-'FA Addition'!$D649,0),365*'FA Addition'!$O649)</f>
        <v>0</v>
      </c>
      <c r="AH649" s="117">
        <f>MIN(MAX($L$1-'FA Addition'!$D649+1,0),365*'FA Addition'!$O649)</f>
        <v>340</v>
      </c>
      <c r="AI649" s="117" cm="1">
        <f t="array" ref="AI649">_xlfn.XLOOKUP(1,('FA Write off'!A:A='FA Addition'!$A649)*('FA Write off'!D:D=AA649),'FA Write off'!H:H,0,0)</f>
        <v>0</v>
      </c>
      <c r="AJ649" s="117">
        <f>IF(AC649&gt;0,MAX(IF('FA Addition'!$N649="SLM",($AC649-'FA Addition'!$M649)*'FA Addition'!$P649*AI649/365,(AC649-'FA Addition'!$M649)*(1-(1-'FA Addition'!$P649)^(AI649/365))),0),0)</f>
        <v>0</v>
      </c>
      <c r="AL649" s="117">
        <f>MAX(IF(AG649&gt;0,IF('FA Addition'!$N649="SLM",($AE649-'FA Addition'!$M649)*'FA Addition'!$P649*AG649/365,IFERROR(VDB(AE649,AE649*0.05,'FA Addition'!$O649,0,YEARFRAC('FA Addition'!$C649,$P$1-1,3),'FA Addition'!$Q649),FAAddition[[#This Row],[Original Cost (Rs)]]-FAAddition[[#This Row],[Salvage Value]])),0),0)</f>
        <v>0</v>
      </c>
      <c r="AM649" s="119"/>
      <c r="AN649" s="117">
        <f>MAX(IF(AH649&gt;0,IF('FA Addition'!$N649="SLM",($AF649-'FA Addition'!$M649)*'FA Addition'!$P649*AH649/365,IFERROR(VDB(AF649,AF649*0.05,'FA Addition'!$O649,0,YEARFRAC('FA Addition'!$C649,$L$1,3),'FA Addition'!$Q649),FAAddition[[#This Row],[Original Cost (Rs)]]-FAAddition[[#This Row],[Salvage Value]])),0),0)</f>
        <v>17648.389972553967</v>
      </c>
      <c r="AO649" s="117">
        <f t="shared" si="53"/>
        <v>17648.389972553967</v>
      </c>
      <c r="AQ649" s="117">
        <f t="shared" si="51"/>
        <v>0</v>
      </c>
      <c r="AR649" s="120">
        <f t="shared" si="52"/>
        <v>12436.276694112701</v>
      </c>
      <c r="AS649" s="121"/>
    </row>
    <row r="650" spans="1:45" ht="13.5" x14ac:dyDescent="0.4">
      <c r="A650" s="12">
        <f t="shared" si="54"/>
        <v>647</v>
      </c>
      <c r="B650" s="64" t="s">
        <v>1308</v>
      </c>
      <c r="C650" s="54">
        <v>45043</v>
      </c>
      <c r="D650" s="54">
        <v>45043</v>
      </c>
      <c r="E650" s="46" t="s">
        <v>451</v>
      </c>
      <c r="F650" s="51" t="s">
        <v>19</v>
      </c>
      <c r="G650" s="51" t="s">
        <v>1290</v>
      </c>
      <c r="H650" s="51" t="s">
        <v>21</v>
      </c>
      <c r="I650" s="55" t="s">
        <v>1354</v>
      </c>
      <c r="J650" s="56">
        <v>1</v>
      </c>
      <c r="K650" s="51" t="s">
        <v>1348</v>
      </c>
      <c r="L650" s="58">
        <v>30084.666666666668</v>
      </c>
      <c r="M650" s="50">
        <f>ROUND('FA Addition'!$L650*5%,0.1)</f>
        <v>1504</v>
      </c>
      <c r="N650" s="113" t="str">
        <f>_xlfn.XLOOKUP(_xlfn.CONCAT(E650,B650),'Year Wise Master Dep Approach'!F:F,'Year Wise Master Dep Approach'!D:D)</f>
        <v>WDV</v>
      </c>
      <c r="O650" s="113">
        <f>_xlfn.XLOOKUP(_xlfn.CONCAT(E650,B650),'Year Wise Master Dep Approach'!F:F,'Year Wise Master Dep Approach'!E:E)</f>
        <v>3</v>
      </c>
      <c r="P650" s="114">
        <f>IFERROR(IF('FA Addition'!$N650="WDV",1-('FA Addition'!$M650/'FA Addition'!$L650)^(1/'FA Addition'!$O650),1/'FA Addition'!$O650),0)</f>
        <v>0.63161589974706567</v>
      </c>
      <c r="Q650" s="122">
        <f>'FA Addition'!$P650*'FA Addition'!$O650</f>
        <v>1.8948476992411969</v>
      </c>
      <c r="R650" s="122"/>
      <c r="S650" s="116">
        <f>IF(AND(DATE(20&amp;LEFT(FAAddition[[#This Row],[FY]],2),4,1)&lt;$L$1+1,DATE(20&amp;LEFT(FAAddition[[#This Row],[FY]],2),4,1)&gt;$P$1-1),'FA Addition'!$J650,0)</f>
        <v>1</v>
      </c>
      <c r="U650" s="117">
        <f>S650*'FA Addition'!$L650/'FA Addition'!$J650</f>
        <v>30084.666666666668</v>
      </c>
      <c r="W650" s="116">
        <f>SUMIFS('FA Write off'!D:D,'FA Write off'!A:A,'FA Addition'!$A650,'FA Write off'!C:C,"&lt;"&amp;'FA Addition'!$P$1)</f>
        <v>0</v>
      </c>
      <c r="Y650" s="191">
        <f>IFERROR(W650/'FA Addition'!$J650*'FA Addition'!$L650,0)</f>
        <v>0</v>
      </c>
      <c r="AA650" s="116">
        <f>SUMIFS('FA Write off'!D:D,'FA Write off'!A:A,'FA Addition'!$A650,'FA Write off'!C:C,"&lt;"&amp;'FA Addition'!$L$1+1,'FA Write off'!C:C,"&gt;"&amp;'FA Addition'!$L$1-365)</f>
        <v>0</v>
      </c>
      <c r="AC650" s="118">
        <f>IFERROR(AA650/'FA Addition'!$J650*'FA Addition'!$L650,0)</f>
        <v>0</v>
      </c>
      <c r="AE650" s="117">
        <f>IF(AND('FA Addition'!$D650&lt;$P$1+1,U650=0),'FA Addition'!$L650,0)-Y650</f>
        <v>0</v>
      </c>
      <c r="AF650" s="117">
        <f t="shared" si="50"/>
        <v>30084.666666666668</v>
      </c>
      <c r="AG650" s="117">
        <f>MIN(MAX(+$P$1-'FA Addition'!$D650,0),365*'FA Addition'!$O650)</f>
        <v>0</v>
      </c>
      <c r="AH650" s="117">
        <f>MIN(MAX($L$1-'FA Addition'!$D650+1,0),365*'FA Addition'!$O650)</f>
        <v>340</v>
      </c>
      <c r="AI650" s="117" cm="1">
        <f t="array" ref="AI650">_xlfn.XLOOKUP(1,('FA Write off'!A:A='FA Addition'!$A650)*('FA Write off'!D:D=AA650),'FA Write off'!H:H,0,0)</f>
        <v>0</v>
      </c>
      <c r="AJ650" s="117">
        <f>IF(AC650&gt;0,MAX(IF('FA Addition'!$N650="SLM",($AC650-'FA Addition'!$M650)*'FA Addition'!$P650*AI650/365,(AC650-'FA Addition'!$M650)*(1-(1-'FA Addition'!$P650)^(AI650/365))),0),0)</f>
        <v>0</v>
      </c>
      <c r="AL650" s="117">
        <f>MAX(IF(AG650&gt;0,IF('FA Addition'!$N650="SLM",($AE650-'FA Addition'!$M650)*'FA Addition'!$P650*AG650/365,IFERROR(VDB(AE650,AE650*0.05,'FA Addition'!$O650,0,YEARFRAC('FA Addition'!$C650,$P$1-1,3),'FA Addition'!$Q650),FAAddition[[#This Row],[Original Cost (Rs)]]-FAAddition[[#This Row],[Salvage Value]])),0),0)</f>
        <v>0</v>
      </c>
      <c r="AM650" s="119"/>
      <c r="AN650" s="117">
        <f>MAX(IF(AH650&gt;0,IF('FA Addition'!$N650="SLM",($AF650-'FA Addition'!$M650)*'FA Addition'!$P650*AH650/365,IFERROR(VDB(AF650,AF650*0.05,'FA Addition'!$O650,0,YEARFRAC('FA Addition'!$C650,$L$1,3),'FA Addition'!$Q650),FAAddition[[#This Row],[Original Cost (Rs)]]-FAAddition[[#This Row],[Salvage Value]])),0),0)</f>
        <v>17648.389972553967</v>
      </c>
      <c r="AO650" s="117">
        <f t="shared" si="53"/>
        <v>17648.389972553967</v>
      </c>
      <c r="AQ650" s="117">
        <f t="shared" si="51"/>
        <v>0</v>
      </c>
      <c r="AR650" s="120">
        <f t="shared" si="52"/>
        <v>12436.276694112701</v>
      </c>
      <c r="AS650" s="121"/>
    </row>
    <row r="651" spans="1:45" ht="13.5" x14ac:dyDescent="0.4">
      <c r="A651" s="12">
        <f t="shared" si="54"/>
        <v>648</v>
      </c>
      <c r="B651" s="64" t="s">
        <v>1308</v>
      </c>
      <c r="C651" s="54">
        <v>45043</v>
      </c>
      <c r="D651" s="54">
        <v>45043</v>
      </c>
      <c r="E651" s="46" t="s">
        <v>451</v>
      </c>
      <c r="F651" s="51" t="s">
        <v>19</v>
      </c>
      <c r="G651" s="51" t="s">
        <v>1290</v>
      </c>
      <c r="H651" s="51" t="s">
        <v>21</v>
      </c>
      <c r="I651" s="55" t="s">
        <v>1354</v>
      </c>
      <c r="J651" s="56">
        <v>1</v>
      </c>
      <c r="K651" s="51" t="s">
        <v>1348</v>
      </c>
      <c r="L651" s="58">
        <v>30084.666666666668</v>
      </c>
      <c r="M651" s="50">
        <f>ROUND('FA Addition'!$L651*5%,0.1)</f>
        <v>1504</v>
      </c>
      <c r="N651" s="113" t="str">
        <f>_xlfn.XLOOKUP(_xlfn.CONCAT(E651,B651),'Year Wise Master Dep Approach'!F:F,'Year Wise Master Dep Approach'!D:D)</f>
        <v>WDV</v>
      </c>
      <c r="O651" s="113">
        <f>_xlfn.XLOOKUP(_xlfn.CONCAT(E651,B651),'Year Wise Master Dep Approach'!F:F,'Year Wise Master Dep Approach'!E:E)</f>
        <v>3</v>
      </c>
      <c r="P651" s="114">
        <f>IFERROR(IF('FA Addition'!$N651="WDV",1-('FA Addition'!$M651/'FA Addition'!$L651)^(1/'FA Addition'!$O651),1/'FA Addition'!$O651),0)</f>
        <v>0.63161589974706567</v>
      </c>
      <c r="Q651" s="122">
        <f>'FA Addition'!$P651*'FA Addition'!$O651</f>
        <v>1.8948476992411969</v>
      </c>
      <c r="R651" s="122"/>
      <c r="S651" s="116">
        <f>IF(AND(DATE(20&amp;LEFT(FAAddition[[#This Row],[FY]],2),4,1)&lt;$L$1+1,DATE(20&amp;LEFT(FAAddition[[#This Row],[FY]],2),4,1)&gt;$P$1-1),'FA Addition'!$J651,0)</f>
        <v>1</v>
      </c>
      <c r="U651" s="117">
        <f>S651*'FA Addition'!$L651/'FA Addition'!$J651</f>
        <v>30084.666666666668</v>
      </c>
      <c r="W651" s="116">
        <f>SUMIFS('FA Write off'!D:D,'FA Write off'!A:A,'FA Addition'!$A651,'FA Write off'!C:C,"&lt;"&amp;'FA Addition'!$P$1)</f>
        <v>0</v>
      </c>
      <c r="Y651" s="191">
        <f>IFERROR(W651/'FA Addition'!$J651*'FA Addition'!$L651,0)</f>
        <v>0</v>
      </c>
      <c r="AA651" s="116">
        <f>SUMIFS('FA Write off'!D:D,'FA Write off'!A:A,'FA Addition'!$A651,'FA Write off'!C:C,"&lt;"&amp;'FA Addition'!$L$1+1,'FA Write off'!C:C,"&gt;"&amp;'FA Addition'!$L$1-365)</f>
        <v>0</v>
      </c>
      <c r="AC651" s="118">
        <f>IFERROR(AA651/'FA Addition'!$J651*'FA Addition'!$L651,0)</f>
        <v>0</v>
      </c>
      <c r="AE651" s="117">
        <f>IF(AND('FA Addition'!$D651&lt;$P$1+1,U651=0),'FA Addition'!$L651,0)-Y651</f>
        <v>0</v>
      </c>
      <c r="AF651" s="117">
        <f t="shared" si="50"/>
        <v>30084.666666666668</v>
      </c>
      <c r="AG651" s="117">
        <f>MIN(MAX(+$P$1-'FA Addition'!$D651,0),365*'FA Addition'!$O651)</f>
        <v>0</v>
      </c>
      <c r="AH651" s="117">
        <f>MIN(MAX($L$1-'FA Addition'!$D651+1,0),365*'FA Addition'!$O651)</f>
        <v>340</v>
      </c>
      <c r="AI651" s="117" cm="1">
        <f t="array" ref="AI651">_xlfn.XLOOKUP(1,('FA Write off'!A:A='FA Addition'!$A651)*('FA Write off'!D:D=AA651),'FA Write off'!H:H,0,0)</f>
        <v>0</v>
      </c>
      <c r="AJ651" s="117">
        <f>IF(AC651&gt;0,MAX(IF('FA Addition'!$N651="SLM",($AC651-'FA Addition'!$M651)*'FA Addition'!$P651*AI651/365,(AC651-'FA Addition'!$M651)*(1-(1-'FA Addition'!$P651)^(AI651/365))),0),0)</f>
        <v>0</v>
      </c>
      <c r="AL651" s="117">
        <f>MAX(IF(AG651&gt;0,IF('FA Addition'!$N651="SLM",($AE651-'FA Addition'!$M651)*'FA Addition'!$P651*AG651/365,IFERROR(VDB(AE651,AE651*0.05,'FA Addition'!$O651,0,YEARFRAC('FA Addition'!$C651,$P$1-1,3),'FA Addition'!$Q651),FAAddition[[#This Row],[Original Cost (Rs)]]-FAAddition[[#This Row],[Salvage Value]])),0),0)</f>
        <v>0</v>
      </c>
      <c r="AM651" s="119"/>
      <c r="AN651" s="117">
        <f>MAX(IF(AH651&gt;0,IF('FA Addition'!$N651="SLM",($AF651-'FA Addition'!$M651)*'FA Addition'!$P651*AH651/365,IFERROR(VDB(AF651,AF651*0.05,'FA Addition'!$O651,0,YEARFRAC('FA Addition'!$C651,$L$1,3),'FA Addition'!$Q651),FAAddition[[#This Row],[Original Cost (Rs)]]-FAAddition[[#This Row],[Salvage Value]])),0),0)</f>
        <v>17648.389972553967</v>
      </c>
      <c r="AO651" s="117">
        <f t="shared" si="53"/>
        <v>17648.389972553967</v>
      </c>
      <c r="AQ651" s="117">
        <f t="shared" si="51"/>
        <v>0</v>
      </c>
      <c r="AR651" s="120">
        <f t="shared" si="52"/>
        <v>12436.276694112701</v>
      </c>
      <c r="AS651" s="121"/>
    </row>
    <row r="652" spans="1:45" ht="13.5" x14ac:dyDescent="0.4">
      <c r="A652" s="12">
        <f t="shared" si="54"/>
        <v>649</v>
      </c>
      <c r="B652" s="64" t="s">
        <v>1308</v>
      </c>
      <c r="C652" s="54">
        <v>45044</v>
      </c>
      <c r="D652" s="54">
        <v>45044</v>
      </c>
      <c r="E652" s="46" t="s">
        <v>451</v>
      </c>
      <c r="F652" s="51" t="s">
        <v>19</v>
      </c>
      <c r="G652" s="51" t="s">
        <v>1134</v>
      </c>
      <c r="H652" s="51" t="s">
        <v>21</v>
      </c>
      <c r="I652" s="55" t="s">
        <v>1356</v>
      </c>
      <c r="J652" s="56">
        <v>1</v>
      </c>
      <c r="K652" s="51" t="s">
        <v>1357</v>
      </c>
      <c r="L652" s="58">
        <v>91516.95</v>
      </c>
      <c r="M652" s="50">
        <f>ROUND('FA Addition'!$L652*5%,0.1)</f>
        <v>4576</v>
      </c>
      <c r="N652" s="113" t="str">
        <f>_xlfn.XLOOKUP(_xlfn.CONCAT(E652,B652),'Year Wise Master Dep Approach'!F:F,'Year Wise Master Dep Approach'!D:D)</f>
        <v>WDV</v>
      </c>
      <c r="O652" s="113">
        <f>_xlfn.XLOOKUP(_xlfn.CONCAT(E652,B652),'Year Wise Master Dep Approach'!F:F,'Year Wise Master Dep Approach'!E:E)</f>
        <v>3</v>
      </c>
      <c r="P652" s="114">
        <f>IFERROR(IF('FA Addition'!$N652="WDV",1-('FA Addition'!$M652/'FA Addition'!$L652)^(1/'FA Addition'!$O652),1/'FA Addition'!$O652),0)</f>
        <v>0.63159275757123301</v>
      </c>
      <c r="Q652" s="122">
        <f>'FA Addition'!$P652*'FA Addition'!$O652</f>
        <v>1.894778272713699</v>
      </c>
      <c r="R652" s="122"/>
      <c r="S652" s="116">
        <f>IF(AND(DATE(20&amp;LEFT(FAAddition[[#This Row],[FY]],2),4,1)&lt;$L$1+1,DATE(20&amp;LEFT(FAAddition[[#This Row],[FY]],2),4,1)&gt;$P$1-1),'FA Addition'!$J652,0)</f>
        <v>1</v>
      </c>
      <c r="U652" s="117">
        <f>S652*'FA Addition'!$L652/'FA Addition'!$J652</f>
        <v>91516.95</v>
      </c>
      <c r="W652" s="116">
        <f>SUMIFS('FA Write off'!D:D,'FA Write off'!A:A,'FA Addition'!$A652,'FA Write off'!C:C,"&lt;"&amp;'FA Addition'!$P$1)</f>
        <v>0</v>
      </c>
      <c r="Y652" s="191">
        <f>IFERROR(W652/'FA Addition'!$J652*'FA Addition'!$L652,0)</f>
        <v>0</v>
      </c>
      <c r="AA652" s="116">
        <f>SUMIFS('FA Write off'!D:D,'FA Write off'!A:A,'FA Addition'!$A652,'FA Write off'!C:C,"&lt;"&amp;'FA Addition'!$L$1+1,'FA Write off'!C:C,"&gt;"&amp;'FA Addition'!$L$1-365)</f>
        <v>0</v>
      </c>
      <c r="AC652" s="118">
        <f>IFERROR(AA652/'FA Addition'!$J652*'FA Addition'!$L652,0)</f>
        <v>0</v>
      </c>
      <c r="AE652" s="117">
        <f>IF(AND('FA Addition'!$D652&lt;$P$1+1,U652=0),'FA Addition'!$L652,0)-Y652</f>
        <v>0</v>
      </c>
      <c r="AF652" s="117">
        <f t="shared" si="50"/>
        <v>91516.95</v>
      </c>
      <c r="AG652" s="117">
        <f>MIN(MAX(+$P$1-'FA Addition'!$D652,0),365*'FA Addition'!$O652)</f>
        <v>0</v>
      </c>
      <c r="AH652" s="117">
        <f>MIN(MAX($L$1-'FA Addition'!$D652+1,0),365*'FA Addition'!$O652)</f>
        <v>339</v>
      </c>
      <c r="AI652" s="117" cm="1">
        <f t="array" ref="AI652">_xlfn.XLOOKUP(1,('FA Write off'!A:A='FA Addition'!$A652)*('FA Write off'!D:D=AA652),'FA Write off'!H:H,0,0)</f>
        <v>0</v>
      </c>
      <c r="AJ652" s="117">
        <f>IF(AC652&gt;0,MAX(IF('FA Addition'!$N652="SLM",($AC652-'FA Addition'!$M652)*'FA Addition'!$P652*AI652/365,(AC652-'FA Addition'!$M652)*(1-(1-'FA Addition'!$P652)^(AI652/365))),0),0)</f>
        <v>0</v>
      </c>
      <c r="AL652" s="117">
        <f>MAX(IF(AG652&gt;0,IF('FA Addition'!$N652="SLM",($AE652-'FA Addition'!$M652)*'FA Addition'!$P652*AG652/365,IFERROR(VDB(AE652,AE652*0.05,'FA Addition'!$O652,0,YEARFRAC('FA Addition'!$C652,$P$1-1,3),'FA Addition'!$Q652),FAAddition[[#This Row],[Original Cost (Rs)]]-FAAddition[[#This Row],[Salvage Value]])),0),0)</f>
        <v>0</v>
      </c>
      <c r="AM652" s="119"/>
      <c r="AN652" s="117">
        <f>MAX(IF(AH652&gt;0,IF('FA Addition'!$N652="SLM",($AF652-'FA Addition'!$M652)*'FA Addition'!$P652*AH652/365,IFERROR(VDB(AF652,AF652*0.05,'FA Addition'!$O652,0,YEARFRAC('FA Addition'!$C652,$L$1,3),'FA Addition'!$Q652),FAAddition[[#This Row],[Original Cost (Rs)]]-FAAddition[[#This Row],[Salvage Value]])),0),0)</f>
        <v>53525.719647871025</v>
      </c>
      <c r="AO652" s="117">
        <f t="shared" si="53"/>
        <v>53525.719647871025</v>
      </c>
      <c r="AQ652" s="117">
        <f t="shared" si="51"/>
        <v>0</v>
      </c>
      <c r="AR652" s="120">
        <f t="shared" si="52"/>
        <v>37991.230352128972</v>
      </c>
      <c r="AS652" s="121"/>
    </row>
    <row r="653" spans="1:45" ht="13.5" x14ac:dyDescent="0.4">
      <c r="A653" s="12">
        <f t="shared" si="54"/>
        <v>650</v>
      </c>
      <c r="B653" s="64" t="s">
        <v>1308</v>
      </c>
      <c r="C653" s="54">
        <v>45044</v>
      </c>
      <c r="D653" s="54">
        <v>45044</v>
      </c>
      <c r="E653" s="46" t="s">
        <v>749</v>
      </c>
      <c r="F653" s="51" t="s">
        <v>74</v>
      </c>
      <c r="G653" s="51" t="s">
        <v>1134</v>
      </c>
      <c r="H653" s="51" t="s">
        <v>187</v>
      </c>
      <c r="I653" s="55" t="s">
        <v>1358</v>
      </c>
      <c r="J653" s="56">
        <v>1</v>
      </c>
      <c r="K653" s="51" t="s">
        <v>1359</v>
      </c>
      <c r="L653" s="58">
        <v>12287.29</v>
      </c>
      <c r="M653" s="50">
        <f>ROUND('FA Addition'!$L653*5%,0.1)</f>
        <v>614</v>
      </c>
      <c r="N653" s="113" t="str">
        <f>_xlfn.XLOOKUP(_xlfn.CONCAT(E653,B653),'Year Wise Master Dep Approach'!F:F,'Year Wise Master Dep Approach'!D:D)</f>
        <v>WDV</v>
      </c>
      <c r="O653" s="113">
        <f>_xlfn.XLOOKUP(_xlfn.CONCAT(E653,B653),'Year Wise Master Dep Approach'!F:F,'Year Wise Master Dep Approach'!E:E)</f>
        <v>5</v>
      </c>
      <c r="P653" s="114">
        <f>IFERROR(IF('FA Addition'!$N653="WDV",1-('FA Addition'!$M653/'FA Addition'!$L653)^(1/'FA Addition'!$O653),1/'FA Addition'!$O653),0)</f>
        <v>0.45078492097772838</v>
      </c>
      <c r="Q653" s="122">
        <f>'FA Addition'!$P653*'FA Addition'!$O653</f>
        <v>2.2539246048886419</v>
      </c>
      <c r="R653" s="122"/>
      <c r="S653" s="116">
        <f>IF(AND(DATE(20&amp;LEFT(FAAddition[[#This Row],[FY]],2),4,1)&lt;$L$1+1,DATE(20&amp;LEFT(FAAddition[[#This Row],[FY]],2),4,1)&gt;$P$1-1),'FA Addition'!$J653,0)</f>
        <v>1</v>
      </c>
      <c r="U653" s="117">
        <f>S653*'FA Addition'!$L653/'FA Addition'!$J653</f>
        <v>12287.29</v>
      </c>
      <c r="W653" s="116">
        <f>SUMIFS('FA Write off'!D:D,'FA Write off'!A:A,'FA Addition'!$A653,'FA Write off'!C:C,"&lt;"&amp;'FA Addition'!$P$1)</f>
        <v>0</v>
      </c>
      <c r="Y653" s="191">
        <f>IFERROR(W653/'FA Addition'!$J653*'FA Addition'!$L653,0)</f>
        <v>0</v>
      </c>
      <c r="AA653" s="116">
        <f>SUMIFS('FA Write off'!D:D,'FA Write off'!A:A,'FA Addition'!$A653,'FA Write off'!C:C,"&lt;"&amp;'FA Addition'!$L$1+1,'FA Write off'!C:C,"&gt;"&amp;'FA Addition'!$L$1-365)</f>
        <v>0</v>
      </c>
      <c r="AC653" s="118">
        <f>IFERROR(AA653/'FA Addition'!$J653*'FA Addition'!$L653,0)</f>
        <v>0</v>
      </c>
      <c r="AE653" s="117">
        <f>IF(AND('FA Addition'!$D653&lt;$P$1+1,U653=0),'FA Addition'!$L653,0)-Y653</f>
        <v>0</v>
      </c>
      <c r="AF653" s="117">
        <f t="shared" si="50"/>
        <v>12287.29</v>
      </c>
      <c r="AG653" s="117">
        <f>MIN(MAX(+$P$1-'FA Addition'!$D653,0),365*'FA Addition'!$O653)</f>
        <v>0</v>
      </c>
      <c r="AH653" s="117">
        <f>MIN(MAX($L$1-'FA Addition'!$D653+1,0),365*'FA Addition'!$O653)</f>
        <v>339</v>
      </c>
      <c r="AI653" s="117" cm="1">
        <f t="array" ref="AI653">_xlfn.XLOOKUP(1,('FA Write off'!A:A='FA Addition'!$A653)*('FA Write off'!D:D=AA653),'FA Write off'!H:H,0,0)</f>
        <v>0</v>
      </c>
      <c r="AJ653" s="117">
        <f>IF(AC653&gt;0,MAX(IF('FA Addition'!$N653="SLM",($AC653-'FA Addition'!$M653)*'FA Addition'!$P653*AI653/365,(AC653-'FA Addition'!$M653)*(1-(1-'FA Addition'!$P653)^(AI653/365))),0),0)</f>
        <v>0</v>
      </c>
      <c r="AL653" s="117">
        <f>MAX(IF(AG653&gt;0,IF('FA Addition'!$N653="SLM",($AE653-'FA Addition'!$M653)*'FA Addition'!$P653*AG653/365,IFERROR(VDB(AE653,AE653*0.05,'FA Addition'!$O653,0,YEARFRAC('FA Addition'!$C653,$P$1-1,3),'FA Addition'!$Q653),FAAddition[[#This Row],[Original Cost (Rs)]]-FAAddition[[#This Row],[Salvage Value]])),0),0)</f>
        <v>0</v>
      </c>
      <c r="AM653" s="119"/>
      <c r="AN653" s="117">
        <f>MAX(IF(AH653&gt;0,IF('FA Addition'!$N653="SLM",($AF653-'FA Addition'!$M653)*'FA Addition'!$P653*AH653/365,IFERROR(VDB(AF653,AF653*0.05,'FA Addition'!$O653,0,YEARFRAC('FA Addition'!$C653,$L$1,3),'FA Addition'!$Q653),FAAddition[[#This Row],[Original Cost (Rs)]]-FAAddition[[#This Row],[Salvage Value]])),0),0)</f>
        <v>5129.196349227359</v>
      </c>
      <c r="AO653" s="117">
        <f t="shared" si="53"/>
        <v>5129.196349227359</v>
      </c>
      <c r="AQ653" s="117">
        <f t="shared" si="51"/>
        <v>0</v>
      </c>
      <c r="AR653" s="120">
        <f t="shared" si="52"/>
        <v>7158.0936507726419</v>
      </c>
      <c r="AS653" s="121"/>
    </row>
    <row r="654" spans="1:45" ht="13.5" x14ac:dyDescent="0.4">
      <c r="A654" s="12">
        <f t="shared" si="54"/>
        <v>651</v>
      </c>
      <c r="B654" s="64" t="s">
        <v>1308</v>
      </c>
      <c r="C654" s="54">
        <v>45045</v>
      </c>
      <c r="D654" s="54">
        <v>45045</v>
      </c>
      <c r="E654" s="46" t="s">
        <v>32</v>
      </c>
      <c r="F654" s="51" t="s">
        <v>1090</v>
      </c>
      <c r="G654" s="51" t="s">
        <v>433</v>
      </c>
      <c r="H654" s="51" t="s">
        <v>32</v>
      </c>
      <c r="I654" s="55" t="s">
        <v>1360</v>
      </c>
      <c r="J654" s="56">
        <v>2000</v>
      </c>
      <c r="K654" s="51" t="s">
        <v>1350</v>
      </c>
      <c r="L654" s="58">
        <v>2200000</v>
      </c>
      <c r="M654" s="50">
        <f>ROUND('FA Addition'!$L654*5%,0.1)</f>
        <v>110000</v>
      </c>
      <c r="N654" s="113" t="str">
        <f>_xlfn.XLOOKUP(_xlfn.CONCAT(E654,B654),'Year Wise Master Dep Approach'!F:F,'Year Wise Master Dep Approach'!D:D)</f>
        <v>SLM</v>
      </c>
      <c r="O654" s="113">
        <f>_xlfn.XLOOKUP(_xlfn.CONCAT(E654,B654),'Year Wise Master Dep Approach'!F:F,'Year Wise Master Dep Approach'!E:E)</f>
        <v>5</v>
      </c>
      <c r="P654" s="114">
        <f>IFERROR(IF('FA Addition'!$N654="WDV",1-('FA Addition'!$M654/'FA Addition'!$L654)^(1/'FA Addition'!$O654),1/'FA Addition'!$O654),0)</f>
        <v>0.2</v>
      </c>
      <c r="Q654" s="122">
        <f>'FA Addition'!$P654*'FA Addition'!$O654</f>
        <v>1</v>
      </c>
      <c r="R654" s="122"/>
      <c r="S654" s="116">
        <f>IF(AND(DATE(20&amp;LEFT(FAAddition[[#This Row],[FY]],2),4,1)&lt;$L$1+1,DATE(20&amp;LEFT(FAAddition[[#This Row],[FY]],2),4,1)&gt;$P$1-1),'FA Addition'!$J654,0)</f>
        <v>2000</v>
      </c>
      <c r="U654" s="117">
        <f>S654*'FA Addition'!$L654/'FA Addition'!$J654</f>
        <v>2200000</v>
      </c>
      <c r="W654" s="116">
        <f>SUMIFS('FA Write off'!D:D,'FA Write off'!A:A,'FA Addition'!$A654,'FA Write off'!C:C,"&lt;"&amp;'FA Addition'!$P$1)</f>
        <v>39</v>
      </c>
      <c r="Y654" s="191">
        <f>IFERROR(W654/'FA Addition'!$J654*'FA Addition'!$L654,0)</f>
        <v>42900</v>
      </c>
      <c r="AA654" s="116">
        <f>SUMIFS('FA Write off'!D:D,'FA Write off'!A:A,'FA Addition'!$A654,'FA Write off'!C:C,"&lt;"&amp;'FA Addition'!$L$1+1,'FA Write off'!C:C,"&gt;"&amp;'FA Addition'!$L$1-365)</f>
        <v>0</v>
      </c>
      <c r="AC654" s="118">
        <f>IFERROR(AA654/'FA Addition'!$J654*'FA Addition'!$L654,0)</f>
        <v>0</v>
      </c>
      <c r="AE654" s="117">
        <f>IF(AND('FA Addition'!$D654&lt;$P$1+1,U654=0),'FA Addition'!$L654,0)-Y654</f>
        <v>-42900</v>
      </c>
      <c r="AF654" s="117">
        <f t="shared" si="50"/>
        <v>2157100</v>
      </c>
      <c r="AG654" s="117">
        <f>MIN(MAX(+$P$1-'FA Addition'!$D654,0),365*'FA Addition'!$O654)</f>
        <v>0</v>
      </c>
      <c r="AH654" s="117">
        <f>MIN(MAX($L$1-'FA Addition'!$D654+1,0),365*'FA Addition'!$O654)</f>
        <v>338</v>
      </c>
      <c r="AI654" s="117" cm="1">
        <f t="array" ref="AI654">_xlfn.XLOOKUP(1,('FA Write off'!A:A='FA Addition'!$A654)*('FA Write off'!D:D=AA654),'FA Write off'!H:H,0,0)</f>
        <v>0</v>
      </c>
      <c r="AJ654" s="117">
        <f>IF(AC654&gt;0,MAX(IF('FA Addition'!$N654="SLM",($AC654-'FA Addition'!$M654)*'FA Addition'!$P654*AI654/365,(AC654-'FA Addition'!$M654)*(1-(1-'FA Addition'!$P654)^(AI654/365))),0),0)</f>
        <v>0</v>
      </c>
      <c r="AL654" s="117">
        <f>MAX(IF(AG654&gt;0,IF('FA Addition'!$N654="SLM",($AE654-'FA Addition'!$M654)*'FA Addition'!$P654*AG654/365,IFERROR(VDB(AE654,AE654*0.05,'FA Addition'!$O654,0,YEARFRAC('FA Addition'!$C654,$P$1-1,3),'FA Addition'!$Q654),FAAddition[[#This Row],[Original Cost (Rs)]]-FAAddition[[#This Row],[Salvage Value]])),0),0)</f>
        <v>0</v>
      </c>
      <c r="AM654" s="119"/>
      <c r="AN654" s="117">
        <f>MAX(IF(AH654&gt;0,IF('FA Addition'!$N654="SLM",($AF654-'FA Addition'!$M654)*'FA Addition'!$P654*AH654/365,IFERROR(VDB(AF654,AF654*0.05,'FA Addition'!$O654,0,YEARFRAC('FA Addition'!$C654,$L$1,3),'FA Addition'!$Q654),FAAddition[[#This Row],[Original Cost (Rs)]]-FAAddition[[#This Row],[Salvage Value]])),0),0)</f>
        <v>379134.1369863014</v>
      </c>
      <c r="AO654" s="117">
        <f t="shared" si="53"/>
        <v>379134.1369863014</v>
      </c>
      <c r="AQ654" s="117">
        <f t="shared" si="51"/>
        <v>-42900</v>
      </c>
      <c r="AR654" s="120">
        <f t="shared" si="52"/>
        <v>1777965.8630136987</v>
      </c>
      <c r="AS654" s="121"/>
    </row>
    <row r="655" spans="1:45" ht="13.5" x14ac:dyDescent="0.4">
      <c r="A655" s="12">
        <f t="shared" si="54"/>
        <v>652</v>
      </c>
      <c r="B655" s="64" t="s">
        <v>1308</v>
      </c>
      <c r="C655" s="54">
        <v>45046</v>
      </c>
      <c r="D655" s="54">
        <v>45046</v>
      </c>
      <c r="E655" s="46" t="s">
        <v>451</v>
      </c>
      <c r="F655" s="51" t="s">
        <v>19</v>
      </c>
      <c r="G655" s="51" t="s">
        <v>1361</v>
      </c>
      <c r="H655" s="51" t="s">
        <v>113</v>
      </c>
      <c r="I655" s="55" t="s">
        <v>1362</v>
      </c>
      <c r="J655" s="56">
        <v>1</v>
      </c>
      <c r="K655" s="51"/>
      <c r="L655" s="58">
        <v>-7500</v>
      </c>
      <c r="M655" s="50">
        <f>ROUND('FA Addition'!$L655*5%,0.1)</f>
        <v>-375</v>
      </c>
      <c r="N655" s="113" t="str">
        <f>_xlfn.XLOOKUP(_xlfn.CONCAT(E655,B655),'Year Wise Master Dep Approach'!F:F,'Year Wise Master Dep Approach'!D:D)</f>
        <v>WDV</v>
      </c>
      <c r="O655" s="113">
        <f>_xlfn.XLOOKUP(_xlfn.CONCAT(E655,B655),'Year Wise Master Dep Approach'!F:F,'Year Wise Master Dep Approach'!E:E)</f>
        <v>3</v>
      </c>
      <c r="P655" s="114">
        <f>IFERROR(IF('FA Addition'!$N655="WDV",1-('FA Addition'!$M655/'FA Addition'!$L655)^(1/'FA Addition'!$O655),1/'FA Addition'!$O655),0)</f>
        <v>0.63159685013596123</v>
      </c>
      <c r="Q655" s="122">
        <f>'FA Addition'!$P655*'FA Addition'!$O655</f>
        <v>1.8947905504078837</v>
      </c>
      <c r="R655" s="122"/>
      <c r="S655" s="116">
        <f>IF(AND(DATE(20&amp;LEFT(FAAddition[[#This Row],[FY]],2),4,1)&lt;$L$1+1,DATE(20&amp;LEFT(FAAddition[[#This Row],[FY]],2),4,1)&gt;$P$1-1),'FA Addition'!$J655,0)</f>
        <v>1</v>
      </c>
      <c r="U655" s="117">
        <f>S655*'FA Addition'!$L655/'FA Addition'!$J655</f>
        <v>-7500</v>
      </c>
      <c r="W655" s="116">
        <f>SUMIFS('FA Write off'!D:D,'FA Write off'!A:A,'FA Addition'!$A655,'FA Write off'!C:C,"&lt;"&amp;'FA Addition'!$P$1)</f>
        <v>0</v>
      </c>
      <c r="Y655" s="191">
        <f>IFERROR(W655/'FA Addition'!$J655*'FA Addition'!$L655,0)</f>
        <v>0</v>
      </c>
      <c r="AA655" s="116">
        <f>SUMIFS('FA Write off'!D:D,'FA Write off'!A:A,'FA Addition'!$A655,'FA Write off'!C:C,"&lt;"&amp;'FA Addition'!$L$1+1,'FA Write off'!C:C,"&gt;"&amp;'FA Addition'!$L$1-365)</f>
        <v>0</v>
      </c>
      <c r="AC655" s="118">
        <f>IFERROR(AA655/'FA Addition'!$J655*'FA Addition'!$L655,0)</f>
        <v>0</v>
      </c>
      <c r="AE655" s="117">
        <f>IF(AND('FA Addition'!$D655&lt;$P$1+1,U655=0),'FA Addition'!$L655,0)-Y655</f>
        <v>0</v>
      </c>
      <c r="AF655" s="117">
        <f t="shared" si="50"/>
        <v>-7500</v>
      </c>
      <c r="AG655" s="117">
        <f>MIN(MAX(+$P$1-'FA Addition'!$D655,0),365*'FA Addition'!$O655)</f>
        <v>0</v>
      </c>
      <c r="AH655" s="117">
        <f>MIN(MAX($L$1-'FA Addition'!$D655+1,0),365*'FA Addition'!$O655)</f>
        <v>337</v>
      </c>
      <c r="AI655" s="117" cm="1">
        <f t="array" ref="AI655">_xlfn.XLOOKUP(1,('FA Write off'!A:A='FA Addition'!$A655)*('FA Write off'!D:D=AA655),'FA Write off'!H:H,0,0)</f>
        <v>0</v>
      </c>
      <c r="AJ655" s="117">
        <f>IF(AC655&gt;0,MAX(IF('FA Addition'!$N655="SLM",($AC655-'FA Addition'!$M655)*'FA Addition'!$P655*AI655/365,(AC655-'FA Addition'!$M655)*(1-(1-'FA Addition'!$P655)^(AI655/365))),0),0)</f>
        <v>0</v>
      </c>
      <c r="AL655" s="117">
        <f>MAX(IF(AG655&gt;0,IF('FA Addition'!$N655="SLM",($AE655-'FA Addition'!$M655)*'FA Addition'!$P655*AG655/365,IFERROR(VDB(AE655,AE655*0.05,'FA Addition'!$O655,0,YEARFRAC('FA Addition'!$C655,$P$1-1,3),'FA Addition'!$Q655),FAAddition[[#This Row],[Original Cost (Rs)]]-FAAddition[[#This Row],[Salvage Value]])),0),0)</f>
        <v>0</v>
      </c>
      <c r="AM655" s="119"/>
      <c r="AN655" s="117">
        <f>MAX(IF(AH655&gt;0,IF('FA Addition'!$N655="SLM",($AF655-'FA Addition'!$M655)*'FA Addition'!$P655*AH655/365,IFERROR(VDB(AF655,AF655*0.05,'FA Addition'!$O655,0,YEARFRAC('FA Addition'!$C655,$L$1,3),'FA Addition'!$Q655),FAAddition[[#This Row],[Original Cost (Rs)]]-FAAddition[[#This Row],[Salvage Value]])),0),0)</f>
        <v>0</v>
      </c>
      <c r="AO655" s="117">
        <f t="shared" si="53"/>
        <v>0</v>
      </c>
      <c r="AQ655" s="117">
        <f t="shared" si="51"/>
        <v>0</v>
      </c>
      <c r="AR655" s="120">
        <f t="shared" si="52"/>
        <v>-7500</v>
      </c>
      <c r="AS655" s="121"/>
    </row>
    <row r="656" spans="1:45" ht="13.5" x14ac:dyDescent="0.4">
      <c r="A656" s="12">
        <f t="shared" si="54"/>
        <v>653</v>
      </c>
      <c r="B656" s="64" t="s">
        <v>1308</v>
      </c>
      <c r="C656" s="54">
        <v>45047</v>
      </c>
      <c r="D656" s="54">
        <v>45047</v>
      </c>
      <c r="E656" s="46" t="s">
        <v>32</v>
      </c>
      <c r="F656" s="51" t="s">
        <v>1090</v>
      </c>
      <c r="G656" s="51" t="s">
        <v>433</v>
      </c>
      <c r="H656" s="51" t="s">
        <v>32</v>
      </c>
      <c r="I656" s="55" t="s">
        <v>1363</v>
      </c>
      <c r="J656" s="56">
        <v>2000</v>
      </c>
      <c r="K656" s="51" t="s">
        <v>1350</v>
      </c>
      <c r="L656" s="58">
        <v>2200000</v>
      </c>
      <c r="M656" s="50">
        <f>ROUND('FA Addition'!$L656*5%,0.1)</f>
        <v>110000</v>
      </c>
      <c r="N656" s="113" t="str">
        <f>_xlfn.XLOOKUP(_xlfn.CONCAT(E656,B656),'Year Wise Master Dep Approach'!F:F,'Year Wise Master Dep Approach'!D:D)</f>
        <v>SLM</v>
      </c>
      <c r="O656" s="113">
        <f>_xlfn.XLOOKUP(_xlfn.CONCAT(E656,B656),'Year Wise Master Dep Approach'!F:F,'Year Wise Master Dep Approach'!E:E)</f>
        <v>5</v>
      </c>
      <c r="P656" s="114">
        <f>IFERROR(IF('FA Addition'!$N656="WDV",1-('FA Addition'!$M656/'FA Addition'!$L656)^(1/'FA Addition'!$O656),1/'FA Addition'!$O656),0)</f>
        <v>0.2</v>
      </c>
      <c r="Q656" s="122">
        <f>'FA Addition'!$P656*'FA Addition'!$O656</f>
        <v>1</v>
      </c>
      <c r="R656" s="122"/>
      <c r="S656" s="116">
        <f>IF(AND(DATE(20&amp;LEFT(FAAddition[[#This Row],[FY]],2),4,1)&lt;$L$1+1,DATE(20&amp;LEFT(FAAddition[[#This Row],[FY]],2),4,1)&gt;$P$1-1),'FA Addition'!$J656,0)</f>
        <v>2000</v>
      </c>
      <c r="U656" s="117">
        <f>S656*'FA Addition'!$L656/'FA Addition'!$J656</f>
        <v>2200000</v>
      </c>
      <c r="W656" s="116">
        <f>SUMIFS('FA Write off'!D:D,'FA Write off'!A:A,'FA Addition'!$A656,'FA Write off'!C:C,"&lt;"&amp;'FA Addition'!$P$1)</f>
        <v>29</v>
      </c>
      <c r="Y656" s="191">
        <f>IFERROR(W656/'FA Addition'!$J656*'FA Addition'!$L656,0)</f>
        <v>31900</v>
      </c>
      <c r="AA656" s="116">
        <f>SUMIFS('FA Write off'!D:D,'FA Write off'!A:A,'FA Addition'!$A656,'FA Write off'!C:C,"&lt;"&amp;'FA Addition'!$L$1+1,'FA Write off'!C:C,"&gt;"&amp;'FA Addition'!$L$1-365)</f>
        <v>0</v>
      </c>
      <c r="AC656" s="118">
        <f>IFERROR(AA656/'FA Addition'!$J656*'FA Addition'!$L656,0)</f>
        <v>0</v>
      </c>
      <c r="AE656" s="117">
        <f>IF(AND('FA Addition'!$D656&lt;$P$1+1,U656=0),'FA Addition'!$L656,0)-Y656</f>
        <v>-31900</v>
      </c>
      <c r="AF656" s="117">
        <f t="shared" si="50"/>
        <v>2168100</v>
      </c>
      <c r="AG656" s="117">
        <f>MIN(MAX(+$P$1-'FA Addition'!$D656,0),365*'FA Addition'!$O656)</f>
        <v>0</v>
      </c>
      <c r="AH656" s="117">
        <f>MIN(MAX($L$1-'FA Addition'!$D656+1,0),365*'FA Addition'!$O656)</f>
        <v>336</v>
      </c>
      <c r="AI656" s="117" cm="1">
        <f t="array" ref="AI656">_xlfn.XLOOKUP(1,('FA Write off'!A:A='FA Addition'!$A656)*('FA Write off'!D:D=AA656),'FA Write off'!H:H,0,0)</f>
        <v>0</v>
      </c>
      <c r="AJ656" s="117">
        <f>IF(AC656&gt;0,MAX(IF('FA Addition'!$N656="SLM",($AC656-'FA Addition'!$M656)*'FA Addition'!$P656*AI656/365,(AC656-'FA Addition'!$M656)*(1-(1-'FA Addition'!$P656)^(AI656/365))),0),0)</f>
        <v>0</v>
      </c>
      <c r="AL656" s="117">
        <f>MAX(IF(AG656&gt;0,IF('FA Addition'!$N656="SLM",($AE656-'FA Addition'!$M656)*'FA Addition'!$P656*AG656/365,IFERROR(VDB(AE656,AE656*0.05,'FA Addition'!$O656,0,YEARFRAC('FA Addition'!$C656,$P$1-1,3),'FA Addition'!$Q656),FAAddition[[#This Row],[Original Cost (Rs)]]-FAAddition[[#This Row],[Salvage Value]])),0),0)</f>
        <v>0</v>
      </c>
      <c r="AM656" s="119"/>
      <c r="AN656" s="117">
        <f>MAX(IF(AH656&gt;0,IF('FA Addition'!$N656="SLM",($AF656-'FA Addition'!$M656)*'FA Addition'!$P656*AH656/365,IFERROR(VDB(AF656,AF656*0.05,'FA Addition'!$O656,0,YEARFRAC('FA Addition'!$C656,$L$1,3),'FA Addition'!$Q656),FAAddition[[#This Row],[Original Cost (Rs)]]-FAAddition[[#This Row],[Salvage Value]])),0),0)</f>
        <v>378915.94520547945</v>
      </c>
      <c r="AO656" s="117">
        <f t="shared" si="53"/>
        <v>378915.94520547945</v>
      </c>
      <c r="AQ656" s="117">
        <f t="shared" si="51"/>
        <v>-31900</v>
      </c>
      <c r="AR656" s="120">
        <f t="shared" si="52"/>
        <v>1789184.0547945206</v>
      </c>
      <c r="AS656" s="121"/>
    </row>
    <row r="657" spans="1:45" ht="13.5" x14ac:dyDescent="0.4">
      <c r="A657" s="12">
        <f t="shared" si="54"/>
        <v>654</v>
      </c>
      <c r="B657" s="64" t="s">
        <v>1308</v>
      </c>
      <c r="C657" s="54">
        <v>45048</v>
      </c>
      <c r="D657" s="54">
        <v>45048</v>
      </c>
      <c r="E657" s="46" t="s">
        <v>523</v>
      </c>
      <c r="F657" s="51" t="s">
        <v>279</v>
      </c>
      <c r="G657" s="51" t="s">
        <v>1364</v>
      </c>
      <c r="H657" s="51" t="s">
        <v>1365</v>
      </c>
      <c r="I657" s="55" t="s">
        <v>1366</v>
      </c>
      <c r="J657" s="56">
        <v>1</v>
      </c>
      <c r="K657" s="51" t="s">
        <v>1367</v>
      </c>
      <c r="L657" s="58">
        <v>20338.98</v>
      </c>
      <c r="M657" s="50">
        <f>ROUND('FA Addition'!$L657*5%,0.1)</f>
        <v>1017</v>
      </c>
      <c r="N657" s="113" t="str">
        <f>_xlfn.XLOOKUP(_xlfn.CONCAT(E657,B657),'Year Wise Master Dep Approach'!F:F,'Year Wise Master Dep Approach'!D:D)</f>
        <v>WDV</v>
      </c>
      <c r="O657" s="113">
        <f>_xlfn.XLOOKUP(_xlfn.CONCAT(E657,B657),'Year Wise Master Dep Approach'!F:F,'Year Wise Master Dep Approach'!E:E)</f>
        <v>10</v>
      </c>
      <c r="P657" s="114">
        <f>IFERROR(IF('FA Addition'!$N657="WDV",1-('FA Addition'!$M657/'FA Addition'!$L657)^(1/'FA Addition'!$O657),1/'FA Addition'!$O657),0)</f>
        <v>0.25886183418710851</v>
      </c>
      <c r="Q657" s="122">
        <f>'FA Addition'!$P657*'FA Addition'!$O657</f>
        <v>2.5886183418710851</v>
      </c>
      <c r="R657" s="122"/>
      <c r="S657" s="116">
        <f>IF(AND(DATE(20&amp;LEFT(FAAddition[[#This Row],[FY]],2),4,1)&lt;$L$1+1,DATE(20&amp;LEFT(FAAddition[[#This Row],[FY]],2),4,1)&gt;$P$1-1),'FA Addition'!$J657,0)</f>
        <v>1</v>
      </c>
      <c r="U657" s="117">
        <f>S657*'FA Addition'!$L657/'FA Addition'!$J657</f>
        <v>20338.98</v>
      </c>
      <c r="W657" s="116">
        <f>SUMIFS('FA Write off'!D:D,'FA Write off'!A:A,'FA Addition'!$A657,'FA Write off'!C:C,"&lt;"&amp;'FA Addition'!$P$1)</f>
        <v>0</v>
      </c>
      <c r="Y657" s="191">
        <f>IFERROR(W657/'FA Addition'!$J657*'FA Addition'!$L657,0)</f>
        <v>0</v>
      </c>
      <c r="AA657" s="116">
        <f>SUMIFS('FA Write off'!D:D,'FA Write off'!A:A,'FA Addition'!$A657,'FA Write off'!C:C,"&lt;"&amp;'FA Addition'!$L$1+1,'FA Write off'!C:C,"&gt;"&amp;'FA Addition'!$L$1-365)</f>
        <v>0</v>
      </c>
      <c r="AC657" s="118">
        <f>IFERROR(AA657/'FA Addition'!$J657*'FA Addition'!$L657,0)</f>
        <v>0</v>
      </c>
      <c r="AE657" s="117">
        <f>IF(AND('FA Addition'!$D657&lt;$P$1+1,U657=0),'FA Addition'!$L657,0)-Y657</f>
        <v>0</v>
      </c>
      <c r="AF657" s="117">
        <f t="shared" si="50"/>
        <v>20338.98</v>
      </c>
      <c r="AG657" s="117">
        <f>MIN(MAX(+$P$1-'FA Addition'!$D657,0),365*'FA Addition'!$O657)</f>
        <v>0</v>
      </c>
      <c r="AH657" s="117">
        <f>MIN(MAX($L$1-'FA Addition'!$D657+1,0),365*'FA Addition'!$O657)</f>
        <v>335</v>
      </c>
      <c r="AI657" s="117" cm="1">
        <f t="array" ref="AI657">_xlfn.XLOOKUP(1,('FA Write off'!A:A='FA Addition'!$A657)*('FA Write off'!D:D=AA657),'FA Write off'!H:H,0,0)</f>
        <v>0</v>
      </c>
      <c r="AJ657" s="117">
        <f>IF(AC657&gt;0,MAX(IF('FA Addition'!$N657="SLM",($AC657-'FA Addition'!$M657)*'FA Addition'!$P657*AI657/365,(AC657-'FA Addition'!$M657)*(1-(1-'FA Addition'!$P657)^(AI657/365))),0),0)</f>
        <v>0</v>
      </c>
      <c r="AL657" s="117">
        <f>MAX(IF(AG657&gt;0,IF('FA Addition'!$N657="SLM",($AE657-'FA Addition'!$M657)*'FA Addition'!$P657*AG657/365,IFERROR(VDB(AE657,AE657*0.05,'FA Addition'!$O657,0,YEARFRAC('FA Addition'!$C657,$P$1-1,3),'FA Addition'!$Q657),FAAddition[[#This Row],[Original Cost (Rs)]]-FAAddition[[#This Row],[Salvage Value]])),0),0)</f>
        <v>0</v>
      </c>
      <c r="AM657" s="119"/>
      <c r="AN657" s="117">
        <f>MAX(IF(AH657&gt;0,IF('FA Addition'!$N657="SLM",($AF657-'FA Addition'!$M657)*'FA Addition'!$P657*AH657/365,IFERROR(VDB(AF657,AF657*0.05,'FA Addition'!$O657,0,YEARFRAC('FA Addition'!$C657,$L$1,3),'FA Addition'!$Q657),FAAddition[[#This Row],[Original Cost (Rs)]]-FAAddition[[#This Row],[Salvage Value]])),0),0)</f>
        <v>4817.8225019465808</v>
      </c>
      <c r="AO657" s="117">
        <f t="shared" si="53"/>
        <v>4817.8225019465808</v>
      </c>
      <c r="AQ657" s="117">
        <f t="shared" si="51"/>
        <v>0</v>
      </c>
      <c r="AR657" s="120">
        <f t="shared" si="52"/>
        <v>15521.157498053419</v>
      </c>
      <c r="AS657" s="121"/>
    </row>
    <row r="658" spans="1:45" ht="13.5" x14ac:dyDescent="0.4">
      <c r="A658" s="12">
        <f t="shared" si="54"/>
        <v>655</v>
      </c>
      <c r="B658" s="64" t="s">
        <v>1308</v>
      </c>
      <c r="C658" s="54">
        <v>45049</v>
      </c>
      <c r="D658" s="54">
        <v>45049</v>
      </c>
      <c r="E658" s="46" t="s">
        <v>451</v>
      </c>
      <c r="F658" s="51" t="s">
        <v>19</v>
      </c>
      <c r="G658" s="51" t="s">
        <v>1284</v>
      </c>
      <c r="H658" s="51" t="s">
        <v>21</v>
      </c>
      <c r="I658" s="55" t="s">
        <v>1368</v>
      </c>
      <c r="J658" s="56">
        <v>1</v>
      </c>
      <c r="K658" s="51" t="s">
        <v>1369</v>
      </c>
      <c r="L658" s="58">
        <v>77966</v>
      </c>
      <c r="M658" s="50">
        <f>ROUND('FA Addition'!$L658*5%,0.1)</f>
        <v>3898</v>
      </c>
      <c r="N658" s="113" t="str">
        <f>_xlfn.XLOOKUP(_xlfn.CONCAT(E658,B658),'Year Wise Master Dep Approach'!F:F,'Year Wise Master Dep Approach'!D:D)</f>
        <v>WDV</v>
      </c>
      <c r="O658" s="113">
        <f>_xlfn.XLOOKUP(_xlfn.CONCAT(E658,B658),'Year Wise Master Dep Approach'!F:F,'Year Wise Master Dep Approach'!E:E)</f>
        <v>3</v>
      </c>
      <c r="P658" s="114">
        <f>IFERROR(IF('FA Addition'!$N658="WDV",1-('FA Addition'!$M658/'FA Addition'!$L658)^(1/'FA Addition'!$O658),1/'FA Addition'!$O658),0)</f>
        <v>0.6316063007323911</v>
      </c>
      <c r="Q658" s="122">
        <f>'FA Addition'!$P658*'FA Addition'!$O658</f>
        <v>1.8948189021971733</v>
      </c>
      <c r="R658" s="122"/>
      <c r="S658" s="116">
        <f>IF(AND(DATE(20&amp;LEFT(FAAddition[[#This Row],[FY]],2),4,1)&lt;$L$1+1,DATE(20&amp;LEFT(FAAddition[[#This Row],[FY]],2),4,1)&gt;$P$1-1),'FA Addition'!$J658,0)</f>
        <v>1</v>
      </c>
      <c r="U658" s="117">
        <f>S658*'FA Addition'!$L658/'FA Addition'!$J658</f>
        <v>77966</v>
      </c>
      <c r="W658" s="116">
        <f>SUMIFS('FA Write off'!D:D,'FA Write off'!A:A,'FA Addition'!$A658,'FA Write off'!C:C,"&lt;"&amp;'FA Addition'!$P$1)</f>
        <v>0</v>
      </c>
      <c r="Y658" s="191">
        <f>IFERROR(W658/'FA Addition'!$J658*'FA Addition'!$L658,0)</f>
        <v>0</v>
      </c>
      <c r="AA658" s="116">
        <f>SUMIFS('FA Write off'!D:D,'FA Write off'!A:A,'FA Addition'!$A658,'FA Write off'!C:C,"&lt;"&amp;'FA Addition'!$L$1+1,'FA Write off'!C:C,"&gt;"&amp;'FA Addition'!$L$1-365)</f>
        <v>0</v>
      </c>
      <c r="AC658" s="118">
        <f>IFERROR(AA658/'FA Addition'!$J658*'FA Addition'!$L658,0)</f>
        <v>0</v>
      </c>
      <c r="AE658" s="117">
        <f>IF(AND('FA Addition'!$D658&lt;$P$1+1,U658=0),'FA Addition'!$L658,0)-Y658</f>
        <v>0</v>
      </c>
      <c r="AF658" s="117">
        <f t="shared" si="50"/>
        <v>77966</v>
      </c>
      <c r="AG658" s="117">
        <f>MIN(MAX(+$P$1-'FA Addition'!$D658,0),365*'FA Addition'!$O658)</f>
        <v>0</v>
      </c>
      <c r="AH658" s="117">
        <f>MIN(MAX($L$1-'FA Addition'!$D658+1,0),365*'FA Addition'!$O658)</f>
        <v>334</v>
      </c>
      <c r="AI658" s="117" cm="1">
        <f t="array" ref="AI658">_xlfn.XLOOKUP(1,('FA Write off'!A:A='FA Addition'!$A658)*('FA Write off'!D:D=AA658),'FA Write off'!H:H,0,0)</f>
        <v>0</v>
      </c>
      <c r="AJ658" s="117">
        <f>IF(AC658&gt;0,MAX(IF('FA Addition'!$N658="SLM",($AC658-'FA Addition'!$M658)*'FA Addition'!$P658*AI658/365,(AC658-'FA Addition'!$M658)*(1-(1-'FA Addition'!$P658)^(AI658/365))),0),0)</f>
        <v>0</v>
      </c>
      <c r="AL658" s="117">
        <f>MAX(IF(AG658&gt;0,IF('FA Addition'!$N658="SLM",($AE658-'FA Addition'!$M658)*'FA Addition'!$P658*AG658/365,IFERROR(VDB(AE658,AE658*0.05,'FA Addition'!$O658,0,YEARFRAC('FA Addition'!$C658,$P$1-1,3),'FA Addition'!$Q658),FAAddition[[#This Row],[Original Cost (Rs)]]-FAAddition[[#This Row],[Salvage Value]])),0),0)</f>
        <v>0</v>
      </c>
      <c r="AM658" s="119"/>
      <c r="AN658" s="117">
        <f>MAX(IF(AH658&gt;0,IF('FA Addition'!$N658="SLM",($AF658-'FA Addition'!$M658)*'FA Addition'!$P658*AH658/365,IFERROR(VDB(AF658,AF658*0.05,'FA Addition'!$O658,0,YEARFRAC('FA Addition'!$C658,$L$1,3),'FA Addition'!$Q658),FAAddition[[#This Row],[Original Cost (Rs)]]-FAAddition[[#This Row],[Salvage Value]])),0),0)</f>
        <v>44926.55070872941</v>
      </c>
      <c r="AO658" s="117">
        <f t="shared" si="53"/>
        <v>44926.55070872941</v>
      </c>
      <c r="AQ658" s="117">
        <f t="shared" si="51"/>
        <v>0</v>
      </c>
      <c r="AR658" s="120">
        <f t="shared" si="52"/>
        <v>33039.44929127059</v>
      </c>
      <c r="AS658" s="121"/>
    </row>
    <row r="659" spans="1:45" ht="13.5" x14ac:dyDescent="0.4">
      <c r="A659" s="12">
        <f t="shared" si="54"/>
        <v>656</v>
      </c>
      <c r="B659" s="64" t="s">
        <v>1308</v>
      </c>
      <c r="C659" s="54">
        <v>45055</v>
      </c>
      <c r="D659" s="54">
        <v>45055</v>
      </c>
      <c r="E659" s="46" t="s">
        <v>451</v>
      </c>
      <c r="F659" s="51" t="s">
        <v>19</v>
      </c>
      <c r="G659" s="51" t="s">
        <v>1290</v>
      </c>
      <c r="H659" s="51" t="s">
        <v>21</v>
      </c>
      <c r="I659" s="55" t="s">
        <v>1370</v>
      </c>
      <c r="J659" s="56">
        <v>1</v>
      </c>
      <c r="K659" s="51" t="s">
        <v>1371</v>
      </c>
      <c r="L659" s="58">
        <v>30085</v>
      </c>
      <c r="M659" s="50">
        <f>ROUND('FA Addition'!$L659*5%,0.1)</f>
        <v>1504</v>
      </c>
      <c r="N659" s="113" t="str">
        <f>_xlfn.XLOOKUP(_xlfn.CONCAT(E659,B659),'Year Wise Master Dep Approach'!F:F,'Year Wise Master Dep Approach'!D:D)</f>
        <v>WDV</v>
      </c>
      <c r="O659" s="113">
        <f>_xlfn.XLOOKUP(_xlfn.CONCAT(E659,B659),'Year Wise Master Dep Approach'!F:F,'Year Wise Master Dep Approach'!E:E)</f>
        <v>3</v>
      </c>
      <c r="P659" s="114">
        <f>IFERROR(IF('FA Addition'!$N659="WDV",1-('FA Addition'!$M659/'FA Addition'!$L659)^(1/'FA Addition'!$O659),1/'FA Addition'!$O659),0)</f>
        <v>0.63161726028280996</v>
      </c>
      <c r="Q659" s="122">
        <f>'FA Addition'!$P659*'FA Addition'!$O659</f>
        <v>1.89485178084843</v>
      </c>
      <c r="R659" s="122"/>
      <c r="S659" s="116">
        <f>IF(AND(DATE(20&amp;LEFT(FAAddition[[#This Row],[FY]],2),4,1)&lt;$L$1+1,DATE(20&amp;LEFT(FAAddition[[#This Row],[FY]],2),4,1)&gt;$P$1-1),'FA Addition'!$J659,0)</f>
        <v>1</v>
      </c>
      <c r="U659" s="117">
        <f>S659*'FA Addition'!$L659/'FA Addition'!$J659</f>
        <v>30085</v>
      </c>
      <c r="W659" s="116">
        <f>SUMIFS('FA Write off'!D:D,'FA Write off'!A:A,'FA Addition'!$A659,'FA Write off'!C:C,"&lt;"&amp;'FA Addition'!$P$1)</f>
        <v>0</v>
      </c>
      <c r="Y659" s="191">
        <f>IFERROR(W659/'FA Addition'!$J659*'FA Addition'!$L659,0)</f>
        <v>0</v>
      </c>
      <c r="AA659" s="116">
        <f>SUMIFS('FA Write off'!D:D,'FA Write off'!A:A,'FA Addition'!$A659,'FA Write off'!C:C,"&lt;"&amp;'FA Addition'!$L$1+1,'FA Write off'!C:C,"&gt;"&amp;'FA Addition'!$L$1-365)</f>
        <v>0</v>
      </c>
      <c r="AC659" s="118">
        <f>IFERROR(AA659/'FA Addition'!$J659*'FA Addition'!$L659,0)</f>
        <v>0</v>
      </c>
      <c r="AE659" s="117">
        <f>IF(AND('FA Addition'!$D659&lt;$P$1+1,U659=0),'FA Addition'!$L659,0)-Y659</f>
        <v>0</v>
      </c>
      <c r="AF659" s="117">
        <f t="shared" si="50"/>
        <v>30085</v>
      </c>
      <c r="AG659" s="117">
        <f>MIN(MAX(+$P$1-'FA Addition'!$D659,0),365*'FA Addition'!$O659)</f>
        <v>0</v>
      </c>
      <c r="AH659" s="117">
        <f>MIN(MAX($L$1-'FA Addition'!$D659+1,0),365*'FA Addition'!$O659)</f>
        <v>328</v>
      </c>
      <c r="AI659" s="117" cm="1">
        <f t="array" ref="AI659">_xlfn.XLOOKUP(1,('FA Write off'!A:A='FA Addition'!$A659)*('FA Write off'!D:D=AA659),'FA Write off'!H:H,0,0)</f>
        <v>0</v>
      </c>
      <c r="AJ659" s="117">
        <f>IF(AC659&gt;0,MAX(IF('FA Addition'!$N659="SLM",($AC659-'FA Addition'!$M659)*'FA Addition'!$P659*AI659/365,(AC659-'FA Addition'!$M659)*(1-(1-'FA Addition'!$P659)^(AI659/365))),0),0)</f>
        <v>0</v>
      </c>
      <c r="AL659" s="117">
        <f>MAX(IF(AG659&gt;0,IF('FA Addition'!$N659="SLM",($AE659-'FA Addition'!$M659)*'FA Addition'!$P659*AG659/365,IFERROR(VDB(AE659,AE659*0.05,'FA Addition'!$O659,0,YEARFRAC('FA Addition'!$C659,$P$1-1,3),'FA Addition'!$Q659),FAAddition[[#This Row],[Original Cost (Rs)]]-FAAddition[[#This Row],[Salvage Value]])),0),0)</f>
        <v>0</v>
      </c>
      <c r="AM659" s="119"/>
      <c r="AN659" s="117">
        <f>MAX(IF(AH659&gt;0,IF('FA Addition'!$N659="SLM",($AF659-'FA Addition'!$M659)*'FA Addition'!$P659*AH659/365,IFERROR(VDB(AF659,AF659*0.05,'FA Addition'!$O659,0,YEARFRAC('FA Addition'!$C659,$L$1,3),'FA Addition'!$Q659),FAAddition[[#This Row],[Original Cost (Rs)]]-FAAddition[[#This Row],[Salvage Value]])),0),0)</f>
        <v>17023.893493490206</v>
      </c>
      <c r="AO659" s="117">
        <f t="shared" si="53"/>
        <v>17023.893493490206</v>
      </c>
      <c r="AQ659" s="117">
        <f t="shared" si="51"/>
        <v>0</v>
      </c>
      <c r="AR659" s="120">
        <f t="shared" si="52"/>
        <v>13061.106506509794</v>
      </c>
      <c r="AS659" s="121"/>
    </row>
    <row r="660" spans="1:45" ht="13.5" x14ac:dyDescent="0.4">
      <c r="A660" s="12">
        <f t="shared" si="54"/>
        <v>657</v>
      </c>
      <c r="B660" s="64" t="s">
        <v>1308</v>
      </c>
      <c r="C660" s="54">
        <v>45055</v>
      </c>
      <c r="D660" s="54">
        <v>45055</v>
      </c>
      <c r="E660" s="46" t="s">
        <v>451</v>
      </c>
      <c r="F660" s="51" t="s">
        <v>19</v>
      </c>
      <c r="G660" s="51" t="s">
        <v>1290</v>
      </c>
      <c r="H660" s="51" t="s">
        <v>21</v>
      </c>
      <c r="I660" s="55" t="s">
        <v>1370</v>
      </c>
      <c r="J660" s="56">
        <v>1</v>
      </c>
      <c r="K660" s="51" t="s">
        <v>1371</v>
      </c>
      <c r="L660" s="58">
        <v>30085</v>
      </c>
      <c r="M660" s="50">
        <f>ROUND('FA Addition'!$L660*5%,0.1)</f>
        <v>1504</v>
      </c>
      <c r="N660" s="113" t="str">
        <f>_xlfn.XLOOKUP(_xlfn.CONCAT(E660,B660),'Year Wise Master Dep Approach'!F:F,'Year Wise Master Dep Approach'!D:D)</f>
        <v>WDV</v>
      </c>
      <c r="O660" s="113">
        <f>_xlfn.XLOOKUP(_xlfn.CONCAT(E660,B660),'Year Wise Master Dep Approach'!F:F,'Year Wise Master Dep Approach'!E:E)</f>
        <v>3</v>
      </c>
      <c r="P660" s="114">
        <f>IFERROR(IF('FA Addition'!$N660="WDV",1-('FA Addition'!$M660/'FA Addition'!$L660)^(1/'FA Addition'!$O660),1/'FA Addition'!$O660),0)</f>
        <v>0.63161726028280996</v>
      </c>
      <c r="Q660" s="122">
        <f>'FA Addition'!$P660*'FA Addition'!$O660</f>
        <v>1.89485178084843</v>
      </c>
      <c r="R660" s="122"/>
      <c r="S660" s="116">
        <f>IF(AND(DATE(20&amp;LEFT(FAAddition[[#This Row],[FY]],2),4,1)&lt;$L$1+1,DATE(20&amp;LEFT(FAAddition[[#This Row],[FY]],2),4,1)&gt;$P$1-1),'FA Addition'!$J660,0)</f>
        <v>1</v>
      </c>
      <c r="U660" s="117">
        <f>S660*'FA Addition'!$L660/'FA Addition'!$J660</f>
        <v>30085</v>
      </c>
      <c r="W660" s="116">
        <f>SUMIFS('FA Write off'!D:D,'FA Write off'!A:A,'FA Addition'!$A660,'FA Write off'!C:C,"&lt;"&amp;'FA Addition'!$P$1)</f>
        <v>0</v>
      </c>
      <c r="Y660" s="191">
        <f>IFERROR(W660/'FA Addition'!$J660*'FA Addition'!$L660,0)</f>
        <v>0</v>
      </c>
      <c r="AA660" s="116">
        <f>SUMIFS('FA Write off'!D:D,'FA Write off'!A:A,'FA Addition'!$A660,'FA Write off'!C:C,"&lt;"&amp;'FA Addition'!$L$1+1,'FA Write off'!C:C,"&gt;"&amp;'FA Addition'!$L$1-365)</f>
        <v>0</v>
      </c>
      <c r="AC660" s="118">
        <f>IFERROR(AA660/'FA Addition'!$J660*'FA Addition'!$L660,0)</f>
        <v>0</v>
      </c>
      <c r="AE660" s="117">
        <f>IF(AND('FA Addition'!$D660&lt;$P$1+1,U660=0),'FA Addition'!$L660,0)-Y660</f>
        <v>0</v>
      </c>
      <c r="AF660" s="117">
        <f t="shared" si="50"/>
        <v>30085</v>
      </c>
      <c r="AG660" s="117">
        <f>MIN(MAX(+$P$1-'FA Addition'!$D660,0),365*'FA Addition'!$O660)</f>
        <v>0</v>
      </c>
      <c r="AH660" s="117">
        <f>MIN(MAX($L$1-'FA Addition'!$D660+1,0),365*'FA Addition'!$O660)</f>
        <v>328</v>
      </c>
      <c r="AI660" s="117" cm="1">
        <f t="array" ref="AI660">_xlfn.XLOOKUP(1,('FA Write off'!A:A='FA Addition'!$A660)*('FA Write off'!D:D=AA660),'FA Write off'!H:H,0,0)</f>
        <v>0</v>
      </c>
      <c r="AJ660" s="117">
        <f>IF(AC660&gt;0,MAX(IF('FA Addition'!$N660="SLM",($AC660-'FA Addition'!$M660)*'FA Addition'!$P660*AI660/365,(AC660-'FA Addition'!$M660)*(1-(1-'FA Addition'!$P660)^(AI660/365))),0),0)</f>
        <v>0</v>
      </c>
      <c r="AL660" s="117">
        <f>MAX(IF(AG660&gt;0,IF('FA Addition'!$N660="SLM",($AE660-'FA Addition'!$M660)*'FA Addition'!$P660*AG660/365,IFERROR(VDB(AE660,AE660*0.05,'FA Addition'!$O660,0,YEARFRAC('FA Addition'!$C660,$P$1-1,3),'FA Addition'!$Q660),FAAddition[[#This Row],[Original Cost (Rs)]]-FAAddition[[#This Row],[Salvage Value]])),0),0)</f>
        <v>0</v>
      </c>
      <c r="AM660" s="119"/>
      <c r="AN660" s="117">
        <f>MAX(IF(AH660&gt;0,IF('FA Addition'!$N660="SLM",($AF660-'FA Addition'!$M660)*'FA Addition'!$P660*AH660/365,IFERROR(VDB(AF660,AF660*0.05,'FA Addition'!$O660,0,YEARFRAC('FA Addition'!$C660,$L$1,3),'FA Addition'!$Q660),FAAddition[[#This Row],[Original Cost (Rs)]]-FAAddition[[#This Row],[Salvage Value]])),0),0)</f>
        <v>17023.893493490206</v>
      </c>
      <c r="AO660" s="117">
        <f t="shared" si="53"/>
        <v>17023.893493490206</v>
      </c>
      <c r="AQ660" s="117">
        <f t="shared" si="51"/>
        <v>0</v>
      </c>
      <c r="AR660" s="120">
        <f t="shared" si="52"/>
        <v>13061.106506509794</v>
      </c>
      <c r="AS660" s="121"/>
    </row>
    <row r="661" spans="1:45" ht="13.5" x14ac:dyDescent="0.4">
      <c r="A661" s="12">
        <f t="shared" si="54"/>
        <v>658</v>
      </c>
      <c r="B661" s="64" t="s">
        <v>1308</v>
      </c>
      <c r="C661" s="54">
        <v>45055</v>
      </c>
      <c r="D661" s="54">
        <v>45055</v>
      </c>
      <c r="E661" s="46" t="s">
        <v>207</v>
      </c>
      <c r="F661" s="51" t="s">
        <v>1372</v>
      </c>
      <c r="G661" s="51" t="s">
        <v>1134</v>
      </c>
      <c r="H661" s="51" t="s">
        <v>207</v>
      </c>
      <c r="I661" s="55" t="s">
        <v>1373</v>
      </c>
      <c r="J661" s="56">
        <v>1</v>
      </c>
      <c r="K661" s="51" t="s">
        <v>1374</v>
      </c>
      <c r="L661" s="58">
        <v>22872.880000000001</v>
      </c>
      <c r="M661" s="50">
        <f>ROUND('FA Addition'!$L661*5%,0.1)</f>
        <v>1144</v>
      </c>
      <c r="N661" s="113" t="str">
        <f>_xlfn.XLOOKUP(_xlfn.CONCAT(E661,B661),'Year Wise Master Dep Approach'!F:F,'Year Wise Master Dep Approach'!D:D)</f>
        <v>WDV</v>
      </c>
      <c r="O661" s="113">
        <f>_xlfn.XLOOKUP(_xlfn.CONCAT(E661,B661),'Year Wise Master Dep Approach'!F:F,'Year Wise Master Dep Approach'!E:E)</f>
        <v>5</v>
      </c>
      <c r="P661" s="114">
        <f>IFERROR(IF('FA Addition'!$N661="WDV",1-('FA Addition'!$M661/'FA Addition'!$L661)^(1/'FA Addition'!$O661),1/'FA Addition'!$O661),0)</f>
        <v>0.45068553598755934</v>
      </c>
      <c r="Q661" s="122">
        <f>'FA Addition'!$P661*'FA Addition'!$O661</f>
        <v>2.2534276799377966</v>
      </c>
      <c r="R661" s="122"/>
      <c r="S661" s="116">
        <f>IF(AND(DATE(20&amp;LEFT(FAAddition[[#This Row],[FY]],2),4,1)&lt;$L$1+1,DATE(20&amp;LEFT(FAAddition[[#This Row],[FY]],2),4,1)&gt;$P$1-1),'FA Addition'!$J661,0)</f>
        <v>1</v>
      </c>
      <c r="U661" s="117">
        <f>S661*'FA Addition'!$L661/'FA Addition'!$J661</f>
        <v>22872.880000000001</v>
      </c>
      <c r="W661" s="116">
        <f>SUMIFS('FA Write off'!D:D,'FA Write off'!A:A,'FA Addition'!$A661,'FA Write off'!C:C,"&lt;"&amp;'FA Addition'!$P$1)</f>
        <v>0</v>
      </c>
      <c r="Y661" s="191">
        <f>IFERROR(W661/'FA Addition'!$J661*'FA Addition'!$L661,0)</f>
        <v>0</v>
      </c>
      <c r="AA661" s="116">
        <f>SUMIFS('FA Write off'!D:D,'FA Write off'!A:A,'FA Addition'!$A661,'FA Write off'!C:C,"&lt;"&amp;'FA Addition'!$L$1+1,'FA Write off'!C:C,"&gt;"&amp;'FA Addition'!$L$1-365)</f>
        <v>0</v>
      </c>
      <c r="AC661" s="118">
        <f>IFERROR(AA661/'FA Addition'!$J661*'FA Addition'!$L661,0)</f>
        <v>0</v>
      </c>
      <c r="AE661" s="117">
        <f>IF(AND('FA Addition'!$D661&lt;$P$1+1,U661=0),'FA Addition'!$L661,0)-Y661</f>
        <v>0</v>
      </c>
      <c r="AF661" s="117">
        <f t="shared" si="50"/>
        <v>22872.880000000001</v>
      </c>
      <c r="AG661" s="117">
        <f>MIN(MAX(+$P$1-'FA Addition'!$D661,0),365*'FA Addition'!$O661)</f>
        <v>0</v>
      </c>
      <c r="AH661" s="117">
        <f>MIN(MAX($L$1-'FA Addition'!$D661+1,0),365*'FA Addition'!$O661)</f>
        <v>328</v>
      </c>
      <c r="AI661" s="117" cm="1">
        <f t="array" ref="AI661">_xlfn.XLOOKUP(1,('FA Write off'!A:A='FA Addition'!$A661)*('FA Write off'!D:D=AA661),'FA Write off'!H:H,0,0)</f>
        <v>0</v>
      </c>
      <c r="AJ661" s="117">
        <f>IF(AC661&gt;0,MAX(IF('FA Addition'!$N661="SLM",($AC661-'FA Addition'!$M661)*'FA Addition'!$P661*AI661/365,(AC661-'FA Addition'!$M661)*(1-(1-'FA Addition'!$P661)^(AI661/365))),0),0)</f>
        <v>0</v>
      </c>
      <c r="AL661" s="117">
        <f>MAX(IF(AG661&gt;0,IF('FA Addition'!$N661="SLM",($AE661-'FA Addition'!$M661)*'FA Addition'!$P661*AG661/365,IFERROR(VDB(AE661,AE661*0.05,'FA Addition'!$O661,0,YEARFRAC('FA Addition'!$C661,$P$1-1,3),'FA Addition'!$Q661),FAAddition[[#This Row],[Original Cost (Rs)]]-FAAddition[[#This Row],[Salvage Value]])),0),0)</f>
        <v>0</v>
      </c>
      <c r="AM661" s="119"/>
      <c r="AN661" s="117">
        <f>MAX(IF(AH661&gt;0,IF('FA Addition'!$N661="SLM",($AF661-'FA Addition'!$M661)*'FA Addition'!$P661*AH661/365,IFERROR(VDB(AF661,AF661*0.05,'FA Addition'!$O661,0,YEARFRAC('FA Addition'!$C661,$L$1,3),'FA Addition'!$Q661),FAAddition[[#This Row],[Original Cost (Rs)]]-FAAddition[[#This Row],[Salvage Value]])),0),0)</f>
        <v>9235.2649633917099</v>
      </c>
      <c r="AO661" s="117">
        <f t="shared" si="53"/>
        <v>9235.2649633917099</v>
      </c>
      <c r="AQ661" s="117">
        <f t="shared" si="51"/>
        <v>0</v>
      </c>
      <c r="AR661" s="120">
        <f t="shared" si="52"/>
        <v>13637.615036608291</v>
      </c>
      <c r="AS661" s="121"/>
    </row>
    <row r="662" spans="1:45" ht="13.5" x14ac:dyDescent="0.4">
      <c r="A662" s="12">
        <f t="shared" si="54"/>
        <v>659</v>
      </c>
      <c r="B662" s="64" t="s">
        <v>1308</v>
      </c>
      <c r="C662" s="54">
        <v>45059</v>
      </c>
      <c r="D662" s="54">
        <v>45059</v>
      </c>
      <c r="E662" s="46" t="s">
        <v>451</v>
      </c>
      <c r="F662" s="51" t="s">
        <v>19</v>
      </c>
      <c r="G662" s="51" t="s">
        <v>1290</v>
      </c>
      <c r="H662" s="51" t="s">
        <v>21</v>
      </c>
      <c r="I662" s="55" t="s">
        <v>1375</v>
      </c>
      <c r="J662" s="56">
        <v>1</v>
      </c>
      <c r="K662" s="51" t="s">
        <v>1353</v>
      </c>
      <c r="L662" s="58">
        <v>56695</v>
      </c>
      <c r="M662" s="50">
        <f>ROUND('FA Addition'!$L662*5%,0.1)</f>
        <v>2835</v>
      </c>
      <c r="N662" s="113" t="str">
        <f>_xlfn.XLOOKUP(_xlfn.CONCAT(E662,B662),'Year Wise Master Dep Approach'!F:F,'Year Wise Master Dep Approach'!D:D)</f>
        <v>WDV</v>
      </c>
      <c r="O662" s="113">
        <f>_xlfn.XLOOKUP(_xlfn.CONCAT(E662,B662),'Year Wise Master Dep Approach'!F:F,'Year Wise Master Dep Approach'!E:E)</f>
        <v>3</v>
      </c>
      <c r="P662" s="114">
        <f>IFERROR(IF('FA Addition'!$N662="WDV",1-('FA Addition'!$M662/'FA Addition'!$L662)^(1/'FA Addition'!$O662),1/'FA Addition'!$O662),0)</f>
        <v>0.63158602048254031</v>
      </c>
      <c r="Q662" s="122">
        <f>'FA Addition'!$P662*'FA Addition'!$O662</f>
        <v>1.8947580614476209</v>
      </c>
      <c r="R662" s="122"/>
      <c r="S662" s="116">
        <f>IF(AND(DATE(20&amp;LEFT(FAAddition[[#This Row],[FY]],2),4,1)&lt;$L$1+1,DATE(20&amp;LEFT(FAAddition[[#This Row],[FY]],2),4,1)&gt;$P$1-1),'FA Addition'!$J662,0)</f>
        <v>1</v>
      </c>
      <c r="U662" s="117">
        <f>S662*'FA Addition'!$L662/'FA Addition'!$J662</f>
        <v>56695</v>
      </c>
      <c r="W662" s="116">
        <f>SUMIFS('FA Write off'!D:D,'FA Write off'!A:A,'FA Addition'!$A662,'FA Write off'!C:C,"&lt;"&amp;'FA Addition'!$P$1)</f>
        <v>0</v>
      </c>
      <c r="Y662" s="191">
        <f>IFERROR(W662/'FA Addition'!$J662*'FA Addition'!$L662,0)</f>
        <v>0</v>
      </c>
      <c r="AA662" s="116">
        <f>SUMIFS('FA Write off'!D:D,'FA Write off'!A:A,'FA Addition'!$A662,'FA Write off'!C:C,"&lt;"&amp;'FA Addition'!$L$1+1,'FA Write off'!C:C,"&gt;"&amp;'FA Addition'!$L$1-365)</f>
        <v>0</v>
      </c>
      <c r="AC662" s="118">
        <f>IFERROR(AA662/'FA Addition'!$J662*'FA Addition'!$L662,0)</f>
        <v>0</v>
      </c>
      <c r="AE662" s="117">
        <f>IF(AND('FA Addition'!$D662&lt;$P$1+1,U662=0),'FA Addition'!$L662,0)-Y662</f>
        <v>0</v>
      </c>
      <c r="AF662" s="117">
        <f t="shared" si="50"/>
        <v>56695</v>
      </c>
      <c r="AG662" s="117">
        <f>MIN(MAX(+$P$1-'FA Addition'!$D662,0),365*'FA Addition'!$O662)</f>
        <v>0</v>
      </c>
      <c r="AH662" s="117">
        <f>MIN(MAX($L$1-'FA Addition'!$D662+1,0),365*'FA Addition'!$O662)</f>
        <v>324</v>
      </c>
      <c r="AI662" s="117" cm="1">
        <f t="array" ref="AI662">_xlfn.XLOOKUP(1,('FA Write off'!A:A='FA Addition'!$A662)*('FA Write off'!D:D=AA662),'FA Write off'!H:H,0,0)</f>
        <v>0</v>
      </c>
      <c r="AJ662" s="117">
        <f>IF(AC662&gt;0,MAX(IF('FA Addition'!$N662="SLM",($AC662-'FA Addition'!$M662)*'FA Addition'!$P662*AI662/365,(AC662-'FA Addition'!$M662)*(1-(1-'FA Addition'!$P662)^(AI662/365))),0),0)</f>
        <v>0</v>
      </c>
      <c r="AL662" s="117">
        <f>MAX(IF(AG662&gt;0,IF('FA Addition'!$N662="SLM",($AE662-'FA Addition'!$M662)*'FA Addition'!$P662*AG662/365,IFERROR(VDB(AE662,AE662*0.05,'FA Addition'!$O662,0,YEARFRAC('FA Addition'!$C662,$P$1-1,3),'FA Addition'!$Q662),FAAddition[[#This Row],[Original Cost (Rs)]]-FAAddition[[#This Row],[Salvage Value]])),0),0)</f>
        <v>0</v>
      </c>
      <c r="AM662" s="119"/>
      <c r="AN662" s="117">
        <f>MAX(IF(AH662&gt;0,IF('FA Addition'!$N662="SLM",($AF662-'FA Addition'!$M662)*'FA Addition'!$P662*AH662/365,IFERROR(VDB(AF662,AF662*0.05,'FA Addition'!$O662,0,YEARFRAC('FA Addition'!$C662,$L$1,3),'FA Addition'!$Q662),FAAddition[[#This Row],[Original Cost (Rs)]]-FAAddition[[#This Row],[Salvage Value]])),0),0)</f>
        <v>31687.423359715649</v>
      </c>
      <c r="AO662" s="117">
        <f t="shared" si="53"/>
        <v>31687.423359715649</v>
      </c>
      <c r="AQ662" s="117">
        <f t="shared" si="51"/>
        <v>0</v>
      </c>
      <c r="AR662" s="120">
        <f t="shared" si="52"/>
        <v>25007.576640284351</v>
      </c>
      <c r="AS662" s="121"/>
    </row>
    <row r="663" spans="1:45" ht="13.5" x14ac:dyDescent="0.4">
      <c r="A663" s="12">
        <f t="shared" si="54"/>
        <v>660</v>
      </c>
      <c r="B663" s="64" t="s">
        <v>1308</v>
      </c>
      <c r="C663" s="54">
        <v>45059</v>
      </c>
      <c r="D663" s="54">
        <v>45059</v>
      </c>
      <c r="E663" s="46" t="s">
        <v>451</v>
      </c>
      <c r="F663" s="51" t="s">
        <v>19</v>
      </c>
      <c r="G663" s="51" t="s">
        <v>1290</v>
      </c>
      <c r="H663" s="51" t="s">
        <v>21</v>
      </c>
      <c r="I663" s="55" t="s">
        <v>1375</v>
      </c>
      <c r="J663" s="56">
        <v>1</v>
      </c>
      <c r="K663" s="51" t="s">
        <v>1353</v>
      </c>
      <c r="L663" s="58">
        <v>56695</v>
      </c>
      <c r="M663" s="50">
        <f>ROUND('FA Addition'!$L663*5%,0.1)</f>
        <v>2835</v>
      </c>
      <c r="N663" s="113" t="str">
        <f>_xlfn.XLOOKUP(_xlfn.CONCAT(E663,B663),'Year Wise Master Dep Approach'!F:F,'Year Wise Master Dep Approach'!D:D)</f>
        <v>WDV</v>
      </c>
      <c r="O663" s="113">
        <f>_xlfn.XLOOKUP(_xlfn.CONCAT(E663,B663),'Year Wise Master Dep Approach'!F:F,'Year Wise Master Dep Approach'!E:E)</f>
        <v>3</v>
      </c>
      <c r="P663" s="114">
        <f>IFERROR(IF('FA Addition'!$N663="WDV",1-('FA Addition'!$M663/'FA Addition'!$L663)^(1/'FA Addition'!$O663),1/'FA Addition'!$O663),0)</f>
        <v>0.63158602048254031</v>
      </c>
      <c r="Q663" s="122">
        <f>'FA Addition'!$P663*'FA Addition'!$O663</f>
        <v>1.8947580614476209</v>
      </c>
      <c r="R663" s="122"/>
      <c r="S663" s="116">
        <f>IF(AND(DATE(20&amp;LEFT(FAAddition[[#This Row],[FY]],2),4,1)&lt;$L$1+1,DATE(20&amp;LEFT(FAAddition[[#This Row],[FY]],2),4,1)&gt;$P$1-1),'FA Addition'!$J663,0)</f>
        <v>1</v>
      </c>
      <c r="U663" s="117">
        <f>S663*'FA Addition'!$L663/'FA Addition'!$J663</f>
        <v>56695</v>
      </c>
      <c r="W663" s="116">
        <f>SUMIFS('FA Write off'!D:D,'FA Write off'!A:A,'FA Addition'!$A663,'FA Write off'!C:C,"&lt;"&amp;'FA Addition'!$P$1)</f>
        <v>0</v>
      </c>
      <c r="Y663" s="191">
        <f>IFERROR(W663/'FA Addition'!$J663*'FA Addition'!$L663,0)</f>
        <v>0</v>
      </c>
      <c r="AA663" s="116">
        <f>SUMIFS('FA Write off'!D:D,'FA Write off'!A:A,'FA Addition'!$A663,'FA Write off'!C:C,"&lt;"&amp;'FA Addition'!$L$1+1,'FA Write off'!C:C,"&gt;"&amp;'FA Addition'!$L$1-365)</f>
        <v>0</v>
      </c>
      <c r="AC663" s="118">
        <f>IFERROR(AA663/'FA Addition'!$J663*'FA Addition'!$L663,0)</f>
        <v>0</v>
      </c>
      <c r="AE663" s="117">
        <f>IF(AND('FA Addition'!$D663&lt;$P$1+1,U663=0),'FA Addition'!$L663,0)-Y663</f>
        <v>0</v>
      </c>
      <c r="AF663" s="117">
        <f t="shared" si="50"/>
        <v>56695</v>
      </c>
      <c r="AG663" s="117">
        <f>MIN(MAX(+$P$1-'FA Addition'!$D663,0),365*'FA Addition'!$O663)</f>
        <v>0</v>
      </c>
      <c r="AH663" s="117">
        <f>MIN(MAX($L$1-'FA Addition'!$D663+1,0),365*'FA Addition'!$O663)</f>
        <v>324</v>
      </c>
      <c r="AI663" s="117" cm="1">
        <f t="array" ref="AI663">_xlfn.XLOOKUP(1,('FA Write off'!A:A='FA Addition'!$A663)*('FA Write off'!D:D=AA663),'FA Write off'!H:H,0,0)</f>
        <v>0</v>
      </c>
      <c r="AJ663" s="117">
        <f>IF(AC663&gt;0,MAX(IF('FA Addition'!$N663="SLM",($AC663-'FA Addition'!$M663)*'FA Addition'!$P663*AI663/365,(AC663-'FA Addition'!$M663)*(1-(1-'FA Addition'!$P663)^(AI663/365))),0),0)</f>
        <v>0</v>
      </c>
      <c r="AL663" s="117">
        <f>MAX(IF(AG663&gt;0,IF('FA Addition'!$N663="SLM",($AE663-'FA Addition'!$M663)*'FA Addition'!$P663*AG663/365,IFERROR(VDB(AE663,AE663*0.05,'FA Addition'!$O663,0,YEARFRAC('FA Addition'!$C663,$P$1-1,3),'FA Addition'!$Q663),FAAddition[[#This Row],[Original Cost (Rs)]]-FAAddition[[#This Row],[Salvage Value]])),0),0)</f>
        <v>0</v>
      </c>
      <c r="AM663" s="119"/>
      <c r="AN663" s="117">
        <f>MAX(IF(AH663&gt;0,IF('FA Addition'!$N663="SLM",($AF663-'FA Addition'!$M663)*'FA Addition'!$P663*AH663/365,IFERROR(VDB(AF663,AF663*0.05,'FA Addition'!$O663,0,YEARFRAC('FA Addition'!$C663,$L$1,3),'FA Addition'!$Q663),FAAddition[[#This Row],[Original Cost (Rs)]]-FAAddition[[#This Row],[Salvage Value]])),0),0)</f>
        <v>31687.423359715649</v>
      </c>
      <c r="AO663" s="117">
        <f t="shared" si="53"/>
        <v>31687.423359715649</v>
      </c>
      <c r="AQ663" s="117">
        <f t="shared" si="51"/>
        <v>0</v>
      </c>
      <c r="AR663" s="120">
        <f t="shared" si="52"/>
        <v>25007.576640284351</v>
      </c>
      <c r="AS663" s="121"/>
    </row>
    <row r="664" spans="1:45" ht="13.5" x14ac:dyDescent="0.4">
      <c r="A664" s="12">
        <f t="shared" si="54"/>
        <v>661</v>
      </c>
      <c r="B664" s="64" t="s">
        <v>1308</v>
      </c>
      <c r="C664" s="54">
        <v>45059</v>
      </c>
      <c r="D664" s="54">
        <v>45059</v>
      </c>
      <c r="E664" s="46" t="s">
        <v>451</v>
      </c>
      <c r="F664" s="51" t="s">
        <v>19</v>
      </c>
      <c r="G664" s="51" t="s">
        <v>1290</v>
      </c>
      <c r="H664" s="51" t="s">
        <v>21</v>
      </c>
      <c r="I664" s="55" t="s">
        <v>1375</v>
      </c>
      <c r="J664" s="56">
        <v>1</v>
      </c>
      <c r="K664" s="51" t="s">
        <v>1353</v>
      </c>
      <c r="L664" s="58">
        <v>56695</v>
      </c>
      <c r="M664" s="50">
        <f>ROUND('FA Addition'!$L664*5%,0.1)</f>
        <v>2835</v>
      </c>
      <c r="N664" s="113" t="str">
        <f>_xlfn.XLOOKUP(_xlfn.CONCAT(E664,B664),'Year Wise Master Dep Approach'!F:F,'Year Wise Master Dep Approach'!D:D)</f>
        <v>WDV</v>
      </c>
      <c r="O664" s="113">
        <f>_xlfn.XLOOKUP(_xlfn.CONCAT(E664,B664),'Year Wise Master Dep Approach'!F:F,'Year Wise Master Dep Approach'!E:E)</f>
        <v>3</v>
      </c>
      <c r="P664" s="114">
        <f>IFERROR(IF('FA Addition'!$N664="WDV",1-('FA Addition'!$M664/'FA Addition'!$L664)^(1/'FA Addition'!$O664),1/'FA Addition'!$O664),0)</f>
        <v>0.63158602048254031</v>
      </c>
      <c r="Q664" s="122">
        <f>'FA Addition'!$P664*'FA Addition'!$O664</f>
        <v>1.8947580614476209</v>
      </c>
      <c r="R664" s="122"/>
      <c r="S664" s="116">
        <f>IF(AND(DATE(20&amp;LEFT(FAAddition[[#This Row],[FY]],2),4,1)&lt;$L$1+1,DATE(20&amp;LEFT(FAAddition[[#This Row],[FY]],2),4,1)&gt;$P$1-1),'FA Addition'!$J664,0)</f>
        <v>1</v>
      </c>
      <c r="U664" s="117">
        <f>S664*'FA Addition'!$L664/'FA Addition'!$J664</f>
        <v>56695</v>
      </c>
      <c r="W664" s="116">
        <f>SUMIFS('FA Write off'!D:D,'FA Write off'!A:A,'FA Addition'!$A664,'FA Write off'!C:C,"&lt;"&amp;'FA Addition'!$P$1)</f>
        <v>0</v>
      </c>
      <c r="Y664" s="191">
        <f>IFERROR(W664/'FA Addition'!$J664*'FA Addition'!$L664,0)</f>
        <v>0</v>
      </c>
      <c r="AA664" s="116">
        <f>SUMIFS('FA Write off'!D:D,'FA Write off'!A:A,'FA Addition'!$A664,'FA Write off'!C:C,"&lt;"&amp;'FA Addition'!$L$1+1,'FA Write off'!C:C,"&gt;"&amp;'FA Addition'!$L$1-365)</f>
        <v>0</v>
      </c>
      <c r="AC664" s="118">
        <f>IFERROR(AA664/'FA Addition'!$J664*'FA Addition'!$L664,0)</f>
        <v>0</v>
      </c>
      <c r="AE664" s="117">
        <f>IF(AND('FA Addition'!$D664&lt;$P$1+1,U664=0),'FA Addition'!$L664,0)-Y664</f>
        <v>0</v>
      </c>
      <c r="AF664" s="117">
        <f t="shared" si="50"/>
        <v>56695</v>
      </c>
      <c r="AG664" s="117">
        <f>MIN(MAX(+$P$1-'FA Addition'!$D664,0),365*'FA Addition'!$O664)</f>
        <v>0</v>
      </c>
      <c r="AH664" s="117">
        <f>MIN(MAX($L$1-'FA Addition'!$D664+1,0),365*'FA Addition'!$O664)</f>
        <v>324</v>
      </c>
      <c r="AI664" s="117" cm="1">
        <f t="array" ref="AI664">_xlfn.XLOOKUP(1,('FA Write off'!A:A='FA Addition'!$A664)*('FA Write off'!D:D=AA664),'FA Write off'!H:H,0,0)</f>
        <v>0</v>
      </c>
      <c r="AJ664" s="117">
        <f>IF(AC664&gt;0,MAX(IF('FA Addition'!$N664="SLM",($AC664-'FA Addition'!$M664)*'FA Addition'!$P664*AI664/365,(AC664-'FA Addition'!$M664)*(1-(1-'FA Addition'!$P664)^(AI664/365))),0),0)</f>
        <v>0</v>
      </c>
      <c r="AL664" s="117">
        <f>MAX(IF(AG664&gt;0,IF('FA Addition'!$N664="SLM",($AE664-'FA Addition'!$M664)*'FA Addition'!$P664*AG664/365,IFERROR(VDB(AE664,AE664*0.05,'FA Addition'!$O664,0,YEARFRAC('FA Addition'!$C664,$P$1-1,3),'FA Addition'!$Q664),FAAddition[[#This Row],[Original Cost (Rs)]]-FAAddition[[#This Row],[Salvage Value]])),0),0)</f>
        <v>0</v>
      </c>
      <c r="AM664" s="119"/>
      <c r="AN664" s="117">
        <f>MAX(IF(AH664&gt;0,IF('FA Addition'!$N664="SLM",($AF664-'FA Addition'!$M664)*'FA Addition'!$P664*AH664/365,IFERROR(VDB(AF664,AF664*0.05,'FA Addition'!$O664,0,YEARFRAC('FA Addition'!$C664,$L$1,3),'FA Addition'!$Q664),FAAddition[[#This Row],[Original Cost (Rs)]]-FAAddition[[#This Row],[Salvage Value]])),0),0)</f>
        <v>31687.423359715649</v>
      </c>
      <c r="AO664" s="117">
        <f t="shared" si="53"/>
        <v>31687.423359715649</v>
      </c>
      <c r="AQ664" s="117">
        <f t="shared" si="51"/>
        <v>0</v>
      </c>
      <c r="AR664" s="120">
        <f t="shared" si="52"/>
        <v>25007.576640284351</v>
      </c>
      <c r="AS664" s="121"/>
    </row>
    <row r="665" spans="1:45" ht="13.5" x14ac:dyDescent="0.4">
      <c r="A665" s="12">
        <f t="shared" si="54"/>
        <v>662</v>
      </c>
      <c r="B665" s="64" t="s">
        <v>1308</v>
      </c>
      <c r="C665" s="54">
        <v>45059</v>
      </c>
      <c r="D665" s="54">
        <v>45059</v>
      </c>
      <c r="E665" s="46" t="s">
        <v>451</v>
      </c>
      <c r="F665" s="51" t="s">
        <v>19</v>
      </c>
      <c r="G665" s="51" t="s">
        <v>1290</v>
      </c>
      <c r="H665" s="51" t="s">
        <v>21</v>
      </c>
      <c r="I665" s="55" t="s">
        <v>1375</v>
      </c>
      <c r="J665" s="56">
        <v>1</v>
      </c>
      <c r="K665" s="51" t="s">
        <v>1347</v>
      </c>
      <c r="L665" s="58">
        <v>53381.5</v>
      </c>
      <c r="M665" s="50">
        <f>ROUND('FA Addition'!$L665*5%,0.1)</f>
        <v>2669</v>
      </c>
      <c r="N665" s="113" t="str">
        <f>_xlfn.XLOOKUP(_xlfn.CONCAT(E665,B665),'Year Wise Master Dep Approach'!F:F,'Year Wise Master Dep Approach'!D:D)</f>
        <v>WDV</v>
      </c>
      <c r="O665" s="113">
        <f>_xlfn.XLOOKUP(_xlfn.CONCAT(E665,B665),'Year Wise Master Dep Approach'!F:F,'Year Wise Master Dep Approach'!E:E)</f>
        <v>3</v>
      </c>
      <c r="P665" s="114">
        <f>IFERROR(IF('FA Addition'!$N665="WDV",1-('FA Addition'!$M665/'FA Addition'!$L665)^(1/'FA Addition'!$O665),1/'FA Addition'!$O665),0)</f>
        <v>0.63160030083143237</v>
      </c>
      <c r="Q665" s="122">
        <f>'FA Addition'!$P665*'FA Addition'!$O665</f>
        <v>1.8948009024942971</v>
      </c>
      <c r="R665" s="122"/>
      <c r="S665" s="116">
        <f>IF(AND(DATE(20&amp;LEFT(FAAddition[[#This Row],[FY]],2),4,1)&lt;$L$1+1,DATE(20&amp;LEFT(FAAddition[[#This Row],[FY]],2),4,1)&gt;$P$1-1),'FA Addition'!$J665,0)</f>
        <v>1</v>
      </c>
      <c r="U665" s="117">
        <f>S665*'FA Addition'!$L665/'FA Addition'!$J665</f>
        <v>53381.5</v>
      </c>
      <c r="W665" s="116">
        <f>SUMIFS('FA Write off'!D:D,'FA Write off'!A:A,'FA Addition'!$A665,'FA Write off'!C:C,"&lt;"&amp;'FA Addition'!$P$1)</f>
        <v>0</v>
      </c>
      <c r="Y665" s="191">
        <f>IFERROR(W665/'FA Addition'!$J665*'FA Addition'!$L665,0)</f>
        <v>0</v>
      </c>
      <c r="AA665" s="116">
        <f>SUMIFS('FA Write off'!D:D,'FA Write off'!A:A,'FA Addition'!$A665,'FA Write off'!C:C,"&lt;"&amp;'FA Addition'!$L$1+1,'FA Write off'!C:C,"&gt;"&amp;'FA Addition'!$L$1-365)</f>
        <v>0</v>
      </c>
      <c r="AC665" s="118">
        <f>IFERROR(AA665/'FA Addition'!$J665*'FA Addition'!$L665,0)</f>
        <v>0</v>
      </c>
      <c r="AE665" s="117">
        <f>IF(AND('FA Addition'!$D665&lt;$P$1+1,U665=0),'FA Addition'!$L665,0)-Y665</f>
        <v>0</v>
      </c>
      <c r="AF665" s="117">
        <f t="shared" si="50"/>
        <v>53381.5</v>
      </c>
      <c r="AG665" s="117">
        <f>MIN(MAX(+$P$1-'FA Addition'!$D665,0),365*'FA Addition'!$O665)</f>
        <v>0</v>
      </c>
      <c r="AH665" s="117">
        <f>MIN(MAX($L$1-'FA Addition'!$D665+1,0),365*'FA Addition'!$O665)</f>
        <v>324</v>
      </c>
      <c r="AI665" s="117" cm="1">
        <f t="array" ref="AI665">_xlfn.XLOOKUP(1,('FA Write off'!A:A='FA Addition'!$A665)*('FA Write off'!D:D=AA665),'FA Write off'!H:H,0,0)</f>
        <v>0</v>
      </c>
      <c r="AJ665" s="117">
        <f>IF(AC665&gt;0,MAX(IF('FA Addition'!$N665="SLM",($AC665-'FA Addition'!$M665)*'FA Addition'!$P665*AI665/365,(AC665-'FA Addition'!$M665)*(1-(1-'FA Addition'!$P665)^(AI665/365))),0),0)</f>
        <v>0</v>
      </c>
      <c r="AL665" s="117">
        <f>MAX(IF(AG665&gt;0,IF('FA Addition'!$N665="SLM",($AE665-'FA Addition'!$M665)*'FA Addition'!$P665*AG665/365,IFERROR(VDB(AE665,AE665*0.05,'FA Addition'!$O665,0,YEARFRAC('FA Addition'!$C665,$P$1-1,3),'FA Addition'!$Q665),FAAddition[[#This Row],[Original Cost (Rs)]]-FAAddition[[#This Row],[Salvage Value]])),0),0)</f>
        <v>0</v>
      </c>
      <c r="AM665" s="119"/>
      <c r="AN665" s="117">
        <f>MAX(IF(AH665&gt;0,IF('FA Addition'!$N665="SLM",($AF665-'FA Addition'!$M665)*'FA Addition'!$P665*AH665/365,IFERROR(VDB(AF665,AF665*0.05,'FA Addition'!$O665,0,YEARFRAC('FA Addition'!$C665,$L$1,3),'FA Addition'!$Q665),FAAddition[[#This Row],[Original Cost (Rs)]]-FAAddition[[#This Row],[Salvage Value]])),0),0)</f>
        <v>29836.148441652313</v>
      </c>
      <c r="AO665" s="117">
        <f t="shared" si="53"/>
        <v>29836.148441652313</v>
      </c>
      <c r="AQ665" s="117">
        <f t="shared" si="51"/>
        <v>0</v>
      </c>
      <c r="AR665" s="120">
        <f t="shared" si="52"/>
        <v>23545.351558347687</v>
      </c>
      <c r="AS665" s="121"/>
    </row>
    <row r="666" spans="1:45" ht="13.5" x14ac:dyDescent="0.4">
      <c r="A666" s="12">
        <f t="shared" si="54"/>
        <v>663</v>
      </c>
      <c r="B666" s="64" t="s">
        <v>1308</v>
      </c>
      <c r="C666" s="54">
        <v>45059</v>
      </c>
      <c r="D666" s="54">
        <v>45059</v>
      </c>
      <c r="E666" s="46" t="s">
        <v>451</v>
      </c>
      <c r="F666" s="51" t="s">
        <v>19</v>
      </c>
      <c r="G666" s="51" t="s">
        <v>1290</v>
      </c>
      <c r="H666" s="51" t="s">
        <v>21</v>
      </c>
      <c r="I666" s="55" t="s">
        <v>1375</v>
      </c>
      <c r="J666" s="56">
        <v>1</v>
      </c>
      <c r="K666" s="51" t="s">
        <v>1347</v>
      </c>
      <c r="L666" s="58">
        <v>53381.5</v>
      </c>
      <c r="M666" s="50">
        <f>ROUND('FA Addition'!$L666*5%,0.1)</f>
        <v>2669</v>
      </c>
      <c r="N666" s="113" t="str">
        <f>_xlfn.XLOOKUP(_xlfn.CONCAT(E666,B666),'Year Wise Master Dep Approach'!F:F,'Year Wise Master Dep Approach'!D:D)</f>
        <v>WDV</v>
      </c>
      <c r="O666" s="113">
        <f>_xlfn.XLOOKUP(_xlfn.CONCAT(E666,B666),'Year Wise Master Dep Approach'!F:F,'Year Wise Master Dep Approach'!E:E)</f>
        <v>3</v>
      </c>
      <c r="P666" s="114">
        <f>IFERROR(IF('FA Addition'!$N666="WDV",1-('FA Addition'!$M666/'FA Addition'!$L666)^(1/'FA Addition'!$O666),1/'FA Addition'!$O666),0)</f>
        <v>0.63160030083143237</v>
      </c>
      <c r="Q666" s="122">
        <f>'FA Addition'!$P666*'FA Addition'!$O666</f>
        <v>1.8948009024942971</v>
      </c>
      <c r="R666" s="122"/>
      <c r="S666" s="116">
        <f>IF(AND(DATE(20&amp;LEFT(FAAddition[[#This Row],[FY]],2),4,1)&lt;$L$1+1,DATE(20&amp;LEFT(FAAddition[[#This Row],[FY]],2),4,1)&gt;$P$1-1),'FA Addition'!$J666,0)</f>
        <v>1</v>
      </c>
      <c r="U666" s="117">
        <f>S666*'FA Addition'!$L666/'FA Addition'!$J666</f>
        <v>53381.5</v>
      </c>
      <c r="W666" s="116">
        <f>SUMIFS('FA Write off'!D:D,'FA Write off'!A:A,'FA Addition'!$A666,'FA Write off'!C:C,"&lt;"&amp;'FA Addition'!$P$1)</f>
        <v>0</v>
      </c>
      <c r="Y666" s="191">
        <f>IFERROR(W666/'FA Addition'!$J666*'FA Addition'!$L666,0)</f>
        <v>0</v>
      </c>
      <c r="AA666" s="116">
        <f>SUMIFS('FA Write off'!D:D,'FA Write off'!A:A,'FA Addition'!$A666,'FA Write off'!C:C,"&lt;"&amp;'FA Addition'!$L$1+1,'FA Write off'!C:C,"&gt;"&amp;'FA Addition'!$L$1-365)</f>
        <v>0</v>
      </c>
      <c r="AC666" s="118">
        <f>IFERROR(AA666/'FA Addition'!$J666*'FA Addition'!$L666,0)</f>
        <v>0</v>
      </c>
      <c r="AE666" s="117">
        <f>IF(AND('FA Addition'!$D666&lt;$P$1+1,U666=0),'FA Addition'!$L666,0)-Y666</f>
        <v>0</v>
      </c>
      <c r="AF666" s="117">
        <f t="shared" si="50"/>
        <v>53381.5</v>
      </c>
      <c r="AG666" s="117">
        <f>MIN(MAX(+$P$1-'FA Addition'!$D666,0),365*'FA Addition'!$O666)</f>
        <v>0</v>
      </c>
      <c r="AH666" s="117">
        <f>MIN(MAX($L$1-'FA Addition'!$D666+1,0),365*'FA Addition'!$O666)</f>
        <v>324</v>
      </c>
      <c r="AI666" s="117" cm="1">
        <f t="array" ref="AI666">_xlfn.XLOOKUP(1,('FA Write off'!A:A='FA Addition'!$A666)*('FA Write off'!D:D=AA666),'FA Write off'!H:H,0,0)</f>
        <v>0</v>
      </c>
      <c r="AJ666" s="117">
        <f>IF(AC666&gt;0,MAX(IF('FA Addition'!$N666="SLM",($AC666-'FA Addition'!$M666)*'FA Addition'!$P666*AI666/365,(AC666-'FA Addition'!$M666)*(1-(1-'FA Addition'!$P666)^(AI666/365))),0),0)</f>
        <v>0</v>
      </c>
      <c r="AL666" s="117">
        <f>MAX(IF(AG666&gt;0,IF('FA Addition'!$N666="SLM",($AE666-'FA Addition'!$M666)*'FA Addition'!$P666*AG666/365,IFERROR(VDB(AE666,AE666*0.05,'FA Addition'!$O666,0,YEARFRAC('FA Addition'!$C666,$P$1-1,3),'FA Addition'!$Q666),FAAddition[[#This Row],[Original Cost (Rs)]]-FAAddition[[#This Row],[Salvage Value]])),0),0)</f>
        <v>0</v>
      </c>
      <c r="AM666" s="119"/>
      <c r="AN666" s="117">
        <f>MAX(IF(AH666&gt;0,IF('FA Addition'!$N666="SLM",($AF666-'FA Addition'!$M666)*'FA Addition'!$P666*AH666/365,IFERROR(VDB(AF666,AF666*0.05,'FA Addition'!$O666,0,YEARFRAC('FA Addition'!$C666,$L$1,3),'FA Addition'!$Q666),FAAddition[[#This Row],[Original Cost (Rs)]]-FAAddition[[#This Row],[Salvage Value]])),0),0)</f>
        <v>29836.148441652313</v>
      </c>
      <c r="AO666" s="117">
        <f t="shared" si="53"/>
        <v>29836.148441652313</v>
      </c>
      <c r="AQ666" s="117">
        <f t="shared" si="51"/>
        <v>0</v>
      </c>
      <c r="AR666" s="120">
        <f t="shared" si="52"/>
        <v>23545.351558347687</v>
      </c>
      <c r="AS666" s="121"/>
    </row>
    <row r="667" spans="1:45" ht="13.5" x14ac:dyDescent="0.4">
      <c r="A667" s="12">
        <f t="shared" si="54"/>
        <v>664</v>
      </c>
      <c r="B667" s="64" t="s">
        <v>1308</v>
      </c>
      <c r="C667" s="54">
        <v>45059</v>
      </c>
      <c r="D667" s="54">
        <v>45059</v>
      </c>
      <c r="E667" s="46" t="s">
        <v>451</v>
      </c>
      <c r="F667" s="51" t="s">
        <v>19</v>
      </c>
      <c r="G667" s="51" t="s">
        <v>1290</v>
      </c>
      <c r="H667" s="51" t="s">
        <v>21</v>
      </c>
      <c r="I667" s="55" t="s">
        <v>1375</v>
      </c>
      <c r="J667" s="56">
        <v>1</v>
      </c>
      <c r="K667" s="51" t="s">
        <v>1376</v>
      </c>
      <c r="L667" s="58">
        <v>30932.166666666668</v>
      </c>
      <c r="M667" s="50">
        <f>ROUND('FA Addition'!$L667*5%,0.1)</f>
        <v>1547</v>
      </c>
      <c r="N667" s="113" t="str">
        <f>_xlfn.XLOOKUP(_xlfn.CONCAT(E667,B667),'Year Wise Master Dep Approach'!F:F,'Year Wise Master Dep Approach'!D:D)</f>
        <v>WDV</v>
      </c>
      <c r="O667" s="113">
        <f>_xlfn.XLOOKUP(_xlfn.CONCAT(E667,B667),'Year Wise Master Dep Approach'!F:F,'Year Wise Master Dep Approach'!E:E)</f>
        <v>3</v>
      </c>
      <c r="P667" s="114">
        <f>IFERROR(IF('FA Addition'!$N667="WDV",1-('FA Addition'!$M667/'FA Addition'!$L667)^(1/'FA Addition'!$O667),1/'FA Addition'!$O667),0)</f>
        <v>0.63156575433920281</v>
      </c>
      <c r="Q667" s="122">
        <f>'FA Addition'!$P667*'FA Addition'!$O667</f>
        <v>1.8946972630176084</v>
      </c>
      <c r="R667" s="122"/>
      <c r="S667" s="116">
        <f>IF(AND(DATE(20&amp;LEFT(FAAddition[[#This Row],[FY]],2),4,1)&lt;$L$1+1,DATE(20&amp;LEFT(FAAddition[[#This Row],[FY]],2),4,1)&gt;$P$1-1),'FA Addition'!$J667,0)</f>
        <v>1</v>
      </c>
      <c r="U667" s="117">
        <f>S667*'FA Addition'!$L667/'FA Addition'!$J667</f>
        <v>30932.166666666668</v>
      </c>
      <c r="W667" s="116">
        <f>SUMIFS('FA Write off'!D:D,'FA Write off'!A:A,'FA Addition'!$A667,'FA Write off'!C:C,"&lt;"&amp;'FA Addition'!$P$1)</f>
        <v>0</v>
      </c>
      <c r="Y667" s="191">
        <f>IFERROR(W667/'FA Addition'!$J667*'FA Addition'!$L667,0)</f>
        <v>0</v>
      </c>
      <c r="AA667" s="116">
        <f>SUMIFS('FA Write off'!D:D,'FA Write off'!A:A,'FA Addition'!$A667,'FA Write off'!C:C,"&lt;"&amp;'FA Addition'!$L$1+1,'FA Write off'!C:C,"&gt;"&amp;'FA Addition'!$L$1-365)</f>
        <v>0</v>
      </c>
      <c r="AC667" s="118">
        <f>IFERROR(AA667/'FA Addition'!$J667*'FA Addition'!$L667,0)</f>
        <v>0</v>
      </c>
      <c r="AE667" s="117">
        <f>IF(AND('FA Addition'!$D667&lt;$P$1+1,U667=0),'FA Addition'!$L667,0)-Y667</f>
        <v>0</v>
      </c>
      <c r="AF667" s="117">
        <f t="shared" si="50"/>
        <v>30932.166666666668</v>
      </c>
      <c r="AG667" s="117">
        <f>MIN(MAX(+$P$1-'FA Addition'!$D667,0),365*'FA Addition'!$O667)</f>
        <v>0</v>
      </c>
      <c r="AH667" s="117">
        <f>MIN(MAX($L$1-'FA Addition'!$D667+1,0),365*'FA Addition'!$O667)</f>
        <v>324</v>
      </c>
      <c r="AI667" s="117" cm="1">
        <f t="array" ref="AI667">_xlfn.XLOOKUP(1,('FA Write off'!A:A='FA Addition'!$A667)*('FA Write off'!D:D=AA667),'FA Write off'!H:H,0,0)</f>
        <v>0</v>
      </c>
      <c r="AJ667" s="117">
        <f>IF(AC667&gt;0,MAX(IF('FA Addition'!$N667="SLM",($AC667-'FA Addition'!$M667)*'FA Addition'!$P667*AI667/365,(AC667-'FA Addition'!$M667)*(1-(1-'FA Addition'!$P667)^(AI667/365))),0),0)</f>
        <v>0</v>
      </c>
      <c r="AL667" s="117">
        <f>MAX(IF(AG667&gt;0,IF('FA Addition'!$N667="SLM",($AE667-'FA Addition'!$M667)*'FA Addition'!$P667*AG667/365,IFERROR(VDB(AE667,AE667*0.05,'FA Addition'!$O667,0,YEARFRAC('FA Addition'!$C667,$P$1-1,3),'FA Addition'!$Q667),FAAddition[[#This Row],[Original Cost (Rs)]]-FAAddition[[#This Row],[Salvage Value]])),0),0)</f>
        <v>0</v>
      </c>
      <c r="AM667" s="119"/>
      <c r="AN667" s="117">
        <f>MAX(IF(AH667&gt;0,IF('FA Addition'!$N667="SLM",($AF667-'FA Addition'!$M667)*'FA Addition'!$P667*AH667/365,IFERROR(VDB(AF667,AF667*0.05,'FA Addition'!$O667,0,YEARFRAC('FA Addition'!$C667,$L$1,3),'FA Addition'!$Q667),FAAddition[[#This Row],[Original Cost (Rs)]]-FAAddition[[#This Row],[Salvage Value]])),0),0)</f>
        <v>17287.753937698377</v>
      </c>
      <c r="AO667" s="117">
        <f t="shared" si="53"/>
        <v>17287.753937698377</v>
      </c>
      <c r="AQ667" s="117">
        <f t="shared" si="51"/>
        <v>0</v>
      </c>
      <c r="AR667" s="120">
        <f t="shared" si="52"/>
        <v>13644.412728968291</v>
      </c>
      <c r="AS667" s="121"/>
    </row>
    <row r="668" spans="1:45" ht="13.5" x14ac:dyDescent="0.4">
      <c r="A668" s="12">
        <f t="shared" si="54"/>
        <v>665</v>
      </c>
      <c r="B668" s="64" t="s">
        <v>1308</v>
      </c>
      <c r="C668" s="54">
        <v>45059</v>
      </c>
      <c r="D668" s="54">
        <v>45059</v>
      </c>
      <c r="E668" s="46" t="s">
        <v>451</v>
      </c>
      <c r="F668" s="51" t="s">
        <v>19</v>
      </c>
      <c r="G668" s="51" t="s">
        <v>1290</v>
      </c>
      <c r="H668" s="51" t="s">
        <v>21</v>
      </c>
      <c r="I668" s="55" t="s">
        <v>1375</v>
      </c>
      <c r="J668" s="56">
        <v>1</v>
      </c>
      <c r="K668" s="51" t="s">
        <v>1376</v>
      </c>
      <c r="L668" s="58">
        <v>30932.166666666668</v>
      </c>
      <c r="M668" s="50">
        <f>ROUND('FA Addition'!$L668*5%,0.1)</f>
        <v>1547</v>
      </c>
      <c r="N668" s="113" t="str">
        <f>_xlfn.XLOOKUP(_xlfn.CONCAT(E668,B668),'Year Wise Master Dep Approach'!F:F,'Year Wise Master Dep Approach'!D:D)</f>
        <v>WDV</v>
      </c>
      <c r="O668" s="113">
        <f>_xlfn.XLOOKUP(_xlfn.CONCAT(E668,B668),'Year Wise Master Dep Approach'!F:F,'Year Wise Master Dep Approach'!E:E)</f>
        <v>3</v>
      </c>
      <c r="P668" s="114">
        <f>IFERROR(IF('FA Addition'!$N668="WDV",1-('FA Addition'!$M668/'FA Addition'!$L668)^(1/'FA Addition'!$O668),1/'FA Addition'!$O668),0)</f>
        <v>0.63156575433920281</v>
      </c>
      <c r="Q668" s="122">
        <f>'FA Addition'!$P668*'FA Addition'!$O668</f>
        <v>1.8946972630176084</v>
      </c>
      <c r="R668" s="122"/>
      <c r="S668" s="116">
        <f>IF(AND(DATE(20&amp;LEFT(FAAddition[[#This Row],[FY]],2),4,1)&lt;$L$1+1,DATE(20&amp;LEFT(FAAddition[[#This Row],[FY]],2),4,1)&gt;$P$1-1),'FA Addition'!$J668,0)</f>
        <v>1</v>
      </c>
      <c r="U668" s="117">
        <f>S668*'FA Addition'!$L668/'FA Addition'!$J668</f>
        <v>30932.166666666668</v>
      </c>
      <c r="W668" s="116">
        <f>SUMIFS('FA Write off'!D:D,'FA Write off'!A:A,'FA Addition'!$A668,'FA Write off'!C:C,"&lt;"&amp;'FA Addition'!$P$1)</f>
        <v>0</v>
      </c>
      <c r="Y668" s="191">
        <f>IFERROR(W668/'FA Addition'!$J668*'FA Addition'!$L668,0)</f>
        <v>0</v>
      </c>
      <c r="AA668" s="116">
        <f>SUMIFS('FA Write off'!D:D,'FA Write off'!A:A,'FA Addition'!$A668,'FA Write off'!C:C,"&lt;"&amp;'FA Addition'!$L$1+1,'FA Write off'!C:C,"&gt;"&amp;'FA Addition'!$L$1-365)</f>
        <v>0</v>
      </c>
      <c r="AC668" s="118">
        <f>IFERROR(AA668/'FA Addition'!$J668*'FA Addition'!$L668,0)</f>
        <v>0</v>
      </c>
      <c r="AE668" s="117">
        <f>IF(AND('FA Addition'!$D668&lt;$P$1+1,U668=0),'FA Addition'!$L668,0)-Y668</f>
        <v>0</v>
      </c>
      <c r="AF668" s="117">
        <f t="shared" si="50"/>
        <v>30932.166666666668</v>
      </c>
      <c r="AG668" s="117">
        <f>MIN(MAX(+$P$1-'FA Addition'!$D668,0),365*'FA Addition'!$O668)</f>
        <v>0</v>
      </c>
      <c r="AH668" s="117">
        <f>MIN(MAX($L$1-'FA Addition'!$D668+1,0),365*'FA Addition'!$O668)</f>
        <v>324</v>
      </c>
      <c r="AI668" s="117" cm="1">
        <f t="array" ref="AI668">_xlfn.XLOOKUP(1,('FA Write off'!A:A='FA Addition'!$A668)*('FA Write off'!D:D=AA668),'FA Write off'!H:H,0,0)</f>
        <v>0</v>
      </c>
      <c r="AJ668" s="117">
        <f>IF(AC668&gt;0,MAX(IF('FA Addition'!$N668="SLM",($AC668-'FA Addition'!$M668)*'FA Addition'!$P668*AI668/365,(AC668-'FA Addition'!$M668)*(1-(1-'FA Addition'!$P668)^(AI668/365))),0),0)</f>
        <v>0</v>
      </c>
      <c r="AL668" s="117">
        <f>MAX(IF(AG668&gt;0,IF('FA Addition'!$N668="SLM",($AE668-'FA Addition'!$M668)*'FA Addition'!$P668*AG668/365,IFERROR(VDB(AE668,AE668*0.05,'FA Addition'!$O668,0,YEARFRAC('FA Addition'!$C668,$P$1-1,3),'FA Addition'!$Q668),FAAddition[[#This Row],[Original Cost (Rs)]]-FAAddition[[#This Row],[Salvage Value]])),0),0)</f>
        <v>0</v>
      </c>
      <c r="AM668" s="119"/>
      <c r="AN668" s="117">
        <f>MAX(IF(AH668&gt;0,IF('FA Addition'!$N668="SLM",($AF668-'FA Addition'!$M668)*'FA Addition'!$P668*AH668/365,IFERROR(VDB(AF668,AF668*0.05,'FA Addition'!$O668,0,YEARFRAC('FA Addition'!$C668,$L$1,3),'FA Addition'!$Q668),FAAddition[[#This Row],[Original Cost (Rs)]]-FAAddition[[#This Row],[Salvage Value]])),0),0)</f>
        <v>17287.753937698377</v>
      </c>
      <c r="AO668" s="117">
        <f t="shared" si="53"/>
        <v>17287.753937698377</v>
      </c>
      <c r="AQ668" s="117">
        <f t="shared" si="51"/>
        <v>0</v>
      </c>
      <c r="AR668" s="120">
        <f t="shared" si="52"/>
        <v>13644.412728968291</v>
      </c>
      <c r="AS668" s="121"/>
    </row>
    <row r="669" spans="1:45" ht="13.5" x14ac:dyDescent="0.4">
      <c r="A669" s="12">
        <f t="shared" si="54"/>
        <v>666</v>
      </c>
      <c r="B669" s="64" t="s">
        <v>1308</v>
      </c>
      <c r="C669" s="54">
        <v>45059</v>
      </c>
      <c r="D669" s="54">
        <v>45059</v>
      </c>
      <c r="E669" s="46" t="s">
        <v>451</v>
      </c>
      <c r="F669" s="51" t="s">
        <v>19</v>
      </c>
      <c r="G669" s="51" t="s">
        <v>1290</v>
      </c>
      <c r="H669" s="51" t="s">
        <v>21</v>
      </c>
      <c r="I669" s="55" t="s">
        <v>1375</v>
      </c>
      <c r="J669" s="56">
        <v>1</v>
      </c>
      <c r="K669" s="51" t="s">
        <v>1376</v>
      </c>
      <c r="L669" s="58">
        <v>30932.166666666668</v>
      </c>
      <c r="M669" s="50">
        <f>ROUND('FA Addition'!$L669*5%,0.1)</f>
        <v>1547</v>
      </c>
      <c r="N669" s="113" t="str">
        <f>_xlfn.XLOOKUP(_xlfn.CONCAT(E669,B669),'Year Wise Master Dep Approach'!F:F,'Year Wise Master Dep Approach'!D:D)</f>
        <v>WDV</v>
      </c>
      <c r="O669" s="113">
        <f>_xlfn.XLOOKUP(_xlfn.CONCAT(E669,B669),'Year Wise Master Dep Approach'!F:F,'Year Wise Master Dep Approach'!E:E)</f>
        <v>3</v>
      </c>
      <c r="P669" s="114">
        <f>IFERROR(IF('FA Addition'!$N669="WDV",1-('FA Addition'!$M669/'FA Addition'!$L669)^(1/'FA Addition'!$O669),1/'FA Addition'!$O669),0)</f>
        <v>0.63156575433920281</v>
      </c>
      <c r="Q669" s="122">
        <f>'FA Addition'!$P669*'FA Addition'!$O669</f>
        <v>1.8946972630176084</v>
      </c>
      <c r="R669" s="122"/>
      <c r="S669" s="116">
        <f>IF(AND(DATE(20&amp;LEFT(FAAddition[[#This Row],[FY]],2),4,1)&lt;$L$1+1,DATE(20&amp;LEFT(FAAddition[[#This Row],[FY]],2),4,1)&gt;$P$1-1),'FA Addition'!$J669,0)</f>
        <v>1</v>
      </c>
      <c r="U669" s="117">
        <f>S669*'FA Addition'!$L669/'FA Addition'!$J669</f>
        <v>30932.166666666668</v>
      </c>
      <c r="W669" s="116">
        <f>SUMIFS('FA Write off'!D:D,'FA Write off'!A:A,'FA Addition'!$A669,'FA Write off'!C:C,"&lt;"&amp;'FA Addition'!$P$1)</f>
        <v>0</v>
      </c>
      <c r="Y669" s="191">
        <f>IFERROR(W669/'FA Addition'!$J669*'FA Addition'!$L669,0)</f>
        <v>0</v>
      </c>
      <c r="AA669" s="116">
        <f>SUMIFS('FA Write off'!D:D,'FA Write off'!A:A,'FA Addition'!$A669,'FA Write off'!C:C,"&lt;"&amp;'FA Addition'!$L$1+1,'FA Write off'!C:C,"&gt;"&amp;'FA Addition'!$L$1-365)</f>
        <v>0</v>
      </c>
      <c r="AC669" s="118">
        <f>IFERROR(AA669/'FA Addition'!$J669*'FA Addition'!$L669,0)</f>
        <v>0</v>
      </c>
      <c r="AE669" s="117">
        <f>IF(AND('FA Addition'!$D669&lt;$P$1+1,U669=0),'FA Addition'!$L669,0)-Y669</f>
        <v>0</v>
      </c>
      <c r="AF669" s="117">
        <f t="shared" si="50"/>
        <v>30932.166666666668</v>
      </c>
      <c r="AG669" s="117">
        <f>MIN(MAX(+$P$1-'FA Addition'!$D669,0),365*'FA Addition'!$O669)</f>
        <v>0</v>
      </c>
      <c r="AH669" s="117">
        <f>MIN(MAX($L$1-'FA Addition'!$D669+1,0),365*'FA Addition'!$O669)</f>
        <v>324</v>
      </c>
      <c r="AI669" s="117" cm="1">
        <f t="array" ref="AI669">_xlfn.XLOOKUP(1,('FA Write off'!A:A='FA Addition'!$A669)*('FA Write off'!D:D=AA669),'FA Write off'!H:H,0,0)</f>
        <v>0</v>
      </c>
      <c r="AJ669" s="117">
        <f>IF(AC669&gt;0,MAX(IF('FA Addition'!$N669="SLM",($AC669-'FA Addition'!$M669)*'FA Addition'!$P669*AI669/365,(AC669-'FA Addition'!$M669)*(1-(1-'FA Addition'!$P669)^(AI669/365))),0),0)</f>
        <v>0</v>
      </c>
      <c r="AL669" s="117">
        <f>MAX(IF(AG669&gt;0,IF('FA Addition'!$N669="SLM",($AE669-'FA Addition'!$M669)*'FA Addition'!$P669*AG669/365,IFERROR(VDB(AE669,AE669*0.05,'FA Addition'!$O669,0,YEARFRAC('FA Addition'!$C669,$P$1-1,3),'FA Addition'!$Q669),FAAddition[[#This Row],[Original Cost (Rs)]]-FAAddition[[#This Row],[Salvage Value]])),0),0)</f>
        <v>0</v>
      </c>
      <c r="AM669" s="119"/>
      <c r="AN669" s="117">
        <f>MAX(IF(AH669&gt;0,IF('FA Addition'!$N669="SLM",($AF669-'FA Addition'!$M669)*'FA Addition'!$P669*AH669/365,IFERROR(VDB(AF669,AF669*0.05,'FA Addition'!$O669,0,YEARFRAC('FA Addition'!$C669,$L$1,3),'FA Addition'!$Q669),FAAddition[[#This Row],[Original Cost (Rs)]]-FAAddition[[#This Row],[Salvage Value]])),0),0)</f>
        <v>17287.753937698377</v>
      </c>
      <c r="AO669" s="117">
        <f t="shared" si="53"/>
        <v>17287.753937698377</v>
      </c>
      <c r="AQ669" s="117">
        <f t="shared" si="51"/>
        <v>0</v>
      </c>
      <c r="AR669" s="120">
        <f t="shared" si="52"/>
        <v>13644.412728968291</v>
      </c>
      <c r="AS669" s="121"/>
    </row>
    <row r="670" spans="1:45" ht="13.5" x14ac:dyDescent="0.4">
      <c r="A670" s="12">
        <f t="shared" si="54"/>
        <v>667</v>
      </c>
      <c r="B670" s="64" t="s">
        <v>1308</v>
      </c>
      <c r="C670" s="54">
        <v>45059</v>
      </c>
      <c r="D670" s="54">
        <v>45059</v>
      </c>
      <c r="E670" s="46" t="s">
        <v>451</v>
      </c>
      <c r="F670" s="51" t="s">
        <v>19</v>
      </c>
      <c r="G670" s="51" t="s">
        <v>1290</v>
      </c>
      <c r="H670" s="51" t="s">
        <v>21</v>
      </c>
      <c r="I670" s="55" t="s">
        <v>1375</v>
      </c>
      <c r="J670" s="56">
        <v>1</v>
      </c>
      <c r="K670" s="51" t="s">
        <v>1376</v>
      </c>
      <c r="L670" s="58">
        <v>30932.166666666668</v>
      </c>
      <c r="M670" s="50">
        <f>ROUND('FA Addition'!$L670*5%,0.1)</f>
        <v>1547</v>
      </c>
      <c r="N670" s="113" t="str">
        <f>_xlfn.XLOOKUP(_xlfn.CONCAT(E670,B670),'Year Wise Master Dep Approach'!F:F,'Year Wise Master Dep Approach'!D:D)</f>
        <v>WDV</v>
      </c>
      <c r="O670" s="113">
        <f>_xlfn.XLOOKUP(_xlfn.CONCAT(E670,B670),'Year Wise Master Dep Approach'!F:F,'Year Wise Master Dep Approach'!E:E)</f>
        <v>3</v>
      </c>
      <c r="P670" s="114">
        <f>IFERROR(IF('FA Addition'!$N670="WDV",1-('FA Addition'!$M670/'FA Addition'!$L670)^(1/'FA Addition'!$O670),1/'FA Addition'!$O670),0)</f>
        <v>0.63156575433920281</v>
      </c>
      <c r="Q670" s="122">
        <f>'FA Addition'!$P670*'FA Addition'!$O670</f>
        <v>1.8946972630176084</v>
      </c>
      <c r="R670" s="122"/>
      <c r="S670" s="116">
        <f>IF(AND(DATE(20&amp;LEFT(FAAddition[[#This Row],[FY]],2),4,1)&lt;$L$1+1,DATE(20&amp;LEFT(FAAddition[[#This Row],[FY]],2),4,1)&gt;$P$1-1),'FA Addition'!$J670,0)</f>
        <v>1</v>
      </c>
      <c r="U670" s="117">
        <f>S670*'FA Addition'!$L670/'FA Addition'!$J670</f>
        <v>30932.166666666668</v>
      </c>
      <c r="W670" s="116">
        <f>SUMIFS('FA Write off'!D:D,'FA Write off'!A:A,'FA Addition'!$A670,'FA Write off'!C:C,"&lt;"&amp;'FA Addition'!$P$1)</f>
        <v>0</v>
      </c>
      <c r="Y670" s="191">
        <f>IFERROR(W670/'FA Addition'!$J670*'FA Addition'!$L670,0)</f>
        <v>0</v>
      </c>
      <c r="AA670" s="116">
        <f>SUMIFS('FA Write off'!D:D,'FA Write off'!A:A,'FA Addition'!$A670,'FA Write off'!C:C,"&lt;"&amp;'FA Addition'!$L$1+1,'FA Write off'!C:C,"&gt;"&amp;'FA Addition'!$L$1-365)</f>
        <v>0</v>
      </c>
      <c r="AC670" s="118">
        <f>IFERROR(AA670/'FA Addition'!$J670*'FA Addition'!$L670,0)</f>
        <v>0</v>
      </c>
      <c r="AE670" s="117">
        <f>IF(AND('FA Addition'!$D670&lt;$P$1+1,U670=0),'FA Addition'!$L670,0)-Y670</f>
        <v>0</v>
      </c>
      <c r="AF670" s="117">
        <f t="shared" si="50"/>
        <v>30932.166666666668</v>
      </c>
      <c r="AG670" s="117">
        <f>MIN(MAX(+$P$1-'FA Addition'!$D670,0),365*'FA Addition'!$O670)</f>
        <v>0</v>
      </c>
      <c r="AH670" s="117">
        <f>MIN(MAX($L$1-'FA Addition'!$D670+1,0),365*'FA Addition'!$O670)</f>
        <v>324</v>
      </c>
      <c r="AI670" s="117" cm="1">
        <f t="array" ref="AI670">_xlfn.XLOOKUP(1,('FA Write off'!A:A='FA Addition'!$A670)*('FA Write off'!D:D=AA670),'FA Write off'!H:H,0,0)</f>
        <v>0</v>
      </c>
      <c r="AJ670" s="117">
        <f>IF(AC670&gt;0,MAX(IF('FA Addition'!$N670="SLM",($AC670-'FA Addition'!$M670)*'FA Addition'!$P670*AI670/365,(AC670-'FA Addition'!$M670)*(1-(1-'FA Addition'!$P670)^(AI670/365))),0),0)</f>
        <v>0</v>
      </c>
      <c r="AL670" s="117">
        <f>MAX(IF(AG670&gt;0,IF('FA Addition'!$N670="SLM",($AE670-'FA Addition'!$M670)*'FA Addition'!$P670*AG670/365,IFERROR(VDB(AE670,AE670*0.05,'FA Addition'!$O670,0,YEARFRAC('FA Addition'!$C670,$P$1-1,3),'FA Addition'!$Q670),FAAddition[[#This Row],[Original Cost (Rs)]]-FAAddition[[#This Row],[Salvage Value]])),0),0)</f>
        <v>0</v>
      </c>
      <c r="AM670" s="119"/>
      <c r="AN670" s="117">
        <f>MAX(IF(AH670&gt;0,IF('FA Addition'!$N670="SLM",($AF670-'FA Addition'!$M670)*'FA Addition'!$P670*AH670/365,IFERROR(VDB(AF670,AF670*0.05,'FA Addition'!$O670,0,YEARFRAC('FA Addition'!$C670,$L$1,3),'FA Addition'!$Q670),FAAddition[[#This Row],[Original Cost (Rs)]]-FAAddition[[#This Row],[Salvage Value]])),0),0)</f>
        <v>17287.753937698377</v>
      </c>
      <c r="AO670" s="117">
        <f t="shared" si="53"/>
        <v>17287.753937698377</v>
      </c>
      <c r="AQ670" s="117">
        <f t="shared" si="51"/>
        <v>0</v>
      </c>
      <c r="AR670" s="120">
        <f t="shared" si="52"/>
        <v>13644.412728968291</v>
      </c>
      <c r="AS670" s="121"/>
    </row>
    <row r="671" spans="1:45" ht="13.5" x14ac:dyDescent="0.4">
      <c r="A671" s="12">
        <f t="shared" si="54"/>
        <v>668</v>
      </c>
      <c r="B671" s="64" t="s">
        <v>1308</v>
      </c>
      <c r="C671" s="54">
        <v>45059</v>
      </c>
      <c r="D671" s="54">
        <v>45059</v>
      </c>
      <c r="E671" s="46" t="s">
        <v>451</v>
      </c>
      <c r="F671" s="51" t="s">
        <v>19</v>
      </c>
      <c r="G671" s="51" t="s">
        <v>1290</v>
      </c>
      <c r="H671" s="51" t="s">
        <v>21</v>
      </c>
      <c r="I671" s="55" t="s">
        <v>1375</v>
      </c>
      <c r="J671" s="56">
        <v>1</v>
      </c>
      <c r="K671" s="51" t="s">
        <v>1376</v>
      </c>
      <c r="L671" s="58">
        <v>30932.166666666668</v>
      </c>
      <c r="M671" s="50">
        <f>ROUND('FA Addition'!$L671*5%,0.1)</f>
        <v>1547</v>
      </c>
      <c r="N671" s="113" t="str">
        <f>_xlfn.XLOOKUP(_xlfn.CONCAT(E671,B671),'Year Wise Master Dep Approach'!F:F,'Year Wise Master Dep Approach'!D:D)</f>
        <v>WDV</v>
      </c>
      <c r="O671" s="113">
        <f>_xlfn.XLOOKUP(_xlfn.CONCAT(E671,B671),'Year Wise Master Dep Approach'!F:F,'Year Wise Master Dep Approach'!E:E)</f>
        <v>3</v>
      </c>
      <c r="P671" s="114">
        <f>IFERROR(IF('FA Addition'!$N671="WDV",1-('FA Addition'!$M671/'FA Addition'!$L671)^(1/'FA Addition'!$O671),1/'FA Addition'!$O671),0)</f>
        <v>0.63156575433920281</v>
      </c>
      <c r="Q671" s="122">
        <f>'FA Addition'!$P671*'FA Addition'!$O671</f>
        <v>1.8946972630176084</v>
      </c>
      <c r="R671" s="122"/>
      <c r="S671" s="116">
        <f>IF(AND(DATE(20&amp;LEFT(FAAddition[[#This Row],[FY]],2),4,1)&lt;$L$1+1,DATE(20&amp;LEFT(FAAddition[[#This Row],[FY]],2),4,1)&gt;$P$1-1),'FA Addition'!$J671,0)</f>
        <v>1</v>
      </c>
      <c r="U671" s="117">
        <f>S671*'FA Addition'!$L671/'FA Addition'!$J671</f>
        <v>30932.166666666668</v>
      </c>
      <c r="W671" s="116">
        <f>SUMIFS('FA Write off'!D:D,'FA Write off'!A:A,'FA Addition'!$A671,'FA Write off'!C:C,"&lt;"&amp;'FA Addition'!$P$1)</f>
        <v>0</v>
      </c>
      <c r="Y671" s="191">
        <f>IFERROR(W671/'FA Addition'!$J671*'FA Addition'!$L671,0)</f>
        <v>0</v>
      </c>
      <c r="AA671" s="116">
        <f>SUMIFS('FA Write off'!D:D,'FA Write off'!A:A,'FA Addition'!$A671,'FA Write off'!C:C,"&lt;"&amp;'FA Addition'!$L$1+1,'FA Write off'!C:C,"&gt;"&amp;'FA Addition'!$L$1-365)</f>
        <v>0</v>
      </c>
      <c r="AC671" s="118">
        <f>IFERROR(AA671/'FA Addition'!$J671*'FA Addition'!$L671,0)</f>
        <v>0</v>
      </c>
      <c r="AE671" s="117">
        <f>IF(AND('FA Addition'!$D671&lt;$P$1+1,U671=0),'FA Addition'!$L671,0)-Y671</f>
        <v>0</v>
      </c>
      <c r="AF671" s="117">
        <f t="shared" si="50"/>
        <v>30932.166666666668</v>
      </c>
      <c r="AG671" s="117">
        <f>MIN(MAX(+$P$1-'FA Addition'!$D671,0),365*'FA Addition'!$O671)</f>
        <v>0</v>
      </c>
      <c r="AH671" s="117">
        <f>MIN(MAX($L$1-'FA Addition'!$D671+1,0),365*'FA Addition'!$O671)</f>
        <v>324</v>
      </c>
      <c r="AI671" s="117" cm="1">
        <f t="array" ref="AI671">_xlfn.XLOOKUP(1,('FA Write off'!A:A='FA Addition'!$A671)*('FA Write off'!D:D=AA671),'FA Write off'!H:H,0,0)</f>
        <v>0</v>
      </c>
      <c r="AJ671" s="117">
        <f>IF(AC671&gt;0,MAX(IF('FA Addition'!$N671="SLM",($AC671-'FA Addition'!$M671)*'FA Addition'!$P671*AI671/365,(AC671-'FA Addition'!$M671)*(1-(1-'FA Addition'!$P671)^(AI671/365))),0),0)</f>
        <v>0</v>
      </c>
      <c r="AL671" s="117">
        <f>MAX(IF(AG671&gt;0,IF('FA Addition'!$N671="SLM",($AE671-'FA Addition'!$M671)*'FA Addition'!$P671*AG671/365,IFERROR(VDB(AE671,AE671*0.05,'FA Addition'!$O671,0,YEARFRAC('FA Addition'!$C671,$P$1-1,3),'FA Addition'!$Q671),FAAddition[[#This Row],[Original Cost (Rs)]]-FAAddition[[#This Row],[Salvage Value]])),0),0)</f>
        <v>0</v>
      </c>
      <c r="AM671" s="119"/>
      <c r="AN671" s="117">
        <f>MAX(IF(AH671&gt;0,IF('FA Addition'!$N671="SLM",($AF671-'FA Addition'!$M671)*'FA Addition'!$P671*AH671/365,IFERROR(VDB(AF671,AF671*0.05,'FA Addition'!$O671,0,YEARFRAC('FA Addition'!$C671,$L$1,3),'FA Addition'!$Q671),FAAddition[[#This Row],[Original Cost (Rs)]]-FAAddition[[#This Row],[Salvage Value]])),0),0)</f>
        <v>17287.753937698377</v>
      </c>
      <c r="AO671" s="117">
        <f t="shared" si="53"/>
        <v>17287.753937698377</v>
      </c>
      <c r="AQ671" s="117">
        <f t="shared" si="51"/>
        <v>0</v>
      </c>
      <c r="AR671" s="120">
        <f t="shared" si="52"/>
        <v>13644.412728968291</v>
      </c>
      <c r="AS671" s="121"/>
    </row>
    <row r="672" spans="1:45" ht="13.5" x14ac:dyDescent="0.4">
      <c r="A672" s="12">
        <f t="shared" si="54"/>
        <v>669</v>
      </c>
      <c r="B672" s="64" t="s">
        <v>1308</v>
      </c>
      <c r="C672" s="54">
        <v>45059</v>
      </c>
      <c r="D672" s="54">
        <v>45059</v>
      </c>
      <c r="E672" s="46" t="s">
        <v>451</v>
      </c>
      <c r="F672" s="51" t="s">
        <v>19</v>
      </c>
      <c r="G672" s="51" t="s">
        <v>1290</v>
      </c>
      <c r="H672" s="51" t="s">
        <v>21</v>
      </c>
      <c r="I672" s="55" t="s">
        <v>1375</v>
      </c>
      <c r="J672" s="56">
        <v>1</v>
      </c>
      <c r="K672" s="51" t="s">
        <v>1376</v>
      </c>
      <c r="L672" s="58">
        <v>30932.166666666668</v>
      </c>
      <c r="M672" s="50">
        <f>ROUND('FA Addition'!$L672*5%,0.1)</f>
        <v>1547</v>
      </c>
      <c r="N672" s="113" t="str">
        <f>_xlfn.XLOOKUP(_xlfn.CONCAT(E672,B672),'Year Wise Master Dep Approach'!F:F,'Year Wise Master Dep Approach'!D:D)</f>
        <v>WDV</v>
      </c>
      <c r="O672" s="113">
        <f>_xlfn.XLOOKUP(_xlfn.CONCAT(E672,B672),'Year Wise Master Dep Approach'!F:F,'Year Wise Master Dep Approach'!E:E)</f>
        <v>3</v>
      </c>
      <c r="P672" s="114">
        <f>IFERROR(IF('FA Addition'!$N672="WDV",1-('FA Addition'!$M672/'FA Addition'!$L672)^(1/'FA Addition'!$O672),1/'FA Addition'!$O672),0)</f>
        <v>0.63156575433920281</v>
      </c>
      <c r="Q672" s="122">
        <f>'FA Addition'!$P672*'FA Addition'!$O672</f>
        <v>1.8946972630176084</v>
      </c>
      <c r="R672" s="122"/>
      <c r="S672" s="116">
        <f>IF(AND(DATE(20&amp;LEFT(FAAddition[[#This Row],[FY]],2),4,1)&lt;$L$1+1,DATE(20&amp;LEFT(FAAddition[[#This Row],[FY]],2),4,1)&gt;$P$1-1),'FA Addition'!$J672,0)</f>
        <v>1</v>
      </c>
      <c r="U672" s="117">
        <f>S672*'FA Addition'!$L672/'FA Addition'!$J672</f>
        <v>30932.166666666668</v>
      </c>
      <c r="W672" s="116">
        <f>SUMIFS('FA Write off'!D:D,'FA Write off'!A:A,'FA Addition'!$A672,'FA Write off'!C:C,"&lt;"&amp;'FA Addition'!$P$1)</f>
        <v>0</v>
      </c>
      <c r="Y672" s="191">
        <f>IFERROR(W672/'FA Addition'!$J672*'FA Addition'!$L672,0)</f>
        <v>0</v>
      </c>
      <c r="AA672" s="116">
        <f>SUMIFS('FA Write off'!D:D,'FA Write off'!A:A,'FA Addition'!$A672,'FA Write off'!C:C,"&lt;"&amp;'FA Addition'!$L$1+1,'FA Write off'!C:C,"&gt;"&amp;'FA Addition'!$L$1-365)</f>
        <v>0</v>
      </c>
      <c r="AC672" s="118">
        <f>IFERROR(AA672/'FA Addition'!$J672*'FA Addition'!$L672,0)</f>
        <v>0</v>
      </c>
      <c r="AE672" s="117">
        <f>IF(AND('FA Addition'!$D672&lt;$P$1+1,U672=0),'FA Addition'!$L672,0)-Y672</f>
        <v>0</v>
      </c>
      <c r="AF672" s="117">
        <f t="shared" si="50"/>
        <v>30932.166666666668</v>
      </c>
      <c r="AG672" s="117">
        <f>MIN(MAX(+$P$1-'FA Addition'!$D672,0),365*'FA Addition'!$O672)</f>
        <v>0</v>
      </c>
      <c r="AH672" s="117">
        <f>MIN(MAX($L$1-'FA Addition'!$D672+1,0),365*'FA Addition'!$O672)</f>
        <v>324</v>
      </c>
      <c r="AI672" s="117" cm="1">
        <f t="array" ref="AI672">_xlfn.XLOOKUP(1,('FA Write off'!A:A='FA Addition'!$A672)*('FA Write off'!D:D=AA672),'FA Write off'!H:H,0,0)</f>
        <v>0</v>
      </c>
      <c r="AJ672" s="117">
        <f>IF(AC672&gt;0,MAX(IF('FA Addition'!$N672="SLM",($AC672-'FA Addition'!$M672)*'FA Addition'!$P672*AI672/365,(AC672-'FA Addition'!$M672)*(1-(1-'FA Addition'!$P672)^(AI672/365))),0),0)</f>
        <v>0</v>
      </c>
      <c r="AL672" s="117">
        <f>MAX(IF(AG672&gt;0,IF('FA Addition'!$N672="SLM",($AE672-'FA Addition'!$M672)*'FA Addition'!$P672*AG672/365,IFERROR(VDB(AE672,AE672*0.05,'FA Addition'!$O672,0,YEARFRAC('FA Addition'!$C672,$P$1-1,3),'FA Addition'!$Q672),FAAddition[[#This Row],[Original Cost (Rs)]]-FAAddition[[#This Row],[Salvage Value]])),0),0)</f>
        <v>0</v>
      </c>
      <c r="AM672" s="119"/>
      <c r="AN672" s="117">
        <f>MAX(IF(AH672&gt;0,IF('FA Addition'!$N672="SLM",($AF672-'FA Addition'!$M672)*'FA Addition'!$P672*AH672/365,IFERROR(VDB(AF672,AF672*0.05,'FA Addition'!$O672,0,YEARFRAC('FA Addition'!$C672,$L$1,3),'FA Addition'!$Q672),FAAddition[[#This Row],[Original Cost (Rs)]]-FAAddition[[#This Row],[Salvage Value]])),0),0)</f>
        <v>17287.753937698377</v>
      </c>
      <c r="AO672" s="117">
        <f t="shared" si="53"/>
        <v>17287.753937698377</v>
      </c>
      <c r="AQ672" s="117">
        <f t="shared" si="51"/>
        <v>0</v>
      </c>
      <c r="AR672" s="120">
        <f t="shared" si="52"/>
        <v>13644.412728968291</v>
      </c>
      <c r="AS672" s="121"/>
    </row>
    <row r="673" spans="1:45" ht="13.5" x14ac:dyDescent="0.4">
      <c r="A673" s="12">
        <f t="shared" si="54"/>
        <v>670</v>
      </c>
      <c r="B673" s="64" t="s">
        <v>1308</v>
      </c>
      <c r="C673" s="54">
        <v>45061</v>
      </c>
      <c r="D673" s="54">
        <v>45061</v>
      </c>
      <c r="E673" s="46" t="s">
        <v>451</v>
      </c>
      <c r="F673" s="51" t="s">
        <v>19</v>
      </c>
      <c r="G673" s="51" t="s">
        <v>1290</v>
      </c>
      <c r="H673" s="51" t="s">
        <v>21</v>
      </c>
      <c r="I673" s="55" t="s">
        <v>1377</v>
      </c>
      <c r="J673" s="56">
        <v>1</v>
      </c>
      <c r="K673" s="51" t="s">
        <v>1378</v>
      </c>
      <c r="L673" s="58">
        <v>88135.6</v>
      </c>
      <c r="M673" s="50">
        <f>ROUND('FA Addition'!$L673*5%,0.1)</f>
        <v>4407</v>
      </c>
      <c r="N673" s="113" t="str">
        <f>_xlfn.XLOOKUP(_xlfn.CONCAT(E673,B673),'Year Wise Master Dep Approach'!F:F,'Year Wise Master Dep Approach'!D:D)</f>
        <v>WDV</v>
      </c>
      <c r="O673" s="113">
        <f>_xlfn.XLOOKUP(_xlfn.CONCAT(E673,B673),'Year Wise Master Dep Approach'!F:F,'Year Wise Master Dep Approach'!E:E)</f>
        <v>3</v>
      </c>
      <c r="P673" s="114">
        <f>IFERROR(IF('FA Addition'!$N673="WDV",1-('FA Addition'!$M673/'FA Addition'!$L673)^(1/'FA Addition'!$O673),1/'FA Addition'!$O673),0)</f>
        <v>0.6315907196321866</v>
      </c>
      <c r="Q673" s="122">
        <f>'FA Addition'!$P673*'FA Addition'!$O673</f>
        <v>1.8947721588965598</v>
      </c>
      <c r="R673" s="122"/>
      <c r="S673" s="116">
        <f>IF(AND(DATE(20&amp;LEFT(FAAddition[[#This Row],[FY]],2),4,1)&lt;$L$1+1,DATE(20&amp;LEFT(FAAddition[[#This Row],[FY]],2),4,1)&gt;$P$1-1),'FA Addition'!$J673,0)</f>
        <v>1</v>
      </c>
      <c r="U673" s="117">
        <f>S673*'FA Addition'!$L673/'FA Addition'!$J673</f>
        <v>88135.6</v>
      </c>
      <c r="W673" s="116">
        <f>SUMIFS('FA Write off'!D:D,'FA Write off'!A:A,'FA Addition'!$A673,'FA Write off'!C:C,"&lt;"&amp;'FA Addition'!$P$1)</f>
        <v>0</v>
      </c>
      <c r="Y673" s="191">
        <f>IFERROR(W673/'FA Addition'!$J673*'FA Addition'!$L673,0)</f>
        <v>0</v>
      </c>
      <c r="AA673" s="116">
        <f>SUMIFS('FA Write off'!D:D,'FA Write off'!A:A,'FA Addition'!$A673,'FA Write off'!C:C,"&lt;"&amp;'FA Addition'!$L$1+1,'FA Write off'!C:C,"&gt;"&amp;'FA Addition'!$L$1-365)</f>
        <v>0</v>
      </c>
      <c r="AC673" s="118">
        <f>IFERROR(AA673/'FA Addition'!$J673*'FA Addition'!$L673,0)</f>
        <v>0</v>
      </c>
      <c r="AE673" s="117">
        <f>IF(AND('FA Addition'!$D673&lt;$P$1+1,U673=0),'FA Addition'!$L673,0)-Y673</f>
        <v>0</v>
      </c>
      <c r="AF673" s="117">
        <f t="shared" si="50"/>
        <v>88135.6</v>
      </c>
      <c r="AG673" s="117">
        <f>MIN(MAX(+$P$1-'FA Addition'!$D673,0),365*'FA Addition'!$O673)</f>
        <v>0</v>
      </c>
      <c r="AH673" s="117">
        <f>MIN(MAX($L$1-'FA Addition'!$D673+1,0),365*'FA Addition'!$O673)</f>
        <v>322</v>
      </c>
      <c r="AI673" s="117" cm="1">
        <f t="array" ref="AI673">_xlfn.XLOOKUP(1,('FA Write off'!A:A='FA Addition'!$A673)*('FA Write off'!D:D=AA673),'FA Write off'!H:H,0,0)</f>
        <v>0</v>
      </c>
      <c r="AJ673" s="117">
        <f>IF(AC673&gt;0,MAX(IF('FA Addition'!$N673="SLM",($AC673-'FA Addition'!$M673)*'FA Addition'!$P673*AI673/365,(AC673-'FA Addition'!$M673)*(1-(1-'FA Addition'!$P673)^(AI673/365))),0),0)</f>
        <v>0</v>
      </c>
      <c r="AL673" s="117">
        <f>MAX(IF(AG673&gt;0,IF('FA Addition'!$N673="SLM",($AE673-'FA Addition'!$M673)*'FA Addition'!$P673*AG673/365,IFERROR(VDB(AE673,AE673*0.05,'FA Addition'!$O673,0,YEARFRAC('FA Addition'!$C673,$P$1-1,3),'FA Addition'!$Q673),FAAddition[[#This Row],[Original Cost (Rs)]]-FAAddition[[#This Row],[Salvage Value]])),0),0)</f>
        <v>0</v>
      </c>
      <c r="AM673" s="119"/>
      <c r="AN673" s="117">
        <f>MAX(IF(AH673&gt;0,IF('FA Addition'!$N673="SLM",($AF673-'FA Addition'!$M673)*'FA Addition'!$P673*AH673/365,IFERROR(VDB(AF673,AF673*0.05,'FA Addition'!$O673,0,YEARFRAC('FA Addition'!$C673,$L$1,3),'FA Addition'!$Q673),FAAddition[[#This Row],[Original Cost (Rs)]]-FAAddition[[#This Row],[Salvage Value]])),0),0)</f>
        <v>48955.250072268143</v>
      </c>
      <c r="AO673" s="117">
        <f t="shared" si="53"/>
        <v>48955.250072268143</v>
      </c>
      <c r="AQ673" s="117">
        <f t="shared" si="51"/>
        <v>0</v>
      </c>
      <c r="AR673" s="120">
        <f t="shared" si="52"/>
        <v>39180.349927731862</v>
      </c>
      <c r="AS673" s="121"/>
    </row>
    <row r="674" spans="1:45" ht="13.5" x14ac:dyDescent="0.4">
      <c r="A674" s="12">
        <f t="shared" si="54"/>
        <v>671</v>
      </c>
      <c r="B674" s="64" t="s">
        <v>1308</v>
      </c>
      <c r="C674" s="54">
        <v>45071</v>
      </c>
      <c r="D674" s="54">
        <v>45071</v>
      </c>
      <c r="E674" s="46" t="s">
        <v>451</v>
      </c>
      <c r="F674" s="51" t="s">
        <v>19</v>
      </c>
      <c r="G674" s="51" t="s">
        <v>1290</v>
      </c>
      <c r="H674" s="51" t="s">
        <v>244</v>
      </c>
      <c r="I674" s="55" t="s">
        <v>1379</v>
      </c>
      <c r="J674" s="56">
        <v>1</v>
      </c>
      <c r="K674" s="51" t="s">
        <v>1380</v>
      </c>
      <c r="L674" s="58">
        <v>82733</v>
      </c>
      <c r="M674" s="50">
        <f>ROUND('FA Addition'!$L674*5%,0.1)</f>
        <v>4137</v>
      </c>
      <c r="N674" s="113" t="str">
        <f>_xlfn.XLOOKUP(_xlfn.CONCAT(E674,B674),'Year Wise Master Dep Approach'!F:F,'Year Wise Master Dep Approach'!D:D)</f>
        <v>WDV</v>
      </c>
      <c r="O674" s="113">
        <f>_xlfn.XLOOKUP(_xlfn.CONCAT(E674,B674),'Year Wise Master Dep Approach'!F:F,'Year Wise Master Dep Approach'!E:E)</f>
        <v>3</v>
      </c>
      <c r="P674" s="114">
        <f>IFERROR(IF('FA Addition'!$N674="WDV",1-('FA Addition'!$M674/'FA Addition'!$L674)^(1/'FA Addition'!$O674),1/'FA Addition'!$O674),0)</f>
        <v>0.63158646029022658</v>
      </c>
      <c r="Q674" s="122">
        <f>'FA Addition'!$P674*'FA Addition'!$O674</f>
        <v>1.8947593808706797</v>
      </c>
      <c r="R674" s="122"/>
      <c r="S674" s="116">
        <f>IF(AND(DATE(20&amp;LEFT(FAAddition[[#This Row],[FY]],2),4,1)&lt;$L$1+1,DATE(20&amp;LEFT(FAAddition[[#This Row],[FY]],2),4,1)&gt;$P$1-1),'FA Addition'!$J674,0)</f>
        <v>1</v>
      </c>
      <c r="U674" s="117">
        <f>S674*'FA Addition'!$L674/'FA Addition'!$J674</f>
        <v>82733</v>
      </c>
      <c r="W674" s="116">
        <f>SUMIFS('FA Write off'!D:D,'FA Write off'!A:A,'FA Addition'!$A674,'FA Write off'!C:C,"&lt;"&amp;'FA Addition'!$P$1)</f>
        <v>0</v>
      </c>
      <c r="Y674" s="191">
        <f>IFERROR(W674/'FA Addition'!$J674*'FA Addition'!$L674,0)</f>
        <v>0</v>
      </c>
      <c r="AA674" s="116">
        <f>SUMIFS('FA Write off'!D:D,'FA Write off'!A:A,'FA Addition'!$A674,'FA Write off'!C:C,"&lt;"&amp;'FA Addition'!$L$1+1,'FA Write off'!C:C,"&gt;"&amp;'FA Addition'!$L$1-365)</f>
        <v>0</v>
      </c>
      <c r="AC674" s="118">
        <f>IFERROR(AA674/'FA Addition'!$J674*'FA Addition'!$L674,0)</f>
        <v>0</v>
      </c>
      <c r="AE674" s="117">
        <f>IF(AND('FA Addition'!$D674&lt;$P$1+1,U674=0),'FA Addition'!$L674,0)-Y674</f>
        <v>0</v>
      </c>
      <c r="AF674" s="117">
        <f t="shared" si="50"/>
        <v>82733</v>
      </c>
      <c r="AG674" s="117">
        <f>MIN(MAX(+$P$1-'FA Addition'!$D674,0),365*'FA Addition'!$O674)</f>
        <v>0</v>
      </c>
      <c r="AH674" s="117">
        <f>MIN(MAX($L$1-'FA Addition'!$D674+1,0),365*'FA Addition'!$O674)</f>
        <v>312</v>
      </c>
      <c r="AI674" s="117" cm="1">
        <f t="array" ref="AI674">_xlfn.XLOOKUP(1,('FA Write off'!A:A='FA Addition'!$A674)*('FA Write off'!D:D=AA674),'FA Write off'!H:H,0,0)</f>
        <v>0</v>
      </c>
      <c r="AJ674" s="117">
        <f>IF(AC674&gt;0,MAX(IF('FA Addition'!$N674="SLM",($AC674-'FA Addition'!$M674)*'FA Addition'!$P674*AI674/365,(AC674-'FA Addition'!$M674)*(1-(1-'FA Addition'!$P674)^(AI674/365))),0),0)</f>
        <v>0</v>
      </c>
      <c r="AL674" s="117">
        <f>MAX(IF(AG674&gt;0,IF('FA Addition'!$N674="SLM",($AE674-'FA Addition'!$M674)*'FA Addition'!$P674*AG674/365,IFERROR(VDB(AE674,AE674*0.05,'FA Addition'!$O674,0,YEARFRAC('FA Addition'!$C674,$P$1-1,3),'FA Addition'!$Q674),FAAddition[[#This Row],[Original Cost (Rs)]]-FAAddition[[#This Row],[Salvage Value]])),0),0)</f>
        <v>0</v>
      </c>
      <c r="AM674" s="119"/>
      <c r="AN674" s="117">
        <f>MAX(IF(AH674&gt;0,IF('FA Addition'!$N674="SLM",($AF674-'FA Addition'!$M674)*'FA Addition'!$P674*AH674/365,IFERROR(VDB(AF674,AF674*0.05,'FA Addition'!$O674,0,YEARFRAC('FA Addition'!$C674,$L$1,3),'FA Addition'!$Q674),FAAddition[[#This Row],[Original Cost (Rs)]]-FAAddition[[#This Row],[Salvage Value]])),0),0)</f>
        <v>44522.455491968489</v>
      </c>
      <c r="AO674" s="117">
        <f t="shared" si="53"/>
        <v>44522.455491968489</v>
      </c>
      <c r="AQ674" s="117">
        <f t="shared" si="51"/>
        <v>0</v>
      </c>
      <c r="AR674" s="120">
        <f t="shared" si="52"/>
        <v>38210.544508031511</v>
      </c>
      <c r="AS674" s="121"/>
    </row>
    <row r="675" spans="1:45" ht="13.5" x14ac:dyDescent="0.4">
      <c r="A675" s="12">
        <f t="shared" si="54"/>
        <v>672</v>
      </c>
      <c r="B675" s="64" t="s">
        <v>1308</v>
      </c>
      <c r="C675" s="54">
        <v>45075</v>
      </c>
      <c r="D675" s="54">
        <v>45075</v>
      </c>
      <c r="E675" s="46" t="s">
        <v>207</v>
      </c>
      <c r="F675" s="51" t="s">
        <v>1372</v>
      </c>
      <c r="G675" s="51" t="s">
        <v>1381</v>
      </c>
      <c r="H675" s="51" t="s">
        <v>207</v>
      </c>
      <c r="I675" s="55" t="s">
        <v>1382</v>
      </c>
      <c r="J675" s="56">
        <v>1</v>
      </c>
      <c r="K675" s="51" t="s">
        <v>1383</v>
      </c>
      <c r="L675" s="58">
        <v>8050</v>
      </c>
      <c r="M675" s="50">
        <f>ROUND('FA Addition'!$L675*5%,0.1)</f>
        <v>403</v>
      </c>
      <c r="N675" s="113" t="str">
        <f>_xlfn.XLOOKUP(_xlfn.CONCAT(E675,B675),'Year Wise Master Dep Approach'!F:F,'Year Wise Master Dep Approach'!D:D)</f>
        <v>WDV</v>
      </c>
      <c r="O675" s="113">
        <f>_xlfn.XLOOKUP(_xlfn.CONCAT(E675,B675),'Year Wise Master Dep Approach'!F:F,'Year Wise Master Dep Approach'!E:E)</f>
        <v>5</v>
      </c>
      <c r="P675" s="114">
        <f>IFERROR(IF('FA Addition'!$N675="WDV",1-('FA Addition'!$M675/'FA Addition'!$L675)^(1/'FA Addition'!$O675),1/'FA Addition'!$O675),0)</f>
        <v>0.45058332895796993</v>
      </c>
      <c r="Q675" s="122">
        <f>'FA Addition'!$P675*'FA Addition'!$O675</f>
        <v>2.2529166447898499</v>
      </c>
      <c r="R675" s="122"/>
      <c r="S675" s="116">
        <f>IF(AND(DATE(20&amp;LEFT(FAAddition[[#This Row],[FY]],2),4,1)&lt;$L$1+1,DATE(20&amp;LEFT(FAAddition[[#This Row],[FY]],2),4,1)&gt;$P$1-1),'FA Addition'!$J675,0)</f>
        <v>1</v>
      </c>
      <c r="U675" s="117">
        <f>S675*'FA Addition'!$L675/'FA Addition'!$J675</f>
        <v>8050</v>
      </c>
      <c r="W675" s="116">
        <f>SUMIFS('FA Write off'!D:D,'FA Write off'!A:A,'FA Addition'!$A675,'FA Write off'!C:C,"&lt;"&amp;'FA Addition'!$P$1)</f>
        <v>0</v>
      </c>
      <c r="Y675" s="191">
        <f>IFERROR(W675/'FA Addition'!$J675*'FA Addition'!$L675,0)</f>
        <v>0</v>
      </c>
      <c r="AA675" s="116">
        <f>SUMIFS('FA Write off'!D:D,'FA Write off'!A:A,'FA Addition'!$A675,'FA Write off'!C:C,"&lt;"&amp;'FA Addition'!$L$1+1,'FA Write off'!C:C,"&gt;"&amp;'FA Addition'!$L$1-365)</f>
        <v>0</v>
      </c>
      <c r="AC675" s="118">
        <f>IFERROR(AA675/'FA Addition'!$J675*'FA Addition'!$L675,0)</f>
        <v>0</v>
      </c>
      <c r="AE675" s="117">
        <f>IF(AND('FA Addition'!$D675&lt;$P$1+1,U675=0),'FA Addition'!$L675,0)-Y675</f>
        <v>0</v>
      </c>
      <c r="AF675" s="117">
        <f t="shared" si="50"/>
        <v>8050</v>
      </c>
      <c r="AG675" s="117">
        <f>MIN(MAX(+$P$1-'FA Addition'!$D675,0),365*'FA Addition'!$O675)</f>
        <v>0</v>
      </c>
      <c r="AH675" s="117">
        <f>MIN(MAX($L$1-'FA Addition'!$D675+1,0),365*'FA Addition'!$O675)</f>
        <v>308</v>
      </c>
      <c r="AI675" s="117" cm="1">
        <f t="array" ref="AI675">_xlfn.XLOOKUP(1,('FA Write off'!A:A='FA Addition'!$A675)*('FA Write off'!D:D=AA675),'FA Write off'!H:H,0,0)</f>
        <v>0</v>
      </c>
      <c r="AJ675" s="117">
        <f>IF(AC675&gt;0,MAX(IF('FA Addition'!$N675="SLM",($AC675-'FA Addition'!$M675)*'FA Addition'!$P675*AI675/365,(AC675-'FA Addition'!$M675)*(1-(1-'FA Addition'!$P675)^(AI675/365))),0),0)</f>
        <v>0</v>
      </c>
      <c r="AL675" s="117">
        <f>MAX(IF(AG675&gt;0,IF('FA Addition'!$N675="SLM",($AE675-'FA Addition'!$M675)*'FA Addition'!$P675*AG675/365,IFERROR(VDB(AE675,AE675*0.05,'FA Addition'!$O675,0,YEARFRAC('FA Addition'!$C675,$P$1-1,3),'FA Addition'!$Q675),FAAddition[[#This Row],[Original Cost (Rs)]]-FAAddition[[#This Row],[Salvage Value]])),0),0)</f>
        <v>0</v>
      </c>
      <c r="AM675" s="119"/>
      <c r="AN675" s="117">
        <f>MAX(IF(AH675&gt;0,IF('FA Addition'!$N675="SLM",($AF675-'FA Addition'!$M675)*'FA Addition'!$P675*AH675/365,IFERROR(VDB(AF675,AF675*0.05,'FA Addition'!$O675,0,YEARFRAC('FA Addition'!$C675,$L$1,3),'FA Addition'!$Q675),FAAddition[[#This Row],[Original Cost (Rs)]]-FAAddition[[#This Row],[Salvage Value]])),0),0)</f>
        <v>3050.8194795076142</v>
      </c>
      <c r="AO675" s="117">
        <f t="shared" si="53"/>
        <v>3050.8194795076142</v>
      </c>
      <c r="AQ675" s="117">
        <f t="shared" si="51"/>
        <v>0</v>
      </c>
      <c r="AR675" s="120">
        <f t="shared" si="52"/>
        <v>4999.1805204923858</v>
      </c>
      <c r="AS675" s="121"/>
    </row>
    <row r="676" spans="1:45" ht="13.5" x14ac:dyDescent="0.4">
      <c r="A676" s="12">
        <f t="shared" si="54"/>
        <v>673</v>
      </c>
      <c r="B676" s="64" t="s">
        <v>1308</v>
      </c>
      <c r="C676" s="54">
        <v>45080</v>
      </c>
      <c r="D676" s="54">
        <v>45080</v>
      </c>
      <c r="E676" s="46" t="s">
        <v>32</v>
      </c>
      <c r="F676" s="51" t="s">
        <v>1090</v>
      </c>
      <c r="G676" s="51" t="s">
        <v>433</v>
      </c>
      <c r="H676" s="51" t="s">
        <v>32</v>
      </c>
      <c r="I676" s="55" t="s">
        <v>1384</v>
      </c>
      <c r="J676" s="56">
        <v>2500</v>
      </c>
      <c r="K676" s="51" t="s">
        <v>1350</v>
      </c>
      <c r="L676" s="58">
        <v>2700000</v>
      </c>
      <c r="M676" s="50">
        <f>ROUND('FA Addition'!$L676*5%,0.1)</f>
        <v>135000</v>
      </c>
      <c r="N676" s="113" t="str">
        <f>_xlfn.XLOOKUP(_xlfn.CONCAT(E676,B676),'Year Wise Master Dep Approach'!F:F,'Year Wise Master Dep Approach'!D:D)</f>
        <v>SLM</v>
      </c>
      <c r="O676" s="113">
        <f>_xlfn.XLOOKUP(_xlfn.CONCAT(E676,B676),'Year Wise Master Dep Approach'!F:F,'Year Wise Master Dep Approach'!E:E)</f>
        <v>5</v>
      </c>
      <c r="P676" s="114">
        <f>IFERROR(IF('FA Addition'!$N676="WDV",1-('FA Addition'!$M676/'FA Addition'!$L676)^(1/'FA Addition'!$O676),1/'FA Addition'!$O676),0)</f>
        <v>0.2</v>
      </c>
      <c r="Q676" s="122">
        <f>'FA Addition'!$P676*'FA Addition'!$O676</f>
        <v>1</v>
      </c>
      <c r="R676" s="122"/>
      <c r="S676" s="116">
        <f>IF(AND(DATE(20&amp;LEFT(FAAddition[[#This Row],[FY]],2),4,1)&lt;$L$1+1,DATE(20&amp;LEFT(FAAddition[[#This Row],[FY]],2),4,1)&gt;$P$1-1),'FA Addition'!$J676,0)</f>
        <v>2500</v>
      </c>
      <c r="U676" s="117">
        <f>S676*'FA Addition'!$L676/'FA Addition'!$J676</f>
        <v>2700000</v>
      </c>
      <c r="W676" s="116">
        <f>SUMIFS('FA Write off'!D:D,'FA Write off'!A:A,'FA Addition'!$A676,'FA Write off'!C:C,"&lt;"&amp;'FA Addition'!$P$1)</f>
        <v>80</v>
      </c>
      <c r="Y676" s="191">
        <f>IFERROR(W676/'FA Addition'!$J676*'FA Addition'!$L676,0)</f>
        <v>86400</v>
      </c>
      <c r="AA676" s="116">
        <f>SUMIFS('FA Write off'!D:D,'FA Write off'!A:A,'FA Addition'!$A676,'FA Write off'!C:C,"&lt;"&amp;'FA Addition'!$L$1+1,'FA Write off'!C:C,"&gt;"&amp;'FA Addition'!$L$1-365)</f>
        <v>0</v>
      </c>
      <c r="AC676" s="118">
        <f>IFERROR(AA676/'FA Addition'!$J676*'FA Addition'!$L676,0)</f>
        <v>0</v>
      </c>
      <c r="AE676" s="117">
        <f>IF(AND('FA Addition'!$D676&lt;$P$1+1,U676=0),'FA Addition'!$L676,0)-Y676</f>
        <v>-86400</v>
      </c>
      <c r="AF676" s="117">
        <f t="shared" si="50"/>
        <v>2613600</v>
      </c>
      <c r="AG676" s="117">
        <f>MIN(MAX(+$P$1-'FA Addition'!$D676,0),365*'FA Addition'!$O676)</f>
        <v>0</v>
      </c>
      <c r="AH676" s="117">
        <f>MIN(MAX($L$1-'FA Addition'!$D676+1,0),365*'FA Addition'!$O676)</f>
        <v>303</v>
      </c>
      <c r="AI676" s="117" cm="1">
        <f t="array" ref="AI676">_xlfn.XLOOKUP(1,('FA Write off'!A:A='FA Addition'!$A676)*('FA Write off'!D:D=AA676),'FA Write off'!H:H,0,0)</f>
        <v>0</v>
      </c>
      <c r="AJ676" s="117">
        <f>IF(AC676&gt;0,MAX(IF('FA Addition'!$N676="SLM",($AC676-'FA Addition'!$M676)*'FA Addition'!$P676*AI676/365,(AC676-'FA Addition'!$M676)*(1-(1-'FA Addition'!$P676)^(AI676/365))),0),0)</f>
        <v>0</v>
      </c>
      <c r="AL676" s="117">
        <f>MAX(IF(AG676&gt;0,IF('FA Addition'!$N676="SLM",($AE676-'FA Addition'!$M676)*'FA Addition'!$P676*AG676/365,IFERROR(VDB(AE676,AE676*0.05,'FA Addition'!$O676,0,YEARFRAC('FA Addition'!$C676,$P$1-1,3),'FA Addition'!$Q676),FAAddition[[#This Row],[Original Cost (Rs)]]-FAAddition[[#This Row],[Salvage Value]])),0),0)</f>
        <v>0</v>
      </c>
      <c r="AM676" s="119"/>
      <c r="AN676" s="117">
        <f>MAX(IF(AH676&gt;0,IF('FA Addition'!$N676="SLM",($AF676-'FA Addition'!$M676)*'FA Addition'!$P676*AH676/365,IFERROR(VDB(AF676,AF676*0.05,'FA Addition'!$O676,0,YEARFRAC('FA Addition'!$C676,$L$1,3),'FA Addition'!$Q676),FAAddition[[#This Row],[Original Cost (Rs)]]-FAAddition[[#This Row],[Salvage Value]])),0),0)</f>
        <v>411515.50684931508</v>
      </c>
      <c r="AO676" s="117">
        <f t="shared" si="53"/>
        <v>411515.50684931508</v>
      </c>
      <c r="AQ676" s="117">
        <f t="shared" si="51"/>
        <v>-86400</v>
      </c>
      <c r="AR676" s="120">
        <f t="shared" si="52"/>
        <v>2202084.493150685</v>
      </c>
      <c r="AS676" s="121"/>
    </row>
    <row r="677" spans="1:45" ht="13.5" x14ac:dyDescent="0.4">
      <c r="A677" s="12">
        <f t="shared" si="54"/>
        <v>674</v>
      </c>
      <c r="B677" s="64" t="s">
        <v>1308</v>
      </c>
      <c r="C677" s="54">
        <v>45083</v>
      </c>
      <c r="D677" s="54">
        <v>45083</v>
      </c>
      <c r="E677" s="46" t="s">
        <v>32</v>
      </c>
      <c r="F677" s="51" t="s">
        <v>1090</v>
      </c>
      <c r="G677" s="51" t="s">
        <v>433</v>
      </c>
      <c r="H677" s="51" t="s">
        <v>32</v>
      </c>
      <c r="I677" s="55" t="s">
        <v>1385</v>
      </c>
      <c r="J677" s="56">
        <v>400</v>
      </c>
      <c r="K677" s="51" t="s">
        <v>1350</v>
      </c>
      <c r="L677" s="58">
        <v>432000</v>
      </c>
      <c r="M677" s="50">
        <f>ROUND('FA Addition'!$L677*5%,0.1)</f>
        <v>21600</v>
      </c>
      <c r="N677" s="113" t="str">
        <f>_xlfn.XLOOKUP(_xlfn.CONCAT(E677,B677),'Year Wise Master Dep Approach'!F:F,'Year Wise Master Dep Approach'!D:D)</f>
        <v>SLM</v>
      </c>
      <c r="O677" s="113">
        <f>_xlfn.XLOOKUP(_xlfn.CONCAT(E677,B677),'Year Wise Master Dep Approach'!F:F,'Year Wise Master Dep Approach'!E:E)</f>
        <v>5</v>
      </c>
      <c r="P677" s="114">
        <f>IFERROR(IF('FA Addition'!$N677="WDV",1-('FA Addition'!$M677/'FA Addition'!$L677)^(1/'FA Addition'!$O677),1/'FA Addition'!$O677),0)</f>
        <v>0.2</v>
      </c>
      <c r="Q677" s="122">
        <f>'FA Addition'!$P677*'FA Addition'!$O677</f>
        <v>1</v>
      </c>
      <c r="R677" s="122"/>
      <c r="S677" s="116">
        <f>IF(AND(DATE(20&amp;LEFT(FAAddition[[#This Row],[FY]],2),4,1)&lt;$L$1+1,DATE(20&amp;LEFT(FAAddition[[#This Row],[FY]],2),4,1)&gt;$P$1-1),'FA Addition'!$J677,0)</f>
        <v>400</v>
      </c>
      <c r="U677" s="117">
        <f>S677*'FA Addition'!$L677/'FA Addition'!$J677</f>
        <v>432000</v>
      </c>
      <c r="W677" s="116">
        <f>SUMIFS('FA Write off'!D:D,'FA Write off'!A:A,'FA Addition'!$A677,'FA Write off'!C:C,"&lt;"&amp;'FA Addition'!$P$1)</f>
        <v>3</v>
      </c>
      <c r="Y677" s="191">
        <f>IFERROR(W677/'FA Addition'!$J677*'FA Addition'!$L677,0)</f>
        <v>3240</v>
      </c>
      <c r="AA677" s="116">
        <f>SUMIFS('FA Write off'!D:D,'FA Write off'!A:A,'FA Addition'!$A677,'FA Write off'!C:C,"&lt;"&amp;'FA Addition'!$L$1+1,'FA Write off'!C:C,"&gt;"&amp;'FA Addition'!$L$1-365)</f>
        <v>0</v>
      </c>
      <c r="AC677" s="118">
        <f>IFERROR(AA677/'FA Addition'!$J677*'FA Addition'!$L677,0)</f>
        <v>0</v>
      </c>
      <c r="AE677" s="117">
        <f>IF(AND('FA Addition'!$D677&lt;$P$1+1,U677=0),'FA Addition'!$L677,0)-Y677</f>
        <v>-3240</v>
      </c>
      <c r="AF677" s="117">
        <f t="shared" si="50"/>
        <v>428760</v>
      </c>
      <c r="AG677" s="117">
        <f>MIN(MAX(+$P$1-'FA Addition'!$D677,0),365*'FA Addition'!$O677)</f>
        <v>0</v>
      </c>
      <c r="AH677" s="117">
        <f>MIN(MAX($L$1-'FA Addition'!$D677+1,0),365*'FA Addition'!$O677)</f>
        <v>300</v>
      </c>
      <c r="AI677" s="117" cm="1">
        <f t="array" ref="AI677">_xlfn.XLOOKUP(1,('FA Write off'!A:A='FA Addition'!$A677)*('FA Write off'!D:D=AA677),'FA Write off'!H:H,0,0)</f>
        <v>0</v>
      </c>
      <c r="AJ677" s="117">
        <f>IF(AC677&gt;0,MAX(IF('FA Addition'!$N677="SLM",($AC677-'FA Addition'!$M677)*'FA Addition'!$P677*AI677/365,(AC677-'FA Addition'!$M677)*(1-(1-'FA Addition'!$P677)^(AI677/365))),0),0)</f>
        <v>0</v>
      </c>
      <c r="AL677" s="117">
        <f>MAX(IF(AG677&gt;0,IF('FA Addition'!$N677="SLM",($AE677-'FA Addition'!$M677)*'FA Addition'!$P677*AG677/365,IFERROR(VDB(AE677,AE677*0.05,'FA Addition'!$O677,0,YEARFRAC('FA Addition'!$C677,$P$1-1,3),'FA Addition'!$Q677),FAAddition[[#This Row],[Original Cost (Rs)]]-FAAddition[[#This Row],[Salvage Value]])),0),0)</f>
        <v>0</v>
      </c>
      <c r="AM677" s="119"/>
      <c r="AN677" s="117">
        <f>MAX(IF(AH677&gt;0,IF('FA Addition'!$N677="SLM",($AF677-'FA Addition'!$M677)*'FA Addition'!$P677*AH677/365,IFERROR(VDB(AF677,AF677*0.05,'FA Addition'!$O677,0,YEARFRAC('FA Addition'!$C677,$L$1,3),'FA Addition'!$Q677),FAAddition[[#This Row],[Original Cost (Rs)]]-FAAddition[[#This Row],[Salvage Value]])),0),0)</f>
        <v>66930.410958904104</v>
      </c>
      <c r="AO677" s="117">
        <f t="shared" si="53"/>
        <v>66930.410958904104</v>
      </c>
      <c r="AQ677" s="117">
        <f t="shared" si="51"/>
        <v>-3240</v>
      </c>
      <c r="AR677" s="120">
        <f t="shared" si="52"/>
        <v>361829.58904109593</v>
      </c>
      <c r="AS677" s="121"/>
    </row>
    <row r="678" spans="1:45" ht="13.5" x14ac:dyDescent="0.4">
      <c r="A678" s="12">
        <f t="shared" si="54"/>
        <v>675</v>
      </c>
      <c r="B678" s="64" t="s">
        <v>1308</v>
      </c>
      <c r="C678" s="54">
        <v>45083</v>
      </c>
      <c r="D678" s="54">
        <v>45083</v>
      </c>
      <c r="E678" s="46" t="s">
        <v>451</v>
      </c>
      <c r="F678" s="51" t="s">
        <v>19</v>
      </c>
      <c r="G678" s="51" t="s">
        <v>1386</v>
      </c>
      <c r="H678" s="51" t="s">
        <v>21</v>
      </c>
      <c r="I678" s="55" t="s">
        <v>1387</v>
      </c>
      <c r="J678" s="56">
        <v>1</v>
      </c>
      <c r="K678" s="51" t="s">
        <v>1388</v>
      </c>
      <c r="L678" s="58">
        <v>31347.46</v>
      </c>
      <c r="M678" s="50">
        <f>ROUND('FA Addition'!$L678*5%,0.1)</f>
        <v>1567</v>
      </c>
      <c r="N678" s="113" t="str">
        <f>_xlfn.XLOOKUP(_xlfn.CONCAT(E678,B678),'Year Wise Master Dep Approach'!F:F,'Year Wise Master Dep Approach'!D:D)</f>
        <v>WDV</v>
      </c>
      <c r="O678" s="113">
        <f>_xlfn.XLOOKUP(_xlfn.CONCAT(E678,B678),'Year Wise Master Dep Approach'!F:F,'Year Wise Master Dep Approach'!E:E)</f>
        <v>3</v>
      </c>
      <c r="P678" s="114">
        <f>IFERROR(IF('FA Addition'!$N678="WDV",1-('FA Addition'!$M678/'FA Addition'!$L678)^(1/'FA Addition'!$O678),1/'FA Addition'!$O678),0)</f>
        <v>0.63162607637988777</v>
      </c>
      <c r="Q678" s="122">
        <f>'FA Addition'!$P678*'FA Addition'!$O678</f>
        <v>1.8948782291396633</v>
      </c>
      <c r="R678" s="122"/>
      <c r="S678" s="116">
        <f>IF(AND(DATE(20&amp;LEFT(FAAddition[[#This Row],[FY]],2),4,1)&lt;$L$1+1,DATE(20&amp;LEFT(FAAddition[[#This Row],[FY]],2),4,1)&gt;$P$1-1),'FA Addition'!$J678,0)</f>
        <v>1</v>
      </c>
      <c r="U678" s="117">
        <f>S678*'FA Addition'!$L678/'FA Addition'!$J678</f>
        <v>31347.46</v>
      </c>
      <c r="W678" s="116">
        <f>SUMIFS('FA Write off'!D:D,'FA Write off'!A:A,'FA Addition'!$A678,'FA Write off'!C:C,"&lt;"&amp;'FA Addition'!$P$1)</f>
        <v>0</v>
      </c>
      <c r="Y678" s="191">
        <f>IFERROR(W678/'FA Addition'!$J678*'FA Addition'!$L678,0)</f>
        <v>0</v>
      </c>
      <c r="AA678" s="116">
        <f>SUMIFS('FA Write off'!D:D,'FA Write off'!A:A,'FA Addition'!$A678,'FA Write off'!C:C,"&lt;"&amp;'FA Addition'!$L$1+1,'FA Write off'!C:C,"&gt;"&amp;'FA Addition'!$L$1-365)</f>
        <v>0</v>
      </c>
      <c r="AC678" s="118">
        <f>IFERROR(AA678/'FA Addition'!$J678*'FA Addition'!$L678,0)</f>
        <v>0</v>
      </c>
      <c r="AE678" s="117">
        <f>IF(AND('FA Addition'!$D678&lt;$P$1+1,U678=0),'FA Addition'!$L678,0)-Y678</f>
        <v>0</v>
      </c>
      <c r="AF678" s="117">
        <f t="shared" si="50"/>
        <v>31347.46</v>
      </c>
      <c r="AG678" s="117">
        <f>MIN(MAX(+$P$1-'FA Addition'!$D678,0),365*'FA Addition'!$O678)</f>
        <v>0</v>
      </c>
      <c r="AH678" s="117">
        <f>MIN(MAX($L$1-'FA Addition'!$D678+1,0),365*'FA Addition'!$O678)</f>
        <v>300</v>
      </c>
      <c r="AI678" s="117" cm="1">
        <f t="array" ref="AI678">_xlfn.XLOOKUP(1,('FA Write off'!A:A='FA Addition'!$A678)*('FA Write off'!D:D=AA678),'FA Write off'!H:H,0,0)</f>
        <v>0</v>
      </c>
      <c r="AJ678" s="117">
        <f>IF(AC678&gt;0,MAX(IF('FA Addition'!$N678="SLM",($AC678-'FA Addition'!$M678)*'FA Addition'!$P678*AI678/365,(AC678-'FA Addition'!$M678)*(1-(1-'FA Addition'!$P678)^(AI678/365))),0),0)</f>
        <v>0</v>
      </c>
      <c r="AL678" s="117">
        <f>MAX(IF(AG678&gt;0,IF('FA Addition'!$N678="SLM",($AE678-'FA Addition'!$M678)*'FA Addition'!$P678*AG678/365,IFERROR(VDB(AE678,AE678*0.05,'FA Addition'!$O678,0,YEARFRAC('FA Addition'!$C678,$P$1-1,3),'FA Addition'!$Q678),FAAddition[[#This Row],[Original Cost (Rs)]]-FAAddition[[#This Row],[Salvage Value]])),0),0)</f>
        <v>0</v>
      </c>
      <c r="AM678" s="119"/>
      <c r="AN678" s="117">
        <f>MAX(IF(AH678&gt;0,IF('FA Addition'!$N678="SLM",($AF678-'FA Addition'!$M678)*'FA Addition'!$P678*AH678/365,IFERROR(VDB(AF678,AF678*0.05,'FA Addition'!$O678,0,YEARFRAC('FA Addition'!$C678,$L$1,3),'FA Addition'!$Q678),FAAddition[[#This Row],[Original Cost (Rs)]]-FAAddition[[#This Row],[Salvage Value]])),0),0)</f>
        <v>16219.622126351691</v>
      </c>
      <c r="AO678" s="117">
        <f t="shared" si="53"/>
        <v>16219.622126351691</v>
      </c>
      <c r="AQ678" s="117">
        <f t="shared" si="51"/>
        <v>0</v>
      </c>
      <c r="AR678" s="120">
        <f t="shared" si="52"/>
        <v>15127.837873648308</v>
      </c>
      <c r="AS678" s="121"/>
    </row>
    <row r="679" spans="1:45" ht="13.5" x14ac:dyDescent="0.4">
      <c r="A679" s="12">
        <f t="shared" si="54"/>
        <v>676</v>
      </c>
      <c r="B679" s="64" t="s">
        <v>1308</v>
      </c>
      <c r="C679" s="54">
        <v>45083</v>
      </c>
      <c r="D679" s="54">
        <v>45083</v>
      </c>
      <c r="E679" s="46" t="s">
        <v>451</v>
      </c>
      <c r="F679" s="51" t="s">
        <v>19</v>
      </c>
      <c r="G679" s="51" t="s">
        <v>1386</v>
      </c>
      <c r="H679" s="51" t="s">
        <v>21</v>
      </c>
      <c r="I679" s="55" t="s">
        <v>1387</v>
      </c>
      <c r="J679" s="56">
        <v>1</v>
      </c>
      <c r="K679" s="51" t="s">
        <v>1388</v>
      </c>
      <c r="L679" s="58">
        <v>31347.46</v>
      </c>
      <c r="M679" s="50">
        <f>ROUND('FA Addition'!$L679*5%,0.1)</f>
        <v>1567</v>
      </c>
      <c r="N679" s="113" t="str">
        <f>_xlfn.XLOOKUP(_xlfn.CONCAT(E679,B679),'Year Wise Master Dep Approach'!F:F,'Year Wise Master Dep Approach'!D:D)</f>
        <v>WDV</v>
      </c>
      <c r="O679" s="113">
        <f>_xlfn.XLOOKUP(_xlfn.CONCAT(E679,B679),'Year Wise Master Dep Approach'!F:F,'Year Wise Master Dep Approach'!E:E)</f>
        <v>3</v>
      </c>
      <c r="P679" s="114">
        <f>IFERROR(IF('FA Addition'!$N679="WDV",1-('FA Addition'!$M679/'FA Addition'!$L679)^(1/'FA Addition'!$O679),1/'FA Addition'!$O679),0)</f>
        <v>0.63162607637988777</v>
      </c>
      <c r="Q679" s="122">
        <f>'FA Addition'!$P679*'FA Addition'!$O679</f>
        <v>1.8948782291396633</v>
      </c>
      <c r="R679" s="122"/>
      <c r="S679" s="116">
        <f>IF(AND(DATE(20&amp;LEFT(FAAddition[[#This Row],[FY]],2),4,1)&lt;$L$1+1,DATE(20&amp;LEFT(FAAddition[[#This Row],[FY]],2),4,1)&gt;$P$1-1),'FA Addition'!$J679,0)</f>
        <v>1</v>
      </c>
      <c r="U679" s="117">
        <f>S679*'FA Addition'!$L679/'FA Addition'!$J679</f>
        <v>31347.46</v>
      </c>
      <c r="W679" s="116">
        <f>SUMIFS('FA Write off'!D:D,'FA Write off'!A:A,'FA Addition'!$A679,'FA Write off'!C:C,"&lt;"&amp;'FA Addition'!$P$1)</f>
        <v>0</v>
      </c>
      <c r="Y679" s="191">
        <f>IFERROR(W679/'FA Addition'!$J679*'FA Addition'!$L679,0)</f>
        <v>0</v>
      </c>
      <c r="AA679" s="116">
        <f>SUMIFS('FA Write off'!D:D,'FA Write off'!A:A,'FA Addition'!$A679,'FA Write off'!C:C,"&lt;"&amp;'FA Addition'!$L$1+1,'FA Write off'!C:C,"&gt;"&amp;'FA Addition'!$L$1-365)</f>
        <v>0</v>
      </c>
      <c r="AC679" s="118">
        <f>IFERROR(AA679/'FA Addition'!$J679*'FA Addition'!$L679,0)</f>
        <v>0</v>
      </c>
      <c r="AE679" s="117">
        <f>IF(AND('FA Addition'!$D679&lt;$P$1+1,U679=0),'FA Addition'!$L679,0)-Y679</f>
        <v>0</v>
      </c>
      <c r="AF679" s="117">
        <f t="shared" si="50"/>
        <v>31347.46</v>
      </c>
      <c r="AG679" s="117">
        <f>MIN(MAX(+$P$1-'FA Addition'!$D679,0),365*'FA Addition'!$O679)</f>
        <v>0</v>
      </c>
      <c r="AH679" s="117">
        <f>MIN(MAX($L$1-'FA Addition'!$D679+1,0),365*'FA Addition'!$O679)</f>
        <v>300</v>
      </c>
      <c r="AI679" s="117" cm="1">
        <f t="array" ref="AI679">_xlfn.XLOOKUP(1,('FA Write off'!A:A='FA Addition'!$A679)*('FA Write off'!D:D=AA679),'FA Write off'!H:H,0,0)</f>
        <v>0</v>
      </c>
      <c r="AJ679" s="117">
        <f>IF(AC679&gt;0,MAX(IF('FA Addition'!$N679="SLM",($AC679-'FA Addition'!$M679)*'FA Addition'!$P679*AI679/365,(AC679-'FA Addition'!$M679)*(1-(1-'FA Addition'!$P679)^(AI679/365))),0),0)</f>
        <v>0</v>
      </c>
      <c r="AL679" s="117">
        <f>MAX(IF(AG679&gt;0,IF('FA Addition'!$N679="SLM",($AE679-'FA Addition'!$M679)*'FA Addition'!$P679*AG679/365,IFERROR(VDB(AE679,AE679*0.05,'FA Addition'!$O679,0,YEARFRAC('FA Addition'!$C679,$P$1-1,3),'FA Addition'!$Q679),FAAddition[[#This Row],[Original Cost (Rs)]]-FAAddition[[#This Row],[Salvage Value]])),0),0)</f>
        <v>0</v>
      </c>
      <c r="AM679" s="119"/>
      <c r="AN679" s="117">
        <f>MAX(IF(AH679&gt;0,IF('FA Addition'!$N679="SLM",($AF679-'FA Addition'!$M679)*'FA Addition'!$P679*AH679/365,IFERROR(VDB(AF679,AF679*0.05,'FA Addition'!$O679,0,YEARFRAC('FA Addition'!$C679,$L$1,3),'FA Addition'!$Q679),FAAddition[[#This Row],[Original Cost (Rs)]]-FAAddition[[#This Row],[Salvage Value]])),0),0)</f>
        <v>16219.622126351691</v>
      </c>
      <c r="AO679" s="117">
        <f t="shared" si="53"/>
        <v>16219.622126351691</v>
      </c>
      <c r="AQ679" s="117">
        <f t="shared" si="51"/>
        <v>0</v>
      </c>
      <c r="AR679" s="120">
        <f t="shared" si="52"/>
        <v>15127.837873648308</v>
      </c>
      <c r="AS679" s="121"/>
    </row>
    <row r="680" spans="1:45" ht="13.5" x14ac:dyDescent="0.4">
      <c r="A680" s="12">
        <f t="shared" si="54"/>
        <v>677</v>
      </c>
      <c r="B680" s="64" t="s">
        <v>1308</v>
      </c>
      <c r="C680" s="54">
        <v>45084</v>
      </c>
      <c r="D680" s="54">
        <v>45084</v>
      </c>
      <c r="E680" s="46" t="s">
        <v>1389</v>
      </c>
      <c r="F680" s="51" t="s">
        <v>1112</v>
      </c>
      <c r="G680" s="51" t="s">
        <v>36</v>
      </c>
      <c r="H680" s="51" t="s">
        <v>1113</v>
      </c>
      <c r="I680" s="55" t="s">
        <v>1390</v>
      </c>
      <c r="J680" s="56">
        <v>3000</v>
      </c>
      <c r="K680" s="51" t="s">
        <v>1132</v>
      </c>
      <c r="L680" s="58">
        <v>2190000</v>
      </c>
      <c r="M680" s="50">
        <f>ROUND('FA Addition'!$L680*5%,0.1)</f>
        <v>109500</v>
      </c>
      <c r="N680" s="113" t="str">
        <f>_xlfn.XLOOKUP(_xlfn.CONCAT(E680,B680),'Year Wise Master Dep Approach'!F:F,'Year Wise Master Dep Approach'!D:D)</f>
        <v>SLM</v>
      </c>
      <c r="O680" s="113">
        <f>_xlfn.XLOOKUP(_xlfn.CONCAT(E680,B680),'Year Wise Master Dep Approach'!F:F,'Year Wise Master Dep Approach'!E:E)</f>
        <v>3</v>
      </c>
      <c r="P680" s="114">
        <f>IFERROR(IF('FA Addition'!$N680="WDV",1-('FA Addition'!$M680/'FA Addition'!$L680)^(1/'FA Addition'!$O680),1/'FA Addition'!$O680),0)</f>
        <v>0.33333333333333331</v>
      </c>
      <c r="Q680" s="122">
        <f>'FA Addition'!$P680*'FA Addition'!$O680</f>
        <v>1</v>
      </c>
      <c r="R680" s="122"/>
      <c r="S680" s="116">
        <f>IF(AND(DATE(20&amp;LEFT(FAAddition[[#This Row],[FY]],2),4,1)&lt;$L$1+1,DATE(20&amp;LEFT(FAAddition[[#This Row],[FY]],2),4,1)&gt;$P$1-1),'FA Addition'!$J680,0)</f>
        <v>3000</v>
      </c>
      <c r="U680" s="117">
        <f>S680*'FA Addition'!$L680/'FA Addition'!$J680</f>
        <v>2190000</v>
      </c>
      <c r="W680" s="116">
        <f>SUMIFS('FA Write off'!D:D,'FA Write off'!A:A,'FA Addition'!$A680,'FA Write off'!C:C,"&lt;"&amp;'FA Addition'!$P$1)</f>
        <v>0</v>
      </c>
      <c r="Y680" s="191">
        <f>IFERROR(W680/'FA Addition'!$J680*'FA Addition'!$L680,0)</f>
        <v>0</v>
      </c>
      <c r="AA680" s="116">
        <f>SUMIFS('FA Write off'!D:D,'FA Write off'!A:A,'FA Addition'!$A680,'FA Write off'!C:C,"&lt;"&amp;'FA Addition'!$L$1+1,'FA Write off'!C:C,"&gt;"&amp;'FA Addition'!$L$1-365)</f>
        <v>0</v>
      </c>
      <c r="AC680" s="118">
        <f>IFERROR(AA680/'FA Addition'!$J680*'FA Addition'!$L680,0)</f>
        <v>0</v>
      </c>
      <c r="AE680" s="117">
        <f>IF(AND('FA Addition'!$D680&lt;$P$1+1,U680=0),'FA Addition'!$L680,0)-Y680</f>
        <v>0</v>
      </c>
      <c r="AF680" s="117">
        <f t="shared" si="50"/>
        <v>2190000</v>
      </c>
      <c r="AG680" s="117">
        <f>MIN(MAX(+$P$1-'FA Addition'!$D680,0),365*'FA Addition'!$O680)</f>
        <v>0</v>
      </c>
      <c r="AH680" s="117">
        <f>MIN(MAX($L$1-'FA Addition'!$D680+1,0),365*'FA Addition'!$O680)</f>
        <v>299</v>
      </c>
      <c r="AI680" s="117" cm="1">
        <f t="array" ref="AI680">_xlfn.XLOOKUP(1,('FA Write off'!A:A='FA Addition'!$A680)*('FA Write off'!D:D=AA680),'FA Write off'!H:H,0,0)</f>
        <v>0</v>
      </c>
      <c r="AJ680" s="117">
        <f>IF(AC680&gt;0,MAX(IF('FA Addition'!$N680="SLM",($AC680-'FA Addition'!$M680)*'FA Addition'!$P680*AI680/365,(AC680-'FA Addition'!$M680)*(1-(1-'FA Addition'!$P680)^(AI680/365))),0),0)</f>
        <v>0</v>
      </c>
      <c r="AL680" s="117">
        <f>MAX(IF(AG680&gt;0,IF('FA Addition'!$N680="SLM",($AE680-'FA Addition'!$M680)*'FA Addition'!$P680*AG680/365,IFERROR(VDB(AE680,AE680*0.05,'FA Addition'!$O680,0,YEARFRAC('FA Addition'!$C680,$P$1-1,3),'FA Addition'!$Q680),FAAddition[[#This Row],[Original Cost (Rs)]]-FAAddition[[#This Row],[Salvage Value]])),0),0)</f>
        <v>0</v>
      </c>
      <c r="AM680" s="119"/>
      <c r="AN680" s="117">
        <f>MAX(IF(AH680&gt;0,IF('FA Addition'!$N680="SLM",($AF680-'FA Addition'!$M680)*'FA Addition'!$P680*AH680/365,IFERROR(VDB(AF680,AF680*0.05,'FA Addition'!$O680,0,YEARFRAC('FA Addition'!$C680,$L$1,3),'FA Addition'!$Q680),FAAddition[[#This Row],[Original Cost (Rs)]]-FAAddition[[#This Row],[Salvage Value]])),0),0)</f>
        <v>568100</v>
      </c>
      <c r="AO680" s="117">
        <f t="shared" si="53"/>
        <v>568100</v>
      </c>
      <c r="AQ680" s="117">
        <f t="shared" si="51"/>
        <v>0</v>
      </c>
      <c r="AR680" s="120">
        <f t="shared" si="52"/>
        <v>1621900</v>
      </c>
      <c r="AS680" s="121"/>
    </row>
    <row r="681" spans="1:45" ht="13.5" x14ac:dyDescent="0.4">
      <c r="A681" s="12">
        <f t="shared" si="54"/>
        <v>678</v>
      </c>
      <c r="B681" s="64" t="s">
        <v>1308</v>
      </c>
      <c r="C681" s="54">
        <v>45086</v>
      </c>
      <c r="D681" s="54">
        <v>45086</v>
      </c>
      <c r="E681" s="46" t="s">
        <v>32</v>
      </c>
      <c r="F681" s="51" t="s">
        <v>1090</v>
      </c>
      <c r="G681" s="51" t="s">
        <v>433</v>
      </c>
      <c r="H681" s="51" t="s">
        <v>32</v>
      </c>
      <c r="I681" s="55" t="s">
        <v>1391</v>
      </c>
      <c r="J681" s="56">
        <v>2500</v>
      </c>
      <c r="K681" s="51" t="s">
        <v>935</v>
      </c>
      <c r="L681" s="58">
        <f>2700000-10800</f>
        <v>2689200</v>
      </c>
      <c r="M681" s="50">
        <f>ROUND('FA Addition'!$L681*5%,0.1)</f>
        <v>134460</v>
      </c>
      <c r="N681" s="113" t="str">
        <f>_xlfn.XLOOKUP(_xlfn.CONCAT(E681,B681),'Year Wise Master Dep Approach'!F:F,'Year Wise Master Dep Approach'!D:D)</f>
        <v>SLM</v>
      </c>
      <c r="O681" s="113">
        <f>_xlfn.XLOOKUP(_xlfn.CONCAT(E681,B681),'Year Wise Master Dep Approach'!F:F,'Year Wise Master Dep Approach'!E:E)</f>
        <v>5</v>
      </c>
      <c r="P681" s="114">
        <f>IFERROR(IF('FA Addition'!$N681="WDV",1-('FA Addition'!$M681/'FA Addition'!$L681)^(1/'FA Addition'!$O681),1/'FA Addition'!$O681),0)</f>
        <v>0.2</v>
      </c>
      <c r="Q681" s="122">
        <f>'FA Addition'!$P681*'FA Addition'!$O681</f>
        <v>1</v>
      </c>
      <c r="R681" s="122"/>
      <c r="S681" s="116">
        <f>IF(AND(DATE(20&amp;LEFT(FAAddition[[#This Row],[FY]],2),4,1)&lt;$L$1+1,DATE(20&amp;LEFT(FAAddition[[#This Row],[FY]],2),4,1)&gt;$P$1-1),'FA Addition'!$J681,0)</f>
        <v>2500</v>
      </c>
      <c r="U681" s="117">
        <f>S681*'FA Addition'!$L681/'FA Addition'!$J681</f>
        <v>2689200</v>
      </c>
      <c r="W681" s="116">
        <f>SUMIFS('FA Write off'!D:D,'FA Write off'!A:A,'FA Addition'!$A681,'FA Write off'!C:C,"&lt;"&amp;'FA Addition'!$P$1)</f>
        <v>78</v>
      </c>
      <c r="Y681" s="191">
        <f>IFERROR(W681/'FA Addition'!$J681*'FA Addition'!$L681,0)</f>
        <v>83903.039999999994</v>
      </c>
      <c r="AA681" s="116">
        <f>SUMIFS('FA Write off'!D:D,'FA Write off'!A:A,'FA Addition'!$A681,'FA Write off'!C:C,"&lt;"&amp;'FA Addition'!$L$1+1,'FA Write off'!C:C,"&gt;"&amp;'FA Addition'!$L$1-365)</f>
        <v>0</v>
      </c>
      <c r="AC681" s="118">
        <f>IFERROR(AA681/'FA Addition'!$J681*'FA Addition'!$L681,0)</f>
        <v>0</v>
      </c>
      <c r="AE681" s="117">
        <f>IF(AND('FA Addition'!$D681&lt;$P$1+1,U681=0),'FA Addition'!$L681,0)-Y681</f>
        <v>-83903.039999999994</v>
      </c>
      <c r="AF681" s="117">
        <f t="shared" si="50"/>
        <v>2605296.96</v>
      </c>
      <c r="AG681" s="117">
        <f>MIN(MAX(+$P$1-'FA Addition'!$D681,0),365*'FA Addition'!$O681)</f>
        <v>0</v>
      </c>
      <c r="AH681" s="117">
        <f>MIN(MAX($L$1-'FA Addition'!$D681+1,0),365*'FA Addition'!$O681)</f>
        <v>297</v>
      </c>
      <c r="AI681" s="117" cm="1">
        <f t="array" ref="AI681">_xlfn.XLOOKUP(1,('FA Write off'!A:A='FA Addition'!$A681)*('FA Write off'!D:D=AA681),'FA Write off'!H:H,0,0)</f>
        <v>0</v>
      </c>
      <c r="AJ681" s="117">
        <f>IF(AC681&gt;0,MAX(IF('FA Addition'!$N681="SLM",($AC681-'FA Addition'!$M681)*'FA Addition'!$P681*AI681/365,(AC681-'FA Addition'!$M681)*(1-(1-'FA Addition'!$P681)^(AI681/365))),0),0)</f>
        <v>0</v>
      </c>
      <c r="AL681" s="117">
        <f>MAX(IF(AG681&gt;0,IF('FA Addition'!$N681="SLM",($AE681-'FA Addition'!$M681)*'FA Addition'!$P681*AG681/365,IFERROR(VDB(AE681,AE681*0.05,'FA Addition'!$O681,0,YEARFRAC('FA Addition'!$C681,$P$1-1,3),'FA Addition'!$Q681),FAAddition[[#This Row],[Original Cost (Rs)]]-FAAddition[[#This Row],[Salvage Value]])),0),0)</f>
        <v>0</v>
      </c>
      <c r="AM681" s="119"/>
      <c r="AN681" s="117">
        <f>MAX(IF(AH681&gt;0,IF('FA Addition'!$N681="SLM",($AF681-'FA Addition'!$M681)*'FA Addition'!$P681*AH681/365,IFERROR(VDB(AF681,AF681*0.05,'FA Addition'!$O681,0,YEARFRAC('FA Addition'!$C681,$L$1,3),'FA Addition'!$Q681),FAAddition[[#This Row],[Original Cost (Rs)]]-FAAddition[[#This Row],[Salvage Value]])),0),0)</f>
        <v>402103.32992876711</v>
      </c>
      <c r="AO681" s="117">
        <f t="shared" si="53"/>
        <v>402103.32992876711</v>
      </c>
      <c r="AQ681" s="117">
        <f t="shared" si="51"/>
        <v>-83903.039999999994</v>
      </c>
      <c r="AR681" s="120">
        <f t="shared" si="52"/>
        <v>2203193.630071233</v>
      </c>
      <c r="AS681" s="121"/>
    </row>
    <row r="682" spans="1:45" ht="13.5" x14ac:dyDescent="0.4">
      <c r="A682" s="12">
        <f t="shared" si="54"/>
        <v>679</v>
      </c>
      <c r="B682" s="64" t="s">
        <v>1308</v>
      </c>
      <c r="C682" s="54">
        <v>45086</v>
      </c>
      <c r="D682" s="54">
        <v>45086</v>
      </c>
      <c r="E682" s="46" t="s">
        <v>451</v>
      </c>
      <c r="F682" s="51" t="s">
        <v>19</v>
      </c>
      <c r="G682" s="51" t="s">
        <v>1386</v>
      </c>
      <c r="H682" s="51" t="s">
        <v>21</v>
      </c>
      <c r="I682" s="55" t="s">
        <v>1392</v>
      </c>
      <c r="J682" s="56">
        <v>1</v>
      </c>
      <c r="K682" s="51" t="s">
        <v>1393</v>
      </c>
      <c r="L682" s="58">
        <v>29652.54</v>
      </c>
      <c r="M682" s="50">
        <f>ROUND('FA Addition'!$L682*5%,0.1)</f>
        <v>1483</v>
      </c>
      <c r="N682" s="113" t="str">
        <f>_xlfn.XLOOKUP(_xlfn.CONCAT(E682,B682),'Year Wise Master Dep Approach'!F:F,'Year Wise Master Dep Approach'!D:D)</f>
        <v>WDV</v>
      </c>
      <c r="O682" s="113">
        <f>_xlfn.XLOOKUP(_xlfn.CONCAT(E682,B682),'Year Wise Master Dep Approach'!F:F,'Year Wise Master Dep Approach'!E:E)</f>
        <v>3</v>
      </c>
      <c r="P682" s="114">
        <f>IFERROR(IF('FA Addition'!$N682="WDV",1-('FA Addition'!$M682/'FA Addition'!$L682)^(1/'FA Addition'!$O682),1/'FA Addition'!$O682),0)</f>
        <v>0.63156595838033236</v>
      </c>
      <c r="Q682" s="122">
        <f>'FA Addition'!$P682*'FA Addition'!$O682</f>
        <v>1.8946978751409971</v>
      </c>
      <c r="R682" s="122"/>
      <c r="S682" s="116">
        <f>IF(AND(DATE(20&amp;LEFT(FAAddition[[#This Row],[FY]],2),4,1)&lt;$L$1+1,DATE(20&amp;LEFT(FAAddition[[#This Row],[FY]],2),4,1)&gt;$P$1-1),'FA Addition'!$J682,0)</f>
        <v>1</v>
      </c>
      <c r="U682" s="117">
        <f>S682*'FA Addition'!$L682/'FA Addition'!$J682</f>
        <v>29652.54</v>
      </c>
      <c r="W682" s="116">
        <f>SUMIFS('FA Write off'!D:D,'FA Write off'!A:A,'FA Addition'!$A682,'FA Write off'!C:C,"&lt;"&amp;'FA Addition'!$P$1)</f>
        <v>0</v>
      </c>
      <c r="Y682" s="191">
        <f>IFERROR(W682/'FA Addition'!$J682*'FA Addition'!$L682,0)</f>
        <v>0</v>
      </c>
      <c r="AA682" s="116">
        <f>SUMIFS('FA Write off'!D:D,'FA Write off'!A:A,'FA Addition'!$A682,'FA Write off'!C:C,"&lt;"&amp;'FA Addition'!$L$1+1,'FA Write off'!C:C,"&gt;"&amp;'FA Addition'!$L$1-365)</f>
        <v>0</v>
      </c>
      <c r="AC682" s="118">
        <f>IFERROR(AA682/'FA Addition'!$J682*'FA Addition'!$L682,0)</f>
        <v>0</v>
      </c>
      <c r="AE682" s="117">
        <f>IF(AND('FA Addition'!$D682&lt;$P$1+1,U682=0),'FA Addition'!$L682,0)-Y682</f>
        <v>0</v>
      </c>
      <c r="AF682" s="117">
        <f t="shared" si="50"/>
        <v>29652.54</v>
      </c>
      <c r="AG682" s="117">
        <f>MIN(MAX(+$P$1-'FA Addition'!$D682,0),365*'FA Addition'!$O682)</f>
        <v>0</v>
      </c>
      <c r="AH682" s="117">
        <f>MIN(MAX($L$1-'FA Addition'!$D682+1,0),365*'FA Addition'!$O682)</f>
        <v>297</v>
      </c>
      <c r="AI682" s="117" cm="1">
        <f t="array" ref="AI682">_xlfn.XLOOKUP(1,('FA Write off'!A:A='FA Addition'!$A682)*('FA Write off'!D:D=AA682),'FA Write off'!H:H,0,0)</f>
        <v>0</v>
      </c>
      <c r="AJ682" s="117">
        <f>IF(AC682&gt;0,MAX(IF('FA Addition'!$N682="SLM",($AC682-'FA Addition'!$M682)*'FA Addition'!$P682*AI682/365,(AC682-'FA Addition'!$M682)*(1-(1-'FA Addition'!$P682)^(AI682/365))),0),0)</f>
        <v>0</v>
      </c>
      <c r="AL682" s="117">
        <f>MAX(IF(AG682&gt;0,IF('FA Addition'!$N682="SLM",($AE682-'FA Addition'!$M682)*'FA Addition'!$P682*AG682/365,IFERROR(VDB(AE682,AE682*0.05,'FA Addition'!$O682,0,YEARFRAC('FA Addition'!$C682,$P$1-1,3),'FA Addition'!$Q682),FAAddition[[#This Row],[Original Cost (Rs)]]-FAAddition[[#This Row],[Salvage Value]])),0),0)</f>
        <v>0</v>
      </c>
      <c r="AM682" s="119"/>
      <c r="AN682" s="117">
        <f>MAX(IF(AH682&gt;0,IF('FA Addition'!$N682="SLM",($AF682-'FA Addition'!$M682)*'FA Addition'!$P682*AH682/365,IFERROR(VDB(AF682,AF682*0.05,'FA Addition'!$O682,0,YEARFRAC('FA Addition'!$C682,$L$1,3),'FA Addition'!$Q682),FAAddition[[#This Row],[Original Cost (Rs)]]-FAAddition[[#This Row],[Salvage Value]])),0),0)</f>
        <v>15187.26113336794</v>
      </c>
      <c r="AO682" s="117">
        <f t="shared" si="53"/>
        <v>15187.26113336794</v>
      </c>
      <c r="AQ682" s="117">
        <f t="shared" si="51"/>
        <v>0</v>
      </c>
      <c r="AR682" s="120">
        <f t="shared" si="52"/>
        <v>14465.278866632061</v>
      </c>
      <c r="AS682" s="121"/>
    </row>
    <row r="683" spans="1:45" ht="13.5" x14ac:dyDescent="0.4">
      <c r="A683" s="12">
        <f t="shared" si="54"/>
        <v>680</v>
      </c>
      <c r="B683" s="64" t="s">
        <v>1308</v>
      </c>
      <c r="C683" s="54">
        <v>45090</v>
      </c>
      <c r="D683" s="54">
        <v>45090</v>
      </c>
      <c r="E683" s="46" t="s">
        <v>451</v>
      </c>
      <c r="F683" s="51" t="s">
        <v>19</v>
      </c>
      <c r="G683" s="51" t="s">
        <v>1386</v>
      </c>
      <c r="H683" s="51" t="s">
        <v>21</v>
      </c>
      <c r="I683" s="55" t="s">
        <v>1394</v>
      </c>
      <c r="J683" s="56">
        <v>1</v>
      </c>
      <c r="K683" s="51" t="s">
        <v>1395</v>
      </c>
      <c r="L683" s="58">
        <v>29652.54</v>
      </c>
      <c r="M683" s="50">
        <f>ROUND('FA Addition'!$L683*5%,0.1)</f>
        <v>1483</v>
      </c>
      <c r="N683" s="113" t="str">
        <f>_xlfn.XLOOKUP(_xlfn.CONCAT(E683,B683),'Year Wise Master Dep Approach'!F:F,'Year Wise Master Dep Approach'!D:D)</f>
        <v>WDV</v>
      </c>
      <c r="O683" s="113">
        <f>_xlfn.XLOOKUP(_xlfn.CONCAT(E683,B683),'Year Wise Master Dep Approach'!F:F,'Year Wise Master Dep Approach'!E:E)</f>
        <v>3</v>
      </c>
      <c r="P683" s="114">
        <f>IFERROR(IF('FA Addition'!$N683="WDV",1-('FA Addition'!$M683/'FA Addition'!$L683)^(1/'FA Addition'!$O683),1/'FA Addition'!$O683),0)</f>
        <v>0.63156595838033236</v>
      </c>
      <c r="Q683" s="122">
        <f>'FA Addition'!$P683*'FA Addition'!$O683</f>
        <v>1.8946978751409971</v>
      </c>
      <c r="R683" s="122"/>
      <c r="S683" s="116">
        <f>IF(AND(DATE(20&amp;LEFT(FAAddition[[#This Row],[FY]],2),4,1)&lt;$L$1+1,DATE(20&amp;LEFT(FAAddition[[#This Row],[FY]],2),4,1)&gt;$P$1-1),'FA Addition'!$J683,0)</f>
        <v>1</v>
      </c>
      <c r="U683" s="117">
        <f>S683*'FA Addition'!$L683/'FA Addition'!$J683</f>
        <v>29652.54</v>
      </c>
      <c r="W683" s="116">
        <f>SUMIFS('FA Write off'!D:D,'FA Write off'!A:A,'FA Addition'!$A683,'FA Write off'!C:C,"&lt;"&amp;'FA Addition'!$P$1)</f>
        <v>0</v>
      </c>
      <c r="Y683" s="191">
        <f>IFERROR(W683/'FA Addition'!$J683*'FA Addition'!$L683,0)</f>
        <v>0</v>
      </c>
      <c r="AA683" s="116">
        <f>SUMIFS('FA Write off'!D:D,'FA Write off'!A:A,'FA Addition'!$A683,'FA Write off'!C:C,"&lt;"&amp;'FA Addition'!$L$1+1,'FA Write off'!C:C,"&gt;"&amp;'FA Addition'!$L$1-365)</f>
        <v>0</v>
      </c>
      <c r="AC683" s="118">
        <f>IFERROR(AA683/'FA Addition'!$J683*'FA Addition'!$L683,0)</f>
        <v>0</v>
      </c>
      <c r="AE683" s="117">
        <f>IF(AND('FA Addition'!$D683&lt;$P$1+1,U683=0),'FA Addition'!$L683,0)-Y683</f>
        <v>0</v>
      </c>
      <c r="AF683" s="117">
        <f t="shared" si="50"/>
        <v>29652.54</v>
      </c>
      <c r="AG683" s="117">
        <f>MIN(MAX(+$P$1-'FA Addition'!$D683,0),365*'FA Addition'!$O683)</f>
        <v>0</v>
      </c>
      <c r="AH683" s="117">
        <f>MIN(MAX($L$1-'FA Addition'!$D683+1,0),365*'FA Addition'!$O683)</f>
        <v>293</v>
      </c>
      <c r="AI683" s="117" cm="1">
        <f t="array" ref="AI683">_xlfn.XLOOKUP(1,('FA Write off'!A:A='FA Addition'!$A683)*('FA Write off'!D:D=AA683),'FA Write off'!H:H,0,0)</f>
        <v>0</v>
      </c>
      <c r="AJ683" s="117">
        <f>IF(AC683&gt;0,MAX(IF('FA Addition'!$N683="SLM",($AC683-'FA Addition'!$M683)*'FA Addition'!$P683*AI683/365,(AC683-'FA Addition'!$M683)*(1-(1-'FA Addition'!$P683)^(AI683/365))),0),0)</f>
        <v>0</v>
      </c>
      <c r="AL683" s="117">
        <f>MAX(IF(AG683&gt;0,IF('FA Addition'!$N683="SLM",($AE683-'FA Addition'!$M683)*'FA Addition'!$P683*AG683/365,IFERROR(VDB(AE683,AE683*0.05,'FA Addition'!$O683,0,YEARFRAC('FA Addition'!$C683,$P$1-1,3),'FA Addition'!$Q683),FAAddition[[#This Row],[Original Cost (Rs)]]-FAAddition[[#This Row],[Salvage Value]])),0),0)</f>
        <v>0</v>
      </c>
      <c r="AM683" s="119"/>
      <c r="AN683" s="117">
        <f>MAX(IF(AH683&gt;0,IF('FA Addition'!$N683="SLM",($AF683-'FA Addition'!$M683)*'FA Addition'!$P683*AH683/365,IFERROR(VDB(AF683,AF683*0.05,'FA Addition'!$O683,0,YEARFRAC('FA Addition'!$C683,$L$1,3),'FA Addition'!$Q683),FAAddition[[#This Row],[Original Cost (Rs)]]-FAAddition[[#This Row],[Salvage Value]])),0),0)</f>
        <v>14982.027874808913</v>
      </c>
      <c r="AO683" s="117">
        <f t="shared" si="53"/>
        <v>14982.027874808913</v>
      </c>
      <c r="AQ683" s="117">
        <f t="shared" si="51"/>
        <v>0</v>
      </c>
      <c r="AR683" s="120">
        <f t="shared" si="52"/>
        <v>14670.512125191088</v>
      </c>
      <c r="AS683" s="121"/>
    </row>
    <row r="684" spans="1:45" ht="13.5" x14ac:dyDescent="0.4">
      <c r="A684" s="12">
        <f t="shared" si="54"/>
        <v>681</v>
      </c>
      <c r="B684" s="64" t="s">
        <v>1308</v>
      </c>
      <c r="C684" s="54">
        <v>45090</v>
      </c>
      <c r="D684" s="54">
        <v>45090</v>
      </c>
      <c r="E684" s="46" t="s">
        <v>451</v>
      </c>
      <c r="F684" s="51" t="s">
        <v>19</v>
      </c>
      <c r="G684" s="51" t="s">
        <v>1386</v>
      </c>
      <c r="H684" s="51" t="s">
        <v>21</v>
      </c>
      <c r="I684" s="55" t="s">
        <v>1394</v>
      </c>
      <c r="J684" s="56">
        <v>1</v>
      </c>
      <c r="K684" s="51" t="s">
        <v>1395</v>
      </c>
      <c r="L684" s="58">
        <v>29652.54</v>
      </c>
      <c r="M684" s="50">
        <f>ROUND('FA Addition'!$L684*5%,0.1)</f>
        <v>1483</v>
      </c>
      <c r="N684" s="113" t="str">
        <f>_xlfn.XLOOKUP(_xlfn.CONCAT(E684,B684),'Year Wise Master Dep Approach'!F:F,'Year Wise Master Dep Approach'!D:D)</f>
        <v>WDV</v>
      </c>
      <c r="O684" s="113">
        <f>_xlfn.XLOOKUP(_xlfn.CONCAT(E684,B684),'Year Wise Master Dep Approach'!F:F,'Year Wise Master Dep Approach'!E:E)</f>
        <v>3</v>
      </c>
      <c r="P684" s="114">
        <f>IFERROR(IF('FA Addition'!$N684="WDV",1-('FA Addition'!$M684/'FA Addition'!$L684)^(1/'FA Addition'!$O684),1/'FA Addition'!$O684),0)</f>
        <v>0.63156595838033236</v>
      </c>
      <c r="Q684" s="122">
        <f>'FA Addition'!$P684*'FA Addition'!$O684</f>
        <v>1.8946978751409971</v>
      </c>
      <c r="R684" s="122"/>
      <c r="S684" s="116">
        <f>IF(AND(DATE(20&amp;LEFT(FAAddition[[#This Row],[FY]],2),4,1)&lt;$L$1+1,DATE(20&amp;LEFT(FAAddition[[#This Row],[FY]],2),4,1)&gt;$P$1-1),'FA Addition'!$J684,0)</f>
        <v>1</v>
      </c>
      <c r="U684" s="117">
        <f>S684*'FA Addition'!$L684/'FA Addition'!$J684</f>
        <v>29652.54</v>
      </c>
      <c r="W684" s="116">
        <f>SUMIFS('FA Write off'!D:D,'FA Write off'!A:A,'FA Addition'!$A684,'FA Write off'!C:C,"&lt;"&amp;'FA Addition'!$P$1)</f>
        <v>0</v>
      </c>
      <c r="Y684" s="191">
        <f>IFERROR(W684/'FA Addition'!$J684*'FA Addition'!$L684,0)</f>
        <v>0</v>
      </c>
      <c r="AA684" s="116">
        <f>SUMIFS('FA Write off'!D:D,'FA Write off'!A:A,'FA Addition'!$A684,'FA Write off'!C:C,"&lt;"&amp;'FA Addition'!$L$1+1,'FA Write off'!C:C,"&gt;"&amp;'FA Addition'!$L$1-365)</f>
        <v>0</v>
      </c>
      <c r="AC684" s="118">
        <f>IFERROR(AA684/'FA Addition'!$J684*'FA Addition'!$L684,0)</f>
        <v>0</v>
      </c>
      <c r="AE684" s="117">
        <f>IF(AND('FA Addition'!$D684&lt;$P$1+1,U684=0),'FA Addition'!$L684,0)-Y684</f>
        <v>0</v>
      </c>
      <c r="AF684" s="117">
        <f t="shared" si="50"/>
        <v>29652.54</v>
      </c>
      <c r="AG684" s="117">
        <f>MIN(MAX(+$P$1-'FA Addition'!$D684,0),365*'FA Addition'!$O684)</f>
        <v>0</v>
      </c>
      <c r="AH684" s="117">
        <f>MIN(MAX($L$1-'FA Addition'!$D684+1,0),365*'FA Addition'!$O684)</f>
        <v>293</v>
      </c>
      <c r="AI684" s="117" cm="1">
        <f t="array" ref="AI684">_xlfn.XLOOKUP(1,('FA Write off'!A:A='FA Addition'!$A684)*('FA Write off'!D:D=AA684),'FA Write off'!H:H,0,0)</f>
        <v>0</v>
      </c>
      <c r="AJ684" s="117">
        <f>IF(AC684&gt;0,MAX(IF('FA Addition'!$N684="SLM",($AC684-'FA Addition'!$M684)*'FA Addition'!$P684*AI684/365,(AC684-'FA Addition'!$M684)*(1-(1-'FA Addition'!$P684)^(AI684/365))),0),0)</f>
        <v>0</v>
      </c>
      <c r="AL684" s="117">
        <f>MAX(IF(AG684&gt;0,IF('FA Addition'!$N684="SLM",($AE684-'FA Addition'!$M684)*'FA Addition'!$P684*AG684/365,IFERROR(VDB(AE684,AE684*0.05,'FA Addition'!$O684,0,YEARFRAC('FA Addition'!$C684,$P$1-1,3),'FA Addition'!$Q684),FAAddition[[#This Row],[Original Cost (Rs)]]-FAAddition[[#This Row],[Salvage Value]])),0),0)</f>
        <v>0</v>
      </c>
      <c r="AM684" s="119"/>
      <c r="AN684" s="117">
        <f>MAX(IF(AH684&gt;0,IF('FA Addition'!$N684="SLM",($AF684-'FA Addition'!$M684)*'FA Addition'!$P684*AH684/365,IFERROR(VDB(AF684,AF684*0.05,'FA Addition'!$O684,0,YEARFRAC('FA Addition'!$C684,$L$1,3),'FA Addition'!$Q684),FAAddition[[#This Row],[Original Cost (Rs)]]-FAAddition[[#This Row],[Salvage Value]])),0),0)</f>
        <v>14982.027874808913</v>
      </c>
      <c r="AO684" s="117">
        <f t="shared" si="53"/>
        <v>14982.027874808913</v>
      </c>
      <c r="AQ684" s="117">
        <f t="shared" si="51"/>
        <v>0</v>
      </c>
      <c r="AR684" s="120">
        <f t="shared" si="52"/>
        <v>14670.512125191088</v>
      </c>
      <c r="AS684" s="121"/>
    </row>
    <row r="685" spans="1:45" ht="13.5" x14ac:dyDescent="0.4">
      <c r="A685" s="12">
        <f t="shared" si="54"/>
        <v>682</v>
      </c>
      <c r="B685" s="64" t="s">
        <v>1308</v>
      </c>
      <c r="C685" s="54">
        <v>45090</v>
      </c>
      <c r="D685" s="54">
        <v>45090</v>
      </c>
      <c r="E685" s="46" t="s">
        <v>451</v>
      </c>
      <c r="F685" s="51" t="s">
        <v>19</v>
      </c>
      <c r="G685" s="51" t="s">
        <v>1386</v>
      </c>
      <c r="H685" s="51" t="s">
        <v>21</v>
      </c>
      <c r="I685" s="55" t="s">
        <v>1394</v>
      </c>
      <c r="J685" s="56">
        <v>1</v>
      </c>
      <c r="K685" s="51" t="s">
        <v>1395</v>
      </c>
      <c r="L685" s="58">
        <v>29652.54</v>
      </c>
      <c r="M685" s="50">
        <f>ROUND('FA Addition'!$L685*5%,0.1)</f>
        <v>1483</v>
      </c>
      <c r="N685" s="113" t="str">
        <f>_xlfn.XLOOKUP(_xlfn.CONCAT(E685,B685),'Year Wise Master Dep Approach'!F:F,'Year Wise Master Dep Approach'!D:D)</f>
        <v>WDV</v>
      </c>
      <c r="O685" s="113">
        <f>_xlfn.XLOOKUP(_xlfn.CONCAT(E685,B685),'Year Wise Master Dep Approach'!F:F,'Year Wise Master Dep Approach'!E:E)</f>
        <v>3</v>
      </c>
      <c r="P685" s="114">
        <f>IFERROR(IF('FA Addition'!$N685="WDV",1-('FA Addition'!$M685/'FA Addition'!$L685)^(1/'FA Addition'!$O685),1/'FA Addition'!$O685),0)</f>
        <v>0.63156595838033236</v>
      </c>
      <c r="Q685" s="122">
        <f>'FA Addition'!$P685*'FA Addition'!$O685</f>
        <v>1.8946978751409971</v>
      </c>
      <c r="R685" s="122"/>
      <c r="S685" s="116">
        <f>IF(AND(DATE(20&amp;LEFT(FAAddition[[#This Row],[FY]],2),4,1)&lt;$L$1+1,DATE(20&amp;LEFT(FAAddition[[#This Row],[FY]],2),4,1)&gt;$P$1-1),'FA Addition'!$J685,0)</f>
        <v>1</v>
      </c>
      <c r="U685" s="117">
        <f>S685*'FA Addition'!$L685/'FA Addition'!$J685</f>
        <v>29652.54</v>
      </c>
      <c r="W685" s="116">
        <f>SUMIFS('FA Write off'!D:D,'FA Write off'!A:A,'FA Addition'!$A685,'FA Write off'!C:C,"&lt;"&amp;'FA Addition'!$P$1)</f>
        <v>0</v>
      </c>
      <c r="Y685" s="191">
        <f>IFERROR(W685/'FA Addition'!$J685*'FA Addition'!$L685,0)</f>
        <v>0</v>
      </c>
      <c r="AA685" s="116">
        <f>SUMIFS('FA Write off'!D:D,'FA Write off'!A:A,'FA Addition'!$A685,'FA Write off'!C:C,"&lt;"&amp;'FA Addition'!$L$1+1,'FA Write off'!C:C,"&gt;"&amp;'FA Addition'!$L$1-365)</f>
        <v>0</v>
      </c>
      <c r="AC685" s="118">
        <f>IFERROR(AA685/'FA Addition'!$J685*'FA Addition'!$L685,0)</f>
        <v>0</v>
      </c>
      <c r="AE685" s="117">
        <f>IF(AND('FA Addition'!$D685&lt;$P$1+1,U685=0),'FA Addition'!$L685,0)-Y685</f>
        <v>0</v>
      </c>
      <c r="AF685" s="117">
        <f t="shared" si="50"/>
        <v>29652.54</v>
      </c>
      <c r="AG685" s="117">
        <f>MIN(MAX(+$P$1-'FA Addition'!$D685,0),365*'FA Addition'!$O685)</f>
        <v>0</v>
      </c>
      <c r="AH685" s="117">
        <f>MIN(MAX($L$1-'FA Addition'!$D685+1,0),365*'FA Addition'!$O685)</f>
        <v>293</v>
      </c>
      <c r="AI685" s="117" cm="1">
        <f t="array" ref="AI685">_xlfn.XLOOKUP(1,('FA Write off'!A:A='FA Addition'!$A685)*('FA Write off'!D:D=AA685),'FA Write off'!H:H,0,0)</f>
        <v>0</v>
      </c>
      <c r="AJ685" s="117">
        <f>IF(AC685&gt;0,MAX(IF('FA Addition'!$N685="SLM",($AC685-'FA Addition'!$M685)*'FA Addition'!$P685*AI685/365,(AC685-'FA Addition'!$M685)*(1-(1-'FA Addition'!$P685)^(AI685/365))),0),0)</f>
        <v>0</v>
      </c>
      <c r="AL685" s="117">
        <f>MAX(IF(AG685&gt;0,IF('FA Addition'!$N685="SLM",($AE685-'FA Addition'!$M685)*'FA Addition'!$P685*AG685/365,IFERROR(VDB(AE685,AE685*0.05,'FA Addition'!$O685,0,YEARFRAC('FA Addition'!$C685,$P$1-1,3),'FA Addition'!$Q685),FAAddition[[#This Row],[Original Cost (Rs)]]-FAAddition[[#This Row],[Salvage Value]])),0),0)</f>
        <v>0</v>
      </c>
      <c r="AM685" s="119"/>
      <c r="AN685" s="117">
        <f>MAX(IF(AH685&gt;0,IF('FA Addition'!$N685="SLM",($AF685-'FA Addition'!$M685)*'FA Addition'!$P685*AH685/365,IFERROR(VDB(AF685,AF685*0.05,'FA Addition'!$O685,0,YEARFRAC('FA Addition'!$C685,$L$1,3),'FA Addition'!$Q685),FAAddition[[#This Row],[Original Cost (Rs)]]-FAAddition[[#This Row],[Salvage Value]])),0),0)</f>
        <v>14982.027874808913</v>
      </c>
      <c r="AO685" s="117">
        <f t="shared" si="53"/>
        <v>14982.027874808913</v>
      </c>
      <c r="AQ685" s="117">
        <f t="shared" si="51"/>
        <v>0</v>
      </c>
      <c r="AR685" s="120">
        <f t="shared" si="52"/>
        <v>14670.512125191088</v>
      </c>
      <c r="AS685" s="121"/>
    </row>
    <row r="686" spans="1:45" ht="13.5" x14ac:dyDescent="0.4">
      <c r="A686" s="12">
        <f t="shared" si="54"/>
        <v>683</v>
      </c>
      <c r="B686" s="64" t="s">
        <v>1308</v>
      </c>
      <c r="C686" s="54">
        <v>45090</v>
      </c>
      <c r="D686" s="54">
        <v>45090</v>
      </c>
      <c r="E686" s="46" t="s">
        <v>451</v>
      </c>
      <c r="F686" s="51" t="s">
        <v>19</v>
      </c>
      <c r="G686" s="51" t="s">
        <v>1386</v>
      </c>
      <c r="H686" s="51" t="s">
        <v>21</v>
      </c>
      <c r="I686" s="55" t="s">
        <v>1394</v>
      </c>
      <c r="J686" s="56">
        <v>1</v>
      </c>
      <c r="K686" s="51" t="s">
        <v>1395</v>
      </c>
      <c r="L686" s="58">
        <v>29652.54</v>
      </c>
      <c r="M686" s="50">
        <f>ROUND('FA Addition'!$L686*5%,0.1)</f>
        <v>1483</v>
      </c>
      <c r="N686" s="113" t="str">
        <f>_xlfn.XLOOKUP(_xlfn.CONCAT(E686,B686),'Year Wise Master Dep Approach'!F:F,'Year Wise Master Dep Approach'!D:D)</f>
        <v>WDV</v>
      </c>
      <c r="O686" s="113">
        <f>_xlfn.XLOOKUP(_xlfn.CONCAT(E686,B686),'Year Wise Master Dep Approach'!F:F,'Year Wise Master Dep Approach'!E:E)</f>
        <v>3</v>
      </c>
      <c r="P686" s="114">
        <f>IFERROR(IF('FA Addition'!$N686="WDV",1-('FA Addition'!$M686/'FA Addition'!$L686)^(1/'FA Addition'!$O686),1/'FA Addition'!$O686),0)</f>
        <v>0.63156595838033236</v>
      </c>
      <c r="Q686" s="122">
        <f>'FA Addition'!$P686*'FA Addition'!$O686</f>
        <v>1.8946978751409971</v>
      </c>
      <c r="R686" s="122"/>
      <c r="S686" s="116">
        <f>IF(AND(DATE(20&amp;LEFT(FAAddition[[#This Row],[FY]],2),4,1)&lt;$L$1+1,DATE(20&amp;LEFT(FAAddition[[#This Row],[FY]],2),4,1)&gt;$P$1-1),'FA Addition'!$J686,0)</f>
        <v>1</v>
      </c>
      <c r="U686" s="117">
        <f>S686*'FA Addition'!$L686/'FA Addition'!$J686</f>
        <v>29652.54</v>
      </c>
      <c r="W686" s="116">
        <f>SUMIFS('FA Write off'!D:D,'FA Write off'!A:A,'FA Addition'!$A686,'FA Write off'!C:C,"&lt;"&amp;'FA Addition'!$P$1)</f>
        <v>0</v>
      </c>
      <c r="Y686" s="191">
        <f>IFERROR(W686/'FA Addition'!$J686*'FA Addition'!$L686,0)</f>
        <v>0</v>
      </c>
      <c r="AA686" s="116">
        <f>SUMIFS('FA Write off'!D:D,'FA Write off'!A:A,'FA Addition'!$A686,'FA Write off'!C:C,"&lt;"&amp;'FA Addition'!$L$1+1,'FA Write off'!C:C,"&gt;"&amp;'FA Addition'!$L$1-365)</f>
        <v>0</v>
      </c>
      <c r="AC686" s="118">
        <f>IFERROR(AA686/'FA Addition'!$J686*'FA Addition'!$L686,0)</f>
        <v>0</v>
      </c>
      <c r="AE686" s="117">
        <f>IF(AND('FA Addition'!$D686&lt;$P$1+1,U686=0),'FA Addition'!$L686,0)-Y686</f>
        <v>0</v>
      </c>
      <c r="AF686" s="117">
        <f t="shared" si="50"/>
        <v>29652.54</v>
      </c>
      <c r="AG686" s="117">
        <f>MIN(MAX(+$P$1-'FA Addition'!$D686,0),365*'FA Addition'!$O686)</f>
        <v>0</v>
      </c>
      <c r="AH686" s="117">
        <f>MIN(MAX($L$1-'FA Addition'!$D686+1,0),365*'FA Addition'!$O686)</f>
        <v>293</v>
      </c>
      <c r="AI686" s="117" cm="1">
        <f t="array" ref="AI686">_xlfn.XLOOKUP(1,('FA Write off'!A:A='FA Addition'!$A686)*('FA Write off'!D:D=AA686),'FA Write off'!H:H,0,0)</f>
        <v>0</v>
      </c>
      <c r="AJ686" s="117">
        <f>IF(AC686&gt;0,MAX(IF('FA Addition'!$N686="SLM",($AC686-'FA Addition'!$M686)*'FA Addition'!$P686*AI686/365,(AC686-'FA Addition'!$M686)*(1-(1-'FA Addition'!$P686)^(AI686/365))),0),0)</f>
        <v>0</v>
      </c>
      <c r="AL686" s="117">
        <f>MAX(IF(AG686&gt;0,IF('FA Addition'!$N686="SLM",($AE686-'FA Addition'!$M686)*'FA Addition'!$P686*AG686/365,IFERROR(VDB(AE686,AE686*0.05,'FA Addition'!$O686,0,YEARFRAC('FA Addition'!$C686,$P$1-1,3),'FA Addition'!$Q686),FAAddition[[#This Row],[Original Cost (Rs)]]-FAAddition[[#This Row],[Salvage Value]])),0),0)</f>
        <v>0</v>
      </c>
      <c r="AM686" s="119"/>
      <c r="AN686" s="117">
        <f>MAX(IF(AH686&gt;0,IF('FA Addition'!$N686="SLM",($AF686-'FA Addition'!$M686)*'FA Addition'!$P686*AH686/365,IFERROR(VDB(AF686,AF686*0.05,'FA Addition'!$O686,0,YEARFRAC('FA Addition'!$C686,$L$1,3),'FA Addition'!$Q686),FAAddition[[#This Row],[Original Cost (Rs)]]-FAAddition[[#This Row],[Salvage Value]])),0),0)</f>
        <v>14982.027874808913</v>
      </c>
      <c r="AO686" s="117">
        <f t="shared" si="53"/>
        <v>14982.027874808913</v>
      </c>
      <c r="AQ686" s="117">
        <f t="shared" si="51"/>
        <v>0</v>
      </c>
      <c r="AR686" s="120">
        <f t="shared" si="52"/>
        <v>14670.512125191088</v>
      </c>
      <c r="AS686" s="121"/>
    </row>
    <row r="687" spans="1:45" ht="13.5" x14ac:dyDescent="0.4">
      <c r="A687" s="12">
        <f t="shared" si="54"/>
        <v>684</v>
      </c>
      <c r="B687" s="64" t="s">
        <v>1308</v>
      </c>
      <c r="C687" s="54">
        <v>45090</v>
      </c>
      <c r="D687" s="54">
        <v>45090</v>
      </c>
      <c r="E687" s="46" t="s">
        <v>451</v>
      </c>
      <c r="F687" s="51" t="s">
        <v>19</v>
      </c>
      <c r="G687" s="51" t="s">
        <v>1396</v>
      </c>
      <c r="H687" s="51" t="s">
        <v>21</v>
      </c>
      <c r="I687" s="55" t="s">
        <v>1397</v>
      </c>
      <c r="J687" s="56">
        <v>1</v>
      </c>
      <c r="K687" s="51" t="s">
        <v>1398</v>
      </c>
      <c r="L687" s="58">
        <v>90669.49</v>
      </c>
      <c r="M687" s="50">
        <f>ROUND('FA Addition'!$L687*5%,0.1)</f>
        <v>4533</v>
      </c>
      <c r="N687" s="113" t="str">
        <f>_xlfn.XLOOKUP(_xlfn.CONCAT(E687,B687),'Year Wise Master Dep Approach'!F:F,'Year Wise Master Dep Approach'!D:D)</f>
        <v>WDV</v>
      </c>
      <c r="O687" s="113">
        <f>_xlfn.XLOOKUP(_xlfn.CONCAT(E687,B687),'Year Wise Master Dep Approach'!F:F,'Year Wise Master Dep Approach'!E:E)</f>
        <v>3</v>
      </c>
      <c r="P687" s="114">
        <f>IFERROR(IF('FA Addition'!$N687="WDV",1-('FA Addition'!$M687/'FA Addition'!$L687)^(1/'FA Addition'!$O687),1/'FA Addition'!$O687),0)</f>
        <v>0.63160970366171743</v>
      </c>
      <c r="Q687" s="122">
        <f>'FA Addition'!$P687*'FA Addition'!$O687</f>
        <v>1.8948291109851523</v>
      </c>
      <c r="R687" s="122"/>
      <c r="S687" s="116">
        <f>IF(AND(DATE(20&amp;LEFT(FAAddition[[#This Row],[FY]],2),4,1)&lt;$L$1+1,DATE(20&amp;LEFT(FAAddition[[#This Row],[FY]],2),4,1)&gt;$P$1-1),'FA Addition'!$J687,0)</f>
        <v>1</v>
      </c>
      <c r="U687" s="117">
        <f>S687*'FA Addition'!$L687/'FA Addition'!$J687</f>
        <v>90669.49</v>
      </c>
      <c r="W687" s="116">
        <f>SUMIFS('FA Write off'!D:D,'FA Write off'!A:A,'FA Addition'!$A687,'FA Write off'!C:C,"&lt;"&amp;'FA Addition'!$P$1)</f>
        <v>0</v>
      </c>
      <c r="Y687" s="191">
        <f>IFERROR(W687/'FA Addition'!$J687*'FA Addition'!$L687,0)</f>
        <v>0</v>
      </c>
      <c r="AA687" s="116">
        <f>SUMIFS('FA Write off'!D:D,'FA Write off'!A:A,'FA Addition'!$A687,'FA Write off'!C:C,"&lt;"&amp;'FA Addition'!$L$1+1,'FA Write off'!C:C,"&gt;"&amp;'FA Addition'!$L$1-365)</f>
        <v>0</v>
      </c>
      <c r="AC687" s="118">
        <f>IFERROR(AA687/'FA Addition'!$J687*'FA Addition'!$L687,0)</f>
        <v>0</v>
      </c>
      <c r="AE687" s="117">
        <f>IF(AND('FA Addition'!$D687&lt;$P$1+1,U687=0),'FA Addition'!$L687,0)-Y687</f>
        <v>0</v>
      </c>
      <c r="AF687" s="117">
        <f t="shared" si="50"/>
        <v>90669.49</v>
      </c>
      <c r="AG687" s="117">
        <f>MIN(MAX(+$P$1-'FA Addition'!$D687,0),365*'FA Addition'!$O687)</f>
        <v>0</v>
      </c>
      <c r="AH687" s="117">
        <f>MIN(MAX($L$1-'FA Addition'!$D687+1,0),365*'FA Addition'!$O687)</f>
        <v>293</v>
      </c>
      <c r="AI687" s="117" cm="1">
        <f t="array" ref="AI687">_xlfn.XLOOKUP(1,('FA Write off'!A:A='FA Addition'!$A687)*('FA Write off'!D:D=AA687),'FA Write off'!H:H,0,0)</f>
        <v>0</v>
      </c>
      <c r="AJ687" s="117">
        <f>IF(AC687&gt;0,MAX(IF('FA Addition'!$N687="SLM",($AC687-'FA Addition'!$M687)*'FA Addition'!$P687*AI687/365,(AC687-'FA Addition'!$M687)*(1-(1-'FA Addition'!$P687)^(AI687/365))),0),0)</f>
        <v>0</v>
      </c>
      <c r="AL687" s="117">
        <f>MAX(IF(AG687&gt;0,IF('FA Addition'!$N687="SLM",($AE687-'FA Addition'!$M687)*'FA Addition'!$P687*AG687/365,IFERROR(VDB(AE687,AE687*0.05,'FA Addition'!$O687,0,YEARFRAC('FA Addition'!$C687,$P$1-1,3),'FA Addition'!$Q687),FAAddition[[#This Row],[Original Cost (Rs)]]-FAAddition[[#This Row],[Salvage Value]])),0),0)</f>
        <v>0</v>
      </c>
      <c r="AM687" s="119"/>
      <c r="AN687" s="117">
        <f>MAX(IF(AH687&gt;0,IF('FA Addition'!$N687="SLM",($AF687-'FA Addition'!$M687)*'FA Addition'!$P687*AH687/365,IFERROR(VDB(AF687,AF687*0.05,'FA Addition'!$O687,0,YEARFRAC('FA Addition'!$C687,$L$1,3),'FA Addition'!$Q687),FAAddition[[#This Row],[Original Cost (Rs)]]-FAAddition[[#This Row],[Salvage Value]])),0),0)</f>
        <v>45814.183768047245</v>
      </c>
      <c r="AO687" s="117">
        <f t="shared" si="53"/>
        <v>45814.183768047245</v>
      </c>
      <c r="AQ687" s="117">
        <f t="shared" si="51"/>
        <v>0</v>
      </c>
      <c r="AR687" s="120">
        <f t="shared" si="52"/>
        <v>44855.30623195276</v>
      </c>
      <c r="AS687" s="121"/>
    </row>
    <row r="688" spans="1:45" ht="13.5" x14ac:dyDescent="0.4">
      <c r="A688" s="12">
        <f t="shared" si="54"/>
        <v>685</v>
      </c>
      <c r="B688" s="64" t="s">
        <v>1308</v>
      </c>
      <c r="C688" s="54">
        <v>45090</v>
      </c>
      <c r="D688" s="54">
        <v>45090</v>
      </c>
      <c r="E688" s="46" t="s">
        <v>207</v>
      </c>
      <c r="F688" s="51" t="s">
        <v>1372</v>
      </c>
      <c r="G688" s="51" t="s">
        <v>1399</v>
      </c>
      <c r="H688" s="51" t="s">
        <v>207</v>
      </c>
      <c r="I688" s="55" t="s">
        <v>1400</v>
      </c>
      <c r="J688" s="56">
        <v>1</v>
      </c>
      <c r="K688" s="51" t="s">
        <v>1401</v>
      </c>
      <c r="L688" s="58">
        <v>5931.36</v>
      </c>
      <c r="M688" s="50">
        <f>ROUND('FA Addition'!$L688*5%,0.1)</f>
        <v>297</v>
      </c>
      <c r="N688" s="113" t="str">
        <f>_xlfn.XLOOKUP(_xlfn.CONCAT(E688,B688),'Year Wise Master Dep Approach'!F:F,'Year Wise Master Dep Approach'!D:D)</f>
        <v>WDV</v>
      </c>
      <c r="O688" s="113">
        <f>_xlfn.XLOOKUP(_xlfn.CONCAT(E688,B688),'Year Wise Master Dep Approach'!F:F,'Year Wise Master Dep Approach'!E:E)</f>
        <v>5</v>
      </c>
      <c r="P688" s="114">
        <f>IFERROR(IF('FA Addition'!$N688="WDV",1-('FA Addition'!$M688/'FA Addition'!$L688)^(1/'FA Addition'!$O688),1/'FA Addition'!$O688),0)</f>
        <v>0.45055979811990055</v>
      </c>
      <c r="Q688" s="122">
        <f>'FA Addition'!$P688*'FA Addition'!$O688</f>
        <v>2.2527989905995027</v>
      </c>
      <c r="R688" s="122"/>
      <c r="S688" s="116">
        <f>IF(AND(DATE(20&amp;LEFT(FAAddition[[#This Row],[FY]],2),4,1)&lt;$L$1+1,DATE(20&amp;LEFT(FAAddition[[#This Row],[FY]],2),4,1)&gt;$P$1-1),'FA Addition'!$J688,0)</f>
        <v>1</v>
      </c>
      <c r="U688" s="117">
        <f>S688*'FA Addition'!$L688/'FA Addition'!$J688</f>
        <v>5931.36</v>
      </c>
      <c r="W688" s="116">
        <f>SUMIFS('FA Write off'!D:D,'FA Write off'!A:A,'FA Addition'!$A688,'FA Write off'!C:C,"&lt;"&amp;'FA Addition'!$P$1)</f>
        <v>0</v>
      </c>
      <c r="Y688" s="191">
        <f>IFERROR(W688/'FA Addition'!$J688*'FA Addition'!$L688,0)</f>
        <v>0</v>
      </c>
      <c r="AA688" s="116">
        <f>SUMIFS('FA Write off'!D:D,'FA Write off'!A:A,'FA Addition'!$A688,'FA Write off'!C:C,"&lt;"&amp;'FA Addition'!$L$1+1,'FA Write off'!C:C,"&gt;"&amp;'FA Addition'!$L$1-365)</f>
        <v>0</v>
      </c>
      <c r="AC688" s="118">
        <f>IFERROR(AA688/'FA Addition'!$J688*'FA Addition'!$L688,0)</f>
        <v>0</v>
      </c>
      <c r="AE688" s="117">
        <f>IF(AND('FA Addition'!$D688&lt;$P$1+1,U688=0),'FA Addition'!$L688,0)-Y688</f>
        <v>0</v>
      </c>
      <c r="AF688" s="117">
        <f t="shared" si="50"/>
        <v>5931.36</v>
      </c>
      <c r="AG688" s="117">
        <f>MIN(MAX(+$P$1-'FA Addition'!$D688,0),365*'FA Addition'!$O688)</f>
        <v>0</v>
      </c>
      <c r="AH688" s="117">
        <f>MIN(MAX($L$1-'FA Addition'!$D688+1,0),365*'FA Addition'!$O688)</f>
        <v>293</v>
      </c>
      <c r="AI688" s="117" cm="1">
        <f t="array" ref="AI688">_xlfn.XLOOKUP(1,('FA Write off'!A:A='FA Addition'!$A688)*('FA Write off'!D:D=AA688),'FA Write off'!H:H,0,0)</f>
        <v>0</v>
      </c>
      <c r="AJ688" s="117">
        <f>IF(AC688&gt;0,MAX(IF('FA Addition'!$N688="SLM",($AC688-'FA Addition'!$M688)*'FA Addition'!$P688*AI688/365,(AC688-'FA Addition'!$M688)*(1-(1-'FA Addition'!$P688)^(AI688/365))),0),0)</f>
        <v>0</v>
      </c>
      <c r="AL688" s="117">
        <f>MAX(IF(AG688&gt;0,IF('FA Addition'!$N688="SLM",($AE688-'FA Addition'!$M688)*'FA Addition'!$P688*AG688/365,IFERROR(VDB(AE688,AE688*0.05,'FA Addition'!$O688,0,YEARFRAC('FA Addition'!$C688,$P$1-1,3),'FA Addition'!$Q688),FAAddition[[#This Row],[Original Cost (Rs)]]-FAAddition[[#This Row],[Salvage Value]])),0),0)</f>
        <v>0</v>
      </c>
      <c r="AM688" s="119"/>
      <c r="AN688" s="117">
        <f>MAX(IF(AH688&gt;0,IF('FA Addition'!$N688="SLM",($AF688-'FA Addition'!$M688)*'FA Addition'!$P688*AH688/365,IFERROR(VDB(AF688,AF688*0.05,'FA Addition'!$O688,0,YEARFRAC('FA Addition'!$C688,$L$1,3),'FA Addition'!$Q688),FAAddition[[#This Row],[Original Cost (Rs)]]-FAAddition[[#This Row],[Salvage Value]])),0),0)</f>
        <v>2137.9458913411627</v>
      </c>
      <c r="AO688" s="117">
        <f t="shared" si="53"/>
        <v>2137.9458913411627</v>
      </c>
      <c r="AQ688" s="117">
        <f t="shared" si="51"/>
        <v>0</v>
      </c>
      <c r="AR688" s="120">
        <f t="shared" si="52"/>
        <v>3793.414108658837</v>
      </c>
      <c r="AS688" s="121"/>
    </row>
    <row r="689" spans="1:45" ht="13.5" x14ac:dyDescent="0.4">
      <c r="A689" s="12">
        <f t="shared" si="54"/>
        <v>686</v>
      </c>
      <c r="B689" s="64" t="s">
        <v>1308</v>
      </c>
      <c r="C689" s="54">
        <v>45091</v>
      </c>
      <c r="D689" s="54">
        <v>45091</v>
      </c>
      <c r="E689" s="46" t="s">
        <v>451</v>
      </c>
      <c r="F689" s="51" t="s">
        <v>19</v>
      </c>
      <c r="G689" s="51" t="s">
        <v>1290</v>
      </c>
      <c r="H689" s="51" t="s">
        <v>21</v>
      </c>
      <c r="I689" s="55" t="s">
        <v>1402</v>
      </c>
      <c r="J689" s="56">
        <v>1</v>
      </c>
      <c r="K689" s="51" t="s">
        <v>1353</v>
      </c>
      <c r="L689" s="58">
        <v>56694.92</v>
      </c>
      <c r="M689" s="50">
        <f>ROUND('FA Addition'!$L689*5%,0.1)</f>
        <v>2835</v>
      </c>
      <c r="N689" s="113" t="str">
        <f>_xlfn.XLOOKUP(_xlfn.CONCAT(E689,B689),'Year Wise Master Dep Approach'!F:F,'Year Wise Master Dep Approach'!D:D)</f>
        <v>WDV</v>
      </c>
      <c r="O689" s="113">
        <f>_xlfn.XLOOKUP(_xlfn.CONCAT(E689,B689),'Year Wise Master Dep Approach'!F:F,'Year Wise Master Dep Approach'!E:E)</f>
        <v>3</v>
      </c>
      <c r="P689" s="114">
        <f>IFERROR(IF('FA Addition'!$N689="WDV",1-('FA Addition'!$M689/'FA Addition'!$L689)^(1/'FA Addition'!$O689),1/'FA Addition'!$O689),0)</f>
        <v>0.63158584719773514</v>
      </c>
      <c r="Q689" s="122">
        <f>'FA Addition'!$P689*'FA Addition'!$O689</f>
        <v>1.8947575415932054</v>
      </c>
      <c r="R689" s="122"/>
      <c r="S689" s="116">
        <f>IF(AND(DATE(20&amp;LEFT(FAAddition[[#This Row],[FY]],2),4,1)&lt;$L$1+1,DATE(20&amp;LEFT(FAAddition[[#This Row],[FY]],2),4,1)&gt;$P$1-1),'FA Addition'!$J689,0)</f>
        <v>1</v>
      </c>
      <c r="U689" s="117">
        <f>S689*'FA Addition'!$L689/'FA Addition'!$J689</f>
        <v>56694.92</v>
      </c>
      <c r="W689" s="116">
        <f>SUMIFS('FA Write off'!D:D,'FA Write off'!A:A,'FA Addition'!$A689,'FA Write off'!C:C,"&lt;"&amp;'FA Addition'!$P$1)</f>
        <v>0</v>
      </c>
      <c r="Y689" s="191">
        <f>IFERROR(W689/'FA Addition'!$J689*'FA Addition'!$L689,0)</f>
        <v>0</v>
      </c>
      <c r="AA689" s="116">
        <f>SUMIFS('FA Write off'!D:D,'FA Write off'!A:A,'FA Addition'!$A689,'FA Write off'!C:C,"&lt;"&amp;'FA Addition'!$L$1+1,'FA Write off'!C:C,"&gt;"&amp;'FA Addition'!$L$1-365)</f>
        <v>0</v>
      </c>
      <c r="AC689" s="118">
        <f>IFERROR(AA689/'FA Addition'!$J689*'FA Addition'!$L689,0)</f>
        <v>0</v>
      </c>
      <c r="AE689" s="117">
        <f>IF(AND('FA Addition'!$D689&lt;$P$1+1,U689=0),'FA Addition'!$L689,0)-Y689</f>
        <v>0</v>
      </c>
      <c r="AF689" s="117">
        <f t="shared" si="50"/>
        <v>56694.92</v>
      </c>
      <c r="AG689" s="117">
        <f>MIN(MAX(+$P$1-'FA Addition'!$D689,0),365*'FA Addition'!$O689)</f>
        <v>0</v>
      </c>
      <c r="AH689" s="117">
        <f>MIN(MAX($L$1-'FA Addition'!$D689+1,0),365*'FA Addition'!$O689)</f>
        <v>292</v>
      </c>
      <c r="AI689" s="117" cm="1">
        <f t="array" ref="AI689">_xlfn.XLOOKUP(1,('FA Write off'!A:A='FA Addition'!$A689)*('FA Write off'!D:D=AA689),'FA Write off'!H:H,0,0)</f>
        <v>0</v>
      </c>
      <c r="AJ689" s="117">
        <f>IF(AC689&gt;0,MAX(IF('FA Addition'!$N689="SLM",($AC689-'FA Addition'!$M689)*'FA Addition'!$P689*AI689/365,(AC689-'FA Addition'!$M689)*(1-(1-'FA Addition'!$P689)^(AI689/365))),0),0)</f>
        <v>0</v>
      </c>
      <c r="AL689" s="117">
        <f>MAX(IF(AG689&gt;0,IF('FA Addition'!$N689="SLM",($AE689-'FA Addition'!$M689)*'FA Addition'!$P689*AG689/365,IFERROR(VDB(AE689,AE689*0.05,'FA Addition'!$O689,0,YEARFRAC('FA Addition'!$C689,$P$1-1,3),'FA Addition'!$Q689),FAAddition[[#This Row],[Original Cost (Rs)]]-FAAddition[[#This Row],[Salvage Value]])),0),0)</f>
        <v>0</v>
      </c>
      <c r="AM689" s="119"/>
      <c r="AN689" s="117">
        <f>MAX(IF(AH689&gt;0,IF('FA Addition'!$N689="SLM",($AF689-'FA Addition'!$M689)*'FA Addition'!$P689*AH689/365,IFERROR(VDB(AF689,AF689*0.05,'FA Addition'!$O689,0,YEARFRAC('FA Addition'!$C689,$L$1,3),'FA Addition'!$Q689),FAAddition[[#This Row],[Original Cost (Rs)]]-FAAddition[[#This Row],[Salvage Value]])),0),0)</f>
        <v>28548.063951458284</v>
      </c>
      <c r="AO689" s="117">
        <f t="shared" si="53"/>
        <v>28548.063951458284</v>
      </c>
      <c r="AQ689" s="117">
        <f t="shared" si="51"/>
        <v>0</v>
      </c>
      <c r="AR689" s="120">
        <f t="shared" si="52"/>
        <v>28146.856048541715</v>
      </c>
      <c r="AS689" s="121"/>
    </row>
    <row r="690" spans="1:45" ht="13.5" x14ac:dyDescent="0.4">
      <c r="A690" s="12">
        <f t="shared" si="54"/>
        <v>687</v>
      </c>
      <c r="B690" s="64" t="s">
        <v>1308</v>
      </c>
      <c r="C690" s="54">
        <v>45091</v>
      </c>
      <c r="D690" s="54">
        <v>45091</v>
      </c>
      <c r="E690" s="46" t="s">
        <v>451</v>
      </c>
      <c r="F690" s="51" t="s">
        <v>19</v>
      </c>
      <c r="G690" s="51" t="s">
        <v>1290</v>
      </c>
      <c r="H690" s="51" t="s">
        <v>21</v>
      </c>
      <c r="I690" s="55" t="s">
        <v>1402</v>
      </c>
      <c r="J690" s="56">
        <v>1</v>
      </c>
      <c r="K690" s="51" t="s">
        <v>1353</v>
      </c>
      <c r="L690" s="58">
        <v>56694.92</v>
      </c>
      <c r="M690" s="50">
        <f>ROUND('FA Addition'!$L690*5%,0.1)</f>
        <v>2835</v>
      </c>
      <c r="N690" s="113" t="str">
        <f>_xlfn.XLOOKUP(_xlfn.CONCAT(E690,B690),'Year Wise Master Dep Approach'!F:F,'Year Wise Master Dep Approach'!D:D)</f>
        <v>WDV</v>
      </c>
      <c r="O690" s="113">
        <f>_xlfn.XLOOKUP(_xlfn.CONCAT(E690,B690),'Year Wise Master Dep Approach'!F:F,'Year Wise Master Dep Approach'!E:E)</f>
        <v>3</v>
      </c>
      <c r="P690" s="114">
        <f>IFERROR(IF('FA Addition'!$N690="WDV",1-('FA Addition'!$M690/'FA Addition'!$L690)^(1/'FA Addition'!$O690),1/'FA Addition'!$O690),0)</f>
        <v>0.63158584719773514</v>
      </c>
      <c r="Q690" s="122">
        <f>'FA Addition'!$P690*'FA Addition'!$O690</f>
        <v>1.8947575415932054</v>
      </c>
      <c r="R690" s="122"/>
      <c r="S690" s="116">
        <f>IF(AND(DATE(20&amp;LEFT(FAAddition[[#This Row],[FY]],2),4,1)&lt;$L$1+1,DATE(20&amp;LEFT(FAAddition[[#This Row],[FY]],2),4,1)&gt;$P$1-1),'FA Addition'!$J690,0)</f>
        <v>1</v>
      </c>
      <c r="U690" s="117">
        <f>S690*'FA Addition'!$L690/'FA Addition'!$J690</f>
        <v>56694.92</v>
      </c>
      <c r="W690" s="116">
        <f>SUMIFS('FA Write off'!D:D,'FA Write off'!A:A,'FA Addition'!$A690,'FA Write off'!C:C,"&lt;"&amp;'FA Addition'!$P$1)</f>
        <v>0</v>
      </c>
      <c r="Y690" s="191">
        <f>IFERROR(W690/'FA Addition'!$J690*'FA Addition'!$L690,0)</f>
        <v>0</v>
      </c>
      <c r="AA690" s="116">
        <f>SUMIFS('FA Write off'!D:D,'FA Write off'!A:A,'FA Addition'!$A690,'FA Write off'!C:C,"&lt;"&amp;'FA Addition'!$L$1+1,'FA Write off'!C:C,"&gt;"&amp;'FA Addition'!$L$1-365)</f>
        <v>0</v>
      </c>
      <c r="AC690" s="118">
        <f>IFERROR(AA690/'FA Addition'!$J690*'FA Addition'!$L690,0)</f>
        <v>0</v>
      </c>
      <c r="AE690" s="117">
        <f>IF(AND('FA Addition'!$D690&lt;$P$1+1,U690=0),'FA Addition'!$L690,0)-Y690</f>
        <v>0</v>
      </c>
      <c r="AF690" s="117">
        <f t="shared" si="50"/>
        <v>56694.92</v>
      </c>
      <c r="AG690" s="117">
        <f>MIN(MAX(+$P$1-'FA Addition'!$D690,0),365*'FA Addition'!$O690)</f>
        <v>0</v>
      </c>
      <c r="AH690" s="117">
        <f>MIN(MAX($L$1-'FA Addition'!$D690+1,0),365*'FA Addition'!$O690)</f>
        <v>292</v>
      </c>
      <c r="AI690" s="117" cm="1">
        <f t="array" ref="AI690">_xlfn.XLOOKUP(1,('FA Write off'!A:A='FA Addition'!$A690)*('FA Write off'!D:D=AA690),'FA Write off'!H:H,0,0)</f>
        <v>0</v>
      </c>
      <c r="AJ690" s="117">
        <f>IF(AC690&gt;0,MAX(IF('FA Addition'!$N690="SLM",($AC690-'FA Addition'!$M690)*'FA Addition'!$P690*AI690/365,(AC690-'FA Addition'!$M690)*(1-(1-'FA Addition'!$P690)^(AI690/365))),0),0)</f>
        <v>0</v>
      </c>
      <c r="AL690" s="117">
        <f>MAX(IF(AG690&gt;0,IF('FA Addition'!$N690="SLM",($AE690-'FA Addition'!$M690)*'FA Addition'!$P690*AG690/365,IFERROR(VDB(AE690,AE690*0.05,'FA Addition'!$O690,0,YEARFRAC('FA Addition'!$C690,$P$1-1,3),'FA Addition'!$Q690),FAAddition[[#This Row],[Original Cost (Rs)]]-FAAddition[[#This Row],[Salvage Value]])),0),0)</f>
        <v>0</v>
      </c>
      <c r="AM690" s="119"/>
      <c r="AN690" s="117">
        <f>MAX(IF(AH690&gt;0,IF('FA Addition'!$N690="SLM",($AF690-'FA Addition'!$M690)*'FA Addition'!$P690*AH690/365,IFERROR(VDB(AF690,AF690*0.05,'FA Addition'!$O690,0,YEARFRAC('FA Addition'!$C690,$L$1,3),'FA Addition'!$Q690),FAAddition[[#This Row],[Original Cost (Rs)]]-FAAddition[[#This Row],[Salvage Value]])),0),0)</f>
        <v>28548.063951458284</v>
      </c>
      <c r="AO690" s="117">
        <f t="shared" si="53"/>
        <v>28548.063951458284</v>
      </c>
      <c r="AQ690" s="117">
        <f t="shared" si="51"/>
        <v>0</v>
      </c>
      <c r="AR690" s="120">
        <f t="shared" si="52"/>
        <v>28146.856048541715</v>
      </c>
      <c r="AS690" s="121"/>
    </row>
    <row r="691" spans="1:45" ht="13.5" x14ac:dyDescent="0.4">
      <c r="A691" s="12">
        <f t="shared" si="54"/>
        <v>688</v>
      </c>
      <c r="B691" s="64" t="s">
        <v>1308</v>
      </c>
      <c r="C691" s="54">
        <v>45091</v>
      </c>
      <c r="D691" s="54">
        <v>45091</v>
      </c>
      <c r="E691" s="46" t="s">
        <v>451</v>
      </c>
      <c r="F691" s="51" t="s">
        <v>19</v>
      </c>
      <c r="G691" s="51" t="s">
        <v>1290</v>
      </c>
      <c r="H691" s="51" t="s">
        <v>21</v>
      </c>
      <c r="I691" s="55" t="s">
        <v>1402</v>
      </c>
      <c r="J691" s="56">
        <v>1</v>
      </c>
      <c r="K691" s="51" t="s">
        <v>1353</v>
      </c>
      <c r="L691" s="58">
        <v>56694.92</v>
      </c>
      <c r="M691" s="50">
        <f>ROUND('FA Addition'!$L691*5%,0.1)</f>
        <v>2835</v>
      </c>
      <c r="N691" s="113" t="str">
        <f>_xlfn.XLOOKUP(_xlfn.CONCAT(E691,B691),'Year Wise Master Dep Approach'!F:F,'Year Wise Master Dep Approach'!D:D)</f>
        <v>WDV</v>
      </c>
      <c r="O691" s="113">
        <f>_xlfn.XLOOKUP(_xlfn.CONCAT(E691,B691),'Year Wise Master Dep Approach'!F:F,'Year Wise Master Dep Approach'!E:E)</f>
        <v>3</v>
      </c>
      <c r="P691" s="114">
        <f>IFERROR(IF('FA Addition'!$N691="WDV",1-('FA Addition'!$M691/'FA Addition'!$L691)^(1/'FA Addition'!$O691),1/'FA Addition'!$O691),0)</f>
        <v>0.63158584719773514</v>
      </c>
      <c r="Q691" s="122">
        <f>'FA Addition'!$P691*'FA Addition'!$O691</f>
        <v>1.8947575415932054</v>
      </c>
      <c r="R691" s="122"/>
      <c r="S691" s="116">
        <f>IF(AND(DATE(20&amp;LEFT(FAAddition[[#This Row],[FY]],2),4,1)&lt;$L$1+1,DATE(20&amp;LEFT(FAAddition[[#This Row],[FY]],2),4,1)&gt;$P$1-1),'FA Addition'!$J691,0)</f>
        <v>1</v>
      </c>
      <c r="U691" s="117">
        <f>S691*'FA Addition'!$L691/'FA Addition'!$J691</f>
        <v>56694.92</v>
      </c>
      <c r="W691" s="116">
        <f>SUMIFS('FA Write off'!D:D,'FA Write off'!A:A,'FA Addition'!$A691,'FA Write off'!C:C,"&lt;"&amp;'FA Addition'!$P$1)</f>
        <v>0</v>
      </c>
      <c r="Y691" s="191">
        <f>IFERROR(W691/'FA Addition'!$J691*'FA Addition'!$L691,0)</f>
        <v>0</v>
      </c>
      <c r="AA691" s="116">
        <f>SUMIFS('FA Write off'!D:D,'FA Write off'!A:A,'FA Addition'!$A691,'FA Write off'!C:C,"&lt;"&amp;'FA Addition'!$L$1+1,'FA Write off'!C:C,"&gt;"&amp;'FA Addition'!$L$1-365)</f>
        <v>0</v>
      </c>
      <c r="AC691" s="118">
        <f>IFERROR(AA691/'FA Addition'!$J691*'FA Addition'!$L691,0)</f>
        <v>0</v>
      </c>
      <c r="AE691" s="117">
        <f>IF(AND('FA Addition'!$D691&lt;$P$1+1,U691=0),'FA Addition'!$L691,0)-Y691</f>
        <v>0</v>
      </c>
      <c r="AF691" s="117">
        <f t="shared" si="50"/>
        <v>56694.92</v>
      </c>
      <c r="AG691" s="117">
        <f>MIN(MAX(+$P$1-'FA Addition'!$D691,0),365*'FA Addition'!$O691)</f>
        <v>0</v>
      </c>
      <c r="AH691" s="117">
        <f>MIN(MAX($L$1-'FA Addition'!$D691+1,0),365*'FA Addition'!$O691)</f>
        <v>292</v>
      </c>
      <c r="AI691" s="117" cm="1">
        <f t="array" ref="AI691">_xlfn.XLOOKUP(1,('FA Write off'!A:A='FA Addition'!$A691)*('FA Write off'!D:D=AA691),'FA Write off'!H:H,0,0)</f>
        <v>0</v>
      </c>
      <c r="AJ691" s="117">
        <f>IF(AC691&gt;0,MAX(IF('FA Addition'!$N691="SLM",($AC691-'FA Addition'!$M691)*'FA Addition'!$P691*AI691/365,(AC691-'FA Addition'!$M691)*(1-(1-'FA Addition'!$P691)^(AI691/365))),0),0)</f>
        <v>0</v>
      </c>
      <c r="AL691" s="117">
        <f>MAX(IF(AG691&gt;0,IF('FA Addition'!$N691="SLM",($AE691-'FA Addition'!$M691)*'FA Addition'!$P691*AG691/365,IFERROR(VDB(AE691,AE691*0.05,'FA Addition'!$O691,0,YEARFRAC('FA Addition'!$C691,$P$1-1,3),'FA Addition'!$Q691),FAAddition[[#This Row],[Original Cost (Rs)]]-FAAddition[[#This Row],[Salvage Value]])),0),0)</f>
        <v>0</v>
      </c>
      <c r="AM691" s="119"/>
      <c r="AN691" s="117">
        <f>MAX(IF(AH691&gt;0,IF('FA Addition'!$N691="SLM",($AF691-'FA Addition'!$M691)*'FA Addition'!$P691*AH691/365,IFERROR(VDB(AF691,AF691*0.05,'FA Addition'!$O691,0,YEARFRAC('FA Addition'!$C691,$L$1,3),'FA Addition'!$Q691),FAAddition[[#This Row],[Original Cost (Rs)]]-FAAddition[[#This Row],[Salvage Value]])),0),0)</f>
        <v>28548.063951458284</v>
      </c>
      <c r="AO691" s="117">
        <f t="shared" si="53"/>
        <v>28548.063951458284</v>
      </c>
      <c r="AQ691" s="117">
        <f t="shared" si="51"/>
        <v>0</v>
      </c>
      <c r="AR691" s="120">
        <f t="shared" si="52"/>
        <v>28146.856048541715</v>
      </c>
      <c r="AS691" s="121"/>
    </row>
    <row r="692" spans="1:45" ht="13.5" x14ac:dyDescent="0.4">
      <c r="A692" s="12">
        <f t="shared" si="54"/>
        <v>689</v>
      </c>
      <c r="B692" s="64" t="s">
        <v>1308</v>
      </c>
      <c r="C692" s="54">
        <v>45091</v>
      </c>
      <c r="D692" s="54">
        <v>45091</v>
      </c>
      <c r="E692" s="46" t="s">
        <v>451</v>
      </c>
      <c r="F692" s="51" t="s">
        <v>19</v>
      </c>
      <c r="G692" s="51" t="s">
        <v>1290</v>
      </c>
      <c r="H692" s="51" t="s">
        <v>21</v>
      </c>
      <c r="I692" s="55" t="s">
        <v>1402</v>
      </c>
      <c r="J692" s="56">
        <v>1</v>
      </c>
      <c r="K692" s="51" t="s">
        <v>1353</v>
      </c>
      <c r="L692" s="58">
        <v>56694.92</v>
      </c>
      <c r="M692" s="50">
        <f>ROUND('FA Addition'!$L692*5%,0.1)</f>
        <v>2835</v>
      </c>
      <c r="N692" s="113" t="str">
        <f>_xlfn.XLOOKUP(_xlfn.CONCAT(E692,B692),'Year Wise Master Dep Approach'!F:F,'Year Wise Master Dep Approach'!D:D)</f>
        <v>WDV</v>
      </c>
      <c r="O692" s="113">
        <f>_xlfn.XLOOKUP(_xlfn.CONCAT(E692,B692),'Year Wise Master Dep Approach'!F:F,'Year Wise Master Dep Approach'!E:E)</f>
        <v>3</v>
      </c>
      <c r="P692" s="114">
        <f>IFERROR(IF('FA Addition'!$N692="WDV",1-('FA Addition'!$M692/'FA Addition'!$L692)^(1/'FA Addition'!$O692),1/'FA Addition'!$O692),0)</f>
        <v>0.63158584719773514</v>
      </c>
      <c r="Q692" s="122">
        <f>'FA Addition'!$P692*'FA Addition'!$O692</f>
        <v>1.8947575415932054</v>
      </c>
      <c r="R692" s="122"/>
      <c r="S692" s="116">
        <f>IF(AND(DATE(20&amp;LEFT(FAAddition[[#This Row],[FY]],2),4,1)&lt;$L$1+1,DATE(20&amp;LEFT(FAAddition[[#This Row],[FY]],2),4,1)&gt;$P$1-1),'FA Addition'!$J692,0)</f>
        <v>1</v>
      </c>
      <c r="U692" s="117">
        <f>S692*'FA Addition'!$L692/'FA Addition'!$J692</f>
        <v>56694.92</v>
      </c>
      <c r="W692" s="116">
        <f>SUMIFS('FA Write off'!D:D,'FA Write off'!A:A,'FA Addition'!$A692,'FA Write off'!C:C,"&lt;"&amp;'FA Addition'!$P$1)</f>
        <v>0</v>
      </c>
      <c r="Y692" s="191">
        <f>IFERROR(W692/'FA Addition'!$J692*'FA Addition'!$L692,0)</f>
        <v>0</v>
      </c>
      <c r="AA692" s="116">
        <f>SUMIFS('FA Write off'!D:D,'FA Write off'!A:A,'FA Addition'!$A692,'FA Write off'!C:C,"&lt;"&amp;'FA Addition'!$L$1+1,'FA Write off'!C:C,"&gt;"&amp;'FA Addition'!$L$1-365)</f>
        <v>0</v>
      </c>
      <c r="AC692" s="118">
        <f>IFERROR(AA692/'FA Addition'!$J692*'FA Addition'!$L692,0)</f>
        <v>0</v>
      </c>
      <c r="AE692" s="117">
        <f>IF(AND('FA Addition'!$D692&lt;$P$1+1,U692=0),'FA Addition'!$L692,0)-Y692</f>
        <v>0</v>
      </c>
      <c r="AF692" s="117">
        <f t="shared" si="50"/>
        <v>56694.92</v>
      </c>
      <c r="AG692" s="117">
        <f>MIN(MAX(+$P$1-'FA Addition'!$D692,0),365*'FA Addition'!$O692)</f>
        <v>0</v>
      </c>
      <c r="AH692" s="117">
        <f>MIN(MAX($L$1-'FA Addition'!$D692+1,0),365*'FA Addition'!$O692)</f>
        <v>292</v>
      </c>
      <c r="AI692" s="117" cm="1">
        <f t="array" ref="AI692">_xlfn.XLOOKUP(1,('FA Write off'!A:A='FA Addition'!$A692)*('FA Write off'!D:D=AA692),'FA Write off'!H:H,0,0)</f>
        <v>0</v>
      </c>
      <c r="AJ692" s="117">
        <f>IF(AC692&gt;0,MAX(IF('FA Addition'!$N692="SLM",($AC692-'FA Addition'!$M692)*'FA Addition'!$P692*AI692/365,(AC692-'FA Addition'!$M692)*(1-(1-'FA Addition'!$P692)^(AI692/365))),0),0)</f>
        <v>0</v>
      </c>
      <c r="AL692" s="117">
        <f>MAX(IF(AG692&gt;0,IF('FA Addition'!$N692="SLM",($AE692-'FA Addition'!$M692)*'FA Addition'!$P692*AG692/365,IFERROR(VDB(AE692,AE692*0.05,'FA Addition'!$O692,0,YEARFRAC('FA Addition'!$C692,$P$1-1,3),'FA Addition'!$Q692),FAAddition[[#This Row],[Original Cost (Rs)]]-FAAddition[[#This Row],[Salvage Value]])),0),0)</f>
        <v>0</v>
      </c>
      <c r="AM692" s="119"/>
      <c r="AN692" s="117">
        <f>MAX(IF(AH692&gt;0,IF('FA Addition'!$N692="SLM",($AF692-'FA Addition'!$M692)*'FA Addition'!$P692*AH692/365,IFERROR(VDB(AF692,AF692*0.05,'FA Addition'!$O692,0,YEARFRAC('FA Addition'!$C692,$L$1,3),'FA Addition'!$Q692),FAAddition[[#This Row],[Original Cost (Rs)]]-FAAddition[[#This Row],[Salvage Value]])),0),0)</f>
        <v>28548.063951458284</v>
      </c>
      <c r="AO692" s="117">
        <f t="shared" si="53"/>
        <v>28548.063951458284</v>
      </c>
      <c r="AQ692" s="117">
        <f t="shared" si="51"/>
        <v>0</v>
      </c>
      <c r="AR692" s="120">
        <f t="shared" si="52"/>
        <v>28146.856048541715</v>
      </c>
      <c r="AS692" s="121"/>
    </row>
    <row r="693" spans="1:45" ht="13.5" x14ac:dyDescent="0.4">
      <c r="A693" s="12">
        <f t="shared" si="54"/>
        <v>690</v>
      </c>
      <c r="B693" s="64" t="s">
        <v>1308</v>
      </c>
      <c r="C693" s="54">
        <v>45091</v>
      </c>
      <c r="D693" s="54">
        <v>45091</v>
      </c>
      <c r="E693" s="46" t="s">
        <v>451</v>
      </c>
      <c r="F693" s="51" t="s">
        <v>19</v>
      </c>
      <c r="G693" s="51" t="s">
        <v>1290</v>
      </c>
      <c r="H693" s="51" t="s">
        <v>21</v>
      </c>
      <c r="I693" s="55" t="s">
        <v>1402</v>
      </c>
      <c r="J693" s="56">
        <v>1</v>
      </c>
      <c r="K693" s="51" t="s">
        <v>1353</v>
      </c>
      <c r="L693" s="58">
        <v>56694.92</v>
      </c>
      <c r="M693" s="50">
        <f>ROUND('FA Addition'!$L693*5%,0.1)</f>
        <v>2835</v>
      </c>
      <c r="N693" s="113" t="str">
        <f>_xlfn.XLOOKUP(_xlfn.CONCAT(E693,B693),'Year Wise Master Dep Approach'!F:F,'Year Wise Master Dep Approach'!D:D)</f>
        <v>WDV</v>
      </c>
      <c r="O693" s="113">
        <f>_xlfn.XLOOKUP(_xlfn.CONCAT(E693,B693),'Year Wise Master Dep Approach'!F:F,'Year Wise Master Dep Approach'!E:E)</f>
        <v>3</v>
      </c>
      <c r="P693" s="114">
        <f>IFERROR(IF('FA Addition'!$N693="WDV",1-('FA Addition'!$M693/'FA Addition'!$L693)^(1/'FA Addition'!$O693),1/'FA Addition'!$O693),0)</f>
        <v>0.63158584719773514</v>
      </c>
      <c r="Q693" s="122">
        <f>'FA Addition'!$P693*'FA Addition'!$O693</f>
        <v>1.8947575415932054</v>
      </c>
      <c r="R693" s="122"/>
      <c r="S693" s="116">
        <f>IF(AND(DATE(20&amp;LEFT(FAAddition[[#This Row],[FY]],2),4,1)&lt;$L$1+1,DATE(20&amp;LEFT(FAAddition[[#This Row],[FY]],2),4,1)&gt;$P$1-1),'FA Addition'!$J693,0)</f>
        <v>1</v>
      </c>
      <c r="U693" s="117">
        <f>S693*'FA Addition'!$L693/'FA Addition'!$J693</f>
        <v>56694.92</v>
      </c>
      <c r="W693" s="116">
        <f>SUMIFS('FA Write off'!D:D,'FA Write off'!A:A,'FA Addition'!$A693,'FA Write off'!C:C,"&lt;"&amp;'FA Addition'!$P$1)</f>
        <v>0</v>
      </c>
      <c r="Y693" s="191">
        <f>IFERROR(W693/'FA Addition'!$J693*'FA Addition'!$L693,0)</f>
        <v>0</v>
      </c>
      <c r="AA693" s="116">
        <f>SUMIFS('FA Write off'!D:D,'FA Write off'!A:A,'FA Addition'!$A693,'FA Write off'!C:C,"&lt;"&amp;'FA Addition'!$L$1+1,'FA Write off'!C:C,"&gt;"&amp;'FA Addition'!$L$1-365)</f>
        <v>0</v>
      </c>
      <c r="AC693" s="118">
        <f>IFERROR(AA693/'FA Addition'!$J693*'FA Addition'!$L693,0)</f>
        <v>0</v>
      </c>
      <c r="AE693" s="117">
        <f>IF(AND('FA Addition'!$D693&lt;$P$1+1,U693=0),'FA Addition'!$L693,0)-Y693</f>
        <v>0</v>
      </c>
      <c r="AF693" s="117">
        <f t="shared" si="50"/>
        <v>56694.92</v>
      </c>
      <c r="AG693" s="117">
        <f>MIN(MAX(+$P$1-'FA Addition'!$D693,0),365*'FA Addition'!$O693)</f>
        <v>0</v>
      </c>
      <c r="AH693" s="117">
        <f>MIN(MAX($L$1-'FA Addition'!$D693+1,0),365*'FA Addition'!$O693)</f>
        <v>292</v>
      </c>
      <c r="AI693" s="117" cm="1">
        <f t="array" ref="AI693">_xlfn.XLOOKUP(1,('FA Write off'!A:A='FA Addition'!$A693)*('FA Write off'!D:D=AA693),'FA Write off'!H:H,0,0)</f>
        <v>0</v>
      </c>
      <c r="AJ693" s="117">
        <f>IF(AC693&gt;0,MAX(IF('FA Addition'!$N693="SLM",($AC693-'FA Addition'!$M693)*'FA Addition'!$P693*AI693/365,(AC693-'FA Addition'!$M693)*(1-(1-'FA Addition'!$P693)^(AI693/365))),0),0)</f>
        <v>0</v>
      </c>
      <c r="AL693" s="117">
        <f>MAX(IF(AG693&gt;0,IF('FA Addition'!$N693="SLM",($AE693-'FA Addition'!$M693)*'FA Addition'!$P693*AG693/365,IFERROR(VDB(AE693,AE693*0.05,'FA Addition'!$O693,0,YEARFRAC('FA Addition'!$C693,$P$1-1,3),'FA Addition'!$Q693),FAAddition[[#This Row],[Original Cost (Rs)]]-FAAddition[[#This Row],[Salvage Value]])),0),0)</f>
        <v>0</v>
      </c>
      <c r="AM693" s="119"/>
      <c r="AN693" s="117">
        <f>MAX(IF(AH693&gt;0,IF('FA Addition'!$N693="SLM",($AF693-'FA Addition'!$M693)*'FA Addition'!$P693*AH693/365,IFERROR(VDB(AF693,AF693*0.05,'FA Addition'!$O693,0,YEARFRAC('FA Addition'!$C693,$L$1,3),'FA Addition'!$Q693),FAAddition[[#This Row],[Original Cost (Rs)]]-FAAddition[[#This Row],[Salvage Value]])),0),0)</f>
        <v>28548.063951458284</v>
      </c>
      <c r="AO693" s="117">
        <f t="shared" si="53"/>
        <v>28548.063951458284</v>
      </c>
      <c r="AQ693" s="117">
        <f t="shared" si="51"/>
        <v>0</v>
      </c>
      <c r="AR693" s="120">
        <f t="shared" si="52"/>
        <v>28146.856048541715</v>
      </c>
      <c r="AS693" s="121"/>
    </row>
    <row r="694" spans="1:45" ht="13.5" x14ac:dyDescent="0.4">
      <c r="A694" s="12">
        <f t="shared" si="54"/>
        <v>691</v>
      </c>
      <c r="B694" s="64" t="s">
        <v>1308</v>
      </c>
      <c r="C694" s="54">
        <v>45091</v>
      </c>
      <c r="D694" s="54">
        <v>45091</v>
      </c>
      <c r="E694" s="46" t="s">
        <v>451</v>
      </c>
      <c r="F694" s="51" t="s">
        <v>19</v>
      </c>
      <c r="G694" s="51" t="s">
        <v>1290</v>
      </c>
      <c r="H694" s="51" t="s">
        <v>151</v>
      </c>
      <c r="I694" s="55" t="s">
        <v>1402</v>
      </c>
      <c r="J694" s="56">
        <v>1</v>
      </c>
      <c r="K694" s="51" t="s">
        <v>1403</v>
      </c>
      <c r="L694" s="58">
        <v>13517</v>
      </c>
      <c r="M694" s="50">
        <f>ROUND('FA Addition'!$L694*5%,0.1)</f>
        <v>676</v>
      </c>
      <c r="N694" s="113" t="str">
        <f>_xlfn.XLOOKUP(_xlfn.CONCAT(E694,B694),'Year Wise Master Dep Approach'!F:F,'Year Wise Master Dep Approach'!D:D)</f>
        <v>WDV</v>
      </c>
      <c r="O694" s="113">
        <f>_xlfn.XLOOKUP(_xlfn.CONCAT(E694,B694),'Year Wise Master Dep Approach'!F:F,'Year Wise Master Dep Approach'!E:E)</f>
        <v>3</v>
      </c>
      <c r="P694" s="114">
        <f>IFERROR(IF('FA Addition'!$N694="WDV",1-('FA Addition'!$M694/'FA Addition'!$L694)^(1/'FA Addition'!$O694),1/'FA Addition'!$O694),0)</f>
        <v>0.63156959735069673</v>
      </c>
      <c r="Q694" s="122">
        <f>'FA Addition'!$P694*'FA Addition'!$O694</f>
        <v>1.8947087920520902</v>
      </c>
      <c r="R694" s="122"/>
      <c r="S694" s="116">
        <f>IF(AND(DATE(20&amp;LEFT(FAAddition[[#This Row],[FY]],2),4,1)&lt;$L$1+1,DATE(20&amp;LEFT(FAAddition[[#This Row],[FY]],2),4,1)&gt;$P$1-1),'FA Addition'!$J694,0)</f>
        <v>1</v>
      </c>
      <c r="U694" s="117">
        <f>S694*'FA Addition'!$L694/'FA Addition'!$J694</f>
        <v>13517</v>
      </c>
      <c r="W694" s="116">
        <f>SUMIFS('FA Write off'!D:D,'FA Write off'!A:A,'FA Addition'!$A694,'FA Write off'!C:C,"&lt;"&amp;'FA Addition'!$P$1)</f>
        <v>0</v>
      </c>
      <c r="Y694" s="191">
        <f>IFERROR(W694/'FA Addition'!$J694*'FA Addition'!$L694,0)</f>
        <v>0</v>
      </c>
      <c r="AA694" s="116">
        <f>SUMIFS('FA Write off'!D:D,'FA Write off'!A:A,'FA Addition'!$A694,'FA Write off'!C:C,"&lt;"&amp;'FA Addition'!$L$1+1,'FA Write off'!C:C,"&gt;"&amp;'FA Addition'!$L$1-365)</f>
        <v>0</v>
      </c>
      <c r="AC694" s="118">
        <f>IFERROR(AA694/'FA Addition'!$J694*'FA Addition'!$L694,0)</f>
        <v>0</v>
      </c>
      <c r="AE694" s="117">
        <f>IF(AND('FA Addition'!$D694&lt;$P$1+1,U694=0),'FA Addition'!$L694,0)-Y694</f>
        <v>0</v>
      </c>
      <c r="AF694" s="117">
        <f t="shared" si="50"/>
        <v>13517</v>
      </c>
      <c r="AG694" s="117">
        <f>MIN(MAX(+$P$1-'FA Addition'!$D694,0),365*'FA Addition'!$O694)</f>
        <v>0</v>
      </c>
      <c r="AH694" s="117">
        <f>MIN(MAX($L$1-'FA Addition'!$D694+1,0),365*'FA Addition'!$O694)</f>
        <v>292</v>
      </c>
      <c r="AI694" s="117" cm="1">
        <f t="array" ref="AI694">_xlfn.XLOOKUP(1,('FA Write off'!A:A='FA Addition'!$A694)*('FA Write off'!D:D=AA694),'FA Write off'!H:H,0,0)</f>
        <v>0</v>
      </c>
      <c r="AJ694" s="117">
        <f>IF(AC694&gt;0,MAX(IF('FA Addition'!$N694="SLM",($AC694-'FA Addition'!$M694)*'FA Addition'!$P694*AI694/365,(AC694-'FA Addition'!$M694)*(1-(1-'FA Addition'!$P694)^(AI694/365))),0),0)</f>
        <v>0</v>
      </c>
      <c r="AL694" s="117">
        <f>MAX(IF(AG694&gt;0,IF('FA Addition'!$N694="SLM",($AE694-'FA Addition'!$M694)*'FA Addition'!$P694*AG694/365,IFERROR(VDB(AE694,AE694*0.05,'FA Addition'!$O694,0,YEARFRAC('FA Addition'!$C694,$P$1-1,3),'FA Addition'!$Q694),FAAddition[[#This Row],[Original Cost (Rs)]]-FAAddition[[#This Row],[Salvage Value]])),0),0)</f>
        <v>0</v>
      </c>
      <c r="AM694" s="119"/>
      <c r="AN694" s="117">
        <f>MAX(IF(AH694&gt;0,IF('FA Addition'!$N694="SLM",($AF694-'FA Addition'!$M694)*'FA Addition'!$P694*AH694/365,IFERROR(VDB(AF694,AF694*0.05,'FA Addition'!$O694,0,YEARFRAC('FA Addition'!$C694,$L$1,3),'FA Addition'!$Q694),FAAddition[[#This Row],[Original Cost (Rs)]]-FAAddition[[#This Row],[Salvage Value]])),0),0)</f>
        <v>6806.1521588775495</v>
      </c>
      <c r="AO694" s="117">
        <f t="shared" si="53"/>
        <v>6806.1521588775495</v>
      </c>
      <c r="AQ694" s="117">
        <f t="shared" si="51"/>
        <v>0</v>
      </c>
      <c r="AR694" s="120">
        <f t="shared" si="52"/>
        <v>6710.8478411224505</v>
      </c>
      <c r="AS694" s="121"/>
    </row>
    <row r="695" spans="1:45" ht="13.5" x14ac:dyDescent="0.4">
      <c r="A695" s="12">
        <f t="shared" si="54"/>
        <v>692</v>
      </c>
      <c r="B695" s="64" t="s">
        <v>1308</v>
      </c>
      <c r="C695" s="54">
        <v>45091</v>
      </c>
      <c r="D695" s="54">
        <v>45091</v>
      </c>
      <c r="E695" s="46" t="s">
        <v>451</v>
      </c>
      <c r="F695" s="51" t="s">
        <v>19</v>
      </c>
      <c r="G695" s="51" t="s">
        <v>1290</v>
      </c>
      <c r="H695" s="51" t="s">
        <v>151</v>
      </c>
      <c r="I695" s="55" t="s">
        <v>1402</v>
      </c>
      <c r="J695" s="56">
        <v>1</v>
      </c>
      <c r="K695" s="51" t="s">
        <v>1403</v>
      </c>
      <c r="L695" s="58">
        <v>13517</v>
      </c>
      <c r="M695" s="50">
        <f>ROUND('FA Addition'!$L695*5%,0.1)</f>
        <v>676</v>
      </c>
      <c r="N695" s="113" t="str">
        <f>_xlfn.XLOOKUP(_xlfn.CONCAT(E695,B695),'Year Wise Master Dep Approach'!F:F,'Year Wise Master Dep Approach'!D:D)</f>
        <v>WDV</v>
      </c>
      <c r="O695" s="113">
        <f>_xlfn.XLOOKUP(_xlfn.CONCAT(E695,B695),'Year Wise Master Dep Approach'!F:F,'Year Wise Master Dep Approach'!E:E)</f>
        <v>3</v>
      </c>
      <c r="P695" s="114">
        <f>IFERROR(IF('FA Addition'!$N695="WDV",1-('FA Addition'!$M695/'FA Addition'!$L695)^(1/'FA Addition'!$O695),1/'FA Addition'!$O695),0)</f>
        <v>0.63156959735069673</v>
      </c>
      <c r="Q695" s="122">
        <f>'FA Addition'!$P695*'FA Addition'!$O695</f>
        <v>1.8947087920520902</v>
      </c>
      <c r="R695" s="122"/>
      <c r="S695" s="116">
        <f>IF(AND(DATE(20&amp;LEFT(FAAddition[[#This Row],[FY]],2),4,1)&lt;$L$1+1,DATE(20&amp;LEFT(FAAddition[[#This Row],[FY]],2),4,1)&gt;$P$1-1),'FA Addition'!$J695,0)</f>
        <v>1</v>
      </c>
      <c r="U695" s="117">
        <f>S695*'FA Addition'!$L695/'FA Addition'!$J695</f>
        <v>13517</v>
      </c>
      <c r="W695" s="116">
        <f>SUMIFS('FA Write off'!D:D,'FA Write off'!A:A,'FA Addition'!$A695,'FA Write off'!C:C,"&lt;"&amp;'FA Addition'!$P$1)</f>
        <v>0</v>
      </c>
      <c r="Y695" s="191">
        <f>IFERROR(W695/'FA Addition'!$J695*'FA Addition'!$L695,0)</f>
        <v>0</v>
      </c>
      <c r="AA695" s="116">
        <f>SUMIFS('FA Write off'!D:D,'FA Write off'!A:A,'FA Addition'!$A695,'FA Write off'!C:C,"&lt;"&amp;'FA Addition'!$L$1+1,'FA Write off'!C:C,"&gt;"&amp;'FA Addition'!$L$1-365)</f>
        <v>0</v>
      </c>
      <c r="AC695" s="118">
        <f>IFERROR(AA695/'FA Addition'!$J695*'FA Addition'!$L695,0)</f>
        <v>0</v>
      </c>
      <c r="AE695" s="117">
        <f>IF(AND('FA Addition'!$D695&lt;$P$1+1,U695=0),'FA Addition'!$L695,0)-Y695</f>
        <v>0</v>
      </c>
      <c r="AF695" s="117">
        <f t="shared" si="50"/>
        <v>13517</v>
      </c>
      <c r="AG695" s="117">
        <f>MIN(MAX(+$P$1-'FA Addition'!$D695,0),365*'FA Addition'!$O695)</f>
        <v>0</v>
      </c>
      <c r="AH695" s="117">
        <f>MIN(MAX($L$1-'FA Addition'!$D695+1,0),365*'FA Addition'!$O695)</f>
        <v>292</v>
      </c>
      <c r="AI695" s="117" cm="1">
        <f t="array" ref="AI695">_xlfn.XLOOKUP(1,('FA Write off'!A:A='FA Addition'!$A695)*('FA Write off'!D:D=AA695),'FA Write off'!H:H,0,0)</f>
        <v>0</v>
      </c>
      <c r="AJ695" s="117">
        <f>IF(AC695&gt;0,MAX(IF('FA Addition'!$N695="SLM",($AC695-'FA Addition'!$M695)*'FA Addition'!$P695*AI695/365,(AC695-'FA Addition'!$M695)*(1-(1-'FA Addition'!$P695)^(AI695/365))),0),0)</f>
        <v>0</v>
      </c>
      <c r="AL695" s="117">
        <f>MAX(IF(AG695&gt;0,IF('FA Addition'!$N695="SLM",($AE695-'FA Addition'!$M695)*'FA Addition'!$P695*AG695/365,IFERROR(VDB(AE695,AE695*0.05,'FA Addition'!$O695,0,YEARFRAC('FA Addition'!$C695,$P$1-1,3),'FA Addition'!$Q695),FAAddition[[#This Row],[Original Cost (Rs)]]-FAAddition[[#This Row],[Salvage Value]])),0),0)</f>
        <v>0</v>
      </c>
      <c r="AM695" s="119"/>
      <c r="AN695" s="117">
        <f>MAX(IF(AH695&gt;0,IF('FA Addition'!$N695="SLM",($AF695-'FA Addition'!$M695)*'FA Addition'!$P695*AH695/365,IFERROR(VDB(AF695,AF695*0.05,'FA Addition'!$O695,0,YEARFRAC('FA Addition'!$C695,$L$1,3),'FA Addition'!$Q695),FAAddition[[#This Row],[Original Cost (Rs)]]-FAAddition[[#This Row],[Salvage Value]])),0),0)</f>
        <v>6806.1521588775495</v>
      </c>
      <c r="AO695" s="117">
        <f t="shared" si="53"/>
        <v>6806.1521588775495</v>
      </c>
      <c r="AQ695" s="117">
        <f t="shared" si="51"/>
        <v>0</v>
      </c>
      <c r="AR695" s="120">
        <f t="shared" si="52"/>
        <v>6710.8478411224505</v>
      </c>
      <c r="AS695" s="121"/>
    </row>
    <row r="696" spans="1:45" ht="13.5" x14ac:dyDescent="0.4">
      <c r="A696" s="12">
        <f t="shared" si="54"/>
        <v>693</v>
      </c>
      <c r="B696" s="64" t="s">
        <v>1308</v>
      </c>
      <c r="C696" s="54">
        <v>45092</v>
      </c>
      <c r="D696" s="54">
        <v>45092</v>
      </c>
      <c r="E696" s="46" t="s">
        <v>1389</v>
      </c>
      <c r="F696" s="51" t="s">
        <v>1112</v>
      </c>
      <c r="G696" s="51" t="s">
        <v>36</v>
      </c>
      <c r="H696" s="51" t="s">
        <v>1113</v>
      </c>
      <c r="I696" s="55" t="s">
        <v>1404</v>
      </c>
      <c r="J696" s="56">
        <v>2000</v>
      </c>
      <c r="K696" s="51" t="s">
        <v>1132</v>
      </c>
      <c r="L696" s="58">
        <v>1460000</v>
      </c>
      <c r="M696" s="50">
        <f>ROUND('FA Addition'!$L696*5%,0.1)</f>
        <v>73000</v>
      </c>
      <c r="N696" s="113" t="str">
        <f>_xlfn.XLOOKUP(_xlfn.CONCAT(E696,B696),'Year Wise Master Dep Approach'!F:F,'Year Wise Master Dep Approach'!D:D)</f>
        <v>SLM</v>
      </c>
      <c r="O696" s="113">
        <f>_xlfn.XLOOKUP(_xlfn.CONCAT(E696,B696),'Year Wise Master Dep Approach'!F:F,'Year Wise Master Dep Approach'!E:E)</f>
        <v>3</v>
      </c>
      <c r="P696" s="114">
        <f>IFERROR(IF('FA Addition'!$N696="WDV",1-('FA Addition'!$M696/'FA Addition'!$L696)^(1/'FA Addition'!$O696),1/'FA Addition'!$O696),0)</f>
        <v>0.33333333333333331</v>
      </c>
      <c r="Q696" s="122">
        <f>'FA Addition'!$P696*'FA Addition'!$O696</f>
        <v>1</v>
      </c>
      <c r="R696" s="122"/>
      <c r="S696" s="116">
        <f>IF(AND(DATE(20&amp;LEFT(FAAddition[[#This Row],[FY]],2),4,1)&lt;$L$1+1,DATE(20&amp;LEFT(FAAddition[[#This Row],[FY]],2),4,1)&gt;$P$1-1),'FA Addition'!$J696,0)</f>
        <v>2000</v>
      </c>
      <c r="U696" s="117">
        <f>S696*'FA Addition'!$L696/'FA Addition'!$J696</f>
        <v>1460000</v>
      </c>
      <c r="W696" s="116">
        <f>SUMIFS('FA Write off'!D:D,'FA Write off'!A:A,'FA Addition'!$A696,'FA Write off'!C:C,"&lt;"&amp;'FA Addition'!$P$1)</f>
        <v>0</v>
      </c>
      <c r="Y696" s="191">
        <f>IFERROR(W696/'FA Addition'!$J696*'FA Addition'!$L696,0)</f>
        <v>0</v>
      </c>
      <c r="AA696" s="116">
        <f>SUMIFS('FA Write off'!D:D,'FA Write off'!A:A,'FA Addition'!$A696,'FA Write off'!C:C,"&lt;"&amp;'FA Addition'!$L$1+1,'FA Write off'!C:C,"&gt;"&amp;'FA Addition'!$L$1-365)</f>
        <v>0</v>
      </c>
      <c r="AC696" s="118">
        <f>IFERROR(AA696/'FA Addition'!$J696*'FA Addition'!$L696,0)</f>
        <v>0</v>
      </c>
      <c r="AE696" s="117">
        <f>IF(AND('FA Addition'!$D696&lt;$P$1+1,U696=0),'FA Addition'!$L696,0)-Y696</f>
        <v>0</v>
      </c>
      <c r="AF696" s="117">
        <f t="shared" si="50"/>
        <v>1460000</v>
      </c>
      <c r="AG696" s="117">
        <f>MIN(MAX(+$P$1-'FA Addition'!$D696,0),365*'FA Addition'!$O696)</f>
        <v>0</v>
      </c>
      <c r="AH696" s="117">
        <f>MIN(MAX($L$1-'FA Addition'!$D696+1,0),365*'FA Addition'!$O696)</f>
        <v>291</v>
      </c>
      <c r="AI696" s="117" cm="1">
        <f t="array" ref="AI696">_xlfn.XLOOKUP(1,('FA Write off'!A:A='FA Addition'!$A696)*('FA Write off'!D:D=AA696),'FA Write off'!H:H,0,0)</f>
        <v>0</v>
      </c>
      <c r="AJ696" s="117">
        <f>IF(AC696&gt;0,MAX(IF('FA Addition'!$N696="SLM",($AC696-'FA Addition'!$M696)*'FA Addition'!$P696*AI696/365,(AC696-'FA Addition'!$M696)*(1-(1-'FA Addition'!$P696)^(AI696/365))),0),0)</f>
        <v>0</v>
      </c>
      <c r="AL696" s="117">
        <f>MAX(IF(AG696&gt;0,IF('FA Addition'!$N696="SLM",($AE696-'FA Addition'!$M696)*'FA Addition'!$P696*AG696/365,IFERROR(VDB(AE696,AE696*0.05,'FA Addition'!$O696,0,YEARFRAC('FA Addition'!$C696,$P$1-1,3),'FA Addition'!$Q696),FAAddition[[#This Row],[Original Cost (Rs)]]-FAAddition[[#This Row],[Salvage Value]])),0),0)</f>
        <v>0</v>
      </c>
      <c r="AM696" s="119"/>
      <c r="AN696" s="117">
        <f>MAX(IF(AH696&gt;0,IF('FA Addition'!$N696="SLM",($AF696-'FA Addition'!$M696)*'FA Addition'!$P696*AH696/365,IFERROR(VDB(AF696,AF696*0.05,'FA Addition'!$O696,0,YEARFRAC('FA Addition'!$C696,$L$1,3),'FA Addition'!$Q696),FAAddition[[#This Row],[Original Cost (Rs)]]-FAAddition[[#This Row],[Salvage Value]])),0),0)</f>
        <v>368600</v>
      </c>
      <c r="AO696" s="117">
        <f t="shared" si="53"/>
        <v>368600</v>
      </c>
      <c r="AQ696" s="117">
        <f t="shared" si="51"/>
        <v>0</v>
      </c>
      <c r="AR696" s="120">
        <f t="shared" si="52"/>
        <v>1091400</v>
      </c>
      <c r="AS696" s="121"/>
    </row>
    <row r="697" spans="1:45" ht="13.5" x14ac:dyDescent="0.4">
      <c r="A697" s="12">
        <f t="shared" si="54"/>
        <v>694</v>
      </c>
      <c r="B697" s="64" t="s">
        <v>1308</v>
      </c>
      <c r="C697" s="54">
        <v>45092</v>
      </c>
      <c r="D697" s="54">
        <v>45092</v>
      </c>
      <c r="E697" s="46" t="s">
        <v>1389</v>
      </c>
      <c r="F697" s="51" t="s">
        <v>1112</v>
      </c>
      <c r="G697" s="51" t="s">
        <v>36</v>
      </c>
      <c r="H697" s="51" t="s">
        <v>1113</v>
      </c>
      <c r="I697" s="55" t="s">
        <v>1405</v>
      </c>
      <c r="J697" s="56">
        <v>400</v>
      </c>
      <c r="K697" s="51" t="s">
        <v>1132</v>
      </c>
      <c r="L697" s="58">
        <v>292000</v>
      </c>
      <c r="M697" s="50">
        <f>ROUND('FA Addition'!$L697*5%,0.1)</f>
        <v>14600</v>
      </c>
      <c r="N697" s="113" t="str">
        <f>_xlfn.XLOOKUP(_xlfn.CONCAT(E697,B697),'Year Wise Master Dep Approach'!F:F,'Year Wise Master Dep Approach'!D:D)</f>
        <v>SLM</v>
      </c>
      <c r="O697" s="113">
        <f>_xlfn.XLOOKUP(_xlfn.CONCAT(E697,B697),'Year Wise Master Dep Approach'!F:F,'Year Wise Master Dep Approach'!E:E)</f>
        <v>3</v>
      </c>
      <c r="P697" s="114">
        <f>IFERROR(IF('FA Addition'!$N697="WDV",1-('FA Addition'!$M697/'FA Addition'!$L697)^(1/'FA Addition'!$O697),1/'FA Addition'!$O697),0)</f>
        <v>0.33333333333333331</v>
      </c>
      <c r="Q697" s="122">
        <f>'FA Addition'!$P697*'FA Addition'!$O697</f>
        <v>1</v>
      </c>
      <c r="R697" s="122"/>
      <c r="S697" s="116">
        <f>IF(AND(DATE(20&amp;LEFT(FAAddition[[#This Row],[FY]],2),4,1)&lt;$L$1+1,DATE(20&amp;LEFT(FAAddition[[#This Row],[FY]],2),4,1)&gt;$P$1-1),'FA Addition'!$J697,0)</f>
        <v>400</v>
      </c>
      <c r="U697" s="117">
        <f>S697*'FA Addition'!$L697/'FA Addition'!$J697</f>
        <v>292000</v>
      </c>
      <c r="W697" s="116">
        <f>SUMIFS('FA Write off'!D:D,'FA Write off'!A:A,'FA Addition'!$A697,'FA Write off'!C:C,"&lt;"&amp;'FA Addition'!$P$1)</f>
        <v>0</v>
      </c>
      <c r="Y697" s="191">
        <f>IFERROR(W697/'FA Addition'!$J697*'FA Addition'!$L697,0)</f>
        <v>0</v>
      </c>
      <c r="AA697" s="116">
        <f>SUMIFS('FA Write off'!D:D,'FA Write off'!A:A,'FA Addition'!$A697,'FA Write off'!C:C,"&lt;"&amp;'FA Addition'!$L$1+1,'FA Write off'!C:C,"&gt;"&amp;'FA Addition'!$L$1-365)</f>
        <v>0</v>
      </c>
      <c r="AC697" s="118">
        <f>IFERROR(AA697/'FA Addition'!$J697*'FA Addition'!$L697,0)</f>
        <v>0</v>
      </c>
      <c r="AE697" s="117">
        <f>IF(AND('FA Addition'!$D697&lt;$P$1+1,U697=0),'FA Addition'!$L697,0)-Y697</f>
        <v>0</v>
      </c>
      <c r="AF697" s="117">
        <f t="shared" si="50"/>
        <v>292000</v>
      </c>
      <c r="AG697" s="117">
        <f>MIN(MAX(+$P$1-'FA Addition'!$D697,0),365*'FA Addition'!$O697)</f>
        <v>0</v>
      </c>
      <c r="AH697" s="117">
        <f>MIN(MAX($L$1-'FA Addition'!$D697+1,0),365*'FA Addition'!$O697)</f>
        <v>291</v>
      </c>
      <c r="AI697" s="117" cm="1">
        <f t="array" ref="AI697">_xlfn.XLOOKUP(1,('FA Write off'!A:A='FA Addition'!$A697)*('FA Write off'!D:D=AA697),'FA Write off'!H:H,0,0)</f>
        <v>0</v>
      </c>
      <c r="AJ697" s="117">
        <f>IF(AC697&gt;0,MAX(IF('FA Addition'!$N697="SLM",($AC697-'FA Addition'!$M697)*'FA Addition'!$P697*AI697/365,(AC697-'FA Addition'!$M697)*(1-(1-'FA Addition'!$P697)^(AI697/365))),0),0)</f>
        <v>0</v>
      </c>
      <c r="AL697" s="117">
        <f>MAX(IF(AG697&gt;0,IF('FA Addition'!$N697="SLM",($AE697-'FA Addition'!$M697)*'FA Addition'!$P697*AG697/365,IFERROR(VDB(AE697,AE697*0.05,'FA Addition'!$O697,0,YEARFRAC('FA Addition'!$C697,$P$1-1,3),'FA Addition'!$Q697),FAAddition[[#This Row],[Original Cost (Rs)]]-FAAddition[[#This Row],[Salvage Value]])),0),0)</f>
        <v>0</v>
      </c>
      <c r="AM697" s="119"/>
      <c r="AN697" s="117">
        <f>MAX(IF(AH697&gt;0,IF('FA Addition'!$N697="SLM",($AF697-'FA Addition'!$M697)*'FA Addition'!$P697*AH697/365,IFERROR(VDB(AF697,AF697*0.05,'FA Addition'!$O697,0,YEARFRAC('FA Addition'!$C697,$L$1,3),'FA Addition'!$Q697),FAAddition[[#This Row],[Original Cost (Rs)]]-FAAddition[[#This Row],[Salvage Value]])),0),0)</f>
        <v>73719.999999999985</v>
      </c>
      <c r="AO697" s="117">
        <f t="shared" si="53"/>
        <v>73719.999999999985</v>
      </c>
      <c r="AQ697" s="117">
        <f t="shared" si="51"/>
        <v>0</v>
      </c>
      <c r="AR697" s="120">
        <f t="shared" si="52"/>
        <v>218280</v>
      </c>
      <c r="AS697" s="121"/>
    </row>
    <row r="698" spans="1:45" ht="13.5" x14ac:dyDescent="0.4">
      <c r="A698" s="12">
        <f t="shared" si="54"/>
        <v>695</v>
      </c>
      <c r="B698" s="64" t="s">
        <v>1308</v>
      </c>
      <c r="C698" s="54">
        <v>45096</v>
      </c>
      <c r="D698" s="54">
        <v>45096</v>
      </c>
      <c r="E698" s="46" t="s">
        <v>32</v>
      </c>
      <c r="F698" s="51" t="s">
        <v>1090</v>
      </c>
      <c r="G698" s="51" t="s">
        <v>433</v>
      </c>
      <c r="H698" s="51" t="s">
        <v>32</v>
      </c>
      <c r="I698" s="55" t="s">
        <v>1406</v>
      </c>
      <c r="J698" s="56">
        <v>2500</v>
      </c>
      <c r="K698" s="51" t="s">
        <v>935</v>
      </c>
      <c r="L698" s="58">
        <v>2700000</v>
      </c>
      <c r="M698" s="50">
        <f>ROUND('FA Addition'!$L698*5%,0.1)</f>
        <v>135000</v>
      </c>
      <c r="N698" s="113" t="str">
        <f>_xlfn.XLOOKUP(_xlfn.CONCAT(E698,B698),'Year Wise Master Dep Approach'!F:F,'Year Wise Master Dep Approach'!D:D)</f>
        <v>SLM</v>
      </c>
      <c r="O698" s="113">
        <f>_xlfn.XLOOKUP(_xlfn.CONCAT(E698,B698),'Year Wise Master Dep Approach'!F:F,'Year Wise Master Dep Approach'!E:E)</f>
        <v>5</v>
      </c>
      <c r="P698" s="114">
        <f>IFERROR(IF('FA Addition'!$N698="WDV",1-('FA Addition'!$M698/'FA Addition'!$L698)^(1/'FA Addition'!$O698),1/'FA Addition'!$O698),0)</f>
        <v>0.2</v>
      </c>
      <c r="Q698" s="122">
        <f>'FA Addition'!$P698*'FA Addition'!$O698</f>
        <v>1</v>
      </c>
      <c r="R698" s="122"/>
      <c r="S698" s="116">
        <f>IF(AND(DATE(20&amp;LEFT(FAAddition[[#This Row],[FY]],2),4,1)&lt;$L$1+1,DATE(20&amp;LEFT(FAAddition[[#This Row],[FY]],2),4,1)&gt;$P$1-1),'FA Addition'!$J698,0)</f>
        <v>2500</v>
      </c>
      <c r="U698" s="117">
        <f>S698*'FA Addition'!$L698/'FA Addition'!$J698</f>
        <v>2700000</v>
      </c>
      <c r="W698" s="116">
        <f>SUMIFS('FA Write off'!D:D,'FA Write off'!A:A,'FA Addition'!$A698,'FA Write off'!C:C,"&lt;"&amp;'FA Addition'!$P$1)</f>
        <v>41</v>
      </c>
      <c r="Y698" s="191">
        <f>IFERROR(W698/'FA Addition'!$J698*'FA Addition'!$L698,0)</f>
        <v>44280.000000000007</v>
      </c>
      <c r="AA698" s="116">
        <f>SUMIFS('FA Write off'!D:D,'FA Write off'!A:A,'FA Addition'!$A698,'FA Write off'!C:C,"&lt;"&amp;'FA Addition'!$L$1+1,'FA Write off'!C:C,"&gt;"&amp;'FA Addition'!$L$1-365)</f>
        <v>0</v>
      </c>
      <c r="AC698" s="118">
        <f>IFERROR(AA698/'FA Addition'!$J698*'FA Addition'!$L698,0)</f>
        <v>0</v>
      </c>
      <c r="AE698" s="117">
        <f>IF(AND('FA Addition'!$D698&lt;$P$1+1,U698=0),'FA Addition'!$L698,0)-Y698</f>
        <v>-44280.000000000007</v>
      </c>
      <c r="AF698" s="117">
        <f t="shared" si="50"/>
        <v>2655720</v>
      </c>
      <c r="AG698" s="117">
        <f>MIN(MAX(+$P$1-'FA Addition'!$D698,0),365*'FA Addition'!$O698)</f>
        <v>0</v>
      </c>
      <c r="AH698" s="117">
        <f>MIN(MAX($L$1-'FA Addition'!$D698+1,0),365*'FA Addition'!$O698)</f>
        <v>287</v>
      </c>
      <c r="AI698" s="117" cm="1">
        <f t="array" ref="AI698">_xlfn.XLOOKUP(1,('FA Write off'!A:A='FA Addition'!$A698)*('FA Write off'!D:D=AA698),'FA Write off'!H:H,0,0)</f>
        <v>0</v>
      </c>
      <c r="AJ698" s="117">
        <f>IF(AC698&gt;0,MAX(IF('FA Addition'!$N698="SLM",($AC698-'FA Addition'!$M698)*'FA Addition'!$P698*AI698/365,(AC698-'FA Addition'!$M698)*(1-(1-'FA Addition'!$P698)^(AI698/365))),0),0)</f>
        <v>0</v>
      </c>
      <c r="AL698" s="117">
        <f>MAX(IF(AG698&gt;0,IF('FA Addition'!$N698="SLM",($AE698-'FA Addition'!$M698)*'FA Addition'!$P698*AG698/365,IFERROR(VDB(AE698,AE698*0.05,'FA Addition'!$O698,0,YEARFRAC('FA Addition'!$C698,$P$1-1,3),'FA Addition'!$Q698),FAAddition[[#This Row],[Original Cost (Rs)]]-FAAddition[[#This Row],[Salvage Value]])),0),0)</f>
        <v>0</v>
      </c>
      <c r="AM698" s="119"/>
      <c r="AN698" s="117">
        <f>MAX(IF(AH698&gt;0,IF('FA Addition'!$N698="SLM",($AF698-'FA Addition'!$M698)*'FA Addition'!$P698*AH698/365,IFERROR(VDB(AF698,AF698*0.05,'FA Addition'!$O698,0,YEARFRAC('FA Addition'!$C698,$L$1,3),'FA Addition'!$Q698),FAAddition[[#This Row],[Original Cost (Rs)]]-FAAddition[[#This Row],[Salvage Value]])),0),0)</f>
        <v>396409.11780821916</v>
      </c>
      <c r="AO698" s="117">
        <f t="shared" si="53"/>
        <v>396409.11780821916</v>
      </c>
      <c r="AQ698" s="117">
        <f t="shared" si="51"/>
        <v>-44280.000000000007</v>
      </c>
      <c r="AR698" s="120">
        <f t="shared" si="52"/>
        <v>2259310.882191781</v>
      </c>
      <c r="AS698" s="121"/>
    </row>
    <row r="699" spans="1:45" ht="13.5" x14ac:dyDescent="0.4">
      <c r="A699" s="12">
        <f t="shared" si="54"/>
        <v>696</v>
      </c>
      <c r="B699" s="64" t="s">
        <v>1308</v>
      </c>
      <c r="C699" s="54">
        <v>45096</v>
      </c>
      <c r="D699" s="54">
        <v>45096</v>
      </c>
      <c r="E699" s="46" t="s">
        <v>451</v>
      </c>
      <c r="F699" s="51" t="s">
        <v>19</v>
      </c>
      <c r="G699" s="51" t="s">
        <v>1407</v>
      </c>
      <c r="H699" s="51" t="s">
        <v>21</v>
      </c>
      <c r="I699" s="55" t="s">
        <v>1408</v>
      </c>
      <c r="J699" s="56">
        <v>1</v>
      </c>
      <c r="K699" s="51" t="s">
        <v>1388</v>
      </c>
      <c r="L699" s="58">
        <v>29652.54</v>
      </c>
      <c r="M699" s="50">
        <f>ROUND('FA Addition'!$L699*5%,0.1)</f>
        <v>1483</v>
      </c>
      <c r="N699" s="113" t="str">
        <f>_xlfn.XLOOKUP(_xlfn.CONCAT(E699,B699),'Year Wise Master Dep Approach'!F:F,'Year Wise Master Dep Approach'!D:D)</f>
        <v>WDV</v>
      </c>
      <c r="O699" s="113">
        <f>_xlfn.XLOOKUP(_xlfn.CONCAT(E699,B699),'Year Wise Master Dep Approach'!F:F,'Year Wise Master Dep Approach'!E:E)</f>
        <v>3</v>
      </c>
      <c r="P699" s="114">
        <f>IFERROR(IF('FA Addition'!$N699="WDV",1-('FA Addition'!$M699/'FA Addition'!$L699)^(1/'FA Addition'!$O699),1/'FA Addition'!$O699),0)</f>
        <v>0.63156595838033236</v>
      </c>
      <c r="Q699" s="122">
        <f>'FA Addition'!$P699*'FA Addition'!$O699</f>
        <v>1.8946978751409971</v>
      </c>
      <c r="R699" s="122"/>
      <c r="S699" s="116">
        <f>IF(AND(DATE(20&amp;LEFT(FAAddition[[#This Row],[FY]],2),4,1)&lt;$L$1+1,DATE(20&amp;LEFT(FAAddition[[#This Row],[FY]],2),4,1)&gt;$P$1-1),'FA Addition'!$J699,0)</f>
        <v>1</v>
      </c>
      <c r="U699" s="117">
        <f>S699*'FA Addition'!$L699/'FA Addition'!$J699</f>
        <v>29652.54</v>
      </c>
      <c r="W699" s="116">
        <f>SUMIFS('FA Write off'!D:D,'FA Write off'!A:A,'FA Addition'!$A699,'FA Write off'!C:C,"&lt;"&amp;'FA Addition'!$P$1)</f>
        <v>0</v>
      </c>
      <c r="Y699" s="191">
        <f>IFERROR(W699/'FA Addition'!$J699*'FA Addition'!$L699,0)</f>
        <v>0</v>
      </c>
      <c r="AA699" s="116">
        <f>SUMIFS('FA Write off'!D:D,'FA Write off'!A:A,'FA Addition'!$A699,'FA Write off'!C:C,"&lt;"&amp;'FA Addition'!$L$1+1,'FA Write off'!C:C,"&gt;"&amp;'FA Addition'!$L$1-365)</f>
        <v>0</v>
      </c>
      <c r="AC699" s="118">
        <f>IFERROR(AA699/'FA Addition'!$J699*'FA Addition'!$L699,0)</f>
        <v>0</v>
      </c>
      <c r="AE699" s="117">
        <f>IF(AND('FA Addition'!$D699&lt;$P$1+1,U699=0),'FA Addition'!$L699,0)-Y699</f>
        <v>0</v>
      </c>
      <c r="AF699" s="117">
        <f t="shared" si="50"/>
        <v>29652.54</v>
      </c>
      <c r="AG699" s="117">
        <f>MIN(MAX(+$P$1-'FA Addition'!$D699,0),365*'FA Addition'!$O699)</f>
        <v>0</v>
      </c>
      <c r="AH699" s="117">
        <f>MIN(MAX($L$1-'FA Addition'!$D699+1,0),365*'FA Addition'!$O699)</f>
        <v>287</v>
      </c>
      <c r="AI699" s="117" cm="1">
        <f t="array" ref="AI699">_xlfn.XLOOKUP(1,('FA Write off'!A:A='FA Addition'!$A699)*('FA Write off'!D:D=AA699),'FA Write off'!H:H,0,0)</f>
        <v>0</v>
      </c>
      <c r="AJ699" s="117">
        <f>IF(AC699&gt;0,MAX(IF('FA Addition'!$N699="SLM",($AC699-'FA Addition'!$M699)*'FA Addition'!$P699*AI699/365,(AC699-'FA Addition'!$M699)*(1-(1-'FA Addition'!$P699)^(AI699/365))),0),0)</f>
        <v>0</v>
      </c>
      <c r="AL699" s="117">
        <f>MAX(IF(AG699&gt;0,IF('FA Addition'!$N699="SLM",($AE699-'FA Addition'!$M699)*'FA Addition'!$P699*AG699/365,IFERROR(VDB(AE699,AE699*0.05,'FA Addition'!$O699,0,YEARFRAC('FA Addition'!$C699,$P$1-1,3),'FA Addition'!$Q699),FAAddition[[#This Row],[Original Cost (Rs)]]-FAAddition[[#This Row],[Salvage Value]])),0),0)</f>
        <v>0</v>
      </c>
      <c r="AM699" s="119"/>
      <c r="AN699" s="117">
        <f>MAX(IF(AH699&gt;0,IF('FA Addition'!$N699="SLM",($AF699-'FA Addition'!$M699)*'FA Addition'!$P699*AH699/365,IFERROR(VDB(AF699,AF699*0.05,'FA Addition'!$O699,0,YEARFRAC('FA Addition'!$C699,$L$1,3),'FA Addition'!$Q699),FAAddition[[#This Row],[Original Cost (Rs)]]-FAAddition[[#This Row],[Salvage Value]])),0),0)</f>
        <v>14674.177986970373</v>
      </c>
      <c r="AO699" s="117">
        <f t="shared" si="53"/>
        <v>14674.177986970373</v>
      </c>
      <c r="AQ699" s="117">
        <f t="shared" si="51"/>
        <v>0</v>
      </c>
      <c r="AR699" s="120">
        <f t="shared" si="52"/>
        <v>14978.362013029628</v>
      </c>
      <c r="AS699" s="121"/>
    </row>
    <row r="700" spans="1:45" ht="13.5" x14ac:dyDescent="0.4">
      <c r="A700" s="12">
        <f t="shared" si="54"/>
        <v>697</v>
      </c>
      <c r="B700" s="64" t="s">
        <v>1308</v>
      </c>
      <c r="C700" s="54">
        <v>45096</v>
      </c>
      <c r="D700" s="54">
        <v>45096</v>
      </c>
      <c r="E700" s="46" t="s">
        <v>451</v>
      </c>
      <c r="F700" s="51" t="s">
        <v>19</v>
      </c>
      <c r="G700" s="51" t="s">
        <v>1407</v>
      </c>
      <c r="H700" s="51" t="s">
        <v>21</v>
      </c>
      <c r="I700" s="55" t="s">
        <v>1409</v>
      </c>
      <c r="J700" s="56">
        <v>1</v>
      </c>
      <c r="K700" s="51" t="s">
        <v>1388</v>
      </c>
      <c r="L700" s="58">
        <v>29652.54</v>
      </c>
      <c r="M700" s="50">
        <f>ROUND('FA Addition'!$L700*5%,0.1)</f>
        <v>1483</v>
      </c>
      <c r="N700" s="113" t="str">
        <f>_xlfn.XLOOKUP(_xlfn.CONCAT(E700,B700),'Year Wise Master Dep Approach'!F:F,'Year Wise Master Dep Approach'!D:D)</f>
        <v>WDV</v>
      </c>
      <c r="O700" s="113">
        <f>_xlfn.XLOOKUP(_xlfn.CONCAT(E700,B700),'Year Wise Master Dep Approach'!F:F,'Year Wise Master Dep Approach'!E:E)</f>
        <v>3</v>
      </c>
      <c r="P700" s="114">
        <f>IFERROR(IF('FA Addition'!$N700="WDV",1-('FA Addition'!$M700/'FA Addition'!$L700)^(1/'FA Addition'!$O700),1/'FA Addition'!$O700),0)</f>
        <v>0.63156595838033236</v>
      </c>
      <c r="Q700" s="122">
        <f>'FA Addition'!$P700*'FA Addition'!$O700</f>
        <v>1.8946978751409971</v>
      </c>
      <c r="R700" s="122"/>
      <c r="S700" s="116">
        <f>IF(AND(DATE(20&amp;LEFT(FAAddition[[#This Row],[FY]],2),4,1)&lt;$L$1+1,DATE(20&amp;LEFT(FAAddition[[#This Row],[FY]],2),4,1)&gt;$P$1-1),'FA Addition'!$J700,0)</f>
        <v>1</v>
      </c>
      <c r="U700" s="117">
        <f>S700*'FA Addition'!$L700/'FA Addition'!$J700</f>
        <v>29652.54</v>
      </c>
      <c r="W700" s="116">
        <f>SUMIFS('FA Write off'!D:D,'FA Write off'!A:A,'FA Addition'!$A700,'FA Write off'!C:C,"&lt;"&amp;'FA Addition'!$P$1)</f>
        <v>0</v>
      </c>
      <c r="Y700" s="191">
        <f>IFERROR(W700/'FA Addition'!$J700*'FA Addition'!$L700,0)</f>
        <v>0</v>
      </c>
      <c r="AA700" s="116">
        <f>SUMIFS('FA Write off'!D:D,'FA Write off'!A:A,'FA Addition'!$A700,'FA Write off'!C:C,"&lt;"&amp;'FA Addition'!$L$1+1,'FA Write off'!C:C,"&gt;"&amp;'FA Addition'!$L$1-365)</f>
        <v>0</v>
      </c>
      <c r="AC700" s="118">
        <f>IFERROR(AA700/'FA Addition'!$J700*'FA Addition'!$L700,0)</f>
        <v>0</v>
      </c>
      <c r="AE700" s="117">
        <f>IF(AND('FA Addition'!$D700&lt;$P$1+1,U700=0),'FA Addition'!$L700,0)-Y700</f>
        <v>0</v>
      </c>
      <c r="AF700" s="117">
        <f t="shared" si="50"/>
        <v>29652.54</v>
      </c>
      <c r="AG700" s="117">
        <f>MIN(MAX(+$P$1-'FA Addition'!$D700,0),365*'FA Addition'!$O700)</f>
        <v>0</v>
      </c>
      <c r="AH700" s="117">
        <f>MIN(MAX($L$1-'FA Addition'!$D700+1,0),365*'FA Addition'!$O700)</f>
        <v>287</v>
      </c>
      <c r="AI700" s="117" cm="1">
        <f t="array" ref="AI700">_xlfn.XLOOKUP(1,('FA Write off'!A:A='FA Addition'!$A700)*('FA Write off'!D:D=AA700),'FA Write off'!H:H,0,0)</f>
        <v>0</v>
      </c>
      <c r="AJ700" s="117">
        <f>IF(AC700&gt;0,MAX(IF('FA Addition'!$N700="SLM",($AC700-'FA Addition'!$M700)*'FA Addition'!$P700*AI700/365,(AC700-'FA Addition'!$M700)*(1-(1-'FA Addition'!$P700)^(AI700/365))),0),0)</f>
        <v>0</v>
      </c>
      <c r="AL700" s="117">
        <f>MAX(IF(AG700&gt;0,IF('FA Addition'!$N700="SLM",($AE700-'FA Addition'!$M700)*'FA Addition'!$P700*AG700/365,IFERROR(VDB(AE700,AE700*0.05,'FA Addition'!$O700,0,YEARFRAC('FA Addition'!$C700,$P$1-1,3),'FA Addition'!$Q700),FAAddition[[#This Row],[Original Cost (Rs)]]-FAAddition[[#This Row],[Salvage Value]])),0),0)</f>
        <v>0</v>
      </c>
      <c r="AM700" s="119"/>
      <c r="AN700" s="117">
        <f>MAX(IF(AH700&gt;0,IF('FA Addition'!$N700="SLM",($AF700-'FA Addition'!$M700)*'FA Addition'!$P700*AH700/365,IFERROR(VDB(AF700,AF700*0.05,'FA Addition'!$O700,0,YEARFRAC('FA Addition'!$C700,$L$1,3),'FA Addition'!$Q700),FAAddition[[#This Row],[Original Cost (Rs)]]-FAAddition[[#This Row],[Salvage Value]])),0),0)</f>
        <v>14674.177986970373</v>
      </c>
      <c r="AO700" s="117">
        <f t="shared" si="53"/>
        <v>14674.177986970373</v>
      </c>
      <c r="AQ700" s="117">
        <f t="shared" si="51"/>
        <v>0</v>
      </c>
      <c r="AR700" s="120">
        <f t="shared" si="52"/>
        <v>14978.362013029628</v>
      </c>
      <c r="AS700" s="121"/>
    </row>
    <row r="701" spans="1:45" ht="13.5" x14ac:dyDescent="0.4">
      <c r="A701" s="12">
        <f t="shared" si="54"/>
        <v>698</v>
      </c>
      <c r="B701" s="64" t="s">
        <v>1308</v>
      </c>
      <c r="C701" s="54">
        <v>45100</v>
      </c>
      <c r="D701" s="54">
        <v>45100</v>
      </c>
      <c r="E701" s="46" t="s">
        <v>1389</v>
      </c>
      <c r="F701" s="51" t="s">
        <v>1112</v>
      </c>
      <c r="G701" s="51" t="s">
        <v>36</v>
      </c>
      <c r="H701" s="51" t="s">
        <v>1113</v>
      </c>
      <c r="I701" s="55" t="s">
        <v>1410</v>
      </c>
      <c r="J701" s="56">
        <v>2000</v>
      </c>
      <c r="K701" s="51" t="s">
        <v>1132</v>
      </c>
      <c r="L701" s="58">
        <v>1460000</v>
      </c>
      <c r="M701" s="50">
        <f>ROUND('FA Addition'!$L701*5%,0.1)</f>
        <v>73000</v>
      </c>
      <c r="N701" s="113" t="str">
        <f>_xlfn.XLOOKUP(_xlfn.CONCAT(E701,B701),'Year Wise Master Dep Approach'!F:F,'Year Wise Master Dep Approach'!D:D)</f>
        <v>SLM</v>
      </c>
      <c r="O701" s="113">
        <f>_xlfn.XLOOKUP(_xlfn.CONCAT(E701,B701),'Year Wise Master Dep Approach'!F:F,'Year Wise Master Dep Approach'!E:E)</f>
        <v>3</v>
      </c>
      <c r="P701" s="114">
        <f>IFERROR(IF('FA Addition'!$N701="WDV",1-('FA Addition'!$M701/'FA Addition'!$L701)^(1/'FA Addition'!$O701),1/'FA Addition'!$O701),0)</f>
        <v>0.33333333333333331</v>
      </c>
      <c r="Q701" s="122">
        <f>'FA Addition'!$P701*'FA Addition'!$O701</f>
        <v>1</v>
      </c>
      <c r="R701" s="122"/>
      <c r="S701" s="116">
        <f>IF(AND(DATE(20&amp;LEFT(FAAddition[[#This Row],[FY]],2),4,1)&lt;$L$1+1,DATE(20&amp;LEFT(FAAddition[[#This Row],[FY]],2),4,1)&gt;$P$1-1),'FA Addition'!$J701,0)</f>
        <v>2000</v>
      </c>
      <c r="U701" s="117">
        <f>S701*'FA Addition'!$L701/'FA Addition'!$J701</f>
        <v>1460000</v>
      </c>
      <c r="W701" s="116">
        <f>SUMIFS('FA Write off'!D:D,'FA Write off'!A:A,'FA Addition'!$A701,'FA Write off'!C:C,"&lt;"&amp;'FA Addition'!$P$1)</f>
        <v>0</v>
      </c>
      <c r="Y701" s="191">
        <f>IFERROR(W701/'FA Addition'!$J701*'FA Addition'!$L701,0)</f>
        <v>0</v>
      </c>
      <c r="AA701" s="116">
        <f>SUMIFS('FA Write off'!D:D,'FA Write off'!A:A,'FA Addition'!$A701,'FA Write off'!C:C,"&lt;"&amp;'FA Addition'!$L$1+1,'FA Write off'!C:C,"&gt;"&amp;'FA Addition'!$L$1-365)</f>
        <v>0</v>
      </c>
      <c r="AC701" s="118">
        <f>IFERROR(AA701/'FA Addition'!$J701*'FA Addition'!$L701,0)</f>
        <v>0</v>
      </c>
      <c r="AE701" s="117">
        <f>IF(AND('FA Addition'!$D701&lt;$P$1+1,U701=0),'FA Addition'!$L701,0)-Y701</f>
        <v>0</v>
      </c>
      <c r="AF701" s="117">
        <f t="shared" si="50"/>
        <v>1460000</v>
      </c>
      <c r="AG701" s="117">
        <f>MIN(MAX(+$P$1-'FA Addition'!$D701,0),365*'FA Addition'!$O701)</f>
        <v>0</v>
      </c>
      <c r="AH701" s="117">
        <f>MIN(MAX($L$1-'FA Addition'!$D701+1,0),365*'FA Addition'!$O701)</f>
        <v>283</v>
      </c>
      <c r="AI701" s="117" cm="1">
        <f t="array" ref="AI701">_xlfn.XLOOKUP(1,('FA Write off'!A:A='FA Addition'!$A701)*('FA Write off'!D:D=AA701),'FA Write off'!H:H,0,0)</f>
        <v>0</v>
      </c>
      <c r="AJ701" s="117">
        <f>IF(AC701&gt;0,MAX(IF('FA Addition'!$N701="SLM",($AC701-'FA Addition'!$M701)*'FA Addition'!$P701*AI701/365,(AC701-'FA Addition'!$M701)*(1-(1-'FA Addition'!$P701)^(AI701/365))),0),0)</f>
        <v>0</v>
      </c>
      <c r="AL701" s="117">
        <f>MAX(IF(AG701&gt;0,IF('FA Addition'!$N701="SLM",($AE701-'FA Addition'!$M701)*'FA Addition'!$P701*AG701/365,IFERROR(VDB(AE701,AE701*0.05,'FA Addition'!$O701,0,YEARFRAC('FA Addition'!$C701,$P$1-1,3),'FA Addition'!$Q701),FAAddition[[#This Row],[Original Cost (Rs)]]-FAAddition[[#This Row],[Salvage Value]])),0),0)</f>
        <v>0</v>
      </c>
      <c r="AM701" s="119"/>
      <c r="AN701" s="117">
        <f>MAX(IF(AH701&gt;0,IF('FA Addition'!$N701="SLM",($AF701-'FA Addition'!$M701)*'FA Addition'!$P701*AH701/365,IFERROR(VDB(AF701,AF701*0.05,'FA Addition'!$O701,0,YEARFRAC('FA Addition'!$C701,$L$1,3),'FA Addition'!$Q701),FAAddition[[#This Row],[Original Cost (Rs)]]-FAAddition[[#This Row],[Salvage Value]])),0),0)</f>
        <v>358466.66666666663</v>
      </c>
      <c r="AO701" s="117">
        <f t="shared" si="53"/>
        <v>358466.66666666663</v>
      </c>
      <c r="AQ701" s="117">
        <f t="shared" si="51"/>
        <v>0</v>
      </c>
      <c r="AR701" s="120">
        <f t="shared" si="52"/>
        <v>1101533.3333333335</v>
      </c>
      <c r="AS701" s="121"/>
    </row>
    <row r="702" spans="1:45" ht="13.5" x14ac:dyDescent="0.4">
      <c r="A702" s="12">
        <f t="shared" si="54"/>
        <v>699</v>
      </c>
      <c r="B702" s="64" t="s">
        <v>1308</v>
      </c>
      <c r="C702" s="54">
        <v>45107</v>
      </c>
      <c r="D702" s="54">
        <v>45107</v>
      </c>
      <c r="E702" s="46" t="s">
        <v>32</v>
      </c>
      <c r="F702" s="51" t="s">
        <v>1090</v>
      </c>
      <c r="G702" s="51" t="s">
        <v>433</v>
      </c>
      <c r="H702" s="51" t="s">
        <v>32</v>
      </c>
      <c r="I702" s="55" t="s">
        <v>1411</v>
      </c>
      <c r="J702" s="56">
        <v>1500</v>
      </c>
      <c r="K702" s="51" t="s">
        <v>1350</v>
      </c>
      <c r="L702" s="58">
        <v>1620000</v>
      </c>
      <c r="M702" s="50">
        <f>ROUND('FA Addition'!$L702*5%,0.1)</f>
        <v>81000</v>
      </c>
      <c r="N702" s="113" t="str">
        <f>_xlfn.XLOOKUP(_xlfn.CONCAT(E702,B702),'Year Wise Master Dep Approach'!F:F,'Year Wise Master Dep Approach'!D:D)</f>
        <v>SLM</v>
      </c>
      <c r="O702" s="113">
        <f>_xlfn.XLOOKUP(_xlfn.CONCAT(E702,B702),'Year Wise Master Dep Approach'!F:F,'Year Wise Master Dep Approach'!E:E)</f>
        <v>5</v>
      </c>
      <c r="P702" s="114">
        <f>IFERROR(IF('FA Addition'!$N702="WDV",1-('FA Addition'!$M702/'FA Addition'!$L702)^(1/'FA Addition'!$O702),1/'FA Addition'!$O702),0)</f>
        <v>0.2</v>
      </c>
      <c r="Q702" s="122">
        <f>'FA Addition'!$P702*'FA Addition'!$O702</f>
        <v>1</v>
      </c>
      <c r="R702" s="122"/>
      <c r="S702" s="116">
        <f>IF(AND(DATE(20&amp;LEFT(FAAddition[[#This Row],[FY]],2),4,1)&lt;$L$1+1,DATE(20&amp;LEFT(FAAddition[[#This Row],[FY]],2),4,1)&gt;$P$1-1),'FA Addition'!$J702,0)</f>
        <v>1500</v>
      </c>
      <c r="U702" s="117">
        <f>S702*'FA Addition'!$L702/'FA Addition'!$J702</f>
        <v>1620000</v>
      </c>
      <c r="W702" s="116">
        <f>SUMIFS('FA Write off'!D:D,'FA Write off'!A:A,'FA Addition'!$A702,'FA Write off'!C:C,"&lt;"&amp;'FA Addition'!$P$1)</f>
        <v>22</v>
      </c>
      <c r="Y702" s="191">
        <f>IFERROR(W702/'FA Addition'!$J702*'FA Addition'!$L702,0)</f>
        <v>23760</v>
      </c>
      <c r="AA702" s="116">
        <f>SUMIFS('FA Write off'!D:D,'FA Write off'!A:A,'FA Addition'!$A702,'FA Write off'!C:C,"&lt;"&amp;'FA Addition'!$L$1+1,'FA Write off'!C:C,"&gt;"&amp;'FA Addition'!$L$1-365)</f>
        <v>0</v>
      </c>
      <c r="AC702" s="118">
        <f>IFERROR(AA702/'FA Addition'!$J702*'FA Addition'!$L702,0)</f>
        <v>0</v>
      </c>
      <c r="AE702" s="117">
        <f>IF(AND('FA Addition'!$D702&lt;$P$1+1,U702=0),'FA Addition'!$L702,0)-Y702</f>
        <v>-23760</v>
      </c>
      <c r="AF702" s="117">
        <f t="shared" si="50"/>
        <v>1596240</v>
      </c>
      <c r="AG702" s="117">
        <f>MIN(MAX(+$P$1-'FA Addition'!$D702,0),365*'FA Addition'!$O702)</f>
        <v>0</v>
      </c>
      <c r="AH702" s="117">
        <f>MIN(MAX($L$1-'FA Addition'!$D702+1,0),365*'FA Addition'!$O702)</f>
        <v>276</v>
      </c>
      <c r="AI702" s="117" cm="1">
        <f t="array" ref="AI702">_xlfn.XLOOKUP(1,('FA Write off'!A:A='FA Addition'!$A702)*('FA Write off'!D:D=AA702),'FA Write off'!H:H,0,0)</f>
        <v>0</v>
      </c>
      <c r="AJ702" s="117">
        <f>IF(AC702&gt;0,MAX(IF('FA Addition'!$N702="SLM",($AC702-'FA Addition'!$M702)*'FA Addition'!$P702*AI702/365,(AC702-'FA Addition'!$M702)*(1-(1-'FA Addition'!$P702)^(AI702/365))),0),0)</f>
        <v>0</v>
      </c>
      <c r="AL702" s="117">
        <f>MAX(IF(AG702&gt;0,IF('FA Addition'!$N702="SLM",($AE702-'FA Addition'!$M702)*'FA Addition'!$P702*AG702/365,IFERROR(VDB(AE702,AE702*0.05,'FA Addition'!$O702,0,YEARFRAC('FA Addition'!$C702,$P$1-1,3),'FA Addition'!$Q702),FAAddition[[#This Row],[Original Cost (Rs)]]-FAAddition[[#This Row],[Salvage Value]])),0),0)</f>
        <v>0</v>
      </c>
      <c r="AM702" s="119"/>
      <c r="AN702" s="117">
        <f>MAX(IF(AH702&gt;0,IF('FA Addition'!$N702="SLM",($AF702-'FA Addition'!$M702)*'FA Addition'!$P702*AH702/365,IFERROR(VDB(AF702,AF702*0.05,'FA Addition'!$O702,0,YEARFRAC('FA Addition'!$C702,$L$1,3),'FA Addition'!$Q702),FAAddition[[#This Row],[Original Cost (Rs)]]-FAAddition[[#This Row],[Salvage Value]])),0),0)</f>
        <v>229154.10410958904</v>
      </c>
      <c r="AO702" s="117">
        <f t="shared" si="53"/>
        <v>229154.10410958904</v>
      </c>
      <c r="AQ702" s="117">
        <f t="shared" si="51"/>
        <v>-23760</v>
      </c>
      <c r="AR702" s="120">
        <f t="shared" si="52"/>
        <v>1367085.895890411</v>
      </c>
      <c r="AS702" s="121"/>
    </row>
    <row r="703" spans="1:45" ht="13.5" x14ac:dyDescent="0.4">
      <c r="A703" s="12">
        <f t="shared" si="54"/>
        <v>700</v>
      </c>
      <c r="B703" s="64" t="s">
        <v>1308</v>
      </c>
      <c r="C703" s="54">
        <v>45109</v>
      </c>
      <c r="D703" s="54">
        <v>45109</v>
      </c>
      <c r="E703" s="46" t="s">
        <v>451</v>
      </c>
      <c r="F703" s="51" t="s">
        <v>19</v>
      </c>
      <c r="G703" s="51" t="s">
        <v>1386</v>
      </c>
      <c r="H703" s="51" t="s">
        <v>21</v>
      </c>
      <c r="I703" s="55" t="s">
        <v>1412</v>
      </c>
      <c r="J703" s="56">
        <v>1</v>
      </c>
      <c r="K703" s="51" t="s">
        <v>1413</v>
      </c>
      <c r="L703" s="58">
        <v>30500</v>
      </c>
      <c r="M703" s="50">
        <f>ROUND('FA Addition'!$L703*5%,0.1)</f>
        <v>1525</v>
      </c>
      <c r="N703" s="113" t="str">
        <f>_xlfn.XLOOKUP(_xlfn.CONCAT(E703,B703),'Year Wise Master Dep Approach'!F:F,'Year Wise Master Dep Approach'!D:D)</f>
        <v>WDV</v>
      </c>
      <c r="O703" s="113">
        <f>_xlfn.XLOOKUP(_xlfn.CONCAT(E703,B703),'Year Wise Master Dep Approach'!F:F,'Year Wise Master Dep Approach'!E:E)</f>
        <v>3</v>
      </c>
      <c r="P703" s="114">
        <f>IFERROR(IF('FA Addition'!$N703="WDV",1-('FA Addition'!$M703/'FA Addition'!$L703)^(1/'FA Addition'!$O703),1/'FA Addition'!$O703),0)</f>
        <v>0.63159685013596123</v>
      </c>
      <c r="Q703" s="122">
        <f>'FA Addition'!$P703*'FA Addition'!$O703</f>
        <v>1.8947905504078837</v>
      </c>
      <c r="R703" s="122"/>
      <c r="S703" s="116">
        <f>IF(AND(DATE(20&amp;LEFT(FAAddition[[#This Row],[FY]],2),4,1)&lt;$L$1+1,DATE(20&amp;LEFT(FAAddition[[#This Row],[FY]],2),4,1)&gt;$P$1-1),'FA Addition'!$J703,0)</f>
        <v>1</v>
      </c>
      <c r="U703" s="117">
        <f>S703*'FA Addition'!$L703/'FA Addition'!$J703</f>
        <v>30500</v>
      </c>
      <c r="W703" s="116">
        <f>SUMIFS('FA Write off'!D:D,'FA Write off'!A:A,'FA Addition'!$A703,'FA Write off'!C:C,"&lt;"&amp;'FA Addition'!$P$1)</f>
        <v>0</v>
      </c>
      <c r="Y703" s="191">
        <f>IFERROR(W703/'FA Addition'!$J703*'FA Addition'!$L703,0)</f>
        <v>0</v>
      </c>
      <c r="AA703" s="116">
        <f>SUMIFS('FA Write off'!D:D,'FA Write off'!A:A,'FA Addition'!$A703,'FA Write off'!C:C,"&lt;"&amp;'FA Addition'!$L$1+1,'FA Write off'!C:C,"&gt;"&amp;'FA Addition'!$L$1-365)</f>
        <v>0</v>
      </c>
      <c r="AC703" s="118">
        <f>IFERROR(AA703/'FA Addition'!$J703*'FA Addition'!$L703,0)</f>
        <v>0</v>
      </c>
      <c r="AE703" s="117">
        <f>IF(AND('FA Addition'!$D703&lt;$P$1+1,U703=0),'FA Addition'!$L703,0)-Y703</f>
        <v>0</v>
      </c>
      <c r="AF703" s="117">
        <f t="shared" si="50"/>
        <v>30500</v>
      </c>
      <c r="AG703" s="117">
        <f>MIN(MAX(+$P$1-'FA Addition'!$D703,0),365*'FA Addition'!$O703)</f>
        <v>0</v>
      </c>
      <c r="AH703" s="117">
        <f>MIN(MAX($L$1-'FA Addition'!$D703+1,0),365*'FA Addition'!$O703)</f>
        <v>274</v>
      </c>
      <c r="AI703" s="117" cm="1">
        <f t="array" ref="AI703">_xlfn.XLOOKUP(1,('FA Write off'!A:A='FA Addition'!$A703)*('FA Write off'!D:D=AA703),'FA Write off'!H:H,0,0)</f>
        <v>0</v>
      </c>
      <c r="AJ703" s="117">
        <f>IF(AC703&gt;0,MAX(IF('FA Addition'!$N703="SLM",($AC703-'FA Addition'!$M703)*'FA Addition'!$P703*AI703/365,(AC703-'FA Addition'!$M703)*(1-(1-'FA Addition'!$P703)^(AI703/365))),0),0)</f>
        <v>0</v>
      </c>
      <c r="AL703" s="117">
        <f>MAX(IF(AG703&gt;0,IF('FA Addition'!$N703="SLM",($AE703-'FA Addition'!$M703)*'FA Addition'!$P703*AG703/365,IFERROR(VDB(AE703,AE703*0.05,'FA Addition'!$O703,0,YEARFRAC('FA Addition'!$C703,$P$1-1,3),'FA Addition'!$Q703),FAAddition[[#This Row],[Original Cost (Rs)]]-FAAddition[[#This Row],[Salvage Value]])),0),0)</f>
        <v>0</v>
      </c>
      <c r="AM703" s="119"/>
      <c r="AN703" s="117">
        <f>MAX(IF(AH703&gt;0,IF('FA Addition'!$N703="SLM",($AF703-'FA Addition'!$M703)*'FA Addition'!$P703*AH703/365,IFERROR(VDB(AF703,AF703*0.05,'FA Addition'!$O703,0,YEARFRAC('FA Addition'!$C703,$L$1,3),'FA Addition'!$Q703),FAAddition[[#This Row],[Original Cost (Rs)]]-FAAddition[[#This Row],[Salvage Value]])),0),0)</f>
        <v>14408.194993581044</v>
      </c>
      <c r="AO703" s="117">
        <f t="shared" si="53"/>
        <v>14408.194993581044</v>
      </c>
      <c r="AQ703" s="117">
        <f t="shared" si="51"/>
        <v>0</v>
      </c>
      <c r="AR703" s="120">
        <f t="shared" si="52"/>
        <v>16091.805006418956</v>
      </c>
      <c r="AS703" s="121"/>
    </row>
    <row r="704" spans="1:45" ht="13.5" x14ac:dyDescent="0.4">
      <c r="A704" s="12">
        <f t="shared" si="54"/>
        <v>701</v>
      </c>
      <c r="B704" s="64" t="s">
        <v>1308</v>
      </c>
      <c r="C704" s="54">
        <v>45113</v>
      </c>
      <c r="D704" s="54">
        <v>45113</v>
      </c>
      <c r="E704" s="46" t="s">
        <v>32</v>
      </c>
      <c r="F704" s="51" t="s">
        <v>1090</v>
      </c>
      <c r="G704" s="51" t="s">
        <v>433</v>
      </c>
      <c r="H704" s="51" t="s">
        <v>32</v>
      </c>
      <c r="I704" s="55" t="s">
        <v>1414</v>
      </c>
      <c r="J704" s="56">
        <v>600</v>
      </c>
      <c r="K704" s="51" t="s">
        <v>935</v>
      </c>
      <c r="L704" s="58">
        <v>648000</v>
      </c>
      <c r="M704" s="50">
        <f>ROUND('FA Addition'!$L704*5%,0.1)</f>
        <v>32400</v>
      </c>
      <c r="N704" s="113" t="str">
        <f>_xlfn.XLOOKUP(_xlfn.CONCAT(E704,B704),'Year Wise Master Dep Approach'!F:F,'Year Wise Master Dep Approach'!D:D)</f>
        <v>SLM</v>
      </c>
      <c r="O704" s="113">
        <f>_xlfn.XLOOKUP(_xlfn.CONCAT(E704,B704),'Year Wise Master Dep Approach'!F:F,'Year Wise Master Dep Approach'!E:E)</f>
        <v>5</v>
      </c>
      <c r="P704" s="114">
        <f>IFERROR(IF('FA Addition'!$N704="WDV",1-('FA Addition'!$M704/'FA Addition'!$L704)^(1/'FA Addition'!$O704),1/'FA Addition'!$O704),0)</f>
        <v>0.2</v>
      </c>
      <c r="Q704" s="122">
        <f>'FA Addition'!$P704*'FA Addition'!$O704</f>
        <v>1</v>
      </c>
      <c r="R704" s="122"/>
      <c r="S704" s="116">
        <f>IF(AND(DATE(20&amp;LEFT(FAAddition[[#This Row],[FY]],2),4,1)&lt;$L$1+1,DATE(20&amp;LEFT(FAAddition[[#This Row],[FY]],2),4,1)&gt;$P$1-1),'FA Addition'!$J704,0)</f>
        <v>600</v>
      </c>
      <c r="U704" s="117">
        <f>S704*'FA Addition'!$L704/'FA Addition'!$J704</f>
        <v>648000</v>
      </c>
      <c r="W704" s="116">
        <f>SUMIFS('FA Write off'!D:D,'FA Write off'!A:A,'FA Addition'!$A704,'FA Write off'!C:C,"&lt;"&amp;'FA Addition'!$P$1)</f>
        <v>0</v>
      </c>
      <c r="Y704" s="191">
        <f>IFERROR(W704/'FA Addition'!$J704*'FA Addition'!$L704,0)</f>
        <v>0</v>
      </c>
      <c r="AA704" s="116">
        <f>SUMIFS('FA Write off'!D:D,'FA Write off'!A:A,'FA Addition'!$A704,'FA Write off'!C:C,"&lt;"&amp;'FA Addition'!$L$1+1,'FA Write off'!C:C,"&gt;"&amp;'FA Addition'!$L$1-365)</f>
        <v>0</v>
      </c>
      <c r="AC704" s="118">
        <f>IFERROR(AA704/'FA Addition'!$J704*'FA Addition'!$L704,0)</f>
        <v>0</v>
      </c>
      <c r="AE704" s="117">
        <f>IF(AND('FA Addition'!$D704&lt;$P$1+1,U704=0),'FA Addition'!$L704,0)-Y704</f>
        <v>0</v>
      </c>
      <c r="AF704" s="117">
        <f t="shared" si="50"/>
        <v>648000</v>
      </c>
      <c r="AG704" s="117">
        <f>MIN(MAX(+$P$1-'FA Addition'!$D704,0),365*'FA Addition'!$O704)</f>
        <v>0</v>
      </c>
      <c r="AH704" s="117">
        <f>MIN(MAX($L$1-'FA Addition'!$D704+1,0),365*'FA Addition'!$O704)</f>
        <v>270</v>
      </c>
      <c r="AI704" s="117" cm="1">
        <f t="array" ref="AI704">_xlfn.XLOOKUP(1,('FA Write off'!A:A='FA Addition'!$A704)*('FA Write off'!D:D=AA704),'FA Write off'!H:H,0,0)</f>
        <v>0</v>
      </c>
      <c r="AJ704" s="117">
        <f>IF(AC704&gt;0,MAX(IF('FA Addition'!$N704="SLM",($AC704-'FA Addition'!$M704)*'FA Addition'!$P704*AI704/365,(AC704-'FA Addition'!$M704)*(1-(1-'FA Addition'!$P704)^(AI704/365))),0),0)</f>
        <v>0</v>
      </c>
      <c r="AL704" s="117">
        <f>MAX(IF(AG704&gt;0,IF('FA Addition'!$N704="SLM",($AE704-'FA Addition'!$M704)*'FA Addition'!$P704*AG704/365,IFERROR(VDB(AE704,AE704*0.05,'FA Addition'!$O704,0,YEARFRAC('FA Addition'!$C704,$P$1-1,3),'FA Addition'!$Q704),FAAddition[[#This Row],[Original Cost (Rs)]]-FAAddition[[#This Row],[Salvage Value]])),0),0)</f>
        <v>0</v>
      </c>
      <c r="AM704" s="119"/>
      <c r="AN704" s="117">
        <f>MAX(IF(AH704&gt;0,IF('FA Addition'!$N704="SLM",($AF704-'FA Addition'!$M704)*'FA Addition'!$P704*AH704/365,IFERROR(VDB(AF704,AF704*0.05,'FA Addition'!$O704,0,YEARFRAC('FA Addition'!$C704,$L$1,3),'FA Addition'!$Q704),FAAddition[[#This Row],[Original Cost (Rs)]]-FAAddition[[#This Row],[Salvage Value]])),0),0)</f>
        <v>91075.068493150684</v>
      </c>
      <c r="AO704" s="117">
        <f t="shared" si="53"/>
        <v>91075.068493150684</v>
      </c>
      <c r="AQ704" s="117">
        <f t="shared" si="51"/>
        <v>0</v>
      </c>
      <c r="AR704" s="120">
        <f t="shared" si="52"/>
        <v>556924.93150684936</v>
      </c>
      <c r="AS704" s="121"/>
    </row>
    <row r="705" spans="1:45" ht="13.5" x14ac:dyDescent="0.4">
      <c r="A705" s="12">
        <f t="shared" si="54"/>
        <v>702</v>
      </c>
      <c r="B705" s="64" t="s">
        <v>1308</v>
      </c>
      <c r="C705" s="54">
        <v>45113</v>
      </c>
      <c r="D705" s="54">
        <v>45113</v>
      </c>
      <c r="E705" s="46" t="s">
        <v>451</v>
      </c>
      <c r="F705" s="51" t="s">
        <v>19</v>
      </c>
      <c r="G705" s="51" t="s">
        <v>1415</v>
      </c>
      <c r="H705" s="51" t="s">
        <v>151</v>
      </c>
      <c r="I705" s="55" t="s">
        <v>1416</v>
      </c>
      <c r="J705" s="56">
        <v>1</v>
      </c>
      <c r="K705" s="51" t="s">
        <v>1417</v>
      </c>
      <c r="L705" s="58">
        <v>16016.95</v>
      </c>
      <c r="M705" s="50">
        <f>ROUND('FA Addition'!$L705*5%,0.1)</f>
        <v>801</v>
      </c>
      <c r="N705" s="113" t="str">
        <f>_xlfn.XLOOKUP(_xlfn.CONCAT(E705,B705),'Year Wise Master Dep Approach'!F:F,'Year Wise Master Dep Approach'!D:D)</f>
        <v>WDV</v>
      </c>
      <c r="O705" s="113">
        <f>_xlfn.XLOOKUP(_xlfn.CONCAT(E705,B705),'Year Wise Master Dep Approach'!F:F,'Year Wise Master Dep Approach'!E:E)</f>
        <v>3</v>
      </c>
      <c r="P705" s="114">
        <f>IFERROR(IF('FA Addition'!$N705="WDV",1-('FA Addition'!$M705/'FA Addition'!$L705)^(1/'FA Addition'!$O705),1/'FA Addition'!$O705),0)</f>
        <v>0.63157346744256704</v>
      </c>
      <c r="Q705" s="122">
        <f>'FA Addition'!$P705*'FA Addition'!$O705</f>
        <v>1.8947204023277011</v>
      </c>
      <c r="R705" s="122"/>
      <c r="S705" s="116">
        <f>IF(AND(DATE(20&amp;LEFT(FAAddition[[#This Row],[FY]],2),4,1)&lt;$L$1+1,DATE(20&amp;LEFT(FAAddition[[#This Row],[FY]],2),4,1)&gt;$P$1-1),'FA Addition'!$J705,0)</f>
        <v>1</v>
      </c>
      <c r="U705" s="117">
        <f>S705*'FA Addition'!$L705/'FA Addition'!$J705</f>
        <v>16016.95</v>
      </c>
      <c r="W705" s="116">
        <f>SUMIFS('FA Write off'!D:D,'FA Write off'!A:A,'FA Addition'!$A705,'FA Write off'!C:C,"&lt;"&amp;'FA Addition'!$P$1)</f>
        <v>0</v>
      </c>
      <c r="Y705" s="191">
        <f>IFERROR(W705/'FA Addition'!$J705*'FA Addition'!$L705,0)</f>
        <v>0</v>
      </c>
      <c r="AA705" s="116">
        <f>SUMIFS('FA Write off'!D:D,'FA Write off'!A:A,'FA Addition'!$A705,'FA Write off'!C:C,"&lt;"&amp;'FA Addition'!$L$1+1,'FA Write off'!C:C,"&gt;"&amp;'FA Addition'!$L$1-365)</f>
        <v>0</v>
      </c>
      <c r="AC705" s="118">
        <f>IFERROR(AA705/'FA Addition'!$J705*'FA Addition'!$L705,0)</f>
        <v>0</v>
      </c>
      <c r="AE705" s="117">
        <f>IF(AND('FA Addition'!$D705&lt;$P$1+1,U705=0),'FA Addition'!$L705,0)-Y705</f>
        <v>0</v>
      </c>
      <c r="AF705" s="117">
        <f t="shared" si="50"/>
        <v>16016.95</v>
      </c>
      <c r="AG705" s="117">
        <f>MIN(MAX(+$P$1-'FA Addition'!$D705,0),365*'FA Addition'!$O705)</f>
        <v>0</v>
      </c>
      <c r="AH705" s="117">
        <f>MIN(MAX($L$1-'FA Addition'!$D705+1,0),365*'FA Addition'!$O705)</f>
        <v>270</v>
      </c>
      <c r="AI705" s="117" cm="1">
        <f t="array" ref="AI705">_xlfn.XLOOKUP(1,('FA Write off'!A:A='FA Addition'!$A705)*('FA Write off'!D:D=AA705),'FA Write off'!H:H,0,0)</f>
        <v>0</v>
      </c>
      <c r="AJ705" s="117">
        <f>IF(AC705&gt;0,MAX(IF('FA Addition'!$N705="SLM",($AC705-'FA Addition'!$M705)*'FA Addition'!$P705*AI705/365,(AC705-'FA Addition'!$M705)*(1-(1-'FA Addition'!$P705)^(AI705/365))),0),0)</f>
        <v>0</v>
      </c>
      <c r="AL705" s="117">
        <f>MAX(IF(AG705&gt;0,IF('FA Addition'!$N705="SLM",($AE705-'FA Addition'!$M705)*'FA Addition'!$P705*AG705/365,IFERROR(VDB(AE705,AE705*0.05,'FA Addition'!$O705,0,YEARFRAC('FA Addition'!$C705,$P$1-1,3),'FA Addition'!$Q705),FAAddition[[#This Row],[Original Cost (Rs)]]-FAAddition[[#This Row],[Salvage Value]])),0),0)</f>
        <v>0</v>
      </c>
      <c r="AM705" s="119"/>
      <c r="AN705" s="117">
        <f>MAX(IF(AH705&gt;0,IF('FA Addition'!$N705="SLM",($AF705-'FA Addition'!$M705)*'FA Addition'!$P705*AH705/365,IFERROR(VDB(AF705,AF705*0.05,'FA Addition'!$O705,0,YEARFRAC('FA Addition'!$C705,$L$1,3),'FA Addition'!$Q705),FAAddition[[#This Row],[Original Cost (Rs)]]-FAAddition[[#This Row],[Salvage Value]])),0),0)</f>
        <v>7455.2654648665384</v>
      </c>
      <c r="AO705" s="117">
        <f t="shared" si="53"/>
        <v>7455.2654648665384</v>
      </c>
      <c r="AQ705" s="117">
        <f t="shared" si="51"/>
        <v>0</v>
      </c>
      <c r="AR705" s="120">
        <f t="shared" si="52"/>
        <v>8561.6845351334632</v>
      </c>
      <c r="AS705" s="121"/>
    </row>
    <row r="706" spans="1:45" ht="13.5" x14ac:dyDescent="0.4">
      <c r="A706" s="12">
        <f t="shared" si="54"/>
        <v>703</v>
      </c>
      <c r="B706" s="64" t="s">
        <v>1308</v>
      </c>
      <c r="C706" s="54">
        <v>45113</v>
      </c>
      <c r="D706" s="54">
        <v>45113</v>
      </c>
      <c r="E706" s="46" t="s">
        <v>451</v>
      </c>
      <c r="F706" s="51" t="s">
        <v>19</v>
      </c>
      <c r="G706" s="51" t="s">
        <v>1415</v>
      </c>
      <c r="H706" s="51" t="s">
        <v>151</v>
      </c>
      <c r="I706" s="55" t="s">
        <v>1418</v>
      </c>
      <c r="J706" s="56">
        <v>1</v>
      </c>
      <c r="K706" s="51" t="s">
        <v>1417</v>
      </c>
      <c r="L706" s="58">
        <v>16016.95</v>
      </c>
      <c r="M706" s="50">
        <f>ROUND('FA Addition'!$L706*5%,0.1)</f>
        <v>801</v>
      </c>
      <c r="N706" s="113" t="str">
        <f>_xlfn.XLOOKUP(_xlfn.CONCAT(E706,B706),'Year Wise Master Dep Approach'!F:F,'Year Wise Master Dep Approach'!D:D)</f>
        <v>WDV</v>
      </c>
      <c r="O706" s="113">
        <f>_xlfn.XLOOKUP(_xlfn.CONCAT(E706,B706),'Year Wise Master Dep Approach'!F:F,'Year Wise Master Dep Approach'!E:E)</f>
        <v>3</v>
      </c>
      <c r="P706" s="114">
        <f>IFERROR(IF('FA Addition'!$N706="WDV",1-('FA Addition'!$M706/'FA Addition'!$L706)^(1/'FA Addition'!$O706),1/'FA Addition'!$O706),0)</f>
        <v>0.63157346744256704</v>
      </c>
      <c r="Q706" s="122">
        <f>'FA Addition'!$P706*'FA Addition'!$O706</f>
        <v>1.8947204023277011</v>
      </c>
      <c r="R706" s="122"/>
      <c r="S706" s="116">
        <f>IF(AND(DATE(20&amp;LEFT(FAAddition[[#This Row],[FY]],2),4,1)&lt;$L$1+1,DATE(20&amp;LEFT(FAAddition[[#This Row],[FY]],2),4,1)&gt;$P$1-1),'FA Addition'!$J706,0)</f>
        <v>1</v>
      </c>
      <c r="U706" s="117">
        <f>S706*'FA Addition'!$L706/'FA Addition'!$J706</f>
        <v>16016.95</v>
      </c>
      <c r="W706" s="116">
        <f>SUMIFS('FA Write off'!D:D,'FA Write off'!A:A,'FA Addition'!$A706,'FA Write off'!C:C,"&lt;"&amp;'FA Addition'!$P$1)</f>
        <v>0</v>
      </c>
      <c r="Y706" s="191">
        <f>IFERROR(W706/'FA Addition'!$J706*'FA Addition'!$L706,0)</f>
        <v>0</v>
      </c>
      <c r="AA706" s="116">
        <f>SUMIFS('FA Write off'!D:D,'FA Write off'!A:A,'FA Addition'!$A706,'FA Write off'!C:C,"&lt;"&amp;'FA Addition'!$L$1+1,'FA Write off'!C:C,"&gt;"&amp;'FA Addition'!$L$1-365)</f>
        <v>0</v>
      </c>
      <c r="AC706" s="118">
        <f>IFERROR(AA706/'FA Addition'!$J706*'FA Addition'!$L706,0)</f>
        <v>0</v>
      </c>
      <c r="AE706" s="117">
        <f>IF(AND('FA Addition'!$D706&lt;$P$1+1,U706=0),'FA Addition'!$L706,0)-Y706</f>
        <v>0</v>
      </c>
      <c r="AF706" s="117">
        <f t="shared" si="50"/>
        <v>16016.95</v>
      </c>
      <c r="AG706" s="117">
        <f>MIN(MAX(+$P$1-'FA Addition'!$D706,0),365*'FA Addition'!$O706)</f>
        <v>0</v>
      </c>
      <c r="AH706" s="117">
        <f>MIN(MAX($L$1-'FA Addition'!$D706+1,0),365*'FA Addition'!$O706)</f>
        <v>270</v>
      </c>
      <c r="AI706" s="117" cm="1">
        <f t="array" ref="AI706">_xlfn.XLOOKUP(1,('FA Write off'!A:A='FA Addition'!$A706)*('FA Write off'!D:D=AA706),'FA Write off'!H:H,0,0)</f>
        <v>0</v>
      </c>
      <c r="AJ706" s="117">
        <f>IF(AC706&gt;0,MAX(IF('FA Addition'!$N706="SLM",($AC706-'FA Addition'!$M706)*'FA Addition'!$P706*AI706/365,(AC706-'FA Addition'!$M706)*(1-(1-'FA Addition'!$P706)^(AI706/365))),0),0)</f>
        <v>0</v>
      </c>
      <c r="AL706" s="117">
        <f>MAX(IF(AG706&gt;0,IF('FA Addition'!$N706="SLM",($AE706-'FA Addition'!$M706)*'FA Addition'!$P706*AG706/365,IFERROR(VDB(AE706,AE706*0.05,'FA Addition'!$O706,0,YEARFRAC('FA Addition'!$C706,$P$1-1,3),'FA Addition'!$Q706),FAAddition[[#This Row],[Original Cost (Rs)]]-FAAddition[[#This Row],[Salvage Value]])),0),0)</f>
        <v>0</v>
      </c>
      <c r="AM706" s="119"/>
      <c r="AN706" s="117">
        <f>MAX(IF(AH706&gt;0,IF('FA Addition'!$N706="SLM",($AF706-'FA Addition'!$M706)*'FA Addition'!$P706*AH706/365,IFERROR(VDB(AF706,AF706*0.05,'FA Addition'!$O706,0,YEARFRAC('FA Addition'!$C706,$L$1,3),'FA Addition'!$Q706),FAAddition[[#This Row],[Original Cost (Rs)]]-FAAddition[[#This Row],[Salvage Value]])),0),0)</f>
        <v>7455.2654648665384</v>
      </c>
      <c r="AO706" s="117">
        <f t="shared" si="53"/>
        <v>7455.2654648665384</v>
      </c>
      <c r="AQ706" s="117">
        <f t="shared" si="51"/>
        <v>0</v>
      </c>
      <c r="AR706" s="120">
        <f t="shared" si="52"/>
        <v>8561.6845351334632</v>
      </c>
      <c r="AS706" s="121"/>
    </row>
    <row r="707" spans="1:45" ht="13.5" x14ac:dyDescent="0.4">
      <c r="A707" s="12">
        <f t="shared" si="54"/>
        <v>704</v>
      </c>
      <c r="B707" s="64" t="s">
        <v>1308</v>
      </c>
      <c r="C707" s="54">
        <v>45113</v>
      </c>
      <c r="D707" s="54">
        <v>45113</v>
      </c>
      <c r="E707" s="46" t="s">
        <v>207</v>
      </c>
      <c r="F707" s="51" t="s">
        <v>1372</v>
      </c>
      <c r="G707" s="51" t="s">
        <v>1419</v>
      </c>
      <c r="H707" s="51" t="s">
        <v>207</v>
      </c>
      <c r="I707" s="55" t="s">
        <v>1420</v>
      </c>
      <c r="J707" s="56">
        <v>1</v>
      </c>
      <c r="K707" s="51" t="s">
        <v>1421</v>
      </c>
      <c r="L707" s="58">
        <v>9321.19</v>
      </c>
      <c r="M707" s="50">
        <f>ROUND('FA Addition'!$L707*5%,0.1)</f>
        <v>466</v>
      </c>
      <c r="N707" s="113" t="str">
        <f>_xlfn.XLOOKUP(_xlfn.CONCAT(E707,B707),'Year Wise Master Dep Approach'!F:F,'Year Wise Master Dep Approach'!D:D)</f>
        <v>WDV</v>
      </c>
      <c r="O707" s="113">
        <f>_xlfn.XLOOKUP(_xlfn.CONCAT(E707,B707),'Year Wise Master Dep Approach'!F:F,'Year Wise Master Dep Approach'!E:E)</f>
        <v>5</v>
      </c>
      <c r="P707" s="114">
        <f>IFERROR(IF('FA Addition'!$N707="WDV",1-('FA Addition'!$M707/'FA Addition'!$L707)^(1/'FA Addition'!$O707),1/'FA Addition'!$O707),0)</f>
        <v>0.45073375395751381</v>
      </c>
      <c r="Q707" s="122">
        <f>'FA Addition'!$P707*'FA Addition'!$O707</f>
        <v>2.253668769787569</v>
      </c>
      <c r="R707" s="122"/>
      <c r="S707" s="116">
        <f>IF(AND(DATE(20&amp;LEFT(FAAddition[[#This Row],[FY]],2),4,1)&lt;$L$1+1,DATE(20&amp;LEFT(FAAddition[[#This Row],[FY]],2),4,1)&gt;$P$1-1),'FA Addition'!$J707,0)</f>
        <v>1</v>
      </c>
      <c r="U707" s="117">
        <f>S707*'FA Addition'!$L707/'FA Addition'!$J707</f>
        <v>9321.19</v>
      </c>
      <c r="W707" s="116">
        <f>SUMIFS('FA Write off'!D:D,'FA Write off'!A:A,'FA Addition'!$A707,'FA Write off'!C:C,"&lt;"&amp;'FA Addition'!$P$1)</f>
        <v>0</v>
      </c>
      <c r="Y707" s="191">
        <f>IFERROR(W707/'FA Addition'!$J707*'FA Addition'!$L707,0)</f>
        <v>0</v>
      </c>
      <c r="AA707" s="116">
        <f>SUMIFS('FA Write off'!D:D,'FA Write off'!A:A,'FA Addition'!$A707,'FA Write off'!C:C,"&lt;"&amp;'FA Addition'!$L$1+1,'FA Write off'!C:C,"&gt;"&amp;'FA Addition'!$L$1-365)</f>
        <v>0</v>
      </c>
      <c r="AC707" s="118">
        <f>IFERROR(AA707/'FA Addition'!$J707*'FA Addition'!$L707,0)</f>
        <v>0</v>
      </c>
      <c r="AE707" s="117">
        <f>IF(AND('FA Addition'!$D707&lt;$P$1+1,U707=0),'FA Addition'!$L707,0)-Y707</f>
        <v>0</v>
      </c>
      <c r="AF707" s="117">
        <f t="shared" si="50"/>
        <v>9321.19</v>
      </c>
      <c r="AG707" s="117">
        <f>MIN(MAX(+$P$1-'FA Addition'!$D707,0),365*'FA Addition'!$O707)</f>
        <v>0</v>
      </c>
      <c r="AH707" s="117">
        <f>MIN(MAX($L$1-'FA Addition'!$D707+1,0),365*'FA Addition'!$O707)</f>
        <v>270</v>
      </c>
      <c r="AI707" s="117" cm="1">
        <f t="array" ref="AI707">_xlfn.XLOOKUP(1,('FA Write off'!A:A='FA Addition'!$A707)*('FA Write off'!D:D=AA707),'FA Write off'!H:H,0,0)</f>
        <v>0</v>
      </c>
      <c r="AJ707" s="117">
        <f>IF(AC707&gt;0,MAX(IF('FA Addition'!$N707="SLM",($AC707-'FA Addition'!$M707)*'FA Addition'!$P707*AI707/365,(AC707-'FA Addition'!$M707)*(1-(1-'FA Addition'!$P707)^(AI707/365))),0),0)</f>
        <v>0</v>
      </c>
      <c r="AL707" s="117">
        <f>MAX(IF(AG707&gt;0,IF('FA Addition'!$N707="SLM",($AE707-'FA Addition'!$M707)*'FA Addition'!$P707*AG707/365,IFERROR(VDB(AE707,AE707*0.05,'FA Addition'!$O707,0,YEARFRAC('FA Addition'!$C707,$P$1-1,3),'FA Addition'!$Q707),FAAddition[[#This Row],[Original Cost (Rs)]]-FAAddition[[#This Row],[Salvage Value]])),0),0)</f>
        <v>0</v>
      </c>
      <c r="AM707" s="119"/>
      <c r="AN707" s="117">
        <f>MAX(IF(AH707&gt;0,IF('FA Addition'!$N707="SLM",($AF707-'FA Addition'!$M707)*'FA Addition'!$P707*AH707/365,IFERROR(VDB(AF707,AF707*0.05,'FA Addition'!$O707,0,YEARFRAC('FA Addition'!$C707,$L$1,3),'FA Addition'!$Q707),FAAddition[[#This Row],[Original Cost (Rs)]]-FAAddition[[#This Row],[Salvage Value]])),0),0)</f>
        <v>3096.355792476118</v>
      </c>
      <c r="AO707" s="117">
        <f t="shared" si="53"/>
        <v>3096.355792476118</v>
      </c>
      <c r="AQ707" s="117">
        <f t="shared" si="51"/>
        <v>0</v>
      </c>
      <c r="AR707" s="120">
        <f t="shared" si="52"/>
        <v>6224.8342075238825</v>
      </c>
      <c r="AS707" s="121"/>
    </row>
    <row r="708" spans="1:45" ht="13.5" x14ac:dyDescent="0.4">
      <c r="A708" s="12">
        <f t="shared" si="54"/>
        <v>705</v>
      </c>
      <c r="B708" s="64" t="s">
        <v>1308</v>
      </c>
      <c r="C708" s="54">
        <v>45113</v>
      </c>
      <c r="D708" s="54">
        <v>45113</v>
      </c>
      <c r="E708" s="46" t="s">
        <v>207</v>
      </c>
      <c r="F708" s="51" t="s">
        <v>1372</v>
      </c>
      <c r="G708" s="51" t="s">
        <v>1419</v>
      </c>
      <c r="H708" s="51" t="s">
        <v>207</v>
      </c>
      <c r="I708" s="55" t="s">
        <v>1420</v>
      </c>
      <c r="J708" s="56">
        <v>1</v>
      </c>
      <c r="K708" s="51" t="s">
        <v>1422</v>
      </c>
      <c r="L708" s="58">
        <v>6355.08</v>
      </c>
      <c r="M708" s="50">
        <f>ROUND('FA Addition'!$L708*5%,0.1)</f>
        <v>318</v>
      </c>
      <c r="N708" s="113" t="str">
        <f>_xlfn.XLOOKUP(_xlfn.CONCAT(E708,B708),'Year Wise Master Dep Approach'!F:F,'Year Wise Master Dep Approach'!D:D)</f>
        <v>WDV</v>
      </c>
      <c r="O708" s="113">
        <f>_xlfn.XLOOKUP(_xlfn.CONCAT(E708,B708),'Year Wise Master Dep Approach'!F:F,'Year Wise Master Dep Approach'!E:E)</f>
        <v>5</v>
      </c>
      <c r="P708" s="114">
        <f>IFERROR(IF('FA Addition'!$N708="WDV",1-('FA Addition'!$M708/'FA Addition'!$L708)^(1/'FA Addition'!$O708),1/'FA Addition'!$O708),0)</f>
        <v>0.45063470589419186</v>
      </c>
      <c r="Q708" s="122">
        <f>'FA Addition'!$P708*'FA Addition'!$O708</f>
        <v>2.2531735294709594</v>
      </c>
      <c r="R708" s="122"/>
      <c r="S708" s="116">
        <f>IF(AND(DATE(20&amp;LEFT(FAAddition[[#This Row],[FY]],2),4,1)&lt;$L$1+1,DATE(20&amp;LEFT(FAAddition[[#This Row],[FY]],2),4,1)&gt;$P$1-1),'FA Addition'!$J708,0)</f>
        <v>1</v>
      </c>
      <c r="U708" s="117">
        <f>S708*'FA Addition'!$L708/'FA Addition'!$J708</f>
        <v>6355.08</v>
      </c>
      <c r="W708" s="116">
        <f>SUMIFS('FA Write off'!D:D,'FA Write off'!A:A,'FA Addition'!$A708,'FA Write off'!C:C,"&lt;"&amp;'FA Addition'!$P$1)</f>
        <v>0</v>
      </c>
      <c r="Y708" s="191">
        <f>IFERROR(W708/'FA Addition'!$J708*'FA Addition'!$L708,0)</f>
        <v>0</v>
      </c>
      <c r="AA708" s="116">
        <f>SUMIFS('FA Write off'!D:D,'FA Write off'!A:A,'FA Addition'!$A708,'FA Write off'!C:C,"&lt;"&amp;'FA Addition'!$L$1+1,'FA Write off'!C:C,"&gt;"&amp;'FA Addition'!$L$1-365)</f>
        <v>0</v>
      </c>
      <c r="AC708" s="118">
        <f>IFERROR(AA708/'FA Addition'!$J708*'FA Addition'!$L708,0)</f>
        <v>0</v>
      </c>
      <c r="AE708" s="117">
        <f>IF(AND('FA Addition'!$D708&lt;$P$1+1,U708=0),'FA Addition'!$L708,0)-Y708</f>
        <v>0</v>
      </c>
      <c r="AF708" s="117">
        <f t="shared" ref="AF708:AF771" si="55">AE708+U708-AC708</f>
        <v>6355.08</v>
      </c>
      <c r="AG708" s="117">
        <f>MIN(MAX(+$P$1-'FA Addition'!$D708,0),365*'FA Addition'!$O708)</f>
        <v>0</v>
      </c>
      <c r="AH708" s="117">
        <f>MIN(MAX($L$1-'FA Addition'!$D708+1,0),365*'FA Addition'!$O708)</f>
        <v>270</v>
      </c>
      <c r="AI708" s="117" cm="1">
        <f t="array" ref="AI708">_xlfn.XLOOKUP(1,('FA Write off'!A:A='FA Addition'!$A708)*('FA Write off'!D:D=AA708),'FA Write off'!H:H,0,0)</f>
        <v>0</v>
      </c>
      <c r="AJ708" s="117">
        <f>IF(AC708&gt;0,MAX(IF('FA Addition'!$N708="SLM",($AC708-'FA Addition'!$M708)*'FA Addition'!$P708*AI708/365,(AC708-'FA Addition'!$M708)*(1-(1-'FA Addition'!$P708)^(AI708/365))),0),0)</f>
        <v>0</v>
      </c>
      <c r="AL708" s="117">
        <f>MAX(IF(AG708&gt;0,IF('FA Addition'!$N708="SLM",($AE708-'FA Addition'!$M708)*'FA Addition'!$P708*AG708/365,IFERROR(VDB(AE708,AE708*0.05,'FA Addition'!$O708,0,YEARFRAC('FA Addition'!$C708,$P$1-1,3),'FA Addition'!$Q708),FAAddition[[#This Row],[Original Cost (Rs)]]-FAAddition[[#This Row],[Salvage Value]])),0),0)</f>
        <v>0</v>
      </c>
      <c r="AM708" s="119"/>
      <c r="AN708" s="117">
        <f>MAX(IF(AH708&gt;0,IF('FA Addition'!$N708="SLM",($AF708-'FA Addition'!$M708)*'FA Addition'!$P708*AH708/365,IFERROR(VDB(AF708,AF708*0.05,'FA Addition'!$O708,0,YEARFRAC('FA Addition'!$C708,$L$1,3),'FA Addition'!$Q708),FAAddition[[#This Row],[Original Cost (Rs)]]-FAAddition[[#This Row],[Salvage Value]])),0),0)</f>
        <v>2110.5958197574309</v>
      </c>
      <c r="AO708" s="117">
        <f t="shared" si="53"/>
        <v>2110.5958197574309</v>
      </c>
      <c r="AQ708" s="117">
        <f t="shared" ref="AQ708:AQ771" si="56">AE708-AL708</f>
        <v>0</v>
      </c>
      <c r="AR708" s="120">
        <f t="shared" ref="AR708:AR771" si="57">AF708-AN708</f>
        <v>4244.484180242569</v>
      </c>
      <c r="AS708" s="121"/>
    </row>
    <row r="709" spans="1:45" ht="13.5" x14ac:dyDescent="0.4">
      <c r="A709" s="12">
        <f t="shared" si="54"/>
        <v>706</v>
      </c>
      <c r="B709" s="64" t="s">
        <v>1308</v>
      </c>
      <c r="C709" s="54">
        <v>45114</v>
      </c>
      <c r="D709" s="54">
        <v>45114</v>
      </c>
      <c r="E709" s="46" t="s">
        <v>451</v>
      </c>
      <c r="F709" s="51" t="s">
        <v>19</v>
      </c>
      <c r="G709" s="51" t="s">
        <v>1290</v>
      </c>
      <c r="H709" s="51" t="s">
        <v>21</v>
      </c>
      <c r="I709" s="55" t="s">
        <v>1423</v>
      </c>
      <c r="J709" s="56">
        <v>1</v>
      </c>
      <c r="K709" s="51" t="s">
        <v>1424</v>
      </c>
      <c r="L709" s="58">
        <v>63550.84</v>
      </c>
      <c r="M709" s="50">
        <f>ROUND('FA Addition'!$L709*5%,0.1)</f>
        <v>3178</v>
      </c>
      <c r="N709" s="113" t="str">
        <f>_xlfn.XLOOKUP(_xlfn.CONCAT(E709,B709),'Year Wise Master Dep Approach'!F:F,'Year Wise Master Dep Approach'!D:D)</f>
        <v>WDV</v>
      </c>
      <c r="O709" s="113">
        <f>_xlfn.XLOOKUP(_xlfn.CONCAT(E709,B709),'Year Wise Master Dep Approach'!F:F,'Year Wise Master Dep Approach'!E:E)</f>
        <v>3</v>
      </c>
      <c r="P709" s="114">
        <f>IFERROR(IF('FA Addition'!$N709="WDV",1-('FA Addition'!$M709/'FA Addition'!$L709)^(1/'FA Addition'!$O709),1/'FA Addition'!$O709),0)</f>
        <v>0.63157915086436178</v>
      </c>
      <c r="Q709" s="122">
        <f>'FA Addition'!$P709*'FA Addition'!$O709</f>
        <v>1.8947374525930853</v>
      </c>
      <c r="R709" s="122"/>
      <c r="S709" s="116">
        <f>IF(AND(DATE(20&amp;LEFT(FAAddition[[#This Row],[FY]],2),4,1)&lt;$L$1+1,DATE(20&amp;LEFT(FAAddition[[#This Row],[FY]],2),4,1)&gt;$P$1-1),'FA Addition'!$J709,0)</f>
        <v>1</v>
      </c>
      <c r="U709" s="117">
        <f>S709*'FA Addition'!$L709/'FA Addition'!$J709</f>
        <v>63550.84</v>
      </c>
      <c r="W709" s="116">
        <f>SUMIFS('FA Write off'!D:D,'FA Write off'!A:A,'FA Addition'!$A709,'FA Write off'!C:C,"&lt;"&amp;'FA Addition'!$P$1)</f>
        <v>0</v>
      </c>
      <c r="Y709" s="191">
        <f>IFERROR(W709/'FA Addition'!$J709*'FA Addition'!$L709,0)</f>
        <v>0</v>
      </c>
      <c r="AA709" s="116">
        <f>SUMIFS('FA Write off'!D:D,'FA Write off'!A:A,'FA Addition'!$A709,'FA Write off'!C:C,"&lt;"&amp;'FA Addition'!$L$1+1,'FA Write off'!C:C,"&gt;"&amp;'FA Addition'!$L$1-365)</f>
        <v>0</v>
      </c>
      <c r="AC709" s="118">
        <f>IFERROR(AA709/'FA Addition'!$J709*'FA Addition'!$L709,0)</f>
        <v>0</v>
      </c>
      <c r="AE709" s="117">
        <f>IF(AND('FA Addition'!$D709&lt;$P$1+1,U709=0),'FA Addition'!$L709,0)-Y709</f>
        <v>0</v>
      </c>
      <c r="AF709" s="117">
        <f t="shared" si="55"/>
        <v>63550.84</v>
      </c>
      <c r="AG709" s="117">
        <f>MIN(MAX(+$P$1-'FA Addition'!$D709,0),365*'FA Addition'!$O709)</f>
        <v>0</v>
      </c>
      <c r="AH709" s="117">
        <f>MIN(MAX($L$1-'FA Addition'!$D709+1,0),365*'FA Addition'!$O709)</f>
        <v>269</v>
      </c>
      <c r="AI709" s="117" cm="1">
        <f t="array" ref="AI709">_xlfn.XLOOKUP(1,('FA Write off'!A:A='FA Addition'!$A709)*('FA Write off'!D:D=AA709),'FA Write off'!H:H,0,0)</f>
        <v>0</v>
      </c>
      <c r="AJ709" s="117">
        <f>IF(AC709&gt;0,MAX(IF('FA Addition'!$N709="SLM",($AC709-'FA Addition'!$M709)*'FA Addition'!$P709*AI709/365,(AC709-'FA Addition'!$M709)*(1-(1-'FA Addition'!$P709)^(AI709/365))),0),0)</f>
        <v>0</v>
      </c>
      <c r="AL709" s="117">
        <f>MAX(IF(AG709&gt;0,IF('FA Addition'!$N709="SLM",($AE709-'FA Addition'!$M709)*'FA Addition'!$P709*AG709/365,IFERROR(VDB(AE709,AE709*0.05,'FA Addition'!$O709,0,YEARFRAC('FA Addition'!$C709,$P$1-1,3),'FA Addition'!$Q709),FAAddition[[#This Row],[Original Cost (Rs)]]-FAAddition[[#This Row],[Salvage Value]])),0),0)</f>
        <v>0</v>
      </c>
      <c r="AM709" s="119"/>
      <c r="AN709" s="117">
        <f>MAX(IF(AH709&gt;0,IF('FA Addition'!$N709="SLM",($AF709-'FA Addition'!$M709)*'FA Addition'!$P709*AH709/365,IFERROR(VDB(AF709,AF709*0.05,'FA Addition'!$O709,0,YEARFRAC('FA Addition'!$C709,$L$1,3),'FA Addition'!$Q709),FAAddition[[#This Row],[Original Cost (Rs)]]-FAAddition[[#This Row],[Salvage Value]])),0),0)</f>
        <v>29470.737893506117</v>
      </c>
      <c r="AO709" s="117">
        <f t="shared" ref="AO709:AO772" si="58">AN709-AL709+AJ709</f>
        <v>29470.737893506117</v>
      </c>
      <c r="AQ709" s="117">
        <f t="shared" si="56"/>
        <v>0</v>
      </c>
      <c r="AR709" s="120">
        <f t="shared" si="57"/>
        <v>34080.102106493883</v>
      </c>
      <c r="AS709" s="121"/>
    </row>
    <row r="710" spans="1:45" ht="13.5" x14ac:dyDescent="0.4">
      <c r="A710" s="12">
        <f t="shared" ref="A710:A773" si="59">A709+1</f>
        <v>707</v>
      </c>
      <c r="B710" s="64" t="s">
        <v>1308</v>
      </c>
      <c r="C710" s="54">
        <v>45114</v>
      </c>
      <c r="D710" s="54">
        <v>45114</v>
      </c>
      <c r="E710" s="46" t="s">
        <v>451</v>
      </c>
      <c r="F710" s="51" t="s">
        <v>19</v>
      </c>
      <c r="G710" s="51" t="s">
        <v>1290</v>
      </c>
      <c r="H710" s="51" t="s">
        <v>21</v>
      </c>
      <c r="I710" s="55" t="s">
        <v>1423</v>
      </c>
      <c r="J710" s="56">
        <v>1</v>
      </c>
      <c r="K710" s="51" t="s">
        <v>1353</v>
      </c>
      <c r="L710" s="58">
        <v>56695.199999999997</v>
      </c>
      <c r="M710" s="50">
        <f>ROUND('FA Addition'!$L710*5%,0.1)</f>
        <v>2835</v>
      </c>
      <c r="N710" s="113" t="str">
        <f>_xlfn.XLOOKUP(_xlfn.CONCAT(E710,B710),'Year Wise Master Dep Approach'!F:F,'Year Wise Master Dep Approach'!D:D)</f>
        <v>WDV</v>
      </c>
      <c r="O710" s="113">
        <f>_xlfn.XLOOKUP(_xlfn.CONCAT(E710,B710),'Year Wise Master Dep Approach'!F:F,'Year Wise Master Dep Approach'!E:E)</f>
        <v>3</v>
      </c>
      <c r="P710" s="114">
        <f>IFERROR(IF('FA Addition'!$N710="WDV",1-('FA Addition'!$M710/'FA Addition'!$L710)^(1/'FA Addition'!$O710),1/'FA Addition'!$O710),0)</f>
        <v>0.63158645369312683</v>
      </c>
      <c r="Q710" s="122">
        <f>'FA Addition'!$P710*'FA Addition'!$O710</f>
        <v>1.8947593610793805</v>
      </c>
      <c r="R710" s="122"/>
      <c r="S710" s="116">
        <f>IF(AND(DATE(20&amp;LEFT(FAAddition[[#This Row],[FY]],2),4,1)&lt;$L$1+1,DATE(20&amp;LEFT(FAAddition[[#This Row],[FY]],2),4,1)&gt;$P$1-1),'FA Addition'!$J710,0)</f>
        <v>1</v>
      </c>
      <c r="U710" s="117">
        <f>S710*'FA Addition'!$L710/'FA Addition'!$J710</f>
        <v>56695.199999999997</v>
      </c>
      <c r="W710" s="116">
        <f>SUMIFS('FA Write off'!D:D,'FA Write off'!A:A,'FA Addition'!$A710,'FA Write off'!C:C,"&lt;"&amp;'FA Addition'!$P$1)</f>
        <v>0</v>
      </c>
      <c r="Y710" s="191">
        <f>IFERROR(W710/'FA Addition'!$J710*'FA Addition'!$L710,0)</f>
        <v>0</v>
      </c>
      <c r="AA710" s="116">
        <f>SUMIFS('FA Write off'!D:D,'FA Write off'!A:A,'FA Addition'!$A710,'FA Write off'!C:C,"&lt;"&amp;'FA Addition'!$L$1+1,'FA Write off'!C:C,"&gt;"&amp;'FA Addition'!$L$1-365)</f>
        <v>0</v>
      </c>
      <c r="AC710" s="118">
        <f>IFERROR(AA710/'FA Addition'!$J710*'FA Addition'!$L710,0)</f>
        <v>0</v>
      </c>
      <c r="AE710" s="117">
        <f>IF(AND('FA Addition'!$D710&lt;$P$1+1,U710=0),'FA Addition'!$L710,0)-Y710</f>
        <v>0</v>
      </c>
      <c r="AF710" s="117">
        <f t="shared" si="55"/>
        <v>56695.199999999997</v>
      </c>
      <c r="AG710" s="117">
        <f>MIN(MAX(+$P$1-'FA Addition'!$D710,0),365*'FA Addition'!$O710)</f>
        <v>0</v>
      </c>
      <c r="AH710" s="117">
        <f>MIN(MAX($L$1-'FA Addition'!$D710+1,0),365*'FA Addition'!$O710)</f>
        <v>269</v>
      </c>
      <c r="AI710" s="117" cm="1">
        <f t="array" ref="AI710">_xlfn.XLOOKUP(1,('FA Write off'!A:A='FA Addition'!$A710)*('FA Write off'!D:D=AA710),'FA Write off'!H:H,0,0)</f>
        <v>0</v>
      </c>
      <c r="AJ710" s="117">
        <f>IF(AC710&gt;0,MAX(IF('FA Addition'!$N710="SLM",($AC710-'FA Addition'!$M710)*'FA Addition'!$P710*AI710/365,(AC710-'FA Addition'!$M710)*(1-(1-'FA Addition'!$P710)^(AI710/365))),0),0)</f>
        <v>0</v>
      </c>
      <c r="AL710" s="117">
        <f>MAX(IF(AG710&gt;0,IF('FA Addition'!$N710="SLM",($AE710-'FA Addition'!$M710)*'FA Addition'!$P710*AG710/365,IFERROR(VDB(AE710,AE710*0.05,'FA Addition'!$O710,0,YEARFRAC('FA Addition'!$C710,$P$1-1,3),'FA Addition'!$Q710),FAAddition[[#This Row],[Original Cost (Rs)]]-FAAddition[[#This Row],[Salvage Value]])),0),0)</f>
        <v>0</v>
      </c>
      <c r="AM710" s="119"/>
      <c r="AN710" s="117">
        <f>MAX(IF(AH710&gt;0,IF('FA Addition'!$N710="SLM",($AF710-'FA Addition'!$M710)*'FA Addition'!$P710*AH710/365,IFERROR(VDB(AF710,AF710*0.05,'FA Addition'!$O710,0,YEARFRAC('FA Addition'!$C710,$L$1,3),'FA Addition'!$Q710),FAAddition[[#This Row],[Original Cost (Rs)]]-FAAddition[[#This Row],[Salvage Value]])),0),0)</f>
        <v>26291.84285732944</v>
      </c>
      <c r="AO710" s="117">
        <f t="shared" si="58"/>
        <v>26291.84285732944</v>
      </c>
      <c r="AQ710" s="117">
        <f t="shared" si="56"/>
        <v>0</v>
      </c>
      <c r="AR710" s="120">
        <f t="shared" si="57"/>
        <v>30403.357142670557</v>
      </c>
      <c r="AS710" s="121"/>
    </row>
    <row r="711" spans="1:45" ht="13.5" x14ac:dyDescent="0.4">
      <c r="A711" s="12">
        <f t="shared" si="59"/>
        <v>708</v>
      </c>
      <c r="B711" s="64" t="s">
        <v>1308</v>
      </c>
      <c r="C711" s="54">
        <v>45117</v>
      </c>
      <c r="D711" s="54">
        <v>45117</v>
      </c>
      <c r="E711" s="46" t="s">
        <v>32</v>
      </c>
      <c r="F711" s="51" t="s">
        <v>1090</v>
      </c>
      <c r="G711" s="51" t="s">
        <v>1134</v>
      </c>
      <c r="H711" s="51" t="s">
        <v>173</v>
      </c>
      <c r="I711" s="55" t="s">
        <v>1425</v>
      </c>
      <c r="J711" s="56">
        <v>1</v>
      </c>
      <c r="K711" s="51" t="s">
        <v>1426</v>
      </c>
      <c r="L711" s="58">
        <v>4236.4399999999996</v>
      </c>
      <c r="M711" s="50">
        <f>ROUND('FA Addition'!$L711*5%,0.1)</f>
        <v>212</v>
      </c>
      <c r="N711" s="113" t="str">
        <f>_xlfn.XLOOKUP(_xlfn.CONCAT(E711,B711),'Year Wise Master Dep Approach'!F:F,'Year Wise Master Dep Approach'!D:D)</f>
        <v>SLM</v>
      </c>
      <c r="O711" s="113">
        <f>_xlfn.XLOOKUP(_xlfn.CONCAT(E711,B711),'Year Wise Master Dep Approach'!F:F,'Year Wise Master Dep Approach'!E:E)</f>
        <v>5</v>
      </c>
      <c r="P711" s="114">
        <f>IFERROR(IF('FA Addition'!$N711="WDV",1-('FA Addition'!$M711/'FA Addition'!$L711)^(1/'FA Addition'!$O711),1/'FA Addition'!$O711),0)</f>
        <v>0.2</v>
      </c>
      <c r="Q711" s="122">
        <f>'FA Addition'!$P711*'FA Addition'!$O711</f>
        <v>1</v>
      </c>
      <c r="R711" s="122"/>
      <c r="S711" s="116">
        <f>IF(AND(DATE(20&amp;LEFT(FAAddition[[#This Row],[FY]],2),4,1)&lt;$L$1+1,DATE(20&amp;LEFT(FAAddition[[#This Row],[FY]],2),4,1)&gt;$P$1-1),'FA Addition'!$J711,0)</f>
        <v>1</v>
      </c>
      <c r="U711" s="117">
        <f>S711*'FA Addition'!$L711/'FA Addition'!$J711</f>
        <v>4236.4399999999996</v>
      </c>
      <c r="W711" s="116">
        <f>SUMIFS('FA Write off'!D:D,'FA Write off'!A:A,'FA Addition'!$A711,'FA Write off'!C:C,"&lt;"&amp;'FA Addition'!$P$1)</f>
        <v>0</v>
      </c>
      <c r="Y711" s="191">
        <f>IFERROR(W711/'FA Addition'!$J711*'FA Addition'!$L711,0)</f>
        <v>0</v>
      </c>
      <c r="AA711" s="116">
        <f>SUMIFS('FA Write off'!D:D,'FA Write off'!A:A,'FA Addition'!$A711,'FA Write off'!C:C,"&lt;"&amp;'FA Addition'!$L$1+1,'FA Write off'!C:C,"&gt;"&amp;'FA Addition'!$L$1-365)</f>
        <v>0</v>
      </c>
      <c r="AC711" s="118">
        <f>IFERROR(AA711/'FA Addition'!$J711*'FA Addition'!$L711,0)</f>
        <v>0</v>
      </c>
      <c r="AE711" s="117">
        <f>IF(AND('FA Addition'!$D711&lt;$P$1+1,U711=0),'FA Addition'!$L711,0)-Y711</f>
        <v>0</v>
      </c>
      <c r="AF711" s="117">
        <f t="shared" si="55"/>
        <v>4236.4399999999996</v>
      </c>
      <c r="AG711" s="117">
        <f>MIN(MAX(+$P$1-'FA Addition'!$D711,0),365*'FA Addition'!$O711)</f>
        <v>0</v>
      </c>
      <c r="AH711" s="117">
        <f>MIN(MAX($L$1-'FA Addition'!$D711+1,0),365*'FA Addition'!$O711)</f>
        <v>266</v>
      </c>
      <c r="AI711" s="117" cm="1">
        <f t="array" ref="AI711">_xlfn.XLOOKUP(1,('FA Write off'!A:A='FA Addition'!$A711)*('FA Write off'!D:D=AA711),'FA Write off'!H:H,0,0)</f>
        <v>0</v>
      </c>
      <c r="AJ711" s="117">
        <f>IF(AC711&gt;0,MAX(IF('FA Addition'!$N711="SLM",($AC711-'FA Addition'!$M711)*'FA Addition'!$P711*AI711/365,(AC711-'FA Addition'!$M711)*(1-(1-'FA Addition'!$P711)^(AI711/365))),0),0)</f>
        <v>0</v>
      </c>
      <c r="AL711" s="117">
        <f>MAX(IF(AG711&gt;0,IF('FA Addition'!$N711="SLM",($AE711-'FA Addition'!$M711)*'FA Addition'!$P711*AG711/365,IFERROR(VDB(AE711,AE711*0.05,'FA Addition'!$O711,0,YEARFRAC('FA Addition'!$C711,$P$1-1,3),'FA Addition'!$Q711),FAAddition[[#This Row],[Original Cost (Rs)]]-FAAddition[[#This Row],[Salvage Value]])),0),0)</f>
        <v>0</v>
      </c>
      <c r="AM711" s="119"/>
      <c r="AN711" s="117">
        <f>MAX(IF(AH711&gt;0,IF('FA Addition'!$N711="SLM",($AF711-'FA Addition'!$M711)*'FA Addition'!$P711*AH711/365,IFERROR(VDB(AF711,AF711*0.05,'FA Addition'!$O711,0,YEARFRAC('FA Addition'!$C711,$L$1,3),'FA Addition'!$Q711),FAAddition[[#This Row],[Original Cost (Rs)]]-FAAddition[[#This Row],[Salvage Value]])),0),0)</f>
        <v>586.57591232876712</v>
      </c>
      <c r="AO711" s="117">
        <f t="shared" si="58"/>
        <v>586.57591232876712</v>
      </c>
      <c r="AQ711" s="117">
        <f t="shared" si="56"/>
        <v>0</v>
      </c>
      <c r="AR711" s="120">
        <f t="shared" si="57"/>
        <v>3649.8640876712325</v>
      </c>
      <c r="AS711" s="121"/>
    </row>
    <row r="712" spans="1:45" ht="13.5" x14ac:dyDescent="0.4">
      <c r="A712" s="12">
        <f t="shared" si="59"/>
        <v>709</v>
      </c>
      <c r="B712" s="64" t="s">
        <v>1308</v>
      </c>
      <c r="C712" s="54">
        <v>45120</v>
      </c>
      <c r="D712" s="54">
        <v>45120</v>
      </c>
      <c r="E712" s="46" t="s">
        <v>451</v>
      </c>
      <c r="F712" s="51" t="s">
        <v>19</v>
      </c>
      <c r="G712" s="51" t="s">
        <v>1407</v>
      </c>
      <c r="H712" s="51" t="s">
        <v>21</v>
      </c>
      <c r="I712" s="55" t="s">
        <v>1427</v>
      </c>
      <c r="J712" s="56">
        <v>1</v>
      </c>
      <c r="K712" s="51" t="s">
        <v>1413</v>
      </c>
      <c r="L712" s="58">
        <v>30000</v>
      </c>
      <c r="M712" s="50">
        <f>ROUND('FA Addition'!$L712*5%,0.1)</f>
        <v>1500</v>
      </c>
      <c r="N712" s="113" t="str">
        <f>_xlfn.XLOOKUP(_xlfn.CONCAT(E712,B712),'Year Wise Master Dep Approach'!F:F,'Year Wise Master Dep Approach'!D:D)</f>
        <v>WDV</v>
      </c>
      <c r="O712" s="113">
        <f>_xlfn.XLOOKUP(_xlfn.CONCAT(E712,B712),'Year Wise Master Dep Approach'!F:F,'Year Wise Master Dep Approach'!E:E)</f>
        <v>3</v>
      </c>
      <c r="P712" s="114">
        <f>IFERROR(IF('FA Addition'!$N712="WDV",1-('FA Addition'!$M712/'FA Addition'!$L712)^(1/'FA Addition'!$O712),1/'FA Addition'!$O712),0)</f>
        <v>0.63159685013596123</v>
      </c>
      <c r="Q712" s="122">
        <f>'FA Addition'!$P712*'FA Addition'!$O712</f>
        <v>1.8947905504078837</v>
      </c>
      <c r="R712" s="122"/>
      <c r="S712" s="116">
        <f>IF(AND(DATE(20&amp;LEFT(FAAddition[[#This Row],[FY]],2),4,1)&lt;$L$1+1,DATE(20&amp;LEFT(FAAddition[[#This Row],[FY]],2),4,1)&gt;$P$1-1),'FA Addition'!$J712,0)</f>
        <v>1</v>
      </c>
      <c r="U712" s="117">
        <f>S712*'FA Addition'!$L712/'FA Addition'!$J712</f>
        <v>30000</v>
      </c>
      <c r="W712" s="116">
        <f>SUMIFS('FA Write off'!D:D,'FA Write off'!A:A,'FA Addition'!$A712,'FA Write off'!C:C,"&lt;"&amp;'FA Addition'!$P$1)</f>
        <v>0</v>
      </c>
      <c r="Y712" s="191">
        <f>IFERROR(W712/'FA Addition'!$J712*'FA Addition'!$L712,0)</f>
        <v>0</v>
      </c>
      <c r="AA712" s="116">
        <f>SUMIFS('FA Write off'!D:D,'FA Write off'!A:A,'FA Addition'!$A712,'FA Write off'!C:C,"&lt;"&amp;'FA Addition'!$L$1+1,'FA Write off'!C:C,"&gt;"&amp;'FA Addition'!$L$1-365)</f>
        <v>0</v>
      </c>
      <c r="AC712" s="118">
        <f>IFERROR(AA712/'FA Addition'!$J712*'FA Addition'!$L712,0)</f>
        <v>0</v>
      </c>
      <c r="AE712" s="117">
        <f>IF(AND('FA Addition'!$D712&lt;$P$1+1,U712=0),'FA Addition'!$L712,0)-Y712</f>
        <v>0</v>
      </c>
      <c r="AF712" s="117">
        <f t="shared" si="55"/>
        <v>30000</v>
      </c>
      <c r="AG712" s="117">
        <f>MIN(MAX(+$P$1-'FA Addition'!$D712,0),365*'FA Addition'!$O712)</f>
        <v>0</v>
      </c>
      <c r="AH712" s="117">
        <f>MIN(MAX($L$1-'FA Addition'!$D712+1,0),365*'FA Addition'!$O712)</f>
        <v>263</v>
      </c>
      <c r="AI712" s="117" cm="1">
        <f t="array" ref="AI712">_xlfn.XLOOKUP(1,('FA Write off'!A:A='FA Addition'!$A712)*('FA Write off'!D:D=AA712),'FA Write off'!H:H,0,0)</f>
        <v>0</v>
      </c>
      <c r="AJ712" s="117">
        <f>IF(AC712&gt;0,MAX(IF('FA Addition'!$N712="SLM",($AC712-'FA Addition'!$M712)*'FA Addition'!$P712*AI712/365,(AC712-'FA Addition'!$M712)*(1-(1-'FA Addition'!$P712)^(AI712/365))),0),0)</f>
        <v>0</v>
      </c>
      <c r="AL712" s="117">
        <f>MAX(IF(AG712&gt;0,IF('FA Addition'!$N712="SLM",($AE712-'FA Addition'!$M712)*'FA Addition'!$P712*AG712/365,IFERROR(VDB(AE712,AE712*0.05,'FA Addition'!$O712,0,YEARFRAC('FA Addition'!$C712,$P$1-1,3),'FA Addition'!$Q712),FAAddition[[#This Row],[Original Cost (Rs)]]-FAAddition[[#This Row],[Salvage Value]])),0),0)</f>
        <v>0</v>
      </c>
      <c r="AM712" s="119"/>
      <c r="AN712" s="117">
        <f>MAX(IF(AH712&gt;0,IF('FA Addition'!$N712="SLM",($AF712-'FA Addition'!$M712)*'FA Addition'!$P712*AH712/365,IFERROR(VDB(AF712,AF712*0.05,'FA Addition'!$O712,0,YEARFRAC('FA Addition'!$C712,$L$1,3),'FA Addition'!$Q712),FAAddition[[#This Row],[Original Cost (Rs)]]-FAAddition[[#This Row],[Salvage Value]])),0),0)</f>
        <v>13600.962307037413</v>
      </c>
      <c r="AO712" s="117">
        <f t="shared" si="58"/>
        <v>13600.962307037413</v>
      </c>
      <c r="AQ712" s="117">
        <f t="shared" si="56"/>
        <v>0</v>
      </c>
      <c r="AR712" s="120">
        <f t="shared" si="57"/>
        <v>16399.037692962585</v>
      </c>
      <c r="AS712" s="121"/>
    </row>
    <row r="713" spans="1:45" ht="13.5" x14ac:dyDescent="0.4">
      <c r="A713" s="12">
        <f t="shared" si="59"/>
        <v>710</v>
      </c>
      <c r="B713" s="64" t="s">
        <v>1308</v>
      </c>
      <c r="C713" s="54">
        <v>45124</v>
      </c>
      <c r="D713" s="54">
        <v>45124</v>
      </c>
      <c r="E713" s="46" t="s">
        <v>451</v>
      </c>
      <c r="F713" s="51" t="s">
        <v>19</v>
      </c>
      <c r="G713" s="51" t="s">
        <v>1239</v>
      </c>
      <c r="H713" s="51" t="s">
        <v>151</v>
      </c>
      <c r="I713" s="55" t="s">
        <v>1428</v>
      </c>
      <c r="J713" s="56">
        <v>1</v>
      </c>
      <c r="K713" s="51" t="s">
        <v>1417</v>
      </c>
      <c r="L713" s="58">
        <v>15847.46</v>
      </c>
      <c r="M713" s="50">
        <f>ROUND('FA Addition'!$L713*5%,0.1)</f>
        <v>792</v>
      </c>
      <c r="N713" s="113" t="str">
        <f>_xlfn.XLOOKUP(_xlfn.CONCAT(E713,B713),'Year Wise Master Dep Approach'!F:F,'Year Wise Master Dep Approach'!D:D)</f>
        <v>WDV</v>
      </c>
      <c r="O713" s="113">
        <f>_xlfn.XLOOKUP(_xlfn.CONCAT(E713,B713),'Year Wise Master Dep Approach'!F:F,'Year Wise Master Dep Approach'!E:E)</f>
        <v>3</v>
      </c>
      <c r="P713" s="114">
        <f>IFERROR(IF('FA Addition'!$N713="WDV",1-('FA Addition'!$M713/'FA Addition'!$L713)^(1/'FA Addition'!$O713),1/'FA Addition'!$O713),0)</f>
        <v>0.63165466631705747</v>
      </c>
      <c r="Q713" s="122">
        <f>'FA Addition'!$P713*'FA Addition'!$O713</f>
        <v>1.8949639989511724</v>
      </c>
      <c r="R713" s="122"/>
      <c r="S713" s="116">
        <f>IF(AND(DATE(20&amp;LEFT(FAAddition[[#This Row],[FY]],2),4,1)&lt;$L$1+1,DATE(20&amp;LEFT(FAAddition[[#This Row],[FY]],2),4,1)&gt;$P$1-1),'FA Addition'!$J713,0)</f>
        <v>1</v>
      </c>
      <c r="U713" s="117">
        <f>S713*'FA Addition'!$L713/'FA Addition'!$J713</f>
        <v>15847.46</v>
      </c>
      <c r="W713" s="116">
        <f>SUMIFS('FA Write off'!D:D,'FA Write off'!A:A,'FA Addition'!$A713,'FA Write off'!C:C,"&lt;"&amp;'FA Addition'!$P$1)</f>
        <v>0</v>
      </c>
      <c r="Y713" s="191">
        <f>IFERROR(W713/'FA Addition'!$J713*'FA Addition'!$L713,0)</f>
        <v>0</v>
      </c>
      <c r="AA713" s="116">
        <f>SUMIFS('FA Write off'!D:D,'FA Write off'!A:A,'FA Addition'!$A713,'FA Write off'!C:C,"&lt;"&amp;'FA Addition'!$L$1+1,'FA Write off'!C:C,"&gt;"&amp;'FA Addition'!$L$1-365)</f>
        <v>0</v>
      </c>
      <c r="AC713" s="118">
        <f>IFERROR(AA713/'FA Addition'!$J713*'FA Addition'!$L713,0)</f>
        <v>0</v>
      </c>
      <c r="AE713" s="117">
        <f>IF(AND('FA Addition'!$D713&lt;$P$1+1,U713=0),'FA Addition'!$L713,0)-Y713</f>
        <v>0</v>
      </c>
      <c r="AF713" s="117">
        <f t="shared" si="55"/>
        <v>15847.46</v>
      </c>
      <c r="AG713" s="117">
        <f>MIN(MAX(+$P$1-'FA Addition'!$D713,0),365*'FA Addition'!$O713)</f>
        <v>0</v>
      </c>
      <c r="AH713" s="117">
        <f>MIN(MAX($L$1-'FA Addition'!$D713+1,0),365*'FA Addition'!$O713)</f>
        <v>259</v>
      </c>
      <c r="AI713" s="117" cm="1">
        <f t="array" ref="AI713">_xlfn.XLOOKUP(1,('FA Write off'!A:A='FA Addition'!$A713)*('FA Write off'!D:D=AA713),'FA Write off'!H:H,0,0)</f>
        <v>0</v>
      </c>
      <c r="AJ713" s="117">
        <f>IF(AC713&gt;0,MAX(IF('FA Addition'!$N713="SLM",($AC713-'FA Addition'!$M713)*'FA Addition'!$P713*AI713/365,(AC713-'FA Addition'!$M713)*(1-(1-'FA Addition'!$P713)^(AI713/365))),0),0)</f>
        <v>0</v>
      </c>
      <c r="AL713" s="117">
        <f>MAX(IF(AG713&gt;0,IF('FA Addition'!$N713="SLM",($AE713-'FA Addition'!$M713)*'FA Addition'!$P713*AG713/365,IFERROR(VDB(AE713,AE713*0.05,'FA Addition'!$O713,0,YEARFRAC('FA Addition'!$C713,$P$1-1,3),'FA Addition'!$Q713),FAAddition[[#This Row],[Original Cost (Rs)]]-FAAddition[[#This Row],[Salvage Value]])),0),0)</f>
        <v>0</v>
      </c>
      <c r="AM713" s="119"/>
      <c r="AN713" s="117">
        <f>MAX(IF(AH713&gt;0,IF('FA Addition'!$N713="SLM",($AF713-'FA Addition'!$M713)*'FA Addition'!$P713*AH713/365,IFERROR(VDB(AF713,AF713*0.05,'FA Addition'!$O713,0,YEARFRAC('FA Addition'!$C713,$L$1,3),'FA Addition'!$Q713),FAAddition[[#This Row],[Original Cost (Rs)]]-FAAddition[[#This Row],[Salvage Value]])),0),0)</f>
        <v>7075.6479206422246</v>
      </c>
      <c r="AO713" s="117">
        <f t="shared" si="58"/>
        <v>7075.6479206422246</v>
      </c>
      <c r="AQ713" s="117">
        <f t="shared" si="56"/>
        <v>0</v>
      </c>
      <c r="AR713" s="120">
        <f t="shared" si="57"/>
        <v>8771.8120793577746</v>
      </c>
      <c r="AS713" s="121"/>
    </row>
    <row r="714" spans="1:45" ht="13.5" x14ac:dyDescent="0.4">
      <c r="A714" s="12">
        <f t="shared" si="59"/>
        <v>711</v>
      </c>
      <c r="B714" s="64" t="s">
        <v>1308</v>
      </c>
      <c r="C714" s="54">
        <v>45124</v>
      </c>
      <c r="D714" s="54">
        <v>45124</v>
      </c>
      <c r="E714" s="46" t="s">
        <v>207</v>
      </c>
      <c r="F714" s="51" t="s">
        <v>1372</v>
      </c>
      <c r="G714" s="51" t="s">
        <v>1429</v>
      </c>
      <c r="H714" s="51" t="s">
        <v>207</v>
      </c>
      <c r="I714" s="55" t="s">
        <v>1430</v>
      </c>
      <c r="J714" s="56">
        <v>1</v>
      </c>
      <c r="K714" s="51" t="s">
        <v>1431</v>
      </c>
      <c r="L714" s="58">
        <v>9744.91</v>
      </c>
      <c r="M714" s="50">
        <f>ROUND('FA Addition'!$L714*5%,0.1)</f>
        <v>487</v>
      </c>
      <c r="N714" s="113" t="str">
        <f>_xlfn.XLOOKUP(_xlfn.CONCAT(E714,B714),'Year Wise Master Dep Approach'!F:F,'Year Wise Master Dep Approach'!D:D)</f>
        <v>WDV</v>
      </c>
      <c r="O714" s="113">
        <f>_xlfn.XLOOKUP(_xlfn.CONCAT(E714,B714),'Year Wise Master Dep Approach'!F:F,'Year Wise Master Dep Approach'!E:E)</f>
        <v>5</v>
      </c>
      <c r="P714" s="114">
        <f>IFERROR(IF('FA Addition'!$N714="WDV",1-('FA Addition'!$M714/'FA Addition'!$L714)^(1/'FA Addition'!$O714),1/'FA Addition'!$O714),0)</f>
        <v>0.45077509078431099</v>
      </c>
      <c r="Q714" s="122">
        <f>'FA Addition'!$P714*'FA Addition'!$O714</f>
        <v>2.2538754539215549</v>
      </c>
      <c r="R714" s="122"/>
      <c r="S714" s="116">
        <f>IF(AND(DATE(20&amp;LEFT(FAAddition[[#This Row],[FY]],2),4,1)&lt;$L$1+1,DATE(20&amp;LEFT(FAAddition[[#This Row],[FY]],2),4,1)&gt;$P$1-1),'FA Addition'!$J714,0)</f>
        <v>1</v>
      </c>
      <c r="U714" s="117">
        <f>S714*'FA Addition'!$L714/'FA Addition'!$J714</f>
        <v>9744.91</v>
      </c>
      <c r="W714" s="116">
        <f>SUMIFS('FA Write off'!D:D,'FA Write off'!A:A,'FA Addition'!$A714,'FA Write off'!C:C,"&lt;"&amp;'FA Addition'!$P$1)</f>
        <v>0</v>
      </c>
      <c r="Y714" s="191">
        <f>IFERROR(W714/'FA Addition'!$J714*'FA Addition'!$L714,0)</f>
        <v>0</v>
      </c>
      <c r="AA714" s="116">
        <f>SUMIFS('FA Write off'!D:D,'FA Write off'!A:A,'FA Addition'!$A714,'FA Write off'!C:C,"&lt;"&amp;'FA Addition'!$L$1+1,'FA Write off'!C:C,"&gt;"&amp;'FA Addition'!$L$1-365)</f>
        <v>0</v>
      </c>
      <c r="AC714" s="118">
        <f>IFERROR(AA714/'FA Addition'!$J714*'FA Addition'!$L714,0)</f>
        <v>0</v>
      </c>
      <c r="AE714" s="117">
        <f>IF(AND('FA Addition'!$D714&lt;$P$1+1,U714=0),'FA Addition'!$L714,0)-Y714</f>
        <v>0</v>
      </c>
      <c r="AF714" s="117">
        <f t="shared" si="55"/>
        <v>9744.91</v>
      </c>
      <c r="AG714" s="117">
        <f>MIN(MAX(+$P$1-'FA Addition'!$D714,0),365*'FA Addition'!$O714)</f>
        <v>0</v>
      </c>
      <c r="AH714" s="117">
        <f>MIN(MAX($L$1-'FA Addition'!$D714+1,0),365*'FA Addition'!$O714)</f>
        <v>259</v>
      </c>
      <c r="AI714" s="117" cm="1">
        <f t="array" ref="AI714">_xlfn.XLOOKUP(1,('FA Write off'!A:A='FA Addition'!$A714)*('FA Write off'!D:D=AA714),'FA Write off'!H:H,0,0)</f>
        <v>0</v>
      </c>
      <c r="AJ714" s="117">
        <f>IF(AC714&gt;0,MAX(IF('FA Addition'!$N714="SLM",($AC714-'FA Addition'!$M714)*'FA Addition'!$P714*AI714/365,(AC714-'FA Addition'!$M714)*(1-(1-'FA Addition'!$P714)^(AI714/365))),0),0)</f>
        <v>0</v>
      </c>
      <c r="AL714" s="117">
        <f>MAX(IF(AG714&gt;0,IF('FA Addition'!$N714="SLM",($AE714-'FA Addition'!$M714)*'FA Addition'!$P714*AG714/365,IFERROR(VDB(AE714,AE714*0.05,'FA Addition'!$O714,0,YEARFRAC('FA Addition'!$C714,$P$1-1,3),'FA Addition'!$Q714),FAAddition[[#This Row],[Original Cost (Rs)]]-FAAddition[[#This Row],[Salvage Value]])),0),0)</f>
        <v>0</v>
      </c>
      <c r="AM714" s="119"/>
      <c r="AN714" s="117">
        <f>MAX(IF(AH714&gt;0,IF('FA Addition'!$N714="SLM",($AF714-'FA Addition'!$M714)*'FA Addition'!$P714*AH714/365,IFERROR(VDB(AF714,AF714*0.05,'FA Addition'!$O714,0,YEARFRAC('FA Addition'!$C714,$L$1,3),'FA Addition'!$Q714),FAAddition[[#This Row],[Original Cost (Rs)]]-FAAddition[[#This Row],[Salvage Value]])),0),0)</f>
        <v>3105.0212986389438</v>
      </c>
      <c r="AO714" s="117">
        <f t="shared" si="58"/>
        <v>3105.0212986389438</v>
      </c>
      <c r="AQ714" s="117">
        <f t="shared" si="56"/>
        <v>0</v>
      </c>
      <c r="AR714" s="120">
        <f t="shared" si="57"/>
        <v>6639.8887013610565</v>
      </c>
      <c r="AS714" s="121"/>
    </row>
    <row r="715" spans="1:45" ht="13.5" x14ac:dyDescent="0.4">
      <c r="A715" s="12">
        <f t="shared" si="59"/>
        <v>712</v>
      </c>
      <c r="B715" s="64" t="s">
        <v>1308</v>
      </c>
      <c r="C715" s="54">
        <v>45124</v>
      </c>
      <c r="D715" s="54">
        <v>45124</v>
      </c>
      <c r="E715" s="46" t="s">
        <v>207</v>
      </c>
      <c r="F715" s="51" t="s">
        <v>1372</v>
      </c>
      <c r="G715" s="51" t="s">
        <v>1432</v>
      </c>
      <c r="H715" s="51" t="s">
        <v>207</v>
      </c>
      <c r="I715" s="55" t="s">
        <v>1433</v>
      </c>
      <c r="J715" s="56">
        <v>1</v>
      </c>
      <c r="K715" s="51" t="s">
        <v>1434</v>
      </c>
      <c r="L715" s="58">
        <v>7117.8</v>
      </c>
      <c r="M715" s="50">
        <f>ROUND('FA Addition'!$L715*5%,0.1)</f>
        <v>356</v>
      </c>
      <c r="N715" s="113" t="str">
        <f>_xlfn.XLOOKUP(_xlfn.CONCAT(E715,B715),'Year Wise Master Dep Approach'!F:F,'Year Wise Master Dep Approach'!D:D)</f>
        <v>WDV</v>
      </c>
      <c r="O715" s="113">
        <f>_xlfn.XLOOKUP(_xlfn.CONCAT(E715,B715),'Year Wise Master Dep Approach'!F:F,'Year Wise Master Dep Approach'!E:E)</f>
        <v>5</v>
      </c>
      <c r="P715" s="114">
        <f>IFERROR(IF('FA Addition'!$N715="WDV",1-('FA Addition'!$M715/'FA Addition'!$L715)^(1/'FA Addition'!$O715),1/'FA Addition'!$O715),0)</f>
        <v>0.45068577776602248</v>
      </c>
      <c r="Q715" s="122">
        <f>'FA Addition'!$P715*'FA Addition'!$O715</f>
        <v>2.2534288888301122</v>
      </c>
      <c r="R715" s="122"/>
      <c r="S715" s="116">
        <f>IF(AND(DATE(20&amp;LEFT(FAAddition[[#This Row],[FY]],2),4,1)&lt;$L$1+1,DATE(20&amp;LEFT(FAAddition[[#This Row],[FY]],2),4,1)&gt;$P$1-1),'FA Addition'!$J715,0)</f>
        <v>1</v>
      </c>
      <c r="U715" s="117">
        <f>S715*'FA Addition'!$L715/'FA Addition'!$J715</f>
        <v>7117.8</v>
      </c>
      <c r="W715" s="116">
        <f>SUMIFS('FA Write off'!D:D,'FA Write off'!A:A,'FA Addition'!$A715,'FA Write off'!C:C,"&lt;"&amp;'FA Addition'!$P$1)</f>
        <v>0</v>
      </c>
      <c r="Y715" s="191">
        <f>IFERROR(W715/'FA Addition'!$J715*'FA Addition'!$L715,0)</f>
        <v>0</v>
      </c>
      <c r="AA715" s="116">
        <f>SUMIFS('FA Write off'!D:D,'FA Write off'!A:A,'FA Addition'!$A715,'FA Write off'!C:C,"&lt;"&amp;'FA Addition'!$L$1+1,'FA Write off'!C:C,"&gt;"&amp;'FA Addition'!$L$1-365)</f>
        <v>0</v>
      </c>
      <c r="AC715" s="118">
        <f>IFERROR(AA715/'FA Addition'!$J715*'FA Addition'!$L715,0)</f>
        <v>0</v>
      </c>
      <c r="AE715" s="117">
        <f>IF(AND('FA Addition'!$D715&lt;$P$1+1,U715=0),'FA Addition'!$L715,0)-Y715</f>
        <v>0</v>
      </c>
      <c r="AF715" s="117">
        <f t="shared" si="55"/>
        <v>7117.8</v>
      </c>
      <c r="AG715" s="117">
        <f>MIN(MAX(+$P$1-'FA Addition'!$D715,0),365*'FA Addition'!$O715)</f>
        <v>0</v>
      </c>
      <c r="AH715" s="117">
        <f>MIN(MAX($L$1-'FA Addition'!$D715+1,0),365*'FA Addition'!$O715)</f>
        <v>259</v>
      </c>
      <c r="AI715" s="117" cm="1">
        <f t="array" ref="AI715">_xlfn.XLOOKUP(1,('FA Write off'!A:A='FA Addition'!$A715)*('FA Write off'!D:D=AA715),'FA Write off'!H:H,0,0)</f>
        <v>0</v>
      </c>
      <c r="AJ715" s="117">
        <f>IF(AC715&gt;0,MAX(IF('FA Addition'!$N715="SLM",($AC715-'FA Addition'!$M715)*'FA Addition'!$P715*AI715/365,(AC715-'FA Addition'!$M715)*(1-(1-'FA Addition'!$P715)^(AI715/365))),0),0)</f>
        <v>0</v>
      </c>
      <c r="AL715" s="117">
        <f>MAX(IF(AG715&gt;0,IF('FA Addition'!$N715="SLM",($AE715-'FA Addition'!$M715)*'FA Addition'!$P715*AG715/365,IFERROR(VDB(AE715,AE715*0.05,'FA Addition'!$O715,0,YEARFRAC('FA Addition'!$C715,$P$1-1,3),'FA Addition'!$Q715),FAAddition[[#This Row],[Original Cost (Rs)]]-FAAddition[[#This Row],[Salvage Value]])),0),0)</f>
        <v>0</v>
      </c>
      <c r="AM715" s="119"/>
      <c r="AN715" s="117">
        <f>MAX(IF(AH715&gt;0,IF('FA Addition'!$N715="SLM",($AF715-'FA Addition'!$M715)*'FA Addition'!$P715*AH715/365,IFERROR(VDB(AF715,AF715*0.05,'FA Addition'!$O715,0,YEARFRAC('FA Addition'!$C715,$L$1,3),'FA Addition'!$Q715),FAAddition[[#This Row],[Original Cost (Rs)]]-FAAddition[[#This Row],[Salvage Value]])),0),0)</f>
        <v>2267.4957180208562</v>
      </c>
      <c r="AO715" s="117">
        <f t="shared" si="58"/>
        <v>2267.4957180208562</v>
      </c>
      <c r="AQ715" s="117">
        <f t="shared" si="56"/>
        <v>0</v>
      </c>
      <c r="AR715" s="120">
        <f t="shared" si="57"/>
        <v>4850.3042819791444</v>
      </c>
      <c r="AS715" s="121"/>
    </row>
    <row r="716" spans="1:45" ht="13.5" x14ac:dyDescent="0.4">
      <c r="A716" s="12">
        <f t="shared" si="59"/>
        <v>713</v>
      </c>
      <c r="B716" s="64" t="s">
        <v>1308</v>
      </c>
      <c r="C716" s="54">
        <v>45124</v>
      </c>
      <c r="D716" s="54">
        <v>45124</v>
      </c>
      <c r="E716" s="46" t="s">
        <v>207</v>
      </c>
      <c r="F716" s="51" t="s">
        <v>1372</v>
      </c>
      <c r="G716" s="51" t="s">
        <v>1419</v>
      </c>
      <c r="H716" s="51" t="s">
        <v>207</v>
      </c>
      <c r="I716" s="55" t="s">
        <v>1435</v>
      </c>
      <c r="J716" s="56">
        <v>1</v>
      </c>
      <c r="K716" s="51" t="s">
        <v>1422</v>
      </c>
      <c r="L716" s="58">
        <v>6524.58</v>
      </c>
      <c r="M716" s="50">
        <f>ROUND('FA Addition'!$L716*5%,0.1)</f>
        <v>326</v>
      </c>
      <c r="N716" s="113" t="str">
        <f>_xlfn.XLOOKUP(_xlfn.CONCAT(E716,B716),'Year Wise Master Dep Approach'!F:F,'Year Wise Master Dep Approach'!D:D)</f>
        <v>WDV</v>
      </c>
      <c r="O716" s="113">
        <f>_xlfn.XLOOKUP(_xlfn.CONCAT(E716,B716),'Year Wise Master Dep Approach'!F:F,'Year Wise Master Dep Approach'!E:E)</f>
        <v>5</v>
      </c>
      <c r="P716" s="114">
        <f>IFERROR(IF('FA Addition'!$N716="WDV",1-('FA Addition'!$M716/'FA Addition'!$L716)^(1/'FA Addition'!$O716),1/'FA Addition'!$O716),0)</f>
        <v>0.45079686466259838</v>
      </c>
      <c r="Q716" s="122">
        <f>'FA Addition'!$P716*'FA Addition'!$O716</f>
        <v>2.2539843233129919</v>
      </c>
      <c r="R716" s="122"/>
      <c r="S716" s="116">
        <f>IF(AND(DATE(20&amp;LEFT(FAAddition[[#This Row],[FY]],2),4,1)&lt;$L$1+1,DATE(20&amp;LEFT(FAAddition[[#This Row],[FY]],2),4,1)&gt;$P$1-1),'FA Addition'!$J716,0)</f>
        <v>1</v>
      </c>
      <c r="U716" s="117">
        <f>S716*'FA Addition'!$L716/'FA Addition'!$J716</f>
        <v>6524.58</v>
      </c>
      <c r="W716" s="116">
        <f>SUMIFS('FA Write off'!D:D,'FA Write off'!A:A,'FA Addition'!$A716,'FA Write off'!C:C,"&lt;"&amp;'FA Addition'!$P$1)</f>
        <v>0</v>
      </c>
      <c r="Y716" s="191">
        <f>IFERROR(W716/'FA Addition'!$J716*'FA Addition'!$L716,0)</f>
        <v>0</v>
      </c>
      <c r="AA716" s="116">
        <f>SUMIFS('FA Write off'!D:D,'FA Write off'!A:A,'FA Addition'!$A716,'FA Write off'!C:C,"&lt;"&amp;'FA Addition'!$L$1+1,'FA Write off'!C:C,"&gt;"&amp;'FA Addition'!$L$1-365)</f>
        <v>0</v>
      </c>
      <c r="AC716" s="118">
        <f>IFERROR(AA716/'FA Addition'!$J716*'FA Addition'!$L716,0)</f>
        <v>0</v>
      </c>
      <c r="AE716" s="117">
        <f>IF(AND('FA Addition'!$D716&lt;$P$1+1,U716=0),'FA Addition'!$L716,0)-Y716</f>
        <v>0</v>
      </c>
      <c r="AF716" s="117">
        <f t="shared" si="55"/>
        <v>6524.58</v>
      </c>
      <c r="AG716" s="117">
        <f>MIN(MAX(+$P$1-'FA Addition'!$D716,0),365*'FA Addition'!$O716)</f>
        <v>0</v>
      </c>
      <c r="AH716" s="117">
        <f>MIN(MAX($L$1-'FA Addition'!$D716+1,0),365*'FA Addition'!$O716)</f>
        <v>259</v>
      </c>
      <c r="AI716" s="117" cm="1">
        <f t="array" ref="AI716">_xlfn.XLOOKUP(1,('FA Write off'!A:A='FA Addition'!$A716)*('FA Write off'!D:D=AA716),'FA Write off'!H:H,0,0)</f>
        <v>0</v>
      </c>
      <c r="AJ716" s="117">
        <f>IF(AC716&gt;0,MAX(IF('FA Addition'!$N716="SLM",($AC716-'FA Addition'!$M716)*'FA Addition'!$P716*AI716/365,(AC716-'FA Addition'!$M716)*(1-(1-'FA Addition'!$P716)^(AI716/365))),0),0)</f>
        <v>0</v>
      </c>
      <c r="AL716" s="117">
        <f>MAX(IF(AG716&gt;0,IF('FA Addition'!$N716="SLM",($AE716-'FA Addition'!$M716)*'FA Addition'!$P716*AG716/365,IFERROR(VDB(AE716,AE716*0.05,'FA Addition'!$O716,0,YEARFRAC('FA Addition'!$C716,$P$1-1,3),'FA Addition'!$Q716),FAAddition[[#This Row],[Original Cost (Rs)]]-FAAddition[[#This Row],[Salvage Value]])),0),0)</f>
        <v>0</v>
      </c>
      <c r="AM716" s="119"/>
      <c r="AN716" s="117">
        <f>MAX(IF(AH716&gt;0,IF('FA Addition'!$N716="SLM",($AF716-'FA Addition'!$M716)*'FA Addition'!$P716*AH716/365,IFERROR(VDB(AF716,AF716*0.05,'FA Addition'!$O716,0,YEARFRAC('FA Addition'!$C716,$L$1,3),'FA Addition'!$Q716),FAAddition[[#This Row],[Original Cost (Rs)]]-FAAddition[[#This Row],[Salvage Value]])),0),0)</f>
        <v>2079.0277629260172</v>
      </c>
      <c r="AO716" s="117">
        <f t="shared" si="58"/>
        <v>2079.0277629260172</v>
      </c>
      <c r="AQ716" s="117">
        <f t="shared" si="56"/>
        <v>0</v>
      </c>
      <c r="AR716" s="120">
        <f t="shared" si="57"/>
        <v>4445.5522370739827</v>
      </c>
      <c r="AS716" s="121"/>
    </row>
    <row r="717" spans="1:45" ht="13.5" x14ac:dyDescent="0.4">
      <c r="A717" s="12">
        <f t="shared" si="59"/>
        <v>714</v>
      </c>
      <c r="B717" s="64" t="s">
        <v>1308</v>
      </c>
      <c r="C717" s="54">
        <v>45126</v>
      </c>
      <c r="D717" s="54">
        <v>45126</v>
      </c>
      <c r="E717" s="46" t="s">
        <v>1436</v>
      </c>
      <c r="F717" s="51" t="s">
        <v>1437</v>
      </c>
      <c r="G717" s="51" t="s">
        <v>1438</v>
      </c>
      <c r="H717" s="51" t="s">
        <v>1439</v>
      </c>
      <c r="I717" s="55" t="s">
        <v>1440</v>
      </c>
      <c r="J717" s="56">
        <v>1</v>
      </c>
      <c r="K717" s="51" t="s">
        <v>1441</v>
      </c>
      <c r="L717" s="58">
        <v>89991.52</v>
      </c>
      <c r="M717" s="50">
        <f>ROUND('FA Addition'!$L717*5%,0.1)</f>
        <v>4500</v>
      </c>
      <c r="N717" s="113" t="str">
        <f>_xlfn.XLOOKUP(_xlfn.CONCAT(E717,B717),'Year Wise Master Dep Approach'!F:F,'Year Wise Master Dep Approach'!D:D)</f>
        <v>SLM</v>
      </c>
      <c r="O717" s="113">
        <f>_xlfn.XLOOKUP(_xlfn.CONCAT(E717,B717),'Year Wise Master Dep Approach'!F:F,'Year Wise Master Dep Approach'!E:E)</f>
        <v>5</v>
      </c>
      <c r="P717" s="114">
        <f>IFERROR(IF('FA Addition'!$N717="WDV",1-('FA Addition'!$M717/'FA Addition'!$L717)^(1/'FA Addition'!$O717),1/'FA Addition'!$O717),0)</f>
        <v>0.2</v>
      </c>
      <c r="Q717" s="122">
        <f>'FA Addition'!$P717*'FA Addition'!$O717</f>
        <v>1</v>
      </c>
      <c r="R717" s="122"/>
      <c r="S717" s="116">
        <f>IF(AND(DATE(20&amp;LEFT(FAAddition[[#This Row],[FY]],2),4,1)&lt;$L$1+1,DATE(20&amp;LEFT(FAAddition[[#This Row],[FY]],2),4,1)&gt;$P$1-1),'FA Addition'!$J717,0)</f>
        <v>1</v>
      </c>
      <c r="U717" s="117">
        <f>S717*'FA Addition'!$L717/'FA Addition'!$J717</f>
        <v>89991.52</v>
      </c>
      <c r="W717" s="116">
        <f>SUMIFS('FA Write off'!D:D,'FA Write off'!A:A,'FA Addition'!$A717,'FA Write off'!C:C,"&lt;"&amp;'FA Addition'!$P$1)</f>
        <v>0</v>
      </c>
      <c r="Y717" s="191">
        <f>IFERROR(W717/'FA Addition'!$J717*'FA Addition'!$L717,0)</f>
        <v>0</v>
      </c>
      <c r="AA717" s="116">
        <f>SUMIFS('FA Write off'!D:D,'FA Write off'!A:A,'FA Addition'!$A717,'FA Write off'!C:C,"&lt;"&amp;'FA Addition'!$L$1+1,'FA Write off'!C:C,"&gt;"&amp;'FA Addition'!$L$1-365)</f>
        <v>0</v>
      </c>
      <c r="AC717" s="118">
        <f>IFERROR(AA717/'FA Addition'!$J717*'FA Addition'!$L717,0)</f>
        <v>0</v>
      </c>
      <c r="AE717" s="117">
        <f>IF(AND('FA Addition'!$D717&lt;$P$1+1,U717=0),'FA Addition'!$L717,0)-Y717</f>
        <v>0</v>
      </c>
      <c r="AF717" s="117">
        <f t="shared" si="55"/>
        <v>89991.52</v>
      </c>
      <c r="AG717" s="117">
        <f>MIN(MAX(+$P$1-'FA Addition'!$D717,0),365*'FA Addition'!$O717)</f>
        <v>0</v>
      </c>
      <c r="AH717" s="117">
        <f>MIN(MAX($L$1-'FA Addition'!$D717+1,0),365*'FA Addition'!$O717)</f>
        <v>257</v>
      </c>
      <c r="AI717" s="117" cm="1">
        <f t="array" ref="AI717">_xlfn.XLOOKUP(1,('FA Write off'!A:A='FA Addition'!$A717)*('FA Write off'!D:D=AA717),'FA Write off'!H:H,0,0)</f>
        <v>0</v>
      </c>
      <c r="AJ717" s="117">
        <f>IF(AC717&gt;0,MAX(IF('FA Addition'!$N717="SLM",($AC717-'FA Addition'!$M717)*'FA Addition'!$P717*AI717/365,(AC717-'FA Addition'!$M717)*(1-(1-'FA Addition'!$P717)^(AI717/365))),0),0)</f>
        <v>0</v>
      </c>
      <c r="AL717" s="117">
        <f>MAX(IF(AG717&gt;0,IF('FA Addition'!$N717="SLM",($AE717-'FA Addition'!$M717)*'FA Addition'!$P717*AG717/365,IFERROR(VDB(AE717,AE717*0.05,'FA Addition'!$O717,0,YEARFRAC('FA Addition'!$C717,$P$1-1,3),'FA Addition'!$Q717),FAAddition[[#This Row],[Original Cost (Rs)]]-FAAddition[[#This Row],[Salvage Value]])),0),0)</f>
        <v>0</v>
      </c>
      <c r="AM717" s="119"/>
      <c r="AN717" s="117">
        <f>MAX(IF(AH717&gt;0,IF('FA Addition'!$N717="SLM",($AF717-'FA Addition'!$M717)*'FA Addition'!$P717*AH717/365,IFERROR(VDB(AF717,AF717*0.05,'FA Addition'!$O717,0,YEARFRAC('FA Addition'!$C717,$L$1,3),'FA Addition'!$Q717),FAAddition[[#This Row],[Original Cost (Rs)]]-FAAddition[[#This Row],[Salvage Value]])),0),0)</f>
        <v>12039.079802739725</v>
      </c>
      <c r="AO717" s="117">
        <f t="shared" si="58"/>
        <v>12039.079802739725</v>
      </c>
      <c r="AQ717" s="117">
        <f t="shared" si="56"/>
        <v>0</v>
      </c>
      <c r="AR717" s="120">
        <f t="shared" si="57"/>
        <v>77952.440197260279</v>
      </c>
      <c r="AS717" s="121"/>
    </row>
    <row r="718" spans="1:45" ht="13.5" x14ac:dyDescent="0.4">
      <c r="A718" s="12">
        <f t="shared" si="59"/>
        <v>715</v>
      </c>
      <c r="B718" s="64" t="s">
        <v>1308</v>
      </c>
      <c r="C718" s="54">
        <v>45126</v>
      </c>
      <c r="D718" s="54">
        <v>45126</v>
      </c>
      <c r="E718" s="46" t="s">
        <v>451</v>
      </c>
      <c r="F718" s="51" t="s">
        <v>19</v>
      </c>
      <c r="G718" s="51" t="s">
        <v>1442</v>
      </c>
      <c r="H718" s="51" t="s">
        <v>21</v>
      </c>
      <c r="I718" s="55" t="s">
        <v>1443</v>
      </c>
      <c r="J718" s="56">
        <v>1</v>
      </c>
      <c r="K718" s="51" t="s">
        <v>1444</v>
      </c>
      <c r="L718" s="58">
        <v>29652.54</v>
      </c>
      <c r="M718" s="50">
        <f>ROUND('FA Addition'!$L718*5%,0.1)</f>
        <v>1483</v>
      </c>
      <c r="N718" s="113" t="str">
        <f>_xlfn.XLOOKUP(_xlfn.CONCAT(E718,B718),'Year Wise Master Dep Approach'!F:F,'Year Wise Master Dep Approach'!D:D)</f>
        <v>WDV</v>
      </c>
      <c r="O718" s="113">
        <f>_xlfn.XLOOKUP(_xlfn.CONCAT(E718,B718),'Year Wise Master Dep Approach'!F:F,'Year Wise Master Dep Approach'!E:E)</f>
        <v>3</v>
      </c>
      <c r="P718" s="114">
        <f>IFERROR(IF('FA Addition'!$N718="WDV",1-('FA Addition'!$M718/'FA Addition'!$L718)^(1/'FA Addition'!$O718),1/'FA Addition'!$O718),0)</f>
        <v>0.63156595838033236</v>
      </c>
      <c r="Q718" s="122">
        <f>'FA Addition'!$P718*'FA Addition'!$O718</f>
        <v>1.8946978751409971</v>
      </c>
      <c r="R718" s="122"/>
      <c r="S718" s="116">
        <f>IF(AND(DATE(20&amp;LEFT(FAAddition[[#This Row],[FY]],2),4,1)&lt;$L$1+1,DATE(20&amp;LEFT(FAAddition[[#This Row],[FY]],2),4,1)&gt;$P$1-1),'FA Addition'!$J718,0)</f>
        <v>1</v>
      </c>
      <c r="U718" s="117">
        <f>S718*'FA Addition'!$L718/'FA Addition'!$J718</f>
        <v>29652.54</v>
      </c>
      <c r="W718" s="116">
        <f>SUMIFS('FA Write off'!D:D,'FA Write off'!A:A,'FA Addition'!$A718,'FA Write off'!C:C,"&lt;"&amp;'FA Addition'!$P$1)</f>
        <v>0</v>
      </c>
      <c r="Y718" s="191">
        <f>IFERROR(W718/'FA Addition'!$J718*'FA Addition'!$L718,0)</f>
        <v>0</v>
      </c>
      <c r="AA718" s="116">
        <f>SUMIFS('FA Write off'!D:D,'FA Write off'!A:A,'FA Addition'!$A718,'FA Write off'!C:C,"&lt;"&amp;'FA Addition'!$L$1+1,'FA Write off'!C:C,"&gt;"&amp;'FA Addition'!$L$1-365)</f>
        <v>0</v>
      </c>
      <c r="AC718" s="118">
        <f>IFERROR(AA718/'FA Addition'!$J718*'FA Addition'!$L718,0)</f>
        <v>0</v>
      </c>
      <c r="AE718" s="117">
        <f>IF(AND('FA Addition'!$D718&lt;$P$1+1,U718=0),'FA Addition'!$L718,0)-Y718</f>
        <v>0</v>
      </c>
      <c r="AF718" s="117">
        <f t="shared" si="55"/>
        <v>29652.54</v>
      </c>
      <c r="AG718" s="117">
        <f>MIN(MAX(+$P$1-'FA Addition'!$D718,0),365*'FA Addition'!$O718)</f>
        <v>0</v>
      </c>
      <c r="AH718" s="117">
        <f>MIN(MAX($L$1-'FA Addition'!$D718+1,0),365*'FA Addition'!$O718)</f>
        <v>257</v>
      </c>
      <c r="AI718" s="117" cm="1">
        <f t="array" ref="AI718">_xlfn.XLOOKUP(1,('FA Write off'!A:A='FA Addition'!$A718)*('FA Write off'!D:D=AA718),'FA Write off'!H:H,0,0)</f>
        <v>0</v>
      </c>
      <c r="AJ718" s="117">
        <f>IF(AC718&gt;0,MAX(IF('FA Addition'!$N718="SLM",($AC718-'FA Addition'!$M718)*'FA Addition'!$P718*AI718/365,(AC718-'FA Addition'!$M718)*(1-(1-'FA Addition'!$P718)^(AI718/365))),0),0)</f>
        <v>0</v>
      </c>
      <c r="AL718" s="117">
        <f>MAX(IF(AG718&gt;0,IF('FA Addition'!$N718="SLM",($AE718-'FA Addition'!$M718)*'FA Addition'!$P718*AG718/365,IFERROR(VDB(AE718,AE718*0.05,'FA Addition'!$O718,0,YEARFRAC('FA Addition'!$C718,$P$1-1,3),'FA Addition'!$Q718),FAAddition[[#This Row],[Original Cost (Rs)]]-FAAddition[[#This Row],[Salvage Value]])),0),0)</f>
        <v>0</v>
      </c>
      <c r="AM718" s="119"/>
      <c r="AN718" s="117">
        <f>MAX(IF(AH718&gt;0,IF('FA Addition'!$N718="SLM",($AF718-'FA Addition'!$M718)*'FA Addition'!$P718*AH718/365,IFERROR(VDB(AF718,AF718*0.05,'FA Addition'!$O718,0,YEARFRAC('FA Addition'!$C718,$L$1,3),'FA Addition'!$Q718),FAAddition[[#This Row],[Original Cost (Rs)]]-FAAddition[[#This Row],[Salvage Value]])),0),0)</f>
        <v>13134.928547777678</v>
      </c>
      <c r="AO718" s="117">
        <f t="shared" si="58"/>
        <v>13134.928547777678</v>
      </c>
      <c r="AQ718" s="117">
        <f t="shared" si="56"/>
        <v>0</v>
      </c>
      <c r="AR718" s="120">
        <f t="shared" si="57"/>
        <v>16517.611452222322</v>
      </c>
      <c r="AS718" s="121"/>
    </row>
    <row r="719" spans="1:45" ht="13.5" x14ac:dyDescent="0.4">
      <c r="A719" s="12">
        <f t="shared" si="59"/>
        <v>716</v>
      </c>
      <c r="B719" s="64" t="s">
        <v>1308</v>
      </c>
      <c r="C719" s="54">
        <v>45126</v>
      </c>
      <c r="D719" s="54">
        <v>45126</v>
      </c>
      <c r="E719" s="46" t="s">
        <v>451</v>
      </c>
      <c r="F719" s="51" t="s">
        <v>19</v>
      </c>
      <c r="G719" s="51" t="s">
        <v>1442</v>
      </c>
      <c r="H719" s="51" t="s">
        <v>21</v>
      </c>
      <c r="I719" s="55" t="s">
        <v>1443</v>
      </c>
      <c r="J719" s="56">
        <v>1</v>
      </c>
      <c r="K719" s="51" t="s">
        <v>1444</v>
      </c>
      <c r="L719" s="58">
        <v>29652.54</v>
      </c>
      <c r="M719" s="50">
        <f>ROUND('FA Addition'!$L719*5%,0.1)</f>
        <v>1483</v>
      </c>
      <c r="N719" s="113" t="str">
        <f>_xlfn.XLOOKUP(_xlfn.CONCAT(E719,B719),'Year Wise Master Dep Approach'!F:F,'Year Wise Master Dep Approach'!D:D)</f>
        <v>WDV</v>
      </c>
      <c r="O719" s="113">
        <f>_xlfn.XLOOKUP(_xlfn.CONCAT(E719,B719),'Year Wise Master Dep Approach'!F:F,'Year Wise Master Dep Approach'!E:E)</f>
        <v>3</v>
      </c>
      <c r="P719" s="114">
        <f>IFERROR(IF('FA Addition'!$N719="WDV",1-('FA Addition'!$M719/'FA Addition'!$L719)^(1/'FA Addition'!$O719),1/'FA Addition'!$O719),0)</f>
        <v>0.63156595838033236</v>
      </c>
      <c r="Q719" s="122">
        <f>'FA Addition'!$P719*'FA Addition'!$O719</f>
        <v>1.8946978751409971</v>
      </c>
      <c r="R719" s="122"/>
      <c r="S719" s="116">
        <f>IF(AND(DATE(20&amp;LEFT(FAAddition[[#This Row],[FY]],2),4,1)&lt;$L$1+1,DATE(20&amp;LEFT(FAAddition[[#This Row],[FY]],2),4,1)&gt;$P$1-1),'FA Addition'!$J719,0)</f>
        <v>1</v>
      </c>
      <c r="U719" s="117">
        <f>S719*'FA Addition'!$L719/'FA Addition'!$J719</f>
        <v>29652.54</v>
      </c>
      <c r="W719" s="116">
        <f>SUMIFS('FA Write off'!D:D,'FA Write off'!A:A,'FA Addition'!$A719,'FA Write off'!C:C,"&lt;"&amp;'FA Addition'!$P$1)</f>
        <v>0</v>
      </c>
      <c r="Y719" s="191">
        <f>IFERROR(W719/'FA Addition'!$J719*'FA Addition'!$L719,0)</f>
        <v>0</v>
      </c>
      <c r="AA719" s="116">
        <f>SUMIFS('FA Write off'!D:D,'FA Write off'!A:A,'FA Addition'!$A719,'FA Write off'!C:C,"&lt;"&amp;'FA Addition'!$L$1+1,'FA Write off'!C:C,"&gt;"&amp;'FA Addition'!$L$1-365)</f>
        <v>0</v>
      </c>
      <c r="AC719" s="118">
        <f>IFERROR(AA719/'FA Addition'!$J719*'FA Addition'!$L719,0)</f>
        <v>0</v>
      </c>
      <c r="AE719" s="117">
        <f>IF(AND('FA Addition'!$D719&lt;$P$1+1,U719=0),'FA Addition'!$L719,0)-Y719</f>
        <v>0</v>
      </c>
      <c r="AF719" s="117">
        <f t="shared" si="55"/>
        <v>29652.54</v>
      </c>
      <c r="AG719" s="117">
        <f>MIN(MAX(+$P$1-'FA Addition'!$D719,0),365*'FA Addition'!$O719)</f>
        <v>0</v>
      </c>
      <c r="AH719" s="117">
        <f>MIN(MAX($L$1-'FA Addition'!$D719+1,0),365*'FA Addition'!$O719)</f>
        <v>257</v>
      </c>
      <c r="AI719" s="117" cm="1">
        <f t="array" ref="AI719">_xlfn.XLOOKUP(1,('FA Write off'!A:A='FA Addition'!$A719)*('FA Write off'!D:D=AA719),'FA Write off'!H:H,0,0)</f>
        <v>0</v>
      </c>
      <c r="AJ719" s="117">
        <f>IF(AC719&gt;0,MAX(IF('FA Addition'!$N719="SLM",($AC719-'FA Addition'!$M719)*'FA Addition'!$P719*AI719/365,(AC719-'FA Addition'!$M719)*(1-(1-'FA Addition'!$P719)^(AI719/365))),0),0)</f>
        <v>0</v>
      </c>
      <c r="AL719" s="117">
        <f>MAX(IF(AG719&gt;0,IF('FA Addition'!$N719="SLM",($AE719-'FA Addition'!$M719)*'FA Addition'!$P719*AG719/365,IFERROR(VDB(AE719,AE719*0.05,'FA Addition'!$O719,0,YEARFRAC('FA Addition'!$C719,$P$1-1,3),'FA Addition'!$Q719),FAAddition[[#This Row],[Original Cost (Rs)]]-FAAddition[[#This Row],[Salvage Value]])),0),0)</f>
        <v>0</v>
      </c>
      <c r="AM719" s="119"/>
      <c r="AN719" s="117">
        <f>MAX(IF(AH719&gt;0,IF('FA Addition'!$N719="SLM",($AF719-'FA Addition'!$M719)*'FA Addition'!$P719*AH719/365,IFERROR(VDB(AF719,AF719*0.05,'FA Addition'!$O719,0,YEARFRAC('FA Addition'!$C719,$L$1,3),'FA Addition'!$Q719),FAAddition[[#This Row],[Original Cost (Rs)]]-FAAddition[[#This Row],[Salvage Value]])),0),0)</f>
        <v>13134.928547777678</v>
      </c>
      <c r="AO719" s="117">
        <f t="shared" si="58"/>
        <v>13134.928547777678</v>
      </c>
      <c r="AQ719" s="117">
        <f t="shared" si="56"/>
        <v>0</v>
      </c>
      <c r="AR719" s="120">
        <f t="shared" si="57"/>
        <v>16517.611452222322</v>
      </c>
      <c r="AS719" s="121"/>
    </row>
    <row r="720" spans="1:45" ht="13.5" x14ac:dyDescent="0.4">
      <c r="A720" s="12">
        <f t="shared" si="59"/>
        <v>717</v>
      </c>
      <c r="B720" s="64" t="s">
        <v>1308</v>
      </c>
      <c r="C720" s="54">
        <v>45131</v>
      </c>
      <c r="D720" s="54">
        <v>45131</v>
      </c>
      <c r="E720" s="46" t="s">
        <v>749</v>
      </c>
      <c r="F720" s="51" t="s">
        <v>74</v>
      </c>
      <c r="G720" s="51" t="s">
        <v>1445</v>
      </c>
      <c r="H720" s="51" t="s">
        <v>129</v>
      </c>
      <c r="I720" s="55" t="s">
        <v>1446</v>
      </c>
      <c r="J720" s="56">
        <v>1</v>
      </c>
      <c r="K720" s="51" t="s">
        <v>1447</v>
      </c>
      <c r="L720" s="58">
        <v>35936.720000000001</v>
      </c>
      <c r="M720" s="50">
        <f>ROUND('FA Addition'!$L720*5%,0.1)</f>
        <v>1797</v>
      </c>
      <c r="N720" s="113" t="str">
        <f>_xlfn.XLOOKUP(_xlfn.CONCAT(E720,B720),'Year Wise Master Dep Approach'!F:F,'Year Wise Master Dep Approach'!D:D)</f>
        <v>WDV</v>
      </c>
      <c r="O720" s="113">
        <f>_xlfn.XLOOKUP(_xlfn.CONCAT(E720,B720),'Year Wise Master Dep Approach'!F:F,'Year Wise Master Dep Approach'!E:E)</f>
        <v>5</v>
      </c>
      <c r="P720" s="114">
        <f>IFERROR(IF('FA Addition'!$N720="WDV",1-('FA Addition'!$M720/'FA Addition'!$L720)^(1/'FA Addition'!$O720),1/'FA Addition'!$O720),0)</f>
        <v>0.45070970198104432</v>
      </c>
      <c r="Q720" s="122">
        <f>'FA Addition'!$P720*'FA Addition'!$O720</f>
        <v>2.2535485099052215</v>
      </c>
      <c r="R720" s="122"/>
      <c r="S720" s="116">
        <f>IF(AND(DATE(20&amp;LEFT(FAAddition[[#This Row],[FY]],2),4,1)&lt;$L$1+1,DATE(20&amp;LEFT(FAAddition[[#This Row],[FY]],2),4,1)&gt;$P$1-1),'FA Addition'!$J720,0)</f>
        <v>1</v>
      </c>
      <c r="U720" s="117">
        <f>S720*'FA Addition'!$L720/'FA Addition'!$J720</f>
        <v>35936.720000000001</v>
      </c>
      <c r="W720" s="116">
        <f>SUMIFS('FA Write off'!D:D,'FA Write off'!A:A,'FA Addition'!$A720,'FA Write off'!C:C,"&lt;"&amp;'FA Addition'!$P$1)</f>
        <v>0</v>
      </c>
      <c r="Y720" s="191">
        <f>IFERROR(W720/'FA Addition'!$J720*'FA Addition'!$L720,0)</f>
        <v>0</v>
      </c>
      <c r="AA720" s="116">
        <f>SUMIFS('FA Write off'!D:D,'FA Write off'!A:A,'FA Addition'!$A720,'FA Write off'!C:C,"&lt;"&amp;'FA Addition'!$L$1+1,'FA Write off'!C:C,"&gt;"&amp;'FA Addition'!$L$1-365)</f>
        <v>0</v>
      </c>
      <c r="AC720" s="118">
        <f>IFERROR(AA720/'FA Addition'!$J720*'FA Addition'!$L720,0)</f>
        <v>0</v>
      </c>
      <c r="AE720" s="117">
        <f>IF(AND('FA Addition'!$D720&lt;$P$1+1,U720=0),'FA Addition'!$L720,0)-Y720</f>
        <v>0</v>
      </c>
      <c r="AF720" s="117">
        <f t="shared" si="55"/>
        <v>35936.720000000001</v>
      </c>
      <c r="AG720" s="117">
        <f>MIN(MAX(+$P$1-'FA Addition'!$D720,0),365*'FA Addition'!$O720)</f>
        <v>0</v>
      </c>
      <c r="AH720" s="117">
        <f>MIN(MAX($L$1-'FA Addition'!$D720+1,0),365*'FA Addition'!$O720)</f>
        <v>252</v>
      </c>
      <c r="AI720" s="117" cm="1">
        <f t="array" ref="AI720">_xlfn.XLOOKUP(1,('FA Write off'!A:A='FA Addition'!$A720)*('FA Write off'!D:D=AA720),'FA Write off'!H:H,0,0)</f>
        <v>0</v>
      </c>
      <c r="AJ720" s="117">
        <f>IF(AC720&gt;0,MAX(IF('FA Addition'!$N720="SLM",($AC720-'FA Addition'!$M720)*'FA Addition'!$P720*AI720/365,(AC720-'FA Addition'!$M720)*(1-(1-'FA Addition'!$P720)^(AI720/365))),0),0)</f>
        <v>0</v>
      </c>
      <c r="AL720" s="117">
        <f>MAX(IF(AG720&gt;0,IF('FA Addition'!$N720="SLM",($AE720-'FA Addition'!$M720)*'FA Addition'!$P720*AG720/365,IFERROR(VDB(AE720,AE720*0.05,'FA Addition'!$O720,0,YEARFRAC('FA Addition'!$C720,$P$1-1,3),'FA Addition'!$Q720),FAAddition[[#This Row],[Original Cost (Rs)]]-FAAddition[[#This Row],[Salvage Value]])),0),0)</f>
        <v>0</v>
      </c>
      <c r="AM720" s="119"/>
      <c r="AN720" s="117">
        <f>MAX(IF(AH720&gt;0,IF('FA Addition'!$N720="SLM",($AF720-'FA Addition'!$M720)*'FA Addition'!$P720*AH720/365,IFERROR(VDB(AF720,AF720*0.05,'FA Addition'!$O720,0,YEARFRAC('FA Addition'!$C720,$L$1,3),'FA Addition'!$Q720),FAAddition[[#This Row],[Original Cost (Rs)]]-FAAddition[[#This Row],[Salvage Value]])),0),0)</f>
        <v>11138.230462206669</v>
      </c>
      <c r="AO720" s="117">
        <f t="shared" si="58"/>
        <v>11138.230462206669</v>
      </c>
      <c r="AQ720" s="117">
        <f t="shared" si="56"/>
        <v>0</v>
      </c>
      <c r="AR720" s="120">
        <f t="shared" si="57"/>
        <v>24798.489537793332</v>
      </c>
      <c r="AS720" s="121"/>
    </row>
    <row r="721" spans="1:45" ht="13.5" x14ac:dyDescent="0.4">
      <c r="A721" s="12">
        <f t="shared" si="59"/>
        <v>718</v>
      </c>
      <c r="B721" s="64" t="s">
        <v>1308</v>
      </c>
      <c r="C721" s="54">
        <v>45131</v>
      </c>
      <c r="D721" s="54">
        <v>45131</v>
      </c>
      <c r="E721" s="46" t="s">
        <v>1389</v>
      </c>
      <c r="F721" s="51" t="s">
        <v>1112</v>
      </c>
      <c r="G721" s="51" t="s">
        <v>36</v>
      </c>
      <c r="H721" s="51" t="s">
        <v>1113</v>
      </c>
      <c r="I721" s="55" t="s">
        <v>1448</v>
      </c>
      <c r="J721" s="56">
        <v>10</v>
      </c>
      <c r="K721" s="51" t="s">
        <v>1449</v>
      </c>
      <c r="L721" s="58">
        <v>19000</v>
      </c>
      <c r="M721" s="50">
        <f>ROUND('FA Addition'!$L721*5%,0.1)</f>
        <v>950</v>
      </c>
      <c r="N721" s="113" t="str">
        <f>_xlfn.XLOOKUP(_xlfn.CONCAT(E721,B721),'Year Wise Master Dep Approach'!F:F,'Year Wise Master Dep Approach'!D:D)</f>
        <v>SLM</v>
      </c>
      <c r="O721" s="113">
        <f>_xlfn.XLOOKUP(_xlfn.CONCAT(E721,B721),'Year Wise Master Dep Approach'!F:F,'Year Wise Master Dep Approach'!E:E)</f>
        <v>3</v>
      </c>
      <c r="P721" s="114">
        <f>IFERROR(IF('FA Addition'!$N721="WDV",1-('FA Addition'!$M721/'FA Addition'!$L721)^(1/'FA Addition'!$O721),1/'FA Addition'!$O721),0)</f>
        <v>0.33333333333333331</v>
      </c>
      <c r="Q721" s="122">
        <f>'FA Addition'!$P721*'FA Addition'!$O721</f>
        <v>1</v>
      </c>
      <c r="R721" s="122"/>
      <c r="S721" s="116">
        <f>IF(AND(DATE(20&amp;LEFT(FAAddition[[#This Row],[FY]],2),4,1)&lt;$L$1+1,DATE(20&amp;LEFT(FAAddition[[#This Row],[FY]],2),4,1)&gt;$P$1-1),'FA Addition'!$J721,0)</f>
        <v>10</v>
      </c>
      <c r="U721" s="117">
        <f>S721*'FA Addition'!$L721/'FA Addition'!$J721</f>
        <v>19000</v>
      </c>
      <c r="W721" s="116">
        <f>SUMIFS('FA Write off'!D:D,'FA Write off'!A:A,'FA Addition'!$A721,'FA Write off'!C:C,"&lt;"&amp;'FA Addition'!$P$1)</f>
        <v>0</v>
      </c>
      <c r="Y721" s="191">
        <f>IFERROR(W721/'FA Addition'!$J721*'FA Addition'!$L721,0)</f>
        <v>0</v>
      </c>
      <c r="AA721" s="116">
        <f>SUMIFS('FA Write off'!D:D,'FA Write off'!A:A,'FA Addition'!$A721,'FA Write off'!C:C,"&lt;"&amp;'FA Addition'!$L$1+1,'FA Write off'!C:C,"&gt;"&amp;'FA Addition'!$L$1-365)</f>
        <v>0</v>
      </c>
      <c r="AC721" s="118">
        <f>IFERROR(AA721/'FA Addition'!$J721*'FA Addition'!$L721,0)</f>
        <v>0</v>
      </c>
      <c r="AE721" s="117">
        <f>IF(AND('FA Addition'!$D721&lt;$P$1+1,U721=0),'FA Addition'!$L721,0)-Y721</f>
        <v>0</v>
      </c>
      <c r="AF721" s="117">
        <f t="shared" si="55"/>
        <v>19000</v>
      </c>
      <c r="AG721" s="117">
        <f>MIN(MAX(+$P$1-'FA Addition'!$D721,0),365*'FA Addition'!$O721)</f>
        <v>0</v>
      </c>
      <c r="AH721" s="117">
        <f>MIN(MAX($L$1-'FA Addition'!$D721+1,0),365*'FA Addition'!$O721)</f>
        <v>252</v>
      </c>
      <c r="AI721" s="117" cm="1">
        <f t="array" ref="AI721">_xlfn.XLOOKUP(1,('FA Write off'!A:A='FA Addition'!$A721)*('FA Write off'!D:D=AA721),'FA Write off'!H:H,0,0)</f>
        <v>0</v>
      </c>
      <c r="AJ721" s="117">
        <f>IF(AC721&gt;0,MAX(IF('FA Addition'!$N721="SLM",($AC721-'FA Addition'!$M721)*'FA Addition'!$P721*AI721/365,(AC721-'FA Addition'!$M721)*(1-(1-'FA Addition'!$P721)^(AI721/365))),0),0)</f>
        <v>0</v>
      </c>
      <c r="AL721" s="117">
        <f>MAX(IF(AG721&gt;0,IF('FA Addition'!$N721="SLM",($AE721-'FA Addition'!$M721)*'FA Addition'!$P721*AG721/365,IFERROR(VDB(AE721,AE721*0.05,'FA Addition'!$O721,0,YEARFRAC('FA Addition'!$C721,$P$1-1,3),'FA Addition'!$Q721),FAAddition[[#This Row],[Original Cost (Rs)]]-FAAddition[[#This Row],[Salvage Value]])),0),0)</f>
        <v>0</v>
      </c>
      <c r="AM721" s="119"/>
      <c r="AN721" s="117">
        <f>MAX(IF(AH721&gt;0,IF('FA Addition'!$N721="SLM",($AF721-'FA Addition'!$M721)*'FA Addition'!$P721*AH721/365,IFERROR(VDB(AF721,AF721*0.05,'FA Addition'!$O721,0,YEARFRAC('FA Addition'!$C721,$L$1,3),'FA Addition'!$Q721),FAAddition[[#This Row],[Original Cost (Rs)]]-FAAddition[[#This Row],[Salvage Value]])),0),0)</f>
        <v>4153.9726027397255</v>
      </c>
      <c r="AO721" s="117">
        <f t="shared" si="58"/>
        <v>4153.9726027397255</v>
      </c>
      <c r="AQ721" s="117">
        <f t="shared" si="56"/>
        <v>0</v>
      </c>
      <c r="AR721" s="120">
        <f t="shared" si="57"/>
        <v>14846.027397260274</v>
      </c>
      <c r="AS721" s="121"/>
    </row>
    <row r="722" spans="1:45" ht="13.5" x14ac:dyDescent="0.4">
      <c r="A722" s="12">
        <f t="shared" si="59"/>
        <v>719</v>
      </c>
      <c r="B722" s="64" t="s">
        <v>1308</v>
      </c>
      <c r="C722" s="54">
        <v>45131</v>
      </c>
      <c r="D722" s="54">
        <v>45131</v>
      </c>
      <c r="E722" s="46" t="s">
        <v>207</v>
      </c>
      <c r="F722" s="51" t="s">
        <v>1372</v>
      </c>
      <c r="G722" s="51" t="s">
        <v>1134</v>
      </c>
      <c r="H722" s="51" t="s">
        <v>207</v>
      </c>
      <c r="I722" s="55" t="s">
        <v>1450</v>
      </c>
      <c r="J722" s="56">
        <v>1</v>
      </c>
      <c r="K722" s="51" t="s">
        <v>1451</v>
      </c>
      <c r="L722" s="58">
        <v>8473.73</v>
      </c>
      <c r="M722" s="50">
        <f>ROUND('FA Addition'!$L722*5%,0.1)</f>
        <v>424</v>
      </c>
      <c r="N722" s="113" t="str">
        <f>_xlfn.XLOOKUP(_xlfn.CONCAT(E722,B722),'Year Wise Master Dep Approach'!F:F,'Year Wise Master Dep Approach'!D:D)</f>
        <v>WDV</v>
      </c>
      <c r="O722" s="113">
        <f>_xlfn.XLOOKUP(_xlfn.CONCAT(E722,B722),'Year Wise Master Dep Approach'!F:F,'Year Wise Master Dep Approach'!E:E)</f>
        <v>5</v>
      </c>
      <c r="P722" s="114">
        <f>IFERROR(IF('FA Addition'!$N722="WDV",1-('FA Addition'!$M722/'FA Addition'!$L722)^(1/'FA Addition'!$O722),1/'FA Addition'!$O722),0)</f>
        <v>0.45063846617723768</v>
      </c>
      <c r="Q722" s="122">
        <f>'FA Addition'!$P722*'FA Addition'!$O722</f>
        <v>2.2531923308861885</v>
      </c>
      <c r="R722" s="122"/>
      <c r="S722" s="116">
        <f>IF(AND(DATE(20&amp;LEFT(FAAddition[[#This Row],[FY]],2),4,1)&lt;$L$1+1,DATE(20&amp;LEFT(FAAddition[[#This Row],[FY]],2),4,1)&gt;$P$1-1),'FA Addition'!$J722,0)</f>
        <v>1</v>
      </c>
      <c r="U722" s="117">
        <f>S722*'FA Addition'!$L722/'FA Addition'!$J722</f>
        <v>8473.73</v>
      </c>
      <c r="W722" s="116">
        <f>SUMIFS('FA Write off'!D:D,'FA Write off'!A:A,'FA Addition'!$A722,'FA Write off'!C:C,"&lt;"&amp;'FA Addition'!$P$1)</f>
        <v>0</v>
      </c>
      <c r="Y722" s="191">
        <f>IFERROR(W722/'FA Addition'!$J722*'FA Addition'!$L722,0)</f>
        <v>0</v>
      </c>
      <c r="AA722" s="116">
        <f>SUMIFS('FA Write off'!D:D,'FA Write off'!A:A,'FA Addition'!$A722,'FA Write off'!C:C,"&lt;"&amp;'FA Addition'!$L$1+1,'FA Write off'!C:C,"&gt;"&amp;'FA Addition'!$L$1-365)</f>
        <v>0</v>
      </c>
      <c r="AC722" s="118">
        <f>IFERROR(AA722/'FA Addition'!$J722*'FA Addition'!$L722,0)</f>
        <v>0</v>
      </c>
      <c r="AE722" s="117">
        <f>IF(AND('FA Addition'!$D722&lt;$P$1+1,U722=0),'FA Addition'!$L722,0)-Y722</f>
        <v>0</v>
      </c>
      <c r="AF722" s="117">
        <f t="shared" si="55"/>
        <v>8473.73</v>
      </c>
      <c r="AG722" s="117">
        <f>MIN(MAX(+$P$1-'FA Addition'!$D722,0),365*'FA Addition'!$O722)</f>
        <v>0</v>
      </c>
      <c r="AH722" s="117">
        <f>MIN(MAX($L$1-'FA Addition'!$D722+1,0),365*'FA Addition'!$O722)</f>
        <v>252</v>
      </c>
      <c r="AI722" s="117" cm="1">
        <f t="array" ref="AI722">_xlfn.XLOOKUP(1,('FA Write off'!A:A='FA Addition'!$A722)*('FA Write off'!D:D=AA722),'FA Write off'!H:H,0,0)</f>
        <v>0</v>
      </c>
      <c r="AJ722" s="117">
        <f>IF(AC722&gt;0,MAX(IF('FA Addition'!$N722="SLM",($AC722-'FA Addition'!$M722)*'FA Addition'!$P722*AI722/365,(AC722-'FA Addition'!$M722)*(1-(1-'FA Addition'!$P722)^(AI722/365))),0),0)</f>
        <v>0</v>
      </c>
      <c r="AL722" s="117">
        <f>MAX(IF(AG722&gt;0,IF('FA Addition'!$N722="SLM",($AE722-'FA Addition'!$M722)*'FA Addition'!$P722*AG722/365,IFERROR(VDB(AE722,AE722*0.05,'FA Addition'!$O722,0,YEARFRAC('FA Addition'!$C722,$P$1-1,3),'FA Addition'!$Q722),FAAddition[[#This Row],[Original Cost (Rs)]]-FAAddition[[#This Row],[Salvage Value]])),0),0)</f>
        <v>0</v>
      </c>
      <c r="AM722" s="119"/>
      <c r="AN722" s="117">
        <f>MAX(IF(AH722&gt;0,IF('FA Addition'!$N722="SLM",($AF722-'FA Addition'!$M722)*'FA Addition'!$P722*AH722/365,IFERROR(VDB(AF722,AF722*0.05,'FA Addition'!$O722,0,YEARFRAC('FA Addition'!$C722,$L$1,3),'FA Addition'!$Q722),FAAddition[[#This Row],[Original Cost (Rs)]]-FAAddition[[#This Row],[Salvage Value]])),0),0)</f>
        <v>2625.9335923014</v>
      </c>
      <c r="AO722" s="117">
        <f t="shared" si="58"/>
        <v>2625.9335923014</v>
      </c>
      <c r="AQ722" s="117">
        <f t="shared" si="56"/>
        <v>0</v>
      </c>
      <c r="AR722" s="120">
        <f t="shared" si="57"/>
        <v>5847.7964076985991</v>
      </c>
      <c r="AS722" s="121"/>
    </row>
    <row r="723" spans="1:45" ht="13.5" x14ac:dyDescent="0.4">
      <c r="A723" s="12">
        <f t="shared" si="59"/>
        <v>720</v>
      </c>
      <c r="B723" s="64" t="s">
        <v>1308</v>
      </c>
      <c r="C723" s="54">
        <v>45131</v>
      </c>
      <c r="D723" s="54">
        <v>45131</v>
      </c>
      <c r="E723" s="46" t="s">
        <v>207</v>
      </c>
      <c r="F723" s="51" t="s">
        <v>1372</v>
      </c>
      <c r="G723" s="51" t="s">
        <v>1452</v>
      </c>
      <c r="H723" s="51" t="s">
        <v>207</v>
      </c>
      <c r="I723" s="55" t="s">
        <v>1453</v>
      </c>
      <c r="J723" s="56">
        <v>1</v>
      </c>
      <c r="K723" s="51" t="s">
        <v>1454</v>
      </c>
      <c r="L723" s="58">
        <v>8473.73</v>
      </c>
      <c r="M723" s="50">
        <f>ROUND('FA Addition'!$L723*5%,0.1)</f>
        <v>424</v>
      </c>
      <c r="N723" s="113" t="str">
        <f>_xlfn.XLOOKUP(_xlfn.CONCAT(E723,B723),'Year Wise Master Dep Approach'!F:F,'Year Wise Master Dep Approach'!D:D)</f>
        <v>WDV</v>
      </c>
      <c r="O723" s="113">
        <f>_xlfn.XLOOKUP(_xlfn.CONCAT(E723,B723),'Year Wise Master Dep Approach'!F:F,'Year Wise Master Dep Approach'!E:E)</f>
        <v>5</v>
      </c>
      <c r="P723" s="114">
        <f>IFERROR(IF('FA Addition'!$N723="WDV",1-('FA Addition'!$M723/'FA Addition'!$L723)^(1/'FA Addition'!$O723),1/'FA Addition'!$O723),0)</f>
        <v>0.45063846617723768</v>
      </c>
      <c r="Q723" s="122">
        <f>'FA Addition'!$P723*'FA Addition'!$O723</f>
        <v>2.2531923308861885</v>
      </c>
      <c r="R723" s="122"/>
      <c r="S723" s="116">
        <f>IF(AND(DATE(20&amp;LEFT(FAAddition[[#This Row],[FY]],2),4,1)&lt;$L$1+1,DATE(20&amp;LEFT(FAAddition[[#This Row],[FY]],2),4,1)&gt;$P$1-1),'FA Addition'!$J723,0)</f>
        <v>1</v>
      </c>
      <c r="U723" s="117">
        <f>S723*'FA Addition'!$L723/'FA Addition'!$J723</f>
        <v>8473.73</v>
      </c>
      <c r="W723" s="116">
        <f>SUMIFS('FA Write off'!D:D,'FA Write off'!A:A,'FA Addition'!$A723,'FA Write off'!C:C,"&lt;"&amp;'FA Addition'!$P$1)</f>
        <v>0</v>
      </c>
      <c r="Y723" s="191">
        <f>IFERROR(W723/'FA Addition'!$J723*'FA Addition'!$L723,0)</f>
        <v>0</v>
      </c>
      <c r="AA723" s="116">
        <f>SUMIFS('FA Write off'!D:D,'FA Write off'!A:A,'FA Addition'!$A723,'FA Write off'!C:C,"&lt;"&amp;'FA Addition'!$L$1+1,'FA Write off'!C:C,"&gt;"&amp;'FA Addition'!$L$1-365)</f>
        <v>0</v>
      </c>
      <c r="AC723" s="118">
        <f>IFERROR(AA723/'FA Addition'!$J723*'FA Addition'!$L723,0)</f>
        <v>0</v>
      </c>
      <c r="AE723" s="117">
        <f>IF(AND('FA Addition'!$D723&lt;$P$1+1,U723=0),'FA Addition'!$L723,0)-Y723</f>
        <v>0</v>
      </c>
      <c r="AF723" s="117">
        <f t="shared" si="55"/>
        <v>8473.73</v>
      </c>
      <c r="AG723" s="117">
        <f>MIN(MAX(+$P$1-'FA Addition'!$D723,0),365*'FA Addition'!$O723)</f>
        <v>0</v>
      </c>
      <c r="AH723" s="117">
        <f>MIN(MAX($L$1-'FA Addition'!$D723+1,0),365*'FA Addition'!$O723)</f>
        <v>252</v>
      </c>
      <c r="AI723" s="117" cm="1">
        <f t="array" ref="AI723">_xlfn.XLOOKUP(1,('FA Write off'!A:A='FA Addition'!$A723)*('FA Write off'!D:D=AA723),'FA Write off'!H:H,0,0)</f>
        <v>0</v>
      </c>
      <c r="AJ723" s="117">
        <f>IF(AC723&gt;0,MAX(IF('FA Addition'!$N723="SLM",($AC723-'FA Addition'!$M723)*'FA Addition'!$P723*AI723/365,(AC723-'FA Addition'!$M723)*(1-(1-'FA Addition'!$P723)^(AI723/365))),0),0)</f>
        <v>0</v>
      </c>
      <c r="AL723" s="117">
        <f>MAX(IF(AG723&gt;0,IF('FA Addition'!$N723="SLM",($AE723-'FA Addition'!$M723)*'FA Addition'!$P723*AG723/365,IFERROR(VDB(AE723,AE723*0.05,'FA Addition'!$O723,0,YEARFRAC('FA Addition'!$C723,$P$1-1,3),'FA Addition'!$Q723),FAAddition[[#This Row],[Original Cost (Rs)]]-FAAddition[[#This Row],[Salvage Value]])),0),0)</f>
        <v>0</v>
      </c>
      <c r="AM723" s="119"/>
      <c r="AN723" s="117">
        <f>MAX(IF(AH723&gt;0,IF('FA Addition'!$N723="SLM",($AF723-'FA Addition'!$M723)*'FA Addition'!$P723*AH723/365,IFERROR(VDB(AF723,AF723*0.05,'FA Addition'!$O723,0,YEARFRAC('FA Addition'!$C723,$L$1,3),'FA Addition'!$Q723),FAAddition[[#This Row],[Original Cost (Rs)]]-FAAddition[[#This Row],[Salvage Value]])),0),0)</f>
        <v>2625.9335923014</v>
      </c>
      <c r="AO723" s="117">
        <f t="shared" si="58"/>
        <v>2625.9335923014</v>
      </c>
      <c r="AQ723" s="117">
        <f t="shared" si="56"/>
        <v>0</v>
      </c>
      <c r="AR723" s="120">
        <f t="shared" si="57"/>
        <v>5847.7964076985991</v>
      </c>
      <c r="AS723" s="121"/>
    </row>
    <row r="724" spans="1:45" ht="13.5" x14ac:dyDescent="0.4">
      <c r="A724" s="12">
        <f t="shared" si="59"/>
        <v>721</v>
      </c>
      <c r="B724" s="64" t="s">
        <v>1308</v>
      </c>
      <c r="C724" s="54">
        <v>45131</v>
      </c>
      <c r="D724" s="54">
        <v>45131</v>
      </c>
      <c r="E724" s="46" t="s">
        <v>207</v>
      </c>
      <c r="F724" s="51" t="s">
        <v>1372</v>
      </c>
      <c r="G724" s="51" t="s">
        <v>1455</v>
      </c>
      <c r="H724" s="51" t="s">
        <v>207</v>
      </c>
      <c r="I724" s="55" t="s">
        <v>1456</v>
      </c>
      <c r="J724" s="56">
        <v>1</v>
      </c>
      <c r="K724" s="51" t="s">
        <v>1457</v>
      </c>
      <c r="L724" s="58">
        <v>8050</v>
      </c>
      <c r="M724" s="50">
        <f>ROUND('FA Addition'!$L724*5%,0.1)</f>
        <v>403</v>
      </c>
      <c r="N724" s="113" t="str">
        <f>_xlfn.XLOOKUP(_xlfn.CONCAT(E724,B724),'Year Wise Master Dep Approach'!F:F,'Year Wise Master Dep Approach'!D:D)</f>
        <v>WDV</v>
      </c>
      <c r="O724" s="113">
        <f>_xlfn.XLOOKUP(_xlfn.CONCAT(E724,B724),'Year Wise Master Dep Approach'!F:F,'Year Wise Master Dep Approach'!E:E)</f>
        <v>5</v>
      </c>
      <c r="P724" s="114">
        <f>IFERROR(IF('FA Addition'!$N724="WDV",1-('FA Addition'!$M724/'FA Addition'!$L724)^(1/'FA Addition'!$O724),1/'FA Addition'!$O724),0)</f>
        <v>0.45058332895796993</v>
      </c>
      <c r="Q724" s="122">
        <f>'FA Addition'!$P724*'FA Addition'!$O724</f>
        <v>2.2529166447898499</v>
      </c>
      <c r="R724" s="122"/>
      <c r="S724" s="116">
        <f>IF(AND(DATE(20&amp;LEFT(FAAddition[[#This Row],[FY]],2),4,1)&lt;$L$1+1,DATE(20&amp;LEFT(FAAddition[[#This Row],[FY]],2),4,1)&gt;$P$1-1),'FA Addition'!$J724,0)</f>
        <v>1</v>
      </c>
      <c r="U724" s="117">
        <f>S724*'FA Addition'!$L724/'FA Addition'!$J724</f>
        <v>8050</v>
      </c>
      <c r="W724" s="116">
        <f>SUMIFS('FA Write off'!D:D,'FA Write off'!A:A,'FA Addition'!$A724,'FA Write off'!C:C,"&lt;"&amp;'FA Addition'!$P$1)</f>
        <v>0</v>
      </c>
      <c r="Y724" s="191">
        <f>IFERROR(W724/'FA Addition'!$J724*'FA Addition'!$L724,0)</f>
        <v>0</v>
      </c>
      <c r="AA724" s="116">
        <f>SUMIFS('FA Write off'!D:D,'FA Write off'!A:A,'FA Addition'!$A724,'FA Write off'!C:C,"&lt;"&amp;'FA Addition'!$L$1+1,'FA Write off'!C:C,"&gt;"&amp;'FA Addition'!$L$1-365)</f>
        <v>0</v>
      </c>
      <c r="AC724" s="118">
        <f>IFERROR(AA724/'FA Addition'!$J724*'FA Addition'!$L724,0)</f>
        <v>0</v>
      </c>
      <c r="AE724" s="117">
        <f>IF(AND('FA Addition'!$D724&lt;$P$1+1,U724=0),'FA Addition'!$L724,0)-Y724</f>
        <v>0</v>
      </c>
      <c r="AF724" s="117">
        <f t="shared" si="55"/>
        <v>8050</v>
      </c>
      <c r="AG724" s="117">
        <f>MIN(MAX(+$P$1-'FA Addition'!$D724,0),365*'FA Addition'!$O724)</f>
        <v>0</v>
      </c>
      <c r="AH724" s="117">
        <f>MIN(MAX($L$1-'FA Addition'!$D724+1,0),365*'FA Addition'!$O724)</f>
        <v>252</v>
      </c>
      <c r="AI724" s="117" cm="1">
        <f t="array" ref="AI724">_xlfn.XLOOKUP(1,('FA Write off'!A:A='FA Addition'!$A724)*('FA Write off'!D:D=AA724),'FA Write off'!H:H,0,0)</f>
        <v>0</v>
      </c>
      <c r="AJ724" s="117">
        <f>IF(AC724&gt;0,MAX(IF('FA Addition'!$N724="SLM",($AC724-'FA Addition'!$M724)*'FA Addition'!$P724*AI724/365,(AC724-'FA Addition'!$M724)*(1-(1-'FA Addition'!$P724)^(AI724/365))),0),0)</f>
        <v>0</v>
      </c>
      <c r="AL724" s="117">
        <f>MAX(IF(AG724&gt;0,IF('FA Addition'!$N724="SLM",($AE724-'FA Addition'!$M724)*'FA Addition'!$P724*AG724/365,IFERROR(VDB(AE724,AE724*0.05,'FA Addition'!$O724,0,YEARFRAC('FA Addition'!$C724,$P$1-1,3),'FA Addition'!$Q724),FAAddition[[#This Row],[Original Cost (Rs)]]-FAAddition[[#This Row],[Salvage Value]])),0),0)</f>
        <v>0</v>
      </c>
      <c r="AM724" s="119"/>
      <c r="AN724" s="117">
        <f>MAX(IF(AH724&gt;0,IF('FA Addition'!$N724="SLM",($AF724-'FA Addition'!$M724)*'FA Addition'!$P724*AH724/365,IFERROR(VDB(AF724,AF724*0.05,'FA Addition'!$O724,0,YEARFRAC('FA Addition'!$C724,$L$1,3),'FA Addition'!$Q724),FAAddition[[#This Row],[Original Cost (Rs)]]-FAAddition[[#This Row],[Salvage Value]])),0),0)</f>
        <v>2494.3182063726745</v>
      </c>
      <c r="AO724" s="117">
        <f t="shared" si="58"/>
        <v>2494.3182063726745</v>
      </c>
      <c r="AQ724" s="117">
        <f t="shared" si="56"/>
        <v>0</v>
      </c>
      <c r="AR724" s="120">
        <f t="shared" si="57"/>
        <v>5555.6817936273255</v>
      </c>
      <c r="AS724" s="121"/>
    </row>
    <row r="725" spans="1:45" ht="13.5" x14ac:dyDescent="0.4">
      <c r="A725" s="12">
        <f t="shared" si="59"/>
        <v>722</v>
      </c>
      <c r="B725" s="64" t="s">
        <v>1308</v>
      </c>
      <c r="C725" s="54">
        <v>45131</v>
      </c>
      <c r="D725" s="54">
        <v>45131</v>
      </c>
      <c r="E725" s="46" t="s">
        <v>207</v>
      </c>
      <c r="F725" s="51" t="s">
        <v>1372</v>
      </c>
      <c r="G725" s="51" t="s">
        <v>1419</v>
      </c>
      <c r="H725" s="51" t="s">
        <v>207</v>
      </c>
      <c r="I725" s="55" t="s">
        <v>1458</v>
      </c>
      <c r="J725" s="56">
        <v>1</v>
      </c>
      <c r="K725" s="51" t="s">
        <v>1459</v>
      </c>
      <c r="L725" s="58">
        <v>6524.58</v>
      </c>
      <c r="M725" s="50">
        <f>ROUND('FA Addition'!$L725*5%,0.1)</f>
        <v>326</v>
      </c>
      <c r="N725" s="113" t="str">
        <f>_xlfn.XLOOKUP(_xlfn.CONCAT(E725,B725),'Year Wise Master Dep Approach'!F:F,'Year Wise Master Dep Approach'!D:D)</f>
        <v>WDV</v>
      </c>
      <c r="O725" s="113">
        <f>_xlfn.XLOOKUP(_xlfn.CONCAT(E725,B725),'Year Wise Master Dep Approach'!F:F,'Year Wise Master Dep Approach'!E:E)</f>
        <v>5</v>
      </c>
      <c r="P725" s="114">
        <f>IFERROR(IF('FA Addition'!$N725="WDV",1-('FA Addition'!$M725/'FA Addition'!$L725)^(1/'FA Addition'!$O725),1/'FA Addition'!$O725),0)</f>
        <v>0.45079686466259838</v>
      </c>
      <c r="Q725" s="122">
        <f>'FA Addition'!$P725*'FA Addition'!$O725</f>
        <v>2.2539843233129919</v>
      </c>
      <c r="R725" s="122"/>
      <c r="S725" s="116">
        <f>IF(AND(DATE(20&amp;LEFT(FAAddition[[#This Row],[FY]],2),4,1)&lt;$L$1+1,DATE(20&amp;LEFT(FAAddition[[#This Row],[FY]],2),4,1)&gt;$P$1-1),'FA Addition'!$J725,0)</f>
        <v>1</v>
      </c>
      <c r="U725" s="117">
        <f>S725*'FA Addition'!$L725/'FA Addition'!$J725</f>
        <v>6524.58</v>
      </c>
      <c r="W725" s="116">
        <f>SUMIFS('FA Write off'!D:D,'FA Write off'!A:A,'FA Addition'!$A725,'FA Write off'!C:C,"&lt;"&amp;'FA Addition'!$P$1)</f>
        <v>0</v>
      </c>
      <c r="Y725" s="191">
        <f>IFERROR(W725/'FA Addition'!$J725*'FA Addition'!$L725,0)</f>
        <v>0</v>
      </c>
      <c r="AA725" s="116">
        <f>SUMIFS('FA Write off'!D:D,'FA Write off'!A:A,'FA Addition'!$A725,'FA Write off'!C:C,"&lt;"&amp;'FA Addition'!$L$1+1,'FA Write off'!C:C,"&gt;"&amp;'FA Addition'!$L$1-365)</f>
        <v>0</v>
      </c>
      <c r="AC725" s="118">
        <f>IFERROR(AA725/'FA Addition'!$J725*'FA Addition'!$L725,0)</f>
        <v>0</v>
      </c>
      <c r="AE725" s="117">
        <f>IF(AND('FA Addition'!$D725&lt;$P$1+1,U725=0),'FA Addition'!$L725,0)-Y725</f>
        <v>0</v>
      </c>
      <c r="AF725" s="117">
        <f t="shared" si="55"/>
        <v>6524.58</v>
      </c>
      <c r="AG725" s="117">
        <f>MIN(MAX(+$P$1-'FA Addition'!$D725,0),365*'FA Addition'!$O725)</f>
        <v>0</v>
      </c>
      <c r="AH725" s="117">
        <f>MIN(MAX($L$1-'FA Addition'!$D725+1,0),365*'FA Addition'!$O725)</f>
        <v>252</v>
      </c>
      <c r="AI725" s="117" cm="1">
        <f t="array" ref="AI725">_xlfn.XLOOKUP(1,('FA Write off'!A:A='FA Addition'!$A725)*('FA Write off'!D:D=AA725),'FA Write off'!H:H,0,0)</f>
        <v>0</v>
      </c>
      <c r="AJ725" s="117">
        <f>IF(AC725&gt;0,MAX(IF('FA Addition'!$N725="SLM",($AC725-'FA Addition'!$M725)*'FA Addition'!$P725*AI725/365,(AC725-'FA Addition'!$M725)*(1-(1-'FA Addition'!$P725)^(AI725/365))),0),0)</f>
        <v>0</v>
      </c>
      <c r="AL725" s="117">
        <f>MAX(IF(AG725&gt;0,IF('FA Addition'!$N725="SLM",($AE725-'FA Addition'!$M725)*'FA Addition'!$P725*AG725/365,IFERROR(VDB(AE725,AE725*0.05,'FA Addition'!$O725,0,YEARFRAC('FA Addition'!$C725,$P$1-1,3),'FA Addition'!$Q725),FAAddition[[#This Row],[Original Cost (Rs)]]-FAAddition[[#This Row],[Salvage Value]])),0),0)</f>
        <v>0</v>
      </c>
      <c r="AM725" s="119"/>
      <c r="AN725" s="117">
        <f>MAX(IF(AH725&gt;0,IF('FA Addition'!$N725="SLM",($AF725-'FA Addition'!$M725)*'FA Addition'!$P725*AH725/365,IFERROR(VDB(AF725,AF725*0.05,'FA Addition'!$O725,0,YEARFRAC('FA Addition'!$C725,$L$1,3),'FA Addition'!$Q725),FAAddition[[#This Row],[Original Cost (Rs)]]-FAAddition[[#This Row],[Salvage Value]])),0),0)</f>
        <v>2022.6200329241487</v>
      </c>
      <c r="AO725" s="117">
        <f t="shared" si="58"/>
        <v>2022.6200329241487</v>
      </c>
      <c r="AQ725" s="117">
        <f t="shared" si="56"/>
        <v>0</v>
      </c>
      <c r="AR725" s="120">
        <f t="shared" si="57"/>
        <v>4501.9599670758507</v>
      </c>
      <c r="AS725" s="121"/>
    </row>
    <row r="726" spans="1:45" ht="13.5" x14ac:dyDescent="0.4">
      <c r="A726" s="12">
        <f t="shared" si="59"/>
        <v>723</v>
      </c>
      <c r="B726" s="64" t="s">
        <v>1308</v>
      </c>
      <c r="C726" s="54">
        <v>45132</v>
      </c>
      <c r="D726" s="54">
        <v>45132</v>
      </c>
      <c r="E726" s="46" t="s">
        <v>32</v>
      </c>
      <c r="F726" s="51" t="s">
        <v>1090</v>
      </c>
      <c r="G726" s="51" t="s">
        <v>433</v>
      </c>
      <c r="H726" s="51" t="s">
        <v>32</v>
      </c>
      <c r="I726" s="55" t="s">
        <v>1460</v>
      </c>
      <c r="J726" s="56">
        <v>2000</v>
      </c>
      <c r="K726" s="51" t="s">
        <v>935</v>
      </c>
      <c r="L726" s="58">
        <v>2080000</v>
      </c>
      <c r="M726" s="50">
        <f>ROUND('FA Addition'!$L726*5%,0.1)</f>
        <v>104000</v>
      </c>
      <c r="N726" s="113" t="str">
        <f>_xlfn.XLOOKUP(_xlfn.CONCAT(E726,B726),'Year Wise Master Dep Approach'!F:F,'Year Wise Master Dep Approach'!D:D)</f>
        <v>SLM</v>
      </c>
      <c r="O726" s="113">
        <f>_xlfn.XLOOKUP(_xlfn.CONCAT(E726,B726),'Year Wise Master Dep Approach'!F:F,'Year Wise Master Dep Approach'!E:E)</f>
        <v>5</v>
      </c>
      <c r="P726" s="114">
        <f>IFERROR(IF('FA Addition'!$N726="WDV",1-('FA Addition'!$M726/'FA Addition'!$L726)^(1/'FA Addition'!$O726),1/'FA Addition'!$O726),0)</f>
        <v>0.2</v>
      </c>
      <c r="Q726" s="122">
        <f>'FA Addition'!$P726*'FA Addition'!$O726</f>
        <v>1</v>
      </c>
      <c r="R726" s="122"/>
      <c r="S726" s="116">
        <f>IF(AND(DATE(20&amp;LEFT(FAAddition[[#This Row],[FY]],2),4,1)&lt;$L$1+1,DATE(20&amp;LEFT(FAAddition[[#This Row],[FY]],2),4,1)&gt;$P$1-1),'FA Addition'!$J726,0)</f>
        <v>2000</v>
      </c>
      <c r="U726" s="117">
        <f>S726*'FA Addition'!$L726/'FA Addition'!$J726</f>
        <v>2080000</v>
      </c>
      <c r="W726" s="116">
        <f>SUMIFS('FA Write off'!D:D,'FA Write off'!A:A,'FA Addition'!$A726,'FA Write off'!C:C,"&lt;"&amp;'FA Addition'!$P$1)</f>
        <v>43</v>
      </c>
      <c r="Y726" s="191">
        <f>IFERROR(W726/'FA Addition'!$J726*'FA Addition'!$L726,0)</f>
        <v>44720</v>
      </c>
      <c r="AA726" s="116">
        <f>SUMIFS('FA Write off'!D:D,'FA Write off'!A:A,'FA Addition'!$A726,'FA Write off'!C:C,"&lt;"&amp;'FA Addition'!$L$1+1,'FA Write off'!C:C,"&gt;"&amp;'FA Addition'!$L$1-365)</f>
        <v>0</v>
      </c>
      <c r="AC726" s="118">
        <f>IFERROR(AA726/'FA Addition'!$J726*'FA Addition'!$L726,0)</f>
        <v>0</v>
      </c>
      <c r="AE726" s="117">
        <f>IF(AND('FA Addition'!$D726&lt;$P$1+1,U726=0),'FA Addition'!$L726,0)-Y726</f>
        <v>-44720</v>
      </c>
      <c r="AF726" s="117">
        <f t="shared" si="55"/>
        <v>2035280</v>
      </c>
      <c r="AG726" s="117">
        <f>MIN(MAX(+$P$1-'FA Addition'!$D726,0),365*'FA Addition'!$O726)</f>
        <v>0</v>
      </c>
      <c r="AH726" s="117">
        <f>MIN(MAX($L$1-'FA Addition'!$D726+1,0),365*'FA Addition'!$O726)</f>
        <v>251</v>
      </c>
      <c r="AI726" s="117" cm="1">
        <f t="array" ref="AI726">_xlfn.XLOOKUP(1,('FA Write off'!A:A='FA Addition'!$A726)*('FA Write off'!D:D=AA726),'FA Write off'!H:H,0,0)</f>
        <v>0</v>
      </c>
      <c r="AJ726" s="117">
        <f>IF(AC726&gt;0,MAX(IF('FA Addition'!$N726="SLM",($AC726-'FA Addition'!$M726)*'FA Addition'!$P726*AI726/365,(AC726-'FA Addition'!$M726)*(1-(1-'FA Addition'!$P726)^(AI726/365))),0),0)</f>
        <v>0</v>
      </c>
      <c r="AL726" s="117">
        <f>MAX(IF(AG726&gt;0,IF('FA Addition'!$N726="SLM",($AE726-'FA Addition'!$M726)*'FA Addition'!$P726*AG726/365,IFERROR(VDB(AE726,AE726*0.05,'FA Addition'!$O726,0,YEARFRAC('FA Addition'!$C726,$P$1-1,3),'FA Addition'!$Q726),FAAddition[[#This Row],[Original Cost (Rs)]]-FAAddition[[#This Row],[Salvage Value]])),0),0)</f>
        <v>0</v>
      </c>
      <c r="AM726" s="119"/>
      <c r="AN726" s="117">
        <f>MAX(IF(AH726&gt;0,IF('FA Addition'!$N726="SLM",($AF726-'FA Addition'!$M726)*'FA Addition'!$P726*AH726/365,IFERROR(VDB(AF726,AF726*0.05,'FA Addition'!$O726,0,YEARFRAC('FA Addition'!$C726,$L$1,3),'FA Addition'!$Q726),FAAddition[[#This Row],[Original Cost (Rs)]]-FAAddition[[#This Row],[Salvage Value]])),0),0)</f>
        <v>265617.13972602738</v>
      </c>
      <c r="AO726" s="117">
        <f t="shared" si="58"/>
        <v>265617.13972602738</v>
      </c>
      <c r="AQ726" s="117">
        <f t="shared" si="56"/>
        <v>-44720</v>
      </c>
      <c r="AR726" s="120">
        <f t="shared" si="57"/>
        <v>1769662.8602739726</v>
      </c>
      <c r="AS726" s="121"/>
    </row>
    <row r="727" spans="1:45" ht="13.5" x14ac:dyDescent="0.4">
      <c r="A727" s="12">
        <f t="shared" si="59"/>
        <v>724</v>
      </c>
      <c r="B727" s="64" t="s">
        <v>1308</v>
      </c>
      <c r="C727" s="54">
        <v>45132</v>
      </c>
      <c r="D727" s="54">
        <v>45132</v>
      </c>
      <c r="E727" s="46" t="s">
        <v>1389</v>
      </c>
      <c r="F727" s="51" t="s">
        <v>1112</v>
      </c>
      <c r="G727" s="51" t="s">
        <v>36</v>
      </c>
      <c r="H727" s="51" t="s">
        <v>1113</v>
      </c>
      <c r="I727" s="55" t="s">
        <v>1461</v>
      </c>
      <c r="J727" s="56">
        <v>900</v>
      </c>
      <c r="K727" s="51" t="s">
        <v>1132</v>
      </c>
      <c r="L727" s="58">
        <v>657000</v>
      </c>
      <c r="M727" s="50">
        <f>ROUND('FA Addition'!$L727*5%,0.1)</f>
        <v>32850</v>
      </c>
      <c r="N727" s="113" t="str">
        <f>_xlfn.XLOOKUP(_xlfn.CONCAT(E727,B727),'Year Wise Master Dep Approach'!F:F,'Year Wise Master Dep Approach'!D:D)</f>
        <v>SLM</v>
      </c>
      <c r="O727" s="113">
        <f>_xlfn.XLOOKUP(_xlfn.CONCAT(E727,B727),'Year Wise Master Dep Approach'!F:F,'Year Wise Master Dep Approach'!E:E)</f>
        <v>3</v>
      </c>
      <c r="P727" s="114">
        <f>IFERROR(IF('FA Addition'!$N727="WDV",1-('FA Addition'!$M727/'FA Addition'!$L727)^(1/'FA Addition'!$O727),1/'FA Addition'!$O727),0)</f>
        <v>0.33333333333333331</v>
      </c>
      <c r="Q727" s="122">
        <f>'FA Addition'!$P727*'FA Addition'!$O727</f>
        <v>1</v>
      </c>
      <c r="R727" s="122"/>
      <c r="S727" s="116">
        <f>IF(AND(DATE(20&amp;LEFT(FAAddition[[#This Row],[FY]],2),4,1)&lt;$L$1+1,DATE(20&amp;LEFT(FAAddition[[#This Row],[FY]],2),4,1)&gt;$P$1-1),'FA Addition'!$J727,0)</f>
        <v>900</v>
      </c>
      <c r="U727" s="117">
        <f>S727*'FA Addition'!$L727/'FA Addition'!$J727</f>
        <v>657000</v>
      </c>
      <c r="W727" s="116">
        <f>SUMIFS('FA Write off'!D:D,'FA Write off'!A:A,'FA Addition'!$A727,'FA Write off'!C:C,"&lt;"&amp;'FA Addition'!$P$1)</f>
        <v>0</v>
      </c>
      <c r="Y727" s="191">
        <f>IFERROR(W727/'FA Addition'!$J727*'FA Addition'!$L727,0)</f>
        <v>0</v>
      </c>
      <c r="AA727" s="116">
        <f>SUMIFS('FA Write off'!D:D,'FA Write off'!A:A,'FA Addition'!$A727,'FA Write off'!C:C,"&lt;"&amp;'FA Addition'!$L$1+1,'FA Write off'!C:C,"&gt;"&amp;'FA Addition'!$L$1-365)</f>
        <v>0</v>
      </c>
      <c r="AC727" s="118">
        <f>IFERROR(AA727/'FA Addition'!$J727*'FA Addition'!$L727,0)</f>
        <v>0</v>
      </c>
      <c r="AE727" s="117">
        <f>IF(AND('FA Addition'!$D727&lt;$P$1+1,U727=0),'FA Addition'!$L727,0)-Y727</f>
        <v>0</v>
      </c>
      <c r="AF727" s="117">
        <f t="shared" si="55"/>
        <v>657000</v>
      </c>
      <c r="AG727" s="117">
        <f>MIN(MAX(+$P$1-'FA Addition'!$D727,0),365*'FA Addition'!$O727)</f>
        <v>0</v>
      </c>
      <c r="AH727" s="117">
        <f>MIN(MAX($L$1-'FA Addition'!$D727+1,0),365*'FA Addition'!$O727)</f>
        <v>251</v>
      </c>
      <c r="AI727" s="117" cm="1">
        <f t="array" ref="AI727">_xlfn.XLOOKUP(1,('FA Write off'!A:A='FA Addition'!$A727)*('FA Write off'!D:D=AA727),'FA Write off'!H:H,0,0)</f>
        <v>0</v>
      </c>
      <c r="AJ727" s="117">
        <f>IF(AC727&gt;0,MAX(IF('FA Addition'!$N727="SLM",($AC727-'FA Addition'!$M727)*'FA Addition'!$P727*AI727/365,(AC727-'FA Addition'!$M727)*(1-(1-'FA Addition'!$P727)^(AI727/365))),0),0)</f>
        <v>0</v>
      </c>
      <c r="AL727" s="117">
        <f>MAX(IF(AG727&gt;0,IF('FA Addition'!$N727="SLM",($AE727-'FA Addition'!$M727)*'FA Addition'!$P727*AG727/365,IFERROR(VDB(AE727,AE727*0.05,'FA Addition'!$O727,0,YEARFRAC('FA Addition'!$C727,$P$1-1,3),'FA Addition'!$Q727),FAAddition[[#This Row],[Original Cost (Rs)]]-FAAddition[[#This Row],[Salvage Value]])),0),0)</f>
        <v>0</v>
      </c>
      <c r="AM727" s="119"/>
      <c r="AN727" s="117">
        <f>MAX(IF(AH727&gt;0,IF('FA Addition'!$N727="SLM",($AF727-'FA Addition'!$M727)*'FA Addition'!$P727*AH727/365,IFERROR(VDB(AF727,AF727*0.05,'FA Addition'!$O727,0,YEARFRAC('FA Addition'!$C727,$L$1,3),'FA Addition'!$Q727),FAAddition[[#This Row],[Original Cost (Rs)]]-FAAddition[[#This Row],[Salvage Value]])),0),0)</f>
        <v>143070</v>
      </c>
      <c r="AO727" s="117">
        <f t="shared" si="58"/>
        <v>143070</v>
      </c>
      <c r="AQ727" s="117">
        <f t="shared" si="56"/>
        <v>0</v>
      </c>
      <c r="AR727" s="120">
        <f t="shared" si="57"/>
        <v>513930</v>
      </c>
      <c r="AS727" s="121"/>
    </row>
    <row r="728" spans="1:45" ht="13.5" x14ac:dyDescent="0.4">
      <c r="A728" s="12">
        <f t="shared" si="59"/>
        <v>725</v>
      </c>
      <c r="B728" s="64" t="s">
        <v>1308</v>
      </c>
      <c r="C728" s="54">
        <v>45132</v>
      </c>
      <c r="D728" s="54">
        <v>45132</v>
      </c>
      <c r="E728" s="46" t="s">
        <v>1389</v>
      </c>
      <c r="F728" s="51" t="s">
        <v>1112</v>
      </c>
      <c r="G728" s="51" t="s">
        <v>34</v>
      </c>
      <c r="H728" s="51" t="s">
        <v>1113</v>
      </c>
      <c r="I728" s="55" t="s">
        <v>1462</v>
      </c>
      <c r="J728" s="56">
        <v>120</v>
      </c>
      <c r="K728" s="51" t="s">
        <v>1115</v>
      </c>
      <c r="L728" s="58">
        <v>104400</v>
      </c>
      <c r="M728" s="50">
        <f>ROUND('FA Addition'!$L728*5%,0.1)</f>
        <v>5220</v>
      </c>
      <c r="N728" s="113" t="str">
        <f>_xlfn.XLOOKUP(_xlfn.CONCAT(E728,B728),'Year Wise Master Dep Approach'!F:F,'Year Wise Master Dep Approach'!D:D)</f>
        <v>SLM</v>
      </c>
      <c r="O728" s="113">
        <f>_xlfn.XLOOKUP(_xlfn.CONCAT(E728,B728),'Year Wise Master Dep Approach'!F:F,'Year Wise Master Dep Approach'!E:E)</f>
        <v>3</v>
      </c>
      <c r="P728" s="114">
        <f>IFERROR(IF('FA Addition'!$N728="WDV",1-('FA Addition'!$M728/'FA Addition'!$L728)^(1/'FA Addition'!$O728),1/'FA Addition'!$O728),0)</f>
        <v>0.33333333333333331</v>
      </c>
      <c r="Q728" s="122">
        <f>'FA Addition'!$P728*'FA Addition'!$O728</f>
        <v>1</v>
      </c>
      <c r="R728" s="122"/>
      <c r="S728" s="116">
        <f>IF(AND(DATE(20&amp;LEFT(FAAddition[[#This Row],[FY]],2),4,1)&lt;$L$1+1,DATE(20&amp;LEFT(FAAddition[[#This Row],[FY]],2),4,1)&gt;$P$1-1),'FA Addition'!$J728,0)</f>
        <v>120</v>
      </c>
      <c r="U728" s="117">
        <f>S728*'FA Addition'!$L728/'FA Addition'!$J728</f>
        <v>104400</v>
      </c>
      <c r="W728" s="116">
        <f>SUMIFS('FA Write off'!D:D,'FA Write off'!A:A,'FA Addition'!$A728,'FA Write off'!C:C,"&lt;"&amp;'FA Addition'!$P$1)</f>
        <v>0</v>
      </c>
      <c r="Y728" s="191">
        <f>IFERROR(W728/'FA Addition'!$J728*'FA Addition'!$L728,0)</f>
        <v>0</v>
      </c>
      <c r="AA728" s="116">
        <f>SUMIFS('FA Write off'!D:D,'FA Write off'!A:A,'FA Addition'!$A728,'FA Write off'!C:C,"&lt;"&amp;'FA Addition'!$L$1+1,'FA Write off'!C:C,"&gt;"&amp;'FA Addition'!$L$1-365)</f>
        <v>0</v>
      </c>
      <c r="AC728" s="118">
        <f>IFERROR(AA728/'FA Addition'!$J728*'FA Addition'!$L728,0)</f>
        <v>0</v>
      </c>
      <c r="AE728" s="117">
        <f>IF(AND('FA Addition'!$D728&lt;$P$1+1,U728=0),'FA Addition'!$L728,0)-Y728</f>
        <v>0</v>
      </c>
      <c r="AF728" s="117">
        <f t="shared" si="55"/>
        <v>104400</v>
      </c>
      <c r="AG728" s="117">
        <f>MIN(MAX(+$P$1-'FA Addition'!$D728,0),365*'FA Addition'!$O728)</f>
        <v>0</v>
      </c>
      <c r="AH728" s="117">
        <f>MIN(MAX($L$1-'FA Addition'!$D728+1,0),365*'FA Addition'!$O728)</f>
        <v>251</v>
      </c>
      <c r="AI728" s="117" cm="1">
        <f t="array" ref="AI728">_xlfn.XLOOKUP(1,('FA Write off'!A:A='FA Addition'!$A728)*('FA Write off'!D:D=AA728),'FA Write off'!H:H,0,0)</f>
        <v>0</v>
      </c>
      <c r="AJ728" s="117">
        <f>IF(AC728&gt;0,MAX(IF('FA Addition'!$N728="SLM",($AC728-'FA Addition'!$M728)*'FA Addition'!$P728*AI728/365,(AC728-'FA Addition'!$M728)*(1-(1-'FA Addition'!$P728)^(AI728/365))),0),0)</f>
        <v>0</v>
      </c>
      <c r="AL728" s="117">
        <f>MAX(IF(AG728&gt;0,IF('FA Addition'!$N728="SLM",($AE728-'FA Addition'!$M728)*'FA Addition'!$P728*AG728/365,IFERROR(VDB(AE728,AE728*0.05,'FA Addition'!$O728,0,YEARFRAC('FA Addition'!$C728,$P$1-1,3),'FA Addition'!$Q728),FAAddition[[#This Row],[Original Cost (Rs)]]-FAAddition[[#This Row],[Salvage Value]])),0),0)</f>
        <v>0</v>
      </c>
      <c r="AM728" s="119"/>
      <c r="AN728" s="117">
        <f>MAX(IF(AH728&gt;0,IF('FA Addition'!$N728="SLM",($AF728-'FA Addition'!$M728)*'FA Addition'!$P728*AH728/365,IFERROR(VDB(AF728,AF728*0.05,'FA Addition'!$O728,0,YEARFRAC('FA Addition'!$C728,$L$1,3),'FA Addition'!$Q728),FAAddition[[#This Row],[Original Cost (Rs)]]-FAAddition[[#This Row],[Salvage Value]])),0),0)</f>
        <v>22734.410958904111</v>
      </c>
      <c r="AO728" s="117">
        <f t="shared" si="58"/>
        <v>22734.410958904111</v>
      </c>
      <c r="AQ728" s="117">
        <f t="shared" si="56"/>
        <v>0</v>
      </c>
      <c r="AR728" s="120">
        <f t="shared" si="57"/>
        <v>81665.589041095896</v>
      </c>
      <c r="AS728" s="121"/>
    </row>
    <row r="729" spans="1:45" ht="13.5" x14ac:dyDescent="0.4">
      <c r="A729" s="12">
        <f t="shared" si="59"/>
        <v>726</v>
      </c>
      <c r="B729" s="64" t="s">
        <v>1308</v>
      </c>
      <c r="C729" s="54">
        <v>45132</v>
      </c>
      <c r="D729" s="54">
        <v>45132</v>
      </c>
      <c r="E729" s="46" t="s">
        <v>451</v>
      </c>
      <c r="F729" s="51" t="s">
        <v>19</v>
      </c>
      <c r="G729" s="51" t="s">
        <v>1134</v>
      </c>
      <c r="H729" s="51" t="s">
        <v>21</v>
      </c>
      <c r="I729" s="55" t="s">
        <v>1463</v>
      </c>
      <c r="J729" s="56">
        <v>1</v>
      </c>
      <c r="K729" s="51" t="s">
        <v>1464</v>
      </c>
      <c r="L729" s="58">
        <v>29470.34</v>
      </c>
      <c r="M729" s="50">
        <f>ROUND('FA Addition'!$L729*5%,0.1)</f>
        <v>1474</v>
      </c>
      <c r="N729" s="113" t="str">
        <f>_xlfn.XLOOKUP(_xlfn.CONCAT(E729,B729),'Year Wise Master Dep Approach'!F:F,'Year Wise Master Dep Approach'!D:D)</f>
        <v>WDV</v>
      </c>
      <c r="O729" s="113">
        <f>_xlfn.XLOOKUP(_xlfn.CONCAT(E729,B729),'Year Wise Master Dep Approach'!F:F,'Year Wise Master Dep Approach'!E:E)</f>
        <v>3</v>
      </c>
      <c r="P729" s="114">
        <f>IFERROR(IF('FA Addition'!$N729="WDV",1-('FA Addition'!$M729/'FA Addition'!$L729)^(1/'FA Addition'!$O729),1/'FA Addition'!$O729),0)</f>
        <v>0.631556601921901</v>
      </c>
      <c r="Q729" s="122">
        <f>'FA Addition'!$P729*'FA Addition'!$O729</f>
        <v>1.894669805765703</v>
      </c>
      <c r="R729" s="122"/>
      <c r="S729" s="116">
        <f>IF(AND(DATE(20&amp;LEFT(FAAddition[[#This Row],[FY]],2),4,1)&lt;$L$1+1,DATE(20&amp;LEFT(FAAddition[[#This Row],[FY]],2),4,1)&gt;$P$1-1),'FA Addition'!$J729,0)</f>
        <v>1</v>
      </c>
      <c r="U729" s="117">
        <f>S729*'FA Addition'!$L729/'FA Addition'!$J729</f>
        <v>29470.34</v>
      </c>
      <c r="W729" s="116">
        <f>SUMIFS('FA Write off'!D:D,'FA Write off'!A:A,'FA Addition'!$A729,'FA Write off'!C:C,"&lt;"&amp;'FA Addition'!$P$1)</f>
        <v>0</v>
      </c>
      <c r="Y729" s="191">
        <f>IFERROR(W729/'FA Addition'!$J729*'FA Addition'!$L729,0)</f>
        <v>0</v>
      </c>
      <c r="AA729" s="116">
        <f>SUMIFS('FA Write off'!D:D,'FA Write off'!A:A,'FA Addition'!$A729,'FA Write off'!C:C,"&lt;"&amp;'FA Addition'!$L$1+1,'FA Write off'!C:C,"&gt;"&amp;'FA Addition'!$L$1-365)</f>
        <v>0</v>
      </c>
      <c r="AC729" s="118">
        <f>IFERROR(AA729/'FA Addition'!$J729*'FA Addition'!$L729,0)</f>
        <v>0</v>
      </c>
      <c r="AE729" s="117">
        <f>IF(AND('FA Addition'!$D729&lt;$P$1+1,U729=0),'FA Addition'!$L729,0)-Y729</f>
        <v>0</v>
      </c>
      <c r="AF729" s="117">
        <f t="shared" si="55"/>
        <v>29470.34</v>
      </c>
      <c r="AG729" s="117">
        <f>MIN(MAX(+$P$1-'FA Addition'!$D729,0),365*'FA Addition'!$O729)</f>
        <v>0</v>
      </c>
      <c r="AH729" s="117">
        <f>MIN(MAX($L$1-'FA Addition'!$D729+1,0),365*'FA Addition'!$O729)</f>
        <v>251</v>
      </c>
      <c r="AI729" s="117" cm="1">
        <f t="array" ref="AI729">_xlfn.XLOOKUP(1,('FA Write off'!A:A='FA Addition'!$A729)*('FA Write off'!D:D=AA729),'FA Write off'!H:H,0,0)</f>
        <v>0</v>
      </c>
      <c r="AJ729" s="117">
        <f>IF(AC729&gt;0,MAX(IF('FA Addition'!$N729="SLM",($AC729-'FA Addition'!$M729)*'FA Addition'!$P729*AI729/365,(AC729-'FA Addition'!$M729)*(1-(1-'FA Addition'!$P729)^(AI729/365))),0),0)</f>
        <v>0</v>
      </c>
      <c r="AL729" s="117">
        <f>MAX(IF(AG729&gt;0,IF('FA Addition'!$N729="SLM",($AE729-'FA Addition'!$M729)*'FA Addition'!$P729*AG729/365,IFERROR(VDB(AE729,AE729*0.05,'FA Addition'!$O729,0,YEARFRAC('FA Addition'!$C729,$P$1-1,3),'FA Addition'!$Q729),FAAddition[[#This Row],[Original Cost (Rs)]]-FAAddition[[#This Row],[Salvage Value]])),0),0)</f>
        <v>0</v>
      </c>
      <c r="AM729" s="119"/>
      <c r="AN729" s="117">
        <f>MAX(IF(AH729&gt;0,IF('FA Addition'!$N729="SLM",($AF729-'FA Addition'!$M729)*'FA Addition'!$P729*AH729/365,IFERROR(VDB(AF729,AF729*0.05,'FA Addition'!$O729,0,YEARFRAC('FA Addition'!$C729,$L$1,3),'FA Addition'!$Q729),FAAddition[[#This Row],[Original Cost (Rs)]]-FAAddition[[#This Row],[Salvage Value]])),0),0)</f>
        <v>12748.073827317174</v>
      </c>
      <c r="AO729" s="117">
        <f t="shared" si="58"/>
        <v>12748.073827317174</v>
      </c>
      <c r="AQ729" s="117">
        <f t="shared" si="56"/>
        <v>0</v>
      </c>
      <c r="AR729" s="120">
        <f t="shared" si="57"/>
        <v>16722.266172682826</v>
      </c>
      <c r="AS729" s="121"/>
    </row>
    <row r="730" spans="1:45" ht="13.5" x14ac:dyDescent="0.4">
      <c r="A730" s="12">
        <f t="shared" si="59"/>
        <v>727</v>
      </c>
      <c r="B730" s="64" t="s">
        <v>1308</v>
      </c>
      <c r="C730" s="54">
        <v>45132</v>
      </c>
      <c r="D730" s="54">
        <v>45132</v>
      </c>
      <c r="E730" s="46" t="s">
        <v>451</v>
      </c>
      <c r="F730" s="51" t="s">
        <v>19</v>
      </c>
      <c r="G730" s="51" t="s">
        <v>1134</v>
      </c>
      <c r="H730" s="51" t="s">
        <v>21</v>
      </c>
      <c r="I730" s="55" t="s">
        <v>1463</v>
      </c>
      <c r="J730" s="56">
        <v>1</v>
      </c>
      <c r="K730" s="51" t="s">
        <v>1464</v>
      </c>
      <c r="L730" s="58">
        <v>29470.34</v>
      </c>
      <c r="M730" s="50">
        <f>ROUND('FA Addition'!$L730*5%,0.1)</f>
        <v>1474</v>
      </c>
      <c r="N730" s="113" t="str">
        <f>_xlfn.XLOOKUP(_xlfn.CONCAT(E730,B730),'Year Wise Master Dep Approach'!F:F,'Year Wise Master Dep Approach'!D:D)</f>
        <v>WDV</v>
      </c>
      <c r="O730" s="113">
        <f>_xlfn.XLOOKUP(_xlfn.CONCAT(E730,B730),'Year Wise Master Dep Approach'!F:F,'Year Wise Master Dep Approach'!E:E)</f>
        <v>3</v>
      </c>
      <c r="P730" s="114">
        <f>IFERROR(IF('FA Addition'!$N730="WDV",1-('FA Addition'!$M730/'FA Addition'!$L730)^(1/'FA Addition'!$O730),1/'FA Addition'!$O730),0)</f>
        <v>0.631556601921901</v>
      </c>
      <c r="Q730" s="122">
        <f>'FA Addition'!$P730*'FA Addition'!$O730</f>
        <v>1.894669805765703</v>
      </c>
      <c r="R730" s="122"/>
      <c r="S730" s="116">
        <f>IF(AND(DATE(20&amp;LEFT(FAAddition[[#This Row],[FY]],2),4,1)&lt;$L$1+1,DATE(20&amp;LEFT(FAAddition[[#This Row],[FY]],2),4,1)&gt;$P$1-1),'FA Addition'!$J730,0)</f>
        <v>1</v>
      </c>
      <c r="U730" s="117">
        <f>S730*'FA Addition'!$L730/'FA Addition'!$J730</f>
        <v>29470.34</v>
      </c>
      <c r="W730" s="116">
        <f>SUMIFS('FA Write off'!D:D,'FA Write off'!A:A,'FA Addition'!$A730,'FA Write off'!C:C,"&lt;"&amp;'FA Addition'!$P$1)</f>
        <v>0</v>
      </c>
      <c r="Y730" s="191">
        <f>IFERROR(W730/'FA Addition'!$J730*'FA Addition'!$L730,0)</f>
        <v>0</v>
      </c>
      <c r="AA730" s="116">
        <f>SUMIFS('FA Write off'!D:D,'FA Write off'!A:A,'FA Addition'!$A730,'FA Write off'!C:C,"&lt;"&amp;'FA Addition'!$L$1+1,'FA Write off'!C:C,"&gt;"&amp;'FA Addition'!$L$1-365)</f>
        <v>0</v>
      </c>
      <c r="AC730" s="118">
        <f>IFERROR(AA730/'FA Addition'!$J730*'FA Addition'!$L730,0)</f>
        <v>0</v>
      </c>
      <c r="AE730" s="117">
        <f>IF(AND('FA Addition'!$D730&lt;$P$1+1,U730=0),'FA Addition'!$L730,0)-Y730</f>
        <v>0</v>
      </c>
      <c r="AF730" s="117">
        <f t="shared" si="55"/>
        <v>29470.34</v>
      </c>
      <c r="AG730" s="117">
        <f>MIN(MAX(+$P$1-'FA Addition'!$D730,0),365*'FA Addition'!$O730)</f>
        <v>0</v>
      </c>
      <c r="AH730" s="117">
        <f>MIN(MAX($L$1-'FA Addition'!$D730+1,0),365*'FA Addition'!$O730)</f>
        <v>251</v>
      </c>
      <c r="AI730" s="117" cm="1">
        <f t="array" ref="AI730">_xlfn.XLOOKUP(1,('FA Write off'!A:A='FA Addition'!$A730)*('FA Write off'!D:D=AA730),'FA Write off'!H:H,0,0)</f>
        <v>0</v>
      </c>
      <c r="AJ730" s="117">
        <f>IF(AC730&gt;0,MAX(IF('FA Addition'!$N730="SLM",($AC730-'FA Addition'!$M730)*'FA Addition'!$P730*AI730/365,(AC730-'FA Addition'!$M730)*(1-(1-'FA Addition'!$P730)^(AI730/365))),0),0)</f>
        <v>0</v>
      </c>
      <c r="AL730" s="117">
        <f>MAX(IF(AG730&gt;0,IF('FA Addition'!$N730="SLM",($AE730-'FA Addition'!$M730)*'FA Addition'!$P730*AG730/365,IFERROR(VDB(AE730,AE730*0.05,'FA Addition'!$O730,0,YEARFRAC('FA Addition'!$C730,$P$1-1,3),'FA Addition'!$Q730),FAAddition[[#This Row],[Original Cost (Rs)]]-FAAddition[[#This Row],[Salvage Value]])),0),0)</f>
        <v>0</v>
      </c>
      <c r="AM730" s="119"/>
      <c r="AN730" s="117">
        <f>MAX(IF(AH730&gt;0,IF('FA Addition'!$N730="SLM",($AF730-'FA Addition'!$M730)*'FA Addition'!$P730*AH730/365,IFERROR(VDB(AF730,AF730*0.05,'FA Addition'!$O730,0,YEARFRAC('FA Addition'!$C730,$L$1,3),'FA Addition'!$Q730),FAAddition[[#This Row],[Original Cost (Rs)]]-FAAddition[[#This Row],[Salvage Value]])),0),0)</f>
        <v>12748.073827317174</v>
      </c>
      <c r="AO730" s="117">
        <f t="shared" si="58"/>
        <v>12748.073827317174</v>
      </c>
      <c r="AQ730" s="117">
        <f t="shared" si="56"/>
        <v>0</v>
      </c>
      <c r="AR730" s="120">
        <f t="shared" si="57"/>
        <v>16722.266172682826</v>
      </c>
      <c r="AS730" s="121"/>
    </row>
    <row r="731" spans="1:45" ht="13.5" x14ac:dyDescent="0.4">
      <c r="A731" s="12">
        <f t="shared" si="59"/>
        <v>728</v>
      </c>
      <c r="B731" s="64" t="s">
        <v>1308</v>
      </c>
      <c r="C731" s="54">
        <v>45132</v>
      </c>
      <c r="D731" s="54">
        <v>45132</v>
      </c>
      <c r="E731" s="46" t="s">
        <v>451</v>
      </c>
      <c r="F731" s="51" t="s">
        <v>19</v>
      </c>
      <c r="G731" s="51" t="s">
        <v>1442</v>
      </c>
      <c r="H731" s="51" t="s">
        <v>21</v>
      </c>
      <c r="I731" s="55" t="s">
        <v>1465</v>
      </c>
      <c r="J731" s="56">
        <v>1</v>
      </c>
      <c r="K731" s="51" t="s">
        <v>1466</v>
      </c>
      <c r="L731" s="58">
        <v>30500</v>
      </c>
      <c r="M731" s="50">
        <f>ROUND('FA Addition'!$L731*5%,0.1)</f>
        <v>1525</v>
      </c>
      <c r="N731" s="113" t="str">
        <f>_xlfn.XLOOKUP(_xlfn.CONCAT(E731,B731),'Year Wise Master Dep Approach'!F:F,'Year Wise Master Dep Approach'!D:D)</f>
        <v>WDV</v>
      </c>
      <c r="O731" s="113">
        <f>_xlfn.XLOOKUP(_xlfn.CONCAT(E731,B731),'Year Wise Master Dep Approach'!F:F,'Year Wise Master Dep Approach'!E:E)</f>
        <v>3</v>
      </c>
      <c r="P731" s="114">
        <f>IFERROR(IF('FA Addition'!$N731="WDV",1-('FA Addition'!$M731/'FA Addition'!$L731)^(1/'FA Addition'!$O731),1/'FA Addition'!$O731),0)</f>
        <v>0.63159685013596123</v>
      </c>
      <c r="Q731" s="122">
        <f>'FA Addition'!$P731*'FA Addition'!$O731</f>
        <v>1.8947905504078837</v>
      </c>
      <c r="R731" s="122"/>
      <c r="S731" s="116">
        <f>IF(AND(DATE(20&amp;LEFT(FAAddition[[#This Row],[FY]],2),4,1)&lt;$L$1+1,DATE(20&amp;LEFT(FAAddition[[#This Row],[FY]],2),4,1)&gt;$P$1-1),'FA Addition'!$J731,0)</f>
        <v>1</v>
      </c>
      <c r="U731" s="117">
        <f>S731*'FA Addition'!$L731/'FA Addition'!$J731</f>
        <v>30500</v>
      </c>
      <c r="W731" s="116">
        <f>SUMIFS('FA Write off'!D:D,'FA Write off'!A:A,'FA Addition'!$A731,'FA Write off'!C:C,"&lt;"&amp;'FA Addition'!$P$1)</f>
        <v>0</v>
      </c>
      <c r="Y731" s="191">
        <f>IFERROR(W731/'FA Addition'!$J731*'FA Addition'!$L731,0)</f>
        <v>0</v>
      </c>
      <c r="AA731" s="116">
        <f>SUMIFS('FA Write off'!D:D,'FA Write off'!A:A,'FA Addition'!$A731,'FA Write off'!C:C,"&lt;"&amp;'FA Addition'!$L$1+1,'FA Write off'!C:C,"&gt;"&amp;'FA Addition'!$L$1-365)</f>
        <v>0</v>
      </c>
      <c r="AC731" s="118">
        <f>IFERROR(AA731/'FA Addition'!$J731*'FA Addition'!$L731,0)</f>
        <v>0</v>
      </c>
      <c r="AE731" s="117">
        <f>IF(AND('FA Addition'!$D731&lt;$P$1+1,U731=0),'FA Addition'!$L731,0)-Y731</f>
        <v>0</v>
      </c>
      <c r="AF731" s="117">
        <f t="shared" si="55"/>
        <v>30500</v>
      </c>
      <c r="AG731" s="117">
        <f>MIN(MAX(+$P$1-'FA Addition'!$D731,0),365*'FA Addition'!$O731)</f>
        <v>0</v>
      </c>
      <c r="AH731" s="117">
        <f>MIN(MAX($L$1-'FA Addition'!$D731+1,0),365*'FA Addition'!$O731)</f>
        <v>251</v>
      </c>
      <c r="AI731" s="117" cm="1">
        <f t="array" ref="AI731">_xlfn.XLOOKUP(1,('FA Write off'!A:A='FA Addition'!$A731)*('FA Write off'!D:D=AA731),'FA Write off'!H:H,0,0)</f>
        <v>0</v>
      </c>
      <c r="AJ731" s="117">
        <f>IF(AC731&gt;0,MAX(IF('FA Addition'!$N731="SLM",($AC731-'FA Addition'!$M731)*'FA Addition'!$P731*AI731/365,(AC731-'FA Addition'!$M731)*(1-(1-'FA Addition'!$P731)^(AI731/365))),0),0)</f>
        <v>0</v>
      </c>
      <c r="AL731" s="117">
        <f>MAX(IF(AG731&gt;0,IF('FA Addition'!$N731="SLM",($AE731-'FA Addition'!$M731)*'FA Addition'!$P731*AG731/365,IFERROR(VDB(AE731,AE731*0.05,'FA Addition'!$O731,0,YEARFRAC('FA Addition'!$C731,$P$1-1,3),'FA Addition'!$Q731),FAAddition[[#This Row],[Original Cost (Rs)]]-FAAddition[[#This Row],[Salvage Value]])),0),0)</f>
        <v>0</v>
      </c>
      <c r="AM731" s="119"/>
      <c r="AN731" s="117">
        <f>MAX(IF(AH731&gt;0,IF('FA Addition'!$N731="SLM",($AF731-'FA Addition'!$M731)*'FA Addition'!$P731*AH731/365,IFERROR(VDB(AF731,AF731*0.05,'FA Addition'!$O731,0,YEARFRAC('FA Addition'!$C731,$L$1,3),'FA Addition'!$Q731),FAAddition[[#This Row],[Original Cost (Rs)]]-FAAddition[[#This Row],[Salvage Value]])),0),0)</f>
        <v>13194.3177596896</v>
      </c>
      <c r="AO731" s="117">
        <f t="shared" si="58"/>
        <v>13194.3177596896</v>
      </c>
      <c r="AQ731" s="117">
        <f t="shared" si="56"/>
        <v>0</v>
      </c>
      <c r="AR731" s="120">
        <f t="shared" si="57"/>
        <v>17305.682240310402</v>
      </c>
      <c r="AS731" s="121"/>
    </row>
    <row r="732" spans="1:45" ht="13.5" x14ac:dyDescent="0.4">
      <c r="A732" s="12">
        <f t="shared" si="59"/>
        <v>729</v>
      </c>
      <c r="B732" s="64" t="s">
        <v>1308</v>
      </c>
      <c r="C732" s="54">
        <v>45132</v>
      </c>
      <c r="D732" s="54">
        <v>45132</v>
      </c>
      <c r="E732" s="46" t="s">
        <v>207</v>
      </c>
      <c r="F732" s="51" t="s">
        <v>1372</v>
      </c>
      <c r="G732" s="51" t="s">
        <v>1432</v>
      </c>
      <c r="H732" s="51" t="s">
        <v>207</v>
      </c>
      <c r="I732" s="55" t="s">
        <v>1467</v>
      </c>
      <c r="J732" s="56">
        <v>1</v>
      </c>
      <c r="K732" s="51" t="s">
        <v>1468</v>
      </c>
      <c r="L732" s="58">
        <v>8897.4599999999991</v>
      </c>
      <c r="M732" s="50">
        <f>ROUND('FA Addition'!$L732*5%,0.1)</f>
        <v>445</v>
      </c>
      <c r="N732" s="113" t="str">
        <f>_xlfn.XLOOKUP(_xlfn.CONCAT(E732,B732),'Year Wise Master Dep Approach'!F:F,'Year Wise Master Dep Approach'!D:D)</f>
        <v>WDV</v>
      </c>
      <c r="O732" s="113">
        <f>_xlfn.XLOOKUP(_xlfn.CONCAT(E732,B732),'Year Wise Master Dep Approach'!F:F,'Year Wise Master Dep Approach'!E:E)</f>
        <v>5</v>
      </c>
      <c r="P732" s="114">
        <f>IFERROR(IF('FA Addition'!$N732="WDV",1-('FA Addition'!$M732/'FA Addition'!$L732)^(1/'FA Addition'!$O732),1/'FA Addition'!$O732),0)</f>
        <v>0.45068837079989388</v>
      </c>
      <c r="Q732" s="122">
        <f>'FA Addition'!$P732*'FA Addition'!$O732</f>
        <v>2.2534418539994694</v>
      </c>
      <c r="R732" s="122"/>
      <c r="S732" s="116">
        <f>IF(AND(DATE(20&amp;LEFT(FAAddition[[#This Row],[FY]],2),4,1)&lt;$L$1+1,DATE(20&amp;LEFT(FAAddition[[#This Row],[FY]],2),4,1)&gt;$P$1-1),'FA Addition'!$J732,0)</f>
        <v>1</v>
      </c>
      <c r="U732" s="117">
        <f>S732*'FA Addition'!$L732/'FA Addition'!$J732</f>
        <v>8897.4599999999991</v>
      </c>
      <c r="W732" s="116">
        <f>SUMIFS('FA Write off'!D:D,'FA Write off'!A:A,'FA Addition'!$A732,'FA Write off'!C:C,"&lt;"&amp;'FA Addition'!$P$1)</f>
        <v>0</v>
      </c>
      <c r="Y732" s="191">
        <f>IFERROR(W732/'FA Addition'!$J732*'FA Addition'!$L732,0)</f>
        <v>0</v>
      </c>
      <c r="AA732" s="116">
        <f>SUMIFS('FA Write off'!D:D,'FA Write off'!A:A,'FA Addition'!$A732,'FA Write off'!C:C,"&lt;"&amp;'FA Addition'!$L$1+1,'FA Write off'!C:C,"&gt;"&amp;'FA Addition'!$L$1-365)</f>
        <v>0</v>
      </c>
      <c r="AC732" s="118">
        <f>IFERROR(AA732/'FA Addition'!$J732*'FA Addition'!$L732,0)</f>
        <v>0</v>
      </c>
      <c r="AE732" s="117">
        <f>IF(AND('FA Addition'!$D732&lt;$P$1+1,U732=0),'FA Addition'!$L732,0)-Y732</f>
        <v>0</v>
      </c>
      <c r="AF732" s="117">
        <f t="shared" si="55"/>
        <v>8897.4599999999991</v>
      </c>
      <c r="AG732" s="117">
        <f>MIN(MAX(+$P$1-'FA Addition'!$D732,0),365*'FA Addition'!$O732)</f>
        <v>0</v>
      </c>
      <c r="AH732" s="117">
        <f>MIN(MAX($L$1-'FA Addition'!$D732+1,0),365*'FA Addition'!$O732)</f>
        <v>251</v>
      </c>
      <c r="AI732" s="117" cm="1">
        <f t="array" ref="AI732">_xlfn.XLOOKUP(1,('FA Write off'!A:A='FA Addition'!$A732)*('FA Write off'!D:D=AA732),'FA Write off'!H:H,0,0)</f>
        <v>0</v>
      </c>
      <c r="AJ732" s="117">
        <f>IF(AC732&gt;0,MAX(IF('FA Addition'!$N732="SLM",($AC732-'FA Addition'!$M732)*'FA Addition'!$P732*AI732/365,(AC732-'FA Addition'!$M732)*(1-(1-'FA Addition'!$P732)^(AI732/365))),0),0)</f>
        <v>0</v>
      </c>
      <c r="AL732" s="117">
        <f>MAX(IF(AG732&gt;0,IF('FA Addition'!$N732="SLM",($AE732-'FA Addition'!$M732)*'FA Addition'!$P732*AG732/365,IFERROR(VDB(AE732,AE732*0.05,'FA Addition'!$O732,0,YEARFRAC('FA Addition'!$C732,$P$1-1,3),'FA Addition'!$Q732),FAAddition[[#This Row],[Original Cost (Rs)]]-FAAddition[[#This Row],[Salvage Value]])),0),0)</f>
        <v>0</v>
      </c>
      <c r="AM732" s="119"/>
      <c r="AN732" s="117">
        <f>MAX(IF(AH732&gt;0,IF('FA Addition'!$N732="SLM",($AF732-'FA Addition'!$M732)*'FA Addition'!$P732*AH732/365,IFERROR(VDB(AF732,AF732*0.05,'FA Addition'!$O732,0,YEARFRAC('FA Addition'!$C732,$L$1,3),'FA Addition'!$Q732),FAAddition[[#This Row],[Original Cost (Rs)]]-FAAddition[[#This Row],[Salvage Value]])),0),0)</f>
        <v>2746.5628436008378</v>
      </c>
      <c r="AO732" s="117">
        <f t="shared" si="58"/>
        <v>2746.5628436008378</v>
      </c>
      <c r="AQ732" s="117">
        <f t="shared" si="56"/>
        <v>0</v>
      </c>
      <c r="AR732" s="120">
        <f t="shared" si="57"/>
        <v>6150.8971563991618</v>
      </c>
      <c r="AS732" s="121"/>
    </row>
    <row r="733" spans="1:45" ht="13.5" x14ac:dyDescent="0.4">
      <c r="A733" s="12">
        <f t="shared" si="59"/>
        <v>730</v>
      </c>
      <c r="B733" s="64" t="s">
        <v>1308</v>
      </c>
      <c r="C733" s="54">
        <v>45132</v>
      </c>
      <c r="D733" s="54">
        <v>45132</v>
      </c>
      <c r="E733" s="46" t="s">
        <v>207</v>
      </c>
      <c r="F733" s="51" t="s">
        <v>1372</v>
      </c>
      <c r="G733" s="51" t="s">
        <v>1419</v>
      </c>
      <c r="H733" s="51" t="s">
        <v>207</v>
      </c>
      <c r="I733" s="55" t="s">
        <v>1469</v>
      </c>
      <c r="J733" s="56">
        <v>1</v>
      </c>
      <c r="K733" s="51" t="s">
        <v>1470</v>
      </c>
      <c r="L733" s="58">
        <v>7202.54</v>
      </c>
      <c r="M733" s="50">
        <f>ROUND('FA Addition'!$L733*5%,0.1)</f>
        <v>360</v>
      </c>
      <c r="N733" s="113" t="str">
        <f>_xlfn.XLOOKUP(_xlfn.CONCAT(E733,B733),'Year Wise Master Dep Approach'!F:F,'Year Wise Master Dep Approach'!D:D)</f>
        <v>WDV</v>
      </c>
      <c r="O733" s="113">
        <f>_xlfn.XLOOKUP(_xlfn.CONCAT(E733,B733),'Year Wise Master Dep Approach'!F:F,'Year Wise Master Dep Approach'!E:E)</f>
        <v>5</v>
      </c>
      <c r="P733" s="114">
        <f>IFERROR(IF('FA Addition'!$N733="WDV",1-('FA Addition'!$M733/'FA Addition'!$L733)^(1/'FA Addition'!$O733),1/'FA Addition'!$O733),0)</f>
        <v>0.45075847492069088</v>
      </c>
      <c r="Q733" s="122">
        <f>'FA Addition'!$P733*'FA Addition'!$O733</f>
        <v>2.2537923746034543</v>
      </c>
      <c r="R733" s="122"/>
      <c r="S733" s="116">
        <f>IF(AND(DATE(20&amp;LEFT(FAAddition[[#This Row],[FY]],2),4,1)&lt;$L$1+1,DATE(20&amp;LEFT(FAAddition[[#This Row],[FY]],2),4,1)&gt;$P$1-1),'FA Addition'!$J733,0)</f>
        <v>1</v>
      </c>
      <c r="U733" s="117">
        <f>S733*'FA Addition'!$L733/'FA Addition'!$J733</f>
        <v>7202.54</v>
      </c>
      <c r="W733" s="116">
        <f>SUMIFS('FA Write off'!D:D,'FA Write off'!A:A,'FA Addition'!$A733,'FA Write off'!C:C,"&lt;"&amp;'FA Addition'!$P$1)</f>
        <v>0</v>
      </c>
      <c r="Y733" s="191">
        <f>IFERROR(W733/'FA Addition'!$J733*'FA Addition'!$L733,0)</f>
        <v>0</v>
      </c>
      <c r="AA733" s="116">
        <f>SUMIFS('FA Write off'!D:D,'FA Write off'!A:A,'FA Addition'!$A733,'FA Write off'!C:C,"&lt;"&amp;'FA Addition'!$L$1+1,'FA Write off'!C:C,"&gt;"&amp;'FA Addition'!$L$1-365)</f>
        <v>0</v>
      </c>
      <c r="AC733" s="118">
        <f>IFERROR(AA733/'FA Addition'!$J733*'FA Addition'!$L733,0)</f>
        <v>0</v>
      </c>
      <c r="AE733" s="117">
        <f>IF(AND('FA Addition'!$D733&lt;$P$1+1,U733=0),'FA Addition'!$L733,0)-Y733</f>
        <v>0</v>
      </c>
      <c r="AF733" s="117">
        <f t="shared" si="55"/>
        <v>7202.54</v>
      </c>
      <c r="AG733" s="117">
        <f>MIN(MAX(+$P$1-'FA Addition'!$D733,0),365*'FA Addition'!$O733)</f>
        <v>0</v>
      </c>
      <c r="AH733" s="117">
        <f>MIN(MAX($L$1-'FA Addition'!$D733+1,0),365*'FA Addition'!$O733)</f>
        <v>251</v>
      </c>
      <c r="AI733" s="117" cm="1">
        <f t="array" ref="AI733">_xlfn.XLOOKUP(1,('FA Write off'!A:A='FA Addition'!$A733)*('FA Write off'!D:D=AA733),'FA Write off'!H:H,0,0)</f>
        <v>0</v>
      </c>
      <c r="AJ733" s="117">
        <f>IF(AC733&gt;0,MAX(IF('FA Addition'!$N733="SLM",($AC733-'FA Addition'!$M733)*'FA Addition'!$P733*AI733/365,(AC733-'FA Addition'!$M733)*(1-(1-'FA Addition'!$P733)^(AI733/365))),0),0)</f>
        <v>0</v>
      </c>
      <c r="AL733" s="117">
        <f>MAX(IF(AG733&gt;0,IF('FA Addition'!$N733="SLM",($AE733-'FA Addition'!$M733)*'FA Addition'!$P733*AG733/365,IFERROR(VDB(AE733,AE733*0.05,'FA Addition'!$O733,0,YEARFRAC('FA Addition'!$C733,$P$1-1,3),'FA Addition'!$Q733),FAAddition[[#This Row],[Original Cost (Rs)]]-FAAddition[[#This Row],[Salvage Value]])),0),0)</f>
        <v>0</v>
      </c>
      <c r="AM733" s="119"/>
      <c r="AN733" s="117">
        <f>MAX(IF(AH733&gt;0,IF('FA Addition'!$N733="SLM",($AF733-'FA Addition'!$M733)*'FA Addition'!$P733*AH733/365,IFERROR(VDB(AF733,AF733*0.05,'FA Addition'!$O733,0,YEARFRAC('FA Addition'!$C733,$L$1,3),'FA Addition'!$Q733),FAAddition[[#This Row],[Original Cost (Rs)]]-FAAddition[[#This Row],[Salvage Value]])),0),0)</f>
        <v>2223.7027027090908</v>
      </c>
      <c r="AO733" s="117">
        <f t="shared" si="58"/>
        <v>2223.7027027090908</v>
      </c>
      <c r="AQ733" s="117">
        <f t="shared" si="56"/>
        <v>0</v>
      </c>
      <c r="AR733" s="120">
        <f t="shared" si="57"/>
        <v>4978.8372972909092</v>
      </c>
      <c r="AS733" s="121"/>
    </row>
    <row r="734" spans="1:45" ht="13.5" x14ac:dyDescent="0.4">
      <c r="A734" s="12">
        <f t="shared" si="59"/>
        <v>731</v>
      </c>
      <c r="B734" s="64" t="s">
        <v>1308</v>
      </c>
      <c r="C734" s="54">
        <v>45135</v>
      </c>
      <c r="D734" s="54">
        <v>45135</v>
      </c>
      <c r="E734" s="46" t="s">
        <v>32</v>
      </c>
      <c r="F734" s="51" t="s">
        <v>1090</v>
      </c>
      <c r="G734" s="51" t="s">
        <v>433</v>
      </c>
      <c r="H734" s="51" t="s">
        <v>32</v>
      </c>
      <c r="I734" s="55" t="s">
        <v>1471</v>
      </c>
      <c r="J734" s="56">
        <v>2000</v>
      </c>
      <c r="K734" s="51" t="s">
        <v>935</v>
      </c>
      <c r="L734" s="58">
        <v>2080000</v>
      </c>
      <c r="M734" s="50">
        <f>ROUND('FA Addition'!$L734*5%,0.1)</f>
        <v>104000</v>
      </c>
      <c r="N734" s="113" t="str">
        <f>_xlfn.XLOOKUP(_xlfn.CONCAT(E734,B734),'Year Wise Master Dep Approach'!F:F,'Year Wise Master Dep Approach'!D:D)</f>
        <v>SLM</v>
      </c>
      <c r="O734" s="113">
        <f>_xlfn.XLOOKUP(_xlfn.CONCAT(E734,B734),'Year Wise Master Dep Approach'!F:F,'Year Wise Master Dep Approach'!E:E)</f>
        <v>5</v>
      </c>
      <c r="P734" s="114">
        <f>IFERROR(IF('FA Addition'!$N734="WDV",1-('FA Addition'!$M734/'FA Addition'!$L734)^(1/'FA Addition'!$O734),1/'FA Addition'!$O734),0)</f>
        <v>0.2</v>
      </c>
      <c r="Q734" s="122">
        <f>'FA Addition'!$P734*'FA Addition'!$O734</f>
        <v>1</v>
      </c>
      <c r="R734" s="122"/>
      <c r="S734" s="116">
        <f>IF(AND(DATE(20&amp;LEFT(FAAddition[[#This Row],[FY]],2),4,1)&lt;$L$1+1,DATE(20&amp;LEFT(FAAddition[[#This Row],[FY]],2),4,1)&gt;$P$1-1),'FA Addition'!$J734,0)</f>
        <v>2000</v>
      </c>
      <c r="U734" s="117">
        <f>S734*'FA Addition'!$L734/'FA Addition'!$J734</f>
        <v>2080000</v>
      </c>
      <c r="W734" s="116">
        <f>SUMIFS('FA Write off'!D:D,'FA Write off'!A:A,'FA Addition'!$A734,'FA Write off'!C:C,"&lt;"&amp;'FA Addition'!$P$1)</f>
        <v>58</v>
      </c>
      <c r="Y734" s="191">
        <f>IFERROR(W734/'FA Addition'!$J734*'FA Addition'!$L734,0)</f>
        <v>60320</v>
      </c>
      <c r="AA734" s="116">
        <f>SUMIFS('FA Write off'!D:D,'FA Write off'!A:A,'FA Addition'!$A734,'FA Write off'!C:C,"&lt;"&amp;'FA Addition'!$L$1+1,'FA Write off'!C:C,"&gt;"&amp;'FA Addition'!$L$1-365)</f>
        <v>0</v>
      </c>
      <c r="AC734" s="118">
        <f>IFERROR(AA734/'FA Addition'!$J734*'FA Addition'!$L734,0)</f>
        <v>0</v>
      </c>
      <c r="AE734" s="117">
        <f>IF(AND('FA Addition'!$D734&lt;$P$1+1,U734=0),'FA Addition'!$L734,0)-Y734</f>
        <v>-60320</v>
      </c>
      <c r="AF734" s="117">
        <f t="shared" si="55"/>
        <v>2019680</v>
      </c>
      <c r="AG734" s="117">
        <f>MIN(MAX(+$P$1-'FA Addition'!$D734,0),365*'FA Addition'!$O734)</f>
        <v>0</v>
      </c>
      <c r="AH734" s="117">
        <f>MIN(MAX($L$1-'FA Addition'!$D734+1,0),365*'FA Addition'!$O734)</f>
        <v>248</v>
      </c>
      <c r="AI734" s="117" cm="1">
        <f t="array" ref="AI734">_xlfn.XLOOKUP(1,('FA Write off'!A:A='FA Addition'!$A734)*('FA Write off'!D:D=AA734),'FA Write off'!H:H,0,0)</f>
        <v>0</v>
      </c>
      <c r="AJ734" s="117">
        <f>IF(AC734&gt;0,MAX(IF('FA Addition'!$N734="SLM",($AC734-'FA Addition'!$M734)*'FA Addition'!$P734*AI734/365,(AC734-'FA Addition'!$M734)*(1-(1-'FA Addition'!$P734)^(AI734/365))),0),0)</f>
        <v>0</v>
      </c>
      <c r="AL734" s="117">
        <f>MAX(IF(AG734&gt;0,IF('FA Addition'!$N734="SLM",($AE734-'FA Addition'!$M734)*'FA Addition'!$P734*AG734/365,IFERROR(VDB(AE734,AE734*0.05,'FA Addition'!$O734,0,YEARFRAC('FA Addition'!$C734,$P$1-1,3),'FA Addition'!$Q734),FAAddition[[#This Row],[Original Cost (Rs)]]-FAAddition[[#This Row],[Salvage Value]])),0),0)</f>
        <v>0</v>
      </c>
      <c r="AM734" s="119"/>
      <c r="AN734" s="117">
        <f>MAX(IF(AH734&gt;0,IF('FA Addition'!$N734="SLM",($AF734-'FA Addition'!$M734)*'FA Addition'!$P734*AH734/365,IFERROR(VDB(AF734,AF734*0.05,'FA Addition'!$O734,0,YEARFRAC('FA Addition'!$C734,$L$1,3),'FA Addition'!$Q734),FAAddition[[#This Row],[Original Cost (Rs)]]-FAAddition[[#This Row],[Salvage Value]])),0),0)</f>
        <v>260322.54246575342</v>
      </c>
      <c r="AO734" s="117">
        <f t="shared" si="58"/>
        <v>260322.54246575342</v>
      </c>
      <c r="AQ734" s="117">
        <f t="shared" si="56"/>
        <v>-60320</v>
      </c>
      <c r="AR734" s="120">
        <f t="shared" si="57"/>
        <v>1759357.4575342466</v>
      </c>
      <c r="AS734" s="121"/>
    </row>
    <row r="735" spans="1:45" ht="13.5" x14ac:dyDescent="0.4">
      <c r="A735" s="12">
        <f t="shared" si="59"/>
        <v>732</v>
      </c>
      <c r="B735" s="64" t="s">
        <v>1308</v>
      </c>
      <c r="C735" s="54">
        <v>45138</v>
      </c>
      <c r="D735" s="54">
        <v>45138</v>
      </c>
      <c r="E735" s="46" t="s">
        <v>451</v>
      </c>
      <c r="F735" s="51" t="s">
        <v>19</v>
      </c>
      <c r="G735" s="51" t="s">
        <v>1472</v>
      </c>
      <c r="H735" s="51" t="s">
        <v>21</v>
      </c>
      <c r="I735" s="55" t="s">
        <v>1473</v>
      </c>
      <c r="J735" s="56">
        <v>1</v>
      </c>
      <c r="K735" s="51" t="s">
        <v>1474</v>
      </c>
      <c r="L735" s="58">
        <v>30168.639999999999</v>
      </c>
      <c r="M735" s="50">
        <f>ROUND('FA Addition'!$L735*5%,0.1)</f>
        <v>1508</v>
      </c>
      <c r="N735" s="113" t="str">
        <f>_xlfn.XLOOKUP(_xlfn.CONCAT(E735,B735),'Year Wise Master Dep Approach'!F:F,'Year Wise Master Dep Approach'!D:D)</f>
        <v>WDV</v>
      </c>
      <c r="O735" s="113">
        <f>_xlfn.XLOOKUP(_xlfn.CONCAT(E735,B735),'Year Wise Master Dep Approach'!F:F,'Year Wise Master Dep Approach'!E:E)</f>
        <v>3</v>
      </c>
      <c r="P735" s="114">
        <f>IFERROR(IF('FA Addition'!$N735="WDV",1-('FA Addition'!$M735/'FA Addition'!$L735)^(1/'FA Addition'!$O735),1/'FA Addition'!$O735),0)</f>
        <v>0.63163202249953032</v>
      </c>
      <c r="Q735" s="122">
        <f>'FA Addition'!$P735*'FA Addition'!$O735</f>
        <v>1.8948960674985909</v>
      </c>
      <c r="R735" s="122"/>
      <c r="S735" s="116">
        <f>IF(AND(DATE(20&amp;LEFT(FAAddition[[#This Row],[FY]],2),4,1)&lt;$L$1+1,DATE(20&amp;LEFT(FAAddition[[#This Row],[FY]],2),4,1)&gt;$P$1-1),'FA Addition'!$J735,0)</f>
        <v>1</v>
      </c>
      <c r="U735" s="117">
        <f>S735*'FA Addition'!$L735/'FA Addition'!$J735</f>
        <v>30168.639999999999</v>
      </c>
      <c r="W735" s="116">
        <f>SUMIFS('FA Write off'!D:D,'FA Write off'!A:A,'FA Addition'!$A735,'FA Write off'!C:C,"&lt;"&amp;'FA Addition'!$P$1)</f>
        <v>0</v>
      </c>
      <c r="Y735" s="191">
        <f>IFERROR(W735/'FA Addition'!$J735*'FA Addition'!$L735,0)</f>
        <v>0</v>
      </c>
      <c r="AA735" s="116">
        <f>SUMIFS('FA Write off'!D:D,'FA Write off'!A:A,'FA Addition'!$A735,'FA Write off'!C:C,"&lt;"&amp;'FA Addition'!$L$1+1,'FA Write off'!C:C,"&gt;"&amp;'FA Addition'!$L$1-365)</f>
        <v>0</v>
      </c>
      <c r="AC735" s="118">
        <f>IFERROR(AA735/'FA Addition'!$J735*'FA Addition'!$L735,0)</f>
        <v>0</v>
      </c>
      <c r="AE735" s="117">
        <f>IF(AND('FA Addition'!$D735&lt;$P$1+1,U735=0),'FA Addition'!$L735,0)-Y735</f>
        <v>0</v>
      </c>
      <c r="AF735" s="117">
        <f t="shared" si="55"/>
        <v>30168.639999999999</v>
      </c>
      <c r="AG735" s="117">
        <f>MIN(MAX(+$P$1-'FA Addition'!$D735,0),365*'FA Addition'!$O735)</f>
        <v>0</v>
      </c>
      <c r="AH735" s="117">
        <f>MIN(MAX($L$1-'FA Addition'!$D735+1,0),365*'FA Addition'!$O735)</f>
        <v>245</v>
      </c>
      <c r="AI735" s="117" cm="1">
        <f t="array" ref="AI735">_xlfn.XLOOKUP(1,('FA Write off'!A:A='FA Addition'!$A735)*('FA Write off'!D:D=AA735),'FA Write off'!H:H,0,0)</f>
        <v>0</v>
      </c>
      <c r="AJ735" s="117">
        <f>IF(AC735&gt;0,MAX(IF('FA Addition'!$N735="SLM",($AC735-'FA Addition'!$M735)*'FA Addition'!$P735*AI735/365,(AC735-'FA Addition'!$M735)*(1-(1-'FA Addition'!$P735)^(AI735/365))),0),0)</f>
        <v>0</v>
      </c>
      <c r="AL735" s="117">
        <f>MAX(IF(AG735&gt;0,IF('FA Addition'!$N735="SLM",($AE735-'FA Addition'!$M735)*'FA Addition'!$P735*AG735/365,IFERROR(VDB(AE735,AE735*0.05,'FA Addition'!$O735,0,YEARFRAC('FA Addition'!$C735,$P$1-1,3),'FA Addition'!$Q735),FAAddition[[#This Row],[Original Cost (Rs)]]-FAAddition[[#This Row],[Salvage Value]])),0),0)</f>
        <v>0</v>
      </c>
      <c r="AM735" s="119"/>
      <c r="AN735" s="117">
        <f>MAX(IF(AH735&gt;0,IF('FA Addition'!$N735="SLM",($AF735-'FA Addition'!$M735)*'FA Addition'!$P735*AH735/365,IFERROR(VDB(AF735,AF735*0.05,'FA Addition'!$O735,0,YEARFRAC('FA Addition'!$C735,$L$1,3),'FA Addition'!$Q735),FAAddition[[#This Row],[Original Cost (Rs)]]-FAAddition[[#This Row],[Salvage Value]])),0),0)</f>
        <v>12738.457260875331</v>
      </c>
      <c r="AO735" s="117">
        <f t="shared" si="58"/>
        <v>12738.457260875331</v>
      </c>
      <c r="AQ735" s="117">
        <f t="shared" si="56"/>
        <v>0</v>
      </c>
      <c r="AR735" s="120">
        <f t="shared" si="57"/>
        <v>17430.18273912467</v>
      </c>
      <c r="AS735" s="121"/>
    </row>
    <row r="736" spans="1:45" ht="13.5" x14ac:dyDescent="0.4">
      <c r="A736" s="12">
        <f t="shared" si="59"/>
        <v>733</v>
      </c>
      <c r="B736" s="64" t="s">
        <v>1308</v>
      </c>
      <c r="C736" s="54">
        <v>45139</v>
      </c>
      <c r="D736" s="54">
        <v>45139</v>
      </c>
      <c r="E736" s="46" t="s">
        <v>1320</v>
      </c>
      <c r="F736" s="51" t="s">
        <v>33</v>
      </c>
      <c r="G736" s="51" t="s">
        <v>1475</v>
      </c>
      <c r="H736" s="51" t="s">
        <v>32</v>
      </c>
      <c r="I736" s="55" t="s">
        <v>1476</v>
      </c>
      <c r="J736" s="56">
        <v>1000</v>
      </c>
      <c r="K736" s="51" t="s">
        <v>1477</v>
      </c>
      <c r="L736" s="58">
        <v>650000</v>
      </c>
      <c r="M736" s="50">
        <f>ROUND('FA Addition'!$L736*5%,0.1)</f>
        <v>32500</v>
      </c>
      <c r="N736" s="113" t="str">
        <f>_xlfn.XLOOKUP(_xlfn.CONCAT(E736,B736),'Year Wise Master Dep Approach'!F:F,'Year Wise Master Dep Approach'!D:D)</f>
        <v>SLM</v>
      </c>
      <c r="O736" s="113">
        <f>_xlfn.XLOOKUP(_xlfn.CONCAT(E736,B736),'Year Wise Master Dep Approach'!F:F,'Year Wise Master Dep Approach'!E:E)</f>
        <v>5</v>
      </c>
      <c r="P736" s="114">
        <f>IFERROR(IF('FA Addition'!$N736="WDV",1-('FA Addition'!$M736/'FA Addition'!$L736)^(1/'FA Addition'!$O736),1/'FA Addition'!$O736),0)</f>
        <v>0.2</v>
      </c>
      <c r="Q736" s="122">
        <f>'FA Addition'!$P736*'FA Addition'!$O736</f>
        <v>1</v>
      </c>
      <c r="R736" s="122"/>
      <c r="S736" s="116">
        <f>IF(AND(DATE(20&amp;LEFT(FAAddition[[#This Row],[FY]],2),4,1)&lt;$L$1+1,DATE(20&amp;LEFT(FAAddition[[#This Row],[FY]],2),4,1)&gt;$P$1-1),'FA Addition'!$J736,0)</f>
        <v>1000</v>
      </c>
      <c r="U736" s="117">
        <f>S736*'FA Addition'!$L736/'FA Addition'!$J736</f>
        <v>650000</v>
      </c>
      <c r="W736" s="116">
        <f>SUMIFS('FA Write off'!D:D,'FA Write off'!A:A,'FA Addition'!$A736,'FA Write off'!C:C,"&lt;"&amp;'FA Addition'!$P$1)</f>
        <v>0</v>
      </c>
      <c r="Y736" s="191">
        <f>IFERROR(W736/'FA Addition'!$J736*'FA Addition'!$L736,0)</f>
        <v>0</v>
      </c>
      <c r="AA736" s="116">
        <f>SUMIFS('FA Write off'!D:D,'FA Write off'!A:A,'FA Addition'!$A736,'FA Write off'!C:C,"&lt;"&amp;'FA Addition'!$L$1+1,'FA Write off'!C:C,"&gt;"&amp;'FA Addition'!$L$1-365)</f>
        <v>0</v>
      </c>
      <c r="AC736" s="118">
        <f>IFERROR(AA736/'FA Addition'!$J736*'FA Addition'!$L736,0)</f>
        <v>0</v>
      </c>
      <c r="AE736" s="117">
        <f>IF(AND('FA Addition'!$D736&lt;$P$1+1,U736=0),'FA Addition'!$L736,0)-Y736</f>
        <v>0</v>
      </c>
      <c r="AF736" s="117">
        <f t="shared" si="55"/>
        <v>650000</v>
      </c>
      <c r="AG736" s="117">
        <f>MIN(MAX(+$P$1-'FA Addition'!$D736,0),365*'FA Addition'!$O736)</f>
        <v>0</v>
      </c>
      <c r="AH736" s="117">
        <f>MIN(MAX($L$1-'FA Addition'!$D736+1,0),365*'FA Addition'!$O736)</f>
        <v>244</v>
      </c>
      <c r="AI736" s="117" cm="1">
        <f t="array" ref="AI736">_xlfn.XLOOKUP(1,('FA Write off'!A:A='FA Addition'!$A736)*('FA Write off'!D:D=AA736),'FA Write off'!H:H,0,0)</f>
        <v>0</v>
      </c>
      <c r="AJ736" s="117">
        <f>IF(AC736&gt;0,MAX(IF('FA Addition'!$N736="SLM",($AC736-'FA Addition'!$M736)*'FA Addition'!$P736*AI736/365,(AC736-'FA Addition'!$M736)*(1-(1-'FA Addition'!$P736)^(AI736/365))),0),0)</f>
        <v>0</v>
      </c>
      <c r="AL736" s="117">
        <f>MAX(IF(AG736&gt;0,IF('FA Addition'!$N736="SLM",($AE736-'FA Addition'!$M736)*'FA Addition'!$P736*AG736/365,IFERROR(VDB(AE736,AE736*0.05,'FA Addition'!$O736,0,YEARFRAC('FA Addition'!$C736,$P$1-1,3),'FA Addition'!$Q736),FAAddition[[#This Row],[Original Cost (Rs)]]-FAAddition[[#This Row],[Salvage Value]])),0),0)</f>
        <v>0</v>
      </c>
      <c r="AM736" s="119"/>
      <c r="AN736" s="117">
        <f>MAX(IF(AH736&gt;0,IF('FA Addition'!$N736="SLM",($AF736-'FA Addition'!$M736)*'FA Addition'!$P736*AH736/365,IFERROR(VDB(AF736,AF736*0.05,'FA Addition'!$O736,0,YEARFRAC('FA Addition'!$C736,$L$1,3),'FA Addition'!$Q736),FAAddition[[#This Row],[Original Cost (Rs)]]-FAAddition[[#This Row],[Salvage Value]])),0),0)</f>
        <v>82558.904109589042</v>
      </c>
      <c r="AO736" s="117">
        <f t="shared" si="58"/>
        <v>82558.904109589042</v>
      </c>
      <c r="AQ736" s="117">
        <f t="shared" si="56"/>
        <v>0</v>
      </c>
      <c r="AR736" s="120">
        <f t="shared" si="57"/>
        <v>567441.09589041094</v>
      </c>
      <c r="AS736" s="121"/>
    </row>
    <row r="737" spans="1:45" ht="13.5" x14ac:dyDescent="0.4">
      <c r="A737" s="12">
        <f t="shared" si="59"/>
        <v>734</v>
      </c>
      <c r="B737" s="64" t="s">
        <v>1308</v>
      </c>
      <c r="C737" s="54">
        <v>45139</v>
      </c>
      <c r="D737" s="54">
        <v>45139</v>
      </c>
      <c r="E737" s="46" t="s">
        <v>32</v>
      </c>
      <c r="F737" s="51" t="s">
        <v>1090</v>
      </c>
      <c r="G737" s="51" t="s">
        <v>433</v>
      </c>
      <c r="H737" s="51" t="s">
        <v>32</v>
      </c>
      <c r="I737" s="55" t="s">
        <v>1478</v>
      </c>
      <c r="J737" s="56">
        <v>500</v>
      </c>
      <c r="K737" s="51" t="s">
        <v>935</v>
      </c>
      <c r="L737" s="58">
        <v>520000</v>
      </c>
      <c r="M737" s="50">
        <f>ROUND('FA Addition'!$L737*5%,0.1)</f>
        <v>26000</v>
      </c>
      <c r="N737" s="113" t="str">
        <f>_xlfn.XLOOKUP(_xlfn.CONCAT(E737,B737),'Year Wise Master Dep Approach'!F:F,'Year Wise Master Dep Approach'!D:D)</f>
        <v>SLM</v>
      </c>
      <c r="O737" s="113">
        <f>_xlfn.XLOOKUP(_xlfn.CONCAT(E737,B737),'Year Wise Master Dep Approach'!F:F,'Year Wise Master Dep Approach'!E:E)</f>
        <v>5</v>
      </c>
      <c r="P737" s="114">
        <f>IFERROR(IF('FA Addition'!$N737="WDV",1-('FA Addition'!$M737/'FA Addition'!$L737)^(1/'FA Addition'!$O737),1/'FA Addition'!$O737),0)</f>
        <v>0.2</v>
      </c>
      <c r="Q737" s="122">
        <f>'FA Addition'!$P737*'FA Addition'!$O737</f>
        <v>1</v>
      </c>
      <c r="R737" s="122"/>
      <c r="S737" s="116">
        <f>IF(AND(DATE(20&amp;LEFT(FAAddition[[#This Row],[FY]],2),4,1)&lt;$L$1+1,DATE(20&amp;LEFT(FAAddition[[#This Row],[FY]],2),4,1)&gt;$P$1-1),'FA Addition'!$J737,0)</f>
        <v>500</v>
      </c>
      <c r="U737" s="117">
        <f>S737*'FA Addition'!$L737/'FA Addition'!$J737</f>
        <v>520000</v>
      </c>
      <c r="W737" s="116">
        <f>SUMIFS('FA Write off'!D:D,'FA Write off'!A:A,'FA Addition'!$A737,'FA Write off'!C:C,"&lt;"&amp;'FA Addition'!$P$1)</f>
        <v>56</v>
      </c>
      <c r="Y737" s="191">
        <f>IFERROR(W737/'FA Addition'!$J737*'FA Addition'!$L737,0)</f>
        <v>58240</v>
      </c>
      <c r="AA737" s="116">
        <f>SUMIFS('FA Write off'!D:D,'FA Write off'!A:A,'FA Addition'!$A737,'FA Write off'!C:C,"&lt;"&amp;'FA Addition'!$L$1+1,'FA Write off'!C:C,"&gt;"&amp;'FA Addition'!$L$1-365)</f>
        <v>0</v>
      </c>
      <c r="AC737" s="118">
        <f>IFERROR(AA737/'FA Addition'!$J737*'FA Addition'!$L737,0)</f>
        <v>0</v>
      </c>
      <c r="AE737" s="117">
        <f>IF(AND('FA Addition'!$D737&lt;$P$1+1,U737=0),'FA Addition'!$L737,0)-Y737</f>
        <v>-58240</v>
      </c>
      <c r="AF737" s="117">
        <f t="shared" si="55"/>
        <v>461760</v>
      </c>
      <c r="AG737" s="117">
        <f>MIN(MAX(+$P$1-'FA Addition'!$D737,0),365*'FA Addition'!$O737)</f>
        <v>0</v>
      </c>
      <c r="AH737" s="117">
        <f>MIN(MAX($L$1-'FA Addition'!$D737+1,0),365*'FA Addition'!$O737)</f>
        <v>244</v>
      </c>
      <c r="AI737" s="117" cm="1">
        <f t="array" ref="AI737">_xlfn.XLOOKUP(1,('FA Write off'!A:A='FA Addition'!$A737)*('FA Write off'!D:D=AA737),'FA Write off'!H:H,0,0)</f>
        <v>0</v>
      </c>
      <c r="AJ737" s="117">
        <f>IF(AC737&gt;0,MAX(IF('FA Addition'!$N737="SLM",($AC737-'FA Addition'!$M737)*'FA Addition'!$P737*AI737/365,(AC737-'FA Addition'!$M737)*(1-(1-'FA Addition'!$P737)^(AI737/365))),0),0)</f>
        <v>0</v>
      </c>
      <c r="AL737" s="117">
        <f>MAX(IF(AG737&gt;0,IF('FA Addition'!$N737="SLM",($AE737-'FA Addition'!$M737)*'FA Addition'!$P737*AG737/365,IFERROR(VDB(AE737,AE737*0.05,'FA Addition'!$O737,0,YEARFRAC('FA Addition'!$C737,$P$1-1,3),'FA Addition'!$Q737),FAAddition[[#This Row],[Original Cost (Rs)]]-FAAddition[[#This Row],[Salvage Value]])),0),0)</f>
        <v>0</v>
      </c>
      <c r="AM737" s="119"/>
      <c r="AN737" s="117">
        <f>MAX(IF(AH737&gt;0,IF('FA Addition'!$N737="SLM",($AF737-'FA Addition'!$M737)*'FA Addition'!$P737*AH737/365,IFERROR(VDB(AF737,AF737*0.05,'FA Addition'!$O737,0,YEARFRAC('FA Addition'!$C737,$L$1,3),'FA Addition'!$Q737),FAAddition[[#This Row],[Original Cost (Rs)]]-FAAddition[[#This Row],[Salvage Value]])),0),0)</f>
        <v>58260.51506849315</v>
      </c>
      <c r="AO737" s="117">
        <f t="shared" si="58"/>
        <v>58260.51506849315</v>
      </c>
      <c r="AQ737" s="117">
        <f t="shared" si="56"/>
        <v>-58240</v>
      </c>
      <c r="AR737" s="120">
        <f t="shared" si="57"/>
        <v>403499.48493150686</v>
      </c>
      <c r="AS737" s="121"/>
    </row>
    <row r="738" spans="1:45" ht="13.5" x14ac:dyDescent="0.4">
      <c r="A738" s="12">
        <f t="shared" si="59"/>
        <v>735</v>
      </c>
      <c r="B738" s="64" t="s">
        <v>1308</v>
      </c>
      <c r="C738" s="54">
        <v>45141</v>
      </c>
      <c r="D738" s="54">
        <v>45141</v>
      </c>
      <c r="E738" s="46" t="s">
        <v>1389</v>
      </c>
      <c r="F738" s="51" t="s">
        <v>1112</v>
      </c>
      <c r="G738" s="51" t="s">
        <v>36</v>
      </c>
      <c r="H738" s="51" t="s">
        <v>1113</v>
      </c>
      <c r="I738" s="55" t="s">
        <v>1479</v>
      </c>
      <c r="J738" s="56">
        <v>960</v>
      </c>
      <c r="K738" s="51" t="s">
        <v>1449</v>
      </c>
      <c r="L738" s="58">
        <v>1824000</v>
      </c>
      <c r="M738" s="50">
        <f>ROUND('FA Addition'!$L738*5%,0.1)</f>
        <v>91200</v>
      </c>
      <c r="N738" s="113" t="str">
        <f>_xlfn.XLOOKUP(_xlfn.CONCAT(E738,B738),'Year Wise Master Dep Approach'!F:F,'Year Wise Master Dep Approach'!D:D)</f>
        <v>SLM</v>
      </c>
      <c r="O738" s="113">
        <f>_xlfn.XLOOKUP(_xlfn.CONCAT(E738,B738),'Year Wise Master Dep Approach'!F:F,'Year Wise Master Dep Approach'!E:E)</f>
        <v>3</v>
      </c>
      <c r="P738" s="114">
        <f>IFERROR(IF('FA Addition'!$N738="WDV",1-('FA Addition'!$M738/'FA Addition'!$L738)^(1/'FA Addition'!$O738),1/'FA Addition'!$O738),0)</f>
        <v>0.33333333333333331</v>
      </c>
      <c r="Q738" s="122">
        <f>'FA Addition'!$P738*'FA Addition'!$O738</f>
        <v>1</v>
      </c>
      <c r="R738" s="122"/>
      <c r="S738" s="116">
        <f>IF(AND(DATE(20&amp;LEFT(FAAddition[[#This Row],[FY]],2),4,1)&lt;$L$1+1,DATE(20&amp;LEFT(FAAddition[[#This Row],[FY]],2),4,1)&gt;$P$1-1),'FA Addition'!$J738,0)</f>
        <v>960</v>
      </c>
      <c r="U738" s="117">
        <f>S738*'FA Addition'!$L738/'FA Addition'!$J738</f>
        <v>1824000</v>
      </c>
      <c r="W738" s="116">
        <f>SUMIFS('FA Write off'!D:D,'FA Write off'!A:A,'FA Addition'!$A738,'FA Write off'!C:C,"&lt;"&amp;'FA Addition'!$P$1)</f>
        <v>0</v>
      </c>
      <c r="Y738" s="191">
        <f>IFERROR(W738/'FA Addition'!$J738*'FA Addition'!$L738,0)</f>
        <v>0</v>
      </c>
      <c r="AA738" s="116">
        <f>SUMIFS('FA Write off'!D:D,'FA Write off'!A:A,'FA Addition'!$A738,'FA Write off'!C:C,"&lt;"&amp;'FA Addition'!$L$1+1,'FA Write off'!C:C,"&gt;"&amp;'FA Addition'!$L$1-365)</f>
        <v>0</v>
      </c>
      <c r="AC738" s="118">
        <f>IFERROR(AA738/'FA Addition'!$J738*'FA Addition'!$L738,0)</f>
        <v>0</v>
      </c>
      <c r="AE738" s="117">
        <f>IF(AND('FA Addition'!$D738&lt;$P$1+1,U738=0),'FA Addition'!$L738,0)-Y738</f>
        <v>0</v>
      </c>
      <c r="AF738" s="117">
        <f t="shared" si="55"/>
        <v>1824000</v>
      </c>
      <c r="AG738" s="117">
        <f>MIN(MAX(+$P$1-'FA Addition'!$D738,0),365*'FA Addition'!$O738)</f>
        <v>0</v>
      </c>
      <c r="AH738" s="117">
        <f>MIN(MAX($L$1-'FA Addition'!$D738+1,0),365*'FA Addition'!$O738)</f>
        <v>242</v>
      </c>
      <c r="AI738" s="117" cm="1">
        <f t="array" ref="AI738">_xlfn.XLOOKUP(1,('FA Write off'!A:A='FA Addition'!$A738)*('FA Write off'!D:D=AA738),'FA Write off'!H:H,0,0)</f>
        <v>0</v>
      </c>
      <c r="AJ738" s="117">
        <f>IF(AC738&gt;0,MAX(IF('FA Addition'!$N738="SLM",($AC738-'FA Addition'!$M738)*'FA Addition'!$P738*AI738/365,(AC738-'FA Addition'!$M738)*(1-(1-'FA Addition'!$P738)^(AI738/365))),0),0)</f>
        <v>0</v>
      </c>
      <c r="AL738" s="117">
        <f>MAX(IF(AG738&gt;0,IF('FA Addition'!$N738="SLM",($AE738-'FA Addition'!$M738)*'FA Addition'!$P738*AG738/365,IFERROR(VDB(AE738,AE738*0.05,'FA Addition'!$O738,0,YEARFRAC('FA Addition'!$C738,$P$1-1,3),'FA Addition'!$Q738),FAAddition[[#This Row],[Original Cost (Rs)]]-FAAddition[[#This Row],[Salvage Value]])),0),0)</f>
        <v>0</v>
      </c>
      <c r="AM738" s="119"/>
      <c r="AN738" s="117">
        <f>MAX(IF(AH738&gt;0,IF('FA Addition'!$N738="SLM",($AF738-'FA Addition'!$M738)*'FA Addition'!$P738*AH738/365,IFERROR(VDB(AF738,AF738*0.05,'FA Addition'!$O738,0,YEARFRAC('FA Addition'!$C738,$L$1,3),'FA Addition'!$Q738),FAAddition[[#This Row],[Original Cost (Rs)]]-FAAddition[[#This Row],[Salvage Value]])),0),0)</f>
        <v>382956.71232876711</v>
      </c>
      <c r="AO738" s="117">
        <f t="shared" si="58"/>
        <v>382956.71232876711</v>
      </c>
      <c r="AQ738" s="117">
        <f t="shared" si="56"/>
        <v>0</v>
      </c>
      <c r="AR738" s="120">
        <f t="shared" si="57"/>
        <v>1441043.2876712328</v>
      </c>
      <c r="AS738" s="121"/>
    </row>
    <row r="739" spans="1:45" ht="13.5" x14ac:dyDescent="0.4">
      <c r="A739" s="12">
        <f t="shared" si="59"/>
        <v>736</v>
      </c>
      <c r="B739" s="64" t="s">
        <v>1308</v>
      </c>
      <c r="C739" s="54">
        <v>45143</v>
      </c>
      <c r="D739" s="54">
        <v>45143</v>
      </c>
      <c r="E739" s="46" t="s">
        <v>32</v>
      </c>
      <c r="F739" s="51" t="s">
        <v>1090</v>
      </c>
      <c r="G739" s="51" t="s">
        <v>433</v>
      </c>
      <c r="H739" s="51" t="s">
        <v>32</v>
      </c>
      <c r="I739" s="55" t="s">
        <v>1480</v>
      </c>
      <c r="J739" s="56">
        <v>1800</v>
      </c>
      <c r="K739" s="51" t="s">
        <v>935</v>
      </c>
      <c r="L739" s="58">
        <v>1872000</v>
      </c>
      <c r="M739" s="50">
        <f>ROUND('FA Addition'!$L739*5%,0.1)</f>
        <v>93600</v>
      </c>
      <c r="N739" s="113" t="str">
        <f>_xlfn.XLOOKUP(_xlfn.CONCAT(E739,B739),'Year Wise Master Dep Approach'!F:F,'Year Wise Master Dep Approach'!D:D)</f>
        <v>SLM</v>
      </c>
      <c r="O739" s="113">
        <f>_xlfn.XLOOKUP(_xlfn.CONCAT(E739,B739),'Year Wise Master Dep Approach'!F:F,'Year Wise Master Dep Approach'!E:E)</f>
        <v>5</v>
      </c>
      <c r="P739" s="114">
        <f>IFERROR(IF('FA Addition'!$N739="WDV",1-('FA Addition'!$M739/'FA Addition'!$L739)^(1/'FA Addition'!$O739),1/'FA Addition'!$O739),0)</f>
        <v>0.2</v>
      </c>
      <c r="Q739" s="122">
        <f>'FA Addition'!$P739*'FA Addition'!$O739</f>
        <v>1</v>
      </c>
      <c r="R739" s="122"/>
      <c r="S739" s="116">
        <f>IF(AND(DATE(20&amp;LEFT(FAAddition[[#This Row],[FY]],2),4,1)&lt;$L$1+1,DATE(20&amp;LEFT(FAAddition[[#This Row],[FY]],2),4,1)&gt;$P$1-1),'FA Addition'!$J739,0)</f>
        <v>1800</v>
      </c>
      <c r="U739" s="117">
        <f>S739*'FA Addition'!$L739/'FA Addition'!$J739</f>
        <v>1872000</v>
      </c>
      <c r="W739" s="116">
        <f>SUMIFS('FA Write off'!D:D,'FA Write off'!A:A,'FA Addition'!$A739,'FA Write off'!C:C,"&lt;"&amp;'FA Addition'!$P$1)</f>
        <v>23</v>
      </c>
      <c r="Y739" s="191">
        <f>IFERROR(W739/'FA Addition'!$J739*'FA Addition'!$L739,0)</f>
        <v>23920</v>
      </c>
      <c r="AA739" s="116">
        <f>SUMIFS('FA Write off'!D:D,'FA Write off'!A:A,'FA Addition'!$A739,'FA Write off'!C:C,"&lt;"&amp;'FA Addition'!$L$1+1,'FA Write off'!C:C,"&gt;"&amp;'FA Addition'!$L$1-365)</f>
        <v>0</v>
      </c>
      <c r="AC739" s="118">
        <f>IFERROR(AA739/'FA Addition'!$J739*'FA Addition'!$L739,0)</f>
        <v>0</v>
      </c>
      <c r="AE739" s="117">
        <f>IF(AND('FA Addition'!$D739&lt;$P$1+1,U739=0),'FA Addition'!$L739,0)-Y739</f>
        <v>-23920</v>
      </c>
      <c r="AF739" s="117">
        <f t="shared" si="55"/>
        <v>1848080</v>
      </c>
      <c r="AG739" s="117">
        <f>MIN(MAX(+$P$1-'FA Addition'!$D739,0),365*'FA Addition'!$O739)</f>
        <v>0</v>
      </c>
      <c r="AH739" s="117">
        <f>MIN(MAX($L$1-'FA Addition'!$D739+1,0),365*'FA Addition'!$O739)</f>
        <v>240</v>
      </c>
      <c r="AI739" s="117" cm="1">
        <f t="array" ref="AI739">_xlfn.XLOOKUP(1,('FA Write off'!A:A='FA Addition'!$A739)*('FA Write off'!D:D=AA739),'FA Write off'!H:H,0,0)</f>
        <v>0</v>
      </c>
      <c r="AJ739" s="117">
        <f>IF(AC739&gt;0,MAX(IF('FA Addition'!$N739="SLM",($AC739-'FA Addition'!$M739)*'FA Addition'!$P739*AI739/365,(AC739-'FA Addition'!$M739)*(1-(1-'FA Addition'!$P739)^(AI739/365))),0),0)</f>
        <v>0</v>
      </c>
      <c r="AL739" s="117">
        <f>MAX(IF(AG739&gt;0,IF('FA Addition'!$N739="SLM",($AE739-'FA Addition'!$M739)*'FA Addition'!$P739*AG739/365,IFERROR(VDB(AE739,AE739*0.05,'FA Addition'!$O739,0,YEARFRAC('FA Addition'!$C739,$P$1-1,3),'FA Addition'!$Q739),FAAddition[[#This Row],[Original Cost (Rs)]]-FAAddition[[#This Row],[Salvage Value]])),0),0)</f>
        <v>0</v>
      </c>
      <c r="AM739" s="119"/>
      <c r="AN739" s="117">
        <f>MAX(IF(AH739&gt;0,IF('FA Addition'!$N739="SLM",($AF739-'FA Addition'!$M739)*'FA Addition'!$P739*AH739/365,IFERROR(VDB(AF739,AF739*0.05,'FA Addition'!$O739,0,YEARFRAC('FA Addition'!$C739,$L$1,3),'FA Addition'!$Q739),FAAddition[[#This Row],[Original Cost (Rs)]]-FAAddition[[#This Row],[Salvage Value]])),0),0)</f>
        <v>230726.13698630137</v>
      </c>
      <c r="AO739" s="117">
        <f t="shared" si="58"/>
        <v>230726.13698630137</v>
      </c>
      <c r="AQ739" s="117">
        <f t="shared" si="56"/>
        <v>-23920</v>
      </c>
      <c r="AR739" s="120">
        <f t="shared" si="57"/>
        <v>1617353.8630136987</v>
      </c>
      <c r="AS739" s="121"/>
    </row>
    <row r="740" spans="1:45" ht="13.5" x14ac:dyDescent="0.4">
      <c r="A740" s="12">
        <f t="shared" si="59"/>
        <v>737</v>
      </c>
      <c r="B740" s="64" t="s">
        <v>1308</v>
      </c>
      <c r="C740" s="54">
        <v>45143</v>
      </c>
      <c r="D740" s="54">
        <v>45143</v>
      </c>
      <c r="E740" s="46" t="s">
        <v>1436</v>
      </c>
      <c r="F740" s="51" t="s">
        <v>1481</v>
      </c>
      <c r="G740" s="51" t="s">
        <v>433</v>
      </c>
      <c r="H740" s="51" t="s">
        <v>173</v>
      </c>
      <c r="I740" s="55" t="s">
        <v>1482</v>
      </c>
      <c r="J740" s="56">
        <v>13</v>
      </c>
      <c r="K740" s="51" t="s">
        <v>1481</v>
      </c>
      <c r="L740" s="58">
        <v>106600</v>
      </c>
      <c r="M740" s="50">
        <f>ROUND('FA Addition'!$L740*5%,0.1)</f>
        <v>5330</v>
      </c>
      <c r="N740" s="113" t="str">
        <f>_xlfn.XLOOKUP(_xlfn.CONCAT(E740,B740),'Year Wise Master Dep Approach'!F:F,'Year Wise Master Dep Approach'!D:D)</f>
        <v>SLM</v>
      </c>
      <c r="O740" s="113">
        <f>_xlfn.XLOOKUP(_xlfn.CONCAT(E740,B740),'Year Wise Master Dep Approach'!F:F,'Year Wise Master Dep Approach'!E:E)</f>
        <v>5</v>
      </c>
      <c r="P740" s="114">
        <f>IFERROR(IF('FA Addition'!$N740="WDV",1-('FA Addition'!$M740/'FA Addition'!$L740)^(1/'FA Addition'!$O740),1/'FA Addition'!$O740),0)</f>
        <v>0.2</v>
      </c>
      <c r="Q740" s="122">
        <f>'FA Addition'!$P740*'FA Addition'!$O740</f>
        <v>1</v>
      </c>
      <c r="R740" s="122"/>
      <c r="S740" s="116">
        <f>IF(AND(DATE(20&amp;LEFT(FAAddition[[#This Row],[FY]],2),4,1)&lt;$L$1+1,DATE(20&amp;LEFT(FAAddition[[#This Row],[FY]],2),4,1)&gt;$P$1-1),'FA Addition'!$J740,0)</f>
        <v>13</v>
      </c>
      <c r="U740" s="117">
        <f>S740*'FA Addition'!$L740/'FA Addition'!$J740</f>
        <v>106600</v>
      </c>
      <c r="W740" s="116">
        <f>SUMIFS('FA Write off'!D:D,'FA Write off'!A:A,'FA Addition'!$A740,'FA Write off'!C:C,"&lt;"&amp;'FA Addition'!$P$1)</f>
        <v>0</v>
      </c>
      <c r="Y740" s="191">
        <f>IFERROR(W740/'FA Addition'!$J740*'FA Addition'!$L740,0)</f>
        <v>0</v>
      </c>
      <c r="AA740" s="116">
        <f>SUMIFS('FA Write off'!D:D,'FA Write off'!A:A,'FA Addition'!$A740,'FA Write off'!C:C,"&lt;"&amp;'FA Addition'!$L$1+1,'FA Write off'!C:C,"&gt;"&amp;'FA Addition'!$L$1-365)</f>
        <v>0</v>
      </c>
      <c r="AC740" s="118">
        <f>IFERROR(AA740/'FA Addition'!$J740*'FA Addition'!$L740,0)</f>
        <v>0</v>
      </c>
      <c r="AE740" s="117">
        <f>IF(AND('FA Addition'!$D740&lt;$P$1+1,U740=0),'FA Addition'!$L740,0)-Y740</f>
        <v>0</v>
      </c>
      <c r="AF740" s="117">
        <f t="shared" si="55"/>
        <v>106600</v>
      </c>
      <c r="AG740" s="117">
        <f>MIN(MAX(+$P$1-'FA Addition'!$D740,0),365*'FA Addition'!$O740)</f>
        <v>0</v>
      </c>
      <c r="AH740" s="117">
        <f>MIN(MAX($L$1-'FA Addition'!$D740+1,0),365*'FA Addition'!$O740)</f>
        <v>240</v>
      </c>
      <c r="AI740" s="117" cm="1">
        <f t="array" ref="AI740">_xlfn.XLOOKUP(1,('FA Write off'!A:A='FA Addition'!$A740)*('FA Write off'!D:D=AA740),'FA Write off'!H:H,0,0)</f>
        <v>0</v>
      </c>
      <c r="AJ740" s="117">
        <f>IF(AC740&gt;0,MAX(IF('FA Addition'!$N740="SLM",($AC740-'FA Addition'!$M740)*'FA Addition'!$P740*AI740/365,(AC740-'FA Addition'!$M740)*(1-(1-'FA Addition'!$P740)^(AI740/365))),0),0)</f>
        <v>0</v>
      </c>
      <c r="AL740" s="117">
        <f>MAX(IF(AG740&gt;0,IF('FA Addition'!$N740="SLM",($AE740-'FA Addition'!$M740)*'FA Addition'!$P740*AG740/365,IFERROR(VDB(AE740,AE740*0.05,'FA Addition'!$O740,0,YEARFRAC('FA Addition'!$C740,$P$1-1,3),'FA Addition'!$Q740),FAAddition[[#This Row],[Original Cost (Rs)]]-FAAddition[[#This Row],[Salvage Value]])),0),0)</f>
        <v>0</v>
      </c>
      <c r="AM740" s="119"/>
      <c r="AN740" s="117">
        <f>MAX(IF(AH740&gt;0,IF('FA Addition'!$N740="SLM",($AF740-'FA Addition'!$M740)*'FA Addition'!$P740*AH740/365,IFERROR(VDB(AF740,AF740*0.05,'FA Addition'!$O740,0,YEARFRAC('FA Addition'!$C740,$L$1,3),'FA Addition'!$Q740),FAAddition[[#This Row],[Original Cost (Rs)]]-FAAddition[[#This Row],[Salvage Value]])),0),0)</f>
        <v>13317.698630136987</v>
      </c>
      <c r="AO740" s="117">
        <f t="shared" si="58"/>
        <v>13317.698630136987</v>
      </c>
      <c r="AQ740" s="117">
        <f t="shared" si="56"/>
        <v>0</v>
      </c>
      <c r="AR740" s="120">
        <f t="shared" si="57"/>
        <v>93282.301369863009</v>
      </c>
      <c r="AS740" s="121"/>
    </row>
    <row r="741" spans="1:45" ht="13.5" x14ac:dyDescent="0.4">
      <c r="A741" s="12">
        <f t="shared" si="59"/>
        <v>738</v>
      </c>
      <c r="B741" s="64" t="s">
        <v>1308</v>
      </c>
      <c r="C741" s="54">
        <v>45146</v>
      </c>
      <c r="D741" s="54">
        <v>45146</v>
      </c>
      <c r="E741" s="46" t="s">
        <v>1389</v>
      </c>
      <c r="F741" s="51" t="s">
        <v>1112</v>
      </c>
      <c r="G741" s="51" t="s">
        <v>36</v>
      </c>
      <c r="H741" s="51" t="s">
        <v>1113</v>
      </c>
      <c r="I741" s="55" t="s">
        <v>1483</v>
      </c>
      <c r="J741" s="56">
        <v>2300</v>
      </c>
      <c r="K741" s="51" t="s">
        <v>1132</v>
      </c>
      <c r="L741" s="58">
        <v>1679000</v>
      </c>
      <c r="M741" s="50">
        <f>ROUND('FA Addition'!$L741*5%,0.1)</f>
        <v>83950</v>
      </c>
      <c r="N741" s="113" t="str">
        <f>_xlfn.XLOOKUP(_xlfn.CONCAT(E741,B741),'Year Wise Master Dep Approach'!F:F,'Year Wise Master Dep Approach'!D:D)</f>
        <v>SLM</v>
      </c>
      <c r="O741" s="113">
        <f>_xlfn.XLOOKUP(_xlfn.CONCAT(E741,B741),'Year Wise Master Dep Approach'!F:F,'Year Wise Master Dep Approach'!E:E)</f>
        <v>3</v>
      </c>
      <c r="P741" s="114">
        <f>IFERROR(IF('FA Addition'!$N741="WDV",1-('FA Addition'!$M741/'FA Addition'!$L741)^(1/'FA Addition'!$O741),1/'FA Addition'!$O741),0)</f>
        <v>0.33333333333333331</v>
      </c>
      <c r="Q741" s="122">
        <f>'FA Addition'!$P741*'FA Addition'!$O741</f>
        <v>1</v>
      </c>
      <c r="R741" s="122"/>
      <c r="S741" s="116">
        <f>IF(AND(DATE(20&amp;LEFT(FAAddition[[#This Row],[FY]],2),4,1)&lt;$L$1+1,DATE(20&amp;LEFT(FAAddition[[#This Row],[FY]],2),4,1)&gt;$P$1-1),'FA Addition'!$J741,0)</f>
        <v>2300</v>
      </c>
      <c r="U741" s="117">
        <f>S741*'FA Addition'!$L741/'FA Addition'!$J741</f>
        <v>1679000</v>
      </c>
      <c r="W741" s="116">
        <f>SUMIFS('FA Write off'!D:D,'FA Write off'!A:A,'FA Addition'!$A741,'FA Write off'!C:C,"&lt;"&amp;'FA Addition'!$P$1)</f>
        <v>0</v>
      </c>
      <c r="Y741" s="191">
        <f>IFERROR(W741/'FA Addition'!$J741*'FA Addition'!$L741,0)</f>
        <v>0</v>
      </c>
      <c r="AA741" s="116">
        <f>SUMIFS('FA Write off'!D:D,'FA Write off'!A:A,'FA Addition'!$A741,'FA Write off'!C:C,"&lt;"&amp;'FA Addition'!$L$1+1,'FA Write off'!C:C,"&gt;"&amp;'FA Addition'!$L$1-365)</f>
        <v>0</v>
      </c>
      <c r="AC741" s="118">
        <f>IFERROR(AA741/'FA Addition'!$J741*'FA Addition'!$L741,0)</f>
        <v>0</v>
      </c>
      <c r="AE741" s="117">
        <f>IF(AND('FA Addition'!$D741&lt;$P$1+1,U741=0),'FA Addition'!$L741,0)-Y741</f>
        <v>0</v>
      </c>
      <c r="AF741" s="117">
        <f t="shared" si="55"/>
        <v>1679000</v>
      </c>
      <c r="AG741" s="117">
        <f>MIN(MAX(+$P$1-'FA Addition'!$D741,0),365*'FA Addition'!$O741)</f>
        <v>0</v>
      </c>
      <c r="AH741" s="117">
        <f>MIN(MAX($L$1-'FA Addition'!$D741+1,0),365*'FA Addition'!$O741)</f>
        <v>237</v>
      </c>
      <c r="AI741" s="117" cm="1">
        <f t="array" ref="AI741">_xlfn.XLOOKUP(1,('FA Write off'!A:A='FA Addition'!$A741)*('FA Write off'!D:D=AA741),'FA Write off'!H:H,0,0)</f>
        <v>0</v>
      </c>
      <c r="AJ741" s="117">
        <f>IF(AC741&gt;0,MAX(IF('FA Addition'!$N741="SLM",($AC741-'FA Addition'!$M741)*'FA Addition'!$P741*AI741/365,(AC741-'FA Addition'!$M741)*(1-(1-'FA Addition'!$P741)^(AI741/365))),0),0)</f>
        <v>0</v>
      </c>
      <c r="AL741" s="117">
        <f>MAX(IF(AG741&gt;0,IF('FA Addition'!$N741="SLM",($AE741-'FA Addition'!$M741)*'FA Addition'!$P741*AG741/365,IFERROR(VDB(AE741,AE741*0.05,'FA Addition'!$O741,0,YEARFRAC('FA Addition'!$C741,$P$1-1,3),'FA Addition'!$Q741),FAAddition[[#This Row],[Original Cost (Rs)]]-FAAddition[[#This Row],[Salvage Value]])),0),0)</f>
        <v>0</v>
      </c>
      <c r="AM741" s="119"/>
      <c r="AN741" s="117">
        <f>MAX(IF(AH741&gt;0,IF('FA Addition'!$N741="SLM",($AF741-'FA Addition'!$M741)*'FA Addition'!$P741*AH741/365,IFERROR(VDB(AF741,AF741*0.05,'FA Addition'!$O741,0,YEARFRAC('FA Addition'!$C741,$L$1,3),'FA Addition'!$Q741),FAAddition[[#This Row],[Original Cost (Rs)]]-FAAddition[[#This Row],[Salvage Value]])),0),0)</f>
        <v>345229.99999999994</v>
      </c>
      <c r="AO741" s="117">
        <f t="shared" si="58"/>
        <v>345229.99999999994</v>
      </c>
      <c r="AQ741" s="117">
        <f t="shared" si="56"/>
        <v>0</v>
      </c>
      <c r="AR741" s="120">
        <f t="shared" si="57"/>
        <v>1333770</v>
      </c>
      <c r="AS741" s="121"/>
    </row>
    <row r="742" spans="1:45" ht="13.5" x14ac:dyDescent="0.4">
      <c r="A742" s="12">
        <f t="shared" si="59"/>
        <v>739</v>
      </c>
      <c r="B742" s="64" t="s">
        <v>1308</v>
      </c>
      <c r="C742" s="54">
        <v>45148</v>
      </c>
      <c r="D742" s="54">
        <v>45148</v>
      </c>
      <c r="E742" s="46" t="s">
        <v>1389</v>
      </c>
      <c r="F742" s="51" t="s">
        <v>1112</v>
      </c>
      <c r="G742" s="51" t="s">
        <v>36</v>
      </c>
      <c r="H742" s="51" t="s">
        <v>1113</v>
      </c>
      <c r="I742" s="55" t="s">
        <v>1484</v>
      </c>
      <c r="J742" s="56">
        <v>700</v>
      </c>
      <c r="K742" s="51" t="s">
        <v>1132</v>
      </c>
      <c r="L742" s="58">
        <v>511000</v>
      </c>
      <c r="M742" s="50">
        <f>ROUND('FA Addition'!$L742*5%,0.1)</f>
        <v>25550</v>
      </c>
      <c r="N742" s="113" t="str">
        <f>_xlfn.XLOOKUP(_xlfn.CONCAT(E742,B742),'Year Wise Master Dep Approach'!F:F,'Year Wise Master Dep Approach'!D:D)</f>
        <v>SLM</v>
      </c>
      <c r="O742" s="113">
        <f>_xlfn.XLOOKUP(_xlfn.CONCAT(E742,B742),'Year Wise Master Dep Approach'!F:F,'Year Wise Master Dep Approach'!E:E)</f>
        <v>3</v>
      </c>
      <c r="P742" s="114">
        <f>IFERROR(IF('FA Addition'!$N742="WDV",1-('FA Addition'!$M742/'FA Addition'!$L742)^(1/'FA Addition'!$O742),1/'FA Addition'!$O742),0)</f>
        <v>0.33333333333333331</v>
      </c>
      <c r="Q742" s="122">
        <f>'FA Addition'!$P742*'FA Addition'!$O742</f>
        <v>1</v>
      </c>
      <c r="R742" s="122"/>
      <c r="S742" s="116">
        <f>IF(AND(DATE(20&amp;LEFT(FAAddition[[#This Row],[FY]],2),4,1)&lt;$L$1+1,DATE(20&amp;LEFT(FAAddition[[#This Row],[FY]],2),4,1)&gt;$P$1-1),'FA Addition'!$J742,0)</f>
        <v>700</v>
      </c>
      <c r="U742" s="117">
        <f>S742*'FA Addition'!$L742/'FA Addition'!$J742</f>
        <v>511000</v>
      </c>
      <c r="W742" s="116">
        <f>SUMIFS('FA Write off'!D:D,'FA Write off'!A:A,'FA Addition'!$A742,'FA Write off'!C:C,"&lt;"&amp;'FA Addition'!$P$1)</f>
        <v>0</v>
      </c>
      <c r="Y742" s="191">
        <f>IFERROR(W742/'FA Addition'!$J742*'FA Addition'!$L742,0)</f>
        <v>0</v>
      </c>
      <c r="AA742" s="116">
        <f>SUMIFS('FA Write off'!D:D,'FA Write off'!A:A,'FA Addition'!$A742,'FA Write off'!C:C,"&lt;"&amp;'FA Addition'!$L$1+1,'FA Write off'!C:C,"&gt;"&amp;'FA Addition'!$L$1-365)</f>
        <v>0</v>
      </c>
      <c r="AC742" s="118">
        <f>IFERROR(AA742/'FA Addition'!$J742*'FA Addition'!$L742,0)</f>
        <v>0</v>
      </c>
      <c r="AE742" s="117">
        <f>IF(AND('FA Addition'!$D742&lt;$P$1+1,U742=0),'FA Addition'!$L742,0)-Y742</f>
        <v>0</v>
      </c>
      <c r="AF742" s="117">
        <f t="shared" si="55"/>
        <v>511000</v>
      </c>
      <c r="AG742" s="117">
        <f>MIN(MAX(+$P$1-'FA Addition'!$D742,0),365*'FA Addition'!$O742)</f>
        <v>0</v>
      </c>
      <c r="AH742" s="117">
        <f>MIN(MAX($L$1-'FA Addition'!$D742+1,0),365*'FA Addition'!$O742)</f>
        <v>235</v>
      </c>
      <c r="AI742" s="117" cm="1">
        <f t="array" ref="AI742">_xlfn.XLOOKUP(1,('FA Write off'!A:A='FA Addition'!$A742)*('FA Write off'!D:D=AA742),'FA Write off'!H:H,0,0)</f>
        <v>0</v>
      </c>
      <c r="AJ742" s="117">
        <f>IF(AC742&gt;0,MAX(IF('FA Addition'!$N742="SLM",($AC742-'FA Addition'!$M742)*'FA Addition'!$P742*AI742/365,(AC742-'FA Addition'!$M742)*(1-(1-'FA Addition'!$P742)^(AI742/365))),0),0)</f>
        <v>0</v>
      </c>
      <c r="AL742" s="117">
        <f>MAX(IF(AG742&gt;0,IF('FA Addition'!$N742="SLM",($AE742-'FA Addition'!$M742)*'FA Addition'!$P742*AG742/365,IFERROR(VDB(AE742,AE742*0.05,'FA Addition'!$O742,0,YEARFRAC('FA Addition'!$C742,$P$1-1,3),'FA Addition'!$Q742),FAAddition[[#This Row],[Original Cost (Rs)]]-FAAddition[[#This Row],[Salvage Value]])),0),0)</f>
        <v>0</v>
      </c>
      <c r="AM742" s="119"/>
      <c r="AN742" s="117">
        <f>MAX(IF(AH742&gt;0,IF('FA Addition'!$N742="SLM",($AF742-'FA Addition'!$M742)*'FA Addition'!$P742*AH742/365,IFERROR(VDB(AF742,AF742*0.05,'FA Addition'!$O742,0,YEARFRAC('FA Addition'!$C742,$L$1,3),'FA Addition'!$Q742),FAAddition[[#This Row],[Original Cost (Rs)]]-FAAddition[[#This Row],[Salvage Value]])),0),0)</f>
        <v>104183.33333333333</v>
      </c>
      <c r="AO742" s="117">
        <f t="shared" si="58"/>
        <v>104183.33333333333</v>
      </c>
      <c r="AQ742" s="117">
        <f t="shared" si="56"/>
        <v>0</v>
      </c>
      <c r="AR742" s="120">
        <f t="shared" si="57"/>
        <v>406816.66666666669</v>
      </c>
      <c r="AS742" s="121"/>
    </row>
    <row r="743" spans="1:45" ht="13.5" x14ac:dyDescent="0.4">
      <c r="A743" s="12">
        <f t="shared" si="59"/>
        <v>740</v>
      </c>
      <c r="B743" s="64" t="s">
        <v>1308</v>
      </c>
      <c r="C743" s="54">
        <v>45148</v>
      </c>
      <c r="D743" s="54">
        <v>45148</v>
      </c>
      <c r="E743" s="46" t="s">
        <v>451</v>
      </c>
      <c r="F743" s="51" t="s">
        <v>19</v>
      </c>
      <c r="G743" s="51" t="s">
        <v>1134</v>
      </c>
      <c r="H743" s="51" t="s">
        <v>21</v>
      </c>
      <c r="I743" s="55" t="s">
        <v>1485</v>
      </c>
      <c r="J743" s="56">
        <v>1</v>
      </c>
      <c r="K743" s="51" t="s">
        <v>1486</v>
      </c>
      <c r="L743" s="58">
        <v>29652.543333333335</v>
      </c>
      <c r="M743" s="50">
        <f>ROUND('FA Addition'!$L743*5%,0.1)</f>
        <v>1483</v>
      </c>
      <c r="N743" s="113" t="str">
        <f>_xlfn.XLOOKUP(_xlfn.CONCAT(E743,B743),'Year Wise Master Dep Approach'!F:F,'Year Wise Master Dep Approach'!D:D)</f>
        <v>WDV</v>
      </c>
      <c r="O743" s="113">
        <f>_xlfn.XLOOKUP(_xlfn.CONCAT(E743,B743),'Year Wise Master Dep Approach'!F:F,'Year Wise Master Dep Approach'!E:E)</f>
        <v>3</v>
      </c>
      <c r="P743" s="114">
        <f>IFERROR(IF('FA Addition'!$N743="WDV",1-('FA Addition'!$M743/'FA Addition'!$L743)^(1/'FA Addition'!$O743),1/'FA Addition'!$O743),0)</f>
        <v>0.63156597218593313</v>
      </c>
      <c r="Q743" s="122">
        <f>'FA Addition'!$P743*'FA Addition'!$O743</f>
        <v>1.8946979165577993</v>
      </c>
      <c r="R743" s="122"/>
      <c r="S743" s="116">
        <f>IF(AND(DATE(20&amp;LEFT(FAAddition[[#This Row],[FY]],2),4,1)&lt;$L$1+1,DATE(20&amp;LEFT(FAAddition[[#This Row],[FY]],2),4,1)&gt;$P$1-1),'FA Addition'!$J743,0)</f>
        <v>1</v>
      </c>
      <c r="U743" s="117">
        <f>S743*'FA Addition'!$L743/'FA Addition'!$J743</f>
        <v>29652.543333333335</v>
      </c>
      <c r="W743" s="116">
        <f>SUMIFS('FA Write off'!D:D,'FA Write off'!A:A,'FA Addition'!$A743,'FA Write off'!C:C,"&lt;"&amp;'FA Addition'!$P$1)</f>
        <v>0</v>
      </c>
      <c r="Y743" s="191">
        <f>IFERROR(W743/'FA Addition'!$J743*'FA Addition'!$L743,0)</f>
        <v>0</v>
      </c>
      <c r="AA743" s="116">
        <f>SUMIFS('FA Write off'!D:D,'FA Write off'!A:A,'FA Addition'!$A743,'FA Write off'!C:C,"&lt;"&amp;'FA Addition'!$L$1+1,'FA Write off'!C:C,"&gt;"&amp;'FA Addition'!$L$1-365)</f>
        <v>0</v>
      </c>
      <c r="AC743" s="118">
        <f>IFERROR(AA743/'FA Addition'!$J743*'FA Addition'!$L743,0)</f>
        <v>0</v>
      </c>
      <c r="AE743" s="117">
        <f>IF(AND('FA Addition'!$D743&lt;$P$1+1,U743=0),'FA Addition'!$L743,0)-Y743</f>
        <v>0</v>
      </c>
      <c r="AF743" s="117">
        <f t="shared" si="55"/>
        <v>29652.543333333335</v>
      </c>
      <c r="AG743" s="117">
        <f>MIN(MAX(+$P$1-'FA Addition'!$D743,0),365*'FA Addition'!$O743)</f>
        <v>0</v>
      </c>
      <c r="AH743" s="117">
        <f>MIN(MAX($L$1-'FA Addition'!$D743+1,0),365*'FA Addition'!$O743)</f>
        <v>235</v>
      </c>
      <c r="AI743" s="117" cm="1">
        <f t="array" ref="AI743">_xlfn.XLOOKUP(1,('FA Write off'!A:A='FA Addition'!$A743)*('FA Write off'!D:D=AA743),'FA Write off'!H:H,0,0)</f>
        <v>0</v>
      </c>
      <c r="AJ743" s="117">
        <f>IF(AC743&gt;0,MAX(IF('FA Addition'!$N743="SLM",($AC743-'FA Addition'!$M743)*'FA Addition'!$P743*AI743/365,(AC743-'FA Addition'!$M743)*(1-(1-'FA Addition'!$P743)^(AI743/365))),0),0)</f>
        <v>0</v>
      </c>
      <c r="AL743" s="117">
        <f>MAX(IF(AG743&gt;0,IF('FA Addition'!$N743="SLM",($AE743-'FA Addition'!$M743)*'FA Addition'!$P743*AG743/365,IFERROR(VDB(AE743,AE743*0.05,'FA Addition'!$O743,0,YEARFRAC('FA Addition'!$C743,$P$1-1,3),'FA Addition'!$Q743),FAAddition[[#This Row],[Original Cost (Rs)]]-FAAddition[[#This Row],[Salvage Value]])),0),0)</f>
        <v>0</v>
      </c>
      <c r="AM743" s="119"/>
      <c r="AN743" s="117">
        <f>MAX(IF(AH743&gt;0,IF('FA Addition'!$N743="SLM",($AF743-'FA Addition'!$M743)*'FA Addition'!$P743*AH743/365,IFERROR(VDB(AF743,AF743*0.05,'FA Addition'!$O743,0,YEARFRAC('FA Addition'!$C743,$L$1,3),'FA Addition'!$Q743),FAAddition[[#This Row],[Original Cost (Rs)]]-FAAddition[[#This Row],[Salvage Value]])),0),0)</f>
        <v>12006.147237797013</v>
      </c>
      <c r="AO743" s="117">
        <f t="shared" si="58"/>
        <v>12006.147237797013</v>
      </c>
      <c r="AQ743" s="117">
        <f t="shared" si="56"/>
        <v>0</v>
      </c>
      <c r="AR743" s="120">
        <f t="shared" si="57"/>
        <v>17646.396095536322</v>
      </c>
      <c r="AS743" s="121"/>
    </row>
    <row r="744" spans="1:45" ht="13.5" x14ac:dyDescent="0.4">
      <c r="A744" s="12">
        <f t="shared" si="59"/>
        <v>741</v>
      </c>
      <c r="B744" s="64" t="s">
        <v>1308</v>
      </c>
      <c r="C744" s="54">
        <v>45148</v>
      </c>
      <c r="D744" s="54">
        <v>45148</v>
      </c>
      <c r="E744" s="46" t="s">
        <v>451</v>
      </c>
      <c r="F744" s="51" t="s">
        <v>19</v>
      </c>
      <c r="G744" s="51" t="s">
        <v>1134</v>
      </c>
      <c r="H744" s="51" t="s">
        <v>21</v>
      </c>
      <c r="I744" s="55" t="s">
        <v>1485</v>
      </c>
      <c r="J744" s="56">
        <v>1</v>
      </c>
      <c r="K744" s="51" t="s">
        <v>1486</v>
      </c>
      <c r="L744" s="58">
        <v>29652.543333333335</v>
      </c>
      <c r="M744" s="50">
        <f>ROUND('FA Addition'!$L744*5%,0.1)</f>
        <v>1483</v>
      </c>
      <c r="N744" s="113" t="str">
        <f>_xlfn.XLOOKUP(_xlfn.CONCAT(E744,B744),'Year Wise Master Dep Approach'!F:F,'Year Wise Master Dep Approach'!D:D)</f>
        <v>WDV</v>
      </c>
      <c r="O744" s="113">
        <f>_xlfn.XLOOKUP(_xlfn.CONCAT(E744,B744),'Year Wise Master Dep Approach'!F:F,'Year Wise Master Dep Approach'!E:E)</f>
        <v>3</v>
      </c>
      <c r="P744" s="114">
        <f>IFERROR(IF('FA Addition'!$N744="WDV",1-('FA Addition'!$M744/'FA Addition'!$L744)^(1/'FA Addition'!$O744),1/'FA Addition'!$O744),0)</f>
        <v>0.63156597218593313</v>
      </c>
      <c r="Q744" s="122">
        <f>'FA Addition'!$P744*'FA Addition'!$O744</f>
        <v>1.8946979165577993</v>
      </c>
      <c r="R744" s="122"/>
      <c r="S744" s="116">
        <f>IF(AND(DATE(20&amp;LEFT(FAAddition[[#This Row],[FY]],2),4,1)&lt;$L$1+1,DATE(20&amp;LEFT(FAAddition[[#This Row],[FY]],2),4,1)&gt;$P$1-1),'FA Addition'!$J744,0)</f>
        <v>1</v>
      </c>
      <c r="U744" s="117">
        <f>S744*'FA Addition'!$L744/'FA Addition'!$J744</f>
        <v>29652.543333333335</v>
      </c>
      <c r="W744" s="116">
        <f>SUMIFS('FA Write off'!D:D,'FA Write off'!A:A,'FA Addition'!$A744,'FA Write off'!C:C,"&lt;"&amp;'FA Addition'!$P$1)</f>
        <v>0</v>
      </c>
      <c r="Y744" s="191">
        <f>IFERROR(W744/'FA Addition'!$J744*'FA Addition'!$L744,0)</f>
        <v>0</v>
      </c>
      <c r="AA744" s="116">
        <f>SUMIFS('FA Write off'!D:D,'FA Write off'!A:A,'FA Addition'!$A744,'FA Write off'!C:C,"&lt;"&amp;'FA Addition'!$L$1+1,'FA Write off'!C:C,"&gt;"&amp;'FA Addition'!$L$1-365)</f>
        <v>0</v>
      </c>
      <c r="AC744" s="118">
        <f>IFERROR(AA744/'FA Addition'!$J744*'FA Addition'!$L744,0)</f>
        <v>0</v>
      </c>
      <c r="AE744" s="117">
        <f>IF(AND('FA Addition'!$D744&lt;$P$1+1,U744=0),'FA Addition'!$L744,0)-Y744</f>
        <v>0</v>
      </c>
      <c r="AF744" s="117">
        <f t="shared" si="55"/>
        <v>29652.543333333335</v>
      </c>
      <c r="AG744" s="117">
        <f>MIN(MAX(+$P$1-'FA Addition'!$D744,0),365*'FA Addition'!$O744)</f>
        <v>0</v>
      </c>
      <c r="AH744" s="117">
        <f>MIN(MAX($L$1-'FA Addition'!$D744+1,0),365*'FA Addition'!$O744)</f>
        <v>235</v>
      </c>
      <c r="AI744" s="117" cm="1">
        <f t="array" ref="AI744">_xlfn.XLOOKUP(1,('FA Write off'!A:A='FA Addition'!$A744)*('FA Write off'!D:D=AA744),'FA Write off'!H:H,0,0)</f>
        <v>0</v>
      </c>
      <c r="AJ744" s="117">
        <f>IF(AC744&gt;0,MAX(IF('FA Addition'!$N744="SLM",($AC744-'FA Addition'!$M744)*'FA Addition'!$P744*AI744/365,(AC744-'FA Addition'!$M744)*(1-(1-'FA Addition'!$P744)^(AI744/365))),0),0)</f>
        <v>0</v>
      </c>
      <c r="AL744" s="117">
        <f>MAX(IF(AG744&gt;0,IF('FA Addition'!$N744="SLM",($AE744-'FA Addition'!$M744)*'FA Addition'!$P744*AG744/365,IFERROR(VDB(AE744,AE744*0.05,'FA Addition'!$O744,0,YEARFRAC('FA Addition'!$C744,$P$1-1,3),'FA Addition'!$Q744),FAAddition[[#This Row],[Original Cost (Rs)]]-FAAddition[[#This Row],[Salvage Value]])),0),0)</f>
        <v>0</v>
      </c>
      <c r="AM744" s="119"/>
      <c r="AN744" s="117">
        <f>MAX(IF(AH744&gt;0,IF('FA Addition'!$N744="SLM",($AF744-'FA Addition'!$M744)*'FA Addition'!$P744*AH744/365,IFERROR(VDB(AF744,AF744*0.05,'FA Addition'!$O744,0,YEARFRAC('FA Addition'!$C744,$L$1,3),'FA Addition'!$Q744),FAAddition[[#This Row],[Original Cost (Rs)]]-FAAddition[[#This Row],[Salvage Value]])),0),0)</f>
        <v>12006.147237797013</v>
      </c>
      <c r="AO744" s="117">
        <f t="shared" si="58"/>
        <v>12006.147237797013</v>
      </c>
      <c r="AQ744" s="117">
        <f t="shared" si="56"/>
        <v>0</v>
      </c>
      <c r="AR744" s="120">
        <f t="shared" si="57"/>
        <v>17646.396095536322</v>
      </c>
      <c r="AS744" s="121"/>
    </row>
    <row r="745" spans="1:45" ht="13.5" x14ac:dyDescent="0.4">
      <c r="A745" s="12">
        <f t="shared" si="59"/>
        <v>742</v>
      </c>
      <c r="B745" s="64" t="s">
        <v>1308</v>
      </c>
      <c r="C745" s="54">
        <v>45148</v>
      </c>
      <c r="D745" s="54">
        <v>45148</v>
      </c>
      <c r="E745" s="46" t="s">
        <v>451</v>
      </c>
      <c r="F745" s="51" t="s">
        <v>19</v>
      </c>
      <c r="G745" s="51" t="s">
        <v>1134</v>
      </c>
      <c r="H745" s="51" t="s">
        <v>21</v>
      </c>
      <c r="I745" s="55" t="s">
        <v>1485</v>
      </c>
      <c r="J745" s="56">
        <v>1</v>
      </c>
      <c r="K745" s="51" t="s">
        <v>1486</v>
      </c>
      <c r="L745" s="58">
        <v>29652.543333333335</v>
      </c>
      <c r="M745" s="50">
        <f>ROUND('FA Addition'!$L745*5%,0.1)</f>
        <v>1483</v>
      </c>
      <c r="N745" s="113" t="str">
        <f>_xlfn.XLOOKUP(_xlfn.CONCAT(E745,B745),'Year Wise Master Dep Approach'!F:F,'Year Wise Master Dep Approach'!D:D)</f>
        <v>WDV</v>
      </c>
      <c r="O745" s="113">
        <f>_xlfn.XLOOKUP(_xlfn.CONCAT(E745,B745),'Year Wise Master Dep Approach'!F:F,'Year Wise Master Dep Approach'!E:E)</f>
        <v>3</v>
      </c>
      <c r="P745" s="114">
        <f>IFERROR(IF('FA Addition'!$N745="WDV",1-('FA Addition'!$M745/'FA Addition'!$L745)^(1/'FA Addition'!$O745),1/'FA Addition'!$O745),0)</f>
        <v>0.63156597218593313</v>
      </c>
      <c r="Q745" s="122">
        <f>'FA Addition'!$P745*'FA Addition'!$O745</f>
        <v>1.8946979165577993</v>
      </c>
      <c r="R745" s="122"/>
      <c r="S745" s="116">
        <f>IF(AND(DATE(20&amp;LEFT(FAAddition[[#This Row],[FY]],2),4,1)&lt;$L$1+1,DATE(20&amp;LEFT(FAAddition[[#This Row],[FY]],2),4,1)&gt;$P$1-1),'FA Addition'!$J745,0)</f>
        <v>1</v>
      </c>
      <c r="U745" s="117">
        <f>S745*'FA Addition'!$L745/'FA Addition'!$J745</f>
        <v>29652.543333333335</v>
      </c>
      <c r="W745" s="116">
        <f>SUMIFS('FA Write off'!D:D,'FA Write off'!A:A,'FA Addition'!$A745,'FA Write off'!C:C,"&lt;"&amp;'FA Addition'!$P$1)</f>
        <v>0</v>
      </c>
      <c r="Y745" s="191">
        <f>IFERROR(W745/'FA Addition'!$J745*'FA Addition'!$L745,0)</f>
        <v>0</v>
      </c>
      <c r="AA745" s="116">
        <f>SUMIFS('FA Write off'!D:D,'FA Write off'!A:A,'FA Addition'!$A745,'FA Write off'!C:C,"&lt;"&amp;'FA Addition'!$L$1+1,'FA Write off'!C:C,"&gt;"&amp;'FA Addition'!$L$1-365)</f>
        <v>0</v>
      </c>
      <c r="AC745" s="118">
        <f>IFERROR(AA745/'FA Addition'!$J745*'FA Addition'!$L745,0)</f>
        <v>0</v>
      </c>
      <c r="AE745" s="117">
        <f>IF(AND('FA Addition'!$D745&lt;$P$1+1,U745=0),'FA Addition'!$L745,0)-Y745</f>
        <v>0</v>
      </c>
      <c r="AF745" s="117">
        <f t="shared" si="55"/>
        <v>29652.543333333335</v>
      </c>
      <c r="AG745" s="117">
        <f>MIN(MAX(+$P$1-'FA Addition'!$D745,0),365*'FA Addition'!$O745)</f>
        <v>0</v>
      </c>
      <c r="AH745" s="117">
        <f>MIN(MAX($L$1-'FA Addition'!$D745+1,0),365*'FA Addition'!$O745)</f>
        <v>235</v>
      </c>
      <c r="AI745" s="117" cm="1">
        <f t="array" ref="AI745">_xlfn.XLOOKUP(1,('FA Write off'!A:A='FA Addition'!$A745)*('FA Write off'!D:D=AA745),'FA Write off'!H:H,0,0)</f>
        <v>0</v>
      </c>
      <c r="AJ745" s="117">
        <f>IF(AC745&gt;0,MAX(IF('FA Addition'!$N745="SLM",($AC745-'FA Addition'!$M745)*'FA Addition'!$P745*AI745/365,(AC745-'FA Addition'!$M745)*(1-(1-'FA Addition'!$P745)^(AI745/365))),0),0)</f>
        <v>0</v>
      </c>
      <c r="AL745" s="117">
        <f>MAX(IF(AG745&gt;0,IF('FA Addition'!$N745="SLM",($AE745-'FA Addition'!$M745)*'FA Addition'!$P745*AG745/365,IFERROR(VDB(AE745,AE745*0.05,'FA Addition'!$O745,0,YEARFRAC('FA Addition'!$C745,$P$1-1,3),'FA Addition'!$Q745),FAAddition[[#This Row],[Original Cost (Rs)]]-FAAddition[[#This Row],[Salvage Value]])),0),0)</f>
        <v>0</v>
      </c>
      <c r="AM745" s="119"/>
      <c r="AN745" s="117">
        <f>MAX(IF(AH745&gt;0,IF('FA Addition'!$N745="SLM",($AF745-'FA Addition'!$M745)*'FA Addition'!$P745*AH745/365,IFERROR(VDB(AF745,AF745*0.05,'FA Addition'!$O745,0,YEARFRAC('FA Addition'!$C745,$L$1,3),'FA Addition'!$Q745),FAAddition[[#This Row],[Original Cost (Rs)]]-FAAddition[[#This Row],[Salvage Value]])),0),0)</f>
        <v>12006.147237797013</v>
      </c>
      <c r="AO745" s="117">
        <f t="shared" si="58"/>
        <v>12006.147237797013</v>
      </c>
      <c r="AQ745" s="117">
        <f t="shared" si="56"/>
        <v>0</v>
      </c>
      <c r="AR745" s="120">
        <f t="shared" si="57"/>
        <v>17646.396095536322</v>
      </c>
      <c r="AS745" s="121"/>
    </row>
    <row r="746" spans="1:45" ht="13.5" x14ac:dyDescent="0.4">
      <c r="A746" s="12">
        <f t="shared" si="59"/>
        <v>743</v>
      </c>
      <c r="B746" s="64" t="s">
        <v>1308</v>
      </c>
      <c r="C746" s="54">
        <v>45148</v>
      </c>
      <c r="D746" s="54">
        <v>45148</v>
      </c>
      <c r="E746" s="46" t="s">
        <v>451</v>
      </c>
      <c r="F746" s="51" t="s">
        <v>19</v>
      </c>
      <c r="G746" s="51" t="s">
        <v>1396</v>
      </c>
      <c r="H746" s="51" t="s">
        <v>21</v>
      </c>
      <c r="I746" s="55" t="s">
        <v>1487</v>
      </c>
      <c r="J746" s="56">
        <v>1</v>
      </c>
      <c r="K746" s="51" t="s">
        <v>1486</v>
      </c>
      <c r="L746" s="58">
        <v>29652.54</v>
      </c>
      <c r="M746" s="50">
        <f>ROUND('FA Addition'!$L746*5%,0.1)</f>
        <v>1483</v>
      </c>
      <c r="N746" s="113" t="str">
        <f>_xlfn.XLOOKUP(_xlfn.CONCAT(E746,B746),'Year Wise Master Dep Approach'!F:F,'Year Wise Master Dep Approach'!D:D)</f>
        <v>WDV</v>
      </c>
      <c r="O746" s="113">
        <f>_xlfn.XLOOKUP(_xlfn.CONCAT(E746,B746),'Year Wise Master Dep Approach'!F:F,'Year Wise Master Dep Approach'!E:E)</f>
        <v>3</v>
      </c>
      <c r="P746" s="114">
        <f>IFERROR(IF('FA Addition'!$N746="WDV",1-('FA Addition'!$M746/'FA Addition'!$L746)^(1/'FA Addition'!$O746),1/'FA Addition'!$O746),0)</f>
        <v>0.63156595838033236</v>
      </c>
      <c r="Q746" s="122">
        <f>'FA Addition'!$P746*'FA Addition'!$O746</f>
        <v>1.8946978751409971</v>
      </c>
      <c r="R746" s="122"/>
      <c r="S746" s="116">
        <f>IF(AND(DATE(20&amp;LEFT(FAAddition[[#This Row],[FY]],2),4,1)&lt;$L$1+1,DATE(20&amp;LEFT(FAAddition[[#This Row],[FY]],2),4,1)&gt;$P$1-1),'FA Addition'!$J746,0)</f>
        <v>1</v>
      </c>
      <c r="U746" s="117">
        <f>S746*'FA Addition'!$L746/'FA Addition'!$J746</f>
        <v>29652.54</v>
      </c>
      <c r="W746" s="116">
        <f>SUMIFS('FA Write off'!D:D,'FA Write off'!A:A,'FA Addition'!$A746,'FA Write off'!C:C,"&lt;"&amp;'FA Addition'!$P$1)</f>
        <v>0</v>
      </c>
      <c r="Y746" s="191">
        <f>IFERROR(W746/'FA Addition'!$J746*'FA Addition'!$L746,0)</f>
        <v>0</v>
      </c>
      <c r="AA746" s="116">
        <f>SUMIFS('FA Write off'!D:D,'FA Write off'!A:A,'FA Addition'!$A746,'FA Write off'!C:C,"&lt;"&amp;'FA Addition'!$L$1+1,'FA Write off'!C:C,"&gt;"&amp;'FA Addition'!$L$1-365)</f>
        <v>0</v>
      </c>
      <c r="AC746" s="118">
        <f>IFERROR(AA746/'FA Addition'!$J746*'FA Addition'!$L746,0)</f>
        <v>0</v>
      </c>
      <c r="AE746" s="117">
        <f>IF(AND('FA Addition'!$D746&lt;$P$1+1,U746=0),'FA Addition'!$L746,0)-Y746</f>
        <v>0</v>
      </c>
      <c r="AF746" s="117">
        <f t="shared" si="55"/>
        <v>29652.54</v>
      </c>
      <c r="AG746" s="117">
        <f>MIN(MAX(+$P$1-'FA Addition'!$D746,0),365*'FA Addition'!$O746)</f>
        <v>0</v>
      </c>
      <c r="AH746" s="117">
        <f>MIN(MAX($L$1-'FA Addition'!$D746+1,0),365*'FA Addition'!$O746)</f>
        <v>235</v>
      </c>
      <c r="AI746" s="117" cm="1">
        <f t="array" ref="AI746">_xlfn.XLOOKUP(1,('FA Write off'!A:A='FA Addition'!$A746)*('FA Write off'!D:D=AA746),'FA Write off'!H:H,0,0)</f>
        <v>0</v>
      </c>
      <c r="AJ746" s="117">
        <f>IF(AC746&gt;0,MAX(IF('FA Addition'!$N746="SLM",($AC746-'FA Addition'!$M746)*'FA Addition'!$P746*AI746/365,(AC746-'FA Addition'!$M746)*(1-(1-'FA Addition'!$P746)^(AI746/365))),0),0)</f>
        <v>0</v>
      </c>
      <c r="AL746" s="117">
        <f>MAX(IF(AG746&gt;0,IF('FA Addition'!$N746="SLM",($AE746-'FA Addition'!$M746)*'FA Addition'!$P746*AG746/365,IFERROR(VDB(AE746,AE746*0.05,'FA Addition'!$O746,0,YEARFRAC('FA Addition'!$C746,$P$1-1,3),'FA Addition'!$Q746),FAAddition[[#This Row],[Original Cost (Rs)]]-FAAddition[[#This Row],[Salvage Value]])),0),0)</f>
        <v>0</v>
      </c>
      <c r="AM746" s="119"/>
      <c r="AN746" s="117">
        <f>MAX(IF(AH746&gt;0,IF('FA Addition'!$N746="SLM",($AF746-'FA Addition'!$M746)*'FA Addition'!$P746*AH746/365,IFERROR(VDB(AF746,AF746*0.05,'FA Addition'!$O746,0,YEARFRAC('FA Addition'!$C746,$L$1,3),'FA Addition'!$Q746),FAAddition[[#This Row],[Original Cost (Rs)]]-FAAddition[[#This Row],[Salvage Value]])),0),0)</f>
        <v>12006.145625703033</v>
      </c>
      <c r="AO746" s="117">
        <f t="shared" si="58"/>
        <v>12006.145625703033</v>
      </c>
      <c r="AQ746" s="117">
        <f t="shared" si="56"/>
        <v>0</v>
      </c>
      <c r="AR746" s="120">
        <f t="shared" si="57"/>
        <v>17646.394374296968</v>
      </c>
      <c r="AS746" s="121"/>
    </row>
    <row r="747" spans="1:45" ht="13.5" x14ac:dyDescent="0.4">
      <c r="A747" s="12">
        <f t="shared" si="59"/>
        <v>744</v>
      </c>
      <c r="B747" s="64" t="s">
        <v>1308</v>
      </c>
      <c r="C747" s="54">
        <v>45149</v>
      </c>
      <c r="D747" s="54">
        <v>45149</v>
      </c>
      <c r="E747" s="46" t="s">
        <v>1389</v>
      </c>
      <c r="F747" s="51" t="s">
        <v>1112</v>
      </c>
      <c r="G747" s="51" t="s">
        <v>36</v>
      </c>
      <c r="H747" s="51" t="s">
        <v>1113</v>
      </c>
      <c r="I747" s="55" t="s">
        <v>1488</v>
      </c>
      <c r="J747" s="56">
        <v>2000</v>
      </c>
      <c r="K747" s="51" t="s">
        <v>1132</v>
      </c>
      <c r="L747" s="58">
        <v>1460000</v>
      </c>
      <c r="M747" s="50">
        <f>ROUND('FA Addition'!$L747*5%,0.1)</f>
        <v>73000</v>
      </c>
      <c r="N747" s="113" t="str">
        <f>_xlfn.XLOOKUP(_xlfn.CONCAT(E747,B747),'Year Wise Master Dep Approach'!F:F,'Year Wise Master Dep Approach'!D:D)</f>
        <v>SLM</v>
      </c>
      <c r="O747" s="113">
        <f>_xlfn.XLOOKUP(_xlfn.CONCAT(E747,B747),'Year Wise Master Dep Approach'!F:F,'Year Wise Master Dep Approach'!E:E)</f>
        <v>3</v>
      </c>
      <c r="P747" s="114">
        <f>IFERROR(IF('FA Addition'!$N747="WDV",1-('FA Addition'!$M747/'FA Addition'!$L747)^(1/'FA Addition'!$O747),1/'FA Addition'!$O747),0)</f>
        <v>0.33333333333333331</v>
      </c>
      <c r="Q747" s="122">
        <f>'FA Addition'!$P747*'FA Addition'!$O747</f>
        <v>1</v>
      </c>
      <c r="R747" s="122"/>
      <c r="S747" s="116">
        <f>IF(AND(DATE(20&amp;LEFT(FAAddition[[#This Row],[FY]],2),4,1)&lt;$L$1+1,DATE(20&amp;LEFT(FAAddition[[#This Row],[FY]],2),4,1)&gt;$P$1-1),'FA Addition'!$J747,0)</f>
        <v>2000</v>
      </c>
      <c r="U747" s="117">
        <f>S747*'FA Addition'!$L747/'FA Addition'!$J747</f>
        <v>1460000</v>
      </c>
      <c r="W747" s="116">
        <f>SUMIFS('FA Write off'!D:D,'FA Write off'!A:A,'FA Addition'!$A747,'FA Write off'!C:C,"&lt;"&amp;'FA Addition'!$P$1)</f>
        <v>0</v>
      </c>
      <c r="Y747" s="191">
        <f>IFERROR(W747/'FA Addition'!$J747*'FA Addition'!$L747,0)</f>
        <v>0</v>
      </c>
      <c r="AA747" s="116">
        <f>SUMIFS('FA Write off'!D:D,'FA Write off'!A:A,'FA Addition'!$A747,'FA Write off'!C:C,"&lt;"&amp;'FA Addition'!$L$1+1,'FA Write off'!C:C,"&gt;"&amp;'FA Addition'!$L$1-365)</f>
        <v>0</v>
      </c>
      <c r="AC747" s="118">
        <f>IFERROR(AA747/'FA Addition'!$J747*'FA Addition'!$L747,0)</f>
        <v>0</v>
      </c>
      <c r="AE747" s="117">
        <f>IF(AND('FA Addition'!$D747&lt;$P$1+1,U747=0),'FA Addition'!$L747,0)-Y747</f>
        <v>0</v>
      </c>
      <c r="AF747" s="117">
        <f t="shared" si="55"/>
        <v>1460000</v>
      </c>
      <c r="AG747" s="117">
        <f>MIN(MAX(+$P$1-'FA Addition'!$D747,0),365*'FA Addition'!$O747)</f>
        <v>0</v>
      </c>
      <c r="AH747" s="117">
        <f>MIN(MAX($L$1-'FA Addition'!$D747+1,0),365*'FA Addition'!$O747)</f>
        <v>234</v>
      </c>
      <c r="AI747" s="117" cm="1">
        <f t="array" ref="AI747">_xlfn.XLOOKUP(1,('FA Write off'!A:A='FA Addition'!$A747)*('FA Write off'!D:D=AA747),'FA Write off'!H:H,0,0)</f>
        <v>0</v>
      </c>
      <c r="AJ747" s="117">
        <f>IF(AC747&gt;0,MAX(IF('FA Addition'!$N747="SLM",($AC747-'FA Addition'!$M747)*'FA Addition'!$P747*AI747/365,(AC747-'FA Addition'!$M747)*(1-(1-'FA Addition'!$P747)^(AI747/365))),0),0)</f>
        <v>0</v>
      </c>
      <c r="AL747" s="117">
        <f>MAX(IF(AG747&gt;0,IF('FA Addition'!$N747="SLM",($AE747-'FA Addition'!$M747)*'FA Addition'!$P747*AG747/365,IFERROR(VDB(AE747,AE747*0.05,'FA Addition'!$O747,0,YEARFRAC('FA Addition'!$C747,$P$1-1,3),'FA Addition'!$Q747),FAAddition[[#This Row],[Original Cost (Rs)]]-FAAddition[[#This Row],[Salvage Value]])),0),0)</f>
        <v>0</v>
      </c>
      <c r="AM747" s="119"/>
      <c r="AN747" s="117">
        <f>MAX(IF(AH747&gt;0,IF('FA Addition'!$N747="SLM",($AF747-'FA Addition'!$M747)*'FA Addition'!$P747*AH747/365,IFERROR(VDB(AF747,AF747*0.05,'FA Addition'!$O747,0,YEARFRAC('FA Addition'!$C747,$L$1,3),'FA Addition'!$Q747),FAAddition[[#This Row],[Original Cost (Rs)]]-FAAddition[[#This Row],[Salvage Value]])),0),0)</f>
        <v>296400</v>
      </c>
      <c r="AO747" s="117">
        <f t="shared" si="58"/>
        <v>296400</v>
      </c>
      <c r="AQ747" s="117">
        <f t="shared" si="56"/>
        <v>0</v>
      </c>
      <c r="AR747" s="120">
        <f t="shared" si="57"/>
        <v>1163600</v>
      </c>
      <c r="AS747" s="121"/>
    </row>
    <row r="748" spans="1:45" ht="13.5" x14ac:dyDescent="0.4">
      <c r="A748" s="12">
        <f t="shared" si="59"/>
        <v>745</v>
      </c>
      <c r="B748" s="64" t="s">
        <v>1308</v>
      </c>
      <c r="C748" s="54">
        <v>45150</v>
      </c>
      <c r="D748" s="54">
        <v>45150</v>
      </c>
      <c r="E748" s="46" t="s">
        <v>451</v>
      </c>
      <c r="F748" s="51" t="s">
        <v>19</v>
      </c>
      <c r="G748" s="51" t="s">
        <v>1489</v>
      </c>
      <c r="H748" s="51" t="s">
        <v>21</v>
      </c>
      <c r="I748" s="55" t="s">
        <v>1490</v>
      </c>
      <c r="J748" s="56">
        <v>1</v>
      </c>
      <c r="K748" s="51" t="s">
        <v>1491</v>
      </c>
      <c r="L748" s="58">
        <v>30500</v>
      </c>
      <c r="M748" s="50">
        <f>ROUND('FA Addition'!$L748*5%,0.1)</f>
        <v>1525</v>
      </c>
      <c r="N748" s="113" t="str">
        <f>_xlfn.XLOOKUP(_xlfn.CONCAT(E748,B748),'Year Wise Master Dep Approach'!F:F,'Year Wise Master Dep Approach'!D:D)</f>
        <v>WDV</v>
      </c>
      <c r="O748" s="113">
        <f>_xlfn.XLOOKUP(_xlfn.CONCAT(E748,B748),'Year Wise Master Dep Approach'!F:F,'Year Wise Master Dep Approach'!E:E)</f>
        <v>3</v>
      </c>
      <c r="P748" s="114">
        <f>IFERROR(IF('FA Addition'!$N748="WDV",1-('FA Addition'!$M748/'FA Addition'!$L748)^(1/'FA Addition'!$O748),1/'FA Addition'!$O748),0)</f>
        <v>0.63159685013596123</v>
      </c>
      <c r="Q748" s="122">
        <f>'FA Addition'!$P748*'FA Addition'!$O748</f>
        <v>1.8947905504078837</v>
      </c>
      <c r="R748" s="122"/>
      <c r="S748" s="116">
        <f>IF(AND(DATE(20&amp;LEFT(FAAddition[[#This Row],[FY]],2),4,1)&lt;$L$1+1,DATE(20&amp;LEFT(FAAddition[[#This Row],[FY]],2),4,1)&gt;$P$1-1),'FA Addition'!$J748,0)</f>
        <v>1</v>
      </c>
      <c r="U748" s="117">
        <f>S748*'FA Addition'!$L748/'FA Addition'!$J748</f>
        <v>30500</v>
      </c>
      <c r="W748" s="116">
        <f>SUMIFS('FA Write off'!D:D,'FA Write off'!A:A,'FA Addition'!$A748,'FA Write off'!C:C,"&lt;"&amp;'FA Addition'!$P$1)</f>
        <v>0</v>
      </c>
      <c r="Y748" s="191">
        <f>IFERROR(W748/'FA Addition'!$J748*'FA Addition'!$L748,0)</f>
        <v>0</v>
      </c>
      <c r="AA748" s="116">
        <f>SUMIFS('FA Write off'!D:D,'FA Write off'!A:A,'FA Addition'!$A748,'FA Write off'!C:C,"&lt;"&amp;'FA Addition'!$L$1+1,'FA Write off'!C:C,"&gt;"&amp;'FA Addition'!$L$1-365)</f>
        <v>0</v>
      </c>
      <c r="AC748" s="118">
        <f>IFERROR(AA748/'FA Addition'!$J748*'FA Addition'!$L748,0)</f>
        <v>0</v>
      </c>
      <c r="AE748" s="117">
        <f>IF(AND('FA Addition'!$D748&lt;$P$1+1,U748=0),'FA Addition'!$L748,0)-Y748</f>
        <v>0</v>
      </c>
      <c r="AF748" s="117">
        <f t="shared" si="55"/>
        <v>30500</v>
      </c>
      <c r="AG748" s="117">
        <f>MIN(MAX(+$P$1-'FA Addition'!$D748,0),365*'FA Addition'!$O748)</f>
        <v>0</v>
      </c>
      <c r="AH748" s="117">
        <f>MIN(MAX($L$1-'FA Addition'!$D748+1,0),365*'FA Addition'!$O748)</f>
        <v>233</v>
      </c>
      <c r="AI748" s="117" cm="1">
        <f t="array" ref="AI748">_xlfn.XLOOKUP(1,('FA Write off'!A:A='FA Addition'!$A748)*('FA Write off'!D:D=AA748),'FA Write off'!H:H,0,0)</f>
        <v>0</v>
      </c>
      <c r="AJ748" s="117">
        <f>IF(AC748&gt;0,MAX(IF('FA Addition'!$N748="SLM",($AC748-'FA Addition'!$M748)*'FA Addition'!$P748*AI748/365,(AC748-'FA Addition'!$M748)*(1-(1-'FA Addition'!$P748)^(AI748/365))),0),0)</f>
        <v>0</v>
      </c>
      <c r="AL748" s="117">
        <f>MAX(IF(AG748&gt;0,IF('FA Addition'!$N748="SLM",($AE748-'FA Addition'!$M748)*'FA Addition'!$P748*AG748/365,IFERROR(VDB(AE748,AE748*0.05,'FA Addition'!$O748,0,YEARFRAC('FA Addition'!$C748,$P$1-1,3),'FA Addition'!$Q748),FAAddition[[#This Row],[Original Cost (Rs)]]-FAAddition[[#This Row],[Salvage Value]])),0),0)</f>
        <v>0</v>
      </c>
      <c r="AM748" s="119"/>
      <c r="AN748" s="117">
        <f>MAX(IF(AH748&gt;0,IF('FA Addition'!$N748="SLM",($AF748-'FA Addition'!$M748)*'FA Addition'!$P748*AH748/365,IFERROR(VDB(AF748,AF748*0.05,'FA Addition'!$O748,0,YEARFRAC('FA Addition'!$C748,$L$1,3),'FA Addition'!$Q748),FAAddition[[#This Row],[Original Cost (Rs)]]-FAAddition[[#This Row],[Salvage Value]])),0),0)</f>
        <v>12244.32688099195</v>
      </c>
      <c r="AO748" s="117">
        <f t="shared" si="58"/>
        <v>12244.32688099195</v>
      </c>
      <c r="AQ748" s="117">
        <f t="shared" si="56"/>
        <v>0</v>
      </c>
      <c r="AR748" s="120">
        <f t="shared" si="57"/>
        <v>18255.67311900805</v>
      </c>
      <c r="AS748" s="121"/>
    </row>
    <row r="749" spans="1:45" ht="13.5" x14ac:dyDescent="0.4">
      <c r="A749" s="12">
        <f t="shared" si="59"/>
        <v>746</v>
      </c>
      <c r="B749" s="64" t="s">
        <v>1308</v>
      </c>
      <c r="C749" s="54">
        <v>45154</v>
      </c>
      <c r="D749" s="54">
        <v>45154</v>
      </c>
      <c r="E749" s="46" t="s">
        <v>451</v>
      </c>
      <c r="F749" s="51" t="s">
        <v>19</v>
      </c>
      <c r="G749" s="51" t="s">
        <v>1407</v>
      </c>
      <c r="H749" s="51" t="s">
        <v>21</v>
      </c>
      <c r="I749" s="55" t="s">
        <v>1492</v>
      </c>
      <c r="J749" s="56">
        <v>1</v>
      </c>
      <c r="K749" s="51" t="s">
        <v>1444</v>
      </c>
      <c r="L749" s="58">
        <v>29644.07</v>
      </c>
      <c r="M749" s="50">
        <f>ROUND('FA Addition'!$L749*5%,0.1)</f>
        <v>1482</v>
      </c>
      <c r="N749" s="113" t="str">
        <f>_xlfn.XLOOKUP(_xlfn.CONCAT(E749,B749),'Year Wise Master Dep Approach'!F:F,'Year Wise Master Dep Approach'!D:D)</f>
        <v>WDV</v>
      </c>
      <c r="O749" s="113">
        <f>_xlfn.XLOOKUP(_xlfn.CONCAT(E749,B749),'Year Wise Master Dep Approach'!F:F,'Year Wise Master Dep Approach'!E:E)</f>
        <v>3</v>
      </c>
      <c r="P749" s="114">
        <f>IFERROR(IF('FA Addition'!$N749="WDV",1-('FA Addition'!$M749/'FA Addition'!$L749)^(1/'FA Addition'!$O749),1/'FA Addition'!$O749),0)</f>
        <v>0.63161371094989538</v>
      </c>
      <c r="Q749" s="122">
        <f>'FA Addition'!$P749*'FA Addition'!$O749</f>
        <v>1.8948411328496861</v>
      </c>
      <c r="R749" s="122"/>
      <c r="S749" s="116">
        <f>IF(AND(DATE(20&amp;LEFT(FAAddition[[#This Row],[FY]],2),4,1)&lt;$L$1+1,DATE(20&amp;LEFT(FAAddition[[#This Row],[FY]],2),4,1)&gt;$P$1-1),'FA Addition'!$J749,0)</f>
        <v>1</v>
      </c>
      <c r="U749" s="117">
        <f>S749*'FA Addition'!$L749/'FA Addition'!$J749</f>
        <v>29644.07</v>
      </c>
      <c r="W749" s="116">
        <f>SUMIFS('FA Write off'!D:D,'FA Write off'!A:A,'FA Addition'!$A749,'FA Write off'!C:C,"&lt;"&amp;'FA Addition'!$P$1)</f>
        <v>0</v>
      </c>
      <c r="Y749" s="191">
        <f>IFERROR(W749/'FA Addition'!$J749*'FA Addition'!$L749,0)</f>
        <v>0</v>
      </c>
      <c r="AA749" s="116">
        <f>SUMIFS('FA Write off'!D:D,'FA Write off'!A:A,'FA Addition'!$A749,'FA Write off'!C:C,"&lt;"&amp;'FA Addition'!$L$1+1,'FA Write off'!C:C,"&gt;"&amp;'FA Addition'!$L$1-365)</f>
        <v>0</v>
      </c>
      <c r="AC749" s="118">
        <f>IFERROR(AA749/'FA Addition'!$J749*'FA Addition'!$L749,0)</f>
        <v>0</v>
      </c>
      <c r="AE749" s="117">
        <f>IF(AND('FA Addition'!$D749&lt;$P$1+1,U749=0),'FA Addition'!$L749,0)-Y749</f>
        <v>0</v>
      </c>
      <c r="AF749" s="117">
        <f t="shared" si="55"/>
        <v>29644.07</v>
      </c>
      <c r="AG749" s="117">
        <f>MIN(MAX(+$P$1-'FA Addition'!$D749,0),365*'FA Addition'!$O749)</f>
        <v>0</v>
      </c>
      <c r="AH749" s="117">
        <f>MIN(MAX($L$1-'FA Addition'!$D749+1,0),365*'FA Addition'!$O749)</f>
        <v>229</v>
      </c>
      <c r="AI749" s="117" cm="1">
        <f t="array" ref="AI749">_xlfn.XLOOKUP(1,('FA Write off'!A:A='FA Addition'!$A749)*('FA Write off'!D:D=AA749),'FA Write off'!H:H,0,0)</f>
        <v>0</v>
      </c>
      <c r="AJ749" s="117">
        <f>IF(AC749&gt;0,MAX(IF('FA Addition'!$N749="SLM",($AC749-'FA Addition'!$M749)*'FA Addition'!$P749*AI749/365,(AC749-'FA Addition'!$M749)*(1-(1-'FA Addition'!$P749)^(AI749/365))),0),0)</f>
        <v>0</v>
      </c>
      <c r="AL749" s="117">
        <f>MAX(IF(AG749&gt;0,IF('FA Addition'!$N749="SLM",($AE749-'FA Addition'!$M749)*'FA Addition'!$P749*AG749/365,IFERROR(VDB(AE749,AE749*0.05,'FA Addition'!$O749,0,YEARFRAC('FA Addition'!$C749,$P$1-1,3),'FA Addition'!$Q749),FAAddition[[#This Row],[Original Cost (Rs)]]-FAAddition[[#This Row],[Salvage Value]])),0),0)</f>
        <v>0</v>
      </c>
      <c r="AM749" s="119"/>
      <c r="AN749" s="117">
        <f>MAX(IF(AH749&gt;0,IF('FA Addition'!$N749="SLM",($AF749-'FA Addition'!$M749)*'FA Addition'!$P749*AH749/365,IFERROR(VDB(AF749,AF749*0.05,'FA Addition'!$O749,0,YEARFRAC('FA Addition'!$C749,$L$1,3),'FA Addition'!$Q749),FAAddition[[#This Row],[Original Cost (Rs)]]-FAAddition[[#This Row],[Salvage Value]])),0),0)</f>
        <v>11695.838470580082</v>
      </c>
      <c r="AO749" s="117">
        <f t="shared" si="58"/>
        <v>11695.838470580082</v>
      </c>
      <c r="AQ749" s="117">
        <f t="shared" si="56"/>
        <v>0</v>
      </c>
      <c r="AR749" s="120">
        <f t="shared" si="57"/>
        <v>17948.231529419918</v>
      </c>
      <c r="AS749" s="121"/>
    </row>
    <row r="750" spans="1:45" ht="13.5" x14ac:dyDescent="0.4">
      <c r="A750" s="12">
        <f t="shared" si="59"/>
        <v>747</v>
      </c>
      <c r="B750" s="64" t="s">
        <v>1308</v>
      </c>
      <c r="C750" s="54">
        <v>45155</v>
      </c>
      <c r="D750" s="54">
        <v>45155</v>
      </c>
      <c r="E750" s="46" t="s">
        <v>32</v>
      </c>
      <c r="F750" s="51" t="s">
        <v>1090</v>
      </c>
      <c r="G750" s="51" t="s">
        <v>1493</v>
      </c>
      <c r="H750" s="51" t="s">
        <v>32</v>
      </c>
      <c r="I750" s="55" t="s">
        <v>1494</v>
      </c>
      <c r="J750" s="56">
        <v>1</v>
      </c>
      <c r="K750" s="51"/>
      <c r="L750" s="58">
        <v>-1100</v>
      </c>
      <c r="M750" s="50">
        <f>ROUND('FA Addition'!$L750*5%,0.1)</f>
        <v>-55</v>
      </c>
      <c r="N750" s="113" t="str">
        <f>_xlfn.XLOOKUP(_xlfn.CONCAT(E750,B750),'Year Wise Master Dep Approach'!F:F,'Year Wise Master Dep Approach'!D:D)</f>
        <v>SLM</v>
      </c>
      <c r="O750" s="113">
        <f>_xlfn.XLOOKUP(_xlfn.CONCAT(E750,B750),'Year Wise Master Dep Approach'!F:F,'Year Wise Master Dep Approach'!E:E)</f>
        <v>5</v>
      </c>
      <c r="P750" s="114">
        <f>IFERROR(IF('FA Addition'!$N750="WDV",1-('FA Addition'!$M750/'FA Addition'!$L750)^(1/'FA Addition'!$O750),1/'FA Addition'!$O750),0)</f>
        <v>0.2</v>
      </c>
      <c r="Q750" s="122">
        <f>'FA Addition'!$P750*'FA Addition'!$O750</f>
        <v>1</v>
      </c>
      <c r="R750" s="122"/>
      <c r="S750" s="116">
        <f>IF(AND(DATE(20&amp;LEFT(FAAddition[[#This Row],[FY]],2),4,1)&lt;$L$1+1,DATE(20&amp;LEFT(FAAddition[[#This Row],[FY]],2),4,1)&gt;$P$1-1),'FA Addition'!$J750,0)</f>
        <v>1</v>
      </c>
      <c r="U750" s="117">
        <f>S750*'FA Addition'!$L750/'FA Addition'!$J750</f>
        <v>-1100</v>
      </c>
      <c r="W750" s="116">
        <f>SUMIFS('FA Write off'!D:D,'FA Write off'!A:A,'FA Addition'!$A750,'FA Write off'!C:C,"&lt;"&amp;'FA Addition'!$P$1)</f>
        <v>0</v>
      </c>
      <c r="Y750" s="191">
        <f>IFERROR(W750/'FA Addition'!$J750*'FA Addition'!$L750,0)</f>
        <v>0</v>
      </c>
      <c r="AA750" s="116">
        <f>SUMIFS('FA Write off'!D:D,'FA Write off'!A:A,'FA Addition'!$A750,'FA Write off'!C:C,"&lt;"&amp;'FA Addition'!$L$1+1,'FA Write off'!C:C,"&gt;"&amp;'FA Addition'!$L$1-365)</f>
        <v>0</v>
      </c>
      <c r="AC750" s="118">
        <f>IFERROR(AA750/'FA Addition'!$J750*'FA Addition'!$L750,0)</f>
        <v>0</v>
      </c>
      <c r="AE750" s="117">
        <f>IF(AND('FA Addition'!$D750&lt;$P$1+1,U750=0),'FA Addition'!$L750,0)-Y750</f>
        <v>0</v>
      </c>
      <c r="AF750" s="117">
        <f t="shared" si="55"/>
        <v>-1100</v>
      </c>
      <c r="AG750" s="117">
        <f>MIN(MAX(+$P$1-'FA Addition'!$D750,0),365*'FA Addition'!$O750)</f>
        <v>0</v>
      </c>
      <c r="AH750" s="117">
        <f>MIN(MAX($L$1-'FA Addition'!$D750+1,0),365*'FA Addition'!$O750)</f>
        <v>228</v>
      </c>
      <c r="AI750" s="117" cm="1">
        <f t="array" ref="AI750">_xlfn.XLOOKUP(1,('FA Write off'!A:A='FA Addition'!$A750)*('FA Write off'!D:D=AA750),'FA Write off'!H:H,0,0)</f>
        <v>0</v>
      </c>
      <c r="AJ750" s="117">
        <f>IF(AC750&gt;0,MAX(IF('FA Addition'!$N750="SLM",($AC750-'FA Addition'!$M750)*'FA Addition'!$P750*AI750/365,(AC750-'FA Addition'!$M750)*(1-(1-'FA Addition'!$P750)^(AI750/365))),0),0)</f>
        <v>0</v>
      </c>
      <c r="AL750" s="117">
        <f>MAX(IF(AG750&gt;0,IF('FA Addition'!$N750="SLM",($AE750-'FA Addition'!$M750)*'FA Addition'!$P750*AG750/365,IFERROR(VDB(AE750,AE750*0.05,'FA Addition'!$O750,0,YEARFRAC('FA Addition'!$C750,$P$1-1,3),'FA Addition'!$Q750),FAAddition[[#This Row],[Original Cost (Rs)]]-FAAddition[[#This Row],[Salvage Value]])),0),0)</f>
        <v>0</v>
      </c>
      <c r="AM750" s="119"/>
      <c r="AN750" s="117">
        <f>MAX(IF(AH750&gt;0,IF('FA Addition'!$N750="SLM",($AF750-'FA Addition'!$M750)*'FA Addition'!$P750*AH750/365,IFERROR(VDB(AF750,AF750*0.05,'FA Addition'!$O750,0,YEARFRAC('FA Addition'!$C750,$L$1,3),'FA Addition'!$Q750),FAAddition[[#This Row],[Original Cost (Rs)]]-FAAddition[[#This Row],[Salvage Value]])),0),0)</f>
        <v>0</v>
      </c>
      <c r="AO750" s="117">
        <f t="shared" si="58"/>
        <v>0</v>
      </c>
      <c r="AQ750" s="117">
        <f t="shared" si="56"/>
        <v>0</v>
      </c>
      <c r="AR750" s="120">
        <f t="shared" si="57"/>
        <v>-1100</v>
      </c>
      <c r="AS750" s="121"/>
    </row>
    <row r="751" spans="1:45" ht="13.5" x14ac:dyDescent="0.4">
      <c r="A751" s="12">
        <f t="shared" si="59"/>
        <v>748</v>
      </c>
      <c r="B751" s="64" t="s">
        <v>1308</v>
      </c>
      <c r="C751" s="54">
        <v>45155</v>
      </c>
      <c r="D751" s="54">
        <v>45155</v>
      </c>
      <c r="E751" s="46" t="s">
        <v>1389</v>
      </c>
      <c r="F751" s="51" t="s">
        <v>1112</v>
      </c>
      <c r="G751" s="51" t="s">
        <v>1493</v>
      </c>
      <c r="H751" s="51" t="s">
        <v>1113</v>
      </c>
      <c r="I751" s="55" t="s">
        <v>1494</v>
      </c>
      <c r="J751" s="56">
        <v>1</v>
      </c>
      <c r="K751" s="51" t="s">
        <v>1494</v>
      </c>
      <c r="L751" s="58">
        <v>-8580</v>
      </c>
      <c r="M751" s="50">
        <f>ROUND('FA Addition'!$L751*5%,0.1)</f>
        <v>-429</v>
      </c>
      <c r="N751" s="113" t="str">
        <f>_xlfn.XLOOKUP(_xlfn.CONCAT(E751,B751),'Year Wise Master Dep Approach'!F:F,'Year Wise Master Dep Approach'!D:D)</f>
        <v>SLM</v>
      </c>
      <c r="O751" s="113">
        <f>_xlfn.XLOOKUP(_xlfn.CONCAT(E751,B751),'Year Wise Master Dep Approach'!F:F,'Year Wise Master Dep Approach'!E:E)</f>
        <v>3</v>
      </c>
      <c r="P751" s="114">
        <f>IFERROR(IF('FA Addition'!$N751="WDV",1-('FA Addition'!$M751/'FA Addition'!$L751)^(1/'FA Addition'!$O751),1/'FA Addition'!$O751),0)</f>
        <v>0.33333333333333331</v>
      </c>
      <c r="Q751" s="122">
        <f>'FA Addition'!$P751*'FA Addition'!$O751</f>
        <v>1</v>
      </c>
      <c r="R751" s="122"/>
      <c r="S751" s="116">
        <f>IF(AND(DATE(20&amp;LEFT(FAAddition[[#This Row],[FY]],2),4,1)&lt;$L$1+1,DATE(20&amp;LEFT(FAAddition[[#This Row],[FY]],2),4,1)&gt;$P$1-1),'FA Addition'!$J751,0)</f>
        <v>1</v>
      </c>
      <c r="U751" s="117">
        <f>S751*'FA Addition'!$L751/'FA Addition'!$J751</f>
        <v>-8580</v>
      </c>
      <c r="W751" s="116">
        <f>SUMIFS('FA Write off'!D:D,'FA Write off'!A:A,'FA Addition'!$A751,'FA Write off'!C:C,"&lt;"&amp;'FA Addition'!$P$1)</f>
        <v>0</v>
      </c>
      <c r="Y751" s="191">
        <f>IFERROR(W751/'FA Addition'!$J751*'FA Addition'!$L751,0)</f>
        <v>0</v>
      </c>
      <c r="AA751" s="116">
        <f>SUMIFS('FA Write off'!D:D,'FA Write off'!A:A,'FA Addition'!$A751,'FA Write off'!C:C,"&lt;"&amp;'FA Addition'!$L$1+1,'FA Write off'!C:C,"&gt;"&amp;'FA Addition'!$L$1-365)</f>
        <v>0</v>
      </c>
      <c r="AC751" s="118">
        <f>IFERROR(AA751/'FA Addition'!$J751*'FA Addition'!$L751,0)</f>
        <v>0</v>
      </c>
      <c r="AE751" s="117">
        <f>IF(AND('FA Addition'!$D751&lt;$P$1+1,U751=0),'FA Addition'!$L751,0)-Y751</f>
        <v>0</v>
      </c>
      <c r="AF751" s="117">
        <f t="shared" si="55"/>
        <v>-8580</v>
      </c>
      <c r="AG751" s="117">
        <f>MIN(MAX(+$P$1-'FA Addition'!$D751,0),365*'FA Addition'!$O751)</f>
        <v>0</v>
      </c>
      <c r="AH751" s="117">
        <f>MIN(MAX($L$1-'FA Addition'!$D751+1,0),365*'FA Addition'!$O751)</f>
        <v>228</v>
      </c>
      <c r="AI751" s="117" cm="1">
        <f t="array" ref="AI751">_xlfn.XLOOKUP(1,('FA Write off'!A:A='FA Addition'!$A751)*('FA Write off'!D:D=AA751),'FA Write off'!H:H,0,0)</f>
        <v>0</v>
      </c>
      <c r="AJ751" s="117">
        <f>IF(AC751&gt;0,MAX(IF('FA Addition'!$N751="SLM",($AC751-'FA Addition'!$M751)*'FA Addition'!$P751*AI751/365,(AC751-'FA Addition'!$M751)*(1-(1-'FA Addition'!$P751)^(AI751/365))),0),0)</f>
        <v>0</v>
      </c>
      <c r="AL751" s="117">
        <f>MAX(IF(AG751&gt;0,IF('FA Addition'!$N751="SLM",($AE751-'FA Addition'!$M751)*'FA Addition'!$P751*AG751/365,IFERROR(VDB(AE751,AE751*0.05,'FA Addition'!$O751,0,YEARFRAC('FA Addition'!$C751,$P$1-1,3),'FA Addition'!$Q751),FAAddition[[#This Row],[Original Cost (Rs)]]-FAAddition[[#This Row],[Salvage Value]])),0),0)</f>
        <v>0</v>
      </c>
      <c r="AM751" s="119"/>
      <c r="AN751" s="117">
        <f>MAX(IF(AH751&gt;0,IF('FA Addition'!$N751="SLM",($AF751-'FA Addition'!$M751)*'FA Addition'!$P751*AH751/365,IFERROR(VDB(AF751,AF751*0.05,'FA Addition'!$O751,0,YEARFRAC('FA Addition'!$C751,$L$1,3),'FA Addition'!$Q751),FAAddition[[#This Row],[Original Cost (Rs)]]-FAAddition[[#This Row],[Salvage Value]])),0),0)</f>
        <v>0</v>
      </c>
      <c r="AO751" s="117">
        <f t="shared" si="58"/>
        <v>0</v>
      </c>
      <c r="AQ751" s="117">
        <f t="shared" si="56"/>
        <v>0</v>
      </c>
      <c r="AR751" s="120">
        <f t="shared" si="57"/>
        <v>-8580</v>
      </c>
      <c r="AS751" s="121"/>
    </row>
    <row r="752" spans="1:45" ht="13.5" x14ac:dyDescent="0.4">
      <c r="A752" s="12">
        <f t="shared" si="59"/>
        <v>749</v>
      </c>
      <c r="B752" s="64" t="s">
        <v>1308</v>
      </c>
      <c r="C752" s="54">
        <v>45156</v>
      </c>
      <c r="D752" s="54">
        <v>45156</v>
      </c>
      <c r="E752" s="46" t="s">
        <v>1495</v>
      </c>
      <c r="F752" s="51" t="s">
        <v>1496</v>
      </c>
      <c r="G752" s="51" t="s">
        <v>12</v>
      </c>
      <c r="H752" s="51" t="s">
        <v>183</v>
      </c>
      <c r="I752" s="55" t="s">
        <v>1497</v>
      </c>
      <c r="J752" s="56">
        <v>1</v>
      </c>
      <c r="K752" s="51" t="s">
        <v>1498</v>
      </c>
      <c r="L752" s="58">
        <v>3563836</v>
      </c>
      <c r="M752" s="50">
        <f>ROUND('FA Addition'!$L752*5%,0.1)</f>
        <v>178192</v>
      </c>
      <c r="N752" s="113" t="str">
        <f>_xlfn.XLOOKUP(_xlfn.CONCAT(E752,B752),'Year Wise Master Dep Approach'!F:F,'Year Wise Master Dep Approach'!D:D)</f>
        <v>SLM</v>
      </c>
      <c r="O752" s="113">
        <f>_xlfn.XLOOKUP(_xlfn.CONCAT(E752,B752),'Year Wise Master Dep Approach'!F:F,'Year Wise Master Dep Approach'!E:E)</f>
        <v>3</v>
      </c>
      <c r="P752" s="114">
        <f>IFERROR(IF('FA Addition'!$N752="WDV",1-('FA Addition'!$M752/'FA Addition'!$L752)^(1/'FA Addition'!$O752),1/'FA Addition'!$O752),0)</f>
        <v>0.33333333333333331</v>
      </c>
      <c r="Q752" s="122">
        <f>'FA Addition'!$P752*'FA Addition'!$O752</f>
        <v>1</v>
      </c>
      <c r="R752" s="122"/>
      <c r="S752" s="116">
        <f>IF(AND(DATE(20&amp;LEFT(FAAddition[[#This Row],[FY]],2),4,1)&lt;$L$1+1,DATE(20&amp;LEFT(FAAddition[[#This Row],[FY]],2),4,1)&gt;$P$1-1),'FA Addition'!$J752,0)</f>
        <v>1</v>
      </c>
      <c r="U752" s="117">
        <f>S752*'FA Addition'!$L752/'FA Addition'!$J752</f>
        <v>3563836</v>
      </c>
      <c r="W752" s="116">
        <f>SUMIFS('FA Write off'!D:D,'FA Write off'!A:A,'FA Addition'!$A752,'FA Write off'!C:C,"&lt;"&amp;'FA Addition'!$P$1)</f>
        <v>0</v>
      </c>
      <c r="Y752" s="191">
        <f>IFERROR(W752/'FA Addition'!$J752*'FA Addition'!$L752,0)</f>
        <v>0</v>
      </c>
      <c r="AA752" s="116">
        <f>SUMIFS('FA Write off'!D:D,'FA Write off'!A:A,'FA Addition'!$A752,'FA Write off'!C:C,"&lt;"&amp;'FA Addition'!$L$1+1,'FA Write off'!C:C,"&gt;"&amp;'FA Addition'!$L$1-365)</f>
        <v>0</v>
      </c>
      <c r="AC752" s="118">
        <f>IFERROR(AA752/'FA Addition'!$J752*'FA Addition'!$L752,0)</f>
        <v>0</v>
      </c>
      <c r="AE752" s="117">
        <f>IF(AND('FA Addition'!$D752&lt;$P$1+1,U752=0),'FA Addition'!$L752,0)-Y752</f>
        <v>0</v>
      </c>
      <c r="AF752" s="117">
        <f t="shared" si="55"/>
        <v>3563836</v>
      </c>
      <c r="AG752" s="117">
        <f>MIN(MAX(+$P$1-'FA Addition'!$D752,0),365*'FA Addition'!$O752)</f>
        <v>0</v>
      </c>
      <c r="AH752" s="117">
        <f>MIN(MAX($L$1-'FA Addition'!$D752+1,0),365*'FA Addition'!$O752)</f>
        <v>227</v>
      </c>
      <c r="AI752" s="117" cm="1">
        <f t="array" ref="AI752">_xlfn.XLOOKUP(1,('FA Write off'!A:A='FA Addition'!$A752)*('FA Write off'!D:D=AA752),'FA Write off'!H:H,0,0)</f>
        <v>0</v>
      </c>
      <c r="AJ752" s="117">
        <f>IF(AC752&gt;0,MAX(IF('FA Addition'!$N752="SLM",($AC752-'FA Addition'!$M752)*'FA Addition'!$P752*AI752/365,(AC752-'FA Addition'!$M752)*(1-(1-'FA Addition'!$P752)^(AI752/365))),0),0)</f>
        <v>0</v>
      </c>
      <c r="AL752" s="117">
        <f>MAX(IF(AG752&gt;0,IF('FA Addition'!$N752="SLM",($AE752-'FA Addition'!$M752)*'FA Addition'!$P752*AG752/365,IFERROR(VDB(AE752,AE752*0.05,'FA Addition'!$O752,0,YEARFRAC('FA Addition'!$C752,$P$1-1,3),'FA Addition'!$Q752),FAAddition[[#This Row],[Original Cost (Rs)]]-FAAddition[[#This Row],[Salvage Value]])),0),0)</f>
        <v>0</v>
      </c>
      <c r="AM752" s="119"/>
      <c r="AN752" s="117">
        <f>MAX(IF(AH752&gt;0,IF('FA Addition'!$N752="SLM",($AF752-'FA Addition'!$M752)*'FA Addition'!$P752*AH752/365,IFERROR(VDB(AF752,AF752*0.05,'FA Addition'!$O752,0,YEARFRAC('FA Addition'!$C752,$L$1,3),'FA Addition'!$Q752),FAAddition[[#This Row],[Original Cost (Rs)]]-FAAddition[[#This Row],[Salvage Value]])),0),0)</f>
        <v>701864.09863013704</v>
      </c>
      <c r="AO752" s="117">
        <f t="shared" si="58"/>
        <v>701864.09863013704</v>
      </c>
      <c r="AQ752" s="117">
        <f t="shared" si="56"/>
        <v>0</v>
      </c>
      <c r="AR752" s="120">
        <f t="shared" si="57"/>
        <v>2861971.9013698632</v>
      </c>
      <c r="AS752" s="121"/>
    </row>
    <row r="753" spans="1:45" ht="13.5" x14ac:dyDescent="0.4">
      <c r="A753" s="12">
        <f t="shared" si="59"/>
        <v>750</v>
      </c>
      <c r="B753" s="64" t="s">
        <v>1308</v>
      </c>
      <c r="C753" s="54">
        <v>45156</v>
      </c>
      <c r="D753" s="54">
        <v>45156</v>
      </c>
      <c r="E753" s="46" t="s">
        <v>1495</v>
      </c>
      <c r="F753" s="51" t="s">
        <v>1496</v>
      </c>
      <c r="G753" s="51" t="s">
        <v>1499</v>
      </c>
      <c r="H753" s="51" t="s">
        <v>193</v>
      </c>
      <c r="I753" s="55" t="s">
        <v>1500</v>
      </c>
      <c r="J753" s="56">
        <v>88</v>
      </c>
      <c r="K753" s="51" t="s">
        <v>1501</v>
      </c>
      <c r="L753" s="58">
        <v>861000</v>
      </c>
      <c r="M753" s="50">
        <f>ROUND('FA Addition'!$L753*5%,0.1)</f>
        <v>43050</v>
      </c>
      <c r="N753" s="113" t="str">
        <f>_xlfn.XLOOKUP(_xlfn.CONCAT(E753,B753),'Year Wise Master Dep Approach'!F:F,'Year Wise Master Dep Approach'!D:D)</f>
        <v>SLM</v>
      </c>
      <c r="O753" s="113">
        <f>_xlfn.XLOOKUP(_xlfn.CONCAT(E753,B753),'Year Wise Master Dep Approach'!F:F,'Year Wise Master Dep Approach'!E:E)</f>
        <v>3</v>
      </c>
      <c r="P753" s="114">
        <f>IFERROR(IF('FA Addition'!$N753="WDV",1-('FA Addition'!$M753/'FA Addition'!$L753)^(1/'FA Addition'!$O753),1/'FA Addition'!$O753),0)</f>
        <v>0.33333333333333331</v>
      </c>
      <c r="Q753" s="122">
        <f>'FA Addition'!$P753*'FA Addition'!$O753</f>
        <v>1</v>
      </c>
      <c r="R753" s="122"/>
      <c r="S753" s="116">
        <f>IF(AND(DATE(20&amp;LEFT(FAAddition[[#This Row],[FY]],2),4,1)&lt;$L$1+1,DATE(20&amp;LEFT(FAAddition[[#This Row],[FY]],2),4,1)&gt;$P$1-1),'FA Addition'!$J753,0)</f>
        <v>88</v>
      </c>
      <c r="U753" s="117">
        <f>S753*'FA Addition'!$L753/'FA Addition'!$J753</f>
        <v>861000</v>
      </c>
      <c r="W753" s="116">
        <f>SUMIFS('FA Write off'!D:D,'FA Write off'!A:A,'FA Addition'!$A753,'FA Write off'!C:C,"&lt;"&amp;'FA Addition'!$P$1)</f>
        <v>0</v>
      </c>
      <c r="Y753" s="191">
        <f>IFERROR(W753/'FA Addition'!$J753*'FA Addition'!$L753,0)</f>
        <v>0</v>
      </c>
      <c r="AA753" s="116">
        <f>SUMIFS('FA Write off'!D:D,'FA Write off'!A:A,'FA Addition'!$A753,'FA Write off'!C:C,"&lt;"&amp;'FA Addition'!$L$1+1,'FA Write off'!C:C,"&gt;"&amp;'FA Addition'!$L$1-365)</f>
        <v>0</v>
      </c>
      <c r="AC753" s="118">
        <f>IFERROR(AA753/'FA Addition'!$J753*'FA Addition'!$L753,0)</f>
        <v>0</v>
      </c>
      <c r="AE753" s="117">
        <f>IF(AND('FA Addition'!$D753&lt;$P$1+1,U753=0),'FA Addition'!$L753,0)-Y753</f>
        <v>0</v>
      </c>
      <c r="AF753" s="117">
        <f t="shared" si="55"/>
        <v>861000</v>
      </c>
      <c r="AG753" s="117">
        <f>MIN(MAX(+$P$1-'FA Addition'!$D753,0),365*'FA Addition'!$O753)</f>
        <v>0</v>
      </c>
      <c r="AH753" s="117">
        <f>MIN(MAX($L$1-'FA Addition'!$D753+1,0),365*'FA Addition'!$O753)</f>
        <v>227</v>
      </c>
      <c r="AI753" s="117" cm="1">
        <f t="array" ref="AI753">_xlfn.XLOOKUP(1,('FA Write off'!A:A='FA Addition'!$A753)*('FA Write off'!D:D=AA753),'FA Write off'!H:H,0,0)</f>
        <v>0</v>
      </c>
      <c r="AJ753" s="117">
        <f>IF(AC753&gt;0,MAX(IF('FA Addition'!$N753="SLM",($AC753-'FA Addition'!$M753)*'FA Addition'!$P753*AI753/365,(AC753-'FA Addition'!$M753)*(1-(1-'FA Addition'!$P753)^(AI753/365))),0),0)</f>
        <v>0</v>
      </c>
      <c r="AL753" s="117">
        <f>MAX(IF(AG753&gt;0,IF('FA Addition'!$N753="SLM",($AE753-'FA Addition'!$M753)*'FA Addition'!$P753*AG753/365,IFERROR(VDB(AE753,AE753*0.05,'FA Addition'!$O753,0,YEARFRAC('FA Addition'!$C753,$P$1-1,3),'FA Addition'!$Q753),FAAddition[[#This Row],[Original Cost (Rs)]]-FAAddition[[#This Row],[Salvage Value]])),0),0)</f>
        <v>0</v>
      </c>
      <c r="AM753" s="119"/>
      <c r="AN753" s="117">
        <f>MAX(IF(AH753&gt;0,IF('FA Addition'!$N753="SLM",($AF753-'FA Addition'!$M753)*'FA Addition'!$P753*AH753/365,IFERROR(VDB(AF753,AF753*0.05,'FA Addition'!$O753,0,YEARFRAC('FA Addition'!$C753,$L$1,3),'FA Addition'!$Q753),FAAddition[[#This Row],[Original Cost (Rs)]]-FAAddition[[#This Row],[Salvage Value]])),0),0)</f>
        <v>169565.89041095891</v>
      </c>
      <c r="AO753" s="117">
        <f t="shared" si="58"/>
        <v>169565.89041095891</v>
      </c>
      <c r="AQ753" s="117">
        <f t="shared" si="56"/>
        <v>0</v>
      </c>
      <c r="AR753" s="120">
        <f t="shared" si="57"/>
        <v>691434.10958904109</v>
      </c>
      <c r="AS753" s="121"/>
    </row>
    <row r="754" spans="1:45" ht="13.5" x14ac:dyDescent="0.4">
      <c r="A754" s="12">
        <f t="shared" si="59"/>
        <v>751</v>
      </c>
      <c r="B754" s="64" t="s">
        <v>1308</v>
      </c>
      <c r="C754" s="54">
        <v>45156</v>
      </c>
      <c r="D754" s="54">
        <v>45156</v>
      </c>
      <c r="E754" s="46" t="s">
        <v>451</v>
      </c>
      <c r="F754" s="51" t="s">
        <v>19</v>
      </c>
      <c r="G754" s="51" t="s">
        <v>1290</v>
      </c>
      <c r="H754" s="51" t="s">
        <v>21</v>
      </c>
      <c r="I754" s="55" t="s">
        <v>1502</v>
      </c>
      <c r="J754" s="56">
        <v>1</v>
      </c>
      <c r="K754" s="51" t="s">
        <v>1503</v>
      </c>
      <c r="L754" s="58">
        <v>63550.842499999999</v>
      </c>
      <c r="M754" s="50">
        <f>ROUND('FA Addition'!$L754*5%,0.1)</f>
        <v>3178</v>
      </c>
      <c r="N754" s="113" t="str">
        <f>_xlfn.XLOOKUP(_xlfn.CONCAT(E754,B754),'Year Wise Master Dep Approach'!F:F,'Year Wise Master Dep Approach'!D:D)</f>
        <v>WDV</v>
      </c>
      <c r="O754" s="113">
        <f>_xlfn.XLOOKUP(_xlfn.CONCAT(E754,B754),'Year Wise Master Dep Approach'!F:F,'Year Wise Master Dep Approach'!E:E)</f>
        <v>3</v>
      </c>
      <c r="P754" s="114">
        <f>IFERROR(IF('FA Addition'!$N754="WDV",1-('FA Addition'!$M754/'FA Addition'!$L754)^(1/'FA Addition'!$O754),1/'FA Addition'!$O754),0)</f>
        <v>0.63157915569541301</v>
      </c>
      <c r="Q754" s="122">
        <f>'FA Addition'!$P754*'FA Addition'!$O754</f>
        <v>1.8947374670862391</v>
      </c>
      <c r="R754" s="122"/>
      <c r="S754" s="116">
        <f>IF(AND(DATE(20&amp;LEFT(FAAddition[[#This Row],[FY]],2),4,1)&lt;$L$1+1,DATE(20&amp;LEFT(FAAddition[[#This Row],[FY]],2),4,1)&gt;$P$1-1),'FA Addition'!$J754,0)</f>
        <v>1</v>
      </c>
      <c r="U754" s="117">
        <f>S754*'FA Addition'!$L754/'FA Addition'!$J754</f>
        <v>63550.842499999999</v>
      </c>
      <c r="W754" s="116">
        <f>SUMIFS('FA Write off'!D:D,'FA Write off'!A:A,'FA Addition'!$A754,'FA Write off'!C:C,"&lt;"&amp;'FA Addition'!$P$1)</f>
        <v>0</v>
      </c>
      <c r="Y754" s="191">
        <f>IFERROR(W754/'FA Addition'!$J754*'FA Addition'!$L754,0)</f>
        <v>0</v>
      </c>
      <c r="AA754" s="116">
        <f>SUMIFS('FA Write off'!D:D,'FA Write off'!A:A,'FA Addition'!$A754,'FA Write off'!C:C,"&lt;"&amp;'FA Addition'!$L$1+1,'FA Write off'!C:C,"&gt;"&amp;'FA Addition'!$L$1-365)</f>
        <v>0</v>
      </c>
      <c r="AC754" s="118">
        <f>IFERROR(AA754/'FA Addition'!$J754*'FA Addition'!$L754,0)</f>
        <v>0</v>
      </c>
      <c r="AE754" s="117">
        <f>IF(AND('FA Addition'!$D754&lt;$P$1+1,U754=0),'FA Addition'!$L754,0)-Y754</f>
        <v>0</v>
      </c>
      <c r="AF754" s="117">
        <f t="shared" si="55"/>
        <v>63550.842499999999</v>
      </c>
      <c r="AG754" s="117">
        <f>MIN(MAX(+$P$1-'FA Addition'!$D754,0),365*'FA Addition'!$O754)</f>
        <v>0</v>
      </c>
      <c r="AH754" s="117">
        <f>MIN(MAX($L$1-'FA Addition'!$D754+1,0),365*'FA Addition'!$O754)</f>
        <v>227</v>
      </c>
      <c r="AI754" s="117" cm="1">
        <f t="array" ref="AI754">_xlfn.XLOOKUP(1,('FA Write off'!A:A='FA Addition'!$A754)*('FA Write off'!D:D=AA754),'FA Write off'!H:H,0,0)</f>
        <v>0</v>
      </c>
      <c r="AJ754" s="117">
        <f>IF(AC754&gt;0,MAX(IF('FA Addition'!$N754="SLM",($AC754-'FA Addition'!$M754)*'FA Addition'!$P754*AI754/365,(AC754-'FA Addition'!$M754)*(1-(1-'FA Addition'!$P754)^(AI754/365))),0),0)</f>
        <v>0</v>
      </c>
      <c r="AL754" s="117">
        <f>MAX(IF(AG754&gt;0,IF('FA Addition'!$N754="SLM",($AE754-'FA Addition'!$M754)*'FA Addition'!$P754*AG754/365,IFERROR(VDB(AE754,AE754*0.05,'FA Addition'!$O754,0,YEARFRAC('FA Addition'!$C754,$P$1-1,3),'FA Addition'!$Q754),FAAddition[[#This Row],[Original Cost (Rs)]]-FAAddition[[#This Row],[Salvage Value]])),0),0)</f>
        <v>0</v>
      </c>
      <c r="AM754" s="119"/>
      <c r="AN754" s="117">
        <f>MAX(IF(AH754&gt;0,IF('FA Addition'!$N754="SLM",($AF754-'FA Addition'!$M754)*'FA Addition'!$P754*AH754/365,IFERROR(VDB(AF754,AF754*0.05,'FA Addition'!$O754,0,YEARFRAC('FA Addition'!$C754,$L$1,3),'FA Addition'!$Q754),FAAddition[[#This Row],[Original Cost (Rs)]]-FAAddition[[#This Row],[Salvage Value]])),0),0)</f>
        <v>24852.190585406493</v>
      </c>
      <c r="AO754" s="117">
        <f t="shared" si="58"/>
        <v>24852.190585406493</v>
      </c>
      <c r="AQ754" s="117">
        <f t="shared" si="56"/>
        <v>0</v>
      </c>
      <c r="AR754" s="120">
        <f t="shared" si="57"/>
        <v>38698.651914593502</v>
      </c>
      <c r="AS754" s="121"/>
    </row>
    <row r="755" spans="1:45" ht="13.5" x14ac:dyDescent="0.4">
      <c r="A755" s="12">
        <f t="shared" si="59"/>
        <v>752</v>
      </c>
      <c r="B755" s="64" t="s">
        <v>1308</v>
      </c>
      <c r="C755" s="54">
        <v>45156</v>
      </c>
      <c r="D755" s="54">
        <v>45156</v>
      </c>
      <c r="E755" s="46" t="s">
        <v>451</v>
      </c>
      <c r="F755" s="51" t="s">
        <v>19</v>
      </c>
      <c r="G755" s="51" t="s">
        <v>1290</v>
      </c>
      <c r="H755" s="51" t="s">
        <v>21</v>
      </c>
      <c r="I755" s="55" t="s">
        <v>1502</v>
      </c>
      <c r="J755" s="56">
        <v>1</v>
      </c>
      <c r="K755" s="51" t="s">
        <v>1503</v>
      </c>
      <c r="L755" s="58">
        <v>63550.842499999999</v>
      </c>
      <c r="M755" s="50">
        <f>ROUND('FA Addition'!$L755*5%,0.1)</f>
        <v>3178</v>
      </c>
      <c r="N755" s="113" t="str">
        <f>_xlfn.XLOOKUP(_xlfn.CONCAT(E755,B755),'Year Wise Master Dep Approach'!F:F,'Year Wise Master Dep Approach'!D:D)</f>
        <v>WDV</v>
      </c>
      <c r="O755" s="113">
        <f>_xlfn.XLOOKUP(_xlfn.CONCAT(E755,B755),'Year Wise Master Dep Approach'!F:F,'Year Wise Master Dep Approach'!E:E)</f>
        <v>3</v>
      </c>
      <c r="P755" s="114">
        <f>IFERROR(IF('FA Addition'!$N755="WDV",1-('FA Addition'!$M755/'FA Addition'!$L755)^(1/'FA Addition'!$O755),1/'FA Addition'!$O755),0)</f>
        <v>0.63157915569541301</v>
      </c>
      <c r="Q755" s="122">
        <f>'FA Addition'!$P755*'FA Addition'!$O755</f>
        <v>1.8947374670862391</v>
      </c>
      <c r="R755" s="122"/>
      <c r="S755" s="116">
        <f>IF(AND(DATE(20&amp;LEFT(FAAddition[[#This Row],[FY]],2),4,1)&lt;$L$1+1,DATE(20&amp;LEFT(FAAddition[[#This Row],[FY]],2),4,1)&gt;$P$1-1),'FA Addition'!$J755,0)</f>
        <v>1</v>
      </c>
      <c r="U755" s="117">
        <f>S755*'FA Addition'!$L755/'FA Addition'!$J755</f>
        <v>63550.842499999999</v>
      </c>
      <c r="W755" s="116">
        <f>SUMIFS('FA Write off'!D:D,'FA Write off'!A:A,'FA Addition'!$A755,'FA Write off'!C:C,"&lt;"&amp;'FA Addition'!$P$1)</f>
        <v>0</v>
      </c>
      <c r="Y755" s="191">
        <f>IFERROR(W755/'FA Addition'!$J755*'FA Addition'!$L755,0)</f>
        <v>0</v>
      </c>
      <c r="AA755" s="116">
        <f>SUMIFS('FA Write off'!D:D,'FA Write off'!A:A,'FA Addition'!$A755,'FA Write off'!C:C,"&lt;"&amp;'FA Addition'!$L$1+1,'FA Write off'!C:C,"&gt;"&amp;'FA Addition'!$L$1-365)</f>
        <v>0</v>
      </c>
      <c r="AC755" s="118">
        <f>IFERROR(AA755/'FA Addition'!$J755*'FA Addition'!$L755,0)</f>
        <v>0</v>
      </c>
      <c r="AE755" s="117">
        <f>IF(AND('FA Addition'!$D755&lt;$P$1+1,U755=0),'FA Addition'!$L755,0)-Y755</f>
        <v>0</v>
      </c>
      <c r="AF755" s="117">
        <f t="shared" si="55"/>
        <v>63550.842499999999</v>
      </c>
      <c r="AG755" s="117">
        <f>MIN(MAX(+$P$1-'FA Addition'!$D755,0),365*'FA Addition'!$O755)</f>
        <v>0</v>
      </c>
      <c r="AH755" s="117">
        <f>MIN(MAX($L$1-'FA Addition'!$D755+1,0),365*'FA Addition'!$O755)</f>
        <v>227</v>
      </c>
      <c r="AI755" s="117" cm="1">
        <f t="array" ref="AI755">_xlfn.XLOOKUP(1,('FA Write off'!A:A='FA Addition'!$A755)*('FA Write off'!D:D=AA755),'FA Write off'!H:H,0,0)</f>
        <v>0</v>
      </c>
      <c r="AJ755" s="117">
        <f>IF(AC755&gt;0,MAX(IF('FA Addition'!$N755="SLM",($AC755-'FA Addition'!$M755)*'FA Addition'!$P755*AI755/365,(AC755-'FA Addition'!$M755)*(1-(1-'FA Addition'!$P755)^(AI755/365))),0),0)</f>
        <v>0</v>
      </c>
      <c r="AL755" s="117">
        <f>MAX(IF(AG755&gt;0,IF('FA Addition'!$N755="SLM",($AE755-'FA Addition'!$M755)*'FA Addition'!$P755*AG755/365,IFERROR(VDB(AE755,AE755*0.05,'FA Addition'!$O755,0,YEARFRAC('FA Addition'!$C755,$P$1-1,3),'FA Addition'!$Q755),FAAddition[[#This Row],[Original Cost (Rs)]]-FAAddition[[#This Row],[Salvage Value]])),0),0)</f>
        <v>0</v>
      </c>
      <c r="AM755" s="119"/>
      <c r="AN755" s="117">
        <f>MAX(IF(AH755&gt;0,IF('FA Addition'!$N755="SLM",($AF755-'FA Addition'!$M755)*'FA Addition'!$P755*AH755/365,IFERROR(VDB(AF755,AF755*0.05,'FA Addition'!$O755,0,YEARFRAC('FA Addition'!$C755,$L$1,3),'FA Addition'!$Q755),FAAddition[[#This Row],[Original Cost (Rs)]]-FAAddition[[#This Row],[Salvage Value]])),0),0)</f>
        <v>24852.190585406493</v>
      </c>
      <c r="AO755" s="117">
        <f t="shared" si="58"/>
        <v>24852.190585406493</v>
      </c>
      <c r="AQ755" s="117">
        <f t="shared" si="56"/>
        <v>0</v>
      </c>
      <c r="AR755" s="120">
        <f t="shared" si="57"/>
        <v>38698.651914593502</v>
      </c>
      <c r="AS755" s="121"/>
    </row>
    <row r="756" spans="1:45" ht="13.5" x14ac:dyDescent="0.4">
      <c r="A756" s="12">
        <f t="shared" si="59"/>
        <v>753</v>
      </c>
      <c r="B756" s="64" t="s">
        <v>1308</v>
      </c>
      <c r="C756" s="54">
        <v>45156</v>
      </c>
      <c r="D756" s="54">
        <v>45156</v>
      </c>
      <c r="E756" s="46" t="s">
        <v>451</v>
      </c>
      <c r="F756" s="51" t="s">
        <v>19</v>
      </c>
      <c r="G756" s="51" t="s">
        <v>1290</v>
      </c>
      <c r="H756" s="51" t="s">
        <v>21</v>
      </c>
      <c r="I756" s="55" t="s">
        <v>1502</v>
      </c>
      <c r="J756" s="56">
        <v>1</v>
      </c>
      <c r="K756" s="51" t="s">
        <v>1503</v>
      </c>
      <c r="L756" s="58">
        <v>63550.842499999999</v>
      </c>
      <c r="M756" s="50">
        <f>ROUND('FA Addition'!$L756*5%,0.1)</f>
        <v>3178</v>
      </c>
      <c r="N756" s="113" t="str">
        <f>_xlfn.XLOOKUP(_xlfn.CONCAT(E756,B756),'Year Wise Master Dep Approach'!F:F,'Year Wise Master Dep Approach'!D:D)</f>
        <v>WDV</v>
      </c>
      <c r="O756" s="113">
        <f>_xlfn.XLOOKUP(_xlfn.CONCAT(E756,B756),'Year Wise Master Dep Approach'!F:F,'Year Wise Master Dep Approach'!E:E)</f>
        <v>3</v>
      </c>
      <c r="P756" s="114">
        <f>IFERROR(IF('FA Addition'!$N756="WDV",1-('FA Addition'!$M756/'FA Addition'!$L756)^(1/'FA Addition'!$O756),1/'FA Addition'!$O756),0)</f>
        <v>0.63157915569541301</v>
      </c>
      <c r="Q756" s="122">
        <f>'FA Addition'!$P756*'FA Addition'!$O756</f>
        <v>1.8947374670862391</v>
      </c>
      <c r="R756" s="122"/>
      <c r="S756" s="116">
        <f>IF(AND(DATE(20&amp;LEFT(FAAddition[[#This Row],[FY]],2),4,1)&lt;$L$1+1,DATE(20&amp;LEFT(FAAddition[[#This Row],[FY]],2),4,1)&gt;$P$1-1),'FA Addition'!$J756,0)</f>
        <v>1</v>
      </c>
      <c r="U756" s="117">
        <f>S756*'FA Addition'!$L756/'FA Addition'!$J756</f>
        <v>63550.842499999999</v>
      </c>
      <c r="W756" s="116">
        <f>SUMIFS('FA Write off'!D:D,'FA Write off'!A:A,'FA Addition'!$A756,'FA Write off'!C:C,"&lt;"&amp;'FA Addition'!$P$1)</f>
        <v>0</v>
      </c>
      <c r="Y756" s="191">
        <f>IFERROR(W756/'FA Addition'!$J756*'FA Addition'!$L756,0)</f>
        <v>0</v>
      </c>
      <c r="AA756" s="116">
        <f>SUMIFS('FA Write off'!D:D,'FA Write off'!A:A,'FA Addition'!$A756,'FA Write off'!C:C,"&lt;"&amp;'FA Addition'!$L$1+1,'FA Write off'!C:C,"&gt;"&amp;'FA Addition'!$L$1-365)</f>
        <v>0</v>
      </c>
      <c r="AC756" s="118">
        <f>IFERROR(AA756/'FA Addition'!$J756*'FA Addition'!$L756,0)</f>
        <v>0</v>
      </c>
      <c r="AE756" s="117">
        <f>IF(AND('FA Addition'!$D756&lt;$P$1+1,U756=0),'FA Addition'!$L756,0)-Y756</f>
        <v>0</v>
      </c>
      <c r="AF756" s="117">
        <f t="shared" si="55"/>
        <v>63550.842499999999</v>
      </c>
      <c r="AG756" s="117">
        <f>MIN(MAX(+$P$1-'FA Addition'!$D756,0),365*'FA Addition'!$O756)</f>
        <v>0</v>
      </c>
      <c r="AH756" s="117">
        <f>MIN(MAX($L$1-'FA Addition'!$D756+1,0),365*'FA Addition'!$O756)</f>
        <v>227</v>
      </c>
      <c r="AI756" s="117" cm="1">
        <f t="array" ref="AI756">_xlfn.XLOOKUP(1,('FA Write off'!A:A='FA Addition'!$A756)*('FA Write off'!D:D=AA756),'FA Write off'!H:H,0,0)</f>
        <v>0</v>
      </c>
      <c r="AJ756" s="117">
        <f>IF(AC756&gt;0,MAX(IF('FA Addition'!$N756="SLM",($AC756-'FA Addition'!$M756)*'FA Addition'!$P756*AI756/365,(AC756-'FA Addition'!$M756)*(1-(1-'FA Addition'!$P756)^(AI756/365))),0),0)</f>
        <v>0</v>
      </c>
      <c r="AL756" s="117">
        <f>MAX(IF(AG756&gt;0,IF('FA Addition'!$N756="SLM",($AE756-'FA Addition'!$M756)*'FA Addition'!$P756*AG756/365,IFERROR(VDB(AE756,AE756*0.05,'FA Addition'!$O756,0,YEARFRAC('FA Addition'!$C756,$P$1-1,3),'FA Addition'!$Q756),FAAddition[[#This Row],[Original Cost (Rs)]]-FAAddition[[#This Row],[Salvage Value]])),0),0)</f>
        <v>0</v>
      </c>
      <c r="AM756" s="119"/>
      <c r="AN756" s="117">
        <f>MAX(IF(AH756&gt;0,IF('FA Addition'!$N756="SLM",($AF756-'FA Addition'!$M756)*'FA Addition'!$P756*AH756/365,IFERROR(VDB(AF756,AF756*0.05,'FA Addition'!$O756,0,YEARFRAC('FA Addition'!$C756,$L$1,3),'FA Addition'!$Q756),FAAddition[[#This Row],[Original Cost (Rs)]]-FAAddition[[#This Row],[Salvage Value]])),0),0)</f>
        <v>24852.190585406493</v>
      </c>
      <c r="AO756" s="117">
        <f t="shared" si="58"/>
        <v>24852.190585406493</v>
      </c>
      <c r="AQ756" s="117">
        <f t="shared" si="56"/>
        <v>0</v>
      </c>
      <c r="AR756" s="120">
        <f t="shared" si="57"/>
        <v>38698.651914593502</v>
      </c>
      <c r="AS756" s="121"/>
    </row>
    <row r="757" spans="1:45" ht="13.5" x14ac:dyDescent="0.4">
      <c r="A757" s="12">
        <f t="shared" si="59"/>
        <v>754</v>
      </c>
      <c r="B757" s="64" t="s">
        <v>1308</v>
      </c>
      <c r="C757" s="54">
        <v>45156</v>
      </c>
      <c r="D757" s="54">
        <v>45156</v>
      </c>
      <c r="E757" s="46" t="s">
        <v>451</v>
      </c>
      <c r="F757" s="51" t="s">
        <v>19</v>
      </c>
      <c r="G757" s="51" t="s">
        <v>1290</v>
      </c>
      <c r="H757" s="51" t="s">
        <v>21</v>
      </c>
      <c r="I757" s="55" t="s">
        <v>1502</v>
      </c>
      <c r="J757" s="56">
        <v>1</v>
      </c>
      <c r="K757" s="51" t="s">
        <v>1503</v>
      </c>
      <c r="L757" s="58">
        <v>63550.842499999999</v>
      </c>
      <c r="M757" s="50">
        <f>ROUND('FA Addition'!$L757*5%,0.1)</f>
        <v>3178</v>
      </c>
      <c r="N757" s="113" t="str">
        <f>_xlfn.XLOOKUP(_xlfn.CONCAT(E757,B757),'Year Wise Master Dep Approach'!F:F,'Year Wise Master Dep Approach'!D:D)</f>
        <v>WDV</v>
      </c>
      <c r="O757" s="113">
        <f>_xlfn.XLOOKUP(_xlfn.CONCAT(E757,B757),'Year Wise Master Dep Approach'!F:F,'Year Wise Master Dep Approach'!E:E)</f>
        <v>3</v>
      </c>
      <c r="P757" s="114">
        <f>IFERROR(IF('FA Addition'!$N757="WDV",1-('FA Addition'!$M757/'FA Addition'!$L757)^(1/'FA Addition'!$O757),1/'FA Addition'!$O757),0)</f>
        <v>0.63157915569541301</v>
      </c>
      <c r="Q757" s="122">
        <f>'FA Addition'!$P757*'FA Addition'!$O757</f>
        <v>1.8947374670862391</v>
      </c>
      <c r="R757" s="122"/>
      <c r="S757" s="116">
        <f>IF(AND(DATE(20&amp;LEFT(FAAddition[[#This Row],[FY]],2),4,1)&lt;$L$1+1,DATE(20&amp;LEFT(FAAddition[[#This Row],[FY]],2),4,1)&gt;$P$1-1),'FA Addition'!$J757,0)</f>
        <v>1</v>
      </c>
      <c r="U757" s="117">
        <f>S757*'FA Addition'!$L757/'FA Addition'!$J757</f>
        <v>63550.842499999999</v>
      </c>
      <c r="W757" s="116">
        <f>SUMIFS('FA Write off'!D:D,'FA Write off'!A:A,'FA Addition'!$A757,'FA Write off'!C:C,"&lt;"&amp;'FA Addition'!$P$1)</f>
        <v>0</v>
      </c>
      <c r="Y757" s="191">
        <f>IFERROR(W757/'FA Addition'!$J757*'FA Addition'!$L757,0)</f>
        <v>0</v>
      </c>
      <c r="AA757" s="116">
        <f>SUMIFS('FA Write off'!D:D,'FA Write off'!A:A,'FA Addition'!$A757,'FA Write off'!C:C,"&lt;"&amp;'FA Addition'!$L$1+1,'FA Write off'!C:C,"&gt;"&amp;'FA Addition'!$L$1-365)</f>
        <v>0</v>
      </c>
      <c r="AC757" s="118">
        <f>IFERROR(AA757/'FA Addition'!$J757*'FA Addition'!$L757,0)</f>
        <v>0</v>
      </c>
      <c r="AE757" s="117">
        <f>IF(AND('FA Addition'!$D757&lt;$P$1+1,U757=0),'FA Addition'!$L757,0)-Y757</f>
        <v>0</v>
      </c>
      <c r="AF757" s="117">
        <f t="shared" si="55"/>
        <v>63550.842499999999</v>
      </c>
      <c r="AG757" s="117">
        <f>MIN(MAX(+$P$1-'FA Addition'!$D757,0),365*'FA Addition'!$O757)</f>
        <v>0</v>
      </c>
      <c r="AH757" s="117">
        <f>MIN(MAX($L$1-'FA Addition'!$D757+1,0),365*'FA Addition'!$O757)</f>
        <v>227</v>
      </c>
      <c r="AI757" s="117" cm="1">
        <f t="array" ref="AI757">_xlfn.XLOOKUP(1,('FA Write off'!A:A='FA Addition'!$A757)*('FA Write off'!D:D=AA757),'FA Write off'!H:H,0,0)</f>
        <v>0</v>
      </c>
      <c r="AJ757" s="117">
        <f>IF(AC757&gt;0,MAX(IF('FA Addition'!$N757="SLM",($AC757-'FA Addition'!$M757)*'FA Addition'!$P757*AI757/365,(AC757-'FA Addition'!$M757)*(1-(1-'FA Addition'!$P757)^(AI757/365))),0),0)</f>
        <v>0</v>
      </c>
      <c r="AL757" s="117">
        <f>MAX(IF(AG757&gt;0,IF('FA Addition'!$N757="SLM",($AE757-'FA Addition'!$M757)*'FA Addition'!$P757*AG757/365,IFERROR(VDB(AE757,AE757*0.05,'FA Addition'!$O757,0,YEARFRAC('FA Addition'!$C757,$P$1-1,3),'FA Addition'!$Q757),FAAddition[[#This Row],[Original Cost (Rs)]]-FAAddition[[#This Row],[Salvage Value]])),0),0)</f>
        <v>0</v>
      </c>
      <c r="AM757" s="119"/>
      <c r="AN757" s="117">
        <f>MAX(IF(AH757&gt;0,IF('FA Addition'!$N757="SLM",($AF757-'FA Addition'!$M757)*'FA Addition'!$P757*AH757/365,IFERROR(VDB(AF757,AF757*0.05,'FA Addition'!$O757,0,YEARFRAC('FA Addition'!$C757,$L$1,3),'FA Addition'!$Q757),FAAddition[[#This Row],[Original Cost (Rs)]]-FAAddition[[#This Row],[Salvage Value]])),0),0)</f>
        <v>24852.190585406493</v>
      </c>
      <c r="AO757" s="117">
        <f t="shared" si="58"/>
        <v>24852.190585406493</v>
      </c>
      <c r="AQ757" s="117">
        <f t="shared" si="56"/>
        <v>0</v>
      </c>
      <c r="AR757" s="120">
        <f t="shared" si="57"/>
        <v>38698.651914593502</v>
      </c>
      <c r="AS757" s="121"/>
    </row>
    <row r="758" spans="1:45" ht="13.5" x14ac:dyDescent="0.4">
      <c r="A758" s="12">
        <f t="shared" si="59"/>
        <v>755</v>
      </c>
      <c r="B758" s="64" t="s">
        <v>1308</v>
      </c>
      <c r="C758" s="54">
        <v>45156</v>
      </c>
      <c r="D758" s="54">
        <v>45156</v>
      </c>
      <c r="E758" s="46" t="s">
        <v>749</v>
      </c>
      <c r="F758" s="51" t="s">
        <v>74</v>
      </c>
      <c r="G758" s="51" t="s">
        <v>433</v>
      </c>
      <c r="H758" s="51" t="s">
        <v>26</v>
      </c>
      <c r="I758" s="55" t="s">
        <v>1504</v>
      </c>
      <c r="J758" s="56">
        <v>355</v>
      </c>
      <c r="K758" s="51" t="s">
        <v>1505</v>
      </c>
      <c r="L758" s="58">
        <f>49650-23025</f>
        <v>26625</v>
      </c>
      <c r="M758" s="50">
        <f>ROUND('FA Addition'!$L758*5%,0.1)</f>
        <v>1331</v>
      </c>
      <c r="N758" s="113" t="str">
        <f>_xlfn.XLOOKUP(_xlfn.CONCAT(E758,B758),'Year Wise Master Dep Approach'!F:F,'Year Wise Master Dep Approach'!D:D)</f>
        <v>WDV</v>
      </c>
      <c r="O758" s="113">
        <f>_xlfn.XLOOKUP(_xlfn.CONCAT(E758,B758),'Year Wise Master Dep Approach'!F:F,'Year Wise Master Dep Approach'!E:E)</f>
        <v>5</v>
      </c>
      <c r="P758" s="114">
        <f>IFERROR(IF('FA Addition'!$N758="WDV",1-('FA Addition'!$M758/'FA Addition'!$L758)^(1/'FA Addition'!$O758),1/'FA Addition'!$O758),0)</f>
        <v>0.45074036014175023</v>
      </c>
      <c r="Q758" s="122">
        <f>'FA Addition'!$P758*'FA Addition'!$O758</f>
        <v>2.2537018007087513</v>
      </c>
      <c r="R758" s="122"/>
      <c r="S758" s="116">
        <f>IF(AND(DATE(20&amp;LEFT(FAAddition[[#This Row],[FY]],2),4,1)&lt;$L$1+1,DATE(20&amp;LEFT(FAAddition[[#This Row],[FY]],2),4,1)&gt;$P$1-1),'FA Addition'!$J758,0)</f>
        <v>355</v>
      </c>
      <c r="U758" s="117">
        <f>S758*'FA Addition'!$L758/'FA Addition'!$J758</f>
        <v>26625</v>
      </c>
      <c r="W758" s="116">
        <f>SUMIFS('FA Write off'!D:D,'FA Write off'!A:A,'FA Addition'!$A758,'FA Write off'!C:C,"&lt;"&amp;'FA Addition'!$P$1)</f>
        <v>0</v>
      </c>
      <c r="Y758" s="191">
        <f>IFERROR(W758/'FA Addition'!$J758*'FA Addition'!$L758,0)</f>
        <v>0</v>
      </c>
      <c r="AA758" s="116">
        <f>SUMIFS('FA Write off'!D:D,'FA Write off'!A:A,'FA Addition'!$A758,'FA Write off'!C:C,"&lt;"&amp;'FA Addition'!$L$1+1,'FA Write off'!C:C,"&gt;"&amp;'FA Addition'!$L$1-365)</f>
        <v>0</v>
      </c>
      <c r="AC758" s="118">
        <f>IFERROR(AA758/'FA Addition'!$J758*'FA Addition'!$L758,0)</f>
        <v>0</v>
      </c>
      <c r="AE758" s="117">
        <f>IF(AND('FA Addition'!$D758&lt;$P$1+1,U758=0),'FA Addition'!$L758,0)-Y758</f>
        <v>0</v>
      </c>
      <c r="AF758" s="117">
        <f t="shared" si="55"/>
        <v>26625</v>
      </c>
      <c r="AG758" s="117">
        <f>MIN(MAX(+$P$1-'FA Addition'!$D758,0),365*'FA Addition'!$O758)</f>
        <v>0</v>
      </c>
      <c r="AH758" s="117">
        <f>MIN(MAX($L$1-'FA Addition'!$D758+1,0),365*'FA Addition'!$O758)</f>
        <v>227</v>
      </c>
      <c r="AI758" s="117" cm="1">
        <f t="array" ref="AI758">_xlfn.XLOOKUP(1,('FA Write off'!A:A='FA Addition'!$A758)*('FA Write off'!D:D=AA758),'FA Write off'!H:H,0,0)</f>
        <v>0</v>
      </c>
      <c r="AJ758" s="117">
        <f>IF(AC758&gt;0,MAX(IF('FA Addition'!$N758="SLM",($AC758-'FA Addition'!$M758)*'FA Addition'!$P758*AI758/365,(AC758-'FA Addition'!$M758)*(1-(1-'FA Addition'!$P758)^(AI758/365))),0),0)</f>
        <v>0</v>
      </c>
      <c r="AL758" s="117">
        <f>MAX(IF(AG758&gt;0,IF('FA Addition'!$N758="SLM",($AE758-'FA Addition'!$M758)*'FA Addition'!$P758*AG758/365,IFERROR(VDB(AE758,AE758*0.05,'FA Addition'!$O758,0,YEARFRAC('FA Addition'!$C758,$P$1-1,3),'FA Addition'!$Q758),FAAddition[[#This Row],[Original Cost (Rs)]]-FAAddition[[#This Row],[Salvage Value]])),0),0)</f>
        <v>0</v>
      </c>
      <c r="AM758" s="119"/>
      <c r="AN758" s="117">
        <f>MAX(IF(AH758&gt;0,IF('FA Addition'!$N758="SLM",($AF758-'FA Addition'!$M758)*'FA Addition'!$P758*AH758/365,IFERROR(VDB(AF758,AF758*0.05,'FA Addition'!$O758,0,YEARFRAC('FA Addition'!$C758,$L$1,3),'FA Addition'!$Q758),FAAddition[[#This Row],[Original Cost (Rs)]]-FAAddition[[#This Row],[Salvage Value]])),0),0)</f>
        <v>7430.7326905834152</v>
      </c>
      <c r="AO758" s="117">
        <f t="shared" si="58"/>
        <v>7430.7326905834152</v>
      </c>
      <c r="AQ758" s="117">
        <f t="shared" si="56"/>
        <v>0</v>
      </c>
      <c r="AR758" s="120">
        <f t="shared" si="57"/>
        <v>19194.267309416584</v>
      </c>
      <c r="AS758" s="121"/>
    </row>
    <row r="759" spans="1:45" ht="13.5" x14ac:dyDescent="0.4">
      <c r="A759" s="12">
        <f t="shared" si="59"/>
        <v>756</v>
      </c>
      <c r="B759" s="64" t="s">
        <v>1308</v>
      </c>
      <c r="C759" s="54">
        <v>45156</v>
      </c>
      <c r="D759" s="54">
        <v>45156</v>
      </c>
      <c r="E759" s="46" t="s">
        <v>451</v>
      </c>
      <c r="F759" s="51" t="s">
        <v>19</v>
      </c>
      <c r="G759" s="51" t="s">
        <v>1290</v>
      </c>
      <c r="H759" s="51" t="s">
        <v>21</v>
      </c>
      <c r="I759" s="55" t="s">
        <v>1502</v>
      </c>
      <c r="J759" s="56">
        <v>1</v>
      </c>
      <c r="K759" s="51" t="s">
        <v>1506</v>
      </c>
      <c r="L759" s="58">
        <v>33474.58</v>
      </c>
      <c r="M759" s="50">
        <f>ROUND('FA Addition'!$L759*5%,0.1)</f>
        <v>1674</v>
      </c>
      <c r="N759" s="113" t="str">
        <f>_xlfn.XLOOKUP(_xlfn.CONCAT(E759,B759),'Year Wise Master Dep Approach'!F:F,'Year Wise Master Dep Approach'!D:D)</f>
        <v>WDV</v>
      </c>
      <c r="O759" s="113">
        <f>_xlfn.XLOOKUP(_xlfn.CONCAT(E759,B759),'Year Wise Master Dep Approach'!F:F,'Year Wise Master Dep Approach'!E:E)</f>
        <v>3</v>
      </c>
      <c r="P759" s="114">
        <f>IFERROR(IF('FA Addition'!$N759="WDV",1-('FA Addition'!$M759/'FA Addition'!$L759)^(1/'FA Addition'!$O759),1/'FA Addition'!$O759),0)</f>
        <v>0.63157696801132601</v>
      </c>
      <c r="Q759" s="122">
        <f>'FA Addition'!$P759*'FA Addition'!$O759</f>
        <v>1.8947309040339779</v>
      </c>
      <c r="R759" s="122"/>
      <c r="S759" s="116">
        <f>IF(AND(DATE(20&amp;LEFT(FAAddition[[#This Row],[FY]],2),4,1)&lt;$L$1+1,DATE(20&amp;LEFT(FAAddition[[#This Row],[FY]],2),4,1)&gt;$P$1-1),'FA Addition'!$J759,0)</f>
        <v>1</v>
      </c>
      <c r="U759" s="117">
        <f>S759*'FA Addition'!$L759/'FA Addition'!$J759</f>
        <v>33474.58</v>
      </c>
      <c r="W759" s="116">
        <f>SUMIFS('FA Write off'!D:D,'FA Write off'!A:A,'FA Addition'!$A759,'FA Write off'!C:C,"&lt;"&amp;'FA Addition'!$P$1)</f>
        <v>0</v>
      </c>
      <c r="Y759" s="191">
        <f>IFERROR(W759/'FA Addition'!$J759*'FA Addition'!$L759,0)</f>
        <v>0</v>
      </c>
      <c r="AA759" s="116">
        <f>SUMIFS('FA Write off'!D:D,'FA Write off'!A:A,'FA Addition'!$A759,'FA Write off'!C:C,"&lt;"&amp;'FA Addition'!$L$1+1,'FA Write off'!C:C,"&gt;"&amp;'FA Addition'!$L$1-365)</f>
        <v>0</v>
      </c>
      <c r="AC759" s="118">
        <f>IFERROR(AA759/'FA Addition'!$J759*'FA Addition'!$L759,0)</f>
        <v>0</v>
      </c>
      <c r="AE759" s="117">
        <f>IF(AND('FA Addition'!$D759&lt;$P$1+1,U759=0),'FA Addition'!$L759,0)-Y759</f>
        <v>0</v>
      </c>
      <c r="AF759" s="117">
        <f t="shared" si="55"/>
        <v>33474.58</v>
      </c>
      <c r="AG759" s="117">
        <f>MIN(MAX(+$P$1-'FA Addition'!$D759,0),365*'FA Addition'!$O759)</f>
        <v>0</v>
      </c>
      <c r="AH759" s="117">
        <f>MIN(MAX($L$1-'FA Addition'!$D759+1,0),365*'FA Addition'!$O759)</f>
        <v>227</v>
      </c>
      <c r="AI759" s="117" cm="1">
        <f t="array" ref="AI759">_xlfn.XLOOKUP(1,('FA Write off'!A:A='FA Addition'!$A759)*('FA Write off'!D:D=AA759),'FA Write off'!H:H,0,0)</f>
        <v>0</v>
      </c>
      <c r="AJ759" s="117">
        <f>IF(AC759&gt;0,MAX(IF('FA Addition'!$N759="SLM",($AC759-'FA Addition'!$M759)*'FA Addition'!$P759*AI759/365,(AC759-'FA Addition'!$M759)*(1-(1-'FA Addition'!$P759)^(AI759/365))),0),0)</f>
        <v>0</v>
      </c>
      <c r="AL759" s="117">
        <f>MAX(IF(AG759&gt;0,IF('FA Addition'!$N759="SLM",($AE759-'FA Addition'!$M759)*'FA Addition'!$P759*AG759/365,IFERROR(VDB(AE759,AE759*0.05,'FA Addition'!$O759,0,YEARFRAC('FA Addition'!$C759,$P$1-1,3),'FA Addition'!$Q759),FAAddition[[#This Row],[Original Cost (Rs)]]-FAAddition[[#This Row],[Salvage Value]])),0),0)</f>
        <v>0</v>
      </c>
      <c r="AM759" s="119"/>
      <c r="AN759" s="117">
        <f>MAX(IF(AH759&gt;0,IF('FA Addition'!$N759="SLM",($AF759-'FA Addition'!$M759)*'FA Addition'!$P759*AH759/365,IFERROR(VDB(AF759,AF759*0.05,'FA Addition'!$O759,0,YEARFRAC('FA Addition'!$C759,$L$1,3),'FA Addition'!$Q759),FAAddition[[#This Row],[Original Cost (Rs)]]-FAAddition[[#This Row],[Salvage Value]])),0),0)</f>
        <v>13090.522919612828</v>
      </c>
      <c r="AO759" s="117">
        <f t="shared" si="58"/>
        <v>13090.522919612828</v>
      </c>
      <c r="AQ759" s="117">
        <f t="shared" si="56"/>
        <v>0</v>
      </c>
      <c r="AR759" s="120">
        <f t="shared" si="57"/>
        <v>20384.057080387174</v>
      </c>
      <c r="AS759" s="121"/>
    </row>
    <row r="760" spans="1:45" ht="13.5" x14ac:dyDescent="0.4">
      <c r="A760" s="12">
        <f t="shared" si="59"/>
        <v>757</v>
      </c>
      <c r="B760" s="64" t="s">
        <v>1308</v>
      </c>
      <c r="C760" s="54">
        <v>45156</v>
      </c>
      <c r="D760" s="54">
        <v>45156</v>
      </c>
      <c r="E760" s="46" t="s">
        <v>451</v>
      </c>
      <c r="F760" s="51" t="s">
        <v>19</v>
      </c>
      <c r="G760" s="51" t="s">
        <v>1290</v>
      </c>
      <c r="H760" s="51" t="s">
        <v>21</v>
      </c>
      <c r="I760" s="55" t="s">
        <v>1502</v>
      </c>
      <c r="J760" s="56">
        <v>1</v>
      </c>
      <c r="K760" s="51" t="s">
        <v>1506</v>
      </c>
      <c r="L760" s="58">
        <v>33474.58</v>
      </c>
      <c r="M760" s="50">
        <f>ROUND('FA Addition'!$L760*5%,0.1)</f>
        <v>1674</v>
      </c>
      <c r="N760" s="113" t="str">
        <f>_xlfn.XLOOKUP(_xlfn.CONCAT(E760,B760),'Year Wise Master Dep Approach'!F:F,'Year Wise Master Dep Approach'!D:D)</f>
        <v>WDV</v>
      </c>
      <c r="O760" s="113">
        <f>_xlfn.XLOOKUP(_xlfn.CONCAT(E760,B760),'Year Wise Master Dep Approach'!F:F,'Year Wise Master Dep Approach'!E:E)</f>
        <v>3</v>
      </c>
      <c r="P760" s="114">
        <f>IFERROR(IF('FA Addition'!$N760="WDV",1-('FA Addition'!$M760/'FA Addition'!$L760)^(1/'FA Addition'!$O760),1/'FA Addition'!$O760),0)</f>
        <v>0.63157696801132601</v>
      </c>
      <c r="Q760" s="122">
        <f>'FA Addition'!$P760*'FA Addition'!$O760</f>
        <v>1.8947309040339779</v>
      </c>
      <c r="R760" s="122"/>
      <c r="S760" s="116">
        <f>IF(AND(DATE(20&amp;LEFT(FAAddition[[#This Row],[FY]],2),4,1)&lt;$L$1+1,DATE(20&amp;LEFT(FAAddition[[#This Row],[FY]],2),4,1)&gt;$P$1-1),'FA Addition'!$J760,0)</f>
        <v>1</v>
      </c>
      <c r="U760" s="117">
        <f>S760*'FA Addition'!$L760/'FA Addition'!$J760</f>
        <v>33474.58</v>
      </c>
      <c r="W760" s="116">
        <f>SUMIFS('FA Write off'!D:D,'FA Write off'!A:A,'FA Addition'!$A760,'FA Write off'!C:C,"&lt;"&amp;'FA Addition'!$P$1)</f>
        <v>0</v>
      </c>
      <c r="Y760" s="191">
        <f>IFERROR(W760/'FA Addition'!$J760*'FA Addition'!$L760,0)</f>
        <v>0</v>
      </c>
      <c r="AA760" s="116">
        <f>SUMIFS('FA Write off'!D:D,'FA Write off'!A:A,'FA Addition'!$A760,'FA Write off'!C:C,"&lt;"&amp;'FA Addition'!$L$1+1,'FA Write off'!C:C,"&gt;"&amp;'FA Addition'!$L$1-365)</f>
        <v>0</v>
      </c>
      <c r="AC760" s="118">
        <f>IFERROR(AA760/'FA Addition'!$J760*'FA Addition'!$L760,0)</f>
        <v>0</v>
      </c>
      <c r="AE760" s="117">
        <f>IF(AND('FA Addition'!$D760&lt;$P$1+1,U760=0),'FA Addition'!$L760,0)-Y760</f>
        <v>0</v>
      </c>
      <c r="AF760" s="117">
        <f t="shared" si="55"/>
        <v>33474.58</v>
      </c>
      <c r="AG760" s="117">
        <f>MIN(MAX(+$P$1-'FA Addition'!$D760,0),365*'FA Addition'!$O760)</f>
        <v>0</v>
      </c>
      <c r="AH760" s="117">
        <f>MIN(MAX($L$1-'FA Addition'!$D760+1,0),365*'FA Addition'!$O760)</f>
        <v>227</v>
      </c>
      <c r="AI760" s="117" cm="1">
        <f t="array" ref="AI760">_xlfn.XLOOKUP(1,('FA Write off'!A:A='FA Addition'!$A760)*('FA Write off'!D:D=AA760),'FA Write off'!H:H,0,0)</f>
        <v>0</v>
      </c>
      <c r="AJ760" s="117">
        <f>IF(AC760&gt;0,MAX(IF('FA Addition'!$N760="SLM",($AC760-'FA Addition'!$M760)*'FA Addition'!$P760*AI760/365,(AC760-'FA Addition'!$M760)*(1-(1-'FA Addition'!$P760)^(AI760/365))),0),0)</f>
        <v>0</v>
      </c>
      <c r="AL760" s="117">
        <f>MAX(IF(AG760&gt;0,IF('FA Addition'!$N760="SLM",($AE760-'FA Addition'!$M760)*'FA Addition'!$P760*AG760/365,IFERROR(VDB(AE760,AE760*0.05,'FA Addition'!$O760,0,YEARFRAC('FA Addition'!$C760,$P$1-1,3),'FA Addition'!$Q760),FAAddition[[#This Row],[Original Cost (Rs)]]-FAAddition[[#This Row],[Salvage Value]])),0),0)</f>
        <v>0</v>
      </c>
      <c r="AM760" s="119"/>
      <c r="AN760" s="117">
        <f>MAX(IF(AH760&gt;0,IF('FA Addition'!$N760="SLM",($AF760-'FA Addition'!$M760)*'FA Addition'!$P760*AH760/365,IFERROR(VDB(AF760,AF760*0.05,'FA Addition'!$O760,0,YEARFRAC('FA Addition'!$C760,$L$1,3),'FA Addition'!$Q760),FAAddition[[#This Row],[Original Cost (Rs)]]-FAAddition[[#This Row],[Salvage Value]])),0),0)</f>
        <v>13090.522919612828</v>
      </c>
      <c r="AO760" s="117">
        <f t="shared" si="58"/>
        <v>13090.522919612828</v>
      </c>
      <c r="AQ760" s="117">
        <f t="shared" si="56"/>
        <v>0</v>
      </c>
      <c r="AR760" s="120">
        <f t="shared" si="57"/>
        <v>20384.057080387174</v>
      </c>
      <c r="AS760" s="121"/>
    </row>
    <row r="761" spans="1:45" ht="13.5" x14ac:dyDescent="0.4">
      <c r="A761" s="12">
        <f t="shared" si="59"/>
        <v>758</v>
      </c>
      <c r="B761" s="64" t="s">
        <v>1308</v>
      </c>
      <c r="C761" s="54">
        <v>45156</v>
      </c>
      <c r="D761" s="54">
        <v>45156</v>
      </c>
      <c r="E761" s="46" t="s">
        <v>451</v>
      </c>
      <c r="F761" s="51" t="s">
        <v>19</v>
      </c>
      <c r="G761" s="51" t="s">
        <v>1290</v>
      </c>
      <c r="H761" s="51" t="s">
        <v>21</v>
      </c>
      <c r="I761" s="55" t="s">
        <v>1502</v>
      </c>
      <c r="J761" s="56">
        <v>1</v>
      </c>
      <c r="K761" s="51" t="s">
        <v>1507</v>
      </c>
      <c r="L761" s="58">
        <v>32203.39</v>
      </c>
      <c r="M761" s="50">
        <f>ROUND('FA Addition'!$L761*5%,0.1)</f>
        <v>1610</v>
      </c>
      <c r="N761" s="113" t="str">
        <f>_xlfn.XLOOKUP(_xlfn.CONCAT(E761,B761),'Year Wise Master Dep Approach'!F:F,'Year Wise Master Dep Approach'!D:D)</f>
        <v>WDV</v>
      </c>
      <c r="O761" s="113">
        <f>_xlfn.XLOOKUP(_xlfn.CONCAT(E761,B761),'Year Wise Master Dep Approach'!F:F,'Year Wise Master Dep Approach'!E:E)</f>
        <v>3</v>
      </c>
      <c r="P761" s="114">
        <f>IFERROR(IF('FA Addition'!$N761="WDV",1-('FA Addition'!$M761/'FA Addition'!$L761)^(1/'FA Addition'!$O761),1/'FA Addition'!$O761),0)</f>
        <v>0.63160977766215631</v>
      </c>
      <c r="Q761" s="122">
        <f>'FA Addition'!$P761*'FA Addition'!$O761</f>
        <v>1.8948293329864689</v>
      </c>
      <c r="R761" s="122"/>
      <c r="S761" s="116">
        <f>IF(AND(DATE(20&amp;LEFT(FAAddition[[#This Row],[FY]],2),4,1)&lt;$L$1+1,DATE(20&amp;LEFT(FAAddition[[#This Row],[FY]],2),4,1)&gt;$P$1-1),'FA Addition'!$J761,0)</f>
        <v>1</v>
      </c>
      <c r="U761" s="117">
        <f>S761*'FA Addition'!$L761/'FA Addition'!$J761</f>
        <v>32203.39</v>
      </c>
      <c r="W761" s="116">
        <f>SUMIFS('FA Write off'!D:D,'FA Write off'!A:A,'FA Addition'!$A761,'FA Write off'!C:C,"&lt;"&amp;'FA Addition'!$P$1)</f>
        <v>0</v>
      </c>
      <c r="Y761" s="191">
        <f>IFERROR(W761/'FA Addition'!$J761*'FA Addition'!$L761,0)</f>
        <v>0</v>
      </c>
      <c r="AA761" s="116">
        <f>SUMIFS('FA Write off'!D:D,'FA Write off'!A:A,'FA Addition'!$A761,'FA Write off'!C:C,"&lt;"&amp;'FA Addition'!$L$1+1,'FA Write off'!C:C,"&gt;"&amp;'FA Addition'!$L$1-365)</f>
        <v>0</v>
      </c>
      <c r="AC761" s="118">
        <f>IFERROR(AA761/'FA Addition'!$J761*'FA Addition'!$L761,0)</f>
        <v>0</v>
      </c>
      <c r="AE761" s="117">
        <f>IF(AND('FA Addition'!$D761&lt;$P$1+1,U761=0),'FA Addition'!$L761,0)-Y761</f>
        <v>0</v>
      </c>
      <c r="AF761" s="117">
        <f t="shared" si="55"/>
        <v>32203.39</v>
      </c>
      <c r="AG761" s="117">
        <f>MIN(MAX(+$P$1-'FA Addition'!$D761,0),365*'FA Addition'!$O761)</f>
        <v>0</v>
      </c>
      <c r="AH761" s="117">
        <f>MIN(MAX($L$1-'FA Addition'!$D761+1,0),365*'FA Addition'!$O761)</f>
        <v>227</v>
      </c>
      <c r="AI761" s="117" cm="1">
        <f t="array" ref="AI761">_xlfn.XLOOKUP(1,('FA Write off'!A:A='FA Addition'!$A761)*('FA Write off'!D:D=AA761),'FA Write off'!H:H,0,0)</f>
        <v>0</v>
      </c>
      <c r="AJ761" s="117">
        <f>IF(AC761&gt;0,MAX(IF('FA Addition'!$N761="SLM",($AC761-'FA Addition'!$M761)*'FA Addition'!$P761*AI761/365,(AC761-'FA Addition'!$M761)*(1-(1-'FA Addition'!$P761)^(AI761/365))),0),0)</f>
        <v>0</v>
      </c>
      <c r="AL761" s="117">
        <f>MAX(IF(AG761&gt;0,IF('FA Addition'!$N761="SLM",($AE761-'FA Addition'!$M761)*'FA Addition'!$P761*AG761/365,IFERROR(VDB(AE761,AE761*0.05,'FA Addition'!$O761,0,YEARFRAC('FA Addition'!$C761,$P$1-1,3),'FA Addition'!$Q761),FAAddition[[#This Row],[Original Cost (Rs)]]-FAAddition[[#This Row],[Salvage Value]])),0),0)</f>
        <v>0</v>
      </c>
      <c r="AM761" s="119"/>
      <c r="AN761" s="117">
        <f>MAX(IF(AH761&gt;0,IF('FA Addition'!$N761="SLM",($AF761-'FA Addition'!$M761)*'FA Addition'!$P761*AH761/365,IFERROR(VDB(AF761,AF761*0.05,'FA Addition'!$O761,0,YEARFRAC('FA Addition'!$C761,$L$1,3),'FA Addition'!$Q761),FAAddition[[#This Row],[Original Cost (Rs)]]-FAAddition[[#This Row],[Salvage Value]])),0),0)</f>
        <v>12594.067330186581</v>
      </c>
      <c r="AO761" s="117">
        <f t="shared" si="58"/>
        <v>12594.067330186581</v>
      </c>
      <c r="AQ761" s="117">
        <f t="shared" si="56"/>
        <v>0</v>
      </c>
      <c r="AR761" s="120">
        <f t="shared" si="57"/>
        <v>19609.322669813417</v>
      </c>
      <c r="AS761" s="121"/>
    </row>
    <row r="762" spans="1:45" ht="13.5" x14ac:dyDescent="0.4">
      <c r="A762" s="12">
        <f t="shared" si="59"/>
        <v>759</v>
      </c>
      <c r="B762" s="64" t="s">
        <v>1308</v>
      </c>
      <c r="C762" s="54">
        <v>45156</v>
      </c>
      <c r="D762" s="54">
        <v>45156</v>
      </c>
      <c r="E762" s="46" t="s">
        <v>451</v>
      </c>
      <c r="F762" s="51" t="s">
        <v>19</v>
      </c>
      <c r="G762" s="51" t="s">
        <v>1290</v>
      </c>
      <c r="H762" s="51" t="s">
        <v>21</v>
      </c>
      <c r="I762" s="55" t="s">
        <v>1502</v>
      </c>
      <c r="J762" s="56">
        <v>1</v>
      </c>
      <c r="K762" s="51" t="s">
        <v>1507</v>
      </c>
      <c r="L762" s="58">
        <v>32203.39</v>
      </c>
      <c r="M762" s="50">
        <f>ROUND('FA Addition'!$L762*5%,0.1)</f>
        <v>1610</v>
      </c>
      <c r="N762" s="113" t="str">
        <f>_xlfn.XLOOKUP(_xlfn.CONCAT(E762,B762),'Year Wise Master Dep Approach'!F:F,'Year Wise Master Dep Approach'!D:D)</f>
        <v>WDV</v>
      </c>
      <c r="O762" s="113">
        <f>_xlfn.XLOOKUP(_xlfn.CONCAT(E762,B762),'Year Wise Master Dep Approach'!F:F,'Year Wise Master Dep Approach'!E:E)</f>
        <v>3</v>
      </c>
      <c r="P762" s="114">
        <f>IFERROR(IF('FA Addition'!$N762="WDV",1-('FA Addition'!$M762/'FA Addition'!$L762)^(1/'FA Addition'!$O762),1/'FA Addition'!$O762),0)</f>
        <v>0.63160977766215631</v>
      </c>
      <c r="Q762" s="122">
        <f>'FA Addition'!$P762*'FA Addition'!$O762</f>
        <v>1.8948293329864689</v>
      </c>
      <c r="R762" s="122"/>
      <c r="S762" s="116">
        <f>IF(AND(DATE(20&amp;LEFT(FAAddition[[#This Row],[FY]],2),4,1)&lt;$L$1+1,DATE(20&amp;LEFT(FAAddition[[#This Row],[FY]],2),4,1)&gt;$P$1-1),'FA Addition'!$J762,0)</f>
        <v>1</v>
      </c>
      <c r="U762" s="117">
        <f>S762*'FA Addition'!$L762/'FA Addition'!$J762</f>
        <v>32203.39</v>
      </c>
      <c r="W762" s="116">
        <f>SUMIFS('FA Write off'!D:D,'FA Write off'!A:A,'FA Addition'!$A762,'FA Write off'!C:C,"&lt;"&amp;'FA Addition'!$P$1)</f>
        <v>0</v>
      </c>
      <c r="Y762" s="191">
        <f>IFERROR(W762/'FA Addition'!$J762*'FA Addition'!$L762,0)</f>
        <v>0</v>
      </c>
      <c r="AA762" s="116">
        <f>SUMIFS('FA Write off'!D:D,'FA Write off'!A:A,'FA Addition'!$A762,'FA Write off'!C:C,"&lt;"&amp;'FA Addition'!$L$1+1,'FA Write off'!C:C,"&gt;"&amp;'FA Addition'!$L$1-365)</f>
        <v>0</v>
      </c>
      <c r="AC762" s="118">
        <f>IFERROR(AA762/'FA Addition'!$J762*'FA Addition'!$L762,0)</f>
        <v>0</v>
      </c>
      <c r="AE762" s="117">
        <f>IF(AND('FA Addition'!$D762&lt;$P$1+1,U762=0),'FA Addition'!$L762,0)-Y762</f>
        <v>0</v>
      </c>
      <c r="AF762" s="117">
        <f t="shared" si="55"/>
        <v>32203.39</v>
      </c>
      <c r="AG762" s="117">
        <f>MIN(MAX(+$P$1-'FA Addition'!$D762,0),365*'FA Addition'!$O762)</f>
        <v>0</v>
      </c>
      <c r="AH762" s="117">
        <f>MIN(MAX($L$1-'FA Addition'!$D762+1,0),365*'FA Addition'!$O762)</f>
        <v>227</v>
      </c>
      <c r="AI762" s="117" cm="1">
        <f t="array" ref="AI762">_xlfn.XLOOKUP(1,('FA Write off'!A:A='FA Addition'!$A762)*('FA Write off'!D:D=AA762),'FA Write off'!H:H,0,0)</f>
        <v>0</v>
      </c>
      <c r="AJ762" s="117">
        <f>IF(AC762&gt;0,MAX(IF('FA Addition'!$N762="SLM",($AC762-'FA Addition'!$M762)*'FA Addition'!$P762*AI762/365,(AC762-'FA Addition'!$M762)*(1-(1-'FA Addition'!$P762)^(AI762/365))),0),0)</f>
        <v>0</v>
      </c>
      <c r="AL762" s="117">
        <f>MAX(IF(AG762&gt;0,IF('FA Addition'!$N762="SLM",($AE762-'FA Addition'!$M762)*'FA Addition'!$P762*AG762/365,IFERROR(VDB(AE762,AE762*0.05,'FA Addition'!$O762,0,YEARFRAC('FA Addition'!$C762,$P$1-1,3),'FA Addition'!$Q762),FAAddition[[#This Row],[Original Cost (Rs)]]-FAAddition[[#This Row],[Salvage Value]])),0),0)</f>
        <v>0</v>
      </c>
      <c r="AM762" s="119"/>
      <c r="AN762" s="117">
        <f>MAX(IF(AH762&gt;0,IF('FA Addition'!$N762="SLM",($AF762-'FA Addition'!$M762)*'FA Addition'!$P762*AH762/365,IFERROR(VDB(AF762,AF762*0.05,'FA Addition'!$O762,0,YEARFRAC('FA Addition'!$C762,$L$1,3),'FA Addition'!$Q762),FAAddition[[#This Row],[Original Cost (Rs)]]-FAAddition[[#This Row],[Salvage Value]])),0),0)</f>
        <v>12594.067330186581</v>
      </c>
      <c r="AO762" s="117">
        <f t="shared" si="58"/>
        <v>12594.067330186581</v>
      </c>
      <c r="AQ762" s="117">
        <f t="shared" si="56"/>
        <v>0</v>
      </c>
      <c r="AR762" s="120">
        <f t="shared" si="57"/>
        <v>19609.322669813417</v>
      </c>
      <c r="AS762" s="121"/>
    </row>
    <row r="763" spans="1:45" ht="13.5" x14ac:dyDescent="0.4">
      <c r="A763" s="12">
        <f t="shared" si="59"/>
        <v>760</v>
      </c>
      <c r="B763" s="64" t="s">
        <v>1308</v>
      </c>
      <c r="C763" s="54">
        <v>45156</v>
      </c>
      <c r="D763" s="54">
        <v>45156</v>
      </c>
      <c r="E763" s="46" t="s">
        <v>32</v>
      </c>
      <c r="F763" s="51" t="s">
        <v>1090</v>
      </c>
      <c r="G763" s="51" t="s">
        <v>1508</v>
      </c>
      <c r="H763" s="51" t="s">
        <v>32</v>
      </c>
      <c r="I763" s="55">
        <v>1</v>
      </c>
      <c r="J763" s="56">
        <v>10</v>
      </c>
      <c r="K763" s="51" t="s">
        <v>1509</v>
      </c>
      <c r="L763" s="58">
        <v>14830</v>
      </c>
      <c r="M763" s="50">
        <f>ROUND('FA Addition'!$L763*5%,0.1)</f>
        <v>742</v>
      </c>
      <c r="N763" s="113" t="str">
        <f>_xlfn.XLOOKUP(_xlfn.CONCAT(E763,B763),'Year Wise Master Dep Approach'!F:F,'Year Wise Master Dep Approach'!D:D)</f>
        <v>SLM</v>
      </c>
      <c r="O763" s="113">
        <f>_xlfn.XLOOKUP(_xlfn.CONCAT(E763,B763),'Year Wise Master Dep Approach'!F:F,'Year Wise Master Dep Approach'!E:E)</f>
        <v>5</v>
      </c>
      <c r="P763" s="114">
        <f>IFERROR(IF('FA Addition'!$N763="WDV",1-('FA Addition'!$M763/'FA Addition'!$L763)^(1/'FA Addition'!$O763),1/'FA Addition'!$O763),0)</f>
        <v>0.2</v>
      </c>
      <c r="Q763" s="122">
        <f>'FA Addition'!$P763*'FA Addition'!$O763</f>
        <v>1</v>
      </c>
      <c r="R763" s="122"/>
      <c r="S763" s="116">
        <f>IF(AND(DATE(20&amp;LEFT(FAAddition[[#This Row],[FY]],2),4,1)&lt;$L$1+1,DATE(20&amp;LEFT(FAAddition[[#This Row],[FY]],2),4,1)&gt;$P$1-1),'FA Addition'!$J763,0)</f>
        <v>10</v>
      </c>
      <c r="U763" s="117">
        <f>S763*'FA Addition'!$L763/'FA Addition'!$J763</f>
        <v>14830</v>
      </c>
      <c r="W763" s="116">
        <f>SUMIFS('FA Write off'!D:D,'FA Write off'!A:A,'FA Addition'!$A763,'FA Write off'!C:C,"&lt;"&amp;'FA Addition'!$P$1)</f>
        <v>0</v>
      </c>
      <c r="Y763" s="191">
        <f>IFERROR(W763/'FA Addition'!$J763*'FA Addition'!$L763,0)</f>
        <v>0</v>
      </c>
      <c r="AA763" s="116">
        <f>SUMIFS('FA Write off'!D:D,'FA Write off'!A:A,'FA Addition'!$A763,'FA Write off'!C:C,"&lt;"&amp;'FA Addition'!$L$1+1,'FA Write off'!C:C,"&gt;"&amp;'FA Addition'!$L$1-365)</f>
        <v>0</v>
      </c>
      <c r="AC763" s="118">
        <f>IFERROR(AA763/'FA Addition'!$J763*'FA Addition'!$L763,0)</f>
        <v>0</v>
      </c>
      <c r="AE763" s="117">
        <f>IF(AND('FA Addition'!$D763&lt;$P$1+1,U763=0),'FA Addition'!$L763,0)-Y763</f>
        <v>0</v>
      </c>
      <c r="AF763" s="117">
        <f t="shared" si="55"/>
        <v>14830</v>
      </c>
      <c r="AG763" s="117">
        <f>MIN(MAX(+$P$1-'FA Addition'!$D763,0),365*'FA Addition'!$O763)</f>
        <v>0</v>
      </c>
      <c r="AH763" s="117">
        <f>MIN(MAX($L$1-'FA Addition'!$D763+1,0),365*'FA Addition'!$O763)</f>
        <v>227</v>
      </c>
      <c r="AI763" s="117" cm="1">
        <f t="array" ref="AI763">_xlfn.XLOOKUP(1,('FA Write off'!A:A='FA Addition'!$A763)*('FA Write off'!D:D=AA763),'FA Write off'!H:H,0,0)</f>
        <v>0</v>
      </c>
      <c r="AJ763" s="117">
        <f>IF(AC763&gt;0,MAX(IF('FA Addition'!$N763="SLM",($AC763-'FA Addition'!$M763)*'FA Addition'!$P763*AI763/365,(AC763-'FA Addition'!$M763)*(1-(1-'FA Addition'!$P763)^(AI763/365))),0),0)</f>
        <v>0</v>
      </c>
      <c r="AL763" s="117">
        <f>MAX(IF(AG763&gt;0,IF('FA Addition'!$N763="SLM",($AE763-'FA Addition'!$M763)*'FA Addition'!$P763*AG763/365,IFERROR(VDB(AE763,AE763*0.05,'FA Addition'!$O763,0,YEARFRAC('FA Addition'!$C763,$P$1-1,3),'FA Addition'!$Q763),FAAddition[[#This Row],[Original Cost (Rs)]]-FAAddition[[#This Row],[Salvage Value]])),0),0)</f>
        <v>0</v>
      </c>
      <c r="AM763" s="119"/>
      <c r="AN763" s="117">
        <f>MAX(IF(AH763&gt;0,IF('FA Addition'!$N763="SLM",($AF763-'FA Addition'!$M763)*'FA Addition'!$P763*AH763/365,IFERROR(VDB(AF763,AF763*0.05,'FA Addition'!$O763,0,YEARFRAC('FA Addition'!$C763,$L$1,3),'FA Addition'!$Q763),FAAddition[[#This Row],[Original Cost (Rs)]]-FAAddition[[#This Row],[Salvage Value]])),0),0)</f>
        <v>1752.3156164383563</v>
      </c>
      <c r="AO763" s="117">
        <f t="shared" si="58"/>
        <v>1752.3156164383563</v>
      </c>
      <c r="AQ763" s="117">
        <f t="shared" si="56"/>
        <v>0</v>
      </c>
      <c r="AR763" s="120">
        <f t="shared" si="57"/>
        <v>13077.684383561644</v>
      </c>
      <c r="AS763" s="121"/>
    </row>
    <row r="764" spans="1:45" ht="13.5" x14ac:dyDescent="0.4">
      <c r="A764" s="12">
        <f t="shared" si="59"/>
        <v>761</v>
      </c>
      <c r="B764" s="64" t="s">
        <v>1308</v>
      </c>
      <c r="C764" s="54">
        <v>45159</v>
      </c>
      <c r="D764" s="54">
        <v>45159</v>
      </c>
      <c r="E764" s="46" t="s">
        <v>1495</v>
      </c>
      <c r="F764" s="51" t="s">
        <v>1496</v>
      </c>
      <c r="G764" s="51" t="s">
        <v>12</v>
      </c>
      <c r="H764" s="51" t="s">
        <v>183</v>
      </c>
      <c r="I764" s="55" t="s">
        <v>1510</v>
      </c>
      <c r="J764" s="56">
        <v>1</v>
      </c>
      <c r="K764" s="51" t="s">
        <v>1498</v>
      </c>
      <c r="L764" s="58">
        <v>2378172</v>
      </c>
      <c r="M764" s="50">
        <f>ROUND('FA Addition'!$L764*5%,0.1)</f>
        <v>118909</v>
      </c>
      <c r="N764" s="113" t="str">
        <f>_xlfn.XLOOKUP(_xlfn.CONCAT(E764,B764),'Year Wise Master Dep Approach'!F:F,'Year Wise Master Dep Approach'!D:D)</f>
        <v>SLM</v>
      </c>
      <c r="O764" s="113">
        <f>_xlfn.XLOOKUP(_xlfn.CONCAT(E764,B764),'Year Wise Master Dep Approach'!F:F,'Year Wise Master Dep Approach'!E:E)</f>
        <v>3</v>
      </c>
      <c r="P764" s="114">
        <f>IFERROR(IF('FA Addition'!$N764="WDV",1-('FA Addition'!$M764/'FA Addition'!$L764)^(1/'FA Addition'!$O764),1/'FA Addition'!$O764),0)</f>
        <v>0.33333333333333331</v>
      </c>
      <c r="Q764" s="122">
        <f>'FA Addition'!$P764*'FA Addition'!$O764</f>
        <v>1</v>
      </c>
      <c r="R764" s="122"/>
      <c r="S764" s="116">
        <f>IF(AND(DATE(20&amp;LEFT(FAAddition[[#This Row],[FY]],2),4,1)&lt;$L$1+1,DATE(20&amp;LEFT(FAAddition[[#This Row],[FY]],2),4,1)&gt;$P$1-1),'FA Addition'!$J764,0)</f>
        <v>1</v>
      </c>
      <c r="U764" s="117">
        <f>S764*'FA Addition'!$L764/'FA Addition'!$J764</f>
        <v>2378172</v>
      </c>
      <c r="W764" s="116">
        <f>SUMIFS('FA Write off'!D:D,'FA Write off'!A:A,'FA Addition'!$A764,'FA Write off'!C:C,"&lt;"&amp;'FA Addition'!$P$1)</f>
        <v>0</v>
      </c>
      <c r="Y764" s="191">
        <f>IFERROR(W764/'FA Addition'!$J764*'FA Addition'!$L764,0)</f>
        <v>0</v>
      </c>
      <c r="AA764" s="116">
        <f>SUMIFS('FA Write off'!D:D,'FA Write off'!A:A,'FA Addition'!$A764,'FA Write off'!C:C,"&lt;"&amp;'FA Addition'!$L$1+1,'FA Write off'!C:C,"&gt;"&amp;'FA Addition'!$L$1-365)</f>
        <v>0</v>
      </c>
      <c r="AC764" s="118">
        <f>IFERROR(AA764/'FA Addition'!$J764*'FA Addition'!$L764,0)</f>
        <v>0</v>
      </c>
      <c r="AE764" s="117">
        <f>IF(AND('FA Addition'!$D764&lt;$P$1+1,U764=0),'FA Addition'!$L764,0)-Y764</f>
        <v>0</v>
      </c>
      <c r="AF764" s="117">
        <f t="shared" si="55"/>
        <v>2378172</v>
      </c>
      <c r="AG764" s="117">
        <f>MIN(MAX(+$P$1-'FA Addition'!$D764,0),365*'FA Addition'!$O764)</f>
        <v>0</v>
      </c>
      <c r="AH764" s="117">
        <f>MIN(MAX($L$1-'FA Addition'!$D764+1,0),365*'FA Addition'!$O764)</f>
        <v>224</v>
      </c>
      <c r="AI764" s="117" cm="1">
        <f t="array" ref="AI764">_xlfn.XLOOKUP(1,('FA Write off'!A:A='FA Addition'!$A764)*('FA Write off'!D:D=AA764),'FA Write off'!H:H,0,0)</f>
        <v>0</v>
      </c>
      <c r="AJ764" s="117">
        <f>IF(AC764&gt;0,MAX(IF('FA Addition'!$N764="SLM",($AC764-'FA Addition'!$M764)*'FA Addition'!$P764*AI764/365,(AC764-'FA Addition'!$M764)*(1-(1-'FA Addition'!$P764)^(AI764/365))),0),0)</f>
        <v>0</v>
      </c>
      <c r="AL764" s="117">
        <f>MAX(IF(AG764&gt;0,IF('FA Addition'!$N764="SLM",($AE764-'FA Addition'!$M764)*'FA Addition'!$P764*AG764/365,IFERROR(VDB(AE764,AE764*0.05,'FA Addition'!$O764,0,YEARFRAC('FA Addition'!$C764,$P$1-1,3),'FA Addition'!$Q764),FAAddition[[#This Row],[Original Cost (Rs)]]-FAAddition[[#This Row],[Salvage Value]])),0),0)</f>
        <v>0</v>
      </c>
      <c r="AM764" s="119"/>
      <c r="AN764" s="117">
        <f>MAX(IF(AH764&gt;0,IF('FA Addition'!$N764="SLM",($AF764-'FA Addition'!$M764)*'FA Addition'!$P764*AH764/365,IFERROR(VDB(AF764,AF764*0.05,'FA Addition'!$O764,0,YEARFRAC('FA Addition'!$C764,$L$1,3),'FA Addition'!$Q764),FAAddition[[#This Row],[Original Cost (Rs)]]-FAAddition[[#This Row],[Salvage Value]])),0),0)</f>
        <v>462168.86940639262</v>
      </c>
      <c r="AO764" s="117">
        <f t="shared" si="58"/>
        <v>462168.86940639262</v>
      </c>
      <c r="AQ764" s="117">
        <f t="shared" si="56"/>
        <v>0</v>
      </c>
      <c r="AR764" s="120">
        <f t="shared" si="57"/>
        <v>1916003.1305936074</v>
      </c>
      <c r="AS764" s="121"/>
    </row>
    <row r="765" spans="1:45" ht="13.5" x14ac:dyDescent="0.4">
      <c r="A765" s="12">
        <f t="shared" si="59"/>
        <v>762</v>
      </c>
      <c r="B765" s="64" t="s">
        <v>1308</v>
      </c>
      <c r="C765" s="54">
        <v>45165</v>
      </c>
      <c r="D765" s="54">
        <v>45165</v>
      </c>
      <c r="E765" s="46" t="s">
        <v>451</v>
      </c>
      <c r="F765" s="51" t="s">
        <v>19</v>
      </c>
      <c r="G765" s="51" t="s">
        <v>1511</v>
      </c>
      <c r="H765" s="51" t="s">
        <v>21</v>
      </c>
      <c r="I765" s="55" t="s">
        <v>1512</v>
      </c>
      <c r="J765" s="56">
        <v>1</v>
      </c>
      <c r="K765" s="51" t="s">
        <v>1513</v>
      </c>
      <c r="L765" s="58">
        <v>92788.13</v>
      </c>
      <c r="M765" s="50">
        <f>ROUND('FA Addition'!$L765*5%,0.1)</f>
        <v>4639</v>
      </c>
      <c r="N765" s="113" t="str">
        <f>_xlfn.XLOOKUP(_xlfn.CONCAT(E765,B765),'Year Wise Master Dep Approach'!F:F,'Year Wise Master Dep Approach'!D:D)</f>
        <v>WDV</v>
      </c>
      <c r="O765" s="113">
        <f>_xlfn.XLOOKUP(_xlfn.CONCAT(E765,B765),'Year Wise Master Dep Approach'!F:F,'Year Wise Master Dep Approach'!E:E)</f>
        <v>3</v>
      </c>
      <c r="P765" s="114">
        <f>IFERROR(IF('FA Addition'!$N765="WDV",1-('FA Addition'!$M765/'FA Addition'!$L765)^(1/'FA Addition'!$O765),1/'FA Addition'!$O765),0)</f>
        <v>0.63160761015123845</v>
      </c>
      <c r="Q765" s="122">
        <f>'FA Addition'!$P765*'FA Addition'!$O765</f>
        <v>1.8948228304537154</v>
      </c>
      <c r="R765" s="122"/>
      <c r="S765" s="116">
        <f>IF(AND(DATE(20&amp;LEFT(FAAddition[[#This Row],[FY]],2),4,1)&lt;$L$1+1,DATE(20&amp;LEFT(FAAddition[[#This Row],[FY]],2),4,1)&gt;$P$1-1),'FA Addition'!$J765,0)</f>
        <v>1</v>
      </c>
      <c r="U765" s="117">
        <f>S765*'FA Addition'!$L765/'FA Addition'!$J765</f>
        <v>92788.13</v>
      </c>
      <c r="W765" s="116">
        <f>SUMIFS('FA Write off'!D:D,'FA Write off'!A:A,'FA Addition'!$A765,'FA Write off'!C:C,"&lt;"&amp;'FA Addition'!$P$1)</f>
        <v>0</v>
      </c>
      <c r="Y765" s="191">
        <f>IFERROR(W765/'FA Addition'!$J765*'FA Addition'!$L765,0)</f>
        <v>0</v>
      </c>
      <c r="AA765" s="116">
        <f>SUMIFS('FA Write off'!D:D,'FA Write off'!A:A,'FA Addition'!$A765,'FA Write off'!C:C,"&lt;"&amp;'FA Addition'!$L$1+1,'FA Write off'!C:C,"&gt;"&amp;'FA Addition'!$L$1-365)</f>
        <v>0</v>
      </c>
      <c r="AC765" s="118">
        <f>IFERROR(AA765/'FA Addition'!$J765*'FA Addition'!$L765,0)</f>
        <v>0</v>
      </c>
      <c r="AE765" s="117">
        <f>IF(AND('FA Addition'!$D765&lt;$P$1+1,U765=0),'FA Addition'!$L765,0)-Y765</f>
        <v>0</v>
      </c>
      <c r="AF765" s="117">
        <f t="shared" si="55"/>
        <v>92788.13</v>
      </c>
      <c r="AG765" s="117">
        <f>MIN(MAX(+$P$1-'FA Addition'!$D765,0),365*'FA Addition'!$O765)</f>
        <v>0</v>
      </c>
      <c r="AH765" s="117">
        <f>MIN(MAX($L$1-'FA Addition'!$D765+1,0),365*'FA Addition'!$O765)</f>
        <v>218</v>
      </c>
      <c r="AI765" s="117" cm="1">
        <f t="array" ref="AI765">_xlfn.XLOOKUP(1,('FA Write off'!A:A='FA Addition'!$A765)*('FA Write off'!D:D=AA765),'FA Write off'!H:H,0,0)</f>
        <v>0</v>
      </c>
      <c r="AJ765" s="117">
        <f>IF(AC765&gt;0,MAX(IF('FA Addition'!$N765="SLM",($AC765-'FA Addition'!$M765)*'FA Addition'!$P765*AI765/365,(AC765-'FA Addition'!$M765)*(1-(1-'FA Addition'!$P765)^(AI765/365))),0),0)</f>
        <v>0</v>
      </c>
      <c r="AL765" s="117">
        <f>MAX(IF(AG765&gt;0,IF('FA Addition'!$N765="SLM",($AE765-'FA Addition'!$M765)*'FA Addition'!$P765*AG765/365,IFERROR(VDB(AE765,AE765*0.05,'FA Addition'!$O765,0,YEARFRAC('FA Addition'!$C765,$P$1-1,3),'FA Addition'!$Q765),FAAddition[[#This Row],[Original Cost (Rs)]]-FAAddition[[#This Row],[Salvage Value]])),0),0)</f>
        <v>0</v>
      </c>
      <c r="AM765" s="119"/>
      <c r="AN765" s="117">
        <f>MAX(IF(AH765&gt;0,IF('FA Addition'!$N765="SLM",($AF765-'FA Addition'!$M765)*'FA Addition'!$P765*AH765/365,IFERROR(VDB(AF765,AF765*0.05,'FA Addition'!$O765,0,YEARFRAC('FA Addition'!$C765,$L$1,3),'FA Addition'!$Q765),FAAddition[[#This Row],[Original Cost (Rs)]]-FAAddition[[#This Row],[Salvage Value]])),0),0)</f>
        <v>34842.286360590217</v>
      </c>
      <c r="AO765" s="117">
        <f t="shared" si="58"/>
        <v>34842.286360590217</v>
      </c>
      <c r="AQ765" s="117">
        <f t="shared" si="56"/>
        <v>0</v>
      </c>
      <c r="AR765" s="120">
        <f t="shared" si="57"/>
        <v>57945.843639409788</v>
      </c>
      <c r="AS765" s="121"/>
    </row>
    <row r="766" spans="1:45" ht="13.5" x14ac:dyDescent="0.4">
      <c r="A766" s="12">
        <f t="shared" si="59"/>
        <v>763</v>
      </c>
      <c r="B766" s="64" t="s">
        <v>1308</v>
      </c>
      <c r="C766" s="54">
        <v>45166</v>
      </c>
      <c r="D766" s="54">
        <v>45166</v>
      </c>
      <c r="E766" s="46" t="s">
        <v>1389</v>
      </c>
      <c r="F766" s="51" t="s">
        <v>1112</v>
      </c>
      <c r="G766" s="51" t="s">
        <v>36</v>
      </c>
      <c r="H766" s="51" t="s">
        <v>1113</v>
      </c>
      <c r="I766" s="55" t="s">
        <v>1514</v>
      </c>
      <c r="J766" s="56">
        <v>2400</v>
      </c>
      <c r="K766" s="51" t="s">
        <v>1132</v>
      </c>
      <c r="L766" s="58">
        <v>1752000</v>
      </c>
      <c r="M766" s="50">
        <f>ROUND('FA Addition'!$L766*5%,0.1)</f>
        <v>87600</v>
      </c>
      <c r="N766" s="113" t="str">
        <f>_xlfn.XLOOKUP(_xlfn.CONCAT(E766,B766),'Year Wise Master Dep Approach'!F:F,'Year Wise Master Dep Approach'!D:D)</f>
        <v>SLM</v>
      </c>
      <c r="O766" s="113">
        <f>_xlfn.XLOOKUP(_xlfn.CONCAT(E766,B766),'Year Wise Master Dep Approach'!F:F,'Year Wise Master Dep Approach'!E:E)</f>
        <v>3</v>
      </c>
      <c r="P766" s="114">
        <f>IFERROR(IF('FA Addition'!$N766="WDV",1-('FA Addition'!$M766/'FA Addition'!$L766)^(1/'FA Addition'!$O766),1/'FA Addition'!$O766),0)</f>
        <v>0.33333333333333331</v>
      </c>
      <c r="Q766" s="122">
        <f>'FA Addition'!$P766*'FA Addition'!$O766</f>
        <v>1</v>
      </c>
      <c r="R766" s="122"/>
      <c r="S766" s="116">
        <f>IF(AND(DATE(20&amp;LEFT(FAAddition[[#This Row],[FY]],2),4,1)&lt;$L$1+1,DATE(20&amp;LEFT(FAAddition[[#This Row],[FY]],2),4,1)&gt;$P$1-1),'FA Addition'!$J766,0)</f>
        <v>2400</v>
      </c>
      <c r="U766" s="117">
        <f>S766*'FA Addition'!$L766/'FA Addition'!$J766</f>
        <v>1752000</v>
      </c>
      <c r="W766" s="116">
        <f>SUMIFS('FA Write off'!D:D,'FA Write off'!A:A,'FA Addition'!$A766,'FA Write off'!C:C,"&lt;"&amp;'FA Addition'!$P$1)</f>
        <v>0</v>
      </c>
      <c r="Y766" s="191">
        <f>IFERROR(W766/'FA Addition'!$J766*'FA Addition'!$L766,0)</f>
        <v>0</v>
      </c>
      <c r="AA766" s="116">
        <f>SUMIFS('FA Write off'!D:D,'FA Write off'!A:A,'FA Addition'!$A766,'FA Write off'!C:C,"&lt;"&amp;'FA Addition'!$L$1+1,'FA Write off'!C:C,"&gt;"&amp;'FA Addition'!$L$1-365)</f>
        <v>0</v>
      </c>
      <c r="AC766" s="118">
        <f>IFERROR(AA766/'FA Addition'!$J766*'FA Addition'!$L766,0)</f>
        <v>0</v>
      </c>
      <c r="AE766" s="117">
        <f>IF(AND('FA Addition'!$D766&lt;$P$1+1,U766=0),'FA Addition'!$L766,0)-Y766</f>
        <v>0</v>
      </c>
      <c r="AF766" s="117">
        <f t="shared" si="55"/>
        <v>1752000</v>
      </c>
      <c r="AG766" s="117">
        <f>MIN(MAX(+$P$1-'FA Addition'!$D766,0),365*'FA Addition'!$O766)</f>
        <v>0</v>
      </c>
      <c r="AH766" s="117">
        <f>MIN(MAX($L$1-'FA Addition'!$D766+1,0),365*'FA Addition'!$O766)</f>
        <v>217</v>
      </c>
      <c r="AI766" s="117" cm="1">
        <f t="array" ref="AI766">_xlfn.XLOOKUP(1,('FA Write off'!A:A='FA Addition'!$A766)*('FA Write off'!D:D=AA766),'FA Write off'!H:H,0,0)</f>
        <v>0</v>
      </c>
      <c r="AJ766" s="117">
        <f>IF(AC766&gt;0,MAX(IF('FA Addition'!$N766="SLM",($AC766-'FA Addition'!$M766)*'FA Addition'!$P766*AI766/365,(AC766-'FA Addition'!$M766)*(1-(1-'FA Addition'!$P766)^(AI766/365))),0),0)</f>
        <v>0</v>
      </c>
      <c r="AL766" s="117">
        <f>MAX(IF(AG766&gt;0,IF('FA Addition'!$N766="SLM",($AE766-'FA Addition'!$M766)*'FA Addition'!$P766*AG766/365,IFERROR(VDB(AE766,AE766*0.05,'FA Addition'!$O766,0,YEARFRAC('FA Addition'!$C766,$P$1-1,3),'FA Addition'!$Q766),FAAddition[[#This Row],[Original Cost (Rs)]]-FAAddition[[#This Row],[Salvage Value]])),0),0)</f>
        <v>0</v>
      </c>
      <c r="AM766" s="119"/>
      <c r="AN766" s="117">
        <f>MAX(IF(AH766&gt;0,IF('FA Addition'!$N766="SLM",($AF766-'FA Addition'!$M766)*'FA Addition'!$P766*AH766/365,IFERROR(VDB(AF766,AF766*0.05,'FA Addition'!$O766,0,YEARFRAC('FA Addition'!$C766,$L$1,3),'FA Addition'!$Q766),FAAddition[[#This Row],[Original Cost (Rs)]]-FAAddition[[#This Row],[Salvage Value]])),0),0)</f>
        <v>329840</v>
      </c>
      <c r="AO766" s="117">
        <f t="shared" si="58"/>
        <v>329840</v>
      </c>
      <c r="AQ766" s="117">
        <f t="shared" si="56"/>
        <v>0</v>
      </c>
      <c r="AR766" s="120">
        <f t="shared" si="57"/>
        <v>1422160</v>
      </c>
      <c r="AS766" s="121"/>
    </row>
    <row r="767" spans="1:45" ht="13.5" x14ac:dyDescent="0.4">
      <c r="A767" s="12">
        <f t="shared" si="59"/>
        <v>764</v>
      </c>
      <c r="B767" s="64" t="s">
        <v>1308</v>
      </c>
      <c r="C767" s="54">
        <v>45167</v>
      </c>
      <c r="D767" s="54">
        <v>45167</v>
      </c>
      <c r="E767" s="46" t="s">
        <v>32</v>
      </c>
      <c r="F767" s="51" t="s">
        <v>1090</v>
      </c>
      <c r="G767" s="51" t="s">
        <v>433</v>
      </c>
      <c r="H767" s="51" t="s">
        <v>32</v>
      </c>
      <c r="I767" s="55" t="s">
        <v>1515</v>
      </c>
      <c r="J767" s="56">
        <v>2100</v>
      </c>
      <c r="K767" s="51" t="s">
        <v>935</v>
      </c>
      <c r="L767" s="58">
        <v>2079000</v>
      </c>
      <c r="M767" s="50">
        <f>ROUND('FA Addition'!$L767*5%,0.1)</f>
        <v>103950</v>
      </c>
      <c r="N767" s="113" t="str">
        <f>_xlfn.XLOOKUP(_xlfn.CONCAT(E767,B767),'Year Wise Master Dep Approach'!F:F,'Year Wise Master Dep Approach'!D:D)</f>
        <v>SLM</v>
      </c>
      <c r="O767" s="113">
        <f>_xlfn.XLOOKUP(_xlfn.CONCAT(E767,B767),'Year Wise Master Dep Approach'!F:F,'Year Wise Master Dep Approach'!E:E)</f>
        <v>5</v>
      </c>
      <c r="P767" s="114">
        <f>IFERROR(IF('FA Addition'!$N767="WDV",1-('FA Addition'!$M767/'FA Addition'!$L767)^(1/'FA Addition'!$O767),1/'FA Addition'!$O767),0)</f>
        <v>0.2</v>
      </c>
      <c r="Q767" s="122">
        <f>'FA Addition'!$P767*'FA Addition'!$O767</f>
        <v>1</v>
      </c>
      <c r="R767" s="122"/>
      <c r="S767" s="116">
        <f>IF(AND(DATE(20&amp;LEFT(FAAddition[[#This Row],[FY]],2),4,1)&lt;$L$1+1,DATE(20&amp;LEFT(FAAddition[[#This Row],[FY]],2),4,1)&gt;$P$1-1),'FA Addition'!$J767,0)</f>
        <v>2100</v>
      </c>
      <c r="U767" s="117">
        <f>S767*'FA Addition'!$L767/'FA Addition'!$J767</f>
        <v>2079000</v>
      </c>
      <c r="W767" s="116">
        <f>SUMIFS('FA Write off'!D:D,'FA Write off'!A:A,'FA Addition'!$A767,'FA Write off'!C:C,"&lt;"&amp;'FA Addition'!$P$1)</f>
        <v>24</v>
      </c>
      <c r="Y767" s="191">
        <f>IFERROR(W767/'FA Addition'!$J767*'FA Addition'!$L767,0)</f>
        <v>23760</v>
      </c>
      <c r="AA767" s="116">
        <f>SUMIFS('FA Write off'!D:D,'FA Write off'!A:A,'FA Addition'!$A767,'FA Write off'!C:C,"&lt;"&amp;'FA Addition'!$L$1+1,'FA Write off'!C:C,"&gt;"&amp;'FA Addition'!$L$1-365)</f>
        <v>0</v>
      </c>
      <c r="AC767" s="118">
        <f>IFERROR(AA767/'FA Addition'!$J767*'FA Addition'!$L767,0)</f>
        <v>0</v>
      </c>
      <c r="AE767" s="117">
        <f>IF(AND('FA Addition'!$D767&lt;$P$1+1,U767=0),'FA Addition'!$L767,0)-Y767</f>
        <v>-23760</v>
      </c>
      <c r="AF767" s="117">
        <f t="shared" si="55"/>
        <v>2055240</v>
      </c>
      <c r="AG767" s="117">
        <f>MIN(MAX(+$P$1-'FA Addition'!$D767,0),365*'FA Addition'!$O767)</f>
        <v>0</v>
      </c>
      <c r="AH767" s="117">
        <f>MIN(MAX($L$1-'FA Addition'!$D767+1,0),365*'FA Addition'!$O767)</f>
        <v>216</v>
      </c>
      <c r="AI767" s="117" cm="1">
        <f t="array" ref="AI767">_xlfn.XLOOKUP(1,('FA Write off'!A:A='FA Addition'!$A767)*('FA Write off'!D:D=AA767),'FA Write off'!H:H,0,0)</f>
        <v>0</v>
      </c>
      <c r="AJ767" s="117">
        <f>IF(AC767&gt;0,MAX(IF('FA Addition'!$N767="SLM",($AC767-'FA Addition'!$M767)*'FA Addition'!$P767*AI767/365,(AC767-'FA Addition'!$M767)*(1-(1-'FA Addition'!$P767)^(AI767/365))),0),0)</f>
        <v>0</v>
      </c>
      <c r="AL767" s="117">
        <f>MAX(IF(AG767&gt;0,IF('FA Addition'!$N767="SLM",($AE767-'FA Addition'!$M767)*'FA Addition'!$P767*AG767/365,IFERROR(VDB(AE767,AE767*0.05,'FA Addition'!$O767,0,YEARFRAC('FA Addition'!$C767,$P$1-1,3),'FA Addition'!$Q767),FAAddition[[#This Row],[Original Cost (Rs)]]-FAAddition[[#This Row],[Salvage Value]])),0),0)</f>
        <v>0</v>
      </c>
      <c r="AM767" s="119"/>
      <c r="AN767" s="117">
        <f>MAX(IF(AH767&gt;0,IF('FA Addition'!$N767="SLM",($AF767-'FA Addition'!$M767)*'FA Addition'!$P767*AH767/365,IFERROR(VDB(AF767,AF767*0.05,'FA Addition'!$O767,0,YEARFRAC('FA Addition'!$C767,$L$1,3),'FA Addition'!$Q767),FAAddition[[#This Row],[Original Cost (Rs)]]-FAAddition[[#This Row],[Salvage Value]])),0),0)</f>
        <v>230947.20000000001</v>
      </c>
      <c r="AO767" s="117">
        <f t="shared" si="58"/>
        <v>230947.20000000001</v>
      </c>
      <c r="AQ767" s="117">
        <f t="shared" si="56"/>
        <v>-23760</v>
      </c>
      <c r="AR767" s="120">
        <f t="shared" si="57"/>
        <v>1824292.8</v>
      </c>
      <c r="AS767" s="121"/>
    </row>
    <row r="768" spans="1:45" ht="13.5" x14ac:dyDescent="0.4">
      <c r="A768" s="12">
        <f t="shared" si="59"/>
        <v>765</v>
      </c>
      <c r="B768" s="64" t="s">
        <v>1308</v>
      </c>
      <c r="C768" s="54">
        <v>45167</v>
      </c>
      <c r="D768" s="54">
        <v>45167</v>
      </c>
      <c r="E768" s="46" t="s">
        <v>1495</v>
      </c>
      <c r="F768" s="51" t="s">
        <v>1496</v>
      </c>
      <c r="G768" s="51" t="s">
        <v>1499</v>
      </c>
      <c r="H768" s="51" t="s">
        <v>196</v>
      </c>
      <c r="I768" s="55" t="s">
        <v>1516</v>
      </c>
      <c r="J768" s="56">
        <v>1</v>
      </c>
      <c r="K768" s="51" t="s">
        <v>1517</v>
      </c>
      <c r="L768" s="58">
        <v>406109.97963340121</v>
      </c>
      <c r="M768" s="50">
        <f>ROUND('FA Addition'!$L768*5%,0.1)</f>
        <v>20305</v>
      </c>
      <c r="N768" s="113" t="str">
        <f>_xlfn.XLOOKUP(_xlfn.CONCAT(E768,B768),'Year Wise Master Dep Approach'!F:F,'Year Wise Master Dep Approach'!D:D)</f>
        <v>SLM</v>
      </c>
      <c r="O768" s="113">
        <f>_xlfn.XLOOKUP(_xlfn.CONCAT(E768,B768),'Year Wise Master Dep Approach'!F:F,'Year Wise Master Dep Approach'!E:E)</f>
        <v>3</v>
      </c>
      <c r="P768" s="114">
        <f>IFERROR(IF('FA Addition'!$N768="WDV",1-('FA Addition'!$M768/'FA Addition'!$L768)^(1/'FA Addition'!$O768),1/'FA Addition'!$O768),0)</f>
        <v>0.33333333333333331</v>
      </c>
      <c r="Q768" s="122">
        <f>'FA Addition'!$P768*'FA Addition'!$O768</f>
        <v>1</v>
      </c>
      <c r="R768" s="122"/>
      <c r="S768" s="116">
        <f>IF(AND(DATE(20&amp;LEFT(FAAddition[[#This Row],[FY]],2),4,1)&lt;$L$1+1,DATE(20&amp;LEFT(FAAddition[[#This Row],[FY]],2),4,1)&gt;$P$1-1),'FA Addition'!$J768,0)</f>
        <v>1</v>
      </c>
      <c r="U768" s="117">
        <f>S768*'FA Addition'!$L768/'FA Addition'!$J768</f>
        <v>406109.97963340121</v>
      </c>
      <c r="W768" s="116">
        <f>SUMIFS('FA Write off'!D:D,'FA Write off'!A:A,'FA Addition'!$A768,'FA Write off'!C:C,"&lt;"&amp;'FA Addition'!$P$1)</f>
        <v>0</v>
      </c>
      <c r="Y768" s="191">
        <f>IFERROR(W768/'FA Addition'!$J768*'FA Addition'!$L768,0)</f>
        <v>0</v>
      </c>
      <c r="AA768" s="116">
        <f>SUMIFS('FA Write off'!D:D,'FA Write off'!A:A,'FA Addition'!$A768,'FA Write off'!C:C,"&lt;"&amp;'FA Addition'!$L$1+1,'FA Write off'!C:C,"&gt;"&amp;'FA Addition'!$L$1-365)</f>
        <v>0</v>
      </c>
      <c r="AC768" s="118">
        <f>IFERROR(AA768/'FA Addition'!$J768*'FA Addition'!$L768,0)</f>
        <v>0</v>
      </c>
      <c r="AE768" s="117">
        <f>IF(AND('FA Addition'!$D768&lt;$P$1+1,U768=0),'FA Addition'!$L768,0)-Y768</f>
        <v>0</v>
      </c>
      <c r="AF768" s="117">
        <f t="shared" si="55"/>
        <v>406109.97963340121</v>
      </c>
      <c r="AG768" s="117">
        <f>MIN(MAX(+$P$1-'FA Addition'!$D768,0),365*'FA Addition'!$O768)</f>
        <v>0</v>
      </c>
      <c r="AH768" s="117">
        <f>MIN(MAX($L$1-'FA Addition'!$D768+1,0),365*'FA Addition'!$O768)</f>
        <v>216</v>
      </c>
      <c r="AI768" s="117" cm="1">
        <f t="array" ref="AI768">_xlfn.XLOOKUP(1,('FA Write off'!A:A='FA Addition'!$A768)*('FA Write off'!D:D=AA768),'FA Write off'!H:H,0,0)</f>
        <v>0</v>
      </c>
      <c r="AJ768" s="117">
        <f>IF(AC768&gt;0,MAX(IF('FA Addition'!$N768="SLM",($AC768-'FA Addition'!$M768)*'FA Addition'!$P768*AI768/365,(AC768-'FA Addition'!$M768)*(1-(1-'FA Addition'!$P768)^(AI768/365))),0),0)</f>
        <v>0</v>
      </c>
      <c r="AL768" s="117">
        <f>MAX(IF(AG768&gt;0,IF('FA Addition'!$N768="SLM",($AE768-'FA Addition'!$M768)*'FA Addition'!$P768*AG768/365,IFERROR(VDB(AE768,AE768*0.05,'FA Addition'!$O768,0,YEARFRAC('FA Addition'!$C768,$P$1-1,3),'FA Addition'!$Q768),FAAddition[[#This Row],[Original Cost (Rs)]]-FAAddition[[#This Row],[Salvage Value]])),0),0)</f>
        <v>0</v>
      </c>
      <c r="AM768" s="119"/>
      <c r="AN768" s="117">
        <f>MAX(IF(AH768&gt;0,IF('FA Addition'!$N768="SLM",($AF768-'FA Addition'!$M768)*'FA Addition'!$P768*AH768/365,IFERROR(VDB(AF768,AF768*0.05,'FA Addition'!$O768,0,YEARFRAC('FA Addition'!$C768,$L$1,3),'FA Addition'!$Q768),FAAddition[[#This Row],[Original Cost (Rs)]]-FAAddition[[#This Row],[Salvage Value]])),0),0)</f>
        <v>76103.995982479144</v>
      </c>
      <c r="AO768" s="117">
        <f t="shared" si="58"/>
        <v>76103.995982479144</v>
      </c>
      <c r="AQ768" s="117">
        <f t="shared" si="56"/>
        <v>0</v>
      </c>
      <c r="AR768" s="120">
        <f t="shared" si="57"/>
        <v>330005.98365092208</v>
      </c>
      <c r="AS768" s="121"/>
    </row>
    <row r="769" spans="1:45" ht="13.5" x14ac:dyDescent="0.4">
      <c r="A769" s="12">
        <f t="shared" si="59"/>
        <v>766</v>
      </c>
      <c r="B769" s="64" t="s">
        <v>1308</v>
      </c>
      <c r="C769" s="54">
        <v>45167</v>
      </c>
      <c r="D769" s="54">
        <v>45167</v>
      </c>
      <c r="E769" s="46" t="s">
        <v>1495</v>
      </c>
      <c r="F769" s="51" t="s">
        <v>1496</v>
      </c>
      <c r="G769" s="51" t="s">
        <v>1499</v>
      </c>
      <c r="H769" s="51" t="s">
        <v>1518</v>
      </c>
      <c r="I769" s="55" t="s">
        <v>1516</v>
      </c>
      <c r="J769" s="56">
        <v>2</v>
      </c>
      <c r="K769" s="51" t="s">
        <v>1519</v>
      </c>
      <c r="L769" s="58">
        <v>507637.47454175155</v>
      </c>
      <c r="M769" s="50">
        <f>ROUND('FA Addition'!$L769*5%,0.1)</f>
        <v>25382</v>
      </c>
      <c r="N769" s="113" t="str">
        <f>_xlfn.XLOOKUP(_xlfn.CONCAT(E769,B769),'Year Wise Master Dep Approach'!F:F,'Year Wise Master Dep Approach'!D:D)</f>
        <v>SLM</v>
      </c>
      <c r="O769" s="113">
        <f>_xlfn.XLOOKUP(_xlfn.CONCAT(E769,B769),'Year Wise Master Dep Approach'!F:F,'Year Wise Master Dep Approach'!E:E)</f>
        <v>3</v>
      </c>
      <c r="P769" s="114">
        <f>IFERROR(IF('FA Addition'!$N769="WDV",1-('FA Addition'!$M769/'FA Addition'!$L769)^(1/'FA Addition'!$O769),1/'FA Addition'!$O769),0)</f>
        <v>0.33333333333333331</v>
      </c>
      <c r="Q769" s="122">
        <f>'FA Addition'!$P769*'FA Addition'!$O769</f>
        <v>1</v>
      </c>
      <c r="R769" s="122"/>
      <c r="S769" s="116">
        <f>IF(AND(DATE(20&amp;LEFT(FAAddition[[#This Row],[FY]],2),4,1)&lt;$L$1+1,DATE(20&amp;LEFT(FAAddition[[#This Row],[FY]],2),4,1)&gt;$P$1-1),'FA Addition'!$J769,0)</f>
        <v>2</v>
      </c>
      <c r="U769" s="117">
        <f>S769*'FA Addition'!$L769/'FA Addition'!$J769</f>
        <v>507637.47454175155</v>
      </c>
      <c r="W769" s="116">
        <f>SUMIFS('FA Write off'!D:D,'FA Write off'!A:A,'FA Addition'!$A769,'FA Write off'!C:C,"&lt;"&amp;'FA Addition'!$P$1)</f>
        <v>0</v>
      </c>
      <c r="Y769" s="191">
        <f>IFERROR(W769/'FA Addition'!$J769*'FA Addition'!$L769,0)</f>
        <v>0</v>
      </c>
      <c r="AA769" s="116">
        <f>SUMIFS('FA Write off'!D:D,'FA Write off'!A:A,'FA Addition'!$A769,'FA Write off'!C:C,"&lt;"&amp;'FA Addition'!$L$1+1,'FA Write off'!C:C,"&gt;"&amp;'FA Addition'!$L$1-365)</f>
        <v>0</v>
      </c>
      <c r="AC769" s="118">
        <f>IFERROR(AA769/'FA Addition'!$J769*'FA Addition'!$L769,0)</f>
        <v>0</v>
      </c>
      <c r="AE769" s="117">
        <f>IF(AND('FA Addition'!$D769&lt;$P$1+1,U769=0),'FA Addition'!$L769,0)-Y769</f>
        <v>0</v>
      </c>
      <c r="AF769" s="117">
        <f t="shared" si="55"/>
        <v>507637.47454175155</v>
      </c>
      <c r="AG769" s="117">
        <f>MIN(MAX(+$P$1-'FA Addition'!$D769,0),365*'FA Addition'!$O769)</f>
        <v>0</v>
      </c>
      <c r="AH769" s="117">
        <f>MIN(MAX($L$1-'FA Addition'!$D769+1,0),365*'FA Addition'!$O769)</f>
        <v>216</v>
      </c>
      <c r="AI769" s="117" cm="1">
        <f t="array" ref="AI769">_xlfn.XLOOKUP(1,('FA Write off'!A:A='FA Addition'!$A769)*('FA Write off'!D:D=AA769),'FA Write off'!H:H,0,0)</f>
        <v>0</v>
      </c>
      <c r="AJ769" s="117">
        <f>IF(AC769&gt;0,MAX(IF('FA Addition'!$N769="SLM",($AC769-'FA Addition'!$M769)*'FA Addition'!$P769*AI769/365,(AC769-'FA Addition'!$M769)*(1-(1-'FA Addition'!$P769)^(AI769/365))),0),0)</f>
        <v>0</v>
      </c>
      <c r="AL769" s="117">
        <f>MAX(IF(AG769&gt;0,IF('FA Addition'!$N769="SLM",($AE769-'FA Addition'!$M769)*'FA Addition'!$P769*AG769/365,IFERROR(VDB(AE769,AE769*0.05,'FA Addition'!$O769,0,YEARFRAC('FA Addition'!$C769,$P$1-1,3),'FA Addition'!$Q769),FAAddition[[#This Row],[Original Cost (Rs)]]-FAAddition[[#This Row],[Salvage Value]])),0),0)</f>
        <v>0</v>
      </c>
      <c r="AM769" s="119"/>
      <c r="AN769" s="117">
        <f>MAX(IF(AH769&gt;0,IF('FA Addition'!$N769="SLM",($AF769-'FA Addition'!$M769)*'FA Addition'!$P769*AH769/365,IFERROR(VDB(AF769,AF769*0.05,'FA Addition'!$O769,0,YEARFRAC('FA Addition'!$C769,$L$1,3),'FA Addition'!$Q769),FAAddition[[#This Row],[Original Cost (Rs)]]-FAAddition[[#This Row],[Salvage Value]])),0),0)</f>
        <v>95129.847032893464</v>
      </c>
      <c r="AO769" s="117">
        <f t="shared" si="58"/>
        <v>95129.847032893464</v>
      </c>
      <c r="AQ769" s="117">
        <f t="shared" si="56"/>
        <v>0</v>
      </c>
      <c r="AR769" s="120">
        <f t="shared" si="57"/>
        <v>412507.6275088581</v>
      </c>
      <c r="AS769" s="121"/>
    </row>
    <row r="770" spans="1:45" ht="13.5" x14ac:dyDescent="0.4">
      <c r="A770" s="12">
        <f t="shared" si="59"/>
        <v>767</v>
      </c>
      <c r="B770" s="64" t="s">
        <v>1308</v>
      </c>
      <c r="C770" s="54">
        <v>45167</v>
      </c>
      <c r="D770" s="54">
        <v>45167</v>
      </c>
      <c r="E770" s="46" t="s">
        <v>1495</v>
      </c>
      <c r="F770" s="51" t="s">
        <v>1496</v>
      </c>
      <c r="G770" s="51" t="s">
        <v>1499</v>
      </c>
      <c r="H770" s="51" t="s">
        <v>193</v>
      </c>
      <c r="I770" s="55" t="s">
        <v>1516</v>
      </c>
      <c r="J770" s="56">
        <v>112</v>
      </c>
      <c r="K770" s="51" t="s">
        <v>1520</v>
      </c>
      <c r="L770" s="58">
        <v>1080252.5458248472</v>
      </c>
      <c r="M770" s="50">
        <f>ROUND('FA Addition'!$L770*5%,0.1)</f>
        <v>54013</v>
      </c>
      <c r="N770" s="113" t="str">
        <f>_xlfn.XLOOKUP(_xlfn.CONCAT(E770,B770),'Year Wise Master Dep Approach'!F:F,'Year Wise Master Dep Approach'!D:D)</f>
        <v>SLM</v>
      </c>
      <c r="O770" s="113">
        <f>_xlfn.XLOOKUP(_xlfn.CONCAT(E770,B770),'Year Wise Master Dep Approach'!F:F,'Year Wise Master Dep Approach'!E:E)</f>
        <v>3</v>
      </c>
      <c r="P770" s="114">
        <f>IFERROR(IF('FA Addition'!$N770="WDV",1-('FA Addition'!$M770/'FA Addition'!$L770)^(1/'FA Addition'!$O770),1/'FA Addition'!$O770),0)</f>
        <v>0.33333333333333331</v>
      </c>
      <c r="Q770" s="122">
        <f>'FA Addition'!$P770*'FA Addition'!$O770</f>
        <v>1</v>
      </c>
      <c r="R770" s="122"/>
      <c r="S770" s="116">
        <f>IF(AND(DATE(20&amp;LEFT(FAAddition[[#This Row],[FY]],2),4,1)&lt;$L$1+1,DATE(20&amp;LEFT(FAAddition[[#This Row],[FY]],2),4,1)&gt;$P$1-1),'FA Addition'!$J770,0)</f>
        <v>112</v>
      </c>
      <c r="U770" s="117">
        <f>S770*'FA Addition'!$L770/'FA Addition'!$J770</f>
        <v>1080252.5458248472</v>
      </c>
      <c r="W770" s="116">
        <f>SUMIFS('FA Write off'!D:D,'FA Write off'!A:A,'FA Addition'!$A770,'FA Write off'!C:C,"&lt;"&amp;'FA Addition'!$P$1)</f>
        <v>0</v>
      </c>
      <c r="Y770" s="191">
        <f>IFERROR(W770/'FA Addition'!$J770*'FA Addition'!$L770,0)</f>
        <v>0</v>
      </c>
      <c r="AA770" s="116">
        <f>SUMIFS('FA Write off'!D:D,'FA Write off'!A:A,'FA Addition'!$A770,'FA Write off'!C:C,"&lt;"&amp;'FA Addition'!$L$1+1,'FA Write off'!C:C,"&gt;"&amp;'FA Addition'!$L$1-365)</f>
        <v>0</v>
      </c>
      <c r="AC770" s="118">
        <f>IFERROR(AA770/'FA Addition'!$J770*'FA Addition'!$L770,0)</f>
        <v>0</v>
      </c>
      <c r="AE770" s="117">
        <f>IF(AND('FA Addition'!$D770&lt;$P$1+1,U770=0),'FA Addition'!$L770,0)-Y770</f>
        <v>0</v>
      </c>
      <c r="AF770" s="117">
        <f t="shared" si="55"/>
        <v>1080252.5458248472</v>
      </c>
      <c r="AG770" s="117">
        <f>MIN(MAX(+$P$1-'FA Addition'!$D770,0),365*'FA Addition'!$O770)</f>
        <v>0</v>
      </c>
      <c r="AH770" s="117">
        <f>MIN(MAX($L$1-'FA Addition'!$D770+1,0),365*'FA Addition'!$O770)</f>
        <v>216</v>
      </c>
      <c r="AI770" s="117" cm="1">
        <f t="array" ref="AI770">_xlfn.XLOOKUP(1,('FA Write off'!A:A='FA Addition'!$A770)*('FA Write off'!D:D=AA770),'FA Write off'!H:H,0,0)</f>
        <v>0</v>
      </c>
      <c r="AJ770" s="117">
        <f>IF(AC770&gt;0,MAX(IF('FA Addition'!$N770="SLM",($AC770-'FA Addition'!$M770)*'FA Addition'!$P770*AI770/365,(AC770-'FA Addition'!$M770)*(1-(1-'FA Addition'!$P770)^(AI770/365))),0),0)</f>
        <v>0</v>
      </c>
      <c r="AL770" s="117">
        <f>MAX(IF(AG770&gt;0,IF('FA Addition'!$N770="SLM",($AE770-'FA Addition'!$M770)*'FA Addition'!$P770*AG770/365,IFERROR(VDB(AE770,AE770*0.05,'FA Addition'!$O770,0,YEARFRAC('FA Addition'!$C770,$P$1-1,3),'FA Addition'!$Q770),FAAddition[[#This Row],[Original Cost (Rs)]]-FAAddition[[#This Row],[Salvage Value]])),0),0)</f>
        <v>0</v>
      </c>
      <c r="AM770" s="119"/>
      <c r="AN770" s="117">
        <f>MAX(IF(AH770&gt;0,IF('FA Addition'!$N770="SLM",($AF770-'FA Addition'!$M770)*'FA Addition'!$P770*AH770/365,IFERROR(VDB(AF770,AF770*0.05,'FA Addition'!$O770,0,YEARFRAC('FA Addition'!$C770,$L$1,3),'FA Addition'!$Q770),FAAddition[[#This Row],[Original Cost (Rs)]]-FAAddition[[#This Row],[Salvage Value]])),0),0)</f>
        <v>202436.29397092879</v>
      </c>
      <c r="AO770" s="117">
        <f t="shared" si="58"/>
        <v>202436.29397092879</v>
      </c>
      <c r="AQ770" s="117">
        <f t="shared" si="56"/>
        <v>0</v>
      </c>
      <c r="AR770" s="120">
        <f t="shared" si="57"/>
        <v>877816.25185391842</v>
      </c>
      <c r="AS770" s="121"/>
    </row>
    <row r="771" spans="1:45" ht="13.5" x14ac:dyDescent="0.4">
      <c r="A771" s="12">
        <f t="shared" si="59"/>
        <v>768</v>
      </c>
      <c r="B771" s="64" t="s">
        <v>1308</v>
      </c>
      <c r="C771" s="54">
        <v>45167</v>
      </c>
      <c r="D771" s="54">
        <v>45167</v>
      </c>
      <c r="E771" s="46" t="s">
        <v>1389</v>
      </c>
      <c r="F771" s="51" t="s">
        <v>1112</v>
      </c>
      <c r="G771" s="51" t="s">
        <v>36</v>
      </c>
      <c r="H771" s="51" t="s">
        <v>1113</v>
      </c>
      <c r="I771" s="55" t="s">
        <v>1521</v>
      </c>
      <c r="J771" s="56">
        <v>2600</v>
      </c>
      <c r="K771" s="51" t="s">
        <v>1132</v>
      </c>
      <c r="L771" s="58">
        <v>1898000</v>
      </c>
      <c r="M771" s="50">
        <f>ROUND('FA Addition'!$L771*5%,0.1)</f>
        <v>94900</v>
      </c>
      <c r="N771" s="113" t="str">
        <f>_xlfn.XLOOKUP(_xlfn.CONCAT(E771,B771),'Year Wise Master Dep Approach'!F:F,'Year Wise Master Dep Approach'!D:D)</f>
        <v>SLM</v>
      </c>
      <c r="O771" s="113">
        <f>_xlfn.XLOOKUP(_xlfn.CONCAT(E771,B771),'Year Wise Master Dep Approach'!F:F,'Year Wise Master Dep Approach'!E:E)</f>
        <v>3</v>
      </c>
      <c r="P771" s="114">
        <f>IFERROR(IF('FA Addition'!$N771="WDV",1-('FA Addition'!$M771/'FA Addition'!$L771)^(1/'FA Addition'!$O771),1/'FA Addition'!$O771),0)</f>
        <v>0.33333333333333331</v>
      </c>
      <c r="Q771" s="122">
        <f>'FA Addition'!$P771*'FA Addition'!$O771</f>
        <v>1</v>
      </c>
      <c r="R771" s="122"/>
      <c r="S771" s="116">
        <f>IF(AND(DATE(20&amp;LEFT(FAAddition[[#This Row],[FY]],2),4,1)&lt;$L$1+1,DATE(20&amp;LEFT(FAAddition[[#This Row],[FY]],2),4,1)&gt;$P$1-1),'FA Addition'!$J771,0)</f>
        <v>2600</v>
      </c>
      <c r="U771" s="117">
        <f>S771*'FA Addition'!$L771/'FA Addition'!$J771</f>
        <v>1898000</v>
      </c>
      <c r="W771" s="116">
        <f>SUMIFS('FA Write off'!D:D,'FA Write off'!A:A,'FA Addition'!$A771,'FA Write off'!C:C,"&lt;"&amp;'FA Addition'!$P$1)</f>
        <v>0</v>
      </c>
      <c r="Y771" s="191">
        <f>IFERROR(W771/'FA Addition'!$J771*'FA Addition'!$L771,0)</f>
        <v>0</v>
      </c>
      <c r="AA771" s="116">
        <f>SUMIFS('FA Write off'!D:D,'FA Write off'!A:A,'FA Addition'!$A771,'FA Write off'!C:C,"&lt;"&amp;'FA Addition'!$L$1+1,'FA Write off'!C:C,"&gt;"&amp;'FA Addition'!$L$1-365)</f>
        <v>0</v>
      </c>
      <c r="AC771" s="118">
        <f>IFERROR(AA771/'FA Addition'!$J771*'FA Addition'!$L771,0)</f>
        <v>0</v>
      </c>
      <c r="AE771" s="117">
        <f>IF(AND('FA Addition'!$D771&lt;$P$1+1,U771=0),'FA Addition'!$L771,0)-Y771</f>
        <v>0</v>
      </c>
      <c r="AF771" s="117">
        <f t="shared" si="55"/>
        <v>1898000</v>
      </c>
      <c r="AG771" s="117">
        <f>MIN(MAX(+$P$1-'FA Addition'!$D771,0),365*'FA Addition'!$O771)</f>
        <v>0</v>
      </c>
      <c r="AH771" s="117">
        <f>MIN(MAX($L$1-'FA Addition'!$D771+1,0),365*'FA Addition'!$O771)</f>
        <v>216</v>
      </c>
      <c r="AI771" s="117" cm="1">
        <f t="array" ref="AI771">_xlfn.XLOOKUP(1,('FA Write off'!A:A='FA Addition'!$A771)*('FA Write off'!D:D=AA771),'FA Write off'!H:H,0,0)</f>
        <v>0</v>
      </c>
      <c r="AJ771" s="117">
        <f>IF(AC771&gt;0,MAX(IF('FA Addition'!$N771="SLM",($AC771-'FA Addition'!$M771)*'FA Addition'!$P771*AI771/365,(AC771-'FA Addition'!$M771)*(1-(1-'FA Addition'!$P771)^(AI771/365))),0),0)</f>
        <v>0</v>
      </c>
      <c r="AL771" s="117">
        <f>MAX(IF(AG771&gt;0,IF('FA Addition'!$N771="SLM",($AE771-'FA Addition'!$M771)*'FA Addition'!$P771*AG771/365,IFERROR(VDB(AE771,AE771*0.05,'FA Addition'!$O771,0,YEARFRAC('FA Addition'!$C771,$P$1-1,3),'FA Addition'!$Q771),FAAddition[[#This Row],[Original Cost (Rs)]]-FAAddition[[#This Row],[Salvage Value]])),0),0)</f>
        <v>0</v>
      </c>
      <c r="AM771" s="119"/>
      <c r="AN771" s="117">
        <f>MAX(IF(AH771&gt;0,IF('FA Addition'!$N771="SLM",($AF771-'FA Addition'!$M771)*'FA Addition'!$P771*AH771/365,IFERROR(VDB(AF771,AF771*0.05,'FA Addition'!$O771,0,YEARFRAC('FA Addition'!$C771,$L$1,3),'FA Addition'!$Q771),FAAddition[[#This Row],[Original Cost (Rs)]]-FAAddition[[#This Row],[Salvage Value]])),0),0)</f>
        <v>355679.99999999994</v>
      </c>
      <c r="AO771" s="117">
        <f t="shared" si="58"/>
        <v>355679.99999999994</v>
      </c>
      <c r="AQ771" s="117">
        <f t="shared" si="56"/>
        <v>0</v>
      </c>
      <c r="AR771" s="120">
        <f t="shared" si="57"/>
        <v>1542320</v>
      </c>
      <c r="AS771" s="121"/>
    </row>
    <row r="772" spans="1:45" ht="13.5" x14ac:dyDescent="0.4">
      <c r="A772" s="12">
        <f t="shared" si="59"/>
        <v>769</v>
      </c>
      <c r="B772" s="64" t="s">
        <v>1308</v>
      </c>
      <c r="C772" s="54">
        <v>45167</v>
      </c>
      <c r="D772" s="54">
        <v>45167</v>
      </c>
      <c r="E772" s="46" t="s">
        <v>451</v>
      </c>
      <c r="F772" s="51" t="s">
        <v>19</v>
      </c>
      <c r="G772" s="51" t="s">
        <v>1059</v>
      </c>
      <c r="H772" s="51" t="s">
        <v>151</v>
      </c>
      <c r="I772" s="55" t="s">
        <v>1522</v>
      </c>
      <c r="J772" s="56">
        <v>1</v>
      </c>
      <c r="K772" s="51" t="s">
        <v>1523</v>
      </c>
      <c r="L772" s="58">
        <v>10866.83</v>
      </c>
      <c r="M772" s="50">
        <f>ROUND('FA Addition'!$L772*5%,0.1)</f>
        <v>543</v>
      </c>
      <c r="N772" s="113" t="str">
        <f>_xlfn.XLOOKUP(_xlfn.CONCAT(E772,B772),'Year Wise Master Dep Approach'!F:F,'Year Wise Master Dep Approach'!D:D)</f>
        <v>WDV</v>
      </c>
      <c r="O772" s="113">
        <f>_xlfn.XLOOKUP(_xlfn.CONCAT(E772,B772),'Year Wise Master Dep Approach'!F:F,'Year Wise Master Dep Approach'!E:E)</f>
        <v>3</v>
      </c>
      <c r="P772" s="114">
        <f>IFERROR(IF('FA Addition'!$N772="WDV",1-('FA Addition'!$M772/'FA Addition'!$L772)^(1/'FA Addition'!$O772),1/'FA Addition'!$O772),0)</f>
        <v>0.63167404900185242</v>
      </c>
      <c r="Q772" s="122">
        <f>'FA Addition'!$P772*'FA Addition'!$O772</f>
        <v>1.8950221470055573</v>
      </c>
      <c r="R772" s="122"/>
      <c r="S772" s="116">
        <f>IF(AND(DATE(20&amp;LEFT(FAAddition[[#This Row],[FY]],2),4,1)&lt;$L$1+1,DATE(20&amp;LEFT(FAAddition[[#This Row],[FY]],2),4,1)&gt;$P$1-1),'FA Addition'!$J772,0)</f>
        <v>1</v>
      </c>
      <c r="U772" s="117">
        <f>S772*'FA Addition'!$L772/'FA Addition'!$J772</f>
        <v>10866.83</v>
      </c>
      <c r="W772" s="116">
        <f>SUMIFS('FA Write off'!D:D,'FA Write off'!A:A,'FA Addition'!$A772,'FA Write off'!C:C,"&lt;"&amp;'FA Addition'!$P$1)</f>
        <v>0</v>
      </c>
      <c r="Y772" s="191">
        <f>IFERROR(W772/'FA Addition'!$J772*'FA Addition'!$L772,0)</f>
        <v>0</v>
      </c>
      <c r="AA772" s="116">
        <f>SUMIFS('FA Write off'!D:D,'FA Write off'!A:A,'FA Addition'!$A772,'FA Write off'!C:C,"&lt;"&amp;'FA Addition'!$L$1+1,'FA Write off'!C:C,"&gt;"&amp;'FA Addition'!$L$1-365)</f>
        <v>0</v>
      </c>
      <c r="AC772" s="118">
        <f>IFERROR(AA772/'FA Addition'!$J772*'FA Addition'!$L772,0)</f>
        <v>0</v>
      </c>
      <c r="AE772" s="117">
        <f>IF(AND('FA Addition'!$D772&lt;$P$1+1,U772=0),'FA Addition'!$L772,0)-Y772</f>
        <v>0</v>
      </c>
      <c r="AF772" s="117">
        <f t="shared" ref="AF772:AF835" si="60">AE772+U772-AC772</f>
        <v>10866.83</v>
      </c>
      <c r="AG772" s="117">
        <f>MIN(MAX(+$P$1-'FA Addition'!$D772,0),365*'FA Addition'!$O772)</f>
        <v>0</v>
      </c>
      <c r="AH772" s="117">
        <f>MIN(MAX($L$1-'FA Addition'!$D772+1,0),365*'FA Addition'!$O772)</f>
        <v>216</v>
      </c>
      <c r="AI772" s="117" cm="1">
        <f t="array" ref="AI772">_xlfn.XLOOKUP(1,('FA Write off'!A:A='FA Addition'!$A772)*('FA Write off'!D:D=AA772),'FA Write off'!H:H,0,0)</f>
        <v>0</v>
      </c>
      <c r="AJ772" s="117">
        <f>IF(AC772&gt;0,MAX(IF('FA Addition'!$N772="SLM",($AC772-'FA Addition'!$M772)*'FA Addition'!$P772*AI772/365,(AC772-'FA Addition'!$M772)*(1-(1-'FA Addition'!$P772)^(AI772/365))),0),0)</f>
        <v>0</v>
      </c>
      <c r="AL772" s="117">
        <f>MAX(IF(AG772&gt;0,IF('FA Addition'!$N772="SLM",($AE772-'FA Addition'!$M772)*'FA Addition'!$P772*AG772/365,IFERROR(VDB(AE772,AE772*0.05,'FA Addition'!$O772,0,YEARFRAC('FA Addition'!$C772,$P$1-1,3),'FA Addition'!$Q772),FAAddition[[#This Row],[Original Cost (Rs)]]-FAAddition[[#This Row],[Salvage Value]])),0),0)</f>
        <v>0</v>
      </c>
      <c r="AM772" s="119"/>
      <c r="AN772" s="117">
        <f>MAX(IF(AH772&gt;0,IF('FA Addition'!$N772="SLM",($AF772-'FA Addition'!$M772)*'FA Addition'!$P772*AH772/365,IFERROR(VDB(AF772,AF772*0.05,'FA Addition'!$O772,0,YEARFRAC('FA Addition'!$C772,$L$1,3),'FA Addition'!$Q772),FAAddition[[#This Row],[Original Cost (Rs)]]-FAAddition[[#This Row],[Salvage Value]])),0),0)</f>
        <v>4043.3515582785808</v>
      </c>
      <c r="AO772" s="117">
        <f t="shared" si="58"/>
        <v>4043.3515582785808</v>
      </c>
      <c r="AQ772" s="117">
        <f t="shared" ref="AQ772:AQ835" si="61">AE772-AL772</f>
        <v>0</v>
      </c>
      <c r="AR772" s="120">
        <f t="shared" ref="AR772:AR835" si="62">AF772-AN772</f>
        <v>6823.4784417214196</v>
      </c>
      <c r="AS772" s="121"/>
    </row>
    <row r="773" spans="1:45" ht="13.5" x14ac:dyDescent="0.4">
      <c r="A773" s="12">
        <f t="shared" si="59"/>
        <v>770</v>
      </c>
      <c r="B773" s="64" t="s">
        <v>1308</v>
      </c>
      <c r="C773" s="54">
        <v>45167</v>
      </c>
      <c r="D773" s="54">
        <v>45167</v>
      </c>
      <c r="E773" s="46" t="s">
        <v>451</v>
      </c>
      <c r="F773" s="51" t="s">
        <v>19</v>
      </c>
      <c r="G773" s="51" t="s">
        <v>1059</v>
      </c>
      <c r="H773" s="51" t="s">
        <v>151</v>
      </c>
      <c r="I773" s="55" t="s">
        <v>1522</v>
      </c>
      <c r="J773" s="56">
        <v>1</v>
      </c>
      <c r="K773" s="51" t="s">
        <v>1523</v>
      </c>
      <c r="L773" s="58">
        <v>10866.83</v>
      </c>
      <c r="M773" s="50">
        <f>ROUND('FA Addition'!$L773*5%,0.1)</f>
        <v>543</v>
      </c>
      <c r="N773" s="113" t="str">
        <f>_xlfn.XLOOKUP(_xlfn.CONCAT(E773,B773),'Year Wise Master Dep Approach'!F:F,'Year Wise Master Dep Approach'!D:D)</f>
        <v>WDV</v>
      </c>
      <c r="O773" s="113">
        <f>_xlfn.XLOOKUP(_xlfn.CONCAT(E773,B773),'Year Wise Master Dep Approach'!F:F,'Year Wise Master Dep Approach'!E:E)</f>
        <v>3</v>
      </c>
      <c r="P773" s="114">
        <f>IFERROR(IF('FA Addition'!$N773="WDV",1-('FA Addition'!$M773/'FA Addition'!$L773)^(1/'FA Addition'!$O773),1/'FA Addition'!$O773),0)</f>
        <v>0.63167404900185242</v>
      </c>
      <c r="Q773" s="122">
        <f>'FA Addition'!$P773*'FA Addition'!$O773</f>
        <v>1.8950221470055573</v>
      </c>
      <c r="R773" s="122"/>
      <c r="S773" s="116">
        <f>IF(AND(DATE(20&amp;LEFT(FAAddition[[#This Row],[FY]],2),4,1)&lt;$L$1+1,DATE(20&amp;LEFT(FAAddition[[#This Row],[FY]],2),4,1)&gt;$P$1-1),'FA Addition'!$J773,0)</f>
        <v>1</v>
      </c>
      <c r="U773" s="117">
        <f>S773*'FA Addition'!$L773/'FA Addition'!$J773</f>
        <v>10866.83</v>
      </c>
      <c r="W773" s="116">
        <f>SUMIFS('FA Write off'!D:D,'FA Write off'!A:A,'FA Addition'!$A773,'FA Write off'!C:C,"&lt;"&amp;'FA Addition'!$P$1)</f>
        <v>0</v>
      </c>
      <c r="Y773" s="191">
        <f>IFERROR(W773/'FA Addition'!$J773*'FA Addition'!$L773,0)</f>
        <v>0</v>
      </c>
      <c r="AA773" s="116">
        <f>SUMIFS('FA Write off'!D:D,'FA Write off'!A:A,'FA Addition'!$A773,'FA Write off'!C:C,"&lt;"&amp;'FA Addition'!$L$1+1,'FA Write off'!C:C,"&gt;"&amp;'FA Addition'!$L$1-365)</f>
        <v>0</v>
      </c>
      <c r="AC773" s="118">
        <f>IFERROR(AA773/'FA Addition'!$J773*'FA Addition'!$L773,0)</f>
        <v>0</v>
      </c>
      <c r="AE773" s="117">
        <f>IF(AND('FA Addition'!$D773&lt;$P$1+1,U773=0),'FA Addition'!$L773,0)-Y773</f>
        <v>0</v>
      </c>
      <c r="AF773" s="117">
        <f t="shared" si="60"/>
        <v>10866.83</v>
      </c>
      <c r="AG773" s="117">
        <f>MIN(MAX(+$P$1-'FA Addition'!$D773,0),365*'FA Addition'!$O773)</f>
        <v>0</v>
      </c>
      <c r="AH773" s="117">
        <f>MIN(MAX($L$1-'FA Addition'!$D773+1,0),365*'FA Addition'!$O773)</f>
        <v>216</v>
      </c>
      <c r="AI773" s="117" cm="1">
        <f t="array" ref="AI773">_xlfn.XLOOKUP(1,('FA Write off'!A:A='FA Addition'!$A773)*('FA Write off'!D:D=AA773),'FA Write off'!H:H,0,0)</f>
        <v>0</v>
      </c>
      <c r="AJ773" s="117">
        <f>IF(AC773&gt;0,MAX(IF('FA Addition'!$N773="SLM",($AC773-'FA Addition'!$M773)*'FA Addition'!$P773*AI773/365,(AC773-'FA Addition'!$M773)*(1-(1-'FA Addition'!$P773)^(AI773/365))),0),0)</f>
        <v>0</v>
      </c>
      <c r="AL773" s="117">
        <f>MAX(IF(AG773&gt;0,IF('FA Addition'!$N773="SLM",($AE773-'FA Addition'!$M773)*'FA Addition'!$P773*AG773/365,IFERROR(VDB(AE773,AE773*0.05,'FA Addition'!$O773,0,YEARFRAC('FA Addition'!$C773,$P$1-1,3),'FA Addition'!$Q773),FAAddition[[#This Row],[Original Cost (Rs)]]-FAAddition[[#This Row],[Salvage Value]])),0),0)</f>
        <v>0</v>
      </c>
      <c r="AM773" s="119"/>
      <c r="AN773" s="117">
        <f>MAX(IF(AH773&gt;0,IF('FA Addition'!$N773="SLM",($AF773-'FA Addition'!$M773)*'FA Addition'!$P773*AH773/365,IFERROR(VDB(AF773,AF773*0.05,'FA Addition'!$O773,0,YEARFRAC('FA Addition'!$C773,$L$1,3),'FA Addition'!$Q773),FAAddition[[#This Row],[Original Cost (Rs)]]-FAAddition[[#This Row],[Salvage Value]])),0),0)</f>
        <v>4043.3515582785808</v>
      </c>
      <c r="AO773" s="117">
        <f t="shared" ref="AO773:AO836" si="63">AN773-AL773+AJ773</f>
        <v>4043.3515582785808</v>
      </c>
      <c r="AQ773" s="117">
        <f t="shared" si="61"/>
        <v>0</v>
      </c>
      <c r="AR773" s="120">
        <f t="shared" si="62"/>
        <v>6823.4784417214196</v>
      </c>
      <c r="AS773" s="121"/>
    </row>
    <row r="774" spans="1:45" ht="13.5" x14ac:dyDescent="0.4">
      <c r="A774" s="12">
        <f t="shared" ref="A774:A837" si="64">A773+1</f>
        <v>771</v>
      </c>
      <c r="B774" s="64" t="s">
        <v>1308</v>
      </c>
      <c r="C774" s="54">
        <v>45167</v>
      </c>
      <c r="D774" s="54">
        <v>45167</v>
      </c>
      <c r="E774" s="46" t="s">
        <v>451</v>
      </c>
      <c r="F774" s="51" t="s">
        <v>19</v>
      </c>
      <c r="G774" s="51" t="s">
        <v>1059</v>
      </c>
      <c r="H774" s="51" t="s">
        <v>151</v>
      </c>
      <c r="I774" s="55" t="s">
        <v>1524</v>
      </c>
      <c r="J774" s="56">
        <v>1</v>
      </c>
      <c r="K774" s="51" t="s">
        <v>1523</v>
      </c>
      <c r="L774" s="58">
        <v>10866.83</v>
      </c>
      <c r="M774" s="50">
        <f>ROUND('FA Addition'!$L774*5%,0.1)</f>
        <v>543</v>
      </c>
      <c r="N774" s="113" t="str">
        <f>_xlfn.XLOOKUP(_xlfn.CONCAT(E774,B774),'Year Wise Master Dep Approach'!F:F,'Year Wise Master Dep Approach'!D:D)</f>
        <v>WDV</v>
      </c>
      <c r="O774" s="113">
        <f>_xlfn.XLOOKUP(_xlfn.CONCAT(E774,B774),'Year Wise Master Dep Approach'!F:F,'Year Wise Master Dep Approach'!E:E)</f>
        <v>3</v>
      </c>
      <c r="P774" s="114">
        <f>IFERROR(IF('FA Addition'!$N774="WDV",1-('FA Addition'!$M774/'FA Addition'!$L774)^(1/'FA Addition'!$O774),1/'FA Addition'!$O774),0)</f>
        <v>0.63167404900185242</v>
      </c>
      <c r="Q774" s="122">
        <f>'FA Addition'!$P774*'FA Addition'!$O774</f>
        <v>1.8950221470055573</v>
      </c>
      <c r="R774" s="122"/>
      <c r="S774" s="116">
        <f>IF(AND(DATE(20&amp;LEFT(FAAddition[[#This Row],[FY]],2),4,1)&lt;$L$1+1,DATE(20&amp;LEFT(FAAddition[[#This Row],[FY]],2),4,1)&gt;$P$1-1),'FA Addition'!$J774,0)</f>
        <v>1</v>
      </c>
      <c r="U774" s="117">
        <f>S774*'FA Addition'!$L774/'FA Addition'!$J774</f>
        <v>10866.83</v>
      </c>
      <c r="W774" s="116">
        <f>SUMIFS('FA Write off'!D:D,'FA Write off'!A:A,'FA Addition'!$A774,'FA Write off'!C:C,"&lt;"&amp;'FA Addition'!$P$1)</f>
        <v>0</v>
      </c>
      <c r="Y774" s="191">
        <f>IFERROR(W774/'FA Addition'!$J774*'FA Addition'!$L774,0)</f>
        <v>0</v>
      </c>
      <c r="AA774" s="116">
        <f>SUMIFS('FA Write off'!D:D,'FA Write off'!A:A,'FA Addition'!$A774,'FA Write off'!C:C,"&lt;"&amp;'FA Addition'!$L$1+1,'FA Write off'!C:C,"&gt;"&amp;'FA Addition'!$L$1-365)</f>
        <v>0</v>
      </c>
      <c r="AC774" s="118">
        <f>IFERROR(AA774/'FA Addition'!$J774*'FA Addition'!$L774,0)</f>
        <v>0</v>
      </c>
      <c r="AE774" s="117">
        <f>IF(AND('FA Addition'!$D774&lt;$P$1+1,U774=0),'FA Addition'!$L774,0)-Y774</f>
        <v>0</v>
      </c>
      <c r="AF774" s="117">
        <f t="shared" si="60"/>
        <v>10866.83</v>
      </c>
      <c r="AG774" s="117">
        <f>MIN(MAX(+$P$1-'FA Addition'!$D774,0),365*'FA Addition'!$O774)</f>
        <v>0</v>
      </c>
      <c r="AH774" s="117">
        <f>MIN(MAX($L$1-'FA Addition'!$D774+1,0),365*'FA Addition'!$O774)</f>
        <v>216</v>
      </c>
      <c r="AI774" s="117" cm="1">
        <f t="array" ref="AI774">_xlfn.XLOOKUP(1,('FA Write off'!A:A='FA Addition'!$A774)*('FA Write off'!D:D=AA774),'FA Write off'!H:H,0,0)</f>
        <v>0</v>
      </c>
      <c r="AJ774" s="117">
        <f>IF(AC774&gt;0,MAX(IF('FA Addition'!$N774="SLM",($AC774-'FA Addition'!$M774)*'FA Addition'!$P774*AI774/365,(AC774-'FA Addition'!$M774)*(1-(1-'FA Addition'!$P774)^(AI774/365))),0),0)</f>
        <v>0</v>
      </c>
      <c r="AL774" s="117">
        <f>MAX(IF(AG774&gt;0,IF('FA Addition'!$N774="SLM",($AE774-'FA Addition'!$M774)*'FA Addition'!$P774*AG774/365,IFERROR(VDB(AE774,AE774*0.05,'FA Addition'!$O774,0,YEARFRAC('FA Addition'!$C774,$P$1-1,3),'FA Addition'!$Q774),FAAddition[[#This Row],[Original Cost (Rs)]]-FAAddition[[#This Row],[Salvage Value]])),0),0)</f>
        <v>0</v>
      </c>
      <c r="AM774" s="119"/>
      <c r="AN774" s="117">
        <f>MAX(IF(AH774&gt;0,IF('FA Addition'!$N774="SLM",($AF774-'FA Addition'!$M774)*'FA Addition'!$P774*AH774/365,IFERROR(VDB(AF774,AF774*0.05,'FA Addition'!$O774,0,YEARFRAC('FA Addition'!$C774,$L$1,3),'FA Addition'!$Q774),FAAddition[[#This Row],[Original Cost (Rs)]]-FAAddition[[#This Row],[Salvage Value]])),0),0)</f>
        <v>4043.3515582785808</v>
      </c>
      <c r="AO774" s="117">
        <f t="shared" si="63"/>
        <v>4043.3515582785808</v>
      </c>
      <c r="AQ774" s="117">
        <f t="shared" si="61"/>
        <v>0</v>
      </c>
      <c r="AR774" s="120">
        <f t="shared" si="62"/>
        <v>6823.4784417214196</v>
      </c>
      <c r="AS774" s="121"/>
    </row>
    <row r="775" spans="1:45" ht="13.5" x14ac:dyDescent="0.4">
      <c r="A775" s="12">
        <f t="shared" si="64"/>
        <v>772</v>
      </c>
      <c r="B775" s="64" t="s">
        <v>1308</v>
      </c>
      <c r="C775" s="54">
        <v>45167</v>
      </c>
      <c r="D775" s="54">
        <v>45167</v>
      </c>
      <c r="E775" s="46" t="s">
        <v>451</v>
      </c>
      <c r="F775" s="51" t="s">
        <v>19</v>
      </c>
      <c r="G775" s="51" t="s">
        <v>1059</v>
      </c>
      <c r="H775" s="51" t="s">
        <v>151</v>
      </c>
      <c r="I775" s="55" t="s">
        <v>1524</v>
      </c>
      <c r="J775" s="56">
        <v>1</v>
      </c>
      <c r="K775" s="51" t="s">
        <v>1523</v>
      </c>
      <c r="L775" s="58">
        <v>10866.83</v>
      </c>
      <c r="M775" s="50">
        <f>ROUND('FA Addition'!$L775*5%,0.1)</f>
        <v>543</v>
      </c>
      <c r="N775" s="113" t="str">
        <f>_xlfn.XLOOKUP(_xlfn.CONCAT(E775,B775),'Year Wise Master Dep Approach'!F:F,'Year Wise Master Dep Approach'!D:D)</f>
        <v>WDV</v>
      </c>
      <c r="O775" s="113">
        <f>_xlfn.XLOOKUP(_xlfn.CONCAT(E775,B775),'Year Wise Master Dep Approach'!F:F,'Year Wise Master Dep Approach'!E:E)</f>
        <v>3</v>
      </c>
      <c r="P775" s="114">
        <f>IFERROR(IF('FA Addition'!$N775="WDV",1-('FA Addition'!$M775/'FA Addition'!$L775)^(1/'FA Addition'!$O775),1/'FA Addition'!$O775),0)</f>
        <v>0.63167404900185242</v>
      </c>
      <c r="Q775" s="122">
        <f>'FA Addition'!$P775*'FA Addition'!$O775</f>
        <v>1.8950221470055573</v>
      </c>
      <c r="R775" s="122"/>
      <c r="S775" s="116">
        <f>IF(AND(DATE(20&amp;LEFT(FAAddition[[#This Row],[FY]],2),4,1)&lt;$L$1+1,DATE(20&amp;LEFT(FAAddition[[#This Row],[FY]],2),4,1)&gt;$P$1-1),'FA Addition'!$J775,0)</f>
        <v>1</v>
      </c>
      <c r="U775" s="117">
        <f>S775*'FA Addition'!$L775/'FA Addition'!$J775</f>
        <v>10866.83</v>
      </c>
      <c r="W775" s="116">
        <f>SUMIFS('FA Write off'!D:D,'FA Write off'!A:A,'FA Addition'!$A775,'FA Write off'!C:C,"&lt;"&amp;'FA Addition'!$P$1)</f>
        <v>0</v>
      </c>
      <c r="Y775" s="191">
        <f>IFERROR(W775/'FA Addition'!$J775*'FA Addition'!$L775,0)</f>
        <v>0</v>
      </c>
      <c r="AA775" s="116">
        <f>SUMIFS('FA Write off'!D:D,'FA Write off'!A:A,'FA Addition'!$A775,'FA Write off'!C:C,"&lt;"&amp;'FA Addition'!$L$1+1,'FA Write off'!C:C,"&gt;"&amp;'FA Addition'!$L$1-365)</f>
        <v>0</v>
      </c>
      <c r="AC775" s="118">
        <f>IFERROR(AA775/'FA Addition'!$J775*'FA Addition'!$L775,0)</f>
        <v>0</v>
      </c>
      <c r="AE775" s="117">
        <f>IF(AND('FA Addition'!$D775&lt;$P$1+1,U775=0),'FA Addition'!$L775,0)-Y775</f>
        <v>0</v>
      </c>
      <c r="AF775" s="117">
        <f t="shared" si="60"/>
        <v>10866.83</v>
      </c>
      <c r="AG775" s="117">
        <f>MIN(MAX(+$P$1-'FA Addition'!$D775,0),365*'FA Addition'!$O775)</f>
        <v>0</v>
      </c>
      <c r="AH775" s="117">
        <f>MIN(MAX($L$1-'FA Addition'!$D775+1,0),365*'FA Addition'!$O775)</f>
        <v>216</v>
      </c>
      <c r="AI775" s="117" cm="1">
        <f t="array" ref="AI775">_xlfn.XLOOKUP(1,('FA Write off'!A:A='FA Addition'!$A775)*('FA Write off'!D:D=AA775),'FA Write off'!H:H,0,0)</f>
        <v>0</v>
      </c>
      <c r="AJ775" s="117">
        <f>IF(AC775&gt;0,MAX(IF('FA Addition'!$N775="SLM",($AC775-'FA Addition'!$M775)*'FA Addition'!$P775*AI775/365,(AC775-'FA Addition'!$M775)*(1-(1-'FA Addition'!$P775)^(AI775/365))),0),0)</f>
        <v>0</v>
      </c>
      <c r="AL775" s="117">
        <f>MAX(IF(AG775&gt;0,IF('FA Addition'!$N775="SLM",($AE775-'FA Addition'!$M775)*'FA Addition'!$P775*AG775/365,IFERROR(VDB(AE775,AE775*0.05,'FA Addition'!$O775,0,YEARFRAC('FA Addition'!$C775,$P$1-1,3),'FA Addition'!$Q775),FAAddition[[#This Row],[Original Cost (Rs)]]-FAAddition[[#This Row],[Salvage Value]])),0),0)</f>
        <v>0</v>
      </c>
      <c r="AM775" s="119"/>
      <c r="AN775" s="117">
        <f>MAX(IF(AH775&gt;0,IF('FA Addition'!$N775="SLM",($AF775-'FA Addition'!$M775)*'FA Addition'!$P775*AH775/365,IFERROR(VDB(AF775,AF775*0.05,'FA Addition'!$O775,0,YEARFRAC('FA Addition'!$C775,$L$1,3),'FA Addition'!$Q775),FAAddition[[#This Row],[Original Cost (Rs)]]-FAAddition[[#This Row],[Salvage Value]])),0),0)</f>
        <v>4043.3515582785808</v>
      </c>
      <c r="AO775" s="117">
        <f t="shared" si="63"/>
        <v>4043.3515582785808</v>
      </c>
      <c r="AQ775" s="117">
        <f t="shared" si="61"/>
        <v>0</v>
      </c>
      <c r="AR775" s="120">
        <f t="shared" si="62"/>
        <v>6823.4784417214196</v>
      </c>
      <c r="AS775" s="121"/>
    </row>
    <row r="776" spans="1:45" ht="13.5" x14ac:dyDescent="0.4">
      <c r="A776" s="12">
        <f t="shared" si="64"/>
        <v>773</v>
      </c>
      <c r="B776" s="64" t="s">
        <v>1308</v>
      </c>
      <c r="C776" s="54">
        <v>45167</v>
      </c>
      <c r="D776" s="54">
        <v>45167</v>
      </c>
      <c r="E776" s="46" t="s">
        <v>451</v>
      </c>
      <c r="F776" s="51" t="s">
        <v>19</v>
      </c>
      <c r="G776" s="51" t="s">
        <v>1059</v>
      </c>
      <c r="H776" s="51" t="s">
        <v>151</v>
      </c>
      <c r="I776" s="55" t="s">
        <v>1525</v>
      </c>
      <c r="J776" s="56">
        <v>1</v>
      </c>
      <c r="K776" s="51" t="s">
        <v>1523</v>
      </c>
      <c r="L776" s="58">
        <v>10866.83</v>
      </c>
      <c r="M776" s="50">
        <f>ROUND('FA Addition'!$L776*5%,0.1)</f>
        <v>543</v>
      </c>
      <c r="N776" s="113" t="str">
        <f>_xlfn.XLOOKUP(_xlfn.CONCAT(E776,B776),'Year Wise Master Dep Approach'!F:F,'Year Wise Master Dep Approach'!D:D)</f>
        <v>WDV</v>
      </c>
      <c r="O776" s="113">
        <f>_xlfn.XLOOKUP(_xlfn.CONCAT(E776,B776),'Year Wise Master Dep Approach'!F:F,'Year Wise Master Dep Approach'!E:E)</f>
        <v>3</v>
      </c>
      <c r="P776" s="114">
        <f>IFERROR(IF('FA Addition'!$N776="WDV",1-('FA Addition'!$M776/'FA Addition'!$L776)^(1/'FA Addition'!$O776),1/'FA Addition'!$O776),0)</f>
        <v>0.63167404900185242</v>
      </c>
      <c r="Q776" s="122">
        <f>'FA Addition'!$P776*'FA Addition'!$O776</f>
        <v>1.8950221470055573</v>
      </c>
      <c r="R776" s="122"/>
      <c r="S776" s="116">
        <f>IF(AND(DATE(20&amp;LEFT(FAAddition[[#This Row],[FY]],2),4,1)&lt;$L$1+1,DATE(20&amp;LEFT(FAAddition[[#This Row],[FY]],2),4,1)&gt;$P$1-1),'FA Addition'!$J776,0)</f>
        <v>1</v>
      </c>
      <c r="U776" s="117">
        <f>S776*'FA Addition'!$L776/'FA Addition'!$J776</f>
        <v>10866.83</v>
      </c>
      <c r="W776" s="116">
        <f>SUMIFS('FA Write off'!D:D,'FA Write off'!A:A,'FA Addition'!$A776,'FA Write off'!C:C,"&lt;"&amp;'FA Addition'!$P$1)</f>
        <v>0</v>
      </c>
      <c r="Y776" s="191">
        <f>IFERROR(W776/'FA Addition'!$J776*'FA Addition'!$L776,0)</f>
        <v>0</v>
      </c>
      <c r="AA776" s="116">
        <f>SUMIFS('FA Write off'!D:D,'FA Write off'!A:A,'FA Addition'!$A776,'FA Write off'!C:C,"&lt;"&amp;'FA Addition'!$L$1+1,'FA Write off'!C:C,"&gt;"&amp;'FA Addition'!$L$1-365)</f>
        <v>0</v>
      </c>
      <c r="AC776" s="118">
        <f>IFERROR(AA776/'FA Addition'!$J776*'FA Addition'!$L776,0)</f>
        <v>0</v>
      </c>
      <c r="AE776" s="117">
        <f>IF(AND('FA Addition'!$D776&lt;$P$1+1,U776=0),'FA Addition'!$L776,0)-Y776</f>
        <v>0</v>
      </c>
      <c r="AF776" s="117">
        <f t="shared" si="60"/>
        <v>10866.83</v>
      </c>
      <c r="AG776" s="117">
        <f>MIN(MAX(+$P$1-'FA Addition'!$D776,0),365*'FA Addition'!$O776)</f>
        <v>0</v>
      </c>
      <c r="AH776" s="117">
        <f>MIN(MAX($L$1-'FA Addition'!$D776+1,0),365*'FA Addition'!$O776)</f>
        <v>216</v>
      </c>
      <c r="AI776" s="117" cm="1">
        <f t="array" ref="AI776">_xlfn.XLOOKUP(1,('FA Write off'!A:A='FA Addition'!$A776)*('FA Write off'!D:D=AA776),'FA Write off'!H:H,0,0)</f>
        <v>0</v>
      </c>
      <c r="AJ776" s="117">
        <f>IF(AC776&gt;0,MAX(IF('FA Addition'!$N776="SLM",($AC776-'FA Addition'!$M776)*'FA Addition'!$P776*AI776/365,(AC776-'FA Addition'!$M776)*(1-(1-'FA Addition'!$P776)^(AI776/365))),0),0)</f>
        <v>0</v>
      </c>
      <c r="AL776" s="117">
        <f>MAX(IF(AG776&gt;0,IF('FA Addition'!$N776="SLM",($AE776-'FA Addition'!$M776)*'FA Addition'!$P776*AG776/365,IFERROR(VDB(AE776,AE776*0.05,'FA Addition'!$O776,0,YEARFRAC('FA Addition'!$C776,$P$1-1,3),'FA Addition'!$Q776),FAAddition[[#This Row],[Original Cost (Rs)]]-FAAddition[[#This Row],[Salvage Value]])),0),0)</f>
        <v>0</v>
      </c>
      <c r="AM776" s="119"/>
      <c r="AN776" s="117">
        <f>MAX(IF(AH776&gt;0,IF('FA Addition'!$N776="SLM",($AF776-'FA Addition'!$M776)*'FA Addition'!$P776*AH776/365,IFERROR(VDB(AF776,AF776*0.05,'FA Addition'!$O776,0,YEARFRAC('FA Addition'!$C776,$L$1,3),'FA Addition'!$Q776),FAAddition[[#This Row],[Original Cost (Rs)]]-FAAddition[[#This Row],[Salvage Value]])),0),0)</f>
        <v>4043.3515582785808</v>
      </c>
      <c r="AO776" s="117">
        <f t="shared" si="63"/>
        <v>4043.3515582785808</v>
      </c>
      <c r="AQ776" s="117">
        <f t="shared" si="61"/>
        <v>0</v>
      </c>
      <c r="AR776" s="120">
        <f t="shared" si="62"/>
        <v>6823.4784417214196</v>
      </c>
      <c r="AS776" s="121"/>
    </row>
    <row r="777" spans="1:45" ht="13.5" x14ac:dyDescent="0.4">
      <c r="A777" s="12">
        <f t="shared" si="64"/>
        <v>774</v>
      </c>
      <c r="B777" s="64" t="s">
        <v>1308</v>
      </c>
      <c r="C777" s="54">
        <v>45169</v>
      </c>
      <c r="D777" s="54">
        <v>45169</v>
      </c>
      <c r="E777" s="46" t="s">
        <v>451</v>
      </c>
      <c r="F777" s="51" t="s">
        <v>19</v>
      </c>
      <c r="G777" s="51" t="s">
        <v>1526</v>
      </c>
      <c r="H777" s="51" t="s">
        <v>21</v>
      </c>
      <c r="I777" s="55" t="s">
        <v>1527</v>
      </c>
      <c r="J777" s="56">
        <v>1</v>
      </c>
      <c r="K777" s="51" t="s">
        <v>1528</v>
      </c>
      <c r="L777" s="58">
        <v>52533.9</v>
      </c>
      <c r="M777" s="50">
        <f>ROUND('FA Addition'!$L777*5%,0.1)</f>
        <v>2627</v>
      </c>
      <c r="N777" s="113" t="str">
        <f>_xlfn.XLOOKUP(_xlfn.CONCAT(E777,B777),'Year Wise Master Dep Approach'!F:F,'Year Wise Master Dep Approach'!D:D)</f>
        <v>WDV</v>
      </c>
      <c r="O777" s="113">
        <f>_xlfn.XLOOKUP(_xlfn.CONCAT(E777,B777),'Year Wise Master Dep Approach'!F:F,'Year Wise Master Dep Approach'!E:E)</f>
        <v>3</v>
      </c>
      <c r="P777" s="114">
        <f>IFERROR(IF('FA Addition'!$N777="WDV",1-('FA Addition'!$M777/'FA Addition'!$L777)^(1/'FA Addition'!$O777),1/'FA Addition'!$O777),0)</f>
        <v>0.63158259158266372</v>
      </c>
      <c r="Q777" s="122">
        <f>'FA Addition'!$P777*'FA Addition'!$O777</f>
        <v>1.8947477747479913</v>
      </c>
      <c r="R777" s="122"/>
      <c r="S777" s="116">
        <f>IF(AND(DATE(20&amp;LEFT(FAAddition[[#This Row],[FY]],2),4,1)&lt;$L$1+1,DATE(20&amp;LEFT(FAAddition[[#This Row],[FY]],2),4,1)&gt;$P$1-1),'FA Addition'!$J777,0)</f>
        <v>1</v>
      </c>
      <c r="U777" s="117">
        <f>S777*'FA Addition'!$L777/'FA Addition'!$J777</f>
        <v>52533.9</v>
      </c>
      <c r="W777" s="116">
        <f>SUMIFS('FA Write off'!D:D,'FA Write off'!A:A,'FA Addition'!$A777,'FA Write off'!C:C,"&lt;"&amp;'FA Addition'!$P$1)</f>
        <v>0</v>
      </c>
      <c r="Y777" s="191">
        <f>IFERROR(W777/'FA Addition'!$J777*'FA Addition'!$L777,0)</f>
        <v>0</v>
      </c>
      <c r="AA777" s="116">
        <f>SUMIFS('FA Write off'!D:D,'FA Write off'!A:A,'FA Addition'!$A777,'FA Write off'!C:C,"&lt;"&amp;'FA Addition'!$L$1+1,'FA Write off'!C:C,"&gt;"&amp;'FA Addition'!$L$1-365)</f>
        <v>0</v>
      </c>
      <c r="AC777" s="118">
        <f>IFERROR(AA777/'FA Addition'!$J777*'FA Addition'!$L777,0)</f>
        <v>0</v>
      </c>
      <c r="AE777" s="117">
        <f>IF(AND('FA Addition'!$D777&lt;$P$1+1,U777=0),'FA Addition'!$L777,0)-Y777</f>
        <v>0</v>
      </c>
      <c r="AF777" s="117">
        <f t="shared" si="60"/>
        <v>52533.9</v>
      </c>
      <c r="AG777" s="117">
        <f>MIN(MAX(+$P$1-'FA Addition'!$D777,0),365*'FA Addition'!$O777)</f>
        <v>0</v>
      </c>
      <c r="AH777" s="117">
        <f>MIN(MAX($L$1-'FA Addition'!$D777+1,0),365*'FA Addition'!$O777)</f>
        <v>214</v>
      </c>
      <c r="AI777" s="117" cm="1">
        <f t="array" ref="AI777">_xlfn.XLOOKUP(1,('FA Write off'!A:A='FA Addition'!$A777)*('FA Write off'!D:D=AA777),'FA Write off'!H:H,0,0)</f>
        <v>0</v>
      </c>
      <c r="AJ777" s="117">
        <f>IF(AC777&gt;0,MAX(IF('FA Addition'!$N777="SLM",($AC777-'FA Addition'!$M777)*'FA Addition'!$P777*AI777/365,(AC777-'FA Addition'!$M777)*(1-(1-'FA Addition'!$P777)^(AI777/365))),0),0)</f>
        <v>0</v>
      </c>
      <c r="AL777" s="117">
        <f>MAX(IF(AG777&gt;0,IF('FA Addition'!$N777="SLM",($AE777-'FA Addition'!$M777)*'FA Addition'!$P777*AG777/365,IFERROR(VDB(AE777,AE777*0.05,'FA Addition'!$O777,0,YEARFRAC('FA Addition'!$C777,$P$1-1,3),'FA Addition'!$Q777),FAAddition[[#This Row],[Original Cost (Rs)]]-FAAddition[[#This Row],[Salvage Value]])),0),0)</f>
        <v>0</v>
      </c>
      <c r="AM777" s="119"/>
      <c r="AN777" s="117">
        <f>MAX(IF(AH777&gt;0,IF('FA Addition'!$N777="SLM",($AF777-'FA Addition'!$M777)*'FA Addition'!$P777*AH777/365,IFERROR(VDB(AF777,AF777*0.05,'FA Addition'!$O777,0,YEARFRAC('FA Addition'!$C777,$L$1,3),'FA Addition'!$Q777),FAAddition[[#This Row],[Original Cost (Rs)]]-FAAddition[[#This Row],[Salvage Value]])),0),0)</f>
        <v>19362.281640526515</v>
      </c>
      <c r="AO777" s="117">
        <f t="shared" si="63"/>
        <v>19362.281640526515</v>
      </c>
      <c r="AQ777" s="117">
        <f t="shared" si="61"/>
        <v>0</v>
      </c>
      <c r="AR777" s="120">
        <f t="shared" si="62"/>
        <v>33171.61835947349</v>
      </c>
      <c r="AS777" s="121"/>
    </row>
    <row r="778" spans="1:45" ht="13.5" x14ac:dyDescent="0.4">
      <c r="A778" s="12">
        <f t="shared" si="64"/>
        <v>775</v>
      </c>
      <c r="B778" s="64" t="s">
        <v>1308</v>
      </c>
      <c r="C778" s="54">
        <v>45169</v>
      </c>
      <c r="D778" s="54">
        <v>45169</v>
      </c>
      <c r="E778" s="46" t="s">
        <v>749</v>
      </c>
      <c r="F778" s="51" t="s">
        <v>74</v>
      </c>
      <c r="G778" s="51" t="s">
        <v>1529</v>
      </c>
      <c r="H778" s="51" t="s">
        <v>1530</v>
      </c>
      <c r="I778" s="55" t="s">
        <v>1531</v>
      </c>
      <c r="J778" s="56">
        <v>1</v>
      </c>
      <c r="K778" s="51" t="s">
        <v>1532</v>
      </c>
      <c r="L778" s="58">
        <v>15761.86</v>
      </c>
      <c r="M778" s="50">
        <f>ROUND('FA Addition'!$L778*5%,0.1)</f>
        <v>788</v>
      </c>
      <c r="N778" s="113" t="str">
        <f>_xlfn.XLOOKUP(_xlfn.CONCAT(E778,B778),'Year Wise Master Dep Approach'!F:F,'Year Wise Master Dep Approach'!D:D)</f>
        <v>WDV</v>
      </c>
      <c r="O778" s="113">
        <f>_xlfn.XLOOKUP(_xlfn.CONCAT(E778,B778),'Year Wise Master Dep Approach'!F:F,'Year Wise Master Dep Approach'!E:E)</f>
        <v>5</v>
      </c>
      <c r="P778" s="114">
        <f>IFERROR(IF('FA Addition'!$N778="WDV",1-('FA Addition'!$M778/'FA Addition'!$L778)^(1/'FA Addition'!$O778),1/'FA Addition'!$O778),0)</f>
        <v>0.45073269267391414</v>
      </c>
      <c r="Q778" s="122">
        <f>'FA Addition'!$P778*'FA Addition'!$O778</f>
        <v>2.2536634633695707</v>
      </c>
      <c r="R778" s="122"/>
      <c r="S778" s="116">
        <f>IF(AND(DATE(20&amp;LEFT(FAAddition[[#This Row],[FY]],2),4,1)&lt;$L$1+1,DATE(20&amp;LEFT(FAAddition[[#This Row],[FY]],2),4,1)&gt;$P$1-1),'FA Addition'!$J778,0)</f>
        <v>1</v>
      </c>
      <c r="U778" s="117">
        <f>S778*'FA Addition'!$L778/'FA Addition'!$J778</f>
        <v>15761.86</v>
      </c>
      <c r="W778" s="116">
        <f>SUMIFS('FA Write off'!D:D,'FA Write off'!A:A,'FA Addition'!$A778,'FA Write off'!C:C,"&lt;"&amp;'FA Addition'!$P$1)</f>
        <v>0</v>
      </c>
      <c r="Y778" s="191">
        <f>IFERROR(W778/'FA Addition'!$J778*'FA Addition'!$L778,0)</f>
        <v>0</v>
      </c>
      <c r="AA778" s="116">
        <f>SUMIFS('FA Write off'!D:D,'FA Write off'!A:A,'FA Addition'!$A778,'FA Write off'!C:C,"&lt;"&amp;'FA Addition'!$L$1+1,'FA Write off'!C:C,"&gt;"&amp;'FA Addition'!$L$1-365)</f>
        <v>0</v>
      </c>
      <c r="AC778" s="118">
        <f>IFERROR(AA778/'FA Addition'!$J778*'FA Addition'!$L778,0)</f>
        <v>0</v>
      </c>
      <c r="AE778" s="117">
        <f>IF(AND('FA Addition'!$D778&lt;$P$1+1,U778=0),'FA Addition'!$L778,0)-Y778</f>
        <v>0</v>
      </c>
      <c r="AF778" s="117">
        <f t="shared" si="60"/>
        <v>15761.86</v>
      </c>
      <c r="AG778" s="117">
        <f>MIN(MAX(+$P$1-'FA Addition'!$D778,0),365*'FA Addition'!$O778)</f>
        <v>0</v>
      </c>
      <c r="AH778" s="117">
        <f>MIN(MAX($L$1-'FA Addition'!$D778+1,0),365*'FA Addition'!$O778)</f>
        <v>214</v>
      </c>
      <c r="AI778" s="117" cm="1">
        <f t="array" ref="AI778">_xlfn.XLOOKUP(1,('FA Write off'!A:A='FA Addition'!$A778)*('FA Write off'!D:D=AA778),'FA Write off'!H:H,0,0)</f>
        <v>0</v>
      </c>
      <c r="AJ778" s="117">
        <f>IF(AC778&gt;0,MAX(IF('FA Addition'!$N778="SLM",($AC778-'FA Addition'!$M778)*'FA Addition'!$P778*AI778/365,(AC778-'FA Addition'!$M778)*(1-(1-'FA Addition'!$P778)^(AI778/365))),0),0)</f>
        <v>0</v>
      </c>
      <c r="AL778" s="117">
        <f>MAX(IF(AG778&gt;0,IF('FA Addition'!$N778="SLM",($AE778-'FA Addition'!$M778)*'FA Addition'!$P778*AG778/365,IFERROR(VDB(AE778,AE778*0.05,'FA Addition'!$O778,0,YEARFRAC('FA Addition'!$C778,$P$1-1,3),'FA Addition'!$Q778),FAAddition[[#This Row],[Original Cost (Rs)]]-FAAddition[[#This Row],[Salvage Value]])),0),0)</f>
        <v>0</v>
      </c>
      <c r="AM778" s="119"/>
      <c r="AN778" s="117">
        <f>MAX(IF(AH778&gt;0,IF('FA Addition'!$N778="SLM",($AF778-'FA Addition'!$M778)*'FA Addition'!$P778*AH778/365,IFERROR(VDB(AF778,AF778*0.05,'FA Addition'!$O778,0,YEARFRAC('FA Addition'!$C778,$L$1,3),'FA Addition'!$Q778),FAAddition[[#This Row],[Original Cost (Rs)]]-FAAddition[[#This Row],[Salvage Value]])),0),0)</f>
        <v>4145.8469387983359</v>
      </c>
      <c r="AO778" s="117">
        <f t="shared" si="63"/>
        <v>4145.8469387983359</v>
      </c>
      <c r="AQ778" s="117">
        <f t="shared" si="61"/>
        <v>0</v>
      </c>
      <c r="AR778" s="120">
        <f t="shared" si="62"/>
        <v>11616.013061201666</v>
      </c>
      <c r="AS778" s="121"/>
    </row>
    <row r="779" spans="1:45" ht="13.5" x14ac:dyDescent="0.4">
      <c r="A779" s="12">
        <f t="shared" si="64"/>
        <v>776</v>
      </c>
      <c r="B779" s="64" t="s">
        <v>1308</v>
      </c>
      <c r="C779" s="54">
        <v>45169</v>
      </c>
      <c r="D779" s="54">
        <v>45169</v>
      </c>
      <c r="E779" s="46" t="s">
        <v>749</v>
      </c>
      <c r="F779" s="51" t="s">
        <v>74</v>
      </c>
      <c r="G779" s="51" t="s">
        <v>1533</v>
      </c>
      <c r="H779" s="51" t="s">
        <v>187</v>
      </c>
      <c r="I779" s="55" t="s">
        <v>1534</v>
      </c>
      <c r="J779" s="56">
        <v>1</v>
      </c>
      <c r="K779" s="51" t="s">
        <v>1535</v>
      </c>
      <c r="L779" s="58">
        <v>9871.19</v>
      </c>
      <c r="M779" s="50">
        <f>ROUND('FA Addition'!$L779*5%,0.1)</f>
        <v>494</v>
      </c>
      <c r="N779" s="113" t="str">
        <f>_xlfn.XLOOKUP(_xlfn.CONCAT(E779,B779),'Year Wise Master Dep Approach'!F:F,'Year Wise Master Dep Approach'!D:D)</f>
        <v>WDV</v>
      </c>
      <c r="O779" s="113">
        <f>_xlfn.XLOOKUP(_xlfn.CONCAT(E779,B779),'Year Wise Master Dep Approach'!F:F,'Year Wise Master Dep Approach'!E:E)</f>
        <v>5</v>
      </c>
      <c r="P779" s="114">
        <f>IFERROR(IF('FA Addition'!$N779="WDV",1-('FA Addition'!$M779/'FA Addition'!$L779)^(1/'FA Addition'!$O779),1/'FA Addition'!$O779),0)</f>
        <v>0.45062171721464128</v>
      </c>
      <c r="Q779" s="122">
        <f>'FA Addition'!$P779*'FA Addition'!$O779</f>
        <v>2.2531085860732065</v>
      </c>
      <c r="R779" s="122"/>
      <c r="S779" s="116">
        <f>IF(AND(DATE(20&amp;LEFT(FAAddition[[#This Row],[FY]],2),4,1)&lt;$L$1+1,DATE(20&amp;LEFT(FAAddition[[#This Row],[FY]],2),4,1)&gt;$P$1-1),'FA Addition'!$J779,0)</f>
        <v>1</v>
      </c>
      <c r="U779" s="117">
        <f>S779*'FA Addition'!$L779/'FA Addition'!$J779</f>
        <v>9871.19</v>
      </c>
      <c r="W779" s="116">
        <f>SUMIFS('FA Write off'!D:D,'FA Write off'!A:A,'FA Addition'!$A779,'FA Write off'!C:C,"&lt;"&amp;'FA Addition'!$P$1)</f>
        <v>0</v>
      </c>
      <c r="Y779" s="191">
        <f>IFERROR(W779/'FA Addition'!$J779*'FA Addition'!$L779,0)</f>
        <v>0</v>
      </c>
      <c r="AA779" s="116">
        <f>SUMIFS('FA Write off'!D:D,'FA Write off'!A:A,'FA Addition'!$A779,'FA Write off'!C:C,"&lt;"&amp;'FA Addition'!$L$1+1,'FA Write off'!C:C,"&gt;"&amp;'FA Addition'!$L$1-365)</f>
        <v>0</v>
      </c>
      <c r="AC779" s="118">
        <f>IFERROR(AA779/'FA Addition'!$J779*'FA Addition'!$L779,0)</f>
        <v>0</v>
      </c>
      <c r="AE779" s="117">
        <f>IF(AND('FA Addition'!$D779&lt;$P$1+1,U779=0),'FA Addition'!$L779,0)-Y779</f>
        <v>0</v>
      </c>
      <c r="AF779" s="117">
        <f t="shared" si="60"/>
        <v>9871.19</v>
      </c>
      <c r="AG779" s="117">
        <f>MIN(MAX(+$P$1-'FA Addition'!$D779,0),365*'FA Addition'!$O779)</f>
        <v>0</v>
      </c>
      <c r="AH779" s="117">
        <f>MIN(MAX($L$1-'FA Addition'!$D779+1,0),365*'FA Addition'!$O779)</f>
        <v>214</v>
      </c>
      <c r="AI779" s="117" cm="1">
        <f t="array" ref="AI779">_xlfn.XLOOKUP(1,('FA Write off'!A:A='FA Addition'!$A779)*('FA Write off'!D:D=AA779),'FA Write off'!H:H,0,0)</f>
        <v>0</v>
      </c>
      <c r="AJ779" s="117">
        <f>IF(AC779&gt;0,MAX(IF('FA Addition'!$N779="SLM",($AC779-'FA Addition'!$M779)*'FA Addition'!$P779*AI779/365,(AC779-'FA Addition'!$M779)*(1-(1-'FA Addition'!$P779)^(AI779/365))),0),0)</f>
        <v>0</v>
      </c>
      <c r="AL779" s="117">
        <f>MAX(IF(AG779&gt;0,IF('FA Addition'!$N779="SLM",($AE779-'FA Addition'!$M779)*'FA Addition'!$P779*AG779/365,IFERROR(VDB(AE779,AE779*0.05,'FA Addition'!$O779,0,YEARFRAC('FA Addition'!$C779,$P$1-1,3),'FA Addition'!$Q779),FAAddition[[#This Row],[Original Cost (Rs)]]-FAAddition[[#This Row],[Salvage Value]])),0),0)</f>
        <v>0</v>
      </c>
      <c r="AM779" s="119"/>
      <c r="AN779" s="117">
        <f>MAX(IF(AH779&gt;0,IF('FA Addition'!$N779="SLM",($AF779-'FA Addition'!$M779)*'FA Addition'!$P779*AH779/365,IFERROR(VDB(AF779,AF779*0.05,'FA Addition'!$O779,0,YEARFRAC('FA Addition'!$C779,$L$1,3),'FA Addition'!$Q779),FAAddition[[#This Row],[Original Cost (Rs)]]-FAAddition[[#This Row],[Salvage Value]])),0),0)</f>
        <v>2595.7829079566441</v>
      </c>
      <c r="AO779" s="117">
        <f t="shared" si="63"/>
        <v>2595.7829079566441</v>
      </c>
      <c r="AQ779" s="117">
        <f t="shared" si="61"/>
        <v>0</v>
      </c>
      <c r="AR779" s="120">
        <f t="shared" si="62"/>
        <v>7275.4070920433569</v>
      </c>
      <c r="AS779" s="121"/>
    </row>
    <row r="780" spans="1:45" ht="13.5" x14ac:dyDescent="0.4">
      <c r="A780" s="12">
        <f t="shared" si="64"/>
        <v>777</v>
      </c>
      <c r="B780" s="64" t="s">
        <v>1308</v>
      </c>
      <c r="C780" s="54">
        <v>45170</v>
      </c>
      <c r="D780" s="54">
        <v>45170</v>
      </c>
      <c r="E780" s="46" t="s">
        <v>1495</v>
      </c>
      <c r="F780" s="51" t="s">
        <v>1496</v>
      </c>
      <c r="G780" s="51" t="s">
        <v>12</v>
      </c>
      <c r="H780" s="51" t="s">
        <v>183</v>
      </c>
      <c r="I780" s="55" t="s">
        <v>1536</v>
      </c>
      <c r="J780" s="56">
        <v>1</v>
      </c>
      <c r="K780" s="51" t="s">
        <v>284</v>
      </c>
      <c r="L780" s="58">
        <v>2725092</v>
      </c>
      <c r="M780" s="50">
        <f>ROUND('FA Addition'!$L780*5%,0.1)</f>
        <v>136255</v>
      </c>
      <c r="N780" s="113" t="str">
        <f>_xlfn.XLOOKUP(_xlfn.CONCAT(E780,B780),'Year Wise Master Dep Approach'!F:F,'Year Wise Master Dep Approach'!D:D)</f>
        <v>SLM</v>
      </c>
      <c r="O780" s="113">
        <f>_xlfn.XLOOKUP(_xlfn.CONCAT(E780,B780),'Year Wise Master Dep Approach'!F:F,'Year Wise Master Dep Approach'!E:E)</f>
        <v>3</v>
      </c>
      <c r="P780" s="114">
        <f>IFERROR(IF('FA Addition'!$N780="WDV",1-('FA Addition'!$M780/'FA Addition'!$L780)^(1/'FA Addition'!$O780),1/'FA Addition'!$O780),0)</f>
        <v>0.33333333333333331</v>
      </c>
      <c r="Q780" s="122">
        <f>'FA Addition'!$P780*'FA Addition'!$O780</f>
        <v>1</v>
      </c>
      <c r="R780" s="122"/>
      <c r="S780" s="116">
        <f>IF(AND(DATE(20&amp;LEFT(FAAddition[[#This Row],[FY]],2),4,1)&lt;$L$1+1,DATE(20&amp;LEFT(FAAddition[[#This Row],[FY]],2),4,1)&gt;$P$1-1),'FA Addition'!$J780,0)</f>
        <v>1</v>
      </c>
      <c r="U780" s="117">
        <f>S780*'FA Addition'!$L780/'FA Addition'!$J780</f>
        <v>2725092</v>
      </c>
      <c r="W780" s="116">
        <f>SUMIFS('FA Write off'!D:D,'FA Write off'!A:A,'FA Addition'!$A780,'FA Write off'!C:C,"&lt;"&amp;'FA Addition'!$P$1)</f>
        <v>0</v>
      </c>
      <c r="Y780" s="191">
        <f>IFERROR(W780/'FA Addition'!$J780*'FA Addition'!$L780,0)</f>
        <v>0</v>
      </c>
      <c r="AA780" s="116">
        <f>SUMIFS('FA Write off'!D:D,'FA Write off'!A:A,'FA Addition'!$A780,'FA Write off'!C:C,"&lt;"&amp;'FA Addition'!$L$1+1,'FA Write off'!C:C,"&gt;"&amp;'FA Addition'!$L$1-365)</f>
        <v>0</v>
      </c>
      <c r="AC780" s="118">
        <f>IFERROR(AA780/'FA Addition'!$J780*'FA Addition'!$L780,0)</f>
        <v>0</v>
      </c>
      <c r="AE780" s="117">
        <f>IF(AND('FA Addition'!$D780&lt;$P$1+1,U780=0),'FA Addition'!$L780,0)-Y780</f>
        <v>0</v>
      </c>
      <c r="AF780" s="117">
        <f t="shared" si="60"/>
        <v>2725092</v>
      </c>
      <c r="AG780" s="117">
        <f>MIN(MAX(+$P$1-'FA Addition'!$D780,0),365*'FA Addition'!$O780)</f>
        <v>0</v>
      </c>
      <c r="AH780" s="117">
        <f>MIN(MAX($L$1-'FA Addition'!$D780+1,0),365*'FA Addition'!$O780)</f>
        <v>213</v>
      </c>
      <c r="AI780" s="117" cm="1">
        <f t="array" ref="AI780">_xlfn.XLOOKUP(1,('FA Write off'!A:A='FA Addition'!$A780)*('FA Write off'!D:D=AA780),'FA Write off'!H:H,0,0)</f>
        <v>0</v>
      </c>
      <c r="AJ780" s="117">
        <f>IF(AC780&gt;0,MAX(IF('FA Addition'!$N780="SLM",($AC780-'FA Addition'!$M780)*'FA Addition'!$P780*AI780/365,(AC780-'FA Addition'!$M780)*(1-(1-'FA Addition'!$P780)^(AI780/365))),0),0)</f>
        <v>0</v>
      </c>
      <c r="AL780" s="117">
        <f>MAX(IF(AG780&gt;0,IF('FA Addition'!$N780="SLM",($AE780-'FA Addition'!$M780)*'FA Addition'!$P780*AG780/365,IFERROR(VDB(AE780,AE780*0.05,'FA Addition'!$O780,0,YEARFRAC('FA Addition'!$C780,$P$1-1,3),'FA Addition'!$Q780),FAAddition[[#This Row],[Original Cost (Rs)]]-FAAddition[[#This Row],[Salvage Value]])),0),0)</f>
        <v>0</v>
      </c>
      <c r="AM780" s="119"/>
      <c r="AN780" s="117">
        <f>MAX(IF(AH780&gt;0,IF('FA Addition'!$N780="SLM",($AF780-'FA Addition'!$M780)*'FA Addition'!$P780*AH780/365,IFERROR(VDB(AF780,AF780*0.05,'FA Addition'!$O780,0,YEARFRAC('FA Addition'!$C780,$L$1,3),'FA Addition'!$Q780),FAAddition[[#This Row],[Original Cost (Rs)]]-FAAddition[[#This Row],[Salvage Value]])),0),0)</f>
        <v>503581.99178082193</v>
      </c>
      <c r="AO780" s="117">
        <f t="shared" si="63"/>
        <v>503581.99178082193</v>
      </c>
      <c r="AQ780" s="117">
        <f t="shared" si="61"/>
        <v>0</v>
      </c>
      <c r="AR780" s="120">
        <f t="shared" si="62"/>
        <v>2221510.0082191778</v>
      </c>
      <c r="AS780" s="121"/>
    </row>
    <row r="781" spans="1:45" ht="13.5" x14ac:dyDescent="0.4">
      <c r="A781" s="12">
        <f t="shared" si="64"/>
        <v>778</v>
      </c>
      <c r="B781" s="64" t="s">
        <v>1308</v>
      </c>
      <c r="C781" s="54">
        <v>45170</v>
      </c>
      <c r="D781" s="54">
        <v>45170</v>
      </c>
      <c r="E781" s="46" t="s">
        <v>451</v>
      </c>
      <c r="F781" s="51" t="s">
        <v>19</v>
      </c>
      <c r="G781" s="51" t="s">
        <v>1537</v>
      </c>
      <c r="H781" s="51" t="s">
        <v>21</v>
      </c>
      <c r="I781" s="55" t="s">
        <v>1538</v>
      </c>
      <c r="J781" s="56">
        <v>1</v>
      </c>
      <c r="K781" s="51" t="s">
        <v>1539</v>
      </c>
      <c r="L781" s="58">
        <v>33042.375</v>
      </c>
      <c r="M781" s="50">
        <f>ROUND('FA Addition'!$L781*5%,0.1)</f>
        <v>1652</v>
      </c>
      <c r="N781" s="113" t="str">
        <f>_xlfn.XLOOKUP(_xlfn.CONCAT(E781,B781),'Year Wise Master Dep Approach'!F:F,'Year Wise Master Dep Approach'!D:D)</f>
        <v>WDV</v>
      </c>
      <c r="O781" s="113">
        <f>_xlfn.XLOOKUP(_xlfn.CONCAT(E781,B781),'Year Wise Master Dep Approach'!F:F,'Year Wise Master Dep Approach'!E:E)</f>
        <v>3</v>
      </c>
      <c r="P781" s="114">
        <f>IFERROR(IF('FA Addition'!$N781="WDV",1-('FA Addition'!$M781/'FA Addition'!$L781)^(1/'FA Addition'!$O781),1/'FA Addition'!$O781),0)</f>
        <v>0.63160567696761793</v>
      </c>
      <c r="Q781" s="122">
        <f>'FA Addition'!$P781*'FA Addition'!$O781</f>
        <v>1.8948170309028538</v>
      </c>
      <c r="R781" s="122"/>
      <c r="S781" s="116">
        <f>IF(AND(DATE(20&amp;LEFT(FAAddition[[#This Row],[FY]],2),4,1)&lt;$L$1+1,DATE(20&amp;LEFT(FAAddition[[#This Row],[FY]],2),4,1)&gt;$P$1-1),'FA Addition'!$J781,0)</f>
        <v>1</v>
      </c>
      <c r="U781" s="117">
        <f>S781*'FA Addition'!$L781/'FA Addition'!$J781</f>
        <v>33042.375</v>
      </c>
      <c r="W781" s="116">
        <f>SUMIFS('FA Write off'!D:D,'FA Write off'!A:A,'FA Addition'!$A781,'FA Write off'!C:C,"&lt;"&amp;'FA Addition'!$P$1)</f>
        <v>0</v>
      </c>
      <c r="Y781" s="191">
        <f>IFERROR(W781/'FA Addition'!$J781*'FA Addition'!$L781,0)</f>
        <v>0</v>
      </c>
      <c r="AA781" s="116">
        <f>SUMIFS('FA Write off'!D:D,'FA Write off'!A:A,'FA Addition'!$A781,'FA Write off'!C:C,"&lt;"&amp;'FA Addition'!$L$1+1,'FA Write off'!C:C,"&gt;"&amp;'FA Addition'!$L$1-365)</f>
        <v>0</v>
      </c>
      <c r="AC781" s="118">
        <f>IFERROR(AA781/'FA Addition'!$J781*'FA Addition'!$L781,0)</f>
        <v>0</v>
      </c>
      <c r="AE781" s="117">
        <f>IF(AND('FA Addition'!$D781&lt;$P$1+1,U781=0),'FA Addition'!$L781,0)-Y781</f>
        <v>0</v>
      </c>
      <c r="AF781" s="117">
        <f t="shared" si="60"/>
        <v>33042.375</v>
      </c>
      <c r="AG781" s="117">
        <f>MIN(MAX(+$P$1-'FA Addition'!$D781,0),365*'FA Addition'!$O781)</f>
        <v>0</v>
      </c>
      <c r="AH781" s="117">
        <f>MIN(MAX($L$1-'FA Addition'!$D781+1,0),365*'FA Addition'!$O781)</f>
        <v>213</v>
      </c>
      <c r="AI781" s="117" cm="1">
        <f t="array" ref="AI781">_xlfn.XLOOKUP(1,('FA Write off'!A:A='FA Addition'!$A781)*('FA Write off'!D:D=AA781),'FA Write off'!H:H,0,0)</f>
        <v>0</v>
      </c>
      <c r="AJ781" s="117">
        <f>IF(AC781&gt;0,MAX(IF('FA Addition'!$N781="SLM",($AC781-'FA Addition'!$M781)*'FA Addition'!$P781*AI781/365,(AC781-'FA Addition'!$M781)*(1-(1-'FA Addition'!$P781)^(AI781/365))),0),0)</f>
        <v>0</v>
      </c>
      <c r="AL781" s="117">
        <f>MAX(IF(AG781&gt;0,IF('FA Addition'!$N781="SLM",($AE781-'FA Addition'!$M781)*'FA Addition'!$P781*AG781/365,IFERROR(VDB(AE781,AE781*0.05,'FA Addition'!$O781,0,YEARFRAC('FA Addition'!$C781,$P$1-1,3),'FA Addition'!$Q781),FAAddition[[#This Row],[Original Cost (Rs)]]-FAAddition[[#This Row],[Salvage Value]])),0),0)</f>
        <v>0</v>
      </c>
      <c r="AM781" s="119"/>
      <c r="AN781" s="117">
        <f>MAX(IF(AH781&gt;0,IF('FA Addition'!$N781="SLM",($AF781-'FA Addition'!$M781)*'FA Addition'!$P781*AH781/365,IFERROR(VDB(AF781,AF781*0.05,'FA Addition'!$O781,0,YEARFRAC('FA Addition'!$C781,$L$1,3),'FA Addition'!$Q781),FAAddition[[#This Row],[Original Cost (Rs)]]-FAAddition[[#This Row],[Salvage Value]])),0),0)</f>
        <v>12121.609166204091</v>
      </c>
      <c r="AO781" s="117">
        <f t="shared" si="63"/>
        <v>12121.609166204091</v>
      </c>
      <c r="AQ781" s="117">
        <f t="shared" si="61"/>
        <v>0</v>
      </c>
      <c r="AR781" s="120">
        <f t="shared" si="62"/>
        <v>20920.765833795907</v>
      </c>
      <c r="AS781" s="121"/>
    </row>
    <row r="782" spans="1:45" ht="13.5" x14ac:dyDescent="0.4">
      <c r="A782" s="12">
        <f t="shared" si="64"/>
        <v>779</v>
      </c>
      <c r="B782" s="64" t="s">
        <v>1308</v>
      </c>
      <c r="C782" s="54">
        <v>45170</v>
      </c>
      <c r="D782" s="54">
        <v>45170</v>
      </c>
      <c r="E782" s="46" t="s">
        <v>451</v>
      </c>
      <c r="F782" s="51" t="s">
        <v>19</v>
      </c>
      <c r="G782" s="51" t="s">
        <v>1537</v>
      </c>
      <c r="H782" s="51" t="s">
        <v>21</v>
      </c>
      <c r="I782" s="55" t="s">
        <v>1538</v>
      </c>
      <c r="J782" s="56">
        <v>1</v>
      </c>
      <c r="K782" s="51" t="s">
        <v>1539</v>
      </c>
      <c r="L782" s="58">
        <v>33042.375</v>
      </c>
      <c r="M782" s="50">
        <f>ROUND('FA Addition'!$L782*5%,0.1)</f>
        <v>1652</v>
      </c>
      <c r="N782" s="113" t="str">
        <f>_xlfn.XLOOKUP(_xlfn.CONCAT(E782,B782),'Year Wise Master Dep Approach'!F:F,'Year Wise Master Dep Approach'!D:D)</f>
        <v>WDV</v>
      </c>
      <c r="O782" s="113">
        <f>_xlfn.XLOOKUP(_xlfn.CONCAT(E782,B782),'Year Wise Master Dep Approach'!F:F,'Year Wise Master Dep Approach'!E:E)</f>
        <v>3</v>
      </c>
      <c r="P782" s="114">
        <f>IFERROR(IF('FA Addition'!$N782="WDV",1-('FA Addition'!$M782/'FA Addition'!$L782)^(1/'FA Addition'!$O782),1/'FA Addition'!$O782),0)</f>
        <v>0.63160567696761793</v>
      </c>
      <c r="Q782" s="122">
        <f>'FA Addition'!$P782*'FA Addition'!$O782</f>
        <v>1.8948170309028538</v>
      </c>
      <c r="R782" s="122"/>
      <c r="S782" s="116">
        <f>IF(AND(DATE(20&amp;LEFT(FAAddition[[#This Row],[FY]],2),4,1)&lt;$L$1+1,DATE(20&amp;LEFT(FAAddition[[#This Row],[FY]],2),4,1)&gt;$P$1-1),'FA Addition'!$J782,0)</f>
        <v>1</v>
      </c>
      <c r="U782" s="117">
        <f>S782*'FA Addition'!$L782/'FA Addition'!$J782</f>
        <v>33042.375</v>
      </c>
      <c r="W782" s="116">
        <f>SUMIFS('FA Write off'!D:D,'FA Write off'!A:A,'FA Addition'!$A782,'FA Write off'!C:C,"&lt;"&amp;'FA Addition'!$P$1)</f>
        <v>0</v>
      </c>
      <c r="Y782" s="191">
        <f>IFERROR(W782/'FA Addition'!$J782*'FA Addition'!$L782,0)</f>
        <v>0</v>
      </c>
      <c r="AA782" s="116">
        <f>SUMIFS('FA Write off'!D:D,'FA Write off'!A:A,'FA Addition'!$A782,'FA Write off'!C:C,"&lt;"&amp;'FA Addition'!$L$1+1,'FA Write off'!C:C,"&gt;"&amp;'FA Addition'!$L$1-365)</f>
        <v>0</v>
      </c>
      <c r="AC782" s="118">
        <f>IFERROR(AA782/'FA Addition'!$J782*'FA Addition'!$L782,0)</f>
        <v>0</v>
      </c>
      <c r="AE782" s="117">
        <f>IF(AND('FA Addition'!$D782&lt;$P$1+1,U782=0),'FA Addition'!$L782,0)-Y782</f>
        <v>0</v>
      </c>
      <c r="AF782" s="117">
        <f t="shared" si="60"/>
        <v>33042.375</v>
      </c>
      <c r="AG782" s="117">
        <f>MIN(MAX(+$P$1-'FA Addition'!$D782,0),365*'FA Addition'!$O782)</f>
        <v>0</v>
      </c>
      <c r="AH782" s="117">
        <f>MIN(MAX($L$1-'FA Addition'!$D782+1,0),365*'FA Addition'!$O782)</f>
        <v>213</v>
      </c>
      <c r="AI782" s="117" cm="1">
        <f t="array" ref="AI782">_xlfn.XLOOKUP(1,('FA Write off'!A:A='FA Addition'!$A782)*('FA Write off'!D:D=AA782),'FA Write off'!H:H,0,0)</f>
        <v>0</v>
      </c>
      <c r="AJ782" s="117">
        <f>IF(AC782&gt;0,MAX(IF('FA Addition'!$N782="SLM",($AC782-'FA Addition'!$M782)*'FA Addition'!$P782*AI782/365,(AC782-'FA Addition'!$M782)*(1-(1-'FA Addition'!$P782)^(AI782/365))),0),0)</f>
        <v>0</v>
      </c>
      <c r="AL782" s="117">
        <f>MAX(IF(AG782&gt;0,IF('FA Addition'!$N782="SLM",($AE782-'FA Addition'!$M782)*'FA Addition'!$P782*AG782/365,IFERROR(VDB(AE782,AE782*0.05,'FA Addition'!$O782,0,YEARFRAC('FA Addition'!$C782,$P$1-1,3),'FA Addition'!$Q782),FAAddition[[#This Row],[Original Cost (Rs)]]-FAAddition[[#This Row],[Salvage Value]])),0),0)</f>
        <v>0</v>
      </c>
      <c r="AM782" s="119"/>
      <c r="AN782" s="117">
        <f>MAX(IF(AH782&gt;0,IF('FA Addition'!$N782="SLM",($AF782-'FA Addition'!$M782)*'FA Addition'!$P782*AH782/365,IFERROR(VDB(AF782,AF782*0.05,'FA Addition'!$O782,0,YEARFRAC('FA Addition'!$C782,$L$1,3),'FA Addition'!$Q782),FAAddition[[#This Row],[Original Cost (Rs)]]-FAAddition[[#This Row],[Salvage Value]])),0),0)</f>
        <v>12121.609166204091</v>
      </c>
      <c r="AO782" s="117">
        <f t="shared" si="63"/>
        <v>12121.609166204091</v>
      </c>
      <c r="AQ782" s="117">
        <f t="shared" si="61"/>
        <v>0</v>
      </c>
      <c r="AR782" s="120">
        <f t="shared" si="62"/>
        <v>20920.765833795907</v>
      </c>
      <c r="AS782" s="121"/>
    </row>
    <row r="783" spans="1:45" ht="13.5" x14ac:dyDescent="0.4">
      <c r="A783" s="12">
        <f t="shared" si="64"/>
        <v>780</v>
      </c>
      <c r="B783" s="64" t="s">
        <v>1308</v>
      </c>
      <c r="C783" s="54">
        <v>45170</v>
      </c>
      <c r="D783" s="54">
        <v>45170</v>
      </c>
      <c r="E783" s="46" t="s">
        <v>749</v>
      </c>
      <c r="F783" s="51" t="s">
        <v>74</v>
      </c>
      <c r="G783" s="51" t="s">
        <v>1134</v>
      </c>
      <c r="H783" s="51" t="s">
        <v>187</v>
      </c>
      <c r="I783" s="55" t="s">
        <v>1540</v>
      </c>
      <c r="J783" s="56">
        <v>1</v>
      </c>
      <c r="K783" s="51" t="s">
        <v>1541</v>
      </c>
      <c r="L783" s="58">
        <v>27838.14</v>
      </c>
      <c r="M783" s="50">
        <f>ROUND('FA Addition'!$L783*5%,0.1)</f>
        <v>1392</v>
      </c>
      <c r="N783" s="113" t="str">
        <f>_xlfn.XLOOKUP(_xlfn.CONCAT(E783,B783),'Year Wise Master Dep Approach'!F:F,'Year Wise Master Dep Approach'!D:D)</f>
        <v>WDV</v>
      </c>
      <c r="O783" s="113">
        <f>_xlfn.XLOOKUP(_xlfn.CONCAT(E783,B783),'Year Wise Master Dep Approach'!F:F,'Year Wise Master Dep Approach'!E:E)</f>
        <v>5</v>
      </c>
      <c r="P783" s="114">
        <f>IFERROR(IF('FA Addition'!$N783="WDV",1-('FA Addition'!$M783/'FA Addition'!$L783)^(1/'FA Addition'!$O783),1/'FA Addition'!$O783),0)</f>
        <v>0.45071238853184192</v>
      </c>
      <c r="Q783" s="122">
        <f>'FA Addition'!$P783*'FA Addition'!$O783</f>
        <v>2.2535619426592097</v>
      </c>
      <c r="R783" s="122"/>
      <c r="S783" s="116">
        <f>IF(AND(DATE(20&amp;LEFT(FAAddition[[#This Row],[FY]],2),4,1)&lt;$L$1+1,DATE(20&amp;LEFT(FAAddition[[#This Row],[FY]],2),4,1)&gt;$P$1-1),'FA Addition'!$J783,0)</f>
        <v>1</v>
      </c>
      <c r="U783" s="117">
        <f>S783*'FA Addition'!$L783/'FA Addition'!$J783</f>
        <v>27838.14</v>
      </c>
      <c r="W783" s="116">
        <f>SUMIFS('FA Write off'!D:D,'FA Write off'!A:A,'FA Addition'!$A783,'FA Write off'!C:C,"&lt;"&amp;'FA Addition'!$P$1)</f>
        <v>0</v>
      </c>
      <c r="Y783" s="191">
        <f>IFERROR(W783/'FA Addition'!$J783*'FA Addition'!$L783,0)</f>
        <v>0</v>
      </c>
      <c r="AA783" s="116">
        <f>SUMIFS('FA Write off'!D:D,'FA Write off'!A:A,'FA Addition'!$A783,'FA Write off'!C:C,"&lt;"&amp;'FA Addition'!$L$1+1,'FA Write off'!C:C,"&gt;"&amp;'FA Addition'!$L$1-365)</f>
        <v>0</v>
      </c>
      <c r="AC783" s="118">
        <f>IFERROR(AA783/'FA Addition'!$J783*'FA Addition'!$L783,0)</f>
        <v>0</v>
      </c>
      <c r="AE783" s="117">
        <f>IF(AND('FA Addition'!$D783&lt;$P$1+1,U783=0),'FA Addition'!$L783,0)-Y783</f>
        <v>0</v>
      </c>
      <c r="AF783" s="117">
        <f t="shared" si="60"/>
        <v>27838.14</v>
      </c>
      <c r="AG783" s="117">
        <f>MIN(MAX(+$P$1-'FA Addition'!$D783,0),365*'FA Addition'!$O783)</f>
        <v>0</v>
      </c>
      <c r="AH783" s="117">
        <f>MIN(MAX($L$1-'FA Addition'!$D783+1,0),365*'FA Addition'!$O783)</f>
        <v>213</v>
      </c>
      <c r="AI783" s="117" cm="1">
        <f t="array" ref="AI783">_xlfn.XLOOKUP(1,('FA Write off'!A:A='FA Addition'!$A783)*('FA Write off'!D:D=AA783),'FA Write off'!H:H,0,0)</f>
        <v>0</v>
      </c>
      <c r="AJ783" s="117">
        <f>IF(AC783&gt;0,MAX(IF('FA Addition'!$N783="SLM",($AC783-'FA Addition'!$M783)*'FA Addition'!$P783*AI783/365,(AC783-'FA Addition'!$M783)*(1-(1-'FA Addition'!$P783)^(AI783/365))),0),0)</f>
        <v>0</v>
      </c>
      <c r="AL783" s="117">
        <f>MAX(IF(AG783&gt;0,IF('FA Addition'!$N783="SLM",($AE783-'FA Addition'!$M783)*'FA Addition'!$P783*AG783/365,IFERROR(VDB(AE783,AE783*0.05,'FA Addition'!$O783,0,YEARFRAC('FA Addition'!$C783,$P$1-1,3),'FA Addition'!$Q783),FAAddition[[#This Row],[Original Cost (Rs)]]-FAAddition[[#This Row],[Salvage Value]])),0),0)</f>
        <v>0</v>
      </c>
      <c r="AM783" s="119"/>
      <c r="AN783" s="117">
        <f>MAX(IF(AH783&gt;0,IF('FA Addition'!$N783="SLM",($AF783-'FA Addition'!$M783)*'FA Addition'!$P783*AH783/365,IFERROR(VDB(AF783,AF783*0.05,'FA Addition'!$O783,0,YEARFRAC('FA Addition'!$C783,$L$1,3),'FA Addition'!$Q783),FAAddition[[#This Row],[Original Cost (Rs)]]-FAAddition[[#This Row],[Salvage Value]])),0),0)</f>
        <v>7287.5694498547055</v>
      </c>
      <c r="AO783" s="117">
        <f t="shared" si="63"/>
        <v>7287.5694498547055</v>
      </c>
      <c r="AQ783" s="117">
        <f t="shared" si="61"/>
        <v>0</v>
      </c>
      <c r="AR783" s="120">
        <f t="shared" si="62"/>
        <v>20550.570550145294</v>
      </c>
      <c r="AS783" s="121"/>
    </row>
    <row r="784" spans="1:45" ht="13.5" x14ac:dyDescent="0.4">
      <c r="A784" s="12">
        <f t="shared" si="64"/>
        <v>781</v>
      </c>
      <c r="B784" s="64" t="s">
        <v>1308</v>
      </c>
      <c r="C784" s="54">
        <v>45173</v>
      </c>
      <c r="D784" s="54">
        <v>45173</v>
      </c>
      <c r="E784" s="46" t="s">
        <v>32</v>
      </c>
      <c r="F784" s="51" t="s">
        <v>1090</v>
      </c>
      <c r="G784" s="51" t="s">
        <v>433</v>
      </c>
      <c r="H784" s="51" t="s">
        <v>32</v>
      </c>
      <c r="I784" s="55" t="s">
        <v>1542</v>
      </c>
      <c r="J784" s="56">
        <v>2100</v>
      </c>
      <c r="K784" s="51" t="s">
        <v>935</v>
      </c>
      <c r="L784" s="58">
        <v>2079000</v>
      </c>
      <c r="M784" s="50">
        <f>ROUND('FA Addition'!$L784*5%,0.1)</f>
        <v>103950</v>
      </c>
      <c r="N784" s="113" t="str">
        <f>_xlfn.XLOOKUP(_xlfn.CONCAT(E784,B784),'Year Wise Master Dep Approach'!F:F,'Year Wise Master Dep Approach'!D:D)</f>
        <v>SLM</v>
      </c>
      <c r="O784" s="113">
        <f>_xlfn.XLOOKUP(_xlfn.CONCAT(E784,B784),'Year Wise Master Dep Approach'!F:F,'Year Wise Master Dep Approach'!E:E)</f>
        <v>5</v>
      </c>
      <c r="P784" s="114">
        <f>IFERROR(IF('FA Addition'!$N784="WDV",1-('FA Addition'!$M784/'FA Addition'!$L784)^(1/'FA Addition'!$O784),1/'FA Addition'!$O784),0)</f>
        <v>0.2</v>
      </c>
      <c r="Q784" s="122">
        <f>'FA Addition'!$P784*'FA Addition'!$O784</f>
        <v>1</v>
      </c>
      <c r="R784" s="122"/>
      <c r="S784" s="116">
        <f>IF(AND(DATE(20&amp;LEFT(FAAddition[[#This Row],[FY]],2),4,1)&lt;$L$1+1,DATE(20&amp;LEFT(FAAddition[[#This Row],[FY]],2),4,1)&gt;$P$1-1),'FA Addition'!$J784,0)</f>
        <v>2100</v>
      </c>
      <c r="U784" s="117">
        <f>S784*'FA Addition'!$L784/'FA Addition'!$J784</f>
        <v>2079000</v>
      </c>
      <c r="W784" s="116">
        <f>SUMIFS('FA Write off'!D:D,'FA Write off'!A:A,'FA Addition'!$A784,'FA Write off'!C:C,"&lt;"&amp;'FA Addition'!$P$1)</f>
        <v>53</v>
      </c>
      <c r="Y784" s="191">
        <f>IFERROR(W784/'FA Addition'!$J784*'FA Addition'!$L784,0)</f>
        <v>52470</v>
      </c>
      <c r="AA784" s="116">
        <f>SUMIFS('FA Write off'!D:D,'FA Write off'!A:A,'FA Addition'!$A784,'FA Write off'!C:C,"&lt;"&amp;'FA Addition'!$L$1+1,'FA Write off'!C:C,"&gt;"&amp;'FA Addition'!$L$1-365)</f>
        <v>0</v>
      </c>
      <c r="AC784" s="118">
        <f>IFERROR(AA784/'FA Addition'!$J784*'FA Addition'!$L784,0)</f>
        <v>0</v>
      </c>
      <c r="AE784" s="117">
        <f>IF(AND('FA Addition'!$D784&lt;$P$1+1,U784=0),'FA Addition'!$L784,0)-Y784</f>
        <v>-52470</v>
      </c>
      <c r="AF784" s="117">
        <f t="shared" si="60"/>
        <v>2026530</v>
      </c>
      <c r="AG784" s="117">
        <f>MIN(MAX(+$P$1-'FA Addition'!$D784,0),365*'FA Addition'!$O784)</f>
        <v>0</v>
      </c>
      <c r="AH784" s="117">
        <f>MIN(MAX($L$1-'FA Addition'!$D784+1,0),365*'FA Addition'!$O784)</f>
        <v>210</v>
      </c>
      <c r="AI784" s="117" cm="1">
        <f t="array" ref="AI784">_xlfn.XLOOKUP(1,('FA Write off'!A:A='FA Addition'!$A784)*('FA Write off'!D:D=AA784),'FA Write off'!H:H,0,0)</f>
        <v>0</v>
      </c>
      <c r="AJ784" s="117">
        <f>IF(AC784&gt;0,MAX(IF('FA Addition'!$N784="SLM",($AC784-'FA Addition'!$M784)*'FA Addition'!$P784*AI784/365,(AC784-'FA Addition'!$M784)*(1-(1-'FA Addition'!$P784)^(AI784/365))),0),0)</f>
        <v>0</v>
      </c>
      <c r="AL784" s="117">
        <f>MAX(IF(AG784&gt;0,IF('FA Addition'!$N784="SLM",($AE784-'FA Addition'!$M784)*'FA Addition'!$P784*AG784/365,IFERROR(VDB(AE784,AE784*0.05,'FA Addition'!$O784,0,YEARFRAC('FA Addition'!$C784,$P$1-1,3),'FA Addition'!$Q784),FAAddition[[#This Row],[Original Cost (Rs)]]-FAAddition[[#This Row],[Salvage Value]])),0),0)</f>
        <v>0</v>
      </c>
      <c r="AM784" s="119"/>
      <c r="AN784" s="117">
        <f>MAX(IF(AH784&gt;0,IF('FA Addition'!$N784="SLM",($AF784-'FA Addition'!$M784)*'FA Addition'!$P784*AH784/365,IFERROR(VDB(AF784,AF784*0.05,'FA Addition'!$O784,0,YEARFRAC('FA Addition'!$C784,$L$1,3),'FA Addition'!$Q784),FAAddition[[#This Row],[Original Cost (Rs)]]-FAAddition[[#This Row],[Salvage Value]])),0),0)</f>
        <v>221228.38356164383</v>
      </c>
      <c r="AO784" s="117">
        <f t="shared" si="63"/>
        <v>221228.38356164383</v>
      </c>
      <c r="AQ784" s="117">
        <f t="shared" si="61"/>
        <v>-52470</v>
      </c>
      <c r="AR784" s="120">
        <f t="shared" si="62"/>
        <v>1805301.6164383562</v>
      </c>
      <c r="AS784" s="121"/>
    </row>
    <row r="785" spans="1:45" ht="13.5" x14ac:dyDescent="0.4">
      <c r="A785" s="12">
        <f t="shared" si="64"/>
        <v>782</v>
      </c>
      <c r="B785" s="64" t="s">
        <v>1308</v>
      </c>
      <c r="C785" s="54">
        <v>45174</v>
      </c>
      <c r="D785" s="54">
        <v>45174</v>
      </c>
      <c r="E785" s="46" t="s">
        <v>749</v>
      </c>
      <c r="F785" s="51" t="s">
        <v>74</v>
      </c>
      <c r="G785" s="51" t="s">
        <v>36</v>
      </c>
      <c r="H785" s="51" t="s">
        <v>26</v>
      </c>
      <c r="I785" s="55" t="s">
        <v>1543</v>
      </c>
      <c r="J785" s="56">
        <v>1000</v>
      </c>
      <c r="K785" s="51" t="s">
        <v>1505</v>
      </c>
      <c r="L785" s="58">
        <v>75000</v>
      </c>
      <c r="M785" s="50">
        <f>ROUND('FA Addition'!$L785*5%,0.1)</f>
        <v>3750</v>
      </c>
      <c r="N785" s="113" t="str">
        <f>_xlfn.XLOOKUP(_xlfn.CONCAT(E785,B785),'Year Wise Master Dep Approach'!F:F,'Year Wise Master Dep Approach'!D:D)</f>
        <v>WDV</v>
      </c>
      <c r="O785" s="113">
        <f>_xlfn.XLOOKUP(_xlfn.CONCAT(E785,B785),'Year Wise Master Dep Approach'!F:F,'Year Wise Master Dep Approach'!E:E)</f>
        <v>5</v>
      </c>
      <c r="P785" s="114">
        <f>IFERROR(IF('FA Addition'!$N785="WDV",1-('FA Addition'!$M785/'FA Addition'!$L785)^(1/'FA Addition'!$O785),1/'FA Addition'!$O785),0)</f>
        <v>0.45071972834694107</v>
      </c>
      <c r="Q785" s="122">
        <f>'FA Addition'!$P785*'FA Addition'!$O785</f>
        <v>2.2535986417347056</v>
      </c>
      <c r="R785" s="122"/>
      <c r="S785" s="116">
        <f>IF(AND(DATE(20&amp;LEFT(FAAddition[[#This Row],[FY]],2),4,1)&lt;$L$1+1,DATE(20&amp;LEFT(FAAddition[[#This Row],[FY]],2),4,1)&gt;$P$1-1),'FA Addition'!$J785,0)</f>
        <v>1000</v>
      </c>
      <c r="U785" s="117">
        <f>S785*'FA Addition'!$L785/'FA Addition'!$J785</f>
        <v>75000</v>
      </c>
      <c r="W785" s="116">
        <f>SUMIFS('FA Write off'!D:D,'FA Write off'!A:A,'FA Addition'!$A785,'FA Write off'!C:C,"&lt;"&amp;'FA Addition'!$P$1)</f>
        <v>0</v>
      </c>
      <c r="Y785" s="191">
        <f>IFERROR(W785/'FA Addition'!$J785*'FA Addition'!$L785,0)</f>
        <v>0</v>
      </c>
      <c r="AA785" s="116">
        <f>SUMIFS('FA Write off'!D:D,'FA Write off'!A:A,'FA Addition'!$A785,'FA Write off'!C:C,"&lt;"&amp;'FA Addition'!$L$1+1,'FA Write off'!C:C,"&gt;"&amp;'FA Addition'!$L$1-365)</f>
        <v>0</v>
      </c>
      <c r="AC785" s="118">
        <f>IFERROR(AA785/'FA Addition'!$J785*'FA Addition'!$L785,0)</f>
        <v>0</v>
      </c>
      <c r="AE785" s="117">
        <f>IF(AND('FA Addition'!$D785&lt;$P$1+1,U785=0),'FA Addition'!$L785,0)-Y785</f>
        <v>0</v>
      </c>
      <c r="AF785" s="117">
        <f t="shared" si="60"/>
        <v>75000</v>
      </c>
      <c r="AG785" s="117">
        <f>MIN(MAX(+$P$1-'FA Addition'!$D785,0),365*'FA Addition'!$O785)</f>
        <v>0</v>
      </c>
      <c r="AH785" s="117">
        <f>MIN(MAX($L$1-'FA Addition'!$D785+1,0),365*'FA Addition'!$O785)</f>
        <v>209</v>
      </c>
      <c r="AI785" s="117" cm="1">
        <f t="array" ref="AI785">_xlfn.XLOOKUP(1,('FA Write off'!A:A='FA Addition'!$A785)*('FA Write off'!D:D=AA785),'FA Write off'!H:H,0,0)</f>
        <v>0</v>
      </c>
      <c r="AJ785" s="117">
        <f>IF(AC785&gt;0,MAX(IF('FA Addition'!$N785="SLM",($AC785-'FA Addition'!$M785)*'FA Addition'!$P785*AI785/365,(AC785-'FA Addition'!$M785)*(1-(1-'FA Addition'!$P785)^(AI785/365))),0),0)</f>
        <v>0</v>
      </c>
      <c r="AL785" s="117">
        <f>MAX(IF(AG785&gt;0,IF('FA Addition'!$N785="SLM",($AE785-'FA Addition'!$M785)*'FA Addition'!$P785*AG785/365,IFERROR(VDB(AE785,AE785*0.05,'FA Addition'!$O785,0,YEARFRAC('FA Addition'!$C785,$P$1-1,3),'FA Addition'!$Q785),FAAddition[[#This Row],[Original Cost (Rs)]]-FAAddition[[#This Row],[Salvage Value]])),0),0)</f>
        <v>0</v>
      </c>
      <c r="AM785" s="119"/>
      <c r="AN785" s="117">
        <f>MAX(IF(AH785&gt;0,IF('FA Addition'!$N785="SLM",($AF785-'FA Addition'!$M785)*'FA Addition'!$P785*AH785/365,IFERROR(VDB(AF785,AF785*0.05,'FA Addition'!$O785,0,YEARFRAC('FA Addition'!$C785,$L$1,3),'FA Addition'!$Q785),FAAddition[[#This Row],[Original Cost (Rs)]]-FAAddition[[#This Row],[Salvage Value]])),0),0)</f>
        <v>19263.63770469118</v>
      </c>
      <c r="AO785" s="117">
        <f t="shared" si="63"/>
        <v>19263.63770469118</v>
      </c>
      <c r="AQ785" s="117">
        <f t="shared" si="61"/>
        <v>0</v>
      </c>
      <c r="AR785" s="120">
        <f t="shared" si="62"/>
        <v>55736.36229530882</v>
      </c>
      <c r="AS785" s="121"/>
    </row>
    <row r="786" spans="1:45" ht="13.5" x14ac:dyDescent="0.4">
      <c r="A786" s="12">
        <f t="shared" si="64"/>
        <v>783</v>
      </c>
      <c r="B786" s="64" t="s">
        <v>1308</v>
      </c>
      <c r="C786" s="54">
        <v>45174</v>
      </c>
      <c r="D786" s="54">
        <v>45174</v>
      </c>
      <c r="E786" s="46" t="s">
        <v>451</v>
      </c>
      <c r="F786" s="51" t="s">
        <v>19</v>
      </c>
      <c r="G786" s="51" t="s">
        <v>1537</v>
      </c>
      <c r="H786" s="51" t="s">
        <v>21</v>
      </c>
      <c r="I786" s="55" t="s">
        <v>1544</v>
      </c>
      <c r="J786" s="56">
        <v>1</v>
      </c>
      <c r="K786" s="51" t="s">
        <v>1539</v>
      </c>
      <c r="L786" s="58">
        <v>33042.373333333329</v>
      </c>
      <c r="M786" s="50">
        <f>ROUND('FA Addition'!$L786*5%,0.1)</f>
        <v>1652</v>
      </c>
      <c r="N786" s="113" t="str">
        <f>_xlfn.XLOOKUP(_xlfn.CONCAT(E786,B786),'Year Wise Master Dep Approach'!F:F,'Year Wise Master Dep Approach'!D:D)</f>
        <v>WDV</v>
      </c>
      <c r="O786" s="113">
        <f>_xlfn.XLOOKUP(_xlfn.CONCAT(E786,B786),'Year Wise Master Dep Approach'!F:F,'Year Wise Master Dep Approach'!E:E)</f>
        <v>3</v>
      </c>
      <c r="P786" s="114">
        <f>IFERROR(IF('FA Addition'!$N786="WDV",1-('FA Addition'!$M786/'FA Addition'!$L786)^(1/'FA Addition'!$O786),1/'FA Addition'!$O786),0)</f>
        <v>0.63160567077364682</v>
      </c>
      <c r="Q786" s="122">
        <f>'FA Addition'!$P786*'FA Addition'!$O786</f>
        <v>1.8948170123209405</v>
      </c>
      <c r="R786" s="122"/>
      <c r="S786" s="116">
        <f>IF(AND(DATE(20&amp;LEFT(FAAddition[[#This Row],[FY]],2),4,1)&lt;$L$1+1,DATE(20&amp;LEFT(FAAddition[[#This Row],[FY]],2),4,1)&gt;$P$1-1),'FA Addition'!$J786,0)</f>
        <v>1</v>
      </c>
      <c r="U786" s="117">
        <f>S786*'FA Addition'!$L786/'FA Addition'!$J786</f>
        <v>33042.373333333329</v>
      </c>
      <c r="W786" s="116">
        <f>SUMIFS('FA Write off'!D:D,'FA Write off'!A:A,'FA Addition'!$A786,'FA Write off'!C:C,"&lt;"&amp;'FA Addition'!$P$1)</f>
        <v>0</v>
      </c>
      <c r="Y786" s="191">
        <f>IFERROR(W786/'FA Addition'!$J786*'FA Addition'!$L786,0)</f>
        <v>0</v>
      </c>
      <c r="AA786" s="116">
        <f>SUMIFS('FA Write off'!D:D,'FA Write off'!A:A,'FA Addition'!$A786,'FA Write off'!C:C,"&lt;"&amp;'FA Addition'!$L$1+1,'FA Write off'!C:C,"&gt;"&amp;'FA Addition'!$L$1-365)</f>
        <v>0</v>
      </c>
      <c r="AC786" s="118">
        <f>IFERROR(AA786/'FA Addition'!$J786*'FA Addition'!$L786,0)</f>
        <v>0</v>
      </c>
      <c r="AE786" s="117">
        <f>IF(AND('FA Addition'!$D786&lt;$P$1+1,U786=0),'FA Addition'!$L786,0)-Y786</f>
        <v>0</v>
      </c>
      <c r="AF786" s="117">
        <f t="shared" si="60"/>
        <v>33042.373333333329</v>
      </c>
      <c r="AG786" s="117">
        <f>MIN(MAX(+$P$1-'FA Addition'!$D786,0),365*'FA Addition'!$O786)</f>
        <v>0</v>
      </c>
      <c r="AH786" s="117">
        <f>MIN(MAX($L$1-'FA Addition'!$D786+1,0),365*'FA Addition'!$O786)</f>
        <v>209</v>
      </c>
      <c r="AI786" s="117" cm="1">
        <f t="array" ref="AI786">_xlfn.XLOOKUP(1,('FA Write off'!A:A='FA Addition'!$A786)*('FA Write off'!D:D=AA786),'FA Write off'!H:H,0,0)</f>
        <v>0</v>
      </c>
      <c r="AJ786" s="117">
        <f>IF(AC786&gt;0,MAX(IF('FA Addition'!$N786="SLM",($AC786-'FA Addition'!$M786)*'FA Addition'!$P786*AI786/365,(AC786-'FA Addition'!$M786)*(1-(1-'FA Addition'!$P786)^(AI786/365))),0),0)</f>
        <v>0</v>
      </c>
      <c r="AL786" s="117">
        <f>MAX(IF(AG786&gt;0,IF('FA Addition'!$N786="SLM",($AE786-'FA Addition'!$M786)*'FA Addition'!$P786*AG786/365,IFERROR(VDB(AE786,AE786*0.05,'FA Addition'!$O786,0,YEARFRAC('FA Addition'!$C786,$P$1-1,3),'FA Addition'!$Q786),FAAddition[[#This Row],[Original Cost (Rs)]]-FAAddition[[#This Row],[Salvage Value]])),0),0)</f>
        <v>0</v>
      </c>
      <c r="AM786" s="119"/>
      <c r="AN786" s="117">
        <f>MAX(IF(AH786&gt;0,IF('FA Addition'!$N786="SLM",($AF786-'FA Addition'!$M786)*'FA Addition'!$P786*AH786/365,IFERROR(VDB(AF786,AF786*0.05,'FA Addition'!$O786,0,YEARFRAC('FA Addition'!$C786,$L$1,3),'FA Addition'!$Q786),FAAddition[[#This Row],[Original Cost (Rs)]]-FAAddition[[#This Row],[Salvage Value]])),0),0)</f>
        <v>11892.898842783226</v>
      </c>
      <c r="AO786" s="117">
        <f t="shared" si="63"/>
        <v>11892.898842783226</v>
      </c>
      <c r="AQ786" s="117">
        <f t="shared" si="61"/>
        <v>0</v>
      </c>
      <c r="AR786" s="120">
        <f t="shared" si="62"/>
        <v>21149.474490550103</v>
      </c>
      <c r="AS786" s="121"/>
    </row>
    <row r="787" spans="1:45" ht="13.5" x14ac:dyDescent="0.4">
      <c r="A787" s="12">
        <f t="shared" si="64"/>
        <v>784</v>
      </c>
      <c r="B787" s="64" t="s">
        <v>1308</v>
      </c>
      <c r="C787" s="54">
        <v>45174</v>
      </c>
      <c r="D787" s="54">
        <v>45174</v>
      </c>
      <c r="E787" s="46" t="s">
        <v>451</v>
      </c>
      <c r="F787" s="51" t="s">
        <v>19</v>
      </c>
      <c r="G787" s="51" t="s">
        <v>1537</v>
      </c>
      <c r="H787" s="51" t="s">
        <v>21</v>
      </c>
      <c r="I787" s="55" t="s">
        <v>1544</v>
      </c>
      <c r="J787" s="56">
        <v>1</v>
      </c>
      <c r="K787" s="51" t="s">
        <v>1539</v>
      </c>
      <c r="L787" s="58">
        <v>33042.373333333329</v>
      </c>
      <c r="M787" s="50">
        <f>ROUND('FA Addition'!$L787*5%,0.1)</f>
        <v>1652</v>
      </c>
      <c r="N787" s="113" t="str">
        <f>_xlfn.XLOOKUP(_xlfn.CONCAT(E787,B787),'Year Wise Master Dep Approach'!F:F,'Year Wise Master Dep Approach'!D:D)</f>
        <v>WDV</v>
      </c>
      <c r="O787" s="113">
        <f>_xlfn.XLOOKUP(_xlfn.CONCAT(E787,B787),'Year Wise Master Dep Approach'!F:F,'Year Wise Master Dep Approach'!E:E)</f>
        <v>3</v>
      </c>
      <c r="P787" s="114">
        <f>IFERROR(IF('FA Addition'!$N787="WDV",1-('FA Addition'!$M787/'FA Addition'!$L787)^(1/'FA Addition'!$O787),1/'FA Addition'!$O787),0)</f>
        <v>0.63160567077364682</v>
      </c>
      <c r="Q787" s="122">
        <f>'FA Addition'!$P787*'FA Addition'!$O787</f>
        <v>1.8948170123209405</v>
      </c>
      <c r="R787" s="122"/>
      <c r="S787" s="116">
        <f>IF(AND(DATE(20&amp;LEFT(FAAddition[[#This Row],[FY]],2),4,1)&lt;$L$1+1,DATE(20&amp;LEFT(FAAddition[[#This Row],[FY]],2),4,1)&gt;$P$1-1),'FA Addition'!$J787,0)</f>
        <v>1</v>
      </c>
      <c r="U787" s="117">
        <f>S787*'FA Addition'!$L787/'FA Addition'!$J787</f>
        <v>33042.373333333329</v>
      </c>
      <c r="W787" s="116">
        <f>SUMIFS('FA Write off'!D:D,'FA Write off'!A:A,'FA Addition'!$A787,'FA Write off'!C:C,"&lt;"&amp;'FA Addition'!$P$1)</f>
        <v>0</v>
      </c>
      <c r="Y787" s="191">
        <f>IFERROR(W787/'FA Addition'!$J787*'FA Addition'!$L787,0)</f>
        <v>0</v>
      </c>
      <c r="AA787" s="116">
        <f>SUMIFS('FA Write off'!D:D,'FA Write off'!A:A,'FA Addition'!$A787,'FA Write off'!C:C,"&lt;"&amp;'FA Addition'!$L$1+1,'FA Write off'!C:C,"&gt;"&amp;'FA Addition'!$L$1-365)</f>
        <v>0</v>
      </c>
      <c r="AC787" s="118">
        <f>IFERROR(AA787/'FA Addition'!$J787*'FA Addition'!$L787,0)</f>
        <v>0</v>
      </c>
      <c r="AE787" s="117">
        <f>IF(AND('FA Addition'!$D787&lt;$P$1+1,U787=0),'FA Addition'!$L787,0)-Y787</f>
        <v>0</v>
      </c>
      <c r="AF787" s="117">
        <f t="shared" si="60"/>
        <v>33042.373333333329</v>
      </c>
      <c r="AG787" s="117">
        <f>MIN(MAX(+$P$1-'FA Addition'!$D787,0),365*'FA Addition'!$O787)</f>
        <v>0</v>
      </c>
      <c r="AH787" s="117">
        <f>MIN(MAX($L$1-'FA Addition'!$D787+1,0),365*'FA Addition'!$O787)</f>
        <v>209</v>
      </c>
      <c r="AI787" s="117" cm="1">
        <f t="array" ref="AI787">_xlfn.XLOOKUP(1,('FA Write off'!A:A='FA Addition'!$A787)*('FA Write off'!D:D=AA787),'FA Write off'!H:H,0,0)</f>
        <v>0</v>
      </c>
      <c r="AJ787" s="117">
        <f>IF(AC787&gt;0,MAX(IF('FA Addition'!$N787="SLM",($AC787-'FA Addition'!$M787)*'FA Addition'!$P787*AI787/365,(AC787-'FA Addition'!$M787)*(1-(1-'FA Addition'!$P787)^(AI787/365))),0),0)</f>
        <v>0</v>
      </c>
      <c r="AL787" s="117">
        <f>MAX(IF(AG787&gt;0,IF('FA Addition'!$N787="SLM",($AE787-'FA Addition'!$M787)*'FA Addition'!$P787*AG787/365,IFERROR(VDB(AE787,AE787*0.05,'FA Addition'!$O787,0,YEARFRAC('FA Addition'!$C787,$P$1-1,3),'FA Addition'!$Q787),FAAddition[[#This Row],[Original Cost (Rs)]]-FAAddition[[#This Row],[Salvage Value]])),0),0)</f>
        <v>0</v>
      </c>
      <c r="AM787" s="119"/>
      <c r="AN787" s="117">
        <f>MAX(IF(AH787&gt;0,IF('FA Addition'!$N787="SLM",($AF787-'FA Addition'!$M787)*'FA Addition'!$P787*AH787/365,IFERROR(VDB(AF787,AF787*0.05,'FA Addition'!$O787,0,YEARFRAC('FA Addition'!$C787,$L$1,3),'FA Addition'!$Q787),FAAddition[[#This Row],[Original Cost (Rs)]]-FAAddition[[#This Row],[Salvage Value]])),0),0)</f>
        <v>11892.898842783226</v>
      </c>
      <c r="AO787" s="117">
        <f t="shared" si="63"/>
        <v>11892.898842783226</v>
      </c>
      <c r="AQ787" s="117">
        <f t="shared" si="61"/>
        <v>0</v>
      </c>
      <c r="AR787" s="120">
        <f t="shared" si="62"/>
        <v>21149.474490550103</v>
      </c>
      <c r="AS787" s="121"/>
    </row>
    <row r="788" spans="1:45" ht="13.5" x14ac:dyDescent="0.4">
      <c r="A788" s="12">
        <f t="shared" si="64"/>
        <v>785</v>
      </c>
      <c r="B788" s="64" t="s">
        <v>1308</v>
      </c>
      <c r="C788" s="54">
        <v>45174</v>
      </c>
      <c r="D788" s="54">
        <v>45174</v>
      </c>
      <c r="E788" s="46" t="s">
        <v>451</v>
      </c>
      <c r="F788" s="51" t="s">
        <v>19</v>
      </c>
      <c r="G788" s="51" t="s">
        <v>1537</v>
      </c>
      <c r="H788" s="51" t="s">
        <v>21</v>
      </c>
      <c r="I788" s="55" t="s">
        <v>1544</v>
      </c>
      <c r="J788" s="56">
        <v>1</v>
      </c>
      <c r="K788" s="51" t="s">
        <v>1539</v>
      </c>
      <c r="L788" s="58">
        <v>33042.373333333329</v>
      </c>
      <c r="M788" s="50">
        <f>ROUND('FA Addition'!$L788*5%,0.1)</f>
        <v>1652</v>
      </c>
      <c r="N788" s="113" t="str">
        <f>_xlfn.XLOOKUP(_xlfn.CONCAT(E788,B788),'Year Wise Master Dep Approach'!F:F,'Year Wise Master Dep Approach'!D:D)</f>
        <v>WDV</v>
      </c>
      <c r="O788" s="113">
        <f>_xlfn.XLOOKUP(_xlfn.CONCAT(E788,B788),'Year Wise Master Dep Approach'!F:F,'Year Wise Master Dep Approach'!E:E)</f>
        <v>3</v>
      </c>
      <c r="P788" s="114">
        <f>IFERROR(IF('FA Addition'!$N788="WDV",1-('FA Addition'!$M788/'FA Addition'!$L788)^(1/'FA Addition'!$O788),1/'FA Addition'!$O788),0)</f>
        <v>0.63160567077364682</v>
      </c>
      <c r="Q788" s="122">
        <f>'FA Addition'!$P788*'FA Addition'!$O788</f>
        <v>1.8948170123209405</v>
      </c>
      <c r="R788" s="122"/>
      <c r="S788" s="116">
        <f>IF(AND(DATE(20&amp;LEFT(FAAddition[[#This Row],[FY]],2),4,1)&lt;$L$1+1,DATE(20&amp;LEFT(FAAddition[[#This Row],[FY]],2),4,1)&gt;$P$1-1),'FA Addition'!$J788,0)</f>
        <v>1</v>
      </c>
      <c r="U788" s="117">
        <f>S788*'FA Addition'!$L788/'FA Addition'!$J788</f>
        <v>33042.373333333329</v>
      </c>
      <c r="W788" s="116">
        <f>SUMIFS('FA Write off'!D:D,'FA Write off'!A:A,'FA Addition'!$A788,'FA Write off'!C:C,"&lt;"&amp;'FA Addition'!$P$1)</f>
        <v>0</v>
      </c>
      <c r="Y788" s="191">
        <f>IFERROR(W788/'FA Addition'!$J788*'FA Addition'!$L788,0)</f>
        <v>0</v>
      </c>
      <c r="AA788" s="116">
        <f>SUMIFS('FA Write off'!D:D,'FA Write off'!A:A,'FA Addition'!$A788,'FA Write off'!C:C,"&lt;"&amp;'FA Addition'!$L$1+1,'FA Write off'!C:C,"&gt;"&amp;'FA Addition'!$L$1-365)</f>
        <v>0</v>
      </c>
      <c r="AC788" s="118">
        <f>IFERROR(AA788/'FA Addition'!$J788*'FA Addition'!$L788,0)</f>
        <v>0</v>
      </c>
      <c r="AE788" s="117">
        <f>IF(AND('FA Addition'!$D788&lt;$P$1+1,U788=0),'FA Addition'!$L788,0)-Y788</f>
        <v>0</v>
      </c>
      <c r="AF788" s="117">
        <f t="shared" si="60"/>
        <v>33042.373333333329</v>
      </c>
      <c r="AG788" s="117">
        <f>MIN(MAX(+$P$1-'FA Addition'!$D788,0),365*'FA Addition'!$O788)</f>
        <v>0</v>
      </c>
      <c r="AH788" s="117">
        <f>MIN(MAX($L$1-'FA Addition'!$D788+1,0),365*'FA Addition'!$O788)</f>
        <v>209</v>
      </c>
      <c r="AI788" s="117" cm="1">
        <f t="array" ref="AI788">_xlfn.XLOOKUP(1,('FA Write off'!A:A='FA Addition'!$A788)*('FA Write off'!D:D=AA788),'FA Write off'!H:H,0,0)</f>
        <v>0</v>
      </c>
      <c r="AJ788" s="117">
        <f>IF(AC788&gt;0,MAX(IF('FA Addition'!$N788="SLM",($AC788-'FA Addition'!$M788)*'FA Addition'!$P788*AI788/365,(AC788-'FA Addition'!$M788)*(1-(1-'FA Addition'!$P788)^(AI788/365))),0),0)</f>
        <v>0</v>
      </c>
      <c r="AL788" s="117">
        <f>MAX(IF(AG788&gt;0,IF('FA Addition'!$N788="SLM",($AE788-'FA Addition'!$M788)*'FA Addition'!$P788*AG788/365,IFERROR(VDB(AE788,AE788*0.05,'FA Addition'!$O788,0,YEARFRAC('FA Addition'!$C788,$P$1-1,3),'FA Addition'!$Q788),FAAddition[[#This Row],[Original Cost (Rs)]]-FAAddition[[#This Row],[Salvage Value]])),0),0)</f>
        <v>0</v>
      </c>
      <c r="AM788" s="119"/>
      <c r="AN788" s="117">
        <f>MAX(IF(AH788&gt;0,IF('FA Addition'!$N788="SLM",($AF788-'FA Addition'!$M788)*'FA Addition'!$P788*AH788/365,IFERROR(VDB(AF788,AF788*0.05,'FA Addition'!$O788,0,YEARFRAC('FA Addition'!$C788,$L$1,3),'FA Addition'!$Q788),FAAddition[[#This Row],[Original Cost (Rs)]]-FAAddition[[#This Row],[Salvage Value]])),0),0)</f>
        <v>11892.898842783226</v>
      </c>
      <c r="AO788" s="117">
        <f t="shared" si="63"/>
        <v>11892.898842783226</v>
      </c>
      <c r="AQ788" s="117">
        <f t="shared" si="61"/>
        <v>0</v>
      </c>
      <c r="AR788" s="120">
        <f t="shared" si="62"/>
        <v>21149.474490550103</v>
      </c>
      <c r="AS788" s="121"/>
    </row>
    <row r="789" spans="1:45" ht="13.5" x14ac:dyDescent="0.4">
      <c r="A789" s="12">
        <f t="shared" si="64"/>
        <v>786</v>
      </c>
      <c r="B789" s="64" t="s">
        <v>1308</v>
      </c>
      <c r="C789" s="54">
        <v>45175</v>
      </c>
      <c r="D789" s="54">
        <v>45175</v>
      </c>
      <c r="E789" s="46" t="s">
        <v>1389</v>
      </c>
      <c r="F789" s="51" t="s">
        <v>1112</v>
      </c>
      <c r="G789" s="51" t="s">
        <v>36</v>
      </c>
      <c r="H789" s="51" t="s">
        <v>1113</v>
      </c>
      <c r="I789" s="55" t="s">
        <v>1545</v>
      </c>
      <c r="J789" s="56">
        <v>300</v>
      </c>
      <c r="K789" s="51" t="s">
        <v>1132</v>
      </c>
      <c r="L789" s="58">
        <v>219000</v>
      </c>
      <c r="M789" s="50">
        <f>ROUND('FA Addition'!$L789*5%,0.1)</f>
        <v>10950</v>
      </c>
      <c r="N789" s="113" t="str">
        <f>_xlfn.XLOOKUP(_xlfn.CONCAT(E789,B789),'Year Wise Master Dep Approach'!F:F,'Year Wise Master Dep Approach'!D:D)</f>
        <v>SLM</v>
      </c>
      <c r="O789" s="113">
        <f>_xlfn.XLOOKUP(_xlfn.CONCAT(E789,B789),'Year Wise Master Dep Approach'!F:F,'Year Wise Master Dep Approach'!E:E)</f>
        <v>3</v>
      </c>
      <c r="P789" s="114">
        <f>IFERROR(IF('FA Addition'!$N789="WDV",1-('FA Addition'!$M789/'FA Addition'!$L789)^(1/'FA Addition'!$O789),1/'FA Addition'!$O789),0)</f>
        <v>0.33333333333333331</v>
      </c>
      <c r="Q789" s="122">
        <f>'FA Addition'!$P789*'FA Addition'!$O789</f>
        <v>1</v>
      </c>
      <c r="R789" s="122"/>
      <c r="S789" s="116">
        <f>IF(AND(DATE(20&amp;LEFT(FAAddition[[#This Row],[FY]],2),4,1)&lt;$L$1+1,DATE(20&amp;LEFT(FAAddition[[#This Row],[FY]],2),4,1)&gt;$P$1-1),'FA Addition'!$J789,0)</f>
        <v>300</v>
      </c>
      <c r="U789" s="117">
        <f>S789*'FA Addition'!$L789/'FA Addition'!$J789</f>
        <v>219000</v>
      </c>
      <c r="W789" s="116">
        <f>SUMIFS('FA Write off'!D:D,'FA Write off'!A:A,'FA Addition'!$A789,'FA Write off'!C:C,"&lt;"&amp;'FA Addition'!$P$1)</f>
        <v>0</v>
      </c>
      <c r="Y789" s="191">
        <f>IFERROR(W789/'FA Addition'!$J789*'FA Addition'!$L789,0)</f>
        <v>0</v>
      </c>
      <c r="AA789" s="116">
        <f>SUMIFS('FA Write off'!D:D,'FA Write off'!A:A,'FA Addition'!$A789,'FA Write off'!C:C,"&lt;"&amp;'FA Addition'!$L$1+1,'FA Write off'!C:C,"&gt;"&amp;'FA Addition'!$L$1-365)</f>
        <v>0</v>
      </c>
      <c r="AC789" s="118">
        <f>IFERROR(AA789/'FA Addition'!$J789*'FA Addition'!$L789,0)</f>
        <v>0</v>
      </c>
      <c r="AE789" s="117">
        <f>IF(AND('FA Addition'!$D789&lt;$P$1+1,U789=0),'FA Addition'!$L789,0)-Y789</f>
        <v>0</v>
      </c>
      <c r="AF789" s="117">
        <f t="shared" si="60"/>
        <v>219000</v>
      </c>
      <c r="AG789" s="117">
        <f>MIN(MAX(+$P$1-'FA Addition'!$D789,0),365*'FA Addition'!$O789)</f>
        <v>0</v>
      </c>
      <c r="AH789" s="117">
        <f>MIN(MAX($L$1-'FA Addition'!$D789+1,0),365*'FA Addition'!$O789)</f>
        <v>208</v>
      </c>
      <c r="AI789" s="117" cm="1">
        <f t="array" ref="AI789">_xlfn.XLOOKUP(1,('FA Write off'!A:A='FA Addition'!$A789)*('FA Write off'!D:D=AA789),'FA Write off'!H:H,0,0)</f>
        <v>0</v>
      </c>
      <c r="AJ789" s="117">
        <f>IF(AC789&gt;0,MAX(IF('FA Addition'!$N789="SLM",($AC789-'FA Addition'!$M789)*'FA Addition'!$P789*AI789/365,(AC789-'FA Addition'!$M789)*(1-(1-'FA Addition'!$P789)^(AI789/365))),0),0)</f>
        <v>0</v>
      </c>
      <c r="AL789" s="117">
        <f>MAX(IF(AG789&gt;0,IF('FA Addition'!$N789="SLM",($AE789-'FA Addition'!$M789)*'FA Addition'!$P789*AG789/365,IFERROR(VDB(AE789,AE789*0.05,'FA Addition'!$O789,0,YEARFRAC('FA Addition'!$C789,$P$1-1,3),'FA Addition'!$Q789),FAAddition[[#This Row],[Original Cost (Rs)]]-FAAddition[[#This Row],[Salvage Value]])),0),0)</f>
        <v>0</v>
      </c>
      <c r="AM789" s="119"/>
      <c r="AN789" s="117">
        <f>MAX(IF(AH789&gt;0,IF('FA Addition'!$N789="SLM",($AF789-'FA Addition'!$M789)*'FA Addition'!$P789*AH789/365,IFERROR(VDB(AF789,AF789*0.05,'FA Addition'!$O789,0,YEARFRAC('FA Addition'!$C789,$L$1,3),'FA Addition'!$Q789),FAAddition[[#This Row],[Original Cost (Rs)]]-FAAddition[[#This Row],[Salvage Value]])),0),0)</f>
        <v>39520</v>
      </c>
      <c r="AO789" s="117">
        <f t="shared" si="63"/>
        <v>39520</v>
      </c>
      <c r="AQ789" s="117">
        <f t="shared" si="61"/>
        <v>0</v>
      </c>
      <c r="AR789" s="120">
        <f t="shared" si="62"/>
        <v>179480</v>
      </c>
      <c r="AS789" s="121"/>
    </row>
    <row r="790" spans="1:45" ht="13.5" x14ac:dyDescent="0.4">
      <c r="A790" s="12">
        <f t="shared" si="64"/>
        <v>787</v>
      </c>
      <c r="B790" s="64" t="s">
        <v>1308</v>
      </c>
      <c r="C790" s="54">
        <v>45176</v>
      </c>
      <c r="D790" s="54">
        <v>45176</v>
      </c>
      <c r="E790" s="46" t="s">
        <v>32</v>
      </c>
      <c r="F790" s="51" t="s">
        <v>1090</v>
      </c>
      <c r="G790" s="51" t="s">
        <v>433</v>
      </c>
      <c r="H790" s="51" t="s">
        <v>32</v>
      </c>
      <c r="I790" s="55" t="s">
        <v>1546</v>
      </c>
      <c r="J790" s="56">
        <v>1100</v>
      </c>
      <c r="K790" s="51" t="s">
        <v>935</v>
      </c>
      <c r="L790" s="58">
        <v>1089000</v>
      </c>
      <c r="M790" s="50">
        <f>ROUND('FA Addition'!$L790*5%,0.1)</f>
        <v>54450</v>
      </c>
      <c r="N790" s="113" t="str">
        <f>_xlfn.XLOOKUP(_xlfn.CONCAT(E790,B790),'Year Wise Master Dep Approach'!F:F,'Year Wise Master Dep Approach'!D:D)</f>
        <v>SLM</v>
      </c>
      <c r="O790" s="113">
        <f>_xlfn.XLOOKUP(_xlfn.CONCAT(E790,B790),'Year Wise Master Dep Approach'!F:F,'Year Wise Master Dep Approach'!E:E)</f>
        <v>5</v>
      </c>
      <c r="P790" s="114">
        <f>IFERROR(IF('FA Addition'!$N790="WDV",1-('FA Addition'!$M790/'FA Addition'!$L790)^(1/'FA Addition'!$O790),1/'FA Addition'!$O790),0)</f>
        <v>0.2</v>
      </c>
      <c r="Q790" s="122">
        <f>'FA Addition'!$P790*'FA Addition'!$O790</f>
        <v>1</v>
      </c>
      <c r="R790" s="122"/>
      <c r="S790" s="116">
        <f>IF(AND(DATE(20&amp;LEFT(FAAddition[[#This Row],[FY]],2),4,1)&lt;$L$1+1,DATE(20&amp;LEFT(FAAddition[[#This Row],[FY]],2),4,1)&gt;$P$1-1),'FA Addition'!$J790,0)</f>
        <v>1100</v>
      </c>
      <c r="U790" s="117">
        <f>S790*'FA Addition'!$L790/'FA Addition'!$J790</f>
        <v>1089000</v>
      </c>
      <c r="W790" s="116">
        <f>SUMIFS('FA Write off'!D:D,'FA Write off'!A:A,'FA Addition'!$A790,'FA Write off'!C:C,"&lt;"&amp;'FA Addition'!$P$1)</f>
        <v>18</v>
      </c>
      <c r="Y790" s="191">
        <f>IFERROR(W790/'FA Addition'!$J790*'FA Addition'!$L790,0)</f>
        <v>17820</v>
      </c>
      <c r="AA790" s="116">
        <f>SUMIFS('FA Write off'!D:D,'FA Write off'!A:A,'FA Addition'!$A790,'FA Write off'!C:C,"&lt;"&amp;'FA Addition'!$L$1+1,'FA Write off'!C:C,"&gt;"&amp;'FA Addition'!$L$1-365)</f>
        <v>0</v>
      </c>
      <c r="AC790" s="118">
        <f>IFERROR(AA790/'FA Addition'!$J790*'FA Addition'!$L790,0)</f>
        <v>0</v>
      </c>
      <c r="AE790" s="117">
        <f>IF(AND('FA Addition'!$D790&lt;$P$1+1,U790=0),'FA Addition'!$L790,0)-Y790</f>
        <v>-17820</v>
      </c>
      <c r="AF790" s="117">
        <f t="shared" si="60"/>
        <v>1071180</v>
      </c>
      <c r="AG790" s="117">
        <f>MIN(MAX(+$P$1-'FA Addition'!$D790,0),365*'FA Addition'!$O790)</f>
        <v>0</v>
      </c>
      <c r="AH790" s="117">
        <f>MIN(MAX($L$1-'FA Addition'!$D790+1,0),365*'FA Addition'!$O790)</f>
        <v>207</v>
      </c>
      <c r="AI790" s="117" cm="1">
        <f t="array" ref="AI790">_xlfn.XLOOKUP(1,('FA Write off'!A:A='FA Addition'!$A790)*('FA Write off'!D:D=AA790),'FA Write off'!H:H,0,0)</f>
        <v>0</v>
      </c>
      <c r="AJ790" s="117">
        <f>IF(AC790&gt;0,MAX(IF('FA Addition'!$N790="SLM",($AC790-'FA Addition'!$M790)*'FA Addition'!$P790*AI790/365,(AC790-'FA Addition'!$M790)*(1-(1-'FA Addition'!$P790)^(AI790/365))),0),0)</f>
        <v>0</v>
      </c>
      <c r="AL790" s="117">
        <f>MAX(IF(AG790&gt;0,IF('FA Addition'!$N790="SLM",($AE790-'FA Addition'!$M790)*'FA Addition'!$P790*AG790/365,IFERROR(VDB(AE790,AE790*0.05,'FA Addition'!$O790,0,YEARFRAC('FA Addition'!$C790,$P$1-1,3),'FA Addition'!$Q790),FAAddition[[#This Row],[Original Cost (Rs)]]-FAAddition[[#This Row],[Salvage Value]])),0),0)</f>
        <v>0</v>
      </c>
      <c r="AM790" s="119"/>
      <c r="AN790" s="117">
        <f>MAX(IF(AH790&gt;0,IF('FA Addition'!$N790="SLM",($AF790-'FA Addition'!$M790)*'FA Addition'!$P790*AH790/365,IFERROR(VDB(AF790,AF790*0.05,'FA Addition'!$O790,0,YEARFRAC('FA Addition'!$C790,$L$1,3),'FA Addition'!$Q790),FAAddition[[#This Row],[Original Cost (Rs)]]-FAAddition[[#This Row],[Salvage Value]])),0),0)</f>
        <v>115322.25205479452</v>
      </c>
      <c r="AO790" s="117">
        <f t="shared" si="63"/>
        <v>115322.25205479452</v>
      </c>
      <c r="AQ790" s="117">
        <f t="shared" si="61"/>
        <v>-17820</v>
      </c>
      <c r="AR790" s="120">
        <f t="shared" si="62"/>
        <v>955857.74794520554</v>
      </c>
      <c r="AS790" s="121"/>
    </row>
    <row r="791" spans="1:45" ht="13.5" x14ac:dyDescent="0.4">
      <c r="A791" s="12">
        <f t="shared" si="64"/>
        <v>788</v>
      </c>
      <c r="B791" s="64" t="s">
        <v>1308</v>
      </c>
      <c r="C791" s="54">
        <v>45176</v>
      </c>
      <c r="D791" s="54">
        <v>45176</v>
      </c>
      <c r="E791" s="46" t="s">
        <v>32</v>
      </c>
      <c r="F791" s="51" t="s">
        <v>1090</v>
      </c>
      <c r="G791" s="51" t="s">
        <v>433</v>
      </c>
      <c r="H791" s="51" t="s">
        <v>32</v>
      </c>
      <c r="I791" s="55" t="s">
        <v>1547</v>
      </c>
      <c r="J791" s="56">
        <v>1000</v>
      </c>
      <c r="K791" s="51" t="s">
        <v>935</v>
      </c>
      <c r="L791" s="58">
        <v>990000</v>
      </c>
      <c r="M791" s="50">
        <f>ROUND('FA Addition'!$L791*5%,0.1)</f>
        <v>49500</v>
      </c>
      <c r="N791" s="113" t="str">
        <f>_xlfn.XLOOKUP(_xlfn.CONCAT(E791,B791),'Year Wise Master Dep Approach'!F:F,'Year Wise Master Dep Approach'!D:D)</f>
        <v>SLM</v>
      </c>
      <c r="O791" s="113">
        <f>_xlfn.XLOOKUP(_xlfn.CONCAT(E791,B791),'Year Wise Master Dep Approach'!F:F,'Year Wise Master Dep Approach'!E:E)</f>
        <v>5</v>
      </c>
      <c r="P791" s="114">
        <f>IFERROR(IF('FA Addition'!$N791="WDV",1-('FA Addition'!$M791/'FA Addition'!$L791)^(1/'FA Addition'!$O791),1/'FA Addition'!$O791),0)</f>
        <v>0.2</v>
      </c>
      <c r="Q791" s="122">
        <f>'FA Addition'!$P791*'FA Addition'!$O791</f>
        <v>1</v>
      </c>
      <c r="R791" s="122"/>
      <c r="S791" s="116">
        <f>IF(AND(DATE(20&amp;LEFT(FAAddition[[#This Row],[FY]],2),4,1)&lt;$L$1+1,DATE(20&amp;LEFT(FAAddition[[#This Row],[FY]],2),4,1)&gt;$P$1-1),'FA Addition'!$J791,0)</f>
        <v>1000</v>
      </c>
      <c r="U791" s="117">
        <f>S791*'FA Addition'!$L791/'FA Addition'!$J791</f>
        <v>990000</v>
      </c>
      <c r="W791" s="116">
        <f>SUMIFS('FA Write off'!D:D,'FA Write off'!A:A,'FA Addition'!$A791,'FA Write off'!C:C,"&lt;"&amp;'FA Addition'!$P$1)</f>
        <v>33</v>
      </c>
      <c r="Y791" s="191">
        <f>IFERROR(W791/'FA Addition'!$J791*'FA Addition'!$L791,0)</f>
        <v>32670</v>
      </c>
      <c r="AA791" s="116">
        <f>SUMIFS('FA Write off'!D:D,'FA Write off'!A:A,'FA Addition'!$A791,'FA Write off'!C:C,"&lt;"&amp;'FA Addition'!$L$1+1,'FA Write off'!C:C,"&gt;"&amp;'FA Addition'!$L$1-365)</f>
        <v>0</v>
      </c>
      <c r="AC791" s="118">
        <f>IFERROR(AA791/'FA Addition'!$J791*'FA Addition'!$L791,0)</f>
        <v>0</v>
      </c>
      <c r="AE791" s="117">
        <f>IF(AND('FA Addition'!$D791&lt;$P$1+1,U791=0),'FA Addition'!$L791,0)-Y791</f>
        <v>-32670</v>
      </c>
      <c r="AF791" s="117">
        <f t="shared" si="60"/>
        <v>957330</v>
      </c>
      <c r="AG791" s="117">
        <f>MIN(MAX(+$P$1-'FA Addition'!$D791,0),365*'FA Addition'!$O791)</f>
        <v>0</v>
      </c>
      <c r="AH791" s="117">
        <f>MIN(MAX($L$1-'FA Addition'!$D791+1,0),365*'FA Addition'!$O791)</f>
        <v>207</v>
      </c>
      <c r="AI791" s="117" cm="1">
        <f t="array" ref="AI791">_xlfn.XLOOKUP(1,('FA Write off'!A:A='FA Addition'!$A791)*('FA Write off'!D:D=AA791),'FA Write off'!H:H,0,0)</f>
        <v>0</v>
      </c>
      <c r="AJ791" s="117">
        <f>IF(AC791&gt;0,MAX(IF('FA Addition'!$N791="SLM",($AC791-'FA Addition'!$M791)*'FA Addition'!$P791*AI791/365,(AC791-'FA Addition'!$M791)*(1-(1-'FA Addition'!$P791)^(AI791/365))),0),0)</f>
        <v>0</v>
      </c>
      <c r="AL791" s="117">
        <f>MAX(IF(AG791&gt;0,IF('FA Addition'!$N791="SLM",($AE791-'FA Addition'!$M791)*'FA Addition'!$P791*AG791/365,IFERROR(VDB(AE791,AE791*0.05,'FA Addition'!$O791,0,YEARFRAC('FA Addition'!$C791,$P$1-1,3),'FA Addition'!$Q791),FAAddition[[#This Row],[Original Cost (Rs)]]-FAAddition[[#This Row],[Salvage Value]])),0),0)</f>
        <v>0</v>
      </c>
      <c r="AM791" s="119"/>
      <c r="AN791" s="117">
        <f>MAX(IF(AH791&gt;0,IF('FA Addition'!$N791="SLM",($AF791-'FA Addition'!$M791)*'FA Addition'!$P791*AH791/365,IFERROR(VDB(AF791,AF791*0.05,'FA Addition'!$O791,0,YEARFRAC('FA Addition'!$C791,$L$1,3),'FA Addition'!$Q791),FAAddition[[#This Row],[Original Cost (Rs)]]-FAAddition[[#This Row],[Salvage Value]])),0),0)</f>
        <v>102970.30684931506</v>
      </c>
      <c r="AO791" s="117">
        <f t="shared" si="63"/>
        <v>102970.30684931506</v>
      </c>
      <c r="AQ791" s="117">
        <f t="shared" si="61"/>
        <v>-32670</v>
      </c>
      <c r="AR791" s="120">
        <f t="shared" si="62"/>
        <v>854359.69315068494</v>
      </c>
      <c r="AS791" s="121"/>
    </row>
    <row r="792" spans="1:45" ht="13.5" x14ac:dyDescent="0.4">
      <c r="A792" s="12">
        <f t="shared" si="64"/>
        <v>789</v>
      </c>
      <c r="B792" s="64" t="s">
        <v>1308</v>
      </c>
      <c r="C792" s="54">
        <v>45177</v>
      </c>
      <c r="D792" s="54">
        <v>45177</v>
      </c>
      <c r="E792" s="46" t="s">
        <v>451</v>
      </c>
      <c r="F792" s="51" t="s">
        <v>19</v>
      </c>
      <c r="G792" s="51" t="s">
        <v>1537</v>
      </c>
      <c r="H792" s="51" t="s">
        <v>21</v>
      </c>
      <c r="I792" s="55" t="s">
        <v>1548</v>
      </c>
      <c r="J792" s="56">
        <v>1</v>
      </c>
      <c r="K792" s="51" t="s">
        <v>1539</v>
      </c>
      <c r="L792" s="58">
        <v>33042.375</v>
      </c>
      <c r="M792" s="50">
        <f>ROUND('FA Addition'!$L792*5%,0.1)</f>
        <v>1652</v>
      </c>
      <c r="N792" s="113" t="str">
        <f>_xlfn.XLOOKUP(_xlfn.CONCAT(E792,B792),'Year Wise Master Dep Approach'!F:F,'Year Wise Master Dep Approach'!D:D)</f>
        <v>WDV</v>
      </c>
      <c r="O792" s="113">
        <f>_xlfn.XLOOKUP(_xlfn.CONCAT(E792,B792),'Year Wise Master Dep Approach'!F:F,'Year Wise Master Dep Approach'!E:E)</f>
        <v>3</v>
      </c>
      <c r="P792" s="114">
        <f>IFERROR(IF('FA Addition'!$N792="WDV",1-('FA Addition'!$M792/'FA Addition'!$L792)^(1/'FA Addition'!$O792),1/'FA Addition'!$O792),0)</f>
        <v>0.63160567696761793</v>
      </c>
      <c r="Q792" s="122">
        <f>'FA Addition'!$P792*'FA Addition'!$O792</f>
        <v>1.8948170309028538</v>
      </c>
      <c r="R792" s="122"/>
      <c r="S792" s="116">
        <f>IF(AND(DATE(20&amp;LEFT(FAAddition[[#This Row],[FY]],2),4,1)&lt;$L$1+1,DATE(20&amp;LEFT(FAAddition[[#This Row],[FY]],2),4,1)&gt;$P$1-1),'FA Addition'!$J792,0)</f>
        <v>1</v>
      </c>
      <c r="U792" s="117">
        <f>S792*'FA Addition'!$L792/'FA Addition'!$J792</f>
        <v>33042.375</v>
      </c>
      <c r="W792" s="116">
        <f>SUMIFS('FA Write off'!D:D,'FA Write off'!A:A,'FA Addition'!$A792,'FA Write off'!C:C,"&lt;"&amp;'FA Addition'!$P$1)</f>
        <v>0</v>
      </c>
      <c r="Y792" s="191">
        <f>IFERROR(W792/'FA Addition'!$J792*'FA Addition'!$L792,0)</f>
        <v>0</v>
      </c>
      <c r="AA792" s="116">
        <f>SUMIFS('FA Write off'!D:D,'FA Write off'!A:A,'FA Addition'!$A792,'FA Write off'!C:C,"&lt;"&amp;'FA Addition'!$L$1+1,'FA Write off'!C:C,"&gt;"&amp;'FA Addition'!$L$1-365)</f>
        <v>0</v>
      </c>
      <c r="AC792" s="118">
        <f>IFERROR(AA792/'FA Addition'!$J792*'FA Addition'!$L792,0)</f>
        <v>0</v>
      </c>
      <c r="AE792" s="117">
        <f>IF(AND('FA Addition'!$D792&lt;$P$1+1,U792=0),'FA Addition'!$L792,0)-Y792</f>
        <v>0</v>
      </c>
      <c r="AF792" s="117">
        <f t="shared" si="60"/>
        <v>33042.375</v>
      </c>
      <c r="AG792" s="117">
        <f>MIN(MAX(+$P$1-'FA Addition'!$D792,0),365*'FA Addition'!$O792)</f>
        <v>0</v>
      </c>
      <c r="AH792" s="117">
        <f>MIN(MAX($L$1-'FA Addition'!$D792+1,0),365*'FA Addition'!$O792)</f>
        <v>206</v>
      </c>
      <c r="AI792" s="117" cm="1">
        <f t="array" ref="AI792">_xlfn.XLOOKUP(1,('FA Write off'!A:A='FA Addition'!$A792)*('FA Write off'!D:D=AA792),'FA Write off'!H:H,0,0)</f>
        <v>0</v>
      </c>
      <c r="AJ792" s="117">
        <f>IF(AC792&gt;0,MAX(IF('FA Addition'!$N792="SLM",($AC792-'FA Addition'!$M792)*'FA Addition'!$P792*AI792/365,(AC792-'FA Addition'!$M792)*(1-(1-'FA Addition'!$P792)^(AI792/365))),0),0)</f>
        <v>0</v>
      </c>
      <c r="AL792" s="117">
        <f>MAX(IF(AG792&gt;0,IF('FA Addition'!$N792="SLM",($AE792-'FA Addition'!$M792)*'FA Addition'!$P792*AG792/365,IFERROR(VDB(AE792,AE792*0.05,'FA Addition'!$O792,0,YEARFRAC('FA Addition'!$C792,$P$1-1,3),'FA Addition'!$Q792),FAAddition[[#This Row],[Original Cost (Rs)]]-FAAddition[[#This Row],[Salvage Value]])),0),0)</f>
        <v>0</v>
      </c>
      <c r="AM792" s="119"/>
      <c r="AN792" s="117">
        <f>MAX(IF(AH792&gt;0,IF('FA Addition'!$N792="SLM",($AF792-'FA Addition'!$M792)*'FA Addition'!$P792*AH792/365,IFERROR(VDB(AF792,AF792*0.05,'FA Addition'!$O792,0,YEARFRAC('FA Addition'!$C792,$L$1,3),'FA Addition'!$Q792),FAAddition[[#This Row],[Original Cost (Rs)]]-FAAddition[[#This Row],[Salvage Value]])),0),0)</f>
        <v>11721.367354112448</v>
      </c>
      <c r="AO792" s="117">
        <f t="shared" si="63"/>
        <v>11721.367354112448</v>
      </c>
      <c r="AQ792" s="117">
        <f t="shared" si="61"/>
        <v>0</v>
      </c>
      <c r="AR792" s="120">
        <f t="shared" si="62"/>
        <v>21321.007645887552</v>
      </c>
      <c r="AS792" s="121"/>
    </row>
    <row r="793" spans="1:45" ht="13.5" x14ac:dyDescent="0.4">
      <c r="A793" s="12">
        <f t="shared" si="64"/>
        <v>790</v>
      </c>
      <c r="B793" s="64" t="s">
        <v>1308</v>
      </c>
      <c r="C793" s="54">
        <v>45177</v>
      </c>
      <c r="D793" s="54">
        <v>45177</v>
      </c>
      <c r="E793" s="46" t="s">
        <v>451</v>
      </c>
      <c r="F793" s="51" t="s">
        <v>19</v>
      </c>
      <c r="G793" s="51" t="s">
        <v>1537</v>
      </c>
      <c r="H793" s="51" t="s">
        <v>21</v>
      </c>
      <c r="I793" s="55" t="s">
        <v>1548</v>
      </c>
      <c r="J793" s="56">
        <v>1</v>
      </c>
      <c r="K793" s="51" t="s">
        <v>1539</v>
      </c>
      <c r="L793" s="58">
        <v>33042.375</v>
      </c>
      <c r="M793" s="50">
        <f>ROUND('FA Addition'!$L793*5%,0.1)</f>
        <v>1652</v>
      </c>
      <c r="N793" s="113" t="str">
        <f>_xlfn.XLOOKUP(_xlfn.CONCAT(E793,B793),'Year Wise Master Dep Approach'!F:F,'Year Wise Master Dep Approach'!D:D)</f>
        <v>WDV</v>
      </c>
      <c r="O793" s="113">
        <f>_xlfn.XLOOKUP(_xlfn.CONCAT(E793,B793),'Year Wise Master Dep Approach'!F:F,'Year Wise Master Dep Approach'!E:E)</f>
        <v>3</v>
      </c>
      <c r="P793" s="114">
        <f>IFERROR(IF('FA Addition'!$N793="WDV",1-('FA Addition'!$M793/'FA Addition'!$L793)^(1/'FA Addition'!$O793),1/'FA Addition'!$O793),0)</f>
        <v>0.63160567696761793</v>
      </c>
      <c r="Q793" s="122">
        <f>'FA Addition'!$P793*'FA Addition'!$O793</f>
        <v>1.8948170309028538</v>
      </c>
      <c r="R793" s="122"/>
      <c r="S793" s="116">
        <f>IF(AND(DATE(20&amp;LEFT(FAAddition[[#This Row],[FY]],2),4,1)&lt;$L$1+1,DATE(20&amp;LEFT(FAAddition[[#This Row],[FY]],2),4,1)&gt;$P$1-1),'FA Addition'!$J793,0)</f>
        <v>1</v>
      </c>
      <c r="U793" s="117">
        <f>S793*'FA Addition'!$L793/'FA Addition'!$J793</f>
        <v>33042.375</v>
      </c>
      <c r="W793" s="116">
        <f>SUMIFS('FA Write off'!D:D,'FA Write off'!A:A,'FA Addition'!$A793,'FA Write off'!C:C,"&lt;"&amp;'FA Addition'!$P$1)</f>
        <v>0</v>
      </c>
      <c r="Y793" s="191">
        <f>IFERROR(W793/'FA Addition'!$J793*'FA Addition'!$L793,0)</f>
        <v>0</v>
      </c>
      <c r="AA793" s="116">
        <f>SUMIFS('FA Write off'!D:D,'FA Write off'!A:A,'FA Addition'!$A793,'FA Write off'!C:C,"&lt;"&amp;'FA Addition'!$L$1+1,'FA Write off'!C:C,"&gt;"&amp;'FA Addition'!$L$1-365)</f>
        <v>0</v>
      </c>
      <c r="AC793" s="118">
        <f>IFERROR(AA793/'FA Addition'!$J793*'FA Addition'!$L793,0)</f>
        <v>0</v>
      </c>
      <c r="AE793" s="117">
        <f>IF(AND('FA Addition'!$D793&lt;$P$1+1,U793=0),'FA Addition'!$L793,0)-Y793</f>
        <v>0</v>
      </c>
      <c r="AF793" s="117">
        <f t="shared" si="60"/>
        <v>33042.375</v>
      </c>
      <c r="AG793" s="117">
        <f>MIN(MAX(+$P$1-'FA Addition'!$D793,0),365*'FA Addition'!$O793)</f>
        <v>0</v>
      </c>
      <c r="AH793" s="117">
        <f>MIN(MAX($L$1-'FA Addition'!$D793+1,0),365*'FA Addition'!$O793)</f>
        <v>206</v>
      </c>
      <c r="AI793" s="117" cm="1">
        <f t="array" ref="AI793">_xlfn.XLOOKUP(1,('FA Write off'!A:A='FA Addition'!$A793)*('FA Write off'!D:D=AA793),'FA Write off'!H:H,0,0)</f>
        <v>0</v>
      </c>
      <c r="AJ793" s="117">
        <f>IF(AC793&gt;0,MAX(IF('FA Addition'!$N793="SLM",($AC793-'FA Addition'!$M793)*'FA Addition'!$P793*AI793/365,(AC793-'FA Addition'!$M793)*(1-(1-'FA Addition'!$P793)^(AI793/365))),0),0)</f>
        <v>0</v>
      </c>
      <c r="AL793" s="117">
        <f>MAX(IF(AG793&gt;0,IF('FA Addition'!$N793="SLM",($AE793-'FA Addition'!$M793)*'FA Addition'!$P793*AG793/365,IFERROR(VDB(AE793,AE793*0.05,'FA Addition'!$O793,0,YEARFRAC('FA Addition'!$C793,$P$1-1,3),'FA Addition'!$Q793),FAAddition[[#This Row],[Original Cost (Rs)]]-FAAddition[[#This Row],[Salvage Value]])),0),0)</f>
        <v>0</v>
      </c>
      <c r="AM793" s="119"/>
      <c r="AN793" s="117">
        <f>MAX(IF(AH793&gt;0,IF('FA Addition'!$N793="SLM",($AF793-'FA Addition'!$M793)*'FA Addition'!$P793*AH793/365,IFERROR(VDB(AF793,AF793*0.05,'FA Addition'!$O793,0,YEARFRAC('FA Addition'!$C793,$L$1,3),'FA Addition'!$Q793),FAAddition[[#This Row],[Original Cost (Rs)]]-FAAddition[[#This Row],[Salvage Value]])),0),0)</f>
        <v>11721.367354112448</v>
      </c>
      <c r="AO793" s="117">
        <f t="shared" si="63"/>
        <v>11721.367354112448</v>
      </c>
      <c r="AQ793" s="117">
        <f t="shared" si="61"/>
        <v>0</v>
      </c>
      <c r="AR793" s="120">
        <f t="shared" si="62"/>
        <v>21321.007645887552</v>
      </c>
      <c r="AS793" s="121"/>
    </row>
    <row r="794" spans="1:45" ht="13.5" x14ac:dyDescent="0.4">
      <c r="A794" s="12">
        <f t="shared" si="64"/>
        <v>791</v>
      </c>
      <c r="B794" s="64" t="s">
        <v>1308</v>
      </c>
      <c r="C794" s="54">
        <v>45180</v>
      </c>
      <c r="D794" s="54">
        <v>45180</v>
      </c>
      <c r="E794" s="46" t="s">
        <v>451</v>
      </c>
      <c r="F794" s="51" t="s">
        <v>19</v>
      </c>
      <c r="G794" s="51" t="s">
        <v>1290</v>
      </c>
      <c r="H794" s="51" t="s">
        <v>21</v>
      </c>
      <c r="I794" s="55" t="s">
        <v>1549</v>
      </c>
      <c r="J794" s="56">
        <v>1</v>
      </c>
      <c r="K794" s="51" t="s">
        <v>1550</v>
      </c>
      <c r="L794" s="58">
        <v>96610</v>
      </c>
      <c r="M794" s="50">
        <f>ROUND('FA Addition'!$L794*5%,0.1)</f>
        <v>4831</v>
      </c>
      <c r="N794" s="113" t="str">
        <f>_xlfn.XLOOKUP(_xlfn.CONCAT(E794,B794),'Year Wise Master Dep Approach'!F:F,'Year Wise Master Dep Approach'!D:D)</f>
        <v>WDV</v>
      </c>
      <c r="O794" s="113">
        <f>_xlfn.XLOOKUP(_xlfn.CONCAT(E794,B794),'Year Wise Master Dep Approach'!F:F,'Year Wise Master Dep Approach'!E:E)</f>
        <v>3</v>
      </c>
      <c r="P794" s="114">
        <f>IFERROR(IF('FA Addition'!$N794="WDV",1-('FA Addition'!$M794/'FA Addition'!$L794)^(1/'FA Addition'!$O794),1/'FA Addition'!$O794),0)</f>
        <v>0.6315841395663313</v>
      </c>
      <c r="Q794" s="122">
        <f>'FA Addition'!$P794*'FA Addition'!$O794</f>
        <v>1.8947524186989939</v>
      </c>
      <c r="R794" s="122"/>
      <c r="S794" s="116">
        <f>IF(AND(DATE(20&amp;LEFT(FAAddition[[#This Row],[FY]],2),4,1)&lt;$L$1+1,DATE(20&amp;LEFT(FAAddition[[#This Row],[FY]],2),4,1)&gt;$P$1-1),'FA Addition'!$J794,0)</f>
        <v>1</v>
      </c>
      <c r="U794" s="117">
        <f>S794*'FA Addition'!$L794/'FA Addition'!$J794</f>
        <v>96610</v>
      </c>
      <c r="W794" s="116">
        <f>SUMIFS('FA Write off'!D:D,'FA Write off'!A:A,'FA Addition'!$A794,'FA Write off'!C:C,"&lt;"&amp;'FA Addition'!$P$1)</f>
        <v>0</v>
      </c>
      <c r="Y794" s="191">
        <f>IFERROR(W794/'FA Addition'!$J794*'FA Addition'!$L794,0)</f>
        <v>0</v>
      </c>
      <c r="AA794" s="116">
        <f>SUMIFS('FA Write off'!D:D,'FA Write off'!A:A,'FA Addition'!$A794,'FA Write off'!C:C,"&lt;"&amp;'FA Addition'!$L$1+1,'FA Write off'!C:C,"&gt;"&amp;'FA Addition'!$L$1-365)</f>
        <v>0</v>
      </c>
      <c r="AC794" s="118">
        <f>IFERROR(AA794/'FA Addition'!$J794*'FA Addition'!$L794,0)</f>
        <v>0</v>
      </c>
      <c r="AE794" s="117">
        <f>IF(AND('FA Addition'!$D794&lt;$P$1+1,U794=0),'FA Addition'!$L794,0)-Y794</f>
        <v>0</v>
      </c>
      <c r="AF794" s="117">
        <f t="shared" si="60"/>
        <v>96610</v>
      </c>
      <c r="AG794" s="117">
        <f>MIN(MAX(+$P$1-'FA Addition'!$D794,0),365*'FA Addition'!$O794)</f>
        <v>0</v>
      </c>
      <c r="AH794" s="117">
        <f>MIN(MAX($L$1-'FA Addition'!$D794+1,0),365*'FA Addition'!$O794)</f>
        <v>203</v>
      </c>
      <c r="AI794" s="117" cm="1">
        <f t="array" ref="AI794">_xlfn.XLOOKUP(1,('FA Write off'!A:A='FA Addition'!$A794)*('FA Write off'!D:D=AA794),'FA Write off'!H:H,0,0)</f>
        <v>0</v>
      </c>
      <c r="AJ794" s="117">
        <f>IF(AC794&gt;0,MAX(IF('FA Addition'!$N794="SLM",($AC794-'FA Addition'!$M794)*'FA Addition'!$P794*AI794/365,(AC794-'FA Addition'!$M794)*(1-(1-'FA Addition'!$P794)^(AI794/365))),0),0)</f>
        <v>0</v>
      </c>
      <c r="AL794" s="117">
        <f>MAX(IF(AG794&gt;0,IF('FA Addition'!$N794="SLM",($AE794-'FA Addition'!$M794)*'FA Addition'!$P794*AG794/365,IFERROR(VDB(AE794,AE794*0.05,'FA Addition'!$O794,0,YEARFRAC('FA Addition'!$C794,$P$1-1,3),'FA Addition'!$Q794),FAAddition[[#This Row],[Original Cost (Rs)]]-FAAddition[[#This Row],[Salvage Value]])),0),0)</f>
        <v>0</v>
      </c>
      <c r="AM794" s="119"/>
      <c r="AN794" s="117">
        <f>MAX(IF(AH794&gt;0,IF('FA Addition'!$N794="SLM",($AF794-'FA Addition'!$M794)*'FA Addition'!$P794*AH794/365,IFERROR(VDB(AF794,AF794*0.05,'FA Addition'!$O794,0,YEARFRAC('FA Addition'!$C794,$L$1,3),'FA Addition'!$Q794),FAAddition[[#This Row],[Original Cost (Rs)]]-FAAddition[[#This Row],[Salvage Value]])),0),0)</f>
        <v>33768.502553829203</v>
      </c>
      <c r="AO794" s="117">
        <f t="shared" si="63"/>
        <v>33768.502553829203</v>
      </c>
      <c r="AQ794" s="117">
        <f t="shared" si="61"/>
        <v>0</v>
      </c>
      <c r="AR794" s="120">
        <f t="shared" si="62"/>
        <v>62841.497446170797</v>
      </c>
      <c r="AS794" s="121"/>
    </row>
    <row r="795" spans="1:45" ht="13.5" x14ac:dyDescent="0.4">
      <c r="A795" s="12">
        <f t="shared" si="64"/>
        <v>792</v>
      </c>
      <c r="B795" s="64" t="s">
        <v>1308</v>
      </c>
      <c r="C795" s="54">
        <v>45180</v>
      </c>
      <c r="D795" s="54">
        <v>45180</v>
      </c>
      <c r="E795" s="46" t="s">
        <v>451</v>
      </c>
      <c r="F795" s="51" t="s">
        <v>19</v>
      </c>
      <c r="G795" s="51" t="s">
        <v>1290</v>
      </c>
      <c r="H795" s="51" t="s">
        <v>21</v>
      </c>
      <c r="I795" s="55" t="s">
        <v>1549</v>
      </c>
      <c r="J795" s="56">
        <v>1</v>
      </c>
      <c r="K795" s="51" t="s">
        <v>1503</v>
      </c>
      <c r="L795" s="58">
        <v>63550.84</v>
      </c>
      <c r="M795" s="50">
        <f>ROUND('FA Addition'!$L795*5%,0.1)</f>
        <v>3178</v>
      </c>
      <c r="N795" s="113" t="str">
        <f>_xlfn.XLOOKUP(_xlfn.CONCAT(E795,B795),'Year Wise Master Dep Approach'!F:F,'Year Wise Master Dep Approach'!D:D)</f>
        <v>WDV</v>
      </c>
      <c r="O795" s="113">
        <f>_xlfn.XLOOKUP(_xlfn.CONCAT(E795,B795),'Year Wise Master Dep Approach'!F:F,'Year Wise Master Dep Approach'!E:E)</f>
        <v>3</v>
      </c>
      <c r="P795" s="114">
        <f>IFERROR(IF('FA Addition'!$N795="WDV",1-('FA Addition'!$M795/'FA Addition'!$L795)^(1/'FA Addition'!$O795),1/'FA Addition'!$O795),0)</f>
        <v>0.63157915086436178</v>
      </c>
      <c r="Q795" s="122">
        <f>'FA Addition'!$P795*'FA Addition'!$O795</f>
        <v>1.8947374525930853</v>
      </c>
      <c r="R795" s="122"/>
      <c r="S795" s="116">
        <f>IF(AND(DATE(20&amp;LEFT(FAAddition[[#This Row],[FY]],2),4,1)&lt;$L$1+1,DATE(20&amp;LEFT(FAAddition[[#This Row],[FY]],2),4,1)&gt;$P$1-1),'FA Addition'!$J795,0)</f>
        <v>1</v>
      </c>
      <c r="U795" s="117">
        <f>S795*'FA Addition'!$L795/'FA Addition'!$J795</f>
        <v>63550.84</v>
      </c>
      <c r="W795" s="116">
        <f>SUMIFS('FA Write off'!D:D,'FA Write off'!A:A,'FA Addition'!$A795,'FA Write off'!C:C,"&lt;"&amp;'FA Addition'!$P$1)</f>
        <v>0</v>
      </c>
      <c r="Y795" s="191">
        <f>IFERROR(W795/'FA Addition'!$J795*'FA Addition'!$L795,0)</f>
        <v>0</v>
      </c>
      <c r="AA795" s="116">
        <f>SUMIFS('FA Write off'!D:D,'FA Write off'!A:A,'FA Addition'!$A795,'FA Write off'!C:C,"&lt;"&amp;'FA Addition'!$L$1+1,'FA Write off'!C:C,"&gt;"&amp;'FA Addition'!$L$1-365)</f>
        <v>0</v>
      </c>
      <c r="AC795" s="118">
        <f>IFERROR(AA795/'FA Addition'!$J795*'FA Addition'!$L795,0)</f>
        <v>0</v>
      </c>
      <c r="AE795" s="117">
        <f>IF(AND('FA Addition'!$D795&lt;$P$1+1,U795=0),'FA Addition'!$L795,0)-Y795</f>
        <v>0</v>
      </c>
      <c r="AF795" s="117">
        <f t="shared" si="60"/>
        <v>63550.84</v>
      </c>
      <c r="AG795" s="117">
        <f>MIN(MAX(+$P$1-'FA Addition'!$D795,0),365*'FA Addition'!$O795)</f>
        <v>0</v>
      </c>
      <c r="AH795" s="117">
        <f>MIN(MAX($L$1-'FA Addition'!$D795+1,0),365*'FA Addition'!$O795)</f>
        <v>203</v>
      </c>
      <c r="AI795" s="117" cm="1">
        <f t="array" ref="AI795">_xlfn.XLOOKUP(1,('FA Write off'!A:A='FA Addition'!$A795)*('FA Write off'!D:D=AA795),'FA Write off'!H:H,0,0)</f>
        <v>0</v>
      </c>
      <c r="AJ795" s="117">
        <f>IF(AC795&gt;0,MAX(IF('FA Addition'!$N795="SLM",($AC795-'FA Addition'!$M795)*'FA Addition'!$P795*AI795/365,(AC795-'FA Addition'!$M795)*(1-(1-'FA Addition'!$P795)^(AI795/365))),0),0)</f>
        <v>0</v>
      </c>
      <c r="AL795" s="117">
        <f>MAX(IF(AG795&gt;0,IF('FA Addition'!$N795="SLM",($AE795-'FA Addition'!$M795)*'FA Addition'!$P795*AG795/365,IFERROR(VDB(AE795,AE795*0.05,'FA Addition'!$O795,0,YEARFRAC('FA Addition'!$C795,$P$1-1,3),'FA Addition'!$Q795),FAAddition[[#This Row],[Original Cost (Rs)]]-FAAddition[[#This Row],[Salvage Value]])),0),0)</f>
        <v>0</v>
      </c>
      <c r="AM795" s="119"/>
      <c r="AN795" s="117">
        <f>MAX(IF(AH795&gt;0,IF('FA Addition'!$N795="SLM",($AF795-'FA Addition'!$M795)*'FA Addition'!$P795*AH795/365,IFERROR(VDB(AF795,AF795*0.05,'FA Addition'!$O795,0,YEARFRAC('FA Addition'!$C795,$L$1,3),'FA Addition'!$Q795),FAAddition[[#This Row],[Original Cost (Rs)]]-FAAddition[[#This Row],[Salvage Value]])),0),0)</f>
        <v>22213.018860030727</v>
      </c>
      <c r="AO795" s="117">
        <f t="shared" si="63"/>
        <v>22213.018860030727</v>
      </c>
      <c r="AQ795" s="117">
        <f t="shared" si="61"/>
        <v>0</v>
      </c>
      <c r="AR795" s="120">
        <f t="shared" si="62"/>
        <v>41337.821139969266</v>
      </c>
      <c r="AS795" s="121"/>
    </row>
    <row r="796" spans="1:45" ht="13.5" x14ac:dyDescent="0.4">
      <c r="A796" s="12">
        <f t="shared" si="64"/>
        <v>793</v>
      </c>
      <c r="B796" s="64" t="s">
        <v>1308</v>
      </c>
      <c r="C796" s="54">
        <v>45181</v>
      </c>
      <c r="D796" s="54">
        <v>45181</v>
      </c>
      <c r="E796" s="46" t="s">
        <v>451</v>
      </c>
      <c r="F796" s="51" t="s">
        <v>19</v>
      </c>
      <c r="G796" s="51" t="s">
        <v>1247</v>
      </c>
      <c r="H796" s="51" t="s">
        <v>21</v>
      </c>
      <c r="I796" s="55" t="s">
        <v>1551</v>
      </c>
      <c r="J796" s="56">
        <v>1</v>
      </c>
      <c r="K796" s="51" t="s">
        <v>1552</v>
      </c>
      <c r="L796" s="58">
        <v>32194.92</v>
      </c>
      <c r="M796" s="50">
        <f>ROUND('FA Addition'!$L796*5%,0.1)</f>
        <v>1610</v>
      </c>
      <c r="N796" s="113" t="str">
        <f>_xlfn.XLOOKUP(_xlfn.CONCAT(E796,B796),'Year Wise Master Dep Approach'!F:F,'Year Wise Master Dep Approach'!D:D)</f>
        <v>WDV</v>
      </c>
      <c r="O796" s="113">
        <f>_xlfn.XLOOKUP(_xlfn.CONCAT(E796,B796),'Year Wise Master Dep Approach'!F:F,'Year Wise Master Dep Approach'!E:E)</f>
        <v>3</v>
      </c>
      <c r="P796" s="114">
        <f>IFERROR(IF('FA Addition'!$N796="WDV",1-('FA Addition'!$M796/'FA Addition'!$L796)^(1/'FA Addition'!$O796),1/'FA Addition'!$O796),0)</f>
        <v>0.63157747451628166</v>
      </c>
      <c r="Q796" s="122">
        <f>'FA Addition'!$P796*'FA Addition'!$O796</f>
        <v>1.894732423548845</v>
      </c>
      <c r="R796" s="122"/>
      <c r="S796" s="116">
        <f>IF(AND(DATE(20&amp;LEFT(FAAddition[[#This Row],[FY]],2),4,1)&lt;$L$1+1,DATE(20&amp;LEFT(FAAddition[[#This Row],[FY]],2),4,1)&gt;$P$1-1),'FA Addition'!$J796,0)</f>
        <v>1</v>
      </c>
      <c r="U796" s="117">
        <f>S796*'FA Addition'!$L796/'FA Addition'!$J796</f>
        <v>32194.92</v>
      </c>
      <c r="W796" s="116">
        <f>SUMIFS('FA Write off'!D:D,'FA Write off'!A:A,'FA Addition'!$A796,'FA Write off'!C:C,"&lt;"&amp;'FA Addition'!$P$1)</f>
        <v>0</v>
      </c>
      <c r="Y796" s="191">
        <f>IFERROR(W796/'FA Addition'!$J796*'FA Addition'!$L796,0)</f>
        <v>0</v>
      </c>
      <c r="AA796" s="116">
        <f>SUMIFS('FA Write off'!D:D,'FA Write off'!A:A,'FA Addition'!$A796,'FA Write off'!C:C,"&lt;"&amp;'FA Addition'!$L$1+1,'FA Write off'!C:C,"&gt;"&amp;'FA Addition'!$L$1-365)</f>
        <v>0</v>
      </c>
      <c r="AC796" s="118">
        <f>IFERROR(AA796/'FA Addition'!$J796*'FA Addition'!$L796,0)</f>
        <v>0</v>
      </c>
      <c r="AE796" s="117">
        <f>IF(AND('FA Addition'!$D796&lt;$P$1+1,U796=0),'FA Addition'!$L796,0)-Y796</f>
        <v>0</v>
      </c>
      <c r="AF796" s="117">
        <f t="shared" si="60"/>
        <v>32194.92</v>
      </c>
      <c r="AG796" s="117">
        <f>MIN(MAX(+$P$1-'FA Addition'!$D796,0),365*'FA Addition'!$O796)</f>
        <v>0</v>
      </c>
      <c r="AH796" s="117">
        <f>MIN(MAX($L$1-'FA Addition'!$D796+1,0),365*'FA Addition'!$O796)</f>
        <v>202</v>
      </c>
      <c r="AI796" s="117" cm="1">
        <f t="array" ref="AI796">_xlfn.XLOOKUP(1,('FA Write off'!A:A='FA Addition'!$A796)*('FA Write off'!D:D=AA796),'FA Write off'!H:H,0,0)</f>
        <v>0</v>
      </c>
      <c r="AJ796" s="117">
        <f>IF(AC796&gt;0,MAX(IF('FA Addition'!$N796="SLM",($AC796-'FA Addition'!$M796)*'FA Addition'!$P796*AI796/365,(AC796-'FA Addition'!$M796)*(1-(1-'FA Addition'!$P796)^(AI796/365))),0),0)</f>
        <v>0</v>
      </c>
      <c r="AL796" s="117">
        <f>MAX(IF(AG796&gt;0,IF('FA Addition'!$N796="SLM",($AE796-'FA Addition'!$M796)*'FA Addition'!$P796*AG796/365,IFERROR(VDB(AE796,AE796*0.05,'FA Addition'!$O796,0,YEARFRAC('FA Addition'!$C796,$P$1-1,3),'FA Addition'!$Q796),FAAddition[[#This Row],[Original Cost (Rs)]]-FAAddition[[#This Row],[Salvage Value]])),0),0)</f>
        <v>0</v>
      </c>
      <c r="AM796" s="119"/>
      <c r="AN796" s="117">
        <f>MAX(IF(AH796&gt;0,IF('FA Addition'!$N796="SLM",($AF796-'FA Addition'!$M796)*'FA Addition'!$P796*AH796/365,IFERROR(VDB(AF796,AF796*0.05,'FA Addition'!$O796,0,YEARFRAC('FA Addition'!$C796,$L$1,3),'FA Addition'!$Q796),FAAddition[[#This Row],[Original Cost (Rs)]]-FAAddition[[#This Row],[Salvage Value]])),0),0)</f>
        <v>11197.39956010027</v>
      </c>
      <c r="AO796" s="117">
        <f t="shared" si="63"/>
        <v>11197.39956010027</v>
      </c>
      <c r="AQ796" s="117">
        <f t="shared" si="61"/>
        <v>0</v>
      </c>
      <c r="AR796" s="120">
        <f t="shared" si="62"/>
        <v>20997.52043989973</v>
      </c>
      <c r="AS796" s="121"/>
    </row>
    <row r="797" spans="1:45" ht="13.5" x14ac:dyDescent="0.4">
      <c r="A797" s="12">
        <f t="shared" si="64"/>
        <v>794</v>
      </c>
      <c r="B797" s="64" t="s">
        <v>1308</v>
      </c>
      <c r="C797" s="54">
        <v>45181</v>
      </c>
      <c r="D797" s="54">
        <v>45181</v>
      </c>
      <c r="E797" s="46" t="s">
        <v>451</v>
      </c>
      <c r="F797" s="51" t="s">
        <v>19</v>
      </c>
      <c r="G797" s="51" t="s">
        <v>1247</v>
      </c>
      <c r="H797" s="51" t="s">
        <v>21</v>
      </c>
      <c r="I797" s="55" t="s">
        <v>1551</v>
      </c>
      <c r="J797" s="56">
        <v>1</v>
      </c>
      <c r="K797" s="51" t="s">
        <v>1552</v>
      </c>
      <c r="L797" s="58">
        <v>32194.92</v>
      </c>
      <c r="M797" s="50">
        <f>ROUND('FA Addition'!$L797*5%,0.1)</f>
        <v>1610</v>
      </c>
      <c r="N797" s="113" t="str">
        <f>_xlfn.XLOOKUP(_xlfn.CONCAT(E797,B797),'Year Wise Master Dep Approach'!F:F,'Year Wise Master Dep Approach'!D:D)</f>
        <v>WDV</v>
      </c>
      <c r="O797" s="113">
        <f>_xlfn.XLOOKUP(_xlfn.CONCAT(E797,B797),'Year Wise Master Dep Approach'!F:F,'Year Wise Master Dep Approach'!E:E)</f>
        <v>3</v>
      </c>
      <c r="P797" s="114">
        <f>IFERROR(IF('FA Addition'!$N797="WDV",1-('FA Addition'!$M797/'FA Addition'!$L797)^(1/'FA Addition'!$O797),1/'FA Addition'!$O797),0)</f>
        <v>0.63157747451628166</v>
      </c>
      <c r="Q797" s="122">
        <f>'FA Addition'!$P797*'FA Addition'!$O797</f>
        <v>1.894732423548845</v>
      </c>
      <c r="R797" s="122"/>
      <c r="S797" s="116">
        <f>IF(AND(DATE(20&amp;LEFT(FAAddition[[#This Row],[FY]],2),4,1)&lt;$L$1+1,DATE(20&amp;LEFT(FAAddition[[#This Row],[FY]],2),4,1)&gt;$P$1-1),'FA Addition'!$J797,0)</f>
        <v>1</v>
      </c>
      <c r="U797" s="117">
        <f>S797*'FA Addition'!$L797/'FA Addition'!$J797</f>
        <v>32194.92</v>
      </c>
      <c r="W797" s="116">
        <f>SUMIFS('FA Write off'!D:D,'FA Write off'!A:A,'FA Addition'!$A797,'FA Write off'!C:C,"&lt;"&amp;'FA Addition'!$P$1)</f>
        <v>0</v>
      </c>
      <c r="Y797" s="191">
        <f>IFERROR(W797/'FA Addition'!$J797*'FA Addition'!$L797,0)</f>
        <v>0</v>
      </c>
      <c r="AA797" s="116">
        <f>SUMIFS('FA Write off'!D:D,'FA Write off'!A:A,'FA Addition'!$A797,'FA Write off'!C:C,"&lt;"&amp;'FA Addition'!$L$1+1,'FA Write off'!C:C,"&gt;"&amp;'FA Addition'!$L$1-365)</f>
        <v>0</v>
      </c>
      <c r="AC797" s="118">
        <f>IFERROR(AA797/'FA Addition'!$J797*'FA Addition'!$L797,0)</f>
        <v>0</v>
      </c>
      <c r="AE797" s="117">
        <f>IF(AND('FA Addition'!$D797&lt;$P$1+1,U797=0),'FA Addition'!$L797,0)-Y797</f>
        <v>0</v>
      </c>
      <c r="AF797" s="117">
        <f t="shared" si="60"/>
        <v>32194.92</v>
      </c>
      <c r="AG797" s="117">
        <f>MIN(MAX(+$P$1-'FA Addition'!$D797,0),365*'FA Addition'!$O797)</f>
        <v>0</v>
      </c>
      <c r="AH797" s="117">
        <f>MIN(MAX($L$1-'FA Addition'!$D797+1,0),365*'FA Addition'!$O797)</f>
        <v>202</v>
      </c>
      <c r="AI797" s="117" cm="1">
        <f t="array" ref="AI797">_xlfn.XLOOKUP(1,('FA Write off'!A:A='FA Addition'!$A797)*('FA Write off'!D:D=AA797),'FA Write off'!H:H,0,0)</f>
        <v>0</v>
      </c>
      <c r="AJ797" s="117">
        <f>IF(AC797&gt;0,MAX(IF('FA Addition'!$N797="SLM",($AC797-'FA Addition'!$M797)*'FA Addition'!$P797*AI797/365,(AC797-'FA Addition'!$M797)*(1-(1-'FA Addition'!$P797)^(AI797/365))),0),0)</f>
        <v>0</v>
      </c>
      <c r="AL797" s="117">
        <f>MAX(IF(AG797&gt;0,IF('FA Addition'!$N797="SLM",($AE797-'FA Addition'!$M797)*'FA Addition'!$P797*AG797/365,IFERROR(VDB(AE797,AE797*0.05,'FA Addition'!$O797,0,YEARFRAC('FA Addition'!$C797,$P$1-1,3),'FA Addition'!$Q797),FAAddition[[#This Row],[Original Cost (Rs)]]-FAAddition[[#This Row],[Salvage Value]])),0),0)</f>
        <v>0</v>
      </c>
      <c r="AM797" s="119"/>
      <c r="AN797" s="117">
        <f>MAX(IF(AH797&gt;0,IF('FA Addition'!$N797="SLM",($AF797-'FA Addition'!$M797)*'FA Addition'!$P797*AH797/365,IFERROR(VDB(AF797,AF797*0.05,'FA Addition'!$O797,0,YEARFRAC('FA Addition'!$C797,$L$1,3),'FA Addition'!$Q797),FAAddition[[#This Row],[Original Cost (Rs)]]-FAAddition[[#This Row],[Salvage Value]])),0),0)</f>
        <v>11197.39956010027</v>
      </c>
      <c r="AO797" s="117">
        <f t="shared" si="63"/>
        <v>11197.39956010027</v>
      </c>
      <c r="AQ797" s="117">
        <f t="shared" si="61"/>
        <v>0</v>
      </c>
      <c r="AR797" s="120">
        <f t="shared" si="62"/>
        <v>20997.52043989973</v>
      </c>
      <c r="AS797" s="121"/>
    </row>
    <row r="798" spans="1:45" ht="13.5" x14ac:dyDescent="0.4">
      <c r="A798" s="12">
        <f t="shared" si="64"/>
        <v>795</v>
      </c>
      <c r="B798" s="64" t="s">
        <v>1308</v>
      </c>
      <c r="C798" s="54">
        <v>45181</v>
      </c>
      <c r="D798" s="54">
        <v>45181</v>
      </c>
      <c r="E798" s="46" t="s">
        <v>451</v>
      </c>
      <c r="F798" s="51" t="s">
        <v>19</v>
      </c>
      <c r="G798" s="51" t="s">
        <v>1247</v>
      </c>
      <c r="H798" s="51" t="s">
        <v>21</v>
      </c>
      <c r="I798" s="55" t="s">
        <v>1551</v>
      </c>
      <c r="J798" s="56">
        <v>1</v>
      </c>
      <c r="K798" s="51" t="s">
        <v>1552</v>
      </c>
      <c r="L798" s="58">
        <v>32194.92</v>
      </c>
      <c r="M798" s="50">
        <f>ROUND('FA Addition'!$L798*5%,0.1)</f>
        <v>1610</v>
      </c>
      <c r="N798" s="113" t="str">
        <f>_xlfn.XLOOKUP(_xlfn.CONCAT(E798,B798),'Year Wise Master Dep Approach'!F:F,'Year Wise Master Dep Approach'!D:D)</f>
        <v>WDV</v>
      </c>
      <c r="O798" s="113">
        <f>_xlfn.XLOOKUP(_xlfn.CONCAT(E798,B798),'Year Wise Master Dep Approach'!F:F,'Year Wise Master Dep Approach'!E:E)</f>
        <v>3</v>
      </c>
      <c r="P798" s="114">
        <f>IFERROR(IF('FA Addition'!$N798="WDV",1-('FA Addition'!$M798/'FA Addition'!$L798)^(1/'FA Addition'!$O798),1/'FA Addition'!$O798),0)</f>
        <v>0.63157747451628166</v>
      </c>
      <c r="Q798" s="122">
        <f>'FA Addition'!$P798*'FA Addition'!$O798</f>
        <v>1.894732423548845</v>
      </c>
      <c r="R798" s="122"/>
      <c r="S798" s="116">
        <f>IF(AND(DATE(20&amp;LEFT(FAAddition[[#This Row],[FY]],2),4,1)&lt;$L$1+1,DATE(20&amp;LEFT(FAAddition[[#This Row],[FY]],2),4,1)&gt;$P$1-1),'FA Addition'!$J798,0)</f>
        <v>1</v>
      </c>
      <c r="U798" s="117">
        <f>S798*'FA Addition'!$L798/'FA Addition'!$J798</f>
        <v>32194.92</v>
      </c>
      <c r="W798" s="116">
        <f>SUMIFS('FA Write off'!D:D,'FA Write off'!A:A,'FA Addition'!$A798,'FA Write off'!C:C,"&lt;"&amp;'FA Addition'!$P$1)</f>
        <v>0</v>
      </c>
      <c r="Y798" s="191">
        <f>IFERROR(W798/'FA Addition'!$J798*'FA Addition'!$L798,0)</f>
        <v>0</v>
      </c>
      <c r="AA798" s="116">
        <f>SUMIFS('FA Write off'!D:D,'FA Write off'!A:A,'FA Addition'!$A798,'FA Write off'!C:C,"&lt;"&amp;'FA Addition'!$L$1+1,'FA Write off'!C:C,"&gt;"&amp;'FA Addition'!$L$1-365)</f>
        <v>0</v>
      </c>
      <c r="AC798" s="118">
        <f>IFERROR(AA798/'FA Addition'!$J798*'FA Addition'!$L798,0)</f>
        <v>0</v>
      </c>
      <c r="AE798" s="117">
        <f>IF(AND('FA Addition'!$D798&lt;$P$1+1,U798=0),'FA Addition'!$L798,0)-Y798</f>
        <v>0</v>
      </c>
      <c r="AF798" s="117">
        <f t="shared" si="60"/>
        <v>32194.92</v>
      </c>
      <c r="AG798" s="117">
        <f>MIN(MAX(+$P$1-'FA Addition'!$D798,0),365*'FA Addition'!$O798)</f>
        <v>0</v>
      </c>
      <c r="AH798" s="117">
        <f>MIN(MAX($L$1-'FA Addition'!$D798+1,0),365*'FA Addition'!$O798)</f>
        <v>202</v>
      </c>
      <c r="AI798" s="117" cm="1">
        <f t="array" ref="AI798">_xlfn.XLOOKUP(1,('FA Write off'!A:A='FA Addition'!$A798)*('FA Write off'!D:D=AA798),'FA Write off'!H:H,0,0)</f>
        <v>0</v>
      </c>
      <c r="AJ798" s="117">
        <f>IF(AC798&gt;0,MAX(IF('FA Addition'!$N798="SLM",($AC798-'FA Addition'!$M798)*'FA Addition'!$P798*AI798/365,(AC798-'FA Addition'!$M798)*(1-(1-'FA Addition'!$P798)^(AI798/365))),0),0)</f>
        <v>0</v>
      </c>
      <c r="AL798" s="117">
        <f>MAX(IF(AG798&gt;0,IF('FA Addition'!$N798="SLM",($AE798-'FA Addition'!$M798)*'FA Addition'!$P798*AG798/365,IFERROR(VDB(AE798,AE798*0.05,'FA Addition'!$O798,0,YEARFRAC('FA Addition'!$C798,$P$1-1,3),'FA Addition'!$Q798),FAAddition[[#This Row],[Original Cost (Rs)]]-FAAddition[[#This Row],[Salvage Value]])),0),0)</f>
        <v>0</v>
      </c>
      <c r="AM798" s="119"/>
      <c r="AN798" s="117">
        <f>MAX(IF(AH798&gt;0,IF('FA Addition'!$N798="SLM",($AF798-'FA Addition'!$M798)*'FA Addition'!$P798*AH798/365,IFERROR(VDB(AF798,AF798*0.05,'FA Addition'!$O798,0,YEARFRAC('FA Addition'!$C798,$L$1,3),'FA Addition'!$Q798),FAAddition[[#This Row],[Original Cost (Rs)]]-FAAddition[[#This Row],[Salvage Value]])),0),0)</f>
        <v>11197.39956010027</v>
      </c>
      <c r="AO798" s="117">
        <f t="shared" si="63"/>
        <v>11197.39956010027</v>
      </c>
      <c r="AQ798" s="117">
        <f t="shared" si="61"/>
        <v>0</v>
      </c>
      <c r="AR798" s="120">
        <f t="shared" si="62"/>
        <v>20997.52043989973</v>
      </c>
      <c r="AS798" s="121"/>
    </row>
    <row r="799" spans="1:45" ht="13.5" x14ac:dyDescent="0.4">
      <c r="A799" s="12">
        <f t="shared" si="64"/>
        <v>796</v>
      </c>
      <c r="B799" s="64" t="s">
        <v>1308</v>
      </c>
      <c r="C799" s="54">
        <v>45181</v>
      </c>
      <c r="D799" s="54">
        <v>45181</v>
      </c>
      <c r="E799" s="46" t="s">
        <v>451</v>
      </c>
      <c r="F799" s="51" t="s">
        <v>19</v>
      </c>
      <c r="G799" s="51" t="s">
        <v>1247</v>
      </c>
      <c r="H799" s="51" t="s">
        <v>21</v>
      </c>
      <c r="I799" s="55" t="s">
        <v>1551</v>
      </c>
      <c r="J799" s="56">
        <v>1</v>
      </c>
      <c r="K799" s="51" t="s">
        <v>1552</v>
      </c>
      <c r="L799" s="58">
        <v>32194.92</v>
      </c>
      <c r="M799" s="50">
        <f>ROUND('FA Addition'!$L799*5%,0.1)</f>
        <v>1610</v>
      </c>
      <c r="N799" s="113" t="str">
        <f>_xlfn.XLOOKUP(_xlfn.CONCAT(E799,B799),'Year Wise Master Dep Approach'!F:F,'Year Wise Master Dep Approach'!D:D)</f>
        <v>WDV</v>
      </c>
      <c r="O799" s="113">
        <f>_xlfn.XLOOKUP(_xlfn.CONCAT(E799,B799),'Year Wise Master Dep Approach'!F:F,'Year Wise Master Dep Approach'!E:E)</f>
        <v>3</v>
      </c>
      <c r="P799" s="114">
        <f>IFERROR(IF('FA Addition'!$N799="WDV",1-('FA Addition'!$M799/'FA Addition'!$L799)^(1/'FA Addition'!$O799),1/'FA Addition'!$O799),0)</f>
        <v>0.63157747451628166</v>
      </c>
      <c r="Q799" s="122">
        <f>'FA Addition'!$P799*'FA Addition'!$O799</f>
        <v>1.894732423548845</v>
      </c>
      <c r="R799" s="122"/>
      <c r="S799" s="116">
        <f>IF(AND(DATE(20&amp;LEFT(FAAddition[[#This Row],[FY]],2),4,1)&lt;$L$1+1,DATE(20&amp;LEFT(FAAddition[[#This Row],[FY]],2),4,1)&gt;$P$1-1),'FA Addition'!$J799,0)</f>
        <v>1</v>
      </c>
      <c r="U799" s="117">
        <f>S799*'FA Addition'!$L799/'FA Addition'!$J799</f>
        <v>32194.92</v>
      </c>
      <c r="W799" s="116">
        <f>SUMIFS('FA Write off'!D:D,'FA Write off'!A:A,'FA Addition'!$A799,'FA Write off'!C:C,"&lt;"&amp;'FA Addition'!$P$1)</f>
        <v>0</v>
      </c>
      <c r="Y799" s="191">
        <f>IFERROR(W799/'FA Addition'!$J799*'FA Addition'!$L799,0)</f>
        <v>0</v>
      </c>
      <c r="AA799" s="116">
        <f>SUMIFS('FA Write off'!D:D,'FA Write off'!A:A,'FA Addition'!$A799,'FA Write off'!C:C,"&lt;"&amp;'FA Addition'!$L$1+1,'FA Write off'!C:C,"&gt;"&amp;'FA Addition'!$L$1-365)</f>
        <v>0</v>
      </c>
      <c r="AC799" s="118">
        <f>IFERROR(AA799/'FA Addition'!$J799*'FA Addition'!$L799,0)</f>
        <v>0</v>
      </c>
      <c r="AE799" s="117">
        <f>IF(AND('FA Addition'!$D799&lt;$P$1+1,U799=0),'FA Addition'!$L799,0)-Y799</f>
        <v>0</v>
      </c>
      <c r="AF799" s="117">
        <f t="shared" si="60"/>
        <v>32194.92</v>
      </c>
      <c r="AG799" s="117">
        <f>MIN(MAX(+$P$1-'FA Addition'!$D799,0),365*'FA Addition'!$O799)</f>
        <v>0</v>
      </c>
      <c r="AH799" s="117">
        <f>MIN(MAX($L$1-'FA Addition'!$D799+1,0),365*'FA Addition'!$O799)</f>
        <v>202</v>
      </c>
      <c r="AI799" s="117" cm="1">
        <f t="array" ref="AI799">_xlfn.XLOOKUP(1,('FA Write off'!A:A='FA Addition'!$A799)*('FA Write off'!D:D=AA799),'FA Write off'!H:H,0,0)</f>
        <v>0</v>
      </c>
      <c r="AJ799" s="117">
        <f>IF(AC799&gt;0,MAX(IF('FA Addition'!$N799="SLM",($AC799-'FA Addition'!$M799)*'FA Addition'!$P799*AI799/365,(AC799-'FA Addition'!$M799)*(1-(1-'FA Addition'!$P799)^(AI799/365))),0),0)</f>
        <v>0</v>
      </c>
      <c r="AL799" s="117">
        <f>MAX(IF(AG799&gt;0,IF('FA Addition'!$N799="SLM",($AE799-'FA Addition'!$M799)*'FA Addition'!$P799*AG799/365,IFERROR(VDB(AE799,AE799*0.05,'FA Addition'!$O799,0,YEARFRAC('FA Addition'!$C799,$P$1-1,3),'FA Addition'!$Q799),FAAddition[[#This Row],[Original Cost (Rs)]]-FAAddition[[#This Row],[Salvage Value]])),0),0)</f>
        <v>0</v>
      </c>
      <c r="AM799" s="119"/>
      <c r="AN799" s="117">
        <f>MAX(IF(AH799&gt;0,IF('FA Addition'!$N799="SLM",($AF799-'FA Addition'!$M799)*'FA Addition'!$P799*AH799/365,IFERROR(VDB(AF799,AF799*0.05,'FA Addition'!$O799,0,YEARFRAC('FA Addition'!$C799,$L$1,3),'FA Addition'!$Q799),FAAddition[[#This Row],[Original Cost (Rs)]]-FAAddition[[#This Row],[Salvage Value]])),0),0)</f>
        <v>11197.39956010027</v>
      </c>
      <c r="AO799" s="117">
        <f t="shared" si="63"/>
        <v>11197.39956010027</v>
      </c>
      <c r="AQ799" s="117">
        <f t="shared" si="61"/>
        <v>0</v>
      </c>
      <c r="AR799" s="120">
        <f t="shared" si="62"/>
        <v>20997.52043989973</v>
      </c>
      <c r="AS799" s="121"/>
    </row>
    <row r="800" spans="1:45" ht="13.5" x14ac:dyDescent="0.4">
      <c r="A800" s="12">
        <f t="shared" si="64"/>
        <v>797</v>
      </c>
      <c r="B800" s="64" t="s">
        <v>1308</v>
      </c>
      <c r="C800" s="54">
        <v>45182</v>
      </c>
      <c r="D800" s="54">
        <v>45182</v>
      </c>
      <c r="E800" s="46" t="s">
        <v>451</v>
      </c>
      <c r="F800" s="51" t="s">
        <v>19</v>
      </c>
      <c r="G800" s="51" t="s">
        <v>1290</v>
      </c>
      <c r="H800" s="51" t="s">
        <v>21</v>
      </c>
      <c r="I800" s="55" t="s">
        <v>1553</v>
      </c>
      <c r="J800" s="56">
        <v>1</v>
      </c>
      <c r="K800" s="51" t="s">
        <v>1503</v>
      </c>
      <c r="L800" s="58">
        <v>63550.84</v>
      </c>
      <c r="M800" s="50">
        <f>ROUND('FA Addition'!$L800*5%,0.1)</f>
        <v>3178</v>
      </c>
      <c r="N800" s="113" t="str">
        <f>_xlfn.XLOOKUP(_xlfn.CONCAT(E800,B800),'Year Wise Master Dep Approach'!F:F,'Year Wise Master Dep Approach'!D:D)</f>
        <v>WDV</v>
      </c>
      <c r="O800" s="113">
        <f>_xlfn.XLOOKUP(_xlfn.CONCAT(E800,B800),'Year Wise Master Dep Approach'!F:F,'Year Wise Master Dep Approach'!E:E)</f>
        <v>3</v>
      </c>
      <c r="P800" s="114">
        <f>IFERROR(IF('FA Addition'!$N800="WDV",1-('FA Addition'!$M800/'FA Addition'!$L800)^(1/'FA Addition'!$O800),1/'FA Addition'!$O800),0)</f>
        <v>0.63157915086436178</v>
      </c>
      <c r="Q800" s="122">
        <f>'FA Addition'!$P800*'FA Addition'!$O800</f>
        <v>1.8947374525930853</v>
      </c>
      <c r="R800" s="122"/>
      <c r="S800" s="116">
        <f>IF(AND(DATE(20&amp;LEFT(FAAddition[[#This Row],[FY]],2),4,1)&lt;$L$1+1,DATE(20&amp;LEFT(FAAddition[[#This Row],[FY]],2),4,1)&gt;$P$1-1),'FA Addition'!$J800,0)</f>
        <v>1</v>
      </c>
      <c r="U800" s="117">
        <f>S800*'FA Addition'!$L800/'FA Addition'!$J800</f>
        <v>63550.84</v>
      </c>
      <c r="W800" s="116">
        <f>SUMIFS('FA Write off'!D:D,'FA Write off'!A:A,'FA Addition'!$A800,'FA Write off'!C:C,"&lt;"&amp;'FA Addition'!$P$1)</f>
        <v>0</v>
      </c>
      <c r="Y800" s="191">
        <f>IFERROR(W800/'FA Addition'!$J800*'FA Addition'!$L800,0)</f>
        <v>0</v>
      </c>
      <c r="AA800" s="116">
        <f>SUMIFS('FA Write off'!D:D,'FA Write off'!A:A,'FA Addition'!$A800,'FA Write off'!C:C,"&lt;"&amp;'FA Addition'!$L$1+1,'FA Write off'!C:C,"&gt;"&amp;'FA Addition'!$L$1-365)</f>
        <v>0</v>
      </c>
      <c r="AC800" s="118">
        <f>IFERROR(AA800/'FA Addition'!$J800*'FA Addition'!$L800,0)</f>
        <v>0</v>
      </c>
      <c r="AE800" s="117">
        <f>IF(AND('FA Addition'!$D800&lt;$P$1+1,U800=0),'FA Addition'!$L800,0)-Y800</f>
        <v>0</v>
      </c>
      <c r="AF800" s="117">
        <f t="shared" si="60"/>
        <v>63550.84</v>
      </c>
      <c r="AG800" s="117">
        <f>MIN(MAX(+$P$1-'FA Addition'!$D800,0),365*'FA Addition'!$O800)</f>
        <v>0</v>
      </c>
      <c r="AH800" s="117">
        <f>MIN(MAX($L$1-'FA Addition'!$D800+1,0),365*'FA Addition'!$O800)</f>
        <v>201</v>
      </c>
      <c r="AI800" s="117" cm="1">
        <f t="array" ref="AI800">_xlfn.XLOOKUP(1,('FA Write off'!A:A='FA Addition'!$A800)*('FA Write off'!D:D=AA800),'FA Write off'!H:H,0,0)</f>
        <v>0</v>
      </c>
      <c r="AJ800" s="117">
        <f>IF(AC800&gt;0,MAX(IF('FA Addition'!$N800="SLM",($AC800-'FA Addition'!$M800)*'FA Addition'!$P800*AI800/365,(AC800-'FA Addition'!$M800)*(1-(1-'FA Addition'!$P800)^(AI800/365))),0),0)</f>
        <v>0</v>
      </c>
      <c r="AL800" s="117">
        <f>MAX(IF(AG800&gt;0,IF('FA Addition'!$N800="SLM",($AE800-'FA Addition'!$M800)*'FA Addition'!$P800*AG800/365,IFERROR(VDB(AE800,AE800*0.05,'FA Addition'!$O800,0,YEARFRAC('FA Addition'!$C800,$P$1-1,3),'FA Addition'!$Q800),FAAddition[[#This Row],[Original Cost (Rs)]]-FAAddition[[#This Row],[Salvage Value]])),0),0)</f>
        <v>0</v>
      </c>
      <c r="AM800" s="119"/>
      <c r="AN800" s="117">
        <f>MAX(IF(AH800&gt;0,IF('FA Addition'!$N800="SLM",($AF800-'FA Addition'!$M800)*'FA Addition'!$P800*AH800/365,IFERROR(VDB(AF800,AF800*0.05,'FA Addition'!$O800,0,YEARFRAC('FA Addition'!$C800,$L$1,3),'FA Addition'!$Q800),FAAddition[[#This Row],[Original Cost (Rs)]]-FAAddition[[#This Row],[Salvage Value]])),0),0)</f>
        <v>21993.087980228443</v>
      </c>
      <c r="AO800" s="117">
        <f t="shared" si="63"/>
        <v>21993.087980228443</v>
      </c>
      <c r="AQ800" s="117">
        <f t="shared" si="61"/>
        <v>0</v>
      </c>
      <c r="AR800" s="120">
        <f t="shared" si="62"/>
        <v>41557.752019771549</v>
      </c>
      <c r="AS800" s="121"/>
    </row>
    <row r="801" spans="1:45" ht="13.5" x14ac:dyDescent="0.4">
      <c r="A801" s="12">
        <f t="shared" si="64"/>
        <v>798</v>
      </c>
      <c r="B801" s="64" t="s">
        <v>1308</v>
      </c>
      <c r="C801" s="54">
        <v>45182</v>
      </c>
      <c r="D801" s="54">
        <v>45182</v>
      </c>
      <c r="E801" s="46" t="s">
        <v>451</v>
      </c>
      <c r="F801" s="51" t="s">
        <v>19</v>
      </c>
      <c r="G801" s="51" t="s">
        <v>1134</v>
      </c>
      <c r="H801" s="51" t="s">
        <v>21</v>
      </c>
      <c r="I801" s="55" t="s">
        <v>1554</v>
      </c>
      <c r="J801" s="56">
        <v>1</v>
      </c>
      <c r="K801" s="51" t="s">
        <v>1528</v>
      </c>
      <c r="L801" s="58">
        <v>52533.9</v>
      </c>
      <c r="M801" s="50">
        <f>ROUND('FA Addition'!$L801*5%,0.1)</f>
        <v>2627</v>
      </c>
      <c r="N801" s="113" t="str">
        <f>_xlfn.XLOOKUP(_xlfn.CONCAT(E801,B801),'Year Wise Master Dep Approach'!F:F,'Year Wise Master Dep Approach'!D:D)</f>
        <v>WDV</v>
      </c>
      <c r="O801" s="113">
        <f>_xlfn.XLOOKUP(_xlfn.CONCAT(E801,B801),'Year Wise Master Dep Approach'!F:F,'Year Wise Master Dep Approach'!E:E)</f>
        <v>3</v>
      </c>
      <c r="P801" s="114">
        <f>IFERROR(IF('FA Addition'!$N801="WDV",1-('FA Addition'!$M801/'FA Addition'!$L801)^(1/'FA Addition'!$O801),1/'FA Addition'!$O801),0)</f>
        <v>0.63158259158266372</v>
      </c>
      <c r="Q801" s="122">
        <f>'FA Addition'!$P801*'FA Addition'!$O801</f>
        <v>1.8947477747479913</v>
      </c>
      <c r="R801" s="122"/>
      <c r="S801" s="116">
        <f>IF(AND(DATE(20&amp;LEFT(FAAddition[[#This Row],[FY]],2),4,1)&lt;$L$1+1,DATE(20&amp;LEFT(FAAddition[[#This Row],[FY]],2),4,1)&gt;$P$1-1),'FA Addition'!$J801,0)</f>
        <v>1</v>
      </c>
      <c r="U801" s="117">
        <f>S801*'FA Addition'!$L801/'FA Addition'!$J801</f>
        <v>52533.9</v>
      </c>
      <c r="W801" s="116">
        <f>SUMIFS('FA Write off'!D:D,'FA Write off'!A:A,'FA Addition'!$A801,'FA Write off'!C:C,"&lt;"&amp;'FA Addition'!$P$1)</f>
        <v>0</v>
      </c>
      <c r="Y801" s="191">
        <f>IFERROR(W801/'FA Addition'!$J801*'FA Addition'!$L801,0)</f>
        <v>0</v>
      </c>
      <c r="AA801" s="116">
        <f>SUMIFS('FA Write off'!D:D,'FA Write off'!A:A,'FA Addition'!$A801,'FA Write off'!C:C,"&lt;"&amp;'FA Addition'!$L$1+1,'FA Write off'!C:C,"&gt;"&amp;'FA Addition'!$L$1-365)</f>
        <v>0</v>
      </c>
      <c r="AC801" s="118">
        <f>IFERROR(AA801/'FA Addition'!$J801*'FA Addition'!$L801,0)</f>
        <v>0</v>
      </c>
      <c r="AE801" s="117">
        <f>IF(AND('FA Addition'!$D801&lt;$P$1+1,U801=0),'FA Addition'!$L801,0)-Y801</f>
        <v>0</v>
      </c>
      <c r="AF801" s="117">
        <f t="shared" si="60"/>
        <v>52533.9</v>
      </c>
      <c r="AG801" s="117">
        <f>MIN(MAX(+$P$1-'FA Addition'!$D801,0),365*'FA Addition'!$O801)</f>
        <v>0</v>
      </c>
      <c r="AH801" s="117">
        <f>MIN(MAX($L$1-'FA Addition'!$D801+1,0),365*'FA Addition'!$O801)</f>
        <v>201</v>
      </c>
      <c r="AI801" s="117" cm="1">
        <f t="array" ref="AI801">_xlfn.XLOOKUP(1,('FA Write off'!A:A='FA Addition'!$A801)*('FA Write off'!D:D=AA801),'FA Write off'!H:H,0,0)</f>
        <v>0</v>
      </c>
      <c r="AJ801" s="117">
        <f>IF(AC801&gt;0,MAX(IF('FA Addition'!$N801="SLM",($AC801-'FA Addition'!$M801)*'FA Addition'!$P801*AI801/365,(AC801-'FA Addition'!$M801)*(1-(1-'FA Addition'!$P801)^(AI801/365))),0),0)</f>
        <v>0</v>
      </c>
      <c r="AL801" s="117">
        <f>MAX(IF(AG801&gt;0,IF('FA Addition'!$N801="SLM",($AE801-'FA Addition'!$M801)*'FA Addition'!$P801*AG801/365,IFERROR(VDB(AE801,AE801*0.05,'FA Addition'!$O801,0,YEARFRAC('FA Addition'!$C801,$P$1-1,3),'FA Addition'!$Q801),FAAddition[[#This Row],[Original Cost (Rs)]]-FAAddition[[#This Row],[Salvage Value]])),0),0)</f>
        <v>0</v>
      </c>
      <c r="AM801" s="119"/>
      <c r="AN801" s="117">
        <f>MAX(IF(AH801&gt;0,IF('FA Addition'!$N801="SLM",($AF801-'FA Addition'!$M801)*'FA Addition'!$P801*AH801/365,IFERROR(VDB(AF801,AF801*0.05,'FA Addition'!$O801,0,YEARFRAC('FA Addition'!$C801,$L$1,3),'FA Addition'!$Q801),FAAddition[[#This Row],[Original Cost (Rs)]]-FAAddition[[#This Row],[Salvage Value]])),0),0)</f>
        <v>18180.546141339451</v>
      </c>
      <c r="AO801" s="117">
        <f t="shared" si="63"/>
        <v>18180.546141339451</v>
      </c>
      <c r="AQ801" s="117">
        <f t="shared" si="61"/>
        <v>0</v>
      </c>
      <c r="AR801" s="120">
        <f t="shared" si="62"/>
        <v>34353.35385866055</v>
      </c>
      <c r="AS801" s="121"/>
    </row>
    <row r="802" spans="1:45" ht="13.5" x14ac:dyDescent="0.4">
      <c r="A802" s="12">
        <f t="shared" si="64"/>
        <v>799</v>
      </c>
      <c r="B802" s="64" t="s">
        <v>1308</v>
      </c>
      <c r="C802" s="54">
        <v>45187</v>
      </c>
      <c r="D802" s="54">
        <v>45187</v>
      </c>
      <c r="E802" s="46" t="s">
        <v>32</v>
      </c>
      <c r="F802" s="51" t="s">
        <v>1090</v>
      </c>
      <c r="G802" s="51" t="s">
        <v>433</v>
      </c>
      <c r="H802" s="51" t="s">
        <v>32</v>
      </c>
      <c r="I802" s="55" t="s">
        <v>1555</v>
      </c>
      <c r="J802" s="56">
        <v>1500</v>
      </c>
      <c r="K802" s="51" t="s">
        <v>935</v>
      </c>
      <c r="L802" s="58">
        <v>1485000</v>
      </c>
      <c r="M802" s="50">
        <f>ROUND('FA Addition'!$L802*5%,0.1)</f>
        <v>74250</v>
      </c>
      <c r="N802" s="113" t="str">
        <f>_xlfn.XLOOKUP(_xlfn.CONCAT(E802,B802),'Year Wise Master Dep Approach'!F:F,'Year Wise Master Dep Approach'!D:D)</f>
        <v>SLM</v>
      </c>
      <c r="O802" s="113">
        <f>_xlfn.XLOOKUP(_xlfn.CONCAT(E802,B802),'Year Wise Master Dep Approach'!F:F,'Year Wise Master Dep Approach'!E:E)</f>
        <v>5</v>
      </c>
      <c r="P802" s="114">
        <f>IFERROR(IF('FA Addition'!$N802="WDV",1-('FA Addition'!$M802/'FA Addition'!$L802)^(1/'FA Addition'!$O802),1/'FA Addition'!$O802),0)</f>
        <v>0.2</v>
      </c>
      <c r="Q802" s="122">
        <f>'FA Addition'!$P802*'FA Addition'!$O802</f>
        <v>1</v>
      </c>
      <c r="R802" s="122"/>
      <c r="S802" s="116">
        <f>IF(AND(DATE(20&amp;LEFT(FAAddition[[#This Row],[FY]],2),4,1)&lt;$L$1+1,DATE(20&amp;LEFT(FAAddition[[#This Row],[FY]],2),4,1)&gt;$P$1-1),'FA Addition'!$J802,0)</f>
        <v>1500</v>
      </c>
      <c r="U802" s="117">
        <f>S802*'FA Addition'!$L802/'FA Addition'!$J802</f>
        <v>1485000</v>
      </c>
      <c r="W802" s="116">
        <f>SUMIFS('FA Write off'!D:D,'FA Write off'!A:A,'FA Addition'!$A802,'FA Write off'!C:C,"&lt;"&amp;'FA Addition'!$P$1)</f>
        <v>50</v>
      </c>
      <c r="Y802" s="191">
        <f>IFERROR(W802/'FA Addition'!$J802*'FA Addition'!$L802,0)</f>
        <v>49500</v>
      </c>
      <c r="AA802" s="116">
        <f>SUMIFS('FA Write off'!D:D,'FA Write off'!A:A,'FA Addition'!$A802,'FA Write off'!C:C,"&lt;"&amp;'FA Addition'!$L$1+1,'FA Write off'!C:C,"&gt;"&amp;'FA Addition'!$L$1-365)</f>
        <v>0</v>
      </c>
      <c r="AC802" s="118">
        <f>IFERROR(AA802/'FA Addition'!$J802*'FA Addition'!$L802,0)</f>
        <v>0</v>
      </c>
      <c r="AE802" s="117">
        <f>IF(AND('FA Addition'!$D802&lt;$P$1+1,U802=0),'FA Addition'!$L802,0)-Y802</f>
        <v>-49500</v>
      </c>
      <c r="AF802" s="117">
        <f t="shared" si="60"/>
        <v>1435500</v>
      </c>
      <c r="AG802" s="117">
        <f>MIN(MAX(+$P$1-'FA Addition'!$D802,0),365*'FA Addition'!$O802)</f>
        <v>0</v>
      </c>
      <c r="AH802" s="117">
        <f>MIN(MAX($L$1-'FA Addition'!$D802+1,0),365*'FA Addition'!$O802)</f>
        <v>196</v>
      </c>
      <c r="AI802" s="117" cm="1">
        <f t="array" ref="AI802">_xlfn.XLOOKUP(1,('FA Write off'!A:A='FA Addition'!$A802)*('FA Write off'!D:D=AA802),'FA Write off'!H:H,0,0)</f>
        <v>0</v>
      </c>
      <c r="AJ802" s="117">
        <f>IF(AC802&gt;0,MAX(IF('FA Addition'!$N802="SLM",($AC802-'FA Addition'!$M802)*'FA Addition'!$P802*AI802/365,(AC802-'FA Addition'!$M802)*(1-(1-'FA Addition'!$P802)^(AI802/365))),0),0)</f>
        <v>0</v>
      </c>
      <c r="AL802" s="117">
        <f>MAX(IF(AG802&gt;0,IF('FA Addition'!$N802="SLM",($AE802-'FA Addition'!$M802)*'FA Addition'!$P802*AG802/365,IFERROR(VDB(AE802,AE802*0.05,'FA Addition'!$O802,0,YEARFRAC('FA Addition'!$C802,$P$1-1,3),'FA Addition'!$Q802),FAAddition[[#This Row],[Original Cost (Rs)]]-FAAddition[[#This Row],[Salvage Value]])),0),0)</f>
        <v>0</v>
      </c>
      <c r="AM802" s="119"/>
      <c r="AN802" s="117">
        <f>MAX(IF(AH802&gt;0,IF('FA Addition'!$N802="SLM",($AF802-'FA Addition'!$M802)*'FA Addition'!$P802*AH802/365,IFERROR(VDB(AF802,AF802*0.05,'FA Addition'!$O802,0,YEARFRAC('FA Addition'!$C802,$L$1,3),'FA Addition'!$Q802),FAAddition[[#This Row],[Original Cost (Rs)]]-FAAddition[[#This Row],[Salvage Value]])),0),0)</f>
        <v>146194.5205479452</v>
      </c>
      <c r="AO802" s="117">
        <f t="shared" si="63"/>
        <v>146194.5205479452</v>
      </c>
      <c r="AQ802" s="117">
        <f t="shared" si="61"/>
        <v>-49500</v>
      </c>
      <c r="AR802" s="120">
        <f t="shared" si="62"/>
        <v>1289305.4794520547</v>
      </c>
      <c r="AS802" s="121"/>
    </row>
    <row r="803" spans="1:45" ht="13.5" x14ac:dyDescent="0.4">
      <c r="A803" s="12">
        <f t="shared" si="64"/>
        <v>800</v>
      </c>
      <c r="B803" s="64" t="s">
        <v>1308</v>
      </c>
      <c r="C803" s="54">
        <v>45189</v>
      </c>
      <c r="D803" s="54">
        <v>45189</v>
      </c>
      <c r="E803" s="46" t="s">
        <v>32</v>
      </c>
      <c r="F803" s="51" t="s">
        <v>1090</v>
      </c>
      <c r="G803" s="51" t="s">
        <v>433</v>
      </c>
      <c r="H803" s="51" t="s">
        <v>32</v>
      </c>
      <c r="I803" s="55" t="s">
        <v>1556</v>
      </c>
      <c r="J803" s="56">
        <v>1500</v>
      </c>
      <c r="K803" s="51" t="s">
        <v>935</v>
      </c>
      <c r="L803" s="58">
        <v>1485000</v>
      </c>
      <c r="M803" s="50">
        <f>ROUND('FA Addition'!$L803*5%,0.1)</f>
        <v>74250</v>
      </c>
      <c r="N803" s="113" t="str">
        <f>_xlfn.XLOOKUP(_xlfn.CONCAT(E803,B803),'Year Wise Master Dep Approach'!F:F,'Year Wise Master Dep Approach'!D:D)</f>
        <v>SLM</v>
      </c>
      <c r="O803" s="113">
        <f>_xlfn.XLOOKUP(_xlfn.CONCAT(E803,B803),'Year Wise Master Dep Approach'!F:F,'Year Wise Master Dep Approach'!E:E)</f>
        <v>5</v>
      </c>
      <c r="P803" s="114">
        <f>IFERROR(IF('FA Addition'!$N803="WDV",1-('FA Addition'!$M803/'FA Addition'!$L803)^(1/'FA Addition'!$O803),1/'FA Addition'!$O803),0)</f>
        <v>0.2</v>
      </c>
      <c r="Q803" s="122">
        <f>'FA Addition'!$P803*'FA Addition'!$O803</f>
        <v>1</v>
      </c>
      <c r="R803" s="122"/>
      <c r="S803" s="116">
        <f>IF(AND(DATE(20&amp;LEFT(FAAddition[[#This Row],[FY]],2),4,1)&lt;$L$1+1,DATE(20&amp;LEFT(FAAddition[[#This Row],[FY]],2),4,1)&gt;$P$1-1),'FA Addition'!$J803,0)</f>
        <v>1500</v>
      </c>
      <c r="U803" s="117">
        <f>S803*'FA Addition'!$L803/'FA Addition'!$J803</f>
        <v>1485000</v>
      </c>
      <c r="W803" s="116">
        <f>SUMIFS('FA Write off'!D:D,'FA Write off'!A:A,'FA Addition'!$A803,'FA Write off'!C:C,"&lt;"&amp;'FA Addition'!$P$1)</f>
        <v>12</v>
      </c>
      <c r="Y803" s="191">
        <f>IFERROR(W803/'FA Addition'!$J803*'FA Addition'!$L803,0)</f>
        <v>11880</v>
      </c>
      <c r="AA803" s="116">
        <f>SUMIFS('FA Write off'!D:D,'FA Write off'!A:A,'FA Addition'!$A803,'FA Write off'!C:C,"&lt;"&amp;'FA Addition'!$L$1+1,'FA Write off'!C:C,"&gt;"&amp;'FA Addition'!$L$1-365)</f>
        <v>0</v>
      </c>
      <c r="AC803" s="118">
        <f>IFERROR(AA803/'FA Addition'!$J803*'FA Addition'!$L803,0)</f>
        <v>0</v>
      </c>
      <c r="AE803" s="117">
        <f>IF(AND('FA Addition'!$D803&lt;$P$1+1,U803=0),'FA Addition'!$L803,0)-Y803</f>
        <v>-11880</v>
      </c>
      <c r="AF803" s="117">
        <f t="shared" si="60"/>
        <v>1473120</v>
      </c>
      <c r="AG803" s="117">
        <f>MIN(MAX(+$P$1-'FA Addition'!$D803,0),365*'FA Addition'!$O803)</f>
        <v>0</v>
      </c>
      <c r="AH803" s="117">
        <f>MIN(MAX($L$1-'FA Addition'!$D803+1,0),365*'FA Addition'!$O803)</f>
        <v>194</v>
      </c>
      <c r="AI803" s="117" cm="1">
        <f t="array" ref="AI803">_xlfn.XLOOKUP(1,('FA Write off'!A:A='FA Addition'!$A803)*('FA Write off'!D:D=AA803),'FA Write off'!H:H,0,0)</f>
        <v>0</v>
      </c>
      <c r="AJ803" s="117">
        <f>IF(AC803&gt;0,MAX(IF('FA Addition'!$N803="SLM",($AC803-'FA Addition'!$M803)*'FA Addition'!$P803*AI803/365,(AC803-'FA Addition'!$M803)*(1-(1-'FA Addition'!$P803)^(AI803/365))),0),0)</f>
        <v>0</v>
      </c>
      <c r="AL803" s="117">
        <f>MAX(IF(AG803&gt;0,IF('FA Addition'!$N803="SLM",($AE803-'FA Addition'!$M803)*'FA Addition'!$P803*AG803/365,IFERROR(VDB(AE803,AE803*0.05,'FA Addition'!$O803,0,YEARFRAC('FA Addition'!$C803,$P$1-1,3),'FA Addition'!$Q803),FAAddition[[#This Row],[Original Cost (Rs)]]-FAAddition[[#This Row],[Salvage Value]])),0),0)</f>
        <v>0</v>
      </c>
      <c r="AM803" s="119"/>
      <c r="AN803" s="117">
        <f>MAX(IF(AH803&gt;0,IF('FA Addition'!$N803="SLM",($AF803-'FA Addition'!$M803)*'FA Addition'!$P803*AH803/365,IFERROR(VDB(AF803,AF803*0.05,'FA Addition'!$O803,0,YEARFRAC('FA Addition'!$C803,$L$1,3),'FA Addition'!$Q803),FAAddition[[#This Row],[Original Cost (Rs)]]-FAAddition[[#This Row],[Salvage Value]])),0),0)</f>
        <v>148701.79726027398</v>
      </c>
      <c r="AO803" s="117">
        <f t="shared" si="63"/>
        <v>148701.79726027398</v>
      </c>
      <c r="AQ803" s="117">
        <f t="shared" si="61"/>
        <v>-11880</v>
      </c>
      <c r="AR803" s="120">
        <f t="shared" si="62"/>
        <v>1324418.2027397261</v>
      </c>
      <c r="AS803" s="121"/>
    </row>
    <row r="804" spans="1:45" ht="13.5" x14ac:dyDescent="0.4">
      <c r="A804" s="12">
        <f t="shared" si="64"/>
        <v>801</v>
      </c>
      <c r="B804" s="64" t="s">
        <v>1308</v>
      </c>
      <c r="C804" s="54">
        <v>45189</v>
      </c>
      <c r="D804" s="54">
        <v>45189</v>
      </c>
      <c r="E804" s="46" t="s">
        <v>451</v>
      </c>
      <c r="F804" s="51" t="s">
        <v>19</v>
      </c>
      <c r="G804" s="51" t="s">
        <v>1134</v>
      </c>
      <c r="H804" s="51" t="s">
        <v>21</v>
      </c>
      <c r="I804" s="55" t="s">
        <v>1557</v>
      </c>
      <c r="J804" s="56">
        <v>1</v>
      </c>
      <c r="K804" s="51" t="s">
        <v>1528</v>
      </c>
      <c r="L804" s="58">
        <v>52533.9</v>
      </c>
      <c r="M804" s="50">
        <f>ROUND('FA Addition'!$L804*5%,0.1)</f>
        <v>2627</v>
      </c>
      <c r="N804" s="113" t="str">
        <f>_xlfn.XLOOKUP(_xlfn.CONCAT(E804,B804),'Year Wise Master Dep Approach'!F:F,'Year Wise Master Dep Approach'!D:D)</f>
        <v>WDV</v>
      </c>
      <c r="O804" s="113">
        <f>_xlfn.XLOOKUP(_xlfn.CONCAT(E804,B804),'Year Wise Master Dep Approach'!F:F,'Year Wise Master Dep Approach'!E:E)</f>
        <v>3</v>
      </c>
      <c r="P804" s="114">
        <f>IFERROR(IF('FA Addition'!$N804="WDV",1-('FA Addition'!$M804/'FA Addition'!$L804)^(1/'FA Addition'!$O804),1/'FA Addition'!$O804),0)</f>
        <v>0.63158259158266372</v>
      </c>
      <c r="Q804" s="122">
        <f>'FA Addition'!$P804*'FA Addition'!$O804</f>
        <v>1.8947477747479913</v>
      </c>
      <c r="R804" s="122"/>
      <c r="S804" s="116">
        <f>IF(AND(DATE(20&amp;LEFT(FAAddition[[#This Row],[FY]],2),4,1)&lt;$L$1+1,DATE(20&amp;LEFT(FAAddition[[#This Row],[FY]],2),4,1)&gt;$P$1-1),'FA Addition'!$J804,0)</f>
        <v>1</v>
      </c>
      <c r="U804" s="117">
        <f>S804*'FA Addition'!$L804/'FA Addition'!$J804</f>
        <v>52533.9</v>
      </c>
      <c r="W804" s="116">
        <f>SUMIFS('FA Write off'!D:D,'FA Write off'!A:A,'FA Addition'!$A804,'FA Write off'!C:C,"&lt;"&amp;'FA Addition'!$P$1)</f>
        <v>0</v>
      </c>
      <c r="Y804" s="191">
        <f>IFERROR(W804/'FA Addition'!$J804*'FA Addition'!$L804,0)</f>
        <v>0</v>
      </c>
      <c r="AA804" s="116">
        <f>SUMIFS('FA Write off'!D:D,'FA Write off'!A:A,'FA Addition'!$A804,'FA Write off'!C:C,"&lt;"&amp;'FA Addition'!$L$1+1,'FA Write off'!C:C,"&gt;"&amp;'FA Addition'!$L$1-365)</f>
        <v>0</v>
      </c>
      <c r="AC804" s="118">
        <f>IFERROR(AA804/'FA Addition'!$J804*'FA Addition'!$L804,0)</f>
        <v>0</v>
      </c>
      <c r="AE804" s="117">
        <f>IF(AND('FA Addition'!$D804&lt;$P$1+1,U804=0),'FA Addition'!$L804,0)-Y804</f>
        <v>0</v>
      </c>
      <c r="AF804" s="117">
        <f t="shared" si="60"/>
        <v>52533.9</v>
      </c>
      <c r="AG804" s="117">
        <f>MIN(MAX(+$P$1-'FA Addition'!$D804,0),365*'FA Addition'!$O804)</f>
        <v>0</v>
      </c>
      <c r="AH804" s="117">
        <f>MIN(MAX($L$1-'FA Addition'!$D804+1,0),365*'FA Addition'!$O804)</f>
        <v>194</v>
      </c>
      <c r="AI804" s="117" cm="1">
        <f t="array" ref="AI804">_xlfn.XLOOKUP(1,('FA Write off'!A:A='FA Addition'!$A804)*('FA Write off'!D:D=AA804),'FA Write off'!H:H,0,0)</f>
        <v>0</v>
      </c>
      <c r="AJ804" s="117">
        <f>IF(AC804&gt;0,MAX(IF('FA Addition'!$N804="SLM",($AC804-'FA Addition'!$M804)*'FA Addition'!$P804*AI804/365,(AC804-'FA Addition'!$M804)*(1-(1-'FA Addition'!$P804)^(AI804/365))),0),0)</f>
        <v>0</v>
      </c>
      <c r="AL804" s="117">
        <f>MAX(IF(AG804&gt;0,IF('FA Addition'!$N804="SLM",($AE804-'FA Addition'!$M804)*'FA Addition'!$P804*AG804/365,IFERROR(VDB(AE804,AE804*0.05,'FA Addition'!$O804,0,YEARFRAC('FA Addition'!$C804,$P$1-1,3),'FA Addition'!$Q804),FAAddition[[#This Row],[Original Cost (Rs)]]-FAAddition[[#This Row],[Salvage Value]])),0),0)</f>
        <v>0</v>
      </c>
      <c r="AM804" s="119"/>
      <c r="AN804" s="117">
        <f>MAX(IF(AH804&gt;0,IF('FA Addition'!$N804="SLM",($AF804-'FA Addition'!$M804)*'FA Addition'!$P804*AH804/365,IFERROR(VDB(AF804,AF804*0.05,'FA Addition'!$O804,0,YEARFRAC('FA Addition'!$C804,$L$1,3),'FA Addition'!$Q804),FAAddition[[#This Row],[Original Cost (Rs)]]-FAAddition[[#This Row],[Salvage Value]])),0),0)</f>
        <v>17544.227026392571</v>
      </c>
      <c r="AO804" s="117">
        <f t="shared" si="63"/>
        <v>17544.227026392571</v>
      </c>
      <c r="AQ804" s="117">
        <f t="shared" si="61"/>
        <v>0</v>
      </c>
      <c r="AR804" s="120">
        <f t="shared" si="62"/>
        <v>34989.672973607434</v>
      </c>
      <c r="AS804" s="121"/>
    </row>
    <row r="805" spans="1:45" ht="13.5" x14ac:dyDescent="0.4">
      <c r="A805" s="12">
        <f t="shared" si="64"/>
        <v>802</v>
      </c>
      <c r="B805" s="64" t="s">
        <v>1308</v>
      </c>
      <c r="C805" s="54">
        <v>45195</v>
      </c>
      <c r="D805" s="54">
        <v>45195</v>
      </c>
      <c r="E805" s="46" t="s">
        <v>1320</v>
      </c>
      <c r="F805" s="51" t="s">
        <v>33</v>
      </c>
      <c r="G805" s="51" t="s">
        <v>36</v>
      </c>
      <c r="H805" s="51" t="s">
        <v>32</v>
      </c>
      <c r="I805" s="55" t="s">
        <v>1558</v>
      </c>
      <c r="J805" s="56">
        <v>1000</v>
      </c>
      <c r="K805" s="51" t="s">
        <v>296</v>
      </c>
      <c r="L805" s="58">
        <v>1700000</v>
      </c>
      <c r="M805" s="50">
        <f>ROUND('FA Addition'!$L805*5%,0.1)</f>
        <v>85000</v>
      </c>
      <c r="N805" s="113" t="str">
        <f>_xlfn.XLOOKUP(_xlfn.CONCAT(E805,B805),'Year Wise Master Dep Approach'!F:F,'Year Wise Master Dep Approach'!D:D)</f>
        <v>SLM</v>
      </c>
      <c r="O805" s="113">
        <f>_xlfn.XLOOKUP(_xlfn.CONCAT(E805,B805),'Year Wise Master Dep Approach'!F:F,'Year Wise Master Dep Approach'!E:E)</f>
        <v>5</v>
      </c>
      <c r="P805" s="114">
        <f>IFERROR(IF('FA Addition'!$N805="WDV",1-('FA Addition'!$M805/'FA Addition'!$L805)^(1/'FA Addition'!$O805),1/'FA Addition'!$O805),0)</f>
        <v>0.2</v>
      </c>
      <c r="Q805" s="122">
        <f>'FA Addition'!$P805*'FA Addition'!$O805</f>
        <v>1</v>
      </c>
      <c r="R805" s="122"/>
      <c r="S805" s="116">
        <f>IF(AND(DATE(20&amp;LEFT(FAAddition[[#This Row],[FY]],2),4,1)&lt;$L$1+1,DATE(20&amp;LEFT(FAAddition[[#This Row],[FY]],2),4,1)&gt;$P$1-1),'FA Addition'!$J805,0)</f>
        <v>1000</v>
      </c>
      <c r="U805" s="117">
        <f>S805*'FA Addition'!$L805/'FA Addition'!$J805</f>
        <v>1700000</v>
      </c>
      <c r="W805" s="116">
        <f>SUMIFS('FA Write off'!D:D,'FA Write off'!A:A,'FA Addition'!$A805,'FA Write off'!C:C,"&lt;"&amp;'FA Addition'!$P$1)</f>
        <v>0</v>
      </c>
      <c r="Y805" s="191">
        <f>IFERROR(W805/'FA Addition'!$J805*'FA Addition'!$L805,0)</f>
        <v>0</v>
      </c>
      <c r="AA805" s="116">
        <f>SUMIFS('FA Write off'!D:D,'FA Write off'!A:A,'FA Addition'!$A805,'FA Write off'!C:C,"&lt;"&amp;'FA Addition'!$L$1+1,'FA Write off'!C:C,"&gt;"&amp;'FA Addition'!$L$1-365)</f>
        <v>0</v>
      </c>
      <c r="AC805" s="118">
        <f>IFERROR(AA805/'FA Addition'!$J805*'FA Addition'!$L805,0)</f>
        <v>0</v>
      </c>
      <c r="AE805" s="117">
        <f>IF(AND('FA Addition'!$D805&lt;$P$1+1,U805=0),'FA Addition'!$L805,0)-Y805</f>
        <v>0</v>
      </c>
      <c r="AF805" s="117">
        <f t="shared" si="60"/>
        <v>1700000</v>
      </c>
      <c r="AG805" s="117">
        <f>MIN(MAX(+$P$1-'FA Addition'!$D805,0),365*'FA Addition'!$O805)</f>
        <v>0</v>
      </c>
      <c r="AH805" s="117">
        <f>MIN(MAX($L$1-'FA Addition'!$D805+1,0),365*'FA Addition'!$O805)</f>
        <v>188</v>
      </c>
      <c r="AI805" s="117" cm="1">
        <f t="array" ref="AI805">_xlfn.XLOOKUP(1,('FA Write off'!A:A='FA Addition'!$A805)*('FA Write off'!D:D=AA805),'FA Write off'!H:H,0,0)</f>
        <v>0</v>
      </c>
      <c r="AJ805" s="117">
        <f>IF(AC805&gt;0,MAX(IF('FA Addition'!$N805="SLM",($AC805-'FA Addition'!$M805)*'FA Addition'!$P805*AI805/365,(AC805-'FA Addition'!$M805)*(1-(1-'FA Addition'!$P805)^(AI805/365))),0),0)</f>
        <v>0</v>
      </c>
      <c r="AL805" s="117">
        <f>MAX(IF(AG805&gt;0,IF('FA Addition'!$N805="SLM",($AE805-'FA Addition'!$M805)*'FA Addition'!$P805*AG805/365,IFERROR(VDB(AE805,AE805*0.05,'FA Addition'!$O805,0,YEARFRAC('FA Addition'!$C805,$P$1-1,3),'FA Addition'!$Q805),FAAddition[[#This Row],[Original Cost (Rs)]]-FAAddition[[#This Row],[Salvage Value]])),0),0)</f>
        <v>0</v>
      </c>
      <c r="AM805" s="119"/>
      <c r="AN805" s="117">
        <f>MAX(IF(AH805&gt;0,IF('FA Addition'!$N805="SLM",($AF805-'FA Addition'!$M805)*'FA Addition'!$P805*AH805/365,IFERROR(VDB(AF805,AF805*0.05,'FA Addition'!$O805,0,YEARFRAC('FA Addition'!$C805,$L$1,3),'FA Addition'!$Q805),FAAddition[[#This Row],[Original Cost (Rs)]]-FAAddition[[#This Row],[Salvage Value]])),0),0)</f>
        <v>166367.12328767125</v>
      </c>
      <c r="AO805" s="117">
        <f t="shared" si="63"/>
        <v>166367.12328767125</v>
      </c>
      <c r="AQ805" s="117">
        <f t="shared" si="61"/>
        <v>0</v>
      </c>
      <c r="AR805" s="120">
        <f t="shared" si="62"/>
        <v>1533632.8767123288</v>
      </c>
      <c r="AS805" s="121"/>
    </row>
    <row r="806" spans="1:45" ht="13.5" x14ac:dyDescent="0.4">
      <c r="A806" s="12">
        <f t="shared" si="64"/>
        <v>803</v>
      </c>
      <c r="B806" s="64" t="s">
        <v>1308</v>
      </c>
      <c r="C806" s="54">
        <v>45195</v>
      </c>
      <c r="D806" s="54">
        <v>45195</v>
      </c>
      <c r="E806" s="46" t="s">
        <v>1389</v>
      </c>
      <c r="F806" s="51" t="s">
        <v>1112</v>
      </c>
      <c r="G806" s="51" t="s">
        <v>36</v>
      </c>
      <c r="H806" s="51" t="s">
        <v>1113</v>
      </c>
      <c r="I806" s="55" t="s">
        <v>1559</v>
      </c>
      <c r="J806" s="56">
        <v>2000</v>
      </c>
      <c r="K806" s="51" t="s">
        <v>1132</v>
      </c>
      <c r="L806" s="58">
        <v>1460000</v>
      </c>
      <c r="M806" s="50">
        <f>ROUND('FA Addition'!$L806*5%,0.1)</f>
        <v>73000</v>
      </c>
      <c r="N806" s="113" t="str">
        <f>_xlfn.XLOOKUP(_xlfn.CONCAT(E806,B806),'Year Wise Master Dep Approach'!F:F,'Year Wise Master Dep Approach'!D:D)</f>
        <v>SLM</v>
      </c>
      <c r="O806" s="113">
        <f>_xlfn.XLOOKUP(_xlfn.CONCAT(E806,B806),'Year Wise Master Dep Approach'!F:F,'Year Wise Master Dep Approach'!E:E)</f>
        <v>3</v>
      </c>
      <c r="P806" s="114">
        <f>IFERROR(IF('FA Addition'!$N806="WDV",1-('FA Addition'!$M806/'FA Addition'!$L806)^(1/'FA Addition'!$O806),1/'FA Addition'!$O806),0)</f>
        <v>0.33333333333333331</v>
      </c>
      <c r="Q806" s="122">
        <f>'FA Addition'!$P806*'FA Addition'!$O806</f>
        <v>1</v>
      </c>
      <c r="R806" s="122"/>
      <c r="S806" s="116">
        <f>IF(AND(DATE(20&amp;LEFT(FAAddition[[#This Row],[FY]],2),4,1)&lt;$L$1+1,DATE(20&amp;LEFT(FAAddition[[#This Row],[FY]],2),4,1)&gt;$P$1-1),'FA Addition'!$J806,0)</f>
        <v>2000</v>
      </c>
      <c r="U806" s="117">
        <f>S806*'FA Addition'!$L806/'FA Addition'!$J806</f>
        <v>1460000</v>
      </c>
      <c r="W806" s="116">
        <f>SUMIFS('FA Write off'!D:D,'FA Write off'!A:A,'FA Addition'!$A806,'FA Write off'!C:C,"&lt;"&amp;'FA Addition'!$P$1)</f>
        <v>0</v>
      </c>
      <c r="Y806" s="191">
        <f>IFERROR(W806/'FA Addition'!$J806*'FA Addition'!$L806,0)</f>
        <v>0</v>
      </c>
      <c r="AA806" s="116">
        <f>SUMIFS('FA Write off'!D:D,'FA Write off'!A:A,'FA Addition'!$A806,'FA Write off'!C:C,"&lt;"&amp;'FA Addition'!$L$1+1,'FA Write off'!C:C,"&gt;"&amp;'FA Addition'!$L$1-365)</f>
        <v>0</v>
      </c>
      <c r="AC806" s="118">
        <f>IFERROR(AA806/'FA Addition'!$J806*'FA Addition'!$L806,0)</f>
        <v>0</v>
      </c>
      <c r="AE806" s="117">
        <f>IF(AND('FA Addition'!$D806&lt;$P$1+1,U806=0),'FA Addition'!$L806,0)-Y806</f>
        <v>0</v>
      </c>
      <c r="AF806" s="117">
        <f t="shared" si="60"/>
        <v>1460000</v>
      </c>
      <c r="AG806" s="117">
        <f>MIN(MAX(+$P$1-'FA Addition'!$D806,0),365*'FA Addition'!$O806)</f>
        <v>0</v>
      </c>
      <c r="AH806" s="117">
        <f>MIN(MAX($L$1-'FA Addition'!$D806+1,0),365*'FA Addition'!$O806)</f>
        <v>188</v>
      </c>
      <c r="AI806" s="117" cm="1">
        <f t="array" ref="AI806">_xlfn.XLOOKUP(1,('FA Write off'!A:A='FA Addition'!$A806)*('FA Write off'!D:D=AA806),'FA Write off'!H:H,0,0)</f>
        <v>0</v>
      </c>
      <c r="AJ806" s="117">
        <f>IF(AC806&gt;0,MAX(IF('FA Addition'!$N806="SLM",($AC806-'FA Addition'!$M806)*'FA Addition'!$P806*AI806/365,(AC806-'FA Addition'!$M806)*(1-(1-'FA Addition'!$P806)^(AI806/365))),0),0)</f>
        <v>0</v>
      </c>
      <c r="AL806" s="117">
        <f>MAX(IF(AG806&gt;0,IF('FA Addition'!$N806="SLM",($AE806-'FA Addition'!$M806)*'FA Addition'!$P806*AG806/365,IFERROR(VDB(AE806,AE806*0.05,'FA Addition'!$O806,0,YEARFRAC('FA Addition'!$C806,$P$1-1,3),'FA Addition'!$Q806),FAAddition[[#This Row],[Original Cost (Rs)]]-FAAddition[[#This Row],[Salvage Value]])),0),0)</f>
        <v>0</v>
      </c>
      <c r="AM806" s="119"/>
      <c r="AN806" s="117">
        <f>MAX(IF(AH806&gt;0,IF('FA Addition'!$N806="SLM",($AF806-'FA Addition'!$M806)*'FA Addition'!$P806*AH806/365,IFERROR(VDB(AF806,AF806*0.05,'FA Addition'!$O806,0,YEARFRAC('FA Addition'!$C806,$L$1,3),'FA Addition'!$Q806),FAAddition[[#This Row],[Original Cost (Rs)]]-FAAddition[[#This Row],[Salvage Value]])),0),0)</f>
        <v>238133.33333333331</v>
      </c>
      <c r="AO806" s="117">
        <f t="shared" si="63"/>
        <v>238133.33333333331</v>
      </c>
      <c r="AQ806" s="117">
        <f t="shared" si="61"/>
        <v>0</v>
      </c>
      <c r="AR806" s="120">
        <f t="shared" si="62"/>
        <v>1221866.6666666667</v>
      </c>
      <c r="AS806" s="121"/>
    </row>
    <row r="807" spans="1:45" ht="13.5" x14ac:dyDescent="0.4">
      <c r="A807" s="12">
        <f t="shared" si="64"/>
        <v>804</v>
      </c>
      <c r="B807" s="64" t="s">
        <v>1308</v>
      </c>
      <c r="C807" s="54">
        <v>45197</v>
      </c>
      <c r="D807" s="54">
        <v>45197</v>
      </c>
      <c r="E807" s="46" t="s">
        <v>32</v>
      </c>
      <c r="F807" s="51" t="s">
        <v>1090</v>
      </c>
      <c r="G807" s="51" t="s">
        <v>433</v>
      </c>
      <c r="H807" s="51" t="s">
        <v>32</v>
      </c>
      <c r="I807" s="55" t="s">
        <v>1560</v>
      </c>
      <c r="J807" s="56">
        <v>500</v>
      </c>
      <c r="K807" s="51" t="s">
        <v>935</v>
      </c>
      <c r="L807" s="58">
        <v>495000</v>
      </c>
      <c r="M807" s="50">
        <f>ROUND('FA Addition'!$L807*5%,0.1)</f>
        <v>24750</v>
      </c>
      <c r="N807" s="113" t="str">
        <f>_xlfn.XLOOKUP(_xlfn.CONCAT(E807,B807),'Year Wise Master Dep Approach'!F:F,'Year Wise Master Dep Approach'!D:D)</f>
        <v>SLM</v>
      </c>
      <c r="O807" s="113">
        <f>_xlfn.XLOOKUP(_xlfn.CONCAT(E807,B807),'Year Wise Master Dep Approach'!F:F,'Year Wise Master Dep Approach'!E:E)</f>
        <v>5</v>
      </c>
      <c r="P807" s="114">
        <f>IFERROR(IF('FA Addition'!$N807="WDV",1-('FA Addition'!$M807/'FA Addition'!$L807)^(1/'FA Addition'!$O807),1/'FA Addition'!$O807),0)</f>
        <v>0.2</v>
      </c>
      <c r="Q807" s="122">
        <f>'FA Addition'!$P807*'FA Addition'!$O807</f>
        <v>1</v>
      </c>
      <c r="R807" s="122"/>
      <c r="S807" s="116">
        <f>IF(AND(DATE(20&amp;LEFT(FAAddition[[#This Row],[FY]],2),4,1)&lt;$L$1+1,DATE(20&amp;LEFT(FAAddition[[#This Row],[FY]],2),4,1)&gt;$P$1-1),'FA Addition'!$J807,0)</f>
        <v>500</v>
      </c>
      <c r="U807" s="117">
        <f>S807*'FA Addition'!$L807/'FA Addition'!$J807</f>
        <v>495000</v>
      </c>
      <c r="W807" s="116">
        <f>SUMIFS('FA Write off'!D:D,'FA Write off'!A:A,'FA Addition'!$A807,'FA Write off'!C:C,"&lt;"&amp;'FA Addition'!$P$1)</f>
        <v>5</v>
      </c>
      <c r="Y807" s="191">
        <f>IFERROR(W807/'FA Addition'!$J807*'FA Addition'!$L807,0)</f>
        <v>4950</v>
      </c>
      <c r="AA807" s="116">
        <f>SUMIFS('FA Write off'!D:D,'FA Write off'!A:A,'FA Addition'!$A807,'FA Write off'!C:C,"&lt;"&amp;'FA Addition'!$L$1+1,'FA Write off'!C:C,"&gt;"&amp;'FA Addition'!$L$1-365)</f>
        <v>0</v>
      </c>
      <c r="AC807" s="118">
        <f>IFERROR(AA807/'FA Addition'!$J807*'FA Addition'!$L807,0)</f>
        <v>0</v>
      </c>
      <c r="AE807" s="117">
        <f>IF(AND('FA Addition'!$D807&lt;$P$1+1,U807=0),'FA Addition'!$L807,0)-Y807</f>
        <v>-4950</v>
      </c>
      <c r="AF807" s="117">
        <f t="shared" si="60"/>
        <v>490050</v>
      </c>
      <c r="AG807" s="117">
        <f>MIN(MAX(+$P$1-'FA Addition'!$D807,0),365*'FA Addition'!$O807)</f>
        <v>0</v>
      </c>
      <c r="AH807" s="117">
        <f>MIN(MAX($L$1-'FA Addition'!$D807+1,0),365*'FA Addition'!$O807)</f>
        <v>186</v>
      </c>
      <c r="AI807" s="117" cm="1">
        <f t="array" ref="AI807">_xlfn.XLOOKUP(1,('FA Write off'!A:A='FA Addition'!$A807)*('FA Write off'!D:D=AA807),'FA Write off'!H:H,0,0)</f>
        <v>0</v>
      </c>
      <c r="AJ807" s="117">
        <f>IF(AC807&gt;0,MAX(IF('FA Addition'!$N807="SLM",($AC807-'FA Addition'!$M807)*'FA Addition'!$P807*AI807/365,(AC807-'FA Addition'!$M807)*(1-(1-'FA Addition'!$P807)^(AI807/365))),0),0)</f>
        <v>0</v>
      </c>
      <c r="AL807" s="117">
        <f>MAX(IF(AG807&gt;0,IF('FA Addition'!$N807="SLM",($AE807-'FA Addition'!$M807)*'FA Addition'!$P807*AG807/365,IFERROR(VDB(AE807,AE807*0.05,'FA Addition'!$O807,0,YEARFRAC('FA Addition'!$C807,$P$1-1,3),'FA Addition'!$Q807),FAAddition[[#This Row],[Original Cost (Rs)]]-FAAddition[[#This Row],[Salvage Value]])),0),0)</f>
        <v>0</v>
      </c>
      <c r="AM807" s="119"/>
      <c r="AN807" s="117">
        <f>MAX(IF(AH807&gt;0,IF('FA Addition'!$N807="SLM",($AF807-'FA Addition'!$M807)*'FA Addition'!$P807*AH807/365,IFERROR(VDB(AF807,AF807*0.05,'FA Addition'!$O807,0,YEARFRAC('FA Addition'!$C807,$L$1,3),'FA Addition'!$Q807),FAAddition[[#This Row],[Original Cost (Rs)]]-FAAddition[[#This Row],[Salvage Value]])),0),0)</f>
        <v>47422.356164383564</v>
      </c>
      <c r="AO807" s="117">
        <f t="shared" si="63"/>
        <v>47422.356164383564</v>
      </c>
      <c r="AQ807" s="117">
        <f t="shared" si="61"/>
        <v>-4950</v>
      </c>
      <c r="AR807" s="120">
        <f t="shared" si="62"/>
        <v>442627.64383561641</v>
      </c>
      <c r="AS807" s="121"/>
    </row>
    <row r="808" spans="1:45" ht="13.5" x14ac:dyDescent="0.4">
      <c r="A808" s="12">
        <f t="shared" si="64"/>
        <v>805</v>
      </c>
      <c r="B808" s="64" t="s">
        <v>1308</v>
      </c>
      <c r="C808" s="54">
        <v>45199</v>
      </c>
      <c r="D808" s="54">
        <v>45199</v>
      </c>
      <c r="E808" s="46" t="s">
        <v>1495</v>
      </c>
      <c r="F808" s="51" t="s">
        <v>1496</v>
      </c>
      <c r="G808" s="51" t="s">
        <v>1499</v>
      </c>
      <c r="H808" s="51" t="s">
        <v>1561</v>
      </c>
      <c r="I808" s="55" t="s">
        <v>1562</v>
      </c>
      <c r="J808" s="56">
        <v>4</v>
      </c>
      <c r="K808" s="51" t="s">
        <v>1563</v>
      </c>
      <c r="L808" s="58">
        <v>122033.89830508475</v>
      </c>
      <c r="M808" s="50">
        <f>ROUND('FA Addition'!$L808*5%,0.1)</f>
        <v>6102</v>
      </c>
      <c r="N808" s="113" t="str">
        <f>_xlfn.XLOOKUP(_xlfn.CONCAT(E808,B808),'Year Wise Master Dep Approach'!F:F,'Year Wise Master Dep Approach'!D:D)</f>
        <v>SLM</v>
      </c>
      <c r="O808" s="113">
        <f>_xlfn.XLOOKUP(_xlfn.CONCAT(E808,B808),'Year Wise Master Dep Approach'!F:F,'Year Wise Master Dep Approach'!E:E)</f>
        <v>3</v>
      </c>
      <c r="P808" s="114">
        <f>IFERROR(IF('FA Addition'!$N808="WDV",1-('FA Addition'!$M808/'FA Addition'!$L808)^(1/'FA Addition'!$O808),1/'FA Addition'!$O808),0)</f>
        <v>0.33333333333333331</v>
      </c>
      <c r="Q808" s="122">
        <f>'FA Addition'!$P808*'FA Addition'!$O808</f>
        <v>1</v>
      </c>
      <c r="R808" s="122"/>
      <c r="S808" s="116">
        <f>IF(AND(DATE(20&amp;LEFT(FAAddition[[#This Row],[FY]],2),4,1)&lt;$L$1+1,DATE(20&amp;LEFT(FAAddition[[#This Row],[FY]],2),4,1)&gt;$P$1-1),'FA Addition'!$J808,0)</f>
        <v>4</v>
      </c>
      <c r="U808" s="117">
        <f>S808*'FA Addition'!$L808/'FA Addition'!$J808</f>
        <v>122033.89830508475</v>
      </c>
      <c r="W808" s="116">
        <f>SUMIFS('FA Write off'!D:D,'FA Write off'!A:A,'FA Addition'!$A808,'FA Write off'!C:C,"&lt;"&amp;'FA Addition'!$P$1)</f>
        <v>0</v>
      </c>
      <c r="Y808" s="191">
        <f>IFERROR(W808/'FA Addition'!$J808*'FA Addition'!$L808,0)</f>
        <v>0</v>
      </c>
      <c r="AA808" s="116">
        <f>SUMIFS('FA Write off'!D:D,'FA Write off'!A:A,'FA Addition'!$A808,'FA Write off'!C:C,"&lt;"&amp;'FA Addition'!$L$1+1,'FA Write off'!C:C,"&gt;"&amp;'FA Addition'!$L$1-365)</f>
        <v>0</v>
      </c>
      <c r="AC808" s="118">
        <f>IFERROR(AA808/'FA Addition'!$J808*'FA Addition'!$L808,0)</f>
        <v>0</v>
      </c>
      <c r="AE808" s="117">
        <f>IF(AND('FA Addition'!$D808&lt;$P$1+1,U808=0),'FA Addition'!$L808,0)-Y808</f>
        <v>0</v>
      </c>
      <c r="AF808" s="117">
        <f t="shared" si="60"/>
        <v>122033.89830508475</v>
      </c>
      <c r="AG808" s="117">
        <f>MIN(MAX(+$P$1-'FA Addition'!$D808,0),365*'FA Addition'!$O808)</f>
        <v>0</v>
      </c>
      <c r="AH808" s="117">
        <f>MIN(MAX($L$1-'FA Addition'!$D808+1,0),365*'FA Addition'!$O808)</f>
        <v>184</v>
      </c>
      <c r="AI808" s="117" cm="1">
        <f t="array" ref="AI808">_xlfn.XLOOKUP(1,('FA Write off'!A:A='FA Addition'!$A808)*('FA Write off'!D:D=AA808),'FA Write off'!H:H,0,0)</f>
        <v>0</v>
      </c>
      <c r="AJ808" s="117">
        <f>IF(AC808&gt;0,MAX(IF('FA Addition'!$N808="SLM",($AC808-'FA Addition'!$M808)*'FA Addition'!$P808*AI808/365,(AC808-'FA Addition'!$M808)*(1-(1-'FA Addition'!$P808)^(AI808/365))),0),0)</f>
        <v>0</v>
      </c>
      <c r="AL808" s="117">
        <f>MAX(IF(AG808&gt;0,IF('FA Addition'!$N808="SLM",($AE808-'FA Addition'!$M808)*'FA Addition'!$P808*AG808/365,IFERROR(VDB(AE808,AE808*0.05,'FA Addition'!$O808,0,YEARFRAC('FA Addition'!$C808,$P$1-1,3),'FA Addition'!$Q808),FAAddition[[#This Row],[Original Cost (Rs)]]-FAAddition[[#This Row],[Salvage Value]])),0),0)</f>
        <v>0</v>
      </c>
      <c r="AM808" s="119"/>
      <c r="AN808" s="117">
        <f>MAX(IF(AH808&gt;0,IF('FA Addition'!$N808="SLM",($AF808-'FA Addition'!$M808)*'FA Addition'!$P808*AH808/365,IFERROR(VDB(AF808,AF808*0.05,'FA Addition'!$O808,0,YEARFRAC('FA Addition'!$C808,$L$1,3),'FA Addition'!$Q808),FAAddition[[#This Row],[Original Cost (Rs)]]-FAAddition[[#This Row],[Salvage Value]])),0),0)</f>
        <v>19480.793870443464</v>
      </c>
      <c r="AO808" s="117">
        <f t="shared" si="63"/>
        <v>19480.793870443464</v>
      </c>
      <c r="AQ808" s="117">
        <f t="shared" si="61"/>
        <v>0</v>
      </c>
      <c r="AR808" s="120">
        <f t="shared" si="62"/>
        <v>102553.10443464128</v>
      </c>
      <c r="AS808" s="121"/>
    </row>
    <row r="809" spans="1:45" ht="13.5" x14ac:dyDescent="0.4">
      <c r="A809" s="12">
        <f t="shared" si="64"/>
        <v>806</v>
      </c>
      <c r="B809" s="64" t="s">
        <v>1308</v>
      </c>
      <c r="C809" s="54">
        <v>45199</v>
      </c>
      <c r="D809" s="54">
        <v>45199</v>
      </c>
      <c r="E809" s="46" t="s">
        <v>1495</v>
      </c>
      <c r="F809" s="51" t="s">
        <v>1496</v>
      </c>
      <c r="G809" s="51" t="s">
        <v>1499</v>
      </c>
      <c r="H809" s="51" t="s">
        <v>1564</v>
      </c>
      <c r="I809" s="55" t="s">
        <v>1562</v>
      </c>
      <c r="J809" s="56">
        <v>8</v>
      </c>
      <c r="K809" s="51" t="s">
        <v>1565</v>
      </c>
      <c r="L809" s="58">
        <v>162711.86440677967</v>
      </c>
      <c r="M809" s="50">
        <f>ROUND('FA Addition'!$L809*5%,0.1)</f>
        <v>8136</v>
      </c>
      <c r="N809" s="113" t="str">
        <f>_xlfn.XLOOKUP(_xlfn.CONCAT(E809,B809),'Year Wise Master Dep Approach'!F:F,'Year Wise Master Dep Approach'!D:D)</f>
        <v>SLM</v>
      </c>
      <c r="O809" s="113">
        <f>_xlfn.XLOOKUP(_xlfn.CONCAT(E809,B809),'Year Wise Master Dep Approach'!F:F,'Year Wise Master Dep Approach'!E:E)</f>
        <v>3</v>
      </c>
      <c r="P809" s="114">
        <f>IFERROR(IF('FA Addition'!$N809="WDV",1-('FA Addition'!$M809/'FA Addition'!$L809)^(1/'FA Addition'!$O809),1/'FA Addition'!$O809),0)</f>
        <v>0.33333333333333331</v>
      </c>
      <c r="Q809" s="122">
        <f>'FA Addition'!$P809*'FA Addition'!$O809</f>
        <v>1</v>
      </c>
      <c r="R809" s="122"/>
      <c r="S809" s="116">
        <f>IF(AND(DATE(20&amp;LEFT(FAAddition[[#This Row],[FY]],2),4,1)&lt;$L$1+1,DATE(20&amp;LEFT(FAAddition[[#This Row],[FY]],2),4,1)&gt;$P$1-1),'FA Addition'!$J809,0)</f>
        <v>8</v>
      </c>
      <c r="U809" s="117">
        <f>S809*'FA Addition'!$L809/'FA Addition'!$J809</f>
        <v>162711.86440677967</v>
      </c>
      <c r="W809" s="116">
        <f>SUMIFS('FA Write off'!D:D,'FA Write off'!A:A,'FA Addition'!$A809,'FA Write off'!C:C,"&lt;"&amp;'FA Addition'!$P$1)</f>
        <v>0</v>
      </c>
      <c r="Y809" s="191">
        <f>IFERROR(W809/'FA Addition'!$J809*'FA Addition'!$L809,0)</f>
        <v>0</v>
      </c>
      <c r="AA809" s="116">
        <f>SUMIFS('FA Write off'!D:D,'FA Write off'!A:A,'FA Addition'!$A809,'FA Write off'!C:C,"&lt;"&amp;'FA Addition'!$L$1+1,'FA Write off'!C:C,"&gt;"&amp;'FA Addition'!$L$1-365)</f>
        <v>0</v>
      </c>
      <c r="AC809" s="118">
        <f>IFERROR(AA809/'FA Addition'!$J809*'FA Addition'!$L809,0)</f>
        <v>0</v>
      </c>
      <c r="AE809" s="117">
        <f>IF(AND('FA Addition'!$D809&lt;$P$1+1,U809=0),'FA Addition'!$L809,0)-Y809</f>
        <v>0</v>
      </c>
      <c r="AF809" s="117">
        <f t="shared" si="60"/>
        <v>162711.86440677967</v>
      </c>
      <c r="AG809" s="117">
        <f>MIN(MAX(+$P$1-'FA Addition'!$D809,0),365*'FA Addition'!$O809)</f>
        <v>0</v>
      </c>
      <c r="AH809" s="117">
        <f>MIN(MAX($L$1-'FA Addition'!$D809+1,0),365*'FA Addition'!$O809)</f>
        <v>184</v>
      </c>
      <c r="AI809" s="117" cm="1">
        <f t="array" ref="AI809">_xlfn.XLOOKUP(1,('FA Write off'!A:A='FA Addition'!$A809)*('FA Write off'!D:D=AA809),'FA Write off'!H:H,0,0)</f>
        <v>0</v>
      </c>
      <c r="AJ809" s="117">
        <f>IF(AC809&gt;0,MAX(IF('FA Addition'!$N809="SLM",($AC809-'FA Addition'!$M809)*'FA Addition'!$P809*AI809/365,(AC809-'FA Addition'!$M809)*(1-(1-'FA Addition'!$P809)^(AI809/365))),0),0)</f>
        <v>0</v>
      </c>
      <c r="AL809" s="117">
        <f>MAX(IF(AG809&gt;0,IF('FA Addition'!$N809="SLM",($AE809-'FA Addition'!$M809)*'FA Addition'!$P809*AG809/365,IFERROR(VDB(AE809,AE809*0.05,'FA Addition'!$O809,0,YEARFRAC('FA Addition'!$C809,$P$1-1,3),'FA Addition'!$Q809),FAAddition[[#This Row],[Original Cost (Rs)]]-FAAddition[[#This Row],[Salvage Value]])),0),0)</f>
        <v>0</v>
      </c>
      <c r="AM809" s="119"/>
      <c r="AN809" s="117">
        <f>MAX(IF(AH809&gt;0,IF('FA Addition'!$N809="SLM",($AF809-'FA Addition'!$M809)*'FA Addition'!$P809*AH809/365,IFERROR(VDB(AF809,AF809*0.05,'FA Addition'!$O809,0,YEARFRAC('FA Addition'!$C809,$L$1,3),'FA Addition'!$Q809),FAAddition[[#This Row],[Original Cost (Rs)]]-FAAddition[[#This Row],[Salvage Value]])),0),0)</f>
        <v>25974.391827257954</v>
      </c>
      <c r="AO809" s="117">
        <f t="shared" si="63"/>
        <v>25974.391827257954</v>
      </c>
      <c r="AQ809" s="117">
        <f t="shared" si="61"/>
        <v>0</v>
      </c>
      <c r="AR809" s="120">
        <f t="shared" si="62"/>
        <v>136737.47257952171</v>
      </c>
      <c r="AS809" s="121"/>
    </row>
    <row r="810" spans="1:45" ht="13.5" x14ac:dyDescent="0.4">
      <c r="A810" s="12">
        <f t="shared" si="64"/>
        <v>807</v>
      </c>
      <c r="B810" s="64" t="s">
        <v>1308</v>
      </c>
      <c r="C810" s="54">
        <v>45199</v>
      </c>
      <c r="D810" s="54">
        <v>45199</v>
      </c>
      <c r="E810" s="46" t="s">
        <v>1495</v>
      </c>
      <c r="F810" s="51" t="s">
        <v>1496</v>
      </c>
      <c r="G810" s="51" t="s">
        <v>1499</v>
      </c>
      <c r="H810" s="51" t="s">
        <v>1566</v>
      </c>
      <c r="I810" s="55" t="s">
        <v>1562</v>
      </c>
      <c r="J810" s="56">
        <v>1</v>
      </c>
      <c r="K810" s="51" t="s">
        <v>1567</v>
      </c>
      <c r="L810" s="58">
        <v>204406.77966101695</v>
      </c>
      <c r="M810" s="50">
        <f>ROUND('FA Addition'!$L810*5%,0.1)</f>
        <v>10220</v>
      </c>
      <c r="N810" s="113" t="str">
        <f>_xlfn.XLOOKUP(_xlfn.CONCAT(E810,B810),'Year Wise Master Dep Approach'!F:F,'Year Wise Master Dep Approach'!D:D)</f>
        <v>SLM</v>
      </c>
      <c r="O810" s="113">
        <f>_xlfn.XLOOKUP(_xlfn.CONCAT(E810,B810),'Year Wise Master Dep Approach'!F:F,'Year Wise Master Dep Approach'!E:E)</f>
        <v>3</v>
      </c>
      <c r="P810" s="114">
        <f>IFERROR(IF('FA Addition'!$N810="WDV",1-('FA Addition'!$M810/'FA Addition'!$L810)^(1/'FA Addition'!$O810),1/'FA Addition'!$O810),0)</f>
        <v>0.33333333333333331</v>
      </c>
      <c r="Q810" s="122">
        <f>'FA Addition'!$P810*'FA Addition'!$O810</f>
        <v>1</v>
      </c>
      <c r="R810" s="122"/>
      <c r="S810" s="116">
        <f>IF(AND(DATE(20&amp;LEFT(FAAddition[[#This Row],[FY]],2),4,1)&lt;$L$1+1,DATE(20&amp;LEFT(FAAddition[[#This Row],[FY]],2),4,1)&gt;$P$1-1),'FA Addition'!$J810,0)</f>
        <v>1</v>
      </c>
      <c r="U810" s="117">
        <f>S810*'FA Addition'!$L810/'FA Addition'!$J810</f>
        <v>204406.77966101695</v>
      </c>
      <c r="W810" s="116">
        <f>SUMIFS('FA Write off'!D:D,'FA Write off'!A:A,'FA Addition'!$A810,'FA Write off'!C:C,"&lt;"&amp;'FA Addition'!$P$1)</f>
        <v>0</v>
      </c>
      <c r="Y810" s="191">
        <f>IFERROR(W810/'FA Addition'!$J810*'FA Addition'!$L810,0)</f>
        <v>0</v>
      </c>
      <c r="AA810" s="116">
        <f>SUMIFS('FA Write off'!D:D,'FA Write off'!A:A,'FA Addition'!$A810,'FA Write off'!C:C,"&lt;"&amp;'FA Addition'!$L$1+1,'FA Write off'!C:C,"&gt;"&amp;'FA Addition'!$L$1-365)</f>
        <v>0</v>
      </c>
      <c r="AC810" s="118">
        <f>IFERROR(AA810/'FA Addition'!$J810*'FA Addition'!$L810,0)</f>
        <v>0</v>
      </c>
      <c r="AE810" s="117">
        <f>IF(AND('FA Addition'!$D810&lt;$P$1+1,U810=0),'FA Addition'!$L810,0)-Y810</f>
        <v>0</v>
      </c>
      <c r="AF810" s="117">
        <f t="shared" si="60"/>
        <v>204406.77966101695</v>
      </c>
      <c r="AG810" s="117">
        <f>MIN(MAX(+$P$1-'FA Addition'!$D810,0),365*'FA Addition'!$O810)</f>
        <v>0</v>
      </c>
      <c r="AH810" s="117">
        <f>MIN(MAX($L$1-'FA Addition'!$D810+1,0),365*'FA Addition'!$O810)</f>
        <v>184</v>
      </c>
      <c r="AI810" s="117" cm="1">
        <f t="array" ref="AI810">_xlfn.XLOOKUP(1,('FA Write off'!A:A='FA Addition'!$A810)*('FA Write off'!D:D=AA810),'FA Write off'!H:H,0,0)</f>
        <v>0</v>
      </c>
      <c r="AJ810" s="117">
        <f>IF(AC810&gt;0,MAX(IF('FA Addition'!$N810="SLM",($AC810-'FA Addition'!$M810)*'FA Addition'!$P810*AI810/365,(AC810-'FA Addition'!$M810)*(1-(1-'FA Addition'!$P810)^(AI810/365))),0),0)</f>
        <v>0</v>
      </c>
      <c r="AL810" s="117">
        <f>MAX(IF(AG810&gt;0,IF('FA Addition'!$N810="SLM",($AE810-'FA Addition'!$M810)*'FA Addition'!$P810*AG810/365,IFERROR(VDB(AE810,AE810*0.05,'FA Addition'!$O810,0,YEARFRAC('FA Addition'!$C810,$P$1-1,3),'FA Addition'!$Q810),FAAddition[[#This Row],[Original Cost (Rs)]]-FAAddition[[#This Row],[Salvage Value]])),0),0)</f>
        <v>0</v>
      </c>
      <c r="AM810" s="119"/>
      <c r="AN810" s="117">
        <f>MAX(IF(AH810&gt;0,IF('FA Addition'!$N810="SLM",($AF810-'FA Addition'!$M810)*'FA Addition'!$P810*AH810/365,IFERROR(VDB(AF810,AF810*0.05,'FA Addition'!$O810,0,YEARFRAC('FA Addition'!$C810,$L$1,3),'FA Addition'!$Q810),FAAddition[[#This Row],[Original Cost (Rs)]]-FAAddition[[#This Row],[Salvage Value]])),0),0)</f>
        <v>32630.47256404303</v>
      </c>
      <c r="AO810" s="117">
        <f t="shared" si="63"/>
        <v>32630.47256404303</v>
      </c>
      <c r="AQ810" s="117">
        <f t="shared" si="61"/>
        <v>0</v>
      </c>
      <c r="AR810" s="120">
        <f t="shared" si="62"/>
        <v>171776.30709697391</v>
      </c>
      <c r="AS810" s="121"/>
    </row>
    <row r="811" spans="1:45" ht="13.5" x14ac:dyDescent="0.4">
      <c r="A811" s="12">
        <f t="shared" si="64"/>
        <v>808</v>
      </c>
      <c r="B811" s="64" t="s">
        <v>1308</v>
      </c>
      <c r="C811" s="54">
        <v>45199</v>
      </c>
      <c r="D811" s="54">
        <v>45199</v>
      </c>
      <c r="E811" s="46" t="s">
        <v>1495</v>
      </c>
      <c r="F811" s="51" t="s">
        <v>1496</v>
      </c>
      <c r="G811" s="51" t="s">
        <v>1499</v>
      </c>
      <c r="H811" s="51" t="s">
        <v>1568</v>
      </c>
      <c r="I811" s="55" t="s">
        <v>1562</v>
      </c>
      <c r="J811" s="56">
        <v>6</v>
      </c>
      <c r="K811" s="51" t="s">
        <v>1569</v>
      </c>
      <c r="L811" s="58">
        <v>183050.84745762713</v>
      </c>
      <c r="M811" s="50">
        <f>ROUND('FA Addition'!$L811*5%,0.1)</f>
        <v>9153</v>
      </c>
      <c r="N811" s="113" t="str">
        <f>_xlfn.XLOOKUP(_xlfn.CONCAT(E811,B811),'Year Wise Master Dep Approach'!F:F,'Year Wise Master Dep Approach'!D:D)</f>
        <v>SLM</v>
      </c>
      <c r="O811" s="113">
        <f>_xlfn.XLOOKUP(_xlfn.CONCAT(E811,B811),'Year Wise Master Dep Approach'!F:F,'Year Wise Master Dep Approach'!E:E)</f>
        <v>3</v>
      </c>
      <c r="P811" s="114">
        <f>IFERROR(IF('FA Addition'!$N811="WDV",1-('FA Addition'!$M811/'FA Addition'!$L811)^(1/'FA Addition'!$O811),1/'FA Addition'!$O811),0)</f>
        <v>0.33333333333333331</v>
      </c>
      <c r="Q811" s="122">
        <f>'FA Addition'!$P811*'FA Addition'!$O811</f>
        <v>1</v>
      </c>
      <c r="R811" s="122"/>
      <c r="S811" s="116">
        <f>IF(AND(DATE(20&amp;LEFT(FAAddition[[#This Row],[FY]],2),4,1)&lt;$L$1+1,DATE(20&amp;LEFT(FAAddition[[#This Row],[FY]],2),4,1)&gt;$P$1-1),'FA Addition'!$J811,0)</f>
        <v>6</v>
      </c>
      <c r="U811" s="117">
        <f>S811*'FA Addition'!$L811/'FA Addition'!$J811</f>
        <v>183050.84745762715</v>
      </c>
      <c r="W811" s="116">
        <f>SUMIFS('FA Write off'!D:D,'FA Write off'!A:A,'FA Addition'!$A811,'FA Write off'!C:C,"&lt;"&amp;'FA Addition'!$P$1)</f>
        <v>0</v>
      </c>
      <c r="Y811" s="191">
        <f>IFERROR(W811/'FA Addition'!$J811*'FA Addition'!$L811,0)</f>
        <v>0</v>
      </c>
      <c r="AA811" s="116">
        <f>SUMIFS('FA Write off'!D:D,'FA Write off'!A:A,'FA Addition'!$A811,'FA Write off'!C:C,"&lt;"&amp;'FA Addition'!$L$1+1,'FA Write off'!C:C,"&gt;"&amp;'FA Addition'!$L$1-365)</f>
        <v>0</v>
      </c>
      <c r="AC811" s="118">
        <f>IFERROR(AA811/'FA Addition'!$J811*'FA Addition'!$L811,0)</f>
        <v>0</v>
      </c>
      <c r="AE811" s="117">
        <f>IF(AND('FA Addition'!$D811&lt;$P$1+1,U811=0),'FA Addition'!$L811,0)-Y811</f>
        <v>0</v>
      </c>
      <c r="AF811" s="117">
        <f t="shared" si="60"/>
        <v>183050.84745762715</v>
      </c>
      <c r="AG811" s="117">
        <f>MIN(MAX(+$P$1-'FA Addition'!$D811,0),365*'FA Addition'!$O811)</f>
        <v>0</v>
      </c>
      <c r="AH811" s="117">
        <f>MIN(MAX($L$1-'FA Addition'!$D811+1,0),365*'FA Addition'!$O811)</f>
        <v>184</v>
      </c>
      <c r="AI811" s="117" cm="1">
        <f t="array" ref="AI811">_xlfn.XLOOKUP(1,('FA Write off'!A:A='FA Addition'!$A811)*('FA Write off'!D:D=AA811),'FA Write off'!H:H,0,0)</f>
        <v>0</v>
      </c>
      <c r="AJ811" s="117">
        <f>IF(AC811&gt;0,MAX(IF('FA Addition'!$N811="SLM",($AC811-'FA Addition'!$M811)*'FA Addition'!$P811*AI811/365,(AC811-'FA Addition'!$M811)*(1-(1-'FA Addition'!$P811)^(AI811/365))),0),0)</f>
        <v>0</v>
      </c>
      <c r="AL811" s="117">
        <f>MAX(IF(AG811&gt;0,IF('FA Addition'!$N811="SLM",($AE811-'FA Addition'!$M811)*'FA Addition'!$P811*AG811/365,IFERROR(VDB(AE811,AE811*0.05,'FA Addition'!$O811,0,YEARFRAC('FA Addition'!$C811,$P$1-1,3),'FA Addition'!$Q811),FAAddition[[#This Row],[Original Cost (Rs)]]-FAAddition[[#This Row],[Salvage Value]])),0),0)</f>
        <v>0</v>
      </c>
      <c r="AM811" s="119"/>
      <c r="AN811" s="117">
        <f>MAX(IF(AH811&gt;0,IF('FA Addition'!$N811="SLM",($AF811-'FA Addition'!$M811)*'FA Addition'!$P811*AH811/365,IFERROR(VDB(AF811,AF811*0.05,'FA Addition'!$O811,0,YEARFRAC('FA Addition'!$C811,$L$1,3),'FA Addition'!$Q811),FAAddition[[#This Row],[Original Cost (Rs)]]-FAAddition[[#This Row],[Salvage Value]])),0),0)</f>
        <v>29221.190805665199</v>
      </c>
      <c r="AO811" s="117">
        <f t="shared" si="63"/>
        <v>29221.190805665199</v>
      </c>
      <c r="AQ811" s="117">
        <f t="shared" si="61"/>
        <v>0</v>
      </c>
      <c r="AR811" s="120">
        <f t="shared" si="62"/>
        <v>153829.65665196197</v>
      </c>
      <c r="AS811" s="121"/>
    </row>
    <row r="812" spans="1:45" ht="13.5" x14ac:dyDescent="0.4">
      <c r="A812" s="12">
        <f t="shared" si="64"/>
        <v>809</v>
      </c>
      <c r="B812" s="64" t="s">
        <v>1308</v>
      </c>
      <c r="C812" s="54">
        <v>45199</v>
      </c>
      <c r="D812" s="54">
        <v>45199</v>
      </c>
      <c r="E812" s="46" t="s">
        <v>1495</v>
      </c>
      <c r="F812" s="51" t="s">
        <v>1496</v>
      </c>
      <c r="G812" s="51" t="s">
        <v>1499</v>
      </c>
      <c r="H812" s="51" t="s">
        <v>1570</v>
      </c>
      <c r="I812" s="55" t="s">
        <v>1562</v>
      </c>
      <c r="J812" s="56">
        <v>1</v>
      </c>
      <c r="K812" s="51" t="s">
        <v>1571</v>
      </c>
      <c r="L812" s="58">
        <v>227796.61016949153</v>
      </c>
      <c r="M812" s="50">
        <f>ROUND('FA Addition'!$L812*5%,0.1)</f>
        <v>11390</v>
      </c>
      <c r="N812" s="113" t="str">
        <f>_xlfn.XLOOKUP(_xlfn.CONCAT(E812,B812),'Year Wise Master Dep Approach'!F:F,'Year Wise Master Dep Approach'!D:D)</f>
        <v>SLM</v>
      </c>
      <c r="O812" s="113">
        <f>_xlfn.XLOOKUP(_xlfn.CONCAT(E812,B812),'Year Wise Master Dep Approach'!F:F,'Year Wise Master Dep Approach'!E:E)</f>
        <v>3</v>
      </c>
      <c r="P812" s="114">
        <f>IFERROR(IF('FA Addition'!$N812="WDV",1-('FA Addition'!$M812/'FA Addition'!$L812)^(1/'FA Addition'!$O812),1/'FA Addition'!$O812),0)</f>
        <v>0.33333333333333331</v>
      </c>
      <c r="Q812" s="122">
        <f>'FA Addition'!$P812*'FA Addition'!$O812</f>
        <v>1</v>
      </c>
      <c r="R812" s="122"/>
      <c r="S812" s="116">
        <f>IF(AND(DATE(20&amp;LEFT(FAAddition[[#This Row],[FY]],2),4,1)&lt;$L$1+1,DATE(20&amp;LEFT(FAAddition[[#This Row],[FY]],2),4,1)&gt;$P$1-1),'FA Addition'!$J812,0)</f>
        <v>1</v>
      </c>
      <c r="U812" s="117">
        <f>S812*'FA Addition'!$L812/'FA Addition'!$J812</f>
        <v>227796.61016949153</v>
      </c>
      <c r="W812" s="116">
        <f>SUMIFS('FA Write off'!D:D,'FA Write off'!A:A,'FA Addition'!$A812,'FA Write off'!C:C,"&lt;"&amp;'FA Addition'!$P$1)</f>
        <v>0</v>
      </c>
      <c r="Y812" s="191">
        <f>IFERROR(W812/'FA Addition'!$J812*'FA Addition'!$L812,0)</f>
        <v>0</v>
      </c>
      <c r="AA812" s="116">
        <f>SUMIFS('FA Write off'!D:D,'FA Write off'!A:A,'FA Addition'!$A812,'FA Write off'!C:C,"&lt;"&amp;'FA Addition'!$L$1+1,'FA Write off'!C:C,"&gt;"&amp;'FA Addition'!$L$1-365)</f>
        <v>0</v>
      </c>
      <c r="AC812" s="118">
        <f>IFERROR(AA812/'FA Addition'!$J812*'FA Addition'!$L812,0)</f>
        <v>0</v>
      </c>
      <c r="AE812" s="117">
        <f>IF(AND('FA Addition'!$D812&lt;$P$1+1,U812=0),'FA Addition'!$L812,0)-Y812</f>
        <v>0</v>
      </c>
      <c r="AF812" s="117">
        <f t="shared" si="60"/>
        <v>227796.61016949153</v>
      </c>
      <c r="AG812" s="117">
        <f>MIN(MAX(+$P$1-'FA Addition'!$D812,0),365*'FA Addition'!$O812)</f>
        <v>0</v>
      </c>
      <c r="AH812" s="117">
        <f>MIN(MAX($L$1-'FA Addition'!$D812+1,0),365*'FA Addition'!$O812)</f>
        <v>184</v>
      </c>
      <c r="AI812" s="117" cm="1">
        <f t="array" ref="AI812">_xlfn.XLOOKUP(1,('FA Write off'!A:A='FA Addition'!$A812)*('FA Write off'!D:D=AA812),'FA Write off'!H:H,0,0)</f>
        <v>0</v>
      </c>
      <c r="AJ812" s="117">
        <f>IF(AC812&gt;0,MAX(IF('FA Addition'!$N812="SLM",($AC812-'FA Addition'!$M812)*'FA Addition'!$P812*AI812/365,(AC812-'FA Addition'!$M812)*(1-(1-'FA Addition'!$P812)^(AI812/365))),0),0)</f>
        <v>0</v>
      </c>
      <c r="AL812" s="117">
        <f>MAX(IF(AG812&gt;0,IF('FA Addition'!$N812="SLM",($AE812-'FA Addition'!$M812)*'FA Addition'!$P812*AG812/365,IFERROR(VDB(AE812,AE812*0.05,'FA Addition'!$O812,0,YEARFRAC('FA Addition'!$C812,$P$1-1,3),'FA Addition'!$Q812),FAAddition[[#This Row],[Original Cost (Rs)]]-FAAddition[[#This Row],[Salvage Value]])),0),0)</f>
        <v>0</v>
      </c>
      <c r="AM812" s="119"/>
      <c r="AN812" s="117">
        <f>MAX(IF(AH812&gt;0,IF('FA Addition'!$N812="SLM",($AF812-'FA Addition'!$M812)*'FA Addition'!$P812*AH812/365,IFERROR(VDB(AF812,AF812*0.05,'FA Addition'!$O812,0,YEARFRAC('FA Addition'!$C812,$L$1,3),'FA Addition'!$Q812),FAAddition[[#This Row],[Original Cost (Rs)]]-FAAddition[[#This Row],[Salvage Value]])),0),0)</f>
        <v>36364.215772773001</v>
      </c>
      <c r="AO812" s="117">
        <f t="shared" si="63"/>
        <v>36364.215772773001</v>
      </c>
      <c r="AQ812" s="117">
        <f t="shared" si="61"/>
        <v>0</v>
      </c>
      <c r="AR812" s="120">
        <f t="shared" si="62"/>
        <v>191432.39439671853</v>
      </c>
      <c r="AS812" s="121"/>
    </row>
    <row r="813" spans="1:45" ht="13.5" x14ac:dyDescent="0.4">
      <c r="A813" s="12">
        <f t="shared" si="64"/>
        <v>810</v>
      </c>
      <c r="B813" s="64" t="s">
        <v>1308</v>
      </c>
      <c r="C813" s="54">
        <v>45227</v>
      </c>
      <c r="D813" s="54">
        <v>45200</v>
      </c>
      <c r="E813" s="46" t="s">
        <v>451</v>
      </c>
      <c r="F813" s="51" t="s">
        <v>19</v>
      </c>
      <c r="G813" s="51" t="s">
        <v>1572</v>
      </c>
      <c r="H813" s="51" t="s">
        <v>21</v>
      </c>
      <c r="I813" s="55" t="s">
        <v>1573</v>
      </c>
      <c r="J813" s="56">
        <v>1</v>
      </c>
      <c r="K813" s="51" t="s">
        <v>1574</v>
      </c>
      <c r="L813" s="58">
        <v>99990</v>
      </c>
      <c r="M813" s="50">
        <f>ROUND('FA Addition'!$L813*5%,0.1)</f>
        <v>5000</v>
      </c>
      <c r="N813" s="113" t="str">
        <f>_xlfn.XLOOKUP(_xlfn.CONCAT(E813,B813),'Year Wise Master Dep Approach'!F:F,'Year Wise Master Dep Approach'!D:D)</f>
        <v>WDV</v>
      </c>
      <c r="O813" s="113">
        <f>_xlfn.XLOOKUP(_xlfn.CONCAT(E813,B813),'Year Wise Master Dep Approach'!F:F,'Year Wise Master Dep Approach'!E:E)</f>
        <v>3</v>
      </c>
      <c r="P813" s="114">
        <f>IFERROR(IF('FA Addition'!$N813="WDV",1-('FA Addition'!$M813/'FA Addition'!$L813)^(1/'FA Addition'!$O813),1/'FA Addition'!$O813),0)</f>
        <v>0.6315845692122285</v>
      </c>
      <c r="Q813" s="122">
        <f>'FA Addition'!$P813*'FA Addition'!$O813</f>
        <v>1.8947537076366854</v>
      </c>
      <c r="R813" s="122"/>
      <c r="S813" s="116">
        <f>IF(AND(DATE(20&amp;LEFT(FAAddition[[#This Row],[FY]],2),4,1)&lt;$L$1+1,DATE(20&amp;LEFT(FAAddition[[#This Row],[FY]],2),4,1)&gt;$P$1-1),'FA Addition'!$J813,0)</f>
        <v>1</v>
      </c>
      <c r="U813" s="117">
        <f>S813*'FA Addition'!$L813/'FA Addition'!$J813</f>
        <v>99990</v>
      </c>
      <c r="W813" s="116">
        <f>SUMIFS('FA Write off'!D:D,'FA Write off'!A:A,'FA Addition'!$A813,'FA Write off'!C:C,"&lt;"&amp;'FA Addition'!$P$1)</f>
        <v>0</v>
      </c>
      <c r="Y813" s="191">
        <f>IFERROR(W813/'FA Addition'!$J813*'FA Addition'!$L813,0)</f>
        <v>0</v>
      </c>
      <c r="AA813" s="116">
        <f>SUMIFS('FA Write off'!D:D,'FA Write off'!A:A,'FA Addition'!$A813,'FA Write off'!C:C,"&lt;"&amp;'FA Addition'!$L$1+1,'FA Write off'!C:C,"&gt;"&amp;'FA Addition'!$L$1-365)</f>
        <v>0</v>
      </c>
      <c r="AC813" s="118">
        <f>IFERROR(AA813/'FA Addition'!$J813*'FA Addition'!$L813,0)</f>
        <v>0</v>
      </c>
      <c r="AE813" s="117">
        <f>IF(AND('FA Addition'!$D813&lt;$P$1+1,U813=0),'FA Addition'!$L813,0)-Y813</f>
        <v>0</v>
      </c>
      <c r="AF813" s="117">
        <f t="shared" si="60"/>
        <v>99990</v>
      </c>
      <c r="AG813" s="117">
        <f>MIN(MAX(+$P$1-'FA Addition'!$D813,0),365*'FA Addition'!$O813)</f>
        <v>0</v>
      </c>
      <c r="AH813" s="117">
        <f>MIN(MAX($L$1-'FA Addition'!$D813+1,0),365*'FA Addition'!$O813)</f>
        <v>183</v>
      </c>
      <c r="AI813" s="117" cm="1">
        <f t="array" ref="AI813">_xlfn.XLOOKUP(1,('FA Write off'!A:A='FA Addition'!$A813)*('FA Write off'!D:D=AA813),'FA Write off'!H:H,0,0)</f>
        <v>0</v>
      </c>
      <c r="AJ813" s="117">
        <f>IF(AC813&gt;0,MAX(IF('FA Addition'!$N813="SLM",($AC813-'FA Addition'!$M813)*'FA Addition'!$P813*AI813/365,(AC813-'FA Addition'!$M813)*(1-(1-'FA Addition'!$P813)^(AI813/365))),0),0)</f>
        <v>0</v>
      </c>
      <c r="AL813" s="117">
        <f>MAX(IF(AG813&gt;0,IF('FA Addition'!$N813="SLM",($AE813-'FA Addition'!$M813)*'FA Addition'!$P813*AG813/365,IFERROR(VDB(AE813,AE813*0.05,'FA Addition'!$O813,0,YEARFRAC('FA Addition'!$C813,$P$1-1,3),'FA Addition'!$Q813),FAAddition[[#This Row],[Original Cost (Rs)]]-FAAddition[[#This Row],[Salvage Value]])),0),0)</f>
        <v>0</v>
      </c>
      <c r="AM813" s="119"/>
      <c r="AN813" s="117">
        <f>MAX(IF(AH813&gt;0,IF('FA Addition'!$N813="SLM",($AF813-'FA Addition'!$M813)*'FA Addition'!$P813*AH813/365,IFERROR(VDB(AF813,AF813*0.05,'FA Addition'!$O813,0,YEARFRAC('FA Addition'!$C813,$L$1,3),'FA Addition'!$Q813),FAAddition[[#This Row],[Original Cost (Rs)]]-FAAddition[[#This Row],[Salvage Value]])),0),0)</f>
        <v>26818.032511526748</v>
      </c>
      <c r="AO813" s="117">
        <f t="shared" si="63"/>
        <v>26818.032511526748</v>
      </c>
      <c r="AQ813" s="117">
        <f t="shared" si="61"/>
        <v>0</v>
      </c>
      <c r="AR813" s="120">
        <f t="shared" si="62"/>
        <v>73171.967488473252</v>
      </c>
      <c r="AS813" s="121"/>
    </row>
    <row r="814" spans="1:45" ht="13.5" x14ac:dyDescent="0.4">
      <c r="A814" s="12">
        <f t="shared" si="64"/>
        <v>811</v>
      </c>
      <c r="B814" s="64" t="s">
        <v>1308</v>
      </c>
      <c r="C814" s="54">
        <v>45202</v>
      </c>
      <c r="D814" s="54">
        <v>45202</v>
      </c>
      <c r="E814" s="46" t="s">
        <v>749</v>
      </c>
      <c r="F814" s="51" t="s">
        <v>74</v>
      </c>
      <c r="G814" s="51" t="s">
        <v>1575</v>
      </c>
      <c r="H814" s="51" t="s">
        <v>26</v>
      </c>
      <c r="I814" s="55" t="s">
        <v>1576</v>
      </c>
      <c r="J814" s="56">
        <v>500</v>
      </c>
      <c r="K814" s="51" t="s">
        <v>1577</v>
      </c>
      <c r="L814" s="58">
        <v>26000</v>
      </c>
      <c r="M814" s="50">
        <f>ROUND('FA Addition'!$L814*5%,0.1)</f>
        <v>1300</v>
      </c>
      <c r="N814" s="113" t="str">
        <f>_xlfn.XLOOKUP(_xlfn.CONCAT(E814,B814),'Year Wise Master Dep Approach'!F:F,'Year Wise Master Dep Approach'!D:D)</f>
        <v>WDV</v>
      </c>
      <c r="O814" s="113">
        <f>_xlfn.XLOOKUP(_xlfn.CONCAT(E814,B814),'Year Wise Master Dep Approach'!F:F,'Year Wise Master Dep Approach'!E:E)</f>
        <v>5</v>
      </c>
      <c r="P814" s="114">
        <f>IFERROR(IF('FA Addition'!$N814="WDV",1-('FA Addition'!$M814/'FA Addition'!$L814)^(1/'FA Addition'!$O814),1/'FA Addition'!$O814),0)</f>
        <v>0.45071972834694107</v>
      </c>
      <c r="Q814" s="122">
        <f>'FA Addition'!$P814*'FA Addition'!$O814</f>
        <v>2.2535986417347056</v>
      </c>
      <c r="R814" s="122"/>
      <c r="S814" s="116">
        <f>IF(AND(DATE(20&amp;LEFT(FAAddition[[#This Row],[FY]],2),4,1)&lt;$L$1+1,DATE(20&amp;LEFT(FAAddition[[#This Row],[FY]],2),4,1)&gt;$P$1-1),'FA Addition'!$J814,0)</f>
        <v>500</v>
      </c>
      <c r="U814" s="117">
        <f>S814*'FA Addition'!$L814/'FA Addition'!$J814</f>
        <v>26000</v>
      </c>
      <c r="W814" s="116">
        <f>SUMIFS('FA Write off'!D:D,'FA Write off'!A:A,'FA Addition'!$A814,'FA Write off'!C:C,"&lt;"&amp;'FA Addition'!$P$1)</f>
        <v>0</v>
      </c>
      <c r="Y814" s="191">
        <f>IFERROR(W814/'FA Addition'!$J814*'FA Addition'!$L814,0)</f>
        <v>0</v>
      </c>
      <c r="AA814" s="116">
        <f>SUMIFS('FA Write off'!D:D,'FA Write off'!A:A,'FA Addition'!$A814,'FA Write off'!C:C,"&lt;"&amp;'FA Addition'!$L$1+1,'FA Write off'!C:C,"&gt;"&amp;'FA Addition'!$L$1-365)</f>
        <v>0</v>
      </c>
      <c r="AC814" s="118">
        <f>IFERROR(AA814/'FA Addition'!$J814*'FA Addition'!$L814,0)</f>
        <v>0</v>
      </c>
      <c r="AE814" s="117">
        <f>IF(AND('FA Addition'!$D814&lt;$P$1+1,U814=0),'FA Addition'!$L814,0)-Y814</f>
        <v>0</v>
      </c>
      <c r="AF814" s="117">
        <f t="shared" si="60"/>
        <v>26000</v>
      </c>
      <c r="AG814" s="117">
        <f>MIN(MAX(+$P$1-'FA Addition'!$D814,0),365*'FA Addition'!$O814)</f>
        <v>0</v>
      </c>
      <c r="AH814" s="117">
        <f>MIN(MAX($L$1-'FA Addition'!$D814+1,0),365*'FA Addition'!$O814)</f>
        <v>181</v>
      </c>
      <c r="AI814" s="117" cm="1">
        <f t="array" ref="AI814">_xlfn.XLOOKUP(1,('FA Write off'!A:A='FA Addition'!$A814)*('FA Write off'!D:D=AA814),'FA Write off'!H:H,0,0)</f>
        <v>0</v>
      </c>
      <c r="AJ814" s="117">
        <f>IF(AC814&gt;0,MAX(IF('FA Addition'!$N814="SLM",($AC814-'FA Addition'!$M814)*'FA Addition'!$P814*AI814/365,(AC814-'FA Addition'!$M814)*(1-(1-'FA Addition'!$P814)^(AI814/365))),0),0)</f>
        <v>0</v>
      </c>
      <c r="AL814" s="117">
        <f>MAX(IF(AG814&gt;0,IF('FA Addition'!$N814="SLM",($AE814-'FA Addition'!$M814)*'FA Addition'!$P814*AG814/365,IFERROR(VDB(AE814,AE814*0.05,'FA Addition'!$O814,0,YEARFRAC('FA Addition'!$C814,$P$1-1,3),'FA Addition'!$Q814),FAAddition[[#This Row],[Original Cost (Rs)]]-FAAddition[[#This Row],[Salvage Value]])),0),0)</f>
        <v>0</v>
      </c>
      <c r="AM814" s="119"/>
      <c r="AN814" s="117">
        <f>MAX(IF(AH814&gt;0,IF('FA Addition'!$N814="SLM",($AF814-'FA Addition'!$M814)*'FA Addition'!$P814*AH814/365,IFERROR(VDB(AF814,AF814*0.05,'FA Addition'!$O814,0,YEARFRAC('FA Addition'!$C814,$L$1,3),'FA Addition'!$Q814),FAAddition[[#This Row],[Original Cost (Rs)]]-FAAddition[[#This Row],[Salvage Value]])),0),0)</f>
        <v>5779.0913114073546</v>
      </c>
      <c r="AO814" s="117">
        <f t="shared" si="63"/>
        <v>5779.0913114073546</v>
      </c>
      <c r="AQ814" s="117">
        <f t="shared" si="61"/>
        <v>0</v>
      </c>
      <c r="AR814" s="120">
        <f t="shared" si="62"/>
        <v>20220.908688592644</v>
      </c>
      <c r="AS814" s="121"/>
    </row>
    <row r="815" spans="1:45" ht="13.5" x14ac:dyDescent="0.4">
      <c r="A815" s="12">
        <f t="shared" si="64"/>
        <v>812</v>
      </c>
      <c r="B815" s="64" t="s">
        <v>1308</v>
      </c>
      <c r="C815" s="54">
        <v>45203</v>
      </c>
      <c r="D815" s="54">
        <v>45203</v>
      </c>
      <c r="E815" s="46" t="s">
        <v>32</v>
      </c>
      <c r="F815" s="51" t="s">
        <v>1090</v>
      </c>
      <c r="G815" s="51" t="s">
        <v>1578</v>
      </c>
      <c r="H815" s="51" t="s">
        <v>32</v>
      </c>
      <c r="I815" s="55" t="s">
        <v>1494</v>
      </c>
      <c r="J815" s="56">
        <v>1</v>
      </c>
      <c r="K815" s="51"/>
      <c r="L815" s="58">
        <v>-1100</v>
      </c>
      <c r="M815" s="50">
        <f>ROUND('FA Addition'!$L815*5%,0.1)</f>
        <v>-55</v>
      </c>
      <c r="N815" s="113" t="str">
        <f>_xlfn.XLOOKUP(_xlfn.CONCAT(E815,B815),'Year Wise Master Dep Approach'!F:F,'Year Wise Master Dep Approach'!D:D)</f>
        <v>SLM</v>
      </c>
      <c r="O815" s="113">
        <f>_xlfn.XLOOKUP(_xlfn.CONCAT(E815,B815),'Year Wise Master Dep Approach'!F:F,'Year Wise Master Dep Approach'!E:E)</f>
        <v>5</v>
      </c>
      <c r="P815" s="114">
        <f>IFERROR(IF('FA Addition'!$N815="WDV",1-('FA Addition'!$M815/'FA Addition'!$L815)^(1/'FA Addition'!$O815),1/'FA Addition'!$O815),0)</f>
        <v>0.2</v>
      </c>
      <c r="Q815" s="122">
        <f>'FA Addition'!$P815*'FA Addition'!$O815</f>
        <v>1</v>
      </c>
      <c r="R815" s="122"/>
      <c r="S815" s="116">
        <f>IF(AND(DATE(20&amp;LEFT(FAAddition[[#This Row],[FY]],2),4,1)&lt;$L$1+1,DATE(20&amp;LEFT(FAAddition[[#This Row],[FY]],2),4,1)&gt;$P$1-1),'FA Addition'!$J815,0)</f>
        <v>1</v>
      </c>
      <c r="U815" s="117">
        <f>S815*'FA Addition'!$L815/'FA Addition'!$J815</f>
        <v>-1100</v>
      </c>
      <c r="W815" s="116">
        <f>SUMIFS('FA Write off'!D:D,'FA Write off'!A:A,'FA Addition'!$A815,'FA Write off'!C:C,"&lt;"&amp;'FA Addition'!$P$1)</f>
        <v>0</v>
      </c>
      <c r="Y815" s="191">
        <f>IFERROR(W815/'FA Addition'!$J815*'FA Addition'!$L815,0)</f>
        <v>0</v>
      </c>
      <c r="AA815" s="116">
        <f>SUMIFS('FA Write off'!D:D,'FA Write off'!A:A,'FA Addition'!$A815,'FA Write off'!C:C,"&lt;"&amp;'FA Addition'!$L$1+1,'FA Write off'!C:C,"&gt;"&amp;'FA Addition'!$L$1-365)</f>
        <v>0</v>
      </c>
      <c r="AC815" s="118">
        <f>IFERROR(AA815/'FA Addition'!$J815*'FA Addition'!$L815,0)</f>
        <v>0</v>
      </c>
      <c r="AE815" s="117">
        <f>IF(AND('FA Addition'!$D815&lt;$P$1+1,U815=0),'FA Addition'!$L815,0)-Y815</f>
        <v>0</v>
      </c>
      <c r="AF815" s="117">
        <f t="shared" si="60"/>
        <v>-1100</v>
      </c>
      <c r="AG815" s="117">
        <f>MIN(MAX(+$P$1-'FA Addition'!$D815,0),365*'FA Addition'!$O815)</f>
        <v>0</v>
      </c>
      <c r="AH815" s="117">
        <f>MIN(MAX($L$1-'FA Addition'!$D815+1,0),365*'FA Addition'!$O815)</f>
        <v>180</v>
      </c>
      <c r="AI815" s="117" cm="1">
        <f t="array" ref="AI815">_xlfn.XLOOKUP(1,('FA Write off'!A:A='FA Addition'!$A815)*('FA Write off'!D:D=AA815),'FA Write off'!H:H,0,0)</f>
        <v>0</v>
      </c>
      <c r="AJ815" s="117">
        <f>IF(AC815&gt;0,MAX(IF('FA Addition'!$N815="SLM",($AC815-'FA Addition'!$M815)*'FA Addition'!$P815*AI815/365,(AC815-'FA Addition'!$M815)*(1-(1-'FA Addition'!$P815)^(AI815/365))),0),0)</f>
        <v>0</v>
      </c>
      <c r="AL815" s="117">
        <f>MAX(IF(AG815&gt;0,IF('FA Addition'!$N815="SLM",($AE815-'FA Addition'!$M815)*'FA Addition'!$P815*AG815/365,IFERROR(VDB(AE815,AE815*0.05,'FA Addition'!$O815,0,YEARFRAC('FA Addition'!$C815,$P$1-1,3),'FA Addition'!$Q815),FAAddition[[#This Row],[Original Cost (Rs)]]-FAAddition[[#This Row],[Salvage Value]])),0),0)</f>
        <v>0</v>
      </c>
      <c r="AM815" s="119"/>
      <c r="AN815" s="117">
        <f>MAX(IF(AH815&gt;0,IF('FA Addition'!$N815="SLM",($AF815-'FA Addition'!$M815)*'FA Addition'!$P815*AH815/365,IFERROR(VDB(AF815,AF815*0.05,'FA Addition'!$O815,0,YEARFRAC('FA Addition'!$C815,$L$1,3),'FA Addition'!$Q815),FAAddition[[#This Row],[Original Cost (Rs)]]-FAAddition[[#This Row],[Salvage Value]])),0),0)</f>
        <v>0</v>
      </c>
      <c r="AO815" s="117">
        <f t="shared" si="63"/>
        <v>0</v>
      </c>
      <c r="AQ815" s="117">
        <f t="shared" si="61"/>
        <v>0</v>
      </c>
      <c r="AR815" s="120">
        <f t="shared" si="62"/>
        <v>-1100</v>
      </c>
      <c r="AS815" s="121"/>
    </row>
    <row r="816" spans="1:45" ht="13.5" x14ac:dyDescent="0.4">
      <c r="A816" s="12">
        <f t="shared" si="64"/>
        <v>813</v>
      </c>
      <c r="B816" s="64" t="s">
        <v>1308</v>
      </c>
      <c r="C816" s="54">
        <v>45203</v>
      </c>
      <c r="D816" s="54">
        <v>45203</v>
      </c>
      <c r="E816" s="46" t="s">
        <v>1389</v>
      </c>
      <c r="F816" s="51" t="s">
        <v>1112</v>
      </c>
      <c r="G816" s="51" t="s">
        <v>1578</v>
      </c>
      <c r="H816" s="51" t="s">
        <v>1113</v>
      </c>
      <c r="I816" s="55" t="s">
        <v>1494</v>
      </c>
      <c r="J816" s="56">
        <v>1</v>
      </c>
      <c r="K816" s="51" t="s">
        <v>1494</v>
      </c>
      <c r="L816" s="58">
        <v>-1560</v>
      </c>
      <c r="M816" s="50">
        <f>ROUND('FA Addition'!$L816*5%,0.1)</f>
        <v>-78</v>
      </c>
      <c r="N816" s="113" t="str">
        <f>_xlfn.XLOOKUP(_xlfn.CONCAT(E816,B816),'Year Wise Master Dep Approach'!F:F,'Year Wise Master Dep Approach'!D:D)</f>
        <v>SLM</v>
      </c>
      <c r="O816" s="113">
        <f>_xlfn.XLOOKUP(_xlfn.CONCAT(E816,B816),'Year Wise Master Dep Approach'!F:F,'Year Wise Master Dep Approach'!E:E)</f>
        <v>3</v>
      </c>
      <c r="P816" s="114">
        <f>IFERROR(IF('FA Addition'!$N816="WDV",1-('FA Addition'!$M816/'FA Addition'!$L816)^(1/'FA Addition'!$O816),1/'FA Addition'!$O816),0)</f>
        <v>0.33333333333333331</v>
      </c>
      <c r="Q816" s="122">
        <f>'FA Addition'!$P816*'FA Addition'!$O816</f>
        <v>1</v>
      </c>
      <c r="R816" s="122"/>
      <c r="S816" s="116">
        <f>IF(AND(DATE(20&amp;LEFT(FAAddition[[#This Row],[FY]],2),4,1)&lt;$L$1+1,DATE(20&amp;LEFT(FAAddition[[#This Row],[FY]],2),4,1)&gt;$P$1-1),'FA Addition'!$J816,0)</f>
        <v>1</v>
      </c>
      <c r="U816" s="117">
        <f>S816*'FA Addition'!$L816/'FA Addition'!$J816</f>
        <v>-1560</v>
      </c>
      <c r="W816" s="116">
        <f>SUMIFS('FA Write off'!D:D,'FA Write off'!A:A,'FA Addition'!$A816,'FA Write off'!C:C,"&lt;"&amp;'FA Addition'!$P$1)</f>
        <v>0</v>
      </c>
      <c r="Y816" s="191">
        <f>IFERROR(W816/'FA Addition'!$J816*'FA Addition'!$L816,0)</f>
        <v>0</v>
      </c>
      <c r="AA816" s="116">
        <f>SUMIFS('FA Write off'!D:D,'FA Write off'!A:A,'FA Addition'!$A816,'FA Write off'!C:C,"&lt;"&amp;'FA Addition'!$L$1+1,'FA Write off'!C:C,"&gt;"&amp;'FA Addition'!$L$1-365)</f>
        <v>0</v>
      </c>
      <c r="AC816" s="118">
        <f>IFERROR(AA816/'FA Addition'!$J816*'FA Addition'!$L816,0)</f>
        <v>0</v>
      </c>
      <c r="AE816" s="117">
        <f>IF(AND('FA Addition'!$D816&lt;$P$1+1,U816=0),'FA Addition'!$L816,0)-Y816</f>
        <v>0</v>
      </c>
      <c r="AF816" s="117">
        <f t="shared" si="60"/>
        <v>-1560</v>
      </c>
      <c r="AG816" s="117">
        <f>MIN(MAX(+$P$1-'FA Addition'!$D816,0),365*'FA Addition'!$O816)</f>
        <v>0</v>
      </c>
      <c r="AH816" s="117">
        <f>MIN(MAX($L$1-'FA Addition'!$D816+1,0),365*'FA Addition'!$O816)</f>
        <v>180</v>
      </c>
      <c r="AI816" s="117" cm="1">
        <f t="array" ref="AI816">_xlfn.XLOOKUP(1,('FA Write off'!A:A='FA Addition'!$A816)*('FA Write off'!D:D=AA816),'FA Write off'!H:H,0,0)</f>
        <v>0</v>
      </c>
      <c r="AJ816" s="117">
        <f>IF(AC816&gt;0,MAX(IF('FA Addition'!$N816="SLM",($AC816-'FA Addition'!$M816)*'FA Addition'!$P816*AI816/365,(AC816-'FA Addition'!$M816)*(1-(1-'FA Addition'!$P816)^(AI816/365))),0),0)</f>
        <v>0</v>
      </c>
      <c r="AL816" s="117">
        <f>MAX(IF(AG816&gt;0,IF('FA Addition'!$N816="SLM",($AE816-'FA Addition'!$M816)*'FA Addition'!$P816*AG816/365,IFERROR(VDB(AE816,AE816*0.05,'FA Addition'!$O816,0,YEARFRAC('FA Addition'!$C816,$P$1-1,3),'FA Addition'!$Q816),FAAddition[[#This Row],[Original Cost (Rs)]]-FAAddition[[#This Row],[Salvage Value]])),0),0)</f>
        <v>0</v>
      </c>
      <c r="AM816" s="119"/>
      <c r="AN816" s="117">
        <f>MAX(IF(AH816&gt;0,IF('FA Addition'!$N816="SLM",($AF816-'FA Addition'!$M816)*'FA Addition'!$P816*AH816/365,IFERROR(VDB(AF816,AF816*0.05,'FA Addition'!$O816,0,YEARFRAC('FA Addition'!$C816,$L$1,3),'FA Addition'!$Q816),FAAddition[[#This Row],[Original Cost (Rs)]]-FAAddition[[#This Row],[Salvage Value]])),0),0)</f>
        <v>0</v>
      </c>
      <c r="AO816" s="117">
        <f t="shared" si="63"/>
        <v>0</v>
      </c>
      <c r="AQ816" s="117">
        <f t="shared" si="61"/>
        <v>0</v>
      </c>
      <c r="AR816" s="120">
        <f t="shared" si="62"/>
        <v>-1560</v>
      </c>
      <c r="AS816" s="121"/>
    </row>
    <row r="817" spans="1:45" ht="13.5" x14ac:dyDescent="0.4">
      <c r="A817" s="12">
        <f t="shared" si="64"/>
        <v>814</v>
      </c>
      <c r="B817" s="64" t="s">
        <v>1308</v>
      </c>
      <c r="C817" s="54">
        <v>45204</v>
      </c>
      <c r="D817" s="54">
        <v>45204</v>
      </c>
      <c r="E817" s="46" t="s">
        <v>1389</v>
      </c>
      <c r="F817" s="51" t="s">
        <v>1112</v>
      </c>
      <c r="G817" s="51" t="s">
        <v>36</v>
      </c>
      <c r="H817" s="51" t="s">
        <v>1113</v>
      </c>
      <c r="I817" s="55" t="s">
        <v>1579</v>
      </c>
      <c r="J817" s="56">
        <v>2000</v>
      </c>
      <c r="K817" s="51" t="s">
        <v>1132</v>
      </c>
      <c r="L817" s="58">
        <v>1460000</v>
      </c>
      <c r="M817" s="50">
        <f>ROUND('FA Addition'!$L817*5%,0.1)</f>
        <v>73000</v>
      </c>
      <c r="N817" s="113" t="str">
        <f>_xlfn.XLOOKUP(_xlfn.CONCAT(E817,B817),'Year Wise Master Dep Approach'!F:F,'Year Wise Master Dep Approach'!D:D)</f>
        <v>SLM</v>
      </c>
      <c r="O817" s="113">
        <f>_xlfn.XLOOKUP(_xlfn.CONCAT(E817,B817),'Year Wise Master Dep Approach'!F:F,'Year Wise Master Dep Approach'!E:E)</f>
        <v>3</v>
      </c>
      <c r="P817" s="114">
        <f>IFERROR(IF('FA Addition'!$N817="WDV",1-('FA Addition'!$M817/'FA Addition'!$L817)^(1/'FA Addition'!$O817),1/'FA Addition'!$O817),0)</f>
        <v>0.33333333333333331</v>
      </c>
      <c r="Q817" s="122">
        <f>'FA Addition'!$P817*'FA Addition'!$O817</f>
        <v>1</v>
      </c>
      <c r="R817" s="122"/>
      <c r="S817" s="116">
        <f>IF(AND(DATE(20&amp;LEFT(FAAddition[[#This Row],[FY]],2),4,1)&lt;$L$1+1,DATE(20&amp;LEFT(FAAddition[[#This Row],[FY]],2),4,1)&gt;$P$1-1),'FA Addition'!$J817,0)</f>
        <v>2000</v>
      </c>
      <c r="U817" s="117">
        <f>S817*'FA Addition'!$L817/'FA Addition'!$J817</f>
        <v>1460000</v>
      </c>
      <c r="W817" s="116">
        <f>SUMIFS('FA Write off'!D:D,'FA Write off'!A:A,'FA Addition'!$A817,'FA Write off'!C:C,"&lt;"&amp;'FA Addition'!$P$1)</f>
        <v>0</v>
      </c>
      <c r="Y817" s="191">
        <f>IFERROR(W817/'FA Addition'!$J817*'FA Addition'!$L817,0)</f>
        <v>0</v>
      </c>
      <c r="AA817" s="116">
        <f>SUMIFS('FA Write off'!D:D,'FA Write off'!A:A,'FA Addition'!$A817,'FA Write off'!C:C,"&lt;"&amp;'FA Addition'!$L$1+1,'FA Write off'!C:C,"&gt;"&amp;'FA Addition'!$L$1-365)</f>
        <v>0</v>
      </c>
      <c r="AC817" s="118">
        <f>IFERROR(AA817/'FA Addition'!$J817*'FA Addition'!$L817,0)</f>
        <v>0</v>
      </c>
      <c r="AE817" s="117">
        <f>IF(AND('FA Addition'!$D817&lt;$P$1+1,U817=0),'FA Addition'!$L817,0)-Y817</f>
        <v>0</v>
      </c>
      <c r="AF817" s="117">
        <f t="shared" si="60"/>
        <v>1460000</v>
      </c>
      <c r="AG817" s="117">
        <f>MIN(MAX(+$P$1-'FA Addition'!$D817,0),365*'FA Addition'!$O817)</f>
        <v>0</v>
      </c>
      <c r="AH817" s="117">
        <f>MIN(MAX($L$1-'FA Addition'!$D817+1,0),365*'FA Addition'!$O817)</f>
        <v>179</v>
      </c>
      <c r="AI817" s="117" cm="1">
        <f t="array" ref="AI817">_xlfn.XLOOKUP(1,('FA Write off'!A:A='FA Addition'!$A817)*('FA Write off'!D:D=AA817),'FA Write off'!H:H,0,0)</f>
        <v>0</v>
      </c>
      <c r="AJ817" s="117">
        <f>IF(AC817&gt;0,MAX(IF('FA Addition'!$N817="SLM",($AC817-'FA Addition'!$M817)*'FA Addition'!$P817*AI817/365,(AC817-'FA Addition'!$M817)*(1-(1-'FA Addition'!$P817)^(AI817/365))),0),0)</f>
        <v>0</v>
      </c>
      <c r="AL817" s="117">
        <f>MAX(IF(AG817&gt;0,IF('FA Addition'!$N817="SLM",($AE817-'FA Addition'!$M817)*'FA Addition'!$P817*AG817/365,IFERROR(VDB(AE817,AE817*0.05,'FA Addition'!$O817,0,YEARFRAC('FA Addition'!$C817,$P$1-1,3),'FA Addition'!$Q817),FAAddition[[#This Row],[Original Cost (Rs)]]-FAAddition[[#This Row],[Salvage Value]])),0),0)</f>
        <v>0</v>
      </c>
      <c r="AM817" s="119"/>
      <c r="AN817" s="117">
        <f>MAX(IF(AH817&gt;0,IF('FA Addition'!$N817="SLM",($AF817-'FA Addition'!$M817)*'FA Addition'!$P817*AH817/365,IFERROR(VDB(AF817,AF817*0.05,'FA Addition'!$O817,0,YEARFRAC('FA Addition'!$C817,$L$1,3),'FA Addition'!$Q817),FAAddition[[#This Row],[Original Cost (Rs)]]-FAAddition[[#This Row],[Salvage Value]])),0),0)</f>
        <v>226733.33333333331</v>
      </c>
      <c r="AO817" s="117">
        <f t="shared" si="63"/>
        <v>226733.33333333331</v>
      </c>
      <c r="AQ817" s="117">
        <f t="shared" si="61"/>
        <v>0</v>
      </c>
      <c r="AR817" s="120">
        <f t="shared" si="62"/>
        <v>1233266.6666666667</v>
      </c>
      <c r="AS817" s="121"/>
    </row>
    <row r="818" spans="1:45" ht="13.5" x14ac:dyDescent="0.4">
      <c r="A818" s="12">
        <f t="shared" si="64"/>
        <v>815</v>
      </c>
      <c r="B818" s="64" t="s">
        <v>1308</v>
      </c>
      <c r="C818" s="54">
        <v>45209</v>
      </c>
      <c r="D818" s="54">
        <v>45209</v>
      </c>
      <c r="E818" s="46" t="s">
        <v>32</v>
      </c>
      <c r="F818" s="51" t="s">
        <v>1090</v>
      </c>
      <c r="G818" s="51" t="s">
        <v>433</v>
      </c>
      <c r="H818" s="51" t="s">
        <v>32</v>
      </c>
      <c r="I818" s="55" t="s">
        <v>1580</v>
      </c>
      <c r="J818" s="56">
        <v>1300</v>
      </c>
      <c r="K818" s="51" t="s">
        <v>1581</v>
      </c>
      <c r="L818" s="58">
        <v>1287000</v>
      </c>
      <c r="M818" s="50">
        <f>ROUND('FA Addition'!$L818*5%,0.1)</f>
        <v>64350</v>
      </c>
      <c r="N818" s="113" t="str">
        <f>_xlfn.XLOOKUP(_xlfn.CONCAT(E818,B818),'Year Wise Master Dep Approach'!F:F,'Year Wise Master Dep Approach'!D:D)</f>
        <v>SLM</v>
      </c>
      <c r="O818" s="113">
        <f>_xlfn.XLOOKUP(_xlfn.CONCAT(E818,B818),'Year Wise Master Dep Approach'!F:F,'Year Wise Master Dep Approach'!E:E)</f>
        <v>5</v>
      </c>
      <c r="P818" s="114">
        <f>IFERROR(IF('FA Addition'!$N818="WDV",1-('FA Addition'!$M818/'FA Addition'!$L818)^(1/'FA Addition'!$O818),1/'FA Addition'!$O818),0)</f>
        <v>0.2</v>
      </c>
      <c r="Q818" s="122">
        <f>'FA Addition'!$P818*'FA Addition'!$O818</f>
        <v>1</v>
      </c>
      <c r="R818" s="122"/>
      <c r="S818" s="116">
        <f>IF(AND(DATE(20&amp;LEFT(FAAddition[[#This Row],[FY]],2),4,1)&lt;$L$1+1,DATE(20&amp;LEFT(FAAddition[[#This Row],[FY]],2),4,1)&gt;$P$1-1),'FA Addition'!$J818,0)</f>
        <v>1300</v>
      </c>
      <c r="U818" s="117">
        <f>S818*'FA Addition'!$L818/'FA Addition'!$J818</f>
        <v>1287000</v>
      </c>
      <c r="W818" s="116">
        <f>SUMIFS('FA Write off'!D:D,'FA Write off'!A:A,'FA Addition'!$A818,'FA Write off'!C:C,"&lt;"&amp;'FA Addition'!$P$1)</f>
        <v>6</v>
      </c>
      <c r="Y818" s="191">
        <f>IFERROR(W818/'FA Addition'!$J818*'FA Addition'!$L818,0)</f>
        <v>5940.0000000000009</v>
      </c>
      <c r="AA818" s="116">
        <f>SUMIFS('FA Write off'!D:D,'FA Write off'!A:A,'FA Addition'!$A818,'FA Write off'!C:C,"&lt;"&amp;'FA Addition'!$L$1+1,'FA Write off'!C:C,"&gt;"&amp;'FA Addition'!$L$1-365)</f>
        <v>0</v>
      </c>
      <c r="AC818" s="118">
        <f>IFERROR(AA818/'FA Addition'!$J818*'FA Addition'!$L818,0)</f>
        <v>0</v>
      </c>
      <c r="AE818" s="117">
        <f>IF(AND('FA Addition'!$D818&lt;$P$1+1,U818=0),'FA Addition'!$L818,0)-Y818</f>
        <v>-5940.0000000000009</v>
      </c>
      <c r="AF818" s="117">
        <f t="shared" si="60"/>
        <v>1281060</v>
      </c>
      <c r="AG818" s="117">
        <f>MIN(MAX(+$P$1-'FA Addition'!$D818,0),365*'FA Addition'!$O818)</f>
        <v>0</v>
      </c>
      <c r="AH818" s="117">
        <f>MIN(MAX($L$1-'FA Addition'!$D818+1,0),365*'FA Addition'!$O818)</f>
        <v>174</v>
      </c>
      <c r="AI818" s="117" cm="1">
        <f t="array" ref="AI818">_xlfn.XLOOKUP(1,('FA Write off'!A:A='FA Addition'!$A818)*('FA Write off'!D:D=AA818),'FA Write off'!H:H,0,0)</f>
        <v>0</v>
      </c>
      <c r="AJ818" s="117">
        <f>IF(AC818&gt;0,MAX(IF('FA Addition'!$N818="SLM",($AC818-'FA Addition'!$M818)*'FA Addition'!$P818*AI818/365,(AC818-'FA Addition'!$M818)*(1-(1-'FA Addition'!$P818)^(AI818/365))),0),0)</f>
        <v>0</v>
      </c>
      <c r="AL818" s="117">
        <f>MAX(IF(AG818&gt;0,IF('FA Addition'!$N818="SLM",($AE818-'FA Addition'!$M818)*'FA Addition'!$P818*AG818/365,IFERROR(VDB(AE818,AE818*0.05,'FA Addition'!$O818,0,YEARFRAC('FA Addition'!$C818,$P$1-1,3),'FA Addition'!$Q818),FAAddition[[#This Row],[Original Cost (Rs)]]-FAAddition[[#This Row],[Salvage Value]])),0),0)</f>
        <v>0</v>
      </c>
      <c r="AM818" s="119"/>
      <c r="AN818" s="117">
        <f>MAX(IF(AH818&gt;0,IF('FA Addition'!$N818="SLM",($AF818-'FA Addition'!$M818)*'FA Addition'!$P818*AH818/365,IFERROR(VDB(AF818,AF818*0.05,'FA Addition'!$O818,0,YEARFRAC('FA Addition'!$C818,$L$1,3),'FA Addition'!$Q818),FAAddition[[#This Row],[Original Cost (Rs)]]-FAAddition[[#This Row],[Salvage Value]])),0),0)</f>
        <v>116004.13150684931</v>
      </c>
      <c r="AO818" s="117">
        <f t="shared" si="63"/>
        <v>116004.13150684931</v>
      </c>
      <c r="AQ818" s="117">
        <f t="shared" si="61"/>
        <v>-5940.0000000000009</v>
      </c>
      <c r="AR818" s="120">
        <f t="shared" si="62"/>
        <v>1165055.8684931507</v>
      </c>
      <c r="AS818" s="121"/>
    </row>
    <row r="819" spans="1:45" ht="13.5" x14ac:dyDescent="0.4">
      <c r="A819" s="12">
        <f t="shared" si="64"/>
        <v>816</v>
      </c>
      <c r="B819" s="64" t="s">
        <v>1308</v>
      </c>
      <c r="C819" s="54">
        <v>45209</v>
      </c>
      <c r="D819" s="54">
        <v>45209</v>
      </c>
      <c r="E819" s="46" t="s">
        <v>451</v>
      </c>
      <c r="F819" s="51" t="s">
        <v>19</v>
      </c>
      <c r="G819" s="51" t="s">
        <v>1582</v>
      </c>
      <c r="H819" s="51" t="s">
        <v>21</v>
      </c>
      <c r="I819" s="55" t="s">
        <v>1583</v>
      </c>
      <c r="J819" s="56">
        <v>1</v>
      </c>
      <c r="K819" s="51" t="s">
        <v>1584</v>
      </c>
      <c r="L819" s="58">
        <v>60076.27</v>
      </c>
      <c r="M819" s="50">
        <f>ROUND('FA Addition'!$L819*5%,0.1)</f>
        <v>3004</v>
      </c>
      <c r="N819" s="113" t="str">
        <f>_xlfn.XLOOKUP(_xlfn.CONCAT(E819,B819),'Year Wise Master Dep Approach'!F:F,'Year Wise Master Dep Approach'!D:D)</f>
        <v>WDV</v>
      </c>
      <c r="O819" s="113">
        <f>_xlfn.XLOOKUP(_xlfn.CONCAT(E819,B819),'Year Wise Master Dep Approach'!F:F,'Year Wise Master Dep Approach'!E:E)</f>
        <v>3</v>
      </c>
      <c r="P819" s="114">
        <f>IFERROR(IF('FA Addition'!$N819="WDV",1-('FA Addition'!$M819/'FA Addition'!$L819)^(1/'FA Addition'!$O819),1/'FA Addition'!$O819),0)</f>
        <v>0.63158922585374588</v>
      </c>
      <c r="Q819" s="122">
        <f>'FA Addition'!$P819*'FA Addition'!$O819</f>
        <v>1.8947676775612377</v>
      </c>
      <c r="R819" s="122"/>
      <c r="S819" s="116">
        <f>IF(AND(DATE(20&amp;LEFT(FAAddition[[#This Row],[FY]],2),4,1)&lt;$L$1+1,DATE(20&amp;LEFT(FAAddition[[#This Row],[FY]],2),4,1)&gt;$P$1-1),'FA Addition'!$J819,0)</f>
        <v>1</v>
      </c>
      <c r="U819" s="117">
        <f>S819*'FA Addition'!$L819/'FA Addition'!$J819</f>
        <v>60076.27</v>
      </c>
      <c r="W819" s="116">
        <f>SUMIFS('FA Write off'!D:D,'FA Write off'!A:A,'FA Addition'!$A819,'FA Write off'!C:C,"&lt;"&amp;'FA Addition'!$P$1)</f>
        <v>0</v>
      </c>
      <c r="Y819" s="191">
        <f>IFERROR(W819/'FA Addition'!$J819*'FA Addition'!$L819,0)</f>
        <v>0</v>
      </c>
      <c r="AA819" s="116">
        <f>SUMIFS('FA Write off'!D:D,'FA Write off'!A:A,'FA Addition'!$A819,'FA Write off'!C:C,"&lt;"&amp;'FA Addition'!$L$1+1,'FA Write off'!C:C,"&gt;"&amp;'FA Addition'!$L$1-365)</f>
        <v>0</v>
      </c>
      <c r="AC819" s="118">
        <f>IFERROR(AA819/'FA Addition'!$J819*'FA Addition'!$L819,0)</f>
        <v>0</v>
      </c>
      <c r="AE819" s="117">
        <f>IF(AND('FA Addition'!$D819&lt;$P$1+1,U819=0),'FA Addition'!$L819,0)-Y819</f>
        <v>0</v>
      </c>
      <c r="AF819" s="117">
        <f t="shared" si="60"/>
        <v>60076.27</v>
      </c>
      <c r="AG819" s="117">
        <f>MIN(MAX(+$P$1-'FA Addition'!$D819,0),365*'FA Addition'!$O819)</f>
        <v>0</v>
      </c>
      <c r="AH819" s="117">
        <f>MIN(MAX($L$1-'FA Addition'!$D819+1,0),365*'FA Addition'!$O819)</f>
        <v>174</v>
      </c>
      <c r="AI819" s="117" cm="1">
        <f t="array" ref="AI819">_xlfn.XLOOKUP(1,('FA Write off'!A:A='FA Addition'!$A819)*('FA Write off'!D:D=AA819),'FA Write off'!H:H,0,0)</f>
        <v>0</v>
      </c>
      <c r="AJ819" s="117">
        <f>IF(AC819&gt;0,MAX(IF('FA Addition'!$N819="SLM",($AC819-'FA Addition'!$M819)*'FA Addition'!$P819*AI819/365,(AC819-'FA Addition'!$M819)*(1-(1-'FA Addition'!$P819)^(AI819/365))),0),0)</f>
        <v>0</v>
      </c>
      <c r="AL819" s="117">
        <f>MAX(IF(AG819&gt;0,IF('FA Addition'!$N819="SLM",($AE819-'FA Addition'!$M819)*'FA Addition'!$P819*AG819/365,IFERROR(VDB(AE819,AE819*0.05,'FA Addition'!$O819,0,YEARFRAC('FA Addition'!$C819,$P$1-1,3),'FA Addition'!$Q819),FAAddition[[#This Row],[Original Cost (Rs)]]-FAAddition[[#This Row],[Salvage Value]])),0),0)</f>
        <v>0</v>
      </c>
      <c r="AM819" s="119"/>
      <c r="AN819" s="117">
        <f>MAX(IF(AH819&gt;0,IF('FA Addition'!$N819="SLM",($AF819-'FA Addition'!$M819)*'FA Addition'!$P819*AH819/365,IFERROR(VDB(AF819,AF819*0.05,'FA Addition'!$O819,0,YEARFRAC('FA Addition'!$C819,$L$1,3),'FA Addition'!$Q819),FAAddition[[#This Row],[Original Cost (Rs)]]-FAAddition[[#This Row],[Salvage Value]])),0),0)</f>
        <v>17984.191235715472</v>
      </c>
      <c r="AO819" s="117">
        <f t="shared" si="63"/>
        <v>17984.191235715472</v>
      </c>
      <c r="AQ819" s="117">
        <f t="shared" si="61"/>
        <v>0</v>
      </c>
      <c r="AR819" s="120">
        <f t="shared" si="62"/>
        <v>42092.078764284524</v>
      </c>
      <c r="AS819" s="121"/>
    </row>
    <row r="820" spans="1:45" ht="13.5" x14ac:dyDescent="0.4">
      <c r="A820" s="12">
        <f t="shared" si="64"/>
        <v>817</v>
      </c>
      <c r="B820" s="64" t="s">
        <v>1308</v>
      </c>
      <c r="C820" s="54">
        <v>45211</v>
      </c>
      <c r="D820" s="54">
        <v>45211</v>
      </c>
      <c r="E820" s="46" t="s">
        <v>749</v>
      </c>
      <c r="F820" s="51" t="s">
        <v>74</v>
      </c>
      <c r="G820" s="51" t="s">
        <v>1585</v>
      </c>
      <c r="H820" s="51" t="s">
        <v>26</v>
      </c>
      <c r="I820" s="55" t="s">
        <v>1586</v>
      </c>
      <c r="J820" s="56">
        <v>500</v>
      </c>
      <c r="K820" s="51" t="s">
        <v>1587</v>
      </c>
      <c r="L820" s="58">
        <v>25000</v>
      </c>
      <c r="M820" s="50">
        <f>ROUND('FA Addition'!$L820*5%,0.1)</f>
        <v>1250</v>
      </c>
      <c r="N820" s="113" t="str">
        <f>_xlfn.XLOOKUP(_xlfn.CONCAT(E820,B820),'Year Wise Master Dep Approach'!F:F,'Year Wise Master Dep Approach'!D:D)</f>
        <v>WDV</v>
      </c>
      <c r="O820" s="113">
        <f>_xlfn.XLOOKUP(_xlfn.CONCAT(E820,B820),'Year Wise Master Dep Approach'!F:F,'Year Wise Master Dep Approach'!E:E)</f>
        <v>5</v>
      </c>
      <c r="P820" s="114">
        <f>IFERROR(IF('FA Addition'!$N820="WDV",1-('FA Addition'!$M820/'FA Addition'!$L820)^(1/'FA Addition'!$O820),1/'FA Addition'!$O820),0)</f>
        <v>0.45071972834694107</v>
      </c>
      <c r="Q820" s="122">
        <f>'FA Addition'!$P820*'FA Addition'!$O820</f>
        <v>2.2535986417347056</v>
      </c>
      <c r="R820" s="122"/>
      <c r="S820" s="116">
        <f>IF(AND(DATE(20&amp;LEFT(FAAddition[[#This Row],[FY]],2),4,1)&lt;$L$1+1,DATE(20&amp;LEFT(FAAddition[[#This Row],[FY]],2),4,1)&gt;$P$1-1),'FA Addition'!$J820,0)</f>
        <v>500</v>
      </c>
      <c r="U820" s="117">
        <f>S820*'FA Addition'!$L820/'FA Addition'!$J820</f>
        <v>25000</v>
      </c>
      <c r="W820" s="116">
        <f>SUMIFS('FA Write off'!D:D,'FA Write off'!A:A,'FA Addition'!$A820,'FA Write off'!C:C,"&lt;"&amp;'FA Addition'!$P$1)</f>
        <v>0</v>
      </c>
      <c r="Y820" s="191">
        <f>IFERROR(W820/'FA Addition'!$J820*'FA Addition'!$L820,0)</f>
        <v>0</v>
      </c>
      <c r="AA820" s="116">
        <f>SUMIFS('FA Write off'!D:D,'FA Write off'!A:A,'FA Addition'!$A820,'FA Write off'!C:C,"&lt;"&amp;'FA Addition'!$L$1+1,'FA Write off'!C:C,"&gt;"&amp;'FA Addition'!$L$1-365)</f>
        <v>0</v>
      </c>
      <c r="AC820" s="118">
        <f>IFERROR(AA820/'FA Addition'!$J820*'FA Addition'!$L820,0)</f>
        <v>0</v>
      </c>
      <c r="AE820" s="117">
        <f>IF(AND('FA Addition'!$D820&lt;$P$1+1,U820=0),'FA Addition'!$L820,0)-Y820</f>
        <v>0</v>
      </c>
      <c r="AF820" s="117">
        <f t="shared" si="60"/>
        <v>25000</v>
      </c>
      <c r="AG820" s="117">
        <f>MIN(MAX(+$P$1-'FA Addition'!$D820,0),365*'FA Addition'!$O820)</f>
        <v>0</v>
      </c>
      <c r="AH820" s="117">
        <f>MIN(MAX($L$1-'FA Addition'!$D820+1,0),365*'FA Addition'!$O820)</f>
        <v>172</v>
      </c>
      <c r="AI820" s="117" cm="1">
        <f t="array" ref="AI820">_xlfn.XLOOKUP(1,('FA Write off'!A:A='FA Addition'!$A820)*('FA Write off'!D:D=AA820),'FA Write off'!H:H,0,0)</f>
        <v>0</v>
      </c>
      <c r="AJ820" s="117">
        <f>IF(AC820&gt;0,MAX(IF('FA Addition'!$N820="SLM",($AC820-'FA Addition'!$M820)*'FA Addition'!$P820*AI820/365,(AC820-'FA Addition'!$M820)*(1-(1-'FA Addition'!$P820)^(AI820/365))),0),0)</f>
        <v>0</v>
      </c>
      <c r="AL820" s="117">
        <f>MAX(IF(AG820&gt;0,IF('FA Addition'!$N820="SLM",($AE820-'FA Addition'!$M820)*'FA Addition'!$P820*AG820/365,IFERROR(VDB(AE820,AE820*0.05,'FA Addition'!$O820,0,YEARFRAC('FA Addition'!$C820,$P$1-1,3),'FA Addition'!$Q820),FAAddition[[#This Row],[Original Cost (Rs)]]-FAAddition[[#This Row],[Salvage Value]])),0),0)</f>
        <v>0</v>
      </c>
      <c r="AM820" s="119"/>
      <c r="AN820" s="117">
        <f>MAX(IF(AH820&gt;0,IF('FA Addition'!$N820="SLM",($AF820-'FA Addition'!$M820)*'FA Addition'!$P820*AH820/365,IFERROR(VDB(AF820,AF820*0.05,'FA Addition'!$O820,0,YEARFRAC('FA Addition'!$C820,$L$1,3),'FA Addition'!$Q820),FAAddition[[#This Row],[Original Cost (Rs)]]-FAAddition[[#This Row],[Salvage Value]])),0),0)</f>
        <v>5278.9776402278721</v>
      </c>
      <c r="AO820" s="117">
        <f t="shared" si="63"/>
        <v>5278.9776402278721</v>
      </c>
      <c r="AQ820" s="117">
        <f t="shared" si="61"/>
        <v>0</v>
      </c>
      <c r="AR820" s="120">
        <f t="shared" si="62"/>
        <v>19721.022359772127</v>
      </c>
      <c r="AS820" s="121"/>
    </row>
    <row r="821" spans="1:45" ht="13.5" x14ac:dyDescent="0.4">
      <c r="A821" s="12">
        <f t="shared" si="64"/>
        <v>818</v>
      </c>
      <c r="B821" s="64" t="s">
        <v>1308</v>
      </c>
      <c r="C821" s="54">
        <v>45212</v>
      </c>
      <c r="D821" s="54">
        <v>45212</v>
      </c>
      <c r="E821" s="46" t="s">
        <v>1389</v>
      </c>
      <c r="F821" s="51" t="s">
        <v>1112</v>
      </c>
      <c r="G821" s="51" t="s">
        <v>36</v>
      </c>
      <c r="H821" s="51" t="s">
        <v>1113</v>
      </c>
      <c r="I821" s="55" t="s">
        <v>1588</v>
      </c>
      <c r="J821" s="56">
        <v>1700</v>
      </c>
      <c r="K821" s="51" t="s">
        <v>1132</v>
      </c>
      <c r="L821" s="58">
        <v>1215500</v>
      </c>
      <c r="M821" s="50">
        <f>ROUND('FA Addition'!$L821*5%,0.1)</f>
        <v>60775</v>
      </c>
      <c r="N821" s="113" t="str">
        <f>_xlfn.XLOOKUP(_xlfn.CONCAT(E821,B821),'Year Wise Master Dep Approach'!F:F,'Year Wise Master Dep Approach'!D:D)</f>
        <v>SLM</v>
      </c>
      <c r="O821" s="113">
        <f>_xlfn.XLOOKUP(_xlfn.CONCAT(E821,B821),'Year Wise Master Dep Approach'!F:F,'Year Wise Master Dep Approach'!E:E)</f>
        <v>3</v>
      </c>
      <c r="P821" s="114">
        <f>IFERROR(IF('FA Addition'!$N821="WDV",1-('FA Addition'!$M821/'FA Addition'!$L821)^(1/'FA Addition'!$O821),1/'FA Addition'!$O821),0)</f>
        <v>0.33333333333333331</v>
      </c>
      <c r="Q821" s="122">
        <f>'FA Addition'!$P821*'FA Addition'!$O821</f>
        <v>1</v>
      </c>
      <c r="R821" s="122"/>
      <c r="S821" s="116">
        <f>IF(AND(DATE(20&amp;LEFT(FAAddition[[#This Row],[FY]],2),4,1)&lt;$L$1+1,DATE(20&amp;LEFT(FAAddition[[#This Row],[FY]],2),4,1)&gt;$P$1-1),'FA Addition'!$J821,0)</f>
        <v>1700</v>
      </c>
      <c r="U821" s="117">
        <f>S821*'FA Addition'!$L821/'FA Addition'!$J821</f>
        <v>1215500</v>
      </c>
      <c r="W821" s="116">
        <f>SUMIFS('FA Write off'!D:D,'FA Write off'!A:A,'FA Addition'!$A821,'FA Write off'!C:C,"&lt;"&amp;'FA Addition'!$P$1)</f>
        <v>0</v>
      </c>
      <c r="Y821" s="191">
        <f>IFERROR(W821/'FA Addition'!$J821*'FA Addition'!$L821,0)</f>
        <v>0</v>
      </c>
      <c r="AA821" s="116">
        <f>SUMIFS('FA Write off'!D:D,'FA Write off'!A:A,'FA Addition'!$A821,'FA Write off'!C:C,"&lt;"&amp;'FA Addition'!$L$1+1,'FA Write off'!C:C,"&gt;"&amp;'FA Addition'!$L$1-365)</f>
        <v>0</v>
      </c>
      <c r="AC821" s="118">
        <f>IFERROR(AA821/'FA Addition'!$J821*'FA Addition'!$L821,0)</f>
        <v>0</v>
      </c>
      <c r="AE821" s="117">
        <f>IF(AND('FA Addition'!$D821&lt;$P$1+1,U821=0),'FA Addition'!$L821,0)-Y821</f>
        <v>0</v>
      </c>
      <c r="AF821" s="117">
        <f t="shared" si="60"/>
        <v>1215500</v>
      </c>
      <c r="AG821" s="117">
        <f>MIN(MAX(+$P$1-'FA Addition'!$D821,0),365*'FA Addition'!$O821)</f>
        <v>0</v>
      </c>
      <c r="AH821" s="117">
        <f>MIN(MAX($L$1-'FA Addition'!$D821+1,0),365*'FA Addition'!$O821)</f>
        <v>171</v>
      </c>
      <c r="AI821" s="117" cm="1">
        <f t="array" ref="AI821">_xlfn.XLOOKUP(1,('FA Write off'!A:A='FA Addition'!$A821)*('FA Write off'!D:D=AA821),'FA Write off'!H:H,0,0)</f>
        <v>0</v>
      </c>
      <c r="AJ821" s="117">
        <f>IF(AC821&gt;0,MAX(IF('FA Addition'!$N821="SLM",($AC821-'FA Addition'!$M821)*'FA Addition'!$P821*AI821/365,(AC821-'FA Addition'!$M821)*(1-(1-'FA Addition'!$P821)^(AI821/365))),0),0)</f>
        <v>0</v>
      </c>
      <c r="AL821" s="117">
        <f>MAX(IF(AG821&gt;0,IF('FA Addition'!$N821="SLM",($AE821-'FA Addition'!$M821)*'FA Addition'!$P821*AG821/365,IFERROR(VDB(AE821,AE821*0.05,'FA Addition'!$O821,0,YEARFRAC('FA Addition'!$C821,$P$1-1,3),'FA Addition'!$Q821),FAAddition[[#This Row],[Original Cost (Rs)]]-FAAddition[[#This Row],[Salvage Value]])),0),0)</f>
        <v>0</v>
      </c>
      <c r="AM821" s="119"/>
      <c r="AN821" s="117">
        <f>MAX(IF(AH821&gt;0,IF('FA Addition'!$N821="SLM",($AF821-'FA Addition'!$M821)*'FA Addition'!$P821*AH821/365,IFERROR(VDB(AF821,AF821*0.05,'FA Addition'!$O821,0,YEARFRAC('FA Addition'!$C821,$L$1,3),'FA Addition'!$Q821),FAAddition[[#This Row],[Original Cost (Rs)]]-FAAddition[[#This Row],[Salvage Value]])),0),0)</f>
        <v>180326.91780821918</v>
      </c>
      <c r="AO821" s="117">
        <f t="shared" si="63"/>
        <v>180326.91780821918</v>
      </c>
      <c r="AQ821" s="117">
        <f t="shared" si="61"/>
        <v>0</v>
      </c>
      <c r="AR821" s="120">
        <f t="shared" si="62"/>
        <v>1035173.0821917808</v>
      </c>
      <c r="AS821" s="121"/>
    </row>
    <row r="822" spans="1:45" ht="13.5" x14ac:dyDescent="0.4">
      <c r="A822" s="12">
        <f t="shared" si="64"/>
        <v>819</v>
      </c>
      <c r="B822" s="64" t="s">
        <v>1308</v>
      </c>
      <c r="C822" s="54">
        <v>45212</v>
      </c>
      <c r="D822" s="54">
        <v>45212</v>
      </c>
      <c r="E822" s="46" t="s">
        <v>1389</v>
      </c>
      <c r="F822" s="51" t="s">
        <v>1112</v>
      </c>
      <c r="G822" s="51" t="s">
        <v>36</v>
      </c>
      <c r="H822" s="51" t="s">
        <v>1113</v>
      </c>
      <c r="I822" s="55" t="s">
        <v>1589</v>
      </c>
      <c r="J822" s="56">
        <v>300</v>
      </c>
      <c r="K822" s="51" t="s">
        <v>1132</v>
      </c>
      <c r="L822" s="58">
        <v>214500</v>
      </c>
      <c r="M822" s="50">
        <f>ROUND('FA Addition'!$L822*5%,0.1)</f>
        <v>10725</v>
      </c>
      <c r="N822" s="113" t="str">
        <f>_xlfn.XLOOKUP(_xlfn.CONCAT(E822,B822),'Year Wise Master Dep Approach'!F:F,'Year Wise Master Dep Approach'!D:D)</f>
        <v>SLM</v>
      </c>
      <c r="O822" s="113">
        <f>_xlfn.XLOOKUP(_xlfn.CONCAT(E822,B822),'Year Wise Master Dep Approach'!F:F,'Year Wise Master Dep Approach'!E:E)</f>
        <v>3</v>
      </c>
      <c r="P822" s="114">
        <f>IFERROR(IF('FA Addition'!$N822="WDV",1-('FA Addition'!$M822/'FA Addition'!$L822)^(1/'FA Addition'!$O822),1/'FA Addition'!$O822),0)</f>
        <v>0.33333333333333331</v>
      </c>
      <c r="Q822" s="122">
        <f>'FA Addition'!$P822*'FA Addition'!$O822</f>
        <v>1</v>
      </c>
      <c r="R822" s="122"/>
      <c r="S822" s="116">
        <f>IF(AND(DATE(20&amp;LEFT(FAAddition[[#This Row],[FY]],2),4,1)&lt;$L$1+1,DATE(20&amp;LEFT(FAAddition[[#This Row],[FY]],2),4,1)&gt;$P$1-1),'FA Addition'!$J822,0)</f>
        <v>300</v>
      </c>
      <c r="U822" s="117">
        <f>S822*'FA Addition'!$L822/'FA Addition'!$J822</f>
        <v>214500</v>
      </c>
      <c r="W822" s="116">
        <f>SUMIFS('FA Write off'!D:D,'FA Write off'!A:A,'FA Addition'!$A822,'FA Write off'!C:C,"&lt;"&amp;'FA Addition'!$P$1)</f>
        <v>0</v>
      </c>
      <c r="Y822" s="191">
        <f>IFERROR(W822/'FA Addition'!$J822*'FA Addition'!$L822,0)</f>
        <v>0</v>
      </c>
      <c r="AA822" s="116">
        <f>SUMIFS('FA Write off'!D:D,'FA Write off'!A:A,'FA Addition'!$A822,'FA Write off'!C:C,"&lt;"&amp;'FA Addition'!$L$1+1,'FA Write off'!C:C,"&gt;"&amp;'FA Addition'!$L$1-365)</f>
        <v>0</v>
      </c>
      <c r="AC822" s="118">
        <f>IFERROR(AA822/'FA Addition'!$J822*'FA Addition'!$L822,0)</f>
        <v>0</v>
      </c>
      <c r="AE822" s="117">
        <f>IF(AND('FA Addition'!$D822&lt;$P$1+1,U822=0),'FA Addition'!$L822,0)-Y822</f>
        <v>0</v>
      </c>
      <c r="AF822" s="117">
        <f t="shared" si="60"/>
        <v>214500</v>
      </c>
      <c r="AG822" s="117">
        <f>MIN(MAX(+$P$1-'FA Addition'!$D822,0),365*'FA Addition'!$O822)</f>
        <v>0</v>
      </c>
      <c r="AH822" s="117">
        <f>MIN(MAX($L$1-'FA Addition'!$D822+1,0),365*'FA Addition'!$O822)</f>
        <v>171</v>
      </c>
      <c r="AI822" s="117" cm="1">
        <f t="array" ref="AI822">_xlfn.XLOOKUP(1,('FA Write off'!A:A='FA Addition'!$A822)*('FA Write off'!D:D=AA822),'FA Write off'!H:H,0,0)</f>
        <v>0</v>
      </c>
      <c r="AJ822" s="117">
        <f>IF(AC822&gt;0,MAX(IF('FA Addition'!$N822="SLM",($AC822-'FA Addition'!$M822)*'FA Addition'!$P822*AI822/365,(AC822-'FA Addition'!$M822)*(1-(1-'FA Addition'!$P822)^(AI822/365))),0),0)</f>
        <v>0</v>
      </c>
      <c r="AL822" s="117">
        <f>MAX(IF(AG822&gt;0,IF('FA Addition'!$N822="SLM",($AE822-'FA Addition'!$M822)*'FA Addition'!$P822*AG822/365,IFERROR(VDB(AE822,AE822*0.05,'FA Addition'!$O822,0,YEARFRAC('FA Addition'!$C822,$P$1-1,3),'FA Addition'!$Q822),FAAddition[[#This Row],[Original Cost (Rs)]]-FAAddition[[#This Row],[Salvage Value]])),0),0)</f>
        <v>0</v>
      </c>
      <c r="AM822" s="119"/>
      <c r="AN822" s="117">
        <f>MAX(IF(AH822&gt;0,IF('FA Addition'!$N822="SLM",($AF822-'FA Addition'!$M822)*'FA Addition'!$P822*AH822/365,IFERROR(VDB(AF822,AF822*0.05,'FA Addition'!$O822,0,YEARFRAC('FA Addition'!$C822,$L$1,3),'FA Addition'!$Q822),FAAddition[[#This Row],[Original Cost (Rs)]]-FAAddition[[#This Row],[Salvage Value]])),0),0)</f>
        <v>31822.397260273974</v>
      </c>
      <c r="AO822" s="117">
        <f t="shared" si="63"/>
        <v>31822.397260273974</v>
      </c>
      <c r="AQ822" s="117">
        <f t="shared" si="61"/>
        <v>0</v>
      </c>
      <c r="AR822" s="120">
        <f t="shared" si="62"/>
        <v>182677.60273972602</v>
      </c>
      <c r="AS822" s="121"/>
    </row>
    <row r="823" spans="1:45" ht="13.5" x14ac:dyDescent="0.4">
      <c r="A823" s="12">
        <f t="shared" si="64"/>
        <v>820</v>
      </c>
      <c r="B823" s="64" t="s">
        <v>1308</v>
      </c>
      <c r="C823" s="54">
        <v>45217</v>
      </c>
      <c r="D823" s="54">
        <v>45217</v>
      </c>
      <c r="E823" s="46" t="s">
        <v>451</v>
      </c>
      <c r="F823" s="51" t="s">
        <v>19</v>
      </c>
      <c r="G823" s="51" t="s">
        <v>1590</v>
      </c>
      <c r="H823" s="51" t="s">
        <v>21</v>
      </c>
      <c r="I823" s="55" t="s">
        <v>1591</v>
      </c>
      <c r="J823" s="56">
        <v>1</v>
      </c>
      <c r="K823" s="51" t="s">
        <v>1552</v>
      </c>
      <c r="L823" s="58">
        <v>34737.29</v>
      </c>
      <c r="M823" s="50">
        <f>ROUND('FA Addition'!$L823*5%,0.1)</f>
        <v>1737</v>
      </c>
      <c r="N823" s="113" t="str">
        <f>_xlfn.XLOOKUP(_xlfn.CONCAT(E823,B823),'Year Wise Master Dep Approach'!F:F,'Year Wise Master Dep Approach'!D:D)</f>
        <v>WDV</v>
      </c>
      <c r="O823" s="113">
        <f>_xlfn.XLOOKUP(_xlfn.CONCAT(E823,B823),'Year Wise Master Dep Approach'!F:F,'Year Wise Master Dep Approach'!E:E)</f>
        <v>3</v>
      </c>
      <c r="P823" s="114">
        <f>IFERROR(IF('FA Addition'!$N823="WDV",1-('FA Addition'!$M823/'FA Addition'!$L823)^(1/'FA Addition'!$O823),1/'FA Addition'!$O823),0)</f>
        <v>0.63158727016608973</v>
      </c>
      <c r="Q823" s="122">
        <f>'FA Addition'!$P823*'FA Addition'!$O823</f>
        <v>1.8947618104982693</v>
      </c>
      <c r="R823" s="122"/>
      <c r="S823" s="116">
        <f>IF(AND(DATE(20&amp;LEFT(FAAddition[[#This Row],[FY]],2),4,1)&lt;$L$1+1,DATE(20&amp;LEFT(FAAddition[[#This Row],[FY]],2),4,1)&gt;$P$1-1),'FA Addition'!$J823,0)</f>
        <v>1</v>
      </c>
      <c r="U823" s="117">
        <f>S823*'FA Addition'!$L823/'FA Addition'!$J823</f>
        <v>34737.29</v>
      </c>
      <c r="W823" s="116">
        <f>SUMIFS('FA Write off'!D:D,'FA Write off'!A:A,'FA Addition'!$A823,'FA Write off'!C:C,"&lt;"&amp;'FA Addition'!$P$1)</f>
        <v>0</v>
      </c>
      <c r="Y823" s="191">
        <f>IFERROR(W823/'FA Addition'!$J823*'FA Addition'!$L823,0)</f>
        <v>0</v>
      </c>
      <c r="AA823" s="116">
        <f>SUMIFS('FA Write off'!D:D,'FA Write off'!A:A,'FA Addition'!$A823,'FA Write off'!C:C,"&lt;"&amp;'FA Addition'!$L$1+1,'FA Write off'!C:C,"&gt;"&amp;'FA Addition'!$L$1-365)</f>
        <v>0</v>
      </c>
      <c r="AC823" s="118">
        <f>IFERROR(AA823/'FA Addition'!$J823*'FA Addition'!$L823,0)</f>
        <v>0</v>
      </c>
      <c r="AE823" s="117">
        <f>IF(AND('FA Addition'!$D823&lt;$P$1+1,U823=0),'FA Addition'!$L823,0)-Y823</f>
        <v>0</v>
      </c>
      <c r="AF823" s="117">
        <f t="shared" si="60"/>
        <v>34737.29</v>
      </c>
      <c r="AG823" s="117">
        <f>MIN(MAX(+$P$1-'FA Addition'!$D823,0),365*'FA Addition'!$O823)</f>
        <v>0</v>
      </c>
      <c r="AH823" s="117">
        <f>MIN(MAX($L$1-'FA Addition'!$D823+1,0),365*'FA Addition'!$O823)</f>
        <v>166</v>
      </c>
      <c r="AI823" s="117" cm="1">
        <f t="array" ref="AI823">_xlfn.XLOOKUP(1,('FA Write off'!A:A='FA Addition'!$A823)*('FA Write off'!D:D=AA823),'FA Write off'!H:H,0,0)</f>
        <v>0</v>
      </c>
      <c r="AJ823" s="117">
        <f>IF(AC823&gt;0,MAX(IF('FA Addition'!$N823="SLM",($AC823-'FA Addition'!$M823)*'FA Addition'!$P823*AI823/365,(AC823-'FA Addition'!$M823)*(1-(1-'FA Addition'!$P823)^(AI823/365))),0),0)</f>
        <v>0</v>
      </c>
      <c r="AL823" s="117">
        <f>MAX(IF(AG823&gt;0,IF('FA Addition'!$N823="SLM",($AE823-'FA Addition'!$M823)*'FA Addition'!$P823*AG823/365,IFERROR(VDB(AE823,AE823*0.05,'FA Addition'!$O823,0,YEARFRAC('FA Addition'!$C823,$P$1-1,3),'FA Addition'!$Q823),FAAddition[[#This Row],[Original Cost (Rs)]]-FAAddition[[#This Row],[Salvage Value]])),0),0)</f>
        <v>0</v>
      </c>
      <c r="AM823" s="119"/>
      <c r="AN823" s="117">
        <f>MAX(IF(AH823&gt;0,IF('FA Addition'!$N823="SLM",($AF823-'FA Addition'!$M823)*'FA Addition'!$P823*AH823/365,IFERROR(VDB(AF823,AF823*0.05,'FA Addition'!$O823,0,YEARFRAC('FA Addition'!$C823,$L$1,3),'FA Addition'!$Q823),FAAddition[[#This Row],[Original Cost (Rs)]]-FAAddition[[#This Row],[Salvage Value]])),0),0)</f>
        <v>9917.9150056744875</v>
      </c>
      <c r="AO823" s="117">
        <f t="shared" si="63"/>
        <v>9917.9150056744875</v>
      </c>
      <c r="AQ823" s="117">
        <f t="shared" si="61"/>
        <v>0</v>
      </c>
      <c r="AR823" s="120">
        <f t="shared" si="62"/>
        <v>24819.374994325513</v>
      </c>
      <c r="AS823" s="121"/>
    </row>
    <row r="824" spans="1:45" ht="13.5" x14ac:dyDescent="0.4">
      <c r="A824" s="12">
        <f t="shared" si="64"/>
        <v>821</v>
      </c>
      <c r="B824" s="64" t="s">
        <v>1308</v>
      </c>
      <c r="C824" s="54">
        <v>45218</v>
      </c>
      <c r="D824" s="54">
        <v>45218</v>
      </c>
      <c r="E824" s="46" t="s">
        <v>1389</v>
      </c>
      <c r="F824" s="51" t="s">
        <v>1112</v>
      </c>
      <c r="G824" s="51" t="s">
        <v>36</v>
      </c>
      <c r="H824" s="51" t="s">
        <v>1113</v>
      </c>
      <c r="I824" s="55" t="s">
        <v>1592</v>
      </c>
      <c r="J824" s="56">
        <v>500</v>
      </c>
      <c r="K824" s="51" t="s">
        <v>296</v>
      </c>
      <c r="L824" s="58">
        <v>850000</v>
      </c>
      <c r="M824" s="50">
        <f>ROUND('FA Addition'!$L824*5%,0.1)</f>
        <v>42500</v>
      </c>
      <c r="N824" s="113" t="str">
        <f>_xlfn.XLOOKUP(_xlfn.CONCAT(E824,B824),'Year Wise Master Dep Approach'!F:F,'Year Wise Master Dep Approach'!D:D)</f>
        <v>SLM</v>
      </c>
      <c r="O824" s="113">
        <f>_xlfn.XLOOKUP(_xlfn.CONCAT(E824,B824),'Year Wise Master Dep Approach'!F:F,'Year Wise Master Dep Approach'!E:E)</f>
        <v>3</v>
      </c>
      <c r="P824" s="114">
        <f>IFERROR(IF('FA Addition'!$N824="WDV",1-('FA Addition'!$M824/'FA Addition'!$L824)^(1/'FA Addition'!$O824),1/'FA Addition'!$O824),0)</f>
        <v>0.33333333333333331</v>
      </c>
      <c r="Q824" s="122">
        <f>'FA Addition'!$P824*'FA Addition'!$O824</f>
        <v>1</v>
      </c>
      <c r="R824" s="122"/>
      <c r="S824" s="116">
        <f>IF(AND(DATE(20&amp;LEFT(FAAddition[[#This Row],[FY]],2),4,1)&lt;$L$1+1,DATE(20&amp;LEFT(FAAddition[[#This Row],[FY]],2),4,1)&gt;$P$1-1),'FA Addition'!$J824,0)</f>
        <v>500</v>
      </c>
      <c r="U824" s="117">
        <f>S824*'FA Addition'!$L824/'FA Addition'!$J824</f>
        <v>850000</v>
      </c>
      <c r="W824" s="116">
        <f>SUMIFS('FA Write off'!D:D,'FA Write off'!A:A,'FA Addition'!$A824,'FA Write off'!C:C,"&lt;"&amp;'FA Addition'!$P$1)</f>
        <v>0</v>
      </c>
      <c r="Y824" s="191">
        <f>IFERROR(W824/'FA Addition'!$J824*'FA Addition'!$L824,0)</f>
        <v>0</v>
      </c>
      <c r="AA824" s="116">
        <f>SUMIFS('FA Write off'!D:D,'FA Write off'!A:A,'FA Addition'!$A824,'FA Write off'!C:C,"&lt;"&amp;'FA Addition'!$L$1+1,'FA Write off'!C:C,"&gt;"&amp;'FA Addition'!$L$1-365)</f>
        <v>0</v>
      </c>
      <c r="AC824" s="118">
        <f>IFERROR(AA824/'FA Addition'!$J824*'FA Addition'!$L824,0)</f>
        <v>0</v>
      </c>
      <c r="AE824" s="117">
        <f>IF(AND('FA Addition'!$D824&lt;$P$1+1,U824=0),'FA Addition'!$L824,0)-Y824</f>
        <v>0</v>
      </c>
      <c r="AF824" s="117">
        <f t="shared" si="60"/>
        <v>850000</v>
      </c>
      <c r="AG824" s="117">
        <f>MIN(MAX(+$P$1-'FA Addition'!$D824,0),365*'FA Addition'!$O824)</f>
        <v>0</v>
      </c>
      <c r="AH824" s="117">
        <f>MIN(MAX($L$1-'FA Addition'!$D824+1,0),365*'FA Addition'!$O824)</f>
        <v>165</v>
      </c>
      <c r="AI824" s="117" cm="1">
        <f t="array" ref="AI824">_xlfn.XLOOKUP(1,('FA Write off'!A:A='FA Addition'!$A824)*('FA Write off'!D:D=AA824),'FA Write off'!H:H,0,0)</f>
        <v>0</v>
      </c>
      <c r="AJ824" s="117">
        <f>IF(AC824&gt;0,MAX(IF('FA Addition'!$N824="SLM",($AC824-'FA Addition'!$M824)*'FA Addition'!$P824*AI824/365,(AC824-'FA Addition'!$M824)*(1-(1-'FA Addition'!$P824)^(AI824/365))),0),0)</f>
        <v>0</v>
      </c>
      <c r="AL824" s="117">
        <f>MAX(IF(AG824&gt;0,IF('FA Addition'!$N824="SLM",($AE824-'FA Addition'!$M824)*'FA Addition'!$P824*AG824/365,IFERROR(VDB(AE824,AE824*0.05,'FA Addition'!$O824,0,YEARFRAC('FA Addition'!$C824,$P$1-1,3),'FA Addition'!$Q824),FAAddition[[#This Row],[Original Cost (Rs)]]-FAAddition[[#This Row],[Salvage Value]])),0),0)</f>
        <v>0</v>
      </c>
      <c r="AM824" s="119"/>
      <c r="AN824" s="117">
        <f>MAX(IF(AH824&gt;0,IF('FA Addition'!$N824="SLM",($AF824-'FA Addition'!$M824)*'FA Addition'!$P824*AH824/365,IFERROR(VDB(AF824,AF824*0.05,'FA Addition'!$O824,0,YEARFRAC('FA Addition'!$C824,$L$1,3),'FA Addition'!$Q824),FAAddition[[#This Row],[Original Cost (Rs)]]-FAAddition[[#This Row],[Salvage Value]])),0),0)</f>
        <v>121678.08219178081</v>
      </c>
      <c r="AO824" s="117">
        <f t="shared" si="63"/>
        <v>121678.08219178081</v>
      </c>
      <c r="AQ824" s="117">
        <f t="shared" si="61"/>
        <v>0</v>
      </c>
      <c r="AR824" s="120">
        <f t="shared" si="62"/>
        <v>728321.91780821921</v>
      </c>
      <c r="AS824" s="121"/>
    </row>
    <row r="825" spans="1:45" ht="13.5" x14ac:dyDescent="0.4">
      <c r="A825" s="12">
        <f t="shared" si="64"/>
        <v>822</v>
      </c>
      <c r="B825" s="64" t="s">
        <v>1308</v>
      </c>
      <c r="C825" s="54">
        <v>45218</v>
      </c>
      <c r="D825" s="54">
        <v>45218</v>
      </c>
      <c r="E825" s="46" t="s">
        <v>451</v>
      </c>
      <c r="F825" s="51" t="s">
        <v>19</v>
      </c>
      <c r="G825" s="51" t="s">
        <v>1582</v>
      </c>
      <c r="H825" s="51" t="s">
        <v>21</v>
      </c>
      <c r="I825" s="55" t="s">
        <v>1593</v>
      </c>
      <c r="J825" s="56">
        <v>1</v>
      </c>
      <c r="K825" s="51" t="s">
        <v>1584</v>
      </c>
      <c r="L825" s="58">
        <v>60076.27</v>
      </c>
      <c r="M825" s="50">
        <f>ROUND('FA Addition'!$L825*5%,0.1)</f>
        <v>3004</v>
      </c>
      <c r="N825" s="113" t="str">
        <f>_xlfn.XLOOKUP(_xlfn.CONCAT(E825,B825),'Year Wise Master Dep Approach'!F:F,'Year Wise Master Dep Approach'!D:D)</f>
        <v>WDV</v>
      </c>
      <c r="O825" s="113">
        <f>_xlfn.XLOOKUP(_xlfn.CONCAT(E825,B825),'Year Wise Master Dep Approach'!F:F,'Year Wise Master Dep Approach'!E:E)</f>
        <v>3</v>
      </c>
      <c r="P825" s="114">
        <f>IFERROR(IF('FA Addition'!$N825="WDV",1-('FA Addition'!$M825/'FA Addition'!$L825)^(1/'FA Addition'!$O825),1/'FA Addition'!$O825),0)</f>
        <v>0.63158922585374588</v>
      </c>
      <c r="Q825" s="122">
        <f>'FA Addition'!$P825*'FA Addition'!$O825</f>
        <v>1.8947676775612377</v>
      </c>
      <c r="R825" s="122"/>
      <c r="S825" s="116">
        <f>IF(AND(DATE(20&amp;LEFT(FAAddition[[#This Row],[FY]],2),4,1)&lt;$L$1+1,DATE(20&amp;LEFT(FAAddition[[#This Row],[FY]],2),4,1)&gt;$P$1-1),'FA Addition'!$J825,0)</f>
        <v>1</v>
      </c>
      <c r="U825" s="117">
        <f>S825*'FA Addition'!$L825/'FA Addition'!$J825</f>
        <v>60076.27</v>
      </c>
      <c r="W825" s="116">
        <f>SUMIFS('FA Write off'!D:D,'FA Write off'!A:A,'FA Addition'!$A825,'FA Write off'!C:C,"&lt;"&amp;'FA Addition'!$P$1)</f>
        <v>0</v>
      </c>
      <c r="Y825" s="191">
        <f>IFERROR(W825/'FA Addition'!$J825*'FA Addition'!$L825,0)</f>
        <v>0</v>
      </c>
      <c r="AA825" s="116">
        <f>SUMIFS('FA Write off'!D:D,'FA Write off'!A:A,'FA Addition'!$A825,'FA Write off'!C:C,"&lt;"&amp;'FA Addition'!$L$1+1,'FA Write off'!C:C,"&gt;"&amp;'FA Addition'!$L$1-365)</f>
        <v>0</v>
      </c>
      <c r="AC825" s="118">
        <f>IFERROR(AA825/'FA Addition'!$J825*'FA Addition'!$L825,0)</f>
        <v>0</v>
      </c>
      <c r="AE825" s="117">
        <f>IF(AND('FA Addition'!$D825&lt;$P$1+1,U825=0),'FA Addition'!$L825,0)-Y825</f>
        <v>0</v>
      </c>
      <c r="AF825" s="117">
        <f t="shared" si="60"/>
        <v>60076.27</v>
      </c>
      <c r="AG825" s="117">
        <f>MIN(MAX(+$P$1-'FA Addition'!$D825,0),365*'FA Addition'!$O825)</f>
        <v>0</v>
      </c>
      <c r="AH825" s="117">
        <f>MIN(MAX($L$1-'FA Addition'!$D825+1,0),365*'FA Addition'!$O825)</f>
        <v>165</v>
      </c>
      <c r="AI825" s="117" cm="1">
        <f t="array" ref="AI825">_xlfn.XLOOKUP(1,('FA Write off'!A:A='FA Addition'!$A825)*('FA Write off'!D:D=AA825),'FA Write off'!H:H,0,0)</f>
        <v>0</v>
      </c>
      <c r="AJ825" s="117">
        <f>IF(AC825&gt;0,MAX(IF('FA Addition'!$N825="SLM",($AC825-'FA Addition'!$M825)*'FA Addition'!$P825*AI825/365,(AC825-'FA Addition'!$M825)*(1-(1-'FA Addition'!$P825)^(AI825/365))),0),0)</f>
        <v>0</v>
      </c>
      <c r="AL825" s="117">
        <f>MAX(IF(AG825&gt;0,IF('FA Addition'!$N825="SLM",($AE825-'FA Addition'!$M825)*'FA Addition'!$P825*AG825/365,IFERROR(VDB(AE825,AE825*0.05,'FA Addition'!$O825,0,YEARFRAC('FA Addition'!$C825,$P$1-1,3),'FA Addition'!$Q825),FAAddition[[#This Row],[Original Cost (Rs)]]-FAAddition[[#This Row],[Salvage Value]])),0),0)</f>
        <v>0</v>
      </c>
      <c r="AM825" s="119"/>
      <c r="AN825" s="117">
        <f>MAX(IF(AH825&gt;0,IF('FA Addition'!$N825="SLM",($AF825-'FA Addition'!$M825)*'FA Addition'!$P825*AH825/365,IFERROR(VDB(AF825,AF825*0.05,'FA Addition'!$O825,0,YEARFRAC('FA Addition'!$C825,$L$1,3),'FA Addition'!$Q825),FAAddition[[#This Row],[Original Cost (Rs)]]-FAAddition[[#This Row],[Salvage Value]])),0),0)</f>
        <v>17048.597472007728</v>
      </c>
      <c r="AO825" s="117">
        <f t="shared" si="63"/>
        <v>17048.597472007728</v>
      </c>
      <c r="AQ825" s="117">
        <f t="shared" si="61"/>
        <v>0</v>
      </c>
      <c r="AR825" s="120">
        <f t="shared" si="62"/>
        <v>43027.672527992268</v>
      </c>
      <c r="AS825" s="121"/>
    </row>
    <row r="826" spans="1:45" ht="13.5" x14ac:dyDescent="0.4">
      <c r="A826" s="12">
        <f t="shared" si="64"/>
        <v>823</v>
      </c>
      <c r="B826" s="64" t="s">
        <v>1308</v>
      </c>
      <c r="C826" s="54">
        <v>45220</v>
      </c>
      <c r="D826" s="54">
        <v>45220</v>
      </c>
      <c r="E826" s="46" t="s">
        <v>1389</v>
      </c>
      <c r="F826" s="51" t="s">
        <v>1112</v>
      </c>
      <c r="G826" s="51" t="s">
        <v>36</v>
      </c>
      <c r="H826" s="51" t="s">
        <v>1113</v>
      </c>
      <c r="I826" s="55" t="s">
        <v>1594</v>
      </c>
      <c r="J826" s="56">
        <v>1900</v>
      </c>
      <c r="K826" s="51" t="s">
        <v>1132</v>
      </c>
      <c r="L826" s="58">
        <v>1358500</v>
      </c>
      <c r="M826" s="50">
        <f>ROUND('FA Addition'!$L826*5%,0.1)</f>
        <v>67925</v>
      </c>
      <c r="N826" s="113" t="str">
        <f>_xlfn.XLOOKUP(_xlfn.CONCAT(E826,B826),'Year Wise Master Dep Approach'!F:F,'Year Wise Master Dep Approach'!D:D)</f>
        <v>SLM</v>
      </c>
      <c r="O826" s="113">
        <f>_xlfn.XLOOKUP(_xlfn.CONCAT(E826,B826),'Year Wise Master Dep Approach'!F:F,'Year Wise Master Dep Approach'!E:E)</f>
        <v>3</v>
      </c>
      <c r="P826" s="114">
        <f>IFERROR(IF('FA Addition'!$N826="WDV",1-('FA Addition'!$M826/'FA Addition'!$L826)^(1/'FA Addition'!$O826),1/'FA Addition'!$O826),0)</f>
        <v>0.33333333333333331</v>
      </c>
      <c r="Q826" s="122">
        <f>'FA Addition'!$P826*'FA Addition'!$O826</f>
        <v>1</v>
      </c>
      <c r="R826" s="122"/>
      <c r="S826" s="116">
        <f>IF(AND(DATE(20&amp;LEFT(FAAddition[[#This Row],[FY]],2),4,1)&lt;$L$1+1,DATE(20&amp;LEFT(FAAddition[[#This Row],[FY]],2),4,1)&gt;$P$1-1),'FA Addition'!$J826,0)</f>
        <v>1900</v>
      </c>
      <c r="U826" s="117">
        <f>S826*'FA Addition'!$L826/'FA Addition'!$J826</f>
        <v>1358500</v>
      </c>
      <c r="W826" s="116">
        <f>SUMIFS('FA Write off'!D:D,'FA Write off'!A:A,'FA Addition'!$A826,'FA Write off'!C:C,"&lt;"&amp;'FA Addition'!$P$1)</f>
        <v>0</v>
      </c>
      <c r="Y826" s="191">
        <f>IFERROR(W826/'FA Addition'!$J826*'FA Addition'!$L826,0)</f>
        <v>0</v>
      </c>
      <c r="AA826" s="116">
        <f>SUMIFS('FA Write off'!D:D,'FA Write off'!A:A,'FA Addition'!$A826,'FA Write off'!C:C,"&lt;"&amp;'FA Addition'!$L$1+1,'FA Write off'!C:C,"&gt;"&amp;'FA Addition'!$L$1-365)</f>
        <v>0</v>
      </c>
      <c r="AC826" s="118">
        <f>IFERROR(AA826/'FA Addition'!$J826*'FA Addition'!$L826,0)</f>
        <v>0</v>
      </c>
      <c r="AE826" s="117">
        <f>IF(AND('FA Addition'!$D826&lt;$P$1+1,U826=0),'FA Addition'!$L826,0)-Y826</f>
        <v>0</v>
      </c>
      <c r="AF826" s="117">
        <f t="shared" si="60"/>
        <v>1358500</v>
      </c>
      <c r="AG826" s="117">
        <f>MIN(MAX(+$P$1-'FA Addition'!$D826,0),365*'FA Addition'!$O826)</f>
        <v>0</v>
      </c>
      <c r="AH826" s="117">
        <f>MIN(MAX($L$1-'FA Addition'!$D826+1,0),365*'FA Addition'!$O826)</f>
        <v>163</v>
      </c>
      <c r="AI826" s="117" cm="1">
        <f t="array" ref="AI826">_xlfn.XLOOKUP(1,('FA Write off'!A:A='FA Addition'!$A826)*('FA Write off'!D:D=AA826),'FA Write off'!H:H,0,0)</f>
        <v>0</v>
      </c>
      <c r="AJ826" s="117">
        <f>IF(AC826&gt;0,MAX(IF('FA Addition'!$N826="SLM",($AC826-'FA Addition'!$M826)*'FA Addition'!$P826*AI826/365,(AC826-'FA Addition'!$M826)*(1-(1-'FA Addition'!$P826)^(AI826/365))),0),0)</f>
        <v>0</v>
      </c>
      <c r="AL826" s="117">
        <f>MAX(IF(AG826&gt;0,IF('FA Addition'!$N826="SLM",($AE826-'FA Addition'!$M826)*'FA Addition'!$P826*AG826/365,IFERROR(VDB(AE826,AE826*0.05,'FA Addition'!$O826,0,YEARFRAC('FA Addition'!$C826,$P$1-1,3),'FA Addition'!$Q826),FAAddition[[#This Row],[Original Cost (Rs)]]-FAAddition[[#This Row],[Salvage Value]])),0),0)</f>
        <v>0</v>
      </c>
      <c r="AM826" s="119"/>
      <c r="AN826" s="117">
        <f>MAX(IF(AH826&gt;0,IF('FA Addition'!$N826="SLM",($AF826-'FA Addition'!$M826)*'FA Addition'!$P826*AH826/365,IFERROR(VDB(AF826,AF826*0.05,'FA Addition'!$O826,0,YEARFRAC('FA Addition'!$C826,$L$1,3),'FA Addition'!$Q826),FAAddition[[#This Row],[Original Cost (Rs)]]-FAAddition[[#This Row],[Salvage Value]])),0),0)</f>
        <v>192112.99086757988</v>
      </c>
      <c r="AO826" s="117">
        <f t="shared" si="63"/>
        <v>192112.99086757988</v>
      </c>
      <c r="AQ826" s="117">
        <f t="shared" si="61"/>
        <v>0</v>
      </c>
      <c r="AR826" s="120">
        <f t="shared" si="62"/>
        <v>1166387.0091324202</v>
      </c>
      <c r="AS826" s="121"/>
    </row>
    <row r="827" spans="1:45" ht="13.5" x14ac:dyDescent="0.4">
      <c r="A827" s="12">
        <f t="shared" si="64"/>
        <v>824</v>
      </c>
      <c r="B827" s="64" t="s">
        <v>1308</v>
      </c>
      <c r="C827" s="54">
        <v>45220</v>
      </c>
      <c r="D827" s="54">
        <v>45220</v>
      </c>
      <c r="E827" s="46" t="s">
        <v>1389</v>
      </c>
      <c r="F827" s="51" t="s">
        <v>1112</v>
      </c>
      <c r="G827" s="51" t="s">
        <v>36</v>
      </c>
      <c r="H827" s="51" t="s">
        <v>1113</v>
      </c>
      <c r="I827" s="55" t="s">
        <v>1595</v>
      </c>
      <c r="J827" s="56">
        <v>300</v>
      </c>
      <c r="K827" s="51" t="s">
        <v>296</v>
      </c>
      <c r="L827" s="58">
        <v>510000</v>
      </c>
      <c r="M827" s="50">
        <f>ROUND('FA Addition'!$L827*5%,0.1)</f>
        <v>25500</v>
      </c>
      <c r="N827" s="113" t="str">
        <f>_xlfn.XLOOKUP(_xlfn.CONCAT(E827,B827),'Year Wise Master Dep Approach'!F:F,'Year Wise Master Dep Approach'!D:D)</f>
        <v>SLM</v>
      </c>
      <c r="O827" s="113">
        <f>_xlfn.XLOOKUP(_xlfn.CONCAT(E827,B827),'Year Wise Master Dep Approach'!F:F,'Year Wise Master Dep Approach'!E:E)</f>
        <v>3</v>
      </c>
      <c r="P827" s="114">
        <f>IFERROR(IF('FA Addition'!$N827="WDV",1-('FA Addition'!$M827/'FA Addition'!$L827)^(1/'FA Addition'!$O827),1/'FA Addition'!$O827),0)</f>
        <v>0.33333333333333331</v>
      </c>
      <c r="Q827" s="122">
        <f>'FA Addition'!$P827*'FA Addition'!$O827</f>
        <v>1</v>
      </c>
      <c r="R827" s="122"/>
      <c r="S827" s="116">
        <f>IF(AND(DATE(20&amp;LEFT(FAAddition[[#This Row],[FY]],2),4,1)&lt;$L$1+1,DATE(20&amp;LEFT(FAAddition[[#This Row],[FY]],2),4,1)&gt;$P$1-1),'FA Addition'!$J827,0)</f>
        <v>300</v>
      </c>
      <c r="U827" s="117">
        <f>S827*'FA Addition'!$L827/'FA Addition'!$J827</f>
        <v>510000</v>
      </c>
      <c r="W827" s="116">
        <f>SUMIFS('FA Write off'!D:D,'FA Write off'!A:A,'FA Addition'!$A827,'FA Write off'!C:C,"&lt;"&amp;'FA Addition'!$P$1)</f>
        <v>0</v>
      </c>
      <c r="Y827" s="191">
        <f>IFERROR(W827/'FA Addition'!$J827*'FA Addition'!$L827,0)</f>
        <v>0</v>
      </c>
      <c r="AA827" s="116">
        <f>SUMIFS('FA Write off'!D:D,'FA Write off'!A:A,'FA Addition'!$A827,'FA Write off'!C:C,"&lt;"&amp;'FA Addition'!$L$1+1,'FA Write off'!C:C,"&gt;"&amp;'FA Addition'!$L$1-365)</f>
        <v>0</v>
      </c>
      <c r="AC827" s="118">
        <f>IFERROR(AA827/'FA Addition'!$J827*'FA Addition'!$L827,0)</f>
        <v>0</v>
      </c>
      <c r="AE827" s="117">
        <f>IF(AND('FA Addition'!$D827&lt;$P$1+1,U827=0),'FA Addition'!$L827,0)-Y827</f>
        <v>0</v>
      </c>
      <c r="AF827" s="117">
        <f t="shared" si="60"/>
        <v>510000</v>
      </c>
      <c r="AG827" s="117">
        <f>MIN(MAX(+$P$1-'FA Addition'!$D827,0),365*'FA Addition'!$O827)</f>
        <v>0</v>
      </c>
      <c r="AH827" s="117">
        <f>MIN(MAX($L$1-'FA Addition'!$D827+1,0),365*'FA Addition'!$O827)</f>
        <v>163</v>
      </c>
      <c r="AI827" s="117" cm="1">
        <f t="array" ref="AI827">_xlfn.XLOOKUP(1,('FA Write off'!A:A='FA Addition'!$A827)*('FA Write off'!D:D=AA827),'FA Write off'!H:H,0,0)</f>
        <v>0</v>
      </c>
      <c r="AJ827" s="117">
        <f>IF(AC827&gt;0,MAX(IF('FA Addition'!$N827="SLM",($AC827-'FA Addition'!$M827)*'FA Addition'!$P827*AI827/365,(AC827-'FA Addition'!$M827)*(1-(1-'FA Addition'!$P827)^(AI827/365))),0),0)</f>
        <v>0</v>
      </c>
      <c r="AL827" s="117">
        <f>MAX(IF(AG827&gt;0,IF('FA Addition'!$N827="SLM",($AE827-'FA Addition'!$M827)*'FA Addition'!$P827*AG827/365,IFERROR(VDB(AE827,AE827*0.05,'FA Addition'!$O827,0,YEARFRAC('FA Addition'!$C827,$P$1-1,3),'FA Addition'!$Q827),FAAddition[[#This Row],[Original Cost (Rs)]]-FAAddition[[#This Row],[Salvage Value]])),0),0)</f>
        <v>0</v>
      </c>
      <c r="AM827" s="119"/>
      <c r="AN827" s="117">
        <f>MAX(IF(AH827&gt;0,IF('FA Addition'!$N827="SLM",($AF827-'FA Addition'!$M827)*'FA Addition'!$P827*AH827/365,IFERROR(VDB(AF827,AF827*0.05,'FA Addition'!$O827,0,YEARFRAC('FA Addition'!$C827,$L$1,3),'FA Addition'!$Q827),FAAddition[[#This Row],[Original Cost (Rs)]]-FAAddition[[#This Row],[Salvage Value]])),0),0)</f>
        <v>72121.917808219179</v>
      </c>
      <c r="AO827" s="117">
        <f t="shared" si="63"/>
        <v>72121.917808219179</v>
      </c>
      <c r="AQ827" s="117">
        <f t="shared" si="61"/>
        <v>0</v>
      </c>
      <c r="AR827" s="120">
        <f t="shared" si="62"/>
        <v>437878.08219178079</v>
      </c>
      <c r="AS827" s="121"/>
    </row>
    <row r="828" spans="1:45" ht="13.5" x14ac:dyDescent="0.4">
      <c r="A828" s="12">
        <f t="shared" si="64"/>
        <v>825</v>
      </c>
      <c r="B828" s="64" t="s">
        <v>1308</v>
      </c>
      <c r="C828" s="54">
        <v>45220</v>
      </c>
      <c r="D828" s="54">
        <v>45220</v>
      </c>
      <c r="E828" s="46" t="s">
        <v>1389</v>
      </c>
      <c r="F828" s="51" t="s">
        <v>1112</v>
      </c>
      <c r="G828" s="51" t="s">
        <v>36</v>
      </c>
      <c r="H828" s="51" t="s">
        <v>1113</v>
      </c>
      <c r="I828" s="55" t="s">
        <v>1596</v>
      </c>
      <c r="J828" s="56">
        <v>200</v>
      </c>
      <c r="K828" s="51" t="s">
        <v>296</v>
      </c>
      <c r="L828" s="58">
        <v>340000</v>
      </c>
      <c r="M828" s="50">
        <f>ROUND('FA Addition'!$L828*5%,0.1)</f>
        <v>17000</v>
      </c>
      <c r="N828" s="113" t="str">
        <f>_xlfn.XLOOKUP(_xlfn.CONCAT(E828,B828),'Year Wise Master Dep Approach'!F:F,'Year Wise Master Dep Approach'!D:D)</f>
        <v>SLM</v>
      </c>
      <c r="O828" s="113">
        <f>_xlfn.XLOOKUP(_xlfn.CONCAT(E828,B828),'Year Wise Master Dep Approach'!F:F,'Year Wise Master Dep Approach'!E:E)</f>
        <v>3</v>
      </c>
      <c r="P828" s="114">
        <f>IFERROR(IF('FA Addition'!$N828="WDV",1-('FA Addition'!$M828/'FA Addition'!$L828)^(1/'FA Addition'!$O828),1/'FA Addition'!$O828),0)</f>
        <v>0.33333333333333331</v>
      </c>
      <c r="Q828" s="122">
        <f>'FA Addition'!$P828*'FA Addition'!$O828</f>
        <v>1</v>
      </c>
      <c r="R828" s="122"/>
      <c r="S828" s="116">
        <f>IF(AND(DATE(20&amp;LEFT(FAAddition[[#This Row],[FY]],2),4,1)&lt;$L$1+1,DATE(20&amp;LEFT(FAAddition[[#This Row],[FY]],2),4,1)&gt;$P$1-1),'FA Addition'!$J828,0)</f>
        <v>200</v>
      </c>
      <c r="U828" s="117">
        <f>S828*'FA Addition'!$L828/'FA Addition'!$J828</f>
        <v>340000</v>
      </c>
      <c r="W828" s="116">
        <f>SUMIFS('FA Write off'!D:D,'FA Write off'!A:A,'FA Addition'!$A828,'FA Write off'!C:C,"&lt;"&amp;'FA Addition'!$P$1)</f>
        <v>0</v>
      </c>
      <c r="Y828" s="191">
        <f>IFERROR(W828/'FA Addition'!$J828*'FA Addition'!$L828,0)</f>
        <v>0</v>
      </c>
      <c r="AA828" s="116">
        <f>SUMIFS('FA Write off'!D:D,'FA Write off'!A:A,'FA Addition'!$A828,'FA Write off'!C:C,"&lt;"&amp;'FA Addition'!$L$1+1,'FA Write off'!C:C,"&gt;"&amp;'FA Addition'!$L$1-365)</f>
        <v>0</v>
      </c>
      <c r="AC828" s="118">
        <f>IFERROR(AA828/'FA Addition'!$J828*'FA Addition'!$L828,0)</f>
        <v>0</v>
      </c>
      <c r="AE828" s="117">
        <f>IF(AND('FA Addition'!$D828&lt;$P$1+1,U828=0),'FA Addition'!$L828,0)-Y828</f>
        <v>0</v>
      </c>
      <c r="AF828" s="117">
        <f t="shared" si="60"/>
        <v>340000</v>
      </c>
      <c r="AG828" s="117">
        <f>MIN(MAX(+$P$1-'FA Addition'!$D828,0),365*'FA Addition'!$O828)</f>
        <v>0</v>
      </c>
      <c r="AH828" s="117">
        <f>MIN(MAX($L$1-'FA Addition'!$D828+1,0),365*'FA Addition'!$O828)</f>
        <v>163</v>
      </c>
      <c r="AI828" s="117" cm="1">
        <f t="array" ref="AI828">_xlfn.XLOOKUP(1,('FA Write off'!A:A='FA Addition'!$A828)*('FA Write off'!D:D=AA828),'FA Write off'!H:H,0,0)</f>
        <v>0</v>
      </c>
      <c r="AJ828" s="117">
        <f>IF(AC828&gt;0,MAX(IF('FA Addition'!$N828="SLM",($AC828-'FA Addition'!$M828)*'FA Addition'!$P828*AI828/365,(AC828-'FA Addition'!$M828)*(1-(1-'FA Addition'!$P828)^(AI828/365))),0),0)</f>
        <v>0</v>
      </c>
      <c r="AL828" s="117">
        <f>MAX(IF(AG828&gt;0,IF('FA Addition'!$N828="SLM",($AE828-'FA Addition'!$M828)*'FA Addition'!$P828*AG828/365,IFERROR(VDB(AE828,AE828*0.05,'FA Addition'!$O828,0,YEARFRAC('FA Addition'!$C828,$P$1-1,3),'FA Addition'!$Q828),FAAddition[[#This Row],[Original Cost (Rs)]]-FAAddition[[#This Row],[Salvage Value]])),0),0)</f>
        <v>0</v>
      </c>
      <c r="AM828" s="119"/>
      <c r="AN828" s="117">
        <f>MAX(IF(AH828&gt;0,IF('FA Addition'!$N828="SLM",($AF828-'FA Addition'!$M828)*'FA Addition'!$P828*AH828/365,IFERROR(VDB(AF828,AF828*0.05,'FA Addition'!$O828,0,YEARFRAC('FA Addition'!$C828,$L$1,3),'FA Addition'!$Q828),FAAddition[[#This Row],[Original Cost (Rs)]]-FAAddition[[#This Row],[Salvage Value]])),0),0)</f>
        <v>48081.278538812781</v>
      </c>
      <c r="AO828" s="117">
        <f t="shared" si="63"/>
        <v>48081.278538812781</v>
      </c>
      <c r="AQ828" s="117">
        <f t="shared" si="61"/>
        <v>0</v>
      </c>
      <c r="AR828" s="120">
        <f t="shared" si="62"/>
        <v>291918.72146118723</v>
      </c>
      <c r="AS828" s="121"/>
    </row>
    <row r="829" spans="1:45" ht="13.5" x14ac:dyDescent="0.4">
      <c r="A829" s="12">
        <f t="shared" si="64"/>
        <v>826</v>
      </c>
      <c r="B829" s="64" t="s">
        <v>1308</v>
      </c>
      <c r="C829" s="54">
        <v>45225</v>
      </c>
      <c r="D829" s="54">
        <v>45225</v>
      </c>
      <c r="E829" s="46" t="s">
        <v>32</v>
      </c>
      <c r="F829" s="51" t="s">
        <v>1090</v>
      </c>
      <c r="G829" s="51" t="s">
        <v>433</v>
      </c>
      <c r="H829" s="51" t="s">
        <v>32</v>
      </c>
      <c r="I829" s="55" t="s">
        <v>1597</v>
      </c>
      <c r="J829" s="56">
        <v>1500</v>
      </c>
      <c r="K829" s="51" t="s">
        <v>935</v>
      </c>
      <c r="L829" s="58">
        <v>1485000</v>
      </c>
      <c r="M829" s="50">
        <f>ROUND('FA Addition'!$L829*5%,0.1)</f>
        <v>74250</v>
      </c>
      <c r="N829" s="113" t="str">
        <f>_xlfn.XLOOKUP(_xlfn.CONCAT(E829,B829),'Year Wise Master Dep Approach'!F:F,'Year Wise Master Dep Approach'!D:D)</f>
        <v>SLM</v>
      </c>
      <c r="O829" s="113">
        <f>_xlfn.XLOOKUP(_xlfn.CONCAT(E829,B829),'Year Wise Master Dep Approach'!F:F,'Year Wise Master Dep Approach'!E:E)</f>
        <v>5</v>
      </c>
      <c r="P829" s="114">
        <f>IFERROR(IF('FA Addition'!$N829="WDV",1-('FA Addition'!$M829/'FA Addition'!$L829)^(1/'FA Addition'!$O829),1/'FA Addition'!$O829),0)</f>
        <v>0.2</v>
      </c>
      <c r="Q829" s="122">
        <f>'FA Addition'!$P829*'FA Addition'!$O829</f>
        <v>1</v>
      </c>
      <c r="R829" s="122"/>
      <c r="S829" s="116">
        <f>IF(AND(DATE(20&amp;LEFT(FAAddition[[#This Row],[FY]],2),4,1)&lt;$L$1+1,DATE(20&amp;LEFT(FAAddition[[#This Row],[FY]],2),4,1)&gt;$P$1-1),'FA Addition'!$J829,0)</f>
        <v>1500</v>
      </c>
      <c r="U829" s="117">
        <f>S829*'FA Addition'!$L829/'FA Addition'!$J829</f>
        <v>1485000</v>
      </c>
      <c r="W829" s="116">
        <f>SUMIFS('FA Write off'!D:D,'FA Write off'!A:A,'FA Addition'!$A829,'FA Write off'!C:C,"&lt;"&amp;'FA Addition'!$P$1)</f>
        <v>1</v>
      </c>
      <c r="Y829" s="191">
        <f>IFERROR(W829/'FA Addition'!$J829*'FA Addition'!$L829,0)</f>
        <v>990</v>
      </c>
      <c r="AA829" s="116">
        <f>SUMIFS('FA Write off'!D:D,'FA Write off'!A:A,'FA Addition'!$A829,'FA Write off'!C:C,"&lt;"&amp;'FA Addition'!$L$1+1,'FA Write off'!C:C,"&gt;"&amp;'FA Addition'!$L$1-365)</f>
        <v>0</v>
      </c>
      <c r="AC829" s="118">
        <f>IFERROR(AA829/'FA Addition'!$J829*'FA Addition'!$L829,0)</f>
        <v>0</v>
      </c>
      <c r="AE829" s="117">
        <f>IF(AND('FA Addition'!$D829&lt;$P$1+1,U829=0),'FA Addition'!$L829,0)-Y829</f>
        <v>-990</v>
      </c>
      <c r="AF829" s="117">
        <f t="shared" si="60"/>
        <v>1484010</v>
      </c>
      <c r="AG829" s="117">
        <f>MIN(MAX(+$P$1-'FA Addition'!$D829,0),365*'FA Addition'!$O829)</f>
        <v>0</v>
      </c>
      <c r="AH829" s="117">
        <f>MIN(MAX($L$1-'FA Addition'!$D829+1,0),365*'FA Addition'!$O829)</f>
        <v>158</v>
      </c>
      <c r="AI829" s="117" cm="1">
        <f t="array" ref="AI829">_xlfn.XLOOKUP(1,('FA Write off'!A:A='FA Addition'!$A829)*('FA Write off'!D:D=AA829),'FA Write off'!H:H,0,0)</f>
        <v>0</v>
      </c>
      <c r="AJ829" s="117">
        <f>IF(AC829&gt;0,MAX(IF('FA Addition'!$N829="SLM",($AC829-'FA Addition'!$M829)*'FA Addition'!$P829*AI829/365,(AC829-'FA Addition'!$M829)*(1-(1-'FA Addition'!$P829)^(AI829/365))),0),0)</f>
        <v>0</v>
      </c>
      <c r="AL829" s="117">
        <f>MAX(IF(AG829&gt;0,IF('FA Addition'!$N829="SLM",($AE829-'FA Addition'!$M829)*'FA Addition'!$P829*AG829/365,IFERROR(VDB(AE829,AE829*0.05,'FA Addition'!$O829,0,YEARFRAC('FA Addition'!$C829,$P$1-1,3),'FA Addition'!$Q829),FAAddition[[#This Row],[Original Cost (Rs)]]-FAAddition[[#This Row],[Salvage Value]])),0),0)</f>
        <v>0</v>
      </c>
      <c r="AM829" s="119"/>
      <c r="AN829" s="117">
        <f>MAX(IF(AH829&gt;0,IF('FA Addition'!$N829="SLM",($AF829-'FA Addition'!$M829)*'FA Addition'!$P829*AH829/365,IFERROR(VDB(AF829,AF829*0.05,'FA Addition'!$O829,0,YEARFRAC('FA Addition'!$C829,$L$1,3),'FA Addition'!$Q829),FAAddition[[#This Row],[Original Cost (Rs)]]-FAAddition[[#This Row],[Salvage Value]])),0),0)</f>
        <v>122050.45479452054</v>
      </c>
      <c r="AO829" s="117">
        <f t="shared" si="63"/>
        <v>122050.45479452054</v>
      </c>
      <c r="AQ829" s="117">
        <f t="shared" si="61"/>
        <v>-990</v>
      </c>
      <c r="AR829" s="120">
        <f t="shared" si="62"/>
        <v>1361959.5452054795</v>
      </c>
      <c r="AS829" s="121"/>
    </row>
    <row r="830" spans="1:45" ht="13.5" x14ac:dyDescent="0.4">
      <c r="A830" s="12">
        <f t="shared" si="64"/>
        <v>827</v>
      </c>
      <c r="B830" s="64" t="s">
        <v>1308</v>
      </c>
      <c r="C830" s="54">
        <v>45225</v>
      </c>
      <c r="D830" s="54">
        <v>45225</v>
      </c>
      <c r="E830" s="46" t="s">
        <v>1495</v>
      </c>
      <c r="F830" s="51" t="s">
        <v>1496</v>
      </c>
      <c r="G830" s="51" t="s">
        <v>1499</v>
      </c>
      <c r="H830" s="51" t="s">
        <v>1175</v>
      </c>
      <c r="I830" s="55" t="s">
        <v>1598</v>
      </c>
      <c r="J830" s="56">
        <v>200</v>
      </c>
      <c r="K830" s="51" t="s">
        <v>1599</v>
      </c>
      <c r="L830" s="58">
        <v>847457.63</v>
      </c>
      <c r="M830" s="50">
        <f>ROUND('FA Addition'!$L830*5%,0.1)</f>
        <v>42373</v>
      </c>
      <c r="N830" s="113" t="str">
        <f>_xlfn.XLOOKUP(_xlfn.CONCAT(E830,B830),'Year Wise Master Dep Approach'!F:F,'Year Wise Master Dep Approach'!D:D)</f>
        <v>SLM</v>
      </c>
      <c r="O830" s="113">
        <f>_xlfn.XLOOKUP(_xlfn.CONCAT(E830,B830),'Year Wise Master Dep Approach'!F:F,'Year Wise Master Dep Approach'!E:E)</f>
        <v>3</v>
      </c>
      <c r="P830" s="114">
        <f>IFERROR(IF('FA Addition'!$N830="WDV",1-('FA Addition'!$M830/'FA Addition'!$L830)^(1/'FA Addition'!$O830),1/'FA Addition'!$O830),0)</f>
        <v>0.33333333333333331</v>
      </c>
      <c r="Q830" s="122">
        <f>'FA Addition'!$P830*'FA Addition'!$O830</f>
        <v>1</v>
      </c>
      <c r="R830" s="122"/>
      <c r="S830" s="116">
        <f>IF(AND(DATE(20&amp;LEFT(FAAddition[[#This Row],[FY]],2),4,1)&lt;$L$1+1,DATE(20&amp;LEFT(FAAddition[[#This Row],[FY]],2),4,1)&gt;$P$1-1),'FA Addition'!$J830,0)</f>
        <v>200</v>
      </c>
      <c r="U830" s="117">
        <f>S830*'FA Addition'!$L830/'FA Addition'!$J830</f>
        <v>847457.63</v>
      </c>
      <c r="W830" s="116">
        <f>SUMIFS('FA Write off'!D:D,'FA Write off'!A:A,'FA Addition'!$A830,'FA Write off'!C:C,"&lt;"&amp;'FA Addition'!$P$1)</f>
        <v>0</v>
      </c>
      <c r="Y830" s="191">
        <f>IFERROR(W830/'FA Addition'!$J830*'FA Addition'!$L830,0)</f>
        <v>0</v>
      </c>
      <c r="AA830" s="116">
        <f>SUMIFS('FA Write off'!D:D,'FA Write off'!A:A,'FA Addition'!$A830,'FA Write off'!C:C,"&lt;"&amp;'FA Addition'!$L$1+1,'FA Write off'!C:C,"&gt;"&amp;'FA Addition'!$L$1-365)</f>
        <v>0</v>
      </c>
      <c r="AC830" s="118">
        <f>IFERROR(AA830/'FA Addition'!$J830*'FA Addition'!$L830,0)</f>
        <v>0</v>
      </c>
      <c r="AE830" s="117">
        <f>IF(AND('FA Addition'!$D830&lt;$P$1+1,U830=0),'FA Addition'!$L830,0)-Y830</f>
        <v>0</v>
      </c>
      <c r="AF830" s="117">
        <f t="shared" si="60"/>
        <v>847457.63</v>
      </c>
      <c r="AG830" s="117">
        <f>MIN(MAX(+$P$1-'FA Addition'!$D830,0),365*'FA Addition'!$O830)</f>
        <v>0</v>
      </c>
      <c r="AH830" s="117">
        <f>MIN(MAX($L$1-'FA Addition'!$D830+1,0),365*'FA Addition'!$O830)</f>
        <v>158</v>
      </c>
      <c r="AI830" s="117" cm="1">
        <f t="array" ref="AI830">_xlfn.XLOOKUP(1,('FA Write off'!A:A='FA Addition'!$A830)*('FA Write off'!D:D=AA830),'FA Write off'!H:H,0,0)</f>
        <v>0</v>
      </c>
      <c r="AJ830" s="117">
        <f>IF(AC830&gt;0,MAX(IF('FA Addition'!$N830="SLM",($AC830-'FA Addition'!$M830)*'FA Addition'!$P830*AI830/365,(AC830-'FA Addition'!$M830)*(1-(1-'FA Addition'!$P830)^(AI830/365))),0),0)</f>
        <v>0</v>
      </c>
      <c r="AL830" s="117">
        <f>MAX(IF(AG830&gt;0,IF('FA Addition'!$N830="SLM",($AE830-'FA Addition'!$M830)*'FA Addition'!$P830*AG830/365,IFERROR(VDB(AE830,AE830*0.05,'FA Addition'!$O830,0,YEARFRAC('FA Addition'!$C830,$P$1-1,3),'FA Addition'!$Q830),FAAddition[[#This Row],[Original Cost (Rs)]]-FAAddition[[#This Row],[Salvage Value]])),0),0)</f>
        <v>0</v>
      </c>
      <c r="AM830" s="119"/>
      <c r="AN830" s="117">
        <f>MAX(IF(AH830&gt;0,IF('FA Addition'!$N830="SLM",($AF830-'FA Addition'!$M830)*'FA Addition'!$P830*AH830/365,IFERROR(VDB(AF830,AF830*0.05,'FA Addition'!$O830,0,YEARFRAC('FA Addition'!$C830,$L$1,3),'FA Addition'!$Q830),FAAddition[[#This Row],[Original Cost (Rs)]]-FAAddition[[#This Row],[Salvage Value]])),0),0)</f>
        <v>116167.4625936073</v>
      </c>
      <c r="AO830" s="117">
        <f t="shared" si="63"/>
        <v>116167.4625936073</v>
      </c>
      <c r="AQ830" s="117">
        <f t="shared" si="61"/>
        <v>0</v>
      </c>
      <c r="AR830" s="120">
        <f t="shared" si="62"/>
        <v>731290.16740639275</v>
      </c>
      <c r="AS830" s="121"/>
    </row>
    <row r="831" spans="1:45" ht="13.5" x14ac:dyDescent="0.4">
      <c r="A831" s="12">
        <f t="shared" si="64"/>
        <v>828</v>
      </c>
      <c r="B831" s="64" t="s">
        <v>1308</v>
      </c>
      <c r="C831" s="54">
        <v>45225</v>
      </c>
      <c r="D831" s="54">
        <v>45225</v>
      </c>
      <c r="E831" s="46" t="s">
        <v>451</v>
      </c>
      <c r="F831" s="51" t="s">
        <v>19</v>
      </c>
      <c r="G831" s="51" t="s">
        <v>1290</v>
      </c>
      <c r="H831" s="51" t="s">
        <v>21</v>
      </c>
      <c r="I831" s="55" t="s">
        <v>1600</v>
      </c>
      <c r="J831" s="56">
        <v>1</v>
      </c>
      <c r="K831" s="51" t="s">
        <v>1601</v>
      </c>
      <c r="L831" s="58">
        <v>88983.039999999994</v>
      </c>
      <c r="M831" s="50">
        <f>ROUND('FA Addition'!$L831*5%,0.1)</f>
        <v>4449</v>
      </c>
      <c r="N831" s="113" t="str">
        <f>_xlfn.XLOOKUP(_xlfn.CONCAT(E831,B831),'Year Wise Master Dep Approach'!F:F,'Year Wise Master Dep Approach'!D:D)</f>
        <v>WDV</v>
      </c>
      <c r="O831" s="113">
        <f>_xlfn.XLOOKUP(_xlfn.CONCAT(E831,B831),'Year Wise Master Dep Approach'!F:F,'Year Wise Master Dep Approach'!E:E)</f>
        <v>3</v>
      </c>
      <c r="P831" s="114">
        <f>IFERROR(IF('FA Addition'!$N831="WDV",1-('FA Addition'!$M831/'FA Addition'!$L831)^(1/'FA Addition'!$O831),1/'FA Addition'!$O831),0)</f>
        <v>0.63160104553592999</v>
      </c>
      <c r="Q831" s="122">
        <f>'FA Addition'!$P831*'FA Addition'!$O831</f>
        <v>1.89480313660779</v>
      </c>
      <c r="R831" s="122"/>
      <c r="S831" s="116">
        <f>IF(AND(DATE(20&amp;LEFT(FAAddition[[#This Row],[FY]],2),4,1)&lt;$L$1+1,DATE(20&amp;LEFT(FAAddition[[#This Row],[FY]],2),4,1)&gt;$P$1-1),'FA Addition'!$J831,0)</f>
        <v>1</v>
      </c>
      <c r="U831" s="117">
        <f>S831*'FA Addition'!$L831/'FA Addition'!$J831</f>
        <v>88983.039999999994</v>
      </c>
      <c r="W831" s="116">
        <f>SUMIFS('FA Write off'!D:D,'FA Write off'!A:A,'FA Addition'!$A831,'FA Write off'!C:C,"&lt;"&amp;'FA Addition'!$P$1)</f>
        <v>0</v>
      </c>
      <c r="Y831" s="191">
        <f>IFERROR(W831/'FA Addition'!$J831*'FA Addition'!$L831,0)</f>
        <v>0</v>
      </c>
      <c r="AA831" s="116">
        <f>SUMIFS('FA Write off'!D:D,'FA Write off'!A:A,'FA Addition'!$A831,'FA Write off'!C:C,"&lt;"&amp;'FA Addition'!$L$1+1,'FA Write off'!C:C,"&gt;"&amp;'FA Addition'!$L$1-365)</f>
        <v>0</v>
      </c>
      <c r="AC831" s="118">
        <f>IFERROR(AA831/'FA Addition'!$J831*'FA Addition'!$L831,0)</f>
        <v>0</v>
      </c>
      <c r="AE831" s="117">
        <f>IF(AND('FA Addition'!$D831&lt;$P$1+1,U831=0),'FA Addition'!$L831,0)-Y831</f>
        <v>0</v>
      </c>
      <c r="AF831" s="117">
        <f t="shared" si="60"/>
        <v>88983.039999999994</v>
      </c>
      <c r="AG831" s="117">
        <f>MIN(MAX(+$P$1-'FA Addition'!$D831,0),365*'FA Addition'!$O831)</f>
        <v>0</v>
      </c>
      <c r="AH831" s="117">
        <f>MIN(MAX($L$1-'FA Addition'!$D831+1,0),365*'FA Addition'!$O831)</f>
        <v>158</v>
      </c>
      <c r="AI831" s="117" cm="1">
        <f t="array" ref="AI831">_xlfn.XLOOKUP(1,('FA Write off'!A:A='FA Addition'!$A831)*('FA Write off'!D:D=AA831),'FA Write off'!H:H,0,0)</f>
        <v>0</v>
      </c>
      <c r="AJ831" s="117">
        <f>IF(AC831&gt;0,MAX(IF('FA Addition'!$N831="SLM",($AC831-'FA Addition'!$M831)*'FA Addition'!$P831*AI831/365,(AC831-'FA Addition'!$M831)*(1-(1-'FA Addition'!$P831)^(AI831/365))),0),0)</f>
        <v>0</v>
      </c>
      <c r="AL831" s="117">
        <f>MAX(IF(AG831&gt;0,IF('FA Addition'!$N831="SLM",($AE831-'FA Addition'!$M831)*'FA Addition'!$P831*AG831/365,IFERROR(VDB(AE831,AE831*0.05,'FA Addition'!$O831,0,YEARFRAC('FA Addition'!$C831,$P$1-1,3),'FA Addition'!$Q831),FAAddition[[#This Row],[Original Cost (Rs)]]-FAAddition[[#This Row],[Salvage Value]])),0),0)</f>
        <v>0</v>
      </c>
      <c r="AM831" s="119"/>
      <c r="AN831" s="117">
        <f>MAX(IF(AH831&gt;0,IF('FA Addition'!$N831="SLM",($AF831-'FA Addition'!$M831)*'FA Addition'!$P831*AH831/365,IFERROR(VDB(AF831,AF831*0.05,'FA Addition'!$O831,0,YEARFRAC('FA Addition'!$C831,$L$1,3),'FA Addition'!$Q831),FAAddition[[#This Row],[Original Cost (Rs)]]-FAAddition[[#This Row],[Salvage Value]])),0),0)</f>
        <v>24174.464746678303</v>
      </c>
      <c r="AO831" s="117">
        <f t="shared" si="63"/>
        <v>24174.464746678303</v>
      </c>
      <c r="AQ831" s="117">
        <f t="shared" si="61"/>
        <v>0</v>
      </c>
      <c r="AR831" s="120">
        <f t="shared" si="62"/>
        <v>64808.575253321687</v>
      </c>
      <c r="AS831" s="121"/>
    </row>
    <row r="832" spans="1:45" ht="13.5" x14ac:dyDescent="0.4">
      <c r="A832" s="12">
        <f t="shared" si="64"/>
        <v>829</v>
      </c>
      <c r="B832" s="64" t="s">
        <v>1308</v>
      </c>
      <c r="C832" s="54">
        <v>45226</v>
      </c>
      <c r="D832" s="54">
        <v>45226</v>
      </c>
      <c r="E832" s="46" t="s">
        <v>749</v>
      </c>
      <c r="F832" s="51" t="s">
        <v>74</v>
      </c>
      <c r="G832" s="51" t="s">
        <v>1585</v>
      </c>
      <c r="H832" s="51" t="s">
        <v>26</v>
      </c>
      <c r="I832" s="55" t="s">
        <v>1602</v>
      </c>
      <c r="J832" s="56">
        <v>1000</v>
      </c>
      <c r="K832" s="51" t="s">
        <v>1603</v>
      </c>
      <c r="L832" s="58">
        <v>50000</v>
      </c>
      <c r="M832" s="50">
        <f>ROUND('FA Addition'!$L832*5%,0.1)</f>
        <v>2500</v>
      </c>
      <c r="N832" s="113" t="str">
        <f>_xlfn.XLOOKUP(_xlfn.CONCAT(E832,B832),'Year Wise Master Dep Approach'!F:F,'Year Wise Master Dep Approach'!D:D)</f>
        <v>WDV</v>
      </c>
      <c r="O832" s="113">
        <f>_xlfn.XLOOKUP(_xlfn.CONCAT(E832,B832),'Year Wise Master Dep Approach'!F:F,'Year Wise Master Dep Approach'!E:E)</f>
        <v>5</v>
      </c>
      <c r="P832" s="114">
        <f>IFERROR(IF('FA Addition'!$N832="WDV",1-('FA Addition'!$M832/'FA Addition'!$L832)^(1/'FA Addition'!$O832),1/'FA Addition'!$O832),0)</f>
        <v>0.45071972834694107</v>
      </c>
      <c r="Q832" s="122">
        <f>'FA Addition'!$P832*'FA Addition'!$O832</f>
        <v>2.2535986417347056</v>
      </c>
      <c r="R832" s="122"/>
      <c r="S832" s="116">
        <f>IF(AND(DATE(20&amp;LEFT(FAAddition[[#This Row],[FY]],2),4,1)&lt;$L$1+1,DATE(20&amp;LEFT(FAAddition[[#This Row],[FY]],2),4,1)&gt;$P$1-1),'FA Addition'!$J832,0)</f>
        <v>1000</v>
      </c>
      <c r="U832" s="117">
        <f>S832*'FA Addition'!$L832/'FA Addition'!$J832</f>
        <v>50000</v>
      </c>
      <c r="W832" s="116">
        <f>SUMIFS('FA Write off'!D:D,'FA Write off'!A:A,'FA Addition'!$A832,'FA Write off'!C:C,"&lt;"&amp;'FA Addition'!$P$1)</f>
        <v>0</v>
      </c>
      <c r="Y832" s="191">
        <f>IFERROR(W832/'FA Addition'!$J832*'FA Addition'!$L832,0)</f>
        <v>0</v>
      </c>
      <c r="AA832" s="116">
        <f>SUMIFS('FA Write off'!D:D,'FA Write off'!A:A,'FA Addition'!$A832,'FA Write off'!C:C,"&lt;"&amp;'FA Addition'!$L$1+1,'FA Write off'!C:C,"&gt;"&amp;'FA Addition'!$L$1-365)</f>
        <v>0</v>
      </c>
      <c r="AC832" s="118">
        <f>IFERROR(AA832/'FA Addition'!$J832*'FA Addition'!$L832,0)</f>
        <v>0</v>
      </c>
      <c r="AE832" s="117">
        <f>IF(AND('FA Addition'!$D832&lt;$P$1+1,U832=0),'FA Addition'!$L832,0)-Y832</f>
        <v>0</v>
      </c>
      <c r="AF832" s="117">
        <f t="shared" si="60"/>
        <v>50000</v>
      </c>
      <c r="AG832" s="117">
        <f>MIN(MAX(+$P$1-'FA Addition'!$D832,0),365*'FA Addition'!$O832)</f>
        <v>0</v>
      </c>
      <c r="AH832" s="117">
        <f>MIN(MAX($L$1-'FA Addition'!$D832+1,0),365*'FA Addition'!$O832)</f>
        <v>157</v>
      </c>
      <c r="AI832" s="117" cm="1">
        <f t="array" ref="AI832">_xlfn.XLOOKUP(1,('FA Write off'!A:A='FA Addition'!$A832)*('FA Write off'!D:D=AA832),'FA Write off'!H:H,0,0)</f>
        <v>0</v>
      </c>
      <c r="AJ832" s="117">
        <f>IF(AC832&gt;0,MAX(IF('FA Addition'!$N832="SLM",($AC832-'FA Addition'!$M832)*'FA Addition'!$P832*AI832/365,(AC832-'FA Addition'!$M832)*(1-(1-'FA Addition'!$P832)^(AI832/365))),0),0)</f>
        <v>0</v>
      </c>
      <c r="AL832" s="117">
        <f>MAX(IF(AG832&gt;0,IF('FA Addition'!$N832="SLM",($AE832-'FA Addition'!$M832)*'FA Addition'!$P832*AG832/365,IFERROR(VDB(AE832,AE832*0.05,'FA Addition'!$O832,0,YEARFRAC('FA Addition'!$C832,$P$1-1,3),'FA Addition'!$Q832),FAAddition[[#This Row],[Original Cost (Rs)]]-FAAddition[[#This Row],[Salvage Value]])),0),0)</f>
        <v>0</v>
      </c>
      <c r="AM832" s="119"/>
      <c r="AN832" s="117">
        <f>MAX(IF(AH832&gt;0,IF('FA Addition'!$N832="SLM",($AF832-'FA Addition'!$M832)*'FA Addition'!$P832*AH832/365,IFERROR(VDB(AF832,AF832*0.05,'FA Addition'!$O832,0,YEARFRAC('FA Addition'!$C832,$L$1,3),'FA Addition'!$Q832),FAAddition[[#This Row],[Original Cost (Rs)]]-FAAddition[[#This Row],[Salvage Value]])),0),0)</f>
        <v>9631.8188523455919</v>
      </c>
      <c r="AO832" s="117">
        <f t="shared" si="63"/>
        <v>9631.8188523455919</v>
      </c>
      <c r="AQ832" s="117">
        <f t="shared" si="61"/>
        <v>0</v>
      </c>
      <c r="AR832" s="120">
        <f t="shared" si="62"/>
        <v>40368.18114765441</v>
      </c>
      <c r="AS832" s="121"/>
    </row>
    <row r="833" spans="1:45" ht="13.5" x14ac:dyDescent="0.4">
      <c r="A833" s="12">
        <f t="shared" si="64"/>
        <v>830</v>
      </c>
      <c r="B833" s="64" t="s">
        <v>1308</v>
      </c>
      <c r="C833" s="54">
        <v>45227</v>
      </c>
      <c r="D833" s="54">
        <v>45227</v>
      </c>
      <c r="E833" s="46" t="s">
        <v>1495</v>
      </c>
      <c r="F833" s="51" t="s">
        <v>1496</v>
      </c>
      <c r="G833" s="51" t="s">
        <v>1499</v>
      </c>
      <c r="H833" s="51" t="s">
        <v>1604</v>
      </c>
      <c r="I833" s="55" t="s">
        <v>1605</v>
      </c>
      <c r="J833" s="56">
        <v>18</v>
      </c>
      <c r="K833" s="51" t="s">
        <v>1606</v>
      </c>
      <c r="L833" s="58">
        <v>553989.63730569952</v>
      </c>
      <c r="M833" s="50">
        <f>ROUND('FA Addition'!$L833*5%,0.1)</f>
        <v>27699</v>
      </c>
      <c r="N833" s="113" t="str">
        <f>_xlfn.XLOOKUP(_xlfn.CONCAT(E833,B833),'Year Wise Master Dep Approach'!F:F,'Year Wise Master Dep Approach'!D:D)</f>
        <v>SLM</v>
      </c>
      <c r="O833" s="113">
        <f>_xlfn.XLOOKUP(_xlfn.CONCAT(E833,B833),'Year Wise Master Dep Approach'!F:F,'Year Wise Master Dep Approach'!E:E)</f>
        <v>3</v>
      </c>
      <c r="P833" s="114">
        <f>IFERROR(IF('FA Addition'!$N833="WDV",1-('FA Addition'!$M833/'FA Addition'!$L833)^(1/'FA Addition'!$O833),1/'FA Addition'!$O833),0)</f>
        <v>0.33333333333333331</v>
      </c>
      <c r="Q833" s="122">
        <f>'FA Addition'!$P833*'FA Addition'!$O833</f>
        <v>1</v>
      </c>
      <c r="R833" s="122"/>
      <c r="S833" s="116">
        <f>IF(AND(DATE(20&amp;LEFT(FAAddition[[#This Row],[FY]],2),4,1)&lt;$L$1+1,DATE(20&amp;LEFT(FAAddition[[#This Row],[FY]],2),4,1)&gt;$P$1-1),'FA Addition'!$J833,0)</f>
        <v>18</v>
      </c>
      <c r="U833" s="117">
        <f>S833*'FA Addition'!$L833/'FA Addition'!$J833</f>
        <v>553989.63730569952</v>
      </c>
      <c r="W833" s="116">
        <f>SUMIFS('FA Write off'!D:D,'FA Write off'!A:A,'FA Addition'!$A833,'FA Write off'!C:C,"&lt;"&amp;'FA Addition'!$P$1)</f>
        <v>0</v>
      </c>
      <c r="Y833" s="191">
        <f>IFERROR(W833/'FA Addition'!$J833*'FA Addition'!$L833,0)</f>
        <v>0</v>
      </c>
      <c r="AA833" s="116">
        <f>SUMIFS('FA Write off'!D:D,'FA Write off'!A:A,'FA Addition'!$A833,'FA Write off'!C:C,"&lt;"&amp;'FA Addition'!$L$1+1,'FA Write off'!C:C,"&gt;"&amp;'FA Addition'!$L$1-365)</f>
        <v>0</v>
      </c>
      <c r="AC833" s="118">
        <f>IFERROR(AA833/'FA Addition'!$J833*'FA Addition'!$L833,0)</f>
        <v>0</v>
      </c>
      <c r="AE833" s="117">
        <f>IF(AND('FA Addition'!$D833&lt;$P$1+1,U833=0),'FA Addition'!$L833,0)-Y833</f>
        <v>0</v>
      </c>
      <c r="AF833" s="117">
        <f t="shared" si="60"/>
        <v>553989.63730569952</v>
      </c>
      <c r="AG833" s="117">
        <f>MIN(MAX(+$P$1-'FA Addition'!$D833,0),365*'FA Addition'!$O833)</f>
        <v>0</v>
      </c>
      <c r="AH833" s="117">
        <f>MIN(MAX($L$1-'FA Addition'!$D833+1,0),365*'FA Addition'!$O833)</f>
        <v>156</v>
      </c>
      <c r="AI833" s="117" cm="1">
        <f t="array" ref="AI833">_xlfn.XLOOKUP(1,('FA Write off'!A:A='FA Addition'!$A833)*('FA Write off'!D:D=AA833),'FA Write off'!H:H,0,0)</f>
        <v>0</v>
      </c>
      <c r="AJ833" s="117">
        <f>IF(AC833&gt;0,MAX(IF('FA Addition'!$N833="SLM",($AC833-'FA Addition'!$M833)*'FA Addition'!$P833*AI833/365,(AC833-'FA Addition'!$M833)*(1-(1-'FA Addition'!$P833)^(AI833/365))),0),0)</f>
        <v>0</v>
      </c>
      <c r="AL833" s="117">
        <f>MAX(IF(AG833&gt;0,IF('FA Addition'!$N833="SLM",($AE833-'FA Addition'!$M833)*'FA Addition'!$P833*AG833/365,IFERROR(VDB(AE833,AE833*0.05,'FA Addition'!$O833,0,YEARFRAC('FA Addition'!$C833,$P$1-1,3),'FA Addition'!$Q833),FAAddition[[#This Row],[Original Cost (Rs)]]-FAAddition[[#This Row],[Salvage Value]])),0),0)</f>
        <v>0</v>
      </c>
      <c r="AM833" s="119"/>
      <c r="AN833" s="117">
        <f>MAX(IF(AH833&gt;0,IF('FA Addition'!$N833="SLM",($AF833-'FA Addition'!$M833)*'FA Addition'!$P833*AH833/365,IFERROR(VDB(AF833,AF833*0.05,'FA Addition'!$O833,0,YEARFRAC('FA Addition'!$C833,$L$1,3),'FA Addition'!$Q833),FAAddition[[#This Row],[Original Cost (Rs)]]-FAAddition[[#This Row],[Salvage Value]])),0),0)</f>
        <v>74978.392164099656</v>
      </c>
      <c r="AO833" s="117">
        <f t="shared" si="63"/>
        <v>74978.392164099656</v>
      </c>
      <c r="AQ833" s="117">
        <f t="shared" si="61"/>
        <v>0</v>
      </c>
      <c r="AR833" s="120">
        <f t="shared" si="62"/>
        <v>479011.24514159985</v>
      </c>
      <c r="AS833" s="121"/>
    </row>
    <row r="834" spans="1:45" ht="13.5" x14ac:dyDescent="0.4">
      <c r="A834" s="12">
        <f t="shared" si="64"/>
        <v>831</v>
      </c>
      <c r="B834" s="64" t="s">
        <v>1308</v>
      </c>
      <c r="C834" s="54">
        <v>45227</v>
      </c>
      <c r="D834" s="54">
        <v>45227</v>
      </c>
      <c r="E834" s="46" t="s">
        <v>1495</v>
      </c>
      <c r="F834" s="51" t="s">
        <v>1496</v>
      </c>
      <c r="G834" s="51" t="s">
        <v>1499</v>
      </c>
      <c r="H834" s="51" t="s">
        <v>1607</v>
      </c>
      <c r="I834" s="55" t="s">
        <v>1605</v>
      </c>
      <c r="J834" s="56">
        <v>1</v>
      </c>
      <c r="K834" s="51" t="s">
        <v>1608</v>
      </c>
      <c r="L834" s="58">
        <v>230829.01554404144</v>
      </c>
      <c r="M834" s="50">
        <f>ROUND('FA Addition'!$L834*5%,0.1)</f>
        <v>11541</v>
      </c>
      <c r="N834" s="113" t="str">
        <f>_xlfn.XLOOKUP(_xlfn.CONCAT(E834,B834),'Year Wise Master Dep Approach'!F:F,'Year Wise Master Dep Approach'!D:D)</f>
        <v>SLM</v>
      </c>
      <c r="O834" s="113">
        <f>_xlfn.XLOOKUP(_xlfn.CONCAT(E834,B834),'Year Wise Master Dep Approach'!F:F,'Year Wise Master Dep Approach'!E:E)</f>
        <v>3</v>
      </c>
      <c r="P834" s="114">
        <f>IFERROR(IF('FA Addition'!$N834="WDV",1-('FA Addition'!$M834/'FA Addition'!$L834)^(1/'FA Addition'!$O834),1/'FA Addition'!$O834),0)</f>
        <v>0.33333333333333331</v>
      </c>
      <c r="Q834" s="122">
        <f>'FA Addition'!$P834*'FA Addition'!$O834</f>
        <v>1</v>
      </c>
      <c r="R834" s="122"/>
      <c r="S834" s="116">
        <f>IF(AND(DATE(20&amp;LEFT(FAAddition[[#This Row],[FY]],2),4,1)&lt;$L$1+1,DATE(20&amp;LEFT(FAAddition[[#This Row],[FY]],2),4,1)&gt;$P$1-1),'FA Addition'!$J834,0)</f>
        <v>1</v>
      </c>
      <c r="U834" s="117">
        <f>S834*'FA Addition'!$L834/'FA Addition'!$J834</f>
        <v>230829.01554404144</v>
      </c>
      <c r="W834" s="116">
        <f>SUMIFS('FA Write off'!D:D,'FA Write off'!A:A,'FA Addition'!$A834,'FA Write off'!C:C,"&lt;"&amp;'FA Addition'!$P$1)</f>
        <v>0</v>
      </c>
      <c r="Y834" s="191">
        <f>IFERROR(W834/'FA Addition'!$J834*'FA Addition'!$L834,0)</f>
        <v>0</v>
      </c>
      <c r="AA834" s="116">
        <f>SUMIFS('FA Write off'!D:D,'FA Write off'!A:A,'FA Addition'!$A834,'FA Write off'!C:C,"&lt;"&amp;'FA Addition'!$L$1+1,'FA Write off'!C:C,"&gt;"&amp;'FA Addition'!$L$1-365)</f>
        <v>0</v>
      </c>
      <c r="AC834" s="118">
        <f>IFERROR(AA834/'FA Addition'!$J834*'FA Addition'!$L834,0)</f>
        <v>0</v>
      </c>
      <c r="AE834" s="117">
        <f>IF(AND('FA Addition'!$D834&lt;$P$1+1,U834=0),'FA Addition'!$L834,0)-Y834</f>
        <v>0</v>
      </c>
      <c r="AF834" s="117">
        <f t="shared" si="60"/>
        <v>230829.01554404144</v>
      </c>
      <c r="AG834" s="117">
        <f>MIN(MAX(+$P$1-'FA Addition'!$D834,0),365*'FA Addition'!$O834)</f>
        <v>0</v>
      </c>
      <c r="AH834" s="117">
        <f>MIN(MAX($L$1-'FA Addition'!$D834+1,0),365*'FA Addition'!$O834)</f>
        <v>156</v>
      </c>
      <c r="AI834" s="117" cm="1">
        <f t="array" ref="AI834">_xlfn.XLOOKUP(1,('FA Write off'!A:A='FA Addition'!$A834)*('FA Write off'!D:D=AA834),'FA Write off'!H:H,0,0)</f>
        <v>0</v>
      </c>
      <c r="AJ834" s="117">
        <f>IF(AC834&gt;0,MAX(IF('FA Addition'!$N834="SLM",($AC834-'FA Addition'!$M834)*'FA Addition'!$P834*AI834/365,(AC834-'FA Addition'!$M834)*(1-(1-'FA Addition'!$P834)^(AI834/365))),0),0)</f>
        <v>0</v>
      </c>
      <c r="AL834" s="117">
        <f>MAX(IF(AG834&gt;0,IF('FA Addition'!$N834="SLM",($AE834-'FA Addition'!$M834)*'FA Addition'!$P834*AG834/365,IFERROR(VDB(AE834,AE834*0.05,'FA Addition'!$O834,0,YEARFRAC('FA Addition'!$C834,$P$1-1,3),'FA Addition'!$Q834),FAAddition[[#This Row],[Original Cost (Rs)]]-FAAddition[[#This Row],[Salvage Value]])),0),0)</f>
        <v>0</v>
      </c>
      <c r="AM834" s="119"/>
      <c r="AN834" s="117">
        <f>MAX(IF(AH834&gt;0,IF('FA Addition'!$N834="SLM",($AF834-'FA Addition'!$M834)*'FA Addition'!$P834*AH834/365,IFERROR(VDB(AF834,AF834*0.05,'FA Addition'!$O834,0,YEARFRAC('FA Addition'!$C834,$L$1,3),'FA Addition'!$Q834),FAAddition[[#This Row],[Original Cost (Rs)]]-FAAddition[[#This Row],[Salvage Value]])),0),0)</f>
        <v>31241.032351479873</v>
      </c>
      <c r="AO834" s="117">
        <f t="shared" si="63"/>
        <v>31241.032351479873</v>
      </c>
      <c r="AQ834" s="117">
        <f t="shared" si="61"/>
        <v>0</v>
      </c>
      <c r="AR834" s="120">
        <f t="shared" si="62"/>
        <v>199587.98319256157</v>
      </c>
      <c r="AS834" s="121"/>
    </row>
    <row r="835" spans="1:45" ht="13.5" x14ac:dyDescent="0.4">
      <c r="A835" s="12">
        <f t="shared" si="64"/>
        <v>832</v>
      </c>
      <c r="B835" s="64" t="s">
        <v>1308</v>
      </c>
      <c r="C835" s="54">
        <v>45227</v>
      </c>
      <c r="D835" s="54">
        <v>45227</v>
      </c>
      <c r="E835" s="46" t="s">
        <v>1495</v>
      </c>
      <c r="F835" s="51" t="s">
        <v>1496</v>
      </c>
      <c r="G835" s="51" t="s">
        <v>1499</v>
      </c>
      <c r="H835" s="51" t="s">
        <v>1609</v>
      </c>
      <c r="I835" s="55" t="s">
        <v>1605</v>
      </c>
      <c r="J835" s="56">
        <v>1</v>
      </c>
      <c r="K835" s="51" t="s">
        <v>1610</v>
      </c>
      <c r="L835" s="58">
        <v>82072.538860103625</v>
      </c>
      <c r="M835" s="50">
        <f>ROUND('FA Addition'!$L835*5%,0.1)</f>
        <v>4104</v>
      </c>
      <c r="N835" s="113" t="str">
        <f>_xlfn.XLOOKUP(_xlfn.CONCAT(E835,B835),'Year Wise Master Dep Approach'!F:F,'Year Wise Master Dep Approach'!D:D)</f>
        <v>SLM</v>
      </c>
      <c r="O835" s="113">
        <f>_xlfn.XLOOKUP(_xlfn.CONCAT(E835,B835),'Year Wise Master Dep Approach'!F:F,'Year Wise Master Dep Approach'!E:E)</f>
        <v>3</v>
      </c>
      <c r="P835" s="114">
        <f>IFERROR(IF('FA Addition'!$N835="WDV",1-('FA Addition'!$M835/'FA Addition'!$L835)^(1/'FA Addition'!$O835),1/'FA Addition'!$O835),0)</f>
        <v>0.33333333333333331</v>
      </c>
      <c r="Q835" s="122">
        <f>'FA Addition'!$P835*'FA Addition'!$O835</f>
        <v>1</v>
      </c>
      <c r="R835" s="122"/>
      <c r="S835" s="116">
        <f>IF(AND(DATE(20&amp;LEFT(FAAddition[[#This Row],[FY]],2),4,1)&lt;$L$1+1,DATE(20&amp;LEFT(FAAddition[[#This Row],[FY]],2),4,1)&gt;$P$1-1),'FA Addition'!$J835,0)</f>
        <v>1</v>
      </c>
      <c r="U835" s="117">
        <f>S835*'FA Addition'!$L835/'FA Addition'!$J835</f>
        <v>82072.538860103625</v>
      </c>
      <c r="W835" s="116">
        <f>SUMIFS('FA Write off'!D:D,'FA Write off'!A:A,'FA Addition'!$A835,'FA Write off'!C:C,"&lt;"&amp;'FA Addition'!$P$1)</f>
        <v>0</v>
      </c>
      <c r="Y835" s="191">
        <f>IFERROR(W835/'FA Addition'!$J835*'FA Addition'!$L835,0)</f>
        <v>0</v>
      </c>
      <c r="AA835" s="116">
        <f>SUMIFS('FA Write off'!D:D,'FA Write off'!A:A,'FA Addition'!$A835,'FA Write off'!C:C,"&lt;"&amp;'FA Addition'!$L$1+1,'FA Write off'!C:C,"&gt;"&amp;'FA Addition'!$L$1-365)</f>
        <v>0</v>
      </c>
      <c r="AC835" s="118">
        <f>IFERROR(AA835/'FA Addition'!$J835*'FA Addition'!$L835,0)</f>
        <v>0</v>
      </c>
      <c r="AE835" s="117">
        <f>IF(AND('FA Addition'!$D835&lt;$P$1+1,U835=0),'FA Addition'!$L835,0)-Y835</f>
        <v>0</v>
      </c>
      <c r="AF835" s="117">
        <f t="shared" si="60"/>
        <v>82072.538860103625</v>
      </c>
      <c r="AG835" s="117">
        <f>MIN(MAX(+$P$1-'FA Addition'!$D835,0),365*'FA Addition'!$O835)</f>
        <v>0</v>
      </c>
      <c r="AH835" s="117">
        <f>MIN(MAX($L$1-'FA Addition'!$D835+1,0),365*'FA Addition'!$O835)</f>
        <v>156</v>
      </c>
      <c r="AI835" s="117" cm="1">
        <f t="array" ref="AI835">_xlfn.XLOOKUP(1,('FA Write off'!A:A='FA Addition'!$A835)*('FA Write off'!D:D=AA835),'FA Write off'!H:H,0,0)</f>
        <v>0</v>
      </c>
      <c r="AJ835" s="117">
        <f>IF(AC835&gt;0,MAX(IF('FA Addition'!$N835="SLM",($AC835-'FA Addition'!$M835)*'FA Addition'!$P835*AI835/365,(AC835-'FA Addition'!$M835)*(1-(1-'FA Addition'!$P835)^(AI835/365))),0),0)</f>
        <v>0</v>
      </c>
      <c r="AL835" s="117">
        <f>MAX(IF(AG835&gt;0,IF('FA Addition'!$N835="SLM",($AE835-'FA Addition'!$M835)*'FA Addition'!$P835*AG835/365,IFERROR(VDB(AE835,AE835*0.05,'FA Addition'!$O835,0,YEARFRAC('FA Addition'!$C835,$P$1-1,3),'FA Addition'!$Q835),FAAddition[[#This Row],[Original Cost (Rs)]]-FAAddition[[#This Row],[Salvage Value]])),0),0)</f>
        <v>0</v>
      </c>
      <c r="AM835" s="119"/>
      <c r="AN835" s="117">
        <f>MAX(IF(AH835&gt;0,IF('FA Addition'!$N835="SLM",($AF835-'FA Addition'!$M835)*'FA Addition'!$P835*AH835/365,IFERROR(VDB(AF835,AF835*0.05,'FA Addition'!$O835,0,YEARFRAC('FA Addition'!$C835,$L$1,3),'FA Addition'!$Q835),FAAddition[[#This Row],[Original Cost (Rs)]]-FAAddition[[#This Row],[Salvage Value]])),0),0)</f>
        <v>11107.84663212435</v>
      </c>
      <c r="AO835" s="117">
        <f t="shared" si="63"/>
        <v>11107.84663212435</v>
      </c>
      <c r="AQ835" s="117">
        <f t="shared" si="61"/>
        <v>0</v>
      </c>
      <c r="AR835" s="120">
        <f t="shared" si="62"/>
        <v>70964.692227979278</v>
      </c>
      <c r="AS835" s="121"/>
    </row>
    <row r="836" spans="1:45" ht="13.5" x14ac:dyDescent="0.4">
      <c r="A836" s="12">
        <f t="shared" si="64"/>
        <v>833</v>
      </c>
      <c r="B836" s="64" t="s">
        <v>1308</v>
      </c>
      <c r="C836" s="54">
        <v>45227</v>
      </c>
      <c r="D836" s="54">
        <v>45227</v>
      </c>
      <c r="E836" s="46" t="s">
        <v>1495</v>
      </c>
      <c r="F836" s="51" t="s">
        <v>1496</v>
      </c>
      <c r="G836" s="51" t="s">
        <v>1499</v>
      </c>
      <c r="H836" s="51" t="s">
        <v>1611</v>
      </c>
      <c r="I836" s="55" t="s">
        <v>1605</v>
      </c>
      <c r="J836" s="56">
        <v>1</v>
      </c>
      <c r="K836" s="51" t="s">
        <v>1612</v>
      </c>
      <c r="L836" s="58">
        <v>123108.80829015544</v>
      </c>
      <c r="M836" s="50">
        <f>ROUND('FA Addition'!$L836*5%,0.1)</f>
        <v>6155</v>
      </c>
      <c r="N836" s="113" t="str">
        <f>_xlfn.XLOOKUP(_xlfn.CONCAT(E836,B836),'Year Wise Master Dep Approach'!F:F,'Year Wise Master Dep Approach'!D:D)</f>
        <v>SLM</v>
      </c>
      <c r="O836" s="113">
        <f>_xlfn.XLOOKUP(_xlfn.CONCAT(E836,B836),'Year Wise Master Dep Approach'!F:F,'Year Wise Master Dep Approach'!E:E)</f>
        <v>3</v>
      </c>
      <c r="P836" s="114">
        <f>IFERROR(IF('FA Addition'!$N836="WDV",1-('FA Addition'!$M836/'FA Addition'!$L836)^(1/'FA Addition'!$O836),1/'FA Addition'!$O836),0)</f>
        <v>0.33333333333333331</v>
      </c>
      <c r="Q836" s="122">
        <f>'FA Addition'!$P836*'FA Addition'!$O836</f>
        <v>1</v>
      </c>
      <c r="R836" s="122"/>
      <c r="S836" s="116">
        <f>IF(AND(DATE(20&amp;LEFT(FAAddition[[#This Row],[FY]],2),4,1)&lt;$L$1+1,DATE(20&amp;LEFT(FAAddition[[#This Row],[FY]],2),4,1)&gt;$P$1-1),'FA Addition'!$J836,0)</f>
        <v>1</v>
      </c>
      <c r="U836" s="117">
        <f>S836*'FA Addition'!$L836/'FA Addition'!$J836</f>
        <v>123108.80829015544</v>
      </c>
      <c r="W836" s="116">
        <f>SUMIFS('FA Write off'!D:D,'FA Write off'!A:A,'FA Addition'!$A836,'FA Write off'!C:C,"&lt;"&amp;'FA Addition'!$P$1)</f>
        <v>0</v>
      </c>
      <c r="Y836" s="191">
        <f>IFERROR(W836/'FA Addition'!$J836*'FA Addition'!$L836,0)</f>
        <v>0</v>
      </c>
      <c r="AA836" s="116">
        <f>SUMIFS('FA Write off'!D:D,'FA Write off'!A:A,'FA Addition'!$A836,'FA Write off'!C:C,"&lt;"&amp;'FA Addition'!$L$1+1,'FA Write off'!C:C,"&gt;"&amp;'FA Addition'!$L$1-365)</f>
        <v>0</v>
      </c>
      <c r="AC836" s="118">
        <f>IFERROR(AA836/'FA Addition'!$J836*'FA Addition'!$L836,0)</f>
        <v>0</v>
      </c>
      <c r="AE836" s="117">
        <f>IF(AND('FA Addition'!$D836&lt;$P$1+1,U836=0),'FA Addition'!$L836,0)-Y836</f>
        <v>0</v>
      </c>
      <c r="AF836" s="117">
        <f t="shared" ref="AF836:AF899" si="65">AE836+U836-AC836</f>
        <v>123108.80829015544</v>
      </c>
      <c r="AG836" s="117">
        <f>MIN(MAX(+$P$1-'FA Addition'!$D836,0),365*'FA Addition'!$O836)</f>
        <v>0</v>
      </c>
      <c r="AH836" s="117">
        <f>MIN(MAX($L$1-'FA Addition'!$D836+1,0),365*'FA Addition'!$O836)</f>
        <v>156</v>
      </c>
      <c r="AI836" s="117" cm="1">
        <f t="array" ref="AI836">_xlfn.XLOOKUP(1,('FA Write off'!A:A='FA Addition'!$A836)*('FA Write off'!D:D=AA836),'FA Write off'!H:H,0,0)</f>
        <v>0</v>
      </c>
      <c r="AJ836" s="117">
        <f>IF(AC836&gt;0,MAX(IF('FA Addition'!$N836="SLM",($AC836-'FA Addition'!$M836)*'FA Addition'!$P836*AI836/365,(AC836-'FA Addition'!$M836)*(1-(1-'FA Addition'!$P836)^(AI836/365))),0),0)</f>
        <v>0</v>
      </c>
      <c r="AL836" s="117">
        <f>MAX(IF(AG836&gt;0,IF('FA Addition'!$N836="SLM",($AE836-'FA Addition'!$M836)*'FA Addition'!$P836*AG836/365,IFERROR(VDB(AE836,AE836*0.05,'FA Addition'!$O836,0,YEARFRAC('FA Addition'!$C836,$P$1-1,3),'FA Addition'!$Q836),FAAddition[[#This Row],[Original Cost (Rs)]]-FAAddition[[#This Row],[Salvage Value]])),0),0)</f>
        <v>0</v>
      </c>
      <c r="AM836" s="119"/>
      <c r="AN836" s="117">
        <f>MAX(IF(AH836&gt;0,IF('FA Addition'!$N836="SLM",($AF836-'FA Addition'!$M836)*'FA Addition'!$P836*AH836/365,IFERROR(VDB(AF836,AF836*0.05,'FA Addition'!$O836,0,YEARFRAC('FA Addition'!$C836,$L$1,3),'FA Addition'!$Q836),FAAddition[[#This Row],[Original Cost (Rs)]]-FAAddition[[#This Row],[Salvage Value]])),0),0)</f>
        <v>16661.912413939954</v>
      </c>
      <c r="AO836" s="117">
        <f t="shared" si="63"/>
        <v>16661.912413939954</v>
      </c>
      <c r="AQ836" s="117">
        <f t="shared" ref="AQ836:AQ899" si="66">AE836-AL836</f>
        <v>0</v>
      </c>
      <c r="AR836" s="120">
        <f t="shared" ref="AR836:AR899" si="67">AF836-AN836</f>
        <v>106446.89587621549</v>
      </c>
      <c r="AS836" s="121"/>
    </row>
    <row r="837" spans="1:45" ht="13.5" x14ac:dyDescent="0.4">
      <c r="A837" s="12">
        <f t="shared" si="64"/>
        <v>834</v>
      </c>
      <c r="B837" s="64" t="s">
        <v>1308</v>
      </c>
      <c r="C837" s="54">
        <v>45229</v>
      </c>
      <c r="D837" s="54">
        <v>45229</v>
      </c>
      <c r="E837" s="46" t="s">
        <v>1389</v>
      </c>
      <c r="F837" s="51" t="s">
        <v>1112</v>
      </c>
      <c r="G837" s="51" t="s">
        <v>36</v>
      </c>
      <c r="H837" s="51" t="s">
        <v>1113</v>
      </c>
      <c r="I837" s="55" t="s">
        <v>1613</v>
      </c>
      <c r="J837" s="56">
        <v>100</v>
      </c>
      <c r="K837" s="51" t="s">
        <v>1132</v>
      </c>
      <c r="L837" s="58">
        <v>71500</v>
      </c>
      <c r="M837" s="50">
        <f>ROUND('FA Addition'!$L837*5%,0.1)</f>
        <v>3575</v>
      </c>
      <c r="N837" s="113" t="str">
        <f>_xlfn.XLOOKUP(_xlfn.CONCAT(E837,B837),'Year Wise Master Dep Approach'!F:F,'Year Wise Master Dep Approach'!D:D)</f>
        <v>SLM</v>
      </c>
      <c r="O837" s="113">
        <f>_xlfn.XLOOKUP(_xlfn.CONCAT(E837,B837),'Year Wise Master Dep Approach'!F:F,'Year Wise Master Dep Approach'!E:E)</f>
        <v>3</v>
      </c>
      <c r="P837" s="114">
        <f>IFERROR(IF('FA Addition'!$N837="WDV",1-('FA Addition'!$M837/'FA Addition'!$L837)^(1/'FA Addition'!$O837),1/'FA Addition'!$O837),0)</f>
        <v>0.33333333333333331</v>
      </c>
      <c r="Q837" s="122">
        <f>'FA Addition'!$P837*'FA Addition'!$O837</f>
        <v>1</v>
      </c>
      <c r="R837" s="122"/>
      <c r="S837" s="116">
        <f>IF(AND(DATE(20&amp;LEFT(FAAddition[[#This Row],[FY]],2),4,1)&lt;$L$1+1,DATE(20&amp;LEFT(FAAddition[[#This Row],[FY]],2),4,1)&gt;$P$1-1),'FA Addition'!$J837,0)</f>
        <v>100</v>
      </c>
      <c r="U837" s="117">
        <f>S837*'FA Addition'!$L837/'FA Addition'!$J837</f>
        <v>71500</v>
      </c>
      <c r="W837" s="116">
        <f>SUMIFS('FA Write off'!D:D,'FA Write off'!A:A,'FA Addition'!$A837,'FA Write off'!C:C,"&lt;"&amp;'FA Addition'!$P$1)</f>
        <v>0</v>
      </c>
      <c r="Y837" s="191">
        <f>IFERROR(W837/'FA Addition'!$J837*'FA Addition'!$L837,0)</f>
        <v>0</v>
      </c>
      <c r="AA837" s="116">
        <f>SUMIFS('FA Write off'!D:D,'FA Write off'!A:A,'FA Addition'!$A837,'FA Write off'!C:C,"&lt;"&amp;'FA Addition'!$L$1+1,'FA Write off'!C:C,"&gt;"&amp;'FA Addition'!$L$1-365)</f>
        <v>0</v>
      </c>
      <c r="AC837" s="118">
        <f>IFERROR(AA837/'FA Addition'!$J837*'FA Addition'!$L837,0)</f>
        <v>0</v>
      </c>
      <c r="AE837" s="117">
        <f>IF(AND('FA Addition'!$D837&lt;$P$1+1,U837=0),'FA Addition'!$L837,0)-Y837</f>
        <v>0</v>
      </c>
      <c r="AF837" s="117">
        <f t="shared" si="65"/>
        <v>71500</v>
      </c>
      <c r="AG837" s="117">
        <f>MIN(MAX(+$P$1-'FA Addition'!$D837,0),365*'FA Addition'!$O837)</f>
        <v>0</v>
      </c>
      <c r="AH837" s="117">
        <f>MIN(MAX($L$1-'FA Addition'!$D837+1,0),365*'FA Addition'!$O837)</f>
        <v>154</v>
      </c>
      <c r="AI837" s="117" cm="1">
        <f t="array" ref="AI837">_xlfn.XLOOKUP(1,('FA Write off'!A:A='FA Addition'!$A837)*('FA Write off'!D:D=AA837),'FA Write off'!H:H,0,0)</f>
        <v>0</v>
      </c>
      <c r="AJ837" s="117">
        <f>IF(AC837&gt;0,MAX(IF('FA Addition'!$N837="SLM",($AC837-'FA Addition'!$M837)*'FA Addition'!$P837*AI837/365,(AC837-'FA Addition'!$M837)*(1-(1-'FA Addition'!$P837)^(AI837/365))),0),0)</f>
        <v>0</v>
      </c>
      <c r="AL837" s="117">
        <f>MAX(IF(AG837&gt;0,IF('FA Addition'!$N837="SLM",($AE837-'FA Addition'!$M837)*'FA Addition'!$P837*AG837/365,IFERROR(VDB(AE837,AE837*0.05,'FA Addition'!$O837,0,YEARFRAC('FA Addition'!$C837,$P$1-1,3),'FA Addition'!$Q837),FAAddition[[#This Row],[Original Cost (Rs)]]-FAAddition[[#This Row],[Salvage Value]])),0),0)</f>
        <v>0</v>
      </c>
      <c r="AM837" s="119"/>
      <c r="AN837" s="117">
        <f>MAX(IF(AH837&gt;0,IF('FA Addition'!$N837="SLM",($AF837-'FA Addition'!$M837)*'FA Addition'!$P837*AH837/365,IFERROR(VDB(AF837,AF837*0.05,'FA Addition'!$O837,0,YEARFRAC('FA Addition'!$C837,$L$1,3),'FA Addition'!$Q837),FAAddition[[#This Row],[Original Cost (Rs)]]-FAAddition[[#This Row],[Salvage Value]])),0),0)</f>
        <v>9552.9223744292231</v>
      </c>
      <c r="AO837" s="117">
        <f t="shared" ref="AO837:AO900" si="68">AN837-AL837+AJ837</f>
        <v>9552.9223744292231</v>
      </c>
      <c r="AQ837" s="117">
        <f t="shared" si="66"/>
        <v>0</v>
      </c>
      <c r="AR837" s="120">
        <f t="shared" si="67"/>
        <v>61947.077625570775</v>
      </c>
      <c r="AS837" s="121"/>
    </row>
    <row r="838" spans="1:45" ht="13.5" x14ac:dyDescent="0.4">
      <c r="A838" s="12">
        <f t="shared" ref="A838:A901" si="69">A837+1</f>
        <v>835</v>
      </c>
      <c r="B838" s="64" t="s">
        <v>1308</v>
      </c>
      <c r="C838" s="54">
        <v>45231</v>
      </c>
      <c r="D838" s="54">
        <v>45231</v>
      </c>
      <c r="E838" s="46" t="s">
        <v>749</v>
      </c>
      <c r="F838" s="51" t="s">
        <v>1614</v>
      </c>
      <c r="G838" s="51" t="s">
        <v>1445</v>
      </c>
      <c r="H838" s="51" t="s">
        <v>211</v>
      </c>
      <c r="I838" s="55" t="s">
        <v>1615</v>
      </c>
      <c r="J838" s="56">
        <v>1</v>
      </c>
      <c r="K838" s="51" t="s">
        <v>1616</v>
      </c>
      <c r="L838" s="58">
        <v>5245.76</v>
      </c>
      <c r="M838" s="50">
        <f>ROUND('FA Addition'!$L838*5%,0.1)</f>
        <v>262</v>
      </c>
      <c r="N838" s="113" t="str">
        <f>_xlfn.XLOOKUP(_xlfn.CONCAT(E838,B838),'Year Wise Master Dep Approach'!F:F,'Year Wise Master Dep Approach'!D:D)</f>
        <v>WDV</v>
      </c>
      <c r="O838" s="113">
        <f>_xlfn.XLOOKUP(_xlfn.CONCAT(E838,B838),'Year Wise Master Dep Approach'!F:F,'Year Wise Master Dep Approach'!E:E)</f>
        <v>5</v>
      </c>
      <c r="P838" s="114">
        <f>IFERROR(IF('FA Addition'!$N838="WDV",1-('FA Addition'!$M838/'FA Addition'!$L838)^(1/'FA Addition'!$O838),1/'FA Addition'!$O838),0)</f>
        <v>0.45084040656642799</v>
      </c>
      <c r="Q838" s="122">
        <f>'FA Addition'!$P838*'FA Addition'!$O838</f>
        <v>2.2542020328321399</v>
      </c>
      <c r="R838" s="122"/>
      <c r="S838" s="116">
        <f>IF(AND(DATE(20&amp;LEFT(FAAddition[[#This Row],[FY]],2),4,1)&lt;$L$1+1,DATE(20&amp;LEFT(FAAddition[[#This Row],[FY]],2),4,1)&gt;$P$1-1),'FA Addition'!$J838,0)</f>
        <v>1</v>
      </c>
      <c r="U838" s="117">
        <f>S838*'FA Addition'!$L838/'FA Addition'!$J838</f>
        <v>5245.76</v>
      </c>
      <c r="W838" s="116">
        <f>SUMIFS('FA Write off'!D:D,'FA Write off'!A:A,'FA Addition'!$A838,'FA Write off'!C:C,"&lt;"&amp;'FA Addition'!$P$1)</f>
        <v>0</v>
      </c>
      <c r="Y838" s="191">
        <f>IFERROR(W838/'FA Addition'!$J838*'FA Addition'!$L838,0)</f>
        <v>0</v>
      </c>
      <c r="AA838" s="116">
        <f>SUMIFS('FA Write off'!D:D,'FA Write off'!A:A,'FA Addition'!$A838,'FA Write off'!C:C,"&lt;"&amp;'FA Addition'!$L$1+1,'FA Write off'!C:C,"&gt;"&amp;'FA Addition'!$L$1-365)</f>
        <v>0</v>
      </c>
      <c r="AC838" s="118">
        <f>IFERROR(AA838/'FA Addition'!$J838*'FA Addition'!$L838,0)</f>
        <v>0</v>
      </c>
      <c r="AE838" s="117">
        <f>IF(AND('FA Addition'!$D838&lt;$P$1+1,U838=0),'FA Addition'!$L838,0)-Y838</f>
        <v>0</v>
      </c>
      <c r="AF838" s="117">
        <f t="shared" si="65"/>
        <v>5245.76</v>
      </c>
      <c r="AG838" s="117">
        <f>MIN(MAX(+$P$1-'FA Addition'!$D838,0),365*'FA Addition'!$O838)</f>
        <v>0</v>
      </c>
      <c r="AH838" s="117">
        <f>MIN(MAX($L$1-'FA Addition'!$D838+1,0),365*'FA Addition'!$O838)</f>
        <v>152</v>
      </c>
      <c r="AI838" s="117" cm="1">
        <f t="array" ref="AI838">_xlfn.XLOOKUP(1,('FA Write off'!A:A='FA Addition'!$A838)*('FA Write off'!D:D=AA838),'FA Write off'!H:H,0,0)</f>
        <v>0</v>
      </c>
      <c r="AJ838" s="117">
        <f>IF(AC838&gt;0,MAX(IF('FA Addition'!$N838="SLM",($AC838-'FA Addition'!$M838)*'FA Addition'!$P838*AI838/365,(AC838-'FA Addition'!$M838)*(1-(1-'FA Addition'!$P838)^(AI838/365))),0),0)</f>
        <v>0</v>
      </c>
      <c r="AL838" s="117">
        <f>MAX(IF(AG838&gt;0,IF('FA Addition'!$N838="SLM",($AE838-'FA Addition'!$M838)*'FA Addition'!$P838*AG838/365,IFERROR(VDB(AE838,AE838*0.05,'FA Addition'!$O838,0,YEARFRAC('FA Addition'!$C838,$P$1-1,3),'FA Addition'!$Q838),FAAddition[[#This Row],[Original Cost (Rs)]]-FAAddition[[#This Row],[Salvage Value]])),0),0)</f>
        <v>0</v>
      </c>
      <c r="AM838" s="119"/>
      <c r="AN838" s="117">
        <f>MAX(IF(AH838&gt;0,IF('FA Addition'!$N838="SLM",($AF838-'FA Addition'!$M838)*'FA Addition'!$P838*AH838/365,IFERROR(VDB(AF838,AF838*0.05,'FA Addition'!$O838,0,YEARFRAC('FA Addition'!$C838,$L$1,3),'FA Addition'!$Q838),FAAddition[[#This Row],[Original Cost (Rs)]]-FAAddition[[#This Row],[Salvage Value]])),0),0)</f>
        <v>978.39749655790604</v>
      </c>
      <c r="AO838" s="117">
        <f t="shared" si="68"/>
        <v>978.39749655790604</v>
      </c>
      <c r="AQ838" s="117">
        <f t="shared" si="66"/>
        <v>0</v>
      </c>
      <c r="AR838" s="120">
        <f t="shared" si="67"/>
        <v>4267.3625034420938</v>
      </c>
      <c r="AS838" s="121"/>
    </row>
    <row r="839" spans="1:45" ht="13.5" x14ac:dyDescent="0.4">
      <c r="A839" s="12">
        <f t="shared" si="69"/>
        <v>836</v>
      </c>
      <c r="B839" s="64" t="s">
        <v>1308</v>
      </c>
      <c r="C839" s="54">
        <v>45232</v>
      </c>
      <c r="D839" s="54">
        <v>45232</v>
      </c>
      <c r="E839" s="46" t="s">
        <v>1389</v>
      </c>
      <c r="F839" s="51" t="s">
        <v>1112</v>
      </c>
      <c r="G839" s="51" t="s">
        <v>36</v>
      </c>
      <c r="H839" s="51" t="s">
        <v>1113</v>
      </c>
      <c r="I839" s="55" t="s">
        <v>1617</v>
      </c>
      <c r="J839" s="56">
        <v>2520</v>
      </c>
      <c r="K839" s="51" t="s">
        <v>1132</v>
      </c>
      <c r="L839" s="58">
        <v>1764000</v>
      </c>
      <c r="M839" s="50">
        <f>ROUND('FA Addition'!$L839*5%,0.1)</f>
        <v>88200</v>
      </c>
      <c r="N839" s="113" t="str">
        <f>_xlfn.XLOOKUP(_xlfn.CONCAT(E839,B839),'Year Wise Master Dep Approach'!F:F,'Year Wise Master Dep Approach'!D:D)</f>
        <v>SLM</v>
      </c>
      <c r="O839" s="113">
        <f>_xlfn.XLOOKUP(_xlfn.CONCAT(E839,B839),'Year Wise Master Dep Approach'!F:F,'Year Wise Master Dep Approach'!E:E)</f>
        <v>3</v>
      </c>
      <c r="P839" s="114">
        <f>IFERROR(IF('FA Addition'!$N839="WDV",1-('FA Addition'!$M839/'FA Addition'!$L839)^(1/'FA Addition'!$O839),1/'FA Addition'!$O839),0)</f>
        <v>0.33333333333333331</v>
      </c>
      <c r="Q839" s="122">
        <f>'FA Addition'!$P839*'FA Addition'!$O839</f>
        <v>1</v>
      </c>
      <c r="R839" s="122"/>
      <c r="S839" s="116">
        <f>IF(AND(DATE(20&amp;LEFT(FAAddition[[#This Row],[FY]],2),4,1)&lt;$L$1+1,DATE(20&amp;LEFT(FAAddition[[#This Row],[FY]],2),4,1)&gt;$P$1-1),'FA Addition'!$J839,0)</f>
        <v>2520</v>
      </c>
      <c r="U839" s="117">
        <f>S839*'FA Addition'!$L839/'FA Addition'!$J839</f>
        <v>1764000</v>
      </c>
      <c r="W839" s="116">
        <f>SUMIFS('FA Write off'!D:D,'FA Write off'!A:A,'FA Addition'!$A839,'FA Write off'!C:C,"&lt;"&amp;'FA Addition'!$P$1)</f>
        <v>0</v>
      </c>
      <c r="Y839" s="191">
        <f>IFERROR(W839/'FA Addition'!$J839*'FA Addition'!$L839,0)</f>
        <v>0</v>
      </c>
      <c r="AA839" s="116">
        <f>SUMIFS('FA Write off'!D:D,'FA Write off'!A:A,'FA Addition'!$A839,'FA Write off'!C:C,"&lt;"&amp;'FA Addition'!$L$1+1,'FA Write off'!C:C,"&gt;"&amp;'FA Addition'!$L$1-365)</f>
        <v>0</v>
      </c>
      <c r="AC839" s="118">
        <f>IFERROR(AA839/'FA Addition'!$J839*'FA Addition'!$L839,0)</f>
        <v>0</v>
      </c>
      <c r="AE839" s="117">
        <f>IF(AND('FA Addition'!$D839&lt;$P$1+1,U839=0),'FA Addition'!$L839,0)-Y839</f>
        <v>0</v>
      </c>
      <c r="AF839" s="117">
        <f t="shared" si="65"/>
        <v>1764000</v>
      </c>
      <c r="AG839" s="117">
        <f>MIN(MAX(+$P$1-'FA Addition'!$D839,0),365*'FA Addition'!$O839)</f>
        <v>0</v>
      </c>
      <c r="AH839" s="117">
        <f>MIN(MAX($L$1-'FA Addition'!$D839+1,0),365*'FA Addition'!$O839)</f>
        <v>151</v>
      </c>
      <c r="AI839" s="117" cm="1">
        <f t="array" ref="AI839">_xlfn.XLOOKUP(1,('FA Write off'!A:A='FA Addition'!$A839)*('FA Write off'!D:D=AA839),'FA Write off'!H:H,0,0)</f>
        <v>0</v>
      </c>
      <c r="AJ839" s="117">
        <f>IF(AC839&gt;0,MAX(IF('FA Addition'!$N839="SLM",($AC839-'FA Addition'!$M839)*'FA Addition'!$P839*AI839/365,(AC839-'FA Addition'!$M839)*(1-(1-'FA Addition'!$P839)^(AI839/365))),0),0)</f>
        <v>0</v>
      </c>
      <c r="AL839" s="117">
        <f>MAX(IF(AG839&gt;0,IF('FA Addition'!$N839="SLM",($AE839-'FA Addition'!$M839)*'FA Addition'!$P839*AG839/365,IFERROR(VDB(AE839,AE839*0.05,'FA Addition'!$O839,0,YEARFRAC('FA Addition'!$C839,$P$1-1,3),'FA Addition'!$Q839),FAAddition[[#This Row],[Original Cost (Rs)]]-FAAddition[[#This Row],[Salvage Value]])),0),0)</f>
        <v>0</v>
      </c>
      <c r="AM839" s="119"/>
      <c r="AN839" s="117">
        <f>MAX(IF(AH839&gt;0,IF('FA Addition'!$N839="SLM",($AF839-'FA Addition'!$M839)*'FA Addition'!$P839*AH839/365,IFERROR(VDB(AF839,AF839*0.05,'FA Addition'!$O839,0,YEARFRAC('FA Addition'!$C839,$L$1,3),'FA Addition'!$Q839),FAAddition[[#This Row],[Original Cost (Rs)]]-FAAddition[[#This Row],[Salvage Value]])),0),0)</f>
        <v>231092.05479452055</v>
      </c>
      <c r="AO839" s="117">
        <f t="shared" si="68"/>
        <v>231092.05479452055</v>
      </c>
      <c r="AQ839" s="117">
        <f t="shared" si="66"/>
        <v>0</v>
      </c>
      <c r="AR839" s="120">
        <f t="shared" si="67"/>
        <v>1532907.9452054794</v>
      </c>
      <c r="AS839" s="121"/>
    </row>
    <row r="840" spans="1:45" ht="13.5" x14ac:dyDescent="0.4">
      <c r="A840" s="12">
        <f t="shared" si="69"/>
        <v>837</v>
      </c>
      <c r="B840" s="64" t="s">
        <v>1308</v>
      </c>
      <c r="C840" s="54">
        <v>45236</v>
      </c>
      <c r="D840" s="54">
        <v>45236</v>
      </c>
      <c r="E840" s="46" t="s">
        <v>451</v>
      </c>
      <c r="F840" s="51" t="s">
        <v>19</v>
      </c>
      <c r="G840" s="51" t="s">
        <v>1134</v>
      </c>
      <c r="H840" s="51" t="s">
        <v>21</v>
      </c>
      <c r="I840" s="55" t="s">
        <v>1618</v>
      </c>
      <c r="J840" s="56">
        <v>1</v>
      </c>
      <c r="K840" s="51" t="s">
        <v>1444</v>
      </c>
      <c r="L840" s="58">
        <v>31347.46</v>
      </c>
      <c r="M840" s="50">
        <f>ROUND('FA Addition'!$L840*5%,0.1)</f>
        <v>1567</v>
      </c>
      <c r="N840" s="113" t="str">
        <f>_xlfn.XLOOKUP(_xlfn.CONCAT(E840,B840),'Year Wise Master Dep Approach'!F:F,'Year Wise Master Dep Approach'!D:D)</f>
        <v>WDV</v>
      </c>
      <c r="O840" s="113">
        <f>_xlfn.XLOOKUP(_xlfn.CONCAT(E840,B840),'Year Wise Master Dep Approach'!F:F,'Year Wise Master Dep Approach'!E:E)</f>
        <v>3</v>
      </c>
      <c r="P840" s="114">
        <f>IFERROR(IF('FA Addition'!$N840="WDV",1-('FA Addition'!$M840/'FA Addition'!$L840)^(1/'FA Addition'!$O840),1/'FA Addition'!$O840),0)</f>
        <v>0.63162607637988777</v>
      </c>
      <c r="Q840" s="122">
        <f>'FA Addition'!$P840*'FA Addition'!$O840</f>
        <v>1.8948782291396633</v>
      </c>
      <c r="R840" s="122"/>
      <c r="S840" s="116">
        <f>IF(AND(DATE(20&amp;LEFT(FAAddition[[#This Row],[FY]],2),4,1)&lt;$L$1+1,DATE(20&amp;LEFT(FAAddition[[#This Row],[FY]],2),4,1)&gt;$P$1-1),'FA Addition'!$J840,0)</f>
        <v>1</v>
      </c>
      <c r="U840" s="117">
        <f>S840*'FA Addition'!$L840/'FA Addition'!$J840</f>
        <v>31347.46</v>
      </c>
      <c r="W840" s="116">
        <f>SUMIFS('FA Write off'!D:D,'FA Write off'!A:A,'FA Addition'!$A840,'FA Write off'!C:C,"&lt;"&amp;'FA Addition'!$P$1)</f>
        <v>0</v>
      </c>
      <c r="Y840" s="191">
        <f>IFERROR(W840/'FA Addition'!$J840*'FA Addition'!$L840,0)</f>
        <v>0</v>
      </c>
      <c r="AA840" s="116">
        <f>SUMIFS('FA Write off'!D:D,'FA Write off'!A:A,'FA Addition'!$A840,'FA Write off'!C:C,"&lt;"&amp;'FA Addition'!$L$1+1,'FA Write off'!C:C,"&gt;"&amp;'FA Addition'!$L$1-365)</f>
        <v>0</v>
      </c>
      <c r="AC840" s="118">
        <f>IFERROR(AA840/'FA Addition'!$J840*'FA Addition'!$L840,0)</f>
        <v>0</v>
      </c>
      <c r="AE840" s="117">
        <f>IF(AND('FA Addition'!$D840&lt;$P$1+1,U840=0),'FA Addition'!$L840,0)-Y840</f>
        <v>0</v>
      </c>
      <c r="AF840" s="117">
        <f t="shared" si="65"/>
        <v>31347.46</v>
      </c>
      <c r="AG840" s="117">
        <f>MIN(MAX(+$P$1-'FA Addition'!$D840,0),365*'FA Addition'!$O840)</f>
        <v>0</v>
      </c>
      <c r="AH840" s="117">
        <f>MIN(MAX($L$1-'FA Addition'!$D840+1,0),365*'FA Addition'!$O840)</f>
        <v>147</v>
      </c>
      <c r="AI840" s="117" cm="1">
        <f t="array" ref="AI840">_xlfn.XLOOKUP(1,('FA Write off'!A:A='FA Addition'!$A840)*('FA Write off'!D:D=AA840),'FA Write off'!H:H,0,0)</f>
        <v>0</v>
      </c>
      <c r="AJ840" s="117">
        <f>IF(AC840&gt;0,MAX(IF('FA Addition'!$N840="SLM",($AC840-'FA Addition'!$M840)*'FA Addition'!$P840*AI840/365,(AC840-'FA Addition'!$M840)*(1-(1-'FA Addition'!$P840)^(AI840/365))),0),0)</f>
        <v>0</v>
      </c>
      <c r="AL840" s="117">
        <f>MAX(IF(AG840&gt;0,IF('FA Addition'!$N840="SLM",($AE840-'FA Addition'!$M840)*'FA Addition'!$P840*AG840/365,IFERROR(VDB(AE840,AE840*0.05,'FA Addition'!$O840,0,YEARFRAC('FA Addition'!$C840,$P$1-1,3),'FA Addition'!$Q840),FAAddition[[#This Row],[Original Cost (Rs)]]-FAAddition[[#This Row],[Salvage Value]])),0),0)</f>
        <v>0</v>
      </c>
      <c r="AM840" s="119"/>
      <c r="AN840" s="117">
        <f>MAX(IF(AH840&gt;0,IF('FA Addition'!$N840="SLM",($AF840-'FA Addition'!$M840)*'FA Addition'!$P840*AH840/365,IFERROR(VDB(AF840,AF840*0.05,'FA Addition'!$O840,0,YEARFRAC('FA Addition'!$C840,$L$1,3),'FA Addition'!$Q840),FAAddition[[#This Row],[Original Cost (Rs)]]-FAAddition[[#This Row],[Salvage Value]])),0),0)</f>
        <v>7919.949265710191</v>
      </c>
      <c r="AO840" s="117">
        <f t="shared" si="68"/>
        <v>7919.949265710191</v>
      </c>
      <c r="AQ840" s="117">
        <f t="shared" si="66"/>
        <v>0</v>
      </c>
      <c r="AR840" s="120">
        <f t="shared" si="67"/>
        <v>23427.510734289808</v>
      </c>
      <c r="AS840" s="121"/>
    </row>
    <row r="841" spans="1:45" ht="13.5" x14ac:dyDescent="0.4">
      <c r="A841" s="12">
        <f t="shared" si="69"/>
        <v>838</v>
      </c>
      <c r="B841" s="64" t="s">
        <v>1308</v>
      </c>
      <c r="C841" s="54">
        <v>45237</v>
      </c>
      <c r="D841" s="54">
        <v>45237</v>
      </c>
      <c r="E841" s="46" t="s">
        <v>749</v>
      </c>
      <c r="F841" s="51" t="s">
        <v>74</v>
      </c>
      <c r="G841" s="51" t="s">
        <v>1575</v>
      </c>
      <c r="H841" s="51" t="s">
        <v>26</v>
      </c>
      <c r="I841" s="55" t="s">
        <v>1619</v>
      </c>
      <c r="J841" s="56">
        <v>1000</v>
      </c>
      <c r="K841" s="51" t="s">
        <v>1577</v>
      </c>
      <c r="L841" s="58">
        <v>52000</v>
      </c>
      <c r="M841" s="50">
        <f>ROUND('FA Addition'!$L841*5%,0.1)</f>
        <v>2600</v>
      </c>
      <c r="N841" s="113" t="str">
        <f>_xlfn.XLOOKUP(_xlfn.CONCAT(E841,B841),'Year Wise Master Dep Approach'!F:F,'Year Wise Master Dep Approach'!D:D)</f>
        <v>WDV</v>
      </c>
      <c r="O841" s="113">
        <f>_xlfn.XLOOKUP(_xlfn.CONCAT(E841,B841),'Year Wise Master Dep Approach'!F:F,'Year Wise Master Dep Approach'!E:E)</f>
        <v>5</v>
      </c>
      <c r="P841" s="114">
        <f>IFERROR(IF('FA Addition'!$N841="WDV",1-('FA Addition'!$M841/'FA Addition'!$L841)^(1/'FA Addition'!$O841),1/'FA Addition'!$O841),0)</f>
        <v>0.45071972834694107</v>
      </c>
      <c r="Q841" s="122">
        <f>'FA Addition'!$P841*'FA Addition'!$O841</f>
        <v>2.2535986417347056</v>
      </c>
      <c r="R841" s="122"/>
      <c r="S841" s="116">
        <f>IF(AND(DATE(20&amp;LEFT(FAAddition[[#This Row],[FY]],2),4,1)&lt;$L$1+1,DATE(20&amp;LEFT(FAAddition[[#This Row],[FY]],2),4,1)&gt;$P$1-1),'FA Addition'!$J841,0)</f>
        <v>1000</v>
      </c>
      <c r="U841" s="117">
        <f>S841*'FA Addition'!$L841/'FA Addition'!$J841</f>
        <v>52000</v>
      </c>
      <c r="W841" s="116">
        <f>SUMIFS('FA Write off'!D:D,'FA Write off'!A:A,'FA Addition'!$A841,'FA Write off'!C:C,"&lt;"&amp;'FA Addition'!$P$1)</f>
        <v>0</v>
      </c>
      <c r="Y841" s="191">
        <f>IFERROR(W841/'FA Addition'!$J841*'FA Addition'!$L841,0)</f>
        <v>0</v>
      </c>
      <c r="AA841" s="116">
        <f>SUMIFS('FA Write off'!D:D,'FA Write off'!A:A,'FA Addition'!$A841,'FA Write off'!C:C,"&lt;"&amp;'FA Addition'!$L$1+1,'FA Write off'!C:C,"&gt;"&amp;'FA Addition'!$L$1-365)</f>
        <v>0</v>
      </c>
      <c r="AC841" s="118">
        <f>IFERROR(AA841/'FA Addition'!$J841*'FA Addition'!$L841,0)</f>
        <v>0</v>
      </c>
      <c r="AE841" s="117">
        <f>IF(AND('FA Addition'!$D841&lt;$P$1+1,U841=0),'FA Addition'!$L841,0)-Y841</f>
        <v>0</v>
      </c>
      <c r="AF841" s="117">
        <f t="shared" si="65"/>
        <v>52000</v>
      </c>
      <c r="AG841" s="117">
        <f>MIN(MAX(+$P$1-'FA Addition'!$D841,0),365*'FA Addition'!$O841)</f>
        <v>0</v>
      </c>
      <c r="AH841" s="117">
        <f>MIN(MAX($L$1-'FA Addition'!$D841+1,0),365*'FA Addition'!$O841)</f>
        <v>146</v>
      </c>
      <c r="AI841" s="117" cm="1">
        <f t="array" ref="AI841">_xlfn.XLOOKUP(1,('FA Write off'!A:A='FA Addition'!$A841)*('FA Write off'!D:D=AA841),'FA Write off'!H:H,0,0)</f>
        <v>0</v>
      </c>
      <c r="AJ841" s="117">
        <f>IF(AC841&gt;0,MAX(IF('FA Addition'!$N841="SLM",($AC841-'FA Addition'!$M841)*'FA Addition'!$P841*AI841/365,(AC841-'FA Addition'!$M841)*(1-(1-'FA Addition'!$P841)^(AI841/365))),0),0)</f>
        <v>0</v>
      </c>
      <c r="AL841" s="117">
        <f>MAX(IF(AG841&gt;0,IF('FA Addition'!$N841="SLM",($AE841-'FA Addition'!$M841)*'FA Addition'!$P841*AG841/365,IFERROR(VDB(AE841,AE841*0.05,'FA Addition'!$O841,0,YEARFRAC('FA Addition'!$C841,$P$1-1,3),'FA Addition'!$Q841),FAAddition[[#This Row],[Original Cost (Rs)]]-FAAddition[[#This Row],[Salvage Value]])),0),0)</f>
        <v>0</v>
      </c>
      <c r="AM841" s="119"/>
      <c r="AN841" s="117">
        <f>MAX(IF(AH841&gt;0,IF('FA Addition'!$N841="SLM",($AF841-'FA Addition'!$M841)*'FA Addition'!$P841*AH841/365,IFERROR(VDB(AF841,AF841*0.05,'FA Addition'!$O841,0,YEARFRAC('FA Addition'!$C841,$L$1,3),'FA Addition'!$Q841),FAAddition[[#This Row],[Original Cost (Rs)]]-FAAddition[[#This Row],[Salvage Value]])),0),0)</f>
        <v>9310.7582239340718</v>
      </c>
      <c r="AO841" s="117">
        <f t="shared" si="68"/>
        <v>9310.7582239340718</v>
      </c>
      <c r="AQ841" s="117">
        <f t="shared" si="66"/>
        <v>0</v>
      </c>
      <c r="AR841" s="120">
        <f t="shared" si="67"/>
        <v>42689.24177606593</v>
      </c>
      <c r="AS841" s="121"/>
    </row>
    <row r="842" spans="1:45" ht="13.5" x14ac:dyDescent="0.4">
      <c r="A842" s="12">
        <f t="shared" si="69"/>
        <v>839</v>
      </c>
      <c r="B842" s="64" t="s">
        <v>1308</v>
      </c>
      <c r="C842" s="54">
        <v>45238</v>
      </c>
      <c r="D842" s="54">
        <v>45238</v>
      </c>
      <c r="E842" s="46" t="s">
        <v>1389</v>
      </c>
      <c r="F842" s="51" t="s">
        <v>1112</v>
      </c>
      <c r="G842" s="51" t="s">
        <v>36</v>
      </c>
      <c r="H842" s="51" t="s">
        <v>1113</v>
      </c>
      <c r="I842" s="55" t="s">
        <v>1620</v>
      </c>
      <c r="J842" s="56">
        <v>1000</v>
      </c>
      <c r="K842" s="51" t="s">
        <v>1132</v>
      </c>
      <c r="L842" s="58">
        <v>700000</v>
      </c>
      <c r="M842" s="50">
        <f>ROUND('FA Addition'!$L842*5%,0.1)</f>
        <v>35000</v>
      </c>
      <c r="N842" s="113" t="str">
        <f>_xlfn.XLOOKUP(_xlfn.CONCAT(E842,B842),'Year Wise Master Dep Approach'!F:F,'Year Wise Master Dep Approach'!D:D)</f>
        <v>SLM</v>
      </c>
      <c r="O842" s="113">
        <f>_xlfn.XLOOKUP(_xlfn.CONCAT(E842,B842),'Year Wise Master Dep Approach'!F:F,'Year Wise Master Dep Approach'!E:E)</f>
        <v>3</v>
      </c>
      <c r="P842" s="114">
        <f>IFERROR(IF('FA Addition'!$N842="WDV",1-('FA Addition'!$M842/'FA Addition'!$L842)^(1/'FA Addition'!$O842),1/'FA Addition'!$O842),0)</f>
        <v>0.33333333333333331</v>
      </c>
      <c r="Q842" s="122">
        <f>'FA Addition'!$P842*'FA Addition'!$O842</f>
        <v>1</v>
      </c>
      <c r="R842" s="122"/>
      <c r="S842" s="116">
        <f>IF(AND(DATE(20&amp;LEFT(FAAddition[[#This Row],[FY]],2),4,1)&lt;$L$1+1,DATE(20&amp;LEFT(FAAddition[[#This Row],[FY]],2),4,1)&gt;$P$1-1),'FA Addition'!$J842,0)</f>
        <v>1000</v>
      </c>
      <c r="U842" s="117">
        <f>S842*'FA Addition'!$L842/'FA Addition'!$J842</f>
        <v>700000</v>
      </c>
      <c r="W842" s="116">
        <f>SUMIFS('FA Write off'!D:D,'FA Write off'!A:A,'FA Addition'!$A842,'FA Write off'!C:C,"&lt;"&amp;'FA Addition'!$P$1)</f>
        <v>0</v>
      </c>
      <c r="Y842" s="191">
        <f>IFERROR(W842/'FA Addition'!$J842*'FA Addition'!$L842,0)</f>
        <v>0</v>
      </c>
      <c r="AA842" s="116">
        <f>SUMIFS('FA Write off'!D:D,'FA Write off'!A:A,'FA Addition'!$A842,'FA Write off'!C:C,"&lt;"&amp;'FA Addition'!$L$1+1,'FA Write off'!C:C,"&gt;"&amp;'FA Addition'!$L$1-365)</f>
        <v>0</v>
      </c>
      <c r="AC842" s="118">
        <f>IFERROR(AA842/'FA Addition'!$J842*'FA Addition'!$L842,0)</f>
        <v>0</v>
      </c>
      <c r="AE842" s="117">
        <f>IF(AND('FA Addition'!$D842&lt;$P$1+1,U842=0),'FA Addition'!$L842,0)-Y842</f>
        <v>0</v>
      </c>
      <c r="AF842" s="117">
        <f t="shared" si="65"/>
        <v>700000</v>
      </c>
      <c r="AG842" s="117">
        <f>MIN(MAX(+$P$1-'FA Addition'!$D842,0),365*'FA Addition'!$O842)</f>
        <v>0</v>
      </c>
      <c r="AH842" s="117">
        <f>MIN(MAX($L$1-'FA Addition'!$D842+1,0),365*'FA Addition'!$O842)</f>
        <v>145</v>
      </c>
      <c r="AI842" s="117" cm="1">
        <f t="array" ref="AI842">_xlfn.XLOOKUP(1,('FA Write off'!A:A='FA Addition'!$A842)*('FA Write off'!D:D=AA842),'FA Write off'!H:H,0,0)</f>
        <v>0</v>
      </c>
      <c r="AJ842" s="117">
        <f>IF(AC842&gt;0,MAX(IF('FA Addition'!$N842="SLM",($AC842-'FA Addition'!$M842)*'FA Addition'!$P842*AI842/365,(AC842-'FA Addition'!$M842)*(1-(1-'FA Addition'!$P842)^(AI842/365))),0),0)</f>
        <v>0</v>
      </c>
      <c r="AL842" s="117">
        <f>MAX(IF(AG842&gt;0,IF('FA Addition'!$N842="SLM",($AE842-'FA Addition'!$M842)*'FA Addition'!$P842*AG842/365,IFERROR(VDB(AE842,AE842*0.05,'FA Addition'!$O842,0,YEARFRAC('FA Addition'!$C842,$P$1-1,3),'FA Addition'!$Q842),FAAddition[[#This Row],[Original Cost (Rs)]]-FAAddition[[#This Row],[Salvage Value]])),0),0)</f>
        <v>0</v>
      </c>
      <c r="AM842" s="119"/>
      <c r="AN842" s="117">
        <f>MAX(IF(AH842&gt;0,IF('FA Addition'!$N842="SLM",($AF842-'FA Addition'!$M842)*'FA Addition'!$P842*AH842/365,IFERROR(VDB(AF842,AF842*0.05,'FA Addition'!$O842,0,YEARFRAC('FA Addition'!$C842,$L$1,3),'FA Addition'!$Q842),FAAddition[[#This Row],[Original Cost (Rs)]]-FAAddition[[#This Row],[Salvage Value]])),0),0)</f>
        <v>88059.360730593602</v>
      </c>
      <c r="AO842" s="117">
        <f t="shared" si="68"/>
        <v>88059.360730593602</v>
      </c>
      <c r="AQ842" s="117">
        <f t="shared" si="66"/>
        <v>0</v>
      </c>
      <c r="AR842" s="120">
        <f t="shared" si="67"/>
        <v>611940.63926940644</v>
      </c>
      <c r="AS842" s="121"/>
    </row>
    <row r="843" spans="1:45" ht="13.5" x14ac:dyDescent="0.4">
      <c r="A843" s="12">
        <f t="shared" si="69"/>
        <v>840</v>
      </c>
      <c r="B843" s="64" t="s">
        <v>1308</v>
      </c>
      <c r="C843" s="54">
        <v>45238</v>
      </c>
      <c r="D843" s="54">
        <v>45238</v>
      </c>
      <c r="E843" s="46" t="s">
        <v>451</v>
      </c>
      <c r="F843" s="51" t="s">
        <v>19</v>
      </c>
      <c r="G843" s="51" t="s">
        <v>1134</v>
      </c>
      <c r="H843" s="51" t="s">
        <v>21</v>
      </c>
      <c r="I843" s="55" t="s">
        <v>1621</v>
      </c>
      <c r="J843" s="56">
        <v>1</v>
      </c>
      <c r="K843" s="51" t="s">
        <v>1552</v>
      </c>
      <c r="L843" s="58">
        <v>31347.46</v>
      </c>
      <c r="M843" s="50">
        <f>ROUND('FA Addition'!$L843*5%,0.1)</f>
        <v>1567</v>
      </c>
      <c r="N843" s="113" t="str">
        <f>_xlfn.XLOOKUP(_xlfn.CONCAT(E843,B843),'Year Wise Master Dep Approach'!F:F,'Year Wise Master Dep Approach'!D:D)</f>
        <v>WDV</v>
      </c>
      <c r="O843" s="113">
        <f>_xlfn.XLOOKUP(_xlfn.CONCAT(E843,B843),'Year Wise Master Dep Approach'!F:F,'Year Wise Master Dep Approach'!E:E)</f>
        <v>3</v>
      </c>
      <c r="P843" s="114">
        <f>IFERROR(IF('FA Addition'!$N843="WDV",1-('FA Addition'!$M843/'FA Addition'!$L843)^(1/'FA Addition'!$O843),1/'FA Addition'!$O843),0)</f>
        <v>0.63162607637988777</v>
      </c>
      <c r="Q843" s="122">
        <f>'FA Addition'!$P843*'FA Addition'!$O843</f>
        <v>1.8948782291396633</v>
      </c>
      <c r="R843" s="122"/>
      <c r="S843" s="116">
        <f>IF(AND(DATE(20&amp;LEFT(FAAddition[[#This Row],[FY]],2),4,1)&lt;$L$1+1,DATE(20&amp;LEFT(FAAddition[[#This Row],[FY]],2),4,1)&gt;$P$1-1),'FA Addition'!$J843,0)</f>
        <v>1</v>
      </c>
      <c r="U843" s="117">
        <f>S843*'FA Addition'!$L843/'FA Addition'!$J843</f>
        <v>31347.46</v>
      </c>
      <c r="W843" s="116">
        <f>SUMIFS('FA Write off'!D:D,'FA Write off'!A:A,'FA Addition'!$A843,'FA Write off'!C:C,"&lt;"&amp;'FA Addition'!$P$1)</f>
        <v>0</v>
      </c>
      <c r="Y843" s="191">
        <f>IFERROR(W843/'FA Addition'!$J843*'FA Addition'!$L843,0)</f>
        <v>0</v>
      </c>
      <c r="AA843" s="116">
        <f>SUMIFS('FA Write off'!D:D,'FA Write off'!A:A,'FA Addition'!$A843,'FA Write off'!C:C,"&lt;"&amp;'FA Addition'!$L$1+1,'FA Write off'!C:C,"&gt;"&amp;'FA Addition'!$L$1-365)</f>
        <v>0</v>
      </c>
      <c r="AC843" s="118">
        <f>IFERROR(AA843/'FA Addition'!$J843*'FA Addition'!$L843,0)</f>
        <v>0</v>
      </c>
      <c r="AE843" s="117">
        <f>IF(AND('FA Addition'!$D843&lt;$P$1+1,U843=0),'FA Addition'!$L843,0)-Y843</f>
        <v>0</v>
      </c>
      <c r="AF843" s="117">
        <f t="shared" si="65"/>
        <v>31347.46</v>
      </c>
      <c r="AG843" s="117">
        <f>MIN(MAX(+$P$1-'FA Addition'!$D843,0),365*'FA Addition'!$O843)</f>
        <v>0</v>
      </c>
      <c r="AH843" s="117">
        <f>MIN(MAX($L$1-'FA Addition'!$D843+1,0),365*'FA Addition'!$O843)</f>
        <v>145</v>
      </c>
      <c r="AI843" s="117" cm="1">
        <f t="array" ref="AI843">_xlfn.XLOOKUP(1,('FA Write off'!A:A='FA Addition'!$A843)*('FA Write off'!D:D=AA843),'FA Write off'!H:H,0,0)</f>
        <v>0</v>
      </c>
      <c r="AJ843" s="117">
        <f>IF(AC843&gt;0,MAX(IF('FA Addition'!$N843="SLM",($AC843-'FA Addition'!$M843)*'FA Addition'!$P843*AI843/365,(AC843-'FA Addition'!$M843)*(1-(1-'FA Addition'!$P843)^(AI843/365))),0),0)</f>
        <v>0</v>
      </c>
      <c r="AL843" s="117">
        <f>MAX(IF(AG843&gt;0,IF('FA Addition'!$N843="SLM",($AE843-'FA Addition'!$M843)*'FA Addition'!$P843*AG843/365,IFERROR(VDB(AE843,AE843*0.05,'FA Addition'!$O843,0,YEARFRAC('FA Addition'!$C843,$P$1-1,3),'FA Addition'!$Q843),FAAddition[[#This Row],[Original Cost (Rs)]]-FAAddition[[#This Row],[Salvage Value]])),0),0)</f>
        <v>0</v>
      </c>
      <c r="AM843" s="119"/>
      <c r="AN843" s="117">
        <f>MAX(IF(AH843&gt;0,IF('FA Addition'!$N843="SLM",($AF843-'FA Addition'!$M843)*'FA Addition'!$P843*AH843/365,IFERROR(VDB(AF843,AF843*0.05,'FA Addition'!$O843,0,YEARFRAC('FA Addition'!$C843,$L$1,3),'FA Addition'!$Q843),FAAddition[[#This Row],[Original Cost (Rs)]]-FAAddition[[#This Row],[Salvage Value]])),0),0)</f>
        <v>7811.4568100155302</v>
      </c>
      <c r="AO843" s="117">
        <f t="shared" si="68"/>
        <v>7811.4568100155302</v>
      </c>
      <c r="AQ843" s="117">
        <f t="shared" si="66"/>
        <v>0</v>
      </c>
      <c r="AR843" s="120">
        <f t="shared" si="67"/>
        <v>23536.003189984469</v>
      </c>
      <c r="AS843" s="121"/>
    </row>
    <row r="844" spans="1:45" ht="13.5" x14ac:dyDescent="0.4">
      <c r="A844" s="12">
        <f t="shared" si="69"/>
        <v>841</v>
      </c>
      <c r="B844" s="64" t="s">
        <v>1308</v>
      </c>
      <c r="C844" s="54">
        <v>45238</v>
      </c>
      <c r="D844" s="54">
        <v>45238</v>
      </c>
      <c r="E844" s="46" t="s">
        <v>451</v>
      </c>
      <c r="F844" s="51" t="s">
        <v>19</v>
      </c>
      <c r="G844" s="51" t="s">
        <v>1134</v>
      </c>
      <c r="H844" s="51" t="s">
        <v>21</v>
      </c>
      <c r="I844" s="55" t="s">
        <v>1621</v>
      </c>
      <c r="J844" s="56">
        <v>1</v>
      </c>
      <c r="K844" s="51" t="s">
        <v>1552</v>
      </c>
      <c r="L844" s="58">
        <v>31347.46</v>
      </c>
      <c r="M844" s="50">
        <f>ROUND('FA Addition'!$L844*5%,0.1)</f>
        <v>1567</v>
      </c>
      <c r="N844" s="113" t="str">
        <f>_xlfn.XLOOKUP(_xlfn.CONCAT(E844,B844),'Year Wise Master Dep Approach'!F:F,'Year Wise Master Dep Approach'!D:D)</f>
        <v>WDV</v>
      </c>
      <c r="O844" s="113">
        <f>_xlfn.XLOOKUP(_xlfn.CONCAT(E844,B844),'Year Wise Master Dep Approach'!F:F,'Year Wise Master Dep Approach'!E:E)</f>
        <v>3</v>
      </c>
      <c r="P844" s="114">
        <f>IFERROR(IF('FA Addition'!$N844="WDV",1-('FA Addition'!$M844/'FA Addition'!$L844)^(1/'FA Addition'!$O844),1/'FA Addition'!$O844),0)</f>
        <v>0.63162607637988777</v>
      </c>
      <c r="Q844" s="122">
        <f>'FA Addition'!$P844*'FA Addition'!$O844</f>
        <v>1.8948782291396633</v>
      </c>
      <c r="R844" s="122"/>
      <c r="S844" s="116">
        <f>IF(AND(DATE(20&amp;LEFT(FAAddition[[#This Row],[FY]],2),4,1)&lt;$L$1+1,DATE(20&amp;LEFT(FAAddition[[#This Row],[FY]],2),4,1)&gt;$P$1-1),'FA Addition'!$J844,0)</f>
        <v>1</v>
      </c>
      <c r="U844" s="117">
        <f>S844*'FA Addition'!$L844/'FA Addition'!$J844</f>
        <v>31347.46</v>
      </c>
      <c r="W844" s="116">
        <f>SUMIFS('FA Write off'!D:D,'FA Write off'!A:A,'FA Addition'!$A844,'FA Write off'!C:C,"&lt;"&amp;'FA Addition'!$P$1)</f>
        <v>0</v>
      </c>
      <c r="Y844" s="191">
        <f>IFERROR(W844/'FA Addition'!$J844*'FA Addition'!$L844,0)</f>
        <v>0</v>
      </c>
      <c r="AA844" s="116">
        <f>SUMIFS('FA Write off'!D:D,'FA Write off'!A:A,'FA Addition'!$A844,'FA Write off'!C:C,"&lt;"&amp;'FA Addition'!$L$1+1,'FA Write off'!C:C,"&gt;"&amp;'FA Addition'!$L$1-365)</f>
        <v>0</v>
      </c>
      <c r="AC844" s="118">
        <f>IFERROR(AA844/'FA Addition'!$J844*'FA Addition'!$L844,0)</f>
        <v>0</v>
      </c>
      <c r="AE844" s="117">
        <f>IF(AND('FA Addition'!$D844&lt;$P$1+1,U844=0),'FA Addition'!$L844,0)-Y844</f>
        <v>0</v>
      </c>
      <c r="AF844" s="117">
        <f t="shared" si="65"/>
        <v>31347.46</v>
      </c>
      <c r="AG844" s="117">
        <f>MIN(MAX(+$P$1-'FA Addition'!$D844,0),365*'FA Addition'!$O844)</f>
        <v>0</v>
      </c>
      <c r="AH844" s="117">
        <f>MIN(MAX($L$1-'FA Addition'!$D844+1,0),365*'FA Addition'!$O844)</f>
        <v>145</v>
      </c>
      <c r="AI844" s="117" cm="1">
        <f t="array" ref="AI844">_xlfn.XLOOKUP(1,('FA Write off'!A:A='FA Addition'!$A844)*('FA Write off'!D:D=AA844),'FA Write off'!H:H,0,0)</f>
        <v>0</v>
      </c>
      <c r="AJ844" s="117">
        <f>IF(AC844&gt;0,MAX(IF('FA Addition'!$N844="SLM",($AC844-'FA Addition'!$M844)*'FA Addition'!$P844*AI844/365,(AC844-'FA Addition'!$M844)*(1-(1-'FA Addition'!$P844)^(AI844/365))),0),0)</f>
        <v>0</v>
      </c>
      <c r="AL844" s="117">
        <f>MAX(IF(AG844&gt;0,IF('FA Addition'!$N844="SLM",($AE844-'FA Addition'!$M844)*'FA Addition'!$P844*AG844/365,IFERROR(VDB(AE844,AE844*0.05,'FA Addition'!$O844,0,YEARFRAC('FA Addition'!$C844,$P$1-1,3),'FA Addition'!$Q844),FAAddition[[#This Row],[Original Cost (Rs)]]-FAAddition[[#This Row],[Salvage Value]])),0),0)</f>
        <v>0</v>
      </c>
      <c r="AM844" s="119"/>
      <c r="AN844" s="117">
        <f>MAX(IF(AH844&gt;0,IF('FA Addition'!$N844="SLM",($AF844-'FA Addition'!$M844)*'FA Addition'!$P844*AH844/365,IFERROR(VDB(AF844,AF844*0.05,'FA Addition'!$O844,0,YEARFRAC('FA Addition'!$C844,$L$1,3),'FA Addition'!$Q844),FAAddition[[#This Row],[Original Cost (Rs)]]-FAAddition[[#This Row],[Salvage Value]])),0),0)</f>
        <v>7811.4568100155302</v>
      </c>
      <c r="AO844" s="117">
        <f t="shared" si="68"/>
        <v>7811.4568100155302</v>
      </c>
      <c r="AQ844" s="117">
        <f t="shared" si="66"/>
        <v>0</v>
      </c>
      <c r="AR844" s="120">
        <f t="shared" si="67"/>
        <v>23536.003189984469</v>
      </c>
      <c r="AS844" s="121"/>
    </row>
    <row r="845" spans="1:45" ht="13.5" x14ac:dyDescent="0.4">
      <c r="A845" s="12">
        <f t="shared" si="69"/>
        <v>842</v>
      </c>
      <c r="B845" s="64" t="s">
        <v>1308</v>
      </c>
      <c r="C845" s="54">
        <v>45240</v>
      </c>
      <c r="D845" s="54">
        <v>45240</v>
      </c>
      <c r="E845" s="46" t="s">
        <v>1389</v>
      </c>
      <c r="F845" s="51" t="s">
        <v>1112</v>
      </c>
      <c r="G845" s="51" t="s">
        <v>36</v>
      </c>
      <c r="H845" s="51" t="s">
        <v>1113</v>
      </c>
      <c r="I845" s="55" t="s">
        <v>1622</v>
      </c>
      <c r="J845" s="56">
        <v>1480</v>
      </c>
      <c r="K845" s="51" t="s">
        <v>1132</v>
      </c>
      <c r="L845" s="58">
        <v>1036000</v>
      </c>
      <c r="M845" s="50">
        <f>ROUND('FA Addition'!$L845*5%,0.1)</f>
        <v>51800</v>
      </c>
      <c r="N845" s="113" t="str">
        <f>_xlfn.XLOOKUP(_xlfn.CONCAT(E845,B845),'Year Wise Master Dep Approach'!F:F,'Year Wise Master Dep Approach'!D:D)</f>
        <v>SLM</v>
      </c>
      <c r="O845" s="113">
        <f>_xlfn.XLOOKUP(_xlfn.CONCAT(E845,B845),'Year Wise Master Dep Approach'!F:F,'Year Wise Master Dep Approach'!E:E)</f>
        <v>3</v>
      </c>
      <c r="P845" s="114">
        <f>IFERROR(IF('FA Addition'!$N845="WDV",1-('FA Addition'!$M845/'FA Addition'!$L845)^(1/'FA Addition'!$O845),1/'FA Addition'!$O845),0)</f>
        <v>0.33333333333333331</v>
      </c>
      <c r="Q845" s="122">
        <f>'FA Addition'!$P845*'FA Addition'!$O845</f>
        <v>1</v>
      </c>
      <c r="R845" s="122"/>
      <c r="S845" s="116">
        <f>IF(AND(DATE(20&amp;LEFT(FAAddition[[#This Row],[FY]],2),4,1)&lt;$L$1+1,DATE(20&amp;LEFT(FAAddition[[#This Row],[FY]],2),4,1)&gt;$P$1-1),'FA Addition'!$J845,0)</f>
        <v>1480</v>
      </c>
      <c r="U845" s="117">
        <f>S845*'FA Addition'!$L845/'FA Addition'!$J845</f>
        <v>1036000</v>
      </c>
      <c r="W845" s="116">
        <f>SUMIFS('FA Write off'!D:D,'FA Write off'!A:A,'FA Addition'!$A845,'FA Write off'!C:C,"&lt;"&amp;'FA Addition'!$P$1)</f>
        <v>0</v>
      </c>
      <c r="Y845" s="191">
        <f>IFERROR(W845/'FA Addition'!$J845*'FA Addition'!$L845,0)</f>
        <v>0</v>
      </c>
      <c r="AA845" s="116">
        <f>SUMIFS('FA Write off'!D:D,'FA Write off'!A:A,'FA Addition'!$A845,'FA Write off'!C:C,"&lt;"&amp;'FA Addition'!$L$1+1,'FA Write off'!C:C,"&gt;"&amp;'FA Addition'!$L$1-365)</f>
        <v>0</v>
      </c>
      <c r="AC845" s="118">
        <f>IFERROR(AA845/'FA Addition'!$J845*'FA Addition'!$L845,0)</f>
        <v>0</v>
      </c>
      <c r="AE845" s="117">
        <f>IF(AND('FA Addition'!$D845&lt;$P$1+1,U845=0),'FA Addition'!$L845,0)-Y845</f>
        <v>0</v>
      </c>
      <c r="AF845" s="117">
        <f t="shared" si="65"/>
        <v>1036000</v>
      </c>
      <c r="AG845" s="117">
        <f>MIN(MAX(+$P$1-'FA Addition'!$D845,0),365*'FA Addition'!$O845)</f>
        <v>0</v>
      </c>
      <c r="AH845" s="117">
        <f>MIN(MAX($L$1-'FA Addition'!$D845+1,0),365*'FA Addition'!$O845)</f>
        <v>143</v>
      </c>
      <c r="AI845" s="117" cm="1">
        <f t="array" ref="AI845">_xlfn.XLOOKUP(1,('FA Write off'!A:A='FA Addition'!$A845)*('FA Write off'!D:D=AA845),'FA Write off'!H:H,0,0)</f>
        <v>0</v>
      </c>
      <c r="AJ845" s="117">
        <f>IF(AC845&gt;0,MAX(IF('FA Addition'!$N845="SLM",($AC845-'FA Addition'!$M845)*'FA Addition'!$P845*AI845/365,(AC845-'FA Addition'!$M845)*(1-(1-'FA Addition'!$P845)^(AI845/365))),0),0)</f>
        <v>0</v>
      </c>
      <c r="AL845" s="117">
        <f>MAX(IF(AG845&gt;0,IF('FA Addition'!$N845="SLM",($AE845-'FA Addition'!$M845)*'FA Addition'!$P845*AG845/365,IFERROR(VDB(AE845,AE845*0.05,'FA Addition'!$O845,0,YEARFRAC('FA Addition'!$C845,$P$1-1,3),'FA Addition'!$Q845),FAAddition[[#This Row],[Original Cost (Rs)]]-FAAddition[[#This Row],[Salvage Value]])),0),0)</f>
        <v>0</v>
      </c>
      <c r="AM845" s="119"/>
      <c r="AN845" s="117">
        <f>MAX(IF(AH845&gt;0,IF('FA Addition'!$N845="SLM",($AF845-'FA Addition'!$M845)*'FA Addition'!$P845*AH845/365,IFERROR(VDB(AF845,AF845*0.05,'FA Addition'!$O845,0,YEARFRAC('FA Addition'!$C845,$L$1,3),'FA Addition'!$Q845),FAAddition[[#This Row],[Original Cost (Rs)]]-FAAddition[[#This Row],[Salvage Value]])),0),0)</f>
        <v>128530.22831050227</v>
      </c>
      <c r="AO845" s="117">
        <f t="shared" si="68"/>
        <v>128530.22831050227</v>
      </c>
      <c r="AQ845" s="117">
        <f t="shared" si="66"/>
        <v>0</v>
      </c>
      <c r="AR845" s="120">
        <f t="shared" si="67"/>
        <v>907469.77168949775</v>
      </c>
      <c r="AS845" s="121"/>
    </row>
    <row r="846" spans="1:45" ht="13.5" x14ac:dyDescent="0.4">
      <c r="A846" s="12">
        <f t="shared" si="69"/>
        <v>843</v>
      </c>
      <c r="B846" s="64" t="s">
        <v>1308</v>
      </c>
      <c r="C846" s="54">
        <v>45240</v>
      </c>
      <c r="D846" s="54">
        <v>45240</v>
      </c>
      <c r="E846" s="46" t="s">
        <v>1389</v>
      </c>
      <c r="F846" s="51" t="s">
        <v>1112</v>
      </c>
      <c r="G846" s="51" t="s">
        <v>36</v>
      </c>
      <c r="H846" s="51" t="s">
        <v>1113</v>
      </c>
      <c r="I846" s="55" t="s">
        <v>1623</v>
      </c>
      <c r="J846" s="56">
        <v>200</v>
      </c>
      <c r="K846" s="51" t="s">
        <v>296</v>
      </c>
      <c r="L846" s="58">
        <v>340000</v>
      </c>
      <c r="M846" s="50">
        <f>ROUND('FA Addition'!$L846*5%,0.1)</f>
        <v>17000</v>
      </c>
      <c r="N846" s="113" t="str">
        <f>_xlfn.XLOOKUP(_xlfn.CONCAT(E846,B846),'Year Wise Master Dep Approach'!F:F,'Year Wise Master Dep Approach'!D:D)</f>
        <v>SLM</v>
      </c>
      <c r="O846" s="113">
        <f>_xlfn.XLOOKUP(_xlfn.CONCAT(E846,B846),'Year Wise Master Dep Approach'!F:F,'Year Wise Master Dep Approach'!E:E)</f>
        <v>3</v>
      </c>
      <c r="P846" s="114">
        <f>IFERROR(IF('FA Addition'!$N846="WDV",1-('FA Addition'!$M846/'FA Addition'!$L846)^(1/'FA Addition'!$O846),1/'FA Addition'!$O846),0)</f>
        <v>0.33333333333333331</v>
      </c>
      <c r="Q846" s="122">
        <f>'FA Addition'!$P846*'FA Addition'!$O846</f>
        <v>1</v>
      </c>
      <c r="R846" s="122"/>
      <c r="S846" s="116">
        <f>IF(AND(DATE(20&amp;LEFT(FAAddition[[#This Row],[FY]],2),4,1)&lt;$L$1+1,DATE(20&amp;LEFT(FAAddition[[#This Row],[FY]],2),4,1)&gt;$P$1-1),'FA Addition'!$J846,0)</f>
        <v>200</v>
      </c>
      <c r="U846" s="117">
        <f>S846*'FA Addition'!$L846/'FA Addition'!$J846</f>
        <v>340000</v>
      </c>
      <c r="W846" s="116">
        <f>SUMIFS('FA Write off'!D:D,'FA Write off'!A:A,'FA Addition'!$A846,'FA Write off'!C:C,"&lt;"&amp;'FA Addition'!$P$1)</f>
        <v>0</v>
      </c>
      <c r="Y846" s="191">
        <f>IFERROR(W846/'FA Addition'!$J846*'FA Addition'!$L846,0)</f>
        <v>0</v>
      </c>
      <c r="AA846" s="116">
        <f>SUMIFS('FA Write off'!D:D,'FA Write off'!A:A,'FA Addition'!$A846,'FA Write off'!C:C,"&lt;"&amp;'FA Addition'!$L$1+1,'FA Write off'!C:C,"&gt;"&amp;'FA Addition'!$L$1-365)</f>
        <v>0</v>
      </c>
      <c r="AC846" s="118">
        <f>IFERROR(AA846/'FA Addition'!$J846*'FA Addition'!$L846,0)</f>
        <v>0</v>
      </c>
      <c r="AE846" s="117">
        <f>IF(AND('FA Addition'!$D846&lt;$P$1+1,U846=0),'FA Addition'!$L846,0)-Y846</f>
        <v>0</v>
      </c>
      <c r="AF846" s="117">
        <f t="shared" si="65"/>
        <v>340000</v>
      </c>
      <c r="AG846" s="117">
        <f>MIN(MAX(+$P$1-'FA Addition'!$D846,0),365*'FA Addition'!$O846)</f>
        <v>0</v>
      </c>
      <c r="AH846" s="117">
        <f>MIN(MAX($L$1-'FA Addition'!$D846+1,0),365*'FA Addition'!$O846)</f>
        <v>143</v>
      </c>
      <c r="AI846" s="117" cm="1">
        <f t="array" ref="AI846">_xlfn.XLOOKUP(1,('FA Write off'!A:A='FA Addition'!$A846)*('FA Write off'!D:D=AA846),'FA Write off'!H:H,0,0)</f>
        <v>0</v>
      </c>
      <c r="AJ846" s="117">
        <f>IF(AC846&gt;0,MAX(IF('FA Addition'!$N846="SLM",($AC846-'FA Addition'!$M846)*'FA Addition'!$P846*AI846/365,(AC846-'FA Addition'!$M846)*(1-(1-'FA Addition'!$P846)^(AI846/365))),0),0)</f>
        <v>0</v>
      </c>
      <c r="AL846" s="117">
        <f>MAX(IF(AG846&gt;0,IF('FA Addition'!$N846="SLM",($AE846-'FA Addition'!$M846)*'FA Addition'!$P846*AG846/365,IFERROR(VDB(AE846,AE846*0.05,'FA Addition'!$O846,0,YEARFRAC('FA Addition'!$C846,$P$1-1,3),'FA Addition'!$Q846),FAAddition[[#This Row],[Original Cost (Rs)]]-FAAddition[[#This Row],[Salvage Value]])),0),0)</f>
        <v>0</v>
      </c>
      <c r="AM846" s="119"/>
      <c r="AN846" s="117">
        <f>MAX(IF(AH846&gt;0,IF('FA Addition'!$N846="SLM",($AF846-'FA Addition'!$M846)*'FA Addition'!$P846*AH846/365,IFERROR(VDB(AF846,AF846*0.05,'FA Addition'!$O846,0,YEARFRAC('FA Addition'!$C846,$L$1,3),'FA Addition'!$Q846),FAAddition[[#This Row],[Original Cost (Rs)]]-FAAddition[[#This Row],[Salvage Value]])),0),0)</f>
        <v>42181.735159817348</v>
      </c>
      <c r="AO846" s="117">
        <f t="shared" si="68"/>
        <v>42181.735159817348</v>
      </c>
      <c r="AQ846" s="117">
        <f t="shared" si="66"/>
        <v>0</v>
      </c>
      <c r="AR846" s="120">
        <f t="shared" si="67"/>
        <v>297818.26484018267</v>
      </c>
      <c r="AS846" s="121"/>
    </row>
    <row r="847" spans="1:45" ht="13.5" x14ac:dyDescent="0.4">
      <c r="A847" s="12">
        <f t="shared" si="69"/>
        <v>844</v>
      </c>
      <c r="B847" s="64" t="s">
        <v>1308</v>
      </c>
      <c r="C847" s="54">
        <v>45244</v>
      </c>
      <c r="D847" s="54">
        <v>45244</v>
      </c>
      <c r="E847" s="46" t="s">
        <v>451</v>
      </c>
      <c r="F847" s="51" t="s">
        <v>19</v>
      </c>
      <c r="G847" s="51" t="s">
        <v>1134</v>
      </c>
      <c r="H847" s="51" t="s">
        <v>21</v>
      </c>
      <c r="I847" s="55" t="s">
        <v>1624</v>
      </c>
      <c r="J847" s="56">
        <v>1</v>
      </c>
      <c r="K847" s="51" t="s">
        <v>1625</v>
      </c>
      <c r="L847" s="58">
        <v>58466.1</v>
      </c>
      <c r="M847" s="50">
        <f>ROUND('FA Addition'!$L847*5%,0.1)</f>
        <v>2923</v>
      </c>
      <c r="N847" s="113" t="str">
        <f>_xlfn.XLOOKUP(_xlfn.CONCAT(E847,B847),'Year Wise Master Dep Approach'!F:F,'Year Wise Master Dep Approach'!D:D)</f>
        <v>WDV</v>
      </c>
      <c r="O847" s="113">
        <f>_xlfn.XLOOKUP(_xlfn.CONCAT(E847,B847),'Year Wise Master Dep Approach'!F:F,'Year Wise Master Dep Approach'!E:E)</f>
        <v>3</v>
      </c>
      <c r="P847" s="114">
        <f>IFERROR(IF('FA Addition'!$N847="WDV",1-('FA Addition'!$M847/'FA Addition'!$L847)^(1/'FA Addition'!$O847),1/'FA Addition'!$O847),0)</f>
        <v>0.63160966290195653</v>
      </c>
      <c r="Q847" s="122">
        <f>'FA Addition'!$P847*'FA Addition'!$O847</f>
        <v>1.8948289887058696</v>
      </c>
      <c r="R847" s="122"/>
      <c r="S847" s="116">
        <f>IF(AND(DATE(20&amp;LEFT(FAAddition[[#This Row],[FY]],2),4,1)&lt;$L$1+1,DATE(20&amp;LEFT(FAAddition[[#This Row],[FY]],2),4,1)&gt;$P$1-1),'FA Addition'!$J847,0)</f>
        <v>1</v>
      </c>
      <c r="U847" s="117">
        <f>S847*'FA Addition'!$L847/'FA Addition'!$J847</f>
        <v>58466.1</v>
      </c>
      <c r="W847" s="116">
        <f>SUMIFS('FA Write off'!D:D,'FA Write off'!A:A,'FA Addition'!$A847,'FA Write off'!C:C,"&lt;"&amp;'FA Addition'!$P$1)</f>
        <v>0</v>
      </c>
      <c r="Y847" s="191">
        <f>IFERROR(W847/'FA Addition'!$J847*'FA Addition'!$L847,0)</f>
        <v>0</v>
      </c>
      <c r="AA847" s="116">
        <f>SUMIFS('FA Write off'!D:D,'FA Write off'!A:A,'FA Addition'!$A847,'FA Write off'!C:C,"&lt;"&amp;'FA Addition'!$L$1+1,'FA Write off'!C:C,"&gt;"&amp;'FA Addition'!$L$1-365)</f>
        <v>0</v>
      </c>
      <c r="AC847" s="118">
        <f>IFERROR(AA847/'FA Addition'!$J847*'FA Addition'!$L847,0)</f>
        <v>0</v>
      </c>
      <c r="AE847" s="117">
        <f>IF(AND('FA Addition'!$D847&lt;$P$1+1,U847=0),'FA Addition'!$L847,0)-Y847</f>
        <v>0</v>
      </c>
      <c r="AF847" s="117">
        <f t="shared" si="65"/>
        <v>58466.1</v>
      </c>
      <c r="AG847" s="117">
        <f>MIN(MAX(+$P$1-'FA Addition'!$D847,0),365*'FA Addition'!$O847)</f>
        <v>0</v>
      </c>
      <c r="AH847" s="117">
        <f>MIN(MAX($L$1-'FA Addition'!$D847+1,0),365*'FA Addition'!$O847)</f>
        <v>139</v>
      </c>
      <c r="AI847" s="117" cm="1">
        <f t="array" ref="AI847">_xlfn.XLOOKUP(1,('FA Write off'!A:A='FA Addition'!$A847)*('FA Write off'!D:D=AA847),'FA Write off'!H:H,0,0)</f>
        <v>0</v>
      </c>
      <c r="AJ847" s="117">
        <f>IF(AC847&gt;0,MAX(IF('FA Addition'!$N847="SLM",($AC847-'FA Addition'!$M847)*'FA Addition'!$P847*AI847/365,(AC847-'FA Addition'!$M847)*(1-(1-'FA Addition'!$P847)^(AI847/365))),0),0)</f>
        <v>0</v>
      </c>
      <c r="AL847" s="117">
        <f>MAX(IF(AG847&gt;0,IF('FA Addition'!$N847="SLM",($AE847-'FA Addition'!$M847)*'FA Addition'!$P847*AG847/365,IFERROR(VDB(AE847,AE847*0.05,'FA Addition'!$O847,0,YEARFRAC('FA Addition'!$C847,$P$1-1,3),'FA Addition'!$Q847),FAAddition[[#This Row],[Original Cost (Rs)]]-FAAddition[[#This Row],[Salvage Value]])),0),0)</f>
        <v>0</v>
      </c>
      <c r="AM847" s="119"/>
      <c r="AN847" s="117">
        <f>MAX(IF(AH847&gt;0,IF('FA Addition'!$N847="SLM",($AF847-'FA Addition'!$M847)*'FA Addition'!$P847*AH847/365,IFERROR(VDB(AF847,AF847*0.05,'FA Addition'!$O847,0,YEARFRAC('FA Addition'!$C847,$L$1,3),'FA Addition'!$Q847),FAAddition[[#This Row],[Original Cost (Rs)]]-FAAddition[[#This Row],[Salvage Value]])),0),0)</f>
        <v>13961.726061047963</v>
      </c>
      <c r="AO847" s="117">
        <f t="shared" si="68"/>
        <v>13961.726061047963</v>
      </c>
      <c r="AQ847" s="117">
        <f t="shared" si="66"/>
        <v>0</v>
      </c>
      <c r="AR847" s="120">
        <f t="shared" si="67"/>
        <v>44504.373938952034</v>
      </c>
      <c r="AS847" s="121"/>
    </row>
    <row r="848" spans="1:45" ht="13.5" x14ac:dyDescent="0.4">
      <c r="A848" s="12">
        <f t="shared" si="69"/>
        <v>845</v>
      </c>
      <c r="B848" s="64" t="s">
        <v>1308</v>
      </c>
      <c r="C848" s="54">
        <v>45244</v>
      </c>
      <c r="D848" s="54">
        <v>45244</v>
      </c>
      <c r="E848" s="46" t="s">
        <v>451</v>
      </c>
      <c r="F848" s="51" t="s">
        <v>19</v>
      </c>
      <c r="G848" s="51" t="s">
        <v>1134</v>
      </c>
      <c r="H848" s="51" t="s">
        <v>21</v>
      </c>
      <c r="I848" s="55" t="s">
        <v>1626</v>
      </c>
      <c r="J848" s="56">
        <v>1</v>
      </c>
      <c r="K848" s="51" t="s">
        <v>1552</v>
      </c>
      <c r="L848" s="58">
        <v>31855.08</v>
      </c>
      <c r="M848" s="50">
        <f>ROUND('FA Addition'!$L848*5%,0.1)</f>
        <v>1593</v>
      </c>
      <c r="N848" s="113" t="str">
        <f>_xlfn.XLOOKUP(_xlfn.CONCAT(E848,B848),'Year Wise Master Dep Approach'!F:F,'Year Wise Master Dep Approach'!D:D)</f>
        <v>WDV</v>
      </c>
      <c r="O848" s="113">
        <f>_xlfn.XLOOKUP(_xlfn.CONCAT(E848,B848),'Year Wise Master Dep Approach'!F:F,'Year Wise Master Dep Approach'!E:E)</f>
        <v>3</v>
      </c>
      <c r="P848" s="114">
        <f>IFERROR(IF('FA Addition'!$N848="WDV",1-('FA Addition'!$M848/'FA Addition'!$L848)^(1/'FA Addition'!$O848),1/'FA Addition'!$O848),0)</f>
        <v>0.63157788455611374</v>
      </c>
      <c r="Q848" s="122">
        <f>'FA Addition'!$P848*'FA Addition'!$O848</f>
        <v>1.8947336536683412</v>
      </c>
      <c r="R848" s="122"/>
      <c r="S848" s="116">
        <f>IF(AND(DATE(20&amp;LEFT(FAAddition[[#This Row],[FY]],2),4,1)&lt;$L$1+1,DATE(20&amp;LEFT(FAAddition[[#This Row],[FY]],2),4,1)&gt;$P$1-1),'FA Addition'!$J848,0)</f>
        <v>1</v>
      </c>
      <c r="U848" s="117">
        <f>S848*'FA Addition'!$L848/'FA Addition'!$J848</f>
        <v>31855.08</v>
      </c>
      <c r="W848" s="116">
        <f>SUMIFS('FA Write off'!D:D,'FA Write off'!A:A,'FA Addition'!$A848,'FA Write off'!C:C,"&lt;"&amp;'FA Addition'!$P$1)</f>
        <v>0</v>
      </c>
      <c r="Y848" s="191">
        <f>IFERROR(W848/'FA Addition'!$J848*'FA Addition'!$L848,0)</f>
        <v>0</v>
      </c>
      <c r="AA848" s="116">
        <f>SUMIFS('FA Write off'!D:D,'FA Write off'!A:A,'FA Addition'!$A848,'FA Write off'!C:C,"&lt;"&amp;'FA Addition'!$L$1+1,'FA Write off'!C:C,"&gt;"&amp;'FA Addition'!$L$1-365)</f>
        <v>0</v>
      </c>
      <c r="AC848" s="118">
        <f>IFERROR(AA848/'FA Addition'!$J848*'FA Addition'!$L848,0)</f>
        <v>0</v>
      </c>
      <c r="AE848" s="117">
        <f>IF(AND('FA Addition'!$D848&lt;$P$1+1,U848=0),'FA Addition'!$L848,0)-Y848</f>
        <v>0</v>
      </c>
      <c r="AF848" s="117">
        <f t="shared" si="65"/>
        <v>31855.08</v>
      </c>
      <c r="AG848" s="117">
        <f>MIN(MAX(+$P$1-'FA Addition'!$D848,0),365*'FA Addition'!$O848)</f>
        <v>0</v>
      </c>
      <c r="AH848" s="117">
        <f>MIN(MAX($L$1-'FA Addition'!$D848+1,0),365*'FA Addition'!$O848)</f>
        <v>139</v>
      </c>
      <c r="AI848" s="117" cm="1">
        <f t="array" ref="AI848">_xlfn.XLOOKUP(1,('FA Write off'!A:A='FA Addition'!$A848)*('FA Write off'!D:D=AA848),'FA Write off'!H:H,0,0)</f>
        <v>0</v>
      </c>
      <c r="AJ848" s="117">
        <f>IF(AC848&gt;0,MAX(IF('FA Addition'!$N848="SLM",($AC848-'FA Addition'!$M848)*'FA Addition'!$P848*AI848/365,(AC848-'FA Addition'!$M848)*(1-(1-'FA Addition'!$P848)^(AI848/365))),0),0)</f>
        <v>0</v>
      </c>
      <c r="AL848" s="117">
        <f>MAX(IF(AG848&gt;0,IF('FA Addition'!$N848="SLM",($AE848-'FA Addition'!$M848)*'FA Addition'!$P848*AG848/365,IFERROR(VDB(AE848,AE848*0.05,'FA Addition'!$O848,0,YEARFRAC('FA Addition'!$C848,$P$1-1,3),'FA Addition'!$Q848),FAAddition[[#This Row],[Original Cost (Rs)]]-FAAddition[[#This Row],[Salvage Value]])),0),0)</f>
        <v>0</v>
      </c>
      <c r="AM848" s="119"/>
      <c r="AN848" s="117">
        <f>MAX(IF(AH848&gt;0,IF('FA Addition'!$N848="SLM",($AF848-'FA Addition'!$M848)*'FA Addition'!$P848*AH848/365,IFERROR(VDB(AF848,AF848*0.05,'FA Addition'!$O848,0,YEARFRAC('FA Addition'!$C848,$L$1,3),'FA Addition'!$Q848),FAAddition[[#This Row],[Original Cost (Rs)]]-FAAddition[[#This Row],[Salvage Value]])),0),0)</f>
        <v>7606.6220201360984</v>
      </c>
      <c r="AO848" s="117">
        <f t="shared" si="68"/>
        <v>7606.6220201360984</v>
      </c>
      <c r="AQ848" s="117">
        <f t="shared" si="66"/>
        <v>0</v>
      </c>
      <c r="AR848" s="120">
        <f t="shared" si="67"/>
        <v>24248.457979863902</v>
      </c>
      <c r="AS848" s="121"/>
    </row>
    <row r="849" spans="1:45" ht="13.5" x14ac:dyDescent="0.4">
      <c r="A849" s="12">
        <f t="shared" si="69"/>
        <v>846</v>
      </c>
      <c r="B849" s="64" t="s">
        <v>1308</v>
      </c>
      <c r="C849" s="54">
        <v>45244</v>
      </c>
      <c r="D849" s="54">
        <v>45244</v>
      </c>
      <c r="E849" s="46" t="s">
        <v>451</v>
      </c>
      <c r="F849" s="51" t="s">
        <v>19</v>
      </c>
      <c r="G849" s="51" t="s">
        <v>1134</v>
      </c>
      <c r="H849" s="51" t="s">
        <v>21</v>
      </c>
      <c r="I849" s="55" t="s">
        <v>1626</v>
      </c>
      <c r="J849" s="56">
        <v>1</v>
      </c>
      <c r="K849" s="51" t="s">
        <v>1552</v>
      </c>
      <c r="L849" s="58">
        <v>31855.08</v>
      </c>
      <c r="M849" s="50">
        <f>ROUND('FA Addition'!$L849*5%,0.1)</f>
        <v>1593</v>
      </c>
      <c r="N849" s="113" t="str">
        <f>_xlfn.XLOOKUP(_xlfn.CONCAT(E849,B849),'Year Wise Master Dep Approach'!F:F,'Year Wise Master Dep Approach'!D:D)</f>
        <v>WDV</v>
      </c>
      <c r="O849" s="113">
        <f>_xlfn.XLOOKUP(_xlfn.CONCAT(E849,B849),'Year Wise Master Dep Approach'!F:F,'Year Wise Master Dep Approach'!E:E)</f>
        <v>3</v>
      </c>
      <c r="P849" s="114">
        <f>IFERROR(IF('FA Addition'!$N849="WDV",1-('FA Addition'!$M849/'FA Addition'!$L849)^(1/'FA Addition'!$O849),1/'FA Addition'!$O849),0)</f>
        <v>0.63157788455611374</v>
      </c>
      <c r="Q849" s="122">
        <f>'FA Addition'!$P849*'FA Addition'!$O849</f>
        <v>1.8947336536683412</v>
      </c>
      <c r="R849" s="122"/>
      <c r="S849" s="116">
        <f>IF(AND(DATE(20&amp;LEFT(FAAddition[[#This Row],[FY]],2),4,1)&lt;$L$1+1,DATE(20&amp;LEFT(FAAddition[[#This Row],[FY]],2),4,1)&gt;$P$1-1),'FA Addition'!$J849,0)</f>
        <v>1</v>
      </c>
      <c r="U849" s="117">
        <f>S849*'FA Addition'!$L849/'FA Addition'!$J849</f>
        <v>31855.08</v>
      </c>
      <c r="W849" s="116">
        <f>SUMIFS('FA Write off'!D:D,'FA Write off'!A:A,'FA Addition'!$A849,'FA Write off'!C:C,"&lt;"&amp;'FA Addition'!$P$1)</f>
        <v>0</v>
      </c>
      <c r="Y849" s="191">
        <f>IFERROR(W849/'FA Addition'!$J849*'FA Addition'!$L849,0)</f>
        <v>0</v>
      </c>
      <c r="AA849" s="116">
        <f>SUMIFS('FA Write off'!D:D,'FA Write off'!A:A,'FA Addition'!$A849,'FA Write off'!C:C,"&lt;"&amp;'FA Addition'!$L$1+1,'FA Write off'!C:C,"&gt;"&amp;'FA Addition'!$L$1-365)</f>
        <v>0</v>
      </c>
      <c r="AC849" s="118">
        <f>IFERROR(AA849/'FA Addition'!$J849*'FA Addition'!$L849,0)</f>
        <v>0</v>
      </c>
      <c r="AE849" s="117">
        <f>IF(AND('FA Addition'!$D849&lt;$P$1+1,U849=0),'FA Addition'!$L849,0)-Y849</f>
        <v>0</v>
      </c>
      <c r="AF849" s="117">
        <f t="shared" si="65"/>
        <v>31855.08</v>
      </c>
      <c r="AG849" s="117">
        <f>MIN(MAX(+$P$1-'FA Addition'!$D849,0),365*'FA Addition'!$O849)</f>
        <v>0</v>
      </c>
      <c r="AH849" s="117">
        <f>MIN(MAX($L$1-'FA Addition'!$D849+1,0),365*'FA Addition'!$O849)</f>
        <v>139</v>
      </c>
      <c r="AI849" s="117" cm="1">
        <f t="array" ref="AI849">_xlfn.XLOOKUP(1,('FA Write off'!A:A='FA Addition'!$A849)*('FA Write off'!D:D=AA849),'FA Write off'!H:H,0,0)</f>
        <v>0</v>
      </c>
      <c r="AJ849" s="117">
        <f>IF(AC849&gt;0,MAX(IF('FA Addition'!$N849="SLM",($AC849-'FA Addition'!$M849)*'FA Addition'!$P849*AI849/365,(AC849-'FA Addition'!$M849)*(1-(1-'FA Addition'!$P849)^(AI849/365))),0),0)</f>
        <v>0</v>
      </c>
      <c r="AL849" s="117">
        <f>MAX(IF(AG849&gt;0,IF('FA Addition'!$N849="SLM",($AE849-'FA Addition'!$M849)*'FA Addition'!$P849*AG849/365,IFERROR(VDB(AE849,AE849*0.05,'FA Addition'!$O849,0,YEARFRAC('FA Addition'!$C849,$P$1-1,3),'FA Addition'!$Q849),FAAddition[[#This Row],[Original Cost (Rs)]]-FAAddition[[#This Row],[Salvage Value]])),0),0)</f>
        <v>0</v>
      </c>
      <c r="AM849" s="119"/>
      <c r="AN849" s="117">
        <f>MAX(IF(AH849&gt;0,IF('FA Addition'!$N849="SLM",($AF849-'FA Addition'!$M849)*'FA Addition'!$P849*AH849/365,IFERROR(VDB(AF849,AF849*0.05,'FA Addition'!$O849,0,YEARFRAC('FA Addition'!$C849,$L$1,3),'FA Addition'!$Q849),FAAddition[[#This Row],[Original Cost (Rs)]]-FAAddition[[#This Row],[Salvage Value]])),0),0)</f>
        <v>7606.6220201360984</v>
      </c>
      <c r="AO849" s="117">
        <f t="shared" si="68"/>
        <v>7606.6220201360984</v>
      </c>
      <c r="AQ849" s="117">
        <f t="shared" si="66"/>
        <v>0</v>
      </c>
      <c r="AR849" s="120">
        <f t="shared" si="67"/>
        <v>24248.457979863902</v>
      </c>
      <c r="AS849" s="121"/>
    </row>
    <row r="850" spans="1:45" ht="13.5" x14ac:dyDescent="0.4">
      <c r="A850" s="12">
        <f t="shared" si="69"/>
        <v>847</v>
      </c>
      <c r="B850" s="64" t="s">
        <v>1308</v>
      </c>
      <c r="C850" s="54">
        <v>45244</v>
      </c>
      <c r="D850" s="54">
        <v>45244</v>
      </c>
      <c r="E850" s="46" t="s">
        <v>451</v>
      </c>
      <c r="F850" s="51" t="s">
        <v>19</v>
      </c>
      <c r="G850" s="51" t="s">
        <v>1134</v>
      </c>
      <c r="H850" s="51" t="s">
        <v>21</v>
      </c>
      <c r="I850" s="55" t="s">
        <v>1626</v>
      </c>
      <c r="J850" s="56">
        <v>1</v>
      </c>
      <c r="K850" s="51" t="s">
        <v>1552</v>
      </c>
      <c r="L850" s="58">
        <v>31855.08</v>
      </c>
      <c r="M850" s="50">
        <f>ROUND('FA Addition'!$L850*5%,0.1)</f>
        <v>1593</v>
      </c>
      <c r="N850" s="113" t="str">
        <f>_xlfn.XLOOKUP(_xlfn.CONCAT(E850,B850),'Year Wise Master Dep Approach'!F:F,'Year Wise Master Dep Approach'!D:D)</f>
        <v>WDV</v>
      </c>
      <c r="O850" s="113">
        <f>_xlfn.XLOOKUP(_xlfn.CONCAT(E850,B850),'Year Wise Master Dep Approach'!F:F,'Year Wise Master Dep Approach'!E:E)</f>
        <v>3</v>
      </c>
      <c r="P850" s="114">
        <f>IFERROR(IF('FA Addition'!$N850="WDV",1-('FA Addition'!$M850/'FA Addition'!$L850)^(1/'FA Addition'!$O850),1/'FA Addition'!$O850),0)</f>
        <v>0.63157788455611374</v>
      </c>
      <c r="Q850" s="122">
        <f>'FA Addition'!$P850*'FA Addition'!$O850</f>
        <v>1.8947336536683412</v>
      </c>
      <c r="R850" s="122"/>
      <c r="S850" s="116">
        <f>IF(AND(DATE(20&amp;LEFT(FAAddition[[#This Row],[FY]],2),4,1)&lt;$L$1+1,DATE(20&amp;LEFT(FAAddition[[#This Row],[FY]],2),4,1)&gt;$P$1-1),'FA Addition'!$J850,0)</f>
        <v>1</v>
      </c>
      <c r="U850" s="117">
        <f>S850*'FA Addition'!$L850/'FA Addition'!$J850</f>
        <v>31855.08</v>
      </c>
      <c r="W850" s="116">
        <f>SUMIFS('FA Write off'!D:D,'FA Write off'!A:A,'FA Addition'!$A850,'FA Write off'!C:C,"&lt;"&amp;'FA Addition'!$P$1)</f>
        <v>0</v>
      </c>
      <c r="Y850" s="191">
        <f>IFERROR(W850/'FA Addition'!$J850*'FA Addition'!$L850,0)</f>
        <v>0</v>
      </c>
      <c r="AA850" s="116">
        <f>SUMIFS('FA Write off'!D:D,'FA Write off'!A:A,'FA Addition'!$A850,'FA Write off'!C:C,"&lt;"&amp;'FA Addition'!$L$1+1,'FA Write off'!C:C,"&gt;"&amp;'FA Addition'!$L$1-365)</f>
        <v>0</v>
      </c>
      <c r="AC850" s="118">
        <f>IFERROR(AA850/'FA Addition'!$J850*'FA Addition'!$L850,0)</f>
        <v>0</v>
      </c>
      <c r="AE850" s="117">
        <f>IF(AND('FA Addition'!$D850&lt;$P$1+1,U850=0),'FA Addition'!$L850,0)-Y850</f>
        <v>0</v>
      </c>
      <c r="AF850" s="117">
        <f t="shared" si="65"/>
        <v>31855.08</v>
      </c>
      <c r="AG850" s="117">
        <f>MIN(MAX(+$P$1-'FA Addition'!$D850,0),365*'FA Addition'!$O850)</f>
        <v>0</v>
      </c>
      <c r="AH850" s="117">
        <f>MIN(MAX($L$1-'FA Addition'!$D850+1,0),365*'FA Addition'!$O850)</f>
        <v>139</v>
      </c>
      <c r="AI850" s="117" cm="1">
        <f t="array" ref="AI850">_xlfn.XLOOKUP(1,('FA Write off'!A:A='FA Addition'!$A850)*('FA Write off'!D:D=AA850),'FA Write off'!H:H,0,0)</f>
        <v>0</v>
      </c>
      <c r="AJ850" s="117">
        <f>IF(AC850&gt;0,MAX(IF('FA Addition'!$N850="SLM",($AC850-'FA Addition'!$M850)*'FA Addition'!$P850*AI850/365,(AC850-'FA Addition'!$M850)*(1-(1-'FA Addition'!$P850)^(AI850/365))),0),0)</f>
        <v>0</v>
      </c>
      <c r="AL850" s="117">
        <f>MAX(IF(AG850&gt;0,IF('FA Addition'!$N850="SLM",($AE850-'FA Addition'!$M850)*'FA Addition'!$P850*AG850/365,IFERROR(VDB(AE850,AE850*0.05,'FA Addition'!$O850,0,YEARFRAC('FA Addition'!$C850,$P$1-1,3),'FA Addition'!$Q850),FAAddition[[#This Row],[Original Cost (Rs)]]-FAAddition[[#This Row],[Salvage Value]])),0),0)</f>
        <v>0</v>
      </c>
      <c r="AM850" s="119"/>
      <c r="AN850" s="117">
        <f>MAX(IF(AH850&gt;0,IF('FA Addition'!$N850="SLM",($AF850-'FA Addition'!$M850)*'FA Addition'!$P850*AH850/365,IFERROR(VDB(AF850,AF850*0.05,'FA Addition'!$O850,0,YEARFRAC('FA Addition'!$C850,$L$1,3),'FA Addition'!$Q850),FAAddition[[#This Row],[Original Cost (Rs)]]-FAAddition[[#This Row],[Salvage Value]])),0),0)</f>
        <v>7606.6220201360984</v>
      </c>
      <c r="AO850" s="117">
        <f t="shared" si="68"/>
        <v>7606.6220201360984</v>
      </c>
      <c r="AQ850" s="117">
        <f t="shared" si="66"/>
        <v>0</v>
      </c>
      <c r="AR850" s="120">
        <f t="shared" si="67"/>
        <v>24248.457979863902</v>
      </c>
      <c r="AS850" s="121"/>
    </row>
    <row r="851" spans="1:45" ht="13.5" x14ac:dyDescent="0.4">
      <c r="A851" s="12">
        <f t="shared" si="69"/>
        <v>848</v>
      </c>
      <c r="B851" s="64" t="s">
        <v>1308</v>
      </c>
      <c r="C851" s="54">
        <v>45246</v>
      </c>
      <c r="D851" s="54">
        <v>45246</v>
      </c>
      <c r="E851" s="46" t="s">
        <v>451</v>
      </c>
      <c r="F851" s="51" t="s">
        <v>19</v>
      </c>
      <c r="G851" s="51" t="s">
        <v>1582</v>
      </c>
      <c r="H851" s="51" t="s">
        <v>21</v>
      </c>
      <c r="I851" s="55" t="s">
        <v>1627</v>
      </c>
      <c r="J851" s="56">
        <v>1</v>
      </c>
      <c r="K851" s="51" t="s">
        <v>1628</v>
      </c>
      <c r="L851" s="58">
        <v>60076.27</v>
      </c>
      <c r="M851" s="50">
        <f>ROUND('FA Addition'!$L851*5%,0.1)</f>
        <v>3004</v>
      </c>
      <c r="N851" s="113" t="str">
        <f>_xlfn.XLOOKUP(_xlfn.CONCAT(E851,B851),'Year Wise Master Dep Approach'!F:F,'Year Wise Master Dep Approach'!D:D)</f>
        <v>WDV</v>
      </c>
      <c r="O851" s="113">
        <f>_xlfn.XLOOKUP(_xlfn.CONCAT(E851,B851),'Year Wise Master Dep Approach'!F:F,'Year Wise Master Dep Approach'!E:E)</f>
        <v>3</v>
      </c>
      <c r="P851" s="114">
        <f>IFERROR(IF('FA Addition'!$N851="WDV",1-('FA Addition'!$M851/'FA Addition'!$L851)^(1/'FA Addition'!$O851),1/'FA Addition'!$O851),0)</f>
        <v>0.63158922585374588</v>
      </c>
      <c r="Q851" s="122">
        <f>'FA Addition'!$P851*'FA Addition'!$O851</f>
        <v>1.8947676775612377</v>
      </c>
      <c r="R851" s="122"/>
      <c r="S851" s="116">
        <f>IF(AND(DATE(20&amp;LEFT(FAAddition[[#This Row],[FY]],2),4,1)&lt;$L$1+1,DATE(20&amp;LEFT(FAAddition[[#This Row],[FY]],2),4,1)&gt;$P$1-1),'FA Addition'!$J851,0)</f>
        <v>1</v>
      </c>
      <c r="U851" s="117">
        <f>S851*'FA Addition'!$L851/'FA Addition'!$J851</f>
        <v>60076.27</v>
      </c>
      <c r="W851" s="116">
        <f>SUMIFS('FA Write off'!D:D,'FA Write off'!A:A,'FA Addition'!$A851,'FA Write off'!C:C,"&lt;"&amp;'FA Addition'!$P$1)</f>
        <v>0</v>
      </c>
      <c r="Y851" s="191">
        <f>IFERROR(W851/'FA Addition'!$J851*'FA Addition'!$L851,0)</f>
        <v>0</v>
      </c>
      <c r="AA851" s="116">
        <f>SUMIFS('FA Write off'!D:D,'FA Write off'!A:A,'FA Addition'!$A851,'FA Write off'!C:C,"&lt;"&amp;'FA Addition'!$L$1+1,'FA Write off'!C:C,"&gt;"&amp;'FA Addition'!$L$1-365)</f>
        <v>0</v>
      </c>
      <c r="AC851" s="118">
        <f>IFERROR(AA851/'FA Addition'!$J851*'FA Addition'!$L851,0)</f>
        <v>0</v>
      </c>
      <c r="AE851" s="117">
        <f>IF(AND('FA Addition'!$D851&lt;$P$1+1,U851=0),'FA Addition'!$L851,0)-Y851</f>
        <v>0</v>
      </c>
      <c r="AF851" s="117">
        <f t="shared" si="65"/>
        <v>60076.27</v>
      </c>
      <c r="AG851" s="117">
        <f>MIN(MAX(+$P$1-'FA Addition'!$D851,0),365*'FA Addition'!$O851)</f>
        <v>0</v>
      </c>
      <c r="AH851" s="117">
        <f>MIN(MAX($L$1-'FA Addition'!$D851+1,0),365*'FA Addition'!$O851)</f>
        <v>137</v>
      </c>
      <c r="AI851" s="117" cm="1">
        <f t="array" ref="AI851">_xlfn.XLOOKUP(1,('FA Write off'!A:A='FA Addition'!$A851)*('FA Write off'!D:D=AA851),'FA Write off'!H:H,0,0)</f>
        <v>0</v>
      </c>
      <c r="AJ851" s="117">
        <f>IF(AC851&gt;0,MAX(IF('FA Addition'!$N851="SLM",($AC851-'FA Addition'!$M851)*'FA Addition'!$P851*AI851/365,(AC851-'FA Addition'!$M851)*(1-(1-'FA Addition'!$P851)^(AI851/365))),0),0)</f>
        <v>0</v>
      </c>
      <c r="AL851" s="117">
        <f>MAX(IF(AG851&gt;0,IF('FA Addition'!$N851="SLM",($AE851-'FA Addition'!$M851)*'FA Addition'!$P851*AG851/365,IFERROR(VDB(AE851,AE851*0.05,'FA Addition'!$O851,0,YEARFRAC('FA Addition'!$C851,$P$1-1,3),'FA Addition'!$Q851),FAAddition[[#This Row],[Original Cost (Rs)]]-FAAddition[[#This Row],[Salvage Value]])),0),0)</f>
        <v>0</v>
      </c>
      <c r="AM851" s="119"/>
      <c r="AN851" s="117">
        <f>MAX(IF(AH851&gt;0,IF('FA Addition'!$N851="SLM",($AF851-'FA Addition'!$M851)*'FA Addition'!$P851*AH851/365,IFERROR(VDB(AF851,AF851*0.05,'FA Addition'!$O851,0,YEARFRAC('FA Addition'!$C851,$L$1,3),'FA Addition'!$Q851),FAAddition[[#This Row],[Original Cost (Rs)]]-FAAddition[[#This Row],[Salvage Value]])),0),0)</f>
        <v>14137.861318250314</v>
      </c>
      <c r="AO851" s="117">
        <f t="shared" si="68"/>
        <v>14137.861318250314</v>
      </c>
      <c r="AQ851" s="117">
        <f t="shared" si="66"/>
        <v>0</v>
      </c>
      <c r="AR851" s="120">
        <f t="shared" si="67"/>
        <v>45938.408681749686</v>
      </c>
      <c r="AS851" s="121"/>
    </row>
    <row r="852" spans="1:45" ht="13.5" x14ac:dyDescent="0.4">
      <c r="A852" s="12">
        <f t="shared" si="69"/>
        <v>849</v>
      </c>
      <c r="B852" s="64" t="s">
        <v>1308</v>
      </c>
      <c r="C852" s="54">
        <v>45246</v>
      </c>
      <c r="D852" s="54">
        <v>45246</v>
      </c>
      <c r="E852" s="46" t="s">
        <v>451</v>
      </c>
      <c r="F852" s="51" t="s">
        <v>19</v>
      </c>
      <c r="G852" s="51" t="s">
        <v>1582</v>
      </c>
      <c r="H852" s="51" t="s">
        <v>21</v>
      </c>
      <c r="I852" s="55" t="s">
        <v>1627</v>
      </c>
      <c r="J852" s="56">
        <v>1</v>
      </c>
      <c r="K852" s="51" t="s">
        <v>1628</v>
      </c>
      <c r="L852" s="58">
        <v>60076.27</v>
      </c>
      <c r="M852" s="50">
        <f>ROUND('FA Addition'!$L852*5%,0.1)</f>
        <v>3004</v>
      </c>
      <c r="N852" s="113" t="str">
        <f>_xlfn.XLOOKUP(_xlfn.CONCAT(E852,B852),'Year Wise Master Dep Approach'!F:F,'Year Wise Master Dep Approach'!D:D)</f>
        <v>WDV</v>
      </c>
      <c r="O852" s="113">
        <f>_xlfn.XLOOKUP(_xlfn.CONCAT(E852,B852),'Year Wise Master Dep Approach'!F:F,'Year Wise Master Dep Approach'!E:E)</f>
        <v>3</v>
      </c>
      <c r="P852" s="114">
        <f>IFERROR(IF('FA Addition'!$N852="WDV",1-('FA Addition'!$M852/'FA Addition'!$L852)^(1/'FA Addition'!$O852),1/'FA Addition'!$O852),0)</f>
        <v>0.63158922585374588</v>
      </c>
      <c r="Q852" s="122">
        <f>'FA Addition'!$P852*'FA Addition'!$O852</f>
        <v>1.8947676775612377</v>
      </c>
      <c r="R852" s="122"/>
      <c r="S852" s="116">
        <f>IF(AND(DATE(20&amp;LEFT(FAAddition[[#This Row],[FY]],2),4,1)&lt;$L$1+1,DATE(20&amp;LEFT(FAAddition[[#This Row],[FY]],2),4,1)&gt;$P$1-1),'FA Addition'!$J852,0)</f>
        <v>1</v>
      </c>
      <c r="U852" s="117">
        <f>S852*'FA Addition'!$L852/'FA Addition'!$J852</f>
        <v>60076.27</v>
      </c>
      <c r="W852" s="116">
        <f>SUMIFS('FA Write off'!D:D,'FA Write off'!A:A,'FA Addition'!$A852,'FA Write off'!C:C,"&lt;"&amp;'FA Addition'!$P$1)</f>
        <v>0</v>
      </c>
      <c r="Y852" s="191">
        <f>IFERROR(W852/'FA Addition'!$J852*'FA Addition'!$L852,0)</f>
        <v>0</v>
      </c>
      <c r="AA852" s="116">
        <f>SUMIFS('FA Write off'!D:D,'FA Write off'!A:A,'FA Addition'!$A852,'FA Write off'!C:C,"&lt;"&amp;'FA Addition'!$L$1+1,'FA Write off'!C:C,"&gt;"&amp;'FA Addition'!$L$1-365)</f>
        <v>0</v>
      </c>
      <c r="AC852" s="118">
        <f>IFERROR(AA852/'FA Addition'!$J852*'FA Addition'!$L852,0)</f>
        <v>0</v>
      </c>
      <c r="AE852" s="117">
        <f>IF(AND('FA Addition'!$D852&lt;$P$1+1,U852=0),'FA Addition'!$L852,0)-Y852</f>
        <v>0</v>
      </c>
      <c r="AF852" s="117">
        <f t="shared" si="65"/>
        <v>60076.27</v>
      </c>
      <c r="AG852" s="117">
        <f>MIN(MAX(+$P$1-'FA Addition'!$D852,0),365*'FA Addition'!$O852)</f>
        <v>0</v>
      </c>
      <c r="AH852" s="117">
        <f>MIN(MAX($L$1-'FA Addition'!$D852+1,0),365*'FA Addition'!$O852)</f>
        <v>137</v>
      </c>
      <c r="AI852" s="117" cm="1">
        <f t="array" ref="AI852">_xlfn.XLOOKUP(1,('FA Write off'!A:A='FA Addition'!$A852)*('FA Write off'!D:D=AA852),'FA Write off'!H:H,0,0)</f>
        <v>0</v>
      </c>
      <c r="AJ852" s="117">
        <f>IF(AC852&gt;0,MAX(IF('FA Addition'!$N852="SLM",($AC852-'FA Addition'!$M852)*'FA Addition'!$P852*AI852/365,(AC852-'FA Addition'!$M852)*(1-(1-'FA Addition'!$P852)^(AI852/365))),0),0)</f>
        <v>0</v>
      </c>
      <c r="AL852" s="117">
        <f>MAX(IF(AG852&gt;0,IF('FA Addition'!$N852="SLM",($AE852-'FA Addition'!$M852)*'FA Addition'!$P852*AG852/365,IFERROR(VDB(AE852,AE852*0.05,'FA Addition'!$O852,0,YEARFRAC('FA Addition'!$C852,$P$1-1,3),'FA Addition'!$Q852),FAAddition[[#This Row],[Original Cost (Rs)]]-FAAddition[[#This Row],[Salvage Value]])),0),0)</f>
        <v>0</v>
      </c>
      <c r="AM852" s="119"/>
      <c r="AN852" s="117">
        <f>MAX(IF(AH852&gt;0,IF('FA Addition'!$N852="SLM",($AF852-'FA Addition'!$M852)*'FA Addition'!$P852*AH852/365,IFERROR(VDB(AF852,AF852*0.05,'FA Addition'!$O852,0,YEARFRAC('FA Addition'!$C852,$L$1,3),'FA Addition'!$Q852),FAAddition[[#This Row],[Original Cost (Rs)]]-FAAddition[[#This Row],[Salvage Value]])),0),0)</f>
        <v>14137.861318250314</v>
      </c>
      <c r="AO852" s="117">
        <f t="shared" si="68"/>
        <v>14137.861318250314</v>
      </c>
      <c r="AQ852" s="117">
        <f t="shared" si="66"/>
        <v>0</v>
      </c>
      <c r="AR852" s="120">
        <f t="shared" si="67"/>
        <v>45938.408681749686</v>
      </c>
      <c r="AS852" s="121"/>
    </row>
    <row r="853" spans="1:45" ht="13.5" x14ac:dyDescent="0.4">
      <c r="A853" s="12">
        <f t="shared" si="69"/>
        <v>850</v>
      </c>
      <c r="B853" s="64" t="s">
        <v>1308</v>
      </c>
      <c r="C853" s="54">
        <v>45246</v>
      </c>
      <c r="D853" s="54">
        <v>45246</v>
      </c>
      <c r="E853" s="46" t="s">
        <v>451</v>
      </c>
      <c r="F853" s="51" t="s">
        <v>19</v>
      </c>
      <c r="G853" s="51" t="s">
        <v>1134</v>
      </c>
      <c r="H853" s="51" t="s">
        <v>21</v>
      </c>
      <c r="I853" s="55" t="s">
        <v>1629</v>
      </c>
      <c r="J853" s="56">
        <v>1</v>
      </c>
      <c r="K853" s="51" t="s">
        <v>1630</v>
      </c>
      <c r="L853" s="58">
        <v>56821.19</v>
      </c>
      <c r="M853" s="50">
        <f>ROUND('FA Addition'!$L853*5%,0.1)</f>
        <v>2841</v>
      </c>
      <c r="N853" s="113" t="str">
        <f>_xlfn.XLOOKUP(_xlfn.CONCAT(E853,B853),'Year Wise Master Dep Approach'!F:F,'Year Wise Master Dep Approach'!D:D)</f>
        <v>WDV</v>
      </c>
      <c r="O853" s="113">
        <f>_xlfn.XLOOKUP(_xlfn.CONCAT(E853,B853),'Year Wise Master Dep Approach'!F:F,'Year Wise Master Dep Approach'!E:E)</f>
        <v>3</v>
      </c>
      <c r="P853" s="114">
        <f>IFERROR(IF('FA Addition'!$N853="WDV",1-('FA Addition'!$M853/'FA Addition'!$L853)^(1/'FA Addition'!$O853),1/'FA Addition'!$O853),0)</f>
        <v>0.63159942196294372</v>
      </c>
      <c r="Q853" s="122">
        <f>'FA Addition'!$P853*'FA Addition'!$O853</f>
        <v>1.8947982658888312</v>
      </c>
      <c r="R853" s="122"/>
      <c r="S853" s="116">
        <f>IF(AND(DATE(20&amp;LEFT(FAAddition[[#This Row],[FY]],2),4,1)&lt;$L$1+1,DATE(20&amp;LEFT(FAAddition[[#This Row],[FY]],2),4,1)&gt;$P$1-1),'FA Addition'!$J853,0)</f>
        <v>1</v>
      </c>
      <c r="U853" s="117">
        <f>S853*'FA Addition'!$L853/'FA Addition'!$J853</f>
        <v>56821.19</v>
      </c>
      <c r="W853" s="116">
        <f>SUMIFS('FA Write off'!D:D,'FA Write off'!A:A,'FA Addition'!$A853,'FA Write off'!C:C,"&lt;"&amp;'FA Addition'!$P$1)</f>
        <v>0</v>
      </c>
      <c r="Y853" s="191">
        <f>IFERROR(W853/'FA Addition'!$J853*'FA Addition'!$L853,0)</f>
        <v>0</v>
      </c>
      <c r="AA853" s="116">
        <f>SUMIFS('FA Write off'!D:D,'FA Write off'!A:A,'FA Addition'!$A853,'FA Write off'!C:C,"&lt;"&amp;'FA Addition'!$L$1+1,'FA Write off'!C:C,"&gt;"&amp;'FA Addition'!$L$1-365)</f>
        <v>0</v>
      </c>
      <c r="AC853" s="118">
        <f>IFERROR(AA853/'FA Addition'!$J853*'FA Addition'!$L853,0)</f>
        <v>0</v>
      </c>
      <c r="AE853" s="117">
        <f>IF(AND('FA Addition'!$D853&lt;$P$1+1,U853=0),'FA Addition'!$L853,0)-Y853</f>
        <v>0</v>
      </c>
      <c r="AF853" s="117">
        <f t="shared" si="65"/>
        <v>56821.19</v>
      </c>
      <c r="AG853" s="117">
        <f>MIN(MAX(+$P$1-'FA Addition'!$D853,0),365*'FA Addition'!$O853)</f>
        <v>0</v>
      </c>
      <c r="AH853" s="117">
        <f>MIN(MAX($L$1-'FA Addition'!$D853+1,0),365*'FA Addition'!$O853)</f>
        <v>137</v>
      </c>
      <c r="AI853" s="117" cm="1">
        <f t="array" ref="AI853">_xlfn.XLOOKUP(1,('FA Write off'!A:A='FA Addition'!$A853)*('FA Write off'!D:D=AA853),'FA Write off'!H:H,0,0)</f>
        <v>0</v>
      </c>
      <c r="AJ853" s="117">
        <f>IF(AC853&gt;0,MAX(IF('FA Addition'!$N853="SLM",($AC853-'FA Addition'!$M853)*'FA Addition'!$P853*AI853/365,(AC853-'FA Addition'!$M853)*(1-(1-'FA Addition'!$P853)^(AI853/365))),0),0)</f>
        <v>0</v>
      </c>
      <c r="AL853" s="117">
        <f>MAX(IF(AG853&gt;0,IF('FA Addition'!$N853="SLM",($AE853-'FA Addition'!$M853)*'FA Addition'!$P853*AG853/365,IFERROR(VDB(AE853,AE853*0.05,'FA Addition'!$O853,0,YEARFRAC('FA Addition'!$C853,$P$1-1,3),'FA Addition'!$Q853),FAAddition[[#This Row],[Original Cost (Rs)]]-FAAddition[[#This Row],[Salvage Value]])),0),0)</f>
        <v>0</v>
      </c>
      <c r="AM853" s="119"/>
      <c r="AN853" s="117">
        <f>MAX(IF(AH853&gt;0,IF('FA Addition'!$N853="SLM",($AF853-'FA Addition'!$M853)*'FA Addition'!$P853*AH853/365,IFERROR(VDB(AF853,AF853*0.05,'FA Addition'!$O853,0,YEARFRAC('FA Addition'!$C853,$L$1,3),'FA Addition'!$Q853),FAAddition[[#This Row],[Original Cost (Rs)]]-FAAddition[[#This Row],[Salvage Value]])),0),0)</f>
        <v>13372.053104815173</v>
      </c>
      <c r="AO853" s="117">
        <f t="shared" si="68"/>
        <v>13372.053104815173</v>
      </c>
      <c r="AQ853" s="117">
        <f t="shared" si="66"/>
        <v>0</v>
      </c>
      <c r="AR853" s="120">
        <f t="shared" si="67"/>
        <v>43449.136895184827</v>
      </c>
      <c r="AS853" s="121"/>
    </row>
    <row r="854" spans="1:45" ht="13.5" x14ac:dyDescent="0.4">
      <c r="A854" s="12">
        <f t="shared" si="69"/>
        <v>851</v>
      </c>
      <c r="B854" s="64" t="s">
        <v>1308</v>
      </c>
      <c r="C854" s="54">
        <v>45246</v>
      </c>
      <c r="D854" s="54">
        <v>45246</v>
      </c>
      <c r="E854" s="46" t="s">
        <v>451</v>
      </c>
      <c r="F854" s="51" t="s">
        <v>19</v>
      </c>
      <c r="G854" s="51" t="s">
        <v>1134</v>
      </c>
      <c r="H854" s="51" t="s">
        <v>21</v>
      </c>
      <c r="I854" s="55" t="s">
        <v>1629</v>
      </c>
      <c r="J854" s="56">
        <v>1</v>
      </c>
      <c r="K854" s="51" t="s">
        <v>1552</v>
      </c>
      <c r="L854" s="58">
        <v>31855.08</v>
      </c>
      <c r="M854" s="50">
        <f>ROUND('FA Addition'!$L854*5%,0.1)</f>
        <v>1593</v>
      </c>
      <c r="N854" s="113" t="str">
        <f>_xlfn.XLOOKUP(_xlfn.CONCAT(E854,B854),'Year Wise Master Dep Approach'!F:F,'Year Wise Master Dep Approach'!D:D)</f>
        <v>WDV</v>
      </c>
      <c r="O854" s="113">
        <f>_xlfn.XLOOKUP(_xlfn.CONCAT(E854,B854),'Year Wise Master Dep Approach'!F:F,'Year Wise Master Dep Approach'!E:E)</f>
        <v>3</v>
      </c>
      <c r="P854" s="114">
        <f>IFERROR(IF('FA Addition'!$N854="WDV",1-('FA Addition'!$M854/'FA Addition'!$L854)^(1/'FA Addition'!$O854),1/'FA Addition'!$O854),0)</f>
        <v>0.63157788455611374</v>
      </c>
      <c r="Q854" s="122">
        <f>'FA Addition'!$P854*'FA Addition'!$O854</f>
        <v>1.8947336536683412</v>
      </c>
      <c r="R854" s="122"/>
      <c r="S854" s="116">
        <f>IF(AND(DATE(20&amp;LEFT(FAAddition[[#This Row],[FY]],2),4,1)&lt;$L$1+1,DATE(20&amp;LEFT(FAAddition[[#This Row],[FY]],2),4,1)&gt;$P$1-1),'FA Addition'!$J854,0)</f>
        <v>1</v>
      </c>
      <c r="U854" s="117">
        <f>S854*'FA Addition'!$L854/'FA Addition'!$J854</f>
        <v>31855.08</v>
      </c>
      <c r="W854" s="116">
        <f>SUMIFS('FA Write off'!D:D,'FA Write off'!A:A,'FA Addition'!$A854,'FA Write off'!C:C,"&lt;"&amp;'FA Addition'!$P$1)</f>
        <v>0</v>
      </c>
      <c r="Y854" s="191">
        <f>IFERROR(W854/'FA Addition'!$J854*'FA Addition'!$L854,0)</f>
        <v>0</v>
      </c>
      <c r="AA854" s="116">
        <f>SUMIFS('FA Write off'!D:D,'FA Write off'!A:A,'FA Addition'!$A854,'FA Write off'!C:C,"&lt;"&amp;'FA Addition'!$L$1+1,'FA Write off'!C:C,"&gt;"&amp;'FA Addition'!$L$1-365)</f>
        <v>0</v>
      </c>
      <c r="AC854" s="118">
        <f>IFERROR(AA854/'FA Addition'!$J854*'FA Addition'!$L854,0)</f>
        <v>0</v>
      </c>
      <c r="AE854" s="117">
        <f>IF(AND('FA Addition'!$D854&lt;$P$1+1,U854=0),'FA Addition'!$L854,0)-Y854</f>
        <v>0</v>
      </c>
      <c r="AF854" s="117">
        <f t="shared" si="65"/>
        <v>31855.08</v>
      </c>
      <c r="AG854" s="117">
        <f>MIN(MAX(+$P$1-'FA Addition'!$D854,0),365*'FA Addition'!$O854)</f>
        <v>0</v>
      </c>
      <c r="AH854" s="117">
        <f>MIN(MAX($L$1-'FA Addition'!$D854+1,0),365*'FA Addition'!$O854)</f>
        <v>137</v>
      </c>
      <c r="AI854" s="117" cm="1">
        <f t="array" ref="AI854">_xlfn.XLOOKUP(1,('FA Write off'!A:A='FA Addition'!$A854)*('FA Write off'!D:D=AA854),'FA Write off'!H:H,0,0)</f>
        <v>0</v>
      </c>
      <c r="AJ854" s="117">
        <f>IF(AC854&gt;0,MAX(IF('FA Addition'!$N854="SLM",($AC854-'FA Addition'!$M854)*'FA Addition'!$P854*AI854/365,(AC854-'FA Addition'!$M854)*(1-(1-'FA Addition'!$P854)^(AI854/365))),0),0)</f>
        <v>0</v>
      </c>
      <c r="AL854" s="117">
        <f>MAX(IF(AG854&gt;0,IF('FA Addition'!$N854="SLM",($AE854-'FA Addition'!$M854)*'FA Addition'!$P854*AG854/365,IFERROR(VDB(AE854,AE854*0.05,'FA Addition'!$O854,0,YEARFRAC('FA Addition'!$C854,$P$1-1,3),'FA Addition'!$Q854),FAAddition[[#This Row],[Original Cost (Rs)]]-FAAddition[[#This Row],[Salvage Value]])),0),0)</f>
        <v>0</v>
      </c>
      <c r="AM854" s="119"/>
      <c r="AN854" s="117">
        <f>MAX(IF(AH854&gt;0,IF('FA Addition'!$N854="SLM",($AF854-'FA Addition'!$M854)*'FA Addition'!$P854*AH854/365,IFERROR(VDB(AF854,AF854*0.05,'FA Addition'!$O854,0,YEARFRAC('FA Addition'!$C854,$L$1,3),'FA Addition'!$Q854),FAAddition[[#This Row],[Original Cost (Rs)]]-FAAddition[[#This Row],[Salvage Value]])),0),0)</f>
        <v>7496.381121293547</v>
      </c>
      <c r="AO854" s="117">
        <f t="shared" si="68"/>
        <v>7496.381121293547</v>
      </c>
      <c r="AQ854" s="117">
        <f t="shared" si="66"/>
        <v>0</v>
      </c>
      <c r="AR854" s="120">
        <f t="shared" si="67"/>
        <v>24358.698878706455</v>
      </c>
      <c r="AS854" s="121"/>
    </row>
    <row r="855" spans="1:45" ht="13.5" x14ac:dyDescent="0.4">
      <c r="A855" s="12">
        <f t="shared" si="69"/>
        <v>852</v>
      </c>
      <c r="B855" s="64" t="s">
        <v>1308</v>
      </c>
      <c r="C855" s="54">
        <v>45246</v>
      </c>
      <c r="D855" s="54">
        <v>45246</v>
      </c>
      <c r="E855" s="46" t="s">
        <v>451</v>
      </c>
      <c r="F855" s="51" t="s">
        <v>19</v>
      </c>
      <c r="G855" s="51" t="s">
        <v>1134</v>
      </c>
      <c r="H855" s="51" t="s">
        <v>21</v>
      </c>
      <c r="I855" s="55" t="s">
        <v>1629</v>
      </c>
      <c r="J855" s="56">
        <v>1</v>
      </c>
      <c r="K855" s="51" t="s">
        <v>1552</v>
      </c>
      <c r="L855" s="58">
        <v>31855.08</v>
      </c>
      <c r="M855" s="50">
        <f>ROUND('FA Addition'!$L855*5%,0.1)</f>
        <v>1593</v>
      </c>
      <c r="N855" s="113" t="str">
        <f>_xlfn.XLOOKUP(_xlfn.CONCAT(E855,B855),'Year Wise Master Dep Approach'!F:F,'Year Wise Master Dep Approach'!D:D)</f>
        <v>WDV</v>
      </c>
      <c r="O855" s="113">
        <f>_xlfn.XLOOKUP(_xlfn.CONCAT(E855,B855),'Year Wise Master Dep Approach'!F:F,'Year Wise Master Dep Approach'!E:E)</f>
        <v>3</v>
      </c>
      <c r="P855" s="114">
        <f>IFERROR(IF('FA Addition'!$N855="WDV",1-('FA Addition'!$M855/'FA Addition'!$L855)^(1/'FA Addition'!$O855),1/'FA Addition'!$O855),0)</f>
        <v>0.63157788455611374</v>
      </c>
      <c r="Q855" s="122">
        <f>'FA Addition'!$P855*'FA Addition'!$O855</f>
        <v>1.8947336536683412</v>
      </c>
      <c r="R855" s="122"/>
      <c r="S855" s="116">
        <f>IF(AND(DATE(20&amp;LEFT(FAAddition[[#This Row],[FY]],2),4,1)&lt;$L$1+1,DATE(20&amp;LEFT(FAAddition[[#This Row],[FY]],2),4,1)&gt;$P$1-1),'FA Addition'!$J855,0)</f>
        <v>1</v>
      </c>
      <c r="U855" s="117">
        <f>S855*'FA Addition'!$L855/'FA Addition'!$J855</f>
        <v>31855.08</v>
      </c>
      <c r="W855" s="116">
        <f>SUMIFS('FA Write off'!D:D,'FA Write off'!A:A,'FA Addition'!$A855,'FA Write off'!C:C,"&lt;"&amp;'FA Addition'!$P$1)</f>
        <v>0</v>
      </c>
      <c r="Y855" s="191">
        <f>IFERROR(W855/'FA Addition'!$J855*'FA Addition'!$L855,0)</f>
        <v>0</v>
      </c>
      <c r="AA855" s="116">
        <f>SUMIFS('FA Write off'!D:D,'FA Write off'!A:A,'FA Addition'!$A855,'FA Write off'!C:C,"&lt;"&amp;'FA Addition'!$L$1+1,'FA Write off'!C:C,"&gt;"&amp;'FA Addition'!$L$1-365)</f>
        <v>0</v>
      </c>
      <c r="AC855" s="118">
        <f>IFERROR(AA855/'FA Addition'!$J855*'FA Addition'!$L855,0)</f>
        <v>0</v>
      </c>
      <c r="AE855" s="117">
        <f>IF(AND('FA Addition'!$D855&lt;$P$1+1,U855=0),'FA Addition'!$L855,0)-Y855</f>
        <v>0</v>
      </c>
      <c r="AF855" s="117">
        <f t="shared" si="65"/>
        <v>31855.08</v>
      </c>
      <c r="AG855" s="117">
        <f>MIN(MAX(+$P$1-'FA Addition'!$D855,0),365*'FA Addition'!$O855)</f>
        <v>0</v>
      </c>
      <c r="AH855" s="117">
        <f>MIN(MAX($L$1-'FA Addition'!$D855+1,0),365*'FA Addition'!$O855)</f>
        <v>137</v>
      </c>
      <c r="AI855" s="117" cm="1">
        <f t="array" ref="AI855">_xlfn.XLOOKUP(1,('FA Write off'!A:A='FA Addition'!$A855)*('FA Write off'!D:D=AA855),'FA Write off'!H:H,0,0)</f>
        <v>0</v>
      </c>
      <c r="AJ855" s="117">
        <f>IF(AC855&gt;0,MAX(IF('FA Addition'!$N855="SLM",($AC855-'FA Addition'!$M855)*'FA Addition'!$P855*AI855/365,(AC855-'FA Addition'!$M855)*(1-(1-'FA Addition'!$P855)^(AI855/365))),0),0)</f>
        <v>0</v>
      </c>
      <c r="AL855" s="117">
        <f>MAX(IF(AG855&gt;0,IF('FA Addition'!$N855="SLM",($AE855-'FA Addition'!$M855)*'FA Addition'!$P855*AG855/365,IFERROR(VDB(AE855,AE855*0.05,'FA Addition'!$O855,0,YEARFRAC('FA Addition'!$C855,$P$1-1,3),'FA Addition'!$Q855),FAAddition[[#This Row],[Original Cost (Rs)]]-FAAddition[[#This Row],[Salvage Value]])),0),0)</f>
        <v>0</v>
      </c>
      <c r="AM855" s="119"/>
      <c r="AN855" s="117">
        <f>MAX(IF(AH855&gt;0,IF('FA Addition'!$N855="SLM",($AF855-'FA Addition'!$M855)*'FA Addition'!$P855*AH855/365,IFERROR(VDB(AF855,AF855*0.05,'FA Addition'!$O855,0,YEARFRAC('FA Addition'!$C855,$L$1,3),'FA Addition'!$Q855),FAAddition[[#This Row],[Original Cost (Rs)]]-FAAddition[[#This Row],[Salvage Value]])),0),0)</f>
        <v>7496.381121293547</v>
      </c>
      <c r="AO855" s="117">
        <f t="shared" si="68"/>
        <v>7496.381121293547</v>
      </c>
      <c r="AQ855" s="117">
        <f t="shared" si="66"/>
        <v>0</v>
      </c>
      <c r="AR855" s="120">
        <f t="shared" si="67"/>
        <v>24358.698878706455</v>
      </c>
      <c r="AS855" s="121"/>
    </row>
    <row r="856" spans="1:45" ht="13.5" x14ac:dyDescent="0.4">
      <c r="A856" s="12">
        <f t="shared" si="69"/>
        <v>853</v>
      </c>
      <c r="B856" s="64" t="s">
        <v>1308</v>
      </c>
      <c r="C856" s="54">
        <v>45246</v>
      </c>
      <c r="D856" s="54">
        <v>45246</v>
      </c>
      <c r="E856" s="46" t="s">
        <v>451</v>
      </c>
      <c r="F856" s="51" t="s">
        <v>19</v>
      </c>
      <c r="G856" s="51" t="s">
        <v>1134</v>
      </c>
      <c r="H856" s="51" t="s">
        <v>21</v>
      </c>
      <c r="I856" s="55" t="s">
        <v>1629</v>
      </c>
      <c r="J856" s="56">
        <v>1</v>
      </c>
      <c r="K856" s="51" t="s">
        <v>1552</v>
      </c>
      <c r="L856" s="58">
        <v>31855.08</v>
      </c>
      <c r="M856" s="50">
        <f>ROUND('FA Addition'!$L856*5%,0.1)</f>
        <v>1593</v>
      </c>
      <c r="N856" s="113" t="str">
        <f>_xlfn.XLOOKUP(_xlfn.CONCAT(E856,B856),'Year Wise Master Dep Approach'!F:F,'Year Wise Master Dep Approach'!D:D)</f>
        <v>WDV</v>
      </c>
      <c r="O856" s="113">
        <f>_xlfn.XLOOKUP(_xlfn.CONCAT(E856,B856),'Year Wise Master Dep Approach'!F:F,'Year Wise Master Dep Approach'!E:E)</f>
        <v>3</v>
      </c>
      <c r="P856" s="114">
        <f>IFERROR(IF('FA Addition'!$N856="WDV",1-('FA Addition'!$M856/'FA Addition'!$L856)^(1/'FA Addition'!$O856),1/'FA Addition'!$O856),0)</f>
        <v>0.63157788455611374</v>
      </c>
      <c r="Q856" s="122">
        <f>'FA Addition'!$P856*'FA Addition'!$O856</f>
        <v>1.8947336536683412</v>
      </c>
      <c r="R856" s="122"/>
      <c r="S856" s="116">
        <f>IF(AND(DATE(20&amp;LEFT(FAAddition[[#This Row],[FY]],2),4,1)&lt;$L$1+1,DATE(20&amp;LEFT(FAAddition[[#This Row],[FY]],2),4,1)&gt;$P$1-1),'FA Addition'!$J856,0)</f>
        <v>1</v>
      </c>
      <c r="U856" s="117">
        <f>S856*'FA Addition'!$L856/'FA Addition'!$J856</f>
        <v>31855.08</v>
      </c>
      <c r="W856" s="116">
        <f>SUMIFS('FA Write off'!D:D,'FA Write off'!A:A,'FA Addition'!$A856,'FA Write off'!C:C,"&lt;"&amp;'FA Addition'!$P$1)</f>
        <v>0</v>
      </c>
      <c r="Y856" s="191">
        <f>IFERROR(W856/'FA Addition'!$J856*'FA Addition'!$L856,0)</f>
        <v>0</v>
      </c>
      <c r="AA856" s="116">
        <f>SUMIFS('FA Write off'!D:D,'FA Write off'!A:A,'FA Addition'!$A856,'FA Write off'!C:C,"&lt;"&amp;'FA Addition'!$L$1+1,'FA Write off'!C:C,"&gt;"&amp;'FA Addition'!$L$1-365)</f>
        <v>0</v>
      </c>
      <c r="AC856" s="118">
        <f>IFERROR(AA856/'FA Addition'!$J856*'FA Addition'!$L856,0)</f>
        <v>0</v>
      </c>
      <c r="AE856" s="117">
        <f>IF(AND('FA Addition'!$D856&lt;$P$1+1,U856=0),'FA Addition'!$L856,0)-Y856</f>
        <v>0</v>
      </c>
      <c r="AF856" s="117">
        <f t="shared" si="65"/>
        <v>31855.08</v>
      </c>
      <c r="AG856" s="117">
        <f>MIN(MAX(+$P$1-'FA Addition'!$D856,0),365*'FA Addition'!$O856)</f>
        <v>0</v>
      </c>
      <c r="AH856" s="117">
        <f>MIN(MAX($L$1-'FA Addition'!$D856+1,0),365*'FA Addition'!$O856)</f>
        <v>137</v>
      </c>
      <c r="AI856" s="117" cm="1">
        <f t="array" ref="AI856">_xlfn.XLOOKUP(1,('FA Write off'!A:A='FA Addition'!$A856)*('FA Write off'!D:D=AA856),'FA Write off'!H:H,0,0)</f>
        <v>0</v>
      </c>
      <c r="AJ856" s="117">
        <f>IF(AC856&gt;0,MAX(IF('FA Addition'!$N856="SLM",($AC856-'FA Addition'!$M856)*'FA Addition'!$P856*AI856/365,(AC856-'FA Addition'!$M856)*(1-(1-'FA Addition'!$P856)^(AI856/365))),0),0)</f>
        <v>0</v>
      </c>
      <c r="AL856" s="117">
        <f>MAX(IF(AG856&gt;0,IF('FA Addition'!$N856="SLM",($AE856-'FA Addition'!$M856)*'FA Addition'!$P856*AG856/365,IFERROR(VDB(AE856,AE856*0.05,'FA Addition'!$O856,0,YEARFRAC('FA Addition'!$C856,$P$1-1,3),'FA Addition'!$Q856),FAAddition[[#This Row],[Original Cost (Rs)]]-FAAddition[[#This Row],[Salvage Value]])),0),0)</f>
        <v>0</v>
      </c>
      <c r="AM856" s="119"/>
      <c r="AN856" s="117">
        <f>MAX(IF(AH856&gt;0,IF('FA Addition'!$N856="SLM",($AF856-'FA Addition'!$M856)*'FA Addition'!$P856*AH856/365,IFERROR(VDB(AF856,AF856*0.05,'FA Addition'!$O856,0,YEARFRAC('FA Addition'!$C856,$L$1,3),'FA Addition'!$Q856),FAAddition[[#This Row],[Original Cost (Rs)]]-FAAddition[[#This Row],[Salvage Value]])),0),0)</f>
        <v>7496.381121293547</v>
      </c>
      <c r="AO856" s="117">
        <f t="shared" si="68"/>
        <v>7496.381121293547</v>
      </c>
      <c r="AQ856" s="117">
        <f t="shared" si="66"/>
        <v>0</v>
      </c>
      <c r="AR856" s="120">
        <f t="shared" si="67"/>
        <v>24358.698878706455</v>
      </c>
      <c r="AS856" s="121"/>
    </row>
    <row r="857" spans="1:45" ht="13.5" x14ac:dyDescent="0.4">
      <c r="A857" s="12">
        <f t="shared" si="69"/>
        <v>854</v>
      </c>
      <c r="B857" s="64" t="s">
        <v>1308</v>
      </c>
      <c r="C857" s="54">
        <v>45247</v>
      </c>
      <c r="D857" s="54">
        <v>45247</v>
      </c>
      <c r="E857" s="46" t="s">
        <v>749</v>
      </c>
      <c r="F857" s="51" t="s">
        <v>74</v>
      </c>
      <c r="G857" s="51" t="s">
        <v>1529</v>
      </c>
      <c r="H857" s="51" t="s">
        <v>118</v>
      </c>
      <c r="I857" s="55" t="s">
        <v>1631</v>
      </c>
      <c r="J857" s="56">
        <v>1</v>
      </c>
      <c r="K857" s="51" t="s">
        <v>1632</v>
      </c>
      <c r="L857" s="58">
        <v>9321.19</v>
      </c>
      <c r="M857" s="50">
        <f>ROUND('FA Addition'!$L857*5%,0.1)</f>
        <v>466</v>
      </c>
      <c r="N857" s="113" t="str">
        <f>_xlfn.XLOOKUP(_xlfn.CONCAT(E857,B857),'Year Wise Master Dep Approach'!F:F,'Year Wise Master Dep Approach'!D:D)</f>
        <v>WDV</v>
      </c>
      <c r="O857" s="113">
        <f>_xlfn.XLOOKUP(_xlfn.CONCAT(E857,B857),'Year Wise Master Dep Approach'!F:F,'Year Wise Master Dep Approach'!E:E)</f>
        <v>5</v>
      </c>
      <c r="P857" s="114">
        <f>IFERROR(IF('FA Addition'!$N857="WDV",1-('FA Addition'!$M857/'FA Addition'!$L857)^(1/'FA Addition'!$O857),1/'FA Addition'!$O857),0)</f>
        <v>0.45073375395751381</v>
      </c>
      <c r="Q857" s="122">
        <f>'FA Addition'!$P857*'FA Addition'!$O857</f>
        <v>2.253668769787569</v>
      </c>
      <c r="R857" s="122"/>
      <c r="S857" s="116">
        <f>IF(AND(DATE(20&amp;LEFT(FAAddition[[#This Row],[FY]],2),4,1)&lt;$L$1+1,DATE(20&amp;LEFT(FAAddition[[#This Row],[FY]],2),4,1)&gt;$P$1-1),'FA Addition'!$J857,0)</f>
        <v>1</v>
      </c>
      <c r="U857" s="117">
        <f>S857*'FA Addition'!$L857/'FA Addition'!$J857</f>
        <v>9321.19</v>
      </c>
      <c r="W857" s="116">
        <f>SUMIFS('FA Write off'!D:D,'FA Write off'!A:A,'FA Addition'!$A857,'FA Write off'!C:C,"&lt;"&amp;'FA Addition'!$P$1)</f>
        <v>0</v>
      </c>
      <c r="Y857" s="191">
        <f>IFERROR(W857/'FA Addition'!$J857*'FA Addition'!$L857,0)</f>
        <v>0</v>
      </c>
      <c r="AA857" s="116">
        <f>SUMIFS('FA Write off'!D:D,'FA Write off'!A:A,'FA Addition'!$A857,'FA Write off'!C:C,"&lt;"&amp;'FA Addition'!$L$1+1,'FA Write off'!C:C,"&gt;"&amp;'FA Addition'!$L$1-365)</f>
        <v>0</v>
      </c>
      <c r="AC857" s="118">
        <f>IFERROR(AA857/'FA Addition'!$J857*'FA Addition'!$L857,0)</f>
        <v>0</v>
      </c>
      <c r="AE857" s="117">
        <f>IF(AND('FA Addition'!$D857&lt;$P$1+1,U857=0),'FA Addition'!$L857,0)-Y857</f>
        <v>0</v>
      </c>
      <c r="AF857" s="117">
        <f t="shared" si="65"/>
        <v>9321.19</v>
      </c>
      <c r="AG857" s="117">
        <f>MIN(MAX(+$P$1-'FA Addition'!$D857,0),365*'FA Addition'!$O857)</f>
        <v>0</v>
      </c>
      <c r="AH857" s="117">
        <f>MIN(MAX($L$1-'FA Addition'!$D857+1,0),365*'FA Addition'!$O857)</f>
        <v>136</v>
      </c>
      <c r="AI857" s="117" cm="1">
        <f t="array" ref="AI857">_xlfn.XLOOKUP(1,('FA Write off'!A:A='FA Addition'!$A857)*('FA Write off'!D:D=AA857),'FA Write off'!H:H,0,0)</f>
        <v>0</v>
      </c>
      <c r="AJ857" s="117">
        <f>IF(AC857&gt;0,MAX(IF('FA Addition'!$N857="SLM",($AC857-'FA Addition'!$M857)*'FA Addition'!$P857*AI857/365,(AC857-'FA Addition'!$M857)*(1-(1-'FA Addition'!$P857)^(AI857/365))),0),0)</f>
        <v>0</v>
      </c>
      <c r="AL857" s="117">
        <f>MAX(IF(AG857&gt;0,IF('FA Addition'!$N857="SLM",($AE857-'FA Addition'!$M857)*'FA Addition'!$P857*AG857/365,IFERROR(VDB(AE857,AE857*0.05,'FA Addition'!$O857,0,YEARFRAC('FA Addition'!$C857,$P$1-1,3),'FA Addition'!$Q857),FAAddition[[#This Row],[Original Cost (Rs)]]-FAAddition[[#This Row],[Salvage Value]])),0),0)</f>
        <v>0</v>
      </c>
      <c r="AM857" s="119"/>
      <c r="AN857" s="117">
        <f>MAX(IF(AH857&gt;0,IF('FA Addition'!$N857="SLM",($AF857-'FA Addition'!$M857)*'FA Addition'!$P857*AH857/365,IFERROR(VDB(AF857,AF857*0.05,'FA Addition'!$O857,0,YEARFRAC('FA Addition'!$C857,$L$1,3),'FA Addition'!$Q857),FAAddition[[#This Row],[Original Cost (Rs)]]-FAAddition[[#This Row],[Salvage Value]])),0),0)</f>
        <v>1553.9332044025127</v>
      </c>
      <c r="AO857" s="117">
        <f t="shared" si="68"/>
        <v>1553.9332044025127</v>
      </c>
      <c r="AQ857" s="117">
        <f t="shared" si="66"/>
        <v>0</v>
      </c>
      <c r="AR857" s="120">
        <f t="shared" si="67"/>
        <v>7767.2567955974882</v>
      </c>
      <c r="AS857" s="121"/>
    </row>
    <row r="858" spans="1:45" ht="13.5" x14ac:dyDescent="0.4">
      <c r="A858" s="12">
        <f t="shared" si="69"/>
        <v>855</v>
      </c>
      <c r="B858" s="64" t="s">
        <v>1308</v>
      </c>
      <c r="C858" s="54">
        <v>45248</v>
      </c>
      <c r="D858" s="54">
        <v>45248</v>
      </c>
      <c r="E858" s="46" t="s">
        <v>749</v>
      </c>
      <c r="F858" s="51" t="s">
        <v>74</v>
      </c>
      <c r="G858" s="51" t="s">
        <v>1529</v>
      </c>
      <c r="H858" s="51" t="s">
        <v>118</v>
      </c>
      <c r="I858" s="55" t="s">
        <v>1633</v>
      </c>
      <c r="J858" s="56">
        <v>1</v>
      </c>
      <c r="K858" s="51" t="s">
        <v>1634</v>
      </c>
      <c r="L858" s="58">
        <v>8473.73</v>
      </c>
      <c r="M858" s="50">
        <f>ROUND('FA Addition'!$L858*5%,0.1)</f>
        <v>424</v>
      </c>
      <c r="N858" s="113" t="str">
        <f>_xlfn.XLOOKUP(_xlfn.CONCAT(E858,B858),'Year Wise Master Dep Approach'!F:F,'Year Wise Master Dep Approach'!D:D)</f>
        <v>WDV</v>
      </c>
      <c r="O858" s="113">
        <f>_xlfn.XLOOKUP(_xlfn.CONCAT(E858,B858),'Year Wise Master Dep Approach'!F:F,'Year Wise Master Dep Approach'!E:E)</f>
        <v>5</v>
      </c>
      <c r="P858" s="114">
        <f>IFERROR(IF('FA Addition'!$N858="WDV",1-('FA Addition'!$M858/'FA Addition'!$L858)^(1/'FA Addition'!$O858),1/'FA Addition'!$O858),0)</f>
        <v>0.45063846617723768</v>
      </c>
      <c r="Q858" s="122">
        <f>'FA Addition'!$P858*'FA Addition'!$O858</f>
        <v>2.2531923308861885</v>
      </c>
      <c r="R858" s="122"/>
      <c r="S858" s="116">
        <f>IF(AND(DATE(20&amp;LEFT(FAAddition[[#This Row],[FY]],2),4,1)&lt;$L$1+1,DATE(20&amp;LEFT(FAAddition[[#This Row],[FY]],2),4,1)&gt;$P$1-1),'FA Addition'!$J858,0)</f>
        <v>1</v>
      </c>
      <c r="U858" s="117">
        <f>S858*'FA Addition'!$L858/'FA Addition'!$J858</f>
        <v>8473.73</v>
      </c>
      <c r="W858" s="116">
        <f>SUMIFS('FA Write off'!D:D,'FA Write off'!A:A,'FA Addition'!$A858,'FA Write off'!C:C,"&lt;"&amp;'FA Addition'!$P$1)</f>
        <v>0</v>
      </c>
      <c r="Y858" s="191">
        <f>IFERROR(W858/'FA Addition'!$J858*'FA Addition'!$L858,0)</f>
        <v>0</v>
      </c>
      <c r="AA858" s="116">
        <f>SUMIFS('FA Write off'!D:D,'FA Write off'!A:A,'FA Addition'!$A858,'FA Write off'!C:C,"&lt;"&amp;'FA Addition'!$L$1+1,'FA Write off'!C:C,"&gt;"&amp;'FA Addition'!$L$1-365)</f>
        <v>0</v>
      </c>
      <c r="AC858" s="118">
        <f>IFERROR(AA858/'FA Addition'!$J858*'FA Addition'!$L858,0)</f>
        <v>0</v>
      </c>
      <c r="AE858" s="117">
        <f>IF(AND('FA Addition'!$D858&lt;$P$1+1,U858=0),'FA Addition'!$L858,0)-Y858</f>
        <v>0</v>
      </c>
      <c r="AF858" s="117">
        <f t="shared" si="65"/>
        <v>8473.73</v>
      </c>
      <c r="AG858" s="117">
        <f>MIN(MAX(+$P$1-'FA Addition'!$D858,0),365*'FA Addition'!$O858)</f>
        <v>0</v>
      </c>
      <c r="AH858" s="117">
        <f>MIN(MAX($L$1-'FA Addition'!$D858+1,0),365*'FA Addition'!$O858)</f>
        <v>135</v>
      </c>
      <c r="AI858" s="117" cm="1">
        <f t="array" ref="AI858">_xlfn.XLOOKUP(1,('FA Write off'!A:A='FA Addition'!$A858)*('FA Write off'!D:D=AA858),'FA Write off'!H:H,0,0)</f>
        <v>0</v>
      </c>
      <c r="AJ858" s="117">
        <f>IF(AC858&gt;0,MAX(IF('FA Addition'!$N858="SLM",($AC858-'FA Addition'!$M858)*'FA Addition'!$P858*AI858/365,(AC858-'FA Addition'!$M858)*(1-(1-'FA Addition'!$P858)^(AI858/365))),0),0)</f>
        <v>0</v>
      </c>
      <c r="AL858" s="117">
        <f>MAX(IF(AG858&gt;0,IF('FA Addition'!$N858="SLM",($AE858-'FA Addition'!$M858)*'FA Addition'!$P858*AG858/365,IFERROR(VDB(AE858,AE858*0.05,'FA Addition'!$O858,0,YEARFRAC('FA Addition'!$C858,$P$1-1,3),'FA Addition'!$Q858),FAAddition[[#This Row],[Original Cost (Rs)]]-FAAddition[[#This Row],[Salvage Value]])),0),0)</f>
        <v>0</v>
      </c>
      <c r="AM858" s="119"/>
      <c r="AN858" s="117">
        <f>MAX(IF(AH858&gt;0,IF('FA Addition'!$N858="SLM",($AF858-'FA Addition'!$M858)*'FA Addition'!$P858*AH858/365,IFERROR(VDB(AF858,AF858*0.05,'FA Addition'!$O858,0,YEARFRAC('FA Addition'!$C858,$L$1,3),'FA Addition'!$Q858),FAAddition[[#This Row],[Original Cost (Rs)]]-FAAddition[[#This Row],[Salvage Value]])),0),0)</f>
        <v>1401.8928341370024</v>
      </c>
      <c r="AO858" s="117">
        <f t="shared" si="68"/>
        <v>1401.8928341370024</v>
      </c>
      <c r="AQ858" s="117">
        <f t="shared" si="66"/>
        <v>0</v>
      </c>
      <c r="AR858" s="120">
        <f t="shared" si="67"/>
        <v>7071.8371658629967</v>
      </c>
      <c r="AS858" s="121"/>
    </row>
    <row r="859" spans="1:45" ht="13.5" x14ac:dyDescent="0.4">
      <c r="A859" s="12">
        <f t="shared" si="69"/>
        <v>856</v>
      </c>
      <c r="B859" s="64" t="s">
        <v>1308</v>
      </c>
      <c r="C859" s="54">
        <v>45280</v>
      </c>
      <c r="D859" s="54">
        <v>45250</v>
      </c>
      <c r="E859" s="46" t="s">
        <v>451</v>
      </c>
      <c r="F859" s="51" t="s">
        <v>19</v>
      </c>
      <c r="G859" s="51" t="s">
        <v>1134</v>
      </c>
      <c r="H859" s="51" t="s">
        <v>21</v>
      </c>
      <c r="I859" s="55" t="s">
        <v>1635</v>
      </c>
      <c r="J859" s="56">
        <v>1</v>
      </c>
      <c r="K859" s="51" t="s">
        <v>1466</v>
      </c>
      <c r="L859" s="58">
        <v>31347.45</v>
      </c>
      <c r="M859" s="50">
        <f>ROUND('FA Addition'!$L859*5%,0.1)</f>
        <v>1567</v>
      </c>
      <c r="N859" s="113" t="str">
        <f>_xlfn.XLOOKUP(_xlfn.CONCAT(E859,B859),'Year Wise Master Dep Approach'!F:F,'Year Wise Master Dep Approach'!D:D)</f>
        <v>WDV</v>
      </c>
      <c r="O859" s="113">
        <f>_xlfn.XLOOKUP(_xlfn.CONCAT(E859,B859),'Year Wise Master Dep Approach'!F:F,'Year Wise Master Dep Approach'!E:E)</f>
        <v>3</v>
      </c>
      <c r="P859" s="114">
        <f>IFERROR(IF('FA Addition'!$N859="WDV",1-('FA Addition'!$M859/'FA Addition'!$L859)^(1/'FA Addition'!$O859),1/'FA Addition'!$O859),0)</f>
        <v>0.63162603720882438</v>
      </c>
      <c r="Q859" s="122">
        <f>'FA Addition'!$P859*'FA Addition'!$O859</f>
        <v>1.8948781116264732</v>
      </c>
      <c r="R859" s="122"/>
      <c r="S859" s="116">
        <f>IF(AND(DATE(20&amp;LEFT(FAAddition[[#This Row],[FY]],2),4,1)&lt;$L$1+1,DATE(20&amp;LEFT(FAAddition[[#This Row],[FY]],2),4,1)&gt;$P$1-1),'FA Addition'!$J859,0)</f>
        <v>1</v>
      </c>
      <c r="U859" s="117">
        <f>S859*'FA Addition'!$L859/'FA Addition'!$J859</f>
        <v>31347.45</v>
      </c>
      <c r="W859" s="116">
        <f>SUMIFS('FA Write off'!D:D,'FA Write off'!A:A,'FA Addition'!$A859,'FA Write off'!C:C,"&lt;"&amp;'FA Addition'!$P$1)</f>
        <v>0</v>
      </c>
      <c r="Y859" s="191">
        <f>IFERROR(W859/'FA Addition'!$J859*'FA Addition'!$L859,0)</f>
        <v>0</v>
      </c>
      <c r="AA859" s="116">
        <f>SUMIFS('FA Write off'!D:D,'FA Write off'!A:A,'FA Addition'!$A859,'FA Write off'!C:C,"&lt;"&amp;'FA Addition'!$L$1+1,'FA Write off'!C:C,"&gt;"&amp;'FA Addition'!$L$1-365)</f>
        <v>0</v>
      </c>
      <c r="AC859" s="118">
        <f>IFERROR(AA859/'FA Addition'!$J859*'FA Addition'!$L859,0)</f>
        <v>0</v>
      </c>
      <c r="AE859" s="117">
        <f>IF(AND('FA Addition'!$D859&lt;$P$1+1,U859=0),'FA Addition'!$L859,0)-Y859</f>
        <v>0</v>
      </c>
      <c r="AF859" s="117">
        <f t="shared" si="65"/>
        <v>31347.45</v>
      </c>
      <c r="AG859" s="117">
        <f>MIN(MAX(+$P$1-'FA Addition'!$D859,0),365*'FA Addition'!$O859)</f>
        <v>0</v>
      </c>
      <c r="AH859" s="117">
        <f>MIN(MAX($L$1-'FA Addition'!$D859+1,0),365*'FA Addition'!$O859)</f>
        <v>133</v>
      </c>
      <c r="AI859" s="117" cm="1">
        <f t="array" ref="AI859">_xlfn.XLOOKUP(1,('FA Write off'!A:A='FA Addition'!$A859)*('FA Write off'!D:D=AA859),'FA Write off'!H:H,0,0)</f>
        <v>0</v>
      </c>
      <c r="AJ859" s="117">
        <f>IF(AC859&gt;0,MAX(IF('FA Addition'!$N859="SLM",($AC859-'FA Addition'!$M859)*'FA Addition'!$P859*AI859/365,(AC859-'FA Addition'!$M859)*(1-(1-'FA Addition'!$P859)^(AI859/365))),0),0)</f>
        <v>0</v>
      </c>
      <c r="AL859" s="117">
        <f>MAX(IF(AG859&gt;0,IF('FA Addition'!$N859="SLM",($AE859-'FA Addition'!$M859)*'FA Addition'!$P859*AG859/365,IFERROR(VDB(AE859,AE859*0.05,'FA Addition'!$O859,0,YEARFRAC('FA Addition'!$C859,$P$1-1,3),'FA Addition'!$Q859),FAAddition[[#This Row],[Original Cost (Rs)]]-FAAddition[[#This Row],[Salvage Value]])),0),0)</f>
        <v>0</v>
      </c>
      <c r="AM859" s="119"/>
      <c r="AN859" s="117">
        <f>MAX(IF(AH859&gt;0,IF('FA Addition'!$N859="SLM",($AF859-'FA Addition'!$M859)*'FA Addition'!$P859*AH859/365,IFERROR(VDB(AF859,AF859*0.05,'FA Addition'!$O859,0,YEARFRAC('FA Addition'!$C859,$L$1,3),'FA Addition'!$Q859),FAAddition[[#This Row],[Original Cost (Rs)]]-FAAddition[[#This Row],[Salvage Value]])),0),0)</f>
        <v>5533.1131321928215</v>
      </c>
      <c r="AO859" s="117">
        <f t="shared" si="68"/>
        <v>5533.1131321928215</v>
      </c>
      <c r="AQ859" s="117">
        <f t="shared" si="66"/>
        <v>0</v>
      </c>
      <c r="AR859" s="120">
        <f t="shared" si="67"/>
        <v>25814.336867807178</v>
      </c>
      <c r="AS859" s="121"/>
    </row>
    <row r="860" spans="1:45" ht="13.5" x14ac:dyDescent="0.4">
      <c r="A860" s="12">
        <f t="shared" si="69"/>
        <v>857</v>
      </c>
      <c r="B860" s="64" t="s">
        <v>1308</v>
      </c>
      <c r="C860" s="54">
        <v>45280</v>
      </c>
      <c r="D860" s="54">
        <v>45250</v>
      </c>
      <c r="E860" s="46" t="s">
        <v>451</v>
      </c>
      <c r="F860" s="51" t="s">
        <v>19</v>
      </c>
      <c r="G860" s="51" t="s">
        <v>1134</v>
      </c>
      <c r="H860" s="51" t="s">
        <v>21</v>
      </c>
      <c r="I860" s="55" t="s">
        <v>1635</v>
      </c>
      <c r="J860" s="56">
        <v>1</v>
      </c>
      <c r="K860" s="51" t="s">
        <v>1466</v>
      </c>
      <c r="L860" s="58">
        <v>31347.45</v>
      </c>
      <c r="M860" s="50">
        <f>ROUND('FA Addition'!$L860*5%,0.1)</f>
        <v>1567</v>
      </c>
      <c r="N860" s="113" t="str">
        <f>_xlfn.XLOOKUP(_xlfn.CONCAT(E860,B860),'Year Wise Master Dep Approach'!F:F,'Year Wise Master Dep Approach'!D:D)</f>
        <v>WDV</v>
      </c>
      <c r="O860" s="113">
        <f>_xlfn.XLOOKUP(_xlfn.CONCAT(E860,B860),'Year Wise Master Dep Approach'!F:F,'Year Wise Master Dep Approach'!E:E)</f>
        <v>3</v>
      </c>
      <c r="P860" s="114">
        <f>IFERROR(IF('FA Addition'!$N860="WDV",1-('FA Addition'!$M860/'FA Addition'!$L860)^(1/'FA Addition'!$O860),1/'FA Addition'!$O860),0)</f>
        <v>0.63162603720882438</v>
      </c>
      <c r="Q860" s="122">
        <f>'FA Addition'!$P860*'FA Addition'!$O860</f>
        <v>1.8948781116264732</v>
      </c>
      <c r="R860" s="122"/>
      <c r="S860" s="116">
        <f>IF(AND(DATE(20&amp;LEFT(FAAddition[[#This Row],[FY]],2),4,1)&lt;$L$1+1,DATE(20&amp;LEFT(FAAddition[[#This Row],[FY]],2),4,1)&gt;$P$1-1),'FA Addition'!$J860,0)</f>
        <v>1</v>
      </c>
      <c r="U860" s="117">
        <f>S860*'FA Addition'!$L860/'FA Addition'!$J860</f>
        <v>31347.45</v>
      </c>
      <c r="W860" s="116">
        <f>SUMIFS('FA Write off'!D:D,'FA Write off'!A:A,'FA Addition'!$A860,'FA Write off'!C:C,"&lt;"&amp;'FA Addition'!$P$1)</f>
        <v>0</v>
      </c>
      <c r="Y860" s="191">
        <f>IFERROR(W860/'FA Addition'!$J860*'FA Addition'!$L860,0)</f>
        <v>0</v>
      </c>
      <c r="AA860" s="116">
        <f>SUMIFS('FA Write off'!D:D,'FA Write off'!A:A,'FA Addition'!$A860,'FA Write off'!C:C,"&lt;"&amp;'FA Addition'!$L$1+1,'FA Write off'!C:C,"&gt;"&amp;'FA Addition'!$L$1-365)</f>
        <v>0</v>
      </c>
      <c r="AC860" s="118">
        <f>IFERROR(AA860/'FA Addition'!$J860*'FA Addition'!$L860,0)</f>
        <v>0</v>
      </c>
      <c r="AE860" s="117">
        <f>IF(AND('FA Addition'!$D860&lt;$P$1+1,U860=0),'FA Addition'!$L860,0)-Y860</f>
        <v>0</v>
      </c>
      <c r="AF860" s="117">
        <f t="shared" si="65"/>
        <v>31347.45</v>
      </c>
      <c r="AG860" s="117">
        <f>MIN(MAX(+$P$1-'FA Addition'!$D860,0),365*'FA Addition'!$O860)</f>
        <v>0</v>
      </c>
      <c r="AH860" s="117">
        <f>MIN(MAX($L$1-'FA Addition'!$D860+1,0),365*'FA Addition'!$O860)</f>
        <v>133</v>
      </c>
      <c r="AI860" s="117" cm="1">
        <f t="array" ref="AI860">_xlfn.XLOOKUP(1,('FA Write off'!A:A='FA Addition'!$A860)*('FA Write off'!D:D=AA860),'FA Write off'!H:H,0,0)</f>
        <v>0</v>
      </c>
      <c r="AJ860" s="117">
        <f>IF(AC860&gt;0,MAX(IF('FA Addition'!$N860="SLM",($AC860-'FA Addition'!$M860)*'FA Addition'!$P860*AI860/365,(AC860-'FA Addition'!$M860)*(1-(1-'FA Addition'!$P860)^(AI860/365))),0),0)</f>
        <v>0</v>
      </c>
      <c r="AL860" s="117">
        <f>MAX(IF(AG860&gt;0,IF('FA Addition'!$N860="SLM",($AE860-'FA Addition'!$M860)*'FA Addition'!$P860*AG860/365,IFERROR(VDB(AE860,AE860*0.05,'FA Addition'!$O860,0,YEARFRAC('FA Addition'!$C860,$P$1-1,3),'FA Addition'!$Q860),FAAddition[[#This Row],[Original Cost (Rs)]]-FAAddition[[#This Row],[Salvage Value]])),0),0)</f>
        <v>0</v>
      </c>
      <c r="AM860" s="119"/>
      <c r="AN860" s="117">
        <f>MAX(IF(AH860&gt;0,IF('FA Addition'!$N860="SLM",($AF860-'FA Addition'!$M860)*'FA Addition'!$P860*AH860/365,IFERROR(VDB(AF860,AF860*0.05,'FA Addition'!$O860,0,YEARFRAC('FA Addition'!$C860,$L$1,3),'FA Addition'!$Q860),FAAddition[[#This Row],[Original Cost (Rs)]]-FAAddition[[#This Row],[Salvage Value]])),0),0)</f>
        <v>5533.1131321928215</v>
      </c>
      <c r="AO860" s="117">
        <f t="shared" si="68"/>
        <v>5533.1131321928215</v>
      </c>
      <c r="AQ860" s="117">
        <f t="shared" si="66"/>
        <v>0</v>
      </c>
      <c r="AR860" s="120">
        <f t="shared" si="67"/>
        <v>25814.336867807178</v>
      </c>
      <c r="AS860" s="121"/>
    </row>
    <row r="861" spans="1:45" ht="13.5" x14ac:dyDescent="0.4">
      <c r="A861" s="12">
        <f t="shared" si="69"/>
        <v>858</v>
      </c>
      <c r="B861" s="64" t="s">
        <v>1308</v>
      </c>
      <c r="C861" s="54">
        <v>45250</v>
      </c>
      <c r="D861" s="54">
        <v>45250</v>
      </c>
      <c r="E861" s="46" t="s">
        <v>451</v>
      </c>
      <c r="F861" s="51" t="s">
        <v>19</v>
      </c>
      <c r="G861" s="51" t="s">
        <v>1636</v>
      </c>
      <c r="H861" s="51" t="s">
        <v>151</v>
      </c>
      <c r="I861" s="55" t="s">
        <v>1637</v>
      </c>
      <c r="J861" s="56">
        <v>1</v>
      </c>
      <c r="K861" s="51" t="s">
        <v>1638</v>
      </c>
      <c r="L861" s="58">
        <v>20338.14</v>
      </c>
      <c r="M861" s="50">
        <f>ROUND('FA Addition'!$L861*5%,0.1)</f>
        <v>1017</v>
      </c>
      <c r="N861" s="113" t="str">
        <f>_xlfn.XLOOKUP(_xlfn.CONCAT(E861,B861),'Year Wise Master Dep Approach'!F:F,'Year Wise Master Dep Approach'!D:D)</f>
        <v>WDV</v>
      </c>
      <c r="O861" s="113">
        <f>_xlfn.XLOOKUP(_xlfn.CONCAT(E861,B861),'Year Wise Master Dep Approach'!F:F,'Year Wise Master Dep Approach'!E:E)</f>
        <v>3</v>
      </c>
      <c r="P861" s="114">
        <f>IFERROR(IF('FA Addition'!$N861="WDV",1-('FA Addition'!$M861/'FA Addition'!$L861)^(1/'FA Addition'!$O861),1/'FA Addition'!$O861),0)</f>
        <v>0.6315856198567773</v>
      </c>
      <c r="Q861" s="122">
        <f>'FA Addition'!$P861*'FA Addition'!$O861</f>
        <v>1.8947568595703319</v>
      </c>
      <c r="R861" s="122"/>
      <c r="S861" s="116">
        <f>IF(AND(DATE(20&amp;LEFT(FAAddition[[#This Row],[FY]],2),4,1)&lt;$L$1+1,DATE(20&amp;LEFT(FAAddition[[#This Row],[FY]],2),4,1)&gt;$P$1-1),'FA Addition'!$J861,0)</f>
        <v>1</v>
      </c>
      <c r="U861" s="117">
        <f>S861*'FA Addition'!$L861/'FA Addition'!$J861</f>
        <v>20338.14</v>
      </c>
      <c r="W861" s="116">
        <f>SUMIFS('FA Write off'!D:D,'FA Write off'!A:A,'FA Addition'!$A861,'FA Write off'!C:C,"&lt;"&amp;'FA Addition'!$P$1)</f>
        <v>0</v>
      </c>
      <c r="Y861" s="191">
        <f>IFERROR(W861/'FA Addition'!$J861*'FA Addition'!$L861,0)</f>
        <v>0</v>
      </c>
      <c r="AA861" s="116">
        <f>SUMIFS('FA Write off'!D:D,'FA Write off'!A:A,'FA Addition'!$A861,'FA Write off'!C:C,"&lt;"&amp;'FA Addition'!$L$1+1,'FA Write off'!C:C,"&gt;"&amp;'FA Addition'!$L$1-365)</f>
        <v>0</v>
      </c>
      <c r="AC861" s="118">
        <f>IFERROR(AA861/'FA Addition'!$J861*'FA Addition'!$L861,0)</f>
        <v>0</v>
      </c>
      <c r="AE861" s="117">
        <f>IF(AND('FA Addition'!$D861&lt;$P$1+1,U861=0),'FA Addition'!$L861,0)-Y861</f>
        <v>0</v>
      </c>
      <c r="AF861" s="117">
        <f t="shared" si="65"/>
        <v>20338.14</v>
      </c>
      <c r="AG861" s="117">
        <f>MIN(MAX(+$P$1-'FA Addition'!$D861,0),365*'FA Addition'!$O861)</f>
        <v>0</v>
      </c>
      <c r="AH861" s="117">
        <f>MIN(MAX($L$1-'FA Addition'!$D861+1,0),365*'FA Addition'!$O861)</f>
        <v>133</v>
      </c>
      <c r="AI861" s="117" cm="1">
        <f t="array" ref="AI861">_xlfn.XLOOKUP(1,('FA Write off'!A:A='FA Addition'!$A861)*('FA Write off'!D:D=AA861),'FA Write off'!H:H,0,0)</f>
        <v>0</v>
      </c>
      <c r="AJ861" s="117">
        <f>IF(AC861&gt;0,MAX(IF('FA Addition'!$N861="SLM",($AC861-'FA Addition'!$M861)*'FA Addition'!$P861*AI861/365,(AC861-'FA Addition'!$M861)*(1-(1-'FA Addition'!$P861)^(AI861/365))),0),0)</f>
        <v>0</v>
      </c>
      <c r="AL861" s="117">
        <f>MAX(IF(AG861&gt;0,IF('FA Addition'!$N861="SLM",($AE861-'FA Addition'!$M861)*'FA Addition'!$P861*AG861/365,IFERROR(VDB(AE861,AE861*0.05,'FA Addition'!$O861,0,YEARFRAC('FA Addition'!$C861,$P$1-1,3),'FA Addition'!$Q861),FAAddition[[#This Row],[Original Cost (Rs)]]-FAAddition[[#This Row],[Salvage Value]])),0),0)</f>
        <v>0</v>
      </c>
      <c r="AM861" s="119"/>
      <c r="AN861" s="117">
        <f>MAX(IF(AH861&gt;0,IF('FA Addition'!$N861="SLM",($AF861-'FA Addition'!$M861)*'FA Addition'!$P861*AH861/365,IFERROR(VDB(AF861,AF861*0.05,'FA Addition'!$O861,0,YEARFRAC('FA Addition'!$C861,$L$1,3),'FA Addition'!$Q861),FAAddition[[#This Row],[Original Cost (Rs)]]-FAAddition[[#This Row],[Salvage Value]])),0),0)</f>
        <v>4645.4151565470602</v>
      </c>
      <c r="AO861" s="117">
        <f t="shared" si="68"/>
        <v>4645.4151565470602</v>
      </c>
      <c r="AQ861" s="117">
        <f t="shared" si="66"/>
        <v>0</v>
      </c>
      <c r="AR861" s="120">
        <f t="shared" si="67"/>
        <v>15692.724843452939</v>
      </c>
      <c r="AS861" s="121"/>
    </row>
    <row r="862" spans="1:45" ht="13.5" x14ac:dyDescent="0.4">
      <c r="A862" s="12">
        <f t="shared" si="69"/>
        <v>859</v>
      </c>
      <c r="B862" s="64" t="s">
        <v>1308</v>
      </c>
      <c r="C862" s="54">
        <v>45253</v>
      </c>
      <c r="D862" s="54">
        <v>45253</v>
      </c>
      <c r="E862" s="46" t="s">
        <v>1389</v>
      </c>
      <c r="F862" s="51" t="s">
        <v>1112</v>
      </c>
      <c r="G862" s="51" t="s">
        <v>36</v>
      </c>
      <c r="H862" s="51" t="s">
        <v>1113</v>
      </c>
      <c r="I862" s="55" t="s">
        <v>1639</v>
      </c>
      <c r="J862" s="56">
        <v>200</v>
      </c>
      <c r="K862" s="51" t="s">
        <v>296</v>
      </c>
      <c r="L862" s="58">
        <v>340000</v>
      </c>
      <c r="M862" s="50">
        <f>ROUND('FA Addition'!$L862*5%,0.1)</f>
        <v>17000</v>
      </c>
      <c r="N862" s="113" t="str">
        <f>_xlfn.XLOOKUP(_xlfn.CONCAT(E862,B862),'Year Wise Master Dep Approach'!F:F,'Year Wise Master Dep Approach'!D:D)</f>
        <v>SLM</v>
      </c>
      <c r="O862" s="113">
        <f>_xlfn.XLOOKUP(_xlfn.CONCAT(E862,B862),'Year Wise Master Dep Approach'!F:F,'Year Wise Master Dep Approach'!E:E)</f>
        <v>3</v>
      </c>
      <c r="P862" s="114">
        <f>IFERROR(IF('FA Addition'!$N862="WDV",1-('FA Addition'!$M862/'FA Addition'!$L862)^(1/'FA Addition'!$O862),1/'FA Addition'!$O862),0)</f>
        <v>0.33333333333333331</v>
      </c>
      <c r="Q862" s="122">
        <f>'FA Addition'!$P862*'FA Addition'!$O862</f>
        <v>1</v>
      </c>
      <c r="R862" s="122"/>
      <c r="S862" s="116">
        <f>IF(AND(DATE(20&amp;LEFT(FAAddition[[#This Row],[FY]],2),4,1)&lt;$L$1+1,DATE(20&amp;LEFT(FAAddition[[#This Row],[FY]],2),4,1)&gt;$P$1-1),'FA Addition'!$J862,0)</f>
        <v>200</v>
      </c>
      <c r="U862" s="117">
        <f>S862*'FA Addition'!$L862/'FA Addition'!$J862</f>
        <v>340000</v>
      </c>
      <c r="W862" s="116">
        <f>SUMIFS('FA Write off'!D:D,'FA Write off'!A:A,'FA Addition'!$A862,'FA Write off'!C:C,"&lt;"&amp;'FA Addition'!$P$1)</f>
        <v>0</v>
      </c>
      <c r="Y862" s="191">
        <f>IFERROR(W862/'FA Addition'!$J862*'FA Addition'!$L862,0)</f>
        <v>0</v>
      </c>
      <c r="AA862" s="116">
        <f>SUMIFS('FA Write off'!D:D,'FA Write off'!A:A,'FA Addition'!$A862,'FA Write off'!C:C,"&lt;"&amp;'FA Addition'!$L$1+1,'FA Write off'!C:C,"&gt;"&amp;'FA Addition'!$L$1-365)</f>
        <v>0</v>
      </c>
      <c r="AC862" s="118">
        <f>IFERROR(AA862/'FA Addition'!$J862*'FA Addition'!$L862,0)</f>
        <v>0</v>
      </c>
      <c r="AE862" s="117">
        <f>IF(AND('FA Addition'!$D862&lt;$P$1+1,U862=0),'FA Addition'!$L862,0)-Y862</f>
        <v>0</v>
      </c>
      <c r="AF862" s="117">
        <f t="shared" si="65"/>
        <v>340000</v>
      </c>
      <c r="AG862" s="117">
        <f>MIN(MAX(+$P$1-'FA Addition'!$D862,0),365*'FA Addition'!$O862)</f>
        <v>0</v>
      </c>
      <c r="AH862" s="117">
        <f>MIN(MAX($L$1-'FA Addition'!$D862+1,0),365*'FA Addition'!$O862)</f>
        <v>130</v>
      </c>
      <c r="AI862" s="117" cm="1">
        <f t="array" ref="AI862">_xlfn.XLOOKUP(1,('FA Write off'!A:A='FA Addition'!$A862)*('FA Write off'!D:D=AA862),'FA Write off'!H:H,0,0)</f>
        <v>0</v>
      </c>
      <c r="AJ862" s="117">
        <f>IF(AC862&gt;0,MAX(IF('FA Addition'!$N862="SLM",($AC862-'FA Addition'!$M862)*'FA Addition'!$P862*AI862/365,(AC862-'FA Addition'!$M862)*(1-(1-'FA Addition'!$P862)^(AI862/365))),0),0)</f>
        <v>0</v>
      </c>
      <c r="AL862" s="117">
        <f>MAX(IF(AG862&gt;0,IF('FA Addition'!$N862="SLM",($AE862-'FA Addition'!$M862)*'FA Addition'!$P862*AG862/365,IFERROR(VDB(AE862,AE862*0.05,'FA Addition'!$O862,0,YEARFRAC('FA Addition'!$C862,$P$1-1,3),'FA Addition'!$Q862),FAAddition[[#This Row],[Original Cost (Rs)]]-FAAddition[[#This Row],[Salvage Value]])),0),0)</f>
        <v>0</v>
      </c>
      <c r="AM862" s="119"/>
      <c r="AN862" s="117">
        <f>MAX(IF(AH862&gt;0,IF('FA Addition'!$N862="SLM",($AF862-'FA Addition'!$M862)*'FA Addition'!$P862*AH862/365,IFERROR(VDB(AF862,AF862*0.05,'FA Addition'!$O862,0,YEARFRAC('FA Addition'!$C862,$L$1,3),'FA Addition'!$Q862),FAAddition[[#This Row],[Original Cost (Rs)]]-FAAddition[[#This Row],[Salvage Value]])),0),0)</f>
        <v>38347.031963470319</v>
      </c>
      <c r="AO862" s="117">
        <f t="shared" si="68"/>
        <v>38347.031963470319</v>
      </c>
      <c r="AQ862" s="117">
        <f t="shared" si="66"/>
        <v>0</v>
      </c>
      <c r="AR862" s="120">
        <f t="shared" si="67"/>
        <v>301652.96803652967</v>
      </c>
      <c r="AS862" s="121"/>
    </row>
    <row r="863" spans="1:45" ht="13.5" x14ac:dyDescent="0.4">
      <c r="A863" s="12">
        <f t="shared" si="69"/>
        <v>860</v>
      </c>
      <c r="B863" s="64" t="s">
        <v>1308</v>
      </c>
      <c r="C863" s="54">
        <v>45254</v>
      </c>
      <c r="D863" s="54">
        <v>45254</v>
      </c>
      <c r="E863" s="46" t="s">
        <v>1495</v>
      </c>
      <c r="F863" s="51" t="s">
        <v>1496</v>
      </c>
      <c r="G863" s="51" t="s">
        <v>1499</v>
      </c>
      <c r="H863" s="51" t="s">
        <v>183</v>
      </c>
      <c r="I863" s="55" t="s">
        <v>1640</v>
      </c>
      <c r="J863" s="56">
        <v>1</v>
      </c>
      <c r="K863" s="51" t="s">
        <v>284</v>
      </c>
      <c r="L863" s="58">
        <v>1032500</v>
      </c>
      <c r="M863" s="50">
        <f>ROUND('FA Addition'!$L863*5%,0.1)</f>
        <v>51625</v>
      </c>
      <c r="N863" s="113" t="str">
        <f>_xlfn.XLOOKUP(_xlfn.CONCAT(E863,B863),'Year Wise Master Dep Approach'!F:F,'Year Wise Master Dep Approach'!D:D)</f>
        <v>SLM</v>
      </c>
      <c r="O863" s="113">
        <f>_xlfn.XLOOKUP(_xlfn.CONCAT(E863,B863),'Year Wise Master Dep Approach'!F:F,'Year Wise Master Dep Approach'!E:E)</f>
        <v>3</v>
      </c>
      <c r="P863" s="114">
        <f>IFERROR(IF('FA Addition'!$N863="WDV",1-('FA Addition'!$M863/'FA Addition'!$L863)^(1/'FA Addition'!$O863),1/'FA Addition'!$O863),0)</f>
        <v>0.33333333333333331</v>
      </c>
      <c r="Q863" s="122">
        <f>'FA Addition'!$P863*'FA Addition'!$O863</f>
        <v>1</v>
      </c>
      <c r="R863" s="122"/>
      <c r="S863" s="116">
        <f>IF(AND(DATE(20&amp;LEFT(FAAddition[[#This Row],[FY]],2),4,1)&lt;$L$1+1,DATE(20&amp;LEFT(FAAddition[[#This Row],[FY]],2),4,1)&gt;$P$1-1),'FA Addition'!$J863,0)</f>
        <v>1</v>
      </c>
      <c r="U863" s="117">
        <f>S863*'FA Addition'!$L863/'FA Addition'!$J863</f>
        <v>1032500</v>
      </c>
      <c r="W863" s="116">
        <f>SUMIFS('FA Write off'!D:D,'FA Write off'!A:A,'FA Addition'!$A863,'FA Write off'!C:C,"&lt;"&amp;'FA Addition'!$P$1)</f>
        <v>0</v>
      </c>
      <c r="Y863" s="191">
        <f>IFERROR(W863/'FA Addition'!$J863*'FA Addition'!$L863,0)</f>
        <v>0</v>
      </c>
      <c r="AA863" s="116">
        <f>SUMIFS('FA Write off'!D:D,'FA Write off'!A:A,'FA Addition'!$A863,'FA Write off'!C:C,"&lt;"&amp;'FA Addition'!$L$1+1,'FA Write off'!C:C,"&gt;"&amp;'FA Addition'!$L$1-365)</f>
        <v>0</v>
      </c>
      <c r="AC863" s="118">
        <f>IFERROR(AA863/'FA Addition'!$J863*'FA Addition'!$L863,0)</f>
        <v>0</v>
      </c>
      <c r="AE863" s="117">
        <f>IF(AND('FA Addition'!$D863&lt;$P$1+1,U863=0),'FA Addition'!$L863,0)-Y863</f>
        <v>0</v>
      </c>
      <c r="AF863" s="117">
        <f t="shared" si="65"/>
        <v>1032500</v>
      </c>
      <c r="AG863" s="117">
        <f>MIN(MAX(+$P$1-'FA Addition'!$D863,0),365*'FA Addition'!$O863)</f>
        <v>0</v>
      </c>
      <c r="AH863" s="117">
        <f>MIN(MAX($L$1-'FA Addition'!$D863+1,0),365*'FA Addition'!$O863)</f>
        <v>129</v>
      </c>
      <c r="AI863" s="117" cm="1">
        <f t="array" ref="AI863">_xlfn.XLOOKUP(1,('FA Write off'!A:A='FA Addition'!$A863)*('FA Write off'!D:D=AA863),'FA Write off'!H:H,0,0)</f>
        <v>0</v>
      </c>
      <c r="AJ863" s="117">
        <f>IF(AC863&gt;0,MAX(IF('FA Addition'!$N863="SLM",($AC863-'FA Addition'!$M863)*'FA Addition'!$P863*AI863/365,(AC863-'FA Addition'!$M863)*(1-(1-'FA Addition'!$P863)^(AI863/365))),0),0)</f>
        <v>0</v>
      </c>
      <c r="AL863" s="117">
        <f>MAX(IF(AG863&gt;0,IF('FA Addition'!$N863="SLM",($AE863-'FA Addition'!$M863)*'FA Addition'!$P863*AG863/365,IFERROR(VDB(AE863,AE863*0.05,'FA Addition'!$O863,0,YEARFRAC('FA Addition'!$C863,$P$1-1,3),'FA Addition'!$Q863),FAAddition[[#This Row],[Original Cost (Rs)]]-FAAddition[[#This Row],[Salvage Value]])),0),0)</f>
        <v>0</v>
      </c>
      <c r="AM863" s="119"/>
      <c r="AN863" s="117">
        <f>MAX(IF(AH863&gt;0,IF('FA Addition'!$N863="SLM",($AF863-'FA Addition'!$M863)*'FA Addition'!$P863*AH863/365,IFERROR(VDB(AF863,AF863*0.05,'FA Addition'!$O863,0,YEARFRAC('FA Addition'!$C863,$L$1,3),'FA Addition'!$Q863),FAAddition[[#This Row],[Original Cost (Rs)]]-FAAddition[[#This Row],[Salvage Value]])),0),0)</f>
        <v>115555.13698630137</v>
      </c>
      <c r="AO863" s="117">
        <f t="shared" si="68"/>
        <v>115555.13698630137</v>
      </c>
      <c r="AQ863" s="117">
        <f t="shared" si="66"/>
        <v>0</v>
      </c>
      <c r="AR863" s="120">
        <f t="shared" si="67"/>
        <v>916944.8630136986</v>
      </c>
      <c r="AS863" s="121"/>
    </row>
    <row r="864" spans="1:45" ht="13.5" x14ac:dyDescent="0.4">
      <c r="A864" s="12">
        <f t="shared" si="69"/>
        <v>861</v>
      </c>
      <c r="B864" s="64" t="s">
        <v>1308</v>
      </c>
      <c r="C864" s="54">
        <v>45254</v>
      </c>
      <c r="D864" s="54">
        <v>45254</v>
      </c>
      <c r="E864" s="46" t="s">
        <v>1495</v>
      </c>
      <c r="F864" s="51" t="s">
        <v>1496</v>
      </c>
      <c r="G864" s="51" t="s">
        <v>1499</v>
      </c>
      <c r="H864" s="51" t="s">
        <v>183</v>
      </c>
      <c r="I864" s="55" t="s">
        <v>1641</v>
      </c>
      <c r="J864" s="56">
        <v>1</v>
      </c>
      <c r="K864" s="51" t="s">
        <v>284</v>
      </c>
      <c r="L864" s="58">
        <v>142780</v>
      </c>
      <c r="M864" s="50">
        <f>ROUND('FA Addition'!$L864*5%,0.1)</f>
        <v>7139</v>
      </c>
      <c r="N864" s="113" t="str">
        <f>_xlfn.XLOOKUP(_xlfn.CONCAT(E864,B864),'Year Wise Master Dep Approach'!F:F,'Year Wise Master Dep Approach'!D:D)</f>
        <v>SLM</v>
      </c>
      <c r="O864" s="113">
        <f>_xlfn.XLOOKUP(_xlfn.CONCAT(E864,B864),'Year Wise Master Dep Approach'!F:F,'Year Wise Master Dep Approach'!E:E)</f>
        <v>3</v>
      </c>
      <c r="P864" s="114">
        <f>IFERROR(IF('FA Addition'!$N864="WDV",1-('FA Addition'!$M864/'FA Addition'!$L864)^(1/'FA Addition'!$O864),1/'FA Addition'!$O864),0)</f>
        <v>0.33333333333333331</v>
      </c>
      <c r="Q864" s="122">
        <f>'FA Addition'!$P864*'FA Addition'!$O864</f>
        <v>1</v>
      </c>
      <c r="R864" s="122"/>
      <c r="S864" s="116">
        <f>IF(AND(DATE(20&amp;LEFT(FAAddition[[#This Row],[FY]],2),4,1)&lt;$L$1+1,DATE(20&amp;LEFT(FAAddition[[#This Row],[FY]],2),4,1)&gt;$P$1-1),'FA Addition'!$J864,0)</f>
        <v>1</v>
      </c>
      <c r="U864" s="117">
        <f>S864*'FA Addition'!$L864/'FA Addition'!$J864</f>
        <v>142780</v>
      </c>
      <c r="W864" s="116">
        <f>SUMIFS('FA Write off'!D:D,'FA Write off'!A:A,'FA Addition'!$A864,'FA Write off'!C:C,"&lt;"&amp;'FA Addition'!$P$1)</f>
        <v>0</v>
      </c>
      <c r="Y864" s="191">
        <f>IFERROR(W864/'FA Addition'!$J864*'FA Addition'!$L864,0)</f>
        <v>0</v>
      </c>
      <c r="AA864" s="116">
        <f>SUMIFS('FA Write off'!D:D,'FA Write off'!A:A,'FA Addition'!$A864,'FA Write off'!C:C,"&lt;"&amp;'FA Addition'!$L$1+1,'FA Write off'!C:C,"&gt;"&amp;'FA Addition'!$L$1-365)</f>
        <v>0</v>
      </c>
      <c r="AC864" s="118">
        <f>IFERROR(AA864/'FA Addition'!$J864*'FA Addition'!$L864,0)</f>
        <v>0</v>
      </c>
      <c r="AE864" s="117">
        <f>IF(AND('FA Addition'!$D864&lt;$P$1+1,U864=0),'FA Addition'!$L864,0)-Y864</f>
        <v>0</v>
      </c>
      <c r="AF864" s="117">
        <f t="shared" si="65"/>
        <v>142780</v>
      </c>
      <c r="AG864" s="117">
        <f>MIN(MAX(+$P$1-'FA Addition'!$D864,0),365*'FA Addition'!$O864)</f>
        <v>0</v>
      </c>
      <c r="AH864" s="117">
        <f>MIN(MAX($L$1-'FA Addition'!$D864+1,0),365*'FA Addition'!$O864)</f>
        <v>129</v>
      </c>
      <c r="AI864" s="117" cm="1">
        <f t="array" ref="AI864">_xlfn.XLOOKUP(1,('FA Write off'!A:A='FA Addition'!$A864)*('FA Write off'!D:D=AA864),'FA Write off'!H:H,0,0)</f>
        <v>0</v>
      </c>
      <c r="AJ864" s="117">
        <f>IF(AC864&gt;0,MAX(IF('FA Addition'!$N864="SLM",($AC864-'FA Addition'!$M864)*'FA Addition'!$P864*AI864/365,(AC864-'FA Addition'!$M864)*(1-(1-'FA Addition'!$P864)^(AI864/365))),0),0)</f>
        <v>0</v>
      </c>
      <c r="AL864" s="117">
        <f>MAX(IF(AG864&gt;0,IF('FA Addition'!$N864="SLM",($AE864-'FA Addition'!$M864)*'FA Addition'!$P864*AG864/365,IFERROR(VDB(AE864,AE864*0.05,'FA Addition'!$O864,0,YEARFRAC('FA Addition'!$C864,$P$1-1,3),'FA Addition'!$Q864),FAAddition[[#This Row],[Original Cost (Rs)]]-FAAddition[[#This Row],[Salvage Value]])),0),0)</f>
        <v>0</v>
      </c>
      <c r="AM864" s="119"/>
      <c r="AN864" s="117">
        <f>MAX(IF(AH864&gt;0,IF('FA Addition'!$N864="SLM",($AF864-'FA Addition'!$M864)*'FA Addition'!$P864*AH864/365,IFERROR(VDB(AF864,AF864*0.05,'FA Addition'!$O864,0,YEARFRAC('FA Addition'!$C864,$L$1,3),'FA Addition'!$Q864),FAAddition[[#This Row],[Original Cost (Rs)]]-FAAddition[[#This Row],[Salvage Value]])),0),0)</f>
        <v>15979.624657534247</v>
      </c>
      <c r="AO864" s="117">
        <f t="shared" si="68"/>
        <v>15979.624657534247</v>
      </c>
      <c r="AQ864" s="117">
        <f t="shared" si="66"/>
        <v>0</v>
      </c>
      <c r="AR864" s="120">
        <f t="shared" si="67"/>
        <v>126800.37534246575</v>
      </c>
      <c r="AS864" s="121"/>
    </row>
    <row r="865" spans="1:45" ht="13.5" x14ac:dyDescent="0.4">
      <c r="A865" s="12">
        <f t="shared" si="69"/>
        <v>862</v>
      </c>
      <c r="B865" s="64" t="s">
        <v>1308</v>
      </c>
      <c r="C865" s="54">
        <v>45255</v>
      </c>
      <c r="D865" s="54">
        <v>45255</v>
      </c>
      <c r="E865" s="46" t="s">
        <v>1389</v>
      </c>
      <c r="F865" s="51" t="s">
        <v>1112</v>
      </c>
      <c r="G865" s="51" t="s">
        <v>36</v>
      </c>
      <c r="H865" s="51" t="s">
        <v>1113</v>
      </c>
      <c r="I865" s="55" t="s">
        <v>1642</v>
      </c>
      <c r="J865" s="56">
        <v>1000</v>
      </c>
      <c r="K865" s="51" t="s">
        <v>1132</v>
      </c>
      <c r="L865" s="58">
        <v>700000</v>
      </c>
      <c r="M865" s="50">
        <f>ROUND('FA Addition'!$L865*5%,0.1)</f>
        <v>35000</v>
      </c>
      <c r="N865" s="113" t="str">
        <f>_xlfn.XLOOKUP(_xlfn.CONCAT(E865,B865),'Year Wise Master Dep Approach'!F:F,'Year Wise Master Dep Approach'!D:D)</f>
        <v>SLM</v>
      </c>
      <c r="O865" s="113">
        <f>_xlfn.XLOOKUP(_xlfn.CONCAT(E865,B865),'Year Wise Master Dep Approach'!F:F,'Year Wise Master Dep Approach'!E:E)</f>
        <v>3</v>
      </c>
      <c r="P865" s="114">
        <f>IFERROR(IF('FA Addition'!$N865="WDV",1-('FA Addition'!$M865/'FA Addition'!$L865)^(1/'FA Addition'!$O865),1/'FA Addition'!$O865),0)</f>
        <v>0.33333333333333331</v>
      </c>
      <c r="Q865" s="122">
        <f>'FA Addition'!$P865*'FA Addition'!$O865</f>
        <v>1</v>
      </c>
      <c r="R865" s="122"/>
      <c r="S865" s="116">
        <f>IF(AND(DATE(20&amp;LEFT(FAAddition[[#This Row],[FY]],2),4,1)&lt;$L$1+1,DATE(20&amp;LEFT(FAAddition[[#This Row],[FY]],2),4,1)&gt;$P$1-1),'FA Addition'!$J865,0)</f>
        <v>1000</v>
      </c>
      <c r="U865" s="117">
        <f>S865*'FA Addition'!$L865/'FA Addition'!$J865</f>
        <v>700000</v>
      </c>
      <c r="W865" s="116">
        <f>SUMIFS('FA Write off'!D:D,'FA Write off'!A:A,'FA Addition'!$A865,'FA Write off'!C:C,"&lt;"&amp;'FA Addition'!$P$1)</f>
        <v>0</v>
      </c>
      <c r="Y865" s="191">
        <f>IFERROR(W865/'FA Addition'!$J865*'FA Addition'!$L865,0)</f>
        <v>0</v>
      </c>
      <c r="AA865" s="116">
        <f>SUMIFS('FA Write off'!D:D,'FA Write off'!A:A,'FA Addition'!$A865,'FA Write off'!C:C,"&lt;"&amp;'FA Addition'!$L$1+1,'FA Write off'!C:C,"&gt;"&amp;'FA Addition'!$L$1-365)</f>
        <v>0</v>
      </c>
      <c r="AC865" s="118">
        <f>IFERROR(AA865/'FA Addition'!$J865*'FA Addition'!$L865,0)</f>
        <v>0</v>
      </c>
      <c r="AE865" s="117">
        <f>IF(AND('FA Addition'!$D865&lt;$P$1+1,U865=0),'FA Addition'!$L865,0)-Y865</f>
        <v>0</v>
      </c>
      <c r="AF865" s="117">
        <f t="shared" si="65"/>
        <v>700000</v>
      </c>
      <c r="AG865" s="117">
        <f>MIN(MAX(+$P$1-'FA Addition'!$D865,0),365*'FA Addition'!$O865)</f>
        <v>0</v>
      </c>
      <c r="AH865" s="117">
        <f>MIN(MAX($L$1-'FA Addition'!$D865+1,0),365*'FA Addition'!$O865)</f>
        <v>128</v>
      </c>
      <c r="AI865" s="117" cm="1">
        <f t="array" ref="AI865">_xlfn.XLOOKUP(1,('FA Write off'!A:A='FA Addition'!$A865)*('FA Write off'!D:D=AA865),'FA Write off'!H:H,0,0)</f>
        <v>0</v>
      </c>
      <c r="AJ865" s="117">
        <f>IF(AC865&gt;0,MAX(IF('FA Addition'!$N865="SLM",($AC865-'FA Addition'!$M865)*'FA Addition'!$P865*AI865/365,(AC865-'FA Addition'!$M865)*(1-(1-'FA Addition'!$P865)^(AI865/365))),0),0)</f>
        <v>0</v>
      </c>
      <c r="AL865" s="117">
        <f>MAX(IF(AG865&gt;0,IF('FA Addition'!$N865="SLM",($AE865-'FA Addition'!$M865)*'FA Addition'!$P865*AG865/365,IFERROR(VDB(AE865,AE865*0.05,'FA Addition'!$O865,0,YEARFRAC('FA Addition'!$C865,$P$1-1,3),'FA Addition'!$Q865),FAAddition[[#This Row],[Original Cost (Rs)]]-FAAddition[[#This Row],[Salvage Value]])),0),0)</f>
        <v>0</v>
      </c>
      <c r="AM865" s="119"/>
      <c r="AN865" s="117">
        <f>MAX(IF(AH865&gt;0,IF('FA Addition'!$N865="SLM",($AF865-'FA Addition'!$M865)*'FA Addition'!$P865*AH865/365,IFERROR(VDB(AF865,AF865*0.05,'FA Addition'!$O865,0,YEARFRAC('FA Addition'!$C865,$L$1,3),'FA Addition'!$Q865),FAAddition[[#This Row],[Original Cost (Rs)]]-FAAddition[[#This Row],[Salvage Value]])),0),0)</f>
        <v>77735.159817351596</v>
      </c>
      <c r="AO865" s="117">
        <f t="shared" si="68"/>
        <v>77735.159817351596</v>
      </c>
      <c r="AQ865" s="117">
        <f t="shared" si="66"/>
        <v>0</v>
      </c>
      <c r="AR865" s="120">
        <f t="shared" si="67"/>
        <v>622264.84018264839</v>
      </c>
      <c r="AS865" s="121"/>
    </row>
    <row r="866" spans="1:45" ht="13.5" x14ac:dyDescent="0.4">
      <c r="A866" s="12">
        <f t="shared" si="69"/>
        <v>863</v>
      </c>
      <c r="B866" s="64" t="s">
        <v>1308</v>
      </c>
      <c r="C866" s="54">
        <v>45255</v>
      </c>
      <c r="D866" s="54">
        <v>45255</v>
      </c>
      <c r="E866" s="46" t="s">
        <v>1389</v>
      </c>
      <c r="F866" s="51" t="s">
        <v>1112</v>
      </c>
      <c r="G866" s="51" t="s">
        <v>36</v>
      </c>
      <c r="H866" s="51" t="s">
        <v>1113</v>
      </c>
      <c r="I866" s="55" t="s">
        <v>1643</v>
      </c>
      <c r="J866" s="56">
        <v>1000</v>
      </c>
      <c r="K866" s="51" t="s">
        <v>1132</v>
      </c>
      <c r="L866" s="58">
        <v>700000</v>
      </c>
      <c r="M866" s="50">
        <f>ROUND('FA Addition'!$L866*5%,0.1)</f>
        <v>35000</v>
      </c>
      <c r="N866" s="113" t="str">
        <f>_xlfn.XLOOKUP(_xlfn.CONCAT(E866,B866),'Year Wise Master Dep Approach'!F:F,'Year Wise Master Dep Approach'!D:D)</f>
        <v>SLM</v>
      </c>
      <c r="O866" s="113">
        <f>_xlfn.XLOOKUP(_xlfn.CONCAT(E866,B866),'Year Wise Master Dep Approach'!F:F,'Year Wise Master Dep Approach'!E:E)</f>
        <v>3</v>
      </c>
      <c r="P866" s="114">
        <f>IFERROR(IF('FA Addition'!$N866="WDV",1-('FA Addition'!$M866/'FA Addition'!$L866)^(1/'FA Addition'!$O866),1/'FA Addition'!$O866),0)</f>
        <v>0.33333333333333331</v>
      </c>
      <c r="Q866" s="122">
        <f>'FA Addition'!$P866*'FA Addition'!$O866</f>
        <v>1</v>
      </c>
      <c r="R866" s="122"/>
      <c r="S866" s="116">
        <f>IF(AND(DATE(20&amp;LEFT(FAAddition[[#This Row],[FY]],2),4,1)&lt;$L$1+1,DATE(20&amp;LEFT(FAAddition[[#This Row],[FY]],2),4,1)&gt;$P$1-1),'FA Addition'!$J866,0)</f>
        <v>1000</v>
      </c>
      <c r="U866" s="117">
        <f>S866*'FA Addition'!$L866/'FA Addition'!$J866</f>
        <v>700000</v>
      </c>
      <c r="W866" s="116">
        <f>SUMIFS('FA Write off'!D:D,'FA Write off'!A:A,'FA Addition'!$A866,'FA Write off'!C:C,"&lt;"&amp;'FA Addition'!$P$1)</f>
        <v>0</v>
      </c>
      <c r="Y866" s="191">
        <f>IFERROR(W866/'FA Addition'!$J866*'FA Addition'!$L866,0)</f>
        <v>0</v>
      </c>
      <c r="AA866" s="116">
        <f>SUMIFS('FA Write off'!D:D,'FA Write off'!A:A,'FA Addition'!$A866,'FA Write off'!C:C,"&lt;"&amp;'FA Addition'!$L$1+1,'FA Write off'!C:C,"&gt;"&amp;'FA Addition'!$L$1-365)</f>
        <v>0</v>
      </c>
      <c r="AC866" s="118">
        <f>IFERROR(AA866/'FA Addition'!$J866*'FA Addition'!$L866,0)</f>
        <v>0</v>
      </c>
      <c r="AE866" s="117">
        <f>IF(AND('FA Addition'!$D866&lt;$P$1+1,U866=0),'FA Addition'!$L866,0)-Y866</f>
        <v>0</v>
      </c>
      <c r="AF866" s="117">
        <f t="shared" si="65"/>
        <v>700000</v>
      </c>
      <c r="AG866" s="117">
        <f>MIN(MAX(+$P$1-'FA Addition'!$D866,0),365*'FA Addition'!$O866)</f>
        <v>0</v>
      </c>
      <c r="AH866" s="117">
        <f>MIN(MAX($L$1-'FA Addition'!$D866+1,0),365*'FA Addition'!$O866)</f>
        <v>128</v>
      </c>
      <c r="AI866" s="117" cm="1">
        <f t="array" ref="AI866">_xlfn.XLOOKUP(1,('FA Write off'!A:A='FA Addition'!$A866)*('FA Write off'!D:D=AA866),'FA Write off'!H:H,0,0)</f>
        <v>0</v>
      </c>
      <c r="AJ866" s="117">
        <f>IF(AC866&gt;0,MAX(IF('FA Addition'!$N866="SLM",($AC866-'FA Addition'!$M866)*'FA Addition'!$P866*AI866/365,(AC866-'FA Addition'!$M866)*(1-(1-'FA Addition'!$P866)^(AI866/365))),0),0)</f>
        <v>0</v>
      </c>
      <c r="AL866" s="117">
        <f>MAX(IF(AG866&gt;0,IF('FA Addition'!$N866="SLM",($AE866-'FA Addition'!$M866)*'FA Addition'!$P866*AG866/365,IFERROR(VDB(AE866,AE866*0.05,'FA Addition'!$O866,0,YEARFRAC('FA Addition'!$C866,$P$1-1,3),'FA Addition'!$Q866),FAAddition[[#This Row],[Original Cost (Rs)]]-FAAddition[[#This Row],[Salvage Value]])),0),0)</f>
        <v>0</v>
      </c>
      <c r="AM866" s="119"/>
      <c r="AN866" s="117">
        <f>MAX(IF(AH866&gt;0,IF('FA Addition'!$N866="SLM",($AF866-'FA Addition'!$M866)*'FA Addition'!$P866*AH866/365,IFERROR(VDB(AF866,AF866*0.05,'FA Addition'!$O866,0,YEARFRAC('FA Addition'!$C866,$L$1,3),'FA Addition'!$Q866),FAAddition[[#This Row],[Original Cost (Rs)]]-FAAddition[[#This Row],[Salvage Value]])),0),0)</f>
        <v>77735.159817351596</v>
      </c>
      <c r="AO866" s="117">
        <f t="shared" si="68"/>
        <v>77735.159817351596</v>
      </c>
      <c r="AQ866" s="117">
        <f t="shared" si="66"/>
        <v>0</v>
      </c>
      <c r="AR866" s="120">
        <f t="shared" si="67"/>
        <v>622264.84018264839</v>
      </c>
      <c r="AS866" s="121"/>
    </row>
    <row r="867" spans="1:45" ht="13.5" x14ac:dyDescent="0.4">
      <c r="A867" s="12">
        <f t="shared" si="69"/>
        <v>864</v>
      </c>
      <c r="B867" s="64" t="s">
        <v>1308</v>
      </c>
      <c r="C867" s="54">
        <v>45257</v>
      </c>
      <c r="D867" s="54">
        <v>45257</v>
      </c>
      <c r="E867" s="46" t="s">
        <v>749</v>
      </c>
      <c r="F867" s="51" t="s">
        <v>74</v>
      </c>
      <c r="G867" s="51" t="s">
        <v>1575</v>
      </c>
      <c r="H867" s="51" t="s">
        <v>26</v>
      </c>
      <c r="I867" s="55" t="s">
        <v>1644</v>
      </c>
      <c r="J867" s="56">
        <v>1000</v>
      </c>
      <c r="K867" s="51" t="s">
        <v>1577</v>
      </c>
      <c r="L867" s="58">
        <v>52000</v>
      </c>
      <c r="M867" s="50">
        <f>ROUND('FA Addition'!$L867*5%,0.1)</f>
        <v>2600</v>
      </c>
      <c r="N867" s="113" t="str">
        <f>_xlfn.XLOOKUP(_xlfn.CONCAT(E867,B867),'Year Wise Master Dep Approach'!F:F,'Year Wise Master Dep Approach'!D:D)</f>
        <v>WDV</v>
      </c>
      <c r="O867" s="113">
        <f>_xlfn.XLOOKUP(_xlfn.CONCAT(E867,B867),'Year Wise Master Dep Approach'!F:F,'Year Wise Master Dep Approach'!E:E)</f>
        <v>5</v>
      </c>
      <c r="P867" s="114">
        <f>IFERROR(IF('FA Addition'!$N867="WDV",1-('FA Addition'!$M867/'FA Addition'!$L867)^(1/'FA Addition'!$O867),1/'FA Addition'!$O867),0)</f>
        <v>0.45071972834694107</v>
      </c>
      <c r="Q867" s="122">
        <f>'FA Addition'!$P867*'FA Addition'!$O867</f>
        <v>2.2535986417347056</v>
      </c>
      <c r="R867" s="122"/>
      <c r="S867" s="116">
        <f>IF(AND(DATE(20&amp;LEFT(FAAddition[[#This Row],[FY]],2),4,1)&lt;$L$1+1,DATE(20&amp;LEFT(FAAddition[[#This Row],[FY]],2),4,1)&gt;$P$1-1),'FA Addition'!$J867,0)</f>
        <v>1000</v>
      </c>
      <c r="U867" s="117">
        <f>S867*'FA Addition'!$L867/'FA Addition'!$J867</f>
        <v>52000</v>
      </c>
      <c r="W867" s="116">
        <f>SUMIFS('FA Write off'!D:D,'FA Write off'!A:A,'FA Addition'!$A867,'FA Write off'!C:C,"&lt;"&amp;'FA Addition'!$P$1)</f>
        <v>0</v>
      </c>
      <c r="Y867" s="191">
        <f>IFERROR(W867/'FA Addition'!$J867*'FA Addition'!$L867,0)</f>
        <v>0</v>
      </c>
      <c r="AA867" s="116">
        <f>SUMIFS('FA Write off'!D:D,'FA Write off'!A:A,'FA Addition'!$A867,'FA Write off'!C:C,"&lt;"&amp;'FA Addition'!$L$1+1,'FA Write off'!C:C,"&gt;"&amp;'FA Addition'!$L$1-365)</f>
        <v>0</v>
      </c>
      <c r="AC867" s="118">
        <f>IFERROR(AA867/'FA Addition'!$J867*'FA Addition'!$L867,0)</f>
        <v>0</v>
      </c>
      <c r="AE867" s="117">
        <f>IF(AND('FA Addition'!$D867&lt;$P$1+1,U867=0),'FA Addition'!$L867,0)-Y867</f>
        <v>0</v>
      </c>
      <c r="AF867" s="117">
        <f t="shared" si="65"/>
        <v>52000</v>
      </c>
      <c r="AG867" s="117">
        <f>MIN(MAX(+$P$1-'FA Addition'!$D867,0),365*'FA Addition'!$O867)</f>
        <v>0</v>
      </c>
      <c r="AH867" s="117">
        <f>MIN(MAX($L$1-'FA Addition'!$D867+1,0),365*'FA Addition'!$O867)</f>
        <v>126</v>
      </c>
      <c r="AI867" s="117" cm="1">
        <f t="array" ref="AI867">_xlfn.XLOOKUP(1,('FA Write off'!A:A='FA Addition'!$A867)*('FA Write off'!D:D=AA867),'FA Write off'!H:H,0,0)</f>
        <v>0</v>
      </c>
      <c r="AJ867" s="117">
        <f>IF(AC867&gt;0,MAX(IF('FA Addition'!$N867="SLM",($AC867-'FA Addition'!$M867)*'FA Addition'!$P867*AI867/365,(AC867-'FA Addition'!$M867)*(1-(1-'FA Addition'!$P867)^(AI867/365))),0),0)</f>
        <v>0</v>
      </c>
      <c r="AL867" s="117">
        <f>MAX(IF(AG867&gt;0,IF('FA Addition'!$N867="SLM",($AE867-'FA Addition'!$M867)*'FA Addition'!$P867*AG867/365,IFERROR(VDB(AE867,AE867*0.05,'FA Addition'!$O867,0,YEARFRAC('FA Addition'!$C867,$P$1-1,3),'FA Addition'!$Q867),FAAddition[[#This Row],[Original Cost (Rs)]]-FAAddition[[#This Row],[Salvage Value]])),0),0)</f>
        <v>0</v>
      </c>
      <c r="AM867" s="119"/>
      <c r="AN867" s="117">
        <f>MAX(IF(AH867&gt;0,IF('FA Addition'!$N867="SLM",($AF867-'FA Addition'!$M867)*'FA Addition'!$P867*AH867/365,IFERROR(VDB(AF867,AF867*0.05,'FA Addition'!$O867,0,YEARFRAC('FA Addition'!$C867,$L$1,3),'FA Addition'!$Q867),FAAddition[[#This Row],[Original Cost (Rs)]]-FAAddition[[#This Row],[Salvage Value]])),0),0)</f>
        <v>8026.5157102879921</v>
      </c>
      <c r="AO867" s="117">
        <f t="shared" si="68"/>
        <v>8026.5157102879921</v>
      </c>
      <c r="AQ867" s="117">
        <f t="shared" si="66"/>
        <v>0</v>
      </c>
      <c r="AR867" s="120">
        <f t="shared" si="67"/>
        <v>43973.484289712011</v>
      </c>
      <c r="AS867" s="121"/>
    </row>
    <row r="868" spans="1:45" ht="13.5" x14ac:dyDescent="0.4">
      <c r="A868" s="12">
        <f t="shared" si="69"/>
        <v>865</v>
      </c>
      <c r="B868" s="64" t="s">
        <v>1308</v>
      </c>
      <c r="C868" s="54">
        <v>45261</v>
      </c>
      <c r="D868" s="54">
        <v>45261</v>
      </c>
      <c r="E868" s="46" t="s">
        <v>32</v>
      </c>
      <c r="F868" s="51" t="s">
        <v>1090</v>
      </c>
      <c r="G868" s="51" t="s">
        <v>433</v>
      </c>
      <c r="H868" s="51" t="s">
        <v>32</v>
      </c>
      <c r="I868" s="55" t="s">
        <v>1645</v>
      </c>
      <c r="J868" s="56">
        <v>500</v>
      </c>
      <c r="K868" s="51" t="s">
        <v>935</v>
      </c>
      <c r="L868" s="58">
        <v>495000</v>
      </c>
      <c r="M868" s="50">
        <f>ROUND('FA Addition'!$L868*5%,0.1)</f>
        <v>24750</v>
      </c>
      <c r="N868" s="113" t="str">
        <f>_xlfn.XLOOKUP(_xlfn.CONCAT(E868,B868),'Year Wise Master Dep Approach'!F:F,'Year Wise Master Dep Approach'!D:D)</f>
        <v>SLM</v>
      </c>
      <c r="O868" s="113">
        <f>_xlfn.XLOOKUP(_xlfn.CONCAT(E868,B868),'Year Wise Master Dep Approach'!F:F,'Year Wise Master Dep Approach'!E:E)</f>
        <v>5</v>
      </c>
      <c r="P868" s="114">
        <f>IFERROR(IF('FA Addition'!$N868="WDV",1-('FA Addition'!$M868/'FA Addition'!$L868)^(1/'FA Addition'!$O868),1/'FA Addition'!$O868),0)</f>
        <v>0.2</v>
      </c>
      <c r="Q868" s="122">
        <f>'FA Addition'!$P868*'FA Addition'!$O868</f>
        <v>1</v>
      </c>
      <c r="R868" s="122"/>
      <c r="S868" s="116">
        <f>IF(AND(DATE(20&amp;LEFT(FAAddition[[#This Row],[FY]],2),4,1)&lt;$L$1+1,DATE(20&amp;LEFT(FAAddition[[#This Row],[FY]],2),4,1)&gt;$P$1-1),'FA Addition'!$J868,0)</f>
        <v>500</v>
      </c>
      <c r="U868" s="117">
        <f>S868*'FA Addition'!$L868/'FA Addition'!$J868</f>
        <v>495000</v>
      </c>
      <c r="W868" s="116">
        <f>SUMIFS('FA Write off'!D:D,'FA Write off'!A:A,'FA Addition'!$A868,'FA Write off'!C:C,"&lt;"&amp;'FA Addition'!$P$1)</f>
        <v>6</v>
      </c>
      <c r="Y868" s="191">
        <f>IFERROR(W868/'FA Addition'!$J868*'FA Addition'!$L868,0)</f>
        <v>5940</v>
      </c>
      <c r="AA868" s="116">
        <f>SUMIFS('FA Write off'!D:D,'FA Write off'!A:A,'FA Addition'!$A868,'FA Write off'!C:C,"&lt;"&amp;'FA Addition'!$L$1+1,'FA Write off'!C:C,"&gt;"&amp;'FA Addition'!$L$1-365)</f>
        <v>0</v>
      </c>
      <c r="AC868" s="118">
        <f>IFERROR(AA868/'FA Addition'!$J868*'FA Addition'!$L868,0)</f>
        <v>0</v>
      </c>
      <c r="AE868" s="117">
        <f>IF(AND('FA Addition'!$D868&lt;$P$1+1,U868=0),'FA Addition'!$L868,0)-Y868</f>
        <v>-5940</v>
      </c>
      <c r="AF868" s="117">
        <f t="shared" si="65"/>
        <v>489060</v>
      </c>
      <c r="AG868" s="117">
        <f>MIN(MAX(+$P$1-'FA Addition'!$D868,0),365*'FA Addition'!$O868)</f>
        <v>0</v>
      </c>
      <c r="AH868" s="117">
        <f>MIN(MAX($L$1-'FA Addition'!$D868+1,0),365*'FA Addition'!$O868)</f>
        <v>122</v>
      </c>
      <c r="AI868" s="117" cm="1">
        <f t="array" ref="AI868">_xlfn.XLOOKUP(1,('FA Write off'!A:A='FA Addition'!$A868)*('FA Write off'!D:D=AA868),'FA Write off'!H:H,0,0)</f>
        <v>0</v>
      </c>
      <c r="AJ868" s="117">
        <f>IF(AC868&gt;0,MAX(IF('FA Addition'!$N868="SLM",($AC868-'FA Addition'!$M868)*'FA Addition'!$P868*AI868/365,(AC868-'FA Addition'!$M868)*(1-(1-'FA Addition'!$P868)^(AI868/365))),0),0)</f>
        <v>0</v>
      </c>
      <c r="AL868" s="117">
        <f>MAX(IF(AG868&gt;0,IF('FA Addition'!$N868="SLM",($AE868-'FA Addition'!$M868)*'FA Addition'!$P868*AG868/365,IFERROR(VDB(AE868,AE868*0.05,'FA Addition'!$O868,0,YEARFRAC('FA Addition'!$C868,$P$1-1,3),'FA Addition'!$Q868),FAAddition[[#This Row],[Original Cost (Rs)]]-FAAddition[[#This Row],[Salvage Value]])),0),0)</f>
        <v>0</v>
      </c>
      <c r="AM868" s="119"/>
      <c r="AN868" s="117">
        <f>MAX(IF(AH868&gt;0,IF('FA Addition'!$N868="SLM",($AF868-'FA Addition'!$M868)*'FA Addition'!$P868*AH868/365,IFERROR(VDB(AF868,AF868*0.05,'FA Addition'!$O868,0,YEARFRAC('FA Addition'!$C868,$L$1,3),'FA Addition'!$Q868),FAAddition[[#This Row],[Original Cost (Rs)]]-FAAddition[[#This Row],[Salvage Value]])),0),0)</f>
        <v>31038.805479452054</v>
      </c>
      <c r="AO868" s="117">
        <f t="shared" si="68"/>
        <v>31038.805479452054</v>
      </c>
      <c r="AQ868" s="117">
        <f t="shared" si="66"/>
        <v>-5940</v>
      </c>
      <c r="AR868" s="120">
        <f t="shared" si="67"/>
        <v>458021.19452054793</v>
      </c>
      <c r="AS868" s="121"/>
    </row>
    <row r="869" spans="1:45" ht="13.5" x14ac:dyDescent="0.4">
      <c r="A869" s="12">
        <f t="shared" si="69"/>
        <v>866</v>
      </c>
      <c r="B869" s="64" t="s">
        <v>1308</v>
      </c>
      <c r="C869" s="54">
        <v>45262</v>
      </c>
      <c r="D869" s="54">
        <v>45262</v>
      </c>
      <c r="E869" s="46" t="s">
        <v>1495</v>
      </c>
      <c r="F869" s="51" t="s">
        <v>1496</v>
      </c>
      <c r="G869" s="51" t="s">
        <v>1499</v>
      </c>
      <c r="H869" s="51" t="s">
        <v>196</v>
      </c>
      <c r="I869" s="55" t="s">
        <v>1646</v>
      </c>
      <c r="J869" s="56">
        <v>35</v>
      </c>
      <c r="K869" s="51" t="s">
        <v>1647</v>
      </c>
      <c r="L869" s="58">
        <v>900000</v>
      </c>
      <c r="M869" s="50">
        <f>ROUND('FA Addition'!$L869*5%,0.1)</f>
        <v>45000</v>
      </c>
      <c r="N869" s="113" t="str">
        <f>_xlfn.XLOOKUP(_xlfn.CONCAT(E869,B869),'Year Wise Master Dep Approach'!F:F,'Year Wise Master Dep Approach'!D:D)</f>
        <v>SLM</v>
      </c>
      <c r="O869" s="113">
        <f>_xlfn.XLOOKUP(_xlfn.CONCAT(E869,B869),'Year Wise Master Dep Approach'!F:F,'Year Wise Master Dep Approach'!E:E)</f>
        <v>3</v>
      </c>
      <c r="P869" s="114">
        <f>IFERROR(IF('FA Addition'!$N869="WDV",1-('FA Addition'!$M869/'FA Addition'!$L869)^(1/'FA Addition'!$O869),1/'FA Addition'!$O869),0)</f>
        <v>0.33333333333333331</v>
      </c>
      <c r="Q869" s="122">
        <f>'FA Addition'!$P869*'FA Addition'!$O869</f>
        <v>1</v>
      </c>
      <c r="R869" s="122"/>
      <c r="S869" s="116">
        <f>IF(AND(DATE(20&amp;LEFT(FAAddition[[#This Row],[FY]],2),4,1)&lt;$L$1+1,DATE(20&amp;LEFT(FAAddition[[#This Row],[FY]],2),4,1)&gt;$P$1-1),'FA Addition'!$J869,0)</f>
        <v>35</v>
      </c>
      <c r="U869" s="117">
        <f>S869*'FA Addition'!$L869/'FA Addition'!$J869</f>
        <v>900000</v>
      </c>
      <c r="W869" s="116">
        <f>SUMIFS('FA Write off'!D:D,'FA Write off'!A:A,'FA Addition'!$A869,'FA Write off'!C:C,"&lt;"&amp;'FA Addition'!$P$1)</f>
        <v>0</v>
      </c>
      <c r="Y869" s="191">
        <f>IFERROR(W869/'FA Addition'!$J869*'FA Addition'!$L869,0)</f>
        <v>0</v>
      </c>
      <c r="AA869" s="116">
        <f>SUMIFS('FA Write off'!D:D,'FA Write off'!A:A,'FA Addition'!$A869,'FA Write off'!C:C,"&lt;"&amp;'FA Addition'!$L$1+1,'FA Write off'!C:C,"&gt;"&amp;'FA Addition'!$L$1-365)</f>
        <v>0</v>
      </c>
      <c r="AC869" s="118">
        <f>IFERROR(AA869/'FA Addition'!$J869*'FA Addition'!$L869,0)</f>
        <v>0</v>
      </c>
      <c r="AE869" s="117">
        <f>IF(AND('FA Addition'!$D869&lt;$P$1+1,U869=0),'FA Addition'!$L869,0)-Y869</f>
        <v>0</v>
      </c>
      <c r="AF869" s="117">
        <f t="shared" si="65"/>
        <v>900000</v>
      </c>
      <c r="AG869" s="117">
        <f>MIN(MAX(+$P$1-'FA Addition'!$D869,0),365*'FA Addition'!$O869)</f>
        <v>0</v>
      </c>
      <c r="AH869" s="117">
        <f>MIN(MAX($L$1-'FA Addition'!$D869+1,0),365*'FA Addition'!$O869)</f>
        <v>121</v>
      </c>
      <c r="AI869" s="117" cm="1">
        <f t="array" ref="AI869">_xlfn.XLOOKUP(1,('FA Write off'!A:A='FA Addition'!$A869)*('FA Write off'!D:D=AA869),'FA Write off'!H:H,0,0)</f>
        <v>0</v>
      </c>
      <c r="AJ869" s="117">
        <f>IF(AC869&gt;0,MAX(IF('FA Addition'!$N869="SLM",($AC869-'FA Addition'!$M869)*'FA Addition'!$P869*AI869/365,(AC869-'FA Addition'!$M869)*(1-(1-'FA Addition'!$P869)^(AI869/365))),0),0)</f>
        <v>0</v>
      </c>
      <c r="AL869" s="117">
        <f>MAX(IF(AG869&gt;0,IF('FA Addition'!$N869="SLM",($AE869-'FA Addition'!$M869)*'FA Addition'!$P869*AG869/365,IFERROR(VDB(AE869,AE869*0.05,'FA Addition'!$O869,0,YEARFRAC('FA Addition'!$C869,$P$1-1,3),'FA Addition'!$Q869),FAAddition[[#This Row],[Original Cost (Rs)]]-FAAddition[[#This Row],[Salvage Value]])),0),0)</f>
        <v>0</v>
      </c>
      <c r="AM869" s="119"/>
      <c r="AN869" s="117">
        <f>MAX(IF(AH869&gt;0,IF('FA Addition'!$N869="SLM",($AF869-'FA Addition'!$M869)*'FA Addition'!$P869*AH869/365,IFERROR(VDB(AF869,AF869*0.05,'FA Addition'!$O869,0,YEARFRAC('FA Addition'!$C869,$L$1,3),'FA Addition'!$Q869),FAAddition[[#This Row],[Original Cost (Rs)]]-FAAddition[[#This Row],[Salvage Value]])),0),0)</f>
        <v>94479.452054794514</v>
      </c>
      <c r="AO869" s="117">
        <f t="shared" si="68"/>
        <v>94479.452054794514</v>
      </c>
      <c r="AQ869" s="117">
        <f t="shared" si="66"/>
        <v>0</v>
      </c>
      <c r="AR869" s="120">
        <f t="shared" si="67"/>
        <v>805520.54794520547</v>
      </c>
      <c r="AS869" s="121"/>
    </row>
    <row r="870" spans="1:45" ht="13.5" x14ac:dyDescent="0.4">
      <c r="A870" s="12">
        <f t="shared" si="69"/>
        <v>867</v>
      </c>
      <c r="B870" s="64" t="s">
        <v>1308</v>
      </c>
      <c r="C870" s="54">
        <v>45265</v>
      </c>
      <c r="D870" s="54">
        <v>45265</v>
      </c>
      <c r="E870" s="46" t="s">
        <v>1389</v>
      </c>
      <c r="F870" s="51" t="s">
        <v>1112</v>
      </c>
      <c r="G870" s="51" t="s">
        <v>36</v>
      </c>
      <c r="H870" s="51" t="s">
        <v>1113</v>
      </c>
      <c r="I870" s="55" t="s">
        <v>1648</v>
      </c>
      <c r="J870" s="56">
        <v>2000</v>
      </c>
      <c r="K870" s="51" t="s">
        <v>1132</v>
      </c>
      <c r="L870" s="58">
        <v>1400000</v>
      </c>
      <c r="M870" s="50">
        <f>ROUND('FA Addition'!$L870*5%,0.1)</f>
        <v>70000</v>
      </c>
      <c r="N870" s="113" t="str">
        <f>_xlfn.XLOOKUP(_xlfn.CONCAT(E870,B870),'Year Wise Master Dep Approach'!F:F,'Year Wise Master Dep Approach'!D:D)</f>
        <v>SLM</v>
      </c>
      <c r="O870" s="113">
        <f>_xlfn.XLOOKUP(_xlfn.CONCAT(E870,B870),'Year Wise Master Dep Approach'!F:F,'Year Wise Master Dep Approach'!E:E)</f>
        <v>3</v>
      </c>
      <c r="P870" s="114">
        <f>IFERROR(IF('FA Addition'!$N870="WDV",1-('FA Addition'!$M870/'FA Addition'!$L870)^(1/'FA Addition'!$O870),1/'FA Addition'!$O870),0)</f>
        <v>0.33333333333333331</v>
      </c>
      <c r="Q870" s="122">
        <f>'FA Addition'!$P870*'FA Addition'!$O870</f>
        <v>1</v>
      </c>
      <c r="R870" s="122"/>
      <c r="S870" s="116">
        <f>IF(AND(DATE(20&amp;LEFT(FAAddition[[#This Row],[FY]],2),4,1)&lt;$L$1+1,DATE(20&amp;LEFT(FAAddition[[#This Row],[FY]],2),4,1)&gt;$P$1-1),'FA Addition'!$J870,0)</f>
        <v>2000</v>
      </c>
      <c r="U870" s="117">
        <f>S870*'FA Addition'!$L870/'FA Addition'!$J870</f>
        <v>1400000</v>
      </c>
      <c r="W870" s="116">
        <f>SUMIFS('FA Write off'!D:D,'FA Write off'!A:A,'FA Addition'!$A870,'FA Write off'!C:C,"&lt;"&amp;'FA Addition'!$P$1)</f>
        <v>0</v>
      </c>
      <c r="Y870" s="191">
        <f>IFERROR(W870/'FA Addition'!$J870*'FA Addition'!$L870,0)</f>
        <v>0</v>
      </c>
      <c r="AA870" s="116">
        <f>SUMIFS('FA Write off'!D:D,'FA Write off'!A:A,'FA Addition'!$A870,'FA Write off'!C:C,"&lt;"&amp;'FA Addition'!$L$1+1,'FA Write off'!C:C,"&gt;"&amp;'FA Addition'!$L$1-365)</f>
        <v>0</v>
      </c>
      <c r="AC870" s="118">
        <f>IFERROR(AA870/'FA Addition'!$J870*'FA Addition'!$L870,0)</f>
        <v>0</v>
      </c>
      <c r="AE870" s="117">
        <f>IF(AND('FA Addition'!$D870&lt;$P$1+1,U870=0),'FA Addition'!$L870,0)-Y870</f>
        <v>0</v>
      </c>
      <c r="AF870" s="117">
        <f t="shared" si="65"/>
        <v>1400000</v>
      </c>
      <c r="AG870" s="117">
        <f>MIN(MAX(+$P$1-'FA Addition'!$D870,0),365*'FA Addition'!$O870)</f>
        <v>0</v>
      </c>
      <c r="AH870" s="117">
        <f>MIN(MAX($L$1-'FA Addition'!$D870+1,0),365*'FA Addition'!$O870)</f>
        <v>118</v>
      </c>
      <c r="AI870" s="117" cm="1">
        <f t="array" ref="AI870">_xlfn.XLOOKUP(1,('FA Write off'!A:A='FA Addition'!$A870)*('FA Write off'!D:D=AA870),'FA Write off'!H:H,0,0)</f>
        <v>0</v>
      </c>
      <c r="AJ870" s="117">
        <f>IF(AC870&gt;0,MAX(IF('FA Addition'!$N870="SLM",($AC870-'FA Addition'!$M870)*'FA Addition'!$P870*AI870/365,(AC870-'FA Addition'!$M870)*(1-(1-'FA Addition'!$P870)^(AI870/365))),0),0)</f>
        <v>0</v>
      </c>
      <c r="AL870" s="117">
        <f>MAX(IF(AG870&gt;0,IF('FA Addition'!$N870="SLM",($AE870-'FA Addition'!$M870)*'FA Addition'!$P870*AG870/365,IFERROR(VDB(AE870,AE870*0.05,'FA Addition'!$O870,0,YEARFRAC('FA Addition'!$C870,$P$1-1,3),'FA Addition'!$Q870),FAAddition[[#This Row],[Original Cost (Rs)]]-FAAddition[[#This Row],[Salvage Value]])),0),0)</f>
        <v>0</v>
      </c>
      <c r="AM870" s="119"/>
      <c r="AN870" s="117">
        <f>MAX(IF(AH870&gt;0,IF('FA Addition'!$N870="SLM",($AF870-'FA Addition'!$M870)*'FA Addition'!$P870*AH870/365,IFERROR(VDB(AF870,AF870*0.05,'FA Addition'!$O870,0,YEARFRAC('FA Addition'!$C870,$L$1,3),'FA Addition'!$Q870),FAAddition[[#This Row],[Original Cost (Rs)]]-FAAddition[[#This Row],[Salvage Value]])),0),0)</f>
        <v>143324.20091324201</v>
      </c>
      <c r="AO870" s="117">
        <f t="shared" si="68"/>
        <v>143324.20091324201</v>
      </c>
      <c r="AQ870" s="117">
        <f t="shared" si="66"/>
        <v>0</v>
      </c>
      <c r="AR870" s="120">
        <f t="shared" si="67"/>
        <v>1256675.7990867579</v>
      </c>
      <c r="AS870" s="121"/>
    </row>
    <row r="871" spans="1:45" ht="13.5" x14ac:dyDescent="0.4">
      <c r="A871" s="12">
        <f t="shared" si="69"/>
        <v>868</v>
      </c>
      <c r="B871" s="64" t="s">
        <v>1308</v>
      </c>
      <c r="C871" s="54">
        <v>45269</v>
      </c>
      <c r="D871" s="54">
        <v>45269</v>
      </c>
      <c r="E871" s="46" t="s">
        <v>32</v>
      </c>
      <c r="F871" s="51" t="s">
        <v>1090</v>
      </c>
      <c r="G871" s="51" t="s">
        <v>433</v>
      </c>
      <c r="H871" s="51" t="s">
        <v>32</v>
      </c>
      <c r="I871" s="55" t="s">
        <v>1649</v>
      </c>
      <c r="J871" s="56">
        <v>1500</v>
      </c>
      <c r="K871" s="51" t="s">
        <v>935</v>
      </c>
      <c r="L871" s="58">
        <v>1485000</v>
      </c>
      <c r="M871" s="50">
        <f>ROUND('FA Addition'!$L871*5%,0.1)</f>
        <v>74250</v>
      </c>
      <c r="N871" s="113" t="str">
        <f>_xlfn.XLOOKUP(_xlfn.CONCAT(E871,B871),'Year Wise Master Dep Approach'!F:F,'Year Wise Master Dep Approach'!D:D)</f>
        <v>SLM</v>
      </c>
      <c r="O871" s="113">
        <f>_xlfn.XLOOKUP(_xlfn.CONCAT(E871,B871),'Year Wise Master Dep Approach'!F:F,'Year Wise Master Dep Approach'!E:E)</f>
        <v>5</v>
      </c>
      <c r="P871" s="114">
        <f>IFERROR(IF('FA Addition'!$N871="WDV",1-('FA Addition'!$M871/'FA Addition'!$L871)^(1/'FA Addition'!$O871),1/'FA Addition'!$O871),0)</f>
        <v>0.2</v>
      </c>
      <c r="Q871" s="122">
        <f>'FA Addition'!$P871*'FA Addition'!$O871</f>
        <v>1</v>
      </c>
      <c r="R871" s="122"/>
      <c r="S871" s="116">
        <f>IF(AND(DATE(20&amp;LEFT(FAAddition[[#This Row],[FY]],2),4,1)&lt;$L$1+1,DATE(20&amp;LEFT(FAAddition[[#This Row],[FY]],2),4,1)&gt;$P$1-1),'FA Addition'!$J871,0)</f>
        <v>1500</v>
      </c>
      <c r="U871" s="117">
        <f>S871*'FA Addition'!$L871/'FA Addition'!$J871</f>
        <v>1485000</v>
      </c>
      <c r="W871" s="116">
        <f>SUMIFS('FA Write off'!D:D,'FA Write off'!A:A,'FA Addition'!$A871,'FA Write off'!C:C,"&lt;"&amp;'FA Addition'!$P$1)</f>
        <v>34</v>
      </c>
      <c r="Y871" s="191">
        <f>IFERROR(W871/'FA Addition'!$J871*'FA Addition'!$L871,0)</f>
        <v>33660</v>
      </c>
      <c r="AA871" s="116">
        <f>SUMIFS('FA Write off'!D:D,'FA Write off'!A:A,'FA Addition'!$A871,'FA Write off'!C:C,"&lt;"&amp;'FA Addition'!$L$1+1,'FA Write off'!C:C,"&gt;"&amp;'FA Addition'!$L$1-365)</f>
        <v>0</v>
      </c>
      <c r="AC871" s="118">
        <f>IFERROR(AA871/'FA Addition'!$J871*'FA Addition'!$L871,0)</f>
        <v>0</v>
      </c>
      <c r="AE871" s="117">
        <f>IF(AND('FA Addition'!$D871&lt;$P$1+1,U871=0),'FA Addition'!$L871,0)-Y871</f>
        <v>-33660</v>
      </c>
      <c r="AF871" s="117">
        <f t="shared" si="65"/>
        <v>1451340</v>
      </c>
      <c r="AG871" s="117">
        <f>MIN(MAX(+$P$1-'FA Addition'!$D871,0),365*'FA Addition'!$O871)</f>
        <v>0</v>
      </c>
      <c r="AH871" s="117">
        <f>MIN(MAX($L$1-'FA Addition'!$D871+1,0),365*'FA Addition'!$O871)</f>
        <v>114</v>
      </c>
      <c r="AI871" s="117" cm="1">
        <f t="array" ref="AI871">_xlfn.XLOOKUP(1,('FA Write off'!A:A='FA Addition'!$A871)*('FA Write off'!D:D=AA871),'FA Write off'!H:H,0,0)</f>
        <v>0</v>
      </c>
      <c r="AJ871" s="117">
        <f>IF(AC871&gt;0,MAX(IF('FA Addition'!$N871="SLM",($AC871-'FA Addition'!$M871)*'FA Addition'!$P871*AI871/365,(AC871-'FA Addition'!$M871)*(1-(1-'FA Addition'!$P871)^(AI871/365))),0),0)</f>
        <v>0</v>
      </c>
      <c r="AL871" s="117">
        <f>MAX(IF(AG871&gt;0,IF('FA Addition'!$N871="SLM",($AE871-'FA Addition'!$M871)*'FA Addition'!$P871*AG871/365,IFERROR(VDB(AE871,AE871*0.05,'FA Addition'!$O871,0,YEARFRAC('FA Addition'!$C871,$P$1-1,3),'FA Addition'!$Q871),FAAddition[[#This Row],[Original Cost (Rs)]]-FAAddition[[#This Row],[Salvage Value]])),0),0)</f>
        <v>0</v>
      </c>
      <c r="AM871" s="119"/>
      <c r="AN871" s="117">
        <f>MAX(IF(AH871&gt;0,IF('FA Addition'!$N871="SLM",($AF871-'FA Addition'!$M871)*'FA Addition'!$P871*AH871/365,IFERROR(VDB(AF871,AF871*0.05,'FA Addition'!$O871,0,YEARFRAC('FA Addition'!$C871,$L$1,3),'FA Addition'!$Q871),FAAddition[[#This Row],[Original Cost (Rs)]]-FAAddition[[#This Row],[Salvage Value]])),0),0)</f>
        <v>86020.964383561644</v>
      </c>
      <c r="AO871" s="117">
        <f t="shared" si="68"/>
        <v>86020.964383561644</v>
      </c>
      <c r="AQ871" s="117">
        <f t="shared" si="66"/>
        <v>-33660</v>
      </c>
      <c r="AR871" s="120">
        <f t="shared" si="67"/>
        <v>1365319.0356164384</v>
      </c>
      <c r="AS871" s="121"/>
    </row>
    <row r="872" spans="1:45" ht="13.5" x14ac:dyDescent="0.4">
      <c r="A872" s="12">
        <f t="shared" si="69"/>
        <v>869</v>
      </c>
      <c r="B872" s="64" t="s">
        <v>1308</v>
      </c>
      <c r="C872" s="54">
        <v>45274</v>
      </c>
      <c r="D872" s="54">
        <v>45274</v>
      </c>
      <c r="E872" s="46" t="s">
        <v>1389</v>
      </c>
      <c r="F872" s="51" t="s">
        <v>1112</v>
      </c>
      <c r="G872" s="51" t="s">
        <v>36</v>
      </c>
      <c r="H872" s="51" t="s">
        <v>1113</v>
      </c>
      <c r="I872" s="55" t="s">
        <v>1650</v>
      </c>
      <c r="J872" s="56">
        <v>2000</v>
      </c>
      <c r="K872" s="51" t="s">
        <v>1132</v>
      </c>
      <c r="L872" s="58">
        <v>1400000</v>
      </c>
      <c r="M872" s="50">
        <f>ROUND('FA Addition'!$L872*5%,0.1)</f>
        <v>70000</v>
      </c>
      <c r="N872" s="113" t="str">
        <f>_xlfn.XLOOKUP(_xlfn.CONCAT(E872,B872),'Year Wise Master Dep Approach'!F:F,'Year Wise Master Dep Approach'!D:D)</f>
        <v>SLM</v>
      </c>
      <c r="O872" s="113">
        <f>_xlfn.XLOOKUP(_xlfn.CONCAT(E872,B872),'Year Wise Master Dep Approach'!F:F,'Year Wise Master Dep Approach'!E:E)</f>
        <v>3</v>
      </c>
      <c r="P872" s="114">
        <f>IFERROR(IF('FA Addition'!$N872="WDV",1-('FA Addition'!$M872/'FA Addition'!$L872)^(1/'FA Addition'!$O872),1/'FA Addition'!$O872),0)</f>
        <v>0.33333333333333331</v>
      </c>
      <c r="Q872" s="122">
        <f>'FA Addition'!$P872*'FA Addition'!$O872</f>
        <v>1</v>
      </c>
      <c r="R872" s="122"/>
      <c r="S872" s="116">
        <f>IF(AND(DATE(20&amp;LEFT(FAAddition[[#This Row],[FY]],2),4,1)&lt;$L$1+1,DATE(20&amp;LEFT(FAAddition[[#This Row],[FY]],2),4,1)&gt;$P$1-1),'FA Addition'!$J872,0)</f>
        <v>2000</v>
      </c>
      <c r="U872" s="117">
        <f>S872*'FA Addition'!$L872/'FA Addition'!$J872</f>
        <v>1400000</v>
      </c>
      <c r="W872" s="116">
        <f>SUMIFS('FA Write off'!D:D,'FA Write off'!A:A,'FA Addition'!$A872,'FA Write off'!C:C,"&lt;"&amp;'FA Addition'!$P$1)</f>
        <v>0</v>
      </c>
      <c r="Y872" s="191">
        <f>IFERROR(W872/'FA Addition'!$J872*'FA Addition'!$L872,0)</f>
        <v>0</v>
      </c>
      <c r="AA872" s="116">
        <f>SUMIFS('FA Write off'!D:D,'FA Write off'!A:A,'FA Addition'!$A872,'FA Write off'!C:C,"&lt;"&amp;'FA Addition'!$L$1+1,'FA Write off'!C:C,"&gt;"&amp;'FA Addition'!$L$1-365)</f>
        <v>0</v>
      </c>
      <c r="AC872" s="118">
        <f>IFERROR(AA872/'FA Addition'!$J872*'FA Addition'!$L872,0)</f>
        <v>0</v>
      </c>
      <c r="AE872" s="117">
        <f>IF(AND('FA Addition'!$D872&lt;$P$1+1,U872=0),'FA Addition'!$L872,0)-Y872</f>
        <v>0</v>
      </c>
      <c r="AF872" s="117">
        <f t="shared" si="65"/>
        <v>1400000</v>
      </c>
      <c r="AG872" s="117">
        <f>MIN(MAX(+$P$1-'FA Addition'!$D872,0),365*'FA Addition'!$O872)</f>
        <v>0</v>
      </c>
      <c r="AH872" s="117">
        <f>MIN(MAX($L$1-'FA Addition'!$D872+1,0),365*'FA Addition'!$O872)</f>
        <v>109</v>
      </c>
      <c r="AI872" s="117" cm="1">
        <f t="array" ref="AI872">_xlfn.XLOOKUP(1,('FA Write off'!A:A='FA Addition'!$A872)*('FA Write off'!D:D=AA872),'FA Write off'!H:H,0,0)</f>
        <v>0</v>
      </c>
      <c r="AJ872" s="117">
        <f>IF(AC872&gt;0,MAX(IF('FA Addition'!$N872="SLM",($AC872-'FA Addition'!$M872)*'FA Addition'!$P872*AI872/365,(AC872-'FA Addition'!$M872)*(1-(1-'FA Addition'!$P872)^(AI872/365))),0),0)</f>
        <v>0</v>
      </c>
      <c r="AL872" s="117">
        <f>MAX(IF(AG872&gt;0,IF('FA Addition'!$N872="SLM",($AE872-'FA Addition'!$M872)*'FA Addition'!$P872*AG872/365,IFERROR(VDB(AE872,AE872*0.05,'FA Addition'!$O872,0,YEARFRAC('FA Addition'!$C872,$P$1-1,3),'FA Addition'!$Q872),FAAddition[[#This Row],[Original Cost (Rs)]]-FAAddition[[#This Row],[Salvage Value]])),0),0)</f>
        <v>0</v>
      </c>
      <c r="AM872" s="119"/>
      <c r="AN872" s="117">
        <f>MAX(IF(AH872&gt;0,IF('FA Addition'!$N872="SLM",($AF872-'FA Addition'!$M872)*'FA Addition'!$P872*AH872/365,IFERROR(VDB(AF872,AF872*0.05,'FA Addition'!$O872,0,YEARFRAC('FA Addition'!$C872,$L$1,3),'FA Addition'!$Q872),FAAddition[[#This Row],[Original Cost (Rs)]]-FAAddition[[#This Row],[Salvage Value]])),0),0)</f>
        <v>132392.69406392693</v>
      </c>
      <c r="AO872" s="117">
        <f t="shared" si="68"/>
        <v>132392.69406392693</v>
      </c>
      <c r="AQ872" s="117">
        <f t="shared" si="66"/>
        <v>0</v>
      </c>
      <c r="AR872" s="120">
        <f t="shared" si="67"/>
        <v>1267607.305936073</v>
      </c>
      <c r="AS872" s="121"/>
    </row>
    <row r="873" spans="1:45" ht="13.5" x14ac:dyDescent="0.4">
      <c r="A873" s="12">
        <f t="shared" si="69"/>
        <v>870</v>
      </c>
      <c r="B873" s="64" t="s">
        <v>1308</v>
      </c>
      <c r="C873" s="54">
        <v>45276</v>
      </c>
      <c r="D873" s="54">
        <v>45276</v>
      </c>
      <c r="E873" s="46" t="s">
        <v>32</v>
      </c>
      <c r="F873" s="51" t="s">
        <v>1090</v>
      </c>
      <c r="G873" s="51" t="s">
        <v>433</v>
      </c>
      <c r="H873" s="51" t="s">
        <v>32</v>
      </c>
      <c r="I873" s="55" t="s">
        <v>1651</v>
      </c>
      <c r="J873" s="56">
        <v>1500</v>
      </c>
      <c r="K873" s="51" t="s">
        <v>935</v>
      </c>
      <c r="L873" s="58">
        <v>1485000</v>
      </c>
      <c r="M873" s="50">
        <f>ROUND('FA Addition'!$L873*5%,0.1)</f>
        <v>74250</v>
      </c>
      <c r="N873" s="113" t="str">
        <f>_xlfn.XLOOKUP(_xlfn.CONCAT(E873,B873),'Year Wise Master Dep Approach'!F:F,'Year Wise Master Dep Approach'!D:D)</f>
        <v>SLM</v>
      </c>
      <c r="O873" s="113">
        <f>_xlfn.XLOOKUP(_xlfn.CONCAT(E873,B873),'Year Wise Master Dep Approach'!F:F,'Year Wise Master Dep Approach'!E:E)</f>
        <v>5</v>
      </c>
      <c r="P873" s="114">
        <f>IFERROR(IF('FA Addition'!$N873="WDV",1-('FA Addition'!$M873/'FA Addition'!$L873)^(1/'FA Addition'!$O873),1/'FA Addition'!$O873),0)</f>
        <v>0.2</v>
      </c>
      <c r="Q873" s="122">
        <f>'FA Addition'!$P873*'FA Addition'!$O873</f>
        <v>1</v>
      </c>
      <c r="R873" s="122"/>
      <c r="S873" s="116">
        <f>IF(AND(DATE(20&amp;LEFT(FAAddition[[#This Row],[FY]],2),4,1)&lt;$L$1+1,DATE(20&amp;LEFT(FAAddition[[#This Row],[FY]],2),4,1)&gt;$P$1-1),'FA Addition'!$J873,0)</f>
        <v>1500</v>
      </c>
      <c r="U873" s="117">
        <f>S873*'FA Addition'!$L873/'FA Addition'!$J873</f>
        <v>1485000</v>
      </c>
      <c r="W873" s="116">
        <f>SUMIFS('FA Write off'!D:D,'FA Write off'!A:A,'FA Addition'!$A873,'FA Write off'!C:C,"&lt;"&amp;'FA Addition'!$P$1)</f>
        <v>28</v>
      </c>
      <c r="Y873" s="191">
        <f>IFERROR(W873/'FA Addition'!$J873*'FA Addition'!$L873,0)</f>
        <v>27720.000000000004</v>
      </c>
      <c r="AA873" s="116">
        <f>SUMIFS('FA Write off'!D:D,'FA Write off'!A:A,'FA Addition'!$A873,'FA Write off'!C:C,"&lt;"&amp;'FA Addition'!$L$1+1,'FA Write off'!C:C,"&gt;"&amp;'FA Addition'!$L$1-365)</f>
        <v>0</v>
      </c>
      <c r="AC873" s="118">
        <f>IFERROR(AA873/'FA Addition'!$J873*'FA Addition'!$L873,0)</f>
        <v>0</v>
      </c>
      <c r="AE873" s="117">
        <f>IF(AND('FA Addition'!$D873&lt;$P$1+1,U873=0),'FA Addition'!$L873,0)-Y873</f>
        <v>-27720.000000000004</v>
      </c>
      <c r="AF873" s="117">
        <f t="shared" si="65"/>
        <v>1457280</v>
      </c>
      <c r="AG873" s="117">
        <f>MIN(MAX(+$P$1-'FA Addition'!$D873,0),365*'FA Addition'!$O873)</f>
        <v>0</v>
      </c>
      <c r="AH873" s="117">
        <f>MIN(MAX($L$1-'FA Addition'!$D873+1,0),365*'FA Addition'!$O873)</f>
        <v>107</v>
      </c>
      <c r="AI873" s="117" cm="1">
        <f t="array" ref="AI873">_xlfn.XLOOKUP(1,('FA Write off'!A:A='FA Addition'!$A873)*('FA Write off'!D:D=AA873),'FA Write off'!H:H,0,0)</f>
        <v>0</v>
      </c>
      <c r="AJ873" s="117">
        <f>IF(AC873&gt;0,MAX(IF('FA Addition'!$N873="SLM",($AC873-'FA Addition'!$M873)*'FA Addition'!$P873*AI873/365,(AC873-'FA Addition'!$M873)*(1-(1-'FA Addition'!$P873)^(AI873/365))),0),0)</f>
        <v>0</v>
      </c>
      <c r="AL873" s="117">
        <f>MAX(IF(AG873&gt;0,IF('FA Addition'!$N873="SLM",($AE873-'FA Addition'!$M873)*'FA Addition'!$P873*AG873/365,IFERROR(VDB(AE873,AE873*0.05,'FA Addition'!$O873,0,YEARFRAC('FA Addition'!$C873,$P$1-1,3),'FA Addition'!$Q873),FAAddition[[#This Row],[Original Cost (Rs)]]-FAAddition[[#This Row],[Salvage Value]])),0),0)</f>
        <v>0</v>
      </c>
      <c r="AM873" s="119"/>
      <c r="AN873" s="117">
        <f>MAX(IF(AH873&gt;0,IF('FA Addition'!$N873="SLM",($AF873-'FA Addition'!$M873)*'FA Addition'!$P873*AH873/365,IFERROR(VDB(AF873,AF873*0.05,'FA Addition'!$O873,0,YEARFRAC('FA Addition'!$C873,$L$1,3),'FA Addition'!$Q873),FAAddition[[#This Row],[Original Cost (Rs)]]-FAAddition[[#This Row],[Salvage Value]])),0),0)</f>
        <v>81087.23835616438</v>
      </c>
      <c r="AO873" s="117">
        <f t="shared" si="68"/>
        <v>81087.23835616438</v>
      </c>
      <c r="AQ873" s="117">
        <f t="shared" si="66"/>
        <v>-27720.000000000004</v>
      </c>
      <c r="AR873" s="120">
        <f t="shared" si="67"/>
        <v>1376192.7616438356</v>
      </c>
      <c r="AS873" s="121"/>
    </row>
    <row r="874" spans="1:45" ht="13.5" x14ac:dyDescent="0.4">
      <c r="A874" s="12">
        <f t="shared" si="69"/>
        <v>871</v>
      </c>
      <c r="B874" s="64" t="s">
        <v>1308</v>
      </c>
      <c r="C874" s="54">
        <v>45276</v>
      </c>
      <c r="D874" s="54">
        <v>45276</v>
      </c>
      <c r="E874" s="46" t="s">
        <v>1320</v>
      </c>
      <c r="F874" s="51" t="s">
        <v>33</v>
      </c>
      <c r="G874" s="51" t="s">
        <v>36</v>
      </c>
      <c r="H874" s="51" t="s">
        <v>32</v>
      </c>
      <c r="I874" s="55" t="s">
        <v>1652</v>
      </c>
      <c r="J874" s="56">
        <v>800</v>
      </c>
      <c r="K874" s="51" t="s">
        <v>296</v>
      </c>
      <c r="L874" s="58">
        <v>1360000</v>
      </c>
      <c r="M874" s="50">
        <f>ROUND('FA Addition'!$L874*5%,0.1)</f>
        <v>68000</v>
      </c>
      <c r="N874" s="113" t="str">
        <f>_xlfn.XLOOKUP(_xlfn.CONCAT(E874,B874),'Year Wise Master Dep Approach'!F:F,'Year Wise Master Dep Approach'!D:D)</f>
        <v>SLM</v>
      </c>
      <c r="O874" s="113">
        <f>_xlfn.XLOOKUP(_xlfn.CONCAT(E874,B874),'Year Wise Master Dep Approach'!F:F,'Year Wise Master Dep Approach'!E:E)</f>
        <v>5</v>
      </c>
      <c r="P874" s="114">
        <f>IFERROR(IF('FA Addition'!$N874="WDV",1-('FA Addition'!$M874/'FA Addition'!$L874)^(1/'FA Addition'!$O874),1/'FA Addition'!$O874),0)</f>
        <v>0.2</v>
      </c>
      <c r="Q874" s="122">
        <f>'FA Addition'!$P874*'FA Addition'!$O874</f>
        <v>1</v>
      </c>
      <c r="R874" s="122"/>
      <c r="S874" s="116">
        <f>IF(AND(DATE(20&amp;LEFT(FAAddition[[#This Row],[FY]],2),4,1)&lt;$L$1+1,DATE(20&amp;LEFT(FAAddition[[#This Row],[FY]],2),4,1)&gt;$P$1-1),'FA Addition'!$J874,0)</f>
        <v>800</v>
      </c>
      <c r="U874" s="117">
        <f>S874*'FA Addition'!$L874/'FA Addition'!$J874</f>
        <v>1360000</v>
      </c>
      <c r="W874" s="116">
        <f>SUMIFS('FA Write off'!D:D,'FA Write off'!A:A,'FA Addition'!$A874,'FA Write off'!C:C,"&lt;"&amp;'FA Addition'!$P$1)</f>
        <v>0</v>
      </c>
      <c r="Y874" s="191">
        <f>IFERROR(W874/'FA Addition'!$J874*'FA Addition'!$L874,0)</f>
        <v>0</v>
      </c>
      <c r="AA874" s="116">
        <f>SUMIFS('FA Write off'!D:D,'FA Write off'!A:A,'FA Addition'!$A874,'FA Write off'!C:C,"&lt;"&amp;'FA Addition'!$L$1+1,'FA Write off'!C:C,"&gt;"&amp;'FA Addition'!$L$1-365)</f>
        <v>0</v>
      </c>
      <c r="AC874" s="118">
        <f>IFERROR(AA874/'FA Addition'!$J874*'FA Addition'!$L874,0)</f>
        <v>0</v>
      </c>
      <c r="AE874" s="117">
        <f>IF(AND('FA Addition'!$D874&lt;$P$1+1,U874=0),'FA Addition'!$L874,0)-Y874</f>
        <v>0</v>
      </c>
      <c r="AF874" s="117">
        <f t="shared" si="65"/>
        <v>1360000</v>
      </c>
      <c r="AG874" s="117">
        <f>MIN(MAX(+$P$1-'FA Addition'!$D874,0),365*'FA Addition'!$O874)</f>
        <v>0</v>
      </c>
      <c r="AH874" s="117">
        <f>MIN(MAX($L$1-'FA Addition'!$D874+1,0),365*'FA Addition'!$O874)</f>
        <v>107</v>
      </c>
      <c r="AI874" s="117" cm="1">
        <f t="array" ref="AI874">_xlfn.XLOOKUP(1,('FA Write off'!A:A='FA Addition'!$A874)*('FA Write off'!D:D=AA874),'FA Write off'!H:H,0,0)</f>
        <v>0</v>
      </c>
      <c r="AJ874" s="117">
        <f>IF(AC874&gt;0,MAX(IF('FA Addition'!$N874="SLM",($AC874-'FA Addition'!$M874)*'FA Addition'!$P874*AI874/365,(AC874-'FA Addition'!$M874)*(1-(1-'FA Addition'!$P874)^(AI874/365))),0),0)</f>
        <v>0</v>
      </c>
      <c r="AL874" s="117">
        <f>MAX(IF(AG874&gt;0,IF('FA Addition'!$N874="SLM",($AE874-'FA Addition'!$M874)*'FA Addition'!$P874*AG874/365,IFERROR(VDB(AE874,AE874*0.05,'FA Addition'!$O874,0,YEARFRAC('FA Addition'!$C874,$P$1-1,3),'FA Addition'!$Q874),FAAddition[[#This Row],[Original Cost (Rs)]]-FAAddition[[#This Row],[Salvage Value]])),0),0)</f>
        <v>0</v>
      </c>
      <c r="AM874" s="119"/>
      <c r="AN874" s="117">
        <f>MAX(IF(AH874&gt;0,IF('FA Addition'!$N874="SLM",($AF874-'FA Addition'!$M874)*'FA Addition'!$P874*AH874/365,IFERROR(VDB(AF874,AF874*0.05,'FA Addition'!$O874,0,YEARFRAC('FA Addition'!$C874,$L$1,3),'FA Addition'!$Q874),FAAddition[[#This Row],[Original Cost (Rs)]]-FAAddition[[#This Row],[Salvage Value]])),0),0)</f>
        <v>75750.136986301368</v>
      </c>
      <c r="AO874" s="117">
        <f t="shared" si="68"/>
        <v>75750.136986301368</v>
      </c>
      <c r="AQ874" s="117">
        <f t="shared" si="66"/>
        <v>0</v>
      </c>
      <c r="AR874" s="120">
        <f t="shared" si="67"/>
        <v>1284249.8630136987</v>
      </c>
      <c r="AS874" s="121"/>
    </row>
    <row r="875" spans="1:45" ht="13.5" x14ac:dyDescent="0.4">
      <c r="A875" s="12">
        <f t="shared" si="69"/>
        <v>872</v>
      </c>
      <c r="B875" s="64" t="s">
        <v>1308</v>
      </c>
      <c r="C875" s="54">
        <v>45276</v>
      </c>
      <c r="D875" s="54">
        <v>45276</v>
      </c>
      <c r="E875" s="46" t="s">
        <v>1389</v>
      </c>
      <c r="F875" s="51" t="s">
        <v>1112</v>
      </c>
      <c r="G875" s="51" t="s">
        <v>36</v>
      </c>
      <c r="H875" s="51" t="s">
        <v>1113</v>
      </c>
      <c r="I875" s="55" t="s">
        <v>1653</v>
      </c>
      <c r="J875" s="56">
        <v>200</v>
      </c>
      <c r="K875" s="51" t="s">
        <v>1132</v>
      </c>
      <c r="L875" s="58">
        <v>140000</v>
      </c>
      <c r="M875" s="50">
        <f>ROUND('FA Addition'!$L875*5%,0.1)</f>
        <v>7000</v>
      </c>
      <c r="N875" s="113" t="str">
        <f>_xlfn.XLOOKUP(_xlfn.CONCAT(E875,B875),'Year Wise Master Dep Approach'!F:F,'Year Wise Master Dep Approach'!D:D)</f>
        <v>SLM</v>
      </c>
      <c r="O875" s="113">
        <f>_xlfn.XLOOKUP(_xlfn.CONCAT(E875,B875),'Year Wise Master Dep Approach'!F:F,'Year Wise Master Dep Approach'!E:E)</f>
        <v>3</v>
      </c>
      <c r="P875" s="114">
        <f>IFERROR(IF('FA Addition'!$N875="WDV",1-('FA Addition'!$M875/'FA Addition'!$L875)^(1/'FA Addition'!$O875),1/'FA Addition'!$O875),0)</f>
        <v>0.33333333333333331</v>
      </c>
      <c r="Q875" s="122">
        <f>'FA Addition'!$P875*'FA Addition'!$O875</f>
        <v>1</v>
      </c>
      <c r="R875" s="122"/>
      <c r="S875" s="116">
        <f>IF(AND(DATE(20&amp;LEFT(FAAddition[[#This Row],[FY]],2),4,1)&lt;$L$1+1,DATE(20&amp;LEFT(FAAddition[[#This Row],[FY]],2),4,1)&gt;$P$1-1),'FA Addition'!$J875,0)</f>
        <v>200</v>
      </c>
      <c r="U875" s="117">
        <f>S875*'FA Addition'!$L875/'FA Addition'!$J875</f>
        <v>140000</v>
      </c>
      <c r="W875" s="116">
        <f>SUMIFS('FA Write off'!D:D,'FA Write off'!A:A,'FA Addition'!$A875,'FA Write off'!C:C,"&lt;"&amp;'FA Addition'!$P$1)</f>
        <v>0</v>
      </c>
      <c r="Y875" s="191">
        <f>IFERROR(W875/'FA Addition'!$J875*'FA Addition'!$L875,0)</f>
        <v>0</v>
      </c>
      <c r="AA875" s="116">
        <f>SUMIFS('FA Write off'!D:D,'FA Write off'!A:A,'FA Addition'!$A875,'FA Write off'!C:C,"&lt;"&amp;'FA Addition'!$L$1+1,'FA Write off'!C:C,"&gt;"&amp;'FA Addition'!$L$1-365)</f>
        <v>0</v>
      </c>
      <c r="AC875" s="118">
        <f>IFERROR(AA875/'FA Addition'!$J875*'FA Addition'!$L875,0)</f>
        <v>0</v>
      </c>
      <c r="AE875" s="117">
        <f>IF(AND('FA Addition'!$D875&lt;$P$1+1,U875=0),'FA Addition'!$L875,0)-Y875</f>
        <v>0</v>
      </c>
      <c r="AF875" s="117">
        <f t="shared" si="65"/>
        <v>140000</v>
      </c>
      <c r="AG875" s="117">
        <f>MIN(MAX(+$P$1-'FA Addition'!$D875,0),365*'FA Addition'!$O875)</f>
        <v>0</v>
      </c>
      <c r="AH875" s="117">
        <f>MIN(MAX($L$1-'FA Addition'!$D875+1,0),365*'FA Addition'!$O875)</f>
        <v>107</v>
      </c>
      <c r="AI875" s="117" cm="1">
        <f t="array" ref="AI875">_xlfn.XLOOKUP(1,('FA Write off'!A:A='FA Addition'!$A875)*('FA Write off'!D:D=AA875),'FA Write off'!H:H,0,0)</f>
        <v>0</v>
      </c>
      <c r="AJ875" s="117">
        <f>IF(AC875&gt;0,MAX(IF('FA Addition'!$N875="SLM",($AC875-'FA Addition'!$M875)*'FA Addition'!$P875*AI875/365,(AC875-'FA Addition'!$M875)*(1-(1-'FA Addition'!$P875)^(AI875/365))),0),0)</f>
        <v>0</v>
      </c>
      <c r="AL875" s="117">
        <f>MAX(IF(AG875&gt;0,IF('FA Addition'!$N875="SLM",($AE875-'FA Addition'!$M875)*'FA Addition'!$P875*AG875/365,IFERROR(VDB(AE875,AE875*0.05,'FA Addition'!$O875,0,YEARFRAC('FA Addition'!$C875,$P$1-1,3),'FA Addition'!$Q875),FAAddition[[#This Row],[Original Cost (Rs)]]-FAAddition[[#This Row],[Salvage Value]])),0),0)</f>
        <v>0</v>
      </c>
      <c r="AM875" s="119"/>
      <c r="AN875" s="117">
        <f>MAX(IF(AH875&gt;0,IF('FA Addition'!$N875="SLM",($AF875-'FA Addition'!$M875)*'FA Addition'!$P875*AH875/365,IFERROR(VDB(AF875,AF875*0.05,'FA Addition'!$O875,0,YEARFRAC('FA Addition'!$C875,$L$1,3),'FA Addition'!$Q875),FAAddition[[#This Row],[Original Cost (Rs)]]-FAAddition[[#This Row],[Salvage Value]])),0),0)</f>
        <v>12996.347031963469</v>
      </c>
      <c r="AO875" s="117">
        <f t="shared" si="68"/>
        <v>12996.347031963469</v>
      </c>
      <c r="AQ875" s="117">
        <f t="shared" si="66"/>
        <v>0</v>
      </c>
      <c r="AR875" s="120">
        <f t="shared" si="67"/>
        <v>127003.65296803653</v>
      </c>
      <c r="AS875" s="121"/>
    </row>
    <row r="876" spans="1:45" ht="13.5" x14ac:dyDescent="0.4">
      <c r="A876" s="12">
        <f t="shared" si="69"/>
        <v>873</v>
      </c>
      <c r="B876" s="64" t="s">
        <v>1308</v>
      </c>
      <c r="C876" s="54">
        <v>45279</v>
      </c>
      <c r="D876" s="54">
        <v>45279</v>
      </c>
      <c r="E876" s="46" t="s">
        <v>1320</v>
      </c>
      <c r="F876" s="51" t="s">
        <v>33</v>
      </c>
      <c r="G876" s="51" t="s">
        <v>36</v>
      </c>
      <c r="H876" s="51" t="s">
        <v>32</v>
      </c>
      <c r="I876" s="55" t="s">
        <v>1654</v>
      </c>
      <c r="J876" s="56">
        <v>1100</v>
      </c>
      <c r="K876" s="51" t="s">
        <v>296</v>
      </c>
      <c r="L876" s="58">
        <v>1870000</v>
      </c>
      <c r="M876" s="50">
        <f>ROUND('FA Addition'!$L876*5%,0.1)</f>
        <v>93500</v>
      </c>
      <c r="N876" s="113" t="str">
        <f>_xlfn.XLOOKUP(_xlfn.CONCAT(E876,B876),'Year Wise Master Dep Approach'!F:F,'Year Wise Master Dep Approach'!D:D)</f>
        <v>SLM</v>
      </c>
      <c r="O876" s="113">
        <f>_xlfn.XLOOKUP(_xlfn.CONCAT(E876,B876),'Year Wise Master Dep Approach'!F:F,'Year Wise Master Dep Approach'!E:E)</f>
        <v>5</v>
      </c>
      <c r="P876" s="114">
        <f>IFERROR(IF('FA Addition'!$N876="WDV",1-('FA Addition'!$M876/'FA Addition'!$L876)^(1/'FA Addition'!$O876),1/'FA Addition'!$O876),0)</f>
        <v>0.2</v>
      </c>
      <c r="Q876" s="122">
        <f>'FA Addition'!$P876*'FA Addition'!$O876</f>
        <v>1</v>
      </c>
      <c r="R876" s="122"/>
      <c r="S876" s="116">
        <f>IF(AND(DATE(20&amp;LEFT(FAAddition[[#This Row],[FY]],2),4,1)&lt;$L$1+1,DATE(20&amp;LEFT(FAAddition[[#This Row],[FY]],2),4,1)&gt;$P$1-1),'FA Addition'!$J876,0)</f>
        <v>1100</v>
      </c>
      <c r="U876" s="117">
        <f>S876*'FA Addition'!$L876/'FA Addition'!$J876</f>
        <v>1870000</v>
      </c>
      <c r="W876" s="116">
        <f>SUMIFS('FA Write off'!D:D,'FA Write off'!A:A,'FA Addition'!$A876,'FA Write off'!C:C,"&lt;"&amp;'FA Addition'!$P$1)</f>
        <v>0</v>
      </c>
      <c r="Y876" s="191">
        <f>IFERROR(W876/'FA Addition'!$J876*'FA Addition'!$L876,0)</f>
        <v>0</v>
      </c>
      <c r="AA876" s="116">
        <f>SUMIFS('FA Write off'!D:D,'FA Write off'!A:A,'FA Addition'!$A876,'FA Write off'!C:C,"&lt;"&amp;'FA Addition'!$L$1+1,'FA Write off'!C:C,"&gt;"&amp;'FA Addition'!$L$1-365)</f>
        <v>0</v>
      </c>
      <c r="AC876" s="118">
        <f>IFERROR(AA876/'FA Addition'!$J876*'FA Addition'!$L876,0)</f>
        <v>0</v>
      </c>
      <c r="AE876" s="117">
        <f>IF(AND('FA Addition'!$D876&lt;$P$1+1,U876=0),'FA Addition'!$L876,0)-Y876</f>
        <v>0</v>
      </c>
      <c r="AF876" s="117">
        <f t="shared" si="65"/>
        <v>1870000</v>
      </c>
      <c r="AG876" s="117">
        <f>MIN(MAX(+$P$1-'FA Addition'!$D876,0),365*'FA Addition'!$O876)</f>
        <v>0</v>
      </c>
      <c r="AH876" s="117">
        <f>MIN(MAX($L$1-'FA Addition'!$D876+1,0),365*'FA Addition'!$O876)</f>
        <v>104</v>
      </c>
      <c r="AI876" s="117" cm="1">
        <f t="array" ref="AI876">_xlfn.XLOOKUP(1,('FA Write off'!A:A='FA Addition'!$A876)*('FA Write off'!D:D=AA876),'FA Write off'!H:H,0,0)</f>
        <v>0</v>
      </c>
      <c r="AJ876" s="117">
        <f>IF(AC876&gt;0,MAX(IF('FA Addition'!$N876="SLM",($AC876-'FA Addition'!$M876)*'FA Addition'!$P876*AI876/365,(AC876-'FA Addition'!$M876)*(1-(1-'FA Addition'!$P876)^(AI876/365))),0),0)</f>
        <v>0</v>
      </c>
      <c r="AL876" s="117">
        <f>MAX(IF(AG876&gt;0,IF('FA Addition'!$N876="SLM",($AE876-'FA Addition'!$M876)*'FA Addition'!$P876*AG876/365,IFERROR(VDB(AE876,AE876*0.05,'FA Addition'!$O876,0,YEARFRAC('FA Addition'!$C876,$P$1-1,3),'FA Addition'!$Q876),FAAddition[[#This Row],[Original Cost (Rs)]]-FAAddition[[#This Row],[Salvage Value]])),0),0)</f>
        <v>0</v>
      </c>
      <c r="AM876" s="119"/>
      <c r="AN876" s="117">
        <f>MAX(IF(AH876&gt;0,IF('FA Addition'!$N876="SLM",($AF876-'FA Addition'!$M876)*'FA Addition'!$P876*AH876/365,IFERROR(VDB(AF876,AF876*0.05,'FA Addition'!$O876,0,YEARFRAC('FA Addition'!$C876,$L$1,3),'FA Addition'!$Q876),FAAddition[[#This Row],[Original Cost (Rs)]]-FAAddition[[#This Row],[Salvage Value]])),0),0)</f>
        <v>101236.16438356164</v>
      </c>
      <c r="AO876" s="117">
        <f t="shared" si="68"/>
        <v>101236.16438356164</v>
      </c>
      <c r="AQ876" s="117">
        <f t="shared" si="66"/>
        <v>0</v>
      </c>
      <c r="AR876" s="120">
        <f t="shared" si="67"/>
        <v>1768763.8356164384</v>
      </c>
      <c r="AS876" s="121"/>
    </row>
    <row r="877" spans="1:45" ht="13.5" x14ac:dyDescent="0.4">
      <c r="A877" s="12">
        <f t="shared" si="69"/>
        <v>874</v>
      </c>
      <c r="B877" s="64" t="s">
        <v>1308</v>
      </c>
      <c r="C877" s="54">
        <v>45279</v>
      </c>
      <c r="D877" s="54">
        <v>45279</v>
      </c>
      <c r="E877" s="46" t="s">
        <v>1320</v>
      </c>
      <c r="F877" s="51" t="s">
        <v>33</v>
      </c>
      <c r="G877" s="51" t="s">
        <v>36</v>
      </c>
      <c r="H877" s="51" t="s">
        <v>32</v>
      </c>
      <c r="I877" s="55" t="s">
        <v>1655</v>
      </c>
      <c r="J877" s="56">
        <v>1100</v>
      </c>
      <c r="K877" s="51" t="s">
        <v>296</v>
      </c>
      <c r="L877" s="58">
        <v>1870000</v>
      </c>
      <c r="M877" s="50">
        <f>ROUND('FA Addition'!$L877*5%,0.1)</f>
        <v>93500</v>
      </c>
      <c r="N877" s="113" t="str">
        <f>_xlfn.XLOOKUP(_xlfn.CONCAT(E877,B877),'Year Wise Master Dep Approach'!F:F,'Year Wise Master Dep Approach'!D:D)</f>
        <v>SLM</v>
      </c>
      <c r="O877" s="113">
        <f>_xlfn.XLOOKUP(_xlfn.CONCAT(E877,B877),'Year Wise Master Dep Approach'!F:F,'Year Wise Master Dep Approach'!E:E)</f>
        <v>5</v>
      </c>
      <c r="P877" s="114">
        <f>IFERROR(IF('FA Addition'!$N877="WDV",1-('FA Addition'!$M877/'FA Addition'!$L877)^(1/'FA Addition'!$O877),1/'FA Addition'!$O877),0)</f>
        <v>0.2</v>
      </c>
      <c r="Q877" s="122">
        <f>'FA Addition'!$P877*'FA Addition'!$O877</f>
        <v>1</v>
      </c>
      <c r="R877" s="122"/>
      <c r="S877" s="116">
        <f>IF(AND(DATE(20&amp;LEFT(FAAddition[[#This Row],[FY]],2),4,1)&lt;$L$1+1,DATE(20&amp;LEFT(FAAddition[[#This Row],[FY]],2),4,1)&gt;$P$1-1),'FA Addition'!$J877,0)</f>
        <v>1100</v>
      </c>
      <c r="U877" s="117">
        <f>S877*'FA Addition'!$L877/'FA Addition'!$J877</f>
        <v>1870000</v>
      </c>
      <c r="W877" s="116">
        <f>SUMIFS('FA Write off'!D:D,'FA Write off'!A:A,'FA Addition'!$A877,'FA Write off'!C:C,"&lt;"&amp;'FA Addition'!$P$1)</f>
        <v>0</v>
      </c>
      <c r="Y877" s="191">
        <f>IFERROR(W877/'FA Addition'!$J877*'FA Addition'!$L877,0)</f>
        <v>0</v>
      </c>
      <c r="AA877" s="116">
        <f>SUMIFS('FA Write off'!D:D,'FA Write off'!A:A,'FA Addition'!$A877,'FA Write off'!C:C,"&lt;"&amp;'FA Addition'!$L$1+1,'FA Write off'!C:C,"&gt;"&amp;'FA Addition'!$L$1-365)</f>
        <v>0</v>
      </c>
      <c r="AC877" s="118">
        <f>IFERROR(AA877/'FA Addition'!$J877*'FA Addition'!$L877,0)</f>
        <v>0</v>
      </c>
      <c r="AE877" s="117">
        <f>IF(AND('FA Addition'!$D877&lt;$P$1+1,U877=0),'FA Addition'!$L877,0)-Y877</f>
        <v>0</v>
      </c>
      <c r="AF877" s="117">
        <f t="shared" si="65"/>
        <v>1870000</v>
      </c>
      <c r="AG877" s="117">
        <f>MIN(MAX(+$P$1-'FA Addition'!$D877,0),365*'FA Addition'!$O877)</f>
        <v>0</v>
      </c>
      <c r="AH877" s="117">
        <f>MIN(MAX($L$1-'FA Addition'!$D877+1,0),365*'FA Addition'!$O877)</f>
        <v>104</v>
      </c>
      <c r="AI877" s="117" cm="1">
        <f t="array" ref="AI877">_xlfn.XLOOKUP(1,('FA Write off'!A:A='FA Addition'!$A877)*('FA Write off'!D:D=AA877),'FA Write off'!H:H,0,0)</f>
        <v>0</v>
      </c>
      <c r="AJ877" s="117">
        <f>IF(AC877&gt;0,MAX(IF('FA Addition'!$N877="SLM",($AC877-'FA Addition'!$M877)*'FA Addition'!$P877*AI877/365,(AC877-'FA Addition'!$M877)*(1-(1-'FA Addition'!$P877)^(AI877/365))),0),0)</f>
        <v>0</v>
      </c>
      <c r="AL877" s="117">
        <f>MAX(IF(AG877&gt;0,IF('FA Addition'!$N877="SLM",($AE877-'FA Addition'!$M877)*'FA Addition'!$P877*AG877/365,IFERROR(VDB(AE877,AE877*0.05,'FA Addition'!$O877,0,YEARFRAC('FA Addition'!$C877,$P$1-1,3),'FA Addition'!$Q877),FAAddition[[#This Row],[Original Cost (Rs)]]-FAAddition[[#This Row],[Salvage Value]])),0),0)</f>
        <v>0</v>
      </c>
      <c r="AM877" s="119"/>
      <c r="AN877" s="117">
        <f>MAX(IF(AH877&gt;0,IF('FA Addition'!$N877="SLM",($AF877-'FA Addition'!$M877)*'FA Addition'!$P877*AH877/365,IFERROR(VDB(AF877,AF877*0.05,'FA Addition'!$O877,0,YEARFRAC('FA Addition'!$C877,$L$1,3),'FA Addition'!$Q877),FAAddition[[#This Row],[Original Cost (Rs)]]-FAAddition[[#This Row],[Salvage Value]])),0),0)</f>
        <v>101236.16438356164</v>
      </c>
      <c r="AO877" s="117">
        <f t="shared" si="68"/>
        <v>101236.16438356164</v>
      </c>
      <c r="AQ877" s="117">
        <f t="shared" si="66"/>
        <v>0</v>
      </c>
      <c r="AR877" s="120">
        <f t="shared" si="67"/>
        <v>1768763.8356164384</v>
      </c>
      <c r="AS877" s="121"/>
    </row>
    <row r="878" spans="1:45" ht="13.5" x14ac:dyDescent="0.4">
      <c r="A878" s="12">
        <f t="shared" si="69"/>
        <v>875</v>
      </c>
      <c r="B878" s="64" t="s">
        <v>1308</v>
      </c>
      <c r="C878" s="54">
        <v>45280</v>
      </c>
      <c r="D878" s="54">
        <v>45280</v>
      </c>
      <c r="E878" s="46" t="s">
        <v>32</v>
      </c>
      <c r="F878" s="51" t="s">
        <v>1090</v>
      </c>
      <c r="G878" s="51" t="s">
        <v>433</v>
      </c>
      <c r="H878" s="51" t="s">
        <v>32</v>
      </c>
      <c r="I878" s="55" t="s">
        <v>1656</v>
      </c>
      <c r="J878" s="56">
        <v>500</v>
      </c>
      <c r="K878" s="51" t="s">
        <v>935</v>
      </c>
      <c r="L878" s="58">
        <v>495000</v>
      </c>
      <c r="M878" s="50">
        <f>ROUND('FA Addition'!$L878*5%,0.1)</f>
        <v>24750</v>
      </c>
      <c r="N878" s="113" t="str">
        <f>_xlfn.XLOOKUP(_xlfn.CONCAT(E878,B878),'Year Wise Master Dep Approach'!F:F,'Year Wise Master Dep Approach'!D:D)</f>
        <v>SLM</v>
      </c>
      <c r="O878" s="113">
        <f>_xlfn.XLOOKUP(_xlfn.CONCAT(E878,B878),'Year Wise Master Dep Approach'!F:F,'Year Wise Master Dep Approach'!E:E)</f>
        <v>5</v>
      </c>
      <c r="P878" s="114">
        <f>IFERROR(IF('FA Addition'!$N878="WDV",1-('FA Addition'!$M878/'FA Addition'!$L878)^(1/'FA Addition'!$O878),1/'FA Addition'!$O878),0)</f>
        <v>0.2</v>
      </c>
      <c r="Q878" s="122">
        <f>'FA Addition'!$P878*'FA Addition'!$O878</f>
        <v>1</v>
      </c>
      <c r="R878" s="122"/>
      <c r="S878" s="116">
        <f>IF(AND(DATE(20&amp;LEFT(FAAddition[[#This Row],[FY]],2),4,1)&lt;$L$1+1,DATE(20&amp;LEFT(FAAddition[[#This Row],[FY]],2),4,1)&gt;$P$1-1),'FA Addition'!$J878,0)</f>
        <v>500</v>
      </c>
      <c r="U878" s="117">
        <f>S878*'FA Addition'!$L878/'FA Addition'!$J878</f>
        <v>495000</v>
      </c>
      <c r="W878" s="116">
        <f>SUMIFS('FA Write off'!D:D,'FA Write off'!A:A,'FA Addition'!$A878,'FA Write off'!C:C,"&lt;"&amp;'FA Addition'!$P$1)</f>
        <v>4</v>
      </c>
      <c r="Y878" s="191">
        <f>IFERROR(W878/'FA Addition'!$J878*'FA Addition'!$L878,0)</f>
        <v>3960</v>
      </c>
      <c r="AA878" s="116">
        <f>SUMIFS('FA Write off'!D:D,'FA Write off'!A:A,'FA Addition'!$A878,'FA Write off'!C:C,"&lt;"&amp;'FA Addition'!$L$1+1,'FA Write off'!C:C,"&gt;"&amp;'FA Addition'!$L$1-365)</f>
        <v>0</v>
      </c>
      <c r="AC878" s="118">
        <f>IFERROR(AA878/'FA Addition'!$J878*'FA Addition'!$L878,0)</f>
        <v>0</v>
      </c>
      <c r="AE878" s="117">
        <f>IF(AND('FA Addition'!$D878&lt;$P$1+1,U878=0),'FA Addition'!$L878,0)-Y878</f>
        <v>-3960</v>
      </c>
      <c r="AF878" s="117">
        <f t="shared" si="65"/>
        <v>491040</v>
      </c>
      <c r="AG878" s="117">
        <f>MIN(MAX(+$P$1-'FA Addition'!$D878,0),365*'FA Addition'!$O878)</f>
        <v>0</v>
      </c>
      <c r="AH878" s="117">
        <f>MIN(MAX($L$1-'FA Addition'!$D878+1,0),365*'FA Addition'!$O878)</f>
        <v>103</v>
      </c>
      <c r="AI878" s="117" cm="1">
        <f t="array" ref="AI878">_xlfn.XLOOKUP(1,('FA Write off'!A:A='FA Addition'!$A878)*('FA Write off'!D:D=AA878),'FA Write off'!H:H,0,0)</f>
        <v>0</v>
      </c>
      <c r="AJ878" s="117">
        <f>IF(AC878&gt;0,MAX(IF('FA Addition'!$N878="SLM",($AC878-'FA Addition'!$M878)*'FA Addition'!$P878*AI878/365,(AC878-'FA Addition'!$M878)*(1-(1-'FA Addition'!$P878)^(AI878/365))),0),0)</f>
        <v>0</v>
      </c>
      <c r="AL878" s="117">
        <f>MAX(IF(AG878&gt;0,IF('FA Addition'!$N878="SLM",($AE878-'FA Addition'!$M878)*'FA Addition'!$P878*AG878/365,IFERROR(VDB(AE878,AE878*0.05,'FA Addition'!$O878,0,YEARFRAC('FA Addition'!$C878,$P$1-1,3),'FA Addition'!$Q878),FAAddition[[#This Row],[Original Cost (Rs)]]-FAAddition[[#This Row],[Salvage Value]])),0),0)</f>
        <v>0</v>
      </c>
      <c r="AM878" s="119"/>
      <c r="AN878" s="117">
        <f>MAX(IF(AH878&gt;0,IF('FA Addition'!$N878="SLM",($AF878-'FA Addition'!$M878)*'FA Addition'!$P878*AH878/365,IFERROR(VDB(AF878,AF878*0.05,'FA Addition'!$O878,0,YEARFRAC('FA Addition'!$C878,$L$1,3),'FA Addition'!$Q878),FAAddition[[#This Row],[Original Cost (Rs)]]-FAAddition[[#This Row],[Salvage Value]])),0),0)</f>
        <v>26316.641095890413</v>
      </c>
      <c r="AO878" s="117">
        <f t="shared" si="68"/>
        <v>26316.641095890413</v>
      </c>
      <c r="AQ878" s="117">
        <f t="shared" si="66"/>
        <v>-3960</v>
      </c>
      <c r="AR878" s="120">
        <f t="shared" si="67"/>
        <v>464723.35890410957</v>
      </c>
      <c r="AS878" s="121"/>
    </row>
    <row r="879" spans="1:45" ht="13.5" x14ac:dyDescent="0.4">
      <c r="A879" s="12">
        <f t="shared" si="69"/>
        <v>876</v>
      </c>
      <c r="B879" s="64" t="s">
        <v>1308</v>
      </c>
      <c r="C879" s="54">
        <v>45281</v>
      </c>
      <c r="D879" s="54">
        <v>45281</v>
      </c>
      <c r="E879" s="46" t="s">
        <v>1389</v>
      </c>
      <c r="F879" s="51" t="s">
        <v>1112</v>
      </c>
      <c r="G879" s="51" t="s">
        <v>36</v>
      </c>
      <c r="H879" s="51" t="s">
        <v>1113</v>
      </c>
      <c r="I879" s="55" t="s">
        <v>1657</v>
      </c>
      <c r="J879" s="56">
        <v>800</v>
      </c>
      <c r="K879" s="51" t="s">
        <v>1132</v>
      </c>
      <c r="L879" s="58">
        <v>560000</v>
      </c>
      <c r="M879" s="50">
        <f>ROUND('FA Addition'!$L879*5%,0.1)</f>
        <v>28000</v>
      </c>
      <c r="N879" s="113" t="str">
        <f>_xlfn.XLOOKUP(_xlfn.CONCAT(E879,B879),'Year Wise Master Dep Approach'!F:F,'Year Wise Master Dep Approach'!D:D)</f>
        <v>SLM</v>
      </c>
      <c r="O879" s="113">
        <f>_xlfn.XLOOKUP(_xlfn.CONCAT(E879,B879),'Year Wise Master Dep Approach'!F:F,'Year Wise Master Dep Approach'!E:E)</f>
        <v>3</v>
      </c>
      <c r="P879" s="114">
        <f>IFERROR(IF('FA Addition'!$N879="WDV",1-('FA Addition'!$M879/'FA Addition'!$L879)^(1/'FA Addition'!$O879),1/'FA Addition'!$O879),0)</f>
        <v>0.33333333333333331</v>
      </c>
      <c r="Q879" s="122">
        <f>'FA Addition'!$P879*'FA Addition'!$O879</f>
        <v>1</v>
      </c>
      <c r="R879" s="122"/>
      <c r="S879" s="116">
        <f>IF(AND(DATE(20&amp;LEFT(FAAddition[[#This Row],[FY]],2),4,1)&lt;$L$1+1,DATE(20&amp;LEFT(FAAddition[[#This Row],[FY]],2),4,1)&gt;$P$1-1),'FA Addition'!$J879,0)</f>
        <v>800</v>
      </c>
      <c r="U879" s="117">
        <f>S879*'FA Addition'!$L879/'FA Addition'!$J879</f>
        <v>560000</v>
      </c>
      <c r="W879" s="116">
        <f>SUMIFS('FA Write off'!D:D,'FA Write off'!A:A,'FA Addition'!$A879,'FA Write off'!C:C,"&lt;"&amp;'FA Addition'!$P$1)</f>
        <v>0</v>
      </c>
      <c r="Y879" s="191">
        <f>IFERROR(W879/'FA Addition'!$J879*'FA Addition'!$L879,0)</f>
        <v>0</v>
      </c>
      <c r="AA879" s="116">
        <f>SUMIFS('FA Write off'!D:D,'FA Write off'!A:A,'FA Addition'!$A879,'FA Write off'!C:C,"&lt;"&amp;'FA Addition'!$L$1+1,'FA Write off'!C:C,"&gt;"&amp;'FA Addition'!$L$1-365)</f>
        <v>0</v>
      </c>
      <c r="AC879" s="118">
        <f>IFERROR(AA879/'FA Addition'!$J879*'FA Addition'!$L879,0)</f>
        <v>0</v>
      </c>
      <c r="AE879" s="117">
        <f>IF(AND('FA Addition'!$D879&lt;$P$1+1,U879=0),'FA Addition'!$L879,0)-Y879</f>
        <v>0</v>
      </c>
      <c r="AF879" s="117">
        <f t="shared" si="65"/>
        <v>560000</v>
      </c>
      <c r="AG879" s="117">
        <f>MIN(MAX(+$P$1-'FA Addition'!$D879,0),365*'FA Addition'!$O879)</f>
        <v>0</v>
      </c>
      <c r="AH879" s="117">
        <f>MIN(MAX($L$1-'FA Addition'!$D879+1,0),365*'FA Addition'!$O879)</f>
        <v>102</v>
      </c>
      <c r="AI879" s="117" cm="1">
        <f t="array" ref="AI879">_xlfn.XLOOKUP(1,('FA Write off'!A:A='FA Addition'!$A879)*('FA Write off'!D:D=AA879),'FA Write off'!H:H,0,0)</f>
        <v>0</v>
      </c>
      <c r="AJ879" s="117">
        <f>IF(AC879&gt;0,MAX(IF('FA Addition'!$N879="SLM",($AC879-'FA Addition'!$M879)*'FA Addition'!$P879*AI879/365,(AC879-'FA Addition'!$M879)*(1-(1-'FA Addition'!$P879)^(AI879/365))),0),0)</f>
        <v>0</v>
      </c>
      <c r="AL879" s="117">
        <f>MAX(IF(AG879&gt;0,IF('FA Addition'!$N879="SLM",($AE879-'FA Addition'!$M879)*'FA Addition'!$P879*AG879/365,IFERROR(VDB(AE879,AE879*0.05,'FA Addition'!$O879,0,YEARFRAC('FA Addition'!$C879,$P$1-1,3),'FA Addition'!$Q879),FAAddition[[#This Row],[Original Cost (Rs)]]-FAAddition[[#This Row],[Salvage Value]])),0),0)</f>
        <v>0</v>
      </c>
      <c r="AM879" s="119"/>
      <c r="AN879" s="117">
        <f>MAX(IF(AH879&gt;0,IF('FA Addition'!$N879="SLM",($AF879-'FA Addition'!$M879)*'FA Addition'!$P879*AH879/365,IFERROR(VDB(AF879,AF879*0.05,'FA Addition'!$O879,0,YEARFRAC('FA Addition'!$C879,$L$1,3),'FA Addition'!$Q879),FAAddition[[#This Row],[Original Cost (Rs)]]-FAAddition[[#This Row],[Salvage Value]])),0),0)</f>
        <v>49556.164383561634</v>
      </c>
      <c r="AO879" s="117">
        <f t="shared" si="68"/>
        <v>49556.164383561634</v>
      </c>
      <c r="AQ879" s="117">
        <f t="shared" si="66"/>
        <v>0</v>
      </c>
      <c r="AR879" s="120">
        <f t="shared" si="67"/>
        <v>510443.83561643836</v>
      </c>
      <c r="AS879" s="121"/>
    </row>
    <row r="880" spans="1:45" ht="13.5" x14ac:dyDescent="0.4">
      <c r="A880" s="12">
        <f t="shared" si="69"/>
        <v>877</v>
      </c>
      <c r="B880" s="64" t="s">
        <v>1308</v>
      </c>
      <c r="C880" s="54">
        <v>45281</v>
      </c>
      <c r="D880" s="54">
        <v>45281</v>
      </c>
      <c r="E880" s="46" t="s">
        <v>451</v>
      </c>
      <c r="F880" s="51" t="s">
        <v>19</v>
      </c>
      <c r="G880" s="51" t="s">
        <v>1134</v>
      </c>
      <c r="H880" s="51" t="s">
        <v>21</v>
      </c>
      <c r="I880" s="55" t="s">
        <v>1658</v>
      </c>
      <c r="J880" s="56">
        <v>1</v>
      </c>
      <c r="K880" s="51" t="s">
        <v>1552</v>
      </c>
      <c r="L880" s="58">
        <v>31347.46</v>
      </c>
      <c r="M880" s="50">
        <f>ROUND('FA Addition'!$L880*5%,0.1)</f>
        <v>1567</v>
      </c>
      <c r="N880" s="113" t="str">
        <f>_xlfn.XLOOKUP(_xlfn.CONCAT(E880,B880),'Year Wise Master Dep Approach'!F:F,'Year Wise Master Dep Approach'!D:D)</f>
        <v>WDV</v>
      </c>
      <c r="O880" s="113">
        <f>_xlfn.XLOOKUP(_xlfn.CONCAT(E880,B880),'Year Wise Master Dep Approach'!F:F,'Year Wise Master Dep Approach'!E:E)</f>
        <v>3</v>
      </c>
      <c r="P880" s="114">
        <f>IFERROR(IF('FA Addition'!$N880="WDV",1-('FA Addition'!$M880/'FA Addition'!$L880)^(1/'FA Addition'!$O880),1/'FA Addition'!$O880),0)</f>
        <v>0.63162607637988777</v>
      </c>
      <c r="Q880" s="122">
        <f>'FA Addition'!$P880*'FA Addition'!$O880</f>
        <v>1.8948782291396633</v>
      </c>
      <c r="R880" s="122"/>
      <c r="S880" s="116">
        <f>IF(AND(DATE(20&amp;LEFT(FAAddition[[#This Row],[FY]],2),4,1)&lt;$L$1+1,DATE(20&amp;LEFT(FAAddition[[#This Row],[FY]],2),4,1)&gt;$P$1-1),'FA Addition'!$J880,0)</f>
        <v>1</v>
      </c>
      <c r="U880" s="117">
        <f>S880*'FA Addition'!$L880/'FA Addition'!$J880</f>
        <v>31347.46</v>
      </c>
      <c r="W880" s="116">
        <f>SUMIFS('FA Write off'!D:D,'FA Write off'!A:A,'FA Addition'!$A880,'FA Write off'!C:C,"&lt;"&amp;'FA Addition'!$P$1)</f>
        <v>0</v>
      </c>
      <c r="Y880" s="191">
        <f>IFERROR(W880/'FA Addition'!$J880*'FA Addition'!$L880,0)</f>
        <v>0</v>
      </c>
      <c r="AA880" s="116">
        <f>SUMIFS('FA Write off'!D:D,'FA Write off'!A:A,'FA Addition'!$A880,'FA Write off'!C:C,"&lt;"&amp;'FA Addition'!$L$1+1,'FA Write off'!C:C,"&gt;"&amp;'FA Addition'!$L$1-365)</f>
        <v>0</v>
      </c>
      <c r="AC880" s="118">
        <f>IFERROR(AA880/'FA Addition'!$J880*'FA Addition'!$L880,0)</f>
        <v>0</v>
      </c>
      <c r="AE880" s="117">
        <f>IF(AND('FA Addition'!$D880&lt;$P$1+1,U880=0),'FA Addition'!$L880,0)-Y880</f>
        <v>0</v>
      </c>
      <c r="AF880" s="117">
        <f t="shared" si="65"/>
        <v>31347.46</v>
      </c>
      <c r="AG880" s="117">
        <f>MIN(MAX(+$P$1-'FA Addition'!$D880,0),365*'FA Addition'!$O880)</f>
        <v>0</v>
      </c>
      <c r="AH880" s="117">
        <f>MIN(MAX($L$1-'FA Addition'!$D880+1,0),365*'FA Addition'!$O880)</f>
        <v>102</v>
      </c>
      <c r="AI880" s="117" cm="1">
        <f t="array" ref="AI880">_xlfn.XLOOKUP(1,('FA Write off'!A:A='FA Addition'!$A880)*('FA Write off'!D:D=AA880),'FA Write off'!H:H,0,0)</f>
        <v>0</v>
      </c>
      <c r="AJ880" s="117">
        <f>IF(AC880&gt;0,MAX(IF('FA Addition'!$N880="SLM",($AC880-'FA Addition'!$M880)*'FA Addition'!$P880*AI880/365,(AC880-'FA Addition'!$M880)*(1-(1-'FA Addition'!$P880)^(AI880/365))),0),0)</f>
        <v>0</v>
      </c>
      <c r="AL880" s="117">
        <f>MAX(IF(AG880&gt;0,IF('FA Addition'!$N880="SLM",($AE880-'FA Addition'!$M880)*'FA Addition'!$P880*AG880/365,IFERROR(VDB(AE880,AE880*0.05,'FA Addition'!$O880,0,YEARFRAC('FA Addition'!$C880,$P$1-1,3),'FA Addition'!$Q880),FAAddition[[#This Row],[Original Cost (Rs)]]-FAAddition[[#This Row],[Salvage Value]])),0),0)</f>
        <v>0</v>
      </c>
      <c r="AM880" s="119"/>
      <c r="AN880" s="117">
        <f>MAX(IF(AH880&gt;0,IF('FA Addition'!$N880="SLM",($AF880-'FA Addition'!$M880)*'FA Addition'!$P880*AH880/365,IFERROR(VDB(AF880,AF880*0.05,'FA Addition'!$O880,0,YEARFRAC('FA Addition'!$C880,$L$1,3),'FA Addition'!$Q880),FAAddition[[#This Row],[Original Cost (Rs)]]-FAAddition[[#This Row],[Salvage Value]])),0),0)</f>
        <v>5478.8690125803369</v>
      </c>
      <c r="AO880" s="117">
        <f t="shared" si="68"/>
        <v>5478.8690125803369</v>
      </c>
      <c r="AQ880" s="117">
        <f t="shared" si="66"/>
        <v>0</v>
      </c>
      <c r="AR880" s="120">
        <f t="shared" si="67"/>
        <v>25868.590987419662</v>
      </c>
      <c r="AS880" s="121"/>
    </row>
    <row r="881" spans="1:45" ht="13.5" x14ac:dyDescent="0.4">
      <c r="A881" s="12">
        <f t="shared" si="69"/>
        <v>878</v>
      </c>
      <c r="B881" s="64" t="s">
        <v>1308</v>
      </c>
      <c r="C881" s="54">
        <v>45281</v>
      </c>
      <c r="D881" s="54">
        <v>45281</v>
      </c>
      <c r="E881" s="46" t="s">
        <v>451</v>
      </c>
      <c r="F881" s="51" t="s">
        <v>19</v>
      </c>
      <c r="G881" s="51" t="s">
        <v>1134</v>
      </c>
      <c r="H881" s="51" t="s">
        <v>21</v>
      </c>
      <c r="I881" s="55" t="s">
        <v>1658</v>
      </c>
      <c r="J881" s="56">
        <v>1</v>
      </c>
      <c r="K881" s="51" t="s">
        <v>1552</v>
      </c>
      <c r="L881" s="58">
        <v>31347.46</v>
      </c>
      <c r="M881" s="50">
        <f>ROUND('FA Addition'!$L881*5%,0.1)</f>
        <v>1567</v>
      </c>
      <c r="N881" s="113" t="str">
        <f>_xlfn.XLOOKUP(_xlfn.CONCAT(E881,B881),'Year Wise Master Dep Approach'!F:F,'Year Wise Master Dep Approach'!D:D)</f>
        <v>WDV</v>
      </c>
      <c r="O881" s="113">
        <f>_xlfn.XLOOKUP(_xlfn.CONCAT(E881,B881),'Year Wise Master Dep Approach'!F:F,'Year Wise Master Dep Approach'!E:E)</f>
        <v>3</v>
      </c>
      <c r="P881" s="114">
        <f>IFERROR(IF('FA Addition'!$N881="WDV",1-('FA Addition'!$M881/'FA Addition'!$L881)^(1/'FA Addition'!$O881),1/'FA Addition'!$O881),0)</f>
        <v>0.63162607637988777</v>
      </c>
      <c r="Q881" s="122">
        <f>'FA Addition'!$P881*'FA Addition'!$O881</f>
        <v>1.8948782291396633</v>
      </c>
      <c r="R881" s="122"/>
      <c r="S881" s="116">
        <f>IF(AND(DATE(20&amp;LEFT(FAAddition[[#This Row],[FY]],2),4,1)&lt;$L$1+1,DATE(20&amp;LEFT(FAAddition[[#This Row],[FY]],2),4,1)&gt;$P$1-1),'FA Addition'!$J881,0)</f>
        <v>1</v>
      </c>
      <c r="U881" s="117">
        <f>S881*'FA Addition'!$L881/'FA Addition'!$J881</f>
        <v>31347.46</v>
      </c>
      <c r="W881" s="116">
        <f>SUMIFS('FA Write off'!D:D,'FA Write off'!A:A,'FA Addition'!$A881,'FA Write off'!C:C,"&lt;"&amp;'FA Addition'!$P$1)</f>
        <v>0</v>
      </c>
      <c r="Y881" s="191">
        <f>IFERROR(W881/'FA Addition'!$J881*'FA Addition'!$L881,0)</f>
        <v>0</v>
      </c>
      <c r="AA881" s="116">
        <f>SUMIFS('FA Write off'!D:D,'FA Write off'!A:A,'FA Addition'!$A881,'FA Write off'!C:C,"&lt;"&amp;'FA Addition'!$L$1+1,'FA Write off'!C:C,"&gt;"&amp;'FA Addition'!$L$1-365)</f>
        <v>0</v>
      </c>
      <c r="AC881" s="118">
        <f>IFERROR(AA881/'FA Addition'!$J881*'FA Addition'!$L881,0)</f>
        <v>0</v>
      </c>
      <c r="AE881" s="117">
        <f>IF(AND('FA Addition'!$D881&lt;$P$1+1,U881=0),'FA Addition'!$L881,0)-Y881</f>
        <v>0</v>
      </c>
      <c r="AF881" s="117">
        <f t="shared" si="65"/>
        <v>31347.46</v>
      </c>
      <c r="AG881" s="117">
        <f>MIN(MAX(+$P$1-'FA Addition'!$D881,0),365*'FA Addition'!$O881)</f>
        <v>0</v>
      </c>
      <c r="AH881" s="117">
        <f>MIN(MAX($L$1-'FA Addition'!$D881+1,0),365*'FA Addition'!$O881)</f>
        <v>102</v>
      </c>
      <c r="AI881" s="117" cm="1">
        <f t="array" ref="AI881">_xlfn.XLOOKUP(1,('FA Write off'!A:A='FA Addition'!$A881)*('FA Write off'!D:D=AA881),'FA Write off'!H:H,0,0)</f>
        <v>0</v>
      </c>
      <c r="AJ881" s="117">
        <f>IF(AC881&gt;0,MAX(IF('FA Addition'!$N881="SLM",($AC881-'FA Addition'!$M881)*'FA Addition'!$P881*AI881/365,(AC881-'FA Addition'!$M881)*(1-(1-'FA Addition'!$P881)^(AI881/365))),0),0)</f>
        <v>0</v>
      </c>
      <c r="AL881" s="117">
        <f>MAX(IF(AG881&gt;0,IF('FA Addition'!$N881="SLM",($AE881-'FA Addition'!$M881)*'FA Addition'!$P881*AG881/365,IFERROR(VDB(AE881,AE881*0.05,'FA Addition'!$O881,0,YEARFRAC('FA Addition'!$C881,$P$1-1,3),'FA Addition'!$Q881),FAAddition[[#This Row],[Original Cost (Rs)]]-FAAddition[[#This Row],[Salvage Value]])),0),0)</f>
        <v>0</v>
      </c>
      <c r="AM881" s="119"/>
      <c r="AN881" s="117">
        <f>MAX(IF(AH881&gt;0,IF('FA Addition'!$N881="SLM",($AF881-'FA Addition'!$M881)*'FA Addition'!$P881*AH881/365,IFERROR(VDB(AF881,AF881*0.05,'FA Addition'!$O881,0,YEARFRAC('FA Addition'!$C881,$L$1,3),'FA Addition'!$Q881),FAAddition[[#This Row],[Original Cost (Rs)]]-FAAddition[[#This Row],[Salvage Value]])),0),0)</f>
        <v>5478.8690125803369</v>
      </c>
      <c r="AO881" s="117">
        <f t="shared" si="68"/>
        <v>5478.8690125803369</v>
      </c>
      <c r="AQ881" s="117">
        <f t="shared" si="66"/>
        <v>0</v>
      </c>
      <c r="AR881" s="120">
        <f t="shared" si="67"/>
        <v>25868.590987419662</v>
      </c>
      <c r="AS881" s="121"/>
    </row>
    <row r="882" spans="1:45" ht="13.5" x14ac:dyDescent="0.4">
      <c r="A882" s="12">
        <f t="shared" si="69"/>
        <v>879</v>
      </c>
      <c r="B882" s="64" t="s">
        <v>1308</v>
      </c>
      <c r="C882" s="54">
        <v>45281</v>
      </c>
      <c r="D882" s="54">
        <v>45281</v>
      </c>
      <c r="E882" s="46" t="s">
        <v>451</v>
      </c>
      <c r="F882" s="51" t="s">
        <v>19</v>
      </c>
      <c r="G882" s="51" t="s">
        <v>1134</v>
      </c>
      <c r="H882" s="51" t="s">
        <v>21</v>
      </c>
      <c r="I882" s="55" t="s">
        <v>1658</v>
      </c>
      <c r="J882" s="56">
        <v>1</v>
      </c>
      <c r="K882" s="51" t="s">
        <v>1552</v>
      </c>
      <c r="L882" s="58">
        <v>31347.46</v>
      </c>
      <c r="M882" s="50">
        <f>ROUND('FA Addition'!$L882*5%,0.1)</f>
        <v>1567</v>
      </c>
      <c r="N882" s="113" t="str">
        <f>_xlfn.XLOOKUP(_xlfn.CONCAT(E882,B882),'Year Wise Master Dep Approach'!F:F,'Year Wise Master Dep Approach'!D:D)</f>
        <v>WDV</v>
      </c>
      <c r="O882" s="113">
        <f>_xlfn.XLOOKUP(_xlfn.CONCAT(E882,B882),'Year Wise Master Dep Approach'!F:F,'Year Wise Master Dep Approach'!E:E)</f>
        <v>3</v>
      </c>
      <c r="P882" s="114">
        <f>IFERROR(IF('FA Addition'!$N882="WDV",1-('FA Addition'!$M882/'FA Addition'!$L882)^(1/'FA Addition'!$O882),1/'FA Addition'!$O882),0)</f>
        <v>0.63162607637988777</v>
      </c>
      <c r="Q882" s="122">
        <f>'FA Addition'!$P882*'FA Addition'!$O882</f>
        <v>1.8948782291396633</v>
      </c>
      <c r="R882" s="122"/>
      <c r="S882" s="116">
        <f>IF(AND(DATE(20&amp;LEFT(FAAddition[[#This Row],[FY]],2),4,1)&lt;$L$1+1,DATE(20&amp;LEFT(FAAddition[[#This Row],[FY]],2),4,1)&gt;$P$1-1),'FA Addition'!$J882,0)</f>
        <v>1</v>
      </c>
      <c r="U882" s="117">
        <f>S882*'FA Addition'!$L882/'FA Addition'!$J882</f>
        <v>31347.46</v>
      </c>
      <c r="W882" s="116">
        <f>SUMIFS('FA Write off'!D:D,'FA Write off'!A:A,'FA Addition'!$A882,'FA Write off'!C:C,"&lt;"&amp;'FA Addition'!$P$1)</f>
        <v>0</v>
      </c>
      <c r="Y882" s="191">
        <f>IFERROR(W882/'FA Addition'!$J882*'FA Addition'!$L882,0)</f>
        <v>0</v>
      </c>
      <c r="AA882" s="116">
        <f>SUMIFS('FA Write off'!D:D,'FA Write off'!A:A,'FA Addition'!$A882,'FA Write off'!C:C,"&lt;"&amp;'FA Addition'!$L$1+1,'FA Write off'!C:C,"&gt;"&amp;'FA Addition'!$L$1-365)</f>
        <v>0</v>
      </c>
      <c r="AC882" s="118">
        <f>IFERROR(AA882/'FA Addition'!$J882*'FA Addition'!$L882,0)</f>
        <v>0</v>
      </c>
      <c r="AE882" s="117">
        <f>IF(AND('FA Addition'!$D882&lt;$P$1+1,U882=0),'FA Addition'!$L882,0)-Y882</f>
        <v>0</v>
      </c>
      <c r="AF882" s="117">
        <f t="shared" si="65"/>
        <v>31347.46</v>
      </c>
      <c r="AG882" s="117">
        <f>MIN(MAX(+$P$1-'FA Addition'!$D882,0),365*'FA Addition'!$O882)</f>
        <v>0</v>
      </c>
      <c r="AH882" s="117">
        <f>MIN(MAX($L$1-'FA Addition'!$D882+1,0),365*'FA Addition'!$O882)</f>
        <v>102</v>
      </c>
      <c r="AI882" s="117" cm="1">
        <f t="array" ref="AI882">_xlfn.XLOOKUP(1,('FA Write off'!A:A='FA Addition'!$A882)*('FA Write off'!D:D=AA882),'FA Write off'!H:H,0,0)</f>
        <v>0</v>
      </c>
      <c r="AJ882" s="117">
        <f>IF(AC882&gt;0,MAX(IF('FA Addition'!$N882="SLM",($AC882-'FA Addition'!$M882)*'FA Addition'!$P882*AI882/365,(AC882-'FA Addition'!$M882)*(1-(1-'FA Addition'!$P882)^(AI882/365))),0),0)</f>
        <v>0</v>
      </c>
      <c r="AL882" s="117">
        <f>MAX(IF(AG882&gt;0,IF('FA Addition'!$N882="SLM",($AE882-'FA Addition'!$M882)*'FA Addition'!$P882*AG882/365,IFERROR(VDB(AE882,AE882*0.05,'FA Addition'!$O882,0,YEARFRAC('FA Addition'!$C882,$P$1-1,3),'FA Addition'!$Q882),FAAddition[[#This Row],[Original Cost (Rs)]]-FAAddition[[#This Row],[Salvage Value]])),0),0)</f>
        <v>0</v>
      </c>
      <c r="AM882" s="119"/>
      <c r="AN882" s="117">
        <f>MAX(IF(AH882&gt;0,IF('FA Addition'!$N882="SLM",($AF882-'FA Addition'!$M882)*'FA Addition'!$P882*AH882/365,IFERROR(VDB(AF882,AF882*0.05,'FA Addition'!$O882,0,YEARFRAC('FA Addition'!$C882,$L$1,3),'FA Addition'!$Q882),FAAddition[[#This Row],[Original Cost (Rs)]]-FAAddition[[#This Row],[Salvage Value]])),0),0)</f>
        <v>5478.8690125803369</v>
      </c>
      <c r="AO882" s="117">
        <f t="shared" si="68"/>
        <v>5478.8690125803369</v>
      </c>
      <c r="AQ882" s="117">
        <f t="shared" si="66"/>
        <v>0</v>
      </c>
      <c r="AR882" s="120">
        <f t="shared" si="67"/>
        <v>25868.590987419662</v>
      </c>
      <c r="AS882" s="121"/>
    </row>
    <row r="883" spans="1:45" ht="13.5" x14ac:dyDescent="0.4">
      <c r="A883" s="12">
        <f t="shared" si="69"/>
        <v>880</v>
      </c>
      <c r="B883" s="64" t="s">
        <v>1308</v>
      </c>
      <c r="C883" s="54">
        <v>45281</v>
      </c>
      <c r="D883" s="54">
        <v>45281</v>
      </c>
      <c r="E883" s="46" t="s">
        <v>451</v>
      </c>
      <c r="F883" s="51" t="s">
        <v>19</v>
      </c>
      <c r="G883" s="51" t="s">
        <v>1134</v>
      </c>
      <c r="H883" s="51" t="s">
        <v>21</v>
      </c>
      <c r="I883" s="55" t="s">
        <v>1658</v>
      </c>
      <c r="J883" s="56">
        <v>1</v>
      </c>
      <c r="K883" s="51" t="s">
        <v>1552</v>
      </c>
      <c r="L883" s="58">
        <v>31347.46</v>
      </c>
      <c r="M883" s="50">
        <f>ROUND('FA Addition'!$L883*5%,0.1)</f>
        <v>1567</v>
      </c>
      <c r="N883" s="113" t="str">
        <f>_xlfn.XLOOKUP(_xlfn.CONCAT(E883,B883),'Year Wise Master Dep Approach'!F:F,'Year Wise Master Dep Approach'!D:D)</f>
        <v>WDV</v>
      </c>
      <c r="O883" s="113">
        <f>_xlfn.XLOOKUP(_xlfn.CONCAT(E883,B883),'Year Wise Master Dep Approach'!F:F,'Year Wise Master Dep Approach'!E:E)</f>
        <v>3</v>
      </c>
      <c r="P883" s="114">
        <f>IFERROR(IF('FA Addition'!$N883="WDV",1-('FA Addition'!$M883/'FA Addition'!$L883)^(1/'FA Addition'!$O883),1/'FA Addition'!$O883),0)</f>
        <v>0.63162607637988777</v>
      </c>
      <c r="Q883" s="122">
        <f>'FA Addition'!$P883*'FA Addition'!$O883</f>
        <v>1.8948782291396633</v>
      </c>
      <c r="R883" s="122"/>
      <c r="S883" s="116">
        <f>IF(AND(DATE(20&amp;LEFT(FAAddition[[#This Row],[FY]],2),4,1)&lt;$L$1+1,DATE(20&amp;LEFT(FAAddition[[#This Row],[FY]],2),4,1)&gt;$P$1-1),'FA Addition'!$J883,0)</f>
        <v>1</v>
      </c>
      <c r="U883" s="117">
        <f>S883*'FA Addition'!$L883/'FA Addition'!$J883</f>
        <v>31347.46</v>
      </c>
      <c r="W883" s="116">
        <f>SUMIFS('FA Write off'!D:D,'FA Write off'!A:A,'FA Addition'!$A883,'FA Write off'!C:C,"&lt;"&amp;'FA Addition'!$P$1)</f>
        <v>0</v>
      </c>
      <c r="Y883" s="191">
        <f>IFERROR(W883/'FA Addition'!$J883*'FA Addition'!$L883,0)</f>
        <v>0</v>
      </c>
      <c r="AA883" s="116">
        <f>SUMIFS('FA Write off'!D:D,'FA Write off'!A:A,'FA Addition'!$A883,'FA Write off'!C:C,"&lt;"&amp;'FA Addition'!$L$1+1,'FA Write off'!C:C,"&gt;"&amp;'FA Addition'!$L$1-365)</f>
        <v>0</v>
      </c>
      <c r="AC883" s="118">
        <f>IFERROR(AA883/'FA Addition'!$J883*'FA Addition'!$L883,0)</f>
        <v>0</v>
      </c>
      <c r="AE883" s="117">
        <f>IF(AND('FA Addition'!$D883&lt;$P$1+1,U883=0),'FA Addition'!$L883,0)-Y883</f>
        <v>0</v>
      </c>
      <c r="AF883" s="117">
        <f t="shared" si="65"/>
        <v>31347.46</v>
      </c>
      <c r="AG883" s="117">
        <f>MIN(MAX(+$P$1-'FA Addition'!$D883,0),365*'FA Addition'!$O883)</f>
        <v>0</v>
      </c>
      <c r="AH883" s="117">
        <f>MIN(MAX($L$1-'FA Addition'!$D883+1,0),365*'FA Addition'!$O883)</f>
        <v>102</v>
      </c>
      <c r="AI883" s="117" cm="1">
        <f t="array" ref="AI883">_xlfn.XLOOKUP(1,('FA Write off'!A:A='FA Addition'!$A883)*('FA Write off'!D:D=AA883),'FA Write off'!H:H,0,0)</f>
        <v>0</v>
      </c>
      <c r="AJ883" s="117">
        <f>IF(AC883&gt;0,MAX(IF('FA Addition'!$N883="SLM",($AC883-'FA Addition'!$M883)*'FA Addition'!$P883*AI883/365,(AC883-'FA Addition'!$M883)*(1-(1-'FA Addition'!$P883)^(AI883/365))),0),0)</f>
        <v>0</v>
      </c>
      <c r="AL883" s="117">
        <f>MAX(IF(AG883&gt;0,IF('FA Addition'!$N883="SLM",($AE883-'FA Addition'!$M883)*'FA Addition'!$P883*AG883/365,IFERROR(VDB(AE883,AE883*0.05,'FA Addition'!$O883,0,YEARFRAC('FA Addition'!$C883,$P$1-1,3),'FA Addition'!$Q883),FAAddition[[#This Row],[Original Cost (Rs)]]-FAAddition[[#This Row],[Salvage Value]])),0),0)</f>
        <v>0</v>
      </c>
      <c r="AM883" s="119"/>
      <c r="AN883" s="117">
        <f>MAX(IF(AH883&gt;0,IF('FA Addition'!$N883="SLM",($AF883-'FA Addition'!$M883)*'FA Addition'!$P883*AH883/365,IFERROR(VDB(AF883,AF883*0.05,'FA Addition'!$O883,0,YEARFRAC('FA Addition'!$C883,$L$1,3),'FA Addition'!$Q883),FAAddition[[#This Row],[Original Cost (Rs)]]-FAAddition[[#This Row],[Salvage Value]])),0),0)</f>
        <v>5478.8690125803369</v>
      </c>
      <c r="AO883" s="117">
        <f t="shared" si="68"/>
        <v>5478.8690125803369</v>
      </c>
      <c r="AQ883" s="117">
        <f t="shared" si="66"/>
        <v>0</v>
      </c>
      <c r="AR883" s="120">
        <f t="shared" si="67"/>
        <v>25868.590987419662</v>
      </c>
      <c r="AS883" s="121"/>
    </row>
    <row r="884" spans="1:45" ht="13.5" x14ac:dyDescent="0.4">
      <c r="A884" s="12">
        <f t="shared" si="69"/>
        <v>881</v>
      </c>
      <c r="B884" s="64" t="s">
        <v>1308</v>
      </c>
      <c r="C884" s="54">
        <v>45287</v>
      </c>
      <c r="D884" s="54">
        <v>45287</v>
      </c>
      <c r="E884" s="46" t="s">
        <v>451</v>
      </c>
      <c r="F884" s="51" t="s">
        <v>19</v>
      </c>
      <c r="G884" s="51" t="s">
        <v>1396</v>
      </c>
      <c r="H884" s="51" t="s">
        <v>21</v>
      </c>
      <c r="I884" s="55" t="s">
        <v>1659</v>
      </c>
      <c r="J884" s="56">
        <v>1</v>
      </c>
      <c r="K884" s="51" t="s">
        <v>1660</v>
      </c>
      <c r="L884" s="58">
        <v>31347.46</v>
      </c>
      <c r="M884" s="50">
        <f>ROUND('FA Addition'!$L884*5%,0.1)</f>
        <v>1567</v>
      </c>
      <c r="N884" s="113" t="str">
        <f>_xlfn.XLOOKUP(_xlfn.CONCAT(E884,B884),'Year Wise Master Dep Approach'!F:F,'Year Wise Master Dep Approach'!D:D)</f>
        <v>WDV</v>
      </c>
      <c r="O884" s="113">
        <f>_xlfn.XLOOKUP(_xlfn.CONCAT(E884,B884),'Year Wise Master Dep Approach'!F:F,'Year Wise Master Dep Approach'!E:E)</f>
        <v>3</v>
      </c>
      <c r="P884" s="114">
        <f>IFERROR(IF('FA Addition'!$N884="WDV",1-('FA Addition'!$M884/'FA Addition'!$L884)^(1/'FA Addition'!$O884),1/'FA Addition'!$O884),0)</f>
        <v>0.63162607637988777</v>
      </c>
      <c r="Q884" s="122">
        <f>'FA Addition'!$P884*'FA Addition'!$O884</f>
        <v>1.8948782291396633</v>
      </c>
      <c r="R884" s="122"/>
      <c r="S884" s="116">
        <f>IF(AND(DATE(20&amp;LEFT(FAAddition[[#This Row],[FY]],2),4,1)&lt;$L$1+1,DATE(20&amp;LEFT(FAAddition[[#This Row],[FY]],2),4,1)&gt;$P$1-1),'FA Addition'!$J884,0)</f>
        <v>1</v>
      </c>
      <c r="U884" s="117">
        <f>S884*'FA Addition'!$L884/'FA Addition'!$J884</f>
        <v>31347.46</v>
      </c>
      <c r="W884" s="116">
        <f>SUMIFS('FA Write off'!D:D,'FA Write off'!A:A,'FA Addition'!$A884,'FA Write off'!C:C,"&lt;"&amp;'FA Addition'!$P$1)</f>
        <v>0</v>
      </c>
      <c r="Y884" s="191">
        <f>IFERROR(W884/'FA Addition'!$J884*'FA Addition'!$L884,0)</f>
        <v>0</v>
      </c>
      <c r="AA884" s="116">
        <f>SUMIFS('FA Write off'!D:D,'FA Write off'!A:A,'FA Addition'!$A884,'FA Write off'!C:C,"&lt;"&amp;'FA Addition'!$L$1+1,'FA Write off'!C:C,"&gt;"&amp;'FA Addition'!$L$1-365)</f>
        <v>0</v>
      </c>
      <c r="AC884" s="118">
        <f>IFERROR(AA884/'FA Addition'!$J884*'FA Addition'!$L884,0)</f>
        <v>0</v>
      </c>
      <c r="AE884" s="117">
        <f>IF(AND('FA Addition'!$D884&lt;$P$1+1,U884=0),'FA Addition'!$L884,0)-Y884</f>
        <v>0</v>
      </c>
      <c r="AF884" s="117">
        <f t="shared" si="65"/>
        <v>31347.46</v>
      </c>
      <c r="AG884" s="117">
        <f>MIN(MAX(+$P$1-'FA Addition'!$D884,0),365*'FA Addition'!$O884)</f>
        <v>0</v>
      </c>
      <c r="AH884" s="117">
        <f>MIN(MAX($L$1-'FA Addition'!$D884+1,0),365*'FA Addition'!$O884)</f>
        <v>96</v>
      </c>
      <c r="AI884" s="117" cm="1">
        <f t="array" ref="AI884">_xlfn.XLOOKUP(1,('FA Write off'!A:A='FA Addition'!$A884)*('FA Write off'!D:D=AA884),'FA Write off'!H:H,0,0)</f>
        <v>0</v>
      </c>
      <c r="AJ884" s="117">
        <f>IF(AC884&gt;0,MAX(IF('FA Addition'!$N884="SLM",($AC884-'FA Addition'!$M884)*'FA Addition'!$P884*AI884/365,(AC884-'FA Addition'!$M884)*(1-(1-'FA Addition'!$P884)^(AI884/365))),0),0)</f>
        <v>0</v>
      </c>
      <c r="AL884" s="117">
        <f>MAX(IF(AG884&gt;0,IF('FA Addition'!$N884="SLM",($AE884-'FA Addition'!$M884)*'FA Addition'!$P884*AG884/365,IFERROR(VDB(AE884,AE884*0.05,'FA Addition'!$O884,0,YEARFRAC('FA Addition'!$C884,$P$1-1,3),'FA Addition'!$Q884),FAAddition[[#This Row],[Original Cost (Rs)]]-FAAddition[[#This Row],[Salvage Value]])),0),0)</f>
        <v>0</v>
      </c>
      <c r="AM884" s="119"/>
      <c r="AN884" s="117">
        <f>MAX(IF(AH884&gt;0,IF('FA Addition'!$N884="SLM",($AF884-'FA Addition'!$M884)*'FA Addition'!$P884*AH884/365,IFERROR(VDB(AF884,AF884*0.05,'FA Addition'!$O884,0,YEARFRAC('FA Addition'!$C884,$L$1,3),'FA Addition'!$Q884),FAAddition[[#This Row],[Original Cost (Rs)]]-FAAddition[[#This Row],[Salvage Value]])),0),0)</f>
        <v>5153.3916454963564</v>
      </c>
      <c r="AO884" s="117">
        <f t="shared" si="68"/>
        <v>5153.3916454963564</v>
      </c>
      <c r="AQ884" s="117">
        <f t="shared" si="66"/>
        <v>0</v>
      </c>
      <c r="AR884" s="120">
        <f t="shared" si="67"/>
        <v>26194.068354503645</v>
      </c>
      <c r="AS884" s="121"/>
    </row>
    <row r="885" spans="1:45" ht="13.5" x14ac:dyDescent="0.4">
      <c r="A885" s="12">
        <f t="shared" si="69"/>
        <v>882</v>
      </c>
      <c r="B885" s="64" t="s">
        <v>1308</v>
      </c>
      <c r="C885" s="54">
        <v>45287</v>
      </c>
      <c r="D885" s="54">
        <v>45287</v>
      </c>
      <c r="E885" s="46" t="s">
        <v>451</v>
      </c>
      <c r="F885" s="51" t="s">
        <v>19</v>
      </c>
      <c r="G885" s="51" t="s">
        <v>1396</v>
      </c>
      <c r="H885" s="51" t="s">
        <v>21</v>
      </c>
      <c r="I885" s="55" t="s">
        <v>1659</v>
      </c>
      <c r="J885" s="56">
        <v>1</v>
      </c>
      <c r="K885" s="51" t="s">
        <v>1660</v>
      </c>
      <c r="L885" s="58">
        <v>31347.46</v>
      </c>
      <c r="M885" s="50">
        <f>ROUND('FA Addition'!$L885*5%,0.1)</f>
        <v>1567</v>
      </c>
      <c r="N885" s="113" t="str">
        <f>_xlfn.XLOOKUP(_xlfn.CONCAT(E885,B885),'Year Wise Master Dep Approach'!F:F,'Year Wise Master Dep Approach'!D:D)</f>
        <v>WDV</v>
      </c>
      <c r="O885" s="113">
        <f>_xlfn.XLOOKUP(_xlfn.CONCAT(E885,B885),'Year Wise Master Dep Approach'!F:F,'Year Wise Master Dep Approach'!E:E)</f>
        <v>3</v>
      </c>
      <c r="P885" s="114">
        <f>IFERROR(IF('FA Addition'!$N885="WDV",1-('FA Addition'!$M885/'FA Addition'!$L885)^(1/'FA Addition'!$O885),1/'FA Addition'!$O885),0)</f>
        <v>0.63162607637988777</v>
      </c>
      <c r="Q885" s="122">
        <f>'FA Addition'!$P885*'FA Addition'!$O885</f>
        <v>1.8948782291396633</v>
      </c>
      <c r="R885" s="122"/>
      <c r="S885" s="116">
        <f>IF(AND(DATE(20&amp;LEFT(FAAddition[[#This Row],[FY]],2),4,1)&lt;$L$1+1,DATE(20&amp;LEFT(FAAddition[[#This Row],[FY]],2),4,1)&gt;$P$1-1),'FA Addition'!$J885,0)</f>
        <v>1</v>
      </c>
      <c r="U885" s="117">
        <f>S885*'FA Addition'!$L885/'FA Addition'!$J885</f>
        <v>31347.46</v>
      </c>
      <c r="W885" s="116">
        <f>SUMIFS('FA Write off'!D:D,'FA Write off'!A:A,'FA Addition'!$A885,'FA Write off'!C:C,"&lt;"&amp;'FA Addition'!$P$1)</f>
        <v>0</v>
      </c>
      <c r="Y885" s="191">
        <f>IFERROR(W885/'FA Addition'!$J885*'FA Addition'!$L885,0)</f>
        <v>0</v>
      </c>
      <c r="AA885" s="116">
        <f>SUMIFS('FA Write off'!D:D,'FA Write off'!A:A,'FA Addition'!$A885,'FA Write off'!C:C,"&lt;"&amp;'FA Addition'!$L$1+1,'FA Write off'!C:C,"&gt;"&amp;'FA Addition'!$L$1-365)</f>
        <v>0</v>
      </c>
      <c r="AC885" s="118">
        <f>IFERROR(AA885/'FA Addition'!$J885*'FA Addition'!$L885,0)</f>
        <v>0</v>
      </c>
      <c r="AE885" s="117">
        <f>IF(AND('FA Addition'!$D885&lt;$P$1+1,U885=0),'FA Addition'!$L885,0)-Y885</f>
        <v>0</v>
      </c>
      <c r="AF885" s="117">
        <f t="shared" si="65"/>
        <v>31347.46</v>
      </c>
      <c r="AG885" s="117">
        <f>MIN(MAX(+$P$1-'FA Addition'!$D885,0),365*'FA Addition'!$O885)</f>
        <v>0</v>
      </c>
      <c r="AH885" s="117">
        <f>MIN(MAX($L$1-'FA Addition'!$D885+1,0),365*'FA Addition'!$O885)</f>
        <v>96</v>
      </c>
      <c r="AI885" s="117" cm="1">
        <f t="array" ref="AI885">_xlfn.XLOOKUP(1,('FA Write off'!A:A='FA Addition'!$A885)*('FA Write off'!D:D=AA885),'FA Write off'!H:H,0,0)</f>
        <v>0</v>
      </c>
      <c r="AJ885" s="117">
        <f>IF(AC885&gt;0,MAX(IF('FA Addition'!$N885="SLM",($AC885-'FA Addition'!$M885)*'FA Addition'!$P885*AI885/365,(AC885-'FA Addition'!$M885)*(1-(1-'FA Addition'!$P885)^(AI885/365))),0),0)</f>
        <v>0</v>
      </c>
      <c r="AL885" s="117">
        <f>MAX(IF(AG885&gt;0,IF('FA Addition'!$N885="SLM",($AE885-'FA Addition'!$M885)*'FA Addition'!$P885*AG885/365,IFERROR(VDB(AE885,AE885*0.05,'FA Addition'!$O885,0,YEARFRAC('FA Addition'!$C885,$P$1-1,3),'FA Addition'!$Q885),FAAddition[[#This Row],[Original Cost (Rs)]]-FAAddition[[#This Row],[Salvage Value]])),0),0)</f>
        <v>0</v>
      </c>
      <c r="AM885" s="119"/>
      <c r="AN885" s="117">
        <f>MAX(IF(AH885&gt;0,IF('FA Addition'!$N885="SLM",($AF885-'FA Addition'!$M885)*'FA Addition'!$P885*AH885/365,IFERROR(VDB(AF885,AF885*0.05,'FA Addition'!$O885,0,YEARFRAC('FA Addition'!$C885,$L$1,3),'FA Addition'!$Q885),FAAddition[[#This Row],[Original Cost (Rs)]]-FAAddition[[#This Row],[Salvage Value]])),0),0)</f>
        <v>5153.3916454963564</v>
      </c>
      <c r="AO885" s="117">
        <f t="shared" si="68"/>
        <v>5153.3916454963564</v>
      </c>
      <c r="AQ885" s="117">
        <f t="shared" si="66"/>
        <v>0</v>
      </c>
      <c r="AR885" s="120">
        <f t="shared" si="67"/>
        <v>26194.068354503645</v>
      </c>
      <c r="AS885" s="121"/>
    </row>
    <row r="886" spans="1:45" ht="13.5" x14ac:dyDescent="0.4">
      <c r="A886" s="12">
        <f t="shared" si="69"/>
        <v>883</v>
      </c>
      <c r="B886" s="64" t="s">
        <v>1308</v>
      </c>
      <c r="C886" s="54">
        <v>45288</v>
      </c>
      <c r="D886" s="54">
        <v>45288</v>
      </c>
      <c r="E886" s="46" t="s">
        <v>1389</v>
      </c>
      <c r="F886" s="51" t="s">
        <v>1112</v>
      </c>
      <c r="G886" s="51" t="s">
        <v>36</v>
      </c>
      <c r="H886" s="51" t="s">
        <v>1113</v>
      </c>
      <c r="I886" s="55" t="s">
        <v>1661</v>
      </c>
      <c r="J886" s="56">
        <v>1000</v>
      </c>
      <c r="K886" s="51" t="s">
        <v>1132</v>
      </c>
      <c r="L886" s="58">
        <v>700000</v>
      </c>
      <c r="M886" s="50">
        <f>ROUND('FA Addition'!$L886*5%,0.1)</f>
        <v>35000</v>
      </c>
      <c r="N886" s="113" t="str">
        <f>_xlfn.XLOOKUP(_xlfn.CONCAT(E886,B886),'Year Wise Master Dep Approach'!F:F,'Year Wise Master Dep Approach'!D:D)</f>
        <v>SLM</v>
      </c>
      <c r="O886" s="113">
        <f>_xlfn.XLOOKUP(_xlfn.CONCAT(E886,B886),'Year Wise Master Dep Approach'!F:F,'Year Wise Master Dep Approach'!E:E)</f>
        <v>3</v>
      </c>
      <c r="P886" s="114">
        <f>IFERROR(IF('FA Addition'!$N886="WDV",1-('FA Addition'!$M886/'FA Addition'!$L886)^(1/'FA Addition'!$O886),1/'FA Addition'!$O886),0)</f>
        <v>0.33333333333333331</v>
      </c>
      <c r="Q886" s="122">
        <f>'FA Addition'!$P886*'FA Addition'!$O886</f>
        <v>1</v>
      </c>
      <c r="R886" s="122"/>
      <c r="S886" s="116">
        <f>IF(AND(DATE(20&amp;LEFT(FAAddition[[#This Row],[FY]],2),4,1)&lt;$L$1+1,DATE(20&amp;LEFT(FAAddition[[#This Row],[FY]],2),4,1)&gt;$P$1-1),'FA Addition'!$J886,0)</f>
        <v>1000</v>
      </c>
      <c r="U886" s="117">
        <f>S886*'FA Addition'!$L886/'FA Addition'!$J886</f>
        <v>700000</v>
      </c>
      <c r="W886" s="116">
        <f>SUMIFS('FA Write off'!D:D,'FA Write off'!A:A,'FA Addition'!$A886,'FA Write off'!C:C,"&lt;"&amp;'FA Addition'!$P$1)</f>
        <v>0</v>
      </c>
      <c r="Y886" s="191">
        <f>IFERROR(W886/'FA Addition'!$J886*'FA Addition'!$L886,0)</f>
        <v>0</v>
      </c>
      <c r="AA886" s="116">
        <f>SUMIFS('FA Write off'!D:D,'FA Write off'!A:A,'FA Addition'!$A886,'FA Write off'!C:C,"&lt;"&amp;'FA Addition'!$L$1+1,'FA Write off'!C:C,"&gt;"&amp;'FA Addition'!$L$1-365)</f>
        <v>0</v>
      </c>
      <c r="AC886" s="118">
        <f>IFERROR(AA886/'FA Addition'!$J886*'FA Addition'!$L886,0)</f>
        <v>0</v>
      </c>
      <c r="AE886" s="117">
        <f>IF(AND('FA Addition'!$D886&lt;$P$1+1,U886=0),'FA Addition'!$L886,0)-Y886</f>
        <v>0</v>
      </c>
      <c r="AF886" s="117">
        <f t="shared" si="65"/>
        <v>700000</v>
      </c>
      <c r="AG886" s="117">
        <f>MIN(MAX(+$P$1-'FA Addition'!$D886,0),365*'FA Addition'!$O886)</f>
        <v>0</v>
      </c>
      <c r="AH886" s="117">
        <f>MIN(MAX($L$1-'FA Addition'!$D886+1,0),365*'FA Addition'!$O886)</f>
        <v>95</v>
      </c>
      <c r="AI886" s="117" cm="1">
        <f t="array" ref="AI886">_xlfn.XLOOKUP(1,('FA Write off'!A:A='FA Addition'!$A886)*('FA Write off'!D:D=AA886),'FA Write off'!H:H,0,0)</f>
        <v>0</v>
      </c>
      <c r="AJ886" s="117">
        <f>IF(AC886&gt;0,MAX(IF('FA Addition'!$N886="SLM",($AC886-'FA Addition'!$M886)*'FA Addition'!$P886*AI886/365,(AC886-'FA Addition'!$M886)*(1-(1-'FA Addition'!$P886)^(AI886/365))),0),0)</f>
        <v>0</v>
      </c>
      <c r="AL886" s="117">
        <f>MAX(IF(AG886&gt;0,IF('FA Addition'!$N886="SLM",($AE886-'FA Addition'!$M886)*'FA Addition'!$P886*AG886/365,IFERROR(VDB(AE886,AE886*0.05,'FA Addition'!$O886,0,YEARFRAC('FA Addition'!$C886,$P$1-1,3),'FA Addition'!$Q886),FAAddition[[#This Row],[Original Cost (Rs)]]-FAAddition[[#This Row],[Salvage Value]])),0),0)</f>
        <v>0</v>
      </c>
      <c r="AM886" s="119"/>
      <c r="AN886" s="117">
        <f>MAX(IF(AH886&gt;0,IF('FA Addition'!$N886="SLM",($AF886-'FA Addition'!$M886)*'FA Addition'!$P886*AH886/365,IFERROR(VDB(AF886,AF886*0.05,'FA Addition'!$O886,0,YEARFRAC('FA Addition'!$C886,$L$1,3),'FA Addition'!$Q886),FAAddition[[#This Row],[Original Cost (Rs)]]-FAAddition[[#This Row],[Salvage Value]])),0),0)</f>
        <v>57694.063926940638</v>
      </c>
      <c r="AO886" s="117">
        <f t="shared" si="68"/>
        <v>57694.063926940638</v>
      </c>
      <c r="AQ886" s="117">
        <f t="shared" si="66"/>
        <v>0</v>
      </c>
      <c r="AR886" s="120">
        <f t="shared" si="67"/>
        <v>642305.93607305933</v>
      </c>
      <c r="AS886" s="121"/>
    </row>
    <row r="887" spans="1:45" ht="13.5" x14ac:dyDescent="0.4">
      <c r="A887" s="12">
        <f t="shared" si="69"/>
        <v>884</v>
      </c>
      <c r="B887" s="64" t="s">
        <v>1308</v>
      </c>
      <c r="C887" s="54">
        <v>45289</v>
      </c>
      <c r="D887" s="54">
        <v>45289</v>
      </c>
      <c r="E887" s="46" t="s">
        <v>1320</v>
      </c>
      <c r="F887" s="51" t="s">
        <v>33</v>
      </c>
      <c r="G887" s="51" t="s">
        <v>36</v>
      </c>
      <c r="H887" s="51" t="s">
        <v>32</v>
      </c>
      <c r="I887" s="55" t="s">
        <v>1662</v>
      </c>
      <c r="J887" s="56">
        <v>1000</v>
      </c>
      <c r="K887" s="51" t="s">
        <v>296</v>
      </c>
      <c r="L887" s="58">
        <v>1700000</v>
      </c>
      <c r="M887" s="50">
        <f>ROUND('FA Addition'!$L887*5%,0.1)</f>
        <v>85000</v>
      </c>
      <c r="N887" s="113" t="str">
        <f>_xlfn.XLOOKUP(_xlfn.CONCAT(E887,B887),'Year Wise Master Dep Approach'!F:F,'Year Wise Master Dep Approach'!D:D)</f>
        <v>SLM</v>
      </c>
      <c r="O887" s="113">
        <f>_xlfn.XLOOKUP(_xlfn.CONCAT(E887,B887),'Year Wise Master Dep Approach'!F:F,'Year Wise Master Dep Approach'!E:E)</f>
        <v>5</v>
      </c>
      <c r="P887" s="114">
        <f>IFERROR(IF('FA Addition'!$N887="WDV",1-('FA Addition'!$M887/'FA Addition'!$L887)^(1/'FA Addition'!$O887),1/'FA Addition'!$O887),0)</f>
        <v>0.2</v>
      </c>
      <c r="Q887" s="122">
        <f>'FA Addition'!$P887*'FA Addition'!$O887</f>
        <v>1</v>
      </c>
      <c r="R887" s="122"/>
      <c r="S887" s="116">
        <f>IF(AND(DATE(20&amp;LEFT(FAAddition[[#This Row],[FY]],2),4,1)&lt;$L$1+1,DATE(20&amp;LEFT(FAAddition[[#This Row],[FY]],2),4,1)&gt;$P$1-1),'FA Addition'!$J887,0)</f>
        <v>1000</v>
      </c>
      <c r="U887" s="117">
        <f>S887*'FA Addition'!$L887/'FA Addition'!$J887</f>
        <v>1700000</v>
      </c>
      <c r="W887" s="116">
        <f>SUMIFS('FA Write off'!D:D,'FA Write off'!A:A,'FA Addition'!$A887,'FA Write off'!C:C,"&lt;"&amp;'FA Addition'!$P$1)</f>
        <v>0</v>
      </c>
      <c r="Y887" s="191">
        <f>IFERROR(W887/'FA Addition'!$J887*'FA Addition'!$L887,0)</f>
        <v>0</v>
      </c>
      <c r="AA887" s="116">
        <f>SUMIFS('FA Write off'!D:D,'FA Write off'!A:A,'FA Addition'!$A887,'FA Write off'!C:C,"&lt;"&amp;'FA Addition'!$L$1+1,'FA Write off'!C:C,"&gt;"&amp;'FA Addition'!$L$1-365)</f>
        <v>0</v>
      </c>
      <c r="AC887" s="118">
        <f>IFERROR(AA887/'FA Addition'!$J887*'FA Addition'!$L887,0)</f>
        <v>0</v>
      </c>
      <c r="AE887" s="117">
        <f>IF(AND('FA Addition'!$D887&lt;$P$1+1,U887=0),'FA Addition'!$L887,0)-Y887</f>
        <v>0</v>
      </c>
      <c r="AF887" s="117">
        <f t="shared" si="65"/>
        <v>1700000</v>
      </c>
      <c r="AG887" s="117">
        <f>MIN(MAX(+$P$1-'FA Addition'!$D887,0),365*'FA Addition'!$O887)</f>
        <v>0</v>
      </c>
      <c r="AH887" s="117">
        <f>MIN(MAX($L$1-'FA Addition'!$D887+1,0),365*'FA Addition'!$O887)</f>
        <v>94</v>
      </c>
      <c r="AI887" s="117" cm="1">
        <f t="array" ref="AI887">_xlfn.XLOOKUP(1,('FA Write off'!A:A='FA Addition'!$A887)*('FA Write off'!D:D=AA887),'FA Write off'!H:H,0,0)</f>
        <v>0</v>
      </c>
      <c r="AJ887" s="117">
        <f>IF(AC887&gt;0,MAX(IF('FA Addition'!$N887="SLM",($AC887-'FA Addition'!$M887)*'FA Addition'!$P887*AI887/365,(AC887-'FA Addition'!$M887)*(1-(1-'FA Addition'!$P887)^(AI887/365))),0),0)</f>
        <v>0</v>
      </c>
      <c r="AL887" s="117">
        <f>MAX(IF(AG887&gt;0,IF('FA Addition'!$N887="SLM",($AE887-'FA Addition'!$M887)*'FA Addition'!$P887*AG887/365,IFERROR(VDB(AE887,AE887*0.05,'FA Addition'!$O887,0,YEARFRAC('FA Addition'!$C887,$P$1-1,3),'FA Addition'!$Q887),FAAddition[[#This Row],[Original Cost (Rs)]]-FAAddition[[#This Row],[Salvage Value]])),0),0)</f>
        <v>0</v>
      </c>
      <c r="AM887" s="119"/>
      <c r="AN887" s="117">
        <f>MAX(IF(AH887&gt;0,IF('FA Addition'!$N887="SLM",($AF887-'FA Addition'!$M887)*'FA Addition'!$P887*AH887/365,IFERROR(VDB(AF887,AF887*0.05,'FA Addition'!$O887,0,YEARFRAC('FA Addition'!$C887,$L$1,3),'FA Addition'!$Q887),FAAddition[[#This Row],[Original Cost (Rs)]]-FAAddition[[#This Row],[Salvage Value]])),0),0)</f>
        <v>83183.561643835623</v>
      </c>
      <c r="AO887" s="117">
        <f t="shared" si="68"/>
        <v>83183.561643835623</v>
      </c>
      <c r="AQ887" s="117">
        <f t="shared" si="66"/>
        <v>0</v>
      </c>
      <c r="AR887" s="120">
        <f t="shared" si="67"/>
        <v>1616816.4383561644</v>
      </c>
      <c r="AS887" s="121"/>
    </row>
    <row r="888" spans="1:45" ht="13.5" x14ac:dyDescent="0.4">
      <c r="A888" s="12">
        <f t="shared" si="69"/>
        <v>885</v>
      </c>
      <c r="B888" s="64" t="s">
        <v>1308</v>
      </c>
      <c r="C888" s="54">
        <v>45289</v>
      </c>
      <c r="D888" s="54">
        <v>45289</v>
      </c>
      <c r="E888" s="46" t="s">
        <v>1389</v>
      </c>
      <c r="F888" s="51" t="s">
        <v>1112</v>
      </c>
      <c r="G888" s="51" t="s">
        <v>36</v>
      </c>
      <c r="H888" s="51" t="s">
        <v>1113</v>
      </c>
      <c r="I888" s="55" t="s">
        <v>1663</v>
      </c>
      <c r="J888" s="56">
        <v>1000</v>
      </c>
      <c r="K888" s="51" t="s">
        <v>1132</v>
      </c>
      <c r="L888" s="58">
        <v>700000</v>
      </c>
      <c r="M888" s="50">
        <f>ROUND('FA Addition'!$L888*5%,0.1)</f>
        <v>35000</v>
      </c>
      <c r="N888" s="113" t="str">
        <f>_xlfn.XLOOKUP(_xlfn.CONCAT(E888,B888),'Year Wise Master Dep Approach'!F:F,'Year Wise Master Dep Approach'!D:D)</f>
        <v>SLM</v>
      </c>
      <c r="O888" s="113">
        <f>_xlfn.XLOOKUP(_xlfn.CONCAT(E888,B888),'Year Wise Master Dep Approach'!F:F,'Year Wise Master Dep Approach'!E:E)</f>
        <v>3</v>
      </c>
      <c r="P888" s="114">
        <f>IFERROR(IF('FA Addition'!$N888="WDV",1-('FA Addition'!$M888/'FA Addition'!$L888)^(1/'FA Addition'!$O888),1/'FA Addition'!$O888),0)</f>
        <v>0.33333333333333331</v>
      </c>
      <c r="Q888" s="122">
        <f>'FA Addition'!$P888*'FA Addition'!$O888</f>
        <v>1</v>
      </c>
      <c r="R888" s="122"/>
      <c r="S888" s="116">
        <f>IF(AND(DATE(20&amp;LEFT(FAAddition[[#This Row],[FY]],2),4,1)&lt;$L$1+1,DATE(20&amp;LEFT(FAAddition[[#This Row],[FY]],2),4,1)&gt;$P$1-1),'FA Addition'!$J888,0)</f>
        <v>1000</v>
      </c>
      <c r="U888" s="117">
        <f>S888*'FA Addition'!$L888/'FA Addition'!$J888</f>
        <v>700000</v>
      </c>
      <c r="W888" s="116">
        <f>SUMIFS('FA Write off'!D:D,'FA Write off'!A:A,'FA Addition'!$A888,'FA Write off'!C:C,"&lt;"&amp;'FA Addition'!$P$1)</f>
        <v>0</v>
      </c>
      <c r="Y888" s="191">
        <f>IFERROR(W888/'FA Addition'!$J888*'FA Addition'!$L888,0)</f>
        <v>0</v>
      </c>
      <c r="AA888" s="116">
        <f>SUMIFS('FA Write off'!D:D,'FA Write off'!A:A,'FA Addition'!$A888,'FA Write off'!C:C,"&lt;"&amp;'FA Addition'!$L$1+1,'FA Write off'!C:C,"&gt;"&amp;'FA Addition'!$L$1-365)</f>
        <v>0</v>
      </c>
      <c r="AC888" s="118">
        <f>IFERROR(AA888/'FA Addition'!$J888*'FA Addition'!$L888,0)</f>
        <v>0</v>
      </c>
      <c r="AE888" s="117">
        <f>IF(AND('FA Addition'!$D888&lt;$P$1+1,U888=0),'FA Addition'!$L888,0)-Y888</f>
        <v>0</v>
      </c>
      <c r="AF888" s="117">
        <f t="shared" si="65"/>
        <v>700000</v>
      </c>
      <c r="AG888" s="117">
        <f>MIN(MAX(+$P$1-'FA Addition'!$D888,0),365*'FA Addition'!$O888)</f>
        <v>0</v>
      </c>
      <c r="AH888" s="117">
        <f>MIN(MAX($L$1-'FA Addition'!$D888+1,0),365*'FA Addition'!$O888)</f>
        <v>94</v>
      </c>
      <c r="AI888" s="117" cm="1">
        <f t="array" ref="AI888">_xlfn.XLOOKUP(1,('FA Write off'!A:A='FA Addition'!$A888)*('FA Write off'!D:D=AA888),'FA Write off'!H:H,0,0)</f>
        <v>0</v>
      </c>
      <c r="AJ888" s="117">
        <f>IF(AC888&gt;0,MAX(IF('FA Addition'!$N888="SLM",($AC888-'FA Addition'!$M888)*'FA Addition'!$P888*AI888/365,(AC888-'FA Addition'!$M888)*(1-(1-'FA Addition'!$P888)^(AI888/365))),0),0)</f>
        <v>0</v>
      </c>
      <c r="AL888" s="117">
        <f>MAX(IF(AG888&gt;0,IF('FA Addition'!$N888="SLM",($AE888-'FA Addition'!$M888)*'FA Addition'!$P888*AG888/365,IFERROR(VDB(AE888,AE888*0.05,'FA Addition'!$O888,0,YEARFRAC('FA Addition'!$C888,$P$1-1,3),'FA Addition'!$Q888),FAAddition[[#This Row],[Original Cost (Rs)]]-FAAddition[[#This Row],[Salvage Value]])),0),0)</f>
        <v>0</v>
      </c>
      <c r="AM888" s="119"/>
      <c r="AN888" s="117">
        <f>MAX(IF(AH888&gt;0,IF('FA Addition'!$N888="SLM",($AF888-'FA Addition'!$M888)*'FA Addition'!$P888*AH888/365,IFERROR(VDB(AF888,AF888*0.05,'FA Addition'!$O888,0,YEARFRAC('FA Addition'!$C888,$L$1,3),'FA Addition'!$Q888),FAAddition[[#This Row],[Original Cost (Rs)]]-FAAddition[[#This Row],[Salvage Value]])),0),0)</f>
        <v>57086.757990867576</v>
      </c>
      <c r="AO888" s="117">
        <f t="shared" si="68"/>
        <v>57086.757990867576</v>
      </c>
      <c r="AQ888" s="117">
        <f t="shared" si="66"/>
        <v>0</v>
      </c>
      <c r="AR888" s="120">
        <f t="shared" si="67"/>
        <v>642913.2420091324</v>
      </c>
      <c r="AS888" s="121"/>
    </row>
    <row r="889" spans="1:45" ht="13.5" x14ac:dyDescent="0.4">
      <c r="A889" s="12">
        <f t="shared" si="69"/>
        <v>886</v>
      </c>
      <c r="B889" s="64" t="s">
        <v>1308</v>
      </c>
      <c r="C889" s="54">
        <v>45289</v>
      </c>
      <c r="D889" s="54">
        <v>45289</v>
      </c>
      <c r="E889" s="46" t="s">
        <v>32</v>
      </c>
      <c r="F889" s="51" t="s">
        <v>1090</v>
      </c>
      <c r="G889" s="51" t="s">
        <v>433</v>
      </c>
      <c r="H889" s="51" t="s">
        <v>32</v>
      </c>
      <c r="I889" s="55" t="s">
        <v>1664</v>
      </c>
      <c r="J889" s="56">
        <v>500</v>
      </c>
      <c r="K889" s="51" t="s">
        <v>935</v>
      </c>
      <c r="L889" s="58">
        <v>495000</v>
      </c>
      <c r="M889" s="50">
        <f>ROUND('FA Addition'!$L889*5%,0.1)</f>
        <v>24750</v>
      </c>
      <c r="N889" s="113" t="str">
        <f>_xlfn.XLOOKUP(_xlfn.CONCAT(E889,B889),'Year Wise Master Dep Approach'!F:F,'Year Wise Master Dep Approach'!D:D)</f>
        <v>SLM</v>
      </c>
      <c r="O889" s="113">
        <f>_xlfn.XLOOKUP(_xlfn.CONCAT(E889,B889),'Year Wise Master Dep Approach'!F:F,'Year Wise Master Dep Approach'!E:E)</f>
        <v>5</v>
      </c>
      <c r="P889" s="114">
        <f>IFERROR(IF('FA Addition'!$N889="WDV",1-('FA Addition'!$M889/'FA Addition'!$L889)^(1/'FA Addition'!$O889),1/'FA Addition'!$O889),0)</f>
        <v>0.2</v>
      </c>
      <c r="Q889" s="122">
        <f>'FA Addition'!$P889*'FA Addition'!$O889</f>
        <v>1</v>
      </c>
      <c r="R889" s="122"/>
      <c r="S889" s="116">
        <f>IF(AND(DATE(20&amp;LEFT(FAAddition[[#This Row],[FY]],2),4,1)&lt;$L$1+1,DATE(20&amp;LEFT(FAAddition[[#This Row],[FY]],2),4,1)&gt;$P$1-1),'FA Addition'!$J889,0)</f>
        <v>500</v>
      </c>
      <c r="U889" s="117">
        <f>S889*'FA Addition'!$L889/'FA Addition'!$J889</f>
        <v>495000</v>
      </c>
      <c r="W889" s="116">
        <f>SUMIFS('FA Write off'!D:D,'FA Write off'!A:A,'FA Addition'!$A889,'FA Write off'!C:C,"&lt;"&amp;'FA Addition'!$P$1)</f>
        <v>8</v>
      </c>
      <c r="Y889" s="191">
        <f>IFERROR(W889/'FA Addition'!$J889*'FA Addition'!$L889,0)</f>
        <v>7920</v>
      </c>
      <c r="AA889" s="116">
        <f>SUMIFS('FA Write off'!D:D,'FA Write off'!A:A,'FA Addition'!$A889,'FA Write off'!C:C,"&lt;"&amp;'FA Addition'!$L$1+1,'FA Write off'!C:C,"&gt;"&amp;'FA Addition'!$L$1-365)</f>
        <v>0</v>
      </c>
      <c r="AC889" s="118">
        <f>IFERROR(AA889/'FA Addition'!$J889*'FA Addition'!$L889,0)</f>
        <v>0</v>
      </c>
      <c r="AE889" s="117">
        <f>IF(AND('FA Addition'!$D889&lt;$P$1+1,U889=0),'FA Addition'!$L889,0)-Y889</f>
        <v>-7920</v>
      </c>
      <c r="AF889" s="117">
        <f t="shared" si="65"/>
        <v>487080</v>
      </c>
      <c r="AG889" s="117">
        <f>MIN(MAX(+$P$1-'FA Addition'!$D889,0),365*'FA Addition'!$O889)</f>
        <v>0</v>
      </c>
      <c r="AH889" s="117">
        <f>MIN(MAX($L$1-'FA Addition'!$D889+1,0),365*'FA Addition'!$O889)</f>
        <v>94</v>
      </c>
      <c r="AI889" s="117" cm="1">
        <f t="array" ref="AI889">_xlfn.XLOOKUP(1,('FA Write off'!A:A='FA Addition'!$A889)*('FA Write off'!D:D=AA889),'FA Write off'!H:H,0,0)</f>
        <v>0</v>
      </c>
      <c r="AJ889" s="117">
        <f>IF(AC889&gt;0,MAX(IF('FA Addition'!$N889="SLM",($AC889-'FA Addition'!$M889)*'FA Addition'!$P889*AI889/365,(AC889-'FA Addition'!$M889)*(1-(1-'FA Addition'!$P889)^(AI889/365))),0),0)</f>
        <v>0</v>
      </c>
      <c r="AL889" s="117">
        <f>MAX(IF(AG889&gt;0,IF('FA Addition'!$N889="SLM",($AE889-'FA Addition'!$M889)*'FA Addition'!$P889*AG889/365,IFERROR(VDB(AE889,AE889*0.05,'FA Addition'!$O889,0,YEARFRAC('FA Addition'!$C889,$P$1-1,3),'FA Addition'!$Q889),FAAddition[[#This Row],[Original Cost (Rs)]]-FAAddition[[#This Row],[Salvage Value]])),0),0)</f>
        <v>0</v>
      </c>
      <c r="AM889" s="119"/>
      <c r="AN889" s="117">
        <f>MAX(IF(AH889&gt;0,IF('FA Addition'!$N889="SLM",($AF889-'FA Addition'!$M889)*'FA Addition'!$P889*AH889/365,IFERROR(VDB(AF889,AF889*0.05,'FA Addition'!$O889,0,YEARFRAC('FA Addition'!$C889,$L$1,3),'FA Addition'!$Q889),FAAddition[[#This Row],[Original Cost (Rs)]]-FAAddition[[#This Row],[Salvage Value]])),0),0)</f>
        <v>23813.161643835618</v>
      </c>
      <c r="AO889" s="117">
        <f t="shared" si="68"/>
        <v>23813.161643835618</v>
      </c>
      <c r="AQ889" s="117">
        <f t="shared" si="66"/>
        <v>-7920</v>
      </c>
      <c r="AR889" s="120">
        <f t="shared" si="67"/>
        <v>463266.8383561644</v>
      </c>
      <c r="AS889" s="121"/>
    </row>
    <row r="890" spans="1:45" ht="13.5" x14ac:dyDescent="0.4">
      <c r="A890" s="12">
        <f t="shared" si="69"/>
        <v>887</v>
      </c>
      <c r="B890" s="64" t="s">
        <v>1308</v>
      </c>
      <c r="C890" s="54">
        <v>45290</v>
      </c>
      <c r="D890" s="54">
        <v>45290</v>
      </c>
      <c r="E890" s="46" t="s">
        <v>32</v>
      </c>
      <c r="F890" s="51" t="s">
        <v>1090</v>
      </c>
      <c r="G890" s="51" t="s">
        <v>433</v>
      </c>
      <c r="H890" s="51" t="s">
        <v>32</v>
      </c>
      <c r="I890" s="55" t="s">
        <v>1665</v>
      </c>
      <c r="J890" s="56">
        <v>1500</v>
      </c>
      <c r="K890" s="51" t="s">
        <v>935</v>
      </c>
      <c r="L890" s="58">
        <v>1485000</v>
      </c>
      <c r="M890" s="50">
        <f>ROUND('FA Addition'!$L890*5%,0.1)</f>
        <v>74250</v>
      </c>
      <c r="N890" s="113" t="str">
        <f>_xlfn.XLOOKUP(_xlfn.CONCAT(E890,B890),'Year Wise Master Dep Approach'!F:F,'Year Wise Master Dep Approach'!D:D)</f>
        <v>SLM</v>
      </c>
      <c r="O890" s="113">
        <f>_xlfn.XLOOKUP(_xlfn.CONCAT(E890,B890),'Year Wise Master Dep Approach'!F:F,'Year Wise Master Dep Approach'!E:E)</f>
        <v>5</v>
      </c>
      <c r="P890" s="114">
        <f>IFERROR(IF('FA Addition'!$N890="WDV",1-('FA Addition'!$M890/'FA Addition'!$L890)^(1/'FA Addition'!$O890),1/'FA Addition'!$O890),0)</f>
        <v>0.2</v>
      </c>
      <c r="Q890" s="122">
        <f>'FA Addition'!$P890*'FA Addition'!$O890</f>
        <v>1</v>
      </c>
      <c r="R890" s="122"/>
      <c r="S890" s="116">
        <f>IF(AND(DATE(20&amp;LEFT(FAAddition[[#This Row],[FY]],2),4,1)&lt;$L$1+1,DATE(20&amp;LEFT(FAAddition[[#This Row],[FY]],2),4,1)&gt;$P$1-1),'FA Addition'!$J890,0)</f>
        <v>1500</v>
      </c>
      <c r="U890" s="117">
        <f>S890*'FA Addition'!$L890/'FA Addition'!$J890</f>
        <v>1485000</v>
      </c>
      <c r="W890" s="116">
        <f>SUMIFS('FA Write off'!D:D,'FA Write off'!A:A,'FA Addition'!$A890,'FA Write off'!C:C,"&lt;"&amp;'FA Addition'!$P$1)</f>
        <v>24</v>
      </c>
      <c r="Y890" s="191">
        <f>IFERROR(W890/'FA Addition'!$J890*'FA Addition'!$L890,0)</f>
        <v>23760</v>
      </c>
      <c r="AA890" s="116">
        <f>SUMIFS('FA Write off'!D:D,'FA Write off'!A:A,'FA Addition'!$A890,'FA Write off'!C:C,"&lt;"&amp;'FA Addition'!$L$1+1,'FA Write off'!C:C,"&gt;"&amp;'FA Addition'!$L$1-365)</f>
        <v>0</v>
      </c>
      <c r="AC890" s="118">
        <f>IFERROR(AA890/'FA Addition'!$J890*'FA Addition'!$L890,0)</f>
        <v>0</v>
      </c>
      <c r="AE890" s="117">
        <f>IF(AND('FA Addition'!$D890&lt;$P$1+1,U890=0),'FA Addition'!$L890,0)-Y890</f>
        <v>-23760</v>
      </c>
      <c r="AF890" s="117">
        <f t="shared" si="65"/>
        <v>1461240</v>
      </c>
      <c r="AG890" s="117">
        <f>MIN(MAX(+$P$1-'FA Addition'!$D890,0),365*'FA Addition'!$O890)</f>
        <v>0</v>
      </c>
      <c r="AH890" s="117">
        <f>MIN(MAX($L$1-'FA Addition'!$D890+1,0),365*'FA Addition'!$O890)</f>
        <v>93</v>
      </c>
      <c r="AI890" s="117" cm="1">
        <f t="array" ref="AI890">_xlfn.XLOOKUP(1,('FA Write off'!A:A='FA Addition'!$A890)*('FA Write off'!D:D=AA890),'FA Write off'!H:H,0,0)</f>
        <v>0</v>
      </c>
      <c r="AJ890" s="117">
        <f>IF(AC890&gt;0,MAX(IF('FA Addition'!$N890="SLM",($AC890-'FA Addition'!$M890)*'FA Addition'!$P890*AI890/365,(AC890-'FA Addition'!$M890)*(1-(1-'FA Addition'!$P890)^(AI890/365))),0),0)</f>
        <v>0</v>
      </c>
      <c r="AL890" s="117">
        <f>MAX(IF(AG890&gt;0,IF('FA Addition'!$N890="SLM",($AE890-'FA Addition'!$M890)*'FA Addition'!$P890*AG890/365,IFERROR(VDB(AE890,AE890*0.05,'FA Addition'!$O890,0,YEARFRAC('FA Addition'!$C890,$P$1-1,3),'FA Addition'!$Q890),FAAddition[[#This Row],[Original Cost (Rs)]]-FAAddition[[#This Row],[Salvage Value]])),0),0)</f>
        <v>0</v>
      </c>
      <c r="AM890" s="119"/>
      <c r="AN890" s="117">
        <f>MAX(IF(AH890&gt;0,IF('FA Addition'!$N890="SLM",($AF890-'FA Addition'!$M890)*'FA Addition'!$P890*AH890/365,IFERROR(VDB(AF890,AF890*0.05,'FA Addition'!$O890,0,YEARFRAC('FA Addition'!$C890,$L$1,3),'FA Addition'!$Q890),FAAddition[[#This Row],[Original Cost (Rs)]]-FAAddition[[#This Row],[Salvage Value]])),0),0)</f>
        <v>70679.490410958897</v>
      </c>
      <c r="AO890" s="117">
        <f t="shared" si="68"/>
        <v>70679.490410958897</v>
      </c>
      <c r="AQ890" s="117">
        <f t="shared" si="66"/>
        <v>-23760</v>
      </c>
      <c r="AR890" s="120">
        <f t="shared" si="67"/>
        <v>1390560.5095890411</v>
      </c>
      <c r="AS890" s="121"/>
    </row>
    <row r="891" spans="1:45" ht="13.5" x14ac:dyDescent="0.4">
      <c r="A891" s="12">
        <f t="shared" si="69"/>
        <v>888</v>
      </c>
      <c r="B891" s="64" t="s">
        <v>1308</v>
      </c>
      <c r="C891" s="54">
        <v>45290</v>
      </c>
      <c r="D891" s="54">
        <v>45290</v>
      </c>
      <c r="E891" s="46" t="s">
        <v>749</v>
      </c>
      <c r="F891" s="51" t="s">
        <v>74</v>
      </c>
      <c r="G891" s="51" t="s">
        <v>1575</v>
      </c>
      <c r="H891" s="51" t="s">
        <v>26</v>
      </c>
      <c r="I891" s="55" t="s">
        <v>1666</v>
      </c>
      <c r="J891" s="56">
        <v>2000</v>
      </c>
      <c r="K891" s="51" t="s">
        <v>1577</v>
      </c>
      <c r="L891" s="58">
        <v>104000</v>
      </c>
      <c r="M891" s="50">
        <f>ROUND('FA Addition'!$L891*5%,0.1)</f>
        <v>5200</v>
      </c>
      <c r="N891" s="113" t="str">
        <f>_xlfn.XLOOKUP(_xlfn.CONCAT(E891,B891),'Year Wise Master Dep Approach'!F:F,'Year Wise Master Dep Approach'!D:D)</f>
        <v>WDV</v>
      </c>
      <c r="O891" s="113">
        <f>_xlfn.XLOOKUP(_xlfn.CONCAT(E891,B891),'Year Wise Master Dep Approach'!F:F,'Year Wise Master Dep Approach'!E:E)</f>
        <v>5</v>
      </c>
      <c r="P891" s="114">
        <f>IFERROR(IF('FA Addition'!$N891="WDV",1-('FA Addition'!$M891/'FA Addition'!$L891)^(1/'FA Addition'!$O891),1/'FA Addition'!$O891),0)</f>
        <v>0.45071972834694107</v>
      </c>
      <c r="Q891" s="122">
        <f>'FA Addition'!$P891*'FA Addition'!$O891</f>
        <v>2.2535986417347056</v>
      </c>
      <c r="R891" s="122"/>
      <c r="S891" s="116">
        <f>IF(AND(DATE(20&amp;LEFT(FAAddition[[#This Row],[FY]],2),4,1)&lt;$L$1+1,DATE(20&amp;LEFT(FAAddition[[#This Row],[FY]],2),4,1)&gt;$P$1-1),'FA Addition'!$J891,0)</f>
        <v>2000</v>
      </c>
      <c r="U891" s="117">
        <f>S891*'FA Addition'!$L891/'FA Addition'!$J891</f>
        <v>104000</v>
      </c>
      <c r="W891" s="116">
        <f>SUMIFS('FA Write off'!D:D,'FA Write off'!A:A,'FA Addition'!$A891,'FA Write off'!C:C,"&lt;"&amp;'FA Addition'!$P$1)</f>
        <v>0</v>
      </c>
      <c r="Y891" s="191">
        <f>IFERROR(W891/'FA Addition'!$J891*'FA Addition'!$L891,0)</f>
        <v>0</v>
      </c>
      <c r="AA891" s="116">
        <f>SUMIFS('FA Write off'!D:D,'FA Write off'!A:A,'FA Addition'!$A891,'FA Write off'!C:C,"&lt;"&amp;'FA Addition'!$L$1+1,'FA Write off'!C:C,"&gt;"&amp;'FA Addition'!$L$1-365)</f>
        <v>0</v>
      </c>
      <c r="AC891" s="118">
        <f>IFERROR(AA891/'FA Addition'!$J891*'FA Addition'!$L891,0)</f>
        <v>0</v>
      </c>
      <c r="AE891" s="117">
        <f>IF(AND('FA Addition'!$D891&lt;$P$1+1,U891=0),'FA Addition'!$L891,0)-Y891</f>
        <v>0</v>
      </c>
      <c r="AF891" s="117">
        <f t="shared" si="65"/>
        <v>104000</v>
      </c>
      <c r="AG891" s="117">
        <f>MIN(MAX(+$P$1-'FA Addition'!$D891,0),365*'FA Addition'!$O891)</f>
        <v>0</v>
      </c>
      <c r="AH891" s="117">
        <f>MIN(MAX($L$1-'FA Addition'!$D891+1,0),365*'FA Addition'!$O891)</f>
        <v>93</v>
      </c>
      <c r="AI891" s="117" cm="1">
        <f t="array" ref="AI891">_xlfn.XLOOKUP(1,('FA Write off'!A:A='FA Addition'!$A891)*('FA Write off'!D:D=AA891),'FA Write off'!H:H,0,0)</f>
        <v>0</v>
      </c>
      <c r="AJ891" s="117">
        <f>IF(AC891&gt;0,MAX(IF('FA Addition'!$N891="SLM",($AC891-'FA Addition'!$M891)*'FA Addition'!$P891*AI891/365,(AC891-'FA Addition'!$M891)*(1-(1-'FA Addition'!$P891)^(AI891/365))),0),0)</f>
        <v>0</v>
      </c>
      <c r="AL891" s="117">
        <f>MAX(IF(AG891&gt;0,IF('FA Addition'!$N891="SLM",($AE891-'FA Addition'!$M891)*'FA Addition'!$P891*AG891/365,IFERROR(VDB(AE891,AE891*0.05,'FA Addition'!$O891,0,YEARFRAC('FA Addition'!$C891,$P$1-1,3),'FA Addition'!$Q891),FAAddition[[#This Row],[Original Cost (Rs)]]-FAAddition[[#This Row],[Salvage Value]])),0),0)</f>
        <v>0</v>
      </c>
      <c r="AM891" s="119"/>
      <c r="AN891" s="117">
        <f>MAX(IF(AH891&gt;0,IF('FA Addition'!$N891="SLM",($AF891-'FA Addition'!$M891)*'FA Addition'!$P891*AH891/365,IFERROR(VDB(AF891,AF891*0.05,'FA Addition'!$O891,0,YEARFRAC('FA Addition'!$C891,$L$1,3),'FA Addition'!$Q891),FAAddition[[#This Row],[Original Cost (Rs)]]-FAAddition[[#This Row],[Salvage Value]])),0),0)</f>
        <v>11815.031125543926</v>
      </c>
      <c r="AO891" s="117">
        <f t="shared" si="68"/>
        <v>11815.031125543926</v>
      </c>
      <c r="AQ891" s="117">
        <f t="shared" si="66"/>
        <v>0</v>
      </c>
      <c r="AR891" s="120">
        <f t="shared" si="67"/>
        <v>92184.96887445607</v>
      </c>
      <c r="AS891" s="121"/>
    </row>
    <row r="892" spans="1:45" ht="13.5" x14ac:dyDescent="0.4">
      <c r="A892" s="12">
        <f t="shared" si="69"/>
        <v>889</v>
      </c>
      <c r="B892" s="64" t="s">
        <v>1308</v>
      </c>
      <c r="C892" s="54">
        <v>45323</v>
      </c>
      <c r="D892" s="54">
        <v>45292</v>
      </c>
      <c r="E892" s="46" t="s">
        <v>451</v>
      </c>
      <c r="F892" s="51" t="s">
        <v>19</v>
      </c>
      <c r="G892" s="51" t="s">
        <v>1667</v>
      </c>
      <c r="H892" s="51" t="s">
        <v>21</v>
      </c>
      <c r="I892" s="55" t="s">
        <v>1668</v>
      </c>
      <c r="J892" s="56">
        <v>1</v>
      </c>
      <c r="K892" s="51" t="s">
        <v>1660</v>
      </c>
      <c r="L892" s="58">
        <v>34737.29</v>
      </c>
      <c r="M892" s="50">
        <f>ROUND('FA Addition'!$L892*5%,0.1)</f>
        <v>1737</v>
      </c>
      <c r="N892" s="113" t="str">
        <f>_xlfn.XLOOKUP(_xlfn.CONCAT(E892,B892),'Year Wise Master Dep Approach'!F:F,'Year Wise Master Dep Approach'!D:D)</f>
        <v>WDV</v>
      </c>
      <c r="O892" s="113">
        <f>_xlfn.XLOOKUP(_xlfn.CONCAT(E892,B892),'Year Wise Master Dep Approach'!F:F,'Year Wise Master Dep Approach'!E:E)</f>
        <v>3</v>
      </c>
      <c r="P892" s="114">
        <f>IFERROR(IF('FA Addition'!$N892="WDV",1-('FA Addition'!$M892/'FA Addition'!$L892)^(1/'FA Addition'!$O892),1/'FA Addition'!$O892),0)</f>
        <v>0.63158727016608973</v>
      </c>
      <c r="Q892" s="122">
        <f>'FA Addition'!$P892*'FA Addition'!$O892</f>
        <v>1.8947618104982693</v>
      </c>
      <c r="R892" s="122"/>
      <c r="S892" s="116">
        <f>IF(AND(DATE(20&amp;LEFT(FAAddition[[#This Row],[FY]],2),4,1)&lt;$L$1+1,DATE(20&amp;LEFT(FAAddition[[#This Row],[FY]],2),4,1)&gt;$P$1-1),'FA Addition'!$J892,0)</f>
        <v>1</v>
      </c>
      <c r="U892" s="117">
        <f>S892*'FA Addition'!$L892/'FA Addition'!$J892</f>
        <v>34737.29</v>
      </c>
      <c r="W892" s="116">
        <f>SUMIFS('FA Write off'!D:D,'FA Write off'!A:A,'FA Addition'!$A892,'FA Write off'!C:C,"&lt;"&amp;'FA Addition'!$P$1)</f>
        <v>0</v>
      </c>
      <c r="Y892" s="191">
        <f>IFERROR(W892/'FA Addition'!$J892*'FA Addition'!$L892,0)</f>
        <v>0</v>
      </c>
      <c r="AA892" s="116">
        <f>SUMIFS('FA Write off'!D:D,'FA Write off'!A:A,'FA Addition'!$A892,'FA Write off'!C:C,"&lt;"&amp;'FA Addition'!$L$1+1,'FA Write off'!C:C,"&gt;"&amp;'FA Addition'!$L$1-365)</f>
        <v>0</v>
      </c>
      <c r="AC892" s="118">
        <f>IFERROR(AA892/'FA Addition'!$J892*'FA Addition'!$L892,0)</f>
        <v>0</v>
      </c>
      <c r="AE892" s="117">
        <f>IF(AND('FA Addition'!$D892&lt;$P$1+1,U892=0),'FA Addition'!$L892,0)-Y892</f>
        <v>0</v>
      </c>
      <c r="AF892" s="117">
        <f t="shared" si="65"/>
        <v>34737.29</v>
      </c>
      <c r="AG892" s="117">
        <f>MIN(MAX(+$P$1-'FA Addition'!$D892,0),365*'FA Addition'!$O892)</f>
        <v>0</v>
      </c>
      <c r="AH892" s="117">
        <f>MIN(MAX($L$1-'FA Addition'!$D892+1,0),365*'FA Addition'!$O892)</f>
        <v>91</v>
      </c>
      <c r="AI892" s="117" cm="1">
        <f t="array" ref="AI892">_xlfn.XLOOKUP(1,('FA Write off'!A:A='FA Addition'!$A892)*('FA Write off'!D:D=AA892),'FA Write off'!H:H,0,0)</f>
        <v>0</v>
      </c>
      <c r="AJ892" s="117">
        <f>IF(AC892&gt;0,MAX(IF('FA Addition'!$N892="SLM",($AC892-'FA Addition'!$M892)*'FA Addition'!$P892*AI892/365,(AC892-'FA Addition'!$M892)*(1-(1-'FA Addition'!$P892)^(AI892/365))),0),0)</f>
        <v>0</v>
      </c>
      <c r="AL892" s="117">
        <f>MAX(IF(AG892&gt;0,IF('FA Addition'!$N892="SLM",($AE892-'FA Addition'!$M892)*'FA Addition'!$P892*AG892/365,IFERROR(VDB(AE892,AE892*0.05,'FA Addition'!$O892,0,YEARFRAC('FA Addition'!$C892,$P$1-1,3),'FA Addition'!$Q892),FAAddition[[#This Row],[Original Cost (Rs)]]-FAAddition[[#This Row],[Salvage Value]])),0),0)</f>
        <v>0</v>
      </c>
      <c r="AM892" s="119"/>
      <c r="AN892" s="117">
        <f>MAX(IF(AH892&gt;0,IF('FA Addition'!$N892="SLM",($AF892-'FA Addition'!$M892)*'FA Addition'!$P892*AH892/365,IFERROR(VDB(AF892,AF892*0.05,'FA Addition'!$O892,0,YEARFRAC('FA Addition'!$C892,$L$1,3),'FA Addition'!$Q892),FAAddition[[#This Row],[Original Cost (Rs)]]-FAAddition[[#This Row],[Salvage Value]])),0),0)</f>
        <v>3546.4059717260288</v>
      </c>
      <c r="AO892" s="117">
        <f t="shared" si="68"/>
        <v>3546.4059717260288</v>
      </c>
      <c r="AQ892" s="117">
        <f t="shared" si="66"/>
        <v>0</v>
      </c>
      <c r="AR892" s="120">
        <f t="shared" si="67"/>
        <v>31190.884028273973</v>
      </c>
      <c r="AS892" s="121"/>
    </row>
    <row r="893" spans="1:45" ht="13.5" x14ac:dyDescent="0.4">
      <c r="A893" s="12">
        <f t="shared" si="69"/>
        <v>890</v>
      </c>
      <c r="B893" s="64" t="s">
        <v>1308</v>
      </c>
      <c r="C893" s="54">
        <v>45323</v>
      </c>
      <c r="D893" s="54">
        <v>45292</v>
      </c>
      <c r="E893" s="46" t="s">
        <v>451</v>
      </c>
      <c r="F893" s="51" t="s">
        <v>19</v>
      </c>
      <c r="G893" s="51" t="s">
        <v>1667</v>
      </c>
      <c r="H893" s="51" t="s">
        <v>21</v>
      </c>
      <c r="I893" s="55" t="s">
        <v>1668</v>
      </c>
      <c r="J893" s="56">
        <v>1</v>
      </c>
      <c r="K893" s="51" t="s">
        <v>1660</v>
      </c>
      <c r="L893" s="58">
        <v>34737.29</v>
      </c>
      <c r="M893" s="50">
        <f>ROUND('FA Addition'!$L893*5%,0.1)</f>
        <v>1737</v>
      </c>
      <c r="N893" s="113" t="str">
        <f>_xlfn.XLOOKUP(_xlfn.CONCAT(E893,B893),'Year Wise Master Dep Approach'!F:F,'Year Wise Master Dep Approach'!D:D)</f>
        <v>WDV</v>
      </c>
      <c r="O893" s="113">
        <f>_xlfn.XLOOKUP(_xlfn.CONCAT(E893,B893),'Year Wise Master Dep Approach'!F:F,'Year Wise Master Dep Approach'!E:E)</f>
        <v>3</v>
      </c>
      <c r="P893" s="114">
        <f>IFERROR(IF('FA Addition'!$N893="WDV",1-('FA Addition'!$M893/'FA Addition'!$L893)^(1/'FA Addition'!$O893),1/'FA Addition'!$O893),0)</f>
        <v>0.63158727016608973</v>
      </c>
      <c r="Q893" s="122">
        <f>'FA Addition'!$P893*'FA Addition'!$O893</f>
        <v>1.8947618104982693</v>
      </c>
      <c r="R893" s="122"/>
      <c r="S893" s="116">
        <f>IF(AND(DATE(20&amp;LEFT(FAAddition[[#This Row],[FY]],2),4,1)&lt;$L$1+1,DATE(20&amp;LEFT(FAAddition[[#This Row],[FY]],2),4,1)&gt;$P$1-1),'FA Addition'!$J893,0)</f>
        <v>1</v>
      </c>
      <c r="U893" s="117">
        <f>S893*'FA Addition'!$L893/'FA Addition'!$J893</f>
        <v>34737.29</v>
      </c>
      <c r="W893" s="116">
        <f>SUMIFS('FA Write off'!D:D,'FA Write off'!A:A,'FA Addition'!$A893,'FA Write off'!C:C,"&lt;"&amp;'FA Addition'!$P$1)</f>
        <v>0</v>
      </c>
      <c r="Y893" s="191">
        <f>IFERROR(W893/'FA Addition'!$J893*'FA Addition'!$L893,0)</f>
        <v>0</v>
      </c>
      <c r="AA893" s="116">
        <f>SUMIFS('FA Write off'!D:D,'FA Write off'!A:A,'FA Addition'!$A893,'FA Write off'!C:C,"&lt;"&amp;'FA Addition'!$L$1+1,'FA Write off'!C:C,"&gt;"&amp;'FA Addition'!$L$1-365)</f>
        <v>0</v>
      </c>
      <c r="AC893" s="118">
        <f>IFERROR(AA893/'FA Addition'!$J893*'FA Addition'!$L893,0)</f>
        <v>0</v>
      </c>
      <c r="AE893" s="117">
        <f>IF(AND('FA Addition'!$D893&lt;$P$1+1,U893=0),'FA Addition'!$L893,0)-Y893</f>
        <v>0</v>
      </c>
      <c r="AF893" s="117">
        <f t="shared" si="65"/>
        <v>34737.29</v>
      </c>
      <c r="AG893" s="117">
        <f>MIN(MAX(+$P$1-'FA Addition'!$D893,0),365*'FA Addition'!$O893)</f>
        <v>0</v>
      </c>
      <c r="AH893" s="117">
        <f>MIN(MAX($L$1-'FA Addition'!$D893+1,0),365*'FA Addition'!$O893)</f>
        <v>91</v>
      </c>
      <c r="AI893" s="117" cm="1">
        <f t="array" ref="AI893">_xlfn.XLOOKUP(1,('FA Write off'!A:A='FA Addition'!$A893)*('FA Write off'!D:D=AA893),'FA Write off'!H:H,0,0)</f>
        <v>0</v>
      </c>
      <c r="AJ893" s="117">
        <f>IF(AC893&gt;0,MAX(IF('FA Addition'!$N893="SLM",($AC893-'FA Addition'!$M893)*'FA Addition'!$P893*AI893/365,(AC893-'FA Addition'!$M893)*(1-(1-'FA Addition'!$P893)^(AI893/365))),0),0)</f>
        <v>0</v>
      </c>
      <c r="AL893" s="117">
        <f>MAX(IF(AG893&gt;0,IF('FA Addition'!$N893="SLM",($AE893-'FA Addition'!$M893)*'FA Addition'!$P893*AG893/365,IFERROR(VDB(AE893,AE893*0.05,'FA Addition'!$O893,0,YEARFRAC('FA Addition'!$C893,$P$1-1,3),'FA Addition'!$Q893),FAAddition[[#This Row],[Original Cost (Rs)]]-FAAddition[[#This Row],[Salvage Value]])),0),0)</f>
        <v>0</v>
      </c>
      <c r="AM893" s="119"/>
      <c r="AN893" s="117">
        <f>MAX(IF(AH893&gt;0,IF('FA Addition'!$N893="SLM",($AF893-'FA Addition'!$M893)*'FA Addition'!$P893*AH893/365,IFERROR(VDB(AF893,AF893*0.05,'FA Addition'!$O893,0,YEARFRAC('FA Addition'!$C893,$L$1,3),'FA Addition'!$Q893),FAAddition[[#This Row],[Original Cost (Rs)]]-FAAddition[[#This Row],[Salvage Value]])),0),0)</f>
        <v>3546.4059717260288</v>
      </c>
      <c r="AO893" s="117">
        <f t="shared" si="68"/>
        <v>3546.4059717260288</v>
      </c>
      <c r="AQ893" s="117">
        <f t="shared" si="66"/>
        <v>0</v>
      </c>
      <c r="AR893" s="120">
        <f t="shared" si="67"/>
        <v>31190.884028273973</v>
      </c>
      <c r="AS893" s="121"/>
    </row>
    <row r="894" spans="1:45" ht="13.5" x14ac:dyDescent="0.4">
      <c r="A894" s="12">
        <f t="shared" si="69"/>
        <v>891</v>
      </c>
      <c r="B894" s="64" t="s">
        <v>1308</v>
      </c>
      <c r="C894" s="54">
        <v>45323</v>
      </c>
      <c r="D894" s="54">
        <v>45292</v>
      </c>
      <c r="E894" s="46" t="s">
        <v>451</v>
      </c>
      <c r="F894" s="51" t="s">
        <v>19</v>
      </c>
      <c r="G894" s="51" t="s">
        <v>1667</v>
      </c>
      <c r="H894" s="51" t="s">
        <v>21</v>
      </c>
      <c r="I894" s="55" t="s">
        <v>1668</v>
      </c>
      <c r="J894" s="56">
        <v>1</v>
      </c>
      <c r="K894" s="51" t="s">
        <v>1660</v>
      </c>
      <c r="L894" s="58">
        <v>34737.29</v>
      </c>
      <c r="M894" s="50">
        <f>ROUND('FA Addition'!$L894*5%,0.1)</f>
        <v>1737</v>
      </c>
      <c r="N894" s="113" t="str">
        <f>_xlfn.XLOOKUP(_xlfn.CONCAT(E894,B894),'Year Wise Master Dep Approach'!F:F,'Year Wise Master Dep Approach'!D:D)</f>
        <v>WDV</v>
      </c>
      <c r="O894" s="113">
        <f>_xlfn.XLOOKUP(_xlfn.CONCAT(E894,B894),'Year Wise Master Dep Approach'!F:F,'Year Wise Master Dep Approach'!E:E)</f>
        <v>3</v>
      </c>
      <c r="P894" s="114">
        <f>IFERROR(IF('FA Addition'!$N894="WDV",1-('FA Addition'!$M894/'FA Addition'!$L894)^(1/'FA Addition'!$O894),1/'FA Addition'!$O894),0)</f>
        <v>0.63158727016608973</v>
      </c>
      <c r="Q894" s="122">
        <f>'FA Addition'!$P894*'FA Addition'!$O894</f>
        <v>1.8947618104982693</v>
      </c>
      <c r="R894" s="122"/>
      <c r="S894" s="116">
        <f>IF(AND(DATE(20&amp;LEFT(FAAddition[[#This Row],[FY]],2),4,1)&lt;$L$1+1,DATE(20&amp;LEFT(FAAddition[[#This Row],[FY]],2),4,1)&gt;$P$1-1),'FA Addition'!$J894,0)</f>
        <v>1</v>
      </c>
      <c r="U894" s="117">
        <f>S894*'FA Addition'!$L894/'FA Addition'!$J894</f>
        <v>34737.29</v>
      </c>
      <c r="W894" s="116">
        <f>SUMIFS('FA Write off'!D:D,'FA Write off'!A:A,'FA Addition'!$A894,'FA Write off'!C:C,"&lt;"&amp;'FA Addition'!$P$1)</f>
        <v>0</v>
      </c>
      <c r="Y894" s="191">
        <f>IFERROR(W894/'FA Addition'!$J894*'FA Addition'!$L894,0)</f>
        <v>0</v>
      </c>
      <c r="AA894" s="116">
        <f>SUMIFS('FA Write off'!D:D,'FA Write off'!A:A,'FA Addition'!$A894,'FA Write off'!C:C,"&lt;"&amp;'FA Addition'!$L$1+1,'FA Write off'!C:C,"&gt;"&amp;'FA Addition'!$L$1-365)</f>
        <v>0</v>
      </c>
      <c r="AC894" s="118">
        <f>IFERROR(AA894/'FA Addition'!$J894*'FA Addition'!$L894,0)</f>
        <v>0</v>
      </c>
      <c r="AE894" s="117">
        <f>IF(AND('FA Addition'!$D894&lt;$P$1+1,U894=0),'FA Addition'!$L894,0)-Y894</f>
        <v>0</v>
      </c>
      <c r="AF894" s="117">
        <f t="shared" si="65"/>
        <v>34737.29</v>
      </c>
      <c r="AG894" s="117">
        <f>MIN(MAX(+$P$1-'FA Addition'!$D894,0),365*'FA Addition'!$O894)</f>
        <v>0</v>
      </c>
      <c r="AH894" s="117">
        <f>MIN(MAX($L$1-'FA Addition'!$D894+1,0),365*'FA Addition'!$O894)</f>
        <v>91</v>
      </c>
      <c r="AI894" s="117" cm="1">
        <f t="array" ref="AI894">_xlfn.XLOOKUP(1,('FA Write off'!A:A='FA Addition'!$A894)*('FA Write off'!D:D=AA894),'FA Write off'!H:H,0,0)</f>
        <v>0</v>
      </c>
      <c r="AJ894" s="117">
        <f>IF(AC894&gt;0,MAX(IF('FA Addition'!$N894="SLM",($AC894-'FA Addition'!$M894)*'FA Addition'!$P894*AI894/365,(AC894-'FA Addition'!$M894)*(1-(1-'FA Addition'!$P894)^(AI894/365))),0),0)</f>
        <v>0</v>
      </c>
      <c r="AL894" s="117">
        <f>MAX(IF(AG894&gt;0,IF('FA Addition'!$N894="SLM",($AE894-'FA Addition'!$M894)*'FA Addition'!$P894*AG894/365,IFERROR(VDB(AE894,AE894*0.05,'FA Addition'!$O894,0,YEARFRAC('FA Addition'!$C894,$P$1-1,3),'FA Addition'!$Q894),FAAddition[[#This Row],[Original Cost (Rs)]]-FAAddition[[#This Row],[Salvage Value]])),0),0)</f>
        <v>0</v>
      </c>
      <c r="AM894" s="119"/>
      <c r="AN894" s="117">
        <f>MAX(IF(AH894&gt;0,IF('FA Addition'!$N894="SLM",($AF894-'FA Addition'!$M894)*'FA Addition'!$P894*AH894/365,IFERROR(VDB(AF894,AF894*0.05,'FA Addition'!$O894,0,YEARFRAC('FA Addition'!$C894,$L$1,3),'FA Addition'!$Q894),FAAddition[[#This Row],[Original Cost (Rs)]]-FAAddition[[#This Row],[Salvage Value]])),0),0)</f>
        <v>3546.4059717260288</v>
      </c>
      <c r="AO894" s="117">
        <f t="shared" si="68"/>
        <v>3546.4059717260288</v>
      </c>
      <c r="AQ894" s="117">
        <f t="shared" si="66"/>
        <v>0</v>
      </c>
      <c r="AR894" s="120">
        <f t="shared" si="67"/>
        <v>31190.884028273973</v>
      </c>
      <c r="AS894" s="121"/>
    </row>
    <row r="895" spans="1:45" ht="13.5" x14ac:dyDescent="0.4">
      <c r="A895" s="12">
        <f t="shared" si="69"/>
        <v>892</v>
      </c>
      <c r="B895" s="64" t="s">
        <v>1308</v>
      </c>
      <c r="C895" s="54">
        <v>45293</v>
      </c>
      <c r="D895" s="54">
        <v>45293</v>
      </c>
      <c r="E895" s="46" t="s">
        <v>451</v>
      </c>
      <c r="F895" s="51" t="s">
        <v>19</v>
      </c>
      <c r="G895" s="51" t="s">
        <v>1290</v>
      </c>
      <c r="H895" s="51" t="s">
        <v>21</v>
      </c>
      <c r="I895" s="55" t="s">
        <v>1669</v>
      </c>
      <c r="J895" s="56">
        <v>1</v>
      </c>
      <c r="K895" s="51" t="s">
        <v>1670</v>
      </c>
      <c r="L895" s="58">
        <v>92288.15</v>
      </c>
      <c r="M895" s="50">
        <f>ROUND('FA Addition'!$L895*5%,0.1)</f>
        <v>4614</v>
      </c>
      <c r="N895" s="113" t="str">
        <f>_xlfn.XLOOKUP(_xlfn.CONCAT(E895,B895),'Year Wise Master Dep Approach'!F:F,'Year Wise Master Dep Approach'!D:D)</f>
        <v>WDV</v>
      </c>
      <c r="O895" s="113">
        <f>_xlfn.XLOOKUP(_xlfn.CONCAT(E895,B895),'Year Wise Master Dep Approach'!F:F,'Year Wise Master Dep Approach'!E:E)</f>
        <v>3</v>
      </c>
      <c r="P895" s="114">
        <f>IFERROR(IF('FA Addition'!$N895="WDV",1-('FA Addition'!$M895/'FA Addition'!$L895)^(1/'FA Addition'!$O895),1/'FA Addition'!$O895),0)</f>
        <v>0.63160769506046954</v>
      </c>
      <c r="Q895" s="122">
        <f>'FA Addition'!$P895*'FA Addition'!$O895</f>
        <v>1.8948230851814087</v>
      </c>
      <c r="R895" s="122"/>
      <c r="S895" s="116">
        <f>IF(AND(DATE(20&amp;LEFT(FAAddition[[#This Row],[FY]],2),4,1)&lt;$L$1+1,DATE(20&amp;LEFT(FAAddition[[#This Row],[FY]],2),4,1)&gt;$P$1-1),'FA Addition'!$J895,0)</f>
        <v>1</v>
      </c>
      <c r="U895" s="117">
        <f>S895*'FA Addition'!$L895/'FA Addition'!$J895</f>
        <v>92288.15</v>
      </c>
      <c r="W895" s="116">
        <f>SUMIFS('FA Write off'!D:D,'FA Write off'!A:A,'FA Addition'!$A895,'FA Write off'!C:C,"&lt;"&amp;'FA Addition'!$P$1)</f>
        <v>0</v>
      </c>
      <c r="Y895" s="191">
        <f>IFERROR(W895/'FA Addition'!$J895*'FA Addition'!$L895,0)</f>
        <v>0</v>
      </c>
      <c r="AA895" s="116">
        <f>SUMIFS('FA Write off'!D:D,'FA Write off'!A:A,'FA Addition'!$A895,'FA Write off'!C:C,"&lt;"&amp;'FA Addition'!$L$1+1,'FA Write off'!C:C,"&gt;"&amp;'FA Addition'!$L$1-365)</f>
        <v>0</v>
      </c>
      <c r="AC895" s="118">
        <f>IFERROR(AA895/'FA Addition'!$J895*'FA Addition'!$L895,0)</f>
        <v>0</v>
      </c>
      <c r="AE895" s="117">
        <f>IF(AND('FA Addition'!$D895&lt;$P$1+1,U895=0),'FA Addition'!$L895,0)-Y895</f>
        <v>0</v>
      </c>
      <c r="AF895" s="117">
        <f t="shared" si="65"/>
        <v>92288.15</v>
      </c>
      <c r="AG895" s="117">
        <f>MIN(MAX(+$P$1-'FA Addition'!$D895,0),365*'FA Addition'!$O895)</f>
        <v>0</v>
      </c>
      <c r="AH895" s="117">
        <f>MIN(MAX($L$1-'FA Addition'!$D895+1,0),365*'FA Addition'!$O895)</f>
        <v>90</v>
      </c>
      <c r="AI895" s="117" cm="1">
        <f t="array" ref="AI895">_xlfn.XLOOKUP(1,('FA Write off'!A:A='FA Addition'!$A895)*('FA Write off'!D:D=AA895),'FA Write off'!H:H,0,0)</f>
        <v>0</v>
      </c>
      <c r="AJ895" s="117">
        <f>IF(AC895&gt;0,MAX(IF('FA Addition'!$N895="SLM",($AC895-'FA Addition'!$M895)*'FA Addition'!$P895*AI895/365,(AC895-'FA Addition'!$M895)*(1-(1-'FA Addition'!$P895)^(AI895/365))),0),0)</f>
        <v>0</v>
      </c>
      <c r="AL895" s="117">
        <f>MAX(IF(AG895&gt;0,IF('FA Addition'!$N895="SLM",($AE895-'FA Addition'!$M895)*'FA Addition'!$P895*AG895/365,IFERROR(VDB(AE895,AE895*0.05,'FA Addition'!$O895,0,YEARFRAC('FA Addition'!$C895,$P$1-1,3),'FA Addition'!$Q895),FAAddition[[#This Row],[Original Cost (Rs)]]-FAAddition[[#This Row],[Salvage Value]])),0),0)</f>
        <v>0</v>
      </c>
      <c r="AM895" s="119"/>
      <c r="AN895" s="117">
        <f>MAX(IF(AH895&gt;0,IF('FA Addition'!$N895="SLM",($AF895-'FA Addition'!$M895)*'FA Addition'!$P895*AH895/365,IFERROR(VDB(AF895,AF895*0.05,'FA Addition'!$O895,0,YEARFRAC('FA Addition'!$C895,$L$1,3),'FA Addition'!$Q895),FAAddition[[#This Row],[Original Cost (Rs)]]-FAAddition[[#This Row],[Salvage Value]])),0),0)</f>
        <v>14213.155089199023</v>
      </c>
      <c r="AO895" s="117">
        <f t="shared" si="68"/>
        <v>14213.155089199023</v>
      </c>
      <c r="AQ895" s="117">
        <f t="shared" si="66"/>
        <v>0</v>
      </c>
      <c r="AR895" s="120">
        <f t="shared" si="67"/>
        <v>78074.994910800975</v>
      </c>
      <c r="AS895" s="121"/>
    </row>
    <row r="896" spans="1:45" ht="13.5" x14ac:dyDescent="0.4">
      <c r="A896" s="12">
        <f t="shared" si="69"/>
        <v>893</v>
      </c>
      <c r="B896" s="64" t="s">
        <v>1308</v>
      </c>
      <c r="C896" s="54">
        <v>45294</v>
      </c>
      <c r="D896" s="54">
        <v>45294</v>
      </c>
      <c r="E896" s="46" t="s">
        <v>1320</v>
      </c>
      <c r="F896" s="51" t="s">
        <v>33</v>
      </c>
      <c r="G896" s="51" t="s">
        <v>36</v>
      </c>
      <c r="H896" s="51" t="s">
        <v>32</v>
      </c>
      <c r="I896" s="55" t="s">
        <v>1671</v>
      </c>
      <c r="J896" s="56">
        <v>500</v>
      </c>
      <c r="K896" s="51" t="s">
        <v>296</v>
      </c>
      <c r="L896" s="58">
        <v>850000</v>
      </c>
      <c r="M896" s="50">
        <f>ROUND('FA Addition'!$L896*5%,0.1)</f>
        <v>42500</v>
      </c>
      <c r="N896" s="113" t="str">
        <f>_xlfn.XLOOKUP(_xlfn.CONCAT(E896,B896),'Year Wise Master Dep Approach'!F:F,'Year Wise Master Dep Approach'!D:D)</f>
        <v>SLM</v>
      </c>
      <c r="O896" s="113">
        <f>_xlfn.XLOOKUP(_xlfn.CONCAT(E896,B896),'Year Wise Master Dep Approach'!F:F,'Year Wise Master Dep Approach'!E:E)</f>
        <v>5</v>
      </c>
      <c r="P896" s="114">
        <f>IFERROR(IF('FA Addition'!$N896="WDV",1-('FA Addition'!$M896/'FA Addition'!$L896)^(1/'FA Addition'!$O896),1/'FA Addition'!$O896),0)</f>
        <v>0.2</v>
      </c>
      <c r="Q896" s="122">
        <f>'FA Addition'!$P896*'FA Addition'!$O896</f>
        <v>1</v>
      </c>
      <c r="R896" s="122"/>
      <c r="S896" s="116">
        <f>IF(AND(DATE(20&amp;LEFT(FAAddition[[#This Row],[FY]],2),4,1)&lt;$L$1+1,DATE(20&amp;LEFT(FAAddition[[#This Row],[FY]],2),4,1)&gt;$P$1-1),'FA Addition'!$J896,0)</f>
        <v>500</v>
      </c>
      <c r="U896" s="117">
        <f>S896*'FA Addition'!$L896/'FA Addition'!$J896</f>
        <v>850000</v>
      </c>
      <c r="W896" s="116">
        <f>SUMIFS('FA Write off'!D:D,'FA Write off'!A:A,'FA Addition'!$A896,'FA Write off'!C:C,"&lt;"&amp;'FA Addition'!$P$1)</f>
        <v>0</v>
      </c>
      <c r="Y896" s="191">
        <f>IFERROR(W896/'FA Addition'!$J896*'FA Addition'!$L896,0)</f>
        <v>0</v>
      </c>
      <c r="AA896" s="116">
        <f>SUMIFS('FA Write off'!D:D,'FA Write off'!A:A,'FA Addition'!$A896,'FA Write off'!C:C,"&lt;"&amp;'FA Addition'!$L$1+1,'FA Write off'!C:C,"&gt;"&amp;'FA Addition'!$L$1-365)</f>
        <v>0</v>
      </c>
      <c r="AC896" s="118">
        <f>IFERROR(AA896/'FA Addition'!$J896*'FA Addition'!$L896,0)</f>
        <v>0</v>
      </c>
      <c r="AE896" s="117">
        <f>IF(AND('FA Addition'!$D896&lt;$P$1+1,U896=0),'FA Addition'!$L896,0)-Y896</f>
        <v>0</v>
      </c>
      <c r="AF896" s="117">
        <f t="shared" si="65"/>
        <v>850000</v>
      </c>
      <c r="AG896" s="117">
        <f>MIN(MAX(+$P$1-'FA Addition'!$D896,0),365*'FA Addition'!$O896)</f>
        <v>0</v>
      </c>
      <c r="AH896" s="117">
        <f>MIN(MAX($L$1-'FA Addition'!$D896+1,0),365*'FA Addition'!$O896)</f>
        <v>89</v>
      </c>
      <c r="AI896" s="117" cm="1">
        <f t="array" ref="AI896">_xlfn.XLOOKUP(1,('FA Write off'!A:A='FA Addition'!$A896)*('FA Write off'!D:D=AA896),'FA Write off'!H:H,0,0)</f>
        <v>0</v>
      </c>
      <c r="AJ896" s="117">
        <f>IF(AC896&gt;0,MAX(IF('FA Addition'!$N896="SLM",($AC896-'FA Addition'!$M896)*'FA Addition'!$P896*AI896/365,(AC896-'FA Addition'!$M896)*(1-(1-'FA Addition'!$P896)^(AI896/365))),0),0)</f>
        <v>0</v>
      </c>
      <c r="AL896" s="117">
        <f>MAX(IF(AG896&gt;0,IF('FA Addition'!$N896="SLM",($AE896-'FA Addition'!$M896)*'FA Addition'!$P896*AG896/365,IFERROR(VDB(AE896,AE896*0.05,'FA Addition'!$O896,0,YEARFRAC('FA Addition'!$C896,$P$1-1,3),'FA Addition'!$Q896),FAAddition[[#This Row],[Original Cost (Rs)]]-FAAddition[[#This Row],[Salvage Value]])),0),0)</f>
        <v>0</v>
      </c>
      <c r="AM896" s="119"/>
      <c r="AN896" s="117">
        <f>MAX(IF(AH896&gt;0,IF('FA Addition'!$N896="SLM",($AF896-'FA Addition'!$M896)*'FA Addition'!$P896*AH896/365,IFERROR(VDB(AF896,AF896*0.05,'FA Addition'!$O896,0,YEARFRAC('FA Addition'!$C896,$L$1,3),'FA Addition'!$Q896),FAAddition[[#This Row],[Original Cost (Rs)]]-FAAddition[[#This Row],[Salvage Value]])),0),0)</f>
        <v>39379.452054794521</v>
      </c>
      <c r="AO896" s="117">
        <f t="shared" si="68"/>
        <v>39379.452054794521</v>
      </c>
      <c r="AQ896" s="117">
        <f t="shared" si="66"/>
        <v>0</v>
      </c>
      <c r="AR896" s="120">
        <f t="shared" si="67"/>
        <v>810620.54794520547</v>
      </c>
      <c r="AS896" s="121"/>
    </row>
    <row r="897" spans="1:45" ht="13.5" x14ac:dyDescent="0.4">
      <c r="A897" s="12">
        <f t="shared" si="69"/>
        <v>894</v>
      </c>
      <c r="B897" s="64" t="s">
        <v>1308</v>
      </c>
      <c r="C897" s="54">
        <v>45294</v>
      </c>
      <c r="D897" s="54">
        <v>45294</v>
      </c>
      <c r="E897" s="46" t="s">
        <v>451</v>
      </c>
      <c r="F897" s="51" t="s">
        <v>19</v>
      </c>
      <c r="G897" s="51" t="s">
        <v>1672</v>
      </c>
      <c r="H897" s="51" t="s">
        <v>21</v>
      </c>
      <c r="I897" s="55" t="s">
        <v>1673</v>
      </c>
      <c r="J897" s="56">
        <v>1</v>
      </c>
      <c r="K897" s="51" t="s">
        <v>1584</v>
      </c>
      <c r="L897" s="58">
        <v>63670.420000000006</v>
      </c>
      <c r="M897" s="50">
        <f>ROUND('FA Addition'!$L897*5%,0.1)</f>
        <v>3184</v>
      </c>
      <c r="N897" s="113" t="str">
        <f>_xlfn.XLOOKUP(_xlfn.CONCAT(E897,B897),'Year Wise Master Dep Approach'!F:F,'Year Wise Master Dep Approach'!D:D)</f>
        <v>WDV</v>
      </c>
      <c r="O897" s="113">
        <f>_xlfn.XLOOKUP(_xlfn.CONCAT(E897,B897),'Year Wise Master Dep Approach'!F:F,'Year Wise Master Dep Approach'!E:E)</f>
        <v>3</v>
      </c>
      <c r="P897" s="114">
        <f>IFERROR(IF('FA Addition'!$N897="WDV",1-('FA Addition'!$M897/'FA Addition'!$L897)^(1/'FA Addition'!$O897),1/'FA Addition'!$O897),0)</f>
        <v>0.63157837412998408</v>
      </c>
      <c r="Q897" s="122">
        <f>'FA Addition'!$P897*'FA Addition'!$O897</f>
        <v>1.8947351223899522</v>
      </c>
      <c r="R897" s="122"/>
      <c r="S897" s="116">
        <f>IF(AND(DATE(20&amp;LEFT(FAAddition[[#This Row],[FY]],2),4,1)&lt;$L$1+1,DATE(20&amp;LEFT(FAAddition[[#This Row],[FY]],2),4,1)&gt;$P$1-1),'FA Addition'!$J897,0)</f>
        <v>1</v>
      </c>
      <c r="U897" s="117">
        <f>S897*'FA Addition'!$L897/'FA Addition'!$J897</f>
        <v>63670.420000000006</v>
      </c>
      <c r="W897" s="116">
        <f>SUMIFS('FA Write off'!D:D,'FA Write off'!A:A,'FA Addition'!$A897,'FA Write off'!C:C,"&lt;"&amp;'FA Addition'!$P$1)</f>
        <v>0</v>
      </c>
      <c r="Y897" s="191">
        <f>IFERROR(W897/'FA Addition'!$J897*'FA Addition'!$L897,0)</f>
        <v>0</v>
      </c>
      <c r="AA897" s="116">
        <f>SUMIFS('FA Write off'!D:D,'FA Write off'!A:A,'FA Addition'!$A897,'FA Write off'!C:C,"&lt;"&amp;'FA Addition'!$L$1+1,'FA Write off'!C:C,"&gt;"&amp;'FA Addition'!$L$1-365)</f>
        <v>0</v>
      </c>
      <c r="AC897" s="118">
        <f>IFERROR(AA897/'FA Addition'!$J897*'FA Addition'!$L897,0)</f>
        <v>0</v>
      </c>
      <c r="AE897" s="117">
        <f>IF(AND('FA Addition'!$D897&lt;$P$1+1,U897=0),'FA Addition'!$L897,0)-Y897</f>
        <v>0</v>
      </c>
      <c r="AF897" s="117">
        <f t="shared" si="65"/>
        <v>63670.420000000006</v>
      </c>
      <c r="AG897" s="117">
        <f>MIN(MAX(+$P$1-'FA Addition'!$D897,0),365*'FA Addition'!$O897)</f>
        <v>0</v>
      </c>
      <c r="AH897" s="117">
        <f>MIN(MAX($L$1-'FA Addition'!$D897+1,0),365*'FA Addition'!$O897)</f>
        <v>89</v>
      </c>
      <c r="AI897" s="117" cm="1">
        <f t="array" ref="AI897">_xlfn.XLOOKUP(1,('FA Write off'!A:A='FA Addition'!$A897)*('FA Write off'!D:D=AA897),'FA Write off'!H:H,0,0)</f>
        <v>0</v>
      </c>
      <c r="AJ897" s="117">
        <f>IF(AC897&gt;0,MAX(IF('FA Addition'!$N897="SLM",($AC897-'FA Addition'!$M897)*'FA Addition'!$P897*AI897/365,(AC897-'FA Addition'!$M897)*(1-(1-'FA Addition'!$P897)^(AI897/365))),0),0)</f>
        <v>0</v>
      </c>
      <c r="AL897" s="117">
        <f>MAX(IF(AG897&gt;0,IF('FA Addition'!$N897="SLM",($AE897-'FA Addition'!$M897)*'FA Addition'!$P897*AG897/365,IFERROR(VDB(AE897,AE897*0.05,'FA Addition'!$O897,0,YEARFRAC('FA Addition'!$C897,$P$1-1,3),'FA Addition'!$Q897),FAAddition[[#This Row],[Original Cost (Rs)]]-FAAddition[[#This Row],[Salvage Value]])),0),0)</f>
        <v>0</v>
      </c>
      <c r="AM897" s="119"/>
      <c r="AN897" s="117">
        <f>MAX(IF(AH897&gt;0,IF('FA Addition'!$N897="SLM",($AF897-'FA Addition'!$M897)*'FA Addition'!$P897*AH897/365,IFERROR(VDB(AF897,AF897*0.05,'FA Addition'!$O897,0,YEARFRAC('FA Addition'!$C897,$L$1,3),'FA Addition'!$Q897),FAAddition[[#This Row],[Original Cost (Rs)]]-FAAddition[[#This Row],[Salvage Value]])),0),0)</f>
        <v>9695.1553705535443</v>
      </c>
      <c r="AO897" s="117">
        <f t="shared" si="68"/>
        <v>9695.1553705535443</v>
      </c>
      <c r="AQ897" s="117">
        <f t="shared" si="66"/>
        <v>0</v>
      </c>
      <c r="AR897" s="120">
        <f t="shared" si="67"/>
        <v>53975.264629446465</v>
      </c>
      <c r="AS897" s="121"/>
    </row>
    <row r="898" spans="1:45" ht="13.5" x14ac:dyDescent="0.4">
      <c r="A898" s="12">
        <f t="shared" si="69"/>
        <v>895</v>
      </c>
      <c r="B898" s="64" t="s">
        <v>1308</v>
      </c>
      <c r="C898" s="54">
        <v>45294</v>
      </c>
      <c r="D898" s="54">
        <v>45294</v>
      </c>
      <c r="E898" s="46" t="s">
        <v>451</v>
      </c>
      <c r="F898" s="51" t="s">
        <v>19</v>
      </c>
      <c r="G898" s="51" t="s">
        <v>1672</v>
      </c>
      <c r="H898" s="51" t="s">
        <v>21</v>
      </c>
      <c r="I898" s="55" t="s">
        <v>1673</v>
      </c>
      <c r="J898" s="56">
        <v>1</v>
      </c>
      <c r="K898" s="51" t="s">
        <v>1584</v>
      </c>
      <c r="L898" s="58">
        <v>63670.420000000006</v>
      </c>
      <c r="M898" s="50">
        <f>ROUND('FA Addition'!$L898*5%,0.1)</f>
        <v>3184</v>
      </c>
      <c r="N898" s="113" t="str">
        <f>_xlfn.XLOOKUP(_xlfn.CONCAT(E898,B898),'Year Wise Master Dep Approach'!F:F,'Year Wise Master Dep Approach'!D:D)</f>
        <v>WDV</v>
      </c>
      <c r="O898" s="113">
        <f>_xlfn.XLOOKUP(_xlfn.CONCAT(E898,B898),'Year Wise Master Dep Approach'!F:F,'Year Wise Master Dep Approach'!E:E)</f>
        <v>3</v>
      </c>
      <c r="P898" s="114">
        <f>IFERROR(IF('FA Addition'!$N898="WDV",1-('FA Addition'!$M898/'FA Addition'!$L898)^(1/'FA Addition'!$O898),1/'FA Addition'!$O898),0)</f>
        <v>0.63157837412998408</v>
      </c>
      <c r="Q898" s="122">
        <f>'FA Addition'!$P898*'FA Addition'!$O898</f>
        <v>1.8947351223899522</v>
      </c>
      <c r="R898" s="122"/>
      <c r="S898" s="116">
        <f>IF(AND(DATE(20&amp;LEFT(FAAddition[[#This Row],[FY]],2),4,1)&lt;$L$1+1,DATE(20&amp;LEFT(FAAddition[[#This Row],[FY]],2),4,1)&gt;$P$1-1),'FA Addition'!$J898,0)</f>
        <v>1</v>
      </c>
      <c r="U898" s="117">
        <f>S898*'FA Addition'!$L898/'FA Addition'!$J898</f>
        <v>63670.420000000006</v>
      </c>
      <c r="W898" s="116">
        <f>SUMIFS('FA Write off'!D:D,'FA Write off'!A:A,'FA Addition'!$A898,'FA Write off'!C:C,"&lt;"&amp;'FA Addition'!$P$1)</f>
        <v>0</v>
      </c>
      <c r="Y898" s="191">
        <f>IFERROR(W898/'FA Addition'!$J898*'FA Addition'!$L898,0)</f>
        <v>0</v>
      </c>
      <c r="AA898" s="116">
        <f>SUMIFS('FA Write off'!D:D,'FA Write off'!A:A,'FA Addition'!$A898,'FA Write off'!C:C,"&lt;"&amp;'FA Addition'!$L$1+1,'FA Write off'!C:C,"&gt;"&amp;'FA Addition'!$L$1-365)</f>
        <v>0</v>
      </c>
      <c r="AC898" s="118">
        <f>IFERROR(AA898/'FA Addition'!$J898*'FA Addition'!$L898,0)</f>
        <v>0</v>
      </c>
      <c r="AE898" s="117">
        <f>IF(AND('FA Addition'!$D898&lt;$P$1+1,U898=0),'FA Addition'!$L898,0)-Y898</f>
        <v>0</v>
      </c>
      <c r="AF898" s="117">
        <f t="shared" si="65"/>
        <v>63670.420000000006</v>
      </c>
      <c r="AG898" s="117">
        <f>MIN(MAX(+$P$1-'FA Addition'!$D898,0),365*'FA Addition'!$O898)</f>
        <v>0</v>
      </c>
      <c r="AH898" s="117">
        <f>MIN(MAX($L$1-'FA Addition'!$D898+1,0),365*'FA Addition'!$O898)</f>
        <v>89</v>
      </c>
      <c r="AI898" s="117" cm="1">
        <f t="array" ref="AI898">_xlfn.XLOOKUP(1,('FA Write off'!A:A='FA Addition'!$A898)*('FA Write off'!D:D=AA898),'FA Write off'!H:H,0,0)</f>
        <v>0</v>
      </c>
      <c r="AJ898" s="117">
        <f>IF(AC898&gt;0,MAX(IF('FA Addition'!$N898="SLM",($AC898-'FA Addition'!$M898)*'FA Addition'!$P898*AI898/365,(AC898-'FA Addition'!$M898)*(1-(1-'FA Addition'!$P898)^(AI898/365))),0),0)</f>
        <v>0</v>
      </c>
      <c r="AL898" s="117">
        <f>MAX(IF(AG898&gt;0,IF('FA Addition'!$N898="SLM",($AE898-'FA Addition'!$M898)*'FA Addition'!$P898*AG898/365,IFERROR(VDB(AE898,AE898*0.05,'FA Addition'!$O898,0,YEARFRAC('FA Addition'!$C898,$P$1-1,3),'FA Addition'!$Q898),FAAddition[[#This Row],[Original Cost (Rs)]]-FAAddition[[#This Row],[Salvage Value]])),0),0)</f>
        <v>0</v>
      </c>
      <c r="AM898" s="119"/>
      <c r="AN898" s="117">
        <f>MAX(IF(AH898&gt;0,IF('FA Addition'!$N898="SLM",($AF898-'FA Addition'!$M898)*'FA Addition'!$P898*AH898/365,IFERROR(VDB(AF898,AF898*0.05,'FA Addition'!$O898,0,YEARFRAC('FA Addition'!$C898,$L$1,3),'FA Addition'!$Q898),FAAddition[[#This Row],[Original Cost (Rs)]]-FAAddition[[#This Row],[Salvage Value]])),0),0)</f>
        <v>9695.1553705535443</v>
      </c>
      <c r="AO898" s="117">
        <f t="shared" si="68"/>
        <v>9695.1553705535443</v>
      </c>
      <c r="AQ898" s="117">
        <f t="shared" si="66"/>
        <v>0</v>
      </c>
      <c r="AR898" s="120">
        <f t="shared" si="67"/>
        <v>53975.264629446465</v>
      </c>
      <c r="AS898" s="121"/>
    </row>
    <row r="899" spans="1:45" ht="13.5" x14ac:dyDescent="0.4">
      <c r="A899" s="12">
        <f t="shared" si="69"/>
        <v>896</v>
      </c>
      <c r="B899" s="64" t="s">
        <v>1308</v>
      </c>
      <c r="C899" s="54">
        <v>45294</v>
      </c>
      <c r="D899" s="54">
        <v>45294</v>
      </c>
      <c r="E899" s="46" t="s">
        <v>451</v>
      </c>
      <c r="F899" s="51" t="s">
        <v>19</v>
      </c>
      <c r="G899" s="51" t="s">
        <v>1672</v>
      </c>
      <c r="H899" s="51" t="s">
        <v>21</v>
      </c>
      <c r="I899" s="55" t="s">
        <v>1673</v>
      </c>
      <c r="J899" s="56">
        <v>1</v>
      </c>
      <c r="K899" s="51" t="s">
        <v>1584</v>
      </c>
      <c r="L899" s="58">
        <v>63670.420000000006</v>
      </c>
      <c r="M899" s="50">
        <f>ROUND('FA Addition'!$L899*5%,0.1)</f>
        <v>3184</v>
      </c>
      <c r="N899" s="113" t="str">
        <f>_xlfn.XLOOKUP(_xlfn.CONCAT(E899,B899),'Year Wise Master Dep Approach'!F:F,'Year Wise Master Dep Approach'!D:D)</f>
        <v>WDV</v>
      </c>
      <c r="O899" s="113">
        <f>_xlfn.XLOOKUP(_xlfn.CONCAT(E899,B899),'Year Wise Master Dep Approach'!F:F,'Year Wise Master Dep Approach'!E:E)</f>
        <v>3</v>
      </c>
      <c r="P899" s="114">
        <f>IFERROR(IF('FA Addition'!$N899="WDV",1-('FA Addition'!$M899/'FA Addition'!$L899)^(1/'FA Addition'!$O899),1/'FA Addition'!$O899),0)</f>
        <v>0.63157837412998408</v>
      </c>
      <c r="Q899" s="122">
        <f>'FA Addition'!$P899*'FA Addition'!$O899</f>
        <v>1.8947351223899522</v>
      </c>
      <c r="R899" s="122"/>
      <c r="S899" s="116">
        <f>IF(AND(DATE(20&amp;LEFT(FAAddition[[#This Row],[FY]],2),4,1)&lt;$L$1+1,DATE(20&amp;LEFT(FAAddition[[#This Row],[FY]],2),4,1)&gt;$P$1-1),'FA Addition'!$J899,0)</f>
        <v>1</v>
      </c>
      <c r="U899" s="117">
        <f>S899*'FA Addition'!$L899/'FA Addition'!$J899</f>
        <v>63670.420000000006</v>
      </c>
      <c r="W899" s="116">
        <f>SUMIFS('FA Write off'!D:D,'FA Write off'!A:A,'FA Addition'!$A899,'FA Write off'!C:C,"&lt;"&amp;'FA Addition'!$P$1)</f>
        <v>0</v>
      </c>
      <c r="Y899" s="191">
        <f>IFERROR(W899/'FA Addition'!$J899*'FA Addition'!$L899,0)</f>
        <v>0</v>
      </c>
      <c r="AA899" s="116">
        <f>SUMIFS('FA Write off'!D:D,'FA Write off'!A:A,'FA Addition'!$A899,'FA Write off'!C:C,"&lt;"&amp;'FA Addition'!$L$1+1,'FA Write off'!C:C,"&gt;"&amp;'FA Addition'!$L$1-365)</f>
        <v>0</v>
      </c>
      <c r="AC899" s="118">
        <f>IFERROR(AA899/'FA Addition'!$J899*'FA Addition'!$L899,0)</f>
        <v>0</v>
      </c>
      <c r="AE899" s="117">
        <f>IF(AND('FA Addition'!$D899&lt;$P$1+1,U899=0),'FA Addition'!$L899,0)-Y899</f>
        <v>0</v>
      </c>
      <c r="AF899" s="117">
        <f t="shared" si="65"/>
        <v>63670.420000000006</v>
      </c>
      <c r="AG899" s="117">
        <f>MIN(MAX(+$P$1-'FA Addition'!$D899,0),365*'FA Addition'!$O899)</f>
        <v>0</v>
      </c>
      <c r="AH899" s="117">
        <f>MIN(MAX($L$1-'FA Addition'!$D899+1,0),365*'FA Addition'!$O899)</f>
        <v>89</v>
      </c>
      <c r="AI899" s="117" cm="1">
        <f t="array" ref="AI899">_xlfn.XLOOKUP(1,('FA Write off'!A:A='FA Addition'!$A899)*('FA Write off'!D:D=AA899),'FA Write off'!H:H,0,0)</f>
        <v>0</v>
      </c>
      <c r="AJ899" s="117">
        <f>IF(AC899&gt;0,MAX(IF('FA Addition'!$N899="SLM",($AC899-'FA Addition'!$M899)*'FA Addition'!$P899*AI899/365,(AC899-'FA Addition'!$M899)*(1-(1-'FA Addition'!$P899)^(AI899/365))),0),0)</f>
        <v>0</v>
      </c>
      <c r="AL899" s="117">
        <f>MAX(IF(AG899&gt;0,IF('FA Addition'!$N899="SLM",($AE899-'FA Addition'!$M899)*'FA Addition'!$P899*AG899/365,IFERROR(VDB(AE899,AE899*0.05,'FA Addition'!$O899,0,YEARFRAC('FA Addition'!$C899,$P$1-1,3),'FA Addition'!$Q899),FAAddition[[#This Row],[Original Cost (Rs)]]-FAAddition[[#This Row],[Salvage Value]])),0),0)</f>
        <v>0</v>
      </c>
      <c r="AM899" s="119"/>
      <c r="AN899" s="117">
        <f>MAX(IF(AH899&gt;0,IF('FA Addition'!$N899="SLM",($AF899-'FA Addition'!$M899)*'FA Addition'!$P899*AH899/365,IFERROR(VDB(AF899,AF899*0.05,'FA Addition'!$O899,0,YEARFRAC('FA Addition'!$C899,$L$1,3),'FA Addition'!$Q899),FAAddition[[#This Row],[Original Cost (Rs)]]-FAAddition[[#This Row],[Salvage Value]])),0),0)</f>
        <v>9695.1553705535443</v>
      </c>
      <c r="AO899" s="117">
        <f t="shared" si="68"/>
        <v>9695.1553705535443</v>
      </c>
      <c r="AQ899" s="117">
        <f t="shared" si="66"/>
        <v>0</v>
      </c>
      <c r="AR899" s="120">
        <f t="shared" si="67"/>
        <v>53975.264629446465</v>
      </c>
      <c r="AS899" s="121"/>
    </row>
    <row r="900" spans="1:45" ht="13.5" x14ac:dyDescent="0.4">
      <c r="A900" s="12">
        <f t="shared" si="69"/>
        <v>897</v>
      </c>
      <c r="B900" s="64" t="s">
        <v>1308</v>
      </c>
      <c r="C900" s="54">
        <v>45294</v>
      </c>
      <c r="D900" s="54">
        <v>45294</v>
      </c>
      <c r="E900" s="46" t="s">
        <v>451</v>
      </c>
      <c r="F900" s="51" t="s">
        <v>19</v>
      </c>
      <c r="G900" s="51" t="s">
        <v>1134</v>
      </c>
      <c r="H900" s="51" t="s">
        <v>21</v>
      </c>
      <c r="I900" s="55" t="s">
        <v>1674</v>
      </c>
      <c r="J900" s="56">
        <v>1</v>
      </c>
      <c r="K900" s="51" t="s">
        <v>1552</v>
      </c>
      <c r="L900" s="58">
        <v>34737.29</v>
      </c>
      <c r="M900" s="50">
        <f>ROUND('FA Addition'!$L900*5%,0.1)</f>
        <v>1737</v>
      </c>
      <c r="N900" s="113" t="str">
        <f>_xlfn.XLOOKUP(_xlfn.CONCAT(E900,B900),'Year Wise Master Dep Approach'!F:F,'Year Wise Master Dep Approach'!D:D)</f>
        <v>WDV</v>
      </c>
      <c r="O900" s="113">
        <f>_xlfn.XLOOKUP(_xlfn.CONCAT(E900,B900),'Year Wise Master Dep Approach'!F:F,'Year Wise Master Dep Approach'!E:E)</f>
        <v>3</v>
      </c>
      <c r="P900" s="114">
        <f>IFERROR(IF('FA Addition'!$N900="WDV",1-('FA Addition'!$M900/'FA Addition'!$L900)^(1/'FA Addition'!$O900),1/'FA Addition'!$O900),0)</f>
        <v>0.63158727016608973</v>
      </c>
      <c r="Q900" s="122">
        <f>'FA Addition'!$P900*'FA Addition'!$O900</f>
        <v>1.8947618104982693</v>
      </c>
      <c r="R900" s="122"/>
      <c r="S900" s="116">
        <f>IF(AND(DATE(20&amp;LEFT(FAAddition[[#This Row],[FY]],2),4,1)&lt;$L$1+1,DATE(20&amp;LEFT(FAAddition[[#This Row],[FY]],2),4,1)&gt;$P$1-1),'FA Addition'!$J900,0)</f>
        <v>1</v>
      </c>
      <c r="U900" s="117">
        <f>S900*'FA Addition'!$L900/'FA Addition'!$J900</f>
        <v>34737.29</v>
      </c>
      <c r="W900" s="116">
        <f>SUMIFS('FA Write off'!D:D,'FA Write off'!A:A,'FA Addition'!$A900,'FA Write off'!C:C,"&lt;"&amp;'FA Addition'!$P$1)</f>
        <v>0</v>
      </c>
      <c r="Y900" s="191">
        <f>IFERROR(W900/'FA Addition'!$J900*'FA Addition'!$L900,0)</f>
        <v>0</v>
      </c>
      <c r="AA900" s="116">
        <f>SUMIFS('FA Write off'!D:D,'FA Write off'!A:A,'FA Addition'!$A900,'FA Write off'!C:C,"&lt;"&amp;'FA Addition'!$L$1+1,'FA Write off'!C:C,"&gt;"&amp;'FA Addition'!$L$1-365)</f>
        <v>0</v>
      </c>
      <c r="AC900" s="118">
        <f>IFERROR(AA900/'FA Addition'!$J900*'FA Addition'!$L900,0)</f>
        <v>0</v>
      </c>
      <c r="AE900" s="117">
        <f>IF(AND('FA Addition'!$D900&lt;$P$1+1,U900=0),'FA Addition'!$L900,0)-Y900</f>
        <v>0</v>
      </c>
      <c r="AF900" s="117">
        <f t="shared" ref="AF900:AF963" si="70">AE900+U900-AC900</f>
        <v>34737.29</v>
      </c>
      <c r="AG900" s="117">
        <f>MIN(MAX(+$P$1-'FA Addition'!$D900,0),365*'FA Addition'!$O900)</f>
        <v>0</v>
      </c>
      <c r="AH900" s="117">
        <f>MIN(MAX($L$1-'FA Addition'!$D900+1,0),365*'FA Addition'!$O900)</f>
        <v>89</v>
      </c>
      <c r="AI900" s="117" cm="1">
        <f t="array" ref="AI900">_xlfn.XLOOKUP(1,('FA Write off'!A:A='FA Addition'!$A900)*('FA Write off'!D:D=AA900),'FA Write off'!H:H,0,0)</f>
        <v>0</v>
      </c>
      <c r="AJ900" s="117">
        <f>IF(AC900&gt;0,MAX(IF('FA Addition'!$N900="SLM",($AC900-'FA Addition'!$M900)*'FA Addition'!$P900*AI900/365,(AC900-'FA Addition'!$M900)*(1-(1-'FA Addition'!$P900)^(AI900/365))),0),0)</f>
        <v>0</v>
      </c>
      <c r="AL900" s="117">
        <f>MAX(IF(AG900&gt;0,IF('FA Addition'!$N900="SLM",($AE900-'FA Addition'!$M900)*'FA Addition'!$P900*AG900/365,IFERROR(VDB(AE900,AE900*0.05,'FA Addition'!$O900,0,YEARFRAC('FA Addition'!$C900,$P$1-1,3),'FA Addition'!$Q900),FAAddition[[#This Row],[Original Cost (Rs)]]-FAAddition[[#This Row],[Salvage Value]])),0),0)</f>
        <v>0</v>
      </c>
      <c r="AM900" s="119"/>
      <c r="AN900" s="117">
        <f>MAX(IF(AH900&gt;0,IF('FA Addition'!$N900="SLM",($AF900-'FA Addition'!$M900)*'FA Addition'!$P900*AH900/365,IFERROR(VDB(AF900,AF900*0.05,'FA Addition'!$O900,0,YEARFRAC('FA Addition'!$C900,$L$1,3),'FA Addition'!$Q900),FAAddition[[#This Row],[Original Cost (Rs)]]-FAAddition[[#This Row],[Salvage Value]])),0),0)</f>
        <v>5289.5546696930605</v>
      </c>
      <c r="AO900" s="117">
        <f t="shared" si="68"/>
        <v>5289.5546696930605</v>
      </c>
      <c r="AQ900" s="117">
        <f t="shared" ref="AQ900:AQ963" si="71">AE900-AL900</f>
        <v>0</v>
      </c>
      <c r="AR900" s="120">
        <f t="shared" ref="AR900:AR963" si="72">AF900-AN900</f>
        <v>29447.735330306939</v>
      </c>
      <c r="AS900" s="121"/>
    </row>
    <row r="901" spans="1:45" ht="13.5" x14ac:dyDescent="0.4">
      <c r="A901" s="12">
        <f t="shared" si="69"/>
        <v>898</v>
      </c>
      <c r="B901" s="64" t="s">
        <v>1308</v>
      </c>
      <c r="C901" s="54">
        <v>45294</v>
      </c>
      <c r="D901" s="54">
        <v>45294</v>
      </c>
      <c r="E901" s="46" t="s">
        <v>451</v>
      </c>
      <c r="F901" s="51" t="s">
        <v>19</v>
      </c>
      <c r="G901" s="51" t="s">
        <v>1134</v>
      </c>
      <c r="H901" s="51" t="s">
        <v>21</v>
      </c>
      <c r="I901" s="55" t="s">
        <v>1674</v>
      </c>
      <c r="J901" s="56">
        <v>1</v>
      </c>
      <c r="K901" s="51" t="s">
        <v>1552</v>
      </c>
      <c r="L901" s="58">
        <v>34737.29</v>
      </c>
      <c r="M901" s="50">
        <f>ROUND('FA Addition'!$L901*5%,0.1)</f>
        <v>1737</v>
      </c>
      <c r="N901" s="113" t="str">
        <f>_xlfn.XLOOKUP(_xlfn.CONCAT(E901,B901),'Year Wise Master Dep Approach'!F:F,'Year Wise Master Dep Approach'!D:D)</f>
        <v>WDV</v>
      </c>
      <c r="O901" s="113">
        <f>_xlfn.XLOOKUP(_xlfn.CONCAT(E901,B901),'Year Wise Master Dep Approach'!F:F,'Year Wise Master Dep Approach'!E:E)</f>
        <v>3</v>
      </c>
      <c r="P901" s="114">
        <f>IFERROR(IF('FA Addition'!$N901="WDV",1-('FA Addition'!$M901/'FA Addition'!$L901)^(1/'FA Addition'!$O901),1/'FA Addition'!$O901),0)</f>
        <v>0.63158727016608973</v>
      </c>
      <c r="Q901" s="122">
        <f>'FA Addition'!$P901*'FA Addition'!$O901</f>
        <v>1.8947618104982693</v>
      </c>
      <c r="R901" s="122"/>
      <c r="S901" s="116">
        <f>IF(AND(DATE(20&amp;LEFT(FAAddition[[#This Row],[FY]],2),4,1)&lt;$L$1+1,DATE(20&amp;LEFT(FAAddition[[#This Row],[FY]],2),4,1)&gt;$P$1-1),'FA Addition'!$J901,0)</f>
        <v>1</v>
      </c>
      <c r="U901" s="117">
        <f>S901*'FA Addition'!$L901/'FA Addition'!$J901</f>
        <v>34737.29</v>
      </c>
      <c r="W901" s="116">
        <f>SUMIFS('FA Write off'!D:D,'FA Write off'!A:A,'FA Addition'!$A901,'FA Write off'!C:C,"&lt;"&amp;'FA Addition'!$P$1)</f>
        <v>0</v>
      </c>
      <c r="Y901" s="191">
        <f>IFERROR(W901/'FA Addition'!$J901*'FA Addition'!$L901,0)</f>
        <v>0</v>
      </c>
      <c r="AA901" s="116">
        <f>SUMIFS('FA Write off'!D:D,'FA Write off'!A:A,'FA Addition'!$A901,'FA Write off'!C:C,"&lt;"&amp;'FA Addition'!$L$1+1,'FA Write off'!C:C,"&gt;"&amp;'FA Addition'!$L$1-365)</f>
        <v>0</v>
      </c>
      <c r="AC901" s="118">
        <f>IFERROR(AA901/'FA Addition'!$J901*'FA Addition'!$L901,0)</f>
        <v>0</v>
      </c>
      <c r="AE901" s="117">
        <f>IF(AND('FA Addition'!$D901&lt;$P$1+1,U901=0),'FA Addition'!$L901,0)-Y901</f>
        <v>0</v>
      </c>
      <c r="AF901" s="117">
        <f t="shared" si="70"/>
        <v>34737.29</v>
      </c>
      <c r="AG901" s="117">
        <f>MIN(MAX(+$P$1-'FA Addition'!$D901,0),365*'FA Addition'!$O901)</f>
        <v>0</v>
      </c>
      <c r="AH901" s="117">
        <f>MIN(MAX($L$1-'FA Addition'!$D901+1,0),365*'FA Addition'!$O901)</f>
        <v>89</v>
      </c>
      <c r="AI901" s="117" cm="1">
        <f t="array" ref="AI901">_xlfn.XLOOKUP(1,('FA Write off'!A:A='FA Addition'!$A901)*('FA Write off'!D:D=AA901),'FA Write off'!H:H,0,0)</f>
        <v>0</v>
      </c>
      <c r="AJ901" s="117">
        <f>IF(AC901&gt;0,MAX(IF('FA Addition'!$N901="SLM",($AC901-'FA Addition'!$M901)*'FA Addition'!$P901*AI901/365,(AC901-'FA Addition'!$M901)*(1-(1-'FA Addition'!$P901)^(AI901/365))),0),0)</f>
        <v>0</v>
      </c>
      <c r="AL901" s="117">
        <f>MAX(IF(AG901&gt;0,IF('FA Addition'!$N901="SLM",($AE901-'FA Addition'!$M901)*'FA Addition'!$P901*AG901/365,IFERROR(VDB(AE901,AE901*0.05,'FA Addition'!$O901,0,YEARFRAC('FA Addition'!$C901,$P$1-1,3),'FA Addition'!$Q901),FAAddition[[#This Row],[Original Cost (Rs)]]-FAAddition[[#This Row],[Salvage Value]])),0),0)</f>
        <v>0</v>
      </c>
      <c r="AM901" s="119"/>
      <c r="AN901" s="117">
        <f>MAX(IF(AH901&gt;0,IF('FA Addition'!$N901="SLM",($AF901-'FA Addition'!$M901)*'FA Addition'!$P901*AH901/365,IFERROR(VDB(AF901,AF901*0.05,'FA Addition'!$O901,0,YEARFRAC('FA Addition'!$C901,$L$1,3),'FA Addition'!$Q901),FAAddition[[#This Row],[Original Cost (Rs)]]-FAAddition[[#This Row],[Salvage Value]])),0),0)</f>
        <v>5289.5546696930605</v>
      </c>
      <c r="AO901" s="117">
        <f t="shared" ref="AO901:AO964" si="73">AN901-AL901+AJ901</f>
        <v>5289.5546696930605</v>
      </c>
      <c r="AQ901" s="117">
        <f t="shared" si="71"/>
        <v>0</v>
      </c>
      <c r="AR901" s="120">
        <f t="shared" si="72"/>
        <v>29447.735330306939</v>
      </c>
      <c r="AS901" s="121"/>
    </row>
    <row r="902" spans="1:45" ht="13.5" x14ac:dyDescent="0.4">
      <c r="A902" s="12">
        <f t="shared" ref="A902:A965" si="74">A901+1</f>
        <v>899</v>
      </c>
      <c r="B902" s="64" t="s">
        <v>1308</v>
      </c>
      <c r="C902" s="54">
        <v>45296</v>
      </c>
      <c r="D902" s="54">
        <v>45296</v>
      </c>
      <c r="E902" s="46" t="s">
        <v>1320</v>
      </c>
      <c r="F902" s="51" t="s">
        <v>33</v>
      </c>
      <c r="G902" s="51" t="s">
        <v>36</v>
      </c>
      <c r="H902" s="51" t="s">
        <v>32</v>
      </c>
      <c r="I902" s="55" t="s">
        <v>1675</v>
      </c>
      <c r="J902" s="56">
        <v>1000</v>
      </c>
      <c r="K902" s="51" t="s">
        <v>296</v>
      </c>
      <c r="L902" s="58">
        <v>1700000</v>
      </c>
      <c r="M902" s="50">
        <f>ROUND('FA Addition'!$L902*5%,0.1)</f>
        <v>85000</v>
      </c>
      <c r="N902" s="113" t="str">
        <f>_xlfn.XLOOKUP(_xlfn.CONCAT(E902,B902),'Year Wise Master Dep Approach'!F:F,'Year Wise Master Dep Approach'!D:D)</f>
        <v>SLM</v>
      </c>
      <c r="O902" s="113">
        <f>_xlfn.XLOOKUP(_xlfn.CONCAT(E902,B902),'Year Wise Master Dep Approach'!F:F,'Year Wise Master Dep Approach'!E:E)</f>
        <v>5</v>
      </c>
      <c r="P902" s="114">
        <f>IFERROR(IF('FA Addition'!$N902="WDV",1-('FA Addition'!$M902/'FA Addition'!$L902)^(1/'FA Addition'!$O902),1/'FA Addition'!$O902),0)</f>
        <v>0.2</v>
      </c>
      <c r="Q902" s="122">
        <f>'FA Addition'!$P902*'FA Addition'!$O902</f>
        <v>1</v>
      </c>
      <c r="R902" s="122"/>
      <c r="S902" s="116">
        <f>IF(AND(DATE(20&amp;LEFT(FAAddition[[#This Row],[FY]],2),4,1)&lt;$L$1+1,DATE(20&amp;LEFT(FAAddition[[#This Row],[FY]],2),4,1)&gt;$P$1-1),'FA Addition'!$J902,0)</f>
        <v>1000</v>
      </c>
      <c r="U902" s="117">
        <f>S902*'FA Addition'!$L902/'FA Addition'!$J902</f>
        <v>1700000</v>
      </c>
      <c r="W902" s="116">
        <f>SUMIFS('FA Write off'!D:D,'FA Write off'!A:A,'FA Addition'!$A902,'FA Write off'!C:C,"&lt;"&amp;'FA Addition'!$P$1)</f>
        <v>0</v>
      </c>
      <c r="Y902" s="191">
        <f>IFERROR(W902/'FA Addition'!$J902*'FA Addition'!$L902,0)</f>
        <v>0</v>
      </c>
      <c r="AA902" s="116">
        <f>SUMIFS('FA Write off'!D:D,'FA Write off'!A:A,'FA Addition'!$A902,'FA Write off'!C:C,"&lt;"&amp;'FA Addition'!$L$1+1,'FA Write off'!C:C,"&gt;"&amp;'FA Addition'!$L$1-365)</f>
        <v>0</v>
      </c>
      <c r="AC902" s="118">
        <f>IFERROR(AA902/'FA Addition'!$J902*'FA Addition'!$L902,0)</f>
        <v>0</v>
      </c>
      <c r="AE902" s="117">
        <f>IF(AND('FA Addition'!$D902&lt;$P$1+1,U902=0),'FA Addition'!$L902,0)-Y902</f>
        <v>0</v>
      </c>
      <c r="AF902" s="117">
        <f t="shared" si="70"/>
        <v>1700000</v>
      </c>
      <c r="AG902" s="117">
        <f>MIN(MAX(+$P$1-'FA Addition'!$D902,0),365*'FA Addition'!$O902)</f>
        <v>0</v>
      </c>
      <c r="AH902" s="117">
        <f>MIN(MAX($L$1-'FA Addition'!$D902+1,0),365*'FA Addition'!$O902)</f>
        <v>87</v>
      </c>
      <c r="AI902" s="117" cm="1">
        <f t="array" ref="AI902">_xlfn.XLOOKUP(1,('FA Write off'!A:A='FA Addition'!$A902)*('FA Write off'!D:D=AA902),'FA Write off'!H:H,0,0)</f>
        <v>0</v>
      </c>
      <c r="AJ902" s="117">
        <f>IF(AC902&gt;0,MAX(IF('FA Addition'!$N902="SLM",($AC902-'FA Addition'!$M902)*'FA Addition'!$P902*AI902/365,(AC902-'FA Addition'!$M902)*(1-(1-'FA Addition'!$P902)^(AI902/365))),0),0)</f>
        <v>0</v>
      </c>
      <c r="AL902" s="117">
        <f>MAX(IF(AG902&gt;0,IF('FA Addition'!$N902="SLM",($AE902-'FA Addition'!$M902)*'FA Addition'!$P902*AG902/365,IFERROR(VDB(AE902,AE902*0.05,'FA Addition'!$O902,0,YEARFRAC('FA Addition'!$C902,$P$1-1,3),'FA Addition'!$Q902),FAAddition[[#This Row],[Original Cost (Rs)]]-FAAddition[[#This Row],[Salvage Value]])),0),0)</f>
        <v>0</v>
      </c>
      <c r="AM902" s="119"/>
      <c r="AN902" s="117">
        <f>MAX(IF(AH902&gt;0,IF('FA Addition'!$N902="SLM",($AF902-'FA Addition'!$M902)*'FA Addition'!$P902*AH902/365,IFERROR(VDB(AF902,AF902*0.05,'FA Addition'!$O902,0,YEARFRAC('FA Addition'!$C902,$L$1,3),'FA Addition'!$Q902),FAAddition[[#This Row],[Original Cost (Rs)]]-FAAddition[[#This Row],[Salvage Value]])),0),0)</f>
        <v>76989.04109589041</v>
      </c>
      <c r="AO902" s="117">
        <f t="shared" si="73"/>
        <v>76989.04109589041</v>
      </c>
      <c r="AQ902" s="117">
        <f t="shared" si="71"/>
        <v>0</v>
      </c>
      <c r="AR902" s="120">
        <f t="shared" si="72"/>
        <v>1623010.9589041097</v>
      </c>
      <c r="AS902" s="121"/>
    </row>
    <row r="903" spans="1:45" ht="13.5" x14ac:dyDescent="0.4">
      <c r="A903" s="12">
        <f t="shared" si="74"/>
        <v>900</v>
      </c>
      <c r="B903" s="64" t="s">
        <v>1308</v>
      </c>
      <c r="C903" s="54">
        <v>45299</v>
      </c>
      <c r="D903" s="54">
        <v>45299</v>
      </c>
      <c r="E903" s="46" t="s">
        <v>1389</v>
      </c>
      <c r="F903" s="51" t="s">
        <v>1112</v>
      </c>
      <c r="G903" s="51" t="s">
        <v>36</v>
      </c>
      <c r="H903" s="51" t="s">
        <v>1113</v>
      </c>
      <c r="I903" s="55" t="s">
        <v>1676</v>
      </c>
      <c r="J903" s="56">
        <v>2040</v>
      </c>
      <c r="K903" s="51" t="s">
        <v>1132</v>
      </c>
      <c r="L903" s="58">
        <v>1428000</v>
      </c>
      <c r="M903" s="50">
        <f>ROUND('FA Addition'!$L903*5%,0.1)</f>
        <v>71400</v>
      </c>
      <c r="N903" s="113" t="str">
        <f>_xlfn.XLOOKUP(_xlfn.CONCAT(E903,B903),'Year Wise Master Dep Approach'!F:F,'Year Wise Master Dep Approach'!D:D)</f>
        <v>SLM</v>
      </c>
      <c r="O903" s="113">
        <f>_xlfn.XLOOKUP(_xlfn.CONCAT(E903,B903),'Year Wise Master Dep Approach'!F:F,'Year Wise Master Dep Approach'!E:E)</f>
        <v>3</v>
      </c>
      <c r="P903" s="114">
        <f>IFERROR(IF('FA Addition'!$N903="WDV",1-('FA Addition'!$M903/'FA Addition'!$L903)^(1/'FA Addition'!$O903),1/'FA Addition'!$O903),0)</f>
        <v>0.33333333333333331</v>
      </c>
      <c r="Q903" s="122">
        <f>'FA Addition'!$P903*'FA Addition'!$O903</f>
        <v>1</v>
      </c>
      <c r="R903" s="122"/>
      <c r="S903" s="116">
        <f>IF(AND(DATE(20&amp;LEFT(FAAddition[[#This Row],[FY]],2),4,1)&lt;$L$1+1,DATE(20&amp;LEFT(FAAddition[[#This Row],[FY]],2),4,1)&gt;$P$1-1),'FA Addition'!$J903,0)</f>
        <v>2040</v>
      </c>
      <c r="U903" s="117">
        <f>S903*'FA Addition'!$L903/'FA Addition'!$J903</f>
        <v>1428000</v>
      </c>
      <c r="W903" s="116">
        <f>SUMIFS('FA Write off'!D:D,'FA Write off'!A:A,'FA Addition'!$A903,'FA Write off'!C:C,"&lt;"&amp;'FA Addition'!$P$1)</f>
        <v>0</v>
      </c>
      <c r="Y903" s="191">
        <f>IFERROR(W903/'FA Addition'!$J903*'FA Addition'!$L903,0)</f>
        <v>0</v>
      </c>
      <c r="AA903" s="116">
        <f>SUMIFS('FA Write off'!D:D,'FA Write off'!A:A,'FA Addition'!$A903,'FA Write off'!C:C,"&lt;"&amp;'FA Addition'!$L$1+1,'FA Write off'!C:C,"&gt;"&amp;'FA Addition'!$L$1-365)</f>
        <v>0</v>
      </c>
      <c r="AC903" s="118">
        <f>IFERROR(AA903/'FA Addition'!$J903*'FA Addition'!$L903,0)</f>
        <v>0</v>
      </c>
      <c r="AE903" s="117">
        <f>IF(AND('FA Addition'!$D903&lt;$P$1+1,U903=0),'FA Addition'!$L903,0)-Y903</f>
        <v>0</v>
      </c>
      <c r="AF903" s="117">
        <f t="shared" si="70"/>
        <v>1428000</v>
      </c>
      <c r="AG903" s="117">
        <f>MIN(MAX(+$P$1-'FA Addition'!$D903,0),365*'FA Addition'!$O903)</f>
        <v>0</v>
      </c>
      <c r="AH903" s="117">
        <f>MIN(MAX($L$1-'FA Addition'!$D903+1,0),365*'FA Addition'!$O903)</f>
        <v>84</v>
      </c>
      <c r="AI903" s="117" cm="1">
        <f t="array" ref="AI903">_xlfn.XLOOKUP(1,('FA Write off'!A:A='FA Addition'!$A903)*('FA Write off'!D:D=AA903),'FA Write off'!H:H,0,0)</f>
        <v>0</v>
      </c>
      <c r="AJ903" s="117">
        <f>IF(AC903&gt;0,MAX(IF('FA Addition'!$N903="SLM",($AC903-'FA Addition'!$M903)*'FA Addition'!$P903*AI903/365,(AC903-'FA Addition'!$M903)*(1-(1-'FA Addition'!$P903)^(AI903/365))),0),0)</f>
        <v>0</v>
      </c>
      <c r="AL903" s="117">
        <f>MAX(IF(AG903&gt;0,IF('FA Addition'!$N903="SLM",($AE903-'FA Addition'!$M903)*'FA Addition'!$P903*AG903/365,IFERROR(VDB(AE903,AE903*0.05,'FA Addition'!$O903,0,YEARFRAC('FA Addition'!$C903,$P$1-1,3),'FA Addition'!$Q903),FAAddition[[#This Row],[Original Cost (Rs)]]-FAAddition[[#This Row],[Salvage Value]])),0),0)</f>
        <v>0</v>
      </c>
      <c r="AM903" s="119"/>
      <c r="AN903" s="117">
        <f>MAX(IF(AH903&gt;0,IF('FA Addition'!$N903="SLM",($AF903-'FA Addition'!$M903)*'FA Addition'!$P903*AH903/365,IFERROR(VDB(AF903,AF903*0.05,'FA Addition'!$O903,0,YEARFRAC('FA Addition'!$C903,$L$1,3),'FA Addition'!$Q903),FAAddition[[#This Row],[Original Cost (Rs)]]-FAAddition[[#This Row],[Salvage Value]])),0),0)</f>
        <v>104067.94520547945</v>
      </c>
      <c r="AO903" s="117">
        <f t="shared" si="73"/>
        <v>104067.94520547945</v>
      </c>
      <c r="AQ903" s="117">
        <f t="shared" si="71"/>
        <v>0</v>
      </c>
      <c r="AR903" s="120">
        <f t="shared" si="72"/>
        <v>1323932.0547945206</v>
      </c>
      <c r="AS903" s="121"/>
    </row>
    <row r="904" spans="1:45" ht="13.5" x14ac:dyDescent="0.4">
      <c r="A904" s="12">
        <f t="shared" si="74"/>
        <v>901</v>
      </c>
      <c r="B904" s="64" t="s">
        <v>1308</v>
      </c>
      <c r="C904" s="54">
        <v>45299</v>
      </c>
      <c r="D904" s="54">
        <v>45299</v>
      </c>
      <c r="E904" s="46" t="s">
        <v>451</v>
      </c>
      <c r="F904" s="51" t="s">
        <v>19</v>
      </c>
      <c r="G904" s="51" t="s">
        <v>1290</v>
      </c>
      <c r="H904" s="51" t="s">
        <v>21</v>
      </c>
      <c r="I904" s="55" t="s">
        <v>1677</v>
      </c>
      <c r="J904" s="56">
        <v>1</v>
      </c>
      <c r="K904" s="51" t="s">
        <v>1503</v>
      </c>
      <c r="L904" s="58">
        <v>62711.86</v>
      </c>
      <c r="M904" s="50">
        <f>ROUND('FA Addition'!$L904*5%,0.1)</f>
        <v>3136</v>
      </c>
      <c r="N904" s="113" t="str">
        <f>_xlfn.XLOOKUP(_xlfn.CONCAT(E904,B904),'Year Wise Master Dep Approach'!F:F,'Year Wise Master Dep Approach'!D:D)</f>
        <v>WDV</v>
      </c>
      <c r="O904" s="113">
        <f>_xlfn.XLOOKUP(_xlfn.CONCAT(E904,B904),'Year Wise Master Dep Approach'!F:F,'Year Wise Master Dep Approach'!E:E)</f>
        <v>3</v>
      </c>
      <c r="P904" s="114">
        <f>IFERROR(IF('FA Addition'!$N904="WDV",1-('FA Addition'!$M904/'FA Addition'!$L904)^(1/'FA Addition'!$O904),1/'FA Addition'!$O904),0)</f>
        <v>0.63158091124815985</v>
      </c>
      <c r="Q904" s="122">
        <f>'FA Addition'!$P904*'FA Addition'!$O904</f>
        <v>1.8947427337444795</v>
      </c>
      <c r="R904" s="122"/>
      <c r="S904" s="116">
        <f>IF(AND(DATE(20&amp;LEFT(FAAddition[[#This Row],[FY]],2),4,1)&lt;$L$1+1,DATE(20&amp;LEFT(FAAddition[[#This Row],[FY]],2),4,1)&gt;$P$1-1),'FA Addition'!$J904,0)</f>
        <v>1</v>
      </c>
      <c r="U904" s="117">
        <f>S904*'FA Addition'!$L904/'FA Addition'!$J904</f>
        <v>62711.86</v>
      </c>
      <c r="W904" s="116">
        <f>SUMIFS('FA Write off'!D:D,'FA Write off'!A:A,'FA Addition'!$A904,'FA Write off'!C:C,"&lt;"&amp;'FA Addition'!$P$1)</f>
        <v>0</v>
      </c>
      <c r="Y904" s="191">
        <f>IFERROR(W904/'FA Addition'!$J904*'FA Addition'!$L904,0)</f>
        <v>0</v>
      </c>
      <c r="AA904" s="116">
        <f>SUMIFS('FA Write off'!D:D,'FA Write off'!A:A,'FA Addition'!$A904,'FA Write off'!C:C,"&lt;"&amp;'FA Addition'!$L$1+1,'FA Write off'!C:C,"&gt;"&amp;'FA Addition'!$L$1-365)</f>
        <v>0</v>
      </c>
      <c r="AC904" s="118">
        <f>IFERROR(AA904/'FA Addition'!$J904*'FA Addition'!$L904,0)</f>
        <v>0</v>
      </c>
      <c r="AE904" s="117">
        <f>IF(AND('FA Addition'!$D904&lt;$P$1+1,U904=0),'FA Addition'!$L904,0)-Y904</f>
        <v>0</v>
      </c>
      <c r="AF904" s="117">
        <f t="shared" si="70"/>
        <v>62711.86</v>
      </c>
      <c r="AG904" s="117">
        <f>MIN(MAX(+$P$1-'FA Addition'!$D904,0),365*'FA Addition'!$O904)</f>
        <v>0</v>
      </c>
      <c r="AH904" s="117">
        <f>MIN(MAX($L$1-'FA Addition'!$D904+1,0),365*'FA Addition'!$O904)</f>
        <v>84</v>
      </c>
      <c r="AI904" s="117" cm="1">
        <f t="array" ref="AI904">_xlfn.XLOOKUP(1,('FA Write off'!A:A='FA Addition'!$A904)*('FA Write off'!D:D=AA904),'FA Write off'!H:H,0,0)</f>
        <v>0</v>
      </c>
      <c r="AJ904" s="117">
        <f>IF(AC904&gt;0,MAX(IF('FA Addition'!$N904="SLM",($AC904-'FA Addition'!$M904)*'FA Addition'!$P904*AI904/365,(AC904-'FA Addition'!$M904)*(1-(1-'FA Addition'!$P904)^(AI904/365))),0),0)</f>
        <v>0</v>
      </c>
      <c r="AL904" s="117">
        <f>MAX(IF(AG904&gt;0,IF('FA Addition'!$N904="SLM",($AE904-'FA Addition'!$M904)*'FA Addition'!$P904*AG904/365,IFERROR(VDB(AE904,AE904*0.05,'FA Addition'!$O904,0,YEARFRAC('FA Addition'!$C904,$P$1-1,3),'FA Addition'!$Q904),FAAddition[[#This Row],[Original Cost (Rs)]]-FAAddition[[#This Row],[Salvage Value]])),0),0)</f>
        <v>0</v>
      </c>
      <c r="AM904" s="119"/>
      <c r="AN904" s="117">
        <f>MAX(IF(AH904&gt;0,IF('FA Addition'!$N904="SLM",($AF904-'FA Addition'!$M904)*'FA Addition'!$P904*AH904/365,IFERROR(VDB(AF904,AF904*0.05,'FA Addition'!$O904,0,YEARFRAC('FA Addition'!$C904,$L$1,3),'FA Addition'!$Q904),FAAddition[[#This Row],[Original Cost (Rs)]]-FAAddition[[#This Row],[Salvage Value]])),0),0)</f>
        <v>9006.6628379286667</v>
      </c>
      <c r="AO904" s="117">
        <f t="shared" si="73"/>
        <v>9006.6628379286667</v>
      </c>
      <c r="AQ904" s="117">
        <f t="shared" si="71"/>
        <v>0</v>
      </c>
      <c r="AR904" s="120">
        <f t="shared" si="72"/>
        <v>53705.19716207133</v>
      </c>
      <c r="AS904" s="121"/>
    </row>
    <row r="905" spans="1:45" ht="13.5" x14ac:dyDescent="0.4">
      <c r="A905" s="12">
        <f t="shared" si="74"/>
        <v>902</v>
      </c>
      <c r="B905" s="64" t="s">
        <v>1308</v>
      </c>
      <c r="C905" s="54">
        <v>45299</v>
      </c>
      <c r="D905" s="54">
        <v>45299</v>
      </c>
      <c r="E905" s="46" t="s">
        <v>451</v>
      </c>
      <c r="F905" s="51" t="s">
        <v>19</v>
      </c>
      <c r="G905" s="51" t="s">
        <v>1290</v>
      </c>
      <c r="H905" s="51" t="s">
        <v>21</v>
      </c>
      <c r="I905" s="55" t="s">
        <v>1677</v>
      </c>
      <c r="J905" s="56">
        <v>1</v>
      </c>
      <c r="K905" s="51" t="s">
        <v>1503</v>
      </c>
      <c r="L905" s="58">
        <v>62711.86</v>
      </c>
      <c r="M905" s="50">
        <f>ROUND('FA Addition'!$L905*5%,0.1)</f>
        <v>3136</v>
      </c>
      <c r="N905" s="113" t="str">
        <f>_xlfn.XLOOKUP(_xlfn.CONCAT(E905,B905),'Year Wise Master Dep Approach'!F:F,'Year Wise Master Dep Approach'!D:D)</f>
        <v>WDV</v>
      </c>
      <c r="O905" s="113">
        <f>_xlfn.XLOOKUP(_xlfn.CONCAT(E905,B905),'Year Wise Master Dep Approach'!F:F,'Year Wise Master Dep Approach'!E:E)</f>
        <v>3</v>
      </c>
      <c r="P905" s="114">
        <f>IFERROR(IF('FA Addition'!$N905="WDV",1-('FA Addition'!$M905/'FA Addition'!$L905)^(1/'FA Addition'!$O905),1/'FA Addition'!$O905),0)</f>
        <v>0.63158091124815985</v>
      </c>
      <c r="Q905" s="122">
        <f>'FA Addition'!$P905*'FA Addition'!$O905</f>
        <v>1.8947427337444795</v>
      </c>
      <c r="R905" s="122"/>
      <c r="S905" s="116">
        <f>IF(AND(DATE(20&amp;LEFT(FAAddition[[#This Row],[FY]],2),4,1)&lt;$L$1+1,DATE(20&amp;LEFT(FAAddition[[#This Row],[FY]],2),4,1)&gt;$P$1-1),'FA Addition'!$J905,0)</f>
        <v>1</v>
      </c>
      <c r="U905" s="117">
        <f>S905*'FA Addition'!$L905/'FA Addition'!$J905</f>
        <v>62711.86</v>
      </c>
      <c r="W905" s="116">
        <f>SUMIFS('FA Write off'!D:D,'FA Write off'!A:A,'FA Addition'!$A905,'FA Write off'!C:C,"&lt;"&amp;'FA Addition'!$P$1)</f>
        <v>0</v>
      </c>
      <c r="Y905" s="191">
        <f>IFERROR(W905/'FA Addition'!$J905*'FA Addition'!$L905,0)</f>
        <v>0</v>
      </c>
      <c r="AA905" s="116">
        <f>SUMIFS('FA Write off'!D:D,'FA Write off'!A:A,'FA Addition'!$A905,'FA Write off'!C:C,"&lt;"&amp;'FA Addition'!$L$1+1,'FA Write off'!C:C,"&gt;"&amp;'FA Addition'!$L$1-365)</f>
        <v>0</v>
      </c>
      <c r="AC905" s="118">
        <f>IFERROR(AA905/'FA Addition'!$J905*'FA Addition'!$L905,0)</f>
        <v>0</v>
      </c>
      <c r="AE905" s="117">
        <f>IF(AND('FA Addition'!$D905&lt;$P$1+1,U905=0),'FA Addition'!$L905,0)-Y905</f>
        <v>0</v>
      </c>
      <c r="AF905" s="117">
        <f t="shared" si="70"/>
        <v>62711.86</v>
      </c>
      <c r="AG905" s="117">
        <f>MIN(MAX(+$P$1-'FA Addition'!$D905,0),365*'FA Addition'!$O905)</f>
        <v>0</v>
      </c>
      <c r="AH905" s="117">
        <f>MIN(MAX($L$1-'FA Addition'!$D905+1,0),365*'FA Addition'!$O905)</f>
        <v>84</v>
      </c>
      <c r="AI905" s="117" cm="1">
        <f t="array" ref="AI905">_xlfn.XLOOKUP(1,('FA Write off'!A:A='FA Addition'!$A905)*('FA Write off'!D:D=AA905),'FA Write off'!H:H,0,0)</f>
        <v>0</v>
      </c>
      <c r="AJ905" s="117">
        <f>IF(AC905&gt;0,MAX(IF('FA Addition'!$N905="SLM",($AC905-'FA Addition'!$M905)*'FA Addition'!$P905*AI905/365,(AC905-'FA Addition'!$M905)*(1-(1-'FA Addition'!$P905)^(AI905/365))),0),0)</f>
        <v>0</v>
      </c>
      <c r="AL905" s="117">
        <f>MAX(IF(AG905&gt;0,IF('FA Addition'!$N905="SLM",($AE905-'FA Addition'!$M905)*'FA Addition'!$P905*AG905/365,IFERROR(VDB(AE905,AE905*0.05,'FA Addition'!$O905,0,YEARFRAC('FA Addition'!$C905,$P$1-1,3),'FA Addition'!$Q905),FAAddition[[#This Row],[Original Cost (Rs)]]-FAAddition[[#This Row],[Salvage Value]])),0),0)</f>
        <v>0</v>
      </c>
      <c r="AM905" s="119"/>
      <c r="AN905" s="117">
        <f>MAX(IF(AH905&gt;0,IF('FA Addition'!$N905="SLM",($AF905-'FA Addition'!$M905)*'FA Addition'!$P905*AH905/365,IFERROR(VDB(AF905,AF905*0.05,'FA Addition'!$O905,0,YEARFRAC('FA Addition'!$C905,$L$1,3),'FA Addition'!$Q905),FAAddition[[#This Row],[Original Cost (Rs)]]-FAAddition[[#This Row],[Salvage Value]])),0),0)</f>
        <v>9006.6628379286667</v>
      </c>
      <c r="AO905" s="117">
        <f t="shared" si="73"/>
        <v>9006.6628379286667</v>
      </c>
      <c r="AQ905" s="117">
        <f t="shared" si="71"/>
        <v>0</v>
      </c>
      <c r="AR905" s="120">
        <f t="shared" si="72"/>
        <v>53705.19716207133</v>
      </c>
      <c r="AS905" s="121"/>
    </row>
    <row r="906" spans="1:45" ht="13.5" x14ac:dyDescent="0.4">
      <c r="A906" s="12">
        <f t="shared" si="74"/>
        <v>903</v>
      </c>
      <c r="B906" s="64" t="s">
        <v>1308</v>
      </c>
      <c r="C906" s="54">
        <v>45299</v>
      </c>
      <c r="D906" s="54">
        <v>45299</v>
      </c>
      <c r="E906" s="46" t="s">
        <v>207</v>
      </c>
      <c r="F906" s="51" t="s">
        <v>1372</v>
      </c>
      <c r="G906" s="51" t="s">
        <v>1590</v>
      </c>
      <c r="H906" s="51" t="s">
        <v>498</v>
      </c>
      <c r="I906" s="55" t="s">
        <v>1678</v>
      </c>
      <c r="J906" s="56">
        <v>1</v>
      </c>
      <c r="K906" s="51" t="s">
        <v>1679</v>
      </c>
      <c r="L906" s="58">
        <v>18643.22</v>
      </c>
      <c r="M906" s="50">
        <f>ROUND('FA Addition'!$L906*5%,0.1)</f>
        <v>932</v>
      </c>
      <c r="N906" s="113" t="str">
        <f>_xlfn.XLOOKUP(_xlfn.CONCAT(E906,B906),'Year Wise Master Dep Approach'!F:F,'Year Wise Master Dep Approach'!D:D)</f>
        <v>WDV</v>
      </c>
      <c r="O906" s="113">
        <f>_xlfn.XLOOKUP(_xlfn.CONCAT(E906,B906),'Year Wise Master Dep Approach'!F:F,'Year Wise Master Dep Approach'!E:E)</f>
        <v>5</v>
      </c>
      <c r="P906" s="114">
        <f>IFERROR(IF('FA Addition'!$N906="WDV",1-('FA Addition'!$M906/'FA Addition'!$L906)^(1/'FA Addition'!$O906),1/'FA Addition'!$O906),0)</f>
        <v>0.45073870366000357</v>
      </c>
      <c r="Q906" s="122">
        <f>'FA Addition'!$P906*'FA Addition'!$O906</f>
        <v>2.2536935183000177</v>
      </c>
      <c r="R906" s="122"/>
      <c r="S906" s="116">
        <f>IF(AND(DATE(20&amp;LEFT(FAAddition[[#This Row],[FY]],2),4,1)&lt;$L$1+1,DATE(20&amp;LEFT(FAAddition[[#This Row],[FY]],2),4,1)&gt;$P$1-1),'FA Addition'!$J906,0)</f>
        <v>1</v>
      </c>
      <c r="U906" s="117">
        <f>S906*'FA Addition'!$L906/'FA Addition'!$J906</f>
        <v>18643.22</v>
      </c>
      <c r="W906" s="116">
        <f>SUMIFS('FA Write off'!D:D,'FA Write off'!A:A,'FA Addition'!$A906,'FA Write off'!C:C,"&lt;"&amp;'FA Addition'!$P$1)</f>
        <v>0</v>
      </c>
      <c r="Y906" s="191">
        <f>IFERROR(W906/'FA Addition'!$J906*'FA Addition'!$L906,0)</f>
        <v>0</v>
      </c>
      <c r="AA906" s="116">
        <f>SUMIFS('FA Write off'!D:D,'FA Write off'!A:A,'FA Addition'!$A906,'FA Write off'!C:C,"&lt;"&amp;'FA Addition'!$L$1+1,'FA Write off'!C:C,"&gt;"&amp;'FA Addition'!$L$1-365)</f>
        <v>0</v>
      </c>
      <c r="AC906" s="118">
        <f>IFERROR(AA906/'FA Addition'!$J906*'FA Addition'!$L906,0)</f>
        <v>0</v>
      </c>
      <c r="AE906" s="117">
        <f>IF(AND('FA Addition'!$D906&lt;$P$1+1,U906=0),'FA Addition'!$L906,0)-Y906</f>
        <v>0</v>
      </c>
      <c r="AF906" s="117">
        <f t="shared" si="70"/>
        <v>18643.22</v>
      </c>
      <c r="AG906" s="117">
        <f>MIN(MAX(+$P$1-'FA Addition'!$D906,0),365*'FA Addition'!$O906)</f>
        <v>0</v>
      </c>
      <c r="AH906" s="117">
        <f>MIN(MAX($L$1-'FA Addition'!$D906+1,0),365*'FA Addition'!$O906)</f>
        <v>84</v>
      </c>
      <c r="AI906" s="117" cm="1">
        <f t="array" ref="AI906">_xlfn.XLOOKUP(1,('FA Write off'!A:A='FA Addition'!$A906)*('FA Write off'!D:D=AA906),'FA Write off'!H:H,0,0)</f>
        <v>0</v>
      </c>
      <c r="AJ906" s="117">
        <f>IF(AC906&gt;0,MAX(IF('FA Addition'!$N906="SLM",($AC906-'FA Addition'!$M906)*'FA Addition'!$P906*AI906/365,(AC906-'FA Addition'!$M906)*(1-(1-'FA Addition'!$P906)^(AI906/365))),0),0)</f>
        <v>0</v>
      </c>
      <c r="AL906" s="117">
        <f>MAX(IF(AG906&gt;0,IF('FA Addition'!$N906="SLM",($AE906-'FA Addition'!$M906)*'FA Addition'!$P906*AG906/365,IFERROR(VDB(AE906,AE906*0.05,'FA Addition'!$O906,0,YEARFRAC('FA Addition'!$C906,$P$1-1,3),'FA Addition'!$Q906),FAAddition[[#This Row],[Original Cost (Rs)]]-FAAddition[[#This Row],[Salvage Value]])),0),0)</f>
        <v>0</v>
      </c>
      <c r="AM906" s="119"/>
      <c r="AN906" s="117">
        <f>MAX(IF(AH906&gt;0,IF('FA Addition'!$N906="SLM",($AF906-'FA Addition'!$M906)*'FA Addition'!$P906*AH906/365,IFERROR(VDB(AF906,AF906*0.05,'FA Addition'!$O906,0,YEARFRAC('FA Addition'!$C906,$L$1,3),'FA Addition'!$Q906),FAAddition[[#This Row],[Original Cost (Rs)]]-FAAddition[[#This Row],[Salvage Value]])),0),0)</f>
        <v>1910.869390773712</v>
      </c>
      <c r="AO906" s="117">
        <f t="shared" si="73"/>
        <v>1910.869390773712</v>
      </c>
      <c r="AQ906" s="117">
        <f t="shared" si="71"/>
        <v>0</v>
      </c>
      <c r="AR906" s="120">
        <f t="shared" si="72"/>
        <v>16732.350609226291</v>
      </c>
      <c r="AS906" s="121"/>
    </row>
    <row r="907" spans="1:45" ht="13.5" x14ac:dyDescent="0.4">
      <c r="A907" s="12">
        <f t="shared" si="74"/>
        <v>904</v>
      </c>
      <c r="B907" s="64" t="s">
        <v>1308</v>
      </c>
      <c r="C907" s="54">
        <v>45299</v>
      </c>
      <c r="D907" s="54">
        <v>45299</v>
      </c>
      <c r="E907" s="46" t="s">
        <v>207</v>
      </c>
      <c r="F907" s="51" t="s">
        <v>1372</v>
      </c>
      <c r="G907" s="51" t="s">
        <v>1590</v>
      </c>
      <c r="H907" s="51" t="s">
        <v>498</v>
      </c>
      <c r="I907" s="55" t="s">
        <v>1678</v>
      </c>
      <c r="J907" s="56">
        <v>1</v>
      </c>
      <c r="K907" s="51" t="s">
        <v>1679</v>
      </c>
      <c r="L907" s="58">
        <v>18643.22</v>
      </c>
      <c r="M907" s="50">
        <f>ROUND('FA Addition'!$L907*5%,0.1)</f>
        <v>932</v>
      </c>
      <c r="N907" s="113" t="str">
        <f>_xlfn.XLOOKUP(_xlfn.CONCAT(E907,B907),'Year Wise Master Dep Approach'!F:F,'Year Wise Master Dep Approach'!D:D)</f>
        <v>WDV</v>
      </c>
      <c r="O907" s="113">
        <f>_xlfn.XLOOKUP(_xlfn.CONCAT(E907,B907),'Year Wise Master Dep Approach'!F:F,'Year Wise Master Dep Approach'!E:E)</f>
        <v>5</v>
      </c>
      <c r="P907" s="114">
        <f>IFERROR(IF('FA Addition'!$N907="WDV",1-('FA Addition'!$M907/'FA Addition'!$L907)^(1/'FA Addition'!$O907),1/'FA Addition'!$O907),0)</f>
        <v>0.45073870366000357</v>
      </c>
      <c r="Q907" s="122">
        <f>'FA Addition'!$P907*'FA Addition'!$O907</f>
        <v>2.2536935183000177</v>
      </c>
      <c r="R907" s="122"/>
      <c r="S907" s="116">
        <f>IF(AND(DATE(20&amp;LEFT(FAAddition[[#This Row],[FY]],2),4,1)&lt;$L$1+1,DATE(20&amp;LEFT(FAAddition[[#This Row],[FY]],2),4,1)&gt;$P$1-1),'FA Addition'!$J907,0)</f>
        <v>1</v>
      </c>
      <c r="U907" s="117">
        <f>S907*'FA Addition'!$L907/'FA Addition'!$J907</f>
        <v>18643.22</v>
      </c>
      <c r="W907" s="116">
        <f>SUMIFS('FA Write off'!D:D,'FA Write off'!A:A,'FA Addition'!$A907,'FA Write off'!C:C,"&lt;"&amp;'FA Addition'!$P$1)</f>
        <v>0</v>
      </c>
      <c r="Y907" s="191">
        <f>IFERROR(W907/'FA Addition'!$J907*'FA Addition'!$L907,0)</f>
        <v>0</v>
      </c>
      <c r="AA907" s="116">
        <f>SUMIFS('FA Write off'!D:D,'FA Write off'!A:A,'FA Addition'!$A907,'FA Write off'!C:C,"&lt;"&amp;'FA Addition'!$L$1+1,'FA Write off'!C:C,"&gt;"&amp;'FA Addition'!$L$1-365)</f>
        <v>0</v>
      </c>
      <c r="AC907" s="118">
        <f>IFERROR(AA907/'FA Addition'!$J907*'FA Addition'!$L907,0)</f>
        <v>0</v>
      </c>
      <c r="AE907" s="117">
        <f>IF(AND('FA Addition'!$D907&lt;$P$1+1,U907=0),'FA Addition'!$L907,0)-Y907</f>
        <v>0</v>
      </c>
      <c r="AF907" s="117">
        <f t="shared" si="70"/>
        <v>18643.22</v>
      </c>
      <c r="AG907" s="117">
        <f>MIN(MAX(+$P$1-'FA Addition'!$D907,0),365*'FA Addition'!$O907)</f>
        <v>0</v>
      </c>
      <c r="AH907" s="117">
        <f>MIN(MAX($L$1-'FA Addition'!$D907+1,0),365*'FA Addition'!$O907)</f>
        <v>84</v>
      </c>
      <c r="AI907" s="117" cm="1">
        <f t="array" ref="AI907">_xlfn.XLOOKUP(1,('FA Write off'!A:A='FA Addition'!$A907)*('FA Write off'!D:D=AA907),'FA Write off'!H:H,0,0)</f>
        <v>0</v>
      </c>
      <c r="AJ907" s="117">
        <f>IF(AC907&gt;0,MAX(IF('FA Addition'!$N907="SLM",($AC907-'FA Addition'!$M907)*'FA Addition'!$P907*AI907/365,(AC907-'FA Addition'!$M907)*(1-(1-'FA Addition'!$P907)^(AI907/365))),0),0)</f>
        <v>0</v>
      </c>
      <c r="AL907" s="117">
        <f>MAX(IF(AG907&gt;0,IF('FA Addition'!$N907="SLM",($AE907-'FA Addition'!$M907)*'FA Addition'!$P907*AG907/365,IFERROR(VDB(AE907,AE907*0.05,'FA Addition'!$O907,0,YEARFRAC('FA Addition'!$C907,$P$1-1,3),'FA Addition'!$Q907),FAAddition[[#This Row],[Original Cost (Rs)]]-FAAddition[[#This Row],[Salvage Value]])),0),0)</f>
        <v>0</v>
      </c>
      <c r="AM907" s="119"/>
      <c r="AN907" s="117">
        <f>MAX(IF(AH907&gt;0,IF('FA Addition'!$N907="SLM",($AF907-'FA Addition'!$M907)*'FA Addition'!$P907*AH907/365,IFERROR(VDB(AF907,AF907*0.05,'FA Addition'!$O907,0,YEARFRAC('FA Addition'!$C907,$L$1,3),'FA Addition'!$Q907),FAAddition[[#This Row],[Original Cost (Rs)]]-FAAddition[[#This Row],[Salvage Value]])),0),0)</f>
        <v>1910.869390773712</v>
      </c>
      <c r="AO907" s="117">
        <f t="shared" si="73"/>
        <v>1910.869390773712</v>
      </c>
      <c r="AQ907" s="117">
        <f t="shared" si="71"/>
        <v>0</v>
      </c>
      <c r="AR907" s="120">
        <f t="shared" si="72"/>
        <v>16732.350609226291</v>
      </c>
      <c r="AS907" s="121"/>
    </row>
    <row r="908" spans="1:45" ht="13.5" x14ac:dyDescent="0.4">
      <c r="A908" s="12">
        <f t="shared" si="74"/>
        <v>905</v>
      </c>
      <c r="B908" s="64" t="s">
        <v>1308</v>
      </c>
      <c r="C908" s="54">
        <v>45299</v>
      </c>
      <c r="D908" s="54">
        <v>45299</v>
      </c>
      <c r="E908" s="46" t="s">
        <v>207</v>
      </c>
      <c r="F908" s="51" t="s">
        <v>1372</v>
      </c>
      <c r="G908" s="51" t="s">
        <v>1231</v>
      </c>
      <c r="H908" s="51" t="s">
        <v>498</v>
      </c>
      <c r="I908" s="55" t="s">
        <v>1680</v>
      </c>
      <c r="J908" s="56">
        <v>1</v>
      </c>
      <c r="K908" s="51" t="s">
        <v>1681</v>
      </c>
      <c r="L908" s="58">
        <v>14105.08</v>
      </c>
      <c r="M908" s="50">
        <f>ROUND('FA Addition'!$L908*5%,0.1)</f>
        <v>705</v>
      </c>
      <c r="N908" s="113" t="str">
        <f>_xlfn.XLOOKUP(_xlfn.CONCAT(E908,B908),'Year Wise Master Dep Approach'!F:F,'Year Wise Master Dep Approach'!D:D)</f>
        <v>WDV</v>
      </c>
      <c r="O908" s="113">
        <f>_xlfn.XLOOKUP(_xlfn.CONCAT(E908,B908),'Year Wise Master Dep Approach'!F:F,'Year Wise Master Dep Approach'!E:E)</f>
        <v>5</v>
      </c>
      <c r="P908" s="114">
        <f>IFERROR(IF('FA Addition'!$N908="WDV",1-('FA Addition'!$M908/'FA Addition'!$L908)^(1/'FA Addition'!$O908),1/'FA Addition'!$O908),0)</f>
        <v>0.45075929913772284</v>
      </c>
      <c r="Q908" s="122">
        <f>'FA Addition'!$P908*'FA Addition'!$O908</f>
        <v>2.2537964956886141</v>
      </c>
      <c r="R908" s="122"/>
      <c r="S908" s="116">
        <f>IF(AND(DATE(20&amp;LEFT(FAAddition[[#This Row],[FY]],2),4,1)&lt;$L$1+1,DATE(20&amp;LEFT(FAAddition[[#This Row],[FY]],2),4,1)&gt;$P$1-1),'FA Addition'!$J908,0)</f>
        <v>1</v>
      </c>
      <c r="U908" s="117">
        <f>S908*'FA Addition'!$L908/'FA Addition'!$J908</f>
        <v>14105.08</v>
      </c>
      <c r="W908" s="116">
        <f>SUMIFS('FA Write off'!D:D,'FA Write off'!A:A,'FA Addition'!$A908,'FA Write off'!C:C,"&lt;"&amp;'FA Addition'!$P$1)</f>
        <v>0</v>
      </c>
      <c r="Y908" s="191">
        <f>IFERROR(W908/'FA Addition'!$J908*'FA Addition'!$L908,0)</f>
        <v>0</v>
      </c>
      <c r="AA908" s="116">
        <f>SUMIFS('FA Write off'!D:D,'FA Write off'!A:A,'FA Addition'!$A908,'FA Write off'!C:C,"&lt;"&amp;'FA Addition'!$L$1+1,'FA Write off'!C:C,"&gt;"&amp;'FA Addition'!$L$1-365)</f>
        <v>0</v>
      </c>
      <c r="AC908" s="118">
        <f>IFERROR(AA908/'FA Addition'!$J908*'FA Addition'!$L908,0)</f>
        <v>0</v>
      </c>
      <c r="AE908" s="117">
        <f>IF(AND('FA Addition'!$D908&lt;$P$1+1,U908=0),'FA Addition'!$L908,0)-Y908</f>
        <v>0</v>
      </c>
      <c r="AF908" s="117">
        <f t="shared" si="70"/>
        <v>14105.08</v>
      </c>
      <c r="AG908" s="117">
        <f>MIN(MAX(+$P$1-'FA Addition'!$D908,0),365*'FA Addition'!$O908)</f>
        <v>0</v>
      </c>
      <c r="AH908" s="117">
        <f>MIN(MAX($L$1-'FA Addition'!$D908+1,0),365*'FA Addition'!$O908)</f>
        <v>84</v>
      </c>
      <c r="AI908" s="117" cm="1">
        <f t="array" ref="AI908">_xlfn.XLOOKUP(1,('FA Write off'!A:A='FA Addition'!$A908)*('FA Write off'!D:D=AA908),'FA Write off'!H:H,0,0)</f>
        <v>0</v>
      </c>
      <c r="AJ908" s="117">
        <f>IF(AC908&gt;0,MAX(IF('FA Addition'!$N908="SLM",($AC908-'FA Addition'!$M908)*'FA Addition'!$P908*AI908/365,(AC908-'FA Addition'!$M908)*(1-(1-'FA Addition'!$P908)^(AI908/365))),0),0)</f>
        <v>0</v>
      </c>
      <c r="AL908" s="117">
        <f>MAX(IF(AG908&gt;0,IF('FA Addition'!$N908="SLM",($AE908-'FA Addition'!$M908)*'FA Addition'!$P908*AG908/365,IFERROR(VDB(AE908,AE908*0.05,'FA Addition'!$O908,0,YEARFRAC('FA Addition'!$C908,$P$1-1,3),'FA Addition'!$Q908),FAAddition[[#This Row],[Original Cost (Rs)]]-FAAddition[[#This Row],[Salvage Value]])),0),0)</f>
        <v>0</v>
      </c>
      <c r="AM908" s="119"/>
      <c r="AN908" s="117">
        <f>MAX(IF(AH908&gt;0,IF('FA Addition'!$N908="SLM",($AF908-'FA Addition'!$M908)*'FA Addition'!$P908*AH908/365,IFERROR(VDB(AF908,AF908*0.05,'FA Addition'!$O908,0,YEARFRAC('FA Addition'!$C908,$L$1,3),'FA Addition'!$Q908),FAAddition[[#This Row],[Original Cost (Rs)]]-FAAddition[[#This Row],[Salvage Value]])),0),0)</f>
        <v>1445.7908655664808</v>
      </c>
      <c r="AO908" s="117">
        <f t="shared" si="73"/>
        <v>1445.7908655664808</v>
      </c>
      <c r="AQ908" s="117">
        <f t="shared" si="71"/>
        <v>0</v>
      </c>
      <c r="AR908" s="120">
        <f t="shared" si="72"/>
        <v>12659.289134433518</v>
      </c>
      <c r="AS908" s="121"/>
    </row>
    <row r="909" spans="1:45" ht="13.5" x14ac:dyDescent="0.4">
      <c r="A909" s="12">
        <f t="shared" si="74"/>
        <v>906</v>
      </c>
      <c r="B909" s="64" t="s">
        <v>1308</v>
      </c>
      <c r="C909" s="54">
        <v>45299</v>
      </c>
      <c r="D909" s="54">
        <v>45299</v>
      </c>
      <c r="E909" s="46" t="s">
        <v>207</v>
      </c>
      <c r="F909" s="51" t="s">
        <v>1372</v>
      </c>
      <c r="G909" s="51" t="s">
        <v>1231</v>
      </c>
      <c r="H909" s="51" t="s">
        <v>498</v>
      </c>
      <c r="I909" s="55" t="s">
        <v>1680</v>
      </c>
      <c r="J909" s="56">
        <v>1</v>
      </c>
      <c r="K909" s="51" t="s">
        <v>1681</v>
      </c>
      <c r="L909" s="58">
        <v>14105.08</v>
      </c>
      <c r="M909" s="50">
        <f>ROUND('FA Addition'!$L909*5%,0.1)</f>
        <v>705</v>
      </c>
      <c r="N909" s="113" t="str">
        <f>_xlfn.XLOOKUP(_xlfn.CONCAT(E909,B909),'Year Wise Master Dep Approach'!F:F,'Year Wise Master Dep Approach'!D:D)</f>
        <v>WDV</v>
      </c>
      <c r="O909" s="113">
        <f>_xlfn.XLOOKUP(_xlfn.CONCAT(E909,B909),'Year Wise Master Dep Approach'!F:F,'Year Wise Master Dep Approach'!E:E)</f>
        <v>5</v>
      </c>
      <c r="P909" s="114">
        <f>IFERROR(IF('FA Addition'!$N909="WDV",1-('FA Addition'!$M909/'FA Addition'!$L909)^(1/'FA Addition'!$O909),1/'FA Addition'!$O909),0)</f>
        <v>0.45075929913772284</v>
      </c>
      <c r="Q909" s="122">
        <f>'FA Addition'!$P909*'FA Addition'!$O909</f>
        <v>2.2537964956886141</v>
      </c>
      <c r="R909" s="122"/>
      <c r="S909" s="116">
        <f>IF(AND(DATE(20&amp;LEFT(FAAddition[[#This Row],[FY]],2),4,1)&lt;$L$1+1,DATE(20&amp;LEFT(FAAddition[[#This Row],[FY]],2),4,1)&gt;$P$1-1),'FA Addition'!$J909,0)</f>
        <v>1</v>
      </c>
      <c r="U909" s="117">
        <f>S909*'FA Addition'!$L909/'FA Addition'!$J909</f>
        <v>14105.08</v>
      </c>
      <c r="W909" s="116">
        <f>SUMIFS('FA Write off'!D:D,'FA Write off'!A:A,'FA Addition'!$A909,'FA Write off'!C:C,"&lt;"&amp;'FA Addition'!$P$1)</f>
        <v>0</v>
      </c>
      <c r="Y909" s="191">
        <f>IFERROR(W909/'FA Addition'!$J909*'FA Addition'!$L909,0)</f>
        <v>0</v>
      </c>
      <c r="AA909" s="116">
        <f>SUMIFS('FA Write off'!D:D,'FA Write off'!A:A,'FA Addition'!$A909,'FA Write off'!C:C,"&lt;"&amp;'FA Addition'!$L$1+1,'FA Write off'!C:C,"&gt;"&amp;'FA Addition'!$L$1-365)</f>
        <v>0</v>
      </c>
      <c r="AC909" s="118">
        <f>IFERROR(AA909/'FA Addition'!$J909*'FA Addition'!$L909,0)</f>
        <v>0</v>
      </c>
      <c r="AE909" s="117">
        <f>IF(AND('FA Addition'!$D909&lt;$P$1+1,U909=0),'FA Addition'!$L909,0)-Y909</f>
        <v>0</v>
      </c>
      <c r="AF909" s="117">
        <f t="shared" si="70"/>
        <v>14105.08</v>
      </c>
      <c r="AG909" s="117">
        <f>MIN(MAX(+$P$1-'FA Addition'!$D909,0),365*'FA Addition'!$O909)</f>
        <v>0</v>
      </c>
      <c r="AH909" s="117">
        <f>MIN(MAX($L$1-'FA Addition'!$D909+1,0),365*'FA Addition'!$O909)</f>
        <v>84</v>
      </c>
      <c r="AI909" s="117" cm="1">
        <f t="array" ref="AI909">_xlfn.XLOOKUP(1,('FA Write off'!A:A='FA Addition'!$A909)*('FA Write off'!D:D=AA909),'FA Write off'!H:H,0,0)</f>
        <v>0</v>
      </c>
      <c r="AJ909" s="117">
        <f>IF(AC909&gt;0,MAX(IF('FA Addition'!$N909="SLM",($AC909-'FA Addition'!$M909)*'FA Addition'!$P909*AI909/365,(AC909-'FA Addition'!$M909)*(1-(1-'FA Addition'!$P909)^(AI909/365))),0),0)</f>
        <v>0</v>
      </c>
      <c r="AL909" s="117">
        <f>MAX(IF(AG909&gt;0,IF('FA Addition'!$N909="SLM",($AE909-'FA Addition'!$M909)*'FA Addition'!$P909*AG909/365,IFERROR(VDB(AE909,AE909*0.05,'FA Addition'!$O909,0,YEARFRAC('FA Addition'!$C909,$P$1-1,3),'FA Addition'!$Q909),FAAddition[[#This Row],[Original Cost (Rs)]]-FAAddition[[#This Row],[Salvage Value]])),0),0)</f>
        <v>0</v>
      </c>
      <c r="AM909" s="119"/>
      <c r="AN909" s="117">
        <f>MAX(IF(AH909&gt;0,IF('FA Addition'!$N909="SLM",($AF909-'FA Addition'!$M909)*'FA Addition'!$P909*AH909/365,IFERROR(VDB(AF909,AF909*0.05,'FA Addition'!$O909,0,YEARFRAC('FA Addition'!$C909,$L$1,3),'FA Addition'!$Q909),FAAddition[[#This Row],[Original Cost (Rs)]]-FAAddition[[#This Row],[Salvage Value]])),0),0)</f>
        <v>1445.7908655664808</v>
      </c>
      <c r="AO909" s="117">
        <f t="shared" si="73"/>
        <v>1445.7908655664808</v>
      </c>
      <c r="AQ909" s="117">
        <f t="shared" si="71"/>
        <v>0</v>
      </c>
      <c r="AR909" s="120">
        <f t="shared" si="72"/>
        <v>12659.289134433518</v>
      </c>
      <c r="AS909" s="121"/>
    </row>
    <row r="910" spans="1:45" ht="13.5" x14ac:dyDescent="0.4">
      <c r="A910" s="12">
        <f t="shared" si="74"/>
        <v>907</v>
      </c>
      <c r="B910" s="64" t="s">
        <v>1308</v>
      </c>
      <c r="C910" s="54">
        <v>45300</v>
      </c>
      <c r="D910" s="54">
        <v>45300</v>
      </c>
      <c r="E910" s="46" t="s">
        <v>451</v>
      </c>
      <c r="F910" s="51" t="s">
        <v>19</v>
      </c>
      <c r="G910" s="51" t="s">
        <v>1290</v>
      </c>
      <c r="H910" s="51" t="s">
        <v>244</v>
      </c>
      <c r="I910" s="55" t="s">
        <v>1682</v>
      </c>
      <c r="J910" s="56">
        <v>4</v>
      </c>
      <c r="K910" s="51" t="s">
        <v>1683</v>
      </c>
      <c r="L910" s="58">
        <v>289830.75</v>
      </c>
      <c r="M910" s="50">
        <f>ROUND('FA Addition'!$L910*5%,0.1)</f>
        <v>14492</v>
      </c>
      <c r="N910" s="113" t="str">
        <f>_xlfn.XLOOKUP(_xlfn.CONCAT(E910,B910),'Year Wise Master Dep Approach'!F:F,'Year Wise Master Dep Approach'!D:D)</f>
        <v>WDV</v>
      </c>
      <c r="O910" s="113">
        <f>_xlfn.XLOOKUP(_xlfn.CONCAT(E910,B910),'Year Wise Master Dep Approach'!F:F,'Year Wise Master Dep Approach'!E:E)</f>
        <v>3</v>
      </c>
      <c r="P910" s="114">
        <f>IFERROR(IF('FA Addition'!$N910="WDV",1-('FA Addition'!$M910/'FA Addition'!$L910)^(1/'FA Addition'!$O910),1/'FA Addition'!$O910),0)</f>
        <v>0.6315929309602768</v>
      </c>
      <c r="Q910" s="122">
        <f>'FA Addition'!$P910*'FA Addition'!$O910</f>
        <v>1.8947787928808304</v>
      </c>
      <c r="R910" s="122"/>
      <c r="S910" s="116">
        <f>IF(AND(DATE(20&amp;LEFT(FAAddition[[#This Row],[FY]],2),4,1)&lt;$L$1+1,DATE(20&amp;LEFT(FAAddition[[#This Row],[FY]],2),4,1)&gt;$P$1-1),'FA Addition'!$J910,0)</f>
        <v>4</v>
      </c>
      <c r="U910" s="117">
        <f>S910*'FA Addition'!$L910/'FA Addition'!$J910</f>
        <v>289830.75</v>
      </c>
      <c r="W910" s="116">
        <f>SUMIFS('FA Write off'!D:D,'FA Write off'!A:A,'FA Addition'!$A910,'FA Write off'!C:C,"&lt;"&amp;'FA Addition'!$P$1)</f>
        <v>0</v>
      </c>
      <c r="Y910" s="191">
        <f>IFERROR(W910/'FA Addition'!$J910*'FA Addition'!$L910,0)</f>
        <v>0</v>
      </c>
      <c r="AA910" s="116">
        <f>SUMIFS('FA Write off'!D:D,'FA Write off'!A:A,'FA Addition'!$A910,'FA Write off'!C:C,"&lt;"&amp;'FA Addition'!$L$1+1,'FA Write off'!C:C,"&gt;"&amp;'FA Addition'!$L$1-365)</f>
        <v>0</v>
      </c>
      <c r="AC910" s="118">
        <f>IFERROR(AA910/'FA Addition'!$J910*'FA Addition'!$L910,0)</f>
        <v>0</v>
      </c>
      <c r="AE910" s="117">
        <f>IF(AND('FA Addition'!$D910&lt;$P$1+1,U910=0),'FA Addition'!$L910,0)-Y910</f>
        <v>0</v>
      </c>
      <c r="AF910" s="117">
        <f t="shared" si="70"/>
        <v>289830.75</v>
      </c>
      <c r="AG910" s="117">
        <f>MIN(MAX(+$P$1-'FA Addition'!$D910,0),365*'FA Addition'!$O910)</f>
        <v>0</v>
      </c>
      <c r="AH910" s="117">
        <f>MIN(MAX($L$1-'FA Addition'!$D910+1,0),365*'FA Addition'!$O910)</f>
        <v>83</v>
      </c>
      <c r="AI910" s="117" cm="1">
        <f t="array" ref="AI910">_xlfn.XLOOKUP(1,('FA Write off'!A:A='FA Addition'!$A910)*('FA Write off'!D:D=AA910),'FA Write off'!H:H,0,0)</f>
        <v>0</v>
      </c>
      <c r="AJ910" s="117">
        <f>IF(AC910&gt;0,MAX(IF('FA Addition'!$N910="SLM",($AC910-'FA Addition'!$M910)*'FA Addition'!$P910*AI910/365,(AC910-'FA Addition'!$M910)*(1-(1-'FA Addition'!$P910)^(AI910/365))),0),0)</f>
        <v>0</v>
      </c>
      <c r="AL910" s="117">
        <f>MAX(IF(AG910&gt;0,IF('FA Addition'!$N910="SLM",($AE910-'FA Addition'!$M910)*'FA Addition'!$P910*AG910/365,IFERROR(VDB(AE910,AE910*0.05,'FA Addition'!$O910,0,YEARFRAC('FA Addition'!$C910,$P$1-1,3),'FA Addition'!$Q910),FAAddition[[#This Row],[Original Cost (Rs)]]-FAAddition[[#This Row],[Salvage Value]])),0),0)</f>
        <v>0</v>
      </c>
      <c r="AM910" s="119"/>
      <c r="AN910" s="117">
        <f>MAX(IF(AH910&gt;0,IF('FA Addition'!$N910="SLM",($AF910-'FA Addition'!$M910)*'FA Addition'!$P910*AH910/365,IFERROR(VDB(AF910,AF910*0.05,'FA Addition'!$O910,0,YEARFRAC('FA Addition'!$C910,$L$1,3),'FA Addition'!$Q910),FAAddition[[#This Row],[Original Cost (Rs)]]-FAAddition[[#This Row],[Salvage Value]])),0),0)</f>
        <v>41124.696810254929</v>
      </c>
      <c r="AO910" s="117">
        <f t="shared" si="73"/>
        <v>41124.696810254929</v>
      </c>
      <c r="AQ910" s="117">
        <f t="shared" si="71"/>
        <v>0</v>
      </c>
      <c r="AR910" s="120">
        <f t="shared" si="72"/>
        <v>248706.05318974506</v>
      </c>
      <c r="AS910" s="121"/>
    </row>
    <row r="911" spans="1:45" ht="13.5" x14ac:dyDescent="0.4">
      <c r="A911" s="12">
        <f t="shared" si="74"/>
        <v>908</v>
      </c>
      <c r="B911" s="64" t="s">
        <v>1308</v>
      </c>
      <c r="C911" s="54">
        <v>45301</v>
      </c>
      <c r="D911" s="54">
        <v>45301</v>
      </c>
      <c r="E911" s="46" t="s">
        <v>1389</v>
      </c>
      <c r="F911" s="51" t="s">
        <v>1112</v>
      </c>
      <c r="G911" s="51" t="s">
        <v>36</v>
      </c>
      <c r="H911" s="51" t="s">
        <v>1113</v>
      </c>
      <c r="I911" s="55" t="s">
        <v>1684</v>
      </c>
      <c r="J911" s="56">
        <v>100</v>
      </c>
      <c r="K911" s="51" t="s">
        <v>1132</v>
      </c>
      <c r="L911" s="58">
        <v>70000</v>
      </c>
      <c r="M911" s="50">
        <f>ROUND('FA Addition'!$L911*5%,0.1)</f>
        <v>3500</v>
      </c>
      <c r="N911" s="113" t="str">
        <f>_xlfn.XLOOKUP(_xlfn.CONCAT(E911,B911),'Year Wise Master Dep Approach'!F:F,'Year Wise Master Dep Approach'!D:D)</f>
        <v>SLM</v>
      </c>
      <c r="O911" s="113">
        <f>_xlfn.XLOOKUP(_xlfn.CONCAT(E911,B911),'Year Wise Master Dep Approach'!F:F,'Year Wise Master Dep Approach'!E:E)</f>
        <v>3</v>
      </c>
      <c r="P911" s="114">
        <f>IFERROR(IF('FA Addition'!$N911="WDV",1-('FA Addition'!$M911/'FA Addition'!$L911)^(1/'FA Addition'!$O911),1/'FA Addition'!$O911),0)</f>
        <v>0.33333333333333331</v>
      </c>
      <c r="Q911" s="122">
        <f>'FA Addition'!$P911*'FA Addition'!$O911</f>
        <v>1</v>
      </c>
      <c r="R911" s="122"/>
      <c r="S911" s="116">
        <f>IF(AND(DATE(20&amp;LEFT(FAAddition[[#This Row],[FY]],2),4,1)&lt;$L$1+1,DATE(20&amp;LEFT(FAAddition[[#This Row],[FY]],2),4,1)&gt;$P$1-1),'FA Addition'!$J911,0)</f>
        <v>100</v>
      </c>
      <c r="U911" s="117">
        <f>S911*'FA Addition'!$L911/'FA Addition'!$J911</f>
        <v>70000</v>
      </c>
      <c r="W911" s="116">
        <f>SUMIFS('FA Write off'!D:D,'FA Write off'!A:A,'FA Addition'!$A911,'FA Write off'!C:C,"&lt;"&amp;'FA Addition'!$P$1)</f>
        <v>0</v>
      </c>
      <c r="Y911" s="191">
        <f>IFERROR(W911/'FA Addition'!$J911*'FA Addition'!$L911,0)</f>
        <v>0</v>
      </c>
      <c r="AA911" s="116">
        <f>SUMIFS('FA Write off'!D:D,'FA Write off'!A:A,'FA Addition'!$A911,'FA Write off'!C:C,"&lt;"&amp;'FA Addition'!$L$1+1,'FA Write off'!C:C,"&gt;"&amp;'FA Addition'!$L$1-365)</f>
        <v>0</v>
      </c>
      <c r="AC911" s="118">
        <f>IFERROR(AA911/'FA Addition'!$J911*'FA Addition'!$L911,0)</f>
        <v>0</v>
      </c>
      <c r="AE911" s="117">
        <f>IF(AND('FA Addition'!$D911&lt;$P$1+1,U911=0),'FA Addition'!$L911,0)-Y911</f>
        <v>0</v>
      </c>
      <c r="AF911" s="117">
        <f t="shared" si="70"/>
        <v>70000</v>
      </c>
      <c r="AG911" s="117">
        <f>MIN(MAX(+$P$1-'FA Addition'!$D911,0),365*'FA Addition'!$O911)</f>
        <v>0</v>
      </c>
      <c r="AH911" s="117">
        <f>MIN(MAX($L$1-'FA Addition'!$D911+1,0),365*'FA Addition'!$O911)</f>
        <v>82</v>
      </c>
      <c r="AI911" s="117" cm="1">
        <f t="array" ref="AI911">_xlfn.XLOOKUP(1,('FA Write off'!A:A='FA Addition'!$A911)*('FA Write off'!D:D=AA911),'FA Write off'!H:H,0,0)</f>
        <v>0</v>
      </c>
      <c r="AJ911" s="117">
        <f>IF(AC911&gt;0,MAX(IF('FA Addition'!$N911="SLM",($AC911-'FA Addition'!$M911)*'FA Addition'!$P911*AI911/365,(AC911-'FA Addition'!$M911)*(1-(1-'FA Addition'!$P911)^(AI911/365))),0),0)</f>
        <v>0</v>
      </c>
      <c r="AL911" s="117">
        <f>MAX(IF(AG911&gt;0,IF('FA Addition'!$N911="SLM",($AE911-'FA Addition'!$M911)*'FA Addition'!$P911*AG911/365,IFERROR(VDB(AE911,AE911*0.05,'FA Addition'!$O911,0,YEARFRAC('FA Addition'!$C911,$P$1-1,3),'FA Addition'!$Q911),FAAddition[[#This Row],[Original Cost (Rs)]]-FAAddition[[#This Row],[Salvage Value]])),0),0)</f>
        <v>0</v>
      </c>
      <c r="AM911" s="119"/>
      <c r="AN911" s="117">
        <f>MAX(IF(AH911&gt;0,IF('FA Addition'!$N911="SLM",($AF911-'FA Addition'!$M911)*'FA Addition'!$P911*AH911/365,IFERROR(VDB(AF911,AF911*0.05,'FA Addition'!$O911,0,YEARFRAC('FA Addition'!$C911,$L$1,3),'FA Addition'!$Q911),FAAddition[[#This Row],[Original Cost (Rs)]]-FAAddition[[#This Row],[Salvage Value]])),0),0)</f>
        <v>4979.9086757990863</v>
      </c>
      <c r="AO911" s="117">
        <f t="shared" si="73"/>
        <v>4979.9086757990863</v>
      </c>
      <c r="AQ911" s="117">
        <f t="shared" si="71"/>
        <v>0</v>
      </c>
      <c r="AR911" s="120">
        <f t="shared" si="72"/>
        <v>65020.091324200912</v>
      </c>
      <c r="AS911" s="121"/>
    </row>
    <row r="912" spans="1:45" ht="13.5" x14ac:dyDescent="0.4">
      <c r="A912" s="12">
        <f t="shared" si="74"/>
        <v>909</v>
      </c>
      <c r="B912" s="64" t="s">
        <v>1308</v>
      </c>
      <c r="C912" s="54">
        <v>45302</v>
      </c>
      <c r="D912" s="54">
        <v>45302</v>
      </c>
      <c r="E912" s="46" t="s">
        <v>1320</v>
      </c>
      <c r="F912" s="51" t="s">
        <v>33</v>
      </c>
      <c r="G912" s="51" t="s">
        <v>36</v>
      </c>
      <c r="H912" s="51" t="s">
        <v>32</v>
      </c>
      <c r="I912" s="55" t="s">
        <v>1685</v>
      </c>
      <c r="J912" s="56">
        <v>920</v>
      </c>
      <c r="K912" s="51" t="s">
        <v>296</v>
      </c>
      <c r="L912" s="58">
        <v>1564000</v>
      </c>
      <c r="M912" s="50">
        <f>ROUND('FA Addition'!$L912*5%,0.1)</f>
        <v>78200</v>
      </c>
      <c r="N912" s="113" t="str">
        <f>_xlfn.XLOOKUP(_xlfn.CONCAT(E912,B912),'Year Wise Master Dep Approach'!F:F,'Year Wise Master Dep Approach'!D:D)</f>
        <v>SLM</v>
      </c>
      <c r="O912" s="113">
        <f>_xlfn.XLOOKUP(_xlfn.CONCAT(E912,B912),'Year Wise Master Dep Approach'!F:F,'Year Wise Master Dep Approach'!E:E)</f>
        <v>5</v>
      </c>
      <c r="P912" s="114">
        <f>IFERROR(IF('FA Addition'!$N912="WDV",1-('FA Addition'!$M912/'FA Addition'!$L912)^(1/'FA Addition'!$O912),1/'FA Addition'!$O912),0)</f>
        <v>0.2</v>
      </c>
      <c r="Q912" s="122">
        <f>'FA Addition'!$P912*'FA Addition'!$O912</f>
        <v>1</v>
      </c>
      <c r="R912" s="122"/>
      <c r="S912" s="116">
        <f>IF(AND(DATE(20&amp;LEFT(FAAddition[[#This Row],[FY]],2),4,1)&lt;$L$1+1,DATE(20&amp;LEFT(FAAddition[[#This Row],[FY]],2),4,1)&gt;$P$1-1),'FA Addition'!$J912,0)</f>
        <v>920</v>
      </c>
      <c r="U912" s="117">
        <f>S912*'FA Addition'!$L912/'FA Addition'!$J912</f>
        <v>1564000</v>
      </c>
      <c r="W912" s="116">
        <f>SUMIFS('FA Write off'!D:D,'FA Write off'!A:A,'FA Addition'!$A912,'FA Write off'!C:C,"&lt;"&amp;'FA Addition'!$P$1)</f>
        <v>0</v>
      </c>
      <c r="Y912" s="191">
        <f>IFERROR(W912/'FA Addition'!$J912*'FA Addition'!$L912,0)</f>
        <v>0</v>
      </c>
      <c r="AA912" s="116">
        <f>SUMIFS('FA Write off'!D:D,'FA Write off'!A:A,'FA Addition'!$A912,'FA Write off'!C:C,"&lt;"&amp;'FA Addition'!$L$1+1,'FA Write off'!C:C,"&gt;"&amp;'FA Addition'!$L$1-365)</f>
        <v>0</v>
      </c>
      <c r="AC912" s="118">
        <f>IFERROR(AA912/'FA Addition'!$J912*'FA Addition'!$L912,0)</f>
        <v>0</v>
      </c>
      <c r="AE912" s="117">
        <f>IF(AND('FA Addition'!$D912&lt;$P$1+1,U912=0),'FA Addition'!$L912,0)-Y912</f>
        <v>0</v>
      </c>
      <c r="AF912" s="117">
        <f t="shared" si="70"/>
        <v>1564000</v>
      </c>
      <c r="AG912" s="117">
        <f>MIN(MAX(+$P$1-'FA Addition'!$D912,0),365*'FA Addition'!$O912)</f>
        <v>0</v>
      </c>
      <c r="AH912" s="117">
        <f>MIN(MAX($L$1-'FA Addition'!$D912+1,0),365*'FA Addition'!$O912)</f>
        <v>81</v>
      </c>
      <c r="AI912" s="117" cm="1">
        <f t="array" ref="AI912">_xlfn.XLOOKUP(1,('FA Write off'!A:A='FA Addition'!$A912)*('FA Write off'!D:D=AA912),'FA Write off'!H:H,0,0)</f>
        <v>0</v>
      </c>
      <c r="AJ912" s="117">
        <f>IF(AC912&gt;0,MAX(IF('FA Addition'!$N912="SLM",($AC912-'FA Addition'!$M912)*'FA Addition'!$P912*AI912/365,(AC912-'FA Addition'!$M912)*(1-(1-'FA Addition'!$P912)^(AI912/365))),0),0)</f>
        <v>0</v>
      </c>
      <c r="AL912" s="117">
        <f>MAX(IF(AG912&gt;0,IF('FA Addition'!$N912="SLM",($AE912-'FA Addition'!$M912)*'FA Addition'!$P912*AG912/365,IFERROR(VDB(AE912,AE912*0.05,'FA Addition'!$O912,0,YEARFRAC('FA Addition'!$C912,$P$1-1,3),'FA Addition'!$Q912),FAAddition[[#This Row],[Original Cost (Rs)]]-FAAddition[[#This Row],[Salvage Value]])),0),0)</f>
        <v>0</v>
      </c>
      <c r="AM912" s="119"/>
      <c r="AN912" s="117">
        <f>MAX(IF(AH912&gt;0,IF('FA Addition'!$N912="SLM",($AF912-'FA Addition'!$M912)*'FA Addition'!$P912*AH912/365,IFERROR(VDB(AF912,AF912*0.05,'FA Addition'!$O912,0,YEARFRAC('FA Addition'!$C912,$L$1,3),'FA Addition'!$Q912),FAAddition[[#This Row],[Original Cost (Rs)]]-FAAddition[[#This Row],[Salvage Value]])),0),0)</f>
        <v>65945.095890410958</v>
      </c>
      <c r="AO912" s="117">
        <f t="shared" si="73"/>
        <v>65945.095890410958</v>
      </c>
      <c r="AQ912" s="117">
        <f t="shared" si="71"/>
        <v>0</v>
      </c>
      <c r="AR912" s="120">
        <f t="shared" si="72"/>
        <v>1498054.9041095891</v>
      </c>
      <c r="AS912" s="121"/>
    </row>
    <row r="913" spans="1:45" ht="13.5" x14ac:dyDescent="0.4">
      <c r="A913" s="12">
        <f t="shared" si="74"/>
        <v>910</v>
      </c>
      <c r="B913" s="64" t="s">
        <v>1308</v>
      </c>
      <c r="C913" s="54">
        <v>45306</v>
      </c>
      <c r="D913" s="54">
        <v>45306</v>
      </c>
      <c r="E913" s="46" t="s">
        <v>451</v>
      </c>
      <c r="F913" s="51" t="s">
        <v>19</v>
      </c>
      <c r="G913" s="51" t="s">
        <v>1686</v>
      </c>
      <c r="H913" s="51" t="s">
        <v>151</v>
      </c>
      <c r="I913" s="55" t="s">
        <v>1687</v>
      </c>
      <c r="J913" s="56">
        <v>1</v>
      </c>
      <c r="K913" s="51" t="s">
        <v>1688</v>
      </c>
      <c r="L913" s="58">
        <v>10083.9</v>
      </c>
      <c r="M913" s="50">
        <f>ROUND('FA Addition'!$L913*5%,0.1)</f>
        <v>504</v>
      </c>
      <c r="N913" s="113" t="str">
        <f>_xlfn.XLOOKUP(_xlfn.CONCAT(E913,B913),'Year Wise Master Dep Approach'!F:F,'Year Wise Master Dep Approach'!D:D)</f>
        <v>WDV</v>
      </c>
      <c r="O913" s="113">
        <f>_xlfn.XLOOKUP(_xlfn.CONCAT(E913,B913),'Year Wise Master Dep Approach'!F:F,'Year Wise Master Dep Approach'!E:E)</f>
        <v>3</v>
      </c>
      <c r="P913" s="114">
        <f>IFERROR(IF('FA Addition'!$N913="WDV",1-('FA Addition'!$M913/'FA Addition'!$L913)^(1/'FA Addition'!$O913),1/'FA Addition'!$O913),0)</f>
        <v>0.63164435019548271</v>
      </c>
      <c r="Q913" s="122">
        <f>'FA Addition'!$P913*'FA Addition'!$O913</f>
        <v>1.8949330505864481</v>
      </c>
      <c r="R913" s="122"/>
      <c r="S913" s="116">
        <f>IF(AND(DATE(20&amp;LEFT(FAAddition[[#This Row],[FY]],2),4,1)&lt;$L$1+1,DATE(20&amp;LEFT(FAAddition[[#This Row],[FY]],2),4,1)&gt;$P$1-1),'FA Addition'!$J913,0)</f>
        <v>1</v>
      </c>
      <c r="U913" s="117">
        <f>S913*'FA Addition'!$L913/'FA Addition'!$J913</f>
        <v>10083.9</v>
      </c>
      <c r="W913" s="116">
        <f>SUMIFS('FA Write off'!D:D,'FA Write off'!A:A,'FA Addition'!$A913,'FA Write off'!C:C,"&lt;"&amp;'FA Addition'!$P$1)</f>
        <v>0</v>
      </c>
      <c r="Y913" s="191">
        <f>IFERROR(W913/'FA Addition'!$J913*'FA Addition'!$L913,0)</f>
        <v>0</v>
      </c>
      <c r="AA913" s="116">
        <f>SUMIFS('FA Write off'!D:D,'FA Write off'!A:A,'FA Addition'!$A913,'FA Write off'!C:C,"&lt;"&amp;'FA Addition'!$L$1+1,'FA Write off'!C:C,"&gt;"&amp;'FA Addition'!$L$1-365)</f>
        <v>0</v>
      </c>
      <c r="AC913" s="118">
        <f>IFERROR(AA913/'FA Addition'!$J913*'FA Addition'!$L913,0)</f>
        <v>0</v>
      </c>
      <c r="AE913" s="117">
        <f>IF(AND('FA Addition'!$D913&lt;$P$1+1,U913=0),'FA Addition'!$L913,0)-Y913</f>
        <v>0</v>
      </c>
      <c r="AF913" s="117">
        <f t="shared" si="70"/>
        <v>10083.9</v>
      </c>
      <c r="AG913" s="117">
        <f>MIN(MAX(+$P$1-'FA Addition'!$D913,0),365*'FA Addition'!$O913)</f>
        <v>0</v>
      </c>
      <c r="AH913" s="117">
        <f>MIN(MAX($L$1-'FA Addition'!$D913+1,0),365*'FA Addition'!$O913)</f>
        <v>77</v>
      </c>
      <c r="AI913" s="117" cm="1">
        <f t="array" ref="AI913">_xlfn.XLOOKUP(1,('FA Write off'!A:A='FA Addition'!$A913)*('FA Write off'!D:D=AA913),'FA Write off'!H:H,0,0)</f>
        <v>0</v>
      </c>
      <c r="AJ913" s="117">
        <f>IF(AC913&gt;0,MAX(IF('FA Addition'!$N913="SLM",($AC913-'FA Addition'!$M913)*'FA Addition'!$P913*AI913/365,(AC913-'FA Addition'!$M913)*(1-(1-'FA Addition'!$P913)^(AI913/365))),0),0)</f>
        <v>0</v>
      </c>
      <c r="AL913" s="117">
        <f>MAX(IF(AG913&gt;0,IF('FA Addition'!$N913="SLM",($AE913-'FA Addition'!$M913)*'FA Addition'!$P913*AG913/365,IFERROR(VDB(AE913,AE913*0.05,'FA Addition'!$O913,0,YEARFRAC('FA Addition'!$C913,$P$1-1,3),'FA Addition'!$Q913),FAAddition[[#This Row],[Original Cost (Rs)]]-FAAddition[[#This Row],[Salvage Value]])),0),0)</f>
        <v>0</v>
      </c>
      <c r="AM913" s="119"/>
      <c r="AN913" s="117">
        <f>MAX(IF(AH913&gt;0,IF('FA Addition'!$N913="SLM",($AF913-'FA Addition'!$M913)*'FA Addition'!$P913*AH913/365,IFERROR(VDB(AF913,AF913*0.05,'FA Addition'!$O913,0,YEARFRAC('FA Addition'!$C913,$L$1,3),'FA Addition'!$Q913),FAAddition[[#This Row],[Original Cost (Rs)]]-FAAddition[[#This Row],[Salvage Value]])),0),0)</f>
        <v>1326.2392415976803</v>
      </c>
      <c r="AO913" s="117">
        <f t="shared" si="73"/>
        <v>1326.2392415976803</v>
      </c>
      <c r="AQ913" s="117">
        <f t="shared" si="71"/>
        <v>0</v>
      </c>
      <c r="AR913" s="120">
        <f t="shared" si="72"/>
        <v>8757.6607584023186</v>
      </c>
      <c r="AS913" s="121"/>
    </row>
    <row r="914" spans="1:45" ht="13.5" x14ac:dyDescent="0.4">
      <c r="A914" s="12">
        <f t="shared" si="74"/>
        <v>911</v>
      </c>
      <c r="B914" s="64" t="s">
        <v>1308</v>
      </c>
      <c r="C914" s="54">
        <v>45306</v>
      </c>
      <c r="D914" s="54">
        <v>45306</v>
      </c>
      <c r="E914" s="46" t="s">
        <v>451</v>
      </c>
      <c r="F914" s="51" t="s">
        <v>19</v>
      </c>
      <c r="G914" s="51" t="s">
        <v>1686</v>
      </c>
      <c r="H914" s="51" t="s">
        <v>151</v>
      </c>
      <c r="I914" s="55" t="s">
        <v>1687</v>
      </c>
      <c r="J914" s="56">
        <v>1</v>
      </c>
      <c r="K914" s="51" t="s">
        <v>1688</v>
      </c>
      <c r="L914" s="58">
        <v>10083.9</v>
      </c>
      <c r="M914" s="50">
        <f>ROUND('FA Addition'!$L914*5%,0.1)</f>
        <v>504</v>
      </c>
      <c r="N914" s="113" t="str">
        <f>_xlfn.XLOOKUP(_xlfn.CONCAT(E914,B914),'Year Wise Master Dep Approach'!F:F,'Year Wise Master Dep Approach'!D:D)</f>
        <v>WDV</v>
      </c>
      <c r="O914" s="113">
        <f>_xlfn.XLOOKUP(_xlfn.CONCAT(E914,B914),'Year Wise Master Dep Approach'!F:F,'Year Wise Master Dep Approach'!E:E)</f>
        <v>3</v>
      </c>
      <c r="P914" s="114">
        <f>IFERROR(IF('FA Addition'!$N914="WDV",1-('FA Addition'!$M914/'FA Addition'!$L914)^(1/'FA Addition'!$O914),1/'FA Addition'!$O914),0)</f>
        <v>0.63164435019548271</v>
      </c>
      <c r="Q914" s="122">
        <f>'FA Addition'!$P914*'FA Addition'!$O914</f>
        <v>1.8949330505864481</v>
      </c>
      <c r="R914" s="122"/>
      <c r="S914" s="116">
        <f>IF(AND(DATE(20&amp;LEFT(FAAddition[[#This Row],[FY]],2),4,1)&lt;$L$1+1,DATE(20&amp;LEFT(FAAddition[[#This Row],[FY]],2),4,1)&gt;$P$1-1),'FA Addition'!$J914,0)</f>
        <v>1</v>
      </c>
      <c r="U914" s="117">
        <f>S914*'FA Addition'!$L914/'FA Addition'!$J914</f>
        <v>10083.9</v>
      </c>
      <c r="W914" s="116">
        <f>SUMIFS('FA Write off'!D:D,'FA Write off'!A:A,'FA Addition'!$A914,'FA Write off'!C:C,"&lt;"&amp;'FA Addition'!$P$1)</f>
        <v>0</v>
      </c>
      <c r="Y914" s="191">
        <f>IFERROR(W914/'FA Addition'!$J914*'FA Addition'!$L914,0)</f>
        <v>0</v>
      </c>
      <c r="AA914" s="116">
        <f>SUMIFS('FA Write off'!D:D,'FA Write off'!A:A,'FA Addition'!$A914,'FA Write off'!C:C,"&lt;"&amp;'FA Addition'!$L$1+1,'FA Write off'!C:C,"&gt;"&amp;'FA Addition'!$L$1-365)</f>
        <v>0</v>
      </c>
      <c r="AC914" s="118">
        <f>IFERROR(AA914/'FA Addition'!$J914*'FA Addition'!$L914,0)</f>
        <v>0</v>
      </c>
      <c r="AE914" s="117">
        <f>IF(AND('FA Addition'!$D914&lt;$P$1+1,U914=0),'FA Addition'!$L914,0)-Y914</f>
        <v>0</v>
      </c>
      <c r="AF914" s="117">
        <f t="shared" si="70"/>
        <v>10083.9</v>
      </c>
      <c r="AG914" s="117">
        <f>MIN(MAX(+$P$1-'FA Addition'!$D914,0),365*'FA Addition'!$O914)</f>
        <v>0</v>
      </c>
      <c r="AH914" s="117">
        <f>MIN(MAX($L$1-'FA Addition'!$D914+1,0),365*'FA Addition'!$O914)</f>
        <v>77</v>
      </c>
      <c r="AI914" s="117" cm="1">
        <f t="array" ref="AI914">_xlfn.XLOOKUP(1,('FA Write off'!A:A='FA Addition'!$A914)*('FA Write off'!D:D=AA914),'FA Write off'!H:H,0,0)</f>
        <v>0</v>
      </c>
      <c r="AJ914" s="117">
        <f>IF(AC914&gt;0,MAX(IF('FA Addition'!$N914="SLM",($AC914-'FA Addition'!$M914)*'FA Addition'!$P914*AI914/365,(AC914-'FA Addition'!$M914)*(1-(1-'FA Addition'!$P914)^(AI914/365))),0),0)</f>
        <v>0</v>
      </c>
      <c r="AL914" s="117">
        <f>MAX(IF(AG914&gt;0,IF('FA Addition'!$N914="SLM",($AE914-'FA Addition'!$M914)*'FA Addition'!$P914*AG914/365,IFERROR(VDB(AE914,AE914*0.05,'FA Addition'!$O914,0,YEARFRAC('FA Addition'!$C914,$P$1-1,3),'FA Addition'!$Q914),FAAddition[[#This Row],[Original Cost (Rs)]]-FAAddition[[#This Row],[Salvage Value]])),0),0)</f>
        <v>0</v>
      </c>
      <c r="AM914" s="119"/>
      <c r="AN914" s="117">
        <f>MAX(IF(AH914&gt;0,IF('FA Addition'!$N914="SLM",($AF914-'FA Addition'!$M914)*'FA Addition'!$P914*AH914/365,IFERROR(VDB(AF914,AF914*0.05,'FA Addition'!$O914,0,YEARFRAC('FA Addition'!$C914,$L$1,3),'FA Addition'!$Q914),FAAddition[[#This Row],[Original Cost (Rs)]]-FAAddition[[#This Row],[Salvage Value]])),0),0)</f>
        <v>1326.2392415976803</v>
      </c>
      <c r="AO914" s="117">
        <f t="shared" si="73"/>
        <v>1326.2392415976803</v>
      </c>
      <c r="AQ914" s="117">
        <f t="shared" si="71"/>
        <v>0</v>
      </c>
      <c r="AR914" s="120">
        <f t="shared" si="72"/>
        <v>8757.6607584023186</v>
      </c>
      <c r="AS914" s="121"/>
    </row>
    <row r="915" spans="1:45" ht="13.5" x14ac:dyDescent="0.4">
      <c r="A915" s="12">
        <f t="shared" si="74"/>
        <v>912</v>
      </c>
      <c r="B915" s="64" t="s">
        <v>1308</v>
      </c>
      <c r="C915" s="54">
        <v>45307</v>
      </c>
      <c r="D915" s="54">
        <v>45307</v>
      </c>
      <c r="E915" s="46" t="s">
        <v>1320</v>
      </c>
      <c r="F915" s="51" t="s">
        <v>33</v>
      </c>
      <c r="G915" s="51" t="s">
        <v>36</v>
      </c>
      <c r="H915" s="51" t="s">
        <v>32</v>
      </c>
      <c r="I915" s="55" t="s">
        <v>1689</v>
      </c>
      <c r="J915" s="56">
        <v>480</v>
      </c>
      <c r="K915" s="51" t="s">
        <v>296</v>
      </c>
      <c r="L915" s="58">
        <v>816000</v>
      </c>
      <c r="M915" s="50">
        <f>ROUND('FA Addition'!$L915*5%,0.1)</f>
        <v>40800</v>
      </c>
      <c r="N915" s="113" t="str">
        <f>_xlfn.XLOOKUP(_xlfn.CONCAT(E915,B915),'Year Wise Master Dep Approach'!F:F,'Year Wise Master Dep Approach'!D:D)</f>
        <v>SLM</v>
      </c>
      <c r="O915" s="113">
        <f>_xlfn.XLOOKUP(_xlfn.CONCAT(E915,B915),'Year Wise Master Dep Approach'!F:F,'Year Wise Master Dep Approach'!E:E)</f>
        <v>5</v>
      </c>
      <c r="P915" s="114">
        <f>IFERROR(IF('FA Addition'!$N915="WDV",1-('FA Addition'!$M915/'FA Addition'!$L915)^(1/'FA Addition'!$O915),1/'FA Addition'!$O915),0)</f>
        <v>0.2</v>
      </c>
      <c r="Q915" s="122">
        <f>'FA Addition'!$P915*'FA Addition'!$O915</f>
        <v>1</v>
      </c>
      <c r="R915" s="122"/>
      <c r="S915" s="116">
        <f>IF(AND(DATE(20&amp;LEFT(FAAddition[[#This Row],[FY]],2),4,1)&lt;$L$1+1,DATE(20&amp;LEFT(FAAddition[[#This Row],[FY]],2),4,1)&gt;$P$1-1),'FA Addition'!$J915,0)</f>
        <v>480</v>
      </c>
      <c r="U915" s="117">
        <f>S915*'FA Addition'!$L915/'FA Addition'!$J915</f>
        <v>816000</v>
      </c>
      <c r="W915" s="116">
        <f>SUMIFS('FA Write off'!D:D,'FA Write off'!A:A,'FA Addition'!$A915,'FA Write off'!C:C,"&lt;"&amp;'FA Addition'!$P$1)</f>
        <v>0</v>
      </c>
      <c r="Y915" s="191">
        <f>IFERROR(W915/'FA Addition'!$J915*'FA Addition'!$L915,0)</f>
        <v>0</v>
      </c>
      <c r="AA915" s="116">
        <f>SUMIFS('FA Write off'!D:D,'FA Write off'!A:A,'FA Addition'!$A915,'FA Write off'!C:C,"&lt;"&amp;'FA Addition'!$L$1+1,'FA Write off'!C:C,"&gt;"&amp;'FA Addition'!$L$1-365)</f>
        <v>0</v>
      </c>
      <c r="AC915" s="118">
        <f>IFERROR(AA915/'FA Addition'!$J915*'FA Addition'!$L915,0)</f>
        <v>0</v>
      </c>
      <c r="AE915" s="117">
        <f>IF(AND('FA Addition'!$D915&lt;$P$1+1,U915=0),'FA Addition'!$L915,0)-Y915</f>
        <v>0</v>
      </c>
      <c r="AF915" s="117">
        <f t="shared" si="70"/>
        <v>816000</v>
      </c>
      <c r="AG915" s="117">
        <f>MIN(MAX(+$P$1-'FA Addition'!$D915,0),365*'FA Addition'!$O915)</f>
        <v>0</v>
      </c>
      <c r="AH915" s="117">
        <f>MIN(MAX($L$1-'FA Addition'!$D915+1,0),365*'FA Addition'!$O915)</f>
        <v>76</v>
      </c>
      <c r="AI915" s="117" cm="1">
        <f t="array" ref="AI915">_xlfn.XLOOKUP(1,('FA Write off'!A:A='FA Addition'!$A915)*('FA Write off'!D:D=AA915),'FA Write off'!H:H,0,0)</f>
        <v>0</v>
      </c>
      <c r="AJ915" s="117">
        <f>IF(AC915&gt;0,MAX(IF('FA Addition'!$N915="SLM",($AC915-'FA Addition'!$M915)*'FA Addition'!$P915*AI915/365,(AC915-'FA Addition'!$M915)*(1-(1-'FA Addition'!$P915)^(AI915/365))),0),0)</f>
        <v>0</v>
      </c>
      <c r="AL915" s="117">
        <f>MAX(IF(AG915&gt;0,IF('FA Addition'!$N915="SLM",($AE915-'FA Addition'!$M915)*'FA Addition'!$P915*AG915/365,IFERROR(VDB(AE915,AE915*0.05,'FA Addition'!$O915,0,YEARFRAC('FA Addition'!$C915,$P$1-1,3),'FA Addition'!$Q915),FAAddition[[#This Row],[Original Cost (Rs)]]-FAAddition[[#This Row],[Salvage Value]])),0),0)</f>
        <v>0</v>
      </c>
      <c r="AM915" s="119"/>
      <c r="AN915" s="117">
        <f>MAX(IF(AH915&gt;0,IF('FA Addition'!$N915="SLM",($AF915-'FA Addition'!$M915)*'FA Addition'!$P915*AH915/365,IFERROR(VDB(AF915,AF915*0.05,'FA Addition'!$O915,0,YEARFRAC('FA Addition'!$C915,$L$1,3),'FA Addition'!$Q915),FAAddition[[#This Row],[Original Cost (Rs)]]-FAAddition[[#This Row],[Salvage Value]])),0),0)</f>
        <v>32282.301369863013</v>
      </c>
      <c r="AO915" s="117">
        <f t="shared" si="73"/>
        <v>32282.301369863013</v>
      </c>
      <c r="AQ915" s="117">
        <f t="shared" si="71"/>
        <v>0</v>
      </c>
      <c r="AR915" s="120">
        <f t="shared" si="72"/>
        <v>783717.69863013702</v>
      </c>
      <c r="AS915" s="121"/>
    </row>
    <row r="916" spans="1:45" ht="13.5" x14ac:dyDescent="0.4">
      <c r="A916" s="12">
        <f t="shared" si="74"/>
        <v>913</v>
      </c>
      <c r="B916" s="64" t="s">
        <v>1308</v>
      </c>
      <c r="C916" s="54">
        <v>45309</v>
      </c>
      <c r="D916" s="54">
        <v>45309</v>
      </c>
      <c r="E916" s="46" t="s">
        <v>1320</v>
      </c>
      <c r="F916" s="51" t="s">
        <v>33</v>
      </c>
      <c r="G916" s="51" t="s">
        <v>36</v>
      </c>
      <c r="H916" s="51" t="s">
        <v>32</v>
      </c>
      <c r="I916" s="55" t="s">
        <v>1690</v>
      </c>
      <c r="J916" s="56">
        <v>600</v>
      </c>
      <c r="K916" s="51" t="s">
        <v>296</v>
      </c>
      <c r="L916" s="58">
        <v>1020000</v>
      </c>
      <c r="M916" s="50">
        <f>ROUND('FA Addition'!$L916*5%,0.1)</f>
        <v>51000</v>
      </c>
      <c r="N916" s="113" t="str">
        <f>_xlfn.XLOOKUP(_xlfn.CONCAT(E916,B916),'Year Wise Master Dep Approach'!F:F,'Year Wise Master Dep Approach'!D:D)</f>
        <v>SLM</v>
      </c>
      <c r="O916" s="113">
        <f>_xlfn.XLOOKUP(_xlfn.CONCAT(E916,B916),'Year Wise Master Dep Approach'!F:F,'Year Wise Master Dep Approach'!E:E)</f>
        <v>5</v>
      </c>
      <c r="P916" s="114">
        <f>IFERROR(IF('FA Addition'!$N916="WDV",1-('FA Addition'!$M916/'FA Addition'!$L916)^(1/'FA Addition'!$O916),1/'FA Addition'!$O916),0)</f>
        <v>0.2</v>
      </c>
      <c r="Q916" s="122">
        <f>'FA Addition'!$P916*'FA Addition'!$O916</f>
        <v>1</v>
      </c>
      <c r="R916" s="122"/>
      <c r="S916" s="116">
        <f>IF(AND(DATE(20&amp;LEFT(FAAddition[[#This Row],[FY]],2),4,1)&lt;$L$1+1,DATE(20&amp;LEFT(FAAddition[[#This Row],[FY]],2),4,1)&gt;$P$1-1),'FA Addition'!$J916,0)</f>
        <v>600</v>
      </c>
      <c r="U916" s="117">
        <f>S916*'FA Addition'!$L916/'FA Addition'!$J916</f>
        <v>1020000</v>
      </c>
      <c r="W916" s="116">
        <f>SUMIFS('FA Write off'!D:D,'FA Write off'!A:A,'FA Addition'!$A916,'FA Write off'!C:C,"&lt;"&amp;'FA Addition'!$P$1)</f>
        <v>0</v>
      </c>
      <c r="Y916" s="191">
        <f>IFERROR(W916/'FA Addition'!$J916*'FA Addition'!$L916,0)</f>
        <v>0</v>
      </c>
      <c r="AA916" s="116">
        <f>SUMIFS('FA Write off'!D:D,'FA Write off'!A:A,'FA Addition'!$A916,'FA Write off'!C:C,"&lt;"&amp;'FA Addition'!$L$1+1,'FA Write off'!C:C,"&gt;"&amp;'FA Addition'!$L$1-365)</f>
        <v>0</v>
      </c>
      <c r="AC916" s="118">
        <f>IFERROR(AA916/'FA Addition'!$J916*'FA Addition'!$L916,0)</f>
        <v>0</v>
      </c>
      <c r="AE916" s="117">
        <f>IF(AND('FA Addition'!$D916&lt;$P$1+1,U916=0),'FA Addition'!$L916,0)-Y916</f>
        <v>0</v>
      </c>
      <c r="AF916" s="117">
        <f t="shared" si="70"/>
        <v>1020000</v>
      </c>
      <c r="AG916" s="117">
        <f>MIN(MAX(+$P$1-'FA Addition'!$D916,0),365*'FA Addition'!$O916)</f>
        <v>0</v>
      </c>
      <c r="AH916" s="117">
        <f>MIN(MAX($L$1-'FA Addition'!$D916+1,0),365*'FA Addition'!$O916)</f>
        <v>74</v>
      </c>
      <c r="AI916" s="117" cm="1">
        <f t="array" ref="AI916">_xlfn.XLOOKUP(1,('FA Write off'!A:A='FA Addition'!$A916)*('FA Write off'!D:D=AA916),'FA Write off'!H:H,0,0)</f>
        <v>0</v>
      </c>
      <c r="AJ916" s="117">
        <f>IF(AC916&gt;0,MAX(IF('FA Addition'!$N916="SLM",($AC916-'FA Addition'!$M916)*'FA Addition'!$P916*AI916/365,(AC916-'FA Addition'!$M916)*(1-(1-'FA Addition'!$P916)^(AI916/365))),0),0)</f>
        <v>0</v>
      </c>
      <c r="AL916" s="117">
        <f>MAX(IF(AG916&gt;0,IF('FA Addition'!$N916="SLM",($AE916-'FA Addition'!$M916)*'FA Addition'!$P916*AG916/365,IFERROR(VDB(AE916,AE916*0.05,'FA Addition'!$O916,0,YEARFRAC('FA Addition'!$C916,$P$1-1,3),'FA Addition'!$Q916),FAAddition[[#This Row],[Original Cost (Rs)]]-FAAddition[[#This Row],[Salvage Value]])),0),0)</f>
        <v>0</v>
      </c>
      <c r="AM916" s="119"/>
      <c r="AN916" s="117">
        <f>MAX(IF(AH916&gt;0,IF('FA Addition'!$N916="SLM",($AF916-'FA Addition'!$M916)*'FA Addition'!$P916*AH916/365,IFERROR(VDB(AF916,AF916*0.05,'FA Addition'!$O916,0,YEARFRAC('FA Addition'!$C916,$L$1,3),'FA Addition'!$Q916),FAAddition[[#This Row],[Original Cost (Rs)]]-FAAddition[[#This Row],[Salvage Value]])),0),0)</f>
        <v>39290.95890410959</v>
      </c>
      <c r="AO916" s="117">
        <f t="shared" si="73"/>
        <v>39290.95890410959</v>
      </c>
      <c r="AQ916" s="117">
        <f t="shared" si="71"/>
        <v>0</v>
      </c>
      <c r="AR916" s="120">
        <f t="shared" si="72"/>
        <v>980709.04109589045</v>
      </c>
      <c r="AS916" s="121"/>
    </row>
    <row r="917" spans="1:45" ht="13.5" x14ac:dyDescent="0.4">
      <c r="A917" s="12">
        <f t="shared" si="74"/>
        <v>914</v>
      </c>
      <c r="B917" s="64" t="s">
        <v>1308</v>
      </c>
      <c r="C917" s="54">
        <v>45311</v>
      </c>
      <c r="D917" s="54">
        <v>45311</v>
      </c>
      <c r="E917" s="46" t="s">
        <v>1389</v>
      </c>
      <c r="F917" s="51" t="s">
        <v>1112</v>
      </c>
      <c r="G917" s="51" t="s">
        <v>36</v>
      </c>
      <c r="H917" s="51" t="s">
        <v>1113</v>
      </c>
      <c r="I917" s="55" t="s">
        <v>1691</v>
      </c>
      <c r="J917" s="56">
        <v>1140</v>
      </c>
      <c r="K917" s="51" t="s">
        <v>1132</v>
      </c>
      <c r="L917" s="58">
        <v>798000</v>
      </c>
      <c r="M917" s="50">
        <f>ROUND('FA Addition'!$L917*5%,0.1)</f>
        <v>39900</v>
      </c>
      <c r="N917" s="113" t="str">
        <f>_xlfn.XLOOKUP(_xlfn.CONCAT(E917,B917),'Year Wise Master Dep Approach'!F:F,'Year Wise Master Dep Approach'!D:D)</f>
        <v>SLM</v>
      </c>
      <c r="O917" s="113">
        <f>_xlfn.XLOOKUP(_xlfn.CONCAT(E917,B917),'Year Wise Master Dep Approach'!F:F,'Year Wise Master Dep Approach'!E:E)</f>
        <v>3</v>
      </c>
      <c r="P917" s="114">
        <f>IFERROR(IF('FA Addition'!$N917="WDV",1-('FA Addition'!$M917/'FA Addition'!$L917)^(1/'FA Addition'!$O917),1/'FA Addition'!$O917),0)</f>
        <v>0.33333333333333331</v>
      </c>
      <c r="Q917" s="122">
        <f>'FA Addition'!$P917*'FA Addition'!$O917</f>
        <v>1</v>
      </c>
      <c r="R917" s="122"/>
      <c r="S917" s="116">
        <f>IF(AND(DATE(20&amp;LEFT(FAAddition[[#This Row],[FY]],2),4,1)&lt;$L$1+1,DATE(20&amp;LEFT(FAAddition[[#This Row],[FY]],2),4,1)&gt;$P$1-1),'FA Addition'!$J917,0)</f>
        <v>1140</v>
      </c>
      <c r="U917" s="117">
        <f>S917*'FA Addition'!$L917/'FA Addition'!$J917</f>
        <v>798000</v>
      </c>
      <c r="W917" s="116">
        <f>SUMIFS('FA Write off'!D:D,'FA Write off'!A:A,'FA Addition'!$A917,'FA Write off'!C:C,"&lt;"&amp;'FA Addition'!$P$1)</f>
        <v>0</v>
      </c>
      <c r="Y917" s="191">
        <f>IFERROR(W917/'FA Addition'!$J917*'FA Addition'!$L917,0)</f>
        <v>0</v>
      </c>
      <c r="AA917" s="116">
        <f>SUMIFS('FA Write off'!D:D,'FA Write off'!A:A,'FA Addition'!$A917,'FA Write off'!C:C,"&lt;"&amp;'FA Addition'!$L$1+1,'FA Write off'!C:C,"&gt;"&amp;'FA Addition'!$L$1-365)</f>
        <v>0</v>
      </c>
      <c r="AC917" s="118">
        <f>IFERROR(AA917/'FA Addition'!$J917*'FA Addition'!$L917,0)</f>
        <v>0</v>
      </c>
      <c r="AE917" s="117">
        <f>IF(AND('FA Addition'!$D917&lt;$P$1+1,U917=0),'FA Addition'!$L917,0)-Y917</f>
        <v>0</v>
      </c>
      <c r="AF917" s="117">
        <f t="shared" si="70"/>
        <v>798000</v>
      </c>
      <c r="AG917" s="117">
        <f>MIN(MAX(+$P$1-'FA Addition'!$D917,0),365*'FA Addition'!$O917)</f>
        <v>0</v>
      </c>
      <c r="AH917" s="117">
        <f>MIN(MAX($L$1-'FA Addition'!$D917+1,0),365*'FA Addition'!$O917)</f>
        <v>72</v>
      </c>
      <c r="AI917" s="117" cm="1">
        <f t="array" ref="AI917">_xlfn.XLOOKUP(1,('FA Write off'!A:A='FA Addition'!$A917)*('FA Write off'!D:D=AA917),'FA Write off'!H:H,0,0)</f>
        <v>0</v>
      </c>
      <c r="AJ917" s="117">
        <f>IF(AC917&gt;0,MAX(IF('FA Addition'!$N917="SLM",($AC917-'FA Addition'!$M917)*'FA Addition'!$P917*AI917/365,(AC917-'FA Addition'!$M917)*(1-(1-'FA Addition'!$P917)^(AI917/365))),0),0)</f>
        <v>0</v>
      </c>
      <c r="AL917" s="117">
        <f>MAX(IF(AG917&gt;0,IF('FA Addition'!$N917="SLM",($AE917-'FA Addition'!$M917)*'FA Addition'!$P917*AG917/365,IFERROR(VDB(AE917,AE917*0.05,'FA Addition'!$O917,0,YEARFRAC('FA Addition'!$C917,$P$1-1,3),'FA Addition'!$Q917),FAAddition[[#This Row],[Original Cost (Rs)]]-FAAddition[[#This Row],[Salvage Value]])),0),0)</f>
        <v>0</v>
      </c>
      <c r="AM917" s="119"/>
      <c r="AN917" s="117">
        <f>MAX(IF(AH917&gt;0,IF('FA Addition'!$N917="SLM",($AF917-'FA Addition'!$M917)*'FA Addition'!$P917*AH917/365,IFERROR(VDB(AF917,AF917*0.05,'FA Addition'!$O917,0,YEARFRAC('FA Addition'!$C917,$L$1,3),'FA Addition'!$Q917),FAAddition[[#This Row],[Original Cost (Rs)]]-FAAddition[[#This Row],[Salvage Value]])),0),0)</f>
        <v>49847.67123287671</v>
      </c>
      <c r="AO917" s="117">
        <f t="shared" si="73"/>
        <v>49847.67123287671</v>
      </c>
      <c r="AQ917" s="117">
        <f t="shared" si="71"/>
        <v>0</v>
      </c>
      <c r="AR917" s="120">
        <f t="shared" si="72"/>
        <v>748152.32876712328</v>
      </c>
      <c r="AS917" s="121"/>
    </row>
    <row r="918" spans="1:45" ht="13.5" x14ac:dyDescent="0.4">
      <c r="A918" s="12">
        <f t="shared" si="74"/>
        <v>915</v>
      </c>
      <c r="B918" s="64" t="s">
        <v>1308</v>
      </c>
      <c r="C918" s="54">
        <v>45313</v>
      </c>
      <c r="D918" s="54">
        <v>45313</v>
      </c>
      <c r="E918" s="46" t="s">
        <v>1320</v>
      </c>
      <c r="F918" s="51" t="s">
        <v>33</v>
      </c>
      <c r="G918" s="51" t="s">
        <v>36</v>
      </c>
      <c r="H918" s="51" t="s">
        <v>32</v>
      </c>
      <c r="I918" s="55" t="s">
        <v>1692</v>
      </c>
      <c r="J918" s="56">
        <v>500</v>
      </c>
      <c r="K918" s="51" t="s">
        <v>296</v>
      </c>
      <c r="L918" s="58">
        <v>850000</v>
      </c>
      <c r="M918" s="50">
        <f>ROUND('FA Addition'!$L918*5%,0.1)</f>
        <v>42500</v>
      </c>
      <c r="N918" s="113" t="str">
        <f>_xlfn.XLOOKUP(_xlfn.CONCAT(E918,B918),'Year Wise Master Dep Approach'!F:F,'Year Wise Master Dep Approach'!D:D)</f>
        <v>SLM</v>
      </c>
      <c r="O918" s="113">
        <f>_xlfn.XLOOKUP(_xlfn.CONCAT(E918,B918),'Year Wise Master Dep Approach'!F:F,'Year Wise Master Dep Approach'!E:E)</f>
        <v>5</v>
      </c>
      <c r="P918" s="114">
        <f>IFERROR(IF('FA Addition'!$N918="WDV",1-('FA Addition'!$M918/'FA Addition'!$L918)^(1/'FA Addition'!$O918),1/'FA Addition'!$O918),0)</f>
        <v>0.2</v>
      </c>
      <c r="Q918" s="122">
        <f>'FA Addition'!$P918*'FA Addition'!$O918</f>
        <v>1</v>
      </c>
      <c r="R918" s="122"/>
      <c r="S918" s="116">
        <f>IF(AND(DATE(20&amp;LEFT(FAAddition[[#This Row],[FY]],2),4,1)&lt;$L$1+1,DATE(20&amp;LEFT(FAAddition[[#This Row],[FY]],2),4,1)&gt;$P$1-1),'FA Addition'!$J918,0)</f>
        <v>500</v>
      </c>
      <c r="U918" s="117">
        <f>S918*'FA Addition'!$L918/'FA Addition'!$J918</f>
        <v>850000</v>
      </c>
      <c r="W918" s="116">
        <f>SUMIFS('FA Write off'!D:D,'FA Write off'!A:A,'FA Addition'!$A918,'FA Write off'!C:C,"&lt;"&amp;'FA Addition'!$P$1)</f>
        <v>0</v>
      </c>
      <c r="Y918" s="191">
        <f>IFERROR(W918/'FA Addition'!$J918*'FA Addition'!$L918,0)</f>
        <v>0</v>
      </c>
      <c r="AA918" s="116">
        <f>SUMIFS('FA Write off'!D:D,'FA Write off'!A:A,'FA Addition'!$A918,'FA Write off'!C:C,"&lt;"&amp;'FA Addition'!$L$1+1,'FA Write off'!C:C,"&gt;"&amp;'FA Addition'!$L$1-365)</f>
        <v>0</v>
      </c>
      <c r="AC918" s="118">
        <f>IFERROR(AA918/'FA Addition'!$J918*'FA Addition'!$L918,0)</f>
        <v>0</v>
      </c>
      <c r="AE918" s="117">
        <f>IF(AND('FA Addition'!$D918&lt;$P$1+1,U918=0),'FA Addition'!$L918,0)-Y918</f>
        <v>0</v>
      </c>
      <c r="AF918" s="117">
        <f t="shared" si="70"/>
        <v>850000</v>
      </c>
      <c r="AG918" s="117">
        <f>MIN(MAX(+$P$1-'FA Addition'!$D918,0),365*'FA Addition'!$O918)</f>
        <v>0</v>
      </c>
      <c r="AH918" s="117">
        <f>MIN(MAX($L$1-'FA Addition'!$D918+1,0),365*'FA Addition'!$O918)</f>
        <v>70</v>
      </c>
      <c r="AI918" s="117" cm="1">
        <f t="array" ref="AI918">_xlfn.XLOOKUP(1,('FA Write off'!A:A='FA Addition'!$A918)*('FA Write off'!D:D=AA918),'FA Write off'!H:H,0,0)</f>
        <v>0</v>
      </c>
      <c r="AJ918" s="117">
        <f>IF(AC918&gt;0,MAX(IF('FA Addition'!$N918="SLM",($AC918-'FA Addition'!$M918)*'FA Addition'!$P918*AI918/365,(AC918-'FA Addition'!$M918)*(1-(1-'FA Addition'!$P918)^(AI918/365))),0),0)</f>
        <v>0</v>
      </c>
      <c r="AL918" s="117">
        <f>MAX(IF(AG918&gt;0,IF('FA Addition'!$N918="SLM",($AE918-'FA Addition'!$M918)*'FA Addition'!$P918*AG918/365,IFERROR(VDB(AE918,AE918*0.05,'FA Addition'!$O918,0,YEARFRAC('FA Addition'!$C918,$P$1-1,3),'FA Addition'!$Q918),FAAddition[[#This Row],[Original Cost (Rs)]]-FAAddition[[#This Row],[Salvage Value]])),0),0)</f>
        <v>0</v>
      </c>
      <c r="AM918" s="119"/>
      <c r="AN918" s="117">
        <f>MAX(IF(AH918&gt;0,IF('FA Addition'!$N918="SLM",($AF918-'FA Addition'!$M918)*'FA Addition'!$P918*AH918/365,IFERROR(VDB(AF918,AF918*0.05,'FA Addition'!$O918,0,YEARFRAC('FA Addition'!$C918,$L$1,3),'FA Addition'!$Q918),FAAddition[[#This Row],[Original Cost (Rs)]]-FAAddition[[#This Row],[Salvage Value]])),0),0)</f>
        <v>30972.602739726026</v>
      </c>
      <c r="AO918" s="117">
        <f t="shared" si="73"/>
        <v>30972.602739726026</v>
      </c>
      <c r="AQ918" s="117">
        <f t="shared" si="71"/>
        <v>0</v>
      </c>
      <c r="AR918" s="120">
        <f t="shared" si="72"/>
        <v>819027.39726027392</v>
      </c>
      <c r="AS918" s="121"/>
    </row>
    <row r="919" spans="1:45" ht="13.5" x14ac:dyDescent="0.4">
      <c r="A919" s="12">
        <f t="shared" si="74"/>
        <v>916</v>
      </c>
      <c r="B919" s="64" t="s">
        <v>1308</v>
      </c>
      <c r="C919" s="54">
        <v>45313</v>
      </c>
      <c r="D919" s="54">
        <v>45313</v>
      </c>
      <c r="E919" s="46" t="s">
        <v>451</v>
      </c>
      <c r="F919" s="51" t="s">
        <v>19</v>
      </c>
      <c r="G919" s="51" t="s">
        <v>1239</v>
      </c>
      <c r="H919" s="51" t="s">
        <v>21</v>
      </c>
      <c r="I919" s="55" t="s">
        <v>1693</v>
      </c>
      <c r="J919" s="56">
        <v>1</v>
      </c>
      <c r="K919" s="51" t="s">
        <v>1694</v>
      </c>
      <c r="L919" s="58">
        <v>31347.46</v>
      </c>
      <c r="M919" s="50">
        <f>ROUND('FA Addition'!$L919*5%,0.1)</f>
        <v>1567</v>
      </c>
      <c r="N919" s="113" t="str">
        <f>_xlfn.XLOOKUP(_xlfn.CONCAT(E919,B919),'Year Wise Master Dep Approach'!F:F,'Year Wise Master Dep Approach'!D:D)</f>
        <v>WDV</v>
      </c>
      <c r="O919" s="113">
        <f>_xlfn.XLOOKUP(_xlfn.CONCAT(E919,B919),'Year Wise Master Dep Approach'!F:F,'Year Wise Master Dep Approach'!E:E)</f>
        <v>3</v>
      </c>
      <c r="P919" s="114">
        <f>IFERROR(IF('FA Addition'!$N919="WDV",1-('FA Addition'!$M919/'FA Addition'!$L919)^(1/'FA Addition'!$O919),1/'FA Addition'!$O919),0)</f>
        <v>0.63162607637988777</v>
      </c>
      <c r="Q919" s="122">
        <f>'FA Addition'!$P919*'FA Addition'!$O919</f>
        <v>1.8948782291396633</v>
      </c>
      <c r="R919" s="122"/>
      <c r="S919" s="116">
        <f>IF(AND(DATE(20&amp;LEFT(FAAddition[[#This Row],[FY]],2),4,1)&lt;$L$1+1,DATE(20&amp;LEFT(FAAddition[[#This Row],[FY]],2),4,1)&gt;$P$1-1),'FA Addition'!$J919,0)</f>
        <v>1</v>
      </c>
      <c r="U919" s="117">
        <f>S919*'FA Addition'!$L919/'FA Addition'!$J919</f>
        <v>31347.46</v>
      </c>
      <c r="W919" s="116">
        <f>SUMIFS('FA Write off'!D:D,'FA Write off'!A:A,'FA Addition'!$A919,'FA Write off'!C:C,"&lt;"&amp;'FA Addition'!$P$1)</f>
        <v>0</v>
      </c>
      <c r="Y919" s="191">
        <f>IFERROR(W919/'FA Addition'!$J919*'FA Addition'!$L919,0)</f>
        <v>0</v>
      </c>
      <c r="AA919" s="116">
        <f>SUMIFS('FA Write off'!D:D,'FA Write off'!A:A,'FA Addition'!$A919,'FA Write off'!C:C,"&lt;"&amp;'FA Addition'!$L$1+1,'FA Write off'!C:C,"&gt;"&amp;'FA Addition'!$L$1-365)</f>
        <v>0</v>
      </c>
      <c r="AC919" s="118">
        <f>IFERROR(AA919/'FA Addition'!$J919*'FA Addition'!$L919,0)</f>
        <v>0</v>
      </c>
      <c r="AE919" s="117">
        <f>IF(AND('FA Addition'!$D919&lt;$P$1+1,U919=0),'FA Addition'!$L919,0)-Y919</f>
        <v>0</v>
      </c>
      <c r="AF919" s="117">
        <f t="shared" si="70"/>
        <v>31347.46</v>
      </c>
      <c r="AG919" s="117">
        <f>MIN(MAX(+$P$1-'FA Addition'!$D919,0),365*'FA Addition'!$O919)</f>
        <v>0</v>
      </c>
      <c r="AH919" s="117">
        <f>MIN(MAX($L$1-'FA Addition'!$D919+1,0),365*'FA Addition'!$O919)</f>
        <v>70</v>
      </c>
      <c r="AI919" s="117" cm="1">
        <f t="array" ref="AI919">_xlfn.XLOOKUP(1,('FA Write off'!A:A='FA Addition'!$A919)*('FA Write off'!D:D=AA919),'FA Write off'!H:H,0,0)</f>
        <v>0</v>
      </c>
      <c r="AJ919" s="117">
        <f>IF(AC919&gt;0,MAX(IF('FA Addition'!$N919="SLM",($AC919-'FA Addition'!$M919)*'FA Addition'!$P919*AI919/365,(AC919-'FA Addition'!$M919)*(1-(1-'FA Addition'!$P919)^(AI919/365))),0),0)</f>
        <v>0</v>
      </c>
      <c r="AL919" s="117">
        <f>MAX(IF(AG919&gt;0,IF('FA Addition'!$N919="SLM",($AE919-'FA Addition'!$M919)*'FA Addition'!$P919*AG919/365,IFERROR(VDB(AE919,AE919*0.05,'FA Addition'!$O919,0,YEARFRAC('FA Addition'!$C919,$P$1-1,3),'FA Addition'!$Q919),FAAddition[[#This Row],[Original Cost (Rs)]]-FAAddition[[#This Row],[Salvage Value]])),0),0)</f>
        <v>0</v>
      </c>
      <c r="AM919" s="119"/>
      <c r="AN919" s="117">
        <f>MAX(IF(AH919&gt;0,IF('FA Addition'!$N919="SLM",($AF919-'FA Addition'!$M919)*'FA Addition'!$P919*AH919/365,IFERROR(VDB(AF919,AF919*0.05,'FA Addition'!$O919,0,YEARFRAC('FA Addition'!$C919,$L$1,3),'FA Addition'!$Q919),FAAddition[[#This Row],[Original Cost (Rs)]]-FAAddition[[#This Row],[Salvage Value]])),0),0)</f>
        <v>3742.9897214657749</v>
      </c>
      <c r="AO919" s="117">
        <f t="shared" si="73"/>
        <v>3742.9897214657749</v>
      </c>
      <c r="AQ919" s="117">
        <f t="shared" si="71"/>
        <v>0</v>
      </c>
      <c r="AR919" s="120">
        <f t="shared" si="72"/>
        <v>27604.470278534223</v>
      </c>
      <c r="AS919" s="121"/>
    </row>
    <row r="920" spans="1:45" ht="13.5" x14ac:dyDescent="0.4">
      <c r="A920" s="12">
        <f t="shared" si="74"/>
        <v>917</v>
      </c>
      <c r="B920" s="64" t="s">
        <v>1308</v>
      </c>
      <c r="C920" s="54">
        <v>45313</v>
      </c>
      <c r="D920" s="54">
        <v>45313</v>
      </c>
      <c r="E920" s="46" t="s">
        <v>451</v>
      </c>
      <c r="F920" s="51" t="s">
        <v>19</v>
      </c>
      <c r="G920" s="51" t="s">
        <v>1239</v>
      </c>
      <c r="H920" s="51" t="s">
        <v>21</v>
      </c>
      <c r="I920" s="55" t="s">
        <v>1693</v>
      </c>
      <c r="J920" s="56">
        <v>1</v>
      </c>
      <c r="K920" s="51" t="s">
        <v>1694</v>
      </c>
      <c r="L920" s="58">
        <v>31347.46</v>
      </c>
      <c r="M920" s="50">
        <f>ROUND('FA Addition'!$L920*5%,0.1)</f>
        <v>1567</v>
      </c>
      <c r="N920" s="113" t="str">
        <f>_xlfn.XLOOKUP(_xlfn.CONCAT(E920,B920),'Year Wise Master Dep Approach'!F:F,'Year Wise Master Dep Approach'!D:D)</f>
        <v>WDV</v>
      </c>
      <c r="O920" s="113">
        <f>_xlfn.XLOOKUP(_xlfn.CONCAT(E920,B920),'Year Wise Master Dep Approach'!F:F,'Year Wise Master Dep Approach'!E:E)</f>
        <v>3</v>
      </c>
      <c r="P920" s="114">
        <f>IFERROR(IF('FA Addition'!$N920="WDV",1-('FA Addition'!$M920/'FA Addition'!$L920)^(1/'FA Addition'!$O920),1/'FA Addition'!$O920),0)</f>
        <v>0.63162607637988777</v>
      </c>
      <c r="Q920" s="122">
        <f>'FA Addition'!$P920*'FA Addition'!$O920</f>
        <v>1.8948782291396633</v>
      </c>
      <c r="R920" s="122"/>
      <c r="S920" s="116">
        <f>IF(AND(DATE(20&amp;LEFT(FAAddition[[#This Row],[FY]],2),4,1)&lt;$L$1+1,DATE(20&amp;LEFT(FAAddition[[#This Row],[FY]],2),4,1)&gt;$P$1-1),'FA Addition'!$J920,0)</f>
        <v>1</v>
      </c>
      <c r="U920" s="117">
        <f>S920*'FA Addition'!$L920/'FA Addition'!$J920</f>
        <v>31347.46</v>
      </c>
      <c r="W920" s="116">
        <f>SUMIFS('FA Write off'!D:D,'FA Write off'!A:A,'FA Addition'!$A920,'FA Write off'!C:C,"&lt;"&amp;'FA Addition'!$P$1)</f>
        <v>0</v>
      </c>
      <c r="Y920" s="191">
        <f>IFERROR(W920/'FA Addition'!$J920*'FA Addition'!$L920,0)</f>
        <v>0</v>
      </c>
      <c r="AA920" s="116">
        <f>SUMIFS('FA Write off'!D:D,'FA Write off'!A:A,'FA Addition'!$A920,'FA Write off'!C:C,"&lt;"&amp;'FA Addition'!$L$1+1,'FA Write off'!C:C,"&gt;"&amp;'FA Addition'!$L$1-365)</f>
        <v>0</v>
      </c>
      <c r="AC920" s="118">
        <f>IFERROR(AA920/'FA Addition'!$J920*'FA Addition'!$L920,0)</f>
        <v>0</v>
      </c>
      <c r="AE920" s="117">
        <f>IF(AND('FA Addition'!$D920&lt;$P$1+1,U920=0),'FA Addition'!$L920,0)-Y920</f>
        <v>0</v>
      </c>
      <c r="AF920" s="117">
        <f t="shared" si="70"/>
        <v>31347.46</v>
      </c>
      <c r="AG920" s="117">
        <f>MIN(MAX(+$P$1-'FA Addition'!$D920,0),365*'FA Addition'!$O920)</f>
        <v>0</v>
      </c>
      <c r="AH920" s="117">
        <f>MIN(MAX($L$1-'FA Addition'!$D920+1,0),365*'FA Addition'!$O920)</f>
        <v>70</v>
      </c>
      <c r="AI920" s="117" cm="1">
        <f t="array" ref="AI920">_xlfn.XLOOKUP(1,('FA Write off'!A:A='FA Addition'!$A920)*('FA Write off'!D:D=AA920),'FA Write off'!H:H,0,0)</f>
        <v>0</v>
      </c>
      <c r="AJ920" s="117">
        <f>IF(AC920&gt;0,MAX(IF('FA Addition'!$N920="SLM",($AC920-'FA Addition'!$M920)*'FA Addition'!$P920*AI920/365,(AC920-'FA Addition'!$M920)*(1-(1-'FA Addition'!$P920)^(AI920/365))),0),0)</f>
        <v>0</v>
      </c>
      <c r="AL920" s="117">
        <f>MAX(IF(AG920&gt;0,IF('FA Addition'!$N920="SLM",($AE920-'FA Addition'!$M920)*'FA Addition'!$P920*AG920/365,IFERROR(VDB(AE920,AE920*0.05,'FA Addition'!$O920,0,YEARFRAC('FA Addition'!$C920,$P$1-1,3),'FA Addition'!$Q920),FAAddition[[#This Row],[Original Cost (Rs)]]-FAAddition[[#This Row],[Salvage Value]])),0),0)</f>
        <v>0</v>
      </c>
      <c r="AM920" s="119"/>
      <c r="AN920" s="117">
        <f>MAX(IF(AH920&gt;0,IF('FA Addition'!$N920="SLM",($AF920-'FA Addition'!$M920)*'FA Addition'!$P920*AH920/365,IFERROR(VDB(AF920,AF920*0.05,'FA Addition'!$O920,0,YEARFRAC('FA Addition'!$C920,$L$1,3),'FA Addition'!$Q920),FAAddition[[#This Row],[Original Cost (Rs)]]-FAAddition[[#This Row],[Salvage Value]])),0),0)</f>
        <v>3742.9897214657749</v>
      </c>
      <c r="AO920" s="117">
        <f t="shared" si="73"/>
        <v>3742.9897214657749</v>
      </c>
      <c r="AQ920" s="117">
        <f t="shared" si="71"/>
        <v>0</v>
      </c>
      <c r="AR920" s="120">
        <f t="shared" si="72"/>
        <v>27604.470278534223</v>
      </c>
      <c r="AS920" s="121"/>
    </row>
    <row r="921" spans="1:45" ht="13.5" x14ac:dyDescent="0.4">
      <c r="A921" s="12">
        <f t="shared" si="74"/>
        <v>918</v>
      </c>
      <c r="B921" s="64" t="s">
        <v>1308</v>
      </c>
      <c r="C921" s="54">
        <v>45313</v>
      </c>
      <c r="D921" s="54">
        <v>45313</v>
      </c>
      <c r="E921" s="46" t="s">
        <v>451</v>
      </c>
      <c r="F921" s="51" t="s">
        <v>19</v>
      </c>
      <c r="G921" s="51" t="s">
        <v>1239</v>
      </c>
      <c r="H921" s="51" t="s">
        <v>21</v>
      </c>
      <c r="I921" s="55" t="s">
        <v>1693</v>
      </c>
      <c r="J921" s="56">
        <v>1</v>
      </c>
      <c r="K921" s="51" t="s">
        <v>1694</v>
      </c>
      <c r="L921" s="58">
        <v>31347.46</v>
      </c>
      <c r="M921" s="50">
        <f>ROUND('FA Addition'!$L921*5%,0.1)</f>
        <v>1567</v>
      </c>
      <c r="N921" s="113" t="str">
        <f>_xlfn.XLOOKUP(_xlfn.CONCAT(E921,B921),'Year Wise Master Dep Approach'!F:F,'Year Wise Master Dep Approach'!D:D)</f>
        <v>WDV</v>
      </c>
      <c r="O921" s="113">
        <f>_xlfn.XLOOKUP(_xlfn.CONCAT(E921,B921),'Year Wise Master Dep Approach'!F:F,'Year Wise Master Dep Approach'!E:E)</f>
        <v>3</v>
      </c>
      <c r="P921" s="114">
        <f>IFERROR(IF('FA Addition'!$N921="WDV",1-('FA Addition'!$M921/'FA Addition'!$L921)^(1/'FA Addition'!$O921),1/'FA Addition'!$O921),0)</f>
        <v>0.63162607637988777</v>
      </c>
      <c r="Q921" s="122">
        <f>'FA Addition'!$P921*'FA Addition'!$O921</f>
        <v>1.8948782291396633</v>
      </c>
      <c r="R921" s="122"/>
      <c r="S921" s="116">
        <f>IF(AND(DATE(20&amp;LEFT(FAAddition[[#This Row],[FY]],2),4,1)&lt;$L$1+1,DATE(20&amp;LEFT(FAAddition[[#This Row],[FY]],2),4,1)&gt;$P$1-1),'FA Addition'!$J921,0)</f>
        <v>1</v>
      </c>
      <c r="U921" s="117">
        <f>S921*'FA Addition'!$L921/'FA Addition'!$J921</f>
        <v>31347.46</v>
      </c>
      <c r="W921" s="116">
        <f>SUMIFS('FA Write off'!D:D,'FA Write off'!A:A,'FA Addition'!$A921,'FA Write off'!C:C,"&lt;"&amp;'FA Addition'!$P$1)</f>
        <v>0</v>
      </c>
      <c r="Y921" s="191">
        <f>IFERROR(W921/'FA Addition'!$J921*'FA Addition'!$L921,0)</f>
        <v>0</v>
      </c>
      <c r="AA921" s="116">
        <f>SUMIFS('FA Write off'!D:D,'FA Write off'!A:A,'FA Addition'!$A921,'FA Write off'!C:C,"&lt;"&amp;'FA Addition'!$L$1+1,'FA Write off'!C:C,"&gt;"&amp;'FA Addition'!$L$1-365)</f>
        <v>0</v>
      </c>
      <c r="AC921" s="118">
        <f>IFERROR(AA921/'FA Addition'!$J921*'FA Addition'!$L921,0)</f>
        <v>0</v>
      </c>
      <c r="AE921" s="117">
        <f>IF(AND('FA Addition'!$D921&lt;$P$1+1,U921=0),'FA Addition'!$L921,0)-Y921</f>
        <v>0</v>
      </c>
      <c r="AF921" s="117">
        <f t="shared" si="70"/>
        <v>31347.46</v>
      </c>
      <c r="AG921" s="117">
        <f>MIN(MAX(+$P$1-'FA Addition'!$D921,0),365*'FA Addition'!$O921)</f>
        <v>0</v>
      </c>
      <c r="AH921" s="117">
        <f>MIN(MAX($L$1-'FA Addition'!$D921+1,0),365*'FA Addition'!$O921)</f>
        <v>70</v>
      </c>
      <c r="AI921" s="117" cm="1">
        <f t="array" ref="AI921">_xlfn.XLOOKUP(1,('FA Write off'!A:A='FA Addition'!$A921)*('FA Write off'!D:D=AA921),'FA Write off'!H:H,0,0)</f>
        <v>0</v>
      </c>
      <c r="AJ921" s="117">
        <f>IF(AC921&gt;0,MAX(IF('FA Addition'!$N921="SLM",($AC921-'FA Addition'!$M921)*'FA Addition'!$P921*AI921/365,(AC921-'FA Addition'!$M921)*(1-(1-'FA Addition'!$P921)^(AI921/365))),0),0)</f>
        <v>0</v>
      </c>
      <c r="AL921" s="117">
        <f>MAX(IF(AG921&gt;0,IF('FA Addition'!$N921="SLM",($AE921-'FA Addition'!$M921)*'FA Addition'!$P921*AG921/365,IFERROR(VDB(AE921,AE921*0.05,'FA Addition'!$O921,0,YEARFRAC('FA Addition'!$C921,$P$1-1,3),'FA Addition'!$Q921),FAAddition[[#This Row],[Original Cost (Rs)]]-FAAddition[[#This Row],[Salvage Value]])),0),0)</f>
        <v>0</v>
      </c>
      <c r="AM921" s="119"/>
      <c r="AN921" s="117">
        <f>MAX(IF(AH921&gt;0,IF('FA Addition'!$N921="SLM",($AF921-'FA Addition'!$M921)*'FA Addition'!$P921*AH921/365,IFERROR(VDB(AF921,AF921*0.05,'FA Addition'!$O921,0,YEARFRAC('FA Addition'!$C921,$L$1,3),'FA Addition'!$Q921),FAAddition[[#This Row],[Original Cost (Rs)]]-FAAddition[[#This Row],[Salvage Value]])),0),0)</f>
        <v>3742.9897214657749</v>
      </c>
      <c r="AO921" s="117">
        <f t="shared" si="73"/>
        <v>3742.9897214657749</v>
      </c>
      <c r="AQ921" s="117">
        <f t="shared" si="71"/>
        <v>0</v>
      </c>
      <c r="AR921" s="120">
        <f t="shared" si="72"/>
        <v>27604.470278534223</v>
      </c>
      <c r="AS921" s="121"/>
    </row>
    <row r="922" spans="1:45" ht="13.5" x14ac:dyDescent="0.4">
      <c r="A922" s="12">
        <f t="shared" si="74"/>
        <v>919</v>
      </c>
      <c r="B922" s="64" t="s">
        <v>1308</v>
      </c>
      <c r="C922" s="54">
        <v>45313</v>
      </c>
      <c r="D922" s="54">
        <v>45313</v>
      </c>
      <c r="E922" s="46" t="s">
        <v>451</v>
      </c>
      <c r="F922" s="51" t="s">
        <v>19</v>
      </c>
      <c r="G922" s="51" t="s">
        <v>1239</v>
      </c>
      <c r="H922" s="51" t="s">
        <v>21</v>
      </c>
      <c r="I922" s="55" t="s">
        <v>1693</v>
      </c>
      <c r="J922" s="56">
        <v>1</v>
      </c>
      <c r="K922" s="51" t="s">
        <v>1694</v>
      </c>
      <c r="L922" s="58">
        <v>31347.46</v>
      </c>
      <c r="M922" s="50">
        <f>ROUND('FA Addition'!$L922*5%,0.1)</f>
        <v>1567</v>
      </c>
      <c r="N922" s="113" t="str">
        <f>_xlfn.XLOOKUP(_xlfn.CONCAT(E922,B922),'Year Wise Master Dep Approach'!F:F,'Year Wise Master Dep Approach'!D:D)</f>
        <v>WDV</v>
      </c>
      <c r="O922" s="113">
        <f>_xlfn.XLOOKUP(_xlfn.CONCAT(E922,B922),'Year Wise Master Dep Approach'!F:F,'Year Wise Master Dep Approach'!E:E)</f>
        <v>3</v>
      </c>
      <c r="P922" s="114">
        <f>IFERROR(IF('FA Addition'!$N922="WDV",1-('FA Addition'!$M922/'FA Addition'!$L922)^(1/'FA Addition'!$O922),1/'FA Addition'!$O922),0)</f>
        <v>0.63162607637988777</v>
      </c>
      <c r="Q922" s="122">
        <f>'FA Addition'!$P922*'FA Addition'!$O922</f>
        <v>1.8948782291396633</v>
      </c>
      <c r="R922" s="122"/>
      <c r="S922" s="116">
        <f>IF(AND(DATE(20&amp;LEFT(FAAddition[[#This Row],[FY]],2),4,1)&lt;$L$1+1,DATE(20&amp;LEFT(FAAddition[[#This Row],[FY]],2),4,1)&gt;$P$1-1),'FA Addition'!$J922,0)</f>
        <v>1</v>
      </c>
      <c r="U922" s="117">
        <f>S922*'FA Addition'!$L922/'FA Addition'!$J922</f>
        <v>31347.46</v>
      </c>
      <c r="W922" s="116">
        <f>SUMIFS('FA Write off'!D:D,'FA Write off'!A:A,'FA Addition'!$A922,'FA Write off'!C:C,"&lt;"&amp;'FA Addition'!$P$1)</f>
        <v>0</v>
      </c>
      <c r="Y922" s="191">
        <f>IFERROR(W922/'FA Addition'!$J922*'FA Addition'!$L922,0)</f>
        <v>0</v>
      </c>
      <c r="AA922" s="116">
        <f>SUMIFS('FA Write off'!D:D,'FA Write off'!A:A,'FA Addition'!$A922,'FA Write off'!C:C,"&lt;"&amp;'FA Addition'!$L$1+1,'FA Write off'!C:C,"&gt;"&amp;'FA Addition'!$L$1-365)</f>
        <v>0</v>
      </c>
      <c r="AC922" s="118">
        <f>IFERROR(AA922/'FA Addition'!$J922*'FA Addition'!$L922,0)</f>
        <v>0</v>
      </c>
      <c r="AE922" s="117">
        <f>IF(AND('FA Addition'!$D922&lt;$P$1+1,U922=0),'FA Addition'!$L922,0)-Y922</f>
        <v>0</v>
      </c>
      <c r="AF922" s="117">
        <f t="shared" si="70"/>
        <v>31347.46</v>
      </c>
      <c r="AG922" s="117">
        <f>MIN(MAX(+$P$1-'FA Addition'!$D922,0),365*'FA Addition'!$O922)</f>
        <v>0</v>
      </c>
      <c r="AH922" s="117">
        <f>MIN(MAX($L$1-'FA Addition'!$D922+1,0),365*'FA Addition'!$O922)</f>
        <v>70</v>
      </c>
      <c r="AI922" s="117" cm="1">
        <f t="array" ref="AI922">_xlfn.XLOOKUP(1,('FA Write off'!A:A='FA Addition'!$A922)*('FA Write off'!D:D=AA922),'FA Write off'!H:H,0,0)</f>
        <v>0</v>
      </c>
      <c r="AJ922" s="117">
        <f>IF(AC922&gt;0,MAX(IF('FA Addition'!$N922="SLM",($AC922-'FA Addition'!$M922)*'FA Addition'!$P922*AI922/365,(AC922-'FA Addition'!$M922)*(1-(1-'FA Addition'!$P922)^(AI922/365))),0),0)</f>
        <v>0</v>
      </c>
      <c r="AL922" s="117">
        <f>MAX(IF(AG922&gt;0,IF('FA Addition'!$N922="SLM",($AE922-'FA Addition'!$M922)*'FA Addition'!$P922*AG922/365,IFERROR(VDB(AE922,AE922*0.05,'FA Addition'!$O922,0,YEARFRAC('FA Addition'!$C922,$P$1-1,3),'FA Addition'!$Q922),FAAddition[[#This Row],[Original Cost (Rs)]]-FAAddition[[#This Row],[Salvage Value]])),0),0)</f>
        <v>0</v>
      </c>
      <c r="AM922" s="119"/>
      <c r="AN922" s="117">
        <f>MAX(IF(AH922&gt;0,IF('FA Addition'!$N922="SLM",($AF922-'FA Addition'!$M922)*'FA Addition'!$P922*AH922/365,IFERROR(VDB(AF922,AF922*0.05,'FA Addition'!$O922,0,YEARFRAC('FA Addition'!$C922,$L$1,3),'FA Addition'!$Q922),FAAddition[[#This Row],[Original Cost (Rs)]]-FAAddition[[#This Row],[Salvage Value]])),0),0)</f>
        <v>3742.9897214657749</v>
      </c>
      <c r="AO922" s="117">
        <f t="shared" si="73"/>
        <v>3742.9897214657749</v>
      </c>
      <c r="AQ922" s="117">
        <f t="shared" si="71"/>
        <v>0</v>
      </c>
      <c r="AR922" s="120">
        <f t="shared" si="72"/>
        <v>27604.470278534223</v>
      </c>
      <c r="AS922" s="121"/>
    </row>
    <row r="923" spans="1:45" ht="13.5" x14ac:dyDescent="0.4">
      <c r="A923" s="12">
        <f t="shared" si="74"/>
        <v>920</v>
      </c>
      <c r="B923" s="64" t="s">
        <v>1308</v>
      </c>
      <c r="C923" s="54">
        <v>45314</v>
      </c>
      <c r="D923" s="54">
        <v>45314</v>
      </c>
      <c r="E923" s="46" t="s">
        <v>1389</v>
      </c>
      <c r="F923" s="51" t="s">
        <v>1112</v>
      </c>
      <c r="G923" s="51" t="s">
        <v>36</v>
      </c>
      <c r="H923" s="51" t="s">
        <v>1113</v>
      </c>
      <c r="I923" s="55" t="s">
        <v>1695</v>
      </c>
      <c r="J923" s="56">
        <v>540</v>
      </c>
      <c r="K923" s="51" t="s">
        <v>1132</v>
      </c>
      <c r="L923" s="58">
        <v>378000</v>
      </c>
      <c r="M923" s="50">
        <f>ROUND('FA Addition'!$L923*5%,0.1)</f>
        <v>18900</v>
      </c>
      <c r="N923" s="113" t="str">
        <f>_xlfn.XLOOKUP(_xlfn.CONCAT(E923,B923),'Year Wise Master Dep Approach'!F:F,'Year Wise Master Dep Approach'!D:D)</f>
        <v>SLM</v>
      </c>
      <c r="O923" s="113">
        <f>_xlfn.XLOOKUP(_xlfn.CONCAT(E923,B923),'Year Wise Master Dep Approach'!F:F,'Year Wise Master Dep Approach'!E:E)</f>
        <v>3</v>
      </c>
      <c r="P923" s="114">
        <f>IFERROR(IF('FA Addition'!$N923="WDV",1-('FA Addition'!$M923/'FA Addition'!$L923)^(1/'FA Addition'!$O923),1/'FA Addition'!$O923),0)</f>
        <v>0.33333333333333331</v>
      </c>
      <c r="Q923" s="122">
        <f>'FA Addition'!$P923*'FA Addition'!$O923</f>
        <v>1</v>
      </c>
      <c r="R923" s="122"/>
      <c r="S923" s="116">
        <f>IF(AND(DATE(20&amp;LEFT(FAAddition[[#This Row],[FY]],2),4,1)&lt;$L$1+1,DATE(20&amp;LEFT(FAAddition[[#This Row],[FY]],2),4,1)&gt;$P$1-1),'FA Addition'!$J923,0)</f>
        <v>540</v>
      </c>
      <c r="U923" s="117">
        <f>S923*'FA Addition'!$L923/'FA Addition'!$J923</f>
        <v>378000</v>
      </c>
      <c r="W923" s="116">
        <f>SUMIFS('FA Write off'!D:D,'FA Write off'!A:A,'FA Addition'!$A923,'FA Write off'!C:C,"&lt;"&amp;'FA Addition'!$P$1)</f>
        <v>0</v>
      </c>
      <c r="Y923" s="191">
        <f>IFERROR(W923/'FA Addition'!$J923*'FA Addition'!$L923,0)</f>
        <v>0</v>
      </c>
      <c r="AA923" s="116">
        <f>SUMIFS('FA Write off'!D:D,'FA Write off'!A:A,'FA Addition'!$A923,'FA Write off'!C:C,"&lt;"&amp;'FA Addition'!$L$1+1,'FA Write off'!C:C,"&gt;"&amp;'FA Addition'!$L$1-365)</f>
        <v>0</v>
      </c>
      <c r="AC923" s="118">
        <f>IFERROR(AA923/'FA Addition'!$J923*'FA Addition'!$L923,0)</f>
        <v>0</v>
      </c>
      <c r="AE923" s="117">
        <f>IF(AND('FA Addition'!$D923&lt;$P$1+1,U923=0),'FA Addition'!$L923,0)-Y923</f>
        <v>0</v>
      </c>
      <c r="AF923" s="117">
        <f t="shared" si="70"/>
        <v>378000</v>
      </c>
      <c r="AG923" s="117">
        <f>MIN(MAX(+$P$1-'FA Addition'!$D923,0),365*'FA Addition'!$O923)</f>
        <v>0</v>
      </c>
      <c r="AH923" s="117">
        <f>MIN(MAX($L$1-'FA Addition'!$D923+1,0),365*'FA Addition'!$O923)</f>
        <v>69</v>
      </c>
      <c r="AI923" s="117" cm="1">
        <f t="array" ref="AI923">_xlfn.XLOOKUP(1,('FA Write off'!A:A='FA Addition'!$A923)*('FA Write off'!D:D=AA923),'FA Write off'!H:H,0,0)</f>
        <v>0</v>
      </c>
      <c r="AJ923" s="117">
        <f>IF(AC923&gt;0,MAX(IF('FA Addition'!$N923="SLM",($AC923-'FA Addition'!$M923)*'FA Addition'!$P923*AI923/365,(AC923-'FA Addition'!$M923)*(1-(1-'FA Addition'!$P923)^(AI923/365))),0),0)</f>
        <v>0</v>
      </c>
      <c r="AL923" s="117">
        <f>MAX(IF(AG923&gt;0,IF('FA Addition'!$N923="SLM",($AE923-'FA Addition'!$M923)*'FA Addition'!$P923*AG923/365,IFERROR(VDB(AE923,AE923*0.05,'FA Addition'!$O923,0,YEARFRAC('FA Addition'!$C923,$P$1-1,3),'FA Addition'!$Q923),FAAddition[[#This Row],[Original Cost (Rs)]]-FAAddition[[#This Row],[Salvage Value]])),0),0)</f>
        <v>0</v>
      </c>
      <c r="AM923" s="119"/>
      <c r="AN923" s="117">
        <f>MAX(IF(AH923&gt;0,IF('FA Addition'!$N923="SLM",($AF923-'FA Addition'!$M923)*'FA Addition'!$P923*AH923/365,IFERROR(VDB(AF923,AF923*0.05,'FA Addition'!$O923,0,YEARFRAC('FA Addition'!$C923,$L$1,3),'FA Addition'!$Q923),FAAddition[[#This Row],[Original Cost (Rs)]]-FAAddition[[#This Row],[Salvage Value]])),0),0)</f>
        <v>22628.219178082192</v>
      </c>
      <c r="AO923" s="117">
        <f t="shared" si="73"/>
        <v>22628.219178082192</v>
      </c>
      <c r="AQ923" s="117">
        <f t="shared" si="71"/>
        <v>0</v>
      </c>
      <c r="AR923" s="120">
        <f t="shared" si="72"/>
        <v>355371.78082191781</v>
      </c>
      <c r="AS923" s="121"/>
    </row>
    <row r="924" spans="1:45" ht="13.5" x14ac:dyDescent="0.4">
      <c r="A924" s="12">
        <f t="shared" si="74"/>
        <v>921</v>
      </c>
      <c r="B924" s="64" t="s">
        <v>1308</v>
      </c>
      <c r="C924" s="54">
        <v>45315</v>
      </c>
      <c r="D924" s="54">
        <v>45315</v>
      </c>
      <c r="E924" s="46" t="s">
        <v>32</v>
      </c>
      <c r="F924" s="51" t="s">
        <v>1090</v>
      </c>
      <c r="G924" s="51" t="s">
        <v>433</v>
      </c>
      <c r="H924" s="51" t="s">
        <v>32</v>
      </c>
      <c r="I924" s="55" t="s">
        <v>1696</v>
      </c>
      <c r="J924" s="56">
        <v>500</v>
      </c>
      <c r="K924" s="51" t="s">
        <v>935</v>
      </c>
      <c r="L924" s="58">
        <v>495000</v>
      </c>
      <c r="M924" s="50">
        <f>ROUND('FA Addition'!$L924*5%,0.1)</f>
        <v>24750</v>
      </c>
      <c r="N924" s="113" t="str">
        <f>_xlfn.XLOOKUP(_xlfn.CONCAT(E924,B924),'Year Wise Master Dep Approach'!F:F,'Year Wise Master Dep Approach'!D:D)</f>
        <v>SLM</v>
      </c>
      <c r="O924" s="113">
        <f>_xlfn.XLOOKUP(_xlfn.CONCAT(E924,B924),'Year Wise Master Dep Approach'!F:F,'Year Wise Master Dep Approach'!E:E)</f>
        <v>5</v>
      </c>
      <c r="P924" s="114">
        <f>IFERROR(IF('FA Addition'!$N924="WDV",1-('FA Addition'!$M924/'FA Addition'!$L924)^(1/'FA Addition'!$O924),1/'FA Addition'!$O924),0)</f>
        <v>0.2</v>
      </c>
      <c r="Q924" s="122">
        <f>'FA Addition'!$P924*'FA Addition'!$O924</f>
        <v>1</v>
      </c>
      <c r="R924" s="122"/>
      <c r="S924" s="116">
        <f>IF(AND(DATE(20&amp;LEFT(FAAddition[[#This Row],[FY]],2),4,1)&lt;$L$1+1,DATE(20&amp;LEFT(FAAddition[[#This Row],[FY]],2),4,1)&gt;$P$1-1),'FA Addition'!$J924,0)</f>
        <v>500</v>
      </c>
      <c r="U924" s="117">
        <f>S924*'FA Addition'!$L924/'FA Addition'!$J924</f>
        <v>495000</v>
      </c>
      <c r="W924" s="116">
        <f>SUMIFS('FA Write off'!D:D,'FA Write off'!A:A,'FA Addition'!$A924,'FA Write off'!C:C,"&lt;"&amp;'FA Addition'!$P$1)</f>
        <v>15</v>
      </c>
      <c r="Y924" s="191">
        <f>IFERROR(W924/'FA Addition'!$J924*'FA Addition'!$L924,0)</f>
        <v>14850</v>
      </c>
      <c r="AA924" s="116">
        <f>SUMIFS('FA Write off'!D:D,'FA Write off'!A:A,'FA Addition'!$A924,'FA Write off'!C:C,"&lt;"&amp;'FA Addition'!$L$1+1,'FA Write off'!C:C,"&gt;"&amp;'FA Addition'!$L$1-365)</f>
        <v>0</v>
      </c>
      <c r="AC924" s="118">
        <f>IFERROR(AA924/'FA Addition'!$J924*'FA Addition'!$L924,0)</f>
        <v>0</v>
      </c>
      <c r="AE924" s="117">
        <f>IF(AND('FA Addition'!$D924&lt;$P$1+1,U924=0),'FA Addition'!$L924,0)-Y924</f>
        <v>-14850</v>
      </c>
      <c r="AF924" s="117">
        <f t="shared" si="70"/>
        <v>480150</v>
      </c>
      <c r="AG924" s="117">
        <f>MIN(MAX(+$P$1-'FA Addition'!$D924,0),365*'FA Addition'!$O924)</f>
        <v>0</v>
      </c>
      <c r="AH924" s="117">
        <f>MIN(MAX($L$1-'FA Addition'!$D924+1,0),365*'FA Addition'!$O924)</f>
        <v>68</v>
      </c>
      <c r="AI924" s="117" cm="1">
        <f t="array" ref="AI924">_xlfn.XLOOKUP(1,('FA Write off'!A:A='FA Addition'!$A924)*('FA Write off'!D:D=AA924),'FA Write off'!H:H,0,0)</f>
        <v>0</v>
      </c>
      <c r="AJ924" s="117">
        <f>IF(AC924&gt;0,MAX(IF('FA Addition'!$N924="SLM",($AC924-'FA Addition'!$M924)*'FA Addition'!$P924*AI924/365,(AC924-'FA Addition'!$M924)*(1-(1-'FA Addition'!$P924)^(AI924/365))),0),0)</f>
        <v>0</v>
      </c>
      <c r="AL924" s="117">
        <f>MAX(IF(AG924&gt;0,IF('FA Addition'!$N924="SLM",($AE924-'FA Addition'!$M924)*'FA Addition'!$P924*AG924/365,IFERROR(VDB(AE924,AE924*0.05,'FA Addition'!$O924,0,YEARFRAC('FA Addition'!$C924,$P$1-1,3),'FA Addition'!$Q924),FAAddition[[#This Row],[Original Cost (Rs)]]-FAAddition[[#This Row],[Salvage Value]])),0),0)</f>
        <v>0</v>
      </c>
      <c r="AM924" s="119"/>
      <c r="AN924" s="117">
        <f>MAX(IF(AH924&gt;0,IF('FA Addition'!$N924="SLM",($AF924-'FA Addition'!$M924)*'FA Addition'!$P924*AH924/365,IFERROR(VDB(AF924,AF924*0.05,'FA Addition'!$O924,0,YEARFRAC('FA Addition'!$C924,$L$1,3),'FA Addition'!$Q924),FAAddition[[#This Row],[Original Cost (Rs)]]-FAAddition[[#This Row],[Salvage Value]])),0),0)</f>
        <v>16968.328767123287</v>
      </c>
      <c r="AO924" s="117">
        <f t="shared" si="73"/>
        <v>16968.328767123287</v>
      </c>
      <c r="AQ924" s="117">
        <f t="shared" si="71"/>
        <v>-14850</v>
      </c>
      <c r="AR924" s="120">
        <f t="shared" si="72"/>
        <v>463181.67123287672</v>
      </c>
      <c r="AS924" s="121"/>
    </row>
    <row r="925" spans="1:45" ht="13.5" x14ac:dyDescent="0.4">
      <c r="A925" s="12">
        <f t="shared" si="74"/>
        <v>922</v>
      </c>
      <c r="B925" s="64" t="s">
        <v>1308</v>
      </c>
      <c r="C925" s="54">
        <v>45316</v>
      </c>
      <c r="D925" s="54">
        <v>45316</v>
      </c>
      <c r="E925" s="46" t="s">
        <v>1320</v>
      </c>
      <c r="F925" s="51" t="s">
        <v>33</v>
      </c>
      <c r="G925" s="51" t="s">
        <v>36</v>
      </c>
      <c r="H925" s="51" t="s">
        <v>32</v>
      </c>
      <c r="I925" s="55" t="s">
        <v>1697</v>
      </c>
      <c r="J925" s="56">
        <v>200</v>
      </c>
      <c r="K925" s="51" t="s">
        <v>296</v>
      </c>
      <c r="L925" s="58">
        <v>340000</v>
      </c>
      <c r="M925" s="50">
        <f>ROUND('FA Addition'!$L925*5%,0.1)</f>
        <v>17000</v>
      </c>
      <c r="N925" s="113" t="str">
        <f>_xlfn.XLOOKUP(_xlfn.CONCAT(E925,B925),'Year Wise Master Dep Approach'!F:F,'Year Wise Master Dep Approach'!D:D)</f>
        <v>SLM</v>
      </c>
      <c r="O925" s="113">
        <f>_xlfn.XLOOKUP(_xlfn.CONCAT(E925,B925),'Year Wise Master Dep Approach'!F:F,'Year Wise Master Dep Approach'!E:E)</f>
        <v>5</v>
      </c>
      <c r="P925" s="114">
        <f>IFERROR(IF('FA Addition'!$N925="WDV",1-('FA Addition'!$M925/'FA Addition'!$L925)^(1/'FA Addition'!$O925),1/'FA Addition'!$O925),0)</f>
        <v>0.2</v>
      </c>
      <c r="Q925" s="122">
        <f>'FA Addition'!$P925*'FA Addition'!$O925</f>
        <v>1</v>
      </c>
      <c r="R925" s="122"/>
      <c r="S925" s="116">
        <f>IF(AND(DATE(20&amp;LEFT(FAAddition[[#This Row],[FY]],2),4,1)&lt;$L$1+1,DATE(20&amp;LEFT(FAAddition[[#This Row],[FY]],2),4,1)&gt;$P$1-1),'FA Addition'!$J925,0)</f>
        <v>200</v>
      </c>
      <c r="U925" s="117">
        <f>S925*'FA Addition'!$L925/'FA Addition'!$J925</f>
        <v>340000</v>
      </c>
      <c r="W925" s="116">
        <f>SUMIFS('FA Write off'!D:D,'FA Write off'!A:A,'FA Addition'!$A925,'FA Write off'!C:C,"&lt;"&amp;'FA Addition'!$P$1)</f>
        <v>0</v>
      </c>
      <c r="Y925" s="191">
        <f>IFERROR(W925/'FA Addition'!$J925*'FA Addition'!$L925,0)</f>
        <v>0</v>
      </c>
      <c r="AA925" s="116">
        <f>SUMIFS('FA Write off'!D:D,'FA Write off'!A:A,'FA Addition'!$A925,'FA Write off'!C:C,"&lt;"&amp;'FA Addition'!$L$1+1,'FA Write off'!C:C,"&gt;"&amp;'FA Addition'!$L$1-365)</f>
        <v>0</v>
      </c>
      <c r="AC925" s="118">
        <f>IFERROR(AA925/'FA Addition'!$J925*'FA Addition'!$L925,0)</f>
        <v>0</v>
      </c>
      <c r="AE925" s="117">
        <f>IF(AND('FA Addition'!$D925&lt;$P$1+1,U925=0),'FA Addition'!$L925,0)-Y925</f>
        <v>0</v>
      </c>
      <c r="AF925" s="117">
        <f t="shared" si="70"/>
        <v>340000</v>
      </c>
      <c r="AG925" s="117">
        <f>MIN(MAX(+$P$1-'FA Addition'!$D925,0),365*'FA Addition'!$O925)</f>
        <v>0</v>
      </c>
      <c r="AH925" s="117">
        <f>MIN(MAX($L$1-'FA Addition'!$D925+1,0),365*'FA Addition'!$O925)</f>
        <v>67</v>
      </c>
      <c r="AI925" s="117" cm="1">
        <f t="array" ref="AI925">_xlfn.XLOOKUP(1,('FA Write off'!A:A='FA Addition'!$A925)*('FA Write off'!D:D=AA925),'FA Write off'!H:H,0,0)</f>
        <v>0</v>
      </c>
      <c r="AJ925" s="117">
        <f>IF(AC925&gt;0,MAX(IF('FA Addition'!$N925="SLM",($AC925-'FA Addition'!$M925)*'FA Addition'!$P925*AI925/365,(AC925-'FA Addition'!$M925)*(1-(1-'FA Addition'!$P925)^(AI925/365))),0),0)</f>
        <v>0</v>
      </c>
      <c r="AL925" s="117">
        <f>MAX(IF(AG925&gt;0,IF('FA Addition'!$N925="SLM",($AE925-'FA Addition'!$M925)*'FA Addition'!$P925*AG925/365,IFERROR(VDB(AE925,AE925*0.05,'FA Addition'!$O925,0,YEARFRAC('FA Addition'!$C925,$P$1-1,3),'FA Addition'!$Q925),FAAddition[[#This Row],[Original Cost (Rs)]]-FAAddition[[#This Row],[Salvage Value]])),0),0)</f>
        <v>0</v>
      </c>
      <c r="AM925" s="119"/>
      <c r="AN925" s="117">
        <f>MAX(IF(AH925&gt;0,IF('FA Addition'!$N925="SLM",($AF925-'FA Addition'!$M925)*'FA Addition'!$P925*AH925/365,IFERROR(VDB(AF925,AF925*0.05,'FA Addition'!$O925,0,YEARFRAC('FA Addition'!$C925,$L$1,3),'FA Addition'!$Q925),FAAddition[[#This Row],[Original Cost (Rs)]]-FAAddition[[#This Row],[Salvage Value]])),0),0)</f>
        <v>11858.082191780823</v>
      </c>
      <c r="AO925" s="117">
        <f t="shared" si="73"/>
        <v>11858.082191780823</v>
      </c>
      <c r="AQ925" s="117">
        <f t="shared" si="71"/>
        <v>0</v>
      </c>
      <c r="AR925" s="120">
        <f t="shared" si="72"/>
        <v>328141.91780821915</v>
      </c>
      <c r="AS925" s="121"/>
    </row>
    <row r="926" spans="1:45" ht="13.5" x14ac:dyDescent="0.4">
      <c r="A926" s="12">
        <f t="shared" si="74"/>
        <v>923</v>
      </c>
      <c r="B926" s="64" t="s">
        <v>1308</v>
      </c>
      <c r="C926" s="54">
        <v>45321</v>
      </c>
      <c r="D926" s="54">
        <v>45321</v>
      </c>
      <c r="E926" s="46" t="s">
        <v>32</v>
      </c>
      <c r="F926" s="51" t="s">
        <v>1090</v>
      </c>
      <c r="G926" s="51" t="s">
        <v>433</v>
      </c>
      <c r="H926" s="51" t="s">
        <v>32</v>
      </c>
      <c r="I926" s="55" t="s">
        <v>1698</v>
      </c>
      <c r="J926" s="56">
        <v>500</v>
      </c>
      <c r="K926" s="51" t="s">
        <v>935</v>
      </c>
      <c r="L926" s="58">
        <v>495000</v>
      </c>
      <c r="M926" s="50">
        <f>ROUND('FA Addition'!$L926*5%,0.1)</f>
        <v>24750</v>
      </c>
      <c r="N926" s="113" t="str">
        <f>_xlfn.XLOOKUP(_xlfn.CONCAT(E926,B926),'Year Wise Master Dep Approach'!F:F,'Year Wise Master Dep Approach'!D:D)</f>
        <v>SLM</v>
      </c>
      <c r="O926" s="113">
        <f>_xlfn.XLOOKUP(_xlfn.CONCAT(E926,B926),'Year Wise Master Dep Approach'!F:F,'Year Wise Master Dep Approach'!E:E)</f>
        <v>5</v>
      </c>
      <c r="P926" s="114">
        <f>IFERROR(IF('FA Addition'!$N926="WDV",1-('FA Addition'!$M926/'FA Addition'!$L926)^(1/'FA Addition'!$O926),1/'FA Addition'!$O926),0)</f>
        <v>0.2</v>
      </c>
      <c r="Q926" s="122">
        <f>'FA Addition'!$P926*'FA Addition'!$O926</f>
        <v>1</v>
      </c>
      <c r="R926" s="122"/>
      <c r="S926" s="116">
        <f>IF(AND(DATE(20&amp;LEFT(FAAddition[[#This Row],[FY]],2),4,1)&lt;$L$1+1,DATE(20&amp;LEFT(FAAddition[[#This Row],[FY]],2),4,1)&gt;$P$1-1),'FA Addition'!$J926,0)</f>
        <v>500</v>
      </c>
      <c r="U926" s="117">
        <f>S926*'FA Addition'!$L926/'FA Addition'!$J926</f>
        <v>495000</v>
      </c>
      <c r="W926" s="116">
        <f>SUMIFS('FA Write off'!D:D,'FA Write off'!A:A,'FA Addition'!$A926,'FA Write off'!C:C,"&lt;"&amp;'FA Addition'!$P$1)</f>
        <v>10</v>
      </c>
      <c r="Y926" s="191">
        <f>IFERROR(W926/'FA Addition'!$J926*'FA Addition'!$L926,0)</f>
        <v>9900</v>
      </c>
      <c r="AA926" s="116">
        <f>SUMIFS('FA Write off'!D:D,'FA Write off'!A:A,'FA Addition'!$A926,'FA Write off'!C:C,"&lt;"&amp;'FA Addition'!$L$1+1,'FA Write off'!C:C,"&gt;"&amp;'FA Addition'!$L$1-365)</f>
        <v>0</v>
      </c>
      <c r="AC926" s="118">
        <f>IFERROR(AA926/'FA Addition'!$J926*'FA Addition'!$L926,0)</f>
        <v>0</v>
      </c>
      <c r="AE926" s="117">
        <f>IF(AND('FA Addition'!$D926&lt;$P$1+1,U926=0),'FA Addition'!$L926,0)-Y926</f>
        <v>-9900</v>
      </c>
      <c r="AF926" s="117">
        <f t="shared" si="70"/>
        <v>485100</v>
      </c>
      <c r="AG926" s="117">
        <f>MIN(MAX(+$P$1-'FA Addition'!$D926,0),365*'FA Addition'!$O926)</f>
        <v>0</v>
      </c>
      <c r="AH926" s="117">
        <f>MIN(MAX($L$1-'FA Addition'!$D926+1,0),365*'FA Addition'!$O926)</f>
        <v>62</v>
      </c>
      <c r="AI926" s="117" cm="1">
        <f t="array" ref="AI926">_xlfn.XLOOKUP(1,('FA Write off'!A:A='FA Addition'!$A926)*('FA Write off'!D:D=AA926),'FA Write off'!H:H,0,0)</f>
        <v>0</v>
      </c>
      <c r="AJ926" s="117">
        <f>IF(AC926&gt;0,MAX(IF('FA Addition'!$N926="SLM",($AC926-'FA Addition'!$M926)*'FA Addition'!$P926*AI926/365,(AC926-'FA Addition'!$M926)*(1-(1-'FA Addition'!$P926)^(AI926/365))),0),0)</f>
        <v>0</v>
      </c>
      <c r="AL926" s="117">
        <f>MAX(IF(AG926&gt;0,IF('FA Addition'!$N926="SLM",($AE926-'FA Addition'!$M926)*'FA Addition'!$P926*AG926/365,IFERROR(VDB(AE926,AE926*0.05,'FA Addition'!$O926,0,YEARFRAC('FA Addition'!$C926,$P$1-1,3),'FA Addition'!$Q926),FAAddition[[#This Row],[Original Cost (Rs)]]-FAAddition[[#This Row],[Salvage Value]])),0),0)</f>
        <v>0</v>
      </c>
      <c r="AM926" s="119"/>
      <c r="AN926" s="117">
        <f>MAX(IF(AH926&gt;0,IF('FA Addition'!$N926="SLM",($AF926-'FA Addition'!$M926)*'FA Addition'!$P926*AH926/365,IFERROR(VDB(AF926,AF926*0.05,'FA Addition'!$O926,0,YEARFRAC('FA Addition'!$C926,$L$1,3),'FA Addition'!$Q926),FAAddition[[#This Row],[Original Cost (Rs)]]-FAAddition[[#This Row],[Salvage Value]])),0),0)</f>
        <v>15639.287671232876</v>
      </c>
      <c r="AO926" s="117">
        <f t="shared" si="73"/>
        <v>15639.287671232876</v>
      </c>
      <c r="AQ926" s="117">
        <f t="shared" si="71"/>
        <v>-9900</v>
      </c>
      <c r="AR926" s="120">
        <f t="shared" si="72"/>
        <v>469460.71232876711</v>
      </c>
      <c r="AS926" s="121"/>
    </row>
    <row r="927" spans="1:45" ht="13.5" x14ac:dyDescent="0.4">
      <c r="A927" s="12">
        <f t="shared" si="74"/>
        <v>924</v>
      </c>
      <c r="B927" s="64" t="s">
        <v>1308</v>
      </c>
      <c r="C927" s="54">
        <v>45321</v>
      </c>
      <c r="D927" s="54">
        <v>45321</v>
      </c>
      <c r="E927" s="46" t="s">
        <v>1389</v>
      </c>
      <c r="F927" s="51" t="s">
        <v>1112</v>
      </c>
      <c r="G927" s="51" t="s">
        <v>36</v>
      </c>
      <c r="H927" s="51" t="s">
        <v>1113</v>
      </c>
      <c r="I927" s="55" t="s">
        <v>1699</v>
      </c>
      <c r="J927" s="56">
        <v>500</v>
      </c>
      <c r="K927" s="51" t="s">
        <v>1132</v>
      </c>
      <c r="L927" s="58">
        <v>350000</v>
      </c>
      <c r="M927" s="50">
        <f>ROUND('FA Addition'!$L927*5%,0.1)</f>
        <v>17500</v>
      </c>
      <c r="N927" s="113" t="str">
        <f>_xlfn.XLOOKUP(_xlfn.CONCAT(E927,B927),'Year Wise Master Dep Approach'!F:F,'Year Wise Master Dep Approach'!D:D)</f>
        <v>SLM</v>
      </c>
      <c r="O927" s="113">
        <f>_xlfn.XLOOKUP(_xlfn.CONCAT(E927,B927),'Year Wise Master Dep Approach'!F:F,'Year Wise Master Dep Approach'!E:E)</f>
        <v>3</v>
      </c>
      <c r="P927" s="114">
        <f>IFERROR(IF('FA Addition'!$N927="WDV",1-('FA Addition'!$M927/'FA Addition'!$L927)^(1/'FA Addition'!$O927),1/'FA Addition'!$O927),0)</f>
        <v>0.33333333333333331</v>
      </c>
      <c r="Q927" s="122">
        <f>'FA Addition'!$P927*'FA Addition'!$O927</f>
        <v>1</v>
      </c>
      <c r="R927" s="122"/>
      <c r="S927" s="116">
        <f>IF(AND(DATE(20&amp;LEFT(FAAddition[[#This Row],[FY]],2),4,1)&lt;$L$1+1,DATE(20&amp;LEFT(FAAddition[[#This Row],[FY]],2),4,1)&gt;$P$1-1),'FA Addition'!$J927,0)</f>
        <v>500</v>
      </c>
      <c r="U927" s="117">
        <f>S927*'FA Addition'!$L927/'FA Addition'!$J927</f>
        <v>350000</v>
      </c>
      <c r="W927" s="116">
        <f>SUMIFS('FA Write off'!D:D,'FA Write off'!A:A,'FA Addition'!$A927,'FA Write off'!C:C,"&lt;"&amp;'FA Addition'!$P$1)</f>
        <v>0</v>
      </c>
      <c r="Y927" s="191">
        <f>IFERROR(W927/'FA Addition'!$J927*'FA Addition'!$L927,0)</f>
        <v>0</v>
      </c>
      <c r="AA927" s="116">
        <f>SUMIFS('FA Write off'!D:D,'FA Write off'!A:A,'FA Addition'!$A927,'FA Write off'!C:C,"&lt;"&amp;'FA Addition'!$L$1+1,'FA Write off'!C:C,"&gt;"&amp;'FA Addition'!$L$1-365)</f>
        <v>0</v>
      </c>
      <c r="AC927" s="118">
        <f>IFERROR(AA927/'FA Addition'!$J927*'FA Addition'!$L927,0)</f>
        <v>0</v>
      </c>
      <c r="AE927" s="117">
        <f>IF(AND('FA Addition'!$D927&lt;$P$1+1,U927=0),'FA Addition'!$L927,0)-Y927</f>
        <v>0</v>
      </c>
      <c r="AF927" s="117">
        <f t="shared" si="70"/>
        <v>350000</v>
      </c>
      <c r="AG927" s="117">
        <f>MIN(MAX(+$P$1-'FA Addition'!$D927,0),365*'FA Addition'!$O927)</f>
        <v>0</v>
      </c>
      <c r="AH927" s="117">
        <f>MIN(MAX($L$1-'FA Addition'!$D927+1,0),365*'FA Addition'!$O927)</f>
        <v>62</v>
      </c>
      <c r="AI927" s="117" cm="1">
        <f t="array" ref="AI927">_xlfn.XLOOKUP(1,('FA Write off'!A:A='FA Addition'!$A927)*('FA Write off'!D:D=AA927),'FA Write off'!H:H,0,0)</f>
        <v>0</v>
      </c>
      <c r="AJ927" s="117">
        <f>IF(AC927&gt;0,MAX(IF('FA Addition'!$N927="SLM",($AC927-'FA Addition'!$M927)*'FA Addition'!$P927*AI927/365,(AC927-'FA Addition'!$M927)*(1-(1-'FA Addition'!$P927)^(AI927/365))),0),0)</f>
        <v>0</v>
      </c>
      <c r="AL927" s="117">
        <f>MAX(IF(AG927&gt;0,IF('FA Addition'!$N927="SLM",($AE927-'FA Addition'!$M927)*'FA Addition'!$P927*AG927/365,IFERROR(VDB(AE927,AE927*0.05,'FA Addition'!$O927,0,YEARFRAC('FA Addition'!$C927,$P$1-1,3),'FA Addition'!$Q927),FAAddition[[#This Row],[Original Cost (Rs)]]-FAAddition[[#This Row],[Salvage Value]])),0),0)</f>
        <v>0</v>
      </c>
      <c r="AM927" s="119"/>
      <c r="AN927" s="117">
        <f>MAX(IF(AH927&gt;0,IF('FA Addition'!$N927="SLM",($AF927-'FA Addition'!$M927)*'FA Addition'!$P927*AH927/365,IFERROR(VDB(AF927,AF927*0.05,'FA Addition'!$O927,0,YEARFRAC('FA Addition'!$C927,$L$1,3),'FA Addition'!$Q927),FAAddition[[#This Row],[Original Cost (Rs)]]-FAAddition[[#This Row],[Salvage Value]])),0),0)</f>
        <v>18826.484018264837</v>
      </c>
      <c r="AO927" s="117">
        <f t="shared" si="73"/>
        <v>18826.484018264837</v>
      </c>
      <c r="AQ927" s="117">
        <f t="shared" si="71"/>
        <v>0</v>
      </c>
      <c r="AR927" s="120">
        <f t="shared" si="72"/>
        <v>331173.51598173514</v>
      </c>
      <c r="AS927" s="121"/>
    </row>
    <row r="928" spans="1:45" ht="13.5" x14ac:dyDescent="0.4">
      <c r="A928" s="12">
        <f t="shared" si="74"/>
        <v>925</v>
      </c>
      <c r="B928" s="64" t="s">
        <v>1308</v>
      </c>
      <c r="C928" s="54">
        <v>45322</v>
      </c>
      <c r="D928" s="54">
        <v>45322</v>
      </c>
      <c r="E928" s="46" t="s">
        <v>1320</v>
      </c>
      <c r="F928" s="51" t="s">
        <v>33</v>
      </c>
      <c r="G928" s="51" t="s">
        <v>36</v>
      </c>
      <c r="H928" s="51" t="s">
        <v>32</v>
      </c>
      <c r="I928" s="55" t="s">
        <v>1700</v>
      </c>
      <c r="J928" s="56">
        <v>1000</v>
      </c>
      <c r="K928" s="51" t="s">
        <v>296</v>
      </c>
      <c r="L928" s="58">
        <v>1700000</v>
      </c>
      <c r="M928" s="50">
        <f>ROUND('FA Addition'!$L928*5%,0.1)</f>
        <v>85000</v>
      </c>
      <c r="N928" s="113" t="str">
        <f>_xlfn.XLOOKUP(_xlfn.CONCAT(E928,B928),'Year Wise Master Dep Approach'!F:F,'Year Wise Master Dep Approach'!D:D)</f>
        <v>SLM</v>
      </c>
      <c r="O928" s="113">
        <f>_xlfn.XLOOKUP(_xlfn.CONCAT(E928,B928),'Year Wise Master Dep Approach'!F:F,'Year Wise Master Dep Approach'!E:E)</f>
        <v>5</v>
      </c>
      <c r="P928" s="114">
        <f>IFERROR(IF('FA Addition'!$N928="WDV",1-('FA Addition'!$M928/'FA Addition'!$L928)^(1/'FA Addition'!$O928),1/'FA Addition'!$O928),0)</f>
        <v>0.2</v>
      </c>
      <c r="Q928" s="122">
        <f>'FA Addition'!$P928*'FA Addition'!$O928</f>
        <v>1</v>
      </c>
      <c r="R928" s="122"/>
      <c r="S928" s="116">
        <f>IF(AND(DATE(20&amp;LEFT(FAAddition[[#This Row],[FY]],2),4,1)&lt;$L$1+1,DATE(20&amp;LEFT(FAAddition[[#This Row],[FY]],2),4,1)&gt;$P$1-1),'FA Addition'!$J928,0)</f>
        <v>1000</v>
      </c>
      <c r="U928" s="117">
        <f>S928*'FA Addition'!$L928/'FA Addition'!$J928</f>
        <v>1700000</v>
      </c>
      <c r="W928" s="116">
        <f>SUMIFS('FA Write off'!D:D,'FA Write off'!A:A,'FA Addition'!$A928,'FA Write off'!C:C,"&lt;"&amp;'FA Addition'!$P$1)</f>
        <v>0</v>
      </c>
      <c r="Y928" s="191">
        <f>IFERROR(W928/'FA Addition'!$J928*'FA Addition'!$L928,0)</f>
        <v>0</v>
      </c>
      <c r="AA928" s="116">
        <f>SUMIFS('FA Write off'!D:D,'FA Write off'!A:A,'FA Addition'!$A928,'FA Write off'!C:C,"&lt;"&amp;'FA Addition'!$L$1+1,'FA Write off'!C:C,"&gt;"&amp;'FA Addition'!$L$1-365)</f>
        <v>0</v>
      </c>
      <c r="AC928" s="118">
        <f>IFERROR(AA928/'FA Addition'!$J928*'FA Addition'!$L928,0)</f>
        <v>0</v>
      </c>
      <c r="AE928" s="117">
        <f>IF(AND('FA Addition'!$D928&lt;$P$1+1,U928=0),'FA Addition'!$L928,0)-Y928</f>
        <v>0</v>
      </c>
      <c r="AF928" s="117">
        <f t="shared" si="70"/>
        <v>1700000</v>
      </c>
      <c r="AG928" s="117">
        <f>MIN(MAX(+$P$1-'FA Addition'!$D928,0),365*'FA Addition'!$O928)</f>
        <v>0</v>
      </c>
      <c r="AH928" s="117">
        <f>MIN(MAX($L$1-'FA Addition'!$D928+1,0),365*'FA Addition'!$O928)</f>
        <v>61</v>
      </c>
      <c r="AI928" s="117" cm="1">
        <f t="array" ref="AI928">_xlfn.XLOOKUP(1,('FA Write off'!A:A='FA Addition'!$A928)*('FA Write off'!D:D=AA928),'FA Write off'!H:H,0,0)</f>
        <v>0</v>
      </c>
      <c r="AJ928" s="117">
        <f>IF(AC928&gt;0,MAX(IF('FA Addition'!$N928="SLM",($AC928-'FA Addition'!$M928)*'FA Addition'!$P928*AI928/365,(AC928-'FA Addition'!$M928)*(1-(1-'FA Addition'!$P928)^(AI928/365))),0),0)</f>
        <v>0</v>
      </c>
      <c r="AL928" s="117">
        <f>MAX(IF(AG928&gt;0,IF('FA Addition'!$N928="SLM",($AE928-'FA Addition'!$M928)*'FA Addition'!$P928*AG928/365,IFERROR(VDB(AE928,AE928*0.05,'FA Addition'!$O928,0,YEARFRAC('FA Addition'!$C928,$P$1-1,3),'FA Addition'!$Q928),FAAddition[[#This Row],[Original Cost (Rs)]]-FAAddition[[#This Row],[Salvage Value]])),0),0)</f>
        <v>0</v>
      </c>
      <c r="AM928" s="119"/>
      <c r="AN928" s="117">
        <f>MAX(IF(AH928&gt;0,IF('FA Addition'!$N928="SLM",($AF928-'FA Addition'!$M928)*'FA Addition'!$P928*AH928/365,IFERROR(VDB(AF928,AF928*0.05,'FA Addition'!$O928,0,YEARFRAC('FA Addition'!$C928,$L$1,3),'FA Addition'!$Q928),FAAddition[[#This Row],[Original Cost (Rs)]]-FAAddition[[#This Row],[Salvage Value]])),0),0)</f>
        <v>53980.821917808222</v>
      </c>
      <c r="AO928" s="117">
        <f t="shared" si="73"/>
        <v>53980.821917808222</v>
      </c>
      <c r="AQ928" s="117">
        <f t="shared" si="71"/>
        <v>0</v>
      </c>
      <c r="AR928" s="120">
        <f t="shared" si="72"/>
        <v>1646019.1780821919</v>
      </c>
      <c r="AS928" s="121"/>
    </row>
    <row r="929" spans="1:45" ht="13.5" x14ac:dyDescent="0.4">
      <c r="A929" s="12">
        <f t="shared" si="74"/>
        <v>926</v>
      </c>
      <c r="B929" s="64" t="s">
        <v>1308</v>
      </c>
      <c r="C929" s="54">
        <v>45325</v>
      </c>
      <c r="D929" s="54">
        <v>45325</v>
      </c>
      <c r="E929" s="46" t="s">
        <v>1389</v>
      </c>
      <c r="F929" s="51" t="s">
        <v>1112</v>
      </c>
      <c r="G929" s="51" t="s">
        <v>36</v>
      </c>
      <c r="H929" s="51" t="s">
        <v>1113</v>
      </c>
      <c r="I929" s="55" t="s">
        <v>1701</v>
      </c>
      <c r="J929" s="56">
        <v>5000</v>
      </c>
      <c r="K929" s="51" t="s">
        <v>1132</v>
      </c>
      <c r="L929" s="58">
        <v>3500000</v>
      </c>
      <c r="M929" s="50">
        <f>ROUND('FA Addition'!$L929*5%,0.1)</f>
        <v>175000</v>
      </c>
      <c r="N929" s="113" t="str">
        <f>_xlfn.XLOOKUP(_xlfn.CONCAT(E929,B929),'Year Wise Master Dep Approach'!F:F,'Year Wise Master Dep Approach'!D:D)</f>
        <v>SLM</v>
      </c>
      <c r="O929" s="113">
        <f>_xlfn.XLOOKUP(_xlfn.CONCAT(E929,B929),'Year Wise Master Dep Approach'!F:F,'Year Wise Master Dep Approach'!E:E)</f>
        <v>3</v>
      </c>
      <c r="P929" s="114">
        <f>IFERROR(IF('FA Addition'!$N929="WDV",1-('FA Addition'!$M929/'FA Addition'!$L929)^(1/'FA Addition'!$O929),1/'FA Addition'!$O929),0)</f>
        <v>0.33333333333333331</v>
      </c>
      <c r="Q929" s="122">
        <f>'FA Addition'!$P929*'FA Addition'!$O929</f>
        <v>1</v>
      </c>
      <c r="R929" s="122"/>
      <c r="S929" s="116">
        <f>IF(AND(DATE(20&amp;LEFT(FAAddition[[#This Row],[FY]],2),4,1)&lt;$L$1+1,DATE(20&amp;LEFT(FAAddition[[#This Row],[FY]],2),4,1)&gt;$P$1-1),'FA Addition'!$J929,0)</f>
        <v>5000</v>
      </c>
      <c r="U929" s="117">
        <f>S929*'FA Addition'!$L929/'FA Addition'!$J929</f>
        <v>3500000</v>
      </c>
      <c r="W929" s="116">
        <f>SUMIFS('FA Write off'!D:D,'FA Write off'!A:A,'FA Addition'!$A929,'FA Write off'!C:C,"&lt;"&amp;'FA Addition'!$P$1)</f>
        <v>0</v>
      </c>
      <c r="Y929" s="191">
        <f>IFERROR(W929/'FA Addition'!$J929*'FA Addition'!$L929,0)</f>
        <v>0</v>
      </c>
      <c r="AA929" s="116">
        <f>SUMIFS('FA Write off'!D:D,'FA Write off'!A:A,'FA Addition'!$A929,'FA Write off'!C:C,"&lt;"&amp;'FA Addition'!$L$1+1,'FA Write off'!C:C,"&gt;"&amp;'FA Addition'!$L$1-365)</f>
        <v>0</v>
      </c>
      <c r="AC929" s="118">
        <f>IFERROR(AA929/'FA Addition'!$J929*'FA Addition'!$L929,0)</f>
        <v>0</v>
      </c>
      <c r="AE929" s="117">
        <f>IF(AND('FA Addition'!$D929&lt;$P$1+1,U929=0),'FA Addition'!$L929,0)-Y929</f>
        <v>0</v>
      </c>
      <c r="AF929" s="117">
        <f t="shared" si="70"/>
        <v>3500000</v>
      </c>
      <c r="AG929" s="117">
        <f>MIN(MAX(+$P$1-'FA Addition'!$D929,0),365*'FA Addition'!$O929)</f>
        <v>0</v>
      </c>
      <c r="AH929" s="117">
        <f>MIN(MAX($L$1-'FA Addition'!$D929+1,0),365*'FA Addition'!$O929)</f>
        <v>58</v>
      </c>
      <c r="AI929" s="117" cm="1">
        <f t="array" ref="AI929">_xlfn.XLOOKUP(1,('FA Write off'!A:A='FA Addition'!$A929)*('FA Write off'!D:D=AA929),'FA Write off'!H:H,0,0)</f>
        <v>0</v>
      </c>
      <c r="AJ929" s="117">
        <f>IF(AC929&gt;0,MAX(IF('FA Addition'!$N929="SLM",($AC929-'FA Addition'!$M929)*'FA Addition'!$P929*AI929/365,(AC929-'FA Addition'!$M929)*(1-(1-'FA Addition'!$P929)^(AI929/365))),0),0)</f>
        <v>0</v>
      </c>
      <c r="AL929" s="117">
        <f>MAX(IF(AG929&gt;0,IF('FA Addition'!$N929="SLM",($AE929-'FA Addition'!$M929)*'FA Addition'!$P929*AG929/365,IFERROR(VDB(AE929,AE929*0.05,'FA Addition'!$O929,0,YEARFRAC('FA Addition'!$C929,$P$1-1,3),'FA Addition'!$Q929),FAAddition[[#This Row],[Original Cost (Rs)]]-FAAddition[[#This Row],[Salvage Value]])),0),0)</f>
        <v>0</v>
      </c>
      <c r="AM929" s="119"/>
      <c r="AN929" s="117">
        <f>MAX(IF(AH929&gt;0,IF('FA Addition'!$N929="SLM",($AF929-'FA Addition'!$M929)*'FA Addition'!$P929*AH929/365,IFERROR(VDB(AF929,AF929*0.05,'FA Addition'!$O929,0,YEARFRAC('FA Addition'!$C929,$L$1,3),'FA Addition'!$Q929),FAAddition[[#This Row],[Original Cost (Rs)]]-FAAddition[[#This Row],[Salvage Value]])),0),0)</f>
        <v>176118.7214611872</v>
      </c>
      <c r="AO929" s="117">
        <f t="shared" si="73"/>
        <v>176118.7214611872</v>
      </c>
      <c r="AQ929" s="117">
        <f t="shared" si="71"/>
        <v>0</v>
      </c>
      <c r="AR929" s="120">
        <f t="shared" si="72"/>
        <v>3323881.2785388129</v>
      </c>
      <c r="AS929" s="121"/>
    </row>
    <row r="930" spans="1:45" ht="13.5" x14ac:dyDescent="0.4">
      <c r="A930" s="12">
        <f t="shared" si="74"/>
        <v>927</v>
      </c>
      <c r="B930" s="64" t="s">
        <v>1308</v>
      </c>
      <c r="C930" s="54">
        <v>45325</v>
      </c>
      <c r="D930" s="54">
        <v>45325</v>
      </c>
      <c r="E930" s="46" t="s">
        <v>523</v>
      </c>
      <c r="F930" s="51" t="s">
        <v>279</v>
      </c>
      <c r="G930" s="51" t="s">
        <v>1445</v>
      </c>
      <c r="H930" s="51" t="s">
        <v>583</v>
      </c>
      <c r="I930" s="55" t="s">
        <v>1702</v>
      </c>
      <c r="J930" s="56">
        <v>1</v>
      </c>
      <c r="K930" s="51" t="s">
        <v>1703</v>
      </c>
      <c r="L930" s="58">
        <v>12661.02</v>
      </c>
      <c r="M930" s="50">
        <f>ROUND('FA Addition'!$L930*5%,0.1)</f>
        <v>633</v>
      </c>
      <c r="N930" s="113" t="str">
        <f>_xlfn.XLOOKUP(_xlfn.CONCAT(E930,B930),'Year Wise Master Dep Approach'!F:F,'Year Wise Master Dep Approach'!D:D)</f>
        <v>WDV</v>
      </c>
      <c r="O930" s="113">
        <f>_xlfn.XLOOKUP(_xlfn.CONCAT(E930,B930),'Year Wise Master Dep Approach'!F:F,'Year Wise Master Dep Approach'!E:E)</f>
        <v>10</v>
      </c>
      <c r="P930" s="114">
        <f>IFERROR(IF('FA Addition'!$N930="WDV",1-('FA Addition'!$M930/'FA Addition'!$L930)^(1/'FA Addition'!$O930),1/'FA Addition'!$O930),0)</f>
        <v>0.25887152185388496</v>
      </c>
      <c r="Q930" s="122">
        <f>'FA Addition'!$P930*'FA Addition'!$O930</f>
        <v>2.5887152185388498</v>
      </c>
      <c r="R930" s="122"/>
      <c r="S930" s="116">
        <f>IF(AND(DATE(20&amp;LEFT(FAAddition[[#This Row],[FY]],2),4,1)&lt;$L$1+1,DATE(20&amp;LEFT(FAAddition[[#This Row],[FY]],2),4,1)&gt;$P$1-1),'FA Addition'!$J930,0)</f>
        <v>1</v>
      </c>
      <c r="U930" s="117">
        <f>S930*'FA Addition'!$L930/'FA Addition'!$J930</f>
        <v>12661.02</v>
      </c>
      <c r="W930" s="116">
        <f>SUMIFS('FA Write off'!D:D,'FA Write off'!A:A,'FA Addition'!$A930,'FA Write off'!C:C,"&lt;"&amp;'FA Addition'!$P$1)</f>
        <v>0</v>
      </c>
      <c r="Y930" s="191">
        <f>IFERROR(W930/'FA Addition'!$J930*'FA Addition'!$L930,0)</f>
        <v>0</v>
      </c>
      <c r="AA930" s="116">
        <f>SUMIFS('FA Write off'!D:D,'FA Write off'!A:A,'FA Addition'!$A930,'FA Write off'!C:C,"&lt;"&amp;'FA Addition'!$L$1+1,'FA Write off'!C:C,"&gt;"&amp;'FA Addition'!$L$1-365)</f>
        <v>0</v>
      </c>
      <c r="AC930" s="118">
        <f>IFERROR(AA930/'FA Addition'!$J930*'FA Addition'!$L930,0)</f>
        <v>0</v>
      </c>
      <c r="AE930" s="117">
        <f>IF(AND('FA Addition'!$D930&lt;$P$1+1,U930=0),'FA Addition'!$L930,0)-Y930</f>
        <v>0</v>
      </c>
      <c r="AF930" s="117">
        <f t="shared" si="70"/>
        <v>12661.02</v>
      </c>
      <c r="AG930" s="117">
        <f>MIN(MAX(+$P$1-'FA Addition'!$D930,0),365*'FA Addition'!$O930)</f>
        <v>0</v>
      </c>
      <c r="AH930" s="117">
        <f>MIN(MAX($L$1-'FA Addition'!$D930+1,0),365*'FA Addition'!$O930)</f>
        <v>58</v>
      </c>
      <c r="AI930" s="117" cm="1">
        <f t="array" ref="AI930">_xlfn.XLOOKUP(1,('FA Write off'!A:A='FA Addition'!$A930)*('FA Write off'!D:D=AA930),'FA Write off'!H:H,0,0)</f>
        <v>0</v>
      </c>
      <c r="AJ930" s="117">
        <f>IF(AC930&gt;0,MAX(IF('FA Addition'!$N930="SLM",($AC930-'FA Addition'!$M930)*'FA Addition'!$P930*AI930/365,(AC930-'FA Addition'!$M930)*(1-(1-'FA Addition'!$P930)^(AI930/365))),0),0)</f>
        <v>0</v>
      </c>
      <c r="AL930" s="117">
        <f>MAX(IF(AG930&gt;0,IF('FA Addition'!$N930="SLM",($AE930-'FA Addition'!$M930)*'FA Addition'!$P930*AG930/365,IFERROR(VDB(AE930,AE930*0.05,'FA Addition'!$O930,0,YEARFRAC('FA Addition'!$C930,$P$1-1,3),'FA Addition'!$Q930),FAAddition[[#This Row],[Original Cost (Rs)]]-FAAddition[[#This Row],[Salvage Value]])),0),0)</f>
        <v>0</v>
      </c>
      <c r="AM930" s="119"/>
      <c r="AN930" s="117">
        <f>MAX(IF(AH930&gt;0,IF('FA Addition'!$N930="SLM",($AF930-'FA Addition'!$M930)*'FA Addition'!$P930*AH930/365,IFERROR(VDB(AF930,AF930*0.05,'FA Addition'!$O930,0,YEARFRAC('FA Addition'!$C930,$L$1,3),'FA Addition'!$Q930),FAAddition[[#This Row],[Original Cost (Rs)]]-FAAddition[[#This Row],[Salvage Value]])),0),0)</f>
        <v>511.84087230268779</v>
      </c>
      <c r="AO930" s="117">
        <f t="shared" si="73"/>
        <v>511.84087230268779</v>
      </c>
      <c r="AQ930" s="117">
        <f t="shared" si="71"/>
        <v>0</v>
      </c>
      <c r="AR930" s="120">
        <f t="shared" si="72"/>
        <v>12149.179127697313</v>
      </c>
      <c r="AS930" s="121"/>
    </row>
    <row r="931" spans="1:45" ht="13.5" x14ac:dyDescent="0.4">
      <c r="A931" s="12">
        <f t="shared" si="74"/>
        <v>928</v>
      </c>
      <c r="B931" s="64" t="s">
        <v>1308</v>
      </c>
      <c r="C931" s="54">
        <v>45328</v>
      </c>
      <c r="D931" s="54">
        <v>45328</v>
      </c>
      <c r="E931" s="46" t="s">
        <v>32</v>
      </c>
      <c r="F931" s="51" t="s">
        <v>1090</v>
      </c>
      <c r="G931" s="51" t="s">
        <v>433</v>
      </c>
      <c r="H931" s="51" t="s">
        <v>32</v>
      </c>
      <c r="I931" s="55" t="s">
        <v>1704</v>
      </c>
      <c r="J931" s="56">
        <v>2000</v>
      </c>
      <c r="K931" s="51" t="s">
        <v>935</v>
      </c>
      <c r="L931" s="58">
        <v>1980000</v>
      </c>
      <c r="M931" s="50">
        <f>ROUND('FA Addition'!$L931*5%,0.1)</f>
        <v>99000</v>
      </c>
      <c r="N931" s="113" t="str">
        <f>_xlfn.XLOOKUP(_xlfn.CONCAT(E931,B931),'Year Wise Master Dep Approach'!F:F,'Year Wise Master Dep Approach'!D:D)</f>
        <v>SLM</v>
      </c>
      <c r="O931" s="113">
        <f>_xlfn.XLOOKUP(_xlfn.CONCAT(E931,B931),'Year Wise Master Dep Approach'!F:F,'Year Wise Master Dep Approach'!E:E)</f>
        <v>5</v>
      </c>
      <c r="P931" s="114">
        <f>IFERROR(IF('FA Addition'!$N931="WDV",1-('FA Addition'!$M931/'FA Addition'!$L931)^(1/'FA Addition'!$O931),1/'FA Addition'!$O931),0)</f>
        <v>0.2</v>
      </c>
      <c r="Q931" s="122">
        <f>'FA Addition'!$P931*'FA Addition'!$O931</f>
        <v>1</v>
      </c>
      <c r="R931" s="122"/>
      <c r="S931" s="116">
        <f>IF(AND(DATE(20&amp;LEFT(FAAddition[[#This Row],[FY]],2),4,1)&lt;$L$1+1,DATE(20&amp;LEFT(FAAddition[[#This Row],[FY]],2),4,1)&gt;$P$1-1),'FA Addition'!$J931,0)</f>
        <v>2000</v>
      </c>
      <c r="U931" s="117">
        <f>S931*'FA Addition'!$L931/'FA Addition'!$J931</f>
        <v>1980000</v>
      </c>
      <c r="W931" s="116">
        <f>SUMIFS('FA Write off'!D:D,'FA Write off'!A:A,'FA Addition'!$A931,'FA Write off'!C:C,"&lt;"&amp;'FA Addition'!$P$1)</f>
        <v>126</v>
      </c>
      <c r="Y931" s="191">
        <f>IFERROR(W931/'FA Addition'!$J931*'FA Addition'!$L931,0)</f>
        <v>124740</v>
      </c>
      <c r="AA931" s="116">
        <f>SUMIFS('FA Write off'!D:D,'FA Write off'!A:A,'FA Addition'!$A931,'FA Write off'!C:C,"&lt;"&amp;'FA Addition'!$L$1+1,'FA Write off'!C:C,"&gt;"&amp;'FA Addition'!$L$1-365)</f>
        <v>0</v>
      </c>
      <c r="AC931" s="118">
        <f>IFERROR(AA931/'FA Addition'!$J931*'FA Addition'!$L931,0)</f>
        <v>0</v>
      </c>
      <c r="AE931" s="117">
        <f>IF(AND('FA Addition'!$D931&lt;$P$1+1,U931=0),'FA Addition'!$L931,0)-Y931</f>
        <v>-124740</v>
      </c>
      <c r="AF931" s="117">
        <f t="shared" si="70"/>
        <v>1855260</v>
      </c>
      <c r="AG931" s="117">
        <f>MIN(MAX(+$P$1-'FA Addition'!$D931,0),365*'FA Addition'!$O931)</f>
        <v>0</v>
      </c>
      <c r="AH931" s="117">
        <f>MIN(MAX($L$1-'FA Addition'!$D931+1,0),365*'FA Addition'!$O931)</f>
        <v>55</v>
      </c>
      <c r="AI931" s="117" cm="1">
        <f t="array" ref="AI931">_xlfn.XLOOKUP(1,('FA Write off'!A:A='FA Addition'!$A931)*('FA Write off'!D:D=AA931),'FA Write off'!H:H,0,0)</f>
        <v>0</v>
      </c>
      <c r="AJ931" s="117">
        <f>IF(AC931&gt;0,MAX(IF('FA Addition'!$N931="SLM",($AC931-'FA Addition'!$M931)*'FA Addition'!$P931*AI931/365,(AC931-'FA Addition'!$M931)*(1-(1-'FA Addition'!$P931)^(AI931/365))),0),0)</f>
        <v>0</v>
      </c>
      <c r="AL931" s="117">
        <f>MAX(IF(AG931&gt;0,IF('FA Addition'!$N931="SLM",($AE931-'FA Addition'!$M931)*'FA Addition'!$P931*AG931/365,IFERROR(VDB(AE931,AE931*0.05,'FA Addition'!$O931,0,YEARFRAC('FA Addition'!$C931,$P$1-1,3),'FA Addition'!$Q931),FAAddition[[#This Row],[Original Cost (Rs)]]-FAAddition[[#This Row],[Salvage Value]])),0),0)</f>
        <v>0</v>
      </c>
      <c r="AM931" s="119"/>
      <c r="AN931" s="117">
        <f>MAX(IF(AH931&gt;0,IF('FA Addition'!$N931="SLM",($AF931-'FA Addition'!$M931)*'FA Addition'!$P931*AH931/365,IFERROR(VDB(AF931,AF931*0.05,'FA Addition'!$O931,0,YEARFRAC('FA Addition'!$C931,$L$1,3),'FA Addition'!$Q931),FAAddition[[#This Row],[Original Cost (Rs)]]-FAAddition[[#This Row],[Salvage Value]])),0),0)</f>
        <v>52928.383561643837</v>
      </c>
      <c r="AO931" s="117">
        <f t="shared" si="73"/>
        <v>52928.383561643837</v>
      </c>
      <c r="AQ931" s="117">
        <f t="shared" si="71"/>
        <v>-124740</v>
      </c>
      <c r="AR931" s="120">
        <f t="shared" si="72"/>
        <v>1802331.6164383562</v>
      </c>
      <c r="AS931" s="121"/>
    </row>
    <row r="932" spans="1:45" ht="13.5" x14ac:dyDescent="0.4">
      <c r="A932" s="12">
        <f t="shared" si="74"/>
        <v>929</v>
      </c>
      <c r="B932" s="64" t="s">
        <v>1308</v>
      </c>
      <c r="C932" s="54">
        <v>45328</v>
      </c>
      <c r="D932" s="54">
        <v>45328</v>
      </c>
      <c r="E932" s="46" t="s">
        <v>451</v>
      </c>
      <c r="F932" s="51" t="s">
        <v>19</v>
      </c>
      <c r="G932" s="51" t="s">
        <v>1239</v>
      </c>
      <c r="H932" s="51" t="s">
        <v>21</v>
      </c>
      <c r="I932" s="55" t="s">
        <v>1705</v>
      </c>
      <c r="J932" s="56">
        <v>1</v>
      </c>
      <c r="K932" s="51" t="s">
        <v>1706</v>
      </c>
      <c r="L932" s="58">
        <v>58466.1</v>
      </c>
      <c r="M932" s="50">
        <f>ROUND('FA Addition'!$L932*5%,0.1)</f>
        <v>2923</v>
      </c>
      <c r="N932" s="113" t="str">
        <f>_xlfn.XLOOKUP(_xlfn.CONCAT(E932,B932),'Year Wise Master Dep Approach'!F:F,'Year Wise Master Dep Approach'!D:D)</f>
        <v>WDV</v>
      </c>
      <c r="O932" s="113">
        <f>_xlfn.XLOOKUP(_xlfn.CONCAT(E932,B932),'Year Wise Master Dep Approach'!F:F,'Year Wise Master Dep Approach'!E:E)</f>
        <v>3</v>
      </c>
      <c r="P932" s="114">
        <f>IFERROR(IF('FA Addition'!$N932="WDV",1-('FA Addition'!$M932/'FA Addition'!$L932)^(1/'FA Addition'!$O932),1/'FA Addition'!$O932),0)</f>
        <v>0.63160966290195653</v>
      </c>
      <c r="Q932" s="122">
        <f>'FA Addition'!$P932*'FA Addition'!$O932</f>
        <v>1.8948289887058696</v>
      </c>
      <c r="R932" s="122"/>
      <c r="S932" s="116">
        <f>IF(AND(DATE(20&amp;LEFT(FAAddition[[#This Row],[FY]],2),4,1)&lt;$L$1+1,DATE(20&amp;LEFT(FAAddition[[#This Row],[FY]],2),4,1)&gt;$P$1-1),'FA Addition'!$J932,0)</f>
        <v>1</v>
      </c>
      <c r="U932" s="117">
        <f>S932*'FA Addition'!$L932/'FA Addition'!$J932</f>
        <v>58466.1</v>
      </c>
      <c r="W932" s="116">
        <f>SUMIFS('FA Write off'!D:D,'FA Write off'!A:A,'FA Addition'!$A932,'FA Write off'!C:C,"&lt;"&amp;'FA Addition'!$P$1)</f>
        <v>0</v>
      </c>
      <c r="Y932" s="191">
        <f>IFERROR(W932/'FA Addition'!$J932*'FA Addition'!$L932,0)</f>
        <v>0</v>
      </c>
      <c r="AA932" s="116">
        <f>SUMIFS('FA Write off'!D:D,'FA Write off'!A:A,'FA Addition'!$A932,'FA Write off'!C:C,"&lt;"&amp;'FA Addition'!$L$1+1,'FA Write off'!C:C,"&gt;"&amp;'FA Addition'!$L$1-365)</f>
        <v>0</v>
      </c>
      <c r="AC932" s="118">
        <f>IFERROR(AA932/'FA Addition'!$J932*'FA Addition'!$L932,0)</f>
        <v>0</v>
      </c>
      <c r="AE932" s="117">
        <f>IF(AND('FA Addition'!$D932&lt;$P$1+1,U932=0),'FA Addition'!$L932,0)-Y932</f>
        <v>0</v>
      </c>
      <c r="AF932" s="117">
        <f t="shared" si="70"/>
        <v>58466.1</v>
      </c>
      <c r="AG932" s="117">
        <f>MIN(MAX(+$P$1-'FA Addition'!$D932,0),365*'FA Addition'!$O932)</f>
        <v>0</v>
      </c>
      <c r="AH932" s="117">
        <f>MIN(MAX($L$1-'FA Addition'!$D932+1,0),365*'FA Addition'!$O932)</f>
        <v>55</v>
      </c>
      <c r="AI932" s="117" cm="1">
        <f t="array" ref="AI932">_xlfn.XLOOKUP(1,('FA Write off'!A:A='FA Addition'!$A932)*('FA Write off'!D:D=AA932),'FA Write off'!H:H,0,0)</f>
        <v>0</v>
      </c>
      <c r="AJ932" s="117">
        <f>IF(AC932&gt;0,MAX(IF('FA Addition'!$N932="SLM",($AC932-'FA Addition'!$M932)*'FA Addition'!$P932*AI932/365,(AC932-'FA Addition'!$M932)*(1-(1-'FA Addition'!$P932)^(AI932/365))),0),0)</f>
        <v>0</v>
      </c>
      <c r="AL932" s="117">
        <f>MAX(IF(AG932&gt;0,IF('FA Addition'!$N932="SLM",($AE932-'FA Addition'!$M932)*'FA Addition'!$P932*AG932/365,IFERROR(VDB(AE932,AE932*0.05,'FA Addition'!$O932,0,YEARFRAC('FA Addition'!$C932,$P$1-1,3),'FA Addition'!$Q932),FAAddition[[#This Row],[Original Cost (Rs)]]-FAAddition[[#This Row],[Salvage Value]])),0),0)</f>
        <v>0</v>
      </c>
      <c r="AM932" s="119"/>
      <c r="AN932" s="117">
        <f>MAX(IF(AH932&gt;0,IF('FA Addition'!$N932="SLM",($AF932-'FA Addition'!$M932)*'FA Addition'!$P932*AH932/365,IFERROR(VDB(AF932,AF932*0.05,'FA Addition'!$O932,0,YEARFRAC('FA Addition'!$C932,$L$1,3),'FA Addition'!$Q932),FAAddition[[#This Row],[Original Cost (Rs)]]-FAAddition[[#This Row],[Salvage Value]])),0),0)</f>
        <v>5463.2841108448556</v>
      </c>
      <c r="AO932" s="117">
        <f t="shared" si="73"/>
        <v>5463.2841108448556</v>
      </c>
      <c r="AQ932" s="117">
        <f t="shared" si="71"/>
        <v>0</v>
      </c>
      <c r="AR932" s="120">
        <f t="shared" si="72"/>
        <v>53002.815889155143</v>
      </c>
      <c r="AS932" s="121"/>
    </row>
    <row r="933" spans="1:45" ht="13.5" x14ac:dyDescent="0.4">
      <c r="A933" s="12">
        <f t="shared" si="74"/>
        <v>930</v>
      </c>
      <c r="B933" s="64" t="s">
        <v>1308</v>
      </c>
      <c r="C933" s="54">
        <v>45330</v>
      </c>
      <c r="D933" s="54">
        <v>45330</v>
      </c>
      <c r="E933" s="46" t="s">
        <v>749</v>
      </c>
      <c r="F933" s="51" t="s">
        <v>74</v>
      </c>
      <c r="G933" s="51" t="s">
        <v>1585</v>
      </c>
      <c r="H933" s="51" t="s">
        <v>26</v>
      </c>
      <c r="I933" s="55" t="s">
        <v>1707</v>
      </c>
      <c r="J933" s="56">
        <v>539</v>
      </c>
      <c r="K933" s="51" t="s">
        <v>1587</v>
      </c>
      <c r="L933" s="58">
        <v>26950</v>
      </c>
      <c r="M933" s="50">
        <f>ROUND('FA Addition'!$L933*5%,0.1)</f>
        <v>1348</v>
      </c>
      <c r="N933" s="113" t="str">
        <f>_xlfn.XLOOKUP(_xlfn.CONCAT(E933,B933),'Year Wise Master Dep Approach'!F:F,'Year Wise Master Dep Approach'!D:D)</f>
        <v>WDV</v>
      </c>
      <c r="O933" s="113">
        <f>_xlfn.XLOOKUP(_xlfn.CONCAT(E933,B933),'Year Wise Master Dep Approach'!F:F,'Year Wise Master Dep Approach'!E:E)</f>
        <v>5</v>
      </c>
      <c r="P933" s="114">
        <f>IFERROR(IF('FA Addition'!$N933="WDV",1-('FA Addition'!$M933/'FA Addition'!$L933)^(1/'FA Addition'!$O933),1/'FA Addition'!$O933),0)</f>
        <v>0.4506789714813404</v>
      </c>
      <c r="Q933" s="122">
        <f>'FA Addition'!$P933*'FA Addition'!$O933</f>
        <v>2.2533948574067022</v>
      </c>
      <c r="R933" s="122"/>
      <c r="S933" s="116">
        <f>IF(AND(DATE(20&amp;LEFT(FAAddition[[#This Row],[FY]],2),4,1)&lt;$L$1+1,DATE(20&amp;LEFT(FAAddition[[#This Row],[FY]],2),4,1)&gt;$P$1-1),'FA Addition'!$J933,0)</f>
        <v>539</v>
      </c>
      <c r="U933" s="117">
        <f>S933*'FA Addition'!$L933/'FA Addition'!$J933</f>
        <v>26950</v>
      </c>
      <c r="W933" s="116">
        <f>SUMIFS('FA Write off'!D:D,'FA Write off'!A:A,'FA Addition'!$A933,'FA Write off'!C:C,"&lt;"&amp;'FA Addition'!$P$1)</f>
        <v>0</v>
      </c>
      <c r="Y933" s="191">
        <f>IFERROR(W933/'FA Addition'!$J933*'FA Addition'!$L933,0)</f>
        <v>0</v>
      </c>
      <c r="AA933" s="116">
        <f>SUMIFS('FA Write off'!D:D,'FA Write off'!A:A,'FA Addition'!$A933,'FA Write off'!C:C,"&lt;"&amp;'FA Addition'!$L$1+1,'FA Write off'!C:C,"&gt;"&amp;'FA Addition'!$L$1-365)</f>
        <v>0</v>
      </c>
      <c r="AC933" s="118">
        <f>IFERROR(AA933/'FA Addition'!$J933*'FA Addition'!$L933,0)</f>
        <v>0</v>
      </c>
      <c r="AE933" s="117">
        <f>IF(AND('FA Addition'!$D933&lt;$P$1+1,U933=0),'FA Addition'!$L933,0)-Y933</f>
        <v>0</v>
      </c>
      <c r="AF933" s="117">
        <f t="shared" si="70"/>
        <v>26950</v>
      </c>
      <c r="AG933" s="117">
        <f>MIN(MAX(+$P$1-'FA Addition'!$D933,0),365*'FA Addition'!$O933)</f>
        <v>0</v>
      </c>
      <c r="AH933" s="117">
        <f>MIN(MAX($L$1-'FA Addition'!$D933+1,0),365*'FA Addition'!$O933)</f>
        <v>53</v>
      </c>
      <c r="AI933" s="117" cm="1">
        <f t="array" ref="AI933">_xlfn.XLOOKUP(1,('FA Write off'!A:A='FA Addition'!$A933)*('FA Write off'!D:D=AA933),'FA Write off'!H:H,0,0)</f>
        <v>0</v>
      </c>
      <c r="AJ933" s="117">
        <f>IF(AC933&gt;0,MAX(IF('FA Addition'!$N933="SLM",($AC933-'FA Addition'!$M933)*'FA Addition'!$P933*AI933/365,(AC933-'FA Addition'!$M933)*(1-(1-'FA Addition'!$P933)^(AI933/365))),0),0)</f>
        <v>0</v>
      </c>
      <c r="AL933" s="117">
        <f>MAX(IF(AG933&gt;0,IF('FA Addition'!$N933="SLM",($AE933-'FA Addition'!$M933)*'FA Addition'!$P933*AG933/365,IFERROR(VDB(AE933,AE933*0.05,'FA Addition'!$O933,0,YEARFRAC('FA Addition'!$C933,$P$1-1,3),'FA Addition'!$Q933),FAAddition[[#This Row],[Original Cost (Rs)]]-FAAddition[[#This Row],[Salvage Value]])),0),0)</f>
        <v>0</v>
      </c>
      <c r="AM933" s="119"/>
      <c r="AN933" s="117">
        <f>MAX(IF(AH933&gt;0,IF('FA Addition'!$N933="SLM",($AF933-'FA Addition'!$M933)*'FA Addition'!$P933*AH933/365,IFERROR(VDB(AF933,AF933*0.05,'FA Addition'!$O933,0,YEARFRAC('FA Addition'!$C933,$L$1,3),'FA Addition'!$Q933),FAAddition[[#This Row],[Original Cost (Rs)]]-FAAddition[[#This Row],[Salvage Value]])),0),0)</f>
        <v>1730.3603031067137</v>
      </c>
      <c r="AO933" s="117">
        <f t="shared" si="73"/>
        <v>1730.3603031067137</v>
      </c>
      <c r="AQ933" s="117">
        <f t="shared" si="71"/>
        <v>0</v>
      </c>
      <c r="AR933" s="120">
        <f t="shared" si="72"/>
        <v>25219.639696893286</v>
      </c>
      <c r="AS933" s="121"/>
    </row>
    <row r="934" spans="1:45" ht="13.5" x14ac:dyDescent="0.4">
      <c r="A934" s="12">
        <f t="shared" si="74"/>
        <v>931</v>
      </c>
      <c r="B934" s="64" t="s">
        <v>1308</v>
      </c>
      <c r="C934" s="54">
        <v>45331</v>
      </c>
      <c r="D934" s="54">
        <v>45331</v>
      </c>
      <c r="E934" s="46" t="s">
        <v>749</v>
      </c>
      <c r="F934" s="51" t="s">
        <v>74</v>
      </c>
      <c r="G934" s="51" t="s">
        <v>1708</v>
      </c>
      <c r="H934" s="51" t="s">
        <v>26</v>
      </c>
      <c r="I934" s="55" t="s">
        <v>1709</v>
      </c>
      <c r="J934" s="56">
        <v>100</v>
      </c>
      <c r="K934" s="51" t="s">
        <v>1587</v>
      </c>
      <c r="L934" s="58">
        <v>8500</v>
      </c>
      <c r="M934" s="50">
        <f>ROUND('FA Addition'!$L934*5%,0.1)</f>
        <v>425</v>
      </c>
      <c r="N934" s="113" t="str">
        <f>_xlfn.XLOOKUP(_xlfn.CONCAT(E934,B934),'Year Wise Master Dep Approach'!F:F,'Year Wise Master Dep Approach'!D:D)</f>
        <v>WDV</v>
      </c>
      <c r="O934" s="113">
        <f>_xlfn.XLOOKUP(_xlfn.CONCAT(E934,B934),'Year Wise Master Dep Approach'!F:F,'Year Wise Master Dep Approach'!E:E)</f>
        <v>5</v>
      </c>
      <c r="P934" s="114">
        <f>IFERROR(IF('FA Addition'!$N934="WDV",1-('FA Addition'!$M934/'FA Addition'!$L934)^(1/'FA Addition'!$O934),1/'FA Addition'!$O934),0)</f>
        <v>0.45071972834694107</v>
      </c>
      <c r="Q934" s="122">
        <f>'FA Addition'!$P934*'FA Addition'!$O934</f>
        <v>2.2535986417347056</v>
      </c>
      <c r="R934" s="122"/>
      <c r="S934" s="116">
        <f>IF(AND(DATE(20&amp;LEFT(FAAddition[[#This Row],[FY]],2),4,1)&lt;$L$1+1,DATE(20&amp;LEFT(FAAddition[[#This Row],[FY]],2),4,1)&gt;$P$1-1),'FA Addition'!$J934,0)</f>
        <v>100</v>
      </c>
      <c r="U934" s="117">
        <f>S934*'FA Addition'!$L934/'FA Addition'!$J934</f>
        <v>8500</v>
      </c>
      <c r="W934" s="116">
        <f>SUMIFS('FA Write off'!D:D,'FA Write off'!A:A,'FA Addition'!$A934,'FA Write off'!C:C,"&lt;"&amp;'FA Addition'!$P$1)</f>
        <v>0</v>
      </c>
      <c r="Y934" s="191">
        <f>IFERROR(W934/'FA Addition'!$J934*'FA Addition'!$L934,0)</f>
        <v>0</v>
      </c>
      <c r="AA934" s="116">
        <f>SUMIFS('FA Write off'!D:D,'FA Write off'!A:A,'FA Addition'!$A934,'FA Write off'!C:C,"&lt;"&amp;'FA Addition'!$L$1+1,'FA Write off'!C:C,"&gt;"&amp;'FA Addition'!$L$1-365)</f>
        <v>0</v>
      </c>
      <c r="AC934" s="118">
        <f>IFERROR(AA934/'FA Addition'!$J934*'FA Addition'!$L934,0)</f>
        <v>0</v>
      </c>
      <c r="AE934" s="117">
        <f>IF(AND('FA Addition'!$D934&lt;$P$1+1,U934=0),'FA Addition'!$L934,0)-Y934</f>
        <v>0</v>
      </c>
      <c r="AF934" s="117">
        <f t="shared" si="70"/>
        <v>8500</v>
      </c>
      <c r="AG934" s="117">
        <f>MIN(MAX(+$P$1-'FA Addition'!$D934,0),365*'FA Addition'!$O934)</f>
        <v>0</v>
      </c>
      <c r="AH934" s="117">
        <f>MIN(MAX($L$1-'FA Addition'!$D934+1,0),365*'FA Addition'!$O934)</f>
        <v>52</v>
      </c>
      <c r="AI934" s="117" cm="1">
        <f t="array" ref="AI934">_xlfn.XLOOKUP(1,('FA Write off'!A:A='FA Addition'!$A934)*('FA Write off'!D:D=AA934),'FA Write off'!H:H,0,0)</f>
        <v>0</v>
      </c>
      <c r="AJ934" s="117">
        <f>IF(AC934&gt;0,MAX(IF('FA Addition'!$N934="SLM",($AC934-'FA Addition'!$M934)*'FA Addition'!$P934*AI934/365,(AC934-'FA Addition'!$M934)*(1-(1-'FA Addition'!$P934)^(AI934/365))),0),0)</f>
        <v>0</v>
      </c>
      <c r="AL934" s="117">
        <f>MAX(IF(AG934&gt;0,IF('FA Addition'!$N934="SLM",($AE934-'FA Addition'!$M934)*'FA Addition'!$P934*AG934/365,IFERROR(VDB(AE934,AE934*0.05,'FA Addition'!$O934,0,YEARFRAC('FA Addition'!$C934,$P$1-1,3),'FA Addition'!$Q934),FAAddition[[#This Row],[Original Cost (Rs)]]-FAAddition[[#This Row],[Salvage Value]])),0),0)</f>
        <v>0</v>
      </c>
      <c r="AM934" s="119"/>
      <c r="AN934" s="117">
        <f>MAX(IF(AH934&gt;0,IF('FA Addition'!$N934="SLM",($AF934-'FA Addition'!$M934)*'FA Addition'!$P934*AH934/365,IFERROR(VDB(AF934,AF934*0.05,'FA Addition'!$O934,0,YEARFRAC('FA Addition'!$C934,$L$1,3),'FA Addition'!$Q934),FAAddition[[#This Row],[Original Cost (Rs)]]-FAAddition[[#This Row],[Salvage Value]])),0),0)</f>
        <v>535.30685544766845</v>
      </c>
      <c r="AO934" s="117">
        <f t="shared" si="73"/>
        <v>535.30685544766845</v>
      </c>
      <c r="AQ934" s="117">
        <f t="shared" si="71"/>
        <v>0</v>
      </c>
      <c r="AR934" s="120">
        <f t="shared" si="72"/>
        <v>7964.6931445523314</v>
      </c>
      <c r="AS934" s="121"/>
    </row>
    <row r="935" spans="1:45" ht="13.5" x14ac:dyDescent="0.4">
      <c r="A935" s="12">
        <f t="shared" si="74"/>
        <v>932</v>
      </c>
      <c r="B935" s="64" t="s">
        <v>1308</v>
      </c>
      <c r="C935" s="54">
        <v>45332</v>
      </c>
      <c r="D935" s="54">
        <v>45332</v>
      </c>
      <c r="E935" s="46" t="s">
        <v>1320</v>
      </c>
      <c r="F935" s="51" t="s">
        <v>33</v>
      </c>
      <c r="G935" s="51" t="s">
        <v>36</v>
      </c>
      <c r="H935" s="51" t="s">
        <v>32</v>
      </c>
      <c r="I935" s="55" t="s">
        <v>1710</v>
      </c>
      <c r="J935" s="56">
        <v>500</v>
      </c>
      <c r="K935" s="51" t="s">
        <v>296</v>
      </c>
      <c r="L935" s="58">
        <v>850000</v>
      </c>
      <c r="M935" s="50">
        <f>ROUND('FA Addition'!$L935*5%,0.1)</f>
        <v>42500</v>
      </c>
      <c r="N935" s="113" t="str">
        <f>_xlfn.XLOOKUP(_xlfn.CONCAT(E935,B935),'Year Wise Master Dep Approach'!F:F,'Year Wise Master Dep Approach'!D:D)</f>
        <v>SLM</v>
      </c>
      <c r="O935" s="113">
        <f>_xlfn.XLOOKUP(_xlfn.CONCAT(E935,B935),'Year Wise Master Dep Approach'!F:F,'Year Wise Master Dep Approach'!E:E)</f>
        <v>5</v>
      </c>
      <c r="P935" s="114">
        <f>IFERROR(IF('FA Addition'!$N935="WDV",1-('FA Addition'!$M935/'FA Addition'!$L935)^(1/'FA Addition'!$O935),1/'FA Addition'!$O935),0)</f>
        <v>0.2</v>
      </c>
      <c r="Q935" s="122">
        <f>'FA Addition'!$P935*'FA Addition'!$O935</f>
        <v>1</v>
      </c>
      <c r="R935" s="122"/>
      <c r="S935" s="116">
        <f>IF(AND(DATE(20&amp;LEFT(FAAddition[[#This Row],[FY]],2),4,1)&lt;$L$1+1,DATE(20&amp;LEFT(FAAddition[[#This Row],[FY]],2),4,1)&gt;$P$1-1),'FA Addition'!$J935,0)</f>
        <v>500</v>
      </c>
      <c r="U935" s="117">
        <f>S935*'FA Addition'!$L935/'FA Addition'!$J935</f>
        <v>850000</v>
      </c>
      <c r="W935" s="116">
        <f>SUMIFS('FA Write off'!D:D,'FA Write off'!A:A,'FA Addition'!$A935,'FA Write off'!C:C,"&lt;"&amp;'FA Addition'!$P$1)</f>
        <v>0</v>
      </c>
      <c r="Y935" s="191">
        <f>IFERROR(W935/'FA Addition'!$J935*'FA Addition'!$L935,0)</f>
        <v>0</v>
      </c>
      <c r="AA935" s="116">
        <f>SUMIFS('FA Write off'!D:D,'FA Write off'!A:A,'FA Addition'!$A935,'FA Write off'!C:C,"&lt;"&amp;'FA Addition'!$L$1+1,'FA Write off'!C:C,"&gt;"&amp;'FA Addition'!$L$1-365)</f>
        <v>0</v>
      </c>
      <c r="AC935" s="118">
        <f>IFERROR(AA935/'FA Addition'!$J935*'FA Addition'!$L935,0)</f>
        <v>0</v>
      </c>
      <c r="AE935" s="117">
        <f>IF(AND('FA Addition'!$D935&lt;$P$1+1,U935=0),'FA Addition'!$L935,0)-Y935</f>
        <v>0</v>
      </c>
      <c r="AF935" s="117">
        <f t="shared" si="70"/>
        <v>850000</v>
      </c>
      <c r="AG935" s="117">
        <f>MIN(MAX(+$P$1-'FA Addition'!$D935,0),365*'FA Addition'!$O935)</f>
        <v>0</v>
      </c>
      <c r="AH935" s="117">
        <f>MIN(MAX($L$1-'FA Addition'!$D935+1,0),365*'FA Addition'!$O935)</f>
        <v>51</v>
      </c>
      <c r="AI935" s="117" cm="1">
        <f t="array" ref="AI935">_xlfn.XLOOKUP(1,('FA Write off'!A:A='FA Addition'!$A935)*('FA Write off'!D:D=AA935),'FA Write off'!H:H,0,0)</f>
        <v>0</v>
      </c>
      <c r="AJ935" s="117">
        <f>IF(AC935&gt;0,MAX(IF('FA Addition'!$N935="SLM",($AC935-'FA Addition'!$M935)*'FA Addition'!$P935*AI935/365,(AC935-'FA Addition'!$M935)*(1-(1-'FA Addition'!$P935)^(AI935/365))),0),0)</f>
        <v>0</v>
      </c>
      <c r="AL935" s="117">
        <f>MAX(IF(AG935&gt;0,IF('FA Addition'!$N935="SLM",($AE935-'FA Addition'!$M935)*'FA Addition'!$P935*AG935/365,IFERROR(VDB(AE935,AE935*0.05,'FA Addition'!$O935,0,YEARFRAC('FA Addition'!$C935,$P$1-1,3),'FA Addition'!$Q935),FAAddition[[#This Row],[Original Cost (Rs)]]-FAAddition[[#This Row],[Salvage Value]])),0),0)</f>
        <v>0</v>
      </c>
      <c r="AM935" s="119"/>
      <c r="AN935" s="117">
        <f>MAX(IF(AH935&gt;0,IF('FA Addition'!$N935="SLM",($AF935-'FA Addition'!$M935)*'FA Addition'!$P935*AH935/365,IFERROR(VDB(AF935,AF935*0.05,'FA Addition'!$O935,0,YEARFRAC('FA Addition'!$C935,$L$1,3),'FA Addition'!$Q935),FAAddition[[#This Row],[Original Cost (Rs)]]-FAAddition[[#This Row],[Salvage Value]])),0),0)</f>
        <v>22565.753424657534</v>
      </c>
      <c r="AO935" s="117">
        <f t="shared" si="73"/>
        <v>22565.753424657534</v>
      </c>
      <c r="AQ935" s="117">
        <f t="shared" si="71"/>
        <v>0</v>
      </c>
      <c r="AR935" s="120">
        <f t="shared" si="72"/>
        <v>827434.24657534249</v>
      </c>
      <c r="AS935" s="121"/>
    </row>
    <row r="936" spans="1:45" ht="13.5" x14ac:dyDescent="0.4">
      <c r="A936" s="12">
        <f t="shared" si="74"/>
        <v>933</v>
      </c>
      <c r="B936" s="64" t="s">
        <v>1308</v>
      </c>
      <c r="C936" s="54">
        <v>45334</v>
      </c>
      <c r="D936" s="54">
        <v>45334</v>
      </c>
      <c r="E936" s="46" t="s">
        <v>1320</v>
      </c>
      <c r="F936" s="51" t="s">
        <v>33</v>
      </c>
      <c r="G936" s="51" t="s">
        <v>36</v>
      </c>
      <c r="H936" s="51" t="s">
        <v>32</v>
      </c>
      <c r="I936" s="55" t="s">
        <v>1711</v>
      </c>
      <c r="J936" s="56">
        <v>1000</v>
      </c>
      <c r="K936" s="51" t="s">
        <v>296</v>
      </c>
      <c r="L936" s="58">
        <v>1700000</v>
      </c>
      <c r="M936" s="50">
        <f>ROUND('FA Addition'!$L936*5%,0.1)</f>
        <v>85000</v>
      </c>
      <c r="N936" s="113" t="str">
        <f>_xlfn.XLOOKUP(_xlfn.CONCAT(E936,B936),'Year Wise Master Dep Approach'!F:F,'Year Wise Master Dep Approach'!D:D)</f>
        <v>SLM</v>
      </c>
      <c r="O936" s="113">
        <f>_xlfn.XLOOKUP(_xlfn.CONCAT(E936,B936),'Year Wise Master Dep Approach'!F:F,'Year Wise Master Dep Approach'!E:E)</f>
        <v>5</v>
      </c>
      <c r="P936" s="114">
        <f>IFERROR(IF('FA Addition'!$N936="WDV",1-('FA Addition'!$M936/'FA Addition'!$L936)^(1/'FA Addition'!$O936),1/'FA Addition'!$O936),0)</f>
        <v>0.2</v>
      </c>
      <c r="Q936" s="122">
        <f>'FA Addition'!$P936*'FA Addition'!$O936</f>
        <v>1</v>
      </c>
      <c r="R936" s="122"/>
      <c r="S936" s="116">
        <f>IF(AND(DATE(20&amp;LEFT(FAAddition[[#This Row],[FY]],2),4,1)&lt;$L$1+1,DATE(20&amp;LEFT(FAAddition[[#This Row],[FY]],2),4,1)&gt;$P$1-1),'FA Addition'!$J936,0)</f>
        <v>1000</v>
      </c>
      <c r="U936" s="117">
        <f>S936*'FA Addition'!$L936/'FA Addition'!$J936</f>
        <v>1700000</v>
      </c>
      <c r="W936" s="116">
        <f>SUMIFS('FA Write off'!D:D,'FA Write off'!A:A,'FA Addition'!$A936,'FA Write off'!C:C,"&lt;"&amp;'FA Addition'!$P$1)</f>
        <v>0</v>
      </c>
      <c r="Y936" s="191">
        <f>IFERROR(W936/'FA Addition'!$J936*'FA Addition'!$L936,0)</f>
        <v>0</v>
      </c>
      <c r="AA936" s="116">
        <f>SUMIFS('FA Write off'!D:D,'FA Write off'!A:A,'FA Addition'!$A936,'FA Write off'!C:C,"&lt;"&amp;'FA Addition'!$L$1+1,'FA Write off'!C:C,"&gt;"&amp;'FA Addition'!$L$1-365)</f>
        <v>0</v>
      </c>
      <c r="AC936" s="118">
        <f>IFERROR(AA936/'FA Addition'!$J936*'FA Addition'!$L936,0)</f>
        <v>0</v>
      </c>
      <c r="AE936" s="117">
        <f>IF(AND('FA Addition'!$D936&lt;$P$1+1,U936=0),'FA Addition'!$L936,0)-Y936</f>
        <v>0</v>
      </c>
      <c r="AF936" s="117">
        <f t="shared" si="70"/>
        <v>1700000</v>
      </c>
      <c r="AG936" s="117">
        <f>MIN(MAX(+$P$1-'FA Addition'!$D936,0),365*'FA Addition'!$O936)</f>
        <v>0</v>
      </c>
      <c r="AH936" s="117">
        <f>MIN(MAX($L$1-'FA Addition'!$D936+1,0),365*'FA Addition'!$O936)</f>
        <v>49</v>
      </c>
      <c r="AI936" s="117" cm="1">
        <f t="array" ref="AI936">_xlfn.XLOOKUP(1,('FA Write off'!A:A='FA Addition'!$A936)*('FA Write off'!D:D=AA936),'FA Write off'!H:H,0,0)</f>
        <v>0</v>
      </c>
      <c r="AJ936" s="117">
        <f>IF(AC936&gt;0,MAX(IF('FA Addition'!$N936="SLM",($AC936-'FA Addition'!$M936)*'FA Addition'!$P936*AI936/365,(AC936-'FA Addition'!$M936)*(1-(1-'FA Addition'!$P936)^(AI936/365))),0),0)</f>
        <v>0</v>
      </c>
      <c r="AL936" s="117">
        <f>MAX(IF(AG936&gt;0,IF('FA Addition'!$N936="SLM",($AE936-'FA Addition'!$M936)*'FA Addition'!$P936*AG936/365,IFERROR(VDB(AE936,AE936*0.05,'FA Addition'!$O936,0,YEARFRAC('FA Addition'!$C936,$P$1-1,3),'FA Addition'!$Q936),FAAddition[[#This Row],[Original Cost (Rs)]]-FAAddition[[#This Row],[Salvage Value]])),0),0)</f>
        <v>0</v>
      </c>
      <c r="AM936" s="119"/>
      <c r="AN936" s="117">
        <f>MAX(IF(AH936&gt;0,IF('FA Addition'!$N936="SLM",($AF936-'FA Addition'!$M936)*'FA Addition'!$P936*AH936/365,IFERROR(VDB(AF936,AF936*0.05,'FA Addition'!$O936,0,YEARFRAC('FA Addition'!$C936,$L$1,3),'FA Addition'!$Q936),FAAddition[[#This Row],[Original Cost (Rs)]]-FAAddition[[#This Row],[Salvage Value]])),0),0)</f>
        <v>43361.643835616436</v>
      </c>
      <c r="AO936" s="117">
        <f t="shared" si="73"/>
        <v>43361.643835616436</v>
      </c>
      <c r="AQ936" s="117">
        <f t="shared" si="71"/>
        <v>0</v>
      </c>
      <c r="AR936" s="120">
        <f t="shared" si="72"/>
        <v>1656638.3561643835</v>
      </c>
      <c r="AS936" s="121"/>
    </row>
    <row r="937" spans="1:45" ht="13.5" x14ac:dyDescent="0.4">
      <c r="A937" s="12">
        <f t="shared" si="74"/>
        <v>934</v>
      </c>
      <c r="B937" s="64" t="s">
        <v>1308</v>
      </c>
      <c r="C937" s="54">
        <v>45335</v>
      </c>
      <c r="D937" s="54">
        <v>45335</v>
      </c>
      <c r="E937" s="46" t="s">
        <v>1320</v>
      </c>
      <c r="F937" s="51" t="s">
        <v>33</v>
      </c>
      <c r="G937" s="51" t="s">
        <v>34</v>
      </c>
      <c r="H937" s="51" t="s">
        <v>32</v>
      </c>
      <c r="I937" s="55" t="s">
        <v>1712</v>
      </c>
      <c r="J937" s="56">
        <v>1000</v>
      </c>
      <c r="K937" s="51" t="s">
        <v>1322</v>
      </c>
      <c r="L937" s="58">
        <v>1950000</v>
      </c>
      <c r="M937" s="50">
        <f>ROUND('FA Addition'!$L937*5%,0.1)</f>
        <v>97500</v>
      </c>
      <c r="N937" s="113" t="str">
        <f>_xlfn.XLOOKUP(_xlfn.CONCAT(E937,B937),'Year Wise Master Dep Approach'!F:F,'Year Wise Master Dep Approach'!D:D)</f>
        <v>SLM</v>
      </c>
      <c r="O937" s="113">
        <f>_xlfn.XLOOKUP(_xlfn.CONCAT(E937,B937),'Year Wise Master Dep Approach'!F:F,'Year Wise Master Dep Approach'!E:E)</f>
        <v>5</v>
      </c>
      <c r="P937" s="114">
        <f>IFERROR(IF('FA Addition'!$N937="WDV",1-('FA Addition'!$M937/'FA Addition'!$L937)^(1/'FA Addition'!$O937),1/'FA Addition'!$O937),0)</f>
        <v>0.2</v>
      </c>
      <c r="Q937" s="122">
        <f>'FA Addition'!$P937*'FA Addition'!$O937</f>
        <v>1</v>
      </c>
      <c r="R937" s="122"/>
      <c r="S937" s="116">
        <f>IF(AND(DATE(20&amp;LEFT(FAAddition[[#This Row],[FY]],2),4,1)&lt;$L$1+1,DATE(20&amp;LEFT(FAAddition[[#This Row],[FY]],2),4,1)&gt;$P$1-1),'FA Addition'!$J937,0)</f>
        <v>1000</v>
      </c>
      <c r="U937" s="117">
        <f>S937*'FA Addition'!$L937/'FA Addition'!$J937</f>
        <v>1950000</v>
      </c>
      <c r="W937" s="116">
        <f>SUMIFS('FA Write off'!D:D,'FA Write off'!A:A,'FA Addition'!$A937,'FA Write off'!C:C,"&lt;"&amp;'FA Addition'!$P$1)</f>
        <v>0</v>
      </c>
      <c r="Y937" s="191">
        <f>IFERROR(W937/'FA Addition'!$J937*'FA Addition'!$L937,0)</f>
        <v>0</v>
      </c>
      <c r="AA937" s="116">
        <f>SUMIFS('FA Write off'!D:D,'FA Write off'!A:A,'FA Addition'!$A937,'FA Write off'!C:C,"&lt;"&amp;'FA Addition'!$L$1+1,'FA Write off'!C:C,"&gt;"&amp;'FA Addition'!$L$1-365)</f>
        <v>0</v>
      </c>
      <c r="AC937" s="118">
        <f>IFERROR(AA937/'FA Addition'!$J937*'FA Addition'!$L937,0)</f>
        <v>0</v>
      </c>
      <c r="AE937" s="117">
        <f>IF(AND('FA Addition'!$D937&lt;$P$1+1,U937=0),'FA Addition'!$L937,0)-Y937</f>
        <v>0</v>
      </c>
      <c r="AF937" s="117">
        <f t="shared" si="70"/>
        <v>1950000</v>
      </c>
      <c r="AG937" s="117">
        <f>MIN(MAX(+$P$1-'FA Addition'!$D937,0),365*'FA Addition'!$O937)</f>
        <v>0</v>
      </c>
      <c r="AH937" s="117">
        <f>MIN(MAX($L$1-'FA Addition'!$D937+1,0),365*'FA Addition'!$O937)</f>
        <v>48</v>
      </c>
      <c r="AI937" s="117" cm="1">
        <f t="array" ref="AI937">_xlfn.XLOOKUP(1,('FA Write off'!A:A='FA Addition'!$A937)*('FA Write off'!D:D=AA937),'FA Write off'!H:H,0,0)</f>
        <v>0</v>
      </c>
      <c r="AJ937" s="117">
        <f>IF(AC937&gt;0,MAX(IF('FA Addition'!$N937="SLM",($AC937-'FA Addition'!$M937)*'FA Addition'!$P937*AI937/365,(AC937-'FA Addition'!$M937)*(1-(1-'FA Addition'!$P937)^(AI937/365))),0),0)</f>
        <v>0</v>
      </c>
      <c r="AL937" s="117">
        <f>MAX(IF(AG937&gt;0,IF('FA Addition'!$N937="SLM",($AE937-'FA Addition'!$M937)*'FA Addition'!$P937*AG937/365,IFERROR(VDB(AE937,AE937*0.05,'FA Addition'!$O937,0,YEARFRAC('FA Addition'!$C937,$P$1-1,3),'FA Addition'!$Q937),FAAddition[[#This Row],[Original Cost (Rs)]]-FAAddition[[#This Row],[Salvage Value]])),0),0)</f>
        <v>0</v>
      </c>
      <c r="AM937" s="119"/>
      <c r="AN937" s="117">
        <f>MAX(IF(AH937&gt;0,IF('FA Addition'!$N937="SLM",($AF937-'FA Addition'!$M937)*'FA Addition'!$P937*AH937/365,IFERROR(VDB(AF937,AF937*0.05,'FA Addition'!$O937,0,YEARFRAC('FA Addition'!$C937,$L$1,3),'FA Addition'!$Q937),FAAddition[[#This Row],[Original Cost (Rs)]]-FAAddition[[#This Row],[Salvage Value]])),0),0)</f>
        <v>48723.28767123288</v>
      </c>
      <c r="AO937" s="117">
        <f t="shared" si="73"/>
        <v>48723.28767123288</v>
      </c>
      <c r="AQ937" s="117">
        <f t="shared" si="71"/>
        <v>0</v>
      </c>
      <c r="AR937" s="120">
        <f t="shared" si="72"/>
        <v>1901276.7123287672</v>
      </c>
      <c r="AS937" s="121"/>
    </row>
    <row r="938" spans="1:45" ht="13.5" x14ac:dyDescent="0.4">
      <c r="A938" s="12">
        <f t="shared" si="74"/>
        <v>935</v>
      </c>
      <c r="B938" s="64" t="s">
        <v>1308</v>
      </c>
      <c r="C938" s="54">
        <v>45335</v>
      </c>
      <c r="D938" s="54">
        <v>45335</v>
      </c>
      <c r="E938" s="46" t="s">
        <v>1320</v>
      </c>
      <c r="F938" s="51" t="s">
        <v>33</v>
      </c>
      <c r="G938" s="51" t="s">
        <v>36</v>
      </c>
      <c r="H938" s="51" t="s">
        <v>32</v>
      </c>
      <c r="I938" s="55" t="s">
        <v>1713</v>
      </c>
      <c r="J938" s="56">
        <v>1000</v>
      </c>
      <c r="K938" s="51" t="s">
        <v>296</v>
      </c>
      <c r="L938" s="58">
        <v>1700000</v>
      </c>
      <c r="M938" s="50">
        <f>ROUND('FA Addition'!$L938*5%,0.1)</f>
        <v>85000</v>
      </c>
      <c r="N938" s="113" t="str">
        <f>_xlfn.XLOOKUP(_xlfn.CONCAT(E938,B938),'Year Wise Master Dep Approach'!F:F,'Year Wise Master Dep Approach'!D:D)</f>
        <v>SLM</v>
      </c>
      <c r="O938" s="113">
        <f>_xlfn.XLOOKUP(_xlfn.CONCAT(E938,B938),'Year Wise Master Dep Approach'!F:F,'Year Wise Master Dep Approach'!E:E)</f>
        <v>5</v>
      </c>
      <c r="P938" s="114">
        <f>IFERROR(IF('FA Addition'!$N938="WDV",1-('FA Addition'!$M938/'FA Addition'!$L938)^(1/'FA Addition'!$O938),1/'FA Addition'!$O938),0)</f>
        <v>0.2</v>
      </c>
      <c r="Q938" s="122">
        <f>'FA Addition'!$P938*'FA Addition'!$O938</f>
        <v>1</v>
      </c>
      <c r="R938" s="122"/>
      <c r="S938" s="116">
        <f>IF(AND(DATE(20&amp;LEFT(FAAddition[[#This Row],[FY]],2),4,1)&lt;$L$1+1,DATE(20&amp;LEFT(FAAddition[[#This Row],[FY]],2),4,1)&gt;$P$1-1),'FA Addition'!$J938,0)</f>
        <v>1000</v>
      </c>
      <c r="U938" s="117">
        <f>S938*'FA Addition'!$L938/'FA Addition'!$J938</f>
        <v>1700000</v>
      </c>
      <c r="W938" s="116">
        <f>SUMIFS('FA Write off'!D:D,'FA Write off'!A:A,'FA Addition'!$A938,'FA Write off'!C:C,"&lt;"&amp;'FA Addition'!$P$1)</f>
        <v>0</v>
      </c>
      <c r="Y938" s="191">
        <f>IFERROR(W938/'FA Addition'!$J938*'FA Addition'!$L938,0)</f>
        <v>0</v>
      </c>
      <c r="AA938" s="116">
        <f>SUMIFS('FA Write off'!D:D,'FA Write off'!A:A,'FA Addition'!$A938,'FA Write off'!C:C,"&lt;"&amp;'FA Addition'!$L$1+1,'FA Write off'!C:C,"&gt;"&amp;'FA Addition'!$L$1-365)</f>
        <v>0</v>
      </c>
      <c r="AC938" s="118">
        <f>IFERROR(AA938/'FA Addition'!$J938*'FA Addition'!$L938,0)</f>
        <v>0</v>
      </c>
      <c r="AE938" s="117">
        <f>IF(AND('FA Addition'!$D938&lt;$P$1+1,U938=0),'FA Addition'!$L938,0)-Y938</f>
        <v>0</v>
      </c>
      <c r="AF938" s="117">
        <f t="shared" si="70"/>
        <v>1700000</v>
      </c>
      <c r="AG938" s="117">
        <f>MIN(MAX(+$P$1-'FA Addition'!$D938,0),365*'FA Addition'!$O938)</f>
        <v>0</v>
      </c>
      <c r="AH938" s="117">
        <f>MIN(MAX($L$1-'FA Addition'!$D938+1,0),365*'FA Addition'!$O938)</f>
        <v>48</v>
      </c>
      <c r="AI938" s="117" cm="1">
        <f t="array" ref="AI938">_xlfn.XLOOKUP(1,('FA Write off'!A:A='FA Addition'!$A938)*('FA Write off'!D:D=AA938),'FA Write off'!H:H,0,0)</f>
        <v>0</v>
      </c>
      <c r="AJ938" s="117">
        <f>IF(AC938&gt;0,MAX(IF('FA Addition'!$N938="SLM",($AC938-'FA Addition'!$M938)*'FA Addition'!$P938*AI938/365,(AC938-'FA Addition'!$M938)*(1-(1-'FA Addition'!$P938)^(AI938/365))),0),0)</f>
        <v>0</v>
      </c>
      <c r="AL938" s="117">
        <f>MAX(IF(AG938&gt;0,IF('FA Addition'!$N938="SLM",($AE938-'FA Addition'!$M938)*'FA Addition'!$P938*AG938/365,IFERROR(VDB(AE938,AE938*0.05,'FA Addition'!$O938,0,YEARFRAC('FA Addition'!$C938,$P$1-1,3),'FA Addition'!$Q938),FAAddition[[#This Row],[Original Cost (Rs)]]-FAAddition[[#This Row],[Salvage Value]])),0),0)</f>
        <v>0</v>
      </c>
      <c r="AM938" s="119"/>
      <c r="AN938" s="117">
        <f>MAX(IF(AH938&gt;0,IF('FA Addition'!$N938="SLM",($AF938-'FA Addition'!$M938)*'FA Addition'!$P938*AH938/365,IFERROR(VDB(AF938,AF938*0.05,'FA Addition'!$O938,0,YEARFRAC('FA Addition'!$C938,$L$1,3),'FA Addition'!$Q938),FAAddition[[#This Row],[Original Cost (Rs)]]-FAAddition[[#This Row],[Salvage Value]])),0),0)</f>
        <v>42476.71232876712</v>
      </c>
      <c r="AO938" s="117">
        <f t="shared" si="73"/>
        <v>42476.71232876712</v>
      </c>
      <c r="AQ938" s="117">
        <f t="shared" si="71"/>
        <v>0</v>
      </c>
      <c r="AR938" s="120">
        <f t="shared" si="72"/>
        <v>1657523.2876712328</v>
      </c>
      <c r="AS938" s="121"/>
    </row>
    <row r="939" spans="1:45" ht="13.5" x14ac:dyDescent="0.4">
      <c r="A939" s="12">
        <f t="shared" si="74"/>
        <v>936</v>
      </c>
      <c r="B939" s="64" t="s">
        <v>1308</v>
      </c>
      <c r="C939" s="54">
        <v>45336</v>
      </c>
      <c r="D939" s="54">
        <v>45336</v>
      </c>
      <c r="E939" s="46" t="s">
        <v>1320</v>
      </c>
      <c r="F939" s="51" t="s">
        <v>33</v>
      </c>
      <c r="G939" s="51" t="s">
        <v>36</v>
      </c>
      <c r="H939" s="51" t="s">
        <v>32</v>
      </c>
      <c r="I939" s="55" t="s">
        <v>1714</v>
      </c>
      <c r="J939" s="56">
        <v>700</v>
      </c>
      <c r="K939" s="51" t="s">
        <v>296</v>
      </c>
      <c r="L939" s="58">
        <v>1190000</v>
      </c>
      <c r="M939" s="50">
        <f>ROUND('FA Addition'!$L939*5%,0.1)</f>
        <v>59500</v>
      </c>
      <c r="N939" s="113" t="str">
        <f>_xlfn.XLOOKUP(_xlfn.CONCAT(E939,B939),'Year Wise Master Dep Approach'!F:F,'Year Wise Master Dep Approach'!D:D)</f>
        <v>SLM</v>
      </c>
      <c r="O939" s="113">
        <f>_xlfn.XLOOKUP(_xlfn.CONCAT(E939,B939),'Year Wise Master Dep Approach'!F:F,'Year Wise Master Dep Approach'!E:E)</f>
        <v>5</v>
      </c>
      <c r="P939" s="114">
        <f>IFERROR(IF('FA Addition'!$N939="WDV",1-('FA Addition'!$M939/'FA Addition'!$L939)^(1/'FA Addition'!$O939),1/'FA Addition'!$O939),0)</f>
        <v>0.2</v>
      </c>
      <c r="Q939" s="122">
        <f>'FA Addition'!$P939*'FA Addition'!$O939</f>
        <v>1</v>
      </c>
      <c r="R939" s="122"/>
      <c r="S939" s="116">
        <f>IF(AND(DATE(20&amp;LEFT(FAAddition[[#This Row],[FY]],2),4,1)&lt;$L$1+1,DATE(20&amp;LEFT(FAAddition[[#This Row],[FY]],2),4,1)&gt;$P$1-1),'FA Addition'!$J939,0)</f>
        <v>700</v>
      </c>
      <c r="U939" s="117">
        <f>S939*'FA Addition'!$L939/'FA Addition'!$J939</f>
        <v>1190000</v>
      </c>
      <c r="W939" s="116">
        <f>SUMIFS('FA Write off'!D:D,'FA Write off'!A:A,'FA Addition'!$A939,'FA Write off'!C:C,"&lt;"&amp;'FA Addition'!$P$1)</f>
        <v>0</v>
      </c>
      <c r="Y939" s="191">
        <f>IFERROR(W939/'FA Addition'!$J939*'FA Addition'!$L939,0)</f>
        <v>0</v>
      </c>
      <c r="AA939" s="116">
        <f>SUMIFS('FA Write off'!D:D,'FA Write off'!A:A,'FA Addition'!$A939,'FA Write off'!C:C,"&lt;"&amp;'FA Addition'!$L$1+1,'FA Write off'!C:C,"&gt;"&amp;'FA Addition'!$L$1-365)</f>
        <v>0</v>
      </c>
      <c r="AC939" s="118">
        <f>IFERROR(AA939/'FA Addition'!$J939*'FA Addition'!$L939,0)</f>
        <v>0</v>
      </c>
      <c r="AE939" s="117">
        <f>IF(AND('FA Addition'!$D939&lt;$P$1+1,U939=0),'FA Addition'!$L939,0)-Y939</f>
        <v>0</v>
      </c>
      <c r="AF939" s="117">
        <f t="shared" si="70"/>
        <v>1190000</v>
      </c>
      <c r="AG939" s="117">
        <f>MIN(MAX(+$P$1-'FA Addition'!$D939,0),365*'FA Addition'!$O939)</f>
        <v>0</v>
      </c>
      <c r="AH939" s="117">
        <f>MIN(MAX($L$1-'FA Addition'!$D939+1,0),365*'FA Addition'!$O939)</f>
        <v>47</v>
      </c>
      <c r="AI939" s="117" cm="1">
        <f t="array" ref="AI939">_xlfn.XLOOKUP(1,('FA Write off'!A:A='FA Addition'!$A939)*('FA Write off'!D:D=AA939),'FA Write off'!H:H,0,0)</f>
        <v>0</v>
      </c>
      <c r="AJ939" s="117">
        <f>IF(AC939&gt;0,MAX(IF('FA Addition'!$N939="SLM",($AC939-'FA Addition'!$M939)*'FA Addition'!$P939*AI939/365,(AC939-'FA Addition'!$M939)*(1-(1-'FA Addition'!$P939)^(AI939/365))),0),0)</f>
        <v>0</v>
      </c>
      <c r="AL939" s="117">
        <f>MAX(IF(AG939&gt;0,IF('FA Addition'!$N939="SLM",($AE939-'FA Addition'!$M939)*'FA Addition'!$P939*AG939/365,IFERROR(VDB(AE939,AE939*0.05,'FA Addition'!$O939,0,YEARFRAC('FA Addition'!$C939,$P$1-1,3),'FA Addition'!$Q939),FAAddition[[#This Row],[Original Cost (Rs)]]-FAAddition[[#This Row],[Salvage Value]])),0),0)</f>
        <v>0</v>
      </c>
      <c r="AM939" s="119"/>
      <c r="AN939" s="117">
        <f>MAX(IF(AH939&gt;0,IF('FA Addition'!$N939="SLM",($AF939-'FA Addition'!$M939)*'FA Addition'!$P939*AH939/365,IFERROR(VDB(AF939,AF939*0.05,'FA Addition'!$O939,0,YEARFRAC('FA Addition'!$C939,$L$1,3),'FA Addition'!$Q939),FAAddition[[#This Row],[Original Cost (Rs)]]-FAAddition[[#This Row],[Salvage Value]])),0),0)</f>
        <v>29114.246575342466</v>
      </c>
      <c r="AO939" s="117">
        <f t="shared" si="73"/>
        <v>29114.246575342466</v>
      </c>
      <c r="AQ939" s="117">
        <f t="shared" si="71"/>
        <v>0</v>
      </c>
      <c r="AR939" s="120">
        <f t="shared" si="72"/>
        <v>1160885.7534246575</v>
      </c>
      <c r="AS939" s="121"/>
    </row>
    <row r="940" spans="1:45" ht="13.5" x14ac:dyDescent="0.4">
      <c r="A940" s="12">
        <f t="shared" si="74"/>
        <v>937</v>
      </c>
      <c r="B940" s="64" t="s">
        <v>1308</v>
      </c>
      <c r="C940" s="54">
        <v>45336</v>
      </c>
      <c r="D940" s="54">
        <v>45336</v>
      </c>
      <c r="E940" s="46" t="s">
        <v>1320</v>
      </c>
      <c r="F940" s="51" t="s">
        <v>33</v>
      </c>
      <c r="G940" s="51" t="s">
        <v>36</v>
      </c>
      <c r="H940" s="51" t="s">
        <v>32</v>
      </c>
      <c r="I940" s="55" t="s">
        <v>1715</v>
      </c>
      <c r="J940" s="56">
        <v>500</v>
      </c>
      <c r="K940" s="51" t="s">
        <v>296</v>
      </c>
      <c r="L940" s="58">
        <v>850000</v>
      </c>
      <c r="M940" s="50">
        <f>ROUND('FA Addition'!$L940*5%,0.1)</f>
        <v>42500</v>
      </c>
      <c r="N940" s="113" t="str">
        <f>_xlfn.XLOOKUP(_xlfn.CONCAT(E940,B940),'Year Wise Master Dep Approach'!F:F,'Year Wise Master Dep Approach'!D:D)</f>
        <v>SLM</v>
      </c>
      <c r="O940" s="113">
        <f>_xlfn.XLOOKUP(_xlfn.CONCAT(E940,B940),'Year Wise Master Dep Approach'!F:F,'Year Wise Master Dep Approach'!E:E)</f>
        <v>5</v>
      </c>
      <c r="P940" s="114">
        <f>IFERROR(IF('FA Addition'!$N940="WDV",1-('FA Addition'!$M940/'FA Addition'!$L940)^(1/'FA Addition'!$O940),1/'FA Addition'!$O940),0)</f>
        <v>0.2</v>
      </c>
      <c r="Q940" s="122">
        <f>'FA Addition'!$P940*'FA Addition'!$O940</f>
        <v>1</v>
      </c>
      <c r="R940" s="122"/>
      <c r="S940" s="116">
        <f>IF(AND(DATE(20&amp;LEFT(FAAddition[[#This Row],[FY]],2),4,1)&lt;$L$1+1,DATE(20&amp;LEFT(FAAddition[[#This Row],[FY]],2),4,1)&gt;$P$1-1),'FA Addition'!$J940,0)</f>
        <v>500</v>
      </c>
      <c r="U940" s="117">
        <f>S940*'FA Addition'!$L940/'FA Addition'!$J940</f>
        <v>850000</v>
      </c>
      <c r="W940" s="116">
        <f>SUMIFS('FA Write off'!D:D,'FA Write off'!A:A,'FA Addition'!$A940,'FA Write off'!C:C,"&lt;"&amp;'FA Addition'!$P$1)</f>
        <v>0</v>
      </c>
      <c r="Y940" s="191">
        <f>IFERROR(W940/'FA Addition'!$J940*'FA Addition'!$L940,0)</f>
        <v>0</v>
      </c>
      <c r="AA940" s="116">
        <f>SUMIFS('FA Write off'!D:D,'FA Write off'!A:A,'FA Addition'!$A940,'FA Write off'!C:C,"&lt;"&amp;'FA Addition'!$L$1+1,'FA Write off'!C:C,"&gt;"&amp;'FA Addition'!$L$1-365)</f>
        <v>0</v>
      </c>
      <c r="AC940" s="118">
        <f>IFERROR(AA940/'FA Addition'!$J940*'FA Addition'!$L940,0)</f>
        <v>0</v>
      </c>
      <c r="AE940" s="117">
        <f>IF(AND('FA Addition'!$D940&lt;$P$1+1,U940=0),'FA Addition'!$L940,0)-Y940</f>
        <v>0</v>
      </c>
      <c r="AF940" s="117">
        <f t="shared" si="70"/>
        <v>850000</v>
      </c>
      <c r="AG940" s="117">
        <f>MIN(MAX(+$P$1-'FA Addition'!$D940,0),365*'FA Addition'!$O940)</f>
        <v>0</v>
      </c>
      <c r="AH940" s="117">
        <f>MIN(MAX($L$1-'FA Addition'!$D940+1,0),365*'FA Addition'!$O940)</f>
        <v>47</v>
      </c>
      <c r="AI940" s="117" cm="1">
        <f t="array" ref="AI940">_xlfn.XLOOKUP(1,('FA Write off'!A:A='FA Addition'!$A940)*('FA Write off'!D:D=AA940),'FA Write off'!H:H,0,0)</f>
        <v>0</v>
      </c>
      <c r="AJ940" s="117">
        <f>IF(AC940&gt;0,MAX(IF('FA Addition'!$N940="SLM",($AC940-'FA Addition'!$M940)*'FA Addition'!$P940*AI940/365,(AC940-'FA Addition'!$M940)*(1-(1-'FA Addition'!$P940)^(AI940/365))),0),0)</f>
        <v>0</v>
      </c>
      <c r="AL940" s="117">
        <f>MAX(IF(AG940&gt;0,IF('FA Addition'!$N940="SLM",($AE940-'FA Addition'!$M940)*'FA Addition'!$P940*AG940/365,IFERROR(VDB(AE940,AE940*0.05,'FA Addition'!$O940,0,YEARFRAC('FA Addition'!$C940,$P$1-1,3),'FA Addition'!$Q940),FAAddition[[#This Row],[Original Cost (Rs)]]-FAAddition[[#This Row],[Salvage Value]])),0),0)</f>
        <v>0</v>
      </c>
      <c r="AM940" s="119"/>
      <c r="AN940" s="117">
        <f>MAX(IF(AH940&gt;0,IF('FA Addition'!$N940="SLM",($AF940-'FA Addition'!$M940)*'FA Addition'!$P940*AH940/365,IFERROR(VDB(AF940,AF940*0.05,'FA Addition'!$O940,0,YEARFRAC('FA Addition'!$C940,$L$1,3),'FA Addition'!$Q940),FAAddition[[#This Row],[Original Cost (Rs)]]-FAAddition[[#This Row],[Salvage Value]])),0),0)</f>
        <v>20795.890410958906</v>
      </c>
      <c r="AO940" s="117">
        <f t="shared" si="73"/>
        <v>20795.890410958906</v>
      </c>
      <c r="AQ940" s="117">
        <f t="shared" si="71"/>
        <v>0</v>
      </c>
      <c r="AR940" s="120">
        <f t="shared" si="72"/>
        <v>829204.10958904109</v>
      </c>
      <c r="AS940" s="121"/>
    </row>
    <row r="941" spans="1:45" ht="13.5" x14ac:dyDescent="0.4">
      <c r="A941" s="12">
        <f t="shared" si="74"/>
        <v>938</v>
      </c>
      <c r="B941" s="64" t="s">
        <v>1308</v>
      </c>
      <c r="C941" s="54">
        <v>45336</v>
      </c>
      <c r="D941" s="54">
        <v>45336</v>
      </c>
      <c r="E941" s="46" t="s">
        <v>451</v>
      </c>
      <c r="F941" s="51" t="s">
        <v>19</v>
      </c>
      <c r="G941" s="51" t="s">
        <v>1396</v>
      </c>
      <c r="H941" s="51" t="s">
        <v>21</v>
      </c>
      <c r="I941" s="55" t="s">
        <v>1716</v>
      </c>
      <c r="J941" s="56">
        <v>1</v>
      </c>
      <c r="K941" s="51" t="s">
        <v>1466</v>
      </c>
      <c r="L941" s="58">
        <v>31347.460000000003</v>
      </c>
      <c r="M941" s="50">
        <f>ROUND('FA Addition'!$L941*5%,0.1)</f>
        <v>1567</v>
      </c>
      <c r="N941" s="113" t="str">
        <f>_xlfn.XLOOKUP(_xlfn.CONCAT(E941,B941),'Year Wise Master Dep Approach'!F:F,'Year Wise Master Dep Approach'!D:D)</f>
        <v>WDV</v>
      </c>
      <c r="O941" s="113">
        <f>_xlfn.XLOOKUP(_xlfn.CONCAT(E941,B941),'Year Wise Master Dep Approach'!F:F,'Year Wise Master Dep Approach'!E:E)</f>
        <v>3</v>
      </c>
      <c r="P941" s="114">
        <f>IFERROR(IF('FA Addition'!$N941="WDV",1-('FA Addition'!$M941/'FA Addition'!$L941)^(1/'FA Addition'!$O941),1/'FA Addition'!$O941),0)</f>
        <v>0.63162607637988777</v>
      </c>
      <c r="Q941" s="122">
        <f>'FA Addition'!$P941*'FA Addition'!$O941</f>
        <v>1.8948782291396633</v>
      </c>
      <c r="R941" s="122"/>
      <c r="S941" s="116">
        <f>IF(AND(DATE(20&amp;LEFT(FAAddition[[#This Row],[FY]],2),4,1)&lt;$L$1+1,DATE(20&amp;LEFT(FAAddition[[#This Row],[FY]],2),4,1)&gt;$P$1-1),'FA Addition'!$J941,0)</f>
        <v>1</v>
      </c>
      <c r="U941" s="117">
        <f>S941*'FA Addition'!$L941/'FA Addition'!$J941</f>
        <v>31347.460000000003</v>
      </c>
      <c r="W941" s="116">
        <f>SUMIFS('FA Write off'!D:D,'FA Write off'!A:A,'FA Addition'!$A941,'FA Write off'!C:C,"&lt;"&amp;'FA Addition'!$P$1)</f>
        <v>0</v>
      </c>
      <c r="Y941" s="191">
        <f>IFERROR(W941/'FA Addition'!$J941*'FA Addition'!$L941,0)</f>
        <v>0</v>
      </c>
      <c r="AA941" s="116">
        <f>SUMIFS('FA Write off'!D:D,'FA Write off'!A:A,'FA Addition'!$A941,'FA Write off'!C:C,"&lt;"&amp;'FA Addition'!$L$1+1,'FA Write off'!C:C,"&gt;"&amp;'FA Addition'!$L$1-365)</f>
        <v>0</v>
      </c>
      <c r="AC941" s="118">
        <f>IFERROR(AA941/'FA Addition'!$J941*'FA Addition'!$L941,0)</f>
        <v>0</v>
      </c>
      <c r="AE941" s="117">
        <f>IF(AND('FA Addition'!$D941&lt;$P$1+1,U941=0),'FA Addition'!$L941,0)-Y941</f>
        <v>0</v>
      </c>
      <c r="AF941" s="117">
        <f t="shared" si="70"/>
        <v>31347.460000000003</v>
      </c>
      <c r="AG941" s="117">
        <f>MIN(MAX(+$P$1-'FA Addition'!$D941,0),365*'FA Addition'!$O941)</f>
        <v>0</v>
      </c>
      <c r="AH941" s="117">
        <f>MIN(MAX($L$1-'FA Addition'!$D941+1,0),365*'FA Addition'!$O941)</f>
        <v>47</v>
      </c>
      <c r="AI941" s="117" cm="1">
        <f t="array" ref="AI941">_xlfn.XLOOKUP(1,('FA Write off'!A:A='FA Addition'!$A941)*('FA Write off'!D:D=AA941),'FA Write off'!H:H,0,0)</f>
        <v>0</v>
      </c>
      <c r="AJ941" s="117">
        <f>IF(AC941&gt;0,MAX(IF('FA Addition'!$N941="SLM",($AC941-'FA Addition'!$M941)*'FA Addition'!$P941*AI941/365,(AC941-'FA Addition'!$M941)*(1-(1-'FA Addition'!$P941)^(AI941/365))),0),0)</f>
        <v>0</v>
      </c>
      <c r="AL941" s="117">
        <f>MAX(IF(AG941&gt;0,IF('FA Addition'!$N941="SLM",($AE941-'FA Addition'!$M941)*'FA Addition'!$P941*AG941/365,IFERROR(VDB(AE941,AE941*0.05,'FA Addition'!$O941,0,YEARFRAC('FA Addition'!$C941,$P$1-1,3),'FA Addition'!$Q941),FAAddition[[#This Row],[Original Cost (Rs)]]-FAAddition[[#This Row],[Salvage Value]])),0),0)</f>
        <v>0</v>
      </c>
      <c r="AM941" s="119"/>
      <c r="AN941" s="117">
        <f>MAX(IF(AH941&gt;0,IF('FA Addition'!$N941="SLM",($AF941-'FA Addition'!$M941)*'FA Addition'!$P941*AH941/365,IFERROR(VDB(AF941,AF941*0.05,'FA Addition'!$O941,0,YEARFRAC('FA Addition'!$C941,$L$1,3),'FA Addition'!$Q941),FAAddition[[#This Row],[Original Cost (Rs)]]-FAAddition[[#This Row],[Salvage Value]])),0),0)</f>
        <v>2495.326480977184</v>
      </c>
      <c r="AO941" s="117">
        <f t="shared" si="73"/>
        <v>2495.326480977184</v>
      </c>
      <c r="AQ941" s="117">
        <f t="shared" si="71"/>
        <v>0</v>
      </c>
      <c r="AR941" s="120">
        <f t="shared" si="72"/>
        <v>28852.13351902282</v>
      </c>
      <c r="AS941" s="121"/>
    </row>
    <row r="942" spans="1:45" ht="13.5" x14ac:dyDescent="0.4">
      <c r="A942" s="12">
        <f t="shared" si="74"/>
        <v>939</v>
      </c>
      <c r="B942" s="64" t="s">
        <v>1308</v>
      </c>
      <c r="C942" s="54">
        <v>45336</v>
      </c>
      <c r="D942" s="54">
        <v>45336</v>
      </c>
      <c r="E942" s="46" t="s">
        <v>451</v>
      </c>
      <c r="F942" s="51" t="s">
        <v>19</v>
      </c>
      <c r="G942" s="51" t="s">
        <v>1396</v>
      </c>
      <c r="H942" s="51" t="s">
        <v>21</v>
      </c>
      <c r="I942" s="55" t="s">
        <v>1716</v>
      </c>
      <c r="J942" s="56">
        <v>1</v>
      </c>
      <c r="K942" s="51" t="s">
        <v>1466</v>
      </c>
      <c r="L942" s="58">
        <v>31347.460000000003</v>
      </c>
      <c r="M942" s="50">
        <f>ROUND('FA Addition'!$L942*5%,0.1)</f>
        <v>1567</v>
      </c>
      <c r="N942" s="113" t="str">
        <f>_xlfn.XLOOKUP(_xlfn.CONCAT(E942,B942),'Year Wise Master Dep Approach'!F:F,'Year Wise Master Dep Approach'!D:D)</f>
        <v>WDV</v>
      </c>
      <c r="O942" s="113">
        <f>_xlfn.XLOOKUP(_xlfn.CONCAT(E942,B942),'Year Wise Master Dep Approach'!F:F,'Year Wise Master Dep Approach'!E:E)</f>
        <v>3</v>
      </c>
      <c r="P942" s="114">
        <f>IFERROR(IF('FA Addition'!$N942="WDV",1-('FA Addition'!$M942/'FA Addition'!$L942)^(1/'FA Addition'!$O942),1/'FA Addition'!$O942),0)</f>
        <v>0.63162607637988777</v>
      </c>
      <c r="Q942" s="122">
        <f>'FA Addition'!$P942*'FA Addition'!$O942</f>
        <v>1.8948782291396633</v>
      </c>
      <c r="R942" s="122"/>
      <c r="S942" s="116">
        <f>IF(AND(DATE(20&amp;LEFT(FAAddition[[#This Row],[FY]],2),4,1)&lt;$L$1+1,DATE(20&amp;LEFT(FAAddition[[#This Row],[FY]],2),4,1)&gt;$P$1-1),'FA Addition'!$J942,0)</f>
        <v>1</v>
      </c>
      <c r="U942" s="117">
        <f>S942*'FA Addition'!$L942/'FA Addition'!$J942</f>
        <v>31347.460000000003</v>
      </c>
      <c r="W942" s="116">
        <f>SUMIFS('FA Write off'!D:D,'FA Write off'!A:A,'FA Addition'!$A942,'FA Write off'!C:C,"&lt;"&amp;'FA Addition'!$P$1)</f>
        <v>0</v>
      </c>
      <c r="Y942" s="191">
        <f>IFERROR(W942/'FA Addition'!$J942*'FA Addition'!$L942,0)</f>
        <v>0</v>
      </c>
      <c r="AA942" s="116">
        <f>SUMIFS('FA Write off'!D:D,'FA Write off'!A:A,'FA Addition'!$A942,'FA Write off'!C:C,"&lt;"&amp;'FA Addition'!$L$1+1,'FA Write off'!C:C,"&gt;"&amp;'FA Addition'!$L$1-365)</f>
        <v>0</v>
      </c>
      <c r="AC942" s="118">
        <f>IFERROR(AA942/'FA Addition'!$J942*'FA Addition'!$L942,0)</f>
        <v>0</v>
      </c>
      <c r="AE942" s="117">
        <f>IF(AND('FA Addition'!$D942&lt;$P$1+1,U942=0),'FA Addition'!$L942,0)-Y942</f>
        <v>0</v>
      </c>
      <c r="AF942" s="117">
        <f t="shared" si="70"/>
        <v>31347.460000000003</v>
      </c>
      <c r="AG942" s="117">
        <f>MIN(MAX(+$P$1-'FA Addition'!$D942,0),365*'FA Addition'!$O942)</f>
        <v>0</v>
      </c>
      <c r="AH942" s="117">
        <f>MIN(MAX($L$1-'FA Addition'!$D942+1,0),365*'FA Addition'!$O942)</f>
        <v>47</v>
      </c>
      <c r="AI942" s="117" cm="1">
        <f t="array" ref="AI942">_xlfn.XLOOKUP(1,('FA Write off'!A:A='FA Addition'!$A942)*('FA Write off'!D:D=AA942),'FA Write off'!H:H,0,0)</f>
        <v>0</v>
      </c>
      <c r="AJ942" s="117">
        <f>IF(AC942&gt;0,MAX(IF('FA Addition'!$N942="SLM",($AC942-'FA Addition'!$M942)*'FA Addition'!$P942*AI942/365,(AC942-'FA Addition'!$M942)*(1-(1-'FA Addition'!$P942)^(AI942/365))),0),0)</f>
        <v>0</v>
      </c>
      <c r="AL942" s="117">
        <f>MAX(IF(AG942&gt;0,IF('FA Addition'!$N942="SLM",($AE942-'FA Addition'!$M942)*'FA Addition'!$P942*AG942/365,IFERROR(VDB(AE942,AE942*0.05,'FA Addition'!$O942,0,YEARFRAC('FA Addition'!$C942,$P$1-1,3),'FA Addition'!$Q942),FAAddition[[#This Row],[Original Cost (Rs)]]-FAAddition[[#This Row],[Salvage Value]])),0),0)</f>
        <v>0</v>
      </c>
      <c r="AM942" s="119"/>
      <c r="AN942" s="117">
        <f>MAX(IF(AH942&gt;0,IF('FA Addition'!$N942="SLM",($AF942-'FA Addition'!$M942)*'FA Addition'!$P942*AH942/365,IFERROR(VDB(AF942,AF942*0.05,'FA Addition'!$O942,0,YEARFRAC('FA Addition'!$C942,$L$1,3),'FA Addition'!$Q942),FAAddition[[#This Row],[Original Cost (Rs)]]-FAAddition[[#This Row],[Salvage Value]])),0),0)</f>
        <v>2495.326480977184</v>
      </c>
      <c r="AO942" s="117">
        <f t="shared" si="73"/>
        <v>2495.326480977184</v>
      </c>
      <c r="AQ942" s="117">
        <f t="shared" si="71"/>
        <v>0</v>
      </c>
      <c r="AR942" s="120">
        <f t="shared" si="72"/>
        <v>28852.13351902282</v>
      </c>
      <c r="AS942" s="121"/>
    </row>
    <row r="943" spans="1:45" ht="13.5" x14ac:dyDescent="0.4">
      <c r="A943" s="12">
        <f t="shared" si="74"/>
        <v>940</v>
      </c>
      <c r="B943" s="64" t="s">
        <v>1308</v>
      </c>
      <c r="C943" s="54">
        <v>45336</v>
      </c>
      <c r="D943" s="54">
        <v>45336</v>
      </c>
      <c r="E943" s="46" t="s">
        <v>451</v>
      </c>
      <c r="F943" s="51" t="s">
        <v>19</v>
      </c>
      <c r="G943" s="51" t="s">
        <v>1396</v>
      </c>
      <c r="H943" s="51" t="s">
        <v>21</v>
      </c>
      <c r="I943" s="55" t="s">
        <v>1716</v>
      </c>
      <c r="J943" s="56">
        <v>1</v>
      </c>
      <c r="K943" s="51" t="s">
        <v>1466</v>
      </c>
      <c r="L943" s="58">
        <v>31347.460000000003</v>
      </c>
      <c r="M943" s="50">
        <f>ROUND('FA Addition'!$L943*5%,0.1)</f>
        <v>1567</v>
      </c>
      <c r="N943" s="113" t="str">
        <f>_xlfn.XLOOKUP(_xlfn.CONCAT(E943,B943),'Year Wise Master Dep Approach'!F:F,'Year Wise Master Dep Approach'!D:D)</f>
        <v>WDV</v>
      </c>
      <c r="O943" s="113">
        <f>_xlfn.XLOOKUP(_xlfn.CONCAT(E943,B943),'Year Wise Master Dep Approach'!F:F,'Year Wise Master Dep Approach'!E:E)</f>
        <v>3</v>
      </c>
      <c r="P943" s="114">
        <f>IFERROR(IF('FA Addition'!$N943="WDV",1-('FA Addition'!$M943/'FA Addition'!$L943)^(1/'FA Addition'!$O943),1/'FA Addition'!$O943),0)</f>
        <v>0.63162607637988777</v>
      </c>
      <c r="Q943" s="122">
        <f>'FA Addition'!$P943*'FA Addition'!$O943</f>
        <v>1.8948782291396633</v>
      </c>
      <c r="R943" s="122"/>
      <c r="S943" s="116">
        <f>IF(AND(DATE(20&amp;LEFT(FAAddition[[#This Row],[FY]],2),4,1)&lt;$L$1+1,DATE(20&amp;LEFT(FAAddition[[#This Row],[FY]],2),4,1)&gt;$P$1-1),'FA Addition'!$J943,0)</f>
        <v>1</v>
      </c>
      <c r="U943" s="117">
        <f>S943*'FA Addition'!$L943/'FA Addition'!$J943</f>
        <v>31347.460000000003</v>
      </c>
      <c r="W943" s="116">
        <f>SUMIFS('FA Write off'!D:D,'FA Write off'!A:A,'FA Addition'!$A943,'FA Write off'!C:C,"&lt;"&amp;'FA Addition'!$P$1)</f>
        <v>0</v>
      </c>
      <c r="Y943" s="191">
        <f>IFERROR(W943/'FA Addition'!$J943*'FA Addition'!$L943,0)</f>
        <v>0</v>
      </c>
      <c r="AA943" s="116">
        <f>SUMIFS('FA Write off'!D:D,'FA Write off'!A:A,'FA Addition'!$A943,'FA Write off'!C:C,"&lt;"&amp;'FA Addition'!$L$1+1,'FA Write off'!C:C,"&gt;"&amp;'FA Addition'!$L$1-365)</f>
        <v>0</v>
      </c>
      <c r="AC943" s="118">
        <f>IFERROR(AA943/'FA Addition'!$J943*'FA Addition'!$L943,0)</f>
        <v>0</v>
      </c>
      <c r="AE943" s="117">
        <f>IF(AND('FA Addition'!$D943&lt;$P$1+1,U943=0),'FA Addition'!$L943,0)-Y943</f>
        <v>0</v>
      </c>
      <c r="AF943" s="117">
        <f t="shared" si="70"/>
        <v>31347.460000000003</v>
      </c>
      <c r="AG943" s="117">
        <f>MIN(MAX(+$P$1-'FA Addition'!$D943,0),365*'FA Addition'!$O943)</f>
        <v>0</v>
      </c>
      <c r="AH943" s="117">
        <f>MIN(MAX($L$1-'FA Addition'!$D943+1,0),365*'FA Addition'!$O943)</f>
        <v>47</v>
      </c>
      <c r="AI943" s="117" cm="1">
        <f t="array" ref="AI943">_xlfn.XLOOKUP(1,('FA Write off'!A:A='FA Addition'!$A943)*('FA Write off'!D:D=AA943),'FA Write off'!H:H,0,0)</f>
        <v>0</v>
      </c>
      <c r="AJ943" s="117">
        <f>IF(AC943&gt;0,MAX(IF('FA Addition'!$N943="SLM",($AC943-'FA Addition'!$M943)*'FA Addition'!$P943*AI943/365,(AC943-'FA Addition'!$M943)*(1-(1-'FA Addition'!$P943)^(AI943/365))),0),0)</f>
        <v>0</v>
      </c>
      <c r="AL943" s="117">
        <f>MAX(IF(AG943&gt;0,IF('FA Addition'!$N943="SLM",($AE943-'FA Addition'!$M943)*'FA Addition'!$P943*AG943/365,IFERROR(VDB(AE943,AE943*0.05,'FA Addition'!$O943,0,YEARFRAC('FA Addition'!$C943,$P$1-1,3),'FA Addition'!$Q943),FAAddition[[#This Row],[Original Cost (Rs)]]-FAAddition[[#This Row],[Salvage Value]])),0),0)</f>
        <v>0</v>
      </c>
      <c r="AM943" s="119"/>
      <c r="AN943" s="117">
        <f>MAX(IF(AH943&gt;0,IF('FA Addition'!$N943="SLM",($AF943-'FA Addition'!$M943)*'FA Addition'!$P943*AH943/365,IFERROR(VDB(AF943,AF943*0.05,'FA Addition'!$O943,0,YEARFRAC('FA Addition'!$C943,$L$1,3),'FA Addition'!$Q943),FAAddition[[#This Row],[Original Cost (Rs)]]-FAAddition[[#This Row],[Salvage Value]])),0),0)</f>
        <v>2495.326480977184</v>
      </c>
      <c r="AO943" s="117">
        <f t="shared" si="73"/>
        <v>2495.326480977184</v>
      </c>
      <c r="AQ943" s="117">
        <f t="shared" si="71"/>
        <v>0</v>
      </c>
      <c r="AR943" s="120">
        <f t="shared" si="72"/>
        <v>28852.13351902282</v>
      </c>
      <c r="AS943" s="121"/>
    </row>
    <row r="944" spans="1:45" ht="13.5" x14ac:dyDescent="0.4">
      <c r="A944" s="12">
        <f t="shared" si="74"/>
        <v>941</v>
      </c>
      <c r="B944" s="64" t="s">
        <v>1308</v>
      </c>
      <c r="C944" s="54">
        <v>45337</v>
      </c>
      <c r="D944" s="54">
        <v>45337</v>
      </c>
      <c r="E944" s="46" t="s">
        <v>1320</v>
      </c>
      <c r="F944" s="51" t="s">
        <v>33</v>
      </c>
      <c r="G944" s="51" t="s">
        <v>36</v>
      </c>
      <c r="H944" s="51" t="s">
        <v>32</v>
      </c>
      <c r="I944" s="55" t="s">
        <v>1717</v>
      </c>
      <c r="J944" s="56">
        <v>700</v>
      </c>
      <c r="K944" s="51" t="s">
        <v>296</v>
      </c>
      <c r="L944" s="58">
        <v>1190000</v>
      </c>
      <c r="M944" s="50">
        <f>ROUND('FA Addition'!$L944*5%,0.1)</f>
        <v>59500</v>
      </c>
      <c r="N944" s="113" t="str">
        <f>_xlfn.XLOOKUP(_xlfn.CONCAT(E944,B944),'Year Wise Master Dep Approach'!F:F,'Year Wise Master Dep Approach'!D:D)</f>
        <v>SLM</v>
      </c>
      <c r="O944" s="113">
        <f>_xlfn.XLOOKUP(_xlfn.CONCAT(E944,B944),'Year Wise Master Dep Approach'!F:F,'Year Wise Master Dep Approach'!E:E)</f>
        <v>5</v>
      </c>
      <c r="P944" s="114">
        <f>IFERROR(IF('FA Addition'!$N944="WDV",1-('FA Addition'!$M944/'FA Addition'!$L944)^(1/'FA Addition'!$O944),1/'FA Addition'!$O944),0)</f>
        <v>0.2</v>
      </c>
      <c r="Q944" s="122">
        <f>'FA Addition'!$P944*'FA Addition'!$O944</f>
        <v>1</v>
      </c>
      <c r="R944" s="122"/>
      <c r="S944" s="116">
        <f>IF(AND(DATE(20&amp;LEFT(FAAddition[[#This Row],[FY]],2),4,1)&lt;$L$1+1,DATE(20&amp;LEFT(FAAddition[[#This Row],[FY]],2),4,1)&gt;$P$1-1),'FA Addition'!$J944,0)</f>
        <v>700</v>
      </c>
      <c r="U944" s="117">
        <f>S944*'FA Addition'!$L944/'FA Addition'!$J944</f>
        <v>1190000</v>
      </c>
      <c r="W944" s="116">
        <f>SUMIFS('FA Write off'!D:D,'FA Write off'!A:A,'FA Addition'!$A944,'FA Write off'!C:C,"&lt;"&amp;'FA Addition'!$P$1)</f>
        <v>0</v>
      </c>
      <c r="Y944" s="191">
        <f>IFERROR(W944/'FA Addition'!$J944*'FA Addition'!$L944,0)</f>
        <v>0</v>
      </c>
      <c r="AA944" s="116">
        <f>SUMIFS('FA Write off'!D:D,'FA Write off'!A:A,'FA Addition'!$A944,'FA Write off'!C:C,"&lt;"&amp;'FA Addition'!$L$1+1,'FA Write off'!C:C,"&gt;"&amp;'FA Addition'!$L$1-365)</f>
        <v>0</v>
      </c>
      <c r="AC944" s="118">
        <f>IFERROR(AA944/'FA Addition'!$J944*'FA Addition'!$L944,0)</f>
        <v>0</v>
      </c>
      <c r="AE944" s="117">
        <f>IF(AND('FA Addition'!$D944&lt;$P$1+1,U944=0),'FA Addition'!$L944,0)-Y944</f>
        <v>0</v>
      </c>
      <c r="AF944" s="117">
        <f t="shared" si="70"/>
        <v>1190000</v>
      </c>
      <c r="AG944" s="117">
        <f>MIN(MAX(+$P$1-'FA Addition'!$D944,0),365*'FA Addition'!$O944)</f>
        <v>0</v>
      </c>
      <c r="AH944" s="117">
        <f>MIN(MAX($L$1-'FA Addition'!$D944+1,0),365*'FA Addition'!$O944)</f>
        <v>46</v>
      </c>
      <c r="AI944" s="117" cm="1">
        <f t="array" ref="AI944">_xlfn.XLOOKUP(1,('FA Write off'!A:A='FA Addition'!$A944)*('FA Write off'!D:D=AA944),'FA Write off'!H:H,0,0)</f>
        <v>0</v>
      </c>
      <c r="AJ944" s="117">
        <f>IF(AC944&gt;0,MAX(IF('FA Addition'!$N944="SLM",($AC944-'FA Addition'!$M944)*'FA Addition'!$P944*AI944/365,(AC944-'FA Addition'!$M944)*(1-(1-'FA Addition'!$P944)^(AI944/365))),0),0)</f>
        <v>0</v>
      </c>
      <c r="AL944" s="117">
        <f>MAX(IF(AG944&gt;0,IF('FA Addition'!$N944="SLM",($AE944-'FA Addition'!$M944)*'FA Addition'!$P944*AG944/365,IFERROR(VDB(AE944,AE944*0.05,'FA Addition'!$O944,0,YEARFRAC('FA Addition'!$C944,$P$1-1,3),'FA Addition'!$Q944),FAAddition[[#This Row],[Original Cost (Rs)]]-FAAddition[[#This Row],[Salvage Value]])),0),0)</f>
        <v>0</v>
      </c>
      <c r="AM944" s="119"/>
      <c r="AN944" s="117">
        <f>MAX(IF(AH944&gt;0,IF('FA Addition'!$N944="SLM",($AF944-'FA Addition'!$M944)*'FA Addition'!$P944*AH944/365,IFERROR(VDB(AF944,AF944*0.05,'FA Addition'!$O944,0,YEARFRAC('FA Addition'!$C944,$L$1,3),'FA Addition'!$Q944),FAAddition[[#This Row],[Original Cost (Rs)]]-FAAddition[[#This Row],[Salvage Value]])),0),0)</f>
        <v>28494.794520547945</v>
      </c>
      <c r="AO944" s="117">
        <f t="shared" si="73"/>
        <v>28494.794520547945</v>
      </c>
      <c r="AQ944" s="117">
        <f t="shared" si="71"/>
        <v>0</v>
      </c>
      <c r="AR944" s="120">
        <f t="shared" si="72"/>
        <v>1161505.2054794522</v>
      </c>
      <c r="AS944" s="121"/>
    </row>
    <row r="945" spans="1:45" ht="13.5" x14ac:dyDescent="0.4">
      <c r="A945" s="12">
        <f t="shared" si="74"/>
        <v>942</v>
      </c>
      <c r="B945" s="64" t="s">
        <v>1308</v>
      </c>
      <c r="C945" s="54">
        <v>45337</v>
      </c>
      <c r="D945" s="54">
        <v>45337</v>
      </c>
      <c r="E945" s="46" t="s">
        <v>1320</v>
      </c>
      <c r="F945" s="51" t="s">
        <v>33</v>
      </c>
      <c r="G945" s="51" t="s">
        <v>36</v>
      </c>
      <c r="H945" s="51" t="s">
        <v>32</v>
      </c>
      <c r="I945" s="55" t="s">
        <v>1718</v>
      </c>
      <c r="J945" s="56">
        <v>500</v>
      </c>
      <c r="K945" s="51" t="s">
        <v>296</v>
      </c>
      <c r="L945" s="58">
        <v>850000</v>
      </c>
      <c r="M945" s="50">
        <f>ROUND('FA Addition'!$L945*5%,0.1)</f>
        <v>42500</v>
      </c>
      <c r="N945" s="113" t="str">
        <f>_xlfn.XLOOKUP(_xlfn.CONCAT(E945,B945),'Year Wise Master Dep Approach'!F:F,'Year Wise Master Dep Approach'!D:D)</f>
        <v>SLM</v>
      </c>
      <c r="O945" s="113">
        <f>_xlfn.XLOOKUP(_xlfn.CONCAT(E945,B945),'Year Wise Master Dep Approach'!F:F,'Year Wise Master Dep Approach'!E:E)</f>
        <v>5</v>
      </c>
      <c r="P945" s="114">
        <f>IFERROR(IF('FA Addition'!$N945="WDV",1-('FA Addition'!$M945/'FA Addition'!$L945)^(1/'FA Addition'!$O945),1/'FA Addition'!$O945),0)</f>
        <v>0.2</v>
      </c>
      <c r="Q945" s="122">
        <f>'FA Addition'!$P945*'FA Addition'!$O945</f>
        <v>1</v>
      </c>
      <c r="R945" s="122"/>
      <c r="S945" s="116">
        <f>IF(AND(DATE(20&amp;LEFT(FAAddition[[#This Row],[FY]],2),4,1)&lt;$L$1+1,DATE(20&amp;LEFT(FAAddition[[#This Row],[FY]],2),4,1)&gt;$P$1-1),'FA Addition'!$J945,0)</f>
        <v>500</v>
      </c>
      <c r="U945" s="117">
        <f>S945*'FA Addition'!$L945/'FA Addition'!$J945</f>
        <v>850000</v>
      </c>
      <c r="W945" s="116">
        <f>SUMIFS('FA Write off'!D:D,'FA Write off'!A:A,'FA Addition'!$A945,'FA Write off'!C:C,"&lt;"&amp;'FA Addition'!$P$1)</f>
        <v>0</v>
      </c>
      <c r="Y945" s="191">
        <f>IFERROR(W945/'FA Addition'!$J945*'FA Addition'!$L945,0)</f>
        <v>0</v>
      </c>
      <c r="AA945" s="116">
        <f>SUMIFS('FA Write off'!D:D,'FA Write off'!A:A,'FA Addition'!$A945,'FA Write off'!C:C,"&lt;"&amp;'FA Addition'!$L$1+1,'FA Write off'!C:C,"&gt;"&amp;'FA Addition'!$L$1-365)</f>
        <v>0</v>
      </c>
      <c r="AC945" s="118">
        <f>IFERROR(AA945/'FA Addition'!$J945*'FA Addition'!$L945,0)</f>
        <v>0</v>
      </c>
      <c r="AE945" s="117">
        <f>IF(AND('FA Addition'!$D945&lt;$P$1+1,U945=0),'FA Addition'!$L945,0)-Y945</f>
        <v>0</v>
      </c>
      <c r="AF945" s="117">
        <f t="shared" si="70"/>
        <v>850000</v>
      </c>
      <c r="AG945" s="117">
        <f>MIN(MAX(+$P$1-'FA Addition'!$D945,0),365*'FA Addition'!$O945)</f>
        <v>0</v>
      </c>
      <c r="AH945" s="117">
        <f>MIN(MAX($L$1-'FA Addition'!$D945+1,0),365*'FA Addition'!$O945)</f>
        <v>46</v>
      </c>
      <c r="AI945" s="117" cm="1">
        <f t="array" ref="AI945">_xlfn.XLOOKUP(1,('FA Write off'!A:A='FA Addition'!$A945)*('FA Write off'!D:D=AA945),'FA Write off'!H:H,0,0)</f>
        <v>0</v>
      </c>
      <c r="AJ945" s="117">
        <f>IF(AC945&gt;0,MAX(IF('FA Addition'!$N945="SLM",($AC945-'FA Addition'!$M945)*'FA Addition'!$P945*AI945/365,(AC945-'FA Addition'!$M945)*(1-(1-'FA Addition'!$P945)^(AI945/365))),0),0)</f>
        <v>0</v>
      </c>
      <c r="AL945" s="117">
        <f>MAX(IF(AG945&gt;0,IF('FA Addition'!$N945="SLM",($AE945-'FA Addition'!$M945)*'FA Addition'!$P945*AG945/365,IFERROR(VDB(AE945,AE945*0.05,'FA Addition'!$O945,0,YEARFRAC('FA Addition'!$C945,$P$1-1,3),'FA Addition'!$Q945),FAAddition[[#This Row],[Original Cost (Rs)]]-FAAddition[[#This Row],[Salvage Value]])),0),0)</f>
        <v>0</v>
      </c>
      <c r="AM945" s="119"/>
      <c r="AN945" s="117">
        <f>MAX(IF(AH945&gt;0,IF('FA Addition'!$N945="SLM",($AF945-'FA Addition'!$M945)*'FA Addition'!$P945*AH945/365,IFERROR(VDB(AF945,AF945*0.05,'FA Addition'!$O945,0,YEARFRAC('FA Addition'!$C945,$L$1,3),'FA Addition'!$Q945),FAAddition[[#This Row],[Original Cost (Rs)]]-FAAddition[[#This Row],[Salvage Value]])),0),0)</f>
        <v>20353.424657534248</v>
      </c>
      <c r="AO945" s="117">
        <f t="shared" si="73"/>
        <v>20353.424657534248</v>
      </c>
      <c r="AQ945" s="117">
        <f t="shared" si="71"/>
        <v>0</v>
      </c>
      <c r="AR945" s="120">
        <f t="shared" si="72"/>
        <v>829646.57534246577</v>
      </c>
      <c r="AS945" s="121"/>
    </row>
    <row r="946" spans="1:45" ht="13.5" x14ac:dyDescent="0.4">
      <c r="A946" s="12">
        <f t="shared" si="74"/>
        <v>943</v>
      </c>
      <c r="B946" s="64" t="s">
        <v>1308</v>
      </c>
      <c r="C946" s="54">
        <v>45338</v>
      </c>
      <c r="D946" s="54">
        <v>45338</v>
      </c>
      <c r="E946" s="46" t="s">
        <v>1320</v>
      </c>
      <c r="F946" s="51" t="s">
        <v>33</v>
      </c>
      <c r="G946" s="51" t="s">
        <v>36</v>
      </c>
      <c r="H946" s="51" t="s">
        <v>32</v>
      </c>
      <c r="I946" s="55" t="s">
        <v>1719</v>
      </c>
      <c r="J946" s="56">
        <v>1200</v>
      </c>
      <c r="K946" s="51" t="s">
        <v>296</v>
      </c>
      <c r="L946" s="58">
        <v>2040000</v>
      </c>
      <c r="M946" s="50">
        <f>ROUND('FA Addition'!$L946*5%,0.1)</f>
        <v>102000</v>
      </c>
      <c r="N946" s="113" t="str">
        <f>_xlfn.XLOOKUP(_xlfn.CONCAT(E946,B946),'Year Wise Master Dep Approach'!F:F,'Year Wise Master Dep Approach'!D:D)</f>
        <v>SLM</v>
      </c>
      <c r="O946" s="113">
        <f>_xlfn.XLOOKUP(_xlfn.CONCAT(E946,B946),'Year Wise Master Dep Approach'!F:F,'Year Wise Master Dep Approach'!E:E)</f>
        <v>5</v>
      </c>
      <c r="P946" s="114">
        <f>IFERROR(IF('FA Addition'!$N946="WDV",1-('FA Addition'!$M946/'FA Addition'!$L946)^(1/'FA Addition'!$O946),1/'FA Addition'!$O946),0)</f>
        <v>0.2</v>
      </c>
      <c r="Q946" s="122">
        <f>'FA Addition'!$P946*'FA Addition'!$O946</f>
        <v>1</v>
      </c>
      <c r="R946" s="122"/>
      <c r="S946" s="116">
        <f>IF(AND(DATE(20&amp;LEFT(FAAddition[[#This Row],[FY]],2),4,1)&lt;$L$1+1,DATE(20&amp;LEFT(FAAddition[[#This Row],[FY]],2),4,1)&gt;$P$1-1),'FA Addition'!$J946,0)</f>
        <v>1200</v>
      </c>
      <c r="U946" s="117">
        <f>S946*'FA Addition'!$L946/'FA Addition'!$J946</f>
        <v>2040000</v>
      </c>
      <c r="W946" s="116">
        <f>SUMIFS('FA Write off'!D:D,'FA Write off'!A:A,'FA Addition'!$A946,'FA Write off'!C:C,"&lt;"&amp;'FA Addition'!$P$1)</f>
        <v>0</v>
      </c>
      <c r="Y946" s="191">
        <f>IFERROR(W946/'FA Addition'!$J946*'FA Addition'!$L946,0)</f>
        <v>0</v>
      </c>
      <c r="AA946" s="116">
        <f>SUMIFS('FA Write off'!D:D,'FA Write off'!A:A,'FA Addition'!$A946,'FA Write off'!C:C,"&lt;"&amp;'FA Addition'!$L$1+1,'FA Write off'!C:C,"&gt;"&amp;'FA Addition'!$L$1-365)</f>
        <v>0</v>
      </c>
      <c r="AC946" s="118">
        <f>IFERROR(AA946/'FA Addition'!$J946*'FA Addition'!$L946,0)</f>
        <v>0</v>
      </c>
      <c r="AE946" s="117">
        <f>IF(AND('FA Addition'!$D946&lt;$P$1+1,U946=0),'FA Addition'!$L946,0)-Y946</f>
        <v>0</v>
      </c>
      <c r="AF946" s="117">
        <f t="shared" si="70"/>
        <v>2040000</v>
      </c>
      <c r="AG946" s="117">
        <f>MIN(MAX(+$P$1-'FA Addition'!$D946,0),365*'FA Addition'!$O946)</f>
        <v>0</v>
      </c>
      <c r="AH946" s="117">
        <f>MIN(MAX($L$1-'FA Addition'!$D946+1,0),365*'FA Addition'!$O946)</f>
        <v>45</v>
      </c>
      <c r="AI946" s="117" cm="1">
        <f t="array" ref="AI946">_xlfn.XLOOKUP(1,('FA Write off'!A:A='FA Addition'!$A946)*('FA Write off'!D:D=AA946),'FA Write off'!H:H,0,0)</f>
        <v>0</v>
      </c>
      <c r="AJ946" s="117">
        <f>IF(AC946&gt;0,MAX(IF('FA Addition'!$N946="SLM",($AC946-'FA Addition'!$M946)*'FA Addition'!$P946*AI946/365,(AC946-'FA Addition'!$M946)*(1-(1-'FA Addition'!$P946)^(AI946/365))),0),0)</f>
        <v>0</v>
      </c>
      <c r="AL946" s="117">
        <f>MAX(IF(AG946&gt;0,IF('FA Addition'!$N946="SLM",($AE946-'FA Addition'!$M946)*'FA Addition'!$P946*AG946/365,IFERROR(VDB(AE946,AE946*0.05,'FA Addition'!$O946,0,YEARFRAC('FA Addition'!$C946,$P$1-1,3),'FA Addition'!$Q946),FAAddition[[#This Row],[Original Cost (Rs)]]-FAAddition[[#This Row],[Salvage Value]])),0),0)</f>
        <v>0</v>
      </c>
      <c r="AM946" s="119"/>
      <c r="AN946" s="117">
        <f>MAX(IF(AH946&gt;0,IF('FA Addition'!$N946="SLM",($AF946-'FA Addition'!$M946)*'FA Addition'!$P946*AH946/365,IFERROR(VDB(AF946,AF946*0.05,'FA Addition'!$O946,0,YEARFRAC('FA Addition'!$C946,$L$1,3),'FA Addition'!$Q946),FAAddition[[#This Row],[Original Cost (Rs)]]-FAAddition[[#This Row],[Salvage Value]])),0),0)</f>
        <v>47786.301369863017</v>
      </c>
      <c r="AO946" s="117">
        <f t="shared" si="73"/>
        <v>47786.301369863017</v>
      </c>
      <c r="AQ946" s="117">
        <f t="shared" si="71"/>
        <v>0</v>
      </c>
      <c r="AR946" s="120">
        <f t="shared" si="72"/>
        <v>1992213.6986301369</v>
      </c>
      <c r="AS946" s="121"/>
    </row>
    <row r="947" spans="1:45" ht="13.5" x14ac:dyDescent="0.4">
      <c r="A947" s="12">
        <f t="shared" si="74"/>
        <v>944</v>
      </c>
      <c r="B947" s="64" t="s">
        <v>1308</v>
      </c>
      <c r="C947" s="54">
        <v>45339</v>
      </c>
      <c r="D947" s="54">
        <v>45339</v>
      </c>
      <c r="E947" s="46" t="s">
        <v>1320</v>
      </c>
      <c r="F947" s="51" t="s">
        <v>33</v>
      </c>
      <c r="G947" s="51" t="s">
        <v>36</v>
      </c>
      <c r="H947" s="51" t="s">
        <v>32</v>
      </c>
      <c r="I947" s="55" t="s">
        <v>1720</v>
      </c>
      <c r="J947" s="56">
        <v>900</v>
      </c>
      <c r="K947" s="51" t="s">
        <v>296</v>
      </c>
      <c r="L947" s="58">
        <v>1530000</v>
      </c>
      <c r="M947" s="50">
        <f>ROUND('FA Addition'!$L947*5%,0.1)</f>
        <v>76500</v>
      </c>
      <c r="N947" s="113" t="str">
        <f>_xlfn.XLOOKUP(_xlfn.CONCAT(E947,B947),'Year Wise Master Dep Approach'!F:F,'Year Wise Master Dep Approach'!D:D)</f>
        <v>SLM</v>
      </c>
      <c r="O947" s="113">
        <f>_xlfn.XLOOKUP(_xlfn.CONCAT(E947,B947),'Year Wise Master Dep Approach'!F:F,'Year Wise Master Dep Approach'!E:E)</f>
        <v>5</v>
      </c>
      <c r="P947" s="114">
        <f>IFERROR(IF('FA Addition'!$N947="WDV",1-('FA Addition'!$M947/'FA Addition'!$L947)^(1/'FA Addition'!$O947),1/'FA Addition'!$O947),0)</f>
        <v>0.2</v>
      </c>
      <c r="Q947" s="122">
        <f>'FA Addition'!$P947*'FA Addition'!$O947</f>
        <v>1</v>
      </c>
      <c r="R947" s="122"/>
      <c r="S947" s="116">
        <f>IF(AND(DATE(20&amp;LEFT(FAAddition[[#This Row],[FY]],2),4,1)&lt;$L$1+1,DATE(20&amp;LEFT(FAAddition[[#This Row],[FY]],2),4,1)&gt;$P$1-1),'FA Addition'!$J947,0)</f>
        <v>900</v>
      </c>
      <c r="U947" s="117">
        <f>S947*'FA Addition'!$L947/'FA Addition'!$J947</f>
        <v>1530000</v>
      </c>
      <c r="W947" s="116">
        <f>SUMIFS('FA Write off'!D:D,'FA Write off'!A:A,'FA Addition'!$A947,'FA Write off'!C:C,"&lt;"&amp;'FA Addition'!$P$1)</f>
        <v>0</v>
      </c>
      <c r="Y947" s="191">
        <f>IFERROR(W947/'FA Addition'!$J947*'FA Addition'!$L947,0)</f>
        <v>0</v>
      </c>
      <c r="AA947" s="116">
        <f>SUMIFS('FA Write off'!D:D,'FA Write off'!A:A,'FA Addition'!$A947,'FA Write off'!C:C,"&lt;"&amp;'FA Addition'!$L$1+1,'FA Write off'!C:C,"&gt;"&amp;'FA Addition'!$L$1-365)</f>
        <v>0</v>
      </c>
      <c r="AC947" s="118">
        <f>IFERROR(AA947/'FA Addition'!$J947*'FA Addition'!$L947,0)</f>
        <v>0</v>
      </c>
      <c r="AE947" s="117">
        <f>IF(AND('FA Addition'!$D947&lt;$P$1+1,U947=0),'FA Addition'!$L947,0)-Y947</f>
        <v>0</v>
      </c>
      <c r="AF947" s="117">
        <f t="shared" si="70"/>
        <v>1530000</v>
      </c>
      <c r="AG947" s="117">
        <f>MIN(MAX(+$P$1-'FA Addition'!$D947,0),365*'FA Addition'!$O947)</f>
        <v>0</v>
      </c>
      <c r="AH947" s="117">
        <f>MIN(MAX($L$1-'FA Addition'!$D947+1,0),365*'FA Addition'!$O947)</f>
        <v>44</v>
      </c>
      <c r="AI947" s="117" cm="1">
        <f t="array" ref="AI947">_xlfn.XLOOKUP(1,('FA Write off'!A:A='FA Addition'!$A947)*('FA Write off'!D:D=AA947),'FA Write off'!H:H,0,0)</f>
        <v>0</v>
      </c>
      <c r="AJ947" s="117">
        <f>IF(AC947&gt;0,MAX(IF('FA Addition'!$N947="SLM",($AC947-'FA Addition'!$M947)*'FA Addition'!$P947*AI947/365,(AC947-'FA Addition'!$M947)*(1-(1-'FA Addition'!$P947)^(AI947/365))),0),0)</f>
        <v>0</v>
      </c>
      <c r="AL947" s="117">
        <f>MAX(IF(AG947&gt;0,IF('FA Addition'!$N947="SLM",($AE947-'FA Addition'!$M947)*'FA Addition'!$P947*AG947/365,IFERROR(VDB(AE947,AE947*0.05,'FA Addition'!$O947,0,YEARFRAC('FA Addition'!$C947,$P$1-1,3),'FA Addition'!$Q947),FAAddition[[#This Row],[Original Cost (Rs)]]-FAAddition[[#This Row],[Salvage Value]])),0),0)</f>
        <v>0</v>
      </c>
      <c r="AM947" s="119"/>
      <c r="AN947" s="117">
        <f>MAX(IF(AH947&gt;0,IF('FA Addition'!$N947="SLM",($AF947-'FA Addition'!$M947)*'FA Addition'!$P947*AH947/365,IFERROR(VDB(AF947,AF947*0.05,'FA Addition'!$O947,0,YEARFRAC('FA Addition'!$C947,$L$1,3),'FA Addition'!$Q947),FAAddition[[#This Row],[Original Cost (Rs)]]-FAAddition[[#This Row],[Salvage Value]])),0),0)</f>
        <v>35043.28767123288</v>
      </c>
      <c r="AO947" s="117">
        <f t="shared" si="73"/>
        <v>35043.28767123288</v>
      </c>
      <c r="AQ947" s="117">
        <f t="shared" si="71"/>
        <v>0</v>
      </c>
      <c r="AR947" s="120">
        <f t="shared" si="72"/>
        <v>1494956.7123287672</v>
      </c>
      <c r="AS947" s="121"/>
    </row>
    <row r="948" spans="1:45" ht="13.5" x14ac:dyDescent="0.4">
      <c r="A948" s="12">
        <f t="shared" si="74"/>
        <v>945</v>
      </c>
      <c r="B948" s="64" t="s">
        <v>1308</v>
      </c>
      <c r="C948" s="54">
        <v>45341</v>
      </c>
      <c r="D948" s="54">
        <v>45341</v>
      </c>
      <c r="E948" s="46" t="s">
        <v>1320</v>
      </c>
      <c r="F948" s="51" t="s">
        <v>33</v>
      </c>
      <c r="G948" s="51" t="s">
        <v>36</v>
      </c>
      <c r="H948" s="51" t="s">
        <v>32</v>
      </c>
      <c r="I948" s="55" t="s">
        <v>1721</v>
      </c>
      <c r="J948" s="56">
        <v>1000</v>
      </c>
      <c r="K948" s="51" t="s">
        <v>296</v>
      </c>
      <c r="L948" s="58">
        <v>1700000</v>
      </c>
      <c r="M948" s="50">
        <f>ROUND('FA Addition'!$L948*5%,0.1)</f>
        <v>85000</v>
      </c>
      <c r="N948" s="113" t="str">
        <f>_xlfn.XLOOKUP(_xlfn.CONCAT(E948,B948),'Year Wise Master Dep Approach'!F:F,'Year Wise Master Dep Approach'!D:D)</f>
        <v>SLM</v>
      </c>
      <c r="O948" s="113">
        <f>_xlfn.XLOOKUP(_xlfn.CONCAT(E948,B948),'Year Wise Master Dep Approach'!F:F,'Year Wise Master Dep Approach'!E:E)</f>
        <v>5</v>
      </c>
      <c r="P948" s="114">
        <f>IFERROR(IF('FA Addition'!$N948="WDV",1-('FA Addition'!$M948/'FA Addition'!$L948)^(1/'FA Addition'!$O948),1/'FA Addition'!$O948),0)</f>
        <v>0.2</v>
      </c>
      <c r="Q948" s="122">
        <f>'FA Addition'!$P948*'FA Addition'!$O948</f>
        <v>1</v>
      </c>
      <c r="R948" s="122"/>
      <c r="S948" s="116">
        <f>IF(AND(DATE(20&amp;LEFT(FAAddition[[#This Row],[FY]],2),4,1)&lt;$L$1+1,DATE(20&amp;LEFT(FAAddition[[#This Row],[FY]],2),4,1)&gt;$P$1-1),'FA Addition'!$J948,0)</f>
        <v>1000</v>
      </c>
      <c r="U948" s="117">
        <f>S948*'FA Addition'!$L948/'FA Addition'!$J948</f>
        <v>1700000</v>
      </c>
      <c r="W948" s="116">
        <f>SUMIFS('FA Write off'!D:D,'FA Write off'!A:A,'FA Addition'!$A948,'FA Write off'!C:C,"&lt;"&amp;'FA Addition'!$P$1)</f>
        <v>0</v>
      </c>
      <c r="Y948" s="191">
        <f>IFERROR(W948/'FA Addition'!$J948*'FA Addition'!$L948,0)</f>
        <v>0</v>
      </c>
      <c r="AA948" s="116">
        <f>SUMIFS('FA Write off'!D:D,'FA Write off'!A:A,'FA Addition'!$A948,'FA Write off'!C:C,"&lt;"&amp;'FA Addition'!$L$1+1,'FA Write off'!C:C,"&gt;"&amp;'FA Addition'!$L$1-365)</f>
        <v>0</v>
      </c>
      <c r="AC948" s="118">
        <f>IFERROR(AA948/'FA Addition'!$J948*'FA Addition'!$L948,0)</f>
        <v>0</v>
      </c>
      <c r="AE948" s="117">
        <f>IF(AND('FA Addition'!$D948&lt;$P$1+1,U948=0),'FA Addition'!$L948,0)-Y948</f>
        <v>0</v>
      </c>
      <c r="AF948" s="117">
        <f t="shared" si="70"/>
        <v>1700000</v>
      </c>
      <c r="AG948" s="117">
        <f>MIN(MAX(+$P$1-'FA Addition'!$D948,0),365*'FA Addition'!$O948)</f>
        <v>0</v>
      </c>
      <c r="AH948" s="117">
        <f>MIN(MAX($L$1-'FA Addition'!$D948+1,0),365*'FA Addition'!$O948)</f>
        <v>42</v>
      </c>
      <c r="AI948" s="117" cm="1">
        <f t="array" ref="AI948">_xlfn.XLOOKUP(1,('FA Write off'!A:A='FA Addition'!$A948)*('FA Write off'!D:D=AA948),'FA Write off'!H:H,0,0)</f>
        <v>0</v>
      </c>
      <c r="AJ948" s="117">
        <f>IF(AC948&gt;0,MAX(IF('FA Addition'!$N948="SLM",($AC948-'FA Addition'!$M948)*'FA Addition'!$P948*AI948/365,(AC948-'FA Addition'!$M948)*(1-(1-'FA Addition'!$P948)^(AI948/365))),0),0)</f>
        <v>0</v>
      </c>
      <c r="AL948" s="117">
        <f>MAX(IF(AG948&gt;0,IF('FA Addition'!$N948="SLM",($AE948-'FA Addition'!$M948)*'FA Addition'!$P948*AG948/365,IFERROR(VDB(AE948,AE948*0.05,'FA Addition'!$O948,0,YEARFRAC('FA Addition'!$C948,$P$1-1,3),'FA Addition'!$Q948),FAAddition[[#This Row],[Original Cost (Rs)]]-FAAddition[[#This Row],[Salvage Value]])),0),0)</f>
        <v>0</v>
      </c>
      <c r="AM948" s="119"/>
      <c r="AN948" s="117">
        <f>MAX(IF(AH948&gt;0,IF('FA Addition'!$N948="SLM",($AF948-'FA Addition'!$M948)*'FA Addition'!$P948*AH948/365,IFERROR(VDB(AF948,AF948*0.05,'FA Addition'!$O948,0,YEARFRAC('FA Addition'!$C948,$L$1,3),'FA Addition'!$Q948),FAAddition[[#This Row],[Original Cost (Rs)]]-FAAddition[[#This Row],[Salvage Value]])),0),0)</f>
        <v>37167.123287671231</v>
      </c>
      <c r="AO948" s="117">
        <f t="shared" si="73"/>
        <v>37167.123287671231</v>
      </c>
      <c r="AQ948" s="117">
        <f t="shared" si="71"/>
        <v>0</v>
      </c>
      <c r="AR948" s="120">
        <f t="shared" si="72"/>
        <v>1662832.8767123288</v>
      </c>
      <c r="AS948" s="121"/>
    </row>
    <row r="949" spans="1:45" ht="13.5" x14ac:dyDescent="0.4">
      <c r="A949" s="12">
        <f t="shared" si="74"/>
        <v>946</v>
      </c>
      <c r="B949" s="64" t="s">
        <v>1308</v>
      </c>
      <c r="C949" s="54">
        <v>45344</v>
      </c>
      <c r="D949" s="54">
        <v>45344</v>
      </c>
      <c r="E949" s="46" t="s">
        <v>451</v>
      </c>
      <c r="F949" s="51" t="s">
        <v>19</v>
      </c>
      <c r="G949" s="51" t="s">
        <v>1722</v>
      </c>
      <c r="H949" s="51" t="s">
        <v>151</v>
      </c>
      <c r="I949" s="55" t="s">
        <v>1723</v>
      </c>
      <c r="J949" s="56">
        <v>1</v>
      </c>
      <c r="K949" s="51" t="s">
        <v>1724</v>
      </c>
      <c r="L949" s="58">
        <v>12816.1</v>
      </c>
      <c r="M949" s="50">
        <f>ROUND('FA Addition'!$L949*5%,0.1)</f>
        <v>641</v>
      </c>
      <c r="N949" s="113" t="str">
        <f>_xlfn.XLOOKUP(_xlfn.CONCAT(E949,B949),'Year Wise Master Dep Approach'!F:F,'Year Wise Master Dep Approach'!D:D)</f>
        <v>WDV</v>
      </c>
      <c r="O949" s="113">
        <f>_xlfn.XLOOKUP(_xlfn.CONCAT(E949,B949),'Year Wise Master Dep Approach'!F:F,'Year Wise Master Dep Approach'!E:E)</f>
        <v>3</v>
      </c>
      <c r="P949" s="114">
        <f>IFERROR(IF('FA Addition'!$N949="WDV",1-('FA Addition'!$M949/'FA Addition'!$L949)^(1/'FA Addition'!$O949),1/'FA Addition'!$O949),0)</f>
        <v>0.63155948498405001</v>
      </c>
      <c r="Q949" s="122">
        <f>'FA Addition'!$P949*'FA Addition'!$O949</f>
        <v>1.89467845495215</v>
      </c>
      <c r="R949" s="122"/>
      <c r="S949" s="116">
        <f>IF(AND(DATE(20&amp;LEFT(FAAddition[[#This Row],[FY]],2),4,1)&lt;$L$1+1,DATE(20&amp;LEFT(FAAddition[[#This Row],[FY]],2),4,1)&gt;$P$1-1),'FA Addition'!$J949,0)</f>
        <v>1</v>
      </c>
      <c r="U949" s="117">
        <f>S949*'FA Addition'!$L949/'FA Addition'!$J949</f>
        <v>12816.1</v>
      </c>
      <c r="W949" s="116">
        <f>SUMIFS('FA Write off'!D:D,'FA Write off'!A:A,'FA Addition'!$A949,'FA Write off'!C:C,"&lt;"&amp;'FA Addition'!$P$1)</f>
        <v>0</v>
      </c>
      <c r="Y949" s="191">
        <f>IFERROR(W949/'FA Addition'!$J949*'FA Addition'!$L949,0)</f>
        <v>0</v>
      </c>
      <c r="AA949" s="116">
        <f>SUMIFS('FA Write off'!D:D,'FA Write off'!A:A,'FA Addition'!$A949,'FA Write off'!C:C,"&lt;"&amp;'FA Addition'!$L$1+1,'FA Write off'!C:C,"&gt;"&amp;'FA Addition'!$L$1-365)</f>
        <v>0</v>
      </c>
      <c r="AC949" s="118">
        <f>IFERROR(AA949/'FA Addition'!$J949*'FA Addition'!$L949,0)</f>
        <v>0</v>
      </c>
      <c r="AE949" s="117">
        <f>IF(AND('FA Addition'!$D949&lt;$P$1+1,U949=0),'FA Addition'!$L949,0)-Y949</f>
        <v>0</v>
      </c>
      <c r="AF949" s="117">
        <f t="shared" si="70"/>
        <v>12816.1</v>
      </c>
      <c r="AG949" s="117">
        <f>MIN(MAX(+$P$1-'FA Addition'!$D949,0),365*'FA Addition'!$O949)</f>
        <v>0</v>
      </c>
      <c r="AH949" s="117">
        <f>MIN(MAX($L$1-'FA Addition'!$D949+1,0),365*'FA Addition'!$O949)</f>
        <v>39</v>
      </c>
      <c r="AI949" s="117" cm="1">
        <f t="array" ref="AI949">_xlfn.XLOOKUP(1,('FA Write off'!A:A='FA Addition'!$A949)*('FA Write off'!D:D=AA949),'FA Write off'!H:H,0,0)</f>
        <v>0</v>
      </c>
      <c r="AJ949" s="117">
        <f>IF(AC949&gt;0,MAX(IF('FA Addition'!$N949="SLM",($AC949-'FA Addition'!$M949)*'FA Addition'!$P949*AI949/365,(AC949-'FA Addition'!$M949)*(1-(1-'FA Addition'!$P949)^(AI949/365))),0),0)</f>
        <v>0</v>
      </c>
      <c r="AL949" s="117">
        <f>MAX(IF(AG949&gt;0,IF('FA Addition'!$N949="SLM",($AE949-'FA Addition'!$M949)*'FA Addition'!$P949*AG949/365,IFERROR(VDB(AE949,AE949*0.05,'FA Addition'!$O949,0,YEARFRAC('FA Addition'!$C949,$P$1-1,3),'FA Addition'!$Q949),FAAddition[[#This Row],[Original Cost (Rs)]]-FAAddition[[#This Row],[Salvage Value]])),0),0)</f>
        <v>0</v>
      </c>
      <c r="AM949" s="119"/>
      <c r="AN949" s="117">
        <f>MAX(IF(AH949&gt;0,IF('FA Addition'!$N949="SLM",($AF949-'FA Addition'!$M949)*'FA Addition'!$P949*AH949/365,IFERROR(VDB(AF949,AF949*0.05,'FA Addition'!$O949,0,YEARFRAC('FA Addition'!$C949,$L$1,3),'FA Addition'!$Q949),FAAddition[[#This Row],[Original Cost (Rs)]]-FAAddition[[#This Row],[Salvage Value]])),0),0)</f>
        <v>842.67649750453472</v>
      </c>
      <c r="AO949" s="117">
        <f t="shared" si="73"/>
        <v>842.67649750453472</v>
      </c>
      <c r="AQ949" s="117">
        <f t="shared" si="71"/>
        <v>0</v>
      </c>
      <c r="AR949" s="120">
        <f t="shared" si="72"/>
        <v>11973.423502495465</v>
      </c>
      <c r="AS949" s="121"/>
    </row>
    <row r="950" spans="1:45" ht="13.5" x14ac:dyDescent="0.4">
      <c r="A950" s="12">
        <f t="shared" si="74"/>
        <v>947</v>
      </c>
      <c r="B950" s="64" t="s">
        <v>1308</v>
      </c>
      <c r="C950" s="54">
        <v>45346</v>
      </c>
      <c r="D950" s="54">
        <v>45346</v>
      </c>
      <c r="E950" s="46" t="s">
        <v>1320</v>
      </c>
      <c r="F950" s="51" t="s">
        <v>33</v>
      </c>
      <c r="G950" s="51" t="s">
        <v>36</v>
      </c>
      <c r="H950" s="51" t="s">
        <v>32</v>
      </c>
      <c r="I950" s="55" t="s">
        <v>1725</v>
      </c>
      <c r="J950" s="56">
        <v>1000</v>
      </c>
      <c r="K950" s="51" t="s">
        <v>296</v>
      </c>
      <c r="L950" s="58">
        <v>1700000</v>
      </c>
      <c r="M950" s="50">
        <f>ROUND('FA Addition'!$L950*5%,0.1)</f>
        <v>85000</v>
      </c>
      <c r="N950" s="113" t="str">
        <f>_xlfn.XLOOKUP(_xlfn.CONCAT(E950,B950),'Year Wise Master Dep Approach'!F:F,'Year Wise Master Dep Approach'!D:D)</f>
        <v>SLM</v>
      </c>
      <c r="O950" s="113">
        <f>_xlfn.XLOOKUP(_xlfn.CONCAT(E950,B950),'Year Wise Master Dep Approach'!F:F,'Year Wise Master Dep Approach'!E:E)</f>
        <v>5</v>
      </c>
      <c r="P950" s="114">
        <f>IFERROR(IF('FA Addition'!$N950="WDV",1-('FA Addition'!$M950/'FA Addition'!$L950)^(1/'FA Addition'!$O950),1/'FA Addition'!$O950),0)</f>
        <v>0.2</v>
      </c>
      <c r="Q950" s="122">
        <f>'FA Addition'!$P950*'FA Addition'!$O950</f>
        <v>1</v>
      </c>
      <c r="R950" s="122"/>
      <c r="S950" s="116">
        <f>IF(AND(DATE(20&amp;LEFT(FAAddition[[#This Row],[FY]],2),4,1)&lt;$L$1+1,DATE(20&amp;LEFT(FAAddition[[#This Row],[FY]],2),4,1)&gt;$P$1-1),'FA Addition'!$J950,0)</f>
        <v>1000</v>
      </c>
      <c r="U950" s="117">
        <f>S950*'FA Addition'!$L950/'FA Addition'!$J950</f>
        <v>1700000</v>
      </c>
      <c r="W950" s="116">
        <f>SUMIFS('FA Write off'!D:D,'FA Write off'!A:A,'FA Addition'!$A950,'FA Write off'!C:C,"&lt;"&amp;'FA Addition'!$P$1)</f>
        <v>0</v>
      </c>
      <c r="Y950" s="191">
        <f>IFERROR(W950/'FA Addition'!$J950*'FA Addition'!$L950,0)</f>
        <v>0</v>
      </c>
      <c r="AA950" s="116">
        <f>SUMIFS('FA Write off'!D:D,'FA Write off'!A:A,'FA Addition'!$A950,'FA Write off'!C:C,"&lt;"&amp;'FA Addition'!$L$1+1,'FA Write off'!C:C,"&gt;"&amp;'FA Addition'!$L$1-365)</f>
        <v>0</v>
      </c>
      <c r="AC950" s="118">
        <f>IFERROR(AA950/'FA Addition'!$J950*'FA Addition'!$L950,0)</f>
        <v>0</v>
      </c>
      <c r="AE950" s="117">
        <f>IF(AND('FA Addition'!$D950&lt;$P$1+1,U950=0),'FA Addition'!$L950,0)-Y950</f>
        <v>0</v>
      </c>
      <c r="AF950" s="117">
        <f t="shared" si="70"/>
        <v>1700000</v>
      </c>
      <c r="AG950" s="117">
        <f>MIN(MAX(+$P$1-'FA Addition'!$D950,0),365*'FA Addition'!$O950)</f>
        <v>0</v>
      </c>
      <c r="AH950" s="117">
        <f>MIN(MAX($L$1-'FA Addition'!$D950+1,0),365*'FA Addition'!$O950)</f>
        <v>37</v>
      </c>
      <c r="AI950" s="117" cm="1">
        <f t="array" ref="AI950">_xlfn.XLOOKUP(1,('FA Write off'!A:A='FA Addition'!$A950)*('FA Write off'!D:D=AA950),'FA Write off'!H:H,0,0)</f>
        <v>0</v>
      </c>
      <c r="AJ950" s="117">
        <f>IF(AC950&gt;0,MAX(IF('FA Addition'!$N950="SLM",($AC950-'FA Addition'!$M950)*'FA Addition'!$P950*AI950/365,(AC950-'FA Addition'!$M950)*(1-(1-'FA Addition'!$P950)^(AI950/365))),0),0)</f>
        <v>0</v>
      </c>
      <c r="AL950" s="117">
        <f>MAX(IF(AG950&gt;0,IF('FA Addition'!$N950="SLM",($AE950-'FA Addition'!$M950)*'FA Addition'!$P950*AG950/365,IFERROR(VDB(AE950,AE950*0.05,'FA Addition'!$O950,0,YEARFRAC('FA Addition'!$C950,$P$1-1,3),'FA Addition'!$Q950),FAAddition[[#This Row],[Original Cost (Rs)]]-FAAddition[[#This Row],[Salvage Value]])),0),0)</f>
        <v>0</v>
      </c>
      <c r="AM950" s="119"/>
      <c r="AN950" s="117">
        <f>MAX(IF(AH950&gt;0,IF('FA Addition'!$N950="SLM",($AF950-'FA Addition'!$M950)*'FA Addition'!$P950*AH950/365,IFERROR(VDB(AF950,AF950*0.05,'FA Addition'!$O950,0,YEARFRAC('FA Addition'!$C950,$L$1,3),'FA Addition'!$Q950),FAAddition[[#This Row],[Original Cost (Rs)]]-FAAddition[[#This Row],[Salvage Value]])),0),0)</f>
        <v>32742.465753424658</v>
      </c>
      <c r="AO950" s="117">
        <f t="shared" si="73"/>
        <v>32742.465753424658</v>
      </c>
      <c r="AQ950" s="117">
        <f t="shared" si="71"/>
        <v>0</v>
      </c>
      <c r="AR950" s="120">
        <f t="shared" si="72"/>
        <v>1667257.5342465753</v>
      </c>
      <c r="AS950" s="121"/>
    </row>
    <row r="951" spans="1:45" ht="13.5" x14ac:dyDescent="0.4">
      <c r="A951" s="12">
        <f t="shared" si="74"/>
        <v>948</v>
      </c>
      <c r="B951" s="64" t="s">
        <v>1308</v>
      </c>
      <c r="C951" s="54">
        <v>45348</v>
      </c>
      <c r="D951" s="54">
        <v>45348</v>
      </c>
      <c r="E951" s="46" t="s">
        <v>451</v>
      </c>
      <c r="F951" s="51" t="s">
        <v>19</v>
      </c>
      <c r="G951" s="51" t="s">
        <v>1290</v>
      </c>
      <c r="H951" s="51" t="s">
        <v>21</v>
      </c>
      <c r="I951" s="55" t="s">
        <v>1726</v>
      </c>
      <c r="J951" s="56">
        <v>1</v>
      </c>
      <c r="K951" s="51" t="s">
        <v>1503</v>
      </c>
      <c r="L951" s="58">
        <v>62711.86</v>
      </c>
      <c r="M951" s="50">
        <f>ROUND('FA Addition'!$L951*5%,0.1)</f>
        <v>3136</v>
      </c>
      <c r="N951" s="113" t="str">
        <f>_xlfn.XLOOKUP(_xlfn.CONCAT(E951,B951),'Year Wise Master Dep Approach'!F:F,'Year Wise Master Dep Approach'!D:D)</f>
        <v>WDV</v>
      </c>
      <c r="O951" s="113">
        <f>_xlfn.XLOOKUP(_xlfn.CONCAT(E951,B951),'Year Wise Master Dep Approach'!F:F,'Year Wise Master Dep Approach'!E:E)</f>
        <v>3</v>
      </c>
      <c r="P951" s="114">
        <f>IFERROR(IF('FA Addition'!$N951="WDV",1-('FA Addition'!$M951/'FA Addition'!$L951)^(1/'FA Addition'!$O951),1/'FA Addition'!$O951),0)</f>
        <v>0.63158091124815985</v>
      </c>
      <c r="Q951" s="122">
        <f>'FA Addition'!$P951*'FA Addition'!$O951</f>
        <v>1.8947427337444795</v>
      </c>
      <c r="R951" s="122"/>
      <c r="S951" s="116">
        <f>IF(AND(DATE(20&amp;LEFT(FAAddition[[#This Row],[FY]],2),4,1)&lt;$L$1+1,DATE(20&amp;LEFT(FAAddition[[#This Row],[FY]],2),4,1)&gt;$P$1-1),'FA Addition'!$J951,0)</f>
        <v>1</v>
      </c>
      <c r="U951" s="117">
        <f>S951*'FA Addition'!$L951/'FA Addition'!$J951</f>
        <v>62711.86</v>
      </c>
      <c r="W951" s="116">
        <f>SUMIFS('FA Write off'!D:D,'FA Write off'!A:A,'FA Addition'!$A951,'FA Write off'!C:C,"&lt;"&amp;'FA Addition'!$P$1)</f>
        <v>0</v>
      </c>
      <c r="Y951" s="191">
        <f>IFERROR(W951/'FA Addition'!$J951*'FA Addition'!$L951,0)</f>
        <v>0</v>
      </c>
      <c r="AA951" s="116">
        <f>SUMIFS('FA Write off'!D:D,'FA Write off'!A:A,'FA Addition'!$A951,'FA Write off'!C:C,"&lt;"&amp;'FA Addition'!$L$1+1,'FA Write off'!C:C,"&gt;"&amp;'FA Addition'!$L$1-365)</f>
        <v>0</v>
      </c>
      <c r="AC951" s="118">
        <f>IFERROR(AA951/'FA Addition'!$J951*'FA Addition'!$L951,0)</f>
        <v>0</v>
      </c>
      <c r="AE951" s="117">
        <f>IF(AND('FA Addition'!$D951&lt;$P$1+1,U951=0),'FA Addition'!$L951,0)-Y951</f>
        <v>0</v>
      </c>
      <c r="AF951" s="117">
        <f t="shared" si="70"/>
        <v>62711.86</v>
      </c>
      <c r="AG951" s="117">
        <f>MIN(MAX(+$P$1-'FA Addition'!$D951,0),365*'FA Addition'!$O951)</f>
        <v>0</v>
      </c>
      <c r="AH951" s="117">
        <f>MIN(MAX($L$1-'FA Addition'!$D951+1,0),365*'FA Addition'!$O951)</f>
        <v>35</v>
      </c>
      <c r="AI951" s="117" cm="1">
        <f t="array" ref="AI951">_xlfn.XLOOKUP(1,('FA Write off'!A:A='FA Addition'!$A951)*('FA Write off'!D:D=AA951),'FA Write off'!H:H,0,0)</f>
        <v>0</v>
      </c>
      <c r="AJ951" s="117">
        <f>IF(AC951&gt;0,MAX(IF('FA Addition'!$N951="SLM",($AC951-'FA Addition'!$M951)*'FA Addition'!$P951*AI951/365,(AC951-'FA Addition'!$M951)*(1-(1-'FA Addition'!$P951)^(AI951/365))),0),0)</f>
        <v>0</v>
      </c>
      <c r="AL951" s="117">
        <f>MAX(IF(AG951&gt;0,IF('FA Addition'!$N951="SLM",($AE951-'FA Addition'!$M951)*'FA Addition'!$P951*AG951/365,IFERROR(VDB(AE951,AE951*0.05,'FA Addition'!$O951,0,YEARFRAC('FA Addition'!$C951,$P$1-1,3),'FA Addition'!$Q951),FAAddition[[#This Row],[Original Cost (Rs)]]-FAAddition[[#This Row],[Salvage Value]])),0),0)</f>
        <v>0</v>
      </c>
      <c r="AM951" s="119"/>
      <c r="AN951" s="117">
        <f>MAX(IF(AH951&gt;0,IF('FA Addition'!$N951="SLM",($AF951-'FA Addition'!$M951)*'FA Addition'!$P951*AH951/365,IFERROR(VDB(AF951,AF951*0.05,'FA Addition'!$O951,0,YEARFRAC('FA Addition'!$C951,$L$1,3),'FA Addition'!$Q951),FAAddition[[#This Row],[Original Cost (Rs)]]-FAAddition[[#This Row],[Salvage Value]])),0),0)</f>
        <v>3689.4763432478876</v>
      </c>
      <c r="AO951" s="117">
        <f t="shared" si="73"/>
        <v>3689.4763432478876</v>
      </c>
      <c r="AQ951" s="117">
        <f t="shared" si="71"/>
        <v>0</v>
      </c>
      <c r="AR951" s="120">
        <f t="shared" si="72"/>
        <v>59022.383656752114</v>
      </c>
      <c r="AS951" s="121"/>
    </row>
    <row r="952" spans="1:45" ht="13.5" x14ac:dyDescent="0.4">
      <c r="A952" s="12">
        <f t="shared" si="74"/>
        <v>949</v>
      </c>
      <c r="B952" s="64" t="s">
        <v>1308</v>
      </c>
      <c r="C952" s="54">
        <v>45348</v>
      </c>
      <c r="D952" s="54">
        <v>45348</v>
      </c>
      <c r="E952" s="46" t="s">
        <v>451</v>
      </c>
      <c r="F952" s="51" t="s">
        <v>19</v>
      </c>
      <c r="G952" s="51" t="s">
        <v>1290</v>
      </c>
      <c r="H952" s="51" t="s">
        <v>21</v>
      </c>
      <c r="I952" s="55" t="s">
        <v>1726</v>
      </c>
      <c r="J952" s="56">
        <v>1</v>
      </c>
      <c r="K952" s="51" t="s">
        <v>1503</v>
      </c>
      <c r="L952" s="58">
        <v>62711.86</v>
      </c>
      <c r="M952" s="50">
        <f>ROUND('FA Addition'!$L952*5%,0.1)</f>
        <v>3136</v>
      </c>
      <c r="N952" s="113" t="str">
        <f>_xlfn.XLOOKUP(_xlfn.CONCAT(E952,B952),'Year Wise Master Dep Approach'!F:F,'Year Wise Master Dep Approach'!D:D)</f>
        <v>WDV</v>
      </c>
      <c r="O952" s="113">
        <f>_xlfn.XLOOKUP(_xlfn.CONCAT(E952,B952),'Year Wise Master Dep Approach'!F:F,'Year Wise Master Dep Approach'!E:E)</f>
        <v>3</v>
      </c>
      <c r="P952" s="114">
        <f>IFERROR(IF('FA Addition'!$N952="WDV",1-('FA Addition'!$M952/'FA Addition'!$L952)^(1/'FA Addition'!$O952),1/'FA Addition'!$O952),0)</f>
        <v>0.63158091124815985</v>
      </c>
      <c r="Q952" s="122">
        <f>'FA Addition'!$P952*'FA Addition'!$O952</f>
        <v>1.8947427337444795</v>
      </c>
      <c r="R952" s="122"/>
      <c r="S952" s="116">
        <f>IF(AND(DATE(20&amp;LEFT(FAAddition[[#This Row],[FY]],2),4,1)&lt;$L$1+1,DATE(20&amp;LEFT(FAAddition[[#This Row],[FY]],2),4,1)&gt;$P$1-1),'FA Addition'!$J952,0)</f>
        <v>1</v>
      </c>
      <c r="U952" s="117">
        <f>S952*'FA Addition'!$L952/'FA Addition'!$J952</f>
        <v>62711.86</v>
      </c>
      <c r="W952" s="116">
        <f>SUMIFS('FA Write off'!D:D,'FA Write off'!A:A,'FA Addition'!$A952,'FA Write off'!C:C,"&lt;"&amp;'FA Addition'!$P$1)</f>
        <v>0</v>
      </c>
      <c r="Y952" s="191">
        <f>IFERROR(W952/'FA Addition'!$J952*'FA Addition'!$L952,0)</f>
        <v>0</v>
      </c>
      <c r="AA952" s="116">
        <f>SUMIFS('FA Write off'!D:D,'FA Write off'!A:A,'FA Addition'!$A952,'FA Write off'!C:C,"&lt;"&amp;'FA Addition'!$L$1+1,'FA Write off'!C:C,"&gt;"&amp;'FA Addition'!$L$1-365)</f>
        <v>0</v>
      </c>
      <c r="AC952" s="118">
        <f>IFERROR(AA952/'FA Addition'!$J952*'FA Addition'!$L952,0)</f>
        <v>0</v>
      </c>
      <c r="AE952" s="117">
        <f>IF(AND('FA Addition'!$D952&lt;$P$1+1,U952=0),'FA Addition'!$L952,0)-Y952</f>
        <v>0</v>
      </c>
      <c r="AF952" s="117">
        <f t="shared" si="70"/>
        <v>62711.86</v>
      </c>
      <c r="AG952" s="117">
        <f>MIN(MAX(+$P$1-'FA Addition'!$D952,0),365*'FA Addition'!$O952)</f>
        <v>0</v>
      </c>
      <c r="AH952" s="117">
        <f>MIN(MAX($L$1-'FA Addition'!$D952+1,0),365*'FA Addition'!$O952)</f>
        <v>35</v>
      </c>
      <c r="AI952" s="117" cm="1">
        <f t="array" ref="AI952">_xlfn.XLOOKUP(1,('FA Write off'!A:A='FA Addition'!$A952)*('FA Write off'!D:D=AA952),'FA Write off'!H:H,0,0)</f>
        <v>0</v>
      </c>
      <c r="AJ952" s="117">
        <f>IF(AC952&gt;0,MAX(IF('FA Addition'!$N952="SLM",($AC952-'FA Addition'!$M952)*'FA Addition'!$P952*AI952/365,(AC952-'FA Addition'!$M952)*(1-(1-'FA Addition'!$P952)^(AI952/365))),0),0)</f>
        <v>0</v>
      </c>
      <c r="AL952" s="117">
        <f>MAX(IF(AG952&gt;0,IF('FA Addition'!$N952="SLM",($AE952-'FA Addition'!$M952)*'FA Addition'!$P952*AG952/365,IFERROR(VDB(AE952,AE952*0.05,'FA Addition'!$O952,0,YEARFRAC('FA Addition'!$C952,$P$1-1,3),'FA Addition'!$Q952),FAAddition[[#This Row],[Original Cost (Rs)]]-FAAddition[[#This Row],[Salvage Value]])),0),0)</f>
        <v>0</v>
      </c>
      <c r="AM952" s="119"/>
      <c r="AN952" s="117">
        <f>MAX(IF(AH952&gt;0,IF('FA Addition'!$N952="SLM",($AF952-'FA Addition'!$M952)*'FA Addition'!$P952*AH952/365,IFERROR(VDB(AF952,AF952*0.05,'FA Addition'!$O952,0,YEARFRAC('FA Addition'!$C952,$L$1,3),'FA Addition'!$Q952),FAAddition[[#This Row],[Original Cost (Rs)]]-FAAddition[[#This Row],[Salvage Value]])),0),0)</f>
        <v>3689.4763432478876</v>
      </c>
      <c r="AO952" s="117">
        <f t="shared" si="73"/>
        <v>3689.4763432478876</v>
      </c>
      <c r="AQ952" s="117">
        <f t="shared" si="71"/>
        <v>0</v>
      </c>
      <c r="AR952" s="120">
        <f t="shared" si="72"/>
        <v>59022.383656752114</v>
      </c>
      <c r="AS952" s="121"/>
    </row>
    <row r="953" spans="1:45" ht="13.5" x14ac:dyDescent="0.4">
      <c r="A953" s="12">
        <f t="shared" si="74"/>
        <v>950</v>
      </c>
      <c r="B953" s="64" t="s">
        <v>1308</v>
      </c>
      <c r="C953" s="54">
        <v>45352</v>
      </c>
      <c r="D953" s="54">
        <v>45352</v>
      </c>
      <c r="E953" s="46" t="s">
        <v>1320</v>
      </c>
      <c r="F953" s="51" t="s">
        <v>33</v>
      </c>
      <c r="G953" s="51" t="s">
        <v>34</v>
      </c>
      <c r="H953" s="51" t="s">
        <v>32</v>
      </c>
      <c r="I953" s="55" t="s">
        <v>1727</v>
      </c>
      <c r="J953" s="56">
        <v>2000</v>
      </c>
      <c r="K953" s="51" t="s">
        <v>1322</v>
      </c>
      <c r="L953" s="58">
        <v>3900000</v>
      </c>
      <c r="M953" s="50">
        <f>ROUND('FA Addition'!$L953*5%,0.1)</f>
        <v>195000</v>
      </c>
      <c r="N953" s="113" t="str">
        <f>_xlfn.XLOOKUP(_xlfn.CONCAT(E953,B953),'Year Wise Master Dep Approach'!F:F,'Year Wise Master Dep Approach'!D:D)</f>
        <v>SLM</v>
      </c>
      <c r="O953" s="113">
        <f>_xlfn.XLOOKUP(_xlfn.CONCAT(E953,B953),'Year Wise Master Dep Approach'!F:F,'Year Wise Master Dep Approach'!E:E)</f>
        <v>5</v>
      </c>
      <c r="P953" s="114">
        <f>IFERROR(IF('FA Addition'!$N953="WDV",1-('FA Addition'!$M953/'FA Addition'!$L953)^(1/'FA Addition'!$O953),1/'FA Addition'!$O953),0)</f>
        <v>0.2</v>
      </c>
      <c r="Q953" s="122">
        <f>'FA Addition'!$P953*'FA Addition'!$O953</f>
        <v>1</v>
      </c>
      <c r="R953" s="122"/>
      <c r="S953" s="116">
        <f>IF(AND(DATE(20&amp;LEFT(FAAddition[[#This Row],[FY]],2),4,1)&lt;$L$1+1,DATE(20&amp;LEFT(FAAddition[[#This Row],[FY]],2),4,1)&gt;$P$1-1),'FA Addition'!$J953,0)</f>
        <v>2000</v>
      </c>
      <c r="U953" s="117">
        <f>S953*'FA Addition'!$L953/'FA Addition'!$J953</f>
        <v>3900000</v>
      </c>
      <c r="W953" s="116">
        <f>SUMIFS('FA Write off'!D:D,'FA Write off'!A:A,'FA Addition'!$A953,'FA Write off'!C:C,"&lt;"&amp;'FA Addition'!$P$1)</f>
        <v>0</v>
      </c>
      <c r="Y953" s="191">
        <f>IFERROR(W953/'FA Addition'!$J953*'FA Addition'!$L953,0)</f>
        <v>0</v>
      </c>
      <c r="AA953" s="116">
        <f>SUMIFS('FA Write off'!D:D,'FA Write off'!A:A,'FA Addition'!$A953,'FA Write off'!C:C,"&lt;"&amp;'FA Addition'!$L$1+1,'FA Write off'!C:C,"&gt;"&amp;'FA Addition'!$L$1-365)</f>
        <v>0</v>
      </c>
      <c r="AC953" s="118">
        <f>IFERROR(AA953/'FA Addition'!$J953*'FA Addition'!$L953,0)</f>
        <v>0</v>
      </c>
      <c r="AE953" s="117">
        <f>IF(AND('FA Addition'!$D953&lt;$P$1+1,U953=0),'FA Addition'!$L953,0)-Y953</f>
        <v>0</v>
      </c>
      <c r="AF953" s="117">
        <f t="shared" si="70"/>
        <v>3900000</v>
      </c>
      <c r="AG953" s="117">
        <f>MIN(MAX(+$P$1-'FA Addition'!$D953,0),365*'FA Addition'!$O953)</f>
        <v>0</v>
      </c>
      <c r="AH953" s="117">
        <f>MIN(MAX($L$1-'FA Addition'!$D953+1,0),365*'FA Addition'!$O953)</f>
        <v>31</v>
      </c>
      <c r="AI953" s="117" cm="1">
        <f t="array" ref="AI953">_xlfn.XLOOKUP(1,('FA Write off'!A:A='FA Addition'!$A953)*('FA Write off'!D:D=AA953),'FA Write off'!H:H,0,0)</f>
        <v>0</v>
      </c>
      <c r="AJ953" s="117">
        <f>IF(AC953&gt;0,MAX(IF('FA Addition'!$N953="SLM",($AC953-'FA Addition'!$M953)*'FA Addition'!$P953*AI953/365,(AC953-'FA Addition'!$M953)*(1-(1-'FA Addition'!$P953)^(AI953/365))),0),0)</f>
        <v>0</v>
      </c>
      <c r="AL953" s="117">
        <f>MAX(IF(AG953&gt;0,IF('FA Addition'!$N953="SLM",($AE953-'FA Addition'!$M953)*'FA Addition'!$P953*AG953/365,IFERROR(VDB(AE953,AE953*0.05,'FA Addition'!$O953,0,YEARFRAC('FA Addition'!$C953,$P$1-1,3),'FA Addition'!$Q953),FAAddition[[#This Row],[Original Cost (Rs)]]-FAAddition[[#This Row],[Salvage Value]])),0),0)</f>
        <v>0</v>
      </c>
      <c r="AM953" s="119"/>
      <c r="AN953" s="117">
        <f>MAX(IF(AH953&gt;0,IF('FA Addition'!$N953="SLM",($AF953-'FA Addition'!$M953)*'FA Addition'!$P953*AH953/365,IFERROR(VDB(AF953,AF953*0.05,'FA Addition'!$O953,0,YEARFRAC('FA Addition'!$C953,$L$1,3),'FA Addition'!$Q953),FAAddition[[#This Row],[Original Cost (Rs)]]-FAAddition[[#This Row],[Salvage Value]])),0),0)</f>
        <v>62934.246575342462</v>
      </c>
      <c r="AO953" s="117">
        <f t="shared" si="73"/>
        <v>62934.246575342462</v>
      </c>
      <c r="AQ953" s="117">
        <f t="shared" si="71"/>
        <v>0</v>
      </c>
      <c r="AR953" s="120">
        <f t="shared" si="72"/>
        <v>3837065.7534246575</v>
      </c>
      <c r="AS953" s="121"/>
    </row>
    <row r="954" spans="1:45" ht="13.5" x14ac:dyDescent="0.4">
      <c r="A954" s="12">
        <f t="shared" si="74"/>
        <v>951</v>
      </c>
      <c r="B954" s="64" t="s">
        <v>1308</v>
      </c>
      <c r="C954" s="54">
        <v>45352</v>
      </c>
      <c r="D954" s="54">
        <v>45352</v>
      </c>
      <c r="E954" s="46" t="s">
        <v>451</v>
      </c>
      <c r="F954" s="51" t="s">
        <v>19</v>
      </c>
      <c r="G954" s="51" t="s">
        <v>1728</v>
      </c>
      <c r="H954" s="51" t="s">
        <v>21</v>
      </c>
      <c r="I954" s="55">
        <v>3303</v>
      </c>
      <c r="J954" s="56">
        <v>1</v>
      </c>
      <c r="K954" s="51" t="s">
        <v>1729</v>
      </c>
      <c r="L954" s="58">
        <v>60593</v>
      </c>
      <c r="M954" s="50">
        <f>ROUND('FA Addition'!$L954*5%,0.1)</f>
        <v>3030</v>
      </c>
      <c r="N954" s="113" t="str">
        <f>_xlfn.XLOOKUP(_xlfn.CONCAT(E954,B954),'Year Wise Master Dep Approach'!F:F,'Year Wise Master Dep Approach'!D:D)</f>
        <v>WDV</v>
      </c>
      <c r="O954" s="113">
        <f>_xlfn.XLOOKUP(_xlfn.CONCAT(E954,B954),'Year Wise Master Dep Approach'!F:F,'Year Wise Master Dep Approach'!E:E)</f>
        <v>3</v>
      </c>
      <c r="P954" s="114">
        <f>IFERROR(IF('FA Addition'!$N954="WDV",1-('FA Addition'!$M954/'FA Addition'!$L954)^(1/'FA Addition'!$O954),1/'FA Addition'!$O954),0)</f>
        <v>0.63158266410374986</v>
      </c>
      <c r="Q954" s="122">
        <f>'FA Addition'!$P954*'FA Addition'!$O954</f>
        <v>1.8947479923112496</v>
      </c>
      <c r="R954" s="122"/>
      <c r="S954" s="116">
        <f>IF(AND(DATE(20&amp;LEFT(FAAddition[[#This Row],[FY]],2),4,1)&lt;$L$1+1,DATE(20&amp;LEFT(FAAddition[[#This Row],[FY]],2),4,1)&gt;$P$1-1),'FA Addition'!$J954,0)</f>
        <v>1</v>
      </c>
      <c r="U954" s="117">
        <f>S954*'FA Addition'!$L954/'FA Addition'!$J954</f>
        <v>60593</v>
      </c>
      <c r="W954" s="116">
        <f>SUMIFS('FA Write off'!D:D,'FA Write off'!A:A,'FA Addition'!$A954,'FA Write off'!C:C,"&lt;"&amp;'FA Addition'!$P$1)</f>
        <v>0</v>
      </c>
      <c r="Y954" s="191">
        <f>IFERROR(W954/'FA Addition'!$J954*'FA Addition'!$L954,0)</f>
        <v>0</v>
      </c>
      <c r="AA954" s="116">
        <f>SUMIFS('FA Write off'!D:D,'FA Write off'!A:A,'FA Addition'!$A954,'FA Write off'!C:C,"&lt;"&amp;'FA Addition'!$L$1+1,'FA Write off'!C:C,"&gt;"&amp;'FA Addition'!$L$1-365)</f>
        <v>0</v>
      </c>
      <c r="AC954" s="118">
        <f>IFERROR(AA954/'FA Addition'!$J954*'FA Addition'!$L954,0)</f>
        <v>0</v>
      </c>
      <c r="AE954" s="117">
        <f>IF(AND('FA Addition'!$D954&lt;$P$1+1,U954=0),'FA Addition'!$L954,0)-Y954</f>
        <v>0</v>
      </c>
      <c r="AF954" s="117">
        <f t="shared" si="70"/>
        <v>60593</v>
      </c>
      <c r="AG954" s="117">
        <f>MIN(MAX(+$P$1-'FA Addition'!$D954,0),365*'FA Addition'!$O954)</f>
        <v>0</v>
      </c>
      <c r="AH954" s="117">
        <f>MIN(MAX($L$1-'FA Addition'!$D954+1,0),365*'FA Addition'!$O954)</f>
        <v>31</v>
      </c>
      <c r="AI954" s="117" cm="1">
        <f t="array" ref="AI954">_xlfn.XLOOKUP(1,('FA Write off'!A:A='FA Addition'!$A954)*('FA Write off'!D:D=AA954),'FA Write off'!H:H,0,0)</f>
        <v>0</v>
      </c>
      <c r="AJ954" s="117">
        <f>IF(AC954&gt;0,MAX(IF('FA Addition'!$N954="SLM",($AC954-'FA Addition'!$M954)*'FA Addition'!$P954*AI954/365,(AC954-'FA Addition'!$M954)*(1-(1-'FA Addition'!$P954)^(AI954/365))),0),0)</f>
        <v>0</v>
      </c>
      <c r="AL954" s="117">
        <f>MAX(IF(AG954&gt;0,IF('FA Addition'!$N954="SLM",($AE954-'FA Addition'!$M954)*'FA Addition'!$P954*AG954/365,IFERROR(VDB(AE954,AE954*0.05,'FA Addition'!$O954,0,YEARFRAC('FA Addition'!$C954,$P$1-1,3),'FA Addition'!$Q954),FAAddition[[#This Row],[Original Cost (Rs)]]-FAAddition[[#This Row],[Salvage Value]])),0),0)</f>
        <v>0</v>
      </c>
      <c r="AM954" s="119"/>
      <c r="AN954" s="117">
        <f>MAX(IF(AH954&gt;0,IF('FA Addition'!$N954="SLM",($AF954-'FA Addition'!$M954)*'FA Addition'!$P954*AH954/365,IFERROR(VDB(AF954,AF954*0.05,'FA Addition'!$O954,0,YEARFRAC('FA Addition'!$C954,$L$1,3),'FA Addition'!$Q954),FAAddition[[#This Row],[Original Cost (Rs)]]-FAAddition[[#This Row],[Salvage Value]])),0),0)</f>
        <v>3145.437399948371</v>
      </c>
      <c r="AO954" s="117">
        <f t="shared" si="73"/>
        <v>3145.437399948371</v>
      </c>
      <c r="AQ954" s="117">
        <f t="shared" si="71"/>
        <v>0</v>
      </c>
      <c r="AR954" s="120">
        <f t="shared" si="72"/>
        <v>57447.562600051628</v>
      </c>
      <c r="AS954" s="121"/>
    </row>
    <row r="955" spans="1:45" ht="13.5" x14ac:dyDescent="0.4">
      <c r="A955" s="12">
        <f t="shared" si="74"/>
        <v>952</v>
      </c>
      <c r="B955" s="64" t="s">
        <v>1308</v>
      </c>
      <c r="C955" s="54">
        <v>45352</v>
      </c>
      <c r="D955" s="54">
        <v>45352</v>
      </c>
      <c r="E955" s="46" t="s">
        <v>451</v>
      </c>
      <c r="F955" s="51" t="s">
        <v>19</v>
      </c>
      <c r="G955" s="51" t="s">
        <v>1728</v>
      </c>
      <c r="H955" s="51" t="s">
        <v>21</v>
      </c>
      <c r="I955" s="55">
        <v>3303</v>
      </c>
      <c r="J955" s="56">
        <v>1</v>
      </c>
      <c r="K955" s="51" t="s">
        <v>1729</v>
      </c>
      <c r="L955" s="58">
        <v>60593</v>
      </c>
      <c r="M955" s="50">
        <f>ROUND('FA Addition'!$L955*5%,0.1)</f>
        <v>3030</v>
      </c>
      <c r="N955" s="113" t="str">
        <f>_xlfn.XLOOKUP(_xlfn.CONCAT(E955,B955),'Year Wise Master Dep Approach'!F:F,'Year Wise Master Dep Approach'!D:D)</f>
        <v>WDV</v>
      </c>
      <c r="O955" s="113">
        <f>_xlfn.XLOOKUP(_xlfn.CONCAT(E955,B955),'Year Wise Master Dep Approach'!F:F,'Year Wise Master Dep Approach'!E:E)</f>
        <v>3</v>
      </c>
      <c r="P955" s="114">
        <f>IFERROR(IF('FA Addition'!$N955="WDV",1-('FA Addition'!$M955/'FA Addition'!$L955)^(1/'FA Addition'!$O955),1/'FA Addition'!$O955),0)</f>
        <v>0.63158266410374986</v>
      </c>
      <c r="Q955" s="122">
        <f>'FA Addition'!$P955*'FA Addition'!$O955</f>
        <v>1.8947479923112496</v>
      </c>
      <c r="R955" s="122"/>
      <c r="S955" s="116">
        <f>IF(AND(DATE(20&amp;LEFT(FAAddition[[#This Row],[FY]],2),4,1)&lt;$L$1+1,DATE(20&amp;LEFT(FAAddition[[#This Row],[FY]],2),4,1)&gt;$P$1-1),'FA Addition'!$J955,0)</f>
        <v>1</v>
      </c>
      <c r="U955" s="117">
        <f>S955*'FA Addition'!$L955/'FA Addition'!$J955</f>
        <v>60593</v>
      </c>
      <c r="W955" s="116">
        <f>SUMIFS('FA Write off'!D:D,'FA Write off'!A:A,'FA Addition'!$A955,'FA Write off'!C:C,"&lt;"&amp;'FA Addition'!$P$1)</f>
        <v>0</v>
      </c>
      <c r="Y955" s="191">
        <f>IFERROR(W955/'FA Addition'!$J955*'FA Addition'!$L955,0)</f>
        <v>0</v>
      </c>
      <c r="AA955" s="116">
        <f>SUMIFS('FA Write off'!D:D,'FA Write off'!A:A,'FA Addition'!$A955,'FA Write off'!C:C,"&lt;"&amp;'FA Addition'!$L$1+1,'FA Write off'!C:C,"&gt;"&amp;'FA Addition'!$L$1-365)</f>
        <v>0</v>
      </c>
      <c r="AC955" s="118">
        <f>IFERROR(AA955/'FA Addition'!$J955*'FA Addition'!$L955,0)</f>
        <v>0</v>
      </c>
      <c r="AE955" s="117">
        <f>IF(AND('FA Addition'!$D955&lt;$P$1+1,U955=0),'FA Addition'!$L955,0)-Y955</f>
        <v>0</v>
      </c>
      <c r="AF955" s="117">
        <f t="shared" si="70"/>
        <v>60593</v>
      </c>
      <c r="AG955" s="117">
        <f>MIN(MAX(+$P$1-'FA Addition'!$D955,0),365*'FA Addition'!$O955)</f>
        <v>0</v>
      </c>
      <c r="AH955" s="117">
        <f>MIN(MAX($L$1-'FA Addition'!$D955+1,0),365*'FA Addition'!$O955)</f>
        <v>31</v>
      </c>
      <c r="AI955" s="117" cm="1">
        <f t="array" ref="AI955">_xlfn.XLOOKUP(1,('FA Write off'!A:A='FA Addition'!$A955)*('FA Write off'!D:D=AA955),'FA Write off'!H:H,0,0)</f>
        <v>0</v>
      </c>
      <c r="AJ955" s="117">
        <f>IF(AC955&gt;0,MAX(IF('FA Addition'!$N955="SLM",($AC955-'FA Addition'!$M955)*'FA Addition'!$P955*AI955/365,(AC955-'FA Addition'!$M955)*(1-(1-'FA Addition'!$P955)^(AI955/365))),0),0)</f>
        <v>0</v>
      </c>
      <c r="AL955" s="117">
        <f>MAX(IF(AG955&gt;0,IF('FA Addition'!$N955="SLM",($AE955-'FA Addition'!$M955)*'FA Addition'!$P955*AG955/365,IFERROR(VDB(AE955,AE955*0.05,'FA Addition'!$O955,0,YEARFRAC('FA Addition'!$C955,$P$1-1,3),'FA Addition'!$Q955),FAAddition[[#This Row],[Original Cost (Rs)]]-FAAddition[[#This Row],[Salvage Value]])),0),0)</f>
        <v>0</v>
      </c>
      <c r="AM955" s="119"/>
      <c r="AN955" s="117">
        <f>MAX(IF(AH955&gt;0,IF('FA Addition'!$N955="SLM",($AF955-'FA Addition'!$M955)*'FA Addition'!$P955*AH955/365,IFERROR(VDB(AF955,AF955*0.05,'FA Addition'!$O955,0,YEARFRAC('FA Addition'!$C955,$L$1,3),'FA Addition'!$Q955),FAAddition[[#This Row],[Original Cost (Rs)]]-FAAddition[[#This Row],[Salvage Value]])),0),0)</f>
        <v>3145.437399948371</v>
      </c>
      <c r="AO955" s="117">
        <f t="shared" si="73"/>
        <v>3145.437399948371</v>
      </c>
      <c r="AQ955" s="117">
        <f t="shared" si="71"/>
        <v>0</v>
      </c>
      <c r="AR955" s="120">
        <f t="shared" si="72"/>
        <v>57447.562600051628</v>
      </c>
      <c r="AS955" s="121"/>
    </row>
    <row r="956" spans="1:45" ht="13.5" x14ac:dyDescent="0.4">
      <c r="A956" s="12">
        <f t="shared" si="74"/>
        <v>953</v>
      </c>
      <c r="B956" s="64" t="s">
        <v>1308</v>
      </c>
      <c r="C956" s="54">
        <v>45352</v>
      </c>
      <c r="D956" s="54">
        <v>45352</v>
      </c>
      <c r="E956" s="46" t="s">
        <v>451</v>
      </c>
      <c r="F956" s="51" t="s">
        <v>19</v>
      </c>
      <c r="G956" s="51" t="s">
        <v>1728</v>
      </c>
      <c r="H956" s="51" t="s">
        <v>21</v>
      </c>
      <c r="I956" s="55">
        <v>3303</v>
      </c>
      <c r="J956" s="56">
        <v>1</v>
      </c>
      <c r="K956" s="51" t="s">
        <v>1729</v>
      </c>
      <c r="L956" s="58">
        <v>60593</v>
      </c>
      <c r="M956" s="50">
        <f>ROUND('FA Addition'!$L956*5%,0.1)</f>
        <v>3030</v>
      </c>
      <c r="N956" s="113" t="str">
        <f>_xlfn.XLOOKUP(_xlfn.CONCAT(E956,B956),'Year Wise Master Dep Approach'!F:F,'Year Wise Master Dep Approach'!D:D)</f>
        <v>WDV</v>
      </c>
      <c r="O956" s="113">
        <f>_xlfn.XLOOKUP(_xlfn.CONCAT(E956,B956),'Year Wise Master Dep Approach'!F:F,'Year Wise Master Dep Approach'!E:E)</f>
        <v>3</v>
      </c>
      <c r="P956" s="114">
        <f>IFERROR(IF('FA Addition'!$N956="WDV",1-('FA Addition'!$M956/'FA Addition'!$L956)^(1/'FA Addition'!$O956),1/'FA Addition'!$O956),0)</f>
        <v>0.63158266410374986</v>
      </c>
      <c r="Q956" s="122">
        <f>'FA Addition'!$P956*'FA Addition'!$O956</f>
        <v>1.8947479923112496</v>
      </c>
      <c r="R956" s="122"/>
      <c r="S956" s="116">
        <f>IF(AND(DATE(20&amp;LEFT(FAAddition[[#This Row],[FY]],2),4,1)&lt;$L$1+1,DATE(20&amp;LEFT(FAAddition[[#This Row],[FY]],2),4,1)&gt;$P$1-1),'FA Addition'!$J956,0)</f>
        <v>1</v>
      </c>
      <c r="U956" s="117">
        <f>S956*'FA Addition'!$L956/'FA Addition'!$J956</f>
        <v>60593</v>
      </c>
      <c r="W956" s="116">
        <f>SUMIFS('FA Write off'!D:D,'FA Write off'!A:A,'FA Addition'!$A956,'FA Write off'!C:C,"&lt;"&amp;'FA Addition'!$P$1)</f>
        <v>0</v>
      </c>
      <c r="Y956" s="191">
        <f>IFERROR(W956/'FA Addition'!$J956*'FA Addition'!$L956,0)</f>
        <v>0</v>
      </c>
      <c r="AA956" s="116">
        <f>SUMIFS('FA Write off'!D:D,'FA Write off'!A:A,'FA Addition'!$A956,'FA Write off'!C:C,"&lt;"&amp;'FA Addition'!$L$1+1,'FA Write off'!C:C,"&gt;"&amp;'FA Addition'!$L$1-365)</f>
        <v>0</v>
      </c>
      <c r="AC956" s="118">
        <f>IFERROR(AA956/'FA Addition'!$J956*'FA Addition'!$L956,0)</f>
        <v>0</v>
      </c>
      <c r="AE956" s="117">
        <f>IF(AND('FA Addition'!$D956&lt;$P$1+1,U956=0),'FA Addition'!$L956,0)-Y956</f>
        <v>0</v>
      </c>
      <c r="AF956" s="117">
        <f t="shared" si="70"/>
        <v>60593</v>
      </c>
      <c r="AG956" s="117">
        <f>MIN(MAX(+$P$1-'FA Addition'!$D956,0),365*'FA Addition'!$O956)</f>
        <v>0</v>
      </c>
      <c r="AH956" s="117">
        <f>MIN(MAX($L$1-'FA Addition'!$D956+1,0),365*'FA Addition'!$O956)</f>
        <v>31</v>
      </c>
      <c r="AI956" s="117" cm="1">
        <f t="array" ref="AI956">_xlfn.XLOOKUP(1,('FA Write off'!A:A='FA Addition'!$A956)*('FA Write off'!D:D=AA956),'FA Write off'!H:H,0,0)</f>
        <v>0</v>
      </c>
      <c r="AJ956" s="117">
        <f>IF(AC956&gt;0,MAX(IF('FA Addition'!$N956="SLM",($AC956-'FA Addition'!$M956)*'FA Addition'!$P956*AI956/365,(AC956-'FA Addition'!$M956)*(1-(1-'FA Addition'!$P956)^(AI956/365))),0),0)</f>
        <v>0</v>
      </c>
      <c r="AL956" s="117">
        <f>MAX(IF(AG956&gt;0,IF('FA Addition'!$N956="SLM",($AE956-'FA Addition'!$M956)*'FA Addition'!$P956*AG956/365,IFERROR(VDB(AE956,AE956*0.05,'FA Addition'!$O956,0,YEARFRAC('FA Addition'!$C956,$P$1-1,3),'FA Addition'!$Q956),FAAddition[[#This Row],[Original Cost (Rs)]]-FAAddition[[#This Row],[Salvage Value]])),0),0)</f>
        <v>0</v>
      </c>
      <c r="AM956" s="119"/>
      <c r="AN956" s="117">
        <f>MAX(IF(AH956&gt;0,IF('FA Addition'!$N956="SLM",($AF956-'FA Addition'!$M956)*'FA Addition'!$P956*AH956/365,IFERROR(VDB(AF956,AF956*0.05,'FA Addition'!$O956,0,YEARFRAC('FA Addition'!$C956,$L$1,3),'FA Addition'!$Q956),FAAddition[[#This Row],[Original Cost (Rs)]]-FAAddition[[#This Row],[Salvage Value]])),0),0)</f>
        <v>3145.437399948371</v>
      </c>
      <c r="AO956" s="117">
        <f t="shared" si="73"/>
        <v>3145.437399948371</v>
      </c>
      <c r="AQ956" s="117">
        <f t="shared" si="71"/>
        <v>0</v>
      </c>
      <c r="AR956" s="120">
        <f t="shared" si="72"/>
        <v>57447.562600051628</v>
      </c>
      <c r="AS956" s="121"/>
    </row>
    <row r="957" spans="1:45" ht="13.5" x14ac:dyDescent="0.4">
      <c r="A957" s="12">
        <f t="shared" si="74"/>
        <v>954</v>
      </c>
      <c r="B957" s="64" t="s">
        <v>1308</v>
      </c>
      <c r="C957" s="54">
        <v>45355</v>
      </c>
      <c r="D957" s="54">
        <v>45355</v>
      </c>
      <c r="E957" s="46" t="s">
        <v>451</v>
      </c>
      <c r="F957" s="51" t="s">
        <v>19</v>
      </c>
      <c r="G957" s="51" t="s">
        <v>1134</v>
      </c>
      <c r="H957" s="51" t="s">
        <v>21</v>
      </c>
      <c r="I957" s="55" t="s">
        <v>1730</v>
      </c>
      <c r="J957" s="56">
        <v>1</v>
      </c>
      <c r="K957" s="51" t="s">
        <v>1552</v>
      </c>
      <c r="L957" s="58">
        <v>32194.92</v>
      </c>
      <c r="M957" s="50">
        <f>ROUND('FA Addition'!$L957*5%,0.1)</f>
        <v>1610</v>
      </c>
      <c r="N957" s="113" t="str">
        <f>_xlfn.XLOOKUP(_xlfn.CONCAT(E957,B957),'Year Wise Master Dep Approach'!F:F,'Year Wise Master Dep Approach'!D:D)</f>
        <v>WDV</v>
      </c>
      <c r="O957" s="113">
        <f>_xlfn.XLOOKUP(_xlfn.CONCAT(E957,B957),'Year Wise Master Dep Approach'!F:F,'Year Wise Master Dep Approach'!E:E)</f>
        <v>3</v>
      </c>
      <c r="P957" s="114">
        <f>IFERROR(IF('FA Addition'!$N957="WDV",1-('FA Addition'!$M957/'FA Addition'!$L957)^(1/'FA Addition'!$O957),1/'FA Addition'!$O957),0)</f>
        <v>0.63157747451628166</v>
      </c>
      <c r="Q957" s="122">
        <f>'FA Addition'!$P957*'FA Addition'!$O957</f>
        <v>1.894732423548845</v>
      </c>
      <c r="R957" s="122"/>
      <c r="S957" s="116">
        <f>IF(AND(DATE(20&amp;LEFT(FAAddition[[#This Row],[FY]],2),4,1)&lt;$L$1+1,DATE(20&amp;LEFT(FAAddition[[#This Row],[FY]],2),4,1)&gt;$P$1-1),'FA Addition'!$J957,0)</f>
        <v>1</v>
      </c>
      <c r="U957" s="117">
        <f>S957*'FA Addition'!$L957/'FA Addition'!$J957</f>
        <v>32194.92</v>
      </c>
      <c r="W957" s="116">
        <f>SUMIFS('FA Write off'!D:D,'FA Write off'!A:A,'FA Addition'!$A957,'FA Write off'!C:C,"&lt;"&amp;'FA Addition'!$P$1)</f>
        <v>0</v>
      </c>
      <c r="Y957" s="191">
        <f>IFERROR(W957/'FA Addition'!$J957*'FA Addition'!$L957,0)</f>
        <v>0</v>
      </c>
      <c r="AA957" s="116">
        <f>SUMIFS('FA Write off'!D:D,'FA Write off'!A:A,'FA Addition'!$A957,'FA Write off'!C:C,"&lt;"&amp;'FA Addition'!$L$1+1,'FA Write off'!C:C,"&gt;"&amp;'FA Addition'!$L$1-365)</f>
        <v>0</v>
      </c>
      <c r="AC957" s="118">
        <f>IFERROR(AA957/'FA Addition'!$J957*'FA Addition'!$L957,0)</f>
        <v>0</v>
      </c>
      <c r="AE957" s="117">
        <f>IF(AND('FA Addition'!$D957&lt;$P$1+1,U957=0),'FA Addition'!$L957,0)-Y957</f>
        <v>0</v>
      </c>
      <c r="AF957" s="117">
        <f t="shared" si="70"/>
        <v>32194.92</v>
      </c>
      <c r="AG957" s="117">
        <f>MIN(MAX(+$P$1-'FA Addition'!$D957,0),365*'FA Addition'!$O957)</f>
        <v>0</v>
      </c>
      <c r="AH957" s="117">
        <f>MIN(MAX($L$1-'FA Addition'!$D957+1,0),365*'FA Addition'!$O957)</f>
        <v>28</v>
      </c>
      <c r="AI957" s="117" cm="1">
        <f t="array" ref="AI957">_xlfn.XLOOKUP(1,('FA Write off'!A:A='FA Addition'!$A957)*('FA Write off'!D:D=AA957),'FA Write off'!H:H,0,0)</f>
        <v>0</v>
      </c>
      <c r="AJ957" s="117">
        <f>IF(AC957&gt;0,MAX(IF('FA Addition'!$N957="SLM",($AC957-'FA Addition'!$M957)*'FA Addition'!$P957*AI957/365,(AC957-'FA Addition'!$M957)*(1-(1-'FA Addition'!$P957)^(AI957/365))),0),0)</f>
        <v>0</v>
      </c>
      <c r="AL957" s="117">
        <f>MAX(IF(AG957&gt;0,IF('FA Addition'!$N957="SLM",($AE957-'FA Addition'!$M957)*'FA Addition'!$P957*AG957/365,IFERROR(VDB(AE957,AE957*0.05,'FA Addition'!$O957,0,YEARFRAC('FA Addition'!$C957,$P$1-1,3),'FA Addition'!$Q957),FAAddition[[#This Row],[Original Cost (Rs)]]-FAAddition[[#This Row],[Salvage Value]])),0),0)</f>
        <v>0</v>
      </c>
      <c r="AM957" s="119"/>
      <c r="AN957" s="117">
        <f>MAX(IF(AH957&gt;0,IF('FA Addition'!$N957="SLM",($AF957-'FA Addition'!$M957)*'FA Addition'!$P957*AH957/365,IFERROR(VDB(AF957,AF957*0.05,'FA Addition'!$O957,0,YEARFRAC('FA Addition'!$C957,$L$1,3),'FA Addition'!$Q957),FAAddition[[#This Row],[Original Cost (Rs)]]-FAAddition[[#This Row],[Salvage Value]])),0),0)</f>
        <v>1504.1282991179469</v>
      </c>
      <c r="AO957" s="117">
        <f t="shared" si="73"/>
        <v>1504.1282991179469</v>
      </c>
      <c r="AQ957" s="117">
        <f t="shared" si="71"/>
        <v>0</v>
      </c>
      <c r="AR957" s="120">
        <f t="shared" si="72"/>
        <v>30690.791700882051</v>
      </c>
      <c r="AS957" s="121"/>
    </row>
    <row r="958" spans="1:45" ht="13.5" x14ac:dyDescent="0.4">
      <c r="A958" s="12">
        <f t="shared" si="74"/>
        <v>955</v>
      </c>
      <c r="B958" s="64" t="s">
        <v>1308</v>
      </c>
      <c r="C958" s="54">
        <v>45355</v>
      </c>
      <c r="D958" s="54">
        <v>45355</v>
      </c>
      <c r="E958" s="46" t="s">
        <v>451</v>
      </c>
      <c r="F958" s="51" t="s">
        <v>19</v>
      </c>
      <c r="G958" s="51" t="s">
        <v>1134</v>
      </c>
      <c r="H958" s="51" t="s">
        <v>21</v>
      </c>
      <c r="I958" s="55" t="s">
        <v>1730</v>
      </c>
      <c r="J958" s="56">
        <v>1</v>
      </c>
      <c r="K958" s="51" t="s">
        <v>1552</v>
      </c>
      <c r="L958" s="58">
        <v>32194.92</v>
      </c>
      <c r="M958" s="50">
        <f>ROUND('FA Addition'!$L958*5%,0.1)</f>
        <v>1610</v>
      </c>
      <c r="N958" s="113" t="str">
        <f>_xlfn.XLOOKUP(_xlfn.CONCAT(E958,B958),'Year Wise Master Dep Approach'!F:F,'Year Wise Master Dep Approach'!D:D)</f>
        <v>WDV</v>
      </c>
      <c r="O958" s="113">
        <f>_xlfn.XLOOKUP(_xlfn.CONCAT(E958,B958),'Year Wise Master Dep Approach'!F:F,'Year Wise Master Dep Approach'!E:E)</f>
        <v>3</v>
      </c>
      <c r="P958" s="114">
        <f>IFERROR(IF('FA Addition'!$N958="WDV",1-('FA Addition'!$M958/'FA Addition'!$L958)^(1/'FA Addition'!$O958),1/'FA Addition'!$O958),0)</f>
        <v>0.63157747451628166</v>
      </c>
      <c r="Q958" s="122">
        <f>'FA Addition'!$P958*'FA Addition'!$O958</f>
        <v>1.894732423548845</v>
      </c>
      <c r="R958" s="122"/>
      <c r="S958" s="116">
        <f>IF(AND(DATE(20&amp;LEFT(FAAddition[[#This Row],[FY]],2),4,1)&lt;$L$1+1,DATE(20&amp;LEFT(FAAddition[[#This Row],[FY]],2),4,1)&gt;$P$1-1),'FA Addition'!$J958,0)</f>
        <v>1</v>
      </c>
      <c r="U958" s="117">
        <f>S958*'FA Addition'!$L958/'FA Addition'!$J958</f>
        <v>32194.92</v>
      </c>
      <c r="W958" s="116">
        <f>SUMIFS('FA Write off'!D:D,'FA Write off'!A:A,'FA Addition'!$A958,'FA Write off'!C:C,"&lt;"&amp;'FA Addition'!$P$1)</f>
        <v>0</v>
      </c>
      <c r="Y958" s="191">
        <f>IFERROR(W958/'FA Addition'!$J958*'FA Addition'!$L958,0)</f>
        <v>0</v>
      </c>
      <c r="AA958" s="116">
        <f>SUMIFS('FA Write off'!D:D,'FA Write off'!A:A,'FA Addition'!$A958,'FA Write off'!C:C,"&lt;"&amp;'FA Addition'!$L$1+1,'FA Write off'!C:C,"&gt;"&amp;'FA Addition'!$L$1-365)</f>
        <v>0</v>
      </c>
      <c r="AC958" s="118">
        <f>IFERROR(AA958/'FA Addition'!$J958*'FA Addition'!$L958,0)</f>
        <v>0</v>
      </c>
      <c r="AE958" s="117">
        <f>IF(AND('FA Addition'!$D958&lt;$P$1+1,U958=0),'FA Addition'!$L958,0)-Y958</f>
        <v>0</v>
      </c>
      <c r="AF958" s="117">
        <f t="shared" si="70"/>
        <v>32194.92</v>
      </c>
      <c r="AG958" s="117">
        <f>MIN(MAX(+$P$1-'FA Addition'!$D958,0),365*'FA Addition'!$O958)</f>
        <v>0</v>
      </c>
      <c r="AH958" s="117">
        <f>MIN(MAX($L$1-'FA Addition'!$D958+1,0),365*'FA Addition'!$O958)</f>
        <v>28</v>
      </c>
      <c r="AI958" s="117" cm="1">
        <f t="array" ref="AI958">_xlfn.XLOOKUP(1,('FA Write off'!A:A='FA Addition'!$A958)*('FA Write off'!D:D=AA958),'FA Write off'!H:H,0,0)</f>
        <v>0</v>
      </c>
      <c r="AJ958" s="117">
        <f>IF(AC958&gt;0,MAX(IF('FA Addition'!$N958="SLM",($AC958-'FA Addition'!$M958)*'FA Addition'!$P958*AI958/365,(AC958-'FA Addition'!$M958)*(1-(1-'FA Addition'!$P958)^(AI958/365))),0),0)</f>
        <v>0</v>
      </c>
      <c r="AL958" s="117">
        <f>MAX(IF(AG958&gt;0,IF('FA Addition'!$N958="SLM",($AE958-'FA Addition'!$M958)*'FA Addition'!$P958*AG958/365,IFERROR(VDB(AE958,AE958*0.05,'FA Addition'!$O958,0,YEARFRAC('FA Addition'!$C958,$P$1-1,3),'FA Addition'!$Q958),FAAddition[[#This Row],[Original Cost (Rs)]]-FAAddition[[#This Row],[Salvage Value]])),0),0)</f>
        <v>0</v>
      </c>
      <c r="AM958" s="119"/>
      <c r="AN958" s="117">
        <f>MAX(IF(AH958&gt;0,IF('FA Addition'!$N958="SLM",($AF958-'FA Addition'!$M958)*'FA Addition'!$P958*AH958/365,IFERROR(VDB(AF958,AF958*0.05,'FA Addition'!$O958,0,YEARFRAC('FA Addition'!$C958,$L$1,3),'FA Addition'!$Q958),FAAddition[[#This Row],[Original Cost (Rs)]]-FAAddition[[#This Row],[Salvage Value]])),0),0)</f>
        <v>1504.1282991179469</v>
      </c>
      <c r="AO958" s="117">
        <f t="shared" si="73"/>
        <v>1504.1282991179469</v>
      </c>
      <c r="AQ958" s="117">
        <f t="shared" si="71"/>
        <v>0</v>
      </c>
      <c r="AR958" s="120">
        <f t="shared" si="72"/>
        <v>30690.791700882051</v>
      </c>
      <c r="AS958" s="121"/>
    </row>
    <row r="959" spans="1:45" ht="13.5" x14ac:dyDescent="0.4">
      <c r="A959" s="12">
        <f t="shared" si="74"/>
        <v>956</v>
      </c>
      <c r="B959" s="64" t="s">
        <v>1308</v>
      </c>
      <c r="C959" s="54">
        <v>45355</v>
      </c>
      <c r="D959" s="54">
        <v>45355</v>
      </c>
      <c r="E959" s="46" t="s">
        <v>451</v>
      </c>
      <c r="F959" s="51" t="s">
        <v>19</v>
      </c>
      <c r="G959" s="51" t="s">
        <v>1134</v>
      </c>
      <c r="H959" s="51" t="s">
        <v>21</v>
      </c>
      <c r="I959" s="55" t="s">
        <v>1730</v>
      </c>
      <c r="J959" s="56">
        <v>1</v>
      </c>
      <c r="K959" s="51" t="s">
        <v>1552</v>
      </c>
      <c r="L959" s="58">
        <v>32194.92</v>
      </c>
      <c r="M959" s="50">
        <f>ROUND('FA Addition'!$L959*5%,0.1)</f>
        <v>1610</v>
      </c>
      <c r="N959" s="113" t="str">
        <f>_xlfn.XLOOKUP(_xlfn.CONCAT(E959,B959),'Year Wise Master Dep Approach'!F:F,'Year Wise Master Dep Approach'!D:D)</f>
        <v>WDV</v>
      </c>
      <c r="O959" s="113">
        <f>_xlfn.XLOOKUP(_xlfn.CONCAT(E959,B959),'Year Wise Master Dep Approach'!F:F,'Year Wise Master Dep Approach'!E:E)</f>
        <v>3</v>
      </c>
      <c r="P959" s="114">
        <f>IFERROR(IF('FA Addition'!$N959="WDV",1-('FA Addition'!$M959/'FA Addition'!$L959)^(1/'FA Addition'!$O959),1/'FA Addition'!$O959),0)</f>
        <v>0.63157747451628166</v>
      </c>
      <c r="Q959" s="122">
        <f>'FA Addition'!$P959*'FA Addition'!$O959</f>
        <v>1.894732423548845</v>
      </c>
      <c r="R959" s="122"/>
      <c r="S959" s="116">
        <f>IF(AND(DATE(20&amp;LEFT(FAAddition[[#This Row],[FY]],2),4,1)&lt;$L$1+1,DATE(20&amp;LEFT(FAAddition[[#This Row],[FY]],2),4,1)&gt;$P$1-1),'FA Addition'!$J959,0)</f>
        <v>1</v>
      </c>
      <c r="U959" s="117">
        <f>S959*'FA Addition'!$L959/'FA Addition'!$J959</f>
        <v>32194.92</v>
      </c>
      <c r="W959" s="116">
        <f>SUMIFS('FA Write off'!D:D,'FA Write off'!A:A,'FA Addition'!$A959,'FA Write off'!C:C,"&lt;"&amp;'FA Addition'!$P$1)</f>
        <v>0</v>
      </c>
      <c r="Y959" s="191">
        <f>IFERROR(W959/'FA Addition'!$J959*'FA Addition'!$L959,0)</f>
        <v>0</v>
      </c>
      <c r="AA959" s="116">
        <f>SUMIFS('FA Write off'!D:D,'FA Write off'!A:A,'FA Addition'!$A959,'FA Write off'!C:C,"&lt;"&amp;'FA Addition'!$L$1+1,'FA Write off'!C:C,"&gt;"&amp;'FA Addition'!$L$1-365)</f>
        <v>0</v>
      </c>
      <c r="AC959" s="118">
        <f>IFERROR(AA959/'FA Addition'!$J959*'FA Addition'!$L959,0)</f>
        <v>0</v>
      </c>
      <c r="AE959" s="117">
        <f>IF(AND('FA Addition'!$D959&lt;$P$1+1,U959=0),'FA Addition'!$L959,0)-Y959</f>
        <v>0</v>
      </c>
      <c r="AF959" s="117">
        <f t="shared" si="70"/>
        <v>32194.92</v>
      </c>
      <c r="AG959" s="117">
        <f>MIN(MAX(+$P$1-'FA Addition'!$D959,0),365*'FA Addition'!$O959)</f>
        <v>0</v>
      </c>
      <c r="AH959" s="117">
        <f>MIN(MAX($L$1-'FA Addition'!$D959+1,0),365*'FA Addition'!$O959)</f>
        <v>28</v>
      </c>
      <c r="AI959" s="117" cm="1">
        <f t="array" ref="AI959">_xlfn.XLOOKUP(1,('FA Write off'!A:A='FA Addition'!$A959)*('FA Write off'!D:D=AA959),'FA Write off'!H:H,0,0)</f>
        <v>0</v>
      </c>
      <c r="AJ959" s="117">
        <f>IF(AC959&gt;0,MAX(IF('FA Addition'!$N959="SLM",($AC959-'FA Addition'!$M959)*'FA Addition'!$P959*AI959/365,(AC959-'FA Addition'!$M959)*(1-(1-'FA Addition'!$P959)^(AI959/365))),0),0)</f>
        <v>0</v>
      </c>
      <c r="AL959" s="117">
        <f>MAX(IF(AG959&gt;0,IF('FA Addition'!$N959="SLM",($AE959-'FA Addition'!$M959)*'FA Addition'!$P959*AG959/365,IFERROR(VDB(AE959,AE959*0.05,'FA Addition'!$O959,0,YEARFRAC('FA Addition'!$C959,$P$1-1,3),'FA Addition'!$Q959),FAAddition[[#This Row],[Original Cost (Rs)]]-FAAddition[[#This Row],[Salvage Value]])),0),0)</f>
        <v>0</v>
      </c>
      <c r="AM959" s="119"/>
      <c r="AN959" s="117">
        <f>MAX(IF(AH959&gt;0,IF('FA Addition'!$N959="SLM",($AF959-'FA Addition'!$M959)*'FA Addition'!$P959*AH959/365,IFERROR(VDB(AF959,AF959*0.05,'FA Addition'!$O959,0,YEARFRAC('FA Addition'!$C959,$L$1,3),'FA Addition'!$Q959),FAAddition[[#This Row],[Original Cost (Rs)]]-FAAddition[[#This Row],[Salvage Value]])),0),0)</f>
        <v>1504.1282991179469</v>
      </c>
      <c r="AO959" s="117">
        <f t="shared" si="73"/>
        <v>1504.1282991179469</v>
      </c>
      <c r="AQ959" s="117">
        <f t="shared" si="71"/>
        <v>0</v>
      </c>
      <c r="AR959" s="120">
        <f t="shared" si="72"/>
        <v>30690.791700882051</v>
      </c>
      <c r="AS959" s="121"/>
    </row>
    <row r="960" spans="1:45" ht="13.5" x14ac:dyDescent="0.4">
      <c r="A960" s="12">
        <f t="shared" si="74"/>
        <v>957</v>
      </c>
      <c r="B960" s="64" t="s">
        <v>1308</v>
      </c>
      <c r="C960" s="54">
        <v>45356</v>
      </c>
      <c r="D960" s="54">
        <v>45356</v>
      </c>
      <c r="E960" s="46" t="s">
        <v>1320</v>
      </c>
      <c r="F960" s="51" t="s">
        <v>33</v>
      </c>
      <c r="G960" s="51" t="s">
        <v>36</v>
      </c>
      <c r="H960" s="51" t="s">
        <v>32</v>
      </c>
      <c r="I960" s="55" t="s">
        <v>1731</v>
      </c>
      <c r="J960" s="56">
        <v>1200</v>
      </c>
      <c r="K960" s="51" t="s">
        <v>296</v>
      </c>
      <c r="L960" s="58">
        <v>2040000</v>
      </c>
      <c r="M960" s="50">
        <f>ROUND('FA Addition'!$L960*5%,0.1)</f>
        <v>102000</v>
      </c>
      <c r="N960" s="113" t="str">
        <f>_xlfn.XLOOKUP(_xlfn.CONCAT(E960,B960),'Year Wise Master Dep Approach'!F:F,'Year Wise Master Dep Approach'!D:D)</f>
        <v>SLM</v>
      </c>
      <c r="O960" s="113">
        <f>_xlfn.XLOOKUP(_xlfn.CONCAT(E960,B960),'Year Wise Master Dep Approach'!F:F,'Year Wise Master Dep Approach'!E:E)</f>
        <v>5</v>
      </c>
      <c r="P960" s="114">
        <f>IFERROR(IF('FA Addition'!$N960="WDV",1-('FA Addition'!$M960/'FA Addition'!$L960)^(1/'FA Addition'!$O960),1/'FA Addition'!$O960),0)</f>
        <v>0.2</v>
      </c>
      <c r="Q960" s="122">
        <f>'FA Addition'!$P960*'FA Addition'!$O960</f>
        <v>1</v>
      </c>
      <c r="R960" s="122"/>
      <c r="S960" s="116">
        <f>IF(AND(DATE(20&amp;LEFT(FAAddition[[#This Row],[FY]],2),4,1)&lt;$L$1+1,DATE(20&amp;LEFT(FAAddition[[#This Row],[FY]],2),4,1)&gt;$P$1-1),'FA Addition'!$J960,0)</f>
        <v>1200</v>
      </c>
      <c r="U960" s="117">
        <f>S960*'FA Addition'!$L960/'FA Addition'!$J960</f>
        <v>2040000</v>
      </c>
      <c r="W960" s="116">
        <f>SUMIFS('FA Write off'!D:D,'FA Write off'!A:A,'FA Addition'!$A960,'FA Write off'!C:C,"&lt;"&amp;'FA Addition'!$P$1)</f>
        <v>0</v>
      </c>
      <c r="Y960" s="191">
        <f>IFERROR(W960/'FA Addition'!$J960*'FA Addition'!$L960,0)</f>
        <v>0</v>
      </c>
      <c r="AA960" s="116">
        <f>SUMIFS('FA Write off'!D:D,'FA Write off'!A:A,'FA Addition'!$A960,'FA Write off'!C:C,"&lt;"&amp;'FA Addition'!$L$1+1,'FA Write off'!C:C,"&gt;"&amp;'FA Addition'!$L$1-365)</f>
        <v>0</v>
      </c>
      <c r="AC960" s="118">
        <f>IFERROR(AA960/'FA Addition'!$J960*'FA Addition'!$L960,0)</f>
        <v>0</v>
      </c>
      <c r="AE960" s="117">
        <f>IF(AND('FA Addition'!$D960&lt;$P$1+1,U960=0),'FA Addition'!$L960,0)-Y960</f>
        <v>0</v>
      </c>
      <c r="AF960" s="117">
        <f t="shared" si="70"/>
        <v>2040000</v>
      </c>
      <c r="AG960" s="117">
        <f>MIN(MAX(+$P$1-'FA Addition'!$D960,0),365*'FA Addition'!$O960)</f>
        <v>0</v>
      </c>
      <c r="AH960" s="117">
        <f>MIN(MAX($L$1-'FA Addition'!$D960+1,0),365*'FA Addition'!$O960)</f>
        <v>27</v>
      </c>
      <c r="AI960" s="117" cm="1">
        <f t="array" ref="AI960">_xlfn.XLOOKUP(1,('FA Write off'!A:A='FA Addition'!$A960)*('FA Write off'!D:D=AA960),'FA Write off'!H:H,0,0)</f>
        <v>0</v>
      </c>
      <c r="AJ960" s="117">
        <f>IF(AC960&gt;0,MAX(IF('FA Addition'!$N960="SLM",($AC960-'FA Addition'!$M960)*'FA Addition'!$P960*AI960/365,(AC960-'FA Addition'!$M960)*(1-(1-'FA Addition'!$P960)^(AI960/365))),0),0)</f>
        <v>0</v>
      </c>
      <c r="AL960" s="117">
        <f>MAX(IF(AG960&gt;0,IF('FA Addition'!$N960="SLM",($AE960-'FA Addition'!$M960)*'FA Addition'!$P960*AG960/365,IFERROR(VDB(AE960,AE960*0.05,'FA Addition'!$O960,0,YEARFRAC('FA Addition'!$C960,$P$1-1,3),'FA Addition'!$Q960),FAAddition[[#This Row],[Original Cost (Rs)]]-FAAddition[[#This Row],[Salvage Value]])),0),0)</f>
        <v>0</v>
      </c>
      <c r="AM960" s="119"/>
      <c r="AN960" s="117">
        <f>MAX(IF(AH960&gt;0,IF('FA Addition'!$N960="SLM",($AF960-'FA Addition'!$M960)*'FA Addition'!$P960*AH960/365,IFERROR(VDB(AF960,AF960*0.05,'FA Addition'!$O960,0,YEARFRAC('FA Addition'!$C960,$L$1,3),'FA Addition'!$Q960),FAAddition[[#This Row],[Original Cost (Rs)]]-FAAddition[[#This Row],[Salvage Value]])),0),0)</f>
        <v>28671.780821917808</v>
      </c>
      <c r="AO960" s="117">
        <f t="shared" si="73"/>
        <v>28671.780821917808</v>
      </c>
      <c r="AQ960" s="117">
        <f t="shared" si="71"/>
        <v>0</v>
      </c>
      <c r="AR960" s="120">
        <f t="shared" si="72"/>
        <v>2011328.2191780822</v>
      </c>
      <c r="AS960" s="121"/>
    </row>
    <row r="961" spans="1:45" ht="13.5" x14ac:dyDescent="0.4">
      <c r="A961" s="12">
        <f t="shared" si="74"/>
        <v>958</v>
      </c>
      <c r="B961" s="64" t="s">
        <v>1308</v>
      </c>
      <c r="C961" s="54">
        <v>45356</v>
      </c>
      <c r="D961" s="54">
        <v>45356</v>
      </c>
      <c r="E961" s="46" t="s">
        <v>32</v>
      </c>
      <c r="F961" s="51" t="s">
        <v>1090</v>
      </c>
      <c r="G961" s="51" t="s">
        <v>433</v>
      </c>
      <c r="H961" s="51" t="s">
        <v>32</v>
      </c>
      <c r="I961" s="55" t="s">
        <v>1732</v>
      </c>
      <c r="J961" s="56">
        <v>500</v>
      </c>
      <c r="K961" s="51" t="s">
        <v>935</v>
      </c>
      <c r="L961" s="58">
        <v>495000</v>
      </c>
      <c r="M961" s="50">
        <f>ROUND('FA Addition'!$L961*5%,0.1)</f>
        <v>24750</v>
      </c>
      <c r="N961" s="113" t="str">
        <f>_xlfn.XLOOKUP(_xlfn.CONCAT(E961,B961),'Year Wise Master Dep Approach'!F:F,'Year Wise Master Dep Approach'!D:D)</f>
        <v>SLM</v>
      </c>
      <c r="O961" s="113">
        <f>_xlfn.XLOOKUP(_xlfn.CONCAT(E961,B961),'Year Wise Master Dep Approach'!F:F,'Year Wise Master Dep Approach'!E:E)</f>
        <v>5</v>
      </c>
      <c r="P961" s="114">
        <f>IFERROR(IF('FA Addition'!$N961="WDV",1-('FA Addition'!$M961/'FA Addition'!$L961)^(1/'FA Addition'!$O961),1/'FA Addition'!$O961),0)</f>
        <v>0.2</v>
      </c>
      <c r="Q961" s="122">
        <f>'FA Addition'!$P961*'FA Addition'!$O961</f>
        <v>1</v>
      </c>
      <c r="R961" s="122"/>
      <c r="S961" s="116">
        <f>IF(AND(DATE(20&amp;LEFT(FAAddition[[#This Row],[FY]],2),4,1)&lt;$L$1+1,DATE(20&amp;LEFT(FAAddition[[#This Row],[FY]],2),4,1)&gt;$P$1-1),'FA Addition'!$J961,0)</f>
        <v>500</v>
      </c>
      <c r="U961" s="117">
        <f>S961*'FA Addition'!$L961/'FA Addition'!$J961</f>
        <v>495000</v>
      </c>
      <c r="W961" s="116">
        <f>SUMIFS('FA Write off'!D:D,'FA Write off'!A:A,'FA Addition'!$A961,'FA Write off'!C:C,"&lt;"&amp;'FA Addition'!$P$1)</f>
        <v>27</v>
      </c>
      <c r="Y961" s="191">
        <f>IFERROR(W961/'FA Addition'!$J961*'FA Addition'!$L961,0)</f>
        <v>26730</v>
      </c>
      <c r="AA961" s="116">
        <f>SUMIFS('FA Write off'!D:D,'FA Write off'!A:A,'FA Addition'!$A961,'FA Write off'!C:C,"&lt;"&amp;'FA Addition'!$L$1+1,'FA Write off'!C:C,"&gt;"&amp;'FA Addition'!$L$1-365)</f>
        <v>0</v>
      </c>
      <c r="AC961" s="118">
        <f>IFERROR(AA961/'FA Addition'!$J961*'FA Addition'!$L961,0)</f>
        <v>0</v>
      </c>
      <c r="AE961" s="117">
        <f>IF(AND('FA Addition'!$D961&lt;$P$1+1,U961=0),'FA Addition'!$L961,0)-Y961</f>
        <v>-26730</v>
      </c>
      <c r="AF961" s="117">
        <f t="shared" si="70"/>
        <v>468270</v>
      </c>
      <c r="AG961" s="117">
        <f>MIN(MAX(+$P$1-'FA Addition'!$D961,0),365*'FA Addition'!$O961)</f>
        <v>0</v>
      </c>
      <c r="AH961" s="117">
        <f>MIN(MAX($L$1-'FA Addition'!$D961+1,0),365*'FA Addition'!$O961)</f>
        <v>27</v>
      </c>
      <c r="AI961" s="117" cm="1">
        <f t="array" ref="AI961">_xlfn.XLOOKUP(1,('FA Write off'!A:A='FA Addition'!$A961)*('FA Write off'!D:D=AA961),'FA Write off'!H:H,0,0)</f>
        <v>0</v>
      </c>
      <c r="AJ961" s="117">
        <f>IF(AC961&gt;0,MAX(IF('FA Addition'!$N961="SLM",($AC961-'FA Addition'!$M961)*'FA Addition'!$P961*AI961/365,(AC961-'FA Addition'!$M961)*(1-(1-'FA Addition'!$P961)^(AI961/365))),0),0)</f>
        <v>0</v>
      </c>
      <c r="AL961" s="117">
        <f>MAX(IF(AG961&gt;0,IF('FA Addition'!$N961="SLM",($AE961-'FA Addition'!$M961)*'FA Addition'!$P961*AG961/365,IFERROR(VDB(AE961,AE961*0.05,'FA Addition'!$O961,0,YEARFRAC('FA Addition'!$C961,$P$1-1,3),'FA Addition'!$Q961),FAAddition[[#This Row],[Original Cost (Rs)]]-FAAddition[[#This Row],[Salvage Value]])),0),0)</f>
        <v>0</v>
      </c>
      <c r="AM961" s="119"/>
      <c r="AN961" s="117">
        <f>MAX(IF(AH961&gt;0,IF('FA Addition'!$N961="SLM",($AF961-'FA Addition'!$M961)*'FA Addition'!$P961*AH961/365,IFERROR(VDB(AF961,AF961*0.05,'FA Addition'!$O961,0,YEARFRAC('FA Addition'!$C961,$L$1,3),'FA Addition'!$Q961),FAAddition[[#This Row],[Original Cost (Rs)]]-FAAddition[[#This Row],[Salvage Value]])),0),0)</f>
        <v>6561.6657534246579</v>
      </c>
      <c r="AO961" s="117">
        <f t="shared" si="73"/>
        <v>6561.6657534246579</v>
      </c>
      <c r="AQ961" s="117">
        <f t="shared" si="71"/>
        <v>-26730</v>
      </c>
      <c r="AR961" s="120">
        <f t="shared" si="72"/>
        <v>461708.33424657537</v>
      </c>
      <c r="AS961" s="121"/>
    </row>
    <row r="962" spans="1:45" ht="13.5" x14ac:dyDescent="0.4">
      <c r="A962" s="12">
        <f t="shared" si="74"/>
        <v>959</v>
      </c>
      <c r="B962" s="64" t="s">
        <v>1308</v>
      </c>
      <c r="C962" s="54">
        <v>45356</v>
      </c>
      <c r="D962" s="54">
        <v>45356</v>
      </c>
      <c r="E962" s="46" t="s">
        <v>451</v>
      </c>
      <c r="F962" s="51" t="s">
        <v>19</v>
      </c>
      <c r="G962" s="51" t="s">
        <v>1728</v>
      </c>
      <c r="H962" s="51" t="s">
        <v>244</v>
      </c>
      <c r="I962" s="55">
        <v>3307</v>
      </c>
      <c r="J962" s="56">
        <v>1</v>
      </c>
      <c r="K962" s="51" t="s">
        <v>1733</v>
      </c>
      <c r="L962" s="58">
        <v>62600</v>
      </c>
      <c r="M962" s="50">
        <f>ROUND('FA Addition'!$L962*5%,0.1)</f>
        <v>3130</v>
      </c>
      <c r="N962" s="113" t="str">
        <f>_xlfn.XLOOKUP(_xlfn.CONCAT(E962,B962),'Year Wise Master Dep Approach'!F:F,'Year Wise Master Dep Approach'!D:D)</f>
        <v>WDV</v>
      </c>
      <c r="O962" s="113">
        <f>_xlfn.XLOOKUP(_xlfn.CONCAT(E962,B962),'Year Wise Master Dep Approach'!F:F,'Year Wise Master Dep Approach'!E:E)</f>
        <v>3</v>
      </c>
      <c r="P962" s="114">
        <f>IFERROR(IF('FA Addition'!$N962="WDV",1-('FA Addition'!$M962/'FA Addition'!$L962)^(1/'FA Addition'!$O962),1/'FA Addition'!$O962),0)</f>
        <v>0.63159685013596123</v>
      </c>
      <c r="Q962" s="122">
        <f>'FA Addition'!$P962*'FA Addition'!$O962</f>
        <v>1.8947905504078837</v>
      </c>
      <c r="R962" s="122"/>
      <c r="S962" s="116">
        <f>IF(AND(DATE(20&amp;LEFT(FAAddition[[#This Row],[FY]],2),4,1)&lt;$L$1+1,DATE(20&amp;LEFT(FAAddition[[#This Row],[FY]],2),4,1)&gt;$P$1-1),'FA Addition'!$J962,0)</f>
        <v>1</v>
      </c>
      <c r="U962" s="117">
        <f>S962*'FA Addition'!$L962/'FA Addition'!$J962</f>
        <v>62600</v>
      </c>
      <c r="W962" s="116">
        <f>SUMIFS('FA Write off'!D:D,'FA Write off'!A:A,'FA Addition'!$A962,'FA Write off'!C:C,"&lt;"&amp;'FA Addition'!$P$1)</f>
        <v>0</v>
      </c>
      <c r="Y962" s="191">
        <f>IFERROR(W962/'FA Addition'!$J962*'FA Addition'!$L962,0)</f>
        <v>0</v>
      </c>
      <c r="AA962" s="116">
        <f>SUMIFS('FA Write off'!D:D,'FA Write off'!A:A,'FA Addition'!$A962,'FA Write off'!C:C,"&lt;"&amp;'FA Addition'!$L$1+1,'FA Write off'!C:C,"&gt;"&amp;'FA Addition'!$L$1-365)</f>
        <v>0</v>
      </c>
      <c r="AC962" s="118">
        <f>IFERROR(AA962/'FA Addition'!$J962*'FA Addition'!$L962,0)</f>
        <v>0</v>
      </c>
      <c r="AE962" s="117">
        <f>IF(AND('FA Addition'!$D962&lt;$P$1+1,U962=0),'FA Addition'!$L962,0)-Y962</f>
        <v>0</v>
      </c>
      <c r="AF962" s="117">
        <f t="shared" si="70"/>
        <v>62600</v>
      </c>
      <c r="AG962" s="117">
        <f>MIN(MAX(+$P$1-'FA Addition'!$D962,0),365*'FA Addition'!$O962)</f>
        <v>0</v>
      </c>
      <c r="AH962" s="117">
        <f>MIN(MAX($L$1-'FA Addition'!$D962+1,0),365*'FA Addition'!$O962)</f>
        <v>27</v>
      </c>
      <c r="AI962" s="117" cm="1">
        <f t="array" ref="AI962">_xlfn.XLOOKUP(1,('FA Write off'!A:A='FA Addition'!$A962)*('FA Write off'!D:D=AA962),'FA Write off'!H:H,0,0)</f>
        <v>0</v>
      </c>
      <c r="AJ962" s="117">
        <f>IF(AC962&gt;0,MAX(IF('FA Addition'!$N962="SLM",($AC962-'FA Addition'!$M962)*'FA Addition'!$P962*AI962/365,(AC962-'FA Addition'!$M962)*(1-(1-'FA Addition'!$P962)^(AI962/365))),0),0)</f>
        <v>0</v>
      </c>
      <c r="AL962" s="117">
        <f>MAX(IF(AG962&gt;0,IF('FA Addition'!$N962="SLM",($AE962-'FA Addition'!$M962)*'FA Addition'!$P962*AG962/365,IFERROR(VDB(AE962,AE962*0.05,'FA Addition'!$O962,0,YEARFRAC('FA Addition'!$C962,$P$1-1,3),'FA Addition'!$Q962),FAAddition[[#This Row],[Original Cost (Rs)]]-FAAddition[[#This Row],[Salvage Value]])),0),0)</f>
        <v>0</v>
      </c>
      <c r="AM962" s="119"/>
      <c r="AN962" s="117">
        <f>MAX(IF(AH962&gt;0,IF('FA Addition'!$N962="SLM",($AF962-'FA Addition'!$M962)*'FA Addition'!$P962*AH962/365,IFERROR(VDB(AF962,AF962*0.05,'FA Addition'!$O962,0,YEARFRAC('FA Addition'!$C962,$L$1,3),'FA Addition'!$Q962),FAAddition[[#This Row],[Original Cost (Rs)]]-FAAddition[[#This Row],[Salvage Value]])),0),0)</f>
        <v>2816.4028309076452</v>
      </c>
      <c r="AO962" s="117">
        <f t="shared" si="73"/>
        <v>2816.4028309076452</v>
      </c>
      <c r="AQ962" s="117">
        <f t="shared" si="71"/>
        <v>0</v>
      </c>
      <c r="AR962" s="120">
        <f t="shared" si="72"/>
        <v>59783.597169092354</v>
      </c>
      <c r="AS962" s="121"/>
    </row>
    <row r="963" spans="1:45" ht="13.5" x14ac:dyDescent="0.4">
      <c r="A963" s="12">
        <f t="shared" si="74"/>
        <v>960</v>
      </c>
      <c r="B963" s="64" t="s">
        <v>1308</v>
      </c>
      <c r="C963" s="54">
        <v>45356</v>
      </c>
      <c r="D963" s="54">
        <v>45356</v>
      </c>
      <c r="E963" s="46" t="s">
        <v>451</v>
      </c>
      <c r="F963" s="51" t="s">
        <v>19</v>
      </c>
      <c r="G963" s="51" t="s">
        <v>1728</v>
      </c>
      <c r="H963" s="51" t="s">
        <v>244</v>
      </c>
      <c r="I963" s="55">
        <v>3307</v>
      </c>
      <c r="J963" s="56">
        <v>1</v>
      </c>
      <c r="K963" s="51" t="s">
        <v>1733</v>
      </c>
      <c r="L963" s="58">
        <v>62600</v>
      </c>
      <c r="M963" s="50">
        <f>ROUND('FA Addition'!$L963*5%,0.1)</f>
        <v>3130</v>
      </c>
      <c r="N963" s="113" t="str">
        <f>_xlfn.XLOOKUP(_xlfn.CONCAT(E963,B963),'Year Wise Master Dep Approach'!F:F,'Year Wise Master Dep Approach'!D:D)</f>
        <v>WDV</v>
      </c>
      <c r="O963" s="113">
        <f>_xlfn.XLOOKUP(_xlfn.CONCAT(E963,B963),'Year Wise Master Dep Approach'!F:F,'Year Wise Master Dep Approach'!E:E)</f>
        <v>3</v>
      </c>
      <c r="P963" s="114">
        <f>IFERROR(IF('FA Addition'!$N963="WDV",1-('FA Addition'!$M963/'FA Addition'!$L963)^(1/'FA Addition'!$O963),1/'FA Addition'!$O963),0)</f>
        <v>0.63159685013596123</v>
      </c>
      <c r="Q963" s="122">
        <f>'FA Addition'!$P963*'FA Addition'!$O963</f>
        <v>1.8947905504078837</v>
      </c>
      <c r="R963" s="122"/>
      <c r="S963" s="116">
        <f>IF(AND(DATE(20&amp;LEFT(FAAddition[[#This Row],[FY]],2),4,1)&lt;$L$1+1,DATE(20&amp;LEFT(FAAddition[[#This Row],[FY]],2),4,1)&gt;$P$1-1),'FA Addition'!$J963,0)</f>
        <v>1</v>
      </c>
      <c r="U963" s="117">
        <f>S963*'FA Addition'!$L963/'FA Addition'!$J963</f>
        <v>62600</v>
      </c>
      <c r="W963" s="116">
        <f>SUMIFS('FA Write off'!D:D,'FA Write off'!A:A,'FA Addition'!$A963,'FA Write off'!C:C,"&lt;"&amp;'FA Addition'!$P$1)</f>
        <v>0</v>
      </c>
      <c r="Y963" s="191">
        <f>IFERROR(W963/'FA Addition'!$J963*'FA Addition'!$L963,0)</f>
        <v>0</v>
      </c>
      <c r="AA963" s="116">
        <f>SUMIFS('FA Write off'!D:D,'FA Write off'!A:A,'FA Addition'!$A963,'FA Write off'!C:C,"&lt;"&amp;'FA Addition'!$L$1+1,'FA Write off'!C:C,"&gt;"&amp;'FA Addition'!$L$1-365)</f>
        <v>0</v>
      </c>
      <c r="AC963" s="118">
        <f>IFERROR(AA963/'FA Addition'!$J963*'FA Addition'!$L963,0)</f>
        <v>0</v>
      </c>
      <c r="AE963" s="117">
        <f>IF(AND('FA Addition'!$D963&lt;$P$1+1,U963=0),'FA Addition'!$L963,0)-Y963</f>
        <v>0</v>
      </c>
      <c r="AF963" s="117">
        <f t="shared" si="70"/>
        <v>62600</v>
      </c>
      <c r="AG963" s="117">
        <f>MIN(MAX(+$P$1-'FA Addition'!$D963,0),365*'FA Addition'!$O963)</f>
        <v>0</v>
      </c>
      <c r="AH963" s="117">
        <f>MIN(MAX($L$1-'FA Addition'!$D963+1,0),365*'FA Addition'!$O963)</f>
        <v>27</v>
      </c>
      <c r="AI963" s="117" cm="1">
        <f t="array" ref="AI963">_xlfn.XLOOKUP(1,('FA Write off'!A:A='FA Addition'!$A963)*('FA Write off'!D:D=AA963),'FA Write off'!H:H,0,0)</f>
        <v>0</v>
      </c>
      <c r="AJ963" s="117">
        <f>IF(AC963&gt;0,MAX(IF('FA Addition'!$N963="SLM",($AC963-'FA Addition'!$M963)*'FA Addition'!$P963*AI963/365,(AC963-'FA Addition'!$M963)*(1-(1-'FA Addition'!$P963)^(AI963/365))),0),0)</f>
        <v>0</v>
      </c>
      <c r="AL963" s="117">
        <f>MAX(IF(AG963&gt;0,IF('FA Addition'!$N963="SLM",($AE963-'FA Addition'!$M963)*'FA Addition'!$P963*AG963/365,IFERROR(VDB(AE963,AE963*0.05,'FA Addition'!$O963,0,YEARFRAC('FA Addition'!$C963,$P$1-1,3),'FA Addition'!$Q963),FAAddition[[#This Row],[Original Cost (Rs)]]-FAAddition[[#This Row],[Salvage Value]])),0),0)</f>
        <v>0</v>
      </c>
      <c r="AM963" s="119"/>
      <c r="AN963" s="117">
        <f>MAX(IF(AH963&gt;0,IF('FA Addition'!$N963="SLM",($AF963-'FA Addition'!$M963)*'FA Addition'!$P963*AH963/365,IFERROR(VDB(AF963,AF963*0.05,'FA Addition'!$O963,0,YEARFRAC('FA Addition'!$C963,$L$1,3),'FA Addition'!$Q963),FAAddition[[#This Row],[Original Cost (Rs)]]-FAAddition[[#This Row],[Salvage Value]])),0),0)</f>
        <v>2816.4028309076452</v>
      </c>
      <c r="AO963" s="117">
        <f t="shared" si="73"/>
        <v>2816.4028309076452</v>
      </c>
      <c r="AQ963" s="117">
        <f t="shared" si="71"/>
        <v>0</v>
      </c>
      <c r="AR963" s="120">
        <f t="shared" si="72"/>
        <v>59783.597169092354</v>
      </c>
      <c r="AS963" s="121"/>
    </row>
    <row r="964" spans="1:45" ht="13.5" x14ac:dyDescent="0.4">
      <c r="A964" s="12">
        <f t="shared" si="74"/>
        <v>961</v>
      </c>
      <c r="B964" s="64" t="s">
        <v>1308</v>
      </c>
      <c r="C964" s="54">
        <v>45356</v>
      </c>
      <c r="D964" s="54">
        <v>45356</v>
      </c>
      <c r="E964" s="46" t="s">
        <v>451</v>
      </c>
      <c r="F964" s="51" t="s">
        <v>19</v>
      </c>
      <c r="G964" s="51" t="s">
        <v>1728</v>
      </c>
      <c r="H964" s="51" t="s">
        <v>244</v>
      </c>
      <c r="I964" s="55">
        <v>3307</v>
      </c>
      <c r="J964" s="56">
        <v>1</v>
      </c>
      <c r="K964" s="51" t="s">
        <v>1733</v>
      </c>
      <c r="L964" s="58">
        <v>62600</v>
      </c>
      <c r="M964" s="50">
        <f>ROUND('FA Addition'!$L964*5%,0.1)</f>
        <v>3130</v>
      </c>
      <c r="N964" s="113" t="str">
        <f>_xlfn.XLOOKUP(_xlfn.CONCAT(E964,B964),'Year Wise Master Dep Approach'!F:F,'Year Wise Master Dep Approach'!D:D)</f>
        <v>WDV</v>
      </c>
      <c r="O964" s="113">
        <f>_xlfn.XLOOKUP(_xlfn.CONCAT(E964,B964),'Year Wise Master Dep Approach'!F:F,'Year Wise Master Dep Approach'!E:E)</f>
        <v>3</v>
      </c>
      <c r="P964" s="114">
        <f>IFERROR(IF('FA Addition'!$N964="WDV",1-('FA Addition'!$M964/'FA Addition'!$L964)^(1/'FA Addition'!$O964),1/'FA Addition'!$O964),0)</f>
        <v>0.63159685013596123</v>
      </c>
      <c r="Q964" s="122">
        <f>'FA Addition'!$P964*'FA Addition'!$O964</f>
        <v>1.8947905504078837</v>
      </c>
      <c r="R964" s="122"/>
      <c r="S964" s="116">
        <f>IF(AND(DATE(20&amp;LEFT(FAAddition[[#This Row],[FY]],2),4,1)&lt;$L$1+1,DATE(20&amp;LEFT(FAAddition[[#This Row],[FY]],2),4,1)&gt;$P$1-1),'FA Addition'!$J964,0)</f>
        <v>1</v>
      </c>
      <c r="U964" s="117">
        <f>S964*'FA Addition'!$L964/'FA Addition'!$J964</f>
        <v>62600</v>
      </c>
      <c r="W964" s="116">
        <f>SUMIFS('FA Write off'!D:D,'FA Write off'!A:A,'FA Addition'!$A964,'FA Write off'!C:C,"&lt;"&amp;'FA Addition'!$P$1)</f>
        <v>0</v>
      </c>
      <c r="Y964" s="191">
        <f>IFERROR(W964/'FA Addition'!$J964*'FA Addition'!$L964,0)</f>
        <v>0</v>
      </c>
      <c r="AA964" s="116">
        <f>SUMIFS('FA Write off'!D:D,'FA Write off'!A:A,'FA Addition'!$A964,'FA Write off'!C:C,"&lt;"&amp;'FA Addition'!$L$1+1,'FA Write off'!C:C,"&gt;"&amp;'FA Addition'!$L$1-365)</f>
        <v>0</v>
      </c>
      <c r="AC964" s="118">
        <f>IFERROR(AA964/'FA Addition'!$J964*'FA Addition'!$L964,0)</f>
        <v>0</v>
      </c>
      <c r="AE964" s="117">
        <f>IF(AND('FA Addition'!$D964&lt;$P$1+1,U964=0),'FA Addition'!$L964,0)-Y964</f>
        <v>0</v>
      </c>
      <c r="AF964" s="117">
        <f t="shared" ref="AF964:AF1027" si="75">AE964+U964-AC964</f>
        <v>62600</v>
      </c>
      <c r="AG964" s="117">
        <f>MIN(MAX(+$P$1-'FA Addition'!$D964,0),365*'FA Addition'!$O964)</f>
        <v>0</v>
      </c>
      <c r="AH964" s="117">
        <f>MIN(MAX($L$1-'FA Addition'!$D964+1,0),365*'FA Addition'!$O964)</f>
        <v>27</v>
      </c>
      <c r="AI964" s="117" cm="1">
        <f t="array" ref="AI964">_xlfn.XLOOKUP(1,('FA Write off'!A:A='FA Addition'!$A964)*('FA Write off'!D:D=AA964),'FA Write off'!H:H,0,0)</f>
        <v>0</v>
      </c>
      <c r="AJ964" s="117">
        <f>IF(AC964&gt;0,MAX(IF('FA Addition'!$N964="SLM",($AC964-'FA Addition'!$M964)*'FA Addition'!$P964*AI964/365,(AC964-'FA Addition'!$M964)*(1-(1-'FA Addition'!$P964)^(AI964/365))),0),0)</f>
        <v>0</v>
      </c>
      <c r="AL964" s="117">
        <f>MAX(IF(AG964&gt;0,IF('FA Addition'!$N964="SLM",($AE964-'FA Addition'!$M964)*'FA Addition'!$P964*AG964/365,IFERROR(VDB(AE964,AE964*0.05,'FA Addition'!$O964,0,YEARFRAC('FA Addition'!$C964,$P$1-1,3),'FA Addition'!$Q964),FAAddition[[#This Row],[Original Cost (Rs)]]-FAAddition[[#This Row],[Salvage Value]])),0),0)</f>
        <v>0</v>
      </c>
      <c r="AM964" s="119"/>
      <c r="AN964" s="117">
        <f>MAX(IF(AH964&gt;0,IF('FA Addition'!$N964="SLM",($AF964-'FA Addition'!$M964)*'FA Addition'!$P964*AH964/365,IFERROR(VDB(AF964,AF964*0.05,'FA Addition'!$O964,0,YEARFRAC('FA Addition'!$C964,$L$1,3),'FA Addition'!$Q964),FAAddition[[#This Row],[Original Cost (Rs)]]-FAAddition[[#This Row],[Salvage Value]])),0),0)</f>
        <v>2816.4028309076452</v>
      </c>
      <c r="AO964" s="117">
        <f t="shared" si="73"/>
        <v>2816.4028309076452</v>
      </c>
      <c r="AQ964" s="117">
        <f t="shared" ref="AQ964:AQ1027" si="76">AE964-AL964</f>
        <v>0</v>
      </c>
      <c r="AR964" s="120">
        <f t="shared" ref="AR964:AR1027" si="77">AF964-AN964</f>
        <v>59783.597169092354</v>
      </c>
      <c r="AS964" s="121"/>
    </row>
    <row r="965" spans="1:45" ht="13.5" x14ac:dyDescent="0.4">
      <c r="A965" s="12">
        <f t="shared" si="74"/>
        <v>962</v>
      </c>
      <c r="B965" s="64" t="s">
        <v>1308</v>
      </c>
      <c r="C965" s="54">
        <v>45356</v>
      </c>
      <c r="D965" s="54">
        <v>45356</v>
      </c>
      <c r="E965" s="46" t="s">
        <v>451</v>
      </c>
      <c r="F965" s="51" t="s">
        <v>19</v>
      </c>
      <c r="G965" s="51" t="s">
        <v>1728</v>
      </c>
      <c r="H965" s="51" t="s">
        <v>151</v>
      </c>
      <c r="I965" s="55">
        <v>3308</v>
      </c>
      <c r="J965" s="56">
        <v>1</v>
      </c>
      <c r="K965" s="51" t="s">
        <v>1734</v>
      </c>
      <c r="L965" s="58">
        <v>12000</v>
      </c>
      <c r="M965" s="50">
        <f>ROUND('FA Addition'!$L965*5%,0.1)</f>
        <v>600</v>
      </c>
      <c r="N965" s="113" t="str">
        <f>_xlfn.XLOOKUP(_xlfn.CONCAT(E965,B965),'Year Wise Master Dep Approach'!F:F,'Year Wise Master Dep Approach'!D:D)</f>
        <v>WDV</v>
      </c>
      <c r="O965" s="113">
        <f>_xlfn.XLOOKUP(_xlfn.CONCAT(E965,B965),'Year Wise Master Dep Approach'!F:F,'Year Wise Master Dep Approach'!E:E)</f>
        <v>3</v>
      </c>
      <c r="P965" s="114">
        <f>IFERROR(IF('FA Addition'!$N965="WDV",1-('FA Addition'!$M965/'FA Addition'!$L965)^(1/'FA Addition'!$O965),1/'FA Addition'!$O965),0)</f>
        <v>0.63159685013596123</v>
      </c>
      <c r="Q965" s="122">
        <f>'FA Addition'!$P965*'FA Addition'!$O965</f>
        <v>1.8947905504078837</v>
      </c>
      <c r="R965" s="122"/>
      <c r="S965" s="116">
        <f>IF(AND(DATE(20&amp;LEFT(FAAddition[[#This Row],[FY]],2),4,1)&lt;$L$1+1,DATE(20&amp;LEFT(FAAddition[[#This Row],[FY]],2),4,1)&gt;$P$1-1),'FA Addition'!$J965,0)</f>
        <v>1</v>
      </c>
      <c r="U965" s="117">
        <f>S965*'FA Addition'!$L965/'FA Addition'!$J965</f>
        <v>12000</v>
      </c>
      <c r="W965" s="116">
        <f>SUMIFS('FA Write off'!D:D,'FA Write off'!A:A,'FA Addition'!$A965,'FA Write off'!C:C,"&lt;"&amp;'FA Addition'!$P$1)</f>
        <v>0</v>
      </c>
      <c r="Y965" s="191">
        <f>IFERROR(W965/'FA Addition'!$J965*'FA Addition'!$L965,0)</f>
        <v>0</v>
      </c>
      <c r="AA965" s="116">
        <f>SUMIFS('FA Write off'!D:D,'FA Write off'!A:A,'FA Addition'!$A965,'FA Write off'!C:C,"&lt;"&amp;'FA Addition'!$L$1+1,'FA Write off'!C:C,"&gt;"&amp;'FA Addition'!$L$1-365)</f>
        <v>0</v>
      </c>
      <c r="AC965" s="118">
        <f>IFERROR(AA965/'FA Addition'!$J965*'FA Addition'!$L965,0)</f>
        <v>0</v>
      </c>
      <c r="AE965" s="117">
        <f>IF(AND('FA Addition'!$D965&lt;$P$1+1,U965=0),'FA Addition'!$L965,0)-Y965</f>
        <v>0</v>
      </c>
      <c r="AF965" s="117">
        <f t="shared" si="75"/>
        <v>12000</v>
      </c>
      <c r="AG965" s="117">
        <f>MIN(MAX(+$P$1-'FA Addition'!$D965,0),365*'FA Addition'!$O965)</f>
        <v>0</v>
      </c>
      <c r="AH965" s="117">
        <f>MIN(MAX($L$1-'FA Addition'!$D965+1,0),365*'FA Addition'!$O965)</f>
        <v>27</v>
      </c>
      <c r="AI965" s="117" cm="1">
        <f t="array" ref="AI965">_xlfn.XLOOKUP(1,('FA Write off'!A:A='FA Addition'!$A965)*('FA Write off'!D:D=AA965),'FA Write off'!H:H,0,0)</f>
        <v>0</v>
      </c>
      <c r="AJ965" s="117">
        <f>IF(AC965&gt;0,MAX(IF('FA Addition'!$N965="SLM",($AC965-'FA Addition'!$M965)*'FA Addition'!$P965*AI965/365,(AC965-'FA Addition'!$M965)*(1-(1-'FA Addition'!$P965)^(AI965/365))),0),0)</f>
        <v>0</v>
      </c>
      <c r="AL965" s="117">
        <f>MAX(IF(AG965&gt;0,IF('FA Addition'!$N965="SLM",($AE965-'FA Addition'!$M965)*'FA Addition'!$P965*AG965/365,IFERROR(VDB(AE965,AE965*0.05,'FA Addition'!$O965,0,YEARFRAC('FA Addition'!$C965,$P$1-1,3),'FA Addition'!$Q965),FAAddition[[#This Row],[Original Cost (Rs)]]-FAAddition[[#This Row],[Salvage Value]])),0),0)</f>
        <v>0</v>
      </c>
      <c r="AM965" s="119"/>
      <c r="AN965" s="117">
        <f>MAX(IF(AH965&gt;0,IF('FA Addition'!$N965="SLM",($AF965-'FA Addition'!$M965)*'FA Addition'!$P965*AH965/365,IFERROR(VDB(AF965,AF965*0.05,'FA Addition'!$O965,0,YEARFRAC('FA Addition'!$C965,$L$1,3),'FA Addition'!$Q965),FAAddition[[#This Row],[Original Cost (Rs)]]-FAAddition[[#This Row],[Salvage Value]])),0),0)</f>
        <v>539.88552669156138</v>
      </c>
      <c r="AO965" s="117">
        <f t="shared" ref="AO965:AO1028" si="78">AN965-AL965+AJ965</f>
        <v>539.88552669156138</v>
      </c>
      <c r="AQ965" s="117">
        <f t="shared" si="76"/>
        <v>0</v>
      </c>
      <c r="AR965" s="120">
        <f t="shared" si="77"/>
        <v>11460.114473308438</v>
      </c>
      <c r="AS965" s="121"/>
    </row>
    <row r="966" spans="1:45" ht="13.5" x14ac:dyDescent="0.4">
      <c r="A966" s="12">
        <f t="shared" ref="A966:A1029" si="79">A965+1</f>
        <v>963</v>
      </c>
      <c r="B966" s="64" t="s">
        <v>1308</v>
      </c>
      <c r="C966" s="54">
        <v>45356</v>
      </c>
      <c r="D966" s="54">
        <v>45356</v>
      </c>
      <c r="E966" s="46" t="s">
        <v>451</v>
      </c>
      <c r="F966" s="51" t="s">
        <v>19</v>
      </c>
      <c r="G966" s="51" t="s">
        <v>1728</v>
      </c>
      <c r="H966" s="51" t="s">
        <v>151</v>
      </c>
      <c r="I966" s="55">
        <v>3308</v>
      </c>
      <c r="J966" s="56">
        <v>1</v>
      </c>
      <c r="K966" s="51" t="s">
        <v>1734</v>
      </c>
      <c r="L966" s="58">
        <v>12000</v>
      </c>
      <c r="M966" s="50">
        <f>ROUND('FA Addition'!$L966*5%,0.1)</f>
        <v>600</v>
      </c>
      <c r="N966" s="113" t="str">
        <f>_xlfn.XLOOKUP(_xlfn.CONCAT(E966,B966),'Year Wise Master Dep Approach'!F:F,'Year Wise Master Dep Approach'!D:D)</f>
        <v>WDV</v>
      </c>
      <c r="O966" s="113">
        <f>_xlfn.XLOOKUP(_xlfn.CONCAT(E966,B966),'Year Wise Master Dep Approach'!F:F,'Year Wise Master Dep Approach'!E:E)</f>
        <v>3</v>
      </c>
      <c r="P966" s="114">
        <f>IFERROR(IF('FA Addition'!$N966="WDV",1-('FA Addition'!$M966/'FA Addition'!$L966)^(1/'FA Addition'!$O966),1/'FA Addition'!$O966),0)</f>
        <v>0.63159685013596123</v>
      </c>
      <c r="Q966" s="122">
        <f>'FA Addition'!$P966*'FA Addition'!$O966</f>
        <v>1.8947905504078837</v>
      </c>
      <c r="R966" s="122"/>
      <c r="S966" s="116">
        <f>IF(AND(DATE(20&amp;LEFT(FAAddition[[#This Row],[FY]],2),4,1)&lt;$L$1+1,DATE(20&amp;LEFT(FAAddition[[#This Row],[FY]],2),4,1)&gt;$P$1-1),'FA Addition'!$J966,0)</f>
        <v>1</v>
      </c>
      <c r="U966" s="117">
        <f>S966*'FA Addition'!$L966/'FA Addition'!$J966</f>
        <v>12000</v>
      </c>
      <c r="W966" s="116">
        <f>SUMIFS('FA Write off'!D:D,'FA Write off'!A:A,'FA Addition'!$A966,'FA Write off'!C:C,"&lt;"&amp;'FA Addition'!$P$1)</f>
        <v>0</v>
      </c>
      <c r="Y966" s="191">
        <f>IFERROR(W966/'FA Addition'!$J966*'FA Addition'!$L966,0)</f>
        <v>0</v>
      </c>
      <c r="AA966" s="116">
        <f>SUMIFS('FA Write off'!D:D,'FA Write off'!A:A,'FA Addition'!$A966,'FA Write off'!C:C,"&lt;"&amp;'FA Addition'!$L$1+1,'FA Write off'!C:C,"&gt;"&amp;'FA Addition'!$L$1-365)</f>
        <v>0</v>
      </c>
      <c r="AC966" s="118">
        <f>IFERROR(AA966/'FA Addition'!$J966*'FA Addition'!$L966,0)</f>
        <v>0</v>
      </c>
      <c r="AE966" s="117">
        <f>IF(AND('FA Addition'!$D966&lt;$P$1+1,U966=0),'FA Addition'!$L966,0)-Y966</f>
        <v>0</v>
      </c>
      <c r="AF966" s="117">
        <f t="shared" si="75"/>
        <v>12000</v>
      </c>
      <c r="AG966" s="117">
        <f>MIN(MAX(+$P$1-'FA Addition'!$D966,0),365*'FA Addition'!$O966)</f>
        <v>0</v>
      </c>
      <c r="AH966" s="117">
        <f>MIN(MAX($L$1-'FA Addition'!$D966+1,0),365*'FA Addition'!$O966)</f>
        <v>27</v>
      </c>
      <c r="AI966" s="117" cm="1">
        <f t="array" ref="AI966">_xlfn.XLOOKUP(1,('FA Write off'!A:A='FA Addition'!$A966)*('FA Write off'!D:D=AA966),'FA Write off'!H:H,0,0)</f>
        <v>0</v>
      </c>
      <c r="AJ966" s="117">
        <f>IF(AC966&gt;0,MAX(IF('FA Addition'!$N966="SLM",($AC966-'FA Addition'!$M966)*'FA Addition'!$P966*AI966/365,(AC966-'FA Addition'!$M966)*(1-(1-'FA Addition'!$P966)^(AI966/365))),0),0)</f>
        <v>0</v>
      </c>
      <c r="AL966" s="117">
        <f>MAX(IF(AG966&gt;0,IF('FA Addition'!$N966="SLM",($AE966-'FA Addition'!$M966)*'FA Addition'!$P966*AG966/365,IFERROR(VDB(AE966,AE966*0.05,'FA Addition'!$O966,0,YEARFRAC('FA Addition'!$C966,$P$1-1,3),'FA Addition'!$Q966),FAAddition[[#This Row],[Original Cost (Rs)]]-FAAddition[[#This Row],[Salvage Value]])),0),0)</f>
        <v>0</v>
      </c>
      <c r="AM966" s="119"/>
      <c r="AN966" s="117">
        <f>MAX(IF(AH966&gt;0,IF('FA Addition'!$N966="SLM",($AF966-'FA Addition'!$M966)*'FA Addition'!$P966*AH966/365,IFERROR(VDB(AF966,AF966*0.05,'FA Addition'!$O966,0,YEARFRAC('FA Addition'!$C966,$L$1,3),'FA Addition'!$Q966),FAAddition[[#This Row],[Original Cost (Rs)]]-FAAddition[[#This Row],[Salvage Value]])),0),0)</f>
        <v>539.88552669156138</v>
      </c>
      <c r="AO966" s="117">
        <f t="shared" si="78"/>
        <v>539.88552669156138</v>
      </c>
      <c r="AQ966" s="117">
        <f t="shared" si="76"/>
        <v>0</v>
      </c>
      <c r="AR966" s="120">
        <f t="shared" si="77"/>
        <v>11460.114473308438</v>
      </c>
      <c r="AS966" s="121"/>
    </row>
    <row r="967" spans="1:45" ht="13.5" x14ac:dyDescent="0.4">
      <c r="A967" s="12">
        <f t="shared" si="79"/>
        <v>964</v>
      </c>
      <c r="B967" s="64" t="s">
        <v>1308</v>
      </c>
      <c r="C967" s="54">
        <v>45358</v>
      </c>
      <c r="D967" s="54">
        <v>45358</v>
      </c>
      <c r="E967" s="46" t="s">
        <v>1320</v>
      </c>
      <c r="F967" s="51" t="s">
        <v>33</v>
      </c>
      <c r="G967" s="51" t="s">
        <v>34</v>
      </c>
      <c r="H967" s="51" t="s">
        <v>32</v>
      </c>
      <c r="I967" s="55" t="s">
        <v>1735</v>
      </c>
      <c r="J967" s="56">
        <v>2000</v>
      </c>
      <c r="K967" s="51" t="s">
        <v>1322</v>
      </c>
      <c r="L967" s="58">
        <v>3900000</v>
      </c>
      <c r="M967" s="50">
        <f>ROUND('FA Addition'!$L967*5%,0.1)</f>
        <v>195000</v>
      </c>
      <c r="N967" s="113" t="str">
        <f>_xlfn.XLOOKUP(_xlfn.CONCAT(E967,B967),'Year Wise Master Dep Approach'!F:F,'Year Wise Master Dep Approach'!D:D)</f>
        <v>SLM</v>
      </c>
      <c r="O967" s="113">
        <f>_xlfn.XLOOKUP(_xlfn.CONCAT(E967,B967),'Year Wise Master Dep Approach'!F:F,'Year Wise Master Dep Approach'!E:E)</f>
        <v>5</v>
      </c>
      <c r="P967" s="114">
        <f>IFERROR(IF('FA Addition'!$N967="WDV",1-('FA Addition'!$M967/'FA Addition'!$L967)^(1/'FA Addition'!$O967),1/'FA Addition'!$O967),0)</f>
        <v>0.2</v>
      </c>
      <c r="Q967" s="122">
        <f>'FA Addition'!$P967*'FA Addition'!$O967</f>
        <v>1</v>
      </c>
      <c r="R967" s="122"/>
      <c r="S967" s="116">
        <f>IF(AND(DATE(20&amp;LEFT(FAAddition[[#This Row],[FY]],2),4,1)&lt;$L$1+1,DATE(20&amp;LEFT(FAAddition[[#This Row],[FY]],2),4,1)&gt;$P$1-1),'FA Addition'!$J967,0)</f>
        <v>2000</v>
      </c>
      <c r="U967" s="117">
        <f>S967*'FA Addition'!$L967/'FA Addition'!$J967</f>
        <v>3900000</v>
      </c>
      <c r="W967" s="116">
        <f>SUMIFS('FA Write off'!D:D,'FA Write off'!A:A,'FA Addition'!$A967,'FA Write off'!C:C,"&lt;"&amp;'FA Addition'!$P$1)</f>
        <v>0</v>
      </c>
      <c r="Y967" s="191">
        <f>IFERROR(W967/'FA Addition'!$J967*'FA Addition'!$L967,0)</f>
        <v>0</v>
      </c>
      <c r="AA967" s="116">
        <f>SUMIFS('FA Write off'!D:D,'FA Write off'!A:A,'FA Addition'!$A967,'FA Write off'!C:C,"&lt;"&amp;'FA Addition'!$L$1+1,'FA Write off'!C:C,"&gt;"&amp;'FA Addition'!$L$1-365)</f>
        <v>0</v>
      </c>
      <c r="AC967" s="118">
        <f>IFERROR(AA967/'FA Addition'!$J967*'FA Addition'!$L967,0)</f>
        <v>0</v>
      </c>
      <c r="AE967" s="117">
        <f>IF(AND('FA Addition'!$D967&lt;$P$1+1,U967=0),'FA Addition'!$L967,0)-Y967</f>
        <v>0</v>
      </c>
      <c r="AF967" s="117">
        <f t="shared" si="75"/>
        <v>3900000</v>
      </c>
      <c r="AG967" s="117">
        <f>MIN(MAX(+$P$1-'FA Addition'!$D967,0),365*'FA Addition'!$O967)</f>
        <v>0</v>
      </c>
      <c r="AH967" s="117">
        <f>MIN(MAX($L$1-'FA Addition'!$D967+1,0),365*'FA Addition'!$O967)</f>
        <v>25</v>
      </c>
      <c r="AI967" s="117" cm="1">
        <f t="array" ref="AI967">_xlfn.XLOOKUP(1,('FA Write off'!A:A='FA Addition'!$A967)*('FA Write off'!D:D=AA967),'FA Write off'!H:H,0,0)</f>
        <v>0</v>
      </c>
      <c r="AJ967" s="117">
        <f>IF(AC967&gt;0,MAX(IF('FA Addition'!$N967="SLM",($AC967-'FA Addition'!$M967)*'FA Addition'!$P967*AI967/365,(AC967-'FA Addition'!$M967)*(1-(1-'FA Addition'!$P967)^(AI967/365))),0),0)</f>
        <v>0</v>
      </c>
      <c r="AL967" s="117">
        <f>MAX(IF(AG967&gt;0,IF('FA Addition'!$N967="SLM",($AE967-'FA Addition'!$M967)*'FA Addition'!$P967*AG967/365,IFERROR(VDB(AE967,AE967*0.05,'FA Addition'!$O967,0,YEARFRAC('FA Addition'!$C967,$P$1-1,3),'FA Addition'!$Q967),FAAddition[[#This Row],[Original Cost (Rs)]]-FAAddition[[#This Row],[Salvage Value]])),0),0)</f>
        <v>0</v>
      </c>
      <c r="AM967" s="119"/>
      <c r="AN967" s="117">
        <f>MAX(IF(AH967&gt;0,IF('FA Addition'!$N967="SLM",($AF967-'FA Addition'!$M967)*'FA Addition'!$P967*AH967/365,IFERROR(VDB(AF967,AF967*0.05,'FA Addition'!$O967,0,YEARFRAC('FA Addition'!$C967,$L$1,3),'FA Addition'!$Q967),FAAddition[[#This Row],[Original Cost (Rs)]]-FAAddition[[#This Row],[Salvage Value]])),0),0)</f>
        <v>50753.424657534248</v>
      </c>
      <c r="AO967" s="117">
        <f t="shared" si="78"/>
        <v>50753.424657534248</v>
      </c>
      <c r="AQ967" s="117">
        <f t="shared" si="76"/>
        <v>0</v>
      </c>
      <c r="AR967" s="120">
        <f t="shared" si="77"/>
        <v>3849246.5753424657</v>
      </c>
      <c r="AS967" s="121"/>
    </row>
    <row r="968" spans="1:45" ht="13.5" x14ac:dyDescent="0.4">
      <c r="A968" s="12">
        <f t="shared" si="79"/>
        <v>965</v>
      </c>
      <c r="B968" s="64" t="s">
        <v>1308</v>
      </c>
      <c r="C968" s="54">
        <v>45359</v>
      </c>
      <c r="D968" s="54">
        <v>45359</v>
      </c>
      <c r="E968" s="46" t="s">
        <v>1495</v>
      </c>
      <c r="F968" s="51" t="s">
        <v>1496</v>
      </c>
      <c r="G968" s="51" t="s">
        <v>12</v>
      </c>
      <c r="H968" s="51" t="s">
        <v>183</v>
      </c>
      <c r="I968" s="55" t="s">
        <v>1736</v>
      </c>
      <c r="J968" s="56">
        <v>1</v>
      </c>
      <c r="K968" s="51" t="s">
        <v>1737</v>
      </c>
      <c r="L968" s="58">
        <v>828360</v>
      </c>
      <c r="M968" s="50">
        <f>ROUND('FA Addition'!$L968*5%,0.1)</f>
        <v>41418</v>
      </c>
      <c r="N968" s="113" t="str">
        <f>_xlfn.XLOOKUP(_xlfn.CONCAT(E968,B968),'Year Wise Master Dep Approach'!F:F,'Year Wise Master Dep Approach'!D:D)</f>
        <v>SLM</v>
      </c>
      <c r="O968" s="113">
        <f>_xlfn.XLOOKUP(_xlfn.CONCAT(E968,B968),'Year Wise Master Dep Approach'!F:F,'Year Wise Master Dep Approach'!E:E)</f>
        <v>3</v>
      </c>
      <c r="P968" s="114">
        <f>IFERROR(IF('FA Addition'!$N968="WDV",1-('FA Addition'!$M968/'FA Addition'!$L968)^(1/'FA Addition'!$O968),1/'FA Addition'!$O968),0)</f>
        <v>0.33333333333333331</v>
      </c>
      <c r="Q968" s="122">
        <f>'FA Addition'!$P968*'FA Addition'!$O968</f>
        <v>1</v>
      </c>
      <c r="R968" s="122"/>
      <c r="S968" s="116">
        <f>IF(AND(DATE(20&amp;LEFT(FAAddition[[#This Row],[FY]],2),4,1)&lt;$L$1+1,DATE(20&amp;LEFT(FAAddition[[#This Row],[FY]],2),4,1)&gt;$P$1-1),'FA Addition'!$J968,0)</f>
        <v>1</v>
      </c>
      <c r="U968" s="117">
        <f>S968*'FA Addition'!$L968/'FA Addition'!$J968</f>
        <v>828360</v>
      </c>
      <c r="W968" s="116">
        <f>SUMIFS('FA Write off'!D:D,'FA Write off'!A:A,'FA Addition'!$A968,'FA Write off'!C:C,"&lt;"&amp;'FA Addition'!$P$1)</f>
        <v>0</v>
      </c>
      <c r="Y968" s="191">
        <f>IFERROR(W968/'FA Addition'!$J968*'FA Addition'!$L968,0)</f>
        <v>0</v>
      </c>
      <c r="AA968" s="116">
        <f>SUMIFS('FA Write off'!D:D,'FA Write off'!A:A,'FA Addition'!$A968,'FA Write off'!C:C,"&lt;"&amp;'FA Addition'!$L$1+1,'FA Write off'!C:C,"&gt;"&amp;'FA Addition'!$L$1-365)</f>
        <v>0</v>
      </c>
      <c r="AC968" s="118">
        <f>IFERROR(AA968/'FA Addition'!$J968*'FA Addition'!$L968,0)</f>
        <v>0</v>
      </c>
      <c r="AE968" s="117">
        <f>IF(AND('FA Addition'!$D968&lt;$P$1+1,U968=0),'FA Addition'!$L968,0)-Y968</f>
        <v>0</v>
      </c>
      <c r="AF968" s="117">
        <f t="shared" si="75"/>
        <v>828360</v>
      </c>
      <c r="AG968" s="117">
        <f>MIN(MAX(+$P$1-'FA Addition'!$D968,0),365*'FA Addition'!$O968)</f>
        <v>0</v>
      </c>
      <c r="AH968" s="117">
        <f>MIN(MAX($L$1-'FA Addition'!$D968+1,0),365*'FA Addition'!$O968)</f>
        <v>24</v>
      </c>
      <c r="AI968" s="117" cm="1">
        <f t="array" ref="AI968">_xlfn.XLOOKUP(1,('FA Write off'!A:A='FA Addition'!$A968)*('FA Write off'!D:D=AA968),'FA Write off'!H:H,0,0)</f>
        <v>0</v>
      </c>
      <c r="AJ968" s="117">
        <f>IF(AC968&gt;0,MAX(IF('FA Addition'!$N968="SLM",($AC968-'FA Addition'!$M968)*'FA Addition'!$P968*AI968/365,(AC968-'FA Addition'!$M968)*(1-(1-'FA Addition'!$P968)^(AI968/365))),0),0)</f>
        <v>0</v>
      </c>
      <c r="AL968" s="117">
        <f>MAX(IF(AG968&gt;0,IF('FA Addition'!$N968="SLM",($AE968-'FA Addition'!$M968)*'FA Addition'!$P968*AG968/365,IFERROR(VDB(AE968,AE968*0.05,'FA Addition'!$O968,0,YEARFRAC('FA Addition'!$C968,$P$1-1,3),'FA Addition'!$Q968),FAAddition[[#This Row],[Original Cost (Rs)]]-FAAddition[[#This Row],[Salvage Value]])),0),0)</f>
        <v>0</v>
      </c>
      <c r="AM968" s="119"/>
      <c r="AN968" s="117">
        <f>MAX(IF(AH968&gt;0,IF('FA Addition'!$N968="SLM",($AF968-'FA Addition'!$M968)*'FA Addition'!$P968*AH968/365,IFERROR(VDB(AF968,AF968*0.05,'FA Addition'!$O968,0,YEARFRAC('FA Addition'!$C968,$L$1,3),'FA Addition'!$Q968),FAAddition[[#This Row],[Original Cost (Rs)]]-FAAddition[[#This Row],[Salvage Value]])),0),0)</f>
        <v>17248.043835616438</v>
      </c>
      <c r="AO968" s="117">
        <f t="shared" si="78"/>
        <v>17248.043835616438</v>
      </c>
      <c r="AQ968" s="117">
        <f t="shared" si="76"/>
        <v>0</v>
      </c>
      <c r="AR968" s="120">
        <f t="shared" si="77"/>
        <v>811111.95616438356</v>
      </c>
      <c r="AS968" s="121"/>
    </row>
    <row r="969" spans="1:45" ht="13.5" x14ac:dyDescent="0.4">
      <c r="A969" s="12">
        <f t="shared" si="79"/>
        <v>966</v>
      </c>
      <c r="B969" s="64" t="s">
        <v>1308</v>
      </c>
      <c r="C969" s="54">
        <v>45359</v>
      </c>
      <c r="D969" s="54">
        <v>45359</v>
      </c>
      <c r="E969" s="46" t="s">
        <v>1495</v>
      </c>
      <c r="F969" s="51" t="s">
        <v>1496</v>
      </c>
      <c r="G969" s="51" t="s">
        <v>1499</v>
      </c>
      <c r="H969" s="51" t="s">
        <v>196</v>
      </c>
      <c r="I969" s="55" t="s">
        <v>1738</v>
      </c>
      <c r="J969" s="56">
        <v>1</v>
      </c>
      <c r="K969" s="51" t="s">
        <v>1647</v>
      </c>
      <c r="L969" s="58">
        <v>198000</v>
      </c>
      <c r="M969" s="50">
        <f>ROUND('FA Addition'!$L969*5%,0.1)</f>
        <v>9900</v>
      </c>
      <c r="N969" s="113" t="str">
        <f>_xlfn.XLOOKUP(_xlfn.CONCAT(E969,B969),'Year Wise Master Dep Approach'!F:F,'Year Wise Master Dep Approach'!D:D)</f>
        <v>SLM</v>
      </c>
      <c r="O969" s="113">
        <f>_xlfn.XLOOKUP(_xlfn.CONCAT(E969,B969),'Year Wise Master Dep Approach'!F:F,'Year Wise Master Dep Approach'!E:E)</f>
        <v>3</v>
      </c>
      <c r="P969" s="114">
        <f>IFERROR(IF('FA Addition'!$N969="WDV",1-('FA Addition'!$M969/'FA Addition'!$L969)^(1/'FA Addition'!$O969),1/'FA Addition'!$O969),0)</f>
        <v>0.33333333333333331</v>
      </c>
      <c r="Q969" s="122">
        <f>'FA Addition'!$P969*'FA Addition'!$O969</f>
        <v>1</v>
      </c>
      <c r="R969" s="122"/>
      <c r="S969" s="116">
        <f>IF(AND(DATE(20&amp;LEFT(FAAddition[[#This Row],[FY]],2),4,1)&lt;$L$1+1,DATE(20&amp;LEFT(FAAddition[[#This Row],[FY]],2),4,1)&gt;$P$1-1),'FA Addition'!$J969,0)</f>
        <v>1</v>
      </c>
      <c r="U969" s="117">
        <f>S969*'FA Addition'!$L969/'FA Addition'!$J969</f>
        <v>198000</v>
      </c>
      <c r="W969" s="116">
        <f>SUMIFS('FA Write off'!D:D,'FA Write off'!A:A,'FA Addition'!$A969,'FA Write off'!C:C,"&lt;"&amp;'FA Addition'!$P$1)</f>
        <v>0</v>
      </c>
      <c r="Y969" s="191">
        <f>IFERROR(W969/'FA Addition'!$J969*'FA Addition'!$L969,0)</f>
        <v>0</v>
      </c>
      <c r="AA969" s="116">
        <f>SUMIFS('FA Write off'!D:D,'FA Write off'!A:A,'FA Addition'!$A969,'FA Write off'!C:C,"&lt;"&amp;'FA Addition'!$L$1+1,'FA Write off'!C:C,"&gt;"&amp;'FA Addition'!$L$1-365)</f>
        <v>0</v>
      </c>
      <c r="AC969" s="118">
        <f>IFERROR(AA969/'FA Addition'!$J969*'FA Addition'!$L969,0)</f>
        <v>0</v>
      </c>
      <c r="AE969" s="117">
        <f>IF(AND('FA Addition'!$D969&lt;$P$1+1,U969=0),'FA Addition'!$L969,0)-Y969</f>
        <v>0</v>
      </c>
      <c r="AF969" s="117">
        <f t="shared" si="75"/>
        <v>198000</v>
      </c>
      <c r="AG969" s="117">
        <f>MIN(MAX(+$P$1-'FA Addition'!$D969,0),365*'FA Addition'!$O969)</f>
        <v>0</v>
      </c>
      <c r="AH969" s="117">
        <f>MIN(MAX($L$1-'FA Addition'!$D969+1,0),365*'FA Addition'!$O969)</f>
        <v>24</v>
      </c>
      <c r="AI969" s="117" cm="1">
        <f t="array" ref="AI969">_xlfn.XLOOKUP(1,('FA Write off'!A:A='FA Addition'!$A969)*('FA Write off'!D:D=AA969),'FA Write off'!H:H,0,0)</f>
        <v>0</v>
      </c>
      <c r="AJ969" s="117">
        <f>IF(AC969&gt;0,MAX(IF('FA Addition'!$N969="SLM",($AC969-'FA Addition'!$M969)*'FA Addition'!$P969*AI969/365,(AC969-'FA Addition'!$M969)*(1-(1-'FA Addition'!$P969)^(AI969/365))),0),0)</f>
        <v>0</v>
      </c>
      <c r="AL969" s="117">
        <f>MAX(IF(AG969&gt;0,IF('FA Addition'!$N969="SLM",($AE969-'FA Addition'!$M969)*'FA Addition'!$P969*AG969/365,IFERROR(VDB(AE969,AE969*0.05,'FA Addition'!$O969,0,YEARFRAC('FA Addition'!$C969,$P$1-1,3),'FA Addition'!$Q969),FAAddition[[#This Row],[Original Cost (Rs)]]-FAAddition[[#This Row],[Salvage Value]])),0),0)</f>
        <v>0</v>
      </c>
      <c r="AM969" s="119"/>
      <c r="AN969" s="117">
        <f>MAX(IF(AH969&gt;0,IF('FA Addition'!$N969="SLM",($AF969-'FA Addition'!$M969)*'FA Addition'!$P969*AH969/365,IFERROR(VDB(AF969,AF969*0.05,'FA Addition'!$O969,0,YEARFRAC('FA Addition'!$C969,$L$1,3),'FA Addition'!$Q969),FAAddition[[#This Row],[Original Cost (Rs)]]-FAAddition[[#This Row],[Salvage Value]])),0),0)</f>
        <v>4122.7397260273974</v>
      </c>
      <c r="AO969" s="117">
        <f t="shared" si="78"/>
        <v>4122.7397260273974</v>
      </c>
      <c r="AQ969" s="117">
        <f t="shared" si="76"/>
        <v>0</v>
      </c>
      <c r="AR969" s="120">
        <f t="shared" si="77"/>
        <v>193877.26027397261</v>
      </c>
      <c r="AS969" s="121"/>
    </row>
    <row r="970" spans="1:45" ht="13.5" x14ac:dyDescent="0.4">
      <c r="A970" s="12">
        <f t="shared" si="79"/>
        <v>967</v>
      </c>
      <c r="B970" s="64" t="s">
        <v>1308</v>
      </c>
      <c r="C970" s="54">
        <v>45363</v>
      </c>
      <c r="D970" s="54">
        <v>45364</v>
      </c>
      <c r="E970" s="46" t="s">
        <v>1320</v>
      </c>
      <c r="F970" s="51" t="s">
        <v>33</v>
      </c>
      <c r="G970" s="51" t="s">
        <v>34</v>
      </c>
      <c r="H970" s="51" t="s">
        <v>32</v>
      </c>
      <c r="I970" s="55" t="s">
        <v>1739</v>
      </c>
      <c r="J970" s="56">
        <v>3000</v>
      </c>
      <c r="K970" s="51" t="s">
        <v>1322</v>
      </c>
      <c r="L970" s="58">
        <v>5850000</v>
      </c>
      <c r="M970" s="50">
        <f>ROUND('FA Addition'!$L970*5%,0.1)</f>
        <v>292500</v>
      </c>
      <c r="N970" s="113" t="str">
        <f>_xlfn.XLOOKUP(_xlfn.CONCAT(E970,B970),'Year Wise Master Dep Approach'!F:F,'Year Wise Master Dep Approach'!D:D)</f>
        <v>SLM</v>
      </c>
      <c r="O970" s="113">
        <f>_xlfn.XLOOKUP(_xlfn.CONCAT(E970,B970),'Year Wise Master Dep Approach'!F:F,'Year Wise Master Dep Approach'!E:E)</f>
        <v>5</v>
      </c>
      <c r="P970" s="114">
        <f>IFERROR(IF('FA Addition'!$N970="WDV",1-('FA Addition'!$M970/'FA Addition'!$L970)^(1/'FA Addition'!$O970),1/'FA Addition'!$O970),0)</f>
        <v>0.2</v>
      </c>
      <c r="Q970" s="122">
        <f>'FA Addition'!$P970*'FA Addition'!$O970</f>
        <v>1</v>
      </c>
      <c r="R970" s="122"/>
      <c r="S970" s="116">
        <f>IF(AND(DATE(20&amp;LEFT(FAAddition[[#This Row],[FY]],2),4,1)&lt;$L$1+1,DATE(20&amp;LEFT(FAAddition[[#This Row],[FY]],2),4,1)&gt;$P$1-1),'FA Addition'!$J970,0)</f>
        <v>3000</v>
      </c>
      <c r="U970" s="117">
        <f>S970*'FA Addition'!$L970/'FA Addition'!$J970</f>
        <v>5850000</v>
      </c>
      <c r="W970" s="116">
        <f>SUMIFS('FA Write off'!D:D,'FA Write off'!A:A,'FA Addition'!$A970,'FA Write off'!C:C,"&lt;"&amp;'FA Addition'!$P$1)</f>
        <v>0</v>
      </c>
      <c r="Y970" s="191">
        <f>IFERROR(W970/'FA Addition'!$J970*'FA Addition'!$L970,0)</f>
        <v>0</v>
      </c>
      <c r="AA970" s="116">
        <f>SUMIFS('FA Write off'!D:D,'FA Write off'!A:A,'FA Addition'!$A970,'FA Write off'!C:C,"&lt;"&amp;'FA Addition'!$L$1+1,'FA Write off'!C:C,"&gt;"&amp;'FA Addition'!$L$1-365)</f>
        <v>0</v>
      </c>
      <c r="AC970" s="118">
        <f>IFERROR(AA970/'FA Addition'!$J970*'FA Addition'!$L970,0)</f>
        <v>0</v>
      </c>
      <c r="AE970" s="117">
        <f>IF(AND('FA Addition'!$D970&lt;$P$1+1,U970=0),'FA Addition'!$L970,0)-Y970</f>
        <v>0</v>
      </c>
      <c r="AF970" s="117">
        <f t="shared" si="75"/>
        <v>5850000</v>
      </c>
      <c r="AG970" s="117">
        <f>MIN(MAX(+$P$1-'FA Addition'!$D970,0),365*'FA Addition'!$O970)</f>
        <v>0</v>
      </c>
      <c r="AH970" s="117">
        <f>MIN(MAX($L$1-'FA Addition'!$D970+1,0),365*'FA Addition'!$O970)</f>
        <v>19</v>
      </c>
      <c r="AI970" s="117" cm="1">
        <f t="array" ref="AI970">_xlfn.XLOOKUP(1,('FA Write off'!A:A='FA Addition'!$A970)*('FA Write off'!D:D=AA970),'FA Write off'!H:H,0,0)</f>
        <v>0</v>
      </c>
      <c r="AJ970" s="117">
        <f>IF(AC970&gt;0,MAX(IF('FA Addition'!$N970="SLM",($AC970-'FA Addition'!$M970)*'FA Addition'!$P970*AI970/365,(AC970-'FA Addition'!$M970)*(1-(1-'FA Addition'!$P970)^(AI970/365))),0),0)</f>
        <v>0</v>
      </c>
      <c r="AL970" s="117">
        <f>MAX(IF(AG970&gt;0,IF('FA Addition'!$N970="SLM",($AE970-'FA Addition'!$M970)*'FA Addition'!$P970*AG970/365,IFERROR(VDB(AE970,AE970*0.05,'FA Addition'!$O970,0,YEARFRAC('FA Addition'!$C970,$P$1-1,3),'FA Addition'!$Q970),FAAddition[[#This Row],[Original Cost (Rs)]]-FAAddition[[#This Row],[Salvage Value]])),0),0)</f>
        <v>0</v>
      </c>
      <c r="AM970" s="119"/>
      <c r="AN970" s="117">
        <f>MAX(IF(AH970&gt;0,IF('FA Addition'!$N970="SLM",($AF970-'FA Addition'!$M970)*'FA Addition'!$P970*AH970/365,IFERROR(VDB(AF970,AF970*0.05,'FA Addition'!$O970,0,YEARFRAC('FA Addition'!$C970,$L$1,3),'FA Addition'!$Q970),FAAddition[[#This Row],[Original Cost (Rs)]]-FAAddition[[#This Row],[Salvage Value]])),0),0)</f>
        <v>57858.904109589042</v>
      </c>
      <c r="AO970" s="117">
        <f t="shared" si="78"/>
        <v>57858.904109589042</v>
      </c>
      <c r="AQ970" s="117">
        <f t="shared" si="76"/>
        <v>0</v>
      </c>
      <c r="AR970" s="120">
        <f t="shared" si="77"/>
        <v>5792141.0958904112</v>
      </c>
      <c r="AS970" s="121"/>
    </row>
    <row r="971" spans="1:45" ht="13.5" x14ac:dyDescent="0.4">
      <c r="A971" s="12">
        <f t="shared" si="79"/>
        <v>968</v>
      </c>
      <c r="B971" s="64" t="s">
        <v>1308</v>
      </c>
      <c r="C971" s="54">
        <v>45363</v>
      </c>
      <c r="D971" s="54">
        <v>45364</v>
      </c>
      <c r="E971" s="46" t="s">
        <v>32</v>
      </c>
      <c r="F971" s="51" t="s">
        <v>1090</v>
      </c>
      <c r="G971" s="51" t="s">
        <v>433</v>
      </c>
      <c r="H971" s="51" t="s">
        <v>32</v>
      </c>
      <c r="I971" s="55" t="s">
        <v>1740</v>
      </c>
      <c r="J971" s="56">
        <v>500</v>
      </c>
      <c r="K971" s="51" t="s">
        <v>935</v>
      </c>
      <c r="L971" s="58">
        <v>495000</v>
      </c>
      <c r="M971" s="50">
        <f>ROUND('FA Addition'!$L971*5%,0.1)</f>
        <v>24750</v>
      </c>
      <c r="N971" s="113" t="str">
        <f>_xlfn.XLOOKUP(_xlfn.CONCAT(E971,B971),'Year Wise Master Dep Approach'!F:F,'Year Wise Master Dep Approach'!D:D)</f>
        <v>SLM</v>
      </c>
      <c r="O971" s="113">
        <f>_xlfn.XLOOKUP(_xlfn.CONCAT(E971,B971),'Year Wise Master Dep Approach'!F:F,'Year Wise Master Dep Approach'!E:E)</f>
        <v>5</v>
      </c>
      <c r="P971" s="114">
        <f>IFERROR(IF('FA Addition'!$N971="WDV",1-('FA Addition'!$M971/'FA Addition'!$L971)^(1/'FA Addition'!$O971),1/'FA Addition'!$O971),0)</f>
        <v>0.2</v>
      </c>
      <c r="Q971" s="122">
        <f>'FA Addition'!$P971*'FA Addition'!$O971</f>
        <v>1</v>
      </c>
      <c r="R971" s="122"/>
      <c r="S971" s="116">
        <f>IF(AND(DATE(20&amp;LEFT(FAAddition[[#This Row],[FY]],2),4,1)&lt;$L$1+1,DATE(20&amp;LEFT(FAAddition[[#This Row],[FY]],2),4,1)&gt;$P$1-1),'FA Addition'!$J971,0)</f>
        <v>500</v>
      </c>
      <c r="U971" s="117">
        <f>S971*'FA Addition'!$L971/'FA Addition'!$J971</f>
        <v>495000</v>
      </c>
      <c r="W971" s="116">
        <f>SUMIFS('FA Write off'!D:D,'FA Write off'!A:A,'FA Addition'!$A971,'FA Write off'!C:C,"&lt;"&amp;'FA Addition'!$P$1)</f>
        <v>9</v>
      </c>
      <c r="Y971" s="191">
        <f>IFERROR(W971/'FA Addition'!$J971*'FA Addition'!$L971,0)</f>
        <v>8910</v>
      </c>
      <c r="AA971" s="116">
        <f>SUMIFS('FA Write off'!D:D,'FA Write off'!A:A,'FA Addition'!$A971,'FA Write off'!C:C,"&lt;"&amp;'FA Addition'!$L$1+1,'FA Write off'!C:C,"&gt;"&amp;'FA Addition'!$L$1-365)</f>
        <v>0</v>
      </c>
      <c r="AC971" s="118">
        <f>IFERROR(AA971/'FA Addition'!$J971*'FA Addition'!$L971,0)</f>
        <v>0</v>
      </c>
      <c r="AE971" s="117">
        <f>IF(AND('FA Addition'!$D971&lt;$P$1+1,U971=0),'FA Addition'!$L971,0)-Y971</f>
        <v>-8910</v>
      </c>
      <c r="AF971" s="117">
        <f t="shared" si="75"/>
        <v>486090</v>
      </c>
      <c r="AG971" s="117">
        <f>MIN(MAX(+$P$1-'FA Addition'!$D971,0),365*'FA Addition'!$O971)</f>
        <v>0</v>
      </c>
      <c r="AH971" s="117">
        <f>MIN(MAX($L$1-'FA Addition'!$D971+1,0),365*'FA Addition'!$O971)</f>
        <v>19</v>
      </c>
      <c r="AI971" s="117" cm="1">
        <f t="array" ref="AI971">_xlfn.XLOOKUP(1,('FA Write off'!A:A='FA Addition'!$A971)*('FA Write off'!D:D=AA971),'FA Write off'!H:H,0,0)</f>
        <v>0</v>
      </c>
      <c r="AJ971" s="117">
        <f>IF(AC971&gt;0,MAX(IF('FA Addition'!$N971="SLM",($AC971-'FA Addition'!$M971)*'FA Addition'!$P971*AI971/365,(AC971-'FA Addition'!$M971)*(1-(1-'FA Addition'!$P971)^(AI971/365))),0),0)</f>
        <v>0</v>
      </c>
      <c r="AL971" s="117">
        <f>MAX(IF(AG971&gt;0,IF('FA Addition'!$N971="SLM",($AE971-'FA Addition'!$M971)*'FA Addition'!$P971*AG971/365,IFERROR(VDB(AE971,AE971*0.05,'FA Addition'!$O971,0,YEARFRAC('FA Addition'!$C971,$P$1-1,3),'FA Addition'!$Q971),FAAddition[[#This Row],[Original Cost (Rs)]]-FAAddition[[#This Row],[Salvage Value]])),0),0)</f>
        <v>0</v>
      </c>
      <c r="AM971" s="119"/>
      <c r="AN971" s="117">
        <f>MAX(IF(AH971&gt;0,IF('FA Addition'!$N971="SLM",($AF971-'FA Addition'!$M971)*'FA Addition'!$P971*AH971/365,IFERROR(VDB(AF971,AF971*0.05,'FA Addition'!$O971,0,YEARFRAC('FA Addition'!$C971,$L$1,3),'FA Addition'!$Q971),FAAddition[[#This Row],[Original Cost (Rs)]]-FAAddition[[#This Row],[Salvage Value]])),0),0)</f>
        <v>4802.9917808219179</v>
      </c>
      <c r="AO971" s="117">
        <f t="shared" si="78"/>
        <v>4802.9917808219179</v>
      </c>
      <c r="AQ971" s="117">
        <f t="shared" si="76"/>
        <v>-8910</v>
      </c>
      <c r="AR971" s="120">
        <f t="shared" si="77"/>
        <v>481287.00821917807</v>
      </c>
      <c r="AS971" s="121"/>
    </row>
    <row r="972" spans="1:45" ht="13.5" x14ac:dyDescent="0.4">
      <c r="A972" s="12">
        <f t="shared" si="79"/>
        <v>969</v>
      </c>
      <c r="B972" s="64" t="s">
        <v>1308</v>
      </c>
      <c r="C972" s="54">
        <v>45369</v>
      </c>
      <c r="D972" s="54">
        <v>45369</v>
      </c>
      <c r="E972" s="46" t="s">
        <v>749</v>
      </c>
      <c r="F972" s="51" t="s">
        <v>74</v>
      </c>
      <c r="G972" s="51" t="s">
        <v>1575</v>
      </c>
      <c r="H972" s="51" t="s">
        <v>26</v>
      </c>
      <c r="I972" s="55">
        <v>103</v>
      </c>
      <c r="J972" s="56">
        <v>1000</v>
      </c>
      <c r="K972" s="51" t="s">
        <v>1741</v>
      </c>
      <c r="L972" s="58">
        <v>52000</v>
      </c>
      <c r="M972" s="50">
        <f>ROUND('FA Addition'!$L972*5%,0.1)</f>
        <v>2600</v>
      </c>
      <c r="N972" s="113" t="str">
        <f>_xlfn.XLOOKUP(_xlfn.CONCAT(E972,B972),'Year Wise Master Dep Approach'!F:F,'Year Wise Master Dep Approach'!D:D)</f>
        <v>WDV</v>
      </c>
      <c r="O972" s="113">
        <f>_xlfn.XLOOKUP(_xlfn.CONCAT(E972,B972),'Year Wise Master Dep Approach'!F:F,'Year Wise Master Dep Approach'!E:E)</f>
        <v>5</v>
      </c>
      <c r="P972" s="114">
        <f>IFERROR(IF('FA Addition'!$N972="WDV",1-('FA Addition'!$M972/'FA Addition'!$L972)^(1/'FA Addition'!$O972),1/'FA Addition'!$O972),0)</f>
        <v>0.45071972834694107</v>
      </c>
      <c r="Q972" s="122">
        <f>'FA Addition'!$P972*'FA Addition'!$O972</f>
        <v>2.2535986417347056</v>
      </c>
      <c r="R972" s="122"/>
      <c r="S972" s="116">
        <f>IF(AND(DATE(20&amp;LEFT(FAAddition[[#This Row],[FY]],2),4,1)&lt;$L$1+1,DATE(20&amp;LEFT(FAAddition[[#This Row],[FY]],2),4,1)&gt;$P$1-1),'FA Addition'!$J972,0)</f>
        <v>1000</v>
      </c>
      <c r="U972" s="117">
        <f>S972*'FA Addition'!$L972/'FA Addition'!$J972</f>
        <v>52000</v>
      </c>
      <c r="W972" s="116">
        <f>SUMIFS('FA Write off'!D:D,'FA Write off'!A:A,'FA Addition'!$A972,'FA Write off'!C:C,"&lt;"&amp;'FA Addition'!$P$1)</f>
        <v>0</v>
      </c>
      <c r="Y972" s="191">
        <f>IFERROR(W972/'FA Addition'!$J972*'FA Addition'!$L972,0)</f>
        <v>0</v>
      </c>
      <c r="AA972" s="116">
        <f>SUMIFS('FA Write off'!D:D,'FA Write off'!A:A,'FA Addition'!$A972,'FA Write off'!C:C,"&lt;"&amp;'FA Addition'!$L$1+1,'FA Write off'!C:C,"&gt;"&amp;'FA Addition'!$L$1-365)</f>
        <v>0</v>
      </c>
      <c r="AC972" s="118">
        <f>IFERROR(AA972/'FA Addition'!$J972*'FA Addition'!$L972,0)</f>
        <v>0</v>
      </c>
      <c r="AE972" s="117">
        <f>IF(AND('FA Addition'!$D972&lt;$P$1+1,U972=0),'FA Addition'!$L972,0)-Y972</f>
        <v>0</v>
      </c>
      <c r="AF972" s="117">
        <f t="shared" si="75"/>
        <v>52000</v>
      </c>
      <c r="AG972" s="117">
        <f>MIN(MAX(+$P$1-'FA Addition'!$D972,0),365*'FA Addition'!$O972)</f>
        <v>0</v>
      </c>
      <c r="AH972" s="117">
        <f>MIN(MAX($L$1-'FA Addition'!$D972+1,0),365*'FA Addition'!$O972)</f>
        <v>14</v>
      </c>
      <c r="AI972" s="117" cm="1">
        <f t="array" ref="AI972">_xlfn.XLOOKUP(1,('FA Write off'!A:A='FA Addition'!$A972)*('FA Write off'!D:D=AA972),'FA Write off'!H:H,0,0)</f>
        <v>0</v>
      </c>
      <c r="AJ972" s="117">
        <f>IF(AC972&gt;0,MAX(IF('FA Addition'!$N972="SLM",($AC972-'FA Addition'!$M972)*'FA Addition'!$P972*AI972/365,(AC972-'FA Addition'!$M972)*(1-(1-'FA Addition'!$P972)^(AI972/365))),0),0)</f>
        <v>0</v>
      </c>
      <c r="AL972" s="117">
        <f>MAX(IF(AG972&gt;0,IF('FA Addition'!$N972="SLM",($AE972-'FA Addition'!$M972)*'FA Addition'!$P972*AG972/365,IFERROR(VDB(AE972,AE972*0.05,'FA Addition'!$O972,0,YEARFRAC('FA Addition'!$C972,$P$1-1,3),'FA Addition'!$Q972),FAAddition[[#This Row],[Original Cost (Rs)]]-FAAddition[[#This Row],[Salvage Value]])),0),0)</f>
        <v>0</v>
      </c>
      <c r="AM972" s="119"/>
      <c r="AN972" s="117">
        <f>MAX(IF(AH972&gt;0,IF('FA Addition'!$N972="SLM",($AF972-'FA Addition'!$M972)*'FA Addition'!$P972*AH972/365,IFERROR(VDB(AF972,AF972*0.05,'FA Addition'!$O972,0,YEARFRAC('FA Addition'!$C972,$L$1,3),'FA Addition'!$Q972),FAAddition[[#This Row],[Original Cost (Rs)]]-FAAddition[[#This Row],[Salvage Value]])),0),0)</f>
        <v>834.75763386995118</v>
      </c>
      <c r="AO972" s="117">
        <f t="shared" si="78"/>
        <v>834.75763386995118</v>
      </c>
      <c r="AQ972" s="117">
        <f t="shared" si="76"/>
        <v>0</v>
      </c>
      <c r="AR972" s="120">
        <f t="shared" si="77"/>
        <v>51165.242366130049</v>
      </c>
      <c r="AS972" s="121"/>
    </row>
    <row r="973" spans="1:45" ht="13.5" x14ac:dyDescent="0.4">
      <c r="A973" s="12">
        <f t="shared" si="79"/>
        <v>970</v>
      </c>
      <c r="B973" s="64" t="s">
        <v>1308</v>
      </c>
      <c r="C973" s="54">
        <v>45369</v>
      </c>
      <c r="D973" s="54">
        <v>45369</v>
      </c>
      <c r="E973" s="46" t="s">
        <v>749</v>
      </c>
      <c r="F973" s="51" t="s">
        <v>74</v>
      </c>
      <c r="G973" s="51" t="s">
        <v>1575</v>
      </c>
      <c r="H973" s="51" t="s">
        <v>26</v>
      </c>
      <c r="I973" s="55">
        <v>103</v>
      </c>
      <c r="J973" s="56">
        <v>15</v>
      </c>
      <c r="K973" s="51" t="s">
        <v>1742</v>
      </c>
      <c r="L973" s="58">
        <v>1080</v>
      </c>
      <c r="M973" s="50">
        <f>ROUND('FA Addition'!$L973*5%,0.1)</f>
        <v>54</v>
      </c>
      <c r="N973" s="113" t="str">
        <f>_xlfn.XLOOKUP(_xlfn.CONCAT(E973,B973),'Year Wise Master Dep Approach'!F:F,'Year Wise Master Dep Approach'!D:D)</f>
        <v>WDV</v>
      </c>
      <c r="O973" s="113">
        <f>_xlfn.XLOOKUP(_xlfn.CONCAT(E973,B973),'Year Wise Master Dep Approach'!F:F,'Year Wise Master Dep Approach'!E:E)</f>
        <v>5</v>
      </c>
      <c r="P973" s="114">
        <f>IFERROR(IF('FA Addition'!$N973="WDV",1-('FA Addition'!$M973/'FA Addition'!$L973)^(1/'FA Addition'!$O973),1/'FA Addition'!$O973),0)</f>
        <v>0.45071972834694107</v>
      </c>
      <c r="Q973" s="122">
        <f>'FA Addition'!$P973*'FA Addition'!$O973</f>
        <v>2.2535986417347056</v>
      </c>
      <c r="R973" s="122"/>
      <c r="S973" s="116">
        <f>IF(AND(DATE(20&amp;LEFT(FAAddition[[#This Row],[FY]],2),4,1)&lt;$L$1+1,DATE(20&amp;LEFT(FAAddition[[#This Row],[FY]],2),4,1)&gt;$P$1-1),'FA Addition'!$J973,0)</f>
        <v>15</v>
      </c>
      <c r="U973" s="117">
        <f>S973*'FA Addition'!$L973/'FA Addition'!$J973</f>
        <v>1080</v>
      </c>
      <c r="W973" s="116">
        <f>SUMIFS('FA Write off'!D:D,'FA Write off'!A:A,'FA Addition'!$A973,'FA Write off'!C:C,"&lt;"&amp;'FA Addition'!$P$1)</f>
        <v>0</v>
      </c>
      <c r="Y973" s="191">
        <f>IFERROR(W973/'FA Addition'!$J973*'FA Addition'!$L973,0)</f>
        <v>0</v>
      </c>
      <c r="AA973" s="116">
        <f>SUMIFS('FA Write off'!D:D,'FA Write off'!A:A,'FA Addition'!$A973,'FA Write off'!C:C,"&lt;"&amp;'FA Addition'!$L$1+1,'FA Write off'!C:C,"&gt;"&amp;'FA Addition'!$L$1-365)</f>
        <v>0</v>
      </c>
      <c r="AC973" s="118">
        <f>IFERROR(AA973/'FA Addition'!$J973*'FA Addition'!$L973,0)</f>
        <v>0</v>
      </c>
      <c r="AE973" s="117">
        <f>IF(AND('FA Addition'!$D973&lt;$P$1+1,U973=0),'FA Addition'!$L973,0)-Y973</f>
        <v>0</v>
      </c>
      <c r="AF973" s="117">
        <f t="shared" si="75"/>
        <v>1080</v>
      </c>
      <c r="AG973" s="117">
        <f>MIN(MAX(+$P$1-'FA Addition'!$D973,0),365*'FA Addition'!$O973)</f>
        <v>0</v>
      </c>
      <c r="AH973" s="117">
        <f>MIN(MAX($L$1-'FA Addition'!$D973+1,0),365*'FA Addition'!$O973)</f>
        <v>14</v>
      </c>
      <c r="AI973" s="117" cm="1">
        <f t="array" ref="AI973">_xlfn.XLOOKUP(1,('FA Write off'!A:A='FA Addition'!$A973)*('FA Write off'!D:D=AA973),'FA Write off'!H:H,0,0)</f>
        <v>0</v>
      </c>
      <c r="AJ973" s="117">
        <f>IF(AC973&gt;0,MAX(IF('FA Addition'!$N973="SLM",($AC973-'FA Addition'!$M973)*'FA Addition'!$P973*AI973/365,(AC973-'FA Addition'!$M973)*(1-(1-'FA Addition'!$P973)^(AI973/365))),0),0)</f>
        <v>0</v>
      </c>
      <c r="AL973" s="117">
        <f>MAX(IF(AG973&gt;0,IF('FA Addition'!$N973="SLM",($AE973-'FA Addition'!$M973)*'FA Addition'!$P973*AG973/365,IFERROR(VDB(AE973,AE973*0.05,'FA Addition'!$O973,0,YEARFRAC('FA Addition'!$C973,$P$1-1,3),'FA Addition'!$Q973),FAAddition[[#This Row],[Original Cost (Rs)]]-FAAddition[[#This Row],[Salvage Value]])),0),0)</f>
        <v>0</v>
      </c>
      <c r="AM973" s="119"/>
      <c r="AN973" s="117">
        <f>MAX(IF(AH973&gt;0,IF('FA Addition'!$N973="SLM",($AF973-'FA Addition'!$M973)*'FA Addition'!$P973*AH973/365,IFERROR(VDB(AF973,AF973*0.05,'FA Addition'!$O973,0,YEARFRAC('FA Addition'!$C973,$L$1,3),'FA Addition'!$Q973),FAAddition[[#This Row],[Original Cost (Rs)]]-FAAddition[[#This Row],[Salvage Value]])),0),0)</f>
        <v>17.337273934222065</v>
      </c>
      <c r="AO973" s="117">
        <f t="shared" si="78"/>
        <v>17.337273934222065</v>
      </c>
      <c r="AQ973" s="117">
        <f t="shared" si="76"/>
        <v>0</v>
      </c>
      <c r="AR973" s="120">
        <f t="shared" si="77"/>
        <v>1062.6627260657779</v>
      </c>
      <c r="AS973" s="121"/>
    </row>
    <row r="974" spans="1:45" ht="13.5" x14ac:dyDescent="0.4">
      <c r="A974" s="12">
        <f t="shared" si="79"/>
        <v>971</v>
      </c>
      <c r="B974" s="64" t="s">
        <v>1308</v>
      </c>
      <c r="C974" s="54">
        <v>45371</v>
      </c>
      <c r="D974" s="54">
        <v>45371</v>
      </c>
      <c r="E974" s="46" t="s">
        <v>1320</v>
      </c>
      <c r="F974" s="51" t="s">
        <v>33</v>
      </c>
      <c r="G974" s="51" t="s">
        <v>36</v>
      </c>
      <c r="H974" s="51" t="s">
        <v>32</v>
      </c>
      <c r="I974" s="55" t="s">
        <v>1743</v>
      </c>
      <c r="J974" s="56">
        <v>1000</v>
      </c>
      <c r="K974" s="51" t="s">
        <v>296</v>
      </c>
      <c r="L974" s="58">
        <v>1700000</v>
      </c>
      <c r="M974" s="50">
        <f>ROUND('FA Addition'!$L974*5%,0.1)</f>
        <v>85000</v>
      </c>
      <c r="N974" s="113" t="str">
        <f>_xlfn.XLOOKUP(_xlfn.CONCAT(E974,B974),'Year Wise Master Dep Approach'!F:F,'Year Wise Master Dep Approach'!D:D)</f>
        <v>SLM</v>
      </c>
      <c r="O974" s="113">
        <f>_xlfn.XLOOKUP(_xlfn.CONCAT(E974,B974),'Year Wise Master Dep Approach'!F:F,'Year Wise Master Dep Approach'!E:E)</f>
        <v>5</v>
      </c>
      <c r="P974" s="114">
        <f>IFERROR(IF('FA Addition'!$N974="WDV",1-('FA Addition'!$M974/'FA Addition'!$L974)^(1/'FA Addition'!$O974),1/'FA Addition'!$O974),0)</f>
        <v>0.2</v>
      </c>
      <c r="Q974" s="122">
        <f>'FA Addition'!$P974*'FA Addition'!$O974</f>
        <v>1</v>
      </c>
      <c r="R974" s="122"/>
      <c r="S974" s="116">
        <f>IF(AND(DATE(20&amp;LEFT(FAAddition[[#This Row],[FY]],2),4,1)&lt;$L$1+1,DATE(20&amp;LEFT(FAAddition[[#This Row],[FY]],2),4,1)&gt;$P$1-1),'FA Addition'!$J974,0)</f>
        <v>1000</v>
      </c>
      <c r="U974" s="117">
        <f>S974*'FA Addition'!$L974/'FA Addition'!$J974</f>
        <v>1700000</v>
      </c>
      <c r="W974" s="116">
        <f>SUMIFS('FA Write off'!D:D,'FA Write off'!A:A,'FA Addition'!$A974,'FA Write off'!C:C,"&lt;"&amp;'FA Addition'!$P$1)</f>
        <v>0</v>
      </c>
      <c r="Y974" s="191">
        <f>IFERROR(W974/'FA Addition'!$J974*'FA Addition'!$L974,0)</f>
        <v>0</v>
      </c>
      <c r="AA974" s="116">
        <f>SUMIFS('FA Write off'!D:D,'FA Write off'!A:A,'FA Addition'!$A974,'FA Write off'!C:C,"&lt;"&amp;'FA Addition'!$L$1+1,'FA Write off'!C:C,"&gt;"&amp;'FA Addition'!$L$1-365)</f>
        <v>0</v>
      </c>
      <c r="AC974" s="118">
        <f>IFERROR(AA974/'FA Addition'!$J974*'FA Addition'!$L974,0)</f>
        <v>0</v>
      </c>
      <c r="AE974" s="117">
        <f>IF(AND('FA Addition'!$D974&lt;$P$1+1,U974=0),'FA Addition'!$L974,0)-Y974</f>
        <v>0</v>
      </c>
      <c r="AF974" s="117">
        <f t="shared" si="75"/>
        <v>1700000</v>
      </c>
      <c r="AG974" s="117">
        <f>MIN(MAX(+$P$1-'FA Addition'!$D974,0),365*'FA Addition'!$O974)</f>
        <v>0</v>
      </c>
      <c r="AH974" s="117">
        <f>MIN(MAX($L$1-'FA Addition'!$D974+1,0),365*'FA Addition'!$O974)</f>
        <v>12</v>
      </c>
      <c r="AI974" s="117" cm="1">
        <f t="array" ref="AI974">_xlfn.XLOOKUP(1,('FA Write off'!A:A='FA Addition'!$A974)*('FA Write off'!D:D=AA974),'FA Write off'!H:H,0,0)</f>
        <v>0</v>
      </c>
      <c r="AJ974" s="117">
        <f>IF(AC974&gt;0,MAX(IF('FA Addition'!$N974="SLM",($AC974-'FA Addition'!$M974)*'FA Addition'!$P974*AI974/365,(AC974-'FA Addition'!$M974)*(1-(1-'FA Addition'!$P974)^(AI974/365))),0),0)</f>
        <v>0</v>
      </c>
      <c r="AL974" s="117">
        <f>MAX(IF(AG974&gt;0,IF('FA Addition'!$N974="SLM",($AE974-'FA Addition'!$M974)*'FA Addition'!$P974*AG974/365,IFERROR(VDB(AE974,AE974*0.05,'FA Addition'!$O974,0,YEARFRAC('FA Addition'!$C974,$P$1-1,3),'FA Addition'!$Q974),FAAddition[[#This Row],[Original Cost (Rs)]]-FAAddition[[#This Row],[Salvage Value]])),0),0)</f>
        <v>0</v>
      </c>
      <c r="AM974" s="119"/>
      <c r="AN974" s="117">
        <f>MAX(IF(AH974&gt;0,IF('FA Addition'!$N974="SLM",($AF974-'FA Addition'!$M974)*'FA Addition'!$P974*AH974/365,IFERROR(VDB(AF974,AF974*0.05,'FA Addition'!$O974,0,YEARFRAC('FA Addition'!$C974,$L$1,3),'FA Addition'!$Q974),FAAddition[[#This Row],[Original Cost (Rs)]]-FAAddition[[#This Row],[Salvage Value]])),0),0)</f>
        <v>10619.17808219178</v>
      </c>
      <c r="AO974" s="117">
        <f t="shared" si="78"/>
        <v>10619.17808219178</v>
      </c>
      <c r="AQ974" s="117">
        <f t="shared" si="76"/>
        <v>0</v>
      </c>
      <c r="AR974" s="120">
        <f t="shared" si="77"/>
        <v>1689380.8219178081</v>
      </c>
      <c r="AS974" s="121"/>
    </row>
    <row r="975" spans="1:45" ht="13.5" x14ac:dyDescent="0.4">
      <c r="A975" s="12">
        <f t="shared" si="79"/>
        <v>972</v>
      </c>
      <c r="B975" s="64" t="s">
        <v>1308</v>
      </c>
      <c r="C975" s="54">
        <v>45372</v>
      </c>
      <c r="D975" s="54">
        <v>45372</v>
      </c>
      <c r="E975" s="46" t="s">
        <v>451</v>
      </c>
      <c r="F975" s="51" t="s">
        <v>19</v>
      </c>
      <c r="G975" s="51" t="s">
        <v>1728</v>
      </c>
      <c r="H975" s="51" t="s">
        <v>21</v>
      </c>
      <c r="I975" s="55">
        <v>3342</v>
      </c>
      <c r="J975" s="56">
        <v>1</v>
      </c>
      <c r="K975" s="51" t="s">
        <v>1729</v>
      </c>
      <c r="L975" s="58">
        <v>60593</v>
      </c>
      <c r="M975" s="50">
        <f>ROUND('FA Addition'!$L975*5%,0.1)</f>
        <v>3030</v>
      </c>
      <c r="N975" s="113" t="str">
        <f>_xlfn.XLOOKUP(_xlfn.CONCAT(E975,B975),'Year Wise Master Dep Approach'!F:F,'Year Wise Master Dep Approach'!D:D)</f>
        <v>WDV</v>
      </c>
      <c r="O975" s="113">
        <f>_xlfn.XLOOKUP(_xlfn.CONCAT(E975,B975),'Year Wise Master Dep Approach'!F:F,'Year Wise Master Dep Approach'!E:E)</f>
        <v>3</v>
      </c>
      <c r="P975" s="114">
        <f>IFERROR(IF('FA Addition'!$N975="WDV",1-('FA Addition'!$M975/'FA Addition'!$L975)^(1/'FA Addition'!$O975),1/'FA Addition'!$O975),0)</f>
        <v>0.63158266410374986</v>
      </c>
      <c r="Q975" s="122">
        <f>'FA Addition'!$P975*'FA Addition'!$O975</f>
        <v>1.8947479923112496</v>
      </c>
      <c r="R975" s="122"/>
      <c r="S975" s="116">
        <f>IF(AND(DATE(20&amp;LEFT(FAAddition[[#This Row],[FY]],2),4,1)&lt;$L$1+1,DATE(20&amp;LEFT(FAAddition[[#This Row],[FY]],2),4,1)&gt;$P$1-1),'FA Addition'!$J975,0)</f>
        <v>1</v>
      </c>
      <c r="U975" s="117">
        <f>S975*'FA Addition'!$L975/'FA Addition'!$J975</f>
        <v>60593</v>
      </c>
      <c r="W975" s="116">
        <f>SUMIFS('FA Write off'!D:D,'FA Write off'!A:A,'FA Addition'!$A975,'FA Write off'!C:C,"&lt;"&amp;'FA Addition'!$P$1)</f>
        <v>0</v>
      </c>
      <c r="Y975" s="191">
        <f>IFERROR(W975/'FA Addition'!$J975*'FA Addition'!$L975,0)</f>
        <v>0</v>
      </c>
      <c r="AA975" s="116">
        <f>SUMIFS('FA Write off'!D:D,'FA Write off'!A:A,'FA Addition'!$A975,'FA Write off'!C:C,"&lt;"&amp;'FA Addition'!$L$1+1,'FA Write off'!C:C,"&gt;"&amp;'FA Addition'!$L$1-365)</f>
        <v>0</v>
      </c>
      <c r="AC975" s="118">
        <f>IFERROR(AA975/'FA Addition'!$J975*'FA Addition'!$L975,0)</f>
        <v>0</v>
      </c>
      <c r="AE975" s="117">
        <f>IF(AND('FA Addition'!$D975&lt;$P$1+1,U975=0),'FA Addition'!$L975,0)-Y975</f>
        <v>0</v>
      </c>
      <c r="AF975" s="117">
        <f t="shared" si="75"/>
        <v>60593</v>
      </c>
      <c r="AG975" s="117">
        <f>MIN(MAX(+$P$1-'FA Addition'!$D975,0),365*'FA Addition'!$O975)</f>
        <v>0</v>
      </c>
      <c r="AH975" s="117">
        <f>MIN(MAX($L$1-'FA Addition'!$D975+1,0),365*'FA Addition'!$O975)</f>
        <v>11</v>
      </c>
      <c r="AI975" s="117" cm="1">
        <f t="array" ref="AI975">_xlfn.XLOOKUP(1,('FA Write off'!A:A='FA Addition'!$A975)*('FA Write off'!D:D=AA975),'FA Write off'!H:H,0,0)</f>
        <v>0</v>
      </c>
      <c r="AJ975" s="117">
        <f>IF(AC975&gt;0,MAX(IF('FA Addition'!$N975="SLM",($AC975-'FA Addition'!$M975)*'FA Addition'!$P975*AI975/365,(AC975-'FA Addition'!$M975)*(1-(1-'FA Addition'!$P975)^(AI975/365))),0),0)</f>
        <v>0</v>
      </c>
      <c r="AL975" s="117">
        <f>MAX(IF(AG975&gt;0,IF('FA Addition'!$N975="SLM",($AE975-'FA Addition'!$M975)*'FA Addition'!$P975*AG975/365,IFERROR(VDB(AE975,AE975*0.05,'FA Addition'!$O975,0,YEARFRAC('FA Addition'!$C975,$P$1-1,3),'FA Addition'!$Q975),FAAddition[[#This Row],[Original Cost (Rs)]]-FAAddition[[#This Row],[Salvage Value]])),0),0)</f>
        <v>0</v>
      </c>
      <c r="AM975" s="119"/>
      <c r="AN975" s="117">
        <f>MAX(IF(AH975&gt;0,IF('FA Addition'!$N975="SLM",($AF975-'FA Addition'!$M975)*'FA Addition'!$P975*AH975/365,IFERROR(VDB(AF975,AF975*0.05,'FA Addition'!$O975,0,YEARFRAC('FA Addition'!$C975,$L$1,3),'FA Addition'!$Q975),FAAddition[[#This Row],[Original Cost (Rs)]]-FAAddition[[#This Row],[Salvage Value]])),0),0)</f>
        <v>1048.4791333161236</v>
      </c>
      <c r="AO975" s="117">
        <f t="shared" si="78"/>
        <v>1048.4791333161236</v>
      </c>
      <c r="AQ975" s="117">
        <f t="shared" si="76"/>
        <v>0</v>
      </c>
      <c r="AR975" s="120">
        <f t="shared" si="77"/>
        <v>59544.520866683873</v>
      </c>
      <c r="AS975" s="121"/>
    </row>
    <row r="976" spans="1:45" ht="13.5" x14ac:dyDescent="0.4">
      <c r="A976" s="12">
        <f t="shared" si="79"/>
        <v>973</v>
      </c>
      <c r="B976" s="64" t="s">
        <v>1308</v>
      </c>
      <c r="C976" s="54">
        <v>45372</v>
      </c>
      <c r="D976" s="54">
        <v>45372</v>
      </c>
      <c r="E976" s="46" t="s">
        <v>451</v>
      </c>
      <c r="F976" s="51" t="s">
        <v>19</v>
      </c>
      <c r="G976" s="51" t="s">
        <v>1728</v>
      </c>
      <c r="H976" s="51" t="s">
        <v>21</v>
      </c>
      <c r="I976" s="55">
        <v>3342</v>
      </c>
      <c r="J976" s="56">
        <v>1</v>
      </c>
      <c r="K976" s="51" t="s">
        <v>1729</v>
      </c>
      <c r="L976" s="58">
        <v>60593</v>
      </c>
      <c r="M976" s="50">
        <f>ROUND('FA Addition'!$L976*5%,0.1)</f>
        <v>3030</v>
      </c>
      <c r="N976" s="113" t="str">
        <f>_xlfn.XLOOKUP(_xlfn.CONCAT(E976,B976),'Year Wise Master Dep Approach'!F:F,'Year Wise Master Dep Approach'!D:D)</f>
        <v>WDV</v>
      </c>
      <c r="O976" s="113">
        <f>_xlfn.XLOOKUP(_xlfn.CONCAT(E976,B976),'Year Wise Master Dep Approach'!F:F,'Year Wise Master Dep Approach'!E:E)</f>
        <v>3</v>
      </c>
      <c r="P976" s="114">
        <f>IFERROR(IF('FA Addition'!$N976="WDV",1-('FA Addition'!$M976/'FA Addition'!$L976)^(1/'FA Addition'!$O976),1/'FA Addition'!$O976),0)</f>
        <v>0.63158266410374986</v>
      </c>
      <c r="Q976" s="122">
        <f>'FA Addition'!$P976*'FA Addition'!$O976</f>
        <v>1.8947479923112496</v>
      </c>
      <c r="R976" s="122"/>
      <c r="S976" s="116">
        <f>IF(AND(DATE(20&amp;LEFT(FAAddition[[#This Row],[FY]],2),4,1)&lt;$L$1+1,DATE(20&amp;LEFT(FAAddition[[#This Row],[FY]],2),4,1)&gt;$P$1-1),'FA Addition'!$J976,0)</f>
        <v>1</v>
      </c>
      <c r="U976" s="117">
        <f>S976*'FA Addition'!$L976/'FA Addition'!$J976</f>
        <v>60593</v>
      </c>
      <c r="W976" s="116">
        <f>SUMIFS('FA Write off'!D:D,'FA Write off'!A:A,'FA Addition'!$A976,'FA Write off'!C:C,"&lt;"&amp;'FA Addition'!$P$1)</f>
        <v>0</v>
      </c>
      <c r="Y976" s="191">
        <f>IFERROR(W976/'FA Addition'!$J976*'FA Addition'!$L976,0)</f>
        <v>0</v>
      </c>
      <c r="AA976" s="116">
        <f>SUMIFS('FA Write off'!D:D,'FA Write off'!A:A,'FA Addition'!$A976,'FA Write off'!C:C,"&lt;"&amp;'FA Addition'!$L$1+1,'FA Write off'!C:C,"&gt;"&amp;'FA Addition'!$L$1-365)</f>
        <v>0</v>
      </c>
      <c r="AC976" s="118">
        <f>IFERROR(AA976/'FA Addition'!$J976*'FA Addition'!$L976,0)</f>
        <v>0</v>
      </c>
      <c r="AE976" s="117">
        <f>IF(AND('FA Addition'!$D976&lt;$P$1+1,U976=0),'FA Addition'!$L976,0)-Y976</f>
        <v>0</v>
      </c>
      <c r="AF976" s="117">
        <f t="shared" si="75"/>
        <v>60593</v>
      </c>
      <c r="AG976" s="117">
        <f>MIN(MAX(+$P$1-'FA Addition'!$D976,0),365*'FA Addition'!$O976)</f>
        <v>0</v>
      </c>
      <c r="AH976" s="117">
        <f>MIN(MAX($L$1-'FA Addition'!$D976+1,0),365*'FA Addition'!$O976)</f>
        <v>11</v>
      </c>
      <c r="AI976" s="117" cm="1">
        <f t="array" ref="AI976">_xlfn.XLOOKUP(1,('FA Write off'!A:A='FA Addition'!$A976)*('FA Write off'!D:D=AA976),'FA Write off'!H:H,0,0)</f>
        <v>0</v>
      </c>
      <c r="AJ976" s="117">
        <f>IF(AC976&gt;0,MAX(IF('FA Addition'!$N976="SLM",($AC976-'FA Addition'!$M976)*'FA Addition'!$P976*AI976/365,(AC976-'FA Addition'!$M976)*(1-(1-'FA Addition'!$P976)^(AI976/365))),0),0)</f>
        <v>0</v>
      </c>
      <c r="AL976" s="117">
        <f>MAX(IF(AG976&gt;0,IF('FA Addition'!$N976="SLM",($AE976-'FA Addition'!$M976)*'FA Addition'!$P976*AG976/365,IFERROR(VDB(AE976,AE976*0.05,'FA Addition'!$O976,0,YEARFRAC('FA Addition'!$C976,$P$1-1,3),'FA Addition'!$Q976),FAAddition[[#This Row],[Original Cost (Rs)]]-FAAddition[[#This Row],[Salvage Value]])),0),0)</f>
        <v>0</v>
      </c>
      <c r="AM976" s="119"/>
      <c r="AN976" s="117">
        <f>MAX(IF(AH976&gt;0,IF('FA Addition'!$N976="SLM",($AF976-'FA Addition'!$M976)*'FA Addition'!$P976*AH976/365,IFERROR(VDB(AF976,AF976*0.05,'FA Addition'!$O976,0,YEARFRAC('FA Addition'!$C976,$L$1,3),'FA Addition'!$Q976),FAAddition[[#This Row],[Original Cost (Rs)]]-FAAddition[[#This Row],[Salvage Value]])),0),0)</f>
        <v>1048.4791333161236</v>
      </c>
      <c r="AO976" s="117">
        <f t="shared" si="78"/>
        <v>1048.4791333161236</v>
      </c>
      <c r="AQ976" s="117">
        <f t="shared" si="76"/>
        <v>0</v>
      </c>
      <c r="AR976" s="120">
        <f t="shared" si="77"/>
        <v>59544.520866683873</v>
      </c>
      <c r="AS976" s="121"/>
    </row>
    <row r="977" spans="1:45" ht="13.5" x14ac:dyDescent="0.4">
      <c r="A977" s="12">
        <f t="shared" si="79"/>
        <v>974</v>
      </c>
      <c r="B977" s="64" t="s">
        <v>1308</v>
      </c>
      <c r="C977" s="54">
        <v>45372</v>
      </c>
      <c r="D977" s="54">
        <v>45372</v>
      </c>
      <c r="E977" s="46" t="s">
        <v>451</v>
      </c>
      <c r="F977" s="51" t="s">
        <v>19</v>
      </c>
      <c r="G977" s="51" t="s">
        <v>1728</v>
      </c>
      <c r="H977" s="51" t="s">
        <v>21</v>
      </c>
      <c r="I977" s="55">
        <v>3342</v>
      </c>
      <c r="J977" s="56">
        <v>1</v>
      </c>
      <c r="K977" s="51" t="s">
        <v>1729</v>
      </c>
      <c r="L977" s="58">
        <v>60593</v>
      </c>
      <c r="M977" s="50">
        <f>ROUND('FA Addition'!$L977*5%,0.1)</f>
        <v>3030</v>
      </c>
      <c r="N977" s="113" t="str">
        <f>_xlfn.XLOOKUP(_xlfn.CONCAT(E977,B977),'Year Wise Master Dep Approach'!F:F,'Year Wise Master Dep Approach'!D:D)</f>
        <v>WDV</v>
      </c>
      <c r="O977" s="113">
        <f>_xlfn.XLOOKUP(_xlfn.CONCAT(E977,B977),'Year Wise Master Dep Approach'!F:F,'Year Wise Master Dep Approach'!E:E)</f>
        <v>3</v>
      </c>
      <c r="P977" s="114">
        <f>IFERROR(IF('FA Addition'!$N977="WDV",1-('FA Addition'!$M977/'FA Addition'!$L977)^(1/'FA Addition'!$O977),1/'FA Addition'!$O977),0)</f>
        <v>0.63158266410374986</v>
      </c>
      <c r="Q977" s="122">
        <f>'FA Addition'!$P977*'FA Addition'!$O977</f>
        <v>1.8947479923112496</v>
      </c>
      <c r="R977" s="122"/>
      <c r="S977" s="116">
        <f>IF(AND(DATE(20&amp;LEFT(FAAddition[[#This Row],[FY]],2),4,1)&lt;$L$1+1,DATE(20&amp;LEFT(FAAddition[[#This Row],[FY]],2),4,1)&gt;$P$1-1),'FA Addition'!$J977,0)</f>
        <v>1</v>
      </c>
      <c r="U977" s="117">
        <f>S977*'FA Addition'!$L977/'FA Addition'!$J977</f>
        <v>60593</v>
      </c>
      <c r="W977" s="116">
        <f>SUMIFS('FA Write off'!D:D,'FA Write off'!A:A,'FA Addition'!$A977,'FA Write off'!C:C,"&lt;"&amp;'FA Addition'!$P$1)</f>
        <v>0</v>
      </c>
      <c r="Y977" s="191">
        <f>IFERROR(W977/'FA Addition'!$J977*'FA Addition'!$L977,0)</f>
        <v>0</v>
      </c>
      <c r="AA977" s="116">
        <f>SUMIFS('FA Write off'!D:D,'FA Write off'!A:A,'FA Addition'!$A977,'FA Write off'!C:C,"&lt;"&amp;'FA Addition'!$L$1+1,'FA Write off'!C:C,"&gt;"&amp;'FA Addition'!$L$1-365)</f>
        <v>0</v>
      </c>
      <c r="AC977" s="118">
        <f>IFERROR(AA977/'FA Addition'!$J977*'FA Addition'!$L977,0)</f>
        <v>0</v>
      </c>
      <c r="AE977" s="117">
        <f>IF(AND('FA Addition'!$D977&lt;$P$1+1,U977=0),'FA Addition'!$L977,0)-Y977</f>
        <v>0</v>
      </c>
      <c r="AF977" s="117">
        <f t="shared" si="75"/>
        <v>60593</v>
      </c>
      <c r="AG977" s="117">
        <f>MIN(MAX(+$P$1-'FA Addition'!$D977,0),365*'FA Addition'!$O977)</f>
        <v>0</v>
      </c>
      <c r="AH977" s="117">
        <f>MIN(MAX($L$1-'FA Addition'!$D977+1,0),365*'FA Addition'!$O977)</f>
        <v>11</v>
      </c>
      <c r="AI977" s="117" cm="1">
        <f t="array" ref="AI977">_xlfn.XLOOKUP(1,('FA Write off'!A:A='FA Addition'!$A977)*('FA Write off'!D:D=AA977),'FA Write off'!H:H,0,0)</f>
        <v>0</v>
      </c>
      <c r="AJ977" s="117">
        <f>IF(AC977&gt;0,MAX(IF('FA Addition'!$N977="SLM",($AC977-'FA Addition'!$M977)*'FA Addition'!$P977*AI977/365,(AC977-'FA Addition'!$M977)*(1-(1-'FA Addition'!$P977)^(AI977/365))),0),0)</f>
        <v>0</v>
      </c>
      <c r="AL977" s="117">
        <f>MAX(IF(AG977&gt;0,IF('FA Addition'!$N977="SLM",($AE977-'FA Addition'!$M977)*'FA Addition'!$P977*AG977/365,IFERROR(VDB(AE977,AE977*0.05,'FA Addition'!$O977,0,YEARFRAC('FA Addition'!$C977,$P$1-1,3),'FA Addition'!$Q977),FAAddition[[#This Row],[Original Cost (Rs)]]-FAAddition[[#This Row],[Salvage Value]])),0),0)</f>
        <v>0</v>
      </c>
      <c r="AM977" s="119"/>
      <c r="AN977" s="117">
        <f>MAX(IF(AH977&gt;0,IF('FA Addition'!$N977="SLM",($AF977-'FA Addition'!$M977)*'FA Addition'!$P977*AH977/365,IFERROR(VDB(AF977,AF977*0.05,'FA Addition'!$O977,0,YEARFRAC('FA Addition'!$C977,$L$1,3),'FA Addition'!$Q977),FAAddition[[#This Row],[Original Cost (Rs)]]-FAAddition[[#This Row],[Salvage Value]])),0),0)</f>
        <v>1048.4791333161236</v>
      </c>
      <c r="AO977" s="117">
        <f t="shared" si="78"/>
        <v>1048.4791333161236</v>
      </c>
      <c r="AQ977" s="117">
        <f t="shared" si="76"/>
        <v>0</v>
      </c>
      <c r="AR977" s="120">
        <f t="shared" si="77"/>
        <v>59544.520866683873</v>
      </c>
      <c r="AS977" s="121"/>
    </row>
    <row r="978" spans="1:45" ht="13.5" x14ac:dyDescent="0.4">
      <c r="A978" s="12">
        <f t="shared" si="79"/>
        <v>975</v>
      </c>
      <c r="B978" s="64" t="s">
        <v>1308</v>
      </c>
      <c r="C978" s="54">
        <v>45372</v>
      </c>
      <c r="D978" s="54">
        <v>45372</v>
      </c>
      <c r="E978" s="46" t="s">
        <v>451</v>
      </c>
      <c r="F978" s="51" t="s">
        <v>19</v>
      </c>
      <c r="G978" s="51" t="s">
        <v>1728</v>
      </c>
      <c r="H978" s="51" t="s">
        <v>21</v>
      </c>
      <c r="I978" s="55">
        <v>3342</v>
      </c>
      <c r="J978" s="56">
        <v>1</v>
      </c>
      <c r="K978" s="51" t="s">
        <v>1729</v>
      </c>
      <c r="L978" s="58">
        <v>60593</v>
      </c>
      <c r="M978" s="50">
        <f>ROUND('FA Addition'!$L978*5%,0.1)</f>
        <v>3030</v>
      </c>
      <c r="N978" s="113" t="str">
        <f>_xlfn.XLOOKUP(_xlfn.CONCAT(E978,B978),'Year Wise Master Dep Approach'!F:F,'Year Wise Master Dep Approach'!D:D)</f>
        <v>WDV</v>
      </c>
      <c r="O978" s="113">
        <f>_xlfn.XLOOKUP(_xlfn.CONCAT(E978,B978),'Year Wise Master Dep Approach'!F:F,'Year Wise Master Dep Approach'!E:E)</f>
        <v>3</v>
      </c>
      <c r="P978" s="114">
        <f>IFERROR(IF('FA Addition'!$N978="WDV",1-('FA Addition'!$M978/'FA Addition'!$L978)^(1/'FA Addition'!$O978),1/'FA Addition'!$O978),0)</f>
        <v>0.63158266410374986</v>
      </c>
      <c r="Q978" s="122">
        <f>'FA Addition'!$P978*'FA Addition'!$O978</f>
        <v>1.8947479923112496</v>
      </c>
      <c r="R978" s="122"/>
      <c r="S978" s="116">
        <f>IF(AND(DATE(20&amp;LEFT(FAAddition[[#This Row],[FY]],2),4,1)&lt;$L$1+1,DATE(20&amp;LEFT(FAAddition[[#This Row],[FY]],2),4,1)&gt;$P$1-1),'FA Addition'!$J978,0)</f>
        <v>1</v>
      </c>
      <c r="U978" s="117">
        <f>S978*'FA Addition'!$L978/'FA Addition'!$J978</f>
        <v>60593</v>
      </c>
      <c r="W978" s="116">
        <f>SUMIFS('FA Write off'!D:D,'FA Write off'!A:A,'FA Addition'!$A978,'FA Write off'!C:C,"&lt;"&amp;'FA Addition'!$P$1)</f>
        <v>0</v>
      </c>
      <c r="Y978" s="191">
        <f>IFERROR(W978/'FA Addition'!$J978*'FA Addition'!$L978,0)</f>
        <v>0</v>
      </c>
      <c r="AA978" s="116">
        <f>SUMIFS('FA Write off'!D:D,'FA Write off'!A:A,'FA Addition'!$A978,'FA Write off'!C:C,"&lt;"&amp;'FA Addition'!$L$1+1,'FA Write off'!C:C,"&gt;"&amp;'FA Addition'!$L$1-365)</f>
        <v>0</v>
      </c>
      <c r="AC978" s="118">
        <f>IFERROR(AA978/'FA Addition'!$J978*'FA Addition'!$L978,0)</f>
        <v>0</v>
      </c>
      <c r="AE978" s="117">
        <f>IF(AND('FA Addition'!$D978&lt;$P$1+1,U978=0),'FA Addition'!$L978,0)-Y978</f>
        <v>0</v>
      </c>
      <c r="AF978" s="117">
        <f t="shared" si="75"/>
        <v>60593</v>
      </c>
      <c r="AG978" s="117">
        <f>MIN(MAX(+$P$1-'FA Addition'!$D978,0),365*'FA Addition'!$O978)</f>
        <v>0</v>
      </c>
      <c r="AH978" s="117">
        <f>MIN(MAX($L$1-'FA Addition'!$D978+1,0),365*'FA Addition'!$O978)</f>
        <v>11</v>
      </c>
      <c r="AI978" s="117" cm="1">
        <f t="array" ref="AI978">_xlfn.XLOOKUP(1,('FA Write off'!A:A='FA Addition'!$A978)*('FA Write off'!D:D=AA978),'FA Write off'!H:H,0,0)</f>
        <v>0</v>
      </c>
      <c r="AJ978" s="117">
        <f>IF(AC978&gt;0,MAX(IF('FA Addition'!$N978="SLM",($AC978-'FA Addition'!$M978)*'FA Addition'!$P978*AI978/365,(AC978-'FA Addition'!$M978)*(1-(1-'FA Addition'!$P978)^(AI978/365))),0),0)</f>
        <v>0</v>
      </c>
      <c r="AL978" s="117">
        <f>MAX(IF(AG978&gt;0,IF('FA Addition'!$N978="SLM",($AE978-'FA Addition'!$M978)*'FA Addition'!$P978*AG978/365,IFERROR(VDB(AE978,AE978*0.05,'FA Addition'!$O978,0,YEARFRAC('FA Addition'!$C978,$P$1-1,3),'FA Addition'!$Q978),FAAddition[[#This Row],[Original Cost (Rs)]]-FAAddition[[#This Row],[Salvage Value]])),0),0)</f>
        <v>0</v>
      </c>
      <c r="AM978" s="119"/>
      <c r="AN978" s="117">
        <f>MAX(IF(AH978&gt;0,IF('FA Addition'!$N978="SLM",($AF978-'FA Addition'!$M978)*'FA Addition'!$P978*AH978/365,IFERROR(VDB(AF978,AF978*0.05,'FA Addition'!$O978,0,YEARFRAC('FA Addition'!$C978,$L$1,3),'FA Addition'!$Q978),FAAddition[[#This Row],[Original Cost (Rs)]]-FAAddition[[#This Row],[Salvage Value]])),0),0)</f>
        <v>1048.4791333161236</v>
      </c>
      <c r="AO978" s="117">
        <f t="shared" si="78"/>
        <v>1048.4791333161236</v>
      </c>
      <c r="AQ978" s="117">
        <f t="shared" si="76"/>
        <v>0</v>
      </c>
      <c r="AR978" s="120">
        <f t="shared" si="77"/>
        <v>59544.520866683873</v>
      </c>
      <c r="AS978" s="121"/>
    </row>
    <row r="979" spans="1:45" ht="13.5" x14ac:dyDescent="0.4">
      <c r="A979" s="12">
        <f t="shared" si="79"/>
        <v>976</v>
      </c>
      <c r="B979" s="64" t="s">
        <v>1308</v>
      </c>
      <c r="C979" s="54">
        <v>45373</v>
      </c>
      <c r="D979" s="54">
        <v>45373</v>
      </c>
      <c r="E979" s="46" t="s">
        <v>1320</v>
      </c>
      <c r="F979" s="51" t="s">
        <v>33</v>
      </c>
      <c r="G979" s="51" t="s">
        <v>36</v>
      </c>
      <c r="H979" s="51" t="s">
        <v>32</v>
      </c>
      <c r="I979" s="55" t="s">
        <v>1744</v>
      </c>
      <c r="J979" s="56">
        <v>1000</v>
      </c>
      <c r="K979" s="51" t="s">
        <v>296</v>
      </c>
      <c r="L979" s="58">
        <v>1700000</v>
      </c>
      <c r="M979" s="50">
        <f>ROUND('FA Addition'!$L979*5%,0.1)</f>
        <v>85000</v>
      </c>
      <c r="N979" s="113" t="str">
        <f>_xlfn.XLOOKUP(_xlfn.CONCAT(E979,B979),'Year Wise Master Dep Approach'!F:F,'Year Wise Master Dep Approach'!D:D)</f>
        <v>SLM</v>
      </c>
      <c r="O979" s="113">
        <f>_xlfn.XLOOKUP(_xlfn.CONCAT(E979,B979),'Year Wise Master Dep Approach'!F:F,'Year Wise Master Dep Approach'!E:E)</f>
        <v>5</v>
      </c>
      <c r="P979" s="114">
        <f>IFERROR(IF('FA Addition'!$N979="WDV",1-('FA Addition'!$M979/'FA Addition'!$L979)^(1/'FA Addition'!$O979),1/'FA Addition'!$O979),0)</f>
        <v>0.2</v>
      </c>
      <c r="Q979" s="122">
        <f>'FA Addition'!$P979*'FA Addition'!$O979</f>
        <v>1</v>
      </c>
      <c r="R979" s="122"/>
      <c r="S979" s="116">
        <f>IF(AND(DATE(20&amp;LEFT(FAAddition[[#This Row],[FY]],2),4,1)&lt;$L$1+1,DATE(20&amp;LEFT(FAAddition[[#This Row],[FY]],2),4,1)&gt;$P$1-1),'FA Addition'!$J979,0)</f>
        <v>1000</v>
      </c>
      <c r="U979" s="117">
        <f>S979*'FA Addition'!$L979/'FA Addition'!$J979</f>
        <v>1700000</v>
      </c>
      <c r="W979" s="116">
        <f>SUMIFS('FA Write off'!D:D,'FA Write off'!A:A,'FA Addition'!$A979,'FA Write off'!C:C,"&lt;"&amp;'FA Addition'!$P$1)</f>
        <v>0</v>
      </c>
      <c r="Y979" s="191">
        <f>IFERROR(W979/'FA Addition'!$J979*'FA Addition'!$L979,0)</f>
        <v>0</v>
      </c>
      <c r="AA979" s="116">
        <f>SUMIFS('FA Write off'!D:D,'FA Write off'!A:A,'FA Addition'!$A979,'FA Write off'!C:C,"&lt;"&amp;'FA Addition'!$L$1+1,'FA Write off'!C:C,"&gt;"&amp;'FA Addition'!$L$1-365)</f>
        <v>0</v>
      </c>
      <c r="AC979" s="118">
        <f>IFERROR(AA979/'FA Addition'!$J979*'FA Addition'!$L979,0)</f>
        <v>0</v>
      </c>
      <c r="AE979" s="117">
        <f>IF(AND('FA Addition'!$D979&lt;$P$1+1,U979=0),'FA Addition'!$L979,0)-Y979</f>
        <v>0</v>
      </c>
      <c r="AF979" s="117">
        <f t="shared" si="75"/>
        <v>1700000</v>
      </c>
      <c r="AG979" s="117">
        <f>MIN(MAX(+$P$1-'FA Addition'!$D979,0),365*'FA Addition'!$O979)</f>
        <v>0</v>
      </c>
      <c r="AH979" s="117">
        <f>MIN(MAX($L$1-'FA Addition'!$D979+1,0),365*'FA Addition'!$O979)</f>
        <v>10</v>
      </c>
      <c r="AI979" s="117" cm="1">
        <f t="array" ref="AI979">_xlfn.XLOOKUP(1,('FA Write off'!A:A='FA Addition'!$A979)*('FA Write off'!D:D=AA979),'FA Write off'!H:H,0,0)</f>
        <v>0</v>
      </c>
      <c r="AJ979" s="117">
        <f>IF(AC979&gt;0,MAX(IF('FA Addition'!$N979="SLM",($AC979-'FA Addition'!$M979)*'FA Addition'!$P979*AI979/365,(AC979-'FA Addition'!$M979)*(1-(1-'FA Addition'!$P979)^(AI979/365))),0),0)</f>
        <v>0</v>
      </c>
      <c r="AL979" s="117">
        <f>MAX(IF(AG979&gt;0,IF('FA Addition'!$N979="SLM",($AE979-'FA Addition'!$M979)*'FA Addition'!$P979*AG979/365,IFERROR(VDB(AE979,AE979*0.05,'FA Addition'!$O979,0,YEARFRAC('FA Addition'!$C979,$P$1-1,3),'FA Addition'!$Q979),FAAddition[[#This Row],[Original Cost (Rs)]]-FAAddition[[#This Row],[Salvage Value]])),0),0)</f>
        <v>0</v>
      </c>
      <c r="AM979" s="119"/>
      <c r="AN979" s="117">
        <f>MAX(IF(AH979&gt;0,IF('FA Addition'!$N979="SLM",($AF979-'FA Addition'!$M979)*'FA Addition'!$P979*AH979/365,IFERROR(VDB(AF979,AF979*0.05,'FA Addition'!$O979,0,YEARFRAC('FA Addition'!$C979,$L$1,3),'FA Addition'!$Q979),FAAddition[[#This Row],[Original Cost (Rs)]]-FAAddition[[#This Row],[Salvage Value]])),0),0)</f>
        <v>8849.3150684931516</v>
      </c>
      <c r="AO979" s="117">
        <f t="shared" si="78"/>
        <v>8849.3150684931516</v>
      </c>
      <c r="AQ979" s="117">
        <f t="shared" si="76"/>
        <v>0</v>
      </c>
      <c r="AR979" s="120">
        <f t="shared" si="77"/>
        <v>1691150.6849315069</v>
      </c>
      <c r="AS979" s="121"/>
    </row>
    <row r="980" spans="1:45" ht="13.5" x14ac:dyDescent="0.4">
      <c r="A980" s="12">
        <f t="shared" si="79"/>
        <v>977</v>
      </c>
      <c r="B980" s="64" t="s">
        <v>1308</v>
      </c>
      <c r="C980" s="54">
        <v>45378</v>
      </c>
      <c r="D980" s="54">
        <v>45378</v>
      </c>
      <c r="E980" s="46" t="s">
        <v>1320</v>
      </c>
      <c r="F980" s="51" t="s">
        <v>33</v>
      </c>
      <c r="G980" s="51" t="s">
        <v>36</v>
      </c>
      <c r="H980" s="51" t="s">
        <v>32</v>
      </c>
      <c r="I980" s="55" t="s">
        <v>1745</v>
      </c>
      <c r="J980" s="56">
        <v>1000</v>
      </c>
      <c r="K980" s="51" t="s">
        <v>296</v>
      </c>
      <c r="L980" s="58">
        <v>1700000</v>
      </c>
      <c r="M980" s="50">
        <f>ROUND('FA Addition'!$L980*5%,0.1)</f>
        <v>85000</v>
      </c>
      <c r="N980" s="113" t="str">
        <f>_xlfn.XLOOKUP(_xlfn.CONCAT(E980,B980),'Year Wise Master Dep Approach'!F:F,'Year Wise Master Dep Approach'!D:D)</f>
        <v>SLM</v>
      </c>
      <c r="O980" s="113">
        <f>_xlfn.XLOOKUP(_xlfn.CONCAT(E980,B980),'Year Wise Master Dep Approach'!F:F,'Year Wise Master Dep Approach'!E:E)</f>
        <v>5</v>
      </c>
      <c r="P980" s="114">
        <f>IFERROR(IF('FA Addition'!$N980="WDV",1-('FA Addition'!$M980/'FA Addition'!$L980)^(1/'FA Addition'!$O980),1/'FA Addition'!$O980),0)</f>
        <v>0.2</v>
      </c>
      <c r="Q980" s="122">
        <f>'FA Addition'!$P980*'FA Addition'!$O980</f>
        <v>1</v>
      </c>
      <c r="R980" s="122"/>
      <c r="S980" s="116">
        <f>IF(AND(DATE(20&amp;LEFT(FAAddition[[#This Row],[FY]],2),4,1)&lt;$L$1+1,DATE(20&amp;LEFT(FAAddition[[#This Row],[FY]],2),4,1)&gt;$P$1-1),'FA Addition'!$J980,0)</f>
        <v>1000</v>
      </c>
      <c r="U980" s="117">
        <f>S980*'FA Addition'!$L980/'FA Addition'!$J980</f>
        <v>1700000</v>
      </c>
      <c r="W980" s="116">
        <f>SUMIFS('FA Write off'!D:D,'FA Write off'!A:A,'FA Addition'!$A980,'FA Write off'!C:C,"&lt;"&amp;'FA Addition'!$P$1)</f>
        <v>0</v>
      </c>
      <c r="Y980" s="191">
        <f>IFERROR(W980/'FA Addition'!$J980*'FA Addition'!$L980,0)</f>
        <v>0</v>
      </c>
      <c r="AA980" s="116">
        <f>SUMIFS('FA Write off'!D:D,'FA Write off'!A:A,'FA Addition'!$A980,'FA Write off'!C:C,"&lt;"&amp;'FA Addition'!$L$1+1,'FA Write off'!C:C,"&gt;"&amp;'FA Addition'!$L$1-365)</f>
        <v>0</v>
      </c>
      <c r="AC980" s="118">
        <f>IFERROR(AA980/'FA Addition'!$J980*'FA Addition'!$L980,0)</f>
        <v>0</v>
      </c>
      <c r="AE980" s="117">
        <f>IF(AND('FA Addition'!$D980&lt;$P$1+1,U980=0),'FA Addition'!$L980,0)-Y980</f>
        <v>0</v>
      </c>
      <c r="AF980" s="117">
        <f t="shared" si="75"/>
        <v>1700000</v>
      </c>
      <c r="AG980" s="117">
        <f>MIN(MAX(+$P$1-'FA Addition'!$D980,0),365*'FA Addition'!$O980)</f>
        <v>0</v>
      </c>
      <c r="AH980" s="117">
        <f>MIN(MAX($L$1-'FA Addition'!$D980+1,0),365*'FA Addition'!$O980)</f>
        <v>5</v>
      </c>
      <c r="AI980" s="117" cm="1">
        <f t="array" ref="AI980">_xlfn.XLOOKUP(1,('FA Write off'!A:A='FA Addition'!$A980)*('FA Write off'!D:D=AA980),'FA Write off'!H:H,0,0)</f>
        <v>0</v>
      </c>
      <c r="AJ980" s="117">
        <f>IF(AC980&gt;0,MAX(IF('FA Addition'!$N980="SLM",($AC980-'FA Addition'!$M980)*'FA Addition'!$P980*AI980/365,(AC980-'FA Addition'!$M980)*(1-(1-'FA Addition'!$P980)^(AI980/365))),0),0)</f>
        <v>0</v>
      </c>
      <c r="AL980" s="117">
        <f>MAX(IF(AG980&gt;0,IF('FA Addition'!$N980="SLM",($AE980-'FA Addition'!$M980)*'FA Addition'!$P980*AG980/365,IFERROR(VDB(AE980,AE980*0.05,'FA Addition'!$O980,0,YEARFRAC('FA Addition'!$C980,$P$1-1,3),'FA Addition'!$Q980),FAAddition[[#This Row],[Original Cost (Rs)]]-FAAddition[[#This Row],[Salvage Value]])),0),0)</f>
        <v>0</v>
      </c>
      <c r="AM980" s="119"/>
      <c r="AN980" s="117">
        <f>MAX(IF(AH980&gt;0,IF('FA Addition'!$N980="SLM",($AF980-'FA Addition'!$M980)*'FA Addition'!$P980*AH980/365,IFERROR(VDB(AF980,AF980*0.05,'FA Addition'!$O980,0,YEARFRAC('FA Addition'!$C980,$L$1,3),'FA Addition'!$Q980),FAAddition[[#This Row],[Original Cost (Rs)]]-FAAddition[[#This Row],[Salvage Value]])),0),0)</f>
        <v>4424.6575342465758</v>
      </c>
      <c r="AO980" s="117">
        <f t="shared" si="78"/>
        <v>4424.6575342465758</v>
      </c>
      <c r="AQ980" s="117">
        <f t="shared" si="76"/>
        <v>0</v>
      </c>
      <c r="AR980" s="120">
        <f t="shared" si="77"/>
        <v>1695575.3424657534</v>
      </c>
      <c r="AS980" s="121"/>
    </row>
    <row r="981" spans="1:45" ht="13.5" x14ac:dyDescent="0.4">
      <c r="A981" s="12">
        <f t="shared" si="79"/>
        <v>978</v>
      </c>
      <c r="B981" s="64" t="s">
        <v>1308</v>
      </c>
      <c r="C981" s="54">
        <v>45378</v>
      </c>
      <c r="D981" s="54">
        <v>45378</v>
      </c>
      <c r="E981" s="46" t="s">
        <v>749</v>
      </c>
      <c r="F981" s="51" t="s">
        <v>74</v>
      </c>
      <c r="G981" s="51" t="s">
        <v>1708</v>
      </c>
      <c r="H981" s="51" t="s">
        <v>26</v>
      </c>
      <c r="I981" s="55" t="s">
        <v>1746</v>
      </c>
      <c r="J981" s="56">
        <v>1000</v>
      </c>
      <c r="K981" s="51" t="s">
        <v>1587</v>
      </c>
      <c r="L981" s="58">
        <v>85000</v>
      </c>
      <c r="M981" s="50">
        <f>ROUND('FA Addition'!$L981*5%,0.1)</f>
        <v>4250</v>
      </c>
      <c r="N981" s="113" t="str">
        <f>_xlfn.XLOOKUP(_xlfn.CONCAT(E981,B981),'Year Wise Master Dep Approach'!F:F,'Year Wise Master Dep Approach'!D:D)</f>
        <v>WDV</v>
      </c>
      <c r="O981" s="113">
        <f>_xlfn.XLOOKUP(_xlfn.CONCAT(E981,B981),'Year Wise Master Dep Approach'!F:F,'Year Wise Master Dep Approach'!E:E)</f>
        <v>5</v>
      </c>
      <c r="P981" s="114">
        <f>IFERROR(IF('FA Addition'!$N981="WDV",1-('FA Addition'!$M981/'FA Addition'!$L981)^(1/'FA Addition'!$O981),1/'FA Addition'!$O981),0)</f>
        <v>0.45071972834694107</v>
      </c>
      <c r="Q981" s="122">
        <f>'FA Addition'!$P981*'FA Addition'!$O981</f>
        <v>2.2535986417347056</v>
      </c>
      <c r="R981" s="122"/>
      <c r="S981" s="116">
        <f>IF(AND(DATE(20&amp;LEFT(FAAddition[[#This Row],[FY]],2),4,1)&lt;$L$1+1,DATE(20&amp;LEFT(FAAddition[[#This Row],[FY]],2),4,1)&gt;$P$1-1),'FA Addition'!$J981,0)</f>
        <v>1000</v>
      </c>
      <c r="U981" s="117">
        <f>S981*'FA Addition'!$L981/'FA Addition'!$J981</f>
        <v>85000</v>
      </c>
      <c r="W981" s="116">
        <f>SUMIFS('FA Write off'!D:D,'FA Write off'!A:A,'FA Addition'!$A981,'FA Write off'!C:C,"&lt;"&amp;'FA Addition'!$P$1)</f>
        <v>0</v>
      </c>
      <c r="Y981" s="191">
        <f>IFERROR(W981/'FA Addition'!$J981*'FA Addition'!$L981,0)</f>
        <v>0</v>
      </c>
      <c r="AA981" s="116">
        <f>SUMIFS('FA Write off'!D:D,'FA Write off'!A:A,'FA Addition'!$A981,'FA Write off'!C:C,"&lt;"&amp;'FA Addition'!$L$1+1,'FA Write off'!C:C,"&gt;"&amp;'FA Addition'!$L$1-365)</f>
        <v>0</v>
      </c>
      <c r="AC981" s="118">
        <f>IFERROR(AA981/'FA Addition'!$J981*'FA Addition'!$L981,0)</f>
        <v>0</v>
      </c>
      <c r="AE981" s="117">
        <f>IF(AND('FA Addition'!$D981&lt;$P$1+1,U981=0),'FA Addition'!$L981,0)-Y981</f>
        <v>0</v>
      </c>
      <c r="AF981" s="117">
        <f t="shared" si="75"/>
        <v>85000</v>
      </c>
      <c r="AG981" s="117">
        <f>MIN(MAX(+$P$1-'FA Addition'!$D981,0),365*'FA Addition'!$O981)</f>
        <v>0</v>
      </c>
      <c r="AH981" s="117">
        <f>MIN(MAX($L$1-'FA Addition'!$D981+1,0),365*'FA Addition'!$O981)</f>
        <v>5</v>
      </c>
      <c r="AI981" s="117" cm="1">
        <f t="array" ref="AI981">_xlfn.XLOOKUP(1,('FA Write off'!A:A='FA Addition'!$A981)*('FA Write off'!D:D=AA981),'FA Write off'!H:H,0,0)</f>
        <v>0</v>
      </c>
      <c r="AJ981" s="117">
        <f>IF(AC981&gt;0,MAX(IF('FA Addition'!$N981="SLM",($AC981-'FA Addition'!$M981)*'FA Addition'!$P981*AI981/365,(AC981-'FA Addition'!$M981)*(1-(1-'FA Addition'!$P981)^(AI981/365))),0),0)</f>
        <v>0</v>
      </c>
      <c r="AL981" s="117">
        <f>MAX(IF(AG981&gt;0,IF('FA Addition'!$N981="SLM",($AE981-'FA Addition'!$M981)*'FA Addition'!$P981*AG981/365,IFERROR(VDB(AE981,AE981*0.05,'FA Addition'!$O981,0,YEARFRAC('FA Addition'!$C981,$P$1-1,3),'FA Addition'!$Q981),FAAddition[[#This Row],[Original Cost (Rs)]]-FAAddition[[#This Row],[Salvage Value]])),0),0)</f>
        <v>0</v>
      </c>
      <c r="AM981" s="119"/>
      <c r="AN981" s="117">
        <f>MAX(IF(AH981&gt;0,IF('FA Addition'!$N981="SLM",($AF981-'FA Addition'!$M981)*'FA Addition'!$P981*AH981/365,IFERROR(VDB(AF981,AF981*0.05,'FA Addition'!$O981,0,YEARFRAC('FA Addition'!$C981,$L$1,3),'FA Addition'!$Q981),FAAddition[[#This Row],[Original Cost (Rs)]]-FAAddition[[#This Row],[Salvage Value]])),0),0)</f>
        <v>419.84851407660267</v>
      </c>
      <c r="AO981" s="117">
        <f t="shared" si="78"/>
        <v>419.84851407660267</v>
      </c>
      <c r="AQ981" s="117">
        <f t="shared" si="76"/>
        <v>0</v>
      </c>
      <c r="AR981" s="120">
        <f t="shared" si="77"/>
        <v>84580.151485923401</v>
      </c>
      <c r="AS981" s="121"/>
    </row>
    <row r="982" spans="1:45" ht="13.5" x14ac:dyDescent="0.4">
      <c r="A982" s="12">
        <f t="shared" si="79"/>
        <v>979</v>
      </c>
      <c r="B982" s="64" t="s">
        <v>1308</v>
      </c>
      <c r="C982" s="54">
        <v>45379</v>
      </c>
      <c r="D982" s="54">
        <v>45379</v>
      </c>
      <c r="E982" s="46" t="s">
        <v>1495</v>
      </c>
      <c r="F982" s="51" t="s">
        <v>1496</v>
      </c>
      <c r="G982" s="51" t="s">
        <v>1499</v>
      </c>
      <c r="H982" s="51" t="s">
        <v>196</v>
      </c>
      <c r="I982" s="55" t="s">
        <v>1747</v>
      </c>
      <c r="J982" s="56">
        <v>60</v>
      </c>
      <c r="K982" s="51" t="s">
        <v>196</v>
      </c>
      <c r="L982" s="58">
        <v>1516586.25</v>
      </c>
      <c r="M982" s="50">
        <f>ROUND('FA Addition'!$L982*5%,0.1)</f>
        <v>75829</v>
      </c>
      <c r="N982" s="113" t="str">
        <f>_xlfn.XLOOKUP(_xlfn.CONCAT(E982,B982),'Year Wise Master Dep Approach'!F:F,'Year Wise Master Dep Approach'!D:D)</f>
        <v>SLM</v>
      </c>
      <c r="O982" s="113">
        <f>_xlfn.XLOOKUP(_xlfn.CONCAT(E982,B982),'Year Wise Master Dep Approach'!F:F,'Year Wise Master Dep Approach'!E:E)</f>
        <v>3</v>
      </c>
      <c r="P982" s="114">
        <f>IFERROR(IF('FA Addition'!$N982="WDV",1-('FA Addition'!$M982/'FA Addition'!$L982)^(1/'FA Addition'!$O982),1/'FA Addition'!$O982),0)</f>
        <v>0.33333333333333331</v>
      </c>
      <c r="Q982" s="122">
        <f>'FA Addition'!$P982*'FA Addition'!$O982</f>
        <v>1</v>
      </c>
      <c r="R982" s="122"/>
      <c r="S982" s="116">
        <f>IF(AND(DATE(20&amp;LEFT(FAAddition[[#This Row],[FY]],2),4,1)&lt;$L$1+1,DATE(20&amp;LEFT(FAAddition[[#This Row],[FY]],2),4,1)&gt;$P$1-1),'FA Addition'!$J982,0)</f>
        <v>60</v>
      </c>
      <c r="U982" s="117">
        <f>S982*'FA Addition'!$L982/'FA Addition'!$J982</f>
        <v>1516586.25</v>
      </c>
      <c r="W982" s="116">
        <f>SUMIFS('FA Write off'!D:D,'FA Write off'!A:A,'FA Addition'!$A982,'FA Write off'!C:C,"&lt;"&amp;'FA Addition'!$P$1)</f>
        <v>0</v>
      </c>
      <c r="Y982" s="191">
        <f>IFERROR(W982/'FA Addition'!$J982*'FA Addition'!$L982,0)</f>
        <v>0</v>
      </c>
      <c r="AA982" s="116">
        <f>SUMIFS('FA Write off'!D:D,'FA Write off'!A:A,'FA Addition'!$A982,'FA Write off'!C:C,"&lt;"&amp;'FA Addition'!$L$1+1,'FA Write off'!C:C,"&gt;"&amp;'FA Addition'!$L$1-365)</f>
        <v>0</v>
      </c>
      <c r="AC982" s="118">
        <f>IFERROR(AA982/'FA Addition'!$J982*'FA Addition'!$L982,0)</f>
        <v>0</v>
      </c>
      <c r="AE982" s="117">
        <f>IF(AND('FA Addition'!$D982&lt;$P$1+1,U982=0),'FA Addition'!$L982,0)-Y982</f>
        <v>0</v>
      </c>
      <c r="AF982" s="117">
        <f t="shared" si="75"/>
        <v>1516586.25</v>
      </c>
      <c r="AG982" s="117">
        <f>MIN(MAX(+$P$1-'FA Addition'!$D982,0),365*'FA Addition'!$O982)</f>
        <v>0</v>
      </c>
      <c r="AH982" s="117">
        <f>MIN(MAX($L$1-'FA Addition'!$D982+1,0),365*'FA Addition'!$O982)</f>
        <v>4</v>
      </c>
      <c r="AI982" s="117" cm="1">
        <f t="array" ref="AI982">_xlfn.XLOOKUP(1,('FA Write off'!A:A='FA Addition'!$A982)*('FA Write off'!D:D=AA982),'FA Write off'!H:H,0,0)</f>
        <v>0</v>
      </c>
      <c r="AJ982" s="117">
        <f>IF(AC982&gt;0,MAX(IF('FA Addition'!$N982="SLM",($AC982-'FA Addition'!$M982)*'FA Addition'!$P982*AI982/365,(AC982-'FA Addition'!$M982)*(1-(1-'FA Addition'!$P982)^(AI982/365))),0),0)</f>
        <v>0</v>
      </c>
      <c r="AL982" s="117">
        <f>MAX(IF(AG982&gt;0,IF('FA Addition'!$N982="SLM",($AE982-'FA Addition'!$M982)*'FA Addition'!$P982*AG982/365,IFERROR(VDB(AE982,AE982*0.05,'FA Addition'!$O982,0,YEARFRAC('FA Addition'!$C982,$P$1-1,3),'FA Addition'!$Q982),FAAddition[[#This Row],[Original Cost (Rs)]]-FAAddition[[#This Row],[Salvage Value]])),0),0)</f>
        <v>0</v>
      </c>
      <c r="AM982" s="119"/>
      <c r="AN982" s="117">
        <f>MAX(IF(AH982&gt;0,IF('FA Addition'!$N982="SLM",($AF982-'FA Addition'!$M982)*'FA Addition'!$P982*AH982/365,IFERROR(VDB(AF982,AF982*0.05,'FA Addition'!$O982,0,YEARFRAC('FA Addition'!$C982,$L$1,3),'FA Addition'!$Q982),FAAddition[[#This Row],[Original Cost (Rs)]]-FAAddition[[#This Row],[Salvage Value]])),0),0)</f>
        <v>5263.0401826484012</v>
      </c>
      <c r="AO982" s="117">
        <f t="shared" si="78"/>
        <v>5263.0401826484012</v>
      </c>
      <c r="AQ982" s="117">
        <f t="shared" si="76"/>
        <v>0</v>
      </c>
      <c r="AR982" s="120">
        <f t="shared" si="77"/>
        <v>1511323.2098173515</v>
      </c>
      <c r="AS982" s="121"/>
    </row>
    <row r="983" spans="1:45" ht="13.5" x14ac:dyDescent="0.4">
      <c r="A983" s="12">
        <f t="shared" si="79"/>
        <v>980</v>
      </c>
      <c r="B983" s="64" t="s">
        <v>1308</v>
      </c>
      <c r="C983" s="54">
        <v>45379</v>
      </c>
      <c r="D983" s="54">
        <v>45379</v>
      </c>
      <c r="E983" s="46" t="s">
        <v>1495</v>
      </c>
      <c r="F983" s="51" t="s">
        <v>1496</v>
      </c>
      <c r="G983" s="51" t="s">
        <v>1499</v>
      </c>
      <c r="H983" s="51" t="s">
        <v>1748</v>
      </c>
      <c r="I983" s="55" t="s">
        <v>1747</v>
      </c>
      <c r="J983" s="56">
        <v>1</v>
      </c>
      <c r="K983" s="51" t="s">
        <v>1749</v>
      </c>
      <c r="L983" s="58">
        <v>242653.8</v>
      </c>
      <c r="M983" s="50">
        <f>ROUND('FA Addition'!$L983*5%,0.1)</f>
        <v>12133</v>
      </c>
      <c r="N983" s="113" t="str">
        <f>_xlfn.XLOOKUP(_xlfn.CONCAT(E983,B983),'Year Wise Master Dep Approach'!F:F,'Year Wise Master Dep Approach'!D:D)</f>
        <v>SLM</v>
      </c>
      <c r="O983" s="113">
        <f>_xlfn.XLOOKUP(_xlfn.CONCAT(E983,B983),'Year Wise Master Dep Approach'!F:F,'Year Wise Master Dep Approach'!E:E)</f>
        <v>3</v>
      </c>
      <c r="P983" s="114">
        <f>IFERROR(IF('FA Addition'!$N983="WDV",1-('FA Addition'!$M983/'FA Addition'!$L983)^(1/'FA Addition'!$O983),1/'FA Addition'!$O983),0)</f>
        <v>0.33333333333333331</v>
      </c>
      <c r="Q983" s="122">
        <f>'FA Addition'!$P983*'FA Addition'!$O983</f>
        <v>1</v>
      </c>
      <c r="R983" s="122"/>
      <c r="S983" s="116">
        <f>IF(AND(DATE(20&amp;LEFT(FAAddition[[#This Row],[FY]],2),4,1)&lt;$L$1+1,DATE(20&amp;LEFT(FAAddition[[#This Row],[FY]],2),4,1)&gt;$P$1-1),'FA Addition'!$J983,0)</f>
        <v>1</v>
      </c>
      <c r="U983" s="117">
        <f>S983*'FA Addition'!$L983/'FA Addition'!$J983</f>
        <v>242653.8</v>
      </c>
      <c r="W983" s="116">
        <f>SUMIFS('FA Write off'!D:D,'FA Write off'!A:A,'FA Addition'!$A983,'FA Write off'!C:C,"&lt;"&amp;'FA Addition'!$P$1)</f>
        <v>0</v>
      </c>
      <c r="Y983" s="191">
        <f>IFERROR(W983/'FA Addition'!$J983*'FA Addition'!$L983,0)</f>
        <v>0</v>
      </c>
      <c r="AA983" s="116">
        <f>SUMIFS('FA Write off'!D:D,'FA Write off'!A:A,'FA Addition'!$A983,'FA Write off'!C:C,"&lt;"&amp;'FA Addition'!$L$1+1,'FA Write off'!C:C,"&gt;"&amp;'FA Addition'!$L$1-365)</f>
        <v>0</v>
      </c>
      <c r="AC983" s="118">
        <f>IFERROR(AA983/'FA Addition'!$J983*'FA Addition'!$L983,0)</f>
        <v>0</v>
      </c>
      <c r="AE983" s="117">
        <f>IF(AND('FA Addition'!$D983&lt;$P$1+1,U983=0),'FA Addition'!$L983,0)-Y983</f>
        <v>0</v>
      </c>
      <c r="AF983" s="117">
        <f t="shared" si="75"/>
        <v>242653.8</v>
      </c>
      <c r="AG983" s="117">
        <f>MIN(MAX(+$P$1-'FA Addition'!$D983,0),365*'FA Addition'!$O983)</f>
        <v>0</v>
      </c>
      <c r="AH983" s="117">
        <f>MIN(MAX($L$1-'FA Addition'!$D983+1,0),365*'FA Addition'!$O983)</f>
        <v>4</v>
      </c>
      <c r="AI983" s="117" cm="1">
        <f t="array" ref="AI983">_xlfn.XLOOKUP(1,('FA Write off'!A:A='FA Addition'!$A983)*('FA Write off'!D:D=AA983),'FA Write off'!H:H,0,0)</f>
        <v>0</v>
      </c>
      <c r="AJ983" s="117">
        <f>IF(AC983&gt;0,MAX(IF('FA Addition'!$N983="SLM",($AC983-'FA Addition'!$M983)*'FA Addition'!$P983*AI983/365,(AC983-'FA Addition'!$M983)*(1-(1-'FA Addition'!$P983)^(AI983/365))),0),0)</f>
        <v>0</v>
      </c>
      <c r="AL983" s="117">
        <f>MAX(IF(AG983&gt;0,IF('FA Addition'!$N983="SLM",($AE983-'FA Addition'!$M983)*'FA Addition'!$P983*AG983/365,IFERROR(VDB(AE983,AE983*0.05,'FA Addition'!$O983,0,YEARFRAC('FA Addition'!$C983,$P$1-1,3),'FA Addition'!$Q983),FAAddition[[#This Row],[Original Cost (Rs)]]-FAAddition[[#This Row],[Salvage Value]])),0),0)</f>
        <v>0</v>
      </c>
      <c r="AM983" s="119"/>
      <c r="AN983" s="117">
        <f>MAX(IF(AH983&gt;0,IF('FA Addition'!$N983="SLM",($AF983-'FA Addition'!$M983)*'FA Addition'!$P983*AH983/365,IFERROR(VDB(AF983,AF983*0.05,'FA Addition'!$O983,0,YEARFRAC('FA Addition'!$C983,$L$1,3),'FA Addition'!$Q983),FAAddition[[#This Row],[Original Cost (Rs)]]-FAAddition[[#This Row],[Salvage Value]])),0),0)</f>
        <v>842.08511415525106</v>
      </c>
      <c r="AO983" s="117">
        <f t="shared" si="78"/>
        <v>842.08511415525106</v>
      </c>
      <c r="AQ983" s="117">
        <f t="shared" si="76"/>
        <v>0</v>
      </c>
      <c r="AR983" s="120">
        <f t="shared" si="77"/>
        <v>241811.71488584473</v>
      </c>
      <c r="AS983" s="121"/>
    </row>
    <row r="984" spans="1:45" ht="13.5" x14ac:dyDescent="0.4">
      <c r="A984" s="12">
        <f t="shared" si="79"/>
        <v>981</v>
      </c>
      <c r="B984" s="64" t="s">
        <v>1308</v>
      </c>
      <c r="C984" s="54">
        <v>45379</v>
      </c>
      <c r="D984" s="54">
        <v>45379</v>
      </c>
      <c r="E984" s="46" t="s">
        <v>1495</v>
      </c>
      <c r="F984" s="51" t="s">
        <v>1496</v>
      </c>
      <c r="G984" s="51" t="s">
        <v>1499</v>
      </c>
      <c r="H984" s="51" t="s">
        <v>1750</v>
      </c>
      <c r="I984" s="55" t="s">
        <v>1747</v>
      </c>
      <c r="J984" s="56">
        <v>32</v>
      </c>
      <c r="K984" s="51" t="s">
        <v>1751</v>
      </c>
      <c r="L984" s="58">
        <v>252359.95</v>
      </c>
      <c r="M984" s="50">
        <f>ROUND('FA Addition'!$L984*5%,0.1)</f>
        <v>12618</v>
      </c>
      <c r="N984" s="113" t="str">
        <f>_xlfn.XLOOKUP(_xlfn.CONCAT(E984,B984),'Year Wise Master Dep Approach'!F:F,'Year Wise Master Dep Approach'!D:D)</f>
        <v>SLM</v>
      </c>
      <c r="O984" s="113">
        <f>_xlfn.XLOOKUP(_xlfn.CONCAT(E984,B984),'Year Wise Master Dep Approach'!F:F,'Year Wise Master Dep Approach'!E:E)</f>
        <v>3</v>
      </c>
      <c r="P984" s="114">
        <f>IFERROR(IF('FA Addition'!$N984="WDV",1-('FA Addition'!$M984/'FA Addition'!$L984)^(1/'FA Addition'!$O984),1/'FA Addition'!$O984),0)</f>
        <v>0.33333333333333331</v>
      </c>
      <c r="Q984" s="122">
        <f>'FA Addition'!$P984*'FA Addition'!$O984</f>
        <v>1</v>
      </c>
      <c r="R984" s="122"/>
      <c r="S984" s="116">
        <f>IF(AND(DATE(20&amp;LEFT(FAAddition[[#This Row],[FY]],2),4,1)&lt;$L$1+1,DATE(20&amp;LEFT(FAAddition[[#This Row],[FY]],2),4,1)&gt;$P$1-1),'FA Addition'!$J984,0)</f>
        <v>32</v>
      </c>
      <c r="U984" s="117">
        <f>S984*'FA Addition'!$L984/'FA Addition'!$J984</f>
        <v>252359.95</v>
      </c>
      <c r="W984" s="116">
        <f>SUMIFS('FA Write off'!D:D,'FA Write off'!A:A,'FA Addition'!$A984,'FA Write off'!C:C,"&lt;"&amp;'FA Addition'!$P$1)</f>
        <v>0</v>
      </c>
      <c r="Y984" s="191">
        <f>IFERROR(W984/'FA Addition'!$J984*'FA Addition'!$L984,0)</f>
        <v>0</v>
      </c>
      <c r="AA984" s="116">
        <f>SUMIFS('FA Write off'!D:D,'FA Write off'!A:A,'FA Addition'!$A984,'FA Write off'!C:C,"&lt;"&amp;'FA Addition'!$L$1+1,'FA Write off'!C:C,"&gt;"&amp;'FA Addition'!$L$1-365)</f>
        <v>0</v>
      </c>
      <c r="AC984" s="118">
        <f>IFERROR(AA984/'FA Addition'!$J984*'FA Addition'!$L984,0)</f>
        <v>0</v>
      </c>
      <c r="AE984" s="117">
        <f>IF(AND('FA Addition'!$D984&lt;$P$1+1,U984=0),'FA Addition'!$L984,0)-Y984</f>
        <v>0</v>
      </c>
      <c r="AF984" s="117">
        <f t="shared" si="75"/>
        <v>252359.95</v>
      </c>
      <c r="AG984" s="117">
        <f>MIN(MAX(+$P$1-'FA Addition'!$D984,0),365*'FA Addition'!$O984)</f>
        <v>0</v>
      </c>
      <c r="AH984" s="117">
        <f>MIN(MAX($L$1-'FA Addition'!$D984+1,0),365*'FA Addition'!$O984)</f>
        <v>4</v>
      </c>
      <c r="AI984" s="117" cm="1">
        <f t="array" ref="AI984">_xlfn.XLOOKUP(1,('FA Write off'!A:A='FA Addition'!$A984)*('FA Write off'!D:D=AA984),'FA Write off'!H:H,0,0)</f>
        <v>0</v>
      </c>
      <c r="AJ984" s="117">
        <f>IF(AC984&gt;0,MAX(IF('FA Addition'!$N984="SLM",($AC984-'FA Addition'!$M984)*'FA Addition'!$P984*AI984/365,(AC984-'FA Addition'!$M984)*(1-(1-'FA Addition'!$P984)^(AI984/365))),0),0)</f>
        <v>0</v>
      </c>
      <c r="AL984" s="117">
        <f>MAX(IF(AG984&gt;0,IF('FA Addition'!$N984="SLM",($AE984-'FA Addition'!$M984)*'FA Addition'!$P984*AG984/365,IFERROR(VDB(AE984,AE984*0.05,'FA Addition'!$O984,0,YEARFRAC('FA Addition'!$C984,$P$1-1,3),'FA Addition'!$Q984),FAAddition[[#This Row],[Original Cost (Rs)]]-FAAddition[[#This Row],[Salvage Value]])),0),0)</f>
        <v>0</v>
      </c>
      <c r="AM984" s="119"/>
      <c r="AN984" s="117">
        <f>MAX(IF(AH984&gt;0,IF('FA Addition'!$N984="SLM",($AF984-'FA Addition'!$M984)*'FA Addition'!$P984*AH984/365,IFERROR(VDB(AF984,AF984*0.05,'FA Addition'!$O984,0,YEARFRAC('FA Addition'!$C984,$L$1,3),'FA Addition'!$Q984),FAAddition[[#This Row],[Original Cost (Rs)]]-FAAddition[[#This Row],[Salvage Value]])),0),0)</f>
        <v>875.76968036529684</v>
      </c>
      <c r="AO984" s="117">
        <f t="shared" si="78"/>
        <v>875.76968036529684</v>
      </c>
      <c r="AQ984" s="117">
        <f t="shared" si="76"/>
        <v>0</v>
      </c>
      <c r="AR984" s="120">
        <f t="shared" si="77"/>
        <v>251484.1803196347</v>
      </c>
      <c r="AS984" s="121"/>
    </row>
    <row r="985" spans="1:45" ht="13.5" x14ac:dyDescent="0.4">
      <c r="A985" s="12">
        <f t="shared" si="79"/>
        <v>982</v>
      </c>
      <c r="B985" s="64" t="s">
        <v>1308</v>
      </c>
      <c r="C985" s="54">
        <v>45379</v>
      </c>
      <c r="D985" s="54">
        <v>45379</v>
      </c>
      <c r="E985" s="46" t="s">
        <v>1320</v>
      </c>
      <c r="F985" s="51" t="s">
        <v>33</v>
      </c>
      <c r="G985" s="51" t="s">
        <v>36</v>
      </c>
      <c r="H985" s="51" t="s">
        <v>32</v>
      </c>
      <c r="I985" s="55" t="s">
        <v>1752</v>
      </c>
      <c r="J985" s="56">
        <v>800</v>
      </c>
      <c r="K985" s="51" t="s">
        <v>296</v>
      </c>
      <c r="L985" s="58">
        <v>1360000</v>
      </c>
      <c r="M985" s="50">
        <f>ROUND('FA Addition'!$L985*5%,0.1)</f>
        <v>68000</v>
      </c>
      <c r="N985" s="113" t="str">
        <f>_xlfn.XLOOKUP(_xlfn.CONCAT(E985,B985),'Year Wise Master Dep Approach'!F:F,'Year Wise Master Dep Approach'!D:D)</f>
        <v>SLM</v>
      </c>
      <c r="O985" s="113">
        <f>_xlfn.XLOOKUP(_xlfn.CONCAT(E985,B985),'Year Wise Master Dep Approach'!F:F,'Year Wise Master Dep Approach'!E:E)</f>
        <v>5</v>
      </c>
      <c r="P985" s="114">
        <f>IFERROR(IF('FA Addition'!$N985="WDV",1-('FA Addition'!$M985/'FA Addition'!$L985)^(1/'FA Addition'!$O985),1/'FA Addition'!$O985),0)</f>
        <v>0.2</v>
      </c>
      <c r="Q985" s="122">
        <f>'FA Addition'!$P985*'FA Addition'!$O985</f>
        <v>1</v>
      </c>
      <c r="R985" s="122"/>
      <c r="S985" s="116">
        <f>IF(AND(DATE(20&amp;LEFT(FAAddition[[#This Row],[FY]],2),4,1)&lt;$L$1+1,DATE(20&amp;LEFT(FAAddition[[#This Row],[FY]],2),4,1)&gt;$P$1-1),'FA Addition'!$J985,0)</f>
        <v>800</v>
      </c>
      <c r="U985" s="117">
        <f>S985*'FA Addition'!$L985/'FA Addition'!$J985</f>
        <v>1360000</v>
      </c>
      <c r="W985" s="116">
        <f>SUMIFS('FA Write off'!D:D,'FA Write off'!A:A,'FA Addition'!$A985,'FA Write off'!C:C,"&lt;"&amp;'FA Addition'!$P$1)</f>
        <v>0</v>
      </c>
      <c r="Y985" s="191">
        <f>IFERROR(W985/'FA Addition'!$J985*'FA Addition'!$L985,0)</f>
        <v>0</v>
      </c>
      <c r="AA985" s="116">
        <f>SUMIFS('FA Write off'!D:D,'FA Write off'!A:A,'FA Addition'!$A985,'FA Write off'!C:C,"&lt;"&amp;'FA Addition'!$L$1+1,'FA Write off'!C:C,"&gt;"&amp;'FA Addition'!$L$1-365)</f>
        <v>0</v>
      </c>
      <c r="AC985" s="118">
        <f>IFERROR(AA985/'FA Addition'!$J985*'FA Addition'!$L985,0)</f>
        <v>0</v>
      </c>
      <c r="AE985" s="117">
        <f>IF(AND('FA Addition'!$D985&lt;$P$1+1,U985=0),'FA Addition'!$L985,0)-Y985</f>
        <v>0</v>
      </c>
      <c r="AF985" s="117">
        <f t="shared" si="75"/>
        <v>1360000</v>
      </c>
      <c r="AG985" s="117">
        <f>MIN(MAX(+$P$1-'FA Addition'!$D985,0),365*'FA Addition'!$O985)</f>
        <v>0</v>
      </c>
      <c r="AH985" s="117">
        <f>MIN(MAX($L$1-'FA Addition'!$D985+1,0),365*'FA Addition'!$O985)</f>
        <v>4</v>
      </c>
      <c r="AI985" s="117" cm="1">
        <f t="array" ref="AI985">_xlfn.XLOOKUP(1,('FA Write off'!A:A='FA Addition'!$A985)*('FA Write off'!D:D=AA985),'FA Write off'!H:H,0,0)</f>
        <v>0</v>
      </c>
      <c r="AJ985" s="117">
        <f>IF(AC985&gt;0,MAX(IF('FA Addition'!$N985="SLM",($AC985-'FA Addition'!$M985)*'FA Addition'!$P985*AI985/365,(AC985-'FA Addition'!$M985)*(1-(1-'FA Addition'!$P985)^(AI985/365))),0),0)</f>
        <v>0</v>
      </c>
      <c r="AL985" s="117">
        <f>MAX(IF(AG985&gt;0,IF('FA Addition'!$N985="SLM",($AE985-'FA Addition'!$M985)*'FA Addition'!$P985*AG985/365,IFERROR(VDB(AE985,AE985*0.05,'FA Addition'!$O985,0,YEARFRAC('FA Addition'!$C985,$P$1-1,3),'FA Addition'!$Q985),FAAddition[[#This Row],[Original Cost (Rs)]]-FAAddition[[#This Row],[Salvage Value]])),0),0)</f>
        <v>0</v>
      </c>
      <c r="AM985" s="119"/>
      <c r="AN985" s="117">
        <f>MAX(IF(AH985&gt;0,IF('FA Addition'!$N985="SLM",($AF985-'FA Addition'!$M985)*'FA Addition'!$P985*AH985/365,IFERROR(VDB(AF985,AF985*0.05,'FA Addition'!$O985,0,YEARFRAC('FA Addition'!$C985,$L$1,3),'FA Addition'!$Q985),FAAddition[[#This Row],[Original Cost (Rs)]]-FAAddition[[#This Row],[Salvage Value]])),0),0)</f>
        <v>2831.7808219178082</v>
      </c>
      <c r="AO985" s="117">
        <f t="shared" si="78"/>
        <v>2831.7808219178082</v>
      </c>
      <c r="AQ985" s="117">
        <f t="shared" si="76"/>
        <v>0</v>
      </c>
      <c r="AR985" s="120">
        <f t="shared" si="77"/>
        <v>1357168.2191780822</v>
      </c>
      <c r="AS985" s="121"/>
    </row>
    <row r="986" spans="1:45" ht="13.5" x14ac:dyDescent="0.4">
      <c r="A986" s="12">
        <f t="shared" si="79"/>
        <v>983</v>
      </c>
      <c r="B986" s="64" t="s">
        <v>1308</v>
      </c>
      <c r="C986" s="54">
        <v>45379</v>
      </c>
      <c r="D986" s="54">
        <v>45379</v>
      </c>
      <c r="E986" s="46" t="s">
        <v>451</v>
      </c>
      <c r="F986" s="51" t="s">
        <v>19</v>
      </c>
      <c r="G986" s="51" t="s">
        <v>1728</v>
      </c>
      <c r="H986" s="51" t="s">
        <v>79</v>
      </c>
      <c r="I986" s="55">
        <v>3352</v>
      </c>
      <c r="J986" s="56">
        <v>5</v>
      </c>
      <c r="K986" s="51" t="s">
        <v>1753</v>
      </c>
      <c r="L986" s="58">
        <v>379500</v>
      </c>
      <c r="M986" s="50">
        <f>ROUND('FA Addition'!$L986*5%,0.1)</f>
        <v>18975</v>
      </c>
      <c r="N986" s="113" t="str">
        <f>_xlfn.XLOOKUP(_xlfn.CONCAT(E986,B986),'Year Wise Master Dep Approach'!F:F,'Year Wise Master Dep Approach'!D:D)</f>
        <v>WDV</v>
      </c>
      <c r="O986" s="113">
        <f>_xlfn.XLOOKUP(_xlfn.CONCAT(E986,B986),'Year Wise Master Dep Approach'!F:F,'Year Wise Master Dep Approach'!E:E)</f>
        <v>3</v>
      </c>
      <c r="P986" s="114">
        <f>IFERROR(IF('FA Addition'!$N986="WDV",1-('FA Addition'!$M986/'FA Addition'!$L986)^(1/'FA Addition'!$O986),1/'FA Addition'!$O986),0)</f>
        <v>0.63159685013596123</v>
      </c>
      <c r="Q986" s="122">
        <f>'FA Addition'!$P986*'FA Addition'!$O986</f>
        <v>1.8947905504078837</v>
      </c>
      <c r="R986" s="122"/>
      <c r="S986" s="116">
        <f>IF(AND(DATE(20&amp;LEFT(FAAddition[[#This Row],[FY]],2),4,1)&lt;$L$1+1,DATE(20&amp;LEFT(FAAddition[[#This Row],[FY]],2),4,1)&gt;$P$1-1),'FA Addition'!$J986,0)</f>
        <v>5</v>
      </c>
      <c r="U986" s="117">
        <f>S986*'FA Addition'!$L986/'FA Addition'!$J986</f>
        <v>379500</v>
      </c>
      <c r="W986" s="116">
        <f>SUMIFS('FA Write off'!D:D,'FA Write off'!A:A,'FA Addition'!$A986,'FA Write off'!C:C,"&lt;"&amp;'FA Addition'!$P$1)</f>
        <v>0</v>
      </c>
      <c r="Y986" s="191">
        <f>IFERROR(W986/'FA Addition'!$J986*'FA Addition'!$L986,0)</f>
        <v>0</v>
      </c>
      <c r="AA986" s="116">
        <f>SUMIFS('FA Write off'!D:D,'FA Write off'!A:A,'FA Addition'!$A986,'FA Write off'!C:C,"&lt;"&amp;'FA Addition'!$L$1+1,'FA Write off'!C:C,"&gt;"&amp;'FA Addition'!$L$1-365)</f>
        <v>0</v>
      </c>
      <c r="AC986" s="118">
        <f>IFERROR(AA986/'FA Addition'!$J986*'FA Addition'!$L986,0)</f>
        <v>0</v>
      </c>
      <c r="AE986" s="117">
        <f>IF(AND('FA Addition'!$D986&lt;$P$1+1,U986=0),'FA Addition'!$L986,0)-Y986</f>
        <v>0</v>
      </c>
      <c r="AF986" s="117">
        <f t="shared" si="75"/>
        <v>379500</v>
      </c>
      <c r="AG986" s="117">
        <f>MIN(MAX(+$P$1-'FA Addition'!$D986,0),365*'FA Addition'!$O986)</f>
        <v>0</v>
      </c>
      <c r="AH986" s="117">
        <f>MIN(MAX($L$1-'FA Addition'!$D986+1,0),365*'FA Addition'!$O986)</f>
        <v>4</v>
      </c>
      <c r="AI986" s="117" cm="1">
        <f t="array" ref="AI986">_xlfn.XLOOKUP(1,('FA Write off'!A:A='FA Addition'!$A986)*('FA Write off'!D:D=AA986),'FA Write off'!H:H,0,0)</f>
        <v>0</v>
      </c>
      <c r="AJ986" s="117">
        <f>IF(AC986&gt;0,MAX(IF('FA Addition'!$N986="SLM",($AC986-'FA Addition'!$M986)*'FA Addition'!$P986*AI986/365,(AC986-'FA Addition'!$M986)*(1-(1-'FA Addition'!$P986)^(AI986/365))),0),0)</f>
        <v>0</v>
      </c>
      <c r="AL986" s="117">
        <f>MAX(IF(AG986&gt;0,IF('FA Addition'!$N986="SLM",($AE986-'FA Addition'!$M986)*'FA Addition'!$P986*AG986/365,IFERROR(VDB(AE986,AE986*0.05,'FA Addition'!$O986,0,YEARFRAC('FA Addition'!$C986,$P$1-1,3),'FA Addition'!$Q986),FAAddition[[#This Row],[Original Cost (Rs)]]-FAAddition[[#This Row],[Salvage Value]])),0),0)</f>
        <v>0</v>
      </c>
      <c r="AM986" s="119"/>
      <c r="AN986" s="117">
        <f>MAX(IF(AH986&gt;0,IF('FA Addition'!$N986="SLM",($AF986-'FA Addition'!$M986)*'FA Addition'!$P986*AH986/365,IFERROR(VDB(AF986,AF986*0.05,'FA Addition'!$O986,0,YEARFRAC('FA Addition'!$C986,$L$1,3),'FA Addition'!$Q986),FAAddition[[#This Row],[Original Cost (Rs)]]-FAAddition[[#This Row],[Salvage Value]])),0),0)</f>
        <v>1970.0630517254569</v>
      </c>
      <c r="AO986" s="117">
        <f t="shared" si="78"/>
        <v>1970.0630517254569</v>
      </c>
      <c r="AQ986" s="117">
        <f t="shared" si="76"/>
        <v>0</v>
      </c>
      <c r="AR986" s="120">
        <f t="shared" si="77"/>
        <v>377529.93694827455</v>
      </c>
      <c r="AS986" s="121"/>
    </row>
    <row r="987" spans="1:45" ht="13.5" x14ac:dyDescent="0.4">
      <c r="A987" s="12">
        <f t="shared" si="79"/>
        <v>984</v>
      </c>
      <c r="B987" s="64" t="s">
        <v>1308</v>
      </c>
      <c r="C987" s="54">
        <v>45381</v>
      </c>
      <c r="D987" s="54">
        <v>45381</v>
      </c>
      <c r="E987" s="46" t="s">
        <v>1320</v>
      </c>
      <c r="F987" s="51" t="s">
        <v>33</v>
      </c>
      <c r="G987" s="51" t="s">
        <v>36</v>
      </c>
      <c r="H987" s="51" t="s">
        <v>32</v>
      </c>
      <c r="I987" s="55" t="s">
        <v>1754</v>
      </c>
      <c r="J987" s="56">
        <v>1000</v>
      </c>
      <c r="K987" s="51" t="s">
        <v>296</v>
      </c>
      <c r="L987" s="58">
        <v>1700000</v>
      </c>
      <c r="M987" s="50">
        <f>ROUND('FA Addition'!$L987*5%,0.1)</f>
        <v>85000</v>
      </c>
      <c r="N987" s="113" t="str">
        <f>_xlfn.XLOOKUP(_xlfn.CONCAT(E987,B987),'Year Wise Master Dep Approach'!F:F,'Year Wise Master Dep Approach'!D:D)</f>
        <v>SLM</v>
      </c>
      <c r="O987" s="113">
        <f>_xlfn.XLOOKUP(_xlfn.CONCAT(E987,B987),'Year Wise Master Dep Approach'!F:F,'Year Wise Master Dep Approach'!E:E)</f>
        <v>5</v>
      </c>
      <c r="P987" s="114">
        <f>IFERROR(IF('FA Addition'!$N987="WDV",1-('FA Addition'!$M987/'FA Addition'!$L987)^(1/'FA Addition'!$O987),1/'FA Addition'!$O987),0)</f>
        <v>0.2</v>
      </c>
      <c r="Q987" s="122">
        <f>'FA Addition'!$P987*'FA Addition'!$O987</f>
        <v>1</v>
      </c>
      <c r="R987" s="122"/>
      <c r="S987" s="116">
        <f>IF(AND(DATE(20&amp;LEFT(FAAddition[[#This Row],[FY]],2),4,1)&lt;$L$1+1,DATE(20&amp;LEFT(FAAddition[[#This Row],[FY]],2),4,1)&gt;$P$1-1),'FA Addition'!$J987,0)</f>
        <v>1000</v>
      </c>
      <c r="U987" s="117">
        <f>S987*'FA Addition'!$L987/'FA Addition'!$J987</f>
        <v>1700000</v>
      </c>
      <c r="W987" s="116">
        <f>SUMIFS('FA Write off'!D:D,'FA Write off'!A:A,'FA Addition'!$A987,'FA Write off'!C:C,"&lt;"&amp;'FA Addition'!$P$1)</f>
        <v>0</v>
      </c>
      <c r="Y987" s="191">
        <f>IFERROR(W987/'FA Addition'!$J987*'FA Addition'!$L987,0)</f>
        <v>0</v>
      </c>
      <c r="AA987" s="116">
        <f>SUMIFS('FA Write off'!D:D,'FA Write off'!A:A,'FA Addition'!$A987,'FA Write off'!C:C,"&lt;"&amp;'FA Addition'!$L$1+1,'FA Write off'!C:C,"&gt;"&amp;'FA Addition'!$L$1-365)</f>
        <v>0</v>
      </c>
      <c r="AC987" s="118">
        <f>IFERROR(AA987/'FA Addition'!$J987*'FA Addition'!$L987,0)</f>
        <v>0</v>
      </c>
      <c r="AE987" s="117">
        <f>IF(AND('FA Addition'!$D987&lt;$P$1+1,U987=0),'FA Addition'!$L987,0)-Y987</f>
        <v>0</v>
      </c>
      <c r="AF987" s="117">
        <f t="shared" si="75"/>
        <v>1700000</v>
      </c>
      <c r="AG987" s="117">
        <f>MIN(MAX(+$P$1-'FA Addition'!$D987,0),365*'FA Addition'!$O987)</f>
        <v>0</v>
      </c>
      <c r="AH987" s="117">
        <f>MIN(MAX($L$1-'FA Addition'!$D987+1,0),365*'FA Addition'!$O987)</f>
        <v>2</v>
      </c>
      <c r="AI987" s="117" cm="1">
        <f t="array" ref="AI987">_xlfn.XLOOKUP(1,('FA Write off'!A:A='FA Addition'!$A987)*('FA Write off'!D:D=AA987),'FA Write off'!H:H,0,0)</f>
        <v>0</v>
      </c>
      <c r="AJ987" s="117">
        <f>IF(AC987&gt;0,MAX(IF('FA Addition'!$N987="SLM",($AC987-'FA Addition'!$M987)*'FA Addition'!$P987*AI987/365,(AC987-'FA Addition'!$M987)*(1-(1-'FA Addition'!$P987)^(AI987/365))),0),0)</f>
        <v>0</v>
      </c>
      <c r="AL987" s="117">
        <f>MAX(IF(AG987&gt;0,IF('FA Addition'!$N987="SLM",($AE987-'FA Addition'!$M987)*'FA Addition'!$P987*AG987/365,IFERROR(VDB(AE987,AE987*0.05,'FA Addition'!$O987,0,YEARFRAC('FA Addition'!$C987,$P$1-1,3),'FA Addition'!$Q987),FAAddition[[#This Row],[Original Cost (Rs)]]-FAAddition[[#This Row],[Salvage Value]])),0),0)</f>
        <v>0</v>
      </c>
      <c r="AM987" s="119"/>
      <c r="AN987" s="117">
        <f>MAX(IF(AH987&gt;0,IF('FA Addition'!$N987="SLM",($AF987-'FA Addition'!$M987)*'FA Addition'!$P987*AH987/365,IFERROR(VDB(AF987,AF987*0.05,'FA Addition'!$O987,0,YEARFRAC('FA Addition'!$C987,$L$1,3),'FA Addition'!$Q987),FAAddition[[#This Row],[Original Cost (Rs)]]-FAAddition[[#This Row],[Salvage Value]])),0),0)</f>
        <v>1769.8630136986301</v>
      </c>
      <c r="AO987" s="117">
        <f t="shared" si="78"/>
        <v>1769.8630136986301</v>
      </c>
      <c r="AQ987" s="117">
        <f t="shared" si="76"/>
        <v>0</v>
      </c>
      <c r="AR987" s="120">
        <f t="shared" si="77"/>
        <v>1698230.1369863013</v>
      </c>
      <c r="AS987" s="121"/>
    </row>
    <row r="988" spans="1:45" ht="13.5" x14ac:dyDescent="0.4">
      <c r="A988" s="12">
        <f t="shared" si="79"/>
        <v>985</v>
      </c>
      <c r="B988" s="64" t="s">
        <v>1308</v>
      </c>
      <c r="C988" s="54">
        <v>45381</v>
      </c>
      <c r="D988" s="54">
        <v>45381</v>
      </c>
      <c r="E988" s="46" t="s">
        <v>1495</v>
      </c>
      <c r="F988" s="51" t="s">
        <v>1496</v>
      </c>
      <c r="G988" s="51" t="s">
        <v>12</v>
      </c>
      <c r="H988" s="51" t="s">
        <v>183</v>
      </c>
      <c r="I988" s="55" t="s">
        <v>1755</v>
      </c>
      <c r="J988" s="56">
        <v>1</v>
      </c>
      <c r="K988" s="51" t="s">
        <v>1737</v>
      </c>
      <c r="L988" s="58">
        <v>1400000</v>
      </c>
      <c r="M988" s="50">
        <f>ROUND('FA Addition'!$L988*5%,0.1)</f>
        <v>70000</v>
      </c>
      <c r="N988" s="113" t="str">
        <f>_xlfn.XLOOKUP(_xlfn.CONCAT(E988,B988),'Year Wise Master Dep Approach'!F:F,'Year Wise Master Dep Approach'!D:D)</f>
        <v>SLM</v>
      </c>
      <c r="O988" s="113">
        <f>_xlfn.XLOOKUP(_xlfn.CONCAT(E988,B988),'Year Wise Master Dep Approach'!F:F,'Year Wise Master Dep Approach'!E:E)</f>
        <v>3</v>
      </c>
      <c r="P988" s="114">
        <f>IFERROR(IF('FA Addition'!$N988="WDV",1-('FA Addition'!$M988/'FA Addition'!$L988)^(1/'FA Addition'!$O988),1/'FA Addition'!$O988),0)</f>
        <v>0.33333333333333331</v>
      </c>
      <c r="Q988" s="122">
        <f>'FA Addition'!$P988*'FA Addition'!$O988</f>
        <v>1</v>
      </c>
      <c r="R988" s="122"/>
      <c r="S988" s="116">
        <f>IF(AND(DATE(20&amp;LEFT(FAAddition[[#This Row],[FY]],2),4,1)&lt;$L$1+1,DATE(20&amp;LEFT(FAAddition[[#This Row],[FY]],2),4,1)&gt;$P$1-1),'FA Addition'!$J988,0)</f>
        <v>1</v>
      </c>
      <c r="U988" s="117">
        <f>S988*'FA Addition'!$L988/'FA Addition'!$J988</f>
        <v>1400000</v>
      </c>
      <c r="W988" s="116">
        <f>SUMIFS('FA Write off'!D:D,'FA Write off'!A:A,'FA Addition'!$A988,'FA Write off'!C:C,"&lt;"&amp;'FA Addition'!$P$1)</f>
        <v>0</v>
      </c>
      <c r="Y988" s="191">
        <f>IFERROR(W988/'FA Addition'!$J988*'FA Addition'!$L988,0)</f>
        <v>0</v>
      </c>
      <c r="AA988" s="116">
        <f>SUMIFS('FA Write off'!D:D,'FA Write off'!A:A,'FA Addition'!$A988,'FA Write off'!C:C,"&lt;"&amp;'FA Addition'!$L$1+1,'FA Write off'!C:C,"&gt;"&amp;'FA Addition'!$L$1-365)</f>
        <v>0</v>
      </c>
      <c r="AC988" s="118">
        <f>IFERROR(AA988/'FA Addition'!$J988*'FA Addition'!$L988,0)</f>
        <v>0</v>
      </c>
      <c r="AE988" s="117">
        <f>IF(AND('FA Addition'!$D988&lt;$P$1+1,U988=0),'FA Addition'!$L988,0)-Y988</f>
        <v>0</v>
      </c>
      <c r="AF988" s="117">
        <f t="shared" si="75"/>
        <v>1400000</v>
      </c>
      <c r="AG988" s="117">
        <f>MIN(MAX(+$P$1-'FA Addition'!$D988,0),365*'FA Addition'!$O988)</f>
        <v>0</v>
      </c>
      <c r="AH988" s="117">
        <f>MIN(MAX($L$1-'FA Addition'!$D988+1,0),365*'FA Addition'!$O988)</f>
        <v>2</v>
      </c>
      <c r="AI988" s="117" cm="1">
        <f t="array" ref="AI988">_xlfn.XLOOKUP(1,('FA Write off'!A:A='FA Addition'!$A988)*('FA Write off'!D:D=AA988),'FA Write off'!H:H,0,0)</f>
        <v>0</v>
      </c>
      <c r="AJ988" s="117">
        <f>IF(AC988&gt;0,MAX(IF('FA Addition'!$N988="SLM",($AC988-'FA Addition'!$M988)*'FA Addition'!$P988*AI988/365,(AC988-'FA Addition'!$M988)*(1-(1-'FA Addition'!$P988)^(AI988/365))),0),0)</f>
        <v>0</v>
      </c>
      <c r="AL988" s="117">
        <f>MAX(IF(AG988&gt;0,IF('FA Addition'!$N988="SLM",($AE988-'FA Addition'!$M988)*'FA Addition'!$P988*AG988/365,IFERROR(VDB(AE988,AE988*0.05,'FA Addition'!$O988,0,YEARFRAC('FA Addition'!$C988,$P$1-1,3),'FA Addition'!$Q988),FAAddition[[#This Row],[Original Cost (Rs)]]-FAAddition[[#This Row],[Salvage Value]])),0),0)</f>
        <v>0</v>
      </c>
      <c r="AM988" s="119"/>
      <c r="AN988" s="117">
        <f>MAX(IF(AH988&gt;0,IF('FA Addition'!$N988="SLM",($AF988-'FA Addition'!$M988)*'FA Addition'!$P988*AH988/365,IFERROR(VDB(AF988,AF988*0.05,'FA Addition'!$O988,0,YEARFRAC('FA Addition'!$C988,$L$1,3),'FA Addition'!$Q988),FAAddition[[#This Row],[Original Cost (Rs)]]-FAAddition[[#This Row],[Salvage Value]])),0),0)</f>
        <v>2429.2237442922374</v>
      </c>
      <c r="AO988" s="117">
        <f t="shared" si="78"/>
        <v>2429.2237442922374</v>
      </c>
      <c r="AQ988" s="117">
        <f t="shared" si="76"/>
        <v>0</v>
      </c>
      <c r="AR988" s="120">
        <f t="shared" si="77"/>
        <v>1397570.7762557077</v>
      </c>
      <c r="AS988" s="121"/>
    </row>
    <row r="989" spans="1:45" ht="13.5" x14ac:dyDescent="0.4">
      <c r="A989" s="12">
        <f t="shared" si="79"/>
        <v>986</v>
      </c>
      <c r="B989" s="64" t="s">
        <v>1308</v>
      </c>
      <c r="C989" s="54">
        <v>45381</v>
      </c>
      <c r="D989" s="54">
        <v>45381</v>
      </c>
      <c r="E989" s="46" t="s">
        <v>1389</v>
      </c>
      <c r="F989" s="51" t="s">
        <v>1112</v>
      </c>
      <c r="G989" s="51" t="s">
        <v>36</v>
      </c>
      <c r="H989" s="51" t="s">
        <v>1113</v>
      </c>
      <c r="I989" s="55" t="s">
        <v>1756</v>
      </c>
      <c r="J989" s="56">
        <v>2000</v>
      </c>
      <c r="K989" s="51" t="s">
        <v>1132</v>
      </c>
      <c r="L989" s="58">
        <v>1400000</v>
      </c>
      <c r="M989" s="50">
        <f>ROUND('FA Addition'!$L989*5%,0.1)</f>
        <v>70000</v>
      </c>
      <c r="N989" s="113" t="str">
        <f>_xlfn.XLOOKUP(_xlfn.CONCAT(E989,B989),'Year Wise Master Dep Approach'!F:F,'Year Wise Master Dep Approach'!D:D)</f>
        <v>SLM</v>
      </c>
      <c r="O989" s="113">
        <f>_xlfn.XLOOKUP(_xlfn.CONCAT(E989,B989),'Year Wise Master Dep Approach'!F:F,'Year Wise Master Dep Approach'!E:E)</f>
        <v>3</v>
      </c>
      <c r="P989" s="114">
        <f>IFERROR(IF('FA Addition'!$N989="WDV",1-('FA Addition'!$M989/'FA Addition'!$L989)^(1/'FA Addition'!$O989),1/'FA Addition'!$O989),0)</f>
        <v>0.33333333333333331</v>
      </c>
      <c r="Q989" s="122">
        <f>'FA Addition'!$P989*'FA Addition'!$O989</f>
        <v>1</v>
      </c>
      <c r="R989" s="122"/>
      <c r="S989" s="116">
        <f>IF(AND(DATE(20&amp;LEFT(FAAddition[[#This Row],[FY]],2),4,1)&lt;$L$1+1,DATE(20&amp;LEFT(FAAddition[[#This Row],[FY]],2),4,1)&gt;$P$1-1),'FA Addition'!$J989,0)</f>
        <v>2000</v>
      </c>
      <c r="U989" s="117">
        <f>S989*'FA Addition'!$L989/'FA Addition'!$J989</f>
        <v>1400000</v>
      </c>
      <c r="W989" s="116">
        <f>SUMIFS('FA Write off'!D:D,'FA Write off'!A:A,'FA Addition'!$A989,'FA Write off'!C:C,"&lt;"&amp;'FA Addition'!$P$1)</f>
        <v>0</v>
      </c>
      <c r="Y989" s="191">
        <f>IFERROR(W989/'FA Addition'!$J989*'FA Addition'!$L989,0)</f>
        <v>0</v>
      </c>
      <c r="AA989" s="116">
        <f>SUMIFS('FA Write off'!D:D,'FA Write off'!A:A,'FA Addition'!$A989,'FA Write off'!C:C,"&lt;"&amp;'FA Addition'!$L$1+1,'FA Write off'!C:C,"&gt;"&amp;'FA Addition'!$L$1-365)</f>
        <v>0</v>
      </c>
      <c r="AC989" s="118">
        <f>IFERROR(AA989/'FA Addition'!$J989*'FA Addition'!$L989,0)</f>
        <v>0</v>
      </c>
      <c r="AE989" s="117">
        <f>IF(AND('FA Addition'!$D989&lt;$P$1+1,U989=0),'FA Addition'!$L989,0)-Y989</f>
        <v>0</v>
      </c>
      <c r="AF989" s="117">
        <f t="shared" si="75"/>
        <v>1400000</v>
      </c>
      <c r="AG989" s="117">
        <f>MIN(MAX(+$P$1-'FA Addition'!$D989,0),365*'FA Addition'!$O989)</f>
        <v>0</v>
      </c>
      <c r="AH989" s="117">
        <f>MIN(MAX($L$1-'FA Addition'!$D989+1,0),365*'FA Addition'!$O989)</f>
        <v>2</v>
      </c>
      <c r="AI989" s="117" cm="1">
        <f t="array" ref="AI989">_xlfn.XLOOKUP(1,('FA Write off'!A:A='FA Addition'!$A989)*('FA Write off'!D:D=AA989),'FA Write off'!H:H,0,0)</f>
        <v>0</v>
      </c>
      <c r="AJ989" s="117">
        <f>IF(AC989&gt;0,MAX(IF('FA Addition'!$N989="SLM",($AC989-'FA Addition'!$M989)*'FA Addition'!$P989*AI989/365,(AC989-'FA Addition'!$M989)*(1-(1-'FA Addition'!$P989)^(AI989/365))),0),0)</f>
        <v>0</v>
      </c>
      <c r="AL989" s="117">
        <f>MAX(IF(AG989&gt;0,IF('FA Addition'!$N989="SLM",($AE989-'FA Addition'!$M989)*'FA Addition'!$P989*AG989/365,IFERROR(VDB(AE989,AE989*0.05,'FA Addition'!$O989,0,YEARFRAC('FA Addition'!$C989,$P$1-1,3),'FA Addition'!$Q989),FAAddition[[#This Row],[Original Cost (Rs)]]-FAAddition[[#This Row],[Salvage Value]])),0),0)</f>
        <v>0</v>
      </c>
      <c r="AM989" s="119"/>
      <c r="AN989" s="117">
        <f>MAX(IF(AH989&gt;0,IF('FA Addition'!$N989="SLM",($AF989-'FA Addition'!$M989)*'FA Addition'!$P989*AH989/365,IFERROR(VDB(AF989,AF989*0.05,'FA Addition'!$O989,0,YEARFRAC('FA Addition'!$C989,$L$1,3),'FA Addition'!$Q989),FAAddition[[#This Row],[Original Cost (Rs)]]-FAAddition[[#This Row],[Salvage Value]])),0),0)</f>
        <v>2429.2237442922374</v>
      </c>
      <c r="AO989" s="117">
        <f t="shared" si="78"/>
        <v>2429.2237442922374</v>
      </c>
      <c r="AQ989" s="117">
        <f t="shared" si="76"/>
        <v>0</v>
      </c>
      <c r="AR989" s="120">
        <f t="shared" si="77"/>
        <v>1397570.7762557077</v>
      </c>
      <c r="AS989" s="121"/>
    </row>
    <row r="990" spans="1:45" ht="13.5" x14ac:dyDescent="0.4">
      <c r="A990" s="12">
        <f t="shared" si="79"/>
        <v>987</v>
      </c>
      <c r="B990" s="64" t="s">
        <v>1308</v>
      </c>
      <c r="C990" s="54">
        <v>45381</v>
      </c>
      <c r="D990" s="54">
        <v>45381</v>
      </c>
      <c r="E990" s="46" t="s">
        <v>451</v>
      </c>
      <c r="F990" s="51" t="s">
        <v>19</v>
      </c>
      <c r="G990" s="51" t="s">
        <v>1134</v>
      </c>
      <c r="H990" s="51" t="s">
        <v>21</v>
      </c>
      <c r="I990" s="55" t="s">
        <v>1757</v>
      </c>
      <c r="J990" s="56">
        <v>1</v>
      </c>
      <c r="K990" s="51" t="s">
        <v>1552</v>
      </c>
      <c r="L990" s="58">
        <v>30500</v>
      </c>
      <c r="M990" s="50">
        <f>ROUND('FA Addition'!$L990*5%,0.1)</f>
        <v>1525</v>
      </c>
      <c r="N990" s="113" t="str">
        <f>_xlfn.XLOOKUP(_xlfn.CONCAT(E990,B990),'Year Wise Master Dep Approach'!F:F,'Year Wise Master Dep Approach'!D:D)</f>
        <v>WDV</v>
      </c>
      <c r="O990" s="113">
        <f>_xlfn.XLOOKUP(_xlfn.CONCAT(E990,B990),'Year Wise Master Dep Approach'!F:F,'Year Wise Master Dep Approach'!E:E)</f>
        <v>3</v>
      </c>
      <c r="P990" s="114">
        <f>IFERROR(IF('FA Addition'!$N990="WDV",1-('FA Addition'!$M990/'FA Addition'!$L990)^(1/'FA Addition'!$O990),1/'FA Addition'!$O990),0)</f>
        <v>0.63159685013596123</v>
      </c>
      <c r="Q990" s="122">
        <f>'FA Addition'!$P990*'FA Addition'!$O990</f>
        <v>1.8947905504078837</v>
      </c>
      <c r="R990" s="122"/>
      <c r="S990" s="116">
        <f>IF(AND(DATE(20&amp;LEFT(FAAddition[[#This Row],[FY]],2),4,1)&lt;$L$1+1,DATE(20&amp;LEFT(FAAddition[[#This Row],[FY]],2),4,1)&gt;$P$1-1),'FA Addition'!$J990,0)</f>
        <v>1</v>
      </c>
      <c r="U990" s="117">
        <f>S990*'FA Addition'!$L990/'FA Addition'!$J990</f>
        <v>30500</v>
      </c>
      <c r="W990" s="116">
        <f>SUMIFS('FA Write off'!D:D,'FA Write off'!A:A,'FA Addition'!$A990,'FA Write off'!C:C,"&lt;"&amp;'FA Addition'!$P$1)</f>
        <v>0</v>
      </c>
      <c r="Y990" s="191">
        <f>IFERROR(W990/'FA Addition'!$J990*'FA Addition'!$L990,0)</f>
        <v>0</v>
      </c>
      <c r="AA990" s="116">
        <f>SUMIFS('FA Write off'!D:D,'FA Write off'!A:A,'FA Addition'!$A990,'FA Write off'!C:C,"&lt;"&amp;'FA Addition'!$L$1+1,'FA Write off'!C:C,"&gt;"&amp;'FA Addition'!$L$1-365)</f>
        <v>0</v>
      </c>
      <c r="AC990" s="118">
        <f>IFERROR(AA990/'FA Addition'!$J990*'FA Addition'!$L990,0)</f>
        <v>0</v>
      </c>
      <c r="AE990" s="117">
        <f>IF(AND('FA Addition'!$D990&lt;$P$1+1,U990=0),'FA Addition'!$L990,0)-Y990</f>
        <v>0</v>
      </c>
      <c r="AF990" s="117">
        <f t="shared" si="75"/>
        <v>30500</v>
      </c>
      <c r="AG990" s="117">
        <f>MIN(MAX(+$P$1-'FA Addition'!$D990,0),365*'FA Addition'!$O990)</f>
        <v>0</v>
      </c>
      <c r="AH990" s="117">
        <f>MIN(MAX($L$1-'FA Addition'!$D990+1,0),365*'FA Addition'!$O990)</f>
        <v>2</v>
      </c>
      <c r="AI990" s="117" cm="1">
        <f t="array" ref="AI990">_xlfn.XLOOKUP(1,('FA Write off'!A:A='FA Addition'!$A990)*('FA Write off'!D:D=AA990),'FA Write off'!H:H,0,0)</f>
        <v>0</v>
      </c>
      <c r="AJ990" s="117">
        <f>IF(AC990&gt;0,MAX(IF('FA Addition'!$N990="SLM",($AC990-'FA Addition'!$M990)*'FA Addition'!$P990*AI990/365,(AC990-'FA Addition'!$M990)*(1-(1-'FA Addition'!$P990)^(AI990/365))),0),0)</f>
        <v>0</v>
      </c>
      <c r="AL990" s="117">
        <f>MAX(IF(AG990&gt;0,IF('FA Addition'!$N990="SLM",($AE990-'FA Addition'!$M990)*'FA Addition'!$P990*AG990/365,IFERROR(VDB(AE990,AE990*0.05,'FA Addition'!$O990,0,YEARFRAC('FA Addition'!$C990,$P$1-1,3),'FA Addition'!$Q990),FAAddition[[#This Row],[Original Cost (Rs)]]-FAAddition[[#This Row],[Salvage Value]])),0),0)</f>
        <v>0</v>
      </c>
      <c r="AM990" s="119"/>
      <c r="AN990" s="117">
        <f>MAX(IF(AH990&gt;0,IF('FA Addition'!$N990="SLM",($AF990-'FA Addition'!$M990)*'FA Addition'!$P990*AH990/365,IFERROR(VDB(AF990,AF990*0.05,'FA Addition'!$O990,0,YEARFRAC('FA Addition'!$C990,$L$1,3),'FA Addition'!$Q990),FAAddition[[#This Row],[Original Cost (Rs)]]-FAAddition[[#This Row],[Salvage Value]])),0),0)</f>
        <v>52.777271038758407</v>
      </c>
      <c r="AO990" s="117">
        <f t="shared" si="78"/>
        <v>52.777271038758407</v>
      </c>
      <c r="AQ990" s="117">
        <f t="shared" si="76"/>
        <v>0</v>
      </c>
      <c r="AR990" s="120">
        <f t="shared" si="77"/>
        <v>30447.222728961242</v>
      </c>
      <c r="AS990" s="121"/>
    </row>
    <row r="991" spans="1:45" ht="13.5" x14ac:dyDescent="0.4">
      <c r="A991" s="12">
        <f t="shared" si="79"/>
        <v>988</v>
      </c>
      <c r="B991" s="64" t="s">
        <v>1308</v>
      </c>
      <c r="C991" s="54">
        <v>45381</v>
      </c>
      <c r="D991" s="54">
        <v>45381</v>
      </c>
      <c r="E991" s="46" t="s">
        <v>451</v>
      </c>
      <c r="F991" s="51" t="s">
        <v>19</v>
      </c>
      <c r="G991" s="51" t="s">
        <v>1134</v>
      </c>
      <c r="H991" s="51" t="s">
        <v>21</v>
      </c>
      <c r="I991" s="55" t="s">
        <v>1757</v>
      </c>
      <c r="J991" s="56">
        <v>1</v>
      </c>
      <c r="K991" s="51" t="s">
        <v>1552</v>
      </c>
      <c r="L991" s="58">
        <v>30500</v>
      </c>
      <c r="M991" s="50">
        <f>ROUND('FA Addition'!$L991*5%,0.1)</f>
        <v>1525</v>
      </c>
      <c r="N991" s="113" t="str">
        <f>_xlfn.XLOOKUP(_xlfn.CONCAT(E991,B991),'Year Wise Master Dep Approach'!F:F,'Year Wise Master Dep Approach'!D:D)</f>
        <v>WDV</v>
      </c>
      <c r="O991" s="113">
        <f>_xlfn.XLOOKUP(_xlfn.CONCAT(E991,B991),'Year Wise Master Dep Approach'!F:F,'Year Wise Master Dep Approach'!E:E)</f>
        <v>3</v>
      </c>
      <c r="P991" s="114">
        <f>IFERROR(IF('FA Addition'!$N991="WDV",1-('FA Addition'!$M991/'FA Addition'!$L991)^(1/'FA Addition'!$O991),1/'FA Addition'!$O991),0)</f>
        <v>0.63159685013596123</v>
      </c>
      <c r="Q991" s="122">
        <f>'FA Addition'!$P991*'FA Addition'!$O991</f>
        <v>1.8947905504078837</v>
      </c>
      <c r="R991" s="122"/>
      <c r="S991" s="116">
        <f>IF(AND(DATE(20&amp;LEFT(FAAddition[[#This Row],[FY]],2),4,1)&lt;$L$1+1,DATE(20&amp;LEFT(FAAddition[[#This Row],[FY]],2),4,1)&gt;$P$1-1),'FA Addition'!$J991,0)</f>
        <v>1</v>
      </c>
      <c r="U991" s="117">
        <f>S991*'FA Addition'!$L991/'FA Addition'!$J991</f>
        <v>30500</v>
      </c>
      <c r="W991" s="116">
        <f>SUMIFS('FA Write off'!D:D,'FA Write off'!A:A,'FA Addition'!$A991,'FA Write off'!C:C,"&lt;"&amp;'FA Addition'!$P$1)</f>
        <v>0</v>
      </c>
      <c r="Y991" s="191">
        <f>IFERROR(W991/'FA Addition'!$J991*'FA Addition'!$L991,0)</f>
        <v>0</v>
      </c>
      <c r="AA991" s="116">
        <f>SUMIFS('FA Write off'!D:D,'FA Write off'!A:A,'FA Addition'!$A991,'FA Write off'!C:C,"&lt;"&amp;'FA Addition'!$L$1+1,'FA Write off'!C:C,"&gt;"&amp;'FA Addition'!$L$1-365)</f>
        <v>0</v>
      </c>
      <c r="AC991" s="118">
        <f>IFERROR(AA991/'FA Addition'!$J991*'FA Addition'!$L991,0)</f>
        <v>0</v>
      </c>
      <c r="AE991" s="117">
        <f>IF(AND('FA Addition'!$D991&lt;$P$1+1,U991=0),'FA Addition'!$L991,0)-Y991</f>
        <v>0</v>
      </c>
      <c r="AF991" s="117">
        <f t="shared" si="75"/>
        <v>30500</v>
      </c>
      <c r="AG991" s="117">
        <f>MIN(MAX(+$P$1-'FA Addition'!$D991,0),365*'FA Addition'!$O991)</f>
        <v>0</v>
      </c>
      <c r="AH991" s="117">
        <f>MIN(MAX($L$1-'FA Addition'!$D991+1,0),365*'FA Addition'!$O991)</f>
        <v>2</v>
      </c>
      <c r="AI991" s="117" cm="1">
        <f t="array" ref="AI991">_xlfn.XLOOKUP(1,('FA Write off'!A:A='FA Addition'!$A991)*('FA Write off'!D:D=AA991),'FA Write off'!H:H,0,0)</f>
        <v>0</v>
      </c>
      <c r="AJ991" s="117">
        <f>IF(AC991&gt;0,MAX(IF('FA Addition'!$N991="SLM",($AC991-'FA Addition'!$M991)*'FA Addition'!$P991*AI991/365,(AC991-'FA Addition'!$M991)*(1-(1-'FA Addition'!$P991)^(AI991/365))),0),0)</f>
        <v>0</v>
      </c>
      <c r="AL991" s="117">
        <f>MAX(IF(AG991&gt;0,IF('FA Addition'!$N991="SLM",($AE991-'FA Addition'!$M991)*'FA Addition'!$P991*AG991/365,IFERROR(VDB(AE991,AE991*0.05,'FA Addition'!$O991,0,YEARFRAC('FA Addition'!$C991,$P$1-1,3),'FA Addition'!$Q991),FAAddition[[#This Row],[Original Cost (Rs)]]-FAAddition[[#This Row],[Salvage Value]])),0),0)</f>
        <v>0</v>
      </c>
      <c r="AM991" s="119"/>
      <c r="AN991" s="117">
        <f>MAX(IF(AH991&gt;0,IF('FA Addition'!$N991="SLM",($AF991-'FA Addition'!$M991)*'FA Addition'!$P991*AH991/365,IFERROR(VDB(AF991,AF991*0.05,'FA Addition'!$O991,0,YEARFRAC('FA Addition'!$C991,$L$1,3),'FA Addition'!$Q991),FAAddition[[#This Row],[Original Cost (Rs)]]-FAAddition[[#This Row],[Salvage Value]])),0),0)</f>
        <v>52.777271038758407</v>
      </c>
      <c r="AO991" s="117">
        <f t="shared" si="78"/>
        <v>52.777271038758407</v>
      </c>
      <c r="AQ991" s="117">
        <f t="shared" si="76"/>
        <v>0</v>
      </c>
      <c r="AR991" s="120">
        <f t="shared" si="77"/>
        <v>30447.222728961242</v>
      </c>
      <c r="AS991" s="121"/>
    </row>
    <row r="992" spans="1:45" ht="13.5" x14ac:dyDescent="0.4">
      <c r="A992" s="12">
        <f t="shared" si="79"/>
        <v>989</v>
      </c>
      <c r="B992" s="64" t="s">
        <v>1308</v>
      </c>
      <c r="C992" s="54">
        <v>45381</v>
      </c>
      <c r="D992" s="54">
        <v>45381</v>
      </c>
      <c r="E992" s="46" t="s">
        <v>451</v>
      </c>
      <c r="F992" s="51" t="s">
        <v>19</v>
      </c>
      <c r="G992" s="51" t="s">
        <v>1134</v>
      </c>
      <c r="H992" s="51" t="s">
        <v>21</v>
      </c>
      <c r="I992" s="55" t="s">
        <v>1757</v>
      </c>
      <c r="J992" s="56">
        <v>1</v>
      </c>
      <c r="K992" s="51" t="s">
        <v>1552</v>
      </c>
      <c r="L992" s="58">
        <v>30500</v>
      </c>
      <c r="M992" s="50">
        <f>ROUND('FA Addition'!$L992*5%,0.1)</f>
        <v>1525</v>
      </c>
      <c r="N992" s="113" t="str">
        <f>_xlfn.XLOOKUP(_xlfn.CONCAT(E992,B992),'Year Wise Master Dep Approach'!F:F,'Year Wise Master Dep Approach'!D:D)</f>
        <v>WDV</v>
      </c>
      <c r="O992" s="113">
        <f>_xlfn.XLOOKUP(_xlfn.CONCAT(E992,B992),'Year Wise Master Dep Approach'!F:F,'Year Wise Master Dep Approach'!E:E)</f>
        <v>3</v>
      </c>
      <c r="P992" s="114">
        <f>IFERROR(IF('FA Addition'!$N992="WDV",1-('FA Addition'!$M992/'FA Addition'!$L992)^(1/'FA Addition'!$O992),1/'FA Addition'!$O992),0)</f>
        <v>0.63159685013596123</v>
      </c>
      <c r="Q992" s="122">
        <f>'FA Addition'!$P992*'FA Addition'!$O992</f>
        <v>1.8947905504078837</v>
      </c>
      <c r="R992" s="122"/>
      <c r="S992" s="116">
        <f>IF(AND(DATE(20&amp;LEFT(FAAddition[[#This Row],[FY]],2),4,1)&lt;$L$1+1,DATE(20&amp;LEFT(FAAddition[[#This Row],[FY]],2),4,1)&gt;$P$1-1),'FA Addition'!$J992,0)</f>
        <v>1</v>
      </c>
      <c r="U992" s="117">
        <f>S992*'FA Addition'!$L992/'FA Addition'!$J992</f>
        <v>30500</v>
      </c>
      <c r="W992" s="116">
        <f>SUMIFS('FA Write off'!D:D,'FA Write off'!A:A,'FA Addition'!$A992,'FA Write off'!C:C,"&lt;"&amp;'FA Addition'!$P$1)</f>
        <v>0</v>
      </c>
      <c r="Y992" s="191">
        <f>IFERROR(W992/'FA Addition'!$J992*'FA Addition'!$L992,0)</f>
        <v>0</v>
      </c>
      <c r="AA992" s="116">
        <f>SUMIFS('FA Write off'!D:D,'FA Write off'!A:A,'FA Addition'!$A992,'FA Write off'!C:C,"&lt;"&amp;'FA Addition'!$L$1+1,'FA Write off'!C:C,"&gt;"&amp;'FA Addition'!$L$1-365)</f>
        <v>0</v>
      </c>
      <c r="AC992" s="118">
        <f>IFERROR(AA992/'FA Addition'!$J992*'FA Addition'!$L992,0)</f>
        <v>0</v>
      </c>
      <c r="AE992" s="117">
        <f>IF(AND('FA Addition'!$D992&lt;$P$1+1,U992=0),'FA Addition'!$L992,0)-Y992</f>
        <v>0</v>
      </c>
      <c r="AF992" s="117">
        <f t="shared" si="75"/>
        <v>30500</v>
      </c>
      <c r="AG992" s="117">
        <f>MIN(MAX(+$P$1-'FA Addition'!$D992,0),365*'FA Addition'!$O992)</f>
        <v>0</v>
      </c>
      <c r="AH992" s="117">
        <f>MIN(MAX($L$1-'FA Addition'!$D992+1,0),365*'FA Addition'!$O992)</f>
        <v>2</v>
      </c>
      <c r="AI992" s="117" cm="1">
        <f t="array" ref="AI992">_xlfn.XLOOKUP(1,('FA Write off'!A:A='FA Addition'!$A992)*('FA Write off'!D:D=AA992),'FA Write off'!H:H,0,0)</f>
        <v>0</v>
      </c>
      <c r="AJ992" s="117">
        <f>IF(AC992&gt;0,MAX(IF('FA Addition'!$N992="SLM",($AC992-'FA Addition'!$M992)*'FA Addition'!$P992*AI992/365,(AC992-'FA Addition'!$M992)*(1-(1-'FA Addition'!$P992)^(AI992/365))),0),0)</f>
        <v>0</v>
      </c>
      <c r="AL992" s="117">
        <f>MAX(IF(AG992&gt;0,IF('FA Addition'!$N992="SLM",($AE992-'FA Addition'!$M992)*'FA Addition'!$P992*AG992/365,IFERROR(VDB(AE992,AE992*0.05,'FA Addition'!$O992,0,YEARFRAC('FA Addition'!$C992,$P$1-1,3),'FA Addition'!$Q992),FAAddition[[#This Row],[Original Cost (Rs)]]-FAAddition[[#This Row],[Salvage Value]])),0),0)</f>
        <v>0</v>
      </c>
      <c r="AM992" s="119"/>
      <c r="AN992" s="117">
        <f>MAX(IF(AH992&gt;0,IF('FA Addition'!$N992="SLM",($AF992-'FA Addition'!$M992)*'FA Addition'!$P992*AH992/365,IFERROR(VDB(AF992,AF992*0.05,'FA Addition'!$O992,0,YEARFRAC('FA Addition'!$C992,$L$1,3),'FA Addition'!$Q992),FAAddition[[#This Row],[Original Cost (Rs)]]-FAAddition[[#This Row],[Salvage Value]])),0),0)</f>
        <v>52.777271038758407</v>
      </c>
      <c r="AO992" s="117">
        <f t="shared" si="78"/>
        <v>52.777271038758407</v>
      </c>
      <c r="AQ992" s="117">
        <f t="shared" si="76"/>
        <v>0</v>
      </c>
      <c r="AR992" s="120">
        <f t="shared" si="77"/>
        <v>30447.222728961242</v>
      </c>
      <c r="AS992" s="121"/>
    </row>
    <row r="993" spans="1:45" ht="13.5" x14ac:dyDescent="0.4">
      <c r="A993" s="12">
        <f t="shared" si="79"/>
        <v>990</v>
      </c>
      <c r="B993" s="64" t="s">
        <v>1308</v>
      </c>
      <c r="C993" s="54">
        <v>45381</v>
      </c>
      <c r="D993" s="54">
        <v>45381</v>
      </c>
      <c r="E993" s="46" t="s">
        <v>451</v>
      </c>
      <c r="F993" s="51" t="s">
        <v>19</v>
      </c>
      <c r="G993" s="51" t="s">
        <v>1134</v>
      </c>
      <c r="H993" s="51" t="s">
        <v>21</v>
      </c>
      <c r="I993" s="55" t="s">
        <v>1757</v>
      </c>
      <c r="J993" s="56">
        <v>1</v>
      </c>
      <c r="K993" s="51" t="s">
        <v>1552</v>
      </c>
      <c r="L993" s="58">
        <v>30500</v>
      </c>
      <c r="M993" s="50">
        <f>ROUND('FA Addition'!$L993*5%,0.1)</f>
        <v>1525</v>
      </c>
      <c r="N993" s="113" t="str">
        <f>_xlfn.XLOOKUP(_xlfn.CONCAT(E993,B993),'Year Wise Master Dep Approach'!F:F,'Year Wise Master Dep Approach'!D:D)</f>
        <v>WDV</v>
      </c>
      <c r="O993" s="113">
        <f>_xlfn.XLOOKUP(_xlfn.CONCAT(E993,B993),'Year Wise Master Dep Approach'!F:F,'Year Wise Master Dep Approach'!E:E)</f>
        <v>3</v>
      </c>
      <c r="P993" s="114">
        <f>IFERROR(IF('FA Addition'!$N993="WDV",1-('FA Addition'!$M993/'FA Addition'!$L993)^(1/'FA Addition'!$O993),1/'FA Addition'!$O993),0)</f>
        <v>0.63159685013596123</v>
      </c>
      <c r="Q993" s="122">
        <f>'FA Addition'!$P993*'FA Addition'!$O993</f>
        <v>1.8947905504078837</v>
      </c>
      <c r="R993" s="122"/>
      <c r="S993" s="116">
        <f>IF(AND(DATE(20&amp;LEFT(FAAddition[[#This Row],[FY]],2),4,1)&lt;$L$1+1,DATE(20&amp;LEFT(FAAddition[[#This Row],[FY]],2),4,1)&gt;$P$1-1),'FA Addition'!$J993,0)</f>
        <v>1</v>
      </c>
      <c r="U993" s="117">
        <f>S993*'FA Addition'!$L993/'FA Addition'!$J993</f>
        <v>30500</v>
      </c>
      <c r="W993" s="116">
        <f>SUMIFS('FA Write off'!D:D,'FA Write off'!A:A,'FA Addition'!$A993,'FA Write off'!C:C,"&lt;"&amp;'FA Addition'!$P$1)</f>
        <v>0</v>
      </c>
      <c r="Y993" s="191">
        <f>IFERROR(W993/'FA Addition'!$J993*'FA Addition'!$L993,0)</f>
        <v>0</v>
      </c>
      <c r="AA993" s="116">
        <f>SUMIFS('FA Write off'!D:D,'FA Write off'!A:A,'FA Addition'!$A993,'FA Write off'!C:C,"&lt;"&amp;'FA Addition'!$L$1+1,'FA Write off'!C:C,"&gt;"&amp;'FA Addition'!$L$1-365)</f>
        <v>0</v>
      </c>
      <c r="AC993" s="118">
        <f>IFERROR(AA993/'FA Addition'!$J993*'FA Addition'!$L993,0)</f>
        <v>0</v>
      </c>
      <c r="AE993" s="117">
        <f>IF(AND('FA Addition'!$D993&lt;$P$1+1,U993=0),'FA Addition'!$L993,0)-Y993</f>
        <v>0</v>
      </c>
      <c r="AF993" s="117">
        <f t="shared" si="75"/>
        <v>30500</v>
      </c>
      <c r="AG993" s="117">
        <f>MIN(MAX(+$P$1-'FA Addition'!$D993,0),365*'FA Addition'!$O993)</f>
        <v>0</v>
      </c>
      <c r="AH993" s="117">
        <f>MIN(MAX($L$1-'FA Addition'!$D993+1,0),365*'FA Addition'!$O993)</f>
        <v>2</v>
      </c>
      <c r="AI993" s="117" cm="1">
        <f t="array" ref="AI993">_xlfn.XLOOKUP(1,('FA Write off'!A:A='FA Addition'!$A993)*('FA Write off'!D:D=AA993),'FA Write off'!H:H,0,0)</f>
        <v>0</v>
      </c>
      <c r="AJ993" s="117">
        <f>IF(AC993&gt;0,MAX(IF('FA Addition'!$N993="SLM",($AC993-'FA Addition'!$M993)*'FA Addition'!$P993*AI993/365,(AC993-'FA Addition'!$M993)*(1-(1-'FA Addition'!$P993)^(AI993/365))),0),0)</f>
        <v>0</v>
      </c>
      <c r="AL993" s="117">
        <f>MAX(IF(AG993&gt;0,IF('FA Addition'!$N993="SLM",($AE993-'FA Addition'!$M993)*'FA Addition'!$P993*AG993/365,IFERROR(VDB(AE993,AE993*0.05,'FA Addition'!$O993,0,YEARFRAC('FA Addition'!$C993,$P$1-1,3),'FA Addition'!$Q993),FAAddition[[#This Row],[Original Cost (Rs)]]-FAAddition[[#This Row],[Salvage Value]])),0),0)</f>
        <v>0</v>
      </c>
      <c r="AM993" s="119"/>
      <c r="AN993" s="117">
        <f>MAX(IF(AH993&gt;0,IF('FA Addition'!$N993="SLM",($AF993-'FA Addition'!$M993)*'FA Addition'!$P993*AH993/365,IFERROR(VDB(AF993,AF993*0.05,'FA Addition'!$O993,0,YEARFRAC('FA Addition'!$C993,$L$1,3),'FA Addition'!$Q993),FAAddition[[#This Row],[Original Cost (Rs)]]-FAAddition[[#This Row],[Salvage Value]])),0),0)</f>
        <v>52.777271038758407</v>
      </c>
      <c r="AO993" s="117">
        <f t="shared" si="78"/>
        <v>52.777271038758407</v>
      </c>
      <c r="AQ993" s="117">
        <f t="shared" si="76"/>
        <v>0</v>
      </c>
      <c r="AR993" s="120">
        <f t="shared" si="77"/>
        <v>30447.222728961242</v>
      </c>
      <c r="AS993" s="121"/>
    </row>
    <row r="994" spans="1:45" ht="13.5" x14ac:dyDescent="0.4">
      <c r="A994" s="12">
        <f t="shared" si="79"/>
        <v>991</v>
      </c>
      <c r="B994" s="64" t="s">
        <v>1758</v>
      </c>
      <c r="C994" s="54">
        <v>45383</v>
      </c>
      <c r="D994" s="54">
        <v>45383</v>
      </c>
      <c r="E994" s="46" t="s">
        <v>32</v>
      </c>
      <c r="F994" s="51" t="s">
        <v>1090</v>
      </c>
      <c r="G994" s="51" t="s">
        <v>433</v>
      </c>
      <c r="H994" s="51" t="s">
        <v>32</v>
      </c>
      <c r="I994" s="55" t="s">
        <v>1759</v>
      </c>
      <c r="J994" s="56">
        <v>200</v>
      </c>
      <c r="K994" s="51" t="s">
        <v>935</v>
      </c>
      <c r="L994" s="58">
        <v>198000</v>
      </c>
      <c r="M994" s="50">
        <f>ROUND('FA Addition'!$L994*5%,0.1)</f>
        <v>9900</v>
      </c>
      <c r="N994" s="113" t="str">
        <f>_xlfn.XLOOKUP(_xlfn.CONCAT(E994,B994),'Year Wise Master Dep Approach'!F:F,'Year Wise Master Dep Approach'!D:D)</f>
        <v>SLM</v>
      </c>
      <c r="O994" s="113">
        <f>_xlfn.XLOOKUP(_xlfn.CONCAT(E994,B994),'Year Wise Master Dep Approach'!F:F,'Year Wise Master Dep Approach'!E:E)</f>
        <v>5</v>
      </c>
      <c r="P994" s="114">
        <f>IFERROR(IF('FA Addition'!$N994="WDV",1-('FA Addition'!$M994/'FA Addition'!$L994)^(1/'FA Addition'!$O994),1/'FA Addition'!$O994),0)</f>
        <v>0.2</v>
      </c>
      <c r="Q994" s="122">
        <f>'FA Addition'!$P994*'FA Addition'!$O994</f>
        <v>1</v>
      </c>
      <c r="R994" s="122"/>
      <c r="S994" s="116">
        <f>IF(AND(DATE(20&amp;LEFT(FAAddition[[#This Row],[FY]],2),4,1)&lt;$L$1+1,DATE(20&amp;LEFT(FAAddition[[#This Row],[FY]],2),4,1)&gt;$P$1-1),'FA Addition'!$J994,0)</f>
        <v>0</v>
      </c>
      <c r="U994" s="117">
        <f>S994*'FA Addition'!$L994/'FA Addition'!$J994</f>
        <v>0</v>
      </c>
      <c r="W994" s="116">
        <f>SUMIFS('FA Write off'!D:D,'FA Write off'!A:A,'FA Addition'!$A994,'FA Write off'!C:C,"&lt;"&amp;'FA Addition'!$P$1)</f>
        <v>11</v>
      </c>
      <c r="Y994" s="191">
        <f>IFERROR(W994/'FA Addition'!$J994*'FA Addition'!$L994,0)</f>
        <v>10890</v>
      </c>
      <c r="AA994" s="116">
        <f>SUMIFS('FA Write off'!D:D,'FA Write off'!A:A,'FA Addition'!$A994,'FA Write off'!C:C,"&lt;"&amp;'FA Addition'!$L$1+1,'FA Write off'!C:C,"&gt;"&amp;'FA Addition'!$L$1-365)</f>
        <v>0</v>
      </c>
      <c r="AC994" s="118">
        <f>IFERROR(AA994/'FA Addition'!$J994*'FA Addition'!$L994,0)</f>
        <v>0</v>
      </c>
      <c r="AE994" s="117">
        <f>IF(AND('FA Addition'!$D994&lt;$P$1+1,U994=0),'FA Addition'!$L994,0)-Y994</f>
        <v>-10890</v>
      </c>
      <c r="AF994" s="117">
        <f t="shared" si="75"/>
        <v>-10890</v>
      </c>
      <c r="AG994" s="117">
        <f>MIN(MAX(+$P$1-'FA Addition'!$D994,0),365*'FA Addition'!$O994)</f>
        <v>0</v>
      </c>
      <c r="AH994" s="117">
        <f>MIN(MAX($L$1-'FA Addition'!$D994+1,0),365*'FA Addition'!$O994)</f>
        <v>0</v>
      </c>
      <c r="AI994" s="117" cm="1">
        <f t="array" ref="AI994">_xlfn.XLOOKUP(1,('FA Write off'!A:A='FA Addition'!$A994)*('FA Write off'!D:D=AA994),'FA Write off'!H:H,0,0)</f>
        <v>0</v>
      </c>
      <c r="AJ994" s="117">
        <f>IF(AC994&gt;0,MAX(IF('FA Addition'!$N994="SLM",($AC994-'FA Addition'!$M994)*'FA Addition'!$P994*AI994/365,(AC994-'FA Addition'!$M994)*(1-(1-'FA Addition'!$P994)^(AI994/365))),0),0)</f>
        <v>0</v>
      </c>
      <c r="AL994" s="117">
        <f>MAX(IF(AG994&gt;0,IF('FA Addition'!$N994="SLM",($AE994-'FA Addition'!$M994)*'FA Addition'!$P994*AG994/365,IFERROR(VDB(AE994,AE994*0.05,'FA Addition'!$O994,0,YEARFRAC('FA Addition'!$C994,$P$1-1,3),'FA Addition'!$Q994),FAAddition[[#This Row],[Original Cost (Rs)]]-FAAddition[[#This Row],[Salvage Value]])),0),0)</f>
        <v>0</v>
      </c>
      <c r="AM994" s="119"/>
      <c r="AN994" s="117">
        <f>MAX(IF(AH994&gt;0,IF('FA Addition'!$N994="SLM",($AF994-'FA Addition'!$M994)*'FA Addition'!$P994*AH994/365,IFERROR(VDB(AF994,AF994*0.05,'FA Addition'!$O994,0,YEARFRAC('FA Addition'!$C994,$L$1,3),'FA Addition'!$Q994),FAAddition[[#This Row],[Original Cost (Rs)]]-FAAddition[[#This Row],[Salvage Value]])),0),0)</f>
        <v>0</v>
      </c>
      <c r="AO994" s="117">
        <f t="shared" si="78"/>
        <v>0</v>
      </c>
      <c r="AQ994" s="117">
        <f t="shared" si="76"/>
        <v>-10890</v>
      </c>
      <c r="AR994" s="120">
        <f t="shared" si="77"/>
        <v>-10890</v>
      </c>
      <c r="AS994" s="121"/>
    </row>
    <row r="995" spans="1:45" ht="13.5" x14ac:dyDescent="0.4">
      <c r="A995" s="12">
        <f t="shared" si="79"/>
        <v>992</v>
      </c>
      <c r="B995" s="64" t="s">
        <v>1758</v>
      </c>
      <c r="C995" s="54">
        <v>45385</v>
      </c>
      <c r="D995" s="54">
        <v>45385</v>
      </c>
      <c r="E995" s="46" t="s">
        <v>451</v>
      </c>
      <c r="F995" s="51" t="s">
        <v>19</v>
      </c>
      <c r="G995" s="51" t="s">
        <v>1396</v>
      </c>
      <c r="H995" s="51" t="s">
        <v>21</v>
      </c>
      <c r="I995" s="55" t="s">
        <v>1760</v>
      </c>
      <c r="J995" s="56">
        <v>1</v>
      </c>
      <c r="K995" s="51" t="s">
        <v>1761</v>
      </c>
      <c r="L995" s="58">
        <v>30500</v>
      </c>
      <c r="M995" s="50">
        <f>ROUND('FA Addition'!$L995*5%,0.1)</f>
        <v>1525</v>
      </c>
      <c r="N995" s="113" t="str">
        <f>_xlfn.XLOOKUP(_xlfn.CONCAT(E995,B995),'Year Wise Master Dep Approach'!F:F,'Year Wise Master Dep Approach'!D:D)</f>
        <v>WDV</v>
      </c>
      <c r="O995" s="113">
        <f>_xlfn.XLOOKUP(_xlfn.CONCAT(E995,B995),'Year Wise Master Dep Approach'!F:F,'Year Wise Master Dep Approach'!E:E)</f>
        <v>3</v>
      </c>
      <c r="P995" s="114">
        <f>IFERROR(IF('FA Addition'!$N995="WDV",1-('FA Addition'!$M995/'FA Addition'!$L995)^(1/'FA Addition'!$O995),1/'FA Addition'!$O995),0)</f>
        <v>0.63159685013596123</v>
      </c>
      <c r="Q995" s="122">
        <f>'FA Addition'!$P995*'FA Addition'!$O995</f>
        <v>1.8947905504078837</v>
      </c>
      <c r="R995" s="122"/>
      <c r="S995" s="116">
        <f>IF(AND(DATE(20&amp;LEFT(FAAddition[[#This Row],[FY]],2),4,1)&lt;$L$1+1,DATE(20&amp;LEFT(FAAddition[[#This Row],[FY]],2),4,1)&gt;$P$1-1),'FA Addition'!$J995,0)</f>
        <v>0</v>
      </c>
      <c r="U995" s="117">
        <f>S995*'FA Addition'!$L995/'FA Addition'!$J995</f>
        <v>0</v>
      </c>
      <c r="W995" s="116">
        <f>SUMIFS('FA Write off'!D:D,'FA Write off'!A:A,'FA Addition'!$A995,'FA Write off'!C:C,"&lt;"&amp;'FA Addition'!$P$1)</f>
        <v>0</v>
      </c>
      <c r="Y995" s="191">
        <f>IFERROR(W995/'FA Addition'!$J995*'FA Addition'!$L995,0)</f>
        <v>0</v>
      </c>
      <c r="AA995" s="116">
        <f>SUMIFS('FA Write off'!D:D,'FA Write off'!A:A,'FA Addition'!$A995,'FA Write off'!C:C,"&lt;"&amp;'FA Addition'!$L$1+1,'FA Write off'!C:C,"&gt;"&amp;'FA Addition'!$L$1-365)</f>
        <v>0</v>
      </c>
      <c r="AC995" s="118">
        <f>IFERROR(AA995/'FA Addition'!$J995*'FA Addition'!$L995,0)</f>
        <v>0</v>
      </c>
      <c r="AE995" s="117">
        <f>IF(AND('FA Addition'!$D995&lt;$P$1+1,U995=0),'FA Addition'!$L995,0)-Y995</f>
        <v>0</v>
      </c>
      <c r="AF995" s="117">
        <f t="shared" si="75"/>
        <v>0</v>
      </c>
      <c r="AG995" s="117">
        <f>MIN(MAX(+$P$1-'FA Addition'!$D995,0),365*'FA Addition'!$O995)</f>
        <v>0</v>
      </c>
      <c r="AH995" s="117">
        <f>MIN(MAX($L$1-'FA Addition'!$D995+1,0),365*'FA Addition'!$O995)</f>
        <v>0</v>
      </c>
      <c r="AI995" s="117" cm="1">
        <f t="array" ref="AI995">_xlfn.XLOOKUP(1,('FA Write off'!A:A='FA Addition'!$A995)*('FA Write off'!D:D=AA995),'FA Write off'!H:H,0,0)</f>
        <v>0</v>
      </c>
      <c r="AJ995" s="117">
        <f>IF(AC995&gt;0,MAX(IF('FA Addition'!$N995="SLM",($AC995-'FA Addition'!$M995)*'FA Addition'!$P995*AI995/365,(AC995-'FA Addition'!$M995)*(1-(1-'FA Addition'!$P995)^(AI995/365))),0),0)</f>
        <v>0</v>
      </c>
      <c r="AL995" s="117">
        <f>MAX(IF(AG995&gt;0,IF('FA Addition'!$N995="SLM",($AE995-'FA Addition'!$M995)*'FA Addition'!$P995*AG995/365,IFERROR(VDB(AE995,AE995*0.05,'FA Addition'!$O995,0,YEARFRAC('FA Addition'!$C995,$P$1-1,3),'FA Addition'!$Q995),FAAddition[[#This Row],[Original Cost (Rs)]]-FAAddition[[#This Row],[Salvage Value]])),0),0)</f>
        <v>0</v>
      </c>
      <c r="AM995" s="119"/>
      <c r="AN995" s="117">
        <f>MAX(IF(AH995&gt;0,IF('FA Addition'!$N995="SLM",($AF995-'FA Addition'!$M995)*'FA Addition'!$P995*AH995/365,IFERROR(VDB(AF995,AF995*0.05,'FA Addition'!$O995,0,YEARFRAC('FA Addition'!$C995,$L$1,3),'FA Addition'!$Q995),FAAddition[[#This Row],[Original Cost (Rs)]]-FAAddition[[#This Row],[Salvage Value]])),0),0)</f>
        <v>0</v>
      </c>
      <c r="AO995" s="117">
        <f t="shared" si="78"/>
        <v>0</v>
      </c>
      <c r="AQ995" s="117">
        <f t="shared" si="76"/>
        <v>0</v>
      </c>
      <c r="AR995" s="120">
        <f t="shared" si="77"/>
        <v>0</v>
      </c>
      <c r="AS995" s="121"/>
    </row>
    <row r="996" spans="1:45" ht="13.5" x14ac:dyDescent="0.4">
      <c r="A996" s="12">
        <f t="shared" si="79"/>
        <v>993</v>
      </c>
      <c r="B996" s="64" t="s">
        <v>1758</v>
      </c>
      <c r="C996" s="54">
        <v>45385</v>
      </c>
      <c r="D996" s="54">
        <v>45385</v>
      </c>
      <c r="E996" s="46" t="s">
        <v>451</v>
      </c>
      <c r="F996" s="51" t="s">
        <v>19</v>
      </c>
      <c r="G996" s="51" t="s">
        <v>1396</v>
      </c>
      <c r="H996" s="51" t="s">
        <v>21</v>
      </c>
      <c r="I996" s="55" t="s">
        <v>1760</v>
      </c>
      <c r="J996" s="56">
        <v>1</v>
      </c>
      <c r="K996" s="51" t="s">
        <v>1761</v>
      </c>
      <c r="L996" s="58">
        <v>30500</v>
      </c>
      <c r="M996" s="50">
        <f>ROUND('FA Addition'!$L996*5%,0.1)</f>
        <v>1525</v>
      </c>
      <c r="N996" s="113" t="str">
        <f>_xlfn.XLOOKUP(_xlfn.CONCAT(E996,B996),'Year Wise Master Dep Approach'!F:F,'Year Wise Master Dep Approach'!D:D)</f>
        <v>WDV</v>
      </c>
      <c r="O996" s="113">
        <f>_xlfn.XLOOKUP(_xlfn.CONCAT(E996,B996),'Year Wise Master Dep Approach'!F:F,'Year Wise Master Dep Approach'!E:E)</f>
        <v>3</v>
      </c>
      <c r="P996" s="114">
        <f>IFERROR(IF('FA Addition'!$N996="WDV",1-('FA Addition'!$M996/'FA Addition'!$L996)^(1/'FA Addition'!$O996),1/'FA Addition'!$O996),0)</f>
        <v>0.63159685013596123</v>
      </c>
      <c r="Q996" s="122">
        <f>'FA Addition'!$P996*'FA Addition'!$O996</f>
        <v>1.8947905504078837</v>
      </c>
      <c r="R996" s="122"/>
      <c r="S996" s="116">
        <f>IF(AND(DATE(20&amp;LEFT(FAAddition[[#This Row],[FY]],2),4,1)&lt;$L$1+1,DATE(20&amp;LEFT(FAAddition[[#This Row],[FY]],2),4,1)&gt;$P$1-1),'FA Addition'!$J996,0)</f>
        <v>0</v>
      </c>
      <c r="U996" s="117">
        <f>S996*'FA Addition'!$L996/'FA Addition'!$J996</f>
        <v>0</v>
      </c>
      <c r="W996" s="116">
        <f>SUMIFS('FA Write off'!D:D,'FA Write off'!A:A,'FA Addition'!$A996,'FA Write off'!C:C,"&lt;"&amp;'FA Addition'!$P$1)</f>
        <v>0</v>
      </c>
      <c r="Y996" s="191">
        <f>IFERROR(W996/'FA Addition'!$J996*'FA Addition'!$L996,0)</f>
        <v>0</v>
      </c>
      <c r="AA996" s="116">
        <f>SUMIFS('FA Write off'!D:D,'FA Write off'!A:A,'FA Addition'!$A996,'FA Write off'!C:C,"&lt;"&amp;'FA Addition'!$L$1+1,'FA Write off'!C:C,"&gt;"&amp;'FA Addition'!$L$1-365)</f>
        <v>0</v>
      </c>
      <c r="AC996" s="118">
        <f>IFERROR(AA996/'FA Addition'!$J996*'FA Addition'!$L996,0)</f>
        <v>0</v>
      </c>
      <c r="AE996" s="117">
        <f>IF(AND('FA Addition'!$D996&lt;$P$1+1,U996=0),'FA Addition'!$L996,0)-Y996</f>
        <v>0</v>
      </c>
      <c r="AF996" s="117">
        <f t="shared" si="75"/>
        <v>0</v>
      </c>
      <c r="AG996" s="117">
        <f>MIN(MAX(+$P$1-'FA Addition'!$D996,0),365*'FA Addition'!$O996)</f>
        <v>0</v>
      </c>
      <c r="AH996" s="117">
        <f>MIN(MAX($L$1-'FA Addition'!$D996+1,0),365*'FA Addition'!$O996)</f>
        <v>0</v>
      </c>
      <c r="AI996" s="117" cm="1">
        <f t="array" ref="AI996">_xlfn.XLOOKUP(1,('FA Write off'!A:A='FA Addition'!$A996)*('FA Write off'!D:D=AA996),'FA Write off'!H:H,0,0)</f>
        <v>0</v>
      </c>
      <c r="AJ996" s="117">
        <f>IF(AC996&gt;0,MAX(IF('FA Addition'!$N996="SLM",($AC996-'FA Addition'!$M996)*'FA Addition'!$P996*AI996/365,(AC996-'FA Addition'!$M996)*(1-(1-'FA Addition'!$P996)^(AI996/365))),0),0)</f>
        <v>0</v>
      </c>
      <c r="AL996" s="117">
        <f>MAX(IF(AG996&gt;0,IF('FA Addition'!$N996="SLM",($AE996-'FA Addition'!$M996)*'FA Addition'!$P996*AG996/365,IFERROR(VDB(AE996,AE996*0.05,'FA Addition'!$O996,0,YEARFRAC('FA Addition'!$C996,$P$1-1,3),'FA Addition'!$Q996),FAAddition[[#This Row],[Original Cost (Rs)]]-FAAddition[[#This Row],[Salvage Value]])),0),0)</f>
        <v>0</v>
      </c>
      <c r="AM996" s="119"/>
      <c r="AN996" s="117">
        <f>MAX(IF(AH996&gt;0,IF('FA Addition'!$N996="SLM",($AF996-'FA Addition'!$M996)*'FA Addition'!$P996*AH996/365,IFERROR(VDB(AF996,AF996*0.05,'FA Addition'!$O996,0,YEARFRAC('FA Addition'!$C996,$L$1,3),'FA Addition'!$Q996),FAAddition[[#This Row],[Original Cost (Rs)]]-FAAddition[[#This Row],[Salvage Value]])),0),0)</f>
        <v>0</v>
      </c>
      <c r="AO996" s="117">
        <f t="shared" si="78"/>
        <v>0</v>
      </c>
      <c r="AQ996" s="117">
        <f t="shared" si="76"/>
        <v>0</v>
      </c>
      <c r="AR996" s="120">
        <f t="shared" si="77"/>
        <v>0</v>
      </c>
      <c r="AS996" s="121"/>
    </row>
    <row r="997" spans="1:45" ht="13.5" x14ac:dyDescent="0.4">
      <c r="A997" s="12">
        <f t="shared" si="79"/>
        <v>994</v>
      </c>
      <c r="B997" s="64" t="s">
        <v>1758</v>
      </c>
      <c r="C997" s="54">
        <v>45387</v>
      </c>
      <c r="D997" s="54">
        <v>45387</v>
      </c>
      <c r="E997" s="46" t="s">
        <v>1320</v>
      </c>
      <c r="F997" s="51" t="s">
        <v>33</v>
      </c>
      <c r="G997" s="51" t="s">
        <v>36</v>
      </c>
      <c r="H997" s="51" t="s">
        <v>32</v>
      </c>
      <c r="I997" s="55" t="s">
        <v>1762</v>
      </c>
      <c r="J997" s="56">
        <v>1000</v>
      </c>
      <c r="K997" s="51" t="s">
        <v>296</v>
      </c>
      <c r="L997" s="58">
        <v>1700000</v>
      </c>
      <c r="M997" s="50">
        <f>ROUND('FA Addition'!$L997*5%,0.1)</f>
        <v>85000</v>
      </c>
      <c r="N997" s="113" t="str">
        <f>_xlfn.XLOOKUP(_xlfn.CONCAT(E997,B997),'Year Wise Master Dep Approach'!F:F,'Year Wise Master Dep Approach'!D:D)</f>
        <v>SLM</v>
      </c>
      <c r="O997" s="113">
        <f>_xlfn.XLOOKUP(_xlfn.CONCAT(E997,B997),'Year Wise Master Dep Approach'!F:F,'Year Wise Master Dep Approach'!E:E)</f>
        <v>5</v>
      </c>
      <c r="P997" s="114">
        <f>IFERROR(IF('FA Addition'!$N997="WDV",1-('FA Addition'!$M997/'FA Addition'!$L997)^(1/'FA Addition'!$O997),1/'FA Addition'!$O997),0)</f>
        <v>0.2</v>
      </c>
      <c r="Q997" s="122">
        <f>'FA Addition'!$P997*'FA Addition'!$O997</f>
        <v>1</v>
      </c>
      <c r="R997" s="122"/>
      <c r="S997" s="116">
        <f>IF(AND(DATE(20&amp;LEFT(FAAddition[[#This Row],[FY]],2),4,1)&lt;$L$1+1,DATE(20&amp;LEFT(FAAddition[[#This Row],[FY]],2),4,1)&gt;$P$1-1),'FA Addition'!$J997,0)</f>
        <v>0</v>
      </c>
      <c r="U997" s="117">
        <f>S997*'FA Addition'!$L997/'FA Addition'!$J997</f>
        <v>0</v>
      </c>
      <c r="W997" s="116">
        <f>SUMIFS('FA Write off'!D:D,'FA Write off'!A:A,'FA Addition'!$A997,'FA Write off'!C:C,"&lt;"&amp;'FA Addition'!$P$1)</f>
        <v>0</v>
      </c>
      <c r="Y997" s="191">
        <f>IFERROR(W997/'FA Addition'!$J997*'FA Addition'!$L997,0)</f>
        <v>0</v>
      </c>
      <c r="AA997" s="116">
        <f>SUMIFS('FA Write off'!D:D,'FA Write off'!A:A,'FA Addition'!$A997,'FA Write off'!C:C,"&lt;"&amp;'FA Addition'!$L$1+1,'FA Write off'!C:C,"&gt;"&amp;'FA Addition'!$L$1-365)</f>
        <v>0</v>
      </c>
      <c r="AC997" s="118">
        <f>IFERROR(AA997/'FA Addition'!$J997*'FA Addition'!$L997,0)</f>
        <v>0</v>
      </c>
      <c r="AE997" s="117">
        <f>IF(AND('FA Addition'!$D997&lt;$P$1+1,U997=0),'FA Addition'!$L997,0)-Y997</f>
        <v>0</v>
      </c>
      <c r="AF997" s="117">
        <f t="shared" si="75"/>
        <v>0</v>
      </c>
      <c r="AG997" s="117">
        <f>MIN(MAX(+$P$1-'FA Addition'!$D997,0),365*'FA Addition'!$O997)</f>
        <v>0</v>
      </c>
      <c r="AH997" s="117">
        <f>MIN(MAX($L$1-'FA Addition'!$D997+1,0),365*'FA Addition'!$O997)</f>
        <v>0</v>
      </c>
      <c r="AI997" s="117" cm="1">
        <f t="array" ref="AI997">_xlfn.XLOOKUP(1,('FA Write off'!A:A='FA Addition'!$A997)*('FA Write off'!D:D=AA997),'FA Write off'!H:H,0,0)</f>
        <v>0</v>
      </c>
      <c r="AJ997" s="117">
        <f>IF(AC997&gt;0,MAX(IF('FA Addition'!$N997="SLM",($AC997-'FA Addition'!$M997)*'FA Addition'!$P997*AI997/365,(AC997-'FA Addition'!$M997)*(1-(1-'FA Addition'!$P997)^(AI997/365))),0),0)</f>
        <v>0</v>
      </c>
      <c r="AL997" s="117">
        <f>MAX(IF(AG997&gt;0,IF('FA Addition'!$N997="SLM",($AE997-'FA Addition'!$M997)*'FA Addition'!$P997*AG997/365,IFERROR(VDB(AE997,AE997*0.05,'FA Addition'!$O997,0,YEARFRAC('FA Addition'!$C997,$P$1-1,3),'FA Addition'!$Q997),FAAddition[[#This Row],[Original Cost (Rs)]]-FAAddition[[#This Row],[Salvage Value]])),0),0)</f>
        <v>0</v>
      </c>
      <c r="AM997" s="119"/>
      <c r="AN997" s="117">
        <f>MAX(IF(AH997&gt;0,IF('FA Addition'!$N997="SLM",($AF997-'FA Addition'!$M997)*'FA Addition'!$P997*AH997/365,IFERROR(VDB(AF997,AF997*0.05,'FA Addition'!$O997,0,YEARFRAC('FA Addition'!$C997,$L$1,3),'FA Addition'!$Q997),FAAddition[[#This Row],[Original Cost (Rs)]]-FAAddition[[#This Row],[Salvage Value]])),0),0)</f>
        <v>0</v>
      </c>
      <c r="AO997" s="117">
        <f t="shared" si="78"/>
        <v>0</v>
      </c>
      <c r="AQ997" s="117">
        <f t="shared" si="76"/>
        <v>0</v>
      </c>
      <c r="AR997" s="120">
        <f t="shared" si="77"/>
        <v>0</v>
      </c>
      <c r="AS997" s="121"/>
    </row>
    <row r="998" spans="1:45" ht="13.5" x14ac:dyDescent="0.4">
      <c r="A998" s="12">
        <f t="shared" si="79"/>
        <v>995</v>
      </c>
      <c r="B998" s="64" t="s">
        <v>1758</v>
      </c>
      <c r="C998" s="54">
        <v>45387</v>
      </c>
      <c r="D998" s="54">
        <v>45387</v>
      </c>
      <c r="E998" s="46" t="s">
        <v>1320</v>
      </c>
      <c r="F998" s="51" t="s">
        <v>33</v>
      </c>
      <c r="G998" s="51" t="s">
        <v>36</v>
      </c>
      <c r="H998" s="51" t="s">
        <v>32</v>
      </c>
      <c r="I998" s="55" t="s">
        <v>1763</v>
      </c>
      <c r="J998" s="56">
        <v>1000</v>
      </c>
      <c r="K998" s="51" t="s">
        <v>296</v>
      </c>
      <c r="L998" s="58">
        <v>1700000</v>
      </c>
      <c r="M998" s="50">
        <f>ROUND('FA Addition'!$L998*5%,0.1)</f>
        <v>85000</v>
      </c>
      <c r="N998" s="113" t="str">
        <f>_xlfn.XLOOKUP(_xlfn.CONCAT(E998,B998),'Year Wise Master Dep Approach'!F:F,'Year Wise Master Dep Approach'!D:D)</f>
        <v>SLM</v>
      </c>
      <c r="O998" s="113">
        <f>_xlfn.XLOOKUP(_xlfn.CONCAT(E998,B998),'Year Wise Master Dep Approach'!F:F,'Year Wise Master Dep Approach'!E:E)</f>
        <v>5</v>
      </c>
      <c r="P998" s="114">
        <f>IFERROR(IF('FA Addition'!$N998="WDV",1-('FA Addition'!$M998/'FA Addition'!$L998)^(1/'FA Addition'!$O998),1/'FA Addition'!$O998),0)</f>
        <v>0.2</v>
      </c>
      <c r="Q998" s="122">
        <f>'FA Addition'!$P998*'FA Addition'!$O998</f>
        <v>1</v>
      </c>
      <c r="R998" s="122"/>
      <c r="S998" s="116">
        <f>IF(AND(DATE(20&amp;LEFT(FAAddition[[#This Row],[FY]],2),4,1)&lt;$L$1+1,DATE(20&amp;LEFT(FAAddition[[#This Row],[FY]],2),4,1)&gt;$P$1-1),'FA Addition'!$J998,0)</f>
        <v>0</v>
      </c>
      <c r="U998" s="117">
        <f>S998*'FA Addition'!$L998/'FA Addition'!$J998</f>
        <v>0</v>
      </c>
      <c r="W998" s="116">
        <f>SUMIFS('FA Write off'!D:D,'FA Write off'!A:A,'FA Addition'!$A998,'FA Write off'!C:C,"&lt;"&amp;'FA Addition'!$P$1)</f>
        <v>0</v>
      </c>
      <c r="Y998" s="191">
        <f>IFERROR(W998/'FA Addition'!$J998*'FA Addition'!$L998,0)</f>
        <v>0</v>
      </c>
      <c r="AA998" s="116">
        <f>SUMIFS('FA Write off'!D:D,'FA Write off'!A:A,'FA Addition'!$A998,'FA Write off'!C:C,"&lt;"&amp;'FA Addition'!$L$1+1,'FA Write off'!C:C,"&gt;"&amp;'FA Addition'!$L$1-365)</f>
        <v>0</v>
      </c>
      <c r="AC998" s="118">
        <f>IFERROR(AA998/'FA Addition'!$J998*'FA Addition'!$L998,0)</f>
        <v>0</v>
      </c>
      <c r="AE998" s="117">
        <f>IF(AND('FA Addition'!$D998&lt;$P$1+1,U998=0),'FA Addition'!$L998,0)-Y998</f>
        <v>0</v>
      </c>
      <c r="AF998" s="117">
        <f t="shared" si="75"/>
        <v>0</v>
      </c>
      <c r="AG998" s="117">
        <f>MIN(MAX(+$P$1-'FA Addition'!$D998,0),365*'FA Addition'!$O998)</f>
        <v>0</v>
      </c>
      <c r="AH998" s="117">
        <f>MIN(MAX($L$1-'FA Addition'!$D998+1,0),365*'FA Addition'!$O998)</f>
        <v>0</v>
      </c>
      <c r="AI998" s="117" cm="1">
        <f t="array" ref="AI998">_xlfn.XLOOKUP(1,('FA Write off'!A:A='FA Addition'!$A998)*('FA Write off'!D:D=AA998),'FA Write off'!H:H,0,0)</f>
        <v>0</v>
      </c>
      <c r="AJ998" s="117">
        <f>IF(AC998&gt;0,MAX(IF('FA Addition'!$N998="SLM",($AC998-'FA Addition'!$M998)*'FA Addition'!$P998*AI998/365,(AC998-'FA Addition'!$M998)*(1-(1-'FA Addition'!$P998)^(AI998/365))),0),0)</f>
        <v>0</v>
      </c>
      <c r="AL998" s="117">
        <f>MAX(IF(AG998&gt;0,IF('FA Addition'!$N998="SLM",($AE998-'FA Addition'!$M998)*'FA Addition'!$P998*AG998/365,IFERROR(VDB(AE998,AE998*0.05,'FA Addition'!$O998,0,YEARFRAC('FA Addition'!$C998,$P$1-1,3),'FA Addition'!$Q998),FAAddition[[#This Row],[Original Cost (Rs)]]-FAAddition[[#This Row],[Salvage Value]])),0),0)</f>
        <v>0</v>
      </c>
      <c r="AM998" s="119"/>
      <c r="AN998" s="117">
        <f>MAX(IF(AH998&gt;0,IF('FA Addition'!$N998="SLM",($AF998-'FA Addition'!$M998)*'FA Addition'!$P998*AH998/365,IFERROR(VDB(AF998,AF998*0.05,'FA Addition'!$O998,0,YEARFRAC('FA Addition'!$C998,$L$1,3),'FA Addition'!$Q998),FAAddition[[#This Row],[Original Cost (Rs)]]-FAAddition[[#This Row],[Salvage Value]])),0),0)</f>
        <v>0</v>
      </c>
      <c r="AO998" s="117">
        <f t="shared" si="78"/>
        <v>0</v>
      </c>
      <c r="AQ998" s="117">
        <f t="shared" si="76"/>
        <v>0</v>
      </c>
      <c r="AR998" s="120">
        <f t="shared" si="77"/>
        <v>0</v>
      </c>
      <c r="AS998" s="121"/>
    </row>
    <row r="999" spans="1:45" ht="13.5" x14ac:dyDescent="0.4">
      <c r="A999" s="12">
        <f t="shared" si="79"/>
        <v>996</v>
      </c>
      <c r="B999" s="64" t="s">
        <v>1758</v>
      </c>
      <c r="C999" s="54">
        <v>45388</v>
      </c>
      <c r="D999" s="54">
        <v>45388</v>
      </c>
      <c r="E999" s="46" t="s">
        <v>1320</v>
      </c>
      <c r="F999" s="51" t="s">
        <v>33</v>
      </c>
      <c r="G999" s="51" t="s">
        <v>36</v>
      </c>
      <c r="H999" s="51" t="s">
        <v>32</v>
      </c>
      <c r="I999" s="55" t="s">
        <v>1764</v>
      </c>
      <c r="J999" s="56">
        <v>800</v>
      </c>
      <c r="K999" s="51" t="s">
        <v>296</v>
      </c>
      <c r="L999" s="58">
        <v>1360000</v>
      </c>
      <c r="M999" s="50">
        <f>ROUND('FA Addition'!$L999*5%,0.1)</f>
        <v>68000</v>
      </c>
      <c r="N999" s="113" t="str">
        <f>_xlfn.XLOOKUP(_xlfn.CONCAT(E999,B999),'Year Wise Master Dep Approach'!F:F,'Year Wise Master Dep Approach'!D:D)</f>
        <v>SLM</v>
      </c>
      <c r="O999" s="113">
        <f>_xlfn.XLOOKUP(_xlfn.CONCAT(E999,B999),'Year Wise Master Dep Approach'!F:F,'Year Wise Master Dep Approach'!E:E)</f>
        <v>5</v>
      </c>
      <c r="P999" s="114">
        <f>IFERROR(IF('FA Addition'!$N999="WDV",1-('FA Addition'!$M999/'FA Addition'!$L999)^(1/'FA Addition'!$O999),1/'FA Addition'!$O999),0)</f>
        <v>0.2</v>
      </c>
      <c r="Q999" s="122">
        <f>'FA Addition'!$P999*'FA Addition'!$O999</f>
        <v>1</v>
      </c>
      <c r="R999" s="122"/>
      <c r="S999" s="116">
        <f>IF(AND(DATE(20&amp;LEFT(FAAddition[[#This Row],[FY]],2),4,1)&lt;$L$1+1,DATE(20&amp;LEFT(FAAddition[[#This Row],[FY]],2),4,1)&gt;$P$1-1),'FA Addition'!$J999,0)</f>
        <v>0</v>
      </c>
      <c r="U999" s="117">
        <f>S999*'FA Addition'!$L999/'FA Addition'!$J999</f>
        <v>0</v>
      </c>
      <c r="W999" s="116">
        <f>SUMIFS('FA Write off'!D:D,'FA Write off'!A:A,'FA Addition'!$A999,'FA Write off'!C:C,"&lt;"&amp;'FA Addition'!$P$1)</f>
        <v>0</v>
      </c>
      <c r="Y999" s="191">
        <f>IFERROR(W999/'FA Addition'!$J999*'FA Addition'!$L999,0)</f>
        <v>0</v>
      </c>
      <c r="AA999" s="116">
        <f>SUMIFS('FA Write off'!D:D,'FA Write off'!A:A,'FA Addition'!$A999,'FA Write off'!C:C,"&lt;"&amp;'FA Addition'!$L$1+1,'FA Write off'!C:C,"&gt;"&amp;'FA Addition'!$L$1-365)</f>
        <v>0</v>
      </c>
      <c r="AC999" s="118">
        <f>IFERROR(AA999/'FA Addition'!$J999*'FA Addition'!$L999,0)</f>
        <v>0</v>
      </c>
      <c r="AE999" s="117">
        <f>IF(AND('FA Addition'!$D999&lt;$P$1+1,U999=0),'FA Addition'!$L999,0)-Y999</f>
        <v>0</v>
      </c>
      <c r="AF999" s="117">
        <f t="shared" si="75"/>
        <v>0</v>
      </c>
      <c r="AG999" s="117">
        <f>MIN(MAX(+$P$1-'FA Addition'!$D999,0),365*'FA Addition'!$O999)</f>
        <v>0</v>
      </c>
      <c r="AH999" s="117">
        <f>MIN(MAX($L$1-'FA Addition'!$D999+1,0),365*'FA Addition'!$O999)</f>
        <v>0</v>
      </c>
      <c r="AI999" s="117" cm="1">
        <f t="array" ref="AI999">_xlfn.XLOOKUP(1,('FA Write off'!A:A='FA Addition'!$A999)*('FA Write off'!D:D=AA999),'FA Write off'!H:H,0,0)</f>
        <v>0</v>
      </c>
      <c r="AJ999" s="117">
        <f>IF(AC999&gt;0,MAX(IF('FA Addition'!$N999="SLM",($AC999-'FA Addition'!$M999)*'FA Addition'!$P999*AI999/365,(AC999-'FA Addition'!$M999)*(1-(1-'FA Addition'!$P999)^(AI999/365))),0),0)</f>
        <v>0</v>
      </c>
      <c r="AL999" s="117">
        <f>MAX(IF(AG999&gt;0,IF('FA Addition'!$N999="SLM",($AE999-'FA Addition'!$M999)*'FA Addition'!$P999*AG999/365,IFERROR(VDB(AE999,AE999*0.05,'FA Addition'!$O999,0,YEARFRAC('FA Addition'!$C999,$P$1-1,3),'FA Addition'!$Q999),FAAddition[[#This Row],[Original Cost (Rs)]]-FAAddition[[#This Row],[Salvage Value]])),0),0)</f>
        <v>0</v>
      </c>
      <c r="AM999" s="119"/>
      <c r="AN999" s="117">
        <f>MAX(IF(AH999&gt;0,IF('FA Addition'!$N999="SLM",($AF999-'FA Addition'!$M999)*'FA Addition'!$P999*AH999/365,IFERROR(VDB(AF999,AF999*0.05,'FA Addition'!$O999,0,YEARFRAC('FA Addition'!$C999,$L$1,3),'FA Addition'!$Q999),FAAddition[[#This Row],[Original Cost (Rs)]]-FAAddition[[#This Row],[Salvage Value]])),0),0)</f>
        <v>0</v>
      </c>
      <c r="AO999" s="117">
        <f t="shared" si="78"/>
        <v>0</v>
      </c>
      <c r="AQ999" s="117">
        <f t="shared" si="76"/>
        <v>0</v>
      </c>
      <c r="AR999" s="120">
        <f t="shared" si="77"/>
        <v>0</v>
      </c>
      <c r="AS999" s="121"/>
    </row>
    <row r="1000" spans="1:45" ht="13.5" x14ac:dyDescent="0.4">
      <c r="A1000" s="12">
        <f t="shared" si="79"/>
        <v>997</v>
      </c>
      <c r="B1000" s="64" t="s">
        <v>1758</v>
      </c>
      <c r="C1000" s="54">
        <v>45390</v>
      </c>
      <c r="D1000" s="54">
        <v>45390</v>
      </c>
      <c r="E1000" s="46" t="s">
        <v>451</v>
      </c>
      <c r="F1000" s="51" t="s">
        <v>19</v>
      </c>
      <c r="G1000" s="51" t="s">
        <v>1396</v>
      </c>
      <c r="H1000" s="51" t="s">
        <v>113</v>
      </c>
      <c r="I1000" s="55" t="s">
        <v>1765</v>
      </c>
      <c r="J1000" s="56">
        <v>1</v>
      </c>
      <c r="K1000" s="51" t="s">
        <v>1766</v>
      </c>
      <c r="L1000" s="58">
        <v>33890</v>
      </c>
      <c r="M1000" s="50">
        <f>ROUND('FA Addition'!$L1000*5%,0.1)</f>
        <v>1695</v>
      </c>
      <c r="N1000" s="113" t="str">
        <f>_xlfn.XLOOKUP(_xlfn.CONCAT(E1000,B1000),'Year Wise Master Dep Approach'!F:F,'Year Wise Master Dep Approach'!D:D)</f>
        <v>WDV</v>
      </c>
      <c r="O1000" s="113">
        <f>_xlfn.XLOOKUP(_xlfn.CONCAT(E1000,B1000),'Year Wise Master Dep Approach'!F:F,'Year Wise Master Dep Approach'!E:E)</f>
        <v>3</v>
      </c>
      <c r="P1000" s="114">
        <f>IFERROR(IF('FA Addition'!$N1000="WDV",1-('FA Addition'!$M1000/'FA Addition'!$L1000)^(1/'FA Addition'!$O1000),1/'FA Addition'!$O1000),0)</f>
        <v>0.63156061851201961</v>
      </c>
      <c r="Q1000" s="122">
        <f>'FA Addition'!$P1000*'FA Addition'!$O1000</f>
        <v>1.8946818555360587</v>
      </c>
      <c r="R1000" s="122"/>
      <c r="S1000" s="116">
        <f>IF(AND(DATE(20&amp;LEFT(FAAddition[[#This Row],[FY]],2),4,1)&lt;$L$1+1,DATE(20&amp;LEFT(FAAddition[[#This Row],[FY]],2),4,1)&gt;$P$1-1),'FA Addition'!$J1000,0)</f>
        <v>0</v>
      </c>
      <c r="U1000" s="117">
        <f>S1000*'FA Addition'!$L1000/'FA Addition'!$J1000</f>
        <v>0</v>
      </c>
      <c r="W1000" s="116">
        <f>SUMIFS('FA Write off'!D:D,'FA Write off'!A:A,'FA Addition'!$A1000,'FA Write off'!C:C,"&lt;"&amp;'FA Addition'!$P$1)</f>
        <v>0</v>
      </c>
      <c r="Y1000" s="191">
        <f>IFERROR(W1000/'FA Addition'!$J1000*'FA Addition'!$L1000,0)</f>
        <v>0</v>
      </c>
      <c r="AA1000" s="116">
        <f>SUMIFS('FA Write off'!D:D,'FA Write off'!A:A,'FA Addition'!$A1000,'FA Write off'!C:C,"&lt;"&amp;'FA Addition'!$L$1+1,'FA Write off'!C:C,"&gt;"&amp;'FA Addition'!$L$1-365)</f>
        <v>0</v>
      </c>
      <c r="AC1000" s="118">
        <f>IFERROR(AA1000/'FA Addition'!$J1000*'FA Addition'!$L1000,0)</f>
        <v>0</v>
      </c>
      <c r="AE1000" s="117">
        <f>IF(AND('FA Addition'!$D1000&lt;$P$1+1,U1000=0),'FA Addition'!$L1000,0)-Y1000</f>
        <v>0</v>
      </c>
      <c r="AF1000" s="117">
        <f t="shared" si="75"/>
        <v>0</v>
      </c>
      <c r="AG1000" s="117">
        <f>MIN(MAX(+$P$1-'FA Addition'!$D1000,0),365*'FA Addition'!$O1000)</f>
        <v>0</v>
      </c>
      <c r="AH1000" s="117">
        <f>MIN(MAX($L$1-'FA Addition'!$D1000+1,0),365*'FA Addition'!$O1000)</f>
        <v>0</v>
      </c>
      <c r="AI1000" s="117" cm="1">
        <f t="array" ref="AI1000">_xlfn.XLOOKUP(1,('FA Write off'!A:A='FA Addition'!$A1000)*('FA Write off'!D:D=AA1000),'FA Write off'!H:H,0,0)</f>
        <v>0</v>
      </c>
      <c r="AJ1000" s="117">
        <f>IF(AC1000&gt;0,MAX(IF('FA Addition'!$N1000="SLM",($AC1000-'FA Addition'!$M1000)*'FA Addition'!$P1000*AI1000/365,(AC1000-'FA Addition'!$M1000)*(1-(1-'FA Addition'!$P1000)^(AI1000/365))),0),0)</f>
        <v>0</v>
      </c>
      <c r="AL1000" s="117">
        <f>MAX(IF(AG1000&gt;0,IF('FA Addition'!$N1000="SLM",($AE1000-'FA Addition'!$M1000)*'FA Addition'!$P1000*AG1000/365,IFERROR(VDB(AE1000,AE1000*0.05,'FA Addition'!$O1000,0,YEARFRAC('FA Addition'!$C1000,$P$1-1,3),'FA Addition'!$Q1000),FAAddition[[#This Row],[Original Cost (Rs)]]-FAAddition[[#This Row],[Salvage Value]])),0),0)</f>
        <v>0</v>
      </c>
      <c r="AM1000" s="119"/>
      <c r="AN1000" s="117">
        <f>MAX(IF(AH1000&gt;0,IF('FA Addition'!$N1000="SLM",($AF1000-'FA Addition'!$M1000)*'FA Addition'!$P1000*AH1000/365,IFERROR(VDB(AF1000,AF1000*0.05,'FA Addition'!$O1000,0,YEARFRAC('FA Addition'!$C1000,$L$1,3),'FA Addition'!$Q1000),FAAddition[[#This Row],[Original Cost (Rs)]]-FAAddition[[#This Row],[Salvage Value]])),0),0)</f>
        <v>0</v>
      </c>
      <c r="AO1000" s="117">
        <f t="shared" si="78"/>
        <v>0</v>
      </c>
      <c r="AQ1000" s="117">
        <f t="shared" si="76"/>
        <v>0</v>
      </c>
      <c r="AR1000" s="120">
        <f t="shared" si="77"/>
        <v>0</v>
      </c>
      <c r="AS1000" s="121"/>
    </row>
    <row r="1001" spans="1:45" ht="13.5" x14ac:dyDescent="0.4">
      <c r="A1001" s="12">
        <f t="shared" si="79"/>
        <v>998</v>
      </c>
      <c r="B1001" s="64" t="s">
        <v>1758</v>
      </c>
      <c r="C1001" s="54">
        <v>45390</v>
      </c>
      <c r="D1001" s="54">
        <v>45390</v>
      </c>
      <c r="E1001" s="46" t="s">
        <v>207</v>
      </c>
      <c r="F1001" s="51" t="s">
        <v>1372</v>
      </c>
      <c r="G1001" s="51" t="s">
        <v>1767</v>
      </c>
      <c r="H1001" s="51" t="s">
        <v>498</v>
      </c>
      <c r="I1001" s="55" t="s">
        <v>1768</v>
      </c>
      <c r="J1001" s="56">
        <v>1</v>
      </c>
      <c r="K1001" s="51" t="s">
        <v>1769</v>
      </c>
      <c r="L1001" s="58">
        <v>5381.36</v>
      </c>
      <c r="M1001" s="50">
        <f>ROUND('FA Addition'!$L1001*5%,0.1)</f>
        <v>269</v>
      </c>
      <c r="N1001" s="113" t="str">
        <f>_xlfn.XLOOKUP(_xlfn.CONCAT(E1001,B1001),'Year Wise Master Dep Approach'!F:F,'Year Wise Master Dep Approach'!D:D)</f>
        <v>WDV</v>
      </c>
      <c r="O1001" s="113">
        <f>_xlfn.XLOOKUP(_xlfn.CONCAT(E1001,B1001),'Year Wise Master Dep Approach'!F:F,'Year Wise Master Dep Approach'!E:E)</f>
        <v>5</v>
      </c>
      <c r="P1001" s="114">
        <f>IFERROR(IF('FA Addition'!$N1001="WDV",1-('FA Addition'!$M1001/'FA Addition'!$L1001)^(1/'FA Addition'!$O1001),1/'FA Addition'!$O1001),0)</f>
        <v>0.4507474944394172</v>
      </c>
      <c r="Q1001" s="122">
        <f>'FA Addition'!$P1001*'FA Addition'!$O1001</f>
        <v>2.253737472197086</v>
      </c>
      <c r="R1001" s="122"/>
      <c r="S1001" s="116">
        <f>IF(AND(DATE(20&amp;LEFT(FAAddition[[#This Row],[FY]],2),4,1)&lt;$L$1+1,DATE(20&amp;LEFT(FAAddition[[#This Row],[FY]],2),4,1)&gt;$P$1-1),'FA Addition'!$J1001,0)</f>
        <v>0</v>
      </c>
      <c r="U1001" s="117">
        <f>S1001*'FA Addition'!$L1001/'FA Addition'!$J1001</f>
        <v>0</v>
      </c>
      <c r="W1001" s="116">
        <f>SUMIFS('FA Write off'!D:D,'FA Write off'!A:A,'FA Addition'!$A1001,'FA Write off'!C:C,"&lt;"&amp;'FA Addition'!$P$1)</f>
        <v>0</v>
      </c>
      <c r="Y1001" s="191">
        <f>IFERROR(W1001/'FA Addition'!$J1001*'FA Addition'!$L1001,0)</f>
        <v>0</v>
      </c>
      <c r="AA1001" s="116">
        <f>SUMIFS('FA Write off'!D:D,'FA Write off'!A:A,'FA Addition'!$A1001,'FA Write off'!C:C,"&lt;"&amp;'FA Addition'!$L$1+1,'FA Write off'!C:C,"&gt;"&amp;'FA Addition'!$L$1-365)</f>
        <v>0</v>
      </c>
      <c r="AC1001" s="118">
        <f>IFERROR(AA1001/'FA Addition'!$J1001*'FA Addition'!$L1001,0)</f>
        <v>0</v>
      </c>
      <c r="AE1001" s="117">
        <f>IF(AND('FA Addition'!$D1001&lt;$P$1+1,U1001=0),'FA Addition'!$L1001,0)-Y1001</f>
        <v>0</v>
      </c>
      <c r="AF1001" s="117">
        <f t="shared" si="75"/>
        <v>0</v>
      </c>
      <c r="AG1001" s="117">
        <f>MIN(MAX(+$P$1-'FA Addition'!$D1001,0),365*'FA Addition'!$O1001)</f>
        <v>0</v>
      </c>
      <c r="AH1001" s="117">
        <f>MIN(MAX($L$1-'FA Addition'!$D1001+1,0),365*'FA Addition'!$O1001)</f>
        <v>0</v>
      </c>
      <c r="AI1001" s="117" cm="1">
        <f t="array" ref="AI1001">_xlfn.XLOOKUP(1,('FA Write off'!A:A='FA Addition'!$A1001)*('FA Write off'!D:D=AA1001),'FA Write off'!H:H,0,0)</f>
        <v>0</v>
      </c>
      <c r="AJ1001" s="117">
        <f>IF(AC1001&gt;0,MAX(IF('FA Addition'!$N1001="SLM",($AC1001-'FA Addition'!$M1001)*'FA Addition'!$P1001*AI1001/365,(AC1001-'FA Addition'!$M1001)*(1-(1-'FA Addition'!$P1001)^(AI1001/365))),0),0)</f>
        <v>0</v>
      </c>
      <c r="AL1001" s="117">
        <f>MAX(IF(AG1001&gt;0,IF('FA Addition'!$N1001="SLM",($AE1001-'FA Addition'!$M1001)*'FA Addition'!$P1001*AG1001/365,IFERROR(VDB(AE1001,AE1001*0.05,'FA Addition'!$O1001,0,YEARFRAC('FA Addition'!$C1001,$P$1-1,3),'FA Addition'!$Q1001),FAAddition[[#This Row],[Original Cost (Rs)]]-FAAddition[[#This Row],[Salvage Value]])),0),0)</f>
        <v>0</v>
      </c>
      <c r="AM1001" s="119"/>
      <c r="AN1001" s="117">
        <f>MAX(IF(AH1001&gt;0,IF('FA Addition'!$N1001="SLM",($AF1001-'FA Addition'!$M1001)*'FA Addition'!$P1001*AH1001/365,IFERROR(VDB(AF1001,AF1001*0.05,'FA Addition'!$O1001,0,YEARFRAC('FA Addition'!$C1001,$L$1,3),'FA Addition'!$Q1001),FAAddition[[#This Row],[Original Cost (Rs)]]-FAAddition[[#This Row],[Salvage Value]])),0),0)</f>
        <v>0</v>
      </c>
      <c r="AO1001" s="117">
        <f t="shared" si="78"/>
        <v>0</v>
      </c>
      <c r="AQ1001" s="117">
        <f t="shared" si="76"/>
        <v>0</v>
      </c>
      <c r="AR1001" s="120">
        <f t="shared" si="77"/>
        <v>0</v>
      </c>
      <c r="AS1001" s="121"/>
    </row>
    <row r="1002" spans="1:45" ht="13.5" x14ac:dyDescent="0.4">
      <c r="A1002" s="12">
        <f t="shared" si="79"/>
        <v>999</v>
      </c>
      <c r="B1002" s="64" t="s">
        <v>1758</v>
      </c>
      <c r="C1002" s="54">
        <v>45391</v>
      </c>
      <c r="D1002" s="54">
        <v>45391</v>
      </c>
      <c r="E1002" s="46" t="s">
        <v>451</v>
      </c>
      <c r="F1002" s="51" t="s">
        <v>19</v>
      </c>
      <c r="G1002" s="51" t="s">
        <v>1728</v>
      </c>
      <c r="H1002" s="51" t="s">
        <v>21</v>
      </c>
      <c r="I1002" s="55">
        <v>3368</v>
      </c>
      <c r="J1002" s="56">
        <v>1</v>
      </c>
      <c r="K1002" s="51" t="s">
        <v>1770</v>
      </c>
      <c r="L1002" s="58">
        <v>34890.199999999997</v>
      </c>
      <c r="M1002" s="50">
        <f>ROUND('FA Addition'!$L1002*5%,0.1)</f>
        <v>1745</v>
      </c>
      <c r="N1002" s="113" t="str">
        <f>_xlfn.XLOOKUP(_xlfn.CONCAT(E1002,B1002),'Year Wise Master Dep Approach'!F:F,'Year Wise Master Dep Approach'!D:D)</f>
        <v>WDV</v>
      </c>
      <c r="O1002" s="113">
        <f>_xlfn.XLOOKUP(_xlfn.CONCAT(E1002,B1002),'Year Wise Master Dep Approach'!F:F,'Year Wise Master Dep Approach'!E:E)</f>
        <v>3</v>
      </c>
      <c r="P1002" s="114">
        <f>IFERROR(IF('FA Addition'!$N1002="WDV",1-('FA Addition'!$M1002/'FA Addition'!$L1002)^(1/'FA Addition'!$O1002),1/'FA Addition'!$O1002),0)</f>
        <v>0.63156236086299566</v>
      </c>
      <c r="Q1002" s="122">
        <f>'FA Addition'!$P1002*'FA Addition'!$O1002</f>
        <v>1.894687082588987</v>
      </c>
      <c r="R1002" s="122"/>
      <c r="S1002" s="116">
        <f>IF(AND(DATE(20&amp;LEFT(FAAddition[[#This Row],[FY]],2),4,1)&lt;$L$1+1,DATE(20&amp;LEFT(FAAddition[[#This Row],[FY]],2),4,1)&gt;$P$1-1),'FA Addition'!$J1002,0)</f>
        <v>0</v>
      </c>
      <c r="U1002" s="117">
        <f>S1002*'FA Addition'!$L1002/'FA Addition'!$J1002</f>
        <v>0</v>
      </c>
      <c r="W1002" s="116">
        <f>SUMIFS('FA Write off'!D:D,'FA Write off'!A:A,'FA Addition'!$A1002,'FA Write off'!C:C,"&lt;"&amp;'FA Addition'!$P$1)</f>
        <v>0</v>
      </c>
      <c r="Y1002" s="191">
        <f>IFERROR(W1002/'FA Addition'!$J1002*'FA Addition'!$L1002,0)</f>
        <v>0</v>
      </c>
      <c r="AA1002" s="116">
        <f>SUMIFS('FA Write off'!D:D,'FA Write off'!A:A,'FA Addition'!$A1002,'FA Write off'!C:C,"&lt;"&amp;'FA Addition'!$L$1+1,'FA Write off'!C:C,"&gt;"&amp;'FA Addition'!$L$1-365)</f>
        <v>0</v>
      </c>
      <c r="AC1002" s="118">
        <f>IFERROR(AA1002/'FA Addition'!$J1002*'FA Addition'!$L1002,0)</f>
        <v>0</v>
      </c>
      <c r="AE1002" s="117">
        <f>IF(AND('FA Addition'!$D1002&lt;$P$1+1,U1002=0),'FA Addition'!$L1002,0)-Y1002</f>
        <v>0</v>
      </c>
      <c r="AF1002" s="117">
        <f t="shared" si="75"/>
        <v>0</v>
      </c>
      <c r="AG1002" s="117">
        <f>MIN(MAX(+$P$1-'FA Addition'!$D1002,0),365*'FA Addition'!$O1002)</f>
        <v>0</v>
      </c>
      <c r="AH1002" s="117">
        <f>MIN(MAX($L$1-'FA Addition'!$D1002+1,0),365*'FA Addition'!$O1002)</f>
        <v>0</v>
      </c>
      <c r="AI1002" s="117" cm="1">
        <f t="array" ref="AI1002">_xlfn.XLOOKUP(1,('FA Write off'!A:A='FA Addition'!$A1002)*('FA Write off'!D:D=AA1002),'FA Write off'!H:H,0,0)</f>
        <v>0</v>
      </c>
      <c r="AJ1002" s="117">
        <f>IF(AC1002&gt;0,MAX(IF('FA Addition'!$N1002="SLM",($AC1002-'FA Addition'!$M1002)*'FA Addition'!$P1002*AI1002/365,(AC1002-'FA Addition'!$M1002)*(1-(1-'FA Addition'!$P1002)^(AI1002/365))),0),0)</f>
        <v>0</v>
      </c>
      <c r="AL1002" s="117">
        <f>MAX(IF(AG1002&gt;0,IF('FA Addition'!$N1002="SLM",($AE1002-'FA Addition'!$M1002)*'FA Addition'!$P1002*AG1002/365,IFERROR(VDB(AE1002,AE1002*0.05,'FA Addition'!$O1002,0,YEARFRAC('FA Addition'!$C1002,$P$1-1,3),'FA Addition'!$Q1002),FAAddition[[#This Row],[Original Cost (Rs)]]-FAAddition[[#This Row],[Salvage Value]])),0),0)</f>
        <v>0</v>
      </c>
      <c r="AM1002" s="119"/>
      <c r="AN1002" s="117">
        <f>MAX(IF(AH1002&gt;0,IF('FA Addition'!$N1002="SLM",($AF1002-'FA Addition'!$M1002)*'FA Addition'!$P1002*AH1002/365,IFERROR(VDB(AF1002,AF1002*0.05,'FA Addition'!$O1002,0,YEARFRAC('FA Addition'!$C1002,$L$1,3),'FA Addition'!$Q1002),FAAddition[[#This Row],[Original Cost (Rs)]]-FAAddition[[#This Row],[Salvage Value]])),0),0)</f>
        <v>0</v>
      </c>
      <c r="AO1002" s="117">
        <f t="shared" si="78"/>
        <v>0</v>
      </c>
      <c r="AQ1002" s="117">
        <f t="shared" si="76"/>
        <v>0</v>
      </c>
      <c r="AR1002" s="120">
        <f t="shared" si="77"/>
        <v>0</v>
      </c>
      <c r="AS1002" s="121"/>
    </row>
    <row r="1003" spans="1:45" ht="13.5" x14ac:dyDescent="0.4">
      <c r="A1003" s="12">
        <f t="shared" si="79"/>
        <v>1000</v>
      </c>
      <c r="B1003" s="64" t="s">
        <v>1758</v>
      </c>
      <c r="C1003" s="54">
        <v>45391</v>
      </c>
      <c r="D1003" s="54">
        <v>45391</v>
      </c>
      <c r="E1003" s="46" t="s">
        <v>451</v>
      </c>
      <c r="F1003" s="51" t="s">
        <v>19</v>
      </c>
      <c r="G1003" s="51" t="s">
        <v>1728</v>
      </c>
      <c r="H1003" s="51" t="s">
        <v>21</v>
      </c>
      <c r="I1003" s="55">
        <v>3368</v>
      </c>
      <c r="J1003" s="56">
        <v>1</v>
      </c>
      <c r="K1003" s="51" t="s">
        <v>1770</v>
      </c>
      <c r="L1003" s="58">
        <v>34890.199999999997</v>
      </c>
      <c r="M1003" s="50">
        <f>ROUND('FA Addition'!$L1003*5%,0.1)</f>
        <v>1745</v>
      </c>
      <c r="N1003" s="113" t="str">
        <f>_xlfn.XLOOKUP(_xlfn.CONCAT(E1003,B1003),'Year Wise Master Dep Approach'!F:F,'Year Wise Master Dep Approach'!D:D)</f>
        <v>WDV</v>
      </c>
      <c r="O1003" s="113">
        <f>_xlfn.XLOOKUP(_xlfn.CONCAT(E1003,B1003),'Year Wise Master Dep Approach'!F:F,'Year Wise Master Dep Approach'!E:E)</f>
        <v>3</v>
      </c>
      <c r="P1003" s="114">
        <f>IFERROR(IF('FA Addition'!$N1003="WDV",1-('FA Addition'!$M1003/'FA Addition'!$L1003)^(1/'FA Addition'!$O1003),1/'FA Addition'!$O1003),0)</f>
        <v>0.63156236086299566</v>
      </c>
      <c r="Q1003" s="122">
        <f>'FA Addition'!$P1003*'FA Addition'!$O1003</f>
        <v>1.894687082588987</v>
      </c>
      <c r="R1003" s="122"/>
      <c r="S1003" s="116">
        <f>IF(AND(DATE(20&amp;LEFT(FAAddition[[#This Row],[FY]],2),4,1)&lt;$L$1+1,DATE(20&amp;LEFT(FAAddition[[#This Row],[FY]],2),4,1)&gt;$P$1-1),'FA Addition'!$J1003,0)</f>
        <v>0</v>
      </c>
      <c r="U1003" s="117">
        <f>S1003*'FA Addition'!$L1003/'FA Addition'!$J1003</f>
        <v>0</v>
      </c>
      <c r="W1003" s="116">
        <f>SUMIFS('FA Write off'!D:D,'FA Write off'!A:A,'FA Addition'!$A1003,'FA Write off'!C:C,"&lt;"&amp;'FA Addition'!$P$1)</f>
        <v>0</v>
      </c>
      <c r="Y1003" s="191">
        <f>IFERROR(W1003/'FA Addition'!$J1003*'FA Addition'!$L1003,0)</f>
        <v>0</v>
      </c>
      <c r="AA1003" s="116">
        <f>SUMIFS('FA Write off'!D:D,'FA Write off'!A:A,'FA Addition'!$A1003,'FA Write off'!C:C,"&lt;"&amp;'FA Addition'!$L$1+1,'FA Write off'!C:C,"&gt;"&amp;'FA Addition'!$L$1-365)</f>
        <v>0</v>
      </c>
      <c r="AC1003" s="118">
        <f>IFERROR(AA1003/'FA Addition'!$J1003*'FA Addition'!$L1003,0)</f>
        <v>0</v>
      </c>
      <c r="AE1003" s="117">
        <f>IF(AND('FA Addition'!$D1003&lt;$P$1+1,U1003=0),'FA Addition'!$L1003,0)-Y1003</f>
        <v>0</v>
      </c>
      <c r="AF1003" s="117">
        <f t="shared" si="75"/>
        <v>0</v>
      </c>
      <c r="AG1003" s="117">
        <f>MIN(MAX(+$P$1-'FA Addition'!$D1003,0),365*'FA Addition'!$O1003)</f>
        <v>0</v>
      </c>
      <c r="AH1003" s="117">
        <f>MIN(MAX($L$1-'FA Addition'!$D1003+1,0),365*'FA Addition'!$O1003)</f>
        <v>0</v>
      </c>
      <c r="AI1003" s="117" cm="1">
        <f t="array" ref="AI1003">_xlfn.XLOOKUP(1,('FA Write off'!A:A='FA Addition'!$A1003)*('FA Write off'!D:D=AA1003),'FA Write off'!H:H,0,0)</f>
        <v>0</v>
      </c>
      <c r="AJ1003" s="117">
        <f>IF(AC1003&gt;0,MAX(IF('FA Addition'!$N1003="SLM",($AC1003-'FA Addition'!$M1003)*'FA Addition'!$P1003*AI1003/365,(AC1003-'FA Addition'!$M1003)*(1-(1-'FA Addition'!$P1003)^(AI1003/365))),0),0)</f>
        <v>0</v>
      </c>
      <c r="AL1003" s="117">
        <f>MAX(IF(AG1003&gt;0,IF('FA Addition'!$N1003="SLM",($AE1003-'FA Addition'!$M1003)*'FA Addition'!$P1003*AG1003/365,IFERROR(VDB(AE1003,AE1003*0.05,'FA Addition'!$O1003,0,YEARFRAC('FA Addition'!$C1003,$P$1-1,3),'FA Addition'!$Q1003),FAAddition[[#This Row],[Original Cost (Rs)]]-FAAddition[[#This Row],[Salvage Value]])),0),0)</f>
        <v>0</v>
      </c>
      <c r="AM1003" s="119"/>
      <c r="AN1003" s="117">
        <f>MAX(IF(AH1003&gt;0,IF('FA Addition'!$N1003="SLM",($AF1003-'FA Addition'!$M1003)*'FA Addition'!$P1003*AH1003/365,IFERROR(VDB(AF1003,AF1003*0.05,'FA Addition'!$O1003,0,YEARFRAC('FA Addition'!$C1003,$L$1,3),'FA Addition'!$Q1003),FAAddition[[#This Row],[Original Cost (Rs)]]-FAAddition[[#This Row],[Salvage Value]])),0),0)</f>
        <v>0</v>
      </c>
      <c r="AO1003" s="117">
        <f t="shared" si="78"/>
        <v>0</v>
      </c>
      <c r="AQ1003" s="117">
        <f t="shared" si="76"/>
        <v>0</v>
      </c>
      <c r="AR1003" s="120">
        <f t="shared" si="77"/>
        <v>0</v>
      </c>
      <c r="AS1003" s="121"/>
    </row>
    <row r="1004" spans="1:45" ht="13.5" x14ac:dyDescent="0.4">
      <c r="A1004" s="12">
        <f t="shared" si="79"/>
        <v>1001</v>
      </c>
      <c r="B1004" s="64" t="s">
        <v>1758</v>
      </c>
      <c r="C1004" s="54">
        <v>45392</v>
      </c>
      <c r="D1004" s="54">
        <v>45392</v>
      </c>
      <c r="E1004" s="46" t="s">
        <v>1320</v>
      </c>
      <c r="F1004" s="51" t="s">
        <v>33</v>
      </c>
      <c r="G1004" s="51" t="s">
        <v>36</v>
      </c>
      <c r="H1004" s="51" t="s">
        <v>32</v>
      </c>
      <c r="I1004" s="55" t="s">
        <v>1771</v>
      </c>
      <c r="J1004" s="56">
        <v>2000</v>
      </c>
      <c r="K1004" s="51" t="s">
        <v>296</v>
      </c>
      <c r="L1004" s="58">
        <v>3400000</v>
      </c>
      <c r="M1004" s="50">
        <f>ROUND('FA Addition'!$L1004*5%,0.1)</f>
        <v>170000</v>
      </c>
      <c r="N1004" s="113" t="str">
        <f>_xlfn.XLOOKUP(_xlfn.CONCAT(E1004,B1004),'Year Wise Master Dep Approach'!F:F,'Year Wise Master Dep Approach'!D:D)</f>
        <v>SLM</v>
      </c>
      <c r="O1004" s="113">
        <f>_xlfn.XLOOKUP(_xlfn.CONCAT(E1004,B1004),'Year Wise Master Dep Approach'!F:F,'Year Wise Master Dep Approach'!E:E)</f>
        <v>5</v>
      </c>
      <c r="P1004" s="114">
        <f>IFERROR(IF('FA Addition'!$N1004="WDV",1-('FA Addition'!$M1004/'FA Addition'!$L1004)^(1/'FA Addition'!$O1004),1/'FA Addition'!$O1004),0)</f>
        <v>0.2</v>
      </c>
      <c r="Q1004" s="122">
        <f>'FA Addition'!$P1004*'FA Addition'!$O1004</f>
        <v>1</v>
      </c>
      <c r="R1004" s="122"/>
      <c r="S1004" s="116">
        <f>IF(AND(DATE(20&amp;LEFT(FAAddition[[#This Row],[FY]],2),4,1)&lt;$L$1+1,DATE(20&amp;LEFT(FAAddition[[#This Row],[FY]],2),4,1)&gt;$P$1-1),'FA Addition'!$J1004,0)</f>
        <v>0</v>
      </c>
      <c r="U1004" s="117">
        <f>S1004*'FA Addition'!$L1004/'FA Addition'!$J1004</f>
        <v>0</v>
      </c>
      <c r="W1004" s="116">
        <f>SUMIFS('FA Write off'!D:D,'FA Write off'!A:A,'FA Addition'!$A1004,'FA Write off'!C:C,"&lt;"&amp;'FA Addition'!$P$1)</f>
        <v>0</v>
      </c>
      <c r="Y1004" s="191">
        <f>IFERROR(W1004/'FA Addition'!$J1004*'FA Addition'!$L1004,0)</f>
        <v>0</v>
      </c>
      <c r="AA1004" s="116">
        <f>SUMIFS('FA Write off'!D:D,'FA Write off'!A:A,'FA Addition'!$A1004,'FA Write off'!C:C,"&lt;"&amp;'FA Addition'!$L$1+1,'FA Write off'!C:C,"&gt;"&amp;'FA Addition'!$L$1-365)</f>
        <v>0</v>
      </c>
      <c r="AC1004" s="118">
        <f>IFERROR(AA1004/'FA Addition'!$J1004*'FA Addition'!$L1004,0)</f>
        <v>0</v>
      </c>
      <c r="AE1004" s="117">
        <f>IF(AND('FA Addition'!$D1004&lt;$P$1+1,U1004=0),'FA Addition'!$L1004,0)-Y1004</f>
        <v>0</v>
      </c>
      <c r="AF1004" s="117">
        <f t="shared" si="75"/>
        <v>0</v>
      </c>
      <c r="AG1004" s="117">
        <f>MIN(MAX(+$P$1-'FA Addition'!$D1004,0),365*'FA Addition'!$O1004)</f>
        <v>0</v>
      </c>
      <c r="AH1004" s="117">
        <f>MIN(MAX($L$1-'FA Addition'!$D1004+1,0),365*'FA Addition'!$O1004)</f>
        <v>0</v>
      </c>
      <c r="AI1004" s="117" cm="1">
        <f t="array" ref="AI1004">_xlfn.XLOOKUP(1,('FA Write off'!A:A='FA Addition'!$A1004)*('FA Write off'!D:D=AA1004),'FA Write off'!H:H,0,0)</f>
        <v>0</v>
      </c>
      <c r="AJ1004" s="117">
        <f>IF(AC1004&gt;0,MAX(IF('FA Addition'!$N1004="SLM",($AC1004-'FA Addition'!$M1004)*'FA Addition'!$P1004*AI1004/365,(AC1004-'FA Addition'!$M1004)*(1-(1-'FA Addition'!$P1004)^(AI1004/365))),0),0)</f>
        <v>0</v>
      </c>
      <c r="AL1004" s="117">
        <f>MAX(IF(AG1004&gt;0,IF('FA Addition'!$N1004="SLM",($AE1004-'FA Addition'!$M1004)*'FA Addition'!$P1004*AG1004/365,IFERROR(VDB(AE1004,AE1004*0.05,'FA Addition'!$O1004,0,YEARFRAC('FA Addition'!$C1004,$P$1-1,3),'FA Addition'!$Q1004),FAAddition[[#This Row],[Original Cost (Rs)]]-FAAddition[[#This Row],[Salvage Value]])),0),0)</f>
        <v>0</v>
      </c>
      <c r="AM1004" s="119"/>
      <c r="AN1004" s="117">
        <f>MAX(IF(AH1004&gt;0,IF('FA Addition'!$N1004="SLM",($AF1004-'FA Addition'!$M1004)*'FA Addition'!$P1004*AH1004/365,IFERROR(VDB(AF1004,AF1004*0.05,'FA Addition'!$O1004,0,YEARFRAC('FA Addition'!$C1004,$L$1,3),'FA Addition'!$Q1004),FAAddition[[#This Row],[Original Cost (Rs)]]-FAAddition[[#This Row],[Salvage Value]])),0),0)</f>
        <v>0</v>
      </c>
      <c r="AO1004" s="117">
        <f t="shared" si="78"/>
        <v>0</v>
      </c>
      <c r="AQ1004" s="117">
        <f t="shared" si="76"/>
        <v>0</v>
      </c>
      <c r="AR1004" s="120">
        <f t="shared" si="77"/>
        <v>0</v>
      </c>
      <c r="AS1004" s="121"/>
    </row>
    <row r="1005" spans="1:45" ht="13.5" x14ac:dyDescent="0.4">
      <c r="A1005" s="12">
        <f t="shared" si="79"/>
        <v>1002</v>
      </c>
      <c r="B1005" s="64" t="s">
        <v>1758</v>
      </c>
      <c r="C1005" s="54">
        <v>45392</v>
      </c>
      <c r="D1005" s="54">
        <v>45392</v>
      </c>
      <c r="E1005" s="46" t="s">
        <v>451</v>
      </c>
      <c r="F1005" s="51" t="s">
        <v>19</v>
      </c>
      <c r="G1005" s="51" t="s">
        <v>1772</v>
      </c>
      <c r="H1005" s="51" t="s">
        <v>244</v>
      </c>
      <c r="I1005" s="55">
        <v>2110790237</v>
      </c>
      <c r="J1005" s="56">
        <v>1</v>
      </c>
      <c r="K1005" s="51" t="s">
        <v>1773</v>
      </c>
      <c r="L1005" s="58">
        <v>137000</v>
      </c>
      <c r="M1005" s="50">
        <f>ROUND('FA Addition'!$L1005*5%,0.1)</f>
        <v>6850</v>
      </c>
      <c r="N1005" s="113" t="str">
        <f>_xlfn.XLOOKUP(_xlfn.CONCAT(E1005,B1005),'Year Wise Master Dep Approach'!F:F,'Year Wise Master Dep Approach'!D:D)</f>
        <v>WDV</v>
      </c>
      <c r="O1005" s="113">
        <f>_xlfn.XLOOKUP(_xlfn.CONCAT(E1005,B1005),'Year Wise Master Dep Approach'!F:F,'Year Wise Master Dep Approach'!E:E)</f>
        <v>3</v>
      </c>
      <c r="P1005" s="114">
        <f>IFERROR(IF('FA Addition'!$N1005="WDV",1-('FA Addition'!$M1005/'FA Addition'!$L1005)^(1/'FA Addition'!$O1005),1/'FA Addition'!$O1005),0)</f>
        <v>0.63159685013596123</v>
      </c>
      <c r="Q1005" s="122">
        <f>'FA Addition'!$P1005*'FA Addition'!$O1005</f>
        <v>1.8947905504078837</v>
      </c>
      <c r="R1005" s="122"/>
      <c r="S1005" s="116">
        <f>IF(AND(DATE(20&amp;LEFT(FAAddition[[#This Row],[FY]],2),4,1)&lt;$L$1+1,DATE(20&amp;LEFT(FAAddition[[#This Row],[FY]],2),4,1)&gt;$P$1-1),'FA Addition'!$J1005,0)</f>
        <v>0</v>
      </c>
      <c r="U1005" s="117">
        <f>S1005*'FA Addition'!$L1005/'FA Addition'!$J1005</f>
        <v>0</v>
      </c>
      <c r="W1005" s="116">
        <f>SUMIFS('FA Write off'!D:D,'FA Write off'!A:A,'FA Addition'!$A1005,'FA Write off'!C:C,"&lt;"&amp;'FA Addition'!$P$1)</f>
        <v>0</v>
      </c>
      <c r="Y1005" s="191">
        <f>IFERROR(W1005/'FA Addition'!$J1005*'FA Addition'!$L1005,0)</f>
        <v>0</v>
      </c>
      <c r="AA1005" s="116">
        <f>SUMIFS('FA Write off'!D:D,'FA Write off'!A:A,'FA Addition'!$A1005,'FA Write off'!C:C,"&lt;"&amp;'FA Addition'!$L$1+1,'FA Write off'!C:C,"&gt;"&amp;'FA Addition'!$L$1-365)</f>
        <v>0</v>
      </c>
      <c r="AC1005" s="118">
        <f>IFERROR(AA1005/'FA Addition'!$J1005*'FA Addition'!$L1005,0)</f>
        <v>0</v>
      </c>
      <c r="AE1005" s="117">
        <f>IF(AND('FA Addition'!$D1005&lt;$P$1+1,U1005=0),'FA Addition'!$L1005,0)-Y1005</f>
        <v>0</v>
      </c>
      <c r="AF1005" s="117">
        <f t="shared" si="75"/>
        <v>0</v>
      </c>
      <c r="AG1005" s="117">
        <f>MIN(MAX(+$P$1-'FA Addition'!$D1005,0),365*'FA Addition'!$O1005)</f>
        <v>0</v>
      </c>
      <c r="AH1005" s="117">
        <f>MIN(MAX($L$1-'FA Addition'!$D1005+1,0),365*'FA Addition'!$O1005)</f>
        <v>0</v>
      </c>
      <c r="AI1005" s="117" cm="1">
        <f t="array" ref="AI1005">_xlfn.XLOOKUP(1,('FA Write off'!A:A='FA Addition'!$A1005)*('FA Write off'!D:D=AA1005),'FA Write off'!H:H,0,0)</f>
        <v>0</v>
      </c>
      <c r="AJ1005" s="117">
        <f>IF(AC1005&gt;0,MAX(IF('FA Addition'!$N1005="SLM",($AC1005-'FA Addition'!$M1005)*'FA Addition'!$P1005*AI1005/365,(AC1005-'FA Addition'!$M1005)*(1-(1-'FA Addition'!$P1005)^(AI1005/365))),0),0)</f>
        <v>0</v>
      </c>
      <c r="AL1005" s="117">
        <f>MAX(IF(AG1005&gt;0,IF('FA Addition'!$N1005="SLM",($AE1005-'FA Addition'!$M1005)*'FA Addition'!$P1005*AG1005/365,IFERROR(VDB(AE1005,AE1005*0.05,'FA Addition'!$O1005,0,YEARFRAC('FA Addition'!$C1005,$P$1-1,3),'FA Addition'!$Q1005),FAAddition[[#This Row],[Original Cost (Rs)]]-FAAddition[[#This Row],[Salvage Value]])),0),0)</f>
        <v>0</v>
      </c>
      <c r="AM1005" s="119"/>
      <c r="AN1005" s="117">
        <f>MAX(IF(AH1005&gt;0,IF('FA Addition'!$N1005="SLM",($AF1005-'FA Addition'!$M1005)*'FA Addition'!$P1005*AH1005/365,IFERROR(VDB(AF1005,AF1005*0.05,'FA Addition'!$O1005,0,YEARFRAC('FA Addition'!$C1005,$L$1,3),'FA Addition'!$Q1005),FAAddition[[#This Row],[Original Cost (Rs)]]-FAAddition[[#This Row],[Salvage Value]])),0),0)</f>
        <v>0</v>
      </c>
      <c r="AO1005" s="117">
        <f t="shared" si="78"/>
        <v>0</v>
      </c>
      <c r="AQ1005" s="117">
        <f t="shared" si="76"/>
        <v>0</v>
      </c>
      <c r="AR1005" s="120">
        <f t="shared" si="77"/>
        <v>0</v>
      </c>
      <c r="AS1005" s="121"/>
    </row>
    <row r="1006" spans="1:45" ht="13.5" x14ac:dyDescent="0.4">
      <c r="A1006" s="12">
        <f t="shared" si="79"/>
        <v>1003</v>
      </c>
      <c r="B1006" s="64" t="s">
        <v>1758</v>
      </c>
      <c r="C1006" s="54">
        <v>45397</v>
      </c>
      <c r="D1006" s="54">
        <v>45397</v>
      </c>
      <c r="E1006" s="46" t="s">
        <v>451</v>
      </c>
      <c r="F1006" s="51" t="s">
        <v>19</v>
      </c>
      <c r="G1006" s="51" t="s">
        <v>1728</v>
      </c>
      <c r="H1006" s="51" t="s">
        <v>21</v>
      </c>
      <c r="I1006" s="55">
        <v>3376</v>
      </c>
      <c r="J1006" s="56">
        <v>1</v>
      </c>
      <c r="K1006" s="51" t="s">
        <v>1774</v>
      </c>
      <c r="L1006" s="58">
        <v>34889.949999999997</v>
      </c>
      <c r="M1006" s="50">
        <f>ROUND('FA Addition'!$L1006*5%,0.1)</f>
        <v>1744</v>
      </c>
      <c r="N1006" s="113" t="str">
        <f>_xlfn.XLOOKUP(_xlfn.CONCAT(E1006,B1006),'Year Wise Master Dep Approach'!F:F,'Year Wise Master Dep Approach'!D:D)</f>
        <v>WDV</v>
      </c>
      <c r="O1006" s="113">
        <f>_xlfn.XLOOKUP(_xlfn.CONCAT(E1006,B1006),'Year Wise Master Dep Approach'!F:F,'Year Wise Master Dep Approach'!E:E)</f>
        <v>3</v>
      </c>
      <c r="P1006" s="114">
        <f>IFERROR(IF('FA Addition'!$N1006="WDV",1-('FA Addition'!$M1006/'FA Addition'!$L1006)^(1/'FA Addition'!$O1006),1/'FA Addition'!$O1006),0)</f>
        <v>0.63163187416487054</v>
      </c>
      <c r="Q1006" s="122">
        <f>'FA Addition'!$P1006*'FA Addition'!$O1006</f>
        <v>1.8948956224946116</v>
      </c>
      <c r="R1006" s="122"/>
      <c r="S1006" s="116">
        <f>IF(AND(DATE(20&amp;LEFT(FAAddition[[#This Row],[FY]],2),4,1)&lt;$L$1+1,DATE(20&amp;LEFT(FAAddition[[#This Row],[FY]],2),4,1)&gt;$P$1-1),'FA Addition'!$J1006,0)</f>
        <v>0</v>
      </c>
      <c r="U1006" s="117">
        <f>S1006*'FA Addition'!$L1006/'FA Addition'!$J1006</f>
        <v>0</v>
      </c>
      <c r="W1006" s="116">
        <f>SUMIFS('FA Write off'!D:D,'FA Write off'!A:A,'FA Addition'!$A1006,'FA Write off'!C:C,"&lt;"&amp;'FA Addition'!$P$1)</f>
        <v>0</v>
      </c>
      <c r="Y1006" s="191">
        <f>IFERROR(W1006/'FA Addition'!$J1006*'FA Addition'!$L1006,0)</f>
        <v>0</v>
      </c>
      <c r="AA1006" s="116">
        <f>SUMIFS('FA Write off'!D:D,'FA Write off'!A:A,'FA Addition'!$A1006,'FA Write off'!C:C,"&lt;"&amp;'FA Addition'!$L$1+1,'FA Write off'!C:C,"&gt;"&amp;'FA Addition'!$L$1-365)</f>
        <v>0</v>
      </c>
      <c r="AC1006" s="118">
        <f>IFERROR(AA1006/'FA Addition'!$J1006*'FA Addition'!$L1006,0)</f>
        <v>0</v>
      </c>
      <c r="AE1006" s="117">
        <f>IF(AND('FA Addition'!$D1006&lt;$P$1+1,U1006=0),'FA Addition'!$L1006,0)-Y1006</f>
        <v>0</v>
      </c>
      <c r="AF1006" s="117">
        <f t="shared" si="75"/>
        <v>0</v>
      </c>
      <c r="AG1006" s="117">
        <f>MIN(MAX(+$P$1-'FA Addition'!$D1006,0),365*'FA Addition'!$O1006)</f>
        <v>0</v>
      </c>
      <c r="AH1006" s="117">
        <f>MIN(MAX($L$1-'FA Addition'!$D1006+1,0),365*'FA Addition'!$O1006)</f>
        <v>0</v>
      </c>
      <c r="AI1006" s="117" cm="1">
        <f t="array" ref="AI1006">_xlfn.XLOOKUP(1,('FA Write off'!A:A='FA Addition'!$A1006)*('FA Write off'!D:D=AA1006),'FA Write off'!H:H,0,0)</f>
        <v>0</v>
      </c>
      <c r="AJ1006" s="117">
        <f>IF(AC1006&gt;0,MAX(IF('FA Addition'!$N1006="SLM",($AC1006-'FA Addition'!$M1006)*'FA Addition'!$P1006*AI1006/365,(AC1006-'FA Addition'!$M1006)*(1-(1-'FA Addition'!$P1006)^(AI1006/365))),0),0)</f>
        <v>0</v>
      </c>
      <c r="AL1006" s="117">
        <f>MAX(IF(AG1006&gt;0,IF('FA Addition'!$N1006="SLM",($AE1006-'FA Addition'!$M1006)*'FA Addition'!$P1006*AG1006/365,IFERROR(VDB(AE1006,AE1006*0.05,'FA Addition'!$O1006,0,YEARFRAC('FA Addition'!$C1006,$P$1-1,3),'FA Addition'!$Q1006),FAAddition[[#This Row],[Original Cost (Rs)]]-FAAddition[[#This Row],[Salvage Value]])),0),0)</f>
        <v>0</v>
      </c>
      <c r="AM1006" s="119"/>
      <c r="AN1006" s="117">
        <f>MAX(IF(AH1006&gt;0,IF('FA Addition'!$N1006="SLM",($AF1006-'FA Addition'!$M1006)*'FA Addition'!$P1006*AH1006/365,IFERROR(VDB(AF1006,AF1006*0.05,'FA Addition'!$O1006,0,YEARFRAC('FA Addition'!$C1006,$L$1,3),'FA Addition'!$Q1006),FAAddition[[#This Row],[Original Cost (Rs)]]-FAAddition[[#This Row],[Salvage Value]])),0),0)</f>
        <v>0</v>
      </c>
      <c r="AO1006" s="117">
        <f t="shared" si="78"/>
        <v>0</v>
      </c>
      <c r="AQ1006" s="117">
        <f t="shared" si="76"/>
        <v>0</v>
      </c>
      <c r="AR1006" s="120">
        <f t="shared" si="77"/>
        <v>0</v>
      </c>
      <c r="AS1006" s="121"/>
    </row>
    <row r="1007" spans="1:45" ht="13.5" x14ac:dyDescent="0.4">
      <c r="A1007" s="12">
        <f t="shared" si="79"/>
        <v>1004</v>
      </c>
      <c r="B1007" s="64" t="s">
        <v>1758</v>
      </c>
      <c r="C1007" s="54">
        <v>45397</v>
      </c>
      <c r="D1007" s="54">
        <v>45397</v>
      </c>
      <c r="E1007" s="46" t="s">
        <v>451</v>
      </c>
      <c r="F1007" s="51" t="s">
        <v>19</v>
      </c>
      <c r="G1007" s="51" t="s">
        <v>1728</v>
      </c>
      <c r="H1007" s="51" t="s">
        <v>21</v>
      </c>
      <c r="I1007" s="55">
        <v>3376</v>
      </c>
      <c r="J1007" s="56">
        <v>1</v>
      </c>
      <c r="K1007" s="51" t="s">
        <v>1774</v>
      </c>
      <c r="L1007" s="58">
        <v>34889.949999999997</v>
      </c>
      <c r="M1007" s="50">
        <f>ROUND('FA Addition'!$L1007*5%,0.1)</f>
        <v>1744</v>
      </c>
      <c r="N1007" s="113" t="str">
        <f>_xlfn.XLOOKUP(_xlfn.CONCAT(E1007,B1007),'Year Wise Master Dep Approach'!F:F,'Year Wise Master Dep Approach'!D:D)</f>
        <v>WDV</v>
      </c>
      <c r="O1007" s="113">
        <f>_xlfn.XLOOKUP(_xlfn.CONCAT(E1007,B1007),'Year Wise Master Dep Approach'!F:F,'Year Wise Master Dep Approach'!E:E)</f>
        <v>3</v>
      </c>
      <c r="P1007" s="114">
        <f>IFERROR(IF('FA Addition'!$N1007="WDV",1-('FA Addition'!$M1007/'FA Addition'!$L1007)^(1/'FA Addition'!$O1007),1/'FA Addition'!$O1007),0)</f>
        <v>0.63163187416487054</v>
      </c>
      <c r="Q1007" s="122">
        <f>'FA Addition'!$P1007*'FA Addition'!$O1007</f>
        <v>1.8948956224946116</v>
      </c>
      <c r="R1007" s="122"/>
      <c r="S1007" s="116">
        <f>IF(AND(DATE(20&amp;LEFT(FAAddition[[#This Row],[FY]],2),4,1)&lt;$L$1+1,DATE(20&amp;LEFT(FAAddition[[#This Row],[FY]],2),4,1)&gt;$P$1-1),'FA Addition'!$J1007,0)</f>
        <v>0</v>
      </c>
      <c r="U1007" s="117">
        <f>S1007*'FA Addition'!$L1007/'FA Addition'!$J1007</f>
        <v>0</v>
      </c>
      <c r="W1007" s="116">
        <f>SUMIFS('FA Write off'!D:D,'FA Write off'!A:A,'FA Addition'!$A1007,'FA Write off'!C:C,"&lt;"&amp;'FA Addition'!$P$1)</f>
        <v>0</v>
      </c>
      <c r="Y1007" s="191">
        <f>IFERROR(W1007/'FA Addition'!$J1007*'FA Addition'!$L1007,0)</f>
        <v>0</v>
      </c>
      <c r="AA1007" s="116">
        <f>SUMIFS('FA Write off'!D:D,'FA Write off'!A:A,'FA Addition'!$A1007,'FA Write off'!C:C,"&lt;"&amp;'FA Addition'!$L$1+1,'FA Write off'!C:C,"&gt;"&amp;'FA Addition'!$L$1-365)</f>
        <v>0</v>
      </c>
      <c r="AC1007" s="118">
        <f>IFERROR(AA1007/'FA Addition'!$J1007*'FA Addition'!$L1007,0)</f>
        <v>0</v>
      </c>
      <c r="AE1007" s="117">
        <f>IF(AND('FA Addition'!$D1007&lt;$P$1+1,U1007=0),'FA Addition'!$L1007,0)-Y1007</f>
        <v>0</v>
      </c>
      <c r="AF1007" s="117">
        <f t="shared" si="75"/>
        <v>0</v>
      </c>
      <c r="AG1007" s="117">
        <f>MIN(MAX(+$P$1-'FA Addition'!$D1007,0),365*'FA Addition'!$O1007)</f>
        <v>0</v>
      </c>
      <c r="AH1007" s="117">
        <f>MIN(MAX($L$1-'FA Addition'!$D1007+1,0),365*'FA Addition'!$O1007)</f>
        <v>0</v>
      </c>
      <c r="AI1007" s="117" cm="1">
        <f t="array" ref="AI1007">_xlfn.XLOOKUP(1,('FA Write off'!A:A='FA Addition'!$A1007)*('FA Write off'!D:D=AA1007),'FA Write off'!H:H,0,0)</f>
        <v>0</v>
      </c>
      <c r="AJ1007" s="117">
        <f>IF(AC1007&gt;0,MAX(IF('FA Addition'!$N1007="SLM",($AC1007-'FA Addition'!$M1007)*'FA Addition'!$P1007*AI1007/365,(AC1007-'FA Addition'!$M1007)*(1-(1-'FA Addition'!$P1007)^(AI1007/365))),0),0)</f>
        <v>0</v>
      </c>
      <c r="AL1007" s="117">
        <f>MAX(IF(AG1007&gt;0,IF('FA Addition'!$N1007="SLM",($AE1007-'FA Addition'!$M1007)*'FA Addition'!$P1007*AG1007/365,IFERROR(VDB(AE1007,AE1007*0.05,'FA Addition'!$O1007,0,YEARFRAC('FA Addition'!$C1007,$P$1-1,3),'FA Addition'!$Q1007),FAAddition[[#This Row],[Original Cost (Rs)]]-FAAddition[[#This Row],[Salvage Value]])),0),0)</f>
        <v>0</v>
      </c>
      <c r="AM1007" s="119"/>
      <c r="AN1007" s="117">
        <f>MAX(IF(AH1007&gt;0,IF('FA Addition'!$N1007="SLM",($AF1007-'FA Addition'!$M1007)*'FA Addition'!$P1007*AH1007/365,IFERROR(VDB(AF1007,AF1007*0.05,'FA Addition'!$O1007,0,YEARFRAC('FA Addition'!$C1007,$L$1,3),'FA Addition'!$Q1007),FAAddition[[#This Row],[Original Cost (Rs)]]-FAAddition[[#This Row],[Salvage Value]])),0),0)</f>
        <v>0</v>
      </c>
      <c r="AO1007" s="117">
        <f t="shared" si="78"/>
        <v>0</v>
      </c>
      <c r="AQ1007" s="117">
        <f t="shared" si="76"/>
        <v>0</v>
      </c>
      <c r="AR1007" s="120">
        <f t="shared" si="77"/>
        <v>0</v>
      </c>
      <c r="AS1007" s="121"/>
    </row>
    <row r="1008" spans="1:45" ht="13.5" x14ac:dyDescent="0.4">
      <c r="A1008" s="12">
        <f t="shared" si="79"/>
        <v>1005</v>
      </c>
      <c r="B1008" s="64" t="s">
        <v>1758</v>
      </c>
      <c r="C1008" s="54">
        <v>45397</v>
      </c>
      <c r="D1008" s="54">
        <v>45397</v>
      </c>
      <c r="E1008" s="46" t="s">
        <v>451</v>
      </c>
      <c r="F1008" s="51" t="s">
        <v>19</v>
      </c>
      <c r="G1008" s="51" t="s">
        <v>1728</v>
      </c>
      <c r="H1008" s="51" t="s">
        <v>21</v>
      </c>
      <c r="I1008" s="55">
        <v>3376</v>
      </c>
      <c r="J1008" s="56">
        <v>1</v>
      </c>
      <c r="K1008" s="51" t="s">
        <v>1774</v>
      </c>
      <c r="L1008" s="58">
        <v>34889.949999999997</v>
      </c>
      <c r="M1008" s="50">
        <f>ROUND('FA Addition'!$L1008*5%,0.1)</f>
        <v>1744</v>
      </c>
      <c r="N1008" s="113" t="str">
        <f>_xlfn.XLOOKUP(_xlfn.CONCAT(E1008,B1008),'Year Wise Master Dep Approach'!F:F,'Year Wise Master Dep Approach'!D:D)</f>
        <v>WDV</v>
      </c>
      <c r="O1008" s="113">
        <f>_xlfn.XLOOKUP(_xlfn.CONCAT(E1008,B1008),'Year Wise Master Dep Approach'!F:F,'Year Wise Master Dep Approach'!E:E)</f>
        <v>3</v>
      </c>
      <c r="P1008" s="114">
        <f>IFERROR(IF('FA Addition'!$N1008="WDV",1-('FA Addition'!$M1008/'FA Addition'!$L1008)^(1/'FA Addition'!$O1008),1/'FA Addition'!$O1008),0)</f>
        <v>0.63163187416487054</v>
      </c>
      <c r="Q1008" s="122">
        <f>'FA Addition'!$P1008*'FA Addition'!$O1008</f>
        <v>1.8948956224946116</v>
      </c>
      <c r="R1008" s="122"/>
      <c r="S1008" s="116">
        <f>IF(AND(DATE(20&amp;LEFT(FAAddition[[#This Row],[FY]],2),4,1)&lt;$L$1+1,DATE(20&amp;LEFT(FAAddition[[#This Row],[FY]],2),4,1)&gt;$P$1-1),'FA Addition'!$J1008,0)</f>
        <v>0</v>
      </c>
      <c r="U1008" s="117">
        <f>S1008*'FA Addition'!$L1008/'FA Addition'!$J1008</f>
        <v>0</v>
      </c>
      <c r="W1008" s="116">
        <f>SUMIFS('FA Write off'!D:D,'FA Write off'!A:A,'FA Addition'!$A1008,'FA Write off'!C:C,"&lt;"&amp;'FA Addition'!$P$1)</f>
        <v>0</v>
      </c>
      <c r="Y1008" s="191">
        <f>IFERROR(W1008/'FA Addition'!$J1008*'FA Addition'!$L1008,0)</f>
        <v>0</v>
      </c>
      <c r="AA1008" s="116">
        <f>SUMIFS('FA Write off'!D:D,'FA Write off'!A:A,'FA Addition'!$A1008,'FA Write off'!C:C,"&lt;"&amp;'FA Addition'!$L$1+1,'FA Write off'!C:C,"&gt;"&amp;'FA Addition'!$L$1-365)</f>
        <v>0</v>
      </c>
      <c r="AC1008" s="118">
        <f>IFERROR(AA1008/'FA Addition'!$J1008*'FA Addition'!$L1008,0)</f>
        <v>0</v>
      </c>
      <c r="AE1008" s="117">
        <f>IF(AND('FA Addition'!$D1008&lt;$P$1+1,U1008=0),'FA Addition'!$L1008,0)-Y1008</f>
        <v>0</v>
      </c>
      <c r="AF1008" s="117">
        <f t="shared" si="75"/>
        <v>0</v>
      </c>
      <c r="AG1008" s="117">
        <f>MIN(MAX(+$P$1-'FA Addition'!$D1008,0),365*'FA Addition'!$O1008)</f>
        <v>0</v>
      </c>
      <c r="AH1008" s="117">
        <f>MIN(MAX($L$1-'FA Addition'!$D1008+1,0),365*'FA Addition'!$O1008)</f>
        <v>0</v>
      </c>
      <c r="AI1008" s="117" cm="1">
        <f t="array" ref="AI1008">_xlfn.XLOOKUP(1,('FA Write off'!A:A='FA Addition'!$A1008)*('FA Write off'!D:D=AA1008),'FA Write off'!H:H,0,0)</f>
        <v>0</v>
      </c>
      <c r="AJ1008" s="117">
        <f>IF(AC1008&gt;0,MAX(IF('FA Addition'!$N1008="SLM",($AC1008-'FA Addition'!$M1008)*'FA Addition'!$P1008*AI1008/365,(AC1008-'FA Addition'!$M1008)*(1-(1-'FA Addition'!$P1008)^(AI1008/365))),0),0)</f>
        <v>0</v>
      </c>
      <c r="AL1008" s="117">
        <f>MAX(IF(AG1008&gt;0,IF('FA Addition'!$N1008="SLM",($AE1008-'FA Addition'!$M1008)*'FA Addition'!$P1008*AG1008/365,IFERROR(VDB(AE1008,AE1008*0.05,'FA Addition'!$O1008,0,YEARFRAC('FA Addition'!$C1008,$P$1-1,3),'FA Addition'!$Q1008),FAAddition[[#This Row],[Original Cost (Rs)]]-FAAddition[[#This Row],[Salvage Value]])),0),0)</f>
        <v>0</v>
      </c>
      <c r="AM1008" s="119"/>
      <c r="AN1008" s="117">
        <f>MAX(IF(AH1008&gt;0,IF('FA Addition'!$N1008="SLM",($AF1008-'FA Addition'!$M1008)*'FA Addition'!$P1008*AH1008/365,IFERROR(VDB(AF1008,AF1008*0.05,'FA Addition'!$O1008,0,YEARFRAC('FA Addition'!$C1008,$L$1,3),'FA Addition'!$Q1008),FAAddition[[#This Row],[Original Cost (Rs)]]-FAAddition[[#This Row],[Salvage Value]])),0),0)</f>
        <v>0</v>
      </c>
      <c r="AO1008" s="117">
        <f t="shared" si="78"/>
        <v>0</v>
      </c>
      <c r="AQ1008" s="117">
        <f t="shared" si="76"/>
        <v>0</v>
      </c>
      <c r="AR1008" s="120">
        <f t="shared" si="77"/>
        <v>0</v>
      </c>
      <c r="AS1008" s="121"/>
    </row>
    <row r="1009" spans="1:45" ht="13.5" x14ac:dyDescent="0.4">
      <c r="A1009" s="12">
        <f t="shared" si="79"/>
        <v>1006</v>
      </c>
      <c r="B1009" s="64" t="s">
        <v>1758</v>
      </c>
      <c r="C1009" s="54">
        <v>45397</v>
      </c>
      <c r="D1009" s="54">
        <v>45397</v>
      </c>
      <c r="E1009" s="46" t="s">
        <v>451</v>
      </c>
      <c r="F1009" s="51" t="s">
        <v>19</v>
      </c>
      <c r="G1009" s="51" t="s">
        <v>1728</v>
      </c>
      <c r="H1009" s="51" t="s">
        <v>21</v>
      </c>
      <c r="I1009" s="55">
        <v>3376</v>
      </c>
      <c r="J1009" s="56">
        <v>1</v>
      </c>
      <c r="K1009" s="51" t="s">
        <v>1774</v>
      </c>
      <c r="L1009" s="58">
        <v>34889.949999999997</v>
      </c>
      <c r="M1009" s="50">
        <f>ROUND('FA Addition'!$L1009*5%,0.1)</f>
        <v>1744</v>
      </c>
      <c r="N1009" s="113" t="str">
        <f>_xlfn.XLOOKUP(_xlfn.CONCAT(E1009,B1009),'Year Wise Master Dep Approach'!F:F,'Year Wise Master Dep Approach'!D:D)</f>
        <v>WDV</v>
      </c>
      <c r="O1009" s="113">
        <f>_xlfn.XLOOKUP(_xlfn.CONCAT(E1009,B1009),'Year Wise Master Dep Approach'!F:F,'Year Wise Master Dep Approach'!E:E)</f>
        <v>3</v>
      </c>
      <c r="P1009" s="114">
        <f>IFERROR(IF('FA Addition'!$N1009="WDV",1-('FA Addition'!$M1009/'FA Addition'!$L1009)^(1/'FA Addition'!$O1009),1/'FA Addition'!$O1009),0)</f>
        <v>0.63163187416487054</v>
      </c>
      <c r="Q1009" s="122">
        <f>'FA Addition'!$P1009*'FA Addition'!$O1009</f>
        <v>1.8948956224946116</v>
      </c>
      <c r="R1009" s="122"/>
      <c r="S1009" s="116">
        <f>IF(AND(DATE(20&amp;LEFT(FAAddition[[#This Row],[FY]],2),4,1)&lt;$L$1+1,DATE(20&amp;LEFT(FAAddition[[#This Row],[FY]],2),4,1)&gt;$P$1-1),'FA Addition'!$J1009,0)</f>
        <v>0</v>
      </c>
      <c r="U1009" s="117">
        <f>S1009*'FA Addition'!$L1009/'FA Addition'!$J1009</f>
        <v>0</v>
      </c>
      <c r="W1009" s="116">
        <f>SUMIFS('FA Write off'!D:D,'FA Write off'!A:A,'FA Addition'!$A1009,'FA Write off'!C:C,"&lt;"&amp;'FA Addition'!$P$1)</f>
        <v>0</v>
      </c>
      <c r="Y1009" s="191">
        <f>IFERROR(W1009/'FA Addition'!$J1009*'FA Addition'!$L1009,0)</f>
        <v>0</v>
      </c>
      <c r="AA1009" s="116">
        <f>SUMIFS('FA Write off'!D:D,'FA Write off'!A:A,'FA Addition'!$A1009,'FA Write off'!C:C,"&lt;"&amp;'FA Addition'!$L$1+1,'FA Write off'!C:C,"&gt;"&amp;'FA Addition'!$L$1-365)</f>
        <v>0</v>
      </c>
      <c r="AC1009" s="118">
        <f>IFERROR(AA1009/'FA Addition'!$J1009*'FA Addition'!$L1009,0)</f>
        <v>0</v>
      </c>
      <c r="AE1009" s="117">
        <f>IF(AND('FA Addition'!$D1009&lt;$P$1+1,U1009=0),'FA Addition'!$L1009,0)-Y1009</f>
        <v>0</v>
      </c>
      <c r="AF1009" s="117">
        <f t="shared" si="75"/>
        <v>0</v>
      </c>
      <c r="AG1009" s="117">
        <f>MIN(MAX(+$P$1-'FA Addition'!$D1009,0),365*'FA Addition'!$O1009)</f>
        <v>0</v>
      </c>
      <c r="AH1009" s="117">
        <f>MIN(MAX($L$1-'FA Addition'!$D1009+1,0),365*'FA Addition'!$O1009)</f>
        <v>0</v>
      </c>
      <c r="AI1009" s="117" cm="1">
        <f t="array" ref="AI1009">_xlfn.XLOOKUP(1,('FA Write off'!A:A='FA Addition'!$A1009)*('FA Write off'!D:D=AA1009),'FA Write off'!H:H,0,0)</f>
        <v>0</v>
      </c>
      <c r="AJ1009" s="117">
        <f>IF(AC1009&gt;0,MAX(IF('FA Addition'!$N1009="SLM",($AC1009-'FA Addition'!$M1009)*'FA Addition'!$P1009*AI1009/365,(AC1009-'FA Addition'!$M1009)*(1-(1-'FA Addition'!$P1009)^(AI1009/365))),0),0)</f>
        <v>0</v>
      </c>
      <c r="AL1009" s="117">
        <f>MAX(IF(AG1009&gt;0,IF('FA Addition'!$N1009="SLM",($AE1009-'FA Addition'!$M1009)*'FA Addition'!$P1009*AG1009/365,IFERROR(VDB(AE1009,AE1009*0.05,'FA Addition'!$O1009,0,YEARFRAC('FA Addition'!$C1009,$P$1-1,3),'FA Addition'!$Q1009),FAAddition[[#This Row],[Original Cost (Rs)]]-FAAddition[[#This Row],[Salvage Value]])),0),0)</f>
        <v>0</v>
      </c>
      <c r="AM1009" s="119"/>
      <c r="AN1009" s="117">
        <f>MAX(IF(AH1009&gt;0,IF('FA Addition'!$N1009="SLM",($AF1009-'FA Addition'!$M1009)*'FA Addition'!$P1009*AH1009/365,IFERROR(VDB(AF1009,AF1009*0.05,'FA Addition'!$O1009,0,YEARFRAC('FA Addition'!$C1009,$L$1,3),'FA Addition'!$Q1009),FAAddition[[#This Row],[Original Cost (Rs)]]-FAAddition[[#This Row],[Salvage Value]])),0),0)</f>
        <v>0</v>
      </c>
      <c r="AO1009" s="117">
        <f t="shared" si="78"/>
        <v>0</v>
      </c>
      <c r="AQ1009" s="117">
        <f t="shared" si="76"/>
        <v>0</v>
      </c>
      <c r="AR1009" s="120">
        <f t="shared" si="77"/>
        <v>0</v>
      </c>
      <c r="AS1009" s="121"/>
    </row>
    <row r="1010" spans="1:45" ht="13.5" x14ac:dyDescent="0.4">
      <c r="A1010" s="12">
        <f t="shared" si="79"/>
        <v>1007</v>
      </c>
      <c r="B1010" s="64" t="s">
        <v>1758</v>
      </c>
      <c r="C1010" s="54">
        <v>45397</v>
      </c>
      <c r="D1010" s="54">
        <v>45397</v>
      </c>
      <c r="E1010" s="46" t="s">
        <v>1320</v>
      </c>
      <c r="F1010" s="51" t="s">
        <v>33</v>
      </c>
      <c r="G1010" s="51" t="s">
        <v>36</v>
      </c>
      <c r="H1010" s="51" t="s">
        <v>32</v>
      </c>
      <c r="I1010" s="55" t="s">
        <v>1775</v>
      </c>
      <c r="J1010" s="56">
        <v>1000</v>
      </c>
      <c r="K1010" s="51" t="s">
        <v>296</v>
      </c>
      <c r="L1010" s="58">
        <v>1700000</v>
      </c>
      <c r="M1010" s="50">
        <f>ROUND('FA Addition'!$L1010*5%,0.1)</f>
        <v>85000</v>
      </c>
      <c r="N1010" s="113" t="str">
        <f>_xlfn.XLOOKUP(_xlfn.CONCAT(E1010,B1010),'Year Wise Master Dep Approach'!F:F,'Year Wise Master Dep Approach'!D:D)</f>
        <v>SLM</v>
      </c>
      <c r="O1010" s="113">
        <f>_xlfn.XLOOKUP(_xlfn.CONCAT(E1010,B1010),'Year Wise Master Dep Approach'!F:F,'Year Wise Master Dep Approach'!E:E)</f>
        <v>5</v>
      </c>
      <c r="P1010" s="114">
        <f>IFERROR(IF('FA Addition'!$N1010="WDV",1-('FA Addition'!$M1010/'FA Addition'!$L1010)^(1/'FA Addition'!$O1010),1/'FA Addition'!$O1010),0)</f>
        <v>0.2</v>
      </c>
      <c r="Q1010" s="122">
        <f>'FA Addition'!$P1010*'FA Addition'!$O1010</f>
        <v>1</v>
      </c>
      <c r="R1010" s="122"/>
      <c r="S1010" s="116">
        <f>IF(AND(DATE(20&amp;LEFT(FAAddition[[#This Row],[FY]],2),4,1)&lt;$L$1+1,DATE(20&amp;LEFT(FAAddition[[#This Row],[FY]],2),4,1)&gt;$P$1-1),'FA Addition'!$J1010,0)</f>
        <v>0</v>
      </c>
      <c r="U1010" s="117">
        <f>S1010*'FA Addition'!$L1010/'FA Addition'!$J1010</f>
        <v>0</v>
      </c>
      <c r="W1010" s="116">
        <f>SUMIFS('FA Write off'!D:D,'FA Write off'!A:A,'FA Addition'!$A1010,'FA Write off'!C:C,"&lt;"&amp;'FA Addition'!$P$1)</f>
        <v>0</v>
      </c>
      <c r="Y1010" s="191">
        <f>IFERROR(W1010/'FA Addition'!$J1010*'FA Addition'!$L1010,0)</f>
        <v>0</v>
      </c>
      <c r="AA1010" s="116">
        <f>SUMIFS('FA Write off'!D:D,'FA Write off'!A:A,'FA Addition'!$A1010,'FA Write off'!C:C,"&lt;"&amp;'FA Addition'!$L$1+1,'FA Write off'!C:C,"&gt;"&amp;'FA Addition'!$L$1-365)</f>
        <v>0</v>
      </c>
      <c r="AC1010" s="118">
        <f>IFERROR(AA1010/'FA Addition'!$J1010*'FA Addition'!$L1010,0)</f>
        <v>0</v>
      </c>
      <c r="AE1010" s="117">
        <f>IF(AND('FA Addition'!$D1010&lt;$P$1+1,U1010=0),'FA Addition'!$L1010,0)-Y1010</f>
        <v>0</v>
      </c>
      <c r="AF1010" s="117">
        <f t="shared" si="75"/>
        <v>0</v>
      </c>
      <c r="AG1010" s="117">
        <f>MIN(MAX(+$P$1-'FA Addition'!$D1010,0),365*'FA Addition'!$O1010)</f>
        <v>0</v>
      </c>
      <c r="AH1010" s="117">
        <f>MIN(MAX($L$1-'FA Addition'!$D1010+1,0),365*'FA Addition'!$O1010)</f>
        <v>0</v>
      </c>
      <c r="AI1010" s="117" cm="1">
        <f t="array" ref="AI1010">_xlfn.XLOOKUP(1,('FA Write off'!A:A='FA Addition'!$A1010)*('FA Write off'!D:D=AA1010),'FA Write off'!H:H,0,0)</f>
        <v>0</v>
      </c>
      <c r="AJ1010" s="117">
        <f>IF(AC1010&gt;0,MAX(IF('FA Addition'!$N1010="SLM",($AC1010-'FA Addition'!$M1010)*'FA Addition'!$P1010*AI1010/365,(AC1010-'FA Addition'!$M1010)*(1-(1-'FA Addition'!$P1010)^(AI1010/365))),0),0)</f>
        <v>0</v>
      </c>
      <c r="AL1010" s="117">
        <f>MAX(IF(AG1010&gt;0,IF('FA Addition'!$N1010="SLM",($AE1010-'FA Addition'!$M1010)*'FA Addition'!$P1010*AG1010/365,IFERROR(VDB(AE1010,AE1010*0.05,'FA Addition'!$O1010,0,YEARFRAC('FA Addition'!$C1010,$P$1-1,3),'FA Addition'!$Q1010),FAAddition[[#This Row],[Original Cost (Rs)]]-FAAddition[[#This Row],[Salvage Value]])),0),0)</f>
        <v>0</v>
      </c>
      <c r="AM1010" s="119"/>
      <c r="AN1010" s="117">
        <f>MAX(IF(AH1010&gt;0,IF('FA Addition'!$N1010="SLM",($AF1010-'FA Addition'!$M1010)*'FA Addition'!$P1010*AH1010/365,IFERROR(VDB(AF1010,AF1010*0.05,'FA Addition'!$O1010,0,YEARFRAC('FA Addition'!$C1010,$L$1,3),'FA Addition'!$Q1010),FAAddition[[#This Row],[Original Cost (Rs)]]-FAAddition[[#This Row],[Salvage Value]])),0),0)</f>
        <v>0</v>
      </c>
      <c r="AO1010" s="117">
        <f t="shared" si="78"/>
        <v>0</v>
      </c>
      <c r="AQ1010" s="117">
        <f t="shared" si="76"/>
        <v>0</v>
      </c>
      <c r="AR1010" s="120">
        <f t="shared" si="77"/>
        <v>0</v>
      </c>
      <c r="AS1010" s="121"/>
    </row>
    <row r="1011" spans="1:45" ht="13.5" x14ac:dyDescent="0.4">
      <c r="A1011" s="12">
        <f t="shared" si="79"/>
        <v>1008</v>
      </c>
      <c r="B1011" s="64" t="s">
        <v>1758</v>
      </c>
      <c r="C1011" s="54">
        <v>45398</v>
      </c>
      <c r="D1011" s="54">
        <v>45398</v>
      </c>
      <c r="E1011" s="46" t="s">
        <v>1320</v>
      </c>
      <c r="F1011" s="51" t="s">
        <v>33</v>
      </c>
      <c r="G1011" s="51" t="s">
        <v>36</v>
      </c>
      <c r="H1011" s="51" t="s">
        <v>32</v>
      </c>
      <c r="I1011" s="55" t="s">
        <v>1776</v>
      </c>
      <c r="J1011" s="56">
        <v>1000</v>
      </c>
      <c r="K1011" s="51" t="s">
        <v>296</v>
      </c>
      <c r="L1011" s="58">
        <v>1700000</v>
      </c>
      <c r="M1011" s="50">
        <f>ROUND('FA Addition'!$L1011*5%,0.1)</f>
        <v>85000</v>
      </c>
      <c r="N1011" s="113" t="str">
        <f>_xlfn.XLOOKUP(_xlfn.CONCAT(E1011,B1011),'Year Wise Master Dep Approach'!F:F,'Year Wise Master Dep Approach'!D:D)</f>
        <v>SLM</v>
      </c>
      <c r="O1011" s="113">
        <f>_xlfn.XLOOKUP(_xlfn.CONCAT(E1011,B1011),'Year Wise Master Dep Approach'!F:F,'Year Wise Master Dep Approach'!E:E)</f>
        <v>5</v>
      </c>
      <c r="P1011" s="114">
        <f>IFERROR(IF('FA Addition'!$N1011="WDV",1-('FA Addition'!$M1011/'FA Addition'!$L1011)^(1/'FA Addition'!$O1011),1/'FA Addition'!$O1011),0)</f>
        <v>0.2</v>
      </c>
      <c r="Q1011" s="122">
        <f>'FA Addition'!$P1011*'FA Addition'!$O1011</f>
        <v>1</v>
      </c>
      <c r="R1011" s="122"/>
      <c r="S1011" s="116">
        <f>IF(AND(DATE(20&amp;LEFT(FAAddition[[#This Row],[FY]],2),4,1)&lt;$L$1+1,DATE(20&amp;LEFT(FAAddition[[#This Row],[FY]],2),4,1)&gt;$P$1-1),'FA Addition'!$J1011,0)</f>
        <v>0</v>
      </c>
      <c r="U1011" s="117">
        <f>S1011*'FA Addition'!$L1011/'FA Addition'!$J1011</f>
        <v>0</v>
      </c>
      <c r="W1011" s="116">
        <f>SUMIFS('FA Write off'!D:D,'FA Write off'!A:A,'FA Addition'!$A1011,'FA Write off'!C:C,"&lt;"&amp;'FA Addition'!$P$1)</f>
        <v>0</v>
      </c>
      <c r="Y1011" s="191">
        <f>IFERROR(W1011/'FA Addition'!$J1011*'FA Addition'!$L1011,0)</f>
        <v>0</v>
      </c>
      <c r="AA1011" s="116">
        <f>SUMIFS('FA Write off'!D:D,'FA Write off'!A:A,'FA Addition'!$A1011,'FA Write off'!C:C,"&lt;"&amp;'FA Addition'!$L$1+1,'FA Write off'!C:C,"&gt;"&amp;'FA Addition'!$L$1-365)</f>
        <v>0</v>
      </c>
      <c r="AC1011" s="118">
        <f>IFERROR(AA1011/'FA Addition'!$J1011*'FA Addition'!$L1011,0)</f>
        <v>0</v>
      </c>
      <c r="AE1011" s="117">
        <f>IF(AND('FA Addition'!$D1011&lt;$P$1+1,U1011=0),'FA Addition'!$L1011,0)-Y1011</f>
        <v>0</v>
      </c>
      <c r="AF1011" s="117">
        <f t="shared" si="75"/>
        <v>0</v>
      </c>
      <c r="AG1011" s="117">
        <f>MIN(MAX(+$P$1-'FA Addition'!$D1011,0),365*'FA Addition'!$O1011)</f>
        <v>0</v>
      </c>
      <c r="AH1011" s="117">
        <f>MIN(MAX($L$1-'FA Addition'!$D1011+1,0),365*'FA Addition'!$O1011)</f>
        <v>0</v>
      </c>
      <c r="AI1011" s="117" cm="1">
        <f t="array" ref="AI1011">_xlfn.XLOOKUP(1,('FA Write off'!A:A='FA Addition'!$A1011)*('FA Write off'!D:D=AA1011),'FA Write off'!H:H,0,0)</f>
        <v>0</v>
      </c>
      <c r="AJ1011" s="117">
        <f>IF(AC1011&gt;0,MAX(IF('FA Addition'!$N1011="SLM",($AC1011-'FA Addition'!$M1011)*'FA Addition'!$P1011*AI1011/365,(AC1011-'FA Addition'!$M1011)*(1-(1-'FA Addition'!$P1011)^(AI1011/365))),0),0)</f>
        <v>0</v>
      </c>
      <c r="AL1011" s="117">
        <f>MAX(IF(AG1011&gt;0,IF('FA Addition'!$N1011="SLM",($AE1011-'FA Addition'!$M1011)*'FA Addition'!$P1011*AG1011/365,IFERROR(VDB(AE1011,AE1011*0.05,'FA Addition'!$O1011,0,YEARFRAC('FA Addition'!$C1011,$P$1-1,3),'FA Addition'!$Q1011),FAAddition[[#This Row],[Original Cost (Rs)]]-FAAddition[[#This Row],[Salvage Value]])),0),0)</f>
        <v>0</v>
      </c>
      <c r="AM1011" s="119"/>
      <c r="AN1011" s="117">
        <f>MAX(IF(AH1011&gt;0,IF('FA Addition'!$N1011="SLM",($AF1011-'FA Addition'!$M1011)*'FA Addition'!$P1011*AH1011/365,IFERROR(VDB(AF1011,AF1011*0.05,'FA Addition'!$O1011,0,YEARFRAC('FA Addition'!$C1011,$L$1,3),'FA Addition'!$Q1011),FAAddition[[#This Row],[Original Cost (Rs)]]-FAAddition[[#This Row],[Salvage Value]])),0),0)</f>
        <v>0</v>
      </c>
      <c r="AO1011" s="117">
        <f t="shared" si="78"/>
        <v>0</v>
      </c>
      <c r="AQ1011" s="117">
        <f t="shared" si="76"/>
        <v>0</v>
      </c>
      <c r="AR1011" s="120">
        <f t="shared" si="77"/>
        <v>0</v>
      </c>
      <c r="AS1011" s="121"/>
    </row>
    <row r="1012" spans="1:45" ht="13.5" x14ac:dyDescent="0.4">
      <c r="A1012" s="12">
        <f t="shared" si="79"/>
        <v>1009</v>
      </c>
      <c r="B1012" s="64" t="s">
        <v>1758</v>
      </c>
      <c r="C1012" s="54">
        <v>45402</v>
      </c>
      <c r="D1012" s="54">
        <v>45402</v>
      </c>
      <c r="E1012" s="46" t="s">
        <v>1320</v>
      </c>
      <c r="F1012" s="51" t="s">
        <v>33</v>
      </c>
      <c r="G1012" s="51" t="s">
        <v>36</v>
      </c>
      <c r="H1012" s="51" t="s">
        <v>32</v>
      </c>
      <c r="I1012" s="55" t="s">
        <v>1777</v>
      </c>
      <c r="J1012" s="56">
        <v>1000</v>
      </c>
      <c r="K1012" s="51" t="s">
        <v>296</v>
      </c>
      <c r="L1012" s="58">
        <v>1700000</v>
      </c>
      <c r="M1012" s="50">
        <f>ROUND('FA Addition'!$L1012*5%,0.1)</f>
        <v>85000</v>
      </c>
      <c r="N1012" s="113" t="str">
        <f>_xlfn.XLOOKUP(_xlfn.CONCAT(E1012,B1012),'Year Wise Master Dep Approach'!F:F,'Year Wise Master Dep Approach'!D:D)</f>
        <v>SLM</v>
      </c>
      <c r="O1012" s="113">
        <f>_xlfn.XLOOKUP(_xlfn.CONCAT(E1012,B1012),'Year Wise Master Dep Approach'!F:F,'Year Wise Master Dep Approach'!E:E)</f>
        <v>5</v>
      </c>
      <c r="P1012" s="114">
        <f>IFERROR(IF('FA Addition'!$N1012="WDV",1-('FA Addition'!$M1012/'FA Addition'!$L1012)^(1/'FA Addition'!$O1012),1/'FA Addition'!$O1012),0)</f>
        <v>0.2</v>
      </c>
      <c r="Q1012" s="122">
        <f>'FA Addition'!$P1012*'FA Addition'!$O1012</f>
        <v>1</v>
      </c>
      <c r="R1012" s="122"/>
      <c r="S1012" s="116">
        <f>IF(AND(DATE(20&amp;LEFT(FAAddition[[#This Row],[FY]],2),4,1)&lt;$L$1+1,DATE(20&amp;LEFT(FAAddition[[#This Row],[FY]],2),4,1)&gt;$P$1-1),'FA Addition'!$J1012,0)</f>
        <v>0</v>
      </c>
      <c r="U1012" s="117">
        <f>S1012*'FA Addition'!$L1012/'FA Addition'!$J1012</f>
        <v>0</v>
      </c>
      <c r="W1012" s="116">
        <f>SUMIFS('FA Write off'!D:D,'FA Write off'!A:A,'FA Addition'!$A1012,'FA Write off'!C:C,"&lt;"&amp;'FA Addition'!$P$1)</f>
        <v>0</v>
      </c>
      <c r="Y1012" s="191">
        <f>IFERROR(W1012/'FA Addition'!$J1012*'FA Addition'!$L1012,0)</f>
        <v>0</v>
      </c>
      <c r="AA1012" s="116">
        <f>SUMIFS('FA Write off'!D:D,'FA Write off'!A:A,'FA Addition'!$A1012,'FA Write off'!C:C,"&lt;"&amp;'FA Addition'!$L$1+1,'FA Write off'!C:C,"&gt;"&amp;'FA Addition'!$L$1-365)</f>
        <v>0</v>
      </c>
      <c r="AC1012" s="118">
        <f>IFERROR(AA1012/'FA Addition'!$J1012*'FA Addition'!$L1012,0)</f>
        <v>0</v>
      </c>
      <c r="AE1012" s="117">
        <f>IF(AND('FA Addition'!$D1012&lt;$P$1+1,U1012=0),'FA Addition'!$L1012,0)-Y1012</f>
        <v>0</v>
      </c>
      <c r="AF1012" s="117">
        <f t="shared" si="75"/>
        <v>0</v>
      </c>
      <c r="AG1012" s="117">
        <f>MIN(MAX(+$P$1-'FA Addition'!$D1012,0),365*'FA Addition'!$O1012)</f>
        <v>0</v>
      </c>
      <c r="AH1012" s="117">
        <f>MIN(MAX($L$1-'FA Addition'!$D1012+1,0),365*'FA Addition'!$O1012)</f>
        <v>0</v>
      </c>
      <c r="AI1012" s="117" cm="1">
        <f t="array" ref="AI1012">_xlfn.XLOOKUP(1,('FA Write off'!A:A='FA Addition'!$A1012)*('FA Write off'!D:D=AA1012),'FA Write off'!H:H,0,0)</f>
        <v>0</v>
      </c>
      <c r="AJ1012" s="117">
        <f>IF(AC1012&gt;0,MAX(IF('FA Addition'!$N1012="SLM",($AC1012-'FA Addition'!$M1012)*'FA Addition'!$P1012*AI1012/365,(AC1012-'FA Addition'!$M1012)*(1-(1-'FA Addition'!$P1012)^(AI1012/365))),0),0)</f>
        <v>0</v>
      </c>
      <c r="AL1012" s="117">
        <f>MAX(IF(AG1012&gt;0,IF('FA Addition'!$N1012="SLM",($AE1012-'FA Addition'!$M1012)*'FA Addition'!$P1012*AG1012/365,IFERROR(VDB(AE1012,AE1012*0.05,'FA Addition'!$O1012,0,YEARFRAC('FA Addition'!$C1012,$P$1-1,3),'FA Addition'!$Q1012),FAAddition[[#This Row],[Original Cost (Rs)]]-FAAddition[[#This Row],[Salvage Value]])),0),0)</f>
        <v>0</v>
      </c>
      <c r="AM1012" s="119"/>
      <c r="AN1012" s="117">
        <f>MAX(IF(AH1012&gt;0,IF('FA Addition'!$N1012="SLM",($AF1012-'FA Addition'!$M1012)*'FA Addition'!$P1012*AH1012/365,IFERROR(VDB(AF1012,AF1012*0.05,'FA Addition'!$O1012,0,YEARFRAC('FA Addition'!$C1012,$L$1,3),'FA Addition'!$Q1012),FAAddition[[#This Row],[Original Cost (Rs)]]-FAAddition[[#This Row],[Salvage Value]])),0),0)</f>
        <v>0</v>
      </c>
      <c r="AO1012" s="117">
        <f t="shared" si="78"/>
        <v>0</v>
      </c>
      <c r="AQ1012" s="117">
        <f t="shared" si="76"/>
        <v>0</v>
      </c>
      <c r="AR1012" s="120">
        <f t="shared" si="77"/>
        <v>0</v>
      </c>
      <c r="AS1012" s="121"/>
    </row>
    <row r="1013" spans="1:45" ht="13.5" x14ac:dyDescent="0.4">
      <c r="A1013" s="12">
        <f t="shared" si="79"/>
        <v>1010</v>
      </c>
      <c r="B1013" s="64" t="s">
        <v>1758</v>
      </c>
      <c r="C1013" s="54">
        <v>45404</v>
      </c>
      <c r="D1013" s="54">
        <v>45404</v>
      </c>
      <c r="E1013" s="46" t="s">
        <v>451</v>
      </c>
      <c r="F1013" s="51" t="s">
        <v>19</v>
      </c>
      <c r="G1013" s="51" t="s">
        <v>1728</v>
      </c>
      <c r="H1013" s="51" t="s">
        <v>151</v>
      </c>
      <c r="I1013" s="55" t="s">
        <v>1778</v>
      </c>
      <c r="J1013" s="56">
        <v>1</v>
      </c>
      <c r="K1013" s="51" t="s">
        <v>1779</v>
      </c>
      <c r="L1013" s="58">
        <v>24100</v>
      </c>
      <c r="M1013" s="50">
        <f>ROUND('FA Addition'!$L1013*5%,0.1)</f>
        <v>1205</v>
      </c>
      <c r="N1013" s="113" t="str">
        <f>_xlfn.XLOOKUP(_xlfn.CONCAT(E1013,B1013),'Year Wise Master Dep Approach'!F:F,'Year Wise Master Dep Approach'!D:D)</f>
        <v>WDV</v>
      </c>
      <c r="O1013" s="113">
        <f>_xlfn.XLOOKUP(_xlfn.CONCAT(E1013,B1013),'Year Wise Master Dep Approach'!F:F,'Year Wise Master Dep Approach'!E:E)</f>
        <v>3</v>
      </c>
      <c r="P1013" s="114">
        <f>IFERROR(IF('FA Addition'!$N1013="WDV",1-('FA Addition'!$M1013/'FA Addition'!$L1013)^(1/'FA Addition'!$O1013),1/'FA Addition'!$O1013),0)</f>
        <v>0.63159685013596123</v>
      </c>
      <c r="Q1013" s="122">
        <f>'FA Addition'!$P1013*'FA Addition'!$O1013</f>
        <v>1.8947905504078837</v>
      </c>
      <c r="R1013" s="122"/>
      <c r="S1013" s="116">
        <f>IF(AND(DATE(20&amp;LEFT(FAAddition[[#This Row],[FY]],2),4,1)&lt;$L$1+1,DATE(20&amp;LEFT(FAAddition[[#This Row],[FY]],2),4,1)&gt;$P$1-1),'FA Addition'!$J1013,0)</f>
        <v>0</v>
      </c>
      <c r="U1013" s="117">
        <f>S1013*'FA Addition'!$L1013/'FA Addition'!$J1013</f>
        <v>0</v>
      </c>
      <c r="W1013" s="116">
        <f>SUMIFS('FA Write off'!D:D,'FA Write off'!A:A,'FA Addition'!$A1013,'FA Write off'!C:C,"&lt;"&amp;'FA Addition'!$P$1)</f>
        <v>0</v>
      </c>
      <c r="Y1013" s="191">
        <f>IFERROR(W1013/'FA Addition'!$J1013*'FA Addition'!$L1013,0)</f>
        <v>0</v>
      </c>
      <c r="AA1013" s="116">
        <f>SUMIFS('FA Write off'!D:D,'FA Write off'!A:A,'FA Addition'!$A1013,'FA Write off'!C:C,"&lt;"&amp;'FA Addition'!$L$1+1,'FA Write off'!C:C,"&gt;"&amp;'FA Addition'!$L$1-365)</f>
        <v>0</v>
      </c>
      <c r="AC1013" s="118">
        <f>IFERROR(AA1013/'FA Addition'!$J1013*'FA Addition'!$L1013,0)</f>
        <v>0</v>
      </c>
      <c r="AE1013" s="117">
        <f>IF(AND('FA Addition'!$D1013&lt;$P$1+1,U1013=0),'FA Addition'!$L1013,0)-Y1013</f>
        <v>0</v>
      </c>
      <c r="AF1013" s="117">
        <f t="shared" si="75"/>
        <v>0</v>
      </c>
      <c r="AG1013" s="117">
        <f>MIN(MAX(+$P$1-'FA Addition'!$D1013,0),365*'FA Addition'!$O1013)</f>
        <v>0</v>
      </c>
      <c r="AH1013" s="117">
        <f>MIN(MAX($L$1-'FA Addition'!$D1013+1,0),365*'FA Addition'!$O1013)</f>
        <v>0</v>
      </c>
      <c r="AI1013" s="117" cm="1">
        <f t="array" ref="AI1013">_xlfn.XLOOKUP(1,('FA Write off'!A:A='FA Addition'!$A1013)*('FA Write off'!D:D=AA1013),'FA Write off'!H:H,0,0)</f>
        <v>0</v>
      </c>
      <c r="AJ1013" s="117">
        <f>IF(AC1013&gt;0,MAX(IF('FA Addition'!$N1013="SLM",($AC1013-'FA Addition'!$M1013)*'FA Addition'!$P1013*AI1013/365,(AC1013-'FA Addition'!$M1013)*(1-(1-'FA Addition'!$P1013)^(AI1013/365))),0),0)</f>
        <v>0</v>
      </c>
      <c r="AL1013" s="117">
        <f>MAX(IF(AG1013&gt;0,IF('FA Addition'!$N1013="SLM",($AE1013-'FA Addition'!$M1013)*'FA Addition'!$P1013*AG1013/365,IFERROR(VDB(AE1013,AE1013*0.05,'FA Addition'!$O1013,0,YEARFRAC('FA Addition'!$C1013,$P$1-1,3),'FA Addition'!$Q1013),FAAddition[[#This Row],[Original Cost (Rs)]]-FAAddition[[#This Row],[Salvage Value]])),0),0)</f>
        <v>0</v>
      </c>
      <c r="AM1013" s="119"/>
      <c r="AN1013" s="117">
        <f>MAX(IF(AH1013&gt;0,IF('FA Addition'!$N1013="SLM",($AF1013-'FA Addition'!$M1013)*'FA Addition'!$P1013*AH1013/365,IFERROR(VDB(AF1013,AF1013*0.05,'FA Addition'!$O1013,0,YEARFRAC('FA Addition'!$C1013,$L$1,3),'FA Addition'!$Q1013),FAAddition[[#This Row],[Original Cost (Rs)]]-FAAddition[[#This Row],[Salvage Value]])),0),0)</f>
        <v>0</v>
      </c>
      <c r="AO1013" s="117">
        <f t="shared" si="78"/>
        <v>0</v>
      </c>
      <c r="AQ1013" s="117">
        <f t="shared" si="76"/>
        <v>0</v>
      </c>
      <c r="AR1013" s="120">
        <f t="shared" si="77"/>
        <v>0</v>
      </c>
      <c r="AS1013" s="121"/>
    </row>
    <row r="1014" spans="1:45" ht="13.5" x14ac:dyDescent="0.4">
      <c r="A1014" s="12">
        <f t="shared" si="79"/>
        <v>1011</v>
      </c>
      <c r="B1014" s="64" t="s">
        <v>1758</v>
      </c>
      <c r="C1014" s="54">
        <v>45404</v>
      </c>
      <c r="D1014" s="54">
        <v>45404</v>
      </c>
      <c r="E1014" s="46" t="s">
        <v>451</v>
      </c>
      <c r="F1014" s="51" t="s">
        <v>19</v>
      </c>
      <c r="G1014" s="51" t="s">
        <v>1728</v>
      </c>
      <c r="H1014" s="51" t="s">
        <v>21</v>
      </c>
      <c r="I1014" s="55" t="s">
        <v>1780</v>
      </c>
      <c r="J1014" s="56">
        <v>1</v>
      </c>
      <c r="K1014" s="51" t="s">
        <v>1774</v>
      </c>
      <c r="L1014" s="58">
        <v>34890</v>
      </c>
      <c r="M1014" s="50">
        <f>ROUND('FA Addition'!$L1014*5%,0.1)</f>
        <v>1745</v>
      </c>
      <c r="N1014" s="113" t="str">
        <f>_xlfn.XLOOKUP(_xlfn.CONCAT(E1014,B1014),'Year Wise Master Dep Approach'!F:F,'Year Wise Master Dep Approach'!D:D)</f>
        <v>WDV</v>
      </c>
      <c r="O1014" s="113">
        <f>_xlfn.XLOOKUP(_xlfn.CONCAT(E1014,B1014),'Year Wise Master Dep Approach'!F:F,'Year Wise Master Dep Approach'!E:E)</f>
        <v>3</v>
      </c>
      <c r="P1014" s="114">
        <f>IFERROR(IF('FA Addition'!$N1014="WDV",1-('FA Addition'!$M1014/'FA Addition'!$L1014)^(1/'FA Addition'!$O1014),1/'FA Addition'!$O1014),0)</f>
        <v>0.63156165686579468</v>
      </c>
      <c r="Q1014" s="122">
        <f>'FA Addition'!$P1014*'FA Addition'!$O1014</f>
        <v>1.8946849705973841</v>
      </c>
      <c r="R1014" s="122"/>
      <c r="S1014" s="116">
        <f>IF(AND(DATE(20&amp;LEFT(FAAddition[[#This Row],[FY]],2),4,1)&lt;$L$1+1,DATE(20&amp;LEFT(FAAddition[[#This Row],[FY]],2),4,1)&gt;$P$1-1),'FA Addition'!$J1014,0)</f>
        <v>0</v>
      </c>
      <c r="U1014" s="117">
        <f>S1014*'FA Addition'!$L1014/'FA Addition'!$J1014</f>
        <v>0</v>
      </c>
      <c r="W1014" s="116">
        <f>SUMIFS('FA Write off'!D:D,'FA Write off'!A:A,'FA Addition'!$A1014,'FA Write off'!C:C,"&lt;"&amp;'FA Addition'!$P$1)</f>
        <v>0</v>
      </c>
      <c r="Y1014" s="191">
        <f>IFERROR(W1014/'FA Addition'!$J1014*'FA Addition'!$L1014,0)</f>
        <v>0</v>
      </c>
      <c r="AA1014" s="116">
        <f>SUMIFS('FA Write off'!D:D,'FA Write off'!A:A,'FA Addition'!$A1014,'FA Write off'!C:C,"&lt;"&amp;'FA Addition'!$L$1+1,'FA Write off'!C:C,"&gt;"&amp;'FA Addition'!$L$1-365)</f>
        <v>0</v>
      </c>
      <c r="AC1014" s="118">
        <f>IFERROR(AA1014/'FA Addition'!$J1014*'FA Addition'!$L1014,0)</f>
        <v>0</v>
      </c>
      <c r="AE1014" s="117">
        <f>IF(AND('FA Addition'!$D1014&lt;$P$1+1,U1014=0),'FA Addition'!$L1014,0)-Y1014</f>
        <v>0</v>
      </c>
      <c r="AF1014" s="117">
        <f t="shared" si="75"/>
        <v>0</v>
      </c>
      <c r="AG1014" s="117">
        <f>MIN(MAX(+$P$1-'FA Addition'!$D1014,0),365*'FA Addition'!$O1014)</f>
        <v>0</v>
      </c>
      <c r="AH1014" s="117">
        <f>MIN(MAX($L$1-'FA Addition'!$D1014+1,0),365*'FA Addition'!$O1014)</f>
        <v>0</v>
      </c>
      <c r="AI1014" s="117" cm="1">
        <f t="array" ref="AI1014">_xlfn.XLOOKUP(1,('FA Write off'!A:A='FA Addition'!$A1014)*('FA Write off'!D:D=AA1014),'FA Write off'!H:H,0,0)</f>
        <v>0</v>
      </c>
      <c r="AJ1014" s="117">
        <f>IF(AC1014&gt;0,MAX(IF('FA Addition'!$N1014="SLM",($AC1014-'FA Addition'!$M1014)*'FA Addition'!$P1014*AI1014/365,(AC1014-'FA Addition'!$M1014)*(1-(1-'FA Addition'!$P1014)^(AI1014/365))),0),0)</f>
        <v>0</v>
      </c>
      <c r="AL1014" s="117">
        <f>MAX(IF(AG1014&gt;0,IF('FA Addition'!$N1014="SLM",($AE1014-'FA Addition'!$M1014)*'FA Addition'!$P1014*AG1014/365,IFERROR(VDB(AE1014,AE1014*0.05,'FA Addition'!$O1014,0,YEARFRAC('FA Addition'!$C1014,$P$1-1,3),'FA Addition'!$Q1014),FAAddition[[#This Row],[Original Cost (Rs)]]-FAAddition[[#This Row],[Salvage Value]])),0),0)</f>
        <v>0</v>
      </c>
      <c r="AM1014" s="119"/>
      <c r="AN1014" s="117">
        <f>MAX(IF(AH1014&gt;0,IF('FA Addition'!$N1014="SLM",($AF1014-'FA Addition'!$M1014)*'FA Addition'!$P1014*AH1014/365,IFERROR(VDB(AF1014,AF1014*0.05,'FA Addition'!$O1014,0,YEARFRAC('FA Addition'!$C1014,$L$1,3),'FA Addition'!$Q1014),FAAddition[[#This Row],[Original Cost (Rs)]]-FAAddition[[#This Row],[Salvage Value]])),0),0)</f>
        <v>0</v>
      </c>
      <c r="AO1014" s="117">
        <f t="shared" si="78"/>
        <v>0</v>
      </c>
      <c r="AQ1014" s="117">
        <f t="shared" si="76"/>
        <v>0</v>
      </c>
      <c r="AR1014" s="120">
        <f t="shared" si="77"/>
        <v>0</v>
      </c>
      <c r="AS1014" s="121"/>
    </row>
    <row r="1015" spans="1:45" ht="13.5" x14ac:dyDescent="0.4">
      <c r="A1015" s="12">
        <f t="shared" si="79"/>
        <v>1012</v>
      </c>
      <c r="B1015" s="64" t="s">
        <v>1758</v>
      </c>
      <c r="C1015" s="54">
        <v>45404</v>
      </c>
      <c r="D1015" s="54">
        <v>45404</v>
      </c>
      <c r="E1015" s="46" t="s">
        <v>451</v>
      </c>
      <c r="F1015" s="51" t="s">
        <v>19</v>
      </c>
      <c r="G1015" s="51" t="s">
        <v>1728</v>
      </c>
      <c r="H1015" s="51" t="s">
        <v>21</v>
      </c>
      <c r="I1015" s="55" t="s">
        <v>1780</v>
      </c>
      <c r="J1015" s="56">
        <v>1</v>
      </c>
      <c r="K1015" s="51" t="s">
        <v>1774</v>
      </c>
      <c r="L1015" s="58">
        <v>34890</v>
      </c>
      <c r="M1015" s="50">
        <f>ROUND('FA Addition'!$L1015*5%,0.1)</f>
        <v>1745</v>
      </c>
      <c r="N1015" s="113" t="str">
        <f>_xlfn.XLOOKUP(_xlfn.CONCAT(E1015,B1015),'Year Wise Master Dep Approach'!F:F,'Year Wise Master Dep Approach'!D:D)</f>
        <v>WDV</v>
      </c>
      <c r="O1015" s="113">
        <f>_xlfn.XLOOKUP(_xlfn.CONCAT(E1015,B1015),'Year Wise Master Dep Approach'!F:F,'Year Wise Master Dep Approach'!E:E)</f>
        <v>3</v>
      </c>
      <c r="P1015" s="114">
        <f>IFERROR(IF('FA Addition'!$N1015="WDV",1-('FA Addition'!$M1015/'FA Addition'!$L1015)^(1/'FA Addition'!$O1015),1/'FA Addition'!$O1015),0)</f>
        <v>0.63156165686579468</v>
      </c>
      <c r="Q1015" s="122">
        <f>'FA Addition'!$P1015*'FA Addition'!$O1015</f>
        <v>1.8946849705973841</v>
      </c>
      <c r="R1015" s="122"/>
      <c r="S1015" s="116">
        <f>IF(AND(DATE(20&amp;LEFT(FAAddition[[#This Row],[FY]],2),4,1)&lt;$L$1+1,DATE(20&amp;LEFT(FAAddition[[#This Row],[FY]],2),4,1)&gt;$P$1-1),'FA Addition'!$J1015,0)</f>
        <v>0</v>
      </c>
      <c r="U1015" s="117">
        <f>S1015*'FA Addition'!$L1015/'FA Addition'!$J1015</f>
        <v>0</v>
      </c>
      <c r="W1015" s="116">
        <f>SUMIFS('FA Write off'!D:D,'FA Write off'!A:A,'FA Addition'!$A1015,'FA Write off'!C:C,"&lt;"&amp;'FA Addition'!$P$1)</f>
        <v>0</v>
      </c>
      <c r="Y1015" s="191">
        <f>IFERROR(W1015/'FA Addition'!$J1015*'FA Addition'!$L1015,0)</f>
        <v>0</v>
      </c>
      <c r="AA1015" s="116">
        <f>SUMIFS('FA Write off'!D:D,'FA Write off'!A:A,'FA Addition'!$A1015,'FA Write off'!C:C,"&lt;"&amp;'FA Addition'!$L$1+1,'FA Write off'!C:C,"&gt;"&amp;'FA Addition'!$L$1-365)</f>
        <v>0</v>
      </c>
      <c r="AC1015" s="118">
        <f>IFERROR(AA1015/'FA Addition'!$J1015*'FA Addition'!$L1015,0)</f>
        <v>0</v>
      </c>
      <c r="AE1015" s="117">
        <f>IF(AND('FA Addition'!$D1015&lt;$P$1+1,U1015=0),'FA Addition'!$L1015,0)-Y1015</f>
        <v>0</v>
      </c>
      <c r="AF1015" s="117">
        <f t="shared" si="75"/>
        <v>0</v>
      </c>
      <c r="AG1015" s="117">
        <f>MIN(MAX(+$P$1-'FA Addition'!$D1015,0),365*'FA Addition'!$O1015)</f>
        <v>0</v>
      </c>
      <c r="AH1015" s="117">
        <f>MIN(MAX($L$1-'FA Addition'!$D1015+1,0),365*'FA Addition'!$O1015)</f>
        <v>0</v>
      </c>
      <c r="AI1015" s="117" cm="1">
        <f t="array" ref="AI1015">_xlfn.XLOOKUP(1,('FA Write off'!A:A='FA Addition'!$A1015)*('FA Write off'!D:D=AA1015),'FA Write off'!H:H,0,0)</f>
        <v>0</v>
      </c>
      <c r="AJ1015" s="117">
        <f>IF(AC1015&gt;0,MAX(IF('FA Addition'!$N1015="SLM",($AC1015-'FA Addition'!$M1015)*'FA Addition'!$P1015*AI1015/365,(AC1015-'FA Addition'!$M1015)*(1-(1-'FA Addition'!$P1015)^(AI1015/365))),0),0)</f>
        <v>0</v>
      </c>
      <c r="AL1015" s="117">
        <f>MAX(IF(AG1015&gt;0,IF('FA Addition'!$N1015="SLM",($AE1015-'FA Addition'!$M1015)*'FA Addition'!$P1015*AG1015/365,IFERROR(VDB(AE1015,AE1015*0.05,'FA Addition'!$O1015,0,YEARFRAC('FA Addition'!$C1015,$P$1-1,3),'FA Addition'!$Q1015),FAAddition[[#This Row],[Original Cost (Rs)]]-FAAddition[[#This Row],[Salvage Value]])),0),0)</f>
        <v>0</v>
      </c>
      <c r="AM1015" s="119"/>
      <c r="AN1015" s="117">
        <f>MAX(IF(AH1015&gt;0,IF('FA Addition'!$N1015="SLM",($AF1015-'FA Addition'!$M1015)*'FA Addition'!$P1015*AH1015/365,IFERROR(VDB(AF1015,AF1015*0.05,'FA Addition'!$O1015,0,YEARFRAC('FA Addition'!$C1015,$L$1,3),'FA Addition'!$Q1015),FAAddition[[#This Row],[Original Cost (Rs)]]-FAAddition[[#This Row],[Salvage Value]])),0),0)</f>
        <v>0</v>
      </c>
      <c r="AO1015" s="117">
        <f t="shared" si="78"/>
        <v>0</v>
      </c>
      <c r="AQ1015" s="117">
        <f t="shared" si="76"/>
        <v>0</v>
      </c>
      <c r="AR1015" s="120">
        <f t="shared" si="77"/>
        <v>0</v>
      </c>
      <c r="AS1015" s="121"/>
    </row>
    <row r="1016" spans="1:45" ht="13.5" x14ac:dyDescent="0.4">
      <c r="A1016" s="12">
        <f t="shared" si="79"/>
        <v>1013</v>
      </c>
      <c r="B1016" s="64" t="s">
        <v>1758</v>
      </c>
      <c r="C1016" s="54">
        <v>45404</v>
      </c>
      <c r="D1016" s="54">
        <v>45404</v>
      </c>
      <c r="E1016" s="46" t="s">
        <v>451</v>
      </c>
      <c r="F1016" s="51" t="s">
        <v>19</v>
      </c>
      <c r="G1016" s="51" t="s">
        <v>1728</v>
      </c>
      <c r="H1016" s="51" t="s">
        <v>21</v>
      </c>
      <c r="I1016" s="55" t="s">
        <v>1780</v>
      </c>
      <c r="J1016" s="56">
        <v>1</v>
      </c>
      <c r="K1016" s="51" t="s">
        <v>1774</v>
      </c>
      <c r="L1016" s="58">
        <v>34890</v>
      </c>
      <c r="M1016" s="50">
        <f>ROUND('FA Addition'!$L1016*5%,0.1)</f>
        <v>1745</v>
      </c>
      <c r="N1016" s="113" t="str">
        <f>_xlfn.XLOOKUP(_xlfn.CONCAT(E1016,B1016),'Year Wise Master Dep Approach'!F:F,'Year Wise Master Dep Approach'!D:D)</f>
        <v>WDV</v>
      </c>
      <c r="O1016" s="113">
        <f>_xlfn.XLOOKUP(_xlfn.CONCAT(E1016,B1016),'Year Wise Master Dep Approach'!F:F,'Year Wise Master Dep Approach'!E:E)</f>
        <v>3</v>
      </c>
      <c r="P1016" s="114">
        <f>IFERROR(IF('FA Addition'!$N1016="WDV",1-('FA Addition'!$M1016/'FA Addition'!$L1016)^(1/'FA Addition'!$O1016),1/'FA Addition'!$O1016),0)</f>
        <v>0.63156165686579468</v>
      </c>
      <c r="Q1016" s="122">
        <f>'FA Addition'!$P1016*'FA Addition'!$O1016</f>
        <v>1.8946849705973841</v>
      </c>
      <c r="R1016" s="122"/>
      <c r="S1016" s="116">
        <f>IF(AND(DATE(20&amp;LEFT(FAAddition[[#This Row],[FY]],2),4,1)&lt;$L$1+1,DATE(20&amp;LEFT(FAAddition[[#This Row],[FY]],2),4,1)&gt;$P$1-1),'FA Addition'!$J1016,0)</f>
        <v>0</v>
      </c>
      <c r="U1016" s="117">
        <f>S1016*'FA Addition'!$L1016/'FA Addition'!$J1016</f>
        <v>0</v>
      </c>
      <c r="W1016" s="116">
        <f>SUMIFS('FA Write off'!D:D,'FA Write off'!A:A,'FA Addition'!$A1016,'FA Write off'!C:C,"&lt;"&amp;'FA Addition'!$P$1)</f>
        <v>0</v>
      </c>
      <c r="Y1016" s="191">
        <f>IFERROR(W1016/'FA Addition'!$J1016*'FA Addition'!$L1016,0)</f>
        <v>0</v>
      </c>
      <c r="AA1016" s="116">
        <f>SUMIFS('FA Write off'!D:D,'FA Write off'!A:A,'FA Addition'!$A1016,'FA Write off'!C:C,"&lt;"&amp;'FA Addition'!$L$1+1,'FA Write off'!C:C,"&gt;"&amp;'FA Addition'!$L$1-365)</f>
        <v>0</v>
      </c>
      <c r="AC1016" s="118">
        <f>IFERROR(AA1016/'FA Addition'!$J1016*'FA Addition'!$L1016,0)</f>
        <v>0</v>
      </c>
      <c r="AE1016" s="117">
        <f>IF(AND('FA Addition'!$D1016&lt;$P$1+1,U1016=0),'FA Addition'!$L1016,0)-Y1016</f>
        <v>0</v>
      </c>
      <c r="AF1016" s="117">
        <f t="shared" si="75"/>
        <v>0</v>
      </c>
      <c r="AG1016" s="117">
        <f>MIN(MAX(+$P$1-'FA Addition'!$D1016,0),365*'FA Addition'!$O1016)</f>
        <v>0</v>
      </c>
      <c r="AH1016" s="117">
        <f>MIN(MAX($L$1-'FA Addition'!$D1016+1,0),365*'FA Addition'!$O1016)</f>
        <v>0</v>
      </c>
      <c r="AI1016" s="117" cm="1">
        <f t="array" ref="AI1016">_xlfn.XLOOKUP(1,('FA Write off'!A:A='FA Addition'!$A1016)*('FA Write off'!D:D=AA1016),'FA Write off'!H:H,0,0)</f>
        <v>0</v>
      </c>
      <c r="AJ1016" s="117">
        <f>IF(AC1016&gt;0,MAX(IF('FA Addition'!$N1016="SLM",($AC1016-'FA Addition'!$M1016)*'FA Addition'!$P1016*AI1016/365,(AC1016-'FA Addition'!$M1016)*(1-(1-'FA Addition'!$P1016)^(AI1016/365))),0),0)</f>
        <v>0</v>
      </c>
      <c r="AL1016" s="117">
        <f>MAX(IF(AG1016&gt;0,IF('FA Addition'!$N1016="SLM",($AE1016-'FA Addition'!$M1016)*'FA Addition'!$P1016*AG1016/365,IFERROR(VDB(AE1016,AE1016*0.05,'FA Addition'!$O1016,0,YEARFRAC('FA Addition'!$C1016,$P$1-1,3),'FA Addition'!$Q1016),FAAddition[[#This Row],[Original Cost (Rs)]]-FAAddition[[#This Row],[Salvage Value]])),0),0)</f>
        <v>0</v>
      </c>
      <c r="AM1016" s="119"/>
      <c r="AN1016" s="117">
        <f>MAX(IF(AH1016&gt;0,IF('FA Addition'!$N1016="SLM",($AF1016-'FA Addition'!$M1016)*'FA Addition'!$P1016*AH1016/365,IFERROR(VDB(AF1016,AF1016*0.05,'FA Addition'!$O1016,0,YEARFRAC('FA Addition'!$C1016,$L$1,3),'FA Addition'!$Q1016),FAAddition[[#This Row],[Original Cost (Rs)]]-FAAddition[[#This Row],[Salvage Value]])),0),0)</f>
        <v>0</v>
      </c>
      <c r="AO1016" s="117">
        <f t="shared" si="78"/>
        <v>0</v>
      </c>
      <c r="AQ1016" s="117">
        <f t="shared" si="76"/>
        <v>0</v>
      </c>
      <c r="AR1016" s="120">
        <f t="shared" si="77"/>
        <v>0</v>
      </c>
      <c r="AS1016" s="121"/>
    </row>
    <row r="1017" spans="1:45" ht="13.5" x14ac:dyDescent="0.4">
      <c r="A1017" s="12">
        <f t="shared" si="79"/>
        <v>1014</v>
      </c>
      <c r="B1017" s="64" t="s">
        <v>1758</v>
      </c>
      <c r="C1017" s="54">
        <v>45404</v>
      </c>
      <c r="D1017" s="54">
        <v>45404</v>
      </c>
      <c r="E1017" s="46" t="s">
        <v>451</v>
      </c>
      <c r="F1017" s="51" t="s">
        <v>19</v>
      </c>
      <c r="G1017" s="51" t="s">
        <v>1728</v>
      </c>
      <c r="H1017" s="51" t="s">
        <v>21</v>
      </c>
      <c r="I1017" s="55" t="s">
        <v>1780</v>
      </c>
      <c r="J1017" s="56">
        <v>1</v>
      </c>
      <c r="K1017" s="51" t="s">
        <v>1774</v>
      </c>
      <c r="L1017" s="58">
        <v>34890</v>
      </c>
      <c r="M1017" s="50">
        <f>ROUND('FA Addition'!$L1017*5%,0.1)</f>
        <v>1745</v>
      </c>
      <c r="N1017" s="113" t="str">
        <f>_xlfn.XLOOKUP(_xlfn.CONCAT(E1017,B1017),'Year Wise Master Dep Approach'!F:F,'Year Wise Master Dep Approach'!D:D)</f>
        <v>WDV</v>
      </c>
      <c r="O1017" s="113">
        <f>_xlfn.XLOOKUP(_xlfn.CONCAT(E1017,B1017),'Year Wise Master Dep Approach'!F:F,'Year Wise Master Dep Approach'!E:E)</f>
        <v>3</v>
      </c>
      <c r="P1017" s="114">
        <f>IFERROR(IF('FA Addition'!$N1017="WDV",1-('FA Addition'!$M1017/'FA Addition'!$L1017)^(1/'FA Addition'!$O1017),1/'FA Addition'!$O1017),0)</f>
        <v>0.63156165686579468</v>
      </c>
      <c r="Q1017" s="122">
        <f>'FA Addition'!$P1017*'FA Addition'!$O1017</f>
        <v>1.8946849705973841</v>
      </c>
      <c r="R1017" s="122"/>
      <c r="S1017" s="116">
        <f>IF(AND(DATE(20&amp;LEFT(FAAddition[[#This Row],[FY]],2),4,1)&lt;$L$1+1,DATE(20&amp;LEFT(FAAddition[[#This Row],[FY]],2),4,1)&gt;$P$1-1),'FA Addition'!$J1017,0)</f>
        <v>0</v>
      </c>
      <c r="U1017" s="117">
        <f>S1017*'FA Addition'!$L1017/'FA Addition'!$J1017</f>
        <v>0</v>
      </c>
      <c r="W1017" s="116">
        <f>SUMIFS('FA Write off'!D:D,'FA Write off'!A:A,'FA Addition'!$A1017,'FA Write off'!C:C,"&lt;"&amp;'FA Addition'!$P$1)</f>
        <v>0</v>
      </c>
      <c r="Y1017" s="191">
        <f>IFERROR(W1017/'FA Addition'!$J1017*'FA Addition'!$L1017,0)</f>
        <v>0</v>
      </c>
      <c r="AA1017" s="116">
        <f>SUMIFS('FA Write off'!D:D,'FA Write off'!A:A,'FA Addition'!$A1017,'FA Write off'!C:C,"&lt;"&amp;'FA Addition'!$L$1+1,'FA Write off'!C:C,"&gt;"&amp;'FA Addition'!$L$1-365)</f>
        <v>0</v>
      </c>
      <c r="AC1017" s="118">
        <f>IFERROR(AA1017/'FA Addition'!$J1017*'FA Addition'!$L1017,0)</f>
        <v>0</v>
      </c>
      <c r="AE1017" s="117">
        <f>IF(AND('FA Addition'!$D1017&lt;$P$1+1,U1017=0),'FA Addition'!$L1017,0)-Y1017</f>
        <v>0</v>
      </c>
      <c r="AF1017" s="117">
        <f t="shared" si="75"/>
        <v>0</v>
      </c>
      <c r="AG1017" s="117">
        <f>MIN(MAX(+$P$1-'FA Addition'!$D1017,0),365*'FA Addition'!$O1017)</f>
        <v>0</v>
      </c>
      <c r="AH1017" s="117">
        <f>MIN(MAX($L$1-'FA Addition'!$D1017+1,0),365*'FA Addition'!$O1017)</f>
        <v>0</v>
      </c>
      <c r="AI1017" s="117" cm="1">
        <f t="array" ref="AI1017">_xlfn.XLOOKUP(1,('FA Write off'!A:A='FA Addition'!$A1017)*('FA Write off'!D:D=AA1017),'FA Write off'!H:H,0,0)</f>
        <v>0</v>
      </c>
      <c r="AJ1017" s="117">
        <f>IF(AC1017&gt;0,MAX(IF('FA Addition'!$N1017="SLM",($AC1017-'FA Addition'!$M1017)*'FA Addition'!$P1017*AI1017/365,(AC1017-'FA Addition'!$M1017)*(1-(1-'FA Addition'!$P1017)^(AI1017/365))),0),0)</f>
        <v>0</v>
      </c>
      <c r="AL1017" s="117">
        <f>MAX(IF(AG1017&gt;0,IF('FA Addition'!$N1017="SLM",($AE1017-'FA Addition'!$M1017)*'FA Addition'!$P1017*AG1017/365,IFERROR(VDB(AE1017,AE1017*0.05,'FA Addition'!$O1017,0,YEARFRAC('FA Addition'!$C1017,$P$1-1,3),'FA Addition'!$Q1017),FAAddition[[#This Row],[Original Cost (Rs)]]-FAAddition[[#This Row],[Salvage Value]])),0),0)</f>
        <v>0</v>
      </c>
      <c r="AM1017" s="119"/>
      <c r="AN1017" s="117">
        <f>MAX(IF(AH1017&gt;0,IF('FA Addition'!$N1017="SLM",($AF1017-'FA Addition'!$M1017)*'FA Addition'!$P1017*AH1017/365,IFERROR(VDB(AF1017,AF1017*0.05,'FA Addition'!$O1017,0,YEARFRAC('FA Addition'!$C1017,$L$1,3),'FA Addition'!$Q1017),FAAddition[[#This Row],[Original Cost (Rs)]]-FAAddition[[#This Row],[Salvage Value]])),0),0)</f>
        <v>0</v>
      </c>
      <c r="AO1017" s="117">
        <f t="shared" si="78"/>
        <v>0</v>
      </c>
      <c r="AQ1017" s="117">
        <f t="shared" si="76"/>
        <v>0</v>
      </c>
      <c r="AR1017" s="120">
        <f t="shared" si="77"/>
        <v>0</v>
      </c>
      <c r="AS1017" s="121"/>
    </row>
    <row r="1018" spans="1:45" ht="13.5" x14ac:dyDescent="0.4">
      <c r="A1018" s="12">
        <f t="shared" si="79"/>
        <v>1015</v>
      </c>
      <c r="B1018" s="64" t="s">
        <v>1758</v>
      </c>
      <c r="C1018" s="54">
        <v>45404</v>
      </c>
      <c r="D1018" s="54">
        <v>45404</v>
      </c>
      <c r="E1018" s="46" t="s">
        <v>451</v>
      </c>
      <c r="F1018" s="51" t="s">
        <v>19</v>
      </c>
      <c r="G1018" s="51" t="s">
        <v>1728</v>
      </c>
      <c r="H1018" s="51" t="s">
        <v>21</v>
      </c>
      <c r="I1018" s="55" t="s">
        <v>1780</v>
      </c>
      <c r="J1018" s="56">
        <v>1</v>
      </c>
      <c r="K1018" s="51" t="s">
        <v>1774</v>
      </c>
      <c r="L1018" s="58">
        <v>34890</v>
      </c>
      <c r="M1018" s="50">
        <f>ROUND('FA Addition'!$L1018*5%,0.1)</f>
        <v>1745</v>
      </c>
      <c r="N1018" s="113" t="str">
        <f>_xlfn.XLOOKUP(_xlfn.CONCAT(E1018,B1018),'Year Wise Master Dep Approach'!F:F,'Year Wise Master Dep Approach'!D:D)</f>
        <v>WDV</v>
      </c>
      <c r="O1018" s="113">
        <f>_xlfn.XLOOKUP(_xlfn.CONCAT(E1018,B1018),'Year Wise Master Dep Approach'!F:F,'Year Wise Master Dep Approach'!E:E)</f>
        <v>3</v>
      </c>
      <c r="P1018" s="114">
        <f>IFERROR(IF('FA Addition'!$N1018="WDV",1-('FA Addition'!$M1018/'FA Addition'!$L1018)^(1/'FA Addition'!$O1018),1/'FA Addition'!$O1018),0)</f>
        <v>0.63156165686579468</v>
      </c>
      <c r="Q1018" s="122">
        <f>'FA Addition'!$P1018*'FA Addition'!$O1018</f>
        <v>1.8946849705973841</v>
      </c>
      <c r="R1018" s="122"/>
      <c r="S1018" s="116">
        <f>IF(AND(DATE(20&amp;LEFT(FAAddition[[#This Row],[FY]],2),4,1)&lt;$L$1+1,DATE(20&amp;LEFT(FAAddition[[#This Row],[FY]],2),4,1)&gt;$P$1-1),'FA Addition'!$J1018,0)</f>
        <v>0</v>
      </c>
      <c r="U1018" s="117">
        <f>S1018*'FA Addition'!$L1018/'FA Addition'!$J1018</f>
        <v>0</v>
      </c>
      <c r="W1018" s="116">
        <f>SUMIFS('FA Write off'!D:D,'FA Write off'!A:A,'FA Addition'!$A1018,'FA Write off'!C:C,"&lt;"&amp;'FA Addition'!$P$1)</f>
        <v>0</v>
      </c>
      <c r="Y1018" s="191">
        <f>IFERROR(W1018/'FA Addition'!$J1018*'FA Addition'!$L1018,0)</f>
        <v>0</v>
      </c>
      <c r="AA1018" s="116">
        <f>SUMIFS('FA Write off'!D:D,'FA Write off'!A:A,'FA Addition'!$A1018,'FA Write off'!C:C,"&lt;"&amp;'FA Addition'!$L$1+1,'FA Write off'!C:C,"&gt;"&amp;'FA Addition'!$L$1-365)</f>
        <v>0</v>
      </c>
      <c r="AC1018" s="118">
        <f>IFERROR(AA1018/'FA Addition'!$J1018*'FA Addition'!$L1018,0)</f>
        <v>0</v>
      </c>
      <c r="AE1018" s="117">
        <f>IF(AND('FA Addition'!$D1018&lt;$P$1+1,U1018=0),'FA Addition'!$L1018,0)-Y1018</f>
        <v>0</v>
      </c>
      <c r="AF1018" s="117">
        <f t="shared" si="75"/>
        <v>0</v>
      </c>
      <c r="AG1018" s="117">
        <f>MIN(MAX(+$P$1-'FA Addition'!$D1018,0),365*'FA Addition'!$O1018)</f>
        <v>0</v>
      </c>
      <c r="AH1018" s="117">
        <f>MIN(MAX($L$1-'FA Addition'!$D1018+1,0),365*'FA Addition'!$O1018)</f>
        <v>0</v>
      </c>
      <c r="AI1018" s="117" cm="1">
        <f t="array" ref="AI1018">_xlfn.XLOOKUP(1,('FA Write off'!A:A='FA Addition'!$A1018)*('FA Write off'!D:D=AA1018),'FA Write off'!H:H,0,0)</f>
        <v>0</v>
      </c>
      <c r="AJ1018" s="117">
        <f>IF(AC1018&gt;0,MAX(IF('FA Addition'!$N1018="SLM",($AC1018-'FA Addition'!$M1018)*'FA Addition'!$P1018*AI1018/365,(AC1018-'FA Addition'!$M1018)*(1-(1-'FA Addition'!$P1018)^(AI1018/365))),0),0)</f>
        <v>0</v>
      </c>
      <c r="AL1018" s="117">
        <f>MAX(IF(AG1018&gt;0,IF('FA Addition'!$N1018="SLM",($AE1018-'FA Addition'!$M1018)*'FA Addition'!$P1018*AG1018/365,IFERROR(VDB(AE1018,AE1018*0.05,'FA Addition'!$O1018,0,YEARFRAC('FA Addition'!$C1018,$P$1-1,3),'FA Addition'!$Q1018),FAAddition[[#This Row],[Original Cost (Rs)]]-FAAddition[[#This Row],[Salvage Value]])),0),0)</f>
        <v>0</v>
      </c>
      <c r="AM1018" s="119"/>
      <c r="AN1018" s="117">
        <f>MAX(IF(AH1018&gt;0,IF('FA Addition'!$N1018="SLM",($AF1018-'FA Addition'!$M1018)*'FA Addition'!$P1018*AH1018/365,IFERROR(VDB(AF1018,AF1018*0.05,'FA Addition'!$O1018,0,YEARFRAC('FA Addition'!$C1018,$L$1,3),'FA Addition'!$Q1018),FAAddition[[#This Row],[Original Cost (Rs)]]-FAAddition[[#This Row],[Salvage Value]])),0),0)</f>
        <v>0</v>
      </c>
      <c r="AO1018" s="117">
        <f t="shared" si="78"/>
        <v>0</v>
      </c>
      <c r="AQ1018" s="117">
        <f t="shared" si="76"/>
        <v>0</v>
      </c>
      <c r="AR1018" s="120">
        <f t="shared" si="77"/>
        <v>0</v>
      </c>
      <c r="AS1018" s="121"/>
    </row>
    <row r="1019" spans="1:45" ht="13.5" x14ac:dyDescent="0.4">
      <c r="A1019" s="12">
        <f t="shared" si="79"/>
        <v>1016</v>
      </c>
      <c r="B1019" s="64" t="s">
        <v>1758</v>
      </c>
      <c r="C1019" s="54">
        <v>45404</v>
      </c>
      <c r="D1019" s="54">
        <v>45404</v>
      </c>
      <c r="E1019" s="46" t="s">
        <v>451</v>
      </c>
      <c r="F1019" s="51" t="s">
        <v>19</v>
      </c>
      <c r="G1019" s="51" t="s">
        <v>1728</v>
      </c>
      <c r="H1019" s="51" t="s">
        <v>21</v>
      </c>
      <c r="I1019" s="55" t="s">
        <v>1780</v>
      </c>
      <c r="J1019" s="56">
        <v>1</v>
      </c>
      <c r="K1019" s="51" t="s">
        <v>1774</v>
      </c>
      <c r="L1019" s="58">
        <v>34890</v>
      </c>
      <c r="M1019" s="50">
        <f>ROUND('FA Addition'!$L1019*5%,0.1)</f>
        <v>1745</v>
      </c>
      <c r="N1019" s="113" t="str">
        <f>_xlfn.XLOOKUP(_xlfn.CONCAT(E1019,B1019),'Year Wise Master Dep Approach'!F:F,'Year Wise Master Dep Approach'!D:D)</f>
        <v>WDV</v>
      </c>
      <c r="O1019" s="113">
        <f>_xlfn.XLOOKUP(_xlfn.CONCAT(E1019,B1019),'Year Wise Master Dep Approach'!F:F,'Year Wise Master Dep Approach'!E:E)</f>
        <v>3</v>
      </c>
      <c r="P1019" s="114">
        <f>IFERROR(IF('FA Addition'!$N1019="WDV",1-('FA Addition'!$M1019/'FA Addition'!$L1019)^(1/'FA Addition'!$O1019),1/'FA Addition'!$O1019),0)</f>
        <v>0.63156165686579468</v>
      </c>
      <c r="Q1019" s="122">
        <f>'FA Addition'!$P1019*'FA Addition'!$O1019</f>
        <v>1.8946849705973841</v>
      </c>
      <c r="R1019" s="122"/>
      <c r="S1019" s="116">
        <f>IF(AND(DATE(20&amp;LEFT(FAAddition[[#This Row],[FY]],2),4,1)&lt;$L$1+1,DATE(20&amp;LEFT(FAAddition[[#This Row],[FY]],2),4,1)&gt;$P$1-1),'FA Addition'!$J1019,0)</f>
        <v>0</v>
      </c>
      <c r="U1019" s="117">
        <f>S1019*'FA Addition'!$L1019/'FA Addition'!$J1019</f>
        <v>0</v>
      </c>
      <c r="W1019" s="116">
        <f>SUMIFS('FA Write off'!D:D,'FA Write off'!A:A,'FA Addition'!$A1019,'FA Write off'!C:C,"&lt;"&amp;'FA Addition'!$P$1)</f>
        <v>0</v>
      </c>
      <c r="Y1019" s="191">
        <f>IFERROR(W1019/'FA Addition'!$J1019*'FA Addition'!$L1019,0)</f>
        <v>0</v>
      </c>
      <c r="AA1019" s="116">
        <f>SUMIFS('FA Write off'!D:D,'FA Write off'!A:A,'FA Addition'!$A1019,'FA Write off'!C:C,"&lt;"&amp;'FA Addition'!$L$1+1,'FA Write off'!C:C,"&gt;"&amp;'FA Addition'!$L$1-365)</f>
        <v>0</v>
      </c>
      <c r="AC1019" s="118">
        <f>IFERROR(AA1019/'FA Addition'!$J1019*'FA Addition'!$L1019,0)</f>
        <v>0</v>
      </c>
      <c r="AE1019" s="117">
        <f>IF(AND('FA Addition'!$D1019&lt;$P$1+1,U1019=0),'FA Addition'!$L1019,0)-Y1019</f>
        <v>0</v>
      </c>
      <c r="AF1019" s="117">
        <f t="shared" si="75"/>
        <v>0</v>
      </c>
      <c r="AG1019" s="117">
        <f>MIN(MAX(+$P$1-'FA Addition'!$D1019,0),365*'FA Addition'!$O1019)</f>
        <v>0</v>
      </c>
      <c r="AH1019" s="117">
        <f>MIN(MAX($L$1-'FA Addition'!$D1019+1,0),365*'FA Addition'!$O1019)</f>
        <v>0</v>
      </c>
      <c r="AI1019" s="117" cm="1">
        <f t="array" ref="AI1019">_xlfn.XLOOKUP(1,('FA Write off'!A:A='FA Addition'!$A1019)*('FA Write off'!D:D=AA1019),'FA Write off'!H:H,0,0)</f>
        <v>0</v>
      </c>
      <c r="AJ1019" s="117">
        <f>IF(AC1019&gt;0,MAX(IF('FA Addition'!$N1019="SLM",($AC1019-'FA Addition'!$M1019)*'FA Addition'!$P1019*AI1019/365,(AC1019-'FA Addition'!$M1019)*(1-(1-'FA Addition'!$P1019)^(AI1019/365))),0),0)</f>
        <v>0</v>
      </c>
      <c r="AL1019" s="117">
        <f>MAX(IF(AG1019&gt;0,IF('FA Addition'!$N1019="SLM",($AE1019-'FA Addition'!$M1019)*'FA Addition'!$P1019*AG1019/365,IFERROR(VDB(AE1019,AE1019*0.05,'FA Addition'!$O1019,0,YEARFRAC('FA Addition'!$C1019,$P$1-1,3),'FA Addition'!$Q1019),FAAddition[[#This Row],[Original Cost (Rs)]]-FAAddition[[#This Row],[Salvage Value]])),0),0)</f>
        <v>0</v>
      </c>
      <c r="AM1019" s="119"/>
      <c r="AN1019" s="117">
        <f>MAX(IF(AH1019&gt;0,IF('FA Addition'!$N1019="SLM",($AF1019-'FA Addition'!$M1019)*'FA Addition'!$P1019*AH1019/365,IFERROR(VDB(AF1019,AF1019*0.05,'FA Addition'!$O1019,0,YEARFRAC('FA Addition'!$C1019,$L$1,3),'FA Addition'!$Q1019),FAAddition[[#This Row],[Original Cost (Rs)]]-FAAddition[[#This Row],[Salvage Value]])),0),0)</f>
        <v>0</v>
      </c>
      <c r="AO1019" s="117">
        <f t="shared" si="78"/>
        <v>0</v>
      </c>
      <c r="AQ1019" s="117">
        <f t="shared" si="76"/>
        <v>0</v>
      </c>
      <c r="AR1019" s="120">
        <f t="shared" si="77"/>
        <v>0</v>
      </c>
      <c r="AS1019" s="121"/>
    </row>
    <row r="1020" spans="1:45" ht="13.5" x14ac:dyDescent="0.4">
      <c r="A1020" s="12">
        <f t="shared" si="79"/>
        <v>1017</v>
      </c>
      <c r="B1020" s="64" t="s">
        <v>1758</v>
      </c>
      <c r="C1020" s="54">
        <v>45404</v>
      </c>
      <c r="D1020" s="54">
        <v>45404</v>
      </c>
      <c r="E1020" s="46" t="s">
        <v>451</v>
      </c>
      <c r="F1020" s="51" t="s">
        <v>19</v>
      </c>
      <c r="G1020" s="51" t="s">
        <v>1728</v>
      </c>
      <c r="H1020" s="51" t="s">
        <v>21</v>
      </c>
      <c r="I1020" s="55" t="s">
        <v>1780</v>
      </c>
      <c r="J1020" s="56">
        <v>1</v>
      </c>
      <c r="K1020" s="51" t="s">
        <v>1781</v>
      </c>
      <c r="L1020" s="58">
        <v>60593</v>
      </c>
      <c r="M1020" s="50">
        <f>ROUND('FA Addition'!$L1020*5%,0.1)</f>
        <v>3030</v>
      </c>
      <c r="N1020" s="113" t="str">
        <f>_xlfn.XLOOKUP(_xlfn.CONCAT(E1020,B1020),'Year Wise Master Dep Approach'!F:F,'Year Wise Master Dep Approach'!D:D)</f>
        <v>WDV</v>
      </c>
      <c r="O1020" s="113">
        <f>_xlfn.XLOOKUP(_xlfn.CONCAT(E1020,B1020),'Year Wise Master Dep Approach'!F:F,'Year Wise Master Dep Approach'!E:E)</f>
        <v>3</v>
      </c>
      <c r="P1020" s="114">
        <f>IFERROR(IF('FA Addition'!$N1020="WDV",1-('FA Addition'!$M1020/'FA Addition'!$L1020)^(1/'FA Addition'!$O1020),1/'FA Addition'!$O1020),0)</f>
        <v>0.63158266410374986</v>
      </c>
      <c r="Q1020" s="122">
        <f>'FA Addition'!$P1020*'FA Addition'!$O1020</f>
        <v>1.8947479923112496</v>
      </c>
      <c r="R1020" s="122"/>
      <c r="S1020" s="116">
        <f>IF(AND(DATE(20&amp;LEFT(FAAddition[[#This Row],[FY]],2),4,1)&lt;$L$1+1,DATE(20&amp;LEFT(FAAddition[[#This Row],[FY]],2),4,1)&gt;$P$1-1),'FA Addition'!$J1020,0)</f>
        <v>0</v>
      </c>
      <c r="U1020" s="117">
        <f>S1020*'FA Addition'!$L1020/'FA Addition'!$J1020</f>
        <v>0</v>
      </c>
      <c r="W1020" s="116">
        <f>SUMIFS('FA Write off'!D:D,'FA Write off'!A:A,'FA Addition'!$A1020,'FA Write off'!C:C,"&lt;"&amp;'FA Addition'!$P$1)</f>
        <v>0</v>
      </c>
      <c r="Y1020" s="191">
        <f>IFERROR(W1020/'FA Addition'!$J1020*'FA Addition'!$L1020,0)</f>
        <v>0</v>
      </c>
      <c r="AA1020" s="116">
        <f>SUMIFS('FA Write off'!D:D,'FA Write off'!A:A,'FA Addition'!$A1020,'FA Write off'!C:C,"&lt;"&amp;'FA Addition'!$L$1+1,'FA Write off'!C:C,"&gt;"&amp;'FA Addition'!$L$1-365)</f>
        <v>0</v>
      </c>
      <c r="AC1020" s="118">
        <f>IFERROR(AA1020/'FA Addition'!$J1020*'FA Addition'!$L1020,0)</f>
        <v>0</v>
      </c>
      <c r="AE1020" s="117">
        <f>IF(AND('FA Addition'!$D1020&lt;$P$1+1,U1020=0),'FA Addition'!$L1020,0)-Y1020</f>
        <v>0</v>
      </c>
      <c r="AF1020" s="117">
        <f t="shared" si="75"/>
        <v>0</v>
      </c>
      <c r="AG1020" s="117">
        <f>MIN(MAX(+$P$1-'FA Addition'!$D1020,0),365*'FA Addition'!$O1020)</f>
        <v>0</v>
      </c>
      <c r="AH1020" s="117">
        <f>MIN(MAX($L$1-'FA Addition'!$D1020+1,0),365*'FA Addition'!$O1020)</f>
        <v>0</v>
      </c>
      <c r="AI1020" s="117" cm="1">
        <f t="array" ref="AI1020">_xlfn.XLOOKUP(1,('FA Write off'!A:A='FA Addition'!$A1020)*('FA Write off'!D:D=AA1020),'FA Write off'!H:H,0,0)</f>
        <v>0</v>
      </c>
      <c r="AJ1020" s="117">
        <f>IF(AC1020&gt;0,MAX(IF('FA Addition'!$N1020="SLM",($AC1020-'FA Addition'!$M1020)*'FA Addition'!$P1020*AI1020/365,(AC1020-'FA Addition'!$M1020)*(1-(1-'FA Addition'!$P1020)^(AI1020/365))),0),0)</f>
        <v>0</v>
      </c>
      <c r="AL1020" s="117">
        <f>MAX(IF(AG1020&gt;0,IF('FA Addition'!$N1020="SLM",($AE1020-'FA Addition'!$M1020)*'FA Addition'!$P1020*AG1020/365,IFERROR(VDB(AE1020,AE1020*0.05,'FA Addition'!$O1020,0,YEARFRAC('FA Addition'!$C1020,$P$1-1,3),'FA Addition'!$Q1020),FAAddition[[#This Row],[Original Cost (Rs)]]-FAAddition[[#This Row],[Salvage Value]])),0),0)</f>
        <v>0</v>
      </c>
      <c r="AM1020" s="119"/>
      <c r="AN1020" s="117">
        <f>MAX(IF(AH1020&gt;0,IF('FA Addition'!$N1020="SLM",($AF1020-'FA Addition'!$M1020)*'FA Addition'!$P1020*AH1020/365,IFERROR(VDB(AF1020,AF1020*0.05,'FA Addition'!$O1020,0,YEARFRAC('FA Addition'!$C1020,$L$1,3),'FA Addition'!$Q1020),FAAddition[[#This Row],[Original Cost (Rs)]]-FAAddition[[#This Row],[Salvage Value]])),0),0)</f>
        <v>0</v>
      </c>
      <c r="AO1020" s="117">
        <f t="shared" si="78"/>
        <v>0</v>
      </c>
      <c r="AQ1020" s="117">
        <f t="shared" si="76"/>
        <v>0</v>
      </c>
      <c r="AR1020" s="120">
        <f t="shared" si="77"/>
        <v>0</v>
      </c>
      <c r="AS1020" s="121"/>
    </row>
    <row r="1021" spans="1:45" ht="13.5" x14ac:dyDescent="0.4">
      <c r="A1021" s="12">
        <f t="shared" si="79"/>
        <v>1018</v>
      </c>
      <c r="B1021" s="64" t="s">
        <v>1758</v>
      </c>
      <c r="C1021" s="54">
        <v>45404</v>
      </c>
      <c r="D1021" s="54">
        <v>45404</v>
      </c>
      <c r="E1021" s="46" t="s">
        <v>451</v>
      </c>
      <c r="F1021" s="51" t="s">
        <v>19</v>
      </c>
      <c r="G1021" s="51" t="s">
        <v>1728</v>
      </c>
      <c r="H1021" s="51" t="s">
        <v>21</v>
      </c>
      <c r="I1021" s="55" t="s">
        <v>1780</v>
      </c>
      <c r="J1021" s="56">
        <v>1</v>
      </c>
      <c r="K1021" s="51" t="s">
        <v>1781</v>
      </c>
      <c r="L1021" s="58">
        <v>60593</v>
      </c>
      <c r="M1021" s="50">
        <f>ROUND('FA Addition'!$L1021*5%,0.1)</f>
        <v>3030</v>
      </c>
      <c r="N1021" s="113" t="str">
        <f>_xlfn.XLOOKUP(_xlfn.CONCAT(E1021,B1021),'Year Wise Master Dep Approach'!F:F,'Year Wise Master Dep Approach'!D:D)</f>
        <v>WDV</v>
      </c>
      <c r="O1021" s="113">
        <f>_xlfn.XLOOKUP(_xlfn.CONCAT(E1021,B1021),'Year Wise Master Dep Approach'!F:F,'Year Wise Master Dep Approach'!E:E)</f>
        <v>3</v>
      </c>
      <c r="P1021" s="114">
        <f>IFERROR(IF('FA Addition'!$N1021="WDV",1-('FA Addition'!$M1021/'FA Addition'!$L1021)^(1/'FA Addition'!$O1021),1/'FA Addition'!$O1021),0)</f>
        <v>0.63158266410374986</v>
      </c>
      <c r="Q1021" s="122">
        <f>'FA Addition'!$P1021*'FA Addition'!$O1021</f>
        <v>1.8947479923112496</v>
      </c>
      <c r="R1021" s="122"/>
      <c r="S1021" s="116">
        <f>IF(AND(DATE(20&amp;LEFT(FAAddition[[#This Row],[FY]],2),4,1)&lt;$L$1+1,DATE(20&amp;LEFT(FAAddition[[#This Row],[FY]],2),4,1)&gt;$P$1-1),'FA Addition'!$J1021,0)</f>
        <v>0</v>
      </c>
      <c r="U1021" s="117">
        <f>S1021*'FA Addition'!$L1021/'FA Addition'!$J1021</f>
        <v>0</v>
      </c>
      <c r="W1021" s="116">
        <f>SUMIFS('FA Write off'!D:D,'FA Write off'!A:A,'FA Addition'!$A1021,'FA Write off'!C:C,"&lt;"&amp;'FA Addition'!$P$1)</f>
        <v>0</v>
      </c>
      <c r="Y1021" s="191">
        <f>IFERROR(W1021/'FA Addition'!$J1021*'FA Addition'!$L1021,0)</f>
        <v>0</v>
      </c>
      <c r="AA1021" s="116">
        <f>SUMIFS('FA Write off'!D:D,'FA Write off'!A:A,'FA Addition'!$A1021,'FA Write off'!C:C,"&lt;"&amp;'FA Addition'!$L$1+1,'FA Write off'!C:C,"&gt;"&amp;'FA Addition'!$L$1-365)</f>
        <v>0</v>
      </c>
      <c r="AC1021" s="118">
        <f>IFERROR(AA1021/'FA Addition'!$J1021*'FA Addition'!$L1021,0)</f>
        <v>0</v>
      </c>
      <c r="AE1021" s="117">
        <f>IF(AND('FA Addition'!$D1021&lt;$P$1+1,U1021=0),'FA Addition'!$L1021,0)-Y1021</f>
        <v>0</v>
      </c>
      <c r="AF1021" s="117">
        <f t="shared" si="75"/>
        <v>0</v>
      </c>
      <c r="AG1021" s="117">
        <f>MIN(MAX(+$P$1-'FA Addition'!$D1021,0),365*'FA Addition'!$O1021)</f>
        <v>0</v>
      </c>
      <c r="AH1021" s="117">
        <f>MIN(MAX($L$1-'FA Addition'!$D1021+1,0),365*'FA Addition'!$O1021)</f>
        <v>0</v>
      </c>
      <c r="AI1021" s="117" cm="1">
        <f t="array" ref="AI1021">_xlfn.XLOOKUP(1,('FA Write off'!A:A='FA Addition'!$A1021)*('FA Write off'!D:D=AA1021),'FA Write off'!H:H,0,0)</f>
        <v>0</v>
      </c>
      <c r="AJ1021" s="117">
        <f>IF(AC1021&gt;0,MAX(IF('FA Addition'!$N1021="SLM",($AC1021-'FA Addition'!$M1021)*'FA Addition'!$P1021*AI1021/365,(AC1021-'FA Addition'!$M1021)*(1-(1-'FA Addition'!$P1021)^(AI1021/365))),0),0)</f>
        <v>0</v>
      </c>
      <c r="AL1021" s="117">
        <f>MAX(IF(AG1021&gt;0,IF('FA Addition'!$N1021="SLM",($AE1021-'FA Addition'!$M1021)*'FA Addition'!$P1021*AG1021/365,IFERROR(VDB(AE1021,AE1021*0.05,'FA Addition'!$O1021,0,YEARFRAC('FA Addition'!$C1021,$P$1-1,3),'FA Addition'!$Q1021),FAAddition[[#This Row],[Original Cost (Rs)]]-FAAddition[[#This Row],[Salvage Value]])),0),0)</f>
        <v>0</v>
      </c>
      <c r="AM1021" s="119"/>
      <c r="AN1021" s="117">
        <f>MAX(IF(AH1021&gt;0,IF('FA Addition'!$N1021="SLM",($AF1021-'FA Addition'!$M1021)*'FA Addition'!$P1021*AH1021/365,IFERROR(VDB(AF1021,AF1021*0.05,'FA Addition'!$O1021,0,YEARFRAC('FA Addition'!$C1021,$L$1,3),'FA Addition'!$Q1021),FAAddition[[#This Row],[Original Cost (Rs)]]-FAAddition[[#This Row],[Salvage Value]])),0),0)</f>
        <v>0</v>
      </c>
      <c r="AO1021" s="117">
        <f t="shared" si="78"/>
        <v>0</v>
      </c>
      <c r="AQ1021" s="117">
        <f t="shared" si="76"/>
        <v>0</v>
      </c>
      <c r="AR1021" s="120">
        <f t="shared" si="77"/>
        <v>0</v>
      </c>
      <c r="AS1021" s="121"/>
    </row>
    <row r="1022" spans="1:45" ht="13.5" x14ac:dyDescent="0.4">
      <c r="A1022" s="12">
        <f t="shared" si="79"/>
        <v>1019</v>
      </c>
      <c r="B1022" s="64" t="s">
        <v>1758</v>
      </c>
      <c r="C1022" s="54">
        <v>45404</v>
      </c>
      <c r="D1022" s="54">
        <v>45404</v>
      </c>
      <c r="E1022" s="46" t="s">
        <v>451</v>
      </c>
      <c r="F1022" s="51" t="s">
        <v>19</v>
      </c>
      <c r="G1022" s="51" t="s">
        <v>1728</v>
      </c>
      <c r="H1022" s="51" t="s">
        <v>21</v>
      </c>
      <c r="I1022" s="55" t="s">
        <v>1780</v>
      </c>
      <c r="J1022" s="56">
        <v>1</v>
      </c>
      <c r="K1022" s="51" t="s">
        <v>1781</v>
      </c>
      <c r="L1022" s="58">
        <v>60593</v>
      </c>
      <c r="M1022" s="50">
        <f>ROUND('FA Addition'!$L1022*5%,0.1)</f>
        <v>3030</v>
      </c>
      <c r="N1022" s="113" t="str">
        <f>_xlfn.XLOOKUP(_xlfn.CONCAT(E1022,B1022),'Year Wise Master Dep Approach'!F:F,'Year Wise Master Dep Approach'!D:D)</f>
        <v>WDV</v>
      </c>
      <c r="O1022" s="113">
        <f>_xlfn.XLOOKUP(_xlfn.CONCAT(E1022,B1022),'Year Wise Master Dep Approach'!F:F,'Year Wise Master Dep Approach'!E:E)</f>
        <v>3</v>
      </c>
      <c r="P1022" s="114">
        <f>IFERROR(IF('FA Addition'!$N1022="WDV",1-('FA Addition'!$M1022/'FA Addition'!$L1022)^(1/'FA Addition'!$O1022),1/'FA Addition'!$O1022),0)</f>
        <v>0.63158266410374986</v>
      </c>
      <c r="Q1022" s="122">
        <f>'FA Addition'!$P1022*'FA Addition'!$O1022</f>
        <v>1.8947479923112496</v>
      </c>
      <c r="R1022" s="122"/>
      <c r="S1022" s="116">
        <f>IF(AND(DATE(20&amp;LEFT(FAAddition[[#This Row],[FY]],2),4,1)&lt;$L$1+1,DATE(20&amp;LEFT(FAAddition[[#This Row],[FY]],2),4,1)&gt;$P$1-1),'FA Addition'!$J1022,0)</f>
        <v>0</v>
      </c>
      <c r="U1022" s="117">
        <f>S1022*'FA Addition'!$L1022/'FA Addition'!$J1022</f>
        <v>0</v>
      </c>
      <c r="W1022" s="116">
        <f>SUMIFS('FA Write off'!D:D,'FA Write off'!A:A,'FA Addition'!$A1022,'FA Write off'!C:C,"&lt;"&amp;'FA Addition'!$P$1)</f>
        <v>0</v>
      </c>
      <c r="Y1022" s="191">
        <f>IFERROR(W1022/'FA Addition'!$J1022*'FA Addition'!$L1022,0)</f>
        <v>0</v>
      </c>
      <c r="AA1022" s="116">
        <f>SUMIFS('FA Write off'!D:D,'FA Write off'!A:A,'FA Addition'!$A1022,'FA Write off'!C:C,"&lt;"&amp;'FA Addition'!$L$1+1,'FA Write off'!C:C,"&gt;"&amp;'FA Addition'!$L$1-365)</f>
        <v>0</v>
      </c>
      <c r="AC1022" s="118">
        <f>IFERROR(AA1022/'FA Addition'!$J1022*'FA Addition'!$L1022,0)</f>
        <v>0</v>
      </c>
      <c r="AE1022" s="117">
        <f>IF(AND('FA Addition'!$D1022&lt;$P$1+1,U1022=0),'FA Addition'!$L1022,0)-Y1022</f>
        <v>0</v>
      </c>
      <c r="AF1022" s="117">
        <f t="shared" si="75"/>
        <v>0</v>
      </c>
      <c r="AG1022" s="117">
        <f>MIN(MAX(+$P$1-'FA Addition'!$D1022,0),365*'FA Addition'!$O1022)</f>
        <v>0</v>
      </c>
      <c r="AH1022" s="117">
        <f>MIN(MAX($L$1-'FA Addition'!$D1022+1,0),365*'FA Addition'!$O1022)</f>
        <v>0</v>
      </c>
      <c r="AI1022" s="117" cm="1">
        <f t="array" ref="AI1022">_xlfn.XLOOKUP(1,('FA Write off'!A:A='FA Addition'!$A1022)*('FA Write off'!D:D=AA1022),'FA Write off'!H:H,0,0)</f>
        <v>0</v>
      </c>
      <c r="AJ1022" s="117">
        <f>IF(AC1022&gt;0,MAX(IF('FA Addition'!$N1022="SLM",($AC1022-'FA Addition'!$M1022)*'FA Addition'!$P1022*AI1022/365,(AC1022-'FA Addition'!$M1022)*(1-(1-'FA Addition'!$P1022)^(AI1022/365))),0),0)</f>
        <v>0</v>
      </c>
      <c r="AL1022" s="117">
        <f>MAX(IF(AG1022&gt;0,IF('FA Addition'!$N1022="SLM",($AE1022-'FA Addition'!$M1022)*'FA Addition'!$P1022*AG1022/365,IFERROR(VDB(AE1022,AE1022*0.05,'FA Addition'!$O1022,0,YEARFRAC('FA Addition'!$C1022,$P$1-1,3),'FA Addition'!$Q1022),FAAddition[[#This Row],[Original Cost (Rs)]]-FAAddition[[#This Row],[Salvage Value]])),0),0)</f>
        <v>0</v>
      </c>
      <c r="AM1022" s="119"/>
      <c r="AN1022" s="117">
        <f>MAX(IF(AH1022&gt;0,IF('FA Addition'!$N1022="SLM",($AF1022-'FA Addition'!$M1022)*'FA Addition'!$P1022*AH1022/365,IFERROR(VDB(AF1022,AF1022*0.05,'FA Addition'!$O1022,0,YEARFRAC('FA Addition'!$C1022,$L$1,3),'FA Addition'!$Q1022),FAAddition[[#This Row],[Original Cost (Rs)]]-FAAddition[[#This Row],[Salvage Value]])),0),0)</f>
        <v>0</v>
      </c>
      <c r="AO1022" s="117">
        <f t="shared" si="78"/>
        <v>0</v>
      </c>
      <c r="AQ1022" s="117">
        <f t="shared" si="76"/>
        <v>0</v>
      </c>
      <c r="AR1022" s="120">
        <f t="shared" si="77"/>
        <v>0</v>
      </c>
      <c r="AS1022" s="121"/>
    </row>
    <row r="1023" spans="1:45" ht="13.5" x14ac:dyDescent="0.4">
      <c r="A1023" s="12">
        <f t="shared" si="79"/>
        <v>1020</v>
      </c>
      <c r="B1023" s="64" t="s">
        <v>1758</v>
      </c>
      <c r="C1023" s="54">
        <v>45404</v>
      </c>
      <c r="D1023" s="54">
        <v>45404</v>
      </c>
      <c r="E1023" s="46" t="s">
        <v>451</v>
      </c>
      <c r="F1023" s="51" t="s">
        <v>19</v>
      </c>
      <c r="G1023" s="51" t="s">
        <v>1728</v>
      </c>
      <c r="H1023" s="51" t="s">
        <v>21</v>
      </c>
      <c r="I1023" s="55" t="s">
        <v>1780</v>
      </c>
      <c r="J1023" s="56">
        <v>1</v>
      </c>
      <c r="K1023" s="51" t="s">
        <v>1781</v>
      </c>
      <c r="L1023" s="58">
        <v>60593</v>
      </c>
      <c r="M1023" s="50">
        <f>ROUND('FA Addition'!$L1023*5%,0.1)</f>
        <v>3030</v>
      </c>
      <c r="N1023" s="113" t="str">
        <f>_xlfn.XLOOKUP(_xlfn.CONCAT(E1023,B1023),'Year Wise Master Dep Approach'!F:F,'Year Wise Master Dep Approach'!D:D)</f>
        <v>WDV</v>
      </c>
      <c r="O1023" s="113">
        <f>_xlfn.XLOOKUP(_xlfn.CONCAT(E1023,B1023),'Year Wise Master Dep Approach'!F:F,'Year Wise Master Dep Approach'!E:E)</f>
        <v>3</v>
      </c>
      <c r="P1023" s="114">
        <f>IFERROR(IF('FA Addition'!$N1023="WDV",1-('FA Addition'!$M1023/'FA Addition'!$L1023)^(1/'FA Addition'!$O1023),1/'FA Addition'!$O1023),0)</f>
        <v>0.63158266410374986</v>
      </c>
      <c r="Q1023" s="122">
        <f>'FA Addition'!$P1023*'FA Addition'!$O1023</f>
        <v>1.8947479923112496</v>
      </c>
      <c r="R1023" s="122"/>
      <c r="S1023" s="116">
        <f>IF(AND(DATE(20&amp;LEFT(FAAddition[[#This Row],[FY]],2),4,1)&lt;$L$1+1,DATE(20&amp;LEFT(FAAddition[[#This Row],[FY]],2),4,1)&gt;$P$1-1),'FA Addition'!$J1023,0)</f>
        <v>0</v>
      </c>
      <c r="U1023" s="117">
        <f>S1023*'FA Addition'!$L1023/'FA Addition'!$J1023</f>
        <v>0</v>
      </c>
      <c r="W1023" s="116">
        <f>SUMIFS('FA Write off'!D:D,'FA Write off'!A:A,'FA Addition'!$A1023,'FA Write off'!C:C,"&lt;"&amp;'FA Addition'!$P$1)</f>
        <v>0</v>
      </c>
      <c r="Y1023" s="191">
        <f>IFERROR(W1023/'FA Addition'!$J1023*'FA Addition'!$L1023,0)</f>
        <v>0</v>
      </c>
      <c r="AA1023" s="116">
        <f>SUMIFS('FA Write off'!D:D,'FA Write off'!A:A,'FA Addition'!$A1023,'FA Write off'!C:C,"&lt;"&amp;'FA Addition'!$L$1+1,'FA Write off'!C:C,"&gt;"&amp;'FA Addition'!$L$1-365)</f>
        <v>0</v>
      </c>
      <c r="AC1023" s="118">
        <f>IFERROR(AA1023/'FA Addition'!$J1023*'FA Addition'!$L1023,0)</f>
        <v>0</v>
      </c>
      <c r="AE1023" s="117">
        <f>IF(AND('FA Addition'!$D1023&lt;$P$1+1,U1023=0),'FA Addition'!$L1023,0)-Y1023</f>
        <v>0</v>
      </c>
      <c r="AF1023" s="117">
        <f t="shared" si="75"/>
        <v>0</v>
      </c>
      <c r="AG1023" s="117">
        <f>MIN(MAX(+$P$1-'FA Addition'!$D1023,0),365*'FA Addition'!$O1023)</f>
        <v>0</v>
      </c>
      <c r="AH1023" s="117">
        <f>MIN(MAX($L$1-'FA Addition'!$D1023+1,0),365*'FA Addition'!$O1023)</f>
        <v>0</v>
      </c>
      <c r="AI1023" s="117" cm="1">
        <f t="array" ref="AI1023">_xlfn.XLOOKUP(1,('FA Write off'!A:A='FA Addition'!$A1023)*('FA Write off'!D:D=AA1023),'FA Write off'!H:H,0,0)</f>
        <v>0</v>
      </c>
      <c r="AJ1023" s="117">
        <f>IF(AC1023&gt;0,MAX(IF('FA Addition'!$N1023="SLM",($AC1023-'FA Addition'!$M1023)*'FA Addition'!$P1023*AI1023/365,(AC1023-'FA Addition'!$M1023)*(1-(1-'FA Addition'!$P1023)^(AI1023/365))),0),0)</f>
        <v>0</v>
      </c>
      <c r="AL1023" s="117">
        <f>MAX(IF(AG1023&gt;0,IF('FA Addition'!$N1023="SLM",($AE1023-'FA Addition'!$M1023)*'FA Addition'!$P1023*AG1023/365,IFERROR(VDB(AE1023,AE1023*0.05,'FA Addition'!$O1023,0,YEARFRAC('FA Addition'!$C1023,$P$1-1,3),'FA Addition'!$Q1023),FAAddition[[#This Row],[Original Cost (Rs)]]-FAAddition[[#This Row],[Salvage Value]])),0),0)</f>
        <v>0</v>
      </c>
      <c r="AM1023" s="119"/>
      <c r="AN1023" s="117">
        <f>MAX(IF(AH1023&gt;0,IF('FA Addition'!$N1023="SLM",($AF1023-'FA Addition'!$M1023)*'FA Addition'!$P1023*AH1023/365,IFERROR(VDB(AF1023,AF1023*0.05,'FA Addition'!$O1023,0,YEARFRAC('FA Addition'!$C1023,$L$1,3),'FA Addition'!$Q1023),FAAddition[[#This Row],[Original Cost (Rs)]]-FAAddition[[#This Row],[Salvage Value]])),0),0)</f>
        <v>0</v>
      </c>
      <c r="AO1023" s="117">
        <f t="shared" si="78"/>
        <v>0</v>
      </c>
      <c r="AQ1023" s="117">
        <f t="shared" si="76"/>
        <v>0</v>
      </c>
      <c r="AR1023" s="120">
        <f t="shared" si="77"/>
        <v>0</v>
      </c>
      <c r="AS1023" s="121"/>
    </row>
    <row r="1024" spans="1:45" ht="13.5" x14ac:dyDescent="0.4">
      <c r="A1024" s="12">
        <f t="shared" si="79"/>
        <v>1021</v>
      </c>
      <c r="B1024" s="64" t="s">
        <v>1758</v>
      </c>
      <c r="C1024" s="54">
        <v>45404</v>
      </c>
      <c r="D1024" s="54">
        <v>45404</v>
      </c>
      <c r="E1024" s="46" t="s">
        <v>1320</v>
      </c>
      <c r="F1024" s="51" t="s">
        <v>33</v>
      </c>
      <c r="G1024" s="51" t="s">
        <v>36</v>
      </c>
      <c r="H1024" s="51" t="s">
        <v>32</v>
      </c>
      <c r="I1024" s="55" t="s">
        <v>1782</v>
      </c>
      <c r="J1024" s="56">
        <v>1000</v>
      </c>
      <c r="K1024" s="51" t="s">
        <v>296</v>
      </c>
      <c r="L1024" s="58">
        <v>1700000</v>
      </c>
      <c r="M1024" s="50">
        <f>ROUND('FA Addition'!$L1024*5%,0.1)</f>
        <v>85000</v>
      </c>
      <c r="N1024" s="113" t="str">
        <f>_xlfn.XLOOKUP(_xlfn.CONCAT(E1024,B1024),'Year Wise Master Dep Approach'!F:F,'Year Wise Master Dep Approach'!D:D)</f>
        <v>SLM</v>
      </c>
      <c r="O1024" s="113">
        <f>_xlfn.XLOOKUP(_xlfn.CONCAT(E1024,B1024),'Year Wise Master Dep Approach'!F:F,'Year Wise Master Dep Approach'!E:E)</f>
        <v>5</v>
      </c>
      <c r="P1024" s="114">
        <f>IFERROR(IF('FA Addition'!$N1024="WDV",1-('FA Addition'!$M1024/'FA Addition'!$L1024)^(1/'FA Addition'!$O1024),1/'FA Addition'!$O1024),0)</f>
        <v>0.2</v>
      </c>
      <c r="Q1024" s="122">
        <f>'FA Addition'!$P1024*'FA Addition'!$O1024</f>
        <v>1</v>
      </c>
      <c r="R1024" s="122"/>
      <c r="S1024" s="116">
        <f>IF(AND(DATE(20&amp;LEFT(FAAddition[[#This Row],[FY]],2),4,1)&lt;$L$1+1,DATE(20&amp;LEFT(FAAddition[[#This Row],[FY]],2),4,1)&gt;$P$1-1),'FA Addition'!$J1024,0)</f>
        <v>0</v>
      </c>
      <c r="U1024" s="117">
        <f>S1024*'FA Addition'!$L1024/'FA Addition'!$J1024</f>
        <v>0</v>
      </c>
      <c r="W1024" s="116">
        <f>SUMIFS('FA Write off'!D:D,'FA Write off'!A:A,'FA Addition'!$A1024,'FA Write off'!C:C,"&lt;"&amp;'FA Addition'!$P$1)</f>
        <v>0</v>
      </c>
      <c r="Y1024" s="191">
        <f>IFERROR(W1024/'FA Addition'!$J1024*'FA Addition'!$L1024,0)</f>
        <v>0</v>
      </c>
      <c r="AA1024" s="116">
        <f>SUMIFS('FA Write off'!D:D,'FA Write off'!A:A,'FA Addition'!$A1024,'FA Write off'!C:C,"&lt;"&amp;'FA Addition'!$L$1+1,'FA Write off'!C:C,"&gt;"&amp;'FA Addition'!$L$1-365)</f>
        <v>0</v>
      </c>
      <c r="AC1024" s="118">
        <f>IFERROR(AA1024/'FA Addition'!$J1024*'FA Addition'!$L1024,0)</f>
        <v>0</v>
      </c>
      <c r="AE1024" s="117">
        <f>IF(AND('FA Addition'!$D1024&lt;$P$1+1,U1024=0),'FA Addition'!$L1024,0)-Y1024</f>
        <v>0</v>
      </c>
      <c r="AF1024" s="117">
        <f t="shared" si="75"/>
        <v>0</v>
      </c>
      <c r="AG1024" s="117">
        <f>MIN(MAX(+$P$1-'FA Addition'!$D1024,0),365*'FA Addition'!$O1024)</f>
        <v>0</v>
      </c>
      <c r="AH1024" s="117">
        <f>MIN(MAX($L$1-'FA Addition'!$D1024+1,0),365*'FA Addition'!$O1024)</f>
        <v>0</v>
      </c>
      <c r="AI1024" s="117" cm="1">
        <f t="array" ref="AI1024">_xlfn.XLOOKUP(1,('FA Write off'!A:A='FA Addition'!$A1024)*('FA Write off'!D:D=AA1024),'FA Write off'!H:H,0,0)</f>
        <v>0</v>
      </c>
      <c r="AJ1024" s="117">
        <f>IF(AC1024&gt;0,MAX(IF('FA Addition'!$N1024="SLM",($AC1024-'FA Addition'!$M1024)*'FA Addition'!$P1024*AI1024/365,(AC1024-'FA Addition'!$M1024)*(1-(1-'FA Addition'!$P1024)^(AI1024/365))),0),0)</f>
        <v>0</v>
      </c>
      <c r="AL1024" s="117">
        <f>MAX(IF(AG1024&gt;0,IF('FA Addition'!$N1024="SLM",($AE1024-'FA Addition'!$M1024)*'FA Addition'!$P1024*AG1024/365,IFERROR(VDB(AE1024,AE1024*0.05,'FA Addition'!$O1024,0,YEARFRAC('FA Addition'!$C1024,$P$1-1,3),'FA Addition'!$Q1024),FAAddition[[#This Row],[Original Cost (Rs)]]-FAAddition[[#This Row],[Salvage Value]])),0),0)</f>
        <v>0</v>
      </c>
      <c r="AM1024" s="119"/>
      <c r="AN1024" s="117">
        <f>MAX(IF(AH1024&gt;0,IF('FA Addition'!$N1024="SLM",($AF1024-'FA Addition'!$M1024)*'FA Addition'!$P1024*AH1024/365,IFERROR(VDB(AF1024,AF1024*0.05,'FA Addition'!$O1024,0,YEARFRAC('FA Addition'!$C1024,$L$1,3),'FA Addition'!$Q1024),FAAddition[[#This Row],[Original Cost (Rs)]]-FAAddition[[#This Row],[Salvage Value]])),0),0)</f>
        <v>0</v>
      </c>
      <c r="AO1024" s="117">
        <f t="shared" si="78"/>
        <v>0</v>
      </c>
      <c r="AQ1024" s="117">
        <f t="shared" si="76"/>
        <v>0</v>
      </c>
      <c r="AR1024" s="120">
        <f t="shared" si="77"/>
        <v>0</v>
      </c>
      <c r="AS1024" s="121"/>
    </row>
    <row r="1025" spans="1:45" ht="13.5" x14ac:dyDescent="0.4">
      <c r="A1025" s="12">
        <f t="shared" si="79"/>
        <v>1022</v>
      </c>
      <c r="B1025" s="64" t="s">
        <v>1758</v>
      </c>
      <c r="C1025" s="54">
        <v>45407</v>
      </c>
      <c r="D1025" s="54">
        <v>45407</v>
      </c>
      <c r="E1025" s="46" t="s">
        <v>451</v>
      </c>
      <c r="F1025" s="51" t="s">
        <v>19</v>
      </c>
      <c r="G1025" s="51" t="s">
        <v>1728</v>
      </c>
      <c r="H1025" s="51" t="s">
        <v>21</v>
      </c>
      <c r="I1025" s="55" t="s">
        <v>1783</v>
      </c>
      <c r="J1025" s="56">
        <v>1</v>
      </c>
      <c r="K1025" s="51" t="s">
        <v>1784</v>
      </c>
      <c r="L1025" s="58">
        <v>60593</v>
      </c>
      <c r="M1025" s="50">
        <f>ROUND('FA Addition'!$L1025*5%,0.1)</f>
        <v>3030</v>
      </c>
      <c r="N1025" s="113" t="str">
        <f>_xlfn.XLOOKUP(_xlfn.CONCAT(E1025,B1025),'Year Wise Master Dep Approach'!F:F,'Year Wise Master Dep Approach'!D:D)</f>
        <v>WDV</v>
      </c>
      <c r="O1025" s="113">
        <f>_xlfn.XLOOKUP(_xlfn.CONCAT(E1025,B1025),'Year Wise Master Dep Approach'!F:F,'Year Wise Master Dep Approach'!E:E)</f>
        <v>3</v>
      </c>
      <c r="P1025" s="114">
        <f>IFERROR(IF('FA Addition'!$N1025="WDV",1-('FA Addition'!$M1025/'FA Addition'!$L1025)^(1/'FA Addition'!$O1025),1/'FA Addition'!$O1025),0)</f>
        <v>0.63158266410374986</v>
      </c>
      <c r="Q1025" s="122">
        <f>'FA Addition'!$P1025*'FA Addition'!$O1025</f>
        <v>1.8947479923112496</v>
      </c>
      <c r="R1025" s="122"/>
      <c r="S1025" s="116">
        <f>IF(AND(DATE(20&amp;LEFT(FAAddition[[#This Row],[FY]],2),4,1)&lt;$L$1+1,DATE(20&amp;LEFT(FAAddition[[#This Row],[FY]],2),4,1)&gt;$P$1-1),'FA Addition'!$J1025,0)</f>
        <v>0</v>
      </c>
      <c r="U1025" s="117">
        <f>S1025*'FA Addition'!$L1025/'FA Addition'!$J1025</f>
        <v>0</v>
      </c>
      <c r="W1025" s="116">
        <f>SUMIFS('FA Write off'!D:D,'FA Write off'!A:A,'FA Addition'!$A1025,'FA Write off'!C:C,"&lt;"&amp;'FA Addition'!$P$1)</f>
        <v>0</v>
      </c>
      <c r="Y1025" s="191">
        <f>IFERROR(W1025/'FA Addition'!$J1025*'FA Addition'!$L1025,0)</f>
        <v>0</v>
      </c>
      <c r="AA1025" s="116">
        <f>SUMIFS('FA Write off'!D:D,'FA Write off'!A:A,'FA Addition'!$A1025,'FA Write off'!C:C,"&lt;"&amp;'FA Addition'!$L$1+1,'FA Write off'!C:C,"&gt;"&amp;'FA Addition'!$L$1-365)</f>
        <v>0</v>
      </c>
      <c r="AC1025" s="118">
        <f>IFERROR(AA1025/'FA Addition'!$J1025*'FA Addition'!$L1025,0)</f>
        <v>0</v>
      </c>
      <c r="AE1025" s="117">
        <f>IF(AND('FA Addition'!$D1025&lt;$P$1+1,U1025=0),'FA Addition'!$L1025,0)-Y1025</f>
        <v>0</v>
      </c>
      <c r="AF1025" s="117">
        <f t="shared" si="75"/>
        <v>0</v>
      </c>
      <c r="AG1025" s="117">
        <f>MIN(MAX(+$P$1-'FA Addition'!$D1025,0),365*'FA Addition'!$O1025)</f>
        <v>0</v>
      </c>
      <c r="AH1025" s="117">
        <f>MIN(MAX($L$1-'FA Addition'!$D1025+1,0),365*'FA Addition'!$O1025)</f>
        <v>0</v>
      </c>
      <c r="AI1025" s="117" cm="1">
        <f t="array" ref="AI1025">_xlfn.XLOOKUP(1,('FA Write off'!A:A='FA Addition'!$A1025)*('FA Write off'!D:D=AA1025),'FA Write off'!H:H,0,0)</f>
        <v>0</v>
      </c>
      <c r="AJ1025" s="117">
        <f>IF(AC1025&gt;0,MAX(IF('FA Addition'!$N1025="SLM",($AC1025-'FA Addition'!$M1025)*'FA Addition'!$P1025*AI1025/365,(AC1025-'FA Addition'!$M1025)*(1-(1-'FA Addition'!$P1025)^(AI1025/365))),0),0)</f>
        <v>0</v>
      </c>
      <c r="AL1025" s="117">
        <f>MAX(IF(AG1025&gt;0,IF('FA Addition'!$N1025="SLM",($AE1025-'FA Addition'!$M1025)*'FA Addition'!$P1025*AG1025/365,IFERROR(VDB(AE1025,AE1025*0.05,'FA Addition'!$O1025,0,YEARFRAC('FA Addition'!$C1025,$P$1-1,3),'FA Addition'!$Q1025),FAAddition[[#This Row],[Original Cost (Rs)]]-FAAddition[[#This Row],[Salvage Value]])),0),0)</f>
        <v>0</v>
      </c>
      <c r="AM1025" s="119"/>
      <c r="AN1025" s="117">
        <f>MAX(IF(AH1025&gt;0,IF('FA Addition'!$N1025="SLM",($AF1025-'FA Addition'!$M1025)*'FA Addition'!$P1025*AH1025/365,IFERROR(VDB(AF1025,AF1025*0.05,'FA Addition'!$O1025,0,YEARFRAC('FA Addition'!$C1025,$L$1,3),'FA Addition'!$Q1025),FAAddition[[#This Row],[Original Cost (Rs)]]-FAAddition[[#This Row],[Salvage Value]])),0),0)</f>
        <v>0</v>
      </c>
      <c r="AO1025" s="117">
        <f t="shared" si="78"/>
        <v>0</v>
      </c>
      <c r="AQ1025" s="117">
        <f t="shared" si="76"/>
        <v>0</v>
      </c>
      <c r="AR1025" s="120">
        <f t="shared" si="77"/>
        <v>0</v>
      </c>
      <c r="AS1025" s="121"/>
    </row>
    <row r="1026" spans="1:45" ht="13.5" x14ac:dyDescent="0.4">
      <c r="A1026" s="12">
        <f t="shared" si="79"/>
        <v>1023</v>
      </c>
      <c r="B1026" s="64" t="s">
        <v>1758</v>
      </c>
      <c r="C1026" s="54">
        <v>45407</v>
      </c>
      <c r="D1026" s="54">
        <v>45407</v>
      </c>
      <c r="E1026" s="46" t="s">
        <v>451</v>
      </c>
      <c r="F1026" s="51" t="s">
        <v>19</v>
      </c>
      <c r="G1026" s="51" t="s">
        <v>1728</v>
      </c>
      <c r="H1026" s="51" t="s">
        <v>21</v>
      </c>
      <c r="I1026" s="55" t="s">
        <v>1783</v>
      </c>
      <c r="J1026" s="56">
        <v>1</v>
      </c>
      <c r="K1026" s="51" t="s">
        <v>1770</v>
      </c>
      <c r="L1026" s="58">
        <v>51000</v>
      </c>
      <c r="M1026" s="50">
        <f>ROUND('FA Addition'!$L1026*5%,0.1)</f>
        <v>2550</v>
      </c>
      <c r="N1026" s="113" t="str">
        <f>_xlfn.XLOOKUP(_xlfn.CONCAT(E1026,B1026),'Year Wise Master Dep Approach'!F:F,'Year Wise Master Dep Approach'!D:D)</f>
        <v>WDV</v>
      </c>
      <c r="O1026" s="113">
        <f>_xlfn.XLOOKUP(_xlfn.CONCAT(E1026,B1026),'Year Wise Master Dep Approach'!F:F,'Year Wise Master Dep Approach'!E:E)</f>
        <v>3</v>
      </c>
      <c r="P1026" s="114">
        <f>IFERROR(IF('FA Addition'!$N1026="WDV",1-('FA Addition'!$M1026/'FA Addition'!$L1026)^(1/'FA Addition'!$O1026),1/'FA Addition'!$O1026),0)</f>
        <v>0.63159685013596123</v>
      </c>
      <c r="Q1026" s="122">
        <f>'FA Addition'!$P1026*'FA Addition'!$O1026</f>
        <v>1.8947905504078837</v>
      </c>
      <c r="R1026" s="122"/>
      <c r="S1026" s="116">
        <f>IF(AND(DATE(20&amp;LEFT(FAAddition[[#This Row],[FY]],2),4,1)&lt;$L$1+1,DATE(20&amp;LEFT(FAAddition[[#This Row],[FY]],2),4,1)&gt;$P$1-1),'FA Addition'!$J1026,0)</f>
        <v>0</v>
      </c>
      <c r="U1026" s="117">
        <f>S1026*'FA Addition'!$L1026/'FA Addition'!$J1026</f>
        <v>0</v>
      </c>
      <c r="W1026" s="116">
        <f>SUMIFS('FA Write off'!D:D,'FA Write off'!A:A,'FA Addition'!$A1026,'FA Write off'!C:C,"&lt;"&amp;'FA Addition'!$P$1)</f>
        <v>0</v>
      </c>
      <c r="Y1026" s="191">
        <f>IFERROR(W1026/'FA Addition'!$J1026*'FA Addition'!$L1026,0)</f>
        <v>0</v>
      </c>
      <c r="AA1026" s="116">
        <f>SUMIFS('FA Write off'!D:D,'FA Write off'!A:A,'FA Addition'!$A1026,'FA Write off'!C:C,"&lt;"&amp;'FA Addition'!$L$1+1,'FA Write off'!C:C,"&gt;"&amp;'FA Addition'!$L$1-365)</f>
        <v>0</v>
      </c>
      <c r="AC1026" s="118">
        <f>IFERROR(AA1026/'FA Addition'!$J1026*'FA Addition'!$L1026,0)</f>
        <v>0</v>
      </c>
      <c r="AE1026" s="117">
        <f>IF(AND('FA Addition'!$D1026&lt;$P$1+1,U1026=0),'FA Addition'!$L1026,0)-Y1026</f>
        <v>0</v>
      </c>
      <c r="AF1026" s="117">
        <f t="shared" si="75"/>
        <v>0</v>
      </c>
      <c r="AG1026" s="117">
        <f>MIN(MAX(+$P$1-'FA Addition'!$D1026,0),365*'FA Addition'!$O1026)</f>
        <v>0</v>
      </c>
      <c r="AH1026" s="117">
        <f>MIN(MAX($L$1-'FA Addition'!$D1026+1,0),365*'FA Addition'!$O1026)</f>
        <v>0</v>
      </c>
      <c r="AI1026" s="117" cm="1">
        <f t="array" ref="AI1026">_xlfn.XLOOKUP(1,('FA Write off'!A:A='FA Addition'!$A1026)*('FA Write off'!D:D=AA1026),'FA Write off'!H:H,0,0)</f>
        <v>0</v>
      </c>
      <c r="AJ1026" s="117">
        <f>IF(AC1026&gt;0,MAX(IF('FA Addition'!$N1026="SLM",($AC1026-'FA Addition'!$M1026)*'FA Addition'!$P1026*AI1026/365,(AC1026-'FA Addition'!$M1026)*(1-(1-'FA Addition'!$P1026)^(AI1026/365))),0),0)</f>
        <v>0</v>
      </c>
      <c r="AL1026" s="117">
        <f>MAX(IF(AG1026&gt;0,IF('FA Addition'!$N1026="SLM",($AE1026-'FA Addition'!$M1026)*'FA Addition'!$P1026*AG1026/365,IFERROR(VDB(AE1026,AE1026*0.05,'FA Addition'!$O1026,0,YEARFRAC('FA Addition'!$C1026,$P$1-1,3),'FA Addition'!$Q1026),FAAddition[[#This Row],[Original Cost (Rs)]]-FAAddition[[#This Row],[Salvage Value]])),0),0)</f>
        <v>0</v>
      </c>
      <c r="AM1026" s="119"/>
      <c r="AN1026" s="117">
        <f>MAX(IF(AH1026&gt;0,IF('FA Addition'!$N1026="SLM",($AF1026-'FA Addition'!$M1026)*'FA Addition'!$P1026*AH1026/365,IFERROR(VDB(AF1026,AF1026*0.05,'FA Addition'!$O1026,0,YEARFRAC('FA Addition'!$C1026,$L$1,3),'FA Addition'!$Q1026),FAAddition[[#This Row],[Original Cost (Rs)]]-FAAddition[[#This Row],[Salvage Value]])),0),0)</f>
        <v>0</v>
      </c>
      <c r="AO1026" s="117">
        <f t="shared" si="78"/>
        <v>0</v>
      </c>
      <c r="AQ1026" s="117">
        <f t="shared" si="76"/>
        <v>0</v>
      </c>
      <c r="AR1026" s="120">
        <f t="shared" si="77"/>
        <v>0</v>
      </c>
      <c r="AS1026" s="121"/>
    </row>
    <row r="1027" spans="1:45" ht="13.5" x14ac:dyDescent="0.4">
      <c r="A1027" s="12">
        <f t="shared" si="79"/>
        <v>1024</v>
      </c>
      <c r="B1027" s="64" t="s">
        <v>1758</v>
      </c>
      <c r="C1027" s="54">
        <v>45407</v>
      </c>
      <c r="D1027" s="54">
        <v>45407</v>
      </c>
      <c r="E1027" s="46" t="s">
        <v>32</v>
      </c>
      <c r="F1027" s="51" t="s">
        <v>1090</v>
      </c>
      <c r="G1027" s="51" t="s">
        <v>433</v>
      </c>
      <c r="H1027" s="51" t="s">
        <v>32</v>
      </c>
      <c r="I1027" s="55" t="s">
        <v>1785</v>
      </c>
      <c r="J1027" s="56">
        <v>1000</v>
      </c>
      <c r="K1027" s="51" t="s">
        <v>935</v>
      </c>
      <c r="L1027" s="58">
        <v>990000</v>
      </c>
      <c r="M1027" s="50">
        <f>ROUND('FA Addition'!$L1027*5%,0.1)</f>
        <v>49500</v>
      </c>
      <c r="N1027" s="113" t="str">
        <f>_xlfn.XLOOKUP(_xlfn.CONCAT(E1027,B1027),'Year Wise Master Dep Approach'!F:F,'Year Wise Master Dep Approach'!D:D)</f>
        <v>SLM</v>
      </c>
      <c r="O1027" s="113">
        <f>_xlfn.XLOOKUP(_xlfn.CONCAT(E1027,B1027),'Year Wise Master Dep Approach'!F:F,'Year Wise Master Dep Approach'!E:E)</f>
        <v>5</v>
      </c>
      <c r="P1027" s="114">
        <f>IFERROR(IF('FA Addition'!$N1027="WDV",1-('FA Addition'!$M1027/'FA Addition'!$L1027)^(1/'FA Addition'!$O1027),1/'FA Addition'!$O1027),0)</f>
        <v>0.2</v>
      </c>
      <c r="Q1027" s="122">
        <f>'FA Addition'!$P1027*'FA Addition'!$O1027</f>
        <v>1</v>
      </c>
      <c r="R1027" s="122"/>
      <c r="S1027" s="116">
        <f>IF(AND(DATE(20&amp;LEFT(FAAddition[[#This Row],[FY]],2),4,1)&lt;$L$1+1,DATE(20&amp;LEFT(FAAddition[[#This Row],[FY]],2),4,1)&gt;$P$1-1),'FA Addition'!$J1027,0)</f>
        <v>0</v>
      </c>
      <c r="U1027" s="117">
        <f>S1027*'FA Addition'!$L1027/'FA Addition'!$J1027</f>
        <v>0</v>
      </c>
      <c r="W1027" s="116">
        <f>SUMIFS('FA Write off'!D:D,'FA Write off'!A:A,'FA Addition'!$A1027,'FA Write off'!C:C,"&lt;"&amp;'FA Addition'!$P$1)</f>
        <v>73</v>
      </c>
      <c r="Y1027" s="191">
        <f>IFERROR(W1027/'FA Addition'!$J1027*'FA Addition'!$L1027,0)</f>
        <v>72270</v>
      </c>
      <c r="AA1027" s="116">
        <f>SUMIFS('FA Write off'!D:D,'FA Write off'!A:A,'FA Addition'!$A1027,'FA Write off'!C:C,"&lt;"&amp;'FA Addition'!$L$1+1,'FA Write off'!C:C,"&gt;"&amp;'FA Addition'!$L$1-365)</f>
        <v>0</v>
      </c>
      <c r="AC1027" s="118">
        <f>IFERROR(AA1027/'FA Addition'!$J1027*'FA Addition'!$L1027,0)</f>
        <v>0</v>
      </c>
      <c r="AE1027" s="117">
        <f>IF(AND('FA Addition'!$D1027&lt;$P$1+1,U1027=0),'FA Addition'!$L1027,0)-Y1027</f>
        <v>-72270</v>
      </c>
      <c r="AF1027" s="117">
        <f t="shared" si="75"/>
        <v>-72270</v>
      </c>
      <c r="AG1027" s="117">
        <f>MIN(MAX(+$P$1-'FA Addition'!$D1027,0),365*'FA Addition'!$O1027)</f>
        <v>0</v>
      </c>
      <c r="AH1027" s="117">
        <f>MIN(MAX($L$1-'FA Addition'!$D1027+1,0),365*'FA Addition'!$O1027)</f>
        <v>0</v>
      </c>
      <c r="AI1027" s="117" cm="1">
        <f t="array" ref="AI1027">_xlfn.XLOOKUP(1,('FA Write off'!A:A='FA Addition'!$A1027)*('FA Write off'!D:D=AA1027),'FA Write off'!H:H,0,0)</f>
        <v>0</v>
      </c>
      <c r="AJ1027" s="117">
        <f>IF(AC1027&gt;0,MAX(IF('FA Addition'!$N1027="SLM",($AC1027-'FA Addition'!$M1027)*'FA Addition'!$P1027*AI1027/365,(AC1027-'FA Addition'!$M1027)*(1-(1-'FA Addition'!$P1027)^(AI1027/365))),0),0)</f>
        <v>0</v>
      </c>
      <c r="AL1027" s="117">
        <f>MAX(IF(AG1027&gt;0,IF('FA Addition'!$N1027="SLM",($AE1027-'FA Addition'!$M1027)*'FA Addition'!$P1027*AG1027/365,IFERROR(VDB(AE1027,AE1027*0.05,'FA Addition'!$O1027,0,YEARFRAC('FA Addition'!$C1027,$P$1-1,3),'FA Addition'!$Q1027),FAAddition[[#This Row],[Original Cost (Rs)]]-FAAddition[[#This Row],[Salvage Value]])),0),0)</f>
        <v>0</v>
      </c>
      <c r="AM1027" s="119"/>
      <c r="AN1027" s="117">
        <f>MAX(IF(AH1027&gt;0,IF('FA Addition'!$N1027="SLM",($AF1027-'FA Addition'!$M1027)*'FA Addition'!$P1027*AH1027/365,IFERROR(VDB(AF1027,AF1027*0.05,'FA Addition'!$O1027,0,YEARFRAC('FA Addition'!$C1027,$L$1,3),'FA Addition'!$Q1027),FAAddition[[#This Row],[Original Cost (Rs)]]-FAAddition[[#This Row],[Salvage Value]])),0),0)</f>
        <v>0</v>
      </c>
      <c r="AO1027" s="117">
        <f t="shared" si="78"/>
        <v>0</v>
      </c>
      <c r="AQ1027" s="117">
        <f t="shared" si="76"/>
        <v>-72270</v>
      </c>
      <c r="AR1027" s="120">
        <f t="shared" si="77"/>
        <v>-72270</v>
      </c>
      <c r="AS1027" s="121"/>
    </row>
    <row r="1028" spans="1:45" ht="13.5" x14ac:dyDescent="0.4">
      <c r="A1028" s="12">
        <f t="shared" si="79"/>
        <v>1025</v>
      </c>
      <c r="B1028" s="64" t="s">
        <v>1758</v>
      </c>
      <c r="C1028" s="54">
        <v>45407</v>
      </c>
      <c r="D1028" s="54">
        <v>45407</v>
      </c>
      <c r="E1028" s="46" t="s">
        <v>1320</v>
      </c>
      <c r="F1028" s="51" t="s">
        <v>33</v>
      </c>
      <c r="G1028" s="51" t="s">
        <v>36</v>
      </c>
      <c r="H1028" s="51" t="s">
        <v>32</v>
      </c>
      <c r="I1028" s="55" t="s">
        <v>1786</v>
      </c>
      <c r="J1028" s="56">
        <v>1000</v>
      </c>
      <c r="K1028" s="51" t="s">
        <v>296</v>
      </c>
      <c r="L1028" s="58">
        <v>1700000</v>
      </c>
      <c r="M1028" s="50">
        <f>ROUND('FA Addition'!$L1028*5%,0.1)</f>
        <v>85000</v>
      </c>
      <c r="N1028" s="113" t="str">
        <f>_xlfn.XLOOKUP(_xlfn.CONCAT(E1028,B1028),'Year Wise Master Dep Approach'!F:F,'Year Wise Master Dep Approach'!D:D)</f>
        <v>SLM</v>
      </c>
      <c r="O1028" s="113">
        <f>_xlfn.XLOOKUP(_xlfn.CONCAT(E1028,B1028),'Year Wise Master Dep Approach'!F:F,'Year Wise Master Dep Approach'!E:E)</f>
        <v>5</v>
      </c>
      <c r="P1028" s="114">
        <f>IFERROR(IF('FA Addition'!$N1028="WDV",1-('FA Addition'!$M1028/'FA Addition'!$L1028)^(1/'FA Addition'!$O1028),1/'FA Addition'!$O1028),0)</f>
        <v>0.2</v>
      </c>
      <c r="Q1028" s="122">
        <f>'FA Addition'!$P1028*'FA Addition'!$O1028</f>
        <v>1</v>
      </c>
      <c r="R1028" s="122"/>
      <c r="S1028" s="116">
        <f>IF(AND(DATE(20&amp;LEFT(FAAddition[[#This Row],[FY]],2),4,1)&lt;$L$1+1,DATE(20&amp;LEFT(FAAddition[[#This Row],[FY]],2),4,1)&gt;$P$1-1),'FA Addition'!$J1028,0)</f>
        <v>0</v>
      </c>
      <c r="U1028" s="117">
        <f>S1028*'FA Addition'!$L1028/'FA Addition'!$J1028</f>
        <v>0</v>
      </c>
      <c r="W1028" s="116">
        <f>SUMIFS('FA Write off'!D:D,'FA Write off'!A:A,'FA Addition'!$A1028,'FA Write off'!C:C,"&lt;"&amp;'FA Addition'!$P$1)</f>
        <v>0</v>
      </c>
      <c r="Y1028" s="191">
        <f>IFERROR(W1028/'FA Addition'!$J1028*'FA Addition'!$L1028,0)</f>
        <v>0</v>
      </c>
      <c r="AA1028" s="116">
        <f>SUMIFS('FA Write off'!D:D,'FA Write off'!A:A,'FA Addition'!$A1028,'FA Write off'!C:C,"&lt;"&amp;'FA Addition'!$L$1+1,'FA Write off'!C:C,"&gt;"&amp;'FA Addition'!$L$1-365)</f>
        <v>0</v>
      </c>
      <c r="AC1028" s="118">
        <f>IFERROR(AA1028/'FA Addition'!$J1028*'FA Addition'!$L1028,0)</f>
        <v>0</v>
      </c>
      <c r="AE1028" s="117">
        <f>IF(AND('FA Addition'!$D1028&lt;$P$1+1,U1028=0),'FA Addition'!$L1028,0)-Y1028</f>
        <v>0</v>
      </c>
      <c r="AF1028" s="117">
        <f t="shared" ref="AF1028:AF1091" si="80">AE1028+U1028-AC1028</f>
        <v>0</v>
      </c>
      <c r="AG1028" s="117">
        <f>MIN(MAX(+$P$1-'FA Addition'!$D1028,0),365*'FA Addition'!$O1028)</f>
        <v>0</v>
      </c>
      <c r="AH1028" s="117">
        <f>MIN(MAX($L$1-'FA Addition'!$D1028+1,0),365*'FA Addition'!$O1028)</f>
        <v>0</v>
      </c>
      <c r="AI1028" s="117" cm="1">
        <f t="array" ref="AI1028">_xlfn.XLOOKUP(1,('FA Write off'!A:A='FA Addition'!$A1028)*('FA Write off'!D:D=AA1028),'FA Write off'!H:H,0,0)</f>
        <v>0</v>
      </c>
      <c r="AJ1028" s="117">
        <f>IF(AC1028&gt;0,MAX(IF('FA Addition'!$N1028="SLM",($AC1028-'FA Addition'!$M1028)*'FA Addition'!$P1028*AI1028/365,(AC1028-'FA Addition'!$M1028)*(1-(1-'FA Addition'!$P1028)^(AI1028/365))),0),0)</f>
        <v>0</v>
      </c>
      <c r="AL1028" s="117">
        <f>MAX(IF(AG1028&gt;0,IF('FA Addition'!$N1028="SLM",($AE1028-'FA Addition'!$M1028)*'FA Addition'!$P1028*AG1028/365,IFERROR(VDB(AE1028,AE1028*0.05,'FA Addition'!$O1028,0,YEARFRAC('FA Addition'!$C1028,$P$1-1,3),'FA Addition'!$Q1028),FAAddition[[#This Row],[Original Cost (Rs)]]-FAAddition[[#This Row],[Salvage Value]])),0),0)</f>
        <v>0</v>
      </c>
      <c r="AM1028" s="119"/>
      <c r="AN1028" s="117">
        <f>MAX(IF(AH1028&gt;0,IF('FA Addition'!$N1028="SLM",($AF1028-'FA Addition'!$M1028)*'FA Addition'!$P1028*AH1028/365,IFERROR(VDB(AF1028,AF1028*0.05,'FA Addition'!$O1028,0,YEARFRAC('FA Addition'!$C1028,$L$1,3),'FA Addition'!$Q1028),FAAddition[[#This Row],[Original Cost (Rs)]]-FAAddition[[#This Row],[Salvage Value]])),0),0)</f>
        <v>0</v>
      </c>
      <c r="AO1028" s="117">
        <f t="shared" si="78"/>
        <v>0</v>
      </c>
      <c r="AQ1028" s="117">
        <f t="shared" ref="AQ1028:AQ1091" si="81">AE1028-AL1028</f>
        <v>0</v>
      </c>
      <c r="AR1028" s="120">
        <f t="shared" ref="AR1028:AR1091" si="82">AF1028-AN1028</f>
        <v>0</v>
      </c>
      <c r="AS1028" s="121"/>
    </row>
    <row r="1029" spans="1:45" ht="13.5" x14ac:dyDescent="0.4">
      <c r="A1029" s="12">
        <f t="shared" si="79"/>
        <v>1026</v>
      </c>
      <c r="B1029" s="64" t="s">
        <v>1758</v>
      </c>
      <c r="C1029" s="54">
        <v>45408</v>
      </c>
      <c r="D1029" s="54">
        <v>45408</v>
      </c>
      <c r="E1029" s="46" t="s">
        <v>207</v>
      </c>
      <c r="F1029" s="51" t="s">
        <v>1372</v>
      </c>
      <c r="G1029" s="51" t="s">
        <v>1526</v>
      </c>
      <c r="H1029" s="51" t="s">
        <v>207</v>
      </c>
      <c r="I1029" s="55" t="s">
        <v>1787</v>
      </c>
      <c r="J1029" s="56">
        <v>1</v>
      </c>
      <c r="K1029" s="51" t="s">
        <v>1788</v>
      </c>
      <c r="L1029" s="58">
        <v>7626.27</v>
      </c>
      <c r="M1029" s="50">
        <f>ROUND('FA Addition'!$L1029*5%,0.1)</f>
        <v>381</v>
      </c>
      <c r="N1029" s="113" t="str">
        <f>_xlfn.XLOOKUP(_xlfn.CONCAT(E1029,B1029),'Year Wise Master Dep Approach'!F:F,'Year Wise Master Dep Approach'!D:D)</f>
        <v>WDV</v>
      </c>
      <c r="O1029" s="113">
        <f>_xlfn.XLOOKUP(_xlfn.CONCAT(E1029,B1029),'Year Wise Master Dep Approach'!F:F,'Year Wise Master Dep Approach'!E:E)</f>
        <v>5</v>
      </c>
      <c r="P1029" s="114">
        <f>IFERROR(IF('FA Addition'!$N1029="WDV",1-('FA Addition'!$M1029/'FA Addition'!$L1029)^(1/'FA Addition'!$O1029),1/'FA Addition'!$O1029),0)</f>
        <v>0.45081007711411503</v>
      </c>
      <c r="Q1029" s="122">
        <f>'FA Addition'!$P1029*'FA Addition'!$O1029</f>
        <v>2.2540503855705749</v>
      </c>
      <c r="R1029" s="122"/>
      <c r="S1029" s="116">
        <f>IF(AND(DATE(20&amp;LEFT(FAAddition[[#This Row],[FY]],2),4,1)&lt;$L$1+1,DATE(20&amp;LEFT(FAAddition[[#This Row],[FY]],2),4,1)&gt;$P$1-1),'FA Addition'!$J1029,0)</f>
        <v>0</v>
      </c>
      <c r="U1029" s="117">
        <f>S1029*'FA Addition'!$L1029/'FA Addition'!$J1029</f>
        <v>0</v>
      </c>
      <c r="W1029" s="116">
        <f>SUMIFS('FA Write off'!D:D,'FA Write off'!A:A,'FA Addition'!$A1029,'FA Write off'!C:C,"&lt;"&amp;'FA Addition'!$P$1)</f>
        <v>0</v>
      </c>
      <c r="Y1029" s="191">
        <f>IFERROR(W1029/'FA Addition'!$J1029*'FA Addition'!$L1029,0)</f>
        <v>0</v>
      </c>
      <c r="AA1029" s="116">
        <f>SUMIFS('FA Write off'!D:D,'FA Write off'!A:A,'FA Addition'!$A1029,'FA Write off'!C:C,"&lt;"&amp;'FA Addition'!$L$1+1,'FA Write off'!C:C,"&gt;"&amp;'FA Addition'!$L$1-365)</f>
        <v>0</v>
      </c>
      <c r="AC1029" s="118">
        <f>IFERROR(AA1029/'FA Addition'!$J1029*'FA Addition'!$L1029,0)</f>
        <v>0</v>
      </c>
      <c r="AE1029" s="117">
        <f>IF(AND('FA Addition'!$D1029&lt;$P$1+1,U1029=0),'FA Addition'!$L1029,0)-Y1029</f>
        <v>0</v>
      </c>
      <c r="AF1029" s="117">
        <f t="shared" si="80"/>
        <v>0</v>
      </c>
      <c r="AG1029" s="117">
        <f>MIN(MAX(+$P$1-'FA Addition'!$D1029,0),365*'FA Addition'!$O1029)</f>
        <v>0</v>
      </c>
      <c r="AH1029" s="117">
        <f>MIN(MAX($L$1-'FA Addition'!$D1029+1,0),365*'FA Addition'!$O1029)</f>
        <v>0</v>
      </c>
      <c r="AI1029" s="117" cm="1">
        <f t="array" ref="AI1029">_xlfn.XLOOKUP(1,('FA Write off'!A:A='FA Addition'!$A1029)*('FA Write off'!D:D=AA1029),'FA Write off'!H:H,0,0)</f>
        <v>0</v>
      </c>
      <c r="AJ1029" s="117">
        <f>IF(AC1029&gt;0,MAX(IF('FA Addition'!$N1029="SLM",($AC1029-'FA Addition'!$M1029)*'FA Addition'!$P1029*AI1029/365,(AC1029-'FA Addition'!$M1029)*(1-(1-'FA Addition'!$P1029)^(AI1029/365))),0),0)</f>
        <v>0</v>
      </c>
      <c r="AL1029" s="117">
        <f>MAX(IF(AG1029&gt;0,IF('FA Addition'!$N1029="SLM",($AE1029-'FA Addition'!$M1029)*'FA Addition'!$P1029*AG1029/365,IFERROR(VDB(AE1029,AE1029*0.05,'FA Addition'!$O1029,0,YEARFRAC('FA Addition'!$C1029,$P$1-1,3),'FA Addition'!$Q1029),FAAddition[[#This Row],[Original Cost (Rs)]]-FAAddition[[#This Row],[Salvage Value]])),0),0)</f>
        <v>0</v>
      </c>
      <c r="AM1029" s="119"/>
      <c r="AN1029" s="117">
        <f>MAX(IF(AH1029&gt;0,IF('FA Addition'!$N1029="SLM",($AF1029-'FA Addition'!$M1029)*'FA Addition'!$P1029*AH1029/365,IFERROR(VDB(AF1029,AF1029*0.05,'FA Addition'!$O1029,0,YEARFRAC('FA Addition'!$C1029,$L$1,3),'FA Addition'!$Q1029),FAAddition[[#This Row],[Original Cost (Rs)]]-FAAddition[[#This Row],[Salvage Value]])),0),0)</f>
        <v>0</v>
      </c>
      <c r="AO1029" s="117">
        <f t="shared" ref="AO1029:AO1092" si="83">AN1029-AL1029+AJ1029</f>
        <v>0</v>
      </c>
      <c r="AQ1029" s="117">
        <f t="shared" si="81"/>
        <v>0</v>
      </c>
      <c r="AR1029" s="120">
        <f t="shared" si="82"/>
        <v>0</v>
      </c>
      <c r="AS1029" s="121"/>
    </row>
    <row r="1030" spans="1:45" ht="13.5" x14ac:dyDescent="0.4">
      <c r="A1030" s="12">
        <f t="shared" ref="A1030:A1093" si="84">A1029+1</f>
        <v>1027</v>
      </c>
      <c r="B1030" s="64" t="s">
        <v>1758</v>
      </c>
      <c r="C1030" s="54">
        <v>45408</v>
      </c>
      <c r="D1030" s="54">
        <v>45408</v>
      </c>
      <c r="E1030" s="46" t="s">
        <v>207</v>
      </c>
      <c r="F1030" s="51" t="s">
        <v>1372</v>
      </c>
      <c r="G1030" s="51" t="s">
        <v>1789</v>
      </c>
      <c r="H1030" s="51" t="s">
        <v>207</v>
      </c>
      <c r="I1030" s="55" t="s">
        <v>1790</v>
      </c>
      <c r="J1030" s="56">
        <v>1</v>
      </c>
      <c r="K1030" s="51" t="s">
        <v>1791</v>
      </c>
      <c r="L1030" s="58">
        <v>6771.19</v>
      </c>
      <c r="M1030" s="50">
        <f>ROUND('FA Addition'!$L1030*5%,0.1)</f>
        <v>339</v>
      </c>
      <c r="N1030" s="113" t="str">
        <f>_xlfn.XLOOKUP(_xlfn.CONCAT(E1030,B1030),'Year Wise Master Dep Approach'!F:F,'Year Wise Master Dep Approach'!D:D)</f>
        <v>WDV</v>
      </c>
      <c r="O1030" s="113">
        <f>_xlfn.XLOOKUP(_xlfn.CONCAT(E1030,B1030),'Year Wise Master Dep Approach'!F:F,'Year Wise Master Dep Approach'!E:E)</f>
        <v>5</v>
      </c>
      <c r="P1030" s="114">
        <f>IFERROR(IF('FA Addition'!$N1030="WDV",1-('FA Addition'!$M1030/'FA Addition'!$L1030)^(1/'FA Addition'!$O1030),1/'FA Addition'!$O1030),0)</f>
        <v>0.45057686888902571</v>
      </c>
      <c r="Q1030" s="122">
        <f>'FA Addition'!$P1030*'FA Addition'!$O1030</f>
        <v>2.2528843444451283</v>
      </c>
      <c r="R1030" s="122"/>
      <c r="S1030" s="116">
        <f>IF(AND(DATE(20&amp;LEFT(FAAddition[[#This Row],[FY]],2),4,1)&lt;$L$1+1,DATE(20&amp;LEFT(FAAddition[[#This Row],[FY]],2),4,1)&gt;$P$1-1),'FA Addition'!$J1030,0)</f>
        <v>0</v>
      </c>
      <c r="U1030" s="117">
        <f>S1030*'FA Addition'!$L1030/'FA Addition'!$J1030</f>
        <v>0</v>
      </c>
      <c r="W1030" s="116">
        <f>SUMIFS('FA Write off'!D:D,'FA Write off'!A:A,'FA Addition'!$A1030,'FA Write off'!C:C,"&lt;"&amp;'FA Addition'!$P$1)</f>
        <v>0</v>
      </c>
      <c r="Y1030" s="191">
        <f>IFERROR(W1030/'FA Addition'!$J1030*'FA Addition'!$L1030,0)</f>
        <v>0</v>
      </c>
      <c r="AA1030" s="116">
        <f>SUMIFS('FA Write off'!D:D,'FA Write off'!A:A,'FA Addition'!$A1030,'FA Write off'!C:C,"&lt;"&amp;'FA Addition'!$L$1+1,'FA Write off'!C:C,"&gt;"&amp;'FA Addition'!$L$1-365)</f>
        <v>0</v>
      </c>
      <c r="AC1030" s="118">
        <f>IFERROR(AA1030/'FA Addition'!$J1030*'FA Addition'!$L1030,0)</f>
        <v>0</v>
      </c>
      <c r="AE1030" s="117">
        <f>IF(AND('FA Addition'!$D1030&lt;$P$1+1,U1030=0),'FA Addition'!$L1030,0)-Y1030</f>
        <v>0</v>
      </c>
      <c r="AF1030" s="117">
        <f t="shared" si="80"/>
        <v>0</v>
      </c>
      <c r="AG1030" s="117">
        <f>MIN(MAX(+$P$1-'FA Addition'!$D1030,0),365*'FA Addition'!$O1030)</f>
        <v>0</v>
      </c>
      <c r="AH1030" s="117">
        <f>MIN(MAX($L$1-'FA Addition'!$D1030+1,0),365*'FA Addition'!$O1030)</f>
        <v>0</v>
      </c>
      <c r="AI1030" s="117" cm="1">
        <f t="array" ref="AI1030">_xlfn.XLOOKUP(1,('FA Write off'!A:A='FA Addition'!$A1030)*('FA Write off'!D:D=AA1030),'FA Write off'!H:H,0,0)</f>
        <v>0</v>
      </c>
      <c r="AJ1030" s="117">
        <f>IF(AC1030&gt;0,MAX(IF('FA Addition'!$N1030="SLM",($AC1030-'FA Addition'!$M1030)*'FA Addition'!$P1030*AI1030/365,(AC1030-'FA Addition'!$M1030)*(1-(1-'FA Addition'!$P1030)^(AI1030/365))),0),0)</f>
        <v>0</v>
      </c>
      <c r="AL1030" s="117">
        <f>MAX(IF(AG1030&gt;0,IF('FA Addition'!$N1030="SLM",($AE1030-'FA Addition'!$M1030)*'FA Addition'!$P1030*AG1030/365,IFERROR(VDB(AE1030,AE1030*0.05,'FA Addition'!$O1030,0,YEARFRAC('FA Addition'!$C1030,$P$1-1,3),'FA Addition'!$Q1030),FAAddition[[#This Row],[Original Cost (Rs)]]-FAAddition[[#This Row],[Salvage Value]])),0),0)</f>
        <v>0</v>
      </c>
      <c r="AM1030" s="119"/>
      <c r="AN1030" s="117">
        <f>MAX(IF(AH1030&gt;0,IF('FA Addition'!$N1030="SLM",($AF1030-'FA Addition'!$M1030)*'FA Addition'!$P1030*AH1030/365,IFERROR(VDB(AF1030,AF1030*0.05,'FA Addition'!$O1030,0,YEARFRAC('FA Addition'!$C1030,$L$1,3),'FA Addition'!$Q1030),FAAddition[[#This Row],[Original Cost (Rs)]]-FAAddition[[#This Row],[Salvage Value]])),0),0)</f>
        <v>0</v>
      </c>
      <c r="AO1030" s="117">
        <f t="shared" si="83"/>
        <v>0</v>
      </c>
      <c r="AQ1030" s="117">
        <f t="shared" si="81"/>
        <v>0</v>
      </c>
      <c r="AR1030" s="120">
        <f t="shared" si="82"/>
        <v>0</v>
      </c>
      <c r="AS1030" s="121"/>
    </row>
    <row r="1031" spans="1:45" ht="13.5" x14ac:dyDescent="0.4">
      <c r="A1031" s="12">
        <f t="shared" si="84"/>
        <v>1028</v>
      </c>
      <c r="B1031" s="64" t="s">
        <v>1758</v>
      </c>
      <c r="C1031" s="54">
        <v>45408</v>
      </c>
      <c r="D1031" s="54">
        <v>45408</v>
      </c>
      <c r="E1031" s="46" t="s">
        <v>207</v>
      </c>
      <c r="F1031" s="51" t="s">
        <v>1372</v>
      </c>
      <c r="G1031" s="51" t="s">
        <v>1792</v>
      </c>
      <c r="H1031" s="51" t="s">
        <v>207</v>
      </c>
      <c r="I1031" s="55" t="s">
        <v>1793</v>
      </c>
      <c r="J1031" s="56">
        <v>1</v>
      </c>
      <c r="K1031" s="51" t="s">
        <v>1794</v>
      </c>
      <c r="L1031" s="58">
        <v>6524.58</v>
      </c>
      <c r="M1031" s="50">
        <f>ROUND('FA Addition'!$L1031*5%,0.1)</f>
        <v>326</v>
      </c>
      <c r="N1031" s="113" t="str">
        <f>_xlfn.XLOOKUP(_xlfn.CONCAT(E1031,B1031),'Year Wise Master Dep Approach'!F:F,'Year Wise Master Dep Approach'!D:D)</f>
        <v>WDV</v>
      </c>
      <c r="O1031" s="113">
        <f>_xlfn.XLOOKUP(_xlfn.CONCAT(E1031,B1031),'Year Wise Master Dep Approach'!F:F,'Year Wise Master Dep Approach'!E:E)</f>
        <v>5</v>
      </c>
      <c r="P1031" s="114">
        <f>IFERROR(IF('FA Addition'!$N1031="WDV",1-('FA Addition'!$M1031/'FA Addition'!$L1031)^(1/'FA Addition'!$O1031),1/'FA Addition'!$O1031),0)</f>
        <v>0.45079686466259838</v>
      </c>
      <c r="Q1031" s="122">
        <f>'FA Addition'!$P1031*'FA Addition'!$O1031</f>
        <v>2.2539843233129919</v>
      </c>
      <c r="R1031" s="122"/>
      <c r="S1031" s="116">
        <f>IF(AND(DATE(20&amp;LEFT(FAAddition[[#This Row],[FY]],2),4,1)&lt;$L$1+1,DATE(20&amp;LEFT(FAAddition[[#This Row],[FY]],2),4,1)&gt;$P$1-1),'FA Addition'!$J1031,0)</f>
        <v>0</v>
      </c>
      <c r="U1031" s="117">
        <f>S1031*'FA Addition'!$L1031/'FA Addition'!$J1031</f>
        <v>0</v>
      </c>
      <c r="W1031" s="116">
        <f>SUMIFS('FA Write off'!D:D,'FA Write off'!A:A,'FA Addition'!$A1031,'FA Write off'!C:C,"&lt;"&amp;'FA Addition'!$P$1)</f>
        <v>0</v>
      </c>
      <c r="Y1031" s="191">
        <f>IFERROR(W1031/'FA Addition'!$J1031*'FA Addition'!$L1031,0)</f>
        <v>0</v>
      </c>
      <c r="AA1031" s="116">
        <f>SUMIFS('FA Write off'!D:D,'FA Write off'!A:A,'FA Addition'!$A1031,'FA Write off'!C:C,"&lt;"&amp;'FA Addition'!$L$1+1,'FA Write off'!C:C,"&gt;"&amp;'FA Addition'!$L$1-365)</f>
        <v>0</v>
      </c>
      <c r="AC1031" s="118">
        <f>IFERROR(AA1031/'FA Addition'!$J1031*'FA Addition'!$L1031,0)</f>
        <v>0</v>
      </c>
      <c r="AE1031" s="117">
        <f>IF(AND('FA Addition'!$D1031&lt;$P$1+1,U1031=0),'FA Addition'!$L1031,0)-Y1031</f>
        <v>0</v>
      </c>
      <c r="AF1031" s="117">
        <f t="shared" si="80"/>
        <v>0</v>
      </c>
      <c r="AG1031" s="117">
        <f>MIN(MAX(+$P$1-'FA Addition'!$D1031,0),365*'FA Addition'!$O1031)</f>
        <v>0</v>
      </c>
      <c r="AH1031" s="117">
        <f>MIN(MAX($L$1-'FA Addition'!$D1031+1,0),365*'FA Addition'!$O1031)</f>
        <v>0</v>
      </c>
      <c r="AI1031" s="117" cm="1">
        <f t="array" ref="AI1031">_xlfn.XLOOKUP(1,('FA Write off'!A:A='FA Addition'!$A1031)*('FA Write off'!D:D=AA1031),'FA Write off'!H:H,0,0)</f>
        <v>0</v>
      </c>
      <c r="AJ1031" s="117">
        <f>IF(AC1031&gt;0,MAX(IF('FA Addition'!$N1031="SLM",($AC1031-'FA Addition'!$M1031)*'FA Addition'!$P1031*AI1031/365,(AC1031-'FA Addition'!$M1031)*(1-(1-'FA Addition'!$P1031)^(AI1031/365))),0),0)</f>
        <v>0</v>
      </c>
      <c r="AL1031" s="117">
        <f>MAX(IF(AG1031&gt;0,IF('FA Addition'!$N1031="SLM",($AE1031-'FA Addition'!$M1031)*'FA Addition'!$P1031*AG1031/365,IFERROR(VDB(AE1031,AE1031*0.05,'FA Addition'!$O1031,0,YEARFRAC('FA Addition'!$C1031,$P$1-1,3),'FA Addition'!$Q1031),FAAddition[[#This Row],[Original Cost (Rs)]]-FAAddition[[#This Row],[Salvage Value]])),0),0)</f>
        <v>0</v>
      </c>
      <c r="AM1031" s="119"/>
      <c r="AN1031" s="117">
        <f>MAX(IF(AH1031&gt;0,IF('FA Addition'!$N1031="SLM",($AF1031-'FA Addition'!$M1031)*'FA Addition'!$P1031*AH1031/365,IFERROR(VDB(AF1031,AF1031*0.05,'FA Addition'!$O1031,0,YEARFRAC('FA Addition'!$C1031,$L$1,3),'FA Addition'!$Q1031),FAAddition[[#This Row],[Original Cost (Rs)]]-FAAddition[[#This Row],[Salvage Value]])),0),0)</f>
        <v>0</v>
      </c>
      <c r="AO1031" s="117">
        <f t="shared" si="83"/>
        <v>0</v>
      </c>
      <c r="AQ1031" s="117">
        <f t="shared" si="81"/>
        <v>0</v>
      </c>
      <c r="AR1031" s="120">
        <f t="shared" si="82"/>
        <v>0</v>
      </c>
      <c r="AS1031" s="121"/>
    </row>
    <row r="1032" spans="1:45" ht="13.5" x14ac:dyDescent="0.4">
      <c r="A1032" s="12">
        <f t="shared" si="84"/>
        <v>1029</v>
      </c>
      <c r="B1032" s="64" t="s">
        <v>1758</v>
      </c>
      <c r="C1032" s="54">
        <v>45411</v>
      </c>
      <c r="D1032" s="54">
        <v>45412</v>
      </c>
      <c r="E1032" s="46" t="s">
        <v>749</v>
      </c>
      <c r="F1032" s="51" t="s">
        <v>74</v>
      </c>
      <c r="G1032" s="51" t="s">
        <v>1795</v>
      </c>
      <c r="H1032" s="51" t="s">
        <v>1796</v>
      </c>
      <c r="I1032" s="55" t="s">
        <v>1797</v>
      </c>
      <c r="J1032" s="56">
        <v>50</v>
      </c>
      <c r="K1032" s="51" t="s">
        <v>1798</v>
      </c>
      <c r="L1032" s="58">
        <v>194125</v>
      </c>
      <c r="M1032" s="50">
        <f>ROUND('FA Addition'!$L1032*5%,0.1)</f>
        <v>9706</v>
      </c>
      <c r="N1032" s="113" t="str">
        <f>_xlfn.XLOOKUP(_xlfn.CONCAT(E1032,B1032),'Year Wise Master Dep Approach'!F:F,'Year Wise Master Dep Approach'!D:D)</f>
        <v>WDV</v>
      </c>
      <c r="O1032" s="113">
        <f>_xlfn.XLOOKUP(_xlfn.CONCAT(E1032,B1032),'Year Wise Master Dep Approach'!F:F,'Year Wise Master Dep Approach'!E:E)</f>
        <v>5</v>
      </c>
      <c r="P1032" s="114">
        <f>IFERROR(IF('FA Addition'!$N1032="WDV",1-('FA Addition'!$M1032/'FA Addition'!$L1032)^(1/'FA Addition'!$O1032),1/'FA Addition'!$O1032),0)</f>
        <v>0.45072255789455618</v>
      </c>
      <c r="Q1032" s="122">
        <f>'FA Addition'!$P1032*'FA Addition'!$O1032</f>
        <v>2.2536127894727809</v>
      </c>
      <c r="R1032" s="122"/>
      <c r="S1032" s="116">
        <f>IF(AND(DATE(20&amp;LEFT(FAAddition[[#This Row],[FY]],2),4,1)&lt;$L$1+1,DATE(20&amp;LEFT(FAAddition[[#This Row],[FY]],2),4,1)&gt;$P$1-1),'FA Addition'!$J1032,0)</f>
        <v>0</v>
      </c>
      <c r="U1032" s="117">
        <f>S1032*'FA Addition'!$L1032/'FA Addition'!$J1032</f>
        <v>0</v>
      </c>
      <c r="W1032" s="116">
        <f>SUMIFS('FA Write off'!D:D,'FA Write off'!A:A,'FA Addition'!$A1032,'FA Write off'!C:C,"&lt;"&amp;'FA Addition'!$P$1)</f>
        <v>0</v>
      </c>
      <c r="Y1032" s="191">
        <f>IFERROR(W1032/'FA Addition'!$J1032*'FA Addition'!$L1032,0)</f>
        <v>0</v>
      </c>
      <c r="AA1032" s="116">
        <f>SUMIFS('FA Write off'!D:D,'FA Write off'!A:A,'FA Addition'!$A1032,'FA Write off'!C:C,"&lt;"&amp;'FA Addition'!$L$1+1,'FA Write off'!C:C,"&gt;"&amp;'FA Addition'!$L$1-365)</f>
        <v>0</v>
      </c>
      <c r="AC1032" s="118">
        <f>IFERROR(AA1032/'FA Addition'!$J1032*'FA Addition'!$L1032,0)</f>
        <v>0</v>
      </c>
      <c r="AE1032" s="117">
        <f>IF(AND('FA Addition'!$D1032&lt;$P$1+1,U1032=0),'FA Addition'!$L1032,0)-Y1032</f>
        <v>0</v>
      </c>
      <c r="AF1032" s="117">
        <f t="shared" si="80"/>
        <v>0</v>
      </c>
      <c r="AG1032" s="117">
        <f>MIN(MAX(+$P$1-'FA Addition'!$D1032,0),365*'FA Addition'!$O1032)</f>
        <v>0</v>
      </c>
      <c r="AH1032" s="117">
        <f>MIN(MAX($L$1-'FA Addition'!$D1032+1,0),365*'FA Addition'!$O1032)</f>
        <v>0</v>
      </c>
      <c r="AI1032" s="117" cm="1">
        <f t="array" ref="AI1032">_xlfn.XLOOKUP(1,('FA Write off'!A:A='FA Addition'!$A1032)*('FA Write off'!D:D=AA1032),'FA Write off'!H:H,0,0)</f>
        <v>0</v>
      </c>
      <c r="AJ1032" s="117">
        <f>IF(AC1032&gt;0,MAX(IF('FA Addition'!$N1032="SLM",($AC1032-'FA Addition'!$M1032)*'FA Addition'!$P1032*AI1032/365,(AC1032-'FA Addition'!$M1032)*(1-(1-'FA Addition'!$P1032)^(AI1032/365))),0),0)</f>
        <v>0</v>
      </c>
      <c r="AL1032" s="117">
        <f>MAX(IF(AG1032&gt;0,IF('FA Addition'!$N1032="SLM",($AE1032-'FA Addition'!$M1032)*'FA Addition'!$P1032*AG1032/365,IFERROR(VDB(AE1032,AE1032*0.05,'FA Addition'!$O1032,0,YEARFRAC('FA Addition'!$C1032,$P$1-1,3),'FA Addition'!$Q1032),FAAddition[[#This Row],[Original Cost (Rs)]]-FAAddition[[#This Row],[Salvage Value]])),0),0)</f>
        <v>0</v>
      </c>
      <c r="AM1032" s="119"/>
      <c r="AN1032" s="117">
        <f>MAX(IF(AH1032&gt;0,IF('FA Addition'!$N1032="SLM",($AF1032-'FA Addition'!$M1032)*'FA Addition'!$P1032*AH1032/365,IFERROR(VDB(AF1032,AF1032*0.05,'FA Addition'!$O1032,0,YEARFRAC('FA Addition'!$C1032,$L$1,3),'FA Addition'!$Q1032),FAAddition[[#This Row],[Original Cost (Rs)]]-FAAddition[[#This Row],[Salvage Value]])),0),0)</f>
        <v>0</v>
      </c>
      <c r="AO1032" s="117">
        <f t="shared" si="83"/>
        <v>0</v>
      </c>
      <c r="AQ1032" s="117">
        <f t="shared" si="81"/>
        <v>0</v>
      </c>
      <c r="AR1032" s="120">
        <f t="shared" si="82"/>
        <v>0</v>
      </c>
      <c r="AS1032" s="121"/>
    </row>
    <row r="1033" spans="1:45" ht="13.5" x14ac:dyDescent="0.4">
      <c r="A1033" s="12">
        <f t="shared" si="84"/>
        <v>1030</v>
      </c>
      <c r="B1033" s="64" t="s">
        <v>1758</v>
      </c>
      <c r="C1033" s="54">
        <v>45397</v>
      </c>
      <c r="D1033" s="54">
        <v>45412</v>
      </c>
      <c r="E1033" s="46" t="s">
        <v>749</v>
      </c>
      <c r="F1033" s="51" t="s">
        <v>74</v>
      </c>
      <c r="G1033" s="51" t="s">
        <v>1799</v>
      </c>
      <c r="H1033" s="51" t="s">
        <v>1800</v>
      </c>
      <c r="I1033" s="55" t="s">
        <v>1801</v>
      </c>
      <c r="J1033" s="56">
        <v>1</v>
      </c>
      <c r="K1033" s="51" t="s">
        <v>1802</v>
      </c>
      <c r="L1033" s="58">
        <v>12800</v>
      </c>
      <c r="M1033" s="50">
        <f>ROUND('FA Addition'!$L1033*5%,0.1)</f>
        <v>640</v>
      </c>
      <c r="N1033" s="113" t="str">
        <f>_xlfn.XLOOKUP(_xlfn.CONCAT(E1033,B1033),'Year Wise Master Dep Approach'!F:F,'Year Wise Master Dep Approach'!D:D)</f>
        <v>WDV</v>
      </c>
      <c r="O1033" s="113">
        <f>_xlfn.XLOOKUP(_xlfn.CONCAT(E1033,B1033),'Year Wise Master Dep Approach'!F:F,'Year Wise Master Dep Approach'!E:E)</f>
        <v>5</v>
      </c>
      <c r="P1033" s="114">
        <f>IFERROR(IF('FA Addition'!$N1033="WDV",1-('FA Addition'!$M1033/'FA Addition'!$L1033)^(1/'FA Addition'!$O1033),1/'FA Addition'!$O1033),0)</f>
        <v>0.45071972834694107</v>
      </c>
      <c r="Q1033" s="122">
        <f>'FA Addition'!$P1033*'FA Addition'!$O1033</f>
        <v>2.2535986417347056</v>
      </c>
      <c r="R1033" s="122"/>
      <c r="S1033" s="116">
        <f>IF(AND(DATE(20&amp;LEFT(FAAddition[[#This Row],[FY]],2),4,1)&lt;$L$1+1,DATE(20&amp;LEFT(FAAddition[[#This Row],[FY]],2),4,1)&gt;$P$1-1),'FA Addition'!$J1033,0)</f>
        <v>0</v>
      </c>
      <c r="U1033" s="117">
        <f>S1033*'FA Addition'!$L1033/'FA Addition'!$J1033</f>
        <v>0</v>
      </c>
      <c r="W1033" s="116">
        <f>SUMIFS('FA Write off'!D:D,'FA Write off'!A:A,'FA Addition'!$A1033,'FA Write off'!C:C,"&lt;"&amp;'FA Addition'!$P$1)</f>
        <v>0</v>
      </c>
      <c r="Y1033" s="191">
        <f>IFERROR(W1033/'FA Addition'!$J1033*'FA Addition'!$L1033,0)</f>
        <v>0</v>
      </c>
      <c r="AA1033" s="116">
        <f>SUMIFS('FA Write off'!D:D,'FA Write off'!A:A,'FA Addition'!$A1033,'FA Write off'!C:C,"&lt;"&amp;'FA Addition'!$L$1+1,'FA Write off'!C:C,"&gt;"&amp;'FA Addition'!$L$1-365)</f>
        <v>0</v>
      </c>
      <c r="AC1033" s="118">
        <f>IFERROR(AA1033/'FA Addition'!$J1033*'FA Addition'!$L1033,0)</f>
        <v>0</v>
      </c>
      <c r="AE1033" s="117">
        <f>IF(AND('FA Addition'!$D1033&lt;$P$1+1,U1033=0),'FA Addition'!$L1033,0)-Y1033</f>
        <v>0</v>
      </c>
      <c r="AF1033" s="117">
        <f t="shared" si="80"/>
        <v>0</v>
      </c>
      <c r="AG1033" s="117">
        <f>MIN(MAX(+$P$1-'FA Addition'!$D1033,0),365*'FA Addition'!$O1033)</f>
        <v>0</v>
      </c>
      <c r="AH1033" s="117">
        <f>MIN(MAX($L$1-'FA Addition'!$D1033+1,0),365*'FA Addition'!$O1033)</f>
        <v>0</v>
      </c>
      <c r="AI1033" s="117" cm="1">
        <f t="array" ref="AI1033">_xlfn.XLOOKUP(1,('FA Write off'!A:A='FA Addition'!$A1033)*('FA Write off'!D:D=AA1033),'FA Write off'!H:H,0,0)</f>
        <v>0</v>
      </c>
      <c r="AJ1033" s="117">
        <f>IF(AC1033&gt;0,MAX(IF('FA Addition'!$N1033="SLM",($AC1033-'FA Addition'!$M1033)*'FA Addition'!$P1033*AI1033/365,(AC1033-'FA Addition'!$M1033)*(1-(1-'FA Addition'!$P1033)^(AI1033/365))),0),0)</f>
        <v>0</v>
      </c>
      <c r="AL1033" s="117">
        <f>MAX(IF(AG1033&gt;0,IF('FA Addition'!$N1033="SLM",($AE1033-'FA Addition'!$M1033)*'FA Addition'!$P1033*AG1033/365,IFERROR(VDB(AE1033,AE1033*0.05,'FA Addition'!$O1033,0,YEARFRAC('FA Addition'!$C1033,$P$1-1,3),'FA Addition'!$Q1033),FAAddition[[#This Row],[Original Cost (Rs)]]-FAAddition[[#This Row],[Salvage Value]])),0),0)</f>
        <v>0</v>
      </c>
      <c r="AM1033" s="119"/>
      <c r="AN1033" s="117">
        <f>MAX(IF(AH1033&gt;0,IF('FA Addition'!$N1033="SLM",($AF1033-'FA Addition'!$M1033)*'FA Addition'!$P1033*AH1033/365,IFERROR(VDB(AF1033,AF1033*0.05,'FA Addition'!$O1033,0,YEARFRAC('FA Addition'!$C1033,$L$1,3),'FA Addition'!$Q1033),FAAddition[[#This Row],[Original Cost (Rs)]]-FAAddition[[#This Row],[Salvage Value]])),0),0)</f>
        <v>0</v>
      </c>
      <c r="AO1033" s="117">
        <f t="shared" si="83"/>
        <v>0</v>
      </c>
      <c r="AQ1033" s="117">
        <f t="shared" si="81"/>
        <v>0</v>
      </c>
      <c r="AR1033" s="120">
        <f t="shared" si="82"/>
        <v>0</v>
      </c>
      <c r="AS1033" s="121"/>
    </row>
    <row r="1034" spans="1:45" ht="13.5" x14ac:dyDescent="0.4">
      <c r="A1034" s="12">
        <f t="shared" si="84"/>
        <v>1031</v>
      </c>
      <c r="B1034" s="64" t="s">
        <v>1758</v>
      </c>
      <c r="C1034" s="54">
        <v>45412</v>
      </c>
      <c r="D1034" s="54">
        <v>45412</v>
      </c>
      <c r="E1034" s="46" t="s">
        <v>1320</v>
      </c>
      <c r="F1034" s="51" t="s">
        <v>33</v>
      </c>
      <c r="G1034" s="51" t="s">
        <v>36</v>
      </c>
      <c r="H1034" s="51" t="s">
        <v>32</v>
      </c>
      <c r="I1034" s="55" t="s">
        <v>1803</v>
      </c>
      <c r="J1034" s="56">
        <v>400</v>
      </c>
      <c r="K1034" s="51" t="s">
        <v>296</v>
      </c>
      <c r="L1034" s="58">
        <v>680000</v>
      </c>
      <c r="M1034" s="50">
        <f>ROUND('FA Addition'!$L1034*5%,0.1)</f>
        <v>34000</v>
      </c>
      <c r="N1034" s="113" t="str">
        <f>_xlfn.XLOOKUP(_xlfn.CONCAT(E1034,B1034),'Year Wise Master Dep Approach'!F:F,'Year Wise Master Dep Approach'!D:D)</f>
        <v>SLM</v>
      </c>
      <c r="O1034" s="113">
        <f>_xlfn.XLOOKUP(_xlfn.CONCAT(E1034,B1034),'Year Wise Master Dep Approach'!F:F,'Year Wise Master Dep Approach'!E:E)</f>
        <v>5</v>
      </c>
      <c r="P1034" s="114">
        <f>IFERROR(IF('FA Addition'!$N1034="WDV",1-('FA Addition'!$M1034/'FA Addition'!$L1034)^(1/'FA Addition'!$O1034),1/'FA Addition'!$O1034),0)</f>
        <v>0.2</v>
      </c>
      <c r="Q1034" s="122">
        <f>'FA Addition'!$P1034*'FA Addition'!$O1034</f>
        <v>1</v>
      </c>
      <c r="R1034" s="122"/>
      <c r="S1034" s="116">
        <f>IF(AND(DATE(20&amp;LEFT(FAAddition[[#This Row],[FY]],2),4,1)&lt;$L$1+1,DATE(20&amp;LEFT(FAAddition[[#This Row],[FY]],2),4,1)&gt;$P$1-1),'FA Addition'!$J1034,0)</f>
        <v>0</v>
      </c>
      <c r="U1034" s="117">
        <f>S1034*'FA Addition'!$L1034/'FA Addition'!$J1034</f>
        <v>0</v>
      </c>
      <c r="W1034" s="116">
        <f>SUMIFS('FA Write off'!D:D,'FA Write off'!A:A,'FA Addition'!$A1034,'FA Write off'!C:C,"&lt;"&amp;'FA Addition'!$P$1)</f>
        <v>0</v>
      </c>
      <c r="Y1034" s="191">
        <f>IFERROR(W1034/'FA Addition'!$J1034*'FA Addition'!$L1034,0)</f>
        <v>0</v>
      </c>
      <c r="AA1034" s="116">
        <f>SUMIFS('FA Write off'!D:D,'FA Write off'!A:A,'FA Addition'!$A1034,'FA Write off'!C:C,"&lt;"&amp;'FA Addition'!$L$1+1,'FA Write off'!C:C,"&gt;"&amp;'FA Addition'!$L$1-365)</f>
        <v>0</v>
      </c>
      <c r="AC1034" s="118">
        <f>IFERROR(AA1034/'FA Addition'!$J1034*'FA Addition'!$L1034,0)</f>
        <v>0</v>
      </c>
      <c r="AE1034" s="117">
        <f>IF(AND('FA Addition'!$D1034&lt;$P$1+1,U1034=0),'FA Addition'!$L1034,0)-Y1034</f>
        <v>0</v>
      </c>
      <c r="AF1034" s="117">
        <f t="shared" si="80"/>
        <v>0</v>
      </c>
      <c r="AG1034" s="117">
        <f>MIN(MAX(+$P$1-'FA Addition'!$D1034,0),365*'FA Addition'!$O1034)</f>
        <v>0</v>
      </c>
      <c r="AH1034" s="117">
        <f>MIN(MAX($L$1-'FA Addition'!$D1034+1,0),365*'FA Addition'!$O1034)</f>
        <v>0</v>
      </c>
      <c r="AI1034" s="117" cm="1">
        <f t="array" ref="AI1034">_xlfn.XLOOKUP(1,('FA Write off'!A:A='FA Addition'!$A1034)*('FA Write off'!D:D=AA1034),'FA Write off'!H:H,0,0)</f>
        <v>0</v>
      </c>
      <c r="AJ1034" s="117">
        <f>IF(AC1034&gt;0,MAX(IF('FA Addition'!$N1034="SLM",($AC1034-'FA Addition'!$M1034)*'FA Addition'!$P1034*AI1034/365,(AC1034-'FA Addition'!$M1034)*(1-(1-'FA Addition'!$P1034)^(AI1034/365))),0),0)</f>
        <v>0</v>
      </c>
      <c r="AL1034" s="117">
        <f>MAX(IF(AG1034&gt;0,IF('FA Addition'!$N1034="SLM",($AE1034-'FA Addition'!$M1034)*'FA Addition'!$P1034*AG1034/365,IFERROR(VDB(AE1034,AE1034*0.05,'FA Addition'!$O1034,0,YEARFRAC('FA Addition'!$C1034,$P$1-1,3),'FA Addition'!$Q1034),FAAddition[[#This Row],[Original Cost (Rs)]]-FAAddition[[#This Row],[Salvage Value]])),0),0)</f>
        <v>0</v>
      </c>
      <c r="AM1034" s="119"/>
      <c r="AN1034" s="117">
        <f>MAX(IF(AH1034&gt;0,IF('FA Addition'!$N1034="SLM",($AF1034-'FA Addition'!$M1034)*'FA Addition'!$P1034*AH1034/365,IFERROR(VDB(AF1034,AF1034*0.05,'FA Addition'!$O1034,0,YEARFRAC('FA Addition'!$C1034,$L$1,3),'FA Addition'!$Q1034),FAAddition[[#This Row],[Original Cost (Rs)]]-FAAddition[[#This Row],[Salvage Value]])),0),0)</f>
        <v>0</v>
      </c>
      <c r="AO1034" s="117">
        <f t="shared" si="83"/>
        <v>0</v>
      </c>
      <c r="AQ1034" s="117">
        <f t="shared" si="81"/>
        <v>0</v>
      </c>
      <c r="AR1034" s="120">
        <f t="shared" si="82"/>
        <v>0</v>
      </c>
      <c r="AS1034" s="121"/>
    </row>
    <row r="1035" spans="1:45" ht="13.5" x14ac:dyDescent="0.4">
      <c r="A1035" s="12">
        <f t="shared" si="84"/>
        <v>1032</v>
      </c>
      <c r="B1035" s="64" t="s">
        <v>1758</v>
      </c>
      <c r="C1035" s="54">
        <v>45413</v>
      </c>
      <c r="D1035" s="54">
        <v>45413</v>
      </c>
      <c r="E1035" s="46" t="s">
        <v>451</v>
      </c>
      <c r="F1035" s="51" t="s">
        <v>19</v>
      </c>
      <c r="G1035" s="51" t="s">
        <v>1728</v>
      </c>
      <c r="H1035" s="51" t="s">
        <v>21</v>
      </c>
      <c r="I1035" s="55" t="s">
        <v>1804</v>
      </c>
      <c r="J1035" s="56">
        <v>1</v>
      </c>
      <c r="K1035" s="51" t="s">
        <v>1805</v>
      </c>
      <c r="L1035" s="58">
        <v>60593</v>
      </c>
      <c r="M1035" s="50">
        <f>ROUND('FA Addition'!$L1035*5%,0.1)</f>
        <v>3030</v>
      </c>
      <c r="N1035" s="113" t="str">
        <f>_xlfn.XLOOKUP(_xlfn.CONCAT(E1035,B1035),'Year Wise Master Dep Approach'!F:F,'Year Wise Master Dep Approach'!D:D)</f>
        <v>WDV</v>
      </c>
      <c r="O1035" s="113">
        <f>_xlfn.XLOOKUP(_xlfn.CONCAT(E1035,B1035),'Year Wise Master Dep Approach'!F:F,'Year Wise Master Dep Approach'!E:E)</f>
        <v>3</v>
      </c>
      <c r="P1035" s="114">
        <f>IFERROR(IF('FA Addition'!$N1035="WDV",1-('FA Addition'!$M1035/'FA Addition'!$L1035)^(1/'FA Addition'!$O1035),1/'FA Addition'!$O1035),0)</f>
        <v>0.63158266410374986</v>
      </c>
      <c r="Q1035" s="122">
        <f>'FA Addition'!$P1035*'FA Addition'!$O1035</f>
        <v>1.8947479923112496</v>
      </c>
      <c r="R1035" s="122"/>
      <c r="S1035" s="116">
        <f>IF(AND(DATE(20&amp;LEFT(FAAddition[[#This Row],[FY]],2),4,1)&lt;$L$1+1,DATE(20&amp;LEFT(FAAddition[[#This Row],[FY]],2),4,1)&gt;$P$1-1),'FA Addition'!$J1035,0)</f>
        <v>0</v>
      </c>
      <c r="U1035" s="117">
        <f>S1035*'FA Addition'!$L1035/'FA Addition'!$J1035</f>
        <v>0</v>
      </c>
      <c r="W1035" s="116">
        <f>SUMIFS('FA Write off'!D:D,'FA Write off'!A:A,'FA Addition'!$A1035,'FA Write off'!C:C,"&lt;"&amp;'FA Addition'!$P$1)</f>
        <v>0</v>
      </c>
      <c r="Y1035" s="191">
        <f>IFERROR(W1035/'FA Addition'!$J1035*'FA Addition'!$L1035,0)</f>
        <v>0</v>
      </c>
      <c r="AA1035" s="116">
        <f>SUMIFS('FA Write off'!D:D,'FA Write off'!A:A,'FA Addition'!$A1035,'FA Write off'!C:C,"&lt;"&amp;'FA Addition'!$L$1+1,'FA Write off'!C:C,"&gt;"&amp;'FA Addition'!$L$1-365)</f>
        <v>0</v>
      </c>
      <c r="AC1035" s="118">
        <f>IFERROR(AA1035/'FA Addition'!$J1035*'FA Addition'!$L1035,0)</f>
        <v>0</v>
      </c>
      <c r="AE1035" s="117">
        <f>IF(AND('FA Addition'!$D1035&lt;$P$1+1,U1035=0),'FA Addition'!$L1035,0)-Y1035</f>
        <v>0</v>
      </c>
      <c r="AF1035" s="117">
        <f t="shared" si="80"/>
        <v>0</v>
      </c>
      <c r="AG1035" s="117">
        <f>MIN(MAX(+$P$1-'FA Addition'!$D1035,0),365*'FA Addition'!$O1035)</f>
        <v>0</v>
      </c>
      <c r="AH1035" s="117">
        <f>MIN(MAX($L$1-'FA Addition'!$D1035+1,0),365*'FA Addition'!$O1035)</f>
        <v>0</v>
      </c>
      <c r="AI1035" s="117" cm="1">
        <f t="array" ref="AI1035">_xlfn.XLOOKUP(1,('FA Write off'!A:A='FA Addition'!$A1035)*('FA Write off'!D:D=AA1035),'FA Write off'!H:H,0,0)</f>
        <v>0</v>
      </c>
      <c r="AJ1035" s="117">
        <f>IF(AC1035&gt;0,MAX(IF('FA Addition'!$N1035="SLM",($AC1035-'FA Addition'!$M1035)*'FA Addition'!$P1035*AI1035/365,(AC1035-'FA Addition'!$M1035)*(1-(1-'FA Addition'!$P1035)^(AI1035/365))),0),0)</f>
        <v>0</v>
      </c>
      <c r="AL1035" s="117">
        <f>MAX(IF(AG1035&gt;0,IF('FA Addition'!$N1035="SLM",($AE1035-'FA Addition'!$M1035)*'FA Addition'!$P1035*AG1035/365,IFERROR(VDB(AE1035,AE1035*0.05,'FA Addition'!$O1035,0,YEARFRAC('FA Addition'!$C1035,$P$1-1,3),'FA Addition'!$Q1035),FAAddition[[#This Row],[Original Cost (Rs)]]-FAAddition[[#This Row],[Salvage Value]])),0),0)</f>
        <v>0</v>
      </c>
      <c r="AM1035" s="119"/>
      <c r="AN1035" s="117">
        <f>MAX(IF(AH1035&gt;0,IF('FA Addition'!$N1035="SLM",($AF1035-'FA Addition'!$M1035)*'FA Addition'!$P1035*AH1035/365,IFERROR(VDB(AF1035,AF1035*0.05,'FA Addition'!$O1035,0,YEARFRAC('FA Addition'!$C1035,$L$1,3),'FA Addition'!$Q1035),FAAddition[[#This Row],[Original Cost (Rs)]]-FAAddition[[#This Row],[Salvage Value]])),0),0)</f>
        <v>0</v>
      </c>
      <c r="AO1035" s="117">
        <f t="shared" si="83"/>
        <v>0</v>
      </c>
      <c r="AQ1035" s="117">
        <f t="shared" si="81"/>
        <v>0</v>
      </c>
      <c r="AR1035" s="120">
        <f t="shared" si="82"/>
        <v>0</v>
      </c>
      <c r="AS1035" s="121"/>
    </row>
    <row r="1036" spans="1:45" ht="13.5" x14ac:dyDescent="0.4">
      <c r="A1036" s="12">
        <f t="shared" si="84"/>
        <v>1033</v>
      </c>
      <c r="B1036" s="64" t="s">
        <v>1758</v>
      </c>
      <c r="C1036" s="54">
        <v>45413</v>
      </c>
      <c r="D1036" s="54">
        <v>45413</v>
      </c>
      <c r="E1036" s="46" t="s">
        <v>451</v>
      </c>
      <c r="F1036" s="51" t="s">
        <v>19</v>
      </c>
      <c r="G1036" s="51" t="s">
        <v>1728</v>
      </c>
      <c r="H1036" s="51" t="s">
        <v>21</v>
      </c>
      <c r="I1036" s="55" t="s">
        <v>1804</v>
      </c>
      <c r="J1036" s="56">
        <v>1</v>
      </c>
      <c r="K1036" s="51" t="s">
        <v>1805</v>
      </c>
      <c r="L1036" s="58">
        <v>60593</v>
      </c>
      <c r="M1036" s="50">
        <f>ROUND('FA Addition'!$L1036*5%,0.1)</f>
        <v>3030</v>
      </c>
      <c r="N1036" s="113" t="str">
        <f>_xlfn.XLOOKUP(_xlfn.CONCAT(E1036,B1036),'Year Wise Master Dep Approach'!F:F,'Year Wise Master Dep Approach'!D:D)</f>
        <v>WDV</v>
      </c>
      <c r="O1036" s="113">
        <f>_xlfn.XLOOKUP(_xlfn.CONCAT(E1036,B1036),'Year Wise Master Dep Approach'!F:F,'Year Wise Master Dep Approach'!E:E)</f>
        <v>3</v>
      </c>
      <c r="P1036" s="114">
        <f>IFERROR(IF('FA Addition'!$N1036="WDV",1-('FA Addition'!$M1036/'FA Addition'!$L1036)^(1/'FA Addition'!$O1036),1/'FA Addition'!$O1036),0)</f>
        <v>0.63158266410374986</v>
      </c>
      <c r="Q1036" s="122">
        <f>'FA Addition'!$P1036*'FA Addition'!$O1036</f>
        <v>1.8947479923112496</v>
      </c>
      <c r="R1036" s="122"/>
      <c r="S1036" s="116">
        <f>IF(AND(DATE(20&amp;LEFT(FAAddition[[#This Row],[FY]],2),4,1)&lt;$L$1+1,DATE(20&amp;LEFT(FAAddition[[#This Row],[FY]],2),4,1)&gt;$P$1-1),'FA Addition'!$J1036,0)</f>
        <v>0</v>
      </c>
      <c r="U1036" s="117">
        <f>S1036*'FA Addition'!$L1036/'FA Addition'!$J1036</f>
        <v>0</v>
      </c>
      <c r="W1036" s="116">
        <f>SUMIFS('FA Write off'!D:D,'FA Write off'!A:A,'FA Addition'!$A1036,'FA Write off'!C:C,"&lt;"&amp;'FA Addition'!$P$1)</f>
        <v>0</v>
      </c>
      <c r="Y1036" s="191">
        <f>IFERROR(W1036/'FA Addition'!$J1036*'FA Addition'!$L1036,0)</f>
        <v>0</v>
      </c>
      <c r="AA1036" s="116">
        <f>SUMIFS('FA Write off'!D:D,'FA Write off'!A:A,'FA Addition'!$A1036,'FA Write off'!C:C,"&lt;"&amp;'FA Addition'!$L$1+1,'FA Write off'!C:C,"&gt;"&amp;'FA Addition'!$L$1-365)</f>
        <v>0</v>
      </c>
      <c r="AC1036" s="118">
        <f>IFERROR(AA1036/'FA Addition'!$J1036*'FA Addition'!$L1036,0)</f>
        <v>0</v>
      </c>
      <c r="AE1036" s="117">
        <f>IF(AND('FA Addition'!$D1036&lt;$P$1+1,U1036=0),'FA Addition'!$L1036,0)-Y1036</f>
        <v>0</v>
      </c>
      <c r="AF1036" s="117">
        <f t="shared" si="80"/>
        <v>0</v>
      </c>
      <c r="AG1036" s="117">
        <f>MIN(MAX(+$P$1-'FA Addition'!$D1036,0),365*'FA Addition'!$O1036)</f>
        <v>0</v>
      </c>
      <c r="AH1036" s="117">
        <f>MIN(MAX($L$1-'FA Addition'!$D1036+1,0),365*'FA Addition'!$O1036)</f>
        <v>0</v>
      </c>
      <c r="AI1036" s="117" cm="1">
        <f t="array" ref="AI1036">_xlfn.XLOOKUP(1,('FA Write off'!A:A='FA Addition'!$A1036)*('FA Write off'!D:D=AA1036),'FA Write off'!H:H,0,0)</f>
        <v>0</v>
      </c>
      <c r="AJ1036" s="117">
        <f>IF(AC1036&gt;0,MAX(IF('FA Addition'!$N1036="SLM",($AC1036-'FA Addition'!$M1036)*'FA Addition'!$P1036*AI1036/365,(AC1036-'FA Addition'!$M1036)*(1-(1-'FA Addition'!$P1036)^(AI1036/365))),0),0)</f>
        <v>0</v>
      </c>
      <c r="AL1036" s="117">
        <f>MAX(IF(AG1036&gt;0,IF('FA Addition'!$N1036="SLM",($AE1036-'FA Addition'!$M1036)*'FA Addition'!$P1036*AG1036/365,IFERROR(VDB(AE1036,AE1036*0.05,'FA Addition'!$O1036,0,YEARFRAC('FA Addition'!$C1036,$P$1-1,3),'FA Addition'!$Q1036),FAAddition[[#This Row],[Original Cost (Rs)]]-FAAddition[[#This Row],[Salvage Value]])),0),0)</f>
        <v>0</v>
      </c>
      <c r="AM1036" s="119"/>
      <c r="AN1036" s="117">
        <f>MAX(IF(AH1036&gt;0,IF('FA Addition'!$N1036="SLM",($AF1036-'FA Addition'!$M1036)*'FA Addition'!$P1036*AH1036/365,IFERROR(VDB(AF1036,AF1036*0.05,'FA Addition'!$O1036,0,YEARFRAC('FA Addition'!$C1036,$L$1,3),'FA Addition'!$Q1036),FAAddition[[#This Row],[Original Cost (Rs)]]-FAAddition[[#This Row],[Salvage Value]])),0),0)</f>
        <v>0</v>
      </c>
      <c r="AO1036" s="117">
        <f t="shared" si="83"/>
        <v>0</v>
      </c>
      <c r="AQ1036" s="117">
        <f t="shared" si="81"/>
        <v>0</v>
      </c>
      <c r="AR1036" s="120">
        <f t="shared" si="82"/>
        <v>0</v>
      </c>
      <c r="AS1036" s="121"/>
    </row>
    <row r="1037" spans="1:45" ht="13.5" x14ac:dyDescent="0.4">
      <c r="A1037" s="12">
        <f t="shared" si="84"/>
        <v>1034</v>
      </c>
      <c r="B1037" s="64" t="s">
        <v>1758</v>
      </c>
      <c r="C1037" s="54">
        <v>45413</v>
      </c>
      <c r="D1037" s="54">
        <v>45413</v>
      </c>
      <c r="E1037" s="46" t="s">
        <v>451</v>
      </c>
      <c r="F1037" s="51" t="s">
        <v>19</v>
      </c>
      <c r="G1037" s="51" t="s">
        <v>1728</v>
      </c>
      <c r="H1037" s="51" t="s">
        <v>21</v>
      </c>
      <c r="I1037" s="55" t="s">
        <v>1804</v>
      </c>
      <c r="J1037" s="56">
        <v>1</v>
      </c>
      <c r="K1037" s="51" t="s">
        <v>1806</v>
      </c>
      <c r="L1037" s="58">
        <v>51000</v>
      </c>
      <c r="M1037" s="50">
        <f>ROUND('FA Addition'!$L1037*5%,0.1)</f>
        <v>2550</v>
      </c>
      <c r="N1037" s="113" t="str">
        <f>_xlfn.XLOOKUP(_xlfn.CONCAT(E1037,B1037),'Year Wise Master Dep Approach'!F:F,'Year Wise Master Dep Approach'!D:D)</f>
        <v>WDV</v>
      </c>
      <c r="O1037" s="113">
        <f>_xlfn.XLOOKUP(_xlfn.CONCAT(E1037,B1037),'Year Wise Master Dep Approach'!F:F,'Year Wise Master Dep Approach'!E:E)</f>
        <v>3</v>
      </c>
      <c r="P1037" s="114">
        <f>IFERROR(IF('FA Addition'!$N1037="WDV",1-('FA Addition'!$M1037/'FA Addition'!$L1037)^(1/'FA Addition'!$O1037),1/'FA Addition'!$O1037),0)</f>
        <v>0.63159685013596123</v>
      </c>
      <c r="Q1037" s="122">
        <f>'FA Addition'!$P1037*'FA Addition'!$O1037</f>
        <v>1.8947905504078837</v>
      </c>
      <c r="R1037" s="122"/>
      <c r="S1037" s="116">
        <f>IF(AND(DATE(20&amp;LEFT(FAAddition[[#This Row],[FY]],2),4,1)&lt;$L$1+1,DATE(20&amp;LEFT(FAAddition[[#This Row],[FY]],2),4,1)&gt;$P$1-1),'FA Addition'!$J1037,0)</f>
        <v>0</v>
      </c>
      <c r="U1037" s="117">
        <f>S1037*'FA Addition'!$L1037/'FA Addition'!$J1037</f>
        <v>0</v>
      </c>
      <c r="W1037" s="116">
        <f>SUMIFS('FA Write off'!D:D,'FA Write off'!A:A,'FA Addition'!$A1037,'FA Write off'!C:C,"&lt;"&amp;'FA Addition'!$P$1)</f>
        <v>0</v>
      </c>
      <c r="Y1037" s="191">
        <f>IFERROR(W1037/'FA Addition'!$J1037*'FA Addition'!$L1037,0)</f>
        <v>0</v>
      </c>
      <c r="AA1037" s="116">
        <f>SUMIFS('FA Write off'!D:D,'FA Write off'!A:A,'FA Addition'!$A1037,'FA Write off'!C:C,"&lt;"&amp;'FA Addition'!$L$1+1,'FA Write off'!C:C,"&gt;"&amp;'FA Addition'!$L$1-365)</f>
        <v>0</v>
      </c>
      <c r="AC1037" s="118">
        <f>IFERROR(AA1037/'FA Addition'!$J1037*'FA Addition'!$L1037,0)</f>
        <v>0</v>
      </c>
      <c r="AE1037" s="117">
        <f>IF(AND('FA Addition'!$D1037&lt;$P$1+1,U1037=0),'FA Addition'!$L1037,0)-Y1037</f>
        <v>0</v>
      </c>
      <c r="AF1037" s="117">
        <f t="shared" si="80"/>
        <v>0</v>
      </c>
      <c r="AG1037" s="117">
        <f>MIN(MAX(+$P$1-'FA Addition'!$D1037,0),365*'FA Addition'!$O1037)</f>
        <v>0</v>
      </c>
      <c r="AH1037" s="117">
        <f>MIN(MAX($L$1-'FA Addition'!$D1037+1,0),365*'FA Addition'!$O1037)</f>
        <v>0</v>
      </c>
      <c r="AI1037" s="117" cm="1">
        <f t="array" ref="AI1037">_xlfn.XLOOKUP(1,('FA Write off'!A:A='FA Addition'!$A1037)*('FA Write off'!D:D=AA1037),'FA Write off'!H:H,0,0)</f>
        <v>0</v>
      </c>
      <c r="AJ1037" s="117">
        <f>IF(AC1037&gt;0,MAX(IF('FA Addition'!$N1037="SLM",($AC1037-'FA Addition'!$M1037)*'FA Addition'!$P1037*AI1037/365,(AC1037-'FA Addition'!$M1037)*(1-(1-'FA Addition'!$P1037)^(AI1037/365))),0),0)</f>
        <v>0</v>
      </c>
      <c r="AL1037" s="117">
        <f>MAX(IF(AG1037&gt;0,IF('FA Addition'!$N1037="SLM",($AE1037-'FA Addition'!$M1037)*'FA Addition'!$P1037*AG1037/365,IFERROR(VDB(AE1037,AE1037*0.05,'FA Addition'!$O1037,0,YEARFRAC('FA Addition'!$C1037,$P$1-1,3),'FA Addition'!$Q1037),FAAddition[[#This Row],[Original Cost (Rs)]]-FAAddition[[#This Row],[Salvage Value]])),0),0)</f>
        <v>0</v>
      </c>
      <c r="AM1037" s="119"/>
      <c r="AN1037" s="117">
        <f>MAX(IF(AH1037&gt;0,IF('FA Addition'!$N1037="SLM",($AF1037-'FA Addition'!$M1037)*'FA Addition'!$P1037*AH1037/365,IFERROR(VDB(AF1037,AF1037*0.05,'FA Addition'!$O1037,0,YEARFRAC('FA Addition'!$C1037,$L$1,3),'FA Addition'!$Q1037),FAAddition[[#This Row],[Original Cost (Rs)]]-FAAddition[[#This Row],[Salvage Value]])),0),0)</f>
        <v>0</v>
      </c>
      <c r="AO1037" s="117">
        <f t="shared" si="83"/>
        <v>0</v>
      </c>
      <c r="AQ1037" s="117">
        <f t="shared" si="81"/>
        <v>0</v>
      </c>
      <c r="AR1037" s="120">
        <f t="shared" si="82"/>
        <v>0</v>
      </c>
      <c r="AS1037" s="121"/>
    </row>
    <row r="1038" spans="1:45" ht="13.5" x14ac:dyDescent="0.4">
      <c r="A1038" s="12">
        <f t="shared" si="84"/>
        <v>1035</v>
      </c>
      <c r="B1038" s="64" t="s">
        <v>1758</v>
      </c>
      <c r="C1038" s="54">
        <v>45413</v>
      </c>
      <c r="D1038" s="54">
        <v>45413</v>
      </c>
      <c r="E1038" s="46" t="s">
        <v>451</v>
      </c>
      <c r="F1038" s="51" t="s">
        <v>19</v>
      </c>
      <c r="G1038" s="51" t="s">
        <v>1728</v>
      </c>
      <c r="H1038" s="51" t="s">
        <v>21</v>
      </c>
      <c r="I1038" s="55" t="s">
        <v>1804</v>
      </c>
      <c r="J1038" s="56">
        <v>1</v>
      </c>
      <c r="K1038" s="51" t="s">
        <v>1806</v>
      </c>
      <c r="L1038" s="58">
        <v>51000</v>
      </c>
      <c r="M1038" s="50">
        <f>ROUND('FA Addition'!$L1038*5%,0.1)</f>
        <v>2550</v>
      </c>
      <c r="N1038" s="113" t="str">
        <f>_xlfn.XLOOKUP(_xlfn.CONCAT(E1038,B1038),'Year Wise Master Dep Approach'!F:F,'Year Wise Master Dep Approach'!D:D)</f>
        <v>WDV</v>
      </c>
      <c r="O1038" s="113">
        <f>_xlfn.XLOOKUP(_xlfn.CONCAT(E1038,B1038),'Year Wise Master Dep Approach'!F:F,'Year Wise Master Dep Approach'!E:E)</f>
        <v>3</v>
      </c>
      <c r="P1038" s="114">
        <f>IFERROR(IF('FA Addition'!$N1038="WDV",1-('FA Addition'!$M1038/'FA Addition'!$L1038)^(1/'FA Addition'!$O1038),1/'FA Addition'!$O1038),0)</f>
        <v>0.63159685013596123</v>
      </c>
      <c r="Q1038" s="122">
        <f>'FA Addition'!$P1038*'FA Addition'!$O1038</f>
        <v>1.8947905504078837</v>
      </c>
      <c r="R1038" s="122"/>
      <c r="S1038" s="116">
        <f>IF(AND(DATE(20&amp;LEFT(FAAddition[[#This Row],[FY]],2),4,1)&lt;$L$1+1,DATE(20&amp;LEFT(FAAddition[[#This Row],[FY]],2),4,1)&gt;$P$1-1),'FA Addition'!$J1038,0)</f>
        <v>0</v>
      </c>
      <c r="U1038" s="117">
        <f>S1038*'FA Addition'!$L1038/'FA Addition'!$J1038</f>
        <v>0</v>
      </c>
      <c r="W1038" s="116">
        <f>SUMIFS('FA Write off'!D:D,'FA Write off'!A:A,'FA Addition'!$A1038,'FA Write off'!C:C,"&lt;"&amp;'FA Addition'!$P$1)</f>
        <v>0</v>
      </c>
      <c r="Y1038" s="191">
        <f>IFERROR(W1038/'FA Addition'!$J1038*'FA Addition'!$L1038,0)</f>
        <v>0</v>
      </c>
      <c r="AA1038" s="116">
        <f>SUMIFS('FA Write off'!D:D,'FA Write off'!A:A,'FA Addition'!$A1038,'FA Write off'!C:C,"&lt;"&amp;'FA Addition'!$L$1+1,'FA Write off'!C:C,"&gt;"&amp;'FA Addition'!$L$1-365)</f>
        <v>0</v>
      </c>
      <c r="AC1038" s="118">
        <f>IFERROR(AA1038/'FA Addition'!$J1038*'FA Addition'!$L1038,0)</f>
        <v>0</v>
      </c>
      <c r="AE1038" s="117">
        <f>IF(AND('FA Addition'!$D1038&lt;$P$1+1,U1038=0),'FA Addition'!$L1038,0)-Y1038</f>
        <v>0</v>
      </c>
      <c r="AF1038" s="117">
        <f t="shared" si="80"/>
        <v>0</v>
      </c>
      <c r="AG1038" s="117">
        <f>MIN(MAX(+$P$1-'FA Addition'!$D1038,0),365*'FA Addition'!$O1038)</f>
        <v>0</v>
      </c>
      <c r="AH1038" s="117">
        <f>MIN(MAX($L$1-'FA Addition'!$D1038+1,0),365*'FA Addition'!$O1038)</f>
        <v>0</v>
      </c>
      <c r="AI1038" s="117" cm="1">
        <f t="array" ref="AI1038">_xlfn.XLOOKUP(1,('FA Write off'!A:A='FA Addition'!$A1038)*('FA Write off'!D:D=AA1038),'FA Write off'!H:H,0,0)</f>
        <v>0</v>
      </c>
      <c r="AJ1038" s="117">
        <f>IF(AC1038&gt;0,MAX(IF('FA Addition'!$N1038="SLM",($AC1038-'FA Addition'!$M1038)*'FA Addition'!$P1038*AI1038/365,(AC1038-'FA Addition'!$M1038)*(1-(1-'FA Addition'!$P1038)^(AI1038/365))),0),0)</f>
        <v>0</v>
      </c>
      <c r="AL1038" s="117">
        <f>MAX(IF(AG1038&gt;0,IF('FA Addition'!$N1038="SLM",($AE1038-'FA Addition'!$M1038)*'FA Addition'!$P1038*AG1038/365,IFERROR(VDB(AE1038,AE1038*0.05,'FA Addition'!$O1038,0,YEARFRAC('FA Addition'!$C1038,$P$1-1,3),'FA Addition'!$Q1038),FAAddition[[#This Row],[Original Cost (Rs)]]-FAAddition[[#This Row],[Salvage Value]])),0),0)</f>
        <v>0</v>
      </c>
      <c r="AM1038" s="119"/>
      <c r="AN1038" s="117">
        <f>MAX(IF(AH1038&gt;0,IF('FA Addition'!$N1038="SLM",($AF1038-'FA Addition'!$M1038)*'FA Addition'!$P1038*AH1038/365,IFERROR(VDB(AF1038,AF1038*0.05,'FA Addition'!$O1038,0,YEARFRAC('FA Addition'!$C1038,$L$1,3),'FA Addition'!$Q1038),FAAddition[[#This Row],[Original Cost (Rs)]]-FAAddition[[#This Row],[Salvage Value]])),0),0)</f>
        <v>0</v>
      </c>
      <c r="AO1038" s="117">
        <f t="shared" si="83"/>
        <v>0</v>
      </c>
      <c r="AQ1038" s="117">
        <f t="shared" si="81"/>
        <v>0</v>
      </c>
      <c r="AR1038" s="120">
        <f t="shared" si="82"/>
        <v>0</v>
      </c>
      <c r="AS1038" s="121"/>
    </row>
    <row r="1039" spans="1:45" ht="13.5" x14ac:dyDescent="0.4">
      <c r="A1039" s="12">
        <f t="shared" si="84"/>
        <v>1036</v>
      </c>
      <c r="B1039" s="64" t="s">
        <v>1758</v>
      </c>
      <c r="C1039" s="54">
        <v>45413</v>
      </c>
      <c r="D1039" s="54">
        <v>45413</v>
      </c>
      <c r="E1039" s="46" t="s">
        <v>451</v>
      </c>
      <c r="F1039" s="51" t="s">
        <v>19</v>
      </c>
      <c r="G1039" s="51" t="s">
        <v>1728</v>
      </c>
      <c r="H1039" s="51" t="s">
        <v>21</v>
      </c>
      <c r="I1039" s="55" t="s">
        <v>1804</v>
      </c>
      <c r="J1039" s="56">
        <v>1</v>
      </c>
      <c r="K1039" s="51" t="s">
        <v>1807</v>
      </c>
      <c r="L1039" s="58">
        <v>34890</v>
      </c>
      <c r="M1039" s="50">
        <f>ROUND('FA Addition'!$L1039*5%,0.1)</f>
        <v>1745</v>
      </c>
      <c r="N1039" s="113" t="str">
        <f>_xlfn.XLOOKUP(_xlfn.CONCAT(E1039,B1039),'Year Wise Master Dep Approach'!F:F,'Year Wise Master Dep Approach'!D:D)</f>
        <v>WDV</v>
      </c>
      <c r="O1039" s="113">
        <f>_xlfn.XLOOKUP(_xlfn.CONCAT(E1039,B1039),'Year Wise Master Dep Approach'!F:F,'Year Wise Master Dep Approach'!E:E)</f>
        <v>3</v>
      </c>
      <c r="P1039" s="114">
        <f>IFERROR(IF('FA Addition'!$N1039="WDV",1-('FA Addition'!$M1039/'FA Addition'!$L1039)^(1/'FA Addition'!$O1039),1/'FA Addition'!$O1039),0)</f>
        <v>0.63156165686579468</v>
      </c>
      <c r="Q1039" s="122">
        <f>'FA Addition'!$P1039*'FA Addition'!$O1039</f>
        <v>1.8946849705973841</v>
      </c>
      <c r="R1039" s="122"/>
      <c r="S1039" s="116">
        <f>IF(AND(DATE(20&amp;LEFT(FAAddition[[#This Row],[FY]],2),4,1)&lt;$L$1+1,DATE(20&amp;LEFT(FAAddition[[#This Row],[FY]],2),4,1)&gt;$P$1-1),'FA Addition'!$J1039,0)</f>
        <v>0</v>
      </c>
      <c r="U1039" s="117">
        <f>S1039*'FA Addition'!$L1039/'FA Addition'!$J1039</f>
        <v>0</v>
      </c>
      <c r="W1039" s="116">
        <f>SUMIFS('FA Write off'!D:D,'FA Write off'!A:A,'FA Addition'!$A1039,'FA Write off'!C:C,"&lt;"&amp;'FA Addition'!$P$1)</f>
        <v>0</v>
      </c>
      <c r="Y1039" s="191">
        <f>IFERROR(W1039/'FA Addition'!$J1039*'FA Addition'!$L1039,0)</f>
        <v>0</v>
      </c>
      <c r="AA1039" s="116">
        <f>SUMIFS('FA Write off'!D:D,'FA Write off'!A:A,'FA Addition'!$A1039,'FA Write off'!C:C,"&lt;"&amp;'FA Addition'!$L$1+1,'FA Write off'!C:C,"&gt;"&amp;'FA Addition'!$L$1-365)</f>
        <v>0</v>
      </c>
      <c r="AC1039" s="118">
        <f>IFERROR(AA1039/'FA Addition'!$J1039*'FA Addition'!$L1039,0)</f>
        <v>0</v>
      </c>
      <c r="AE1039" s="117">
        <f>IF(AND('FA Addition'!$D1039&lt;$P$1+1,U1039=0),'FA Addition'!$L1039,0)-Y1039</f>
        <v>0</v>
      </c>
      <c r="AF1039" s="117">
        <f t="shared" si="80"/>
        <v>0</v>
      </c>
      <c r="AG1039" s="117">
        <f>MIN(MAX(+$P$1-'FA Addition'!$D1039,0),365*'FA Addition'!$O1039)</f>
        <v>0</v>
      </c>
      <c r="AH1039" s="117">
        <f>MIN(MAX($L$1-'FA Addition'!$D1039+1,0),365*'FA Addition'!$O1039)</f>
        <v>0</v>
      </c>
      <c r="AI1039" s="117" cm="1">
        <f t="array" ref="AI1039">_xlfn.XLOOKUP(1,('FA Write off'!A:A='FA Addition'!$A1039)*('FA Write off'!D:D=AA1039),'FA Write off'!H:H,0,0)</f>
        <v>0</v>
      </c>
      <c r="AJ1039" s="117">
        <f>IF(AC1039&gt;0,MAX(IF('FA Addition'!$N1039="SLM",($AC1039-'FA Addition'!$M1039)*'FA Addition'!$P1039*AI1039/365,(AC1039-'FA Addition'!$M1039)*(1-(1-'FA Addition'!$P1039)^(AI1039/365))),0),0)</f>
        <v>0</v>
      </c>
      <c r="AL1039" s="117">
        <f>MAX(IF(AG1039&gt;0,IF('FA Addition'!$N1039="SLM",($AE1039-'FA Addition'!$M1039)*'FA Addition'!$P1039*AG1039/365,IFERROR(VDB(AE1039,AE1039*0.05,'FA Addition'!$O1039,0,YEARFRAC('FA Addition'!$C1039,$P$1-1,3),'FA Addition'!$Q1039),FAAddition[[#This Row],[Original Cost (Rs)]]-FAAddition[[#This Row],[Salvage Value]])),0),0)</f>
        <v>0</v>
      </c>
      <c r="AM1039" s="119"/>
      <c r="AN1039" s="117">
        <f>MAX(IF(AH1039&gt;0,IF('FA Addition'!$N1039="SLM",($AF1039-'FA Addition'!$M1039)*'FA Addition'!$P1039*AH1039/365,IFERROR(VDB(AF1039,AF1039*0.05,'FA Addition'!$O1039,0,YEARFRAC('FA Addition'!$C1039,$L$1,3),'FA Addition'!$Q1039),FAAddition[[#This Row],[Original Cost (Rs)]]-FAAddition[[#This Row],[Salvage Value]])),0),0)</f>
        <v>0</v>
      </c>
      <c r="AO1039" s="117">
        <f t="shared" si="83"/>
        <v>0</v>
      </c>
      <c r="AQ1039" s="117">
        <f t="shared" si="81"/>
        <v>0</v>
      </c>
      <c r="AR1039" s="120">
        <f t="shared" si="82"/>
        <v>0</v>
      </c>
      <c r="AS1039" s="121"/>
    </row>
    <row r="1040" spans="1:45" ht="13.5" x14ac:dyDescent="0.4">
      <c r="A1040" s="12">
        <f t="shared" si="84"/>
        <v>1037</v>
      </c>
      <c r="B1040" s="64" t="s">
        <v>1758</v>
      </c>
      <c r="C1040" s="54">
        <v>45413</v>
      </c>
      <c r="D1040" s="54">
        <v>45413</v>
      </c>
      <c r="E1040" s="46" t="s">
        <v>451</v>
      </c>
      <c r="F1040" s="51" t="s">
        <v>19</v>
      </c>
      <c r="G1040" s="51" t="s">
        <v>1728</v>
      </c>
      <c r="H1040" s="51" t="s">
        <v>21</v>
      </c>
      <c r="I1040" s="55" t="s">
        <v>1804</v>
      </c>
      <c r="J1040" s="56">
        <v>1</v>
      </c>
      <c r="K1040" s="51" t="s">
        <v>1807</v>
      </c>
      <c r="L1040" s="58">
        <v>34890</v>
      </c>
      <c r="M1040" s="50">
        <f>ROUND('FA Addition'!$L1040*5%,0.1)</f>
        <v>1745</v>
      </c>
      <c r="N1040" s="113" t="str">
        <f>_xlfn.XLOOKUP(_xlfn.CONCAT(E1040,B1040),'Year Wise Master Dep Approach'!F:F,'Year Wise Master Dep Approach'!D:D)</f>
        <v>WDV</v>
      </c>
      <c r="O1040" s="113">
        <f>_xlfn.XLOOKUP(_xlfn.CONCAT(E1040,B1040),'Year Wise Master Dep Approach'!F:F,'Year Wise Master Dep Approach'!E:E)</f>
        <v>3</v>
      </c>
      <c r="P1040" s="114">
        <f>IFERROR(IF('FA Addition'!$N1040="WDV",1-('FA Addition'!$M1040/'FA Addition'!$L1040)^(1/'FA Addition'!$O1040),1/'FA Addition'!$O1040),0)</f>
        <v>0.63156165686579468</v>
      </c>
      <c r="Q1040" s="122">
        <f>'FA Addition'!$P1040*'FA Addition'!$O1040</f>
        <v>1.8946849705973841</v>
      </c>
      <c r="R1040" s="122"/>
      <c r="S1040" s="116">
        <f>IF(AND(DATE(20&amp;LEFT(FAAddition[[#This Row],[FY]],2),4,1)&lt;$L$1+1,DATE(20&amp;LEFT(FAAddition[[#This Row],[FY]],2),4,1)&gt;$P$1-1),'FA Addition'!$J1040,0)</f>
        <v>0</v>
      </c>
      <c r="U1040" s="117">
        <f>S1040*'FA Addition'!$L1040/'FA Addition'!$J1040</f>
        <v>0</v>
      </c>
      <c r="W1040" s="116">
        <f>SUMIFS('FA Write off'!D:D,'FA Write off'!A:A,'FA Addition'!$A1040,'FA Write off'!C:C,"&lt;"&amp;'FA Addition'!$P$1)</f>
        <v>0</v>
      </c>
      <c r="Y1040" s="191">
        <f>IFERROR(W1040/'FA Addition'!$J1040*'FA Addition'!$L1040,0)</f>
        <v>0</v>
      </c>
      <c r="AA1040" s="116">
        <f>SUMIFS('FA Write off'!D:D,'FA Write off'!A:A,'FA Addition'!$A1040,'FA Write off'!C:C,"&lt;"&amp;'FA Addition'!$L$1+1,'FA Write off'!C:C,"&gt;"&amp;'FA Addition'!$L$1-365)</f>
        <v>0</v>
      </c>
      <c r="AC1040" s="118">
        <f>IFERROR(AA1040/'FA Addition'!$J1040*'FA Addition'!$L1040,0)</f>
        <v>0</v>
      </c>
      <c r="AE1040" s="117">
        <f>IF(AND('FA Addition'!$D1040&lt;$P$1+1,U1040=0),'FA Addition'!$L1040,0)-Y1040</f>
        <v>0</v>
      </c>
      <c r="AF1040" s="117">
        <f t="shared" si="80"/>
        <v>0</v>
      </c>
      <c r="AG1040" s="117">
        <f>MIN(MAX(+$P$1-'FA Addition'!$D1040,0),365*'FA Addition'!$O1040)</f>
        <v>0</v>
      </c>
      <c r="AH1040" s="117">
        <f>MIN(MAX($L$1-'FA Addition'!$D1040+1,0),365*'FA Addition'!$O1040)</f>
        <v>0</v>
      </c>
      <c r="AI1040" s="117" cm="1">
        <f t="array" ref="AI1040">_xlfn.XLOOKUP(1,('FA Write off'!A:A='FA Addition'!$A1040)*('FA Write off'!D:D=AA1040),'FA Write off'!H:H,0,0)</f>
        <v>0</v>
      </c>
      <c r="AJ1040" s="117">
        <f>IF(AC1040&gt;0,MAX(IF('FA Addition'!$N1040="SLM",($AC1040-'FA Addition'!$M1040)*'FA Addition'!$P1040*AI1040/365,(AC1040-'FA Addition'!$M1040)*(1-(1-'FA Addition'!$P1040)^(AI1040/365))),0),0)</f>
        <v>0</v>
      </c>
      <c r="AL1040" s="117">
        <f>MAX(IF(AG1040&gt;0,IF('FA Addition'!$N1040="SLM",($AE1040-'FA Addition'!$M1040)*'FA Addition'!$P1040*AG1040/365,IFERROR(VDB(AE1040,AE1040*0.05,'FA Addition'!$O1040,0,YEARFRAC('FA Addition'!$C1040,$P$1-1,3),'FA Addition'!$Q1040),FAAddition[[#This Row],[Original Cost (Rs)]]-FAAddition[[#This Row],[Salvage Value]])),0),0)</f>
        <v>0</v>
      </c>
      <c r="AM1040" s="119"/>
      <c r="AN1040" s="117">
        <f>MAX(IF(AH1040&gt;0,IF('FA Addition'!$N1040="SLM",($AF1040-'FA Addition'!$M1040)*'FA Addition'!$P1040*AH1040/365,IFERROR(VDB(AF1040,AF1040*0.05,'FA Addition'!$O1040,0,YEARFRAC('FA Addition'!$C1040,$L$1,3),'FA Addition'!$Q1040),FAAddition[[#This Row],[Original Cost (Rs)]]-FAAddition[[#This Row],[Salvage Value]])),0),0)</f>
        <v>0</v>
      </c>
      <c r="AO1040" s="117">
        <f t="shared" si="83"/>
        <v>0</v>
      </c>
      <c r="AQ1040" s="117">
        <f t="shared" si="81"/>
        <v>0</v>
      </c>
      <c r="AR1040" s="120">
        <f t="shared" si="82"/>
        <v>0</v>
      </c>
      <c r="AS1040" s="121"/>
    </row>
    <row r="1041" spans="1:45" ht="13.5" x14ac:dyDescent="0.4">
      <c r="A1041" s="12">
        <f t="shared" si="84"/>
        <v>1038</v>
      </c>
      <c r="B1041" s="64" t="s">
        <v>1758</v>
      </c>
      <c r="C1041" s="54">
        <v>45413</v>
      </c>
      <c r="D1041" s="54">
        <v>45413</v>
      </c>
      <c r="E1041" s="46" t="s">
        <v>451</v>
      </c>
      <c r="F1041" s="51" t="s">
        <v>19</v>
      </c>
      <c r="G1041" s="51" t="s">
        <v>1728</v>
      </c>
      <c r="H1041" s="51" t="s">
        <v>21</v>
      </c>
      <c r="I1041" s="55" t="s">
        <v>1804</v>
      </c>
      <c r="J1041" s="56">
        <v>1</v>
      </c>
      <c r="K1041" s="51" t="s">
        <v>1808</v>
      </c>
      <c r="L1041" s="58">
        <v>71000</v>
      </c>
      <c r="M1041" s="50">
        <f>ROUND('FA Addition'!$L1041*5%,0.1)</f>
        <v>3550</v>
      </c>
      <c r="N1041" s="113" t="str">
        <f>_xlfn.XLOOKUP(_xlfn.CONCAT(E1041,B1041),'Year Wise Master Dep Approach'!F:F,'Year Wise Master Dep Approach'!D:D)</f>
        <v>WDV</v>
      </c>
      <c r="O1041" s="113">
        <f>_xlfn.XLOOKUP(_xlfn.CONCAT(E1041,B1041),'Year Wise Master Dep Approach'!F:F,'Year Wise Master Dep Approach'!E:E)</f>
        <v>3</v>
      </c>
      <c r="P1041" s="114">
        <f>IFERROR(IF('FA Addition'!$N1041="WDV",1-('FA Addition'!$M1041/'FA Addition'!$L1041)^(1/'FA Addition'!$O1041),1/'FA Addition'!$O1041),0)</f>
        <v>0.63159685013596123</v>
      </c>
      <c r="Q1041" s="122">
        <f>'FA Addition'!$P1041*'FA Addition'!$O1041</f>
        <v>1.8947905504078837</v>
      </c>
      <c r="R1041" s="122"/>
      <c r="S1041" s="116">
        <f>IF(AND(DATE(20&amp;LEFT(FAAddition[[#This Row],[FY]],2),4,1)&lt;$L$1+1,DATE(20&amp;LEFT(FAAddition[[#This Row],[FY]],2),4,1)&gt;$P$1-1),'FA Addition'!$J1041,0)</f>
        <v>0</v>
      </c>
      <c r="U1041" s="117">
        <f>S1041*'FA Addition'!$L1041/'FA Addition'!$J1041</f>
        <v>0</v>
      </c>
      <c r="W1041" s="116">
        <f>SUMIFS('FA Write off'!D:D,'FA Write off'!A:A,'FA Addition'!$A1041,'FA Write off'!C:C,"&lt;"&amp;'FA Addition'!$P$1)</f>
        <v>0</v>
      </c>
      <c r="Y1041" s="191">
        <f>IFERROR(W1041/'FA Addition'!$J1041*'FA Addition'!$L1041,0)</f>
        <v>0</v>
      </c>
      <c r="AA1041" s="116">
        <f>SUMIFS('FA Write off'!D:D,'FA Write off'!A:A,'FA Addition'!$A1041,'FA Write off'!C:C,"&lt;"&amp;'FA Addition'!$L$1+1,'FA Write off'!C:C,"&gt;"&amp;'FA Addition'!$L$1-365)</f>
        <v>0</v>
      </c>
      <c r="AC1041" s="118">
        <f>IFERROR(AA1041/'FA Addition'!$J1041*'FA Addition'!$L1041,0)</f>
        <v>0</v>
      </c>
      <c r="AE1041" s="117">
        <f>IF(AND('FA Addition'!$D1041&lt;$P$1+1,U1041=0),'FA Addition'!$L1041,0)-Y1041</f>
        <v>0</v>
      </c>
      <c r="AF1041" s="117">
        <f t="shared" si="80"/>
        <v>0</v>
      </c>
      <c r="AG1041" s="117">
        <f>MIN(MAX(+$P$1-'FA Addition'!$D1041,0),365*'FA Addition'!$O1041)</f>
        <v>0</v>
      </c>
      <c r="AH1041" s="117">
        <f>MIN(MAX($L$1-'FA Addition'!$D1041+1,0),365*'FA Addition'!$O1041)</f>
        <v>0</v>
      </c>
      <c r="AI1041" s="117" cm="1">
        <f t="array" ref="AI1041">_xlfn.XLOOKUP(1,('FA Write off'!A:A='FA Addition'!$A1041)*('FA Write off'!D:D=AA1041),'FA Write off'!H:H,0,0)</f>
        <v>0</v>
      </c>
      <c r="AJ1041" s="117">
        <f>IF(AC1041&gt;0,MAX(IF('FA Addition'!$N1041="SLM",($AC1041-'FA Addition'!$M1041)*'FA Addition'!$P1041*AI1041/365,(AC1041-'FA Addition'!$M1041)*(1-(1-'FA Addition'!$P1041)^(AI1041/365))),0),0)</f>
        <v>0</v>
      </c>
      <c r="AL1041" s="117">
        <f>MAX(IF(AG1041&gt;0,IF('FA Addition'!$N1041="SLM",($AE1041-'FA Addition'!$M1041)*'FA Addition'!$P1041*AG1041/365,IFERROR(VDB(AE1041,AE1041*0.05,'FA Addition'!$O1041,0,YEARFRAC('FA Addition'!$C1041,$P$1-1,3),'FA Addition'!$Q1041),FAAddition[[#This Row],[Original Cost (Rs)]]-FAAddition[[#This Row],[Salvage Value]])),0),0)</f>
        <v>0</v>
      </c>
      <c r="AM1041" s="119"/>
      <c r="AN1041" s="117">
        <f>MAX(IF(AH1041&gt;0,IF('FA Addition'!$N1041="SLM",($AF1041-'FA Addition'!$M1041)*'FA Addition'!$P1041*AH1041/365,IFERROR(VDB(AF1041,AF1041*0.05,'FA Addition'!$O1041,0,YEARFRAC('FA Addition'!$C1041,$L$1,3),'FA Addition'!$Q1041),FAAddition[[#This Row],[Original Cost (Rs)]]-FAAddition[[#This Row],[Salvage Value]])),0),0)</f>
        <v>0</v>
      </c>
      <c r="AO1041" s="117">
        <f t="shared" si="83"/>
        <v>0</v>
      </c>
      <c r="AQ1041" s="117">
        <f t="shared" si="81"/>
        <v>0</v>
      </c>
      <c r="AR1041" s="120">
        <f t="shared" si="82"/>
        <v>0</v>
      </c>
      <c r="AS1041" s="121"/>
    </row>
    <row r="1042" spans="1:45" ht="13.5" x14ac:dyDescent="0.4">
      <c r="A1042" s="12">
        <f t="shared" si="84"/>
        <v>1039</v>
      </c>
      <c r="B1042" s="64" t="s">
        <v>1758</v>
      </c>
      <c r="C1042" s="54">
        <v>45413</v>
      </c>
      <c r="D1042" s="54">
        <v>45413</v>
      </c>
      <c r="E1042" s="46" t="s">
        <v>451</v>
      </c>
      <c r="F1042" s="51" t="s">
        <v>19</v>
      </c>
      <c r="G1042" s="51" t="s">
        <v>1728</v>
      </c>
      <c r="H1042" s="51" t="s">
        <v>21</v>
      </c>
      <c r="I1042" s="55" t="s">
        <v>1804</v>
      </c>
      <c r="J1042" s="56">
        <v>1</v>
      </c>
      <c r="K1042" s="51" t="s">
        <v>1809</v>
      </c>
      <c r="L1042" s="58">
        <v>56000</v>
      </c>
      <c r="M1042" s="50">
        <f>ROUND('FA Addition'!$L1042*5%,0.1)</f>
        <v>2800</v>
      </c>
      <c r="N1042" s="113" t="str">
        <f>_xlfn.XLOOKUP(_xlfn.CONCAT(E1042,B1042),'Year Wise Master Dep Approach'!F:F,'Year Wise Master Dep Approach'!D:D)</f>
        <v>WDV</v>
      </c>
      <c r="O1042" s="113">
        <f>_xlfn.XLOOKUP(_xlfn.CONCAT(E1042,B1042),'Year Wise Master Dep Approach'!F:F,'Year Wise Master Dep Approach'!E:E)</f>
        <v>3</v>
      </c>
      <c r="P1042" s="114">
        <f>IFERROR(IF('FA Addition'!$N1042="WDV",1-('FA Addition'!$M1042/'FA Addition'!$L1042)^(1/'FA Addition'!$O1042),1/'FA Addition'!$O1042),0)</f>
        <v>0.63159685013596123</v>
      </c>
      <c r="Q1042" s="122">
        <f>'FA Addition'!$P1042*'FA Addition'!$O1042</f>
        <v>1.8947905504078837</v>
      </c>
      <c r="R1042" s="122"/>
      <c r="S1042" s="116">
        <f>IF(AND(DATE(20&amp;LEFT(FAAddition[[#This Row],[FY]],2),4,1)&lt;$L$1+1,DATE(20&amp;LEFT(FAAddition[[#This Row],[FY]],2),4,1)&gt;$P$1-1),'FA Addition'!$J1042,0)</f>
        <v>0</v>
      </c>
      <c r="U1042" s="117">
        <f>S1042*'FA Addition'!$L1042/'FA Addition'!$J1042</f>
        <v>0</v>
      </c>
      <c r="W1042" s="116">
        <f>SUMIFS('FA Write off'!D:D,'FA Write off'!A:A,'FA Addition'!$A1042,'FA Write off'!C:C,"&lt;"&amp;'FA Addition'!$P$1)</f>
        <v>0</v>
      </c>
      <c r="Y1042" s="191">
        <f>IFERROR(W1042/'FA Addition'!$J1042*'FA Addition'!$L1042,0)</f>
        <v>0</v>
      </c>
      <c r="AA1042" s="116">
        <f>SUMIFS('FA Write off'!D:D,'FA Write off'!A:A,'FA Addition'!$A1042,'FA Write off'!C:C,"&lt;"&amp;'FA Addition'!$L$1+1,'FA Write off'!C:C,"&gt;"&amp;'FA Addition'!$L$1-365)</f>
        <v>0</v>
      </c>
      <c r="AC1042" s="118">
        <f>IFERROR(AA1042/'FA Addition'!$J1042*'FA Addition'!$L1042,0)</f>
        <v>0</v>
      </c>
      <c r="AE1042" s="117">
        <f>IF(AND('FA Addition'!$D1042&lt;$P$1+1,U1042=0),'FA Addition'!$L1042,0)-Y1042</f>
        <v>0</v>
      </c>
      <c r="AF1042" s="117">
        <f t="shared" si="80"/>
        <v>0</v>
      </c>
      <c r="AG1042" s="117">
        <f>MIN(MAX(+$P$1-'FA Addition'!$D1042,0),365*'FA Addition'!$O1042)</f>
        <v>0</v>
      </c>
      <c r="AH1042" s="117">
        <f>MIN(MAX($L$1-'FA Addition'!$D1042+1,0),365*'FA Addition'!$O1042)</f>
        <v>0</v>
      </c>
      <c r="AI1042" s="117" cm="1">
        <f t="array" ref="AI1042">_xlfn.XLOOKUP(1,('FA Write off'!A:A='FA Addition'!$A1042)*('FA Write off'!D:D=AA1042),'FA Write off'!H:H,0,0)</f>
        <v>0</v>
      </c>
      <c r="AJ1042" s="117">
        <f>IF(AC1042&gt;0,MAX(IF('FA Addition'!$N1042="SLM",($AC1042-'FA Addition'!$M1042)*'FA Addition'!$P1042*AI1042/365,(AC1042-'FA Addition'!$M1042)*(1-(1-'FA Addition'!$P1042)^(AI1042/365))),0),0)</f>
        <v>0</v>
      </c>
      <c r="AL1042" s="117">
        <f>MAX(IF(AG1042&gt;0,IF('FA Addition'!$N1042="SLM",($AE1042-'FA Addition'!$M1042)*'FA Addition'!$P1042*AG1042/365,IFERROR(VDB(AE1042,AE1042*0.05,'FA Addition'!$O1042,0,YEARFRAC('FA Addition'!$C1042,$P$1-1,3),'FA Addition'!$Q1042),FAAddition[[#This Row],[Original Cost (Rs)]]-FAAddition[[#This Row],[Salvage Value]])),0),0)</f>
        <v>0</v>
      </c>
      <c r="AM1042" s="119"/>
      <c r="AN1042" s="117">
        <f>MAX(IF(AH1042&gt;0,IF('FA Addition'!$N1042="SLM",($AF1042-'FA Addition'!$M1042)*'FA Addition'!$P1042*AH1042/365,IFERROR(VDB(AF1042,AF1042*0.05,'FA Addition'!$O1042,0,YEARFRAC('FA Addition'!$C1042,$L$1,3),'FA Addition'!$Q1042),FAAddition[[#This Row],[Original Cost (Rs)]]-FAAddition[[#This Row],[Salvage Value]])),0),0)</f>
        <v>0</v>
      </c>
      <c r="AO1042" s="117">
        <f t="shared" si="83"/>
        <v>0</v>
      </c>
      <c r="AQ1042" s="117">
        <f t="shared" si="81"/>
        <v>0</v>
      </c>
      <c r="AR1042" s="120">
        <f t="shared" si="82"/>
        <v>0</v>
      </c>
      <c r="AS1042" s="121"/>
    </row>
    <row r="1043" spans="1:45" ht="13.5" x14ac:dyDescent="0.4">
      <c r="A1043" s="12">
        <f t="shared" si="84"/>
        <v>1040</v>
      </c>
      <c r="B1043" s="64" t="s">
        <v>1758</v>
      </c>
      <c r="C1043" s="54">
        <v>45413</v>
      </c>
      <c r="D1043" s="54">
        <v>45413</v>
      </c>
      <c r="E1043" s="46" t="s">
        <v>451</v>
      </c>
      <c r="F1043" s="51" t="s">
        <v>19</v>
      </c>
      <c r="G1043" s="51" t="s">
        <v>1728</v>
      </c>
      <c r="H1043" s="51" t="s">
        <v>21</v>
      </c>
      <c r="I1043" s="55" t="s">
        <v>1804</v>
      </c>
      <c r="J1043" s="56">
        <v>1</v>
      </c>
      <c r="K1043" s="51" t="s">
        <v>1809</v>
      </c>
      <c r="L1043" s="58">
        <v>56000</v>
      </c>
      <c r="M1043" s="50">
        <f>ROUND('FA Addition'!$L1043*5%,0.1)</f>
        <v>2800</v>
      </c>
      <c r="N1043" s="113" t="str">
        <f>_xlfn.XLOOKUP(_xlfn.CONCAT(E1043,B1043),'Year Wise Master Dep Approach'!F:F,'Year Wise Master Dep Approach'!D:D)</f>
        <v>WDV</v>
      </c>
      <c r="O1043" s="113">
        <f>_xlfn.XLOOKUP(_xlfn.CONCAT(E1043,B1043),'Year Wise Master Dep Approach'!F:F,'Year Wise Master Dep Approach'!E:E)</f>
        <v>3</v>
      </c>
      <c r="P1043" s="114">
        <f>IFERROR(IF('FA Addition'!$N1043="WDV",1-('FA Addition'!$M1043/'FA Addition'!$L1043)^(1/'FA Addition'!$O1043),1/'FA Addition'!$O1043),0)</f>
        <v>0.63159685013596123</v>
      </c>
      <c r="Q1043" s="122">
        <f>'FA Addition'!$P1043*'FA Addition'!$O1043</f>
        <v>1.8947905504078837</v>
      </c>
      <c r="R1043" s="122"/>
      <c r="S1043" s="116">
        <f>IF(AND(DATE(20&amp;LEFT(FAAddition[[#This Row],[FY]],2),4,1)&lt;$L$1+1,DATE(20&amp;LEFT(FAAddition[[#This Row],[FY]],2),4,1)&gt;$P$1-1),'FA Addition'!$J1043,0)</f>
        <v>0</v>
      </c>
      <c r="U1043" s="117">
        <f>S1043*'FA Addition'!$L1043/'FA Addition'!$J1043</f>
        <v>0</v>
      </c>
      <c r="W1043" s="116">
        <f>SUMIFS('FA Write off'!D:D,'FA Write off'!A:A,'FA Addition'!$A1043,'FA Write off'!C:C,"&lt;"&amp;'FA Addition'!$P$1)</f>
        <v>0</v>
      </c>
      <c r="Y1043" s="191">
        <f>IFERROR(W1043/'FA Addition'!$J1043*'FA Addition'!$L1043,0)</f>
        <v>0</v>
      </c>
      <c r="AA1043" s="116">
        <f>SUMIFS('FA Write off'!D:D,'FA Write off'!A:A,'FA Addition'!$A1043,'FA Write off'!C:C,"&lt;"&amp;'FA Addition'!$L$1+1,'FA Write off'!C:C,"&gt;"&amp;'FA Addition'!$L$1-365)</f>
        <v>0</v>
      </c>
      <c r="AC1043" s="118">
        <f>IFERROR(AA1043/'FA Addition'!$J1043*'FA Addition'!$L1043,0)</f>
        <v>0</v>
      </c>
      <c r="AE1043" s="117">
        <f>IF(AND('FA Addition'!$D1043&lt;$P$1+1,U1043=0),'FA Addition'!$L1043,0)-Y1043</f>
        <v>0</v>
      </c>
      <c r="AF1043" s="117">
        <f t="shared" si="80"/>
        <v>0</v>
      </c>
      <c r="AG1043" s="117">
        <f>MIN(MAX(+$P$1-'FA Addition'!$D1043,0),365*'FA Addition'!$O1043)</f>
        <v>0</v>
      </c>
      <c r="AH1043" s="117">
        <f>MIN(MAX($L$1-'FA Addition'!$D1043+1,0),365*'FA Addition'!$O1043)</f>
        <v>0</v>
      </c>
      <c r="AI1043" s="117" cm="1">
        <f t="array" ref="AI1043">_xlfn.XLOOKUP(1,('FA Write off'!A:A='FA Addition'!$A1043)*('FA Write off'!D:D=AA1043),'FA Write off'!H:H,0,0)</f>
        <v>0</v>
      </c>
      <c r="AJ1043" s="117">
        <f>IF(AC1043&gt;0,MAX(IF('FA Addition'!$N1043="SLM",($AC1043-'FA Addition'!$M1043)*'FA Addition'!$P1043*AI1043/365,(AC1043-'FA Addition'!$M1043)*(1-(1-'FA Addition'!$P1043)^(AI1043/365))),0),0)</f>
        <v>0</v>
      </c>
      <c r="AL1043" s="117">
        <f>MAX(IF(AG1043&gt;0,IF('FA Addition'!$N1043="SLM",($AE1043-'FA Addition'!$M1043)*'FA Addition'!$P1043*AG1043/365,IFERROR(VDB(AE1043,AE1043*0.05,'FA Addition'!$O1043,0,YEARFRAC('FA Addition'!$C1043,$P$1-1,3),'FA Addition'!$Q1043),FAAddition[[#This Row],[Original Cost (Rs)]]-FAAddition[[#This Row],[Salvage Value]])),0),0)</f>
        <v>0</v>
      </c>
      <c r="AM1043" s="119"/>
      <c r="AN1043" s="117">
        <f>MAX(IF(AH1043&gt;0,IF('FA Addition'!$N1043="SLM",($AF1043-'FA Addition'!$M1043)*'FA Addition'!$P1043*AH1043/365,IFERROR(VDB(AF1043,AF1043*0.05,'FA Addition'!$O1043,0,YEARFRAC('FA Addition'!$C1043,$L$1,3),'FA Addition'!$Q1043),FAAddition[[#This Row],[Original Cost (Rs)]]-FAAddition[[#This Row],[Salvage Value]])),0),0)</f>
        <v>0</v>
      </c>
      <c r="AO1043" s="117">
        <f t="shared" si="83"/>
        <v>0</v>
      </c>
      <c r="AQ1043" s="117">
        <f t="shared" si="81"/>
        <v>0</v>
      </c>
      <c r="AR1043" s="120">
        <f t="shared" si="82"/>
        <v>0</v>
      </c>
      <c r="AS1043" s="121"/>
    </row>
    <row r="1044" spans="1:45" ht="13.5" x14ac:dyDescent="0.4">
      <c r="A1044" s="12">
        <f t="shared" si="84"/>
        <v>1041</v>
      </c>
      <c r="B1044" s="64" t="s">
        <v>1758</v>
      </c>
      <c r="C1044" s="54">
        <v>45413</v>
      </c>
      <c r="D1044" s="54">
        <v>45413</v>
      </c>
      <c r="E1044" s="46" t="s">
        <v>207</v>
      </c>
      <c r="F1044" s="51" t="s">
        <v>1372</v>
      </c>
      <c r="G1044" s="51" t="s">
        <v>1381</v>
      </c>
      <c r="H1044" s="51" t="s">
        <v>207</v>
      </c>
      <c r="I1044" s="55" t="s">
        <v>1810</v>
      </c>
      <c r="J1044" s="56">
        <v>1</v>
      </c>
      <c r="K1044" s="51" t="s">
        <v>1811</v>
      </c>
      <c r="L1044" s="58">
        <v>8466.1</v>
      </c>
      <c r="M1044" s="50">
        <f>ROUND('FA Addition'!$L1044*5%,0.1)</f>
        <v>423</v>
      </c>
      <c r="N1044" s="113" t="str">
        <f>_xlfn.XLOOKUP(_xlfn.CONCAT(E1044,B1044),'Year Wise Master Dep Approach'!F:F,'Year Wise Master Dep Approach'!D:D)</f>
        <v>WDV</v>
      </c>
      <c r="O1044" s="113">
        <f>_xlfn.XLOOKUP(_xlfn.CONCAT(E1044,B1044),'Year Wise Master Dep Approach'!F:F,'Year Wise Master Dep Approach'!E:E)</f>
        <v>5</v>
      </c>
      <c r="P1044" s="114">
        <f>IFERROR(IF('FA Addition'!$N1044="WDV",1-('FA Addition'!$M1044/'FA Addition'!$L1044)^(1/'FA Addition'!$O1044),1/'FA Addition'!$O1044),0)</f>
        <v>0.45079890472681305</v>
      </c>
      <c r="Q1044" s="122">
        <f>'FA Addition'!$P1044*'FA Addition'!$O1044</f>
        <v>2.2539945236340655</v>
      </c>
      <c r="R1044" s="122"/>
      <c r="S1044" s="116">
        <f>IF(AND(DATE(20&amp;LEFT(FAAddition[[#This Row],[FY]],2),4,1)&lt;$L$1+1,DATE(20&amp;LEFT(FAAddition[[#This Row],[FY]],2),4,1)&gt;$P$1-1),'FA Addition'!$J1044,0)</f>
        <v>0</v>
      </c>
      <c r="U1044" s="117">
        <f>S1044*'FA Addition'!$L1044/'FA Addition'!$J1044</f>
        <v>0</v>
      </c>
      <c r="W1044" s="116">
        <f>SUMIFS('FA Write off'!D:D,'FA Write off'!A:A,'FA Addition'!$A1044,'FA Write off'!C:C,"&lt;"&amp;'FA Addition'!$P$1)</f>
        <v>0</v>
      </c>
      <c r="Y1044" s="191">
        <f>IFERROR(W1044/'FA Addition'!$J1044*'FA Addition'!$L1044,0)</f>
        <v>0</v>
      </c>
      <c r="AA1044" s="116">
        <f>SUMIFS('FA Write off'!D:D,'FA Write off'!A:A,'FA Addition'!$A1044,'FA Write off'!C:C,"&lt;"&amp;'FA Addition'!$L$1+1,'FA Write off'!C:C,"&gt;"&amp;'FA Addition'!$L$1-365)</f>
        <v>0</v>
      </c>
      <c r="AC1044" s="118">
        <f>IFERROR(AA1044/'FA Addition'!$J1044*'FA Addition'!$L1044,0)</f>
        <v>0</v>
      </c>
      <c r="AE1044" s="117">
        <f>IF(AND('FA Addition'!$D1044&lt;$P$1+1,U1044=0),'FA Addition'!$L1044,0)-Y1044</f>
        <v>0</v>
      </c>
      <c r="AF1044" s="117">
        <f t="shared" si="80"/>
        <v>0</v>
      </c>
      <c r="AG1044" s="117">
        <f>MIN(MAX(+$P$1-'FA Addition'!$D1044,0),365*'FA Addition'!$O1044)</f>
        <v>0</v>
      </c>
      <c r="AH1044" s="117">
        <f>MIN(MAX($L$1-'FA Addition'!$D1044+1,0),365*'FA Addition'!$O1044)</f>
        <v>0</v>
      </c>
      <c r="AI1044" s="117" cm="1">
        <f t="array" ref="AI1044">_xlfn.XLOOKUP(1,('FA Write off'!A:A='FA Addition'!$A1044)*('FA Write off'!D:D=AA1044),'FA Write off'!H:H,0,0)</f>
        <v>0</v>
      </c>
      <c r="AJ1044" s="117">
        <f>IF(AC1044&gt;0,MAX(IF('FA Addition'!$N1044="SLM",($AC1044-'FA Addition'!$M1044)*'FA Addition'!$P1044*AI1044/365,(AC1044-'FA Addition'!$M1044)*(1-(1-'FA Addition'!$P1044)^(AI1044/365))),0),0)</f>
        <v>0</v>
      </c>
      <c r="AL1044" s="117">
        <f>MAX(IF(AG1044&gt;0,IF('FA Addition'!$N1044="SLM",($AE1044-'FA Addition'!$M1044)*'FA Addition'!$P1044*AG1044/365,IFERROR(VDB(AE1044,AE1044*0.05,'FA Addition'!$O1044,0,YEARFRAC('FA Addition'!$C1044,$P$1-1,3),'FA Addition'!$Q1044),FAAddition[[#This Row],[Original Cost (Rs)]]-FAAddition[[#This Row],[Salvage Value]])),0),0)</f>
        <v>0</v>
      </c>
      <c r="AM1044" s="119"/>
      <c r="AN1044" s="117">
        <f>MAX(IF(AH1044&gt;0,IF('FA Addition'!$N1044="SLM",($AF1044-'FA Addition'!$M1044)*'FA Addition'!$P1044*AH1044/365,IFERROR(VDB(AF1044,AF1044*0.05,'FA Addition'!$O1044,0,YEARFRAC('FA Addition'!$C1044,$L$1,3),'FA Addition'!$Q1044),FAAddition[[#This Row],[Original Cost (Rs)]]-FAAddition[[#This Row],[Salvage Value]])),0),0)</f>
        <v>0</v>
      </c>
      <c r="AO1044" s="117">
        <f t="shared" si="83"/>
        <v>0</v>
      </c>
      <c r="AQ1044" s="117">
        <f t="shared" si="81"/>
        <v>0</v>
      </c>
      <c r="AR1044" s="120">
        <f t="shared" si="82"/>
        <v>0</v>
      </c>
      <c r="AS1044" s="121"/>
    </row>
    <row r="1045" spans="1:45" ht="13.5" x14ac:dyDescent="0.4">
      <c r="A1045" s="12">
        <f t="shared" si="84"/>
        <v>1042</v>
      </c>
      <c r="B1045" s="64" t="s">
        <v>1758</v>
      </c>
      <c r="C1045" s="54">
        <v>45414</v>
      </c>
      <c r="D1045" s="54">
        <v>45414</v>
      </c>
      <c r="E1045" s="46" t="s">
        <v>451</v>
      </c>
      <c r="F1045" s="51" t="s">
        <v>19</v>
      </c>
      <c r="G1045" s="51" t="s">
        <v>1728</v>
      </c>
      <c r="H1045" s="51" t="s">
        <v>21</v>
      </c>
      <c r="I1045" s="55" t="s">
        <v>1812</v>
      </c>
      <c r="J1045" s="56">
        <v>1</v>
      </c>
      <c r="K1045" s="51" t="s">
        <v>1813</v>
      </c>
      <c r="L1045" s="58">
        <v>34890</v>
      </c>
      <c r="M1045" s="50">
        <f>ROUND('FA Addition'!$L1045*5%,0.1)</f>
        <v>1745</v>
      </c>
      <c r="N1045" s="113" t="str">
        <f>_xlfn.XLOOKUP(_xlfn.CONCAT(E1045,B1045),'Year Wise Master Dep Approach'!F:F,'Year Wise Master Dep Approach'!D:D)</f>
        <v>WDV</v>
      </c>
      <c r="O1045" s="113">
        <f>_xlfn.XLOOKUP(_xlfn.CONCAT(E1045,B1045),'Year Wise Master Dep Approach'!F:F,'Year Wise Master Dep Approach'!E:E)</f>
        <v>3</v>
      </c>
      <c r="P1045" s="114">
        <f>IFERROR(IF('FA Addition'!$N1045="WDV",1-('FA Addition'!$M1045/'FA Addition'!$L1045)^(1/'FA Addition'!$O1045),1/'FA Addition'!$O1045),0)</f>
        <v>0.63156165686579468</v>
      </c>
      <c r="Q1045" s="122">
        <f>'FA Addition'!$P1045*'FA Addition'!$O1045</f>
        <v>1.8946849705973841</v>
      </c>
      <c r="R1045" s="122"/>
      <c r="S1045" s="116">
        <f>IF(AND(DATE(20&amp;LEFT(FAAddition[[#This Row],[FY]],2),4,1)&lt;$L$1+1,DATE(20&amp;LEFT(FAAddition[[#This Row],[FY]],2),4,1)&gt;$P$1-1),'FA Addition'!$J1045,0)</f>
        <v>0</v>
      </c>
      <c r="U1045" s="117">
        <f>S1045*'FA Addition'!$L1045/'FA Addition'!$J1045</f>
        <v>0</v>
      </c>
      <c r="W1045" s="116">
        <f>SUMIFS('FA Write off'!D:D,'FA Write off'!A:A,'FA Addition'!$A1045,'FA Write off'!C:C,"&lt;"&amp;'FA Addition'!$P$1)</f>
        <v>0</v>
      </c>
      <c r="Y1045" s="191">
        <f>IFERROR(W1045/'FA Addition'!$J1045*'FA Addition'!$L1045,0)</f>
        <v>0</v>
      </c>
      <c r="AA1045" s="116">
        <f>SUMIFS('FA Write off'!D:D,'FA Write off'!A:A,'FA Addition'!$A1045,'FA Write off'!C:C,"&lt;"&amp;'FA Addition'!$L$1+1,'FA Write off'!C:C,"&gt;"&amp;'FA Addition'!$L$1-365)</f>
        <v>0</v>
      </c>
      <c r="AC1045" s="118">
        <f>IFERROR(AA1045/'FA Addition'!$J1045*'FA Addition'!$L1045,0)</f>
        <v>0</v>
      </c>
      <c r="AE1045" s="117">
        <f>IF(AND('FA Addition'!$D1045&lt;$P$1+1,U1045=0),'FA Addition'!$L1045,0)-Y1045</f>
        <v>0</v>
      </c>
      <c r="AF1045" s="117">
        <f t="shared" si="80"/>
        <v>0</v>
      </c>
      <c r="AG1045" s="117">
        <f>MIN(MAX(+$P$1-'FA Addition'!$D1045,0),365*'FA Addition'!$O1045)</f>
        <v>0</v>
      </c>
      <c r="AH1045" s="117">
        <f>MIN(MAX($L$1-'FA Addition'!$D1045+1,0),365*'FA Addition'!$O1045)</f>
        <v>0</v>
      </c>
      <c r="AI1045" s="117" cm="1">
        <f t="array" ref="AI1045">_xlfn.XLOOKUP(1,('FA Write off'!A:A='FA Addition'!$A1045)*('FA Write off'!D:D=AA1045),'FA Write off'!H:H,0,0)</f>
        <v>0</v>
      </c>
      <c r="AJ1045" s="117">
        <f>IF(AC1045&gt;0,MAX(IF('FA Addition'!$N1045="SLM",($AC1045-'FA Addition'!$M1045)*'FA Addition'!$P1045*AI1045/365,(AC1045-'FA Addition'!$M1045)*(1-(1-'FA Addition'!$P1045)^(AI1045/365))),0),0)</f>
        <v>0</v>
      </c>
      <c r="AL1045" s="117">
        <f>MAX(IF(AG1045&gt;0,IF('FA Addition'!$N1045="SLM",($AE1045-'FA Addition'!$M1045)*'FA Addition'!$P1045*AG1045/365,IFERROR(VDB(AE1045,AE1045*0.05,'FA Addition'!$O1045,0,YEARFRAC('FA Addition'!$C1045,$P$1-1,3),'FA Addition'!$Q1045),FAAddition[[#This Row],[Original Cost (Rs)]]-FAAddition[[#This Row],[Salvage Value]])),0),0)</f>
        <v>0</v>
      </c>
      <c r="AM1045" s="119"/>
      <c r="AN1045" s="117">
        <f>MAX(IF(AH1045&gt;0,IF('FA Addition'!$N1045="SLM",($AF1045-'FA Addition'!$M1045)*'FA Addition'!$P1045*AH1045/365,IFERROR(VDB(AF1045,AF1045*0.05,'FA Addition'!$O1045,0,YEARFRAC('FA Addition'!$C1045,$L$1,3),'FA Addition'!$Q1045),FAAddition[[#This Row],[Original Cost (Rs)]]-FAAddition[[#This Row],[Salvage Value]])),0),0)</f>
        <v>0</v>
      </c>
      <c r="AO1045" s="117">
        <f t="shared" si="83"/>
        <v>0</v>
      </c>
      <c r="AQ1045" s="117">
        <f t="shared" si="81"/>
        <v>0</v>
      </c>
      <c r="AR1045" s="120">
        <f t="shared" si="82"/>
        <v>0</v>
      </c>
      <c r="AS1045" s="121"/>
    </row>
    <row r="1046" spans="1:45" ht="13.5" x14ac:dyDescent="0.4">
      <c r="A1046" s="12">
        <f t="shared" si="84"/>
        <v>1043</v>
      </c>
      <c r="B1046" s="64" t="s">
        <v>1758</v>
      </c>
      <c r="C1046" s="54">
        <v>45414</v>
      </c>
      <c r="D1046" s="54">
        <v>45414</v>
      </c>
      <c r="E1046" s="46" t="s">
        <v>451</v>
      </c>
      <c r="F1046" s="51" t="s">
        <v>19</v>
      </c>
      <c r="G1046" s="51" t="s">
        <v>1728</v>
      </c>
      <c r="H1046" s="51" t="s">
        <v>21</v>
      </c>
      <c r="I1046" s="55" t="s">
        <v>1812</v>
      </c>
      <c r="J1046" s="56">
        <v>1</v>
      </c>
      <c r="K1046" s="51" t="s">
        <v>1813</v>
      </c>
      <c r="L1046" s="58">
        <v>34890</v>
      </c>
      <c r="M1046" s="50">
        <f>ROUND('FA Addition'!$L1046*5%,0.1)</f>
        <v>1745</v>
      </c>
      <c r="N1046" s="113" t="str">
        <f>_xlfn.XLOOKUP(_xlfn.CONCAT(E1046,B1046),'Year Wise Master Dep Approach'!F:F,'Year Wise Master Dep Approach'!D:D)</f>
        <v>WDV</v>
      </c>
      <c r="O1046" s="113">
        <f>_xlfn.XLOOKUP(_xlfn.CONCAT(E1046,B1046),'Year Wise Master Dep Approach'!F:F,'Year Wise Master Dep Approach'!E:E)</f>
        <v>3</v>
      </c>
      <c r="P1046" s="114">
        <f>IFERROR(IF('FA Addition'!$N1046="WDV",1-('FA Addition'!$M1046/'FA Addition'!$L1046)^(1/'FA Addition'!$O1046),1/'FA Addition'!$O1046),0)</f>
        <v>0.63156165686579468</v>
      </c>
      <c r="Q1046" s="122">
        <f>'FA Addition'!$P1046*'FA Addition'!$O1046</f>
        <v>1.8946849705973841</v>
      </c>
      <c r="R1046" s="122"/>
      <c r="S1046" s="116">
        <f>IF(AND(DATE(20&amp;LEFT(FAAddition[[#This Row],[FY]],2),4,1)&lt;$L$1+1,DATE(20&amp;LEFT(FAAddition[[#This Row],[FY]],2),4,1)&gt;$P$1-1),'FA Addition'!$J1046,0)</f>
        <v>0</v>
      </c>
      <c r="U1046" s="117">
        <f>S1046*'FA Addition'!$L1046/'FA Addition'!$J1046</f>
        <v>0</v>
      </c>
      <c r="W1046" s="116">
        <f>SUMIFS('FA Write off'!D:D,'FA Write off'!A:A,'FA Addition'!$A1046,'FA Write off'!C:C,"&lt;"&amp;'FA Addition'!$P$1)</f>
        <v>0</v>
      </c>
      <c r="Y1046" s="191">
        <f>IFERROR(W1046/'FA Addition'!$J1046*'FA Addition'!$L1046,0)</f>
        <v>0</v>
      </c>
      <c r="AA1046" s="116">
        <f>SUMIFS('FA Write off'!D:D,'FA Write off'!A:A,'FA Addition'!$A1046,'FA Write off'!C:C,"&lt;"&amp;'FA Addition'!$L$1+1,'FA Write off'!C:C,"&gt;"&amp;'FA Addition'!$L$1-365)</f>
        <v>0</v>
      </c>
      <c r="AC1046" s="118">
        <f>IFERROR(AA1046/'FA Addition'!$J1046*'FA Addition'!$L1046,0)</f>
        <v>0</v>
      </c>
      <c r="AE1046" s="117">
        <f>IF(AND('FA Addition'!$D1046&lt;$P$1+1,U1046=0),'FA Addition'!$L1046,0)-Y1046</f>
        <v>0</v>
      </c>
      <c r="AF1046" s="117">
        <f t="shared" si="80"/>
        <v>0</v>
      </c>
      <c r="AG1046" s="117">
        <f>MIN(MAX(+$P$1-'FA Addition'!$D1046,0),365*'FA Addition'!$O1046)</f>
        <v>0</v>
      </c>
      <c r="AH1046" s="117">
        <f>MIN(MAX($L$1-'FA Addition'!$D1046+1,0),365*'FA Addition'!$O1046)</f>
        <v>0</v>
      </c>
      <c r="AI1046" s="117" cm="1">
        <f t="array" ref="AI1046">_xlfn.XLOOKUP(1,('FA Write off'!A:A='FA Addition'!$A1046)*('FA Write off'!D:D=AA1046),'FA Write off'!H:H,0,0)</f>
        <v>0</v>
      </c>
      <c r="AJ1046" s="117">
        <f>IF(AC1046&gt;0,MAX(IF('FA Addition'!$N1046="SLM",($AC1046-'FA Addition'!$M1046)*'FA Addition'!$P1046*AI1046/365,(AC1046-'FA Addition'!$M1046)*(1-(1-'FA Addition'!$P1046)^(AI1046/365))),0),0)</f>
        <v>0</v>
      </c>
      <c r="AL1046" s="117">
        <f>MAX(IF(AG1046&gt;0,IF('FA Addition'!$N1046="SLM",($AE1046-'FA Addition'!$M1046)*'FA Addition'!$P1046*AG1046/365,IFERROR(VDB(AE1046,AE1046*0.05,'FA Addition'!$O1046,0,YEARFRAC('FA Addition'!$C1046,$P$1-1,3),'FA Addition'!$Q1046),FAAddition[[#This Row],[Original Cost (Rs)]]-FAAddition[[#This Row],[Salvage Value]])),0),0)</f>
        <v>0</v>
      </c>
      <c r="AM1046" s="119"/>
      <c r="AN1046" s="117">
        <f>MAX(IF(AH1046&gt;0,IF('FA Addition'!$N1046="SLM",($AF1046-'FA Addition'!$M1046)*'FA Addition'!$P1046*AH1046/365,IFERROR(VDB(AF1046,AF1046*0.05,'FA Addition'!$O1046,0,YEARFRAC('FA Addition'!$C1046,$L$1,3),'FA Addition'!$Q1046),FAAddition[[#This Row],[Original Cost (Rs)]]-FAAddition[[#This Row],[Salvage Value]])),0),0)</f>
        <v>0</v>
      </c>
      <c r="AO1046" s="117">
        <f t="shared" si="83"/>
        <v>0</v>
      </c>
      <c r="AQ1046" s="117">
        <f t="shared" si="81"/>
        <v>0</v>
      </c>
      <c r="AR1046" s="120">
        <f t="shared" si="82"/>
        <v>0</v>
      </c>
      <c r="AS1046" s="121"/>
    </row>
    <row r="1047" spans="1:45" ht="13.5" x14ac:dyDescent="0.4">
      <c r="A1047" s="12">
        <f t="shared" si="84"/>
        <v>1044</v>
      </c>
      <c r="B1047" s="64" t="s">
        <v>1758</v>
      </c>
      <c r="C1047" s="54">
        <v>45419</v>
      </c>
      <c r="D1047" s="54">
        <v>45419</v>
      </c>
      <c r="E1047" s="46" t="s">
        <v>207</v>
      </c>
      <c r="F1047" s="51" t="s">
        <v>1372</v>
      </c>
      <c r="G1047" s="51" t="s">
        <v>1134</v>
      </c>
      <c r="H1047" s="51" t="s">
        <v>207</v>
      </c>
      <c r="I1047" s="55" t="s">
        <v>1814</v>
      </c>
      <c r="J1047" s="56">
        <v>1</v>
      </c>
      <c r="K1047" s="51" t="s">
        <v>1815</v>
      </c>
      <c r="L1047" s="58">
        <v>48794.92</v>
      </c>
      <c r="M1047" s="50">
        <f>ROUND('FA Addition'!$L1047*5%,0.1)</f>
        <v>2440</v>
      </c>
      <c r="N1047" s="113" t="str">
        <f>_xlfn.XLOOKUP(_xlfn.CONCAT(E1047,B1047),'Year Wise Master Dep Approach'!F:F,'Year Wise Master Dep Approach'!D:D)</f>
        <v>WDV</v>
      </c>
      <c r="O1047" s="113">
        <f>_xlfn.XLOOKUP(_xlfn.CONCAT(E1047,B1047),'Year Wise Master Dep Approach'!F:F,'Year Wise Master Dep Approach'!E:E)</f>
        <v>5</v>
      </c>
      <c r="P1047" s="114">
        <f>IFERROR(IF('FA Addition'!$N1047="WDV",1-('FA Addition'!$M1047/'FA Addition'!$L1047)^(1/'FA Addition'!$O1047),1/'FA Addition'!$O1047),0)</f>
        <v>0.45070829179745164</v>
      </c>
      <c r="Q1047" s="122">
        <f>'FA Addition'!$P1047*'FA Addition'!$O1047</f>
        <v>2.2535414589872582</v>
      </c>
      <c r="R1047" s="122"/>
      <c r="S1047" s="116">
        <f>IF(AND(DATE(20&amp;LEFT(FAAddition[[#This Row],[FY]],2),4,1)&lt;$L$1+1,DATE(20&amp;LEFT(FAAddition[[#This Row],[FY]],2),4,1)&gt;$P$1-1),'FA Addition'!$J1047,0)</f>
        <v>0</v>
      </c>
      <c r="U1047" s="117">
        <f>S1047*'FA Addition'!$L1047/'FA Addition'!$J1047</f>
        <v>0</v>
      </c>
      <c r="W1047" s="116">
        <f>SUMIFS('FA Write off'!D:D,'FA Write off'!A:A,'FA Addition'!$A1047,'FA Write off'!C:C,"&lt;"&amp;'FA Addition'!$P$1)</f>
        <v>0</v>
      </c>
      <c r="Y1047" s="191">
        <f>IFERROR(W1047/'FA Addition'!$J1047*'FA Addition'!$L1047,0)</f>
        <v>0</v>
      </c>
      <c r="AA1047" s="116">
        <f>SUMIFS('FA Write off'!D:D,'FA Write off'!A:A,'FA Addition'!$A1047,'FA Write off'!C:C,"&lt;"&amp;'FA Addition'!$L$1+1,'FA Write off'!C:C,"&gt;"&amp;'FA Addition'!$L$1-365)</f>
        <v>0</v>
      </c>
      <c r="AC1047" s="118">
        <f>IFERROR(AA1047/'FA Addition'!$J1047*'FA Addition'!$L1047,0)</f>
        <v>0</v>
      </c>
      <c r="AE1047" s="117">
        <f>IF(AND('FA Addition'!$D1047&lt;$P$1+1,U1047=0),'FA Addition'!$L1047,0)-Y1047</f>
        <v>0</v>
      </c>
      <c r="AF1047" s="117">
        <f t="shared" si="80"/>
        <v>0</v>
      </c>
      <c r="AG1047" s="117">
        <f>MIN(MAX(+$P$1-'FA Addition'!$D1047,0),365*'FA Addition'!$O1047)</f>
        <v>0</v>
      </c>
      <c r="AH1047" s="117">
        <f>MIN(MAX($L$1-'FA Addition'!$D1047+1,0),365*'FA Addition'!$O1047)</f>
        <v>0</v>
      </c>
      <c r="AI1047" s="117" cm="1">
        <f t="array" ref="AI1047">_xlfn.XLOOKUP(1,('FA Write off'!A:A='FA Addition'!$A1047)*('FA Write off'!D:D=AA1047),'FA Write off'!H:H,0,0)</f>
        <v>0</v>
      </c>
      <c r="AJ1047" s="117">
        <f>IF(AC1047&gt;0,MAX(IF('FA Addition'!$N1047="SLM",($AC1047-'FA Addition'!$M1047)*'FA Addition'!$P1047*AI1047/365,(AC1047-'FA Addition'!$M1047)*(1-(1-'FA Addition'!$P1047)^(AI1047/365))),0),0)</f>
        <v>0</v>
      </c>
      <c r="AL1047" s="117">
        <f>MAX(IF(AG1047&gt;0,IF('FA Addition'!$N1047="SLM",($AE1047-'FA Addition'!$M1047)*'FA Addition'!$P1047*AG1047/365,IFERROR(VDB(AE1047,AE1047*0.05,'FA Addition'!$O1047,0,YEARFRAC('FA Addition'!$C1047,$P$1-1,3),'FA Addition'!$Q1047),FAAddition[[#This Row],[Original Cost (Rs)]]-FAAddition[[#This Row],[Salvage Value]])),0),0)</f>
        <v>0</v>
      </c>
      <c r="AM1047" s="119"/>
      <c r="AN1047" s="117">
        <f>MAX(IF(AH1047&gt;0,IF('FA Addition'!$N1047="SLM",($AF1047-'FA Addition'!$M1047)*'FA Addition'!$P1047*AH1047/365,IFERROR(VDB(AF1047,AF1047*0.05,'FA Addition'!$O1047,0,YEARFRAC('FA Addition'!$C1047,$L$1,3),'FA Addition'!$Q1047),FAAddition[[#This Row],[Original Cost (Rs)]]-FAAddition[[#This Row],[Salvage Value]])),0),0)</f>
        <v>0</v>
      </c>
      <c r="AO1047" s="117">
        <f t="shared" si="83"/>
        <v>0</v>
      </c>
      <c r="AQ1047" s="117">
        <f t="shared" si="81"/>
        <v>0</v>
      </c>
      <c r="AR1047" s="120">
        <f t="shared" si="82"/>
        <v>0</v>
      </c>
      <c r="AS1047" s="121"/>
    </row>
    <row r="1048" spans="1:45" ht="13.5" x14ac:dyDescent="0.4">
      <c r="A1048" s="12">
        <f t="shared" si="84"/>
        <v>1045</v>
      </c>
      <c r="B1048" s="64" t="s">
        <v>1758</v>
      </c>
      <c r="C1048" s="54">
        <v>45420</v>
      </c>
      <c r="D1048" s="54">
        <v>45420</v>
      </c>
      <c r="E1048" s="46" t="s">
        <v>523</v>
      </c>
      <c r="F1048" s="51" t="s">
        <v>279</v>
      </c>
      <c r="G1048" s="51" t="s">
        <v>1816</v>
      </c>
      <c r="H1048" s="51" t="s">
        <v>1365</v>
      </c>
      <c r="I1048" s="55" t="s">
        <v>1817</v>
      </c>
      <c r="J1048" s="56">
        <v>1</v>
      </c>
      <c r="K1048" s="51" t="s">
        <v>1818</v>
      </c>
      <c r="L1048" s="58">
        <v>8050.85</v>
      </c>
      <c r="M1048" s="50">
        <f>ROUND('FA Addition'!$L1048*5%,0.1)</f>
        <v>403</v>
      </c>
      <c r="N1048" s="113" t="str">
        <f>_xlfn.XLOOKUP(_xlfn.CONCAT(E1048,B1048),'Year Wise Master Dep Approach'!F:F,'Year Wise Master Dep Approach'!D:D)</f>
        <v>WDV</v>
      </c>
      <c r="O1048" s="113">
        <f>_xlfn.XLOOKUP(_xlfn.CONCAT(E1048,B1048),'Year Wise Master Dep Approach'!F:F,'Year Wise Master Dep Approach'!E:E)</f>
        <v>10</v>
      </c>
      <c r="P1048" s="114">
        <f>IFERROR(IF('FA Addition'!$N1048="WDV",1-('FA Addition'!$M1048/'FA Addition'!$L1048)^(1/'FA Addition'!$O1048),1/'FA Addition'!$O1048),0)</f>
        <v>0.25878136208743385</v>
      </c>
      <c r="Q1048" s="122">
        <f>'FA Addition'!$P1048*'FA Addition'!$O1048</f>
        <v>2.5878136208743383</v>
      </c>
      <c r="R1048" s="122"/>
      <c r="S1048" s="116">
        <f>IF(AND(DATE(20&amp;LEFT(FAAddition[[#This Row],[FY]],2),4,1)&lt;$L$1+1,DATE(20&amp;LEFT(FAAddition[[#This Row],[FY]],2),4,1)&gt;$P$1-1),'FA Addition'!$J1048,0)</f>
        <v>0</v>
      </c>
      <c r="U1048" s="117">
        <f>S1048*'FA Addition'!$L1048/'FA Addition'!$J1048</f>
        <v>0</v>
      </c>
      <c r="W1048" s="116">
        <f>SUMIFS('FA Write off'!D:D,'FA Write off'!A:A,'FA Addition'!$A1048,'FA Write off'!C:C,"&lt;"&amp;'FA Addition'!$P$1)</f>
        <v>0</v>
      </c>
      <c r="Y1048" s="191">
        <f>IFERROR(W1048/'FA Addition'!$J1048*'FA Addition'!$L1048,0)</f>
        <v>0</v>
      </c>
      <c r="AA1048" s="116">
        <f>SUMIFS('FA Write off'!D:D,'FA Write off'!A:A,'FA Addition'!$A1048,'FA Write off'!C:C,"&lt;"&amp;'FA Addition'!$L$1+1,'FA Write off'!C:C,"&gt;"&amp;'FA Addition'!$L$1-365)</f>
        <v>0</v>
      </c>
      <c r="AC1048" s="118">
        <f>IFERROR(AA1048/'FA Addition'!$J1048*'FA Addition'!$L1048,0)</f>
        <v>0</v>
      </c>
      <c r="AE1048" s="117">
        <f>IF(AND('FA Addition'!$D1048&lt;$P$1+1,U1048=0),'FA Addition'!$L1048,0)-Y1048</f>
        <v>0</v>
      </c>
      <c r="AF1048" s="117">
        <f t="shared" si="80"/>
        <v>0</v>
      </c>
      <c r="AG1048" s="117">
        <f>MIN(MAX(+$P$1-'FA Addition'!$D1048,0),365*'FA Addition'!$O1048)</f>
        <v>0</v>
      </c>
      <c r="AH1048" s="117">
        <f>MIN(MAX($L$1-'FA Addition'!$D1048+1,0),365*'FA Addition'!$O1048)</f>
        <v>0</v>
      </c>
      <c r="AI1048" s="117" cm="1">
        <f t="array" ref="AI1048">_xlfn.XLOOKUP(1,('FA Write off'!A:A='FA Addition'!$A1048)*('FA Write off'!D:D=AA1048),'FA Write off'!H:H,0,0)</f>
        <v>0</v>
      </c>
      <c r="AJ1048" s="117">
        <f>IF(AC1048&gt;0,MAX(IF('FA Addition'!$N1048="SLM",($AC1048-'FA Addition'!$M1048)*'FA Addition'!$P1048*AI1048/365,(AC1048-'FA Addition'!$M1048)*(1-(1-'FA Addition'!$P1048)^(AI1048/365))),0),0)</f>
        <v>0</v>
      </c>
      <c r="AL1048" s="117">
        <f>MAX(IF(AG1048&gt;0,IF('FA Addition'!$N1048="SLM",($AE1048-'FA Addition'!$M1048)*'FA Addition'!$P1048*AG1048/365,IFERROR(VDB(AE1048,AE1048*0.05,'FA Addition'!$O1048,0,YEARFRAC('FA Addition'!$C1048,$P$1-1,3),'FA Addition'!$Q1048),FAAddition[[#This Row],[Original Cost (Rs)]]-FAAddition[[#This Row],[Salvage Value]])),0),0)</f>
        <v>0</v>
      </c>
      <c r="AM1048" s="119"/>
      <c r="AN1048" s="117">
        <f>MAX(IF(AH1048&gt;0,IF('FA Addition'!$N1048="SLM",($AF1048-'FA Addition'!$M1048)*'FA Addition'!$P1048*AH1048/365,IFERROR(VDB(AF1048,AF1048*0.05,'FA Addition'!$O1048,0,YEARFRAC('FA Addition'!$C1048,$L$1,3),'FA Addition'!$Q1048),FAAddition[[#This Row],[Original Cost (Rs)]]-FAAddition[[#This Row],[Salvage Value]])),0),0)</f>
        <v>0</v>
      </c>
      <c r="AO1048" s="117">
        <f t="shared" si="83"/>
        <v>0</v>
      </c>
      <c r="AQ1048" s="117">
        <f t="shared" si="81"/>
        <v>0</v>
      </c>
      <c r="AR1048" s="120">
        <f t="shared" si="82"/>
        <v>0</v>
      </c>
      <c r="AS1048" s="121"/>
    </row>
    <row r="1049" spans="1:45" ht="13.5" x14ac:dyDescent="0.4">
      <c r="A1049" s="12">
        <f t="shared" si="84"/>
        <v>1046</v>
      </c>
      <c r="B1049" s="64" t="s">
        <v>1758</v>
      </c>
      <c r="C1049" s="54">
        <v>45420</v>
      </c>
      <c r="D1049" s="54">
        <v>45420</v>
      </c>
      <c r="E1049" s="46" t="s">
        <v>32</v>
      </c>
      <c r="F1049" s="51" t="s">
        <v>1090</v>
      </c>
      <c r="G1049" s="51" t="s">
        <v>1819</v>
      </c>
      <c r="H1049" s="51" t="s">
        <v>173</v>
      </c>
      <c r="I1049" s="55" t="s">
        <v>1820</v>
      </c>
      <c r="J1049" s="56">
        <v>1</v>
      </c>
      <c r="K1049" s="51" t="s">
        <v>1821</v>
      </c>
      <c r="L1049" s="58">
        <v>6227.97</v>
      </c>
      <c r="M1049" s="50">
        <f>ROUND('FA Addition'!$L1049*5%,0.1)</f>
        <v>311</v>
      </c>
      <c r="N1049" s="113" t="str">
        <f>_xlfn.XLOOKUP(_xlfn.CONCAT(E1049,B1049),'Year Wise Master Dep Approach'!F:F,'Year Wise Master Dep Approach'!D:D)</f>
        <v>SLM</v>
      </c>
      <c r="O1049" s="113">
        <f>_xlfn.XLOOKUP(_xlfn.CONCAT(E1049,B1049),'Year Wise Master Dep Approach'!F:F,'Year Wise Master Dep Approach'!E:E)</f>
        <v>5</v>
      </c>
      <c r="P1049" s="114">
        <f>IFERROR(IF('FA Addition'!$N1049="WDV",1-('FA Addition'!$M1049/'FA Addition'!$L1049)^(1/'FA Addition'!$O1049),1/'FA Addition'!$O1049),0)</f>
        <v>0.2</v>
      </c>
      <c r="Q1049" s="122">
        <f>'FA Addition'!$P1049*'FA Addition'!$O1049</f>
        <v>1</v>
      </c>
      <c r="R1049" s="122"/>
      <c r="S1049" s="116">
        <f>IF(AND(DATE(20&amp;LEFT(FAAddition[[#This Row],[FY]],2),4,1)&lt;$L$1+1,DATE(20&amp;LEFT(FAAddition[[#This Row],[FY]],2),4,1)&gt;$P$1-1),'FA Addition'!$J1049,0)</f>
        <v>0</v>
      </c>
      <c r="U1049" s="117">
        <f>S1049*'FA Addition'!$L1049/'FA Addition'!$J1049</f>
        <v>0</v>
      </c>
      <c r="W1049" s="116">
        <f>SUMIFS('FA Write off'!D:D,'FA Write off'!A:A,'FA Addition'!$A1049,'FA Write off'!C:C,"&lt;"&amp;'FA Addition'!$P$1)</f>
        <v>0</v>
      </c>
      <c r="Y1049" s="191">
        <f>IFERROR(W1049/'FA Addition'!$J1049*'FA Addition'!$L1049,0)</f>
        <v>0</v>
      </c>
      <c r="AA1049" s="116">
        <f>SUMIFS('FA Write off'!D:D,'FA Write off'!A:A,'FA Addition'!$A1049,'FA Write off'!C:C,"&lt;"&amp;'FA Addition'!$L$1+1,'FA Write off'!C:C,"&gt;"&amp;'FA Addition'!$L$1-365)</f>
        <v>0</v>
      </c>
      <c r="AC1049" s="118">
        <f>IFERROR(AA1049/'FA Addition'!$J1049*'FA Addition'!$L1049,0)</f>
        <v>0</v>
      </c>
      <c r="AE1049" s="117">
        <f>IF(AND('FA Addition'!$D1049&lt;$P$1+1,U1049=0),'FA Addition'!$L1049,0)-Y1049</f>
        <v>0</v>
      </c>
      <c r="AF1049" s="117">
        <f t="shared" si="80"/>
        <v>0</v>
      </c>
      <c r="AG1049" s="117">
        <f>MIN(MAX(+$P$1-'FA Addition'!$D1049,0),365*'FA Addition'!$O1049)</f>
        <v>0</v>
      </c>
      <c r="AH1049" s="117">
        <f>MIN(MAX($L$1-'FA Addition'!$D1049+1,0),365*'FA Addition'!$O1049)</f>
        <v>0</v>
      </c>
      <c r="AI1049" s="117" cm="1">
        <f t="array" ref="AI1049">_xlfn.XLOOKUP(1,('FA Write off'!A:A='FA Addition'!$A1049)*('FA Write off'!D:D=AA1049),'FA Write off'!H:H,0,0)</f>
        <v>0</v>
      </c>
      <c r="AJ1049" s="117">
        <f>IF(AC1049&gt;0,MAX(IF('FA Addition'!$N1049="SLM",($AC1049-'FA Addition'!$M1049)*'FA Addition'!$P1049*AI1049/365,(AC1049-'FA Addition'!$M1049)*(1-(1-'FA Addition'!$P1049)^(AI1049/365))),0),0)</f>
        <v>0</v>
      </c>
      <c r="AL1049" s="117">
        <f>MAX(IF(AG1049&gt;0,IF('FA Addition'!$N1049="SLM",($AE1049-'FA Addition'!$M1049)*'FA Addition'!$P1049*AG1049/365,IFERROR(VDB(AE1049,AE1049*0.05,'FA Addition'!$O1049,0,YEARFRAC('FA Addition'!$C1049,$P$1-1,3),'FA Addition'!$Q1049),FAAddition[[#This Row],[Original Cost (Rs)]]-FAAddition[[#This Row],[Salvage Value]])),0),0)</f>
        <v>0</v>
      </c>
      <c r="AM1049" s="119"/>
      <c r="AN1049" s="117">
        <f>MAX(IF(AH1049&gt;0,IF('FA Addition'!$N1049="SLM",($AF1049-'FA Addition'!$M1049)*'FA Addition'!$P1049*AH1049/365,IFERROR(VDB(AF1049,AF1049*0.05,'FA Addition'!$O1049,0,YEARFRAC('FA Addition'!$C1049,$L$1,3),'FA Addition'!$Q1049),FAAddition[[#This Row],[Original Cost (Rs)]]-FAAddition[[#This Row],[Salvage Value]])),0),0)</f>
        <v>0</v>
      </c>
      <c r="AO1049" s="117">
        <f t="shared" si="83"/>
        <v>0</v>
      </c>
      <c r="AQ1049" s="117">
        <f t="shared" si="81"/>
        <v>0</v>
      </c>
      <c r="AR1049" s="120">
        <f t="shared" si="82"/>
        <v>0</v>
      </c>
      <c r="AS1049" s="121"/>
    </row>
    <row r="1050" spans="1:45" ht="13.5" x14ac:dyDescent="0.4">
      <c r="A1050" s="12">
        <f t="shared" si="84"/>
        <v>1047</v>
      </c>
      <c r="B1050" s="64" t="s">
        <v>1758</v>
      </c>
      <c r="C1050" s="54">
        <v>45421</v>
      </c>
      <c r="D1050" s="54">
        <v>45421</v>
      </c>
      <c r="E1050" s="46" t="s">
        <v>1320</v>
      </c>
      <c r="F1050" s="51" t="s">
        <v>1822</v>
      </c>
      <c r="G1050" s="51" t="s">
        <v>36</v>
      </c>
      <c r="H1050" s="51" t="s">
        <v>26</v>
      </c>
      <c r="I1050" s="55" t="s">
        <v>1823</v>
      </c>
      <c r="J1050" s="56">
        <v>500</v>
      </c>
      <c r="K1050" s="51" t="s">
        <v>1824</v>
      </c>
      <c r="L1050" s="58">
        <v>60000</v>
      </c>
      <c r="M1050" s="50">
        <f>ROUND('FA Addition'!$L1050*5%,0.1)</f>
        <v>3000</v>
      </c>
      <c r="N1050" s="113" t="str">
        <f>_xlfn.XLOOKUP(_xlfn.CONCAT(E1050,B1050),'Year Wise Master Dep Approach'!F:F,'Year Wise Master Dep Approach'!D:D)</f>
        <v>SLM</v>
      </c>
      <c r="O1050" s="113">
        <f>_xlfn.XLOOKUP(_xlfn.CONCAT(E1050,B1050),'Year Wise Master Dep Approach'!F:F,'Year Wise Master Dep Approach'!E:E)</f>
        <v>5</v>
      </c>
      <c r="P1050" s="114">
        <f>IFERROR(IF('FA Addition'!$N1050="WDV",1-('FA Addition'!$M1050/'FA Addition'!$L1050)^(1/'FA Addition'!$O1050),1/'FA Addition'!$O1050),0)</f>
        <v>0.2</v>
      </c>
      <c r="Q1050" s="122">
        <f>'FA Addition'!$P1050*'FA Addition'!$O1050</f>
        <v>1</v>
      </c>
      <c r="R1050" s="122"/>
      <c r="S1050" s="116">
        <f>IF(AND(DATE(20&amp;LEFT(FAAddition[[#This Row],[FY]],2),4,1)&lt;$L$1+1,DATE(20&amp;LEFT(FAAddition[[#This Row],[FY]],2),4,1)&gt;$P$1-1),'FA Addition'!$J1050,0)</f>
        <v>0</v>
      </c>
      <c r="U1050" s="117">
        <f>S1050*'FA Addition'!$L1050/'FA Addition'!$J1050</f>
        <v>0</v>
      </c>
      <c r="W1050" s="116">
        <f>SUMIFS('FA Write off'!D:D,'FA Write off'!A:A,'FA Addition'!$A1050,'FA Write off'!C:C,"&lt;"&amp;'FA Addition'!$P$1)</f>
        <v>0</v>
      </c>
      <c r="Y1050" s="191">
        <f>IFERROR(W1050/'FA Addition'!$J1050*'FA Addition'!$L1050,0)</f>
        <v>0</v>
      </c>
      <c r="AA1050" s="116">
        <f>SUMIFS('FA Write off'!D:D,'FA Write off'!A:A,'FA Addition'!$A1050,'FA Write off'!C:C,"&lt;"&amp;'FA Addition'!$L$1+1,'FA Write off'!C:C,"&gt;"&amp;'FA Addition'!$L$1-365)</f>
        <v>0</v>
      </c>
      <c r="AC1050" s="118">
        <f>IFERROR(AA1050/'FA Addition'!$J1050*'FA Addition'!$L1050,0)</f>
        <v>0</v>
      </c>
      <c r="AE1050" s="117">
        <f>IF(AND('FA Addition'!$D1050&lt;$P$1+1,U1050=0),'FA Addition'!$L1050,0)-Y1050</f>
        <v>0</v>
      </c>
      <c r="AF1050" s="117">
        <f t="shared" si="80"/>
        <v>0</v>
      </c>
      <c r="AG1050" s="117">
        <f>MIN(MAX(+$P$1-'FA Addition'!$D1050,0),365*'FA Addition'!$O1050)</f>
        <v>0</v>
      </c>
      <c r="AH1050" s="117">
        <f>MIN(MAX($L$1-'FA Addition'!$D1050+1,0),365*'FA Addition'!$O1050)</f>
        <v>0</v>
      </c>
      <c r="AI1050" s="117" cm="1">
        <f t="array" ref="AI1050">_xlfn.XLOOKUP(1,('FA Write off'!A:A='FA Addition'!$A1050)*('FA Write off'!D:D=AA1050),'FA Write off'!H:H,0,0)</f>
        <v>0</v>
      </c>
      <c r="AJ1050" s="117">
        <f>IF(AC1050&gt;0,MAX(IF('FA Addition'!$N1050="SLM",($AC1050-'FA Addition'!$M1050)*'FA Addition'!$P1050*AI1050/365,(AC1050-'FA Addition'!$M1050)*(1-(1-'FA Addition'!$P1050)^(AI1050/365))),0),0)</f>
        <v>0</v>
      </c>
      <c r="AL1050" s="117">
        <f>MAX(IF(AG1050&gt;0,IF('FA Addition'!$N1050="SLM",($AE1050-'FA Addition'!$M1050)*'FA Addition'!$P1050*AG1050/365,IFERROR(VDB(AE1050,AE1050*0.05,'FA Addition'!$O1050,0,YEARFRAC('FA Addition'!$C1050,$P$1-1,3),'FA Addition'!$Q1050),FAAddition[[#This Row],[Original Cost (Rs)]]-FAAddition[[#This Row],[Salvage Value]])),0),0)</f>
        <v>0</v>
      </c>
      <c r="AM1050" s="119"/>
      <c r="AN1050" s="117">
        <f>MAX(IF(AH1050&gt;0,IF('FA Addition'!$N1050="SLM",($AF1050-'FA Addition'!$M1050)*'FA Addition'!$P1050*AH1050/365,IFERROR(VDB(AF1050,AF1050*0.05,'FA Addition'!$O1050,0,YEARFRAC('FA Addition'!$C1050,$L$1,3),'FA Addition'!$Q1050),FAAddition[[#This Row],[Original Cost (Rs)]]-FAAddition[[#This Row],[Salvage Value]])),0),0)</f>
        <v>0</v>
      </c>
      <c r="AO1050" s="117">
        <f t="shared" si="83"/>
        <v>0</v>
      </c>
      <c r="AQ1050" s="117">
        <f t="shared" si="81"/>
        <v>0</v>
      </c>
      <c r="AR1050" s="120">
        <f t="shared" si="82"/>
        <v>0</v>
      </c>
      <c r="AS1050" s="121"/>
    </row>
    <row r="1051" spans="1:45" ht="13.5" x14ac:dyDescent="0.4">
      <c r="A1051" s="12">
        <f t="shared" si="84"/>
        <v>1048</v>
      </c>
      <c r="B1051" s="64" t="s">
        <v>1758</v>
      </c>
      <c r="C1051" s="54">
        <v>45422</v>
      </c>
      <c r="D1051" s="54">
        <v>45422</v>
      </c>
      <c r="E1051" s="46" t="s">
        <v>451</v>
      </c>
      <c r="F1051" s="51" t="s">
        <v>19</v>
      </c>
      <c r="G1051" s="51" t="s">
        <v>1728</v>
      </c>
      <c r="H1051" s="51" t="s">
        <v>151</v>
      </c>
      <c r="I1051" s="55" t="s">
        <v>1825</v>
      </c>
      <c r="J1051" s="56">
        <v>1</v>
      </c>
      <c r="K1051" s="51" t="s">
        <v>1826</v>
      </c>
      <c r="L1051" s="58">
        <v>12900</v>
      </c>
      <c r="M1051" s="50">
        <f>ROUND('FA Addition'!$L1051*5%,0.1)</f>
        <v>645</v>
      </c>
      <c r="N1051" s="113" t="str">
        <f>_xlfn.XLOOKUP(_xlfn.CONCAT(E1051,B1051),'Year Wise Master Dep Approach'!F:F,'Year Wise Master Dep Approach'!D:D)</f>
        <v>WDV</v>
      </c>
      <c r="O1051" s="113">
        <f>_xlfn.XLOOKUP(_xlfn.CONCAT(E1051,B1051),'Year Wise Master Dep Approach'!F:F,'Year Wise Master Dep Approach'!E:E)</f>
        <v>3</v>
      </c>
      <c r="P1051" s="114">
        <f>IFERROR(IF('FA Addition'!$N1051="WDV",1-('FA Addition'!$M1051/'FA Addition'!$L1051)^(1/'FA Addition'!$O1051),1/'FA Addition'!$O1051),0)</f>
        <v>0.63159685013596123</v>
      </c>
      <c r="Q1051" s="122">
        <f>'FA Addition'!$P1051*'FA Addition'!$O1051</f>
        <v>1.8947905504078837</v>
      </c>
      <c r="R1051" s="122"/>
      <c r="S1051" s="116">
        <f>IF(AND(DATE(20&amp;LEFT(FAAddition[[#This Row],[FY]],2),4,1)&lt;$L$1+1,DATE(20&amp;LEFT(FAAddition[[#This Row],[FY]],2),4,1)&gt;$P$1-1),'FA Addition'!$J1051,0)</f>
        <v>0</v>
      </c>
      <c r="U1051" s="117">
        <f>S1051*'FA Addition'!$L1051/'FA Addition'!$J1051</f>
        <v>0</v>
      </c>
      <c r="W1051" s="116">
        <f>SUMIFS('FA Write off'!D:D,'FA Write off'!A:A,'FA Addition'!$A1051,'FA Write off'!C:C,"&lt;"&amp;'FA Addition'!$P$1)</f>
        <v>0</v>
      </c>
      <c r="Y1051" s="191">
        <f>IFERROR(W1051/'FA Addition'!$J1051*'FA Addition'!$L1051,0)</f>
        <v>0</v>
      </c>
      <c r="AA1051" s="116">
        <f>SUMIFS('FA Write off'!D:D,'FA Write off'!A:A,'FA Addition'!$A1051,'FA Write off'!C:C,"&lt;"&amp;'FA Addition'!$L$1+1,'FA Write off'!C:C,"&gt;"&amp;'FA Addition'!$L$1-365)</f>
        <v>0</v>
      </c>
      <c r="AC1051" s="118">
        <f>IFERROR(AA1051/'FA Addition'!$J1051*'FA Addition'!$L1051,0)</f>
        <v>0</v>
      </c>
      <c r="AE1051" s="117">
        <f>IF(AND('FA Addition'!$D1051&lt;$P$1+1,U1051=0),'FA Addition'!$L1051,0)-Y1051</f>
        <v>0</v>
      </c>
      <c r="AF1051" s="117">
        <f t="shared" si="80"/>
        <v>0</v>
      </c>
      <c r="AG1051" s="117">
        <f>MIN(MAX(+$P$1-'FA Addition'!$D1051,0),365*'FA Addition'!$O1051)</f>
        <v>0</v>
      </c>
      <c r="AH1051" s="117">
        <f>MIN(MAX($L$1-'FA Addition'!$D1051+1,0),365*'FA Addition'!$O1051)</f>
        <v>0</v>
      </c>
      <c r="AI1051" s="117" cm="1">
        <f t="array" ref="AI1051">_xlfn.XLOOKUP(1,('FA Write off'!A:A='FA Addition'!$A1051)*('FA Write off'!D:D=AA1051),'FA Write off'!H:H,0,0)</f>
        <v>0</v>
      </c>
      <c r="AJ1051" s="117">
        <f>IF(AC1051&gt;0,MAX(IF('FA Addition'!$N1051="SLM",($AC1051-'FA Addition'!$M1051)*'FA Addition'!$P1051*AI1051/365,(AC1051-'FA Addition'!$M1051)*(1-(1-'FA Addition'!$P1051)^(AI1051/365))),0),0)</f>
        <v>0</v>
      </c>
      <c r="AL1051" s="117">
        <f>MAX(IF(AG1051&gt;0,IF('FA Addition'!$N1051="SLM",($AE1051-'FA Addition'!$M1051)*'FA Addition'!$P1051*AG1051/365,IFERROR(VDB(AE1051,AE1051*0.05,'FA Addition'!$O1051,0,YEARFRAC('FA Addition'!$C1051,$P$1-1,3),'FA Addition'!$Q1051),FAAddition[[#This Row],[Original Cost (Rs)]]-FAAddition[[#This Row],[Salvage Value]])),0),0)</f>
        <v>0</v>
      </c>
      <c r="AM1051" s="119"/>
      <c r="AN1051" s="117">
        <f>MAX(IF(AH1051&gt;0,IF('FA Addition'!$N1051="SLM",($AF1051-'FA Addition'!$M1051)*'FA Addition'!$P1051*AH1051/365,IFERROR(VDB(AF1051,AF1051*0.05,'FA Addition'!$O1051,0,YEARFRAC('FA Addition'!$C1051,$L$1,3),'FA Addition'!$Q1051),FAAddition[[#This Row],[Original Cost (Rs)]]-FAAddition[[#This Row],[Salvage Value]])),0),0)</f>
        <v>0</v>
      </c>
      <c r="AO1051" s="117">
        <f t="shared" si="83"/>
        <v>0</v>
      </c>
      <c r="AQ1051" s="117">
        <f t="shared" si="81"/>
        <v>0</v>
      </c>
      <c r="AR1051" s="120">
        <f t="shared" si="82"/>
        <v>0</v>
      </c>
      <c r="AS1051" s="121"/>
    </row>
    <row r="1052" spans="1:45" ht="13.5" x14ac:dyDescent="0.4">
      <c r="A1052" s="12">
        <f t="shared" si="84"/>
        <v>1049</v>
      </c>
      <c r="B1052" s="64" t="s">
        <v>1758</v>
      </c>
      <c r="C1052" s="54">
        <v>45422</v>
      </c>
      <c r="D1052" s="54">
        <v>45422</v>
      </c>
      <c r="E1052" s="46" t="s">
        <v>451</v>
      </c>
      <c r="F1052" s="51" t="s">
        <v>19</v>
      </c>
      <c r="G1052" s="51" t="s">
        <v>1728</v>
      </c>
      <c r="H1052" s="51" t="s">
        <v>151</v>
      </c>
      <c r="I1052" s="55" t="s">
        <v>1827</v>
      </c>
      <c r="J1052" s="56">
        <v>1</v>
      </c>
      <c r="K1052" s="51" t="s">
        <v>1828</v>
      </c>
      <c r="L1052" s="58">
        <v>12712</v>
      </c>
      <c r="M1052" s="50">
        <f>ROUND('FA Addition'!$L1052*5%,0.1)</f>
        <v>636</v>
      </c>
      <c r="N1052" s="113" t="str">
        <f>_xlfn.XLOOKUP(_xlfn.CONCAT(E1052,B1052),'Year Wise Master Dep Approach'!F:F,'Year Wise Master Dep Approach'!D:D)</f>
        <v>WDV</v>
      </c>
      <c r="O1052" s="113">
        <f>_xlfn.XLOOKUP(_xlfn.CONCAT(E1052,B1052),'Year Wise Master Dep Approach'!F:F,'Year Wise Master Dep Approach'!E:E)</f>
        <v>3</v>
      </c>
      <c r="P1052" s="114">
        <f>IFERROR(IF('FA Addition'!$N1052="WDV",1-('FA Addition'!$M1052/'FA Addition'!$L1052)^(1/'FA Addition'!$O1052),1/'FA Addition'!$O1052),0)</f>
        <v>0.63151958437239886</v>
      </c>
      <c r="Q1052" s="122">
        <f>'FA Addition'!$P1052*'FA Addition'!$O1052</f>
        <v>1.8945587531171966</v>
      </c>
      <c r="R1052" s="122"/>
      <c r="S1052" s="116">
        <f>IF(AND(DATE(20&amp;LEFT(FAAddition[[#This Row],[FY]],2),4,1)&lt;$L$1+1,DATE(20&amp;LEFT(FAAddition[[#This Row],[FY]],2),4,1)&gt;$P$1-1),'FA Addition'!$J1052,0)</f>
        <v>0</v>
      </c>
      <c r="U1052" s="117">
        <f>S1052*'FA Addition'!$L1052/'FA Addition'!$J1052</f>
        <v>0</v>
      </c>
      <c r="W1052" s="116">
        <f>SUMIFS('FA Write off'!D:D,'FA Write off'!A:A,'FA Addition'!$A1052,'FA Write off'!C:C,"&lt;"&amp;'FA Addition'!$P$1)</f>
        <v>0</v>
      </c>
      <c r="Y1052" s="191">
        <f>IFERROR(W1052/'FA Addition'!$J1052*'FA Addition'!$L1052,0)</f>
        <v>0</v>
      </c>
      <c r="AA1052" s="116">
        <f>SUMIFS('FA Write off'!D:D,'FA Write off'!A:A,'FA Addition'!$A1052,'FA Write off'!C:C,"&lt;"&amp;'FA Addition'!$L$1+1,'FA Write off'!C:C,"&gt;"&amp;'FA Addition'!$L$1-365)</f>
        <v>0</v>
      </c>
      <c r="AC1052" s="118">
        <f>IFERROR(AA1052/'FA Addition'!$J1052*'FA Addition'!$L1052,0)</f>
        <v>0</v>
      </c>
      <c r="AE1052" s="117">
        <f>IF(AND('FA Addition'!$D1052&lt;$P$1+1,U1052=0),'FA Addition'!$L1052,0)-Y1052</f>
        <v>0</v>
      </c>
      <c r="AF1052" s="117">
        <f t="shared" si="80"/>
        <v>0</v>
      </c>
      <c r="AG1052" s="117">
        <f>MIN(MAX(+$P$1-'FA Addition'!$D1052,0),365*'FA Addition'!$O1052)</f>
        <v>0</v>
      </c>
      <c r="AH1052" s="117">
        <f>MIN(MAX($L$1-'FA Addition'!$D1052+1,0),365*'FA Addition'!$O1052)</f>
        <v>0</v>
      </c>
      <c r="AI1052" s="117" cm="1">
        <f t="array" ref="AI1052">_xlfn.XLOOKUP(1,('FA Write off'!A:A='FA Addition'!$A1052)*('FA Write off'!D:D=AA1052),'FA Write off'!H:H,0,0)</f>
        <v>0</v>
      </c>
      <c r="AJ1052" s="117">
        <f>IF(AC1052&gt;0,MAX(IF('FA Addition'!$N1052="SLM",($AC1052-'FA Addition'!$M1052)*'FA Addition'!$P1052*AI1052/365,(AC1052-'FA Addition'!$M1052)*(1-(1-'FA Addition'!$P1052)^(AI1052/365))),0),0)</f>
        <v>0</v>
      </c>
      <c r="AL1052" s="117">
        <f>MAX(IF(AG1052&gt;0,IF('FA Addition'!$N1052="SLM",($AE1052-'FA Addition'!$M1052)*'FA Addition'!$P1052*AG1052/365,IFERROR(VDB(AE1052,AE1052*0.05,'FA Addition'!$O1052,0,YEARFRAC('FA Addition'!$C1052,$P$1-1,3),'FA Addition'!$Q1052),FAAddition[[#This Row],[Original Cost (Rs)]]-FAAddition[[#This Row],[Salvage Value]])),0),0)</f>
        <v>0</v>
      </c>
      <c r="AM1052" s="119"/>
      <c r="AN1052" s="117">
        <f>MAX(IF(AH1052&gt;0,IF('FA Addition'!$N1052="SLM",($AF1052-'FA Addition'!$M1052)*'FA Addition'!$P1052*AH1052/365,IFERROR(VDB(AF1052,AF1052*0.05,'FA Addition'!$O1052,0,YEARFRAC('FA Addition'!$C1052,$L$1,3),'FA Addition'!$Q1052),FAAddition[[#This Row],[Original Cost (Rs)]]-FAAddition[[#This Row],[Salvage Value]])),0),0)</f>
        <v>0</v>
      </c>
      <c r="AO1052" s="117">
        <f t="shared" si="83"/>
        <v>0</v>
      </c>
      <c r="AQ1052" s="117">
        <f t="shared" si="81"/>
        <v>0</v>
      </c>
      <c r="AR1052" s="120">
        <f t="shared" si="82"/>
        <v>0</v>
      </c>
      <c r="AS1052" s="121"/>
    </row>
    <row r="1053" spans="1:45" ht="13.5" x14ac:dyDescent="0.4">
      <c r="A1053" s="12">
        <f t="shared" si="84"/>
        <v>1050</v>
      </c>
      <c r="B1053" s="64" t="s">
        <v>1758</v>
      </c>
      <c r="C1053" s="54">
        <v>45422</v>
      </c>
      <c r="D1053" s="54">
        <v>45422</v>
      </c>
      <c r="E1053" s="46" t="s">
        <v>1320</v>
      </c>
      <c r="F1053" s="51" t="s">
        <v>33</v>
      </c>
      <c r="G1053" s="51" t="s">
        <v>36</v>
      </c>
      <c r="H1053" s="51" t="s">
        <v>32</v>
      </c>
      <c r="I1053" s="55" t="s">
        <v>1829</v>
      </c>
      <c r="J1053" s="56">
        <v>500</v>
      </c>
      <c r="K1053" s="51" t="s">
        <v>296</v>
      </c>
      <c r="L1053" s="58">
        <v>825000</v>
      </c>
      <c r="M1053" s="50">
        <f>ROUND('FA Addition'!$L1053*5%,0.1)</f>
        <v>41250</v>
      </c>
      <c r="N1053" s="113" t="str">
        <f>_xlfn.XLOOKUP(_xlfn.CONCAT(E1053,B1053),'Year Wise Master Dep Approach'!F:F,'Year Wise Master Dep Approach'!D:D)</f>
        <v>SLM</v>
      </c>
      <c r="O1053" s="113">
        <f>_xlfn.XLOOKUP(_xlfn.CONCAT(E1053,B1053),'Year Wise Master Dep Approach'!F:F,'Year Wise Master Dep Approach'!E:E)</f>
        <v>5</v>
      </c>
      <c r="P1053" s="114">
        <f>IFERROR(IF('FA Addition'!$N1053="WDV",1-('FA Addition'!$M1053/'FA Addition'!$L1053)^(1/'FA Addition'!$O1053),1/'FA Addition'!$O1053),0)</f>
        <v>0.2</v>
      </c>
      <c r="Q1053" s="122">
        <f>'FA Addition'!$P1053*'FA Addition'!$O1053</f>
        <v>1</v>
      </c>
      <c r="R1053" s="122"/>
      <c r="S1053" s="116">
        <f>IF(AND(DATE(20&amp;LEFT(FAAddition[[#This Row],[FY]],2),4,1)&lt;$L$1+1,DATE(20&amp;LEFT(FAAddition[[#This Row],[FY]],2),4,1)&gt;$P$1-1),'FA Addition'!$J1053,0)</f>
        <v>0</v>
      </c>
      <c r="U1053" s="117">
        <f>S1053*'FA Addition'!$L1053/'FA Addition'!$J1053</f>
        <v>0</v>
      </c>
      <c r="W1053" s="116">
        <f>SUMIFS('FA Write off'!D:D,'FA Write off'!A:A,'FA Addition'!$A1053,'FA Write off'!C:C,"&lt;"&amp;'FA Addition'!$P$1)</f>
        <v>0</v>
      </c>
      <c r="Y1053" s="191">
        <f>IFERROR(W1053/'FA Addition'!$J1053*'FA Addition'!$L1053,0)</f>
        <v>0</v>
      </c>
      <c r="AA1053" s="116">
        <f>SUMIFS('FA Write off'!D:D,'FA Write off'!A:A,'FA Addition'!$A1053,'FA Write off'!C:C,"&lt;"&amp;'FA Addition'!$L$1+1,'FA Write off'!C:C,"&gt;"&amp;'FA Addition'!$L$1-365)</f>
        <v>0</v>
      </c>
      <c r="AC1053" s="118">
        <f>IFERROR(AA1053/'FA Addition'!$J1053*'FA Addition'!$L1053,0)</f>
        <v>0</v>
      </c>
      <c r="AE1053" s="117">
        <f>IF(AND('FA Addition'!$D1053&lt;$P$1+1,U1053=0),'FA Addition'!$L1053,0)-Y1053</f>
        <v>0</v>
      </c>
      <c r="AF1053" s="117">
        <f t="shared" si="80"/>
        <v>0</v>
      </c>
      <c r="AG1053" s="117">
        <f>MIN(MAX(+$P$1-'FA Addition'!$D1053,0),365*'FA Addition'!$O1053)</f>
        <v>0</v>
      </c>
      <c r="AH1053" s="117">
        <f>MIN(MAX($L$1-'FA Addition'!$D1053+1,0),365*'FA Addition'!$O1053)</f>
        <v>0</v>
      </c>
      <c r="AI1053" s="117" cm="1">
        <f t="array" ref="AI1053">_xlfn.XLOOKUP(1,('FA Write off'!A:A='FA Addition'!$A1053)*('FA Write off'!D:D=AA1053),'FA Write off'!H:H,0,0)</f>
        <v>0</v>
      </c>
      <c r="AJ1053" s="117">
        <f>IF(AC1053&gt;0,MAX(IF('FA Addition'!$N1053="SLM",($AC1053-'FA Addition'!$M1053)*'FA Addition'!$P1053*AI1053/365,(AC1053-'FA Addition'!$M1053)*(1-(1-'FA Addition'!$P1053)^(AI1053/365))),0),0)</f>
        <v>0</v>
      </c>
      <c r="AL1053" s="117">
        <f>MAX(IF(AG1053&gt;0,IF('FA Addition'!$N1053="SLM",($AE1053-'FA Addition'!$M1053)*'FA Addition'!$P1053*AG1053/365,IFERROR(VDB(AE1053,AE1053*0.05,'FA Addition'!$O1053,0,YEARFRAC('FA Addition'!$C1053,$P$1-1,3),'FA Addition'!$Q1053),FAAddition[[#This Row],[Original Cost (Rs)]]-FAAddition[[#This Row],[Salvage Value]])),0),0)</f>
        <v>0</v>
      </c>
      <c r="AM1053" s="119"/>
      <c r="AN1053" s="117">
        <f>MAX(IF(AH1053&gt;0,IF('FA Addition'!$N1053="SLM",($AF1053-'FA Addition'!$M1053)*'FA Addition'!$P1053*AH1053/365,IFERROR(VDB(AF1053,AF1053*0.05,'FA Addition'!$O1053,0,YEARFRAC('FA Addition'!$C1053,$L$1,3),'FA Addition'!$Q1053),FAAddition[[#This Row],[Original Cost (Rs)]]-FAAddition[[#This Row],[Salvage Value]])),0),0)</f>
        <v>0</v>
      </c>
      <c r="AO1053" s="117">
        <f t="shared" si="83"/>
        <v>0</v>
      </c>
      <c r="AQ1053" s="117">
        <f t="shared" si="81"/>
        <v>0</v>
      </c>
      <c r="AR1053" s="120">
        <f t="shared" si="82"/>
        <v>0</v>
      </c>
      <c r="AS1053" s="121"/>
    </row>
    <row r="1054" spans="1:45" ht="13.5" x14ac:dyDescent="0.4">
      <c r="A1054" s="12">
        <f t="shared" si="84"/>
        <v>1051</v>
      </c>
      <c r="B1054" s="64" t="s">
        <v>1758</v>
      </c>
      <c r="C1054" s="54">
        <v>45422</v>
      </c>
      <c r="D1054" s="54">
        <v>45422</v>
      </c>
      <c r="E1054" s="46" t="s">
        <v>1320</v>
      </c>
      <c r="F1054" s="51" t="s">
        <v>33</v>
      </c>
      <c r="G1054" s="51" t="s">
        <v>36</v>
      </c>
      <c r="H1054" s="51" t="s">
        <v>32</v>
      </c>
      <c r="I1054" s="55" t="s">
        <v>1830</v>
      </c>
      <c r="J1054" s="56">
        <v>300</v>
      </c>
      <c r="K1054" s="51" t="s">
        <v>296</v>
      </c>
      <c r="L1054" s="58">
        <v>495000</v>
      </c>
      <c r="M1054" s="50">
        <f>ROUND('FA Addition'!$L1054*5%,0.1)</f>
        <v>24750</v>
      </c>
      <c r="N1054" s="113" t="str">
        <f>_xlfn.XLOOKUP(_xlfn.CONCAT(E1054,B1054),'Year Wise Master Dep Approach'!F:F,'Year Wise Master Dep Approach'!D:D)</f>
        <v>SLM</v>
      </c>
      <c r="O1054" s="113">
        <f>_xlfn.XLOOKUP(_xlfn.CONCAT(E1054,B1054),'Year Wise Master Dep Approach'!F:F,'Year Wise Master Dep Approach'!E:E)</f>
        <v>5</v>
      </c>
      <c r="P1054" s="114">
        <f>IFERROR(IF('FA Addition'!$N1054="WDV",1-('FA Addition'!$M1054/'FA Addition'!$L1054)^(1/'FA Addition'!$O1054),1/'FA Addition'!$O1054),0)</f>
        <v>0.2</v>
      </c>
      <c r="Q1054" s="122">
        <f>'FA Addition'!$P1054*'FA Addition'!$O1054</f>
        <v>1</v>
      </c>
      <c r="R1054" s="122"/>
      <c r="S1054" s="116">
        <f>IF(AND(DATE(20&amp;LEFT(FAAddition[[#This Row],[FY]],2),4,1)&lt;$L$1+1,DATE(20&amp;LEFT(FAAddition[[#This Row],[FY]],2),4,1)&gt;$P$1-1),'FA Addition'!$J1054,0)</f>
        <v>0</v>
      </c>
      <c r="U1054" s="117">
        <f>S1054*'FA Addition'!$L1054/'FA Addition'!$J1054</f>
        <v>0</v>
      </c>
      <c r="W1054" s="116">
        <f>SUMIFS('FA Write off'!D:D,'FA Write off'!A:A,'FA Addition'!$A1054,'FA Write off'!C:C,"&lt;"&amp;'FA Addition'!$P$1)</f>
        <v>0</v>
      </c>
      <c r="Y1054" s="191">
        <f>IFERROR(W1054/'FA Addition'!$J1054*'FA Addition'!$L1054,0)</f>
        <v>0</v>
      </c>
      <c r="AA1054" s="116">
        <f>SUMIFS('FA Write off'!D:D,'FA Write off'!A:A,'FA Addition'!$A1054,'FA Write off'!C:C,"&lt;"&amp;'FA Addition'!$L$1+1,'FA Write off'!C:C,"&gt;"&amp;'FA Addition'!$L$1-365)</f>
        <v>0</v>
      </c>
      <c r="AC1054" s="118">
        <f>IFERROR(AA1054/'FA Addition'!$J1054*'FA Addition'!$L1054,0)</f>
        <v>0</v>
      </c>
      <c r="AE1054" s="117">
        <f>IF(AND('FA Addition'!$D1054&lt;$P$1+1,U1054=0),'FA Addition'!$L1054,0)-Y1054</f>
        <v>0</v>
      </c>
      <c r="AF1054" s="117">
        <f t="shared" si="80"/>
        <v>0</v>
      </c>
      <c r="AG1054" s="117">
        <f>MIN(MAX(+$P$1-'FA Addition'!$D1054,0),365*'FA Addition'!$O1054)</f>
        <v>0</v>
      </c>
      <c r="AH1054" s="117">
        <f>MIN(MAX($L$1-'FA Addition'!$D1054+1,0),365*'FA Addition'!$O1054)</f>
        <v>0</v>
      </c>
      <c r="AI1054" s="117" cm="1">
        <f t="array" ref="AI1054">_xlfn.XLOOKUP(1,('FA Write off'!A:A='FA Addition'!$A1054)*('FA Write off'!D:D=AA1054),'FA Write off'!H:H,0,0)</f>
        <v>0</v>
      </c>
      <c r="AJ1054" s="117">
        <f>IF(AC1054&gt;0,MAX(IF('FA Addition'!$N1054="SLM",($AC1054-'FA Addition'!$M1054)*'FA Addition'!$P1054*AI1054/365,(AC1054-'FA Addition'!$M1054)*(1-(1-'FA Addition'!$P1054)^(AI1054/365))),0),0)</f>
        <v>0</v>
      </c>
      <c r="AL1054" s="117">
        <f>MAX(IF(AG1054&gt;0,IF('FA Addition'!$N1054="SLM",($AE1054-'FA Addition'!$M1054)*'FA Addition'!$P1054*AG1054/365,IFERROR(VDB(AE1054,AE1054*0.05,'FA Addition'!$O1054,0,YEARFRAC('FA Addition'!$C1054,$P$1-1,3),'FA Addition'!$Q1054),FAAddition[[#This Row],[Original Cost (Rs)]]-FAAddition[[#This Row],[Salvage Value]])),0),0)</f>
        <v>0</v>
      </c>
      <c r="AM1054" s="119"/>
      <c r="AN1054" s="117">
        <f>MAX(IF(AH1054&gt;0,IF('FA Addition'!$N1054="SLM",($AF1054-'FA Addition'!$M1054)*'FA Addition'!$P1054*AH1054/365,IFERROR(VDB(AF1054,AF1054*0.05,'FA Addition'!$O1054,0,YEARFRAC('FA Addition'!$C1054,$L$1,3),'FA Addition'!$Q1054),FAAddition[[#This Row],[Original Cost (Rs)]]-FAAddition[[#This Row],[Salvage Value]])),0),0)</f>
        <v>0</v>
      </c>
      <c r="AO1054" s="117">
        <f t="shared" si="83"/>
        <v>0</v>
      </c>
      <c r="AQ1054" s="117">
        <f t="shared" si="81"/>
        <v>0</v>
      </c>
      <c r="AR1054" s="120">
        <f t="shared" si="82"/>
        <v>0</v>
      </c>
      <c r="AS1054" s="121"/>
    </row>
    <row r="1055" spans="1:45" ht="13.5" x14ac:dyDescent="0.4">
      <c r="A1055" s="12">
        <f t="shared" si="84"/>
        <v>1052</v>
      </c>
      <c r="B1055" s="64" t="s">
        <v>1758</v>
      </c>
      <c r="C1055" s="54">
        <v>45423</v>
      </c>
      <c r="D1055" s="54">
        <v>45423</v>
      </c>
      <c r="E1055" s="46" t="s">
        <v>32</v>
      </c>
      <c r="F1055" s="51" t="s">
        <v>1090</v>
      </c>
      <c r="G1055" s="51" t="s">
        <v>433</v>
      </c>
      <c r="H1055" s="51" t="s">
        <v>32</v>
      </c>
      <c r="I1055" s="55" t="s">
        <v>1831</v>
      </c>
      <c r="J1055" s="56">
        <v>1000</v>
      </c>
      <c r="K1055" s="51" t="s">
        <v>935</v>
      </c>
      <c r="L1055" s="58">
        <v>990000</v>
      </c>
      <c r="M1055" s="50">
        <f>ROUND('FA Addition'!$L1055*5%,0.1)</f>
        <v>49500</v>
      </c>
      <c r="N1055" s="113" t="str">
        <f>_xlfn.XLOOKUP(_xlfn.CONCAT(E1055,B1055),'Year Wise Master Dep Approach'!F:F,'Year Wise Master Dep Approach'!D:D)</f>
        <v>SLM</v>
      </c>
      <c r="O1055" s="113">
        <f>_xlfn.XLOOKUP(_xlfn.CONCAT(E1055,B1055),'Year Wise Master Dep Approach'!F:F,'Year Wise Master Dep Approach'!E:E)</f>
        <v>5</v>
      </c>
      <c r="P1055" s="114">
        <f>IFERROR(IF('FA Addition'!$N1055="WDV",1-('FA Addition'!$M1055/'FA Addition'!$L1055)^(1/'FA Addition'!$O1055),1/'FA Addition'!$O1055),0)</f>
        <v>0.2</v>
      </c>
      <c r="Q1055" s="122">
        <f>'FA Addition'!$P1055*'FA Addition'!$O1055</f>
        <v>1</v>
      </c>
      <c r="R1055" s="122"/>
      <c r="S1055" s="116">
        <f>IF(AND(DATE(20&amp;LEFT(FAAddition[[#This Row],[FY]],2),4,1)&lt;$L$1+1,DATE(20&amp;LEFT(FAAddition[[#This Row],[FY]],2),4,1)&gt;$P$1-1),'FA Addition'!$J1055,0)</f>
        <v>0</v>
      </c>
      <c r="U1055" s="117">
        <f>S1055*'FA Addition'!$L1055/'FA Addition'!$J1055</f>
        <v>0</v>
      </c>
      <c r="W1055" s="116">
        <f>SUMIFS('FA Write off'!D:D,'FA Write off'!A:A,'FA Addition'!$A1055,'FA Write off'!C:C,"&lt;"&amp;'FA Addition'!$P$1)</f>
        <v>116</v>
      </c>
      <c r="Y1055" s="191">
        <f>IFERROR(W1055/'FA Addition'!$J1055*'FA Addition'!$L1055,0)</f>
        <v>114840</v>
      </c>
      <c r="AA1055" s="116">
        <f>SUMIFS('FA Write off'!D:D,'FA Write off'!A:A,'FA Addition'!$A1055,'FA Write off'!C:C,"&lt;"&amp;'FA Addition'!$L$1+1,'FA Write off'!C:C,"&gt;"&amp;'FA Addition'!$L$1-365)</f>
        <v>0</v>
      </c>
      <c r="AC1055" s="118">
        <f>IFERROR(AA1055/'FA Addition'!$J1055*'FA Addition'!$L1055,0)</f>
        <v>0</v>
      </c>
      <c r="AE1055" s="117">
        <f>IF(AND('FA Addition'!$D1055&lt;$P$1+1,U1055=0),'FA Addition'!$L1055,0)-Y1055</f>
        <v>-114840</v>
      </c>
      <c r="AF1055" s="117">
        <f t="shared" si="80"/>
        <v>-114840</v>
      </c>
      <c r="AG1055" s="117">
        <f>MIN(MAX(+$P$1-'FA Addition'!$D1055,0),365*'FA Addition'!$O1055)</f>
        <v>0</v>
      </c>
      <c r="AH1055" s="117">
        <f>MIN(MAX($L$1-'FA Addition'!$D1055+1,0),365*'FA Addition'!$O1055)</f>
        <v>0</v>
      </c>
      <c r="AI1055" s="117" cm="1">
        <f t="array" ref="AI1055">_xlfn.XLOOKUP(1,('FA Write off'!A:A='FA Addition'!$A1055)*('FA Write off'!D:D=AA1055),'FA Write off'!H:H,0,0)</f>
        <v>0</v>
      </c>
      <c r="AJ1055" s="117">
        <f>IF(AC1055&gt;0,MAX(IF('FA Addition'!$N1055="SLM",($AC1055-'FA Addition'!$M1055)*'FA Addition'!$P1055*AI1055/365,(AC1055-'FA Addition'!$M1055)*(1-(1-'FA Addition'!$P1055)^(AI1055/365))),0),0)</f>
        <v>0</v>
      </c>
      <c r="AL1055" s="117">
        <f>MAX(IF(AG1055&gt;0,IF('FA Addition'!$N1055="SLM",($AE1055-'FA Addition'!$M1055)*'FA Addition'!$P1055*AG1055/365,IFERROR(VDB(AE1055,AE1055*0.05,'FA Addition'!$O1055,0,YEARFRAC('FA Addition'!$C1055,$P$1-1,3),'FA Addition'!$Q1055),FAAddition[[#This Row],[Original Cost (Rs)]]-FAAddition[[#This Row],[Salvage Value]])),0),0)</f>
        <v>0</v>
      </c>
      <c r="AM1055" s="119"/>
      <c r="AN1055" s="117">
        <f>MAX(IF(AH1055&gt;0,IF('FA Addition'!$N1055="SLM",($AF1055-'FA Addition'!$M1055)*'FA Addition'!$P1055*AH1055/365,IFERROR(VDB(AF1055,AF1055*0.05,'FA Addition'!$O1055,0,YEARFRAC('FA Addition'!$C1055,$L$1,3),'FA Addition'!$Q1055),FAAddition[[#This Row],[Original Cost (Rs)]]-FAAddition[[#This Row],[Salvage Value]])),0),0)</f>
        <v>0</v>
      </c>
      <c r="AO1055" s="117">
        <f t="shared" si="83"/>
        <v>0</v>
      </c>
      <c r="AQ1055" s="117">
        <f t="shared" si="81"/>
        <v>-114840</v>
      </c>
      <c r="AR1055" s="120">
        <f t="shared" si="82"/>
        <v>-114840</v>
      </c>
      <c r="AS1055" s="121"/>
    </row>
    <row r="1056" spans="1:45" ht="13.5" x14ac:dyDescent="0.4">
      <c r="A1056" s="12">
        <f t="shared" si="84"/>
        <v>1053</v>
      </c>
      <c r="B1056" s="64" t="s">
        <v>1758</v>
      </c>
      <c r="C1056" s="54">
        <v>45423</v>
      </c>
      <c r="D1056" s="54">
        <v>45423</v>
      </c>
      <c r="E1056" s="46" t="s">
        <v>1320</v>
      </c>
      <c r="F1056" s="51" t="s">
        <v>33</v>
      </c>
      <c r="G1056" s="51" t="s">
        <v>36</v>
      </c>
      <c r="H1056" s="51" t="s">
        <v>32</v>
      </c>
      <c r="I1056" s="55" t="s">
        <v>1832</v>
      </c>
      <c r="J1056" s="56">
        <v>1000</v>
      </c>
      <c r="K1056" s="51" t="s">
        <v>296</v>
      </c>
      <c r="L1056" s="58">
        <v>1650000</v>
      </c>
      <c r="M1056" s="50">
        <f>ROUND('FA Addition'!$L1056*5%,0.1)</f>
        <v>82500</v>
      </c>
      <c r="N1056" s="113" t="str">
        <f>_xlfn.XLOOKUP(_xlfn.CONCAT(E1056,B1056),'Year Wise Master Dep Approach'!F:F,'Year Wise Master Dep Approach'!D:D)</f>
        <v>SLM</v>
      </c>
      <c r="O1056" s="113">
        <f>_xlfn.XLOOKUP(_xlfn.CONCAT(E1056,B1056),'Year Wise Master Dep Approach'!F:F,'Year Wise Master Dep Approach'!E:E)</f>
        <v>5</v>
      </c>
      <c r="P1056" s="114">
        <f>IFERROR(IF('FA Addition'!$N1056="WDV",1-('FA Addition'!$M1056/'FA Addition'!$L1056)^(1/'FA Addition'!$O1056),1/'FA Addition'!$O1056),0)</f>
        <v>0.2</v>
      </c>
      <c r="Q1056" s="122">
        <f>'FA Addition'!$P1056*'FA Addition'!$O1056</f>
        <v>1</v>
      </c>
      <c r="R1056" s="122"/>
      <c r="S1056" s="116">
        <f>IF(AND(DATE(20&amp;LEFT(FAAddition[[#This Row],[FY]],2),4,1)&lt;$L$1+1,DATE(20&amp;LEFT(FAAddition[[#This Row],[FY]],2),4,1)&gt;$P$1-1),'FA Addition'!$J1056,0)</f>
        <v>0</v>
      </c>
      <c r="U1056" s="117">
        <f>S1056*'FA Addition'!$L1056/'FA Addition'!$J1056</f>
        <v>0</v>
      </c>
      <c r="W1056" s="116">
        <f>SUMIFS('FA Write off'!D:D,'FA Write off'!A:A,'FA Addition'!$A1056,'FA Write off'!C:C,"&lt;"&amp;'FA Addition'!$P$1)</f>
        <v>0</v>
      </c>
      <c r="Y1056" s="191">
        <f>IFERROR(W1056/'FA Addition'!$J1056*'FA Addition'!$L1056,0)</f>
        <v>0</v>
      </c>
      <c r="AA1056" s="116">
        <f>SUMIFS('FA Write off'!D:D,'FA Write off'!A:A,'FA Addition'!$A1056,'FA Write off'!C:C,"&lt;"&amp;'FA Addition'!$L$1+1,'FA Write off'!C:C,"&gt;"&amp;'FA Addition'!$L$1-365)</f>
        <v>0</v>
      </c>
      <c r="AC1056" s="118">
        <f>IFERROR(AA1056/'FA Addition'!$J1056*'FA Addition'!$L1056,0)</f>
        <v>0</v>
      </c>
      <c r="AE1056" s="117">
        <f>IF(AND('FA Addition'!$D1056&lt;$P$1+1,U1056=0),'FA Addition'!$L1056,0)-Y1056</f>
        <v>0</v>
      </c>
      <c r="AF1056" s="117">
        <f t="shared" si="80"/>
        <v>0</v>
      </c>
      <c r="AG1056" s="117">
        <f>MIN(MAX(+$P$1-'FA Addition'!$D1056,0),365*'FA Addition'!$O1056)</f>
        <v>0</v>
      </c>
      <c r="AH1056" s="117">
        <f>MIN(MAX($L$1-'FA Addition'!$D1056+1,0),365*'FA Addition'!$O1056)</f>
        <v>0</v>
      </c>
      <c r="AI1056" s="117" cm="1">
        <f t="array" ref="AI1056">_xlfn.XLOOKUP(1,('FA Write off'!A:A='FA Addition'!$A1056)*('FA Write off'!D:D=AA1056),'FA Write off'!H:H,0,0)</f>
        <v>0</v>
      </c>
      <c r="AJ1056" s="117">
        <f>IF(AC1056&gt;0,MAX(IF('FA Addition'!$N1056="SLM",($AC1056-'FA Addition'!$M1056)*'FA Addition'!$P1056*AI1056/365,(AC1056-'FA Addition'!$M1056)*(1-(1-'FA Addition'!$P1056)^(AI1056/365))),0),0)</f>
        <v>0</v>
      </c>
      <c r="AL1056" s="117">
        <f>MAX(IF(AG1056&gt;0,IF('FA Addition'!$N1056="SLM",($AE1056-'FA Addition'!$M1056)*'FA Addition'!$P1056*AG1056/365,IFERROR(VDB(AE1056,AE1056*0.05,'FA Addition'!$O1056,0,YEARFRAC('FA Addition'!$C1056,$P$1-1,3),'FA Addition'!$Q1056),FAAddition[[#This Row],[Original Cost (Rs)]]-FAAddition[[#This Row],[Salvage Value]])),0),0)</f>
        <v>0</v>
      </c>
      <c r="AM1056" s="119"/>
      <c r="AN1056" s="117">
        <f>MAX(IF(AH1056&gt;0,IF('FA Addition'!$N1056="SLM",($AF1056-'FA Addition'!$M1056)*'FA Addition'!$P1056*AH1056/365,IFERROR(VDB(AF1056,AF1056*0.05,'FA Addition'!$O1056,0,YEARFRAC('FA Addition'!$C1056,$L$1,3),'FA Addition'!$Q1056),FAAddition[[#This Row],[Original Cost (Rs)]]-FAAddition[[#This Row],[Salvage Value]])),0),0)</f>
        <v>0</v>
      </c>
      <c r="AO1056" s="117">
        <f t="shared" si="83"/>
        <v>0</v>
      </c>
      <c r="AQ1056" s="117">
        <f t="shared" si="81"/>
        <v>0</v>
      </c>
      <c r="AR1056" s="120">
        <f t="shared" si="82"/>
        <v>0</v>
      </c>
      <c r="AS1056" s="121"/>
    </row>
    <row r="1057" spans="1:45" ht="13.5" x14ac:dyDescent="0.4">
      <c r="A1057" s="12">
        <f t="shared" si="84"/>
        <v>1054</v>
      </c>
      <c r="B1057" s="64" t="s">
        <v>1758</v>
      </c>
      <c r="C1057" s="54">
        <v>45425</v>
      </c>
      <c r="D1057" s="54">
        <v>45425</v>
      </c>
      <c r="E1057" s="46" t="s">
        <v>1320</v>
      </c>
      <c r="F1057" s="51" t="s">
        <v>33</v>
      </c>
      <c r="G1057" s="51" t="s">
        <v>36</v>
      </c>
      <c r="H1057" s="51" t="s">
        <v>32</v>
      </c>
      <c r="I1057" s="55" t="s">
        <v>1833</v>
      </c>
      <c r="J1057" s="56">
        <v>1100</v>
      </c>
      <c r="K1057" s="51" t="s">
        <v>296</v>
      </c>
      <c r="L1057" s="58">
        <v>1815000</v>
      </c>
      <c r="M1057" s="50">
        <f>ROUND('FA Addition'!$L1057*5%,0.1)</f>
        <v>90750</v>
      </c>
      <c r="N1057" s="113" t="str">
        <f>_xlfn.XLOOKUP(_xlfn.CONCAT(E1057,B1057),'Year Wise Master Dep Approach'!F:F,'Year Wise Master Dep Approach'!D:D)</f>
        <v>SLM</v>
      </c>
      <c r="O1057" s="113">
        <f>_xlfn.XLOOKUP(_xlfn.CONCAT(E1057,B1057),'Year Wise Master Dep Approach'!F:F,'Year Wise Master Dep Approach'!E:E)</f>
        <v>5</v>
      </c>
      <c r="P1057" s="114">
        <f>IFERROR(IF('FA Addition'!$N1057="WDV",1-('FA Addition'!$M1057/'FA Addition'!$L1057)^(1/'FA Addition'!$O1057),1/'FA Addition'!$O1057),0)</f>
        <v>0.2</v>
      </c>
      <c r="Q1057" s="122">
        <f>'FA Addition'!$P1057*'FA Addition'!$O1057</f>
        <v>1</v>
      </c>
      <c r="R1057" s="122"/>
      <c r="S1057" s="116">
        <f>IF(AND(DATE(20&amp;LEFT(FAAddition[[#This Row],[FY]],2),4,1)&lt;$L$1+1,DATE(20&amp;LEFT(FAAddition[[#This Row],[FY]],2),4,1)&gt;$P$1-1),'FA Addition'!$J1057,0)</f>
        <v>0</v>
      </c>
      <c r="U1057" s="117">
        <f>S1057*'FA Addition'!$L1057/'FA Addition'!$J1057</f>
        <v>0</v>
      </c>
      <c r="W1057" s="116">
        <f>SUMIFS('FA Write off'!D:D,'FA Write off'!A:A,'FA Addition'!$A1057,'FA Write off'!C:C,"&lt;"&amp;'FA Addition'!$P$1)</f>
        <v>0</v>
      </c>
      <c r="Y1057" s="191">
        <f>IFERROR(W1057/'FA Addition'!$J1057*'FA Addition'!$L1057,0)</f>
        <v>0</v>
      </c>
      <c r="AA1057" s="116">
        <f>SUMIFS('FA Write off'!D:D,'FA Write off'!A:A,'FA Addition'!$A1057,'FA Write off'!C:C,"&lt;"&amp;'FA Addition'!$L$1+1,'FA Write off'!C:C,"&gt;"&amp;'FA Addition'!$L$1-365)</f>
        <v>0</v>
      </c>
      <c r="AC1057" s="118">
        <f>IFERROR(AA1057/'FA Addition'!$J1057*'FA Addition'!$L1057,0)</f>
        <v>0</v>
      </c>
      <c r="AE1057" s="117">
        <f>IF(AND('FA Addition'!$D1057&lt;$P$1+1,U1057=0),'FA Addition'!$L1057,0)-Y1057</f>
        <v>0</v>
      </c>
      <c r="AF1057" s="117">
        <f t="shared" si="80"/>
        <v>0</v>
      </c>
      <c r="AG1057" s="117">
        <f>MIN(MAX(+$P$1-'FA Addition'!$D1057,0),365*'FA Addition'!$O1057)</f>
        <v>0</v>
      </c>
      <c r="AH1057" s="117">
        <f>MIN(MAX($L$1-'FA Addition'!$D1057+1,0),365*'FA Addition'!$O1057)</f>
        <v>0</v>
      </c>
      <c r="AI1057" s="117" cm="1">
        <f t="array" ref="AI1057">_xlfn.XLOOKUP(1,('FA Write off'!A:A='FA Addition'!$A1057)*('FA Write off'!D:D=AA1057),'FA Write off'!H:H,0,0)</f>
        <v>0</v>
      </c>
      <c r="AJ1057" s="117">
        <f>IF(AC1057&gt;0,MAX(IF('FA Addition'!$N1057="SLM",($AC1057-'FA Addition'!$M1057)*'FA Addition'!$P1057*AI1057/365,(AC1057-'FA Addition'!$M1057)*(1-(1-'FA Addition'!$P1057)^(AI1057/365))),0),0)</f>
        <v>0</v>
      </c>
      <c r="AL1057" s="117">
        <f>MAX(IF(AG1057&gt;0,IF('FA Addition'!$N1057="SLM",($AE1057-'FA Addition'!$M1057)*'FA Addition'!$P1057*AG1057/365,IFERROR(VDB(AE1057,AE1057*0.05,'FA Addition'!$O1057,0,YEARFRAC('FA Addition'!$C1057,$P$1-1,3),'FA Addition'!$Q1057),FAAddition[[#This Row],[Original Cost (Rs)]]-FAAddition[[#This Row],[Salvage Value]])),0),0)</f>
        <v>0</v>
      </c>
      <c r="AM1057" s="119"/>
      <c r="AN1057" s="117">
        <f>MAX(IF(AH1057&gt;0,IF('FA Addition'!$N1057="SLM",($AF1057-'FA Addition'!$M1057)*'FA Addition'!$P1057*AH1057/365,IFERROR(VDB(AF1057,AF1057*0.05,'FA Addition'!$O1057,0,YEARFRAC('FA Addition'!$C1057,$L$1,3),'FA Addition'!$Q1057),FAAddition[[#This Row],[Original Cost (Rs)]]-FAAddition[[#This Row],[Salvage Value]])),0),0)</f>
        <v>0</v>
      </c>
      <c r="AO1057" s="117">
        <f t="shared" si="83"/>
        <v>0</v>
      </c>
      <c r="AQ1057" s="117">
        <f t="shared" si="81"/>
        <v>0</v>
      </c>
      <c r="AR1057" s="120">
        <f t="shared" si="82"/>
        <v>0</v>
      </c>
      <c r="AS1057" s="121"/>
    </row>
    <row r="1058" spans="1:45" ht="13.5" x14ac:dyDescent="0.4">
      <c r="A1058" s="12">
        <f t="shared" si="84"/>
        <v>1055</v>
      </c>
      <c r="B1058" s="64" t="s">
        <v>1758</v>
      </c>
      <c r="C1058" s="54">
        <v>45426</v>
      </c>
      <c r="D1058" s="54">
        <v>45426</v>
      </c>
      <c r="E1058" s="46" t="s">
        <v>451</v>
      </c>
      <c r="F1058" s="51" t="s">
        <v>19</v>
      </c>
      <c r="G1058" s="51" t="s">
        <v>1728</v>
      </c>
      <c r="H1058" s="51" t="s">
        <v>21</v>
      </c>
      <c r="I1058" s="55">
        <v>3399</v>
      </c>
      <c r="J1058" s="56">
        <v>1</v>
      </c>
      <c r="K1058" s="51" t="s">
        <v>1813</v>
      </c>
      <c r="L1058" s="58">
        <v>34890</v>
      </c>
      <c r="M1058" s="50">
        <f>ROUND('FA Addition'!$L1058*5%,0.1)</f>
        <v>1745</v>
      </c>
      <c r="N1058" s="113" t="str">
        <f>_xlfn.XLOOKUP(_xlfn.CONCAT(E1058,B1058),'Year Wise Master Dep Approach'!F:F,'Year Wise Master Dep Approach'!D:D)</f>
        <v>WDV</v>
      </c>
      <c r="O1058" s="113">
        <f>_xlfn.XLOOKUP(_xlfn.CONCAT(E1058,B1058),'Year Wise Master Dep Approach'!F:F,'Year Wise Master Dep Approach'!E:E)</f>
        <v>3</v>
      </c>
      <c r="P1058" s="114">
        <f>IFERROR(IF('FA Addition'!$N1058="WDV",1-('FA Addition'!$M1058/'FA Addition'!$L1058)^(1/'FA Addition'!$O1058),1/'FA Addition'!$O1058),0)</f>
        <v>0.63156165686579468</v>
      </c>
      <c r="Q1058" s="122">
        <f>'FA Addition'!$P1058*'FA Addition'!$O1058</f>
        <v>1.8946849705973841</v>
      </c>
      <c r="R1058" s="122"/>
      <c r="S1058" s="116">
        <f>IF(AND(DATE(20&amp;LEFT(FAAddition[[#This Row],[FY]],2),4,1)&lt;$L$1+1,DATE(20&amp;LEFT(FAAddition[[#This Row],[FY]],2),4,1)&gt;$P$1-1),'FA Addition'!$J1058,0)</f>
        <v>0</v>
      </c>
      <c r="U1058" s="117">
        <f>S1058*'FA Addition'!$L1058/'FA Addition'!$J1058</f>
        <v>0</v>
      </c>
      <c r="W1058" s="116">
        <f>SUMIFS('FA Write off'!D:D,'FA Write off'!A:A,'FA Addition'!$A1058,'FA Write off'!C:C,"&lt;"&amp;'FA Addition'!$P$1)</f>
        <v>0</v>
      </c>
      <c r="Y1058" s="191">
        <f>IFERROR(W1058/'FA Addition'!$J1058*'FA Addition'!$L1058,0)</f>
        <v>0</v>
      </c>
      <c r="AA1058" s="116">
        <f>SUMIFS('FA Write off'!D:D,'FA Write off'!A:A,'FA Addition'!$A1058,'FA Write off'!C:C,"&lt;"&amp;'FA Addition'!$L$1+1,'FA Write off'!C:C,"&gt;"&amp;'FA Addition'!$L$1-365)</f>
        <v>0</v>
      </c>
      <c r="AC1058" s="118">
        <f>IFERROR(AA1058/'FA Addition'!$J1058*'FA Addition'!$L1058,0)</f>
        <v>0</v>
      </c>
      <c r="AE1058" s="117">
        <f>IF(AND('FA Addition'!$D1058&lt;$P$1+1,U1058=0),'FA Addition'!$L1058,0)-Y1058</f>
        <v>0</v>
      </c>
      <c r="AF1058" s="117">
        <f t="shared" si="80"/>
        <v>0</v>
      </c>
      <c r="AG1058" s="117">
        <f>MIN(MAX(+$P$1-'FA Addition'!$D1058,0),365*'FA Addition'!$O1058)</f>
        <v>0</v>
      </c>
      <c r="AH1058" s="117">
        <f>MIN(MAX($L$1-'FA Addition'!$D1058+1,0),365*'FA Addition'!$O1058)</f>
        <v>0</v>
      </c>
      <c r="AI1058" s="117" cm="1">
        <f t="array" ref="AI1058">_xlfn.XLOOKUP(1,('FA Write off'!A:A='FA Addition'!$A1058)*('FA Write off'!D:D=AA1058),'FA Write off'!H:H,0,0)</f>
        <v>0</v>
      </c>
      <c r="AJ1058" s="117">
        <f>IF(AC1058&gt;0,MAX(IF('FA Addition'!$N1058="SLM",($AC1058-'FA Addition'!$M1058)*'FA Addition'!$P1058*AI1058/365,(AC1058-'FA Addition'!$M1058)*(1-(1-'FA Addition'!$P1058)^(AI1058/365))),0),0)</f>
        <v>0</v>
      </c>
      <c r="AL1058" s="117">
        <f>MAX(IF(AG1058&gt;0,IF('FA Addition'!$N1058="SLM",($AE1058-'FA Addition'!$M1058)*'FA Addition'!$P1058*AG1058/365,IFERROR(VDB(AE1058,AE1058*0.05,'FA Addition'!$O1058,0,YEARFRAC('FA Addition'!$C1058,$P$1-1,3),'FA Addition'!$Q1058),FAAddition[[#This Row],[Original Cost (Rs)]]-FAAddition[[#This Row],[Salvage Value]])),0),0)</f>
        <v>0</v>
      </c>
      <c r="AM1058" s="119"/>
      <c r="AN1058" s="117">
        <f>MAX(IF(AH1058&gt;0,IF('FA Addition'!$N1058="SLM",($AF1058-'FA Addition'!$M1058)*'FA Addition'!$P1058*AH1058/365,IFERROR(VDB(AF1058,AF1058*0.05,'FA Addition'!$O1058,0,YEARFRAC('FA Addition'!$C1058,$L$1,3),'FA Addition'!$Q1058),FAAddition[[#This Row],[Original Cost (Rs)]]-FAAddition[[#This Row],[Salvage Value]])),0),0)</f>
        <v>0</v>
      </c>
      <c r="AO1058" s="117">
        <f t="shared" si="83"/>
        <v>0</v>
      </c>
      <c r="AQ1058" s="117">
        <f t="shared" si="81"/>
        <v>0</v>
      </c>
      <c r="AR1058" s="120">
        <f t="shared" si="82"/>
        <v>0</v>
      </c>
      <c r="AS1058" s="121"/>
    </row>
    <row r="1059" spans="1:45" ht="13.5" x14ac:dyDescent="0.4">
      <c r="A1059" s="12">
        <f t="shared" si="84"/>
        <v>1056</v>
      </c>
      <c r="B1059" s="64" t="s">
        <v>1758</v>
      </c>
      <c r="C1059" s="54">
        <v>45426</v>
      </c>
      <c r="D1059" s="54">
        <v>45426</v>
      </c>
      <c r="E1059" s="46" t="s">
        <v>451</v>
      </c>
      <c r="F1059" s="51" t="s">
        <v>19</v>
      </c>
      <c r="G1059" s="51" t="s">
        <v>1728</v>
      </c>
      <c r="H1059" s="51" t="s">
        <v>21</v>
      </c>
      <c r="I1059" s="55" t="s">
        <v>1834</v>
      </c>
      <c r="J1059" s="56">
        <v>1</v>
      </c>
      <c r="K1059" s="51" t="s">
        <v>1813</v>
      </c>
      <c r="L1059" s="58">
        <v>34890</v>
      </c>
      <c r="M1059" s="50">
        <f>ROUND('FA Addition'!$L1059*5%,0.1)</f>
        <v>1745</v>
      </c>
      <c r="N1059" s="113" t="str">
        <f>_xlfn.XLOOKUP(_xlfn.CONCAT(E1059,B1059),'Year Wise Master Dep Approach'!F:F,'Year Wise Master Dep Approach'!D:D)</f>
        <v>WDV</v>
      </c>
      <c r="O1059" s="113">
        <f>_xlfn.XLOOKUP(_xlfn.CONCAT(E1059,B1059),'Year Wise Master Dep Approach'!F:F,'Year Wise Master Dep Approach'!E:E)</f>
        <v>3</v>
      </c>
      <c r="P1059" s="114">
        <f>IFERROR(IF('FA Addition'!$N1059="WDV",1-('FA Addition'!$M1059/'FA Addition'!$L1059)^(1/'FA Addition'!$O1059),1/'FA Addition'!$O1059),0)</f>
        <v>0.63156165686579468</v>
      </c>
      <c r="Q1059" s="122">
        <f>'FA Addition'!$P1059*'FA Addition'!$O1059</f>
        <v>1.8946849705973841</v>
      </c>
      <c r="R1059" s="122"/>
      <c r="S1059" s="116">
        <f>IF(AND(DATE(20&amp;LEFT(FAAddition[[#This Row],[FY]],2),4,1)&lt;$L$1+1,DATE(20&amp;LEFT(FAAddition[[#This Row],[FY]],2),4,1)&gt;$P$1-1),'FA Addition'!$J1059,0)</f>
        <v>0</v>
      </c>
      <c r="U1059" s="117">
        <f>S1059*'FA Addition'!$L1059/'FA Addition'!$J1059</f>
        <v>0</v>
      </c>
      <c r="W1059" s="116">
        <f>SUMIFS('FA Write off'!D:D,'FA Write off'!A:A,'FA Addition'!$A1059,'FA Write off'!C:C,"&lt;"&amp;'FA Addition'!$P$1)</f>
        <v>0</v>
      </c>
      <c r="Y1059" s="191">
        <f>IFERROR(W1059/'FA Addition'!$J1059*'FA Addition'!$L1059,0)</f>
        <v>0</v>
      </c>
      <c r="AA1059" s="116">
        <f>SUMIFS('FA Write off'!D:D,'FA Write off'!A:A,'FA Addition'!$A1059,'FA Write off'!C:C,"&lt;"&amp;'FA Addition'!$L$1+1,'FA Write off'!C:C,"&gt;"&amp;'FA Addition'!$L$1-365)</f>
        <v>0</v>
      </c>
      <c r="AC1059" s="118">
        <f>IFERROR(AA1059/'FA Addition'!$J1059*'FA Addition'!$L1059,0)</f>
        <v>0</v>
      </c>
      <c r="AE1059" s="117">
        <f>IF(AND('FA Addition'!$D1059&lt;$P$1+1,U1059=0),'FA Addition'!$L1059,0)-Y1059</f>
        <v>0</v>
      </c>
      <c r="AF1059" s="117">
        <f t="shared" si="80"/>
        <v>0</v>
      </c>
      <c r="AG1059" s="117">
        <f>MIN(MAX(+$P$1-'FA Addition'!$D1059,0),365*'FA Addition'!$O1059)</f>
        <v>0</v>
      </c>
      <c r="AH1059" s="117">
        <f>MIN(MAX($L$1-'FA Addition'!$D1059+1,0),365*'FA Addition'!$O1059)</f>
        <v>0</v>
      </c>
      <c r="AI1059" s="117" cm="1">
        <f t="array" ref="AI1059">_xlfn.XLOOKUP(1,('FA Write off'!A:A='FA Addition'!$A1059)*('FA Write off'!D:D=AA1059),'FA Write off'!H:H,0,0)</f>
        <v>0</v>
      </c>
      <c r="AJ1059" s="117">
        <f>IF(AC1059&gt;0,MAX(IF('FA Addition'!$N1059="SLM",($AC1059-'FA Addition'!$M1059)*'FA Addition'!$P1059*AI1059/365,(AC1059-'FA Addition'!$M1059)*(1-(1-'FA Addition'!$P1059)^(AI1059/365))),0),0)</f>
        <v>0</v>
      </c>
      <c r="AL1059" s="117">
        <f>MAX(IF(AG1059&gt;0,IF('FA Addition'!$N1059="SLM",($AE1059-'FA Addition'!$M1059)*'FA Addition'!$P1059*AG1059/365,IFERROR(VDB(AE1059,AE1059*0.05,'FA Addition'!$O1059,0,YEARFRAC('FA Addition'!$C1059,$P$1-1,3),'FA Addition'!$Q1059),FAAddition[[#This Row],[Original Cost (Rs)]]-FAAddition[[#This Row],[Salvage Value]])),0),0)</f>
        <v>0</v>
      </c>
      <c r="AM1059" s="119"/>
      <c r="AN1059" s="117">
        <f>MAX(IF(AH1059&gt;0,IF('FA Addition'!$N1059="SLM",($AF1059-'FA Addition'!$M1059)*'FA Addition'!$P1059*AH1059/365,IFERROR(VDB(AF1059,AF1059*0.05,'FA Addition'!$O1059,0,YEARFRAC('FA Addition'!$C1059,$L$1,3),'FA Addition'!$Q1059),FAAddition[[#This Row],[Original Cost (Rs)]]-FAAddition[[#This Row],[Salvage Value]])),0),0)</f>
        <v>0</v>
      </c>
      <c r="AO1059" s="117">
        <f t="shared" si="83"/>
        <v>0</v>
      </c>
      <c r="AQ1059" s="117">
        <f t="shared" si="81"/>
        <v>0</v>
      </c>
      <c r="AR1059" s="120">
        <f t="shared" si="82"/>
        <v>0</v>
      </c>
      <c r="AS1059" s="121"/>
    </row>
    <row r="1060" spans="1:45" ht="13.5" x14ac:dyDescent="0.4">
      <c r="A1060" s="12">
        <f t="shared" si="84"/>
        <v>1057</v>
      </c>
      <c r="B1060" s="64" t="s">
        <v>1758</v>
      </c>
      <c r="C1060" s="54">
        <v>45426</v>
      </c>
      <c r="D1060" s="54">
        <v>45426</v>
      </c>
      <c r="E1060" s="46" t="s">
        <v>451</v>
      </c>
      <c r="F1060" s="51" t="s">
        <v>19</v>
      </c>
      <c r="G1060" s="51" t="s">
        <v>1728</v>
      </c>
      <c r="H1060" s="51" t="s">
        <v>21</v>
      </c>
      <c r="I1060" s="55" t="s">
        <v>1834</v>
      </c>
      <c r="J1060" s="56">
        <v>1</v>
      </c>
      <c r="K1060" s="51" t="s">
        <v>1835</v>
      </c>
      <c r="L1060" s="58">
        <v>60593</v>
      </c>
      <c r="M1060" s="50">
        <f>ROUND('FA Addition'!$L1060*5%,0.1)</f>
        <v>3030</v>
      </c>
      <c r="N1060" s="113" t="str">
        <f>_xlfn.XLOOKUP(_xlfn.CONCAT(E1060,B1060),'Year Wise Master Dep Approach'!F:F,'Year Wise Master Dep Approach'!D:D)</f>
        <v>WDV</v>
      </c>
      <c r="O1060" s="113">
        <f>_xlfn.XLOOKUP(_xlfn.CONCAT(E1060,B1060),'Year Wise Master Dep Approach'!F:F,'Year Wise Master Dep Approach'!E:E)</f>
        <v>3</v>
      </c>
      <c r="P1060" s="114">
        <f>IFERROR(IF('FA Addition'!$N1060="WDV",1-('FA Addition'!$M1060/'FA Addition'!$L1060)^(1/'FA Addition'!$O1060),1/'FA Addition'!$O1060),0)</f>
        <v>0.63158266410374986</v>
      </c>
      <c r="Q1060" s="122">
        <f>'FA Addition'!$P1060*'FA Addition'!$O1060</f>
        <v>1.8947479923112496</v>
      </c>
      <c r="R1060" s="122"/>
      <c r="S1060" s="116">
        <f>IF(AND(DATE(20&amp;LEFT(FAAddition[[#This Row],[FY]],2),4,1)&lt;$L$1+1,DATE(20&amp;LEFT(FAAddition[[#This Row],[FY]],2),4,1)&gt;$P$1-1),'FA Addition'!$J1060,0)</f>
        <v>0</v>
      </c>
      <c r="U1060" s="117">
        <f>S1060*'FA Addition'!$L1060/'FA Addition'!$J1060</f>
        <v>0</v>
      </c>
      <c r="W1060" s="116">
        <f>SUMIFS('FA Write off'!D:D,'FA Write off'!A:A,'FA Addition'!$A1060,'FA Write off'!C:C,"&lt;"&amp;'FA Addition'!$P$1)</f>
        <v>0</v>
      </c>
      <c r="Y1060" s="191">
        <f>IFERROR(W1060/'FA Addition'!$J1060*'FA Addition'!$L1060,0)</f>
        <v>0</v>
      </c>
      <c r="AA1060" s="116">
        <f>SUMIFS('FA Write off'!D:D,'FA Write off'!A:A,'FA Addition'!$A1060,'FA Write off'!C:C,"&lt;"&amp;'FA Addition'!$L$1+1,'FA Write off'!C:C,"&gt;"&amp;'FA Addition'!$L$1-365)</f>
        <v>0</v>
      </c>
      <c r="AC1060" s="118">
        <f>IFERROR(AA1060/'FA Addition'!$J1060*'FA Addition'!$L1060,0)</f>
        <v>0</v>
      </c>
      <c r="AE1060" s="117">
        <f>IF(AND('FA Addition'!$D1060&lt;$P$1+1,U1060=0),'FA Addition'!$L1060,0)-Y1060</f>
        <v>0</v>
      </c>
      <c r="AF1060" s="117">
        <f t="shared" si="80"/>
        <v>0</v>
      </c>
      <c r="AG1060" s="117">
        <f>MIN(MAX(+$P$1-'FA Addition'!$D1060,0),365*'FA Addition'!$O1060)</f>
        <v>0</v>
      </c>
      <c r="AH1060" s="117">
        <f>MIN(MAX($L$1-'FA Addition'!$D1060+1,0),365*'FA Addition'!$O1060)</f>
        <v>0</v>
      </c>
      <c r="AI1060" s="117" cm="1">
        <f t="array" ref="AI1060">_xlfn.XLOOKUP(1,('FA Write off'!A:A='FA Addition'!$A1060)*('FA Write off'!D:D=AA1060),'FA Write off'!H:H,0,0)</f>
        <v>0</v>
      </c>
      <c r="AJ1060" s="117">
        <f>IF(AC1060&gt;0,MAX(IF('FA Addition'!$N1060="SLM",($AC1060-'FA Addition'!$M1060)*'FA Addition'!$P1060*AI1060/365,(AC1060-'FA Addition'!$M1060)*(1-(1-'FA Addition'!$P1060)^(AI1060/365))),0),0)</f>
        <v>0</v>
      </c>
      <c r="AL1060" s="117">
        <f>MAX(IF(AG1060&gt;0,IF('FA Addition'!$N1060="SLM",($AE1060-'FA Addition'!$M1060)*'FA Addition'!$P1060*AG1060/365,IFERROR(VDB(AE1060,AE1060*0.05,'FA Addition'!$O1060,0,YEARFRAC('FA Addition'!$C1060,$P$1-1,3),'FA Addition'!$Q1060),FAAddition[[#This Row],[Original Cost (Rs)]]-FAAddition[[#This Row],[Salvage Value]])),0),0)</f>
        <v>0</v>
      </c>
      <c r="AM1060" s="119"/>
      <c r="AN1060" s="117">
        <f>MAX(IF(AH1060&gt;0,IF('FA Addition'!$N1060="SLM",($AF1060-'FA Addition'!$M1060)*'FA Addition'!$P1060*AH1060/365,IFERROR(VDB(AF1060,AF1060*0.05,'FA Addition'!$O1060,0,YEARFRAC('FA Addition'!$C1060,$L$1,3),'FA Addition'!$Q1060),FAAddition[[#This Row],[Original Cost (Rs)]]-FAAddition[[#This Row],[Salvage Value]])),0),0)</f>
        <v>0</v>
      </c>
      <c r="AO1060" s="117">
        <f t="shared" si="83"/>
        <v>0</v>
      </c>
      <c r="AQ1060" s="117">
        <f t="shared" si="81"/>
        <v>0</v>
      </c>
      <c r="AR1060" s="120">
        <f t="shared" si="82"/>
        <v>0</v>
      </c>
      <c r="AS1060" s="121"/>
    </row>
    <row r="1061" spans="1:45" ht="13.5" x14ac:dyDescent="0.4">
      <c r="A1061" s="12">
        <f t="shared" si="84"/>
        <v>1058</v>
      </c>
      <c r="B1061" s="64" t="s">
        <v>1758</v>
      </c>
      <c r="C1061" s="54">
        <v>45426</v>
      </c>
      <c r="D1061" s="54">
        <v>45426</v>
      </c>
      <c r="E1061" s="46" t="s">
        <v>451</v>
      </c>
      <c r="F1061" s="51" t="s">
        <v>19</v>
      </c>
      <c r="G1061" s="51" t="s">
        <v>1728</v>
      </c>
      <c r="H1061" s="51" t="s">
        <v>21</v>
      </c>
      <c r="I1061" s="55" t="s">
        <v>1834</v>
      </c>
      <c r="J1061" s="56">
        <v>1</v>
      </c>
      <c r="K1061" s="51" t="s">
        <v>1835</v>
      </c>
      <c r="L1061" s="58">
        <v>60593</v>
      </c>
      <c r="M1061" s="50">
        <f>ROUND('FA Addition'!$L1061*5%,0.1)</f>
        <v>3030</v>
      </c>
      <c r="N1061" s="113" t="str">
        <f>_xlfn.XLOOKUP(_xlfn.CONCAT(E1061,B1061),'Year Wise Master Dep Approach'!F:F,'Year Wise Master Dep Approach'!D:D)</f>
        <v>WDV</v>
      </c>
      <c r="O1061" s="113">
        <f>_xlfn.XLOOKUP(_xlfn.CONCAT(E1061,B1061),'Year Wise Master Dep Approach'!F:F,'Year Wise Master Dep Approach'!E:E)</f>
        <v>3</v>
      </c>
      <c r="P1061" s="114">
        <f>IFERROR(IF('FA Addition'!$N1061="WDV",1-('FA Addition'!$M1061/'FA Addition'!$L1061)^(1/'FA Addition'!$O1061),1/'FA Addition'!$O1061),0)</f>
        <v>0.63158266410374986</v>
      </c>
      <c r="Q1061" s="122">
        <f>'FA Addition'!$P1061*'FA Addition'!$O1061</f>
        <v>1.8947479923112496</v>
      </c>
      <c r="R1061" s="122"/>
      <c r="S1061" s="116">
        <f>IF(AND(DATE(20&amp;LEFT(FAAddition[[#This Row],[FY]],2),4,1)&lt;$L$1+1,DATE(20&amp;LEFT(FAAddition[[#This Row],[FY]],2),4,1)&gt;$P$1-1),'FA Addition'!$J1061,0)</f>
        <v>0</v>
      </c>
      <c r="U1061" s="117">
        <f>S1061*'FA Addition'!$L1061/'FA Addition'!$J1061</f>
        <v>0</v>
      </c>
      <c r="W1061" s="116">
        <f>SUMIFS('FA Write off'!D:D,'FA Write off'!A:A,'FA Addition'!$A1061,'FA Write off'!C:C,"&lt;"&amp;'FA Addition'!$P$1)</f>
        <v>0</v>
      </c>
      <c r="Y1061" s="191">
        <f>IFERROR(W1061/'FA Addition'!$J1061*'FA Addition'!$L1061,0)</f>
        <v>0</v>
      </c>
      <c r="AA1061" s="116">
        <f>SUMIFS('FA Write off'!D:D,'FA Write off'!A:A,'FA Addition'!$A1061,'FA Write off'!C:C,"&lt;"&amp;'FA Addition'!$L$1+1,'FA Write off'!C:C,"&gt;"&amp;'FA Addition'!$L$1-365)</f>
        <v>0</v>
      </c>
      <c r="AC1061" s="118">
        <f>IFERROR(AA1061/'FA Addition'!$J1061*'FA Addition'!$L1061,0)</f>
        <v>0</v>
      </c>
      <c r="AE1061" s="117">
        <f>IF(AND('FA Addition'!$D1061&lt;$P$1+1,U1061=0),'FA Addition'!$L1061,0)-Y1061</f>
        <v>0</v>
      </c>
      <c r="AF1061" s="117">
        <f t="shared" si="80"/>
        <v>0</v>
      </c>
      <c r="AG1061" s="117">
        <f>MIN(MAX(+$P$1-'FA Addition'!$D1061,0),365*'FA Addition'!$O1061)</f>
        <v>0</v>
      </c>
      <c r="AH1061" s="117">
        <f>MIN(MAX($L$1-'FA Addition'!$D1061+1,0),365*'FA Addition'!$O1061)</f>
        <v>0</v>
      </c>
      <c r="AI1061" s="117" cm="1">
        <f t="array" ref="AI1061">_xlfn.XLOOKUP(1,('FA Write off'!A:A='FA Addition'!$A1061)*('FA Write off'!D:D=AA1061),'FA Write off'!H:H,0,0)</f>
        <v>0</v>
      </c>
      <c r="AJ1061" s="117">
        <f>IF(AC1061&gt;0,MAX(IF('FA Addition'!$N1061="SLM",($AC1061-'FA Addition'!$M1061)*'FA Addition'!$P1061*AI1061/365,(AC1061-'FA Addition'!$M1061)*(1-(1-'FA Addition'!$P1061)^(AI1061/365))),0),0)</f>
        <v>0</v>
      </c>
      <c r="AL1061" s="117">
        <f>MAX(IF(AG1061&gt;0,IF('FA Addition'!$N1061="SLM",($AE1061-'FA Addition'!$M1061)*'FA Addition'!$P1061*AG1061/365,IFERROR(VDB(AE1061,AE1061*0.05,'FA Addition'!$O1061,0,YEARFRAC('FA Addition'!$C1061,$P$1-1,3),'FA Addition'!$Q1061),FAAddition[[#This Row],[Original Cost (Rs)]]-FAAddition[[#This Row],[Salvage Value]])),0),0)</f>
        <v>0</v>
      </c>
      <c r="AM1061" s="119"/>
      <c r="AN1061" s="117">
        <f>MAX(IF(AH1061&gt;0,IF('FA Addition'!$N1061="SLM",($AF1061-'FA Addition'!$M1061)*'FA Addition'!$P1061*AH1061/365,IFERROR(VDB(AF1061,AF1061*0.05,'FA Addition'!$O1061,0,YEARFRAC('FA Addition'!$C1061,$L$1,3),'FA Addition'!$Q1061),FAAddition[[#This Row],[Original Cost (Rs)]]-FAAddition[[#This Row],[Salvage Value]])),0),0)</f>
        <v>0</v>
      </c>
      <c r="AO1061" s="117">
        <f t="shared" si="83"/>
        <v>0</v>
      </c>
      <c r="AQ1061" s="117">
        <f t="shared" si="81"/>
        <v>0</v>
      </c>
      <c r="AR1061" s="120">
        <f t="shared" si="82"/>
        <v>0</v>
      </c>
      <c r="AS1061" s="121"/>
    </row>
    <row r="1062" spans="1:45" ht="13.5" x14ac:dyDescent="0.4">
      <c r="A1062" s="12">
        <f t="shared" si="84"/>
        <v>1059</v>
      </c>
      <c r="B1062" s="64" t="s">
        <v>1758</v>
      </c>
      <c r="C1062" s="54">
        <v>45426</v>
      </c>
      <c r="D1062" s="54">
        <v>45426</v>
      </c>
      <c r="E1062" s="46" t="s">
        <v>451</v>
      </c>
      <c r="F1062" s="51" t="s">
        <v>19</v>
      </c>
      <c r="G1062" s="51" t="s">
        <v>1728</v>
      </c>
      <c r="H1062" s="51" t="s">
        <v>21</v>
      </c>
      <c r="I1062" s="55" t="s">
        <v>1834</v>
      </c>
      <c r="J1062" s="56">
        <v>1</v>
      </c>
      <c r="K1062" s="51" t="s">
        <v>1835</v>
      </c>
      <c r="L1062" s="58">
        <v>60593</v>
      </c>
      <c r="M1062" s="50">
        <f>ROUND('FA Addition'!$L1062*5%,0.1)</f>
        <v>3030</v>
      </c>
      <c r="N1062" s="113" t="str">
        <f>_xlfn.XLOOKUP(_xlfn.CONCAT(E1062,B1062),'Year Wise Master Dep Approach'!F:F,'Year Wise Master Dep Approach'!D:D)</f>
        <v>WDV</v>
      </c>
      <c r="O1062" s="113">
        <f>_xlfn.XLOOKUP(_xlfn.CONCAT(E1062,B1062),'Year Wise Master Dep Approach'!F:F,'Year Wise Master Dep Approach'!E:E)</f>
        <v>3</v>
      </c>
      <c r="P1062" s="114">
        <f>IFERROR(IF('FA Addition'!$N1062="WDV",1-('FA Addition'!$M1062/'FA Addition'!$L1062)^(1/'FA Addition'!$O1062),1/'FA Addition'!$O1062),0)</f>
        <v>0.63158266410374986</v>
      </c>
      <c r="Q1062" s="122">
        <f>'FA Addition'!$P1062*'FA Addition'!$O1062</f>
        <v>1.8947479923112496</v>
      </c>
      <c r="R1062" s="122"/>
      <c r="S1062" s="116">
        <f>IF(AND(DATE(20&amp;LEFT(FAAddition[[#This Row],[FY]],2),4,1)&lt;$L$1+1,DATE(20&amp;LEFT(FAAddition[[#This Row],[FY]],2),4,1)&gt;$P$1-1),'FA Addition'!$J1062,0)</f>
        <v>0</v>
      </c>
      <c r="U1062" s="117">
        <f>S1062*'FA Addition'!$L1062/'FA Addition'!$J1062</f>
        <v>0</v>
      </c>
      <c r="W1062" s="116">
        <f>SUMIFS('FA Write off'!D:D,'FA Write off'!A:A,'FA Addition'!$A1062,'FA Write off'!C:C,"&lt;"&amp;'FA Addition'!$P$1)</f>
        <v>0</v>
      </c>
      <c r="Y1062" s="191">
        <f>IFERROR(W1062/'FA Addition'!$J1062*'FA Addition'!$L1062,0)</f>
        <v>0</v>
      </c>
      <c r="AA1062" s="116">
        <f>SUMIFS('FA Write off'!D:D,'FA Write off'!A:A,'FA Addition'!$A1062,'FA Write off'!C:C,"&lt;"&amp;'FA Addition'!$L$1+1,'FA Write off'!C:C,"&gt;"&amp;'FA Addition'!$L$1-365)</f>
        <v>0</v>
      </c>
      <c r="AC1062" s="118">
        <f>IFERROR(AA1062/'FA Addition'!$J1062*'FA Addition'!$L1062,0)</f>
        <v>0</v>
      </c>
      <c r="AE1062" s="117">
        <f>IF(AND('FA Addition'!$D1062&lt;$P$1+1,U1062=0),'FA Addition'!$L1062,0)-Y1062</f>
        <v>0</v>
      </c>
      <c r="AF1062" s="117">
        <f t="shared" si="80"/>
        <v>0</v>
      </c>
      <c r="AG1062" s="117">
        <f>MIN(MAX(+$P$1-'FA Addition'!$D1062,0),365*'FA Addition'!$O1062)</f>
        <v>0</v>
      </c>
      <c r="AH1062" s="117">
        <f>MIN(MAX($L$1-'FA Addition'!$D1062+1,0),365*'FA Addition'!$O1062)</f>
        <v>0</v>
      </c>
      <c r="AI1062" s="117" cm="1">
        <f t="array" ref="AI1062">_xlfn.XLOOKUP(1,('FA Write off'!A:A='FA Addition'!$A1062)*('FA Write off'!D:D=AA1062),'FA Write off'!H:H,0,0)</f>
        <v>0</v>
      </c>
      <c r="AJ1062" s="117">
        <f>IF(AC1062&gt;0,MAX(IF('FA Addition'!$N1062="SLM",($AC1062-'FA Addition'!$M1062)*'FA Addition'!$P1062*AI1062/365,(AC1062-'FA Addition'!$M1062)*(1-(1-'FA Addition'!$P1062)^(AI1062/365))),0),0)</f>
        <v>0</v>
      </c>
      <c r="AL1062" s="117">
        <f>MAX(IF(AG1062&gt;0,IF('FA Addition'!$N1062="SLM",($AE1062-'FA Addition'!$M1062)*'FA Addition'!$P1062*AG1062/365,IFERROR(VDB(AE1062,AE1062*0.05,'FA Addition'!$O1062,0,YEARFRAC('FA Addition'!$C1062,$P$1-1,3),'FA Addition'!$Q1062),FAAddition[[#This Row],[Original Cost (Rs)]]-FAAddition[[#This Row],[Salvage Value]])),0),0)</f>
        <v>0</v>
      </c>
      <c r="AM1062" s="119"/>
      <c r="AN1062" s="117">
        <f>MAX(IF(AH1062&gt;0,IF('FA Addition'!$N1062="SLM",($AF1062-'FA Addition'!$M1062)*'FA Addition'!$P1062*AH1062/365,IFERROR(VDB(AF1062,AF1062*0.05,'FA Addition'!$O1062,0,YEARFRAC('FA Addition'!$C1062,$L$1,3),'FA Addition'!$Q1062),FAAddition[[#This Row],[Original Cost (Rs)]]-FAAddition[[#This Row],[Salvage Value]])),0),0)</f>
        <v>0</v>
      </c>
      <c r="AO1062" s="117">
        <f t="shared" si="83"/>
        <v>0</v>
      </c>
      <c r="AQ1062" s="117">
        <f t="shared" si="81"/>
        <v>0</v>
      </c>
      <c r="AR1062" s="120">
        <f t="shared" si="82"/>
        <v>0</v>
      </c>
      <c r="AS1062" s="121"/>
    </row>
    <row r="1063" spans="1:45" ht="13.5" x14ac:dyDescent="0.4">
      <c r="A1063" s="12">
        <f t="shared" si="84"/>
        <v>1060</v>
      </c>
      <c r="B1063" s="64" t="s">
        <v>1758</v>
      </c>
      <c r="C1063" s="54">
        <v>45426</v>
      </c>
      <c r="D1063" s="54">
        <v>45426</v>
      </c>
      <c r="E1063" s="46" t="s">
        <v>1320</v>
      </c>
      <c r="F1063" s="51" t="s">
        <v>33</v>
      </c>
      <c r="G1063" s="51" t="s">
        <v>36</v>
      </c>
      <c r="H1063" s="51" t="s">
        <v>32</v>
      </c>
      <c r="I1063" s="55" t="s">
        <v>1836</v>
      </c>
      <c r="J1063" s="56">
        <v>940</v>
      </c>
      <c r="K1063" s="51" t="s">
        <v>296</v>
      </c>
      <c r="L1063" s="58">
        <v>1551000</v>
      </c>
      <c r="M1063" s="50">
        <f>ROUND('FA Addition'!$L1063*5%,0.1)</f>
        <v>77550</v>
      </c>
      <c r="N1063" s="113" t="str">
        <f>_xlfn.XLOOKUP(_xlfn.CONCAT(E1063,B1063),'Year Wise Master Dep Approach'!F:F,'Year Wise Master Dep Approach'!D:D)</f>
        <v>SLM</v>
      </c>
      <c r="O1063" s="113">
        <f>_xlfn.XLOOKUP(_xlfn.CONCAT(E1063,B1063),'Year Wise Master Dep Approach'!F:F,'Year Wise Master Dep Approach'!E:E)</f>
        <v>5</v>
      </c>
      <c r="P1063" s="114">
        <f>IFERROR(IF('FA Addition'!$N1063="WDV",1-('FA Addition'!$M1063/'FA Addition'!$L1063)^(1/'FA Addition'!$O1063),1/'FA Addition'!$O1063),0)</f>
        <v>0.2</v>
      </c>
      <c r="Q1063" s="122">
        <f>'FA Addition'!$P1063*'FA Addition'!$O1063</f>
        <v>1</v>
      </c>
      <c r="R1063" s="122"/>
      <c r="S1063" s="116">
        <f>IF(AND(DATE(20&amp;LEFT(FAAddition[[#This Row],[FY]],2),4,1)&lt;$L$1+1,DATE(20&amp;LEFT(FAAddition[[#This Row],[FY]],2),4,1)&gt;$P$1-1),'FA Addition'!$J1063,0)</f>
        <v>0</v>
      </c>
      <c r="U1063" s="117">
        <f>S1063*'FA Addition'!$L1063/'FA Addition'!$J1063</f>
        <v>0</v>
      </c>
      <c r="W1063" s="116">
        <f>SUMIFS('FA Write off'!D:D,'FA Write off'!A:A,'FA Addition'!$A1063,'FA Write off'!C:C,"&lt;"&amp;'FA Addition'!$P$1)</f>
        <v>0</v>
      </c>
      <c r="Y1063" s="191">
        <f>IFERROR(W1063/'FA Addition'!$J1063*'FA Addition'!$L1063,0)</f>
        <v>0</v>
      </c>
      <c r="AA1063" s="116">
        <f>SUMIFS('FA Write off'!D:D,'FA Write off'!A:A,'FA Addition'!$A1063,'FA Write off'!C:C,"&lt;"&amp;'FA Addition'!$L$1+1,'FA Write off'!C:C,"&gt;"&amp;'FA Addition'!$L$1-365)</f>
        <v>0</v>
      </c>
      <c r="AC1063" s="118">
        <f>IFERROR(AA1063/'FA Addition'!$J1063*'FA Addition'!$L1063,0)</f>
        <v>0</v>
      </c>
      <c r="AE1063" s="117">
        <f>IF(AND('FA Addition'!$D1063&lt;$P$1+1,U1063=0),'FA Addition'!$L1063,0)-Y1063</f>
        <v>0</v>
      </c>
      <c r="AF1063" s="117">
        <f t="shared" si="80"/>
        <v>0</v>
      </c>
      <c r="AG1063" s="117">
        <f>MIN(MAX(+$P$1-'FA Addition'!$D1063,0),365*'FA Addition'!$O1063)</f>
        <v>0</v>
      </c>
      <c r="AH1063" s="117">
        <f>MIN(MAX($L$1-'FA Addition'!$D1063+1,0),365*'FA Addition'!$O1063)</f>
        <v>0</v>
      </c>
      <c r="AI1063" s="117" cm="1">
        <f t="array" ref="AI1063">_xlfn.XLOOKUP(1,('FA Write off'!A:A='FA Addition'!$A1063)*('FA Write off'!D:D=AA1063),'FA Write off'!H:H,0,0)</f>
        <v>0</v>
      </c>
      <c r="AJ1063" s="117">
        <f>IF(AC1063&gt;0,MAX(IF('FA Addition'!$N1063="SLM",($AC1063-'FA Addition'!$M1063)*'FA Addition'!$P1063*AI1063/365,(AC1063-'FA Addition'!$M1063)*(1-(1-'FA Addition'!$P1063)^(AI1063/365))),0),0)</f>
        <v>0</v>
      </c>
      <c r="AL1063" s="117">
        <f>MAX(IF(AG1063&gt;0,IF('FA Addition'!$N1063="SLM",($AE1063-'FA Addition'!$M1063)*'FA Addition'!$P1063*AG1063/365,IFERROR(VDB(AE1063,AE1063*0.05,'FA Addition'!$O1063,0,YEARFRAC('FA Addition'!$C1063,$P$1-1,3),'FA Addition'!$Q1063),FAAddition[[#This Row],[Original Cost (Rs)]]-FAAddition[[#This Row],[Salvage Value]])),0),0)</f>
        <v>0</v>
      </c>
      <c r="AM1063" s="119"/>
      <c r="AN1063" s="117">
        <f>MAX(IF(AH1063&gt;0,IF('FA Addition'!$N1063="SLM",($AF1063-'FA Addition'!$M1063)*'FA Addition'!$P1063*AH1063/365,IFERROR(VDB(AF1063,AF1063*0.05,'FA Addition'!$O1063,0,YEARFRAC('FA Addition'!$C1063,$L$1,3),'FA Addition'!$Q1063),FAAddition[[#This Row],[Original Cost (Rs)]]-FAAddition[[#This Row],[Salvage Value]])),0),0)</f>
        <v>0</v>
      </c>
      <c r="AO1063" s="117">
        <f t="shared" si="83"/>
        <v>0</v>
      </c>
      <c r="AQ1063" s="117">
        <f t="shared" si="81"/>
        <v>0</v>
      </c>
      <c r="AR1063" s="120">
        <f t="shared" si="82"/>
        <v>0</v>
      </c>
      <c r="AS1063" s="121"/>
    </row>
    <row r="1064" spans="1:45" ht="13.5" x14ac:dyDescent="0.4">
      <c r="A1064" s="12">
        <f t="shared" si="84"/>
        <v>1061</v>
      </c>
      <c r="B1064" s="64" t="s">
        <v>1758</v>
      </c>
      <c r="C1064" s="54">
        <v>45426</v>
      </c>
      <c r="D1064" s="54">
        <v>45426</v>
      </c>
      <c r="E1064" s="46" t="s">
        <v>749</v>
      </c>
      <c r="F1064" s="51" t="s">
        <v>187</v>
      </c>
      <c r="G1064" s="51" t="s">
        <v>1837</v>
      </c>
      <c r="H1064" s="51" t="s">
        <v>187</v>
      </c>
      <c r="I1064" s="55" t="s">
        <v>1838</v>
      </c>
      <c r="J1064" s="56">
        <v>1</v>
      </c>
      <c r="K1064" s="51" t="s">
        <v>1839</v>
      </c>
      <c r="L1064" s="58">
        <v>11863.56</v>
      </c>
      <c r="M1064" s="50">
        <f>ROUND('FA Addition'!$L1064*5%,0.1)</f>
        <v>593</v>
      </c>
      <c r="N1064" s="113" t="str">
        <f>_xlfn.XLOOKUP(_xlfn.CONCAT(E1064,B1064),'Year Wise Master Dep Approach'!F:F,'Year Wise Master Dep Approach'!D:D)</f>
        <v>WDV</v>
      </c>
      <c r="O1064" s="113">
        <f>_xlfn.XLOOKUP(_xlfn.CONCAT(E1064,B1064),'Year Wise Master Dep Approach'!F:F,'Year Wise Master Dep Approach'!E:E)</f>
        <v>5</v>
      </c>
      <c r="P1064" s="114">
        <f>IFERROR(IF('FA Addition'!$N1064="WDV",1-('FA Addition'!$M1064/'FA Addition'!$L1064)^(1/'FA Addition'!$O1064),1/'FA Addition'!$O1064),0)</f>
        <v>0.45075269775112214</v>
      </c>
      <c r="Q1064" s="122">
        <f>'FA Addition'!$P1064*'FA Addition'!$O1064</f>
        <v>2.2537634887556108</v>
      </c>
      <c r="R1064" s="122"/>
      <c r="S1064" s="116">
        <f>IF(AND(DATE(20&amp;LEFT(FAAddition[[#This Row],[FY]],2),4,1)&lt;$L$1+1,DATE(20&amp;LEFT(FAAddition[[#This Row],[FY]],2),4,1)&gt;$P$1-1),'FA Addition'!$J1064,0)</f>
        <v>0</v>
      </c>
      <c r="U1064" s="117">
        <f>S1064*'FA Addition'!$L1064/'FA Addition'!$J1064</f>
        <v>0</v>
      </c>
      <c r="W1064" s="116">
        <f>SUMIFS('FA Write off'!D:D,'FA Write off'!A:A,'FA Addition'!$A1064,'FA Write off'!C:C,"&lt;"&amp;'FA Addition'!$P$1)</f>
        <v>0</v>
      </c>
      <c r="Y1064" s="191">
        <f>IFERROR(W1064/'FA Addition'!$J1064*'FA Addition'!$L1064,0)</f>
        <v>0</v>
      </c>
      <c r="AA1064" s="116">
        <f>SUMIFS('FA Write off'!D:D,'FA Write off'!A:A,'FA Addition'!$A1064,'FA Write off'!C:C,"&lt;"&amp;'FA Addition'!$L$1+1,'FA Write off'!C:C,"&gt;"&amp;'FA Addition'!$L$1-365)</f>
        <v>0</v>
      </c>
      <c r="AC1064" s="118">
        <f>IFERROR(AA1064/'FA Addition'!$J1064*'FA Addition'!$L1064,0)</f>
        <v>0</v>
      </c>
      <c r="AE1064" s="117">
        <f>IF(AND('FA Addition'!$D1064&lt;$P$1+1,U1064=0),'FA Addition'!$L1064,0)-Y1064</f>
        <v>0</v>
      </c>
      <c r="AF1064" s="117">
        <f t="shared" si="80"/>
        <v>0</v>
      </c>
      <c r="AG1064" s="117">
        <f>MIN(MAX(+$P$1-'FA Addition'!$D1064,0),365*'FA Addition'!$O1064)</f>
        <v>0</v>
      </c>
      <c r="AH1064" s="117">
        <f>MIN(MAX($L$1-'FA Addition'!$D1064+1,0),365*'FA Addition'!$O1064)</f>
        <v>0</v>
      </c>
      <c r="AI1064" s="117" cm="1">
        <f t="array" ref="AI1064">_xlfn.XLOOKUP(1,('FA Write off'!A:A='FA Addition'!$A1064)*('FA Write off'!D:D=AA1064),'FA Write off'!H:H,0,0)</f>
        <v>0</v>
      </c>
      <c r="AJ1064" s="117">
        <f>IF(AC1064&gt;0,MAX(IF('FA Addition'!$N1064="SLM",($AC1064-'FA Addition'!$M1064)*'FA Addition'!$P1064*AI1064/365,(AC1064-'FA Addition'!$M1064)*(1-(1-'FA Addition'!$P1064)^(AI1064/365))),0),0)</f>
        <v>0</v>
      </c>
      <c r="AL1064" s="117">
        <f>MAX(IF(AG1064&gt;0,IF('FA Addition'!$N1064="SLM",($AE1064-'FA Addition'!$M1064)*'FA Addition'!$P1064*AG1064/365,IFERROR(VDB(AE1064,AE1064*0.05,'FA Addition'!$O1064,0,YEARFRAC('FA Addition'!$C1064,$P$1-1,3),'FA Addition'!$Q1064),FAAddition[[#This Row],[Original Cost (Rs)]]-FAAddition[[#This Row],[Salvage Value]])),0),0)</f>
        <v>0</v>
      </c>
      <c r="AM1064" s="119"/>
      <c r="AN1064" s="117">
        <f>MAX(IF(AH1064&gt;0,IF('FA Addition'!$N1064="SLM",($AF1064-'FA Addition'!$M1064)*'FA Addition'!$P1064*AH1064/365,IFERROR(VDB(AF1064,AF1064*0.05,'FA Addition'!$O1064,0,YEARFRAC('FA Addition'!$C1064,$L$1,3),'FA Addition'!$Q1064),FAAddition[[#This Row],[Original Cost (Rs)]]-FAAddition[[#This Row],[Salvage Value]])),0),0)</f>
        <v>0</v>
      </c>
      <c r="AO1064" s="117">
        <f t="shared" si="83"/>
        <v>0</v>
      </c>
      <c r="AQ1064" s="117">
        <f t="shared" si="81"/>
        <v>0</v>
      </c>
      <c r="AR1064" s="120">
        <f t="shared" si="82"/>
        <v>0</v>
      </c>
      <c r="AS1064" s="121"/>
    </row>
    <row r="1065" spans="1:45" ht="13.5" x14ac:dyDescent="0.4">
      <c r="A1065" s="12">
        <f t="shared" si="84"/>
        <v>1062</v>
      </c>
      <c r="B1065" s="64" t="s">
        <v>1758</v>
      </c>
      <c r="C1065" s="54">
        <v>45428</v>
      </c>
      <c r="D1065" s="54">
        <v>45428</v>
      </c>
      <c r="E1065" s="46" t="s">
        <v>1320</v>
      </c>
      <c r="F1065" s="51" t="s">
        <v>33</v>
      </c>
      <c r="G1065" s="51" t="s">
        <v>36</v>
      </c>
      <c r="H1065" s="51" t="s">
        <v>32</v>
      </c>
      <c r="I1065" s="55" t="s">
        <v>1840</v>
      </c>
      <c r="J1065" s="56">
        <v>1020</v>
      </c>
      <c r="K1065" s="51" t="s">
        <v>296</v>
      </c>
      <c r="L1065" s="58">
        <v>1683000</v>
      </c>
      <c r="M1065" s="50">
        <f>ROUND('FA Addition'!$L1065*5%,0.1)</f>
        <v>84150</v>
      </c>
      <c r="N1065" s="113" t="str">
        <f>_xlfn.XLOOKUP(_xlfn.CONCAT(E1065,B1065),'Year Wise Master Dep Approach'!F:F,'Year Wise Master Dep Approach'!D:D)</f>
        <v>SLM</v>
      </c>
      <c r="O1065" s="113">
        <f>_xlfn.XLOOKUP(_xlfn.CONCAT(E1065,B1065),'Year Wise Master Dep Approach'!F:F,'Year Wise Master Dep Approach'!E:E)</f>
        <v>5</v>
      </c>
      <c r="P1065" s="114">
        <f>IFERROR(IF('FA Addition'!$N1065="WDV",1-('FA Addition'!$M1065/'FA Addition'!$L1065)^(1/'FA Addition'!$O1065),1/'FA Addition'!$O1065),0)</f>
        <v>0.2</v>
      </c>
      <c r="Q1065" s="122">
        <f>'FA Addition'!$P1065*'FA Addition'!$O1065</f>
        <v>1</v>
      </c>
      <c r="R1065" s="122"/>
      <c r="S1065" s="116">
        <f>IF(AND(DATE(20&amp;LEFT(FAAddition[[#This Row],[FY]],2),4,1)&lt;$L$1+1,DATE(20&amp;LEFT(FAAddition[[#This Row],[FY]],2),4,1)&gt;$P$1-1),'FA Addition'!$J1065,0)</f>
        <v>0</v>
      </c>
      <c r="U1065" s="117">
        <f>S1065*'FA Addition'!$L1065/'FA Addition'!$J1065</f>
        <v>0</v>
      </c>
      <c r="W1065" s="116">
        <f>SUMIFS('FA Write off'!D:D,'FA Write off'!A:A,'FA Addition'!$A1065,'FA Write off'!C:C,"&lt;"&amp;'FA Addition'!$P$1)</f>
        <v>0</v>
      </c>
      <c r="Y1065" s="191">
        <f>IFERROR(W1065/'FA Addition'!$J1065*'FA Addition'!$L1065,0)</f>
        <v>0</v>
      </c>
      <c r="AA1065" s="116">
        <f>SUMIFS('FA Write off'!D:D,'FA Write off'!A:A,'FA Addition'!$A1065,'FA Write off'!C:C,"&lt;"&amp;'FA Addition'!$L$1+1,'FA Write off'!C:C,"&gt;"&amp;'FA Addition'!$L$1-365)</f>
        <v>0</v>
      </c>
      <c r="AC1065" s="118">
        <f>IFERROR(AA1065/'FA Addition'!$J1065*'FA Addition'!$L1065,0)</f>
        <v>0</v>
      </c>
      <c r="AE1065" s="117">
        <f>IF(AND('FA Addition'!$D1065&lt;$P$1+1,U1065=0),'FA Addition'!$L1065,0)-Y1065</f>
        <v>0</v>
      </c>
      <c r="AF1065" s="117">
        <f t="shared" si="80"/>
        <v>0</v>
      </c>
      <c r="AG1065" s="117">
        <f>MIN(MAX(+$P$1-'FA Addition'!$D1065,0),365*'FA Addition'!$O1065)</f>
        <v>0</v>
      </c>
      <c r="AH1065" s="117">
        <f>MIN(MAX($L$1-'FA Addition'!$D1065+1,0),365*'FA Addition'!$O1065)</f>
        <v>0</v>
      </c>
      <c r="AI1065" s="117" cm="1">
        <f t="array" ref="AI1065">_xlfn.XLOOKUP(1,('FA Write off'!A:A='FA Addition'!$A1065)*('FA Write off'!D:D=AA1065),'FA Write off'!H:H,0,0)</f>
        <v>0</v>
      </c>
      <c r="AJ1065" s="117">
        <f>IF(AC1065&gt;0,MAX(IF('FA Addition'!$N1065="SLM",($AC1065-'FA Addition'!$M1065)*'FA Addition'!$P1065*AI1065/365,(AC1065-'FA Addition'!$M1065)*(1-(1-'FA Addition'!$P1065)^(AI1065/365))),0),0)</f>
        <v>0</v>
      </c>
      <c r="AL1065" s="117">
        <f>MAX(IF(AG1065&gt;0,IF('FA Addition'!$N1065="SLM",($AE1065-'FA Addition'!$M1065)*'FA Addition'!$P1065*AG1065/365,IFERROR(VDB(AE1065,AE1065*0.05,'FA Addition'!$O1065,0,YEARFRAC('FA Addition'!$C1065,$P$1-1,3),'FA Addition'!$Q1065),FAAddition[[#This Row],[Original Cost (Rs)]]-FAAddition[[#This Row],[Salvage Value]])),0),0)</f>
        <v>0</v>
      </c>
      <c r="AM1065" s="119"/>
      <c r="AN1065" s="117">
        <f>MAX(IF(AH1065&gt;0,IF('FA Addition'!$N1065="SLM",($AF1065-'FA Addition'!$M1065)*'FA Addition'!$P1065*AH1065/365,IFERROR(VDB(AF1065,AF1065*0.05,'FA Addition'!$O1065,0,YEARFRAC('FA Addition'!$C1065,$L$1,3),'FA Addition'!$Q1065),FAAddition[[#This Row],[Original Cost (Rs)]]-FAAddition[[#This Row],[Salvage Value]])),0),0)</f>
        <v>0</v>
      </c>
      <c r="AO1065" s="117">
        <f t="shared" si="83"/>
        <v>0</v>
      </c>
      <c r="AQ1065" s="117">
        <f t="shared" si="81"/>
        <v>0</v>
      </c>
      <c r="AR1065" s="120">
        <f t="shared" si="82"/>
        <v>0</v>
      </c>
      <c r="AS1065" s="121"/>
    </row>
    <row r="1066" spans="1:45" ht="13.5" x14ac:dyDescent="0.4">
      <c r="A1066" s="12">
        <f t="shared" si="84"/>
        <v>1063</v>
      </c>
      <c r="B1066" s="64" t="s">
        <v>1758</v>
      </c>
      <c r="C1066" s="54">
        <v>45429</v>
      </c>
      <c r="D1066" s="54">
        <v>45429</v>
      </c>
      <c r="E1066" s="46" t="s">
        <v>1320</v>
      </c>
      <c r="F1066" s="51" t="s">
        <v>33</v>
      </c>
      <c r="G1066" s="51" t="s">
        <v>34</v>
      </c>
      <c r="H1066" s="51" t="s">
        <v>32</v>
      </c>
      <c r="I1066" s="55" t="s">
        <v>1841</v>
      </c>
      <c r="J1066" s="56">
        <v>2000</v>
      </c>
      <c r="K1066" s="51" t="s">
        <v>295</v>
      </c>
      <c r="L1066" s="58">
        <v>3660000</v>
      </c>
      <c r="M1066" s="50">
        <f>ROUND('FA Addition'!$L1066*5%,0.1)</f>
        <v>183000</v>
      </c>
      <c r="N1066" s="113" t="str">
        <f>_xlfn.XLOOKUP(_xlfn.CONCAT(E1066,B1066),'Year Wise Master Dep Approach'!F:F,'Year Wise Master Dep Approach'!D:D)</f>
        <v>SLM</v>
      </c>
      <c r="O1066" s="113">
        <f>_xlfn.XLOOKUP(_xlfn.CONCAT(E1066,B1066),'Year Wise Master Dep Approach'!F:F,'Year Wise Master Dep Approach'!E:E)</f>
        <v>5</v>
      </c>
      <c r="P1066" s="114">
        <f>IFERROR(IF('FA Addition'!$N1066="WDV",1-('FA Addition'!$M1066/'FA Addition'!$L1066)^(1/'FA Addition'!$O1066),1/'FA Addition'!$O1066),0)</f>
        <v>0.2</v>
      </c>
      <c r="Q1066" s="122">
        <f>'FA Addition'!$P1066*'FA Addition'!$O1066</f>
        <v>1</v>
      </c>
      <c r="R1066" s="122"/>
      <c r="S1066" s="116">
        <f>IF(AND(DATE(20&amp;LEFT(FAAddition[[#This Row],[FY]],2),4,1)&lt;$L$1+1,DATE(20&amp;LEFT(FAAddition[[#This Row],[FY]],2),4,1)&gt;$P$1-1),'FA Addition'!$J1066,0)</f>
        <v>0</v>
      </c>
      <c r="U1066" s="117">
        <f>S1066*'FA Addition'!$L1066/'FA Addition'!$J1066</f>
        <v>0</v>
      </c>
      <c r="W1066" s="116">
        <f>SUMIFS('FA Write off'!D:D,'FA Write off'!A:A,'FA Addition'!$A1066,'FA Write off'!C:C,"&lt;"&amp;'FA Addition'!$P$1)</f>
        <v>0</v>
      </c>
      <c r="Y1066" s="191">
        <f>IFERROR(W1066/'FA Addition'!$J1066*'FA Addition'!$L1066,0)</f>
        <v>0</v>
      </c>
      <c r="AA1066" s="116">
        <f>SUMIFS('FA Write off'!D:D,'FA Write off'!A:A,'FA Addition'!$A1066,'FA Write off'!C:C,"&lt;"&amp;'FA Addition'!$L$1+1,'FA Write off'!C:C,"&gt;"&amp;'FA Addition'!$L$1-365)</f>
        <v>0</v>
      </c>
      <c r="AC1066" s="118">
        <f>IFERROR(AA1066/'FA Addition'!$J1066*'FA Addition'!$L1066,0)</f>
        <v>0</v>
      </c>
      <c r="AE1066" s="117">
        <f>IF(AND('FA Addition'!$D1066&lt;$P$1+1,U1066=0),'FA Addition'!$L1066,0)-Y1066</f>
        <v>0</v>
      </c>
      <c r="AF1066" s="117">
        <f t="shared" si="80"/>
        <v>0</v>
      </c>
      <c r="AG1066" s="117">
        <f>MIN(MAX(+$P$1-'FA Addition'!$D1066,0),365*'FA Addition'!$O1066)</f>
        <v>0</v>
      </c>
      <c r="AH1066" s="117">
        <f>MIN(MAX($L$1-'FA Addition'!$D1066+1,0),365*'FA Addition'!$O1066)</f>
        <v>0</v>
      </c>
      <c r="AI1066" s="117" cm="1">
        <f t="array" ref="AI1066">_xlfn.XLOOKUP(1,('FA Write off'!A:A='FA Addition'!$A1066)*('FA Write off'!D:D=AA1066),'FA Write off'!H:H,0,0)</f>
        <v>0</v>
      </c>
      <c r="AJ1066" s="117">
        <f>IF(AC1066&gt;0,MAX(IF('FA Addition'!$N1066="SLM",($AC1066-'FA Addition'!$M1066)*'FA Addition'!$P1066*AI1066/365,(AC1066-'FA Addition'!$M1066)*(1-(1-'FA Addition'!$P1066)^(AI1066/365))),0),0)</f>
        <v>0</v>
      </c>
      <c r="AL1066" s="117">
        <f>MAX(IF(AG1066&gt;0,IF('FA Addition'!$N1066="SLM",($AE1066-'FA Addition'!$M1066)*'FA Addition'!$P1066*AG1066/365,IFERROR(VDB(AE1066,AE1066*0.05,'FA Addition'!$O1066,0,YEARFRAC('FA Addition'!$C1066,$P$1-1,3),'FA Addition'!$Q1066),FAAddition[[#This Row],[Original Cost (Rs)]]-FAAddition[[#This Row],[Salvage Value]])),0),0)</f>
        <v>0</v>
      </c>
      <c r="AM1066" s="119"/>
      <c r="AN1066" s="117">
        <f>MAX(IF(AH1066&gt;0,IF('FA Addition'!$N1066="SLM",($AF1066-'FA Addition'!$M1066)*'FA Addition'!$P1066*AH1066/365,IFERROR(VDB(AF1066,AF1066*0.05,'FA Addition'!$O1066,0,YEARFRAC('FA Addition'!$C1066,$L$1,3),'FA Addition'!$Q1066),FAAddition[[#This Row],[Original Cost (Rs)]]-FAAddition[[#This Row],[Salvage Value]])),0),0)</f>
        <v>0</v>
      </c>
      <c r="AO1066" s="117">
        <f t="shared" si="83"/>
        <v>0</v>
      </c>
      <c r="AQ1066" s="117">
        <f t="shared" si="81"/>
        <v>0</v>
      </c>
      <c r="AR1066" s="120">
        <f t="shared" si="82"/>
        <v>0</v>
      </c>
      <c r="AS1066" s="121"/>
    </row>
    <row r="1067" spans="1:45" ht="13.5" x14ac:dyDescent="0.4">
      <c r="A1067" s="12">
        <f t="shared" si="84"/>
        <v>1064</v>
      </c>
      <c r="B1067" s="64" t="s">
        <v>1758</v>
      </c>
      <c r="C1067" s="54">
        <v>45432</v>
      </c>
      <c r="D1067" s="54">
        <v>45432</v>
      </c>
      <c r="E1067" s="46" t="s">
        <v>32</v>
      </c>
      <c r="F1067" s="51" t="s">
        <v>1090</v>
      </c>
      <c r="G1067" s="51" t="s">
        <v>433</v>
      </c>
      <c r="H1067" s="51" t="s">
        <v>32</v>
      </c>
      <c r="I1067" s="55" t="s">
        <v>1842</v>
      </c>
      <c r="J1067" s="56">
        <v>1000</v>
      </c>
      <c r="K1067" s="51" t="s">
        <v>935</v>
      </c>
      <c r="L1067" s="58">
        <v>990000</v>
      </c>
      <c r="M1067" s="50">
        <f>ROUND('FA Addition'!$L1067*5%,0.1)</f>
        <v>49500</v>
      </c>
      <c r="N1067" s="113" t="str">
        <f>_xlfn.XLOOKUP(_xlfn.CONCAT(E1067,B1067),'Year Wise Master Dep Approach'!F:F,'Year Wise Master Dep Approach'!D:D)</f>
        <v>SLM</v>
      </c>
      <c r="O1067" s="113">
        <f>_xlfn.XLOOKUP(_xlfn.CONCAT(E1067,B1067),'Year Wise Master Dep Approach'!F:F,'Year Wise Master Dep Approach'!E:E)</f>
        <v>5</v>
      </c>
      <c r="P1067" s="114">
        <f>IFERROR(IF('FA Addition'!$N1067="WDV",1-('FA Addition'!$M1067/'FA Addition'!$L1067)^(1/'FA Addition'!$O1067),1/'FA Addition'!$O1067),0)</f>
        <v>0.2</v>
      </c>
      <c r="Q1067" s="122">
        <f>'FA Addition'!$P1067*'FA Addition'!$O1067</f>
        <v>1</v>
      </c>
      <c r="R1067" s="122"/>
      <c r="S1067" s="116">
        <f>IF(AND(DATE(20&amp;LEFT(FAAddition[[#This Row],[FY]],2),4,1)&lt;$L$1+1,DATE(20&amp;LEFT(FAAddition[[#This Row],[FY]],2),4,1)&gt;$P$1-1),'FA Addition'!$J1067,0)</f>
        <v>0</v>
      </c>
      <c r="U1067" s="117">
        <f>S1067*'FA Addition'!$L1067/'FA Addition'!$J1067</f>
        <v>0</v>
      </c>
      <c r="W1067" s="116">
        <f>SUMIFS('FA Write off'!D:D,'FA Write off'!A:A,'FA Addition'!$A1067,'FA Write off'!C:C,"&lt;"&amp;'FA Addition'!$P$1)</f>
        <v>93</v>
      </c>
      <c r="Y1067" s="191">
        <f>IFERROR(W1067/'FA Addition'!$J1067*'FA Addition'!$L1067,0)</f>
        <v>92070</v>
      </c>
      <c r="AA1067" s="116">
        <f>SUMIFS('FA Write off'!D:D,'FA Write off'!A:A,'FA Addition'!$A1067,'FA Write off'!C:C,"&lt;"&amp;'FA Addition'!$L$1+1,'FA Write off'!C:C,"&gt;"&amp;'FA Addition'!$L$1-365)</f>
        <v>0</v>
      </c>
      <c r="AC1067" s="118">
        <f>IFERROR(AA1067/'FA Addition'!$J1067*'FA Addition'!$L1067,0)</f>
        <v>0</v>
      </c>
      <c r="AE1067" s="117">
        <f>IF(AND('FA Addition'!$D1067&lt;$P$1+1,U1067=0),'FA Addition'!$L1067,0)-Y1067</f>
        <v>-92070</v>
      </c>
      <c r="AF1067" s="117">
        <f t="shared" si="80"/>
        <v>-92070</v>
      </c>
      <c r="AG1067" s="117">
        <f>MIN(MAX(+$P$1-'FA Addition'!$D1067,0),365*'FA Addition'!$O1067)</f>
        <v>0</v>
      </c>
      <c r="AH1067" s="117">
        <f>MIN(MAX($L$1-'FA Addition'!$D1067+1,0),365*'FA Addition'!$O1067)</f>
        <v>0</v>
      </c>
      <c r="AI1067" s="117" cm="1">
        <f t="array" ref="AI1067">_xlfn.XLOOKUP(1,('FA Write off'!A:A='FA Addition'!$A1067)*('FA Write off'!D:D=AA1067),'FA Write off'!H:H,0,0)</f>
        <v>0</v>
      </c>
      <c r="AJ1067" s="117">
        <f>IF(AC1067&gt;0,MAX(IF('FA Addition'!$N1067="SLM",($AC1067-'FA Addition'!$M1067)*'FA Addition'!$P1067*AI1067/365,(AC1067-'FA Addition'!$M1067)*(1-(1-'FA Addition'!$P1067)^(AI1067/365))),0),0)</f>
        <v>0</v>
      </c>
      <c r="AL1067" s="117">
        <f>MAX(IF(AG1067&gt;0,IF('FA Addition'!$N1067="SLM",($AE1067-'FA Addition'!$M1067)*'FA Addition'!$P1067*AG1067/365,IFERROR(VDB(AE1067,AE1067*0.05,'FA Addition'!$O1067,0,YEARFRAC('FA Addition'!$C1067,$P$1-1,3),'FA Addition'!$Q1067),FAAddition[[#This Row],[Original Cost (Rs)]]-FAAddition[[#This Row],[Salvage Value]])),0),0)</f>
        <v>0</v>
      </c>
      <c r="AM1067" s="119"/>
      <c r="AN1067" s="117">
        <f>MAX(IF(AH1067&gt;0,IF('FA Addition'!$N1067="SLM",($AF1067-'FA Addition'!$M1067)*'FA Addition'!$P1067*AH1067/365,IFERROR(VDB(AF1067,AF1067*0.05,'FA Addition'!$O1067,0,YEARFRAC('FA Addition'!$C1067,$L$1,3),'FA Addition'!$Q1067),FAAddition[[#This Row],[Original Cost (Rs)]]-FAAddition[[#This Row],[Salvage Value]])),0),0)</f>
        <v>0</v>
      </c>
      <c r="AO1067" s="117">
        <f t="shared" si="83"/>
        <v>0</v>
      </c>
      <c r="AQ1067" s="117">
        <f t="shared" si="81"/>
        <v>-92070</v>
      </c>
      <c r="AR1067" s="120">
        <f t="shared" si="82"/>
        <v>-92070</v>
      </c>
      <c r="AS1067" s="121"/>
    </row>
    <row r="1068" spans="1:45" ht="13.5" x14ac:dyDescent="0.4">
      <c r="A1068" s="12">
        <f t="shared" si="84"/>
        <v>1065</v>
      </c>
      <c r="B1068" s="64" t="s">
        <v>1758</v>
      </c>
      <c r="C1068" s="54">
        <v>45433</v>
      </c>
      <c r="D1068" s="54">
        <v>45433</v>
      </c>
      <c r="E1068" s="46" t="s">
        <v>451</v>
      </c>
      <c r="F1068" s="51" t="s">
        <v>19</v>
      </c>
      <c r="G1068" s="51" t="s">
        <v>1728</v>
      </c>
      <c r="H1068" s="51" t="s">
        <v>21</v>
      </c>
      <c r="I1068" s="55" t="s">
        <v>1843</v>
      </c>
      <c r="J1068" s="56">
        <v>1</v>
      </c>
      <c r="K1068" s="51" t="s">
        <v>1813</v>
      </c>
      <c r="L1068" s="58">
        <v>34890</v>
      </c>
      <c r="M1068" s="50">
        <f>ROUND('FA Addition'!$L1068*5%,0.1)</f>
        <v>1745</v>
      </c>
      <c r="N1068" s="113" t="str">
        <f>_xlfn.XLOOKUP(_xlfn.CONCAT(E1068,B1068),'Year Wise Master Dep Approach'!F:F,'Year Wise Master Dep Approach'!D:D)</f>
        <v>WDV</v>
      </c>
      <c r="O1068" s="113">
        <f>_xlfn.XLOOKUP(_xlfn.CONCAT(E1068,B1068),'Year Wise Master Dep Approach'!F:F,'Year Wise Master Dep Approach'!E:E)</f>
        <v>3</v>
      </c>
      <c r="P1068" s="114">
        <f>IFERROR(IF('FA Addition'!$N1068="WDV",1-('FA Addition'!$M1068/'FA Addition'!$L1068)^(1/'FA Addition'!$O1068),1/'FA Addition'!$O1068),0)</f>
        <v>0.63156165686579468</v>
      </c>
      <c r="Q1068" s="122">
        <f>'FA Addition'!$P1068*'FA Addition'!$O1068</f>
        <v>1.8946849705973841</v>
      </c>
      <c r="R1068" s="122"/>
      <c r="S1068" s="116">
        <f>IF(AND(DATE(20&amp;LEFT(FAAddition[[#This Row],[FY]],2),4,1)&lt;$L$1+1,DATE(20&amp;LEFT(FAAddition[[#This Row],[FY]],2),4,1)&gt;$P$1-1),'FA Addition'!$J1068,0)</f>
        <v>0</v>
      </c>
      <c r="U1068" s="117">
        <f>S1068*'FA Addition'!$L1068/'FA Addition'!$J1068</f>
        <v>0</v>
      </c>
      <c r="W1068" s="116">
        <f>SUMIFS('FA Write off'!D:D,'FA Write off'!A:A,'FA Addition'!$A1068,'FA Write off'!C:C,"&lt;"&amp;'FA Addition'!$P$1)</f>
        <v>0</v>
      </c>
      <c r="Y1068" s="191">
        <f>IFERROR(W1068/'FA Addition'!$J1068*'FA Addition'!$L1068,0)</f>
        <v>0</v>
      </c>
      <c r="AA1068" s="116">
        <f>SUMIFS('FA Write off'!D:D,'FA Write off'!A:A,'FA Addition'!$A1068,'FA Write off'!C:C,"&lt;"&amp;'FA Addition'!$L$1+1,'FA Write off'!C:C,"&gt;"&amp;'FA Addition'!$L$1-365)</f>
        <v>0</v>
      </c>
      <c r="AC1068" s="118">
        <f>IFERROR(AA1068/'FA Addition'!$J1068*'FA Addition'!$L1068,0)</f>
        <v>0</v>
      </c>
      <c r="AE1068" s="117">
        <f>IF(AND('FA Addition'!$D1068&lt;$P$1+1,U1068=0),'FA Addition'!$L1068,0)-Y1068</f>
        <v>0</v>
      </c>
      <c r="AF1068" s="117">
        <f t="shared" si="80"/>
        <v>0</v>
      </c>
      <c r="AG1068" s="117">
        <f>MIN(MAX(+$P$1-'FA Addition'!$D1068,0),365*'FA Addition'!$O1068)</f>
        <v>0</v>
      </c>
      <c r="AH1068" s="117">
        <f>MIN(MAX($L$1-'FA Addition'!$D1068+1,0),365*'FA Addition'!$O1068)</f>
        <v>0</v>
      </c>
      <c r="AI1068" s="117" cm="1">
        <f t="array" ref="AI1068">_xlfn.XLOOKUP(1,('FA Write off'!A:A='FA Addition'!$A1068)*('FA Write off'!D:D=AA1068),'FA Write off'!H:H,0,0)</f>
        <v>0</v>
      </c>
      <c r="AJ1068" s="117">
        <f>IF(AC1068&gt;0,MAX(IF('FA Addition'!$N1068="SLM",($AC1068-'FA Addition'!$M1068)*'FA Addition'!$P1068*AI1068/365,(AC1068-'FA Addition'!$M1068)*(1-(1-'FA Addition'!$P1068)^(AI1068/365))),0),0)</f>
        <v>0</v>
      </c>
      <c r="AL1068" s="117">
        <f>MAX(IF(AG1068&gt;0,IF('FA Addition'!$N1068="SLM",($AE1068-'FA Addition'!$M1068)*'FA Addition'!$P1068*AG1068/365,IFERROR(VDB(AE1068,AE1068*0.05,'FA Addition'!$O1068,0,YEARFRAC('FA Addition'!$C1068,$P$1-1,3),'FA Addition'!$Q1068),FAAddition[[#This Row],[Original Cost (Rs)]]-FAAddition[[#This Row],[Salvage Value]])),0),0)</f>
        <v>0</v>
      </c>
      <c r="AM1068" s="119"/>
      <c r="AN1068" s="117">
        <f>MAX(IF(AH1068&gt;0,IF('FA Addition'!$N1068="SLM",($AF1068-'FA Addition'!$M1068)*'FA Addition'!$P1068*AH1068/365,IFERROR(VDB(AF1068,AF1068*0.05,'FA Addition'!$O1068,0,YEARFRAC('FA Addition'!$C1068,$L$1,3),'FA Addition'!$Q1068),FAAddition[[#This Row],[Original Cost (Rs)]]-FAAddition[[#This Row],[Salvage Value]])),0),0)</f>
        <v>0</v>
      </c>
      <c r="AO1068" s="117">
        <f t="shared" si="83"/>
        <v>0</v>
      </c>
      <c r="AQ1068" s="117">
        <f t="shared" si="81"/>
        <v>0</v>
      </c>
      <c r="AR1068" s="120">
        <f t="shared" si="82"/>
        <v>0</v>
      </c>
      <c r="AS1068" s="121"/>
    </row>
    <row r="1069" spans="1:45" ht="13.5" x14ac:dyDescent="0.4">
      <c r="A1069" s="12">
        <f t="shared" si="84"/>
        <v>1066</v>
      </c>
      <c r="B1069" s="64" t="s">
        <v>1758</v>
      </c>
      <c r="C1069" s="54">
        <v>45433</v>
      </c>
      <c r="D1069" s="54">
        <v>45433</v>
      </c>
      <c r="E1069" s="46" t="s">
        <v>451</v>
      </c>
      <c r="F1069" s="51" t="s">
        <v>19</v>
      </c>
      <c r="G1069" s="51" t="s">
        <v>1728</v>
      </c>
      <c r="H1069" s="51" t="s">
        <v>21</v>
      </c>
      <c r="I1069" s="55" t="s">
        <v>1843</v>
      </c>
      <c r="J1069" s="56">
        <v>1</v>
      </c>
      <c r="K1069" s="51" t="s">
        <v>1813</v>
      </c>
      <c r="L1069" s="58">
        <v>34890</v>
      </c>
      <c r="M1069" s="50">
        <f>ROUND('FA Addition'!$L1069*5%,0.1)</f>
        <v>1745</v>
      </c>
      <c r="N1069" s="113" t="str">
        <f>_xlfn.XLOOKUP(_xlfn.CONCAT(E1069,B1069),'Year Wise Master Dep Approach'!F:F,'Year Wise Master Dep Approach'!D:D)</f>
        <v>WDV</v>
      </c>
      <c r="O1069" s="113">
        <f>_xlfn.XLOOKUP(_xlfn.CONCAT(E1069,B1069),'Year Wise Master Dep Approach'!F:F,'Year Wise Master Dep Approach'!E:E)</f>
        <v>3</v>
      </c>
      <c r="P1069" s="114">
        <f>IFERROR(IF('FA Addition'!$N1069="WDV",1-('FA Addition'!$M1069/'FA Addition'!$L1069)^(1/'FA Addition'!$O1069),1/'FA Addition'!$O1069),0)</f>
        <v>0.63156165686579468</v>
      </c>
      <c r="Q1069" s="122">
        <f>'FA Addition'!$P1069*'FA Addition'!$O1069</f>
        <v>1.8946849705973841</v>
      </c>
      <c r="R1069" s="122"/>
      <c r="S1069" s="116">
        <f>IF(AND(DATE(20&amp;LEFT(FAAddition[[#This Row],[FY]],2),4,1)&lt;$L$1+1,DATE(20&amp;LEFT(FAAddition[[#This Row],[FY]],2),4,1)&gt;$P$1-1),'FA Addition'!$J1069,0)</f>
        <v>0</v>
      </c>
      <c r="U1069" s="117">
        <f>S1069*'FA Addition'!$L1069/'FA Addition'!$J1069</f>
        <v>0</v>
      </c>
      <c r="W1069" s="116">
        <f>SUMIFS('FA Write off'!D:D,'FA Write off'!A:A,'FA Addition'!$A1069,'FA Write off'!C:C,"&lt;"&amp;'FA Addition'!$P$1)</f>
        <v>0</v>
      </c>
      <c r="Y1069" s="191">
        <f>IFERROR(W1069/'FA Addition'!$J1069*'FA Addition'!$L1069,0)</f>
        <v>0</v>
      </c>
      <c r="AA1069" s="116">
        <f>SUMIFS('FA Write off'!D:D,'FA Write off'!A:A,'FA Addition'!$A1069,'FA Write off'!C:C,"&lt;"&amp;'FA Addition'!$L$1+1,'FA Write off'!C:C,"&gt;"&amp;'FA Addition'!$L$1-365)</f>
        <v>0</v>
      </c>
      <c r="AC1069" s="118">
        <f>IFERROR(AA1069/'FA Addition'!$J1069*'FA Addition'!$L1069,0)</f>
        <v>0</v>
      </c>
      <c r="AE1069" s="117">
        <f>IF(AND('FA Addition'!$D1069&lt;$P$1+1,U1069=0),'FA Addition'!$L1069,0)-Y1069</f>
        <v>0</v>
      </c>
      <c r="AF1069" s="117">
        <f t="shared" si="80"/>
        <v>0</v>
      </c>
      <c r="AG1069" s="117">
        <f>MIN(MAX(+$P$1-'FA Addition'!$D1069,0),365*'FA Addition'!$O1069)</f>
        <v>0</v>
      </c>
      <c r="AH1069" s="117">
        <f>MIN(MAX($L$1-'FA Addition'!$D1069+1,0),365*'FA Addition'!$O1069)</f>
        <v>0</v>
      </c>
      <c r="AI1069" s="117" cm="1">
        <f t="array" ref="AI1069">_xlfn.XLOOKUP(1,('FA Write off'!A:A='FA Addition'!$A1069)*('FA Write off'!D:D=AA1069),'FA Write off'!H:H,0,0)</f>
        <v>0</v>
      </c>
      <c r="AJ1069" s="117">
        <f>IF(AC1069&gt;0,MAX(IF('FA Addition'!$N1069="SLM",($AC1069-'FA Addition'!$M1069)*'FA Addition'!$P1069*AI1069/365,(AC1069-'FA Addition'!$M1069)*(1-(1-'FA Addition'!$P1069)^(AI1069/365))),0),0)</f>
        <v>0</v>
      </c>
      <c r="AL1069" s="117">
        <f>MAX(IF(AG1069&gt;0,IF('FA Addition'!$N1069="SLM",($AE1069-'FA Addition'!$M1069)*'FA Addition'!$P1069*AG1069/365,IFERROR(VDB(AE1069,AE1069*0.05,'FA Addition'!$O1069,0,YEARFRAC('FA Addition'!$C1069,$P$1-1,3),'FA Addition'!$Q1069),FAAddition[[#This Row],[Original Cost (Rs)]]-FAAddition[[#This Row],[Salvage Value]])),0),0)</f>
        <v>0</v>
      </c>
      <c r="AM1069" s="119"/>
      <c r="AN1069" s="117">
        <f>MAX(IF(AH1069&gt;0,IF('FA Addition'!$N1069="SLM",($AF1069-'FA Addition'!$M1069)*'FA Addition'!$P1069*AH1069/365,IFERROR(VDB(AF1069,AF1069*0.05,'FA Addition'!$O1069,0,YEARFRAC('FA Addition'!$C1069,$L$1,3),'FA Addition'!$Q1069),FAAddition[[#This Row],[Original Cost (Rs)]]-FAAddition[[#This Row],[Salvage Value]])),0),0)</f>
        <v>0</v>
      </c>
      <c r="AO1069" s="117">
        <f t="shared" si="83"/>
        <v>0</v>
      </c>
      <c r="AQ1069" s="117">
        <f t="shared" si="81"/>
        <v>0</v>
      </c>
      <c r="AR1069" s="120">
        <f t="shared" si="82"/>
        <v>0</v>
      </c>
      <c r="AS1069" s="121"/>
    </row>
    <row r="1070" spans="1:45" ht="13.5" x14ac:dyDescent="0.4">
      <c r="A1070" s="12">
        <f t="shared" si="84"/>
        <v>1067</v>
      </c>
      <c r="B1070" s="64" t="s">
        <v>1758</v>
      </c>
      <c r="C1070" s="54">
        <v>45433</v>
      </c>
      <c r="D1070" s="54">
        <v>45433</v>
      </c>
      <c r="E1070" s="46" t="s">
        <v>451</v>
      </c>
      <c r="F1070" s="51" t="s">
        <v>19</v>
      </c>
      <c r="G1070" s="51" t="s">
        <v>1728</v>
      </c>
      <c r="H1070" s="51" t="s">
        <v>21</v>
      </c>
      <c r="I1070" s="55" t="s">
        <v>1843</v>
      </c>
      <c r="J1070" s="56">
        <v>1</v>
      </c>
      <c r="K1070" s="51" t="s">
        <v>1813</v>
      </c>
      <c r="L1070" s="58">
        <v>34890</v>
      </c>
      <c r="M1070" s="50">
        <f>ROUND('FA Addition'!$L1070*5%,0.1)</f>
        <v>1745</v>
      </c>
      <c r="N1070" s="113" t="str">
        <f>_xlfn.XLOOKUP(_xlfn.CONCAT(E1070,B1070),'Year Wise Master Dep Approach'!F:F,'Year Wise Master Dep Approach'!D:D)</f>
        <v>WDV</v>
      </c>
      <c r="O1070" s="113">
        <f>_xlfn.XLOOKUP(_xlfn.CONCAT(E1070,B1070),'Year Wise Master Dep Approach'!F:F,'Year Wise Master Dep Approach'!E:E)</f>
        <v>3</v>
      </c>
      <c r="P1070" s="114">
        <f>IFERROR(IF('FA Addition'!$N1070="WDV",1-('FA Addition'!$M1070/'FA Addition'!$L1070)^(1/'FA Addition'!$O1070),1/'FA Addition'!$O1070),0)</f>
        <v>0.63156165686579468</v>
      </c>
      <c r="Q1070" s="122">
        <f>'FA Addition'!$P1070*'FA Addition'!$O1070</f>
        <v>1.8946849705973841</v>
      </c>
      <c r="R1070" s="122"/>
      <c r="S1070" s="116">
        <f>IF(AND(DATE(20&amp;LEFT(FAAddition[[#This Row],[FY]],2),4,1)&lt;$L$1+1,DATE(20&amp;LEFT(FAAddition[[#This Row],[FY]],2),4,1)&gt;$P$1-1),'FA Addition'!$J1070,0)</f>
        <v>0</v>
      </c>
      <c r="U1070" s="117">
        <f>S1070*'FA Addition'!$L1070/'FA Addition'!$J1070</f>
        <v>0</v>
      </c>
      <c r="W1070" s="116">
        <f>SUMIFS('FA Write off'!D:D,'FA Write off'!A:A,'FA Addition'!$A1070,'FA Write off'!C:C,"&lt;"&amp;'FA Addition'!$P$1)</f>
        <v>0</v>
      </c>
      <c r="Y1070" s="191">
        <f>IFERROR(W1070/'FA Addition'!$J1070*'FA Addition'!$L1070,0)</f>
        <v>0</v>
      </c>
      <c r="AA1070" s="116">
        <f>SUMIFS('FA Write off'!D:D,'FA Write off'!A:A,'FA Addition'!$A1070,'FA Write off'!C:C,"&lt;"&amp;'FA Addition'!$L$1+1,'FA Write off'!C:C,"&gt;"&amp;'FA Addition'!$L$1-365)</f>
        <v>0</v>
      </c>
      <c r="AC1070" s="118">
        <f>IFERROR(AA1070/'FA Addition'!$J1070*'FA Addition'!$L1070,0)</f>
        <v>0</v>
      </c>
      <c r="AE1070" s="117">
        <f>IF(AND('FA Addition'!$D1070&lt;$P$1+1,U1070=0),'FA Addition'!$L1070,0)-Y1070</f>
        <v>0</v>
      </c>
      <c r="AF1070" s="117">
        <f t="shared" si="80"/>
        <v>0</v>
      </c>
      <c r="AG1070" s="117">
        <f>MIN(MAX(+$P$1-'FA Addition'!$D1070,0),365*'FA Addition'!$O1070)</f>
        <v>0</v>
      </c>
      <c r="AH1070" s="117">
        <f>MIN(MAX($L$1-'FA Addition'!$D1070+1,0),365*'FA Addition'!$O1070)</f>
        <v>0</v>
      </c>
      <c r="AI1070" s="117" cm="1">
        <f t="array" ref="AI1070">_xlfn.XLOOKUP(1,('FA Write off'!A:A='FA Addition'!$A1070)*('FA Write off'!D:D=AA1070),'FA Write off'!H:H,0,0)</f>
        <v>0</v>
      </c>
      <c r="AJ1070" s="117">
        <f>IF(AC1070&gt;0,MAX(IF('FA Addition'!$N1070="SLM",($AC1070-'FA Addition'!$M1070)*'FA Addition'!$P1070*AI1070/365,(AC1070-'FA Addition'!$M1070)*(1-(1-'FA Addition'!$P1070)^(AI1070/365))),0),0)</f>
        <v>0</v>
      </c>
      <c r="AL1070" s="117">
        <f>MAX(IF(AG1070&gt;0,IF('FA Addition'!$N1070="SLM",($AE1070-'FA Addition'!$M1070)*'FA Addition'!$P1070*AG1070/365,IFERROR(VDB(AE1070,AE1070*0.05,'FA Addition'!$O1070,0,YEARFRAC('FA Addition'!$C1070,$P$1-1,3),'FA Addition'!$Q1070),FAAddition[[#This Row],[Original Cost (Rs)]]-FAAddition[[#This Row],[Salvage Value]])),0),0)</f>
        <v>0</v>
      </c>
      <c r="AM1070" s="119"/>
      <c r="AN1070" s="117">
        <f>MAX(IF(AH1070&gt;0,IF('FA Addition'!$N1070="SLM",($AF1070-'FA Addition'!$M1070)*'FA Addition'!$P1070*AH1070/365,IFERROR(VDB(AF1070,AF1070*0.05,'FA Addition'!$O1070,0,YEARFRAC('FA Addition'!$C1070,$L$1,3),'FA Addition'!$Q1070),FAAddition[[#This Row],[Original Cost (Rs)]]-FAAddition[[#This Row],[Salvage Value]])),0),0)</f>
        <v>0</v>
      </c>
      <c r="AO1070" s="117">
        <f t="shared" si="83"/>
        <v>0</v>
      </c>
      <c r="AQ1070" s="117">
        <f t="shared" si="81"/>
        <v>0</v>
      </c>
      <c r="AR1070" s="120">
        <f t="shared" si="82"/>
        <v>0</v>
      </c>
      <c r="AS1070" s="121"/>
    </row>
    <row r="1071" spans="1:45" ht="13.5" x14ac:dyDescent="0.4">
      <c r="A1071" s="12">
        <f t="shared" si="84"/>
        <v>1068</v>
      </c>
      <c r="B1071" s="64" t="s">
        <v>1758</v>
      </c>
      <c r="C1071" s="54">
        <v>45433</v>
      </c>
      <c r="D1071" s="54">
        <v>45433</v>
      </c>
      <c r="E1071" s="46" t="s">
        <v>451</v>
      </c>
      <c r="F1071" s="51" t="s">
        <v>19</v>
      </c>
      <c r="G1071" s="51" t="s">
        <v>1728</v>
      </c>
      <c r="H1071" s="51" t="s">
        <v>21</v>
      </c>
      <c r="I1071" s="55" t="s">
        <v>1843</v>
      </c>
      <c r="J1071" s="56">
        <v>1</v>
      </c>
      <c r="K1071" s="51" t="s">
        <v>1813</v>
      </c>
      <c r="L1071" s="58">
        <v>34890</v>
      </c>
      <c r="M1071" s="50">
        <f>ROUND('FA Addition'!$L1071*5%,0.1)</f>
        <v>1745</v>
      </c>
      <c r="N1071" s="113" t="str">
        <f>_xlfn.XLOOKUP(_xlfn.CONCAT(E1071,B1071),'Year Wise Master Dep Approach'!F:F,'Year Wise Master Dep Approach'!D:D)</f>
        <v>WDV</v>
      </c>
      <c r="O1071" s="113">
        <f>_xlfn.XLOOKUP(_xlfn.CONCAT(E1071,B1071),'Year Wise Master Dep Approach'!F:F,'Year Wise Master Dep Approach'!E:E)</f>
        <v>3</v>
      </c>
      <c r="P1071" s="114">
        <f>IFERROR(IF('FA Addition'!$N1071="WDV",1-('FA Addition'!$M1071/'FA Addition'!$L1071)^(1/'FA Addition'!$O1071),1/'FA Addition'!$O1071),0)</f>
        <v>0.63156165686579468</v>
      </c>
      <c r="Q1071" s="122">
        <f>'FA Addition'!$P1071*'FA Addition'!$O1071</f>
        <v>1.8946849705973841</v>
      </c>
      <c r="R1071" s="122"/>
      <c r="S1071" s="116">
        <f>IF(AND(DATE(20&amp;LEFT(FAAddition[[#This Row],[FY]],2),4,1)&lt;$L$1+1,DATE(20&amp;LEFT(FAAddition[[#This Row],[FY]],2),4,1)&gt;$P$1-1),'FA Addition'!$J1071,0)</f>
        <v>0</v>
      </c>
      <c r="U1071" s="117">
        <f>S1071*'FA Addition'!$L1071/'FA Addition'!$J1071</f>
        <v>0</v>
      </c>
      <c r="W1071" s="116">
        <f>SUMIFS('FA Write off'!D:D,'FA Write off'!A:A,'FA Addition'!$A1071,'FA Write off'!C:C,"&lt;"&amp;'FA Addition'!$P$1)</f>
        <v>0</v>
      </c>
      <c r="Y1071" s="191">
        <f>IFERROR(W1071/'FA Addition'!$J1071*'FA Addition'!$L1071,0)</f>
        <v>0</v>
      </c>
      <c r="AA1071" s="116">
        <f>SUMIFS('FA Write off'!D:D,'FA Write off'!A:A,'FA Addition'!$A1071,'FA Write off'!C:C,"&lt;"&amp;'FA Addition'!$L$1+1,'FA Write off'!C:C,"&gt;"&amp;'FA Addition'!$L$1-365)</f>
        <v>0</v>
      </c>
      <c r="AC1071" s="118">
        <f>IFERROR(AA1071/'FA Addition'!$J1071*'FA Addition'!$L1071,0)</f>
        <v>0</v>
      </c>
      <c r="AE1071" s="117">
        <f>IF(AND('FA Addition'!$D1071&lt;$P$1+1,U1071=0),'FA Addition'!$L1071,0)-Y1071</f>
        <v>0</v>
      </c>
      <c r="AF1071" s="117">
        <f t="shared" si="80"/>
        <v>0</v>
      </c>
      <c r="AG1071" s="117">
        <f>MIN(MAX(+$P$1-'FA Addition'!$D1071,0),365*'FA Addition'!$O1071)</f>
        <v>0</v>
      </c>
      <c r="AH1071" s="117">
        <f>MIN(MAX($L$1-'FA Addition'!$D1071+1,0),365*'FA Addition'!$O1071)</f>
        <v>0</v>
      </c>
      <c r="AI1071" s="117" cm="1">
        <f t="array" ref="AI1071">_xlfn.XLOOKUP(1,('FA Write off'!A:A='FA Addition'!$A1071)*('FA Write off'!D:D=AA1071),'FA Write off'!H:H,0,0)</f>
        <v>0</v>
      </c>
      <c r="AJ1071" s="117">
        <f>IF(AC1071&gt;0,MAX(IF('FA Addition'!$N1071="SLM",($AC1071-'FA Addition'!$M1071)*'FA Addition'!$P1071*AI1071/365,(AC1071-'FA Addition'!$M1071)*(1-(1-'FA Addition'!$P1071)^(AI1071/365))),0),0)</f>
        <v>0</v>
      </c>
      <c r="AL1071" s="117">
        <f>MAX(IF(AG1071&gt;0,IF('FA Addition'!$N1071="SLM",($AE1071-'FA Addition'!$M1071)*'FA Addition'!$P1071*AG1071/365,IFERROR(VDB(AE1071,AE1071*0.05,'FA Addition'!$O1071,0,YEARFRAC('FA Addition'!$C1071,$P$1-1,3),'FA Addition'!$Q1071),FAAddition[[#This Row],[Original Cost (Rs)]]-FAAddition[[#This Row],[Salvage Value]])),0),0)</f>
        <v>0</v>
      </c>
      <c r="AM1071" s="119"/>
      <c r="AN1071" s="117">
        <f>MAX(IF(AH1071&gt;0,IF('FA Addition'!$N1071="SLM",($AF1071-'FA Addition'!$M1071)*'FA Addition'!$P1071*AH1071/365,IFERROR(VDB(AF1071,AF1071*0.05,'FA Addition'!$O1071,0,YEARFRAC('FA Addition'!$C1071,$L$1,3),'FA Addition'!$Q1071),FAAddition[[#This Row],[Original Cost (Rs)]]-FAAddition[[#This Row],[Salvage Value]])),0),0)</f>
        <v>0</v>
      </c>
      <c r="AO1071" s="117">
        <f t="shared" si="83"/>
        <v>0</v>
      </c>
      <c r="AQ1071" s="117">
        <f t="shared" si="81"/>
        <v>0</v>
      </c>
      <c r="AR1071" s="120">
        <f t="shared" si="82"/>
        <v>0</v>
      </c>
      <c r="AS1071" s="121"/>
    </row>
    <row r="1072" spans="1:45" ht="13.5" x14ac:dyDescent="0.4">
      <c r="A1072" s="12">
        <f t="shared" si="84"/>
        <v>1069</v>
      </c>
      <c r="B1072" s="64" t="s">
        <v>1758</v>
      </c>
      <c r="C1072" s="54">
        <v>45433</v>
      </c>
      <c r="D1072" s="54">
        <v>45433</v>
      </c>
      <c r="E1072" s="46" t="s">
        <v>451</v>
      </c>
      <c r="F1072" s="51" t="s">
        <v>19</v>
      </c>
      <c r="G1072" s="51" t="s">
        <v>1728</v>
      </c>
      <c r="H1072" s="51" t="s">
        <v>244</v>
      </c>
      <c r="I1072" s="55" t="s">
        <v>1844</v>
      </c>
      <c r="J1072" s="56">
        <v>1</v>
      </c>
      <c r="K1072" s="51" t="s">
        <v>1845</v>
      </c>
      <c r="L1072" s="58">
        <v>13500</v>
      </c>
      <c r="M1072" s="50">
        <f>ROUND('FA Addition'!$L1072*5%,0.1)</f>
        <v>675</v>
      </c>
      <c r="N1072" s="113" t="str">
        <f>_xlfn.XLOOKUP(_xlfn.CONCAT(E1072,B1072),'Year Wise Master Dep Approach'!F:F,'Year Wise Master Dep Approach'!D:D)</f>
        <v>WDV</v>
      </c>
      <c r="O1072" s="113">
        <f>_xlfn.XLOOKUP(_xlfn.CONCAT(E1072,B1072),'Year Wise Master Dep Approach'!F:F,'Year Wise Master Dep Approach'!E:E)</f>
        <v>3</v>
      </c>
      <c r="P1072" s="114">
        <f>IFERROR(IF('FA Addition'!$N1072="WDV",1-('FA Addition'!$M1072/'FA Addition'!$L1072)^(1/'FA Addition'!$O1072),1/'FA Addition'!$O1072),0)</f>
        <v>0.63159685013596123</v>
      </c>
      <c r="Q1072" s="122">
        <f>'FA Addition'!$P1072*'FA Addition'!$O1072</f>
        <v>1.8947905504078837</v>
      </c>
      <c r="R1072" s="122"/>
      <c r="S1072" s="116">
        <f>IF(AND(DATE(20&amp;LEFT(FAAddition[[#This Row],[FY]],2),4,1)&lt;$L$1+1,DATE(20&amp;LEFT(FAAddition[[#This Row],[FY]],2),4,1)&gt;$P$1-1),'FA Addition'!$J1072,0)</f>
        <v>0</v>
      </c>
      <c r="U1072" s="117">
        <f>S1072*'FA Addition'!$L1072/'FA Addition'!$J1072</f>
        <v>0</v>
      </c>
      <c r="W1072" s="116">
        <f>SUMIFS('FA Write off'!D:D,'FA Write off'!A:A,'FA Addition'!$A1072,'FA Write off'!C:C,"&lt;"&amp;'FA Addition'!$P$1)</f>
        <v>0</v>
      </c>
      <c r="Y1072" s="191">
        <f>IFERROR(W1072/'FA Addition'!$J1072*'FA Addition'!$L1072,0)</f>
        <v>0</v>
      </c>
      <c r="AA1072" s="116">
        <f>SUMIFS('FA Write off'!D:D,'FA Write off'!A:A,'FA Addition'!$A1072,'FA Write off'!C:C,"&lt;"&amp;'FA Addition'!$L$1+1,'FA Write off'!C:C,"&gt;"&amp;'FA Addition'!$L$1-365)</f>
        <v>0</v>
      </c>
      <c r="AC1072" s="118">
        <f>IFERROR(AA1072/'FA Addition'!$J1072*'FA Addition'!$L1072,0)</f>
        <v>0</v>
      </c>
      <c r="AE1072" s="117">
        <f>IF(AND('FA Addition'!$D1072&lt;$P$1+1,U1072=0),'FA Addition'!$L1072,0)-Y1072</f>
        <v>0</v>
      </c>
      <c r="AF1072" s="117">
        <f t="shared" si="80"/>
        <v>0</v>
      </c>
      <c r="AG1072" s="117">
        <f>MIN(MAX(+$P$1-'FA Addition'!$D1072,0),365*'FA Addition'!$O1072)</f>
        <v>0</v>
      </c>
      <c r="AH1072" s="117">
        <f>MIN(MAX($L$1-'FA Addition'!$D1072+1,0),365*'FA Addition'!$O1072)</f>
        <v>0</v>
      </c>
      <c r="AI1072" s="117" cm="1">
        <f t="array" ref="AI1072">_xlfn.XLOOKUP(1,('FA Write off'!A:A='FA Addition'!$A1072)*('FA Write off'!D:D=AA1072),'FA Write off'!H:H,0,0)</f>
        <v>0</v>
      </c>
      <c r="AJ1072" s="117">
        <f>IF(AC1072&gt;0,MAX(IF('FA Addition'!$N1072="SLM",($AC1072-'FA Addition'!$M1072)*'FA Addition'!$P1072*AI1072/365,(AC1072-'FA Addition'!$M1072)*(1-(1-'FA Addition'!$P1072)^(AI1072/365))),0),0)</f>
        <v>0</v>
      </c>
      <c r="AL1072" s="117">
        <f>MAX(IF(AG1072&gt;0,IF('FA Addition'!$N1072="SLM",($AE1072-'FA Addition'!$M1072)*'FA Addition'!$P1072*AG1072/365,IFERROR(VDB(AE1072,AE1072*0.05,'FA Addition'!$O1072,0,YEARFRAC('FA Addition'!$C1072,$P$1-1,3),'FA Addition'!$Q1072),FAAddition[[#This Row],[Original Cost (Rs)]]-FAAddition[[#This Row],[Salvage Value]])),0),0)</f>
        <v>0</v>
      </c>
      <c r="AM1072" s="119"/>
      <c r="AN1072" s="117">
        <f>MAX(IF(AH1072&gt;0,IF('FA Addition'!$N1072="SLM",($AF1072-'FA Addition'!$M1072)*'FA Addition'!$P1072*AH1072/365,IFERROR(VDB(AF1072,AF1072*0.05,'FA Addition'!$O1072,0,YEARFRAC('FA Addition'!$C1072,$L$1,3),'FA Addition'!$Q1072),FAAddition[[#This Row],[Original Cost (Rs)]]-FAAddition[[#This Row],[Salvage Value]])),0),0)</f>
        <v>0</v>
      </c>
      <c r="AO1072" s="117">
        <f t="shared" si="83"/>
        <v>0</v>
      </c>
      <c r="AQ1072" s="117">
        <f t="shared" si="81"/>
        <v>0</v>
      </c>
      <c r="AR1072" s="120">
        <f t="shared" si="82"/>
        <v>0</v>
      </c>
      <c r="AS1072" s="121"/>
    </row>
    <row r="1073" spans="1:45" ht="13.5" x14ac:dyDescent="0.4">
      <c r="A1073" s="12">
        <f t="shared" si="84"/>
        <v>1070</v>
      </c>
      <c r="B1073" s="64" t="s">
        <v>1758</v>
      </c>
      <c r="C1073" s="54">
        <v>45433</v>
      </c>
      <c r="D1073" s="54">
        <v>45433</v>
      </c>
      <c r="E1073" s="46" t="s">
        <v>451</v>
      </c>
      <c r="F1073" s="51" t="s">
        <v>19</v>
      </c>
      <c r="G1073" s="51" t="s">
        <v>1728</v>
      </c>
      <c r="H1073" s="51" t="s">
        <v>244</v>
      </c>
      <c r="I1073" s="55" t="s">
        <v>1844</v>
      </c>
      <c r="J1073" s="56">
        <v>1</v>
      </c>
      <c r="K1073" s="51" t="s">
        <v>1845</v>
      </c>
      <c r="L1073" s="58">
        <v>13500</v>
      </c>
      <c r="M1073" s="50">
        <f>ROUND('FA Addition'!$L1073*5%,0.1)</f>
        <v>675</v>
      </c>
      <c r="N1073" s="113" t="str">
        <f>_xlfn.XLOOKUP(_xlfn.CONCAT(E1073,B1073),'Year Wise Master Dep Approach'!F:F,'Year Wise Master Dep Approach'!D:D)</f>
        <v>WDV</v>
      </c>
      <c r="O1073" s="113">
        <f>_xlfn.XLOOKUP(_xlfn.CONCAT(E1073,B1073),'Year Wise Master Dep Approach'!F:F,'Year Wise Master Dep Approach'!E:E)</f>
        <v>3</v>
      </c>
      <c r="P1073" s="114">
        <f>IFERROR(IF('FA Addition'!$N1073="WDV",1-('FA Addition'!$M1073/'FA Addition'!$L1073)^(1/'FA Addition'!$O1073),1/'FA Addition'!$O1073),0)</f>
        <v>0.63159685013596123</v>
      </c>
      <c r="Q1073" s="122">
        <f>'FA Addition'!$P1073*'FA Addition'!$O1073</f>
        <v>1.8947905504078837</v>
      </c>
      <c r="R1073" s="122"/>
      <c r="S1073" s="116">
        <f>IF(AND(DATE(20&amp;LEFT(FAAddition[[#This Row],[FY]],2),4,1)&lt;$L$1+1,DATE(20&amp;LEFT(FAAddition[[#This Row],[FY]],2),4,1)&gt;$P$1-1),'FA Addition'!$J1073,0)</f>
        <v>0</v>
      </c>
      <c r="U1073" s="117">
        <f>S1073*'FA Addition'!$L1073/'FA Addition'!$J1073</f>
        <v>0</v>
      </c>
      <c r="W1073" s="116">
        <f>SUMIFS('FA Write off'!D:D,'FA Write off'!A:A,'FA Addition'!$A1073,'FA Write off'!C:C,"&lt;"&amp;'FA Addition'!$P$1)</f>
        <v>0</v>
      </c>
      <c r="Y1073" s="191">
        <f>IFERROR(W1073/'FA Addition'!$J1073*'FA Addition'!$L1073,0)</f>
        <v>0</v>
      </c>
      <c r="AA1073" s="116">
        <f>SUMIFS('FA Write off'!D:D,'FA Write off'!A:A,'FA Addition'!$A1073,'FA Write off'!C:C,"&lt;"&amp;'FA Addition'!$L$1+1,'FA Write off'!C:C,"&gt;"&amp;'FA Addition'!$L$1-365)</f>
        <v>0</v>
      </c>
      <c r="AC1073" s="118">
        <f>IFERROR(AA1073/'FA Addition'!$J1073*'FA Addition'!$L1073,0)</f>
        <v>0</v>
      </c>
      <c r="AE1073" s="117">
        <f>IF(AND('FA Addition'!$D1073&lt;$P$1+1,U1073=0),'FA Addition'!$L1073,0)-Y1073</f>
        <v>0</v>
      </c>
      <c r="AF1073" s="117">
        <f t="shared" si="80"/>
        <v>0</v>
      </c>
      <c r="AG1073" s="117">
        <f>MIN(MAX(+$P$1-'FA Addition'!$D1073,0),365*'FA Addition'!$O1073)</f>
        <v>0</v>
      </c>
      <c r="AH1073" s="117">
        <f>MIN(MAX($L$1-'FA Addition'!$D1073+1,0),365*'FA Addition'!$O1073)</f>
        <v>0</v>
      </c>
      <c r="AI1073" s="117" cm="1">
        <f t="array" ref="AI1073">_xlfn.XLOOKUP(1,('FA Write off'!A:A='FA Addition'!$A1073)*('FA Write off'!D:D=AA1073),'FA Write off'!H:H,0,0)</f>
        <v>0</v>
      </c>
      <c r="AJ1073" s="117">
        <f>IF(AC1073&gt;0,MAX(IF('FA Addition'!$N1073="SLM",($AC1073-'FA Addition'!$M1073)*'FA Addition'!$P1073*AI1073/365,(AC1073-'FA Addition'!$M1073)*(1-(1-'FA Addition'!$P1073)^(AI1073/365))),0),0)</f>
        <v>0</v>
      </c>
      <c r="AL1073" s="117">
        <f>MAX(IF(AG1073&gt;0,IF('FA Addition'!$N1073="SLM",($AE1073-'FA Addition'!$M1073)*'FA Addition'!$P1073*AG1073/365,IFERROR(VDB(AE1073,AE1073*0.05,'FA Addition'!$O1073,0,YEARFRAC('FA Addition'!$C1073,$P$1-1,3),'FA Addition'!$Q1073),FAAddition[[#This Row],[Original Cost (Rs)]]-FAAddition[[#This Row],[Salvage Value]])),0),0)</f>
        <v>0</v>
      </c>
      <c r="AM1073" s="119"/>
      <c r="AN1073" s="117">
        <f>MAX(IF(AH1073&gt;0,IF('FA Addition'!$N1073="SLM",($AF1073-'FA Addition'!$M1073)*'FA Addition'!$P1073*AH1073/365,IFERROR(VDB(AF1073,AF1073*0.05,'FA Addition'!$O1073,0,YEARFRAC('FA Addition'!$C1073,$L$1,3),'FA Addition'!$Q1073),FAAddition[[#This Row],[Original Cost (Rs)]]-FAAddition[[#This Row],[Salvage Value]])),0),0)</f>
        <v>0</v>
      </c>
      <c r="AO1073" s="117">
        <f t="shared" si="83"/>
        <v>0</v>
      </c>
      <c r="AQ1073" s="117">
        <f t="shared" si="81"/>
        <v>0</v>
      </c>
      <c r="AR1073" s="120">
        <f t="shared" si="82"/>
        <v>0</v>
      </c>
      <c r="AS1073" s="121"/>
    </row>
    <row r="1074" spans="1:45" ht="13.5" x14ac:dyDescent="0.4">
      <c r="A1074" s="12">
        <f t="shared" si="84"/>
        <v>1071</v>
      </c>
      <c r="B1074" s="64" t="s">
        <v>1758</v>
      </c>
      <c r="C1074" s="54">
        <v>45433</v>
      </c>
      <c r="D1074" s="54">
        <v>45433</v>
      </c>
      <c r="E1074" s="46" t="s">
        <v>451</v>
      </c>
      <c r="F1074" s="51" t="s">
        <v>19</v>
      </c>
      <c r="G1074" s="51" t="s">
        <v>1728</v>
      </c>
      <c r="H1074" s="51" t="s">
        <v>151</v>
      </c>
      <c r="I1074" s="55" t="s">
        <v>1844</v>
      </c>
      <c r="J1074" s="56">
        <v>1</v>
      </c>
      <c r="K1074" s="51" t="s">
        <v>1846</v>
      </c>
      <c r="L1074" s="58">
        <v>11200</v>
      </c>
      <c r="M1074" s="50">
        <f>ROUND('FA Addition'!$L1074*5%,0.1)</f>
        <v>560</v>
      </c>
      <c r="N1074" s="113" t="str">
        <f>_xlfn.XLOOKUP(_xlfn.CONCAT(E1074,B1074),'Year Wise Master Dep Approach'!F:F,'Year Wise Master Dep Approach'!D:D)</f>
        <v>WDV</v>
      </c>
      <c r="O1074" s="113">
        <f>_xlfn.XLOOKUP(_xlfn.CONCAT(E1074,B1074),'Year Wise Master Dep Approach'!F:F,'Year Wise Master Dep Approach'!E:E)</f>
        <v>3</v>
      </c>
      <c r="P1074" s="114">
        <f>IFERROR(IF('FA Addition'!$N1074="WDV",1-('FA Addition'!$M1074/'FA Addition'!$L1074)^(1/'FA Addition'!$O1074),1/'FA Addition'!$O1074),0)</f>
        <v>0.63159685013596123</v>
      </c>
      <c r="Q1074" s="122">
        <f>'FA Addition'!$P1074*'FA Addition'!$O1074</f>
        <v>1.8947905504078837</v>
      </c>
      <c r="R1074" s="122"/>
      <c r="S1074" s="116">
        <f>IF(AND(DATE(20&amp;LEFT(FAAddition[[#This Row],[FY]],2),4,1)&lt;$L$1+1,DATE(20&amp;LEFT(FAAddition[[#This Row],[FY]],2),4,1)&gt;$P$1-1),'FA Addition'!$J1074,0)</f>
        <v>0</v>
      </c>
      <c r="U1074" s="117">
        <f>S1074*'FA Addition'!$L1074/'FA Addition'!$J1074</f>
        <v>0</v>
      </c>
      <c r="W1074" s="116">
        <f>SUMIFS('FA Write off'!D:D,'FA Write off'!A:A,'FA Addition'!$A1074,'FA Write off'!C:C,"&lt;"&amp;'FA Addition'!$P$1)</f>
        <v>0</v>
      </c>
      <c r="Y1074" s="191">
        <f>IFERROR(W1074/'FA Addition'!$J1074*'FA Addition'!$L1074,0)</f>
        <v>0</v>
      </c>
      <c r="AA1074" s="116">
        <f>SUMIFS('FA Write off'!D:D,'FA Write off'!A:A,'FA Addition'!$A1074,'FA Write off'!C:C,"&lt;"&amp;'FA Addition'!$L$1+1,'FA Write off'!C:C,"&gt;"&amp;'FA Addition'!$L$1-365)</f>
        <v>0</v>
      </c>
      <c r="AC1074" s="118">
        <f>IFERROR(AA1074/'FA Addition'!$J1074*'FA Addition'!$L1074,0)</f>
        <v>0</v>
      </c>
      <c r="AE1074" s="117">
        <f>IF(AND('FA Addition'!$D1074&lt;$P$1+1,U1074=0),'FA Addition'!$L1074,0)-Y1074</f>
        <v>0</v>
      </c>
      <c r="AF1074" s="117">
        <f t="shared" si="80"/>
        <v>0</v>
      </c>
      <c r="AG1074" s="117">
        <f>MIN(MAX(+$P$1-'FA Addition'!$D1074,0),365*'FA Addition'!$O1074)</f>
        <v>0</v>
      </c>
      <c r="AH1074" s="117">
        <f>MIN(MAX($L$1-'FA Addition'!$D1074+1,0),365*'FA Addition'!$O1074)</f>
        <v>0</v>
      </c>
      <c r="AI1074" s="117" cm="1">
        <f t="array" ref="AI1074">_xlfn.XLOOKUP(1,('FA Write off'!A:A='FA Addition'!$A1074)*('FA Write off'!D:D=AA1074),'FA Write off'!H:H,0,0)</f>
        <v>0</v>
      </c>
      <c r="AJ1074" s="117">
        <f>IF(AC1074&gt;0,MAX(IF('FA Addition'!$N1074="SLM",($AC1074-'FA Addition'!$M1074)*'FA Addition'!$P1074*AI1074/365,(AC1074-'FA Addition'!$M1074)*(1-(1-'FA Addition'!$P1074)^(AI1074/365))),0),0)</f>
        <v>0</v>
      </c>
      <c r="AL1074" s="117">
        <f>MAX(IF(AG1074&gt;0,IF('FA Addition'!$N1074="SLM",($AE1074-'FA Addition'!$M1074)*'FA Addition'!$P1074*AG1074/365,IFERROR(VDB(AE1074,AE1074*0.05,'FA Addition'!$O1074,0,YEARFRAC('FA Addition'!$C1074,$P$1-1,3),'FA Addition'!$Q1074),FAAddition[[#This Row],[Original Cost (Rs)]]-FAAddition[[#This Row],[Salvage Value]])),0),0)</f>
        <v>0</v>
      </c>
      <c r="AM1074" s="119"/>
      <c r="AN1074" s="117">
        <f>MAX(IF(AH1074&gt;0,IF('FA Addition'!$N1074="SLM",($AF1074-'FA Addition'!$M1074)*'FA Addition'!$P1074*AH1074/365,IFERROR(VDB(AF1074,AF1074*0.05,'FA Addition'!$O1074,0,YEARFRAC('FA Addition'!$C1074,$L$1,3),'FA Addition'!$Q1074),FAAddition[[#This Row],[Original Cost (Rs)]]-FAAddition[[#This Row],[Salvage Value]])),0),0)</f>
        <v>0</v>
      </c>
      <c r="AO1074" s="117">
        <f t="shared" si="83"/>
        <v>0</v>
      </c>
      <c r="AQ1074" s="117">
        <f t="shared" si="81"/>
        <v>0</v>
      </c>
      <c r="AR1074" s="120">
        <f t="shared" si="82"/>
        <v>0</v>
      </c>
      <c r="AS1074" s="121"/>
    </row>
    <row r="1075" spans="1:45" ht="13.5" x14ac:dyDescent="0.4">
      <c r="A1075" s="12">
        <f t="shared" si="84"/>
        <v>1072</v>
      </c>
      <c r="B1075" s="64" t="s">
        <v>1758</v>
      </c>
      <c r="C1075" s="54">
        <v>45433</v>
      </c>
      <c r="D1075" s="54">
        <v>45433</v>
      </c>
      <c r="E1075" s="46" t="s">
        <v>451</v>
      </c>
      <c r="F1075" s="51" t="s">
        <v>19</v>
      </c>
      <c r="G1075" s="51" t="s">
        <v>1728</v>
      </c>
      <c r="H1075" s="51" t="s">
        <v>151</v>
      </c>
      <c r="I1075" s="55" t="s">
        <v>1844</v>
      </c>
      <c r="J1075" s="56">
        <v>1</v>
      </c>
      <c r="K1075" s="51" t="s">
        <v>1846</v>
      </c>
      <c r="L1075" s="58">
        <v>11200</v>
      </c>
      <c r="M1075" s="50">
        <f>ROUND('FA Addition'!$L1075*5%,0.1)</f>
        <v>560</v>
      </c>
      <c r="N1075" s="113" t="str">
        <f>_xlfn.XLOOKUP(_xlfn.CONCAT(E1075,B1075),'Year Wise Master Dep Approach'!F:F,'Year Wise Master Dep Approach'!D:D)</f>
        <v>WDV</v>
      </c>
      <c r="O1075" s="113">
        <f>_xlfn.XLOOKUP(_xlfn.CONCAT(E1075,B1075),'Year Wise Master Dep Approach'!F:F,'Year Wise Master Dep Approach'!E:E)</f>
        <v>3</v>
      </c>
      <c r="P1075" s="114">
        <f>IFERROR(IF('FA Addition'!$N1075="WDV",1-('FA Addition'!$M1075/'FA Addition'!$L1075)^(1/'FA Addition'!$O1075),1/'FA Addition'!$O1075),0)</f>
        <v>0.63159685013596123</v>
      </c>
      <c r="Q1075" s="122">
        <f>'FA Addition'!$P1075*'FA Addition'!$O1075</f>
        <v>1.8947905504078837</v>
      </c>
      <c r="R1075" s="122"/>
      <c r="S1075" s="116">
        <f>IF(AND(DATE(20&amp;LEFT(FAAddition[[#This Row],[FY]],2),4,1)&lt;$L$1+1,DATE(20&amp;LEFT(FAAddition[[#This Row],[FY]],2),4,1)&gt;$P$1-1),'FA Addition'!$J1075,0)</f>
        <v>0</v>
      </c>
      <c r="U1075" s="117">
        <f>S1075*'FA Addition'!$L1075/'FA Addition'!$J1075</f>
        <v>0</v>
      </c>
      <c r="W1075" s="116">
        <f>SUMIFS('FA Write off'!D:D,'FA Write off'!A:A,'FA Addition'!$A1075,'FA Write off'!C:C,"&lt;"&amp;'FA Addition'!$P$1)</f>
        <v>0</v>
      </c>
      <c r="Y1075" s="191">
        <f>IFERROR(W1075/'FA Addition'!$J1075*'FA Addition'!$L1075,0)</f>
        <v>0</v>
      </c>
      <c r="AA1075" s="116">
        <f>SUMIFS('FA Write off'!D:D,'FA Write off'!A:A,'FA Addition'!$A1075,'FA Write off'!C:C,"&lt;"&amp;'FA Addition'!$L$1+1,'FA Write off'!C:C,"&gt;"&amp;'FA Addition'!$L$1-365)</f>
        <v>0</v>
      </c>
      <c r="AC1075" s="118">
        <f>IFERROR(AA1075/'FA Addition'!$J1075*'FA Addition'!$L1075,0)</f>
        <v>0</v>
      </c>
      <c r="AE1075" s="117">
        <f>IF(AND('FA Addition'!$D1075&lt;$P$1+1,U1075=0),'FA Addition'!$L1075,0)-Y1075</f>
        <v>0</v>
      </c>
      <c r="AF1075" s="117">
        <f t="shared" si="80"/>
        <v>0</v>
      </c>
      <c r="AG1075" s="117">
        <f>MIN(MAX(+$P$1-'FA Addition'!$D1075,0),365*'FA Addition'!$O1075)</f>
        <v>0</v>
      </c>
      <c r="AH1075" s="117">
        <f>MIN(MAX($L$1-'FA Addition'!$D1075+1,0),365*'FA Addition'!$O1075)</f>
        <v>0</v>
      </c>
      <c r="AI1075" s="117" cm="1">
        <f t="array" ref="AI1075">_xlfn.XLOOKUP(1,('FA Write off'!A:A='FA Addition'!$A1075)*('FA Write off'!D:D=AA1075),'FA Write off'!H:H,0,0)</f>
        <v>0</v>
      </c>
      <c r="AJ1075" s="117">
        <f>IF(AC1075&gt;0,MAX(IF('FA Addition'!$N1075="SLM",($AC1075-'FA Addition'!$M1075)*'FA Addition'!$P1075*AI1075/365,(AC1075-'FA Addition'!$M1075)*(1-(1-'FA Addition'!$P1075)^(AI1075/365))),0),0)</f>
        <v>0</v>
      </c>
      <c r="AL1075" s="117">
        <f>MAX(IF(AG1075&gt;0,IF('FA Addition'!$N1075="SLM",($AE1075-'FA Addition'!$M1075)*'FA Addition'!$P1075*AG1075/365,IFERROR(VDB(AE1075,AE1075*0.05,'FA Addition'!$O1075,0,YEARFRAC('FA Addition'!$C1075,$P$1-1,3),'FA Addition'!$Q1075),FAAddition[[#This Row],[Original Cost (Rs)]]-FAAddition[[#This Row],[Salvage Value]])),0),0)</f>
        <v>0</v>
      </c>
      <c r="AM1075" s="119"/>
      <c r="AN1075" s="117">
        <f>MAX(IF(AH1075&gt;0,IF('FA Addition'!$N1075="SLM",($AF1075-'FA Addition'!$M1075)*'FA Addition'!$P1075*AH1075/365,IFERROR(VDB(AF1075,AF1075*0.05,'FA Addition'!$O1075,0,YEARFRAC('FA Addition'!$C1075,$L$1,3),'FA Addition'!$Q1075),FAAddition[[#This Row],[Original Cost (Rs)]]-FAAddition[[#This Row],[Salvage Value]])),0),0)</f>
        <v>0</v>
      </c>
      <c r="AO1075" s="117">
        <f t="shared" si="83"/>
        <v>0</v>
      </c>
      <c r="AQ1075" s="117">
        <f t="shared" si="81"/>
        <v>0</v>
      </c>
      <c r="AR1075" s="120">
        <f t="shared" si="82"/>
        <v>0</v>
      </c>
      <c r="AS1075" s="121"/>
    </row>
    <row r="1076" spans="1:45" ht="13.5" x14ac:dyDescent="0.4">
      <c r="A1076" s="12">
        <f t="shared" si="84"/>
        <v>1073</v>
      </c>
      <c r="B1076" s="64" t="s">
        <v>1758</v>
      </c>
      <c r="C1076" s="54">
        <v>45433</v>
      </c>
      <c r="D1076" s="54">
        <v>45433</v>
      </c>
      <c r="E1076" s="46" t="s">
        <v>451</v>
      </c>
      <c r="F1076" s="51" t="s">
        <v>19</v>
      </c>
      <c r="G1076" s="51" t="s">
        <v>1728</v>
      </c>
      <c r="H1076" s="51" t="s">
        <v>21</v>
      </c>
      <c r="I1076" s="55" t="s">
        <v>1847</v>
      </c>
      <c r="J1076" s="56">
        <v>1</v>
      </c>
      <c r="K1076" s="51" t="s">
        <v>1813</v>
      </c>
      <c r="L1076" s="58">
        <v>34890</v>
      </c>
      <c r="M1076" s="50">
        <f>ROUND('FA Addition'!$L1076*5%,0.1)</f>
        <v>1745</v>
      </c>
      <c r="N1076" s="113" t="str">
        <f>_xlfn.XLOOKUP(_xlfn.CONCAT(E1076,B1076),'Year Wise Master Dep Approach'!F:F,'Year Wise Master Dep Approach'!D:D)</f>
        <v>WDV</v>
      </c>
      <c r="O1076" s="113">
        <f>_xlfn.XLOOKUP(_xlfn.CONCAT(E1076,B1076),'Year Wise Master Dep Approach'!F:F,'Year Wise Master Dep Approach'!E:E)</f>
        <v>3</v>
      </c>
      <c r="P1076" s="114">
        <f>IFERROR(IF('FA Addition'!$N1076="WDV",1-('FA Addition'!$M1076/'FA Addition'!$L1076)^(1/'FA Addition'!$O1076),1/'FA Addition'!$O1076),0)</f>
        <v>0.63156165686579468</v>
      </c>
      <c r="Q1076" s="122">
        <f>'FA Addition'!$P1076*'FA Addition'!$O1076</f>
        <v>1.8946849705973841</v>
      </c>
      <c r="R1076" s="122"/>
      <c r="S1076" s="116">
        <f>IF(AND(DATE(20&amp;LEFT(FAAddition[[#This Row],[FY]],2),4,1)&lt;$L$1+1,DATE(20&amp;LEFT(FAAddition[[#This Row],[FY]],2),4,1)&gt;$P$1-1),'FA Addition'!$J1076,0)</f>
        <v>0</v>
      </c>
      <c r="U1076" s="117">
        <f>S1076*'FA Addition'!$L1076/'FA Addition'!$J1076</f>
        <v>0</v>
      </c>
      <c r="W1076" s="116">
        <f>SUMIFS('FA Write off'!D:D,'FA Write off'!A:A,'FA Addition'!$A1076,'FA Write off'!C:C,"&lt;"&amp;'FA Addition'!$P$1)</f>
        <v>0</v>
      </c>
      <c r="Y1076" s="191">
        <f>IFERROR(W1076/'FA Addition'!$J1076*'FA Addition'!$L1076,0)</f>
        <v>0</v>
      </c>
      <c r="AA1076" s="116">
        <f>SUMIFS('FA Write off'!D:D,'FA Write off'!A:A,'FA Addition'!$A1076,'FA Write off'!C:C,"&lt;"&amp;'FA Addition'!$L$1+1,'FA Write off'!C:C,"&gt;"&amp;'FA Addition'!$L$1-365)</f>
        <v>0</v>
      </c>
      <c r="AC1076" s="118">
        <f>IFERROR(AA1076/'FA Addition'!$J1076*'FA Addition'!$L1076,0)</f>
        <v>0</v>
      </c>
      <c r="AE1076" s="117">
        <f>IF(AND('FA Addition'!$D1076&lt;$P$1+1,U1076=0),'FA Addition'!$L1076,0)-Y1076</f>
        <v>0</v>
      </c>
      <c r="AF1076" s="117">
        <f t="shared" si="80"/>
        <v>0</v>
      </c>
      <c r="AG1076" s="117">
        <f>MIN(MAX(+$P$1-'FA Addition'!$D1076,0),365*'FA Addition'!$O1076)</f>
        <v>0</v>
      </c>
      <c r="AH1076" s="117">
        <f>MIN(MAX($L$1-'FA Addition'!$D1076+1,0),365*'FA Addition'!$O1076)</f>
        <v>0</v>
      </c>
      <c r="AI1076" s="117" cm="1">
        <f t="array" ref="AI1076">_xlfn.XLOOKUP(1,('FA Write off'!A:A='FA Addition'!$A1076)*('FA Write off'!D:D=AA1076),'FA Write off'!H:H,0,0)</f>
        <v>0</v>
      </c>
      <c r="AJ1076" s="117">
        <f>IF(AC1076&gt;0,MAX(IF('FA Addition'!$N1076="SLM",($AC1076-'FA Addition'!$M1076)*'FA Addition'!$P1076*AI1076/365,(AC1076-'FA Addition'!$M1076)*(1-(1-'FA Addition'!$P1076)^(AI1076/365))),0),0)</f>
        <v>0</v>
      </c>
      <c r="AL1076" s="117">
        <f>MAX(IF(AG1076&gt;0,IF('FA Addition'!$N1076="SLM",($AE1076-'FA Addition'!$M1076)*'FA Addition'!$P1076*AG1076/365,IFERROR(VDB(AE1076,AE1076*0.05,'FA Addition'!$O1076,0,YEARFRAC('FA Addition'!$C1076,$P$1-1,3),'FA Addition'!$Q1076),FAAddition[[#This Row],[Original Cost (Rs)]]-FAAddition[[#This Row],[Salvage Value]])),0),0)</f>
        <v>0</v>
      </c>
      <c r="AM1076" s="119"/>
      <c r="AN1076" s="117">
        <f>MAX(IF(AH1076&gt;0,IF('FA Addition'!$N1076="SLM",($AF1076-'FA Addition'!$M1076)*'FA Addition'!$P1076*AH1076/365,IFERROR(VDB(AF1076,AF1076*0.05,'FA Addition'!$O1076,0,YEARFRAC('FA Addition'!$C1076,$L$1,3),'FA Addition'!$Q1076),FAAddition[[#This Row],[Original Cost (Rs)]]-FAAddition[[#This Row],[Salvage Value]])),0),0)</f>
        <v>0</v>
      </c>
      <c r="AO1076" s="117">
        <f t="shared" si="83"/>
        <v>0</v>
      </c>
      <c r="AQ1076" s="117">
        <f t="shared" si="81"/>
        <v>0</v>
      </c>
      <c r="AR1076" s="120">
        <f t="shared" si="82"/>
        <v>0</v>
      </c>
      <c r="AS1076" s="121"/>
    </row>
    <row r="1077" spans="1:45" ht="13.5" x14ac:dyDescent="0.4">
      <c r="A1077" s="12">
        <f t="shared" si="84"/>
        <v>1074</v>
      </c>
      <c r="B1077" s="64" t="s">
        <v>1758</v>
      </c>
      <c r="C1077" s="54">
        <v>45433</v>
      </c>
      <c r="D1077" s="54">
        <v>45433</v>
      </c>
      <c r="E1077" s="46" t="s">
        <v>451</v>
      </c>
      <c r="F1077" s="51" t="s">
        <v>19</v>
      </c>
      <c r="G1077" s="51" t="s">
        <v>1728</v>
      </c>
      <c r="H1077" s="51" t="s">
        <v>21</v>
      </c>
      <c r="I1077" s="55" t="s">
        <v>1847</v>
      </c>
      <c r="J1077" s="56">
        <v>1</v>
      </c>
      <c r="K1077" s="51" t="s">
        <v>1813</v>
      </c>
      <c r="L1077" s="58">
        <v>34890</v>
      </c>
      <c r="M1077" s="50">
        <f>ROUND('FA Addition'!$L1077*5%,0.1)</f>
        <v>1745</v>
      </c>
      <c r="N1077" s="113" t="str">
        <f>_xlfn.XLOOKUP(_xlfn.CONCAT(E1077,B1077),'Year Wise Master Dep Approach'!F:F,'Year Wise Master Dep Approach'!D:D)</f>
        <v>WDV</v>
      </c>
      <c r="O1077" s="113">
        <f>_xlfn.XLOOKUP(_xlfn.CONCAT(E1077,B1077),'Year Wise Master Dep Approach'!F:F,'Year Wise Master Dep Approach'!E:E)</f>
        <v>3</v>
      </c>
      <c r="P1077" s="114">
        <f>IFERROR(IF('FA Addition'!$N1077="WDV",1-('FA Addition'!$M1077/'FA Addition'!$L1077)^(1/'FA Addition'!$O1077),1/'FA Addition'!$O1077),0)</f>
        <v>0.63156165686579468</v>
      </c>
      <c r="Q1077" s="122">
        <f>'FA Addition'!$P1077*'FA Addition'!$O1077</f>
        <v>1.8946849705973841</v>
      </c>
      <c r="R1077" s="122"/>
      <c r="S1077" s="116">
        <f>IF(AND(DATE(20&amp;LEFT(FAAddition[[#This Row],[FY]],2),4,1)&lt;$L$1+1,DATE(20&amp;LEFT(FAAddition[[#This Row],[FY]],2),4,1)&gt;$P$1-1),'FA Addition'!$J1077,0)</f>
        <v>0</v>
      </c>
      <c r="U1077" s="117">
        <f>S1077*'FA Addition'!$L1077/'FA Addition'!$J1077</f>
        <v>0</v>
      </c>
      <c r="W1077" s="116">
        <f>SUMIFS('FA Write off'!D:D,'FA Write off'!A:A,'FA Addition'!$A1077,'FA Write off'!C:C,"&lt;"&amp;'FA Addition'!$P$1)</f>
        <v>0</v>
      </c>
      <c r="Y1077" s="191">
        <f>IFERROR(W1077/'FA Addition'!$J1077*'FA Addition'!$L1077,0)</f>
        <v>0</v>
      </c>
      <c r="AA1077" s="116">
        <f>SUMIFS('FA Write off'!D:D,'FA Write off'!A:A,'FA Addition'!$A1077,'FA Write off'!C:C,"&lt;"&amp;'FA Addition'!$L$1+1,'FA Write off'!C:C,"&gt;"&amp;'FA Addition'!$L$1-365)</f>
        <v>0</v>
      </c>
      <c r="AC1077" s="118">
        <f>IFERROR(AA1077/'FA Addition'!$J1077*'FA Addition'!$L1077,0)</f>
        <v>0</v>
      </c>
      <c r="AE1077" s="117">
        <f>IF(AND('FA Addition'!$D1077&lt;$P$1+1,U1077=0),'FA Addition'!$L1077,0)-Y1077</f>
        <v>0</v>
      </c>
      <c r="AF1077" s="117">
        <f t="shared" si="80"/>
        <v>0</v>
      </c>
      <c r="AG1077" s="117">
        <f>MIN(MAX(+$P$1-'FA Addition'!$D1077,0),365*'FA Addition'!$O1077)</f>
        <v>0</v>
      </c>
      <c r="AH1077" s="117">
        <f>MIN(MAX($L$1-'FA Addition'!$D1077+1,0),365*'FA Addition'!$O1077)</f>
        <v>0</v>
      </c>
      <c r="AI1077" s="117" cm="1">
        <f t="array" ref="AI1077">_xlfn.XLOOKUP(1,('FA Write off'!A:A='FA Addition'!$A1077)*('FA Write off'!D:D=AA1077),'FA Write off'!H:H,0,0)</f>
        <v>0</v>
      </c>
      <c r="AJ1077" s="117">
        <f>IF(AC1077&gt;0,MAX(IF('FA Addition'!$N1077="SLM",($AC1077-'FA Addition'!$M1077)*'FA Addition'!$P1077*AI1077/365,(AC1077-'FA Addition'!$M1077)*(1-(1-'FA Addition'!$P1077)^(AI1077/365))),0),0)</f>
        <v>0</v>
      </c>
      <c r="AL1077" s="117">
        <f>MAX(IF(AG1077&gt;0,IF('FA Addition'!$N1077="SLM",($AE1077-'FA Addition'!$M1077)*'FA Addition'!$P1077*AG1077/365,IFERROR(VDB(AE1077,AE1077*0.05,'FA Addition'!$O1077,0,YEARFRAC('FA Addition'!$C1077,$P$1-1,3),'FA Addition'!$Q1077),FAAddition[[#This Row],[Original Cost (Rs)]]-FAAddition[[#This Row],[Salvage Value]])),0),0)</f>
        <v>0</v>
      </c>
      <c r="AM1077" s="119"/>
      <c r="AN1077" s="117">
        <f>MAX(IF(AH1077&gt;0,IF('FA Addition'!$N1077="SLM",($AF1077-'FA Addition'!$M1077)*'FA Addition'!$P1077*AH1077/365,IFERROR(VDB(AF1077,AF1077*0.05,'FA Addition'!$O1077,0,YEARFRAC('FA Addition'!$C1077,$L$1,3),'FA Addition'!$Q1077),FAAddition[[#This Row],[Original Cost (Rs)]]-FAAddition[[#This Row],[Salvage Value]])),0),0)</f>
        <v>0</v>
      </c>
      <c r="AO1077" s="117">
        <f t="shared" si="83"/>
        <v>0</v>
      </c>
      <c r="AQ1077" s="117">
        <f t="shared" si="81"/>
        <v>0</v>
      </c>
      <c r="AR1077" s="120">
        <f t="shared" si="82"/>
        <v>0</v>
      </c>
      <c r="AS1077" s="121"/>
    </row>
    <row r="1078" spans="1:45" ht="13.5" x14ac:dyDescent="0.4">
      <c r="A1078" s="12">
        <f t="shared" si="84"/>
        <v>1075</v>
      </c>
      <c r="B1078" s="64" t="s">
        <v>1758</v>
      </c>
      <c r="C1078" s="54">
        <v>45433</v>
      </c>
      <c r="D1078" s="54">
        <v>45433</v>
      </c>
      <c r="E1078" s="46" t="s">
        <v>451</v>
      </c>
      <c r="F1078" s="51" t="s">
        <v>19</v>
      </c>
      <c r="G1078" s="51" t="s">
        <v>1728</v>
      </c>
      <c r="H1078" s="51" t="s">
        <v>21</v>
      </c>
      <c r="I1078" s="55" t="s">
        <v>1847</v>
      </c>
      <c r="J1078" s="56">
        <v>1</v>
      </c>
      <c r="K1078" s="51" t="s">
        <v>1813</v>
      </c>
      <c r="L1078" s="58">
        <v>34890</v>
      </c>
      <c r="M1078" s="50">
        <f>ROUND('FA Addition'!$L1078*5%,0.1)</f>
        <v>1745</v>
      </c>
      <c r="N1078" s="113" t="str">
        <f>_xlfn.XLOOKUP(_xlfn.CONCAT(E1078,B1078),'Year Wise Master Dep Approach'!F:F,'Year Wise Master Dep Approach'!D:D)</f>
        <v>WDV</v>
      </c>
      <c r="O1078" s="113">
        <f>_xlfn.XLOOKUP(_xlfn.CONCAT(E1078,B1078),'Year Wise Master Dep Approach'!F:F,'Year Wise Master Dep Approach'!E:E)</f>
        <v>3</v>
      </c>
      <c r="P1078" s="114">
        <f>IFERROR(IF('FA Addition'!$N1078="WDV",1-('FA Addition'!$M1078/'FA Addition'!$L1078)^(1/'FA Addition'!$O1078),1/'FA Addition'!$O1078),0)</f>
        <v>0.63156165686579468</v>
      </c>
      <c r="Q1078" s="122">
        <f>'FA Addition'!$P1078*'FA Addition'!$O1078</f>
        <v>1.8946849705973841</v>
      </c>
      <c r="R1078" s="122"/>
      <c r="S1078" s="116">
        <f>IF(AND(DATE(20&amp;LEFT(FAAddition[[#This Row],[FY]],2),4,1)&lt;$L$1+1,DATE(20&amp;LEFT(FAAddition[[#This Row],[FY]],2),4,1)&gt;$P$1-1),'FA Addition'!$J1078,0)</f>
        <v>0</v>
      </c>
      <c r="U1078" s="117">
        <f>S1078*'FA Addition'!$L1078/'FA Addition'!$J1078</f>
        <v>0</v>
      </c>
      <c r="W1078" s="116">
        <f>SUMIFS('FA Write off'!D:D,'FA Write off'!A:A,'FA Addition'!$A1078,'FA Write off'!C:C,"&lt;"&amp;'FA Addition'!$P$1)</f>
        <v>0</v>
      </c>
      <c r="Y1078" s="191">
        <f>IFERROR(W1078/'FA Addition'!$J1078*'FA Addition'!$L1078,0)</f>
        <v>0</v>
      </c>
      <c r="AA1078" s="116">
        <f>SUMIFS('FA Write off'!D:D,'FA Write off'!A:A,'FA Addition'!$A1078,'FA Write off'!C:C,"&lt;"&amp;'FA Addition'!$L$1+1,'FA Write off'!C:C,"&gt;"&amp;'FA Addition'!$L$1-365)</f>
        <v>0</v>
      </c>
      <c r="AC1078" s="118">
        <f>IFERROR(AA1078/'FA Addition'!$J1078*'FA Addition'!$L1078,0)</f>
        <v>0</v>
      </c>
      <c r="AE1078" s="117">
        <f>IF(AND('FA Addition'!$D1078&lt;$P$1+1,U1078=0),'FA Addition'!$L1078,0)-Y1078</f>
        <v>0</v>
      </c>
      <c r="AF1078" s="117">
        <f t="shared" si="80"/>
        <v>0</v>
      </c>
      <c r="AG1078" s="117">
        <f>MIN(MAX(+$P$1-'FA Addition'!$D1078,0),365*'FA Addition'!$O1078)</f>
        <v>0</v>
      </c>
      <c r="AH1078" s="117">
        <f>MIN(MAX($L$1-'FA Addition'!$D1078+1,0),365*'FA Addition'!$O1078)</f>
        <v>0</v>
      </c>
      <c r="AI1078" s="117" cm="1">
        <f t="array" ref="AI1078">_xlfn.XLOOKUP(1,('FA Write off'!A:A='FA Addition'!$A1078)*('FA Write off'!D:D=AA1078),'FA Write off'!H:H,0,0)</f>
        <v>0</v>
      </c>
      <c r="AJ1078" s="117">
        <f>IF(AC1078&gt;0,MAX(IF('FA Addition'!$N1078="SLM",($AC1078-'FA Addition'!$M1078)*'FA Addition'!$P1078*AI1078/365,(AC1078-'FA Addition'!$M1078)*(1-(1-'FA Addition'!$P1078)^(AI1078/365))),0),0)</f>
        <v>0</v>
      </c>
      <c r="AL1078" s="117">
        <f>MAX(IF(AG1078&gt;0,IF('FA Addition'!$N1078="SLM",($AE1078-'FA Addition'!$M1078)*'FA Addition'!$P1078*AG1078/365,IFERROR(VDB(AE1078,AE1078*0.05,'FA Addition'!$O1078,0,YEARFRAC('FA Addition'!$C1078,$P$1-1,3),'FA Addition'!$Q1078),FAAddition[[#This Row],[Original Cost (Rs)]]-FAAddition[[#This Row],[Salvage Value]])),0),0)</f>
        <v>0</v>
      </c>
      <c r="AM1078" s="119"/>
      <c r="AN1078" s="117">
        <f>MAX(IF(AH1078&gt;0,IF('FA Addition'!$N1078="SLM",($AF1078-'FA Addition'!$M1078)*'FA Addition'!$P1078*AH1078/365,IFERROR(VDB(AF1078,AF1078*0.05,'FA Addition'!$O1078,0,YEARFRAC('FA Addition'!$C1078,$L$1,3),'FA Addition'!$Q1078),FAAddition[[#This Row],[Original Cost (Rs)]]-FAAddition[[#This Row],[Salvage Value]])),0),0)</f>
        <v>0</v>
      </c>
      <c r="AO1078" s="117">
        <f t="shared" si="83"/>
        <v>0</v>
      </c>
      <c r="AQ1078" s="117">
        <f t="shared" si="81"/>
        <v>0</v>
      </c>
      <c r="AR1078" s="120">
        <f t="shared" si="82"/>
        <v>0</v>
      </c>
      <c r="AS1078" s="121"/>
    </row>
    <row r="1079" spans="1:45" ht="13.5" x14ac:dyDescent="0.4">
      <c r="A1079" s="12">
        <f t="shared" si="84"/>
        <v>1076</v>
      </c>
      <c r="B1079" s="64" t="s">
        <v>1758</v>
      </c>
      <c r="C1079" s="54">
        <v>45433</v>
      </c>
      <c r="D1079" s="54">
        <v>45433</v>
      </c>
      <c r="E1079" s="46" t="s">
        <v>451</v>
      </c>
      <c r="F1079" s="51" t="s">
        <v>19</v>
      </c>
      <c r="G1079" s="51" t="s">
        <v>1728</v>
      </c>
      <c r="H1079" s="51" t="s">
        <v>21</v>
      </c>
      <c r="I1079" s="55" t="s">
        <v>1847</v>
      </c>
      <c r="J1079" s="56">
        <v>1</v>
      </c>
      <c r="K1079" s="51" t="s">
        <v>1813</v>
      </c>
      <c r="L1079" s="58">
        <v>34890</v>
      </c>
      <c r="M1079" s="50">
        <f>ROUND('FA Addition'!$L1079*5%,0.1)</f>
        <v>1745</v>
      </c>
      <c r="N1079" s="113" t="str">
        <f>_xlfn.XLOOKUP(_xlfn.CONCAT(E1079,B1079),'Year Wise Master Dep Approach'!F:F,'Year Wise Master Dep Approach'!D:D)</f>
        <v>WDV</v>
      </c>
      <c r="O1079" s="113">
        <f>_xlfn.XLOOKUP(_xlfn.CONCAT(E1079,B1079),'Year Wise Master Dep Approach'!F:F,'Year Wise Master Dep Approach'!E:E)</f>
        <v>3</v>
      </c>
      <c r="P1079" s="114">
        <f>IFERROR(IF('FA Addition'!$N1079="WDV",1-('FA Addition'!$M1079/'FA Addition'!$L1079)^(1/'FA Addition'!$O1079),1/'FA Addition'!$O1079),0)</f>
        <v>0.63156165686579468</v>
      </c>
      <c r="Q1079" s="122">
        <f>'FA Addition'!$P1079*'FA Addition'!$O1079</f>
        <v>1.8946849705973841</v>
      </c>
      <c r="R1079" s="122"/>
      <c r="S1079" s="116">
        <f>IF(AND(DATE(20&amp;LEFT(FAAddition[[#This Row],[FY]],2),4,1)&lt;$L$1+1,DATE(20&amp;LEFT(FAAddition[[#This Row],[FY]],2),4,1)&gt;$P$1-1),'FA Addition'!$J1079,0)</f>
        <v>0</v>
      </c>
      <c r="U1079" s="117">
        <f>S1079*'FA Addition'!$L1079/'FA Addition'!$J1079</f>
        <v>0</v>
      </c>
      <c r="W1079" s="116">
        <f>SUMIFS('FA Write off'!D:D,'FA Write off'!A:A,'FA Addition'!$A1079,'FA Write off'!C:C,"&lt;"&amp;'FA Addition'!$P$1)</f>
        <v>0</v>
      </c>
      <c r="Y1079" s="191">
        <f>IFERROR(W1079/'FA Addition'!$J1079*'FA Addition'!$L1079,0)</f>
        <v>0</v>
      </c>
      <c r="AA1079" s="116">
        <f>SUMIFS('FA Write off'!D:D,'FA Write off'!A:A,'FA Addition'!$A1079,'FA Write off'!C:C,"&lt;"&amp;'FA Addition'!$L$1+1,'FA Write off'!C:C,"&gt;"&amp;'FA Addition'!$L$1-365)</f>
        <v>0</v>
      </c>
      <c r="AC1079" s="118">
        <f>IFERROR(AA1079/'FA Addition'!$J1079*'FA Addition'!$L1079,0)</f>
        <v>0</v>
      </c>
      <c r="AE1079" s="117">
        <f>IF(AND('FA Addition'!$D1079&lt;$P$1+1,U1079=0),'FA Addition'!$L1079,0)-Y1079</f>
        <v>0</v>
      </c>
      <c r="AF1079" s="117">
        <f t="shared" si="80"/>
        <v>0</v>
      </c>
      <c r="AG1079" s="117">
        <f>MIN(MAX(+$P$1-'FA Addition'!$D1079,0),365*'FA Addition'!$O1079)</f>
        <v>0</v>
      </c>
      <c r="AH1079" s="117">
        <f>MIN(MAX($L$1-'FA Addition'!$D1079+1,0),365*'FA Addition'!$O1079)</f>
        <v>0</v>
      </c>
      <c r="AI1079" s="117" cm="1">
        <f t="array" ref="AI1079">_xlfn.XLOOKUP(1,('FA Write off'!A:A='FA Addition'!$A1079)*('FA Write off'!D:D=AA1079),'FA Write off'!H:H,0,0)</f>
        <v>0</v>
      </c>
      <c r="AJ1079" s="117">
        <f>IF(AC1079&gt;0,MAX(IF('FA Addition'!$N1079="SLM",($AC1079-'FA Addition'!$M1079)*'FA Addition'!$P1079*AI1079/365,(AC1079-'FA Addition'!$M1079)*(1-(1-'FA Addition'!$P1079)^(AI1079/365))),0),0)</f>
        <v>0</v>
      </c>
      <c r="AL1079" s="117">
        <f>MAX(IF(AG1079&gt;0,IF('FA Addition'!$N1079="SLM",($AE1079-'FA Addition'!$M1079)*'FA Addition'!$P1079*AG1079/365,IFERROR(VDB(AE1079,AE1079*0.05,'FA Addition'!$O1079,0,YEARFRAC('FA Addition'!$C1079,$P$1-1,3),'FA Addition'!$Q1079),FAAddition[[#This Row],[Original Cost (Rs)]]-FAAddition[[#This Row],[Salvage Value]])),0),0)</f>
        <v>0</v>
      </c>
      <c r="AM1079" s="119"/>
      <c r="AN1079" s="117">
        <f>MAX(IF(AH1079&gt;0,IF('FA Addition'!$N1079="SLM",($AF1079-'FA Addition'!$M1079)*'FA Addition'!$P1079*AH1079/365,IFERROR(VDB(AF1079,AF1079*0.05,'FA Addition'!$O1079,0,YEARFRAC('FA Addition'!$C1079,$L$1,3),'FA Addition'!$Q1079),FAAddition[[#This Row],[Original Cost (Rs)]]-FAAddition[[#This Row],[Salvage Value]])),0),0)</f>
        <v>0</v>
      </c>
      <c r="AO1079" s="117">
        <f t="shared" si="83"/>
        <v>0</v>
      </c>
      <c r="AQ1079" s="117">
        <f t="shared" si="81"/>
        <v>0</v>
      </c>
      <c r="AR1079" s="120">
        <f t="shared" si="82"/>
        <v>0</v>
      </c>
      <c r="AS1079" s="121"/>
    </row>
    <row r="1080" spans="1:45" ht="13.5" x14ac:dyDescent="0.4">
      <c r="A1080" s="12">
        <f t="shared" si="84"/>
        <v>1077</v>
      </c>
      <c r="B1080" s="64" t="s">
        <v>1758</v>
      </c>
      <c r="C1080" s="54">
        <v>45443</v>
      </c>
      <c r="D1080" s="54">
        <v>45443</v>
      </c>
      <c r="E1080" s="46" t="s">
        <v>451</v>
      </c>
      <c r="F1080" s="51" t="s">
        <v>19</v>
      </c>
      <c r="G1080" s="51" t="s">
        <v>1728</v>
      </c>
      <c r="H1080" s="51" t="s">
        <v>151</v>
      </c>
      <c r="I1080" s="55" t="s">
        <v>1848</v>
      </c>
      <c r="J1080" s="56">
        <v>1</v>
      </c>
      <c r="K1080" s="51" t="s">
        <v>1826</v>
      </c>
      <c r="L1080" s="58">
        <v>11989</v>
      </c>
      <c r="M1080" s="50">
        <f>ROUND('FA Addition'!$L1080*5%,0.1)</f>
        <v>599</v>
      </c>
      <c r="N1080" s="113" t="str">
        <f>_xlfn.XLOOKUP(_xlfn.CONCAT(E1080,B1080),'Year Wise Master Dep Approach'!F:F,'Year Wise Master Dep Approach'!D:D)</f>
        <v>WDV</v>
      </c>
      <c r="O1080" s="113">
        <f>_xlfn.XLOOKUP(_xlfn.CONCAT(E1080,B1080),'Year Wise Master Dep Approach'!F:F,'Year Wise Master Dep Approach'!E:E)</f>
        <v>3</v>
      </c>
      <c r="P1080" s="114">
        <f>IFERROR(IF('FA Addition'!$N1080="WDV",1-('FA Addition'!$M1080/'FA Addition'!$L1080)^(1/'FA Addition'!$O1080),1/'FA Addition'!$O1080),0)</f>
        <v>0.63168905850370338</v>
      </c>
      <c r="Q1080" s="122">
        <f>'FA Addition'!$P1080*'FA Addition'!$O1080</f>
        <v>1.8950671755111101</v>
      </c>
      <c r="R1080" s="122"/>
      <c r="S1080" s="116">
        <f>IF(AND(DATE(20&amp;LEFT(FAAddition[[#This Row],[FY]],2),4,1)&lt;$L$1+1,DATE(20&amp;LEFT(FAAddition[[#This Row],[FY]],2),4,1)&gt;$P$1-1),'FA Addition'!$J1080,0)</f>
        <v>0</v>
      </c>
      <c r="U1080" s="117">
        <f>S1080*'FA Addition'!$L1080/'FA Addition'!$J1080</f>
        <v>0</v>
      </c>
      <c r="W1080" s="116">
        <f>SUMIFS('FA Write off'!D:D,'FA Write off'!A:A,'FA Addition'!$A1080,'FA Write off'!C:C,"&lt;"&amp;'FA Addition'!$P$1)</f>
        <v>0</v>
      </c>
      <c r="Y1080" s="191">
        <f>IFERROR(W1080/'FA Addition'!$J1080*'FA Addition'!$L1080,0)</f>
        <v>0</v>
      </c>
      <c r="AA1080" s="116">
        <f>SUMIFS('FA Write off'!D:D,'FA Write off'!A:A,'FA Addition'!$A1080,'FA Write off'!C:C,"&lt;"&amp;'FA Addition'!$L$1+1,'FA Write off'!C:C,"&gt;"&amp;'FA Addition'!$L$1-365)</f>
        <v>0</v>
      </c>
      <c r="AC1080" s="118">
        <f>IFERROR(AA1080/'FA Addition'!$J1080*'FA Addition'!$L1080,0)</f>
        <v>0</v>
      </c>
      <c r="AE1080" s="117">
        <f>IF(AND('FA Addition'!$D1080&lt;$P$1+1,U1080=0),'FA Addition'!$L1080,0)-Y1080</f>
        <v>0</v>
      </c>
      <c r="AF1080" s="117">
        <f t="shared" si="80"/>
        <v>0</v>
      </c>
      <c r="AG1080" s="117">
        <f>MIN(MAX(+$P$1-'FA Addition'!$D1080,0),365*'FA Addition'!$O1080)</f>
        <v>0</v>
      </c>
      <c r="AH1080" s="117">
        <f>MIN(MAX($L$1-'FA Addition'!$D1080+1,0),365*'FA Addition'!$O1080)</f>
        <v>0</v>
      </c>
      <c r="AI1080" s="117" cm="1">
        <f t="array" ref="AI1080">_xlfn.XLOOKUP(1,('FA Write off'!A:A='FA Addition'!$A1080)*('FA Write off'!D:D=AA1080),'FA Write off'!H:H,0,0)</f>
        <v>0</v>
      </c>
      <c r="AJ1080" s="117">
        <f>IF(AC1080&gt;0,MAX(IF('FA Addition'!$N1080="SLM",($AC1080-'FA Addition'!$M1080)*'FA Addition'!$P1080*AI1080/365,(AC1080-'FA Addition'!$M1080)*(1-(1-'FA Addition'!$P1080)^(AI1080/365))),0),0)</f>
        <v>0</v>
      </c>
      <c r="AL1080" s="117">
        <f>MAX(IF(AG1080&gt;0,IF('FA Addition'!$N1080="SLM",($AE1080-'FA Addition'!$M1080)*'FA Addition'!$P1080*AG1080/365,IFERROR(VDB(AE1080,AE1080*0.05,'FA Addition'!$O1080,0,YEARFRAC('FA Addition'!$C1080,$P$1-1,3),'FA Addition'!$Q1080),FAAddition[[#This Row],[Original Cost (Rs)]]-FAAddition[[#This Row],[Salvage Value]])),0),0)</f>
        <v>0</v>
      </c>
      <c r="AM1080" s="119"/>
      <c r="AN1080" s="117">
        <f>MAX(IF(AH1080&gt;0,IF('FA Addition'!$N1080="SLM",($AF1080-'FA Addition'!$M1080)*'FA Addition'!$P1080*AH1080/365,IFERROR(VDB(AF1080,AF1080*0.05,'FA Addition'!$O1080,0,YEARFRAC('FA Addition'!$C1080,$L$1,3),'FA Addition'!$Q1080),FAAddition[[#This Row],[Original Cost (Rs)]]-FAAddition[[#This Row],[Salvage Value]])),0),0)</f>
        <v>0</v>
      </c>
      <c r="AO1080" s="117">
        <f t="shared" si="83"/>
        <v>0</v>
      </c>
      <c r="AQ1080" s="117">
        <f t="shared" si="81"/>
        <v>0</v>
      </c>
      <c r="AR1080" s="120">
        <f t="shared" si="82"/>
        <v>0</v>
      </c>
      <c r="AS1080" s="121"/>
    </row>
    <row r="1081" spans="1:45" ht="13.5" x14ac:dyDescent="0.4">
      <c r="A1081" s="12">
        <f t="shared" si="84"/>
        <v>1078</v>
      </c>
      <c r="B1081" s="64" t="s">
        <v>1758</v>
      </c>
      <c r="C1081" s="54">
        <v>45443</v>
      </c>
      <c r="D1081" s="54">
        <v>45443</v>
      </c>
      <c r="E1081" s="46" t="s">
        <v>207</v>
      </c>
      <c r="F1081" s="51" t="s">
        <v>1372</v>
      </c>
      <c r="G1081" s="51" t="s">
        <v>1849</v>
      </c>
      <c r="H1081" s="51" t="s">
        <v>498</v>
      </c>
      <c r="I1081" s="55" t="s">
        <v>1850</v>
      </c>
      <c r="J1081" s="56">
        <v>1</v>
      </c>
      <c r="K1081" s="51" t="s">
        <v>1769</v>
      </c>
      <c r="L1081" s="58">
        <v>5016</v>
      </c>
      <c r="M1081" s="50">
        <f>ROUND('FA Addition'!$L1081*5%,0.1)</f>
        <v>251</v>
      </c>
      <c r="N1081" s="113" t="str">
        <f>_xlfn.XLOOKUP(_xlfn.CONCAT(E1081,B1081),'Year Wise Master Dep Approach'!F:F,'Year Wise Master Dep Approach'!D:D)</f>
        <v>WDV</v>
      </c>
      <c r="O1081" s="113">
        <f>_xlfn.XLOOKUP(_xlfn.CONCAT(E1081,B1081),'Year Wise Master Dep Approach'!F:F,'Year Wise Master Dep Approach'!E:E)</f>
        <v>5</v>
      </c>
      <c r="P1081" s="114">
        <f>IFERROR(IF('FA Addition'!$N1081="WDV",1-('FA Addition'!$M1081/'FA Addition'!$L1081)^(1/'FA Addition'!$O1081),1/'FA Addition'!$O1081),0)</f>
        <v>0.45063215176856475</v>
      </c>
      <c r="Q1081" s="122">
        <f>'FA Addition'!$P1081*'FA Addition'!$O1081</f>
        <v>2.2531607588428235</v>
      </c>
      <c r="R1081" s="122"/>
      <c r="S1081" s="116">
        <f>IF(AND(DATE(20&amp;LEFT(FAAddition[[#This Row],[FY]],2),4,1)&lt;$L$1+1,DATE(20&amp;LEFT(FAAddition[[#This Row],[FY]],2),4,1)&gt;$P$1-1),'FA Addition'!$J1081,0)</f>
        <v>0</v>
      </c>
      <c r="U1081" s="117">
        <f>S1081*'FA Addition'!$L1081/'FA Addition'!$J1081</f>
        <v>0</v>
      </c>
      <c r="W1081" s="116">
        <f>SUMIFS('FA Write off'!D:D,'FA Write off'!A:A,'FA Addition'!$A1081,'FA Write off'!C:C,"&lt;"&amp;'FA Addition'!$P$1)</f>
        <v>0</v>
      </c>
      <c r="Y1081" s="191">
        <f>IFERROR(W1081/'FA Addition'!$J1081*'FA Addition'!$L1081,0)</f>
        <v>0</v>
      </c>
      <c r="AA1081" s="116">
        <f>SUMIFS('FA Write off'!D:D,'FA Write off'!A:A,'FA Addition'!$A1081,'FA Write off'!C:C,"&lt;"&amp;'FA Addition'!$L$1+1,'FA Write off'!C:C,"&gt;"&amp;'FA Addition'!$L$1-365)</f>
        <v>0</v>
      </c>
      <c r="AC1081" s="118">
        <f>IFERROR(AA1081/'FA Addition'!$J1081*'FA Addition'!$L1081,0)</f>
        <v>0</v>
      </c>
      <c r="AE1081" s="117">
        <f>IF(AND('FA Addition'!$D1081&lt;$P$1+1,U1081=0),'FA Addition'!$L1081,0)-Y1081</f>
        <v>0</v>
      </c>
      <c r="AF1081" s="117">
        <f t="shared" si="80"/>
        <v>0</v>
      </c>
      <c r="AG1081" s="117">
        <f>MIN(MAX(+$P$1-'FA Addition'!$D1081,0),365*'FA Addition'!$O1081)</f>
        <v>0</v>
      </c>
      <c r="AH1081" s="117">
        <f>MIN(MAX($L$1-'FA Addition'!$D1081+1,0),365*'FA Addition'!$O1081)</f>
        <v>0</v>
      </c>
      <c r="AI1081" s="117" cm="1">
        <f t="array" ref="AI1081">_xlfn.XLOOKUP(1,('FA Write off'!A:A='FA Addition'!$A1081)*('FA Write off'!D:D=AA1081),'FA Write off'!H:H,0,0)</f>
        <v>0</v>
      </c>
      <c r="AJ1081" s="117">
        <f>IF(AC1081&gt;0,MAX(IF('FA Addition'!$N1081="SLM",($AC1081-'FA Addition'!$M1081)*'FA Addition'!$P1081*AI1081/365,(AC1081-'FA Addition'!$M1081)*(1-(1-'FA Addition'!$P1081)^(AI1081/365))),0),0)</f>
        <v>0</v>
      </c>
      <c r="AL1081" s="117">
        <f>MAX(IF(AG1081&gt;0,IF('FA Addition'!$N1081="SLM",($AE1081-'FA Addition'!$M1081)*'FA Addition'!$P1081*AG1081/365,IFERROR(VDB(AE1081,AE1081*0.05,'FA Addition'!$O1081,0,YEARFRAC('FA Addition'!$C1081,$P$1-1,3),'FA Addition'!$Q1081),FAAddition[[#This Row],[Original Cost (Rs)]]-FAAddition[[#This Row],[Salvage Value]])),0),0)</f>
        <v>0</v>
      </c>
      <c r="AM1081" s="119"/>
      <c r="AN1081" s="117">
        <f>MAX(IF(AH1081&gt;0,IF('FA Addition'!$N1081="SLM",($AF1081-'FA Addition'!$M1081)*'FA Addition'!$P1081*AH1081/365,IFERROR(VDB(AF1081,AF1081*0.05,'FA Addition'!$O1081,0,YEARFRAC('FA Addition'!$C1081,$L$1,3),'FA Addition'!$Q1081),FAAddition[[#This Row],[Original Cost (Rs)]]-FAAddition[[#This Row],[Salvage Value]])),0),0)</f>
        <v>0</v>
      </c>
      <c r="AO1081" s="117">
        <f t="shared" si="83"/>
        <v>0</v>
      </c>
      <c r="AQ1081" s="117">
        <f t="shared" si="81"/>
        <v>0</v>
      </c>
      <c r="AR1081" s="120">
        <f t="shared" si="82"/>
        <v>0</v>
      </c>
      <c r="AS1081" s="121"/>
    </row>
    <row r="1082" spans="1:45" ht="13.5" x14ac:dyDescent="0.4">
      <c r="A1082" s="12">
        <f t="shared" si="84"/>
        <v>1079</v>
      </c>
      <c r="B1082" s="64" t="s">
        <v>1758</v>
      </c>
      <c r="C1082" s="54">
        <v>45444</v>
      </c>
      <c r="D1082" s="54">
        <v>45444</v>
      </c>
      <c r="E1082" s="46" t="s">
        <v>451</v>
      </c>
      <c r="F1082" s="51" t="s">
        <v>19</v>
      </c>
      <c r="G1082" s="51" t="s">
        <v>1728</v>
      </c>
      <c r="H1082" s="51" t="s">
        <v>21</v>
      </c>
      <c r="I1082" s="55" t="s">
        <v>1765</v>
      </c>
      <c r="J1082" s="56">
        <v>1</v>
      </c>
      <c r="K1082" s="51" t="s">
        <v>1851</v>
      </c>
      <c r="L1082" s="58">
        <v>33890</v>
      </c>
      <c r="M1082" s="50">
        <f>ROUND('FA Addition'!$L1082*5%,0.1)</f>
        <v>1695</v>
      </c>
      <c r="N1082" s="113" t="str">
        <f>_xlfn.XLOOKUP(_xlfn.CONCAT(E1082,B1082),'Year Wise Master Dep Approach'!F:F,'Year Wise Master Dep Approach'!D:D)</f>
        <v>WDV</v>
      </c>
      <c r="O1082" s="113">
        <f>_xlfn.XLOOKUP(_xlfn.CONCAT(E1082,B1082),'Year Wise Master Dep Approach'!F:F,'Year Wise Master Dep Approach'!E:E)</f>
        <v>3</v>
      </c>
      <c r="P1082" s="114">
        <f>IFERROR(IF('FA Addition'!$N1082="WDV",1-('FA Addition'!$M1082/'FA Addition'!$L1082)^(1/'FA Addition'!$O1082),1/'FA Addition'!$O1082),0)</f>
        <v>0.63156061851201961</v>
      </c>
      <c r="Q1082" s="122">
        <f>'FA Addition'!$P1082*'FA Addition'!$O1082</f>
        <v>1.8946818555360587</v>
      </c>
      <c r="R1082" s="122"/>
      <c r="S1082" s="116">
        <f>IF(AND(DATE(20&amp;LEFT(FAAddition[[#This Row],[FY]],2),4,1)&lt;$L$1+1,DATE(20&amp;LEFT(FAAddition[[#This Row],[FY]],2),4,1)&gt;$P$1-1),'FA Addition'!$J1082,0)</f>
        <v>0</v>
      </c>
      <c r="U1082" s="117">
        <f>S1082*'FA Addition'!$L1082/'FA Addition'!$J1082</f>
        <v>0</v>
      </c>
      <c r="W1082" s="116">
        <f>SUMIFS('FA Write off'!D:D,'FA Write off'!A:A,'FA Addition'!$A1082,'FA Write off'!C:C,"&lt;"&amp;'FA Addition'!$P$1)</f>
        <v>0</v>
      </c>
      <c r="Y1082" s="191">
        <f>IFERROR(W1082/'FA Addition'!$J1082*'FA Addition'!$L1082,0)</f>
        <v>0</v>
      </c>
      <c r="AA1082" s="116">
        <f>SUMIFS('FA Write off'!D:D,'FA Write off'!A:A,'FA Addition'!$A1082,'FA Write off'!C:C,"&lt;"&amp;'FA Addition'!$L$1+1,'FA Write off'!C:C,"&gt;"&amp;'FA Addition'!$L$1-365)</f>
        <v>0</v>
      </c>
      <c r="AC1082" s="118">
        <f>IFERROR(AA1082/'FA Addition'!$J1082*'FA Addition'!$L1082,0)</f>
        <v>0</v>
      </c>
      <c r="AE1082" s="117">
        <f>IF(AND('FA Addition'!$D1082&lt;$P$1+1,U1082=0),'FA Addition'!$L1082,0)-Y1082</f>
        <v>0</v>
      </c>
      <c r="AF1082" s="117">
        <f t="shared" si="80"/>
        <v>0</v>
      </c>
      <c r="AG1082" s="117">
        <f>MIN(MAX(+$P$1-'FA Addition'!$D1082,0),365*'FA Addition'!$O1082)</f>
        <v>0</v>
      </c>
      <c r="AH1082" s="117">
        <f>MIN(MAX($L$1-'FA Addition'!$D1082+1,0),365*'FA Addition'!$O1082)</f>
        <v>0</v>
      </c>
      <c r="AI1082" s="117" cm="1">
        <f t="array" ref="AI1082">_xlfn.XLOOKUP(1,('FA Write off'!A:A='FA Addition'!$A1082)*('FA Write off'!D:D=AA1082),'FA Write off'!H:H,0,0)</f>
        <v>0</v>
      </c>
      <c r="AJ1082" s="117">
        <f>IF(AC1082&gt;0,MAX(IF('FA Addition'!$N1082="SLM",($AC1082-'FA Addition'!$M1082)*'FA Addition'!$P1082*AI1082/365,(AC1082-'FA Addition'!$M1082)*(1-(1-'FA Addition'!$P1082)^(AI1082/365))),0),0)</f>
        <v>0</v>
      </c>
      <c r="AL1082" s="117">
        <f>MAX(IF(AG1082&gt;0,IF('FA Addition'!$N1082="SLM",($AE1082-'FA Addition'!$M1082)*'FA Addition'!$P1082*AG1082/365,IFERROR(VDB(AE1082,AE1082*0.05,'FA Addition'!$O1082,0,YEARFRAC('FA Addition'!$C1082,$P$1-1,3),'FA Addition'!$Q1082),FAAddition[[#This Row],[Original Cost (Rs)]]-FAAddition[[#This Row],[Salvage Value]])),0),0)</f>
        <v>0</v>
      </c>
      <c r="AM1082" s="119"/>
      <c r="AN1082" s="117">
        <f>MAX(IF(AH1082&gt;0,IF('FA Addition'!$N1082="SLM",($AF1082-'FA Addition'!$M1082)*'FA Addition'!$P1082*AH1082/365,IFERROR(VDB(AF1082,AF1082*0.05,'FA Addition'!$O1082,0,YEARFRAC('FA Addition'!$C1082,$L$1,3),'FA Addition'!$Q1082),FAAddition[[#This Row],[Original Cost (Rs)]]-FAAddition[[#This Row],[Salvage Value]])),0),0)</f>
        <v>0</v>
      </c>
      <c r="AO1082" s="117">
        <f t="shared" si="83"/>
        <v>0</v>
      </c>
      <c r="AQ1082" s="117">
        <f t="shared" si="81"/>
        <v>0</v>
      </c>
      <c r="AR1082" s="120">
        <f t="shared" si="82"/>
        <v>0</v>
      </c>
      <c r="AS1082" s="121"/>
    </row>
    <row r="1083" spans="1:45" ht="13.5" x14ac:dyDescent="0.4">
      <c r="A1083" s="12">
        <f t="shared" si="84"/>
        <v>1080</v>
      </c>
      <c r="B1083" s="64" t="s">
        <v>1758</v>
      </c>
      <c r="C1083" s="54">
        <v>45444</v>
      </c>
      <c r="D1083" s="54">
        <v>45444</v>
      </c>
      <c r="E1083" s="46" t="s">
        <v>1320</v>
      </c>
      <c r="F1083" s="51" t="s">
        <v>33</v>
      </c>
      <c r="G1083" s="51" t="s">
        <v>34</v>
      </c>
      <c r="H1083" s="51" t="s">
        <v>32</v>
      </c>
      <c r="I1083" s="55" t="s">
        <v>1852</v>
      </c>
      <c r="J1083" s="56">
        <v>1000</v>
      </c>
      <c r="K1083" s="51" t="s">
        <v>295</v>
      </c>
      <c r="L1083" s="58">
        <v>1830000</v>
      </c>
      <c r="M1083" s="50">
        <f>ROUND('FA Addition'!$L1083*5%,0.1)</f>
        <v>91500</v>
      </c>
      <c r="N1083" s="113" t="str">
        <f>_xlfn.XLOOKUP(_xlfn.CONCAT(E1083,B1083),'Year Wise Master Dep Approach'!F:F,'Year Wise Master Dep Approach'!D:D)</f>
        <v>SLM</v>
      </c>
      <c r="O1083" s="113">
        <f>_xlfn.XLOOKUP(_xlfn.CONCAT(E1083,B1083),'Year Wise Master Dep Approach'!F:F,'Year Wise Master Dep Approach'!E:E)</f>
        <v>5</v>
      </c>
      <c r="P1083" s="114">
        <f>IFERROR(IF('FA Addition'!$N1083="WDV",1-('FA Addition'!$M1083/'FA Addition'!$L1083)^(1/'FA Addition'!$O1083),1/'FA Addition'!$O1083),0)</f>
        <v>0.2</v>
      </c>
      <c r="Q1083" s="122">
        <f>'FA Addition'!$P1083*'FA Addition'!$O1083</f>
        <v>1</v>
      </c>
      <c r="R1083" s="122"/>
      <c r="S1083" s="116">
        <f>IF(AND(DATE(20&amp;LEFT(FAAddition[[#This Row],[FY]],2),4,1)&lt;$L$1+1,DATE(20&amp;LEFT(FAAddition[[#This Row],[FY]],2),4,1)&gt;$P$1-1),'FA Addition'!$J1083,0)</f>
        <v>0</v>
      </c>
      <c r="U1083" s="117">
        <f>S1083*'FA Addition'!$L1083/'FA Addition'!$J1083</f>
        <v>0</v>
      </c>
      <c r="W1083" s="116">
        <f>SUMIFS('FA Write off'!D:D,'FA Write off'!A:A,'FA Addition'!$A1083,'FA Write off'!C:C,"&lt;"&amp;'FA Addition'!$P$1)</f>
        <v>0</v>
      </c>
      <c r="Y1083" s="191">
        <f>IFERROR(W1083/'FA Addition'!$J1083*'FA Addition'!$L1083,0)</f>
        <v>0</v>
      </c>
      <c r="AA1083" s="116">
        <f>SUMIFS('FA Write off'!D:D,'FA Write off'!A:A,'FA Addition'!$A1083,'FA Write off'!C:C,"&lt;"&amp;'FA Addition'!$L$1+1,'FA Write off'!C:C,"&gt;"&amp;'FA Addition'!$L$1-365)</f>
        <v>0</v>
      </c>
      <c r="AC1083" s="118">
        <f>IFERROR(AA1083/'FA Addition'!$J1083*'FA Addition'!$L1083,0)</f>
        <v>0</v>
      </c>
      <c r="AE1083" s="117">
        <f>IF(AND('FA Addition'!$D1083&lt;$P$1+1,U1083=0),'FA Addition'!$L1083,0)-Y1083</f>
        <v>0</v>
      </c>
      <c r="AF1083" s="117">
        <f t="shared" si="80"/>
        <v>0</v>
      </c>
      <c r="AG1083" s="117">
        <f>MIN(MAX(+$P$1-'FA Addition'!$D1083,0),365*'FA Addition'!$O1083)</f>
        <v>0</v>
      </c>
      <c r="AH1083" s="117">
        <f>MIN(MAX($L$1-'FA Addition'!$D1083+1,0),365*'FA Addition'!$O1083)</f>
        <v>0</v>
      </c>
      <c r="AI1083" s="117" cm="1">
        <f t="array" ref="AI1083">_xlfn.XLOOKUP(1,('FA Write off'!A:A='FA Addition'!$A1083)*('FA Write off'!D:D=AA1083),'FA Write off'!H:H,0,0)</f>
        <v>0</v>
      </c>
      <c r="AJ1083" s="117">
        <f>IF(AC1083&gt;0,MAX(IF('FA Addition'!$N1083="SLM",($AC1083-'FA Addition'!$M1083)*'FA Addition'!$P1083*AI1083/365,(AC1083-'FA Addition'!$M1083)*(1-(1-'FA Addition'!$P1083)^(AI1083/365))),0),0)</f>
        <v>0</v>
      </c>
      <c r="AL1083" s="117">
        <f>MAX(IF(AG1083&gt;0,IF('FA Addition'!$N1083="SLM",($AE1083-'FA Addition'!$M1083)*'FA Addition'!$P1083*AG1083/365,IFERROR(VDB(AE1083,AE1083*0.05,'FA Addition'!$O1083,0,YEARFRAC('FA Addition'!$C1083,$P$1-1,3),'FA Addition'!$Q1083),FAAddition[[#This Row],[Original Cost (Rs)]]-FAAddition[[#This Row],[Salvage Value]])),0),0)</f>
        <v>0</v>
      </c>
      <c r="AM1083" s="119"/>
      <c r="AN1083" s="117">
        <f>MAX(IF(AH1083&gt;0,IF('FA Addition'!$N1083="SLM",($AF1083-'FA Addition'!$M1083)*'FA Addition'!$P1083*AH1083/365,IFERROR(VDB(AF1083,AF1083*0.05,'FA Addition'!$O1083,0,YEARFRAC('FA Addition'!$C1083,$L$1,3),'FA Addition'!$Q1083),FAAddition[[#This Row],[Original Cost (Rs)]]-FAAddition[[#This Row],[Salvage Value]])),0),0)</f>
        <v>0</v>
      </c>
      <c r="AO1083" s="117">
        <f t="shared" si="83"/>
        <v>0</v>
      </c>
      <c r="AQ1083" s="117">
        <f t="shared" si="81"/>
        <v>0</v>
      </c>
      <c r="AR1083" s="120">
        <f t="shared" si="82"/>
        <v>0</v>
      </c>
      <c r="AS1083" s="121"/>
    </row>
    <row r="1084" spans="1:45" ht="13.5" x14ac:dyDescent="0.4">
      <c r="A1084" s="12">
        <f t="shared" si="84"/>
        <v>1081</v>
      </c>
      <c r="B1084" s="64" t="s">
        <v>1758</v>
      </c>
      <c r="C1084" s="54">
        <v>45806</v>
      </c>
      <c r="D1084" s="54">
        <v>45444</v>
      </c>
      <c r="E1084" s="46" t="s">
        <v>1320</v>
      </c>
      <c r="F1084" s="51" t="s">
        <v>33</v>
      </c>
      <c r="G1084" s="51" t="s">
        <v>36</v>
      </c>
      <c r="H1084" s="51" t="s">
        <v>32</v>
      </c>
      <c r="I1084" s="55" t="s">
        <v>1853</v>
      </c>
      <c r="J1084" s="56">
        <v>1000</v>
      </c>
      <c r="K1084" s="51" t="s">
        <v>296</v>
      </c>
      <c r="L1084" s="58">
        <v>1650000</v>
      </c>
      <c r="M1084" s="50">
        <f>ROUND('FA Addition'!$L1084*5%,0.1)</f>
        <v>82500</v>
      </c>
      <c r="N1084" s="113" t="str">
        <f>_xlfn.XLOOKUP(_xlfn.CONCAT(E1084,B1084),'Year Wise Master Dep Approach'!F:F,'Year Wise Master Dep Approach'!D:D)</f>
        <v>SLM</v>
      </c>
      <c r="O1084" s="113">
        <f>_xlfn.XLOOKUP(_xlfn.CONCAT(E1084,B1084),'Year Wise Master Dep Approach'!F:F,'Year Wise Master Dep Approach'!E:E)</f>
        <v>5</v>
      </c>
      <c r="P1084" s="114">
        <f>IFERROR(IF('FA Addition'!$N1084="WDV",1-('FA Addition'!$M1084/'FA Addition'!$L1084)^(1/'FA Addition'!$O1084),1/'FA Addition'!$O1084),0)</f>
        <v>0.2</v>
      </c>
      <c r="Q1084" s="122">
        <f>'FA Addition'!$P1084*'FA Addition'!$O1084</f>
        <v>1</v>
      </c>
      <c r="R1084" s="122"/>
      <c r="S1084" s="116">
        <f>IF(AND(DATE(20&amp;LEFT(FAAddition[[#This Row],[FY]],2),4,1)&lt;$L$1+1,DATE(20&amp;LEFT(FAAddition[[#This Row],[FY]],2),4,1)&gt;$P$1-1),'FA Addition'!$J1084,0)</f>
        <v>0</v>
      </c>
      <c r="U1084" s="117">
        <f>S1084*'FA Addition'!$L1084/'FA Addition'!$J1084</f>
        <v>0</v>
      </c>
      <c r="W1084" s="116">
        <f>SUMIFS('FA Write off'!D:D,'FA Write off'!A:A,'FA Addition'!$A1084,'FA Write off'!C:C,"&lt;"&amp;'FA Addition'!$P$1)</f>
        <v>0</v>
      </c>
      <c r="Y1084" s="191">
        <f>IFERROR(W1084/'FA Addition'!$J1084*'FA Addition'!$L1084,0)</f>
        <v>0</v>
      </c>
      <c r="AA1084" s="116">
        <f>SUMIFS('FA Write off'!D:D,'FA Write off'!A:A,'FA Addition'!$A1084,'FA Write off'!C:C,"&lt;"&amp;'FA Addition'!$L$1+1,'FA Write off'!C:C,"&gt;"&amp;'FA Addition'!$L$1-365)</f>
        <v>0</v>
      </c>
      <c r="AC1084" s="118">
        <f>IFERROR(AA1084/'FA Addition'!$J1084*'FA Addition'!$L1084,0)</f>
        <v>0</v>
      </c>
      <c r="AE1084" s="117">
        <f>IF(AND('FA Addition'!$D1084&lt;$P$1+1,U1084=0),'FA Addition'!$L1084,0)-Y1084</f>
        <v>0</v>
      </c>
      <c r="AF1084" s="117">
        <f t="shared" si="80"/>
        <v>0</v>
      </c>
      <c r="AG1084" s="117">
        <f>MIN(MAX(+$P$1-'FA Addition'!$D1084,0),365*'FA Addition'!$O1084)</f>
        <v>0</v>
      </c>
      <c r="AH1084" s="117">
        <f>MIN(MAX($L$1-'FA Addition'!$D1084+1,0),365*'FA Addition'!$O1084)</f>
        <v>0</v>
      </c>
      <c r="AI1084" s="117" cm="1">
        <f t="array" ref="AI1084">_xlfn.XLOOKUP(1,('FA Write off'!A:A='FA Addition'!$A1084)*('FA Write off'!D:D=AA1084),'FA Write off'!H:H,0,0)</f>
        <v>0</v>
      </c>
      <c r="AJ1084" s="117">
        <f>IF(AC1084&gt;0,MAX(IF('FA Addition'!$N1084="SLM",($AC1084-'FA Addition'!$M1084)*'FA Addition'!$P1084*AI1084/365,(AC1084-'FA Addition'!$M1084)*(1-(1-'FA Addition'!$P1084)^(AI1084/365))),0),0)</f>
        <v>0</v>
      </c>
      <c r="AL1084" s="117">
        <f>MAX(IF(AG1084&gt;0,IF('FA Addition'!$N1084="SLM",($AE1084-'FA Addition'!$M1084)*'FA Addition'!$P1084*AG1084/365,IFERROR(VDB(AE1084,AE1084*0.05,'FA Addition'!$O1084,0,YEARFRAC('FA Addition'!$C1084,$P$1-1,3),'FA Addition'!$Q1084),FAAddition[[#This Row],[Original Cost (Rs)]]-FAAddition[[#This Row],[Salvage Value]])),0),0)</f>
        <v>0</v>
      </c>
      <c r="AM1084" s="119"/>
      <c r="AN1084" s="117">
        <f>MAX(IF(AH1084&gt;0,IF('FA Addition'!$N1084="SLM",($AF1084-'FA Addition'!$M1084)*'FA Addition'!$P1084*AH1084/365,IFERROR(VDB(AF1084,AF1084*0.05,'FA Addition'!$O1084,0,YEARFRAC('FA Addition'!$C1084,$L$1,3),'FA Addition'!$Q1084),FAAddition[[#This Row],[Original Cost (Rs)]]-FAAddition[[#This Row],[Salvage Value]])),0),0)</f>
        <v>0</v>
      </c>
      <c r="AO1084" s="117">
        <f t="shared" si="83"/>
        <v>0</v>
      </c>
      <c r="AQ1084" s="117">
        <f t="shared" si="81"/>
        <v>0</v>
      </c>
      <c r="AR1084" s="120">
        <f t="shared" si="82"/>
        <v>0</v>
      </c>
      <c r="AS1084" s="121"/>
    </row>
    <row r="1085" spans="1:45" ht="13.5" x14ac:dyDescent="0.4">
      <c r="A1085" s="12">
        <f t="shared" si="84"/>
        <v>1082</v>
      </c>
      <c r="B1085" s="64" t="s">
        <v>1758</v>
      </c>
      <c r="C1085" s="54">
        <v>45447</v>
      </c>
      <c r="D1085" s="54">
        <v>45447</v>
      </c>
      <c r="E1085" s="46" t="s">
        <v>1320</v>
      </c>
      <c r="F1085" s="51" t="s">
        <v>33</v>
      </c>
      <c r="G1085" s="51" t="s">
        <v>34</v>
      </c>
      <c r="H1085" s="51" t="s">
        <v>32</v>
      </c>
      <c r="I1085" s="55" t="s">
        <v>1854</v>
      </c>
      <c r="J1085" s="56">
        <v>1500</v>
      </c>
      <c r="K1085" s="51" t="s">
        <v>295</v>
      </c>
      <c r="L1085" s="58">
        <v>2745000</v>
      </c>
      <c r="M1085" s="50">
        <f>ROUND('FA Addition'!$L1085*5%,0.1)</f>
        <v>137250</v>
      </c>
      <c r="N1085" s="113" t="str">
        <f>_xlfn.XLOOKUP(_xlfn.CONCAT(E1085,B1085),'Year Wise Master Dep Approach'!F:F,'Year Wise Master Dep Approach'!D:D)</f>
        <v>SLM</v>
      </c>
      <c r="O1085" s="113">
        <f>_xlfn.XLOOKUP(_xlfn.CONCAT(E1085,B1085),'Year Wise Master Dep Approach'!F:F,'Year Wise Master Dep Approach'!E:E)</f>
        <v>5</v>
      </c>
      <c r="P1085" s="114">
        <f>IFERROR(IF('FA Addition'!$N1085="WDV",1-('FA Addition'!$M1085/'FA Addition'!$L1085)^(1/'FA Addition'!$O1085),1/'FA Addition'!$O1085),0)</f>
        <v>0.2</v>
      </c>
      <c r="Q1085" s="122">
        <f>'FA Addition'!$P1085*'FA Addition'!$O1085</f>
        <v>1</v>
      </c>
      <c r="R1085" s="122"/>
      <c r="S1085" s="116">
        <f>IF(AND(DATE(20&amp;LEFT(FAAddition[[#This Row],[FY]],2),4,1)&lt;$L$1+1,DATE(20&amp;LEFT(FAAddition[[#This Row],[FY]],2),4,1)&gt;$P$1-1),'FA Addition'!$J1085,0)</f>
        <v>0</v>
      </c>
      <c r="U1085" s="117">
        <f>S1085*'FA Addition'!$L1085/'FA Addition'!$J1085</f>
        <v>0</v>
      </c>
      <c r="W1085" s="116">
        <f>SUMIFS('FA Write off'!D:D,'FA Write off'!A:A,'FA Addition'!$A1085,'FA Write off'!C:C,"&lt;"&amp;'FA Addition'!$P$1)</f>
        <v>0</v>
      </c>
      <c r="Y1085" s="191">
        <f>IFERROR(W1085/'FA Addition'!$J1085*'FA Addition'!$L1085,0)</f>
        <v>0</v>
      </c>
      <c r="AA1085" s="116">
        <f>SUMIFS('FA Write off'!D:D,'FA Write off'!A:A,'FA Addition'!$A1085,'FA Write off'!C:C,"&lt;"&amp;'FA Addition'!$L$1+1,'FA Write off'!C:C,"&gt;"&amp;'FA Addition'!$L$1-365)</f>
        <v>0</v>
      </c>
      <c r="AC1085" s="118">
        <f>IFERROR(AA1085/'FA Addition'!$J1085*'FA Addition'!$L1085,0)</f>
        <v>0</v>
      </c>
      <c r="AE1085" s="117">
        <f>IF(AND('FA Addition'!$D1085&lt;$P$1+1,U1085=0),'FA Addition'!$L1085,0)-Y1085</f>
        <v>0</v>
      </c>
      <c r="AF1085" s="117">
        <f t="shared" si="80"/>
        <v>0</v>
      </c>
      <c r="AG1085" s="117">
        <f>MIN(MAX(+$P$1-'FA Addition'!$D1085,0),365*'FA Addition'!$O1085)</f>
        <v>0</v>
      </c>
      <c r="AH1085" s="117">
        <f>MIN(MAX($L$1-'FA Addition'!$D1085+1,0),365*'FA Addition'!$O1085)</f>
        <v>0</v>
      </c>
      <c r="AI1085" s="117" cm="1">
        <f t="array" ref="AI1085">_xlfn.XLOOKUP(1,('FA Write off'!A:A='FA Addition'!$A1085)*('FA Write off'!D:D=AA1085),'FA Write off'!H:H,0,0)</f>
        <v>0</v>
      </c>
      <c r="AJ1085" s="117">
        <f>IF(AC1085&gt;0,MAX(IF('FA Addition'!$N1085="SLM",($AC1085-'FA Addition'!$M1085)*'FA Addition'!$P1085*AI1085/365,(AC1085-'FA Addition'!$M1085)*(1-(1-'FA Addition'!$P1085)^(AI1085/365))),0),0)</f>
        <v>0</v>
      </c>
      <c r="AL1085" s="117">
        <f>MAX(IF(AG1085&gt;0,IF('FA Addition'!$N1085="SLM",($AE1085-'FA Addition'!$M1085)*'FA Addition'!$P1085*AG1085/365,IFERROR(VDB(AE1085,AE1085*0.05,'FA Addition'!$O1085,0,YEARFRAC('FA Addition'!$C1085,$P$1-1,3),'FA Addition'!$Q1085),FAAddition[[#This Row],[Original Cost (Rs)]]-FAAddition[[#This Row],[Salvage Value]])),0),0)</f>
        <v>0</v>
      </c>
      <c r="AM1085" s="119"/>
      <c r="AN1085" s="117">
        <f>MAX(IF(AH1085&gt;0,IF('FA Addition'!$N1085="SLM",($AF1085-'FA Addition'!$M1085)*'FA Addition'!$P1085*AH1085/365,IFERROR(VDB(AF1085,AF1085*0.05,'FA Addition'!$O1085,0,YEARFRAC('FA Addition'!$C1085,$L$1,3),'FA Addition'!$Q1085),FAAddition[[#This Row],[Original Cost (Rs)]]-FAAddition[[#This Row],[Salvage Value]])),0),0)</f>
        <v>0</v>
      </c>
      <c r="AO1085" s="117">
        <f t="shared" si="83"/>
        <v>0</v>
      </c>
      <c r="AQ1085" s="117">
        <f t="shared" si="81"/>
        <v>0</v>
      </c>
      <c r="AR1085" s="120">
        <f t="shared" si="82"/>
        <v>0</v>
      </c>
      <c r="AS1085" s="121"/>
    </row>
    <row r="1086" spans="1:45" ht="13.5" x14ac:dyDescent="0.4">
      <c r="A1086" s="12">
        <f t="shared" si="84"/>
        <v>1083</v>
      </c>
      <c r="B1086" s="64" t="s">
        <v>1758</v>
      </c>
      <c r="C1086" s="54">
        <v>45448</v>
      </c>
      <c r="D1086" s="54">
        <v>45448</v>
      </c>
      <c r="E1086" s="46" t="s">
        <v>1495</v>
      </c>
      <c r="F1086" s="51" t="s">
        <v>1496</v>
      </c>
      <c r="G1086" s="51" t="s">
        <v>1499</v>
      </c>
      <c r="H1086" s="51" t="s">
        <v>196</v>
      </c>
      <c r="I1086" s="55" t="s">
        <v>1855</v>
      </c>
      <c r="J1086" s="56">
        <v>1</v>
      </c>
      <c r="K1086" s="51" t="s">
        <v>1856</v>
      </c>
      <c r="L1086" s="58">
        <v>236000</v>
      </c>
      <c r="M1086" s="50">
        <f>ROUND('FA Addition'!$L1086*5%,0.1)</f>
        <v>11800</v>
      </c>
      <c r="N1086" s="113" t="str">
        <f>_xlfn.XLOOKUP(_xlfn.CONCAT(E1086,B1086),'Year Wise Master Dep Approach'!F:F,'Year Wise Master Dep Approach'!D:D)</f>
        <v>SLM</v>
      </c>
      <c r="O1086" s="113">
        <f>_xlfn.XLOOKUP(_xlfn.CONCAT(E1086,B1086),'Year Wise Master Dep Approach'!F:F,'Year Wise Master Dep Approach'!E:E)</f>
        <v>3</v>
      </c>
      <c r="P1086" s="114">
        <f>IFERROR(IF('FA Addition'!$N1086="WDV",1-('FA Addition'!$M1086/'FA Addition'!$L1086)^(1/'FA Addition'!$O1086),1/'FA Addition'!$O1086),0)</f>
        <v>0.33333333333333331</v>
      </c>
      <c r="Q1086" s="122">
        <f>'FA Addition'!$P1086*'FA Addition'!$O1086</f>
        <v>1</v>
      </c>
      <c r="R1086" s="122"/>
      <c r="S1086" s="116">
        <f>IF(AND(DATE(20&amp;LEFT(FAAddition[[#This Row],[FY]],2),4,1)&lt;$L$1+1,DATE(20&amp;LEFT(FAAddition[[#This Row],[FY]],2),4,1)&gt;$P$1-1),'FA Addition'!$J1086,0)</f>
        <v>0</v>
      </c>
      <c r="U1086" s="117">
        <f>S1086*'FA Addition'!$L1086/'FA Addition'!$J1086</f>
        <v>0</v>
      </c>
      <c r="W1086" s="116">
        <f>SUMIFS('FA Write off'!D:D,'FA Write off'!A:A,'FA Addition'!$A1086,'FA Write off'!C:C,"&lt;"&amp;'FA Addition'!$P$1)</f>
        <v>0</v>
      </c>
      <c r="Y1086" s="191">
        <f>IFERROR(W1086/'FA Addition'!$J1086*'FA Addition'!$L1086,0)</f>
        <v>0</v>
      </c>
      <c r="AA1086" s="116">
        <f>SUMIFS('FA Write off'!D:D,'FA Write off'!A:A,'FA Addition'!$A1086,'FA Write off'!C:C,"&lt;"&amp;'FA Addition'!$L$1+1,'FA Write off'!C:C,"&gt;"&amp;'FA Addition'!$L$1-365)</f>
        <v>0</v>
      </c>
      <c r="AC1086" s="118">
        <f>IFERROR(AA1086/'FA Addition'!$J1086*'FA Addition'!$L1086,0)</f>
        <v>0</v>
      </c>
      <c r="AE1086" s="117">
        <f>IF(AND('FA Addition'!$D1086&lt;$P$1+1,U1086=0),'FA Addition'!$L1086,0)-Y1086</f>
        <v>0</v>
      </c>
      <c r="AF1086" s="117">
        <f t="shared" si="80"/>
        <v>0</v>
      </c>
      <c r="AG1086" s="117">
        <f>MIN(MAX(+$P$1-'FA Addition'!$D1086,0),365*'FA Addition'!$O1086)</f>
        <v>0</v>
      </c>
      <c r="AH1086" s="117">
        <f>MIN(MAX($L$1-'FA Addition'!$D1086+1,0),365*'FA Addition'!$O1086)</f>
        <v>0</v>
      </c>
      <c r="AI1086" s="117" cm="1">
        <f t="array" ref="AI1086">_xlfn.XLOOKUP(1,('FA Write off'!A:A='FA Addition'!$A1086)*('FA Write off'!D:D=AA1086),'FA Write off'!H:H,0,0)</f>
        <v>0</v>
      </c>
      <c r="AJ1086" s="117">
        <f>IF(AC1086&gt;0,MAX(IF('FA Addition'!$N1086="SLM",($AC1086-'FA Addition'!$M1086)*'FA Addition'!$P1086*AI1086/365,(AC1086-'FA Addition'!$M1086)*(1-(1-'FA Addition'!$P1086)^(AI1086/365))),0),0)</f>
        <v>0</v>
      </c>
      <c r="AL1086" s="117">
        <f>MAX(IF(AG1086&gt;0,IF('FA Addition'!$N1086="SLM",($AE1086-'FA Addition'!$M1086)*'FA Addition'!$P1086*AG1086/365,IFERROR(VDB(AE1086,AE1086*0.05,'FA Addition'!$O1086,0,YEARFRAC('FA Addition'!$C1086,$P$1-1,3),'FA Addition'!$Q1086),FAAddition[[#This Row],[Original Cost (Rs)]]-FAAddition[[#This Row],[Salvage Value]])),0),0)</f>
        <v>0</v>
      </c>
      <c r="AM1086" s="119"/>
      <c r="AN1086" s="117">
        <f>MAX(IF(AH1086&gt;0,IF('FA Addition'!$N1086="SLM",($AF1086-'FA Addition'!$M1086)*'FA Addition'!$P1086*AH1086/365,IFERROR(VDB(AF1086,AF1086*0.05,'FA Addition'!$O1086,0,YEARFRAC('FA Addition'!$C1086,$L$1,3),'FA Addition'!$Q1086),FAAddition[[#This Row],[Original Cost (Rs)]]-FAAddition[[#This Row],[Salvage Value]])),0),0)</f>
        <v>0</v>
      </c>
      <c r="AO1086" s="117">
        <f t="shared" si="83"/>
        <v>0</v>
      </c>
      <c r="AQ1086" s="117">
        <f t="shared" si="81"/>
        <v>0</v>
      </c>
      <c r="AR1086" s="120">
        <f t="shared" si="82"/>
        <v>0</v>
      </c>
      <c r="AS1086" s="121"/>
    </row>
    <row r="1087" spans="1:45" ht="13.5" x14ac:dyDescent="0.4">
      <c r="A1087" s="12">
        <f t="shared" si="84"/>
        <v>1084</v>
      </c>
      <c r="B1087" s="64" t="s">
        <v>1758</v>
      </c>
      <c r="C1087" s="54">
        <v>45448</v>
      </c>
      <c r="D1087" s="54">
        <v>45448</v>
      </c>
      <c r="E1087" s="46" t="s">
        <v>1495</v>
      </c>
      <c r="F1087" s="51" t="s">
        <v>1496</v>
      </c>
      <c r="G1087" s="51" t="s">
        <v>1499</v>
      </c>
      <c r="H1087" s="51" t="s">
        <v>196</v>
      </c>
      <c r="I1087" s="55" t="s">
        <v>1855</v>
      </c>
      <c r="J1087" s="56">
        <v>28</v>
      </c>
      <c r="K1087" s="51" t="s">
        <v>1857</v>
      </c>
      <c r="L1087" s="58">
        <v>826000</v>
      </c>
      <c r="M1087" s="50">
        <f>ROUND('FA Addition'!$L1087*5%,0.1)</f>
        <v>41300</v>
      </c>
      <c r="N1087" s="113" t="str">
        <f>_xlfn.XLOOKUP(_xlfn.CONCAT(E1087,B1087),'Year Wise Master Dep Approach'!F:F,'Year Wise Master Dep Approach'!D:D)</f>
        <v>SLM</v>
      </c>
      <c r="O1087" s="113">
        <f>_xlfn.XLOOKUP(_xlfn.CONCAT(E1087,B1087),'Year Wise Master Dep Approach'!F:F,'Year Wise Master Dep Approach'!E:E)</f>
        <v>3</v>
      </c>
      <c r="P1087" s="114">
        <f>IFERROR(IF('FA Addition'!$N1087="WDV",1-('FA Addition'!$M1087/'FA Addition'!$L1087)^(1/'FA Addition'!$O1087),1/'FA Addition'!$O1087),0)</f>
        <v>0.33333333333333331</v>
      </c>
      <c r="Q1087" s="122">
        <f>'FA Addition'!$P1087*'FA Addition'!$O1087</f>
        <v>1</v>
      </c>
      <c r="R1087" s="122"/>
      <c r="S1087" s="116">
        <f>IF(AND(DATE(20&amp;LEFT(FAAddition[[#This Row],[FY]],2),4,1)&lt;$L$1+1,DATE(20&amp;LEFT(FAAddition[[#This Row],[FY]],2),4,1)&gt;$P$1-1),'FA Addition'!$J1087,0)</f>
        <v>0</v>
      </c>
      <c r="U1087" s="117">
        <f>S1087*'FA Addition'!$L1087/'FA Addition'!$J1087</f>
        <v>0</v>
      </c>
      <c r="W1087" s="116">
        <f>SUMIFS('FA Write off'!D:D,'FA Write off'!A:A,'FA Addition'!$A1087,'FA Write off'!C:C,"&lt;"&amp;'FA Addition'!$P$1)</f>
        <v>0</v>
      </c>
      <c r="Y1087" s="191">
        <f>IFERROR(W1087/'FA Addition'!$J1087*'FA Addition'!$L1087,0)</f>
        <v>0</v>
      </c>
      <c r="AA1087" s="116">
        <f>SUMIFS('FA Write off'!D:D,'FA Write off'!A:A,'FA Addition'!$A1087,'FA Write off'!C:C,"&lt;"&amp;'FA Addition'!$L$1+1,'FA Write off'!C:C,"&gt;"&amp;'FA Addition'!$L$1-365)</f>
        <v>0</v>
      </c>
      <c r="AC1087" s="118">
        <f>IFERROR(AA1087/'FA Addition'!$J1087*'FA Addition'!$L1087,0)</f>
        <v>0</v>
      </c>
      <c r="AE1087" s="117">
        <f>IF(AND('FA Addition'!$D1087&lt;$P$1+1,U1087=0),'FA Addition'!$L1087,0)-Y1087</f>
        <v>0</v>
      </c>
      <c r="AF1087" s="117">
        <f t="shared" si="80"/>
        <v>0</v>
      </c>
      <c r="AG1087" s="117">
        <f>MIN(MAX(+$P$1-'FA Addition'!$D1087,0),365*'FA Addition'!$O1087)</f>
        <v>0</v>
      </c>
      <c r="AH1087" s="117">
        <f>MIN(MAX($L$1-'FA Addition'!$D1087+1,0),365*'FA Addition'!$O1087)</f>
        <v>0</v>
      </c>
      <c r="AI1087" s="117" cm="1">
        <f t="array" ref="AI1087">_xlfn.XLOOKUP(1,('FA Write off'!A:A='FA Addition'!$A1087)*('FA Write off'!D:D=AA1087),'FA Write off'!H:H,0,0)</f>
        <v>0</v>
      </c>
      <c r="AJ1087" s="117">
        <f>IF(AC1087&gt;0,MAX(IF('FA Addition'!$N1087="SLM",($AC1087-'FA Addition'!$M1087)*'FA Addition'!$P1087*AI1087/365,(AC1087-'FA Addition'!$M1087)*(1-(1-'FA Addition'!$P1087)^(AI1087/365))),0),0)</f>
        <v>0</v>
      </c>
      <c r="AL1087" s="117">
        <f>MAX(IF(AG1087&gt;0,IF('FA Addition'!$N1087="SLM",($AE1087-'FA Addition'!$M1087)*'FA Addition'!$P1087*AG1087/365,IFERROR(VDB(AE1087,AE1087*0.05,'FA Addition'!$O1087,0,YEARFRAC('FA Addition'!$C1087,$P$1-1,3),'FA Addition'!$Q1087),FAAddition[[#This Row],[Original Cost (Rs)]]-FAAddition[[#This Row],[Salvage Value]])),0),0)</f>
        <v>0</v>
      </c>
      <c r="AM1087" s="119"/>
      <c r="AN1087" s="117">
        <f>MAX(IF(AH1087&gt;0,IF('FA Addition'!$N1087="SLM",($AF1087-'FA Addition'!$M1087)*'FA Addition'!$P1087*AH1087/365,IFERROR(VDB(AF1087,AF1087*0.05,'FA Addition'!$O1087,0,YEARFRAC('FA Addition'!$C1087,$L$1,3),'FA Addition'!$Q1087),FAAddition[[#This Row],[Original Cost (Rs)]]-FAAddition[[#This Row],[Salvage Value]])),0),0)</f>
        <v>0</v>
      </c>
      <c r="AO1087" s="117">
        <f t="shared" si="83"/>
        <v>0</v>
      </c>
      <c r="AQ1087" s="117">
        <f t="shared" si="81"/>
        <v>0</v>
      </c>
      <c r="AR1087" s="120">
        <f t="shared" si="82"/>
        <v>0</v>
      </c>
      <c r="AS1087" s="121"/>
    </row>
    <row r="1088" spans="1:45" ht="13.5" x14ac:dyDescent="0.4">
      <c r="A1088" s="12">
        <f t="shared" si="84"/>
        <v>1085</v>
      </c>
      <c r="B1088" s="64" t="s">
        <v>1758</v>
      </c>
      <c r="C1088" s="54">
        <v>45449</v>
      </c>
      <c r="D1088" s="54">
        <v>45449</v>
      </c>
      <c r="E1088" s="46" t="s">
        <v>1320</v>
      </c>
      <c r="F1088" s="51" t="s">
        <v>33</v>
      </c>
      <c r="G1088" s="51" t="s">
        <v>36</v>
      </c>
      <c r="H1088" s="51" t="s">
        <v>32</v>
      </c>
      <c r="I1088" s="55" t="s">
        <v>1858</v>
      </c>
      <c r="J1088" s="56">
        <v>1000</v>
      </c>
      <c r="K1088" s="51" t="s">
        <v>296</v>
      </c>
      <c r="L1088" s="58">
        <v>1650000</v>
      </c>
      <c r="M1088" s="50">
        <f>ROUND('FA Addition'!$L1088*5%,0.1)</f>
        <v>82500</v>
      </c>
      <c r="N1088" s="113" t="str">
        <f>_xlfn.XLOOKUP(_xlfn.CONCAT(E1088,B1088),'Year Wise Master Dep Approach'!F:F,'Year Wise Master Dep Approach'!D:D)</f>
        <v>SLM</v>
      </c>
      <c r="O1088" s="113">
        <f>_xlfn.XLOOKUP(_xlfn.CONCAT(E1088,B1088),'Year Wise Master Dep Approach'!F:F,'Year Wise Master Dep Approach'!E:E)</f>
        <v>5</v>
      </c>
      <c r="P1088" s="114">
        <f>IFERROR(IF('FA Addition'!$N1088="WDV",1-('FA Addition'!$M1088/'FA Addition'!$L1088)^(1/'FA Addition'!$O1088),1/'FA Addition'!$O1088),0)</f>
        <v>0.2</v>
      </c>
      <c r="Q1088" s="122">
        <f>'FA Addition'!$P1088*'FA Addition'!$O1088</f>
        <v>1</v>
      </c>
      <c r="R1088" s="122"/>
      <c r="S1088" s="116">
        <f>IF(AND(DATE(20&amp;LEFT(FAAddition[[#This Row],[FY]],2),4,1)&lt;$L$1+1,DATE(20&amp;LEFT(FAAddition[[#This Row],[FY]],2),4,1)&gt;$P$1-1),'FA Addition'!$J1088,0)</f>
        <v>0</v>
      </c>
      <c r="U1088" s="117">
        <f>S1088*'FA Addition'!$L1088/'FA Addition'!$J1088</f>
        <v>0</v>
      </c>
      <c r="W1088" s="116">
        <f>SUMIFS('FA Write off'!D:D,'FA Write off'!A:A,'FA Addition'!$A1088,'FA Write off'!C:C,"&lt;"&amp;'FA Addition'!$P$1)</f>
        <v>0</v>
      </c>
      <c r="Y1088" s="191">
        <f>IFERROR(W1088/'FA Addition'!$J1088*'FA Addition'!$L1088,0)</f>
        <v>0</v>
      </c>
      <c r="AA1088" s="116">
        <f>SUMIFS('FA Write off'!D:D,'FA Write off'!A:A,'FA Addition'!$A1088,'FA Write off'!C:C,"&lt;"&amp;'FA Addition'!$L$1+1,'FA Write off'!C:C,"&gt;"&amp;'FA Addition'!$L$1-365)</f>
        <v>0</v>
      </c>
      <c r="AC1088" s="118">
        <f>IFERROR(AA1088/'FA Addition'!$J1088*'FA Addition'!$L1088,0)</f>
        <v>0</v>
      </c>
      <c r="AE1088" s="117">
        <f>IF(AND('FA Addition'!$D1088&lt;$P$1+1,U1088=0),'FA Addition'!$L1088,0)-Y1088</f>
        <v>0</v>
      </c>
      <c r="AF1088" s="117">
        <f t="shared" si="80"/>
        <v>0</v>
      </c>
      <c r="AG1088" s="117">
        <f>MIN(MAX(+$P$1-'FA Addition'!$D1088,0),365*'FA Addition'!$O1088)</f>
        <v>0</v>
      </c>
      <c r="AH1088" s="117">
        <f>MIN(MAX($L$1-'FA Addition'!$D1088+1,0),365*'FA Addition'!$O1088)</f>
        <v>0</v>
      </c>
      <c r="AI1088" s="117" cm="1">
        <f t="array" ref="AI1088">_xlfn.XLOOKUP(1,('FA Write off'!A:A='FA Addition'!$A1088)*('FA Write off'!D:D=AA1088),'FA Write off'!H:H,0,0)</f>
        <v>0</v>
      </c>
      <c r="AJ1088" s="117">
        <f>IF(AC1088&gt;0,MAX(IF('FA Addition'!$N1088="SLM",($AC1088-'FA Addition'!$M1088)*'FA Addition'!$P1088*AI1088/365,(AC1088-'FA Addition'!$M1088)*(1-(1-'FA Addition'!$P1088)^(AI1088/365))),0),0)</f>
        <v>0</v>
      </c>
      <c r="AL1088" s="117">
        <f>MAX(IF(AG1088&gt;0,IF('FA Addition'!$N1088="SLM",($AE1088-'FA Addition'!$M1088)*'FA Addition'!$P1088*AG1088/365,IFERROR(VDB(AE1088,AE1088*0.05,'FA Addition'!$O1088,0,YEARFRAC('FA Addition'!$C1088,$P$1-1,3),'FA Addition'!$Q1088),FAAddition[[#This Row],[Original Cost (Rs)]]-FAAddition[[#This Row],[Salvage Value]])),0),0)</f>
        <v>0</v>
      </c>
      <c r="AM1088" s="119"/>
      <c r="AN1088" s="117">
        <f>MAX(IF(AH1088&gt;0,IF('FA Addition'!$N1088="SLM",($AF1088-'FA Addition'!$M1088)*'FA Addition'!$P1088*AH1088/365,IFERROR(VDB(AF1088,AF1088*0.05,'FA Addition'!$O1088,0,YEARFRAC('FA Addition'!$C1088,$L$1,3),'FA Addition'!$Q1088),FAAddition[[#This Row],[Original Cost (Rs)]]-FAAddition[[#This Row],[Salvage Value]])),0),0)</f>
        <v>0</v>
      </c>
      <c r="AO1088" s="117">
        <f t="shared" si="83"/>
        <v>0</v>
      </c>
      <c r="AQ1088" s="117">
        <f t="shared" si="81"/>
        <v>0</v>
      </c>
      <c r="AR1088" s="120">
        <f t="shared" si="82"/>
        <v>0</v>
      </c>
      <c r="AS1088" s="121"/>
    </row>
    <row r="1089" spans="1:45" ht="13.5" x14ac:dyDescent="0.4">
      <c r="A1089" s="12">
        <f t="shared" si="84"/>
        <v>1086</v>
      </c>
      <c r="B1089" s="64" t="s">
        <v>1758</v>
      </c>
      <c r="C1089" s="54">
        <v>45451</v>
      </c>
      <c r="D1089" s="54">
        <v>45451</v>
      </c>
      <c r="E1089" s="46" t="s">
        <v>451</v>
      </c>
      <c r="F1089" s="51" t="s">
        <v>19</v>
      </c>
      <c r="G1089" s="51" t="s">
        <v>1728</v>
      </c>
      <c r="H1089" s="51" t="s">
        <v>21</v>
      </c>
      <c r="I1089" s="55">
        <v>3430</v>
      </c>
      <c r="J1089" s="56">
        <v>1</v>
      </c>
      <c r="K1089" s="51" t="s">
        <v>1859</v>
      </c>
      <c r="L1089" s="58">
        <v>60593.073333333334</v>
      </c>
      <c r="M1089" s="50">
        <f>ROUND('FA Addition'!$L1089*5%,0.1)</f>
        <v>3030</v>
      </c>
      <c r="N1089" s="113" t="str">
        <f>_xlfn.XLOOKUP(_xlfn.CONCAT(E1089,B1089),'Year Wise Master Dep Approach'!F:F,'Year Wise Master Dep Approach'!D:D)</f>
        <v>WDV</v>
      </c>
      <c r="O1089" s="113">
        <f>_xlfn.XLOOKUP(_xlfn.CONCAT(E1089,B1089),'Year Wise Master Dep Approach'!F:F,'Year Wise Master Dep Approach'!E:E)</f>
        <v>3</v>
      </c>
      <c r="P1089" s="114">
        <f>IFERROR(IF('FA Addition'!$N1089="WDV",1-('FA Addition'!$M1089/'FA Addition'!$L1089)^(1/'FA Addition'!$O1089),1/'FA Addition'!$O1089),0)</f>
        <v>0.63158281273065109</v>
      </c>
      <c r="Q1089" s="122">
        <f>'FA Addition'!$P1089*'FA Addition'!$O1089</f>
        <v>1.8947484381919533</v>
      </c>
      <c r="R1089" s="122"/>
      <c r="S1089" s="116">
        <f>IF(AND(DATE(20&amp;LEFT(FAAddition[[#This Row],[FY]],2),4,1)&lt;$L$1+1,DATE(20&amp;LEFT(FAAddition[[#This Row],[FY]],2),4,1)&gt;$P$1-1),'FA Addition'!$J1089,0)</f>
        <v>0</v>
      </c>
      <c r="U1089" s="117">
        <f>S1089*'FA Addition'!$L1089/'FA Addition'!$J1089</f>
        <v>0</v>
      </c>
      <c r="W1089" s="116">
        <f>SUMIFS('FA Write off'!D:D,'FA Write off'!A:A,'FA Addition'!$A1089,'FA Write off'!C:C,"&lt;"&amp;'FA Addition'!$P$1)</f>
        <v>0</v>
      </c>
      <c r="Y1089" s="191">
        <f>IFERROR(W1089/'FA Addition'!$J1089*'FA Addition'!$L1089,0)</f>
        <v>0</v>
      </c>
      <c r="AA1089" s="116">
        <f>SUMIFS('FA Write off'!D:D,'FA Write off'!A:A,'FA Addition'!$A1089,'FA Write off'!C:C,"&lt;"&amp;'FA Addition'!$L$1+1,'FA Write off'!C:C,"&gt;"&amp;'FA Addition'!$L$1-365)</f>
        <v>0</v>
      </c>
      <c r="AC1089" s="118">
        <f>IFERROR(AA1089/'FA Addition'!$J1089*'FA Addition'!$L1089,0)</f>
        <v>0</v>
      </c>
      <c r="AE1089" s="117">
        <f>IF(AND('FA Addition'!$D1089&lt;$P$1+1,U1089=0),'FA Addition'!$L1089,0)-Y1089</f>
        <v>0</v>
      </c>
      <c r="AF1089" s="117">
        <f t="shared" si="80"/>
        <v>0</v>
      </c>
      <c r="AG1089" s="117">
        <f>MIN(MAX(+$P$1-'FA Addition'!$D1089,0),365*'FA Addition'!$O1089)</f>
        <v>0</v>
      </c>
      <c r="AH1089" s="117">
        <f>MIN(MAX($L$1-'FA Addition'!$D1089+1,0),365*'FA Addition'!$O1089)</f>
        <v>0</v>
      </c>
      <c r="AI1089" s="117" cm="1">
        <f t="array" ref="AI1089">_xlfn.XLOOKUP(1,('FA Write off'!A:A='FA Addition'!$A1089)*('FA Write off'!D:D=AA1089),'FA Write off'!H:H,0,0)</f>
        <v>0</v>
      </c>
      <c r="AJ1089" s="117">
        <f>IF(AC1089&gt;0,MAX(IF('FA Addition'!$N1089="SLM",($AC1089-'FA Addition'!$M1089)*'FA Addition'!$P1089*AI1089/365,(AC1089-'FA Addition'!$M1089)*(1-(1-'FA Addition'!$P1089)^(AI1089/365))),0),0)</f>
        <v>0</v>
      </c>
      <c r="AL1089" s="117">
        <f>MAX(IF(AG1089&gt;0,IF('FA Addition'!$N1089="SLM",($AE1089-'FA Addition'!$M1089)*'FA Addition'!$P1089*AG1089/365,IFERROR(VDB(AE1089,AE1089*0.05,'FA Addition'!$O1089,0,YEARFRAC('FA Addition'!$C1089,$P$1-1,3),'FA Addition'!$Q1089),FAAddition[[#This Row],[Original Cost (Rs)]]-FAAddition[[#This Row],[Salvage Value]])),0),0)</f>
        <v>0</v>
      </c>
      <c r="AM1089" s="119"/>
      <c r="AN1089" s="117">
        <f>MAX(IF(AH1089&gt;0,IF('FA Addition'!$N1089="SLM",($AF1089-'FA Addition'!$M1089)*'FA Addition'!$P1089*AH1089/365,IFERROR(VDB(AF1089,AF1089*0.05,'FA Addition'!$O1089,0,YEARFRAC('FA Addition'!$C1089,$L$1,3),'FA Addition'!$Q1089),FAAddition[[#This Row],[Original Cost (Rs)]]-FAAddition[[#This Row],[Salvage Value]])),0),0)</f>
        <v>0</v>
      </c>
      <c r="AO1089" s="117">
        <f t="shared" si="83"/>
        <v>0</v>
      </c>
      <c r="AQ1089" s="117">
        <f t="shared" si="81"/>
        <v>0</v>
      </c>
      <c r="AR1089" s="120">
        <f t="shared" si="82"/>
        <v>0</v>
      </c>
      <c r="AS1089" s="121"/>
    </row>
    <row r="1090" spans="1:45" ht="13.5" x14ac:dyDescent="0.4">
      <c r="A1090" s="12">
        <f t="shared" si="84"/>
        <v>1087</v>
      </c>
      <c r="B1090" s="64" t="s">
        <v>1758</v>
      </c>
      <c r="C1090" s="54">
        <v>45451</v>
      </c>
      <c r="D1090" s="54">
        <v>45451</v>
      </c>
      <c r="E1090" s="46" t="s">
        <v>451</v>
      </c>
      <c r="F1090" s="51" t="s">
        <v>19</v>
      </c>
      <c r="G1090" s="51" t="s">
        <v>1728</v>
      </c>
      <c r="H1090" s="51" t="s">
        <v>21</v>
      </c>
      <c r="I1090" s="55">
        <v>3430</v>
      </c>
      <c r="J1090" s="56">
        <v>1</v>
      </c>
      <c r="K1090" s="51" t="s">
        <v>1859</v>
      </c>
      <c r="L1090" s="58">
        <v>60593.073333333334</v>
      </c>
      <c r="M1090" s="50">
        <f>ROUND('FA Addition'!$L1090*5%,0.1)</f>
        <v>3030</v>
      </c>
      <c r="N1090" s="113" t="str">
        <f>_xlfn.XLOOKUP(_xlfn.CONCAT(E1090,B1090),'Year Wise Master Dep Approach'!F:F,'Year Wise Master Dep Approach'!D:D)</f>
        <v>WDV</v>
      </c>
      <c r="O1090" s="113">
        <f>_xlfn.XLOOKUP(_xlfn.CONCAT(E1090,B1090),'Year Wise Master Dep Approach'!F:F,'Year Wise Master Dep Approach'!E:E)</f>
        <v>3</v>
      </c>
      <c r="P1090" s="114">
        <f>IFERROR(IF('FA Addition'!$N1090="WDV",1-('FA Addition'!$M1090/'FA Addition'!$L1090)^(1/'FA Addition'!$O1090),1/'FA Addition'!$O1090),0)</f>
        <v>0.63158281273065109</v>
      </c>
      <c r="Q1090" s="122">
        <f>'FA Addition'!$P1090*'FA Addition'!$O1090</f>
        <v>1.8947484381919533</v>
      </c>
      <c r="R1090" s="122"/>
      <c r="S1090" s="116">
        <f>IF(AND(DATE(20&amp;LEFT(FAAddition[[#This Row],[FY]],2),4,1)&lt;$L$1+1,DATE(20&amp;LEFT(FAAddition[[#This Row],[FY]],2),4,1)&gt;$P$1-1),'FA Addition'!$J1090,0)</f>
        <v>0</v>
      </c>
      <c r="U1090" s="117">
        <f>S1090*'FA Addition'!$L1090/'FA Addition'!$J1090</f>
        <v>0</v>
      </c>
      <c r="W1090" s="116">
        <f>SUMIFS('FA Write off'!D:D,'FA Write off'!A:A,'FA Addition'!$A1090,'FA Write off'!C:C,"&lt;"&amp;'FA Addition'!$P$1)</f>
        <v>0</v>
      </c>
      <c r="Y1090" s="191">
        <f>IFERROR(W1090/'FA Addition'!$J1090*'FA Addition'!$L1090,0)</f>
        <v>0</v>
      </c>
      <c r="AA1090" s="116">
        <f>SUMIFS('FA Write off'!D:D,'FA Write off'!A:A,'FA Addition'!$A1090,'FA Write off'!C:C,"&lt;"&amp;'FA Addition'!$L$1+1,'FA Write off'!C:C,"&gt;"&amp;'FA Addition'!$L$1-365)</f>
        <v>0</v>
      </c>
      <c r="AC1090" s="118">
        <f>IFERROR(AA1090/'FA Addition'!$J1090*'FA Addition'!$L1090,0)</f>
        <v>0</v>
      </c>
      <c r="AE1090" s="117">
        <f>IF(AND('FA Addition'!$D1090&lt;$P$1+1,U1090=0),'FA Addition'!$L1090,0)-Y1090</f>
        <v>0</v>
      </c>
      <c r="AF1090" s="117">
        <f t="shared" si="80"/>
        <v>0</v>
      </c>
      <c r="AG1090" s="117">
        <f>MIN(MAX(+$P$1-'FA Addition'!$D1090,0),365*'FA Addition'!$O1090)</f>
        <v>0</v>
      </c>
      <c r="AH1090" s="117">
        <f>MIN(MAX($L$1-'FA Addition'!$D1090+1,0),365*'FA Addition'!$O1090)</f>
        <v>0</v>
      </c>
      <c r="AI1090" s="117" cm="1">
        <f t="array" ref="AI1090">_xlfn.XLOOKUP(1,('FA Write off'!A:A='FA Addition'!$A1090)*('FA Write off'!D:D=AA1090),'FA Write off'!H:H,0,0)</f>
        <v>0</v>
      </c>
      <c r="AJ1090" s="117">
        <f>IF(AC1090&gt;0,MAX(IF('FA Addition'!$N1090="SLM",($AC1090-'FA Addition'!$M1090)*'FA Addition'!$P1090*AI1090/365,(AC1090-'FA Addition'!$M1090)*(1-(1-'FA Addition'!$P1090)^(AI1090/365))),0),0)</f>
        <v>0</v>
      </c>
      <c r="AL1090" s="117">
        <f>MAX(IF(AG1090&gt;0,IF('FA Addition'!$N1090="SLM",($AE1090-'FA Addition'!$M1090)*'FA Addition'!$P1090*AG1090/365,IFERROR(VDB(AE1090,AE1090*0.05,'FA Addition'!$O1090,0,YEARFRAC('FA Addition'!$C1090,$P$1-1,3),'FA Addition'!$Q1090),FAAddition[[#This Row],[Original Cost (Rs)]]-FAAddition[[#This Row],[Salvage Value]])),0),0)</f>
        <v>0</v>
      </c>
      <c r="AM1090" s="119"/>
      <c r="AN1090" s="117">
        <f>MAX(IF(AH1090&gt;0,IF('FA Addition'!$N1090="SLM",($AF1090-'FA Addition'!$M1090)*'FA Addition'!$P1090*AH1090/365,IFERROR(VDB(AF1090,AF1090*0.05,'FA Addition'!$O1090,0,YEARFRAC('FA Addition'!$C1090,$L$1,3),'FA Addition'!$Q1090),FAAddition[[#This Row],[Original Cost (Rs)]]-FAAddition[[#This Row],[Salvage Value]])),0),0)</f>
        <v>0</v>
      </c>
      <c r="AO1090" s="117">
        <f t="shared" si="83"/>
        <v>0</v>
      </c>
      <c r="AQ1090" s="117">
        <f t="shared" si="81"/>
        <v>0</v>
      </c>
      <c r="AR1090" s="120">
        <f t="shared" si="82"/>
        <v>0</v>
      </c>
      <c r="AS1090" s="121"/>
    </row>
    <row r="1091" spans="1:45" ht="13.5" x14ac:dyDescent="0.4">
      <c r="A1091" s="12">
        <f t="shared" si="84"/>
        <v>1088</v>
      </c>
      <c r="B1091" s="64" t="s">
        <v>1758</v>
      </c>
      <c r="C1091" s="54">
        <v>45451</v>
      </c>
      <c r="D1091" s="54">
        <v>45451</v>
      </c>
      <c r="E1091" s="46" t="s">
        <v>451</v>
      </c>
      <c r="F1091" s="51" t="s">
        <v>19</v>
      </c>
      <c r="G1091" s="51" t="s">
        <v>1728</v>
      </c>
      <c r="H1091" s="51" t="s">
        <v>21</v>
      </c>
      <c r="I1091" s="55">
        <v>3430</v>
      </c>
      <c r="J1091" s="56">
        <v>1</v>
      </c>
      <c r="K1091" s="51" t="s">
        <v>1859</v>
      </c>
      <c r="L1091" s="58">
        <v>60593.073333333334</v>
      </c>
      <c r="M1091" s="50">
        <f>ROUND('FA Addition'!$L1091*5%,0.1)</f>
        <v>3030</v>
      </c>
      <c r="N1091" s="113" t="str">
        <f>_xlfn.XLOOKUP(_xlfn.CONCAT(E1091,B1091),'Year Wise Master Dep Approach'!F:F,'Year Wise Master Dep Approach'!D:D)</f>
        <v>WDV</v>
      </c>
      <c r="O1091" s="113">
        <f>_xlfn.XLOOKUP(_xlfn.CONCAT(E1091,B1091),'Year Wise Master Dep Approach'!F:F,'Year Wise Master Dep Approach'!E:E)</f>
        <v>3</v>
      </c>
      <c r="P1091" s="114">
        <f>IFERROR(IF('FA Addition'!$N1091="WDV",1-('FA Addition'!$M1091/'FA Addition'!$L1091)^(1/'FA Addition'!$O1091),1/'FA Addition'!$O1091),0)</f>
        <v>0.63158281273065109</v>
      </c>
      <c r="Q1091" s="122">
        <f>'FA Addition'!$P1091*'FA Addition'!$O1091</f>
        <v>1.8947484381919533</v>
      </c>
      <c r="R1091" s="122"/>
      <c r="S1091" s="116">
        <f>IF(AND(DATE(20&amp;LEFT(FAAddition[[#This Row],[FY]],2),4,1)&lt;$L$1+1,DATE(20&amp;LEFT(FAAddition[[#This Row],[FY]],2),4,1)&gt;$P$1-1),'FA Addition'!$J1091,0)</f>
        <v>0</v>
      </c>
      <c r="U1091" s="117">
        <f>S1091*'FA Addition'!$L1091/'FA Addition'!$J1091</f>
        <v>0</v>
      </c>
      <c r="W1091" s="116">
        <f>SUMIFS('FA Write off'!D:D,'FA Write off'!A:A,'FA Addition'!$A1091,'FA Write off'!C:C,"&lt;"&amp;'FA Addition'!$P$1)</f>
        <v>0</v>
      </c>
      <c r="Y1091" s="191">
        <f>IFERROR(W1091/'FA Addition'!$J1091*'FA Addition'!$L1091,0)</f>
        <v>0</v>
      </c>
      <c r="AA1091" s="116">
        <f>SUMIFS('FA Write off'!D:D,'FA Write off'!A:A,'FA Addition'!$A1091,'FA Write off'!C:C,"&lt;"&amp;'FA Addition'!$L$1+1,'FA Write off'!C:C,"&gt;"&amp;'FA Addition'!$L$1-365)</f>
        <v>0</v>
      </c>
      <c r="AC1091" s="118">
        <f>IFERROR(AA1091/'FA Addition'!$J1091*'FA Addition'!$L1091,0)</f>
        <v>0</v>
      </c>
      <c r="AE1091" s="117">
        <f>IF(AND('FA Addition'!$D1091&lt;$P$1+1,U1091=0),'FA Addition'!$L1091,0)-Y1091</f>
        <v>0</v>
      </c>
      <c r="AF1091" s="117">
        <f t="shared" si="80"/>
        <v>0</v>
      </c>
      <c r="AG1091" s="117">
        <f>MIN(MAX(+$P$1-'FA Addition'!$D1091,0),365*'FA Addition'!$O1091)</f>
        <v>0</v>
      </c>
      <c r="AH1091" s="117">
        <f>MIN(MAX($L$1-'FA Addition'!$D1091+1,0),365*'FA Addition'!$O1091)</f>
        <v>0</v>
      </c>
      <c r="AI1091" s="117" cm="1">
        <f t="array" ref="AI1091">_xlfn.XLOOKUP(1,('FA Write off'!A:A='FA Addition'!$A1091)*('FA Write off'!D:D=AA1091),'FA Write off'!H:H,0,0)</f>
        <v>0</v>
      </c>
      <c r="AJ1091" s="117">
        <f>IF(AC1091&gt;0,MAX(IF('FA Addition'!$N1091="SLM",($AC1091-'FA Addition'!$M1091)*'FA Addition'!$P1091*AI1091/365,(AC1091-'FA Addition'!$M1091)*(1-(1-'FA Addition'!$P1091)^(AI1091/365))),0),0)</f>
        <v>0</v>
      </c>
      <c r="AL1091" s="117">
        <f>MAX(IF(AG1091&gt;0,IF('FA Addition'!$N1091="SLM",($AE1091-'FA Addition'!$M1091)*'FA Addition'!$P1091*AG1091/365,IFERROR(VDB(AE1091,AE1091*0.05,'FA Addition'!$O1091,0,YEARFRAC('FA Addition'!$C1091,$P$1-1,3),'FA Addition'!$Q1091),FAAddition[[#This Row],[Original Cost (Rs)]]-FAAddition[[#This Row],[Salvage Value]])),0),0)</f>
        <v>0</v>
      </c>
      <c r="AM1091" s="119"/>
      <c r="AN1091" s="117">
        <f>MAX(IF(AH1091&gt;0,IF('FA Addition'!$N1091="SLM",($AF1091-'FA Addition'!$M1091)*'FA Addition'!$P1091*AH1091/365,IFERROR(VDB(AF1091,AF1091*0.05,'FA Addition'!$O1091,0,YEARFRAC('FA Addition'!$C1091,$L$1,3),'FA Addition'!$Q1091),FAAddition[[#This Row],[Original Cost (Rs)]]-FAAddition[[#This Row],[Salvage Value]])),0),0)</f>
        <v>0</v>
      </c>
      <c r="AO1091" s="117">
        <f t="shared" si="83"/>
        <v>0</v>
      </c>
      <c r="AQ1091" s="117">
        <f t="shared" si="81"/>
        <v>0</v>
      </c>
      <c r="AR1091" s="120">
        <f t="shared" si="82"/>
        <v>0</v>
      </c>
      <c r="AS1091" s="121"/>
    </row>
    <row r="1092" spans="1:45" ht="13.5" x14ac:dyDescent="0.4">
      <c r="A1092" s="12">
        <f t="shared" si="84"/>
        <v>1089</v>
      </c>
      <c r="B1092" s="64" t="s">
        <v>1758</v>
      </c>
      <c r="C1092" s="54">
        <v>45453</v>
      </c>
      <c r="D1092" s="54">
        <v>45453</v>
      </c>
      <c r="E1092" s="46" t="s">
        <v>1320</v>
      </c>
      <c r="F1092" s="51" t="s">
        <v>33</v>
      </c>
      <c r="G1092" s="51" t="s">
        <v>36</v>
      </c>
      <c r="H1092" s="51" t="s">
        <v>32</v>
      </c>
      <c r="I1092" s="55" t="s">
        <v>1860</v>
      </c>
      <c r="J1092" s="56">
        <v>1000</v>
      </c>
      <c r="K1092" s="51" t="s">
        <v>296</v>
      </c>
      <c r="L1092" s="58">
        <v>1650000</v>
      </c>
      <c r="M1092" s="50">
        <f>ROUND('FA Addition'!$L1092*5%,0.1)</f>
        <v>82500</v>
      </c>
      <c r="N1092" s="113" t="str">
        <f>_xlfn.XLOOKUP(_xlfn.CONCAT(E1092,B1092),'Year Wise Master Dep Approach'!F:F,'Year Wise Master Dep Approach'!D:D)</f>
        <v>SLM</v>
      </c>
      <c r="O1092" s="113">
        <f>_xlfn.XLOOKUP(_xlfn.CONCAT(E1092,B1092),'Year Wise Master Dep Approach'!F:F,'Year Wise Master Dep Approach'!E:E)</f>
        <v>5</v>
      </c>
      <c r="P1092" s="114">
        <f>IFERROR(IF('FA Addition'!$N1092="WDV",1-('FA Addition'!$M1092/'FA Addition'!$L1092)^(1/'FA Addition'!$O1092),1/'FA Addition'!$O1092),0)</f>
        <v>0.2</v>
      </c>
      <c r="Q1092" s="122">
        <f>'FA Addition'!$P1092*'FA Addition'!$O1092</f>
        <v>1</v>
      </c>
      <c r="R1092" s="122"/>
      <c r="S1092" s="116">
        <f>IF(AND(DATE(20&amp;LEFT(FAAddition[[#This Row],[FY]],2),4,1)&lt;$L$1+1,DATE(20&amp;LEFT(FAAddition[[#This Row],[FY]],2),4,1)&gt;$P$1-1),'FA Addition'!$J1092,0)</f>
        <v>0</v>
      </c>
      <c r="U1092" s="117">
        <f>S1092*'FA Addition'!$L1092/'FA Addition'!$J1092</f>
        <v>0</v>
      </c>
      <c r="W1092" s="116">
        <f>SUMIFS('FA Write off'!D:D,'FA Write off'!A:A,'FA Addition'!$A1092,'FA Write off'!C:C,"&lt;"&amp;'FA Addition'!$P$1)</f>
        <v>0</v>
      </c>
      <c r="Y1092" s="191">
        <f>IFERROR(W1092/'FA Addition'!$J1092*'FA Addition'!$L1092,0)</f>
        <v>0</v>
      </c>
      <c r="AA1092" s="116">
        <f>SUMIFS('FA Write off'!D:D,'FA Write off'!A:A,'FA Addition'!$A1092,'FA Write off'!C:C,"&lt;"&amp;'FA Addition'!$L$1+1,'FA Write off'!C:C,"&gt;"&amp;'FA Addition'!$L$1-365)</f>
        <v>0</v>
      </c>
      <c r="AC1092" s="118">
        <f>IFERROR(AA1092/'FA Addition'!$J1092*'FA Addition'!$L1092,0)</f>
        <v>0</v>
      </c>
      <c r="AE1092" s="117">
        <f>IF(AND('FA Addition'!$D1092&lt;$P$1+1,U1092=0),'FA Addition'!$L1092,0)-Y1092</f>
        <v>0</v>
      </c>
      <c r="AF1092" s="117">
        <f t="shared" ref="AF1092:AF1155" si="85">AE1092+U1092-AC1092</f>
        <v>0</v>
      </c>
      <c r="AG1092" s="117">
        <f>MIN(MAX(+$P$1-'FA Addition'!$D1092,0),365*'FA Addition'!$O1092)</f>
        <v>0</v>
      </c>
      <c r="AH1092" s="117">
        <f>MIN(MAX($L$1-'FA Addition'!$D1092+1,0),365*'FA Addition'!$O1092)</f>
        <v>0</v>
      </c>
      <c r="AI1092" s="117" cm="1">
        <f t="array" ref="AI1092">_xlfn.XLOOKUP(1,('FA Write off'!A:A='FA Addition'!$A1092)*('FA Write off'!D:D=AA1092),'FA Write off'!H:H,0,0)</f>
        <v>0</v>
      </c>
      <c r="AJ1092" s="117">
        <f>IF(AC1092&gt;0,MAX(IF('FA Addition'!$N1092="SLM",($AC1092-'FA Addition'!$M1092)*'FA Addition'!$P1092*AI1092/365,(AC1092-'FA Addition'!$M1092)*(1-(1-'FA Addition'!$P1092)^(AI1092/365))),0),0)</f>
        <v>0</v>
      </c>
      <c r="AL1092" s="117">
        <f>MAX(IF(AG1092&gt;0,IF('FA Addition'!$N1092="SLM",($AE1092-'FA Addition'!$M1092)*'FA Addition'!$P1092*AG1092/365,IFERROR(VDB(AE1092,AE1092*0.05,'FA Addition'!$O1092,0,YEARFRAC('FA Addition'!$C1092,$P$1-1,3),'FA Addition'!$Q1092),FAAddition[[#This Row],[Original Cost (Rs)]]-FAAddition[[#This Row],[Salvage Value]])),0),0)</f>
        <v>0</v>
      </c>
      <c r="AM1092" s="119"/>
      <c r="AN1092" s="117">
        <f>MAX(IF(AH1092&gt;0,IF('FA Addition'!$N1092="SLM",($AF1092-'FA Addition'!$M1092)*'FA Addition'!$P1092*AH1092/365,IFERROR(VDB(AF1092,AF1092*0.05,'FA Addition'!$O1092,0,YEARFRAC('FA Addition'!$C1092,$L$1,3),'FA Addition'!$Q1092),FAAddition[[#This Row],[Original Cost (Rs)]]-FAAddition[[#This Row],[Salvage Value]])),0),0)</f>
        <v>0</v>
      </c>
      <c r="AO1092" s="117">
        <f t="shared" si="83"/>
        <v>0</v>
      </c>
      <c r="AQ1092" s="117">
        <f t="shared" ref="AQ1092:AQ1155" si="86">AE1092-AL1092</f>
        <v>0</v>
      </c>
      <c r="AR1092" s="120">
        <f t="shared" ref="AR1092:AR1155" si="87">AF1092-AN1092</f>
        <v>0</v>
      </c>
      <c r="AS1092" s="121"/>
    </row>
    <row r="1093" spans="1:45" ht="13.5" x14ac:dyDescent="0.4">
      <c r="A1093" s="12">
        <f t="shared" si="84"/>
        <v>1090</v>
      </c>
      <c r="B1093" s="64" t="s">
        <v>1758</v>
      </c>
      <c r="C1093" s="54">
        <v>45454</v>
      </c>
      <c r="D1093" s="54">
        <v>45454</v>
      </c>
      <c r="E1093" s="46" t="s">
        <v>1320</v>
      </c>
      <c r="F1093" s="51" t="s">
        <v>33</v>
      </c>
      <c r="G1093" s="51" t="s">
        <v>36</v>
      </c>
      <c r="H1093" s="51" t="s">
        <v>32</v>
      </c>
      <c r="I1093" s="55" t="s">
        <v>1861</v>
      </c>
      <c r="J1093" s="56">
        <v>1000</v>
      </c>
      <c r="K1093" s="51" t="s">
        <v>296</v>
      </c>
      <c r="L1093" s="58">
        <v>1650000</v>
      </c>
      <c r="M1093" s="50">
        <f>ROUND('FA Addition'!$L1093*5%,0.1)</f>
        <v>82500</v>
      </c>
      <c r="N1093" s="113" t="str">
        <f>_xlfn.XLOOKUP(_xlfn.CONCAT(E1093,B1093),'Year Wise Master Dep Approach'!F:F,'Year Wise Master Dep Approach'!D:D)</f>
        <v>SLM</v>
      </c>
      <c r="O1093" s="113">
        <f>_xlfn.XLOOKUP(_xlfn.CONCAT(E1093,B1093),'Year Wise Master Dep Approach'!F:F,'Year Wise Master Dep Approach'!E:E)</f>
        <v>5</v>
      </c>
      <c r="P1093" s="114">
        <f>IFERROR(IF('FA Addition'!$N1093="WDV",1-('FA Addition'!$M1093/'FA Addition'!$L1093)^(1/'FA Addition'!$O1093),1/'FA Addition'!$O1093),0)</f>
        <v>0.2</v>
      </c>
      <c r="Q1093" s="122">
        <f>'FA Addition'!$P1093*'FA Addition'!$O1093</f>
        <v>1</v>
      </c>
      <c r="R1093" s="122"/>
      <c r="S1093" s="116">
        <f>IF(AND(DATE(20&amp;LEFT(FAAddition[[#This Row],[FY]],2),4,1)&lt;$L$1+1,DATE(20&amp;LEFT(FAAddition[[#This Row],[FY]],2),4,1)&gt;$P$1-1),'FA Addition'!$J1093,0)</f>
        <v>0</v>
      </c>
      <c r="U1093" s="117">
        <f>S1093*'FA Addition'!$L1093/'FA Addition'!$J1093</f>
        <v>0</v>
      </c>
      <c r="W1093" s="116">
        <f>SUMIFS('FA Write off'!D:D,'FA Write off'!A:A,'FA Addition'!$A1093,'FA Write off'!C:C,"&lt;"&amp;'FA Addition'!$P$1)</f>
        <v>0</v>
      </c>
      <c r="Y1093" s="191">
        <f>IFERROR(W1093/'FA Addition'!$J1093*'FA Addition'!$L1093,0)</f>
        <v>0</v>
      </c>
      <c r="AA1093" s="116">
        <f>SUMIFS('FA Write off'!D:D,'FA Write off'!A:A,'FA Addition'!$A1093,'FA Write off'!C:C,"&lt;"&amp;'FA Addition'!$L$1+1,'FA Write off'!C:C,"&gt;"&amp;'FA Addition'!$L$1-365)</f>
        <v>0</v>
      </c>
      <c r="AC1093" s="118">
        <f>IFERROR(AA1093/'FA Addition'!$J1093*'FA Addition'!$L1093,0)</f>
        <v>0</v>
      </c>
      <c r="AE1093" s="117">
        <f>IF(AND('FA Addition'!$D1093&lt;$P$1+1,U1093=0),'FA Addition'!$L1093,0)-Y1093</f>
        <v>0</v>
      </c>
      <c r="AF1093" s="117">
        <f t="shared" si="85"/>
        <v>0</v>
      </c>
      <c r="AG1093" s="117">
        <f>MIN(MAX(+$P$1-'FA Addition'!$D1093,0),365*'FA Addition'!$O1093)</f>
        <v>0</v>
      </c>
      <c r="AH1093" s="117">
        <f>MIN(MAX($L$1-'FA Addition'!$D1093+1,0),365*'FA Addition'!$O1093)</f>
        <v>0</v>
      </c>
      <c r="AI1093" s="117" cm="1">
        <f t="array" ref="AI1093">_xlfn.XLOOKUP(1,('FA Write off'!A:A='FA Addition'!$A1093)*('FA Write off'!D:D=AA1093),'FA Write off'!H:H,0,0)</f>
        <v>0</v>
      </c>
      <c r="AJ1093" s="117">
        <f>IF(AC1093&gt;0,MAX(IF('FA Addition'!$N1093="SLM",($AC1093-'FA Addition'!$M1093)*'FA Addition'!$P1093*AI1093/365,(AC1093-'FA Addition'!$M1093)*(1-(1-'FA Addition'!$P1093)^(AI1093/365))),0),0)</f>
        <v>0</v>
      </c>
      <c r="AL1093" s="117">
        <f>MAX(IF(AG1093&gt;0,IF('FA Addition'!$N1093="SLM",($AE1093-'FA Addition'!$M1093)*'FA Addition'!$P1093*AG1093/365,IFERROR(VDB(AE1093,AE1093*0.05,'FA Addition'!$O1093,0,YEARFRAC('FA Addition'!$C1093,$P$1-1,3),'FA Addition'!$Q1093),FAAddition[[#This Row],[Original Cost (Rs)]]-FAAddition[[#This Row],[Salvage Value]])),0),0)</f>
        <v>0</v>
      </c>
      <c r="AM1093" s="119"/>
      <c r="AN1093" s="117">
        <f>MAX(IF(AH1093&gt;0,IF('FA Addition'!$N1093="SLM",($AF1093-'FA Addition'!$M1093)*'FA Addition'!$P1093*AH1093/365,IFERROR(VDB(AF1093,AF1093*0.05,'FA Addition'!$O1093,0,YEARFRAC('FA Addition'!$C1093,$L$1,3),'FA Addition'!$Q1093),FAAddition[[#This Row],[Original Cost (Rs)]]-FAAddition[[#This Row],[Salvage Value]])),0),0)</f>
        <v>0</v>
      </c>
      <c r="AO1093" s="117">
        <f t="shared" ref="AO1093:AO1156" si="88">AN1093-AL1093+AJ1093</f>
        <v>0</v>
      </c>
      <c r="AQ1093" s="117">
        <f t="shared" si="86"/>
        <v>0</v>
      </c>
      <c r="AR1093" s="120">
        <f t="shared" si="87"/>
        <v>0</v>
      </c>
      <c r="AS1093" s="121"/>
    </row>
    <row r="1094" spans="1:45" ht="13.5" x14ac:dyDescent="0.4">
      <c r="A1094" s="12">
        <f t="shared" ref="A1094:A1157" si="89">A1093+1</f>
        <v>1091</v>
      </c>
      <c r="B1094" s="64" t="s">
        <v>1758</v>
      </c>
      <c r="C1094" s="54">
        <v>45455</v>
      </c>
      <c r="D1094" s="54">
        <v>45455</v>
      </c>
      <c r="E1094" s="46" t="s">
        <v>1320</v>
      </c>
      <c r="F1094" s="51" t="s">
        <v>33</v>
      </c>
      <c r="G1094" s="51" t="s">
        <v>34</v>
      </c>
      <c r="H1094" s="51" t="s">
        <v>32</v>
      </c>
      <c r="I1094" s="55" t="s">
        <v>1862</v>
      </c>
      <c r="J1094" s="56">
        <v>1260</v>
      </c>
      <c r="K1094" s="51" t="s">
        <v>295</v>
      </c>
      <c r="L1094" s="58">
        <v>2305800</v>
      </c>
      <c r="M1094" s="50">
        <f>ROUND('FA Addition'!$L1094*5%,0.1)</f>
        <v>115290</v>
      </c>
      <c r="N1094" s="113" t="str">
        <f>_xlfn.XLOOKUP(_xlfn.CONCAT(E1094,B1094),'Year Wise Master Dep Approach'!F:F,'Year Wise Master Dep Approach'!D:D)</f>
        <v>SLM</v>
      </c>
      <c r="O1094" s="113">
        <f>_xlfn.XLOOKUP(_xlfn.CONCAT(E1094,B1094),'Year Wise Master Dep Approach'!F:F,'Year Wise Master Dep Approach'!E:E)</f>
        <v>5</v>
      </c>
      <c r="P1094" s="114">
        <f>IFERROR(IF('FA Addition'!$N1094="WDV",1-('FA Addition'!$M1094/'FA Addition'!$L1094)^(1/'FA Addition'!$O1094),1/'FA Addition'!$O1094),0)</f>
        <v>0.2</v>
      </c>
      <c r="Q1094" s="122">
        <f>'FA Addition'!$P1094*'FA Addition'!$O1094</f>
        <v>1</v>
      </c>
      <c r="R1094" s="122"/>
      <c r="S1094" s="116">
        <f>IF(AND(DATE(20&amp;LEFT(FAAddition[[#This Row],[FY]],2),4,1)&lt;$L$1+1,DATE(20&amp;LEFT(FAAddition[[#This Row],[FY]],2),4,1)&gt;$P$1-1),'FA Addition'!$J1094,0)</f>
        <v>0</v>
      </c>
      <c r="U1094" s="117">
        <f>S1094*'FA Addition'!$L1094/'FA Addition'!$J1094</f>
        <v>0</v>
      </c>
      <c r="W1094" s="116">
        <f>SUMIFS('FA Write off'!D:D,'FA Write off'!A:A,'FA Addition'!$A1094,'FA Write off'!C:C,"&lt;"&amp;'FA Addition'!$P$1)</f>
        <v>0</v>
      </c>
      <c r="Y1094" s="191">
        <f>IFERROR(W1094/'FA Addition'!$J1094*'FA Addition'!$L1094,0)</f>
        <v>0</v>
      </c>
      <c r="AA1094" s="116">
        <f>SUMIFS('FA Write off'!D:D,'FA Write off'!A:A,'FA Addition'!$A1094,'FA Write off'!C:C,"&lt;"&amp;'FA Addition'!$L$1+1,'FA Write off'!C:C,"&gt;"&amp;'FA Addition'!$L$1-365)</f>
        <v>0</v>
      </c>
      <c r="AC1094" s="118">
        <f>IFERROR(AA1094/'FA Addition'!$J1094*'FA Addition'!$L1094,0)</f>
        <v>0</v>
      </c>
      <c r="AE1094" s="117">
        <f>IF(AND('FA Addition'!$D1094&lt;$P$1+1,U1094=0),'FA Addition'!$L1094,0)-Y1094</f>
        <v>0</v>
      </c>
      <c r="AF1094" s="117">
        <f t="shared" si="85"/>
        <v>0</v>
      </c>
      <c r="AG1094" s="117">
        <f>MIN(MAX(+$P$1-'FA Addition'!$D1094,0),365*'FA Addition'!$O1094)</f>
        <v>0</v>
      </c>
      <c r="AH1094" s="117">
        <f>MIN(MAX($L$1-'FA Addition'!$D1094+1,0),365*'FA Addition'!$O1094)</f>
        <v>0</v>
      </c>
      <c r="AI1094" s="117" cm="1">
        <f t="array" ref="AI1094">_xlfn.XLOOKUP(1,('FA Write off'!A:A='FA Addition'!$A1094)*('FA Write off'!D:D=AA1094),'FA Write off'!H:H,0,0)</f>
        <v>0</v>
      </c>
      <c r="AJ1094" s="117">
        <f>IF(AC1094&gt;0,MAX(IF('FA Addition'!$N1094="SLM",($AC1094-'FA Addition'!$M1094)*'FA Addition'!$P1094*AI1094/365,(AC1094-'FA Addition'!$M1094)*(1-(1-'FA Addition'!$P1094)^(AI1094/365))),0),0)</f>
        <v>0</v>
      </c>
      <c r="AL1094" s="117">
        <f>MAX(IF(AG1094&gt;0,IF('FA Addition'!$N1094="SLM",($AE1094-'FA Addition'!$M1094)*'FA Addition'!$P1094*AG1094/365,IFERROR(VDB(AE1094,AE1094*0.05,'FA Addition'!$O1094,0,YEARFRAC('FA Addition'!$C1094,$P$1-1,3),'FA Addition'!$Q1094),FAAddition[[#This Row],[Original Cost (Rs)]]-FAAddition[[#This Row],[Salvage Value]])),0),0)</f>
        <v>0</v>
      </c>
      <c r="AM1094" s="119"/>
      <c r="AN1094" s="117">
        <f>MAX(IF(AH1094&gt;0,IF('FA Addition'!$N1094="SLM",($AF1094-'FA Addition'!$M1094)*'FA Addition'!$P1094*AH1094/365,IFERROR(VDB(AF1094,AF1094*0.05,'FA Addition'!$O1094,0,YEARFRAC('FA Addition'!$C1094,$L$1,3),'FA Addition'!$Q1094),FAAddition[[#This Row],[Original Cost (Rs)]]-FAAddition[[#This Row],[Salvage Value]])),0),0)</f>
        <v>0</v>
      </c>
      <c r="AO1094" s="117">
        <f t="shared" si="88"/>
        <v>0</v>
      </c>
      <c r="AQ1094" s="117">
        <f t="shared" si="86"/>
        <v>0</v>
      </c>
      <c r="AR1094" s="120">
        <f t="shared" si="87"/>
        <v>0</v>
      </c>
      <c r="AS1094" s="121"/>
    </row>
    <row r="1095" spans="1:45" ht="13.5" x14ac:dyDescent="0.4">
      <c r="A1095" s="12">
        <f t="shared" si="89"/>
        <v>1092</v>
      </c>
      <c r="B1095" s="64" t="s">
        <v>1758</v>
      </c>
      <c r="C1095" s="54">
        <v>45456</v>
      </c>
      <c r="D1095" s="54">
        <v>45456</v>
      </c>
      <c r="E1095" s="46" t="s">
        <v>451</v>
      </c>
      <c r="F1095" s="51" t="s">
        <v>19</v>
      </c>
      <c r="G1095" s="51" t="s">
        <v>1728</v>
      </c>
      <c r="H1095" s="51" t="s">
        <v>21</v>
      </c>
      <c r="I1095" s="55" t="s">
        <v>1863</v>
      </c>
      <c r="J1095" s="56">
        <v>1</v>
      </c>
      <c r="K1095" s="51" t="s">
        <v>1864</v>
      </c>
      <c r="L1095" s="58">
        <v>60593</v>
      </c>
      <c r="M1095" s="50">
        <f>ROUND('FA Addition'!$L1095*5%,0.1)</f>
        <v>3030</v>
      </c>
      <c r="N1095" s="113" t="str">
        <f>_xlfn.XLOOKUP(_xlfn.CONCAT(E1095,B1095),'Year Wise Master Dep Approach'!F:F,'Year Wise Master Dep Approach'!D:D)</f>
        <v>WDV</v>
      </c>
      <c r="O1095" s="113">
        <f>_xlfn.XLOOKUP(_xlfn.CONCAT(E1095,B1095),'Year Wise Master Dep Approach'!F:F,'Year Wise Master Dep Approach'!E:E)</f>
        <v>3</v>
      </c>
      <c r="P1095" s="114">
        <f>IFERROR(IF('FA Addition'!$N1095="WDV",1-('FA Addition'!$M1095/'FA Addition'!$L1095)^(1/'FA Addition'!$O1095),1/'FA Addition'!$O1095),0)</f>
        <v>0.63158266410374986</v>
      </c>
      <c r="Q1095" s="122">
        <f>'FA Addition'!$P1095*'FA Addition'!$O1095</f>
        <v>1.8947479923112496</v>
      </c>
      <c r="R1095" s="122"/>
      <c r="S1095" s="116">
        <f>IF(AND(DATE(20&amp;LEFT(FAAddition[[#This Row],[FY]],2),4,1)&lt;$L$1+1,DATE(20&amp;LEFT(FAAddition[[#This Row],[FY]],2),4,1)&gt;$P$1-1),'FA Addition'!$J1095,0)</f>
        <v>0</v>
      </c>
      <c r="U1095" s="117">
        <f>S1095*'FA Addition'!$L1095/'FA Addition'!$J1095</f>
        <v>0</v>
      </c>
      <c r="W1095" s="116">
        <f>SUMIFS('FA Write off'!D:D,'FA Write off'!A:A,'FA Addition'!$A1095,'FA Write off'!C:C,"&lt;"&amp;'FA Addition'!$P$1)</f>
        <v>0</v>
      </c>
      <c r="Y1095" s="191">
        <f>IFERROR(W1095/'FA Addition'!$J1095*'FA Addition'!$L1095,0)</f>
        <v>0</v>
      </c>
      <c r="AA1095" s="116">
        <f>SUMIFS('FA Write off'!D:D,'FA Write off'!A:A,'FA Addition'!$A1095,'FA Write off'!C:C,"&lt;"&amp;'FA Addition'!$L$1+1,'FA Write off'!C:C,"&gt;"&amp;'FA Addition'!$L$1-365)</f>
        <v>0</v>
      </c>
      <c r="AC1095" s="118">
        <f>IFERROR(AA1095/'FA Addition'!$J1095*'FA Addition'!$L1095,0)</f>
        <v>0</v>
      </c>
      <c r="AE1095" s="117">
        <f>IF(AND('FA Addition'!$D1095&lt;$P$1+1,U1095=0),'FA Addition'!$L1095,0)-Y1095</f>
        <v>0</v>
      </c>
      <c r="AF1095" s="117">
        <f t="shared" si="85"/>
        <v>0</v>
      </c>
      <c r="AG1095" s="117">
        <f>MIN(MAX(+$P$1-'FA Addition'!$D1095,0),365*'FA Addition'!$O1095)</f>
        <v>0</v>
      </c>
      <c r="AH1095" s="117">
        <f>MIN(MAX($L$1-'FA Addition'!$D1095+1,0),365*'FA Addition'!$O1095)</f>
        <v>0</v>
      </c>
      <c r="AI1095" s="117" cm="1">
        <f t="array" ref="AI1095">_xlfn.XLOOKUP(1,('FA Write off'!A:A='FA Addition'!$A1095)*('FA Write off'!D:D=AA1095),'FA Write off'!H:H,0,0)</f>
        <v>0</v>
      </c>
      <c r="AJ1095" s="117">
        <f>IF(AC1095&gt;0,MAX(IF('FA Addition'!$N1095="SLM",($AC1095-'FA Addition'!$M1095)*'FA Addition'!$P1095*AI1095/365,(AC1095-'FA Addition'!$M1095)*(1-(1-'FA Addition'!$P1095)^(AI1095/365))),0),0)</f>
        <v>0</v>
      </c>
      <c r="AL1095" s="117">
        <f>MAX(IF(AG1095&gt;0,IF('FA Addition'!$N1095="SLM",($AE1095-'FA Addition'!$M1095)*'FA Addition'!$P1095*AG1095/365,IFERROR(VDB(AE1095,AE1095*0.05,'FA Addition'!$O1095,0,YEARFRAC('FA Addition'!$C1095,$P$1-1,3),'FA Addition'!$Q1095),FAAddition[[#This Row],[Original Cost (Rs)]]-FAAddition[[#This Row],[Salvage Value]])),0),0)</f>
        <v>0</v>
      </c>
      <c r="AM1095" s="119"/>
      <c r="AN1095" s="117">
        <f>MAX(IF(AH1095&gt;0,IF('FA Addition'!$N1095="SLM",($AF1095-'FA Addition'!$M1095)*'FA Addition'!$P1095*AH1095/365,IFERROR(VDB(AF1095,AF1095*0.05,'FA Addition'!$O1095,0,YEARFRAC('FA Addition'!$C1095,$L$1,3),'FA Addition'!$Q1095),FAAddition[[#This Row],[Original Cost (Rs)]]-FAAddition[[#This Row],[Salvage Value]])),0),0)</f>
        <v>0</v>
      </c>
      <c r="AO1095" s="117">
        <f t="shared" si="88"/>
        <v>0</v>
      </c>
      <c r="AQ1095" s="117">
        <f t="shared" si="86"/>
        <v>0</v>
      </c>
      <c r="AR1095" s="120">
        <f t="shared" si="87"/>
        <v>0</v>
      </c>
      <c r="AS1095" s="121"/>
    </row>
    <row r="1096" spans="1:45" ht="13.5" x14ac:dyDescent="0.4">
      <c r="A1096" s="12">
        <f t="shared" si="89"/>
        <v>1093</v>
      </c>
      <c r="B1096" s="64" t="s">
        <v>1758</v>
      </c>
      <c r="C1096" s="54">
        <v>45456</v>
      </c>
      <c r="D1096" s="54">
        <v>45456</v>
      </c>
      <c r="E1096" s="46" t="s">
        <v>451</v>
      </c>
      <c r="F1096" s="51" t="s">
        <v>19</v>
      </c>
      <c r="G1096" s="51" t="s">
        <v>1728</v>
      </c>
      <c r="H1096" s="51" t="s">
        <v>21</v>
      </c>
      <c r="I1096" s="55" t="s">
        <v>1863</v>
      </c>
      <c r="J1096" s="56">
        <v>1</v>
      </c>
      <c r="K1096" s="51" t="s">
        <v>1864</v>
      </c>
      <c r="L1096" s="58">
        <v>60593</v>
      </c>
      <c r="M1096" s="50">
        <f>ROUND('FA Addition'!$L1096*5%,0.1)</f>
        <v>3030</v>
      </c>
      <c r="N1096" s="113" t="str">
        <f>_xlfn.XLOOKUP(_xlfn.CONCAT(E1096,B1096),'Year Wise Master Dep Approach'!F:F,'Year Wise Master Dep Approach'!D:D)</f>
        <v>WDV</v>
      </c>
      <c r="O1096" s="113">
        <f>_xlfn.XLOOKUP(_xlfn.CONCAT(E1096,B1096),'Year Wise Master Dep Approach'!F:F,'Year Wise Master Dep Approach'!E:E)</f>
        <v>3</v>
      </c>
      <c r="P1096" s="114">
        <f>IFERROR(IF('FA Addition'!$N1096="WDV",1-('FA Addition'!$M1096/'FA Addition'!$L1096)^(1/'FA Addition'!$O1096),1/'FA Addition'!$O1096),0)</f>
        <v>0.63158266410374986</v>
      </c>
      <c r="Q1096" s="122">
        <f>'FA Addition'!$P1096*'FA Addition'!$O1096</f>
        <v>1.8947479923112496</v>
      </c>
      <c r="R1096" s="122"/>
      <c r="S1096" s="116">
        <f>IF(AND(DATE(20&amp;LEFT(FAAddition[[#This Row],[FY]],2),4,1)&lt;$L$1+1,DATE(20&amp;LEFT(FAAddition[[#This Row],[FY]],2),4,1)&gt;$P$1-1),'FA Addition'!$J1096,0)</f>
        <v>0</v>
      </c>
      <c r="U1096" s="117">
        <f>S1096*'FA Addition'!$L1096/'FA Addition'!$J1096</f>
        <v>0</v>
      </c>
      <c r="W1096" s="116">
        <f>SUMIFS('FA Write off'!D:D,'FA Write off'!A:A,'FA Addition'!$A1096,'FA Write off'!C:C,"&lt;"&amp;'FA Addition'!$P$1)</f>
        <v>0</v>
      </c>
      <c r="Y1096" s="191">
        <f>IFERROR(W1096/'FA Addition'!$J1096*'FA Addition'!$L1096,0)</f>
        <v>0</v>
      </c>
      <c r="AA1096" s="116">
        <f>SUMIFS('FA Write off'!D:D,'FA Write off'!A:A,'FA Addition'!$A1096,'FA Write off'!C:C,"&lt;"&amp;'FA Addition'!$L$1+1,'FA Write off'!C:C,"&gt;"&amp;'FA Addition'!$L$1-365)</f>
        <v>0</v>
      </c>
      <c r="AC1096" s="118">
        <f>IFERROR(AA1096/'FA Addition'!$J1096*'FA Addition'!$L1096,0)</f>
        <v>0</v>
      </c>
      <c r="AE1096" s="117">
        <f>IF(AND('FA Addition'!$D1096&lt;$P$1+1,U1096=0),'FA Addition'!$L1096,0)-Y1096</f>
        <v>0</v>
      </c>
      <c r="AF1096" s="117">
        <f t="shared" si="85"/>
        <v>0</v>
      </c>
      <c r="AG1096" s="117">
        <f>MIN(MAX(+$P$1-'FA Addition'!$D1096,0),365*'FA Addition'!$O1096)</f>
        <v>0</v>
      </c>
      <c r="AH1096" s="117">
        <f>MIN(MAX($L$1-'FA Addition'!$D1096+1,0),365*'FA Addition'!$O1096)</f>
        <v>0</v>
      </c>
      <c r="AI1096" s="117" cm="1">
        <f t="array" ref="AI1096">_xlfn.XLOOKUP(1,('FA Write off'!A:A='FA Addition'!$A1096)*('FA Write off'!D:D=AA1096),'FA Write off'!H:H,0,0)</f>
        <v>0</v>
      </c>
      <c r="AJ1096" s="117">
        <f>IF(AC1096&gt;0,MAX(IF('FA Addition'!$N1096="SLM",($AC1096-'FA Addition'!$M1096)*'FA Addition'!$P1096*AI1096/365,(AC1096-'FA Addition'!$M1096)*(1-(1-'FA Addition'!$P1096)^(AI1096/365))),0),0)</f>
        <v>0</v>
      </c>
      <c r="AL1096" s="117">
        <f>MAX(IF(AG1096&gt;0,IF('FA Addition'!$N1096="SLM",($AE1096-'FA Addition'!$M1096)*'FA Addition'!$P1096*AG1096/365,IFERROR(VDB(AE1096,AE1096*0.05,'FA Addition'!$O1096,0,YEARFRAC('FA Addition'!$C1096,$P$1-1,3),'FA Addition'!$Q1096),FAAddition[[#This Row],[Original Cost (Rs)]]-FAAddition[[#This Row],[Salvage Value]])),0),0)</f>
        <v>0</v>
      </c>
      <c r="AM1096" s="119"/>
      <c r="AN1096" s="117">
        <f>MAX(IF(AH1096&gt;0,IF('FA Addition'!$N1096="SLM",($AF1096-'FA Addition'!$M1096)*'FA Addition'!$P1096*AH1096/365,IFERROR(VDB(AF1096,AF1096*0.05,'FA Addition'!$O1096,0,YEARFRAC('FA Addition'!$C1096,$L$1,3),'FA Addition'!$Q1096),FAAddition[[#This Row],[Original Cost (Rs)]]-FAAddition[[#This Row],[Salvage Value]])),0),0)</f>
        <v>0</v>
      </c>
      <c r="AO1096" s="117">
        <f t="shared" si="88"/>
        <v>0</v>
      </c>
      <c r="AQ1096" s="117">
        <f t="shared" si="86"/>
        <v>0</v>
      </c>
      <c r="AR1096" s="120">
        <f t="shared" si="87"/>
        <v>0</v>
      </c>
      <c r="AS1096" s="121"/>
    </row>
    <row r="1097" spans="1:45" ht="13.5" x14ac:dyDescent="0.4">
      <c r="A1097" s="12">
        <f t="shared" si="89"/>
        <v>1094</v>
      </c>
      <c r="B1097" s="64" t="s">
        <v>1758</v>
      </c>
      <c r="C1097" s="54">
        <v>45456</v>
      </c>
      <c r="D1097" s="54">
        <v>45456</v>
      </c>
      <c r="E1097" s="46" t="s">
        <v>451</v>
      </c>
      <c r="F1097" s="51" t="s">
        <v>19</v>
      </c>
      <c r="G1097" s="51" t="s">
        <v>1728</v>
      </c>
      <c r="H1097" s="51" t="s">
        <v>21</v>
      </c>
      <c r="I1097" s="55" t="s">
        <v>1863</v>
      </c>
      <c r="J1097" s="56">
        <v>1</v>
      </c>
      <c r="K1097" s="51" t="s">
        <v>1864</v>
      </c>
      <c r="L1097" s="58">
        <v>60593</v>
      </c>
      <c r="M1097" s="50">
        <f>ROUND('FA Addition'!$L1097*5%,0.1)</f>
        <v>3030</v>
      </c>
      <c r="N1097" s="113" t="str">
        <f>_xlfn.XLOOKUP(_xlfn.CONCAT(E1097,B1097),'Year Wise Master Dep Approach'!F:F,'Year Wise Master Dep Approach'!D:D)</f>
        <v>WDV</v>
      </c>
      <c r="O1097" s="113">
        <f>_xlfn.XLOOKUP(_xlfn.CONCAT(E1097,B1097),'Year Wise Master Dep Approach'!F:F,'Year Wise Master Dep Approach'!E:E)</f>
        <v>3</v>
      </c>
      <c r="P1097" s="114">
        <f>IFERROR(IF('FA Addition'!$N1097="WDV",1-('FA Addition'!$M1097/'FA Addition'!$L1097)^(1/'FA Addition'!$O1097),1/'FA Addition'!$O1097),0)</f>
        <v>0.63158266410374986</v>
      </c>
      <c r="Q1097" s="122">
        <f>'FA Addition'!$P1097*'FA Addition'!$O1097</f>
        <v>1.8947479923112496</v>
      </c>
      <c r="R1097" s="122"/>
      <c r="S1097" s="116">
        <f>IF(AND(DATE(20&amp;LEFT(FAAddition[[#This Row],[FY]],2),4,1)&lt;$L$1+1,DATE(20&amp;LEFT(FAAddition[[#This Row],[FY]],2),4,1)&gt;$P$1-1),'FA Addition'!$J1097,0)</f>
        <v>0</v>
      </c>
      <c r="U1097" s="117">
        <f>S1097*'FA Addition'!$L1097/'FA Addition'!$J1097</f>
        <v>0</v>
      </c>
      <c r="W1097" s="116">
        <f>SUMIFS('FA Write off'!D:D,'FA Write off'!A:A,'FA Addition'!$A1097,'FA Write off'!C:C,"&lt;"&amp;'FA Addition'!$P$1)</f>
        <v>0</v>
      </c>
      <c r="Y1097" s="191">
        <f>IFERROR(W1097/'FA Addition'!$J1097*'FA Addition'!$L1097,0)</f>
        <v>0</v>
      </c>
      <c r="AA1097" s="116">
        <f>SUMIFS('FA Write off'!D:D,'FA Write off'!A:A,'FA Addition'!$A1097,'FA Write off'!C:C,"&lt;"&amp;'FA Addition'!$L$1+1,'FA Write off'!C:C,"&gt;"&amp;'FA Addition'!$L$1-365)</f>
        <v>0</v>
      </c>
      <c r="AC1097" s="118">
        <f>IFERROR(AA1097/'FA Addition'!$J1097*'FA Addition'!$L1097,0)</f>
        <v>0</v>
      </c>
      <c r="AE1097" s="117">
        <f>IF(AND('FA Addition'!$D1097&lt;$P$1+1,U1097=0),'FA Addition'!$L1097,0)-Y1097</f>
        <v>0</v>
      </c>
      <c r="AF1097" s="117">
        <f t="shared" si="85"/>
        <v>0</v>
      </c>
      <c r="AG1097" s="117">
        <f>MIN(MAX(+$P$1-'FA Addition'!$D1097,0),365*'FA Addition'!$O1097)</f>
        <v>0</v>
      </c>
      <c r="AH1097" s="117">
        <f>MIN(MAX($L$1-'FA Addition'!$D1097+1,0),365*'FA Addition'!$O1097)</f>
        <v>0</v>
      </c>
      <c r="AI1097" s="117" cm="1">
        <f t="array" ref="AI1097">_xlfn.XLOOKUP(1,('FA Write off'!A:A='FA Addition'!$A1097)*('FA Write off'!D:D=AA1097),'FA Write off'!H:H,0,0)</f>
        <v>0</v>
      </c>
      <c r="AJ1097" s="117">
        <f>IF(AC1097&gt;0,MAX(IF('FA Addition'!$N1097="SLM",($AC1097-'FA Addition'!$M1097)*'FA Addition'!$P1097*AI1097/365,(AC1097-'FA Addition'!$M1097)*(1-(1-'FA Addition'!$P1097)^(AI1097/365))),0),0)</f>
        <v>0</v>
      </c>
      <c r="AL1097" s="117">
        <f>MAX(IF(AG1097&gt;0,IF('FA Addition'!$N1097="SLM",($AE1097-'FA Addition'!$M1097)*'FA Addition'!$P1097*AG1097/365,IFERROR(VDB(AE1097,AE1097*0.05,'FA Addition'!$O1097,0,YEARFRAC('FA Addition'!$C1097,$P$1-1,3),'FA Addition'!$Q1097),FAAddition[[#This Row],[Original Cost (Rs)]]-FAAddition[[#This Row],[Salvage Value]])),0),0)</f>
        <v>0</v>
      </c>
      <c r="AM1097" s="119"/>
      <c r="AN1097" s="117">
        <f>MAX(IF(AH1097&gt;0,IF('FA Addition'!$N1097="SLM",($AF1097-'FA Addition'!$M1097)*'FA Addition'!$P1097*AH1097/365,IFERROR(VDB(AF1097,AF1097*0.05,'FA Addition'!$O1097,0,YEARFRAC('FA Addition'!$C1097,$L$1,3),'FA Addition'!$Q1097),FAAddition[[#This Row],[Original Cost (Rs)]]-FAAddition[[#This Row],[Salvage Value]])),0),0)</f>
        <v>0</v>
      </c>
      <c r="AO1097" s="117">
        <f t="shared" si="88"/>
        <v>0</v>
      </c>
      <c r="AQ1097" s="117">
        <f t="shared" si="86"/>
        <v>0</v>
      </c>
      <c r="AR1097" s="120">
        <f t="shared" si="87"/>
        <v>0</v>
      </c>
      <c r="AS1097" s="121"/>
    </row>
    <row r="1098" spans="1:45" ht="13.5" x14ac:dyDescent="0.4">
      <c r="A1098" s="12">
        <f t="shared" si="89"/>
        <v>1095</v>
      </c>
      <c r="B1098" s="64" t="s">
        <v>1758</v>
      </c>
      <c r="C1098" s="54">
        <v>45456</v>
      </c>
      <c r="D1098" s="54">
        <v>45456</v>
      </c>
      <c r="E1098" s="46" t="s">
        <v>451</v>
      </c>
      <c r="F1098" s="51" t="s">
        <v>19</v>
      </c>
      <c r="G1098" s="51" t="s">
        <v>1728</v>
      </c>
      <c r="H1098" s="51" t="s">
        <v>21</v>
      </c>
      <c r="I1098" s="55" t="s">
        <v>1863</v>
      </c>
      <c r="J1098" s="56">
        <v>1</v>
      </c>
      <c r="K1098" s="51" t="s">
        <v>1865</v>
      </c>
      <c r="L1098" s="58">
        <v>61685</v>
      </c>
      <c r="M1098" s="50">
        <f>ROUND('FA Addition'!$L1098*5%,0.1)</f>
        <v>3084</v>
      </c>
      <c r="N1098" s="113" t="str">
        <f>_xlfn.XLOOKUP(_xlfn.CONCAT(E1098,B1098),'Year Wise Master Dep Approach'!F:F,'Year Wise Master Dep Approach'!D:D)</f>
        <v>WDV</v>
      </c>
      <c r="O1098" s="113">
        <f>_xlfn.XLOOKUP(_xlfn.CONCAT(E1098,B1098),'Year Wise Master Dep Approach'!F:F,'Year Wise Master Dep Approach'!E:E)</f>
        <v>3</v>
      </c>
      <c r="P1098" s="114">
        <f>IFERROR(IF('FA Addition'!$N1098="WDV",1-('FA Addition'!$M1098/'FA Addition'!$L1098)^(1/'FA Addition'!$O1098),1/'FA Addition'!$O1098),0)</f>
        <v>0.63160680428754312</v>
      </c>
      <c r="Q1098" s="122">
        <f>'FA Addition'!$P1098*'FA Addition'!$O1098</f>
        <v>1.8948204128626294</v>
      </c>
      <c r="R1098" s="122"/>
      <c r="S1098" s="116">
        <f>IF(AND(DATE(20&amp;LEFT(FAAddition[[#This Row],[FY]],2),4,1)&lt;$L$1+1,DATE(20&amp;LEFT(FAAddition[[#This Row],[FY]],2),4,1)&gt;$P$1-1),'FA Addition'!$J1098,0)</f>
        <v>0</v>
      </c>
      <c r="U1098" s="117">
        <f>S1098*'FA Addition'!$L1098/'FA Addition'!$J1098</f>
        <v>0</v>
      </c>
      <c r="W1098" s="116">
        <f>SUMIFS('FA Write off'!D:D,'FA Write off'!A:A,'FA Addition'!$A1098,'FA Write off'!C:C,"&lt;"&amp;'FA Addition'!$P$1)</f>
        <v>0</v>
      </c>
      <c r="Y1098" s="191">
        <f>IFERROR(W1098/'FA Addition'!$J1098*'FA Addition'!$L1098,0)</f>
        <v>0</v>
      </c>
      <c r="AA1098" s="116">
        <f>SUMIFS('FA Write off'!D:D,'FA Write off'!A:A,'FA Addition'!$A1098,'FA Write off'!C:C,"&lt;"&amp;'FA Addition'!$L$1+1,'FA Write off'!C:C,"&gt;"&amp;'FA Addition'!$L$1-365)</f>
        <v>0</v>
      </c>
      <c r="AC1098" s="118">
        <f>IFERROR(AA1098/'FA Addition'!$J1098*'FA Addition'!$L1098,0)</f>
        <v>0</v>
      </c>
      <c r="AE1098" s="117">
        <f>IF(AND('FA Addition'!$D1098&lt;$P$1+1,U1098=0),'FA Addition'!$L1098,0)-Y1098</f>
        <v>0</v>
      </c>
      <c r="AF1098" s="117">
        <f t="shared" si="85"/>
        <v>0</v>
      </c>
      <c r="AG1098" s="117">
        <f>MIN(MAX(+$P$1-'FA Addition'!$D1098,0),365*'FA Addition'!$O1098)</f>
        <v>0</v>
      </c>
      <c r="AH1098" s="117">
        <f>MIN(MAX($L$1-'FA Addition'!$D1098+1,0),365*'FA Addition'!$O1098)</f>
        <v>0</v>
      </c>
      <c r="AI1098" s="117" cm="1">
        <f t="array" ref="AI1098">_xlfn.XLOOKUP(1,('FA Write off'!A:A='FA Addition'!$A1098)*('FA Write off'!D:D=AA1098),'FA Write off'!H:H,0,0)</f>
        <v>0</v>
      </c>
      <c r="AJ1098" s="117">
        <f>IF(AC1098&gt;0,MAX(IF('FA Addition'!$N1098="SLM",($AC1098-'FA Addition'!$M1098)*'FA Addition'!$P1098*AI1098/365,(AC1098-'FA Addition'!$M1098)*(1-(1-'FA Addition'!$P1098)^(AI1098/365))),0),0)</f>
        <v>0</v>
      </c>
      <c r="AL1098" s="117">
        <f>MAX(IF(AG1098&gt;0,IF('FA Addition'!$N1098="SLM",($AE1098-'FA Addition'!$M1098)*'FA Addition'!$P1098*AG1098/365,IFERROR(VDB(AE1098,AE1098*0.05,'FA Addition'!$O1098,0,YEARFRAC('FA Addition'!$C1098,$P$1-1,3),'FA Addition'!$Q1098),FAAddition[[#This Row],[Original Cost (Rs)]]-FAAddition[[#This Row],[Salvage Value]])),0),0)</f>
        <v>0</v>
      </c>
      <c r="AM1098" s="119"/>
      <c r="AN1098" s="117">
        <f>MAX(IF(AH1098&gt;0,IF('FA Addition'!$N1098="SLM",($AF1098-'FA Addition'!$M1098)*'FA Addition'!$P1098*AH1098/365,IFERROR(VDB(AF1098,AF1098*0.05,'FA Addition'!$O1098,0,YEARFRAC('FA Addition'!$C1098,$L$1,3),'FA Addition'!$Q1098),FAAddition[[#This Row],[Original Cost (Rs)]]-FAAddition[[#This Row],[Salvage Value]])),0),0)</f>
        <v>0</v>
      </c>
      <c r="AO1098" s="117">
        <f t="shared" si="88"/>
        <v>0</v>
      </c>
      <c r="AQ1098" s="117">
        <f t="shared" si="86"/>
        <v>0</v>
      </c>
      <c r="AR1098" s="120">
        <f t="shared" si="87"/>
        <v>0</v>
      </c>
      <c r="AS1098" s="121"/>
    </row>
    <row r="1099" spans="1:45" ht="13.5" x14ac:dyDescent="0.4">
      <c r="A1099" s="12">
        <f t="shared" si="89"/>
        <v>1096</v>
      </c>
      <c r="B1099" s="64" t="s">
        <v>1758</v>
      </c>
      <c r="C1099" s="54">
        <v>45457</v>
      </c>
      <c r="D1099" s="54">
        <v>45457</v>
      </c>
      <c r="E1099" s="46" t="s">
        <v>1320</v>
      </c>
      <c r="F1099" s="51" t="s">
        <v>33</v>
      </c>
      <c r="G1099" s="51" t="s">
        <v>36</v>
      </c>
      <c r="H1099" s="51" t="s">
        <v>32</v>
      </c>
      <c r="I1099" s="55" t="s">
        <v>1866</v>
      </c>
      <c r="J1099" s="56">
        <v>1000</v>
      </c>
      <c r="K1099" s="51" t="s">
        <v>296</v>
      </c>
      <c r="L1099" s="58">
        <v>1650000</v>
      </c>
      <c r="M1099" s="50">
        <f>ROUND('FA Addition'!$L1099*5%,0.1)</f>
        <v>82500</v>
      </c>
      <c r="N1099" s="113" t="str">
        <f>_xlfn.XLOOKUP(_xlfn.CONCAT(E1099,B1099),'Year Wise Master Dep Approach'!F:F,'Year Wise Master Dep Approach'!D:D)</f>
        <v>SLM</v>
      </c>
      <c r="O1099" s="113">
        <f>_xlfn.XLOOKUP(_xlfn.CONCAT(E1099,B1099),'Year Wise Master Dep Approach'!F:F,'Year Wise Master Dep Approach'!E:E)</f>
        <v>5</v>
      </c>
      <c r="P1099" s="114">
        <f>IFERROR(IF('FA Addition'!$N1099="WDV",1-('FA Addition'!$M1099/'FA Addition'!$L1099)^(1/'FA Addition'!$O1099),1/'FA Addition'!$O1099),0)</f>
        <v>0.2</v>
      </c>
      <c r="Q1099" s="122">
        <f>'FA Addition'!$P1099*'FA Addition'!$O1099</f>
        <v>1</v>
      </c>
      <c r="R1099" s="122"/>
      <c r="S1099" s="116">
        <f>IF(AND(DATE(20&amp;LEFT(FAAddition[[#This Row],[FY]],2),4,1)&lt;$L$1+1,DATE(20&amp;LEFT(FAAddition[[#This Row],[FY]],2),4,1)&gt;$P$1-1),'FA Addition'!$J1099,0)</f>
        <v>0</v>
      </c>
      <c r="U1099" s="117">
        <f>S1099*'FA Addition'!$L1099/'FA Addition'!$J1099</f>
        <v>0</v>
      </c>
      <c r="W1099" s="116">
        <f>SUMIFS('FA Write off'!D:D,'FA Write off'!A:A,'FA Addition'!$A1099,'FA Write off'!C:C,"&lt;"&amp;'FA Addition'!$P$1)</f>
        <v>0</v>
      </c>
      <c r="Y1099" s="191">
        <f>IFERROR(W1099/'FA Addition'!$J1099*'FA Addition'!$L1099,0)</f>
        <v>0</v>
      </c>
      <c r="AA1099" s="116">
        <f>SUMIFS('FA Write off'!D:D,'FA Write off'!A:A,'FA Addition'!$A1099,'FA Write off'!C:C,"&lt;"&amp;'FA Addition'!$L$1+1,'FA Write off'!C:C,"&gt;"&amp;'FA Addition'!$L$1-365)</f>
        <v>0</v>
      </c>
      <c r="AC1099" s="118">
        <f>IFERROR(AA1099/'FA Addition'!$J1099*'FA Addition'!$L1099,0)</f>
        <v>0</v>
      </c>
      <c r="AE1099" s="117">
        <f>IF(AND('FA Addition'!$D1099&lt;$P$1+1,U1099=0),'FA Addition'!$L1099,0)-Y1099</f>
        <v>0</v>
      </c>
      <c r="AF1099" s="117">
        <f t="shared" si="85"/>
        <v>0</v>
      </c>
      <c r="AG1099" s="117">
        <f>MIN(MAX(+$P$1-'FA Addition'!$D1099,0),365*'FA Addition'!$O1099)</f>
        <v>0</v>
      </c>
      <c r="AH1099" s="117">
        <f>MIN(MAX($L$1-'FA Addition'!$D1099+1,0),365*'FA Addition'!$O1099)</f>
        <v>0</v>
      </c>
      <c r="AI1099" s="117" cm="1">
        <f t="array" ref="AI1099">_xlfn.XLOOKUP(1,('FA Write off'!A:A='FA Addition'!$A1099)*('FA Write off'!D:D=AA1099),'FA Write off'!H:H,0,0)</f>
        <v>0</v>
      </c>
      <c r="AJ1099" s="117">
        <f>IF(AC1099&gt;0,MAX(IF('FA Addition'!$N1099="SLM",($AC1099-'FA Addition'!$M1099)*'FA Addition'!$P1099*AI1099/365,(AC1099-'FA Addition'!$M1099)*(1-(1-'FA Addition'!$P1099)^(AI1099/365))),0),0)</f>
        <v>0</v>
      </c>
      <c r="AL1099" s="117">
        <f>MAX(IF(AG1099&gt;0,IF('FA Addition'!$N1099="SLM",($AE1099-'FA Addition'!$M1099)*'FA Addition'!$P1099*AG1099/365,IFERROR(VDB(AE1099,AE1099*0.05,'FA Addition'!$O1099,0,YEARFRAC('FA Addition'!$C1099,$P$1-1,3),'FA Addition'!$Q1099),FAAddition[[#This Row],[Original Cost (Rs)]]-FAAddition[[#This Row],[Salvage Value]])),0),0)</f>
        <v>0</v>
      </c>
      <c r="AM1099" s="119"/>
      <c r="AN1099" s="117">
        <f>MAX(IF(AH1099&gt;0,IF('FA Addition'!$N1099="SLM",($AF1099-'FA Addition'!$M1099)*'FA Addition'!$P1099*AH1099/365,IFERROR(VDB(AF1099,AF1099*0.05,'FA Addition'!$O1099,0,YEARFRAC('FA Addition'!$C1099,$L$1,3),'FA Addition'!$Q1099),FAAddition[[#This Row],[Original Cost (Rs)]]-FAAddition[[#This Row],[Salvage Value]])),0),0)</f>
        <v>0</v>
      </c>
      <c r="AO1099" s="117">
        <f t="shared" si="88"/>
        <v>0</v>
      </c>
      <c r="AQ1099" s="117">
        <f t="shared" si="86"/>
        <v>0</v>
      </c>
      <c r="AR1099" s="120">
        <f t="shared" si="87"/>
        <v>0</v>
      </c>
      <c r="AS1099" s="121"/>
    </row>
    <row r="1100" spans="1:45" ht="13.5" x14ac:dyDescent="0.4">
      <c r="A1100" s="12">
        <f t="shared" si="89"/>
        <v>1097</v>
      </c>
      <c r="B1100" s="64" t="s">
        <v>1758</v>
      </c>
      <c r="C1100" s="54">
        <v>45460</v>
      </c>
      <c r="D1100" s="54">
        <v>45460</v>
      </c>
      <c r="E1100" s="46" t="s">
        <v>1320</v>
      </c>
      <c r="F1100" s="51" t="s">
        <v>33</v>
      </c>
      <c r="G1100" s="51" t="s">
        <v>34</v>
      </c>
      <c r="H1100" s="51" t="s">
        <v>32</v>
      </c>
      <c r="I1100" s="55" t="s">
        <v>1867</v>
      </c>
      <c r="J1100" s="56">
        <v>240</v>
      </c>
      <c r="K1100" s="51" t="s">
        <v>295</v>
      </c>
      <c r="L1100" s="58">
        <v>439200</v>
      </c>
      <c r="M1100" s="50">
        <f>ROUND('FA Addition'!$L1100*5%,0.1)</f>
        <v>21960</v>
      </c>
      <c r="N1100" s="113" t="str">
        <f>_xlfn.XLOOKUP(_xlfn.CONCAT(E1100,B1100),'Year Wise Master Dep Approach'!F:F,'Year Wise Master Dep Approach'!D:D)</f>
        <v>SLM</v>
      </c>
      <c r="O1100" s="113">
        <f>_xlfn.XLOOKUP(_xlfn.CONCAT(E1100,B1100),'Year Wise Master Dep Approach'!F:F,'Year Wise Master Dep Approach'!E:E)</f>
        <v>5</v>
      </c>
      <c r="P1100" s="114">
        <f>IFERROR(IF('FA Addition'!$N1100="WDV",1-('FA Addition'!$M1100/'FA Addition'!$L1100)^(1/'FA Addition'!$O1100),1/'FA Addition'!$O1100),0)</f>
        <v>0.2</v>
      </c>
      <c r="Q1100" s="122">
        <f>'FA Addition'!$P1100*'FA Addition'!$O1100</f>
        <v>1</v>
      </c>
      <c r="R1100" s="122"/>
      <c r="S1100" s="116">
        <f>IF(AND(DATE(20&amp;LEFT(FAAddition[[#This Row],[FY]],2),4,1)&lt;$L$1+1,DATE(20&amp;LEFT(FAAddition[[#This Row],[FY]],2),4,1)&gt;$P$1-1),'FA Addition'!$J1100,0)</f>
        <v>0</v>
      </c>
      <c r="U1100" s="117">
        <f>S1100*'FA Addition'!$L1100/'FA Addition'!$J1100</f>
        <v>0</v>
      </c>
      <c r="W1100" s="116">
        <f>SUMIFS('FA Write off'!D:D,'FA Write off'!A:A,'FA Addition'!$A1100,'FA Write off'!C:C,"&lt;"&amp;'FA Addition'!$P$1)</f>
        <v>0</v>
      </c>
      <c r="Y1100" s="191">
        <f>IFERROR(W1100/'FA Addition'!$J1100*'FA Addition'!$L1100,0)</f>
        <v>0</v>
      </c>
      <c r="AA1100" s="116">
        <f>SUMIFS('FA Write off'!D:D,'FA Write off'!A:A,'FA Addition'!$A1100,'FA Write off'!C:C,"&lt;"&amp;'FA Addition'!$L$1+1,'FA Write off'!C:C,"&gt;"&amp;'FA Addition'!$L$1-365)</f>
        <v>0</v>
      </c>
      <c r="AC1100" s="118">
        <f>IFERROR(AA1100/'FA Addition'!$J1100*'FA Addition'!$L1100,0)</f>
        <v>0</v>
      </c>
      <c r="AE1100" s="117">
        <f>IF(AND('FA Addition'!$D1100&lt;$P$1+1,U1100=0),'FA Addition'!$L1100,0)-Y1100</f>
        <v>0</v>
      </c>
      <c r="AF1100" s="117">
        <f t="shared" si="85"/>
        <v>0</v>
      </c>
      <c r="AG1100" s="117">
        <f>MIN(MAX(+$P$1-'FA Addition'!$D1100,0),365*'FA Addition'!$O1100)</f>
        <v>0</v>
      </c>
      <c r="AH1100" s="117">
        <f>MIN(MAX($L$1-'FA Addition'!$D1100+1,0),365*'FA Addition'!$O1100)</f>
        <v>0</v>
      </c>
      <c r="AI1100" s="117" cm="1">
        <f t="array" ref="AI1100">_xlfn.XLOOKUP(1,('FA Write off'!A:A='FA Addition'!$A1100)*('FA Write off'!D:D=AA1100),'FA Write off'!H:H,0,0)</f>
        <v>0</v>
      </c>
      <c r="AJ1100" s="117">
        <f>IF(AC1100&gt;0,MAX(IF('FA Addition'!$N1100="SLM",($AC1100-'FA Addition'!$M1100)*'FA Addition'!$P1100*AI1100/365,(AC1100-'FA Addition'!$M1100)*(1-(1-'FA Addition'!$P1100)^(AI1100/365))),0),0)</f>
        <v>0</v>
      </c>
      <c r="AL1100" s="117">
        <f>MAX(IF(AG1100&gt;0,IF('FA Addition'!$N1100="SLM",($AE1100-'FA Addition'!$M1100)*'FA Addition'!$P1100*AG1100/365,IFERROR(VDB(AE1100,AE1100*0.05,'FA Addition'!$O1100,0,YEARFRAC('FA Addition'!$C1100,$P$1-1,3),'FA Addition'!$Q1100),FAAddition[[#This Row],[Original Cost (Rs)]]-FAAddition[[#This Row],[Salvage Value]])),0),0)</f>
        <v>0</v>
      </c>
      <c r="AM1100" s="119"/>
      <c r="AN1100" s="117">
        <f>MAX(IF(AH1100&gt;0,IF('FA Addition'!$N1100="SLM",($AF1100-'FA Addition'!$M1100)*'FA Addition'!$P1100*AH1100/365,IFERROR(VDB(AF1100,AF1100*0.05,'FA Addition'!$O1100,0,YEARFRAC('FA Addition'!$C1100,$L$1,3),'FA Addition'!$Q1100),FAAddition[[#This Row],[Original Cost (Rs)]]-FAAddition[[#This Row],[Salvage Value]])),0),0)</f>
        <v>0</v>
      </c>
      <c r="AO1100" s="117">
        <f t="shared" si="88"/>
        <v>0</v>
      </c>
      <c r="AQ1100" s="117">
        <f t="shared" si="86"/>
        <v>0</v>
      </c>
      <c r="AR1100" s="120">
        <f t="shared" si="87"/>
        <v>0</v>
      </c>
      <c r="AS1100" s="121"/>
    </row>
    <row r="1101" spans="1:45" ht="13.5" x14ac:dyDescent="0.4">
      <c r="A1101" s="12">
        <f t="shared" si="89"/>
        <v>1098</v>
      </c>
      <c r="B1101" s="64" t="s">
        <v>1758</v>
      </c>
      <c r="C1101" s="54">
        <v>45460</v>
      </c>
      <c r="D1101" s="54">
        <v>45460</v>
      </c>
      <c r="E1101" s="46" t="s">
        <v>1320</v>
      </c>
      <c r="F1101" s="51" t="s">
        <v>33</v>
      </c>
      <c r="G1101" s="51" t="s">
        <v>36</v>
      </c>
      <c r="H1101" s="51" t="s">
        <v>32</v>
      </c>
      <c r="I1101" s="55" t="s">
        <v>1868</v>
      </c>
      <c r="J1101" s="56">
        <v>1000</v>
      </c>
      <c r="K1101" s="51" t="s">
        <v>296</v>
      </c>
      <c r="L1101" s="58">
        <v>1650000</v>
      </c>
      <c r="M1101" s="50">
        <f>ROUND('FA Addition'!$L1101*5%,0.1)</f>
        <v>82500</v>
      </c>
      <c r="N1101" s="113" t="str">
        <f>_xlfn.XLOOKUP(_xlfn.CONCAT(E1101,B1101),'Year Wise Master Dep Approach'!F:F,'Year Wise Master Dep Approach'!D:D)</f>
        <v>SLM</v>
      </c>
      <c r="O1101" s="113">
        <f>_xlfn.XLOOKUP(_xlfn.CONCAT(E1101,B1101),'Year Wise Master Dep Approach'!F:F,'Year Wise Master Dep Approach'!E:E)</f>
        <v>5</v>
      </c>
      <c r="P1101" s="114">
        <f>IFERROR(IF('FA Addition'!$N1101="WDV",1-('FA Addition'!$M1101/'FA Addition'!$L1101)^(1/'FA Addition'!$O1101),1/'FA Addition'!$O1101),0)</f>
        <v>0.2</v>
      </c>
      <c r="Q1101" s="122">
        <f>'FA Addition'!$P1101*'FA Addition'!$O1101</f>
        <v>1</v>
      </c>
      <c r="R1101" s="122"/>
      <c r="S1101" s="116">
        <f>IF(AND(DATE(20&amp;LEFT(FAAddition[[#This Row],[FY]],2),4,1)&lt;$L$1+1,DATE(20&amp;LEFT(FAAddition[[#This Row],[FY]],2),4,1)&gt;$P$1-1),'FA Addition'!$J1101,0)</f>
        <v>0</v>
      </c>
      <c r="U1101" s="117">
        <f>S1101*'FA Addition'!$L1101/'FA Addition'!$J1101</f>
        <v>0</v>
      </c>
      <c r="W1101" s="116">
        <f>SUMIFS('FA Write off'!D:D,'FA Write off'!A:A,'FA Addition'!$A1101,'FA Write off'!C:C,"&lt;"&amp;'FA Addition'!$P$1)</f>
        <v>0</v>
      </c>
      <c r="Y1101" s="191">
        <f>IFERROR(W1101/'FA Addition'!$J1101*'FA Addition'!$L1101,0)</f>
        <v>0</v>
      </c>
      <c r="AA1101" s="116">
        <f>SUMIFS('FA Write off'!D:D,'FA Write off'!A:A,'FA Addition'!$A1101,'FA Write off'!C:C,"&lt;"&amp;'FA Addition'!$L$1+1,'FA Write off'!C:C,"&gt;"&amp;'FA Addition'!$L$1-365)</f>
        <v>0</v>
      </c>
      <c r="AC1101" s="118">
        <f>IFERROR(AA1101/'FA Addition'!$J1101*'FA Addition'!$L1101,0)</f>
        <v>0</v>
      </c>
      <c r="AE1101" s="117">
        <f>IF(AND('FA Addition'!$D1101&lt;$P$1+1,U1101=0),'FA Addition'!$L1101,0)-Y1101</f>
        <v>0</v>
      </c>
      <c r="AF1101" s="117">
        <f t="shared" si="85"/>
        <v>0</v>
      </c>
      <c r="AG1101" s="117">
        <f>MIN(MAX(+$P$1-'FA Addition'!$D1101,0),365*'FA Addition'!$O1101)</f>
        <v>0</v>
      </c>
      <c r="AH1101" s="117">
        <f>MIN(MAX($L$1-'FA Addition'!$D1101+1,0),365*'FA Addition'!$O1101)</f>
        <v>0</v>
      </c>
      <c r="AI1101" s="117" cm="1">
        <f t="array" ref="AI1101">_xlfn.XLOOKUP(1,('FA Write off'!A:A='FA Addition'!$A1101)*('FA Write off'!D:D=AA1101),'FA Write off'!H:H,0,0)</f>
        <v>0</v>
      </c>
      <c r="AJ1101" s="117">
        <f>IF(AC1101&gt;0,MAX(IF('FA Addition'!$N1101="SLM",($AC1101-'FA Addition'!$M1101)*'FA Addition'!$P1101*AI1101/365,(AC1101-'FA Addition'!$M1101)*(1-(1-'FA Addition'!$P1101)^(AI1101/365))),0),0)</f>
        <v>0</v>
      </c>
      <c r="AL1101" s="117">
        <f>MAX(IF(AG1101&gt;0,IF('FA Addition'!$N1101="SLM",($AE1101-'FA Addition'!$M1101)*'FA Addition'!$P1101*AG1101/365,IFERROR(VDB(AE1101,AE1101*0.05,'FA Addition'!$O1101,0,YEARFRAC('FA Addition'!$C1101,$P$1-1,3),'FA Addition'!$Q1101),FAAddition[[#This Row],[Original Cost (Rs)]]-FAAddition[[#This Row],[Salvage Value]])),0),0)</f>
        <v>0</v>
      </c>
      <c r="AM1101" s="119"/>
      <c r="AN1101" s="117">
        <f>MAX(IF(AH1101&gt;0,IF('FA Addition'!$N1101="SLM",($AF1101-'FA Addition'!$M1101)*'FA Addition'!$P1101*AH1101/365,IFERROR(VDB(AF1101,AF1101*0.05,'FA Addition'!$O1101,0,YEARFRAC('FA Addition'!$C1101,$L$1,3),'FA Addition'!$Q1101),FAAddition[[#This Row],[Original Cost (Rs)]]-FAAddition[[#This Row],[Salvage Value]])),0),0)</f>
        <v>0</v>
      </c>
      <c r="AO1101" s="117">
        <f t="shared" si="88"/>
        <v>0</v>
      </c>
      <c r="AQ1101" s="117">
        <f t="shared" si="86"/>
        <v>0</v>
      </c>
      <c r="AR1101" s="120">
        <f t="shared" si="87"/>
        <v>0</v>
      </c>
      <c r="AS1101" s="121"/>
    </row>
    <row r="1102" spans="1:45" ht="13.5" x14ac:dyDescent="0.4">
      <c r="A1102" s="12">
        <f t="shared" si="89"/>
        <v>1099</v>
      </c>
      <c r="B1102" s="64" t="s">
        <v>1758</v>
      </c>
      <c r="C1102" s="54">
        <v>45461</v>
      </c>
      <c r="D1102" s="54">
        <v>45461</v>
      </c>
      <c r="E1102" s="46" t="s">
        <v>1320</v>
      </c>
      <c r="F1102" s="51" t="s">
        <v>33</v>
      </c>
      <c r="G1102" s="51" t="s">
        <v>36</v>
      </c>
      <c r="H1102" s="51" t="s">
        <v>32</v>
      </c>
      <c r="I1102" s="55" t="s">
        <v>1869</v>
      </c>
      <c r="J1102" s="56">
        <v>1000</v>
      </c>
      <c r="K1102" s="51" t="s">
        <v>296</v>
      </c>
      <c r="L1102" s="58">
        <v>1650000</v>
      </c>
      <c r="M1102" s="50">
        <f>ROUND('FA Addition'!$L1102*5%,0.1)</f>
        <v>82500</v>
      </c>
      <c r="N1102" s="113" t="str">
        <f>_xlfn.XLOOKUP(_xlfn.CONCAT(E1102,B1102),'Year Wise Master Dep Approach'!F:F,'Year Wise Master Dep Approach'!D:D)</f>
        <v>SLM</v>
      </c>
      <c r="O1102" s="113">
        <f>_xlfn.XLOOKUP(_xlfn.CONCAT(E1102,B1102),'Year Wise Master Dep Approach'!F:F,'Year Wise Master Dep Approach'!E:E)</f>
        <v>5</v>
      </c>
      <c r="P1102" s="114">
        <f>IFERROR(IF('FA Addition'!$N1102="WDV",1-('FA Addition'!$M1102/'FA Addition'!$L1102)^(1/'FA Addition'!$O1102),1/'FA Addition'!$O1102),0)</f>
        <v>0.2</v>
      </c>
      <c r="Q1102" s="122">
        <f>'FA Addition'!$P1102*'FA Addition'!$O1102</f>
        <v>1</v>
      </c>
      <c r="R1102" s="122"/>
      <c r="S1102" s="116">
        <f>IF(AND(DATE(20&amp;LEFT(FAAddition[[#This Row],[FY]],2),4,1)&lt;$L$1+1,DATE(20&amp;LEFT(FAAddition[[#This Row],[FY]],2),4,1)&gt;$P$1-1),'FA Addition'!$J1102,0)</f>
        <v>0</v>
      </c>
      <c r="U1102" s="117">
        <f>S1102*'FA Addition'!$L1102/'FA Addition'!$J1102</f>
        <v>0</v>
      </c>
      <c r="W1102" s="116">
        <f>SUMIFS('FA Write off'!D:D,'FA Write off'!A:A,'FA Addition'!$A1102,'FA Write off'!C:C,"&lt;"&amp;'FA Addition'!$P$1)</f>
        <v>0</v>
      </c>
      <c r="Y1102" s="191">
        <f>IFERROR(W1102/'FA Addition'!$J1102*'FA Addition'!$L1102,0)</f>
        <v>0</v>
      </c>
      <c r="AA1102" s="116">
        <f>SUMIFS('FA Write off'!D:D,'FA Write off'!A:A,'FA Addition'!$A1102,'FA Write off'!C:C,"&lt;"&amp;'FA Addition'!$L$1+1,'FA Write off'!C:C,"&gt;"&amp;'FA Addition'!$L$1-365)</f>
        <v>0</v>
      </c>
      <c r="AC1102" s="118">
        <f>IFERROR(AA1102/'FA Addition'!$J1102*'FA Addition'!$L1102,0)</f>
        <v>0</v>
      </c>
      <c r="AE1102" s="117">
        <f>IF(AND('FA Addition'!$D1102&lt;$P$1+1,U1102=0),'FA Addition'!$L1102,0)-Y1102</f>
        <v>0</v>
      </c>
      <c r="AF1102" s="117">
        <f t="shared" si="85"/>
        <v>0</v>
      </c>
      <c r="AG1102" s="117">
        <f>MIN(MAX(+$P$1-'FA Addition'!$D1102,0),365*'FA Addition'!$O1102)</f>
        <v>0</v>
      </c>
      <c r="AH1102" s="117">
        <f>MIN(MAX($L$1-'FA Addition'!$D1102+1,0),365*'FA Addition'!$O1102)</f>
        <v>0</v>
      </c>
      <c r="AI1102" s="117" cm="1">
        <f t="array" ref="AI1102">_xlfn.XLOOKUP(1,('FA Write off'!A:A='FA Addition'!$A1102)*('FA Write off'!D:D=AA1102),'FA Write off'!H:H,0,0)</f>
        <v>0</v>
      </c>
      <c r="AJ1102" s="117">
        <f>IF(AC1102&gt;0,MAX(IF('FA Addition'!$N1102="SLM",($AC1102-'FA Addition'!$M1102)*'FA Addition'!$P1102*AI1102/365,(AC1102-'FA Addition'!$M1102)*(1-(1-'FA Addition'!$P1102)^(AI1102/365))),0),0)</f>
        <v>0</v>
      </c>
      <c r="AL1102" s="117">
        <f>MAX(IF(AG1102&gt;0,IF('FA Addition'!$N1102="SLM",($AE1102-'FA Addition'!$M1102)*'FA Addition'!$P1102*AG1102/365,IFERROR(VDB(AE1102,AE1102*0.05,'FA Addition'!$O1102,0,YEARFRAC('FA Addition'!$C1102,$P$1-1,3),'FA Addition'!$Q1102),FAAddition[[#This Row],[Original Cost (Rs)]]-FAAddition[[#This Row],[Salvage Value]])),0),0)</f>
        <v>0</v>
      </c>
      <c r="AM1102" s="119"/>
      <c r="AN1102" s="117">
        <f>MAX(IF(AH1102&gt;0,IF('FA Addition'!$N1102="SLM",($AF1102-'FA Addition'!$M1102)*'FA Addition'!$P1102*AH1102/365,IFERROR(VDB(AF1102,AF1102*0.05,'FA Addition'!$O1102,0,YEARFRAC('FA Addition'!$C1102,$L$1,3),'FA Addition'!$Q1102),FAAddition[[#This Row],[Original Cost (Rs)]]-FAAddition[[#This Row],[Salvage Value]])),0),0)</f>
        <v>0</v>
      </c>
      <c r="AO1102" s="117">
        <f t="shared" si="88"/>
        <v>0</v>
      </c>
      <c r="AQ1102" s="117">
        <f t="shared" si="86"/>
        <v>0</v>
      </c>
      <c r="AR1102" s="120">
        <f t="shared" si="87"/>
        <v>0</v>
      </c>
      <c r="AS1102" s="121"/>
    </row>
    <row r="1103" spans="1:45" ht="13.5" x14ac:dyDescent="0.4">
      <c r="A1103" s="12">
        <f t="shared" si="89"/>
        <v>1100</v>
      </c>
      <c r="B1103" s="64" t="s">
        <v>1758</v>
      </c>
      <c r="C1103" s="54">
        <v>45463</v>
      </c>
      <c r="D1103" s="54">
        <v>45463</v>
      </c>
      <c r="E1103" s="46" t="s">
        <v>207</v>
      </c>
      <c r="F1103" s="51" t="s">
        <v>1372</v>
      </c>
      <c r="G1103" s="51" t="s">
        <v>1419</v>
      </c>
      <c r="H1103" s="51" t="s">
        <v>207</v>
      </c>
      <c r="I1103" s="55" t="s">
        <v>1870</v>
      </c>
      <c r="J1103" s="56">
        <v>1</v>
      </c>
      <c r="K1103" s="51" t="s">
        <v>1871</v>
      </c>
      <c r="L1103" s="58">
        <v>8897.4599999999991</v>
      </c>
      <c r="M1103" s="50">
        <f>ROUND('FA Addition'!$L1103*5%,0.1)</f>
        <v>445</v>
      </c>
      <c r="N1103" s="113" t="str">
        <f>_xlfn.XLOOKUP(_xlfn.CONCAT(E1103,B1103),'Year Wise Master Dep Approach'!F:F,'Year Wise Master Dep Approach'!D:D)</f>
        <v>WDV</v>
      </c>
      <c r="O1103" s="113">
        <f>_xlfn.XLOOKUP(_xlfn.CONCAT(E1103,B1103),'Year Wise Master Dep Approach'!F:F,'Year Wise Master Dep Approach'!E:E)</f>
        <v>5</v>
      </c>
      <c r="P1103" s="114">
        <f>IFERROR(IF('FA Addition'!$N1103="WDV",1-('FA Addition'!$M1103/'FA Addition'!$L1103)^(1/'FA Addition'!$O1103),1/'FA Addition'!$O1103),0)</f>
        <v>0.45068837079989388</v>
      </c>
      <c r="Q1103" s="122">
        <f>'FA Addition'!$P1103*'FA Addition'!$O1103</f>
        <v>2.2534418539994694</v>
      </c>
      <c r="R1103" s="122"/>
      <c r="S1103" s="116">
        <f>IF(AND(DATE(20&amp;LEFT(FAAddition[[#This Row],[FY]],2),4,1)&lt;$L$1+1,DATE(20&amp;LEFT(FAAddition[[#This Row],[FY]],2),4,1)&gt;$P$1-1),'FA Addition'!$J1103,0)</f>
        <v>0</v>
      </c>
      <c r="U1103" s="117">
        <f>S1103*'FA Addition'!$L1103/'FA Addition'!$J1103</f>
        <v>0</v>
      </c>
      <c r="W1103" s="116">
        <f>SUMIFS('FA Write off'!D:D,'FA Write off'!A:A,'FA Addition'!$A1103,'FA Write off'!C:C,"&lt;"&amp;'FA Addition'!$P$1)</f>
        <v>0</v>
      </c>
      <c r="Y1103" s="191">
        <f>IFERROR(W1103/'FA Addition'!$J1103*'FA Addition'!$L1103,0)</f>
        <v>0</v>
      </c>
      <c r="AA1103" s="116">
        <f>SUMIFS('FA Write off'!D:D,'FA Write off'!A:A,'FA Addition'!$A1103,'FA Write off'!C:C,"&lt;"&amp;'FA Addition'!$L$1+1,'FA Write off'!C:C,"&gt;"&amp;'FA Addition'!$L$1-365)</f>
        <v>0</v>
      </c>
      <c r="AC1103" s="118">
        <f>IFERROR(AA1103/'FA Addition'!$J1103*'FA Addition'!$L1103,0)</f>
        <v>0</v>
      </c>
      <c r="AE1103" s="117">
        <f>IF(AND('FA Addition'!$D1103&lt;$P$1+1,U1103=0),'FA Addition'!$L1103,0)-Y1103</f>
        <v>0</v>
      </c>
      <c r="AF1103" s="117">
        <f t="shared" si="85"/>
        <v>0</v>
      </c>
      <c r="AG1103" s="117">
        <f>MIN(MAX(+$P$1-'FA Addition'!$D1103,0),365*'FA Addition'!$O1103)</f>
        <v>0</v>
      </c>
      <c r="AH1103" s="117">
        <f>MIN(MAX($L$1-'FA Addition'!$D1103+1,0),365*'FA Addition'!$O1103)</f>
        <v>0</v>
      </c>
      <c r="AI1103" s="117" cm="1">
        <f t="array" ref="AI1103">_xlfn.XLOOKUP(1,('FA Write off'!A:A='FA Addition'!$A1103)*('FA Write off'!D:D=AA1103),'FA Write off'!H:H,0,0)</f>
        <v>0</v>
      </c>
      <c r="AJ1103" s="117">
        <f>IF(AC1103&gt;0,MAX(IF('FA Addition'!$N1103="SLM",($AC1103-'FA Addition'!$M1103)*'FA Addition'!$P1103*AI1103/365,(AC1103-'FA Addition'!$M1103)*(1-(1-'FA Addition'!$P1103)^(AI1103/365))),0),0)</f>
        <v>0</v>
      </c>
      <c r="AL1103" s="117">
        <f>MAX(IF(AG1103&gt;0,IF('FA Addition'!$N1103="SLM",($AE1103-'FA Addition'!$M1103)*'FA Addition'!$P1103*AG1103/365,IFERROR(VDB(AE1103,AE1103*0.05,'FA Addition'!$O1103,0,YEARFRAC('FA Addition'!$C1103,$P$1-1,3),'FA Addition'!$Q1103),FAAddition[[#This Row],[Original Cost (Rs)]]-FAAddition[[#This Row],[Salvage Value]])),0),0)</f>
        <v>0</v>
      </c>
      <c r="AM1103" s="119"/>
      <c r="AN1103" s="117">
        <f>MAX(IF(AH1103&gt;0,IF('FA Addition'!$N1103="SLM",($AF1103-'FA Addition'!$M1103)*'FA Addition'!$P1103*AH1103/365,IFERROR(VDB(AF1103,AF1103*0.05,'FA Addition'!$O1103,0,YEARFRAC('FA Addition'!$C1103,$L$1,3),'FA Addition'!$Q1103),FAAddition[[#This Row],[Original Cost (Rs)]]-FAAddition[[#This Row],[Salvage Value]])),0),0)</f>
        <v>0</v>
      </c>
      <c r="AO1103" s="117">
        <f t="shared" si="88"/>
        <v>0</v>
      </c>
      <c r="AQ1103" s="117">
        <f t="shared" si="86"/>
        <v>0</v>
      </c>
      <c r="AR1103" s="120">
        <f t="shared" si="87"/>
        <v>0</v>
      </c>
      <c r="AS1103" s="121"/>
    </row>
    <row r="1104" spans="1:45" ht="13.5" x14ac:dyDescent="0.4">
      <c r="A1104" s="12">
        <f t="shared" si="89"/>
        <v>1101</v>
      </c>
      <c r="B1104" s="64" t="s">
        <v>1758</v>
      </c>
      <c r="C1104" s="54">
        <v>45469</v>
      </c>
      <c r="D1104" s="54">
        <v>45469</v>
      </c>
      <c r="E1104" s="46" t="s">
        <v>1320</v>
      </c>
      <c r="F1104" s="51" t="s">
        <v>33</v>
      </c>
      <c r="G1104" s="51" t="s">
        <v>36</v>
      </c>
      <c r="H1104" s="51" t="s">
        <v>32</v>
      </c>
      <c r="I1104" s="55" t="s">
        <v>1872</v>
      </c>
      <c r="J1104" s="56">
        <v>1000</v>
      </c>
      <c r="K1104" s="51" t="s">
        <v>296</v>
      </c>
      <c r="L1104" s="58">
        <v>1650000</v>
      </c>
      <c r="M1104" s="50">
        <f>ROUND('FA Addition'!$L1104*5%,0.1)</f>
        <v>82500</v>
      </c>
      <c r="N1104" s="113" t="str">
        <f>_xlfn.XLOOKUP(_xlfn.CONCAT(E1104,B1104),'Year Wise Master Dep Approach'!F:F,'Year Wise Master Dep Approach'!D:D)</f>
        <v>SLM</v>
      </c>
      <c r="O1104" s="113">
        <f>_xlfn.XLOOKUP(_xlfn.CONCAT(E1104,B1104),'Year Wise Master Dep Approach'!F:F,'Year Wise Master Dep Approach'!E:E)</f>
        <v>5</v>
      </c>
      <c r="P1104" s="114">
        <f>IFERROR(IF('FA Addition'!$N1104="WDV",1-('FA Addition'!$M1104/'FA Addition'!$L1104)^(1/'FA Addition'!$O1104),1/'FA Addition'!$O1104),0)</f>
        <v>0.2</v>
      </c>
      <c r="Q1104" s="122">
        <f>'FA Addition'!$P1104*'FA Addition'!$O1104</f>
        <v>1</v>
      </c>
      <c r="R1104" s="122"/>
      <c r="S1104" s="116">
        <f>IF(AND(DATE(20&amp;LEFT(FAAddition[[#This Row],[FY]],2),4,1)&lt;$L$1+1,DATE(20&amp;LEFT(FAAddition[[#This Row],[FY]],2),4,1)&gt;$P$1-1),'FA Addition'!$J1104,0)</f>
        <v>0</v>
      </c>
      <c r="U1104" s="117">
        <f>S1104*'FA Addition'!$L1104/'FA Addition'!$J1104</f>
        <v>0</v>
      </c>
      <c r="W1104" s="116">
        <f>SUMIFS('FA Write off'!D:D,'FA Write off'!A:A,'FA Addition'!$A1104,'FA Write off'!C:C,"&lt;"&amp;'FA Addition'!$P$1)</f>
        <v>0</v>
      </c>
      <c r="Y1104" s="191">
        <f>IFERROR(W1104/'FA Addition'!$J1104*'FA Addition'!$L1104,0)</f>
        <v>0</v>
      </c>
      <c r="AA1104" s="116">
        <f>SUMIFS('FA Write off'!D:D,'FA Write off'!A:A,'FA Addition'!$A1104,'FA Write off'!C:C,"&lt;"&amp;'FA Addition'!$L$1+1,'FA Write off'!C:C,"&gt;"&amp;'FA Addition'!$L$1-365)</f>
        <v>0</v>
      </c>
      <c r="AC1104" s="118">
        <f>IFERROR(AA1104/'FA Addition'!$J1104*'FA Addition'!$L1104,0)</f>
        <v>0</v>
      </c>
      <c r="AE1104" s="117">
        <f>IF(AND('FA Addition'!$D1104&lt;$P$1+1,U1104=0),'FA Addition'!$L1104,0)-Y1104</f>
        <v>0</v>
      </c>
      <c r="AF1104" s="117">
        <f t="shared" si="85"/>
        <v>0</v>
      </c>
      <c r="AG1104" s="117">
        <f>MIN(MAX(+$P$1-'FA Addition'!$D1104,0),365*'FA Addition'!$O1104)</f>
        <v>0</v>
      </c>
      <c r="AH1104" s="117">
        <f>MIN(MAX($L$1-'FA Addition'!$D1104+1,0),365*'FA Addition'!$O1104)</f>
        <v>0</v>
      </c>
      <c r="AI1104" s="117" cm="1">
        <f t="array" ref="AI1104">_xlfn.XLOOKUP(1,('FA Write off'!A:A='FA Addition'!$A1104)*('FA Write off'!D:D=AA1104),'FA Write off'!H:H,0,0)</f>
        <v>0</v>
      </c>
      <c r="AJ1104" s="117">
        <f>IF(AC1104&gt;0,MAX(IF('FA Addition'!$N1104="SLM",($AC1104-'FA Addition'!$M1104)*'FA Addition'!$P1104*AI1104/365,(AC1104-'FA Addition'!$M1104)*(1-(1-'FA Addition'!$P1104)^(AI1104/365))),0),0)</f>
        <v>0</v>
      </c>
      <c r="AL1104" s="117">
        <f>MAX(IF(AG1104&gt;0,IF('FA Addition'!$N1104="SLM",($AE1104-'FA Addition'!$M1104)*'FA Addition'!$P1104*AG1104/365,IFERROR(VDB(AE1104,AE1104*0.05,'FA Addition'!$O1104,0,YEARFRAC('FA Addition'!$C1104,$P$1-1,3),'FA Addition'!$Q1104),FAAddition[[#This Row],[Original Cost (Rs)]]-FAAddition[[#This Row],[Salvage Value]])),0),0)</f>
        <v>0</v>
      </c>
      <c r="AM1104" s="119"/>
      <c r="AN1104" s="117">
        <f>MAX(IF(AH1104&gt;0,IF('FA Addition'!$N1104="SLM",($AF1104-'FA Addition'!$M1104)*'FA Addition'!$P1104*AH1104/365,IFERROR(VDB(AF1104,AF1104*0.05,'FA Addition'!$O1104,0,YEARFRAC('FA Addition'!$C1104,$L$1,3),'FA Addition'!$Q1104),FAAddition[[#This Row],[Original Cost (Rs)]]-FAAddition[[#This Row],[Salvage Value]])),0),0)</f>
        <v>0</v>
      </c>
      <c r="AO1104" s="117">
        <f t="shared" si="88"/>
        <v>0</v>
      </c>
      <c r="AQ1104" s="117">
        <f t="shared" si="86"/>
        <v>0</v>
      </c>
      <c r="AR1104" s="120">
        <f t="shared" si="87"/>
        <v>0</v>
      </c>
      <c r="AS1104" s="121"/>
    </row>
    <row r="1105" spans="1:45" ht="13.5" x14ac:dyDescent="0.4">
      <c r="A1105" s="12">
        <f t="shared" si="89"/>
        <v>1102</v>
      </c>
      <c r="B1105" s="64" t="s">
        <v>1758</v>
      </c>
      <c r="C1105" s="54">
        <v>45476</v>
      </c>
      <c r="D1105" s="54">
        <v>45476</v>
      </c>
      <c r="E1105" s="46" t="s">
        <v>1320</v>
      </c>
      <c r="F1105" s="51" t="s">
        <v>33</v>
      </c>
      <c r="G1105" s="51" t="s">
        <v>36</v>
      </c>
      <c r="H1105" s="51" t="s">
        <v>32</v>
      </c>
      <c r="I1105" s="55" t="s">
        <v>1873</v>
      </c>
      <c r="J1105" s="56">
        <v>1</v>
      </c>
      <c r="K1105" s="51" t="s">
        <v>1874</v>
      </c>
      <c r="L1105" s="58">
        <v>18500</v>
      </c>
      <c r="M1105" s="50">
        <f>ROUND('FA Addition'!$L1105*5%,0.1)</f>
        <v>925</v>
      </c>
      <c r="N1105" s="113" t="str">
        <f>_xlfn.XLOOKUP(_xlfn.CONCAT(E1105,B1105),'Year Wise Master Dep Approach'!F:F,'Year Wise Master Dep Approach'!D:D)</f>
        <v>SLM</v>
      </c>
      <c r="O1105" s="113">
        <f>_xlfn.XLOOKUP(_xlfn.CONCAT(E1105,B1105),'Year Wise Master Dep Approach'!F:F,'Year Wise Master Dep Approach'!E:E)</f>
        <v>5</v>
      </c>
      <c r="P1105" s="114">
        <f>IFERROR(IF('FA Addition'!$N1105="WDV",1-('FA Addition'!$M1105/'FA Addition'!$L1105)^(1/'FA Addition'!$O1105),1/'FA Addition'!$O1105),0)</f>
        <v>0.2</v>
      </c>
      <c r="Q1105" s="122">
        <f>'FA Addition'!$P1105*'FA Addition'!$O1105</f>
        <v>1</v>
      </c>
      <c r="R1105" s="122"/>
      <c r="S1105" s="116">
        <f>IF(AND(DATE(20&amp;LEFT(FAAddition[[#This Row],[FY]],2),4,1)&lt;$L$1+1,DATE(20&amp;LEFT(FAAddition[[#This Row],[FY]],2),4,1)&gt;$P$1-1),'FA Addition'!$J1105,0)</f>
        <v>0</v>
      </c>
      <c r="U1105" s="117">
        <f>S1105*'FA Addition'!$L1105/'FA Addition'!$J1105</f>
        <v>0</v>
      </c>
      <c r="W1105" s="116">
        <f>SUMIFS('FA Write off'!D:D,'FA Write off'!A:A,'FA Addition'!$A1105,'FA Write off'!C:C,"&lt;"&amp;'FA Addition'!$P$1)</f>
        <v>0</v>
      </c>
      <c r="Y1105" s="191">
        <f>IFERROR(W1105/'FA Addition'!$J1105*'FA Addition'!$L1105,0)</f>
        <v>0</v>
      </c>
      <c r="AA1105" s="116">
        <f>SUMIFS('FA Write off'!D:D,'FA Write off'!A:A,'FA Addition'!$A1105,'FA Write off'!C:C,"&lt;"&amp;'FA Addition'!$L$1+1,'FA Write off'!C:C,"&gt;"&amp;'FA Addition'!$L$1-365)</f>
        <v>0</v>
      </c>
      <c r="AC1105" s="118">
        <f>IFERROR(AA1105/'FA Addition'!$J1105*'FA Addition'!$L1105,0)</f>
        <v>0</v>
      </c>
      <c r="AE1105" s="117">
        <f>IF(AND('FA Addition'!$D1105&lt;$P$1+1,U1105=0),'FA Addition'!$L1105,0)-Y1105</f>
        <v>0</v>
      </c>
      <c r="AF1105" s="117">
        <f t="shared" si="85"/>
        <v>0</v>
      </c>
      <c r="AG1105" s="117">
        <f>MIN(MAX(+$P$1-'FA Addition'!$D1105,0),365*'FA Addition'!$O1105)</f>
        <v>0</v>
      </c>
      <c r="AH1105" s="117">
        <f>MIN(MAX($L$1-'FA Addition'!$D1105+1,0),365*'FA Addition'!$O1105)</f>
        <v>0</v>
      </c>
      <c r="AI1105" s="117" cm="1">
        <f t="array" ref="AI1105">_xlfn.XLOOKUP(1,('FA Write off'!A:A='FA Addition'!$A1105)*('FA Write off'!D:D=AA1105),'FA Write off'!H:H,0,0)</f>
        <v>0</v>
      </c>
      <c r="AJ1105" s="117">
        <f>IF(AC1105&gt;0,MAX(IF('FA Addition'!$N1105="SLM",($AC1105-'FA Addition'!$M1105)*'FA Addition'!$P1105*AI1105/365,(AC1105-'FA Addition'!$M1105)*(1-(1-'FA Addition'!$P1105)^(AI1105/365))),0),0)</f>
        <v>0</v>
      </c>
      <c r="AL1105" s="117">
        <f>MAX(IF(AG1105&gt;0,IF('FA Addition'!$N1105="SLM",($AE1105-'FA Addition'!$M1105)*'FA Addition'!$P1105*AG1105/365,IFERROR(VDB(AE1105,AE1105*0.05,'FA Addition'!$O1105,0,YEARFRAC('FA Addition'!$C1105,$P$1-1,3),'FA Addition'!$Q1105),FAAddition[[#This Row],[Original Cost (Rs)]]-FAAddition[[#This Row],[Salvage Value]])),0),0)</f>
        <v>0</v>
      </c>
      <c r="AM1105" s="119"/>
      <c r="AN1105" s="117">
        <f>MAX(IF(AH1105&gt;0,IF('FA Addition'!$N1105="SLM",($AF1105-'FA Addition'!$M1105)*'FA Addition'!$P1105*AH1105/365,IFERROR(VDB(AF1105,AF1105*0.05,'FA Addition'!$O1105,0,YEARFRAC('FA Addition'!$C1105,$L$1,3),'FA Addition'!$Q1105),FAAddition[[#This Row],[Original Cost (Rs)]]-FAAddition[[#This Row],[Salvage Value]])),0),0)</f>
        <v>0</v>
      </c>
      <c r="AO1105" s="117">
        <f t="shared" si="88"/>
        <v>0</v>
      </c>
      <c r="AQ1105" s="117">
        <f t="shared" si="86"/>
        <v>0</v>
      </c>
      <c r="AR1105" s="120">
        <f t="shared" si="87"/>
        <v>0</v>
      </c>
      <c r="AS1105" s="121"/>
    </row>
    <row r="1106" spans="1:45" ht="13.5" x14ac:dyDescent="0.4">
      <c r="A1106" s="12">
        <f t="shared" si="89"/>
        <v>1103</v>
      </c>
      <c r="B1106" s="64" t="s">
        <v>1758</v>
      </c>
      <c r="C1106" s="54">
        <v>45478</v>
      </c>
      <c r="D1106" s="54">
        <v>45478</v>
      </c>
      <c r="E1106" s="46" t="s">
        <v>1320</v>
      </c>
      <c r="F1106" s="51" t="s">
        <v>33</v>
      </c>
      <c r="G1106" s="51" t="s">
        <v>36</v>
      </c>
      <c r="H1106" s="51" t="s">
        <v>32</v>
      </c>
      <c r="I1106" s="55" t="s">
        <v>1875</v>
      </c>
      <c r="J1106" s="56">
        <v>1000</v>
      </c>
      <c r="K1106" s="51" t="s">
        <v>296</v>
      </c>
      <c r="L1106" s="58">
        <v>1650000</v>
      </c>
      <c r="M1106" s="50">
        <f>ROUND('FA Addition'!$L1106*5%,0.1)</f>
        <v>82500</v>
      </c>
      <c r="N1106" s="113" t="str">
        <f>_xlfn.XLOOKUP(_xlfn.CONCAT(E1106,B1106),'Year Wise Master Dep Approach'!F:F,'Year Wise Master Dep Approach'!D:D)</f>
        <v>SLM</v>
      </c>
      <c r="O1106" s="113">
        <f>_xlfn.XLOOKUP(_xlfn.CONCAT(E1106,B1106),'Year Wise Master Dep Approach'!F:F,'Year Wise Master Dep Approach'!E:E)</f>
        <v>5</v>
      </c>
      <c r="P1106" s="114">
        <f>IFERROR(IF('FA Addition'!$N1106="WDV",1-('FA Addition'!$M1106/'FA Addition'!$L1106)^(1/'FA Addition'!$O1106),1/'FA Addition'!$O1106),0)</f>
        <v>0.2</v>
      </c>
      <c r="Q1106" s="122">
        <f>'FA Addition'!$P1106*'FA Addition'!$O1106</f>
        <v>1</v>
      </c>
      <c r="R1106" s="122"/>
      <c r="S1106" s="116">
        <f>IF(AND(DATE(20&amp;LEFT(FAAddition[[#This Row],[FY]],2),4,1)&lt;$L$1+1,DATE(20&amp;LEFT(FAAddition[[#This Row],[FY]],2),4,1)&gt;$P$1-1),'FA Addition'!$J1106,0)</f>
        <v>0</v>
      </c>
      <c r="U1106" s="117">
        <f>S1106*'FA Addition'!$L1106/'FA Addition'!$J1106</f>
        <v>0</v>
      </c>
      <c r="W1106" s="116">
        <f>SUMIFS('FA Write off'!D:D,'FA Write off'!A:A,'FA Addition'!$A1106,'FA Write off'!C:C,"&lt;"&amp;'FA Addition'!$P$1)</f>
        <v>0</v>
      </c>
      <c r="Y1106" s="191">
        <f>IFERROR(W1106/'FA Addition'!$J1106*'FA Addition'!$L1106,0)</f>
        <v>0</v>
      </c>
      <c r="AA1106" s="116">
        <f>SUMIFS('FA Write off'!D:D,'FA Write off'!A:A,'FA Addition'!$A1106,'FA Write off'!C:C,"&lt;"&amp;'FA Addition'!$L$1+1,'FA Write off'!C:C,"&gt;"&amp;'FA Addition'!$L$1-365)</f>
        <v>0</v>
      </c>
      <c r="AC1106" s="118">
        <f>IFERROR(AA1106/'FA Addition'!$J1106*'FA Addition'!$L1106,0)</f>
        <v>0</v>
      </c>
      <c r="AE1106" s="117">
        <f>IF(AND('FA Addition'!$D1106&lt;$P$1+1,U1106=0),'FA Addition'!$L1106,0)-Y1106</f>
        <v>0</v>
      </c>
      <c r="AF1106" s="117">
        <f t="shared" si="85"/>
        <v>0</v>
      </c>
      <c r="AG1106" s="117">
        <f>MIN(MAX(+$P$1-'FA Addition'!$D1106,0),365*'FA Addition'!$O1106)</f>
        <v>0</v>
      </c>
      <c r="AH1106" s="117">
        <f>MIN(MAX($L$1-'FA Addition'!$D1106+1,0),365*'FA Addition'!$O1106)</f>
        <v>0</v>
      </c>
      <c r="AI1106" s="117" cm="1">
        <f t="array" ref="AI1106">_xlfn.XLOOKUP(1,('FA Write off'!A:A='FA Addition'!$A1106)*('FA Write off'!D:D=AA1106),'FA Write off'!H:H,0,0)</f>
        <v>0</v>
      </c>
      <c r="AJ1106" s="117">
        <f>IF(AC1106&gt;0,MAX(IF('FA Addition'!$N1106="SLM",($AC1106-'FA Addition'!$M1106)*'FA Addition'!$P1106*AI1106/365,(AC1106-'FA Addition'!$M1106)*(1-(1-'FA Addition'!$P1106)^(AI1106/365))),0),0)</f>
        <v>0</v>
      </c>
      <c r="AL1106" s="117">
        <f>MAX(IF(AG1106&gt;0,IF('FA Addition'!$N1106="SLM",($AE1106-'FA Addition'!$M1106)*'FA Addition'!$P1106*AG1106/365,IFERROR(VDB(AE1106,AE1106*0.05,'FA Addition'!$O1106,0,YEARFRAC('FA Addition'!$C1106,$P$1-1,3),'FA Addition'!$Q1106),FAAddition[[#This Row],[Original Cost (Rs)]]-FAAddition[[#This Row],[Salvage Value]])),0),0)</f>
        <v>0</v>
      </c>
      <c r="AM1106" s="119"/>
      <c r="AN1106" s="117">
        <f>MAX(IF(AH1106&gt;0,IF('FA Addition'!$N1106="SLM",($AF1106-'FA Addition'!$M1106)*'FA Addition'!$P1106*AH1106/365,IFERROR(VDB(AF1106,AF1106*0.05,'FA Addition'!$O1106,0,YEARFRAC('FA Addition'!$C1106,$L$1,3),'FA Addition'!$Q1106),FAAddition[[#This Row],[Original Cost (Rs)]]-FAAddition[[#This Row],[Salvage Value]])),0),0)</f>
        <v>0</v>
      </c>
      <c r="AO1106" s="117">
        <f t="shared" si="88"/>
        <v>0</v>
      </c>
      <c r="AQ1106" s="117">
        <f t="shared" si="86"/>
        <v>0</v>
      </c>
      <c r="AR1106" s="120">
        <f t="shared" si="87"/>
        <v>0</v>
      </c>
      <c r="AS1106" s="121"/>
    </row>
    <row r="1107" spans="1:45" ht="13.5" x14ac:dyDescent="0.4">
      <c r="A1107" s="12">
        <f t="shared" si="89"/>
        <v>1104</v>
      </c>
      <c r="B1107" s="64" t="s">
        <v>1758</v>
      </c>
      <c r="C1107" s="54">
        <v>45478</v>
      </c>
      <c r="D1107" s="54">
        <v>45478</v>
      </c>
      <c r="E1107" s="46" t="s">
        <v>1495</v>
      </c>
      <c r="F1107" s="51" t="s">
        <v>1496</v>
      </c>
      <c r="G1107" s="51" t="s">
        <v>1499</v>
      </c>
      <c r="H1107" s="51" t="s">
        <v>193</v>
      </c>
      <c r="I1107" s="55" t="s">
        <v>1876</v>
      </c>
      <c r="J1107" s="56">
        <v>30</v>
      </c>
      <c r="K1107" s="51" t="s">
        <v>1877</v>
      </c>
      <c r="L1107" s="58">
        <v>377600</v>
      </c>
      <c r="M1107" s="50">
        <f>ROUND('FA Addition'!$L1107*5%,0.1)</f>
        <v>18880</v>
      </c>
      <c r="N1107" s="113" t="str">
        <f>_xlfn.XLOOKUP(_xlfn.CONCAT(E1107,B1107),'Year Wise Master Dep Approach'!F:F,'Year Wise Master Dep Approach'!D:D)</f>
        <v>SLM</v>
      </c>
      <c r="O1107" s="113">
        <f>_xlfn.XLOOKUP(_xlfn.CONCAT(E1107,B1107),'Year Wise Master Dep Approach'!F:F,'Year Wise Master Dep Approach'!E:E)</f>
        <v>3</v>
      </c>
      <c r="P1107" s="114">
        <f>IFERROR(IF('FA Addition'!$N1107="WDV",1-('FA Addition'!$M1107/'FA Addition'!$L1107)^(1/'FA Addition'!$O1107),1/'FA Addition'!$O1107),0)</f>
        <v>0.33333333333333331</v>
      </c>
      <c r="Q1107" s="122">
        <f>'FA Addition'!$P1107*'FA Addition'!$O1107</f>
        <v>1</v>
      </c>
      <c r="R1107" s="122"/>
      <c r="S1107" s="116">
        <f>IF(AND(DATE(20&amp;LEFT(FAAddition[[#This Row],[FY]],2),4,1)&lt;$L$1+1,DATE(20&amp;LEFT(FAAddition[[#This Row],[FY]],2),4,1)&gt;$P$1-1),'FA Addition'!$J1107,0)</f>
        <v>0</v>
      </c>
      <c r="U1107" s="117">
        <f>S1107*'FA Addition'!$L1107/'FA Addition'!$J1107</f>
        <v>0</v>
      </c>
      <c r="W1107" s="116">
        <f>SUMIFS('FA Write off'!D:D,'FA Write off'!A:A,'FA Addition'!$A1107,'FA Write off'!C:C,"&lt;"&amp;'FA Addition'!$P$1)</f>
        <v>0</v>
      </c>
      <c r="Y1107" s="191">
        <f>IFERROR(W1107/'FA Addition'!$J1107*'FA Addition'!$L1107,0)</f>
        <v>0</v>
      </c>
      <c r="AA1107" s="116">
        <f>SUMIFS('FA Write off'!D:D,'FA Write off'!A:A,'FA Addition'!$A1107,'FA Write off'!C:C,"&lt;"&amp;'FA Addition'!$L$1+1,'FA Write off'!C:C,"&gt;"&amp;'FA Addition'!$L$1-365)</f>
        <v>0</v>
      </c>
      <c r="AC1107" s="118">
        <f>IFERROR(AA1107/'FA Addition'!$J1107*'FA Addition'!$L1107,0)</f>
        <v>0</v>
      </c>
      <c r="AE1107" s="117">
        <f>IF(AND('FA Addition'!$D1107&lt;$P$1+1,U1107=0),'FA Addition'!$L1107,0)-Y1107</f>
        <v>0</v>
      </c>
      <c r="AF1107" s="117">
        <f t="shared" si="85"/>
        <v>0</v>
      </c>
      <c r="AG1107" s="117">
        <f>MIN(MAX(+$P$1-'FA Addition'!$D1107,0),365*'FA Addition'!$O1107)</f>
        <v>0</v>
      </c>
      <c r="AH1107" s="117">
        <f>MIN(MAX($L$1-'FA Addition'!$D1107+1,0),365*'FA Addition'!$O1107)</f>
        <v>0</v>
      </c>
      <c r="AI1107" s="117" cm="1">
        <f t="array" ref="AI1107">_xlfn.XLOOKUP(1,('FA Write off'!A:A='FA Addition'!$A1107)*('FA Write off'!D:D=AA1107),'FA Write off'!H:H,0,0)</f>
        <v>0</v>
      </c>
      <c r="AJ1107" s="117">
        <f>IF(AC1107&gt;0,MAX(IF('FA Addition'!$N1107="SLM",($AC1107-'FA Addition'!$M1107)*'FA Addition'!$P1107*AI1107/365,(AC1107-'FA Addition'!$M1107)*(1-(1-'FA Addition'!$P1107)^(AI1107/365))),0),0)</f>
        <v>0</v>
      </c>
      <c r="AL1107" s="117">
        <f>MAX(IF(AG1107&gt;0,IF('FA Addition'!$N1107="SLM",($AE1107-'FA Addition'!$M1107)*'FA Addition'!$P1107*AG1107/365,IFERROR(VDB(AE1107,AE1107*0.05,'FA Addition'!$O1107,0,YEARFRAC('FA Addition'!$C1107,$P$1-1,3),'FA Addition'!$Q1107),FAAddition[[#This Row],[Original Cost (Rs)]]-FAAddition[[#This Row],[Salvage Value]])),0),0)</f>
        <v>0</v>
      </c>
      <c r="AM1107" s="119"/>
      <c r="AN1107" s="117">
        <f>MAX(IF(AH1107&gt;0,IF('FA Addition'!$N1107="SLM",($AF1107-'FA Addition'!$M1107)*'FA Addition'!$P1107*AH1107/365,IFERROR(VDB(AF1107,AF1107*0.05,'FA Addition'!$O1107,0,YEARFRAC('FA Addition'!$C1107,$L$1,3),'FA Addition'!$Q1107),FAAddition[[#This Row],[Original Cost (Rs)]]-FAAddition[[#This Row],[Salvage Value]])),0),0)</f>
        <v>0</v>
      </c>
      <c r="AO1107" s="117">
        <f t="shared" si="88"/>
        <v>0</v>
      </c>
      <c r="AQ1107" s="117">
        <f t="shared" si="86"/>
        <v>0</v>
      </c>
      <c r="AR1107" s="120">
        <f t="shared" si="87"/>
        <v>0</v>
      </c>
      <c r="AS1107" s="121"/>
    </row>
    <row r="1108" spans="1:45" ht="13.5" x14ac:dyDescent="0.4">
      <c r="A1108" s="12">
        <f t="shared" si="89"/>
        <v>1105</v>
      </c>
      <c r="B1108" s="64" t="s">
        <v>1758</v>
      </c>
      <c r="C1108" s="54">
        <v>45478</v>
      </c>
      <c r="D1108" s="54">
        <v>45478</v>
      </c>
      <c r="E1108" s="46" t="s">
        <v>1495</v>
      </c>
      <c r="F1108" s="51" t="s">
        <v>1496</v>
      </c>
      <c r="G1108" s="51" t="s">
        <v>1499</v>
      </c>
      <c r="H1108" s="51" t="s">
        <v>196</v>
      </c>
      <c r="I1108" s="55" t="s">
        <v>1876</v>
      </c>
      <c r="J1108" s="56">
        <v>55</v>
      </c>
      <c r="K1108" s="51" t="s">
        <v>1647</v>
      </c>
      <c r="L1108" s="58">
        <v>1622500</v>
      </c>
      <c r="M1108" s="50">
        <f>ROUND('FA Addition'!$L1108*5%,0.1)</f>
        <v>81125</v>
      </c>
      <c r="N1108" s="113" t="str">
        <f>_xlfn.XLOOKUP(_xlfn.CONCAT(E1108,B1108),'Year Wise Master Dep Approach'!F:F,'Year Wise Master Dep Approach'!D:D)</f>
        <v>SLM</v>
      </c>
      <c r="O1108" s="113">
        <f>_xlfn.XLOOKUP(_xlfn.CONCAT(E1108,B1108),'Year Wise Master Dep Approach'!F:F,'Year Wise Master Dep Approach'!E:E)</f>
        <v>3</v>
      </c>
      <c r="P1108" s="114">
        <f>IFERROR(IF('FA Addition'!$N1108="WDV",1-('FA Addition'!$M1108/'FA Addition'!$L1108)^(1/'FA Addition'!$O1108),1/'FA Addition'!$O1108),0)</f>
        <v>0.33333333333333331</v>
      </c>
      <c r="Q1108" s="122">
        <f>'FA Addition'!$P1108*'FA Addition'!$O1108</f>
        <v>1</v>
      </c>
      <c r="R1108" s="122"/>
      <c r="S1108" s="116">
        <f>IF(AND(DATE(20&amp;LEFT(FAAddition[[#This Row],[FY]],2),4,1)&lt;$L$1+1,DATE(20&amp;LEFT(FAAddition[[#This Row],[FY]],2),4,1)&gt;$P$1-1),'FA Addition'!$J1108,0)</f>
        <v>0</v>
      </c>
      <c r="U1108" s="117">
        <f>S1108*'FA Addition'!$L1108/'FA Addition'!$J1108</f>
        <v>0</v>
      </c>
      <c r="W1108" s="116">
        <f>SUMIFS('FA Write off'!D:D,'FA Write off'!A:A,'FA Addition'!$A1108,'FA Write off'!C:C,"&lt;"&amp;'FA Addition'!$P$1)</f>
        <v>0</v>
      </c>
      <c r="Y1108" s="191">
        <f>IFERROR(W1108/'FA Addition'!$J1108*'FA Addition'!$L1108,0)</f>
        <v>0</v>
      </c>
      <c r="AA1108" s="116">
        <f>SUMIFS('FA Write off'!D:D,'FA Write off'!A:A,'FA Addition'!$A1108,'FA Write off'!C:C,"&lt;"&amp;'FA Addition'!$L$1+1,'FA Write off'!C:C,"&gt;"&amp;'FA Addition'!$L$1-365)</f>
        <v>0</v>
      </c>
      <c r="AC1108" s="118">
        <f>IFERROR(AA1108/'FA Addition'!$J1108*'FA Addition'!$L1108,0)</f>
        <v>0</v>
      </c>
      <c r="AE1108" s="117">
        <f>IF(AND('FA Addition'!$D1108&lt;$P$1+1,U1108=0),'FA Addition'!$L1108,0)-Y1108</f>
        <v>0</v>
      </c>
      <c r="AF1108" s="117">
        <f t="shared" si="85"/>
        <v>0</v>
      </c>
      <c r="AG1108" s="117">
        <f>MIN(MAX(+$P$1-'FA Addition'!$D1108,0),365*'FA Addition'!$O1108)</f>
        <v>0</v>
      </c>
      <c r="AH1108" s="117">
        <f>MIN(MAX($L$1-'FA Addition'!$D1108+1,0),365*'FA Addition'!$O1108)</f>
        <v>0</v>
      </c>
      <c r="AI1108" s="117" cm="1">
        <f t="array" ref="AI1108">_xlfn.XLOOKUP(1,('FA Write off'!A:A='FA Addition'!$A1108)*('FA Write off'!D:D=AA1108),'FA Write off'!H:H,0,0)</f>
        <v>0</v>
      </c>
      <c r="AJ1108" s="117">
        <f>IF(AC1108&gt;0,MAX(IF('FA Addition'!$N1108="SLM",($AC1108-'FA Addition'!$M1108)*'FA Addition'!$P1108*AI1108/365,(AC1108-'FA Addition'!$M1108)*(1-(1-'FA Addition'!$P1108)^(AI1108/365))),0),0)</f>
        <v>0</v>
      </c>
      <c r="AL1108" s="117">
        <f>MAX(IF(AG1108&gt;0,IF('FA Addition'!$N1108="SLM",($AE1108-'FA Addition'!$M1108)*'FA Addition'!$P1108*AG1108/365,IFERROR(VDB(AE1108,AE1108*0.05,'FA Addition'!$O1108,0,YEARFRAC('FA Addition'!$C1108,$P$1-1,3),'FA Addition'!$Q1108),FAAddition[[#This Row],[Original Cost (Rs)]]-FAAddition[[#This Row],[Salvage Value]])),0),0)</f>
        <v>0</v>
      </c>
      <c r="AM1108" s="119"/>
      <c r="AN1108" s="117">
        <f>MAX(IF(AH1108&gt;0,IF('FA Addition'!$N1108="SLM",($AF1108-'FA Addition'!$M1108)*'FA Addition'!$P1108*AH1108/365,IFERROR(VDB(AF1108,AF1108*0.05,'FA Addition'!$O1108,0,YEARFRAC('FA Addition'!$C1108,$L$1,3),'FA Addition'!$Q1108),FAAddition[[#This Row],[Original Cost (Rs)]]-FAAddition[[#This Row],[Salvage Value]])),0),0)</f>
        <v>0</v>
      </c>
      <c r="AO1108" s="117">
        <f t="shared" si="88"/>
        <v>0</v>
      </c>
      <c r="AQ1108" s="117">
        <f t="shared" si="86"/>
        <v>0</v>
      </c>
      <c r="AR1108" s="120">
        <f t="shared" si="87"/>
        <v>0</v>
      </c>
      <c r="AS1108" s="121"/>
    </row>
    <row r="1109" spans="1:45" ht="13.5" x14ac:dyDescent="0.4">
      <c r="A1109" s="12">
        <f t="shared" si="89"/>
        <v>1106</v>
      </c>
      <c r="B1109" s="64" t="s">
        <v>1758</v>
      </c>
      <c r="C1109" s="54">
        <v>45481</v>
      </c>
      <c r="D1109" s="54">
        <v>45481</v>
      </c>
      <c r="E1109" s="46" t="s">
        <v>1320</v>
      </c>
      <c r="F1109" s="51" t="s">
        <v>33</v>
      </c>
      <c r="G1109" s="51" t="s">
        <v>36</v>
      </c>
      <c r="H1109" s="51" t="s">
        <v>32</v>
      </c>
      <c r="I1109" s="55" t="s">
        <v>1878</v>
      </c>
      <c r="J1109" s="56">
        <v>1000</v>
      </c>
      <c r="K1109" s="51" t="s">
        <v>296</v>
      </c>
      <c r="L1109" s="58">
        <v>1650000</v>
      </c>
      <c r="M1109" s="50">
        <f>ROUND('FA Addition'!$L1109*5%,0.1)</f>
        <v>82500</v>
      </c>
      <c r="N1109" s="113" t="str">
        <f>_xlfn.XLOOKUP(_xlfn.CONCAT(E1109,B1109),'Year Wise Master Dep Approach'!F:F,'Year Wise Master Dep Approach'!D:D)</f>
        <v>SLM</v>
      </c>
      <c r="O1109" s="113">
        <f>_xlfn.XLOOKUP(_xlfn.CONCAT(E1109,B1109),'Year Wise Master Dep Approach'!F:F,'Year Wise Master Dep Approach'!E:E)</f>
        <v>5</v>
      </c>
      <c r="P1109" s="114">
        <f>IFERROR(IF('FA Addition'!$N1109="WDV",1-('FA Addition'!$M1109/'FA Addition'!$L1109)^(1/'FA Addition'!$O1109),1/'FA Addition'!$O1109),0)</f>
        <v>0.2</v>
      </c>
      <c r="Q1109" s="122">
        <f>'FA Addition'!$P1109*'FA Addition'!$O1109</f>
        <v>1</v>
      </c>
      <c r="R1109" s="122"/>
      <c r="S1109" s="116">
        <f>IF(AND(DATE(20&amp;LEFT(FAAddition[[#This Row],[FY]],2),4,1)&lt;$L$1+1,DATE(20&amp;LEFT(FAAddition[[#This Row],[FY]],2),4,1)&gt;$P$1-1),'FA Addition'!$J1109,0)</f>
        <v>0</v>
      </c>
      <c r="U1109" s="117">
        <f>S1109*'FA Addition'!$L1109/'FA Addition'!$J1109</f>
        <v>0</v>
      </c>
      <c r="W1109" s="116">
        <f>SUMIFS('FA Write off'!D:D,'FA Write off'!A:A,'FA Addition'!$A1109,'FA Write off'!C:C,"&lt;"&amp;'FA Addition'!$P$1)</f>
        <v>0</v>
      </c>
      <c r="Y1109" s="191">
        <f>IFERROR(W1109/'FA Addition'!$J1109*'FA Addition'!$L1109,0)</f>
        <v>0</v>
      </c>
      <c r="AA1109" s="116">
        <f>SUMIFS('FA Write off'!D:D,'FA Write off'!A:A,'FA Addition'!$A1109,'FA Write off'!C:C,"&lt;"&amp;'FA Addition'!$L$1+1,'FA Write off'!C:C,"&gt;"&amp;'FA Addition'!$L$1-365)</f>
        <v>0</v>
      </c>
      <c r="AC1109" s="118">
        <f>IFERROR(AA1109/'FA Addition'!$J1109*'FA Addition'!$L1109,0)</f>
        <v>0</v>
      </c>
      <c r="AE1109" s="117">
        <f>IF(AND('FA Addition'!$D1109&lt;$P$1+1,U1109=0),'FA Addition'!$L1109,0)-Y1109</f>
        <v>0</v>
      </c>
      <c r="AF1109" s="117">
        <f t="shared" si="85"/>
        <v>0</v>
      </c>
      <c r="AG1109" s="117">
        <f>MIN(MAX(+$P$1-'FA Addition'!$D1109,0),365*'FA Addition'!$O1109)</f>
        <v>0</v>
      </c>
      <c r="AH1109" s="117">
        <f>MIN(MAX($L$1-'FA Addition'!$D1109+1,0),365*'FA Addition'!$O1109)</f>
        <v>0</v>
      </c>
      <c r="AI1109" s="117" cm="1">
        <f t="array" ref="AI1109">_xlfn.XLOOKUP(1,('FA Write off'!A:A='FA Addition'!$A1109)*('FA Write off'!D:D=AA1109),'FA Write off'!H:H,0,0)</f>
        <v>0</v>
      </c>
      <c r="AJ1109" s="117">
        <f>IF(AC1109&gt;0,MAX(IF('FA Addition'!$N1109="SLM",($AC1109-'FA Addition'!$M1109)*'FA Addition'!$P1109*AI1109/365,(AC1109-'FA Addition'!$M1109)*(1-(1-'FA Addition'!$P1109)^(AI1109/365))),0),0)</f>
        <v>0</v>
      </c>
      <c r="AL1109" s="117">
        <f>MAX(IF(AG1109&gt;0,IF('FA Addition'!$N1109="SLM",($AE1109-'FA Addition'!$M1109)*'FA Addition'!$P1109*AG1109/365,IFERROR(VDB(AE1109,AE1109*0.05,'FA Addition'!$O1109,0,YEARFRAC('FA Addition'!$C1109,$P$1-1,3),'FA Addition'!$Q1109),FAAddition[[#This Row],[Original Cost (Rs)]]-FAAddition[[#This Row],[Salvage Value]])),0),0)</f>
        <v>0</v>
      </c>
      <c r="AM1109" s="119"/>
      <c r="AN1109" s="117">
        <f>MAX(IF(AH1109&gt;0,IF('FA Addition'!$N1109="SLM",($AF1109-'FA Addition'!$M1109)*'FA Addition'!$P1109*AH1109/365,IFERROR(VDB(AF1109,AF1109*0.05,'FA Addition'!$O1109,0,YEARFRAC('FA Addition'!$C1109,$L$1,3),'FA Addition'!$Q1109),FAAddition[[#This Row],[Original Cost (Rs)]]-FAAddition[[#This Row],[Salvage Value]])),0),0)</f>
        <v>0</v>
      </c>
      <c r="AO1109" s="117">
        <f t="shared" si="88"/>
        <v>0</v>
      </c>
      <c r="AQ1109" s="117">
        <f t="shared" si="86"/>
        <v>0</v>
      </c>
      <c r="AR1109" s="120">
        <f t="shared" si="87"/>
        <v>0</v>
      </c>
      <c r="AS1109" s="121"/>
    </row>
    <row r="1110" spans="1:45" ht="13.5" x14ac:dyDescent="0.4">
      <c r="A1110" s="12">
        <f t="shared" si="89"/>
        <v>1107</v>
      </c>
      <c r="B1110" s="64" t="s">
        <v>1758</v>
      </c>
      <c r="C1110" s="54">
        <v>45482</v>
      </c>
      <c r="D1110" s="54">
        <v>45482</v>
      </c>
      <c r="E1110" s="46" t="s">
        <v>1320</v>
      </c>
      <c r="F1110" s="51" t="s">
        <v>33</v>
      </c>
      <c r="G1110" s="51" t="s">
        <v>36</v>
      </c>
      <c r="H1110" s="51" t="s">
        <v>32</v>
      </c>
      <c r="I1110" s="55" t="s">
        <v>1879</v>
      </c>
      <c r="J1110" s="56">
        <v>1000</v>
      </c>
      <c r="K1110" s="51" t="s">
        <v>296</v>
      </c>
      <c r="L1110" s="58">
        <v>1650000</v>
      </c>
      <c r="M1110" s="50">
        <f>ROUND('FA Addition'!$L1110*5%,0.1)</f>
        <v>82500</v>
      </c>
      <c r="N1110" s="113" t="str">
        <f>_xlfn.XLOOKUP(_xlfn.CONCAT(E1110,B1110),'Year Wise Master Dep Approach'!F:F,'Year Wise Master Dep Approach'!D:D)</f>
        <v>SLM</v>
      </c>
      <c r="O1110" s="113">
        <f>_xlfn.XLOOKUP(_xlfn.CONCAT(E1110,B1110),'Year Wise Master Dep Approach'!F:F,'Year Wise Master Dep Approach'!E:E)</f>
        <v>5</v>
      </c>
      <c r="P1110" s="114">
        <f>IFERROR(IF('FA Addition'!$N1110="WDV",1-('FA Addition'!$M1110/'FA Addition'!$L1110)^(1/'FA Addition'!$O1110),1/'FA Addition'!$O1110),0)</f>
        <v>0.2</v>
      </c>
      <c r="Q1110" s="122">
        <f>'FA Addition'!$P1110*'FA Addition'!$O1110</f>
        <v>1</v>
      </c>
      <c r="R1110" s="122"/>
      <c r="S1110" s="116">
        <f>IF(AND(DATE(20&amp;LEFT(FAAddition[[#This Row],[FY]],2),4,1)&lt;$L$1+1,DATE(20&amp;LEFT(FAAddition[[#This Row],[FY]],2),4,1)&gt;$P$1-1),'FA Addition'!$J1110,0)</f>
        <v>0</v>
      </c>
      <c r="U1110" s="117">
        <f>S1110*'FA Addition'!$L1110/'FA Addition'!$J1110</f>
        <v>0</v>
      </c>
      <c r="W1110" s="116">
        <f>SUMIFS('FA Write off'!D:D,'FA Write off'!A:A,'FA Addition'!$A1110,'FA Write off'!C:C,"&lt;"&amp;'FA Addition'!$P$1)</f>
        <v>0</v>
      </c>
      <c r="Y1110" s="191">
        <f>IFERROR(W1110/'FA Addition'!$J1110*'FA Addition'!$L1110,0)</f>
        <v>0</v>
      </c>
      <c r="AA1110" s="116">
        <f>SUMIFS('FA Write off'!D:D,'FA Write off'!A:A,'FA Addition'!$A1110,'FA Write off'!C:C,"&lt;"&amp;'FA Addition'!$L$1+1,'FA Write off'!C:C,"&gt;"&amp;'FA Addition'!$L$1-365)</f>
        <v>0</v>
      </c>
      <c r="AC1110" s="118">
        <f>IFERROR(AA1110/'FA Addition'!$J1110*'FA Addition'!$L1110,0)</f>
        <v>0</v>
      </c>
      <c r="AE1110" s="117">
        <f>IF(AND('FA Addition'!$D1110&lt;$P$1+1,U1110=0),'FA Addition'!$L1110,0)-Y1110</f>
        <v>0</v>
      </c>
      <c r="AF1110" s="117">
        <f t="shared" si="85"/>
        <v>0</v>
      </c>
      <c r="AG1110" s="117">
        <f>MIN(MAX(+$P$1-'FA Addition'!$D1110,0),365*'FA Addition'!$O1110)</f>
        <v>0</v>
      </c>
      <c r="AH1110" s="117">
        <f>MIN(MAX($L$1-'FA Addition'!$D1110+1,0),365*'FA Addition'!$O1110)</f>
        <v>0</v>
      </c>
      <c r="AI1110" s="117" cm="1">
        <f t="array" ref="AI1110">_xlfn.XLOOKUP(1,('FA Write off'!A:A='FA Addition'!$A1110)*('FA Write off'!D:D=AA1110),'FA Write off'!H:H,0,0)</f>
        <v>0</v>
      </c>
      <c r="AJ1110" s="117">
        <f>IF(AC1110&gt;0,MAX(IF('FA Addition'!$N1110="SLM",($AC1110-'FA Addition'!$M1110)*'FA Addition'!$P1110*AI1110/365,(AC1110-'FA Addition'!$M1110)*(1-(1-'FA Addition'!$P1110)^(AI1110/365))),0),0)</f>
        <v>0</v>
      </c>
      <c r="AL1110" s="117">
        <f>MAX(IF(AG1110&gt;0,IF('FA Addition'!$N1110="SLM",($AE1110-'FA Addition'!$M1110)*'FA Addition'!$P1110*AG1110/365,IFERROR(VDB(AE1110,AE1110*0.05,'FA Addition'!$O1110,0,YEARFRAC('FA Addition'!$C1110,$P$1-1,3),'FA Addition'!$Q1110),FAAddition[[#This Row],[Original Cost (Rs)]]-FAAddition[[#This Row],[Salvage Value]])),0),0)</f>
        <v>0</v>
      </c>
      <c r="AM1110" s="119"/>
      <c r="AN1110" s="117">
        <f>MAX(IF(AH1110&gt;0,IF('FA Addition'!$N1110="SLM",($AF1110-'FA Addition'!$M1110)*'FA Addition'!$P1110*AH1110/365,IFERROR(VDB(AF1110,AF1110*0.05,'FA Addition'!$O1110,0,YEARFRAC('FA Addition'!$C1110,$L$1,3),'FA Addition'!$Q1110),FAAddition[[#This Row],[Original Cost (Rs)]]-FAAddition[[#This Row],[Salvage Value]])),0),0)</f>
        <v>0</v>
      </c>
      <c r="AO1110" s="117">
        <f t="shared" si="88"/>
        <v>0</v>
      </c>
      <c r="AQ1110" s="117">
        <f t="shared" si="86"/>
        <v>0</v>
      </c>
      <c r="AR1110" s="120">
        <f t="shared" si="87"/>
        <v>0</v>
      </c>
      <c r="AS1110" s="121"/>
    </row>
    <row r="1111" spans="1:45" ht="13.5" x14ac:dyDescent="0.4">
      <c r="A1111" s="12">
        <f t="shared" si="89"/>
        <v>1108</v>
      </c>
      <c r="B1111" s="64" t="s">
        <v>1758</v>
      </c>
      <c r="C1111" s="54">
        <v>45484</v>
      </c>
      <c r="D1111" s="54">
        <v>45484</v>
      </c>
      <c r="E1111" s="46" t="s">
        <v>1320</v>
      </c>
      <c r="F1111" s="51" t="s">
        <v>33</v>
      </c>
      <c r="G1111" s="51" t="s">
        <v>36</v>
      </c>
      <c r="H1111" s="51" t="s">
        <v>32</v>
      </c>
      <c r="I1111" s="55" t="s">
        <v>1880</v>
      </c>
      <c r="J1111" s="56">
        <v>1000</v>
      </c>
      <c r="K1111" s="51" t="s">
        <v>296</v>
      </c>
      <c r="L1111" s="58">
        <v>1650000</v>
      </c>
      <c r="M1111" s="50">
        <f>ROUND('FA Addition'!$L1111*5%,0.1)</f>
        <v>82500</v>
      </c>
      <c r="N1111" s="113" t="str">
        <f>_xlfn.XLOOKUP(_xlfn.CONCAT(E1111,B1111),'Year Wise Master Dep Approach'!F:F,'Year Wise Master Dep Approach'!D:D)</f>
        <v>SLM</v>
      </c>
      <c r="O1111" s="113">
        <f>_xlfn.XLOOKUP(_xlfn.CONCAT(E1111,B1111),'Year Wise Master Dep Approach'!F:F,'Year Wise Master Dep Approach'!E:E)</f>
        <v>5</v>
      </c>
      <c r="P1111" s="114">
        <f>IFERROR(IF('FA Addition'!$N1111="WDV",1-('FA Addition'!$M1111/'FA Addition'!$L1111)^(1/'FA Addition'!$O1111),1/'FA Addition'!$O1111),0)</f>
        <v>0.2</v>
      </c>
      <c r="Q1111" s="122">
        <f>'FA Addition'!$P1111*'FA Addition'!$O1111</f>
        <v>1</v>
      </c>
      <c r="R1111" s="122"/>
      <c r="S1111" s="116">
        <f>IF(AND(DATE(20&amp;LEFT(FAAddition[[#This Row],[FY]],2),4,1)&lt;$L$1+1,DATE(20&amp;LEFT(FAAddition[[#This Row],[FY]],2),4,1)&gt;$P$1-1),'FA Addition'!$J1111,0)</f>
        <v>0</v>
      </c>
      <c r="U1111" s="117">
        <f>S1111*'FA Addition'!$L1111/'FA Addition'!$J1111</f>
        <v>0</v>
      </c>
      <c r="W1111" s="116">
        <f>SUMIFS('FA Write off'!D:D,'FA Write off'!A:A,'FA Addition'!$A1111,'FA Write off'!C:C,"&lt;"&amp;'FA Addition'!$P$1)</f>
        <v>0</v>
      </c>
      <c r="Y1111" s="191">
        <f>IFERROR(W1111/'FA Addition'!$J1111*'FA Addition'!$L1111,0)</f>
        <v>0</v>
      </c>
      <c r="AA1111" s="116">
        <f>SUMIFS('FA Write off'!D:D,'FA Write off'!A:A,'FA Addition'!$A1111,'FA Write off'!C:C,"&lt;"&amp;'FA Addition'!$L$1+1,'FA Write off'!C:C,"&gt;"&amp;'FA Addition'!$L$1-365)</f>
        <v>0</v>
      </c>
      <c r="AC1111" s="118">
        <f>IFERROR(AA1111/'FA Addition'!$J1111*'FA Addition'!$L1111,0)</f>
        <v>0</v>
      </c>
      <c r="AE1111" s="117">
        <f>IF(AND('FA Addition'!$D1111&lt;$P$1+1,U1111=0),'FA Addition'!$L1111,0)-Y1111</f>
        <v>0</v>
      </c>
      <c r="AF1111" s="117">
        <f t="shared" si="85"/>
        <v>0</v>
      </c>
      <c r="AG1111" s="117">
        <f>MIN(MAX(+$P$1-'FA Addition'!$D1111,0),365*'FA Addition'!$O1111)</f>
        <v>0</v>
      </c>
      <c r="AH1111" s="117">
        <f>MIN(MAX($L$1-'FA Addition'!$D1111+1,0),365*'FA Addition'!$O1111)</f>
        <v>0</v>
      </c>
      <c r="AI1111" s="117" cm="1">
        <f t="array" ref="AI1111">_xlfn.XLOOKUP(1,('FA Write off'!A:A='FA Addition'!$A1111)*('FA Write off'!D:D=AA1111),'FA Write off'!H:H,0,0)</f>
        <v>0</v>
      </c>
      <c r="AJ1111" s="117">
        <f>IF(AC1111&gt;0,MAX(IF('FA Addition'!$N1111="SLM",($AC1111-'FA Addition'!$M1111)*'FA Addition'!$P1111*AI1111/365,(AC1111-'FA Addition'!$M1111)*(1-(1-'FA Addition'!$P1111)^(AI1111/365))),0),0)</f>
        <v>0</v>
      </c>
      <c r="AL1111" s="117">
        <f>MAX(IF(AG1111&gt;0,IF('FA Addition'!$N1111="SLM",($AE1111-'FA Addition'!$M1111)*'FA Addition'!$P1111*AG1111/365,IFERROR(VDB(AE1111,AE1111*0.05,'FA Addition'!$O1111,0,YEARFRAC('FA Addition'!$C1111,$P$1-1,3),'FA Addition'!$Q1111),FAAddition[[#This Row],[Original Cost (Rs)]]-FAAddition[[#This Row],[Salvage Value]])),0),0)</f>
        <v>0</v>
      </c>
      <c r="AM1111" s="119"/>
      <c r="AN1111" s="117">
        <f>MAX(IF(AH1111&gt;0,IF('FA Addition'!$N1111="SLM",($AF1111-'FA Addition'!$M1111)*'FA Addition'!$P1111*AH1111/365,IFERROR(VDB(AF1111,AF1111*0.05,'FA Addition'!$O1111,0,YEARFRAC('FA Addition'!$C1111,$L$1,3),'FA Addition'!$Q1111),FAAddition[[#This Row],[Original Cost (Rs)]]-FAAddition[[#This Row],[Salvage Value]])),0),0)</f>
        <v>0</v>
      </c>
      <c r="AO1111" s="117">
        <f t="shared" si="88"/>
        <v>0</v>
      </c>
      <c r="AQ1111" s="117">
        <f t="shared" si="86"/>
        <v>0</v>
      </c>
      <c r="AR1111" s="120">
        <f t="shared" si="87"/>
        <v>0</v>
      </c>
      <c r="AS1111" s="121"/>
    </row>
    <row r="1112" spans="1:45" ht="13.5" x14ac:dyDescent="0.4">
      <c r="A1112" s="12">
        <f t="shared" si="89"/>
        <v>1109</v>
      </c>
      <c r="B1112" s="64" t="s">
        <v>1758</v>
      </c>
      <c r="C1112" s="54">
        <v>45485</v>
      </c>
      <c r="D1112" s="54">
        <v>45485</v>
      </c>
      <c r="E1112" s="46" t="s">
        <v>1320</v>
      </c>
      <c r="F1112" s="51" t="s">
        <v>33</v>
      </c>
      <c r="G1112" s="51" t="s">
        <v>36</v>
      </c>
      <c r="H1112" s="51" t="s">
        <v>32</v>
      </c>
      <c r="I1112" s="55" t="s">
        <v>1881</v>
      </c>
      <c r="J1112" s="56">
        <v>1000</v>
      </c>
      <c r="K1112" s="51" t="s">
        <v>296</v>
      </c>
      <c r="L1112" s="58">
        <v>1650000</v>
      </c>
      <c r="M1112" s="50">
        <f>ROUND('FA Addition'!$L1112*5%,0.1)</f>
        <v>82500</v>
      </c>
      <c r="N1112" s="113" t="str">
        <f>_xlfn.XLOOKUP(_xlfn.CONCAT(E1112,B1112),'Year Wise Master Dep Approach'!F:F,'Year Wise Master Dep Approach'!D:D)</f>
        <v>SLM</v>
      </c>
      <c r="O1112" s="113">
        <f>_xlfn.XLOOKUP(_xlfn.CONCAT(E1112,B1112),'Year Wise Master Dep Approach'!F:F,'Year Wise Master Dep Approach'!E:E)</f>
        <v>5</v>
      </c>
      <c r="P1112" s="114">
        <f>IFERROR(IF('FA Addition'!$N1112="WDV",1-('FA Addition'!$M1112/'FA Addition'!$L1112)^(1/'FA Addition'!$O1112),1/'FA Addition'!$O1112),0)</f>
        <v>0.2</v>
      </c>
      <c r="Q1112" s="122">
        <f>'FA Addition'!$P1112*'FA Addition'!$O1112</f>
        <v>1</v>
      </c>
      <c r="R1112" s="122"/>
      <c r="S1112" s="116">
        <f>IF(AND(DATE(20&amp;LEFT(FAAddition[[#This Row],[FY]],2),4,1)&lt;$L$1+1,DATE(20&amp;LEFT(FAAddition[[#This Row],[FY]],2),4,1)&gt;$P$1-1),'FA Addition'!$J1112,0)</f>
        <v>0</v>
      </c>
      <c r="U1112" s="117">
        <f>S1112*'FA Addition'!$L1112/'FA Addition'!$J1112</f>
        <v>0</v>
      </c>
      <c r="W1112" s="116">
        <f>SUMIFS('FA Write off'!D:D,'FA Write off'!A:A,'FA Addition'!$A1112,'FA Write off'!C:C,"&lt;"&amp;'FA Addition'!$P$1)</f>
        <v>0</v>
      </c>
      <c r="Y1112" s="191">
        <f>IFERROR(W1112/'FA Addition'!$J1112*'FA Addition'!$L1112,0)</f>
        <v>0</v>
      </c>
      <c r="AA1112" s="116">
        <f>SUMIFS('FA Write off'!D:D,'FA Write off'!A:A,'FA Addition'!$A1112,'FA Write off'!C:C,"&lt;"&amp;'FA Addition'!$L$1+1,'FA Write off'!C:C,"&gt;"&amp;'FA Addition'!$L$1-365)</f>
        <v>0</v>
      </c>
      <c r="AC1112" s="118">
        <f>IFERROR(AA1112/'FA Addition'!$J1112*'FA Addition'!$L1112,0)</f>
        <v>0</v>
      </c>
      <c r="AE1112" s="117">
        <f>IF(AND('FA Addition'!$D1112&lt;$P$1+1,U1112=0),'FA Addition'!$L1112,0)-Y1112</f>
        <v>0</v>
      </c>
      <c r="AF1112" s="117">
        <f t="shared" si="85"/>
        <v>0</v>
      </c>
      <c r="AG1112" s="117">
        <f>MIN(MAX(+$P$1-'FA Addition'!$D1112,0),365*'FA Addition'!$O1112)</f>
        <v>0</v>
      </c>
      <c r="AH1112" s="117">
        <f>MIN(MAX($L$1-'FA Addition'!$D1112+1,0),365*'FA Addition'!$O1112)</f>
        <v>0</v>
      </c>
      <c r="AI1112" s="117" cm="1">
        <f t="array" ref="AI1112">_xlfn.XLOOKUP(1,('FA Write off'!A:A='FA Addition'!$A1112)*('FA Write off'!D:D=AA1112),'FA Write off'!H:H,0,0)</f>
        <v>0</v>
      </c>
      <c r="AJ1112" s="117">
        <f>IF(AC1112&gt;0,MAX(IF('FA Addition'!$N1112="SLM",($AC1112-'FA Addition'!$M1112)*'FA Addition'!$P1112*AI1112/365,(AC1112-'FA Addition'!$M1112)*(1-(1-'FA Addition'!$P1112)^(AI1112/365))),0),0)</f>
        <v>0</v>
      </c>
      <c r="AL1112" s="117">
        <f>MAX(IF(AG1112&gt;0,IF('FA Addition'!$N1112="SLM",($AE1112-'FA Addition'!$M1112)*'FA Addition'!$P1112*AG1112/365,IFERROR(VDB(AE1112,AE1112*0.05,'FA Addition'!$O1112,0,YEARFRAC('FA Addition'!$C1112,$P$1-1,3),'FA Addition'!$Q1112),FAAddition[[#This Row],[Original Cost (Rs)]]-FAAddition[[#This Row],[Salvage Value]])),0),0)</f>
        <v>0</v>
      </c>
      <c r="AM1112" s="119"/>
      <c r="AN1112" s="117">
        <f>MAX(IF(AH1112&gt;0,IF('FA Addition'!$N1112="SLM",($AF1112-'FA Addition'!$M1112)*'FA Addition'!$P1112*AH1112/365,IFERROR(VDB(AF1112,AF1112*0.05,'FA Addition'!$O1112,0,YEARFRAC('FA Addition'!$C1112,$L$1,3),'FA Addition'!$Q1112),FAAddition[[#This Row],[Original Cost (Rs)]]-FAAddition[[#This Row],[Salvage Value]])),0),0)</f>
        <v>0</v>
      </c>
      <c r="AO1112" s="117">
        <f t="shared" si="88"/>
        <v>0</v>
      </c>
      <c r="AQ1112" s="117">
        <f t="shared" si="86"/>
        <v>0</v>
      </c>
      <c r="AR1112" s="120">
        <f t="shared" si="87"/>
        <v>0</v>
      </c>
      <c r="AS1112" s="121"/>
    </row>
    <row r="1113" spans="1:45" ht="13.5" x14ac:dyDescent="0.4">
      <c r="A1113" s="12">
        <f t="shared" si="89"/>
        <v>1110</v>
      </c>
      <c r="B1113" s="64" t="s">
        <v>1758</v>
      </c>
      <c r="C1113" s="54">
        <v>45490</v>
      </c>
      <c r="D1113" s="54">
        <v>45490</v>
      </c>
      <c r="E1113" s="46" t="s">
        <v>1320</v>
      </c>
      <c r="F1113" s="51" t="s">
        <v>33</v>
      </c>
      <c r="G1113" s="51" t="s">
        <v>36</v>
      </c>
      <c r="H1113" s="51" t="s">
        <v>32</v>
      </c>
      <c r="I1113" s="55" t="s">
        <v>1882</v>
      </c>
      <c r="J1113" s="56">
        <v>1000</v>
      </c>
      <c r="K1113" s="51" t="s">
        <v>296</v>
      </c>
      <c r="L1113" s="58">
        <v>1650000</v>
      </c>
      <c r="M1113" s="50">
        <f>ROUND('FA Addition'!$L1113*5%,0.1)</f>
        <v>82500</v>
      </c>
      <c r="N1113" s="113" t="str">
        <f>_xlfn.XLOOKUP(_xlfn.CONCAT(E1113,B1113),'Year Wise Master Dep Approach'!F:F,'Year Wise Master Dep Approach'!D:D)</f>
        <v>SLM</v>
      </c>
      <c r="O1113" s="113">
        <f>_xlfn.XLOOKUP(_xlfn.CONCAT(E1113,B1113),'Year Wise Master Dep Approach'!F:F,'Year Wise Master Dep Approach'!E:E)</f>
        <v>5</v>
      </c>
      <c r="P1113" s="114">
        <f>IFERROR(IF('FA Addition'!$N1113="WDV",1-('FA Addition'!$M1113/'FA Addition'!$L1113)^(1/'FA Addition'!$O1113),1/'FA Addition'!$O1113),0)</f>
        <v>0.2</v>
      </c>
      <c r="Q1113" s="122">
        <f>'FA Addition'!$P1113*'FA Addition'!$O1113</f>
        <v>1</v>
      </c>
      <c r="R1113" s="122"/>
      <c r="S1113" s="116">
        <f>IF(AND(DATE(20&amp;LEFT(FAAddition[[#This Row],[FY]],2),4,1)&lt;$L$1+1,DATE(20&amp;LEFT(FAAddition[[#This Row],[FY]],2),4,1)&gt;$P$1-1),'FA Addition'!$J1113,0)</f>
        <v>0</v>
      </c>
      <c r="U1113" s="117">
        <f>S1113*'FA Addition'!$L1113/'FA Addition'!$J1113</f>
        <v>0</v>
      </c>
      <c r="W1113" s="116">
        <f>SUMIFS('FA Write off'!D:D,'FA Write off'!A:A,'FA Addition'!$A1113,'FA Write off'!C:C,"&lt;"&amp;'FA Addition'!$P$1)</f>
        <v>0</v>
      </c>
      <c r="Y1113" s="191">
        <f>IFERROR(W1113/'FA Addition'!$J1113*'FA Addition'!$L1113,0)</f>
        <v>0</v>
      </c>
      <c r="AA1113" s="116">
        <f>SUMIFS('FA Write off'!D:D,'FA Write off'!A:A,'FA Addition'!$A1113,'FA Write off'!C:C,"&lt;"&amp;'FA Addition'!$L$1+1,'FA Write off'!C:C,"&gt;"&amp;'FA Addition'!$L$1-365)</f>
        <v>0</v>
      </c>
      <c r="AC1113" s="118">
        <f>IFERROR(AA1113/'FA Addition'!$J1113*'FA Addition'!$L1113,0)</f>
        <v>0</v>
      </c>
      <c r="AE1113" s="117">
        <f>IF(AND('FA Addition'!$D1113&lt;$P$1+1,U1113=0),'FA Addition'!$L1113,0)-Y1113</f>
        <v>0</v>
      </c>
      <c r="AF1113" s="117">
        <f t="shared" si="85"/>
        <v>0</v>
      </c>
      <c r="AG1113" s="117">
        <f>MIN(MAX(+$P$1-'FA Addition'!$D1113,0),365*'FA Addition'!$O1113)</f>
        <v>0</v>
      </c>
      <c r="AH1113" s="117">
        <f>MIN(MAX($L$1-'FA Addition'!$D1113+1,0),365*'FA Addition'!$O1113)</f>
        <v>0</v>
      </c>
      <c r="AI1113" s="117" cm="1">
        <f t="array" ref="AI1113">_xlfn.XLOOKUP(1,('FA Write off'!A:A='FA Addition'!$A1113)*('FA Write off'!D:D=AA1113),'FA Write off'!H:H,0,0)</f>
        <v>0</v>
      </c>
      <c r="AJ1113" s="117">
        <f>IF(AC1113&gt;0,MAX(IF('FA Addition'!$N1113="SLM",($AC1113-'FA Addition'!$M1113)*'FA Addition'!$P1113*AI1113/365,(AC1113-'FA Addition'!$M1113)*(1-(1-'FA Addition'!$P1113)^(AI1113/365))),0),0)</f>
        <v>0</v>
      </c>
      <c r="AL1113" s="117">
        <f>MAX(IF(AG1113&gt;0,IF('FA Addition'!$N1113="SLM",($AE1113-'FA Addition'!$M1113)*'FA Addition'!$P1113*AG1113/365,IFERROR(VDB(AE1113,AE1113*0.05,'FA Addition'!$O1113,0,YEARFRAC('FA Addition'!$C1113,$P$1-1,3),'FA Addition'!$Q1113),FAAddition[[#This Row],[Original Cost (Rs)]]-FAAddition[[#This Row],[Salvage Value]])),0),0)</f>
        <v>0</v>
      </c>
      <c r="AM1113" s="119"/>
      <c r="AN1113" s="117">
        <f>MAX(IF(AH1113&gt;0,IF('FA Addition'!$N1113="SLM",($AF1113-'FA Addition'!$M1113)*'FA Addition'!$P1113*AH1113/365,IFERROR(VDB(AF1113,AF1113*0.05,'FA Addition'!$O1113,0,YEARFRAC('FA Addition'!$C1113,$L$1,3),'FA Addition'!$Q1113),FAAddition[[#This Row],[Original Cost (Rs)]]-FAAddition[[#This Row],[Salvage Value]])),0),0)</f>
        <v>0</v>
      </c>
      <c r="AO1113" s="117">
        <f t="shared" si="88"/>
        <v>0</v>
      </c>
      <c r="AQ1113" s="117">
        <f t="shared" si="86"/>
        <v>0</v>
      </c>
      <c r="AR1113" s="120">
        <f t="shared" si="87"/>
        <v>0</v>
      </c>
      <c r="AS1113" s="121"/>
    </row>
    <row r="1114" spans="1:45" ht="13.5" x14ac:dyDescent="0.4">
      <c r="A1114" s="12">
        <f t="shared" si="89"/>
        <v>1111</v>
      </c>
      <c r="B1114" s="64" t="s">
        <v>1758</v>
      </c>
      <c r="C1114" s="54">
        <v>45496</v>
      </c>
      <c r="D1114" s="54">
        <v>45496</v>
      </c>
      <c r="E1114" s="46" t="s">
        <v>1320</v>
      </c>
      <c r="F1114" s="51" t="s">
        <v>33</v>
      </c>
      <c r="G1114" s="51" t="s">
        <v>36</v>
      </c>
      <c r="H1114" s="51" t="s">
        <v>26</v>
      </c>
      <c r="I1114" s="55" t="s">
        <v>1883</v>
      </c>
      <c r="J1114" s="56">
        <v>1000</v>
      </c>
      <c r="K1114" s="51" t="s">
        <v>1824</v>
      </c>
      <c r="L1114" s="58">
        <v>130000</v>
      </c>
      <c r="M1114" s="50">
        <f>ROUND('FA Addition'!$L1114*5%,0.1)</f>
        <v>6500</v>
      </c>
      <c r="N1114" s="113" t="str">
        <f>_xlfn.XLOOKUP(_xlfn.CONCAT(E1114,B1114),'Year Wise Master Dep Approach'!F:F,'Year Wise Master Dep Approach'!D:D)</f>
        <v>SLM</v>
      </c>
      <c r="O1114" s="113">
        <f>_xlfn.XLOOKUP(_xlfn.CONCAT(E1114,B1114),'Year Wise Master Dep Approach'!F:F,'Year Wise Master Dep Approach'!E:E)</f>
        <v>5</v>
      </c>
      <c r="P1114" s="114">
        <f>IFERROR(IF('FA Addition'!$N1114="WDV",1-('FA Addition'!$M1114/'FA Addition'!$L1114)^(1/'FA Addition'!$O1114),1/'FA Addition'!$O1114),0)</f>
        <v>0.2</v>
      </c>
      <c r="Q1114" s="122">
        <f>'FA Addition'!$P1114*'FA Addition'!$O1114</f>
        <v>1</v>
      </c>
      <c r="R1114" s="122"/>
      <c r="S1114" s="116">
        <f>IF(AND(DATE(20&amp;LEFT(FAAddition[[#This Row],[FY]],2),4,1)&lt;$L$1+1,DATE(20&amp;LEFT(FAAddition[[#This Row],[FY]],2),4,1)&gt;$P$1-1),'FA Addition'!$J1114,0)</f>
        <v>0</v>
      </c>
      <c r="U1114" s="117">
        <f>S1114*'FA Addition'!$L1114/'FA Addition'!$J1114</f>
        <v>0</v>
      </c>
      <c r="W1114" s="116">
        <f>SUMIFS('FA Write off'!D:D,'FA Write off'!A:A,'FA Addition'!$A1114,'FA Write off'!C:C,"&lt;"&amp;'FA Addition'!$P$1)</f>
        <v>0</v>
      </c>
      <c r="Y1114" s="191">
        <f>IFERROR(W1114/'FA Addition'!$J1114*'FA Addition'!$L1114,0)</f>
        <v>0</v>
      </c>
      <c r="AA1114" s="116">
        <f>SUMIFS('FA Write off'!D:D,'FA Write off'!A:A,'FA Addition'!$A1114,'FA Write off'!C:C,"&lt;"&amp;'FA Addition'!$L$1+1,'FA Write off'!C:C,"&gt;"&amp;'FA Addition'!$L$1-365)</f>
        <v>0</v>
      </c>
      <c r="AC1114" s="118">
        <f>IFERROR(AA1114/'FA Addition'!$J1114*'FA Addition'!$L1114,0)</f>
        <v>0</v>
      </c>
      <c r="AE1114" s="117">
        <f>IF(AND('FA Addition'!$D1114&lt;$P$1+1,U1114=0),'FA Addition'!$L1114,0)-Y1114</f>
        <v>0</v>
      </c>
      <c r="AF1114" s="117">
        <f t="shared" si="85"/>
        <v>0</v>
      </c>
      <c r="AG1114" s="117">
        <f>MIN(MAX(+$P$1-'FA Addition'!$D1114,0),365*'FA Addition'!$O1114)</f>
        <v>0</v>
      </c>
      <c r="AH1114" s="117">
        <f>MIN(MAX($L$1-'FA Addition'!$D1114+1,0),365*'FA Addition'!$O1114)</f>
        <v>0</v>
      </c>
      <c r="AI1114" s="117" cm="1">
        <f t="array" ref="AI1114">_xlfn.XLOOKUP(1,('FA Write off'!A:A='FA Addition'!$A1114)*('FA Write off'!D:D=AA1114),'FA Write off'!H:H,0,0)</f>
        <v>0</v>
      </c>
      <c r="AJ1114" s="117">
        <f>IF(AC1114&gt;0,MAX(IF('FA Addition'!$N1114="SLM",($AC1114-'FA Addition'!$M1114)*'FA Addition'!$P1114*AI1114/365,(AC1114-'FA Addition'!$M1114)*(1-(1-'FA Addition'!$P1114)^(AI1114/365))),0),0)</f>
        <v>0</v>
      </c>
      <c r="AL1114" s="117">
        <f>MAX(IF(AG1114&gt;0,IF('FA Addition'!$N1114="SLM",($AE1114-'FA Addition'!$M1114)*'FA Addition'!$P1114*AG1114/365,IFERROR(VDB(AE1114,AE1114*0.05,'FA Addition'!$O1114,0,YEARFRAC('FA Addition'!$C1114,$P$1-1,3),'FA Addition'!$Q1114),FAAddition[[#This Row],[Original Cost (Rs)]]-FAAddition[[#This Row],[Salvage Value]])),0),0)</f>
        <v>0</v>
      </c>
      <c r="AM1114" s="119"/>
      <c r="AN1114" s="117">
        <f>MAX(IF(AH1114&gt;0,IF('FA Addition'!$N1114="SLM",($AF1114-'FA Addition'!$M1114)*'FA Addition'!$P1114*AH1114/365,IFERROR(VDB(AF1114,AF1114*0.05,'FA Addition'!$O1114,0,YEARFRAC('FA Addition'!$C1114,$L$1,3),'FA Addition'!$Q1114),FAAddition[[#This Row],[Original Cost (Rs)]]-FAAddition[[#This Row],[Salvage Value]])),0),0)</f>
        <v>0</v>
      </c>
      <c r="AO1114" s="117">
        <f t="shared" si="88"/>
        <v>0</v>
      </c>
      <c r="AQ1114" s="117">
        <f t="shared" si="86"/>
        <v>0</v>
      </c>
      <c r="AR1114" s="120">
        <f t="shared" si="87"/>
        <v>0</v>
      </c>
      <c r="AS1114" s="121"/>
    </row>
    <row r="1115" spans="1:45" ht="13.5" x14ac:dyDescent="0.4">
      <c r="A1115" s="12">
        <f t="shared" si="89"/>
        <v>1112</v>
      </c>
      <c r="B1115" s="64" t="s">
        <v>1758</v>
      </c>
      <c r="C1115" s="54">
        <v>45496</v>
      </c>
      <c r="D1115" s="54">
        <v>45496</v>
      </c>
      <c r="E1115" s="46" t="s">
        <v>1320</v>
      </c>
      <c r="F1115" s="51" t="s">
        <v>33</v>
      </c>
      <c r="G1115" s="51" t="s">
        <v>34</v>
      </c>
      <c r="H1115" s="51" t="s">
        <v>32</v>
      </c>
      <c r="I1115" s="55" t="s">
        <v>1884</v>
      </c>
      <c r="J1115" s="56">
        <v>1000</v>
      </c>
      <c r="K1115" s="51" t="s">
        <v>295</v>
      </c>
      <c r="L1115" s="58">
        <v>1830000</v>
      </c>
      <c r="M1115" s="50">
        <f>ROUND('FA Addition'!$L1115*5%,0.1)</f>
        <v>91500</v>
      </c>
      <c r="N1115" s="113" t="str">
        <f>_xlfn.XLOOKUP(_xlfn.CONCAT(E1115,B1115),'Year Wise Master Dep Approach'!F:F,'Year Wise Master Dep Approach'!D:D)</f>
        <v>SLM</v>
      </c>
      <c r="O1115" s="113">
        <f>_xlfn.XLOOKUP(_xlfn.CONCAT(E1115,B1115),'Year Wise Master Dep Approach'!F:F,'Year Wise Master Dep Approach'!E:E)</f>
        <v>5</v>
      </c>
      <c r="P1115" s="114">
        <f>IFERROR(IF('FA Addition'!$N1115="WDV",1-('FA Addition'!$M1115/'FA Addition'!$L1115)^(1/'FA Addition'!$O1115),1/'FA Addition'!$O1115),0)</f>
        <v>0.2</v>
      </c>
      <c r="Q1115" s="122">
        <f>'FA Addition'!$P1115*'FA Addition'!$O1115</f>
        <v>1</v>
      </c>
      <c r="R1115" s="122"/>
      <c r="S1115" s="116">
        <f>IF(AND(DATE(20&amp;LEFT(FAAddition[[#This Row],[FY]],2),4,1)&lt;$L$1+1,DATE(20&amp;LEFT(FAAddition[[#This Row],[FY]],2),4,1)&gt;$P$1-1),'FA Addition'!$J1115,0)</f>
        <v>0</v>
      </c>
      <c r="U1115" s="117">
        <f>S1115*'FA Addition'!$L1115/'FA Addition'!$J1115</f>
        <v>0</v>
      </c>
      <c r="W1115" s="116">
        <f>SUMIFS('FA Write off'!D:D,'FA Write off'!A:A,'FA Addition'!$A1115,'FA Write off'!C:C,"&lt;"&amp;'FA Addition'!$P$1)</f>
        <v>0</v>
      </c>
      <c r="Y1115" s="191">
        <f>IFERROR(W1115/'FA Addition'!$J1115*'FA Addition'!$L1115,0)</f>
        <v>0</v>
      </c>
      <c r="AA1115" s="116">
        <f>SUMIFS('FA Write off'!D:D,'FA Write off'!A:A,'FA Addition'!$A1115,'FA Write off'!C:C,"&lt;"&amp;'FA Addition'!$L$1+1,'FA Write off'!C:C,"&gt;"&amp;'FA Addition'!$L$1-365)</f>
        <v>0</v>
      </c>
      <c r="AC1115" s="118">
        <f>IFERROR(AA1115/'FA Addition'!$J1115*'FA Addition'!$L1115,0)</f>
        <v>0</v>
      </c>
      <c r="AE1115" s="117">
        <f>IF(AND('FA Addition'!$D1115&lt;$P$1+1,U1115=0),'FA Addition'!$L1115,0)-Y1115</f>
        <v>0</v>
      </c>
      <c r="AF1115" s="117">
        <f t="shared" si="85"/>
        <v>0</v>
      </c>
      <c r="AG1115" s="117">
        <f>MIN(MAX(+$P$1-'FA Addition'!$D1115,0),365*'FA Addition'!$O1115)</f>
        <v>0</v>
      </c>
      <c r="AH1115" s="117">
        <f>MIN(MAX($L$1-'FA Addition'!$D1115+1,0),365*'FA Addition'!$O1115)</f>
        <v>0</v>
      </c>
      <c r="AI1115" s="117" cm="1">
        <f t="array" ref="AI1115">_xlfn.XLOOKUP(1,('FA Write off'!A:A='FA Addition'!$A1115)*('FA Write off'!D:D=AA1115),'FA Write off'!H:H,0,0)</f>
        <v>0</v>
      </c>
      <c r="AJ1115" s="117">
        <f>IF(AC1115&gt;0,MAX(IF('FA Addition'!$N1115="SLM",($AC1115-'FA Addition'!$M1115)*'FA Addition'!$P1115*AI1115/365,(AC1115-'FA Addition'!$M1115)*(1-(1-'FA Addition'!$P1115)^(AI1115/365))),0),0)</f>
        <v>0</v>
      </c>
      <c r="AL1115" s="117">
        <f>MAX(IF(AG1115&gt;0,IF('FA Addition'!$N1115="SLM",($AE1115-'FA Addition'!$M1115)*'FA Addition'!$P1115*AG1115/365,IFERROR(VDB(AE1115,AE1115*0.05,'FA Addition'!$O1115,0,YEARFRAC('FA Addition'!$C1115,$P$1-1,3),'FA Addition'!$Q1115),FAAddition[[#This Row],[Original Cost (Rs)]]-FAAddition[[#This Row],[Salvage Value]])),0),0)</f>
        <v>0</v>
      </c>
      <c r="AM1115" s="119"/>
      <c r="AN1115" s="117">
        <f>MAX(IF(AH1115&gt;0,IF('FA Addition'!$N1115="SLM",($AF1115-'FA Addition'!$M1115)*'FA Addition'!$P1115*AH1115/365,IFERROR(VDB(AF1115,AF1115*0.05,'FA Addition'!$O1115,0,YEARFRAC('FA Addition'!$C1115,$L$1,3),'FA Addition'!$Q1115),FAAddition[[#This Row],[Original Cost (Rs)]]-FAAddition[[#This Row],[Salvage Value]])),0),0)</f>
        <v>0</v>
      </c>
      <c r="AO1115" s="117">
        <f t="shared" si="88"/>
        <v>0</v>
      </c>
      <c r="AQ1115" s="117">
        <f t="shared" si="86"/>
        <v>0</v>
      </c>
      <c r="AR1115" s="120">
        <f t="shared" si="87"/>
        <v>0</v>
      </c>
      <c r="AS1115" s="121"/>
    </row>
    <row r="1116" spans="1:45" ht="13.5" x14ac:dyDescent="0.4">
      <c r="A1116" s="12">
        <f t="shared" si="89"/>
        <v>1113</v>
      </c>
      <c r="B1116" s="64" t="s">
        <v>1758</v>
      </c>
      <c r="C1116" s="54">
        <v>45497</v>
      </c>
      <c r="D1116" s="54">
        <v>45497</v>
      </c>
      <c r="E1116" s="46" t="s">
        <v>1320</v>
      </c>
      <c r="F1116" s="51" t="s">
        <v>33</v>
      </c>
      <c r="G1116" s="51" t="s">
        <v>34</v>
      </c>
      <c r="H1116" s="51" t="s">
        <v>32</v>
      </c>
      <c r="I1116" s="55" t="s">
        <v>1885</v>
      </c>
      <c r="J1116" s="56">
        <v>2000</v>
      </c>
      <c r="K1116" s="51" t="s">
        <v>295</v>
      </c>
      <c r="L1116" s="58">
        <v>3660000</v>
      </c>
      <c r="M1116" s="50">
        <f>ROUND('FA Addition'!$L1116*5%,0.1)</f>
        <v>183000</v>
      </c>
      <c r="N1116" s="113" t="str">
        <f>_xlfn.XLOOKUP(_xlfn.CONCAT(E1116,B1116),'Year Wise Master Dep Approach'!F:F,'Year Wise Master Dep Approach'!D:D)</f>
        <v>SLM</v>
      </c>
      <c r="O1116" s="113">
        <f>_xlfn.XLOOKUP(_xlfn.CONCAT(E1116,B1116),'Year Wise Master Dep Approach'!F:F,'Year Wise Master Dep Approach'!E:E)</f>
        <v>5</v>
      </c>
      <c r="P1116" s="114">
        <f>IFERROR(IF('FA Addition'!$N1116="WDV",1-('FA Addition'!$M1116/'FA Addition'!$L1116)^(1/'FA Addition'!$O1116),1/'FA Addition'!$O1116),0)</f>
        <v>0.2</v>
      </c>
      <c r="Q1116" s="122">
        <f>'FA Addition'!$P1116*'FA Addition'!$O1116</f>
        <v>1</v>
      </c>
      <c r="R1116" s="122"/>
      <c r="S1116" s="116">
        <f>IF(AND(DATE(20&amp;LEFT(FAAddition[[#This Row],[FY]],2),4,1)&lt;$L$1+1,DATE(20&amp;LEFT(FAAddition[[#This Row],[FY]],2),4,1)&gt;$P$1-1),'FA Addition'!$J1116,0)</f>
        <v>0</v>
      </c>
      <c r="U1116" s="117">
        <f>S1116*'FA Addition'!$L1116/'FA Addition'!$J1116</f>
        <v>0</v>
      </c>
      <c r="W1116" s="116">
        <f>SUMIFS('FA Write off'!D:D,'FA Write off'!A:A,'FA Addition'!$A1116,'FA Write off'!C:C,"&lt;"&amp;'FA Addition'!$P$1)</f>
        <v>0</v>
      </c>
      <c r="Y1116" s="191">
        <f>IFERROR(W1116/'FA Addition'!$J1116*'FA Addition'!$L1116,0)</f>
        <v>0</v>
      </c>
      <c r="AA1116" s="116">
        <f>SUMIFS('FA Write off'!D:D,'FA Write off'!A:A,'FA Addition'!$A1116,'FA Write off'!C:C,"&lt;"&amp;'FA Addition'!$L$1+1,'FA Write off'!C:C,"&gt;"&amp;'FA Addition'!$L$1-365)</f>
        <v>0</v>
      </c>
      <c r="AC1116" s="118">
        <f>IFERROR(AA1116/'FA Addition'!$J1116*'FA Addition'!$L1116,0)</f>
        <v>0</v>
      </c>
      <c r="AE1116" s="117">
        <f>IF(AND('FA Addition'!$D1116&lt;$P$1+1,U1116=0),'FA Addition'!$L1116,0)-Y1116</f>
        <v>0</v>
      </c>
      <c r="AF1116" s="117">
        <f t="shared" si="85"/>
        <v>0</v>
      </c>
      <c r="AG1116" s="117">
        <f>MIN(MAX(+$P$1-'FA Addition'!$D1116,0),365*'FA Addition'!$O1116)</f>
        <v>0</v>
      </c>
      <c r="AH1116" s="117">
        <f>MIN(MAX($L$1-'FA Addition'!$D1116+1,0),365*'FA Addition'!$O1116)</f>
        <v>0</v>
      </c>
      <c r="AI1116" s="117" cm="1">
        <f t="array" ref="AI1116">_xlfn.XLOOKUP(1,('FA Write off'!A:A='FA Addition'!$A1116)*('FA Write off'!D:D=AA1116),'FA Write off'!H:H,0,0)</f>
        <v>0</v>
      </c>
      <c r="AJ1116" s="117">
        <f>IF(AC1116&gt;0,MAX(IF('FA Addition'!$N1116="SLM",($AC1116-'FA Addition'!$M1116)*'FA Addition'!$P1116*AI1116/365,(AC1116-'FA Addition'!$M1116)*(1-(1-'FA Addition'!$P1116)^(AI1116/365))),0),0)</f>
        <v>0</v>
      </c>
      <c r="AL1116" s="117">
        <f>MAX(IF(AG1116&gt;0,IF('FA Addition'!$N1116="SLM",($AE1116-'FA Addition'!$M1116)*'FA Addition'!$P1116*AG1116/365,IFERROR(VDB(AE1116,AE1116*0.05,'FA Addition'!$O1116,0,YEARFRAC('FA Addition'!$C1116,$P$1-1,3),'FA Addition'!$Q1116),FAAddition[[#This Row],[Original Cost (Rs)]]-FAAddition[[#This Row],[Salvage Value]])),0),0)</f>
        <v>0</v>
      </c>
      <c r="AM1116" s="119"/>
      <c r="AN1116" s="117">
        <f>MAX(IF(AH1116&gt;0,IF('FA Addition'!$N1116="SLM",($AF1116-'FA Addition'!$M1116)*'FA Addition'!$P1116*AH1116/365,IFERROR(VDB(AF1116,AF1116*0.05,'FA Addition'!$O1116,0,YEARFRAC('FA Addition'!$C1116,$L$1,3),'FA Addition'!$Q1116),FAAddition[[#This Row],[Original Cost (Rs)]]-FAAddition[[#This Row],[Salvage Value]])),0),0)</f>
        <v>0</v>
      </c>
      <c r="AO1116" s="117">
        <f t="shared" si="88"/>
        <v>0</v>
      </c>
      <c r="AQ1116" s="117">
        <f t="shared" si="86"/>
        <v>0</v>
      </c>
      <c r="AR1116" s="120">
        <f t="shared" si="87"/>
        <v>0</v>
      </c>
      <c r="AS1116" s="121"/>
    </row>
    <row r="1117" spans="1:45" ht="13.5" x14ac:dyDescent="0.4">
      <c r="A1117" s="12">
        <f t="shared" si="89"/>
        <v>1114</v>
      </c>
      <c r="B1117" s="64" t="s">
        <v>1758</v>
      </c>
      <c r="C1117" s="54">
        <v>45498</v>
      </c>
      <c r="D1117" s="54">
        <v>45498</v>
      </c>
      <c r="E1117" s="46" t="s">
        <v>451</v>
      </c>
      <c r="F1117" s="51" t="s">
        <v>19</v>
      </c>
      <c r="G1117" s="51" t="s">
        <v>1728</v>
      </c>
      <c r="H1117" s="51" t="s">
        <v>21</v>
      </c>
      <c r="I1117" s="55" t="s">
        <v>1886</v>
      </c>
      <c r="J1117" s="56">
        <v>1</v>
      </c>
      <c r="K1117" s="51" t="s">
        <v>1813</v>
      </c>
      <c r="L1117" s="58">
        <v>35100</v>
      </c>
      <c r="M1117" s="50">
        <f>ROUND('FA Addition'!$L1117*5%,0.1)</f>
        <v>1755</v>
      </c>
      <c r="N1117" s="113" t="str">
        <f>_xlfn.XLOOKUP(_xlfn.CONCAT(E1117,B1117),'Year Wise Master Dep Approach'!F:F,'Year Wise Master Dep Approach'!D:D)</f>
        <v>WDV</v>
      </c>
      <c r="O1117" s="113">
        <f>_xlfn.XLOOKUP(_xlfn.CONCAT(E1117,B1117),'Year Wise Master Dep Approach'!F:F,'Year Wise Master Dep Approach'!E:E)</f>
        <v>3</v>
      </c>
      <c r="P1117" s="114">
        <f>IFERROR(IF('FA Addition'!$N1117="WDV",1-('FA Addition'!$M1117/'FA Addition'!$L1117)^(1/'FA Addition'!$O1117),1/'FA Addition'!$O1117),0)</f>
        <v>0.63159685013596123</v>
      </c>
      <c r="Q1117" s="122">
        <f>'FA Addition'!$P1117*'FA Addition'!$O1117</f>
        <v>1.8947905504078837</v>
      </c>
      <c r="R1117" s="122"/>
      <c r="S1117" s="116">
        <f>IF(AND(DATE(20&amp;LEFT(FAAddition[[#This Row],[FY]],2),4,1)&lt;$L$1+1,DATE(20&amp;LEFT(FAAddition[[#This Row],[FY]],2),4,1)&gt;$P$1-1),'FA Addition'!$J1117,0)</f>
        <v>0</v>
      </c>
      <c r="U1117" s="117">
        <f>S1117*'FA Addition'!$L1117/'FA Addition'!$J1117</f>
        <v>0</v>
      </c>
      <c r="W1117" s="116">
        <f>SUMIFS('FA Write off'!D:D,'FA Write off'!A:A,'FA Addition'!$A1117,'FA Write off'!C:C,"&lt;"&amp;'FA Addition'!$P$1)</f>
        <v>0</v>
      </c>
      <c r="Y1117" s="191">
        <f>IFERROR(W1117/'FA Addition'!$J1117*'FA Addition'!$L1117,0)</f>
        <v>0</v>
      </c>
      <c r="AA1117" s="116">
        <f>SUMIFS('FA Write off'!D:D,'FA Write off'!A:A,'FA Addition'!$A1117,'FA Write off'!C:C,"&lt;"&amp;'FA Addition'!$L$1+1,'FA Write off'!C:C,"&gt;"&amp;'FA Addition'!$L$1-365)</f>
        <v>0</v>
      </c>
      <c r="AC1117" s="118">
        <f>IFERROR(AA1117/'FA Addition'!$J1117*'FA Addition'!$L1117,0)</f>
        <v>0</v>
      </c>
      <c r="AE1117" s="117">
        <f>IF(AND('FA Addition'!$D1117&lt;$P$1+1,U1117=0),'FA Addition'!$L1117,0)-Y1117</f>
        <v>0</v>
      </c>
      <c r="AF1117" s="117">
        <f t="shared" si="85"/>
        <v>0</v>
      </c>
      <c r="AG1117" s="117">
        <f>MIN(MAX(+$P$1-'FA Addition'!$D1117,0),365*'FA Addition'!$O1117)</f>
        <v>0</v>
      </c>
      <c r="AH1117" s="117">
        <f>MIN(MAX($L$1-'FA Addition'!$D1117+1,0),365*'FA Addition'!$O1117)</f>
        <v>0</v>
      </c>
      <c r="AI1117" s="117" cm="1">
        <f t="array" ref="AI1117">_xlfn.XLOOKUP(1,('FA Write off'!A:A='FA Addition'!$A1117)*('FA Write off'!D:D=AA1117),'FA Write off'!H:H,0,0)</f>
        <v>0</v>
      </c>
      <c r="AJ1117" s="117">
        <f>IF(AC1117&gt;0,MAX(IF('FA Addition'!$N1117="SLM",($AC1117-'FA Addition'!$M1117)*'FA Addition'!$P1117*AI1117/365,(AC1117-'FA Addition'!$M1117)*(1-(1-'FA Addition'!$P1117)^(AI1117/365))),0),0)</f>
        <v>0</v>
      </c>
      <c r="AL1117" s="117">
        <f>MAX(IF(AG1117&gt;0,IF('FA Addition'!$N1117="SLM",($AE1117-'FA Addition'!$M1117)*'FA Addition'!$P1117*AG1117/365,IFERROR(VDB(AE1117,AE1117*0.05,'FA Addition'!$O1117,0,YEARFRAC('FA Addition'!$C1117,$P$1-1,3),'FA Addition'!$Q1117),FAAddition[[#This Row],[Original Cost (Rs)]]-FAAddition[[#This Row],[Salvage Value]])),0),0)</f>
        <v>0</v>
      </c>
      <c r="AM1117" s="119"/>
      <c r="AN1117" s="117">
        <f>MAX(IF(AH1117&gt;0,IF('FA Addition'!$N1117="SLM",($AF1117-'FA Addition'!$M1117)*'FA Addition'!$P1117*AH1117/365,IFERROR(VDB(AF1117,AF1117*0.05,'FA Addition'!$O1117,0,YEARFRAC('FA Addition'!$C1117,$L$1,3),'FA Addition'!$Q1117),FAAddition[[#This Row],[Original Cost (Rs)]]-FAAddition[[#This Row],[Salvage Value]])),0),0)</f>
        <v>0</v>
      </c>
      <c r="AO1117" s="117">
        <f t="shared" si="88"/>
        <v>0</v>
      </c>
      <c r="AQ1117" s="117">
        <f t="shared" si="86"/>
        <v>0</v>
      </c>
      <c r="AR1117" s="120">
        <f t="shared" si="87"/>
        <v>0</v>
      </c>
      <c r="AS1117" s="121"/>
    </row>
    <row r="1118" spans="1:45" ht="13.5" x14ac:dyDescent="0.4">
      <c r="A1118" s="12">
        <f t="shared" si="89"/>
        <v>1115</v>
      </c>
      <c r="B1118" s="64" t="s">
        <v>1758</v>
      </c>
      <c r="C1118" s="54">
        <v>45498</v>
      </c>
      <c r="D1118" s="54">
        <v>45498</v>
      </c>
      <c r="E1118" s="46" t="s">
        <v>451</v>
      </c>
      <c r="F1118" s="51" t="s">
        <v>19</v>
      </c>
      <c r="G1118" s="51" t="s">
        <v>1728</v>
      </c>
      <c r="H1118" s="51" t="s">
        <v>21</v>
      </c>
      <c r="I1118" s="55" t="s">
        <v>1886</v>
      </c>
      <c r="J1118" s="56">
        <v>1</v>
      </c>
      <c r="K1118" s="51" t="s">
        <v>1813</v>
      </c>
      <c r="L1118" s="58">
        <v>35100</v>
      </c>
      <c r="M1118" s="50">
        <f>ROUND('FA Addition'!$L1118*5%,0.1)</f>
        <v>1755</v>
      </c>
      <c r="N1118" s="113" t="str">
        <f>_xlfn.XLOOKUP(_xlfn.CONCAT(E1118,B1118),'Year Wise Master Dep Approach'!F:F,'Year Wise Master Dep Approach'!D:D)</f>
        <v>WDV</v>
      </c>
      <c r="O1118" s="113">
        <f>_xlfn.XLOOKUP(_xlfn.CONCAT(E1118,B1118),'Year Wise Master Dep Approach'!F:F,'Year Wise Master Dep Approach'!E:E)</f>
        <v>3</v>
      </c>
      <c r="P1118" s="114">
        <f>IFERROR(IF('FA Addition'!$N1118="WDV",1-('FA Addition'!$M1118/'FA Addition'!$L1118)^(1/'FA Addition'!$O1118),1/'FA Addition'!$O1118),0)</f>
        <v>0.63159685013596123</v>
      </c>
      <c r="Q1118" s="122">
        <f>'FA Addition'!$P1118*'FA Addition'!$O1118</f>
        <v>1.8947905504078837</v>
      </c>
      <c r="R1118" s="122"/>
      <c r="S1118" s="116">
        <f>IF(AND(DATE(20&amp;LEFT(FAAddition[[#This Row],[FY]],2),4,1)&lt;$L$1+1,DATE(20&amp;LEFT(FAAddition[[#This Row],[FY]],2),4,1)&gt;$P$1-1),'FA Addition'!$J1118,0)</f>
        <v>0</v>
      </c>
      <c r="U1118" s="117">
        <f>S1118*'FA Addition'!$L1118/'FA Addition'!$J1118</f>
        <v>0</v>
      </c>
      <c r="W1118" s="116">
        <f>SUMIFS('FA Write off'!D:D,'FA Write off'!A:A,'FA Addition'!$A1118,'FA Write off'!C:C,"&lt;"&amp;'FA Addition'!$P$1)</f>
        <v>0</v>
      </c>
      <c r="Y1118" s="191">
        <f>IFERROR(W1118/'FA Addition'!$J1118*'FA Addition'!$L1118,0)</f>
        <v>0</v>
      </c>
      <c r="AA1118" s="116">
        <f>SUMIFS('FA Write off'!D:D,'FA Write off'!A:A,'FA Addition'!$A1118,'FA Write off'!C:C,"&lt;"&amp;'FA Addition'!$L$1+1,'FA Write off'!C:C,"&gt;"&amp;'FA Addition'!$L$1-365)</f>
        <v>0</v>
      </c>
      <c r="AC1118" s="118">
        <f>IFERROR(AA1118/'FA Addition'!$J1118*'FA Addition'!$L1118,0)</f>
        <v>0</v>
      </c>
      <c r="AE1118" s="117">
        <f>IF(AND('FA Addition'!$D1118&lt;$P$1+1,U1118=0),'FA Addition'!$L1118,0)-Y1118</f>
        <v>0</v>
      </c>
      <c r="AF1118" s="117">
        <f t="shared" si="85"/>
        <v>0</v>
      </c>
      <c r="AG1118" s="117">
        <f>MIN(MAX(+$P$1-'FA Addition'!$D1118,0),365*'FA Addition'!$O1118)</f>
        <v>0</v>
      </c>
      <c r="AH1118" s="117">
        <f>MIN(MAX($L$1-'FA Addition'!$D1118+1,0),365*'FA Addition'!$O1118)</f>
        <v>0</v>
      </c>
      <c r="AI1118" s="117" cm="1">
        <f t="array" ref="AI1118">_xlfn.XLOOKUP(1,('FA Write off'!A:A='FA Addition'!$A1118)*('FA Write off'!D:D=AA1118),'FA Write off'!H:H,0,0)</f>
        <v>0</v>
      </c>
      <c r="AJ1118" s="117">
        <f>IF(AC1118&gt;0,MAX(IF('FA Addition'!$N1118="SLM",($AC1118-'FA Addition'!$M1118)*'FA Addition'!$P1118*AI1118/365,(AC1118-'FA Addition'!$M1118)*(1-(1-'FA Addition'!$P1118)^(AI1118/365))),0),0)</f>
        <v>0</v>
      </c>
      <c r="AL1118" s="117">
        <f>MAX(IF(AG1118&gt;0,IF('FA Addition'!$N1118="SLM",($AE1118-'FA Addition'!$M1118)*'FA Addition'!$P1118*AG1118/365,IFERROR(VDB(AE1118,AE1118*0.05,'FA Addition'!$O1118,0,YEARFRAC('FA Addition'!$C1118,$P$1-1,3),'FA Addition'!$Q1118),FAAddition[[#This Row],[Original Cost (Rs)]]-FAAddition[[#This Row],[Salvage Value]])),0),0)</f>
        <v>0</v>
      </c>
      <c r="AM1118" s="119"/>
      <c r="AN1118" s="117">
        <f>MAX(IF(AH1118&gt;0,IF('FA Addition'!$N1118="SLM",($AF1118-'FA Addition'!$M1118)*'FA Addition'!$P1118*AH1118/365,IFERROR(VDB(AF1118,AF1118*0.05,'FA Addition'!$O1118,0,YEARFRAC('FA Addition'!$C1118,$L$1,3),'FA Addition'!$Q1118),FAAddition[[#This Row],[Original Cost (Rs)]]-FAAddition[[#This Row],[Salvage Value]])),0),0)</f>
        <v>0</v>
      </c>
      <c r="AO1118" s="117">
        <f t="shared" si="88"/>
        <v>0</v>
      </c>
      <c r="AQ1118" s="117">
        <f t="shared" si="86"/>
        <v>0</v>
      </c>
      <c r="AR1118" s="120">
        <f t="shared" si="87"/>
        <v>0</v>
      </c>
      <c r="AS1118" s="121"/>
    </row>
    <row r="1119" spans="1:45" ht="13.5" x14ac:dyDescent="0.4">
      <c r="A1119" s="12">
        <f t="shared" si="89"/>
        <v>1116</v>
      </c>
      <c r="B1119" s="64" t="s">
        <v>1758</v>
      </c>
      <c r="C1119" s="54">
        <v>45498</v>
      </c>
      <c r="D1119" s="54">
        <v>45498</v>
      </c>
      <c r="E1119" s="46" t="s">
        <v>451</v>
      </c>
      <c r="F1119" s="51" t="s">
        <v>19</v>
      </c>
      <c r="G1119" s="51" t="s">
        <v>1728</v>
      </c>
      <c r="H1119" s="51" t="s">
        <v>21</v>
      </c>
      <c r="I1119" s="55" t="s">
        <v>1886</v>
      </c>
      <c r="J1119" s="56">
        <v>1</v>
      </c>
      <c r="K1119" s="51" t="s">
        <v>1813</v>
      </c>
      <c r="L1119" s="58">
        <v>35100</v>
      </c>
      <c r="M1119" s="50">
        <f>ROUND('FA Addition'!$L1119*5%,0.1)</f>
        <v>1755</v>
      </c>
      <c r="N1119" s="113" t="str">
        <f>_xlfn.XLOOKUP(_xlfn.CONCAT(E1119,B1119),'Year Wise Master Dep Approach'!F:F,'Year Wise Master Dep Approach'!D:D)</f>
        <v>WDV</v>
      </c>
      <c r="O1119" s="113">
        <f>_xlfn.XLOOKUP(_xlfn.CONCAT(E1119,B1119),'Year Wise Master Dep Approach'!F:F,'Year Wise Master Dep Approach'!E:E)</f>
        <v>3</v>
      </c>
      <c r="P1119" s="114">
        <f>IFERROR(IF('FA Addition'!$N1119="WDV",1-('FA Addition'!$M1119/'FA Addition'!$L1119)^(1/'FA Addition'!$O1119),1/'FA Addition'!$O1119),0)</f>
        <v>0.63159685013596123</v>
      </c>
      <c r="Q1119" s="122">
        <f>'FA Addition'!$P1119*'FA Addition'!$O1119</f>
        <v>1.8947905504078837</v>
      </c>
      <c r="R1119" s="122"/>
      <c r="S1119" s="116">
        <f>IF(AND(DATE(20&amp;LEFT(FAAddition[[#This Row],[FY]],2),4,1)&lt;$L$1+1,DATE(20&amp;LEFT(FAAddition[[#This Row],[FY]],2),4,1)&gt;$P$1-1),'FA Addition'!$J1119,0)</f>
        <v>0</v>
      </c>
      <c r="U1119" s="117">
        <f>S1119*'FA Addition'!$L1119/'FA Addition'!$J1119</f>
        <v>0</v>
      </c>
      <c r="W1119" s="116">
        <f>SUMIFS('FA Write off'!D:D,'FA Write off'!A:A,'FA Addition'!$A1119,'FA Write off'!C:C,"&lt;"&amp;'FA Addition'!$P$1)</f>
        <v>0</v>
      </c>
      <c r="Y1119" s="191">
        <f>IFERROR(W1119/'FA Addition'!$J1119*'FA Addition'!$L1119,0)</f>
        <v>0</v>
      </c>
      <c r="AA1119" s="116">
        <f>SUMIFS('FA Write off'!D:D,'FA Write off'!A:A,'FA Addition'!$A1119,'FA Write off'!C:C,"&lt;"&amp;'FA Addition'!$L$1+1,'FA Write off'!C:C,"&gt;"&amp;'FA Addition'!$L$1-365)</f>
        <v>0</v>
      </c>
      <c r="AC1119" s="118">
        <f>IFERROR(AA1119/'FA Addition'!$J1119*'FA Addition'!$L1119,0)</f>
        <v>0</v>
      </c>
      <c r="AE1119" s="117">
        <f>IF(AND('FA Addition'!$D1119&lt;$P$1+1,U1119=0),'FA Addition'!$L1119,0)-Y1119</f>
        <v>0</v>
      </c>
      <c r="AF1119" s="117">
        <f t="shared" si="85"/>
        <v>0</v>
      </c>
      <c r="AG1119" s="117">
        <f>MIN(MAX(+$P$1-'FA Addition'!$D1119,0),365*'FA Addition'!$O1119)</f>
        <v>0</v>
      </c>
      <c r="AH1119" s="117">
        <f>MIN(MAX($L$1-'FA Addition'!$D1119+1,0),365*'FA Addition'!$O1119)</f>
        <v>0</v>
      </c>
      <c r="AI1119" s="117" cm="1">
        <f t="array" ref="AI1119">_xlfn.XLOOKUP(1,('FA Write off'!A:A='FA Addition'!$A1119)*('FA Write off'!D:D=AA1119),'FA Write off'!H:H,0,0)</f>
        <v>0</v>
      </c>
      <c r="AJ1119" s="117">
        <f>IF(AC1119&gt;0,MAX(IF('FA Addition'!$N1119="SLM",($AC1119-'FA Addition'!$M1119)*'FA Addition'!$P1119*AI1119/365,(AC1119-'FA Addition'!$M1119)*(1-(1-'FA Addition'!$P1119)^(AI1119/365))),0),0)</f>
        <v>0</v>
      </c>
      <c r="AL1119" s="117">
        <f>MAX(IF(AG1119&gt;0,IF('FA Addition'!$N1119="SLM",($AE1119-'FA Addition'!$M1119)*'FA Addition'!$P1119*AG1119/365,IFERROR(VDB(AE1119,AE1119*0.05,'FA Addition'!$O1119,0,YEARFRAC('FA Addition'!$C1119,$P$1-1,3),'FA Addition'!$Q1119),FAAddition[[#This Row],[Original Cost (Rs)]]-FAAddition[[#This Row],[Salvage Value]])),0),0)</f>
        <v>0</v>
      </c>
      <c r="AM1119" s="119"/>
      <c r="AN1119" s="117">
        <f>MAX(IF(AH1119&gt;0,IF('FA Addition'!$N1119="SLM",($AF1119-'FA Addition'!$M1119)*'FA Addition'!$P1119*AH1119/365,IFERROR(VDB(AF1119,AF1119*0.05,'FA Addition'!$O1119,0,YEARFRAC('FA Addition'!$C1119,$L$1,3),'FA Addition'!$Q1119),FAAddition[[#This Row],[Original Cost (Rs)]]-FAAddition[[#This Row],[Salvage Value]])),0),0)</f>
        <v>0</v>
      </c>
      <c r="AO1119" s="117">
        <f t="shared" si="88"/>
        <v>0</v>
      </c>
      <c r="AQ1119" s="117">
        <f t="shared" si="86"/>
        <v>0</v>
      </c>
      <c r="AR1119" s="120">
        <f t="shared" si="87"/>
        <v>0</v>
      </c>
      <c r="AS1119" s="121"/>
    </row>
    <row r="1120" spans="1:45" ht="13.5" x14ac:dyDescent="0.4">
      <c r="A1120" s="12">
        <f t="shared" si="89"/>
        <v>1117</v>
      </c>
      <c r="B1120" s="64" t="s">
        <v>1758</v>
      </c>
      <c r="C1120" s="54">
        <v>45498</v>
      </c>
      <c r="D1120" s="54">
        <v>45498</v>
      </c>
      <c r="E1120" s="46" t="s">
        <v>451</v>
      </c>
      <c r="F1120" s="51" t="s">
        <v>19</v>
      </c>
      <c r="G1120" s="51" t="s">
        <v>1728</v>
      </c>
      <c r="H1120" s="51" t="s">
        <v>21</v>
      </c>
      <c r="I1120" s="55" t="s">
        <v>1886</v>
      </c>
      <c r="J1120" s="56">
        <v>1</v>
      </c>
      <c r="K1120" s="51" t="s">
        <v>1813</v>
      </c>
      <c r="L1120" s="58">
        <v>35100</v>
      </c>
      <c r="M1120" s="50">
        <f>ROUND('FA Addition'!$L1120*5%,0.1)</f>
        <v>1755</v>
      </c>
      <c r="N1120" s="113" t="str">
        <f>_xlfn.XLOOKUP(_xlfn.CONCAT(E1120,B1120),'Year Wise Master Dep Approach'!F:F,'Year Wise Master Dep Approach'!D:D)</f>
        <v>WDV</v>
      </c>
      <c r="O1120" s="113">
        <f>_xlfn.XLOOKUP(_xlfn.CONCAT(E1120,B1120),'Year Wise Master Dep Approach'!F:F,'Year Wise Master Dep Approach'!E:E)</f>
        <v>3</v>
      </c>
      <c r="P1120" s="114">
        <f>IFERROR(IF('FA Addition'!$N1120="WDV",1-('FA Addition'!$M1120/'FA Addition'!$L1120)^(1/'FA Addition'!$O1120),1/'FA Addition'!$O1120),0)</f>
        <v>0.63159685013596123</v>
      </c>
      <c r="Q1120" s="122">
        <f>'FA Addition'!$P1120*'FA Addition'!$O1120</f>
        <v>1.8947905504078837</v>
      </c>
      <c r="R1120" s="122"/>
      <c r="S1120" s="116">
        <f>IF(AND(DATE(20&amp;LEFT(FAAddition[[#This Row],[FY]],2),4,1)&lt;$L$1+1,DATE(20&amp;LEFT(FAAddition[[#This Row],[FY]],2),4,1)&gt;$P$1-1),'FA Addition'!$J1120,0)</f>
        <v>0</v>
      </c>
      <c r="U1120" s="117">
        <f>S1120*'FA Addition'!$L1120/'FA Addition'!$J1120</f>
        <v>0</v>
      </c>
      <c r="W1120" s="116">
        <f>SUMIFS('FA Write off'!D:D,'FA Write off'!A:A,'FA Addition'!$A1120,'FA Write off'!C:C,"&lt;"&amp;'FA Addition'!$P$1)</f>
        <v>0</v>
      </c>
      <c r="Y1120" s="191">
        <f>IFERROR(W1120/'FA Addition'!$J1120*'FA Addition'!$L1120,0)</f>
        <v>0</v>
      </c>
      <c r="AA1120" s="116">
        <f>SUMIFS('FA Write off'!D:D,'FA Write off'!A:A,'FA Addition'!$A1120,'FA Write off'!C:C,"&lt;"&amp;'FA Addition'!$L$1+1,'FA Write off'!C:C,"&gt;"&amp;'FA Addition'!$L$1-365)</f>
        <v>0</v>
      </c>
      <c r="AC1120" s="118">
        <f>IFERROR(AA1120/'FA Addition'!$J1120*'FA Addition'!$L1120,0)</f>
        <v>0</v>
      </c>
      <c r="AE1120" s="117">
        <f>IF(AND('FA Addition'!$D1120&lt;$P$1+1,U1120=0),'FA Addition'!$L1120,0)-Y1120</f>
        <v>0</v>
      </c>
      <c r="AF1120" s="117">
        <f t="shared" si="85"/>
        <v>0</v>
      </c>
      <c r="AG1120" s="117">
        <f>MIN(MAX(+$P$1-'FA Addition'!$D1120,0),365*'FA Addition'!$O1120)</f>
        <v>0</v>
      </c>
      <c r="AH1120" s="117">
        <f>MIN(MAX($L$1-'FA Addition'!$D1120+1,0),365*'FA Addition'!$O1120)</f>
        <v>0</v>
      </c>
      <c r="AI1120" s="117" cm="1">
        <f t="array" ref="AI1120">_xlfn.XLOOKUP(1,('FA Write off'!A:A='FA Addition'!$A1120)*('FA Write off'!D:D=AA1120),'FA Write off'!H:H,0,0)</f>
        <v>0</v>
      </c>
      <c r="AJ1120" s="117">
        <f>IF(AC1120&gt;0,MAX(IF('FA Addition'!$N1120="SLM",($AC1120-'FA Addition'!$M1120)*'FA Addition'!$P1120*AI1120/365,(AC1120-'FA Addition'!$M1120)*(1-(1-'FA Addition'!$P1120)^(AI1120/365))),0),0)</f>
        <v>0</v>
      </c>
      <c r="AL1120" s="117">
        <f>MAX(IF(AG1120&gt;0,IF('FA Addition'!$N1120="SLM",($AE1120-'FA Addition'!$M1120)*'FA Addition'!$P1120*AG1120/365,IFERROR(VDB(AE1120,AE1120*0.05,'FA Addition'!$O1120,0,YEARFRAC('FA Addition'!$C1120,$P$1-1,3),'FA Addition'!$Q1120),FAAddition[[#This Row],[Original Cost (Rs)]]-FAAddition[[#This Row],[Salvage Value]])),0),0)</f>
        <v>0</v>
      </c>
      <c r="AM1120" s="119"/>
      <c r="AN1120" s="117">
        <f>MAX(IF(AH1120&gt;0,IF('FA Addition'!$N1120="SLM",($AF1120-'FA Addition'!$M1120)*'FA Addition'!$P1120*AH1120/365,IFERROR(VDB(AF1120,AF1120*0.05,'FA Addition'!$O1120,0,YEARFRAC('FA Addition'!$C1120,$L$1,3),'FA Addition'!$Q1120),FAAddition[[#This Row],[Original Cost (Rs)]]-FAAddition[[#This Row],[Salvage Value]])),0),0)</f>
        <v>0</v>
      </c>
      <c r="AO1120" s="117">
        <f t="shared" si="88"/>
        <v>0</v>
      </c>
      <c r="AQ1120" s="117">
        <f t="shared" si="86"/>
        <v>0</v>
      </c>
      <c r="AR1120" s="120">
        <f t="shared" si="87"/>
        <v>0</v>
      </c>
      <c r="AS1120" s="121"/>
    </row>
    <row r="1121" spans="1:45" ht="13.5" x14ac:dyDescent="0.4">
      <c r="A1121" s="12">
        <f t="shared" si="89"/>
        <v>1118</v>
      </c>
      <c r="B1121" s="64" t="s">
        <v>1758</v>
      </c>
      <c r="C1121" s="54">
        <v>45498</v>
      </c>
      <c r="D1121" s="54">
        <v>45498</v>
      </c>
      <c r="E1121" s="46" t="s">
        <v>451</v>
      </c>
      <c r="F1121" s="51" t="s">
        <v>19</v>
      </c>
      <c r="G1121" s="51" t="s">
        <v>1728</v>
      </c>
      <c r="H1121" s="51" t="s">
        <v>21</v>
      </c>
      <c r="I1121" s="55">
        <v>3473</v>
      </c>
      <c r="J1121" s="56">
        <v>1</v>
      </c>
      <c r="K1121" s="51" t="s">
        <v>1813</v>
      </c>
      <c r="L1121" s="58">
        <v>35100</v>
      </c>
      <c r="M1121" s="50">
        <f>ROUND('FA Addition'!$L1121*5%,0.1)</f>
        <v>1755</v>
      </c>
      <c r="N1121" s="113" t="str">
        <f>_xlfn.XLOOKUP(_xlfn.CONCAT(E1121,B1121),'Year Wise Master Dep Approach'!F:F,'Year Wise Master Dep Approach'!D:D)</f>
        <v>WDV</v>
      </c>
      <c r="O1121" s="113">
        <f>_xlfn.XLOOKUP(_xlfn.CONCAT(E1121,B1121),'Year Wise Master Dep Approach'!F:F,'Year Wise Master Dep Approach'!E:E)</f>
        <v>3</v>
      </c>
      <c r="P1121" s="114">
        <f>IFERROR(IF('FA Addition'!$N1121="WDV",1-('FA Addition'!$M1121/'FA Addition'!$L1121)^(1/'FA Addition'!$O1121),1/'FA Addition'!$O1121),0)</f>
        <v>0.63159685013596123</v>
      </c>
      <c r="Q1121" s="122">
        <f>'FA Addition'!$P1121*'FA Addition'!$O1121</f>
        <v>1.8947905504078837</v>
      </c>
      <c r="R1121" s="122"/>
      <c r="S1121" s="116">
        <f>IF(AND(DATE(20&amp;LEFT(FAAddition[[#This Row],[FY]],2),4,1)&lt;$L$1+1,DATE(20&amp;LEFT(FAAddition[[#This Row],[FY]],2),4,1)&gt;$P$1-1),'FA Addition'!$J1121,0)</f>
        <v>0</v>
      </c>
      <c r="U1121" s="117">
        <f>S1121*'FA Addition'!$L1121/'FA Addition'!$J1121</f>
        <v>0</v>
      </c>
      <c r="W1121" s="116">
        <f>SUMIFS('FA Write off'!D:D,'FA Write off'!A:A,'FA Addition'!$A1121,'FA Write off'!C:C,"&lt;"&amp;'FA Addition'!$P$1)</f>
        <v>0</v>
      </c>
      <c r="Y1121" s="191">
        <f>IFERROR(W1121/'FA Addition'!$J1121*'FA Addition'!$L1121,0)</f>
        <v>0</v>
      </c>
      <c r="AA1121" s="116">
        <f>SUMIFS('FA Write off'!D:D,'FA Write off'!A:A,'FA Addition'!$A1121,'FA Write off'!C:C,"&lt;"&amp;'FA Addition'!$L$1+1,'FA Write off'!C:C,"&gt;"&amp;'FA Addition'!$L$1-365)</f>
        <v>0</v>
      </c>
      <c r="AC1121" s="118">
        <f>IFERROR(AA1121/'FA Addition'!$J1121*'FA Addition'!$L1121,0)</f>
        <v>0</v>
      </c>
      <c r="AE1121" s="117">
        <f>IF(AND('FA Addition'!$D1121&lt;$P$1+1,U1121=0),'FA Addition'!$L1121,0)-Y1121</f>
        <v>0</v>
      </c>
      <c r="AF1121" s="117">
        <f t="shared" si="85"/>
        <v>0</v>
      </c>
      <c r="AG1121" s="117">
        <f>MIN(MAX(+$P$1-'FA Addition'!$D1121,0),365*'FA Addition'!$O1121)</f>
        <v>0</v>
      </c>
      <c r="AH1121" s="117">
        <f>MIN(MAX($L$1-'FA Addition'!$D1121+1,0),365*'FA Addition'!$O1121)</f>
        <v>0</v>
      </c>
      <c r="AI1121" s="117" cm="1">
        <f t="array" ref="AI1121">_xlfn.XLOOKUP(1,('FA Write off'!A:A='FA Addition'!$A1121)*('FA Write off'!D:D=AA1121),'FA Write off'!H:H,0,0)</f>
        <v>0</v>
      </c>
      <c r="AJ1121" s="117">
        <f>IF(AC1121&gt;0,MAX(IF('FA Addition'!$N1121="SLM",($AC1121-'FA Addition'!$M1121)*'FA Addition'!$P1121*AI1121/365,(AC1121-'FA Addition'!$M1121)*(1-(1-'FA Addition'!$P1121)^(AI1121/365))),0),0)</f>
        <v>0</v>
      </c>
      <c r="AL1121" s="117">
        <f>MAX(IF(AG1121&gt;0,IF('FA Addition'!$N1121="SLM",($AE1121-'FA Addition'!$M1121)*'FA Addition'!$P1121*AG1121/365,IFERROR(VDB(AE1121,AE1121*0.05,'FA Addition'!$O1121,0,YEARFRAC('FA Addition'!$C1121,$P$1-1,3),'FA Addition'!$Q1121),FAAddition[[#This Row],[Original Cost (Rs)]]-FAAddition[[#This Row],[Salvage Value]])),0),0)</f>
        <v>0</v>
      </c>
      <c r="AM1121" s="119"/>
      <c r="AN1121" s="117">
        <f>MAX(IF(AH1121&gt;0,IF('FA Addition'!$N1121="SLM",($AF1121-'FA Addition'!$M1121)*'FA Addition'!$P1121*AH1121/365,IFERROR(VDB(AF1121,AF1121*0.05,'FA Addition'!$O1121,0,YEARFRAC('FA Addition'!$C1121,$L$1,3),'FA Addition'!$Q1121),FAAddition[[#This Row],[Original Cost (Rs)]]-FAAddition[[#This Row],[Salvage Value]])),0),0)</f>
        <v>0</v>
      </c>
      <c r="AO1121" s="117">
        <f t="shared" si="88"/>
        <v>0</v>
      </c>
      <c r="AQ1121" s="117">
        <f t="shared" si="86"/>
        <v>0</v>
      </c>
      <c r="AR1121" s="120">
        <f t="shared" si="87"/>
        <v>0</v>
      </c>
      <c r="AS1121" s="121"/>
    </row>
    <row r="1122" spans="1:45" ht="13.5" x14ac:dyDescent="0.4">
      <c r="A1122" s="12">
        <f t="shared" si="89"/>
        <v>1119</v>
      </c>
      <c r="B1122" s="64" t="s">
        <v>1758</v>
      </c>
      <c r="C1122" s="54">
        <v>45502</v>
      </c>
      <c r="D1122" s="54">
        <v>45513</v>
      </c>
      <c r="E1122" s="46" t="s">
        <v>1320</v>
      </c>
      <c r="F1122" s="51" t="s">
        <v>33</v>
      </c>
      <c r="G1122" s="51" t="s">
        <v>34</v>
      </c>
      <c r="H1122" s="51" t="s">
        <v>32</v>
      </c>
      <c r="I1122" s="55" t="s">
        <v>1887</v>
      </c>
      <c r="J1122" s="56">
        <v>1000</v>
      </c>
      <c r="K1122" s="51" t="s">
        <v>295</v>
      </c>
      <c r="L1122" s="58">
        <v>1830000</v>
      </c>
      <c r="M1122" s="50">
        <f>ROUND('FA Addition'!$L1122*5%,0.1)</f>
        <v>91500</v>
      </c>
      <c r="N1122" s="113" t="str">
        <f>_xlfn.XLOOKUP(_xlfn.CONCAT(E1122,B1122),'Year Wise Master Dep Approach'!F:F,'Year Wise Master Dep Approach'!D:D)</f>
        <v>SLM</v>
      </c>
      <c r="O1122" s="113">
        <f>_xlfn.XLOOKUP(_xlfn.CONCAT(E1122,B1122),'Year Wise Master Dep Approach'!F:F,'Year Wise Master Dep Approach'!E:E)</f>
        <v>5</v>
      </c>
      <c r="P1122" s="114">
        <f>IFERROR(IF('FA Addition'!$N1122="WDV",1-('FA Addition'!$M1122/'FA Addition'!$L1122)^(1/'FA Addition'!$O1122),1/'FA Addition'!$O1122),0)</f>
        <v>0.2</v>
      </c>
      <c r="Q1122" s="122">
        <f>'FA Addition'!$P1122*'FA Addition'!$O1122</f>
        <v>1</v>
      </c>
      <c r="R1122" s="122"/>
      <c r="S1122" s="116">
        <f>IF(AND(DATE(20&amp;LEFT(FAAddition[[#This Row],[FY]],2),4,1)&lt;$L$1+1,DATE(20&amp;LEFT(FAAddition[[#This Row],[FY]],2),4,1)&gt;$P$1-1),'FA Addition'!$J1122,0)</f>
        <v>0</v>
      </c>
      <c r="U1122" s="117">
        <f>S1122*'FA Addition'!$L1122/'FA Addition'!$J1122</f>
        <v>0</v>
      </c>
      <c r="W1122" s="116">
        <f>SUMIFS('FA Write off'!D:D,'FA Write off'!A:A,'FA Addition'!$A1122,'FA Write off'!C:C,"&lt;"&amp;'FA Addition'!$P$1)</f>
        <v>0</v>
      </c>
      <c r="Y1122" s="191">
        <f>IFERROR(W1122/'FA Addition'!$J1122*'FA Addition'!$L1122,0)</f>
        <v>0</v>
      </c>
      <c r="AA1122" s="116">
        <f>SUMIFS('FA Write off'!D:D,'FA Write off'!A:A,'FA Addition'!$A1122,'FA Write off'!C:C,"&lt;"&amp;'FA Addition'!$L$1+1,'FA Write off'!C:C,"&gt;"&amp;'FA Addition'!$L$1-365)</f>
        <v>0</v>
      </c>
      <c r="AC1122" s="118">
        <f>IFERROR(AA1122/'FA Addition'!$J1122*'FA Addition'!$L1122,0)</f>
        <v>0</v>
      </c>
      <c r="AE1122" s="117">
        <f>IF(AND('FA Addition'!$D1122&lt;$P$1+1,U1122=0),'FA Addition'!$L1122,0)-Y1122</f>
        <v>0</v>
      </c>
      <c r="AF1122" s="117">
        <f t="shared" si="85"/>
        <v>0</v>
      </c>
      <c r="AG1122" s="117">
        <f>MIN(MAX(+$P$1-'FA Addition'!$D1122,0),365*'FA Addition'!$O1122)</f>
        <v>0</v>
      </c>
      <c r="AH1122" s="117">
        <f>MIN(MAX($L$1-'FA Addition'!$D1122+1,0),365*'FA Addition'!$O1122)</f>
        <v>0</v>
      </c>
      <c r="AI1122" s="117" cm="1">
        <f t="array" ref="AI1122">_xlfn.XLOOKUP(1,('FA Write off'!A:A='FA Addition'!$A1122)*('FA Write off'!D:D=AA1122),'FA Write off'!H:H,0,0)</f>
        <v>0</v>
      </c>
      <c r="AJ1122" s="117">
        <f>IF(AC1122&gt;0,MAX(IF('FA Addition'!$N1122="SLM",($AC1122-'FA Addition'!$M1122)*'FA Addition'!$P1122*AI1122/365,(AC1122-'FA Addition'!$M1122)*(1-(1-'FA Addition'!$P1122)^(AI1122/365))),0),0)</f>
        <v>0</v>
      </c>
      <c r="AL1122" s="117">
        <f>MAX(IF(AG1122&gt;0,IF('FA Addition'!$N1122="SLM",($AE1122-'FA Addition'!$M1122)*'FA Addition'!$P1122*AG1122/365,IFERROR(VDB(AE1122,AE1122*0.05,'FA Addition'!$O1122,0,YEARFRAC('FA Addition'!$C1122,$P$1-1,3),'FA Addition'!$Q1122),FAAddition[[#This Row],[Original Cost (Rs)]]-FAAddition[[#This Row],[Salvage Value]])),0),0)</f>
        <v>0</v>
      </c>
      <c r="AM1122" s="119"/>
      <c r="AN1122" s="117">
        <f>MAX(IF(AH1122&gt;0,IF('FA Addition'!$N1122="SLM",($AF1122-'FA Addition'!$M1122)*'FA Addition'!$P1122*AH1122/365,IFERROR(VDB(AF1122,AF1122*0.05,'FA Addition'!$O1122,0,YEARFRAC('FA Addition'!$C1122,$L$1,3),'FA Addition'!$Q1122),FAAddition[[#This Row],[Original Cost (Rs)]]-FAAddition[[#This Row],[Salvage Value]])),0),0)</f>
        <v>0</v>
      </c>
      <c r="AO1122" s="117">
        <f t="shared" si="88"/>
        <v>0</v>
      </c>
      <c r="AQ1122" s="117">
        <f t="shared" si="86"/>
        <v>0</v>
      </c>
      <c r="AR1122" s="120">
        <f t="shared" si="87"/>
        <v>0</v>
      </c>
      <c r="AS1122" s="121"/>
    </row>
    <row r="1123" spans="1:45" ht="13.5" x14ac:dyDescent="0.4">
      <c r="A1123" s="12">
        <f t="shared" si="89"/>
        <v>1120</v>
      </c>
      <c r="B1123" s="64" t="s">
        <v>1758</v>
      </c>
      <c r="C1123" s="54">
        <v>45503</v>
      </c>
      <c r="D1123" s="54">
        <v>45513</v>
      </c>
      <c r="E1123" s="46" t="s">
        <v>1320</v>
      </c>
      <c r="F1123" s="51" t="s">
        <v>33</v>
      </c>
      <c r="G1123" s="51" t="s">
        <v>34</v>
      </c>
      <c r="H1123" s="51" t="s">
        <v>32</v>
      </c>
      <c r="I1123" s="55" t="s">
        <v>1888</v>
      </c>
      <c r="J1123" s="56">
        <v>1000</v>
      </c>
      <c r="K1123" s="51" t="s">
        <v>295</v>
      </c>
      <c r="L1123" s="58">
        <v>1830000</v>
      </c>
      <c r="M1123" s="50">
        <f>ROUND('FA Addition'!$L1123*5%,0.1)</f>
        <v>91500</v>
      </c>
      <c r="N1123" s="113" t="str">
        <f>_xlfn.XLOOKUP(_xlfn.CONCAT(E1123,B1123),'Year Wise Master Dep Approach'!F:F,'Year Wise Master Dep Approach'!D:D)</f>
        <v>SLM</v>
      </c>
      <c r="O1123" s="113">
        <f>_xlfn.XLOOKUP(_xlfn.CONCAT(E1123,B1123),'Year Wise Master Dep Approach'!F:F,'Year Wise Master Dep Approach'!E:E)</f>
        <v>5</v>
      </c>
      <c r="P1123" s="114">
        <f>IFERROR(IF('FA Addition'!$N1123="WDV",1-('FA Addition'!$M1123/'FA Addition'!$L1123)^(1/'FA Addition'!$O1123),1/'FA Addition'!$O1123),0)</f>
        <v>0.2</v>
      </c>
      <c r="Q1123" s="122">
        <f>'FA Addition'!$P1123*'FA Addition'!$O1123</f>
        <v>1</v>
      </c>
      <c r="R1123" s="122"/>
      <c r="S1123" s="116">
        <f>IF(AND(DATE(20&amp;LEFT(FAAddition[[#This Row],[FY]],2),4,1)&lt;$L$1+1,DATE(20&amp;LEFT(FAAddition[[#This Row],[FY]],2),4,1)&gt;$P$1-1),'FA Addition'!$J1123,0)</f>
        <v>0</v>
      </c>
      <c r="U1123" s="117">
        <f>S1123*'FA Addition'!$L1123/'FA Addition'!$J1123</f>
        <v>0</v>
      </c>
      <c r="W1123" s="116">
        <f>SUMIFS('FA Write off'!D:D,'FA Write off'!A:A,'FA Addition'!$A1123,'FA Write off'!C:C,"&lt;"&amp;'FA Addition'!$P$1)</f>
        <v>0</v>
      </c>
      <c r="Y1123" s="191">
        <f>IFERROR(W1123/'FA Addition'!$J1123*'FA Addition'!$L1123,0)</f>
        <v>0</v>
      </c>
      <c r="AA1123" s="116">
        <f>SUMIFS('FA Write off'!D:D,'FA Write off'!A:A,'FA Addition'!$A1123,'FA Write off'!C:C,"&lt;"&amp;'FA Addition'!$L$1+1,'FA Write off'!C:C,"&gt;"&amp;'FA Addition'!$L$1-365)</f>
        <v>0</v>
      </c>
      <c r="AC1123" s="118">
        <f>IFERROR(AA1123/'FA Addition'!$J1123*'FA Addition'!$L1123,0)</f>
        <v>0</v>
      </c>
      <c r="AE1123" s="117">
        <f>IF(AND('FA Addition'!$D1123&lt;$P$1+1,U1123=0),'FA Addition'!$L1123,0)-Y1123</f>
        <v>0</v>
      </c>
      <c r="AF1123" s="117">
        <f t="shared" si="85"/>
        <v>0</v>
      </c>
      <c r="AG1123" s="117">
        <f>MIN(MAX(+$P$1-'FA Addition'!$D1123,0),365*'FA Addition'!$O1123)</f>
        <v>0</v>
      </c>
      <c r="AH1123" s="117">
        <f>MIN(MAX($L$1-'FA Addition'!$D1123+1,0),365*'FA Addition'!$O1123)</f>
        <v>0</v>
      </c>
      <c r="AI1123" s="117" cm="1">
        <f t="array" ref="AI1123">_xlfn.XLOOKUP(1,('FA Write off'!A:A='FA Addition'!$A1123)*('FA Write off'!D:D=AA1123),'FA Write off'!H:H,0,0)</f>
        <v>0</v>
      </c>
      <c r="AJ1123" s="117">
        <f>IF(AC1123&gt;0,MAX(IF('FA Addition'!$N1123="SLM",($AC1123-'FA Addition'!$M1123)*'FA Addition'!$P1123*AI1123/365,(AC1123-'FA Addition'!$M1123)*(1-(1-'FA Addition'!$P1123)^(AI1123/365))),0),0)</f>
        <v>0</v>
      </c>
      <c r="AL1123" s="117">
        <f>MAX(IF(AG1123&gt;0,IF('FA Addition'!$N1123="SLM",($AE1123-'FA Addition'!$M1123)*'FA Addition'!$P1123*AG1123/365,IFERROR(VDB(AE1123,AE1123*0.05,'FA Addition'!$O1123,0,YEARFRAC('FA Addition'!$C1123,$P$1-1,3),'FA Addition'!$Q1123),FAAddition[[#This Row],[Original Cost (Rs)]]-FAAddition[[#This Row],[Salvage Value]])),0),0)</f>
        <v>0</v>
      </c>
      <c r="AM1123" s="119"/>
      <c r="AN1123" s="117">
        <f>MAX(IF(AH1123&gt;0,IF('FA Addition'!$N1123="SLM",($AF1123-'FA Addition'!$M1123)*'FA Addition'!$P1123*AH1123/365,IFERROR(VDB(AF1123,AF1123*0.05,'FA Addition'!$O1123,0,YEARFRAC('FA Addition'!$C1123,$L$1,3),'FA Addition'!$Q1123),FAAddition[[#This Row],[Original Cost (Rs)]]-FAAddition[[#This Row],[Salvage Value]])),0),0)</f>
        <v>0</v>
      </c>
      <c r="AO1123" s="117">
        <f t="shared" si="88"/>
        <v>0</v>
      </c>
      <c r="AQ1123" s="117">
        <f t="shared" si="86"/>
        <v>0</v>
      </c>
      <c r="AR1123" s="120">
        <f t="shared" si="87"/>
        <v>0</v>
      </c>
      <c r="AS1123" s="121"/>
    </row>
    <row r="1124" spans="1:45" ht="13.5" x14ac:dyDescent="0.4">
      <c r="A1124" s="12">
        <f t="shared" si="89"/>
        <v>1121</v>
      </c>
      <c r="B1124" s="64" t="s">
        <v>1758</v>
      </c>
      <c r="C1124" s="54">
        <v>45504</v>
      </c>
      <c r="D1124" s="54">
        <v>45513</v>
      </c>
      <c r="E1124" s="46" t="s">
        <v>1320</v>
      </c>
      <c r="F1124" s="51" t="s">
        <v>33</v>
      </c>
      <c r="G1124" s="51" t="s">
        <v>34</v>
      </c>
      <c r="H1124" s="51" t="s">
        <v>32</v>
      </c>
      <c r="I1124" s="55" t="s">
        <v>1889</v>
      </c>
      <c r="J1124" s="56">
        <v>1000</v>
      </c>
      <c r="K1124" s="51" t="s">
        <v>295</v>
      </c>
      <c r="L1124" s="58">
        <v>1830000</v>
      </c>
      <c r="M1124" s="50">
        <f>ROUND('FA Addition'!$L1124*5%,0.1)</f>
        <v>91500</v>
      </c>
      <c r="N1124" s="113" t="str">
        <f>_xlfn.XLOOKUP(_xlfn.CONCAT(E1124,B1124),'Year Wise Master Dep Approach'!F:F,'Year Wise Master Dep Approach'!D:D)</f>
        <v>SLM</v>
      </c>
      <c r="O1124" s="113">
        <f>_xlfn.XLOOKUP(_xlfn.CONCAT(E1124,B1124),'Year Wise Master Dep Approach'!F:F,'Year Wise Master Dep Approach'!E:E)</f>
        <v>5</v>
      </c>
      <c r="P1124" s="114">
        <f>IFERROR(IF('FA Addition'!$N1124="WDV",1-('FA Addition'!$M1124/'FA Addition'!$L1124)^(1/'FA Addition'!$O1124),1/'FA Addition'!$O1124),0)</f>
        <v>0.2</v>
      </c>
      <c r="Q1124" s="122">
        <f>'FA Addition'!$P1124*'FA Addition'!$O1124</f>
        <v>1</v>
      </c>
      <c r="R1124" s="122"/>
      <c r="S1124" s="116">
        <f>IF(AND(DATE(20&amp;LEFT(FAAddition[[#This Row],[FY]],2),4,1)&lt;$L$1+1,DATE(20&amp;LEFT(FAAddition[[#This Row],[FY]],2),4,1)&gt;$P$1-1),'FA Addition'!$J1124,0)</f>
        <v>0</v>
      </c>
      <c r="U1124" s="117">
        <f>S1124*'FA Addition'!$L1124/'FA Addition'!$J1124</f>
        <v>0</v>
      </c>
      <c r="W1124" s="116">
        <f>SUMIFS('FA Write off'!D:D,'FA Write off'!A:A,'FA Addition'!$A1124,'FA Write off'!C:C,"&lt;"&amp;'FA Addition'!$P$1)</f>
        <v>0</v>
      </c>
      <c r="Y1124" s="191">
        <f>IFERROR(W1124/'FA Addition'!$J1124*'FA Addition'!$L1124,0)</f>
        <v>0</v>
      </c>
      <c r="AA1124" s="116">
        <f>SUMIFS('FA Write off'!D:D,'FA Write off'!A:A,'FA Addition'!$A1124,'FA Write off'!C:C,"&lt;"&amp;'FA Addition'!$L$1+1,'FA Write off'!C:C,"&gt;"&amp;'FA Addition'!$L$1-365)</f>
        <v>0</v>
      </c>
      <c r="AC1124" s="118">
        <f>IFERROR(AA1124/'FA Addition'!$J1124*'FA Addition'!$L1124,0)</f>
        <v>0</v>
      </c>
      <c r="AE1124" s="117">
        <f>IF(AND('FA Addition'!$D1124&lt;$P$1+1,U1124=0),'FA Addition'!$L1124,0)-Y1124</f>
        <v>0</v>
      </c>
      <c r="AF1124" s="117">
        <f t="shared" si="85"/>
        <v>0</v>
      </c>
      <c r="AG1124" s="117">
        <f>MIN(MAX(+$P$1-'FA Addition'!$D1124,0),365*'FA Addition'!$O1124)</f>
        <v>0</v>
      </c>
      <c r="AH1124" s="117">
        <f>MIN(MAX($L$1-'FA Addition'!$D1124+1,0),365*'FA Addition'!$O1124)</f>
        <v>0</v>
      </c>
      <c r="AI1124" s="117" cm="1">
        <f t="array" ref="AI1124">_xlfn.XLOOKUP(1,('FA Write off'!A:A='FA Addition'!$A1124)*('FA Write off'!D:D=AA1124),'FA Write off'!H:H,0,0)</f>
        <v>0</v>
      </c>
      <c r="AJ1124" s="117">
        <f>IF(AC1124&gt;0,MAX(IF('FA Addition'!$N1124="SLM",($AC1124-'FA Addition'!$M1124)*'FA Addition'!$P1124*AI1124/365,(AC1124-'FA Addition'!$M1124)*(1-(1-'FA Addition'!$P1124)^(AI1124/365))),0),0)</f>
        <v>0</v>
      </c>
      <c r="AL1124" s="117">
        <f>MAX(IF(AG1124&gt;0,IF('FA Addition'!$N1124="SLM",($AE1124-'FA Addition'!$M1124)*'FA Addition'!$P1124*AG1124/365,IFERROR(VDB(AE1124,AE1124*0.05,'FA Addition'!$O1124,0,YEARFRAC('FA Addition'!$C1124,$P$1-1,3),'FA Addition'!$Q1124),FAAddition[[#This Row],[Original Cost (Rs)]]-FAAddition[[#This Row],[Salvage Value]])),0),0)</f>
        <v>0</v>
      </c>
      <c r="AM1124" s="119"/>
      <c r="AN1124" s="117">
        <f>MAX(IF(AH1124&gt;0,IF('FA Addition'!$N1124="SLM",($AF1124-'FA Addition'!$M1124)*'FA Addition'!$P1124*AH1124/365,IFERROR(VDB(AF1124,AF1124*0.05,'FA Addition'!$O1124,0,YEARFRAC('FA Addition'!$C1124,$L$1,3),'FA Addition'!$Q1124),FAAddition[[#This Row],[Original Cost (Rs)]]-FAAddition[[#This Row],[Salvage Value]])),0),0)</f>
        <v>0</v>
      </c>
      <c r="AO1124" s="117">
        <f t="shared" si="88"/>
        <v>0</v>
      </c>
      <c r="AQ1124" s="117">
        <f t="shared" si="86"/>
        <v>0</v>
      </c>
      <c r="AR1124" s="120">
        <f t="shared" si="87"/>
        <v>0</v>
      </c>
      <c r="AS1124" s="121"/>
    </row>
    <row r="1125" spans="1:45" ht="13.5" x14ac:dyDescent="0.4">
      <c r="A1125" s="12">
        <f t="shared" si="89"/>
        <v>1122</v>
      </c>
      <c r="B1125" s="64" t="s">
        <v>1758</v>
      </c>
      <c r="C1125" s="54">
        <v>45506</v>
      </c>
      <c r="D1125" s="54">
        <v>45513</v>
      </c>
      <c r="E1125" s="46" t="s">
        <v>1320</v>
      </c>
      <c r="F1125" s="51" t="s">
        <v>33</v>
      </c>
      <c r="G1125" s="51" t="s">
        <v>34</v>
      </c>
      <c r="H1125" s="51" t="s">
        <v>32</v>
      </c>
      <c r="I1125" s="55" t="s">
        <v>1890</v>
      </c>
      <c r="J1125" s="56">
        <v>1500</v>
      </c>
      <c r="K1125" s="51" t="s">
        <v>295</v>
      </c>
      <c r="L1125" s="58">
        <v>2745000</v>
      </c>
      <c r="M1125" s="50">
        <f>ROUND('FA Addition'!$L1125*5%,0.1)</f>
        <v>137250</v>
      </c>
      <c r="N1125" s="113" t="str">
        <f>_xlfn.XLOOKUP(_xlfn.CONCAT(E1125,B1125),'Year Wise Master Dep Approach'!F:F,'Year Wise Master Dep Approach'!D:D)</f>
        <v>SLM</v>
      </c>
      <c r="O1125" s="113">
        <f>_xlfn.XLOOKUP(_xlfn.CONCAT(E1125,B1125),'Year Wise Master Dep Approach'!F:F,'Year Wise Master Dep Approach'!E:E)</f>
        <v>5</v>
      </c>
      <c r="P1125" s="114">
        <f>IFERROR(IF('FA Addition'!$N1125="WDV",1-('FA Addition'!$M1125/'FA Addition'!$L1125)^(1/'FA Addition'!$O1125),1/'FA Addition'!$O1125),0)</f>
        <v>0.2</v>
      </c>
      <c r="Q1125" s="122">
        <f>'FA Addition'!$P1125*'FA Addition'!$O1125</f>
        <v>1</v>
      </c>
      <c r="R1125" s="122"/>
      <c r="S1125" s="116">
        <f>IF(AND(DATE(20&amp;LEFT(FAAddition[[#This Row],[FY]],2),4,1)&lt;$L$1+1,DATE(20&amp;LEFT(FAAddition[[#This Row],[FY]],2),4,1)&gt;$P$1-1),'FA Addition'!$J1125,0)</f>
        <v>0</v>
      </c>
      <c r="U1125" s="117">
        <f>S1125*'FA Addition'!$L1125/'FA Addition'!$J1125</f>
        <v>0</v>
      </c>
      <c r="W1125" s="116">
        <f>SUMIFS('FA Write off'!D:D,'FA Write off'!A:A,'FA Addition'!$A1125,'FA Write off'!C:C,"&lt;"&amp;'FA Addition'!$P$1)</f>
        <v>0</v>
      </c>
      <c r="Y1125" s="191">
        <f>IFERROR(W1125/'FA Addition'!$J1125*'FA Addition'!$L1125,0)</f>
        <v>0</v>
      </c>
      <c r="AA1125" s="116">
        <f>SUMIFS('FA Write off'!D:D,'FA Write off'!A:A,'FA Addition'!$A1125,'FA Write off'!C:C,"&lt;"&amp;'FA Addition'!$L$1+1,'FA Write off'!C:C,"&gt;"&amp;'FA Addition'!$L$1-365)</f>
        <v>0</v>
      </c>
      <c r="AC1125" s="118">
        <f>IFERROR(AA1125/'FA Addition'!$J1125*'FA Addition'!$L1125,0)</f>
        <v>0</v>
      </c>
      <c r="AE1125" s="117">
        <f>IF(AND('FA Addition'!$D1125&lt;$P$1+1,U1125=0),'FA Addition'!$L1125,0)-Y1125</f>
        <v>0</v>
      </c>
      <c r="AF1125" s="117">
        <f t="shared" si="85"/>
        <v>0</v>
      </c>
      <c r="AG1125" s="117">
        <f>MIN(MAX(+$P$1-'FA Addition'!$D1125,0),365*'FA Addition'!$O1125)</f>
        <v>0</v>
      </c>
      <c r="AH1125" s="117">
        <f>MIN(MAX($L$1-'FA Addition'!$D1125+1,0),365*'FA Addition'!$O1125)</f>
        <v>0</v>
      </c>
      <c r="AI1125" s="117" cm="1">
        <f t="array" ref="AI1125">_xlfn.XLOOKUP(1,('FA Write off'!A:A='FA Addition'!$A1125)*('FA Write off'!D:D=AA1125),'FA Write off'!H:H,0,0)</f>
        <v>0</v>
      </c>
      <c r="AJ1125" s="117">
        <f>IF(AC1125&gt;0,MAX(IF('FA Addition'!$N1125="SLM",($AC1125-'FA Addition'!$M1125)*'FA Addition'!$P1125*AI1125/365,(AC1125-'FA Addition'!$M1125)*(1-(1-'FA Addition'!$P1125)^(AI1125/365))),0),0)</f>
        <v>0</v>
      </c>
      <c r="AL1125" s="117">
        <f>MAX(IF(AG1125&gt;0,IF('FA Addition'!$N1125="SLM",($AE1125-'FA Addition'!$M1125)*'FA Addition'!$P1125*AG1125/365,IFERROR(VDB(AE1125,AE1125*0.05,'FA Addition'!$O1125,0,YEARFRAC('FA Addition'!$C1125,$P$1-1,3),'FA Addition'!$Q1125),FAAddition[[#This Row],[Original Cost (Rs)]]-FAAddition[[#This Row],[Salvage Value]])),0),0)</f>
        <v>0</v>
      </c>
      <c r="AM1125" s="119"/>
      <c r="AN1125" s="117">
        <f>MAX(IF(AH1125&gt;0,IF('FA Addition'!$N1125="SLM",($AF1125-'FA Addition'!$M1125)*'FA Addition'!$P1125*AH1125/365,IFERROR(VDB(AF1125,AF1125*0.05,'FA Addition'!$O1125,0,YEARFRAC('FA Addition'!$C1125,$L$1,3),'FA Addition'!$Q1125),FAAddition[[#This Row],[Original Cost (Rs)]]-FAAddition[[#This Row],[Salvage Value]])),0),0)</f>
        <v>0</v>
      </c>
      <c r="AO1125" s="117">
        <f t="shared" si="88"/>
        <v>0</v>
      </c>
      <c r="AQ1125" s="117">
        <f t="shared" si="86"/>
        <v>0</v>
      </c>
      <c r="AR1125" s="120">
        <f t="shared" si="87"/>
        <v>0</v>
      </c>
      <c r="AS1125" s="121"/>
    </row>
    <row r="1126" spans="1:45" ht="13.5" x14ac:dyDescent="0.4">
      <c r="A1126" s="12">
        <f t="shared" si="89"/>
        <v>1123</v>
      </c>
      <c r="B1126" s="64" t="s">
        <v>1758</v>
      </c>
      <c r="C1126" s="54">
        <v>45517</v>
      </c>
      <c r="D1126" s="54">
        <v>45530</v>
      </c>
      <c r="E1126" s="46" t="s">
        <v>1320</v>
      </c>
      <c r="F1126" s="51" t="s">
        <v>33</v>
      </c>
      <c r="G1126" s="51" t="s">
        <v>34</v>
      </c>
      <c r="H1126" s="51" t="s">
        <v>26</v>
      </c>
      <c r="I1126" s="55" t="s">
        <v>1891</v>
      </c>
      <c r="J1126" s="56">
        <v>1000</v>
      </c>
      <c r="K1126" s="51" t="s">
        <v>1892</v>
      </c>
      <c r="L1126" s="58">
        <v>128000</v>
      </c>
      <c r="M1126" s="50">
        <f>ROUND('FA Addition'!$L1126*5%,0.1)</f>
        <v>6400</v>
      </c>
      <c r="N1126" s="113" t="str">
        <f>_xlfn.XLOOKUP(_xlfn.CONCAT(E1126,B1126),'Year Wise Master Dep Approach'!F:F,'Year Wise Master Dep Approach'!D:D)</f>
        <v>SLM</v>
      </c>
      <c r="O1126" s="113">
        <f>_xlfn.XLOOKUP(_xlfn.CONCAT(E1126,B1126),'Year Wise Master Dep Approach'!F:F,'Year Wise Master Dep Approach'!E:E)</f>
        <v>5</v>
      </c>
      <c r="P1126" s="114">
        <f>IFERROR(IF('FA Addition'!$N1126="WDV",1-('FA Addition'!$M1126/'FA Addition'!$L1126)^(1/'FA Addition'!$O1126),1/'FA Addition'!$O1126),0)</f>
        <v>0.2</v>
      </c>
      <c r="Q1126" s="122">
        <f>'FA Addition'!$P1126*'FA Addition'!$O1126</f>
        <v>1</v>
      </c>
      <c r="R1126" s="122"/>
      <c r="S1126" s="116">
        <f>IF(AND(DATE(20&amp;LEFT(FAAddition[[#This Row],[FY]],2),4,1)&lt;$L$1+1,DATE(20&amp;LEFT(FAAddition[[#This Row],[FY]],2),4,1)&gt;$P$1-1),'FA Addition'!$J1126,0)</f>
        <v>0</v>
      </c>
      <c r="U1126" s="117">
        <f>S1126*'FA Addition'!$L1126/'FA Addition'!$J1126</f>
        <v>0</v>
      </c>
      <c r="W1126" s="116">
        <f>SUMIFS('FA Write off'!D:D,'FA Write off'!A:A,'FA Addition'!$A1126,'FA Write off'!C:C,"&lt;"&amp;'FA Addition'!$P$1)</f>
        <v>0</v>
      </c>
      <c r="Y1126" s="191">
        <f>IFERROR(W1126/'FA Addition'!$J1126*'FA Addition'!$L1126,0)</f>
        <v>0</v>
      </c>
      <c r="AA1126" s="116">
        <f>SUMIFS('FA Write off'!D:D,'FA Write off'!A:A,'FA Addition'!$A1126,'FA Write off'!C:C,"&lt;"&amp;'FA Addition'!$L$1+1,'FA Write off'!C:C,"&gt;"&amp;'FA Addition'!$L$1-365)</f>
        <v>0</v>
      </c>
      <c r="AC1126" s="118">
        <f>IFERROR(AA1126/'FA Addition'!$J1126*'FA Addition'!$L1126,0)</f>
        <v>0</v>
      </c>
      <c r="AE1126" s="117">
        <f>IF(AND('FA Addition'!$D1126&lt;$P$1+1,U1126=0),'FA Addition'!$L1126,0)-Y1126</f>
        <v>0</v>
      </c>
      <c r="AF1126" s="117">
        <f t="shared" si="85"/>
        <v>0</v>
      </c>
      <c r="AG1126" s="117">
        <f>MIN(MAX(+$P$1-'FA Addition'!$D1126,0),365*'FA Addition'!$O1126)</f>
        <v>0</v>
      </c>
      <c r="AH1126" s="117">
        <f>MIN(MAX($L$1-'FA Addition'!$D1126+1,0),365*'FA Addition'!$O1126)</f>
        <v>0</v>
      </c>
      <c r="AI1126" s="117" cm="1">
        <f t="array" ref="AI1126">_xlfn.XLOOKUP(1,('FA Write off'!A:A='FA Addition'!$A1126)*('FA Write off'!D:D=AA1126),'FA Write off'!H:H,0,0)</f>
        <v>0</v>
      </c>
      <c r="AJ1126" s="117">
        <f>IF(AC1126&gt;0,MAX(IF('FA Addition'!$N1126="SLM",($AC1126-'FA Addition'!$M1126)*'FA Addition'!$P1126*AI1126/365,(AC1126-'FA Addition'!$M1126)*(1-(1-'FA Addition'!$P1126)^(AI1126/365))),0),0)</f>
        <v>0</v>
      </c>
      <c r="AL1126" s="117">
        <f>MAX(IF(AG1126&gt;0,IF('FA Addition'!$N1126="SLM",($AE1126-'FA Addition'!$M1126)*'FA Addition'!$P1126*AG1126/365,IFERROR(VDB(AE1126,AE1126*0.05,'FA Addition'!$O1126,0,YEARFRAC('FA Addition'!$C1126,$P$1-1,3),'FA Addition'!$Q1126),FAAddition[[#This Row],[Original Cost (Rs)]]-FAAddition[[#This Row],[Salvage Value]])),0),0)</f>
        <v>0</v>
      </c>
      <c r="AM1126" s="119"/>
      <c r="AN1126" s="117">
        <f>MAX(IF(AH1126&gt;0,IF('FA Addition'!$N1126="SLM",($AF1126-'FA Addition'!$M1126)*'FA Addition'!$P1126*AH1126/365,IFERROR(VDB(AF1126,AF1126*0.05,'FA Addition'!$O1126,0,YEARFRAC('FA Addition'!$C1126,$L$1,3),'FA Addition'!$Q1126),FAAddition[[#This Row],[Original Cost (Rs)]]-FAAddition[[#This Row],[Salvage Value]])),0),0)</f>
        <v>0</v>
      </c>
      <c r="AO1126" s="117">
        <f t="shared" si="88"/>
        <v>0</v>
      </c>
      <c r="AQ1126" s="117">
        <f t="shared" si="86"/>
        <v>0</v>
      </c>
      <c r="AR1126" s="120">
        <f t="shared" si="87"/>
        <v>0</v>
      </c>
      <c r="AS1126" s="121"/>
    </row>
    <row r="1127" spans="1:45" ht="13.5" x14ac:dyDescent="0.4">
      <c r="A1127" s="12">
        <f t="shared" si="89"/>
        <v>1124</v>
      </c>
      <c r="B1127" s="64" t="s">
        <v>1758</v>
      </c>
      <c r="C1127" s="54">
        <v>45520</v>
      </c>
      <c r="D1127" s="54">
        <v>45530</v>
      </c>
      <c r="E1127" s="46" t="s">
        <v>1320</v>
      </c>
      <c r="F1127" s="51" t="s">
        <v>33</v>
      </c>
      <c r="G1127" s="51" t="s">
        <v>34</v>
      </c>
      <c r="H1127" s="51" t="s">
        <v>32</v>
      </c>
      <c r="I1127" s="55" t="s">
        <v>1893</v>
      </c>
      <c r="J1127" s="56">
        <v>1000</v>
      </c>
      <c r="K1127" s="51" t="s">
        <v>295</v>
      </c>
      <c r="L1127" s="58">
        <v>1665000</v>
      </c>
      <c r="M1127" s="50">
        <f>ROUND('FA Addition'!$L1127*5%,0.1)</f>
        <v>83250</v>
      </c>
      <c r="N1127" s="113" t="str">
        <f>_xlfn.XLOOKUP(_xlfn.CONCAT(E1127,B1127),'Year Wise Master Dep Approach'!F:F,'Year Wise Master Dep Approach'!D:D)</f>
        <v>SLM</v>
      </c>
      <c r="O1127" s="113">
        <f>_xlfn.XLOOKUP(_xlfn.CONCAT(E1127,B1127),'Year Wise Master Dep Approach'!F:F,'Year Wise Master Dep Approach'!E:E)</f>
        <v>5</v>
      </c>
      <c r="P1127" s="114">
        <f>IFERROR(IF('FA Addition'!$N1127="WDV",1-('FA Addition'!$M1127/'FA Addition'!$L1127)^(1/'FA Addition'!$O1127),1/'FA Addition'!$O1127),0)</f>
        <v>0.2</v>
      </c>
      <c r="Q1127" s="122">
        <f>'FA Addition'!$P1127*'FA Addition'!$O1127</f>
        <v>1</v>
      </c>
      <c r="R1127" s="122"/>
      <c r="S1127" s="116">
        <f>IF(AND(DATE(20&amp;LEFT(FAAddition[[#This Row],[FY]],2),4,1)&lt;$L$1+1,DATE(20&amp;LEFT(FAAddition[[#This Row],[FY]],2),4,1)&gt;$P$1-1),'FA Addition'!$J1127,0)</f>
        <v>0</v>
      </c>
      <c r="U1127" s="117">
        <f>S1127*'FA Addition'!$L1127/'FA Addition'!$J1127</f>
        <v>0</v>
      </c>
      <c r="W1127" s="116">
        <f>SUMIFS('FA Write off'!D:D,'FA Write off'!A:A,'FA Addition'!$A1127,'FA Write off'!C:C,"&lt;"&amp;'FA Addition'!$P$1)</f>
        <v>0</v>
      </c>
      <c r="Y1127" s="191">
        <f>IFERROR(W1127/'FA Addition'!$J1127*'FA Addition'!$L1127,0)</f>
        <v>0</v>
      </c>
      <c r="AA1127" s="116">
        <f>SUMIFS('FA Write off'!D:D,'FA Write off'!A:A,'FA Addition'!$A1127,'FA Write off'!C:C,"&lt;"&amp;'FA Addition'!$L$1+1,'FA Write off'!C:C,"&gt;"&amp;'FA Addition'!$L$1-365)</f>
        <v>0</v>
      </c>
      <c r="AC1127" s="118">
        <f>IFERROR(AA1127/'FA Addition'!$J1127*'FA Addition'!$L1127,0)</f>
        <v>0</v>
      </c>
      <c r="AE1127" s="117">
        <f>IF(AND('FA Addition'!$D1127&lt;$P$1+1,U1127=0),'FA Addition'!$L1127,0)-Y1127</f>
        <v>0</v>
      </c>
      <c r="AF1127" s="117">
        <f t="shared" si="85"/>
        <v>0</v>
      </c>
      <c r="AG1127" s="117">
        <f>MIN(MAX(+$P$1-'FA Addition'!$D1127,0),365*'FA Addition'!$O1127)</f>
        <v>0</v>
      </c>
      <c r="AH1127" s="117">
        <f>MIN(MAX($L$1-'FA Addition'!$D1127+1,0),365*'FA Addition'!$O1127)</f>
        <v>0</v>
      </c>
      <c r="AI1127" s="117" cm="1">
        <f t="array" ref="AI1127">_xlfn.XLOOKUP(1,('FA Write off'!A:A='FA Addition'!$A1127)*('FA Write off'!D:D=AA1127),'FA Write off'!H:H,0,0)</f>
        <v>0</v>
      </c>
      <c r="AJ1127" s="117">
        <f>IF(AC1127&gt;0,MAX(IF('FA Addition'!$N1127="SLM",($AC1127-'FA Addition'!$M1127)*'FA Addition'!$P1127*AI1127/365,(AC1127-'FA Addition'!$M1127)*(1-(1-'FA Addition'!$P1127)^(AI1127/365))),0),0)</f>
        <v>0</v>
      </c>
      <c r="AL1127" s="117">
        <f>MAX(IF(AG1127&gt;0,IF('FA Addition'!$N1127="SLM",($AE1127-'FA Addition'!$M1127)*'FA Addition'!$P1127*AG1127/365,IFERROR(VDB(AE1127,AE1127*0.05,'FA Addition'!$O1127,0,YEARFRAC('FA Addition'!$C1127,$P$1-1,3),'FA Addition'!$Q1127),FAAddition[[#This Row],[Original Cost (Rs)]]-FAAddition[[#This Row],[Salvage Value]])),0),0)</f>
        <v>0</v>
      </c>
      <c r="AM1127" s="119"/>
      <c r="AN1127" s="117">
        <f>MAX(IF(AH1127&gt;0,IF('FA Addition'!$N1127="SLM",($AF1127-'FA Addition'!$M1127)*'FA Addition'!$P1127*AH1127/365,IFERROR(VDB(AF1127,AF1127*0.05,'FA Addition'!$O1127,0,YEARFRAC('FA Addition'!$C1127,$L$1,3),'FA Addition'!$Q1127),FAAddition[[#This Row],[Original Cost (Rs)]]-FAAddition[[#This Row],[Salvage Value]])),0),0)</f>
        <v>0</v>
      </c>
      <c r="AO1127" s="117">
        <f t="shared" si="88"/>
        <v>0</v>
      </c>
      <c r="AQ1127" s="117">
        <f t="shared" si="86"/>
        <v>0</v>
      </c>
      <c r="AR1127" s="120">
        <f t="shared" si="87"/>
        <v>0</v>
      </c>
      <c r="AS1127" s="121"/>
    </row>
    <row r="1128" spans="1:45" ht="13.5" x14ac:dyDescent="0.4">
      <c r="A1128" s="12">
        <f t="shared" si="89"/>
        <v>1125</v>
      </c>
      <c r="B1128" s="64" t="s">
        <v>1758</v>
      </c>
      <c r="C1128" s="54">
        <v>45509</v>
      </c>
      <c r="D1128" s="54">
        <v>45530</v>
      </c>
      <c r="E1128" s="46" t="s">
        <v>1320</v>
      </c>
      <c r="F1128" s="51" t="s">
        <v>33</v>
      </c>
      <c r="G1128" s="51" t="s">
        <v>34</v>
      </c>
      <c r="H1128" s="51" t="s">
        <v>32</v>
      </c>
      <c r="I1128" s="55" t="s">
        <v>1894</v>
      </c>
      <c r="J1128" s="56">
        <v>1500</v>
      </c>
      <c r="K1128" s="51" t="s">
        <v>295</v>
      </c>
      <c r="L1128" s="58">
        <v>2745000</v>
      </c>
      <c r="M1128" s="50">
        <f>ROUND('FA Addition'!$L1128*5%,0.1)</f>
        <v>137250</v>
      </c>
      <c r="N1128" s="113" t="str">
        <f>_xlfn.XLOOKUP(_xlfn.CONCAT(E1128,B1128),'Year Wise Master Dep Approach'!F:F,'Year Wise Master Dep Approach'!D:D)</f>
        <v>SLM</v>
      </c>
      <c r="O1128" s="113">
        <f>_xlfn.XLOOKUP(_xlfn.CONCAT(E1128,B1128),'Year Wise Master Dep Approach'!F:F,'Year Wise Master Dep Approach'!E:E)</f>
        <v>5</v>
      </c>
      <c r="P1128" s="114">
        <f>IFERROR(IF('FA Addition'!$N1128="WDV",1-('FA Addition'!$M1128/'FA Addition'!$L1128)^(1/'FA Addition'!$O1128),1/'FA Addition'!$O1128),0)</f>
        <v>0.2</v>
      </c>
      <c r="Q1128" s="122">
        <f>'FA Addition'!$P1128*'FA Addition'!$O1128</f>
        <v>1</v>
      </c>
      <c r="R1128" s="122"/>
      <c r="S1128" s="116">
        <f>IF(AND(DATE(20&amp;LEFT(FAAddition[[#This Row],[FY]],2),4,1)&lt;$L$1+1,DATE(20&amp;LEFT(FAAddition[[#This Row],[FY]],2),4,1)&gt;$P$1-1),'FA Addition'!$J1128,0)</f>
        <v>0</v>
      </c>
      <c r="U1128" s="117">
        <f>S1128*'FA Addition'!$L1128/'FA Addition'!$J1128</f>
        <v>0</v>
      </c>
      <c r="W1128" s="116">
        <f>SUMIFS('FA Write off'!D:D,'FA Write off'!A:A,'FA Addition'!$A1128,'FA Write off'!C:C,"&lt;"&amp;'FA Addition'!$P$1)</f>
        <v>0</v>
      </c>
      <c r="Y1128" s="191">
        <f>IFERROR(W1128/'FA Addition'!$J1128*'FA Addition'!$L1128,0)</f>
        <v>0</v>
      </c>
      <c r="AA1128" s="116">
        <f>SUMIFS('FA Write off'!D:D,'FA Write off'!A:A,'FA Addition'!$A1128,'FA Write off'!C:C,"&lt;"&amp;'FA Addition'!$L$1+1,'FA Write off'!C:C,"&gt;"&amp;'FA Addition'!$L$1-365)</f>
        <v>0</v>
      </c>
      <c r="AC1128" s="118">
        <f>IFERROR(AA1128/'FA Addition'!$J1128*'FA Addition'!$L1128,0)</f>
        <v>0</v>
      </c>
      <c r="AE1128" s="117">
        <f>IF(AND('FA Addition'!$D1128&lt;$P$1+1,U1128=0),'FA Addition'!$L1128,0)-Y1128</f>
        <v>0</v>
      </c>
      <c r="AF1128" s="117">
        <f t="shared" si="85"/>
        <v>0</v>
      </c>
      <c r="AG1128" s="117">
        <f>MIN(MAX(+$P$1-'FA Addition'!$D1128,0),365*'FA Addition'!$O1128)</f>
        <v>0</v>
      </c>
      <c r="AH1128" s="117">
        <f>MIN(MAX($L$1-'FA Addition'!$D1128+1,0),365*'FA Addition'!$O1128)</f>
        <v>0</v>
      </c>
      <c r="AI1128" s="117" cm="1">
        <f t="array" ref="AI1128">_xlfn.XLOOKUP(1,('FA Write off'!A:A='FA Addition'!$A1128)*('FA Write off'!D:D=AA1128),'FA Write off'!H:H,0,0)</f>
        <v>0</v>
      </c>
      <c r="AJ1128" s="117">
        <f>IF(AC1128&gt;0,MAX(IF('FA Addition'!$N1128="SLM",($AC1128-'FA Addition'!$M1128)*'FA Addition'!$P1128*AI1128/365,(AC1128-'FA Addition'!$M1128)*(1-(1-'FA Addition'!$P1128)^(AI1128/365))),0),0)</f>
        <v>0</v>
      </c>
      <c r="AL1128" s="117">
        <f>MAX(IF(AG1128&gt;0,IF('FA Addition'!$N1128="SLM",($AE1128-'FA Addition'!$M1128)*'FA Addition'!$P1128*AG1128/365,IFERROR(VDB(AE1128,AE1128*0.05,'FA Addition'!$O1128,0,YEARFRAC('FA Addition'!$C1128,$P$1-1,3),'FA Addition'!$Q1128),FAAddition[[#This Row],[Original Cost (Rs)]]-FAAddition[[#This Row],[Salvage Value]])),0),0)</f>
        <v>0</v>
      </c>
      <c r="AM1128" s="119"/>
      <c r="AN1128" s="117">
        <f>MAX(IF(AH1128&gt;0,IF('FA Addition'!$N1128="SLM",($AF1128-'FA Addition'!$M1128)*'FA Addition'!$P1128*AH1128/365,IFERROR(VDB(AF1128,AF1128*0.05,'FA Addition'!$O1128,0,YEARFRAC('FA Addition'!$C1128,$L$1,3),'FA Addition'!$Q1128),FAAddition[[#This Row],[Original Cost (Rs)]]-FAAddition[[#This Row],[Salvage Value]])),0),0)</f>
        <v>0</v>
      </c>
      <c r="AO1128" s="117">
        <f t="shared" si="88"/>
        <v>0</v>
      </c>
      <c r="AQ1128" s="117">
        <f t="shared" si="86"/>
        <v>0</v>
      </c>
      <c r="AR1128" s="120">
        <f t="shared" si="87"/>
        <v>0</v>
      </c>
      <c r="AS1128" s="121"/>
    </row>
    <row r="1129" spans="1:45" ht="13.5" x14ac:dyDescent="0.4">
      <c r="A1129" s="12">
        <f t="shared" si="89"/>
        <v>1126</v>
      </c>
      <c r="B1129" s="64" t="s">
        <v>1758</v>
      </c>
      <c r="C1129" s="54">
        <v>45511</v>
      </c>
      <c r="D1129" s="54">
        <v>45530</v>
      </c>
      <c r="E1129" s="46" t="s">
        <v>1320</v>
      </c>
      <c r="F1129" s="51" t="s">
        <v>33</v>
      </c>
      <c r="G1129" s="51" t="s">
        <v>34</v>
      </c>
      <c r="H1129" s="51" t="s">
        <v>32</v>
      </c>
      <c r="I1129" s="55" t="s">
        <v>1895</v>
      </c>
      <c r="J1129" s="56">
        <v>1500</v>
      </c>
      <c r="K1129" s="51" t="s">
        <v>295</v>
      </c>
      <c r="L1129" s="58">
        <v>2745000</v>
      </c>
      <c r="M1129" s="50">
        <f>ROUND('FA Addition'!$L1129*5%,0.1)</f>
        <v>137250</v>
      </c>
      <c r="N1129" s="113" t="str">
        <f>_xlfn.XLOOKUP(_xlfn.CONCAT(E1129,B1129),'Year Wise Master Dep Approach'!F:F,'Year Wise Master Dep Approach'!D:D)</f>
        <v>SLM</v>
      </c>
      <c r="O1129" s="113">
        <f>_xlfn.XLOOKUP(_xlfn.CONCAT(E1129,B1129),'Year Wise Master Dep Approach'!F:F,'Year Wise Master Dep Approach'!E:E)</f>
        <v>5</v>
      </c>
      <c r="P1129" s="114">
        <f>IFERROR(IF('FA Addition'!$N1129="WDV",1-('FA Addition'!$M1129/'FA Addition'!$L1129)^(1/'FA Addition'!$O1129),1/'FA Addition'!$O1129),0)</f>
        <v>0.2</v>
      </c>
      <c r="Q1129" s="122">
        <f>'FA Addition'!$P1129*'FA Addition'!$O1129</f>
        <v>1</v>
      </c>
      <c r="R1129" s="122"/>
      <c r="S1129" s="116">
        <f>IF(AND(DATE(20&amp;LEFT(FAAddition[[#This Row],[FY]],2),4,1)&lt;$L$1+1,DATE(20&amp;LEFT(FAAddition[[#This Row],[FY]],2),4,1)&gt;$P$1-1),'FA Addition'!$J1129,0)</f>
        <v>0</v>
      </c>
      <c r="U1129" s="117">
        <f>S1129*'FA Addition'!$L1129/'FA Addition'!$J1129</f>
        <v>0</v>
      </c>
      <c r="W1129" s="116">
        <f>SUMIFS('FA Write off'!D:D,'FA Write off'!A:A,'FA Addition'!$A1129,'FA Write off'!C:C,"&lt;"&amp;'FA Addition'!$P$1)</f>
        <v>0</v>
      </c>
      <c r="Y1129" s="191">
        <f>IFERROR(W1129/'FA Addition'!$J1129*'FA Addition'!$L1129,0)</f>
        <v>0</v>
      </c>
      <c r="AA1129" s="116">
        <f>SUMIFS('FA Write off'!D:D,'FA Write off'!A:A,'FA Addition'!$A1129,'FA Write off'!C:C,"&lt;"&amp;'FA Addition'!$L$1+1,'FA Write off'!C:C,"&gt;"&amp;'FA Addition'!$L$1-365)</f>
        <v>0</v>
      </c>
      <c r="AC1129" s="118">
        <f>IFERROR(AA1129/'FA Addition'!$J1129*'FA Addition'!$L1129,0)</f>
        <v>0</v>
      </c>
      <c r="AE1129" s="117">
        <f>IF(AND('FA Addition'!$D1129&lt;$P$1+1,U1129=0),'FA Addition'!$L1129,0)-Y1129</f>
        <v>0</v>
      </c>
      <c r="AF1129" s="117">
        <f t="shared" si="85"/>
        <v>0</v>
      </c>
      <c r="AG1129" s="117">
        <f>MIN(MAX(+$P$1-'FA Addition'!$D1129,0),365*'FA Addition'!$O1129)</f>
        <v>0</v>
      </c>
      <c r="AH1129" s="117">
        <f>MIN(MAX($L$1-'FA Addition'!$D1129+1,0),365*'FA Addition'!$O1129)</f>
        <v>0</v>
      </c>
      <c r="AI1129" s="117" cm="1">
        <f t="array" ref="AI1129">_xlfn.XLOOKUP(1,('FA Write off'!A:A='FA Addition'!$A1129)*('FA Write off'!D:D=AA1129),'FA Write off'!H:H,0,0)</f>
        <v>0</v>
      </c>
      <c r="AJ1129" s="117">
        <f>IF(AC1129&gt;0,MAX(IF('FA Addition'!$N1129="SLM",($AC1129-'FA Addition'!$M1129)*'FA Addition'!$P1129*AI1129/365,(AC1129-'FA Addition'!$M1129)*(1-(1-'FA Addition'!$P1129)^(AI1129/365))),0),0)</f>
        <v>0</v>
      </c>
      <c r="AL1129" s="117">
        <f>MAX(IF(AG1129&gt;0,IF('FA Addition'!$N1129="SLM",($AE1129-'FA Addition'!$M1129)*'FA Addition'!$P1129*AG1129/365,IFERROR(VDB(AE1129,AE1129*0.05,'FA Addition'!$O1129,0,YEARFRAC('FA Addition'!$C1129,$P$1-1,3),'FA Addition'!$Q1129),FAAddition[[#This Row],[Original Cost (Rs)]]-FAAddition[[#This Row],[Salvage Value]])),0),0)</f>
        <v>0</v>
      </c>
      <c r="AM1129" s="119"/>
      <c r="AN1129" s="117">
        <f>MAX(IF(AH1129&gt;0,IF('FA Addition'!$N1129="SLM",($AF1129-'FA Addition'!$M1129)*'FA Addition'!$P1129*AH1129/365,IFERROR(VDB(AF1129,AF1129*0.05,'FA Addition'!$O1129,0,YEARFRAC('FA Addition'!$C1129,$L$1,3),'FA Addition'!$Q1129),FAAddition[[#This Row],[Original Cost (Rs)]]-FAAddition[[#This Row],[Salvage Value]])),0),0)</f>
        <v>0</v>
      </c>
      <c r="AO1129" s="117">
        <f t="shared" si="88"/>
        <v>0</v>
      </c>
      <c r="AQ1129" s="117">
        <f t="shared" si="86"/>
        <v>0</v>
      </c>
      <c r="AR1129" s="120">
        <f t="shared" si="87"/>
        <v>0</v>
      </c>
      <c r="AS1129" s="121"/>
    </row>
    <row r="1130" spans="1:45" ht="13.5" x14ac:dyDescent="0.4">
      <c r="A1130" s="12">
        <f t="shared" si="89"/>
        <v>1127</v>
      </c>
      <c r="B1130" s="64" t="s">
        <v>1758</v>
      </c>
      <c r="C1130" s="54">
        <v>45514</v>
      </c>
      <c r="D1130" s="54">
        <v>45530</v>
      </c>
      <c r="E1130" s="46" t="s">
        <v>1320</v>
      </c>
      <c r="F1130" s="51" t="s">
        <v>33</v>
      </c>
      <c r="G1130" s="51" t="s">
        <v>34</v>
      </c>
      <c r="H1130" s="51" t="s">
        <v>32</v>
      </c>
      <c r="I1130" s="55" t="s">
        <v>1896</v>
      </c>
      <c r="J1130" s="56">
        <v>1500</v>
      </c>
      <c r="K1130" s="51" t="s">
        <v>295</v>
      </c>
      <c r="L1130" s="58">
        <v>2745000</v>
      </c>
      <c r="M1130" s="50">
        <f>ROUND('FA Addition'!$L1130*5%,0.1)</f>
        <v>137250</v>
      </c>
      <c r="N1130" s="113" t="str">
        <f>_xlfn.XLOOKUP(_xlfn.CONCAT(E1130,B1130),'Year Wise Master Dep Approach'!F:F,'Year Wise Master Dep Approach'!D:D)</f>
        <v>SLM</v>
      </c>
      <c r="O1130" s="113">
        <f>_xlfn.XLOOKUP(_xlfn.CONCAT(E1130,B1130),'Year Wise Master Dep Approach'!F:F,'Year Wise Master Dep Approach'!E:E)</f>
        <v>5</v>
      </c>
      <c r="P1130" s="114">
        <f>IFERROR(IF('FA Addition'!$N1130="WDV",1-('FA Addition'!$M1130/'FA Addition'!$L1130)^(1/'FA Addition'!$O1130),1/'FA Addition'!$O1130),0)</f>
        <v>0.2</v>
      </c>
      <c r="Q1130" s="122">
        <f>'FA Addition'!$P1130*'FA Addition'!$O1130</f>
        <v>1</v>
      </c>
      <c r="R1130" s="122"/>
      <c r="S1130" s="116">
        <f>IF(AND(DATE(20&amp;LEFT(FAAddition[[#This Row],[FY]],2),4,1)&lt;$L$1+1,DATE(20&amp;LEFT(FAAddition[[#This Row],[FY]],2),4,1)&gt;$P$1-1),'FA Addition'!$J1130,0)</f>
        <v>0</v>
      </c>
      <c r="U1130" s="117">
        <f>S1130*'FA Addition'!$L1130/'FA Addition'!$J1130</f>
        <v>0</v>
      </c>
      <c r="W1130" s="116">
        <f>SUMIFS('FA Write off'!D:D,'FA Write off'!A:A,'FA Addition'!$A1130,'FA Write off'!C:C,"&lt;"&amp;'FA Addition'!$P$1)</f>
        <v>0</v>
      </c>
      <c r="Y1130" s="191">
        <f>IFERROR(W1130/'FA Addition'!$J1130*'FA Addition'!$L1130,0)</f>
        <v>0</v>
      </c>
      <c r="AA1130" s="116">
        <f>SUMIFS('FA Write off'!D:D,'FA Write off'!A:A,'FA Addition'!$A1130,'FA Write off'!C:C,"&lt;"&amp;'FA Addition'!$L$1+1,'FA Write off'!C:C,"&gt;"&amp;'FA Addition'!$L$1-365)</f>
        <v>0</v>
      </c>
      <c r="AC1130" s="118">
        <f>IFERROR(AA1130/'FA Addition'!$J1130*'FA Addition'!$L1130,0)</f>
        <v>0</v>
      </c>
      <c r="AE1130" s="117">
        <f>IF(AND('FA Addition'!$D1130&lt;$P$1+1,U1130=0),'FA Addition'!$L1130,0)-Y1130</f>
        <v>0</v>
      </c>
      <c r="AF1130" s="117">
        <f t="shared" si="85"/>
        <v>0</v>
      </c>
      <c r="AG1130" s="117">
        <f>MIN(MAX(+$P$1-'FA Addition'!$D1130,0),365*'FA Addition'!$O1130)</f>
        <v>0</v>
      </c>
      <c r="AH1130" s="117">
        <f>MIN(MAX($L$1-'FA Addition'!$D1130+1,0),365*'FA Addition'!$O1130)</f>
        <v>0</v>
      </c>
      <c r="AI1130" s="117" cm="1">
        <f t="array" ref="AI1130">_xlfn.XLOOKUP(1,('FA Write off'!A:A='FA Addition'!$A1130)*('FA Write off'!D:D=AA1130),'FA Write off'!H:H,0,0)</f>
        <v>0</v>
      </c>
      <c r="AJ1130" s="117">
        <f>IF(AC1130&gt;0,MAX(IF('FA Addition'!$N1130="SLM",($AC1130-'FA Addition'!$M1130)*'FA Addition'!$P1130*AI1130/365,(AC1130-'FA Addition'!$M1130)*(1-(1-'FA Addition'!$P1130)^(AI1130/365))),0),0)</f>
        <v>0</v>
      </c>
      <c r="AL1130" s="117">
        <f>MAX(IF(AG1130&gt;0,IF('FA Addition'!$N1130="SLM",($AE1130-'FA Addition'!$M1130)*'FA Addition'!$P1130*AG1130/365,IFERROR(VDB(AE1130,AE1130*0.05,'FA Addition'!$O1130,0,YEARFRAC('FA Addition'!$C1130,$P$1-1,3),'FA Addition'!$Q1130),FAAddition[[#This Row],[Original Cost (Rs)]]-FAAddition[[#This Row],[Salvage Value]])),0),0)</f>
        <v>0</v>
      </c>
      <c r="AM1130" s="119"/>
      <c r="AN1130" s="117">
        <f>MAX(IF(AH1130&gt;0,IF('FA Addition'!$N1130="SLM",($AF1130-'FA Addition'!$M1130)*'FA Addition'!$P1130*AH1130/365,IFERROR(VDB(AF1130,AF1130*0.05,'FA Addition'!$O1130,0,YEARFRAC('FA Addition'!$C1130,$L$1,3),'FA Addition'!$Q1130),FAAddition[[#This Row],[Original Cost (Rs)]]-FAAddition[[#This Row],[Salvage Value]])),0),0)</f>
        <v>0</v>
      </c>
      <c r="AO1130" s="117">
        <f t="shared" si="88"/>
        <v>0</v>
      </c>
      <c r="AQ1130" s="117">
        <f t="shared" si="86"/>
        <v>0</v>
      </c>
      <c r="AR1130" s="120">
        <f t="shared" si="87"/>
        <v>0</v>
      </c>
      <c r="AS1130" s="121"/>
    </row>
    <row r="1131" spans="1:45" ht="13.5" x14ac:dyDescent="0.4">
      <c r="A1131" s="12">
        <f t="shared" si="89"/>
        <v>1128</v>
      </c>
      <c r="B1131" s="64" t="s">
        <v>1758</v>
      </c>
      <c r="C1131" s="54">
        <v>45514</v>
      </c>
      <c r="D1131" s="54">
        <v>45530</v>
      </c>
      <c r="E1131" s="46" t="s">
        <v>1320</v>
      </c>
      <c r="F1131" s="51" t="s">
        <v>33</v>
      </c>
      <c r="G1131" s="51" t="s">
        <v>1897</v>
      </c>
      <c r="H1131" s="51" t="s">
        <v>26</v>
      </c>
      <c r="I1131" s="55" t="s">
        <v>1898</v>
      </c>
      <c r="J1131" s="56">
        <v>1000</v>
      </c>
      <c r="K1131" s="51" t="s">
        <v>1899</v>
      </c>
      <c r="L1131" s="58">
        <v>95000</v>
      </c>
      <c r="M1131" s="50">
        <f>ROUND('FA Addition'!$L1131*5%,0.1)</f>
        <v>4750</v>
      </c>
      <c r="N1131" s="113" t="str">
        <f>_xlfn.XLOOKUP(_xlfn.CONCAT(E1131,B1131),'Year Wise Master Dep Approach'!F:F,'Year Wise Master Dep Approach'!D:D)</f>
        <v>SLM</v>
      </c>
      <c r="O1131" s="113">
        <f>_xlfn.XLOOKUP(_xlfn.CONCAT(E1131,B1131),'Year Wise Master Dep Approach'!F:F,'Year Wise Master Dep Approach'!E:E)</f>
        <v>5</v>
      </c>
      <c r="P1131" s="114">
        <f>IFERROR(IF('FA Addition'!$N1131="WDV",1-('FA Addition'!$M1131/'FA Addition'!$L1131)^(1/'FA Addition'!$O1131),1/'FA Addition'!$O1131),0)</f>
        <v>0.2</v>
      </c>
      <c r="Q1131" s="122">
        <f>'FA Addition'!$P1131*'FA Addition'!$O1131</f>
        <v>1</v>
      </c>
      <c r="R1131" s="122"/>
      <c r="S1131" s="116">
        <f>IF(AND(DATE(20&amp;LEFT(FAAddition[[#This Row],[FY]],2),4,1)&lt;$L$1+1,DATE(20&amp;LEFT(FAAddition[[#This Row],[FY]],2),4,1)&gt;$P$1-1),'FA Addition'!$J1131,0)</f>
        <v>0</v>
      </c>
      <c r="U1131" s="117">
        <f>S1131*'FA Addition'!$L1131/'FA Addition'!$J1131</f>
        <v>0</v>
      </c>
      <c r="W1131" s="116">
        <f>SUMIFS('FA Write off'!D:D,'FA Write off'!A:A,'FA Addition'!$A1131,'FA Write off'!C:C,"&lt;"&amp;'FA Addition'!$P$1)</f>
        <v>0</v>
      </c>
      <c r="Y1131" s="191">
        <f>IFERROR(W1131/'FA Addition'!$J1131*'FA Addition'!$L1131,0)</f>
        <v>0</v>
      </c>
      <c r="AA1131" s="116">
        <f>SUMIFS('FA Write off'!D:D,'FA Write off'!A:A,'FA Addition'!$A1131,'FA Write off'!C:C,"&lt;"&amp;'FA Addition'!$L$1+1,'FA Write off'!C:C,"&gt;"&amp;'FA Addition'!$L$1-365)</f>
        <v>0</v>
      </c>
      <c r="AC1131" s="118">
        <f>IFERROR(AA1131/'FA Addition'!$J1131*'FA Addition'!$L1131,0)</f>
        <v>0</v>
      </c>
      <c r="AE1131" s="117">
        <f>IF(AND('FA Addition'!$D1131&lt;$P$1+1,U1131=0),'FA Addition'!$L1131,0)-Y1131</f>
        <v>0</v>
      </c>
      <c r="AF1131" s="117">
        <f t="shared" si="85"/>
        <v>0</v>
      </c>
      <c r="AG1131" s="117">
        <f>MIN(MAX(+$P$1-'FA Addition'!$D1131,0),365*'FA Addition'!$O1131)</f>
        <v>0</v>
      </c>
      <c r="AH1131" s="117">
        <f>MIN(MAX($L$1-'FA Addition'!$D1131+1,0),365*'FA Addition'!$O1131)</f>
        <v>0</v>
      </c>
      <c r="AI1131" s="117" cm="1">
        <f t="array" ref="AI1131">_xlfn.XLOOKUP(1,('FA Write off'!A:A='FA Addition'!$A1131)*('FA Write off'!D:D=AA1131),'FA Write off'!H:H,0,0)</f>
        <v>0</v>
      </c>
      <c r="AJ1131" s="117">
        <f>IF(AC1131&gt;0,MAX(IF('FA Addition'!$N1131="SLM",($AC1131-'FA Addition'!$M1131)*'FA Addition'!$P1131*AI1131/365,(AC1131-'FA Addition'!$M1131)*(1-(1-'FA Addition'!$P1131)^(AI1131/365))),0),0)</f>
        <v>0</v>
      </c>
      <c r="AL1131" s="117">
        <f>MAX(IF(AG1131&gt;0,IF('FA Addition'!$N1131="SLM",($AE1131-'FA Addition'!$M1131)*'FA Addition'!$P1131*AG1131/365,IFERROR(VDB(AE1131,AE1131*0.05,'FA Addition'!$O1131,0,YEARFRAC('FA Addition'!$C1131,$P$1-1,3),'FA Addition'!$Q1131),FAAddition[[#This Row],[Original Cost (Rs)]]-FAAddition[[#This Row],[Salvage Value]])),0),0)</f>
        <v>0</v>
      </c>
      <c r="AM1131" s="119"/>
      <c r="AN1131" s="117">
        <f>MAX(IF(AH1131&gt;0,IF('FA Addition'!$N1131="SLM",($AF1131-'FA Addition'!$M1131)*'FA Addition'!$P1131*AH1131/365,IFERROR(VDB(AF1131,AF1131*0.05,'FA Addition'!$O1131,0,YEARFRAC('FA Addition'!$C1131,$L$1,3),'FA Addition'!$Q1131),FAAddition[[#This Row],[Original Cost (Rs)]]-FAAddition[[#This Row],[Salvage Value]])),0),0)</f>
        <v>0</v>
      </c>
      <c r="AO1131" s="117">
        <f t="shared" si="88"/>
        <v>0</v>
      </c>
      <c r="AQ1131" s="117">
        <f t="shared" si="86"/>
        <v>0</v>
      </c>
      <c r="AR1131" s="120">
        <f t="shared" si="87"/>
        <v>0</v>
      </c>
      <c r="AS1131" s="121"/>
    </row>
    <row r="1132" spans="1:45" ht="13.5" x14ac:dyDescent="0.4">
      <c r="A1132" s="12">
        <f t="shared" si="89"/>
        <v>1129</v>
      </c>
      <c r="B1132" s="64" t="s">
        <v>1758</v>
      </c>
      <c r="C1132" s="54">
        <v>45535</v>
      </c>
      <c r="D1132" s="54">
        <v>45535</v>
      </c>
      <c r="E1132" s="46" t="s">
        <v>451</v>
      </c>
      <c r="F1132" s="51" t="s">
        <v>19</v>
      </c>
      <c r="G1132" s="51" t="s">
        <v>1728</v>
      </c>
      <c r="H1132" s="51" t="s">
        <v>21</v>
      </c>
      <c r="I1132" s="55" t="s">
        <v>1900</v>
      </c>
      <c r="J1132" s="56">
        <v>1</v>
      </c>
      <c r="K1132" s="51" t="s">
        <v>1901</v>
      </c>
      <c r="L1132" s="58">
        <v>56000</v>
      </c>
      <c r="M1132" s="50">
        <f>ROUND('FA Addition'!$L1132*5%,0.1)</f>
        <v>2800</v>
      </c>
      <c r="N1132" s="113" t="str">
        <f>_xlfn.XLOOKUP(_xlfn.CONCAT(E1132,B1132),'Year Wise Master Dep Approach'!F:F,'Year Wise Master Dep Approach'!D:D)</f>
        <v>WDV</v>
      </c>
      <c r="O1132" s="113">
        <f>_xlfn.XLOOKUP(_xlfn.CONCAT(E1132,B1132),'Year Wise Master Dep Approach'!F:F,'Year Wise Master Dep Approach'!E:E)</f>
        <v>3</v>
      </c>
      <c r="P1132" s="114">
        <f>IFERROR(IF('FA Addition'!$N1132="WDV",1-('FA Addition'!$M1132/'FA Addition'!$L1132)^(1/'FA Addition'!$O1132),1/'FA Addition'!$O1132),0)</f>
        <v>0.63159685013596123</v>
      </c>
      <c r="Q1132" s="122">
        <f>'FA Addition'!$P1132*'FA Addition'!$O1132</f>
        <v>1.8947905504078837</v>
      </c>
      <c r="R1132" s="122"/>
      <c r="S1132" s="116">
        <f>IF(AND(DATE(20&amp;LEFT(FAAddition[[#This Row],[FY]],2),4,1)&lt;$L$1+1,DATE(20&amp;LEFT(FAAddition[[#This Row],[FY]],2),4,1)&gt;$P$1-1),'FA Addition'!$J1132,0)</f>
        <v>0</v>
      </c>
      <c r="U1132" s="117">
        <f>S1132*'FA Addition'!$L1132/'FA Addition'!$J1132</f>
        <v>0</v>
      </c>
      <c r="W1132" s="116">
        <f>SUMIFS('FA Write off'!D:D,'FA Write off'!A:A,'FA Addition'!$A1132,'FA Write off'!C:C,"&lt;"&amp;'FA Addition'!$P$1)</f>
        <v>0</v>
      </c>
      <c r="Y1132" s="191">
        <f>IFERROR(W1132/'FA Addition'!$J1132*'FA Addition'!$L1132,0)</f>
        <v>0</v>
      </c>
      <c r="AA1132" s="116">
        <f>SUMIFS('FA Write off'!D:D,'FA Write off'!A:A,'FA Addition'!$A1132,'FA Write off'!C:C,"&lt;"&amp;'FA Addition'!$L$1+1,'FA Write off'!C:C,"&gt;"&amp;'FA Addition'!$L$1-365)</f>
        <v>0</v>
      </c>
      <c r="AC1132" s="118">
        <f>IFERROR(AA1132/'FA Addition'!$J1132*'FA Addition'!$L1132,0)</f>
        <v>0</v>
      </c>
      <c r="AE1132" s="117">
        <f>IF(AND('FA Addition'!$D1132&lt;$P$1+1,U1132=0),'FA Addition'!$L1132,0)-Y1132</f>
        <v>0</v>
      </c>
      <c r="AF1132" s="117">
        <f t="shared" si="85"/>
        <v>0</v>
      </c>
      <c r="AG1132" s="117">
        <f>MIN(MAX(+$P$1-'FA Addition'!$D1132,0),365*'FA Addition'!$O1132)</f>
        <v>0</v>
      </c>
      <c r="AH1132" s="117">
        <f>MIN(MAX($L$1-'FA Addition'!$D1132+1,0),365*'FA Addition'!$O1132)</f>
        <v>0</v>
      </c>
      <c r="AI1132" s="117" cm="1">
        <f t="array" ref="AI1132">_xlfn.XLOOKUP(1,('FA Write off'!A:A='FA Addition'!$A1132)*('FA Write off'!D:D=AA1132),'FA Write off'!H:H,0,0)</f>
        <v>0</v>
      </c>
      <c r="AJ1132" s="117">
        <f>IF(AC1132&gt;0,MAX(IF('FA Addition'!$N1132="SLM",($AC1132-'FA Addition'!$M1132)*'FA Addition'!$P1132*AI1132/365,(AC1132-'FA Addition'!$M1132)*(1-(1-'FA Addition'!$P1132)^(AI1132/365))),0),0)</f>
        <v>0</v>
      </c>
      <c r="AL1132" s="117">
        <f>MAX(IF(AG1132&gt;0,IF('FA Addition'!$N1132="SLM",($AE1132-'FA Addition'!$M1132)*'FA Addition'!$P1132*AG1132/365,IFERROR(VDB(AE1132,AE1132*0.05,'FA Addition'!$O1132,0,YEARFRAC('FA Addition'!$C1132,$P$1-1,3),'FA Addition'!$Q1132),FAAddition[[#This Row],[Original Cost (Rs)]]-FAAddition[[#This Row],[Salvage Value]])),0),0)</f>
        <v>0</v>
      </c>
      <c r="AM1132" s="119"/>
      <c r="AN1132" s="117">
        <f>MAX(IF(AH1132&gt;0,IF('FA Addition'!$N1132="SLM",($AF1132-'FA Addition'!$M1132)*'FA Addition'!$P1132*AH1132/365,IFERROR(VDB(AF1132,AF1132*0.05,'FA Addition'!$O1132,0,YEARFRAC('FA Addition'!$C1132,$L$1,3),'FA Addition'!$Q1132),FAAddition[[#This Row],[Original Cost (Rs)]]-FAAddition[[#This Row],[Salvage Value]])),0),0)</f>
        <v>0</v>
      </c>
      <c r="AO1132" s="117">
        <f t="shared" si="88"/>
        <v>0</v>
      </c>
      <c r="AQ1132" s="117">
        <f t="shared" si="86"/>
        <v>0</v>
      </c>
      <c r="AR1132" s="120">
        <f t="shared" si="87"/>
        <v>0</v>
      </c>
      <c r="AS1132" s="121"/>
    </row>
    <row r="1133" spans="1:45" ht="13.5" x14ac:dyDescent="0.4">
      <c r="A1133" s="12">
        <f t="shared" si="89"/>
        <v>1130</v>
      </c>
      <c r="B1133" s="64" t="s">
        <v>1758</v>
      </c>
      <c r="C1133" s="54">
        <v>45535</v>
      </c>
      <c r="D1133" s="54">
        <v>45535</v>
      </c>
      <c r="E1133" s="46" t="s">
        <v>451</v>
      </c>
      <c r="F1133" s="51" t="s">
        <v>19</v>
      </c>
      <c r="G1133" s="51" t="s">
        <v>1728</v>
      </c>
      <c r="H1133" s="51" t="s">
        <v>151</v>
      </c>
      <c r="I1133" s="55" t="s">
        <v>1900</v>
      </c>
      <c r="J1133" s="56">
        <v>1</v>
      </c>
      <c r="K1133" s="51" t="s">
        <v>1902</v>
      </c>
      <c r="L1133" s="58">
        <v>9800</v>
      </c>
      <c r="M1133" s="50">
        <f>ROUND('FA Addition'!$L1133*5%,0.1)</f>
        <v>490</v>
      </c>
      <c r="N1133" s="113" t="str">
        <f>_xlfn.XLOOKUP(_xlfn.CONCAT(E1133,B1133),'Year Wise Master Dep Approach'!F:F,'Year Wise Master Dep Approach'!D:D)</f>
        <v>WDV</v>
      </c>
      <c r="O1133" s="113">
        <f>_xlfn.XLOOKUP(_xlfn.CONCAT(E1133,B1133),'Year Wise Master Dep Approach'!F:F,'Year Wise Master Dep Approach'!E:E)</f>
        <v>3</v>
      </c>
      <c r="P1133" s="114">
        <f>IFERROR(IF('FA Addition'!$N1133="WDV",1-('FA Addition'!$M1133/'FA Addition'!$L1133)^(1/'FA Addition'!$O1133),1/'FA Addition'!$O1133),0)</f>
        <v>0.63159685013596123</v>
      </c>
      <c r="Q1133" s="122">
        <f>'FA Addition'!$P1133*'FA Addition'!$O1133</f>
        <v>1.8947905504078837</v>
      </c>
      <c r="R1133" s="122"/>
      <c r="S1133" s="116">
        <f>IF(AND(DATE(20&amp;LEFT(FAAddition[[#This Row],[FY]],2),4,1)&lt;$L$1+1,DATE(20&amp;LEFT(FAAddition[[#This Row],[FY]],2),4,1)&gt;$P$1-1),'FA Addition'!$J1133,0)</f>
        <v>0</v>
      </c>
      <c r="U1133" s="117">
        <f>S1133*'FA Addition'!$L1133/'FA Addition'!$J1133</f>
        <v>0</v>
      </c>
      <c r="W1133" s="116">
        <f>SUMIFS('FA Write off'!D:D,'FA Write off'!A:A,'FA Addition'!$A1133,'FA Write off'!C:C,"&lt;"&amp;'FA Addition'!$P$1)</f>
        <v>0</v>
      </c>
      <c r="Y1133" s="191">
        <f>IFERROR(W1133/'FA Addition'!$J1133*'FA Addition'!$L1133,0)</f>
        <v>0</v>
      </c>
      <c r="AA1133" s="116">
        <f>SUMIFS('FA Write off'!D:D,'FA Write off'!A:A,'FA Addition'!$A1133,'FA Write off'!C:C,"&lt;"&amp;'FA Addition'!$L$1+1,'FA Write off'!C:C,"&gt;"&amp;'FA Addition'!$L$1-365)</f>
        <v>0</v>
      </c>
      <c r="AC1133" s="118">
        <f>IFERROR(AA1133/'FA Addition'!$J1133*'FA Addition'!$L1133,0)</f>
        <v>0</v>
      </c>
      <c r="AE1133" s="117">
        <f>IF(AND('FA Addition'!$D1133&lt;$P$1+1,U1133=0),'FA Addition'!$L1133,0)-Y1133</f>
        <v>0</v>
      </c>
      <c r="AF1133" s="117">
        <f t="shared" si="85"/>
        <v>0</v>
      </c>
      <c r="AG1133" s="117">
        <f>MIN(MAX(+$P$1-'FA Addition'!$D1133,0),365*'FA Addition'!$O1133)</f>
        <v>0</v>
      </c>
      <c r="AH1133" s="117">
        <f>MIN(MAX($L$1-'FA Addition'!$D1133+1,0),365*'FA Addition'!$O1133)</f>
        <v>0</v>
      </c>
      <c r="AI1133" s="117" cm="1">
        <f t="array" ref="AI1133">_xlfn.XLOOKUP(1,('FA Write off'!A:A='FA Addition'!$A1133)*('FA Write off'!D:D=AA1133),'FA Write off'!H:H,0,0)</f>
        <v>0</v>
      </c>
      <c r="AJ1133" s="117">
        <f>IF(AC1133&gt;0,MAX(IF('FA Addition'!$N1133="SLM",($AC1133-'FA Addition'!$M1133)*'FA Addition'!$P1133*AI1133/365,(AC1133-'FA Addition'!$M1133)*(1-(1-'FA Addition'!$P1133)^(AI1133/365))),0),0)</f>
        <v>0</v>
      </c>
      <c r="AL1133" s="117">
        <f>MAX(IF(AG1133&gt;0,IF('FA Addition'!$N1133="SLM",($AE1133-'FA Addition'!$M1133)*'FA Addition'!$P1133*AG1133/365,IFERROR(VDB(AE1133,AE1133*0.05,'FA Addition'!$O1133,0,YEARFRAC('FA Addition'!$C1133,$P$1-1,3),'FA Addition'!$Q1133),FAAddition[[#This Row],[Original Cost (Rs)]]-FAAddition[[#This Row],[Salvage Value]])),0),0)</f>
        <v>0</v>
      </c>
      <c r="AM1133" s="119"/>
      <c r="AN1133" s="117">
        <f>MAX(IF(AH1133&gt;0,IF('FA Addition'!$N1133="SLM",($AF1133-'FA Addition'!$M1133)*'FA Addition'!$P1133*AH1133/365,IFERROR(VDB(AF1133,AF1133*0.05,'FA Addition'!$O1133,0,YEARFRAC('FA Addition'!$C1133,$L$1,3),'FA Addition'!$Q1133),FAAddition[[#This Row],[Original Cost (Rs)]]-FAAddition[[#This Row],[Salvage Value]])),0),0)</f>
        <v>0</v>
      </c>
      <c r="AO1133" s="117">
        <f t="shared" si="88"/>
        <v>0</v>
      </c>
      <c r="AQ1133" s="117">
        <f t="shared" si="86"/>
        <v>0</v>
      </c>
      <c r="AR1133" s="120">
        <f t="shared" si="87"/>
        <v>0</v>
      </c>
      <c r="AS1133" s="121"/>
    </row>
    <row r="1134" spans="1:45" ht="13.5" x14ac:dyDescent="0.4">
      <c r="A1134" s="12">
        <f t="shared" si="89"/>
        <v>1131</v>
      </c>
      <c r="B1134" s="64" t="s">
        <v>1758</v>
      </c>
      <c r="C1134" s="54">
        <v>45535</v>
      </c>
      <c r="D1134" s="54">
        <v>45535</v>
      </c>
      <c r="E1134" s="46" t="s">
        <v>451</v>
      </c>
      <c r="F1134" s="51" t="s">
        <v>19</v>
      </c>
      <c r="G1134" s="51" t="s">
        <v>1728</v>
      </c>
      <c r="H1134" s="51" t="s">
        <v>79</v>
      </c>
      <c r="I1134" s="55" t="s">
        <v>1900</v>
      </c>
      <c r="J1134" s="56">
        <v>1</v>
      </c>
      <c r="K1134" s="51" t="s">
        <v>1903</v>
      </c>
      <c r="L1134" s="58">
        <v>3814</v>
      </c>
      <c r="M1134" s="50">
        <f>ROUND('FA Addition'!$L1134*5%,0.1)</f>
        <v>191</v>
      </c>
      <c r="N1134" s="113" t="str">
        <f>_xlfn.XLOOKUP(_xlfn.CONCAT(E1134,B1134),'Year Wise Master Dep Approach'!F:F,'Year Wise Master Dep Approach'!D:D)</f>
        <v>WDV</v>
      </c>
      <c r="O1134" s="113">
        <f>_xlfn.XLOOKUP(_xlfn.CONCAT(E1134,B1134),'Year Wise Master Dep Approach'!F:F,'Year Wise Master Dep Approach'!E:E)</f>
        <v>3</v>
      </c>
      <c r="P1134" s="114">
        <f>IFERROR(IF('FA Addition'!$N1134="WDV",1-('FA Addition'!$M1134/'FA Addition'!$L1134)^(1/'FA Addition'!$O1134),1/'FA Addition'!$O1134),0)</f>
        <v>0.63140376668873333</v>
      </c>
      <c r="Q1134" s="122">
        <f>'FA Addition'!$P1134*'FA Addition'!$O1134</f>
        <v>1.8942113000662</v>
      </c>
      <c r="R1134" s="122"/>
      <c r="S1134" s="116">
        <f>IF(AND(DATE(20&amp;LEFT(FAAddition[[#This Row],[FY]],2),4,1)&lt;$L$1+1,DATE(20&amp;LEFT(FAAddition[[#This Row],[FY]],2),4,1)&gt;$P$1-1),'FA Addition'!$J1134,0)</f>
        <v>0</v>
      </c>
      <c r="U1134" s="117">
        <f>S1134*'FA Addition'!$L1134/'FA Addition'!$J1134</f>
        <v>0</v>
      </c>
      <c r="W1134" s="116">
        <f>SUMIFS('FA Write off'!D:D,'FA Write off'!A:A,'FA Addition'!$A1134,'FA Write off'!C:C,"&lt;"&amp;'FA Addition'!$P$1)</f>
        <v>0</v>
      </c>
      <c r="Y1134" s="191">
        <f>IFERROR(W1134/'FA Addition'!$J1134*'FA Addition'!$L1134,0)</f>
        <v>0</v>
      </c>
      <c r="AA1134" s="116">
        <f>SUMIFS('FA Write off'!D:D,'FA Write off'!A:A,'FA Addition'!$A1134,'FA Write off'!C:C,"&lt;"&amp;'FA Addition'!$L$1+1,'FA Write off'!C:C,"&gt;"&amp;'FA Addition'!$L$1-365)</f>
        <v>0</v>
      </c>
      <c r="AC1134" s="118">
        <f>IFERROR(AA1134/'FA Addition'!$J1134*'FA Addition'!$L1134,0)</f>
        <v>0</v>
      </c>
      <c r="AE1134" s="117">
        <f>IF(AND('FA Addition'!$D1134&lt;$P$1+1,U1134=0),'FA Addition'!$L1134,0)-Y1134</f>
        <v>0</v>
      </c>
      <c r="AF1134" s="117">
        <f t="shared" si="85"/>
        <v>0</v>
      </c>
      <c r="AG1134" s="117">
        <f>MIN(MAX(+$P$1-'FA Addition'!$D1134,0),365*'FA Addition'!$O1134)</f>
        <v>0</v>
      </c>
      <c r="AH1134" s="117">
        <f>MIN(MAX($L$1-'FA Addition'!$D1134+1,0),365*'FA Addition'!$O1134)</f>
        <v>0</v>
      </c>
      <c r="AI1134" s="117" cm="1">
        <f t="array" ref="AI1134">_xlfn.XLOOKUP(1,('FA Write off'!A:A='FA Addition'!$A1134)*('FA Write off'!D:D=AA1134),'FA Write off'!H:H,0,0)</f>
        <v>0</v>
      </c>
      <c r="AJ1134" s="117">
        <f>IF(AC1134&gt;0,MAX(IF('FA Addition'!$N1134="SLM",($AC1134-'FA Addition'!$M1134)*'FA Addition'!$P1134*AI1134/365,(AC1134-'FA Addition'!$M1134)*(1-(1-'FA Addition'!$P1134)^(AI1134/365))),0),0)</f>
        <v>0</v>
      </c>
      <c r="AL1134" s="117">
        <f>MAX(IF(AG1134&gt;0,IF('FA Addition'!$N1134="SLM",($AE1134-'FA Addition'!$M1134)*'FA Addition'!$P1134*AG1134/365,IFERROR(VDB(AE1134,AE1134*0.05,'FA Addition'!$O1134,0,YEARFRAC('FA Addition'!$C1134,$P$1-1,3),'FA Addition'!$Q1134),FAAddition[[#This Row],[Original Cost (Rs)]]-FAAddition[[#This Row],[Salvage Value]])),0),0)</f>
        <v>0</v>
      </c>
      <c r="AM1134" s="119"/>
      <c r="AN1134" s="117">
        <f>MAX(IF(AH1134&gt;0,IF('FA Addition'!$N1134="SLM",($AF1134-'FA Addition'!$M1134)*'FA Addition'!$P1134*AH1134/365,IFERROR(VDB(AF1134,AF1134*0.05,'FA Addition'!$O1134,0,YEARFRAC('FA Addition'!$C1134,$L$1,3),'FA Addition'!$Q1134),FAAddition[[#This Row],[Original Cost (Rs)]]-FAAddition[[#This Row],[Salvage Value]])),0),0)</f>
        <v>0</v>
      </c>
      <c r="AO1134" s="117">
        <f t="shared" si="88"/>
        <v>0</v>
      </c>
      <c r="AQ1134" s="117">
        <f t="shared" si="86"/>
        <v>0</v>
      </c>
      <c r="AR1134" s="120">
        <f t="shared" si="87"/>
        <v>0</v>
      </c>
      <c r="AS1134" s="121"/>
    </row>
    <row r="1135" spans="1:45" ht="13.5" x14ac:dyDescent="0.4">
      <c r="A1135" s="12">
        <f t="shared" si="89"/>
        <v>1132</v>
      </c>
      <c r="B1135" s="64" t="s">
        <v>1758</v>
      </c>
      <c r="C1135" s="54">
        <v>45535</v>
      </c>
      <c r="D1135" s="54">
        <v>45535</v>
      </c>
      <c r="E1135" s="46" t="s">
        <v>451</v>
      </c>
      <c r="F1135" s="51" t="s">
        <v>19</v>
      </c>
      <c r="G1135" s="51" t="s">
        <v>1728</v>
      </c>
      <c r="H1135" s="51" t="s">
        <v>1904</v>
      </c>
      <c r="I1135" s="55" t="s">
        <v>1900</v>
      </c>
      <c r="J1135" s="56">
        <v>5</v>
      </c>
      <c r="K1135" s="51" t="s">
        <v>1904</v>
      </c>
      <c r="L1135" s="58">
        <v>1000</v>
      </c>
      <c r="M1135" s="50">
        <f>ROUND('FA Addition'!$L1135*5%,0.1)</f>
        <v>50</v>
      </c>
      <c r="N1135" s="113" t="str">
        <f>_xlfn.XLOOKUP(_xlfn.CONCAT(E1135,B1135),'Year Wise Master Dep Approach'!F:F,'Year Wise Master Dep Approach'!D:D)</f>
        <v>WDV</v>
      </c>
      <c r="O1135" s="113">
        <f>_xlfn.XLOOKUP(_xlfn.CONCAT(E1135,B1135),'Year Wise Master Dep Approach'!F:F,'Year Wise Master Dep Approach'!E:E)</f>
        <v>3</v>
      </c>
      <c r="P1135" s="114">
        <f>IFERROR(IF('FA Addition'!$N1135="WDV",1-('FA Addition'!$M1135/'FA Addition'!$L1135)^(1/'FA Addition'!$O1135),1/'FA Addition'!$O1135),0)</f>
        <v>0.63159685013596123</v>
      </c>
      <c r="Q1135" s="122">
        <f>'FA Addition'!$P1135*'FA Addition'!$O1135</f>
        <v>1.8947905504078837</v>
      </c>
      <c r="R1135" s="122"/>
      <c r="S1135" s="116">
        <f>IF(AND(DATE(20&amp;LEFT(FAAddition[[#This Row],[FY]],2),4,1)&lt;$L$1+1,DATE(20&amp;LEFT(FAAddition[[#This Row],[FY]],2),4,1)&gt;$P$1-1),'FA Addition'!$J1135,0)</f>
        <v>0</v>
      </c>
      <c r="U1135" s="117">
        <f>S1135*'FA Addition'!$L1135/'FA Addition'!$J1135</f>
        <v>0</v>
      </c>
      <c r="W1135" s="116">
        <f>SUMIFS('FA Write off'!D:D,'FA Write off'!A:A,'FA Addition'!$A1135,'FA Write off'!C:C,"&lt;"&amp;'FA Addition'!$P$1)</f>
        <v>0</v>
      </c>
      <c r="Y1135" s="191">
        <f>IFERROR(W1135/'FA Addition'!$J1135*'FA Addition'!$L1135,0)</f>
        <v>0</v>
      </c>
      <c r="AA1135" s="116">
        <f>SUMIFS('FA Write off'!D:D,'FA Write off'!A:A,'FA Addition'!$A1135,'FA Write off'!C:C,"&lt;"&amp;'FA Addition'!$L$1+1,'FA Write off'!C:C,"&gt;"&amp;'FA Addition'!$L$1-365)</f>
        <v>0</v>
      </c>
      <c r="AC1135" s="118">
        <f>IFERROR(AA1135/'FA Addition'!$J1135*'FA Addition'!$L1135,0)</f>
        <v>0</v>
      </c>
      <c r="AE1135" s="117">
        <f>IF(AND('FA Addition'!$D1135&lt;$P$1+1,U1135=0),'FA Addition'!$L1135,0)-Y1135</f>
        <v>0</v>
      </c>
      <c r="AF1135" s="117">
        <f t="shared" si="85"/>
        <v>0</v>
      </c>
      <c r="AG1135" s="117">
        <f>MIN(MAX(+$P$1-'FA Addition'!$D1135,0),365*'FA Addition'!$O1135)</f>
        <v>0</v>
      </c>
      <c r="AH1135" s="117">
        <f>MIN(MAX($L$1-'FA Addition'!$D1135+1,0),365*'FA Addition'!$O1135)</f>
        <v>0</v>
      </c>
      <c r="AI1135" s="117" cm="1">
        <f t="array" ref="AI1135">_xlfn.XLOOKUP(1,('FA Write off'!A:A='FA Addition'!$A1135)*('FA Write off'!D:D=AA1135),'FA Write off'!H:H,0,0)</f>
        <v>0</v>
      </c>
      <c r="AJ1135" s="117">
        <f>IF(AC1135&gt;0,MAX(IF('FA Addition'!$N1135="SLM",($AC1135-'FA Addition'!$M1135)*'FA Addition'!$P1135*AI1135/365,(AC1135-'FA Addition'!$M1135)*(1-(1-'FA Addition'!$P1135)^(AI1135/365))),0),0)</f>
        <v>0</v>
      </c>
      <c r="AL1135" s="117">
        <f>MAX(IF(AG1135&gt;0,IF('FA Addition'!$N1135="SLM",($AE1135-'FA Addition'!$M1135)*'FA Addition'!$P1135*AG1135/365,IFERROR(VDB(AE1135,AE1135*0.05,'FA Addition'!$O1135,0,YEARFRAC('FA Addition'!$C1135,$P$1-1,3),'FA Addition'!$Q1135),FAAddition[[#This Row],[Original Cost (Rs)]]-FAAddition[[#This Row],[Salvage Value]])),0),0)</f>
        <v>0</v>
      </c>
      <c r="AM1135" s="119"/>
      <c r="AN1135" s="117">
        <f>MAX(IF(AH1135&gt;0,IF('FA Addition'!$N1135="SLM",($AF1135-'FA Addition'!$M1135)*'FA Addition'!$P1135*AH1135/365,IFERROR(VDB(AF1135,AF1135*0.05,'FA Addition'!$O1135,0,YEARFRAC('FA Addition'!$C1135,$L$1,3),'FA Addition'!$Q1135),FAAddition[[#This Row],[Original Cost (Rs)]]-FAAddition[[#This Row],[Salvage Value]])),0),0)</f>
        <v>0</v>
      </c>
      <c r="AO1135" s="117">
        <f t="shared" si="88"/>
        <v>0</v>
      </c>
      <c r="AQ1135" s="117">
        <f t="shared" si="86"/>
        <v>0</v>
      </c>
      <c r="AR1135" s="120">
        <f t="shared" si="87"/>
        <v>0</v>
      </c>
      <c r="AS1135" s="121"/>
    </row>
    <row r="1136" spans="1:45" ht="13.5" x14ac:dyDescent="0.4">
      <c r="A1136" s="12">
        <f t="shared" si="89"/>
        <v>1133</v>
      </c>
      <c r="B1136" s="64" t="s">
        <v>1758</v>
      </c>
      <c r="C1136" s="54">
        <v>45535</v>
      </c>
      <c r="D1136" s="54">
        <v>45535</v>
      </c>
      <c r="E1136" s="46" t="s">
        <v>451</v>
      </c>
      <c r="F1136" s="51" t="s">
        <v>19</v>
      </c>
      <c r="G1136" s="51" t="s">
        <v>1728</v>
      </c>
      <c r="H1136" s="51" t="s">
        <v>1905</v>
      </c>
      <c r="I1136" s="55" t="s">
        <v>1900</v>
      </c>
      <c r="J1136" s="56">
        <v>1</v>
      </c>
      <c r="K1136" s="51" t="s">
        <v>1906</v>
      </c>
      <c r="L1136" s="58">
        <v>2500</v>
      </c>
      <c r="M1136" s="50">
        <f>ROUND('FA Addition'!$L1136*5%,0.1)</f>
        <v>125</v>
      </c>
      <c r="N1136" s="113" t="str">
        <f>_xlfn.XLOOKUP(_xlfn.CONCAT(E1136,B1136),'Year Wise Master Dep Approach'!F:F,'Year Wise Master Dep Approach'!D:D)</f>
        <v>WDV</v>
      </c>
      <c r="O1136" s="113">
        <f>_xlfn.XLOOKUP(_xlfn.CONCAT(E1136,B1136),'Year Wise Master Dep Approach'!F:F,'Year Wise Master Dep Approach'!E:E)</f>
        <v>3</v>
      </c>
      <c r="P1136" s="114">
        <f>IFERROR(IF('FA Addition'!$N1136="WDV",1-('FA Addition'!$M1136/'FA Addition'!$L1136)^(1/'FA Addition'!$O1136),1/'FA Addition'!$O1136),0)</f>
        <v>0.63159685013596123</v>
      </c>
      <c r="Q1136" s="122">
        <f>'FA Addition'!$P1136*'FA Addition'!$O1136</f>
        <v>1.8947905504078837</v>
      </c>
      <c r="R1136" s="122"/>
      <c r="S1136" s="116">
        <f>IF(AND(DATE(20&amp;LEFT(FAAddition[[#This Row],[FY]],2),4,1)&lt;$L$1+1,DATE(20&amp;LEFT(FAAddition[[#This Row],[FY]],2),4,1)&gt;$P$1-1),'FA Addition'!$J1136,0)</f>
        <v>0</v>
      </c>
      <c r="U1136" s="117">
        <f>S1136*'FA Addition'!$L1136/'FA Addition'!$J1136</f>
        <v>0</v>
      </c>
      <c r="W1136" s="116">
        <f>SUMIFS('FA Write off'!D:D,'FA Write off'!A:A,'FA Addition'!$A1136,'FA Write off'!C:C,"&lt;"&amp;'FA Addition'!$P$1)</f>
        <v>0</v>
      </c>
      <c r="Y1136" s="191">
        <f>IFERROR(W1136/'FA Addition'!$J1136*'FA Addition'!$L1136,0)</f>
        <v>0</v>
      </c>
      <c r="AA1136" s="116">
        <f>SUMIFS('FA Write off'!D:D,'FA Write off'!A:A,'FA Addition'!$A1136,'FA Write off'!C:C,"&lt;"&amp;'FA Addition'!$L$1+1,'FA Write off'!C:C,"&gt;"&amp;'FA Addition'!$L$1-365)</f>
        <v>0</v>
      </c>
      <c r="AC1136" s="118">
        <f>IFERROR(AA1136/'FA Addition'!$J1136*'FA Addition'!$L1136,0)</f>
        <v>0</v>
      </c>
      <c r="AE1136" s="117">
        <f>IF(AND('FA Addition'!$D1136&lt;$P$1+1,U1136=0),'FA Addition'!$L1136,0)-Y1136</f>
        <v>0</v>
      </c>
      <c r="AF1136" s="117">
        <f t="shared" si="85"/>
        <v>0</v>
      </c>
      <c r="AG1136" s="117">
        <f>MIN(MAX(+$P$1-'FA Addition'!$D1136,0),365*'FA Addition'!$O1136)</f>
        <v>0</v>
      </c>
      <c r="AH1136" s="117">
        <f>MIN(MAX($L$1-'FA Addition'!$D1136+1,0),365*'FA Addition'!$O1136)</f>
        <v>0</v>
      </c>
      <c r="AI1136" s="117" cm="1">
        <f t="array" ref="AI1136">_xlfn.XLOOKUP(1,('FA Write off'!A:A='FA Addition'!$A1136)*('FA Write off'!D:D=AA1136),'FA Write off'!H:H,0,0)</f>
        <v>0</v>
      </c>
      <c r="AJ1136" s="117">
        <f>IF(AC1136&gt;0,MAX(IF('FA Addition'!$N1136="SLM",($AC1136-'FA Addition'!$M1136)*'FA Addition'!$P1136*AI1136/365,(AC1136-'FA Addition'!$M1136)*(1-(1-'FA Addition'!$P1136)^(AI1136/365))),0),0)</f>
        <v>0</v>
      </c>
      <c r="AL1136" s="117">
        <f>MAX(IF(AG1136&gt;0,IF('FA Addition'!$N1136="SLM",($AE1136-'FA Addition'!$M1136)*'FA Addition'!$P1136*AG1136/365,IFERROR(VDB(AE1136,AE1136*0.05,'FA Addition'!$O1136,0,YEARFRAC('FA Addition'!$C1136,$P$1-1,3),'FA Addition'!$Q1136),FAAddition[[#This Row],[Original Cost (Rs)]]-FAAddition[[#This Row],[Salvage Value]])),0),0)</f>
        <v>0</v>
      </c>
      <c r="AM1136" s="119"/>
      <c r="AN1136" s="117">
        <f>MAX(IF(AH1136&gt;0,IF('FA Addition'!$N1136="SLM",($AF1136-'FA Addition'!$M1136)*'FA Addition'!$P1136*AH1136/365,IFERROR(VDB(AF1136,AF1136*0.05,'FA Addition'!$O1136,0,YEARFRAC('FA Addition'!$C1136,$L$1,3),'FA Addition'!$Q1136),FAAddition[[#This Row],[Original Cost (Rs)]]-FAAddition[[#This Row],[Salvage Value]])),0),0)</f>
        <v>0</v>
      </c>
      <c r="AO1136" s="117">
        <f t="shared" si="88"/>
        <v>0</v>
      </c>
      <c r="AQ1136" s="117">
        <f t="shared" si="86"/>
        <v>0</v>
      </c>
      <c r="AR1136" s="120">
        <f t="shared" si="87"/>
        <v>0</v>
      </c>
      <c r="AS1136" s="121"/>
    </row>
    <row r="1137" spans="1:45" ht="13.5" x14ac:dyDescent="0.4">
      <c r="A1137" s="12">
        <f t="shared" si="89"/>
        <v>1134</v>
      </c>
      <c r="B1137" s="64" t="s">
        <v>1758</v>
      </c>
      <c r="C1137" s="54">
        <v>45527</v>
      </c>
      <c r="D1137" s="54">
        <v>45535</v>
      </c>
      <c r="E1137" s="46" t="s">
        <v>1320</v>
      </c>
      <c r="F1137" s="51" t="s">
        <v>33</v>
      </c>
      <c r="G1137" s="51" t="s">
        <v>34</v>
      </c>
      <c r="H1137" s="51" t="s">
        <v>32</v>
      </c>
      <c r="I1137" s="55" t="s">
        <v>1907</v>
      </c>
      <c r="J1137" s="56">
        <v>340</v>
      </c>
      <c r="K1137" s="51" t="s">
        <v>295</v>
      </c>
      <c r="L1137" s="58">
        <v>566100</v>
      </c>
      <c r="M1137" s="50">
        <f>ROUND('FA Addition'!$L1137*5%,0.1)</f>
        <v>28305</v>
      </c>
      <c r="N1137" s="113" t="str">
        <f>_xlfn.XLOOKUP(_xlfn.CONCAT(E1137,B1137),'Year Wise Master Dep Approach'!F:F,'Year Wise Master Dep Approach'!D:D)</f>
        <v>SLM</v>
      </c>
      <c r="O1137" s="113">
        <f>_xlfn.XLOOKUP(_xlfn.CONCAT(E1137,B1137),'Year Wise Master Dep Approach'!F:F,'Year Wise Master Dep Approach'!E:E)</f>
        <v>5</v>
      </c>
      <c r="P1137" s="114">
        <f>IFERROR(IF('FA Addition'!$N1137="WDV",1-('FA Addition'!$M1137/'FA Addition'!$L1137)^(1/'FA Addition'!$O1137),1/'FA Addition'!$O1137),0)</f>
        <v>0.2</v>
      </c>
      <c r="Q1137" s="122">
        <f>'FA Addition'!$P1137*'FA Addition'!$O1137</f>
        <v>1</v>
      </c>
      <c r="R1137" s="122"/>
      <c r="S1137" s="116">
        <f>IF(AND(DATE(20&amp;LEFT(FAAddition[[#This Row],[FY]],2),4,1)&lt;$L$1+1,DATE(20&amp;LEFT(FAAddition[[#This Row],[FY]],2),4,1)&gt;$P$1-1),'FA Addition'!$J1137,0)</f>
        <v>0</v>
      </c>
      <c r="U1137" s="117">
        <f>S1137*'FA Addition'!$L1137/'FA Addition'!$J1137</f>
        <v>0</v>
      </c>
      <c r="W1137" s="116">
        <f>SUMIFS('FA Write off'!D:D,'FA Write off'!A:A,'FA Addition'!$A1137,'FA Write off'!C:C,"&lt;"&amp;'FA Addition'!$P$1)</f>
        <v>0</v>
      </c>
      <c r="Y1137" s="191">
        <f>IFERROR(W1137/'FA Addition'!$J1137*'FA Addition'!$L1137,0)</f>
        <v>0</v>
      </c>
      <c r="AA1137" s="116">
        <f>SUMIFS('FA Write off'!D:D,'FA Write off'!A:A,'FA Addition'!$A1137,'FA Write off'!C:C,"&lt;"&amp;'FA Addition'!$L$1+1,'FA Write off'!C:C,"&gt;"&amp;'FA Addition'!$L$1-365)</f>
        <v>0</v>
      </c>
      <c r="AC1137" s="118">
        <f>IFERROR(AA1137/'FA Addition'!$J1137*'FA Addition'!$L1137,0)</f>
        <v>0</v>
      </c>
      <c r="AE1137" s="117">
        <f>IF(AND('FA Addition'!$D1137&lt;$P$1+1,U1137=0),'FA Addition'!$L1137,0)-Y1137</f>
        <v>0</v>
      </c>
      <c r="AF1137" s="117">
        <f t="shared" si="85"/>
        <v>0</v>
      </c>
      <c r="AG1137" s="117">
        <f>MIN(MAX(+$P$1-'FA Addition'!$D1137,0),365*'FA Addition'!$O1137)</f>
        <v>0</v>
      </c>
      <c r="AH1137" s="117">
        <f>MIN(MAX($L$1-'FA Addition'!$D1137+1,0),365*'FA Addition'!$O1137)</f>
        <v>0</v>
      </c>
      <c r="AI1137" s="117" cm="1">
        <f t="array" ref="AI1137">_xlfn.XLOOKUP(1,('FA Write off'!A:A='FA Addition'!$A1137)*('FA Write off'!D:D=AA1137),'FA Write off'!H:H,0,0)</f>
        <v>0</v>
      </c>
      <c r="AJ1137" s="117">
        <f>IF(AC1137&gt;0,MAX(IF('FA Addition'!$N1137="SLM",($AC1137-'FA Addition'!$M1137)*'FA Addition'!$P1137*AI1137/365,(AC1137-'FA Addition'!$M1137)*(1-(1-'FA Addition'!$P1137)^(AI1137/365))),0),0)</f>
        <v>0</v>
      </c>
      <c r="AL1137" s="117">
        <f>MAX(IF(AG1137&gt;0,IF('FA Addition'!$N1137="SLM",($AE1137-'FA Addition'!$M1137)*'FA Addition'!$P1137*AG1137/365,IFERROR(VDB(AE1137,AE1137*0.05,'FA Addition'!$O1137,0,YEARFRAC('FA Addition'!$C1137,$P$1-1,3),'FA Addition'!$Q1137),FAAddition[[#This Row],[Original Cost (Rs)]]-FAAddition[[#This Row],[Salvage Value]])),0),0)</f>
        <v>0</v>
      </c>
      <c r="AM1137" s="119"/>
      <c r="AN1137" s="117">
        <f>MAX(IF(AH1137&gt;0,IF('FA Addition'!$N1137="SLM",($AF1137-'FA Addition'!$M1137)*'FA Addition'!$P1137*AH1137/365,IFERROR(VDB(AF1137,AF1137*0.05,'FA Addition'!$O1137,0,YEARFRAC('FA Addition'!$C1137,$L$1,3),'FA Addition'!$Q1137),FAAddition[[#This Row],[Original Cost (Rs)]]-FAAddition[[#This Row],[Salvage Value]])),0),0)</f>
        <v>0</v>
      </c>
      <c r="AO1137" s="117">
        <f t="shared" si="88"/>
        <v>0</v>
      </c>
      <c r="AQ1137" s="117">
        <f t="shared" si="86"/>
        <v>0</v>
      </c>
      <c r="AR1137" s="120">
        <f t="shared" si="87"/>
        <v>0</v>
      </c>
      <c r="AS1137" s="121"/>
    </row>
    <row r="1138" spans="1:45" ht="13.5" x14ac:dyDescent="0.4">
      <c r="A1138" s="12">
        <f t="shared" si="89"/>
        <v>1135</v>
      </c>
      <c r="B1138" s="64" t="s">
        <v>1758</v>
      </c>
      <c r="C1138" s="54">
        <v>45533</v>
      </c>
      <c r="D1138" s="54">
        <v>45536</v>
      </c>
      <c r="E1138" s="46" t="s">
        <v>1320</v>
      </c>
      <c r="F1138" s="51" t="s">
        <v>33</v>
      </c>
      <c r="G1138" s="51" t="s">
        <v>34</v>
      </c>
      <c r="H1138" s="51" t="s">
        <v>32</v>
      </c>
      <c r="I1138" s="55" t="s">
        <v>1908</v>
      </c>
      <c r="J1138" s="56">
        <v>600</v>
      </c>
      <c r="K1138" s="51" t="s">
        <v>295</v>
      </c>
      <c r="L1138" s="58">
        <v>999000</v>
      </c>
      <c r="M1138" s="50">
        <f>ROUND('FA Addition'!$L1138*5%,0.1)</f>
        <v>49950</v>
      </c>
      <c r="N1138" s="113" t="str">
        <f>_xlfn.XLOOKUP(_xlfn.CONCAT(E1138,B1138),'Year Wise Master Dep Approach'!F:F,'Year Wise Master Dep Approach'!D:D)</f>
        <v>SLM</v>
      </c>
      <c r="O1138" s="113">
        <f>_xlfn.XLOOKUP(_xlfn.CONCAT(E1138,B1138),'Year Wise Master Dep Approach'!F:F,'Year Wise Master Dep Approach'!E:E)</f>
        <v>5</v>
      </c>
      <c r="P1138" s="114">
        <f>IFERROR(IF('FA Addition'!$N1138="WDV",1-('FA Addition'!$M1138/'FA Addition'!$L1138)^(1/'FA Addition'!$O1138),1/'FA Addition'!$O1138),0)</f>
        <v>0.2</v>
      </c>
      <c r="Q1138" s="122">
        <f>'FA Addition'!$P1138*'FA Addition'!$O1138</f>
        <v>1</v>
      </c>
      <c r="R1138" s="122"/>
      <c r="S1138" s="116">
        <f>IF(AND(DATE(20&amp;LEFT(FAAddition[[#This Row],[FY]],2),4,1)&lt;$L$1+1,DATE(20&amp;LEFT(FAAddition[[#This Row],[FY]],2),4,1)&gt;$P$1-1),'FA Addition'!$J1138,0)</f>
        <v>0</v>
      </c>
      <c r="U1138" s="117">
        <f>S1138*'FA Addition'!$L1138/'FA Addition'!$J1138</f>
        <v>0</v>
      </c>
      <c r="W1138" s="116">
        <f>SUMIFS('FA Write off'!D:D,'FA Write off'!A:A,'FA Addition'!$A1138,'FA Write off'!C:C,"&lt;"&amp;'FA Addition'!$P$1)</f>
        <v>0</v>
      </c>
      <c r="Y1138" s="191">
        <f>IFERROR(W1138/'FA Addition'!$J1138*'FA Addition'!$L1138,0)</f>
        <v>0</v>
      </c>
      <c r="AA1138" s="116">
        <f>SUMIFS('FA Write off'!D:D,'FA Write off'!A:A,'FA Addition'!$A1138,'FA Write off'!C:C,"&lt;"&amp;'FA Addition'!$L$1+1,'FA Write off'!C:C,"&gt;"&amp;'FA Addition'!$L$1-365)</f>
        <v>0</v>
      </c>
      <c r="AC1138" s="118">
        <f>IFERROR(AA1138/'FA Addition'!$J1138*'FA Addition'!$L1138,0)</f>
        <v>0</v>
      </c>
      <c r="AE1138" s="117">
        <f>IF(AND('FA Addition'!$D1138&lt;$P$1+1,U1138=0),'FA Addition'!$L1138,0)-Y1138</f>
        <v>0</v>
      </c>
      <c r="AF1138" s="117">
        <f t="shared" si="85"/>
        <v>0</v>
      </c>
      <c r="AG1138" s="117">
        <f>MIN(MAX(+$P$1-'FA Addition'!$D1138,0),365*'FA Addition'!$O1138)</f>
        <v>0</v>
      </c>
      <c r="AH1138" s="117">
        <f>MIN(MAX($L$1-'FA Addition'!$D1138+1,0),365*'FA Addition'!$O1138)</f>
        <v>0</v>
      </c>
      <c r="AI1138" s="117" cm="1">
        <f t="array" ref="AI1138">_xlfn.XLOOKUP(1,('FA Write off'!A:A='FA Addition'!$A1138)*('FA Write off'!D:D=AA1138),'FA Write off'!H:H,0,0)</f>
        <v>0</v>
      </c>
      <c r="AJ1138" s="117">
        <f>IF(AC1138&gt;0,MAX(IF('FA Addition'!$N1138="SLM",($AC1138-'FA Addition'!$M1138)*'FA Addition'!$P1138*AI1138/365,(AC1138-'FA Addition'!$M1138)*(1-(1-'FA Addition'!$P1138)^(AI1138/365))),0),0)</f>
        <v>0</v>
      </c>
      <c r="AL1138" s="117">
        <f>MAX(IF(AG1138&gt;0,IF('FA Addition'!$N1138="SLM",($AE1138-'FA Addition'!$M1138)*'FA Addition'!$P1138*AG1138/365,IFERROR(VDB(AE1138,AE1138*0.05,'FA Addition'!$O1138,0,YEARFRAC('FA Addition'!$C1138,$P$1-1,3),'FA Addition'!$Q1138),FAAddition[[#This Row],[Original Cost (Rs)]]-FAAddition[[#This Row],[Salvage Value]])),0),0)</f>
        <v>0</v>
      </c>
      <c r="AM1138" s="119"/>
      <c r="AN1138" s="117">
        <f>MAX(IF(AH1138&gt;0,IF('FA Addition'!$N1138="SLM",($AF1138-'FA Addition'!$M1138)*'FA Addition'!$P1138*AH1138/365,IFERROR(VDB(AF1138,AF1138*0.05,'FA Addition'!$O1138,0,YEARFRAC('FA Addition'!$C1138,$L$1,3),'FA Addition'!$Q1138),FAAddition[[#This Row],[Original Cost (Rs)]]-FAAddition[[#This Row],[Salvage Value]])),0),0)</f>
        <v>0</v>
      </c>
      <c r="AO1138" s="117">
        <f t="shared" si="88"/>
        <v>0</v>
      </c>
      <c r="AQ1138" s="117">
        <f t="shared" si="86"/>
        <v>0</v>
      </c>
      <c r="AR1138" s="120">
        <f t="shared" si="87"/>
        <v>0</v>
      </c>
      <c r="AS1138" s="121"/>
    </row>
    <row r="1139" spans="1:45" ht="13.5" x14ac:dyDescent="0.4">
      <c r="A1139" s="12">
        <f t="shared" si="89"/>
        <v>1136</v>
      </c>
      <c r="B1139" s="64" t="s">
        <v>1758</v>
      </c>
      <c r="C1139" s="54">
        <v>45536</v>
      </c>
      <c r="D1139" s="54">
        <v>45536</v>
      </c>
      <c r="E1139" s="46" t="s">
        <v>1320</v>
      </c>
      <c r="F1139" s="51" t="s">
        <v>33</v>
      </c>
      <c r="G1139" s="51" t="s">
        <v>34</v>
      </c>
      <c r="H1139" s="51" t="s">
        <v>32</v>
      </c>
      <c r="I1139" s="55" t="s">
        <v>1909</v>
      </c>
      <c r="J1139" s="56">
        <v>500</v>
      </c>
      <c r="K1139" s="51" t="s">
        <v>295</v>
      </c>
      <c r="L1139" s="58">
        <v>832500</v>
      </c>
      <c r="M1139" s="50">
        <f>ROUND('FA Addition'!$L1139*5%,0.1)</f>
        <v>41625</v>
      </c>
      <c r="N1139" s="113" t="str">
        <f>_xlfn.XLOOKUP(_xlfn.CONCAT(E1139,B1139),'Year Wise Master Dep Approach'!F:F,'Year Wise Master Dep Approach'!D:D)</f>
        <v>SLM</v>
      </c>
      <c r="O1139" s="113">
        <f>_xlfn.XLOOKUP(_xlfn.CONCAT(E1139,B1139),'Year Wise Master Dep Approach'!F:F,'Year Wise Master Dep Approach'!E:E)</f>
        <v>5</v>
      </c>
      <c r="P1139" s="114">
        <f>IFERROR(IF('FA Addition'!$N1139="WDV",1-('FA Addition'!$M1139/'FA Addition'!$L1139)^(1/'FA Addition'!$O1139),1/'FA Addition'!$O1139),0)</f>
        <v>0.2</v>
      </c>
      <c r="Q1139" s="122">
        <f>'FA Addition'!$P1139*'FA Addition'!$O1139</f>
        <v>1</v>
      </c>
      <c r="R1139" s="122"/>
      <c r="S1139" s="116">
        <f>IF(AND(DATE(20&amp;LEFT(FAAddition[[#This Row],[FY]],2),4,1)&lt;$L$1+1,DATE(20&amp;LEFT(FAAddition[[#This Row],[FY]],2),4,1)&gt;$P$1-1),'FA Addition'!$J1139,0)</f>
        <v>0</v>
      </c>
      <c r="U1139" s="117">
        <f>S1139*'FA Addition'!$L1139/'FA Addition'!$J1139</f>
        <v>0</v>
      </c>
      <c r="W1139" s="116">
        <f>SUMIFS('FA Write off'!D:D,'FA Write off'!A:A,'FA Addition'!$A1139,'FA Write off'!C:C,"&lt;"&amp;'FA Addition'!$P$1)</f>
        <v>0</v>
      </c>
      <c r="Y1139" s="191">
        <f>IFERROR(W1139/'FA Addition'!$J1139*'FA Addition'!$L1139,0)</f>
        <v>0</v>
      </c>
      <c r="AA1139" s="116">
        <f>SUMIFS('FA Write off'!D:D,'FA Write off'!A:A,'FA Addition'!$A1139,'FA Write off'!C:C,"&lt;"&amp;'FA Addition'!$L$1+1,'FA Write off'!C:C,"&gt;"&amp;'FA Addition'!$L$1-365)</f>
        <v>0</v>
      </c>
      <c r="AC1139" s="118">
        <f>IFERROR(AA1139/'FA Addition'!$J1139*'FA Addition'!$L1139,0)</f>
        <v>0</v>
      </c>
      <c r="AE1139" s="117">
        <f>IF(AND('FA Addition'!$D1139&lt;$P$1+1,U1139=0),'FA Addition'!$L1139,0)-Y1139</f>
        <v>0</v>
      </c>
      <c r="AF1139" s="117">
        <f t="shared" si="85"/>
        <v>0</v>
      </c>
      <c r="AG1139" s="117">
        <f>MIN(MAX(+$P$1-'FA Addition'!$D1139,0),365*'FA Addition'!$O1139)</f>
        <v>0</v>
      </c>
      <c r="AH1139" s="117">
        <f>MIN(MAX($L$1-'FA Addition'!$D1139+1,0),365*'FA Addition'!$O1139)</f>
        <v>0</v>
      </c>
      <c r="AI1139" s="117" cm="1">
        <f t="array" ref="AI1139">_xlfn.XLOOKUP(1,('FA Write off'!A:A='FA Addition'!$A1139)*('FA Write off'!D:D=AA1139),'FA Write off'!H:H,0,0)</f>
        <v>0</v>
      </c>
      <c r="AJ1139" s="117">
        <f>IF(AC1139&gt;0,MAX(IF('FA Addition'!$N1139="SLM",($AC1139-'FA Addition'!$M1139)*'FA Addition'!$P1139*AI1139/365,(AC1139-'FA Addition'!$M1139)*(1-(1-'FA Addition'!$P1139)^(AI1139/365))),0),0)</f>
        <v>0</v>
      </c>
      <c r="AL1139" s="117">
        <f>MAX(IF(AG1139&gt;0,IF('FA Addition'!$N1139="SLM",($AE1139-'FA Addition'!$M1139)*'FA Addition'!$P1139*AG1139/365,IFERROR(VDB(AE1139,AE1139*0.05,'FA Addition'!$O1139,0,YEARFRAC('FA Addition'!$C1139,$P$1-1,3),'FA Addition'!$Q1139),FAAddition[[#This Row],[Original Cost (Rs)]]-FAAddition[[#This Row],[Salvage Value]])),0),0)</f>
        <v>0</v>
      </c>
      <c r="AM1139" s="119"/>
      <c r="AN1139" s="117">
        <f>MAX(IF(AH1139&gt;0,IF('FA Addition'!$N1139="SLM",($AF1139-'FA Addition'!$M1139)*'FA Addition'!$P1139*AH1139/365,IFERROR(VDB(AF1139,AF1139*0.05,'FA Addition'!$O1139,0,YEARFRAC('FA Addition'!$C1139,$L$1,3),'FA Addition'!$Q1139),FAAddition[[#This Row],[Original Cost (Rs)]]-FAAddition[[#This Row],[Salvage Value]])),0),0)</f>
        <v>0</v>
      </c>
      <c r="AO1139" s="117">
        <f t="shared" si="88"/>
        <v>0</v>
      </c>
      <c r="AQ1139" s="117">
        <f t="shared" si="86"/>
        <v>0</v>
      </c>
      <c r="AR1139" s="120">
        <f t="shared" si="87"/>
        <v>0</v>
      </c>
      <c r="AS1139" s="121"/>
    </row>
    <row r="1140" spans="1:45" ht="13.5" x14ac:dyDescent="0.4">
      <c r="A1140" s="12">
        <f t="shared" si="89"/>
        <v>1137</v>
      </c>
      <c r="B1140" s="64" t="s">
        <v>1758</v>
      </c>
      <c r="C1140" s="54">
        <v>45532</v>
      </c>
      <c r="D1140" s="54">
        <v>45536</v>
      </c>
      <c r="E1140" s="46" t="s">
        <v>1320</v>
      </c>
      <c r="F1140" s="51" t="s">
        <v>33</v>
      </c>
      <c r="G1140" s="51" t="s">
        <v>34</v>
      </c>
      <c r="H1140" s="51" t="s">
        <v>32</v>
      </c>
      <c r="I1140" s="55" t="s">
        <v>1910</v>
      </c>
      <c r="J1140" s="56">
        <v>400</v>
      </c>
      <c r="K1140" s="51" t="s">
        <v>295</v>
      </c>
      <c r="L1140" s="58">
        <v>666000</v>
      </c>
      <c r="M1140" s="50">
        <f>ROUND('FA Addition'!$L1140*5%,0.1)</f>
        <v>33300</v>
      </c>
      <c r="N1140" s="113" t="str">
        <f>_xlfn.XLOOKUP(_xlfn.CONCAT(E1140,B1140),'Year Wise Master Dep Approach'!F:F,'Year Wise Master Dep Approach'!D:D)</f>
        <v>SLM</v>
      </c>
      <c r="O1140" s="113">
        <f>_xlfn.XLOOKUP(_xlfn.CONCAT(E1140,B1140),'Year Wise Master Dep Approach'!F:F,'Year Wise Master Dep Approach'!E:E)</f>
        <v>5</v>
      </c>
      <c r="P1140" s="114">
        <f>IFERROR(IF('FA Addition'!$N1140="WDV",1-('FA Addition'!$M1140/'FA Addition'!$L1140)^(1/'FA Addition'!$O1140),1/'FA Addition'!$O1140),0)</f>
        <v>0.2</v>
      </c>
      <c r="Q1140" s="122">
        <f>'FA Addition'!$P1140*'FA Addition'!$O1140</f>
        <v>1</v>
      </c>
      <c r="R1140" s="122"/>
      <c r="S1140" s="116">
        <f>IF(AND(DATE(20&amp;LEFT(FAAddition[[#This Row],[FY]],2),4,1)&lt;$L$1+1,DATE(20&amp;LEFT(FAAddition[[#This Row],[FY]],2),4,1)&gt;$P$1-1),'FA Addition'!$J1140,0)</f>
        <v>0</v>
      </c>
      <c r="U1140" s="117">
        <f>S1140*'FA Addition'!$L1140/'FA Addition'!$J1140</f>
        <v>0</v>
      </c>
      <c r="W1140" s="116">
        <f>SUMIFS('FA Write off'!D:D,'FA Write off'!A:A,'FA Addition'!$A1140,'FA Write off'!C:C,"&lt;"&amp;'FA Addition'!$P$1)</f>
        <v>0</v>
      </c>
      <c r="Y1140" s="191">
        <f>IFERROR(W1140/'FA Addition'!$J1140*'FA Addition'!$L1140,0)</f>
        <v>0</v>
      </c>
      <c r="AA1140" s="116">
        <f>SUMIFS('FA Write off'!D:D,'FA Write off'!A:A,'FA Addition'!$A1140,'FA Write off'!C:C,"&lt;"&amp;'FA Addition'!$L$1+1,'FA Write off'!C:C,"&gt;"&amp;'FA Addition'!$L$1-365)</f>
        <v>0</v>
      </c>
      <c r="AC1140" s="118">
        <f>IFERROR(AA1140/'FA Addition'!$J1140*'FA Addition'!$L1140,0)</f>
        <v>0</v>
      </c>
      <c r="AE1140" s="117">
        <f>IF(AND('FA Addition'!$D1140&lt;$P$1+1,U1140=0),'FA Addition'!$L1140,0)-Y1140</f>
        <v>0</v>
      </c>
      <c r="AF1140" s="117">
        <f t="shared" si="85"/>
        <v>0</v>
      </c>
      <c r="AG1140" s="117">
        <f>MIN(MAX(+$P$1-'FA Addition'!$D1140,0),365*'FA Addition'!$O1140)</f>
        <v>0</v>
      </c>
      <c r="AH1140" s="117">
        <f>MIN(MAX($L$1-'FA Addition'!$D1140+1,0),365*'FA Addition'!$O1140)</f>
        <v>0</v>
      </c>
      <c r="AI1140" s="117" cm="1">
        <f t="array" ref="AI1140">_xlfn.XLOOKUP(1,('FA Write off'!A:A='FA Addition'!$A1140)*('FA Write off'!D:D=AA1140),'FA Write off'!H:H,0,0)</f>
        <v>0</v>
      </c>
      <c r="AJ1140" s="117">
        <f>IF(AC1140&gt;0,MAX(IF('FA Addition'!$N1140="SLM",($AC1140-'FA Addition'!$M1140)*'FA Addition'!$P1140*AI1140/365,(AC1140-'FA Addition'!$M1140)*(1-(1-'FA Addition'!$P1140)^(AI1140/365))),0),0)</f>
        <v>0</v>
      </c>
      <c r="AL1140" s="117">
        <f>MAX(IF(AG1140&gt;0,IF('FA Addition'!$N1140="SLM",($AE1140-'FA Addition'!$M1140)*'FA Addition'!$P1140*AG1140/365,IFERROR(VDB(AE1140,AE1140*0.05,'FA Addition'!$O1140,0,YEARFRAC('FA Addition'!$C1140,$P$1-1,3),'FA Addition'!$Q1140),FAAddition[[#This Row],[Original Cost (Rs)]]-FAAddition[[#This Row],[Salvage Value]])),0),0)</f>
        <v>0</v>
      </c>
      <c r="AM1140" s="119"/>
      <c r="AN1140" s="117">
        <f>MAX(IF(AH1140&gt;0,IF('FA Addition'!$N1140="SLM",($AF1140-'FA Addition'!$M1140)*'FA Addition'!$P1140*AH1140/365,IFERROR(VDB(AF1140,AF1140*0.05,'FA Addition'!$O1140,0,YEARFRAC('FA Addition'!$C1140,$L$1,3),'FA Addition'!$Q1140),FAAddition[[#This Row],[Original Cost (Rs)]]-FAAddition[[#This Row],[Salvage Value]])),0),0)</f>
        <v>0</v>
      </c>
      <c r="AO1140" s="117">
        <f t="shared" si="88"/>
        <v>0</v>
      </c>
      <c r="AQ1140" s="117">
        <f t="shared" si="86"/>
        <v>0</v>
      </c>
      <c r="AR1140" s="120">
        <f t="shared" si="87"/>
        <v>0</v>
      </c>
      <c r="AS1140" s="121"/>
    </row>
    <row r="1141" spans="1:45" ht="13.5" x14ac:dyDescent="0.4">
      <c r="A1141" s="12">
        <f t="shared" si="89"/>
        <v>1138</v>
      </c>
      <c r="B1141" s="64" t="s">
        <v>1758</v>
      </c>
      <c r="C1141" s="54">
        <v>45537</v>
      </c>
      <c r="D1141" s="54">
        <v>45547</v>
      </c>
      <c r="E1141" s="46" t="s">
        <v>1320</v>
      </c>
      <c r="F1141" s="51" t="s">
        <v>33</v>
      </c>
      <c r="G1141" s="51" t="s">
        <v>34</v>
      </c>
      <c r="H1141" s="51" t="s">
        <v>32</v>
      </c>
      <c r="I1141" s="55" t="s">
        <v>1911</v>
      </c>
      <c r="J1141" s="56">
        <v>1500</v>
      </c>
      <c r="K1141" s="51" t="s">
        <v>295</v>
      </c>
      <c r="L1141" s="58">
        <v>2497500</v>
      </c>
      <c r="M1141" s="50">
        <f>ROUND('FA Addition'!$L1141*5%,0.1)</f>
        <v>124875</v>
      </c>
      <c r="N1141" s="113" t="str">
        <f>_xlfn.XLOOKUP(_xlfn.CONCAT(E1141,B1141),'Year Wise Master Dep Approach'!F:F,'Year Wise Master Dep Approach'!D:D)</f>
        <v>SLM</v>
      </c>
      <c r="O1141" s="113">
        <f>_xlfn.XLOOKUP(_xlfn.CONCAT(E1141,B1141),'Year Wise Master Dep Approach'!F:F,'Year Wise Master Dep Approach'!E:E)</f>
        <v>5</v>
      </c>
      <c r="P1141" s="114">
        <f>IFERROR(IF('FA Addition'!$N1141="WDV",1-('FA Addition'!$M1141/'FA Addition'!$L1141)^(1/'FA Addition'!$O1141),1/'FA Addition'!$O1141),0)</f>
        <v>0.2</v>
      </c>
      <c r="Q1141" s="122">
        <f>'FA Addition'!$P1141*'FA Addition'!$O1141</f>
        <v>1</v>
      </c>
      <c r="R1141" s="122"/>
      <c r="S1141" s="116">
        <f>IF(AND(DATE(20&amp;LEFT(FAAddition[[#This Row],[FY]],2),4,1)&lt;$L$1+1,DATE(20&amp;LEFT(FAAddition[[#This Row],[FY]],2),4,1)&gt;$P$1-1),'FA Addition'!$J1141,0)</f>
        <v>0</v>
      </c>
      <c r="U1141" s="117">
        <f>S1141*'FA Addition'!$L1141/'FA Addition'!$J1141</f>
        <v>0</v>
      </c>
      <c r="W1141" s="116">
        <f>SUMIFS('FA Write off'!D:D,'FA Write off'!A:A,'FA Addition'!$A1141,'FA Write off'!C:C,"&lt;"&amp;'FA Addition'!$P$1)</f>
        <v>0</v>
      </c>
      <c r="Y1141" s="191">
        <f>IFERROR(W1141/'FA Addition'!$J1141*'FA Addition'!$L1141,0)</f>
        <v>0</v>
      </c>
      <c r="AA1141" s="116">
        <f>SUMIFS('FA Write off'!D:D,'FA Write off'!A:A,'FA Addition'!$A1141,'FA Write off'!C:C,"&lt;"&amp;'FA Addition'!$L$1+1,'FA Write off'!C:C,"&gt;"&amp;'FA Addition'!$L$1-365)</f>
        <v>0</v>
      </c>
      <c r="AC1141" s="118">
        <f>IFERROR(AA1141/'FA Addition'!$J1141*'FA Addition'!$L1141,0)</f>
        <v>0</v>
      </c>
      <c r="AE1141" s="117">
        <f>IF(AND('FA Addition'!$D1141&lt;$P$1+1,U1141=0),'FA Addition'!$L1141,0)-Y1141</f>
        <v>0</v>
      </c>
      <c r="AF1141" s="117">
        <f t="shared" si="85"/>
        <v>0</v>
      </c>
      <c r="AG1141" s="117">
        <f>MIN(MAX(+$P$1-'FA Addition'!$D1141,0),365*'FA Addition'!$O1141)</f>
        <v>0</v>
      </c>
      <c r="AH1141" s="117">
        <f>MIN(MAX($L$1-'FA Addition'!$D1141+1,0),365*'FA Addition'!$O1141)</f>
        <v>0</v>
      </c>
      <c r="AI1141" s="117" cm="1">
        <f t="array" ref="AI1141">_xlfn.XLOOKUP(1,('FA Write off'!A:A='FA Addition'!$A1141)*('FA Write off'!D:D=AA1141),'FA Write off'!H:H,0,0)</f>
        <v>0</v>
      </c>
      <c r="AJ1141" s="117">
        <f>IF(AC1141&gt;0,MAX(IF('FA Addition'!$N1141="SLM",($AC1141-'FA Addition'!$M1141)*'FA Addition'!$P1141*AI1141/365,(AC1141-'FA Addition'!$M1141)*(1-(1-'FA Addition'!$P1141)^(AI1141/365))),0),0)</f>
        <v>0</v>
      </c>
      <c r="AL1141" s="117">
        <f>MAX(IF(AG1141&gt;0,IF('FA Addition'!$N1141="SLM",($AE1141-'FA Addition'!$M1141)*'FA Addition'!$P1141*AG1141/365,IFERROR(VDB(AE1141,AE1141*0.05,'FA Addition'!$O1141,0,YEARFRAC('FA Addition'!$C1141,$P$1-1,3),'FA Addition'!$Q1141),FAAddition[[#This Row],[Original Cost (Rs)]]-FAAddition[[#This Row],[Salvage Value]])),0),0)</f>
        <v>0</v>
      </c>
      <c r="AM1141" s="119"/>
      <c r="AN1141" s="117">
        <f>MAX(IF(AH1141&gt;0,IF('FA Addition'!$N1141="SLM",($AF1141-'FA Addition'!$M1141)*'FA Addition'!$P1141*AH1141/365,IFERROR(VDB(AF1141,AF1141*0.05,'FA Addition'!$O1141,0,YEARFRAC('FA Addition'!$C1141,$L$1,3),'FA Addition'!$Q1141),FAAddition[[#This Row],[Original Cost (Rs)]]-FAAddition[[#This Row],[Salvage Value]])),0),0)</f>
        <v>0</v>
      </c>
      <c r="AO1141" s="117">
        <f t="shared" si="88"/>
        <v>0</v>
      </c>
      <c r="AQ1141" s="117">
        <f t="shared" si="86"/>
        <v>0</v>
      </c>
      <c r="AR1141" s="120">
        <f t="shared" si="87"/>
        <v>0</v>
      </c>
      <c r="AS1141" s="121"/>
    </row>
    <row r="1142" spans="1:45" ht="13.5" x14ac:dyDescent="0.4">
      <c r="A1142" s="12">
        <f t="shared" si="89"/>
        <v>1139</v>
      </c>
      <c r="B1142" s="64" t="s">
        <v>1758</v>
      </c>
      <c r="C1142" s="54">
        <v>45542</v>
      </c>
      <c r="D1142" s="54">
        <v>45547</v>
      </c>
      <c r="E1142" s="46" t="s">
        <v>1320</v>
      </c>
      <c r="F1142" s="51" t="s">
        <v>33</v>
      </c>
      <c r="G1142" s="51" t="s">
        <v>34</v>
      </c>
      <c r="H1142" s="51" t="s">
        <v>32</v>
      </c>
      <c r="I1142" s="55" t="s">
        <v>1912</v>
      </c>
      <c r="J1142" s="56">
        <v>1500</v>
      </c>
      <c r="K1142" s="51" t="s">
        <v>295</v>
      </c>
      <c r="L1142" s="58">
        <v>2497500</v>
      </c>
      <c r="M1142" s="50">
        <f>ROUND('FA Addition'!$L1142*5%,0.1)</f>
        <v>124875</v>
      </c>
      <c r="N1142" s="113" t="str">
        <f>_xlfn.XLOOKUP(_xlfn.CONCAT(E1142,B1142),'Year Wise Master Dep Approach'!F:F,'Year Wise Master Dep Approach'!D:D)</f>
        <v>SLM</v>
      </c>
      <c r="O1142" s="113">
        <f>_xlfn.XLOOKUP(_xlfn.CONCAT(E1142,B1142),'Year Wise Master Dep Approach'!F:F,'Year Wise Master Dep Approach'!E:E)</f>
        <v>5</v>
      </c>
      <c r="P1142" s="114">
        <f>IFERROR(IF('FA Addition'!$N1142="WDV",1-('FA Addition'!$M1142/'FA Addition'!$L1142)^(1/'FA Addition'!$O1142),1/'FA Addition'!$O1142),0)</f>
        <v>0.2</v>
      </c>
      <c r="Q1142" s="122">
        <f>'FA Addition'!$P1142*'FA Addition'!$O1142</f>
        <v>1</v>
      </c>
      <c r="R1142" s="122"/>
      <c r="S1142" s="116">
        <f>IF(AND(DATE(20&amp;LEFT(FAAddition[[#This Row],[FY]],2),4,1)&lt;$L$1+1,DATE(20&amp;LEFT(FAAddition[[#This Row],[FY]],2),4,1)&gt;$P$1-1),'FA Addition'!$J1142,0)</f>
        <v>0</v>
      </c>
      <c r="U1142" s="117">
        <f>S1142*'FA Addition'!$L1142/'FA Addition'!$J1142</f>
        <v>0</v>
      </c>
      <c r="W1142" s="116">
        <f>SUMIFS('FA Write off'!D:D,'FA Write off'!A:A,'FA Addition'!$A1142,'FA Write off'!C:C,"&lt;"&amp;'FA Addition'!$P$1)</f>
        <v>0</v>
      </c>
      <c r="Y1142" s="191">
        <f>IFERROR(W1142/'FA Addition'!$J1142*'FA Addition'!$L1142,0)</f>
        <v>0</v>
      </c>
      <c r="AA1142" s="116">
        <f>SUMIFS('FA Write off'!D:D,'FA Write off'!A:A,'FA Addition'!$A1142,'FA Write off'!C:C,"&lt;"&amp;'FA Addition'!$L$1+1,'FA Write off'!C:C,"&gt;"&amp;'FA Addition'!$L$1-365)</f>
        <v>0</v>
      </c>
      <c r="AC1142" s="118">
        <f>IFERROR(AA1142/'FA Addition'!$J1142*'FA Addition'!$L1142,0)</f>
        <v>0</v>
      </c>
      <c r="AE1142" s="117">
        <f>IF(AND('FA Addition'!$D1142&lt;$P$1+1,U1142=0),'FA Addition'!$L1142,0)-Y1142</f>
        <v>0</v>
      </c>
      <c r="AF1142" s="117">
        <f t="shared" si="85"/>
        <v>0</v>
      </c>
      <c r="AG1142" s="117">
        <f>MIN(MAX(+$P$1-'FA Addition'!$D1142,0),365*'FA Addition'!$O1142)</f>
        <v>0</v>
      </c>
      <c r="AH1142" s="117">
        <f>MIN(MAX($L$1-'FA Addition'!$D1142+1,0),365*'FA Addition'!$O1142)</f>
        <v>0</v>
      </c>
      <c r="AI1142" s="117" cm="1">
        <f t="array" ref="AI1142">_xlfn.XLOOKUP(1,('FA Write off'!A:A='FA Addition'!$A1142)*('FA Write off'!D:D=AA1142),'FA Write off'!H:H,0,0)</f>
        <v>0</v>
      </c>
      <c r="AJ1142" s="117">
        <f>IF(AC1142&gt;0,MAX(IF('FA Addition'!$N1142="SLM",($AC1142-'FA Addition'!$M1142)*'FA Addition'!$P1142*AI1142/365,(AC1142-'FA Addition'!$M1142)*(1-(1-'FA Addition'!$P1142)^(AI1142/365))),0),0)</f>
        <v>0</v>
      </c>
      <c r="AL1142" s="117">
        <f>MAX(IF(AG1142&gt;0,IF('FA Addition'!$N1142="SLM",($AE1142-'FA Addition'!$M1142)*'FA Addition'!$P1142*AG1142/365,IFERROR(VDB(AE1142,AE1142*0.05,'FA Addition'!$O1142,0,YEARFRAC('FA Addition'!$C1142,$P$1-1,3),'FA Addition'!$Q1142),FAAddition[[#This Row],[Original Cost (Rs)]]-FAAddition[[#This Row],[Salvage Value]])),0),0)</f>
        <v>0</v>
      </c>
      <c r="AM1142" s="119"/>
      <c r="AN1142" s="117">
        <f>MAX(IF(AH1142&gt;0,IF('FA Addition'!$N1142="SLM",($AF1142-'FA Addition'!$M1142)*'FA Addition'!$P1142*AH1142/365,IFERROR(VDB(AF1142,AF1142*0.05,'FA Addition'!$O1142,0,YEARFRAC('FA Addition'!$C1142,$L$1,3),'FA Addition'!$Q1142),FAAddition[[#This Row],[Original Cost (Rs)]]-FAAddition[[#This Row],[Salvage Value]])),0),0)</f>
        <v>0</v>
      </c>
      <c r="AO1142" s="117">
        <f t="shared" si="88"/>
        <v>0</v>
      </c>
      <c r="AQ1142" s="117">
        <f t="shared" si="86"/>
        <v>0</v>
      </c>
      <c r="AR1142" s="120">
        <f t="shared" si="87"/>
        <v>0</v>
      </c>
      <c r="AS1142" s="121"/>
    </row>
    <row r="1143" spans="1:45" ht="13.5" x14ac:dyDescent="0.4">
      <c r="A1143" s="12">
        <f t="shared" si="89"/>
        <v>1140</v>
      </c>
      <c r="B1143" s="64" t="s">
        <v>1758</v>
      </c>
      <c r="C1143" s="54">
        <v>45546</v>
      </c>
      <c r="D1143" s="54">
        <v>45547</v>
      </c>
      <c r="E1143" s="46" t="s">
        <v>1320</v>
      </c>
      <c r="F1143" s="51" t="s">
        <v>33</v>
      </c>
      <c r="G1143" s="51" t="s">
        <v>34</v>
      </c>
      <c r="H1143" s="51" t="s">
        <v>32</v>
      </c>
      <c r="I1143" s="55" t="s">
        <v>1913</v>
      </c>
      <c r="J1143" s="56">
        <v>1500</v>
      </c>
      <c r="K1143" s="51" t="s">
        <v>295</v>
      </c>
      <c r="L1143" s="58">
        <v>2497500</v>
      </c>
      <c r="M1143" s="50">
        <f>ROUND('FA Addition'!$L1143*5%,0.1)</f>
        <v>124875</v>
      </c>
      <c r="N1143" s="113" t="str">
        <f>_xlfn.XLOOKUP(_xlfn.CONCAT(E1143,B1143),'Year Wise Master Dep Approach'!F:F,'Year Wise Master Dep Approach'!D:D)</f>
        <v>SLM</v>
      </c>
      <c r="O1143" s="113">
        <f>_xlfn.XLOOKUP(_xlfn.CONCAT(E1143,B1143),'Year Wise Master Dep Approach'!F:F,'Year Wise Master Dep Approach'!E:E)</f>
        <v>5</v>
      </c>
      <c r="P1143" s="114">
        <f>IFERROR(IF('FA Addition'!$N1143="WDV",1-('FA Addition'!$M1143/'FA Addition'!$L1143)^(1/'FA Addition'!$O1143),1/'FA Addition'!$O1143),0)</f>
        <v>0.2</v>
      </c>
      <c r="Q1143" s="122">
        <f>'FA Addition'!$P1143*'FA Addition'!$O1143</f>
        <v>1</v>
      </c>
      <c r="R1143" s="122"/>
      <c r="S1143" s="116">
        <f>IF(AND(DATE(20&amp;LEFT(FAAddition[[#This Row],[FY]],2),4,1)&lt;$L$1+1,DATE(20&amp;LEFT(FAAddition[[#This Row],[FY]],2),4,1)&gt;$P$1-1),'FA Addition'!$J1143,0)</f>
        <v>0</v>
      </c>
      <c r="U1143" s="117">
        <f>S1143*'FA Addition'!$L1143/'FA Addition'!$J1143</f>
        <v>0</v>
      </c>
      <c r="W1143" s="116">
        <f>SUMIFS('FA Write off'!D:D,'FA Write off'!A:A,'FA Addition'!$A1143,'FA Write off'!C:C,"&lt;"&amp;'FA Addition'!$P$1)</f>
        <v>0</v>
      </c>
      <c r="Y1143" s="191">
        <f>IFERROR(W1143/'FA Addition'!$J1143*'FA Addition'!$L1143,0)</f>
        <v>0</v>
      </c>
      <c r="AA1143" s="116">
        <f>SUMIFS('FA Write off'!D:D,'FA Write off'!A:A,'FA Addition'!$A1143,'FA Write off'!C:C,"&lt;"&amp;'FA Addition'!$L$1+1,'FA Write off'!C:C,"&gt;"&amp;'FA Addition'!$L$1-365)</f>
        <v>0</v>
      </c>
      <c r="AC1143" s="118">
        <f>IFERROR(AA1143/'FA Addition'!$J1143*'FA Addition'!$L1143,0)</f>
        <v>0</v>
      </c>
      <c r="AE1143" s="117">
        <f>IF(AND('FA Addition'!$D1143&lt;$P$1+1,U1143=0),'FA Addition'!$L1143,0)-Y1143</f>
        <v>0</v>
      </c>
      <c r="AF1143" s="117">
        <f t="shared" si="85"/>
        <v>0</v>
      </c>
      <c r="AG1143" s="117">
        <f>MIN(MAX(+$P$1-'FA Addition'!$D1143,0),365*'FA Addition'!$O1143)</f>
        <v>0</v>
      </c>
      <c r="AH1143" s="117">
        <f>MIN(MAX($L$1-'FA Addition'!$D1143+1,0),365*'FA Addition'!$O1143)</f>
        <v>0</v>
      </c>
      <c r="AI1143" s="117" cm="1">
        <f t="array" ref="AI1143">_xlfn.XLOOKUP(1,('FA Write off'!A:A='FA Addition'!$A1143)*('FA Write off'!D:D=AA1143),'FA Write off'!H:H,0,0)</f>
        <v>0</v>
      </c>
      <c r="AJ1143" s="117">
        <f>IF(AC1143&gt;0,MAX(IF('FA Addition'!$N1143="SLM",($AC1143-'FA Addition'!$M1143)*'FA Addition'!$P1143*AI1143/365,(AC1143-'FA Addition'!$M1143)*(1-(1-'FA Addition'!$P1143)^(AI1143/365))),0),0)</f>
        <v>0</v>
      </c>
      <c r="AL1143" s="117">
        <f>MAX(IF(AG1143&gt;0,IF('FA Addition'!$N1143="SLM",($AE1143-'FA Addition'!$M1143)*'FA Addition'!$P1143*AG1143/365,IFERROR(VDB(AE1143,AE1143*0.05,'FA Addition'!$O1143,0,YEARFRAC('FA Addition'!$C1143,$P$1-1,3),'FA Addition'!$Q1143),FAAddition[[#This Row],[Original Cost (Rs)]]-FAAddition[[#This Row],[Salvage Value]])),0),0)</f>
        <v>0</v>
      </c>
      <c r="AM1143" s="119"/>
      <c r="AN1143" s="117">
        <f>MAX(IF(AH1143&gt;0,IF('FA Addition'!$N1143="SLM",($AF1143-'FA Addition'!$M1143)*'FA Addition'!$P1143*AH1143/365,IFERROR(VDB(AF1143,AF1143*0.05,'FA Addition'!$O1143,0,YEARFRAC('FA Addition'!$C1143,$L$1,3),'FA Addition'!$Q1143),FAAddition[[#This Row],[Original Cost (Rs)]]-FAAddition[[#This Row],[Salvage Value]])),0),0)</f>
        <v>0</v>
      </c>
      <c r="AO1143" s="117">
        <f t="shared" si="88"/>
        <v>0</v>
      </c>
      <c r="AQ1143" s="117">
        <f t="shared" si="86"/>
        <v>0</v>
      </c>
      <c r="AR1143" s="120">
        <f t="shared" si="87"/>
        <v>0</v>
      </c>
      <c r="AS1143" s="121"/>
    </row>
    <row r="1144" spans="1:45" ht="13.5" x14ac:dyDescent="0.4">
      <c r="A1144" s="12">
        <f t="shared" si="89"/>
        <v>1141</v>
      </c>
      <c r="B1144" s="64" t="s">
        <v>1758</v>
      </c>
      <c r="C1144" s="54">
        <v>45537</v>
      </c>
      <c r="D1144" s="54">
        <v>45547</v>
      </c>
      <c r="E1144" s="46" t="s">
        <v>1320</v>
      </c>
      <c r="F1144" s="51" t="s">
        <v>33</v>
      </c>
      <c r="G1144" s="51" t="s">
        <v>1897</v>
      </c>
      <c r="H1144" s="51" t="s">
        <v>26</v>
      </c>
      <c r="I1144" s="55" t="s">
        <v>1914</v>
      </c>
      <c r="J1144" s="56">
        <v>1000</v>
      </c>
      <c r="K1144" s="51" t="s">
        <v>1899</v>
      </c>
      <c r="L1144" s="58">
        <v>95000</v>
      </c>
      <c r="M1144" s="50">
        <f>ROUND('FA Addition'!$L1144*5%,0.1)</f>
        <v>4750</v>
      </c>
      <c r="N1144" s="113" t="str">
        <f>_xlfn.XLOOKUP(_xlfn.CONCAT(E1144,B1144),'Year Wise Master Dep Approach'!F:F,'Year Wise Master Dep Approach'!D:D)</f>
        <v>SLM</v>
      </c>
      <c r="O1144" s="113">
        <f>_xlfn.XLOOKUP(_xlfn.CONCAT(E1144,B1144),'Year Wise Master Dep Approach'!F:F,'Year Wise Master Dep Approach'!E:E)</f>
        <v>5</v>
      </c>
      <c r="P1144" s="114">
        <f>IFERROR(IF('FA Addition'!$N1144="WDV",1-('FA Addition'!$M1144/'FA Addition'!$L1144)^(1/'FA Addition'!$O1144),1/'FA Addition'!$O1144),0)</f>
        <v>0.2</v>
      </c>
      <c r="Q1144" s="122">
        <f>'FA Addition'!$P1144*'FA Addition'!$O1144</f>
        <v>1</v>
      </c>
      <c r="R1144" s="122"/>
      <c r="S1144" s="116">
        <f>IF(AND(DATE(20&amp;LEFT(FAAddition[[#This Row],[FY]],2),4,1)&lt;$L$1+1,DATE(20&amp;LEFT(FAAddition[[#This Row],[FY]],2),4,1)&gt;$P$1-1),'FA Addition'!$J1144,0)</f>
        <v>0</v>
      </c>
      <c r="U1144" s="117">
        <f>S1144*'FA Addition'!$L1144/'FA Addition'!$J1144</f>
        <v>0</v>
      </c>
      <c r="W1144" s="116">
        <f>SUMIFS('FA Write off'!D:D,'FA Write off'!A:A,'FA Addition'!$A1144,'FA Write off'!C:C,"&lt;"&amp;'FA Addition'!$P$1)</f>
        <v>0</v>
      </c>
      <c r="Y1144" s="191">
        <f>IFERROR(W1144/'FA Addition'!$J1144*'FA Addition'!$L1144,0)</f>
        <v>0</v>
      </c>
      <c r="AA1144" s="116">
        <f>SUMIFS('FA Write off'!D:D,'FA Write off'!A:A,'FA Addition'!$A1144,'FA Write off'!C:C,"&lt;"&amp;'FA Addition'!$L$1+1,'FA Write off'!C:C,"&gt;"&amp;'FA Addition'!$L$1-365)</f>
        <v>0</v>
      </c>
      <c r="AC1144" s="118">
        <f>IFERROR(AA1144/'FA Addition'!$J1144*'FA Addition'!$L1144,0)</f>
        <v>0</v>
      </c>
      <c r="AE1144" s="117">
        <f>IF(AND('FA Addition'!$D1144&lt;$P$1+1,U1144=0),'FA Addition'!$L1144,0)-Y1144</f>
        <v>0</v>
      </c>
      <c r="AF1144" s="117">
        <f t="shared" si="85"/>
        <v>0</v>
      </c>
      <c r="AG1144" s="117">
        <f>MIN(MAX(+$P$1-'FA Addition'!$D1144,0),365*'FA Addition'!$O1144)</f>
        <v>0</v>
      </c>
      <c r="AH1144" s="117">
        <f>MIN(MAX($L$1-'FA Addition'!$D1144+1,0),365*'FA Addition'!$O1144)</f>
        <v>0</v>
      </c>
      <c r="AI1144" s="117" cm="1">
        <f t="array" ref="AI1144">_xlfn.XLOOKUP(1,('FA Write off'!A:A='FA Addition'!$A1144)*('FA Write off'!D:D=AA1144),'FA Write off'!H:H,0,0)</f>
        <v>0</v>
      </c>
      <c r="AJ1144" s="117">
        <f>IF(AC1144&gt;0,MAX(IF('FA Addition'!$N1144="SLM",($AC1144-'FA Addition'!$M1144)*'FA Addition'!$P1144*AI1144/365,(AC1144-'FA Addition'!$M1144)*(1-(1-'FA Addition'!$P1144)^(AI1144/365))),0),0)</f>
        <v>0</v>
      </c>
      <c r="AL1144" s="117">
        <f>MAX(IF(AG1144&gt;0,IF('FA Addition'!$N1144="SLM",($AE1144-'FA Addition'!$M1144)*'FA Addition'!$P1144*AG1144/365,IFERROR(VDB(AE1144,AE1144*0.05,'FA Addition'!$O1144,0,YEARFRAC('FA Addition'!$C1144,$P$1-1,3),'FA Addition'!$Q1144),FAAddition[[#This Row],[Original Cost (Rs)]]-FAAddition[[#This Row],[Salvage Value]])),0),0)</f>
        <v>0</v>
      </c>
      <c r="AM1144" s="119"/>
      <c r="AN1144" s="117">
        <f>MAX(IF(AH1144&gt;0,IF('FA Addition'!$N1144="SLM",($AF1144-'FA Addition'!$M1144)*'FA Addition'!$P1144*AH1144/365,IFERROR(VDB(AF1144,AF1144*0.05,'FA Addition'!$O1144,0,YEARFRAC('FA Addition'!$C1144,$L$1,3),'FA Addition'!$Q1144),FAAddition[[#This Row],[Original Cost (Rs)]]-FAAddition[[#This Row],[Salvage Value]])),0),0)</f>
        <v>0</v>
      </c>
      <c r="AO1144" s="117">
        <f t="shared" si="88"/>
        <v>0</v>
      </c>
      <c r="AQ1144" s="117">
        <f t="shared" si="86"/>
        <v>0</v>
      </c>
      <c r="AR1144" s="120">
        <f t="shared" si="87"/>
        <v>0</v>
      </c>
      <c r="AS1144" s="121"/>
    </row>
    <row r="1145" spans="1:45" ht="13.5" x14ac:dyDescent="0.4">
      <c r="A1145" s="12">
        <f t="shared" si="89"/>
        <v>1142</v>
      </c>
      <c r="B1145" s="64" t="s">
        <v>1758</v>
      </c>
      <c r="C1145" s="54">
        <v>45551</v>
      </c>
      <c r="D1145" s="54">
        <v>45551</v>
      </c>
      <c r="E1145" s="46" t="s">
        <v>451</v>
      </c>
      <c r="F1145" s="51" t="s">
        <v>19</v>
      </c>
      <c r="G1145" s="51" t="s">
        <v>1728</v>
      </c>
      <c r="H1145" s="51" t="s">
        <v>21</v>
      </c>
      <c r="I1145" s="55">
        <v>3529</v>
      </c>
      <c r="J1145" s="56">
        <v>1</v>
      </c>
      <c r="K1145" s="51" t="s">
        <v>1915</v>
      </c>
      <c r="L1145" s="58">
        <v>63800</v>
      </c>
      <c r="M1145" s="50">
        <f>ROUND('FA Addition'!$L1145*5%,0.1)</f>
        <v>3190</v>
      </c>
      <c r="N1145" s="113" t="str">
        <f>_xlfn.XLOOKUP(_xlfn.CONCAT(E1145,B1145),'Year Wise Master Dep Approach'!F:F,'Year Wise Master Dep Approach'!D:D)</f>
        <v>WDV</v>
      </c>
      <c r="O1145" s="113">
        <f>_xlfn.XLOOKUP(_xlfn.CONCAT(E1145,B1145),'Year Wise Master Dep Approach'!F:F,'Year Wise Master Dep Approach'!E:E)</f>
        <v>3</v>
      </c>
      <c r="P1145" s="114">
        <f>IFERROR(IF('FA Addition'!$N1145="WDV",1-('FA Addition'!$M1145/'FA Addition'!$L1145)^(1/'FA Addition'!$O1145),1/'FA Addition'!$O1145),0)</f>
        <v>0.63159685013596123</v>
      </c>
      <c r="Q1145" s="122">
        <f>'FA Addition'!$P1145*'FA Addition'!$O1145</f>
        <v>1.8947905504078837</v>
      </c>
      <c r="R1145" s="122"/>
      <c r="S1145" s="116">
        <f>IF(AND(DATE(20&amp;LEFT(FAAddition[[#This Row],[FY]],2),4,1)&lt;$L$1+1,DATE(20&amp;LEFT(FAAddition[[#This Row],[FY]],2),4,1)&gt;$P$1-1),'FA Addition'!$J1145,0)</f>
        <v>0</v>
      </c>
      <c r="U1145" s="117">
        <f>S1145*'FA Addition'!$L1145/'FA Addition'!$J1145</f>
        <v>0</v>
      </c>
      <c r="W1145" s="116">
        <f>SUMIFS('FA Write off'!D:D,'FA Write off'!A:A,'FA Addition'!$A1145,'FA Write off'!C:C,"&lt;"&amp;'FA Addition'!$P$1)</f>
        <v>0</v>
      </c>
      <c r="Y1145" s="191">
        <f>IFERROR(W1145/'FA Addition'!$J1145*'FA Addition'!$L1145,0)</f>
        <v>0</v>
      </c>
      <c r="AA1145" s="116">
        <f>SUMIFS('FA Write off'!D:D,'FA Write off'!A:A,'FA Addition'!$A1145,'FA Write off'!C:C,"&lt;"&amp;'FA Addition'!$L$1+1,'FA Write off'!C:C,"&gt;"&amp;'FA Addition'!$L$1-365)</f>
        <v>0</v>
      </c>
      <c r="AC1145" s="118">
        <f>IFERROR(AA1145/'FA Addition'!$J1145*'FA Addition'!$L1145,0)</f>
        <v>0</v>
      </c>
      <c r="AE1145" s="117">
        <f>IF(AND('FA Addition'!$D1145&lt;$P$1+1,U1145=0),'FA Addition'!$L1145,0)-Y1145</f>
        <v>0</v>
      </c>
      <c r="AF1145" s="117">
        <f t="shared" si="85"/>
        <v>0</v>
      </c>
      <c r="AG1145" s="117">
        <f>MIN(MAX(+$P$1-'FA Addition'!$D1145,0),365*'FA Addition'!$O1145)</f>
        <v>0</v>
      </c>
      <c r="AH1145" s="117">
        <f>MIN(MAX($L$1-'FA Addition'!$D1145+1,0),365*'FA Addition'!$O1145)</f>
        <v>0</v>
      </c>
      <c r="AI1145" s="117" cm="1">
        <f t="array" ref="AI1145">_xlfn.XLOOKUP(1,('FA Write off'!A:A='FA Addition'!$A1145)*('FA Write off'!D:D=AA1145),'FA Write off'!H:H,0,0)</f>
        <v>0</v>
      </c>
      <c r="AJ1145" s="117">
        <f>IF(AC1145&gt;0,MAX(IF('FA Addition'!$N1145="SLM",($AC1145-'FA Addition'!$M1145)*'FA Addition'!$P1145*AI1145/365,(AC1145-'FA Addition'!$M1145)*(1-(1-'FA Addition'!$P1145)^(AI1145/365))),0),0)</f>
        <v>0</v>
      </c>
      <c r="AL1145" s="117">
        <f>MAX(IF(AG1145&gt;0,IF('FA Addition'!$N1145="SLM",($AE1145-'FA Addition'!$M1145)*'FA Addition'!$P1145*AG1145/365,IFERROR(VDB(AE1145,AE1145*0.05,'FA Addition'!$O1145,0,YEARFRAC('FA Addition'!$C1145,$P$1-1,3),'FA Addition'!$Q1145),FAAddition[[#This Row],[Original Cost (Rs)]]-FAAddition[[#This Row],[Salvage Value]])),0),0)</f>
        <v>0</v>
      </c>
      <c r="AM1145" s="119"/>
      <c r="AN1145" s="117">
        <f>MAX(IF(AH1145&gt;0,IF('FA Addition'!$N1145="SLM",($AF1145-'FA Addition'!$M1145)*'FA Addition'!$P1145*AH1145/365,IFERROR(VDB(AF1145,AF1145*0.05,'FA Addition'!$O1145,0,YEARFRAC('FA Addition'!$C1145,$L$1,3),'FA Addition'!$Q1145),FAAddition[[#This Row],[Original Cost (Rs)]]-FAAddition[[#This Row],[Salvage Value]])),0),0)</f>
        <v>0</v>
      </c>
      <c r="AO1145" s="117">
        <f t="shared" si="88"/>
        <v>0</v>
      </c>
      <c r="AQ1145" s="117">
        <f t="shared" si="86"/>
        <v>0</v>
      </c>
      <c r="AR1145" s="120">
        <f t="shared" si="87"/>
        <v>0</v>
      </c>
      <c r="AS1145" s="121"/>
    </row>
    <row r="1146" spans="1:45" ht="13.5" x14ac:dyDescent="0.4">
      <c r="A1146" s="12">
        <f t="shared" si="89"/>
        <v>1143</v>
      </c>
      <c r="B1146" s="64" t="s">
        <v>1758</v>
      </c>
      <c r="C1146" s="54">
        <v>45559</v>
      </c>
      <c r="D1146" s="54">
        <v>45565</v>
      </c>
      <c r="E1146" s="46" t="s">
        <v>1320</v>
      </c>
      <c r="F1146" s="51" t="s">
        <v>33</v>
      </c>
      <c r="G1146" s="51" t="s">
        <v>34</v>
      </c>
      <c r="H1146" s="51" t="s">
        <v>32</v>
      </c>
      <c r="I1146" s="55" t="s">
        <v>1916</v>
      </c>
      <c r="J1146" s="56">
        <v>1500</v>
      </c>
      <c r="K1146" s="51" t="s">
        <v>295</v>
      </c>
      <c r="L1146" s="58">
        <v>2497500</v>
      </c>
      <c r="M1146" s="50">
        <f>ROUND('FA Addition'!$L1146*5%,0.1)</f>
        <v>124875</v>
      </c>
      <c r="N1146" s="113" t="str">
        <f>_xlfn.XLOOKUP(_xlfn.CONCAT(E1146,B1146),'Year Wise Master Dep Approach'!F:F,'Year Wise Master Dep Approach'!D:D)</f>
        <v>SLM</v>
      </c>
      <c r="O1146" s="113">
        <f>_xlfn.XLOOKUP(_xlfn.CONCAT(E1146,B1146),'Year Wise Master Dep Approach'!F:F,'Year Wise Master Dep Approach'!E:E)</f>
        <v>5</v>
      </c>
      <c r="P1146" s="114">
        <f>IFERROR(IF('FA Addition'!$N1146="WDV",1-('FA Addition'!$M1146/'FA Addition'!$L1146)^(1/'FA Addition'!$O1146),1/'FA Addition'!$O1146),0)</f>
        <v>0.2</v>
      </c>
      <c r="Q1146" s="122">
        <f>'FA Addition'!$P1146*'FA Addition'!$O1146</f>
        <v>1</v>
      </c>
      <c r="R1146" s="122"/>
      <c r="S1146" s="116">
        <f>IF(AND(DATE(20&amp;LEFT(FAAddition[[#This Row],[FY]],2),4,1)&lt;$L$1+1,DATE(20&amp;LEFT(FAAddition[[#This Row],[FY]],2),4,1)&gt;$P$1-1),'FA Addition'!$J1146,0)</f>
        <v>0</v>
      </c>
      <c r="U1146" s="117">
        <f>S1146*'FA Addition'!$L1146/'FA Addition'!$J1146</f>
        <v>0</v>
      </c>
      <c r="W1146" s="116">
        <f>SUMIFS('FA Write off'!D:D,'FA Write off'!A:A,'FA Addition'!$A1146,'FA Write off'!C:C,"&lt;"&amp;'FA Addition'!$P$1)</f>
        <v>0</v>
      </c>
      <c r="Y1146" s="191">
        <f>IFERROR(W1146/'FA Addition'!$J1146*'FA Addition'!$L1146,0)</f>
        <v>0</v>
      </c>
      <c r="AA1146" s="116">
        <f>SUMIFS('FA Write off'!D:D,'FA Write off'!A:A,'FA Addition'!$A1146,'FA Write off'!C:C,"&lt;"&amp;'FA Addition'!$L$1+1,'FA Write off'!C:C,"&gt;"&amp;'FA Addition'!$L$1-365)</f>
        <v>0</v>
      </c>
      <c r="AC1146" s="118">
        <f>IFERROR(AA1146/'FA Addition'!$J1146*'FA Addition'!$L1146,0)</f>
        <v>0</v>
      </c>
      <c r="AE1146" s="117">
        <f>IF(AND('FA Addition'!$D1146&lt;$P$1+1,U1146=0),'FA Addition'!$L1146,0)-Y1146</f>
        <v>0</v>
      </c>
      <c r="AF1146" s="117">
        <f t="shared" si="85"/>
        <v>0</v>
      </c>
      <c r="AG1146" s="117">
        <f>MIN(MAX(+$P$1-'FA Addition'!$D1146,0),365*'FA Addition'!$O1146)</f>
        <v>0</v>
      </c>
      <c r="AH1146" s="117">
        <f>MIN(MAX($L$1-'FA Addition'!$D1146+1,0),365*'FA Addition'!$O1146)</f>
        <v>0</v>
      </c>
      <c r="AI1146" s="117" cm="1">
        <f t="array" ref="AI1146">_xlfn.XLOOKUP(1,('FA Write off'!A:A='FA Addition'!$A1146)*('FA Write off'!D:D=AA1146),'FA Write off'!H:H,0,0)</f>
        <v>0</v>
      </c>
      <c r="AJ1146" s="117">
        <f>IF(AC1146&gt;0,MAX(IF('FA Addition'!$N1146="SLM",($AC1146-'FA Addition'!$M1146)*'FA Addition'!$P1146*AI1146/365,(AC1146-'FA Addition'!$M1146)*(1-(1-'FA Addition'!$P1146)^(AI1146/365))),0),0)</f>
        <v>0</v>
      </c>
      <c r="AL1146" s="117">
        <f>MAX(IF(AG1146&gt;0,IF('FA Addition'!$N1146="SLM",($AE1146-'FA Addition'!$M1146)*'FA Addition'!$P1146*AG1146/365,IFERROR(VDB(AE1146,AE1146*0.05,'FA Addition'!$O1146,0,YEARFRAC('FA Addition'!$C1146,$P$1-1,3),'FA Addition'!$Q1146),FAAddition[[#This Row],[Original Cost (Rs)]]-FAAddition[[#This Row],[Salvage Value]])),0),0)</f>
        <v>0</v>
      </c>
      <c r="AM1146" s="119"/>
      <c r="AN1146" s="117">
        <f>MAX(IF(AH1146&gt;0,IF('FA Addition'!$N1146="SLM",($AF1146-'FA Addition'!$M1146)*'FA Addition'!$P1146*AH1146/365,IFERROR(VDB(AF1146,AF1146*0.05,'FA Addition'!$O1146,0,YEARFRAC('FA Addition'!$C1146,$L$1,3),'FA Addition'!$Q1146),FAAddition[[#This Row],[Original Cost (Rs)]]-FAAddition[[#This Row],[Salvage Value]])),0),0)</f>
        <v>0</v>
      </c>
      <c r="AO1146" s="117">
        <f t="shared" si="88"/>
        <v>0</v>
      </c>
      <c r="AQ1146" s="117">
        <f t="shared" si="86"/>
        <v>0</v>
      </c>
      <c r="AR1146" s="120">
        <f t="shared" si="87"/>
        <v>0</v>
      </c>
      <c r="AS1146" s="121"/>
    </row>
    <row r="1147" spans="1:45" ht="13.5" x14ac:dyDescent="0.4">
      <c r="A1147" s="12">
        <f t="shared" si="89"/>
        <v>1144</v>
      </c>
      <c r="B1147" s="64" t="s">
        <v>1758</v>
      </c>
      <c r="C1147" s="54">
        <v>45553</v>
      </c>
      <c r="D1147" s="54">
        <v>45565</v>
      </c>
      <c r="E1147" s="46" t="s">
        <v>1320</v>
      </c>
      <c r="F1147" s="51" t="s">
        <v>33</v>
      </c>
      <c r="G1147" s="51" t="s">
        <v>34</v>
      </c>
      <c r="H1147" s="51" t="s">
        <v>32</v>
      </c>
      <c r="I1147" s="55" t="s">
        <v>1917</v>
      </c>
      <c r="J1147" s="56">
        <v>1000</v>
      </c>
      <c r="K1147" s="51" t="s">
        <v>295</v>
      </c>
      <c r="L1147" s="58">
        <v>1665000</v>
      </c>
      <c r="M1147" s="50">
        <f>ROUND('FA Addition'!$L1147*5%,0.1)</f>
        <v>83250</v>
      </c>
      <c r="N1147" s="113" t="str">
        <f>_xlfn.XLOOKUP(_xlfn.CONCAT(E1147,B1147),'Year Wise Master Dep Approach'!F:F,'Year Wise Master Dep Approach'!D:D)</f>
        <v>SLM</v>
      </c>
      <c r="O1147" s="113">
        <f>_xlfn.XLOOKUP(_xlfn.CONCAT(E1147,B1147),'Year Wise Master Dep Approach'!F:F,'Year Wise Master Dep Approach'!E:E)</f>
        <v>5</v>
      </c>
      <c r="P1147" s="114">
        <f>IFERROR(IF('FA Addition'!$N1147="WDV",1-('FA Addition'!$M1147/'FA Addition'!$L1147)^(1/'FA Addition'!$O1147),1/'FA Addition'!$O1147),0)</f>
        <v>0.2</v>
      </c>
      <c r="Q1147" s="122">
        <f>'FA Addition'!$P1147*'FA Addition'!$O1147</f>
        <v>1</v>
      </c>
      <c r="R1147" s="122"/>
      <c r="S1147" s="116">
        <f>IF(AND(DATE(20&amp;LEFT(FAAddition[[#This Row],[FY]],2),4,1)&lt;$L$1+1,DATE(20&amp;LEFT(FAAddition[[#This Row],[FY]],2),4,1)&gt;$P$1-1),'FA Addition'!$J1147,0)</f>
        <v>0</v>
      </c>
      <c r="U1147" s="117">
        <f>S1147*'FA Addition'!$L1147/'FA Addition'!$J1147</f>
        <v>0</v>
      </c>
      <c r="W1147" s="116">
        <f>SUMIFS('FA Write off'!D:D,'FA Write off'!A:A,'FA Addition'!$A1147,'FA Write off'!C:C,"&lt;"&amp;'FA Addition'!$P$1)</f>
        <v>0</v>
      </c>
      <c r="Y1147" s="191">
        <f>IFERROR(W1147/'FA Addition'!$J1147*'FA Addition'!$L1147,0)</f>
        <v>0</v>
      </c>
      <c r="AA1147" s="116">
        <f>SUMIFS('FA Write off'!D:D,'FA Write off'!A:A,'FA Addition'!$A1147,'FA Write off'!C:C,"&lt;"&amp;'FA Addition'!$L$1+1,'FA Write off'!C:C,"&gt;"&amp;'FA Addition'!$L$1-365)</f>
        <v>0</v>
      </c>
      <c r="AC1147" s="118">
        <f>IFERROR(AA1147/'FA Addition'!$J1147*'FA Addition'!$L1147,0)</f>
        <v>0</v>
      </c>
      <c r="AE1147" s="117">
        <f>IF(AND('FA Addition'!$D1147&lt;$P$1+1,U1147=0),'FA Addition'!$L1147,0)-Y1147</f>
        <v>0</v>
      </c>
      <c r="AF1147" s="117">
        <f t="shared" si="85"/>
        <v>0</v>
      </c>
      <c r="AG1147" s="117">
        <f>MIN(MAX(+$P$1-'FA Addition'!$D1147,0),365*'FA Addition'!$O1147)</f>
        <v>0</v>
      </c>
      <c r="AH1147" s="117">
        <f>MIN(MAX($L$1-'FA Addition'!$D1147+1,0),365*'FA Addition'!$O1147)</f>
        <v>0</v>
      </c>
      <c r="AI1147" s="117" cm="1">
        <f t="array" ref="AI1147">_xlfn.XLOOKUP(1,('FA Write off'!A:A='FA Addition'!$A1147)*('FA Write off'!D:D=AA1147),'FA Write off'!H:H,0,0)</f>
        <v>0</v>
      </c>
      <c r="AJ1147" s="117">
        <f>IF(AC1147&gt;0,MAX(IF('FA Addition'!$N1147="SLM",($AC1147-'FA Addition'!$M1147)*'FA Addition'!$P1147*AI1147/365,(AC1147-'FA Addition'!$M1147)*(1-(1-'FA Addition'!$P1147)^(AI1147/365))),0),0)</f>
        <v>0</v>
      </c>
      <c r="AL1147" s="117">
        <f>MAX(IF(AG1147&gt;0,IF('FA Addition'!$N1147="SLM",($AE1147-'FA Addition'!$M1147)*'FA Addition'!$P1147*AG1147/365,IFERROR(VDB(AE1147,AE1147*0.05,'FA Addition'!$O1147,0,YEARFRAC('FA Addition'!$C1147,$P$1-1,3),'FA Addition'!$Q1147),FAAddition[[#This Row],[Original Cost (Rs)]]-FAAddition[[#This Row],[Salvage Value]])),0),0)</f>
        <v>0</v>
      </c>
      <c r="AM1147" s="119"/>
      <c r="AN1147" s="117">
        <f>MAX(IF(AH1147&gt;0,IF('FA Addition'!$N1147="SLM",($AF1147-'FA Addition'!$M1147)*'FA Addition'!$P1147*AH1147/365,IFERROR(VDB(AF1147,AF1147*0.05,'FA Addition'!$O1147,0,YEARFRAC('FA Addition'!$C1147,$L$1,3),'FA Addition'!$Q1147),FAAddition[[#This Row],[Original Cost (Rs)]]-FAAddition[[#This Row],[Salvage Value]])),0),0)</f>
        <v>0</v>
      </c>
      <c r="AO1147" s="117">
        <f t="shared" si="88"/>
        <v>0</v>
      </c>
      <c r="AQ1147" s="117">
        <f t="shared" si="86"/>
        <v>0</v>
      </c>
      <c r="AR1147" s="120">
        <f t="shared" si="87"/>
        <v>0</v>
      </c>
      <c r="AS1147" s="121"/>
    </row>
    <row r="1148" spans="1:45" ht="13.5" x14ac:dyDescent="0.4">
      <c r="A1148" s="12">
        <f t="shared" si="89"/>
        <v>1145</v>
      </c>
      <c r="B1148" s="64" t="s">
        <v>1758</v>
      </c>
      <c r="C1148" s="54">
        <v>45561</v>
      </c>
      <c r="D1148" s="54">
        <v>45565</v>
      </c>
      <c r="E1148" s="46" t="s">
        <v>1320</v>
      </c>
      <c r="F1148" s="51" t="s">
        <v>33</v>
      </c>
      <c r="G1148" s="51" t="s">
        <v>34</v>
      </c>
      <c r="H1148" s="51" t="s">
        <v>32</v>
      </c>
      <c r="I1148" s="55" t="s">
        <v>1918</v>
      </c>
      <c r="J1148" s="56">
        <v>1000</v>
      </c>
      <c r="K1148" s="51" t="s">
        <v>295</v>
      </c>
      <c r="L1148" s="58">
        <v>1665000</v>
      </c>
      <c r="M1148" s="50">
        <f>ROUND('FA Addition'!$L1148*5%,0.1)</f>
        <v>83250</v>
      </c>
      <c r="N1148" s="113" t="str">
        <f>_xlfn.XLOOKUP(_xlfn.CONCAT(E1148,B1148),'Year Wise Master Dep Approach'!F:F,'Year Wise Master Dep Approach'!D:D)</f>
        <v>SLM</v>
      </c>
      <c r="O1148" s="113">
        <f>_xlfn.XLOOKUP(_xlfn.CONCAT(E1148,B1148),'Year Wise Master Dep Approach'!F:F,'Year Wise Master Dep Approach'!E:E)</f>
        <v>5</v>
      </c>
      <c r="P1148" s="114">
        <f>IFERROR(IF('FA Addition'!$N1148="WDV",1-('FA Addition'!$M1148/'FA Addition'!$L1148)^(1/'FA Addition'!$O1148),1/'FA Addition'!$O1148),0)</f>
        <v>0.2</v>
      </c>
      <c r="Q1148" s="122">
        <f>'FA Addition'!$P1148*'FA Addition'!$O1148</f>
        <v>1</v>
      </c>
      <c r="R1148" s="122"/>
      <c r="S1148" s="116">
        <f>IF(AND(DATE(20&amp;LEFT(FAAddition[[#This Row],[FY]],2),4,1)&lt;$L$1+1,DATE(20&amp;LEFT(FAAddition[[#This Row],[FY]],2),4,1)&gt;$P$1-1),'FA Addition'!$J1148,0)</f>
        <v>0</v>
      </c>
      <c r="U1148" s="117">
        <f>S1148*'FA Addition'!$L1148/'FA Addition'!$J1148</f>
        <v>0</v>
      </c>
      <c r="W1148" s="116">
        <f>SUMIFS('FA Write off'!D:D,'FA Write off'!A:A,'FA Addition'!$A1148,'FA Write off'!C:C,"&lt;"&amp;'FA Addition'!$P$1)</f>
        <v>0</v>
      </c>
      <c r="Y1148" s="191">
        <f>IFERROR(W1148/'FA Addition'!$J1148*'FA Addition'!$L1148,0)</f>
        <v>0</v>
      </c>
      <c r="AA1148" s="116">
        <f>SUMIFS('FA Write off'!D:D,'FA Write off'!A:A,'FA Addition'!$A1148,'FA Write off'!C:C,"&lt;"&amp;'FA Addition'!$L$1+1,'FA Write off'!C:C,"&gt;"&amp;'FA Addition'!$L$1-365)</f>
        <v>0</v>
      </c>
      <c r="AC1148" s="118">
        <f>IFERROR(AA1148/'FA Addition'!$J1148*'FA Addition'!$L1148,0)</f>
        <v>0</v>
      </c>
      <c r="AE1148" s="117">
        <f>IF(AND('FA Addition'!$D1148&lt;$P$1+1,U1148=0),'FA Addition'!$L1148,0)-Y1148</f>
        <v>0</v>
      </c>
      <c r="AF1148" s="117">
        <f t="shared" si="85"/>
        <v>0</v>
      </c>
      <c r="AG1148" s="117">
        <f>MIN(MAX(+$P$1-'FA Addition'!$D1148,0),365*'FA Addition'!$O1148)</f>
        <v>0</v>
      </c>
      <c r="AH1148" s="117">
        <f>MIN(MAX($L$1-'FA Addition'!$D1148+1,0),365*'FA Addition'!$O1148)</f>
        <v>0</v>
      </c>
      <c r="AI1148" s="117" cm="1">
        <f t="array" ref="AI1148">_xlfn.XLOOKUP(1,('FA Write off'!A:A='FA Addition'!$A1148)*('FA Write off'!D:D=AA1148),'FA Write off'!H:H,0,0)</f>
        <v>0</v>
      </c>
      <c r="AJ1148" s="117">
        <f>IF(AC1148&gt;0,MAX(IF('FA Addition'!$N1148="SLM",($AC1148-'FA Addition'!$M1148)*'FA Addition'!$P1148*AI1148/365,(AC1148-'FA Addition'!$M1148)*(1-(1-'FA Addition'!$P1148)^(AI1148/365))),0),0)</f>
        <v>0</v>
      </c>
      <c r="AL1148" s="117">
        <f>MAX(IF(AG1148&gt;0,IF('FA Addition'!$N1148="SLM",($AE1148-'FA Addition'!$M1148)*'FA Addition'!$P1148*AG1148/365,IFERROR(VDB(AE1148,AE1148*0.05,'FA Addition'!$O1148,0,YEARFRAC('FA Addition'!$C1148,$P$1-1,3),'FA Addition'!$Q1148),FAAddition[[#This Row],[Original Cost (Rs)]]-FAAddition[[#This Row],[Salvage Value]])),0),0)</f>
        <v>0</v>
      </c>
      <c r="AM1148" s="119"/>
      <c r="AN1148" s="117">
        <f>MAX(IF(AH1148&gt;0,IF('FA Addition'!$N1148="SLM",($AF1148-'FA Addition'!$M1148)*'FA Addition'!$P1148*AH1148/365,IFERROR(VDB(AF1148,AF1148*0.05,'FA Addition'!$O1148,0,YEARFRAC('FA Addition'!$C1148,$L$1,3),'FA Addition'!$Q1148),FAAddition[[#This Row],[Original Cost (Rs)]]-FAAddition[[#This Row],[Salvage Value]])),0),0)</f>
        <v>0</v>
      </c>
      <c r="AO1148" s="117">
        <f t="shared" si="88"/>
        <v>0</v>
      </c>
      <c r="AQ1148" s="117">
        <f t="shared" si="86"/>
        <v>0</v>
      </c>
      <c r="AR1148" s="120">
        <f t="shared" si="87"/>
        <v>0</v>
      </c>
      <c r="AS1148" s="121"/>
    </row>
    <row r="1149" spans="1:45" ht="13.5" x14ac:dyDescent="0.4">
      <c r="A1149" s="12">
        <f t="shared" si="89"/>
        <v>1146</v>
      </c>
      <c r="B1149" s="64" t="s">
        <v>1758</v>
      </c>
      <c r="C1149" s="54">
        <v>45566</v>
      </c>
      <c r="D1149" s="54">
        <v>45566</v>
      </c>
      <c r="E1149" s="46" t="s">
        <v>749</v>
      </c>
      <c r="F1149" s="51" t="s">
        <v>74</v>
      </c>
      <c r="G1149" s="51" t="s">
        <v>1919</v>
      </c>
      <c r="H1149" s="51" t="s">
        <v>848</v>
      </c>
      <c r="I1149" s="55" t="s">
        <v>1920</v>
      </c>
      <c r="J1149" s="56">
        <v>1</v>
      </c>
      <c r="K1149" s="51" t="s">
        <v>1921</v>
      </c>
      <c r="L1149" s="58">
        <v>4576.2700000000004</v>
      </c>
      <c r="M1149" s="50">
        <f>ROUND('FA Addition'!$L1149*5%,0.1)</f>
        <v>229</v>
      </c>
      <c r="N1149" s="113" t="str">
        <f>_xlfn.XLOOKUP(_xlfn.CONCAT(E1149,B1149),'Year Wise Master Dep Approach'!F:F,'Year Wise Master Dep Approach'!D:D)</f>
        <v>WDV</v>
      </c>
      <c r="O1149" s="113">
        <f>_xlfn.XLOOKUP(_xlfn.CONCAT(E1149,B1149),'Year Wise Master Dep Approach'!F:F,'Year Wise Master Dep Approach'!E:E)</f>
        <v>5</v>
      </c>
      <c r="P1149" s="114">
        <f>IFERROR(IF('FA Addition'!$N1149="WDV",1-('FA Addition'!$M1149/'FA Addition'!$L1149)^(1/'FA Addition'!$O1149),1/'FA Addition'!$O1149),0)</f>
        <v>0.45063021668066949</v>
      </c>
      <c r="Q1149" s="122">
        <f>'FA Addition'!$P1149*'FA Addition'!$O1149</f>
        <v>2.2531510834033472</v>
      </c>
      <c r="R1149" s="122"/>
      <c r="S1149" s="116">
        <f>IF(AND(DATE(20&amp;LEFT(FAAddition[[#This Row],[FY]],2),4,1)&lt;$L$1+1,DATE(20&amp;LEFT(FAAddition[[#This Row],[FY]],2),4,1)&gt;$P$1-1),'FA Addition'!$J1149,0)</f>
        <v>0</v>
      </c>
      <c r="U1149" s="117">
        <f>S1149*'FA Addition'!$L1149/'FA Addition'!$J1149</f>
        <v>0</v>
      </c>
      <c r="W1149" s="116">
        <f>SUMIFS('FA Write off'!D:D,'FA Write off'!A:A,'FA Addition'!$A1149,'FA Write off'!C:C,"&lt;"&amp;'FA Addition'!$P$1)</f>
        <v>0</v>
      </c>
      <c r="Y1149" s="191">
        <f>IFERROR(W1149/'FA Addition'!$J1149*'FA Addition'!$L1149,0)</f>
        <v>0</v>
      </c>
      <c r="AA1149" s="116">
        <f>SUMIFS('FA Write off'!D:D,'FA Write off'!A:A,'FA Addition'!$A1149,'FA Write off'!C:C,"&lt;"&amp;'FA Addition'!$L$1+1,'FA Write off'!C:C,"&gt;"&amp;'FA Addition'!$L$1-365)</f>
        <v>0</v>
      </c>
      <c r="AC1149" s="118">
        <f>IFERROR(AA1149/'FA Addition'!$J1149*'FA Addition'!$L1149,0)</f>
        <v>0</v>
      </c>
      <c r="AE1149" s="117">
        <f>IF(AND('FA Addition'!$D1149&lt;$P$1+1,U1149=0),'FA Addition'!$L1149,0)-Y1149</f>
        <v>0</v>
      </c>
      <c r="AF1149" s="117">
        <f t="shared" si="85"/>
        <v>0</v>
      </c>
      <c r="AG1149" s="117">
        <f>MIN(MAX(+$P$1-'FA Addition'!$D1149,0),365*'FA Addition'!$O1149)</f>
        <v>0</v>
      </c>
      <c r="AH1149" s="117">
        <f>MIN(MAX($L$1-'FA Addition'!$D1149+1,0),365*'FA Addition'!$O1149)</f>
        <v>0</v>
      </c>
      <c r="AI1149" s="117" cm="1">
        <f t="array" ref="AI1149">_xlfn.XLOOKUP(1,('FA Write off'!A:A='FA Addition'!$A1149)*('FA Write off'!D:D=AA1149),'FA Write off'!H:H,0,0)</f>
        <v>0</v>
      </c>
      <c r="AJ1149" s="117">
        <f>IF(AC1149&gt;0,MAX(IF('FA Addition'!$N1149="SLM",($AC1149-'FA Addition'!$M1149)*'FA Addition'!$P1149*AI1149/365,(AC1149-'FA Addition'!$M1149)*(1-(1-'FA Addition'!$P1149)^(AI1149/365))),0),0)</f>
        <v>0</v>
      </c>
      <c r="AL1149" s="117">
        <f>MAX(IF(AG1149&gt;0,IF('FA Addition'!$N1149="SLM",($AE1149-'FA Addition'!$M1149)*'FA Addition'!$P1149*AG1149/365,IFERROR(VDB(AE1149,AE1149*0.05,'FA Addition'!$O1149,0,YEARFRAC('FA Addition'!$C1149,$P$1-1,3),'FA Addition'!$Q1149),FAAddition[[#This Row],[Original Cost (Rs)]]-FAAddition[[#This Row],[Salvage Value]])),0),0)</f>
        <v>0</v>
      </c>
      <c r="AM1149" s="119"/>
      <c r="AN1149" s="117">
        <f>MAX(IF(AH1149&gt;0,IF('FA Addition'!$N1149="SLM",($AF1149-'FA Addition'!$M1149)*'FA Addition'!$P1149*AH1149/365,IFERROR(VDB(AF1149,AF1149*0.05,'FA Addition'!$O1149,0,YEARFRAC('FA Addition'!$C1149,$L$1,3),'FA Addition'!$Q1149),FAAddition[[#This Row],[Original Cost (Rs)]]-FAAddition[[#This Row],[Salvage Value]])),0),0)</f>
        <v>0</v>
      </c>
      <c r="AO1149" s="117">
        <f t="shared" si="88"/>
        <v>0</v>
      </c>
      <c r="AQ1149" s="117">
        <f t="shared" si="86"/>
        <v>0</v>
      </c>
      <c r="AR1149" s="120">
        <f t="shared" si="87"/>
        <v>0</v>
      </c>
      <c r="AS1149" s="121"/>
    </row>
    <row r="1150" spans="1:45" ht="13.5" x14ac:dyDescent="0.4">
      <c r="A1150" s="12">
        <f t="shared" si="89"/>
        <v>1147</v>
      </c>
      <c r="B1150" s="64" t="s">
        <v>1758</v>
      </c>
      <c r="C1150" s="54">
        <v>45566</v>
      </c>
      <c r="D1150" s="54">
        <v>45566</v>
      </c>
      <c r="E1150" s="46" t="s">
        <v>749</v>
      </c>
      <c r="F1150" s="51" t="s">
        <v>74</v>
      </c>
      <c r="G1150" s="51" t="s">
        <v>1919</v>
      </c>
      <c r="H1150" s="51" t="s">
        <v>848</v>
      </c>
      <c r="I1150" s="55" t="s">
        <v>1920</v>
      </c>
      <c r="J1150" s="56">
        <v>5</v>
      </c>
      <c r="K1150" s="51" t="s">
        <v>1922</v>
      </c>
      <c r="L1150" s="58">
        <v>5296.6</v>
      </c>
      <c r="M1150" s="50">
        <f>ROUND('FA Addition'!$L1150*5%,0.1)</f>
        <v>265</v>
      </c>
      <c r="N1150" s="113" t="str">
        <f>_xlfn.XLOOKUP(_xlfn.CONCAT(E1150,B1150),'Year Wise Master Dep Approach'!F:F,'Year Wise Master Dep Approach'!D:D)</f>
        <v>WDV</v>
      </c>
      <c r="O1150" s="113">
        <f>_xlfn.XLOOKUP(_xlfn.CONCAT(E1150,B1150),'Year Wise Master Dep Approach'!F:F,'Year Wise Master Dep Approach'!E:E)</f>
        <v>5</v>
      </c>
      <c r="P1150" s="114">
        <f>IFERROR(IF('FA Addition'!$N1150="WDV",1-('FA Addition'!$M1150/'FA Addition'!$L1150)^(1/'FA Addition'!$O1150),1/'FA Addition'!$O1150),0)</f>
        <v>0.45064922751321834</v>
      </c>
      <c r="Q1150" s="122">
        <f>'FA Addition'!$P1150*'FA Addition'!$O1150</f>
        <v>2.2532461375660917</v>
      </c>
      <c r="R1150" s="122"/>
      <c r="S1150" s="116">
        <f>IF(AND(DATE(20&amp;LEFT(FAAddition[[#This Row],[FY]],2),4,1)&lt;$L$1+1,DATE(20&amp;LEFT(FAAddition[[#This Row],[FY]],2),4,1)&gt;$P$1-1),'FA Addition'!$J1150,0)</f>
        <v>0</v>
      </c>
      <c r="U1150" s="117">
        <f>S1150*'FA Addition'!$L1150/'FA Addition'!$J1150</f>
        <v>0</v>
      </c>
      <c r="W1150" s="116">
        <f>SUMIFS('FA Write off'!D:D,'FA Write off'!A:A,'FA Addition'!$A1150,'FA Write off'!C:C,"&lt;"&amp;'FA Addition'!$P$1)</f>
        <v>0</v>
      </c>
      <c r="Y1150" s="191">
        <f>IFERROR(W1150/'FA Addition'!$J1150*'FA Addition'!$L1150,0)</f>
        <v>0</v>
      </c>
      <c r="AA1150" s="116">
        <f>SUMIFS('FA Write off'!D:D,'FA Write off'!A:A,'FA Addition'!$A1150,'FA Write off'!C:C,"&lt;"&amp;'FA Addition'!$L$1+1,'FA Write off'!C:C,"&gt;"&amp;'FA Addition'!$L$1-365)</f>
        <v>0</v>
      </c>
      <c r="AC1150" s="118">
        <f>IFERROR(AA1150/'FA Addition'!$J1150*'FA Addition'!$L1150,0)</f>
        <v>0</v>
      </c>
      <c r="AE1150" s="117">
        <f>IF(AND('FA Addition'!$D1150&lt;$P$1+1,U1150=0),'FA Addition'!$L1150,0)-Y1150</f>
        <v>0</v>
      </c>
      <c r="AF1150" s="117">
        <f t="shared" si="85"/>
        <v>0</v>
      </c>
      <c r="AG1150" s="117">
        <f>MIN(MAX(+$P$1-'FA Addition'!$D1150,0),365*'FA Addition'!$O1150)</f>
        <v>0</v>
      </c>
      <c r="AH1150" s="117">
        <f>MIN(MAX($L$1-'FA Addition'!$D1150+1,0),365*'FA Addition'!$O1150)</f>
        <v>0</v>
      </c>
      <c r="AI1150" s="117" cm="1">
        <f t="array" ref="AI1150">_xlfn.XLOOKUP(1,('FA Write off'!A:A='FA Addition'!$A1150)*('FA Write off'!D:D=AA1150),'FA Write off'!H:H,0,0)</f>
        <v>0</v>
      </c>
      <c r="AJ1150" s="117">
        <f>IF(AC1150&gt;0,MAX(IF('FA Addition'!$N1150="SLM",($AC1150-'FA Addition'!$M1150)*'FA Addition'!$P1150*AI1150/365,(AC1150-'FA Addition'!$M1150)*(1-(1-'FA Addition'!$P1150)^(AI1150/365))),0),0)</f>
        <v>0</v>
      </c>
      <c r="AL1150" s="117">
        <f>MAX(IF(AG1150&gt;0,IF('FA Addition'!$N1150="SLM",($AE1150-'FA Addition'!$M1150)*'FA Addition'!$P1150*AG1150/365,IFERROR(VDB(AE1150,AE1150*0.05,'FA Addition'!$O1150,0,YEARFRAC('FA Addition'!$C1150,$P$1-1,3),'FA Addition'!$Q1150),FAAddition[[#This Row],[Original Cost (Rs)]]-FAAddition[[#This Row],[Salvage Value]])),0),0)</f>
        <v>0</v>
      </c>
      <c r="AM1150" s="119"/>
      <c r="AN1150" s="117">
        <f>MAX(IF(AH1150&gt;0,IF('FA Addition'!$N1150="SLM",($AF1150-'FA Addition'!$M1150)*'FA Addition'!$P1150*AH1150/365,IFERROR(VDB(AF1150,AF1150*0.05,'FA Addition'!$O1150,0,YEARFRAC('FA Addition'!$C1150,$L$1,3),'FA Addition'!$Q1150),FAAddition[[#This Row],[Original Cost (Rs)]]-FAAddition[[#This Row],[Salvage Value]])),0),0)</f>
        <v>0</v>
      </c>
      <c r="AO1150" s="117">
        <f t="shared" si="88"/>
        <v>0</v>
      </c>
      <c r="AQ1150" s="117">
        <f t="shared" si="86"/>
        <v>0</v>
      </c>
      <c r="AR1150" s="120">
        <f t="shared" si="87"/>
        <v>0</v>
      </c>
      <c r="AS1150" s="121"/>
    </row>
    <row r="1151" spans="1:45" ht="13.5" x14ac:dyDescent="0.4">
      <c r="A1151" s="12">
        <f t="shared" si="89"/>
        <v>1148</v>
      </c>
      <c r="B1151" s="64" t="s">
        <v>1758</v>
      </c>
      <c r="C1151" s="54">
        <v>45566</v>
      </c>
      <c r="D1151" s="54">
        <v>45566</v>
      </c>
      <c r="E1151" s="46" t="s">
        <v>749</v>
      </c>
      <c r="F1151" s="51" t="s">
        <v>74</v>
      </c>
      <c r="G1151" s="51" t="s">
        <v>1919</v>
      </c>
      <c r="H1151" s="51" t="s">
        <v>848</v>
      </c>
      <c r="I1151" s="55" t="s">
        <v>1920</v>
      </c>
      <c r="J1151" s="56">
        <v>1</v>
      </c>
      <c r="K1151" s="51" t="s">
        <v>1923</v>
      </c>
      <c r="L1151" s="58">
        <v>2372.88</v>
      </c>
      <c r="M1151" s="50">
        <f>ROUND('FA Addition'!$L1151*5%,0.1)</f>
        <v>119</v>
      </c>
      <c r="N1151" s="113" t="str">
        <f>_xlfn.XLOOKUP(_xlfn.CONCAT(E1151,B1151),'Year Wise Master Dep Approach'!F:F,'Year Wise Master Dep Approach'!D:D)</f>
        <v>WDV</v>
      </c>
      <c r="O1151" s="113">
        <f>_xlfn.XLOOKUP(_xlfn.CONCAT(E1151,B1151),'Year Wise Master Dep Approach'!F:F,'Year Wise Master Dep Approach'!E:E)</f>
        <v>5</v>
      </c>
      <c r="P1151" s="114">
        <f>IFERROR(IF('FA Addition'!$N1151="WDV",1-('FA Addition'!$M1151/'FA Addition'!$L1151)^(1/'FA Addition'!$O1151),1/'FA Addition'!$O1151),0)</f>
        <v>0.45039049214283966</v>
      </c>
      <c r="Q1151" s="122">
        <f>'FA Addition'!$P1151*'FA Addition'!$O1151</f>
        <v>2.2519524607141985</v>
      </c>
      <c r="R1151" s="122"/>
      <c r="S1151" s="116">
        <f>IF(AND(DATE(20&amp;LEFT(FAAddition[[#This Row],[FY]],2),4,1)&lt;$L$1+1,DATE(20&amp;LEFT(FAAddition[[#This Row],[FY]],2),4,1)&gt;$P$1-1),'FA Addition'!$J1151,0)</f>
        <v>0</v>
      </c>
      <c r="U1151" s="117">
        <f>S1151*'FA Addition'!$L1151/'FA Addition'!$J1151</f>
        <v>0</v>
      </c>
      <c r="W1151" s="116">
        <f>SUMIFS('FA Write off'!D:D,'FA Write off'!A:A,'FA Addition'!$A1151,'FA Write off'!C:C,"&lt;"&amp;'FA Addition'!$P$1)</f>
        <v>0</v>
      </c>
      <c r="Y1151" s="191">
        <f>IFERROR(W1151/'FA Addition'!$J1151*'FA Addition'!$L1151,0)</f>
        <v>0</v>
      </c>
      <c r="AA1151" s="116">
        <f>SUMIFS('FA Write off'!D:D,'FA Write off'!A:A,'FA Addition'!$A1151,'FA Write off'!C:C,"&lt;"&amp;'FA Addition'!$L$1+1,'FA Write off'!C:C,"&gt;"&amp;'FA Addition'!$L$1-365)</f>
        <v>0</v>
      </c>
      <c r="AC1151" s="118">
        <f>IFERROR(AA1151/'FA Addition'!$J1151*'FA Addition'!$L1151,0)</f>
        <v>0</v>
      </c>
      <c r="AE1151" s="117">
        <f>IF(AND('FA Addition'!$D1151&lt;$P$1+1,U1151=0),'FA Addition'!$L1151,0)-Y1151</f>
        <v>0</v>
      </c>
      <c r="AF1151" s="117">
        <f t="shared" si="85"/>
        <v>0</v>
      </c>
      <c r="AG1151" s="117">
        <f>MIN(MAX(+$P$1-'FA Addition'!$D1151,0),365*'FA Addition'!$O1151)</f>
        <v>0</v>
      </c>
      <c r="AH1151" s="117">
        <f>MIN(MAX($L$1-'FA Addition'!$D1151+1,0),365*'FA Addition'!$O1151)</f>
        <v>0</v>
      </c>
      <c r="AI1151" s="117" cm="1">
        <f t="array" ref="AI1151">_xlfn.XLOOKUP(1,('FA Write off'!A:A='FA Addition'!$A1151)*('FA Write off'!D:D=AA1151),'FA Write off'!H:H,0,0)</f>
        <v>0</v>
      </c>
      <c r="AJ1151" s="117">
        <f>IF(AC1151&gt;0,MAX(IF('FA Addition'!$N1151="SLM",($AC1151-'FA Addition'!$M1151)*'FA Addition'!$P1151*AI1151/365,(AC1151-'FA Addition'!$M1151)*(1-(1-'FA Addition'!$P1151)^(AI1151/365))),0),0)</f>
        <v>0</v>
      </c>
      <c r="AL1151" s="117">
        <f>MAX(IF(AG1151&gt;0,IF('FA Addition'!$N1151="SLM",($AE1151-'FA Addition'!$M1151)*'FA Addition'!$P1151*AG1151/365,IFERROR(VDB(AE1151,AE1151*0.05,'FA Addition'!$O1151,0,YEARFRAC('FA Addition'!$C1151,$P$1-1,3),'FA Addition'!$Q1151),FAAddition[[#This Row],[Original Cost (Rs)]]-FAAddition[[#This Row],[Salvage Value]])),0),0)</f>
        <v>0</v>
      </c>
      <c r="AM1151" s="119"/>
      <c r="AN1151" s="117">
        <f>MAX(IF(AH1151&gt;0,IF('FA Addition'!$N1151="SLM",($AF1151-'FA Addition'!$M1151)*'FA Addition'!$P1151*AH1151/365,IFERROR(VDB(AF1151,AF1151*0.05,'FA Addition'!$O1151,0,YEARFRAC('FA Addition'!$C1151,$L$1,3),'FA Addition'!$Q1151),FAAddition[[#This Row],[Original Cost (Rs)]]-FAAddition[[#This Row],[Salvage Value]])),0),0)</f>
        <v>0</v>
      </c>
      <c r="AO1151" s="117">
        <f t="shared" si="88"/>
        <v>0</v>
      </c>
      <c r="AQ1151" s="117">
        <f t="shared" si="86"/>
        <v>0</v>
      </c>
      <c r="AR1151" s="120">
        <f t="shared" si="87"/>
        <v>0</v>
      </c>
      <c r="AS1151" s="121"/>
    </row>
    <row r="1152" spans="1:45" ht="13.5" x14ac:dyDescent="0.4">
      <c r="A1152" s="12">
        <f t="shared" si="89"/>
        <v>1149</v>
      </c>
      <c r="B1152" s="64" t="s">
        <v>1758</v>
      </c>
      <c r="C1152" s="54">
        <v>45480</v>
      </c>
      <c r="D1152" s="54">
        <v>45566</v>
      </c>
      <c r="E1152" s="46" t="s">
        <v>749</v>
      </c>
      <c r="F1152" s="51" t="s">
        <v>74</v>
      </c>
      <c r="G1152" s="51" t="s">
        <v>1772</v>
      </c>
      <c r="H1152" s="51" t="s">
        <v>21</v>
      </c>
      <c r="I1152" s="55">
        <v>1004946928</v>
      </c>
      <c r="J1152" s="56">
        <v>1</v>
      </c>
      <c r="K1152" s="51" t="s">
        <v>1924</v>
      </c>
      <c r="L1152" s="58">
        <v>105000</v>
      </c>
      <c r="M1152" s="50">
        <f>ROUND('FA Addition'!$L1152*5%,0.1)</f>
        <v>5250</v>
      </c>
      <c r="N1152" s="113" t="str">
        <f>_xlfn.XLOOKUP(_xlfn.CONCAT(E1152,B1152),'Year Wise Master Dep Approach'!F:F,'Year Wise Master Dep Approach'!D:D)</f>
        <v>WDV</v>
      </c>
      <c r="O1152" s="113">
        <f>_xlfn.XLOOKUP(_xlfn.CONCAT(E1152,B1152),'Year Wise Master Dep Approach'!F:F,'Year Wise Master Dep Approach'!E:E)</f>
        <v>5</v>
      </c>
      <c r="P1152" s="114">
        <f>IFERROR(IF('FA Addition'!$N1152="WDV",1-('FA Addition'!$M1152/'FA Addition'!$L1152)^(1/'FA Addition'!$O1152),1/'FA Addition'!$O1152),0)</f>
        <v>0.45071972834694107</v>
      </c>
      <c r="Q1152" s="122">
        <f>'FA Addition'!$P1152*'FA Addition'!$O1152</f>
        <v>2.2535986417347056</v>
      </c>
      <c r="R1152" s="122"/>
      <c r="S1152" s="116">
        <f>IF(AND(DATE(20&amp;LEFT(FAAddition[[#This Row],[FY]],2),4,1)&lt;$L$1+1,DATE(20&amp;LEFT(FAAddition[[#This Row],[FY]],2),4,1)&gt;$P$1-1),'FA Addition'!$J1152,0)</f>
        <v>0</v>
      </c>
      <c r="U1152" s="117">
        <f>S1152*'FA Addition'!$L1152/'FA Addition'!$J1152</f>
        <v>0</v>
      </c>
      <c r="W1152" s="116">
        <f>SUMIFS('FA Write off'!D:D,'FA Write off'!A:A,'FA Addition'!$A1152,'FA Write off'!C:C,"&lt;"&amp;'FA Addition'!$P$1)</f>
        <v>0</v>
      </c>
      <c r="Y1152" s="191">
        <f>IFERROR(W1152/'FA Addition'!$J1152*'FA Addition'!$L1152,0)</f>
        <v>0</v>
      </c>
      <c r="AA1152" s="116">
        <f>SUMIFS('FA Write off'!D:D,'FA Write off'!A:A,'FA Addition'!$A1152,'FA Write off'!C:C,"&lt;"&amp;'FA Addition'!$L$1+1,'FA Write off'!C:C,"&gt;"&amp;'FA Addition'!$L$1-365)</f>
        <v>0</v>
      </c>
      <c r="AC1152" s="118">
        <f>IFERROR(AA1152/'FA Addition'!$J1152*'FA Addition'!$L1152,0)</f>
        <v>0</v>
      </c>
      <c r="AE1152" s="117">
        <f>IF(AND('FA Addition'!$D1152&lt;$P$1+1,U1152=0),'FA Addition'!$L1152,0)-Y1152</f>
        <v>0</v>
      </c>
      <c r="AF1152" s="117">
        <f t="shared" si="85"/>
        <v>0</v>
      </c>
      <c r="AG1152" s="117">
        <f>MIN(MAX(+$P$1-'FA Addition'!$D1152,0),365*'FA Addition'!$O1152)</f>
        <v>0</v>
      </c>
      <c r="AH1152" s="117">
        <f>MIN(MAX($L$1-'FA Addition'!$D1152+1,0),365*'FA Addition'!$O1152)</f>
        <v>0</v>
      </c>
      <c r="AI1152" s="117" cm="1">
        <f t="array" ref="AI1152">_xlfn.XLOOKUP(1,('FA Write off'!A:A='FA Addition'!$A1152)*('FA Write off'!D:D=AA1152),'FA Write off'!H:H,0,0)</f>
        <v>0</v>
      </c>
      <c r="AJ1152" s="117">
        <f>IF(AC1152&gt;0,MAX(IF('FA Addition'!$N1152="SLM",($AC1152-'FA Addition'!$M1152)*'FA Addition'!$P1152*AI1152/365,(AC1152-'FA Addition'!$M1152)*(1-(1-'FA Addition'!$P1152)^(AI1152/365))),0),0)</f>
        <v>0</v>
      </c>
      <c r="AL1152" s="117">
        <f>MAX(IF(AG1152&gt;0,IF('FA Addition'!$N1152="SLM",($AE1152-'FA Addition'!$M1152)*'FA Addition'!$P1152*AG1152/365,IFERROR(VDB(AE1152,AE1152*0.05,'FA Addition'!$O1152,0,YEARFRAC('FA Addition'!$C1152,$P$1-1,3),'FA Addition'!$Q1152),FAAddition[[#This Row],[Original Cost (Rs)]]-FAAddition[[#This Row],[Salvage Value]])),0),0)</f>
        <v>0</v>
      </c>
      <c r="AM1152" s="119"/>
      <c r="AN1152" s="117">
        <f>MAX(IF(AH1152&gt;0,IF('FA Addition'!$N1152="SLM",($AF1152-'FA Addition'!$M1152)*'FA Addition'!$P1152*AH1152/365,IFERROR(VDB(AF1152,AF1152*0.05,'FA Addition'!$O1152,0,YEARFRAC('FA Addition'!$C1152,$L$1,3),'FA Addition'!$Q1152),FAAddition[[#This Row],[Original Cost (Rs)]]-FAAddition[[#This Row],[Salvage Value]])),0),0)</f>
        <v>0</v>
      </c>
      <c r="AO1152" s="117">
        <f t="shared" si="88"/>
        <v>0</v>
      </c>
      <c r="AQ1152" s="117">
        <f t="shared" si="86"/>
        <v>0</v>
      </c>
      <c r="AR1152" s="120">
        <f t="shared" si="87"/>
        <v>0</v>
      </c>
      <c r="AS1152" s="121"/>
    </row>
    <row r="1153" spans="1:45" ht="13.5" x14ac:dyDescent="0.4">
      <c r="A1153" s="12">
        <f t="shared" si="89"/>
        <v>1150</v>
      </c>
      <c r="B1153" s="64" t="s">
        <v>1758</v>
      </c>
      <c r="C1153" s="54">
        <v>45566</v>
      </c>
      <c r="D1153" s="54">
        <v>45566</v>
      </c>
      <c r="E1153" s="46" t="s">
        <v>749</v>
      </c>
      <c r="F1153" s="51" t="s">
        <v>74</v>
      </c>
      <c r="G1153" s="51" t="s">
        <v>1925</v>
      </c>
      <c r="H1153" s="51" t="s">
        <v>17</v>
      </c>
      <c r="I1153" s="55" t="s">
        <v>1926</v>
      </c>
      <c r="J1153" s="56">
        <v>1</v>
      </c>
      <c r="K1153" s="51" t="s">
        <v>1927</v>
      </c>
      <c r="L1153" s="58">
        <v>28117.19</v>
      </c>
      <c r="M1153" s="50">
        <f>ROUND('FA Addition'!$L1153*5%,0.1)</f>
        <v>1406</v>
      </c>
      <c r="N1153" s="113" t="str">
        <f>_xlfn.XLOOKUP(_xlfn.CONCAT(E1153,B1153),'Year Wise Master Dep Approach'!F:F,'Year Wise Master Dep Approach'!D:D)</f>
        <v>WDV</v>
      </c>
      <c r="O1153" s="113">
        <f>_xlfn.XLOOKUP(_xlfn.CONCAT(E1153,B1153),'Year Wise Master Dep Approach'!F:F,'Year Wise Master Dep Approach'!E:E)</f>
        <v>5</v>
      </c>
      <c r="P1153" s="114">
        <f>IFERROR(IF('FA Addition'!$N1153="WDV",1-('FA Addition'!$M1153/'FA Addition'!$L1153)^(1/'FA Addition'!$O1153),1/'FA Addition'!$O1153),0)</f>
        <v>0.4507087498966359</v>
      </c>
      <c r="Q1153" s="122">
        <f>'FA Addition'!$P1153*'FA Addition'!$O1153</f>
        <v>2.2535437494831796</v>
      </c>
      <c r="R1153" s="122"/>
      <c r="S1153" s="116">
        <f>IF(AND(DATE(20&amp;LEFT(FAAddition[[#This Row],[FY]],2),4,1)&lt;$L$1+1,DATE(20&amp;LEFT(FAAddition[[#This Row],[FY]],2),4,1)&gt;$P$1-1),'FA Addition'!$J1153,0)</f>
        <v>0</v>
      </c>
      <c r="U1153" s="117">
        <f>S1153*'FA Addition'!$L1153/'FA Addition'!$J1153</f>
        <v>0</v>
      </c>
      <c r="W1153" s="116">
        <f>SUMIFS('FA Write off'!D:D,'FA Write off'!A:A,'FA Addition'!$A1153,'FA Write off'!C:C,"&lt;"&amp;'FA Addition'!$P$1)</f>
        <v>0</v>
      </c>
      <c r="Y1153" s="191">
        <f>IFERROR(W1153/'FA Addition'!$J1153*'FA Addition'!$L1153,0)</f>
        <v>0</v>
      </c>
      <c r="AA1153" s="116">
        <f>SUMIFS('FA Write off'!D:D,'FA Write off'!A:A,'FA Addition'!$A1153,'FA Write off'!C:C,"&lt;"&amp;'FA Addition'!$L$1+1,'FA Write off'!C:C,"&gt;"&amp;'FA Addition'!$L$1-365)</f>
        <v>0</v>
      </c>
      <c r="AC1153" s="118">
        <f>IFERROR(AA1153/'FA Addition'!$J1153*'FA Addition'!$L1153,0)</f>
        <v>0</v>
      </c>
      <c r="AE1153" s="117">
        <f>IF(AND('FA Addition'!$D1153&lt;$P$1+1,U1153=0),'FA Addition'!$L1153,0)-Y1153</f>
        <v>0</v>
      </c>
      <c r="AF1153" s="117">
        <f t="shared" si="85"/>
        <v>0</v>
      </c>
      <c r="AG1153" s="117">
        <f>MIN(MAX(+$P$1-'FA Addition'!$D1153,0),365*'FA Addition'!$O1153)</f>
        <v>0</v>
      </c>
      <c r="AH1153" s="117">
        <f>MIN(MAX($L$1-'FA Addition'!$D1153+1,0),365*'FA Addition'!$O1153)</f>
        <v>0</v>
      </c>
      <c r="AI1153" s="117" cm="1">
        <f t="array" ref="AI1153">_xlfn.XLOOKUP(1,('FA Write off'!A:A='FA Addition'!$A1153)*('FA Write off'!D:D=AA1153),'FA Write off'!H:H,0,0)</f>
        <v>0</v>
      </c>
      <c r="AJ1153" s="117">
        <f>IF(AC1153&gt;0,MAX(IF('FA Addition'!$N1153="SLM",($AC1153-'FA Addition'!$M1153)*'FA Addition'!$P1153*AI1153/365,(AC1153-'FA Addition'!$M1153)*(1-(1-'FA Addition'!$P1153)^(AI1153/365))),0),0)</f>
        <v>0</v>
      </c>
      <c r="AL1153" s="117">
        <f>MAX(IF(AG1153&gt;0,IF('FA Addition'!$N1153="SLM",($AE1153-'FA Addition'!$M1153)*'FA Addition'!$P1153*AG1153/365,IFERROR(VDB(AE1153,AE1153*0.05,'FA Addition'!$O1153,0,YEARFRAC('FA Addition'!$C1153,$P$1-1,3),'FA Addition'!$Q1153),FAAddition[[#This Row],[Original Cost (Rs)]]-FAAddition[[#This Row],[Salvage Value]])),0),0)</f>
        <v>0</v>
      </c>
      <c r="AM1153" s="119"/>
      <c r="AN1153" s="117">
        <f>MAX(IF(AH1153&gt;0,IF('FA Addition'!$N1153="SLM",($AF1153-'FA Addition'!$M1153)*'FA Addition'!$P1153*AH1153/365,IFERROR(VDB(AF1153,AF1153*0.05,'FA Addition'!$O1153,0,YEARFRAC('FA Addition'!$C1153,$L$1,3),'FA Addition'!$Q1153),FAAddition[[#This Row],[Original Cost (Rs)]]-FAAddition[[#This Row],[Salvage Value]])),0),0)</f>
        <v>0</v>
      </c>
      <c r="AO1153" s="117">
        <f t="shared" si="88"/>
        <v>0</v>
      </c>
      <c r="AQ1153" s="117">
        <f t="shared" si="86"/>
        <v>0</v>
      </c>
      <c r="AR1153" s="120">
        <f t="shared" si="87"/>
        <v>0</v>
      </c>
      <c r="AS1153" s="121"/>
    </row>
    <row r="1154" spans="1:45" ht="13.5" x14ac:dyDescent="0.4">
      <c r="A1154" s="12">
        <f t="shared" si="89"/>
        <v>1151</v>
      </c>
      <c r="B1154" s="64" t="s">
        <v>1758</v>
      </c>
      <c r="C1154" s="54">
        <v>45569</v>
      </c>
      <c r="D1154" s="54">
        <v>45569</v>
      </c>
      <c r="E1154" s="46" t="s">
        <v>1320</v>
      </c>
      <c r="F1154" s="51" t="s">
        <v>33</v>
      </c>
      <c r="G1154" s="51" t="s">
        <v>34</v>
      </c>
      <c r="H1154" s="51" t="s">
        <v>32</v>
      </c>
      <c r="I1154" s="55" t="s">
        <v>1928</v>
      </c>
      <c r="J1154" s="56">
        <v>1000</v>
      </c>
      <c r="K1154" s="51" t="s">
        <v>295</v>
      </c>
      <c r="L1154" s="58">
        <v>1665000</v>
      </c>
      <c r="M1154" s="50">
        <f>ROUND('FA Addition'!$L1154*5%,0.1)</f>
        <v>83250</v>
      </c>
      <c r="N1154" s="113" t="str">
        <f>_xlfn.XLOOKUP(_xlfn.CONCAT(E1154,B1154),'Year Wise Master Dep Approach'!F:F,'Year Wise Master Dep Approach'!D:D)</f>
        <v>SLM</v>
      </c>
      <c r="O1154" s="113">
        <f>_xlfn.XLOOKUP(_xlfn.CONCAT(E1154,B1154),'Year Wise Master Dep Approach'!F:F,'Year Wise Master Dep Approach'!E:E)</f>
        <v>5</v>
      </c>
      <c r="P1154" s="114">
        <f>IFERROR(IF('FA Addition'!$N1154="WDV",1-('FA Addition'!$M1154/'FA Addition'!$L1154)^(1/'FA Addition'!$O1154),1/'FA Addition'!$O1154),0)</f>
        <v>0.2</v>
      </c>
      <c r="Q1154" s="122">
        <f>'FA Addition'!$P1154*'FA Addition'!$O1154</f>
        <v>1</v>
      </c>
      <c r="R1154" s="122"/>
      <c r="S1154" s="116">
        <f>IF(AND(DATE(20&amp;LEFT(FAAddition[[#This Row],[FY]],2),4,1)&lt;$L$1+1,DATE(20&amp;LEFT(FAAddition[[#This Row],[FY]],2),4,1)&gt;$P$1-1),'FA Addition'!$J1154,0)</f>
        <v>0</v>
      </c>
      <c r="U1154" s="117">
        <f>S1154*'FA Addition'!$L1154/'FA Addition'!$J1154</f>
        <v>0</v>
      </c>
      <c r="W1154" s="116">
        <f>SUMIFS('FA Write off'!D:D,'FA Write off'!A:A,'FA Addition'!$A1154,'FA Write off'!C:C,"&lt;"&amp;'FA Addition'!$P$1)</f>
        <v>0</v>
      </c>
      <c r="Y1154" s="191">
        <f>IFERROR(W1154/'FA Addition'!$J1154*'FA Addition'!$L1154,0)</f>
        <v>0</v>
      </c>
      <c r="AA1154" s="116">
        <f>SUMIFS('FA Write off'!D:D,'FA Write off'!A:A,'FA Addition'!$A1154,'FA Write off'!C:C,"&lt;"&amp;'FA Addition'!$L$1+1,'FA Write off'!C:C,"&gt;"&amp;'FA Addition'!$L$1-365)</f>
        <v>0</v>
      </c>
      <c r="AC1154" s="118">
        <f>IFERROR(AA1154/'FA Addition'!$J1154*'FA Addition'!$L1154,0)</f>
        <v>0</v>
      </c>
      <c r="AE1154" s="117">
        <f>IF(AND('FA Addition'!$D1154&lt;$P$1+1,U1154=0),'FA Addition'!$L1154,0)-Y1154</f>
        <v>0</v>
      </c>
      <c r="AF1154" s="117">
        <f t="shared" si="85"/>
        <v>0</v>
      </c>
      <c r="AG1154" s="117">
        <f>MIN(MAX(+$P$1-'FA Addition'!$D1154,0),365*'FA Addition'!$O1154)</f>
        <v>0</v>
      </c>
      <c r="AH1154" s="117">
        <f>MIN(MAX($L$1-'FA Addition'!$D1154+1,0),365*'FA Addition'!$O1154)</f>
        <v>0</v>
      </c>
      <c r="AI1154" s="117" cm="1">
        <f t="array" ref="AI1154">_xlfn.XLOOKUP(1,('FA Write off'!A:A='FA Addition'!$A1154)*('FA Write off'!D:D=AA1154),'FA Write off'!H:H,0,0)</f>
        <v>0</v>
      </c>
      <c r="AJ1154" s="117">
        <f>IF(AC1154&gt;0,MAX(IF('FA Addition'!$N1154="SLM",($AC1154-'FA Addition'!$M1154)*'FA Addition'!$P1154*AI1154/365,(AC1154-'FA Addition'!$M1154)*(1-(1-'FA Addition'!$P1154)^(AI1154/365))),0),0)</f>
        <v>0</v>
      </c>
      <c r="AL1154" s="117">
        <f>MAX(IF(AG1154&gt;0,IF('FA Addition'!$N1154="SLM",($AE1154-'FA Addition'!$M1154)*'FA Addition'!$P1154*AG1154/365,IFERROR(VDB(AE1154,AE1154*0.05,'FA Addition'!$O1154,0,YEARFRAC('FA Addition'!$C1154,$P$1-1,3),'FA Addition'!$Q1154),FAAddition[[#This Row],[Original Cost (Rs)]]-FAAddition[[#This Row],[Salvage Value]])),0),0)</f>
        <v>0</v>
      </c>
      <c r="AM1154" s="119"/>
      <c r="AN1154" s="117">
        <f>MAX(IF(AH1154&gt;0,IF('FA Addition'!$N1154="SLM",($AF1154-'FA Addition'!$M1154)*'FA Addition'!$P1154*AH1154/365,IFERROR(VDB(AF1154,AF1154*0.05,'FA Addition'!$O1154,0,YEARFRAC('FA Addition'!$C1154,$L$1,3),'FA Addition'!$Q1154),FAAddition[[#This Row],[Original Cost (Rs)]]-FAAddition[[#This Row],[Salvage Value]])),0),0)</f>
        <v>0</v>
      </c>
      <c r="AO1154" s="117">
        <f t="shared" si="88"/>
        <v>0</v>
      </c>
      <c r="AQ1154" s="117">
        <f t="shared" si="86"/>
        <v>0</v>
      </c>
      <c r="AR1154" s="120">
        <f t="shared" si="87"/>
        <v>0</v>
      </c>
      <c r="AS1154" s="121"/>
    </row>
    <row r="1155" spans="1:45" ht="13.5" x14ac:dyDescent="0.4">
      <c r="A1155" s="12">
        <f t="shared" si="89"/>
        <v>1152</v>
      </c>
      <c r="B1155" s="64" t="s">
        <v>1758</v>
      </c>
      <c r="C1155" s="54">
        <v>45566</v>
      </c>
      <c r="D1155" s="54">
        <v>45572</v>
      </c>
      <c r="E1155" s="46" t="s">
        <v>1320</v>
      </c>
      <c r="F1155" s="51" t="s">
        <v>33</v>
      </c>
      <c r="G1155" s="51" t="s">
        <v>34</v>
      </c>
      <c r="H1155" s="51" t="s">
        <v>32</v>
      </c>
      <c r="I1155" s="55" t="s">
        <v>1929</v>
      </c>
      <c r="J1155" s="56">
        <v>1000</v>
      </c>
      <c r="K1155" s="51" t="s">
        <v>295</v>
      </c>
      <c r="L1155" s="58">
        <v>1665000</v>
      </c>
      <c r="M1155" s="50">
        <f>ROUND('FA Addition'!$L1155*5%,0.1)</f>
        <v>83250</v>
      </c>
      <c r="N1155" s="113" t="str">
        <f>_xlfn.XLOOKUP(_xlfn.CONCAT(E1155,B1155),'Year Wise Master Dep Approach'!F:F,'Year Wise Master Dep Approach'!D:D)</f>
        <v>SLM</v>
      </c>
      <c r="O1155" s="113">
        <f>_xlfn.XLOOKUP(_xlfn.CONCAT(E1155,B1155),'Year Wise Master Dep Approach'!F:F,'Year Wise Master Dep Approach'!E:E)</f>
        <v>5</v>
      </c>
      <c r="P1155" s="114">
        <f>IFERROR(IF('FA Addition'!$N1155="WDV",1-('FA Addition'!$M1155/'FA Addition'!$L1155)^(1/'FA Addition'!$O1155),1/'FA Addition'!$O1155),0)</f>
        <v>0.2</v>
      </c>
      <c r="Q1155" s="122">
        <f>'FA Addition'!$P1155*'FA Addition'!$O1155</f>
        <v>1</v>
      </c>
      <c r="R1155" s="122"/>
      <c r="S1155" s="116">
        <f>IF(AND(DATE(20&amp;LEFT(FAAddition[[#This Row],[FY]],2),4,1)&lt;$L$1+1,DATE(20&amp;LEFT(FAAddition[[#This Row],[FY]],2),4,1)&gt;$P$1-1),'FA Addition'!$J1155,0)</f>
        <v>0</v>
      </c>
      <c r="U1155" s="117">
        <f>S1155*'FA Addition'!$L1155/'FA Addition'!$J1155</f>
        <v>0</v>
      </c>
      <c r="W1155" s="116">
        <f>SUMIFS('FA Write off'!D:D,'FA Write off'!A:A,'FA Addition'!$A1155,'FA Write off'!C:C,"&lt;"&amp;'FA Addition'!$P$1)</f>
        <v>0</v>
      </c>
      <c r="Y1155" s="191">
        <f>IFERROR(W1155/'FA Addition'!$J1155*'FA Addition'!$L1155,0)</f>
        <v>0</v>
      </c>
      <c r="AA1155" s="116">
        <f>SUMIFS('FA Write off'!D:D,'FA Write off'!A:A,'FA Addition'!$A1155,'FA Write off'!C:C,"&lt;"&amp;'FA Addition'!$L$1+1,'FA Write off'!C:C,"&gt;"&amp;'FA Addition'!$L$1-365)</f>
        <v>0</v>
      </c>
      <c r="AC1155" s="118">
        <f>IFERROR(AA1155/'FA Addition'!$J1155*'FA Addition'!$L1155,0)</f>
        <v>0</v>
      </c>
      <c r="AE1155" s="117">
        <f>IF(AND('FA Addition'!$D1155&lt;$P$1+1,U1155=0),'FA Addition'!$L1155,0)-Y1155</f>
        <v>0</v>
      </c>
      <c r="AF1155" s="117">
        <f t="shared" si="85"/>
        <v>0</v>
      </c>
      <c r="AG1155" s="117">
        <f>MIN(MAX(+$P$1-'FA Addition'!$D1155,0),365*'FA Addition'!$O1155)</f>
        <v>0</v>
      </c>
      <c r="AH1155" s="117">
        <f>MIN(MAX($L$1-'FA Addition'!$D1155+1,0),365*'FA Addition'!$O1155)</f>
        <v>0</v>
      </c>
      <c r="AI1155" s="117" cm="1">
        <f t="array" ref="AI1155">_xlfn.XLOOKUP(1,('FA Write off'!A:A='FA Addition'!$A1155)*('FA Write off'!D:D=AA1155),'FA Write off'!H:H,0,0)</f>
        <v>0</v>
      </c>
      <c r="AJ1155" s="117">
        <f>IF(AC1155&gt;0,MAX(IF('FA Addition'!$N1155="SLM",($AC1155-'FA Addition'!$M1155)*'FA Addition'!$P1155*AI1155/365,(AC1155-'FA Addition'!$M1155)*(1-(1-'FA Addition'!$P1155)^(AI1155/365))),0),0)</f>
        <v>0</v>
      </c>
      <c r="AL1155" s="117">
        <f>MAX(IF(AG1155&gt;0,IF('FA Addition'!$N1155="SLM",($AE1155-'FA Addition'!$M1155)*'FA Addition'!$P1155*AG1155/365,IFERROR(VDB(AE1155,AE1155*0.05,'FA Addition'!$O1155,0,YEARFRAC('FA Addition'!$C1155,$P$1-1,3),'FA Addition'!$Q1155),FAAddition[[#This Row],[Original Cost (Rs)]]-FAAddition[[#This Row],[Salvage Value]])),0),0)</f>
        <v>0</v>
      </c>
      <c r="AM1155" s="119"/>
      <c r="AN1155" s="117">
        <f>MAX(IF(AH1155&gt;0,IF('FA Addition'!$N1155="SLM",($AF1155-'FA Addition'!$M1155)*'FA Addition'!$P1155*AH1155/365,IFERROR(VDB(AF1155,AF1155*0.05,'FA Addition'!$O1155,0,YEARFRAC('FA Addition'!$C1155,$L$1,3),'FA Addition'!$Q1155),FAAddition[[#This Row],[Original Cost (Rs)]]-FAAddition[[#This Row],[Salvage Value]])),0),0)</f>
        <v>0</v>
      </c>
      <c r="AO1155" s="117">
        <f t="shared" si="88"/>
        <v>0</v>
      </c>
      <c r="AQ1155" s="117">
        <f t="shared" si="86"/>
        <v>0</v>
      </c>
      <c r="AR1155" s="120">
        <f t="shared" si="87"/>
        <v>0</v>
      </c>
      <c r="AS1155" s="121"/>
    </row>
    <row r="1156" spans="1:45" ht="13.5" x14ac:dyDescent="0.4">
      <c r="A1156" s="12">
        <f t="shared" si="89"/>
        <v>1153</v>
      </c>
      <c r="B1156" s="64" t="s">
        <v>1758</v>
      </c>
      <c r="C1156" s="54">
        <v>45566</v>
      </c>
      <c r="D1156" s="54">
        <v>45573</v>
      </c>
      <c r="E1156" s="46" t="s">
        <v>1320</v>
      </c>
      <c r="F1156" s="51" t="s">
        <v>33</v>
      </c>
      <c r="G1156" s="51" t="s">
        <v>1897</v>
      </c>
      <c r="H1156" s="51" t="s">
        <v>26</v>
      </c>
      <c r="I1156" s="55" t="s">
        <v>1930</v>
      </c>
      <c r="J1156" s="56">
        <v>1500</v>
      </c>
      <c r="K1156" s="51" t="s">
        <v>1899</v>
      </c>
      <c r="L1156" s="58">
        <v>142500</v>
      </c>
      <c r="M1156" s="50">
        <f>ROUND('FA Addition'!$L1156*5%,0.1)</f>
        <v>7125</v>
      </c>
      <c r="N1156" s="113" t="str">
        <f>_xlfn.XLOOKUP(_xlfn.CONCAT(E1156,B1156),'Year Wise Master Dep Approach'!F:F,'Year Wise Master Dep Approach'!D:D)</f>
        <v>SLM</v>
      </c>
      <c r="O1156" s="113">
        <f>_xlfn.XLOOKUP(_xlfn.CONCAT(E1156,B1156),'Year Wise Master Dep Approach'!F:F,'Year Wise Master Dep Approach'!E:E)</f>
        <v>5</v>
      </c>
      <c r="P1156" s="114">
        <f>IFERROR(IF('FA Addition'!$N1156="WDV",1-('FA Addition'!$M1156/'FA Addition'!$L1156)^(1/'FA Addition'!$O1156),1/'FA Addition'!$O1156),0)</f>
        <v>0.2</v>
      </c>
      <c r="Q1156" s="122">
        <f>'FA Addition'!$P1156*'FA Addition'!$O1156</f>
        <v>1</v>
      </c>
      <c r="R1156" s="122"/>
      <c r="S1156" s="116">
        <f>IF(AND(DATE(20&amp;LEFT(FAAddition[[#This Row],[FY]],2),4,1)&lt;$L$1+1,DATE(20&amp;LEFT(FAAddition[[#This Row],[FY]],2),4,1)&gt;$P$1-1),'FA Addition'!$J1156,0)</f>
        <v>0</v>
      </c>
      <c r="U1156" s="117">
        <f>S1156*'FA Addition'!$L1156/'FA Addition'!$J1156</f>
        <v>0</v>
      </c>
      <c r="W1156" s="116">
        <f>SUMIFS('FA Write off'!D:D,'FA Write off'!A:A,'FA Addition'!$A1156,'FA Write off'!C:C,"&lt;"&amp;'FA Addition'!$P$1)</f>
        <v>0</v>
      </c>
      <c r="Y1156" s="191">
        <f>IFERROR(W1156/'FA Addition'!$J1156*'FA Addition'!$L1156,0)</f>
        <v>0</v>
      </c>
      <c r="AA1156" s="116">
        <f>SUMIFS('FA Write off'!D:D,'FA Write off'!A:A,'FA Addition'!$A1156,'FA Write off'!C:C,"&lt;"&amp;'FA Addition'!$L$1+1,'FA Write off'!C:C,"&gt;"&amp;'FA Addition'!$L$1-365)</f>
        <v>0</v>
      </c>
      <c r="AC1156" s="118">
        <f>IFERROR(AA1156/'FA Addition'!$J1156*'FA Addition'!$L1156,0)</f>
        <v>0</v>
      </c>
      <c r="AE1156" s="117">
        <f>IF(AND('FA Addition'!$D1156&lt;$P$1+1,U1156=0),'FA Addition'!$L1156,0)-Y1156</f>
        <v>0</v>
      </c>
      <c r="AF1156" s="117">
        <f t="shared" ref="AF1156:AF1219" si="90">AE1156+U1156-AC1156</f>
        <v>0</v>
      </c>
      <c r="AG1156" s="117">
        <f>MIN(MAX(+$P$1-'FA Addition'!$D1156,0),365*'FA Addition'!$O1156)</f>
        <v>0</v>
      </c>
      <c r="AH1156" s="117">
        <f>MIN(MAX($L$1-'FA Addition'!$D1156+1,0),365*'FA Addition'!$O1156)</f>
        <v>0</v>
      </c>
      <c r="AI1156" s="117" cm="1">
        <f t="array" ref="AI1156">_xlfn.XLOOKUP(1,('FA Write off'!A:A='FA Addition'!$A1156)*('FA Write off'!D:D=AA1156),'FA Write off'!H:H,0,0)</f>
        <v>0</v>
      </c>
      <c r="AJ1156" s="117">
        <f>IF(AC1156&gt;0,MAX(IF('FA Addition'!$N1156="SLM",($AC1156-'FA Addition'!$M1156)*'FA Addition'!$P1156*AI1156/365,(AC1156-'FA Addition'!$M1156)*(1-(1-'FA Addition'!$P1156)^(AI1156/365))),0),0)</f>
        <v>0</v>
      </c>
      <c r="AL1156" s="117">
        <f>MAX(IF(AG1156&gt;0,IF('FA Addition'!$N1156="SLM",($AE1156-'FA Addition'!$M1156)*'FA Addition'!$P1156*AG1156/365,IFERROR(VDB(AE1156,AE1156*0.05,'FA Addition'!$O1156,0,YEARFRAC('FA Addition'!$C1156,$P$1-1,3),'FA Addition'!$Q1156),FAAddition[[#This Row],[Original Cost (Rs)]]-FAAddition[[#This Row],[Salvage Value]])),0),0)</f>
        <v>0</v>
      </c>
      <c r="AM1156" s="119"/>
      <c r="AN1156" s="117">
        <f>MAX(IF(AH1156&gt;0,IF('FA Addition'!$N1156="SLM",($AF1156-'FA Addition'!$M1156)*'FA Addition'!$P1156*AH1156/365,IFERROR(VDB(AF1156,AF1156*0.05,'FA Addition'!$O1156,0,YEARFRAC('FA Addition'!$C1156,$L$1,3),'FA Addition'!$Q1156),FAAddition[[#This Row],[Original Cost (Rs)]]-FAAddition[[#This Row],[Salvage Value]])),0),0)</f>
        <v>0</v>
      </c>
      <c r="AO1156" s="117">
        <f t="shared" si="88"/>
        <v>0</v>
      </c>
      <c r="AQ1156" s="117">
        <f t="shared" ref="AQ1156:AQ1219" si="91">AE1156-AL1156</f>
        <v>0</v>
      </c>
      <c r="AR1156" s="120">
        <f t="shared" ref="AR1156:AR1219" si="92">AF1156-AN1156</f>
        <v>0</v>
      </c>
      <c r="AS1156" s="121"/>
    </row>
    <row r="1157" spans="1:45" ht="13.5" x14ac:dyDescent="0.4">
      <c r="A1157" s="12">
        <f t="shared" si="89"/>
        <v>1154</v>
      </c>
      <c r="B1157" s="64" t="s">
        <v>1758</v>
      </c>
      <c r="C1157" s="54">
        <v>45573</v>
      </c>
      <c r="D1157" s="54">
        <v>45573</v>
      </c>
      <c r="E1157" s="46" t="s">
        <v>1320</v>
      </c>
      <c r="F1157" s="51" t="s">
        <v>33</v>
      </c>
      <c r="G1157" s="51" t="s">
        <v>34</v>
      </c>
      <c r="H1157" s="51" t="s">
        <v>32</v>
      </c>
      <c r="I1157" s="55" t="s">
        <v>1931</v>
      </c>
      <c r="J1157" s="56">
        <v>1000</v>
      </c>
      <c r="K1157" s="51" t="s">
        <v>295</v>
      </c>
      <c r="L1157" s="58">
        <v>1665000</v>
      </c>
      <c r="M1157" s="50">
        <f>ROUND('FA Addition'!$L1157*5%,0.1)</f>
        <v>83250</v>
      </c>
      <c r="N1157" s="113" t="str">
        <f>_xlfn.XLOOKUP(_xlfn.CONCAT(E1157,B1157),'Year Wise Master Dep Approach'!F:F,'Year Wise Master Dep Approach'!D:D)</f>
        <v>SLM</v>
      </c>
      <c r="O1157" s="113">
        <f>_xlfn.XLOOKUP(_xlfn.CONCAT(E1157,B1157),'Year Wise Master Dep Approach'!F:F,'Year Wise Master Dep Approach'!E:E)</f>
        <v>5</v>
      </c>
      <c r="P1157" s="114">
        <f>IFERROR(IF('FA Addition'!$N1157="WDV",1-('FA Addition'!$M1157/'FA Addition'!$L1157)^(1/'FA Addition'!$O1157),1/'FA Addition'!$O1157),0)</f>
        <v>0.2</v>
      </c>
      <c r="Q1157" s="122">
        <f>'FA Addition'!$P1157*'FA Addition'!$O1157</f>
        <v>1</v>
      </c>
      <c r="R1157" s="122"/>
      <c r="S1157" s="116">
        <f>IF(AND(DATE(20&amp;LEFT(FAAddition[[#This Row],[FY]],2),4,1)&lt;$L$1+1,DATE(20&amp;LEFT(FAAddition[[#This Row],[FY]],2),4,1)&gt;$P$1-1),'FA Addition'!$J1157,0)</f>
        <v>0</v>
      </c>
      <c r="U1157" s="117">
        <f>S1157*'FA Addition'!$L1157/'FA Addition'!$J1157</f>
        <v>0</v>
      </c>
      <c r="W1157" s="116">
        <f>SUMIFS('FA Write off'!D:D,'FA Write off'!A:A,'FA Addition'!$A1157,'FA Write off'!C:C,"&lt;"&amp;'FA Addition'!$P$1)</f>
        <v>0</v>
      </c>
      <c r="Y1157" s="191">
        <f>IFERROR(W1157/'FA Addition'!$J1157*'FA Addition'!$L1157,0)</f>
        <v>0</v>
      </c>
      <c r="AA1157" s="116">
        <f>SUMIFS('FA Write off'!D:D,'FA Write off'!A:A,'FA Addition'!$A1157,'FA Write off'!C:C,"&lt;"&amp;'FA Addition'!$L$1+1,'FA Write off'!C:C,"&gt;"&amp;'FA Addition'!$L$1-365)</f>
        <v>0</v>
      </c>
      <c r="AC1157" s="118">
        <f>IFERROR(AA1157/'FA Addition'!$J1157*'FA Addition'!$L1157,0)</f>
        <v>0</v>
      </c>
      <c r="AE1157" s="117">
        <f>IF(AND('FA Addition'!$D1157&lt;$P$1+1,U1157=0),'FA Addition'!$L1157,0)-Y1157</f>
        <v>0</v>
      </c>
      <c r="AF1157" s="117">
        <f t="shared" si="90"/>
        <v>0</v>
      </c>
      <c r="AG1157" s="117">
        <f>MIN(MAX(+$P$1-'FA Addition'!$D1157,0),365*'FA Addition'!$O1157)</f>
        <v>0</v>
      </c>
      <c r="AH1157" s="117">
        <f>MIN(MAX($L$1-'FA Addition'!$D1157+1,0),365*'FA Addition'!$O1157)</f>
        <v>0</v>
      </c>
      <c r="AI1157" s="117" cm="1">
        <f t="array" ref="AI1157">_xlfn.XLOOKUP(1,('FA Write off'!A:A='FA Addition'!$A1157)*('FA Write off'!D:D=AA1157),'FA Write off'!H:H,0,0)</f>
        <v>0</v>
      </c>
      <c r="AJ1157" s="117">
        <f>IF(AC1157&gt;0,MAX(IF('FA Addition'!$N1157="SLM",($AC1157-'FA Addition'!$M1157)*'FA Addition'!$P1157*AI1157/365,(AC1157-'FA Addition'!$M1157)*(1-(1-'FA Addition'!$P1157)^(AI1157/365))),0),0)</f>
        <v>0</v>
      </c>
      <c r="AL1157" s="117">
        <f>MAX(IF(AG1157&gt;0,IF('FA Addition'!$N1157="SLM",($AE1157-'FA Addition'!$M1157)*'FA Addition'!$P1157*AG1157/365,IFERROR(VDB(AE1157,AE1157*0.05,'FA Addition'!$O1157,0,YEARFRAC('FA Addition'!$C1157,$P$1-1,3),'FA Addition'!$Q1157),FAAddition[[#This Row],[Original Cost (Rs)]]-FAAddition[[#This Row],[Salvage Value]])),0),0)</f>
        <v>0</v>
      </c>
      <c r="AM1157" s="119"/>
      <c r="AN1157" s="117">
        <f>MAX(IF(AH1157&gt;0,IF('FA Addition'!$N1157="SLM",($AF1157-'FA Addition'!$M1157)*'FA Addition'!$P1157*AH1157/365,IFERROR(VDB(AF1157,AF1157*0.05,'FA Addition'!$O1157,0,YEARFRAC('FA Addition'!$C1157,$L$1,3),'FA Addition'!$Q1157),FAAddition[[#This Row],[Original Cost (Rs)]]-FAAddition[[#This Row],[Salvage Value]])),0),0)</f>
        <v>0</v>
      </c>
      <c r="AO1157" s="117">
        <f t="shared" ref="AO1157:AO1220" si="93">AN1157-AL1157+AJ1157</f>
        <v>0</v>
      </c>
      <c r="AQ1157" s="117">
        <f t="shared" si="91"/>
        <v>0</v>
      </c>
      <c r="AR1157" s="120">
        <f t="shared" si="92"/>
        <v>0</v>
      </c>
      <c r="AS1157" s="121"/>
    </row>
    <row r="1158" spans="1:45" ht="13.5" x14ac:dyDescent="0.4">
      <c r="A1158" s="12">
        <f t="shared" ref="A1158:A1221" si="94">A1157+1</f>
        <v>1155</v>
      </c>
      <c r="B1158" s="64" t="s">
        <v>1758</v>
      </c>
      <c r="C1158" s="54">
        <v>45563</v>
      </c>
      <c r="D1158" s="54">
        <v>45573</v>
      </c>
      <c r="E1158" s="46" t="s">
        <v>1320</v>
      </c>
      <c r="F1158" s="51" t="s">
        <v>33</v>
      </c>
      <c r="G1158" s="51" t="s">
        <v>34</v>
      </c>
      <c r="H1158" s="51" t="s">
        <v>32</v>
      </c>
      <c r="I1158" s="55" t="s">
        <v>1932</v>
      </c>
      <c r="J1158" s="56">
        <v>1000</v>
      </c>
      <c r="K1158" s="51" t="s">
        <v>295</v>
      </c>
      <c r="L1158" s="58">
        <v>1665000</v>
      </c>
      <c r="M1158" s="50">
        <f>ROUND('FA Addition'!$L1158*5%,0.1)</f>
        <v>83250</v>
      </c>
      <c r="N1158" s="113" t="str">
        <f>_xlfn.XLOOKUP(_xlfn.CONCAT(E1158,B1158),'Year Wise Master Dep Approach'!F:F,'Year Wise Master Dep Approach'!D:D)</f>
        <v>SLM</v>
      </c>
      <c r="O1158" s="113">
        <f>_xlfn.XLOOKUP(_xlfn.CONCAT(E1158,B1158),'Year Wise Master Dep Approach'!F:F,'Year Wise Master Dep Approach'!E:E)</f>
        <v>5</v>
      </c>
      <c r="P1158" s="114">
        <f>IFERROR(IF('FA Addition'!$N1158="WDV",1-('FA Addition'!$M1158/'FA Addition'!$L1158)^(1/'FA Addition'!$O1158),1/'FA Addition'!$O1158),0)</f>
        <v>0.2</v>
      </c>
      <c r="Q1158" s="122">
        <f>'FA Addition'!$P1158*'FA Addition'!$O1158</f>
        <v>1</v>
      </c>
      <c r="R1158" s="122"/>
      <c r="S1158" s="116">
        <f>IF(AND(DATE(20&amp;LEFT(FAAddition[[#This Row],[FY]],2),4,1)&lt;$L$1+1,DATE(20&amp;LEFT(FAAddition[[#This Row],[FY]],2),4,1)&gt;$P$1-1),'FA Addition'!$J1158,0)</f>
        <v>0</v>
      </c>
      <c r="U1158" s="117">
        <f>S1158*'FA Addition'!$L1158/'FA Addition'!$J1158</f>
        <v>0</v>
      </c>
      <c r="W1158" s="116">
        <f>SUMIFS('FA Write off'!D:D,'FA Write off'!A:A,'FA Addition'!$A1158,'FA Write off'!C:C,"&lt;"&amp;'FA Addition'!$P$1)</f>
        <v>0</v>
      </c>
      <c r="Y1158" s="191">
        <f>IFERROR(W1158/'FA Addition'!$J1158*'FA Addition'!$L1158,0)</f>
        <v>0</v>
      </c>
      <c r="AA1158" s="116">
        <f>SUMIFS('FA Write off'!D:D,'FA Write off'!A:A,'FA Addition'!$A1158,'FA Write off'!C:C,"&lt;"&amp;'FA Addition'!$L$1+1,'FA Write off'!C:C,"&gt;"&amp;'FA Addition'!$L$1-365)</f>
        <v>0</v>
      </c>
      <c r="AC1158" s="118">
        <f>IFERROR(AA1158/'FA Addition'!$J1158*'FA Addition'!$L1158,0)</f>
        <v>0</v>
      </c>
      <c r="AE1158" s="117">
        <f>IF(AND('FA Addition'!$D1158&lt;$P$1+1,U1158=0),'FA Addition'!$L1158,0)-Y1158</f>
        <v>0</v>
      </c>
      <c r="AF1158" s="117">
        <f t="shared" si="90"/>
        <v>0</v>
      </c>
      <c r="AG1158" s="117">
        <f>MIN(MAX(+$P$1-'FA Addition'!$D1158,0),365*'FA Addition'!$O1158)</f>
        <v>0</v>
      </c>
      <c r="AH1158" s="117">
        <f>MIN(MAX($L$1-'FA Addition'!$D1158+1,0),365*'FA Addition'!$O1158)</f>
        <v>0</v>
      </c>
      <c r="AI1158" s="117" cm="1">
        <f t="array" ref="AI1158">_xlfn.XLOOKUP(1,('FA Write off'!A:A='FA Addition'!$A1158)*('FA Write off'!D:D=AA1158),'FA Write off'!H:H,0,0)</f>
        <v>0</v>
      </c>
      <c r="AJ1158" s="117">
        <f>IF(AC1158&gt;0,MAX(IF('FA Addition'!$N1158="SLM",($AC1158-'FA Addition'!$M1158)*'FA Addition'!$P1158*AI1158/365,(AC1158-'FA Addition'!$M1158)*(1-(1-'FA Addition'!$P1158)^(AI1158/365))),0),0)</f>
        <v>0</v>
      </c>
      <c r="AL1158" s="117">
        <f>MAX(IF(AG1158&gt;0,IF('FA Addition'!$N1158="SLM",($AE1158-'FA Addition'!$M1158)*'FA Addition'!$P1158*AG1158/365,IFERROR(VDB(AE1158,AE1158*0.05,'FA Addition'!$O1158,0,YEARFRAC('FA Addition'!$C1158,$P$1-1,3),'FA Addition'!$Q1158),FAAddition[[#This Row],[Original Cost (Rs)]]-FAAddition[[#This Row],[Salvage Value]])),0),0)</f>
        <v>0</v>
      </c>
      <c r="AM1158" s="119"/>
      <c r="AN1158" s="117">
        <f>MAX(IF(AH1158&gt;0,IF('FA Addition'!$N1158="SLM",($AF1158-'FA Addition'!$M1158)*'FA Addition'!$P1158*AH1158/365,IFERROR(VDB(AF1158,AF1158*0.05,'FA Addition'!$O1158,0,YEARFRAC('FA Addition'!$C1158,$L$1,3),'FA Addition'!$Q1158),FAAddition[[#This Row],[Original Cost (Rs)]]-FAAddition[[#This Row],[Salvage Value]])),0),0)</f>
        <v>0</v>
      </c>
      <c r="AO1158" s="117">
        <f t="shared" si="93"/>
        <v>0</v>
      </c>
      <c r="AQ1158" s="117">
        <f t="shared" si="91"/>
        <v>0</v>
      </c>
      <c r="AR1158" s="120">
        <f t="shared" si="92"/>
        <v>0</v>
      </c>
      <c r="AS1158" s="121"/>
    </row>
    <row r="1159" spans="1:45" ht="13.5" x14ac:dyDescent="0.4">
      <c r="A1159" s="12">
        <f t="shared" si="94"/>
        <v>1156</v>
      </c>
      <c r="B1159" s="64" t="s">
        <v>1758</v>
      </c>
      <c r="C1159" s="54">
        <v>45488</v>
      </c>
      <c r="D1159" s="54">
        <v>45573</v>
      </c>
      <c r="E1159" s="46" t="s">
        <v>749</v>
      </c>
      <c r="F1159" s="51" t="s">
        <v>74</v>
      </c>
      <c r="G1159" s="51" t="s">
        <v>1933</v>
      </c>
      <c r="H1159" s="51" t="s">
        <v>17</v>
      </c>
      <c r="I1159" s="55" t="s">
        <v>1934</v>
      </c>
      <c r="J1159" s="56">
        <v>1</v>
      </c>
      <c r="K1159" s="51" t="s">
        <v>1935</v>
      </c>
      <c r="L1159" s="58">
        <v>26164.06</v>
      </c>
      <c r="M1159" s="50">
        <f>ROUND('FA Addition'!$L1159*5%,0.1)</f>
        <v>1308</v>
      </c>
      <c r="N1159" s="113" t="str">
        <f>_xlfn.XLOOKUP(_xlfn.CONCAT(E1159,B1159),'Year Wise Master Dep Approach'!F:F,'Year Wise Master Dep Approach'!D:D)</f>
        <v>WDV</v>
      </c>
      <c r="O1159" s="113">
        <f>_xlfn.XLOOKUP(_xlfn.CONCAT(E1159,B1159),'Year Wise Master Dep Approach'!F:F,'Year Wise Master Dep Approach'!E:E)</f>
        <v>5</v>
      </c>
      <c r="P1159" s="114">
        <f>IFERROR(IF('FA Addition'!$N1159="WDV",1-('FA Addition'!$M1159/'FA Addition'!$L1159)^(1/'FA Addition'!$O1159),1/'FA Addition'!$O1159),0)</f>
        <v>0.45073677628473419</v>
      </c>
      <c r="Q1159" s="122">
        <f>'FA Addition'!$P1159*'FA Addition'!$O1159</f>
        <v>2.253683881423671</v>
      </c>
      <c r="R1159" s="122"/>
      <c r="S1159" s="116">
        <f>IF(AND(DATE(20&amp;LEFT(FAAddition[[#This Row],[FY]],2),4,1)&lt;$L$1+1,DATE(20&amp;LEFT(FAAddition[[#This Row],[FY]],2),4,1)&gt;$P$1-1),'FA Addition'!$J1159,0)</f>
        <v>0</v>
      </c>
      <c r="U1159" s="117">
        <f>S1159*'FA Addition'!$L1159/'FA Addition'!$J1159</f>
        <v>0</v>
      </c>
      <c r="W1159" s="116">
        <f>SUMIFS('FA Write off'!D:D,'FA Write off'!A:A,'FA Addition'!$A1159,'FA Write off'!C:C,"&lt;"&amp;'FA Addition'!$P$1)</f>
        <v>0</v>
      </c>
      <c r="Y1159" s="191">
        <f>IFERROR(W1159/'FA Addition'!$J1159*'FA Addition'!$L1159,0)</f>
        <v>0</v>
      </c>
      <c r="AA1159" s="116">
        <f>SUMIFS('FA Write off'!D:D,'FA Write off'!A:A,'FA Addition'!$A1159,'FA Write off'!C:C,"&lt;"&amp;'FA Addition'!$L$1+1,'FA Write off'!C:C,"&gt;"&amp;'FA Addition'!$L$1-365)</f>
        <v>0</v>
      </c>
      <c r="AC1159" s="118">
        <f>IFERROR(AA1159/'FA Addition'!$J1159*'FA Addition'!$L1159,0)</f>
        <v>0</v>
      </c>
      <c r="AE1159" s="117">
        <f>IF(AND('FA Addition'!$D1159&lt;$P$1+1,U1159=0),'FA Addition'!$L1159,0)-Y1159</f>
        <v>0</v>
      </c>
      <c r="AF1159" s="117">
        <f t="shared" si="90"/>
        <v>0</v>
      </c>
      <c r="AG1159" s="117">
        <f>MIN(MAX(+$P$1-'FA Addition'!$D1159,0),365*'FA Addition'!$O1159)</f>
        <v>0</v>
      </c>
      <c r="AH1159" s="117">
        <f>MIN(MAX($L$1-'FA Addition'!$D1159+1,0),365*'FA Addition'!$O1159)</f>
        <v>0</v>
      </c>
      <c r="AI1159" s="117" cm="1">
        <f t="array" ref="AI1159">_xlfn.XLOOKUP(1,('FA Write off'!A:A='FA Addition'!$A1159)*('FA Write off'!D:D=AA1159),'FA Write off'!H:H,0,0)</f>
        <v>0</v>
      </c>
      <c r="AJ1159" s="117">
        <f>IF(AC1159&gt;0,MAX(IF('FA Addition'!$N1159="SLM",($AC1159-'FA Addition'!$M1159)*'FA Addition'!$P1159*AI1159/365,(AC1159-'FA Addition'!$M1159)*(1-(1-'FA Addition'!$P1159)^(AI1159/365))),0),0)</f>
        <v>0</v>
      </c>
      <c r="AL1159" s="117">
        <f>MAX(IF(AG1159&gt;0,IF('FA Addition'!$N1159="SLM",($AE1159-'FA Addition'!$M1159)*'FA Addition'!$P1159*AG1159/365,IFERROR(VDB(AE1159,AE1159*0.05,'FA Addition'!$O1159,0,YEARFRAC('FA Addition'!$C1159,$P$1-1,3),'FA Addition'!$Q1159),FAAddition[[#This Row],[Original Cost (Rs)]]-FAAddition[[#This Row],[Salvage Value]])),0),0)</f>
        <v>0</v>
      </c>
      <c r="AM1159" s="119"/>
      <c r="AN1159" s="117">
        <f>MAX(IF(AH1159&gt;0,IF('FA Addition'!$N1159="SLM",($AF1159-'FA Addition'!$M1159)*'FA Addition'!$P1159*AH1159/365,IFERROR(VDB(AF1159,AF1159*0.05,'FA Addition'!$O1159,0,YEARFRAC('FA Addition'!$C1159,$L$1,3),'FA Addition'!$Q1159),FAAddition[[#This Row],[Original Cost (Rs)]]-FAAddition[[#This Row],[Salvage Value]])),0),0)</f>
        <v>0</v>
      </c>
      <c r="AO1159" s="117">
        <f t="shared" si="93"/>
        <v>0</v>
      </c>
      <c r="AQ1159" s="117">
        <f t="shared" si="91"/>
        <v>0</v>
      </c>
      <c r="AR1159" s="120">
        <f t="shared" si="92"/>
        <v>0</v>
      </c>
      <c r="AS1159" s="121"/>
    </row>
    <row r="1160" spans="1:45" ht="13.5" x14ac:dyDescent="0.4">
      <c r="A1160" s="12">
        <f t="shared" si="94"/>
        <v>1157</v>
      </c>
      <c r="B1160" s="64" t="s">
        <v>1758</v>
      </c>
      <c r="C1160" s="54">
        <v>45574</v>
      </c>
      <c r="D1160" s="54">
        <v>45574</v>
      </c>
      <c r="E1160" s="46" t="s">
        <v>1320</v>
      </c>
      <c r="F1160" s="51" t="s">
        <v>33</v>
      </c>
      <c r="G1160" s="51" t="s">
        <v>1936</v>
      </c>
      <c r="H1160" s="51" t="s">
        <v>26</v>
      </c>
      <c r="I1160" s="55" t="s">
        <v>1937</v>
      </c>
      <c r="J1160" s="56">
        <v>500</v>
      </c>
      <c r="K1160" s="51" t="s">
        <v>26</v>
      </c>
      <c r="L1160" s="58">
        <v>40000</v>
      </c>
      <c r="M1160" s="50">
        <f>ROUND('FA Addition'!$L1160*5%,0.1)</f>
        <v>2000</v>
      </c>
      <c r="N1160" s="113" t="str">
        <f>_xlfn.XLOOKUP(_xlfn.CONCAT(E1160,B1160),'Year Wise Master Dep Approach'!F:F,'Year Wise Master Dep Approach'!D:D)</f>
        <v>SLM</v>
      </c>
      <c r="O1160" s="113">
        <f>_xlfn.XLOOKUP(_xlfn.CONCAT(E1160,B1160),'Year Wise Master Dep Approach'!F:F,'Year Wise Master Dep Approach'!E:E)</f>
        <v>5</v>
      </c>
      <c r="P1160" s="114">
        <f>IFERROR(IF('FA Addition'!$N1160="WDV",1-('FA Addition'!$M1160/'FA Addition'!$L1160)^(1/'FA Addition'!$O1160),1/'FA Addition'!$O1160),0)</f>
        <v>0.2</v>
      </c>
      <c r="Q1160" s="122">
        <f>'FA Addition'!$P1160*'FA Addition'!$O1160</f>
        <v>1</v>
      </c>
      <c r="R1160" s="122"/>
      <c r="S1160" s="116">
        <f>IF(AND(DATE(20&amp;LEFT(FAAddition[[#This Row],[FY]],2),4,1)&lt;$L$1+1,DATE(20&amp;LEFT(FAAddition[[#This Row],[FY]],2),4,1)&gt;$P$1-1),'FA Addition'!$J1160,0)</f>
        <v>0</v>
      </c>
      <c r="U1160" s="117">
        <f>S1160*'FA Addition'!$L1160/'FA Addition'!$J1160</f>
        <v>0</v>
      </c>
      <c r="W1160" s="116">
        <f>SUMIFS('FA Write off'!D:D,'FA Write off'!A:A,'FA Addition'!$A1160,'FA Write off'!C:C,"&lt;"&amp;'FA Addition'!$P$1)</f>
        <v>0</v>
      </c>
      <c r="Y1160" s="191">
        <f>IFERROR(W1160/'FA Addition'!$J1160*'FA Addition'!$L1160,0)</f>
        <v>0</v>
      </c>
      <c r="AA1160" s="116">
        <f>SUMIFS('FA Write off'!D:D,'FA Write off'!A:A,'FA Addition'!$A1160,'FA Write off'!C:C,"&lt;"&amp;'FA Addition'!$L$1+1,'FA Write off'!C:C,"&gt;"&amp;'FA Addition'!$L$1-365)</f>
        <v>0</v>
      </c>
      <c r="AC1160" s="118">
        <f>IFERROR(AA1160/'FA Addition'!$J1160*'FA Addition'!$L1160,0)</f>
        <v>0</v>
      </c>
      <c r="AE1160" s="117">
        <f>IF(AND('FA Addition'!$D1160&lt;$P$1+1,U1160=0),'FA Addition'!$L1160,0)-Y1160</f>
        <v>0</v>
      </c>
      <c r="AF1160" s="117">
        <f t="shared" si="90"/>
        <v>0</v>
      </c>
      <c r="AG1160" s="117">
        <f>MIN(MAX(+$P$1-'FA Addition'!$D1160,0),365*'FA Addition'!$O1160)</f>
        <v>0</v>
      </c>
      <c r="AH1160" s="117">
        <f>MIN(MAX($L$1-'FA Addition'!$D1160+1,0),365*'FA Addition'!$O1160)</f>
        <v>0</v>
      </c>
      <c r="AI1160" s="117" cm="1">
        <f t="array" ref="AI1160">_xlfn.XLOOKUP(1,('FA Write off'!A:A='FA Addition'!$A1160)*('FA Write off'!D:D=AA1160),'FA Write off'!H:H,0,0)</f>
        <v>0</v>
      </c>
      <c r="AJ1160" s="117">
        <f>IF(AC1160&gt;0,MAX(IF('FA Addition'!$N1160="SLM",($AC1160-'FA Addition'!$M1160)*'FA Addition'!$P1160*AI1160/365,(AC1160-'FA Addition'!$M1160)*(1-(1-'FA Addition'!$P1160)^(AI1160/365))),0),0)</f>
        <v>0</v>
      </c>
      <c r="AL1160" s="117">
        <f>MAX(IF(AG1160&gt;0,IF('FA Addition'!$N1160="SLM",($AE1160-'FA Addition'!$M1160)*'FA Addition'!$P1160*AG1160/365,IFERROR(VDB(AE1160,AE1160*0.05,'FA Addition'!$O1160,0,YEARFRAC('FA Addition'!$C1160,$P$1-1,3),'FA Addition'!$Q1160),FAAddition[[#This Row],[Original Cost (Rs)]]-FAAddition[[#This Row],[Salvage Value]])),0),0)</f>
        <v>0</v>
      </c>
      <c r="AM1160" s="119"/>
      <c r="AN1160" s="117">
        <f>MAX(IF(AH1160&gt;0,IF('FA Addition'!$N1160="SLM",($AF1160-'FA Addition'!$M1160)*'FA Addition'!$P1160*AH1160/365,IFERROR(VDB(AF1160,AF1160*0.05,'FA Addition'!$O1160,0,YEARFRAC('FA Addition'!$C1160,$L$1,3),'FA Addition'!$Q1160),FAAddition[[#This Row],[Original Cost (Rs)]]-FAAddition[[#This Row],[Salvage Value]])),0),0)</f>
        <v>0</v>
      </c>
      <c r="AO1160" s="117">
        <f t="shared" si="93"/>
        <v>0</v>
      </c>
      <c r="AQ1160" s="117">
        <f t="shared" si="91"/>
        <v>0</v>
      </c>
      <c r="AR1160" s="120">
        <f t="shared" si="92"/>
        <v>0</v>
      </c>
      <c r="AS1160" s="121"/>
    </row>
    <row r="1161" spans="1:45" ht="13.5" x14ac:dyDescent="0.4">
      <c r="A1161" s="12">
        <f t="shared" si="94"/>
        <v>1158</v>
      </c>
      <c r="B1161" s="64" t="s">
        <v>1758</v>
      </c>
      <c r="C1161" s="54">
        <v>45588</v>
      </c>
      <c r="D1161" s="54">
        <v>45577</v>
      </c>
      <c r="E1161" s="46" t="s">
        <v>1320</v>
      </c>
      <c r="F1161" s="51" t="s">
        <v>33</v>
      </c>
      <c r="G1161" s="51" t="s">
        <v>34</v>
      </c>
      <c r="H1161" s="51" t="s">
        <v>32</v>
      </c>
      <c r="I1161" s="55" t="s">
        <v>1938</v>
      </c>
      <c r="J1161" s="56">
        <v>1000</v>
      </c>
      <c r="K1161" s="51" t="s">
        <v>295</v>
      </c>
      <c r="L1161" s="58">
        <v>1665000</v>
      </c>
      <c r="M1161" s="50">
        <f>ROUND('FA Addition'!$L1161*5%,0.1)</f>
        <v>83250</v>
      </c>
      <c r="N1161" s="113" t="str">
        <f>_xlfn.XLOOKUP(_xlfn.CONCAT(E1161,B1161),'Year Wise Master Dep Approach'!F:F,'Year Wise Master Dep Approach'!D:D)</f>
        <v>SLM</v>
      </c>
      <c r="O1161" s="113">
        <f>_xlfn.XLOOKUP(_xlfn.CONCAT(E1161,B1161),'Year Wise Master Dep Approach'!F:F,'Year Wise Master Dep Approach'!E:E)</f>
        <v>5</v>
      </c>
      <c r="P1161" s="114">
        <f>IFERROR(IF('FA Addition'!$N1161="WDV",1-('FA Addition'!$M1161/'FA Addition'!$L1161)^(1/'FA Addition'!$O1161),1/'FA Addition'!$O1161),0)</f>
        <v>0.2</v>
      </c>
      <c r="Q1161" s="122">
        <f>'FA Addition'!$P1161*'FA Addition'!$O1161</f>
        <v>1</v>
      </c>
      <c r="R1161" s="122"/>
      <c r="S1161" s="116">
        <f>IF(AND(DATE(20&amp;LEFT(FAAddition[[#This Row],[FY]],2),4,1)&lt;$L$1+1,DATE(20&amp;LEFT(FAAddition[[#This Row],[FY]],2),4,1)&gt;$P$1-1),'FA Addition'!$J1161,0)</f>
        <v>0</v>
      </c>
      <c r="U1161" s="117">
        <f>S1161*'FA Addition'!$L1161/'FA Addition'!$J1161</f>
        <v>0</v>
      </c>
      <c r="W1161" s="116">
        <f>SUMIFS('FA Write off'!D:D,'FA Write off'!A:A,'FA Addition'!$A1161,'FA Write off'!C:C,"&lt;"&amp;'FA Addition'!$P$1)</f>
        <v>0</v>
      </c>
      <c r="Y1161" s="191">
        <f>IFERROR(W1161/'FA Addition'!$J1161*'FA Addition'!$L1161,0)</f>
        <v>0</v>
      </c>
      <c r="AA1161" s="116">
        <f>SUMIFS('FA Write off'!D:D,'FA Write off'!A:A,'FA Addition'!$A1161,'FA Write off'!C:C,"&lt;"&amp;'FA Addition'!$L$1+1,'FA Write off'!C:C,"&gt;"&amp;'FA Addition'!$L$1-365)</f>
        <v>0</v>
      </c>
      <c r="AC1161" s="118">
        <f>IFERROR(AA1161/'FA Addition'!$J1161*'FA Addition'!$L1161,0)</f>
        <v>0</v>
      </c>
      <c r="AE1161" s="117">
        <f>IF(AND('FA Addition'!$D1161&lt;$P$1+1,U1161=0),'FA Addition'!$L1161,0)-Y1161</f>
        <v>0</v>
      </c>
      <c r="AF1161" s="117">
        <f t="shared" si="90"/>
        <v>0</v>
      </c>
      <c r="AG1161" s="117">
        <f>MIN(MAX(+$P$1-'FA Addition'!$D1161,0),365*'FA Addition'!$O1161)</f>
        <v>0</v>
      </c>
      <c r="AH1161" s="117">
        <f>MIN(MAX($L$1-'FA Addition'!$D1161+1,0),365*'FA Addition'!$O1161)</f>
        <v>0</v>
      </c>
      <c r="AI1161" s="117" cm="1">
        <f t="array" ref="AI1161">_xlfn.XLOOKUP(1,('FA Write off'!A:A='FA Addition'!$A1161)*('FA Write off'!D:D=AA1161),'FA Write off'!H:H,0,0)</f>
        <v>0</v>
      </c>
      <c r="AJ1161" s="117">
        <f>IF(AC1161&gt;0,MAX(IF('FA Addition'!$N1161="SLM",($AC1161-'FA Addition'!$M1161)*'FA Addition'!$P1161*AI1161/365,(AC1161-'FA Addition'!$M1161)*(1-(1-'FA Addition'!$P1161)^(AI1161/365))),0),0)</f>
        <v>0</v>
      </c>
      <c r="AL1161" s="117">
        <f>MAX(IF(AG1161&gt;0,IF('FA Addition'!$N1161="SLM",($AE1161-'FA Addition'!$M1161)*'FA Addition'!$P1161*AG1161/365,IFERROR(VDB(AE1161,AE1161*0.05,'FA Addition'!$O1161,0,YEARFRAC('FA Addition'!$C1161,$P$1-1,3),'FA Addition'!$Q1161),FAAddition[[#This Row],[Original Cost (Rs)]]-FAAddition[[#This Row],[Salvage Value]])),0),0)</f>
        <v>0</v>
      </c>
      <c r="AM1161" s="119"/>
      <c r="AN1161" s="117">
        <f>MAX(IF(AH1161&gt;0,IF('FA Addition'!$N1161="SLM",($AF1161-'FA Addition'!$M1161)*'FA Addition'!$P1161*AH1161/365,IFERROR(VDB(AF1161,AF1161*0.05,'FA Addition'!$O1161,0,YEARFRAC('FA Addition'!$C1161,$L$1,3),'FA Addition'!$Q1161),FAAddition[[#This Row],[Original Cost (Rs)]]-FAAddition[[#This Row],[Salvage Value]])),0),0)</f>
        <v>0</v>
      </c>
      <c r="AO1161" s="117">
        <f t="shared" si="93"/>
        <v>0</v>
      </c>
      <c r="AQ1161" s="117">
        <f t="shared" si="91"/>
        <v>0</v>
      </c>
      <c r="AR1161" s="120">
        <f t="shared" si="92"/>
        <v>0</v>
      </c>
      <c r="AS1161" s="121"/>
    </row>
    <row r="1162" spans="1:45" ht="13.5" x14ac:dyDescent="0.4">
      <c r="A1162" s="12">
        <f t="shared" si="94"/>
        <v>1159</v>
      </c>
      <c r="B1162" s="64" t="s">
        <v>1758</v>
      </c>
      <c r="C1162" s="54">
        <v>45580</v>
      </c>
      <c r="D1162" s="54">
        <v>45580</v>
      </c>
      <c r="E1162" s="46" t="s">
        <v>207</v>
      </c>
      <c r="F1162" s="51" t="s">
        <v>1372</v>
      </c>
      <c r="G1162" s="51" t="s">
        <v>1728</v>
      </c>
      <c r="H1162" s="51" t="s">
        <v>848</v>
      </c>
      <c r="I1162" s="55" t="s">
        <v>1939</v>
      </c>
      <c r="J1162" s="56">
        <v>5</v>
      </c>
      <c r="K1162" s="51" t="s">
        <v>1940</v>
      </c>
      <c r="L1162" s="58">
        <v>1250</v>
      </c>
      <c r="M1162" s="50">
        <f>ROUND('FA Addition'!$L1162*5%,0.1)</f>
        <v>63</v>
      </c>
      <c r="N1162" s="113" t="str">
        <f>_xlfn.XLOOKUP(_xlfn.CONCAT(E1162,B1162),'Year Wise Master Dep Approach'!F:F,'Year Wise Master Dep Approach'!D:D)</f>
        <v>WDV</v>
      </c>
      <c r="O1162" s="113">
        <f>_xlfn.XLOOKUP(_xlfn.CONCAT(E1162,B1162),'Year Wise Master Dep Approach'!F:F,'Year Wise Master Dep Approach'!E:E)</f>
        <v>5</v>
      </c>
      <c r="P1162" s="114">
        <f>IFERROR(IF('FA Addition'!$N1162="WDV",1-('FA Addition'!$M1162/'FA Addition'!$L1162)^(1/'FA Addition'!$O1162),1/'FA Addition'!$O1162),0)</f>
        <v>0.44984367880331344</v>
      </c>
      <c r="Q1162" s="122">
        <f>'FA Addition'!$P1162*'FA Addition'!$O1162</f>
        <v>2.2492183940165673</v>
      </c>
      <c r="R1162" s="122"/>
      <c r="S1162" s="116">
        <f>IF(AND(DATE(20&amp;LEFT(FAAddition[[#This Row],[FY]],2),4,1)&lt;$L$1+1,DATE(20&amp;LEFT(FAAddition[[#This Row],[FY]],2),4,1)&gt;$P$1-1),'FA Addition'!$J1162,0)</f>
        <v>0</v>
      </c>
      <c r="U1162" s="117">
        <f>S1162*'FA Addition'!$L1162/'FA Addition'!$J1162</f>
        <v>0</v>
      </c>
      <c r="W1162" s="116">
        <f>SUMIFS('FA Write off'!D:D,'FA Write off'!A:A,'FA Addition'!$A1162,'FA Write off'!C:C,"&lt;"&amp;'FA Addition'!$P$1)</f>
        <v>0</v>
      </c>
      <c r="Y1162" s="191">
        <f>IFERROR(W1162/'FA Addition'!$J1162*'FA Addition'!$L1162,0)</f>
        <v>0</v>
      </c>
      <c r="AA1162" s="116">
        <f>SUMIFS('FA Write off'!D:D,'FA Write off'!A:A,'FA Addition'!$A1162,'FA Write off'!C:C,"&lt;"&amp;'FA Addition'!$L$1+1,'FA Write off'!C:C,"&gt;"&amp;'FA Addition'!$L$1-365)</f>
        <v>0</v>
      </c>
      <c r="AC1162" s="118">
        <f>IFERROR(AA1162/'FA Addition'!$J1162*'FA Addition'!$L1162,0)</f>
        <v>0</v>
      </c>
      <c r="AE1162" s="117">
        <f>IF(AND('FA Addition'!$D1162&lt;$P$1+1,U1162=0),'FA Addition'!$L1162,0)-Y1162</f>
        <v>0</v>
      </c>
      <c r="AF1162" s="117">
        <f t="shared" si="90"/>
        <v>0</v>
      </c>
      <c r="AG1162" s="117">
        <f>MIN(MAX(+$P$1-'FA Addition'!$D1162,0),365*'FA Addition'!$O1162)</f>
        <v>0</v>
      </c>
      <c r="AH1162" s="117">
        <f>MIN(MAX($L$1-'FA Addition'!$D1162+1,0),365*'FA Addition'!$O1162)</f>
        <v>0</v>
      </c>
      <c r="AI1162" s="117" cm="1">
        <f t="array" ref="AI1162">_xlfn.XLOOKUP(1,('FA Write off'!A:A='FA Addition'!$A1162)*('FA Write off'!D:D=AA1162),'FA Write off'!H:H,0,0)</f>
        <v>0</v>
      </c>
      <c r="AJ1162" s="117">
        <f>IF(AC1162&gt;0,MAX(IF('FA Addition'!$N1162="SLM",($AC1162-'FA Addition'!$M1162)*'FA Addition'!$P1162*AI1162/365,(AC1162-'FA Addition'!$M1162)*(1-(1-'FA Addition'!$P1162)^(AI1162/365))),0),0)</f>
        <v>0</v>
      </c>
      <c r="AL1162" s="117">
        <f>MAX(IF(AG1162&gt;0,IF('FA Addition'!$N1162="SLM",($AE1162-'FA Addition'!$M1162)*'FA Addition'!$P1162*AG1162/365,IFERROR(VDB(AE1162,AE1162*0.05,'FA Addition'!$O1162,0,YEARFRAC('FA Addition'!$C1162,$P$1-1,3),'FA Addition'!$Q1162),FAAddition[[#This Row],[Original Cost (Rs)]]-FAAddition[[#This Row],[Salvage Value]])),0),0)</f>
        <v>0</v>
      </c>
      <c r="AM1162" s="119"/>
      <c r="AN1162" s="117">
        <f>MAX(IF(AH1162&gt;0,IF('FA Addition'!$N1162="SLM",($AF1162-'FA Addition'!$M1162)*'FA Addition'!$P1162*AH1162/365,IFERROR(VDB(AF1162,AF1162*0.05,'FA Addition'!$O1162,0,YEARFRAC('FA Addition'!$C1162,$L$1,3),'FA Addition'!$Q1162),FAAddition[[#This Row],[Original Cost (Rs)]]-FAAddition[[#This Row],[Salvage Value]])),0),0)</f>
        <v>0</v>
      </c>
      <c r="AO1162" s="117">
        <f t="shared" si="93"/>
        <v>0</v>
      </c>
      <c r="AQ1162" s="117">
        <f t="shared" si="91"/>
        <v>0</v>
      </c>
      <c r="AR1162" s="120">
        <f t="shared" si="92"/>
        <v>0</v>
      </c>
      <c r="AS1162" s="121"/>
    </row>
    <row r="1163" spans="1:45" ht="13.5" x14ac:dyDescent="0.4">
      <c r="A1163" s="12">
        <f t="shared" si="94"/>
        <v>1160</v>
      </c>
      <c r="B1163" s="64" t="s">
        <v>1758</v>
      </c>
      <c r="C1163" s="54">
        <v>45580</v>
      </c>
      <c r="D1163" s="54">
        <v>45580</v>
      </c>
      <c r="E1163" s="46" t="s">
        <v>207</v>
      </c>
      <c r="F1163" s="51" t="s">
        <v>1372</v>
      </c>
      <c r="G1163" s="51" t="s">
        <v>1728</v>
      </c>
      <c r="H1163" s="51" t="s">
        <v>848</v>
      </c>
      <c r="I1163" s="55" t="s">
        <v>1939</v>
      </c>
      <c r="J1163" s="56">
        <v>5</v>
      </c>
      <c r="K1163" s="51" t="s">
        <v>1941</v>
      </c>
      <c r="L1163" s="58">
        <v>1100</v>
      </c>
      <c r="M1163" s="50">
        <f>ROUND('FA Addition'!$L1163*5%,0.1)</f>
        <v>55</v>
      </c>
      <c r="N1163" s="113" t="str">
        <f>_xlfn.XLOOKUP(_xlfn.CONCAT(E1163,B1163),'Year Wise Master Dep Approach'!F:F,'Year Wise Master Dep Approach'!D:D)</f>
        <v>WDV</v>
      </c>
      <c r="O1163" s="113">
        <f>_xlfn.XLOOKUP(_xlfn.CONCAT(E1163,B1163),'Year Wise Master Dep Approach'!F:F,'Year Wise Master Dep Approach'!E:E)</f>
        <v>5</v>
      </c>
      <c r="P1163" s="114">
        <f>IFERROR(IF('FA Addition'!$N1163="WDV",1-('FA Addition'!$M1163/'FA Addition'!$L1163)^(1/'FA Addition'!$O1163),1/'FA Addition'!$O1163),0)</f>
        <v>0.45071972834694107</v>
      </c>
      <c r="Q1163" s="122">
        <f>'FA Addition'!$P1163*'FA Addition'!$O1163</f>
        <v>2.2535986417347056</v>
      </c>
      <c r="R1163" s="122"/>
      <c r="S1163" s="116">
        <f>IF(AND(DATE(20&amp;LEFT(FAAddition[[#This Row],[FY]],2),4,1)&lt;$L$1+1,DATE(20&amp;LEFT(FAAddition[[#This Row],[FY]],2),4,1)&gt;$P$1-1),'FA Addition'!$J1163,0)</f>
        <v>0</v>
      </c>
      <c r="U1163" s="117">
        <f>S1163*'FA Addition'!$L1163/'FA Addition'!$J1163</f>
        <v>0</v>
      </c>
      <c r="W1163" s="116">
        <f>SUMIFS('FA Write off'!D:D,'FA Write off'!A:A,'FA Addition'!$A1163,'FA Write off'!C:C,"&lt;"&amp;'FA Addition'!$P$1)</f>
        <v>0</v>
      </c>
      <c r="Y1163" s="191">
        <f>IFERROR(W1163/'FA Addition'!$J1163*'FA Addition'!$L1163,0)</f>
        <v>0</v>
      </c>
      <c r="AA1163" s="116">
        <f>SUMIFS('FA Write off'!D:D,'FA Write off'!A:A,'FA Addition'!$A1163,'FA Write off'!C:C,"&lt;"&amp;'FA Addition'!$L$1+1,'FA Write off'!C:C,"&gt;"&amp;'FA Addition'!$L$1-365)</f>
        <v>0</v>
      </c>
      <c r="AC1163" s="118">
        <f>IFERROR(AA1163/'FA Addition'!$J1163*'FA Addition'!$L1163,0)</f>
        <v>0</v>
      </c>
      <c r="AE1163" s="117">
        <f>IF(AND('FA Addition'!$D1163&lt;$P$1+1,U1163=0),'FA Addition'!$L1163,0)-Y1163</f>
        <v>0</v>
      </c>
      <c r="AF1163" s="117">
        <f t="shared" si="90"/>
        <v>0</v>
      </c>
      <c r="AG1163" s="117">
        <f>MIN(MAX(+$P$1-'FA Addition'!$D1163,0),365*'FA Addition'!$O1163)</f>
        <v>0</v>
      </c>
      <c r="AH1163" s="117">
        <f>MIN(MAX($L$1-'FA Addition'!$D1163+1,0),365*'FA Addition'!$O1163)</f>
        <v>0</v>
      </c>
      <c r="AI1163" s="117" cm="1">
        <f t="array" ref="AI1163">_xlfn.XLOOKUP(1,('FA Write off'!A:A='FA Addition'!$A1163)*('FA Write off'!D:D=AA1163),'FA Write off'!H:H,0,0)</f>
        <v>0</v>
      </c>
      <c r="AJ1163" s="117">
        <f>IF(AC1163&gt;0,MAX(IF('FA Addition'!$N1163="SLM",($AC1163-'FA Addition'!$M1163)*'FA Addition'!$P1163*AI1163/365,(AC1163-'FA Addition'!$M1163)*(1-(1-'FA Addition'!$P1163)^(AI1163/365))),0),0)</f>
        <v>0</v>
      </c>
      <c r="AL1163" s="117">
        <f>MAX(IF(AG1163&gt;0,IF('FA Addition'!$N1163="SLM",($AE1163-'FA Addition'!$M1163)*'FA Addition'!$P1163*AG1163/365,IFERROR(VDB(AE1163,AE1163*0.05,'FA Addition'!$O1163,0,YEARFRAC('FA Addition'!$C1163,$P$1-1,3),'FA Addition'!$Q1163),FAAddition[[#This Row],[Original Cost (Rs)]]-FAAddition[[#This Row],[Salvage Value]])),0),0)</f>
        <v>0</v>
      </c>
      <c r="AM1163" s="119"/>
      <c r="AN1163" s="117">
        <f>MAX(IF(AH1163&gt;0,IF('FA Addition'!$N1163="SLM",($AF1163-'FA Addition'!$M1163)*'FA Addition'!$P1163*AH1163/365,IFERROR(VDB(AF1163,AF1163*0.05,'FA Addition'!$O1163,0,YEARFRAC('FA Addition'!$C1163,$L$1,3),'FA Addition'!$Q1163),FAAddition[[#This Row],[Original Cost (Rs)]]-FAAddition[[#This Row],[Salvage Value]])),0),0)</f>
        <v>0</v>
      </c>
      <c r="AO1163" s="117">
        <f t="shared" si="93"/>
        <v>0</v>
      </c>
      <c r="AQ1163" s="117">
        <f t="shared" si="91"/>
        <v>0</v>
      </c>
      <c r="AR1163" s="120">
        <f t="shared" si="92"/>
        <v>0</v>
      </c>
      <c r="AS1163" s="121"/>
    </row>
    <row r="1164" spans="1:45" ht="13.5" x14ac:dyDescent="0.4">
      <c r="A1164" s="12">
        <f t="shared" si="94"/>
        <v>1161</v>
      </c>
      <c r="B1164" s="64" t="s">
        <v>1758</v>
      </c>
      <c r="C1164" s="54">
        <v>45580</v>
      </c>
      <c r="D1164" s="54">
        <v>45580</v>
      </c>
      <c r="E1164" s="46" t="s">
        <v>207</v>
      </c>
      <c r="F1164" s="51" t="s">
        <v>1372</v>
      </c>
      <c r="G1164" s="51" t="s">
        <v>1728</v>
      </c>
      <c r="H1164" s="51" t="s">
        <v>207</v>
      </c>
      <c r="I1164" s="55" t="s">
        <v>1939</v>
      </c>
      <c r="J1164" s="56">
        <v>1</v>
      </c>
      <c r="K1164" s="51" t="s">
        <v>1942</v>
      </c>
      <c r="L1164" s="58">
        <v>17600</v>
      </c>
      <c r="M1164" s="50">
        <f>ROUND('FA Addition'!$L1164*5%,0.1)</f>
        <v>880</v>
      </c>
      <c r="N1164" s="113" t="str">
        <f>_xlfn.XLOOKUP(_xlfn.CONCAT(E1164,B1164),'Year Wise Master Dep Approach'!F:F,'Year Wise Master Dep Approach'!D:D)</f>
        <v>WDV</v>
      </c>
      <c r="O1164" s="113">
        <f>_xlfn.XLOOKUP(_xlfn.CONCAT(E1164,B1164),'Year Wise Master Dep Approach'!F:F,'Year Wise Master Dep Approach'!E:E)</f>
        <v>5</v>
      </c>
      <c r="P1164" s="114">
        <f>IFERROR(IF('FA Addition'!$N1164="WDV",1-('FA Addition'!$M1164/'FA Addition'!$L1164)^(1/'FA Addition'!$O1164),1/'FA Addition'!$O1164),0)</f>
        <v>0.45071972834694107</v>
      </c>
      <c r="Q1164" s="122">
        <f>'FA Addition'!$P1164*'FA Addition'!$O1164</f>
        <v>2.2535986417347056</v>
      </c>
      <c r="R1164" s="122"/>
      <c r="S1164" s="116">
        <f>IF(AND(DATE(20&amp;LEFT(FAAddition[[#This Row],[FY]],2),4,1)&lt;$L$1+1,DATE(20&amp;LEFT(FAAddition[[#This Row],[FY]],2),4,1)&gt;$P$1-1),'FA Addition'!$J1164,0)</f>
        <v>0</v>
      </c>
      <c r="U1164" s="117">
        <f>S1164*'FA Addition'!$L1164/'FA Addition'!$J1164</f>
        <v>0</v>
      </c>
      <c r="W1164" s="116">
        <f>SUMIFS('FA Write off'!D:D,'FA Write off'!A:A,'FA Addition'!$A1164,'FA Write off'!C:C,"&lt;"&amp;'FA Addition'!$P$1)</f>
        <v>0</v>
      </c>
      <c r="Y1164" s="191">
        <f>IFERROR(W1164/'FA Addition'!$J1164*'FA Addition'!$L1164,0)</f>
        <v>0</v>
      </c>
      <c r="AA1164" s="116">
        <f>SUMIFS('FA Write off'!D:D,'FA Write off'!A:A,'FA Addition'!$A1164,'FA Write off'!C:C,"&lt;"&amp;'FA Addition'!$L$1+1,'FA Write off'!C:C,"&gt;"&amp;'FA Addition'!$L$1-365)</f>
        <v>0</v>
      </c>
      <c r="AC1164" s="118">
        <f>IFERROR(AA1164/'FA Addition'!$J1164*'FA Addition'!$L1164,0)</f>
        <v>0</v>
      </c>
      <c r="AE1164" s="117">
        <f>IF(AND('FA Addition'!$D1164&lt;$P$1+1,U1164=0),'FA Addition'!$L1164,0)-Y1164</f>
        <v>0</v>
      </c>
      <c r="AF1164" s="117">
        <f t="shared" si="90"/>
        <v>0</v>
      </c>
      <c r="AG1164" s="117">
        <f>MIN(MAX(+$P$1-'FA Addition'!$D1164,0),365*'FA Addition'!$O1164)</f>
        <v>0</v>
      </c>
      <c r="AH1164" s="117">
        <f>MIN(MAX($L$1-'FA Addition'!$D1164+1,0),365*'FA Addition'!$O1164)</f>
        <v>0</v>
      </c>
      <c r="AI1164" s="117" cm="1">
        <f t="array" ref="AI1164">_xlfn.XLOOKUP(1,('FA Write off'!A:A='FA Addition'!$A1164)*('FA Write off'!D:D=AA1164),'FA Write off'!H:H,0,0)</f>
        <v>0</v>
      </c>
      <c r="AJ1164" s="117">
        <f>IF(AC1164&gt;0,MAX(IF('FA Addition'!$N1164="SLM",($AC1164-'FA Addition'!$M1164)*'FA Addition'!$P1164*AI1164/365,(AC1164-'FA Addition'!$M1164)*(1-(1-'FA Addition'!$P1164)^(AI1164/365))),0),0)</f>
        <v>0</v>
      </c>
      <c r="AL1164" s="117">
        <f>MAX(IF(AG1164&gt;0,IF('FA Addition'!$N1164="SLM",($AE1164-'FA Addition'!$M1164)*'FA Addition'!$P1164*AG1164/365,IFERROR(VDB(AE1164,AE1164*0.05,'FA Addition'!$O1164,0,YEARFRAC('FA Addition'!$C1164,$P$1-1,3),'FA Addition'!$Q1164),FAAddition[[#This Row],[Original Cost (Rs)]]-FAAddition[[#This Row],[Salvage Value]])),0),0)</f>
        <v>0</v>
      </c>
      <c r="AM1164" s="119"/>
      <c r="AN1164" s="117">
        <f>MAX(IF(AH1164&gt;0,IF('FA Addition'!$N1164="SLM",($AF1164-'FA Addition'!$M1164)*'FA Addition'!$P1164*AH1164/365,IFERROR(VDB(AF1164,AF1164*0.05,'FA Addition'!$O1164,0,YEARFRAC('FA Addition'!$C1164,$L$1,3),'FA Addition'!$Q1164),FAAddition[[#This Row],[Original Cost (Rs)]]-FAAddition[[#This Row],[Salvage Value]])),0),0)</f>
        <v>0</v>
      </c>
      <c r="AO1164" s="117">
        <f t="shared" si="93"/>
        <v>0</v>
      </c>
      <c r="AQ1164" s="117">
        <f t="shared" si="91"/>
        <v>0</v>
      </c>
      <c r="AR1164" s="120">
        <f t="shared" si="92"/>
        <v>0</v>
      </c>
      <c r="AS1164" s="121"/>
    </row>
    <row r="1165" spans="1:45" ht="13.5" x14ac:dyDescent="0.4">
      <c r="A1165" s="12">
        <f t="shared" si="94"/>
        <v>1162</v>
      </c>
      <c r="B1165" s="64" t="s">
        <v>1758</v>
      </c>
      <c r="C1165" s="54">
        <v>45580</v>
      </c>
      <c r="D1165" s="54">
        <v>45580</v>
      </c>
      <c r="E1165" s="46" t="s">
        <v>207</v>
      </c>
      <c r="F1165" s="51" t="s">
        <v>1372</v>
      </c>
      <c r="G1165" s="51" t="s">
        <v>1728</v>
      </c>
      <c r="H1165" s="51" t="s">
        <v>207</v>
      </c>
      <c r="I1165" s="55" t="s">
        <v>1939</v>
      </c>
      <c r="J1165" s="56">
        <v>1</v>
      </c>
      <c r="K1165" s="51" t="s">
        <v>1943</v>
      </c>
      <c r="L1165" s="58">
        <v>10540</v>
      </c>
      <c r="M1165" s="50">
        <f>ROUND('FA Addition'!$L1165*5%,0.1)</f>
        <v>527</v>
      </c>
      <c r="N1165" s="113" t="str">
        <f>_xlfn.XLOOKUP(_xlfn.CONCAT(E1165,B1165),'Year Wise Master Dep Approach'!F:F,'Year Wise Master Dep Approach'!D:D)</f>
        <v>WDV</v>
      </c>
      <c r="O1165" s="113">
        <f>_xlfn.XLOOKUP(_xlfn.CONCAT(E1165,B1165),'Year Wise Master Dep Approach'!F:F,'Year Wise Master Dep Approach'!E:E)</f>
        <v>5</v>
      </c>
      <c r="P1165" s="114">
        <f>IFERROR(IF('FA Addition'!$N1165="WDV",1-('FA Addition'!$M1165/'FA Addition'!$L1165)^(1/'FA Addition'!$O1165),1/'FA Addition'!$O1165),0)</f>
        <v>0.45071972834694107</v>
      </c>
      <c r="Q1165" s="122">
        <f>'FA Addition'!$P1165*'FA Addition'!$O1165</f>
        <v>2.2535986417347056</v>
      </c>
      <c r="R1165" s="122"/>
      <c r="S1165" s="116">
        <f>IF(AND(DATE(20&amp;LEFT(FAAddition[[#This Row],[FY]],2),4,1)&lt;$L$1+1,DATE(20&amp;LEFT(FAAddition[[#This Row],[FY]],2),4,1)&gt;$P$1-1),'FA Addition'!$J1165,0)</f>
        <v>0</v>
      </c>
      <c r="U1165" s="117">
        <f>S1165*'FA Addition'!$L1165/'FA Addition'!$J1165</f>
        <v>0</v>
      </c>
      <c r="W1165" s="116">
        <f>SUMIFS('FA Write off'!D:D,'FA Write off'!A:A,'FA Addition'!$A1165,'FA Write off'!C:C,"&lt;"&amp;'FA Addition'!$P$1)</f>
        <v>0</v>
      </c>
      <c r="Y1165" s="191">
        <f>IFERROR(W1165/'FA Addition'!$J1165*'FA Addition'!$L1165,0)</f>
        <v>0</v>
      </c>
      <c r="AA1165" s="116">
        <f>SUMIFS('FA Write off'!D:D,'FA Write off'!A:A,'FA Addition'!$A1165,'FA Write off'!C:C,"&lt;"&amp;'FA Addition'!$L$1+1,'FA Write off'!C:C,"&gt;"&amp;'FA Addition'!$L$1-365)</f>
        <v>0</v>
      </c>
      <c r="AC1165" s="118">
        <f>IFERROR(AA1165/'FA Addition'!$J1165*'FA Addition'!$L1165,0)</f>
        <v>0</v>
      </c>
      <c r="AE1165" s="117">
        <f>IF(AND('FA Addition'!$D1165&lt;$P$1+1,U1165=0),'FA Addition'!$L1165,0)-Y1165</f>
        <v>0</v>
      </c>
      <c r="AF1165" s="117">
        <f t="shared" si="90"/>
        <v>0</v>
      </c>
      <c r="AG1165" s="117">
        <f>MIN(MAX(+$P$1-'FA Addition'!$D1165,0),365*'FA Addition'!$O1165)</f>
        <v>0</v>
      </c>
      <c r="AH1165" s="117">
        <f>MIN(MAX($L$1-'FA Addition'!$D1165+1,0),365*'FA Addition'!$O1165)</f>
        <v>0</v>
      </c>
      <c r="AI1165" s="117" cm="1">
        <f t="array" ref="AI1165">_xlfn.XLOOKUP(1,('FA Write off'!A:A='FA Addition'!$A1165)*('FA Write off'!D:D=AA1165),'FA Write off'!H:H,0,0)</f>
        <v>0</v>
      </c>
      <c r="AJ1165" s="117">
        <f>IF(AC1165&gt;0,MAX(IF('FA Addition'!$N1165="SLM",($AC1165-'FA Addition'!$M1165)*'FA Addition'!$P1165*AI1165/365,(AC1165-'FA Addition'!$M1165)*(1-(1-'FA Addition'!$P1165)^(AI1165/365))),0),0)</f>
        <v>0</v>
      </c>
      <c r="AL1165" s="117">
        <f>MAX(IF(AG1165&gt;0,IF('FA Addition'!$N1165="SLM",($AE1165-'FA Addition'!$M1165)*'FA Addition'!$P1165*AG1165/365,IFERROR(VDB(AE1165,AE1165*0.05,'FA Addition'!$O1165,0,YEARFRAC('FA Addition'!$C1165,$P$1-1,3),'FA Addition'!$Q1165),FAAddition[[#This Row],[Original Cost (Rs)]]-FAAddition[[#This Row],[Salvage Value]])),0),0)</f>
        <v>0</v>
      </c>
      <c r="AM1165" s="119"/>
      <c r="AN1165" s="117">
        <f>MAX(IF(AH1165&gt;0,IF('FA Addition'!$N1165="SLM",($AF1165-'FA Addition'!$M1165)*'FA Addition'!$P1165*AH1165/365,IFERROR(VDB(AF1165,AF1165*0.05,'FA Addition'!$O1165,0,YEARFRAC('FA Addition'!$C1165,$L$1,3),'FA Addition'!$Q1165),FAAddition[[#This Row],[Original Cost (Rs)]]-FAAddition[[#This Row],[Salvage Value]])),0),0)</f>
        <v>0</v>
      </c>
      <c r="AO1165" s="117">
        <f t="shared" si="93"/>
        <v>0</v>
      </c>
      <c r="AQ1165" s="117">
        <f t="shared" si="91"/>
        <v>0</v>
      </c>
      <c r="AR1165" s="120">
        <f t="shared" si="92"/>
        <v>0</v>
      </c>
      <c r="AS1165" s="121"/>
    </row>
    <row r="1166" spans="1:45" ht="13.5" x14ac:dyDescent="0.4">
      <c r="A1166" s="12">
        <f t="shared" si="94"/>
        <v>1163</v>
      </c>
      <c r="B1166" s="64" t="s">
        <v>1758</v>
      </c>
      <c r="C1166" s="54">
        <v>45580</v>
      </c>
      <c r="D1166" s="54">
        <v>45580</v>
      </c>
      <c r="E1166" s="46" t="s">
        <v>207</v>
      </c>
      <c r="F1166" s="51" t="s">
        <v>1372</v>
      </c>
      <c r="G1166" s="51" t="s">
        <v>1728</v>
      </c>
      <c r="H1166" s="51" t="s">
        <v>848</v>
      </c>
      <c r="I1166" s="55" t="s">
        <v>1939</v>
      </c>
      <c r="J1166" s="56">
        <v>1</v>
      </c>
      <c r="K1166" s="51" t="s">
        <v>1944</v>
      </c>
      <c r="L1166" s="58">
        <v>100</v>
      </c>
      <c r="M1166" s="50">
        <f>ROUND('FA Addition'!$L1166*5%,0.1)</f>
        <v>5</v>
      </c>
      <c r="N1166" s="113" t="str">
        <f>_xlfn.XLOOKUP(_xlfn.CONCAT(E1166,B1166),'Year Wise Master Dep Approach'!F:F,'Year Wise Master Dep Approach'!D:D)</f>
        <v>WDV</v>
      </c>
      <c r="O1166" s="113">
        <f>_xlfn.XLOOKUP(_xlfn.CONCAT(E1166,B1166),'Year Wise Master Dep Approach'!F:F,'Year Wise Master Dep Approach'!E:E)</f>
        <v>5</v>
      </c>
      <c r="P1166" s="114">
        <f>IFERROR(IF('FA Addition'!$N1166="WDV",1-('FA Addition'!$M1166/'FA Addition'!$L1166)^(1/'FA Addition'!$O1166),1/'FA Addition'!$O1166),0)</f>
        <v>0.45071972834694107</v>
      </c>
      <c r="Q1166" s="122">
        <f>'FA Addition'!$P1166*'FA Addition'!$O1166</f>
        <v>2.2535986417347056</v>
      </c>
      <c r="R1166" s="122"/>
      <c r="S1166" s="116">
        <f>IF(AND(DATE(20&amp;LEFT(FAAddition[[#This Row],[FY]],2),4,1)&lt;$L$1+1,DATE(20&amp;LEFT(FAAddition[[#This Row],[FY]],2),4,1)&gt;$P$1-1),'FA Addition'!$J1166,0)</f>
        <v>0</v>
      </c>
      <c r="U1166" s="117">
        <f>S1166*'FA Addition'!$L1166/'FA Addition'!$J1166</f>
        <v>0</v>
      </c>
      <c r="W1166" s="116">
        <f>SUMIFS('FA Write off'!D:D,'FA Write off'!A:A,'FA Addition'!$A1166,'FA Write off'!C:C,"&lt;"&amp;'FA Addition'!$P$1)</f>
        <v>0</v>
      </c>
      <c r="Y1166" s="191">
        <f>IFERROR(W1166/'FA Addition'!$J1166*'FA Addition'!$L1166,0)</f>
        <v>0</v>
      </c>
      <c r="AA1166" s="116">
        <f>SUMIFS('FA Write off'!D:D,'FA Write off'!A:A,'FA Addition'!$A1166,'FA Write off'!C:C,"&lt;"&amp;'FA Addition'!$L$1+1,'FA Write off'!C:C,"&gt;"&amp;'FA Addition'!$L$1-365)</f>
        <v>0</v>
      </c>
      <c r="AC1166" s="118">
        <f>IFERROR(AA1166/'FA Addition'!$J1166*'FA Addition'!$L1166,0)</f>
        <v>0</v>
      </c>
      <c r="AE1166" s="117">
        <f>IF(AND('FA Addition'!$D1166&lt;$P$1+1,U1166=0),'FA Addition'!$L1166,0)-Y1166</f>
        <v>0</v>
      </c>
      <c r="AF1166" s="117">
        <f t="shared" si="90"/>
        <v>0</v>
      </c>
      <c r="AG1166" s="117">
        <f>MIN(MAX(+$P$1-'FA Addition'!$D1166,0),365*'FA Addition'!$O1166)</f>
        <v>0</v>
      </c>
      <c r="AH1166" s="117">
        <f>MIN(MAX($L$1-'FA Addition'!$D1166+1,0),365*'FA Addition'!$O1166)</f>
        <v>0</v>
      </c>
      <c r="AI1166" s="117" cm="1">
        <f t="array" ref="AI1166">_xlfn.XLOOKUP(1,('FA Write off'!A:A='FA Addition'!$A1166)*('FA Write off'!D:D=AA1166),'FA Write off'!H:H,0,0)</f>
        <v>0</v>
      </c>
      <c r="AJ1166" s="117">
        <f>IF(AC1166&gt;0,MAX(IF('FA Addition'!$N1166="SLM",($AC1166-'FA Addition'!$M1166)*'FA Addition'!$P1166*AI1166/365,(AC1166-'FA Addition'!$M1166)*(1-(1-'FA Addition'!$P1166)^(AI1166/365))),0),0)</f>
        <v>0</v>
      </c>
      <c r="AL1166" s="117">
        <f>MAX(IF(AG1166&gt;0,IF('FA Addition'!$N1166="SLM",($AE1166-'FA Addition'!$M1166)*'FA Addition'!$P1166*AG1166/365,IFERROR(VDB(AE1166,AE1166*0.05,'FA Addition'!$O1166,0,YEARFRAC('FA Addition'!$C1166,$P$1-1,3),'FA Addition'!$Q1166),FAAddition[[#This Row],[Original Cost (Rs)]]-FAAddition[[#This Row],[Salvage Value]])),0),0)</f>
        <v>0</v>
      </c>
      <c r="AM1166" s="119"/>
      <c r="AN1166" s="117">
        <f>MAX(IF(AH1166&gt;0,IF('FA Addition'!$N1166="SLM",($AF1166-'FA Addition'!$M1166)*'FA Addition'!$P1166*AH1166/365,IFERROR(VDB(AF1166,AF1166*0.05,'FA Addition'!$O1166,0,YEARFRAC('FA Addition'!$C1166,$L$1,3),'FA Addition'!$Q1166),FAAddition[[#This Row],[Original Cost (Rs)]]-FAAddition[[#This Row],[Salvage Value]])),0),0)</f>
        <v>0</v>
      </c>
      <c r="AO1166" s="117">
        <f t="shared" si="93"/>
        <v>0</v>
      </c>
      <c r="AQ1166" s="117">
        <f t="shared" si="91"/>
        <v>0</v>
      </c>
      <c r="AR1166" s="120">
        <f t="shared" si="92"/>
        <v>0</v>
      </c>
      <c r="AS1166" s="121"/>
    </row>
    <row r="1167" spans="1:45" ht="13.5" x14ac:dyDescent="0.4">
      <c r="A1167" s="12">
        <f t="shared" si="94"/>
        <v>1164</v>
      </c>
      <c r="B1167" s="64" t="s">
        <v>1758</v>
      </c>
      <c r="C1167" s="54">
        <v>45580</v>
      </c>
      <c r="D1167" s="54">
        <v>45580</v>
      </c>
      <c r="E1167" s="46" t="s">
        <v>207</v>
      </c>
      <c r="F1167" s="51" t="s">
        <v>1372</v>
      </c>
      <c r="G1167" s="51" t="s">
        <v>1728</v>
      </c>
      <c r="H1167" s="51" t="s">
        <v>848</v>
      </c>
      <c r="I1167" s="55" t="s">
        <v>1939</v>
      </c>
      <c r="J1167" s="56">
        <v>1</v>
      </c>
      <c r="K1167" s="51" t="s">
        <v>1945</v>
      </c>
      <c r="L1167" s="58">
        <v>1000</v>
      </c>
      <c r="M1167" s="50">
        <f>ROUND('FA Addition'!$L1167*5%,0.1)</f>
        <v>50</v>
      </c>
      <c r="N1167" s="113" t="str">
        <f>_xlfn.XLOOKUP(_xlfn.CONCAT(E1167,B1167),'Year Wise Master Dep Approach'!F:F,'Year Wise Master Dep Approach'!D:D)</f>
        <v>WDV</v>
      </c>
      <c r="O1167" s="113">
        <f>_xlfn.XLOOKUP(_xlfn.CONCAT(E1167,B1167),'Year Wise Master Dep Approach'!F:F,'Year Wise Master Dep Approach'!E:E)</f>
        <v>5</v>
      </c>
      <c r="P1167" s="114">
        <f>IFERROR(IF('FA Addition'!$N1167="WDV",1-('FA Addition'!$M1167/'FA Addition'!$L1167)^(1/'FA Addition'!$O1167),1/'FA Addition'!$O1167),0)</f>
        <v>0.45071972834694107</v>
      </c>
      <c r="Q1167" s="122">
        <f>'FA Addition'!$P1167*'FA Addition'!$O1167</f>
        <v>2.2535986417347056</v>
      </c>
      <c r="R1167" s="122"/>
      <c r="S1167" s="116">
        <f>IF(AND(DATE(20&amp;LEFT(FAAddition[[#This Row],[FY]],2),4,1)&lt;$L$1+1,DATE(20&amp;LEFT(FAAddition[[#This Row],[FY]],2),4,1)&gt;$P$1-1),'FA Addition'!$J1167,0)</f>
        <v>0</v>
      </c>
      <c r="U1167" s="117">
        <f>S1167*'FA Addition'!$L1167/'FA Addition'!$J1167</f>
        <v>0</v>
      </c>
      <c r="W1167" s="116">
        <f>SUMIFS('FA Write off'!D:D,'FA Write off'!A:A,'FA Addition'!$A1167,'FA Write off'!C:C,"&lt;"&amp;'FA Addition'!$P$1)</f>
        <v>0</v>
      </c>
      <c r="Y1167" s="191">
        <f>IFERROR(W1167/'FA Addition'!$J1167*'FA Addition'!$L1167,0)</f>
        <v>0</v>
      </c>
      <c r="AA1167" s="116">
        <f>SUMIFS('FA Write off'!D:D,'FA Write off'!A:A,'FA Addition'!$A1167,'FA Write off'!C:C,"&lt;"&amp;'FA Addition'!$L$1+1,'FA Write off'!C:C,"&gt;"&amp;'FA Addition'!$L$1-365)</f>
        <v>0</v>
      </c>
      <c r="AC1167" s="118">
        <f>IFERROR(AA1167/'FA Addition'!$J1167*'FA Addition'!$L1167,0)</f>
        <v>0</v>
      </c>
      <c r="AE1167" s="117">
        <f>IF(AND('FA Addition'!$D1167&lt;$P$1+1,U1167=0),'FA Addition'!$L1167,0)-Y1167</f>
        <v>0</v>
      </c>
      <c r="AF1167" s="117">
        <f t="shared" si="90"/>
        <v>0</v>
      </c>
      <c r="AG1167" s="117">
        <f>MIN(MAX(+$P$1-'FA Addition'!$D1167,0),365*'FA Addition'!$O1167)</f>
        <v>0</v>
      </c>
      <c r="AH1167" s="117">
        <f>MIN(MAX($L$1-'FA Addition'!$D1167+1,0),365*'FA Addition'!$O1167)</f>
        <v>0</v>
      </c>
      <c r="AI1167" s="117" cm="1">
        <f t="array" ref="AI1167">_xlfn.XLOOKUP(1,('FA Write off'!A:A='FA Addition'!$A1167)*('FA Write off'!D:D=AA1167),'FA Write off'!H:H,0,0)</f>
        <v>0</v>
      </c>
      <c r="AJ1167" s="117">
        <f>IF(AC1167&gt;0,MAX(IF('FA Addition'!$N1167="SLM",($AC1167-'FA Addition'!$M1167)*'FA Addition'!$P1167*AI1167/365,(AC1167-'FA Addition'!$M1167)*(1-(1-'FA Addition'!$P1167)^(AI1167/365))),0),0)</f>
        <v>0</v>
      </c>
      <c r="AL1167" s="117">
        <f>MAX(IF(AG1167&gt;0,IF('FA Addition'!$N1167="SLM",($AE1167-'FA Addition'!$M1167)*'FA Addition'!$P1167*AG1167/365,IFERROR(VDB(AE1167,AE1167*0.05,'FA Addition'!$O1167,0,YEARFRAC('FA Addition'!$C1167,$P$1-1,3),'FA Addition'!$Q1167),FAAddition[[#This Row],[Original Cost (Rs)]]-FAAddition[[#This Row],[Salvage Value]])),0),0)</f>
        <v>0</v>
      </c>
      <c r="AM1167" s="119"/>
      <c r="AN1167" s="117">
        <f>MAX(IF(AH1167&gt;0,IF('FA Addition'!$N1167="SLM",($AF1167-'FA Addition'!$M1167)*'FA Addition'!$P1167*AH1167/365,IFERROR(VDB(AF1167,AF1167*0.05,'FA Addition'!$O1167,0,YEARFRAC('FA Addition'!$C1167,$L$1,3),'FA Addition'!$Q1167),FAAddition[[#This Row],[Original Cost (Rs)]]-FAAddition[[#This Row],[Salvage Value]])),0),0)</f>
        <v>0</v>
      </c>
      <c r="AO1167" s="117">
        <f t="shared" si="93"/>
        <v>0</v>
      </c>
      <c r="AQ1167" s="117">
        <f t="shared" si="91"/>
        <v>0</v>
      </c>
      <c r="AR1167" s="120">
        <f t="shared" si="92"/>
        <v>0</v>
      </c>
      <c r="AS1167" s="121"/>
    </row>
    <row r="1168" spans="1:45" ht="13.5" x14ac:dyDescent="0.4">
      <c r="A1168" s="12">
        <f t="shared" si="94"/>
        <v>1165</v>
      </c>
      <c r="B1168" s="64" t="s">
        <v>1758</v>
      </c>
      <c r="C1168" s="54">
        <v>45580</v>
      </c>
      <c r="D1168" s="54">
        <v>45580</v>
      </c>
      <c r="E1168" s="46" t="s">
        <v>207</v>
      </c>
      <c r="F1168" s="51" t="s">
        <v>1372</v>
      </c>
      <c r="G1168" s="51" t="s">
        <v>1728</v>
      </c>
      <c r="H1168" s="51" t="s">
        <v>848</v>
      </c>
      <c r="I1168" s="55" t="s">
        <v>1939</v>
      </c>
      <c r="J1168" s="56">
        <v>1</v>
      </c>
      <c r="K1168" s="51" t="s">
        <v>1945</v>
      </c>
      <c r="L1168" s="58">
        <v>1000</v>
      </c>
      <c r="M1168" s="50">
        <f>ROUND('FA Addition'!$L1168*5%,0.1)</f>
        <v>50</v>
      </c>
      <c r="N1168" s="113" t="str">
        <f>_xlfn.XLOOKUP(_xlfn.CONCAT(E1168,B1168),'Year Wise Master Dep Approach'!F:F,'Year Wise Master Dep Approach'!D:D)</f>
        <v>WDV</v>
      </c>
      <c r="O1168" s="113">
        <f>_xlfn.XLOOKUP(_xlfn.CONCAT(E1168,B1168),'Year Wise Master Dep Approach'!F:F,'Year Wise Master Dep Approach'!E:E)</f>
        <v>5</v>
      </c>
      <c r="P1168" s="114">
        <f>IFERROR(IF('FA Addition'!$N1168="WDV",1-('FA Addition'!$M1168/'FA Addition'!$L1168)^(1/'FA Addition'!$O1168),1/'FA Addition'!$O1168),0)</f>
        <v>0.45071972834694107</v>
      </c>
      <c r="Q1168" s="122">
        <f>'FA Addition'!$P1168*'FA Addition'!$O1168</f>
        <v>2.2535986417347056</v>
      </c>
      <c r="R1168" s="122"/>
      <c r="S1168" s="116">
        <f>IF(AND(DATE(20&amp;LEFT(FAAddition[[#This Row],[FY]],2),4,1)&lt;$L$1+1,DATE(20&amp;LEFT(FAAddition[[#This Row],[FY]],2),4,1)&gt;$P$1-1),'FA Addition'!$J1168,0)</f>
        <v>0</v>
      </c>
      <c r="U1168" s="117">
        <f>S1168*'FA Addition'!$L1168/'FA Addition'!$J1168</f>
        <v>0</v>
      </c>
      <c r="W1168" s="116">
        <f>SUMIFS('FA Write off'!D:D,'FA Write off'!A:A,'FA Addition'!$A1168,'FA Write off'!C:C,"&lt;"&amp;'FA Addition'!$P$1)</f>
        <v>0</v>
      </c>
      <c r="Y1168" s="191">
        <f>IFERROR(W1168/'FA Addition'!$J1168*'FA Addition'!$L1168,0)</f>
        <v>0</v>
      </c>
      <c r="AA1168" s="116">
        <f>SUMIFS('FA Write off'!D:D,'FA Write off'!A:A,'FA Addition'!$A1168,'FA Write off'!C:C,"&lt;"&amp;'FA Addition'!$L$1+1,'FA Write off'!C:C,"&gt;"&amp;'FA Addition'!$L$1-365)</f>
        <v>0</v>
      </c>
      <c r="AC1168" s="118">
        <f>IFERROR(AA1168/'FA Addition'!$J1168*'FA Addition'!$L1168,0)</f>
        <v>0</v>
      </c>
      <c r="AE1168" s="117">
        <f>IF(AND('FA Addition'!$D1168&lt;$P$1+1,U1168=0),'FA Addition'!$L1168,0)-Y1168</f>
        <v>0</v>
      </c>
      <c r="AF1168" s="117">
        <f t="shared" si="90"/>
        <v>0</v>
      </c>
      <c r="AG1168" s="117">
        <f>MIN(MAX(+$P$1-'FA Addition'!$D1168,0),365*'FA Addition'!$O1168)</f>
        <v>0</v>
      </c>
      <c r="AH1168" s="117">
        <f>MIN(MAX($L$1-'FA Addition'!$D1168+1,0),365*'FA Addition'!$O1168)</f>
        <v>0</v>
      </c>
      <c r="AI1168" s="117" cm="1">
        <f t="array" ref="AI1168">_xlfn.XLOOKUP(1,('FA Write off'!A:A='FA Addition'!$A1168)*('FA Write off'!D:D=AA1168),'FA Write off'!H:H,0,0)</f>
        <v>0</v>
      </c>
      <c r="AJ1168" s="117">
        <f>IF(AC1168&gt;0,MAX(IF('FA Addition'!$N1168="SLM",($AC1168-'FA Addition'!$M1168)*'FA Addition'!$P1168*AI1168/365,(AC1168-'FA Addition'!$M1168)*(1-(1-'FA Addition'!$P1168)^(AI1168/365))),0),0)</f>
        <v>0</v>
      </c>
      <c r="AL1168" s="117">
        <f>MAX(IF(AG1168&gt;0,IF('FA Addition'!$N1168="SLM",($AE1168-'FA Addition'!$M1168)*'FA Addition'!$P1168*AG1168/365,IFERROR(VDB(AE1168,AE1168*0.05,'FA Addition'!$O1168,0,YEARFRAC('FA Addition'!$C1168,$P$1-1,3),'FA Addition'!$Q1168),FAAddition[[#This Row],[Original Cost (Rs)]]-FAAddition[[#This Row],[Salvage Value]])),0),0)</f>
        <v>0</v>
      </c>
      <c r="AM1168" s="119"/>
      <c r="AN1168" s="117">
        <f>MAX(IF(AH1168&gt;0,IF('FA Addition'!$N1168="SLM",($AF1168-'FA Addition'!$M1168)*'FA Addition'!$P1168*AH1168/365,IFERROR(VDB(AF1168,AF1168*0.05,'FA Addition'!$O1168,0,YEARFRAC('FA Addition'!$C1168,$L$1,3),'FA Addition'!$Q1168),FAAddition[[#This Row],[Original Cost (Rs)]]-FAAddition[[#This Row],[Salvage Value]])),0),0)</f>
        <v>0</v>
      </c>
      <c r="AO1168" s="117">
        <f t="shared" si="93"/>
        <v>0</v>
      </c>
      <c r="AQ1168" s="117">
        <f t="shared" si="91"/>
        <v>0</v>
      </c>
      <c r="AR1168" s="120">
        <f t="shared" si="92"/>
        <v>0</v>
      </c>
      <c r="AS1168" s="121"/>
    </row>
    <row r="1169" spans="1:45" ht="13.5" x14ac:dyDescent="0.4">
      <c r="A1169" s="12">
        <f t="shared" si="94"/>
        <v>1166</v>
      </c>
      <c r="B1169" s="64" t="s">
        <v>1758</v>
      </c>
      <c r="C1169" s="54">
        <v>45580</v>
      </c>
      <c r="D1169" s="54">
        <v>45580</v>
      </c>
      <c r="E1169" s="46" t="s">
        <v>207</v>
      </c>
      <c r="F1169" s="51" t="s">
        <v>1372</v>
      </c>
      <c r="G1169" s="51" t="s">
        <v>1728</v>
      </c>
      <c r="H1169" s="51" t="s">
        <v>848</v>
      </c>
      <c r="I1169" s="55" t="s">
        <v>1939</v>
      </c>
      <c r="J1169" s="56">
        <v>1</v>
      </c>
      <c r="K1169" s="51" t="s">
        <v>1946</v>
      </c>
      <c r="L1169" s="58">
        <v>2500</v>
      </c>
      <c r="M1169" s="50">
        <f>ROUND('FA Addition'!$L1169*5%,0.1)</f>
        <v>125</v>
      </c>
      <c r="N1169" s="113" t="str">
        <f>_xlfn.XLOOKUP(_xlfn.CONCAT(E1169,B1169),'Year Wise Master Dep Approach'!F:F,'Year Wise Master Dep Approach'!D:D)</f>
        <v>WDV</v>
      </c>
      <c r="O1169" s="113">
        <f>_xlfn.XLOOKUP(_xlfn.CONCAT(E1169,B1169),'Year Wise Master Dep Approach'!F:F,'Year Wise Master Dep Approach'!E:E)</f>
        <v>5</v>
      </c>
      <c r="P1169" s="114">
        <f>IFERROR(IF('FA Addition'!$N1169="WDV",1-('FA Addition'!$M1169/'FA Addition'!$L1169)^(1/'FA Addition'!$O1169),1/'FA Addition'!$O1169),0)</f>
        <v>0.45071972834694107</v>
      </c>
      <c r="Q1169" s="122">
        <f>'FA Addition'!$P1169*'FA Addition'!$O1169</f>
        <v>2.2535986417347056</v>
      </c>
      <c r="R1169" s="122"/>
      <c r="S1169" s="116">
        <f>IF(AND(DATE(20&amp;LEFT(FAAddition[[#This Row],[FY]],2),4,1)&lt;$L$1+1,DATE(20&amp;LEFT(FAAddition[[#This Row],[FY]],2),4,1)&gt;$P$1-1),'FA Addition'!$J1169,0)</f>
        <v>0</v>
      </c>
      <c r="U1169" s="117">
        <f>S1169*'FA Addition'!$L1169/'FA Addition'!$J1169</f>
        <v>0</v>
      </c>
      <c r="W1169" s="116">
        <f>SUMIFS('FA Write off'!D:D,'FA Write off'!A:A,'FA Addition'!$A1169,'FA Write off'!C:C,"&lt;"&amp;'FA Addition'!$P$1)</f>
        <v>0</v>
      </c>
      <c r="Y1169" s="191">
        <f>IFERROR(W1169/'FA Addition'!$J1169*'FA Addition'!$L1169,0)</f>
        <v>0</v>
      </c>
      <c r="AA1169" s="116">
        <f>SUMIFS('FA Write off'!D:D,'FA Write off'!A:A,'FA Addition'!$A1169,'FA Write off'!C:C,"&lt;"&amp;'FA Addition'!$L$1+1,'FA Write off'!C:C,"&gt;"&amp;'FA Addition'!$L$1-365)</f>
        <v>0</v>
      </c>
      <c r="AC1169" s="118">
        <f>IFERROR(AA1169/'FA Addition'!$J1169*'FA Addition'!$L1169,0)</f>
        <v>0</v>
      </c>
      <c r="AE1169" s="117">
        <f>IF(AND('FA Addition'!$D1169&lt;$P$1+1,U1169=0),'FA Addition'!$L1169,0)-Y1169</f>
        <v>0</v>
      </c>
      <c r="AF1169" s="117">
        <f t="shared" si="90"/>
        <v>0</v>
      </c>
      <c r="AG1169" s="117">
        <f>MIN(MAX(+$P$1-'FA Addition'!$D1169,0),365*'FA Addition'!$O1169)</f>
        <v>0</v>
      </c>
      <c r="AH1169" s="117">
        <f>MIN(MAX($L$1-'FA Addition'!$D1169+1,0),365*'FA Addition'!$O1169)</f>
        <v>0</v>
      </c>
      <c r="AI1169" s="117" cm="1">
        <f t="array" ref="AI1169">_xlfn.XLOOKUP(1,('FA Write off'!A:A='FA Addition'!$A1169)*('FA Write off'!D:D=AA1169),'FA Write off'!H:H,0,0)</f>
        <v>0</v>
      </c>
      <c r="AJ1169" s="117">
        <f>IF(AC1169&gt;0,MAX(IF('FA Addition'!$N1169="SLM",($AC1169-'FA Addition'!$M1169)*'FA Addition'!$P1169*AI1169/365,(AC1169-'FA Addition'!$M1169)*(1-(1-'FA Addition'!$P1169)^(AI1169/365))),0),0)</f>
        <v>0</v>
      </c>
      <c r="AL1169" s="117">
        <f>MAX(IF(AG1169&gt;0,IF('FA Addition'!$N1169="SLM",($AE1169-'FA Addition'!$M1169)*'FA Addition'!$P1169*AG1169/365,IFERROR(VDB(AE1169,AE1169*0.05,'FA Addition'!$O1169,0,YEARFRAC('FA Addition'!$C1169,$P$1-1,3),'FA Addition'!$Q1169),FAAddition[[#This Row],[Original Cost (Rs)]]-FAAddition[[#This Row],[Salvage Value]])),0),0)</f>
        <v>0</v>
      </c>
      <c r="AM1169" s="119"/>
      <c r="AN1169" s="117">
        <f>MAX(IF(AH1169&gt;0,IF('FA Addition'!$N1169="SLM",($AF1169-'FA Addition'!$M1169)*'FA Addition'!$P1169*AH1169/365,IFERROR(VDB(AF1169,AF1169*0.05,'FA Addition'!$O1169,0,YEARFRAC('FA Addition'!$C1169,$L$1,3),'FA Addition'!$Q1169),FAAddition[[#This Row],[Original Cost (Rs)]]-FAAddition[[#This Row],[Salvage Value]])),0),0)</f>
        <v>0</v>
      </c>
      <c r="AO1169" s="117">
        <f t="shared" si="93"/>
        <v>0</v>
      </c>
      <c r="AQ1169" s="117">
        <f t="shared" si="91"/>
        <v>0</v>
      </c>
      <c r="AR1169" s="120">
        <f t="shared" si="92"/>
        <v>0</v>
      </c>
      <c r="AS1169" s="121"/>
    </row>
    <row r="1170" spans="1:45" ht="13.5" x14ac:dyDescent="0.4">
      <c r="A1170" s="12">
        <f t="shared" si="94"/>
        <v>1167</v>
      </c>
      <c r="B1170" s="64" t="s">
        <v>1758</v>
      </c>
      <c r="C1170" s="54">
        <v>45580</v>
      </c>
      <c r="D1170" s="54">
        <v>45580</v>
      </c>
      <c r="E1170" s="46" t="s">
        <v>207</v>
      </c>
      <c r="F1170" s="51" t="s">
        <v>1372</v>
      </c>
      <c r="G1170" s="51" t="s">
        <v>1728</v>
      </c>
      <c r="H1170" s="51" t="s">
        <v>848</v>
      </c>
      <c r="I1170" s="55" t="s">
        <v>1939</v>
      </c>
      <c r="J1170" s="56">
        <v>1</v>
      </c>
      <c r="K1170" s="51" t="s">
        <v>1947</v>
      </c>
      <c r="L1170" s="58">
        <v>10500</v>
      </c>
      <c r="M1170" s="50">
        <f>ROUND('FA Addition'!$L1170*5%,0.1)</f>
        <v>525</v>
      </c>
      <c r="N1170" s="113" t="str">
        <f>_xlfn.XLOOKUP(_xlfn.CONCAT(E1170,B1170),'Year Wise Master Dep Approach'!F:F,'Year Wise Master Dep Approach'!D:D)</f>
        <v>WDV</v>
      </c>
      <c r="O1170" s="113">
        <f>_xlfn.XLOOKUP(_xlfn.CONCAT(E1170,B1170),'Year Wise Master Dep Approach'!F:F,'Year Wise Master Dep Approach'!E:E)</f>
        <v>5</v>
      </c>
      <c r="P1170" s="114">
        <f>IFERROR(IF('FA Addition'!$N1170="WDV",1-('FA Addition'!$M1170/'FA Addition'!$L1170)^(1/'FA Addition'!$O1170),1/'FA Addition'!$O1170),0)</f>
        <v>0.45071972834694107</v>
      </c>
      <c r="Q1170" s="122">
        <f>'FA Addition'!$P1170*'FA Addition'!$O1170</f>
        <v>2.2535986417347056</v>
      </c>
      <c r="R1170" s="122"/>
      <c r="S1170" s="116">
        <f>IF(AND(DATE(20&amp;LEFT(FAAddition[[#This Row],[FY]],2),4,1)&lt;$L$1+1,DATE(20&amp;LEFT(FAAddition[[#This Row],[FY]],2),4,1)&gt;$P$1-1),'FA Addition'!$J1170,0)</f>
        <v>0</v>
      </c>
      <c r="U1170" s="117">
        <f>S1170*'FA Addition'!$L1170/'FA Addition'!$J1170</f>
        <v>0</v>
      </c>
      <c r="W1170" s="116">
        <f>SUMIFS('FA Write off'!D:D,'FA Write off'!A:A,'FA Addition'!$A1170,'FA Write off'!C:C,"&lt;"&amp;'FA Addition'!$P$1)</f>
        <v>0</v>
      </c>
      <c r="Y1170" s="191">
        <f>IFERROR(W1170/'FA Addition'!$J1170*'FA Addition'!$L1170,0)</f>
        <v>0</v>
      </c>
      <c r="AA1170" s="116">
        <f>SUMIFS('FA Write off'!D:D,'FA Write off'!A:A,'FA Addition'!$A1170,'FA Write off'!C:C,"&lt;"&amp;'FA Addition'!$L$1+1,'FA Write off'!C:C,"&gt;"&amp;'FA Addition'!$L$1-365)</f>
        <v>0</v>
      </c>
      <c r="AC1170" s="118">
        <f>IFERROR(AA1170/'FA Addition'!$J1170*'FA Addition'!$L1170,0)</f>
        <v>0</v>
      </c>
      <c r="AE1170" s="117">
        <f>IF(AND('FA Addition'!$D1170&lt;$P$1+1,U1170=0),'FA Addition'!$L1170,0)-Y1170</f>
        <v>0</v>
      </c>
      <c r="AF1170" s="117">
        <f t="shared" si="90"/>
        <v>0</v>
      </c>
      <c r="AG1170" s="117">
        <f>MIN(MAX(+$P$1-'FA Addition'!$D1170,0),365*'FA Addition'!$O1170)</f>
        <v>0</v>
      </c>
      <c r="AH1170" s="117">
        <f>MIN(MAX($L$1-'FA Addition'!$D1170+1,0),365*'FA Addition'!$O1170)</f>
        <v>0</v>
      </c>
      <c r="AI1170" s="117" cm="1">
        <f t="array" ref="AI1170">_xlfn.XLOOKUP(1,('FA Write off'!A:A='FA Addition'!$A1170)*('FA Write off'!D:D=AA1170),'FA Write off'!H:H,0,0)</f>
        <v>0</v>
      </c>
      <c r="AJ1170" s="117">
        <f>IF(AC1170&gt;0,MAX(IF('FA Addition'!$N1170="SLM",($AC1170-'FA Addition'!$M1170)*'FA Addition'!$P1170*AI1170/365,(AC1170-'FA Addition'!$M1170)*(1-(1-'FA Addition'!$P1170)^(AI1170/365))),0),0)</f>
        <v>0</v>
      </c>
      <c r="AL1170" s="117">
        <f>MAX(IF(AG1170&gt;0,IF('FA Addition'!$N1170="SLM",($AE1170-'FA Addition'!$M1170)*'FA Addition'!$P1170*AG1170/365,IFERROR(VDB(AE1170,AE1170*0.05,'FA Addition'!$O1170,0,YEARFRAC('FA Addition'!$C1170,$P$1-1,3),'FA Addition'!$Q1170),FAAddition[[#This Row],[Original Cost (Rs)]]-FAAddition[[#This Row],[Salvage Value]])),0),0)</f>
        <v>0</v>
      </c>
      <c r="AM1170" s="119"/>
      <c r="AN1170" s="117">
        <f>MAX(IF(AH1170&gt;0,IF('FA Addition'!$N1170="SLM",($AF1170-'FA Addition'!$M1170)*'FA Addition'!$P1170*AH1170/365,IFERROR(VDB(AF1170,AF1170*0.05,'FA Addition'!$O1170,0,YEARFRAC('FA Addition'!$C1170,$L$1,3),'FA Addition'!$Q1170),FAAddition[[#This Row],[Original Cost (Rs)]]-FAAddition[[#This Row],[Salvage Value]])),0),0)</f>
        <v>0</v>
      </c>
      <c r="AO1170" s="117">
        <f t="shared" si="93"/>
        <v>0</v>
      </c>
      <c r="AQ1170" s="117">
        <f t="shared" si="91"/>
        <v>0</v>
      </c>
      <c r="AR1170" s="120">
        <f t="shared" si="92"/>
        <v>0</v>
      </c>
      <c r="AS1170" s="121"/>
    </row>
    <row r="1171" spans="1:45" ht="13.5" x14ac:dyDescent="0.4">
      <c r="A1171" s="12">
        <f t="shared" si="94"/>
        <v>1168</v>
      </c>
      <c r="B1171" s="64" t="s">
        <v>1758</v>
      </c>
      <c r="C1171" s="54">
        <v>45576</v>
      </c>
      <c r="D1171" s="54">
        <v>45580</v>
      </c>
      <c r="E1171" s="46" t="s">
        <v>1320</v>
      </c>
      <c r="F1171" s="51" t="s">
        <v>33</v>
      </c>
      <c r="G1171" s="51" t="s">
        <v>34</v>
      </c>
      <c r="H1171" s="51" t="s">
        <v>32</v>
      </c>
      <c r="I1171" s="55" t="s">
        <v>1948</v>
      </c>
      <c r="J1171" s="56">
        <v>500</v>
      </c>
      <c r="K1171" s="51" t="s">
        <v>295</v>
      </c>
      <c r="L1171" s="58">
        <v>832500</v>
      </c>
      <c r="M1171" s="50">
        <f>ROUND('FA Addition'!$L1171*5%,0.1)</f>
        <v>41625</v>
      </c>
      <c r="N1171" s="113" t="str">
        <f>_xlfn.XLOOKUP(_xlfn.CONCAT(E1171,B1171),'Year Wise Master Dep Approach'!F:F,'Year Wise Master Dep Approach'!D:D)</f>
        <v>SLM</v>
      </c>
      <c r="O1171" s="113">
        <f>_xlfn.XLOOKUP(_xlfn.CONCAT(E1171,B1171),'Year Wise Master Dep Approach'!F:F,'Year Wise Master Dep Approach'!E:E)</f>
        <v>5</v>
      </c>
      <c r="P1171" s="114">
        <f>IFERROR(IF('FA Addition'!$N1171="WDV",1-('FA Addition'!$M1171/'FA Addition'!$L1171)^(1/'FA Addition'!$O1171),1/'FA Addition'!$O1171),0)</f>
        <v>0.2</v>
      </c>
      <c r="Q1171" s="122">
        <f>'FA Addition'!$P1171*'FA Addition'!$O1171</f>
        <v>1</v>
      </c>
      <c r="R1171" s="122"/>
      <c r="S1171" s="116">
        <f>IF(AND(DATE(20&amp;LEFT(FAAddition[[#This Row],[FY]],2),4,1)&lt;$L$1+1,DATE(20&amp;LEFT(FAAddition[[#This Row],[FY]],2),4,1)&gt;$P$1-1),'FA Addition'!$J1171,0)</f>
        <v>0</v>
      </c>
      <c r="U1171" s="117">
        <f>S1171*'FA Addition'!$L1171/'FA Addition'!$J1171</f>
        <v>0</v>
      </c>
      <c r="W1171" s="116">
        <f>SUMIFS('FA Write off'!D:D,'FA Write off'!A:A,'FA Addition'!$A1171,'FA Write off'!C:C,"&lt;"&amp;'FA Addition'!$P$1)</f>
        <v>0</v>
      </c>
      <c r="Y1171" s="191">
        <f>IFERROR(W1171/'FA Addition'!$J1171*'FA Addition'!$L1171,0)</f>
        <v>0</v>
      </c>
      <c r="AA1171" s="116">
        <f>SUMIFS('FA Write off'!D:D,'FA Write off'!A:A,'FA Addition'!$A1171,'FA Write off'!C:C,"&lt;"&amp;'FA Addition'!$L$1+1,'FA Write off'!C:C,"&gt;"&amp;'FA Addition'!$L$1-365)</f>
        <v>0</v>
      </c>
      <c r="AC1171" s="118">
        <f>IFERROR(AA1171/'FA Addition'!$J1171*'FA Addition'!$L1171,0)</f>
        <v>0</v>
      </c>
      <c r="AE1171" s="117">
        <f>IF(AND('FA Addition'!$D1171&lt;$P$1+1,U1171=0),'FA Addition'!$L1171,0)-Y1171</f>
        <v>0</v>
      </c>
      <c r="AF1171" s="117">
        <f t="shared" si="90"/>
        <v>0</v>
      </c>
      <c r="AG1171" s="117">
        <f>MIN(MAX(+$P$1-'FA Addition'!$D1171,0),365*'FA Addition'!$O1171)</f>
        <v>0</v>
      </c>
      <c r="AH1171" s="117">
        <f>MIN(MAX($L$1-'FA Addition'!$D1171+1,0),365*'FA Addition'!$O1171)</f>
        <v>0</v>
      </c>
      <c r="AI1171" s="117" cm="1">
        <f t="array" ref="AI1171">_xlfn.XLOOKUP(1,('FA Write off'!A:A='FA Addition'!$A1171)*('FA Write off'!D:D=AA1171),'FA Write off'!H:H,0,0)</f>
        <v>0</v>
      </c>
      <c r="AJ1171" s="117">
        <f>IF(AC1171&gt;0,MAX(IF('FA Addition'!$N1171="SLM",($AC1171-'FA Addition'!$M1171)*'FA Addition'!$P1171*AI1171/365,(AC1171-'FA Addition'!$M1171)*(1-(1-'FA Addition'!$P1171)^(AI1171/365))),0),0)</f>
        <v>0</v>
      </c>
      <c r="AL1171" s="117">
        <f>MAX(IF(AG1171&gt;0,IF('FA Addition'!$N1171="SLM",($AE1171-'FA Addition'!$M1171)*'FA Addition'!$P1171*AG1171/365,IFERROR(VDB(AE1171,AE1171*0.05,'FA Addition'!$O1171,0,YEARFRAC('FA Addition'!$C1171,$P$1-1,3),'FA Addition'!$Q1171),FAAddition[[#This Row],[Original Cost (Rs)]]-FAAddition[[#This Row],[Salvage Value]])),0),0)</f>
        <v>0</v>
      </c>
      <c r="AM1171" s="119"/>
      <c r="AN1171" s="117">
        <f>MAX(IF(AH1171&gt;0,IF('FA Addition'!$N1171="SLM",($AF1171-'FA Addition'!$M1171)*'FA Addition'!$P1171*AH1171/365,IFERROR(VDB(AF1171,AF1171*0.05,'FA Addition'!$O1171,0,YEARFRAC('FA Addition'!$C1171,$L$1,3),'FA Addition'!$Q1171),FAAddition[[#This Row],[Original Cost (Rs)]]-FAAddition[[#This Row],[Salvage Value]])),0),0)</f>
        <v>0</v>
      </c>
      <c r="AO1171" s="117">
        <f t="shared" si="93"/>
        <v>0</v>
      </c>
      <c r="AQ1171" s="117">
        <f t="shared" si="91"/>
        <v>0</v>
      </c>
      <c r="AR1171" s="120">
        <f t="shared" si="92"/>
        <v>0</v>
      </c>
      <c r="AS1171" s="121"/>
    </row>
    <row r="1172" spans="1:45" ht="13.5" x14ac:dyDescent="0.4">
      <c r="A1172" s="12">
        <f t="shared" si="94"/>
        <v>1169</v>
      </c>
      <c r="B1172" s="64" t="s">
        <v>1758</v>
      </c>
      <c r="C1172" s="54">
        <v>45579</v>
      </c>
      <c r="D1172" s="54">
        <v>45580</v>
      </c>
      <c r="E1172" s="46" t="s">
        <v>749</v>
      </c>
      <c r="F1172" s="51" t="s">
        <v>74</v>
      </c>
      <c r="G1172" s="51" t="s">
        <v>1919</v>
      </c>
      <c r="H1172" s="51" t="s">
        <v>1949</v>
      </c>
      <c r="I1172" s="55" t="s">
        <v>1950</v>
      </c>
      <c r="J1172" s="56">
        <v>1</v>
      </c>
      <c r="K1172" s="51" t="s">
        <v>1951</v>
      </c>
      <c r="L1172" s="58">
        <v>19200</v>
      </c>
      <c r="M1172" s="50">
        <f>ROUND('FA Addition'!$L1172*5%,0.1)</f>
        <v>960</v>
      </c>
      <c r="N1172" s="113" t="str">
        <f>_xlfn.XLOOKUP(_xlfn.CONCAT(E1172,B1172),'Year Wise Master Dep Approach'!F:F,'Year Wise Master Dep Approach'!D:D)</f>
        <v>WDV</v>
      </c>
      <c r="O1172" s="113">
        <f>_xlfn.XLOOKUP(_xlfn.CONCAT(E1172,B1172),'Year Wise Master Dep Approach'!F:F,'Year Wise Master Dep Approach'!E:E)</f>
        <v>5</v>
      </c>
      <c r="P1172" s="114">
        <f>IFERROR(IF('FA Addition'!$N1172="WDV",1-('FA Addition'!$M1172/'FA Addition'!$L1172)^(1/'FA Addition'!$O1172),1/'FA Addition'!$O1172),0)</f>
        <v>0.45071972834694107</v>
      </c>
      <c r="Q1172" s="122">
        <f>'FA Addition'!$P1172*'FA Addition'!$O1172</f>
        <v>2.2535986417347056</v>
      </c>
      <c r="R1172" s="122"/>
      <c r="S1172" s="116">
        <f>IF(AND(DATE(20&amp;LEFT(FAAddition[[#This Row],[FY]],2),4,1)&lt;$L$1+1,DATE(20&amp;LEFT(FAAddition[[#This Row],[FY]],2),4,1)&gt;$P$1-1),'FA Addition'!$J1172,0)</f>
        <v>0</v>
      </c>
      <c r="U1172" s="117">
        <f>S1172*'FA Addition'!$L1172/'FA Addition'!$J1172</f>
        <v>0</v>
      </c>
      <c r="W1172" s="116">
        <f>SUMIFS('FA Write off'!D:D,'FA Write off'!A:A,'FA Addition'!$A1172,'FA Write off'!C:C,"&lt;"&amp;'FA Addition'!$P$1)</f>
        <v>0</v>
      </c>
      <c r="Y1172" s="191">
        <f>IFERROR(W1172/'FA Addition'!$J1172*'FA Addition'!$L1172,0)</f>
        <v>0</v>
      </c>
      <c r="AA1172" s="116">
        <f>SUMIFS('FA Write off'!D:D,'FA Write off'!A:A,'FA Addition'!$A1172,'FA Write off'!C:C,"&lt;"&amp;'FA Addition'!$L$1+1,'FA Write off'!C:C,"&gt;"&amp;'FA Addition'!$L$1-365)</f>
        <v>0</v>
      </c>
      <c r="AC1172" s="118">
        <f>IFERROR(AA1172/'FA Addition'!$J1172*'FA Addition'!$L1172,0)</f>
        <v>0</v>
      </c>
      <c r="AE1172" s="117">
        <f>IF(AND('FA Addition'!$D1172&lt;$P$1+1,U1172=0),'FA Addition'!$L1172,0)-Y1172</f>
        <v>0</v>
      </c>
      <c r="AF1172" s="117">
        <f t="shared" si="90"/>
        <v>0</v>
      </c>
      <c r="AG1172" s="117">
        <f>MIN(MAX(+$P$1-'FA Addition'!$D1172,0),365*'FA Addition'!$O1172)</f>
        <v>0</v>
      </c>
      <c r="AH1172" s="117">
        <f>MIN(MAX($L$1-'FA Addition'!$D1172+1,0),365*'FA Addition'!$O1172)</f>
        <v>0</v>
      </c>
      <c r="AI1172" s="117" cm="1">
        <f t="array" ref="AI1172">_xlfn.XLOOKUP(1,('FA Write off'!A:A='FA Addition'!$A1172)*('FA Write off'!D:D=AA1172),'FA Write off'!H:H,0,0)</f>
        <v>0</v>
      </c>
      <c r="AJ1172" s="117">
        <f>IF(AC1172&gt;0,MAX(IF('FA Addition'!$N1172="SLM",($AC1172-'FA Addition'!$M1172)*'FA Addition'!$P1172*AI1172/365,(AC1172-'FA Addition'!$M1172)*(1-(1-'FA Addition'!$P1172)^(AI1172/365))),0),0)</f>
        <v>0</v>
      </c>
      <c r="AL1172" s="117">
        <f>MAX(IF(AG1172&gt;0,IF('FA Addition'!$N1172="SLM",($AE1172-'FA Addition'!$M1172)*'FA Addition'!$P1172*AG1172/365,IFERROR(VDB(AE1172,AE1172*0.05,'FA Addition'!$O1172,0,YEARFRAC('FA Addition'!$C1172,$P$1-1,3),'FA Addition'!$Q1172),FAAddition[[#This Row],[Original Cost (Rs)]]-FAAddition[[#This Row],[Salvage Value]])),0),0)</f>
        <v>0</v>
      </c>
      <c r="AM1172" s="119"/>
      <c r="AN1172" s="117">
        <f>MAX(IF(AH1172&gt;0,IF('FA Addition'!$N1172="SLM",($AF1172-'FA Addition'!$M1172)*'FA Addition'!$P1172*AH1172/365,IFERROR(VDB(AF1172,AF1172*0.05,'FA Addition'!$O1172,0,YEARFRAC('FA Addition'!$C1172,$L$1,3),'FA Addition'!$Q1172),FAAddition[[#This Row],[Original Cost (Rs)]]-FAAddition[[#This Row],[Salvage Value]])),0),0)</f>
        <v>0</v>
      </c>
      <c r="AO1172" s="117">
        <f t="shared" si="93"/>
        <v>0</v>
      </c>
      <c r="AQ1172" s="117">
        <f t="shared" si="91"/>
        <v>0</v>
      </c>
      <c r="AR1172" s="120">
        <f t="shared" si="92"/>
        <v>0</v>
      </c>
      <c r="AS1172" s="121"/>
    </row>
    <row r="1173" spans="1:45" ht="13.5" x14ac:dyDescent="0.4">
      <c r="A1173" s="12">
        <f t="shared" si="94"/>
        <v>1170</v>
      </c>
      <c r="B1173" s="64" t="s">
        <v>1758</v>
      </c>
      <c r="C1173" s="54">
        <v>45579</v>
      </c>
      <c r="D1173" s="54">
        <v>45580</v>
      </c>
      <c r="E1173" s="46" t="s">
        <v>749</v>
      </c>
      <c r="F1173" s="51" t="s">
        <v>74</v>
      </c>
      <c r="G1173" s="51" t="s">
        <v>1919</v>
      </c>
      <c r="H1173" s="51" t="s">
        <v>1949</v>
      </c>
      <c r="I1173" s="55" t="s">
        <v>1950</v>
      </c>
      <c r="J1173" s="56">
        <v>1</v>
      </c>
      <c r="K1173" s="51" t="s">
        <v>1952</v>
      </c>
      <c r="L1173" s="58">
        <v>5900</v>
      </c>
      <c r="M1173" s="50">
        <f>ROUND('FA Addition'!$L1173*5%,0.1)</f>
        <v>295</v>
      </c>
      <c r="N1173" s="113" t="str">
        <f>_xlfn.XLOOKUP(_xlfn.CONCAT(E1173,B1173),'Year Wise Master Dep Approach'!F:F,'Year Wise Master Dep Approach'!D:D)</f>
        <v>WDV</v>
      </c>
      <c r="O1173" s="113">
        <f>_xlfn.XLOOKUP(_xlfn.CONCAT(E1173,B1173),'Year Wise Master Dep Approach'!F:F,'Year Wise Master Dep Approach'!E:E)</f>
        <v>5</v>
      </c>
      <c r="P1173" s="114">
        <f>IFERROR(IF('FA Addition'!$N1173="WDV",1-('FA Addition'!$M1173/'FA Addition'!$L1173)^(1/'FA Addition'!$O1173),1/'FA Addition'!$O1173),0)</f>
        <v>0.45071972834694107</v>
      </c>
      <c r="Q1173" s="122">
        <f>'FA Addition'!$P1173*'FA Addition'!$O1173</f>
        <v>2.2535986417347056</v>
      </c>
      <c r="R1173" s="122"/>
      <c r="S1173" s="116">
        <f>IF(AND(DATE(20&amp;LEFT(FAAddition[[#This Row],[FY]],2),4,1)&lt;$L$1+1,DATE(20&amp;LEFT(FAAddition[[#This Row],[FY]],2),4,1)&gt;$P$1-1),'FA Addition'!$J1173,0)</f>
        <v>0</v>
      </c>
      <c r="U1173" s="117">
        <f>S1173*'FA Addition'!$L1173/'FA Addition'!$J1173</f>
        <v>0</v>
      </c>
      <c r="W1173" s="116">
        <f>SUMIFS('FA Write off'!D:D,'FA Write off'!A:A,'FA Addition'!$A1173,'FA Write off'!C:C,"&lt;"&amp;'FA Addition'!$P$1)</f>
        <v>0</v>
      </c>
      <c r="Y1173" s="191">
        <f>IFERROR(W1173/'FA Addition'!$J1173*'FA Addition'!$L1173,0)</f>
        <v>0</v>
      </c>
      <c r="AA1173" s="116">
        <f>SUMIFS('FA Write off'!D:D,'FA Write off'!A:A,'FA Addition'!$A1173,'FA Write off'!C:C,"&lt;"&amp;'FA Addition'!$L$1+1,'FA Write off'!C:C,"&gt;"&amp;'FA Addition'!$L$1-365)</f>
        <v>0</v>
      </c>
      <c r="AC1173" s="118">
        <f>IFERROR(AA1173/'FA Addition'!$J1173*'FA Addition'!$L1173,0)</f>
        <v>0</v>
      </c>
      <c r="AE1173" s="117">
        <f>IF(AND('FA Addition'!$D1173&lt;$P$1+1,U1173=0),'FA Addition'!$L1173,0)-Y1173</f>
        <v>0</v>
      </c>
      <c r="AF1173" s="117">
        <f t="shared" si="90"/>
        <v>0</v>
      </c>
      <c r="AG1173" s="117">
        <f>MIN(MAX(+$P$1-'FA Addition'!$D1173,0),365*'FA Addition'!$O1173)</f>
        <v>0</v>
      </c>
      <c r="AH1173" s="117">
        <f>MIN(MAX($L$1-'FA Addition'!$D1173+1,0),365*'FA Addition'!$O1173)</f>
        <v>0</v>
      </c>
      <c r="AI1173" s="117" cm="1">
        <f t="array" ref="AI1173">_xlfn.XLOOKUP(1,('FA Write off'!A:A='FA Addition'!$A1173)*('FA Write off'!D:D=AA1173),'FA Write off'!H:H,0,0)</f>
        <v>0</v>
      </c>
      <c r="AJ1173" s="117">
        <f>IF(AC1173&gt;0,MAX(IF('FA Addition'!$N1173="SLM",($AC1173-'FA Addition'!$M1173)*'FA Addition'!$P1173*AI1173/365,(AC1173-'FA Addition'!$M1173)*(1-(1-'FA Addition'!$P1173)^(AI1173/365))),0),0)</f>
        <v>0</v>
      </c>
      <c r="AL1173" s="117">
        <f>MAX(IF(AG1173&gt;0,IF('FA Addition'!$N1173="SLM",($AE1173-'FA Addition'!$M1173)*'FA Addition'!$P1173*AG1173/365,IFERROR(VDB(AE1173,AE1173*0.05,'FA Addition'!$O1173,0,YEARFRAC('FA Addition'!$C1173,$P$1-1,3),'FA Addition'!$Q1173),FAAddition[[#This Row],[Original Cost (Rs)]]-FAAddition[[#This Row],[Salvage Value]])),0),0)</f>
        <v>0</v>
      </c>
      <c r="AM1173" s="119"/>
      <c r="AN1173" s="117">
        <f>MAX(IF(AH1173&gt;0,IF('FA Addition'!$N1173="SLM",($AF1173-'FA Addition'!$M1173)*'FA Addition'!$P1173*AH1173/365,IFERROR(VDB(AF1173,AF1173*0.05,'FA Addition'!$O1173,0,YEARFRAC('FA Addition'!$C1173,$L$1,3),'FA Addition'!$Q1173),FAAddition[[#This Row],[Original Cost (Rs)]]-FAAddition[[#This Row],[Salvage Value]])),0),0)</f>
        <v>0</v>
      </c>
      <c r="AO1173" s="117">
        <f t="shared" si="93"/>
        <v>0</v>
      </c>
      <c r="AQ1173" s="117">
        <f t="shared" si="91"/>
        <v>0</v>
      </c>
      <c r="AR1173" s="120">
        <f t="shared" si="92"/>
        <v>0</v>
      </c>
      <c r="AS1173" s="121"/>
    </row>
    <row r="1174" spans="1:45" ht="13.5" x14ac:dyDescent="0.4">
      <c r="A1174" s="12">
        <f t="shared" si="94"/>
        <v>1171</v>
      </c>
      <c r="B1174" s="64" t="s">
        <v>1758</v>
      </c>
      <c r="C1174" s="54">
        <v>45580</v>
      </c>
      <c r="D1174" s="54">
        <v>45580</v>
      </c>
      <c r="E1174" s="46" t="s">
        <v>749</v>
      </c>
      <c r="F1174" s="51" t="s">
        <v>74</v>
      </c>
      <c r="G1174" s="51" t="s">
        <v>1953</v>
      </c>
      <c r="H1174" s="51" t="s">
        <v>173</v>
      </c>
      <c r="I1174" s="55" t="s">
        <v>1954</v>
      </c>
      <c r="J1174" s="56">
        <v>1</v>
      </c>
      <c r="K1174" s="51" t="s">
        <v>1955</v>
      </c>
      <c r="L1174" s="58">
        <v>8897.4599999999991</v>
      </c>
      <c r="M1174" s="50">
        <f>ROUND('FA Addition'!$L1174*5%,0.1)</f>
        <v>445</v>
      </c>
      <c r="N1174" s="113" t="str">
        <f>_xlfn.XLOOKUP(_xlfn.CONCAT(E1174,B1174),'Year Wise Master Dep Approach'!F:F,'Year Wise Master Dep Approach'!D:D)</f>
        <v>WDV</v>
      </c>
      <c r="O1174" s="113">
        <f>_xlfn.XLOOKUP(_xlfn.CONCAT(E1174,B1174),'Year Wise Master Dep Approach'!F:F,'Year Wise Master Dep Approach'!E:E)</f>
        <v>5</v>
      </c>
      <c r="P1174" s="114">
        <f>IFERROR(IF('FA Addition'!$N1174="WDV",1-('FA Addition'!$M1174/'FA Addition'!$L1174)^(1/'FA Addition'!$O1174),1/'FA Addition'!$O1174),0)</f>
        <v>0.45068837079989388</v>
      </c>
      <c r="Q1174" s="122">
        <f>'FA Addition'!$P1174*'FA Addition'!$O1174</f>
        <v>2.2534418539994694</v>
      </c>
      <c r="R1174" s="122"/>
      <c r="S1174" s="116">
        <f>IF(AND(DATE(20&amp;LEFT(FAAddition[[#This Row],[FY]],2),4,1)&lt;$L$1+1,DATE(20&amp;LEFT(FAAddition[[#This Row],[FY]],2),4,1)&gt;$P$1-1),'FA Addition'!$J1174,0)</f>
        <v>0</v>
      </c>
      <c r="U1174" s="117">
        <f>S1174*'FA Addition'!$L1174/'FA Addition'!$J1174</f>
        <v>0</v>
      </c>
      <c r="W1174" s="116">
        <f>SUMIFS('FA Write off'!D:D,'FA Write off'!A:A,'FA Addition'!$A1174,'FA Write off'!C:C,"&lt;"&amp;'FA Addition'!$P$1)</f>
        <v>0</v>
      </c>
      <c r="Y1174" s="191">
        <f>IFERROR(W1174/'FA Addition'!$J1174*'FA Addition'!$L1174,0)</f>
        <v>0</v>
      </c>
      <c r="AA1174" s="116">
        <f>SUMIFS('FA Write off'!D:D,'FA Write off'!A:A,'FA Addition'!$A1174,'FA Write off'!C:C,"&lt;"&amp;'FA Addition'!$L$1+1,'FA Write off'!C:C,"&gt;"&amp;'FA Addition'!$L$1-365)</f>
        <v>0</v>
      </c>
      <c r="AC1174" s="118">
        <f>IFERROR(AA1174/'FA Addition'!$J1174*'FA Addition'!$L1174,0)</f>
        <v>0</v>
      </c>
      <c r="AE1174" s="117">
        <f>IF(AND('FA Addition'!$D1174&lt;$P$1+1,U1174=0),'FA Addition'!$L1174,0)-Y1174</f>
        <v>0</v>
      </c>
      <c r="AF1174" s="117">
        <f t="shared" si="90"/>
        <v>0</v>
      </c>
      <c r="AG1174" s="117">
        <f>MIN(MAX(+$P$1-'FA Addition'!$D1174,0),365*'FA Addition'!$O1174)</f>
        <v>0</v>
      </c>
      <c r="AH1174" s="117">
        <f>MIN(MAX($L$1-'FA Addition'!$D1174+1,0),365*'FA Addition'!$O1174)</f>
        <v>0</v>
      </c>
      <c r="AI1174" s="117" cm="1">
        <f t="array" ref="AI1174">_xlfn.XLOOKUP(1,('FA Write off'!A:A='FA Addition'!$A1174)*('FA Write off'!D:D=AA1174),'FA Write off'!H:H,0,0)</f>
        <v>0</v>
      </c>
      <c r="AJ1174" s="117">
        <f>IF(AC1174&gt;0,MAX(IF('FA Addition'!$N1174="SLM",($AC1174-'FA Addition'!$M1174)*'FA Addition'!$P1174*AI1174/365,(AC1174-'FA Addition'!$M1174)*(1-(1-'FA Addition'!$P1174)^(AI1174/365))),0),0)</f>
        <v>0</v>
      </c>
      <c r="AL1174" s="117">
        <f>MAX(IF(AG1174&gt;0,IF('FA Addition'!$N1174="SLM",($AE1174-'FA Addition'!$M1174)*'FA Addition'!$P1174*AG1174/365,IFERROR(VDB(AE1174,AE1174*0.05,'FA Addition'!$O1174,0,YEARFRAC('FA Addition'!$C1174,$P$1-1,3),'FA Addition'!$Q1174),FAAddition[[#This Row],[Original Cost (Rs)]]-FAAddition[[#This Row],[Salvage Value]])),0),0)</f>
        <v>0</v>
      </c>
      <c r="AM1174" s="119"/>
      <c r="AN1174" s="117">
        <f>MAX(IF(AH1174&gt;0,IF('FA Addition'!$N1174="SLM",($AF1174-'FA Addition'!$M1174)*'FA Addition'!$P1174*AH1174/365,IFERROR(VDB(AF1174,AF1174*0.05,'FA Addition'!$O1174,0,YEARFRAC('FA Addition'!$C1174,$L$1,3),'FA Addition'!$Q1174),FAAddition[[#This Row],[Original Cost (Rs)]]-FAAddition[[#This Row],[Salvage Value]])),0),0)</f>
        <v>0</v>
      </c>
      <c r="AO1174" s="117">
        <f t="shared" si="93"/>
        <v>0</v>
      </c>
      <c r="AQ1174" s="117">
        <f t="shared" si="91"/>
        <v>0</v>
      </c>
      <c r="AR1174" s="120">
        <f t="shared" si="92"/>
        <v>0</v>
      </c>
      <c r="AS1174" s="121"/>
    </row>
    <row r="1175" spans="1:45" ht="13.5" x14ac:dyDescent="0.4">
      <c r="A1175" s="12">
        <f t="shared" si="94"/>
        <v>1172</v>
      </c>
      <c r="B1175" s="64" t="s">
        <v>1758</v>
      </c>
      <c r="C1175" s="54">
        <v>45586</v>
      </c>
      <c r="D1175" s="54">
        <v>45586</v>
      </c>
      <c r="E1175" s="46" t="s">
        <v>451</v>
      </c>
      <c r="F1175" s="51" t="s">
        <v>19</v>
      </c>
      <c r="G1175" s="51" t="s">
        <v>1953</v>
      </c>
      <c r="H1175" s="51" t="s">
        <v>21</v>
      </c>
      <c r="I1175" s="55" t="s">
        <v>1956</v>
      </c>
      <c r="J1175" s="56">
        <v>1</v>
      </c>
      <c r="K1175" s="51" t="s">
        <v>1957</v>
      </c>
      <c r="L1175" s="58">
        <v>68635.59</v>
      </c>
      <c r="M1175" s="50">
        <f>ROUND('FA Addition'!$L1175*5%,0.1)</f>
        <v>3432</v>
      </c>
      <c r="N1175" s="113" t="str">
        <f>_xlfn.XLOOKUP(_xlfn.CONCAT(E1175,B1175),'Year Wise Master Dep Approach'!F:F,'Year Wise Master Dep Approach'!D:D)</f>
        <v>WDV</v>
      </c>
      <c r="O1175" s="113">
        <f>_xlfn.XLOOKUP(_xlfn.CONCAT(E1175,B1175),'Year Wise Master Dep Approach'!F:F,'Year Wise Master Dep Approach'!E:E)</f>
        <v>3</v>
      </c>
      <c r="P1175" s="114">
        <f>IFERROR(IF('FA Addition'!$N1175="WDV",1-('FA Addition'!$M1175/'FA Addition'!$L1175)^(1/'FA Addition'!$O1175),1/'FA Addition'!$O1175),0)</f>
        <v>0.63158896004523668</v>
      </c>
      <c r="Q1175" s="122">
        <f>'FA Addition'!$P1175*'FA Addition'!$O1175</f>
        <v>1.89476688013571</v>
      </c>
      <c r="R1175" s="122"/>
      <c r="S1175" s="116">
        <f>IF(AND(DATE(20&amp;LEFT(FAAddition[[#This Row],[FY]],2),4,1)&lt;$L$1+1,DATE(20&amp;LEFT(FAAddition[[#This Row],[FY]],2),4,1)&gt;$P$1-1),'FA Addition'!$J1175,0)</f>
        <v>0</v>
      </c>
      <c r="U1175" s="117">
        <f>S1175*'FA Addition'!$L1175/'FA Addition'!$J1175</f>
        <v>0</v>
      </c>
      <c r="W1175" s="116">
        <f>SUMIFS('FA Write off'!D:D,'FA Write off'!A:A,'FA Addition'!$A1175,'FA Write off'!C:C,"&lt;"&amp;'FA Addition'!$P$1)</f>
        <v>0</v>
      </c>
      <c r="Y1175" s="191">
        <f>IFERROR(W1175/'FA Addition'!$J1175*'FA Addition'!$L1175,0)</f>
        <v>0</v>
      </c>
      <c r="AA1175" s="116">
        <f>SUMIFS('FA Write off'!D:D,'FA Write off'!A:A,'FA Addition'!$A1175,'FA Write off'!C:C,"&lt;"&amp;'FA Addition'!$L$1+1,'FA Write off'!C:C,"&gt;"&amp;'FA Addition'!$L$1-365)</f>
        <v>0</v>
      </c>
      <c r="AC1175" s="118">
        <f>IFERROR(AA1175/'FA Addition'!$J1175*'FA Addition'!$L1175,0)</f>
        <v>0</v>
      </c>
      <c r="AE1175" s="117">
        <f>IF(AND('FA Addition'!$D1175&lt;$P$1+1,U1175=0),'FA Addition'!$L1175,0)-Y1175</f>
        <v>0</v>
      </c>
      <c r="AF1175" s="117">
        <f t="shared" si="90"/>
        <v>0</v>
      </c>
      <c r="AG1175" s="117">
        <f>MIN(MAX(+$P$1-'FA Addition'!$D1175,0),365*'FA Addition'!$O1175)</f>
        <v>0</v>
      </c>
      <c r="AH1175" s="117">
        <f>MIN(MAX($L$1-'FA Addition'!$D1175+1,0),365*'FA Addition'!$O1175)</f>
        <v>0</v>
      </c>
      <c r="AI1175" s="117" cm="1">
        <f t="array" ref="AI1175">_xlfn.XLOOKUP(1,('FA Write off'!A:A='FA Addition'!$A1175)*('FA Write off'!D:D=AA1175),'FA Write off'!H:H,0,0)</f>
        <v>0</v>
      </c>
      <c r="AJ1175" s="117">
        <f>IF(AC1175&gt;0,MAX(IF('FA Addition'!$N1175="SLM",($AC1175-'FA Addition'!$M1175)*'FA Addition'!$P1175*AI1175/365,(AC1175-'FA Addition'!$M1175)*(1-(1-'FA Addition'!$P1175)^(AI1175/365))),0),0)</f>
        <v>0</v>
      </c>
      <c r="AL1175" s="117">
        <f>MAX(IF(AG1175&gt;0,IF('FA Addition'!$N1175="SLM",($AE1175-'FA Addition'!$M1175)*'FA Addition'!$P1175*AG1175/365,IFERROR(VDB(AE1175,AE1175*0.05,'FA Addition'!$O1175,0,YEARFRAC('FA Addition'!$C1175,$P$1-1,3),'FA Addition'!$Q1175),FAAddition[[#This Row],[Original Cost (Rs)]]-FAAddition[[#This Row],[Salvage Value]])),0),0)</f>
        <v>0</v>
      </c>
      <c r="AM1175" s="119"/>
      <c r="AN1175" s="117">
        <f>MAX(IF(AH1175&gt;0,IF('FA Addition'!$N1175="SLM",($AF1175-'FA Addition'!$M1175)*'FA Addition'!$P1175*AH1175/365,IFERROR(VDB(AF1175,AF1175*0.05,'FA Addition'!$O1175,0,YEARFRAC('FA Addition'!$C1175,$L$1,3),'FA Addition'!$Q1175),FAAddition[[#This Row],[Original Cost (Rs)]]-FAAddition[[#This Row],[Salvage Value]])),0),0)</f>
        <v>0</v>
      </c>
      <c r="AO1175" s="117">
        <f t="shared" si="93"/>
        <v>0</v>
      </c>
      <c r="AQ1175" s="117">
        <f t="shared" si="91"/>
        <v>0</v>
      </c>
      <c r="AR1175" s="120">
        <f t="shared" si="92"/>
        <v>0</v>
      </c>
      <c r="AS1175" s="121"/>
    </row>
    <row r="1176" spans="1:45" ht="13.5" x14ac:dyDescent="0.4">
      <c r="A1176" s="12">
        <f t="shared" si="94"/>
        <v>1173</v>
      </c>
      <c r="B1176" s="64" t="s">
        <v>1758</v>
      </c>
      <c r="C1176" s="54">
        <v>45588</v>
      </c>
      <c r="D1176" s="54">
        <v>45588</v>
      </c>
      <c r="E1176" s="46" t="s">
        <v>451</v>
      </c>
      <c r="F1176" s="51" t="s">
        <v>19</v>
      </c>
      <c r="G1176" s="51" t="s">
        <v>1919</v>
      </c>
      <c r="H1176" s="51" t="s">
        <v>21</v>
      </c>
      <c r="I1176" s="55" t="s">
        <v>1958</v>
      </c>
      <c r="J1176" s="56">
        <v>1</v>
      </c>
      <c r="K1176" s="51" t="s">
        <v>1846</v>
      </c>
      <c r="L1176" s="58">
        <v>11100</v>
      </c>
      <c r="M1176" s="50">
        <f>ROUND('FA Addition'!$L1176*5%,0.1)</f>
        <v>555</v>
      </c>
      <c r="N1176" s="113" t="str">
        <f>_xlfn.XLOOKUP(_xlfn.CONCAT(E1176,B1176),'Year Wise Master Dep Approach'!F:F,'Year Wise Master Dep Approach'!D:D)</f>
        <v>WDV</v>
      </c>
      <c r="O1176" s="113">
        <f>_xlfn.XLOOKUP(_xlfn.CONCAT(E1176,B1176),'Year Wise Master Dep Approach'!F:F,'Year Wise Master Dep Approach'!E:E)</f>
        <v>3</v>
      </c>
      <c r="P1176" s="114">
        <f>IFERROR(IF('FA Addition'!$N1176="WDV",1-('FA Addition'!$M1176/'FA Addition'!$L1176)^(1/'FA Addition'!$O1176),1/'FA Addition'!$O1176),0)</f>
        <v>0.63159685013596123</v>
      </c>
      <c r="Q1176" s="122">
        <f>'FA Addition'!$P1176*'FA Addition'!$O1176</f>
        <v>1.8947905504078837</v>
      </c>
      <c r="R1176" s="122"/>
      <c r="S1176" s="116">
        <f>IF(AND(DATE(20&amp;LEFT(FAAddition[[#This Row],[FY]],2),4,1)&lt;$L$1+1,DATE(20&amp;LEFT(FAAddition[[#This Row],[FY]],2),4,1)&gt;$P$1-1),'FA Addition'!$J1176,0)</f>
        <v>0</v>
      </c>
      <c r="U1176" s="117">
        <f>S1176*'FA Addition'!$L1176/'FA Addition'!$J1176</f>
        <v>0</v>
      </c>
      <c r="W1176" s="116">
        <f>SUMIFS('FA Write off'!D:D,'FA Write off'!A:A,'FA Addition'!$A1176,'FA Write off'!C:C,"&lt;"&amp;'FA Addition'!$P$1)</f>
        <v>0</v>
      </c>
      <c r="Y1176" s="191">
        <f>IFERROR(W1176/'FA Addition'!$J1176*'FA Addition'!$L1176,0)</f>
        <v>0</v>
      </c>
      <c r="AA1176" s="116">
        <f>SUMIFS('FA Write off'!D:D,'FA Write off'!A:A,'FA Addition'!$A1176,'FA Write off'!C:C,"&lt;"&amp;'FA Addition'!$L$1+1,'FA Write off'!C:C,"&gt;"&amp;'FA Addition'!$L$1-365)</f>
        <v>0</v>
      </c>
      <c r="AC1176" s="118">
        <f>IFERROR(AA1176/'FA Addition'!$J1176*'FA Addition'!$L1176,0)</f>
        <v>0</v>
      </c>
      <c r="AE1176" s="117">
        <f>IF(AND('FA Addition'!$D1176&lt;$P$1+1,U1176=0),'FA Addition'!$L1176,0)-Y1176</f>
        <v>0</v>
      </c>
      <c r="AF1176" s="117">
        <f t="shared" si="90"/>
        <v>0</v>
      </c>
      <c r="AG1176" s="117">
        <f>MIN(MAX(+$P$1-'FA Addition'!$D1176,0),365*'FA Addition'!$O1176)</f>
        <v>0</v>
      </c>
      <c r="AH1176" s="117">
        <f>MIN(MAX($L$1-'FA Addition'!$D1176+1,0),365*'FA Addition'!$O1176)</f>
        <v>0</v>
      </c>
      <c r="AI1176" s="117" cm="1">
        <f t="array" ref="AI1176">_xlfn.XLOOKUP(1,('FA Write off'!A:A='FA Addition'!$A1176)*('FA Write off'!D:D=AA1176),'FA Write off'!H:H,0,0)</f>
        <v>0</v>
      </c>
      <c r="AJ1176" s="117">
        <f>IF(AC1176&gt;0,MAX(IF('FA Addition'!$N1176="SLM",($AC1176-'FA Addition'!$M1176)*'FA Addition'!$P1176*AI1176/365,(AC1176-'FA Addition'!$M1176)*(1-(1-'FA Addition'!$P1176)^(AI1176/365))),0),0)</f>
        <v>0</v>
      </c>
      <c r="AL1176" s="117">
        <f>MAX(IF(AG1176&gt;0,IF('FA Addition'!$N1176="SLM",($AE1176-'FA Addition'!$M1176)*'FA Addition'!$P1176*AG1176/365,IFERROR(VDB(AE1176,AE1176*0.05,'FA Addition'!$O1176,0,YEARFRAC('FA Addition'!$C1176,$P$1-1,3),'FA Addition'!$Q1176),FAAddition[[#This Row],[Original Cost (Rs)]]-FAAddition[[#This Row],[Salvage Value]])),0),0)</f>
        <v>0</v>
      </c>
      <c r="AM1176" s="119"/>
      <c r="AN1176" s="117">
        <f>MAX(IF(AH1176&gt;0,IF('FA Addition'!$N1176="SLM",($AF1176-'FA Addition'!$M1176)*'FA Addition'!$P1176*AH1176/365,IFERROR(VDB(AF1176,AF1176*0.05,'FA Addition'!$O1176,0,YEARFRAC('FA Addition'!$C1176,$L$1,3),'FA Addition'!$Q1176),FAAddition[[#This Row],[Original Cost (Rs)]]-FAAddition[[#This Row],[Salvage Value]])),0),0)</f>
        <v>0</v>
      </c>
      <c r="AO1176" s="117">
        <f t="shared" si="93"/>
        <v>0</v>
      </c>
      <c r="AQ1176" s="117">
        <f t="shared" si="91"/>
        <v>0</v>
      </c>
      <c r="AR1176" s="120">
        <f t="shared" si="92"/>
        <v>0</v>
      </c>
      <c r="AS1176" s="121"/>
    </row>
    <row r="1177" spans="1:45" ht="13.5" x14ac:dyDescent="0.4">
      <c r="A1177" s="12">
        <f t="shared" si="94"/>
        <v>1174</v>
      </c>
      <c r="B1177" s="64" t="s">
        <v>1758</v>
      </c>
      <c r="C1177" s="54">
        <v>45584</v>
      </c>
      <c r="D1177" s="54">
        <v>45593</v>
      </c>
      <c r="E1177" s="46" t="s">
        <v>1320</v>
      </c>
      <c r="F1177" s="51" t="s">
        <v>33</v>
      </c>
      <c r="G1177" s="51" t="s">
        <v>34</v>
      </c>
      <c r="H1177" s="51" t="s">
        <v>32</v>
      </c>
      <c r="I1177" s="55" t="s">
        <v>1959</v>
      </c>
      <c r="J1177" s="56">
        <v>1000</v>
      </c>
      <c r="K1177" s="51" t="s">
        <v>295</v>
      </c>
      <c r="L1177" s="58">
        <v>1665000</v>
      </c>
      <c r="M1177" s="50">
        <f>ROUND('FA Addition'!$L1177*5%,0.1)</f>
        <v>83250</v>
      </c>
      <c r="N1177" s="113" t="str">
        <f>_xlfn.XLOOKUP(_xlfn.CONCAT(E1177,B1177),'Year Wise Master Dep Approach'!F:F,'Year Wise Master Dep Approach'!D:D)</f>
        <v>SLM</v>
      </c>
      <c r="O1177" s="113">
        <f>_xlfn.XLOOKUP(_xlfn.CONCAT(E1177,B1177),'Year Wise Master Dep Approach'!F:F,'Year Wise Master Dep Approach'!E:E)</f>
        <v>5</v>
      </c>
      <c r="P1177" s="114">
        <f>IFERROR(IF('FA Addition'!$N1177="WDV",1-('FA Addition'!$M1177/'FA Addition'!$L1177)^(1/'FA Addition'!$O1177),1/'FA Addition'!$O1177),0)</f>
        <v>0.2</v>
      </c>
      <c r="Q1177" s="122">
        <f>'FA Addition'!$P1177*'FA Addition'!$O1177</f>
        <v>1</v>
      </c>
      <c r="R1177" s="122"/>
      <c r="S1177" s="116">
        <f>IF(AND(DATE(20&amp;LEFT(FAAddition[[#This Row],[FY]],2),4,1)&lt;$L$1+1,DATE(20&amp;LEFT(FAAddition[[#This Row],[FY]],2),4,1)&gt;$P$1-1),'FA Addition'!$J1177,0)</f>
        <v>0</v>
      </c>
      <c r="U1177" s="117">
        <f>S1177*'FA Addition'!$L1177/'FA Addition'!$J1177</f>
        <v>0</v>
      </c>
      <c r="W1177" s="116">
        <f>SUMIFS('FA Write off'!D:D,'FA Write off'!A:A,'FA Addition'!$A1177,'FA Write off'!C:C,"&lt;"&amp;'FA Addition'!$P$1)</f>
        <v>0</v>
      </c>
      <c r="Y1177" s="191">
        <f>IFERROR(W1177/'FA Addition'!$J1177*'FA Addition'!$L1177,0)</f>
        <v>0</v>
      </c>
      <c r="AA1177" s="116">
        <f>SUMIFS('FA Write off'!D:D,'FA Write off'!A:A,'FA Addition'!$A1177,'FA Write off'!C:C,"&lt;"&amp;'FA Addition'!$L$1+1,'FA Write off'!C:C,"&gt;"&amp;'FA Addition'!$L$1-365)</f>
        <v>0</v>
      </c>
      <c r="AC1177" s="118">
        <f>IFERROR(AA1177/'FA Addition'!$J1177*'FA Addition'!$L1177,0)</f>
        <v>0</v>
      </c>
      <c r="AE1177" s="117">
        <f>IF(AND('FA Addition'!$D1177&lt;$P$1+1,U1177=0),'FA Addition'!$L1177,0)-Y1177</f>
        <v>0</v>
      </c>
      <c r="AF1177" s="117">
        <f t="shared" si="90"/>
        <v>0</v>
      </c>
      <c r="AG1177" s="117">
        <f>MIN(MAX(+$P$1-'FA Addition'!$D1177,0),365*'FA Addition'!$O1177)</f>
        <v>0</v>
      </c>
      <c r="AH1177" s="117">
        <f>MIN(MAX($L$1-'FA Addition'!$D1177+1,0),365*'FA Addition'!$O1177)</f>
        <v>0</v>
      </c>
      <c r="AI1177" s="117" cm="1">
        <f t="array" ref="AI1177">_xlfn.XLOOKUP(1,('FA Write off'!A:A='FA Addition'!$A1177)*('FA Write off'!D:D=AA1177),'FA Write off'!H:H,0,0)</f>
        <v>0</v>
      </c>
      <c r="AJ1177" s="117">
        <f>IF(AC1177&gt;0,MAX(IF('FA Addition'!$N1177="SLM",($AC1177-'FA Addition'!$M1177)*'FA Addition'!$P1177*AI1177/365,(AC1177-'FA Addition'!$M1177)*(1-(1-'FA Addition'!$P1177)^(AI1177/365))),0),0)</f>
        <v>0</v>
      </c>
      <c r="AL1177" s="117">
        <f>MAX(IF(AG1177&gt;0,IF('FA Addition'!$N1177="SLM",($AE1177-'FA Addition'!$M1177)*'FA Addition'!$P1177*AG1177/365,IFERROR(VDB(AE1177,AE1177*0.05,'FA Addition'!$O1177,0,YEARFRAC('FA Addition'!$C1177,$P$1-1,3),'FA Addition'!$Q1177),FAAddition[[#This Row],[Original Cost (Rs)]]-FAAddition[[#This Row],[Salvage Value]])),0),0)</f>
        <v>0</v>
      </c>
      <c r="AM1177" s="119"/>
      <c r="AN1177" s="117">
        <f>MAX(IF(AH1177&gt;0,IF('FA Addition'!$N1177="SLM",($AF1177-'FA Addition'!$M1177)*'FA Addition'!$P1177*AH1177/365,IFERROR(VDB(AF1177,AF1177*0.05,'FA Addition'!$O1177,0,YEARFRAC('FA Addition'!$C1177,$L$1,3),'FA Addition'!$Q1177),FAAddition[[#This Row],[Original Cost (Rs)]]-FAAddition[[#This Row],[Salvage Value]])),0),0)</f>
        <v>0</v>
      </c>
      <c r="AO1177" s="117">
        <f t="shared" si="93"/>
        <v>0</v>
      </c>
      <c r="AQ1177" s="117">
        <f t="shared" si="91"/>
        <v>0</v>
      </c>
      <c r="AR1177" s="120">
        <f t="shared" si="92"/>
        <v>0</v>
      </c>
      <c r="AS1177" s="121"/>
    </row>
    <row r="1178" spans="1:45" ht="13.5" x14ac:dyDescent="0.4">
      <c r="A1178" s="12">
        <f t="shared" si="94"/>
        <v>1175</v>
      </c>
      <c r="B1178" s="64" t="s">
        <v>1758</v>
      </c>
      <c r="C1178" s="54">
        <v>45582</v>
      </c>
      <c r="D1178" s="54">
        <v>45593</v>
      </c>
      <c r="E1178" s="46" t="s">
        <v>1320</v>
      </c>
      <c r="F1178" s="51" t="s">
        <v>33</v>
      </c>
      <c r="G1178" s="51" t="s">
        <v>34</v>
      </c>
      <c r="H1178" s="51" t="s">
        <v>32</v>
      </c>
      <c r="I1178" s="55" t="s">
        <v>1960</v>
      </c>
      <c r="J1178" s="56">
        <v>1000</v>
      </c>
      <c r="K1178" s="51" t="s">
        <v>295</v>
      </c>
      <c r="L1178" s="58">
        <v>1665000</v>
      </c>
      <c r="M1178" s="50">
        <f>ROUND('FA Addition'!$L1178*5%,0.1)</f>
        <v>83250</v>
      </c>
      <c r="N1178" s="113" t="str">
        <f>_xlfn.XLOOKUP(_xlfn.CONCAT(E1178,B1178),'Year Wise Master Dep Approach'!F:F,'Year Wise Master Dep Approach'!D:D)</f>
        <v>SLM</v>
      </c>
      <c r="O1178" s="113">
        <f>_xlfn.XLOOKUP(_xlfn.CONCAT(E1178,B1178),'Year Wise Master Dep Approach'!F:F,'Year Wise Master Dep Approach'!E:E)</f>
        <v>5</v>
      </c>
      <c r="P1178" s="114">
        <f>IFERROR(IF('FA Addition'!$N1178="WDV",1-('FA Addition'!$M1178/'FA Addition'!$L1178)^(1/'FA Addition'!$O1178),1/'FA Addition'!$O1178),0)</f>
        <v>0.2</v>
      </c>
      <c r="Q1178" s="122">
        <f>'FA Addition'!$P1178*'FA Addition'!$O1178</f>
        <v>1</v>
      </c>
      <c r="R1178" s="122"/>
      <c r="S1178" s="116">
        <f>IF(AND(DATE(20&amp;LEFT(FAAddition[[#This Row],[FY]],2),4,1)&lt;$L$1+1,DATE(20&amp;LEFT(FAAddition[[#This Row],[FY]],2),4,1)&gt;$P$1-1),'FA Addition'!$J1178,0)</f>
        <v>0</v>
      </c>
      <c r="U1178" s="117">
        <f>S1178*'FA Addition'!$L1178/'FA Addition'!$J1178</f>
        <v>0</v>
      </c>
      <c r="W1178" s="116">
        <f>SUMIFS('FA Write off'!D:D,'FA Write off'!A:A,'FA Addition'!$A1178,'FA Write off'!C:C,"&lt;"&amp;'FA Addition'!$P$1)</f>
        <v>0</v>
      </c>
      <c r="Y1178" s="191">
        <f>IFERROR(W1178/'FA Addition'!$J1178*'FA Addition'!$L1178,0)</f>
        <v>0</v>
      </c>
      <c r="AA1178" s="116">
        <f>SUMIFS('FA Write off'!D:D,'FA Write off'!A:A,'FA Addition'!$A1178,'FA Write off'!C:C,"&lt;"&amp;'FA Addition'!$L$1+1,'FA Write off'!C:C,"&gt;"&amp;'FA Addition'!$L$1-365)</f>
        <v>0</v>
      </c>
      <c r="AC1178" s="118">
        <f>IFERROR(AA1178/'FA Addition'!$J1178*'FA Addition'!$L1178,0)</f>
        <v>0</v>
      </c>
      <c r="AE1178" s="117">
        <f>IF(AND('FA Addition'!$D1178&lt;$P$1+1,U1178=0),'FA Addition'!$L1178,0)-Y1178</f>
        <v>0</v>
      </c>
      <c r="AF1178" s="117">
        <f t="shared" si="90"/>
        <v>0</v>
      </c>
      <c r="AG1178" s="117">
        <f>MIN(MAX(+$P$1-'FA Addition'!$D1178,0),365*'FA Addition'!$O1178)</f>
        <v>0</v>
      </c>
      <c r="AH1178" s="117">
        <f>MIN(MAX($L$1-'FA Addition'!$D1178+1,0),365*'FA Addition'!$O1178)</f>
        <v>0</v>
      </c>
      <c r="AI1178" s="117" cm="1">
        <f t="array" ref="AI1178">_xlfn.XLOOKUP(1,('FA Write off'!A:A='FA Addition'!$A1178)*('FA Write off'!D:D=AA1178),'FA Write off'!H:H,0,0)</f>
        <v>0</v>
      </c>
      <c r="AJ1178" s="117">
        <f>IF(AC1178&gt;0,MAX(IF('FA Addition'!$N1178="SLM",($AC1178-'FA Addition'!$M1178)*'FA Addition'!$P1178*AI1178/365,(AC1178-'FA Addition'!$M1178)*(1-(1-'FA Addition'!$P1178)^(AI1178/365))),0),0)</f>
        <v>0</v>
      </c>
      <c r="AL1178" s="117">
        <f>MAX(IF(AG1178&gt;0,IF('FA Addition'!$N1178="SLM",($AE1178-'FA Addition'!$M1178)*'FA Addition'!$P1178*AG1178/365,IFERROR(VDB(AE1178,AE1178*0.05,'FA Addition'!$O1178,0,YEARFRAC('FA Addition'!$C1178,$P$1-1,3),'FA Addition'!$Q1178),FAAddition[[#This Row],[Original Cost (Rs)]]-FAAddition[[#This Row],[Salvage Value]])),0),0)</f>
        <v>0</v>
      </c>
      <c r="AM1178" s="119"/>
      <c r="AN1178" s="117">
        <f>MAX(IF(AH1178&gt;0,IF('FA Addition'!$N1178="SLM",($AF1178-'FA Addition'!$M1178)*'FA Addition'!$P1178*AH1178/365,IFERROR(VDB(AF1178,AF1178*0.05,'FA Addition'!$O1178,0,YEARFRAC('FA Addition'!$C1178,$L$1,3),'FA Addition'!$Q1178),FAAddition[[#This Row],[Original Cost (Rs)]]-FAAddition[[#This Row],[Salvage Value]])),0),0)</f>
        <v>0</v>
      </c>
      <c r="AO1178" s="117">
        <f t="shared" si="93"/>
        <v>0</v>
      </c>
      <c r="AQ1178" s="117">
        <f t="shared" si="91"/>
        <v>0</v>
      </c>
      <c r="AR1178" s="120">
        <f t="shared" si="92"/>
        <v>0</v>
      </c>
      <c r="AS1178" s="121"/>
    </row>
    <row r="1179" spans="1:45" ht="13.5" x14ac:dyDescent="0.4">
      <c r="A1179" s="12">
        <f t="shared" si="94"/>
        <v>1176</v>
      </c>
      <c r="B1179" s="64" t="s">
        <v>1758</v>
      </c>
      <c r="C1179" s="54">
        <v>45576</v>
      </c>
      <c r="D1179" s="54">
        <v>45593</v>
      </c>
      <c r="E1179" s="46" t="s">
        <v>1320</v>
      </c>
      <c r="F1179" s="51" t="s">
        <v>33</v>
      </c>
      <c r="G1179" s="51" t="s">
        <v>34</v>
      </c>
      <c r="H1179" s="51" t="s">
        <v>32</v>
      </c>
      <c r="I1179" s="55" t="s">
        <v>1961</v>
      </c>
      <c r="J1179" s="56">
        <v>1000</v>
      </c>
      <c r="K1179" s="51" t="s">
        <v>295</v>
      </c>
      <c r="L1179" s="58">
        <v>1665000</v>
      </c>
      <c r="M1179" s="50">
        <f>ROUND('FA Addition'!$L1179*5%,0.1)</f>
        <v>83250</v>
      </c>
      <c r="N1179" s="113" t="str">
        <f>_xlfn.XLOOKUP(_xlfn.CONCAT(E1179,B1179),'Year Wise Master Dep Approach'!F:F,'Year Wise Master Dep Approach'!D:D)</f>
        <v>SLM</v>
      </c>
      <c r="O1179" s="113">
        <f>_xlfn.XLOOKUP(_xlfn.CONCAT(E1179,B1179),'Year Wise Master Dep Approach'!F:F,'Year Wise Master Dep Approach'!E:E)</f>
        <v>5</v>
      </c>
      <c r="P1179" s="114">
        <f>IFERROR(IF('FA Addition'!$N1179="WDV",1-('FA Addition'!$M1179/'FA Addition'!$L1179)^(1/'FA Addition'!$O1179),1/'FA Addition'!$O1179),0)</f>
        <v>0.2</v>
      </c>
      <c r="Q1179" s="122">
        <f>'FA Addition'!$P1179*'FA Addition'!$O1179</f>
        <v>1</v>
      </c>
      <c r="R1179" s="122"/>
      <c r="S1179" s="116">
        <f>IF(AND(DATE(20&amp;LEFT(FAAddition[[#This Row],[FY]],2),4,1)&lt;$L$1+1,DATE(20&amp;LEFT(FAAddition[[#This Row],[FY]],2),4,1)&gt;$P$1-1),'FA Addition'!$J1179,0)</f>
        <v>0</v>
      </c>
      <c r="U1179" s="117">
        <f>S1179*'FA Addition'!$L1179/'FA Addition'!$J1179</f>
        <v>0</v>
      </c>
      <c r="W1179" s="116">
        <f>SUMIFS('FA Write off'!D:D,'FA Write off'!A:A,'FA Addition'!$A1179,'FA Write off'!C:C,"&lt;"&amp;'FA Addition'!$P$1)</f>
        <v>0</v>
      </c>
      <c r="Y1179" s="191">
        <f>IFERROR(W1179/'FA Addition'!$J1179*'FA Addition'!$L1179,0)</f>
        <v>0</v>
      </c>
      <c r="AA1179" s="116">
        <f>SUMIFS('FA Write off'!D:D,'FA Write off'!A:A,'FA Addition'!$A1179,'FA Write off'!C:C,"&lt;"&amp;'FA Addition'!$L$1+1,'FA Write off'!C:C,"&gt;"&amp;'FA Addition'!$L$1-365)</f>
        <v>0</v>
      </c>
      <c r="AC1179" s="118">
        <f>IFERROR(AA1179/'FA Addition'!$J1179*'FA Addition'!$L1179,0)</f>
        <v>0</v>
      </c>
      <c r="AE1179" s="117">
        <f>IF(AND('FA Addition'!$D1179&lt;$P$1+1,U1179=0),'FA Addition'!$L1179,0)-Y1179</f>
        <v>0</v>
      </c>
      <c r="AF1179" s="117">
        <f t="shared" si="90"/>
        <v>0</v>
      </c>
      <c r="AG1179" s="117">
        <f>MIN(MAX(+$P$1-'FA Addition'!$D1179,0),365*'FA Addition'!$O1179)</f>
        <v>0</v>
      </c>
      <c r="AH1179" s="117">
        <f>MIN(MAX($L$1-'FA Addition'!$D1179+1,0),365*'FA Addition'!$O1179)</f>
        <v>0</v>
      </c>
      <c r="AI1179" s="117" cm="1">
        <f t="array" ref="AI1179">_xlfn.XLOOKUP(1,('FA Write off'!A:A='FA Addition'!$A1179)*('FA Write off'!D:D=AA1179),'FA Write off'!H:H,0,0)</f>
        <v>0</v>
      </c>
      <c r="AJ1179" s="117">
        <f>IF(AC1179&gt;0,MAX(IF('FA Addition'!$N1179="SLM",($AC1179-'FA Addition'!$M1179)*'FA Addition'!$P1179*AI1179/365,(AC1179-'FA Addition'!$M1179)*(1-(1-'FA Addition'!$P1179)^(AI1179/365))),0),0)</f>
        <v>0</v>
      </c>
      <c r="AL1179" s="117">
        <f>MAX(IF(AG1179&gt;0,IF('FA Addition'!$N1179="SLM",($AE1179-'FA Addition'!$M1179)*'FA Addition'!$P1179*AG1179/365,IFERROR(VDB(AE1179,AE1179*0.05,'FA Addition'!$O1179,0,YEARFRAC('FA Addition'!$C1179,$P$1-1,3),'FA Addition'!$Q1179),FAAddition[[#This Row],[Original Cost (Rs)]]-FAAddition[[#This Row],[Salvage Value]])),0),0)</f>
        <v>0</v>
      </c>
      <c r="AM1179" s="119"/>
      <c r="AN1179" s="117">
        <f>MAX(IF(AH1179&gt;0,IF('FA Addition'!$N1179="SLM",($AF1179-'FA Addition'!$M1179)*'FA Addition'!$P1179*AH1179/365,IFERROR(VDB(AF1179,AF1179*0.05,'FA Addition'!$O1179,0,YEARFRAC('FA Addition'!$C1179,$L$1,3),'FA Addition'!$Q1179),FAAddition[[#This Row],[Original Cost (Rs)]]-FAAddition[[#This Row],[Salvage Value]])),0),0)</f>
        <v>0</v>
      </c>
      <c r="AO1179" s="117">
        <f t="shared" si="93"/>
        <v>0</v>
      </c>
      <c r="AQ1179" s="117">
        <f t="shared" si="91"/>
        <v>0</v>
      </c>
      <c r="AR1179" s="120">
        <f t="shared" si="92"/>
        <v>0</v>
      </c>
      <c r="AS1179" s="121"/>
    </row>
    <row r="1180" spans="1:45" ht="13.5" x14ac:dyDescent="0.4">
      <c r="A1180" s="12">
        <f t="shared" si="94"/>
        <v>1177</v>
      </c>
      <c r="B1180" s="64" t="s">
        <v>1758</v>
      </c>
      <c r="C1180" s="54">
        <v>45601</v>
      </c>
      <c r="D1180" s="54">
        <v>45601</v>
      </c>
      <c r="E1180" s="46" t="s">
        <v>451</v>
      </c>
      <c r="F1180" s="51" t="s">
        <v>19</v>
      </c>
      <c r="G1180" s="51" t="s">
        <v>1728</v>
      </c>
      <c r="H1180" s="51" t="s">
        <v>21</v>
      </c>
      <c r="I1180" s="55" t="s">
        <v>1962</v>
      </c>
      <c r="J1180" s="56">
        <v>1</v>
      </c>
      <c r="K1180" s="51" t="s">
        <v>1864</v>
      </c>
      <c r="L1180" s="58">
        <v>58000</v>
      </c>
      <c r="M1180" s="50">
        <f>ROUND('FA Addition'!$L1180*5%,0.1)</f>
        <v>2900</v>
      </c>
      <c r="N1180" s="113" t="str">
        <f>_xlfn.XLOOKUP(_xlfn.CONCAT(E1180,B1180),'Year Wise Master Dep Approach'!F:F,'Year Wise Master Dep Approach'!D:D)</f>
        <v>WDV</v>
      </c>
      <c r="O1180" s="113">
        <f>_xlfn.XLOOKUP(_xlfn.CONCAT(E1180,B1180),'Year Wise Master Dep Approach'!F:F,'Year Wise Master Dep Approach'!E:E)</f>
        <v>3</v>
      </c>
      <c r="P1180" s="114">
        <f>IFERROR(IF('FA Addition'!$N1180="WDV",1-('FA Addition'!$M1180/'FA Addition'!$L1180)^(1/'FA Addition'!$O1180),1/'FA Addition'!$O1180),0)</f>
        <v>0.63159685013596123</v>
      </c>
      <c r="Q1180" s="122">
        <f>'FA Addition'!$P1180*'FA Addition'!$O1180</f>
        <v>1.8947905504078837</v>
      </c>
      <c r="R1180" s="122"/>
      <c r="S1180" s="116">
        <f>IF(AND(DATE(20&amp;LEFT(FAAddition[[#This Row],[FY]],2),4,1)&lt;$L$1+1,DATE(20&amp;LEFT(FAAddition[[#This Row],[FY]],2),4,1)&gt;$P$1-1),'FA Addition'!$J1180,0)</f>
        <v>0</v>
      </c>
      <c r="U1180" s="117">
        <f>S1180*'FA Addition'!$L1180/'FA Addition'!$J1180</f>
        <v>0</v>
      </c>
      <c r="W1180" s="116">
        <f>SUMIFS('FA Write off'!D:D,'FA Write off'!A:A,'FA Addition'!$A1180,'FA Write off'!C:C,"&lt;"&amp;'FA Addition'!$P$1)</f>
        <v>0</v>
      </c>
      <c r="Y1180" s="191">
        <f>IFERROR(W1180/'FA Addition'!$J1180*'FA Addition'!$L1180,0)</f>
        <v>0</v>
      </c>
      <c r="AA1180" s="116">
        <f>SUMIFS('FA Write off'!D:D,'FA Write off'!A:A,'FA Addition'!$A1180,'FA Write off'!C:C,"&lt;"&amp;'FA Addition'!$L$1+1,'FA Write off'!C:C,"&gt;"&amp;'FA Addition'!$L$1-365)</f>
        <v>0</v>
      </c>
      <c r="AC1180" s="118">
        <f>IFERROR(AA1180/'FA Addition'!$J1180*'FA Addition'!$L1180,0)</f>
        <v>0</v>
      </c>
      <c r="AE1180" s="117">
        <f>IF(AND('FA Addition'!$D1180&lt;$P$1+1,U1180=0),'FA Addition'!$L1180,0)-Y1180</f>
        <v>0</v>
      </c>
      <c r="AF1180" s="117">
        <f t="shared" si="90"/>
        <v>0</v>
      </c>
      <c r="AG1180" s="117">
        <f>MIN(MAX(+$P$1-'FA Addition'!$D1180,0),365*'FA Addition'!$O1180)</f>
        <v>0</v>
      </c>
      <c r="AH1180" s="117">
        <f>MIN(MAX($L$1-'FA Addition'!$D1180+1,0),365*'FA Addition'!$O1180)</f>
        <v>0</v>
      </c>
      <c r="AI1180" s="117" cm="1">
        <f t="array" ref="AI1180">_xlfn.XLOOKUP(1,('FA Write off'!A:A='FA Addition'!$A1180)*('FA Write off'!D:D=AA1180),'FA Write off'!H:H,0,0)</f>
        <v>0</v>
      </c>
      <c r="AJ1180" s="117">
        <f>IF(AC1180&gt;0,MAX(IF('FA Addition'!$N1180="SLM",($AC1180-'FA Addition'!$M1180)*'FA Addition'!$P1180*AI1180/365,(AC1180-'FA Addition'!$M1180)*(1-(1-'FA Addition'!$P1180)^(AI1180/365))),0),0)</f>
        <v>0</v>
      </c>
      <c r="AL1180" s="117">
        <f>MAX(IF(AG1180&gt;0,IF('FA Addition'!$N1180="SLM",($AE1180-'FA Addition'!$M1180)*'FA Addition'!$P1180*AG1180/365,IFERROR(VDB(AE1180,AE1180*0.05,'FA Addition'!$O1180,0,YEARFRAC('FA Addition'!$C1180,$P$1-1,3),'FA Addition'!$Q1180),FAAddition[[#This Row],[Original Cost (Rs)]]-FAAddition[[#This Row],[Salvage Value]])),0),0)</f>
        <v>0</v>
      </c>
      <c r="AM1180" s="119"/>
      <c r="AN1180" s="117">
        <f>MAX(IF(AH1180&gt;0,IF('FA Addition'!$N1180="SLM",($AF1180-'FA Addition'!$M1180)*'FA Addition'!$P1180*AH1180/365,IFERROR(VDB(AF1180,AF1180*0.05,'FA Addition'!$O1180,0,YEARFRAC('FA Addition'!$C1180,$L$1,3),'FA Addition'!$Q1180),FAAddition[[#This Row],[Original Cost (Rs)]]-FAAddition[[#This Row],[Salvage Value]])),0),0)</f>
        <v>0</v>
      </c>
      <c r="AO1180" s="117">
        <f t="shared" si="93"/>
        <v>0</v>
      </c>
      <c r="AQ1180" s="117">
        <f t="shared" si="91"/>
        <v>0</v>
      </c>
      <c r="AR1180" s="120">
        <f t="shared" si="92"/>
        <v>0</v>
      </c>
      <c r="AS1180" s="121"/>
    </row>
    <row r="1181" spans="1:45" ht="13.5" x14ac:dyDescent="0.4">
      <c r="A1181" s="12">
        <f t="shared" si="94"/>
        <v>1178</v>
      </c>
      <c r="B1181" s="64" t="s">
        <v>1758</v>
      </c>
      <c r="C1181" s="54">
        <v>45606</v>
      </c>
      <c r="D1181" s="54">
        <v>45606</v>
      </c>
      <c r="E1181" s="46" t="s">
        <v>451</v>
      </c>
      <c r="F1181" s="51" t="s">
        <v>19</v>
      </c>
      <c r="G1181" s="51" t="s">
        <v>1963</v>
      </c>
      <c r="H1181" s="51" t="s">
        <v>21</v>
      </c>
      <c r="I1181" s="55" t="s">
        <v>1964</v>
      </c>
      <c r="J1181" s="56">
        <v>1</v>
      </c>
      <c r="K1181" s="51" t="s">
        <v>1965</v>
      </c>
      <c r="L1181" s="58">
        <v>41093.22</v>
      </c>
      <c r="M1181" s="50">
        <f>ROUND('FA Addition'!$L1181*5%,0.1)</f>
        <v>2055</v>
      </c>
      <c r="N1181" s="113" t="str">
        <f>_xlfn.XLOOKUP(_xlfn.CONCAT(E1181,B1181),'Year Wise Master Dep Approach'!F:F,'Year Wise Master Dep Approach'!D:D)</f>
        <v>WDV</v>
      </c>
      <c r="O1181" s="113">
        <f>_xlfn.XLOOKUP(_xlfn.CONCAT(E1181,B1181),'Year Wise Master Dep Approach'!F:F,'Year Wise Master Dep Approach'!E:E)</f>
        <v>3</v>
      </c>
      <c r="P1181" s="114">
        <f>IFERROR(IF('FA Addition'!$N1181="WDV",1-('FA Addition'!$M1181/'FA Addition'!$L1181)^(1/'FA Addition'!$O1181),1/'FA Addition'!$O1181),0)</f>
        <v>0.63157659021636992</v>
      </c>
      <c r="Q1181" s="122">
        <f>'FA Addition'!$P1181*'FA Addition'!$O1181</f>
        <v>1.8947297706491097</v>
      </c>
      <c r="R1181" s="122"/>
      <c r="S1181" s="116">
        <f>IF(AND(DATE(20&amp;LEFT(FAAddition[[#This Row],[FY]],2),4,1)&lt;$L$1+1,DATE(20&amp;LEFT(FAAddition[[#This Row],[FY]],2),4,1)&gt;$P$1-1),'FA Addition'!$J1181,0)</f>
        <v>0</v>
      </c>
      <c r="U1181" s="117">
        <f>S1181*'FA Addition'!$L1181/'FA Addition'!$J1181</f>
        <v>0</v>
      </c>
      <c r="W1181" s="116">
        <f>SUMIFS('FA Write off'!D:D,'FA Write off'!A:A,'FA Addition'!$A1181,'FA Write off'!C:C,"&lt;"&amp;'FA Addition'!$P$1)</f>
        <v>0</v>
      </c>
      <c r="Y1181" s="191">
        <f>IFERROR(W1181/'FA Addition'!$J1181*'FA Addition'!$L1181,0)</f>
        <v>0</v>
      </c>
      <c r="AA1181" s="116">
        <f>SUMIFS('FA Write off'!D:D,'FA Write off'!A:A,'FA Addition'!$A1181,'FA Write off'!C:C,"&lt;"&amp;'FA Addition'!$L$1+1,'FA Write off'!C:C,"&gt;"&amp;'FA Addition'!$L$1-365)</f>
        <v>0</v>
      </c>
      <c r="AC1181" s="118">
        <f>IFERROR(AA1181/'FA Addition'!$J1181*'FA Addition'!$L1181,0)</f>
        <v>0</v>
      </c>
      <c r="AE1181" s="117">
        <f>IF(AND('FA Addition'!$D1181&lt;$P$1+1,U1181=0),'FA Addition'!$L1181,0)-Y1181</f>
        <v>0</v>
      </c>
      <c r="AF1181" s="117">
        <f t="shared" si="90"/>
        <v>0</v>
      </c>
      <c r="AG1181" s="117">
        <f>MIN(MAX(+$P$1-'FA Addition'!$D1181,0),365*'FA Addition'!$O1181)</f>
        <v>0</v>
      </c>
      <c r="AH1181" s="117">
        <f>MIN(MAX($L$1-'FA Addition'!$D1181+1,0),365*'FA Addition'!$O1181)</f>
        <v>0</v>
      </c>
      <c r="AI1181" s="117" cm="1">
        <f t="array" ref="AI1181">_xlfn.XLOOKUP(1,('FA Write off'!A:A='FA Addition'!$A1181)*('FA Write off'!D:D=AA1181),'FA Write off'!H:H,0,0)</f>
        <v>0</v>
      </c>
      <c r="AJ1181" s="117">
        <f>IF(AC1181&gt;0,MAX(IF('FA Addition'!$N1181="SLM",($AC1181-'FA Addition'!$M1181)*'FA Addition'!$P1181*AI1181/365,(AC1181-'FA Addition'!$M1181)*(1-(1-'FA Addition'!$P1181)^(AI1181/365))),0),0)</f>
        <v>0</v>
      </c>
      <c r="AL1181" s="117">
        <f>MAX(IF(AG1181&gt;0,IF('FA Addition'!$N1181="SLM",($AE1181-'FA Addition'!$M1181)*'FA Addition'!$P1181*AG1181/365,IFERROR(VDB(AE1181,AE1181*0.05,'FA Addition'!$O1181,0,YEARFRAC('FA Addition'!$C1181,$P$1-1,3),'FA Addition'!$Q1181),FAAddition[[#This Row],[Original Cost (Rs)]]-FAAddition[[#This Row],[Salvage Value]])),0),0)</f>
        <v>0</v>
      </c>
      <c r="AM1181" s="119"/>
      <c r="AN1181" s="117">
        <f>MAX(IF(AH1181&gt;0,IF('FA Addition'!$N1181="SLM",($AF1181-'FA Addition'!$M1181)*'FA Addition'!$P1181*AH1181/365,IFERROR(VDB(AF1181,AF1181*0.05,'FA Addition'!$O1181,0,YEARFRAC('FA Addition'!$C1181,$L$1,3),'FA Addition'!$Q1181),FAAddition[[#This Row],[Original Cost (Rs)]]-FAAddition[[#This Row],[Salvage Value]])),0),0)</f>
        <v>0</v>
      </c>
      <c r="AO1181" s="117">
        <f t="shared" si="93"/>
        <v>0</v>
      </c>
      <c r="AQ1181" s="117">
        <f t="shared" si="91"/>
        <v>0</v>
      </c>
      <c r="AR1181" s="120">
        <f t="shared" si="92"/>
        <v>0</v>
      </c>
      <c r="AS1181" s="121"/>
    </row>
    <row r="1182" spans="1:45" ht="13.5" x14ac:dyDescent="0.4">
      <c r="A1182" s="12">
        <f t="shared" si="94"/>
        <v>1179</v>
      </c>
      <c r="B1182" s="64" t="s">
        <v>1758</v>
      </c>
      <c r="C1182" s="54">
        <v>45609</v>
      </c>
      <c r="D1182" s="54">
        <v>45609</v>
      </c>
      <c r="E1182" s="46" t="s">
        <v>1320</v>
      </c>
      <c r="F1182" s="51" t="s">
        <v>33</v>
      </c>
      <c r="G1182" s="51" t="s">
        <v>36</v>
      </c>
      <c r="H1182" s="51" t="s">
        <v>32</v>
      </c>
      <c r="I1182" s="55" t="s">
        <v>1966</v>
      </c>
      <c r="J1182" s="56">
        <v>900</v>
      </c>
      <c r="K1182" s="51" t="s">
        <v>296</v>
      </c>
      <c r="L1182" s="58">
        <v>1440000</v>
      </c>
      <c r="M1182" s="50">
        <f>ROUND('FA Addition'!$L1182*5%,0.1)</f>
        <v>72000</v>
      </c>
      <c r="N1182" s="113" t="str">
        <f>_xlfn.XLOOKUP(_xlfn.CONCAT(E1182,B1182),'Year Wise Master Dep Approach'!F:F,'Year Wise Master Dep Approach'!D:D)</f>
        <v>SLM</v>
      </c>
      <c r="O1182" s="113">
        <f>_xlfn.XLOOKUP(_xlfn.CONCAT(E1182,B1182),'Year Wise Master Dep Approach'!F:F,'Year Wise Master Dep Approach'!E:E)</f>
        <v>5</v>
      </c>
      <c r="P1182" s="114">
        <f>IFERROR(IF('FA Addition'!$N1182="WDV",1-('FA Addition'!$M1182/'FA Addition'!$L1182)^(1/'FA Addition'!$O1182),1/'FA Addition'!$O1182),0)</f>
        <v>0.2</v>
      </c>
      <c r="Q1182" s="122">
        <f>'FA Addition'!$P1182*'FA Addition'!$O1182</f>
        <v>1</v>
      </c>
      <c r="R1182" s="122"/>
      <c r="S1182" s="116">
        <f>IF(AND(DATE(20&amp;LEFT(FAAddition[[#This Row],[FY]],2),4,1)&lt;$L$1+1,DATE(20&amp;LEFT(FAAddition[[#This Row],[FY]],2),4,1)&gt;$P$1-1),'FA Addition'!$J1182,0)</f>
        <v>0</v>
      </c>
      <c r="U1182" s="117">
        <f>S1182*'FA Addition'!$L1182/'FA Addition'!$J1182</f>
        <v>0</v>
      </c>
      <c r="W1182" s="116">
        <f>SUMIFS('FA Write off'!D:D,'FA Write off'!A:A,'FA Addition'!$A1182,'FA Write off'!C:C,"&lt;"&amp;'FA Addition'!$P$1)</f>
        <v>0</v>
      </c>
      <c r="Y1182" s="191">
        <f>IFERROR(W1182/'FA Addition'!$J1182*'FA Addition'!$L1182,0)</f>
        <v>0</v>
      </c>
      <c r="AA1182" s="116">
        <f>SUMIFS('FA Write off'!D:D,'FA Write off'!A:A,'FA Addition'!$A1182,'FA Write off'!C:C,"&lt;"&amp;'FA Addition'!$L$1+1,'FA Write off'!C:C,"&gt;"&amp;'FA Addition'!$L$1-365)</f>
        <v>0</v>
      </c>
      <c r="AC1182" s="118">
        <f>IFERROR(AA1182/'FA Addition'!$J1182*'FA Addition'!$L1182,0)</f>
        <v>0</v>
      </c>
      <c r="AE1182" s="117">
        <f>IF(AND('FA Addition'!$D1182&lt;$P$1+1,U1182=0),'FA Addition'!$L1182,0)-Y1182</f>
        <v>0</v>
      </c>
      <c r="AF1182" s="117">
        <f t="shared" si="90"/>
        <v>0</v>
      </c>
      <c r="AG1182" s="117">
        <f>MIN(MAX(+$P$1-'FA Addition'!$D1182,0),365*'FA Addition'!$O1182)</f>
        <v>0</v>
      </c>
      <c r="AH1182" s="117">
        <f>MIN(MAX($L$1-'FA Addition'!$D1182+1,0),365*'FA Addition'!$O1182)</f>
        <v>0</v>
      </c>
      <c r="AI1182" s="117" cm="1">
        <f t="array" ref="AI1182">_xlfn.XLOOKUP(1,('FA Write off'!A:A='FA Addition'!$A1182)*('FA Write off'!D:D=AA1182),'FA Write off'!H:H,0,0)</f>
        <v>0</v>
      </c>
      <c r="AJ1182" s="117">
        <f>IF(AC1182&gt;0,MAX(IF('FA Addition'!$N1182="SLM",($AC1182-'FA Addition'!$M1182)*'FA Addition'!$P1182*AI1182/365,(AC1182-'FA Addition'!$M1182)*(1-(1-'FA Addition'!$P1182)^(AI1182/365))),0),0)</f>
        <v>0</v>
      </c>
      <c r="AL1182" s="117">
        <f>MAX(IF(AG1182&gt;0,IF('FA Addition'!$N1182="SLM",($AE1182-'FA Addition'!$M1182)*'FA Addition'!$P1182*AG1182/365,IFERROR(VDB(AE1182,AE1182*0.05,'FA Addition'!$O1182,0,YEARFRAC('FA Addition'!$C1182,$P$1-1,3),'FA Addition'!$Q1182),FAAddition[[#This Row],[Original Cost (Rs)]]-FAAddition[[#This Row],[Salvage Value]])),0),0)</f>
        <v>0</v>
      </c>
      <c r="AM1182" s="119"/>
      <c r="AN1182" s="117">
        <f>MAX(IF(AH1182&gt;0,IF('FA Addition'!$N1182="SLM",($AF1182-'FA Addition'!$M1182)*'FA Addition'!$P1182*AH1182/365,IFERROR(VDB(AF1182,AF1182*0.05,'FA Addition'!$O1182,0,YEARFRAC('FA Addition'!$C1182,$L$1,3),'FA Addition'!$Q1182),FAAddition[[#This Row],[Original Cost (Rs)]]-FAAddition[[#This Row],[Salvage Value]])),0),0)</f>
        <v>0</v>
      </c>
      <c r="AO1182" s="117">
        <f t="shared" si="93"/>
        <v>0</v>
      </c>
      <c r="AQ1182" s="117">
        <f t="shared" si="91"/>
        <v>0</v>
      </c>
      <c r="AR1182" s="120">
        <f t="shared" si="92"/>
        <v>0</v>
      </c>
      <c r="AS1182" s="121"/>
    </row>
    <row r="1183" spans="1:45" ht="13.5" x14ac:dyDescent="0.4">
      <c r="A1183" s="12">
        <f t="shared" si="94"/>
        <v>1180</v>
      </c>
      <c r="B1183" s="64" t="s">
        <v>1758</v>
      </c>
      <c r="C1183" s="54">
        <v>45609</v>
      </c>
      <c r="D1183" s="54">
        <v>45609</v>
      </c>
      <c r="E1183" s="46" t="s">
        <v>1320</v>
      </c>
      <c r="F1183" s="51" t="s">
        <v>33</v>
      </c>
      <c r="G1183" s="51" t="s">
        <v>36</v>
      </c>
      <c r="H1183" s="51" t="s">
        <v>32</v>
      </c>
      <c r="I1183" s="55" t="s">
        <v>1967</v>
      </c>
      <c r="J1183" s="56">
        <v>100</v>
      </c>
      <c r="K1183" s="51" t="s">
        <v>296</v>
      </c>
      <c r="L1183" s="58">
        <v>160000</v>
      </c>
      <c r="M1183" s="50">
        <f>ROUND('FA Addition'!$L1183*5%,0.1)</f>
        <v>8000</v>
      </c>
      <c r="N1183" s="113" t="str">
        <f>_xlfn.XLOOKUP(_xlfn.CONCAT(E1183,B1183),'Year Wise Master Dep Approach'!F:F,'Year Wise Master Dep Approach'!D:D)</f>
        <v>SLM</v>
      </c>
      <c r="O1183" s="113">
        <f>_xlfn.XLOOKUP(_xlfn.CONCAT(E1183,B1183),'Year Wise Master Dep Approach'!F:F,'Year Wise Master Dep Approach'!E:E)</f>
        <v>5</v>
      </c>
      <c r="P1183" s="114">
        <f>IFERROR(IF('FA Addition'!$N1183="WDV",1-('FA Addition'!$M1183/'FA Addition'!$L1183)^(1/'FA Addition'!$O1183),1/'FA Addition'!$O1183),0)</f>
        <v>0.2</v>
      </c>
      <c r="Q1183" s="122">
        <f>'FA Addition'!$P1183*'FA Addition'!$O1183</f>
        <v>1</v>
      </c>
      <c r="R1183" s="122"/>
      <c r="S1183" s="116">
        <f>IF(AND(DATE(20&amp;LEFT(FAAddition[[#This Row],[FY]],2),4,1)&lt;$L$1+1,DATE(20&amp;LEFT(FAAddition[[#This Row],[FY]],2),4,1)&gt;$P$1-1),'FA Addition'!$J1183,0)</f>
        <v>0</v>
      </c>
      <c r="U1183" s="117">
        <f>S1183*'FA Addition'!$L1183/'FA Addition'!$J1183</f>
        <v>0</v>
      </c>
      <c r="W1183" s="116">
        <f>SUMIFS('FA Write off'!D:D,'FA Write off'!A:A,'FA Addition'!$A1183,'FA Write off'!C:C,"&lt;"&amp;'FA Addition'!$P$1)</f>
        <v>0</v>
      </c>
      <c r="Y1183" s="191">
        <f>IFERROR(W1183/'FA Addition'!$J1183*'FA Addition'!$L1183,0)</f>
        <v>0</v>
      </c>
      <c r="AA1183" s="116">
        <f>SUMIFS('FA Write off'!D:D,'FA Write off'!A:A,'FA Addition'!$A1183,'FA Write off'!C:C,"&lt;"&amp;'FA Addition'!$L$1+1,'FA Write off'!C:C,"&gt;"&amp;'FA Addition'!$L$1-365)</f>
        <v>0</v>
      </c>
      <c r="AC1183" s="118">
        <f>IFERROR(AA1183/'FA Addition'!$J1183*'FA Addition'!$L1183,0)</f>
        <v>0</v>
      </c>
      <c r="AE1183" s="117">
        <f>IF(AND('FA Addition'!$D1183&lt;$P$1+1,U1183=0),'FA Addition'!$L1183,0)-Y1183</f>
        <v>0</v>
      </c>
      <c r="AF1183" s="117">
        <f t="shared" si="90"/>
        <v>0</v>
      </c>
      <c r="AG1183" s="117">
        <f>MIN(MAX(+$P$1-'FA Addition'!$D1183,0),365*'FA Addition'!$O1183)</f>
        <v>0</v>
      </c>
      <c r="AH1183" s="117">
        <f>MIN(MAX($L$1-'FA Addition'!$D1183+1,0),365*'FA Addition'!$O1183)</f>
        <v>0</v>
      </c>
      <c r="AI1183" s="117" cm="1">
        <f t="array" ref="AI1183">_xlfn.XLOOKUP(1,('FA Write off'!A:A='FA Addition'!$A1183)*('FA Write off'!D:D=AA1183),'FA Write off'!H:H,0,0)</f>
        <v>0</v>
      </c>
      <c r="AJ1183" s="117">
        <f>IF(AC1183&gt;0,MAX(IF('FA Addition'!$N1183="SLM",($AC1183-'FA Addition'!$M1183)*'FA Addition'!$P1183*AI1183/365,(AC1183-'FA Addition'!$M1183)*(1-(1-'FA Addition'!$P1183)^(AI1183/365))),0),0)</f>
        <v>0</v>
      </c>
      <c r="AL1183" s="117">
        <f>MAX(IF(AG1183&gt;0,IF('FA Addition'!$N1183="SLM",($AE1183-'FA Addition'!$M1183)*'FA Addition'!$P1183*AG1183/365,IFERROR(VDB(AE1183,AE1183*0.05,'FA Addition'!$O1183,0,YEARFRAC('FA Addition'!$C1183,$P$1-1,3),'FA Addition'!$Q1183),FAAddition[[#This Row],[Original Cost (Rs)]]-FAAddition[[#This Row],[Salvage Value]])),0),0)</f>
        <v>0</v>
      </c>
      <c r="AM1183" s="119"/>
      <c r="AN1183" s="117">
        <f>MAX(IF(AH1183&gt;0,IF('FA Addition'!$N1183="SLM",($AF1183-'FA Addition'!$M1183)*'FA Addition'!$P1183*AH1183/365,IFERROR(VDB(AF1183,AF1183*0.05,'FA Addition'!$O1183,0,YEARFRAC('FA Addition'!$C1183,$L$1,3),'FA Addition'!$Q1183),FAAddition[[#This Row],[Original Cost (Rs)]]-FAAddition[[#This Row],[Salvage Value]])),0),0)</f>
        <v>0</v>
      </c>
      <c r="AO1183" s="117">
        <f t="shared" si="93"/>
        <v>0</v>
      </c>
      <c r="AQ1183" s="117">
        <f t="shared" si="91"/>
        <v>0</v>
      </c>
      <c r="AR1183" s="120">
        <f t="shared" si="92"/>
        <v>0</v>
      </c>
      <c r="AS1183" s="121"/>
    </row>
    <row r="1184" spans="1:45" ht="13.5" x14ac:dyDescent="0.4">
      <c r="A1184" s="12">
        <f t="shared" si="94"/>
        <v>1181</v>
      </c>
      <c r="B1184" s="64" t="s">
        <v>1758</v>
      </c>
      <c r="C1184" s="54">
        <v>45614</v>
      </c>
      <c r="D1184" s="54">
        <v>45610</v>
      </c>
      <c r="E1184" s="46" t="s">
        <v>1320</v>
      </c>
      <c r="F1184" s="51" t="s">
        <v>33</v>
      </c>
      <c r="G1184" s="51" t="s">
        <v>1936</v>
      </c>
      <c r="H1184" s="51" t="s">
        <v>26</v>
      </c>
      <c r="I1184" s="55">
        <v>642</v>
      </c>
      <c r="J1184" s="56">
        <v>2000</v>
      </c>
      <c r="K1184" s="51" t="s">
        <v>1968</v>
      </c>
      <c r="L1184" s="58">
        <v>135000</v>
      </c>
      <c r="M1184" s="50">
        <f>ROUND('FA Addition'!$L1184*5%,0.1)</f>
        <v>6750</v>
      </c>
      <c r="N1184" s="113" t="str">
        <f>_xlfn.XLOOKUP(_xlfn.CONCAT(E1184,B1184),'Year Wise Master Dep Approach'!F:F,'Year Wise Master Dep Approach'!D:D)</f>
        <v>SLM</v>
      </c>
      <c r="O1184" s="113">
        <f>_xlfn.XLOOKUP(_xlfn.CONCAT(E1184,B1184),'Year Wise Master Dep Approach'!F:F,'Year Wise Master Dep Approach'!E:E)</f>
        <v>5</v>
      </c>
      <c r="P1184" s="114">
        <f>IFERROR(IF('FA Addition'!$N1184="WDV",1-('FA Addition'!$M1184/'FA Addition'!$L1184)^(1/'FA Addition'!$O1184),1/'FA Addition'!$O1184),0)</f>
        <v>0.2</v>
      </c>
      <c r="Q1184" s="122">
        <f>'FA Addition'!$P1184*'FA Addition'!$O1184</f>
        <v>1</v>
      </c>
      <c r="R1184" s="122"/>
      <c r="S1184" s="116">
        <f>IF(AND(DATE(20&amp;LEFT(FAAddition[[#This Row],[FY]],2),4,1)&lt;$L$1+1,DATE(20&amp;LEFT(FAAddition[[#This Row],[FY]],2),4,1)&gt;$P$1-1),'FA Addition'!$J1184,0)</f>
        <v>0</v>
      </c>
      <c r="U1184" s="117">
        <f>S1184*'FA Addition'!$L1184/'FA Addition'!$J1184</f>
        <v>0</v>
      </c>
      <c r="W1184" s="116">
        <f>SUMIFS('FA Write off'!D:D,'FA Write off'!A:A,'FA Addition'!$A1184,'FA Write off'!C:C,"&lt;"&amp;'FA Addition'!$P$1)</f>
        <v>0</v>
      </c>
      <c r="Y1184" s="191">
        <f>IFERROR(W1184/'FA Addition'!$J1184*'FA Addition'!$L1184,0)</f>
        <v>0</v>
      </c>
      <c r="AA1184" s="116">
        <f>SUMIFS('FA Write off'!D:D,'FA Write off'!A:A,'FA Addition'!$A1184,'FA Write off'!C:C,"&lt;"&amp;'FA Addition'!$L$1+1,'FA Write off'!C:C,"&gt;"&amp;'FA Addition'!$L$1-365)</f>
        <v>0</v>
      </c>
      <c r="AC1184" s="118">
        <f>IFERROR(AA1184/'FA Addition'!$J1184*'FA Addition'!$L1184,0)</f>
        <v>0</v>
      </c>
      <c r="AE1184" s="117">
        <f>IF(AND('FA Addition'!$D1184&lt;$P$1+1,U1184=0),'FA Addition'!$L1184,0)-Y1184</f>
        <v>0</v>
      </c>
      <c r="AF1184" s="117">
        <f t="shared" si="90"/>
        <v>0</v>
      </c>
      <c r="AG1184" s="117">
        <f>MIN(MAX(+$P$1-'FA Addition'!$D1184,0),365*'FA Addition'!$O1184)</f>
        <v>0</v>
      </c>
      <c r="AH1184" s="117">
        <f>MIN(MAX($L$1-'FA Addition'!$D1184+1,0),365*'FA Addition'!$O1184)</f>
        <v>0</v>
      </c>
      <c r="AI1184" s="117" cm="1">
        <f t="array" ref="AI1184">_xlfn.XLOOKUP(1,('FA Write off'!A:A='FA Addition'!$A1184)*('FA Write off'!D:D=AA1184),'FA Write off'!H:H,0,0)</f>
        <v>0</v>
      </c>
      <c r="AJ1184" s="117">
        <f>IF(AC1184&gt;0,MAX(IF('FA Addition'!$N1184="SLM",($AC1184-'FA Addition'!$M1184)*'FA Addition'!$P1184*AI1184/365,(AC1184-'FA Addition'!$M1184)*(1-(1-'FA Addition'!$P1184)^(AI1184/365))),0),0)</f>
        <v>0</v>
      </c>
      <c r="AL1184" s="117">
        <f>MAX(IF(AG1184&gt;0,IF('FA Addition'!$N1184="SLM",($AE1184-'FA Addition'!$M1184)*'FA Addition'!$P1184*AG1184/365,IFERROR(VDB(AE1184,AE1184*0.05,'FA Addition'!$O1184,0,YEARFRAC('FA Addition'!$C1184,$P$1-1,3),'FA Addition'!$Q1184),FAAddition[[#This Row],[Original Cost (Rs)]]-FAAddition[[#This Row],[Salvage Value]])),0),0)</f>
        <v>0</v>
      </c>
      <c r="AM1184" s="119"/>
      <c r="AN1184" s="117">
        <f>MAX(IF(AH1184&gt;0,IF('FA Addition'!$N1184="SLM",($AF1184-'FA Addition'!$M1184)*'FA Addition'!$P1184*AH1184/365,IFERROR(VDB(AF1184,AF1184*0.05,'FA Addition'!$O1184,0,YEARFRAC('FA Addition'!$C1184,$L$1,3),'FA Addition'!$Q1184),FAAddition[[#This Row],[Original Cost (Rs)]]-FAAddition[[#This Row],[Salvage Value]])),0),0)</f>
        <v>0</v>
      </c>
      <c r="AO1184" s="117">
        <f t="shared" si="93"/>
        <v>0</v>
      </c>
      <c r="AQ1184" s="117">
        <f t="shared" si="91"/>
        <v>0</v>
      </c>
      <c r="AR1184" s="120">
        <f t="shared" si="92"/>
        <v>0</v>
      </c>
      <c r="AS1184" s="121"/>
    </row>
    <row r="1185" spans="1:45" ht="13.5" x14ac:dyDescent="0.4">
      <c r="A1185" s="12">
        <f t="shared" si="94"/>
        <v>1182</v>
      </c>
      <c r="B1185" s="64" t="s">
        <v>1758</v>
      </c>
      <c r="C1185" s="54">
        <v>45603</v>
      </c>
      <c r="D1185" s="54">
        <v>45611</v>
      </c>
      <c r="E1185" s="46" t="s">
        <v>1320</v>
      </c>
      <c r="F1185" s="51" t="s">
        <v>33</v>
      </c>
      <c r="G1185" s="51" t="s">
        <v>34</v>
      </c>
      <c r="H1185" s="51" t="s">
        <v>32</v>
      </c>
      <c r="I1185" s="55" t="s">
        <v>1969</v>
      </c>
      <c r="J1185" s="56">
        <v>1000</v>
      </c>
      <c r="K1185" s="51" t="s">
        <v>295</v>
      </c>
      <c r="L1185" s="58">
        <v>1665000</v>
      </c>
      <c r="M1185" s="50">
        <f>ROUND('FA Addition'!$L1185*5%,0.1)</f>
        <v>83250</v>
      </c>
      <c r="N1185" s="113" t="str">
        <f>_xlfn.XLOOKUP(_xlfn.CONCAT(E1185,B1185),'Year Wise Master Dep Approach'!F:F,'Year Wise Master Dep Approach'!D:D)</f>
        <v>SLM</v>
      </c>
      <c r="O1185" s="113">
        <f>_xlfn.XLOOKUP(_xlfn.CONCAT(E1185,B1185),'Year Wise Master Dep Approach'!F:F,'Year Wise Master Dep Approach'!E:E)</f>
        <v>5</v>
      </c>
      <c r="P1185" s="114">
        <f>IFERROR(IF('FA Addition'!$N1185="WDV",1-('FA Addition'!$M1185/'FA Addition'!$L1185)^(1/'FA Addition'!$O1185),1/'FA Addition'!$O1185),0)</f>
        <v>0.2</v>
      </c>
      <c r="Q1185" s="122">
        <f>'FA Addition'!$P1185*'FA Addition'!$O1185</f>
        <v>1</v>
      </c>
      <c r="R1185" s="122"/>
      <c r="S1185" s="116">
        <f>IF(AND(DATE(20&amp;LEFT(FAAddition[[#This Row],[FY]],2),4,1)&lt;$L$1+1,DATE(20&amp;LEFT(FAAddition[[#This Row],[FY]],2),4,1)&gt;$P$1-1),'FA Addition'!$J1185,0)</f>
        <v>0</v>
      </c>
      <c r="U1185" s="117">
        <f>S1185*'FA Addition'!$L1185/'FA Addition'!$J1185</f>
        <v>0</v>
      </c>
      <c r="W1185" s="116">
        <f>SUMIFS('FA Write off'!D:D,'FA Write off'!A:A,'FA Addition'!$A1185,'FA Write off'!C:C,"&lt;"&amp;'FA Addition'!$P$1)</f>
        <v>0</v>
      </c>
      <c r="Y1185" s="191">
        <f>IFERROR(W1185/'FA Addition'!$J1185*'FA Addition'!$L1185,0)</f>
        <v>0</v>
      </c>
      <c r="AA1185" s="116">
        <f>SUMIFS('FA Write off'!D:D,'FA Write off'!A:A,'FA Addition'!$A1185,'FA Write off'!C:C,"&lt;"&amp;'FA Addition'!$L$1+1,'FA Write off'!C:C,"&gt;"&amp;'FA Addition'!$L$1-365)</f>
        <v>0</v>
      </c>
      <c r="AC1185" s="118">
        <f>IFERROR(AA1185/'FA Addition'!$J1185*'FA Addition'!$L1185,0)</f>
        <v>0</v>
      </c>
      <c r="AE1185" s="117">
        <f>IF(AND('FA Addition'!$D1185&lt;$P$1+1,U1185=0),'FA Addition'!$L1185,0)-Y1185</f>
        <v>0</v>
      </c>
      <c r="AF1185" s="117">
        <f t="shared" si="90"/>
        <v>0</v>
      </c>
      <c r="AG1185" s="117">
        <f>MIN(MAX(+$P$1-'FA Addition'!$D1185,0),365*'FA Addition'!$O1185)</f>
        <v>0</v>
      </c>
      <c r="AH1185" s="117">
        <f>MIN(MAX($L$1-'FA Addition'!$D1185+1,0),365*'FA Addition'!$O1185)</f>
        <v>0</v>
      </c>
      <c r="AI1185" s="117" cm="1">
        <f t="array" ref="AI1185">_xlfn.XLOOKUP(1,('FA Write off'!A:A='FA Addition'!$A1185)*('FA Write off'!D:D=AA1185),'FA Write off'!H:H,0,0)</f>
        <v>0</v>
      </c>
      <c r="AJ1185" s="117">
        <f>IF(AC1185&gt;0,MAX(IF('FA Addition'!$N1185="SLM",($AC1185-'FA Addition'!$M1185)*'FA Addition'!$P1185*AI1185/365,(AC1185-'FA Addition'!$M1185)*(1-(1-'FA Addition'!$P1185)^(AI1185/365))),0),0)</f>
        <v>0</v>
      </c>
      <c r="AL1185" s="117">
        <f>MAX(IF(AG1185&gt;0,IF('FA Addition'!$N1185="SLM",($AE1185-'FA Addition'!$M1185)*'FA Addition'!$P1185*AG1185/365,IFERROR(VDB(AE1185,AE1185*0.05,'FA Addition'!$O1185,0,YEARFRAC('FA Addition'!$C1185,$P$1-1,3),'FA Addition'!$Q1185),FAAddition[[#This Row],[Original Cost (Rs)]]-FAAddition[[#This Row],[Salvage Value]])),0),0)</f>
        <v>0</v>
      </c>
      <c r="AM1185" s="119"/>
      <c r="AN1185" s="117">
        <f>MAX(IF(AH1185&gt;0,IF('FA Addition'!$N1185="SLM",($AF1185-'FA Addition'!$M1185)*'FA Addition'!$P1185*AH1185/365,IFERROR(VDB(AF1185,AF1185*0.05,'FA Addition'!$O1185,0,YEARFRAC('FA Addition'!$C1185,$L$1,3),'FA Addition'!$Q1185),FAAddition[[#This Row],[Original Cost (Rs)]]-FAAddition[[#This Row],[Salvage Value]])),0),0)</f>
        <v>0</v>
      </c>
      <c r="AO1185" s="117">
        <f t="shared" si="93"/>
        <v>0</v>
      </c>
      <c r="AQ1185" s="117">
        <f t="shared" si="91"/>
        <v>0</v>
      </c>
      <c r="AR1185" s="120">
        <f t="shared" si="92"/>
        <v>0</v>
      </c>
      <c r="AS1185" s="121"/>
    </row>
    <row r="1186" spans="1:45" ht="13.5" x14ac:dyDescent="0.4">
      <c r="A1186" s="12">
        <f t="shared" si="94"/>
        <v>1183</v>
      </c>
      <c r="B1186" s="64" t="s">
        <v>1758</v>
      </c>
      <c r="C1186" s="54">
        <v>45609</v>
      </c>
      <c r="D1186" s="54">
        <v>45611</v>
      </c>
      <c r="E1186" s="46" t="s">
        <v>1320</v>
      </c>
      <c r="F1186" s="51" t="s">
        <v>33</v>
      </c>
      <c r="G1186" s="51" t="s">
        <v>34</v>
      </c>
      <c r="H1186" s="51" t="s">
        <v>32</v>
      </c>
      <c r="I1186" s="55" t="s">
        <v>1970</v>
      </c>
      <c r="J1186" s="56">
        <v>1000</v>
      </c>
      <c r="K1186" s="51" t="s">
        <v>295</v>
      </c>
      <c r="L1186" s="58">
        <v>1665000</v>
      </c>
      <c r="M1186" s="50">
        <f>ROUND('FA Addition'!$L1186*5%,0.1)</f>
        <v>83250</v>
      </c>
      <c r="N1186" s="113" t="str">
        <f>_xlfn.XLOOKUP(_xlfn.CONCAT(E1186,B1186),'Year Wise Master Dep Approach'!F:F,'Year Wise Master Dep Approach'!D:D)</f>
        <v>SLM</v>
      </c>
      <c r="O1186" s="113">
        <f>_xlfn.XLOOKUP(_xlfn.CONCAT(E1186,B1186),'Year Wise Master Dep Approach'!F:F,'Year Wise Master Dep Approach'!E:E)</f>
        <v>5</v>
      </c>
      <c r="P1186" s="114">
        <f>IFERROR(IF('FA Addition'!$N1186="WDV",1-('FA Addition'!$M1186/'FA Addition'!$L1186)^(1/'FA Addition'!$O1186),1/'FA Addition'!$O1186),0)</f>
        <v>0.2</v>
      </c>
      <c r="Q1186" s="122">
        <f>'FA Addition'!$P1186*'FA Addition'!$O1186</f>
        <v>1</v>
      </c>
      <c r="R1186" s="122"/>
      <c r="S1186" s="116">
        <f>IF(AND(DATE(20&amp;LEFT(FAAddition[[#This Row],[FY]],2),4,1)&lt;$L$1+1,DATE(20&amp;LEFT(FAAddition[[#This Row],[FY]],2),4,1)&gt;$P$1-1),'FA Addition'!$J1186,0)</f>
        <v>0</v>
      </c>
      <c r="U1186" s="117">
        <f>S1186*'FA Addition'!$L1186/'FA Addition'!$J1186</f>
        <v>0</v>
      </c>
      <c r="W1186" s="116">
        <f>SUMIFS('FA Write off'!D:D,'FA Write off'!A:A,'FA Addition'!$A1186,'FA Write off'!C:C,"&lt;"&amp;'FA Addition'!$P$1)</f>
        <v>0</v>
      </c>
      <c r="Y1186" s="191">
        <f>IFERROR(W1186/'FA Addition'!$J1186*'FA Addition'!$L1186,0)</f>
        <v>0</v>
      </c>
      <c r="AA1186" s="116">
        <f>SUMIFS('FA Write off'!D:D,'FA Write off'!A:A,'FA Addition'!$A1186,'FA Write off'!C:C,"&lt;"&amp;'FA Addition'!$L$1+1,'FA Write off'!C:C,"&gt;"&amp;'FA Addition'!$L$1-365)</f>
        <v>0</v>
      </c>
      <c r="AC1186" s="118">
        <f>IFERROR(AA1186/'FA Addition'!$J1186*'FA Addition'!$L1186,0)</f>
        <v>0</v>
      </c>
      <c r="AE1186" s="117">
        <f>IF(AND('FA Addition'!$D1186&lt;$P$1+1,U1186=0),'FA Addition'!$L1186,0)-Y1186</f>
        <v>0</v>
      </c>
      <c r="AF1186" s="117">
        <f t="shared" si="90"/>
        <v>0</v>
      </c>
      <c r="AG1186" s="117">
        <f>MIN(MAX(+$P$1-'FA Addition'!$D1186,0),365*'FA Addition'!$O1186)</f>
        <v>0</v>
      </c>
      <c r="AH1186" s="117">
        <f>MIN(MAX($L$1-'FA Addition'!$D1186+1,0),365*'FA Addition'!$O1186)</f>
        <v>0</v>
      </c>
      <c r="AI1186" s="117" cm="1">
        <f t="array" ref="AI1186">_xlfn.XLOOKUP(1,('FA Write off'!A:A='FA Addition'!$A1186)*('FA Write off'!D:D=AA1186),'FA Write off'!H:H,0,0)</f>
        <v>0</v>
      </c>
      <c r="AJ1186" s="117">
        <f>IF(AC1186&gt;0,MAX(IF('FA Addition'!$N1186="SLM",($AC1186-'FA Addition'!$M1186)*'FA Addition'!$P1186*AI1186/365,(AC1186-'FA Addition'!$M1186)*(1-(1-'FA Addition'!$P1186)^(AI1186/365))),0),0)</f>
        <v>0</v>
      </c>
      <c r="AL1186" s="117">
        <f>MAX(IF(AG1186&gt;0,IF('FA Addition'!$N1186="SLM",($AE1186-'FA Addition'!$M1186)*'FA Addition'!$P1186*AG1186/365,IFERROR(VDB(AE1186,AE1186*0.05,'FA Addition'!$O1186,0,YEARFRAC('FA Addition'!$C1186,$P$1-1,3),'FA Addition'!$Q1186),FAAddition[[#This Row],[Original Cost (Rs)]]-FAAddition[[#This Row],[Salvage Value]])),0),0)</f>
        <v>0</v>
      </c>
      <c r="AM1186" s="119"/>
      <c r="AN1186" s="117">
        <f>MAX(IF(AH1186&gt;0,IF('FA Addition'!$N1186="SLM",($AF1186-'FA Addition'!$M1186)*'FA Addition'!$P1186*AH1186/365,IFERROR(VDB(AF1186,AF1186*0.05,'FA Addition'!$O1186,0,YEARFRAC('FA Addition'!$C1186,$L$1,3),'FA Addition'!$Q1186),FAAddition[[#This Row],[Original Cost (Rs)]]-FAAddition[[#This Row],[Salvage Value]])),0),0)</f>
        <v>0</v>
      </c>
      <c r="AO1186" s="117">
        <f t="shared" si="93"/>
        <v>0</v>
      </c>
      <c r="AQ1186" s="117">
        <f t="shared" si="91"/>
        <v>0</v>
      </c>
      <c r="AR1186" s="120">
        <f t="shared" si="92"/>
        <v>0</v>
      </c>
      <c r="AS1186" s="121"/>
    </row>
    <row r="1187" spans="1:45" ht="13.5" x14ac:dyDescent="0.4">
      <c r="A1187" s="12">
        <f t="shared" si="94"/>
        <v>1184</v>
      </c>
      <c r="B1187" s="64" t="s">
        <v>1758</v>
      </c>
      <c r="C1187" s="54">
        <v>45611</v>
      </c>
      <c r="D1187" s="54">
        <v>45611</v>
      </c>
      <c r="E1187" s="46" t="s">
        <v>749</v>
      </c>
      <c r="F1187" s="51" t="s">
        <v>74</v>
      </c>
      <c r="G1187" s="51" t="s">
        <v>1963</v>
      </c>
      <c r="H1187" s="51" t="s">
        <v>118</v>
      </c>
      <c r="I1187" s="55" t="s">
        <v>1971</v>
      </c>
      <c r="J1187" s="56">
        <v>1</v>
      </c>
      <c r="K1187" s="51" t="s">
        <v>1972</v>
      </c>
      <c r="L1187" s="58">
        <v>8473.73</v>
      </c>
      <c r="M1187" s="50">
        <f>ROUND('FA Addition'!$L1187*5%,0.1)</f>
        <v>424</v>
      </c>
      <c r="N1187" s="113" t="str">
        <f>_xlfn.XLOOKUP(_xlfn.CONCAT(E1187,B1187),'Year Wise Master Dep Approach'!F:F,'Year Wise Master Dep Approach'!D:D)</f>
        <v>WDV</v>
      </c>
      <c r="O1187" s="113">
        <f>_xlfn.XLOOKUP(_xlfn.CONCAT(E1187,B1187),'Year Wise Master Dep Approach'!F:F,'Year Wise Master Dep Approach'!E:E)</f>
        <v>5</v>
      </c>
      <c r="P1187" s="114">
        <f>IFERROR(IF('FA Addition'!$N1187="WDV",1-('FA Addition'!$M1187/'FA Addition'!$L1187)^(1/'FA Addition'!$O1187),1/'FA Addition'!$O1187),0)</f>
        <v>0.45063846617723768</v>
      </c>
      <c r="Q1187" s="122">
        <f>'FA Addition'!$P1187*'FA Addition'!$O1187</f>
        <v>2.2531923308861885</v>
      </c>
      <c r="R1187" s="122"/>
      <c r="S1187" s="116">
        <f>IF(AND(DATE(20&amp;LEFT(FAAddition[[#This Row],[FY]],2),4,1)&lt;$L$1+1,DATE(20&amp;LEFT(FAAddition[[#This Row],[FY]],2),4,1)&gt;$P$1-1),'FA Addition'!$J1187,0)</f>
        <v>0</v>
      </c>
      <c r="U1187" s="117">
        <f>S1187*'FA Addition'!$L1187/'FA Addition'!$J1187</f>
        <v>0</v>
      </c>
      <c r="W1187" s="116">
        <f>SUMIFS('FA Write off'!D:D,'FA Write off'!A:A,'FA Addition'!$A1187,'FA Write off'!C:C,"&lt;"&amp;'FA Addition'!$P$1)</f>
        <v>0</v>
      </c>
      <c r="Y1187" s="191">
        <f>IFERROR(W1187/'FA Addition'!$J1187*'FA Addition'!$L1187,0)</f>
        <v>0</v>
      </c>
      <c r="AA1187" s="116">
        <f>SUMIFS('FA Write off'!D:D,'FA Write off'!A:A,'FA Addition'!$A1187,'FA Write off'!C:C,"&lt;"&amp;'FA Addition'!$L$1+1,'FA Write off'!C:C,"&gt;"&amp;'FA Addition'!$L$1-365)</f>
        <v>0</v>
      </c>
      <c r="AC1187" s="118">
        <f>IFERROR(AA1187/'FA Addition'!$J1187*'FA Addition'!$L1187,0)</f>
        <v>0</v>
      </c>
      <c r="AE1187" s="117">
        <f>IF(AND('FA Addition'!$D1187&lt;$P$1+1,U1187=0),'FA Addition'!$L1187,0)-Y1187</f>
        <v>0</v>
      </c>
      <c r="AF1187" s="117">
        <f t="shared" si="90"/>
        <v>0</v>
      </c>
      <c r="AG1187" s="117">
        <f>MIN(MAX(+$P$1-'FA Addition'!$D1187,0),365*'FA Addition'!$O1187)</f>
        <v>0</v>
      </c>
      <c r="AH1187" s="117">
        <f>MIN(MAX($L$1-'FA Addition'!$D1187+1,0),365*'FA Addition'!$O1187)</f>
        <v>0</v>
      </c>
      <c r="AI1187" s="117" cm="1">
        <f t="array" ref="AI1187">_xlfn.XLOOKUP(1,('FA Write off'!A:A='FA Addition'!$A1187)*('FA Write off'!D:D=AA1187),'FA Write off'!H:H,0,0)</f>
        <v>0</v>
      </c>
      <c r="AJ1187" s="117">
        <f>IF(AC1187&gt;0,MAX(IF('FA Addition'!$N1187="SLM",($AC1187-'FA Addition'!$M1187)*'FA Addition'!$P1187*AI1187/365,(AC1187-'FA Addition'!$M1187)*(1-(1-'FA Addition'!$P1187)^(AI1187/365))),0),0)</f>
        <v>0</v>
      </c>
      <c r="AL1187" s="117">
        <f>MAX(IF(AG1187&gt;0,IF('FA Addition'!$N1187="SLM",($AE1187-'FA Addition'!$M1187)*'FA Addition'!$P1187*AG1187/365,IFERROR(VDB(AE1187,AE1187*0.05,'FA Addition'!$O1187,0,YEARFRAC('FA Addition'!$C1187,$P$1-1,3),'FA Addition'!$Q1187),FAAddition[[#This Row],[Original Cost (Rs)]]-FAAddition[[#This Row],[Salvage Value]])),0),0)</f>
        <v>0</v>
      </c>
      <c r="AM1187" s="119"/>
      <c r="AN1187" s="117">
        <f>MAX(IF(AH1187&gt;0,IF('FA Addition'!$N1187="SLM",($AF1187-'FA Addition'!$M1187)*'FA Addition'!$P1187*AH1187/365,IFERROR(VDB(AF1187,AF1187*0.05,'FA Addition'!$O1187,0,YEARFRAC('FA Addition'!$C1187,$L$1,3),'FA Addition'!$Q1187),FAAddition[[#This Row],[Original Cost (Rs)]]-FAAddition[[#This Row],[Salvage Value]])),0),0)</f>
        <v>0</v>
      </c>
      <c r="AO1187" s="117">
        <f t="shared" si="93"/>
        <v>0</v>
      </c>
      <c r="AQ1187" s="117">
        <f t="shared" si="91"/>
        <v>0</v>
      </c>
      <c r="AR1187" s="120">
        <f t="shared" si="92"/>
        <v>0</v>
      </c>
      <c r="AS1187" s="121"/>
    </row>
    <row r="1188" spans="1:45" ht="13.5" x14ac:dyDescent="0.4">
      <c r="A1188" s="12">
        <f t="shared" si="94"/>
        <v>1185</v>
      </c>
      <c r="B1188" s="64" t="s">
        <v>1758</v>
      </c>
      <c r="C1188" s="54">
        <v>45611</v>
      </c>
      <c r="D1188" s="54">
        <v>45611</v>
      </c>
      <c r="E1188" s="46" t="s">
        <v>749</v>
      </c>
      <c r="F1188" s="51" t="s">
        <v>74</v>
      </c>
      <c r="G1188" s="51" t="s">
        <v>1963</v>
      </c>
      <c r="H1188" s="51" t="s">
        <v>118</v>
      </c>
      <c r="I1188" s="55" t="s">
        <v>1973</v>
      </c>
      <c r="J1188" s="56">
        <v>1</v>
      </c>
      <c r="K1188" s="51" t="s">
        <v>1972</v>
      </c>
      <c r="L1188" s="58">
        <v>8473.73</v>
      </c>
      <c r="M1188" s="50">
        <f>ROUND('FA Addition'!$L1188*5%,0.1)</f>
        <v>424</v>
      </c>
      <c r="N1188" s="113" t="str">
        <f>_xlfn.XLOOKUP(_xlfn.CONCAT(E1188,B1188),'Year Wise Master Dep Approach'!F:F,'Year Wise Master Dep Approach'!D:D)</f>
        <v>WDV</v>
      </c>
      <c r="O1188" s="113">
        <f>_xlfn.XLOOKUP(_xlfn.CONCAT(E1188,B1188),'Year Wise Master Dep Approach'!F:F,'Year Wise Master Dep Approach'!E:E)</f>
        <v>5</v>
      </c>
      <c r="P1188" s="114">
        <f>IFERROR(IF('FA Addition'!$N1188="WDV",1-('FA Addition'!$M1188/'FA Addition'!$L1188)^(1/'FA Addition'!$O1188),1/'FA Addition'!$O1188),0)</f>
        <v>0.45063846617723768</v>
      </c>
      <c r="Q1188" s="122">
        <f>'FA Addition'!$P1188*'FA Addition'!$O1188</f>
        <v>2.2531923308861885</v>
      </c>
      <c r="R1188" s="122"/>
      <c r="S1188" s="116">
        <f>IF(AND(DATE(20&amp;LEFT(FAAddition[[#This Row],[FY]],2),4,1)&lt;$L$1+1,DATE(20&amp;LEFT(FAAddition[[#This Row],[FY]],2),4,1)&gt;$P$1-1),'FA Addition'!$J1188,0)</f>
        <v>0</v>
      </c>
      <c r="U1188" s="117">
        <f>S1188*'FA Addition'!$L1188/'FA Addition'!$J1188</f>
        <v>0</v>
      </c>
      <c r="W1188" s="116">
        <f>SUMIFS('FA Write off'!D:D,'FA Write off'!A:A,'FA Addition'!$A1188,'FA Write off'!C:C,"&lt;"&amp;'FA Addition'!$P$1)</f>
        <v>0</v>
      </c>
      <c r="Y1188" s="191">
        <f>IFERROR(W1188/'FA Addition'!$J1188*'FA Addition'!$L1188,0)</f>
        <v>0</v>
      </c>
      <c r="AA1188" s="116">
        <f>SUMIFS('FA Write off'!D:D,'FA Write off'!A:A,'FA Addition'!$A1188,'FA Write off'!C:C,"&lt;"&amp;'FA Addition'!$L$1+1,'FA Write off'!C:C,"&gt;"&amp;'FA Addition'!$L$1-365)</f>
        <v>0</v>
      </c>
      <c r="AC1188" s="118">
        <f>IFERROR(AA1188/'FA Addition'!$J1188*'FA Addition'!$L1188,0)</f>
        <v>0</v>
      </c>
      <c r="AE1188" s="117">
        <f>IF(AND('FA Addition'!$D1188&lt;$P$1+1,U1188=0),'FA Addition'!$L1188,0)-Y1188</f>
        <v>0</v>
      </c>
      <c r="AF1188" s="117">
        <f t="shared" si="90"/>
        <v>0</v>
      </c>
      <c r="AG1188" s="117">
        <f>MIN(MAX(+$P$1-'FA Addition'!$D1188,0),365*'FA Addition'!$O1188)</f>
        <v>0</v>
      </c>
      <c r="AH1188" s="117">
        <f>MIN(MAX($L$1-'FA Addition'!$D1188+1,0),365*'FA Addition'!$O1188)</f>
        <v>0</v>
      </c>
      <c r="AI1188" s="117" cm="1">
        <f t="array" ref="AI1188">_xlfn.XLOOKUP(1,('FA Write off'!A:A='FA Addition'!$A1188)*('FA Write off'!D:D=AA1188),'FA Write off'!H:H,0,0)</f>
        <v>0</v>
      </c>
      <c r="AJ1188" s="117">
        <f>IF(AC1188&gt;0,MAX(IF('FA Addition'!$N1188="SLM",($AC1188-'FA Addition'!$M1188)*'FA Addition'!$P1188*AI1188/365,(AC1188-'FA Addition'!$M1188)*(1-(1-'FA Addition'!$P1188)^(AI1188/365))),0),0)</f>
        <v>0</v>
      </c>
      <c r="AL1188" s="117">
        <f>MAX(IF(AG1188&gt;0,IF('FA Addition'!$N1188="SLM",($AE1188-'FA Addition'!$M1188)*'FA Addition'!$P1188*AG1188/365,IFERROR(VDB(AE1188,AE1188*0.05,'FA Addition'!$O1188,0,YEARFRAC('FA Addition'!$C1188,$P$1-1,3),'FA Addition'!$Q1188),FAAddition[[#This Row],[Original Cost (Rs)]]-FAAddition[[#This Row],[Salvage Value]])),0),0)</f>
        <v>0</v>
      </c>
      <c r="AM1188" s="119"/>
      <c r="AN1188" s="117">
        <f>MAX(IF(AH1188&gt;0,IF('FA Addition'!$N1188="SLM",($AF1188-'FA Addition'!$M1188)*'FA Addition'!$P1188*AH1188/365,IFERROR(VDB(AF1188,AF1188*0.05,'FA Addition'!$O1188,0,YEARFRAC('FA Addition'!$C1188,$L$1,3),'FA Addition'!$Q1188),FAAddition[[#This Row],[Original Cost (Rs)]]-FAAddition[[#This Row],[Salvage Value]])),0),0)</f>
        <v>0</v>
      </c>
      <c r="AO1188" s="117">
        <f t="shared" si="93"/>
        <v>0</v>
      </c>
      <c r="AQ1188" s="117">
        <f t="shared" si="91"/>
        <v>0</v>
      </c>
      <c r="AR1188" s="120">
        <f t="shared" si="92"/>
        <v>0</v>
      </c>
      <c r="AS1188" s="121"/>
    </row>
    <row r="1189" spans="1:45" ht="13.5" x14ac:dyDescent="0.4">
      <c r="A1189" s="12">
        <f t="shared" si="94"/>
        <v>1186</v>
      </c>
      <c r="B1189" s="64" t="s">
        <v>1758</v>
      </c>
      <c r="C1189" s="54">
        <v>45611</v>
      </c>
      <c r="D1189" s="54">
        <v>45611</v>
      </c>
      <c r="E1189" s="46" t="s">
        <v>749</v>
      </c>
      <c r="F1189" s="51" t="s">
        <v>74</v>
      </c>
      <c r="G1189" s="51" t="s">
        <v>1963</v>
      </c>
      <c r="H1189" s="51" t="s">
        <v>118</v>
      </c>
      <c r="I1189" s="55" t="s">
        <v>1974</v>
      </c>
      <c r="J1189" s="56">
        <v>1</v>
      </c>
      <c r="K1189" s="51" t="s">
        <v>1972</v>
      </c>
      <c r="L1189" s="58">
        <v>8473.73</v>
      </c>
      <c r="M1189" s="50">
        <f>ROUND('FA Addition'!$L1189*5%,0.1)</f>
        <v>424</v>
      </c>
      <c r="N1189" s="113" t="str">
        <f>_xlfn.XLOOKUP(_xlfn.CONCAT(E1189,B1189),'Year Wise Master Dep Approach'!F:F,'Year Wise Master Dep Approach'!D:D)</f>
        <v>WDV</v>
      </c>
      <c r="O1189" s="113">
        <f>_xlfn.XLOOKUP(_xlfn.CONCAT(E1189,B1189),'Year Wise Master Dep Approach'!F:F,'Year Wise Master Dep Approach'!E:E)</f>
        <v>5</v>
      </c>
      <c r="P1189" s="114">
        <f>IFERROR(IF('FA Addition'!$N1189="WDV",1-('FA Addition'!$M1189/'FA Addition'!$L1189)^(1/'FA Addition'!$O1189),1/'FA Addition'!$O1189),0)</f>
        <v>0.45063846617723768</v>
      </c>
      <c r="Q1189" s="122">
        <f>'FA Addition'!$P1189*'FA Addition'!$O1189</f>
        <v>2.2531923308861885</v>
      </c>
      <c r="R1189" s="122"/>
      <c r="S1189" s="116">
        <f>IF(AND(DATE(20&amp;LEFT(FAAddition[[#This Row],[FY]],2),4,1)&lt;$L$1+1,DATE(20&amp;LEFT(FAAddition[[#This Row],[FY]],2),4,1)&gt;$P$1-1),'FA Addition'!$J1189,0)</f>
        <v>0</v>
      </c>
      <c r="U1189" s="117">
        <f>S1189*'FA Addition'!$L1189/'FA Addition'!$J1189</f>
        <v>0</v>
      </c>
      <c r="W1189" s="116">
        <f>SUMIFS('FA Write off'!D:D,'FA Write off'!A:A,'FA Addition'!$A1189,'FA Write off'!C:C,"&lt;"&amp;'FA Addition'!$P$1)</f>
        <v>0</v>
      </c>
      <c r="Y1189" s="191">
        <f>IFERROR(W1189/'FA Addition'!$J1189*'FA Addition'!$L1189,0)</f>
        <v>0</v>
      </c>
      <c r="AA1189" s="116">
        <f>SUMIFS('FA Write off'!D:D,'FA Write off'!A:A,'FA Addition'!$A1189,'FA Write off'!C:C,"&lt;"&amp;'FA Addition'!$L$1+1,'FA Write off'!C:C,"&gt;"&amp;'FA Addition'!$L$1-365)</f>
        <v>0</v>
      </c>
      <c r="AC1189" s="118">
        <f>IFERROR(AA1189/'FA Addition'!$J1189*'FA Addition'!$L1189,0)</f>
        <v>0</v>
      </c>
      <c r="AE1189" s="117">
        <f>IF(AND('FA Addition'!$D1189&lt;$P$1+1,U1189=0),'FA Addition'!$L1189,0)-Y1189</f>
        <v>0</v>
      </c>
      <c r="AF1189" s="117">
        <f t="shared" si="90"/>
        <v>0</v>
      </c>
      <c r="AG1189" s="117">
        <f>MIN(MAX(+$P$1-'FA Addition'!$D1189,0),365*'FA Addition'!$O1189)</f>
        <v>0</v>
      </c>
      <c r="AH1189" s="117">
        <f>MIN(MAX($L$1-'FA Addition'!$D1189+1,0),365*'FA Addition'!$O1189)</f>
        <v>0</v>
      </c>
      <c r="AI1189" s="117" cm="1">
        <f t="array" ref="AI1189">_xlfn.XLOOKUP(1,('FA Write off'!A:A='FA Addition'!$A1189)*('FA Write off'!D:D=AA1189),'FA Write off'!H:H,0,0)</f>
        <v>0</v>
      </c>
      <c r="AJ1189" s="117">
        <f>IF(AC1189&gt;0,MAX(IF('FA Addition'!$N1189="SLM",($AC1189-'FA Addition'!$M1189)*'FA Addition'!$P1189*AI1189/365,(AC1189-'FA Addition'!$M1189)*(1-(1-'FA Addition'!$P1189)^(AI1189/365))),0),0)</f>
        <v>0</v>
      </c>
      <c r="AL1189" s="117">
        <f>MAX(IF(AG1189&gt;0,IF('FA Addition'!$N1189="SLM",($AE1189-'FA Addition'!$M1189)*'FA Addition'!$P1189*AG1189/365,IFERROR(VDB(AE1189,AE1189*0.05,'FA Addition'!$O1189,0,YEARFRAC('FA Addition'!$C1189,$P$1-1,3),'FA Addition'!$Q1189),FAAddition[[#This Row],[Original Cost (Rs)]]-FAAddition[[#This Row],[Salvage Value]])),0),0)</f>
        <v>0</v>
      </c>
      <c r="AM1189" s="119"/>
      <c r="AN1189" s="117">
        <f>MAX(IF(AH1189&gt;0,IF('FA Addition'!$N1189="SLM",($AF1189-'FA Addition'!$M1189)*'FA Addition'!$P1189*AH1189/365,IFERROR(VDB(AF1189,AF1189*0.05,'FA Addition'!$O1189,0,YEARFRAC('FA Addition'!$C1189,$L$1,3),'FA Addition'!$Q1189),FAAddition[[#This Row],[Original Cost (Rs)]]-FAAddition[[#This Row],[Salvage Value]])),0),0)</f>
        <v>0</v>
      </c>
      <c r="AO1189" s="117">
        <f t="shared" si="93"/>
        <v>0</v>
      </c>
      <c r="AQ1189" s="117">
        <f t="shared" si="91"/>
        <v>0</v>
      </c>
      <c r="AR1189" s="120">
        <f t="shared" si="92"/>
        <v>0</v>
      </c>
      <c r="AS1189" s="121"/>
    </row>
    <row r="1190" spans="1:45" ht="13.5" x14ac:dyDescent="0.4">
      <c r="A1190" s="12">
        <f t="shared" si="94"/>
        <v>1187</v>
      </c>
      <c r="B1190" s="64" t="s">
        <v>1758</v>
      </c>
      <c r="C1190" s="54">
        <v>45614</v>
      </c>
      <c r="D1190" s="54">
        <v>45616</v>
      </c>
      <c r="E1190" s="46" t="s">
        <v>1320</v>
      </c>
      <c r="F1190" s="51" t="s">
        <v>33</v>
      </c>
      <c r="G1190" s="51" t="s">
        <v>34</v>
      </c>
      <c r="H1190" s="51" t="s">
        <v>32</v>
      </c>
      <c r="I1190" s="55" t="s">
        <v>1975</v>
      </c>
      <c r="J1190" s="56">
        <v>1500</v>
      </c>
      <c r="K1190" s="51" t="s">
        <v>295</v>
      </c>
      <c r="L1190" s="58">
        <v>2497500</v>
      </c>
      <c r="M1190" s="50">
        <f>ROUND('FA Addition'!$L1190*5%,0.1)</f>
        <v>124875</v>
      </c>
      <c r="N1190" s="113" t="str">
        <f>_xlfn.XLOOKUP(_xlfn.CONCAT(E1190,B1190),'Year Wise Master Dep Approach'!F:F,'Year Wise Master Dep Approach'!D:D)</f>
        <v>SLM</v>
      </c>
      <c r="O1190" s="113">
        <f>_xlfn.XLOOKUP(_xlfn.CONCAT(E1190,B1190),'Year Wise Master Dep Approach'!F:F,'Year Wise Master Dep Approach'!E:E)</f>
        <v>5</v>
      </c>
      <c r="P1190" s="114">
        <f>IFERROR(IF('FA Addition'!$N1190="WDV",1-('FA Addition'!$M1190/'FA Addition'!$L1190)^(1/'FA Addition'!$O1190),1/'FA Addition'!$O1190),0)</f>
        <v>0.2</v>
      </c>
      <c r="Q1190" s="122">
        <f>'FA Addition'!$P1190*'FA Addition'!$O1190</f>
        <v>1</v>
      </c>
      <c r="R1190" s="122"/>
      <c r="S1190" s="116">
        <f>IF(AND(DATE(20&amp;LEFT(FAAddition[[#This Row],[FY]],2),4,1)&lt;$L$1+1,DATE(20&amp;LEFT(FAAddition[[#This Row],[FY]],2),4,1)&gt;$P$1-1),'FA Addition'!$J1190,0)</f>
        <v>0</v>
      </c>
      <c r="U1190" s="117">
        <f>S1190*'FA Addition'!$L1190/'FA Addition'!$J1190</f>
        <v>0</v>
      </c>
      <c r="W1190" s="116">
        <f>SUMIFS('FA Write off'!D:D,'FA Write off'!A:A,'FA Addition'!$A1190,'FA Write off'!C:C,"&lt;"&amp;'FA Addition'!$P$1)</f>
        <v>0</v>
      </c>
      <c r="Y1190" s="191">
        <f>IFERROR(W1190/'FA Addition'!$J1190*'FA Addition'!$L1190,0)</f>
        <v>0</v>
      </c>
      <c r="AA1190" s="116">
        <f>SUMIFS('FA Write off'!D:D,'FA Write off'!A:A,'FA Addition'!$A1190,'FA Write off'!C:C,"&lt;"&amp;'FA Addition'!$L$1+1,'FA Write off'!C:C,"&gt;"&amp;'FA Addition'!$L$1-365)</f>
        <v>0</v>
      </c>
      <c r="AC1190" s="118">
        <f>IFERROR(AA1190/'FA Addition'!$J1190*'FA Addition'!$L1190,0)</f>
        <v>0</v>
      </c>
      <c r="AE1190" s="117">
        <f>IF(AND('FA Addition'!$D1190&lt;$P$1+1,U1190=0),'FA Addition'!$L1190,0)-Y1190</f>
        <v>0</v>
      </c>
      <c r="AF1190" s="117">
        <f t="shared" si="90"/>
        <v>0</v>
      </c>
      <c r="AG1190" s="117">
        <f>MIN(MAX(+$P$1-'FA Addition'!$D1190,0),365*'FA Addition'!$O1190)</f>
        <v>0</v>
      </c>
      <c r="AH1190" s="117">
        <f>MIN(MAX($L$1-'FA Addition'!$D1190+1,0),365*'FA Addition'!$O1190)</f>
        <v>0</v>
      </c>
      <c r="AI1190" s="117" cm="1">
        <f t="array" ref="AI1190">_xlfn.XLOOKUP(1,('FA Write off'!A:A='FA Addition'!$A1190)*('FA Write off'!D:D=AA1190),'FA Write off'!H:H,0,0)</f>
        <v>0</v>
      </c>
      <c r="AJ1190" s="117">
        <f>IF(AC1190&gt;0,MAX(IF('FA Addition'!$N1190="SLM",($AC1190-'FA Addition'!$M1190)*'FA Addition'!$P1190*AI1190/365,(AC1190-'FA Addition'!$M1190)*(1-(1-'FA Addition'!$P1190)^(AI1190/365))),0),0)</f>
        <v>0</v>
      </c>
      <c r="AL1190" s="117">
        <f>MAX(IF(AG1190&gt;0,IF('FA Addition'!$N1190="SLM",($AE1190-'FA Addition'!$M1190)*'FA Addition'!$P1190*AG1190/365,IFERROR(VDB(AE1190,AE1190*0.05,'FA Addition'!$O1190,0,YEARFRAC('FA Addition'!$C1190,$P$1-1,3),'FA Addition'!$Q1190),FAAddition[[#This Row],[Original Cost (Rs)]]-FAAddition[[#This Row],[Salvage Value]])),0),0)</f>
        <v>0</v>
      </c>
      <c r="AM1190" s="119"/>
      <c r="AN1190" s="117">
        <f>MAX(IF(AH1190&gt;0,IF('FA Addition'!$N1190="SLM",($AF1190-'FA Addition'!$M1190)*'FA Addition'!$P1190*AH1190/365,IFERROR(VDB(AF1190,AF1190*0.05,'FA Addition'!$O1190,0,YEARFRAC('FA Addition'!$C1190,$L$1,3),'FA Addition'!$Q1190),FAAddition[[#This Row],[Original Cost (Rs)]]-FAAddition[[#This Row],[Salvage Value]])),0),0)</f>
        <v>0</v>
      </c>
      <c r="AO1190" s="117">
        <f t="shared" si="93"/>
        <v>0</v>
      </c>
      <c r="AQ1190" s="117">
        <f t="shared" si="91"/>
        <v>0</v>
      </c>
      <c r="AR1190" s="120">
        <f t="shared" si="92"/>
        <v>0</v>
      </c>
      <c r="AS1190" s="121"/>
    </row>
    <row r="1191" spans="1:45" ht="13.5" x14ac:dyDescent="0.4">
      <c r="A1191" s="12">
        <f t="shared" si="94"/>
        <v>1188</v>
      </c>
      <c r="B1191" s="64" t="s">
        <v>1758</v>
      </c>
      <c r="C1191" s="54">
        <v>45617</v>
      </c>
      <c r="D1191" s="54">
        <v>45617</v>
      </c>
      <c r="E1191" s="46" t="s">
        <v>749</v>
      </c>
      <c r="F1191" s="51" t="s">
        <v>74</v>
      </c>
      <c r="G1191" s="51" t="s">
        <v>1963</v>
      </c>
      <c r="H1191" s="51" t="s">
        <v>118</v>
      </c>
      <c r="I1191" s="55" t="s">
        <v>1976</v>
      </c>
      <c r="J1191" s="56">
        <v>1</v>
      </c>
      <c r="K1191" s="51" t="s">
        <v>1977</v>
      </c>
      <c r="L1191" s="58">
        <v>9284.9599999999991</v>
      </c>
      <c r="M1191" s="50">
        <f>ROUND('FA Addition'!$L1191*5%,0.1)</f>
        <v>464</v>
      </c>
      <c r="N1191" s="113" t="str">
        <f>_xlfn.XLOOKUP(_xlfn.CONCAT(E1191,B1191),'Year Wise Master Dep Approach'!F:F,'Year Wise Master Dep Approach'!D:D)</f>
        <v>WDV</v>
      </c>
      <c r="O1191" s="113">
        <f>_xlfn.XLOOKUP(_xlfn.CONCAT(E1191,B1191),'Year Wise Master Dep Approach'!F:F,'Year Wise Master Dep Approach'!E:E)</f>
        <v>5</v>
      </c>
      <c r="P1191" s="114">
        <f>IFERROR(IF('FA Addition'!$N1191="WDV",1-('FA Addition'!$M1191/'FA Addition'!$L1191)^(1/'FA Addition'!$O1191),1/'FA Addition'!$O1191),0)</f>
        <v>0.45077842569162085</v>
      </c>
      <c r="Q1191" s="122">
        <f>'FA Addition'!$P1191*'FA Addition'!$O1191</f>
        <v>2.2538921284581042</v>
      </c>
      <c r="R1191" s="122"/>
      <c r="S1191" s="116">
        <f>IF(AND(DATE(20&amp;LEFT(FAAddition[[#This Row],[FY]],2),4,1)&lt;$L$1+1,DATE(20&amp;LEFT(FAAddition[[#This Row],[FY]],2),4,1)&gt;$P$1-1),'FA Addition'!$J1191,0)</f>
        <v>0</v>
      </c>
      <c r="U1191" s="117">
        <f>S1191*'FA Addition'!$L1191/'FA Addition'!$J1191</f>
        <v>0</v>
      </c>
      <c r="W1191" s="116">
        <f>SUMIFS('FA Write off'!D:D,'FA Write off'!A:A,'FA Addition'!$A1191,'FA Write off'!C:C,"&lt;"&amp;'FA Addition'!$P$1)</f>
        <v>0</v>
      </c>
      <c r="Y1191" s="191">
        <f>IFERROR(W1191/'FA Addition'!$J1191*'FA Addition'!$L1191,0)</f>
        <v>0</v>
      </c>
      <c r="AA1191" s="116">
        <f>SUMIFS('FA Write off'!D:D,'FA Write off'!A:A,'FA Addition'!$A1191,'FA Write off'!C:C,"&lt;"&amp;'FA Addition'!$L$1+1,'FA Write off'!C:C,"&gt;"&amp;'FA Addition'!$L$1-365)</f>
        <v>0</v>
      </c>
      <c r="AC1191" s="118">
        <f>IFERROR(AA1191/'FA Addition'!$J1191*'FA Addition'!$L1191,0)</f>
        <v>0</v>
      </c>
      <c r="AE1191" s="117">
        <f>IF(AND('FA Addition'!$D1191&lt;$P$1+1,U1191=0),'FA Addition'!$L1191,0)-Y1191</f>
        <v>0</v>
      </c>
      <c r="AF1191" s="117">
        <f t="shared" si="90"/>
        <v>0</v>
      </c>
      <c r="AG1191" s="117">
        <f>MIN(MAX(+$P$1-'FA Addition'!$D1191,0),365*'FA Addition'!$O1191)</f>
        <v>0</v>
      </c>
      <c r="AH1191" s="117">
        <f>MIN(MAX($L$1-'FA Addition'!$D1191+1,0),365*'FA Addition'!$O1191)</f>
        <v>0</v>
      </c>
      <c r="AI1191" s="117" cm="1">
        <f t="array" ref="AI1191">_xlfn.XLOOKUP(1,('FA Write off'!A:A='FA Addition'!$A1191)*('FA Write off'!D:D=AA1191),'FA Write off'!H:H,0,0)</f>
        <v>0</v>
      </c>
      <c r="AJ1191" s="117">
        <f>IF(AC1191&gt;0,MAX(IF('FA Addition'!$N1191="SLM",($AC1191-'FA Addition'!$M1191)*'FA Addition'!$P1191*AI1191/365,(AC1191-'FA Addition'!$M1191)*(1-(1-'FA Addition'!$P1191)^(AI1191/365))),0),0)</f>
        <v>0</v>
      </c>
      <c r="AL1191" s="117">
        <f>MAX(IF(AG1191&gt;0,IF('FA Addition'!$N1191="SLM",($AE1191-'FA Addition'!$M1191)*'FA Addition'!$P1191*AG1191/365,IFERROR(VDB(AE1191,AE1191*0.05,'FA Addition'!$O1191,0,YEARFRAC('FA Addition'!$C1191,$P$1-1,3),'FA Addition'!$Q1191),FAAddition[[#This Row],[Original Cost (Rs)]]-FAAddition[[#This Row],[Salvage Value]])),0),0)</f>
        <v>0</v>
      </c>
      <c r="AM1191" s="119"/>
      <c r="AN1191" s="117">
        <f>MAX(IF(AH1191&gt;0,IF('FA Addition'!$N1191="SLM",($AF1191-'FA Addition'!$M1191)*'FA Addition'!$P1191*AH1191/365,IFERROR(VDB(AF1191,AF1191*0.05,'FA Addition'!$O1191,0,YEARFRAC('FA Addition'!$C1191,$L$1,3),'FA Addition'!$Q1191),FAAddition[[#This Row],[Original Cost (Rs)]]-FAAddition[[#This Row],[Salvage Value]])),0),0)</f>
        <v>0</v>
      </c>
      <c r="AO1191" s="117">
        <f t="shared" si="93"/>
        <v>0</v>
      </c>
      <c r="AQ1191" s="117">
        <f t="shared" si="91"/>
        <v>0</v>
      </c>
      <c r="AR1191" s="120">
        <f t="shared" si="92"/>
        <v>0</v>
      </c>
      <c r="AS1191" s="121"/>
    </row>
    <row r="1192" spans="1:45" ht="13.5" x14ac:dyDescent="0.4">
      <c r="A1192" s="12">
        <f t="shared" si="94"/>
        <v>1189</v>
      </c>
      <c r="B1192" s="64" t="s">
        <v>1758</v>
      </c>
      <c r="C1192" s="54">
        <v>45617</v>
      </c>
      <c r="D1192" s="54">
        <v>45617</v>
      </c>
      <c r="E1192" s="46" t="s">
        <v>749</v>
      </c>
      <c r="F1192" s="51" t="s">
        <v>74</v>
      </c>
      <c r="G1192" s="51" t="s">
        <v>1963</v>
      </c>
      <c r="H1192" s="51" t="s">
        <v>118</v>
      </c>
      <c r="I1192" s="55" t="s">
        <v>1978</v>
      </c>
      <c r="J1192" s="56">
        <v>1</v>
      </c>
      <c r="K1192" s="51" t="s">
        <v>1977</v>
      </c>
      <c r="L1192" s="58">
        <v>9284.9599999999991</v>
      </c>
      <c r="M1192" s="50">
        <f>ROUND('FA Addition'!$L1192*5%,0.1)</f>
        <v>464</v>
      </c>
      <c r="N1192" s="113" t="str">
        <f>_xlfn.XLOOKUP(_xlfn.CONCAT(E1192,B1192),'Year Wise Master Dep Approach'!F:F,'Year Wise Master Dep Approach'!D:D)</f>
        <v>WDV</v>
      </c>
      <c r="O1192" s="113">
        <f>_xlfn.XLOOKUP(_xlfn.CONCAT(E1192,B1192),'Year Wise Master Dep Approach'!F:F,'Year Wise Master Dep Approach'!E:E)</f>
        <v>5</v>
      </c>
      <c r="P1192" s="114">
        <f>IFERROR(IF('FA Addition'!$N1192="WDV",1-('FA Addition'!$M1192/'FA Addition'!$L1192)^(1/'FA Addition'!$O1192),1/'FA Addition'!$O1192),0)</f>
        <v>0.45077842569162085</v>
      </c>
      <c r="Q1192" s="122">
        <f>'FA Addition'!$P1192*'FA Addition'!$O1192</f>
        <v>2.2538921284581042</v>
      </c>
      <c r="R1192" s="122"/>
      <c r="S1192" s="116">
        <f>IF(AND(DATE(20&amp;LEFT(FAAddition[[#This Row],[FY]],2),4,1)&lt;$L$1+1,DATE(20&amp;LEFT(FAAddition[[#This Row],[FY]],2),4,1)&gt;$P$1-1),'FA Addition'!$J1192,0)</f>
        <v>0</v>
      </c>
      <c r="U1192" s="117">
        <f>S1192*'FA Addition'!$L1192/'FA Addition'!$J1192</f>
        <v>0</v>
      </c>
      <c r="W1192" s="116">
        <f>SUMIFS('FA Write off'!D:D,'FA Write off'!A:A,'FA Addition'!$A1192,'FA Write off'!C:C,"&lt;"&amp;'FA Addition'!$P$1)</f>
        <v>0</v>
      </c>
      <c r="Y1192" s="191">
        <f>IFERROR(W1192/'FA Addition'!$J1192*'FA Addition'!$L1192,0)</f>
        <v>0</v>
      </c>
      <c r="AA1192" s="116">
        <f>SUMIFS('FA Write off'!D:D,'FA Write off'!A:A,'FA Addition'!$A1192,'FA Write off'!C:C,"&lt;"&amp;'FA Addition'!$L$1+1,'FA Write off'!C:C,"&gt;"&amp;'FA Addition'!$L$1-365)</f>
        <v>0</v>
      </c>
      <c r="AC1192" s="118">
        <f>IFERROR(AA1192/'FA Addition'!$J1192*'FA Addition'!$L1192,0)</f>
        <v>0</v>
      </c>
      <c r="AE1192" s="117">
        <f>IF(AND('FA Addition'!$D1192&lt;$P$1+1,U1192=0),'FA Addition'!$L1192,0)-Y1192</f>
        <v>0</v>
      </c>
      <c r="AF1192" s="117">
        <f t="shared" si="90"/>
        <v>0</v>
      </c>
      <c r="AG1192" s="117">
        <f>MIN(MAX(+$P$1-'FA Addition'!$D1192,0),365*'FA Addition'!$O1192)</f>
        <v>0</v>
      </c>
      <c r="AH1192" s="117">
        <f>MIN(MAX($L$1-'FA Addition'!$D1192+1,0),365*'FA Addition'!$O1192)</f>
        <v>0</v>
      </c>
      <c r="AI1192" s="117" cm="1">
        <f t="array" ref="AI1192">_xlfn.XLOOKUP(1,('FA Write off'!A:A='FA Addition'!$A1192)*('FA Write off'!D:D=AA1192),'FA Write off'!H:H,0,0)</f>
        <v>0</v>
      </c>
      <c r="AJ1192" s="117">
        <f>IF(AC1192&gt;0,MAX(IF('FA Addition'!$N1192="SLM",($AC1192-'FA Addition'!$M1192)*'FA Addition'!$P1192*AI1192/365,(AC1192-'FA Addition'!$M1192)*(1-(1-'FA Addition'!$P1192)^(AI1192/365))),0),0)</f>
        <v>0</v>
      </c>
      <c r="AL1192" s="117">
        <f>MAX(IF(AG1192&gt;0,IF('FA Addition'!$N1192="SLM",($AE1192-'FA Addition'!$M1192)*'FA Addition'!$P1192*AG1192/365,IFERROR(VDB(AE1192,AE1192*0.05,'FA Addition'!$O1192,0,YEARFRAC('FA Addition'!$C1192,$P$1-1,3),'FA Addition'!$Q1192),FAAddition[[#This Row],[Original Cost (Rs)]]-FAAddition[[#This Row],[Salvage Value]])),0),0)</f>
        <v>0</v>
      </c>
      <c r="AM1192" s="119"/>
      <c r="AN1192" s="117">
        <f>MAX(IF(AH1192&gt;0,IF('FA Addition'!$N1192="SLM",($AF1192-'FA Addition'!$M1192)*'FA Addition'!$P1192*AH1192/365,IFERROR(VDB(AF1192,AF1192*0.05,'FA Addition'!$O1192,0,YEARFRAC('FA Addition'!$C1192,$L$1,3),'FA Addition'!$Q1192),FAAddition[[#This Row],[Original Cost (Rs)]]-FAAddition[[#This Row],[Salvage Value]])),0),0)</f>
        <v>0</v>
      </c>
      <c r="AO1192" s="117">
        <f t="shared" si="93"/>
        <v>0</v>
      </c>
      <c r="AQ1192" s="117">
        <f t="shared" si="91"/>
        <v>0</v>
      </c>
      <c r="AR1192" s="120">
        <f t="shared" si="92"/>
        <v>0</v>
      </c>
      <c r="AS1192" s="121"/>
    </row>
    <row r="1193" spans="1:45" ht="13.5" x14ac:dyDescent="0.4">
      <c r="A1193" s="12">
        <f t="shared" si="94"/>
        <v>1190</v>
      </c>
      <c r="B1193" s="64" t="s">
        <v>1758</v>
      </c>
      <c r="C1193" s="54">
        <v>45617</v>
      </c>
      <c r="D1193" s="54">
        <v>45617</v>
      </c>
      <c r="E1193" s="46" t="s">
        <v>749</v>
      </c>
      <c r="F1193" s="51" t="s">
        <v>74</v>
      </c>
      <c r="G1193" s="51" t="s">
        <v>1963</v>
      </c>
      <c r="H1193" s="51" t="s">
        <v>118</v>
      </c>
      <c r="I1193" s="55" t="s">
        <v>1979</v>
      </c>
      <c r="J1193" s="56">
        <v>1</v>
      </c>
      <c r="K1193" s="51" t="s">
        <v>1977</v>
      </c>
      <c r="L1193" s="58">
        <v>9284.9599999999991</v>
      </c>
      <c r="M1193" s="50">
        <f>ROUND('FA Addition'!$L1193*5%,0.1)</f>
        <v>464</v>
      </c>
      <c r="N1193" s="113" t="str">
        <f>_xlfn.XLOOKUP(_xlfn.CONCAT(E1193,B1193),'Year Wise Master Dep Approach'!F:F,'Year Wise Master Dep Approach'!D:D)</f>
        <v>WDV</v>
      </c>
      <c r="O1193" s="113">
        <f>_xlfn.XLOOKUP(_xlfn.CONCAT(E1193,B1193),'Year Wise Master Dep Approach'!F:F,'Year Wise Master Dep Approach'!E:E)</f>
        <v>5</v>
      </c>
      <c r="P1193" s="114">
        <f>IFERROR(IF('FA Addition'!$N1193="WDV",1-('FA Addition'!$M1193/'FA Addition'!$L1193)^(1/'FA Addition'!$O1193),1/'FA Addition'!$O1193),0)</f>
        <v>0.45077842569162085</v>
      </c>
      <c r="Q1193" s="122">
        <f>'FA Addition'!$P1193*'FA Addition'!$O1193</f>
        <v>2.2538921284581042</v>
      </c>
      <c r="R1193" s="122"/>
      <c r="S1193" s="116">
        <f>IF(AND(DATE(20&amp;LEFT(FAAddition[[#This Row],[FY]],2),4,1)&lt;$L$1+1,DATE(20&amp;LEFT(FAAddition[[#This Row],[FY]],2),4,1)&gt;$P$1-1),'FA Addition'!$J1193,0)</f>
        <v>0</v>
      </c>
      <c r="U1193" s="117">
        <f>S1193*'FA Addition'!$L1193/'FA Addition'!$J1193</f>
        <v>0</v>
      </c>
      <c r="W1193" s="116">
        <f>SUMIFS('FA Write off'!D:D,'FA Write off'!A:A,'FA Addition'!$A1193,'FA Write off'!C:C,"&lt;"&amp;'FA Addition'!$P$1)</f>
        <v>0</v>
      </c>
      <c r="Y1193" s="191">
        <f>IFERROR(W1193/'FA Addition'!$J1193*'FA Addition'!$L1193,0)</f>
        <v>0</v>
      </c>
      <c r="AA1193" s="116">
        <f>SUMIFS('FA Write off'!D:D,'FA Write off'!A:A,'FA Addition'!$A1193,'FA Write off'!C:C,"&lt;"&amp;'FA Addition'!$L$1+1,'FA Write off'!C:C,"&gt;"&amp;'FA Addition'!$L$1-365)</f>
        <v>0</v>
      </c>
      <c r="AC1193" s="118">
        <f>IFERROR(AA1193/'FA Addition'!$J1193*'FA Addition'!$L1193,0)</f>
        <v>0</v>
      </c>
      <c r="AE1193" s="117">
        <f>IF(AND('FA Addition'!$D1193&lt;$P$1+1,U1193=0),'FA Addition'!$L1193,0)-Y1193</f>
        <v>0</v>
      </c>
      <c r="AF1193" s="117">
        <f t="shared" si="90"/>
        <v>0</v>
      </c>
      <c r="AG1193" s="117">
        <f>MIN(MAX(+$P$1-'FA Addition'!$D1193,0),365*'FA Addition'!$O1193)</f>
        <v>0</v>
      </c>
      <c r="AH1193" s="117">
        <f>MIN(MAX($L$1-'FA Addition'!$D1193+1,0),365*'FA Addition'!$O1193)</f>
        <v>0</v>
      </c>
      <c r="AI1193" s="117" cm="1">
        <f t="array" ref="AI1193">_xlfn.XLOOKUP(1,('FA Write off'!A:A='FA Addition'!$A1193)*('FA Write off'!D:D=AA1193),'FA Write off'!H:H,0,0)</f>
        <v>0</v>
      </c>
      <c r="AJ1193" s="117">
        <f>IF(AC1193&gt;0,MAX(IF('FA Addition'!$N1193="SLM",($AC1193-'FA Addition'!$M1193)*'FA Addition'!$P1193*AI1193/365,(AC1193-'FA Addition'!$M1193)*(1-(1-'FA Addition'!$P1193)^(AI1193/365))),0),0)</f>
        <v>0</v>
      </c>
      <c r="AL1193" s="117">
        <f>MAX(IF(AG1193&gt;0,IF('FA Addition'!$N1193="SLM",($AE1193-'FA Addition'!$M1193)*'FA Addition'!$P1193*AG1193/365,IFERROR(VDB(AE1193,AE1193*0.05,'FA Addition'!$O1193,0,YEARFRAC('FA Addition'!$C1193,$P$1-1,3),'FA Addition'!$Q1193),FAAddition[[#This Row],[Original Cost (Rs)]]-FAAddition[[#This Row],[Salvage Value]])),0),0)</f>
        <v>0</v>
      </c>
      <c r="AM1193" s="119"/>
      <c r="AN1193" s="117">
        <f>MAX(IF(AH1193&gt;0,IF('FA Addition'!$N1193="SLM",($AF1193-'FA Addition'!$M1193)*'FA Addition'!$P1193*AH1193/365,IFERROR(VDB(AF1193,AF1193*0.05,'FA Addition'!$O1193,0,YEARFRAC('FA Addition'!$C1193,$L$1,3),'FA Addition'!$Q1193),FAAddition[[#This Row],[Original Cost (Rs)]]-FAAddition[[#This Row],[Salvage Value]])),0),0)</f>
        <v>0</v>
      </c>
      <c r="AO1193" s="117">
        <f t="shared" si="93"/>
        <v>0</v>
      </c>
      <c r="AQ1193" s="117">
        <f t="shared" si="91"/>
        <v>0</v>
      </c>
      <c r="AR1193" s="120">
        <f t="shared" si="92"/>
        <v>0</v>
      </c>
      <c r="AS1193" s="121"/>
    </row>
    <row r="1194" spans="1:45" ht="13.5" x14ac:dyDescent="0.4">
      <c r="A1194" s="12">
        <f t="shared" si="94"/>
        <v>1191</v>
      </c>
      <c r="B1194" s="64" t="s">
        <v>1758</v>
      </c>
      <c r="C1194" s="54">
        <v>45618</v>
      </c>
      <c r="D1194" s="54">
        <v>45618</v>
      </c>
      <c r="E1194" s="46" t="s">
        <v>1320</v>
      </c>
      <c r="F1194" s="51" t="s">
        <v>33</v>
      </c>
      <c r="G1194" s="51" t="s">
        <v>1980</v>
      </c>
      <c r="H1194" s="51" t="s">
        <v>26</v>
      </c>
      <c r="I1194" s="55" t="s">
        <v>1981</v>
      </c>
      <c r="J1194" s="56">
        <v>1200</v>
      </c>
      <c r="K1194" s="51" t="s">
        <v>26</v>
      </c>
      <c r="L1194" s="58">
        <v>96000</v>
      </c>
      <c r="M1194" s="50">
        <f>ROUND('FA Addition'!$L1194*5%,0.1)</f>
        <v>4800</v>
      </c>
      <c r="N1194" s="113" t="str">
        <f>_xlfn.XLOOKUP(_xlfn.CONCAT(E1194,B1194),'Year Wise Master Dep Approach'!F:F,'Year Wise Master Dep Approach'!D:D)</f>
        <v>SLM</v>
      </c>
      <c r="O1194" s="113">
        <f>_xlfn.XLOOKUP(_xlfn.CONCAT(E1194,B1194),'Year Wise Master Dep Approach'!F:F,'Year Wise Master Dep Approach'!E:E)</f>
        <v>5</v>
      </c>
      <c r="P1194" s="114">
        <f>IFERROR(IF('FA Addition'!$N1194="WDV",1-('FA Addition'!$M1194/'FA Addition'!$L1194)^(1/'FA Addition'!$O1194),1/'FA Addition'!$O1194),0)</f>
        <v>0.2</v>
      </c>
      <c r="Q1194" s="122">
        <f>'FA Addition'!$P1194*'FA Addition'!$O1194</f>
        <v>1</v>
      </c>
      <c r="R1194" s="122"/>
      <c r="S1194" s="116">
        <f>IF(AND(DATE(20&amp;LEFT(FAAddition[[#This Row],[FY]],2),4,1)&lt;$L$1+1,DATE(20&amp;LEFT(FAAddition[[#This Row],[FY]],2),4,1)&gt;$P$1-1),'FA Addition'!$J1194,0)</f>
        <v>0</v>
      </c>
      <c r="U1194" s="117">
        <f>S1194*'FA Addition'!$L1194/'FA Addition'!$J1194</f>
        <v>0</v>
      </c>
      <c r="W1194" s="116">
        <f>SUMIFS('FA Write off'!D:D,'FA Write off'!A:A,'FA Addition'!$A1194,'FA Write off'!C:C,"&lt;"&amp;'FA Addition'!$P$1)</f>
        <v>0</v>
      </c>
      <c r="Y1194" s="191">
        <f>IFERROR(W1194/'FA Addition'!$J1194*'FA Addition'!$L1194,0)</f>
        <v>0</v>
      </c>
      <c r="AA1194" s="116">
        <f>SUMIFS('FA Write off'!D:D,'FA Write off'!A:A,'FA Addition'!$A1194,'FA Write off'!C:C,"&lt;"&amp;'FA Addition'!$L$1+1,'FA Write off'!C:C,"&gt;"&amp;'FA Addition'!$L$1-365)</f>
        <v>0</v>
      </c>
      <c r="AC1194" s="118">
        <f>IFERROR(AA1194/'FA Addition'!$J1194*'FA Addition'!$L1194,0)</f>
        <v>0</v>
      </c>
      <c r="AE1194" s="117">
        <f>IF(AND('FA Addition'!$D1194&lt;$P$1+1,U1194=0),'FA Addition'!$L1194,0)-Y1194</f>
        <v>0</v>
      </c>
      <c r="AF1194" s="117">
        <f t="shared" si="90"/>
        <v>0</v>
      </c>
      <c r="AG1194" s="117">
        <f>MIN(MAX(+$P$1-'FA Addition'!$D1194,0),365*'FA Addition'!$O1194)</f>
        <v>0</v>
      </c>
      <c r="AH1194" s="117">
        <f>MIN(MAX($L$1-'FA Addition'!$D1194+1,0),365*'FA Addition'!$O1194)</f>
        <v>0</v>
      </c>
      <c r="AI1194" s="117" cm="1">
        <f t="array" ref="AI1194">_xlfn.XLOOKUP(1,('FA Write off'!A:A='FA Addition'!$A1194)*('FA Write off'!D:D=AA1194),'FA Write off'!H:H,0,0)</f>
        <v>0</v>
      </c>
      <c r="AJ1194" s="117">
        <f>IF(AC1194&gt;0,MAX(IF('FA Addition'!$N1194="SLM",($AC1194-'FA Addition'!$M1194)*'FA Addition'!$P1194*AI1194/365,(AC1194-'FA Addition'!$M1194)*(1-(1-'FA Addition'!$P1194)^(AI1194/365))),0),0)</f>
        <v>0</v>
      </c>
      <c r="AL1194" s="117">
        <f>MAX(IF(AG1194&gt;0,IF('FA Addition'!$N1194="SLM",($AE1194-'FA Addition'!$M1194)*'FA Addition'!$P1194*AG1194/365,IFERROR(VDB(AE1194,AE1194*0.05,'FA Addition'!$O1194,0,YEARFRAC('FA Addition'!$C1194,$P$1-1,3),'FA Addition'!$Q1194),FAAddition[[#This Row],[Original Cost (Rs)]]-FAAddition[[#This Row],[Salvage Value]])),0),0)</f>
        <v>0</v>
      </c>
      <c r="AM1194" s="119"/>
      <c r="AN1194" s="117">
        <f>MAX(IF(AH1194&gt;0,IF('FA Addition'!$N1194="SLM",($AF1194-'FA Addition'!$M1194)*'FA Addition'!$P1194*AH1194/365,IFERROR(VDB(AF1194,AF1194*0.05,'FA Addition'!$O1194,0,YEARFRAC('FA Addition'!$C1194,$L$1,3),'FA Addition'!$Q1194),FAAddition[[#This Row],[Original Cost (Rs)]]-FAAddition[[#This Row],[Salvage Value]])),0),0)</f>
        <v>0</v>
      </c>
      <c r="AO1194" s="117">
        <f t="shared" si="93"/>
        <v>0</v>
      </c>
      <c r="AQ1194" s="117">
        <f t="shared" si="91"/>
        <v>0</v>
      </c>
      <c r="AR1194" s="120">
        <f t="shared" si="92"/>
        <v>0</v>
      </c>
      <c r="AS1194" s="121"/>
    </row>
    <row r="1195" spans="1:45" ht="13.5" x14ac:dyDescent="0.4">
      <c r="A1195" s="12">
        <f t="shared" si="94"/>
        <v>1192</v>
      </c>
      <c r="B1195" s="64" t="s">
        <v>1758</v>
      </c>
      <c r="C1195" s="54">
        <v>45618</v>
      </c>
      <c r="D1195" s="54">
        <v>45618</v>
      </c>
      <c r="E1195" s="46" t="s">
        <v>1320</v>
      </c>
      <c r="F1195" s="51" t="s">
        <v>33</v>
      </c>
      <c r="G1195" s="51" t="s">
        <v>1980</v>
      </c>
      <c r="H1195" s="51" t="s">
        <v>26</v>
      </c>
      <c r="I1195" s="55">
        <v>668</v>
      </c>
      <c r="J1195" s="56">
        <v>800</v>
      </c>
      <c r="K1195" s="51" t="s">
        <v>26</v>
      </c>
      <c r="L1195" s="58">
        <v>65200</v>
      </c>
      <c r="M1195" s="50">
        <f>ROUND('FA Addition'!$L1195*5%,0.1)</f>
        <v>3260</v>
      </c>
      <c r="N1195" s="113" t="str">
        <f>_xlfn.XLOOKUP(_xlfn.CONCAT(E1195,B1195),'Year Wise Master Dep Approach'!F:F,'Year Wise Master Dep Approach'!D:D)</f>
        <v>SLM</v>
      </c>
      <c r="O1195" s="113">
        <f>_xlfn.XLOOKUP(_xlfn.CONCAT(E1195,B1195),'Year Wise Master Dep Approach'!F:F,'Year Wise Master Dep Approach'!E:E)</f>
        <v>5</v>
      </c>
      <c r="P1195" s="114">
        <f>IFERROR(IF('FA Addition'!$N1195="WDV",1-('FA Addition'!$M1195/'FA Addition'!$L1195)^(1/'FA Addition'!$O1195),1/'FA Addition'!$O1195),0)</f>
        <v>0.2</v>
      </c>
      <c r="Q1195" s="122">
        <f>'FA Addition'!$P1195*'FA Addition'!$O1195</f>
        <v>1</v>
      </c>
      <c r="R1195" s="122"/>
      <c r="S1195" s="116">
        <f>IF(AND(DATE(20&amp;LEFT(FAAddition[[#This Row],[FY]],2),4,1)&lt;$L$1+1,DATE(20&amp;LEFT(FAAddition[[#This Row],[FY]],2),4,1)&gt;$P$1-1),'FA Addition'!$J1195,0)</f>
        <v>0</v>
      </c>
      <c r="U1195" s="117">
        <f>S1195*'FA Addition'!$L1195/'FA Addition'!$J1195</f>
        <v>0</v>
      </c>
      <c r="W1195" s="116">
        <f>SUMIFS('FA Write off'!D:D,'FA Write off'!A:A,'FA Addition'!$A1195,'FA Write off'!C:C,"&lt;"&amp;'FA Addition'!$P$1)</f>
        <v>0</v>
      </c>
      <c r="Y1195" s="191">
        <f>IFERROR(W1195/'FA Addition'!$J1195*'FA Addition'!$L1195,0)</f>
        <v>0</v>
      </c>
      <c r="AA1195" s="116">
        <f>SUMIFS('FA Write off'!D:D,'FA Write off'!A:A,'FA Addition'!$A1195,'FA Write off'!C:C,"&lt;"&amp;'FA Addition'!$L$1+1,'FA Write off'!C:C,"&gt;"&amp;'FA Addition'!$L$1-365)</f>
        <v>0</v>
      </c>
      <c r="AC1195" s="118">
        <f>IFERROR(AA1195/'FA Addition'!$J1195*'FA Addition'!$L1195,0)</f>
        <v>0</v>
      </c>
      <c r="AE1195" s="117">
        <f>IF(AND('FA Addition'!$D1195&lt;$P$1+1,U1195=0),'FA Addition'!$L1195,0)-Y1195</f>
        <v>0</v>
      </c>
      <c r="AF1195" s="117">
        <f t="shared" si="90"/>
        <v>0</v>
      </c>
      <c r="AG1195" s="117">
        <f>MIN(MAX(+$P$1-'FA Addition'!$D1195,0),365*'FA Addition'!$O1195)</f>
        <v>0</v>
      </c>
      <c r="AH1195" s="117">
        <f>MIN(MAX($L$1-'FA Addition'!$D1195+1,0),365*'FA Addition'!$O1195)</f>
        <v>0</v>
      </c>
      <c r="AI1195" s="117" cm="1">
        <f t="array" ref="AI1195">_xlfn.XLOOKUP(1,('FA Write off'!A:A='FA Addition'!$A1195)*('FA Write off'!D:D=AA1195),'FA Write off'!H:H,0,0)</f>
        <v>0</v>
      </c>
      <c r="AJ1195" s="117">
        <f>IF(AC1195&gt;0,MAX(IF('FA Addition'!$N1195="SLM",($AC1195-'FA Addition'!$M1195)*'FA Addition'!$P1195*AI1195/365,(AC1195-'FA Addition'!$M1195)*(1-(1-'FA Addition'!$P1195)^(AI1195/365))),0),0)</f>
        <v>0</v>
      </c>
      <c r="AL1195" s="117">
        <f>MAX(IF(AG1195&gt;0,IF('FA Addition'!$N1195="SLM",($AE1195-'FA Addition'!$M1195)*'FA Addition'!$P1195*AG1195/365,IFERROR(VDB(AE1195,AE1195*0.05,'FA Addition'!$O1195,0,YEARFRAC('FA Addition'!$C1195,$P$1-1,3),'FA Addition'!$Q1195),FAAddition[[#This Row],[Original Cost (Rs)]]-FAAddition[[#This Row],[Salvage Value]])),0),0)</f>
        <v>0</v>
      </c>
      <c r="AM1195" s="119"/>
      <c r="AN1195" s="117">
        <f>MAX(IF(AH1195&gt;0,IF('FA Addition'!$N1195="SLM",($AF1195-'FA Addition'!$M1195)*'FA Addition'!$P1195*AH1195/365,IFERROR(VDB(AF1195,AF1195*0.05,'FA Addition'!$O1195,0,YEARFRAC('FA Addition'!$C1195,$L$1,3),'FA Addition'!$Q1195),FAAddition[[#This Row],[Original Cost (Rs)]]-FAAddition[[#This Row],[Salvage Value]])),0),0)</f>
        <v>0</v>
      </c>
      <c r="AO1195" s="117">
        <f t="shared" si="93"/>
        <v>0</v>
      </c>
      <c r="AQ1195" s="117">
        <f t="shared" si="91"/>
        <v>0</v>
      </c>
      <c r="AR1195" s="120">
        <f t="shared" si="92"/>
        <v>0</v>
      </c>
      <c r="AS1195" s="121"/>
    </row>
    <row r="1196" spans="1:45" ht="13.5" x14ac:dyDescent="0.4">
      <c r="A1196" s="12">
        <f t="shared" si="94"/>
        <v>1193</v>
      </c>
      <c r="B1196" s="64" t="s">
        <v>1758</v>
      </c>
      <c r="C1196" s="54">
        <v>45623</v>
      </c>
      <c r="D1196" s="54">
        <v>45623</v>
      </c>
      <c r="E1196" s="46" t="s">
        <v>1320</v>
      </c>
      <c r="F1196" s="51" t="s">
        <v>33</v>
      </c>
      <c r="G1196" s="51" t="s">
        <v>36</v>
      </c>
      <c r="H1196" s="51" t="s">
        <v>32</v>
      </c>
      <c r="I1196" s="55" t="s">
        <v>1982</v>
      </c>
      <c r="J1196" s="56">
        <v>1000</v>
      </c>
      <c r="K1196" s="51" t="s">
        <v>296</v>
      </c>
      <c r="L1196" s="58">
        <v>1600000</v>
      </c>
      <c r="M1196" s="50">
        <f>ROUND('FA Addition'!$L1196*5%,0.1)</f>
        <v>80000</v>
      </c>
      <c r="N1196" s="113" t="str">
        <f>_xlfn.XLOOKUP(_xlfn.CONCAT(E1196,B1196),'Year Wise Master Dep Approach'!F:F,'Year Wise Master Dep Approach'!D:D)</f>
        <v>SLM</v>
      </c>
      <c r="O1196" s="113">
        <f>_xlfn.XLOOKUP(_xlfn.CONCAT(E1196,B1196),'Year Wise Master Dep Approach'!F:F,'Year Wise Master Dep Approach'!E:E)</f>
        <v>5</v>
      </c>
      <c r="P1196" s="114">
        <f>IFERROR(IF('FA Addition'!$N1196="WDV",1-('FA Addition'!$M1196/'FA Addition'!$L1196)^(1/'FA Addition'!$O1196),1/'FA Addition'!$O1196),0)</f>
        <v>0.2</v>
      </c>
      <c r="Q1196" s="122">
        <f>'FA Addition'!$P1196*'FA Addition'!$O1196</f>
        <v>1</v>
      </c>
      <c r="R1196" s="122"/>
      <c r="S1196" s="116">
        <f>IF(AND(DATE(20&amp;LEFT(FAAddition[[#This Row],[FY]],2),4,1)&lt;$L$1+1,DATE(20&amp;LEFT(FAAddition[[#This Row],[FY]],2),4,1)&gt;$P$1-1),'FA Addition'!$J1196,0)</f>
        <v>0</v>
      </c>
      <c r="U1196" s="117">
        <f>S1196*'FA Addition'!$L1196/'FA Addition'!$J1196</f>
        <v>0</v>
      </c>
      <c r="W1196" s="116">
        <f>SUMIFS('FA Write off'!D:D,'FA Write off'!A:A,'FA Addition'!$A1196,'FA Write off'!C:C,"&lt;"&amp;'FA Addition'!$P$1)</f>
        <v>0</v>
      </c>
      <c r="Y1196" s="191">
        <f>IFERROR(W1196/'FA Addition'!$J1196*'FA Addition'!$L1196,0)</f>
        <v>0</v>
      </c>
      <c r="AA1196" s="116">
        <f>SUMIFS('FA Write off'!D:D,'FA Write off'!A:A,'FA Addition'!$A1196,'FA Write off'!C:C,"&lt;"&amp;'FA Addition'!$L$1+1,'FA Write off'!C:C,"&gt;"&amp;'FA Addition'!$L$1-365)</f>
        <v>0</v>
      </c>
      <c r="AC1196" s="118">
        <f>IFERROR(AA1196/'FA Addition'!$J1196*'FA Addition'!$L1196,0)</f>
        <v>0</v>
      </c>
      <c r="AE1196" s="117">
        <f>IF(AND('FA Addition'!$D1196&lt;$P$1+1,U1196=0),'FA Addition'!$L1196,0)-Y1196</f>
        <v>0</v>
      </c>
      <c r="AF1196" s="117">
        <f t="shared" si="90"/>
        <v>0</v>
      </c>
      <c r="AG1196" s="117">
        <f>MIN(MAX(+$P$1-'FA Addition'!$D1196,0),365*'FA Addition'!$O1196)</f>
        <v>0</v>
      </c>
      <c r="AH1196" s="117">
        <f>MIN(MAX($L$1-'FA Addition'!$D1196+1,0),365*'FA Addition'!$O1196)</f>
        <v>0</v>
      </c>
      <c r="AI1196" s="117" cm="1">
        <f t="array" ref="AI1196">_xlfn.XLOOKUP(1,('FA Write off'!A:A='FA Addition'!$A1196)*('FA Write off'!D:D=AA1196),'FA Write off'!H:H,0,0)</f>
        <v>0</v>
      </c>
      <c r="AJ1196" s="117">
        <f>IF(AC1196&gt;0,MAX(IF('FA Addition'!$N1196="SLM",($AC1196-'FA Addition'!$M1196)*'FA Addition'!$P1196*AI1196/365,(AC1196-'FA Addition'!$M1196)*(1-(1-'FA Addition'!$P1196)^(AI1196/365))),0),0)</f>
        <v>0</v>
      </c>
      <c r="AL1196" s="117">
        <f>MAX(IF(AG1196&gt;0,IF('FA Addition'!$N1196="SLM",($AE1196-'FA Addition'!$M1196)*'FA Addition'!$P1196*AG1196/365,IFERROR(VDB(AE1196,AE1196*0.05,'FA Addition'!$O1196,0,YEARFRAC('FA Addition'!$C1196,$P$1-1,3),'FA Addition'!$Q1196),FAAddition[[#This Row],[Original Cost (Rs)]]-FAAddition[[#This Row],[Salvage Value]])),0),0)</f>
        <v>0</v>
      </c>
      <c r="AM1196" s="119"/>
      <c r="AN1196" s="117">
        <f>MAX(IF(AH1196&gt;0,IF('FA Addition'!$N1196="SLM",($AF1196-'FA Addition'!$M1196)*'FA Addition'!$P1196*AH1196/365,IFERROR(VDB(AF1196,AF1196*0.05,'FA Addition'!$O1196,0,YEARFRAC('FA Addition'!$C1196,$L$1,3),'FA Addition'!$Q1196),FAAddition[[#This Row],[Original Cost (Rs)]]-FAAddition[[#This Row],[Salvage Value]])),0),0)</f>
        <v>0</v>
      </c>
      <c r="AO1196" s="117">
        <f t="shared" si="93"/>
        <v>0</v>
      </c>
      <c r="AQ1196" s="117">
        <f t="shared" si="91"/>
        <v>0</v>
      </c>
      <c r="AR1196" s="120">
        <f t="shared" si="92"/>
        <v>0</v>
      </c>
      <c r="AS1196" s="121"/>
    </row>
    <row r="1197" spans="1:45" ht="13.5" x14ac:dyDescent="0.4">
      <c r="A1197" s="12">
        <f t="shared" si="94"/>
        <v>1194</v>
      </c>
      <c r="B1197" s="64" t="s">
        <v>1758</v>
      </c>
      <c r="C1197" s="54">
        <v>45612</v>
      </c>
      <c r="D1197" s="54">
        <v>45623</v>
      </c>
      <c r="E1197" s="46" t="s">
        <v>1320</v>
      </c>
      <c r="F1197" s="51" t="s">
        <v>33</v>
      </c>
      <c r="G1197" s="51" t="s">
        <v>36</v>
      </c>
      <c r="H1197" s="51" t="s">
        <v>32</v>
      </c>
      <c r="I1197" s="55" t="s">
        <v>1983</v>
      </c>
      <c r="J1197" s="56">
        <v>300</v>
      </c>
      <c r="K1197" s="51" t="s">
        <v>296</v>
      </c>
      <c r="L1197" s="58">
        <v>480000</v>
      </c>
      <c r="M1197" s="50">
        <f>ROUND('FA Addition'!$L1197*5%,0.1)</f>
        <v>24000</v>
      </c>
      <c r="N1197" s="113" t="str">
        <f>_xlfn.XLOOKUP(_xlfn.CONCAT(E1197,B1197),'Year Wise Master Dep Approach'!F:F,'Year Wise Master Dep Approach'!D:D)</f>
        <v>SLM</v>
      </c>
      <c r="O1197" s="113">
        <f>_xlfn.XLOOKUP(_xlfn.CONCAT(E1197,B1197),'Year Wise Master Dep Approach'!F:F,'Year Wise Master Dep Approach'!E:E)</f>
        <v>5</v>
      </c>
      <c r="P1197" s="114">
        <f>IFERROR(IF('FA Addition'!$N1197="WDV",1-('FA Addition'!$M1197/'FA Addition'!$L1197)^(1/'FA Addition'!$O1197),1/'FA Addition'!$O1197),0)</f>
        <v>0.2</v>
      </c>
      <c r="Q1197" s="122">
        <f>'FA Addition'!$P1197*'FA Addition'!$O1197</f>
        <v>1</v>
      </c>
      <c r="R1197" s="122"/>
      <c r="S1197" s="116">
        <f>IF(AND(DATE(20&amp;LEFT(FAAddition[[#This Row],[FY]],2),4,1)&lt;$L$1+1,DATE(20&amp;LEFT(FAAddition[[#This Row],[FY]],2),4,1)&gt;$P$1-1),'FA Addition'!$J1197,0)</f>
        <v>0</v>
      </c>
      <c r="U1197" s="117">
        <f>S1197*'FA Addition'!$L1197/'FA Addition'!$J1197</f>
        <v>0</v>
      </c>
      <c r="W1197" s="116">
        <f>SUMIFS('FA Write off'!D:D,'FA Write off'!A:A,'FA Addition'!$A1197,'FA Write off'!C:C,"&lt;"&amp;'FA Addition'!$P$1)</f>
        <v>0</v>
      </c>
      <c r="Y1197" s="191">
        <f>IFERROR(W1197/'FA Addition'!$J1197*'FA Addition'!$L1197,0)</f>
        <v>0</v>
      </c>
      <c r="AA1197" s="116">
        <f>SUMIFS('FA Write off'!D:D,'FA Write off'!A:A,'FA Addition'!$A1197,'FA Write off'!C:C,"&lt;"&amp;'FA Addition'!$L$1+1,'FA Write off'!C:C,"&gt;"&amp;'FA Addition'!$L$1-365)</f>
        <v>0</v>
      </c>
      <c r="AC1197" s="118">
        <f>IFERROR(AA1197/'FA Addition'!$J1197*'FA Addition'!$L1197,0)</f>
        <v>0</v>
      </c>
      <c r="AE1197" s="117">
        <f>IF(AND('FA Addition'!$D1197&lt;$P$1+1,U1197=0),'FA Addition'!$L1197,0)-Y1197</f>
        <v>0</v>
      </c>
      <c r="AF1197" s="117">
        <f t="shared" si="90"/>
        <v>0</v>
      </c>
      <c r="AG1197" s="117">
        <f>MIN(MAX(+$P$1-'FA Addition'!$D1197,0),365*'FA Addition'!$O1197)</f>
        <v>0</v>
      </c>
      <c r="AH1197" s="117">
        <f>MIN(MAX($L$1-'FA Addition'!$D1197+1,0),365*'FA Addition'!$O1197)</f>
        <v>0</v>
      </c>
      <c r="AI1197" s="117" cm="1">
        <f t="array" ref="AI1197">_xlfn.XLOOKUP(1,('FA Write off'!A:A='FA Addition'!$A1197)*('FA Write off'!D:D=AA1197),'FA Write off'!H:H,0,0)</f>
        <v>0</v>
      </c>
      <c r="AJ1197" s="117">
        <f>IF(AC1197&gt;0,MAX(IF('FA Addition'!$N1197="SLM",($AC1197-'FA Addition'!$M1197)*'FA Addition'!$P1197*AI1197/365,(AC1197-'FA Addition'!$M1197)*(1-(1-'FA Addition'!$P1197)^(AI1197/365))),0),0)</f>
        <v>0</v>
      </c>
      <c r="AL1197" s="117">
        <f>MAX(IF(AG1197&gt;0,IF('FA Addition'!$N1197="SLM",($AE1197-'FA Addition'!$M1197)*'FA Addition'!$P1197*AG1197/365,IFERROR(VDB(AE1197,AE1197*0.05,'FA Addition'!$O1197,0,YEARFRAC('FA Addition'!$C1197,$P$1-1,3),'FA Addition'!$Q1197),FAAddition[[#This Row],[Original Cost (Rs)]]-FAAddition[[#This Row],[Salvage Value]])),0),0)</f>
        <v>0</v>
      </c>
      <c r="AM1197" s="119"/>
      <c r="AN1197" s="117">
        <f>MAX(IF(AH1197&gt;0,IF('FA Addition'!$N1197="SLM",($AF1197-'FA Addition'!$M1197)*'FA Addition'!$P1197*AH1197/365,IFERROR(VDB(AF1197,AF1197*0.05,'FA Addition'!$O1197,0,YEARFRAC('FA Addition'!$C1197,$L$1,3),'FA Addition'!$Q1197),FAAddition[[#This Row],[Original Cost (Rs)]]-FAAddition[[#This Row],[Salvage Value]])),0),0)</f>
        <v>0</v>
      </c>
      <c r="AO1197" s="117">
        <f t="shared" si="93"/>
        <v>0</v>
      </c>
      <c r="AQ1197" s="117">
        <f t="shared" si="91"/>
        <v>0</v>
      </c>
      <c r="AR1197" s="120">
        <f t="shared" si="92"/>
        <v>0</v>
      </c>
      <c r="AS1197" s="121"/>
    </row>
    <row r="1198" spans="1:45" ht="13.5" x14ac:dyDescent="0.4">
      <c r="A1198" s="12">
        <f t="shared" si="94"/>
        <v>1195</v>
      </c>
      <c r="B1198" s="64" t="s">
        <v>1758</v>
      </c>
      <c r="C1198" s="54">
        <v>45623</v>
      </c>
      <c r="D1198" s="54">
        <v>45623</v>
      </c>
      <c r="E1198" s="46" t="s">
        <v>451</v>
      </c>
      <c r="F1198" s="51" t="s">
        <v>19</v>
      </c>
      <c r="G1198" s="51" t="s">
        <v>1963</v>
      </c>
      <c r="H1198" s="51" t="s">
        <v>207</v>
      </c>
      <c r="I1198" s="55" t="s">
        <v>1984</v>
      </c>
      <c r="J1198" s="56">
        <v>1</v>
      </c>
      <c r="K1198" s="51" t="s">
        <v>1985</v>
      </c>
      <c r="L1198" s="58">
        <v>5507.63</v>
      </c>
      <c r="M1198" s="50">
        <f>ROUND('FA Addition'!$L1198*5%,0.1)</f>
        <v>275</v>
      </c>
      <c r="N1198" s="113" t="str">
        <f>_xlfn.XLOOKUP(_xlfn.CONCAT(E1198,B1198),'Year Wise Master Dep Approach'!F:F,'Year Wise Master Dep Approach'!D:D)</f>
        <v>WDV</v>
      </c>
      <c r="O1198" s="113">
        <f>_xlfn.XLOOKUP(_xlfn.CONCAT(E1198,B1198),'Year Wise Master Dep Approach'!F:F,'Year Wise Master Dep Approach'!E:E)</f>
        <v>3</v>
      </c>
      <c r="P1198" s="114">
        <f>IFERROR(IF('FA Addition'!$N1198="WDV",1-('FA Addition'!$M1198/'FA Addition'!$L1198)^(1/'FA Addition'!$O1198),1/'FA Addition'!$O1198),0)</f>
        <v>0.63176705129740429</v>
      </c>
      <c r="Q1198" s="122">
        <f>'FA Addition'!$P1198*'FA Addition'!$O1198</f>
        <v>1.8953011538922129</v>
      </c>
      <c r="R1198" s="122"/>
      <c r="S1198" s="116">
        <f>IF(AND(DATE(20&amp;LEFT(FAAddition[[#This Row],[FY]],2),4,1)&lt;$L$1+1,DATE(20&amp;LEFT(FAAddition[[#This Row],[FY]],2),4,1)&gt;$P$1-1),'FA Addition'!$J1198,0)</f>
        <v>0</v>
      </c>
      <c r="U1198" s="117">
        <f>S1198*'FA Addition'!$L1198/'FA Addition'!$J1198</f>
        <v>0</v>
      </c>
      <c r="W1198" s="116">
        <f>SUMIFS('FA Write off'!D:D,'FA Write off'!A:A,'FA Addition'!$A1198,'FA Write off'!C:C,"&lt;"&amp;'FA Addition'!$P$1)</f>
        <v>0</v>
      </c>
      <c r="Y1198" s="191">
        <f>IFERROR(W1198/'FA Addition'!$J1198*'FA Addition'!$L1198,0)</f>
        <v>0</v>
      </c>
      <c r="AA1198" s="116">
        <f>SUMIFS('FA Write off'!D:D,'FA Write off'!A:A,'FA Addition'!$A1198,'FA Write off'!C:C,"&lt;"&amp;'FA Addition'!$L$1+1,'FA Write off'!C:C,"&gt;"&amp;'FA Addition'!$L$1-365)</f>
        <v>0</v>
      </c>
      <c r="AC1198" s="118">
        <f>IFERROR(AA1198/'FA Addition'!$J1198*'FA Addition'!$L1198,0)</f>
        <v>0</v>
      </c>
      <c r="AE1198" s="117">
        <f>IF(AND('FA Addition'!$D1198&lt;$P$1+1,U1198=0),'FA Addition'!$L1198,0)-Y1198</f>
        <v>0</v>
      </c>
      <c r="AF1198" s="117">
        <f t="shared" si="90"/>
        <v>0</v>
      </c>
      <c r="AG1198" s="117">
        <f>MIN(MAX(+$P$1-'FA Addition'!$D1198,0),365*'FA Addition'!$O1198)</f>
        <v>0</v>
      </c>
      <c r="AH1198" s="117">
        <f>MIN(MAX($L$1-'FA Addition'!$D1198+1,0),365*'FA Addition'!$O1198)</f>
        <v>0</v>
      </c>
      <c r="AI1198" s="117" cm="1">
        <f t="array" ref="AI1198">_xlfn.XLOOKUP(1,('FA Write off'!A:A='FA Addition'!$A1198)*('FA Write off'!D:D=AA1198),'FA Write off'!H:H,0,0)</f>
        <v>0</v>
      </c>
      <c r="AJ1198" s="117">
        <f>IF(AC1198&gt;0,MAX(IF('FA Addition'!$N1198="SLM",($AC1198-'FA Addition'!$M1198)*'FA Addition'!$P1198*AI1198/365,(AC1198-'FA Addition'!$M1198)*(1-(1-'FA Addition'!$P1198)^(AI1198/365))),0),0)</f>
        <v>0</v>
      </c>
      <c r="AL1198" s="117">
        <f>MAX(IF(AG1198&gt;0,IF('FA Addition'!$N1198="SLM",($AE1198-'FA Addition'!$M1198)*'FA Addition'!$P1198*AG1198/365,IFERROR(VDB(AE1198,AE1198*0.05,'FA Addition'!$O1198,0,YEARFRAC('FA Addition'!$C1198,$P$1-1,3),'FA Addition'!$Q1198),FAAddition[[#This Row],[Original Cost (Rs)]]-FAAddition[[#This Row],[Salvage Value]])),0),0)</f>
        <v>0</v>
      </c>
      <c r="AM1198" s="119"/>
      <c r="AN1198" s="117">
        <f>MAX(IF(AH1198&gt;0,IF('FA Addition'!$N1198="SLM",($AF1198-'FA Addition'!$M1198)*'FA Addition'!$P1198*AH1198/365,IFERROR(VDB(AF1198,AF1198*0.05,'FA Addition'!$O1198,0,YEARFRAC('FA Addition'!$C1198,$L$1,3),'FA Addition'!$Q1198),FAAddition[[#This Row],[Original Cost (Rs)]]-FAAddition[[#This Row],[Salvage Value]])),0),0)</f>
        <v>0</v>
      </c>
      <c r="AO1198" s="117">
        <f t="shared" si="93"/>
        <v>0</v>
      </c>
      <c r="AQ1198" s="117">
        <f t="shared" si="91"/>
        <v>0</v>
      </c>
      <c r="AR1198" s="120">
        <f t="shared" si="92"/>
        <v>0</v>
      </c>
      <c r="AS1198" s="121"/>
    </row>
    <row r="1199" spans="1:45" ht="13.5" x14ac:dyDescent="0.4">
      <c r="A1199" s="12">
        <f t="shared" si="94"/>
        <v>1196</v>
      </c>
      <c r="B1199" s="64" t="s">
        <v>1758</v>
      </c>
      <c r="C1199" s="54">
        <v>45623</v>
      </c>
      <c r="D1199" s="54">
        <v>45623</v>
      </c>
      <c r="E1199" s="46" t="s">
        <v>451</v>
      </c>
      <c r="F1199" s="51" t="s">
        <v>19</v>
      </c>
      <c r="G1199" s="51" t="s">
        <v>1963</v>
      </c>
      <c r="H1199" s="51" t="s">
        <v>207</v>
      </c>
      <c r="I1199" s="55" t="s">
        <v>1984</v>
      </c>
      <c r="J1199" s="56">
        <v>1</v>
      </c>
      <c r="K1199" s="51" t="s">
        <v>1985</v>
      </c>
      <c r="L1199" s="58">
        <v>5507.63</v>
      </c>
      <c r="M1199" s="50">
        <f>ROUND('FA Addition'!$L1199*5%,0.1)</f>
        <v>275</v>
      </c>
      <c r="N1199" s="113" t="str">
        <f>_xlfn.XLOOKUP(_xlfn.CONCAT(E1199,B1199),'Year Wise Master Dep Approach'!F:F,'Year Wise Master Dep Approach'!D:D)</f>
        <v>WDV</v>
      </c>
      <c r="O1199" s="113">
        <f>_xlfn.XLOOKUP(_xlfn.CONCAT(E1199,B1199),'Year Wise Master Dep Approach'!F:F,'Year Wise Master Dep Approach'!E:E)</f>
        <v>3</v>
      </c>
      <c r="P1199" s="114">
        <f>IFERROR(IF('FA Addition'!$N1199="WDV",1-('FA Addition'!$M1199/'FA Addition'!$L1199)^(1/'FA Addition'!$O1199),1/'FA Addition'!$O1199),0)</f>
        <v>0.63176705129740429</v>
      </c>
      <c r="Q1199" s="122">
        <f>'FA Addition'!$P1199*'FA Addition'!$O1199</f>
        <v>1.8953011538922129</v>
      </c>
      <c r="R1199" s="122"/>
      <c r="S1199" s="116">
        <f>IF(AND(DATE(20&amp;LEFT(FAAddition[[#This Row],[FY]],2),4,1)&lt;$L$1+1,DATE(20&amp;LEFT(FAAddition[[#This Row],[FY]],2),4,1)&gt;$P$1-1),'FA Addition'!$J1199,0)</f>
        <v>0</v>
      </c>
      <c r="U1199" s="117">
        <f>S1199*'FA Addition'!$L1199/'FA Addition'!$J1199</f>
        <v>0</v>
      </c>
      <c r="W1199" s="116">
        <f>SUMIFS('FA Write off'!D:D,'FA Write off'!A:A,'FA Addition'!$A1199,'FA Write off'!C:C,"&lt;"&amp;'FA Addition'!$P$1)</f>
        <v>0</v>
      </c>
      <c r="Y1199" s="191">
        <f>IFERROR(W1199/'FA Addition'!$J1199*'FA Addition'!$L1199,0)</f>
        <v>0</v>
      </c>
      <c r="AA1199" s="116">
        <f>SUMIFS('FA Write off'!D:D,'FA Write off'!A:A,'FA Addition'!$A1199,'FA Write off'!C:C,"&lt;"&amp;'FA Addition'!$L$1+1,'FA Write off'!C:C,"&gt;"&amp;'FA Addition'!$L$1-365)</f>
        <v>0</v>
      </c>
      <c r="AC1199" s="118">
        <f>IFERROR(AA1199/'FA Addition'!$J1199*'FA Addition'!$L1199,0)</f>
        <v>0</v>
      </c>
      <c r="AE1199" s="117">
        <f>IF(AND('FA Addition'!$D1199&lt;$P$1+1,U1199=0),'FA Addition'!$L1199,0)-Y1199</f>
        <v>0</v>
      </c>
      <c r="AF1199" s="117">
        <f t="shared" si="90"/>
        <v>0</v>
      </c>
      <c r="AG1199" s="117">
        <f>MIN(MAX(+$P$1-'FA Addition'!$D1199,0),365*'FA Addition'!$O1199)</f>
        <v>0</v>
      </c>
      <c r="AH1199" s="117">
        <f>MIN(MAX($L$1-'FA Addition'!$D1199+1,0),365*'FA Addition'!$O1199)</f>
        <v>0</v>
      </c>
      <c r="AI1199" s="117" cm="1">
        <f t="array" ref="AI1199">_xlfn.XLOOKUP(1,('FA Write off'!A:A='FA Addition'!$A1199)*('FA Write off'!D:D=AA1199),'FA Write off'!H:H,0,0)</f>
        <v>0</v>
      </c>
      <c r="AJ1199" s="117">
        <f>IF(AC1199&gt;0,MAX(IF('FA Addition'!$N1199="SLM",($AC1199-'FA Addition'!$M1199)*'FA Addition'!$P1199*AI1199/365,(AC1199-'FA Addition'!$M1199)*(1-(1-'FA Addition'!$P1199)^(AI1199/365))),0),0)</f>
        <v>0</v>
      </c>
      <c r="AL1199" s="117">
        <f>MAX(IF(AG1199&gt;0,IF('FA Addition'!$N1199="SLM",($AE1199-'FA Addition'!$M1199)*'FA Addition'!$P1199*AG1199/365,IFERROR(VDB(AE1199,AE1199*0.05,'FA Addition'!$O1199,0,YEARFRAC('FA Addition'!$C1199,$P$1-1,3),'FA Addition'!$Q1199),FAAddition[[#This Row],[Original Cost (Rs)]]-FAAddition[[#This Row],[Salvage Value]])),0),0)</f>
        <v>0</v>
      </c>
      <c r="AM1199" s="119"/>
      <c r="AN1199" s="117">
        <f>MAX(IF(AH1199&gt;0,IF('FA Addition'!$N1199="SLM",($AF1199-'FA Addition'!$M1199)*'FA Addition'!$P1199*AH1199/365,IFERROR(VDB(AF1199,AF1199*0.05,'FA Addition'!$O1199,0,YEARFRAC('FA Addition'!$C1199,$L$1,3),'FA Addition'!$Q1199),FAAddition[[#This Row],[Original Cost (Rs)]]-FAAddition[[#This Row],[Salvage Value]])),0),0)</f>
        <v>0</v>
      </c>
      <c r="AO1199" s="117">
        <f t="shared" si="93"/>
        <v>0</v>
      </c>
      <c r="AQ1199" s="117">
        <f t="shared" si="91"/>
        <v>0</v>
      </c>
      <c r="AR1199" s="120">
        <f t="shared" si="92"/>
        <v>0</v>
      </c>
      <c r="AS1199" s="121"/>
    </row>
    <row r="1200" spans="1:45" ht="13.5" x14ac:dyDescent="0.4">
      <c r="A1200" s="12">
        <f t="shared" si="94"/>
        <v>1197</v>
      </c>
      <c r="B1200" s="64" t="s">
        <v>1758</v>
      </c>
      <c r="C1200" s="54">
        <v>45623</v>
      </c>
      <c r="D1200" s="54">
        <v>45623</v>
      </c>
      <c r="E1200" s="46" t="s">
        <v>451</v>
      </c>
      <c r="F1200" s="51" t="s">
        <v>19</v>
      </c>
      <c r="G1200" s="51" t="s">
        <v>1963</v>
      </c>
      <c r="H1200" s="51" t="s">
        <v>207</v>
      </c>
      <c r="I1200" s="55" t="s">
        <v>1984</v>
      </c>
      <c r="J1200" s="56">
        <v>1</v>
      </c>
      <c r="K1200" s="51" t="s">
        <v>1985</v>
      </c>
      <c r="L1200" s="58">
        <v>5507.63</v>
      </c>
      <c r="M1200" s="50">
        <f>ROUND('FA Addition'!$L1200*5%,0.1)</f>
        <v>275</v>
      </c>
      <c r="N1200" s="113" t="str">
        <f>_xlfn.XLOOKUP(_xlfn.CONCAT(E1200,B1200),'Year Wise Master Dep Approach'!F:F,'Year Wise Master Dep Approach'!D:D)</f>
        <v>WDV</v>
      </c>
      <c r="O1200" s="113">
        <f>_xlfn.XLOOKUP(_xlfn.CONCAT(E1200,B1200),'Year Wise Master Dep Approach'!F:F,'Year Wise Master Dep Approach'!E:E)</f>
        <v>3</v>
      </c>
      <c r="P1200" s="114">
        <f>IFERROR(IF('FA Addition'!$N1200="WDV",1-('FA Addition'!$M1200/'FA Addition'!$L1200)^(1/'FA Addition'!$O1200),1/'FA Addition'!$O1200),0)</f>
        <v>0.63176705129740429</v>
      </c>
      <c r="Q1200" s="122">
        <f>'FA Addition'!$P1200*'FA Addition'!$O1200</f>
        <v>1.8953011538922129</v>
      </c>
      <c r="R1200" s="122"/>
      <c r="S1200" s="116">
        <f>IF(AND(DATE(20&amp;LEFT(FAAddition[[#This Row],[FY]],2),4,1)&lt;$L$1+1,DATE(20&amp;LEFT(FAAddition[[#This Row],[FY]],2),4,1)&gt;$P$1-1),'FA Addition'!$J1200,0)</f>
        <v>0</v>
      </c>
      <c r="U1200" s="117">
        <f>S1200*'FA Addition'!$L1200/'FA Addition'!$J1200</f>
        <v>0</v>
      </c>
      <c r="W1200" s="116">
        <f>SUMIFS('FA Write off'!D:D,'FA Write off'!A:A,'FA Addition'!$A1200,'FA Write off'!C:C,"&lt;"&amp;'FA Addition'!$P$1)</f>
        <v>0</v>
      </c>
      <c r="Y1200" s="191">
        <f>IFERROR(W1200/'FA Addition'!$J1200*'FA Addition'!$L1200,0)</f>
        <v>0</v>
      </c>
      <c r="AA1200" s="116">
        <f>SUMIFS('FA Write off'!D:D,'FA Write off'!A:A,'FA Addition'!$A1200,'FA Write off'!C:C,"&lt;"&amp;'FA Addition'!$L$1+1,'FA Write off'!C:C,"&gt;"&amp;'FA Addition'!$L$1-365)</f>
        <v>0</v>
      </c>
      <c r="AC1200" s="118">
        <f>IFERROR(AA1200/'FA Addition'!$J1200*'FA Addition'!$L1200,0)</f>
        <v>0</v>
      </c>
      <c r="AE1200" s="117">
        <f>IF(AND('FA Addition'!$D1200&lt;$P$1+1,U1200=0),'FA Addition'!$L1200,0)-Y1200</f>
        <v>0</v>
      </c>
      <c r="AF1200" s="117">
        <f t="shared" si="90"/>
        <v>0</v>
      </c>
      <c r="AG1200" s="117">
        <f>MIN(MAX(+$P$1-'FA Addition'!$D1200,0),365*'FA Addition'!$O1200)</f>
        <v>0</v>
      </c>
      <c r="AH1200" s="117">
        <f>MIN(MAX($L$1-'FA Addition'!$D1200+1,0),365*'FA Addition'!$O1200)</f>
        <v>0</v>
      </c>
      <c r="AI1200" s="117" cm="1">
        <f t="array" ref="AI1200">_xlfn.XLOOKUP(1,('FA Write off'!A:A='FA Addition'!$A1200)*('FA Write off'!D:D=AA1200),'FA Write off'!H:H,0,0)</f>
        <v>0</v>
      </c>
      <c r="AJ1200" s="117">
        <f>IF(AC1200&gt;0,MAX(IF('FA Addition'!$N1200="SLM",($AC1200-'FA Addition'!$M1200)*'FA Addition'!$P1200*AI1200/365,(AC1200-'FA Addition'!$M1200)*(1-(1-'FA Addition'!$P1200)^(AI1200/365))),0),0)</f>
        <v>0</v>
      </c>
      <c r="AL1200" s="117">
        <f>MAX(IF(AG1200&gt;0,IF('FA Addition'!$N1200="SLM",($AE1200-'FA Addition'!$M1200)*'FA Addition'!$P1200*AG1200/365,IFERROR(VDB(AE1200,AE1200*0.05,'FA Addition'!$O1200,0,YEARFRAC('FA Addition'!$C1200,$P$1-1,3),'FA Addition'!$Q1200),FAAddition[[#This Row],[Original Cost (Rs)]]-FAAddition[[#This Row],[Salvage Value]])),0),0)</f>
        <v>0</v>
      </c>
      <c r="AM1200" s="119"/>
      <c r="AN1200" s="117">
        <f>MAX(IF(AH1200&gt;0,IF('FA Addition'!$N1200="SLM",($AF1200-'FA Addition'!$M1200)*'FA Addition'!$P1200*AH1200/365,IFERROR(VDB(AF1200,AF1200*0.05,'FA Addition'!$O1200,0,YEARFRAC('FA Addition'!$C1200,$L$1,3),'FA Addition'!$Q1200),FAAddition[[#This Row],[Original Cost (Rs)]]-FAAddition[[#This Row],[Salvage Value]])),0),0)</f>
        <v>0</v>
      </c>
      <c r="AO1200" s="117">
        <f t="shared" si="93"/>
        <v>0</v>
      </c>
      <c r="AQ1200" s="117">
        <f t="shared" si="91"/>
        <v>0</v>
      </c>
      <c r="AR1200" s="120">
        <f t="shared" si="92"/>
        <v>0</v>
      </c>
      <c r="AS1200" s="121"/>
    </row>
    <row r="1201" spans="1:45" ht="13.5" x14ac:dyDescent="0.4">
      <c r="A1201" s="12">
        <f t="shared" si="94"/>
        <v>1198</v>
      </c>
      <c r="B1201" s="64" t="s">
        <v>1758</v>
      </c>
      <c r="C1201" s="54">
        <v>45623</v>
      </c>
      <c r="D1201" s="54">
        <v>45623</v>
      </c>
      <c r="E1201" s="46" t="s">
        <v>451</v>
      </c>
      <c r="F1201" s="51" t="s">
        <v>19</v>
      </c>
      <c r="G1201" s="51" t="s">
        <v>1963</v>
      </c>
      <c r="H1201" s="51" t="s">
        <v>207</v>
      </c>
      <c r="I1201" s="55" t="s">
        <v>1984</v>
      </c>
      <c r="J1201" s="56">
        <v>1</v>
      </c>
      <c r="K1201" s="51" t="s">
        <v>1985</v>
      </c>
      <c r="L1201" s="58">
        <v>5507.63</v>
      </c>
      <c r="M1201" s="50">
        <f>ROUND('FA Addition'!$L1201*5%,0.1)</f>
        <v>275</v>
      </c>
      <c r="N1201" s="113" t="str">
        <f>_xlfn.XLOOKUP(_xlfn.CONCAT(E1201,B1201),'Year Wise Master Dep Approach'!F:F,'Year Wise Master Dep Approach'!D:D)</f>
        <v>WDV</v>
      </c>
      <c r="O1201" s="113">
        <f>_xlfn.XLOOKUP(_xlfn.CONCAT(E1201,B1201),'Year Wise Master Dep Approach'!F:F,'Year Wise Master Dep Approach'!E:E)</f>
        <v>3</v>
      </c>
      <c r="P1201" s="114">
        <f>IFERROR(IF('FA Addition'!$N1201="WDV",1-('FA Addition'!$M1201/'FA Addition'!$L1201)^(1/'FA Addition'!$O1201),1/'FA Addition'!$O1201),0)</f>
        <v>0.63176705129740429</v>
      </c>
      <c r="Q1201" s="122">
        <f>'FA Addition'!$P1201*'FA Addition'!$O1201</f>
        <v>1.8953011538922129</v>
      </c>
      <c r="R1201" s="122"/>
      <c r="S1201" s="116">
        <f>IF(AND(DATE(20&amp;LEFT(FAAddition[[#This Row],[FY]],2),4,1)&lt;$L$1+1,DATE(20&amp;LEFT(FAAddition[[#This Row],[FY]],2),4,1)&gt;$P$1-1),'FA Addition'!$J1201,0)</f>
        <v>0</v>
      </c>
      <c r="U1201" s="117">
        <f>S1201*'FA Addition'!$L1201/'FA Addition'!$J1201</f>
        <v>0</v>
      </c>
      <c r="W1201" s="116">
        <f>SUMIFS('FA Write off'!D:D,'FA Write off'!A:A,'FA Addition'!$A1201,'FA Write off'!C:C,"&lt;"&amp;'FA Addition'!$P$1)</f>
        <v>0</v>
      </c>
      <c r="Y1201" s="191">
        <f>IFERROR(W1201/'FA Addition'!$J1201*'FA Addition'!$L1201,0)</f>
        <v>0</v>
      </c>
      <c r="AA1201" s="116">
        <f>SUMIFS('FA Write off'!D:D,'FA Write off'!A:A,'FA Addition'!$A1201,'FA Write off'!C:C,"&lt;"&amp;'FA Addition'!$L$1+1,'FA Write off'!C:C,"&gt;"&amp;'FA Addition'!$L$1-365)</f>
        <v>0</v>
      </c>
      <c r="AC1201" s="118">
        <f>IFERROR(AA1201/'FA Addition'!$J1201*'FA Addition'!$L1201,0)</f>
        <v>0</v>
      </c>
      <c r="AE1201" s="117">
        <f>IF(AND('FA Addition'!$D1201&lt;$P$1+1,U1201=0),'FA Addition'!$L1201,0)-Y1201</f>
        <v>0</v>
      </c>
      <c r="AF1201" s="117">
        <f t="shared" si="90"/>
        <v>0</v>
      </c>
      <c r="AG1201" s="117">
        <f>MIN(MAX(+$P$1-'FA Addition'!$D1201,0),365*'FA Addition'!$O1201)</f>
        <v>0</v>
      </c>
      <c r="AH1201" s="117">
        <f>MIN(MAX($L$1-'FA Addition'!$D1201+1,0),365*'FA Addition'!$O1201)</f>
        <v>0</v>
      </c>
      <c r="AI1201" s="117" cm="1">
        <f t="array" ref="AI1201">_xlfn.XLOOKUP(1,('FA Write off'!A:A='FA Addition'!$A1201)*('FA Write off'!D:D=AA1201),'FA Write off'!H:H,0,0)</f>
        <v>0</v>
      </c>
      <c r="AJ1201" s="117">
        <f>IF(AC1201&gt;0,MAX(IF('FA Addition'!$N1201="SLM",($AC1201-'FA Addition'!$M1201)*'FA Addition'!$P1201*AI1201/365,(AC1201-'FA Addition'!$M1201)*(1-(1-'FA Addition'!$P1201)^(AI1201/365))),0),0)</f>
        <v>0</v>
      </c>
      <c r="AL1201" s="117">
        <f>MAX(IF(AG1201&gt;0,IF('FA Addition'!$N1201="SLM",($AE1201-'FA Addition'!$M1201)*'FA Addition'!$P1201*AG1201/365,IFERROR(VDB(AE1201,AE1201*0.05,'FA Addition'!$O1201,0,YEARFRAC('FA Addition'!$C1201,$P$1-1,3),'FA Addition'!$Q1201),FAAddition[[#This Row],[Original Cost (Rs)]]-FAAddition[[#This Row],[Salvage Value]])),0),0)</f>
        <v>0</v>
      </c>
      <c r="AM1201" s="119"/>
      <c r="AN1201" s="117">
        <f>MAX(IF(AH1201&gt;0,IF('FA Addition'!$N1201="SLM",($AF1201-'FA Addition'!$M1201)*'FA Addition'!$P1201*AH1201/365,IFERROR(VDB(AF1201,AF1201*0.05,'FA Addition'!$O1201,0,YEARFRAC('FA Addition'!$C1201,$L$1,3),'FA Addition'!$Q1201),FAAddition[[#This Row],[Original Cost (Rs)]]-FAAddition[[#This Row],[Salvage Value]])),0),0)</f>
        <v>0</v>
      </c>
      <c r="AO1201" s="117">
        <f t="shared" si="93"/>
        <v>0</v>
      </c>
      <c r="AQ1201" s="117">
        <f t="shared" si="91"/>
        <v>0</v>
      </c>
      <c r="AR1201" s="120">
        <f t="shared" si="92"/>
        <v>0</v>
      </c>
      <c r="AS1201" s="121"/>
    </row>
    <row r="1202" spans="1:45" ht="13.5" x14ac:dyDescent="0.4">
      <c r="A1202" s="12">
        <f t="shared" si="94"/>
        <v>1199</v>
      </c>
      <c r="B1202" s="64" t="s">
        <v>1758</v>
      </c>
      <c r="C1202" s="54">
        <v>45623</v>
      </c>
      <c r="D1202" s="54">
        <v>45623</v>
      </c>
      <c r="E1202" s="46" t="s">
        <v>451</v>
      </c>
      <c r="F1202" s="51" t="s">
        <v>19</v>
      </c>
      <c r="G1202" s="51" t="s">
        <v>1963</v>
      </c>
      <c r="H1202" s="51" t="s">
        <v>207</v>
      </c>
      <c r="I1202" s="55" t="s">
        <v>1984</v>
      </c>
      <c r="J1202" s="56">
        <v>1</v>
      </c>
      <c r="K1202" s="51" t="s">
        <v>1985</v>
      </c>
      <c r="L1202" s="58">
        <v>5507.63</v>
      </c>
      <c r="M1202" s="50">
        <f>ROUND('FA Addition'!$L1202*5%,0.1)</f>
        <v>275</v>
      </c>
      <c r="N1202" s="113" t="str">
        <f>_xlfn.XLOOKUP(_xlfn.CONCAT(E1202,B1202),'Year Wise Master Dep Approach'!F:F,'Year Wise Master Dep Approach'!D:D)</f>
        <v>WDV</v>
      </c>
      <c r="O1202" s="113">
        <f>_xlfn.XLOOKUP(_xlfn.CONCAT(E1202,B1202),'Year Wise Master Dep Approach'!F:F,'Year Wise Master Dep Approach'!E:E)</f>
        <v>3</v>
      </c>
      <c r="P1202" s="114">
        <f>IFERROR(IF('FA Addition'!$N1202="WDV",1-('FA Addition'!$M1202/'FA Addition'!$L1202)^(1/'FA Addition'!$O1202),1/'FA Addition'!$O1202),0)</f>
        <v>0.63176705129740429</v>
      </c>
      <c r="Q1202" s="122">
        <f>'FA Addition'!$P1202*'FA Addition'!$O1202</f>
        <v>1.8953011538922129</v>
      </c>
      <c r="R1202" s="122"/>
      <c r="S1202" s="116">
        <f>IF(AND(DATE(20&amp;LEFT(FAAddition[[#This Row],[FY]],2),4,1)&lt;$L$1+1,DATE(20&amp;LEFT(FAAddition[[#This Row],[FY]],2),4,1)&gt;$P$1-1),'FA Addition'!$J1202,0)</f>
        <v>0</v>
      </c>
      <c r="U1202" s="117">
        <f>S1202*'FA Addition'!$L1202/'FA Addition'!$J1202</f>
        <v>0</v>
      </c>
      <c r="W1202" s="116">
        <f>SUMIFS('FA Write off'!D:D,'FA Write off'!A:A,'FA Addition'!$A1202,'FA Write off'!C:C,"&lt;"&amp;'FA Addition'!$P$1)</f>
        <v>0</v>
      </c>
      <c r="Y1202" s="191">
        <f>IFERROR(W1202/'FA Addition'!$J1202*'FA Addition'!$L1202,0)</f>
        <v>0</v>
      </c>
      <c r="AA1202" s="116">
        <f>SUMIFS('FA Write off'!D:D,'FA Write off'!A:A,'FA Addition'!$A1202,'FA Write off'!C:C,"&lt;"&amp;'FA Addition'!$L$1+1,'FA Write off'!C:C,"&gt;"&amp;'FA Addition'!$L$1-365)</f>
        <v>0</v>
      </c>
      <c r="AC1202" s="118">
        <f>IFERROR(AA1202/'FA Addition'!$J1202*'FA Addition'!$L1202,0)</f>
        <v>0</v>
      </c>
      <c r="AE1202" s="117">
        <f>IF(AND('FA Addition'!$D1202&lt;$P$1+1,U1202=0),'FA Addition'!$L1202,0)-Y1202</f>
        <v>0</v>
      </c>
      <c r="AF1202" s="117">
        <f t="shared" si="90"/>
        <v>0</v>
      </c>
      <c r="AG1202" s="117">
        <f>MIN(MAX(+$P$1-'FA Addition'!$D1202,0),365*'FA Addition'!$O1202)</f>
        <v>0</v>
      </c>
      <c r="AH1202" s="117">
        <f>MIN(MAX($L$1-'FA Addition'!$D1202+1,0),365*'FA Addition'!$O1202)</f>
        <v>0</v>
      </c>
      <c r="AI1202" s="117" cm="1">
        <f t="array" ref="AI1202">_xlfn.XLOOKUP(1,('FA Write off'!A:A='FA Addition'!$A1202)*('FA Write off'!D:D=AA1202),'FA Write off'!H:H,0,0)</f>
        <v>0</v>
      </c>
      <c r="AJ1202" s="117">
        <f>IF(AC1202&gt;0,MAX(IF('FA Addition'!$N1202="SLM",($AC1202-'FA Addition'!$M1202)*'FA Addition'!$P1202*AI1202/365,(AC1202-'FA Addition'!$M1202)*(1-(1-'FA Addition'!$P1202)^(AI1202/365))),0),0)</f>
        <v>0</v>
      </c>
      <c r="AL1202" s="117">
        <f>MAX(IF(AG1202&gt;0,IF('FA Addition'!$N1202="SLM",($AE1202-'FA Addition'!$M1202)*'FA Addition'!$P1202*AG1202/365,IFERROR(VDB(AE1202,AE1202*0.05,'FA Addition'!$O1202,0,YEARFRAC('FA Addition'!$C1202,$P$1-1,3),'FA Addition'!$Q1202),FAAddition[[#This Row],[Original Cost (Rs)]]-FAAddition[[#This Row],[Salvage Value]])),0),0)</f>
        <v>0</v>
      </c>
      <c r="AM1202" s="119"/>
      <c r="AN1202" s="117">
        <f>MAX(IF(AH1202&gt;0,IF('FA Addition'!$N1202="SLM",($AF1202-'FA Addition'!$M1202)*'FA Addition'!$P1202*AH1202/365,IFERROR(VDB(AF1202,AF1202*0.05,'FA Addition'!$O1202,0,YEARFRAC('FA Addition'!$C1202,$L$1,3),'FA Addition'!$Q1202),FAAddition[[#This Row],[Original Cost (Rs)]]-FAAddition[[#This Row],[Salvage Value]])),0),0)</f>
        <v>0</v>
      </c>
      <c r="AO1202" s="117">
        <f t="shared" si="93"/>
        <v>0</v>
      </c>
      <c r="AQ1202" s="117">
        <f t="shared" si="91"/>
        <v>0</v>
      </c>
      <c r="AR1202" s="120">
        <f t="shared" si="92"/>
        <v>0</v>
      </c>
      <c r="AS1202" s="121"/>
    </row>
    <row r="1203" spans="1:45" ht="13.5" x14ac:dyDescent="0.4">
      <c r="A1203" s="12">
        <f t="shared" si="94"/>
        <v>1200</v>
      </c>
      <c r="B1203" s="64" t="s">
        <v>1758</v>
      </c>
      <c r="C1203" s="54">
        <v>45621</v>
      </c>
      <c r="D1203" s="54">
        <v>45624</v>
      </c>
      <c r="E1203" s="46" t="s">
        <v>1320</v>
      </c>
      <c r="F1203" s="51" t="s">
        <v>33</v>
      </c>
      <c r="G1203" s="51" t="s">
        <v>34</v>
      </c>
      <c r="H1203" s="51" t="s">
        <v>32</v>
      </c>
      <c r="I1203" s="55" t="s">
        <v>1986</v>
      </c>
      <c r="J1203" s="56">
        <v>1500</v>
      </c>
      <c r="K1203" s="51" t="s">
        <v>295</v>
      </c>
      <c r="L1203" s="58">
        <v>2497500</v>
      </c>
      <c r="M1203" s="50">
        <f>ROUND('FA Addition'!$L1203*5%,0.1)</f>
        <v>124875</v>
      </c>
      <c r="N1203" s="113" t="str">
        <f>_xlfn.XLOOKUP(_xlfn.CONCAT(E1203,B1203),'Year Wise Master Dep Approach'!F:F,'Year Wise Master Dep Approach'!D:D)</f>
        <v>SLM</v>
      </c>
      <c r="O1203" s="113">
        <f>_xlfn.XLOOKUP(_xlfn.CONCAT(E1203,B1203),'Year Wise Master Dep Approach'!F:F,'Year Wise Master Dep Approach'!E:E)</f>
        <v>5</v>
      </c>
      <c r="P1203" s="114">
        <f>IFERROR(IF('FA Addition'!$N1203="WDV",1-('FA Addition'!$M1203/'FA Addition'!$L1203)^(1/'FA Addition'!$O1203),1/'FA Addition'!$O1203),0)</f>
        <v>0.2</v>
      </c>
      <c r="Q1203" s="122">
        <f>'FA Addition'!$P1203*'FA Addition'!$O1203</f>
        <v>1</v>
      </c>
      <c r="R1203" s="122"/>
      <c r="S1203" s="116">
        <f>IF(AND(DATE(20&amp;LEFT(FAAddition[[#This Row],[FY]],2),4,1)&lt;$L$1+1,DATE(20&amp;LEFT(FAAddition[[#This Row],[FY]],2),4,1)&gt;$P$1-1),'FA Addition'!$J1203,0)</f>
        <v>0</v>
      </c>
      <c r="U1203" s="117">
        <f>S1203*'FA Addition'!$L1203/'FA Addition'!$J1203</f>
        <v>0</v>
      </c>
      <c r="W1203" s="116">
        <f>SUMIFS('FA Write off'!D:D,'FA Write off'!A:A,'FA Addition'!$A1203,'FA Write off'!C:C,"&lt;"&amp;'FA Addition'!$P$1)</f>
        <v>0</v>
      </c>
      <c r="Y1203" s="191">
        <f>IFERROR(W1203/'FA Addition'!$J1203*'FA Addition'!$L1203,0)</f>
        <v>0</v>
      </c>
      <c r="AA1203" s="116">
        <f>SUMIFS('FA Write off'!D:D,'FA Write off'!A:A,'FA Addition'!$A1203,'FA Write off'!C:C,"&lt;"&amp;'FA Addition'!$L$1+1,'FA Write off'!C:C,"&gt;"&amp;'FA Addition'!$L$1-365)</f>
        <v>0</v>
      </c>
      <c r="AC1203" s="118">
        <f>IFERROR(AA1203/'FA Addition'!$J1203*'FA Addition'!$L1203,0)</f>
        <v>0</v>
      </c>
      <c r="AE1203" s="117">
        <f>IF(AND('FA Addition'!$D1203&lt;$P$1+1,U1203=0),'FA Addition'!$L1203,0)-Y1203</f>
        <v>0</v>
      </c>
      <c r="AF1203" s="117">
        <f t="shared" si="90"/>
        <v>0</v>
      </c>
      <c r="AG1203" s="117">
        <f>MIN(MAX(+$P$1-'FA Addition'!$D1203,0),365*'FA Addition'!$O1203)</f>
        <v>0</v>
      </c>
      <c r="AH1203" s="117">
        <f>MIN(MAX($L$1-'FA Addition'!$D1203+1,0),365*'FA Addition'!$O1203)</f>
        <v>0</v>
      </c>
      <c r="AI1203" s="117" cm="1">
        <f t="array" ref="AI1203">_xlfn.XLOOKUP(1,('FA Write off'!A:A='FA Addition'!$A1203)*('FA Write off'!D:D=AA1203),'FA Write off'!H:H,0,0)</f>
        <v>0</v>
      </c>
      <c r="AJ1203" s="117">
        <f>IF(AC1203&gt;0,MAX(IF('FA Addition'!$N1203="SLM",($AC1203-'FA Addition'!$M1203)*'FA Addition'!$P1203*AI1203/365,(AC1203-'FA Addition'!$M1203)*(1-(1-'FA Addition'!$P1203)^(AI1203/365))),0),0)</f>
        <v>0</v>
      </c>
      <c r="AL1203" s="117">
        <f>MAX(IF(AG1203&gt;0,IF('FA Addition'!$N1203="SLM",($AE1203-'FA Addition'!$M1203)*'FA Addition'!$P1203*AG1203/365,IFERROR(VDB(AE1203,AE1203*0.05,'FA Addition'!$O1203,0,YEARFRAC('FA Addition'!$C1203,$P$1-1,3),'FA Addition'!$Q1203),FAAddition[[#This Row],[Original Cost (Rs)]]-FAAddition[[#This Row],[Salvage Value]])),0),0)</f>
        <v>0</v>
      </c>
      <c r="AM1203" s="119"/>
      <c r="AN1203" s="117">
        <f>MAX(IF(AH1203&gt;0,IF('FA Addition'!$N1203="SLM",($AF1203-'FA Addition'!$M1203)*'FA Addition'!$P1203*AH1203/365,IFERROR(VDB(AF1203,AF1203*0.05,'FA Addition'!$O1203,0,YEARFRAC('FA Addition'!$C1203,$L$1,3),'FA Addition'!$Q1203),FAAddition[[#This Row],[Original Cost (Rs)]]-FAAddition[[#This Row],[Salvage Value]])),0),0)</f>
        <v>0</v>
      </c>
      <c r="AO1203" s="117">
        <f t="shared" si="93"/>
        <v>0</v>
      </c>
      <c r="AQ1203" s="117">
        <f t="shared" si="91"/>
        <v>0</v>
      </c>
      <c r="AR1203" s="120">
        <f t="shared" si="92"/>
        <v>0</v>
      </c>
      <c r="AS1203" s="121"/>
    </row>
    <row r="1204" spans="1:45" ht="13.5" x14ac:dyDescent="0.4">
      <c r="A1204" s="12">
        <f t="shared" si="94"/>
        <v>1201</v>
      </c>
      <c r="B1204" s="64" t="s">
        <v>1758</v>
      </c>
      <c r="C1204" s="54">
        <v>45623</v>
      </c>
      <c r="D1204" s="54">
        <v>45624</v>
      </c>
      <c r="E1204" s="46" t="s">
        <v>1320</v>
      </c>
      <c r="F1204" s="51" t="s">
        <v>33</v>
      </c>
      <c r="G1204" s="51" t="s">
        <v>34</v>
      </c>
      <c r="H1204" s="51" t="s">
        <v>32</v>
      </c>
      <c r="I1204" s="55" t="s">
        <v>1987</v>
      </c>
      <c r="J1204" s="56">
        <v>1000</v>
      </c>
      <c r="K1204" s="51" t="s">
        <v>295</v>
      </c>
      <c r="L1204" s="58">
        <v>1665000</v>
      </c>
      <c r="M1204" s="50">
        <f>ROUND('FA Addition'!$L1204*5%,0.1)</f>
        <v>83250</v>
      </c>
      <c r="N1204" s="113" t="str">
        <f>_xlfn.XLOOKUP(_xlfn.CONCAT(E1204,B1204),'Year Wise Master Dep Approach'!F:F,'Year Wise Master Dep Approach'!D:D)</f>
        <v>SLM</v>
      </c>
      <c r="O1204" s="113">
        <f>_xlfn.XLOOKUP(_xlfn.CONCAT(E1204,B1204),'Year Wise Master Dep Approach'!F:F,'Year Wise Master Dep Approach'!E:E)</f>
        <v>5</v>
      </c>
      <c r="P1204" s="114">
        <f>IFERROR(IF('FA Addition'!$N1204="WDV",1-('FA Addition'!$M1204/'FA Addition'!$L1204)^(1/'FA Addition'!$O1204),1/'FA Addition'!$O1204),0)</f>
        <v>0.2</v>
      </c>
      <c r="Q1204" s="122">
        <f>'FA Addition'!$P1204*'FA Addition'!$O1204</f>
        <v>1</v>
      </c>
      <c r="R1204" s="122"/>
      <c r="S1204" s="116">
        <f>IF(AND(DATE(20&amp;LEFT(FAAddition[[#This Row],[FY]],2),4,1)&lt;$L$1+1,DATE(20&amp;LEFT(FAAddition[[#This Row],[FY]],2),4,1)&gt;$P$1-1),'FA Addition'!$J1204,0)</f>
        <v>0</v>
      </c>
      <c r="U1204" s="117">
        <f>S1204*'FA Addition'!$L1204/'FA Addition'!$J1204</f>
        <v>0</v>
      </c>
      <c r="W1204" s="116">
        <f>SUMIFS('FA Write off'!D:D,'FA Write off'!A:A,'FA Addition'!$A1204,'FA Write off'!C:C,"&lt;"&amp;'FA Addition'!$P$1)</f>
        <v>0</v>
      </c>
      <c r="Y1204" s="191">
        <f>IFERROR(W1204/'FA Addition'!$J1204*'FA Addition'!$L1204,0)</f>
        <v>0</v>
      </c>
      <c r="AA1204" s="116">
        <f>SUMIFS('FA Write off'!D:D,'FA Write off'!A:A,'FA Addition'!$A1204,'FA Write off'!C:C,"&lt;"&amp;'FA Addition'!$L$1+1,'FA Write off'!C:C,"&gt;"&amp;'FA Addition'!$L$1-365)</f>
        <v>0</v>
      </c>
      <c r="AC1204" s="118">
        <f>IFERROR(AA1204/'FA Addition'!$J1204*'FA Addition'!$L1204,0)</f>
        <v>0</v>
      </c>
      <c r="AE1204" s="117">
        <f>IF(AND('FA Addition'!$D1204&lt;$P$1+1,U1204=0),'FA Addition'!$L1204,0)-Y1204</f>
        <v>0</v>
      </c>
      <c r="AF1204" s="117">
        <f t="shared" si="90"/>
        <v>0</v>
      </c>
      <c r="AG1204" s="117">
        <f>MIN(MAX(+$P$1-'FA Addition'!$D1204,0),365*'FA Addition'!$O1204)</f>
        <v>0</v>
      </c>
      <c r="AH1204" s="117">
        <f>MIN(MAX($L$1-'FA Addition'!$D1204+1,0),365*'FA Addition'!$O1204)</f>
        <v>0</v>
      </c>
      <c r="AI1204" s="117" cm="1">
        <f t="array" ref="AI1204">_xlfn.XLOOKUP(1,('FA Write off'!A:A='FA Addition'!$A1204)*('FA Write off'!D:D=AA1204),'FA Write off'!H:H,0,0)</f>
        <v>0</v>
      </c>
      <c r="AJ1204" s="117">
        <f>IF(AC1204&gt;0,MAX(IF('FA Addition'!$N1204="SLM",($AC1204-'FA Addition'!$M1204)*'FA Addition'!$P1204*AI1204/365,(AC1204-'FA Addition'!$M1204)*(1-(1-'FA Addition'!$P1204)^(AI1204/365))),0),0)</f>
        <v>0</v>
      </c>
      <c r="AL1204" s="117">
        <f>MAX(IF(AG1204&gt;0,IF('FA Addition'!$N1204="SLM",($AE1204-'FA Addition'!$M1204)*'FA Addition'!$P1204*AG1204/365,IFERROR(VDB(AE1204,AE1204*0.05,'FA Addition'!$O1204,0,YEARFRAC('FA Addition'!$C1204,$P$1-1,3),'FA Addition'!$Q1204),FAAddition[[#This Row],[Original Cost (Rs)]]-FAAddition[[#This Row],[Salvage Value]])),0),0)</f>
        <v>0</v>
      </c>
      <c r="AM1204" s="119"/>
      <c r="AN1204" s="117">
        <f>MAX(IF(AH1204&gt;0,IF('FA Addition'!$N1204="SLM",($AF1204-'FA Addition'!$M1204)*'FA Addition'!$P1204*AH1204/365,IFERROR(VDB(AF1204,AF1204*0.05,'FA Addition'!$O1204,0,YEARFRAC('FA Addition'!$C1204,$L$1,3),'FA Addition'!$Q1204),FAAddition[[#This Row],[Original Cost (Rs)]]-FAAddition[[#This Row],[Salvage Value]])),0),0)</f>
        <v>0</v>
      </c>
      <c r="AO1204" s="117">
        <f t="shared" si="93"/>
        <v>0</v>
      </c>
      <c r="AQ1204" s="117">
        <f t="shared" si="91"/>
        <v>0</v>
      </c>
      <c r="AR1204" s="120">
        <f t="shared" si="92"/>
        <v>0</v>
      </c>
      <c r="AS1204" s="121"/>
    </row>
    <row r="1205" spans="1:45" ht="13.5" x14ac:dyDescent="0.4">
      <c r="A1205" s="12">
        <f t="shared" si="94"/>
        <v>1202</v>
      </c>
      <c r="B1205" s="64" t="s">
        <v>1758</v>
      </c>
      <c r="C1205" s="54">
        <v>45614</v>
      </c>
      <c r="D1205" s="54">
        <v>45625</v>
      </c>
      <c r="E1205" s="46" t="s">
        <v>749</v>
      </c>
      <c r="F1205" s="51" t="s">
        <v>74</v>
      </c>
      <c r="G1205" s="51" t="s">
        <v>1988</v>
      </c>
      <c r="H1205" s="51" t="s">
        <v>118</v>
      </c>
      <c r="I1205" s="55" t="s">
        <v>1989</v>
      </c>
      <c r="J1205" s="56">
        <v>1</v>
      </c>
      <c r="K1205" s="51" t="s">
        <v>1990</v>
      </c>
      <c r="L1205" s="58">
        <v>22705</v>
      </c>
      <c r="M1205" s="50">
        <f>ROUND('FA Addition'!$L1205*5%,0.1)</f>
        <v>1135</v>
      </c>
      <c r="N1205" s="113" t="str">
        <f>_xlfn.XLOOKUP(_xlfn.CONCAT(E1205,B1205),'Year Wise Master Dep Approach'!F:F,'Year Wise Master Dep Approach'!D:D)</f>
        <v>WDV</v>
      </c>
      <c r="O1205" s="113">
        <f>_xlfn.XLOOKUP(_xlfn.CONCAT(E1205,B1205),'Year Wise Master Dep Approach'!F:F,'Year Wise Master Dep Approach'!E:E)</f>
        <v>5</v>
      </c>
      <c r="P1205" s="114">
        <f>IFERROR(IF('FA Addition'!$N1205="WDV",1-('FA Addition'!$M1205/'FA Addition'!$L1205)^(1/'FA Addition'!$O1205),1/'FA Addition'!$O1205),0)</f>
        <v>0.45074392251836271</v>
      </c>
      <c r="Q1205" s="122">
        <f>'FA Addition'!$P1205*'FA Addition'!$O1205</f>
        <v>2.2537196125918135</v>
      </c>
      <c r="R1205" s="122"/>
      <c r="S1205" s="116">
        <f>IF(AND(DATE(20&amp;LEFT(FAAddition[[#This Row],[FY]],2),4,1)&lt;$L$1+1,DATE(20&amp;LEFT(FAAddition[[#This Row],[FY]],2),4,1)&gt;$P$1-1),'FA Addition'!$J1205,0)</f>
        <v>0</v>
      </c>
      <c r="U1205" s="117">
        <f>S1205*'FA Addition'!$L1205/'FA Addition'!$J1205</f>
        <v>0</v>
      </c>
      <c r="W1205" s="116">
        <f>SUMIFS('FA Write off'!D:D,'FA Write off'!A:A,'FA Addition'!$A1205,'FA Write off'!C:C,"&lt;"&amp;'FA Addition'!$P$1)</f>
        <v>0</v>
      </c>
      <c r="Y1205" s="191">
        <f>IFERROR(W1205/'FA Addition'!$J1205*'FA Addition'!$L1205,0)</f>
        <v>0</v>
      </c>
      <c r="AA1205" s="116">
        <f>SUMIFS('FA Write off'!D:D,'FA Write off'!A:A,'FA Addition'!$A1205,'FA Write off'!C:C,"&lt;"&amp;'FA Addition'!$L$1+1,'FA Write off'!C:C,"&gt;"&amp;'FA Addition'!$L$1-365)</f>
        <v>0</v>
      </c>
      <c r="AC1205" s="118">
        <f>IFERROR(AA1205/'FA Addition'!$J1205*'FA Addition'!$L1205,0)</f>
        <v>0</v>
      </c>
      <c r="AE1205" s="117">
        <f>IF(AND('FA Addition'!$D1205&lt;$P$1+1,U1205=0),'FA Addition'!$L1205,0)-Y1205</f>
        <v>0</v>
      </c>
      <c r="AF1205" s="117">
        <f t="shared" si="90"/>
        <v>0</v>
      </c>
      <c r="AG1205" s="117">
        <f>MIN(MAX(+$P$1-'FA Addition'!$D1205,0),365*'FA Addition'!$O1205)</f>
        <v>0</v>
      </c>
      <c r="AH1205" s="117">
        <f>MIN(MAX($L$1-'FA Addition'!$D1205+1,0),365*'FA Addition'!$O1205)</f>
        <v>0</v>
      </c>
      <c r="AI1205" s="117" cm="1">
        <f t="array" ref="AI1205">_xlfn.XLOOKUP(1,('FA Write off'!A:A='FA Addition'!$A1205)*('FA Write off'!D:D=AA1205),'FA Write off'!H:H,0,0)</f>
        <v>0</v>
      </c>
      <c r="AJ1205" s="117">
        <f>IF(AC1205&gt;0,MAX(IF('FA Addition'!$N1205="SLM",($AC1205-'FA Addition'!$M1205)*'FA Addition'!$P1205*AI1205/365,(AC1205-'FA Addition'!$M1205)*(1-(1-'FA Addition'!$P1205)^(AI1205/365))),0),0)</f>
        <v>0</v>
      </c>
      <c r="AL1205" s="117">
        <f>MAX(IF(AG1205&gt;0,IF('FA Addition'!$N1205="SLM",($AE1205-'FA Addition'!$M1205)*'FA Addition'!$P1205*AG1205/365,IFERROR(VDB(AE1205,AE1205*0.05,'FA Addition'!$O1205,0,YEARFRAC('FA Addition'!$C1205,$P$1-1,3),'FA Addition'!$Q1205),FAAddition[[#This Row],[Original Cost (Rs)]]-FAAddition[[#This Row],[Salvage Value]])),0),0)</f>
        <v>0</v>
      </c>
      <c r="AM1205" s="119"/>
      <c r="AN1205" s="117">
        <f>MAX(IF(AH1205&gt;0,IF('FA Addition'!$N1205="SLM",($AF1205-'FA Addition'!$M1205)*'FA Addition'!$P1205*AH1205/365,IFERROR(VDB(AF1205,AF1205*0.05,'FA Addition'!$O1205,0,YEARFRAC('FA Addition'!$C1205,$L$1,3),'FA Addition'!$Q1205),FAAddition[[#This Row],[Original Cost (Rs)]]-FAAddition[[#This Row],[Salvage Value]])),0),0)</f>
        <v>0</v>
      </c>
      <c r="AO1205" s="117">
        <f t="shared" si="93"/>
        <v>0</v>
      </c>
      <c r="AQ1205" s="117">
        <f t="shared" si="91"/>
        <v>0</v>
      </c>
      <c r="AR1205" s="120">
        <f t="shared" si="92"/>
        <v>0</v>
      </c>
      <c r="AS1205" s="121"/>
    </row>
    <row r="1206" spans="1:45" ht="13.5" x14ac:dyDescent="0.4">
      <c r="A1206" s="12">
        <f t="shared" si="94"/>
        <v>1203</v>
      </c>
      <c r="B1206" s="64" t="s">
        <v>1758</v>
      </c>
      <c r="C1206" s="54">
        <v>45614</v>
      </c>
      <c r="D1206" s="54">
        <v>45625</v>
      </c>
      <c r="E1206" s="46" t="s">
        <v>749</v>
      </c>
      <c r="F1206" s="51" t="s">
        <v>74</v>
      </c>
      <c r="G1206" s="51" t="s">
        <v>1988</v>
      </c>
      <c r="H1206" s="51" t="s">
        <v>118</v>
      </c>
      <c r="I1206" s="55" t="s">
        <v>1991</v>
      </c>
      <c r="J1206" s="56">
        <v>1</v>
      </c>
      <c r="K1206" s="51" t="s">
        <v>1992</v>
      </c>
      <c r="L1206" s="58">
        <v>18040</v>
      </c>
      <c r="M1206" s="50">
        <f>ROUND('FA Addition'!$L1206*5%,0.1)</f>
        <v>902</v>
      </c>
      <c r="N1206" s="113" t="str">
        <f>_xlfn.XLOOKUP(_xlfn.CONCAT(E1206,B1206),'Year Wise Master Dep Approach'!F:F,'Year Wise Master Dep Approach'!D:D)</f>
        <v>WDV</v>
      </c>
      <c r="O1206" s="113">
        <f>_xlfn.XLOOKUP(_xlfn.CONCAT(E1206,B1206),'Year Wise Master Dep Approach'!F:F,'Year Wise Master Dep Approach'!E:E)</f>
        <v>5</v>
      </c>
      <c r="P1206" s="114">
        <f>IFERROR(IF('FA Addition'!$N1206="WDV",1-('FA Addition'!$M1206/'FA Addition'!$L1206)^(1/'FA Addition'!$O1206),1/'FA Addition'!$O1206),0)</f>
        <v>0.45071972834694107</v>
      </c>
      <c r="Q1206" s="122">
        <f>'FA Addition'!$P1206*'FA Addition'!$O1206</f>
        <v>2.2535986417347056</v>
      </c>
      <c r="R1206" s="122"/>
      <c r="S1206" s="116">
        <f>IF(AND(DATE(20&amp;LEFT(FAAddition[[#This Row],[FY]],2),4,1)&lt;$L$1+1,DATE(20&amp;LEFT(FAAddition[[#This Row],[FY]],2),4,1)&gt;$P$1-1),'FA Addition'!$J1206,0)</f>
        <v>0</v>
      </c>
      <c r="U1206" s="117">
        <f>S1206*'FA Addition'!$L1206/'FA Addition'!$J1206</f>
        <v>0</v>
      </c>
      <c r="W1206" s="116">
        <f>SUMIFS('FA Write off'!D:D,'FA Write off'!A:A,'FA Addition'!$A1206,'FA Write off'!C:C,"&lt;"&amp;'FA Addition'!$P$1)</f>
        <v>0</v>
      </c>
      <c r="Y1206" s="191">
        <f>IFERROR(W1206/'FA Addition'!$J1206*'FA Addition'!$L1206,0)</f>
        <v>0</v>
      </c>
      <c r="AA1206" s="116">
        <f>SUMIFS('FA Write off'!D:D,'FA Write off'!A:A,'FA Addition'!$A1206,'FA Write off'!C:C,"&lt;"&amp;'FA Addition'!$L$1+1,'FA Write off'!C:C,"&gt;"&amp;'FA Addition'!$L$1-365)</f>
        <v>0</v>
      </c>
      <c r="AC1206" s="118">
        <f>IFERROR(AA1206/'FA Addition'!$J1206*'FA Addition'!$L1206,0)</f>
        <v>0</v>
      </c>
      <c r="AE1206" s="117">
        <f>IF(AND('FA Addition'!$D1206&lt;$P$1+1,U1206=0),'FA Addition'!$L1206,0)-Y1206</f>
        <v>0</v>
      </c>
      <c r="AF1206" s="117">
        <f t="shared" si="90"/>
        <v>0</v>
      </c>
      <c r="AG1206" s="117">
        <f>MIN(MAX(+$P$1-'FA Addition'!$D1206,0),365*'FA Addition'!$O1206)</f>
        <v>0</v>
      </c>
      <c r="AH1206" s="117">
        <f>MIN(MAX($L$1-'FA Addition'!$D1206+1,0),365*'FA Addition'!$O1206)</f>
        <v>0</v>
      </c>
      <c r="AI1206" s="117" cm="1">
        <f t="array" ref="AI1206">_xlfn.XLOOKUP(1,('FA Write off'!A:A='FA Addition'!$A1206)*('FA Write off'!D:D=AA1206),'FA Write off'!H:H,0,0)</f>
        <v>0</v>
      </c>
      <c r="AJ1206" s="117">
        <f>IF(AC1206&gt;0,MAX(IF('FA Addition'!$N1206="SLM",($AC1206-'FA Addition'!$M1206)*'FA Addition'!$P1206*AI1206/365,(AC1206-'FA Addition'!$M1206)*(1-(1-'FA Addition'!$P1206)^(AI1206/365))),0),0)</f>
        <v>0</v>
      </c>
      <c r="AL1206" s="117">
        <f>MAX(IF(AG1206&gt;0,IF('FA Addition'!$N1206="SLM",($AE1206-'FA Addition'!$M1206)*'FA Addition'!$P1206*AG1206/365,IFERROR(VDB(AE1206,AE1206*0.05,'FA Addition'!$O1206,0,YEARFRAC('FA Addition'!$C1206,$P$1-1,3),'FA Addition'!$Q1206),FAAddition[[#This Row],[Original Cost (Rs)]]-FAAddition[[#This Row],[Salvage Value]])),0),0)</f>
        <v>0</v>
      </c>
      <c r="AM1206" s="119"/>
      <c r="AN1206" s="117">
        <f>MAX(IF(AH1206&gt;0,IF('FA Addition'!$N1206="SLM",($AF1206-'FA Addition'!$M1206)*'FA Addition'!$P1206*AH1206/365,IFERROR(VDB(AF1206,AF1206*0.05,'FA Addition'!$O1206,0,YEARFRAC('FA Addition'!$C1206,$L$1,3),'FA Addition'!$Q1206),FAAddition[[#This Row],[Original Cost (Rs)]]-FAAddition[[#This Row],[Salvage Value]])),0),0)</f>
        <v>0</v>
      </c>
      <c r="AO1206" s="117">
        <f t="shared" si="93"/>
        <v>0</v>
      </c>
      <c r="AQ1206" s="117">
        <f t="shared" si="91"/>
        <v>0</v>
      </c>
      <c r="AR1206" s="120">
        <f t="shared" si="92"/>
        <v>0</v>
      </c>
      <c r="AS1206" s="121"/>
    </row>
    <row r="1207" spans="1:45" ht="13.5" x14ac:dyDescent="0.4">
      <c r="A1207" s="12">
        <f t="shared" si="94"/>
        <v>1204</v>
      </c>
      <c r="B1207" s="64" t="s">
        <v>1758</v>
      </c>
      <c r="C1207" s="54">
        <v>45626</v>
      </c>
      <c r="D1207" s="54">
        <v>45626</v>
      </c>
      <c r="E1207" s="46" t="s">
        <v>1320</v>
      </c>
      <c r="F1207" s="51" t="s">
        <v>33</v>
      </c>
      <c r="G1207" s="51" t="s">
        <v>34</v>
      </c>
      <c r="H1207" s="51" t="s">
        <v>32</v>
      </c>
      <c r="I1207" s="55" t="s">
        <v>1993</v>
      </c>
      <c r="J1207" s="56">
        <v>1500</v>
      </c>
      <c r="K1207" s="51" t="s">
        <v>295</v>
      </c>
      <c r="L1207" s="58">
        <v>2497500</v>
      </c>
      <c r="M1207" s="50">
        <f>ROUND('FA Addition'!$L1207*5%,0.1)</f>
        <v>124875</v>
      </c>
      <c r="N1207" s="113" t="str">
        <f>_xlfn.XLOOKUP(_xlfn.CONCAT(E1207,B1207),'Year Wise Master Dep Approach'!F:F,'Year Wise Master Dep Approach'!D:D)</f>
        <v>SLM</v>
      </c>
      <c r="O1207" s="113">
        <f>_xlfn.XLOOKUP(_xlfn.CONCAT(E1207,B1207),'Year Wise Master Dep Approach'!F:F,'Year Wise Master Dep Approach'!E:E)</f>
        <v>5</v>
      </c>
      <c r="P1207" s="114">
        <f>IFERROR(IF('FA Addition'!$N1207="WDV",1-('FA Addition'!$M1207/'FA Addition'!$L1207)^(1/'FA Addition'!$O1207),1/'FA Addition'!$O1207),0)</f>
        <v>0.2</v>
      </c>
      <c r="Q1207" s="122">
        <f>'FA Addition'!$P1207*'FA Addition'!$O1207</f>
        <v>1</v>
      </c>
      <c r="R1207" s="122"/>
      <c r="S1207" s="116">
        <f>IF(AND(DATE(20&amp;LEFT(FAAddition[[#This Row],[FY]],2),4,1)&lt;$L$1+1,DATE(20&amp;LEFT(FAAddition[[#This Row],[FY]],2),4,1)&gt;$P$1-1),'FA Addition'!$J1207,0)</f>
        <v>0</v>
      </c>
      <c r="U1207" s="117">
        <f>S1207*'FA Addition'!$L1207/'FA Addition'!$J1207</f>
        <v>0</v>
      </c>
      <c r="W1207" s="116">
        <f>SUMIFS('FA Write off'!D:D,'FA Write off'!A:A,'FA Addition'!$A1207,'FA Write off'!C:C,"&lt;"&amp;'FA Addition'!$P$1)</f>
        <v>0</v>
      </c>
      <c r="Y1207" s="191">
        <f>IFERROR(W1207/'FA Addition'!$J1207*'FA Addition'!$L1207,0)</f>
        <v>0</v>
      </c>
      <c r="AA1207" s="116">
        <f>SUMIFS('FA Write off'!D:D,'FA Write off'!A:A,'FA Addition'!$A1207,'FA Write off'!C:C,"&lt;"&amp;'FA Addition'!$L$1+1,'FA Write off'!C:C,"&gt;"&amp;'FA Addition'!$L$1-365)</f>
        <v>0</v>
      </c>
      <c r="AC1207" s="118">
        <f>IFERROR(AA1207/'FA Addition'!$J1207*'FA Addition'!$L1207,0)</f>
        <v>0</v>
      </c>
      <c r="AE1207" s="117">
        <f>IF(AND('FA Addition'!$D1207&lt;$P$1+1,U1207=0),'FA Addition'!$L1207,0)-Y1207</f>
        <v>0</v>
      </c>
      <c r="AF1207" s="117">
        <f t="shared" si="90"/>
        <v>0</v>
      </c>
      <c r="AG1207" s="117">
        <f>MIN(MAX(+$P$1-'FA Addition'!$D1207,0),365*'FA Addition'!$O1207)</f>
        <v>0</v>
      </c>
      <c r="AH1207" s="117">
        <f>MIN(MAX($L$1-'FA Addition'!$D1207+1,0),365*'FA Addition'!$O1207)</f>
        <v>0</v>
      </c>
      <c r="AI1207" s="117" cm="1">
        <f t="array" ref="AI1207">_xlfn.XLOOKUP(1,('FA Write off'!A:A='FA Addition'!$A1207)*('FA Write off'!D:D=AA1207),'FA Write off'!H:H,0,0)</f>
        <v>0</v>
      </c>
      <c r="AJ1207" s="117">
        <f>IF(AC1207&gt;0,MAX(IF('FA Addition'!$N1207="SLM",($AC1207-'FA Addition'!$M1207)*'FA Addition'!$P1207*AI1207/365,(AC1207-'FA Addition'!$M1207)*(1-(1-'FA Addition'!$P1207)^(AI1207/365))),0),0)</f>
        <v>0</v>
      </c>
      <c r="AL1207" s="117">
        <f>MAX(IF(AG1207&gt;0,IF('FA Addition'!$N1207="SLM",($AE1207-'FA Addition'!$M1207)*'FA Addition'!$P1207*AG1207/365,IFERROR(VDB(AE1207,AE1207*0.05,'FA Addition'!$O1207,0,YEARFRAC('FA Addition'!$C1207,$P$1-1,3),'FA Addition'!$Q1207),FAAddition[[#This Row],[Original Cost (Rs)]]-FAAddition[[#This Row],[Salvage Value]])),0),0)</f>
        <v>0</v>
      </c>
      <c r="AM1207" s="119"/>
      <c r="AN1207" s="117">
        <f>MAX(IF(AH1207&gt;0,IF('FA Addition'!$N1207="SLM",($AF1207-'FA Addition'!$M1207)*'FA Addition'!$P1207*AH1207/365,IFERROR(VDB(AF1207,AF1207*0.05,'FA Addition'!$O1207,0,YEARFRAC('FA Addition'!$C1207,$L$1,3),'FA Addition'!$Q1207),FAAddition[[#This Row],[Original Cost (Rs)]]-FAAddition[[#This Row],[Salvage Value]])),0),0)</f>
        <v>0</v>
      </c>
      <c r="AO1207" s="117">
        <f t="shared" si="93"/>
        <v>0</v>
      </c>
      <c r="AQ1207" s="117">
        <f t="shared" si="91"/>
        <v>0</v>
      </c>
      <c r="AR1207" s="120">
        <f t="shared" si="92"/>
        <v>0</v>
      </c>
      <c r="AS1207" s="121"/>
    </row>
    <row r="1208" spans="1:45" ht="13.5" x14ac:dyDescent="0.4">
      <c r="A1208" s="12">
        <f t="shared" si="94"/>
        <v>1205</v>
      </c>
      <c r="B1208" s="64" t="s">
        <v>1758</v>
      </c>
      <c r="C1208" s="54">
        <v>45626</v>
      </c>
      <c r="D1208" s="54">
        <v>45626</v>
      </c>
      <c r="E1208" s="46" t="s">
        <v>1320</v>
      </c>
      <c r="F1208" s="51" t="s">
        <v>33</v>
      </c>
      <c r="G1208" s="51" t="s">
        <v>36</v>
      </c>
      <c r="H1208" s="51" t="s">
        <v>32</v>
      </c>
      <c r="I1208" s="55" t="s">
        <v>1994</v>
      </c>
      <c r="J1208" s="56">
        <v>700</v>
      </c>
      <c r="K1208" s="51" t="s">
        <v>296</v>
      </c>
      <c r="L1208" s="58">
        <v>1120000</v>
      </c>
      <c r="M1208" s="50">
        <f>ROUND('FA Addition'!$L1208*5%,0.1)</f>
        <v>56000</v>
      </c>
      <c r="N1208" s="113" t="str">
        <f>_xlfn.XLOOKUP(_xlfn.CONCAT(E1208,B1208),'Year Wise Master Dep Approach'!F:F,'Year Wise Master Dep Approach'!D:D)</f>
        <v>SLM</v>
      </c>
      <c r="O1208" s="113">
        <f>_xlfn.XLOOKUP(_xlfn.CONCAT(E1208,B1208),'Year Wise Master Dep Approach'!F:F,'Year Wise Master Dep Approach'!E:E)</f>
        <v>5</v>
      </c>
      <c r="P1208" s="114">
        <f>IFERROR(IF('FA Addition'!$N1208="WDV",1-('FA Addition'!$M1208/'FA Addition'!$L1208)^(1/'FA Addition'!$O1208),1/'FA Addition'!$O1208),0)</f>
        <v>0.2</v>
      </c>
      <c r="Q1208" s="122">
        <f>'FA Addition'!$P1208*'FA Addition'!$O1208</f>
        <v>1</v>
      </c>
      <c r="R1208" s="122"/>
      <c r="S1208" s="116">
        <f>IF(AND(DATE(20&amp;LEFT(FAAddition[[#This Row],[FY]],2),4,1)&lt;$L$1+1,DATE(20&amp;LEFT(FAAddition[[#This Row],[FY]],2),4,1)&gt;$P$1-1),'FA Addition'!$J1208,0)</f>
        <v>0</v>
      </c>
      <c r="U1208" s="117">
        <f>S1208*'FA Addition'!$L1208/'FA Addition'!$J1208</f>
        <v>0</v>
      </c>
      <c r="W1208" s="116">
        <f>SUMIFS('FA Write off'!D:D,'FA Write off'!A:A,'FA Addition'!$A1208,'FA Write off'!C:C,"&lt;"&amp;'FA Addition'!$P$1)</f>
        <v>0</v>
      </c>
      <c r="Y1208" s="191">
        <f>IFERROR(W1208/'FA Addition'!$J1208*'FA Addition'!$L1208,0)</f>
        <v>0</v>
      </c>
      <c r="AA1208" s="116">
        <f>SUMIFS('FA Write off'!D:D,'FA Write off'!A:A,'FA Addition'!$A1208,'FA Write off'!C:C,"&lt;"&amp;'FA Addition'!$L$1+1,'FA Write off'!C:C,"&gt;"&amp;'FA Addition'!$L$1-365)</f>
        <v>0</v>
      </c>
      <c r="AC1208" s="118">
        <f>IFERROR(AA1208/'FA Addition'!$J1208*'FA Addition'!$L1208,0)</f>
        <v>0</v>
      </c>
      <c r="AE1208" s="117">
        <f>IF(AND('FA Addition'!$D1208&lt;$P$1+1,U1208=0),'FA Addition'!$L1208,0)-Y1208</f>
        <v>0</v>
      </c>
      <c r="AF1208" s="117">
        <f t="shared" si="90"/>
        <v>0</v>
      </c>
      <c r="AG1208" s="117">
        <f>MIN(MAX(+$P$1-'FA Addition'!$D1208,0),365*'FA Addition'!$O1208)</f>
        <v>0</v>
      </c>
      <c r="AH1208" s="117">
        <f>MIN(MAX($L$1-'FA Addition'!$D1208+1,0),365*'FA Addition'!$O1208)</f>
        <v>0</v>
      </c>
      <c r="AI1208" s="117" cm="1">
        <f t="array" ref="AI1208">_xlfn.XLOOKUP(1,('FA Write off'!A:A='FA Addition'!$A1208)*('FA Write off'!D:D=AA1208),'FA Write off'!H:H,0,0)</f>
        <v>0</v>
      </c>
      <c r="AJ1208" s="117">
        <f>IF(AC1208&gt;0,MAX(IF('FA Addition'!$N1208="SLM",($AC1208-'FA Addition'!$M1208)*'FA Addition'!$P1208*AI1208/365,(AC1208-'FA Addition'!$M1208)*(1-(1-'FA Addition'!$P1208)^(AI1208/365))),0),0)</f>
        <v>0</v>
      </c>
      <c r="AL1208" s="117">
        <f>MAX(IF(AG1208&gt;0,IF('FA Addition'!$N1208="SLM",($AE1208-'FA Addition'!$M1208)*'FA Addition'!$P1208*AG1208/365,IFERROR(VDB(AE1208,AE1208*0.05,'FA Addition'!$O1208,0,YEARFRAC('FA Addition'!$C1208,$P$1-1,3),'FA Addition'!$Q1208),FAAddition[[#This Row],[Original Cost (Rs)]]-FAAddition[[#This Row],[Salvage Value]])),0),0)</f>
        <v>0</v>
      </c>
      <c r="AM1208" s="119"/>
      <c r="AN1208" s="117">
        <f>MAX(IF(AH1208&gt;0,IF('FA Addition'!$N1208="SLM",($AF1208-'FA Addition'!$M1208)*'FA Addition'!$P1208*AH1208/365,IFERROR(VDB(AF1208,AF1208*0.05,'FA Addition'!$O1208,0,YEARFRAC('FA Addition'!$C1208,$L$1,3),'FA Addition'!$Q1208),FAAddition[[#This Row],[Original Cost (Rs)]]-FAAddition[[#This Row],[Salvage Value]])),0),0)</f>
        <v>0</v>
      </c>
      <c r="AO1208" s="117">
        <f t="shared" si="93"/>
        <v>0</v>
      </c>
      <c r="AQ1208" s="117">
        <f t="shared" si="91"/>
        <v>0</v>
      </c>
      <c r="AR1208" s="120">
        <f t="shared" si="92"/>
        <v>0</v>
      </c>
      <c r="AS1208" s="121"/>
    </row>
    <row r="1209" spans="1:45" ht="13.5" x14ac:dyDescent="0.4">
      <c r="A1209" s="12">
        <f t="shared" si="94"/>
        <v>1206</v>
      </c>
      <c r="B1209" s="64" t="s">
        <v>1758</v>
      </c>
      <c r="C1209" s="54">
        <v>45593</v>
      </c>
      <c r="D1209" s="54">
        <v>45627</v>
      </c>
      <c r="E1209" s="46" t="s">
        <v>1320</v>
      </c>
      <c r="F1209" s="51" t="s">
        <v>33</v>
      </c>
      <c r="G1209" s="51" t="s">
        <v>34</v>
      </c>
      <c r="H1209" s="51" t="s">
        <v>32</v>
      </c>
      <c r="I1209" s="55" t="s">
        <v>1995</v>
      </c>
      <c r="J1209" s="56">
        <v>1000</v>
      </c>
      <c r="K1209" s="51" t="s">
        <v>295</v>
      </c>
      <c r="L1209" s="58">
        <v>1665000</v>
      </c>
      <c r="M1209" s="50">
        <f>ROUND('FA Addition'!$L1209*5%,0.1)</f>
        <v>83250</v>
      </c>
      <c r="N1209" s="113" t="str">
        <f>_xlfn.XLOOKUP(_xlfn.CONCAT(E1209,B1209),'Year Wise Master Dep Approach'!F:F,'Year Wise Master Dep Approach'!D:D)</f>
        <v>SLM</v>
      </c>
      <c r="O1209" s="113">
        <f>_xlfn.XLOOKUP(_xlfn.CONCAT(E1209,B1209),'Year Wise Master Dep Approach'!F:F,'Year Wise Master Dep Approach'!E:E)</f>
        <v>5</v>
      </c>
      <c r="P1209" s="114">
        <f>IFERROR(IF('FA Addition'!$N1209="WDV",1-('FA Addition'!$M1209/'FA Addition'!$L1209)^(1/'FA Addition'!$O1209),1/'FA Addition'!$O1209),0)</f>
        <v>0.2</v>
      </c>
      <c r="Q1209" s="122">
        <f>'FA Addition'!$P1209*'FA Addition'!$O1209</f>
        <v>1</v>
      </c>
      <c r="R1209" s="122"/>
      <c r="S1209" s="116">
        <f>IF(AND(DATE(20&amp;LEFT(FAAddition[[#This Row],[FY]],2),4,1)&lt;$L$1+1,DATE(20&amp;LEFT(FAAddition[[#This Row],[FY]],2),4,1)&gt;$P$1-1),'FA Addition'!$J1209,0)</f>
        <v>0</v>
      </c>
      <c r="U1209" s="117">
        <f>S1209*'FA Addition'!$L1209/'FA Addition'!$J1209</f>
        <v>0</v>
      </c>
      <c r="W1209" s="116">
        <f>SUMIFS('FA Write off'!D:D,'FA Write off'!A:A,'FA Addition'!$A1209,'FA Write off'!C:C,"&lt;"&amp;'FA Addition'!$P$1)</f>
        <v>0</v>
      </c>
      <c r="Y1209" s="191">
        <f>IFERROR(W1209/'FA Addition'!$J1209*'FA Addition'!$L1209,0)</f>
        <v>0</v>
      </c>
      <c r="AA1209" s="116">
        <f>SUMIFS('FA Write off'!D:D,'FA Write off'!A:A,'FA Addition'!$A1209,'FA Write off'!C:C,"&lt;"&amp;'FA Addition'!$L$1+1,'FA Write off'!C:C,"&gt;"&amp;'FA Addition'!$L$1-365)</f>
        <v>0</v>
      </c>
      <c r="AC1209" s="118">
        <f>IFERROR(AA1209/'FA Addition'!$J1209*'FA Addition'!$L1209,0)</f>
        <v>0</v>
      </c>
      <c r="AE1209" s="117">
        <f>IF(AND('FA Addition'!$D1209&lt;$P$1+1,U1209=0),'FA Addition'!$L1209,0)-Y1209</f>
        <v>0</v>
      </c>
      <c r="AF1209" s="117">
        <f t="shared" si="90"/>
        <v>0</v>
      </c>
      <c r="AG1209" s="117">
        <f>MIN(MAX(+$P$1-'FA Addition'!$D1209,0),365*'FA Addition'!$O1209)</f>
        <v>0</v>
      </c>
      <c r="AH1209" s="117">
        <f>MIN(MAX($L$1-'FA Addition'!$D1209+1,0),365*'FA Addition'!$O1209)</f>
        <v>0</v>
      </c>
      <c r="AI1209" s="117" cm="1">
        <f t="array" ref="AI1209">_xlfn.XLOOKUP(1,('FA Write off'!A:A='FA Addition'!$A1209)*('FA Write off'!D:D=AA1209),'FA Write off'!H:H,0,0)</f>
        <v>0</v>
      </c>
      <c r="AJ1209" s="117">
        <f>IF(AC1209&gt;0,MAX(IF('FA Addition'!$N1209="SLM",($AC1209-'FA Addition'!$M1209)*'FA Addition'!$P1209*AI1209/365,(AC1209-'FA Addition'!$M1209)*(1-(1-'FA Addition'!$P1209)^(AI1209/365))),0),0)</f>
        <v>0</v>
      </c>
      <c r="AL1209" s="117">
        <f>MAX(IF(AG1209&gt;0,IF('FA Addition'!$N1209="SLM",($AE1209-'FA Addition'!$M1209)*'FA Addition'!$P1209*AG1209/365,IFERROR(VDB(AE1209,AE1209*0.05,'FA Addition'!$O1209,0,YEARFRAC('FA Addition'!$C1209,$P$1-1,3),'FA Addition'!$Q1209),FAAddition[[#This Row],[Original Cost (Rs)]]-FAAddition[[#This Row],[Salvage Value]])),0),0)</f>
        <v>0</v>
      </c>
      <c r="AM1209" s="119"/>
      <c r="AN1209" s="117">
        <f>MAX(IF(AH1209&gt;0,IF('FA Addition'!$N1209="SLM",($AF1209-'FA Addition'!$M1209)*'FA Addition'!$P1209*AH1209/365,IFERROR(VDB(AF1209,AF1209*0.05,'FA Addition'!$O1209,0,YEARFRAC('FA Addition'!$C1209,$L$1,3),'FA Addition'!$Q1209),FAAddition[[#This Row],[Original Cost (Rs)]]-FAAddition[[#This Row],[Salvage Value]])),0),0)</f>
        <v>0</v>
      </c>
      <c r="AO1209" s="117">
        <f t="shared" si="93"/>
        <v>0</v>
      </c>
      <c r="AQ1209" s="117">
        <f t="shared" si="91"/>
        <v>0</v>
      </c>
      <c r="AR1209" s="120">
        <f t="shared" si="92"/>
        <v>0</v>
      </c>
      <c r="AS1209" s="121"/>
    </row>
    <row r="1210" spans="1:45" ht="13.5" x14ac:dyDescent="0.4">
      <c r="A1210" s="12">
        <f t="shared" si="94"/>
        <v>1207</v>
      </c>
      <c r="B1210" s="64" t="s">
        <v>1758</v>
      </c>
      <c r="C1210" s="54">
        <v>45631</v>
      </c>
      <c r="D1210" s="54">
        <v>45631</v>
      </c>
      <c r="E1210" s="46" t="s">
        <v>451</v>
      </c>
      <c r="F1210" s="51" t="s">
        <v>19</v>
      </c>
      <c r="G1210" s="51" t="s">
        <v>1728</v>
      </c>
      <c r="H1210" s="51" t="s">
        <v>21</v>
      </c>
      <c r="I1210" s="55" t="s">
        <v>1996</v>
      </c>
      <c r="J1210" s="56">
        <v>1</v>
      </c>
      <c r="K1210" s="51" t="s">
        <v>1997</v>
      </c>
      <c r="L1210" s="58">
        <v>60500</v>
      </c>
      <c r="M1210" s="50">
        <f>ROUND('FA Addition'!$L1210*5%,0.1)</f>
        <v>3025</v>
      </c>
      <c r="N1210" s="113" t="str">
        <f>_xlfn.XLOOKUP(_xlfn.CONCAT(E1210,B1210),'Year Wise Master Dep Approach'!F:F,'Year Wise Master Dep Approach'!D:D)</f>
        <v>WDV</v>
      </c>
      <c r="O1210" s="113">
        <f>_xlfn.XLOOKUP(_xlfn.CONCAT(E1210,B1210),'Year Wise Master Dep Approach'!F:F,'Year Wise Master Dep Approach'!E:E)</f>
        <v>3</v>
      </c>
      <c r="P1210" s="114">
        <f>IFERROR(IF('FA Addition'!$N1210="WDV",1-('FA Addition'!$M1210/'FA Addition'!$L1210)^(1/'FA Addition'!$O1210),1/'FA Addition'!$O1210),0)</f>
        <v>0.63159685013596123</v>
      </c>
      <c r="Q1210" s="122">
        <f>'FA Addition'!$P1210*'FA Addition'!$O1210</f>
        <v>1.8947905504078837</v>
      </c>
      <c r="R1210" s="122"/>
      <c r="S1210" s="116">
        <f>IF(AND(DATE(20&amp;LEFT(FAAddition[[#This Row],[FY]],2),4,1)&lt;$L$1+1,DATE(20&amp;LEFT(FAAddition[[#This Row],[FY]],2),4,1)&gt;$P$1-1),'FA Addition'!$J1210,0)</f>
        <v>0</v>
      </c>
      <c r="U1210" s="117">
        <f>S1210*'FA Addition'!$L1210/'FA Addition'!$J1210</f>
        <v>0</v>
      </c>
      <c r="W1210" s="116">
        <f>SUMIFS('FA Write off'!D:D,'FA Write off'!A:A,'FA Addition'!$A1210,'FA Write off'!C:C,"&lt;"&amp;'FA Addition'!$P$1)</f>
        <v>0</v>
      </c>
      <c r="Y1210" s="191">
        <f>IFERROR(W1210/'FA Addition'!$J1210*'FA Addition'!$L1210,0)</f>
        <v>0</v>
      </c>
      <c r="AA1210" s="116">
        <f>SUMIFS('FA Write off'!D:D,'FA Write off'!A:A,'FA Addition'!$A1210,'FA Write off'!C:C,"&lt;"&amp;'FA Addition'!$L$1+1,'FA Write off'!C:C,"&gt;"&amp;'FA Addition'!$L$1-365)</f>
        <v>0</v>
      </c>
      <c r="AC1210" s="118">
        <f>IFERROR(AA1210/'FA Addition'!$J1210*'FA Addition'!$L1210,0)</f>
        <v>0</v>
      </c>
      <c r="AE1210" s="117">
        <f>IF(AND('FA Addition'!$D1210&lt;$P$1+1,U1210=0),'FA Addition'!$L1210,0)-Y1210</f>
        <v>0</v>
      </c>
      <c r="AF1210" s="117">
        <f t="shared" si="90"/>
        <v>0</v>
      </c>
      <c r="AG1210" s="117">
        <f>MIN(MAX(+$P$1-'FA Addition'!$D1210,0),365*'FA Addition'!$O1210)</f>
        <v>0</v>
      </c>
      <c r="AH1210" s="117">
        <f>MIN(MAX($L$1-'FA Addition'!$D1210+1,0),365*'FA Addition'!$O1210)</f>
        <v>0</v>
      </c>
      <c r="AI1210" s="117" cm="1">
        <f t="array" ref="AI1210">_xlfn.XLOOKUP(1,('FA Write off'!A:A='FA Addition'!$A1210)*('FA Write off'!D:D=AA1210),'FA Write off'!H:H,0,0)</f>
        <v>0</v>
      </c>
      <c r="AJ1210" s="117">
        <f>IF(AC1210&gt;0,MAX(IF('FA Addition'!$N1210="SLM",($AC1210-'FA Addition'!$M1210)*'FA Addition'!$P1210*AI1210/365,(AC1210-'FA Addition'!$M1210)*(1-(1-'FA Addition'!$P1210)^(AI1210/365))),0),0)</f>
        <v>0</v>
      </c>
      <c r="AL1210" s="117">
        <f>MAX(IF(AG1210&gt;0,IF('FA Addition'!$N1210="SLM",($AE1210-'FA Addition'!$M1210)*'FA Addition'!$P1210*AG1210/365,IFERROR(VDB(AE1210,AE1210*0.05,'FA Addition'!$O1210,0,YEARFRAC('FA Addition'!$C1210,$P$1-1,3),'FA Addition'!$Q1210),FAAddition[[#This Row],[Original Cost (Rs)]]-FAAddition[[#This Row],[Salvage Value]])),0),0)</f>
        <v>0</v>
      </c>
      <c r="AM1210" s="119"/>
      <c r="AN1210" s="117">
        <f>MAX(IF(AH1210&gt;0,IF('FA Addition'!$N1210="SLM",($AF1210-'FA Addition'!$M1210)*'FA Addition'!$P1210*AH1210/365,IFERROR(VDB(AF1210,AF1210*0.05,'FA Addition'!$O1210,0,YEARFRAC('FA Addition'!$C1210,$L$1,3),'FA Addition'!$Q1210),FAAddition[[#This Row],[Original Cost (Rs)]]-FAAddition[[#This Row],[Salvage Value]])),0),0)</f>
        <v>0</v>
      </c>
      <c r="AO1210" s="117">
        <f t="shared" si="93"/>
        <v>0</v>
      </c>
      <c r="AQ1210" s="117">
        <f t="shared" si="91"/>
        <v>0</v>
      </c>
      <c r="AR1210" s="120">
        <f t="shared" si="92"/>
        <v>0</v>
      </c>
      <c r="AS1210" s="121"/>
    </row>
    <row r="1211" spans="1:45" ht="13.5" x14ac:dyDescent="0.4">
      <c r="A1211" s="12">
        <f t="shared" si="94"/>
        <v>1208</v>
      </c>
      <c r="B1211" s="64" t="s">
        <v>1758</v>
      </c>
      <c r="C1211" s="54">
        <v>45631</v>
      </c>
      <c r="D1211" s="54">
        <v>45631</v>
      </c>
      <c r="E1211" s="46" t="s">
        <v>451</v>
      </c>
      <c r="F1211" s="51" t="s">
        <v>19</v>
      </c>
      <c r="G1211" s="51" t="s">
        <v>1728</v>
      </c>
      <c r="H1211" s="51" t="s">
        <v>21</v>
      </c>
      <c r="I1211" s="55" t="s">
        <v>1996</v>
      </c>
      <c r="J1211" s="56">
        <v>1</v>
      </c>
      <c r="K1211" s="51" t="s">
        <v>1997</v>
      </c>
      <c r="L1211" s="58">
        <v>60500</v>
      </c>
      <c r="M1211" s="50">
        <f>ROUND('FA Addition'!$L1211*5%,0.1)</f>
        <v>3025</v>
      </c>
      <c r="N1211" s="113" t="str">
        <f>_xlfn.XLOOKUP(_xlfn.CONCAT(E1211,B1211),'Year Wise Master Dep Approach'!F:F,'Year Wise Master Dep Approach'!D:D)</f>
        <v>WDV</v>
      </c>
      <c r="O1211" s="113">
        <f>_xlfn.XLOOKUP(_xlfn.CONCAT(E1211,B1211),'Year Wise Master Dep Approach'!F:F,'Year Wise Master Dep Approach'!E:E)</f>
        <v>3</v>
      </c>
      <c r="P1211" s="114">
        <f>IFERROR(IF('FA Addition'!$N1211="WDV",1-('FA Addition'!$M1211/'FA Addition'!$L1211)^(1/'FA Addition'!$O1211),1/'FA Addition'!$O1211),0)</f>
        <v>0.63159685013596123</v>
      </c>
      <c r="Q1211" s="122">
        <f>'FA Addition'!$P1211*'FA Addition'!$O1211</f>
        <v>1.8947905504078837</v>
      </c>
      <c r="R1211" s="122"/>
      <c r="S1211" s="116">
        <f>IF(AND(DATE(20&amp;LEFT(FAAddition[[#This Row],[FY]],2),4,1)&lt;$L$1+1,DATE(20&amp;LEFT(FAAddition[[#This Row],[FY]],2),4,1)&gt;$P$1-1),'FA Addition'!$J1211,0)</f>
        <v>0</v>
      </c>
      <c r="U1211" s="117">
        <f>S1211*'FA Addition'!$L1211/'FA Addition'!$J1211</f>
        <v>0</v>
      </c>
      <c r="W1211" s="116">
        <f>SUMIFS('FA Write off'!D:D,'FA Write off'!A:A,'FA Addition'!$A1211,'FA Write off'!C:C,"&lt;"&amp;'FA Addition'!$P$1)</f>
        <v>0</v>
      </c>
      <c r="Y1211" s="191">
        <f>IFERROR(W1211/'FA Addition'!$J1211*'FA Addition'!$L1211,0)</f>
        <v>0</v>
      </c>
      <c r="AA1211" s="116">
        <f>SUMIFS('FA Write off'!D:D,'FA Write off'!A:A,'FA Addition'!$A1211,'FA Write off'!C:C,"&lt;"&amp;'FA Addition'!$L$1+1,'FA Write off'!C:C,"&gt;"&amp;'FA Addition'!$L$1-365)</f>
        <v>0</v>
      </c>
      <c r="AC1211" s="118">
        <f>IFERROR(AA1211/'FA Addition'!$J1211*'FA Addition'!$L1211,0)</f>
        <v>0</v>
      </c>
      <c r="AE1211" s="117">
        <f>IF(AND('FA Addition'!$D1211&lt;$P$1+1,U1211=0),'FA Addition'!$L1211,0)-Y1211</f>
        <v>0</v>
      </c>
      <c r="AF1211" s="117">
        <f t="shared" si="90"/>
        <v>0</v>
      </c>
      <c r="AG1211" s="117">
        <f>MIN(MAX(+$P$1-'FA Addition'!$D1211,0),365*'FA Addition'!$O1211)</f>
        <v>0</v>
      </c>
      <c r="AH1211" s="117">
        <f>MIN(MAX($L$1-'FA Addition'!$D1211+1,0),365*'FA Addition'!$O1211)</f>
        <v>0</v>
      </c>
      <c r="AI1211" s="117" cm="1">
        <f t="array" ref="AI1211">_xlfn.XLOOKUP(1,('FA Write off'!A:A='FA Addition'!$A1211)*('FA Write off'!D:D=AA1211),'FA Write off'!H:H,0,0)</f>
        <v>0</v>
      </c>
      <c r="AJ1211" s="117">
        <f>IF(AC1211&gt;0,MAX(IF('FA Addition'!$N1211="SLM",($AC1211-'FA Addition'!$M1211)*'FA Addition'!$P1211*AI1211/365,(AC1211-'FA Addition'!$M1211)*(1-(1-'FA Addition'!$P1211)^(AI1211/365))),0),0)</f>
        <v>0</v>
      </c>
      <c r="AL1211" s="117">
        <f>MAX(IF(AG1211&gt;0,IF('FA Addition'!$N1211="SLM",($AE1211-'FA Addition'!$M1211)*'FA Addition'!$P1211*AG1211/365,IFERROR(VDB(AE1211,AE1211*0.05,'FA Addition'!$O1211,0,YEARFRAC('FA Addition'!$C1211,$P$1-1,3),'FA Addition'!$Q1211),FAAddition[[#This Row],[Original Cost (Rs)]]-FAAddition[[#This Row],[Salvage Value]])),0),0)</f>
        <v>0</v>
      </c>
      <c r="AM1211" s="119"/>
      <c r="AN1211" s="117">
        <f>MAX(IF(AH1211&gt;0,IF('FA Addition'!$N1211="SLM",($AF1211-'FA Addition'!$M1211)*'FA Addition'!$P1211*AH1211/365,IFERROR(VDB(AF1211,AF1211*0.05,'FA Addition'!$O1211,0,YEARFRAC('FA Addition'!$C1211,$L$1,3),'FA Addition'!$Q1211),FAAddition[[#This Row],[Original Cost (Rs)]]-FAAddition[[#This Row],[Salvage Value]])),0),0)</f>
        <v>0</v>
      </c>
      <c r="AO1211" s="117">
        <f t="shared" si="93"/>
        <v>0</v>
      </c>
      <c r="AQ1211" s="117">
        <f t="shared" si="91"/>
        <v>0</v>
      </c>
      <c r="AR1211" s="120">
        <f t="shared" si="92"/>
        <v>0</v>
      </c>
      <c r="AS1211" s="121"/>
    </row>
    <row r="1212" spans="1:45" ht="13.5" x14ac:dyDescent="0.4">
      <c r="A1212" s="12">
        <f t="shared" si="94"/>
        <v>1209</v>
      </c>
      <c r="B1212" s="64" t="s">
        <v>1758</v>
      </c>
      <c r="C1212" s="54">
        <v>45631</v>
      </c>
      <c r="D1212" s="54">
        <v>45631</v>
      </c>
      <c r="E1212" s="46" t="s">
        <v>451</v>
      </c>
      <c r="F1212" s="51" t="s">
        <v>19</v>
      </c>
      <c r="G1212" s="51" t="s">
        <v>1728</v>
      </c>
      <c r="H1212" s="51" t="s">
        <v>21</v>
      </c>
      <c r="I1212" s="55" t="s">
        <v>1996</v>
      </c>
      <c r="J1212" s="56">
        <v>1</v>
      </c>
      <c r="K1212" s="51" t="s">
        <v>1997</v>
      </c>
      <c r="L1212" s="58">
        <v>60500</v>
      </c>
      <c r="M1212" s="50">
        <f>ROUND('FA Addition'!$L1212*5%,0.1)</f>
        <v>3025</v>
      </c>
      <c r="N1212" s="113" t="str">
        <f>_xlfn.XLOOKUP(_xlfn.CONCAT(E1212,B1212),'Year Wise Master Dep Approach'!F:F,'Year Wise Master Dep Approach'!D:D)</f>
        <v>WDV</v>
      </c>
      <c r="O1212" s="113">
        <f>_xlfn.XLOOKUP(_xlfn.CONCAT(E1212,B1212),'Year Wise Master Dep Approach'!F:F,'Year Wise Master Dep Approach'!E:E)</f>
        <v>3</v>
      </c>
      <c r="P1212" s="114">
        <f>IFERROR(IF('FA Addition'!$N1212="WDV",1-('FA Addition'!$M1212/'FA Addition'!$L1212)^(1/'FA Addition'!$O1212),1/'FA Addition'!$O1212),0)</f>
        <v>0.63159685013596123</v>
      </c>
      <c r="Q1212" s="122">
        <f>'FA Addition'!$P1212*'FA Addition'!$O1212</f>
        <v>1.8947905504078837</v>
      </c>
      <c r="R1212" s="122"/>
      <c r="S1212" s="116">
        <f>IF(AND(DATE(20&amp;LEFT(FAAddition[[#This Row],[FY]],2),4,1)&lt;$L$1+1,DATE(20&amp;LEFT(FAAddition[[#This Row],[FY]],2),4,1)&gt;$P$1-1),'FA Addition'!$J1212,0)</f>
        <v>0</v>
      </c>
      <c r="U1212" s="117">
        <f>S1212*'FA Addition'!$L1212/'FA Addition'!$J1212</f>
        <v>0</v>
      </c>
      <c r="W1212" s="116">
        <f>SUMIFS('FA Write off'!D:D,'FA Write off'!A:A,'FA Addition'!$A1212,'FA Write off'!C:C,"&lt;"&amp;'FA Addition'!$P$1)</f>
        <v>0</v>
      </c>
      <c r="Y1212" s="191">
        <f>IFERROR(W1212/'FA Addition'!$J1212*'FA Addition'!$L1212,0)</f>
        <v>0</v>
      </c>
      <c r="AA1212" s="116">
        <f>SUMIFS('FA Write off'!D:D,'FA Write off'!A:A,'FA Addition'!$A1212,'FA Write off'!C:C,"&lt;"&amp;'FA Addition'!$L$1+1,'FA Write off'!C:C,"&gt;"&amp;'FA Addition'!$L$1-365)</f>
        <v>0</v>
      </c>
      <c r="AC1212" s="118">
        <f>IFERROR(AA1212/'FA Addition'!$J1212*'FA Addition'!$L1212,0)</f>
        <v>0</v>
      </c>
      <c r="AE1212" s="117">
        <f>IF(AND('FA Addition'!$D1212&lt;$P$1+1,U1212=0),'FA Addition'!$L1212,0)-Y1212</f>
        <v>0</v>
      </c>
      <c r="AF1212" s="117">
        <f t="shared" si="90"/>
        <v>0</v>
      </c>
      <c r="AG1212" s="117">
        <f>MIN(MAX(+$P$1-'FA Addition'!$D1212,0),365*'FA Addition'!$O1212)</f>
        <v>0</v>
      </c>
      <c r="AH1212" s="117">
        <f>MIN(MAX($L$1-'FA Addition'!$D1212+1,0),365*'FA Addition'!$O1212)</f>
        <v>0</v>
      </c>
      <c r="AI1212" s="117" cm="1">
        <f t="array" ref="AI1212">_xlfn.XLOOKUP(1,('FA Write off'!A:A='FA Addition'!$A1212)*('FA Write off'!D:D=AA1212),'FA Write off'!H:H,0,0)</f>
        <v>0</v>
      </c>
      <c r="AJ1212" s="117">
        <f>IF(AC1212&gt;0,MAX(IF('FA Addition'!$N1212="SLM",($AC1212-'FA Addition'!$M1212)*'FA Addition'!$P1212*AI1212/365,(AC1212-'FA Addition'!$M1212)*(1-(1-'FA Addition'!$P1212)^(AI1212/365))),0),0)</f>
        <v>0</v>
      </c>
      <c r="AL1212" s="117">
        <f>MAX(IF(AG1212&gt;0,IF('FA Addition'!$N1212="SLM",($AE1212-'FA Addition'!$M1212)*'FA Addition'!$P1212*AG1212/365,IFERROR(VDB(AE1212,AE1212*0.05,'FA Addition'!$O1212,0,YEARFRAC('FA Addition'!$C1212,$P$1-1,3),'FA Addition'!$Q1212),FAAddition[[#This Row],[Original Cost (Rs)]]-FAAddition[[#This Row],[Salvage Value]])),0),0)</f>
        <v>0</v>
      </c>
      <c r="AM1212" s="119"/>
      <c r="AN1212" s="117">
        <f>MAX(IF(AH1212&gt;0,IF('FA Addition'!$N1212="SLM",($AF1212-'FA Addition'!$M1212)*'FA Addition'!$P1212*AH1212/365,IFERROR(VDB(AF1212,AF1212*0.05,'FA Addition'!$O1212,0,YEARFRAC('FA Addition'!$C1212,$L$1,3),'FA Addition'!$Q1212),FAAddition[[#This Row],[Original Cost (Rs)]]-FAAddition[[#This Row],[Salvage Value]])),0),0)</f>
        <v>0</v>
      </c>
      <c r="AO1212" s="117">
        <f t="shared" si="93"/>
        <v>0</v>
      </c>
      <c r="AQ1212" s="117">
        <f t="shared" si="91"/>
        <v>0</v>
      </c>
      <c r="AR1212" s="120">
        <f t="shared" si="92"/>
        <v>0</v>
      </c>
      <c r="AS1212" s="121"/>
    </row>
    <row r="1213" spans="1:45" ht="13.5" x14ac:dyDescent="0.4">
      <c r="A1213" s="12">
        <f t="shared" si="94"/>
        <v>1210</v>
      </c>
      <c r="B1213" s="64" t="s">
        <v>1758</v>
      </c>
      <c r="C1213" s="54">
        <v>45631</v>
      </c>
      <c r="D1213" s="54">
        <v>45631</v>
      </c>
      <c r="E1213" s="46" t="s">
        <v>451</v>
      </c>
      <c r="F1213" s="51" t="s">
        <v>19</v>
      </c>
      <c r="G1213" s="51" t="s">
        <v>1728</v>
      </c>
      <c r="H1213" s="51" t="s">
        <v>21</v>
      </c>
      <c r="I1213" s="55" t="s">
        <v>1996</v>
      </c>
      <c r="J1213" s="56">
        <v>1</v>
      </c>
      <c r="K1213" s="51" t="s">
        <v>1997</v>
      </c>
      <c r="L1213" s="58">
        <v>60500</v>
      </c>
      <c r="M1213" s="50">
        <f>ROUND('FA Addition'!$L1213*5%,0.1)</f>
        <v>3025</v>
      </c>
      <c r="N1213" s="113" t="str">
        <f>_xlfn.XLOOKUP(_xlfn.CONCAT(E1213,B1213),'Year Wise Master Dep Approach'!F:F,'Year Wise Master Dep Approach'!D:D)</f>
        <v>WDV</v>
      </c>
      <c r="O1213" s="113">
        <f>_xlfn.XLOOKUP(_xlfn.CONCAT(E1213,B1213),'Year Wise Master Dep Approach'!F:F,'Year Wise Master Dep Approach'!E:E)</f>
        <v>3</v>
      </c>
      <c r="P1213" s="114">
        <f>IFERROR(IF('FA Addition'!$N1213="WDV",1-('FA Addition'!$M1213/'FA Addition'!$L1213)^(1/'FA Addition'!$O1213),1/'FA Addition'!$O1213),0)</f>
        <v>0.63159685013596123</v>
      </c>
      <c r="Q1213" s="122">
        <f>'FA Addition'!$P1213*'FA Addition'!$O1213</f>
        <v>1.8947905504078837</v>
      </c>
      <c r="R1213" s="122"/>
      <c r="S1213" s="116">
        <f>IF(AND(DATE(20&amp;LEFT(FAAddition[[#This Row],[FY]],2),4,1)&lt;$L$1+1,DATE(20&amp;LEFT(FAAddition[[#This Row],[FY]],2),4,1)&gt;$P$1-1),'FA Addition'!$J1213,0)</f>
        <v>0</v>
      </c>
      <c r="U1213" s="117">
        <f>S1213*'FA Addition'!$L1213/'FA Addition'!$J1213</f>
        <v>0</v>
      </c>
      <c r="W1213" s="116">
        <f>SUMIFS('FA Write off'!D:D,'FA Write off'!A:A,'FA Addition'!$A1213,'FA Write off'!C:C,"&lt;"&amp;'FA Addition'!$P$1)</f>
        <v>0</v>
      </c>
      <c r="Y1213" s="191">
        <f>IFERROR(W1213/'FA Addition'!$J1213*'FA Addition'!$L1213,0)</f>
        <v>0</v>
      </c>
      <c r="AA1213" s="116">
        <f>SUMIFS('FA Write off'!D:D,'FA Write off'!A:A,'FA Addition'!$A1213,'FA Write off'!C:C,"&lt;"&amp;'FA Addition'!$L$1+1,'FA Write off'!C:C,"&gt;"&amp;'FA Addition'!$L$1-365)</f>
        <v>0</v>
      </c>
      <c r="AC1213" s="118">
        <f>IFERROR(AA1213/'FA Addition'!$J1213*'FA Addition'!$L1213,0)</f>
        <v>0</v>
      </c>
      <c r="AE1213" s="117">
        <f>IF(AND('FA Addition'!$D1213&lt;$P$1+1,U1213=0),'FA Addition'!$L1213,0)-Y1213</f>
        <v>0</v>
      </c>
      <c r="AF1213" s="117">
        <f t="shared" si="90"/>
        <v>0</v>
      </c>
      <c r="AG1213" s="117">
        <f>MIN(MAX(+$P$1-'FA Addition'!$D1213,0),365*'FA Addition'!$O1213)</f>
        <v>0</v>
      </c>
      <c r="AH1213" s="117">
        <f>MIN(MAX($L$1-'FA Addition'!$D1213+1,0),365*'FA Addition'!$O1213)</f>
        <v>0</v>
      </c>
      <c r="AI1213" s="117" cm="1">
        <f t="array" ref="AI1213">_xlfn.XLOOKUP(1,('FA Write off'!A:A='FA Addition'!$A1213)*('FA Write off'!D:D=AA1213),'FA Write off'!H:H,0,0)</f>
        <v>0</v>
      </c>
      <c r="AJ1213" s="117">
        <f>IF(AC1213&gt;0,MAX(IF('FA Addition'!$N1213="SLM",($AC1213-'FA Addition'!$M1213)*'FA Addition'!$P1213*AI1213/365,(AC1213-'FA Addition'!$M1213)*(1-(1-'FA Addition'!$P1213)^(AI1213/365))),0),0)</f>
        <v>0</v>
      </c>
      <c r="AL1213" s="117">
        <f>MAX(IF(AG1213&gt;0,IF('FA Addition'!$N1213="SLM",($AE1213-'FA Addition'!$M1213)*'FA Addition'!$P1213*AG1213/365,IFERROR(VDB(AE1213,AE1213*0.05,'FA Addition'!$O1213,0,YEARFRAC('FA Addition'!$C1213,$P$1-1,3),'FA Addition'!$Q1213),FAAddition[[#This Row],[Original Cost (Rs)]]-FAAddition[[#This Row],[Salvage Value]])),0),0)</f>
        <v>0</v>
      </c>
      <c r="AM1213" s="119"/>
      <c r="AN1213" s="117">
        <f>MAX(IF(AH1213&gt;0,IF('FA Addition'!$N1213="SLM",($AF1213-'FA Addition'!$M1213)*'FA Addition'!$P1213*AH1213/365,IFERROR(VDB(AF1213,AF1213*0.05,'FA Addition'!$O1213,0,YEARFRAC('FA Addition'!$C1213,$L$1,3),'FA Addition'!$Q1213),FAAddition[[#This Row],[Original Cost (Rs)]]-FAAddition[[#This Row],[Salvage Value]])),0),0)</f>
        <v>0</v>
      </c>
      <c r="AO1213" s="117">
        <f t="shared" si="93"/>
        <v>0</v>
      </c>
      <c r="AQ1213" s="117">
        <f t="shared" si="91"/>
        <v>0</v>
      </c>
      <c r="AR1213" s="120">
        <f t="shared" si="92"/>
        <v>0</v>
      </c>
      <c r="AS1213" s="121"/>
    </row>
    <row r="1214" spans="1:45" ht="13.5" x14ac:dyDescent="0.4">
      <c r="A1214" s="12">
        <f t="shared" si="94"/>
        <v>1211</v>
      </c>
      <c r="B1214" s="64" t="s">
        <v>1758</v>
      </c>
      <c r="C1214" s="54">
        <v>45624</v>
      </c>
      <c r="D1214" s="54">
        <v>45631</v>
      </c>
      <c r="E1214" s="46" t="s">
        <v>749</v>
      </c>
      <c r="F1214" s="51" t="s">
        <v>74</v>
      </c>
      <c r="G1214" s="51" t="s">
        <v>1728</v>
      </c>
      <c r="H1214" s="51" t="s">
        <v>79</v>
      </c>
      <c r="I1214" s="55">
        <v>3618</v>
      </c>
      <c r="J1214" s="56">
        <v>1</v>
      </c>
      <c r="K1214" s="51" t="s">
        <v>1903</v>
      </c>
      <c r="L1214" s="58">
        <v>4150</v>
      </c>
      <c r="M1214" s="50">
        <f>ROUND('FA Addition'!$L1214*5%,0.1)</f>
        <v>208</v>
      </c>
      <c r="N1214" s="113" t="str">
        <f>_xlfn.XLOOKUP(_xlfn.CONCAT(E1214,B1214),'Year Wise Master Dep Approach'!F:F,'Year Wise Master Dep Approach'!D:D)</f>
        <v>WDV</v>
      </c>
      <c r="O1214" s="113">
        <f>_xlfn.XLOOKUP(_xlfn.CONCAT(E1214,B1214),'Year Wise Master Dep Approach'!F:F,'Year Wise Master Dep Approach'!E:E)</f>
        <v>5</v>
      </c>
      <c r="P1214" s="114">
        <f>IFERROR(IF('FA Addition'!$N1214="WDV",1-('FA Addition'!$M1214/'FA Addition'!$L1214)^(1/'FA Addition'!$O1214),1/'FA Addition'!$O1214),0)</f>
        <v>0.45045526974017835</v>
      </c>
      <c r="Q1214" s="122">
        <f>'FA Addition'!$P1214*'FA Addition'!$O1214</f>
        <v>2.2522763487008919</v>
      </c>
      <c r="R1214" s="122"/>
      <c r="S1214" s="116">
        <f>IF(AND(DATE(20&amp;LEFT(FAAddition[[#This Row],[FY]],2),4,1)&lt;$L$1+1,DATE(20&amp;LEFT(FAAddition[[#This Row],[FY]],2),4,1)&gt;$P$1-1),'FA Addition'!$J1214,0)</f>
        <v>0</v>
      </c>
      <c r="U1214" s="117">
        <f>S1214*'FA Addition'!$L1214/'FA Addition'!$J1214</f>
        <v>0</v>
      </c>
      <c r="W1214" s="116">
        <f>SUMIFS('FA Write off'!D:D,'FA Write off'!A:A,'FA Addition'!$A1214,'FA Write off'!C:C,"&lt;"&amp;'FA Addition'!$P$1)</f>
        <v>0</v>
      </c>
      <c r="Y1214" s="191">
        <f>IFERROR(W1214/'FA Addition'!$J1214*'FA Addition'!$L1214,0)</f>
        <v>0</v>
      </c>
      <c r="AA1214" s="116">
        <f>SUMIFS('FA Write off'!D:D,'FA Write off'!A:A,'FA Addition'!$A1214,'FA Write off'!C:C,"&lt;"&amp;'FA Addition'!$L$1+1,'FA Write off'!C:C,"&gt;"&amp;'FA Addition'!$L$1-365)</f>
        <v>0</v>
      </c>
      <c r="AC1214" s="118">
        <f>IFERROR(AA1214/'FA Addition'!$J1214*'FA Addition'!$L1214,0)</f>
        <v>0</v>
      </c>
      <c r="AE1214" s="117">
        <f>IF(AND('FA Addition'!$D1214&lt;$P$1+1,U1214=0),'FA Addition'!$L1214,0)-Y1214</f>
        <v>0</v>
      </c>
      <c r="AF1214" s="117">
        <f t="shared" si="90"/>
        <v>0</v>
      </c>
      <c r="AG1214" s="117">
        <f>MIN(MAX(+$P$1-'FA Addition'!$D1214,0),365*'FA Addition'!$O1214)</f>
        <v>0</v>
      </c>
      <c r="AH1214" s="117">
        <f>MIN(MAX($L$1-'FA Addition'!$D1214+1,0),365*'FA Addition'!$O1214)</f>
        <v>0</v>
      </c>
      <c r="AI1214" s="117" cm="1">
        <f t="array" ref="AI1214">_xlfn.XLOOKUP(1,('FA Write off'!A:A='FA Addition'!$A1214)*('FA Write off'!D:D=AA1214),'FA Write off'!H:H,0,0)</f>
        <v>0</v>
      </c>
      <c r="AJ1214" s="117">
        <f>IF(AC1214&gt;0,MAX(IF('FA Addition'!$N1214="SLM",($AC1214-'FA Addition'!$M1214)*'FA Addition'!$P1214*AI1214/365,(AC1214-'FA Addition'!$M1214)*(1-(1-'FA Addition'!$P1214)^(AI1214/365))),0),0)</f>
        <v>0</v>
      </c>
      <c r="AL1214" s="117">
        <f>MAX(IF(AG1214&gt;0,IF('FA Addition'!$N1214="SLM",($AE1214-'FA Addition'!$M1214)*'FA Addition'!$P1214*AG1214/365,IFERROR(VDB(AE1214,AE1214*0.05,'FA Addition'!$O1214,0,YEARFRAC('FA Addition'!$C1214,$P$1-1,3),'FA Addition'!$Q1214),FAAddition[[#This Row],[Original Cost (Rs)]]-FAAddition[[#This Row],[Salvage Value]])),0),0)</f>
        <v>0</v>
      </c>
      <c r="AM1214" s="119"/>
      <c r="AN1214" s="117">
        <f>MAX(IF(AH1214&gt;0,IF('FA Addition'!$N1214="SLM",($AF1214-'FA Addition'!$M1214)*'FA Addition'!$P1214*AH1214/365,IFERROR(VDB(AF1214,AF1214*0.05,'FA Addition'!$O1214,0,YEARFRAC('FA Addition'!$C1214,$L$1,3),'FA Addition'!$Q1214),FAAddition[[#This Row],[Original Cost (Rs)]]-FAAddition[[#This Row],[Salvage Value]])),0),0)</f>
        <v>0</v>
      </c>
      <c r="AO1214" s="117">
        <f t="shared" si="93"/>
        <v>0</v>
      </c>
      <c r="AQ1214" s="117">
        <f t="shared" si="91"/>
        <v>0</v>
      </c>
      <c r="AR1214" s="120">
        <f t="shared" si="92"/>
        <v>0</v>
      </c>
      <c r="AS1214" s="121"/>
    </row>
    <row r="1215" spans="1:45" ht="13.5" x14ac:dyDescent="0.4">
      <c r="A1215" s="12">
        <f t="shared" si="94"/>
        <v>1212</v>
      </c>
      <c r="B1215" s="64" t="s">
        <v>1758</v>
      </c>
      <c r="C1215" s="54">
        <v>45624</v>
      </c>
      <c r="D1215" s="54">
        <v>45631</v>
      </c>
      <c r="E1215" s="46" t="s">
        <v>749</v>
      </c>
      <c r="F1215" s="51" t="s">
        <v>74</v>
      </c>
      <c r="G1215" s="51" t="s">
        <v>1728</v>
      </c>
      <c r="H1215" s="51" t="s">
        <v>79</v>
      </c>
      <c r="I1215" s="55">
        <v>3618</v>
      </c>
      <c r="J1215" s="56">
        <v>1</v>
      </c>
      <c r="K1215" s="51" t="s">
        <v>1903</v>
      </c>
      <c r="L1215" s="58">
        <v>4150</v>
      </c>
      <c r="M1215" s="50">
        <f>ROUND('FA Addition'!$L1215*5%,0.1)</f>
        <v>208</v>
      </c>
      <c r="N1215" s="113" t="str">
        <f>_xlfn.XLOOKUP(_xlfn.CONCAT(E1215,B1215),'Year Wise Master Dep Approach'!F:F,'Year Wise Master Dep Approach'!D:D)</f>
        <v>WDV</v>
      </c>
      <c r="O1215" s="113">
        <f>_xlfn.XLOOKUP(_xlfn.CONCAT(E1215,B1215),'Year Wise Master Dep Approach'!F:F,'Year Wise Master Dep Approach'!E:E)</f>
        <v>5</v>
      </c>
      <c r="P1215" s="114">
        <f>IFERROR(IF('FA Addition'!$N1215="WDV",1-('FA Addition'!$M1215/'FA Addition'!$L1215)^(1/'FA Addition'!$O1215),1/'FA Addition'!$O1215),0)</f>
        <v>0.45045526974017835</v>
      </c>
      <c r="Q1215" s="122">
        <f>'FA Addition'!$P1215*'FA Addition'!$O1215</f>
        <v>2.2522763487008919</v>
      </c>
      <c r="R1215" s="122"/>
      <c r="S1215" s="116">
        <f>IF(AND(DATE(20&amp;LEFT(FAAddition[[#This Row],[FY]],2),4,1)&lt;$L$1+1,DATE(20&amp;LEFT(FAAddition[[#This Row],[FY]],2),4,1)&gt;$P$1-1),'FA Addition'!$J1215,0)</f>
        <v>0</v>
      </c>
      <c r="U1215" s="117">
        <f>S1215*'FA Addition'!$L1215/'FA Addition'!$J1215</f>
        <v>0</v>
      </c>
      <c r="W1215" s="116">
        <f>SUMIFS('FA Write off'!D:D,'FA Write off'!A:A,'FA Addition'!$A1215,'FA Write off'!C:C,"&lt;"&amp;'FA Addition'!$P$1)</f>
        <v>0</v>
      </c>
      <c r="Y1215" s="191">
        <f>IFERROR(W1215/'FA Addition'!$J1215*'FA Addition'!$L1215,0)</f>
        <v>0</v>
      </c>
      <c r="AA1215" s="116">
        <f>SUMIFS('FA Write off'!D:D,'FA Write off'!A:A,'FA Addition'!$A1215,'FA Write off'!C:C,"&lt;"&amp;'FA Addition'!$L$1+1,'FA Write off'!C:C,"&gt;"&amp;'FA Addition'!$L$1-365)</f>
        <v>0</v>
      </c>
      <c r="AC1215" s="118">
        <f>IFERROR(AA1215/'FA Addition'!$J1215*'FA Addition'!$L1215,0)</f>
        <v>0</v>
      </c>
      <c r="AE1215" s="117">
        <f>IF(AND('FA Addition'!$D1215&lt;$P$1+1,U1215=0),'FA Addition'!$L1215,0)-Y1215</f>
        <v>0</v>
      </c>
      <c r="AF1215" s="117">
        <f t="shared" si="90"/>
        <v>0</v>
      </c>
      <c r="AG1215" s="117">
        <f>MIN(MAX(+$P$1-'FA Addition'!$D1215,0),365*'FA Addition'!$O1215)</f>
        <v>0</v>
      </c>
      <c r="AH1215" s="117">
        <f>MIN(MAX($L$1-'FA Addition'!$D1215+1,0),365*'FA Addition'!$O1215)</f>
        <v>0</v>
      </c>
      <c r="AI1215" s="117" cm="1">
        <f t="array" ref="AI1215">_xlfn.XLOOKUP(1,('FA Write off'!A:A='FA Addition'!$A1215)*('FA Write off'!D:D=AA1215),'FA Write off'!H:H,0,0)</f>
        <v>0</v>
      </c>
      <c r="AJ1215" s="117">
        <f>IF(AC1215&gt;0,MAX(IF('FA Addition'!$N1215="SLM",($AC1215-'FA Addition'!$M1215)*'FA Addition'!$P1215*AI1215/365,(AC1215-'FA Addition'!$M1215)*(1-(1-'FA Addition'!$P1215)^(AI1215/365))),0),0)</f>
        <v>0</v>
      </c>
      <c r="AL1215" s="117">
        <f>MAX(IF(AG1215&gt;0,IF('FA Addition'!$N1215="SLM",($AE1215-'FA Addition'!$M1215)*'FA Addition'!$P1215*AG1215/365,IFERROR(VDB(AE1215,AE1215*0.05,'FA Addition'!$O1215,0,YEARFRAC('FA Addition'!$C1215,$P$1-1,3),'FA Addition'!$Q1215),FAAddition[[#This Row],[Original Cost (Rs)]]-FAAddition[[#This Row],[Salvage Value]])),0),0)</f>
        <v>0</v>
      </c>
      <c r="AM1215" s="119"/>
      <c r="AN1215" s="117">
        <f>MAX(IF(AH1215&gt;0,IF('FA Addition'!$N1215="SLM",($AF1215-'FA Addition'!$M1215)*'FA Addition'!$P1215*AH1215/365,IFERROR(VDB(AF1215,AF1215*0.05,'FA Addition'!$O1215,0,YEARFRAC('FA Addition'!$C1215,$L$1,3),'FA Addition'!$Q1215),FAAddition[[#This Row],[Original Cost (Rs)]]-FAAddition[[#This Row],[Salvage Value]])),0),0)</f>
        <v>0</v>
      </c>
      <c r="AO1215" s="117">
        <f t="shared" si="93"/>
        <v>0</v>
      </c>
      <c r="AQ1215" s="117">
        <f t="shared" si="91"/>
        <v>0</v>
      </c>
      <c r="AR1215" s="120">
        <f t="shared" si="92"/>
        <v>0</v>
      </c>
      <c r="AS1215" s="121"/>
    </row>
    <row r="1216" spans="1:45" ht="13.5" x14ac:dyDescent="0.4">
      <c r="A1216" s="12">
        <f t="shared" si="94"/>
        <v>1213</v>
      </c>
      <c r="B1216" s="64" t="s">
        <v>1758</v>
      </c>
      <c r="C1216" s="54">
        <v>45637</v>
      </c>
      <c r="D1216" s="54">
        <v>45649</v>
      </c>
      <c r="E1216" s="46" t="s">
        <v>1320</v>
      </c>
      <c r="F1216" s="51" t="s">
        <v>33</v>
      </c>
      <c r="G1216" s="51" t="s">
        <v>34</v>
      </c>
      <c r="H1216" s="51" t="s">
        <v>32</v>
      </c>
      <c r="I1216" s="55" t="s">
        <v>1998</v>
      </c>
      <c r="J1216" s="56">
        <v>1000</v>
      </c>
      <c r="K1216" s="51" t="s">
        <v>295</v>
      </c>
      <c r="L1216" s="58">
        <v>1665000</v>
      </c>
      <c r="M1216" s="50">
        <f>ROUND('FA Addition'!$L1216*5%,0.1)</f>
        <v>83250</v>
      </c>
      <c r="N1216" s="113" t="str">
        <f>_xlfn.XLOOKUP(_xlfn.CONCAT(E1216,B1216),'Year Wise Master Dep Approach'!F:F,'Year Wise Master Dep Approach'!D:D)</f>
        <v>SLM</v>
      </c>
      <c r="O1216" s="113">
        <f>_xlfn.XLOOKUP(_xlfn.CONCAT(E1216,B1216),'Year Wise Master Dep Approach'!F:F,'Year Wise Master Dep Approach'!E:E)</f>
        <v>5</v>
      </c>
      <c r="P1216" s="114">
        <f>IFERROR(IF('FA Addition'!$N1216="WDV",1-('FA Addition'!$M1216/'FA Addition'!$L1216)^(1/'FA Addition'!$O1216),1/'FA Addition'!$O1216),0)</f>
        <v>0.2</v>
      </c>
      <c r="Q1216" s="122">
        <f>'FA Addition'!$P1216*'FA Addition'!$O1216</f>
        <v>1</v>
      </c>
      <c r="R1216" s="122"/>
      <c r="S1216" s="116">
        <f>IF(AND(DATE(20&amp;LEFT(FAAddition[[#This Row],[FY]],2),4,1)&lt;$L$1+1,DATE(20&amp;LEFT(FAAddition[[#This Row],[FY]],2),4,1)&gt;$P$1-1),'FA Addition'!$J1216,0)</f>
        <v>0</v>
      </c>
      <c r="U1216" s="117">
        <f>S1216*'FA Addition'!$L1216/'FA Addition'!$J1216</f>
        <v>0</v>
      </c>
      <c r="W1216" s="116">
        <f>SUMIFS('FA Write off'!D:D,'FA Write off'!A:A,'FA Addition'!$A1216,'FA Write off'!C:C,"&lt;"&amp;'FA Addition'!$P$1)</f>
        <v>0</v>
      </c>
      <c r="Y1216" s="191">
        <f>IFERROR(W1216/'FA Addition'!$J1216*'FA Addition'!$L1216,0)</f>
        <v>0</v>
      </c>
      <c r="AA1216" s="116">
        <f>SUMIFS('FA Write off'!D:D,'FA Write off'!A:A,'FA Addition'!$A1216,'FA Write off'!C:C,"&lt;"&amp;'FA Addition'!$L$1+1,'FA Write off'!C:C,"&gt;"&amp;'FA Addition'!$L$1-365)</f>
        <v>0</v>
      </c>
      <c r="AC1216" s="118">
        <f>IFERROR(AA1216/'FA Addition'!$J1216*'FA Addition'!$L1216,0)</f>
        <v>0</v>
      </c>
      <c r="AE1216" s="117">
        <f>IF(AND('FA Addition'!$D1216&lt;$P$1+1,U1216=0),'FA Addition'!$L1216,0)-Y1216</f>
        <v>0</v>
      </c>
      <c r="AF1216" s="117">
        <f t="shared" si="90"/>
        <v>0</v>
      </c>
      <c r="AG1216" s="117">
        <f>MIN(MAX(+$P$1-'FA Addition'!$D1216,0),365*'FA Addition'!$O1216)</f>
        <v>0</v>
      </c>
      <c r="AH1216" s="117">
        <f>MIN(MAX($L$1-'FA Addition'!$D1216+1,0),365*'FA Addition'!$O1216)</f>
        <v>0</v>
      </c>
      <c r="AI1216" s="117" cm="1">
        <f t="array" ref="AI1216">_xlfn.XLOOKUP(1,('FA Write off'!A:A='FA Addition'!$A1216)*('FA Write off'!D:D=AA1216),'FA Write off'!H:H,0,0)</f>
        <v>0</v>
      </c>
      <c r="AJ1216" s="117">
        <f>IF(AC1216&gt;0,MAX(IF('FA Addition'!$N1216="SLM",($AC1216-'FA Addition'!$M1216)*'FA Addition'!$P1216*AI1216/365,(AC1216-'FA Addition'!$M1216)*(1-(1-'FA Addition'!$P1216)^(AI1216/365))),0),0)</f>
        <v>0</v>
      </c>
      <c r="AL1216" s="117">
        <f>MAX(IF(AG1216&gt;0,IF('FA Addition'!$N1216="SLM",($AE1216-'FA Addition'!$M1216)*'FA Addition'!$P1216*AG1216/365,IFERROR(VDB(AE1216,AE1216*0.05,'FA Addition'!$O1216,0,YEARFRAC('FA Addition'!$C1216,$P$1-1,3),'FA Addition'!$Q1216),FAAddition[[#This Row],[Original Cost (Rs)]]-FAAddition[[#This Row],[Salvage Value]])),0),0)</f>
        <v>0</v>
      </c>
      <c r="AM1216" s="119"/>
      <c r="AN1216" s="117">
        <f>MAX(IF(AH1216&gt;0,IF('FA Addition'!$N1216="SLM",($AF1216-'FA Addition'!$M1216)*'FA Addition'!$P1216*AH1216/365,IFERROR(VDB(AF1216,AF1216*0.05,'FA Addition'!$O1216,0,YEARFRAC('FA Addition'!$C1216,$L$1,3),'FA Addition'!$Q1216),FAAddition[[#This Row],[Original Cost (Rs)]]-FAAddition[[#This Row],[Salvage Value]])),0),0)</f>
        <v>0</v>
      </c>
      <c r="AO1216" s="117">
        <f t="shared" si="93"/>
        <v>0</v>
      </c>
      <c r="AQ1216" s="117">
        <f t="shared" si="91"/>
        <v>0</v>
      </c>
      <c r="AR1216" s="120">
        <f t="shared" si="92"/>
        <v>0</v>
      </c>
      <c r="AS1216" s="121"/>
    </row>
    <row r="1217" spans="1:45" ht="13.5" x14ac:dyDescent="0.4">
      <c r="A1217" s="12">
        <f t="shared" si="94"/>
        <v>1214</v>
      </c>
      <c r="B1217" s="64" t="s">
        <v>1758</v>
      </c>
      <c r="C1217" s="54">
        <v>45635</v>
      </c>
      <c r="D1217" s="54">
        <v>45649</v>
      </c>
      <c r="E1217" s="46" t="s">
        <v>1320</v>
      </c>
      <c r="F1217" s="51" t="s">
        <v>33</v>
      </c>
      <c r="G1217" s="51" t="s">
        <v>34</v>
      </c>
      <c r="H1217" s="51" t="s">
        <v>32</v>
      </c>
      <c r="I1217" s="55" t="s">
        <v>1999</v>
      </c>
      <c r="J1217" s="56">
        <v>1000</v>
      </c>
      <c r="K1217" s="51" t="s">
        <v>295</v>
      </c>
      <c r="L1217" s="58">
        <v>1665000</v>
      </c>
      <c r="M1217" s="50">
        <f>ROUND('FA Addition'!$L1217*5%,0.1)</f>
        <v>83250</v>
      </c>
      <c r="N1217" s="113" t="str">
        <f>_xlfn.XLOOKUP(_xlfn.CONCAT(E1217,B1217),'Year Wise Master Dep Approach'!F:F,'Year Wise Master Dep Approach'!D:D)</f>
        <v>SLM</v>
      </c>
      <c r="O1217" s="113">
        <f>_xlfn.XLOOKUP(_xlfn.CONCAT(E1217,B1217),'Year Wise Master Dep Approach'!F:F,'Year Wise Master Dep Approach'!E:E)</f>
        <v>5</v>
      </c>
      <c r="P1217" s="114">
        <f>IFERROR(IF('FA Addition'!$N1217="WDV",1-('FA Addition'!$M1217/'FA Addition'!$L1217)^(1/'FA Addition'!$O1217),1/'FA Addition'!$O1217),0)</f>
        <v>0.2</v>
      </c>
      <c r="Q1217" s="122">
        <f>'FA Addition'!$P1217*'FA Addition'!$O1217</f>
        <v>1</v>
      </c>
      <c r="R1217" s="122"/>
      <c r="S1217" s="116">
        <f>IF(AND(DATE(20&amp;LEFT(FAAddition[[#This Row],[FY]],2),4,1)&lt;$L$1+1,DATE(20&amp;LEFT(FAAddition[[#This Row],[FY]],2),4,1)&gt;$P$1-1),'FA Addition'!$J1217,0)</f>
        <v>0</v>
      </c>
      <c r="U1217" s="117">
        <f>S1217*'FA Addition'!$L1217/'FA Addition'!$J1217</f>
        <v>0</v>
      </c>
      <c r="W1217" s="116">
        <f>SUMIFS('FA Write off'!D:D,'FA Write off'!A:A,'FA Addition'!$A1217,'FA Write off'!C:C,"&lt;"&amp;'FA Addition'!$P$1)</f>
        <v>0</v>
      </c>
      <c r="Y1217" s="191">
        <f>IFERROR(W1217/'FA Addition'!$J1217*'FA Addition'!$L1217,0)</f>
        <v>0</v>
      </c>
      <c r="AA1217" s="116">
        <f>SUMIFS('FA Write off'!D:D,'FA Write off'!A:A,'FA Addition'!$A1217,'FA Write off'!C:C,"&lt;"&amp;'FA Addition'!$L$1+1,'FA Write off'!C:C,"&gt;"&amp;'FA Addition'!$L$1-365)</f>
        <v>0</v>
      </c>
      <c r="AC1217" s="118">
        <f>IFERROR(AA1217/'FA Addition'!$J1217*'FA Addition'!$L1217,0)</f>
        <v>0</v>
      </c>
      <c r="AE1217" s="117">
        <f>IF(AND('FA Addition'!$D1217&lt;$P$1+1,U1217=0),'FA Addition'!$L1217,0)-Y1217</f>
        <v>0</v>
      </c>
      <c r="AF1217" s="117">
        <f t="shared" si="90"/>
        <v>0</v>
      </c>
      <c r="AG1217" s="117">
        <f>MIN(MAX(+$P$1-'FA Addition'!$D1217,0),365*'FA Addition'!$O1217)</f>
        <v>0</v>
      </c>
      <c r="AH1217" s="117">
        <f>MIN(MAX($L$1-'FA Addition'!$D1217+1,0),365*'FA Addition'!$O1217)</f>
        <v>0</v>
      </c>
      <c r="AI1217" s="117" cm="1">
        <f t="array" ref="AI1217">_xlfn.XLOOKUP(1,('FA Write off'!A:A='FA Addition'!$A1217)*('FA Write off'!D:D=AA1217),'FA Write off'!H:H,0,0)</f>
        <v>0</v>
      </c>
      <c r="AJ1217" s="117">
        <f>IF(AC1217&gt;0,MAX(IF('FA Addition'!$N1217="SLM",($AC1217-'FA Addition'!$M1217)*'FA Addition'!$P1217*AI1217/365,(AC1217-'FA Addition'!$M1217)*(1-(1-'FA Addition'!$P1217)^(AI1217/365))),0),0)</f>
        <v>0</v>
      </c>
      <c r="AL1217" s="117">
        <f>MAX(IF(AG1217&gt;0,IF('FA Addition'!$N1217="SLM",($AE1217-'FA Addition'!$M1217)*'FA Addition'!$P1217*AG1217/365,IFERROR(VDB(AE1217,AE1217*0.05,'FA Addition'!$O1217,0,YEARFRAC('FA Addition'!$C1217,$P$1-1,3),'FA Addition'!$Q1217),FAAddition[[#This Row],[Original Cost (Rs)]]-FAAddition[[#This Row],[Salvage Value]])),0),0)</f>
        <v>0</v>
      </c>
      <c r="AM1217" s="119"/>
      <c r="AN1217" s="117">
        <f>MAX(IF(AH1217&gt;0,IF('FA Addition'!$N1217="SLM",($AF1217-'FA Addition'!$M1217)*'FA Addition'!$P1217*AH1217/365,IFERROR(VDB(AF1217,AF1217*0.05,'FA Addition'!$O1217,0,YEARFRAC('FA Addition'!$C1217,$L$1,3),'FA Addition'!$Q1217),FAAddition[[#This Row],[Original Cost (Rs)]]-FAAddition[[#This Row],[Salvage Value]])),0),0)</f>
        <v>0</v>
      </c>
      <c r="AO1217" s="117">
        <f t="shared" si="93"/>
        <v>0</v>
      </c>
      <c r="AQ1217" s="117">
        <f t="shared" si="91"/>
        <v>0</v>
      </c>
      <c r="AR1217" s="120">
        <f t="shared" si="92"/>
        <v>0</v>
      </c>
      <c r="AS1217" s="121"/>
    </row>
    <row r="1218" spans="1:45" ht="13.5" x14ac:dyDescent="0.4">
      <c r="A1218" s="12">
        <f t="shared" si="94"/>
        <v>1215</v>
      </c>
      <c r="B1218" s="64" t="s">
        <v>1758</v>
      </c>
      <c r="C1218" s="54">
        <v>45642</v>
      </c>
      <c r="D1218" s="54">
        <v>45649</v>
      </c>
      <c r="E1218" s="46" t="s">
        <v>1320</v>
      </c>
      <c r="F1218" s="51" t="s">
        <v>33</v>
      </c>
      <c r="G1218" s="51" t="s">
        <v>34</v>
      </c>
      <c r="H1218" s="51" t="s">
        <v>32</v>
      </c>
      <c r="I1218" s="55" t="s">
        <v>2000</v>
      </c>
      <c r="J1218" s="56">
        <v>1500</v>
      </c>
      <c r="K1218" s="51" t="s">
        <v>295</v>
      </c>
      <c r="L1218" s="58">
        <v>2497500</v>
      </c>
      <c r="M1218" s="50">
        <f>ROUND('FA Addition'!$L1218*5%,0.1)</f>
        <v>124875</v>
      </c>
      <c r="N1218" s="113" t="str">
        <f>_xlfn.XLOOKUP(_xlfn.CONCAT(E1218,B1218),'Year Wise Master Dep Approach'!F:F,'Year Wise Master Dep Approach'!D:D)</f>
        <v>SLM</v>
      </c>
      <c r="O1218" s="113">
        <f>_xlfn.XLOOKUP(_xlfn.CONCAT(E1218,B1218),'Year Wise Master Dep Approach'!F:F,'Year Wise Master Dep Approach'!E:E)</f>
        <v>5</v>
      </c>
      <c r="P1218" s="114">
        <f>IFERROR(IF('FA Addition'!$N1218="WDV",1-('FA Addition'!$M1218/'FA Addition'!$L1218)^(1/'FA Addition'!$O1218),1/'FA Addition'!$O1218),0)</f>
        <v>0.2</v>
      </c>
      <c r="Q1218" s="122">
        <f>'FA Addition'!$P1218*'FA Addition'!$O1218</f>
        <v>1</v>
      </c>
      <c r="R1218" s="122"/>
      <c r="S1218" s="116">
        <f>IF(AND(DATE(20&amp;LEFT(FAAddition[[#This Row],[FY]],2),4,1)&lt;$L$1+1,DATE(20&amp;LEFT(FAAddition[[#This Row],[FY]],2),4,1)&gt;$P$1-1),'FA Addition'!$J1218,0)</f>
        <v>0</v>
      </c>
      <c r="U1218" s="117">
        <f>S1218*'FA Addition'!$L1218/'FA Addition'!$J1218</f>
        <v>0</v>
      </c>
      <c r="W1218" s="116">
        <f>SUMIFS('FA Write off'!D:D,'FA Write off'!A:A,'FA Addition'!$A1218,'FA Write off'!C:C,"&lt;"&amp;'FA Addition'!$P$1)</f>
        <v>0</v>
      </c>
      <c r="Y1218" s="191">
        <f>IFERROR(W1218/'FA Addition'!$J1218*'FA Addition'!$L1218,0)</f>
        <v>0</v>
      </c>
      <c r="AA1218" s="116">
        <f>SUMIFS('FA Write off'!D:D,'FA Write off'!A:A,'FA Addition'!$A1218,'FA Write off'!C:C,"&lt;"&amp;'FA Addition'!$L$1+1,'FA Write off'!C:C,"&gt;"&amp;'FA Addition'!$L$1-365)</f>
        <v>0</v>
      </c>
      <c r="AC1218" s="118">
        <f>IFERROR(AA1218/'FA Addition'!$J1218*'FA Addition'!$L1218,0)</f>
        <v>0</v>
      </c>
      <c r="AE1218" s="117">
        <f>IF(AND('FA Addition'!$D1218&lt;$P$1+1,U1218=0),'FA Addition'!$L1218,0)-Y1218</f>
        <v>0</v>
      </c>
      <c r="AF1218" s="117">
        <f t="shared" si="90"/>
        <v>0</v>
      </c>
      <c r="AG1218" s="117">
        <f>MIN(MAX(+$P$1-'FA Addition'!$D1218,0),365*'FA Addition'!$O1218)</f>
        <v>0</v>
      </c>
      <c r="AH1218" s="117">
        <f>MIN(MAX($L$1-'FA Addition'!$D1218+1,0),365*'FA Addition'!$O1218)</f>
        <v>0</v>
      </c>
      <c r="AI1218" s="117" cm="1">
        <f t="array" ref="AI1218">_xlfn.XLOOKUP(1,('FA Write off'!A:A='FA Addition'!$A1218)*('FA Write off'!D:D=AA1218),'FA Write off'!H:H,0,0)</f>
        <v>0</v>
      </c>
      <c r="AJ1218" s="117">
        <f>IF(AC1218&gt;0,MAX(IF('FA Addition'!$N1218="SLM",($AC1218-'FA Addition'!$M1218)*'FA Addition'!$P1218*AI1218/365,(AC1218-'FA Addition'!$M1218)*(1-(1-'FA Addition'!$P1218)^(AI1218/365))),0),0)</f>
        <v>0</v>
      </c>
      <c r="AL1218" s="117">
        <f>MAX(IF(AG1218&gt;0,IF('FA Addition'!$N1218="SLM",($AE1218-'FA Addition'!$M1218)*'FA Addition'!$P1218*AG1218/365,IFERROR(VDB(AE1218,AE1218*0.05,'FA Addition'!$O1218,0,YEARFRAC('FA Addition'!$C1218,$P$1-1,3),'FA Addition'!$Q1218),FAAddition[[#This Row],[Original Cost (Rs)]]-FAAddition[[#This Row],[Salvage Value]])),0),0)</f>
        <v>0</v>
      </c>
      <c r="AM1218" s="119"/>
      <c r="AN1218" s="117">
        <f>MAX(IF(AH1218&gt;0,IF('FA Addition'!$N1218="SLM",($AF1218-'FA Addition'!$M1218)*'FA Addition'!$P1218*AH1218/365,IFERROR(VDB(AF1218,AF1218*0.05,'FA Addition'!$O1218,0,YEARFRAC('FA Addition'!$C1218,$L$1,3),'FA Addition'!$Q1218),FAAddition[[#This Row],[Original Cost (Rs)]]-FAAddition[[#This Row],[Salvage Value]])),0),0)</f>
        <v>0</v>
      </c>
      <c r="AO1218" s="117">
        <f t="shared" si="93"/>
        <v>0</v>
      </c>
      <c r="AQ1218" s="117">
        <f t="shared" si="91"/>
        <v>0</v>
      </c>
      <c r="AR1218" s="120">
        <f t="shared" si="92"/>
        <v>0</v>
      </c>
      <c r="AS1218" s="121"/>
    </row>
    <row r="1219" spans="1:45" ht="13.5" x14ac:dyDescent="0.4">
      <c r="A1219" s="12">
        <f t="shared" si="94"/>
        <v>1216</v>
      </c>
      <c r="B1219" s="64" t="s">
        <v>1758</v>
      </c>
      <c r="C1219" s="54">
        <v>45639</v>
      </c>
      <c r="D1219" s="54">
        <v>45649</v>
      </c>
      <c r="E1219" s="46" t="s">
        <v>1320</v>
      </c>
      <c r="F1219" s="51" t="s">
        <v>33</v>
      </c>
      <c r="G1219" s="51" t="s">
        <v>36</v>
      </c>
      <c r="H1219" s="51" t="s">
        <v>32</v>
      </c>
      <c r="I1219" s="55" t="s">
        <v>2001</v>
      </c>
      <c r="J1219" s="56">
        <v>700</v>
      </c>
      <c r="K1219" s="51" t="s">
        <v>296</v>
      </c>
      <c r="L1219" s="58">
        <v>1120000</v>
      </c>
      <c r="M1219" s="50">
        <f>ROUND('FA Addition'!$L1219*5%,0.1)</f>
        <v>56000</v>
      </c>
      <c r="N1219" s="113" t="str">
        <f>_xlfn.XLOOKUP(_xlfn.CONCAT(E1219,B1219),'Year Wise Master Dep Approach'!F:F,'Year Wise Master Dep Approach'!D:D)</f>
        <v>SLM</v>
      </c>
      <c r="O1219" s="113">
        <f>_xlfn.XLOOKUP(_xlfn.CONCAT(E1219,B1219),'Year Wise Master Dep Approach'!F:F,'Year Wise Master Dep Approach'!E:E)</f>
        <v>5</v>
      </c>
      <c r="P1219" s="114">
        <f>IFERROR(IF('FA Addition'!$N1219="WDV",1-('FA Addition'!$M1219/'FA Addition'!$L1219)^(1/'FA Addition'!$O1219),1/'FA Addition'!$O1219),0)</f>
        <v>0.2</v>
      </c>
      <c r="Q1219" s="122">
        <f>'FA Addition'!$P1219*'FA Addition'!$O1219</f>
        <v>1</v>
      </c>
      <c r="R1219" s="122"/>
      <c r="S1219" s="116">
        <f>IF(AND(DATE(20&amp;LEFT(FAAddition[[#This Row],[FY]],2),4,1)&lt;$L$1+1,DATE(20&amp;LEFT(FAAddition[[#This Row],[FY]],2),4,1)&gt;$P$1-1),'FA Addition'!$J1219,0)</f>
        <v>0</v>
      </c>
      <c r="U1219" s="117">
        <f>S1219*'FA Addition'!$L1219/'FA Addition'!$J1219</f>
        <v>0</v>
      </c>
      <c r="W1219" s="116">
        <f>SUMIFS('FA Write off'!D:D,'FA Write off'!A:A,'FA Addition'!$A1219,'FA Write off'!C:C,"&lt;"&amp;'FA Addition'!$P$1)</f>
        <v>0</v>
      </c>
      <c r="Y1219" s="191">
        <f>IFERROR(W1219/'FA Addition'!$J1219*'FA Addition'!$L1219,0)</f>
        <v>0</v>
      </c>
      <c r="AA1219" s="116">
        <f>SUMIFS('FA Write off'!D:D,'FA Write off'!A:A,'FA Addition'!$A1219,'FA Write off'!C:C,"&lt;"&amp;'FA Addition'!$L$1+1,'FA Write off'!C:C,"&gt;"&amp;'FA Addition'!$L$1-365)</f>
        <v>0</v>
      </c>
      <c r="AC1219" s="118">
        <f>IFERROR(AA1219/'FA Addition'!$J1219*'FA Addition'!$L1219,0)</f>
        <v>0</v>
      </c>
      <c r="AE1219" s="117">
        <f>IF(AND('FA Addition'!$D1219&lt;$P$1+1,U1219=0),'FA Addition'!$L1219,0)-Y1219</f>
        <v>0</v>
      </c>
      <c r="AF1219" s="117">
        <f t="shared" si="90"/>
        <v>0</v>
      </c>
      <c r="AG1219" s="117">
        <f>MIN(MAX(+$P$1-'FA Addition'!$D1219,0),365*'FA Addition'!$O1219)</f>
        <v>0</v>
      </c>
      <c r="AH1219" s="117">
        <f>MIN(MAX($L$1-'FA Addition'!$D1219+1,0),365*'FA Addition'!$O1219)</f>
        <v>0</v>
      </c>
      <c r="AI1219" s="117" cm="1">
        <f t="array" ref="AI1219">_xlfn.XLOOKUP(1,('FA Write off'!A:A='FA Addition'!$A1219)*('FA Write off'!D:D=AA1219),'FA Write off'!H:H,0,0)</f>
        <v>0</v>
      </c>
      <c r="AJ1219" s="117">
        <f>IF(AC1219&gt;0,MAX(IF('FA Addition'!$N1219="SLM",($AC1219-'FA Addition'!$M1219)*'FA Addition'!$P1219*AI1219/365,(AC1219-'FA Addition'!$M1219)*(1-(1-'FA Addition'!$P1219)^(AI1219/365))),0),0)</f>
        <v>0</v>
      </c>
      <c r="AL1219" s="117">
        <f>MAX(IF(AG1219&gt;0,IF('FA Addition'!$N1219="SLM",($AE1219-'FA Addition'!$M1219)*'FA Addition'!$P1219*AG1219/365,IFERROR(VDB(AE1219,AE1219*0.05,'FA Addition'!$O1219,0,YEARFRAC('FA Addition'!$C1219,$P$1-1,3),'FA Addition'!$Q1219),FAAddition[[#This Row],[Original Cost (Rs)]]-FAAddition[[#This Row],[Salvage Value]])),0),0)</f>
        <v>0</v>
      </c>
      <c r="AM1219" s="119"/>
      <c r="AN1219" s="117">
        <f>MAX(IF(AH1219&gt;0,IF('FA Addition'!$N1219="SLM",($AF1219-'FA Addition'!$M1219)*'FA Addition'!$P1219*AH1219/365,IFERROR(VDB(AF1219,AF1219*0.05,'FA Addition'!$O1219,0,YEARFRAC('FA Addition'!$C1219,$L$1,3),'FA Addition'!$Q1219),FAAddition[[#This Row],[Original Cost (Rs)]]-FAAddition[[#This Row],[Salvage Value]])),0),0)</f>
        <v>0</v>
      </c>
      <c r="AO1219" s="117">
        <f t="shared" si="93"/>
        <v>0</v>
      </c>
      <c r="AQ1219" s="117">
        <f t="shared" si="91"/>
        <v>0</v>
      </c>
      <c r="AR1219" s="120">
        <f t="shared" si="92"/>
        <v>0</v>
      </c>
      <c r="AS1219" s="121"/>
    </row>
    <row r="1220" spans="1:45" ht="13.5" x14ac:dyDescent="0.4">
      <c r="A1220" s="12">
        <f t="shared" si="94"/>
        <v>1217</v>
      </c>
      <c r="B1220" s="64" t="s">
        <v>1758</v>
      </c>
      <c r="C1220" s="54">
        <v>45630</v>
      </c>
      <c r="D1220" s="54">
        <v>45649</v>
      </c>
      <c r="E1220" s="46" t="s">
        <v>1320</v>
      </c>
      <c r="F1220" s="51" t="s">
        <v>33</v>
      </c>
      <c r="G1220" s="51" t="s">
        <v>36</v>
      </c>
      <c r="H1220" s="51" t="s">
        <v>32</v>
      </c>
      <c r="I1220" s="55" t="s">
        <v>2002</v>
      </c>
      <c r="J1220" s="56">
        <v>500</v>
      </c>
      <c r="K1220" s="51" t="s">
        <v>296</v>
      </c>
      <c r="L1220" s="58">
        <v>800000</v>
      </c>
      <c r="M1220" s="50">
        <f>ROUND('FA Addition'!$L1220*5%,0.1)</f>
        <v>40000</v>
      </c>
      <c r="N1220" s="113" t="str">
        <f>_xlfn.XLOOKUP(_xlfn.CONCAT(E1220,B1220),'Year Wise Master Dep Approach'!F:F,'Year Wise Master Dep Approach'!D:D)</f>
        <v>SLM</v>
      </c>
      <c r="O1220" s="113">
        <f>_xlfn.XLOOKUP(_xlfn.CONCAT(E1220,B1220),'Year Wise Master Dep Approach'!F:F,'Year Wise Master Dep Approach'!E:E)</f>
        <v>5</v>
      </c>
      <c r="P1220" s="114">
        <f>IFERROR(IF('FA Addition'!$N1220="WDV",1-('FA Addition'!$M1220/'FA Addition'!$L1220)^(1/'FA Addition'!$O1220),1/'FA Addition'!$O1220),0)</f>
        <v>0.2</v>
      </c>
      <c r="Q1220" s="122">
        <f>'FA Addition'!$P1220*'FA Addition'!$O1220</f>
        <v>1</v>
      </c>
      <c r="R1220" s="122"/>
      <c r="S1220" s="116">
        <f>IF(AND(DATE(20&amp;LEFT(FAAddition[[#This Row],[FY]],2),4,1)&lt;$L$1+1,DATE(20&amp;LEFT(FAAddition[[#This Row],[FY]],2),4,1)&gt;$P$1-1),'FA Addition'!$J1220,0)</f>
        <v>0</v>
      </c>
      <c r="U1220" s="117">
        <f>S1220*'FA Addition'!$L1220/'FA Addition'!$J1220</f>
        <v>0</v>
      </c>
      <c r="W1220" s="116">
        <f>SUMIFS('FA Write off'!D:D,'FA Write off'!A:A,'FA Addition'!$A1220,'FA Write off'!C:C,"&lt;"&amp;'FA Addition'!$P$1)</f>
        <v>0</v>
      </c>
      <c r="Y1220" s="191">
        <f>IFERROR(W1220/'FA Addition'!$J1220*'FA Addition'!$L1220,0)</f>
        <v>0</v>
      </c>
      <c r="AA1220" s="116">
        <f>SUMIFS('FA Write off'!D:D,'FA Write off'!A:A,'FA Addition'!$A1220,'FA Write off'!C:C,"&lt;"&amp;'FA Addition'!$L$1+1,'FA Write off'!C:C,"&gt;"&amp;'FA Addition'!$L$1-365)</f>
        <v>0</v>
      </c>
      <c r="AC1220" s="118">
        <f>IFERROR(AA1220/'FA Addition'!$J1220*'FA Addition'!$L1220,0)</f>
        <v>0</v>
      </c>
      <c r="AE1220" s="117">
        <f>IF(AND('FA Addition'!$D1220&lt;$P$1+1,U1220=0),'FA Addition'!$L1220,0)-Y1220</f>
        <v>0</v>
      </c>
      <c r="AF1220" s="117">
        <f t="shared" ref="AF1220:AF1283" si="95">AE1220+U1220-AC1220</f>
        <v>0</v>
      </c>
      <c r="AG1220" s="117">
        <f>MIN(MAX(+$P$1-'FA Addition'!$D1220,0),365*'FA Addition'!$O1220)</f>
        <v>0</v>
      </c>
      <c r="AH1220" s="117">
        <f>MIN(MAX($L$1-'FA Addition'!$D1220+1,0),365*'FA Addition'!$O1220)</f>
        <v>0</v>
      </c>
      <c r="AI1220" s="117" cm="1">
        <f t="array" ref="AI1220">_xlfn.XLOOKUP(1,('FA Write off'!A:A='FA Addition'!$A1220)*('FA Write off'!D:D=AA1220),'FA Write off'!H:H,0,0)</f>
        <v>0</v>
      </c>
      <c r="AJ1220" s="117">
        <f>IF(AC1220&gt;0,MAX(IF('FA Addition'!$N1220="SLM",($AC1220-'FA Addition'!$M1220)*'FA Addition'!$P1220*AI1220/365,(AC1220-'FA Addition'!$M1220)*(1-(1-'FA Addition'!$P1220)^(AI1220/365))),0),0)</f>
        <v>0</v>
      </c>
      <c r="AL1220" s="117">
        <f>MAX(IF(AG1220&gt;0,IF('FA Addition'!$N1220="SLM",($AE1220-'FA Addition'!$M1220)*'FA Addition'!$P1220*AG1220/365,IFERROR(VDB(AE1220,AE1220*0.05,'FA Addition'!$O1220,0,YEARFRAC('FA Addition'!$C1220,$P$1-1,3),'FA Addition'!$Q1220),FAAddition[[#This Row],[Original Cost (Rs)]]-FAAddition[[#This Row],[Salvage Value]])),0),0)</f>
        <v>0</v>
      </c>
      <c r="AM1220" s="119"/>
      <c r="AN1220" s="117">
        <f>MAX(IF(AH1220&gt;0,IF('FA Addition'!$N1220="SLM",($AF1220-'FA Addition'!$M1220)*'FA Addition'!$P1220*AH1220/365,IFERROR(VDB(AF1220,AF1220*0.05,'FA Addition'!$O1220,0,YEARFRAC('FA Addition'!$C1220,$L$1,3),'FA Addition'!$Q1220),FAAddition[[#This Row],[Original Cost (Rs)]]-FAAddition[[#This Row],[Salvage Value]])),0),0)</f>
        <v>0</v>
      </c>
      <c r="AO1220" s="117">
        <f t="shared" si="93"/>
        <v>0</v>
      </c>
      <c r="AQ1220" s="117">
        <f t="shared" ref="AQ1220:AQ1283" si="96">AE1220-AL1220</f>
        <v>0</v>
      </c>
      <c r="AR1220" s="120">
        <f t="shared" ref="AR1220:AR1283" si="97">AF1220-AN1220</f>
        <v>0</v>
      </c>
      <c r="AS1220" s="121"/>
    </row>
    <row r="1221" spans="1:45" ht="13.5" x14ac:dyDescent="0.4">
      <c r="A1221" s="12">
        <f t="shared" si="94"/>
        <v>1218</v>
      </c>
      <c r="B1221" s="64" t="s">
        <v>1758</v>
      </c>
      <c r="C1221" s="54">
        <v>45644</v>
      </c>
      <c r="D1221" s="54">
        <v>45649</v>
      </c>
      <c r="E1221" s="46" t="s">
        <v>1320</v>
      </c>
      <c r="F1221" s="51" t="s">
        <v>33</v>
      </c>
      <c r="G1221" s="51" t="s">
        <v>34</v>
      </c>
      <c r="H1221" s="51" t="s">
        <v>32</v>
      </c>
      <c r="I1221" s="55" t="s">
        <v>2003</v>
      </c>
      <c r="J1221" s="56">
        <v>1000</v>
      </c>
      <c r="K1221" s="51" t="s">
        <v>295</v>
      </c>
      <c r="L1221" s="58">
        <v>1665000</v>
      </c>
      <c r="M1221" s="50">
        <f>ROUND('FA Addition'!$L1221*5%,0.1)</f>
        <v>83250</v>
      </c>
      <c r="N1221" s="113" t="str">
        <f>_xlfn.XLOOKUP(_xlfn.CONCAT(E1221,B1221),'Year Wise Master Dep Approach'!F:F,'Year Wise Master Dep Approach'!D:D)</f>
        <v>SLM</v>
      </c>
      <c r="O1221" s="113">
        <f>_xlfn.XLOOKUP(_xlfn.CONCAT(E1221,B1221),'Year Wise Master Dep Approach'!F:F,'Year Wise Master Dep Approach'!E:E)</f>
        <v>5</v>
      </c>
      <c r="P1221" s="114">
        <f>IFERROR(IF('FA Addition'!$N1221="WDV",1-('FA Addition'!$M1221/'FA Addition'!$L1221)^(1/'FA Addition'!$O1221),1/'FA Addition'!$O1221),0)</f>
        <v>0.2</v>
      </c>
      <c r="Q1221" s="122">
        <f>'FA Addition'!$P1221*'FA Addition'!$O1221</f>
        <v>1</v>
      </c>
      <c r="R1221" s="122"/>
      <c r="S1221" s="116">
        <f>IF(AND(DATE(20&amp;LEFT(FAAddition[[#This Row],[FY]],2),4,1)&lt;$L$1+1,DATE(20&amp;LEFT(FAAddition[[#This Row],[FY]],2),4,1)&gt;$P$1-1),'FA Addition'!$J1221,0)</f>
        <v>0</v>
      </c>
      <c r="U1221" s="117">
        <f>S1221*'FA Addition'!$L1221/'FA Addition'!$J1221</f>
        <v>0</v>
      </c>
      <c r="W1221" s="116">
        <f>SUMIFS('FA Write off'!D:D,'FA Write off'!A:A,'FA Addition'!$A1221,'FA Write off'!C:C,"&lt;"&amp;'FA Addition'!$P$1)</f>
        <v>0</v>
      </c>
      <c r="Y1221" s="191">
        <f>IFERROR(W1221/'FA Addition'!$J1221*'FA Addition'!$L1221,0)</f>
        <v>0</v>
      </c>
      <c r="AA1221" s="116">
        <f>SUMIFS('FA Write off'!D:D,'FA Write off'!A:A,'FA Addition'!$A1221,'FA Write off'!C:C,"&lt;"&amp;'FA Addition'!$L$1+1,'FA Write off'!C:C,"&gt;"&amp;'FA Addition'!$L$1-365)</f>
        <v>0</v>
      </c>
      <c r="AC1221" s="118">
        <f>IFERROR(AA1221/'FA Addition'!$J1221*'FA Addition'!$L1221,0)</f>
        <v>0</v>
      </c>
      <c r="AE1221" s="117">
        <f>IF(AND('FA Addition'!$D1221&lt;$P$1+1,U1221=0),'FA Addition'!$L1221,0)-Y1221</f>
        <v>0</v>
      </c>
      <c r="AF1221" s="117">
        <f t="shared" si="95"/>
        <v>0</v>
      </c>
      <c r="AG1221" s="117">
        <f>MIN(MAX(+$P$1-'FA Addition'!$D1221,0),365*'FA Addition'!$O1221)</f>
        <v>0</v>
      </c>
      <c r="AH1221" s="117">
        <f>MIN(MAX($L$1-'FA Addition'!$D1221+1,0),365*'FA Addition'!$O1221)</f>
        <v>0</v>
      </c>
      <c r="AI1221" s="117" cm="1">
        <f t="array" ref="AI1221">_xlfn.XLOOKUP(1,('FA Write off'!A:A='FA Addition'!$A1221)*('FA Write off'!D:D=AA1221),'FA Write off'!H:H,0,0)</f>
        <v>0</v>
      </c>
      <c r="AJ1221" s="117">
        <f>IF(AC1221&gt;0,MAX(IF('FA Addition'!$N1221="SLM",($AC1221-'FA Addition'!$M1221)*'FA Addition'!$P1221*AI1221/365,(AC1221-'FA Addition'!$M1221)*(1-(1-'FA Addition'!$P1221)^(AI1221/365))),0),0)</f>
        <v>0</v>
      </c>
      <c r="AL1221" s="117">
        <f>MAX(IF(AG1221&gt;0,IF('FA Addition'!$N1221="SLM",($AE1221-'FA Addition'!$M1221)*'FA Addition'!$P1221*AG1221/365,IFERROR(VDB(AE1221,AE1221*0.05,'FA Addition'!$O1221,0,YEARFRAC('FA Addition'!$C1221,$P$1-1,3),'FA Addition'!$Q1221),FAAddition[[#This Row],[Original Cost (Rs)]]-FAAddition[[#This Row],[Salvage Value]])),0),0)</f>
        <v>0</v>
      </c>
      <c r="AM1221" s="119"/>
      <c r="AN1221" s="117">
        <f>MAX(IF(AH1221&gt;0,IF('FA Addition'!$N1221="SLM",($AF1221-'FA Addition'!$M1221)*'FA Addition'!$P1221*AH1221/365,IFERROR(VDB(AF1221,AF1221*0.05,'FA Addition'!$O1221,0,YEARFRAC('FA Addition'!$C1221,$L$1,3),'FA Addition'!$Q1221),FAAddition[[#This Row],[Original Cost (Rs)]]-FAAddition[[#This Row],[Salvage Value]])),0),0)</f>
        <v>0</v>
      </c>
      <c r="AO1221" s="117">
        <f t="shared" ref="AO1221:AO1284" si="98">AN1221-AL1221+AJ1221</f>
        <v>0</v>
      </c>
      <c r="AQ1221" s="117">
        <f t="shared" si="96"/>
        <v>0</v>
      </c>
      <c r="AR1221" s="120">
        <f t="shared" si="97"/>
        <v>0</v>
      </c>
      <c r="AS1221" s="121"/>
    </row>
    <row r="1222" spans="1:45" ht="13.5" x14ac:dyDescent="0.4">
      <c r="A1222" s="12">
        <f t="shared" ref="A1222:A1285" si="99">A1221+1</f>
        <v>1219</v>
      </c>
      <c r="B1222" s="64" t="s">
        <v>1758</v>
      </c>
      <c r="C1222" s="54">
        <v>45646</v>
      </c>
      <c r="D1222" s="54">
        <v>45649</v>
      </c>
      <c r="E1222" s="46" t="s">
        <v>1320</v>
      </c>
      <c r="F1222" s="51" t="s">
        <v>33</v>
      </c>
      <c r="G1222" s="51" t="s">
        <v>36</v>
      </c>
      <c r="H1222" s="51" t="s">
        <v>32</v>
      </c>
      <c r="I1222" s="55" t="s">
        <v>2004</v>
      </c>
      <c r="J1222" s="56">
        <v>1200</v>
      </c>
      <c r="K1222" s="51" t="s">
        <v>296</v>
      </c>
      <c r="L1222" s="58">
        <v>1920000</v>
      </c>
      <c r="M1222" s="50">
        <f>ROUND('FA Addition'!$L1222*5%,0.1)</f>
        <v>96000</v>
      </c>
      <c r="N1222" s="113" t="str">
        <f>_xlfn.XLOOKUP(_xlfn.CONCAT(E1222,B1222),'Year Wise Master Dep Approach'!F:F,'Year Wise Master Dep Approach'!D:D)</f>
        <v>SLM</v>
      </c>
      <c r="O1222" s="113">
        <f>_xlfn.XLOOKUP(_xlfn.CONCAT(E1222,B1222),'Year Wise Master Dep Approach'!F:F,'Year Wise Master Dep Approach'!E:E)</f>
        <v>5</v>
      </c>
      <c r="P1222" s="114">
        <f>IFERROR(IF('FA Addition'!$N1222="WDV",1-('FA Addition'!$M1222/'FA Addition'!$L1222)^(1/'FA Addition'!$O1222),1/'FA Addition'!$O1222),0)</f>
        <v>0.2</v>
      </c>
      <c r="Q1222" s="122">
        <f>'FA Addition'!$P1222*'FA Addition'!$O1222</f>
        <v>1</v>
      </c>
      <c r="R1222" s="122"/>
      <c r="S1222" s="116">
        <f>IF(AND(DATE(20&amp;LEFT(FAAddition[[#This Row],[FY]],2),4,1)&lt;$L$1+1,DATE(20&amp;LEFT(FAAddition[[#This Row],[FY]],2),4,1)&gt;$P$1-1),'FA Addition'!$J1222,0)</f>
        <v>0</v>
      </c>
      <c r="U1222" s="117">
        <f>S1222*'FA Addition'!$L1222/'FA Addition'!$J1222</f>
        <v>0</v>
      </c>
      <c r="W1222" s="116">
        <f>SUMIFS('FA Write off'!D:D,'FA Write off'!A:A,'FA Addition'!$A1222,'FA Write off'!C:C,"&lt;"&amp;'FA Addition'!$P$1)</f>
        <v>0</v>
      </c>
      <c r="Y1222" s="191">
        <f>IFERROR(W1222/'FA Addition'!$J1222*'FA Addition'!$L1222,0)</f>
        <v>0</v>
      </c>
      <c r="AA1222" s="116">
        <f>SUMIFS('FA Write off'!D:D,'FA Write off'!A:A,'FA Addition'!$A1222,'FA Write off'!C:C,"&lt;"&amp;'FA Addition'!$L$1+1,'FA Write off'!C:C,"&gt;"&amp;'FA Addition'!$L$1-365)</f>
        <v>0</v>
      </c>
      <c r="AC1222" s="118">
        <f>IFERROR(AA1222/'FA Addition'!$J1222*'FA Addition'!$L1222,0)</f>
        <v>0</v>
      </c>
      <c r="AE1222" s="117">
        <f>IF(AND('FA Addition'!$D1222&lt;$P$1+1,U1222=0),'FA Addition'!$L1222,0)-Y1222</f>
        <v>0</v>
      </c>
      <c r="AF1222" s="117">
        <f t="shared" si="95"/>
        <v>0</v>
      </c>
      <c r="AG1222" s="117">
        <f>MIN(MAX(+$P$1-'FA Addition'!$D1222,0),365*'FA Addition'!$O1222)</f>
        <v>0</v>
      </c>
      <c r="AH1222" s="117">
        <f>MIN(MAX($L$1-'FA Addition'!$D1222+1,0),365*'FA Addition'!$O1222)</f>
        <v>0</v>
      </c>
      <c r="AI1222" s="117" cm="1">
        <f t="array" ref="AI1222">_xlfn.XLOOKUP(1,('FA Write off'!A:A='FA Addition'!$A1222)*('FA Write off'!D:D=AA1222),'FA Write off'!H:H,0,0)</f>
        <v>0</v>
      </c>
      <c r="AJ1222" s="117">
        <f>IF(AC1222&gt;0,MAX(IF('FA Addition'!$N1222="SLM",($AC1222-'FA Addition'!$M1222)*'FA Addition'!$P1222*AI1222/365,(AC1222-'FA Addition'!$M1222)*(1-(1-'FA Addition'!$P1222)^(AI1222/365))),0),0)</f>
        <v>0</v>
      </c>
      <c r="AL1222" s="117">
        <f>MAX(IF(AG1222&gt;0,IF('FA Addition'!$N1222="SLM",($AE1222-'FA Addition'!$M1222)*'FA Addition'!$P1222*AG1222/365,IFERROR(VDB(AE1222,AE1222*0.05,'FA Addition'!$O1222,0,YEARFRAC('FA Addition'!$C1222,$P$1-1,3),'FA Addition'!$Q1222),FAAddition[[#This Row],[Original Cost (Rs)]]-FAAddition[[#This Row],[Salvage Value]])),0),0)</f>
        <v>0</v>
      </c>
      <c r="AM1222" s="119"/>
      <c r="AN1222" s="117">
        <f>MAX(IF(AH1222&gt;0,IF('FA Addition'!$N1222="SLM",($AF1222-'FA Addition'!$M1222)*'FA Addition'!$P1222*AH1222/365,IFERROR(VDB(AF1222,AF1222*0.05,'FA Addition'!$O1222,0,YEARFRAC('FA Addition'!$C1222,$L$1,3),'FA Addition'!$Q1222),FAAddition[[#This Row],[Original Cost (Rs)]]-FAAddition[[#This Row],[Salvage Value]])),0),0)</f>
        <v>0</v>
      </c>
      <c r="AO1222" s="117">
        <f t="shared" si="98"/>
        <v>0</v>
      </c>
      <c r="AQ1222" s="117">
        <f t="shared" si="96"/>
        <v>0</v>
      </c>
      <c r="AR1222" s="120">
        <f t="shared" si="97"/>
        <v>0</v>
      </c>
      <c r="AS1222" s="121"/>
    </row>
    <row r="1223" spans="1:45" ht="13.5" x14ac:dyDescent="0.4">
      <c r="A1223" s="12">
        <f t="shared" si="99"/>
        <v>1220</v>
      </c>
      <c r="B1223" s="64" t="s">
        <v>1758</v>
      </c>
      <c r="C1223" s="54">
        <v>45650</v>
      </c>
      <c r="D1223" s="54">
        <v>45650</v>
      </c>
      <c r="E1223" s="46" t="s">
        <v>1320</v>
      </c>
      <c r="F1223" s="51" t="s">
        <v>33</v>
      </c>
      <c r="G1223" s="51" t="s">
        <v>34</v>
      </c>
      <c r="H1223" s="51" t="s">
        <v>32</v>
      </c>
      <c r="I1223" s="55" t="s">
        <v>2005</v>
      </c>
      <c r="J1223" s="56">
        <v>1500</v>
      </c>
      <c r="K1223" s="51" t="s">
        <v>295</v>
      </c>
      <c r="L1223" s="58">
        <v>2497500</v>
      </c>
      <c r="M1223" s="50">
        <f>ROUND('FA Addition'!$L1223*5%,0.1)</f>
        <v>124875</v>
      </c>
      <c r="N1223" s="113" t="str">
        <f>_xlfn.XLOOKUP(_xlfn.CONCAT(E1223,B1223),'Year Wise Master Dep Approach'!F:F,'Year Wise Master Dep Approach'!D:D)</f>
        <v>SLM</v>
      </c>
      <c r="O1223" s="113">
        <f>_xlfn.XLOOKUP(_xlfn.CONCAT(E1223,B1223),'Year Wise Master Dep Approach'!F:F,'Year Wise Master Dep Approach'!E:E)</f>
        <v>5</v>
      </c>
      <c r="P1223" s="114">
        <f>IFERROR(IF('FA Addition'!$N1223="WDV",1-('FA Addition'!$M1223/'FA Addition'!$L1223)^(1/'FA Addition'!$O1223),1/'FA Addition'!$O1223),0)</f>
        <v>0.2</v>
      </c>
      <c r="Q1223" s="122">
        <f>'FA Addition'!$P1223*'FA Addition'!$O1223</f>
        <v>1</v>
      </c>
      <c r="R1223" s="122"/>
      <c r="S1223" s="116">
        <f>IF(AND(DATE(20&amp;LEFT(FAAddition[[#This Row],[FY]],2),4,1)&lt;$L$1+1,DATE(20&amp;LEFT(FAAddition[[#This Row],[FY]],2),4,1)&gt;$P$1-1),'FA Addition'!$J1223,0)</f>
        <v>0</v>
      </c>
      <c r="U1223" s="117">
        <f>S1223*'FA Addition'!$L1223/'FA Addition'!$J1223</f>
        <v>0</v>
      </c>
      <c r="W1223" s="116">
        <f>SUMIFS('FA Write off'!D:D,'FA Write off'!A:A,'FA Addition'!$A1223,'FA Write off'!C:C,"&lt;"&amp;'FA Addition'!$P$1)</f>
        <v>0</v>
      </c>
      <c r="Y1223" s="191">
        <f>IFERROR(W1223/'FA Addition'!$J1223*'FA Addition'!$L1223,0)</f>
        <v>0</v>
      </c>
      <c r="AA1223" s="116">
        <f>SUMIFS('FA Write off'!D:D,'FA Write off'!A:A,'FA Addition'!$A1223,'FA Write off'!C:C,"&lt;"&amp;'FA Addition'!$L$1+1,'FA Write off'!C:C,"&gt;"&amp;'FA Addition'!$L$1-365)</f>
        <v>0</v>
      </c>
      <c r="AC1223" s="118">
        <f>IFERROR(AA1223/'FA Addition'!$J1223*'FA Addition'!$L1223,0)</f>
        <v>0</v>
      </c>
      <c r="AE1223" s="117">
        <f>IF(AND('FA Addition'!$D1223&lt;$P$1+1,U1223=0),'FA Addition'!$L1223,0)-Y1223</f>
        <v>0</v>
      </c>
      <c r="AF1223" s="117">
        <f t="shared" si="95"/>
        <v>0</v>
      </c>
      <c r="AG1223" s="117">
        <f>MIN(MAX(+$P$1-'FA Addition'!$D1223,0),365*'FA Addition'!$O1223)</f>
        <v>0</v>
      </c>
      <c r="AH1223" s="117">
        <f>MIN(MAX($L$1-'FA Addition'!$D1223+1,0),365*'FA Addition'!$O1223)</f>
        <v>0</v>
      </c>
      <c r="AI1223" s="117" cm="1">
        <f t="array" ref="AI1223">_xlfn.XLOOKUP(1,('FA Write off'!A:A='FA Addition'!$A1223)*('FA Write off'!D:D=AA1223),'FA Write off'!H:H,0,0)</f>
        <v>0</v>
      </c>
      <c r="AJ1223" s="117">
        <f>IF(AC1223&gt;0,MAX(IF('FA Addition'!$N1223="SLM",($AC1223-'FA Addition'!$M1223)*'FA Addition'!$P1223*AI1223/365,(AC1223-'FA Addition'!$M1223)*(1-(1-'FA Addition'!$P1223)^(AI1223/365))),0),0)</f>
        <v>0</v>
      </c>
      <c r="AL1223" s="117">
        <f>MAX(IF(AG1223&gt;0,IF('FA Addition'!$N1223="SLM",($AE1223-'FA Addition'!$M1223)*'FA Addition'!$P1223*AG1223/365,IFERROR(VDB(AE1223,AE1223*0.05,'FA Addition'!$O1223,0,YEARFRAC('FA Addition'!$C1223,$P$1-1,3),'FA Addition'!$Q1223),FAAddition[[#This Row],[Original Cost (Rs)]]-FAAddition[[#This Row],[Salvage Value]])),0),0)</f>
        <v>0</v>
      </c>
      <c r="AM1223" s="119"/>
      <c r="AN1223" s="117">
        <f>MAX(IF(AH1223&gt;0,IF('FA Addition'!$N1223="SLM",($AF1223-'FA Addition'!$M1223)*'FA Addition'!$P1223*AH1223/365,IFERROR(VDB(AF1223,AF1223*0.05,'FA Addition'!$O1223,0,YEARFRAC('FA Addition'!$C1223,$L$1,3),'FA Addition'!$Q1223),FAAddition[[#This Row],[Original Cost (Rs)]]-FAAddition[[#This Row],[Salvage Value]])),0),0)</f>
        <v>0</v>
      </c>
      <c r="AO1223" s="117">
        <f t="shared" si="98"/>
        <v>0</v>
      </c>
      <c r="AQ1223" s="117">
        <f t="shared" si="96"/>
        <v>0</v>
      </c>
      <c r="AR1223" s="120">
        <f t="shared" si="97"/>
        <v>0</v>
      </c>
      <c r="AS1223" s="121"/>
    </row>
    <row r="1224" spans="1:45" ht="13.5" x14ac:dyDescent="0.4">
      <c r="A1224" s="12">
        <f t="shared" si="99"/>
        <v>1221</v>
      </c>
      <c r="B1224" s="64" t="s">
        <v>1758</v>
      </c>
      <c r="C1224" s="54">
        <v>45652</v>
      </c>
      <c r="D1224" s="54">
        <v>45652</v>
      </c>
      <c r="E1224" s="46" t="s">
        <v>1320</v>
      </c>
      <c r="F1224" s="51" t="s">
        <v>33</v>
      </c>
      <c r="G1224" s="51" t="s">
        <v>36</v>
      </c>
      <c r="H1224" s="51" t="s">
        <v>32</v>
      </c>
      <c r="I1224" s="55" t="s">
        <v>2006</v>
      </c>
      <c r="J1224" s="56">
        <v>1000</v>
      </c>
      <c r="K1224" s="51" t="s">
        <v>296</v>
      </c>
      <c r="L1224" s="58">
        <v>1600000</v>
      </c>
      <c r="M1224" s="50">
        <f>ROUND('FA Addition'!$L1224*5%,0.1)</f>
        <v>80000</v>
      </c>
      <c r="N1224" s="113" t="str">
        <f>_xlfn.XLOOKUP(_xlfn.CONCAT(E1224,B1224),'Year Wise Master Dep Approach'!F:F,'Year Wise Master Dep Approach'!D:D)</f>
        <v>SLM</v>
      </c>
      <c r="O1224" s="113">
        <f>_xlfn.XLOOKUP(_xlfn.CONCAT(E1224,B1224),'Year Wise Master Dep Approach'!F:F,'Year Wise Master Dep Approach'!E:E)</f>
        <v>5</v>
      </c>
      <c r="P1224" s="114">
        <f>IFERROR(IF('FA Addition'!$N1224="WDV",1-('FA Addition'!$M1224/'FA Addition'!$L1224)^(1/'FA Addition'!$O1224),1/'FA Addition'!$O1224),0)</f>
        <v>0.2</v>
      </c>
      <c r="Q1224" s="122">
        <f>'FA Addition'!$P1224*'FA Addition'!$O1224</f>
        <v>1</v>
      </c>
      <c r="R1224" s="122"/>
      <c r="S1224" s="116">
        <f>IF(AND(DATE(20&amp;LEFT(FAAddition[[#This Row],[FY]],2),4,1)&lt;$L$1+1,DATE(20&amp;LEFT(FAAddition[[#This Row],[FY]],2),4,1)&gt;$P$1-1),'FA Addition'!$J1224,0)</f>
        <v>0</v>
      </c>
      <c r="U1224" s="117">
        <f>S1224*'FA Addition'!$L1224/'FA Addition'!$J1224</f>
        <v>0</v>
      </c>
      <c r="W1224" s="116">
        <f>SUMIFS('FA Write off'!D:D,'FA Write off'!A:A,'FA Addition'!$A1224,'FA Write off'!C:C,"&lt;"&amp;'FA Addition'!$P$1)</f>
        <v>0</v>
      </c>
      <c r="Y1224" s="191">
        <f>IFERROR(W1224/'FA Addition'!$J1224*'FA Addition'!$L1224,0)</f>
        <v>0</v>
      </c>
      <c r="AA1224" s="116">
        <f>SUMIFS('FA Write off'!D:D,'FA Write off'!A:A,'FA Addition'!$A1224,'FA Write off'!C:C,"&lt;"&amp;'FA Addition'!$L$1+1,'FA Write off'!C:C,"&gt;"&amp;'FA Addition'!$L$1-365)</f>
        <v>0</v>
      </c>
      <c r="AC1224" s="118">
        <f>IFERROR(AA1224/'FA Addition'!$J1224*'FA Addition'!$L1224,0)</f>
        <v>0</v>
      </c>
      <c r="AE1224" s="117">
        <f>IF(AND('FA Addition'!$D1224&lt;$P$1+1,U1224=0),'FA Addition'!$L1224,0)-Y1224</f>
        <v>0</v>
      </c>
      <c r="AF1224" s="117">
        <f t="shared" si="95"/>
        <v>0</v>
      </c>
      <c r="AG1224" s="117">
        <f>MIN(MAX(+$P$1-'FA Addition'!$D1224,0),365*'FA Addition'!$O1224)</f>
        <v>0</v>
      </c>
      <c r="AH1224" s="117">
        <f>MIN(MAX($L$1-'FA Addition'!$D1224+1,0),365*'FA Addition'!$O1224)</f>
        <v>0</v>
      </c>
      <c r="AI1224" s="117" cm="1">
        <f t="array" ref="AI1224">_xlfn.XLOOKUP(1,('FA Write off'!A:A='FA Addition'!$A1224)*('FA Write off'!D:D=AA1224),'FA Write off'!H:H,0,0)</f>
        <v>0</v>
      </c>
      <c r="AJ1224" s="117">
        <f>IF(AC1224&gt;0,MAX(IF('FA Addition'!$N1224="SLM",($AC1224-'FA Addition'!$M1224)*'FA Addition'!$P1224*AI1224/365,(AC1224-'FA Addition'!$M1224)*(1-(1-'FA Addition'!$P1224)^(AI1224/365))),0),0)</f>
        <v>0</v>
      </c>
      <c r="AL1224" s="117">
        <f>MAX(IF(AG1224&gt;0,IF('FA Addition'!$N1224="SLM",($AE1224-'FA Addition'!$M1224)*'FA Addition'!$P1224*AG1224/365,IFERROR(VDB(AE1224,AE1224*0.05,'FA Addition'!$O1224,0,YEARFRAC('FA Addition'!$C1224,$P$1-1,3),'FA Addition'!$Q1224),FAAddition[[#This Row],[Original Cost (Rs)]]-FAAddition[[#This Row],[Salvage Value]])),0),0)</f>
        <v>0</v>
      </c>
      <c r="AM1224" s="119"/>
      <c r="AN1224" s="117">
        <f>MAX(IF(AH1224&gt;0,IF('FA Addition'!$N1224="SLM",($AF1224-'FA Addition'!$M1224)*'FA Addition'!$P1224*AH1224/365,IFERROR(VDB(AF1224,AF1224*0.05,'FA Addition'!$O1224,0,YEARFRAC('FA Addition'!$C1224,$L$1,3),'FA Addition'!$Q1224),FAAddition[[#This Row],[Original Cost (Rs)]]-FAAddition[[#This Row],[Salvage Value]])),0),0)</f>
        <v>0</v>
      </c>
      <c r="AO1224" s="117">
        <f t="shared" si="98"/>
        <v>0</v>
      </c>
      <c r="AQ1224" s="117">
        <f t="shared" si="96"/>
        <v>0</v>
      </c>
      <c r="AR1224" s="120">
        <f t="shared" si="97"/>
        <v>0</v>
      </c>
      <c r="AS1224" s="121"/>
    </row>
    <row r="1225" spans="1:45" ht="13.5" x14ac:dyDescent="0.4">
      <c r="A1225" s="12">
        <f t="shared" si="99"/>
        <v>1222</v>
      </c>
      <c r="B1225" s="64" t="s">
        <v>1758</v>
      </c>
      <c r="C1225" s="54">
        <v>45647</v>
      </c>
      <c r="D1225" s="54">
        <v>45654</v>
      </c>
      <c r="E1225" s="46" t="s">
        <v>749</v>
      </c>
      <c r="F1225" s="51" t="s">
        <v>74</v>
      </c>
      <c r="G1225" s="51" t="s">
        <v>2007</v>
      </c>
      <c r="H1225" s="51" t="s">
        <v>17</v>
      </c>
      <c r="I1225" s="55" t="s">
        <v>2008</v>
      </c>
      <c r="J1225" s="56">
        <v>1</v>
      </c>
      <c r="K1225" s="51" t="s">
        <v>2009</v>
      </c>
      <c r="L1225" s="58">
        <v>33000</v>
      </c>
      <c r="M1225" s="50">
        <f>ROUND('FA Addition'!$L1225*5%,0.1)</f>
        <v>1650</v>
      </c>
      <c r="N1225" s="113" t="str">
        <f>_xlfn.XLOOKUP(_xlfn.CONCAT(E1225,B1225),'Year Wise Master Dep Approach'!F:F,'Year Wise Master Dep Approach'!D:D)</f>
        <v>WDV</v>
      </c>
      <c r="O1225" s="113">
        <f>_xlfn.XLOOKUP(_xlfn.CONCAT(E1225,B1225),'Year Wise Master Dep Approach'!F:F,'Year Wise Master Dep Approach'!E:E)</f>
        <v>5</v>
      </c>
      <c r="P1225" s="114">
        <f>IFERROR(IF('FA Addition'!$N1225="WDV",1-('FA Addition'!$M1225/'FA Addition'!$L1225)^(1/'FA Addition'!$O1225),1/'FA Addition'!$O1225),0)</f>
        <v>0.45071972834694107</v>
      </c>
      <c r="Q1225" s="122">
        <f>'FA Addition'!$P1225*'FA Addition'!$O1225</f>
        <v>2.2535986417347056</v>
      </c>
      <c r="R1225" s="122"/>
      <c r="S1225" s="116">
        <f>IF(AND(DATE(20&amp;LEFT(FAAddition[[#This Row],[FY]],2),4,1)&lt;$L$1+1,DATE(20&amp;LEFT(FAAddition[[#This Row],[FY]],2),4,1)&gt;$P$1-1),'FA Addition'!$J1225,0)</f>
        <v>0</v>
      </c>
      <c r="U1225" s="117">
        <f>S1225*'FA Addition'!$L1225/'FA Addition'!$J1225</f>
        <v>0</v>
      </c>
      <c r="W1225" s="116">
        <f>SUMIFS('FA Write off'!D:D,'FA Write off'!A:A,'FA Addition'!$A1225,'FA Write off'!C:C,"&lt;"&amp;'FA Addition'!$P$1)</f>
        <v>0</v>
      </c>
      <c r="Y1225" s="191">
        <f>IFERROR(W1225/'FA Addition'!$J1225*'FA Addition'!$L1225,0)</f>
        <v>0</v>
      </c>
      <c r="AA1225" s="116">
        <f>SUMIFS('FA Write off'!D:D,'FA Write off'!A:A,'FA Addition'!$A1225,'FA Write off'!C:C,"&lt;"&amp;'FA Addition'!$L$1+1,'FA Write off'!C:C,"&gt;"&amp;'FA Addition'!$L$1-365)</f>
        <v>0</v>
      </c>
      <c r="AC1225" s="118">
        <f>IFERROR(AA1225/'FA Addition'!$J1225*'FA Addition'!$L1225,0)</f>
        <v>0</v>
      </c>
      <c r="AE1225" s="117">
        <f>IF(AND('FA Addition'!$D1225&lt;$P$1+1,U1225=0),'FA Addition'!$L1225,0)-Y1225</f>
        <v>0</v>
      </c>
      <c r="AF1225" s="117">
        <f t="shared" si="95"/>
        <v>0</v>
      </c>
      <c r="AG1225" s="117">
        <f>MIN(MAX(+$P$1-'FA Addition'!$D1225,0),365*'FA Addition'!$O1225)</f>
        <v>0</v>
      </c>
      <c r="AH1225" s="117">
        <f>MIN(MAX($L$1-'FA Addition'!$D1225+1,0),365*'FA Addition'!$O1225)</f>
        <v>0</v>
      </c>
      <c r="AI1225" s="117" cm="1">
        <f t="array" ref="AI1225">_xlfn.XLOOKUP(1,('FA Write off'!A:A='FA Addition'!$A1225)*('FA Write off'!D:D=AA1225),'FA Write off'!H:H,0,0)</f>
        <v>0</v>
      </c>
      <c r="AJ1225" s="117">
        <f>IF(AC1225&gt;0,MAX(IF('FA Addition'!$N1225="SLM",($AC1225-'FA Addition'!$M1225)*'FA Addition'!$P1225*AI1225/365,(AC1225-'FA Addition'!$M1225)*(1-(1-'FA Addition'!$P1225)^(AI1225/365))),0),0)</f>
        <v>0</v>
      </c>
      <c r="AL1225" s="117">
        <f>MAX(IF(AG1225&gt;0,IF('FA Addition'!$N1225="SLM",($AE1225-'FA Addition'!$M1225)*'FA Addition'!$P1225*AG1225/365,IFERROR(VDB(AE1225,AE1225*0.05,'FA Addition'!$O1225,0,YEARFRAC('FA Addition'!$C1225,$P$1-1,3),'FA Addition'!$Q1225),FAAddition[[#This Row],[Original Cost (Rs)]]-FAAddition[[#This Row],[Salvage Value]])),0),0)</f>
        <v>0</v>
      </c>
      <c r="AM1225" s="119"/>
      <c r="AN1225" s="117">
        <f>MAX(IF(AH1225&gt;0,IF('FA Addition'!$N1225="SLM",($AF1225-'FA Addition'!$M1225)*'FA Addition'!$P1225*AH1225/365,IFERROR(VDB(AF1225,AF1225*0.05,'FA Addition'!$O1225,0,YEARFRAC('FA Addition'!$C1225,$L$1,3),'FA Addition'!$Q1225),FAAddition[[#This Row],[Original Cost (Rs)]]-FAAddition[[#This Row],[Salvage Value]])),0),0)</f>
        <v>0</v>
      </c>
      <c r="AO1225" s="117">
        <f t="shared" si="98"/>
        <v>0</v>
      </c>
      <c r="AQ1225" s="117">
        <f t="shared" si="96"/>
        <v>0</v>
      </c>
      <c r="AR1225" s="120">
        <f t="shared" si="97"/>
        <v>0</v>
      </c>
      <c r="AS1225" s="121"/>
    </row>
    <row r="1226" spans="1:45" ht="13.5" x14ac:dyDescent="0.4">
      <c r="A1226" s="12">
        <f t="shared" si="99"/>
        <v>1223</v>
      </c>
      <c r="B1226" s="64" t="s">
        <v>1758</v>
      </c>
      <c r="C1226" s="54">
        <v>45647</v>
      </c>
      <c r="D1226" s="54">
        <v>45654</v>
      </c>
      <c r="E1226" s="46" t="s">
        <v>749</v>
      </c>
      <c r="F1226" s="51" t="s">
        <v>74</v>
      </c>
      <c r="G1226" s="51" t="s">
        <v>2007</v>
      </c>
      <c r="H1226" s="51" t="s">
        <v>2010</v>
      </c>
      <c r="I1226" s="55" t="s">
        <v>2008</v>
      </c>
      <c r="J1226" s="56">
        <v>1</v>
      </c>
      <c r="K1226" s="51" t="s">
        <v>2011</v>
      </c>
      <c r="L1226" s="58">
        <v>31000</v>
      </c>
      <c r="M1226" s="50">
        <f>ROUND('FA Addition'!$L1226*5%,0.1)</f>
        <v>1550</v>
      </c>
      <c r="N1226" s="113" t="str">
        <f>_xlfn.XLOOKUP(_xlfn.CONCAT(E1226,B1226),'Year Wise Master Dep Approach'!F:F,'Year Wise Master Dep Approach'!D:D)</f>
        <v>WDV</v>
      </c>
      <c r="O1226" s="113">
        <f>_xlfn.XLOOKUP(_xlfn.CONCAT(E1226,B1226),'Year Wise Master Dep Approach'!F:F,'Year Wise Master Dep Approach'!E:E)</f>
        <v>5</v>
      </c>
      <c r="P1226" s="114">
        <f>IFERROR(IF('FA Addition'!$N1226="WDV",1-('FA Addition'!$M1226/'FA Addition'!$L1226)^(1/'FA Addition'!$O1226),1/'FA Addition'!$O1226),0)</f>
        <v>0.45071972834694107</v>
      </c>
      <c r="Q1226" s="122">
        <f>'FA Addition'!$P1226*'FA Addition'!$O1226</f>
        <v>2.2535986417347056</v>
      </c>
      <c r="R1226" s="122"/>
      <c r="S1226" s="116">
        <f>IF(AND(DATE(20&amp;LEFT(FAAddition[[#This Row],[FY]],2),4,1)&lt;$L$1+1,DATE(20&amp;LEFT(FAAddition[[#This Row],[FY]],2),4,1)&gt;$P$1-1),'FA Addition'!$J1226,0)</f>
        <v>0</v>
      </c>
      <c r="U1226" s="117">
        <f>S1226*'FA Addition'!$L1226/'FA Addition'!$J1226</f>
        <v>0</v>
      </c>
      <c r="W1226" s="116">
        <f>SUMIFS('FA Write off'!D:D,'FA Write off'!A:A,'FA Addition'!$A1226,'FA Write off'!C:C,"&lt;"&amp;'FA Addition'!$P$1)</f>
        <v>0</v>
      </c>
      <c r="Y1226" s="191">
        <f>IFERROR(W1226/'FA Addition'!$J1226*'FA Addition'!$L1226,0)</f>
        <v>0</v>
      </c>
      <c r="AA1226" s="116">
        <f>SUMIFS('FA Write off'!D:D,'FA Write off'!A:A,'FA Addition'!$A1226,'FA Write off'!C:C,"&lt;"&amp;'FA Addition'!$L$1+1,'FA Write off'!C:C,"&gt;"&amp;'FA Addition'!$L$1-365)</f>
        <v>0</v>
      </c>
      <c r="AC1226" s="118">
        <f>IFERROR(AA1226/'FA Addition'!$J1226*'FA Addition'!$L1226,0)</f>
        <v>0</v>
      </c>
      <c r="AE1226" s="117">
        <f>IF(AND('FA Addition'!$D1226&lt;$P$1+1,U1226=0),'FA Addition'!$L1226,0)-Y1226</f>
        <v>0</v>
      </c>
      <c r="AF1226" s="117">
        <f t="shared" si="95"/>
        <v>0</v>
      </c>
      <c r="AG1226" s="117">
        <f>MIN(MAX(+$P$1-'FA Addition'!$D1226,0),365*'FA Addition'!$O1226)</f>
        <v>0</v>
      </c>
      <c r="AH1226" s="117">
        <f>MIN(MAX($L$1-'FA Addition'!$D1226+1,0),365*'FA Addition'!$O1226)</f>
        <v>0</v>
      </c>
      <c r="AI1226" s="117" cm="1">
        <f t="array" ref="AI1226">_xlfn.XLOOKUP(1,('FA Write off'!A:A='FA Addition'!$A1226)*('FA Write off'!D:D=AA1226),'FA Write off'!H:H,0,0)</f>
        <v>0</v>
      </c>
      <c r="AJ1226" s="117">
        <f>IF(AC1226&gt;0,MAX(IF('FA Addition'!$N1226="SLM",($AC1226-'FA Addition'!$M1226)*'FA Addition'!$P1226*AI1226/365,(AC1226-'FA Addition'!$M1226)*(1-(1-'FA Addition'!$P1226)^(AI1226/365))),0),0)</f>
        <v>0</v>
      </c>
      <c r="AL1226" s="117">
        <f>MAX(IF(AG1226&gt;0,IF('FA Addition'!$N1226="SLM",($AE1226-'FA Addition'!$M1226)*'FA Addition'!$P1226*AG1226/365,IFERROR(VDB(AE1226,AE1226*0.05,'FA Addition'!$O1226,0,YEARFRAC('FA Addition'!$C1226,$P$1-1,3),'FA Addition'!$Q1226),FAAddition[[#This Row],[Original Cost (Rs)]]-FAAddition[[#This Row],[Salvage Value]])),0),0)</f>
        <v>0</v>
      </c>
      <c r="AM1226" s="119"/>
      <c r="AN1226" s="117">
        <f>MAX(IF(AH1226&gt;0,IF('FA Addition'!$N1226="SLM",($AF1226-'FA Addition'!$M1226)*'FA Addition'!$P1226*AH1226/365,IFERROR(VDB(AF1226,AF1226*0.05,'FA Addition'!$O1226,0,YEARFRAC('FA Addition'!$C1226,$L$1,3),'FA Addition'!$Q1226),FAAddition[[#This Row],[Original Cost (Rs)]]-FAAddition[[#This Row],[Salvage Value]])),0),0)</f>
        <v>0</v>
      </c>
      <c r="AO1226" s="117">
        <f t="shared" si="98"/>
        <v>0</v>
      </c>
      <c r="AQ1226" s="117">
        <f t="shared" si="96"/>
        <v>0</v>
      </c>
      <c r="AR1226" s="120">
        <f t="shared" si="97"/>
        <v>0</v>
      </c>
      <c r="AS1226" s="121"/>
    </row>
    <row r="1227" spans="1:45" ht="13.5" x14ac:dyDescent="0.4">
      <c r="A1227" s="12">
        <f t="shared" si="99"/>
        <v>1224</v>
      </c>
      <c r="B1227" s="64" t="s">
        <v>1758</v>
      </c>
      <c r="C1227" s="54">
        <v>45647</v>
      </c>
      <c r="D1227" s="54">
        <v>45654</v>
      </c>
      <c r="E1227" s="46" t="s">
        <v>749</v>
      </c>
      <c r="F1227" s="51" t="s">
        <v>74</v>
      </c>
      <c r="G1227" s="51" t="s">
        <v>2007</v>
      </c>
      <c r="H1227" s="51" t="s">
        <v>2010</v>
      </c>
      <c r="I1227" s="55" t="s">
        <v>2008</v>
      </c>
      <c r="J1227" s="56">
        <v>1</v>
      </c>
      <c r="K1227" s="51" t="s">
        <v>2012</v>
      </c>
      <c r="L1227" s="58">
        <v>12500</v>
      </c>
      <c r="M1227" s="50">
        <f>ROUND('FA Addition'!$L1227*5%,0.1)</f>
        <v>625</v>
      </c>
      <c r="N1227" s="113" t="str">
        <f>_xlfn.XLOOKUP(_xlfn.CONCAT(E1227,B1227),'Year Wise Master Dep Approach'!F:F,'Year Wise Master Dep Approach'!D:D)</f>
        <v>WDV</v>
      </c>
      <c r="O1227" s="113">
        <f>_xlfn.XLOOKUP(_xlfn.CONCAT(E1227,B1227),'Year Wise Master Dep Approach'!F:F,'Year Wise Master Dep Approach'!E:E)</f>
        <v>5</v>
      </c>
      <c r="P1227" s="114">
        <f>IFERROR(IF('FA Addition'!$N1227="WDV",1-('FA Addition'!$M1227/'FA Addition'!$L1227)^(1/'FA Addition'!$O1227),1/'FA Addition'!$O1227),0)</f>
        <v>0.45071972834694107</v>
      </c>
      <c r="Q1227" s="122">
        <f>'FA Addition'!$P1227*'FA Addition'!$O1227</f>
        <v>2.2535986417347056</v>
      </c>
      <c r="R1227" s="122"/>
      <c r="S1227" s="116">
        <f>IF(AND(DATE(20&amp;LEFT(FAAddition[[#This Row],[FY]],2),4,1)&lt;$L$1+1,DATE(20&amp;LEFT(FAAddition[[#This Row],[FY]],2),4,1)&gt;$P$1-1),'FA Addition'!$J1227,0)</f>
        <v>0</v>
      </c>
      <c r="U1227" s="117">
        <f>S1227*'FA Addition'!$L1227/'FA Addition'!$J1227</f>
        <v>0</v>
      </c>
      <c r="W1227" s="116">
        <f>SUMIFS('FA Write off'!D:D,'FA Write off'!A:A,'FA Addition'!$A1227,'FA Write off'!C:C,"&lt;"&amp;'FA Addition'!$P$1)</f>
        <v>0</v>
      </c>
      <c r="Y1227" s="191">
        <f>IFERROR(W1227/'FA Addition'!$J1227*'FA Addition'!$L1227,0)</f>
        <v>0</v>
      </c>
      <c r="AA1227" s="116">
        <f>SUMIFS('FA Write off'!D:D,'FA Write off'!A:A,'FA Addition'!$A1227,'FA Write off'!C:C,"&lt;"&amp;'FA Addition'!$L$1+1,'FA Write off'!C:C,"&gt;"&amp;'FA Addition'!$L$1-365)</f>
        <v>0</v>
      </c>
      <c r="AC1227" s="118">
        <f>IFERROR(AA1227/'FA Addition'!$J1227*'FA Addition'!$L1227,0)</f>
        <v>0</v>
      </c>
      <c r="AE1227" s="117">
        <f>IF(AND('FA Addition'!$D1227&lt;$P$1+1,U1227=0),'FA Addition'!$L1227,0)-Y1227</f>
        <v>0</v>
      </c>
      <c r="AF1227" s="117">
        <f t="shared" si="95"/>
        <v>0</v>
      </c>
      <c r="AG1227" s="117">
        <f>MIN(MAX(+$P$1-'FA Addition'!$D1227,0),365*'FA Addition'!$O1227)</f>
        <v>0</v>
      </c>
      <c r="AH1227" s="117">
        <f>MIN(MAX($L$1-'FA Addition'!$D1227+1,0),365*'FA Addition'!$O1227)</f>
        <v>0</v>
      </c>
      <c r="AI1227" s="117" cm="1">
        <f t="array" ref="AI1227">_xlfn.XLOOKUP(1,('FA Write off'!A:A='FA Addition'!$A1227)*('FA Write off'!D:D=AA1227),'FA Write off'!H:H,0,0)</f>
        <v>0</v>
      </c>
      <c r="AJ1227" s="117">
        <f>IF(AC1227&gt;0,MAX(IF('FA Addition'!$N1227="SLM",($AC1227-'FA Addition'!$M1227)*'FA Addition'!$P1227*AI1227/365,(AC1227-'FA Addition'!$M1227)*(1-(1-'FA Addition'!$P1227)^(AI1227/365))),0),0)</f>
        <v>0</v>
      </c>
      <c r="AL1227" s="117">
        <f>MAX(IF(AG1227&gt;0,IF('FA Addition'!$N1227="SLM",($AE1227-'FA Addition'!$M1227)*'FA Addition'!$P1227*AG1227/365,IFERROR(VDB(AE1227,AE1227*0.05,'FA Addition'!$O1227,0,YEARFRAC('FA Addition'!$C1227,$P$1-1,3),'FA Addition'!$Q1227),FAAddition[[#This Row],[Original Cost (Rs)]]-FAAddition[[#This Row],[Salvage Value]])),0),0)</f>
        <v>0</v>
      </c>
      <c r="AM1227" s="119"/>
      <c r="AN1227" s="117">
        <f>MAX(IF(AH1227&gt;0,IF('FA Addition'!$N1227="SLM",($AF1227-'FA Addition'!$M1227)*'FA Addition'!$P1227*AH1227/365,IFERROR(VDB(AF1227,AF1227*0.05,'FA Addition'!$O1227,0,YEARFRAC('FA Addition'!$C1227,$L$1,3),'FA Addition'!$Q1227),FAAddition[[#This Row],[Original Cost (Rs)]]-FAAddition[[#This Row],[Salvage Value]])),0),0)</f>
        <v>0</v>
      </c>
      <c r="AO1227" s="117">
        <f t="shared" si="98"/>
        <v>0</v>
      </c>
      <c r="AQ1227" s="117">
        <f t="shared" si="96"/>
        <v>0</v>
      </c>
      <c r="AR1227" s="120">
        <f t="shared" si="97"/>
        <v>0</v>
      </c>
      <c r="AS1227" s="121"/>
    </row>
    <row r="1228" spans="1:45" ht="13.5" x14ac:dyDescent="0.4">
      <c r="A1228" s="12">
        <f t="shared" si="99"/>
        <v>1225</v>
      </c>
      <c r="B1228" s="64" t="s">
        <v>1758</v>
      </c>
      <c r="C1228" s="54">
        <v>45654</v>
      </c>
      <c r="D1228" s="54">
        <v>45656</v>
      </c>
      <c r="E1228" s="46" t="s">
        <v>1320</v>
      </c>
      <c r="F1228" s="51" t="s">
        <v>33</v>
      </c>
      <c r="G1228" s="51" t="s">
        <v>34</v>
      </c>
      <c r="H1228" s="51" t="s">
        <v>32</v>
      </c>
      <c r="I1228" s="55" t="s">
        <v>2013</v>
      </c>
      <c r="J1228" s="56">
        <v>1500</v>
      </c>
      <c r="K1228" s="51" t="s">
        <v>295</v>
      </c>
      <c r="L1228" s="58">
        <v>2497500</v>
      </c>
      <c r="M1228" s="50">
        <f>ROUND('FA Addition'!$L1228*5%,0.1)</f>
        <v>124875</v>
      </c>
      <c r="N1228" s="113" t="str">
        <f>_xlfn.XLOOKUP(_xlfn.CONCAT(E1228,B1228),'Year Wise Master Dep Approach'!F:F,'Year Wise Master Dep Approach'!D:D)</f>
        <v>SLM</v>
      </c>
      <c r="O1228" s="113">
        <f>_xlfn.XLOOKUP(_xlfn.CONCAT(E1228,B1228),'Year Wise Master Dep Approach'!F:F,'Year Wise Master Dep Approach'!E:E)</f>
        <v>5</v>
      </c>
      <c r="P1228" s="114">
        <f>IFERROR(IF('FA Addition'!$N1228="WDV",1-('FA Addition'!$M1228/'FA Addition'!$L1228)^(1/'FA Addition'!$O1228),1/'FA Addition'!$O1228),0)</f>
        <v>0.2</v>
      </c>
      <c r="Q1228" s="122">
        <f>'FA Addition'!$P1228*'FA Addition'!$O1228</f>
        <v>1</v>
      </c>
      <c r="R1228" s="122"/>
      <c r="S1228" s="116">
        <f>IF(AND(DATE(20&amp;LEFT(FAAddition[[#This Row],[FY]],2),4,1)&lt;$L$1+1,DATE(20&amp;LEFT(FAAddition[[#This Row],[FY]],2),4,1)&gt;$P$1-1),'FA Addition'!$J1228,0)</f>
        <v>0</v>
      </c>
      <c r="U1228" s="117">
        <f>S1228*'FA Addition'!$L1228/'FA Addition'!$J1228</f>
        <v>0</v>
      </c>
      <c r="W1228" s="116">
        <f>SUMIFS('FA Write off'!D:D,'FA Write off'!A:A,'FA Addition'!$A1228,'FA Write off'!C:C,"&lt;"&amp;'FA Addition'!$P$1)</f>
        <v>0</v>
      </c>
      <c r="Y1228" s="191">
        <f>IFERROR(W1228/'FA Addition'!$J1228*'FA Addition'!$L1228,0)</f>
        <v>0</v>
      </c>
      <c r="AA1228" s="116">
        <f>SUMIFS('FA Write off'!D:D,'FA Write off'!A:A,'FA Addition'!$A1228,'FA Write off'!C:C,"&lt;"&amp;'FA Addition'!$L$1+1,'FA Write off'!C:C,"&gt;"&amp;'FA Addition'!$L$1-365)</f>
        <v>0</v>
      </c>
      <c r="AC1228" s="118">
        <f>IFERROR(AA1228/'FA Addition'!$J1228*'FA Addition'!$L1228,0)</f>
        <v>0</v>
      </c>
      <c r="AE1228" s="117">
        <f>IF(AND('FA Addition'!$D1228&lt;$P$1+1,U1228=0),'FA Addition'!$L1228,0)-Y1228</f>
        <v>0</v>
      </c>
      <c r="AF1228" s="117">
        <f t="shared" si="95"/>
        <v>0</v>
      </c>
      <c r="AG1228" s="117">
        <f>MIN(MAX(+$P$1-'FA Addition'!$D1228,0),365*'FA Addition'!$O1228)</f>
        <v>0</v>
      </c>
      <c r="AH1228" s="117">
        <f>MIN(MAX($L$1-'FA Addition'!$D1228+1,0),365*'FA Addition'!$O1228)</f>
        <v>0</v>
      </c>
      <c r="AI1228" s="117" cm="1">
        <f t="array" ref="AI1228">_xlfn.XLOOKUP(1,('FA Write off'!A:A='FA Addition'!$A1228)*('FA Write off'!D:D=AA1228),'FA Write off'!H:H,0,0)</f>
        <v>0</v>
      </c>
      <c r="AJ1228" s="117">
        <f>IF(AC1228&gt;0,MAX(IF('FA Addition'!$N1228="SLM",($AC1228-'FA Addition'!$M1228)*'FA Addition'!$P1228*AI1228/365,(AC1228-'FA Addition'!$M1228)*(1-(1-'FA Addition'!$P1228)^(AI1228/365))),0),0)</f>
        <v>0</v>
      </c>
      <c r="AL1228" s="117">
        <f>MAX(IF(AG1228&gt;0,IF('FA Addition'!$N1228="SLM",($AE1228-'FA Addition'!$M1228)*'FA Addition'!$P1228*AG1228/365,IFERROR(VDB(AE1228,AE1228*0.05,'FA Addition'!$O1228,0,YEARFRAC('FA Addition'!$C1228,$P$1-1,3),'FA Addition'!$Q1228),FAAddition[[#This Row],[Original Cost (Rs)]]-FAAddition[[#This Row],[Salvage Value]])),0),0)</f>
        <v>0</v>
      </c>
      <c r="AM1228" s="119"/>
      <c r="AN1228" s="117">
        <f>MAX(IF(AH1228&gt;0,IF('FA Addition'!$N1228="SLM",($AF1228-'FA Addition'!$M1228)*'FA Addition'!$P1228*AH1228/365,IFERROR(VDB(AF1228,AF1228*0.05,'FA Addition'!$O1228,0,YEARFRAC('FA Addition'!$C1228,$L$1,3),'FA Addition'!$Q1228),FAAddition[[#This Row],[Original Cost (Rs)]]-FAAddition[[#This Row],[Salvage Value]])),0),0)</f>
        <v>0</v>
      </c>
      <c r="AO1228" s="117">
        <f t="shared" si="98"/>
        <v>0</v>
      </c>
      <c r="AQ1228" s="117">
        <f t="shared" si="96"/>
        <v>0</v>
      </c>
      <c r="AR1228" s="120">
        <f t="shared" si="97"/>
        <v>0</v>
      </c>
      <c r="AS1228" s="121"/>
    </row>
    <row r="1229" spans="1:45" ht="13.5" x14ac:dyDescent="0.4">
      <c r="A1229" s="12">
        <f t="shared" si="99"/>
        <v>1226</v>
      </c>
      <c r="B1229" s="64" t="s">
        <v>1758</v>
      </c>
      <c r="C1229" s="54">
        <v>45647</v>
      </c>
      <c r="D1229" s="54">
        <v>45656</v>
      </c>
      <c r="E1229" s="46" t="s">
        <v>1320</v>
      </c>
      <c r="F1229" s="51" t="s">
        <v>33</v>
      </c>
      <c r="G1229" s="51" t="s">
        <v>34</v>
      </c>
      <c r="H1229" s="51" t="s">
        <v>32</v>
      </c>
      <c r="I1229" s="55" t="s">
        <v>2014</v>
      </c>
      <c r="J1229" s="56">
        <v>300</v>
      </c>
      <c r="K1229" s="51" t="s">
        <v>295</v>
      </c>
      <c r="L1229" s="58">
        <v>499500</v>
      </c>
      <c r="M1229" s="50">
        <f>ROUND('FA Addition'!$L1229*5%,0.1)</f>
        <v>24975</v>
      </c>
      <c r="N1229" s="113" t="str">
        <f>_xlfn.XLOOKUP(_xlfn.CONCAT(E1229,B1229),'Year Wise Master Dep Approach'!F:F,'Year Wise Master Dep Approach'!D:D)</f>
        <v>SLM</v>
      </c>
      <c r="O1229" s="113">
        <f>_xlfn.XLOOKUP(_xlfn.CONCAT(E1229,B1229),'Year Wise Master Dep Approach'!F:F,'Year Wise Master Dep Approach'!E:E)</f>
        <v>5</v>
      </c>
      <c r="P1229" s="114">
        <f>IFERROR(IF('FA Addition'!$N1229="WDV",1-('FA Addition'!$M1229/'FA Addition'!$L1229)^(1/'FA Addition'!$O1229),1/'FA Addition'!$O1229),0)</f>
        <v>0.2</v>
      </c>
      <c r="Q1229" s="122">
        <f>'FA Addition'!$P1229*'FA Addition'!$O1229</f>
        <v>1</v>
      </c>
      <c r="R1229" s="122"/>
      <c r="S1229" s="116">
        <f>IF(AND(DATE(20&amp;LEFT(FAAddition[[#This Row],[FY]],2),4,1)&lt;$L$1+1,DATE(20&amp;LEFT(FAAddition[[#This Row],[FY]],2),4,1)&gt;$P$1-1),'FA Addition'!$J1229,0)</f>
        <v>0</v>
      </c>
      <c r="U1229" s="117">
        <f>S1229*'FA Addition'!$L1229/'FA Addition'!$J1229</f>
        <v>0</v>
      </c>
      <c r="W1229" s="116">
        <f>SUMIFS('FA Write off'!D:D,'FA Write off'!A:A,'FA Addition'!$A1229,'FA Write off'!C:C,"&lt;"&amp;'FA Addition'!$P$1)</f>
        <v>0</v>
      </c>
      <c r="Y1229" s="191">
        <f>IFERROR(W1229/'FA Addition'!$J1229*'FA Addition'!$L1229,0)</f>
        <v>0</v>
      </c>
      <c r="AA1229" s="116">
        <f>SUMIFS('FA Write off'!D:D,'FA Write off'!A:A,'FA Addition'!$A1229,'FA Write off'!C:C,"&lt;"&amp;'FA Addition'!$L$1+1,'FA Write off'!C:C,"&gt;"&amp;'FA Addition'!$L$1-365)</f>
        <v>0</v>
      </c>
      <c r="AC1229" s="118">
        <f>IFERROR(AA1229/'FA Addition'!$J1229*'FA Addition'!$L1229,0)</f>
        <v>0</v>
      </c>
      <c r="AE1229" s="117">
        <f>IF(AND('FA Addition'!$D1229&lt;$P$1+1,U1229=0),'FA Addition'!$L1229,0)-Y1229</f>
        <v>0</v>
      </c>
      <c r="AF1229" s="117">
        <f t="shared" si="95"/>
        <v>0</v>
      </c>
      <c r="AG1229" s="117">
        <f>MIN(MAX(+$P$1-'FA Addition'!$D1229,0),365*'FA Addition'!$O1229)</f>
        <v>0</v>
      </c>
      <c r="AH1229" s="117">
        <f>MIN(MAX($L$1-'FA Addition'!$D1229+1,0),365*'FA Addition'!$O1229)</f>
        <v>0</v>
      </c>
      <c r="AI1229" s="117" cm="1">
        <f t="array" ref="AI1229">_xlfn.XLOOKUP(1,('FA Write off'!A:A='FA Addition'!$A1229)*('FA Write off'!D:D=AA1229),'FA Write off'!H:H,0,0)</f>
        <v>0</v>
      </c>
      <c r="AJ1229" s="117">
        <f>IF(AC1229&gt;0,MAX(IF('FA Addition'!$N1229="SLM",($AC1229-'FA Addition'!$M1229)*'FA Addition'!$P1229*AI1229/365,(AC1229-'FA Addition'!$M1229)*(1-(1-'FA Addition'!$P1229)^(AI1229/365))),0),0)</f>
        <v>0</v>
      </c>
      <c r="AL1229" s="117">
        <f>MAX(IF(AG1229&gt;0,IF('FA Addition'!$N1229="SLM",($AE1229-'FA Addition'!$M1229)*'FA Addition'!$P1229*AG1229/365,IFERROR(VDB(AE1229,AE1229*0.05,'FA Addition'!$O1229,0,YEARFRAC('FA Addition'!$C1229,$P$1-1,3),'FA Addition'!$Q1229),FAAddition[[#This Row],[Original Cost (Rs)]]-FAAddition[[#This Row],[Salvage Value]])),0),0)</f>
        <v>0</v>
      </c>
      <c r="AM1229" s="119"/>
      <c r="AN1229" s="117">
        <f>MAX(IF(AH1229&gt;0,IF('FA Addition'!$N1229="SLM",($AF1229-'FA Addition'!$M1229)*'FA Addition'!$P1229*AH1229/365,IFERROR(VDB(AF1229,AF1229*0.05,'FA Addition'!$O1229,0,YEARFRAC('FA Addition'!$C1229,$L$1,3),'FA Addition'!$Q1229),FAAddition[[#This Row],[Original Cost (Rs)]]-FAAddition[[#This Row],[Salvage Value]])),0),0)</f>
        <v>0</v>
      </c>
      <c r="AO1229" s="117">
        <f t="shared" si="98"/>
        <v>0</v>
      </c>
      <c r="AQ1229" s="117">
        <f t="shared" si="96"/>
        <v>0</v>
      </c>
      <c r="AR1229" s="120">
        <f t="shared" si="97"/>
        <v>0</v>
      </c>
      <c r="AS1229" s="121"/>
    </row>
    <row r="1230" spans="1:45" ht="13.5" x14ac:dyDescent="0.4">
      <c r="A1230" s="12">
        <f t="shared" si="99"/>
        <v>1227</v>
      </c>
      <c r="B1230" s="64" t="s">
        <v>1758</v>
      </c>
      <c r="C1230" s="54">
        <v>45656</v>
      </c>
      <c r="D1230" s="54">
        <v>45659</v>
      </c>
      <c r="E1230" s="46" t="s">
        <v>1320</v>
      </c>
      <c r="F1230" s="51" t="s">
        <v>33</v>
      </c>
      <c r="G1230" s="51" t="s">
        <v>36</v>
      </c>
      <c r="H1230" s="51" t="s">
        <v>32</v>
      </c>
      <c r="I1230" s="55" t="s">
        <v>2015</v>
      </c>
      <c r="J1230" s="56">
        <v>600</v>
      </c>
      <c r="K1230" s="51" t="s">
        <v>296</v>
      </c>
      <c r="L1230" s="58">
        <v>960000</v>
      </c>
      <c r="M1230" s="50">
        <f>ROUND('FA Addition'!$L1230*5%,0.1)</f>
        <v>48000</v>
      </c>
      <c r="N1230" s="113" t="str">
        <f>_xlfn.XLOOKUP(_xlfn.CONCAT(E1230,B1230),'Year Wise Master Dep Approach'!F:F,'Year Wise Master Dep Approach'!D:D)</f>
        <v>SLM</v>
      </c>
      <c r="O1230" s="113">
        <f>_xlfn.XLOOKUP(_xlfn.CONCAT(E1230,B1230),'Year Wise Master Dep Approach'!F:F,'Year Wise Master Dep Approach'!E:E)</f>
        <v>5</v>
      </c>
      <c r="P1230" s="114">
        <f>IFERROR(IF('FA Addition'!$N1230="WDV",1-('FA Addition'!$M1230/'FA Addition'!$L1230)^(1/'FA Addition'!$O1230),1/'FA Addition'!$O1230),0)</f>
        <v>0.2</v>
      </c>
      <c r="Q1230" s="122">
        <f>'FA Addition'!$P1230*'FA Addition'!$O1230</f>
        <v>1</v>
      </c>
      <c r="R1230" s="122"/>
      <c r="S1230" s="116">
        <f>IF(AND(DATE(20&amp;LEFT(FAAddition[[#This Row],[FY]],2),4,1)&lt;$L$1+1,DATE(20&amp;LEFT(FAAddition[[#This Row],[FY]],2),4,1)&gt;$P$1-1),'FA Addition'!$J1230,0)</f>
        <v>0</v>
      </c>
      <c r="U1230" s="117">
        <f>S1230*'FA Addition'!$L1230/'FA Addition'!$J1230</f>
        <v>0</v>
      </c>
      <c r="W1230" s="116">
        <f>SUMIFS('FA Write off'!D:D,'FA Write off'!A:A,'FA Addition'!$A1230,'FA Write off'!C:C,"&lt;"&amp;'FA Addition'!$P$1)</f>
        <v>0</v>
      </c>
      <c r="Y1230" s="191">
        <f>IFERROR(W1230/'FA Addition'!$J1230*'FA Addition'!$L1230,0)</f>
        <v>0</v>
      </c>
      <c r="AA1230" s="116">
        <f>SUMIFS('FA Write off'!D:D,'FA Write off'!A:A,'FA Addition'!$A1230,'FA Write off'!C:C,"&lt;"&amp;'FA Addition'!$L$1+1,'FA Write off'!C:C,"&gt;"&amp;'FA Addition'!$L$1-365)</f>
        <v>0</v>
      </c>
      <c r="AC1230" s="118">
        <f>IFERROR(AA1230/'FA Addition'!$J1230*'FA Addition'!$L1230,0)</f>
        <v>0</v>
      </c>
      <c r="AE1230" s="117">
        <f>IF(AND('FA Addition'!$D1230&lt;$P$1+1,U1230=0),'FA Addition'!$L1230,0)-Y1230</f>
        <v>0</v>
      </c>
      <c r="AF1230" s="117">
        <f t="shared" si="95"/>
        <v>0</v>
      </c>
      <c r="AG1230" s="117">
        <f>MIN(MAX(+$P$1-'FA Addition'!$D1230,0),365*'FA Addition'!$O1230)</f>
        <v>0</v>
      </c>
      <c r="AH1230" s="117">
        <f>MIN(MAX($L$1-'FA Addition'!$D1230+1,0),365*'FA Addition'!$O1230)</f>
        <v>0</v>
      </c>
      <c r="AI1230" s="117" cm="1">
        <f t="array" ref="AI1230">_xlfn.XLOOKUP(1,('FA Write off'!A:A='FA Addition'!$A1230)*('FA Write off'!D:D=AA1230),'FA Write off'!H:H,0,0)</f>
        <v>0</v>
      </c>
      <c r="AJ1230" s="117">
        <f>IF(AC1230&gt;0,MAX(IF('FA Addition'!$N1230="SLM",($AC1230-'FA Addition'!$M1230)*'FA Addition'!$P1230*AI1230/365,(AC1230-'FA Addition'!$M1230)*(1-(1-'FA Addition'!$P1230)^(AI1230/365))),0),0)</f>
        <v>0</v>
      </c>
      <c r="AL1230" s="117">
        <f>MAX(IF(AG1230&gt;0,IF('FA Addition'!$N1230="SLM",($AE1230-'FA Addition'!$M1230)*'FA Addition'!$P1230*AG1230/365,IFERROR(VDB(AE1230,AE1230*0.05,'FA Addition'!$O1230,0,YEARFRAC('FA Addition'!$C1230,$P$1-1,3),'FA Addition'!$Q1230),FAAddition[[#This Row],[Original Cost (Rs)]]-FAAddition[[#This Row],[Salvage Value]])),0),0)</f>
        <v>0</v>
      </c>
      <c r="AM1230" s="119"/>
      <c r="AN1230" s="117">
        <f>MAX(IF(AH1230&gt;0,IF('FA Addition'!$N1230="SLM",($AF1230-'FA Addition'!$M1230)*'FA Addition'!$P1230*AH1230/365,IFERROR(VDB(AF1230,AF1230*0.05,'FA Addition'!$O1230,0,YEARFRAC('FA Addition'!$C1230,$L$1,3),'FA Addition'!$Q1230),FAAddition[[#This Row],[Original Cost (Rs)]]-FAAddition[[#This Row],[Salvage Value]])),0),0)</f>
        <v>0</v>
      </c>
      <c r="AO1230" s="117">
        <f t="shared" si="98"/>
        <v>0</v>
      </c>
      <c r="AQ1230" s="117">
        <f t="shared" si="96"/>
        <v>0</v>
      </c>
      <c r="AR1230" s="120">
        <f t="shared" si="97"/>
        <v>0</v>
      </c>
      <c r="AS1230" s="121"/>
    </row>
    <row r="1231" spans="1:45" ht="13.5" x14ac:dyDescent="0.4">
      <c r="A1231" s="12">
        <f t="shared" si="99"/>
        <v>1228</v>
      </c>
      <c r="B1231" s="64" t="s">
        <v>1758</v>
      </c>
      <c r="C1231" s="54">
        <v>45654</v>
      </c>
      <c r="D1231" s="54">
        <v>45659</v>
      </c>
      <c r="E1231" s="46" t="s">
        <v>1320</v>
      </c>
      <c r="F1231" s="51" t="s">
        <v>33</v>
      </c>
      <c r="G1231" s="51" t="s">
        <v>34</v>
      </c>
      <c r="H1231" s="51" t="s">
        <v>32</v>
      </c>
      <c r="I1231" s="55" t="s">
        <v>2016</v>
      </c>
      <c r="J1231" s="56">
        <v>200</v>
      </c>
      <c r="K1231" s="51" t="s">
        <v>295</v>
      </c>
      <c r="L1231" s="58">
        <v>333000</v>
      </c>
      <c r="M1231" s="50">
        <f>ROUND('FA Addition'!$L1231*5%,0.1)</f>
        <v>16650</v>
      </c>
      <c r="N1231" s="113" t="str">
        <f>_xlfn.XLOOKUP(_xlfn.CONCAT(E1231,B1231),'Year Wise Master Dep Approach'!F:F,'Year Wise Master Dep Approach'!D:D)</f>
        <v>SLM</v>
      </c>
      <c r="O1231" s="113">
        <f>_xlfn.XLOOKUP(_xlfn.CONCAT(E1231,B1231),'Year Wise Master Dep Approach'!F:F,'Year Wise Master Dep Approach'!E:E)</f>
        <v>5</v>
      </c>
      <c r="P1231" s="114">
        <f>IFERROR(IF('FA Addition'!$N1231="WDV",1-('FA Addition'!$M1231/'FA Addition'!$L1231)^(1/'FA Addition'!$O1231),1/'FA Addition'!$O1231),0)</f>
        <v>0.2</v>
      </c>
      <c r="Q1231" s="122">
        <f>'FA Addition'!$P1231*'FA Addition'!$O1231</f>
        <v>1</v>
      </c>
      <c r="R1231" s="122"/>
      <c r="S1231" s="116">
        <f>IF(AND(DATE(20&amp;LEFT(FAAddition[[#This Row],[FY]],2),4,1)&lt;$L$1+1,DATE(20&amp;LEFT(FAAddition[[#This Row],[FY]],2),4,1)&gt;$P$1-1),'FA Addition'!$J1231,0)</f>
        <v>0</v>
      </c>
      <c r="U1231" s="117">
        <f>S1231*'FA Addition'!$L1231/'FA Addition'!$J1231</f>
        <v>0</v>
      </c>
      <c r="W1231" s="116">
        <f>SUMIFS('FA Write off'!D:D,'FA Write off'!A:A,'FA Addition'!$A1231,'FA Write off'!C:C,"&lt;"&amp;'FA Addition'!$P$1)</f>
        <v>0</v>
      </c>
      <c r="Y1231" s="191">
        <f>IFERROR(W1231/'FA Addition'!$J1231*'FA Addition'!$L1231,0)</f>
        <v>0</v>
      </c>
      <c r="AA1231" s="116">
        <f>SUMIFS('FA Write off'!D:D,'FA Write off'!A:A,'FA Addition'!$A1231,'FA Write off'!C:C,"&lt;"&amp;'FA Addition'!$L$1+1,'FA Write off'!C:C,"&gt;"&amp;'FA Addition'!$L$1-365)</f>
        <v>0</v>
      </c>
      <c r="AC1231" s="118">
        <f>IFERROR(AA1231/'FA Addition'!$J1231*'FA Addition'!$L1231,0)</f>
        <v>0</v>
      </c>
      <c r="AE1231" s="117">
        <f>IF(AND('FA Addition'!$D1231&lt;$P$1+1,U1231=0),'FA Addition'!$L1231,0)-Y1231</f>
        <v>0</v>
      </c>
      <c r="AF1231" s="117">
        <f t="shared" si="95"/>
        <v>0</v>
      </c>
      <c r="AG1231" s="117">
        <f>MIN(MAX(+$P$1-'FA Addition'!$D1231,0),365*'FA Addition'!$O1231)</f>
        <v>0</v>
      </c>
      <c r="AH1231" s="117">
        <f>MIN(MAX($L$1-'FA Addition'!$D1231+1,0),365*'FA Addition'!$O1231)</f>
        <v>0</v>
      </c>
      <c r="AI1231" s="117" cm="1">
        <f t="array" ref="AI1231">_xlfn.XLOOKUP(1,('FA Write off'!A:A='FA Addition'!$A1231)*('FA Write off'!D:D=AA1231),'FA Write off'!H:H,0,0)</f>
        <v>0</v>
      </c>
      <c r="AJ1231" s="117">
        <f>IF(AC1231&gt;0,MAX(IF('FA Addition'!$N1231="SLM",($AC1231-'FA Addition'!$M1231)*'FA Addition'!$P1231*AI1231/365,(AC1231-'FA Addition'!$M1231)*(1-(1-'FA Addition'!$P1231)^(AI1231/365))),0),0)</f>
        <v>0</v>
      </c>
      <c r="AL1231" s="117">
        <f>MAX(IF(AG1231&gt;0,IF('FA Addition'!$N1231="SLM",($AE1231-'FA Addition'!$M1231)*'FA Addition'!$P1231*AG1231/365,IFERROR(VDB(AE1231,AE1231*0.05,'FA Addition'!$O1231,0,YEARFRAC('FA Addition'!$C1231,$P$1-1,3),'FA Addition'!$Q1231),FAAddition[[#This Row],[Original Cost (Rs)]]-FAAddition[[#This Row],[Salvage Value]])),0),0)</f>
        <v>0</v>
      </c>
      <c r="AM1231" s="119"/>
      <c r="AN1231" s="117">
        <f>MAX(IF(AH1231&gt;0,IF('FA Addition'!$N1231="SLM",($AF1231-'FA Addition'!$M1231)*'FA Addition'!$P1231*AH1231/365,IFERROR(VDB(AF1231,AF1231*0.05,'FA Addition'!$O1231,0,YEARFRAC('FA Addition'!$C1231,$L$1,3),'FA Addition'!$Q1231),FAAddition[[#This Row],[Original Cost (Rs)]]-FAAddition[[#This Row],[Salvage Value]])),0),0)</f>
        <v>0</v>
      </c>
      <c r="AO1231" s="117">
        <f t="shared" si="98"/>
        <v>0</v>
      </c>
      <c r="AQ1231" s="117">
        <f t="shared" si="96"/>
        <v>0</v>
      </c>
      <c r="AR1231" s="120">
        <f t="shared" si="97"/>
        <v>0</v>
      </c>
      <c r="AS1231" s="121"/>
    </row>
    <row r="1232" spans="1:45" ht="13.5" x14ac:dyDescent="0.4">
      <c r="A1232" s="12">
        <f t="shared" si="99"/>
        <v>1229</v>
      </c>
      <c r="B1232" s="64" t="s">
        <v>1758</v>
      </c>
      <c r="C1232" s="54">
        <v>45656</v>
      </c>
      <c r="D1232" s="54">
        <v>45659</v>
      </c>
      <c r="E1232" s="46" t="s">
        <v>1320</v>
      </c>
      <c r="F1232" s="51" t="s">
        <v>33</v>
      </c>
      <c r="G1232" s="51" t="s">
        <v>34</v>
      </c>
      <c r="H1232" s="51" t="s">
        <v>32</v>
      </c>
      <c r="I1232" s="55" t="s">
        <v>2017</v>
      </c>
      <c r="J1232" s="56">
        <v>1000</v>
      </c>
      <c r="K1232" s="51" t="s">
        <v>295</v>
      </c>
      <c r="L1232" s="58">
        <v>1665000</v>
      </c>
      <c r="M1232" s="50">
        <f>ROUND('FA Addition'!$L1232*5%,0.1)</f>
        <v>83250</v>
      </c>
      <c r="N1232" s="113" t="str">
        <f>_xlfn.XLOOKUP(_xlfn.CONCAT(E1232,B1232),'Year Wise Master Dep Approach'!F:F,'Year Wise Master Dep Approach'!D:D)</f>
        <v>SLM</v>
      </c>
      <c r="O1232" s="113">
        <f>_xlfn.XLOOKUP(_xlfn.CONCAT(E1232,B1232),'Year Wise Master Dep Approach'!F:F,'Year Wise Master Dep Approach'!E:E)</f>
        <v>5</v>
      </c>
      <c r="P1232" s="114">
        <f>IFERROR(IF('FA Addition'!$N1232="WDV",1-('FA Addition'!$M1232/'FA Addition'!$L1232)^(1/'FA Addition'!$O1232),1/'FA Addition'!$O1232),0)</f>
        <v>0.2</v>
      </c>
      <c r="Q1232" s="122">
        <f>'FA Addition'!$P1232*'FA Addition'!$O1232</f>
        <v>1</v>
      </c>
      <c r="R1232" s="122"/>
      <c r="S1232" s="116">
        <f>IF(AND(DATE(20&amp;LEFT(FAAddition[[#This Row],[FY]],2),4,1)&lt;$L$1+1,DATE(20&amp;LEFT(FAAddition[[#This Row],[FY]],2),4,1)&gt;$P$1-1),'FA Addition'!$J1232,0)</f>
        <v>0</v>
      </c>
      <c r="U1232" s="117">
        <f>S1232*'FA Addition'!$L1232/'FA Addition'!$J1232</f>
        <v>0</v>
      </c>
      <c r="W1232" s="116">
        <f>SUMIFS('FA Write off'!D:D,'FA Write off'!A:A,'FA Addition'!$A1232,'FA Write off'!C:C,"&lt;"&amp;'FA Addition'!$P$1)</f>
        <v>0</v>
      </c>
      <c r="Y1232" s="191">
        <f>IFERROR(W1232/'FA Addition'!$J1232*'FA Addition'!$L1232,0)</f>
        <v>0</v>
      </c>
      <c r="AA1232" s="116">
        <f>SUMIFS('FA Write off'!D:D,'FA Write off'!A:A,'FA Addition'!$A1232,'FA Write off'!C:C,"&lt;"&amp;'FA Addition'!$L$1+1,'FA Write off'!C:C,"&gt;"&amp;'FA Addition'!$L$1-365)</f>
        <v>0</v>
      </c>
      <c r="AC1232" s="118">
        <f>IFERROR(AA1232/'FA Addition'!$J1232*'FA Addition'!$L1232,0)</f>
        <v>0</v>
      </c>
      <c r="AE1232" s="117">
        <f>IF(AND('FA Addition'!$D1232&lt;$P$1+1,U1232=0),'FA Addition'!$L1232,0)-Y1232</f>
        <v>0</v>
      </c>
      <c r="AF1232" s="117">
        <f t="shared" si="95"/>
        <v>0</v>
      </c>
      <c r="AG1232" s="117">
        <f>MIN(MAX(+$P$1-'FA Addition'!$D1232,0),365*'FA Addition'!$O1232)</f>
        <v>0</v>
      </c>
      <c r="AH1232" s="117">
        <f>MIN(MAX($L$1-'FA Addition'!$D1232+1,0),365*'FA Addition'!$O1232)</f>
        <v>0</v>
      </c>
      <c r="AI1232" s="117" cm="1">
        <f t="array" ref="AI1232">_xlfn.XLOOKUP(1,('FA Write off'!A:A='FA Addition'!$A1232)*('FA Write off'!D:D=AA1232),'FA Write off'!H:H,0,0)</f>
        <v>0</v>
      </c>
      <c r="AJ1232" s="117">
        <f>IF(AC1232&gt;0,MAX(IF('FA Addition'!$N1232="SLM",($AC1232-'FA Addition'!$M1232)*'FA Addition'!$P1232*AI1232/365,(AC1232-'FA Addition'!$M1232)*(1-(1-'FA Addition'!$P1232)^(AI1232/365))),0),0)</f>
        <v>0</v>
      </c>
      <c r="AL1232" s="117">
        <f>MAX(IF(AG1232&gt;0,IF('FA Addition'!$N1232="SLM",($AE1232-'FA Addition'!$M1232)*'FA Addition'!$P1232*AG1232/365,IFERROR(VDB(AE1232,AE1232*0.05,'FA Addition'!$O1232,0,YEARFRAC('FA Addition'!$C1232,$P$1-1,3),'FA Addition'!$Q1232),FAAddition[[#This Row],[Original Cost (Rs)]]-FAAddition[[#This Row],[Salvage Value]])),0),0)</f>
        <v>0</v>
      </c>
      <c r="AM1232" s="119"/>
      <c r="AN1232" s="117">
        <f>MAX(IF(AH1232&gt;0,IF('FA Addition'!$N1232="SLM",($AF1232-'FA Addition'!$M1232)*'FA Addition'!$P1232*AH1232/365,IFERROR(VDB(AF1232,AF1232*0.05,'FA Addition'!$O1232,0,YEARFRAC('FA Addition'!$C1232,$L$1,3),'FA Addition'!$Q1232),FAAddition[[#This Row],[Original Cost (Rs)]]-FAAddition[[#This Row],[Salvage Value]])),0),0)</f>
        <v>0</v>
      </c>
      <c r="AO1232" s="117">
        <f t="shared" si="98"/>
        <v>0</v>
      </c>
      <c r="AQ1232" s="117">
        <f t="shared" si="96"/>
        <v>0</v>
      </c>
      <c r="AR1232" s="120">
        <f t="shared" si="97"/>
        <v>0</v>
      </c>
      <c r="AS1232" s="121"/>
    </row>
    <row r="1233" spans="1:45" ht="13.5" x14ac:dyDescent="0.4">
      <c r="A1233" s="12">
        <f t="shared" si="99"/>
        <v>1230</v>
      </c>
      <c r="B1233" s="64" t="s">
        <v>1758</v>
      </c>
      <c r="C1233" s="54">
        <v>45675</v>
      </c>
      <c r="D1233" s="54">
        <v>45674</v>
      </c>
      <c r="E1233" s="46" t="s">
        <v>207</v>
      </c>
      <c r="F1233" s="51" t="s">
        <v>1372</v>
      </c>
      <c r="G1233" s="51" t="s">
        <v>1419</v>
      </c>
      <c r="H1233" s="51" t="s">
        <v>207</v>
      </c>
      <c r="I1233" s="55" t="s">
        <v>2018</v>
      </c>
      <c r="J1233" s="56">
        <v>1</v>
      </c>
      <c r="K1233" s="51" t="s">
        <v>2019</v>
      </c>
      <c r="L1233" s="58">
        <v>7033.05</v>
      </c>
      <c r="M1233" s="50">
        <f>ROUND('FA Addition'!$L1233*5%,0.1)</f>
        <v>352</v>
      </c>
      <c r="N1233" s="113" t="str">
        <f>_xlfn.XLOOKUP(_xlfn.CONCAT(E1233,B1233),'Year Wise Master Dep Approach'!F:F,'Year Wise Master Dep Approach'!D:D)</f>
        <v>WDV</v>
      </c>
      <c r="O1233" s="113">
        <f>_xlfn.XLOOKUP(_xlfn.CONCAT(E1233,B1233),'Year Wise Master Dep Approach'!F:F,'Year Wise Master Dep Approach'!E:E)</f>
        <v>5</v>
      </c>
      <c r="P1233" s="114">
        <f>IFERROR(IF('FA Addition'!$N1233="WDV",1-('FA Addition'!$M1233/'FA Addition'!$L1233)^(1/'FA Addition'!$O1233),1/'FA Addition'!$O1233),0)</f>
        <v>0.45061121241673951</v>
      </c>
      <c r="Q1233" s="122">
        <f>'FA Addition'!$P1233*'FA Addition'!$O1233</f>
        <v>2.2530560620836977</v>
      </c>
      <c r="R1233" s="122"/>
      <c r="S1233" s="116">
        <f>IF(AND(DATE(20&amp;LEFT(FAAddition[[#This Row],[FY]],2),4,1)&lt;$L$1+1,DATE(20&amp;LEFT(FAAddition[[#This Row],[FY]],2),4,1)&gt;$P$1-1),'FA Addition'!$J1233,0)</f>
        <v>0</v>
      </c>
      <c r="U1233" s="117">
        <f>S1233*'FA Addition'!$L1233/'FA Addition'!$J1233</f>
        <v>0</v>
      </c>
      <c r="W1233" s="116">
        <f>SUMIFS('FA Write off'!D:D,'FA Write off'!A:A,'FA Addition'!$A1233,'FA Write off'!C:C,"&lt;"&amp;'FA Addition'!$P$1)</f>
        <v>0</v>
      </c>
      <c r="Y1233" s="191">
        <f>IFERROR(W1233/'FA Addition'!$J1233*'FA Addition'!$L1233,0)</f>
        <v>0</v>
      </c>
      <c r="AA1233" s="116">
        <f>SUMIFS('FA Write off'!D:D,'FA Write off'!A:A,'FA Addition'!$A1233,'FA Write off'!C:C,"&lt;"&amp;'FA Addition'!$L$1+1,'FA Write off'!C:C,"&gt;"&amp;'FA Addition'!$L$1-365)</f>
        <v>0</v>
      </c>
      <c r="AC1233" s="118">
        <f>IFERROR(AA1233/'FA Addition'!$J1233*'FA Addition'!$L1233,0)</f>
        <v>0</v>
      </c>
      <c r="AE1233" s="117">
        <f>IF(AND('FA Addition'!$D1233&lt;$P$1+1,U1233=0),'FA Addition'!$L1233,0)-Y1233</f>
        <v>0</v>
      </c>
      <c r="AF1233" s="117">
        <f t="shared" si="95"/>
        <v>0</v>
      </c>
      <c r="AG1233" s="117">
        <f>MIN(MAX(+$P$1-'FA Addition'!$D1233,0),365*'FA Addition'!$O1233)</f>
        <v>0</v>
      </c>
      <c r="AH1233" s="117">
        <f>MIN(MAX($L$1-'FA Addition'!$D1233+1,0),365*'FA Addition'!$O1233)</f>
        <v>0</v>
      </c>
      <c r="AI1233" s="117" cm="1">
        <f t="array" ref="AI1233">_xlfn.XLOOKUP(1,('FA Write off'!A:A='FA Addition'!$A1233)*('FA Write off'!D:D=AA1233),'FA Write off'!H:H,0,0)</f>
        <v>0</v>
      </c>
      <c r="AJ1233" s="117">
        <f>IF(AC1233&gt;0,MAX(IF('FA Addition'!$N1233="SLM",($AC1233-'FA Addition'!$M1233)*'FA Addition'!$P1233*AI1233/365,(AC1233-'FA Addition'!$M1233)*(1-(1-'FA Addition'!$P1233)^(AI1233/365))),0),0)</f>
        <v>0</v>
      </c>
      <c r="AL1233" s="117">
        <f>MAX(IF(AG1233&gt;0,IF('FA Addition'!$N1233="SLM",($AE1233-'FA Addition'!$M1233)*'FA Addition'!$P1233*AG1233/365,IFERROR(VDB(AE1233,AE1233*0.05,'FA Addition'!$O1233,0,YEARFRAC('FA Addition'!$C1233,$P$1-1,3),'FA Addition'!$Q1233),FAAddition[[#This Row],[Original Cost (Rs)]]-FAAddition[[#This Row],[Salvage Value]])),0),0)</f>
        <v>0</v>
      </c>
      <c r="AM1233" s="119"/>
      <c r="AN1233" s="117">
        <f>MAX(IF(AH1233&gt;0,IF('FA Addition'!$N1233="SLM",($AF1233-'FA Addition'!$M1233)*'FA Addition'!$P1233*AH1233/365,IFERROR(VDB(AF1233,AF1233*0.05,'FA Addition'!$O1233,0,YEARFRAC('FA Addition'!$C1233,$L$1,3),'FA Addition'!$Q1233),FAAddition[[#This Row],[Original Cost (Rs)]]-FAAddition[[#This Row],[Salvage Value]])),0),0)</f>
        <v>0</v>
      </c>
      <c r="AO1233" s="117">
        <f t="shared" si="98"/>
        <v>0</v>
      </c>
      <c r="AQ1233" s="117">
        <f t="shared" si="96"/>
        <v>0</v>
      </c>
      <c r="AR1233" s="120">
        <f t="shared" si="97"/>
        <v>0</v>
      </c>
      <c r="AS1233" s="121"/>
    </row>
    <row r="1234" spans="1:45" ht="13.5" x14ac:dyDescent="0.4">
      <c r="A1234" s="12">
        <f t="shared" si="99"/>
        <v>1231</v>
      </c>
      <c r="B1234" s="64" t="s">
        <v>1758</v>
      </c>
      <c r="C1234" s="54">
        <v>45675</v>
      </c>
      <c r="D1234" s="54">
        <v>45674</v>
      </c>
      <c r="E1234" s="46" t="s">
        <v>207</v>
      </c>
      <c r="F1234" s="51" t="s">
        <v>1372</v>
      </c>
      <c r="G1234" s="51" t="s">
        <v>1419</v>
      </c>
      <c r="H1234" s="51" t="s">
        <v>207</v>
      </c>
      <c r="I1234" s="55" t="s">
        <v>2018</v>
      </c>
      <c r="J1234" s="56">
        <v>1</v>
      </c>
      <c r="K1234" s="51" t="s">
        <v>2019</v>
      </c>
      <c r="L1234" s="58">
        <v>7033.05</v>
      </c>
      <c r="M1234" s="50">
        <f>ROUND('FA Addition'!$L1234*5%,0.1)</f>
        <v>352</v>
      </c>
      <c r="N1234" s="113" t="str">
        <f>_xlfn.XLOOKUP(_xlfn.CONCAT(E1234,B1234),'Year Wise Master Dep Approach'!F:F,'Year Wise Master Dep Approach'!D:D)</f>
        <v>WDV</v>
      </c>
      <c r="O1234" s="113">
        <f>_xlfn.XLOOKUP(_xlfn.CONCAT(E1234,B1234),'Year Wise Master Dep Approach'!F:F,'Year Wise Master Dep Approach'!E:E)</f>
        <v>5</v>
      </c>
      <c r="P1234" s="114">
        <f>IFERROR(IF('FA Addition'!$N1234="WDV",1-('FA Addition'!$M1234/'FA Addition'!$L1234)^(1/'FA Addition'!$O1234),1/'FA Addition'!$O1234),0)</f>
        <v>0.45061121241673951</v>
      </c>
      <c r="Q1234" s="122">
        <f>'FA Addition'!$P1234*'FA Addition'!$O1234</f>
        <v>2.2530560620836977</v>
      </c>
      <c r="R1234" s="122"/>
      <c r="S1234" s="116">
        <f>IF(AND(DATE(20&amp;LEFT(FAAddition[[#This Row],[FY]],2),4,1)&lt;$L$1+1,DATE(20&amp;LEFT(FAAddition[[#This Row],[FY]],2),4,1)&gt;$P$1-1),'FA Addition'!$J1234,0)</f>
        <v>0</v>
      </c>
      <c r="U1234" s="117">
        <f>S1234*'FA Addition'!$L1234/'FA Addition'!$J1234</f>
        <v>0</v>
      </c>
      <c r="W1234" s="116">
        <f>SUMIFS('FA Write off'!D:D,'FA Write off'!A:A,'FA Addition'!$A1234,'FA Write off'!C:C,"&lt;"&amp;'FA Addition'!$P$1)</f>
        <v>0</v>
      </c>
      <c r="Y1234" s="191">
        <f>IFERROR(W1234/'FA Addition'!$J1234*'FA Addition'!$L1234,0)</f>
        <v>0</v>
      </c>
      <c r="AA1234" s="116">
        <f>SUMIFS('FA Write off'!D:D,'FA Write off'!A:A,'FA Addition'!$A1234,'FA Write off'!C:C,"&lt;"&amp;'FA Addition'!$L$1+1,'FA Write off'!C:C,"&gt;"&amp;'FA Addition'!$L$1-365)</f>
        <v>0</v>
      </c>
      <c r="AC1234" s="118">
        <f>IFERROR(AA1234/'FA Addition'!$J1234*'FA Addition'!$L1234,0)</f>
        <v>0</v>
      </c>
      <c r="AE1234" s="117">
        <f>IF(AND('FA Addition'!$D1234&lt;$P$1+1,U1234=0),'FA Addition'!$L1234,0)-Y1234</f>
        <v>0</v>
      </c>
      <c r="AF1234" s="117">
        <f t="shared" si="95"/>
        <v>0</v>
      </c>
      <c r="AG1234" s="117">
        <f>MIN(MAX(+$P$1-'FA Addition'!$D1234,0),365*'FA Addition'!$O1234)</f>
        <v>0</v>
      </c>
      <c r="AH1234" s="117">
        <f>MIN(MAX($L$1-'FA Addition'!$D1234+1,0),365*'FA Addition'!$O1234)</f>
        <v>0</v>
      </c>
      <c r="AI1234" s="117" cm="1">
        <f t="array" ref="AI1234">_xlfn.XLOOKUP(1,('FA Write off'!A:A='FA Addition'!$A1234)*('FA Write off'!D:D=AA1234),'FA Write off'!H:H,0,0)</f>
        <v>0</v>
      </c>
      <c r="AJ1234" s="117">
        <f>IF(AC1234&gt;0,MAX(IF('FA Addition'!$N1234="SLM",($AC1234-'FA Addition'!$M1234)*'FA Addition'!$P1234*AI1234/365,(AC1234-'FA Addition'!$M1234)*(1-(1-'FA Addition'!$P1234)^(AI1234/365))),0),0)</f>
        <v>0</v>
      </c>
      <c r="AL1234" s="117">
        <f>MAX(IF(AG1234&gt;0,IF('FA Addition'!$N1234="SLM",($AE1234-'FA Addition'!$M1234)*'FA Addition'!$P1234*AG1234/365,IFERROR(VDB(AE1234,AE1234*0.05,'FA Addition'!$O1234,0,YEARFRAC('FA Addition'!$C1234,$P$1-1,3),'FA Addition'!$Q1234),FAAddition[[#This Row],[Original Cost (Rs)]]-FAAddition[[#This Row],[Salvage Value]])),0),0)</f>
        <v>0</v>
      </c>
      <c r="AM1234" s="119"/>
      <c r="AN1234" s="117">
        <f>MAX(IF(AH1234&gt;0,IF('FA Addition'!$N1234="SLM",($AF1234-'FA Addition'!$M1234)*'FA Addition'!$P1234*AH1234/365,IFERROR(VDB(AF1234,AF1234*0.05,'FA Addition'!$O1234,0,YEARFRAC('FA Addition'!$C1234,$L$1,3),'FA Addition'!$Q1234),FAAddition[[#This Row],[Original Cost (Rs)]]-FAAddition[[#This Row],[Salvage Value]])),0),0)</f>
        <v>0</v>
      </c>
      <c r="AO1234" s="117">
        <f t="shared" si="98"/>
        <v>0</v>
      </c>
      <c r="AQ1234" s="117">
        <f t="shared" si="96"/>
        <v>0</v>
      </c>
      <c r="AR1234" s="120">
        <f t="shared" si="97"/>
        <v>0</v>
      </c>
      <c r="AS1234" s="121"/>
    </row>
    <row r="1235" spans="1:45" ht="13.5" x14ac:dyDescent="0.4">
      <c r="A1235" s="12">
        <f t="shared" si="99"/>
        <v>1232</v>
      </c>
      <c r="B1235" s="64" t="s">
        <v>1758</v>
      </c>
      <c r="C1235" s="54">
        <v>45675</v>
      </c>
      <c r="D1235" s="54">
        <v>45674</v>
      </c>
      <c r="E1235" s="46" t="s">
        <v>207</v>
      </c>
      <c r="F1235" s="51" t="s">
        <v>1372</v>
      </c>
      <c r="G1235" s="51" t="s">
        <v>1419</v>
      </c>
      <c r="H1235" s="51" t="s">
        <v>207</v>
      </c>
      <c r="I1235" s="55" t="s">
        <v>2018</v>
      </c>
      <c r="J1235" s="56">
        <v>1</v>
      </c>
      <c r="K1235" s="51" t="s">
        <v>2019</v>
      </c>
      <c r="L1235" s="58">
        <v>7033.05</v>
      </c>
      <c r="M1235" s="50">
        <f>ROUND('FA Addition'!$L1235*5%,0.1)</f>
        <v>352</v>
      </c>
      <c r="N1235" s="113" t="str">
        <f>_xlfn.XLOOKUP(_xlfn.CONCAT(E1235,B1235),'Year Wise Master Dep Approach'!F:F,'Year Wise Master Dep Approach'!D:D)</f>
        <v>WDV</v>
      </c>
      <c r="O1235" s="113">
        <f>_xlfn.XLOOKUP(_xlfn.CONCAT(E1235,B1235),'Year Wise Master Dep Approach'!F:F,'Year Wise Master Dep Approach'!E:E)</f>
        <v>5</v>
      </c>
      <c r="P1235" s="114">
        <f>IFERROR(IF('FA Addition'!$N1235="WDV",1-('FA Addition'!$M1235/'FA Addition'!$L1235)^(1/'FA Addition'!$O1235),1/'FA Addition'!$O1235),0)</f>
        <v>0.45061121241673951</v>
      </c>
      <c r="Q1235" s="122">
        <f>'FA Addition'!$P1235*'FA Addition'!$O1235</f>
        <v>2.2530560620836977</v>
      </c>
      <c r="R1235" s="122"/>
      <c r="S1235" s="116">
        <f>IF(AND(DATE(20&amp;LEFT(FAAddition[[#This Row],[FY]],2),4,1)&lt;$L$1+1,DATE(20&amp;LEFT(FAAddition[[#This Row],[FY]],2),4,1)&gt;$P$1-1),'FA Addition'!$J1235,0)</f>
        <v>0</v>
      </c>
      <c r="U1235" s="117">
        <f>S1235*'FA Addition'!$L1235/'FA Addition'!$J1235</f>
        <v>0</v>
      </c>
      <c r="W1235" s="116">
        <f>SUMIFS('FA Write off'!D:D,'FA Write off'!A:A,'FA Addition'!$A1235,'FA Write off'!C:C,"&lt;"&amp;'FA Addition'!$P$1)</f>
        <v>0</v>
      </c>
      <c r="Y1235" s="191">
        <f>IFERROR(W1235/'FA Addition'!$J1235*'FA Addition'!$L1235,0)</f>
        <v>0</v>
      </c>
      <c r="AA1235" s="116">
        <f>SUMIFS('FA Write off'!D:D,'FA Write off'!A:A,'FA Addition'!$A1235,'FA Write off'!C:C,"&lt;"&amp;'FA Addition'!$L$1+1,'FA Write off'!C:C,"&gt;"&amp;'FA Addition'!$L$1-365)</f>
        <v>0</v>
      </c>
      <c r="AC1235" s="118">
        <f>IFERROR(AA1235/'FA Addition'!$J1235*'FA Addition'!$L1235,0)</f>
        <v>0</v>
      </c>
      <c r="AE1235" s="117">
        <f>IF(AND('FA Addition'!$D1235&lt;$P$1+1,U1235=0),'FA Addition'!$L1235,0)-Y1235</f>
        <v>0</v>
      </c>
      <c r="AF1235" s="117">
        <f t="shared" si="95"/>
        <v>0</v>
      </c>
      <c r="AG1235" s="117">
        <f>MIN(MAX(+$P$1-'FA Addition'!$D1235,0),365*'FA Addition'!$O1235)</f>
        <v>0</v>
      </c>
      <c r="AH1235" s="117">
        <f>MIN(MAX($L$1-'FA Addition'!$D1235+1,0),365*'FA Addition'!$O1235)</f>
        <v>0</v>
      </c>
      <c r="AI1235" s="117" cm="1">
        <f t="array" ref="AI1235">_xlfn.XLOOKUP(1,('FA Write off'!A:A='FA Addition'!$A1235)*('FA Write off'!D:D=AA1235),'FA Write off'!H:H,0,0)</f>
        <v>0</v>
      </c>
      <c r="AJ1235" s="117">
        <f>IF(AC1235&gt;0,MAX(IF('FA Addition'!$N1235="SLM",($AC1235-'FA Addition'!$M1235)*'FA Addition'!$P1235*AI1235/365,(AC1235-'FA Addition'!$M1235)*(1-(1-'FA Addition'!$P1235)^(AI1235/365))),0),0)</f>
        <v>0</v>
      </c>
      <c r="AL1235" s="117">
        <f>MAX(IF(AG1235&gt;0,IF('FA Addition'!$N1235="SLM",($AE1235-'FA Addition'!$M1235)*'FA Addition'!$P1235*AG1235/365,IFERROR(VDB(AE1235,AE1235*0.05,'FA Addition'!$O1235,0,YEARFRAC('FA Addition'!$C1235,$P$1-1,3),'FA Addition'!$Q1235),FAAddition[[#This Row],[Original Cost (Rs)]]-FAAddition[[#This Row],[Salvage Value]])),0),0)</f>
        <v>0</v>
      </c>
      <c r="AM1235" s="119"/>
      <c r="AN1235" s="117">
        <f>MAX(IF(AH1235&gt;0,IF('FA Addition'!$N1235="SLM",($AF1235-'FA Addition'!$M1235)*'FA Addition'!$P1235*AH1235/365,IFERROR(VDB(AF1235,AF1235*0.05,'FA Addition'!$O1235,0,YEARFRAC('FA Addition'!$C1235,$L$1,3),'FA Addition'!$Q1235),FAAddition[[#This Row],[Original Cost (Rs)]]-FAAddition[[#This Row],[Salvage Value]])),0),0)</f>
        <v>0</v>
      </c>
      <c r="AO1235" s="117">
        <f t="shared" si="98"/>
        <v>0</v>
      </c>
      <c r="AQ1235" s="117">
        <f t="shared" si="96"/>
        <v>0</v>
      </c>
      <c r="AR1235" s="120">
        <f t="shared" si="97"/>
        <v>0</v>
      </c>
      <c r="AS1235" s="121"/>
    </row>
    <row r="1236" spans="1:45" ht="13.5" x14ac:dyDescent="0.4">
      <c r="A1236" s="12">
        <f t="shared" si="99"/>
        <v>1233</v>
      </c>
      <c r="B1236" s="64" t="s">
        <v>1758</v>
      </c>
      <c r="C1236" s="54">
        <v>45675</v>
      </c>
      <c r="D1236" s="54">
        <v>45674</v>
      </c>
      <c r="E1236" s="46" t="s">
        <v>207</v>
      </c>
      <c r="F1236" s="51" t="s">
        <v>1372</v>
      </c>
      <c r="G1236" s="51" t="s">
        <v>1419</v>
      </c>
      <c r="H1236" s="51" t="s">
        <v>207</v>
      </c>
      <c r="I1236" s="55" t="s">
        <v>2018</v>
      </c>
      <c r="J1236" s="56">
        <v>1</v>
      </c>
      <c r="K1236" s="51" t="s">
        <v>2019</v>
      </c>
      <c r="L1236" s="58">
        <v>7033.05</v>
      </c>
      <c r="M1236" s="50">
        <f>ROUND('FA Addition'!$L1236*5%,0.1)</f>
        <v>352</v>
      </c>
      <c r="N1236" s="113" t="str">
        <f>_xlfn.XLOOKUP(_xlfn.CONCAT(E1236,B1236),'Year Wise Master Dep Approach'!F:F,'Year Wise Master Dep Approach'!D:D)</f>
        <v>WDV</v>
      </c>
      <c r="O1236" s="113">
        <f>_xlfn.XLOOKUP(_xlfn.CONCAT(E1236,B1236),'Year Wise Master Dep Approach'!F:F,'Year Wise Master Dep Approach'!E:E)</f>
        <v>5</v>
      </c>
      <c r="P1236" s="114">
        <f>IFERROR(IF('FA Addition'!$N1236="WDV",1-('FA Addition'!$M1236/'FA Addition'!$L1236)^(1/'FA Addition'!$O1236),1/'FA Addition'!$O1236),0)</f>
        <v>0.45061121241673951</v>
      </c>
      <c r="Q1236" s="122">
        <f>'FA Addition'!$P1236*'FA Addition'!$O1236</f>
        <v>2.2530560620836977</v>
      </c>
      <c r="R1236" s="122"/>
      <c r="S1236" s="116">
        <f>IF(AND(DATE(20&amp;LEFT(FAAddition[[#This Row],[FY]],2),4,1)&lt;$L$1+1,DATE(20&amp;LEFT(FAAddition[[#This Row],[FY]],2),4,1)&gt;$P$1-1),'FA Addition'!$J1236,0)</f>
        <v>0</v>
      </c>
      <c r="U1236" s="117">
        <f>S1236*'FA Addition'!$L1236/'FA Addition'!$J1236</f>
        <v>0</v>
      </c>
      <c r="W1236" s="116">
        <f>SUMIFS('FA Write off'!D:D,'FA Write off'!A:A,'FA Addition'!$A1236,'FA Write off'!C:C,"&lt;"&amp;'FA Addition'!$P$1)</f>
        <v>0</v>
      </c>
      <c r="Y1236" s="191">
        <f>IFERROR(W1236/'FA Addition'!$J1236*'FA Addition'!$L1236,0)</f>
        <v>0</v>
      </c>
      <c r="AA1236" s="116">
        <f>SUMIFS('FA Write off'!D:D,'FA Write off'!A:A,'FA Addition'!$A1236,'FA Write off'!C:C,"&lt;"&amp;'FA Addition'!$L$1+1,'FA Write off'!C:C,"&gt;"&amp;'FA Addition'!$L$1-365)</f>
        <v>0</v>
      </c>
      <c r="AC1236" s="118">
        <f>IFERROR(AA1236/'FA Addition'!$J1236*'FA Addition'!$L1236,0)</f>
        <v>0</v>
      </c>
      <c r="AE1236" s="117">
        <f>IF(AND('FA Addition'!$D1236&lt;$P$1+1,U1236=0),'FA Addition'!$L1236,0)-Y1236</f>
        <v>0</v>
      </c>
      <c r="AF1236" s="117">
        <f t="shared" si="95"/>
        <v>0</v>
      </c>
      <c r="AG1236" s="117">
        <f>MIN(MAX(+$P$1-'FA Addition'!$D1236,0),365*'FA Addition'!$O1236)</f>
        <v>0</v>
      </c>
      <c r="AH1236" s="117">
        <f>MIN(MAX($L$1-'FA Addition'!$D1236+1,0),365*'FA Addition'!$O1236)</f>
        <v>0</v>
      </c>
      <c r="AI1236" s="117" cm="1">
        <f t="array" ref="AI1236">_xlfn.XLOOKUP(1,('FA Write off'!A:A='FA Addition'!$A1236)*('FA Write off'!D:D=AA1236),'FA Write off'!H:H,0,0)</f>
        <v>0</v>
      </c>
      <c r="AJ1236" s="117">
        <f>IF(AC1236&gt;0,MAX(IF('FA Addition'!$N1236="SLM",($AC1236-'FA Addition'!$M1236)*'FA Addition'!$P1236*AI1236/365,(AC1236-'FA Addition'!$M1236)*(1-(1-'FA Addition'!$P1236)^(AI1236/365))),0),0)</f>
        <v>0</v>
      </c>
      <c r="AL1236" s="117">
        <f>MAX(IF(AG1236&gt;0,IF('FA Addition'!$N1236="SLM",($AE1236-'FA Addition'!$M1236)*'FA Addition'!$P1236*AG1236/365,IFERROR(VDB(AE1236,AE1236*0.05,'FA Addition'!$O1236,0,YEARFRAC('FA Addition'!$C1236,$P$1-1,3),'FA Addition'!$Q1236),FAAddition[[#This Row],[Original Cost (Rs)]]-FAAddition[[#This Row],[Salvage Value]])),0),0)</f>
        <v>0</v>
      </c>
      <c r="AM1236" s="119"/>
      <c r="AN1236" s="117">
        <f>MAX(IF(AH1236&gt;0,IF('FA Addition'!$N1236="SLM",($AF1236-'FA Addition'!$M1236)*'FA Addition'!$P1236*AH1236/365,IFERROR(VDB(AF1236,AF1236*0.05,'FA Addition'!$O1236,0,YEARFRAC('FA Addition'!$C1236,$L$1,3),'FA Addition'!$Q1236),FAAddition[[#This Row],[Original Cost (Rs)]]-FAAddition[[#This Row],[Salvage Value]])),0),0)</f>
        <v>0</v>
      </c>
      <c r="AO1236" s="117">
        <f t="shared" si="98"/>
        <v>0</v>
      </c>
      <c r="AQ1236" s="117">
        <f t="shared" si="96"/>
        <v>0</v>
      </c>
      <c r="AR1236" s="120">
        <f t="shared" si="97"/>
        <v>0</v>
      </c>
      <c r="AS1236" s="121"/>
    </row>
    <row r="1237" spans="1:45" ht="13.5" x14ac:dyDescent="0.4">
      <c r="A1237" s="12">
        <f t="shared" si="99"/>
        <v>1234</v>
      </c>
      <c r="B1237" s="64" t="s">
        <v>1758</v>
      </c>
      <c r="C1237" s="54">
        <v>45675</v>
      </c>
      <c r="D1237" s="54">
        <v>45674</v>
      </c>
      <c r="E1237" s="46" t="s">
        <v>207</v>
      </c>
      <c r="F1237" s="51" t="s">
        <v>1372</v>
      </c>
      <c r="G1237" s="51" t="s">
        <v>1419</v>
      </c>
      <c r="H1237" s="51" t="s">
        <v>207</v>
      </c>
      <c r="I1237" s="55" t="s">
        <v>2018</v>
      </c>
      <c r="J1237" s="56">
        <v>1</v>
      </c>
      <c r="K1237" s="51" t="s">
        <v>2019</v>
      </c>
      <c r="L1237" s="58">
        <v>7033.05</v>
      </c>
      <c r="M1237" s="50">
        <f>ROUND('FA Addition'!$L1237*5%,0.1)</f>
        <v>352</v>
      </c>
      <c r="N1237" s="113" t="str">
        <f>_xlfn.XLOOKUP(_xlfn.CONCAT(E1237,B1237),'Year Wise Master Dep Approach'!F:F,'Year Wise Master Dep Approach'!D:D)</f>
        <v>WDV</v>
      </c>
      <c r="O1237" s="113">
        <f>_xlfn.XLOOKUP(_xlfn.CONCAT(E1237,B1237),'Year Wise Master Dep Approach'!F:F,'Year Wise Master Dep Approach'!E:E)</f>
        <v>5</v>
      </c>
      <c r="P1237" s="114">
        <f>IFERROR(IF('FA Addition'!$N1237="WDV",1-('FA Addition'!$M1237/'FA Addition'!$L1237)^(1/'FA Addition'!$O1237),1/'FA Addition'!$O1237),0)</f>
        <v>0.45061121241673951</v>
      </c>
      <c r="Q1237" s="122">
        <f>'FA Addition'!$P1237*'FA Addition'!$O1237</f>
        <v>2.2530560620836977</v>
      </c>
      <c r="R1237" s="122"/>
      <c r="S1237" s="116">
        <f>IF(AND(DATE(20&amp;LEFT(FAAddition[[#This Row],[FY]],2),4,1)&lt;$L$1+1,DATE(20&amp;LEFT(FAAddition[[#This Row],[FY]],2),4,1)&gt;$P$1-1),'FA Addition'!$J1237,0)</f>
        <v>0</v>
      </c>
      <c r="U1237" s="117">
        <f>S1237*'FA Addition'!$L1237/'FA Addition'!$J1237</f>
        <v>0</v>
      </c>
      <c r="W1237" s="116">
        <f>SUMIFS('FA Write off'!D:D,'FA Write off'!A:A,'FA Addition'!$A1237,'FA Write off'!C:C,"&lt;"&amp;'FA Addition'!$P$1)</f>
        <v>0</v>
      </c>
      <c r="Y1237" s="191">
        <f>IFERROR(W1237/'FA Addition'!$J1237*'FA Addition'!$L1237,0)</f>
        <v>0</v>
      </c>
      <c r="AA1237" s="116">
        <f>SUMIFS('FA Write off'!D:D,'FA Write off'!A:A,'FA Addition'!$A1237,'FA Write off'!C:C,"&lt;"&amp;'FA Addition'!$L$1+1,'FA Write off'!C:C,"&gt;"&amp;'FA Addition'!$L$1-365)</f>
        <v>0</v>
      </c>
      <c r="AC1237" s="118">
        <f>IFERROR(AA1237/'FA Addition'!$J1237*'FA Addition'!$L1237,0)</f>
        <v>0</v>
      </c>
      <c r="AE1237" s="117">
        <f>IF(AND('FA Addition'!$D1237&lt;$P$1+1,U1237=0),'FA Addition'!$L1237,0)-Y1237</f>
        <v>0</v>
      </c>
      <c r="AF1237" s="117">
        <f t="shared" si="95"/>
        <v>0</v>
      </c>
      <c r="AG1237" s="117">
        <f>MIN(MAX(+$P$1-'FA Addition'!$D1237,0),365*'FA Addition'!$O1237)</f>
        <v>0</v>
      </c>
      <c r="AH1237" s="117">
        <f>MIN(MAX($L$1-'FA Addition'!$D1237+1,0),365*'FA Addition'!$O1237)</f>
        <v>0</v>
      </c>
      <c r="AI1237" s="117" cm="1">
        <f t="array" ref="AI1237">_xlfn.XLOOKUP(1,('FA Write off'!A:A='FA Addition'!$A1237)*('FA Write off'!D:D=AA1237),'FA Write off'!H:H,0,0)</f>
        <v>0</v>
      </c>
      <c r="AJ1237" s="117">
        <f>IF(AC1237&gt;0,MAX(IF('FA Addition'!$N1237="SLM",($AC1237-'FA Addition'!$M1237)*'FA Addition'!$P1237*AI1237/365,(AC1237-'FA Addition'!$M1237)*(1-(1-'FA Addition'!$P1237)^(AI1237/365))),0),0)</f>
        <v>0</v>
      </c>
      <c r="AL1237" s="117">
        <f>MAX(IF(AG1237&gt;0,IF('FA Addition'!$N1237="SLM",($AE1237-'FA Addition'!$M1237)*'FA Addition'!$P1237*AG1237/365,IFERROR(VDB(AE1237,AE1237*0.05,'FA Addition'!$O1237,0,YEARFRAC('FA Addition'!$C1237,$P$1-1,3),'FA Addition'!$Q1237),FAAddition[[#This Row],[Original Cost (Rs)]]-FAAddition[[#This Row],[Salvage Value]])),0),0)</f>
        <v>0</v>
      </c>
      <c r="AM1237" s="119"/>
      <c r="AN1237" s="117">
        <f>MAX(IF(AH1237&gt;0,IF('FA Addition'!$N1237="SLM",($AF1237-'FA Addition'!$M1237)*'FA Addition'!$P1237*AH1237/365,IFERROR(VDB(AF1237,AF1237*0.05,'FA Addition'!$O1237,0,YEARFRAC('FA Addition'!$C1237,$L$1,3),'FA Addition'!$Q1237),FAAddition[[#This Row],[Original Cost (Rs)]]-FAAddition[[#This Row],[Salvage Value]])),0),0)</f>
        <v>0</v>
      </c>
      <c r="AO1237" s="117">
        <f t="shared" si="98"/>
        <v>0</v>
      </c>
      <c r="AQ1237" s="117">
        <f t="shared" si="96"/>
        <v>0</v>
      </c>
      <c r="AR1237" s="120">
        <f t="shared" si="97"/>
        <v>0</v>
      </c>
      <c r="AS1237" s="121"/>
    </row>
    <row r="1238" spans="1:45" ht="13.5" x14ac:dyDescent="0.4">
      <c r="A1238" s="12">
        <f t="shared" si="99"/>
        <v>1235</v>
      </c>
      <c r="B1238" s="64" t="s">
        <v>1758</v>
      </c>
      <c r="C1238" s="54">
        <v>45671</v>
      </c>
      <c r="D1238" s="54">
        <v>45677</v>
      </c>
      <c r="E1238" s="46" t="s">
        <v>1320</v>
      </c>
      <c r="F1238" s="51" t="s">
        <v>33</v>
      </c>
      <c r="G1238" s="51" t="s">
        <v>36</v>
      </c>
      <c r="H1238" s="51" t="s">
        <v>32</v>
      </c>
      <c r="I1238" s="55" t="s">
        <v>2020</v>
      </c>
      <c r="J1238" s="56">
        <v>1000</v>
      </c>
      <c r="K1238" s="51" t="s">
        <v>296</v>
      </c>
      <c r="L1238" s="58">
        <v>1600000</v>
      </c>
      <c r="M1238" s="50">
        <f>ROUND('FA Addition'!$L1238*5%,0.1)</f>
        <v>80000</v>
      </c>
      <c r="N1238" s="113" t="str">
        <f>_xlfn.XLOOKUP(_xlfn.CONCAT(E1238,B1238),'Year Wise Master Dep Approach'!F:F,'Year Wise Master Dep Approach'!D:D)</f>
        <v>SLM</v>
      </c>
      <c r="O1238" s="113">
        <f>_xlfn.XLOOKUP(_xlfn.CONCAT(E1238,B1238),'Year Wise Master Dep Approach'!F:F,'Year Wise Master Dep Approach'!E:E)</f>
        <v>5</v>
      </c>
      <c r="P1238" s="114">
        <f>IFERROR(IF('FA Addition'!$N1238="WDV",1-('FA Addition'!$M1238/'FA Addition'!$L1238)^(1/'FA Addition'!$O1238),1/'FA Addition'!$O1238),0)</f>
        <v>0.2</v>
      </c>
      <c r="Q1238" s="122">
        <f>'FA Addition'!$P1238*'FA Addition'!$O1238</f>
        <v>1</v>
      </c>
      <c r="R1238" s="122"/>
      <c r="S1238" s="116">
        <f>IF(AND(DATE(20&amp;LEFT(FAAddition[[#This Row],[FY]],2),4,1)&lt;$L$1+1,DATE(20&amp;LEFT(FAAddition[[#This Row],[FY]],2),4,1)&gt;$P$1-1),'FA Addition'!$J1238,0)</f>
        <v>0</v>
      </c>
      <c r="U1238" s="117">
        <f>S1238*'FA Addition'!$L1238/'FA Addition'!$J1238</f>
        <v>0</v>
      </c>
      <c r="W1238" s="116">
        <f>SUMIFS('FA Write off'!D:D,'FA Write off'!A:A,'FA Addition'!$A1238,'FA Write off'!C:C,"&lt;"&amp;'FA Addition'!$P$1)</f>
        <v>0</v>
      </c>
      <c r="Y1238" s="191">
        <f>IFERROR(W1238/'FA Addition'!$J1238*'FA Addition'!$L1238,0)</f>
        <v>0</v>
      </c>
      <c r="AA1238" s="116">
        <f>SUMIFS('FA Write off'!D:D,'FA Write off'!A:A,'FA Addition'!$A1238,'FA Write off'!C:C,"&lt;"&amp;'FA Addition'!$L$1+1,'FA Write off'!C:C,"&gt;"&amp;'FA Addition'!$L$1-365)</f>
        <v>0</v>
      </c>
      <c r="AC1238" s="118">
        <f>IFERROR(AA1238/'FA Addition'!$J1238*'FA Addition'!$L1238,0)</f>
        <v>0</v>
      </c>
      <c r="AE1238" s="117">
        <f>IF(AND('FA Addition'!$D1238&lt;$P$1+1,U1238=0),'FA Addition'!$L1238,0)-Y1238</f>
        <v>0</v>
      </c>
      <c r="AF1238" s="117">
        <f t="shared" si="95"/>
        <v>0</v>
      </c>
      <c r="AG1238" s="117">
        <f>MIN(MAX(+$P$1-'FA Addition'!$D1238,0),365*'FA Addition'!$O1238)</f>
        <v>0</v>
      </c>
      <c r="AH1238" s="117">
        <f>MIN(MAX($L$1-'FA Addition'!$D1238+1,0),365*'FA Addition'!$O1238)</f>
        <v>0</v>
      </c>
      <c r="AI1238" s="117" cm="1">
        <f t="array" ref="AI1238">_xlfn.XLOOKUP(1,('FA Write off'!A:A='FA Addition'!$A1238)*('FA Write off'!D:D=AA1238),'FA Write off'!H:H,0,0)</f>
        <v>0</v>
      </c>
      <c r="AJ1238" s="117">
        <f>IF(AC1238&gt;0,MAX(IF('FA Addition'!$N1238="SLM",($AC1238-'FA Addition'!$M1238)*'FA Addition'!$P1238*AI1238/365,(AC1238-'FA Addition'!$M1238)*(1-(1-'FA Addition'!$P1238)^(AI1238/365))),0),0)</f>
        <v>0</v>
      </c>
      <c r="AL1238" s="117">
        <f>MAX(IF(AG1238&gt;0,IF('FA Addition'!$N1238="SLM",($AE1238-'FA Addition'!$M1238)*'FA Addition'!$P1238*AG1238/365,IFERROR(VDB(AE1238,AE1238*0.05,'FA Addition'!$O1238,0,YEARFRAC('FA Addition'!$C1238,$P$1-1,3),'FA Addition'!$Q1238),FAAddition[[#This Row],[Original Cost (Rs)]]-FAAddition[[#This Row],[Salvage Value]])),0),0)</f>
        <v>0</v>
      </c>
      <c r="AM1238" s="119"/>
      <c r="AN1238" s="117">
        <f>MAX(IF(AH1238&gt;0,IF('FA Addition'!$N1238="SLM",($AF1238-'FA Addition'!$M1238)*'FA Addition'!$P1238*AH1238/365,IFERROR(VDB(AF1238,AF1238*0.05,'FA Addition'!$O1238,0,YEARFRAC('FA Addition'!$C1238,$L$1,3),'FA Addition'!$Q1238),FAAddition[[#This Row],[Original Cost (Rs)]]-FAAddition[[#This Row],[Salvage Value]])),0),0)</f>
        <v>0</v>
      </c>
      <c r="AO1238" s="117">
        <f t="shared" si="98"/>
        <v>0</v>
      </c>
      <c r="AQ1238" s="117">
        <f t="shared" si="96"/>
        <v>0</v>
      </c>
      <c r="AR1238" s="120">
        <f t="shared" si="97"/>
        <v>0</v>
      </c>
      <c r="AS1238" s="121"/>
    </row>
    <row r="1239" spans="1:45" ht="13.5" x14ac:dyDescent="0.4">
      <c r="A1239" s="12">
        <f t="shared" si="99"/>
        <v>1236</v>
      </c>
      <c r="B1239" s="64" t="s">
        <v>1758</v>
      </c>
      <c r="C1239" s="54">
        <v>45672</v>
      </c>
      <c r="D1239" s="54">
        <v>45677</v>
      </c>
      <c r="E1239" s="46" t="s">
        <v>1320</v>
      </c>
      <c r="F1239" s="51" t="s">
        <v>33</v>
      </c>
      <c r="G1239" s="51" t="s">
        <v>34</v>
      </c>
      <c r="H1239" s="51" t="s">
        <v>32</v>
      </c>
      <c r="I1239" s="55" t="s">
        <v>2021</v>
      </c>
      <c r="J1239" s="56">
        <v>1500</v>
      </c>
      <c r="K1239" s="51" t="s">
        <v>295</v>
      </c>
      <c r="L1239" s="58">
        <v>2497500</v>
      </c>
      <c r="M1239" s="50">
        <f>ROUND('FA Addition'!$L1239*5%,0.1)</f>
        <v>124875</v>
      </c>
      <c r="N1239" s="113" t="str">
        <f>_xlfn.XLOOKUP(_xlfn.CONCAT(E1239,B1239),'Year Wise Master Dep Approach'!F:F,'Year Wise Master Dep Approach'!D:D)</f>
        <v>SLM</v>
      </c>
      <c r="O1239" s="113">
        <f>_xlfn.XLOOKUP(_xlfn.CONCAT(E1239,B1239),'Year Wise Master Dep Approach'!F:F,'Year Wise Master Dep Approach'!E:E)</f>
        <v>5</v>
      </c>
      <c r="P1239" s="114">
        <f>IFERROR(IF('FA Addition'!$N1239="WDV",1-('FA Addition'!$M1239/'FA Addition'!$L1239)^(1/'FA Addition'!$O1239),1/'FA Addition'!$O1239),0)</f>
        <v>0.2</v>
      </c>
      <c r="Q1239" s="122">
        <f>'FA Addition'!$P1239*'FA Addition'!$O1239</f>
        <v>1</v>
      </c>
      <c r="R1239" s="122"/>
      <c r="S1239" s="116">
        <f>IF(AND(DATE(20&amp;LEFT(FAAddition[[#This Row],[FY]],2),4,1)&lt;$L$1+1,DATE(20&amp;LEFT(FAAddition[[#This Row],[FY]],2),4,1)&gt;$P$1-1),'FA Addition'!$J1239,0)</f>
        <v>0</v>
      </c>
      <c r="U1239" s="117">
        <f>S1239*'FA Addition'!$L1239/'FA Addition'!$J1239</f>
        <v>0</v>
      </c>
      <c r="W1239" s="116">
        <f>SUMIFS('FA Write off'!D:D,'FA Write off'!A:A,'FA Addition'!$A1239,'FA Write off'!C:C,"&lt;"&amp;'FA Addition'!$P$1)</f>
        <v>0</v>
      </c>
      <c r="Y1239" s="191">
        <f>IFERROR(W1239/'FA Addition'!$J1239*'FA Addition'!$L1239,0)</f>
        <v>0</v>
      </c>
      <c r="AA1239" s="116">
        <f>SUMIFS('FA Write off'!D:D,'FA Write off'!A:A,'FA Addition'!$A1239,'FA Write off'!C:C,"&lt;"&amp;'FA Addition'!$L$1+1,'FA Write off'!C:C,"&gt;"&amp;'FA Addition'!$L$1-365)</f>
        <v>0</v>
      </c>
      <c r="AC1239" s="118">
        <f>IFERROR(AA1239/'FA Addition'!$J1239*'FA Addition'!$L1239,0)</f>
        <v>0</v>
      </c>
      <c r="AE1239" s="117">
        <f>IF(AND('FA Addition'!$D1239&lt;$P$1+1,U1239=0),'FA Addition'!$L1239,0)-Y1239</f>
        <v>0</v>
      </c>
      <c r="AF1239" s="117">
        <f t="shared" si="95"/>
        <v>0</v>
      </c>
      <c r="AG1239" s="117">
        <f>MIN(MAX(+$P$1-'FA Addition'!$D1239,0),365*'FA Addition'!$O1239)</f>
        <v>0</v>
      </c>
      <c r="AH1239" s="117">
        <f>MIN(MAX($L$1-'FA Addition'!$D1239+1,0),365*'FA Addition'!$O1239)</f>
        <v>0</v>
      </c>
      <c r="AI1239" s="117" cm="1">
        <f t="array" ref="AI1239">_xlfn.XLOOKUP(1,('FA Write off'!A:A='FA Addition'!$A1239)*('FA Write off'!D:D=AA1239),'FA Write off'!H:H,0,0)</f>
        <v>0</v>
      </c>
      <c r="AJ1239" s="117">
        <f>IF(AC1239&gt;0,MAX(IF('FA Addition'!$N1239="SLM",($AC1239-'FA Addition'!$M1239)*'FA Addition'!$P1239*AI1239/365,(AC1239-'FA Addition'!$M1239)*(1-(1-'FA Addition'!$P1239)^(AI1239/365))),0),0)</f>
        <v>0</v>
      </c>
      <c r="AL1239" s="117">
        <f>MAX(IF(AG1239&gt;0,IF('FA Addition'!$N1239="SLM",($AE1239-'FA Addition'!$M1239)*'FA Addition'!$P1239*AG1239/365,IFERROR(VDB(AE1239,AE1239*0.05,'FA Addition'!$O1239,0,YEARFRAC('FA Addition'!$C1239,$P$1-1,3),'FA Addition'!$Q1239),FAAddition[[#This Row],[Original Cost (Rs)]]-FAAddition[[#This Row],[Salvage Value]])),0),0)</f>
        <v>0</v>
      </c>
      <c r="AM1239" s="119"/>
      <c r="AN1239" s="117">
        <f>MAX(IF(AH1239&gt;0,IF('FA Addition'!$N1239="SLM",($AF1239-'FA Addition'!$M1239)*'FA Addition'!$P1239*AH1239/365,IFERROR(VDB(AF1239,AF1239*0.05,'FA Addition'!$O1239,0,YEARFRAC('FA Addition'!$C1239,$L$1,3),'FA Addition'!$Q1239),FAAddition[[#This Row],[Original Cost (Rs)]]-FAAddition[[#This Row],[Salvage Value]])),0),0)</f>
        <v>0</v>
      </c>
      <c r="AO1239" s="117">
        <f t="shared" si="98"/>
        <v>0</v>
      </c>
      <c r="AQ1239" s="117">
        <f t="shared" si="96"/>
        <v>0</v>
      </c>
      <c r="AR1239" s="120">
        <f t="shared" si="97"/>
        <v>0</v>
      </c>
      <c r="AS1239" s="121"/>
    </row>
    <row r="1240" spans="1:45" ht="13.5" x14ac:dyDescent="0.4">
      <c r="A1240" s="12">
        <f t="shared" si="99"/>
        <v>1237</v>
      </c>
      <c r="B1240" s="64" t="s">
        <v>1758</v>
      </c>
      <c r="C1240" s="54">
        <v>45680</v>
      </c>
      <c r="D1240" s="54">
        <v>45680</v>
      </c>
      <c r="E1240" s="46" t="s">
        <v>451</v>
      </c>
      <c r="F1240" s="51" t="s">
        <v>894</v>
      </c>
      <c r="G1240" s="51" t="s">
        <v>1919</v>
      </c>
      <c r="H1240" s="51" t="s">
        <v>79</v>
      </c>
      <c r="I1240" s="55" t="s">
        <v>2022</v>
      </c>
      <c r="J1240" s="56">
        <v>1</v>
      </c>
      <c r="K1240" s="51" t="s">
        <v>2023</v>
      </c>
      <c r="L1240" s="58">
        <v>55450</v>
      </c>
      <c r="M1240" s="50">
        <f>ROUND('FA Addition'!$L1240*5%,0.1)</f>
        <v>2773</v>
      </c>
      <c r="N1240" s="113" t="str">
        <f>_xlfn.XLOOKUP(_xlfn.CONCAT(E1240,B1240),'Year Wise Master Dep Approach'!F:F,'Year Wise Master Dep Approach'!D:D)</f>
        <v>WDV</v>
      </c>
      <c r="O1240" s="113">
        <f>_xlfn.XLOOKUP(_xlfn.CONCAT(E1240,B1240),'Year Wise Master Dep Approach'!F:F,'Year Wise Master Dep Approach'!E:E)</f>
        <v>3</v>
      </c>
      <c r="P1240" s="114">
        <f>IFERROR(IF('FA Addition'!$N1240="WDV",1-('FA Addition'!$M1240/'FA Addition'!$L1240)^(1/'FA Addition'!$O1240),1/'FA Addition'!$O1240),0)</f>
        <v>0.63157470520023451</v>
      </c>
      <c r="Q1240" s="122">
        <f>'FA Addition'!$P1240*'FA Addition'!$O1240</f>
        <v>1.8947241156007035</v>
      </c>
      <c r="R1240" s="122"/>
      <c r="S1240" s="116">
        <f>IF(AND(DATE(20&amp;LEFT(FAAddition[[#This Row],[FY]],2),4,1)&lt;$L$1+1,DATE(20&amp;LEFT(FAAddition[[#This Row],[FY]],2),4,1)&gt;$P$1-1),'FA Addition'!$J1240,0)</f>
        <v>0</v>
      </c>
      <c r="U1240" s="117">
        <f>S1240*'FA Addition'!$L1240/'FA Addition'!$J1240</f>
        <v>0</v>
      </c>
      <c r="W1240" s="116">
        <f>SUMIFS('FA Write off'!D:D,'FA Write off'!A:A,'FA Addition'!$A1240,'FA Write off'!C:C,"&lt;"&amp;'FA Addition'!$P$1)</f>
        <v>0</v>
      </c>
      <c r="Y1240" s="191">
        <f>IFERROR(W1240/'FA Addition'!$J1240*'FA Addition'!$L1240,0)</f>
        <v>0</v>
      </c>
      <c r="AA1240" s="116">
        <f>SUMIFS('FA Write off'!D:D,'FA Write off'!A:A,'FA Addition'!$A1240,'FA Write off'!C:C,"&lt;"&amp;'FA Addition'!$L$1+1,'FA Write off'!C:C,"&gt;"&amp;'FA Addition'!$L$1-365)</f>
        <v>0</v>
      </c>
      <c r="AC1240" s="118">
        <f>IFERROR(AA1240/'FA Addition'!$J1240*'FA Addition'!$L1240,0)</f>
        <v>0</v>
      </c>
      <c r="AE1240" s="117">
        <f>IF(AND('FA Addition'!$D1240&lt;$P$1+1,U1240=0),'FA Addition'!$L1240,0)-Y1240</f>
        <v>0</v>
      </c>
      <c r="AF1240" s="117">
        <f t="shared" si="95"/>
        <v>0</v>
      </c>
      <c r="AG1240" s="117">
        <f>MIN(MAX(+$P$1-'FA Addition'!$D1240,0),365*'FA Addition'!$O1240)</f>
        <v>0</v>
      </c>
      <c r="AH1240" s="117">
        <f>MIN(MAX($L$1-'FA Addition'!$D1240+1,0),365*'FA Addition'!$O1240)</f>
        <v>0</v>
      </c>
      <c r="AI1240" s="117" cm="1">
        <f t="array" ref="AI1240">_xlfn.XLOOKUP(1,('FA Write off'!A:A='FA Addition'!$A1240)*('FA Write off'!D:D=AA1240),'FA Write off'!H:H,0,0)</f>
        <v>0</v>
      </c>
      <c r="AJ1240" s="117">
        <f>IF(AC1240&gt;0,MAX(IF('FA Addition'!$N1240="SLM",($AC1240-'FA Addition'!$M1240)*'FA Addition'!$P1240*AI1240/365,(AC1240-'FA Addition'!$M1240)*(1-(1-'FA Addition'!$P1240)^(AI1240/365))),0),0)</f>
        <v>0</v>
      </c>
      <c r="AL1240" s="117">
        <f>MAX(IF(AG1240&gt;0,IF('FA Addition'!$N1240="SLM",($AE1240-'FA Addition'!$M1240)*'FA Addition'!$P1240*AG1240/365,IFERROR(VDB(AE1240,AE1240*0.05,'FA Addition'!$O1240,0,YEARFRAC('FA Addition'!$C1240,$P$1-1,3),'FA Addition'!$Q1240),FAAddition[[#This Row],[Original Cost (Rs)]]-FAAddition[[#This Row],[Salvage Value]])),0),0)</f>
        <v>0</v>
      </c>
      <c r="AM1240" s="119"/>
      <c r="AN1240" s="117">
        <f>MAX(IF(AH1240&gt;0,IF('FA Addition'!$N1240="SLM",($AF1240-'FA Addition'!$M1240)*'FA Addition'!$P1240*AH1240/365,IFERROR(VDB(AF1240,AF1240*0.05,'FA Addition'!$O1240,0,YEARFRAC('FA Addition'!$C1240,$L$1,3),'FA Addition'!$Q1240),FAAddition[[#This Row],[Original Cost (Rs)]]-FAAddition[[#This Row],[Salvage Value]])),0),0)</f>
        <v>0</v>
      </c>
      <c r="AO1240" s="117">
        <f t="shared" si="98"/>
        <v>0</v>
      </c>
      <c r="AQ1240" s="117">
        <f t="shared" si="96"/>
        <v>0</v>
      </c>
      <c r="AR1240" s="120">
        <f t="shared" si="97"/>
        <v>0</v>
      </c>
      <c r="AS1240" s="121"/>
    </row>
    <row r="1241" spans="1:45" ht="13.5" x14ac:dyDescent="0.4">
      <c r="A1241" s="12">
        <f t="shared" si="99"/>
        <v>1238</v>
      </c>
      <c r="B1241" s="64" t="s">
        <v>1758</v>
      </c>
      <c r="C1241" s="54">
        <v>45680</v>
      </c>
      <c r="D1241" s="54">
        <v>45680</v>
      </c>
      <c r="E1241" s="46" t="s">
        <v>451</v>
      </c>
      <c r="F1241" s="51" t="s">
        <v>894</v>
      </c>
      <c r="G1241" s="51" t="s">
        <v>1919</v>
      </c>
      <c r="H1241" s="51" t="s">
        <v>151</v>
      </c>
      <c r="I1241" s="55" t="s">
        <v>2022</v>
      </c>
      <c r="J1241" s="56">
        <v>1</v>
      </c>
      <c r="K1241" s="51" t="s">
        <v>2024</v>
      </c>
      <c r="L1241" s="58">
        <v>10200</v>
      </c>
      <c r="M1241" s="50">
        <f>ROUND('FA Addition'!$L1241*5%,0.1)</f>
        <v>510</v>
      </c>
      <c r="N1241" s="113" t="str">
        <f>_xlfn.XLOOKUP(_xlfn.CONCAT(E1241,B1241),'Year Wise Master Dep Approach'!F:F,'Year Wise Master Dep Approach'!D:D)</f>
        <v>WDV</v>
      </c>
      <c r="O1241" s="113">
        <f>_xlfn.XLOOKUP(_xlfn.CONCAT(E1241,B1241),'Year Wise Master Dep Approach'!F:F,'Year Wise Master Dep Approach'!E:E)</f>
        <v>3</v>
      </c>
      <c r="P1241" s="114">
        <f>IFERROR(IF('FA Addition'!$N1241="WDV",1-('FA Addition'!$M1241/'FA Addition'!$L1241)^(1/'FA Addition'!$O1241),1/'FA Addition'!$O1241),0)</f>
        <v>0.63159685013596123</v>
      </c>
      <c r="Q1241" s="122">
        <f>'FA Addition'!$P1241*'FA Addition'!$O1241</f>
        <v>1.8947905504078837</v>
      </c>
      <c r="R1241" s="122"/>
      <c r="S1241" s="116">
        <f>IF(AND(DATE(20&amp;LEFT(FAAddition[[#This Row],[FY]],2),4,1)&lt;$L$1+1,DATE(20&amp;LEFT(FAAddition[[#This Row],[FY]],2),4,1)&gt;$P$1-1),'FA Addition'!$J1241,0)</f>
        <v>0</v>
      </c>
      <c r="U1241" s="117">
        <f>S1241*'FA Addition'!$L1241/'FA Addition'!$J1241</f>
        <v>0</v>
      </c>
      <c r="W1241" s="116">
        <f>SUMIFS('FA Write off'!D:D,'FA Write off'!A:A,'FA Addition'!$A1241,'FA Write off'!C:C,"&lt;"&amp;'FA Addition'!$P$1)</f>
        <v>0</v>
      </c>
      <c r="Y1241" s="191">
        <f>IFERROR(W1241/'FA Addition'!$J1241*'FA Addition'!$L1241,0)</f>
        <v>0</v>
      </c>
      <c r="AA1241" s="116">
        <f>SUMIFS('FA Write off'!D:D,'FA Write off'!A:A,'FA Addition'!$A1241,'FA Write off'!C:C,"&lt;"&amp;'FA Addition'!$L$1+1,'FA Write off'!C:C,"&gt;"&amp;'FA Addition'!$L$1-365)</f>
        <v>0</v>
      </c>
      <c r="AC1241" s="118">
        <f>IFERROR(AA1241/'FA Addition'!$J1241*'FA Addition'!$L1241,0)</f>
        <v>0</v>
      </c>
      <c r="AE1241" s="117">
        <f>IF(AND('FA Addition'!$D1241&lt;$P$1+1,U1241=0),'FA Addition'!$L1241,0)-Y1241</f>
        <v>0</v>
      </c>
      <c r="AF1241" s="117">
        <f t="shared" si="95"/>
        <v>0</v>
      </c>
      <c r="AG1241" s="117">
        <f>MIN(MAX(+$P$1-'FA Addition'!$D1241,0),365*'FA Addition'!$O1241)</f>
        <v>0</v>
      </c>
      <c r="AH1241" s="117">
        <f>MIN(MAX($L$1-'FA Addition'!$D1241+1,0),365*'FA Addition'!$O1241)</f>
        <v>0</v>
      </c>
      <c r="AI1241" s="117" cm="1">
        <f t="array" ref="AI1241">_xlfn.XLOOKUP(1,('FA Write off'!A:A='FA Addition'!$A1241)*('FA Write off'!D:D=AA1241),'FA Write off'!H:H,0,0)</f>
        <v>0</v>
      </c>
      <c r="AJ1241" s="117">
        <f>IF(AC1241&gt;0,MAX(IF('FA Addition'!$N1241="SLM",($AC1241-'FA Addition'!$M1241)*'FA Addition'!$P1241*AI1241/365,(AC1241-'FA Addition'!$M1241)*(1-(1-'FA Addition'!$P1241)^(AI1241/365))),0),0)</f>
        <v>0</v>
      </c>
      <c r="AL1241" s="117">
        <f>MAX(IF(AG1241&gt;0,IF('FA Addition'!$N1241="SLM",($AE1241-'FA Addition'!$M1241)*'FA Addition'!$P1241*AG1241/365,IFERROR(VDB(AE1241,AE1241*0.05,'FA Addition'!$O1241,0,YEARFRAC('FA Addition'!$C1241,$P$1-1,3),'FA Addition'!$Q1241),FAAddition[[#This Row],[Original Cost (Rs)]]-FAAddition[[#This Row],[Salvage Value]])),0),0)</f>
        <v>0</v>
      </c>
      <c r="AM1241" s="119"/>
      <c r="AN1241" s="117">
        <f>MAX(IF(AH1241&gt;0,IF('FA Addition'!$N1241="SLM",($AF1241-'FA Addition'!$M1241)*'FA Addition'!$P1241*AH1241/365,IFERROR(VDB(AF1241,AF1241*0.05,'FA Addition'!$O1241,0,YEARFRAC('FA Addition'!$C1241,$L$1,3),'FA Addition'!$Q1241),FAAddition[[#This Row],[Original Cost (Rs)]]-FAAddition[[#This Row],[Salvage Value]])),0),0)</f>
        <v>0</v>
      </c>
      <c r="AO1241" s="117">
        <f t="shared" si="98"/>
        <v>0</v>
      </c>
      <c r="AQ1241" s="117">
        <f t="shared" si="96"/>
        <v>0</v>
      </c>
      <c r="AR1241" s="120">
        <f t="shared" si="97"/>
        <v>0</v>
      </c>
      <c r="AS1241" s="121"/>
    </row>
    <row r="1242" spans="1:45" ht="13.5" x14ac:dyDescent="0.4">
      <c r="A1242" s="12">
        <f t="shared" si="99"/>
        <v>1239</v>
      </c>
      <c r="B1242" s="64" t="s">
        <v>1758</v>
      </c>
      <c r="C1242" s="54">
        <v>45680</v>
      </c>
      <c r="D1242" s="54">
        <v>45680</v>
      </c>
      <c r="E1242" s="46" t="s">
        <v>451</v>
      </c>
      <c r="F1242" s="51" t="s">
        <v>894</v>
      </c>
      <c r="G1242" s="51" t="s">
        <v>1919</v>
      </c>
      <c r="H1242" s="51" t="s">
        <v>151</v>
      </c>
      <c r="I1242" s="55" t="s">
        <v>2022</v>
      </c>
      <c r="J1242" s="56">
        <v>1</v>
      </c>
      <c r="K1242" s="51" t="s">
        <v>2024</v>
      </c>
      <c r="L1242" s="58">
        <v>10200</v>
      </c>
      <c r="M1242" s="50">
        <f>ROUND('FA Addition'!$L1242*5%,0.1)</f>
        <v>510</v>
      </c>
      <c r="N1242" s="113" t="str">
        <f>_xlfn.XLOOKUP(_xlfn.CONCAT(E1242,B1242),'Year Wise Master Dep Approach'!F:F,'Year Wise Master Dep Approach'!D:D)</f>
        <v>WDV</v>
      </c>
      <c r="O1242" s="113">
        <f>_xlfn.XLOOKUP(_xlfn.CONCAT(E1242,B1242),'Year Wise Master Dep Approach'!F:F,'Year Wise Master Dep Approach'!E:E)</f>
        <v>3</v>
      </c>
      <c r="P1242" s="114">
        <f>IFERROR(IF('FA Addition'!$N1242="WDV",1-('FA Addition'!$M1242/'FA Addition'!$L1242)^(1/'FA Addition'!$O1242),1/'FA Addition'!$O1242),0)</f>
        <v>0.63159685013596123</v>
      </c>
      <c r="Q1242" s="122">
        <f>'FA Addition'!$P1242*'FA Addition'!$O1242</f>
        <v>1.8947905504078837</v>
      </c>
      <c r="R1242" s="122"/>
      <c r="S1242" s="116">
        <f>IF(AND(DATE(20&amp;LEFT(FAAddition[[#This Row],[FY]],2),4,1)&lt;$L$1+1,DATE(20&amp;LEFT(FAAddition[[#This Row],[FY]],2),4,1)&gt;$P$1-1),'FA Addition'!$J1242,0)</f>
        <v>0</v>
      </c>
      <c r="U1242" s="117">
        <f>S1242*'FA Addition'!$L1242/'FA Addition'!$J1242</f>
        <v>0</v>
      </c>
      <c r="W1242" s="116">
        <f>SUMIFS('FA Write off'!D:D,'FA Write off'!A:A,'FA Addition'!$A1242,'FA Write off'!C:C,"&lt;"&amp;'FA Addition'!$P$1)</f>
        <v>0</v>
      </c>
      <c r="Y1242" s="191">
        <f>IFERROR(W1242/'FA Addition'!$J1242*'FA Addition'!$L1242,0)</f>
        <v>0</v>
      </c>
      <c r="AA1242" s="116">
        <f>SUMIFS('FA Write off'!D:D,'FA Write off'!A:A,'FA Addition'!$A1242,'FA Write off'!C:C,"&lt;"&amp;'FA Addition'!$L$1+1,'FA Write off'!C:C,"&gt;"&amp;'FA Addition'!$L$1-365)</f>
        <v>0</v>
      </c>
      <c r="AC1242" s="118">
        <f>IFERROR(AA1242/'FA Addition'!$J1242*'FA Addition'!$L1242,0)</f>
        <v>0</v>
      </c>
      <c r="AE1242" s="117">
        <f>IF(AND('FA Addition'!$D1242&lt;$P$1+1,U1242=0),'FA Addition'!$L1242,0)-Y1242</f>
        <v>0</v>
      </c>
      <c r="AF1242" s="117">
        <f t="shared" si="95"/>
        <v>0</v>
      </c>
      <c r="AG1242" s="117">
        <f>MIN(MAX(+$P$1-'FA Addition'!$D1242,0),365*'FA Addition'!$O1242)</f>
        <v>0</v>
      </c>
      <c r="AH1242" s="117">
        <f>MIN(MAX($L$1-'FA Addition'!$D1242+1,0),365*'FA Addition'!$O1242)</f>
        <v>0</v>
      </c>
      <c r="AI1242" s="117" cm="1">
        <f t="array" ref="AI1242">_xlfn.XLOOKUP(1,('FA Write off'!A:A='FA Addition'!$A1242)*('FA Write off'!D:D=AA1242),'FA Write off'!H:H,0,0)</f>
        <v>0</v>
      </c>
      <c r="AJ1242" s="117">
        <f>IF(AC1242&gt;0,MAX(IF('FA Addition'!$N1242="SLM",($AC1242-'FA Addition'!$M1242)*'FA Addition'!$P1242*AI1242/365,(AC1242-'FA Addition'!$M1242)*(1-(1-'FA Addition'!$P1242)^(AI1242/365))),0),0)</f>
        <v>0</v>
      </c>
      <c r="AL1242" s="117">
        <f>MAX(IF(AG1242&gt;0,IF('FA Addition'!$N1242="SLM",($AE1242-'FA Addition'!$M1242)*'FA Addition'!$P1242*AG1242/365,IFERROR(VDB(AE1242,AE1242*0.05,'FA Addition'!$O1242,0,YEARFRAC('FA Addition'!$C1242,$P$1-1,3),'FA Addition'!$Q1242),FAAddition[[#This Row],[Original Cost (Rs)]]-FAAddition[[#This Row],[Salvage Value]])),0),0)</f>
        <v>0</v>
      </c>
      <c r="AM1242" s="119"/>
      <c r="AN1242" s="117">
        <f>MAX(IF(AH1242&gt;0,IF('FA Addition'!$N1242="SLM",($AF1242-'FA Addition'!$M1242)*'FA Addition'!$P1242*AH1242/365,IFERROR(VDB(AF1242,AF1242*0.05,'FA Addition'!$O1242,0,YEARFRAC('FA Addition'!$C1242,$L$1,3),'FA Addition'!$Q1242),FAAddition[[#This Row],[Original Cost (Rs)]]-FAAddition[[#This Row],[Salvage Value]])),0),0)</f>
        <v>0</v>
      </c>
      <c r="AO1242" s="117">
        <f t="shared" si="98"/>
        <v>0</v>
      </c>
      <c r="AQ1242" s="117">
        <f t="shared" si="96"/>
        <v>0</v>
      </c>
      <c r="AR1242" s="120">
        <f t="shared" si="97"/>
        <v>0</v>
      </c>
      <c r="AS1242" s="121"/>
    </row>
    <row r="1243" spans="1:45" ht="13.5" x14ac:dyDescent="0.4">
      <c r="A1243" s="12">
        <f t="shared" si="99"/>
        <v>1240</v>
      </c>
      <c r="B1243" s="64" t="s">
        <v>1758</v>
      </c>
      <c r="C1243" s="54">
        <v>45674</v>
      </c>
      <c r="D1243" s="54">
        <v>45680</v>
      </c>
      <c r="E1243" s="46" t="s">
        <v>1320</v>
      </c>
      <c r="F1243" s="51" t="s">
        <v>33</v>
      </c>
      <c r="G1243" s="51" t="s">
        <v>36</v>
      </c>
      <c r="H1243" s="51" t="s">
        <v>32</v>
      </c>
      <c r="I1243" s="55" t="s">
        <v>2025</v>
      </c>
      <c r="J1243" s="56">
        <v>300</v>
      </c>
      <c r="K1243" s="51" t="s">
        <v>296</v>
      </c>
      <c r="L1243" s="58">
        <v>480000</v>
      </c>
      <c r="M1243" s="50">
        <f>ROUND('FA Addition'!$L1243*5%,0.1)</f>
        <v>24000</v>
      </c>
      <c r="N1243" s="113" t="str">
        <f>_xlfn.XLOOKUP(_xlfn.CONCAT(E1243,B1243),'Year Wise Master Dep Approach'!F:F,'Year Wise Master Dep Approach'!D:D)</f>
        <v>SLM</v>
      </c>
      <c r="O1243" s="113">
        <f>_xlfn.XLOOKUP(_xlfn.CONCAT(E1243,B1243),'Year Wise Master Dep Approach'!F:F,'Year Wise Master Dep Approach'!E:E)</f>
        <v>5</v>
      </c>
      <c r="P1243" s="114">
        <f>IFERROR(IF('FA Addition'!$N1243="WDV",1-('FA Addition'!$M1243/'FA Addition'!$L1243)^(1/'FA Addition'!$O1243),1/'FA Addition'!$O1243),0)</f>
        <v>0.2</v>
      </c>
      <c r="Q1243" s="122">
        <f>'FA Addition'!$P1243*'FA Addition'!$O1243</f>
        <v>1</v>
      </c>
      <c r="R1243" s="122"/>
      <c r="S1243" s="116">
        <f>IF(AND(DATE(20&amp;LEFT(FAAddition[[#This Row],[FY]],2),4,1)&lt;$L$1+1,DATE(20&amp;LEFT(FAAddition[[#This Row],[FY]],2),4,1)&gt;$P$1-1),'FA Addition'!$J1243,0)</f>
        <v>0</v>
      </c>
      <c r="U1243" s="117">
        <f>S1243*'FA Addition'!$L1243/'FA Addition'!$J1243</f>
        <v>0</v>
      </c>
      <c r="W1243" s="116">
        <f>SUMIFS('FA Write off'!D:D,'FA Write off'!A:A,'FA Addition'!$A1243,'FA Write off'!C:C,"&lt;"&amp;'FA Addition'!$P$1)</f>
        <v>0</v>
      </c>
      <c r="Y1243" s="191">
        <f>IFERROR(W1243/'FA Addition'!$J1243*'FA Addition'!$L1243,0)</f>
        <v>0</v>
      </c>
      <c r="AA1243" s="116">
        <f>SUMIFS('FA Write off'!D:D,'FA Write off'!A:A,'FA Addition'!$A1243,'FA Write off'!C:C,"&lt;"&amp;'FA Addition'!$L$1+1,'FA Write off'!C:C,"&gt;"&amp;'FA Addition'!$L$1-365)</f>
        <v>0</v>
      </c>
      <c r="AC1243" s="118">
        <f>IFERROR(AA1243/'FA Addition'!$J1243*'FA Addition'!$L1243,0)</f>
        <v>0</v>
      </c>
      <c r="AE1243" s="117">
        <f>IF(AND('FA Addition'!$D1243&lt;$P$1+1,U1243=0),'FA Addition'!$L1243,0)-Y1243</f>
        <v>0</v>
      </c>
      <c r="AF1243" s="117">
        <f t="shared" si="95"/>
        <v>0</v>
      </c>
      <c r="AG1243" s="117">
        <f>MIN(MAX(+$P$1-'FA Addition'!$D1243,0),365*'FA Addition'!$O1243)</f>
        <v>0</v>
      </c>
      <c r="AH1243" s="117">
        <f>MIN(MAX($L$1-'FA Addition'!$D1243+1,0),365*'FA Addition'!$O1243)</f>
        <v>0</v>
      </c>
      <c r="AI1243" s="117" cm="1">
        <f t="array" ref="AI1243">_xlfn.XLOOKUP(1,('FA Write off'!A:A='FA Addition'!$A1243)*('FA Write off'!D:D=AA1243),'FA Write off'!H:H,0,0)</f>
        <v>0</v>
      </c>
      <c r="AJ1243" s="117">
        <f>IF(AC1243&gt;0,MAX(IF('FA Addition'!$N1243="SLM",($AC1243-'FA Addition'!$M1243)*'FA Addition'!$P1243*AI1243/365,(AC1243-'FA Addition'!$M1243)*(1-(1-'FA Addition'!$P1243)^(AI1243/365))),0),0)</f>
        <v>0</v>
      </c>
      <c r="AL1243" s="117">
        <f>MAX(IF(AG1243&gt;0,IF('FA Addition'!$N1243="SLM",($AE1243-'FA Addition'!$M1243)*'FA Addition'!$P1243*AG1243/365,IFERROR(VDB(AE1243,AE1243*0.05,'FA Addition'!$O1243,0,YEARFRAC('FA Addition'!$C1243,$P$1-1,3),'FA Addition'!$Q1243),FAAddition[[#This Row],[Original Cost (Rs)]]-FAAddition[[#This Row],[Salvage Value]])),0),0)</f>
        <v>0</v>
      </c>
      <c r="AM1243" s="119"/>
      <c r="AN1243" s="117">
        <f>MAX(IF(AH1243&gt;0,IF('FA Addition'!$N1243="SLM",($AF1243-'FA Addition'!$M1243)*'FA Addition'!$P1243*AH1243/365,IFERROR(VDB(AF1243,AF1243*0.05,'FA Addition'!$O1243,0,YEARFRAC('FA Addition'!$C1243,$L$1,3),'FA Addition'!$Q1243),FAAddition[[#This Row],[Original Cost (Rs)]]-FAAddition[[#This Row],[Salvage Value]])),0),0)</f>
        <v>0</v>
      </c>
      <c r="AO1243" s="117">
        <f t="shared" si="98"/>
        <v>0</v>
      </c>
      <c r="AQ1243" s="117">
        <f t="shared" si="96"/>
        <v>0</v>
      </c>
      <c r="AR1243" s="120">
        <f t="shared" si="97"/>
        <v>0</v>
      </c>
      <c r="AS1243" s="121"/>
    </row>
    <row r="1244" spans="1:45" ht="13.5" x14ac:dyDescent="0.4">
      <c r="A1244" s="12">
        <f t="shared" si="99"/>
        <v>1241</v>
      </c>
      <c r="B1244" s="64" t="s">
        <v>1758</v>
      </c>
      <c r="C1244" s="54">
        <v>45677</v>
      </c>
      <c r="D1244" s="54">
        <v>45680</v>
      </c>
      <c r="E1244" s="46" t="s">
        <v>1320</v>
      </c>
      <c r="F1244" s="51" t="s">
        <v>33</v>
      </c>
      <c r="G1244" s="51" t="s">
        <v>36</v>
      </c>
      <c r="H1244" s="51" t="s">
        <v>32</v>
      </c>
      <c r="I1244" s="55" t="s">
        <v>2026</v>
      </c>
      <c r="J1244" s="56">
        <v>1000</v>
      </c>
      <c r="K1244" s="51" t="s">
        <v>296</v>
      </c>
      <c r="L1244" s="58">
        <v>1600000</v>
      </c>
      <c r="M1244" s="50">
        <f>ROUND('FA Addition'!$L1244*5%,0.1)</f>
        <v>80000</v>
      </c>
      <c r="N1244" s="113" t="str">
        <f>_xlfn.XLOOKUP(_xlfn.CONCAT(E1244,B1244),'Year Wise Master Dep Approach'!F:F,'Year Wise Master Dep Approach'!D:D)</f>
        <v>SLM</v>
      </c>
      <c r="O1244" s="113">
        <f>_xlfn.XLOOKUP(_xlfn.CONCAT(E1244,B1244),'Year Wise Master Dep Approach'!F:F,'Year Wise Master Dep Approach'!E:E)</f>
        <v>5</v>
      </c>
      <c r="P1244" s="114">
        <f>IFERROR(IF('FA Addition'!$N1244="WDV",1-('FA Addition'!$M1244/'FA Addition'!$L1244)^(1/'FA Addition'!$O1244),1/'FA Addition'!$O1244),0)</f>
        <v>0.2</v>
      </c>
      <c r="Q1244" s="122">
        <f>'FA Addition'!$P1244*'FA Addition'!$O1244</f>
        <v>1</v>
      </c>
      <c r="R1244" s="122"/>
      <c r="S1244" s="116">
        <f>IF(AND(DATE(20&amp;LEFT(FAAddition[[#This Row],[FY]],2),4,1)&lt;$L$1+1,DATE(20&amp;LEFT(FAAddition[[#This Row],[FY]],2),4,1)&gt;$P$1-1),'FA Addition'!$J1244,0)</f>
        <v>0</v>
      </c>
      <c r="U1244" s="117">
        <f>S1244*'FA Addition'!$L1244/'FA Addition'!$J1244</f>
        <v>0</v>
      </c>
      <c r="W1244" s="116">
        <f>SUMIFS('FA Write off'!D:D,'FA Write off'!A:A,'FA Addition'!$A1244,'FA Write off'!C:C,"&lt;"&amp;'FA Addition'!$P$1)</f>
        <v>0</v>
      </c>
      <c r="Y1244" s="191">
        <f>IFERROR(W1244/'FA Addition'!$J1244*'FA Addition'!$L1244,0)</f>
        <v>0</v>
      </c>
      <c r="AA1244" s="116">
        <f>SUMIFS('FA Write off'!D:D,'FA Write off'!A:A,'FA Addition'!$A1244,'FA Write off'!C:C,"&lt;"&amp;'FA Addition'!$L$1+1,'FA Write off'!C:C,"&gt;"&amp;'FA Addition'!$L$1-365)</f>
        <v>0</v>
      </c>
      <c r="AC1244" s="118">
        <f>IFERROR(AA1244/'FA Addition'!$J1244*'FA Addition'!$L1244,0)</f>
        <v>0</v>
      </c>
      <c r="AE1244" s="117">
        <f>IF(AND('FA Addition'!$D1244&lt;$P$1+1,U1244=0),'FA Addition'!$L1244,0)-Y1244</f>
        <v>0</v>
      </c>
      <c r="AF1244" s="117">
        <f t="shared" si="95"/>
        <v>0</v>
      </c>
      <c r="AG1244" s="117">
        <f>MIN(MAX(+$P$1-'FA Addition'!$D1244,0),365*'FA Addition'!$O1244)</f>
        <v>0</v>
      </c>
      <c r="AH1244" s="117">
        <f>MIN(MAX($L$1-'FA Addition'!$D1244+1,0),365*'FA Addition'!$O1244)</f>
        <v>0</v>
      </c>
      <c r="AI1244" s="117" cm="1">
        <f t="array" ref="AI1244">_xlfn.XLOOKUP(1,('FA Write off'!A:A='FA Addition'!$A1244)*('FA Write off'!D:D=AA1244),'FA Write off'!H:H,0,0)</f>
        <v>0</v>
      </c>
      <c r="AJ1244" s="117">
        <f>IF(AC1244&gt;0,MAX(IF('FA Addition'!$N1244="SLM",($AC1244-'FA Addition'!$M1244)*'FA Addition'!$P1244*AI1244/365,(AC1244-'FA Addition'!$M1244)*(1-(1-'FA Addition'!$P1244)^(AI1244/365))),0),0)</f>
        <v>0</v>
      </c>
      <c r="AL1244" s="117">
        <f>MAX(IF(AG1244&gt;0,IF('FA Addition'!$N1244="SLM",($AE1244-'FA Addition'!$M1244)*'FA Addition'!$P1244*AG1244/365,IFERROR(VDB(AE1244,AE1244*0.05,'FA Addition'!$O1244,0,YEARFRAC('FA Addition'!$C1244,$P$1-1,3),'FA Addition'!$Q1244),FAAddition[[#This Row],[Original Cost (Rs)]]-FAAddition[[#This Row],[Salvage Value]])),0),0)</f>
        <v>0</v>
      </c>
      <c r="AM1244" s="119"/>
      <c r="AN1244" s="117">
        <f>MAX(IF(AH1244&gt;0,IF('FA Addition'!$N1244="SLM",($AF1244-'FA Addition'!$M1244)*'FA Addition'!$P1244*AH1244/365,IFERROR(VDB(AF1244,AF1244*0.05,'FA Addition'!$O1244,0,YEARFRAC('FA Addition'!$C1244,$L$1,3),'FA Addition'!$Q1244),FAAddition[[#This Row],[Original Cost (Rs)]]-FAAddition[[#This Row],[Salvage Value]])),0),0)</f>
        <v>0</v>
      </c>
      <c r="AO1244" s="117">
        <f t="shared" si="98"/>
        <v>0</v>
      </c>
      <c r="AQ1244" s="117">
        <f t="shared" si="96"/>
        <v>0</v>
      </c>
      <c r="AR1244" s="120">
        <f t="shared" si="97"/>
        <v>0</v>
      </c>
      <c r="AS1244" s="121"/>
    </row>
    <row r="1245" spans="1:45" ht="13.5" x14ac:dyDescent="0.4">
      <c r="A1245" s="12">
        <f t="shared" si="99"/>
        <v>1242</v>
      </c>
      <c r="B1245" s="64" t="s">
        <v>1758</v>
      </c>
      <c r="C1245" s="54">
        <v>45679</v>
      </c>
      <c r="D1245" s="54">
        <v>45680</v>
      </c>
      <c r="E1245" s="46" t="s">
        <v>1320</v>
      </c>
      <c r="F1245" s="51" t="s">
        <v>33</v>
      </c>
      <c r="G1245" s="51" t="s">
        <v>34</v>
      </c>
      <c r="H1245" s="51" t="s">
        <v>32</v>
      </c>
      <c r="I1245" s="55" t="s">
        <v>2027</v>
      </c>
      <c r="J1245" s="56">
        <v>1000</v>
      </c>
      <c r="K1245" s="51" t="s">
        <v>295</v>
      </c>
      <c r="L1245" s="58">
        <v>1665000</v>
      </c>
      <c r="M1245" s="50">
        <f>ROUND('FA Addition'!$L1245*5%,0.1)</f>
        <v>83250</v>
      </c>
      <c r="N1245" s="113" t="str">
        <f>_xlfn.XLOOKUP(_xlfn.CONCAT(E1245,B1245),'Year Wise Master Dep Approach'!F:F,'Year Wise Master Dep Approach'!D:D)</f>
        <v>SLM</v>
      </c>
      <c r="O1245" s="113">
        <f>_xlfn.XLOOKUP(_xlfn.CONCAT(E1245,B1245),'Year Wise Master Dep Approach'!F:F,'Year Wise Master Dep Approach'!E:E)</f>
        <v>5</v>
      </c>
      <c r="P1245" s="114">
        <f>IFERROR(IF('FA Addition'!$N1245="WDV",1-('FA Addition'!$M1245/'FA Addition'!$L1245)^(1/'FA Addition'!$O1245),1/'FA Addition'!$O1245),0)</f>
        <v>0.2</v>
      </c>
      <c r="Q1245" s="122">
        <f>'FA Addition'!$P1245*'FA Addition'!$O1245</f>
        <v>1</v>
      </c>
      <c r="R1245" s="122"/>
      <c r="S1245" s="116">
        <f>IF(AND(DATE(20&amp;LEFT(FAAddition[[#This Row],[FY]],2),4,1)&lt;$L$1+1,DATE(20&amp;LEFT(FAAddition[[#This Row],[FY]],2),4,1)&gt;$P$1-1),'FA Addition'!$J1245,0)</f>
        <v>0</v>
      </c>
      <c r="U1245" s="117">
        <f>S1245*'FA Addition'!$L1245/'FA Addition'!$J1245</f>
        <v>0</v>
      </c>
      <c r="W1245" s="116">
        <f>SUMIFS('FA Write off'!D:D,'FA Write off'!A:A,'FA Addition'!$A1245,'FA Write off'!C:C,"&lt;"&amp;'FA Addition'!$P$1)</f>
        <v>0</v>
      </c>
      <c r="Y1245" s="191">
        <f>IFERROR(W1245/'FA Addition'!$J1245*'FA Addition'!$L1245,0)</f>
        <v>0</v>
      </c>
      <c r="AA1245" s="116">
        <f>SUMIFS('FA Write off'!D:D,'FA Write off'!A:A,'FA Addition'!$A1245,'FA Write off'!C:C,"&lt;"&amp;'FA Addition'!$L$1+1,'FA Write off'!C:C,"&gt;"&amp;'FA Addition'!$L$1-365)</f>
        <v>0</v>
      </c>
      <c r="AC1245" s="118">
        <f>IFERROR(AA1245/'FA Addition'!$J1245*'FA Addition'!$L1245,0)</f>
        <v>0</v>
      </c>
      <c r="AE1245" s="117">
        <f>IF(AND('FA Addition'!$D1245&lt;$P$1+1,U1245=0),'FA Addition'!$L1245,0)-Y1245</f>
        <v>0</v>
      </c>
      <c r="AF1245" s="117">
        <f t="shared" si="95"/>
        <v>0</v>
      </c>
      <c r="AG1245" s="117">
        <f>MIN(MAX(+$P$1-'FA Addition'!$D1245,0),365*'FA Addition'!$O1245)</f>
        <v>0</v>
      </c>
      <c r="AH1245" s="117">
        <f>MIN(MAX($L$1-'FA Addition'!$D1245+1,0),365*'FA Addition'!$O1245)</f>
        <v>0</v>
      </c>
      <c r="AI1245" s="117" cm="1">
        <f t="array" ref="AI1245">_xlfn.XLOOKUP(1,('FA Write off'!A:A='FA Addition'!$A1245)*('FA Write off'!D:D=AA1245),'FA Write off'!H:H,0,0)</f>
        <v>0</v>
      </c>
      <c r="AJ1245" s="117">
        <f>IF(AC1245&gt;0,MAX(IF('FA Addition'!$N1245="SLM",($AC1245-'FA Addition'!$M1245)*'FA Addition'!$P1245*AI1245/365,(AC1245-'FA Addition'!$M1245)*(1-(1-'FA Addition'!$P1245)^(AI1245/365))),0),0)</f>
        <v>0</v>
      </c>
      <c r="AL1245" s="117">
        <f>MAX(IF(AG1245&gt;0,IF('FA Addition'!$N1245="SLM",($AE1245-'FA Addition'!$M1245)*'FA Addition'!$P1245*AG1245/365,IFERROR(VDB(AE1245,AE1245*0.05,'FA Addition'!$O1245,0,YEARFRAC('FA Addition'!$C1245,$P$1-1,3),'FA Addition'!$Q1245),FAAddition[[#This Row],[Original Cost (Rs)]]-FAAddition[[#This Row],[Salvage Value]])),0),0)</f>
        <v>0</v>
      </c>
      <c r="AM1245" s="119"/>
      <c r="AN1245" s="117">
        <f>MAX(IF(AH1245&gt;0,IF('FA Addition'!$N1245="SLM",($AF1245-'FA Addition'!$M1245)*'FA Addition'!$P1245*AH1245/365,IFERROR(VDB(AF1245,AF1245*0.05,'FA Addition'!$O1245,0,YEARFRAC('FA Addition'!$C1245,$L$1,3),'FA Addition'!$Q1245),FAAddition[[#This Row],[Original Cost (Rs)]]-FAAddition[[#This Row],[Salvage Value]])),0),0)</f>
        <v>0</v>
      </c>
      <c r="AO1245" s="117">
        <f t="shared" si="98"/>
        <v>0</v>
      </c>
      <c r="AQ1245" s="117">
        <f t="shared" si="96"/>
        <v>0</v>
      </c>
      <c r="AR1245" s="120">
        <f t="shared" si="97"/>
        <v>0</v>
      </c>
      <c r="AS1245" s="121"/>
    </row>
    <row r="1246" spans="1:45" ht="13.5" x14ac:dyDescent="0.4">
      <c r="A1246" s="12">
        <f t="shared" si="99"/>
        <v>1243</v>
      </c>
      <c r="B1246" s="64" t="s">
        <v>1758</v>
      </c>
      <c r="C1246" s="54">
        <v>45681</v>
      </c>
      <c r="D1246" s="54">
        <v>45686</v>
      </c>
      <c r="E1246" s="46" t="s">
        <v>1320</v>
      </c>
      <c r="F1246" s="51" t="s">
        <v>33</v>
      </c>
      <c r="G1246" s="51" t="s">
        <v>36</v>
      </c>
      <c r="H1246" s="51" t="s">
        <v>32</v>
      </c>
      <c r="I1246" s="55" t="s">
        <v>2028</v>
      </c>
      <c r="J1246" s="56">
        <v>1000</v>
      </c>
      <c r="K1246" s="51" t="s">
        <v>296</v>
      </c>
      <c r="L1246" s="58">
        <v>1600000</v>
      </c>
      <c r="M1246" s="50">
        <f>ROUND('FA Addition'!$L1246*5%,0.1)</f>
        <v>80000</v>
      </c>
      <c r="N1246" s="113" t="str">
        <f>_xlfn.XLOOKUP(_xlfn.CONCAT(E1246,B1246),'Year Wise Master Dep Approach'!F:F,'Year Wise Master Dep Approach'!D:D)</f>
        <v>SLM</v>
      </c>
      <c r="O1246" s="113">
        <f>_xlfn.XLOOKUP(_xlfn.CONCAT(E1246,B1246),'Year Wise Master Dep Approach'!F:F,'Year Wise Master Dep Approach'!E:E)</f>
        <v>5</v>
      </c>
      <c r="P1246" s="114">
        <f>IFERROR(IF('FA Addition'!$N1246="WDV",1-('FA Addition'!$M1246/'FA Addition'!$L1246)^(1/'FA Addition'!$O1246),1/'FA Addition'!$O1246),0)</f>
        <v>0.2</v>
      </c>
      <c r="Q1246" s="122">
        <f>'FA Addition'!$P1246*'FA Addition'!$O1246</f>
        <v>1</v>
      </c>
      <c r="R1246" s="122"/>
      <c r="S1246" s="116">
        <f>IF(AND(DATE(20&amp;LEFT(FAAddition[[#This Row],[FY]],2),4,1)&lt;$L$1+1,DATE(20&amp;LEFT(FAAddition[[#This Row],[FY]],2),4,1)&gt;$P$1-1),'FA Addition'!$J1246,0)</f>
        <v>0</v>
      </c>
      <c r="U1246" s="117">
        <f>S1246*'FA Addition'!$L1246/'FA Addition'!$J1246</f>
        <v>0</v>
      </c>
      <c r="W1246" s="116">
        <f>SUMIFS('FA Write off'!D:D,'FA Write off'!A:A,'FA Addition'!$A1246,'FA Write off'!C:C,"&lt;"&amp;'FA Addition'!$P$1)</f>
        <v>0</v>
      </c>
      <c r="Y1246" s="191">
        <f>IFERROR(W1246/'FA Addition'!$J1246*'FA Addition'!$L1246,0)</f>
        <v>0</v>
      </c>
      <c r="AA1246" s="116">
        <f>SUMIFS('FA Write off'!D:D,'FA Write off'!A:A,'FA Addition'!$A1246,'FA Write off'!C:C,"&lt;"&amp;'FA Addition'!$L$1+1,'FA Write off'!C:C,"&gt;"&amp;'FA Addition'!$L$1-365)</f>
        <v>0</v>
      </c>
      <c r="AC1246" s="118">
        <f>IFERROR(AA1246/'FA Addition'!$J1246*'FA Addition'!$L1246,0)</f>
        <v>0</v>
      </c>
      <c r="AE1246" s="117">
        <f>IF(AND('FA Addition'!$D1246&lt;$P$1+1,U1246=0),'FA Addition'!$L1246,0)-Y1246</f>
        <v>0</v>
      </c>
      <c r="AF1246" s="117">
        <f t="shared" si="95"/>
        <v>0</v>
      </c>
      <c r="AG1246" s="117">
        <f>MIN(MAX(+$P$1-'FA Addition'!$D1246,0),365*'FA Addition'!$O1246)</f>
        <v>0</v>
      </c>
      <c r="AH1246" s="117">
        <f>MIN(MAX($L$1-'FA Addition'!$D1246+1,0),365*'FA Addition'!$O1246)</f>
        <v>0</v>
      </c>
      <c r="AI1246" s="117" cm="1">
        <f t="array" ref="AI1246">_xlfn.XLOOKUP(1,('FA Write off'!A:A='FA Addition'!$A1246)*('FA Write off'!D:D=AA1246),'FA Write off'!H:H,0,0)</f>
        <v>0</v>
      </c>
      <c r="AJ1246" s="117">
        <f>IF(AC1246&gt;0,MAX(IF('FA Addition'!$N1246="SLM",($AC1246-'FA Addition'!$M1246)*'FA Addition'!$P1246*AI1246/365,(AC1246-'FA Addition'!$M1246)*(1-(1-'FA Addition'!$P1246)^(AI1246/365))),0),0)</f>
        <v>0</v>
      </c>
      <c r="AL1246" s="117">
        <f>MAX(IF(AG1246&gt;0,IF('FA Addition'!$N1246="SLM",($AE1246-'FA Addition'!$M1246)*'FA Addition'!$P1246*AG1246/365,IFERROR(VDB(AE1246,AE1246*0.05,'FA Addition'!$O1246,0,YEARFRAC('FA Addition'!$C1246,$P$1-1,3),'FA Addition'!$Q1246),FAAddition[[#This Row],[Original Cost (Rs)]]-FAAddition[[#This Row],[Salvage Value]])),0),0)</f>
        <v>0</v>
      </c>
      <c r="AM1246" s="119"/>
      <c r="AN1246" s="117">
        <f>MAX(IF(AH1246&gt;0,IF('FA Addition'!$N1246="SLM",($AF1246-'FA Addition'!$M1246)*'FA Addition'!$P1246*AH1246/365,IFERROR(VDB(AF1246,AF1246*0.05,'FA Addition'!$O1246,0,YEARFRAC('FA Addition'!$C1246,$L$1,3),'FA Addition'!$Q1246),FAAddition[[#This Row],[Original Cost (Rs)]]-FAAddition[[#This Row],[Salvage Value]])),0),0)</f>
        <v>0</v>
      </c>
      <c r="AO1246" s="117">
        <f t="shared" si="98"/>
        <v>0</v>
      </c>
      <c r="AQ1246" s="117">
        <f t="shared" si="96"/>
        <v>0</v>
      </c>
      <c r="AR1246" s="120">
        <f t="shared" si="97"/>
        <v>0</v>
      </c>
      <c r="AS1246" s="121"/>
    </row>
    <row r="1247" spans="1:45" ht="13.5" x14ac:dyDescent="0.4">
      <c r="A1247" s="12">
        <f t="shared" si="99"/>
        <v>1244</v>
      </c>
      <c r="B1247" s="64" t="s">
        <v>1758</v>
      </c>
      <c r="C1247" s="54">
        <v>45682</v>
      </c>
      <c r="D1247" s="54">
        <v>45686</v>
      </c>
      <c r="E1247" s="46" t="s">
        <v>1320</v>
      </c>
      <c r="F1247" s="51" t="s">
        <v>33</v>
      </c>
      <c r="G1247" s="51" t="s">
        <v>36</v>
      </c>
      <c r="H1247" s="51" t="s">
        <v>32</v>
      </c>
      <c r="I1247" s="55" t="s">
        <v>2029</v>
      </c>
      <c r="J1247" s="56">
        <v>200</v>
      </c>
      <c r="K1247" s="51" t="s">
        <v>296</v>
      </c>
      <c r="L1247" s="58">
        <v>320000</v>
      </c>
      <c r="M1247" s="50">
        <f>ROUND('FA Addition'!$L1247*5%,0.1)</f>
        <v>16000</v>
      </c>
      <c r="N1247" s="113" t="str">
        <f>_xlfn.XLOOKUP(_xlfn.CONCAT(E1247,B1247),'Year Wise Master Dep Approach'!F:F,'Year Wise Master Dep Approach'!D:D)</f>
        <v>SLM</v>
      </c>
      <c r="O1247" s="113">
        <f>_xlfn.XLOOKUP(_xlfn.CONCAT(E1247,B1247),'Year Wise Master Dep Approach'!F:F,'Year Wise Master Dep Approach'!E:E)</f>
        <v>5</v>
      </c>
      <c r="P1247" s="114">
        <f>IFERROR(IF('FA Addition'!$N1247="WDV",1-('FA Addition'!$M1247/'FA Addition'!$L1247)^(1/'FA Addition'!$O1247),1/'FA Addition'!$O1247),0)</f>
        <v>0.2</v>
      </c>
      <c r="Q1247" s="122">
        <f>'FA Addition'!$P1247*'FA Addition'!$O1247</f>
        <v>1</v>
      </c>
      <c r="R1247" s="122"/>
      <c r="S1247" s="116">
        <f>IF(AND(DATE(20&amp;LEFT(FAAddition[[#This Row],[FY]],2),4,1)&lt;$L$1+1,DATE(20&amp;LEFT(FAAddition[[#This Row],[FY]],2),4,1)&gt;$P$1-1),'FA Addition'!$J1247,0)</f>
        <v>0</v>
      </c>
      <c r="U1247" s="117">
        <f>S1247*'FA Addition'!$L1247/'FA Addition'!$J1247</f>
        <v>0</v>
      </c>
      <c r="W1247" s="116">
        <f>SUMIFS('FA Write off'!D:D,'FA Write off'!A:A,'FA Addition'!$A1247,'FA Write off'!C:C,"&lt;"&amp;'FA Addition'!$P$1)</f>
        <v>0</v>
      </c>
      <c r="Y1247" s="191">
        <f>IFERROR(W1247/'FA Addition'!$J1247*'FA Addition'!$L1247,0)</f>
        <v>0</v>
      </c>
      <c r="AA1247" s="116">
        <f>SUMIFS('FA Write off'!D:D,'FA Write off'!A:A,'FA Addition'!$A1247,'FA Write off'!C:C,"&lt;"&amp;'FA Addition'!$L$1+1,'FA Write off'!C:C,"&gt;"&amp;'FA Addition'!$L$1-365)</f>
        <v>0</v>
      </c>
      <c r="AC1247" s="118">
        <f>IFERROR(AA1247/'FA Addition'!$J1247*'FA Addition'!$L1247,0)</f>
        <v>0</v>
      </c>
      <c r="AE1247" s="117">
        <f>IF(AND('FA Addition'!$D1247&lt;$P$1+1,U1247=0),'FA Addition'!$L1247,0)-Y1247</f>
        <v>0</v>
      </c>
      <c r="AF1247" s="117">
        <f t="shared" si="95"/>
        <v>0</v>
      </c>
      <c r="AG1247" s="117">
        <f>MIN(MAX(+$P$1-'FA Addition'!$D1247,0),365*'FA Addition'!$O1247)</f>
        <v>0</v>
      </c>
      <c r="AH1247" s="117">
        <f>MIN(MAX($L$1-'FA Addition'!$D1247+1,0),365*'FA Addition'!$O1247)</f>
        <v>0</v>
      </c>
      <c r="AI1247" s="117" cm="1">
        <f t="array" ref="AI1247">_xlfn.XLOOKUP(1,('FA Write off'!A:A='FA Addition'!$A1247)*('FA Write off'!D:D=AA1247),'FA Write off'!H:H,0,0)</f>
        <v>0</v>
      </c>
      <c r="AJ1247" s="117">
        <f>IF(AC1247&gt;0,MAX(IF('FA Addition'!$N1247="SLM",($AC1247-'FA Addition'!$M1247)*'FA Addition'!$P1247*AI1247/365,(AC1247-'FA Addition'!$M1247)*(1-(1-'FA Addition'!$P1247)^(AI1247/365))),0),0)</f>
        <v>0</v>
      </c>
      <c r="AL1247" s="117">
        <f>MAX(IF(AG1247&gt;0,IF('FA Addition'!$N1247="SLM",($AE1247-'FA Addition'!$M1247)*'FA Addition'!$P1247*AG1247/365,IFERROR(VDB(AE1247,AE1247*0.05,'FA Addition'!$O1247,0,YEARFRAC('FA Addition'!$C1247,$P$1-1,3),'FA Addition'!$Q1247),FAAddition[[#This Row],[Original Cost (Rs)]]-FAAddition[[#This Row],[Salvage Value]])),0),0)</f>
        <v>0</v>
      </c>
      <c r="AM1247" s="119"/>
      <c r="AN1247" s="117">
        <f>MAX(IF(AH1247&gt;0,IF('FA Addition'!$N1247="SLM",($AF1247-'FA Addition'!$M1247)*'FA Addition'!$P1247*AH1247/365,IFERROR(VDB(AF1247,AF1247*0.05,'FA Addition'!$O1247,0,YEARFRAC('FA Addition'!$C1247,$L$1,3),'FA Addition'!$Q1247),FAAddition[[#This Row],[Original Cost (Rs)]]-FAAddition[[#This Row],[Salvage Value]])),0),0)</f>
        <v>0</v>
      </c>
      <c r="AO1247" s="117">
        <f t="shared" si="98"/>
        <v>0</v>
      </c>
      <c r="AQ1247" s="117">
        <f t="shared" si="96"/>
        <v>0</v>
      </c>
      <c r="AR1247" s="120">
        <f t="shared" si="97"/>
        <v>0</v>
      </c>
      <c r="AS1247" s="121"/>
    </row>
    <row r="1248" spans="1:45" ht="13.5" x14ac:dyDescent="0.4">
      <c r="A1248" s="12">
        <f t="shared" si="99"/>
        <v>1245</v>
      </c>
      <c r="B1248" s="64" t="s">
        <v>1758</v>
      </c>
      <c r="C1248" s="54">
        <v>45684</v>
      </c>
      <c r="D1248" s="54">
        <v>45686</v>
      </c>
      <c r="E1248" s="46" t="s">
        <v>1320</v>
      </c>
      <c r="F1248" s="51" t="s">
        <v>33</v>
      </c>
      <c r="G1248" s="51" t="s">
        <v>34</v>
      </c>
      <c r="H1248" s="51" t="s">
        <v>32</v>
      </c>
      <c r="I1248" s="55" t="s">
        <v>2030</v>
      </c>
      <c r="J1248" s="56">
        <v>1000</v>
      </c>
      <c r="K1248" s="51" t="s">
        <v>295</v>
      </c>
      <c r="L1248" s="58">
        <v>1665000</v>
      </c>
      <c r="M1248" s="50">
        <f>ROUND('FA Addition'!$L1248*5%,0.1)</f>
        <v>83250</v>
      </c>
      <c r="N1248" s="113" t="str">
        <f>_xlfn.XLOOKUP(_xlfn.CONCAT(E1248,B1248),'Year Wise Master Dep Approach'!F:F,'Year Wise Master Dep Approach'!D:D)</f>
        <v>SLM</v>
      </c>
      <c r="O1248" s="113">
        <f>_xlfn.XLOOKUP(_xlfn.CONCAT(E1248,B1248),'Year Wise Master Dep Approach'!F:F,'Year Wise Master Dep Approach'!E:E)</f>
        <v>5</v>
      </c>
      <c r="P1248" s="114">
        <f>IFERROR(IF('FA Addition'!$N1248="WDV",1-('FA Addition'!$M1248/'FA Addition'!$L1248)^(1/'FA Addition'!$O1248),1/'FA Addition'!$O1248),0)</f>
        <v>0.2</v>
      </c>
      <c r="Q1248" s="122">
        <f>'FA Addition'!$P1248*'FA Addition'!$O1248</f>
        <v>1</v>
      </c>
      <c r="R1248" s="122"/>
      <c r="S1248" s="116">
        <f>IF(AND(DATE(20&amp;LEFT(FAAddition[[#This Row],[FY]],2),4,1)&lt;$L$1+1,DATE(20&amp;LEFT(FAAddition[[#This Row],[FY]],2),4,1)&gt;$P$1-1),'FA Addition'!$J1248,0)</f>
        <v>0</v>
      </c>
      <c r="U1248" s="117">
        <f>S1248*'FA Addition'!$L1248/'FA Addition'!$J1248</f>
        <v>0</v>
      </c>
      <c r="W1248" s="116">
        <f>SUMIFS('FA Write off'!D:D,'FA Write off'!A:A,'FA Addition'!$A1248,'FA Write off'!C:C,"&lt;"&amp;'FA Addition'!$P$1)</f>
        <v>0</v>
      </c>
      <c r="Y1248" s="191">
        <f>IFERROR(W1248/'FA Addition'!$J1248*'FA Addition'!$L1248,0)</f>
        <v>0</v>
      </c>
      <c r="AA1248" s="116">
        <f>SUMIFS('FA Write off'!D:D,'FA Write off'!A:A,'FA Addition'!$A1248,'FA Write off'!C:C,"&lt;"&amp;'FA Addition'!$L$1+1,'FA Write off'!C:C,"&gt;"&amp;'FA Addition'!$L$1-365)</f>
        <v>0</v>
      </c>
      <c r="AC1248" s="118">
        <f>IFERROR(AA1248/'FA Addition'!$J1248*'FA Addition'!$L1248,0)</f>
        <v>0</v>
      </c>
      <c r="AE1248" s="117">
        <f>IF(AND('FA Addition'!$D1248&lt;$P$1+1,U1248=0),'FA Addition'!$L1248,0)-Y1248</f>
        <v>0</v>
      </c>
      <c r="AF1248" s="117">
        <f t="shared" si="95"/>
        <v>0</v>
      </c>
      <c r="AG1248" s="117">
        <f>MIN(MAX(+$P$1-'FA Addition'!$D1248,0),365*'FA Addition'!$O1248)</f>
        <v>0</v>
      </c>
      <c r="AH1248" s="117">
        <f>MIN(MAX($L$1-'FA Addition'!$D1248+1,0),365*'FA Addition'!$O1248)</f>
        <v>0</v>
      </c>
      <c r="AI1248" s="117" cm="1">
        <f t="array" ref="AI1248">_xlfn.XLOOKUP(1,('FA Write off'!A:A='FA Addition'!$A1248)*('FA Write off'!D:D=AA1248),'FA Write off'!H:H,0,0)</f>
        <v>0</v>
      </c>
      <c r="AJ1248" s="117">
        <f>IF(AC1248&gt;0,MAX(IF('FA Addition'!$N1248="SLM",($AC1248-'FA Addition'!$M1248)*'FA Addition'!$P1248*AI1248/365,(AC1248-'FA Addition'!$M1248)*(1-(1-'FA Addition'!$P1248)^(AI1248/365))),0),0)</f>
        <v>0</v>
      </c>
      <c r="AL1248" s="117">
        <f>MAX(IF(AG1248&gt;0,IF('FA Addition'!$N1248="SLM",($AE1248-'FA Addition'!$M1248)*'FA Addition'!$P1248*AG1248/365,IFERROR(VDB(AE1248,AE1248*0.05,'FA Addition'!$O1248,0,YEARFRAC('FA Addition'!$C1248,$P$1-1,3),'FA Addition'!$Q1248),FAAddition[[#This Row],[Original Cost (Rs)]]-FAAddition[[#This Row],[Salvage Value]])),0),0)</f>
        <v>0</v>
      </c>
      <c r="AM1248" s="119"/>
      <c r="AN1248" s="117">
        <f>MAX(IF(AH1248&gt;0,IF('FA Addition'!$N1248="SLM",($AF1248-'FA Addition'!$M1248)*'FA Addition'!$P1248*AH1248/365,IFERROR(VDB(AF1248,AF1248*0.05,'FA Addition'!$O1248,0,YEARFRAC('FA Addition'!$C1248,$L$1,3),'FA Addition'!$Q1248),FAAddition[[#This Row],[Original Cost (Rs)]]-FAAddition[[#This Row],[Salvage Value]])),0),0)</f>
        <v>0</v>
      </c>
      <c r="AO1248" s="117">
        <f t="shared" si="98"/>
        <v>0</v>
      </c>
      <c r="AQ1248" s="117">
        <f t="shared" si="96"/>
        <v>0</v>
      </c>
      <c r="AR1248" s="120">
        <f t="shared" si="97"/>
        <v>0</v>
      </c>
      <c r="AS1248" s="121"/>
    </row>
    <row r="1249" spans="1:45" ht="13.5" x14ac:dyDescent="0.4">
      <c r="A1249" s="12">
        <f t="shared" si="99"/>
        <v>1246</v>
      </c>
      <c r="B1249" s="64" t="s">
        <v>1758</v>
      </c>
      <c r="C1249" s="54">
        <v>45686</v>
      </c>
      <c r="D1249" s="54">
        <v>45686</v>
      </c>
      <c r="E1249" s="46" t="s">
        <v>749</v>
      </c>
      <c r="F1249" s="51" t="s">
        <v>187</v>
      </c>
      <c r="G1249" s="51" t="s">
        <v>1919</v>
      </c>
      <c r="H1249" s="51" t="s">
        <v>187</v>
      </c>
      <c r="I1249" s="55" t="s">
        <v>2031</v>
      </c>
      <c r="J1249" s="56">
        <v>1</v>
      </c>
      <c r="K1249" s="51" t="s">
        <v>2032</v>
      </c>
      <c r="L1249" s="58">
        <v>31500</v>
      </c>
      <c r="M1249" s="50">
        <f>ROUND('FA Addition'!$L1249*5%,0.1)</f>
        <v>1575</v>
      </c>
      <c r="N1249" s="113" t="str">
        <f>_xlfn.XLOOKUP(_xlfn.CONCAT(E1249,B1249),'Year Wise Master Dep Approach'!F:F,'Year Wise Master Dep Approach'!D:D)</f>
        <v>WDV</v>
      </c>
      <c r="O1249" s="113">
        <f>_xlfn.XLOOKUP(_xlfn.CONCAT(E1249,B1249),'Year Wise Master Dep Approach'!F:F,'Year Wise Master Dep Approach'!E:E)</f>
        <v>5</v>
      </c>
      <c r="P1249" s="114">
        <f>IFERROR(IF('FA Addition'!$N1249="WDV",1-('FA Addition'!$M1249/'FA Addition'!$L1249)^(1/'FA Addition'!$O1249),1/'FA Addition'!$O1249),0)</f>
        <v>0.45071972834694107</v>
      </c>
      <c r="Q1249" s="122">
        <f>'FA Addition'!$P1249*'FA Addition'!$O1249</f>
        <v>2.2535986417347056</v>
      </c>
      <c r="R1249" s="122"/>
      <c r="S1249" s="116">
        <f>IF(AND(DATE(20&amp;LEFT(FAAddition[[#This Row],[FY]],2),4,1)&lt;$L$1+1,DATE(20&amp;LEFT(FAAddition[[#This Row],[FY]],2),4,1)&gt;$P$1-1),'FA Addition'!$J1249,0)</f>
        <v>0</v>
      </c>
      <c r="U1249" s="117">
        <f>S1249*'FA Addition'!$L1249/'FA Addition'!$J1249</f>
        <v>0</v>
      </c>
      <c r="W1249" s="116">
        <f>SUMIFS('FA Write off'!D:D,'FA Write off'!A:A,'FA Addition'!$A1249,'FA Write off'!C:C,"&lt;"&amp;'FA Addition'!$P$1)</f>
        <v>0</v>
      </c>
      <c r="Y1249" s="191">
        <f>IFERROR(W1249/'FA Addition'!$J1249*'FA Addition'!$L1249,0)</f>
        <v>0</v>
      </c>
      <c r="AA1249" s="116">
        <f>SUMIFS('FA Write off'!D:D,'FA Write off'!A:A,'FA Addition'!$A1249,'FA Write off'!C:C,"&lt;"&amp;'FA Addition'!$L$1+1,'FA Write off'!C:C,"&gt;"&amp;'FA Addition'!$L$1-365)</f>
        <v>0</v>
      </c>
      <c r="AC1249" s="118">
        <f>IFERROR(AA1249/'FA Addition'!$J1249*'FA Addition'!$L1249,0)</f>
        <v>0</v>
      </c>
      <c r="AE1249" s="117">
        <f>IF(AND('FA Addition'!$D1249&lt;$P$1+1,U1249=0),'FA Addition'!$L1249,0)-Y1249</f>
        <v>0</v>
      </c>
      <c r="AF1249" s="117">
        <f t="shared" si="95"/>
        <v>0</v>
      </c>
      <c r="AG1249" s="117">
        <f>MIN(MAX(+$P$1-'FA Addition'!$D1249,0),365*'FA Addition'!$O1249)</f>
        <v>0</v>
      </c>
      <c r="AH1249" s="117">
        <f>MIN(MAX($L$1-'FA Addition'!$D1249+1,0),365*'FA Addition'!$O1249)</f>
        <v>0</v>
      </c>
      <c r="AI1249" s="117" cm="1">
        <f t="array" ref="AI1249">_xlfn.XLOOKUP(1,('FA Write off'!A:A='FA Addition'!$A1249)*('FA Write off'!D:D=AA1249),'FA Write off'!H:H,0,0)</f>
        <v>0</v>
      </c>
      <c r="AJ1249" s="117">
        <f>IF(AC1249&gt;0,MAX(IF('FA Addition'!$N1249="SLM",($AC1249-'FA Addition'!$M1249)*'FA Addition'!$P1249*AI1249/365,(AC1249-'FA Addition'!$M1249)*(1-(1-'FA Addition'!$P1249)^(AI1249/365))),0),0)</f>
        <v>0</v>
      </c>
      <c r="AL1249" s="117">
        <f>MAX(IF(AG1249&gt;0,IF('FA Addition'!$N1249="SLM",($AE1249-'FA Addition'!$M1249)*'FA Addition'!$P1249*AG1249/365,IFERROR(VDB(AE1249,AE1249*0.05,'FA Addition'!$O1249,0,YEARFRAC('FA Addition'!$C1249,$P$1-1,3),'FA Addition'!$Q1249),FAAddition[[#This Row],[Original Cost (Rs)]]-FAAddition[[#This Row],[Salvage Value]])),0),0)</f>
        <v>0</v>
      </c>
      <c r="AM1249" s="119"/>
      <c r="AN1249" s="117">
        <f>MAX(IF(AH1249&gt;0,IF('FA Addition'!$N1249="SLM",($AF1249-'FA Addition'!$M1249)*'FA Addition'!$P1249*AH1249/365,IFERROR(VDB(AF1249,AF1249*0.05,'FA Addition'!$O1249,0,YEARFRAC('FA Addition'!$C1249,$L$1,3),'FA Addition'!$Q1249),FAAddition[[#This Row],[Original Cost (Rs)]]-FAAddition[[#This Row],[Salvage Value]])),0),0)</f>
        <v>0</v>
      </c>
      <c r="AO1249" s="117">
        <f t="shared" si="98"/>
        <v>0</v>
      </c>
      <c r="AQ1249" s="117">
        <f t="shared" si="96"/>
        <v>0</v>
      </c>
      <c r="AR1249" s="120">
        <f t="shared" si="97"/>
        <v>0</v>
      </c>
      <c r="AS1249" s="121"/>
    </row>
    <row r="1250" spans="1:45" ht="13.5" x14ac:dyDescent="0.4">
      <c r="A1250" s="12">
        <f t="shared" si="99"/>
        <v>1247</v>
      </c>
      <c r="B1250" s="64" t="s">
        <v>1758</v>
      </c>
      <c r="C1250" s="54">
        <v>45688</v>
      </c>
      <c r="D1250" s="54">
        <v>45686</v>
      </c>
      <c r="E1250" s="46" t="s">
        <v>1320</v>
      </c>
      <c r="F1250" s="51" t="s">
        <v>33</v>
      </c>
      <c r="G1250" s="51" t="s">
        <v>1980</v>
      </c>
      <c r="H1250" s="51" t="s">
        <v>26</v>
      </c>
      <c r="I1250" s="55">
        <v>829</v>
      </c>
      <c r="J1250" s="56">
        <v>2000</v>
      </c>
      <c r="K1250" s="51" t="s">
        <v>1968</v>
      </c>
      <c r="L1250" s="58">
        <v>135000</v>
      </c>
      <c r="M1250" s="50">
        <f>ROUND('FA Addition'!$L1250*5%,0.1)</f>
        <v>6750</v>
      </c>
      <c r="N1250" s="113" t="str">
        <f>_xlfn.XLOOKUP(_xlfn.CONCAT(E1250,B1250),'Year Wise Master Dep Approach'!F:F,'Year Wise Master Dep Approach'!D:D)</f>
        <v>SLM</v>
      </c>
      <c r="O1250" s="113">
        <f>_xlfn.XLOOKUP(_xlfn.CONCAT(E1250,B1250),'Year Wise Master Dep Approach'!F:F,'Year Wise Master Dep Approach'!E:E)</f>
        <v>5</v>
      </c>
      <c r="P1250" s="114">
        <f>IFERROR(IF('FA Addition'!$N1250="WDV",1-('FA Addition'!$M1250/'FA Addition'!$L1250)^(1/'FA Addition'!$O1250),1/'FA Addition'!$O1250),0)</f>
        <v>0.2</v>
      </c>
      <c r="Q1250" s="122">
        <f>'FA Addition'!$P1250*'FA Addition'!$O1250</f>
        <v>1</v>
      </c>
      <c r="R1250" s="122"/>
      <c r="S1250" s="116">
        <f>IF(AND(DATE(20&amp;LEFT(FAAddition[[#This Row],[FY]],2),4,1)&lt;$L$1+1,DATE(20&amp;LEFT(FAAddition[[#This Row],[FY]],2),4,1)&gt;$P$1-1),'FA Addition'!$J1250,0)</f>
        <v>0</v>
      </c>
      <c r="U1250" s="117">
        <f>S1250*'FA Addition'!$L1250/'FA Addition'!$J1250</f>
        <v>0</v>
      </c>
      <c r="W1250" s="116">
        <f>SUMIFS('FA Write off'!D:D,'FA Write off'!A:A,'FA Addition'!$A1250,'FA Write off'!C:C,"&lt;"&amp;'FA Addition'!$P$1)</f>
        <v>0</v>
      </c>
      <c r="Y1250" s="191">
        <f>IFERROR(W1250/'FA Addition'!$J1250*'FA Addition'!$L1250,0)</f>
        <v>0</v>
      </c>
      <c r="AA1250" s="116">
        <f>SUMIFS('FA Write off'!D:D,'FA Write off'!A:A,'FA Addition'!$A1250,'FA Write off'!C:C,"&lt;"&amp;'FA Addition'!$L$1+1,'FA Write off'!C:C,"&gt;"&amp;'FA Addition'!$L$1-365)</f>
        <v>0</v>
      </c>
      <c r="AC1250" s="118">
        <f>IFERROR(AA1250/'FA Addition'!$J1250*'FA Addition'!$L1250,0)</f>
        <v>0</v>
      </c>
      <c r="AE1250" s="117">
        <f>IF(AND('FA Addition'!$D1250&lt;$P$1+1,U1250=0),'FA Addition'!$L1250,0)-Y1250</f>
        <v>0</v>
      </c>
      <c r="AF1250" s="117">
        <f t="shared" si="95"/>
        <v>0</v>
      </c>
      <c r="AG1250" s="117">
        <f>MIN(MAX(+$P$1-'FA Addition'!$D1250,0),365*'FA Addition'!$O1250)</f>
        <v>0</v>
      </c>
      <c r="AH1250" s="117">
        <f>MIN(MAX($L$1-'FA Addition'!$D1250+1,0),365*'FA Addition'!$O1250)</f>
        <v>0</v>
      </c>
      <c r="AI1250" s="117" cm="1">
        <f t="array" ref="AI1250">_xlfn.XLOOKUP(1,('FA Write off'!A:A='FA Addition'!$A1250)*('FA Write off'!D:D=AA1250),'FA Write off'!H:H,0,0)</f>
        <v>0</v>
      </c>
      <c r="AJ1250" s="117">
        <f>IF(AC1250&gt;0,MAX(IF('FA Addition'!$N1250="SLM",($AC1250-'FA Addition'!$M1250)*'FA Addition'!$P1250*AI1250/365,(AC1250-'FA Addition'!$M1250)*(1-(1-'FA Addition'!$P1250)^(AI1250/365))),0),0)</f>
        <v>0</v>
      </c>
      <c r="AL1250" s="117">
        <f>MAX(IF(AG1250&gt;0,IF('FA Addition'!$N1250="SLM",($AE1250-'FA Addition'!$M1250)*'FA Addition'!$P1250*AG1250/365,IFERROR(VDB(AE1250,AE1250*0.05,'FA Addition'!$O1250,0,YEARFRAC('FA Addition'!$C1250,$P$1-1,3),'FA Addition'!$Q1250),FAAddition[[#This Row],[Original Cost (Rs)]]-FAAddition[[#This Row],[Salvage Value]])),0),0)</f>
        <v>0</v>
      </c>
      <c r="AM1250" s="119"/>
      <c r="AN1250" s="117">
        <f>MAX(IF(AH1250&gt;0,IF('FA Addition'!$N1250="SLM",($AF1250-'FA Addition'!$M1250)*'FA Addition'!$P1250*AH1250/365,IFERROR(VDB(AF1250,AF1250*0.05,'FA Addition'!$O1250,0,YEARFRAC('FA Addition'!$C1250,$L$1,3),'FA Addition'!$Q1250),FAAddition[[#This Row],[Original Cost (Rs)]]-FAAddition[[#This Row],[Salvage Value]])),0),0)</f>
        <v>0</v>
      </c>
      <c r="AO1250" s="117">
        <f t="shared" si="98"/>
        <v>0</v>
      </c>
      <c r="AQ1250" s="117">
        <f t="shared" si="96"/>
        <v>0</v>
      </c>
      <c r="AR1250" s="120">
        <f t="shared" si="97"/>
        <v>0</v>
      </c>
      <c r="AS1250" s="121"/>
    </row>
    <row r="1251" spans="1:45" ht="13.5" x14ac:dyDescent="0.4">
      <c r="A1251" s="12">
        <f t="shared" si="99"/>
        <v>1248</v>
      </c>
      <c r="B1251" s="64" t="s">
        <v>1758</v>
      </c>
      <c r="C1251" s="54">
        <v>45687</v>
      </c>
      <c r="D1251" s="54">
        <v>45687</v>
      </c>
      <c r="E1251" s="46" t="s">
        <v>1320</v>
      </c>
      <c r="F1251" s="51" t="s">
        <v>33</v>
      </c>
      <c r="G1251" s="51" t="s">
        <v>36</v>
      </c>
      <c r="H1251" s="51" t="s">
        <v>32</v>
      </c>
      <c r="I1251" s="55" t="s">
        <v>2033</v>
      </c>
      <c r="J1251" s="56">
        <v>1000</v>
      </c>
      <c r="K1251" s="51" t="s">
        <v>296</v>
      </c>
      <c r="L1251" s="58">
        <v>1600000</v>
      </c>
      <c r="M1251" s="50">
        <f>ROUND('FA Addition'!$L1251*5%,0.1)</f>
        <v>80000</v>
      </c>
      <c r="N1251" s="113" t="str">
        <f>_xlfn.XLOOKUP(_xlfn.CONCAT(E1251,B1251),'Year Wise Master Dep Approach'!F:F,'Year Wise Master Dep Approach'!D:D)</f>
        <v>SLM</v>
      </c>
      <c r="O1251" s="113">
        <f>_xlfn.XLOOKUP(_xlfn.CONCAT(E1251,B1251),'Year Wise Master Dep Approach'!F:F,'Year Wise Master Dep Approach'!E:E)</f>
        <v>5</v>
      </c>
      <c r="P1251" s="114">
        <f>IFERROR(IF('FA Addition'!$N1251="WDV",1-('FA Addition'!$M1251/'FA Addition'!$L1251)^(1/'FA Addition'!$O1251),1/'FA Addition'!$O1251),0)</f>
        <v>0.2</v>
      </c>
      <c r="Q1251" s="122">
        <f>'FA Addition'!$P1251*'FA Addition'!$O1251</f>
        <v>1</v>
      </c>
      <c r="R1251" s="122"/>
      <c r="S1251" s="116">
        <f>IF(AND(DATE(20&amp;LEFT(FAAddition[[#This Row],[FY]],2),4,1)&lt;$L$1+1,DATE(20&amp;LEFT(FAAddition[[#This Row],[FY]],2),4,1)&gt;$P$1-1),'FA Addition'!$J1251,0)</f>
        <v>0</v>
      </c>
      <c r="U1251" s="117">
        <f>S1251*'FA Addition'!$L1251/'FA Addition'!$J1251</f>
        <v>0</v>
      </c>
      <c r="W1251" s="116">
        <f>SUMIFS('FA Write off'!D:D,'FA Write off'!A:A,'FA Addition'!$A1251,'FA Write off'!C:C,"&lt;"&amp;'FA Addition'!$P$1)</f>
        <v>0</v>
      </c>
      <c r="Y1251" s="191">
        <f>IFERROR(W1251/'FA Addition'!$J1251*'FA Addition'!$L1251,0)</f>
        <v>0</v>
      </c>
      <c r="AA1251" s="116">
        <f>SUMIFS('FA Write off'!D:D,'FA Write off'!A:A,'FA Addition'!$A1251,'FA Write off'!C:C,"&lt;"&amp;'FA Addition'!$L$1+1,'FA Write off'!C:C,"&gt;"&amp;'FA Addition'!$L$1-365)</f>
        <v>0</v>
      </c>
      <c r="AC1251" s="118">
        <f>IFERROR(AA1251/'FA Addition'!$J1251*'FA Addition'!$L1251,0)</f>
        <v>0</v>
      </c>
      <c r="AE1251" s="117">
        <f>IF(AND('FA Addition'!$D1251&lt;$P$1+1,U1251=0),'FA Addition'!$L1251,0)-Y1251</f>
        <v>0</v>
      </c>
      <c r="AF1251" s="117">
        <f t="shared" si="95"/>
        <v>0</v>
      </c>
      <c r="AG1251" s="117">
        <f>MIN(MAX(+$P$1-'FA Addition'!$D1251,0),365*'FA Addition'!$O1251)</f>
        <v>0</v>
      </c>
      <c r="AH1251" s="117">
        <f>MIN(MAX($L$1-'FA Addition'!$D1251+1,0),365*'FA Addition'!$O1251)</f>
        <v>0</v>
      </c>
      <c r="AI1251" s="117" cm="1">
        <f t="array" ref="AI1251">_xlfn.XLOOKUP(1,('FA Write off'!A:A='FA Addition'!$A1251)*('FA Write off'!D:D=AA1251),'FA Write off'!H:H,0,0)</f>
        <v>0</v>
      </c>
      <c r="AJ1251" s="117">
        <f>IF(AC1251&gt;0,MAX(IF('FA Addition'!$N1251="SLM",($AC1251-'FA Addition'!$M1251)*'FA Addition'!$P1251*AI1251/365,(AC1251-'FA Addition'!$M1251)*(1-(1-'FA Addition'!$P1251)^(AI1251/365))),0),0)</f>
        <v>0</v>
      </c>
      <c r="AL1251" s="117">
        <f>MAX(IF(AG1251&gt;0,IF('FA Addition'!$N1251="SLM",($AE1251-'FA Addition'!$M1251)*'FA Addition'!$P1251*AG1251/365,IFERROR(VDB(AE1251,AE1251*0.05,'FA Addition'!$O1251,0,YEARFRAC('FA Addition'!$C1251,$P$1-1,3),'FA Addition'!$Q1251),FAAddition[[#This Row],[Original Cost (Rs)]]-FAAddition[[#This Row],[Salvage Value]])),0),0)</f>
        <v>0</v>
      </c>
      <c r="AM1251" s="119"/>
      <c r="AN1251" s="117">
        <f>MAX(IF(AH1251&gt;0,IF('FA Addition'!$N1251="SLM",($AF1251-'FA Addition'!$M1251)*'FA Addition'!$P1251*AH1251/365,IFERROR(VDB(AF1251,AF1251*0.05,'FA Addition'!$O1251,0,YEARFRAC('FA Addition'!$C1251,$L$1,3),'FA Addition'!$Q1251),FAAddition[[#This Row],[Original Cost (Rs)]]-FAAddition[[#This Row],[Salvage Value]])),0),0)</f>
        <v>0</v>
      </c>
      <c r="AO1251" s="117">
        <f t="shared" si="98"/>
        <v>0</v>
      </c>
      <c r="AQ1251" s="117">
        <f t="shared" si="96"/>
        <v>0</v>
      </c>
      <c r="AR1251" s="120">
        <f t="shared" si="97"/>
        <v>0</v>
      </c>
      <c r="AS1251" s="121"/>
    </row>
    <row r="1252" spans="1:45" ht="13.5" x14ac:dyDescent="0.4">
      <c r="A1252" s="12">
        <f t="shared" si="99"/>
        <v>1249</v>
      </c>
      <c r="B1252" s="64" t="s">
        <v>1758</v>
      </c>
      <c r="C1252" s="54">
        <v>45687</v>
      </c>
      <c r="D1252" s="54">
        <v>45687</v>
      </c>
      <c r="E1252" s="46" t="s">
        <v>1320</v>
      </c>
      <c r="F1252" s="51" t="s">
        <v>33</v>
      </c>
      <c r="G1252" s="51" t="s">
        <v>34</v>
      </c>
      <c r="H1252" s="51" t="s">
        <v>32</v>
      </c>
      <c r="I1252" s="55" t="s">
        <v>2034</v>
      </c>
      <c r="J1252" s="56">
        <v>1000</v>
      </c>
      <c r="K1252" s="51" t="s">
        <v>295</v>
      </c>
      <c r="L1252" s="58">
        <v>1665000</v>
      </c>
      <c r="M1252" s="50">
        <f>ROUND('FA Addition'!$L1252*5%,0.1)</f>
        <v>83250</v>
      </c>
      <c r="N1252" s="113" t="str">
        <f>_xlfn.XLOOKUP(_xlfn.CONCAT(E1252,B1252),'Year Wise Master Dep Approach'!F:F,'Year Wise Master Dep Approach'!D:D)</f>
        <v>SLM</v>
      </c>
      <c r="O1252" s="113">
        <f>_xlfn.XLOOKUP(_xlfn.CONCAT(E1252,B1252),'Year Wise Master Dep Approach'!F:F,'Year Wise Master Dep Approach'!E:E)</f>
        <v>5</v>
      </c>
      <c r="P1252" s="114">
        <f>IFERROR(IF('FA Addition'!$N1252="WDV",1-('FA Addition'!$M1252/'FA Addition'!$L1252)^(1/'FA Addition'!$O1252),1/'FA Addition'!$O1252),0)</f>
        <v>0.2</v>
      </c>
      <c r="Q1252" s="122">
        <f>'FA Addition'!$P1252*'FA Addition'!$O1252</f>
        <v>1</v>
      </c>
      <c r="R1252" s="122"/>
      <c r="S1252" s="116">
        <f>IF(AND(DATE(20&amp;LEFT(FAAddition[[#This Row],[FY]],2),4,1)&lt;$L$1+1,DATE(20&amp;LEFT(FAAddition[[#This Row],[FY]],2),4,1)&gt;$P$1-1),'FA Addition'!$J1252,0)</f>
        <v>0</v>
      </c>
      <c r="U1252" s="117">
        <f>S1252*'FA Addition'!$L1252/'FA Addition'!$J1252</f>
        <v>0</v>
      </c>
      <c r="W1252" s="116">
        <f>SUMIFS('FA Write off'!D:D,'FA Write off'!A:A,'FA Addition'!$A1252,'FA Write off'!C:C,"&lt;"&amp;'FA Addition'!$P$1)</f>
        <v>0</v>
      </c>
      <c r="Y1252" s="191">
        <f>IFERROR(W1252/'FA Addition'!$J1252*'FA Addition'!$L1252,0)</f>
        <v>0</v>
      </c>
      <c r="AA1252" s="116">
        <f>SUMIFS('FA Write off'!D:D,'FA Write off'!A:A,'FA Addition'!$A1252,'FA Write off'!C:C,"&lt;"&amp;'FA Addition'!$L$1+1,'FA Write off'!C:C,"&gt;"&amp;'FA Addition'!$L$1-365)</f>
        <v>0</v>
      </c>
      <c r="AC1252" s="118">
        <f>IFERROR(AA1252/'FA Addition'!$J1252*'FA Addition'!$L1252,0)</f>
        <v>0</v>
      </c>
      <c r="AE1252" s="117">
        <f>IF(AND('FA Addition'!$D1252&lt;$P$1+1,U1252=0),'FA Addition'!$L1252,0)-Y1252</f>
        <v>0</v>
      </c>
      <c r="AF1252" s="117">
        <f t="shared" si="95"/>
        <v>0</v>
      </c>
      <c r="AG1252" s="117">
        <f>MIN(MAX(+$P$1-'FA Addition'!$D1252,0),365*'FA Addition'!$O1252)</f>
        <v>0</v>
      </c>
      <c r="AH1252" s="117">
        <f>MIN(MAX($L$1-'FA Addition'!$D1252+1,0),365*'FA Addition'!$O1252)</f>
        <v>0</v>
      </c>
      <c r="AI1252" s="117" cm="1">
        <f t="array" ref="AI1252">_xlfn.XLOOKUP(1,('FA Write off'!A:A='FA Addition'!$A1252)*('FA Write off'!D:D=AA1252),'FA Write off'!H:H,0,0)</f>
        <v>0</v>
      </c>
      <c r="AJ1252" s="117">
        <f>IF(AC1252&gt;0,MAX(IF('FA Addition'!$N1252="SLM",($AC1252-'FA Addition'!$M1252)*'FA Addition'!$P1252*AI1252/365,(AC1252-'FA Addition'!$M1252)*(1-(1-'FA Addition'!$P1252)^(AI1252/365))),0),0)</f>
        <v>0</v>
      </c>
      <c r="AL1252" s="117">
        <f>MAX(IF(AG1252&gt;0,IF('FA Addition'!$N1252="SLM",($AE1252-'FA Addition'!$M1252)*'FA Addition'!$P1252*AG1252/365,IFERROR(VDB(AE1252,AE1252*0.05,'FA Addition'!$O1252,0,YEARFRAC('FA Addition'!$C1252,$P$1-1,3),'FA Addition'!$Q1252),FAAddition[[#This Row],[Original Cost (Rs)]]-FAAddition[[#This Row],[Salvage Value]])),0),0)</f>
        <v>0</v>
      </c>
      <c r="AM1252" s="119"/>
      <c r="AN1252" s="117">
        <f>MAX(IF(AH1252&gt;0,IF('FA Addition'!$N1252="SLM",($AF1252-'FA Addition'!$M1252)*'FA Addition'!$P1252*AH1252/365,IFERROR(VDB(AF1252,AF1252*0.05,'FA Addition'!$O1252,0,YEARFRAC('FA Addition'!$C1252,$L$1,3),'FA Addition'!$Q1252),FAAddition[[#This Row],[Original Cost (Rs)]]-FAAddition[[#This Row],[Salvage Value]])),0),0)</f>
        <v>0</v>
      </c>
      <c r="AO1252" s="117">
        <f t="shared" si="98"/>
        <v>0</v>
      </c>
      <c r="AQ1252" s="117">
        <f t="shared" si="96"/>
        <v>0</v>
      </c>
      <c r="AR1252" s="120">
        <f t="shared" si="97"/>
        <v>0</v>
      </c>
      <c r="AS1252" s="121"/>
    </row>
    <row r="1253" spans="1:45" ht="13.5" x14ac:dyDescent="0.4">
      <c r="A1253" s="12">
        <f t="shared" si="99"/>
        <v>1250</v>
      </c>
      <c r="B1253" s="64" t="s">
        <v>1758</v>
      </c>
      <c r="C1253" s="54">
        <v>45691</v>
      </c>
      <c r="D1253" s="54">
        <v>45691</v>
      </c>
      <c r="E1253" s="46" t="s">
        <v>1495</v>
      </c>
      <c r="F1253" s="51" t="s">
        <v>1496</v>
      </c>
      <c r="G1253" s="51" t="s">
        <v>2035</v>
      </c>
      <c r="H1253" s="51" t="s">
        <v>196</v>
      </c>
      <c r="I1253" s="55" t="s">
        <v>2036</v>
      </c>
      <c r="J1253" s="56">
        <v>60</v>
      </c>
      <c r="K1253" s="51" t="s">
        <v>1647</v>
      </c>
      <c r="L1253" s="58">
        <v>1770000</v>
      </c>
      <c r="M1253" s="50">
        <f>ROUND('FA Addition'!$L1253*5%,0.1)</f>
        <v>88500</v>
      </c>
      <c r="N1253" s="113" t="str">
        <f>_xlfn.XLOOKUP(_xlfn.CONCAT(E1253,B1253),'Year Wise Master Dep Approach'!F:F,'Year Wise Master Dep Approach'!D:D)</f>
        <v>SLM</v>
      </c>
      <c r="O1253" s="113">
        <f>_xlfn.XLOOKUP(_xlfn.CONCAT(E1253,B1253),'Year Wise Master Dep Approach'!F:F,'Year Wise Master Dep Approach'!E:E)</f>
        <v>3</v>
      </c>
      <c r="P1253" s="114">
        <f>IFERROR(IF('FA Addition'!$N1253="WDV",1-('FA Addition'!$M1253/'FA Addition'!$L1253)^(1/'FA Addition'!$O1253),1/'FA Addition'!$O1253),0)</f>
        <v>0.33333333333333331</v>
      </c>
      <c r="Q1253" s="122">
        <f>'FA Addition'!$P1253*'FA Addition'!$O1253</f>
        <v>1</v>
      </c>
      <c r="R1253" s="122"/>
      <c r="S1253" s="116">
        <f>IF(AND(DATE(20&amp;LEFT(FAAddition[[#This Row],[FY]],2),4,1)&lt;$L$1+1,DATE(20&amp;LEFT(FAAddition[[#This Row],[FY]],2),4,1)&gt;$P$1-1),'FA Addition'!$J1253,0)</f>
        <v>0</v>
      </c>
      <c r="U1253" s="117">
        <f>S1253*'FA Addition'!$L1253/'FA Addition'!$J1253</f>
        <v>0</v>
      </c>
      <c r="W1253" s="116">
        <f>SUMIFS('FA Write off'!D:D,'FA Write off'!A:A,'FA Addition'!$A1253,'FA Write off'!C:C,"&lt;"&amp;'FA Addition'!$P$1)</f>
        <v>0</v>
      </c>
      <c r="Y1253" s="191">
        <f>IFERROR(W1253/'FA Addition'!$J1253*'FA Addition'!$L1253,0)</f>
        <v>0</v>
      </c>
      <c r="AA1253" s="116">
        <f>SUMIFS('FA Write off'!D:D,'FA Write off'!A:A,'FA Addition'!$A1253,'FA Write off'!C:C,"&lt;"&amp;'FA Addition'!$L$1+1,'FA Write off'!C:C,"&gt;"&amp;'FA Addition'!$L$1-365)</f>
        <v>0</v>
      </c>
      <c r="AC1253" s="118">
        <f>IFERROR(AA1253/'FA Addition'!$J1253*'FA Addition'!$L1253,0)</f>
        <v>0</v>
      </c>
      <c r="AE1253" s="117">
        <f>IF(AND('FA Addition'!$D1253&lt;$P$1+1,U1253=0),'FA Addition'!$L1253,0)-Y1253</f>
        <v>0</v>
      </c>
      <c r="AF1253" s="117">
        <f t="shared" si="95"/>
        <v>0</v>
      </c>
      <c r="AG1253" s="117">
        <f>MIN(MAX(+$P$1-'FA Addition'!$D1253,0),365*'FA Addition'!$O1253)</f>
        <v>0</v>
      </c>
      <c r="AH1253" s="117">
        <f>MIN(MAX($L$1-'FA Addition'!$D1253+1,0),365*'FA Addition'!$O1253)</f>
        <v>0</v>
      </c>
      <c r="AI1253" s="117" cm="1">
        <f t="array" ref="AI1253">_xlfn.XLOOKUP(1,('FA Write off'!A:A='FA Addition'!$A1253)*('FA Write off'!D:D=AA1253),'FA Write off'!H:H,0,0)</f>
        <v>0</v>
      </c>
      <c r="AJ1253" s="117">
        <f>IF(AC1253&gt;0,MAX(IF('FA Addition'!$N1253="SLM",($AC1253-'FA Addition'!$M1253)*'FA Addition'!$P1253*AI1253/365,(AC1253-'FA Addition'!$M1253)*(1-(1-'FA Addition'!$P1253)^(AI1253/365))),0),0)</f>
        <v>0</v>
      </c>
      <c r="AL1253" s="117">
        <f>MAX(IF(AG1253&gt;0,IF('FA Addition'!$N1253="SLM",($AE1253-'FA Addition'!$M1253)*'FA Addition'!$P1253*AG1253/365,IFERROR(VDB(AE1253,AE1253*0.05,'FA Addition'!$O1253,0,YEARFRAC('FA Addition'!$C1253,$P$1-1,3),'FA Addition'!$Q1253),FAAddition[[#This Row],[Original Cost (Rs)]]-FAAddition[[#This Row],[Salvage Value]])),0),0)</f>
        <v>0</v>
      </c>
      <c r="AM1253" s="119"/>
      <c r="AN1253" s="117">
        <f>MAX(IF(AH1253&gt;0,IF('FA Addition'!$N1253="SLM",($AF1253-'FA Addition'!$M1253)*'FA Addition'!$P1253*AH1253/365,IFERROR(VDB(AF1253,AF1253*0.05,'FA Addition'!$O1253,0,YEARFRAC('FA Addition'!$C1253,$L$1,3),'FA Addition'!$Q1253),FAAddition[[#This Row],[Original Cost (Rs)]]-FAAddition[[#This Row],[Salvage Value]])),0),0)</f>
        <v>0</v>
      </c>
      <c r="AO1253" s="117">
        <f t="shared" si="98"/>
        <v>0</v>
      </c>
      <c r="AQ1253" s="117">
        <f t="shared" si="96"/>
        <v>0</v>
      </c>
      <c r="AR1253" s="120">
        <f t="shared" si="97"/>
        <v>0</v>
      </c>
      <c r="AS1253" s="121"/>
    </row>
    <row r="1254" spans="1:45" ht="13.5" x14ac:dyDescent="0.4">
      <c r="A1254" s="12">
        <f t="shared" si="99"/>
        <v>1251</v>
      </c>
      <c r="B1254" s="64" t="s">
        <v>1758</v>
      </c>
      <c r="C1254" s="54">
        <v>45716</v>
      </c>
      <c r="D1254" s="54">
        <v>45716</v>
      </c>
      <c r="E1254" s="46" t="s">
        <v>1495</v>
      </c>
      <c r="F1254" s="51" t="s">
        <v>1496</v>
      </c>
      <c r="G1254" s="51" t="s">
        <v>2035</v>
      </c>
      <c r="H1254" s="51" t="s">
        <v>183</v>
      </c>
      <c r="I1254" s="55" t="s">
        <v>2037</v>
      </c>
      <c r="J1254" s="56">
        <v>1</v>
      </c>
      <c r="K1254" s="51" t="s">
        <v>284</v>
      </c>
      <c r="L1254" s="58">
        <v>819510</v>
      </c>
      <c r="M1254" s="50">
        <f>ROUND('FA Addition'!$L1254*5%,0.1)</f>
        <v>40976</v>
      </c>
      <c r="N1254" s="113" t="str">
        <f>_xlfn.XLOOKUP(_xlfn.CONCAT(E1254,B1254),'Year Wise Master Dep Approach'!F:F,'Year Wise Master Dep Approach'!D:D)</f>
        <v>SLM</v>
      </c>
      <c r="O1254" s="113">
        <f>_xlfn.XLOOKUP(_xlfn.CONCAT(E1254,B1254),'Year Wise Master Dep Approach'!F:F,'Year Wise Master Dep Approach'!E:E)</f>
        <v>3</v>
      </c>
      <c r="P1254" s="114">
        <f>IFERROR(IF('FA Addition'!$N1254="WDV",1-('FA Addition'!$M1254/'FA Addition'!$L1254)^(1/'FA Addition'!$O1254),1/'FA Addition'!$O1254),0)</f>
        <v>0.33333333333333331</v>
      </c>
      <c r="Q1254" s="122">
        <f>'FA Addition'!$P1254*'FA Addition'!$O1254</f>
        <v>1</v>
      </c>
      <c r="R1254" s="122"/>
      <c r="S1254" s="116">
        <f>IF(AND(DATE(20&amp;LEFT(FAAddition[[#This Row],[FY]],2),4,1)&lt;$L$1+1,DATE(20&amp;LEFT(FAAddition[[#This Row],[FY]],2),4,1)&gt;$P$1-1),'FA Addition'!$J1254,0)</f>
        <v>0</v>
      </c>
      <c r="U1254" s="117">
        <f>S1254*'FA Addition'!$L1254/'FA Addition'!$J1254</f>
        <v>0</v>
      </c>
      <c r="W1254" s="116">
        <f>SUMIFS('FA Write off'!D:D,'FA Write off'!A:A,'FA Addition'!$A1254,'FA Write off'!C:C,"&lt;"&amp;'FA Addition'!$P$1)</f>
        <v>0</v>
      </c>
      <c r="Y1254" s="191">
        <f>IFERROR(W1254/'FA Addition'!$J1254*'FA Addition'!$L1254,0)</f>
        <v>0</v>
      </c>
      <c r="AA1254" s="116">
        <f>SUMIFS('FA Write off'!D:D,'FA Write off'!A:A,'FA Addition'!$A1254,'FA Write off'!C:C,"&lt;"&amp;'FA Addition'!$L$1+1,'FA Write off'!C:C,"&gt;"&amp;'FA Addition'!$L$1-365)</f>
        <v>0</v>
      </c>
      <c r="AC1254" s="118">
        <f>IFERROR(AA1254/'FA Addition'!$J1254*'FA Addition'!$L1254,0)</f>
        <v>0</v>
      </c>
      <c r="AE1254" s="117">
        <f>IF(AND('FA Addition'!$D1254&lt;$P$1+1,U1254=0),'FA Addition'!$L1254,0)-Y1254</f>
        <v>0</v>
      </c>
      <c r="AF1254" s="117">
        <f t="shared" si="95"/>
        <v>0</v>
      </c>
      <c r="AG1254" s="117">
        <f>MIN(MAX(+$P$1-'FA Addition'!$D1254,0),365*'FA Addition'!$O1254)</f>
        <v>0</v>
      </c>
      <c r="AH1254" s="117">
        <f>MIN(MAX($L$1-'FA Addition'!$D1254+1,0),365*'FA Addition'!$O1254)</f>
        <v>0</v>
      </c>
      <c r="AI1254" s="117" cm="1">
        <f t="array" ref="AI1254">_xlfn.XLOOKUP(1,('FA Write off'!A:A='FA Addition'!$A1254)*('FA Write off'!D:D=AA1254),'FA Write off'!H:H,0,0)</f>
        <v>0</v>
      </c>
      <c r="AJ1254" s="117">
        <f>IF(AC1254&gt;0,MAX(IF('FA Addition'!$N1254="SLM",($AC1254-'FA Addition'!$M1254)*'FA Addition'!$P1254*AI1254/365,(AC1254-'FA Addition'!$M1254)*(1-(1-'FA Addition'!$P1254)^(AI1254/365))),0),0)</f>
        <v>0</v>
      </c>
      <c r="AL1254" s="117">
        <f>MAX(IF(AG1254&gt;0,IF('FA Addition'!$N1254="SLM",($AE1254-'FA Addition'!$M1254)*'FA Addition'!$P1254*AG1254/365,IFERROR(VDB(AE1254,AE1254*0.05,'FA Addition'!$O1254,0,YEARFRAC('FA Addition'!$C1254,$P$1-1,3),'FA Addition'!$Q1254),FAAddition[[#This Row],[Original Cost (Rs)]]-FAAddition[[#This Row],[Salvage Value]])),0),0)</f>
        <v>0</v>
      </c>
      <c r="AM1254" s="119"/>
      <c r="AN1254" s="117">
        <f>MAX(IF(AH1254&gt;0,IF('FA Addition'!$N1254="SLM",($AF1254-'FA Addition'!$M1254)*'FA Addition'!$P1254*AH1254/365,IFERROR(VDB(AF1254,AF1254*0.05,'FA Addition'!$O1254,0,YEARFRAC('FA Addition'!$C1254,$L$1,3),'FA Addition'!$Q1254),FAAddition[[#This Row],[Original Cost (Rs)]]-FAAddition[[#This Row],[Salvage Value]])),0),0)</f>
        <v>0</v>
      </c>
      <c r="AO1254" s="117">
        <f t="shared" si="98"/>
        <v>0</v>
      </c>
      <c r="AQ1254" s="117">
        <f t="shared" si="96"/>
        <v>0</v>
      </c>
      <c r="AR1254" s="120">
        <f t="shared" si="97"/>
        <v>0</v>
      </c>
      <c r="AS1254" s="121"/>
    </row>
    <row r="1255" spans="1:45" ht="13.5" x14ac:dyDescent="0.4">
      <c r="A1255" s="12">
        <f t="shared" si="99"/>
        <v>1252</v>
      </c>
      <c r="B1255" s="64" t="s">
        <v>1758</v>
      </c>
      <c r="C1255" s="54">
        <v>45733</v>
      </c>
      <c r="D1255" s="54">
        <v>45733</v>
      </c>
      <c r="E1255" s="46" t="s">
        <v>749</v>
      </c>
      <c r="F1255" s="51" t="s">
        <v>2038</v>
      </c>
      <c r="G1255" s="51" t="s">
        <v>2039</v>
      </c>
      <c r="H1255" s="51" t="s">
        <v>2040</v>
      </c>
      <c r="I1255" s="55">
        <v>810</v>
      </c>
      <c r="J1255" s="56">
        <v>20</v>
      </c>
      <c r="K1255" s="51" t="s">
        <v>2041</v>
      </c>
      <c r="L1255" s="58">
        <v>59000</v>
      </c>
      <c r="M1255" s="50">
        <f>ROUND('FA Addition'!$L1255*5%,0.1)</f>
        <v>2950</v>
      </c>
      <c r="N1255" s="113" t="str">
        <f>_xlfn.XLOOKUP(_xlfn.CONCAT(E1255,B1255),'Year Wise Master Dep Approach'!F:F,'Year Wise Master Dep Approach'!D:D)</f>
        <v>WDV</v>
      </c>
      <c r="O1255" s="113">
        <f>_xlfn.XLOOKUP(_xlfn.CONCAT(E1255,B1255),'Year Wise Master Dep Approach'!F:F,'Year Wise Master Dep Approach'!E:E)</f>
        <v>5</v>
      </c>
      <c r="P1255" s="114">
        <f>IFERROR(IF('FA Addition'!$N1255="WDV",1-('FA Addition'!$M1255/'FA Addition'!$L1255)^(1/'FA Addition'!$O1255),1/'FA Addition'!$O1255),0)</f>
        <v>0.45071972834694107</v>
      </c>
      <c r="Q1255" s="122">
        <f>'FA Addition'!$P1255*'FA Addition'!$O1255</f>
        <v>2.2535986417347056</v>
      </c>
      <c r="R1255" s="122"/>
      <c r="S1255" s="116">
        <f>IF(AND(DATE(20&amp;LEFT(FAAddition[[#This Row],[FY]],2),4,1)&lt;$L$1+1,DATE(20&amp;LEFT(FAAddition[[#This Row],[FY]],2),4,1)&gt;$P$1-1),'FA Addition'!$J1255,0)</f>
        <v>0</v>
      </c>
      <c r="U1255" s="117">
        <f>S1255*'FA Addition'!$L1255/'FA Addition'!$J1255</f>
        <v>0</v>
      </c>
      <c r="W1255" s="116">
        <f>SUMIFS('FA Write off'!D:D,'FA Write off'!A:A,'FA Addition'!$A1255,'FA Write off'!C:C,"&lt;"&amp;'FA Addition'!$P$1)</f>
        <v>0</v>
      </c>
      <c r="Y1255" s="191">
        <f>IFERROR(W1255/'FA Addition'!$J1255*'FA Addition'!$L1255,0)</f>
        <v>0</v>
      </c>
      <c r="AA1255" s="116">
        <f>SUMIFS('FA Write off'!D:D,'FA Write off'!A:A,'FA Addition'!$A1255,'FA Write off'!C:C,"&lt;"&amp;'FA Addition'!$L$1+1,'FA Write off'!C:C,"&gt;"&amp;'FA Addition'!$L$1-365)</f>
        <v>0</v>
      </c>
      <c r="AC1255" s="118">
        <f>IFERROR(AA1255/'FA Addition'!$J1255*'FA Addition'!$L1255,0)</f>
        <v>0</v>
      </c>
      <c r="AE1255" s="117">
        <f>IF(AND('FA Addition'!$D1255&lt;$P$1+1,U1255=0),'FA Addition'!$L1255,0)-Y1255</f>
        <v>0</v>
      </c>
      <c r="AF1255" s="117">
        <f t="shared" si="95"/>
        <v>0</v>
      </c>
      <c r="AG1255" s="117">
        <f>MIN(MAX(+$P$1-'FA Addition'!$D1255,0),365*'FA Addition'!$O1255)</f>
        <v>0</v>
      </c>
      <c r="AH1255" s="117">
        <f>MIN(MAX($L$1-'FA Addition'!$D1255+1,0),365*'FA Addition'!$O1255)</f>
        <v>0</v>
      </c>
      <c r="AI1255" s="117" cm="1">
        <f t="array" ref="AI1255">_xlfn.XLOOKUP(1,('FA Write off'!A:A='FA Addition'!$A1255)*('FA Write off'!D:D=AA1255),'FA Write off'!H:H,0,0)</f>
        <v>0</v>
      </c>
      <c r="AJ1255" s="117">
        <f>IF(AC1255&gt;0,MAX(IF('FA Addition'!$N1255="SLM",($AC1255-'FA Addition'!$M1255)*'FA Addition'!$P1255*AI1255/365,(AC1255-'FA Addition'!$M1255)*(1-(1-'FA Addition'!$P1255)^(AI1255/365))),0),0)</f>
        <v>0</v>
      </c>
      <c r="AL1255" s="117">
        <f>MAX(IF(AG1255&gt;0,IF('FA Addition'!$N1255="SLM",($AE1255-'FA Addition'!$M1255)*'FA Addition'!$P1255*AG1255/365,IFERROR(VDB(AE1255,AE1255*0.05,'FA Addition'!$O1255,0,YEARFRAC('FA Addition'!$C1255,$P$1-1,3),'FA Addition'!$Q1255),FAAddition[[#This Row],[Original Cost (Rs)]]-FAAddition[[#This Row],[Salvage Value]])),0),0)</f>
        <v>0</v>
      </c>
      <c r="AM1255" s="119"/>
      <c r="AN1255" s="117">
        <f>MAX(IF(AH1255&gt;0,IF('FA Addition'!$N1255="SLM",($AF1255-'FA Addition'!$M1255)*'FA Addition'!$P1255*AH1255/365,IFERROR(VDB(AF1255,AF1255*0.05,'FA Addition'!$O1255,0,YEARFRAC('FA Addition'!$C1255,$L$1,3),'FA Addition'!$Q1255),FAAddition[[#This Row],[Original Cost (Rs)]]-FAAddition[[#This Row],[Salvage Value]])),0),0)</f>
        <v>0</v>
      </c>
      <c r="AO1255" s="117">
        <f t="shared" si="98"/>
        <v>0</v>
      </c>
      <c r="AQ1255" s="117">
        <f t="shared" si="96"/>
        <v>0</v>
      </c>
      <c r="AR1255" s="120">
        <f t="shared" si="97"/>
        <v>0</v>
      </c>
      <c r="AS1255" s="121"/>
    </row>
    <row r="1256" spans="1:45" ht="13.5" x14ac:dyDescent="0.4">
      <c r="A1256" s="12">
        <f t="shared" si="99"/>
        <v>1253</v>
      </c>
      <c r="B1256" s="64" t="s">
        <v>1758</v>
      </c>
      <c r="C1256" s="54">
        <v>45735</v>
      </c>
      <c r="D1256" s="54">
        <v>45735</v>
      </c>
      <c r="E1256" s="46" t="s">
        <v>207</v>
      </c>
      <c r="F1256" s="51" t="s">
        <v>1372</v>
      </c>
      <c r="G1256" s="51" t="s">
        <v>2042</v>
      </c>
      <c r="H1256" s="51" t="s">
        <v>207</v>
      </c>
      <c r="I1256" s="55" t="s">
        <v>2043</v>
      </c>
      <c r="J1256" s="56">
        <v>1</v>
      </c>
      <c r="K1256" s="51" t="s">
        <v>2044</v>
      </c>
      <c r="L1256" s="58">
        <v>22880</v>
      </c>
      <c r="M1256" s="50">
        <f>ROUND('FA Addition'!$L1256*5%,0.1)</f>
        <v>1144</v>
      </c>
      <c r="N1256" s="113" t="str">
        <f>_xlfn.XLOOKUP(_xlfn.CONCAT(E1256,B1256),'Year Wise Master Dep Approach'!F:F,'Year Wise Master Dep Approach'!D:D)</f>
        <v>WDV</v>
      </c>
      <c r="O1256" s="113">
        <f>_xlfn.XLOOKUP(_xlfn.CONCAT(E1256,B1256),'Year Wise Master Dep Approach'!F:F,'Year Wise Master Dep Approach'!E:E)</f>
        <v>5</v>
      </c>
      <c r="P1256" s="114">
        <f>IFERROR(IF('FA Addition'!$N1256="WDV",1-('FA Addition'!$M1256/'FA Addition'!$L1256)^(1/'FA Addition'!$O1256),1/'FA Addition'!$O1256),0)</f>
        <v>0.45071972834694107</v>
      </c>
      <c r="Q1256" s="122">
        <f>'FA Addition'!$P1256*'FA Addition'!$O1256</f>
        <v>2.2535986417347056</v>
      </c>
      <c r="R1256" s="122"/>
      <c r="S1256" s="116">
        <f>IF(AND(DATE(20&amp;LEFT(FAAddition[[#This Row],[FY]],2),4,1)&lt;$L$1+1,DATE(20&amp;LEFT(FAAddition[[#This Row],[FY]],2),4,1)&gt;$P$1-1),'FA Addition'!$J1256,0)</f>
        <v>0</v>
      </c>
      <c r="U1256" s="117">
        <f>S1256*'FA Addition'!$L1256/'FA Addition'!$J1256</f>
        <v>0</v>
      </c>
      <c r="W1256" s="116">
        <f>SUMIFS('FA Write off'!D:D,'FA Write off'!A:A,'FA Addition'!$A1256,'FA Write off'!C:C,"&lt;"&amp;'FA Addition'!$P$1)</f>
        <v>0</v>
      </c>
      <c r="Y1256" s="191">
        <f>IFERROR(W1256/'FA Addition'!$J1256*'FA Addition'!$L1256,0)</f>
        <v>0</v>
      </c>
      <c r="AA1256" s="116">
        <f>SUMIFS('FA Write off'!D:D,'FA Write off'!A:A,'FA Addition'!$A1256,'FA Write off'!C:C,"&lt;"&amp;'FA Addition'!$L$1+1,'FA Write off'!C:C,"&gt;"&amp;'FA Addition'!$L$1-365)</f>
        <v>0</v>
      </c>
      <c r="AC1256" s="118">
        <f>IFERROR(AA1256/'FA Addition'!$J1256*'FA Addition'!$L1256,0)</f>
        <v>0</v>
      </c>
      <c r="AE1256" s="117">
        <f>IF(AND('FA Addition'!$D1256&lt;$P$1+1,U1256=0),'FA Addition'!$L1256,0)-Y1256</f>
        <v>0</v>
      </c>
      <c r="AF1256" s="117">
        <f t="shared" si="95"/>
        <v>0</v>
      </c>
      <c r="AG1256" s="117">
        <f>MIN(MAX(+$P$1-'FA Addition'!$D1256,0),365*'FA Addition'!$O1256)</f>
        <v>0</v>
      </c>
      <c r="AH1256" s="117">
        <f>MIN(MAX($L$1-'FA Addition'!$D1256+1,0),365*'FA Addition'!$O1256)</f>
        <v>0</v>
      </c>
      <c r="AI1256" s="117" cm="1">
        <f t="array" ref="AI1256">_xlfn.XLOOKUP(1,('FA Write off'!A:A='FA Addition'!$A1256)*('FA Write off'!D:D=AA1256),'FA Write off'!H:H,0,0)</f>
        <v>0</v>
      </c>
      <c r="AJ1256" s="117">
        <f>IF(AC1256&gt;0,MAX(IF('FA Addition'!$N1256="SLM",($AC1256-'FA Addition'!$M1256)*'FA Addition'!$P1256*AI1256/365,(AC1256-'FA Addition'!$M1256)*(1-(1-'FA Addition'!$P1256)^(AI1256/365))),0),0)</f>
        <v>0</v>
      </c>
      <c r="AL1256" s="117">
        <f>MAX(IF(AG1256&gt;0,IF('FA Addition'!$N1256="SLM",($AE1256-'FA Addition'!$M1256)*'FA Addition'!$P1256*AG1256/365,IFERROR(VDB(AE1256,AE1256*0.05,'FA Addition'!$O1256,0,YEARFRAC('FA Addition'!$C1256,$P$1-1,3),'FA Addition'!$Q1256),FAAddition[[#This Row],[Original Cost (Rs)]]-FAAddition[[#This Row],[Salvage Value]])),0),0)</f>
        <v>0</v>
      </c>
      <c r="AM1256" s="119"/>
      <c r="AN1256" s="117">
        <f>MAX(IF(AH1256&gt;0,IF('FA Addition'!$N1256="SLM",($AF1256-'FA Addition'!$M1256)*'FA Addition'!$P1256*AH1256/365,IFERROR(VDB(AF1256,AF1256*0.05,'FA Addition'!$O1256,0,YEARFRAC('FA Addition'!$C1256,$L$1,3),'FA Addition'!$Q1256),FAAddition[[#This Row],[Original Cost (Rs)]]-FAAddition[[#This Row],[Salvage Value]])),0),0)</f>
        <v>0</v>
      </c>
      <c r="AO1256" s="117">
        <f t="shared" si="98"/>
        <v>0</v>
      </c>
      <c r="AQ1256" s="117">
        <f t="shared" si="96"/>
        <v>0</v>
      </c>
      <c r="AR1256" s="120">
        <f t="shared" si="97"/>
        <v>0</v>
      </c>
      <c r="AS1256" s="121"/>
    </row>
    <row r="1257" spans="1:45" ht="13.5" x14ac:dyDescent="0.4">
      <c r="A1257" s="12">
        <f t="shared" si="99"/>
        <v>1254</v>
      </c>
      <c r="B1257" s="64" t="s">
        <v>1758</v>
      </c>
      <c r="C1257" s="54">
        <v>45735</v>
      </c>
      <c r="D1257" s="54">
        <v>45735</v>
      </c>
      <c r="E1257" s="46" t="s">
        <v>207</v>
      </c>
      <c r="F1257" s="51" t="s">
        <v>1372</v>
      </c>
      <c r="G1257" s="51" t="s">
        <v>1953</v>
      </c>
      <c r="H1257" s="51" t="s">
        <v>207</v>
      </c>
      <c r="I1257" s="55" t="s">
        <v>2045</v>
      </c>
      <c r="J1257" s="56">
        <v>1</v>
      </c>
      <c r="K1257" s="51" t="s">
        <v>2046</v>
      </c>
      <c r="L1257" s="58">
        <v>11313</v>
      </c>
      <c r="M1257" s="50">
        <f>ROUND('FA Addition'!$L1257*5%,0.1)</f>
        <v>566</v>
      </c>
      <c r="N1257" s="113" t="str">
        <f>_xlfn.XLOOKUP(_xlfn.CONCAT(E1257,B1257),'Year Wise Master Dep Approach'!F:F,'Year Wise Master Dep Approach'!D:D)</f>
        <v>WDV</v>
      </c>
      <c r="O1257" s="113">
        <f>_xlfn.XLOOKUP(_xlfn.CONCAT(E1257,B1257),'Year Wise Master Dep Approach'!F:F,'Year Wise Master Dep Approach'!E:E)</f>
        <v>5</v>
      </c>
      <c r="P1257" s="114">
        <f>IFERROR(IF('FA Addition'!$N1257="WDV",1-('FA Addition'!$M1257/'FA Addition'!$L1257)^(1/'FA Addition'!$O1257),1/'FA Addition'!$O1257),0)</f>
        <v>0.45065177094190978</v>
      </c>
      <c r="Q1257" s="122">
        <f>'FA Addition'!$P1257*'FA Addition'!$O1257</f>
        <v>2.2532588547095491</v>
      </c>
      <c r="R1257" s="122"/>
      <c r="S1257" s="116">
        <f>IF(AND(DATE(20&amp;LEFT(FAAddition[[#This Row],[FY]],2),4,1)&lt;$L$1+1,DATE(20&amp;LEFT(FAAddition[[#This Row],[FY]],2),4,1)&gt;$P$1-1),'FA Addition'!$J1257,0)</f>
        <v>0</v>
      </c>
      <c r="U1257" s="117">
        <f>S1257*'FA Addition'!$L1257/'FA Addition'!$J1257</f>
        <v>0</v>
      </c>
      <c r="W1257" s="116">
        <f>SUMIFS('FA Write off'!D:D,'FA Write off'!A:A,'FA Addition'!$A1257,'FA Write off'!C:C,"&lt;"&amp;'FA Addition'!$P$1)</f>
        <v>0</v>
      </c>
      <c r="Y1257" s="191">
        <f>IFERROR(W1257/'FA Addition'!$J1257*'FA Addition'!$L1257,0)</f>
        <v>0</v>
      </c>
      <c r="AA1257" s="116">
        <f>SUMIFS('FA Write off'!D:D,'FA Write off'!A:A,'FA Addition'!$A1257,'FA Write off'!C:C,"&lt;"&amp;'FA Addition'!$L$1+1,'FA Write off'!C:C,"&gt;"&amp;'FA Addition'!$L$1-365)</f>
        <v>0</v>
      </c>
      <c r="AC1257" s="118">
        <f>IFERROR(AA1257/'FA Addition'!$J1257*'FA Addition'!$L1257,0)</f>
        <v>0</v>
      </c>
      <c r="AE1257" s="117">
        <f>IF(AND('FA Addition'!$D1257&lt;$P$1+1,U1257=0),'FA Addition'!$L1257,0)-Y1257</f>
        <v>0</v>
      </c>
      <c r="AF1257" s="117">
        <f t="shared" si="95"/>
        <v>0</v>
      </c>
      <c r="AG1257" s="117">
        <f>MIN(MAX(+$P$1-'FA Addition'!$D1257,0),365*'FA Addition'!$O1257)</f>
        <v>0</v>
      </c>
      <c r="AH1257" s="117">
        <f>MIN(MAX($L$1-'FA Addition'!$D1257+1,0),365*'FA Addition'!$O1257)</f>
        <v>0</v>
      </c>
      <c r="AI1257" s="117" cm="1">
        <f t="array" ref="AI1257">_xlfn.XLOOKUP(1,('FA Write off'!A:A='FA Addition'!$A1257)*('FA Write off'!D:D=AA1257),'FA Write off'!H:H,0,0)</f>
        <v>0</v>
      </c>
      <c r="AJ1257" s="117">
        <f>IF(AC1257&gt;0,MAX(IF('FA Addition'!$N1257="SLM",($AC1257-'FA Addition'!$M1257)*'FA Addition'!$P1257*AI1257/365,(AC1257-'FA Addition'!$M1257)*(1-(1-'FA Addition'!$P1257)^(AI1257/365))),0),0)</f>
        <v>0</v>
      </c>
      <c r="AL1257" s="117">
        <f>MAX(IF(AG1257&gt;0,IF('FA Addition'!$N1257="SLM",($AE1257-'FA Addition'!$M1257)*'FA Addition'!$P1257*AG1257/365,IFERROR(VDB(AE1257,AE1257*0.05,'FA Addition'!$O1257,0,YEARFRAC('FA Addition'!$C1257,$P$1-1,3),'FA Addition'!$Q1257),FAAddition[[#This Row],[Original Cost (Rs)]]-FAAddition[[#This Row],[Salvage Value]])),0),0)</f>
        <v>0</v>
      </c>
      <c r="AM1257" s="119"/>
      <c r="AN1257" s="117">
        <f>MAX(IF(AH1257&gt;0,IF('FA Addition'!$N1257="SLM",($AF1257-'FA Addition'!$M1257)*'FA Addition'!$P1257*AH1257/365,IFERROR(VDB(AF1257,AF1257*0.05,'FA Addition'!$O1257,0,YEARFRAC('FA Addition'!$C1257,$L$1,3),'FA Addition'!$Q1257),FAAddition[[#This Row],[Original Cost (Rs)]]-FAAddition[[#This Row],[Salvage Value]])),0),0)</f>
        <v>0</v>
      </c>
      <c r="AO1257" s="117">
        <f t="shared" si="98"/>
        <v>0</v>
      </c>
      <c r="AQ1257" s="117">
        <f t="shared" si="96"/>
        <v>0</v>
      </c>
      <c r="AR1257" s="120">
        <f t="shared" si="97"/>
        <v>0</v>
      </c>
      <c r="AS1257" s="121"/>
    </row>
    <row r="1258" spans="1:45" ht="13.5" x14ac:dyDescent="0.4">
      <c r="A1258" s="12">
        <f t="shared" si="99"/>
        <v>1255</v>
      </c>
      <c r="B1258" s="64" t="s">
        <v>1758</v>
      </c>
      <c r="C1258" s="54">
        <v>45736</v>
      </c>
      <c r="D1258" s="54">
        <v>45736</v>
      </c>
      <c r="E1258" s="46" t="s">
        <v>207</v>
      </c>
      <c r="F1258" s="51" t="s">
        <v>1116</v>
      </c>
      <c r="G1258" s="51" t="s">
        <v>1953</v>
      </c>
      <c r="H1258" s="51" t="s">
        <v>207</v>
      </c>
      <c r="I1258" s="55" t="s">
        <v>2047</v>
      </c>
      <c r="J1258" s="56">
        <v>1</v>
      </c>
      <c r="K1258" s="51" t="s">
        <v>2048</v>
      </c>
      <c r="L1258" s="58">
        <v>13134</v>
      </c>
      <c r="M1258" s="50">
        <f>ROUND('FA Addition'!$L1258*5%,0.1)</f>
        <v>657</v>
      </c>
      <c r="N1258" s="113" t="str">
        <f>_xlfn.XLOOKUP(_xlfn.CONCAT(E1258,B1258),'Year Wise Master Dep Approach'!F:F,'Year Wise Master Dep Approach'!D:D)</f>
        <v>WDV</v>
      </c>
      <c r="O1258" s="113">
        <f>_xlfn.XLOOKUP(_xlfn.CONCAT(E1258,B1258),'Year Wise Master Dep Approach'!F:F,'Year Wise Master Dep Approach'!E:E)</f>
        <v>5</v>
      </c>
      <c r="P1258" s="114">
        <f>IFERROR(IF('FA Addition'!$N1258="WDV",1-('FA Addition'!$M1258/'FA Addition'!$L1258)^(1/'FA Addition'!$O1258),1/'FA Addition'!$O1258),0)</f>
        <v>0.45066955201727821</v>
      </c>
      <c r="Q1258" s="122">
        <f>'FA Addition'!$P1258*'FA Addition'!$O1258</f>
        <v>2.2533477600863909</v>
      </c>
      <c r="R1258" s="122"/>
      <c r="S1258" s="116">
        <f>IF(AND(DATE(20&amp;LEFT(FAAddition[[#This Row],[FY]],2),4,1)&lt;$L$1+1,DATE(20&amp;LEFT(FAAddition[[#This Row],[FY]],2),4,1)&gt;$P$1-1),'FA Addition'!$J1258,0)</f>
        <v>0</v>
      </c>
      <c r="U1258" s="117">
        <f>S1258*'FA Addition'!$L1258/'FA Addition'!$J1258</f>
        <v>0</v>
      </c>
      <c r="W1258" s="116">
        <f>SUMIFS('FA Write off'!D:D,'FA Write off'!A:A,'FA Addition'!$A1258,'FA Write off'!C:C,"&lt;"&amp;'FA Addition'!$P$1)</f>
        <v>0</v>
      </c>
      <c r="Y1258" s="191">
        <f>IFERROR(W1258/'FA Addition'!$J1258*'FA Addition'!$L1258,0)</f>
        <v>0</v>
      </c>
      <c r="AA1258" s="116">
        <f>SUMIFS('FA Write off'!D:D,'FA Write off'!A:A,'FA Addition'!$A1258,'FA Write off'!C:C,"&lt;"&amp;'FA Addition'!$L$1+1,'FA Write off'!C:C,"&gt;"&amp;'FA Addition'!$L$1-365)</f>
        <v>0</v>
      </c>
      <c r="AC1258" s="118">
        <f>IFERROR(AA1258/'FA Addition'!$J1258*'FA Addition'!$L1258,0)</f>
        <v>0</v>
      </c>
      <c r="AE1258" s="117">
        <f>IF(AND('FA Addition'!$D1258&lt;$P$1+1,U1258=0),'FA Addition'!$L1258,0)-Y1258</f>
        <v>0</v>
      </c>
      <c r="AF1258" s="117">
        <f t="shared" si="95"/>
        <v>0</v>
      </c>
      <c r="AG1258" s="117">
        <f>MIN(MAX(+$P$1-'FA Addition'!$D1258,0),365*'FA Addition'!$O1258)</f>
        <v>0</v>
      </c>
      <c r="AH1258" s="117">
        <f>MIN(MAX($L$1-'FA Addition'!$D1258+1,0),365*'FA Addition'!$O1258)</f>
        <v>0</v>
      </c>
      <c r="AI1258" s="117" cm="1">
        <f t="array" ref="AI1258">_xlfn.XLOOKUP(1,('FA Write off'!A:A='FA Addition'!$A1258)*('FA Write off'!D:D=AA1258),'FA Write off'!H:H,0,0)</f>
        <v>0</v>
      </c>
      <c r="AJ1258" s="117">
        <f>IF(AC1258&gt;0,MAX(IF('FA Addition'!$N1258="SLM",($AC1258-'FA Addition'!$M1258)*'FA Addition'!$P1258*AI1258/365,(AC1258-'FA Addition'!$M1258)*(1-(1-'FA Addition'!$P1258)^(AI1258/365))),0),0)</f>
        <v>0</v>
      </c>
      <c r="AL1258" s="117">
        <f>MAX(IF(AG1258&gt;0,IF('FA Addition'!$N1258="SLM",($AE1258-'FA Addition'!$M1258)*'FA Addition'!$P1258*AG1258/365,IFERROR(VDB(AE1258,AE1258*0.05,'FA Addition'!$O1258,0,YEARFRAC('FA Addition'!$C1258,$P$1-1,3),'FA Addition'!$Q1258),FAAddition[[#This Row],[Original Cost (Rs)]]-FAAddition[[#This Row],[Salvage Value]])),0),0)</f>
        <v>0</v>
      </c>
      <c r="AM1258" s="119"/>
      <c r="AN1258" s="117">
        <f>MAX(IF(AH1258&gt;0,IF('FA Addition'!$N1258="SLM",($AF1258-'FA Addition'!$M1258)*'FA Addition'!$P1258*AH1258/365,IFERROR(VDB(AF1258,AF1258*0.05,'FA Addition'!$O1258,0,YEARFRAC('FA Addition'!$C1258,$L$1,3),'FA Addition'!$Q1258),FAAddition[[#This Row],[Original Cost (Rs)]]-FAAddition[[#This Row],[Salvage Value]])),0),0)</f>
        <v>0</v>
      </c>
      <c r="AO1258" s="117">
        <f t="shared" si="98"/>
        <v>0</v>
      </c>
      <c r="AQ1258" s="117">
        <f t="shared" si="96"/>
        <v>0</v>
      </c>
      <c r="AR1258" s="120">
        <f t="shared" si="97"/>
        <v>0</v>
      </c>
      <c r="AS1258" s="121"/>
    </row>
    <row r="1259" spans="1:45" ht="13.5" x14ac:dyDescent="0.4">
      <c r="A1259" s="12">
        <f t="shared" si="99"/>
        <v>1256</v>
      </c>
      <c r="B1259" s="64" t="s">
        <v>1758</v>
      </c>
      <c r="C1259" s="54">
        <v>45740</v>
      </c>
      <c r="D1259" s="54">
        <v>45740</v>
      </c>
      <c r="E1259" s="46" t="s">
        <v>207</v>
      </c>
      <c r="F1259" s="51" t="s">
        <v>1116</v>
      </c>
      <c r="G1259" s="51" t="s">
        <v>1953</v>
      </c>
      <c r="H1259" s="51" t="s">
        <v>207</v>
      </c>
      <c r="I1259" s="55" t="s">
        <v>2049</v>
      </c>
      <c r="J1259" s="56">
        <v>1</v>
      </c>
      <c r="K1259" s="51" t="s">
        <v>2050</v>
      </c>
      <c r="L1259" s="58">
        <v>27117.8</v>
      </c>
      <c r="M1259" s="50">
        <f>ROUND('FA Addition'!$L1259*5%,0.1)</f>
        <v>1356</v>
      </c>
      <c r="N1259" s="113" t="str">
        <f>_xlfn.XLOOKUP(_xlfn.CONCAT(E1259,B1259),'Year Wise Master Dep Approach'!F:F,'Year Wise Master Dep Approach'!D:D)</f>
        <v>WDV</v>
      </c>
      <c r="O1259" s="113">
        <f>_xlfn.XLOOKUP(_xlfn.CONCAT(E1259,B1259),'Year Wise Master Dep Approach'!F:F,'Year Wise Master Dep Approach'!E:E)</f>
        <v>5</v>
      </c>
      <c r="P1259" s="114">
        <f>IFERROR(IF('FA Addition'!$N1259="WDV",1-('FA Addition'!$M1259/'FA Addition'!$L1259)^(1/'FA Addition'!$O1259),1/'FA Addition'!$O1259),0)</f>
        <v>0.45071081628633736</v>
      </c>
      <c r="Q1259" s="122">
        <f>'FA Addition'!$P1259*'FA Addition'!$O1259</f>
        <v>2.2535540814316866</v>
      </c>
      <c r="R1259" s="122"/>
      <c r="S1259" s="116">
        <f>IF(AND(DATE(20&amp;LEFT(FAAddition[[#This Row],[FY]],2),4,1)&lt;$L$1+1,DATE(20&amp;LEFT(FAAddition[[#This Row],[FY]],2),4,1)&gt;$P$1-1),'FA Addition'!$J1259,0)</f>
        <v>0</v>
      </c>
      <c r="U1259" s="117">
        <f>S1259*'FA Addition'!$L1259/'FA Addition'!$J1259</f>
        <v>0</v>
      </c>
      <c r="W1259" s="116">
        <f>SUMIFS('FA Write off'!D:D,'FA Write off'!A:A,'FA Addition'!$A1259,'FA Write off'!C:C,"&lt;"&amp;'FA Addition'!$P$1)</f>
        <v>0</v>
      </c>
      <c r="Y1259" s="191">
        <f>IFERROR(W1259/'FA Addition'!$J1259*'FA Addition'!$L1259,0)</f>
        <v>0</v>
      </c>
      <c r="AA1259" s="116">
        <f>SUMIFS('FA Write off'!D:D,'FA Write off'!A:A,'FA Addition'!$A1259,'FA Write off'!C:C,"&lt;"&amp;'FA Addition'!$L$1+1,'FA Write off'!C:C,"&gt;"&amp;'FA Addition'!$L$1-365)</f>
        <v>0</v>
      </c>
      <c r="AC1259" s="118">
        <f>IFERROR(AA1259/'FA Addition'!$J1259*'FA Addition'!$L1259,0)</f>
        <v>0</v>
      </c>
      <c r="AE1259" s="117">
        <f>IF(AND('FA Addition'!$D1259&lt;$P$1+1,U1259=0),'FA Addition'!$L1259,0)-Y1259</f>
        <v>0</v>
      </c>
      <c r="AF1259" s="117">
        <f t="shared" si="95"/>
        <v>0</v>
      </c>
      <c r="AG1259" s="117">
        <f>MIN(MAX(+$P$1-'FA Addition'!$D1259,0),365*'FA Addition'!$O1259)</f>
        <v>0</v>
      </c>
      <c r="AH1259" s="117">
        <f>MIN(MAX($L$1-'FA Addition'!$D1259+1,0),365*'FA Addition'!$O1259)</f>
        <v>0</v>
      </c>
      <c r="AI1259" s="117" cm="1">
        <f t="array" ref="AI1259">_xlfn.XLOOKUP(1,('FA Write off'!A:A='FA Addition'!$A1259)*('FA Write off'!D:D=AA1259),'FA Write off'!H:H,0,0)</f>
        <v>0</v>
      </c>
      <c r="AJ1259" s="117">
        <f>IF(AC1259&gt;0,MAX(IF('FA Addition'!$N1259="SLM",($AC1259-'FA Addition'!$M1259)*'FA Addition'!$P1259*AI1259/365,(AC1259-'FA Addition'!$M1259)*(1-(1-'FA Addition'!$P1259)^(AI1259/365))),0),0)</f>
        <v>0</v>
      </c>
      <c r="AL1259" s="117">
        <f>MAX(IF(AG1259&gt;0,IF('FA Addition'!$N1259="SLM",($AE1259-'FA Addition'!$M1259)*'FA Addition'!$P1259*AG1259/365,IFERROR(VDB(AE1259,AE1259*0.05,'FA Addition'!$O1259,0,YEARFRAC('FA Addition'!$C1259,$P$1-1,3),'FA Addition'!$Q1259),FAAddition[[#This Row],[Original Cost (Rs)]]-FAAddition[[#This Row],[Salvage Value]])),0),0)</f>
        <v>0</v>
      </c>
      <c r="AM1259" s="119"/>
      <c r="AN1259" s="117">
        <f>MAX(IF(AH1259&gt;0,IF('FA Addition'!$N1259="SLM",($AF1259-'FA Addition'!$M1259)*'FA Addition'!$P1259*AH1259/365,IFERROR(VDB(AF1259,AF1259*0.05,'FA Addition'!$O1259,0,YEARFRAC('FA Addition'!$C1259,$L$1,3),'FA Addition'!$Q1259),FAAddition[[#This Row],[Original Cost (Rs)]]-FAAddition[[#This Row],[Salvage Value]])),0),0)</f>
        <v>0</v>
      </c>
      <c r="AO1259" s="117">
        <f t="shared" si="98"/>
        <v>0</v>
      </c>
      <c r="AQ1259" s="117">
        <f t="shared" si="96"/>
        <v>0</v>
      </c>
      <c r="AR1259" s="120">
        <f t="shared" si="97"/>
        <v>0</v>
      </c>
      <c r="AS1259" s="121"/>
    </row>
    <row r="1260" spans="1:45" ht="13.5" x14ac:dyDescent="0.4">
      <c r="A1260" s="12">
        <f t="shared" si="99"/>
        <v>1257</v>
      </c>
      <c r="B1260" s="64" t="s">
        <v>1758</v>
      </c>
      <c r="C1260" s="54">
        <v>45695</v>
      </c>
      <c r="D1260" s="54">
        <v>45695</v>
      </c>
      <c r="E1260" s="46" t="s">
        <v>451</v>
      </c>
      <c r="F1260" s="51" t="s">
        <v>19</v>
      </c>
      <c r="G1260" s="51" t="s">
        <v>144</v>
      </c>
      <c r="H1260" s="51" t="s">
        <v>21</v>
      </c>
      <c r="I1260" s="55" t="s">
        <v>2051</v>
      </c>
      <c r="J1260" s="56">
        <v>1</v>
      </c>
      <c r="K1260" s="51" t="s">
        <v>317</v>
      </c>
      <c r="L1260" s="58">
        <v>131779</v>
      </c>
      <c r="M1260" s="50">
        <f>ROUND('FA Addition'!$L1260*5%,0.1)</f>
        <v>6589</v>
      </c>
      <c r="N1260" s="113" t="str">
        <f>_xlfn.XLOOKUP(_xlfn.CONCAT(E1260,B1260),'Year Wise Master Dep Approach'!F:F,'Year Wise Master Dep Approach'!D:D)</f>
        <v>WDV</v>
      </c>
      <c r="O1260" s="113">
        <f>_xlfn.XLOOKUP(_xlfn.CONCAT(E1260,B1260),'Year Wise Master Dep Approach'!F:F,'Year Wise Master Dep Approach'!E:E)</f>
        <v>3</v>
      </c>
      <c r="P1260" s="114">
        <f>IFERROR(IF('FA Addition'!$N1260="WDV",1-('FA Addition'!$M1260/'FA Addition'!$L1260)^(1/'FA Addition'!$O1260),1/'FA Addition'!$O1260),0)</f>
        <v>0.63159591826715578</v>
      </c>
      <c r="Q1260" s="122">
        <f>'FA Addition'!$P1260*'FA Addition'!$O1260</f>
        <v>1.8947877548014673</v>
      </c>
      <c r="R1260" s="122"/>
      <c r="S1260" s="116">
        <f>IF(AND(DATE(20&amp;LEFT(FAAddition[[#This Row],[FY]],2),4,1)&lt;$L$1+1,DATE(20&amp;LEFT(FAAddition[[#This Row],[FY]],2),4,1)&gt;$P$1-1),'FA Addition'!$J1260,0)</f>
        <v>0</v>
      </c>
      <c r="U1260" s="117">
        <f>S1260*'FA Addition'!$L1260/'FA Addition'!$J1260</f>
        <v>0</v>
      </c>
      <c r="W1260" s="116">
        <f>SUMIFS('FA Write off'!D:D,'FA Write off'!A:A,'FA Addition'!$A1260,'FA Write off'!C:C,"&lt;"&amp;'FA Addition'!$P$1)</f>
        <v>0</v>
      </c>
      <c r="Y1260" s="191">
        <f>IFERROR(W1260/'FA Addition'!$J1260*'FA Addition'!$L1260,0)</f>
        <v>0</v>
      </c>
      <c r="AA1260" s="116">
        <f>SUMIFS('FA Write off'!D:D,'FA Write off'!A:A,'FA Addition'!$A1260,'FA Write off'!C:C,"&lt;"&amp;'FA Addition'!$L$1+1,'FA Write off'!C:C,"&gt;"&amp;'FA Addition'!$L$1-365)</f>
        <v>0</v>
      </c>
      <c r="AC1260" s="118">
        <f>IFERROR(AA1260/'FA Addition'!$J1260*'FA Addition'!$L1260,0)</f>
        <v>0</v>
      </c>
      <c r="AE1260" s="117">
        <f>IF(AND('FA Addition'!$D1260&lt;$P$1+1,U1260=0),'FA Addition'!$L1260,0)-Y1260</f>
        <v>0</v>
      </c>
      <c r="AF1260" s="117">
        <f t="shared" si="95"/>
        <v>0</v>
      </c>
      <c r="AG1260" s="117">
        <f>MIN(MAX(+$P$1-'FA Addition'!$D1260,0),365*'FA Addition'!$O1260)</f>
        <v>0</v>
      </c>
      <c r="AH1260" s="117">
        <f>MIN(MAX($L$1-'FA Addition'!$D1260+1,0),365*'FA Addition'!$O1260)</f>
        <v>0</v>
      </c>
      <c r="AI1260" s="117" cm="1">
        <f t="array" ref="AI1260">_xlfn.XLOOKUP(1,('FA Write off'!A:A='FA Addition'!$A1260)*('FA Write off'!D:D=AA1260),'FA Write off'!H:H,0,0)</f>
        <v>0</v>
      </c>
      <c r="AJ1260" s="117">
        <f>IF(AC1260&gt;0,MAX(IF('FA Addition'!$N1260="SLM",($AC1260-'FA Addition'!$M1260)*'FA Addition'!$P1260*AI1260/365,(AC1260-'FA Addition'!$M1260)*(1-(1-'FA Addition'!$P1260)^(AI1260/365))),0),0)</f>
        <v>0</v>
      </c>
      <c r="AL1260" s="117">
        <f>MAX(IF(AG1260&gt;0,IF('FA Addition'!$N1260="SLM",($AE1260-'FA Addition'!$M1260)*'FA Addition'!$P1260*AG1260/365,IFERROR(VDB(AE1260,AE1260*0.05,'FA Addition'!$O1260,0,YEARFRAC('FA Addition'!$C1260,$P$1-1,3),'FA Addition'!$Q1260),FAAddition[[#This Row],[Original Cost (Rs)]]-FAAddition[[#This Row],[Salvage Value]])),0),0)</f>
        <v>0</v>
      </c>
      <c r="AM1260" s="119"/>
      <c r="AN1260" s="117">
        <f>MAX(IF(AH1260&gt;0,IF('FA Addition'!$N1260="SLM",($AF1260-'FA Addition'!$M1260)*'FA Addition'!$P1260*AH1260/365,IFERROR(VDB(AF1260,AF1260*0.05,'FA Addition'!$O1260,0,YEARFRAC('FA Addition'!$C1260,$L$1,3),'FA Addition'!$Q1260),FAAddition[[#This Row],[Original Cost (Rs)]]-FAAddition[[#This Row],[Salvage Value]])),0),0)</f>
        <v>0</v>
      </c>
      <c r="AO1260" s="117">
        <f t="shared" si="98"/>
        <v>0</v>
      </c>
      <c r="AQ1260" s="117">
        <f t="shared" si="96"/>
        <v>0</v>
      </c>
      <c r="AR1260" s="120">
        <f t="shared" si="97"/>
        <v>0</v>
      </c>
      <c r="AS1260" s="121"/>
    </row>
    <row r="1261" spans="1:45" ht="13.5" x14ac:dyDescent="0.4">
      <c r="A1261" s="12">
        <f t="shared" si="99"/>
        <v>1258</v>
      </c>
      <c r="B1261" s="64" t="s">
        <v>1758</v>
      </c>
      <c r="C1261" s="54">
        <v>45695</v>
      </c>
      <c r="D1261" s="54">
        <v>45695</v>
      </c>
      <c r="E1261" s="46" t="s">
        <v>451</v>
      </c>
      <c r="F1261" s="51" t="s">
        <v>19</v>
      </c>
      <c r="G1261" s="51" t="s">
        <v>144</v>
      </c>
      <c r="H1261" s="51" t="s">
        <v>21</v>
      </c>
      <c r="I1261" s="55" t="s">
        <v>2051</v>
      </c>
      <c r="J1261" s="56">
        <v>1</v>
      </c>
      <c r="K1261" s="51" t="s">
        <v>317</v>
      </c>
      <c r="L1261" s="58">
        <v>131779</v>
      </c>
      <c r="M1261" s="50">
        <f>ROUND('FA Addition'!$L1261*5%,0.1)</f>
        <v>6589</v>
      </c>
      <c r="N1261" s="113" t="str">
        <f>_xlfn.XLOOKUP(_xlfn.CONCAT(E1261,B1261),'Year Wise Master Dep Approach'!F:F,'Year Wise Master Dep Approach'!D:D)</f>
        <v>WDV</v>
      </c>
      <c r="O1261" s="113">
        <f>_xlfn.XLOOKUP(_xlfn.CONCAT(E1261,B1261),'Year Wise Master Dep Approach'!F:F,'Year Wise Master Dep Approach'!E:E)</f>
        <v>3</v>
      </c>
      <c r="P1261" s="114">
        <f>IFERROR(IF('FA Addition'!$N1261="WDV",1-('FA Addition'!$M1261/'FA Addition'!$L1261)^(1/'FA Addition'!$O1261),1/'FA Addition'!$O1261),0)</f>
        <v>0.63159591826715578</v>
      </c>
      <c r="Q1261" s="122">
        <f>'FA Addition'!$P1261*'FA Addition'!$O1261</f>
        <v>1.8947877548014673</v>
      </c>
      <c r="R1261" s="122"/>
      <c r="S1261" s="116">
        <f>IF(AND(DATE(20&amp;LEFT(FAAddition[[#This Row],[FY]],2),4,1)&lt;$L$1+1,DATE(20&amp;LEFT(FAAddition[[#This Row],[FY]],2),4,1)&gt;$P$1-1),'FA Addition'!$J1261,0)</f>
        <v>0</v>
      </c>
      <c r="U1261" s="117">
        <f>S1261*'FA Addition'!$L1261/'FA Addition'!$J1261</f>
        <v>0</v>
      </c>
      <c r="W1261" s="116">
        <f>SUMIFS('FA Write off'!D:D,'FA Write off'!A:A,'FA Addition'!$A1261,'FA Write off'!C:C,"&lt;"&amp;'FA Addition'!$P$1)</f>
        <v>0</v>
      </c>
      <c r="Y1261" s="191">
        <f>IFERROR(W1261/'FA Addition'!$J1261*'FA Addition'!$L1261,0)</f>
        <v>0</v>
      </c>
      <c r="AA1261" s="116">
        <f>SUMIFS('FA Write off'!D:D,'FA Write off'!A:A,'FA Addition'!$A1261,'FA Write off'!C:C,"&lt;"&amp;'FA Addition'!$L$1+1,'FA Write off'!C:C,"&gt;"&amp;'FA Addition'!$L$1-365)</f>
        <v>0</v>
      </c>
      <c r="AC1261" s="118">
        <f>IFERROR(AA1261/'FA Addition'!$J1261*'FA Addition'!$L1261,0)</f>
        <v>0</v>
      </c>
      <c r="AE1261" s="117">
        <f>IF(AND('FA Addition'!$D1261&lt;$P$1+1,U1261=0),'FA Addition'!$L1261,0)-Y1261</f>
        <v>0</v>
      </c>
      <c r="AF1261" s="117">
        <f t="shared" si="95"/>
        <v>0</v>
      </c>
      <c r="AG1261" s="117">
        <f>MIN(MAX(+$P$1-'FA Addition'!$D1261,0),365*'FA Addition'!$O1261)</f>
        <v>0</v>
      </c>
      <c r="AH1261" s="117">
        <f>MIN(MAX($L$1-'FA Addition'!$D1261+1,0),365*'FA Addition'!$O1261)</f>
        <v>0</v>
      </c>
      <c r="AI1261" s="117" cm="1">
        <f t="array" ref="AI1261">_xlfn.XLOOKUP(1,('FA Write off'!A:A='FA Addition'!$A1261)*('FA Write off'!D:D=AA1261),'FA Write off'!H:H,0,0)</f>
        <v>0</v>
      </c>
      <c r="AJ1261" s="117">
        <f>IF(AC1261&gt;0,MAX(IF('FA Addition'!$N1261="SLM",($AC1261-'FA Addition'!$M1261)*'FA Addition'!$P1261*AI1261/365,(AC1261-'FA Addition'!$M1261)*(1-(1-'FA Addition'!$P1261)^(AI1261/365))),0),0)</f>
        <v>0</v>
      </c>
      <c r="AL1261" s="117">
        <f>MAX(IF(AG1261&gt;0,IF('FA Addition'!$N1261="SLM",($AE1261-'FA Addition'!$M1261)*'FA Addition'!$P1261*AG1261/365,IFERROR(VDB(AE1261,AE1261*0.05,'FA Addition'!$O1261,0,YEARFRAC('FA Addition'!$C1261,$P$1-1,3),'FA Addition'!$Q1261),FAAddition[[#This Row],[Original Cost (Rs)]]-FAAddition[[#This Row],[Salvage Value]])),0),0)</f>
        <v>0</v>
      </c>
      <c r="AM1261" s="119"/>
      <c r="AN1261" s="117">
        <f>MAX(IF(AH1261&gt;0,IF('FA Addition'!$N1261="SLM",($AF1261-'FA Addition'!$M1261)*'FA Addition'!$P1261*AH1261/365,IFERROR(VDB(AF1261,AF1261*0.05,'FA Addition'!$O1261,0,YEARFRAC('FA Addition'!$C1261,$L$1,3),'FA Addition'!$Q1261),FAAddition[[#This Row],[Original Cost (Rs)]]-FAAddition[[#This Row],[Salvage Value]])),0),0)</f>
        <v>0</v>
      </c>
      <c r="AO1261" s="117">
        <f t="shared" si="98"/>
        <v>0</v>
      </c>
      <c r="AQ1261" s="117">
        <f t="shared" si="96"/>
        <v>0</v>
      </c>
      <c r="AR1261" s="120">
        <f t="shared" si="97"/>
        <v>0</v>
      </c>
      <c r="AS1261" s="121"/>
    </row>
    <row r="1262" spans="1:45" ht="13.5" x14ac:dyDescent="0.4">
      <c r="A1262" s="12">
        <f t="shared" si="99"/>
        <v>1259</v>
      </c>
      <c r="B1262" s="64" t="s">
        <v>1758</v>
      </c>
      <c r="C1262" s="54">
        <v>45695</v>
      </c>
      <c r="D1262" s="54">
        <v>45695</v>
      </c>
      <c r="E1262" s="46" t="s">
        <v>451</v>
      </c>
      <c r="F1262" s="51" t="s">
        <v>19</v>
      </c>
      <c r="G1262" s="51" t="s">
        <v>144</v>
      </c>
      <c r="H1262" s="51" t="s">
        <v>21</v>
      </c>
      <c r="I1262" s="55" t="s">
        <v>2051</v>
      </c>
      <c r="J1262" s="56">
        <v>1</v>
      </c>
      <c r="K1262" s="51" t="s">
        <v>317</v>
      </c>
      <c r="L1262" s="58">
        <v>131779</v>
      </c>
      <c r="M1262" s="50">
        <f>ROUND('FA Addition'!$L1262*5%,0.1)</f>
        <v>6589</v>
      </c>
      <c r="N1262" s="113" t="str">
        <f>_xlfn.XLOOKUP(_xlfn.CONCAT(E1262,B1262),'Year Wise Master Dep Approach'!F:F,'Year Wise Master Dep Approach'!D:D)</f>
        <v>WDV</v>
      </c>
      <c r="O1262" s="113">
        <f>_xlfn.XLOOKUP(_xlfn.CONCAT(E1262,B1262),'Year Wise Master Dep Approach'!F:F,'Year Wise Master Dep Approach'!E:E)</f>
        <v>3</v>
      </c>
      <c r="P1262" s="114">
        <f>IFERROR(IF('FA Addition'!$N1262="WDV",1-('FA Addition'!$M1262/'FA Addition'!$L1262)^(1/'FA Addition'!$O1262),1/'FA Addition'!$O1262),0)</f>
        <v>0.63159591826715578</v>
      </c>
      <c r="Q1262" s="122">
        <f>'FA Addition'!$P1262*'FA Addition'!$O1262</f>
        <v>1.8947877548014673</v>
      </c>
      <c r="R1262" s="122"/>
      <c r="S1262" s="116">
        <f>IF(AND(DATE(20&amp;LEFT(FAAddition[[#This Row],[FY]],2),4,1)&lt;$L$1+1,DATE(20&amp;LEFT(FAAddition[[#This Row],[FY]],2),4,1)&gt;$P$1-1),'FA Addition'!$J1262,0)</f>
        <v>0</v>
      </c>
      <c r="U1262" s="117">
        <f>S1262*'FA Addition'!$L1262/'FA Addition'!$J1262</f>
        <v>0</v>
      </c>
      <c r="W1262" s="116">
        <f>SUMIFS('FA Write off'!D:D,'FA Write off'!A:A,'FA Addition'!$A1262,'FA Write off'!C:C,"&lt;"&amp;'FA Addition'!$P$1)</f>
        <v>0</v>
      </c>
      <c r="Y1262" s="191">
        <f>IFERROR(W1262/'FA Addition'!$J1262*'FA Addition'!$L1262,0)</f>
        <v>0</v>
      </c>
      <c r="AA1262" s="116">
        <f>SUMIFS('FA Write off'!D:D,'FA Write off'!A:A,'FA Addition'!$A1262,'FA Write off'!C:C,"&lt;"&amp;'FA Addition'!$L$1+1,'FA Write off'!C:C,"&gt;"&amp;'FA Addition'!$L$1-365)</f>
        <v>0</v>
      </c>
      <c r="AC1262" s="118">
        <f>IFERROR(AA1262/'FA Addition'!$J1262*'FA Addition'!$L1262,0)</f>
        <v>0</v>
      </c>
      <c r="AE1262" s="117">
        <f>IF(AND('FA Addition'!$D1262&lt;$P$1+1,U1262=0),'FA Addition'!$L1262,0)-Y1262</f>
        <v>0</v>
      </c>
      <c r="AF1262" s="117">
        <f t="shared" si="95"/>
        <v>0</v>
      </c>
      <c r="AG1262" s="117">
        <f>MIN(MAX(+$P$1-'FA Addition'!$D1262,0),365*'FA Addition'!$O1262)</f>
        <v>0</v>
      </c>
      <c r="AH1262" s="117">
        <f>MIN(MAX($L$1-'FA Addition'!$D1262+1,0),365*'FA Addition'!$O1262)</f>
        <v>0</v>
      </c>
      <c r="AI1262" s="117" cm="1">
        <f t="array" ref="AI1262">_xlfn.XLOOKUP(1,('FA Write off'!A:A='FA Addition'!$A1262)*('FA Write off'!D:D=AA1262),'FA Write off'!H:H,0,0)</f>
        <v>0</v>
      </c>
      <c r="AJ1262" s="117">
        <f>IF(AC1262&gt;0,MAX(IF('FA Addition'!$N1262="SLM",($AC1262-'FA Addition'!$M1262)*'FA Addition'!$P1262*AI1262/365,(AC1262-'FA Addition'!$M1262)*(1-(1-'FA Addition'!$P1262)^(AI1262/365))),0),0)</f>
        <v>0</v>
      </c>
      <c r="AL1262" s="117">
        <f>MAX(IF(AG1262&gt;0,IF('FA Addition'!$N1262="SLM",($AE1262-'FA Addition'!$M1262)*'FA Addition'!$P1262*AG1262/365,IFERROR(VDB(AE1262,AE1262*0.05,'FA Addition'!$O1262,0,YEARFRAC('FA Addition'!$C1262,$P$1-1,3),'FA Addition'!$Q1262),FAAddition[[#This Row],[Original Cost (Rs)]]-FAAddition[[#This Row],[Salvage Value]])),0),0)</f>
        <v>0</v>
      </c>
      <c r="AM1262" s="119"/>
      <c r="AN1262" s="117">
        <f>MAX(IF(AH1262&gt;0,IF('FA Addition'!$N1262="SLM",($AF1262-'FA Addition'!$M1262)*'FA Addition'!$P1262*AH1262/365,IFERROR(VDB(AF1262,AF1262*0.05,'FA Addition'!$O1262,0,YEARFRAC('FA Addition'!$C1262,$L$1,3),'FA Addition'!$Q1262),FAAddition[[#This Row],[Original Cost (Rs)]]-FAAddition[[#This Row],[Salvage Value]])),0),0)</f>
        <v>0</v>
      </c>
      <c r="AO1262" s="117">
        <f t="shared" si="98"/>
        <v>0</v>
      </c>
      <c r="AQ1262" s="117">
        <f t="shared" si="96"/>
        <v>0</v>
      </c>
      <c r="AR1262" s="120">
        <f t="shared" si="97"/>
        <v>0</v>
      </c>
      <c r="AS1262" s="121"/>
    </row>
    <row r="1263" spans="1:45" ht="13.5" x14ac:dyDescent="0.4">
      <c r="A1263" s="12">
        <f t="shared" si="99"/>
        <v>1260</v>
      </c>
      <c r="B1263" s="64" t="s">
        <v>1758</v>
      </c>
      <c r="C1263" s="54">
        <v>45695</v>
      </c>
      <c r="D1263" s="54">
        <v>45695</v>
      </c>
      <c r="E1263" s="46" t="s">
        <v>451</v>
      </c>
      <c r="F1263" s="51" t="s">
        <v>19</v>
      </c>
      <c r="G1263" s="51" t="s">
        <v>144</v>
      </c>
      <c r="H1263" s="51" t="s">
        <v>21</v>
      </c>
      <c r="I1263" s="55" t="s">
        <v>2051</v>
      </c>
      <c r="J1263" s="56">
        <v>1</v>
      </c>
      <c r="K1263" s="51" t="s">
        <v>317</v>
      </c>
      <c r="L1263" s="58">
        <v>131779</v>
      </c>
      <c r="M1263" s="50">
        <f>ROUND('FA Addition'!$L1263*5%,0.1)</f>
        <v>6589</v>
      </c>
      <c r="N1263" s="113" t="str">
        <f>_xlfn.XLOOKUP(_xlfn.CONCAT(E1263,B1263),'Year Wise Master Dep Approach'!F:F,'Year Wise Master Dep Approach'!D:D)</f>
        <v>WDV</v>
      </c>
      <c r="O1263" s="113">
        <f>_xlfn.XLOOKUP(_xlfn.CONCAT(E1263,B1263),'Year Wise Master Dep Approach'!F:F,'Year Wise Master Dep Approach'!E:E)</f>
        <v>3</v>
      </c>
      <c r="P1263" s="114">
        <f>IFERROR(IF('FA Addition'!$N1263="WDV",1-('FA Addition'!$M1263/'FA Addition'!$L1263)^(1/'FA Addition'!$O1263),1/'FA Addition'!$O1263),0)</f>
        <v>0.63159591826715578</v>
      </c>
      <c r="Q1263" s="122">
        <f>'FA Addition'!$P1263*'FA Addition'!$O1263</f>
        <v>1.8947877548014673</v>
      </c>
      <c r="R1263" s="122"/>
      <c r="S1263" s="116">
        <f>IF(AND(DATE(20&amp;LEFT(FAAddition[[#This Row],[FY]],2),4,1)&lt;$L$1+1,DATE(20&amp;LEFT(FAAddition[[#This Row],[FY]],2),4,1)&gt;$P$1-1),'FA Addition'!$J1263,0)</f>
        <v>0</v>
      </c>
      <c r="U1263" s="117">
        <f>S1263*'FA Addition'!$L1263/'FA Addition'!$J1263</f>
        <v>0</v>
      </c>
      <c r="W1263" s="116">
        <f>SUMIFS('FA Write off'!D:D,'FA Write off'!A:A,'FA Addition'!$A1263,'FA Write off'!C:C,"&lt;"&amp;'FA Addition'!$P$1)</f>
        <v>0</v>
      </c>
      <c r="Y1263" s="191">
        <f>IFERROR(W1263/'FA Addition'!$J1263*'FA Addition'!$L1263,0)</f>
        <v>0</v>
      </c>
      <c r="AA1263" s="116">
        <f>SUMIFS('FA Write off'!D:D,'FA Write off'!A:A,'FA Addition'!$A1263,'FA Write off'!C:C,"&lt;"&amp;'FA Addition'!$L$1+1,'FA Write off'!C:C,"&gt;"&amp;'FA Addition'!$L$1-365)</f>
        <v>0</v>
      </c>
      <c r="AC1263" s="118">
        <f>IFERROR(AA1263/'FA Addition'!$J1263*'FA Addition'!$L1263,0)</f>
        <v>0</v>
      </c>
      <c r="AE1263" s="117">
        <f>IF(AND('FA Addition'!$D1263&lt;$P$1+1,U1263=0),'FA Addition'!$L1263,0)-Y1263</f>
        <v>0</v>
      </c>
      <c r="AF1263" s="117">
        <f t="shared" si="95"/>
        <v>0</v>
      </c>
      <c r="AG1263" s="117">
        <f>MIN(MAX(+$P$1-'FA Addition'!$D1263,0),365*'FA Addition'!$O1263)</f>
        <v>0</v>
      </c>
      <c r="AH1263" s="117">
        <f>MIN(MAX($L$1-'FA Addition'!$D1263+1,0),365*'FA Addition'!$O1263)</f>
        <v>0</v>
      </c>
      <c r="AI1263" s="117" cm="1">
        <f t="array" ref="AI1263">_xlfn.XLOOKUP(1,('FA Write off'!A:A='FA Addition'!$A1263)*('FA Write off'!D:D=AA1263),'FA Write off'!H:H,0,0)</f>
        <v>0</v>
      </c>
      <c r="AJ1263" s="117">
        <f>IF(AC1263&gt;0,MAX(IF('FA Addition'!$N1263="SLM",($AC1263-'FA Addition'!$M1263)*'FA Addition'!$P1263*AI1263/365,(AC1263-'FA Addition'!$M1263)*(1-(1-'FA Addition'!$P1263)^(AI1263/365))),0),0)</f>
        <v>0</v>
      </c>
      <c r="AL1263" s="117">
        <f>MAX(IF(AG1263&gt;0,IF('FA Addition'!$N1263="SLM",($AE1263-'FA Addition'!$M1263)*'FA Addition'!$P1263*AG1263/365,IFERROR(VDB(AE1263,AE1263*0.05,'FA Addition'!$O1263,0,YEARFRAC('FA Addition'!$C1263,$P$1-1,3),'FA Addition'!$Q1263),FAAddition[[#This Row],[Original Cost (Rs)]]-FAAddition[[#This Row],[Salvage Value]])),0),0)</f>
        <v>0</v>
      </c>
      <c r="AM1263" s="119"/>
      <c r="AN1263" s="117">
        <f>MAX(IF(AH1263&gt;0,IF('FA Addition'!$N1263="SLM",($AF1263-'FA Addition'!$M1263)*'FA Addition'!$P1263*AH1263/365,IFERROR(VDB(AF1263,AF1263*0.05,'FA Addition'!$O1263,0,YEARFRAC('FA Addition'!$C1263,$L$1,3),'FA Addition'!$Q1263),FAAddition[[#This Row],[Original Cost (Rs)]]-FAAddition[[#This Row],[Salvage Value]])),0),0)</f>
        <v>0</v>
      </c>
      <c r="AO1263" s="117">
        <f t="shared" si="98"/>
        <v>0</v>
      </c>
      <c r="AQ1263" s="117">
        <f t="shared" si="96"/>
        <v>0</v>
      </c>
      <c r="AR1263" s="120">
        <f t="shared" si="97"/>
        <v>0</v>
      </c>
      <c r="AS1263" s="121"/>
    </row>
    <row r="1264" spans="1:45" ht="13.5" x14ac:dyDescent="0.4">
      <c r="A1264" s="12">
        <f t="shared" si="99"/>
        <v>1261</v>
      </c>
      <c r="B1264" s="64" t="s">
        <v>1758</v>
      </c>
      <c r="C1264" s="54">
        <v>45695</v>
      </c>
      <c r="D1264" s="54">
        <v>45695</v>
      </c>
      <c r="E1264" s="46" t="s">
        <v>451</v>
      </c>
      <c r="F1264" s="51" t="s">
        <v>19</v>
      </c>
      <c r="G1264" s="51" t="s">
        <v>144</v>
      </c>
      <c r="H1264" s="51" t="s">
        <v>21</v>
      </c>
      <c r="I1264" s="55" t="s">
        <v>2051</v>
      </c>
      <c r="J1264" s="56">
        <v>1</v>
      </c>
      <c r="K1264" s="51" t="s">
        <v>317</v>
      </c>
      <c r="L1264" s="58">
        <v>131779</v>
      </c>
      <c r="M1264" s="50">
        <f>ROUND('FA Addition'!$L1264*5%,0.1)</f>
        <v>6589</v>
      </c>
      <c r="N1264" s="113" t="str">
        <f>_xlfn.XLOOKUP(_xlfn.CONCAT(E1264,B1264),'Year Wise Master Dep Approach'!F:F,'Year Wise Master Dep Approach'!D:D)</f>
        <v>WDV</v>
      </c>
      <c r="O1264" s="113">
        <f>_xlfn.XLOOKUP(_xlfn.CONCAT(E1264,B1264),'Year Wise Master Dep Approach'!F:F,'Year Wise Master Dep Approach'!E:E)</f>
        <v>3</v>
      </c>
      <c r="P1264" s="114">
        <f>IFERROR(IF('FA Addition'!$N1264="WDV",1-('FA Addition'!$M1264/'FA Addition'!$L1264)^(1/'FA Addition'!$O1264),1/'FA Addition'!$O1264),0)</f>
        <v>0.63159591826715578</v>
      </c>
      <c r="Q1264" s="122">
        <f>'FA Addition'!$P1264*'FA Addition'!$O1264</f>
        <v>1.8947877548014673</v>
      </c>
      <c r="R1264" s="122"/>
      <c r="S1264" s="116">
        <f>IF(AND(DATE(20&amp;LEFT(FAAddition[[#This Row],[FY]],2),4,1)&lt;$L$1+1,DATE(20&amp;LEFT(FAAddition[[#This Row],[FY]],2),4,1)&gt;$P$1-1),'FA Addition'!$J1264,0)</f>
        <v>0</v>
      </c>
      <c r="U1264" s="117">
        <f>S1264*'FA Addition'!$L1264/'FA Addition'!$J1264</f>
        <v>0</v>
      </c>
      <c r="W1264" s="116">
        <f>SUMIFS('FA Write off'!D:D,'FA Write off'!A:A,'FA Addition'!$A1264,'FA Write off'!C:C,"&lt;"&amp;'FA Addition'!$P$1)</f>
        <v>0</v>
      </c>
      <c r="Y1264" s="191">
        <f>IFERROR(W1264/'FA Addition'!$J1264*'FA Addition'!$L1264,0)</f>
        <v>0</v>
      </c>
      <c r="AA1264" s="116">
        <f>SUMIFS('FA Write off'!D:D,'FA Write off'!A:A,'FA Addition'!$A1264,'FA Write off'!C:C,"&lt;"&amp;'FA Addition'!$L$1+1,'FA Write off'!C:C,"&gt;"&amp;'FA Addition'!$L$1-365)</f>
        <v>0</v>
      </c>
      <c r="AC1264" s="118">
        <f>IFERROR(AA1264/'FA Addition'!$J1264*'FA Addition'!$L1264,0)</f>
        <v>0</v>
      </c>
      <c r="AE1264" s="117">
        <f>IF(AND('FA Addition'!$D1264&lt;$P$1+1,U1264=0),'FA Addition'!$L1264,0)-Y1264</f>
        <v>0</v>
      </c>
      <c r="AF1264" s="117">
        <f t="shared" si="95"/>
        <v>0</v>
      </c>
      <c r="AG1264" s="117">
        <f>MIN(MAX(+$P$1-'FA Addition'!$D1264,0),365*'FA Addition'!$O1264)</f>
        <v>0</v>
      </c>
      <c r="AH1264" s="117">
        <f>MIN(MAX($L$1-'FA Addition'!$D1264+1,0),365*'FA Addition'!$O1264)</f>
        <v>0</v>
      </c>
      <c r="AI1264" s="117" cm="1">
        <f t="array" ref="AI1264">_xlfn.XLOOKUP(1,('FA Write off'!A:A='FA Addition'!$A1264)*('FA Write off'!D:D=AA1264),'FA Write off'!H:H,0,0)</f>
        <v>0</v>
      </c>
      <c r="AJ1264" s="117">
        <f>IF(AC1264&gt;0,MAX(IF('FA Addition'!$N1264="SLM",($AC1264-'FA Addition'!$M1264)*'FA Addition'!$P1264*AI1264/365,(AC1264-'FA Addition'!$M1264)*(1-(1-'FA Addition'!$P1264)^(AI1264/365))),0),0)</f>
        <v>0</v>
      </c>
      <c r="AL1264" s="117">
        <f>MAX(IF(AG1264&gt;0,IF('FA Addition'!$N1264="SLM",($AE1264-'FA Addition'!$M1264)*'FA Addition'!$P1264*AG1264/365,IFERROR(VDB(AE1264,AE1264*0.05,'FA Addition'!$O1264,0,YEARFRAC('FA Addition'!$C1264,$P$1-1,3),'FA Addition'!$Q1264),FAAddition[[#This Row],[Original Cost (Rs)]]-FAAddition[[#This Row],[Salvage Value]])),0),0)</f>
        <v>0</v>
      </c>
      <c r="AM1264" s="119"/>
      <c r="AN1264" s="117">
        <f>MAX(IF(AH1264&gt;0,IF('FA Addition'!$N1264="SLM",($AF1264-'FA Addition'!$M1264)*'FA Addition'!$P1264*AH1264/365,IFERROR(VDB(AF1264,AF1264*0.05,'FA Addition'!$O1264,0,YEARFRAC('FA Addition'!$C1264,$L$1,3),'FA Addition'!$Q1264),FAAddition[[#This Row],[Original Cost (Rs)]]-FAAddition[[#This Row],[Salvage Value]])),0),0)</f>
        <v>0</v>
      </c>
      <c r="AO1264" s="117">
        <f t="shared" si="98"/>
        <v>0</v>
      </c>
      <c r="AQ1264" s="117">
        <f t="shared" si="96"/>
        <v>0</v>
      </c>
      <c r="AR1264" s="120">
        <f t="shared" si="97"/>
        <v>0</v>
      </c>
      <c r="AS1264" s="121"/>
    </row>
    <row r="1265" spans="1:45" ht="13.5" x14ac:dyDescent="0.4">
      <c r="A1265" s="12">
        <f t="shared" si="99"/>
        <v>1262</v>
      </c>
      <c r="B1265" s="64" t="s">
        <v>1758</v>
      </c>
      <c r="C1265" s="54">
        <v>45695</v>
      </c>
      <c r="D1265" s="54">
        <v>45695</v>
      </c>
      <c r="E1265" s="46" t="s">
        <v>451</v>
      </c>
      <c r="F1265" s="51" t="s">
        <v>19</v>
      </c>
      <c r="G1265" s="51" t="s">
        <v>144</v>
      </c>
      <c r="H1265" s="51" t="s">
        <v>21</v>
      </c>
      <c r="I1265" s="55" t="s">
        <v>2051</v>
      </c>
      <c r="J1265" s="56">
        <v>1</v>
      </c>
      <c r="K1265" s="51" t="s">
        <v>317</v>
      </c>
      <c r="L1265" s="58">
        <v>131779</v>
      </c>
      <c r="M1265" s="50">
        <f>ROUND('FA Addition'!$L1265*5%,0.1)</f>
        <v>6589</v>
      </c>
      <c r="N1265" s="113" t="str">
        <f>_xlfn.XLOOKUP(_xlfn.CONCAT(E1265,B1265),'Year Wise Master Dep Approach'!F:F,'Year Wise Master Dep Approach'!D:D)</f>
        <v>WDV</v>
      </c>
      <c r="O1265" s="113">
        <f>_xlfn.XLOOKUP(_xlfn.CONCAT(E1265,B1265),'Year Wise Master Dep Approach'!F:F,'Year Wise Master Dep Approach'!E:E)</f>
        <v>3</v>
      </c>
      <c r="P1265" s="114">
        <f>IFERROR(IF('FA Addition'!$N1265="WDV",1-('FA Addition'!$M1265/'FA Addition'!$L1265)^(1/'FA Addition'!$O1265),1/'FA Addition'!$O1265),0)</f>
        <v>0.63159591826715578</v>
      </c>
      <c r="Q1265" s="122">
        <f>'FA Addition'!$P1265*'FA Addition'!$O1265</f>
        <v>1.8947877548014673</v>
      </c>
      <c r="R1265" s="122"/>
      <c r="S1265" s="116">
        <f>IF(AND(DATE(20&amp;LEFT(FAAddition[[#This Row],[FY]],2),4,1)&lt;$L$1+1,DATE(20&amp;LEFT(FAAddition[[#This Row],[FY]],2),4,1)&gt;$P$1-1),'FA Addition'!$J1265,0)</f>
        <v>0</v>
      </c>
      <c r="U1265" s="117">
        <f>S1265*'FA Addition'!$L1265/'FA Addition'!$J1265</f>
        <v>0</v>
      </c>
      <c r="W1265" s="116">
        <f>SUMIFS('FA Write off'!D:D,'FA Write off'!A:A,'FA Addition'!$A1265,'FA Write off'!C:C,"&lt;"&amp;'FA Addition'!$P$1)</f>
        <v>0</v>
      </c>
      <c r="Y1265" s="191">
        <f>IFERROR(W1265/'FA Addition'!$J1265*'FA Addition'!$L1265,0)</f>
        <v>0</v>
      </c>
      <c r="AA1265" s="116">
        <f>SUMIFS('FA Write off'!D:D,'FA Write off'!A:A,'FA Addition'!$A1265,'FA Write off'!C:C,"&lt;"&amp;'FA Addition'!$L$1+1,'FA Write off'!C:C,"&gt;"&amp;'FA Addition'!$L$1-365)</f>
        <v>0</v>
      </c>
      <c r="AC1265" s="118">
        <f>IFERROR(AA1265/'FA Addition'!$J1265*'FA Addition'!$L1265,0)</f>
        <v>0</v>
      </c>
      <c r="AE1265" s="117">
        <f>IF(AND('FA Addition'!$D1265&lt;$P$1+1,U1265=0),'FA Addition'!$L1265,0)-Y1265</f>
        <v>0</v>
      </c>
      <c r="AF1265" s="117">
        <f t="shared" si="95"/>
        <v>0</v>
      </c>
      <c r="AG1265" s="117">
        <f>MIN(MAX(+$P$1-'FA Addition'!$D1265,0),365*'FA Addition'!$O1265)</f>
        <v>0</v>
      </c>
      <c r="AH1265" s="117">
        <f>MIN(MAX($L$1-'FA Addition'!$D1265+1,0),365*'FA Addition'!$O1265)</f>
        <v>0</v>
      </c>
      <c r="AI1265" s="117" cm="1">
        <f t="array" ref="AI1265">_xlfn.XLOOKUP(1,('FA Write off'!A:A='FA Addition'!$A1265)*('FA Write off'!D:D=AA1265),'FA Write off'!H:H,0,0)</f>
        <v>0</v>
      </c>
      <c r="AJ1265" s="117">
        <f>IF(AC1265&gt;0,MAX(IF('FA Addition'!$N1265="SLM",($AC1265-'FA Addition'!$M1265)*'FA Addition'!$P1265*AI1265/365,(AC1265-'FA Addition'!$M1265)*(1-(1-'FA Addition'!$P1265)^(AI1265/365))),0),0)</f>
        <v>0</v>
      </c>
      <c r="AL1265" s="117">
        <f>MAX(IF(AG1265&gt;0,IF('FA Addition'!$N1265="SLM",($AE1265-'FA Addition'!$M1265)*'FA Addition'!$P1265*AG1265/365,IFERROR(VDB(AE1265,AE1265*0.05,'FA Addition'!$O1265,0,YEARFRAC('FA Addition'!$C1265,$P$1-1,3),'FA Addition'!$Q1265),FAAddition[[#This Row],[Original Cost (Rs)]]-FAAddition[[#This Row],[Salvage Value]])),0),0)</f>
        <v>0</v>
      </c>
      <c r="AM1265" s="119"/>
      <c r="AN1265" s="117">
        <f>MAX(IF(AH1265&gt;0,IF('FA Addition'!$N1265="SLM",($AF1265-'FA Addition'!$M1265)*'FA Addition'!$P1265*AH1265/365,IFERROR(VDB(AF1265,AF1265*0.05,'FA Addition'!$O1265,0,YEARFRAC('FA Addition'!$C1265,$L$1,3),'FA Addition'!$Q1265),FAAddition[[#This Row],[Original Cost (Rs)]]-FAAddition[[#This Row],[Salvage Value]])),0),0)</f>
        <v>0</v>
      </c>
      <c r="AO1265" s="117">
        <f t="shared" si="98"/>
        <v>0</v>
      </c>
      <c r="AQ1265" s="117">
        <f t="shared" si="96"/>
        <v>0</v>
      </c>
      <c r="AR1265" s="120">
        <f t="shared" si="97"/>
        <v>0</v>
      </c>
      <c r="AS1265" s="121"/>
    </row>
    <row r="1266" spans="1:45" ht="13.5" x14ac:dyDescent="0.4">
      <c r="A1266" s="12">
        <f t="shared" si="99"/>
        <v>1263</v>
      </c>
      <c r="B1266" s="64" t="s">
        <v>1758</v>
      </c>
      <c r="C1266" s="54">
        <v>45698</v>
      </c>
      <c r="D1266" s="54">
        <v>45698</v>
      </c>
      <c r="E1266" s="46" t="s">
        <v>451</v>
      </c>
      <c r="F1266" s="51" t="s">
        <v>19</v>
      </c>
      <c r="G1266" s="51" t="s">
        <v>144</v>
      </c>
      <c r="H1266" s="51" t="s">
        <v>21</v>
      </c>
      <c r="I1266" s="55" t="s">
        <v>2052</v>
      </c>
      <c r="J1266" s="56">
        <v>1</v>
      </c>
      <c r="K1266" s="51" t="s">
        <v>836</v>
      </c>
      <c r="L1266" s="58">
        <v>65254.240000000005</v>
      </c>
      <c r="M1266" s="50">
        <f>ROUND('FA Addition'!$L1266*5%,0.1)</f>
        <v>3263</v>
      </c>
      <c r="N1266" s="113" t="str">
        <f>_xlfn.XLOOKUP(_xlfn.CONCAT(E1266,B1266),'Year Wise Master Dep Approach'!F:F,'Year Wise Master Dep Approach'!D:D)</f>
        <v>WDV</v>
      </c>
      <c r="O1266" s="113">
        <f>_xlfn.XLOOKUP(_xlfn.CONCAT(E1266,B1266),'Year Wise Master Dep Approach'!F:F,'Year Wise Master Dep Approach'!E:E)</f>
        <v>3</v>
      </c>
      <c r="P1266" s="114">
        <f>IFERROR(IF('FA Addition'!$N1266="WDV",1-('FA Addition'!$M1266/'FA Addition'!$L1266)^(1/'FA Addition'!$O1266),1/'FA Addition'!$O1266),0)</f>
        <v>0.63158601079070797</v>
      </c>
      <c r="Q1266" s="122">
        <f>'FA Addition'!$P1266*'FA Addition'!$O1266</f>
        <v>1.894758032372124</v>
      </c>
      <c r="R1266" s="122"/>
      <c r="S1266" s="116">
        <f>IF(AND(DATE(20&amp;LEFT(FAAddition[[#This Row],[FY]],2),4,1)&lt;$L$1+1,DATE(20&amp;LEFT(FAAddition[[#This Row],[FY]],2),4,1)&gt;$P$1-1),'FA Addition'!$J1266,0)</f>
        <v>0</v>
      </c>
      <c r="U1266" s="117">
        <f>S1266*'FA Addition'!$L1266/'FA Addition'!$J1266</f>
        <v>0</v>
      </c>
      <c r="W1266" s="116">
        <f>SUMIFS('FA Write off'!D:D,'FA Write off'!A:A,'FA Addition'!$A1266,'FA Write off'!C:C,"&lt;"&amp;'FA Addition'!$P$1)</f>
        <v>0</v>
      </c>
      <c r="Y1266" s="191">
        <f>IFERROR(W1266/'FA Addition'!$J1266*'FA Addition'!$L1266,0)</f>
        <v>0</v>
      </c>
      <c r="AA1266" s="116">
        <f>SUMIFS('FA Write off'!D:D,'FA Write off'!A:A,'FA Addition'!$A1266,'FA Write off'!C:C,"&lt;"&amp;'FA Addition'!$L$1+1,'FA Write off'!C:C,"&gt;"&amp;'FA Addition'!$L$1-365)</f>
        <v>0</v>
      </c>
      <c r="AC1266" s="118">
        <f>IFERROR(AA1266/'FA Addition'!$J1266*'FA Addition'!$L1266,0)</f>
        <v>0</v>
      </c>
      <c r="AE1266" s="117">
        <f>IF(AND('FA Addition'!$D1266&lt;$P$1+1,U1266=0),'FA Addition'!$L1266,0)-Y1266</f>
        <v>0</v>
      </c>
      <c r="AF1266" s="117">
        <f t="shared" si="95"/>
        <v>0</v>
      </c>
      <c r="AG1266" s="117">
        <f>MIN(MAX(+$P$1-'FA Addition'!$D1266,0),365*'FA Addition'!$O1266)</f>
        <v>0</v>
      </c>
      <c r="AH1266" s="117">
        <f>MIN(MAX($L$1-'FA Addition'!$D1266+1,0),365*'FA Addition'!$O1266)</f>
        <v>0</v>
      </c>
      <c r="AI1266" s="117" cm="1">
        <f t="array" ref="AI1266">_xlfn.XLOOKUP(1,('FA Write off'!A:A='FA Addition'!$A1266)*('FA Write off'!D:D=AA1266),'FA Write off'!H:H,0,0)</f>
        <v>0</v>
      </c>
      <c r="AJ1266" s="117">
        <f>IF(AC1266&gt;0,MAX(IF('FA Addition'!$N1266="SLM",($AC1266-'FA Addition'!$M1266)*'FA Addition'!$P1266*AI1266/365,(AC1266-'FA Addition'!$M1266)*(1-(1-'FA Addition'!$P1266)^(AI1266/365))),0),0)</f>
        <v>0</v>
      </c>
      <c r="AL1266" s="117">
        <f>MAX(IF(AG1266&gt;0,IF('FA Addition'!$N1266="SLM",($AE1266-'FA Addition'!$M1266)*'FA Addition'!$P1266*AG1266/365,IFERROR(VDB(AE1266,AE1266*0.05,'FA Addition'!$O1266,0,YEARFRAC('FA Addition'!$C1266,$P$1-1,3),'FA Addition'!$Q1266),FAAddition[[#This Row],[Original Cost (Rs)]]-FAAddition[[#This Row],[Salvage Value]])),0),0)</f>
        <v>0</v>
      </c>
      <c r="AM1266" s="119"/>
      <c r="AN1266" s="117">
        <f>MAX(IF(AH1266&gt;0,IF('FA Addition'!$N1266="SLM",($AF1266-'FA Addition'!$M1266)*'FA Addition'!$P1266*AH1266/365,IFERROR(VDB(AF1266,AF1266*0.05,'FA Addition'!$O1266,0,YEARFRAC('FA Addition'!$C1266,$L$1,3),'FA Addition'!$Q1266),FAAddition[[#This Row],[Original Cost (Rs)]]-FAAddition[[#This Row],[Salvage Value]])),0),0)</f>
        <v>0</v>
      </c>
      <c r="AO1266" s="117">
        <f t="shared" si="98"/>
        <v>0</v>
      </c>
      <c r="AQ1266" s="117">
        <f t="shared" si="96"/>
        <v>0</v>
      </c>
      <c r="AR1266" s="120">
        <f t="shared" si="97"/>
        <v>0</v>
      </c>
      <c r="AS1266" s="121"/>
    </row>
    <row r="1267" spans="1:45" ht="13.5" x14ac:dyDescent="0.4">
      <c r="A1267" s="12">
        <f t="shared" si="99"/>
        <v>1264</v>
      </c>
      <c r="B1267" s="64" t="s">
        <v>1758</v>
      </c>
      <c r="C1267" s="54">
        <v>45698</v>
      </c>
      <c r="D1267" s="54">
        <v>45698</v>
      </c>
      <c r="E1267" s="46" t="s">
        <v>451</v>
      </c>
      <c r="F1267" s="51" t="s">
        <v>19</v>
      </c>
      <c r="G1267" s="51" t="s">
        <v>144</v>
      </c>
      <c r="H1267" s="51" t="s">
        <v>21</v>
      </c>
      <c r="I1267" s="55" t="s">
        <v>2052</v>
      </c>
      <c r="J1267" s="56">
        <v>1</v>
      </c>
      <c r="K1267" s="51" t="s">
        <v>836</v>
      </c>
      <c r="L1267" s="58">
        <v>65254.240000000005</v>
      </c>
      <c r="M1267" s="50">
        <f>ROUND('FA Addition'!$L1267*5%,0.1)</f>
        <v>3263</v>
      </c>
      <c r="N1267" s="113" t="str">
        <f>_xlfn.XLOOKUP(_xlfn.CONCAT(E1267,B1267),'Year Wise Master Dep Approach'!F:F,'Year Wise Master Dep Approach'!D:D)</f>
        <v>WDV</v>
      </c>
      <c r="O1267" s="113">
        <f>_xlfn.XLOOKUP(_xlfn.CONCAT(E1267,B1267),'Year Wise Master Dep Approach'!F:F,'Year Wise Master Dep Approach'!E:E)</f>
        <v>3</v>
      </c>
      <c r="P1267" s="114">
        <f>IFERROR(IF('FA Addition'!$N1267="WDV",1-('FA Addition'!$M1267/'FA Addition'!$L1267)^(1/'FA Addition'!$O1267),1/'FA Addition'!$O1267),0)</f>
        <v>0.63158601079070797</v>
      </c>
      <c r="Q1267" s="122">
        <f>'FA Addition'!$P1267*'FA Addition'!$O1267</f>
        <v>1.894758032372124</v>
      </c>
      <c r="R1267" s="122"/>
      <c r="S1267" s="116">
        <f>IF(AND(DATE(20&amp;LEFT(FAAddition[[#This Row],[FY]],2),4,1)&lt;$L$1+1,DATE(20&amp;LEFT(FAAddition[[#This Row],[FY]],2),4,1)&gt;$P$1-1),'FA Addition'!$J1267,0)</f>
        <v>0</v>
      </c>
      <c r="U1267" s="117">
        <f>S1267*'FA Addition'!$L1267/'FA Addition'!$J1267</f>
        <v>0</v>
      </c>
      <c r="W1267" s="116">
        <f>SUMIFS('FA Write off'!D:D,'FA Write off'!A:A,'FA Addition'!$A1267,'FA Write off'!C:C,"&lt;"&amp;'FA Addition'!$P$1)</f>
        <v>0</v>
      </c>
      <c r="Y1267" s="191">
        <f>IFERROR(W1267/'FA Addition'!$J1267*'FA Addition'!$L1267,0)</f>
        <v>0</v>
      </c>
      <c r="AA1267" s="116">
        <f>SUMIFS('FA Write off'!D:D,'FA Write off'!A:A,'FA Addition'!$A1267,'FA Write off'!C:C,"&lt;"&amp;'FA Addition'!$L$1+1,'FA Write off'!C:C,"&gt;"&amp;'FA Addition'!$L$1-365)</f>
        <v>0</v>
      </c>
      <c r="AC1267" s="118">
        <f>IFERROR(AA1267/'FA Addition'!$J1267*'FA Addition'!$L1267,0)</f>
        <v>0</v>
      </c>
      <c r="AE1267" s="117">
        <f>IF(AND('FA Addition'!$D1267&lt;$P$1+1,U1267=0),'FA Addition'!$L1267,0)-Y1267</f>
        <v>0</v>
      </c>
      <c r="AF1267" s="117">
        <f t="shared" si="95"/>
        <v>0</v>
      </c>
      <c r="AG1267" s="117">
        <f>MIN(MAX(+$P$1-'FA Addition'!$D1267,0),365*'FA Addition'!$O1267)</f>
        <v>0</v>
      </c>
      <c r="AH1267" s="117">
        <f>MIN(MAX($L$1-'FA Addition'!$D1267+1,0),365*'FA Addition'!$O1267)</f>
        <v>0</v>
      </c>
      <c r="AI1267" s="117" cm="1">
        <f t="array" ref="AI1267">_xlfn.XLOOKUP(1,('FA Write off'!A:A='FA Addition'!$A1267)*('FA Write off'!D:D=AA1267),'FA Write off'!H:H,0,0)</f>
        <v>0</v>
      </c>
      <c r="AJ1267" s="117">
        <f>IF(AC1267&gt;0,MAX(IF('FA Addition'!$N1267="SLM",($AC1267-'FA Addition'!$M1267)*'FA Addition'!$P1267*AI1267/365,(AC1267-'FA Addition'!$M1267)*(1-(1-'FA Addition'!$P1267)^(AI1267/365))),0),0)</f>
        <v>0</v>
      </c>
      <c r="AL1267" s="117">
        <f>MAX(IF(AG1267&gt;0,IF('FA Addition'!$N1267="SLM",($AE1267-'FA Addition'!$M1267)*'FA Addition'!$P1267*AG1267/365,IFERROR(VDB(AE1267,AE1267*0.05,'FA Addition'!$O1267,0,YEARFRAC('FA Addition'!$C1267,$P$1-1,3),'FA Addition'!$Q1267),FAAddition[[#This Row],[Original Cost (Rs)]]-FAAddition[[#This Row],[Salvage Value]])),0),0)</f>
        <v>0</v>
      </c>
      <c r="AM1267" s="119"/>
      <c r="AN1267" s="117">
        <f>MAX(IF(AH1267&gt;0,IF('FA Addition'!$N1267="SLM",($AF1267-'FA Addition'!$M1267)*'FA Addition'!$P1267*AH1267/365,IFERROR(VDB(AF1267,AF1267*0.05,'FA Addition'!$O1267,0,YEARFRAC('FA Addition'!$C1267,$L$1,3),'FA Addition'!$Q1267),FAAddition[[#This Row],[Original Cost (Rs)]]-FAAddition[[#This Row],[Salvage Value]])),0),0)</f>
        <v>0</v>
      </c>
      <c r="AO1267" s="117">
        <f t="shared" si="98"/>
        <v>0</v>
      </c>
      <c r="AQ1267" s="117">
        <f t="shared" si="96"/>
        <v>0</v>
      </c>
      <c r="AR1267" s="120">
        <f t="shared" si="97"/>
        <v>0</v>
      </c>
      <c r="AS1267" s="121"/>
    </row>
    <row r="1268" spans="1:45" ht="13.5" x14ac:dyDescent="0.4">
      <c r="A1268" s="12">
        <f t="shared" si="99"/>
        <v>1265</v>
      </c>
      <c r="B1268" s="64" t="s">
        <v>1758</v>
      </c>
      <c r="C1268" s="54">
        <v>45698</v>
      </c>
      <c r="D1268" s="54">
        <v>45698</v>
      </c>
      <c r="E1268" s="46" t="s">
        <v>451</v>
      </c>
      <c r="F1268" s="51" t="s">
        <v>19</v>
      </c>
      <c r="G1268" s="51" t="s">
        <v>144</v>
      </c>
      <c r="H1268" s="51" t="s">
        <v>21</v>
      </c>
      <c r="I1268" s="55" t="s">
        <v>2052</v>
      </c>
      <c r="J1268" s="56">
        <v>1</v>
      </c>
      <c r="K1268" s="51" t="s">
        <v>836</v>
      </c>
      <c r="L1268" s="58">
        <v>65254.240000000005</v>
      </c>
      <c r="M1268" s="50">
        <f>ROUND('FA Addition'!$L1268*5%,0.1)</f>
        <v>3263</v>
      </c>
      <c r="N1268" s="113" t="str">
        <f>_xlfn.XLOOKUP(_xlfn.CONCAT(E1268,B1268),'Year Wise Master Dep Approach'!F:F,'Year Wise Master Dep Approach'!D:D)</f>
        <v>WDV</v>
      </c>
      <c r="O1268" s="113">
        <f>_xlfn.XLOOKUP(_xlfn.CONCAT(E1268,B1268),'Year Wise Master Dep Approach'!F:F,'Year Wise Master Dep Approach'!E:E)</f>
        <v>3</v>
      </c>
      <c r="P1268" s="114">
        <f>IFERROR(IF('FA Addition'!$N1268="WDV",1-('FA Addition'!$M1268/'FA Addition'!$L1268)^(1/'FA Addition'!$O1268),1/'FA Addition'!$O1268),0)</f>
        <v>0.63158601079070797</v>
      </c>
      <c r="Q1268" s="122">
        <f>'FA Addition'!$P1268*'FA Addition'!$O1268</f>
        <v>1.894758032372124</v>
      </c>
      <c r="R1268" s="122"/>
      <c r="S1268" s="116">
        <f>IF(AND(DATE(20&amp;LEFT(FAAddition[[#This Row],[FY]],2),4,1)&lt;$L$1+1,DATE(20&amp;LEFT(FAAddition[[#This Row],[FY]],2),4,1)&gt;$P$1-1),'FA Addition'!$J1268,0)</f>
        <v>0</v>
      </c>
      <c r="U1268" s="117">
        <f>S1268*'FA Addition'!$L1268/'FA Addition'!$J1268</f>
        <v>0</v>
      </c>
      <c r="W1268" s="116">
        <f>SUMIFS('FA Write off'!D:D,'FA Write off'!A:A,'FA Addition'!$A1268,'FA Write off'!C:C,"&lt;"&amp;'FA Addition'!$P$1)</f>
        <v>0</v>
      </c>
      <c r="Y1268" s="191">
        <f>IFERROR(W1268/'FA Addition'!$J1268*'FA Addition'!$L1268,0)</f>
        <v>0</v>
      </c>
      <c r="AA1268" s="116">
        <f>SUMIFS('FA Write off'!D:D,'FA Write off'!A:A,'FA Addition'!$A1268,'FA Write off'!C:C,"&lt;"&amp;'FA Addition'!$L$1+1,'FA Write off'!C:C,"&gt;"&amp;'FA Addition'!$L$1-365)</f>
        <v>0</v>
      </c>
      <c r="AC1268" s="118">
        <f>IFERROR(AA1268/'FA Addition'!$J1268*'FA Addition'!$L1268,0)</f>
        <v>0</v>
      </c>
      <c r="AE1268" s="117">
        <f>IF(AND('FA Addition'!$D1268&lt;$P$1+1,U1268=0),'FA Addition'!$L1268,0)-Y1268</f>
        <v>0</v>
      </c>
      <c r="AF1268" s="117">
        <f t="shared" si="95"/>
        <v>0</v>
      </c>
      <c r="AG1268" s="117">
        <f>MIN(MAX(+$P$1-'FA Addition'!$D1268,0),365*'FA Addition'!$O1268)</f>
        <v>0</v>
      </c>
      <c r="AH1268" s="117">
        <f>MIN(MAX($L$1-'FA Addition'!$D1268+1,0),365*'FA Addition'!$O1268)</f>
        <v>0</v>
      </c>
      <c r="AI1268" s="117" cm="1">
        <f t="array" ref="AI1268">_xlfn.XLOOKUP(1,('FA Write off'!A:A='FA Addition'!$A1268)*('FA Write off'!D:D=AA1268),'FA Write off'!H:H,0,0)</f>
        <v>0</v>
      </c>
      <c r="AJ1268" s="117">
        <f>IF(AC1268&gt;0,MAX(IF('FA Addition'!$N1268="SLM",($AC1268-'FA Addition'!$M1268)*'FA Addition'!$P1268*AI1268/365,(AC1268-'FA Addition'!$M1268)*(1-(1-'FA Addition'!$P1268)^(AI1268/365))),0),0)</f>
        <v>0</v>
      </c>
      <c r="AL1268" s="117">
        <f>MAX(IF(AG1268&gt;0,IF('FA Addition'!$N1268="SLM",($AE1268-'FA Addition'!$M1268)*'FA Addition'!$P1268*AG1268/365,IFERROR(VDB(AE1268,AE1268*0.05,'FA Addition'!$O1268,0,YEARFRAC('FA Addition'!$C1268,$P$1-1,3),'FA Addition'!$Q1268),FAAddition[[#This Row],[Original Cost (Rs)]]-FAAddition[[#This Row],[Salvage Value]])),0),0)</f>
        <v>0</v>
      </c>
      <c r="AM1268" s="119"/>
      <c r="AN1268" s="117">
        <f>MAX(IF(AH1268&gt;0,IF('FA Addition'!$N1268="SLM",($AF1268-'FA Addition'!$M1268)*'FA Addition'!$P1268*AH1268/365,IFERROR(VDB(AF1268,AF1268*0.05,'FA Addition'!$O1268,0,YEARFRAC('FA Addition'!$C1268,$L$1,3),'FA Addition'!$Q1268),FAAddition[[#This Row],[Original Cost (Rs)]]-FAAddition[[#This Row],[Salvage Value]])),0),0)</f>
        <v>0</v>
      </c>
      <c r="AO1268" s="117">
        <f t="shared" si="98"/>
        <v>0</v>
      </c>
      <c r="AQ1268" s="117">
        <f t="shared" si="96"/>
        <v>0</v>
      </c>
      <c r="AR1268" s="120">
        <f t="shared" si="97"/>
        <v>0</v>
      </c>
      <c r="AS1268" s="121"/>
    </row>
    <row r="1269" spans="1:45" ht="13.5" x14ac:dyDescent="0.4">
      <c r="A1269" s="12">
        <f t="shared" si="99"/>
        <v>1266</v>
      </c>
      <c r="B1269" s="64" t="s">
        <v>1758</v>
      </c>
      <c r="C1269" s="54">
        <v>45698</v>
      </c>
      <c r="D1269" s="54">
        <v>45698</v>
      </c>
      <c r="E1269" s="46" t="s">
        <v>451</v>
      </c>
      <c r="F1269" s="51" t="s">
        <v>19</v>
      </c>
      <c r="G1269" s="51" t="s">
        <v>144</v>
      </c>
      <c r="H1269" s="51" t="s">
        <v>21</v>
      </c>
      <c r="I1269" s="55" t="s">
        <v>2052</v>
      </c>
      <c r="J1269" s="56">
        <v>1</v>
      </c>
      <c r="K1269" s="51" t="s">
        <v>836</v>
      </c>
      <c r="L1269" s="58">
        <v>65254.240000000005</v>
      </c>
      <c r="M1269" s="50">
        <f>ROUND('FA Addition'!$L1269*5%,0.1)</f>
        <v>3263</v>
      </c>
      <c r="N1269" s="113" t="str">
        <f>_xlfn.XLOOKUP(_xlfn.CONCAT(E1269,B1269),'Year Wise Master Dep Approach'!F:F,'Year Wise Master Dep Approach'!D:D)</f>
        <v>WDV</v>
      </c>
      <c r="O1269" s="113">
        <f>_xlfn.XLOOKUP(_xlfn.CONCAT(E1269,B1269),'Year Wise Master Dep Approach'!F:F,'Year Wise Master Dep Approach'!E:E)</f>
        <v>3</v>
      </c>
      <c r="P1269" s="114">
        <f>IFERROR(IF('FA Addition'!$N1269="WDV",1-('FA Addition'!$M1269/'FA Addition'!$L1269)^(1/'FA Addition'!$O1269),1/'FA Addition'!$O1269),0)</f>
        <v>0.63158601079070797</v>
      </c>
      <c r="Q1269" s="122">
        <f>'FA Addition'!$P1269*'FA Addition'!$O1269</f>
        <v>1.894758032372124</v>
      </c>
      <c r="R1269" s="122"/>
      <c r="S1269" s="116">
        <f>IF(AND(DATE(20&amp;LEFT(FAAddition[[#This Row],[FY]],2),4,1)&lt;$L$1+1,DATE(20&amp;LEFT(FAAddition[[#This Row],[FY]],2),4,1)&gt;$P$1-1),'FA Addition'!$J1269,0)</f>
        <v>0</v>
      </c>
      <c r="U1269" s="117">
        <f>S1269*'FA Addition'!$L1269/'FA Addition'!$J1269</f>
        <v>0</v>
      </c>
      <c r="W1269" s="116">
        <f>SUMIFS('FA Write off'!D:D,'FA Write off'!A:A,'FA Addition'!$A1269,'FA Write off'!C:C,"&lt;"&amp;'FA Addition'!$P$1)</f>
        <v>0</v>
      </c>
      <c r="Y1269" s="191">
        <f>IFERROR(W1269/'FA Addition'!$J1269*'FA Addition'!$L1269,0)</f>
        <v>0</v>
      </c>
      <c r="AA1269" s="116">
        <f>SUMIFS('FA Write off'!D:D,'FA Write off'!A:A,'FA Addition'!$A1269,'FA Write off'!C:C,"&lt;"&amp;'FA Addition'!$L$1+1,'FA Write off'!C:C,"&gt;"&amp;'FA Addition'!$L$1-365)</f>
        <v>0</v>
      </c>
      <c r="AC1269" s="118">
        <f>IFERROR(AA1269/'FA Addition'!$J1269*'FA Addition'!$L1269,0)</f>
        <v>0</v>
      </c>
      <c r="AE1269" s="117">
        <f>IF(AND('FA Addition'!$D1269&lt;$P$1+1,U1269=0),'FA Addition'!$L1269,0)-Y1269</f>
        <v>0</v>
      </c>
      <c r="AF1269" s="117">
        <f t="shared" si="95"/>
        <v>0</v>
      </c>
      <c r="AG1269" s="117">
        <f>MIN(MAX(+$P$1-'FA Addition'!$D1269,0),365*'FA Addition'!$O1269)</f>
        <v>0</v>
      </c>
      <c r="AH1269" s="117">
        <f>MIN(MAX($L$1-'FA Addition'!$D1269+1,0),365*'FA Addition'!$O1269)</f>
        <v>0</v>
      </c>
      <c r="AI1269" s="117" cm="1">
        <f t="array" ref="AI1269">_xlfn.XLOOKUP(1,('FA Write off'!A:A='FA Addition'!$A1269)*('FA Write off'!D:D=AA1269),'FA Write off'!H:H,0,0)</f>
        <v>0</v>
      </c>
      <c r="AJ1269" s="117">
        <f>IF(AC1269&gt;0,MAX(IF('FA Addition'!$N1269="SLM",($AC1269-'FA Addition'!$M1269)*'FA Addition'!$P1269*AI1269/365,(AC1269-'FA Addition'!$M1269)*(1-(1-'FA Addition'!$P1269)^(AI1269/365))),0),0)</f>
        <v>0</v>
      </c>
      <c r="AL1269" s="117">
        <f>MAX(IF(AG1269&gt;0,IF('FA Addition'!$N1269="SLM",($AE1269-'FA Addition'!$M1269)*'FA Addition'!$P1269*AG1269/365,IFERROR(VDB(AE1269,AE1269*0.05,'FA Addition'!$O1269,0,YEARFRAC('FA Addition'!$C1269,$P$1-1,3),'FA Addition'!$Q1269),FAAddition[[#This Row],[Original Cost (Rs)]]-FAAddition[[#This Row],[Salvage Value]])),0),0)</f>
        <v>0</v>
      </c>
      <c r="AM1269" s="119"/>
      <c r="AN1269" s="117">
        <f>MAX(IF(AH1269&gt;0,IF('FA Addition'!$N1269="SLM",($AF1269-'FA Addition'!$M1269)*'FA Addition'!$P1269*AH1269/365,IFERROR(VDB(AF1269,AF1269*0.05,'FA Addition'!$O1269,0,YEARFRAC('FA Addition'!$C1269,$L$1,3),'FA Addition'!$Q1269),FAAddition[[#This Row],[Original Cost (Rs)]]-FAAddition[[#This Row],[Salvage Value]])),0),0)</f>
        <v>0</v>
      </c>
      <c r="AO1269" s="117">
        <f t="shared" si="98"/>
        <v>0</v>
      </c>
      <c r="AQ1269" s="117">
        <f t="shared" si="96"/>
        <v>0</v>
      </c>
      <c r="AR1269" s="120">
        <f t="shared" si="97"/>
        <v>0</v>
      </c>
      <c r="AS1269" s="121"/>
    </row>
    <row r="1270" spans="1:45" ht="13.5" x14ac:dyDescent="0.4">
      <c r="A1270" s="12">
        <f t="shared" si="99"/>
        <v>1267</v>
      </c>
      <c r="B1270" s="64" t="s">
        <v>1758</v>
      </c>
      <c r="C1270" s="54">
        <v>45698</v>
      </c>
      <c r="D1270" s="54">
        <v>45698</v>
      </c>
      <c r="E1270" s="46" t="s">
        <v>451</v>
      </c>
      <c r="F1270" s="51" t="s">
        <v>19</v>
      </c>
      <c r="G1270" s="51" t="s">
        <v>144</v>
      </c>
      <c r="H1270" s="51" t="s">
        <v>21</v>
      </c>
      <c r="I1270" s="55" t="s">
        <v>2052</v>
      </c>
      <c r="J1270" s="56">
        <v>1</v>
      </c>
      <c r="K1270" s="51" t="s">
        <v>836</v>
      </c>
      <c r="L1270" s="58">
        <v>65254.240000000005</v>
      </c>
      <c r="M1270" s="50">
        <f>ROUND('FA Addition'!$L1270*5%,0.1)</f>
        <v>3263</v>
      </c>
      <c r="N1270" s="113" t="str">
        <f>_xlfn.XLOOKUP(_xlfn.CONCAT(E1270,B1270),'Year Wise Master Dep Approach'!F:F,'Year Wise Master Dep Approach'!D:D)</f>
        <v>WDV</v>
      </c>
      <c r="O1270" s="113">
        <f>_xlfn.XLOOKUP(_xlfn.CONCAT(E1270,B1270),'Year Wise Master Dep Approach'!F:F,'Year Wise Master Dep Approach'!E:E)</f>
        <v>3</v>
      </c>
      <c r="P1270" s="114">
        <f>IFERROR(IF('FA Addition'!$N1270="WDV",1-('FA Addition'!$M1270/'FA Addition'!$L1270)^(1/'FA Addition'!$O1270),1/'FA Addition'!$O1270),0)</f>
        <v>0.63158601079070797</v>
      </c>
      <c r="Q1270" s="122">
        <f>'FA Addition'!$P1270*'FA Addition'!$O1270</f>
        <v>1.894758032372124</v>
      </c>
      <c r="R1270" s="122"/>
      <c r="S1270" s="116">
        <f>IF(AND(DATE(20&amp;LEFT(FAAddition[[#This Row],[FY]],2),4,1)&lt;$L$1+1,DATE(20&amp;LEFT(FAAddition[[#This Row],[FY]],2),4,1)&gt;$P$1-1),'FA Addition'!$J1270,0)</f>
        <v>0</v>
      </c>
      <c r="U1270" s="117">
        <f>S1270*'FA Addition'!$L1270/'FA Addition'!$J1270</f>
        <v>0</v>
      </c>
      <c r="W1270" s="116">
        <f>SUMIFS('FA Write off'!D:D,'FA Write off'!A:A,'FA Addition'!$A1270,'FA Write off'!C:C,"&lt;"&amp;'FA Addition'!$P$1)</f>
        <v>0</v>
      </c>
      <c r="Y1270" s="191">
        <f>IFERROR(W1270/'FA Addition'!$J1270*'FA Addition'!$L1270,0)</f>
        <v>0</v>
      </c>
      <c r="AA1270" s="116">
        <f>SUMIFS('FA Write off'!D:D,'FA Write off'!A:A,'FA Addition'!$A1270,'FA Write off'!C:C,"&lt;"&amp;'FA Addition'!$L$1+1,'FA Write off'!C:C,"&gt;"&amp;'FA Addition'!$L$1-365)</f>
        <v>0</v>
      </c>
      <c r="AC1270" s="118">
        <f>IFERROR(AA1270/'FA Addition'!$J1270*'FA Addition'!$L1270,0)</f>
        <v>0</v>
      </c>
      <c r="AE1270" s="117">
        <f>IF(AND('FA Addition'!$D1270&lt;$P$1+1,U1270=0),'FA Addition'!$L1270,0)-Y1270</f>
        <v>0</v>
      </c>
      <c r="AF1270" s="117">
        <f t="shared" si="95"/>
        <v>0</v>
      </c>
      <c r="AG1270" s="117">
        <f>MIN(MAX(+$P$1-'FA Addition'!$D1270,0),365*'FA Addition'!$O1270)</f>
        <v>0</v>
      </c>
      <c r="AH1270" s="117">
        <f>MIN(MAX($L$1-'FA Addition'!$D1270+1,0),365*'FA Addition'!$O1270)</f>
        <v>0</v>
      </c>
      <c r="AI1270" s="117" cm="1">
        <f t="array" ref="AI1270">_xlfn.XLOOKUP(1,('FA Write off'!A:A='FA Addition'!$A1270)*('FA Write off'!D:D=AA1270),'FA Write off'!H:H,0,0)</f>
        <v>0</v>
      </c>
      <c r="AJ1270" s="117">
        <f>IF(AC1270&gt;0,MAX(IF('FA Addition'!$N1270="SLM",($AC1270-'FA Addition'!$M1270)*'FA Addition'!$P1270*AI1270/365,(AC1270-'FA Addition'!$M1270)*(1-(1-'FA Addition'!$P1270)^(AI1270/365))),0),0)</f>
        <v>0</v>
      </c>
      <c r="AL1270" s="117">
        <f>MAX(IF(AG1270&gt;0,IF('FA Addition'!$N1270="SLM",($AE1270-'FA Addition'!$M1270)*'FA Addition'!$P1270*AG1270/365,IFERROR(VDB(AE1270,AE1270*0.05,'FA Addition'!$O1270,0,YEARFRAC('FA Addition'!$C1270,$P$1-1,3),'FA Addition'!$Q1270),FAAddition[[#This Row],[Original Cost (Rs)]]-FAAddition[[#This Row],[Salvage Value]])),0),0)</f>
        <v>0</v>
      </c>
      <c r="AM1270" s="119"/>
      <c r="AN1270" s="117">
        <f>MAX(IF(AH1270&gt;0,IF('FA Addition'!$N1270="SLM",($AF1270-'FA Addition'!$M1270)*'FA Addition'!$P1270*AH1270/365,IFERROR(VDB(AF1270,AF1270*0.05,'FA Addition'!$O1270,0,YEARFRAC('FA Addition'!$C1270,$L$1,3),'FA Addition'!$Q1270),FAAddition[[#This Row],[Original Cost (Rs)]]-FAAddition[[#This Row],[Salvage Value]])),0),0)</f>
        <v>0</v>
      </c>
      <c r="AO1270" s="117">
        <f t="shared" si="98"/>
        <v>0</v>
      </c>
      <c r="AQ1270" s="117">
        <f t="shared" si="96"/>
        <v>0</v>
      </c>
      <c r="AR1270" s="120">
        <f t="shared" si="97"/>
        <v>0</v>
      </c>
      <c r="AS1270" s="121"/>
    </row>
    <row r="1271" spans="1:45" ht="13.5" x14ac:dyDescent="0.4">
      <c r="A1271" s="12">
        <f t="shared" si="99"/>
        <v>1268</v>
      </c>
      <c r="B1271" s="64" t="s">
        <v>1758</v>
      </c>
      <c r="C1271" s="54">
        <v>45698</v>
      </c>
      <c r="D1271" s="54">
        <v>45698</v>
      </c>
      <c r="E1271" s="46" t="s">
        <v>451</v>
      </c>
      <c r="F1271" s="51" t="s">
        <v>19</v>
      </c>
      <c r="G1271" s="51" t="s">
        <v>144</v>
      </c>
      <c r="H1271" s="51" t="s">
        <v>21</v>
      </c>
      <c r="I1271" s="55" t="s">
        <v>2052</v>
      </c>
      <c r="J1271" s="56">
        <v>1</v>
      </c>
      <c r="K1271" s="51" t="s">
        <v>836</v>
      </c>
      <c r="L1271" s="58">
        <v>65254.240000000005</v>
      </c>
      <c r="M1271" s="50">
        <f>ROUND('FA Addition'!$L1271*5%,0.1)</f>
        <v>3263</v>
      </c>
      <c r="N1271" s="113" t="str">
        <f>_xlfn.XLOOKUP(_xlfn.CONCAT(E1271,B1271),'Year Wise Master Dep Approach'!F:F,'Year Wise Master Dep Approach'!D:D)</f>
        <v>WDV</v>
      </c>
      <c r="O1271" s="113">
        <f>_xlfn.XLOOKUP(_xlfn.CONCAT(E1271,B1271),'Year Wise Master Dep Approach'!F:F,'Year Wise Master Dep Approach'!E:E)</f>
        <v>3</v>
      </c>
      <c r="P1271" s="114">
        <f>IFERROR(IF('FA Addition'!$N1271="WDV",1-('FA Addition'!$M1271/'FA Addition'!$L1271)^(1/'FA Addition'!$O1271),1/'FA Addition'!$O1271),0)</f>
        <v>0.63158601079070797</v>
      </c>
      <c r="Q1271" s="122">
        <f>'FA Addition'!$P1271*'FA Addition'!$O1271</f>
        <v>1.894758032372124</v>
      </c>
      <c r="R1271" s="122"/>
      <c r="S1271" s="116">
        <f>IF(AND(DATE(20&amp;LEFT(FAAddition[[#This Row],[FY]],2),4,1)&lt;$L$1+1,DATE(20&amp;LEFT(FAAddition[[#This Row],[FY]],2),4,1)&gt;$P$1-1),'FA Addition'!$J1271,0)</f>
        <v>0</v>
      </c>
      <c r="U1271" s="117">
        <f>S1271*'FA Addition'!$L1271/'FA Addition'!$J1271</f>
        <v>0</v>
      </c>
      <c r="W1271" s="116">
        <f>SUMIFS('FA Write off'!D:D,'FA Write off'!A:A,'FA Addition'!$A1271,'FA Write off'!C:C,"&lt;"&amp;'FA Addition'!$P$1)</f>
        <v>0</v>
      </c>
      <c r="Y1271" s="191">
        <f>IFERROR(W1271/'FA Addition'!$J1271*'FA Addition'!$L1271,0)</f>
        <v>0</v>
      </c>
      <c r="AA1271" s="116">
        <f>SUMIFS('FA Write off'!D:D,'FA Write off'!A:A,'FA Addition'!$A1271,'FA Write off'!C:C,"&lt;"&amp;'FA Addition'!$L$1+1,'FA Write off'!C:C,"&gt;"&amp;'FA Addition'!$L$1-365)</f>
        <v>0</v>
      </c>
      <c r="AC1271" s="118">
        <f>IFERROR(AA1271/'FA Addition'!$J1271*'FA Addition'!$L1271,0)</f>
        <v>0</v>
      </c>
      <c r="AE1271" s="117">
        <f>IF(AND('FA Addition'!$D1271&lt;$P$1+1,U1271=0),'FA Addition'!$L1271,0)-Y1271</f>
        <v>0</v>
      </c>
      <c r="AF1271" s="117">
        <f t="shared" si="95"/>
        <v>0</v>
      </c>
      <c r="AG1271" s="117">
        <f>MIN(MAX(+$P$1-'FA Addition'!$D1271,0),365*'FA Addition'!$O1271)</f>
        <v>0</v>
      </c>
      <c r="AH1271" s="117">
        <f>MIN(MAX($L$1-'FA Addition'!$D1271+1,0),365*'FA Addition'!$O1271)</f>
        <v>0</v>
      </c>
      <c r="AI1271" s="117" cm="1">
        <f t="array" ref="AI1271">_xlfn.XLOOKUP(1,('FA Write off'!A:A='FA Addition'!$A1271)*('FA Write off'!D:D=AA1271),'FA Write off'!H:H,0,0)</f>
        <v>0</v>
      </c>
      <c r="AJ1271" s="117">
        <f>IF(AC1271&gt;0,MAX(IF('FA Addition'!$N1271="SLM",($AC1271-'FA Addition'!$M1271)*'FA Addition'!$P1271*AI1271/365,(AC1271-'FA Addition'!$M1271)*(1-(1-'FA Addition'!$P1271)^(AI1271/365))),0),0)</f>
        <v>0</v>
      </c>
      <c r="AL1271" s="117">
        <f>MAX(IF(AG1271&gt;0,IF('FA Addition'!$N1271="SLM",($AE1271-'FA Addition'!$M1271)*'FA Addition'!$P1271*AG1271/365,IFERROR(VDB(AE1271,AE1271*0.05,'FA Addition'!$O1271,0,YEARFRAC('FA Addition'!$C1271,$P$1-1,3),'FA Addition'!$Q1271),FAAddition[[#This Row],[Original Cost (Rs)]]-FAAddition[[#This Row],[Salvage Value]])),0),0)</f>
        <v>0</v>
      </c>
      <c r="AM1271" s="119"/>
      <c r="AN1271" s="117">
        <f>MAX(IF(AH1271&gt;0,IF('FA Addition'!$N1271="SLM",($AF1271-'FA Addition'!$M1271)*'FA Addition'!$P1271*AH1271/365,IFERROR(VDB(AF1271,AF1271*0.05,'FA Addition'!$O1271,0,YEARFRAC('FA Addition'!$C1271,$L$1,3),'FA Addition'!$Q1271),FAAddition[[#This Row],[Original Cost (Rs)]]-FAAddition[[#This Row],[Salvage Value]])),0),0)</f>
        <v>0</v>
      </c>
      <c r="AO1271" s="117">
        <f t="shared" si="98"/>
        <v>0</v>
      </c>
      <c r="AQ1271" s="117">
        <f t="shared" si="96"/>
        <v>0</v>
      </c>
      <c r="AR1271" s="120">
        <f t="shared" si="97"/>
        <v>0</v>
      </c>
      <c r="AS1271" s="121"/>
    </row>
    <row r="1272" spans="1:45" ht="13.5" x14ac:dyDescent="0.4">
      <c r="A1272" s="12">
        <f t="shared" si="99"/>
        <v>1269</v>
      </c>
      <c r="B1272" s="64" t="s">
        <v>1758</v>
      </c>
      <c r="C1272" s="54">
        <v>45698</v>
      </c>
      <c r="D1272" s="54">
        <v>45698</v>
      </c>
      <c r="E1272" s="46" t="s">
        <v>451</v>
      </c>
      <c r="F1272" s="51" t="s">
        <v>19</v>
      </c>
      <c r="G1272" s="51" t="s">
        <v>144</v>
      </c>
      <c r="H1272" s="51" t="s">
        <v>21</v>
      </c>
      <c r="I1272" s="55" t="s">
        <v>2052</v>
      </c>
      <c r="J1272" s="56">
        <v>1</v>
      </c>
      <c r="K1272" s="51" t="s">
        <v>836</v>
      </c>
      <c r="L1272" s="58">
        <v>65254.240000000005</v>
      </c>
      <c r="M1272" s="50">
        <f>ROUND('FA Addition'!$L1272*5%,0.1)</f>
        <v>3263</v>
      </c>
      <c r="N1272" s="113" t="str">
        <f>_xlfn.XLOOKUP(_xlfn.CONCAT(E1272,B1272),'Year Wise Master Dep Approach'!F:F,'Year Wise Master Dep Approach'!D:D)</f>
        <v>WDV</v>
      </c>
      <c r="O1272" s="113">
        <f>_xlfn.XLOOKUP(_xlfn.CONCAT(E1272,B1272),'Year Wise Master Dep Approach'!F:F,'Year Wise Master Dep Approach'!E:E)</f>
        <v>3</v>
      </c>
      <c r="P1272" s="114">
        <f>IFERROR(IF('FA Addition'!$N1272="WDV",1-('FA Addition'!$M1272/'FA Addition'!$L1272)^(1/'FA Addition'!$O1272),1/'FA Addition'!$O1272),0)</f>
        <v>0.63158601079070797</v>
      </c>
      <c r="Q1272" s="122">
        <f>'FA Addition'!$P1272*'FA Addition'!$O1272</f>
        <v>1.894758032372124</v>
      </c>
      <c r="R1272" s="122"/>
      <c r="S1272" s="116">
        <f>IF(AND(DATE(20&amp;LEFT(FAAddition[[#This Row],[FY]],2),4,1)&lt;$L$1+1,DATE(20&amp;LEFT(FAAddition[[#This Row],[FY]],2),4,1)&gt;$P$1-1),'FA Addition'!$J1272,0)</f>
        <v>0</v>
      </c>
      <c r="U1272" s="117">
        <f>S1272*'FA Addition'!$L1272/'FA Addition'!$J1272</f>
        <v>0</v>
      </c>
      <c r="W1272" s="116">
        <f>SUMIFS('FA Write off'!D:D,'FA Write off'!A:A,'FA Addition'!$A1272,'FA Write off'!C:C,"&lt;"&amp;'FA Addition'!$P$1)</f>
        <v>0</v>
      </c>
      <c r="Y1272" s="191">
        <f>IFERROR(W1272/'FA Addition'!$J1272*'FA Addition'!$L1272,0)</f>
        <v>0</v>
      </c>
      <c r="AA1272" s="116">
        <f>SUMIFS('FA Write off'!D:D,'FA Write off'!A:A,'FA Addition'!$A1272,'FA Write off'!C:C,"&lt;"&amp;'FA Addition'!$L$1+1,'FA Write off'!C:C,"&gt;"&amp;'FA Addition'!$L$1-365)</f>
        <v>0</v>
      </c>
      <c r="AC1272" s="118">
        <f>IFERROR(AA1272/'FA Addition'!$J1272*'FA Addition'!$L1272,0)</f>
        <v>0</v>
      </c>
      <c r="AE1272" s="117">
        <f>IF(AND('FA Addition'!$D1272&lt;$P$1+1,U1272=0),'FA Addition'!$L1272,0)-Y1272</f>
        <v>0</v>
      </c>
      <c r="AF1272" s="117">
        <f t="shared" si="95"/>
        <v>0</v>
      </c>
      <c r="AG1272" s="117">
        <f>MIN(MAX(+$P$1-'FA Addition'!$D1272,0),365*'FA Addition'!$O1272)</f>
        <v>0</v>
      </c>
      <c r="AH1272" s="117">
        <f>MIN(MAX($L$1-'FA Addition'!$D1272+1,0),365*'FA Addition'!$O1272)</f>
        <v>0</v>
      </c>
      <c r="AI1272" s="117" cm="1">
        <f t="array" ref="AI1272">_xlfn.XLOOKUP(1,('FA Write off'!A:A='FA Addition'!$A1272)*('FA Write off'!D:D=AA1272),'FA Write off'!H:H,0,0)</f>
        <v>0</v>
      </c>
      <c r="AJ1272" s="117">
        <f>IF(AC1272&gt;0,MAX(IF('FA Addition'!$N1272="SLM",($AC1272-'FA Addition'!$M1272)*'FA Addition'!$P1272*AI1272/365,(AC1272-'FA Addition'!$M1272)*(1-(1-'FA Addition'!$P1272)^(AI1272/365))),0),0)</f>
        <v>0</v>
      </c>
      <c r="AL1272" s="117">
        <f>MAX(IF(AG1272&gt;0,IF('FA Addition'!$N1272="SLM",($AE1272-'FA Addition'!$M1272)*'FA Addition'!$P1272*AG1272/365,IFERROR(VDB(AE1272,AE1272*0.05,'FA Addition'!$O1272,0,YEARFRAC('FA Addition'!$C1272,$P$1-1,3),'FA Addition'!$Q1272),FAAddition[[#This Row],[Original Cost (Rs)]]-FAAddition[[#This Row],[Salvage Value]])),0),0)</f>
        <v>0</v>
      </c>
      <c r="AM1272" s="119"/>
      <c r="AN1272" s="117">
        <f>MAX(IF(AH1272&gt;0,IF('FA Addition'!$N1272="SLM",($AF1272-'FA Addition'!$M1272)*'FA Addition'!$P1272*AH1272/365,IFERROR(VDB(AF1272,AF1272*0.05,'FA Addition'!$O1272,0,YEARFRAC('FA Addition'!$C1272,$L$1,3),'FA Addition'!$Q1272),FAAddition[[#This Row],[Original Cost (Rs)]]-FAAddition[[#This Row],[Salvage Value]])),0),0)</f>
        <v>0</v>
      </c>
      <c r="AO1272" s="117">
        <f t="shared" si="98"/>
        <v>0</v>
      </c>
      <c r="AQ1272" s="117">
        <f t="shared" si="96"/>
        <v>0</v>
      </c>
      <c r="AR1272" s="120">
        <f t="shared" si="97"/>
        <v>0</v>
      </c>
      <c r="AS1272" s="121"/>
    </row>
    <row r="1273" spans="1:45" ht="13.5" x14ac:dyDescent="0.4">
      <c r="A1273" s="12">
        <f t="shared" si="99"/>
        <v>1270</v>
      </c>
      <c r="B1273" s="64" t="s">
        <v>1758</v>
      </c>
      <c r="C1273" s="54">
        <v>45698</v>
      </c>
      <c r="D1273" s="54">
        <v>45698</v>
      </c>
      <c r="E1273" s="46" t="s">
        <v>451</v>
      </c>
      <c r="F1273" s="51" t="s">
        <v>19</v>
      </c>
      <c r="G1273" s="51" t="s">
        <v>144</v>
      </c>
      <c r="H1273" s="51" t="s">
        <v>21</v>
      </c>
      <c r="I1273" s="55" t="s">
        <v>2052</v>
      </c>
      <c r="J1273" s="56">
        <v>1</v>
      </c>
      <c r="K1273" s="51" t="s">
        <v>836</v>
      </c>
      <c r="L1273" s="58">
        <v>65254.240000000005</v>
      </c>
      <c r="M1273" s="50">
        <f>ROUND('FA Addition'!$L1273*5%,0.1)</f>
        <v>3263</v>
      </c>
      <c r="N1273" s="113" t="str">
        <f>_xlfn.XLOOKUP(_xlfn.CONCAT(E1273,B1273),'Year Wise Master Dep Approach'!F:F,'Year Wise Master Dep Approach'!D:D)</f>
        <v>WDV</v>
      </c>
      <c r="O1273" s="113">
        <f>_xlfn.XLOOKUP(_xlfn.CONCAT(E1273,B1273),'Year Wise Master Dep Approach'!F:F,'Year Wise Master Dep Approach'!E:E)</f>
        <v>3</v>
      </c>
      <c r="P1273" s="114">
        <f>IFERROR(IF('FA Addition'!$N1273="WDV",1-('FA Addition'!$M1273/'FA Addition'!$L1273)^(1/'FA Addition'!$O1273),1/'FA Addition'!$O1273),0)</f>
        <v>0.63158601079070797</v>
      </c>
      <c r="Q1273" s="122">
        <f>'FA Addition'!$P1273*'FA Addition'!$O1273</f>
        <v>1.894758032372124</v>
      </c>
      <c r="R1273" s="122"/>
      <c r="S1273" s="116">
        <f>IF(AND(DATE(20&amp;LEFT(FAAddition[[#This Row],[FY]],2),4,1)&lt;$L$1+1,DATE(20&amp;LEFT(FAAddition[[#This Row],[FY]],2),4,1)&gt;$P$1-1),'FA Addition'!$J1273,0)</f>
        <v>0</v>
      </c>
      <c r="U1273" s="117">
        <f>S1273*'FA Addition'!$L1273/'FA Addition'!$J1273</f>
        <v>0</v>
      </c>
      <c r="W1273" s="116">
        <f>SUMIFS('FA Write off'!D:D,'FA Write off'!A:A,'FA Addition'!$A1273,'FA Write off'!C:C,"&lt;"&amp;'FA Addition'!$P$1)</f>
        <v>0</v>
      </c>
      <c r="Y1273" s="191">
        <f>IFERROR(W1273/'FA Addition'!$J1273*'FA Addition'!$L1273,0)</f>
        <v>0</v>
      </c>
      <c r="AA1273" s="116">
        <f>SUMIFS('FA Write off'!D:D,'FA Write off'!A:A,'FA Addition'!$A1273,'FA Write off'!C:C,"&lt;"&amp;'FA Addition'!$L$1+1,'FA Write off'!C:C,"&gt;"&amp;'FA Addition'!$L$1-365)</f>
        <v>0</v>
      </c>
      <c r="AC1273" s="118">
        <f>IFERROR(AA1273/'FA Addition'!$J1273*'FA Addition'!$L1273,0)</f>
        <v>0</v>
      </c>
      <c r="AE1273" s="117">
        <f>IF(AND('FA Addition'!$D1273&lt;$P$1+1,U1273=0),'FA Addition'!$L1273,0)-Y1273</f>
        <v>0</v>
      </c>
      <c r="AF1273" s="117">
        <f t="shared" si="95"/>
        <v>0</v>
      </c>
      <c r="AG1273" s="117">
        <f>MIN(MAX(+$P$1-'FA Addition'!$D1273,0),365*'FA Addition'!$O1273)</f>
        <v>0</v>
      </c>
      <c r="AH1273" s="117">
        <f>MIN(MAX($L$1-'FA Addition'!$D1273+1,0),365*'FA Addition'!$O1273)</f>
        <v>0</v>
      </c>
      <c r="AI1273" s="117" cm="1">
        <f t="array" ref="AI1273">_xlfn.XLOOKUP(1,('FA Write off'!A:A='FA Addition'!$A1273)*('FA Write off'!D:D=AA1273),'FA Write off'!H:H,0,0)</f>
        <v>0</v>
      </c>
      <c r="AJ1273" s="117">
        <f>IF(AC1273&gt;0,MAX(IF('FA Addition'!$N1273="SLM",($AC1273-'FA Addition'!$M1273)*'FA Addition'!$P1273*AI1273/365,(AC1273-'FA Addition'!$M1273)*(1-(1-'FA Addition'!$P1273)^(AI1273/365))),0),0)</f>
        <v>0</v>
      </c>
      <c r="AL1273" s="117">
        <f>MAX(IF(AG1273&gt;0,IF('FA Addition'!$N1273="SLM",($AE1273-'FA Addition'!$M1273)*'FA Addition'!$P1273*AG1273/365,IFERROR(VDB(AE1273,AE1273*0.05,'FA Addition'!$O1273,0,YEARFRAC('FA Addition'!$C1273,$P$1-1,3),'FA Addition'!$Q1273),FAAddition[[#This Row],[Original Cost (Rs)]]-FAAddition[[#This Row],[Salvage Value]])),0),0)</f>
        <v>0</v>
      </c>
      <c r="AM1273" s="119"/>
      <c r="AN1273" s="117">
        <f>MAX(IF(AH1273&gt;0,IF('FA Addition'!$N1273="SLM",($AF1273-'FA Addition'!$M1273)*'FA Addition'!$P1273*AH1273/365,IFERROR(VDB(AF1273,AF1273*0.05,'FA Addition'!$O1273,0,YEARFRAC('FA Addition'!$C1273,$L$1,3),'FA Addition'!$Q1273),FAAddition[[#This Row],[Original Cost (Rs)]]-FAAddition[[#This Row],[Salvage Value]])),0),0)</f>
        <v>0</v>
      </c>
      <c r="AO1273" s="117">
        <f t="shared" si="98"/>
        <v>0</v>
      </c>
      <c r="AQ1273" s="117">
        <f t="shared" si="96"/>
        <v>0</v>
      </c>
      <c r="AR1273" s="120">
        <f t="shared" si="97"/>
        <v>0</v>
      </c>
      <c r="AS1273" s="121"/>
    </row>
    <row r="1274" spans="1:45" ht="13.5" x14ac:dyDescent="0.4">
      <c r="A1274" s="12">
        <f t="shared" si="99"/>
        <v>1271</v>
      </c>
      <c r="B1274" s="64" t="s">
        <v>1758</v>
      </c>
      <c r="C1274" s="54">
        <v>45698</v>
      </c>
      <c r="D1274" s="54">
        <v>45698</v>
      </c>
      <c r="E1274" s="46" t="s">
        <v>451</v>
      </c>
      <c r="F1274" s="51" t="s">
        <v>19</v>
      </c>
      <c r="G1274" s="51" t="s">
        <v>144</v>
      </c>
      <c r="H1274" s="51" t="s">
        <v>21</v>
      </c>
      <c r="I1274" s="55" t="s">
        <v>2052</v>
      </c>
      <c r="J1274" s="56">
        <v>1</v>
      </c>
      <c r="K1274" s="51" t="s">
        <v>836</v>
      </c>
      <c r="L1274" s="58">
        <v>65254.240000000005</v>
      </c>
      <c r="M1274" s="50">
        <f>ROUND('FA Addition'!$L1274*5%,0.1)</f>
        <v>3263</v>
      </c>
      <c r="N1274" s="113" t="str">
        <f>_xlfn.XLOOKUP(_xlfn.CONCAT(E1274,B1274),'Year Wise Master Dep Approach'!F:F,'Year Wise Master Dep Approach'!D:D)</f>
        <v>WDV</v>
      </c>
      <c r="O1274" s="113">
        <f>_xlfn.XLOOKUP(_xlfn.CONCAT(E1274,B1274),'Year Wise Master Dep Approach'!F:F,'Year Wise Master Dep Approach'!E:E)</f>
        <v>3</v>
      </c>
      <c r="P1274" s="114">
        <f>IFERROR(IF('FA Addition'!$N1274="WDV",1-('FA Addition'!$M1274/'FA Addition'!$L1274)^(1/'FA Addition'!$O1274),1/'FA Addition'!$O1274),0)</f>
        <v>0.63158601079070797</v>
      </c>
      <c r="Q1274" s="122">
        <f>'FA Addition'!$P1274*'FA Addition'!$O1274</f>
        <v>1.894758032372124</v>
      </c>
      <c r="R1274" s="122"/>
      <c r="S1274" s="116">
        <f>IF(AND(DATE(20&amp;LEFT(FAAddition[[#This Row],[FY]],2),4,1)&lt;$L$1+1,DATE(20&amp;LEFT(FAAddition[[#This Row],[FY]],2),4,1)&gt;$P$1-1),'FA Addition'!$J1274,0)</f>
        <v>0</v>
      </c>
      <c r="U1274" s="117">
        <f>S1274*'FA Addition'!$L1274/'FA Addition'!$J1274</f>
        <v>0</v>
      </c>
      <c r="W1274" s="116">
        <f>SUMIFS('FA Write off'!D:D,'FA Write off'!A:A,'FA Addition'!$A1274,'FA Write off'!C:C,"&lt;"&amp;'FA Addition'!$P$1)</f>
        <v>0</v>
      </c>
      <c r="Y1274" s="191">
        <f>IFERROR(W1274/'FA Addition'!$J1274*'FA Addition'!$L1274,0)</f>
        <v>0</v>
      </c>
      <c r="AA1274" s="116">
        <f>SUMIFS('FA Write off'!D:D,'FA Write off'!A:A,'FA Addition'!$A1274,'FA Write off'!C:C,"&lt;"&amp;'FA Addition'!$L$1+1,'FA Write off'!C:C,"&gt;"&amp;'FA Addition'!$L$1-365)</f>
        <v>0</v>
      </c>
      <c r="AC1274" s="118">
        <f>IFERROR(AA1274/'FA Addition'!$J1274*'FA Addition'!$L1274,0)</f>
        <v>0</v>
      </c>
      <c r="AE1274" s="117">
        <f>IF(AND('FA Addition'!$D1274&lt;$P$1+1,U1274=0),'FA Addition'!$L1274,0)-Y1274</f>
        <v>0</v>
      </c>
      <c r="AF1274" s="117">
        <f t="shared" si="95"/>
        <v>0</v>
      </c>
      <c r="AG1274" s="117">
        <f>MIN(MAX(+$P$1-'FA Addition'!$D1274,0),365*'FA Addition'!$O1274)</f>
        <v>0</v>
      </c>
      <c r="AH1274" s="117">
        <f>MIN(MAX($L$1-'FA Addition'!$D1274+1,0),365*'FA Addition'!$O1274)</f>
        <v>0</v>
      </c>
      <c r="AI1274" s="117" cm="1">
        <f t="array" ref="AI1274">_xlfn.XLOOKUP(1,('FA Write off'!A:A='FA Addition'!$A1274)*('FA Write off'!D:D=AA1274),'FA Write off'!H:H,0,0)</f>
        <v>0</v>
      </c>
      <c r="AJ1274" s="117">
        <f>IF(AC1274&gt;0,MAX(IF('FA Addition'!$N1274="SLM",($AC1274-'FA Addition'!$M1274)*'FA Addition'!$P1274*AI1274/365,(AC1274-'FA Addition'!$M1274)*(1-(1-'FA Addition'!$P1274)^(AI1274/365))),0),0)</f>
        <v>0</v>
      </c>
      <c r="AL1274" s="117">
        <f>MAX(IF(AG1274&gt;0,IF('FA Addition'!$N1274="SLM",($AE1274-'FA Addition'!$M1274)*'FA Addition'!$P1274*AG1274/365,IFERROR(VDB(AE1274,AE1274*0.05,'FA Addition'!$O1274,0,YEARFRAC('FA Addition'!$C1274,$P$1-1,3),'FA Addition'!$Q1274),FAAddition[[#This Row],[Original Cost (Rs)]]-FAAddition[[#This Row],[Salvage Value]])),0),0)</f>
        <v>0</v>
      </c>
      <c r="AM1274" s="119"/>
      <c r="AN1274" s="117">
        <f>MAX(IF(AH1274&gt;0,IF('FA Addition'!$N1274="SLM",($AF1274-'FA Addition'!$M1274)*'FA Addition'!$P1274*AH1274/365,IFERROR(VDB(AF1274,AF1274*0.05,'FA Addition'!$O1274,0,YEARFRAC('FA Addition'!$C1274,$L$1,3),'FA Addition'!$Q1274),FAAddition[[#This Row],[Original Cost (Rs)]]-FAAddition[[#This Row],[Salvage Value]])),0),0)</f>
        <v>0</v>
      </c>
      <c r="AO1274" s="117">
        <f t="shared" si="98"/>
        <v>0</v>
      </c>
      <c r="AQ1274" s="117">
        <f t="shared" si="96"/>
        <v>0</v>
      </c>
      <c r="AR1274" s="120">
        <f t="shared" si="97"/>
        <v>0</v>
      </c>
      <c r="AS1274" s="121"/>
    </row>
    <row r="1275" spans="1:45" ht="13.5" x14ac:dyDescent="0.4">
      <c r="A1275" s="12">
        <f t="shared" si="99"/>
        <v>1272</v>
      </c>
      <c r="B1275" s="64" t="s">
        <v>1758</v>
      </c>
      <c r="C1275" s="54">
        <v>45698</v>
      </c>
      <c r="D1275" s="54">
        <v>45698</v>
      </c>
      <c r="E1275" s="46" t="s">
        <v>451</v>
      </c>
      <c r="F1275" s="51" t="s">
        <v>19</v>
      </c>
      <c r="G1275" s="51" t="s">
        <v>144</v>
      </c>
      <c r="H1275" s="51" t="s">
        <v>21</v>
      </c>
      <c r="I1275" s="55" t="s">
        <v>2052</v>
      </c>
      <c r="J1275" s="56">
        <v>1</v>
      </c>
      <c r="K1275" s="51" t="s">
        <v>836</v>
      </c>
      <c r="L1275" s="58">
        <v>65254.240000000005</v>
      </c>
      <c r="M1275" s="50">
        <f>ROUND('FA Addition'!$L1275*5%,0.1)</f>
        <v>3263</v>
      </c>
      <c r="N1275" s="113" t="str">
        <f>_xlfn.XLOOKUP(_xlfn.CONCAT(E1275,B1275),'Year Wise Master Dep Approach'!F:F,'Year Wise Master Dep Approach'!D:D)</f>
        <v>WDV</v>
      </c>
      <c r="O1275" s="113">
        <f>_xlfn.XLOOKUP(_xlfn.CONCAT(E1275,B1275),'Year Wise Master Dep Approach'!F:F,'Year Wise Master Dep Approach'!E:E)</f>
        <v>3</v>
      </c>
      <c r="P1275" s="114">
        <f>IFERROR(IF('FA Addition'!$N1275="WDV",1-('FA Addition'!$M1275/'FA Addition'!$L1275)^(1/'FA Addition'!$O1275),1/'FA Addition'!$O1275),0)</f>
        <v>0.63158601079070797</v>
      </c>
      <c r="Q1275" s="122">
        <f>'FA Addition'!$P1275*'FA Addition'!$O1275</f>
        <v>1.894758032372124</v>
      </c>
      <c r="R1275" s="122"/>
      <c r="S1275" s="116">
        <f>IF(AND(DATE(20&amp;LEFT(FAAddition[[#This Row],[FY]],2),4,1)&lt;$L$1+1,DATE(20&amp;LEFT(FAAddition[[#This Row],[FY]],2),4,1)&gt;$P$1-1),'FA Addition'!$J1275,0)</f>
        <v>0</v>
      </c>
      <c r="U1275" s="117">
        <f>S1275*'FA Addition'!$L1275/'FA Addition'!$J1275</f>
        <v>0</v>
      </c>
      <c r="W1275" s="116">
        <f>SUMIFS('FA Write off'!D:D,'FA Write off'!A:A,'FA Addition'!$A1275,'FA Write off'!C:C,"&lt;"&amp;'FA Addition'!$P$1)</f>
        <v>0</v>
      </c>
      <c r="Y1275" s="191">
        <f>IFERROR(W1275/'FA Addition'!$J1275*'FA Addition'!$L1275,0)</f>
        <v>0</v>
      </c>
      <c r="AA1275" s="116">
        <f>SUMIFS('FA Write off'!D:D,'FA Write off'!A:A,'FA Addition'!$A1275,'FA Write off'!C:C,"&lt;"&amp;'FA Addition'!$L$1+1,'FA Write off'!C:C,"&gt;"&amp;'FA Addition'!$L$1-365)</f>
        <v>0</v>
      </c>
      <c r="AC1275" s="118">
        <f>IFERROR(AA1275/'FA Addition'!$J1275*'FA Addition'!$L1275,0)</f>
        <v>0</v>
      </c>
      <c r="AE1275" s="117">
        <f>IF(AND('FA Addition'!$D1275&lt;$P$1+1,U1275=0),'FA Addition'!$L1275,0)-Y1275</f>
        <v>0</v>
      </c>
      <c r="AF1275" s="117">
        <f t="shared" si="95"/>
        <v>0</v>
      </c>
      <c r="AG1275" s="117">
        <f>MIN(MAX(+$P$1-'FA Addition'!$D1275,0),365*'FA Addition'!$O1275)</f>
        <v>0</v>
      </c>
      <c r="AH1275" s="117">
        <f>MIN(MAX($L$1-'FA Addition'!$D1275+1,0),365*'FA Addition'!$O1275)</f>
        <v>0</v>
      </c>
      <c r="AI1275" s="117" cm="1">
        <f t="array" ref="AI1275">_xlfn.XLOOKUP(1,('FA Write off'!A:A='FA Addition'!$A1275)*('FA Write off'!D:D=AA1275),'FA Write off'!H:H,0,0)</f>
        <v>0</v>
      </c>
      <c r="AJ1275" s="117">
        <f>IF(AC1275&gt;0,MAX(IF('FA Addition'!$N1275="SLM",($AC1275-'FA Addition'!$M1275)*'FA Addition'!$P1275*AI1275/365,(AC1275-'FA Addition'!$M1275)*(1-(1-'FA Addition'!$P1275)^(AI1275/365))),0),0)</f>
        <v>0</v>
      </c>
      <c r="AL1275" s="117">
        <f>MAX(IF(AG1275&gt;0,IF('FA Addition'!$N1275="SLM",($AE1275-'FA Addition'!$M1275)*'FA Addition'!$P1275*AG1275/365,IFERROR(VDB(AE1275,AE1275*0.05,'FA Addition'!$O1275,0,YEARFRAC('FA Addition'!$C1275,$P$1-1,3),'FA Addition'!$Q1275),FAAddition[[#This Row],[Original Cost (Rs)]]-FAAddition[[#This Row],[Salvage Value]])),0),0)</f>
        <v>0</v>
      </c>
      <c r="AM1275" s="119"/>
      <c r="AN1275" s="117">
        <f>MAX(IF(AH1275&gt;0,IF('FA Addition'!$N1275="SLM",($AF1275-'FA Addition'!$M1275)*'FA Addition'!$P1275*AH1275/365,IFERROR(VDB(AF1275,AF1275*0.05,'FA Addition'!$O1275,0,YEARFRAC('FA Addition'!$C1275,$L$1,3),'FA Addition'!$Q1275),FAAddition[[#This Row],[Original Cost (Rs)]]-FAAddition[[#This Row],[Salvage Value]])),0),0)</f>
        <v>0</v>
      </c>
      <c r="AO1275" s="117">
        <f t="shared" si="98"/>
        <v>0</v>
      </c>
      <c r="AQ1275" s="117">
        <f t="shared" si="96"/>
        <v>0</v>
      </c>
      <c r="AR1275" s="120">
        <f t="shared" si="97"/>
        <v>0</v>
      </c>
      <c r="AS1275" s="121"/>
    </row>
    <row r="1276" spans="1:45" ht="13.5" x14ac:dyDescent="0.4">
      <c r="A1276" s="12">
        <f t="shared" si="99"/>
        <v>1273</v>
      </c>
      <c r="B1276" s="64" t="s">
        <v>1758</v>
      </c>
      <c r="C1276" s="54">
        <v>45698</v>
      </c>
      <c r="D1276" s="54">
        <v>45698</v>
      </c>
      <c r="E1276" s="46" t="s">
        <v>1320</v>
      </c>
      <c r="F1276" s="51" t="s">
        <v>33</v>
      </c>
      <c r="G1276" s="51" t="s">
        <v>36</v>
      </c>
      <c r="H1276" s="51" t="s">
        <v>32</v>
      </c>
      <c r="I1276" s="55" t="s">
        <v>2053</v>
      </c>
      <c r="J1276" s="56">
        <v>1000</v>
      </c>
      <c r="K1276" s="51" t="s">
        <v>296</v>
      </c>
      <c r="L1276" s="58">
        <v>1600000</v>
      </c>
      <c r="M1276" s="50">
        <f>ROUND('FA Addition'!$L1276*5%,0.1)</f>
        <v>80000</v>
      </c>
      <c r="N1276" s="113" t="str">
        <f>_xlfn.XLOOKUP(_xlfn.CONCAT(E1276,B1276),'Year Wise Master Dep Approach'!F:F,'Year Wise Master Dep Approach'!D:D)</f>
        <v>SLM</v>
      </c>
      <c r="O1276" s="113">
        <f>_xlfn.XLOOKUP(_xlfn.CONCAT(E1276,B1276),'Year Wise Master Dep Approach'!F:F,'Year Wise Master Dep Approach'!E:E)</f>
        <v>5</v>
      </c>
      <c r="P1276" s="114">
        <f>IFERROR(IF('FA Addition'!$N1276="WDV",1-('FA Addition'!$M1276/'FA Addition'!$L1276)^(1/'FA Addition'!$O1276),1/'FA Addition'!$O1276),0)</f>
        <v>0.2</v>
      </c>
      <c r="Q1276" s="122">
        <f>'FA Addition'!$P1276*'FA Addition'!$O1276</f>
        <v>1</v>
      </c>
      <c r="R1276" s="122"/>
      <c r="S1276" s="116">
        <f>IF(AND(DATE(20&amp;LEFT(FAAddition[[#This Row],[FY]],2),4,1)&lt;$L$1+1,DATE(20&amp;LEFT(FAAddition[[#This Row],[FY]],2),4,1)&gt;$P$1-1),'FA Addition'!$J1276,0)</f>
        <v>0</v>
      </c>
      <c r="U1276" s="117">
        <f>S1276*'FA Addition'!$L1276/'FA Addition'!$J1276</f>
        <v>0</v>
      </c>
      <c r="W1276" s="116">
        <f>SUMIFS('FA Write off'!D:D,'FA Write off'!A:A,'FA Addition'!$A1276,'FA Write off'!C:C,"&lt;"&amp;'FA Addition'!$P$1)</f>
        <v>0</v>
      </c>
      <c r="Y1276" s="191">
        <f>IFERROR(W1276/'FA Addition'!$J1276*'FA Addition'!$L1276,0)</f>
        <v>0</v>
      </c>
      <c r="AA1276" s="116">
        <f>SUMIFS('FA Write off'!D:D,'FA Write off'!A:A,'FA Addition'!$A1276,'FA Write off'!C:C,"&lt;"&amp;'FA Addition'!$L$1+1,'FA Write off'!C:C,"&gt;"&amp;'FA Addition'!$L$1-365)</f>
        <v>0</v>
      </c>
      <c r="AC1276" s="118">
        <f>IFERROR(AA1276/'FA Addition'!$J1276*'FA Addition'!$L1276,0)</f>
        <v>0</v>
      </c>
      <c r="AE1276" s="117">
        <f>IF(AND('FA Addition'!$D1276&lt;$P$1+1,U1276=0),'FA Addition'!$L1276,0)-Y1276</f>
        <v>0</v>
      </c>
      <c r="AF1276" s="117">
        <f t="shared" si="95"/>
        <v>0</v>
      </c>
      <c r="AG1276" s="117">
        <f>MIN(MAX(+$P$1-'FA Addition'!$D1276,0),365*'FA Addition'!$O1276)</f>
        <v>0</v>
      </c>
      <c r="AH1276" s="117">
        <f>MIN(MAX($L$1-'FA Addition'!$D1276+1,0),365*'FA Addition'!$O1276)</f>
        <v>0</v>
      </c>
      <c r="AI1276" s="117" cm="1">
        <f t="array" ref="AI1276">_xlfn.XLOOKUP(1,('FA Write off'!A:A='FA Addition'!$A1276)*('FA Write off'!D:D=AA1276),'FA Write off'!H:H,0,0)</f>
        <v>0</v>
      </c>
      <c r="AJ1276" s="117">
        <f>IF(AC1276&gt;0,MAX(IF('FA Addition'!$N1276="SLM",($AC1276-'FA Addition'!$M1276)*'FA Addition'!$P1276*AI1276/365,(AC1276-'FA Addition'!$M1276)*(1-(1-'FA Addition'!$P1276)^(AI1276/365))),0),0)</f>
        <v>0</v>
      </c>
      <c r="AL1276" s="117">
        <f>MAX(IF(AG1276&gt;0,IF('FA Addition'!$N1276="SLM",($AE1276-'FA Addition'!$M1276)*'FA Addition'!$P1276*AG1276/365,IFERROR(VDB(AE1276,AE1276*0.05,'FA Addition'!$O1276,0,YEARFRAC('FA Addition'!$C1276,$P$1-1,3),'FA Addition'!$Q1276),FAAddition[[#This Row],[Original Cost (Rs)]]-FAAddition[[#This Row],[Salvage Value]])),0),0)</f>
        <v>0</v>
      </c>
      <c r="AM1276" s="119"/>
      <c r="AN1276" s="117">
        <f>MAX(IF(AH1276&gt;0,IF('FA Addition'!$N1276="SLM",($AF1276-'FA Addition'!$M1276)*'FA Addition'!$P1276*AH1276/365,IFERROR(VDB(AF1276,AF1276*0.05,'FA Addition'!$O1276,0,YEARFRAC('FA Addition'!$C1276,$L$1,3),'FA Addition'!$Q1276),FAAddition[[#This Row],[Original Cost (Rs)]]-FAAddition[[#This Row],[Salvage Value]])),0),0)</f>
        <v>0</v>
      </c>
      <c r="AO1276" s="117">
        <f t="shared" si="98"/>
        <v>0</v>
      </c>
      <c r="AQ1276" s="117">
        <f t="shared" si="96"/>
        <v>0</v>
      </c>
      <c r="AR1276" s="120">
        <f t="shared" si="97"/>
        <v>0</v>
      </c>
      <c r="AS1276" s="121"/>
    </row>
    <row r="1277" spans="1:45" ht="13.5" x14ac:dyDescent="0.4">
      <c r="A1277" s="12">
        <f t="shared" si="99"/>
        <v>1274</v>
      </c>
      <c r="B1277" s="64" t="s">
        <v>1758</v>
      </c>
      <c r="C1277" s="54">
        <v>45694</v>
      </c>
      <c r="D1277" s="54">
        <v>45698</v>
      </c>
      <c r="E1277" s="46" t="s">
        <v>1320</v>
      </c>
      <c r="F1277" s="51" t="s">
        <v>33</v>
      </c>
      <c r="G1277" s="51" t="s">
        <v>34</v>
      </c>
      <c r="H1277" s="51" t="s">
        <v>32</v>
      </c>
      <c r="I1277" s="55" t="s">
        <v>2054</v>
      </c>
      <c r="J1277" s="56">
        <v>500</v>
      </c>
      <c r="K1277" s="51" t="s">
        <v>295</v>
      </c>
      <c r="L1277" s="58">
        <v>832500</v>
      </c>
      <c r="M1277" s="50">
        <f>ROUND('FA Addition'!$L1277*5%,0.1)</f>
        <v>41625</v>
      </c>
      <c r="N1277" s="113" t="str">
        <f>_xlfn.XLOOKUP(_xlfn.CONCAT(E1277,B1277),'Year Wise Master Dep Approach'!F:F,'Year Wise Master Dep Approach'!D:D)</f>
        <v>SLM</v>
      </c>
      <c r="O1277" s="113">
        <f>_xlfn.XLOOKUP(_xlfn.CONCAT(E1277,B1277),'Year Wise Master Dep Approach'!F:F,'Year Wise Master Dep Approach'!E:E)</f>
        <v>5</v>
      </c>
      <c r="P1277" s="114">
        <f>IFERROR(IF('FA Addition'!$N1277="WDV",1-('FA Addition'!$M1277/'FA Addition'!$L1277)^(1/'FA Addition'!$O1277),1/'FA Addition'!$O1277),0)</f>
        <v>0.2</v>
      </c>
      <c r="Q1277" s="122">
        <f>'FA Addition'!$P1277*'FA Addition'!$O1277</f>
        <v>1</v>
      </c>
      <c r="R1277" s="122"/>
      <c r="S1277" s="116">
        <f>IF(AND(DATE(20&amp;LEFT(FAAddition[[#This Row],[FY]],2),4,1)&lt;$L$1+1,DATE(20&amp;LEFT(FAAddition[[#This Row],[FY]],2),4,1)&gt;$P$1-1),'FA Addition'!$J1277,0)</f>
        <v>0</v>
      </c>
      <c r="U1277" s="117">
        <f>S1277*'FA Addition'!$L1277/'FA Addition'!$J1277</f>
        <v>0</v>
      </c>
      <c r="W1277" s="116">
        <f>SUMIFS('FA Write off'!D:D,'FA Write off'!A:A,'FA Addition'!$A1277,'FA Write off'!C:C,"&lt;"&amp;'FA Addition'!$P$1)</f>
        <v>0</v>
      </c>
      <c r="Y1277" s="191">
        <f>IFERROR(W1277/'FA Addition'!$J1277*'FA Addition'!$L1277,0)</f>
        <v>0</v>
      </c>
      <c r="AA1277" s="116">
        <f>SUMIFS('FA Write off'!D:D,'FA Write off'!A:A,'FA Addition'!$A1277,'FA Write off'!C:C,"&lt;"&amp;'FA Addition'!$L$1+1,'FA Write off'!C:C,"&gt;"&amp;'FA Addition'!$L$1-365)</f>
        <v>0</v>
      </c>
      <c r="AC1277" s="118">
        <f>IFERROR(AA1277/'FA Addition'!$J1277*'FA Addition'!$L1277,0)</f>
        <v>0</v>
      </c>
      <c r="AE1277" s="117">
        <f>IF(AND('FA Addition'!$D1277&lt;$P$1+1,U1277=0),'FA Addition'!$L1277,0)-Y1277</f>
        <v>0</v>
      </c>
      <c r="AF1277" s="117">
        <f t="shared" si="95"/>
        <v>0</v>
      </c>
      <c r="AG1277" s="117">
        <f>MIN(MAX(+$P$1-'FA Addition'!$D1277,0),365*'FA Addition'!$O1277)</f>
        <v>0</v>
      </c>
      <c r="AH1277" s="117">
        <f>MIN(MAX($L$1-'FA Addition'!$D1277+1,0),365*'FA Addition'!$O1277)</f>
        <v>0</v>
      </c>
      <c r="AI1277" s="117" cm="1">
        <f t="array" ref="AI1277">_xlfn.XLOOKUP(1,('FA Write off'!A:A='FA Addition'!$A1277)*('FA Write off'!D:D=AA1277),'FA Write off'!H:H,0,0)</f>
        <v>0</v>
      </c>
      <c r="AJ1277" s="117">
        <f>IF(AC1277&gt;0,MAX(IF('FA Addition'!$N1277="SLM",($AC1277-'FA Addition'!$M1277)*'FA Addition'!$P1277*AI1277/365,(AC1277-'FA Addition'!$M1277)*(1-(1-'FA Addition'!$P1277)^(AI1277/365))),0),0)</f>
        <v>0</v>
      </c>
      <c r="AL1277" s="117">
        <f>MAX(IF(AG1277&gt;0,IF('FA Addition'!$N1277="SLM",($AE1277-'FA Addition'!$M1277)*'FA Addition'!$P1277*AG1277/365,IFERROR(VDB(AE1277,AE1277*0.05,'FA Addition'!$O1277,0,YEARFRAC('FA Addition'!$C1277,$P$1-1,3),'FA Addition'!$Q1277),FAAddition[[#This Row],[Original Cost (Rs)]]-FAAddition[[#This Row],[Salvage Value]])),0),0)</f>
        <v>0</v>
      </c>
      <c r="AM1277" s="119"/>
      <c r="AN1277" s="117">
        <f>MAX(IF(AH1277&gt;0,IF('FA Addition'!$N1277="SLM",($AF1277-'FA Addition'!$M1277)*'FA Addition'!$P1277*AH1277/365,IFERROR(VDB(AF1277,AF1277*0.05,'FA Addition'!$O1277,0,YEARFRAC('FA Addition'!$C1277,$L$1,3),'FA Addition'!$Q1277),FAAddition[[#This Row],[Original Cost (Rs)]]-FAAddition[[#This Row],[Salvage Value]])),0),0)</f>
        <v>0</v>
      </c>
      <c r="AO1277" s="117">
        <f t="shared" si="98"/>
        <v>0</v>
      </c>
      <c r="AQ1277" s="117">
        <f t="shared" si="96"/>
        <v>0</v>
      </c>
      <c r="AR1277" s="120">
        <f t="shared" si="97"/>
        <v>0</v>
      </c>
      <c r="AS1277" s="121"/>
    </row>
    <row r="1278" spans="1:45" ht="13.5" x14ac:dyDescent="0.4">
      <c r="A1278" s="12">
        <f t="shared" si="99"/>
        <v>1275</v>
      </c>
      <c r="B1278" s="64" t="s">
        <v>1758</v>
      </c>
      <c r="C1278" s="54">
        <v>45700</v>
      </c>
      <c r="D1278" s="54">
        <v>45700</v>
      </c>
      <c r="E1278" s="46" t="s">
        <v>1320</v>
      </c>
      <c r="F1278" s="51" t="s">
        <v>33</v>
      </c>
      <c r="G1278" s="51" t="s">
        <v>34</v>
      </c>
      <c r="H1278" s="51" t="s">
        <v>32</v>
      </c>
      <c r="I1278" s="55" t="s">
        <v>2055</v>
      </c>
      <c r="J1278" s="56">
        <v>1000</v>
      </c>
      <c r="K1278" s="51" t="s">
        <v>295</v>
      </c>
      <c r="L1278" s="58">
        <v>1665000</v>
      </c>
      <c r="M1278" s="50">
        <f>ROUND('FA Addition'!$L1278*5%,0.1)</f>
        <v>83250</v>
      </c>
      <c r="N1278" s="113" t="str">
        <f>_xlfn.XLOOKUP(_xlfn.CONCAT(E1278,B1278),'Year Wise Master Dep Approach'!F:F,'Year Wise Master Dep Approach'!D:D)</f>
        <v>SLM</v>
      </c>
      <c r="O1278" s="113">
        <f>_xlfn.XLOOKUP(_xlfn.CONCAT(E1278,B1278),'Year Wise Master Dep Approach'!F:F,'Year Wise Master Dep Approach'!E:E)</f>
        <v>5</v>
      </c>
      <c r="P1278" s="114">
        <f>IFERROR(IF('FA Addition'!$N1278="WDV",1-('FA Addition'!$M1278/'FA Addition'!$L1278)^(1/'FA Addition'!$O1278),1/'FA Addition'!$O1278),0)</f>
        <v>0.2</v>
      </c>
      <c r="Q1278" s="122">
        <f>'FA Addition'!$P1278*'FA Addition'!$O1278</f>
        <v>1</v>
      </c>
      <c r="R1278" s="122"/>
      <c r="S1278" s="116">
        <f>IF(AND(DATE(20&amp;LEFT(FAAddition[[#This Row],[FY]],2),4,1)&lt;$L$1+1,DATE(20&amp;LEFT(FAAddition[[#This Row],[FY]],2),4,1)&gt;$P$1-1),'FA Addition'!$J1278,0)</f>
        <v>0</v>
      </c>
      <c r="U1278" s="117">
        <f>S1278*'FA Addition'!$L1278/'FA Addition'!$J1278</f>
        <v>0</v>
      </c>
      <c r="W1278" s="116">
        <f>SUMIFS('FA Write off'!D:D,'FA Write off'!A:A,'FA Addition'!$A1278,'FA Write off'!C:C,"&lt;"&amp;'FA Addition'!$P$1)</f>
        <v>0</v>
      </c>
      <c r="Y1278" s="191">
        <f>IFERROR(W1278/'FA Addition'!$J1278*'FA Addition'!$L1278,0)</f>
        <v>0</v>
      </c>
      <c r="AA1278" s="116">
        <f>SUMIFS('FA Write off'!D:D,'FA Write off'!A:A,'FA Addition'!$A1278,'FA Write off'!C:C,"&lt;"&amp;'FA Addition'!$L$1+1,'FA Write off'!C:C,"&gt;"&amp;'FA Addition'!$L$1-365)</f>
        <v>0</v>
      </c>
      <c r="AC1278" s="118">
        <f>IFERROR(AA1278/'FA Addition'!$J1278*'FA Addition'!$L1278,0)</f>
        <v>0</v>
      </c>
      <c r="AE1278" s="117">
        <f>IF(AND('FA Addition'!$D1278&lt;$P$1+1,U1278=0),'FA Addition'!$L1278,0)-Y1278</f>
        <v>0</v>
      </c>
      <c r="AF1278" s="117">
        <f t="shared" si="95"/>
        <v>0</v>
      </c>
      <c r="AG1278" s="117">
        <f>MIN(MAX(+$P$1-'FA Addition'!$D1278,0),365*'FA Addition'!$O1278)</f>
        <v>0</v>
      </c>
      <c r="AH1278" s="117">
        <f>MIN(MAX($L$1-'FA Addition'!$D1278+1,0),365*'FA Addition'!$O1278)</f>
        <v>0</v>
      </c>
      <c r="AI1278" s="117" cm="1">
        <f t="array" ref="AI1278">_xlfn.XLOOKUP(1,('FA Write off'!A:A='FA Addition'!$A1278)*('FA Write off'!D:D=AA1278),'FA Write off'!H:H,0,0)</f>
        <v>0</v>
      </c>
      <c r="AJ1278" s="117">
        <f>IF(AC1278&gt;0,MAX(IF('FA Addition'!$N1278="SLM",($AC1278-'FA Addition'!$M1278)*'FA Addition'!$P1278*AI1278/365,(AC1278-'FA Addition'!$M1278)*(1-(1-'FA Addition'!$P1278)^(AI1278/365))),0),0)</f>
        <v>0</v>
      </c>
      <c r="AL1278" s="117">
        <f>MAX(IF(AG1278&gt;0,IF('FA Addition'!$N1278="SLM",($AE1278-'FA Addition'!$M1278)*'FA Addition'!$P1278*AG1278/365,IFERROR(VDB(AE1278,AE1278*0.05,'FA Addition'!$O1278,0,YEARFRAC('FA Addition'!$C1278,$P$1-1,3),'FA Addition'!$Q1278),FAAddition[[#This Row],[Original Cost (Rs)]]-FAAddition[[#This Row],[Salvage Value]])),0),0)</f>
        <v>0</v>
      </c>
      <c r="AM1278" s="119"/>
      <c r="AN1278" s="117">
        <f>MAX(IF(AH1278&gt;0,IF('FA Addition'!$N1278="SLM",($AF1278-'FA Addition'!$M1278)*'FA Addition'!$P1278*AH1278/365,IFERROR(VDB(AF1278,AF1278*0.05,'FA Addition'!$O1278,0,YEARFRAC('FA Addition'!$C1278,$L$1,3),'FA Addition'!$Q1278),FAAddition[[#This Row],[Original Cost (Rs)]]-FAAddition[[#This Row],[Salvage Value]])),0),0)</f>
        <v>0</v>
      </c>
      <c r="AO1278" s="117">
        <f t="shared" si="98"/>
        <v>0</v>
      </c>
      <c r="AQ1278" s="117">
        <f t="shared" si="96"/>
        <v>0</v>
      </c>
      <c r="AR1278" s="120">
        <f t="shared" si="97"/>
        <v>0</v>
      </c>
      <c r="AS1278" s="121"/>
    </row>
    <row r="1279" spans="1:45" ht="13.5" x14ac:dyDescent="0.4">
      <c r="A1279" s="12">
        <f t="shared" si="99"/>
        <v>1276</v>
      </c>
      <c r="B1279" s="64" t="s">
        <v>1758</v>
      </c>
      <c r="C1279" s="54">
        <v>45695</v>
      </c>
      <c r="D1279" s="54">
        <v>45703</v>
      </c>
      <c r="E1279" s="46" t="s">
        <v>451</v>
      </c>
      <c r="F1279" s="51" t="s">
        <v>19</v>
      </c>
      <c r="G1279" s="51" t="s">
        <v>1919</v>
      </c>
      <c r="H1279" s="51" t="s">
        <v>21</v>
      </c>
      <c r="I1279" s="55" t="s">
        <v>2056</v>
      </c>
      <c r="J1279" s="56">
        <v>1</v>
      </c>
      <c r="K1279" s="51" t="s">
        <v>2057</v>
      </c>
      <c r="L1279" s="58">
        <v>65700</v>
      </c>
      <c r="M1279" s="50">
        <f>ROUND('FA Addition'!$L1279*5%,0.1)</f>
        <v>3285</v>
      </c>
      <c r="N1279" s="113" t="str">
        <f>_xlfn.XLOOKUP(_xlfn.CONCAT(E1279,B1279),'Year Wise Master Dep Approach'!F:F,'Year Wise Master Dep Approach'!D:D)</f>
        <v>WDV</v>
      </c>
      <c r="O1279" s="113">
        <f>_xlfn.XLOOKUP(_xlfn.CONCAT(E1279,B1279),'Year Wise Master Dep Approach'!F:F,'Year Wise Master Dep Approach'!E:E)</f>
        <v>3</v>
      </c>
      <c r="P1279" s="114">
        <f>IFERROR(IF('FA Addition'!$N1279="WDV",1-('FA Addition'!$M1279/'FA Addition'!$L1279)^(1/'FA Addition'!$O1279),1/'FA Addition'!$O1279),0)</f>
        <v>0.63159685013596123</v>
      </c>
      <c r="Q1279" s="122">
        <f>'FA Addition'!$P1279*'FA Addition'!$O1279</f>
        <v>1.8947905504078837</v>
      </c>
      <c r="R1279" s="122"/>
      <c r="S1279" s="116">
        <f>IF(AND(DATE(20&amp;LEFT(FAAddition[[#This Row],[FY]],2),4,1)&lt;$L$1+1,DATE(20&amp;LEFT(FAAddition[[#This Row],[FY]],2),4,1)&gt;$P$1-1),'FA Addition'!$J1279,0)</f>
        <v>0</v>
      </c>
      <c r="U1279" s="117">
        <f>S1279*'FA Addition'!$L1279/'FA Addition'!$J1279</f>
        <v>0</v>
      </c>
      <c r="W1279" s="116">
        <f>SUMIFS('FA Write off'!D:D,'FA Write off'!A:A,'FA Addition'!$A1279,'FA Write off'!C:C,"&lt;"&amp;'FA Addition'!$P$1)</f>
        <v>0</v>
      </c>
      <c r="Y1279" s="191">
        <f>IFERROR(W1279/'FA Addition'!$J1279*'FA Addition'!$L1279,0)</f>
        <v>0</v>
      </c>
      <c r="AA1279" s="116">
        <f>SUMIFS('FA Write off'!D:D,'FA Write off'!A:A,'FA Addition'!$A1279,'FA Write off'!C:C,"&lt;"&amp;'FA Addition'!$L$1+1,'FA Write off'!C:C,"&gt;"&amp;'FA Addition'!$L$1-365)</f>
        <v>0</v>
      </c>
      <c r="AC1279" s="118">
        <f>IFERROR(AA1279/'FA Addition'!$J1279*'FA Addition'!$L1279,0)</f>
        <v>0</v>
      </c>
      <c r="AE1279" s="117">
        <f>IF(AND('FA Addition'!$D1279&lt;$P$1+1,U1279=0),'FA Addition'!$L1279,0)-Y1279</f>
        <v>0</v>
      </c>
      <c r="AF1279" s="117">
        <f t="shared" si="95"/>
        <v>0</v>
      </c>
      <c r="AG1279" s="117">
        <f>MIN(MAX(+$P$1-'FA Addition'!$D1279,0),365*'FA Addition'!$O1279)</f>
        <v>0</v>
      </c>
      <c r="AH1279" s="117">
        <f>MIN(MAX($L$1-'FA Addition'!$D1279+1,0),365*'FA Addition'!$O1279)</f>
        <v>0</v>
      </c>
      <c r="AI1279" s="117" cm="1">
        <f t="array" ref="AI1279">_xlfn.XLOOKUP(1,('FA Write off'!A:A='FA Addition'!$A1279)*('FA Write off'!D:D=AA1279),'FA Write off'!H:H,0,0)</f>
        <v>0</v>
      </c>
      <c r="AJ1279" s="117">
        <f>IF(AC1279&gt;0,MAX(IF('FA Addition'!$N1279="SLM",($AC1279-'FA Addition'!$M1279)*'FA Addition'!$P1279*AI1279/365,(AC1279-'FA Addition'!$M1279)*(1-(1-'FA Addition'!$P1279)^(AI1279/365))),0),0)</f>
        <v>0</v>
      </c>
      <c r="AL1279" s="117">
        <f>MAX(IF(AG1279&gt;0,IF('FA Addition'!$N1279="SLM",($AE1279-'FA Addition'!$M1279)*'FA Addition'!$P1279*AG1279/365,IFERROR(VDB(AE1279,AE1279*0.05,'FA Addition'!$O1279,0,YEARFRAC('FA Addition'!$C1279,$P$1-1,3),'FA Addition'!$Q1279),FAAddition[[#This Row],[Original Cost (Rs)]]-FAAddition[[#This Row],[Salvage Value]])),0),0)</f>
        <v>0</v>
      </c>
      <c r="AM1279" s="119"/>
      <c r="AN1279" s="117">
        <f>MAX(IF(AH1279&gt;0,IF('FA Addition'!$N1279="SLM",($AF1279-'FA Addition'!$M1279)*'FA Addition'!$P1279*AH1279/365,IFERROR(VDB(AF1279,AF1279*0.05,'FA Addition'!$O1279,0,YEARFRAC('FA Addition'!$C1279,$L$1,3),'FA Addition'!$Q1279),FAAddition[[#This Row],[Original Cost (Rs)]]-FAAddition[[#This Row],[Salvage Value]])),0),0)</f>
        <v>0</v>
      </c>
      <c r="AO1279" s="117">
        <f t="shared" si="98"/>
        <v>0</v>
      </c>
      <c r="AQ1279" s="117">
        <f t="shared" si="96"/>
        <v>0</v>
      </c>
      <c r="AR1279" s="120">
        <f t="shared" si="97"/>
        <v>0</v>
      </c>
      <c r="AS1279" s="121"/>
    </row>
    <row r="1280" spans="1:45" ht="13.5" x14ac:dyDescent="0.4">
      <c r="A1280" s="12">
        <f t="shared" si="99"/>
        <v>1277</v>
      </c>
      <c r="B1280" s="64" t="s">
        <v>1758</v>
      </c>
      <c r="C1280" s="54">
        <v>45695</v>
      </c>
      <c r="D1280" s="54">
        <v>45703</v>
      </c>
      <c r="E1280" s="46" t="s">
        <v>451</v>
      </c>
      <c r="F1280" s="51" t="s">
        <v>19</v>
      </c>
      <c r="G1280" s="51" t="s">
        <v>1919</v>
      </c>
      <c r="H1280" s="51" t="s">
        <v>21</v>
      </c>
      <c r="I1280" s="55" t="s">
        <v>2056</v>
      </c>
      <c r="J1280" s="56">
        <v>1</v>
      </c>
      <c r="K1280" s="51" t="s">
        <v>2057</v>
      </c>
      <c r="L1280" s="58">
        <v>65700</v>
      </c>
      <c r="M1280" s="50">
        <f>ROUND('FA Addition'!$L1280*5%,0.1)</f>
        <v>3285</v>
      </c>
      <c r="N1280" s="113" t="str">
        <f>_xlfn.XLOOKUP(_xlfn.CONCAT(E1280,B1280),'Year Wise Master Dep Approach'!F:F,'Year Wise Master Dep Approach'!D:D)</f>
        <v>WDV</v>
      </c>
      <c r="O1280" s="113">
        <f>_xlfn.XLOOKUP(_xlfn.CONCAT(E1280,B1280),'Year Wise Master Dep Approach'!F:F,'Year Wise Master Dep Approach'!E:E)</f>
        <v>3</v>
      </c>
      <c r="P1280" s="114">
        <f>IFERROR(IF('FA Addition'!$N1280="WDV",1-('FA Addition'!$M1280/'FA Addition'!$L1280)^(1/'FA Addition'!$O1280),1/'FA Addition'!$O1280),0)</f>
        <v>0.63159685013596123</v>
      </c>
      <c r="Q1280" s="122">
        <f>'FA Addition'!$P1280*'FA Addition'!$O1280</f>
        <v>1.8947905504078837</v>
      </c>
      <c r="R1280" s="122"/>
      <c r="S1280" s="116">
        <f>IF(AND(DATE(20&amp;LEFT(FAAddition[[#This Row],[FY]],2),4,1)&lt;$L$1+1,DATE(20&amp;LEFT(FAAddition[[#This Row],[FY]],2),4,1)&gt;$P$1-1),'FA Addition'!$J1280,0)</f>
        <v>0</v>
      </c>
      <c r="U1280" s="117">
        <f>S1280*'FA Addition'!$L1280/'FA Addition'!$J1280</f>
        <v>0</v>
      </c>
      <c r="W1280" s="116">
        <f>SUMIFS('FA Write off'!D:D,'FA Write off'!A:A,'FA Addition'!$A1280,'FA Write off'!C:C,"&lt;"&amp;'FA Addition'!$P$1)</f>
        <v>0</v>
      </c>
      <c r="Y1280" s="191">
        <f>IFERROR(W1280/'FA Addition'!$J1280*'FA Addition'!$L1280,0)</f>
        <v>0</v>
      </c>
      <c r="AA1280" s="116">
        <f>SUMIFS('FA Write off'!D:D,'FA Write off'!A:A,'FA Addition'!$A1280,'FA Write off'!C:C,"&lt;"&amp;'FA Addition'!$L$1+1,'FA Write off'!C:C,"&gt;"&amp;'FA Addition'!$L$1-365)</f>
        <v>0</v>
      </c>
      <c r="AC1280" s="118">
        <f>IFERROR(AA1280/'FA Addition'!$J1280*'FA Addition'!$L1280,0)</f>
        <v>0</v>
      </c>
      <c r="AE1280" s="117">
        <f>IF(AND('FA Addition'!$D1280&lt;$P$1+1,U1280=0),'FA Addition'!$L1280,0)-Y1280</f>
        <v>0</v>
      </c>
      <c r="AF1280" s="117">
        <f t="shared" si="95"/>
        <v>0</v>
      </c>
      <c r="AG1280" s="117">
        <f>MIN(MAX(+$P$1-'FA Addition'!$D1280,0),365*'FA Addition'!$O1280)</f>
        <v>0</v>
      </c>
      <c r="AH1280" s="117">
        <f>MIN(MAX($L$1-'FA Addition'!$D1280+1,0),365*'FA Addition'!$O1280)</f>
        <v>0</v>
      </c>
      <c r="AI1280" s="117" cm="1">
        <f t="array" ref="AI1280">_xlfn.XLOOKUP(1,('FA Write off'!A:A='FA Addition'!$A1280)*('FA Write off'!D:D=AA1280),'FA Write off'!H:H,0,0)</f>
        <v>0</v>
      </c>
      <c r="AJ1280" s="117">
        <f>IF(AC1280&gt;0,MAX(IF('FA Addition'!$N1280="SLM",($AC1280-'FA Addition'!$M1280)*'FA Addition'!$P1280*AI1280/365,(AC1280-'FA Addition'!$M1280)*(1-(1-'FA Addition'!$P1280)^(AI1280/365))),0),0)</f>
        <v>0</v>
      </c>
      <c r="AL1280" s="117">
        <f>MAX(IF(AG1280&gt;0,IF('FA Addition'!$N1280="SLM",($AE1280-'FA Addition'!$M1280)*'FA Addition'!$P1280*AG1280/365,IFERROR(VDB(AE1280,AE1280*0.05,'FA Addition'!$O1280,0,YEARFRAC('FA Addition'!$C1280,$P$1-1,3),'FA Addition'!$Q1280),FAAddition[[#This Row],[Original Cost (Rs)]]-FAAddition[[#This Row],[Salvage Value]])),0),0)</f>
        <v>0</v>
      </c>
      <c r="AM1280" s="119"/>
      <c r="AN1280" s="117">
        <f>MAX(IF(AH1280&gt;0,IF('FA Addition'!$N1280="SLM",($AF1280-'FA Addition'!$M1280)*'FA Addition'!$P1280*AH1280/365,IFERROR(VDB(AF1280,AF1280*0.05,'FA Addition'!$O1280,0,YEARFRAC('FA Addition'!$C1280,$L$1,3),'FA Addition'!$Q1280),FAAddition[[#This Row],[Original Cost (Rs)]]-FAAddition[[#This Row],[Salvage Value]])),0),0)</f>
        <v>0</v>
      </c>
      <c r="AO1280" s="117">
        <f t="shared" si="98"/>
        <v>0</v>
      </c>
      <c r="AQ1280" s="117">
        <f t="shared" si="96"/>
        <v>0</v>
      </c>
      <c r="AR1280" s="120">
        <f t="shared" si="97"/>
        <v>0</v>
      </c>
      <c r="AS1280" s="121"/>
    </row>
    <row r="1281" spans="1:45" ht="13.5" x14ac:dyDescent="0.4">
      <c r="A1281" s="12">
        <f t="shared" si="99"/>
        <v>1278</v>
      </c>
      <c r="B1281" s="64" t="s">
        <v>1758</v>
      </c>
      <c r="C1281" s="54">
        <v>45695</v>
      </c>
      <c r="D1281" s="54">
        <v>45703</v>
      </c>
      <c r="E1281" s="46" t="s">
        <v>451</v>
      </c>
      <c r="F1281" s="51" t="s">
        <v>19</v>
      </c>
      <c r="G1281" s="51" t="s">
        <v>1919</v>
      </c>
      <c r="H1281" s="51" t="s">
        <v>21</v>
      </c>
      <c r="I1281" s="55" t="s">
        <v>2056</v>
      </c>
      <c r="J1281" s="56">
        <v>1</v>
      </c>
      <c r="K1281" s="51" t="s">
        <v>2057</v>
      </c>
      <c r="L1281" s="58">
        <v>65700</v>
      </c>
      <c r="M1281" s="50">
        <f>ROUND('FA Addition'!$L1281*5%,0.1)</f>
        <v>3285</v>
      </c>
      <c r="N1281" s="113" t="str">
        <f>_xlfn.XLOOKUP(_xlfn.CONCAT(E1281,B1281),'Year Wise Master Dep Approach'!F:F,'Year Wise Master Dep Approach'!D:D)</f>
        <v>WDV</v>
      </c>
      <c r="O1281" s="113">
        <f>_xlfn.XLOOKUP(_xlfn.CONCAT(E1281,B1281),'Year Wise Master Dep Approach'!F:F,'Year Wise Master Dep Approach'!E:E)</f>
        <v>3</v>
      </c>
      <c r="P1281" s="114">
        <f>IFERROR(IF('FA Addition'!$N1281="WDV",1-('FA Addition'!$M1281/'FA Addition'!$L1281)^(1/'FA Addition'!$O1281),1/'FA Addition'!$O1281),0)</f>
        <v>0.63159685013596123</v>
      </c>
      <c r="Q1281" s="122">
        <f>'FA Addition'!$P1281*'FA Addition'!$O1281</f>
        <v>1.8947905504078837</v>
      </c>
      <c r="R1281" s="122"/>
      <c r="S1281" s="116">
        <f>IF(AND(DATE(20&amp;LEFT(FAAddition[[#This Row],[FY]],2),4,1)&lt;$L$1+1,DATE(20&amp;LEFT(FAAddition[[#This Row],[FY]],2),4,1)&gt;$P$1-1),'FA Addition'!$J1281,0)</f>
        <v>0</v>
      </c>
      <c r="U1281" s="117">
        <f>S1281*'FA Addition'!$L1281/'FA Addition'!$J1281</f>
        <v>0</v>
      </c>
      <c r="W1281" s="116">
        <f>SUMIFS('FA Write off'!D:D,'FA Write off'!A:A,'FA Addition'!$A1281,'FA Write off'!C:C,"&lt;"&amp;'FA Addition'!$P$1)</f>
        <v>0</v>
      </c>
      <c r="Y1281" s="191">
        <f>IFERROR(W1281/'FA Addition'!$J1281*'FA Addition'!$L1281,0)</f>
        <v>0</v>
      </c>
      <c r="AA1281" s="116">
        <f>SUMIFS('FA Write off'!D:D,'FA Write off'!A:A,'FA Addition'!$A1281,'FA Write off'!C:C,"&lt;"&amp;'FA Addition'!$L$1+1,'FA Write off'!C:C,"&gt;"&amp;'FA Addition'!$L$1-365)</f>
        <v>0</v>
      </c>
      <c r="AC1281" s="118">
        <f>IFERROR(AA1281/'FA Addition'!$J1281*'FA Addition'!$L1281,0)</f>
        <v>0</v>
      </c>
      <c r="AE1281" s="117">
        <f>IF(AND('FA Addition'!$D1281&lt;$P$1+1,U1281=0),'FA Addition'!$L1281,0)-Y1281</f>
        <v>0</v>
      </c>
      <c r="AF1281" s="117">
        <f t="shared" si="95"/>
        <v>0</v>
      </c>
      <c r="AG1281" s="117">
        <f>MIN(MAX(+$P$1-'FA Addition'!$D1281,0),365*'FA Addition'!$O1281)</f>
        <v>0</v>
      </c>
      <c r="AH1281" s="117">
        <f>MIN(MAX($L$1-'FA Addition'!$D1281+1,0),365*'FA Addition'!$O1281)</f>
        <v>0</v>
      </c>
      <c r="AI1281" s="117" cm="1">
        <f t="array" ref="AI1281">_xlfn.XLOOKUP(1,('FA Write off'!A:A='FA Addition'!$A1281)*('FA Write off'!D:D=AA1281),'FA Write off'!H:H,0,0)</f>
        <v>0</v>
      </c>
      <c r="AJ1281" s="117">
        <f>IF(AC1281&gt;0,MAX(IF('FA Addition'!$N1281="SLM",($AC1281-'FA Addition'!$M1281)*'FA Addition'!$P1281*AI1281/365,(AC1281-'FA Addition'!$M1281)*(1-(1-'FA Addition'!$P1281)^(AI1281/365))),0),0)</f>
        <v>0</v>
      </c>
      <c r="AL1281" s="117">
        <f>MAX(IF(AG1281&gt;0,IF('FA Addition'!$N1281="SLM",($AE1281-'FA Addition'!$M1281)*'FA Addition'!$P1281*AG1281/365,IFERROR(VDB(AE1281,AE1281*0.05,'FA Addition'!$O1281,0,YEARFRAC('FA Addition'!$C1281,$P$1-1,3),'FA Addition'!$Q1281),FAAddition[[#This Row],[Original Cost (Rs)]]-FAAddition[[#This Row],[Salvage Value]])),0),0)</f>
        <v>0</v>
      </c>
      <c r="AM1281" s="119"/>
      <c r="AN1281" s="117">
        <f>MAX(IF(AH1281&gt;0,IF('FA Addition'!$N1281="SLM",($AF1281-'FA Addition'!$M1281)*'FA Addition'!$P1281*AH1281/365,IFERROR(VDB(AF1281,AF1281*0.05,'FA Addition'!$O1281,0,YEARFRAC('FA Addition'!$C1281,$L$1,3),'FA Addition'!$Q1281),FAAddition[[#This Row],[Original Cost (Rs)]]-FAAddition[[#This Row],[Salvage Value]])),0),0)</f>
        <v>0</v>
      </c>
      <c r="AO1281" s="117">
        <f t="shared" si="98"/>
        <v>0</v>
      </c>
      <c r="AQ1281" s="117">
        <f t="shared" si="96"/>
        <v>0</v>
      </c>
      <c r="AR1281" s="120">
        <f t="shared" si="97"/>
        <v>0</v>
      </c>
      <c r="AS1281" s="121"/>
    </row>
    <row r="1282" spans="1:45" ht="13.5" x14ac:dyDescent="0.4">
      <c r="A1282" s="12">
        <f t="shared" si="99"/>
        <v>1279</v>
      </c>
      <c r="B1282" s="64" t="s">
        <v>1758</v>
      </c>
      <c r="C1282" s="54">
        <v>45695</v>
      </c>
      <c r="D1282" s="54">
        <v>45703</v>
      </c>
      <c r="E1282" s="46" t="s">
        <v>451</v>
      </c>
      <c r="F1282" s="51" t="s">
        <v>19</v>
      </c>
      <c r="G1282" s="51" t="s">
        <v>1919</v>
      </c>
      <c r="H1282" s="51" t="s">
        <v>21</v>
      </c>
      <c r="I1282" s="55" t="s">
        <v>2056</v>
      </c>
      <c r="J1282" s="56">
        <v>1</v>
      </c>
      <c r="K1282" s="51" t="s">
        <v>2057</v>
      </c>
      <c r="L1282" s="58">
        <v>65700</v>
      </c>
      <c r="M1282" s="50">
        <f>ROUND('FA Addition'!$L1282*5%,0.1)</f>
        <v>3285</v>
      </c>
      <c r="N1282" s="113" t="str">
        <f>_xlfn.XLOOKUP(_xlfn.CONCAT(E1282,B1282),'Year Wise Master Dep Approach'!F:F,'Year Wise Master Dep Approach'!D:D)</f>
        <v>WDV</v>
      </c>
      <c r="O1282" s="113">
        <f>_xlfn.XLOOKUP(_xlfn.CONCAT(E1282,B1282),'Year Wise Master Dep Approach'!F:F,'Year Wise Master Dep Approach'!E:E)</f>
        <v>3</v>
      </c>
      <c r="P1282" s="114">
        <f>IFERROR(IF('FA Addition'!$N1282="WDV",1-('FA Addition'!$M1282/'FA Addition'!$L1282)^(1/'FA Addition'!$O1282),1/'FA Addition'!$O1282),0)</f>
        <v>0.63159685013596123</v>
      </c>
      <c r="Q1282" s="122">
        <f>'FA Addition'!$P1282*'FA Addition'!$O1282</f>
        <v>1.8947905504078837</v>
      </c>
      <c r="R1282" s="122"/>
      <c r="S1282" s="116">
        <f>IF(AND(DATE(20&amp;LEFT(FAAddition[[#This Row],[FY]],2),4,1)&lt;$L$1+1,DATE(20&amp;LEFT(FAAddition[[#This Row],[FY]],2),4,1)&gt;$P$1-1),'FA Addition'!$J1282,0)</f>
        <v>0</v>
      </c>
      <c r="U1282" s="117">
        <f>S1282*'FA Addition'!$L1282/'FA Addition'!$J1282</f>
        <v>0</v>
      </c>
      <c r="W1282" s="116">
        <f>SUMIFS('FA Write off'!D:D,'FA Write off'!A:A,'FA Addition'!$A1282,'FA Write off'!C:C,"&lt;"&amp;'FA Addition'!$P$1)</f>
        <v>0</v>
      </c>
      <c r="Y1282" s="191">
        <f>IFERROR(W1282/'FA Addition'!$J1282*'FA Addition'!$L1282,0)</f>
        <v>0</v>
      </c>
      <c r="AA1282" s="116">
        <f>SUMIFS('FA Write off'!D:D,'FA Write off'!A:A,'FA Addition'!$A1282,'FA Write off'!C:C,"&lt;"&amp;'FA Addition'!$L$1+1,'FA Write off'!C:C,"&gt;"&amp;'FA Addition'!$L$1-365)</f>
        <v>0</v>
      </c>
      <c r="AC1282" s="118">
        <f>IFERROR(AA1282/'FA Addition'!$J1282*'FA Addition'!$L1282,0)</f>
        <v>0</v>
      </c>
      <c r="AE1282" s="117">
        <f>IF(AND('FA Addition'!$D1282&lt;$P$1+1,U1282=0),'FA Addition'!$L1282,0)-Y1282</f>
        <v>0</v>
      </c>
      <c r="AF1282" s="117">
        <f t="shared" si="95"/>
        <v>0</v>
      </c>
      <c r="AG1282" s="117">
        <f>MIN(MAX(+$P$1-'FA Addition'!$D1282,0),365*'FA Addition'!$O1282)</f>
        <v>0</v>
      </c>
      <c r="AH1282" s="117">
        <f>MIN(MAX($L$1-'FA Addition'!$D1282+1,0),365*'FA Addition'!$O1282)</f>
        <v>0</v>
      </c>
      <c r="AI1282" s="117" cm="1">
        <f t="array" ref="AI1282">_xlfn.XLOOKUP(1,('FA Write off'!A:A='FA Addition'!$A1282)*('FA Write off'!D:D=AA1282),'FA Write off'!H:H,0,0)</f>
        <v>0</v>
      </c>
      <c r="AJ1282" s="117">
        <f>IF(AC1282&gt;0,MAX(IF('FA Addition'!$N1282="SLM",($AC1282-'FA Addition'!$M1282)*'FA Addition'!$P1282*AI1282/365,(AC1282-'FA Addition'!$M1282)*(1-(1-'FA Addition'!$P1282)^(AI1282/365))),0),0)</f>
        <v>0</v>
      </c>
      <c r="AL1282" s="117">
        <f>MAX(IF(AG1282&gt;0,IF('FA Addition'!$N1282="SLM",($AE1282-'FA Addition'!$M1282)*'FA Addition'!$P1282*AG1282/365,IFERROR(VDB(AE1282,AE1282*0.05,'FA Addition'!$O1282,0,YEARFRAC('FA Addition'!$C1282,$P$1-1,3),'FA Addition'!$Q1282),FAAddition[[#This Row],[Original Cost (Rs)]]-FAAddition[[#This Row],[Salvage Value]])),0),0)</f>
        <v>0</v>
      </c>
      <c r="AM1282" s="119"/>
      <c r="AN1282" s="117">
        <f>MAX(IF(AH1282&gt;0,IF('FA Addition'!$N1282="SLM",($AF1282-'FA Addition'!$M1282)*'FA Addition'!$P1282*AH1282/365,IFERROR(VDB(AF1282,AF1282*0.05,'FA Addition'!$O1282,0,YEARFRAC('FA Addition'!$C1282,$L$1,3),'FA Addition'!$Q1282),FAAddition[[#This Row],[Original Cost (Rs)]]-FAAddition[[#This Row],[Salvage Value]])),0),0)</f>
        <v>0</v>
      </c>
      <c r="AO1282" s="117">
        <f t="shared" si="98"/>
        <v>0</v>
      </c>
      <c r="AQ1282" s="117">
        <f t="shared" si="96"/>
        <v>0</v>
      </c>
      <c r="AR1282" s="120">
        <f t="shared" si="97"/>
        <v>0</v>
      </c>
      <c r="AS1282" s="121"/>
    </row>
    <row r="1283" spans="1:45" ht="13.5" x14ac:dyDescent="0.4">
      <c r="A1283" s="12">
        <f t="shared" si="99"/>
        <v>1280</v>
      </c>
      <c r="B1283" s="64" t="s">
        <v>1758</v>
      </c>
      <c r="C1283" s="54">
        <v>45695</v>
      </c>
      <c r="D1283" s="54">
        <v>45703</v>
      </c>
      <c r="E1283" s="46" t="s">
        <v>451</v>
      </c>
      <c r="F1283" s="51" t="s">
        <v>19</v>
      </c>
      <c r="G1283" s="51" t="s">
        <v>1919</v>
      </c>
      <c r="H1283" s="51" t="s">
        <v>21</v>
      </c>
      <c r="I1283" s="55" t="s">
        <v>2056</v>
      </c>
      <c r="J1283" s="56">
        <v>1</v>
      </c>
      <c r="K1283" s="51" t="s">
        <v>2057</v>
      </c>
      <c r="L1283" s="58">
        <v>65700</v>
      </c>
      <c r="M1283" s="50">
        <f>ROUND('FA Addition'!$L1283*5%,0.1)</f>
        <v>3285</v>
      </c>
      <c r="N1283" s="113" t="str">
        <f>_xlfn.XLOOKUP(_xlfn.CONCAT(E1283,B1283),'Year Wise Master Dep Approach'!F:F,'Year Wise Master Dep Approach'!D:D)</f>
        <v>WDV</v>
      </c>
      <c r="O1283" s="113">
        <f>_xlfn.XLOOKUP(_xlfn.CONCAT(E1283,B1283),'Year Wise Master Dep Approach'!F:F,'Year Wise Master Dep Approach'!E:E)</f>
        <v>3</v>
      </c>
      <c r="P1283" s="114">
        <f>IFERROR(IF('FA Addition'!$N1283="WDV",1-('FA Addition'!$M1283/'FA Addition'!$L1283)^(1/'FA Addition'!$O1283),1/'FA Addition'!$O1283),0)</f>
        <v>0.63159685013596123</v>
      </c>
      <c r="Q1283" s="122">
        <f>'FA Addition'!$P1283*'FA Addition'!$O1283</f>
        <v>1.8947905504078837</v>
      </c>
      <c r="R1283" s="122"/>
      <c r="S1283" s="116">
        <f>IF(AND(DATE(20&amp;LEFT(FAAddition[[#This Row],[FY]],2),4,1)&lt;$L$1+1,DATE(20&amp;LEFT(FAAddition[[#This Row],[FY]],2),4,1)&gt;$P$1-1),'FA Addition'!$J1283,0)</f>
        <v>0</v>
      </c>
      <c r="U1283" s="117">
        <f>S1283*'FA Addition'!$L1283/'FA Addition'!$J1283</f>
        <v>0</v>
      </c>
      <c r="W1283" s="116">
        <f>SUMIFS('FA Write off'!D:D,'FA Write off'!A:A,'FA Addition'!$A1283,'FA Write off'!C:C,"&lt;"&amp;'FA Addition'!$P$1)</f>
        <v>0</v>
      </c>
      <c r="Y1283" s="191">
        <f>IFERROR(W1283/'FA Addition'!$J1283*'FA Addition'!$L1283,0)</f>
        <v>0</v>
      </c>
      <c r="AA1283" s="116">
        <f>SUMIFS('FA Write off'!D:D,'FA Write off'!A:A,'FA Addition'!$A1283,'FA Write off'!C:C,"&lt;"&amp;'FA Addition'!$L$1+1,'FA Write off'!C:C,"&gt;"&amp;'FA Addition'!$L$1-365)</f>
        <v>0</v>
      </c>
      <c r="AC1283" s="118">
        <f>IFERROR(AA1283/'FA Addition'!$J1283*'FA Addition'!$L1283,0)</f>
        <v>0</v>
      </c>
      <c r="AE1283" s="117">
        <f>IF(AND('FA Addition'!$D1283&lt;$P$1+1,U1283=0),'FA Addition'!$L1283,0)-Y1283</f>
        <v>0</v>
      </c>
      <c r="AF1283" s="117">
        <f t="shared" si="95"/>
        <v>0</v>
      </c>
      <c r="AG1283" s="117">
        <f>MIN(MAX(+$P$1-'FA Addition'!$D1283,0),365*'FA Addition'!$O1283)</f>
        <v>0</v>
      </c>
      <c r="AH1283" s="117">
        <f>MIN(MAX($L$1-'FA Addition'!$D1283+1,0),365*'FA Addition'!$O1283)</f>
        <v>0</v>
      </c>
      <c r="AI1283" s="117" cm="1">
        <f t="array" ref="AI1283">_xlfn.XLOOKUP(1,('FA Write off'!A:A='FA Addition'!$A1283)*('FA Write off'!D:D=AA1283),'FA Write off'!H:H,0,0)</f>
        <v>0</v>
      </c>
      <c r="AJ1283" s="117">
        <f>IF(AC1283&gt;0,MAX(IF('FA Addition'!$N1283="SLM",($AC1283-'FA Addition'!$M1283)*'FA Addition'!$P1283*AI1283/365,(AC1283-'FA Addition'!$M1283)*(1-(1-'FA Addition'!$P1283)^(AI1283/365))),0),0)</f>
        <v>0</v>
      </c>
      <c r="AL1283" s="117">
        <f>MAX(IF(AG1283&gt;0,IF('FA Addition'!$N1283="SLM",($AE1283-'FA Addition'!$M1283)*'FA Addition'!$P1283*AG1283/365,IFERROR(VDB(AE1283,AE1283*0.05,'FA Addition'!$O1283,0,YEARFRAC('FA Addition'!$C1283,$P$1-1,3),'FA Addition'!$Q1283),FAAddition[[#This Row],[Original Cost (Rs)]]-FAAddition[[#This Row],[Salvage Value]])),0),0)</f>
        <v>0</v>
      </c>
      <c r="AM1283" s="119"/>
      <c r="AN1283" s="117">
        <f>MAX(IF(AH1283&gt;0,IF('FA Addition'!$N1283="SLM",($AF1283-'FA Addition'!$M1283)*'FA Addition'!$P1283*AH1283/365,IFERROR(VDB(AF1283,AF1283*0.05,'FA Addition'!$O1283,0,YEARFRAC('FA Addition'!$C1283,$L$1,3),'FA Addition'!$Q1283),FAAddition[[#This Row],[Original Cost (Rs)]]-FAAddition[[#This Row],[Salvage Value]])),0),0)</f>
        <v>0</v>
      </c>
      <c r="AO1283" s="117">
        <f t="shared" si="98"/>
        <v>0</v>
      </c>
      <c r="AQ1283" s="117">
        <f t="shared" si="96"/>
        <v>0</v>
      </c>
      <c r="AR1283" s="120">
        <f t="shared" si="97"/>
        <v>0</v>
      </c>
      <c r="AS1283" s="121"/>
    </row>
    <row r="1284" spans="1:45" ht="13.5" x14ac:dyDescent="0.4">
      <c r="A1284" s="12">
        <f t="shared" si="99"/>
        <v>1281</v>
      </c>
      <c r="B1284" s="64" t="s">
        <v>1758</v>
      </c>
      <c r="C1284" s="54">
        <v>45703</v>
      </c>
      <c r="D1284" s="54">
        <v>45703</v>
      </c>
      <c r="E1284" s="46" t="s">
        <v>1320</v>
      </c>
      <c r="F1284" s="51" t="s">
        <v>33</v>
      </c>
      <c r="G1284" s="51" t="s">
        <v>36</v>
      </c>
      <c r="H1284" s="51" t="s">
        <v>32</v>
      </c>
      <c r="I1284" s="55" t="s">
        <v>2058</v>
      </c>
      <c r="J1284" s="56">
        <v>1000</v>
      </c>
      <c r="K1284" s="51" t="s">
        <v>296</v>
      </c>
      <c r="L1284" s="58">
        <v>1600000</v>
      </c>
      <c r="M1284" s="50">
        <f>ROUND('FA Addition'!$L1284*5%,0.1)</f>
        <v>80000</v>
      </c>
      <c r="N1284" s="113" t="str">
        <f>_xlfn.XLOOKUP(_xlfn.CONCAT(E1284,B1284),'Year Wise Master Dep Approach'!F:F,'Year Wise Master Dep Approach'!D:D)</f>
        <v>SLM</v>
      </c>
      <c r="O1284" s="113">
        <f>_xlfn.XLOOKUP(_xlfn.CONCAT(E1284,B1284),'Year Wise Master Dep Approach'!F:F,'Year Wise Master Dep Approach'!E:E)</f>
        <v>5</v>
      </c>
      <c r="P1284" s="114">
        <f>IFERROR(IF('FA Addition'!$N1284="WDV",1-('FA Addition'!$M1284/'FA Addition'!$L1284)^(1/'FA Addition'!$O1284),1/'FA Addition'!$O1284),0)</f>
        <v>0.2</v>
      </c>
      <c r="Q1284" s="122">
        <f>'FA Addition'!$P1284*'FA Addition'!$O1284</f>
        <v>1</v>
      </c>
      <c r="R1284" s="122"/>
      <c r="S1284" s="116">
        <f>IF(AND(DATE(20&amp;LEFT(FAAddition[[#This Row],[FY]],2),4,1)&lt;$L$1+1,DATE(20&amp;LEFT(FAAddition[[#This Row],[FY]],2),4,1)&gt;$P$1-1),'FA Addition'!$J1284,0)</f>
        <v>0</v>
      </c>
      <c r="U1284" s="117">
        <f>S1284*'FA Addition'!$L1284/'FA Addition'!$J1284</f>
        <v>0</v>
      </c>
      <c r="W1284" s="116">
        <f>SUMIFS('FA Write off'!D:D,'FA Write off'!A:A,'FA Addition'!$A1284,'FA Write off'!C:C,"&lt;"&amp;'FA Addition'!$P$1)</f>
        <v>0</v>
      </c>
      <c r="Y1284" s="191">
        <f>IFERROR(W1284/'FA Addition'!$J1284*'FA Addition'!$L1284,0)</f>
        <v>0</v>
      </c>
      <c r="AA1284" s="116">
        <f>SUMIFS('FA Write off'!D:D,'FA Write off'!A:A,'FA Addition'!$A1284,'FA Write off'!C:C,"&lt;"&amp;'FA Addition'!$L$1+1,'FA Write off'!C:C,"&gt;"&amp;'FA Addition'!$L$1-365)</f>
        <v>0</v>
      </c>
      <c r="AC1284" s="118">
        <f>IFERROR(AA1284/'FA Addition'!$J1284*'FA Addition'!$L1284,0)</f>
        <v>0</v>
      </c>
      <c r="AE1284" s="117">
        <f>IF(AND('FA Addition'!$D1284&lt;$P$1+1,U1284=0),'FA Addition'!$L1284,0)-Y1284</f>
        <v>0</v>
      </c>
      <c r="AF1284" s="117">
        <f t="shared" ref="AF1284:AF1347" si="100">AE1284+U1284-AC1284</f>
        <v>0</v>
      </c>
      <c r="AG1284" s="117">
        <f>MIN(MAX(+$P$1-'FA Addition'!$D1284,0),365*'FA Addition'!$O1284)</f>
        <v>0</v>
      </c>
      <c r="AH1284" s="117">
        <f>MIN(MAX($L$1-'FA Addition'!$D1284+1,0),365*'FA Addition'!$O1284)</f>
        <v>0</v>
      </c>
      <c r="AI1284" s="117" cm="1">
        <f t="array" ref="AI1284">_xlfn.XLOOKUP(1,('FA Write off'!A:A='FA Addition'!$A1284)*('FA Write off'!D:D=AA1284),'FA Write off'!H:H,0,0)</f>
        <v>0</v>
      </c>
      <c r="AJ1284" s="117">
        <f>IF(AC1284&gt;0,MAX(IF('FA Addition'!$N1284="SLM",($AC1284-'FA Addition'!$M1284)*'FA Addition'!$P1284*AI1284/365,(AC1284-'FA Addition'!$M1284)*(1-(1-'FA Addition'!$P1284)^(AI1284/365))),0),0)</f>
        <v>0</v>
      </c>
      <c r="AL1284" s="117">
        <f>MAX(IF(AG1284&gt;0,IF('FA Addition'!$N1284="SLM",($AE1284-'FA Addition'!$M1284)*'FA Addition'!$P1284*AG1284/365,IFERROR(VDB(AE1284,AE1284*0.05,'FA Addition'!$O1284,0,YEARFRAC('FA Addition'!$C1284,$P$1-1,3),'FA Addition'!$Q1284),FAAddition[[#This Row],[Original Cost (Rs)]]-FAAddition[[#This Row],[Salvage Value]])),0),0)</f>
        <v>0</v>
      </c>
      <c r="AM1284" s="119"/>
      <c r="AN1284" s="117">
        <f>MAX(IF(AH1284&gt;0,IF('FA Addition'!$N1284="SLM",($AF1284-'FA Addition'!$M1284)*'FA Addition'!$P1284*AH1284/365,IFERROR(VDB(AF1284,AF1284*0.05,'FA Addition'!$O1284,0,YEARFRAC('FA Addition'!$C1284,$L$1,3),'FA Addition'!$Q1284),FAAddition[[#This Row],[Original Cost (Rs)]]-FAAddition[[#This Row],[Salvage Value]])),0),0)</f>
        <v>0</v>
      </c>
      <c r="AO1284" s="117">
        <f t="shared" si="98"/>
        <v>0</v>
      </c>
      <c r="AQ1284" s="117">
        <f t="shared" ref="AQ1284:AQ1347" si="101">AE1284-AL1284</f>
        <v>0</v>
      </c>
      <c r="AR1284" s="120">
        <f t="shared" ref="AR1284:AR1347" si="102">AF1284-AN1284</f>
        <v>0</v>
      </c>
      <c r="AS1284" s="121"/>
    </row>
    <row r="1285" spans="1:45" ht="13.5" x14ac:dyDescent="0.4">
      <c r="A1285" s="12">
        <f t="shared" si="99"/>
        <v>1282</v>
      </c>
      <c r="B1285" s="64" t="s">
        <v>1758</v>
      </c>
      <c r="C1285" s="54">
        <v>45703</v>
      </c>
      <c r="D1285" s="54">
        <v>45705</v>
      </c>
      <c r="E1285" s="46" t="s">
        <v>1320</v>
      </c>
      <c r="F1285" s="51" t="s">
        <v>33</v>
      </c>
      <c r="G1285" s="51" t="s">
        <v>34</v>
      </c>
      <c r="H1285" s="51" t="s">
        <v>32</v>
      </c>
      <c r="I1285" s="55" t="s">
        <v>2059</v>
      </c>
      <c r="J1285" s="56">
        <v>1000</v>
      </c>
      <c r="K1285" s="51" t="s">
        <v>295</v>
      </c>
      <c r="L1285" s="58">
        <v>1665000</v>
      </c>
      <c r="M1285" s="50">
        <f>ROUND('FA Addition'!$L1285*5%,0.1)</f>
        <v>83250</v>
      </c>
      <c r="N1285" s="113" t="str">
        <f>_xlfn.XLOOKUP(_xlfn.CONCAT(E1285,B1285),'Year Wise Master Dep Approach'!F:F,'Year Wise Master Dep Approach'!D:D)</f>
        <v>SLM</v>
      </c>
      <c r="O1285" s="113">
        <f>_xlfn.XLOOKUP(_xlfn.CONCAT(E1285,B1285),'Year Wise Master Dep Approach'!F:F,'Year Wise Master Dep Approach'!E:E)</f>
        <v>5</v>
      </c>
      <c r="P1285" s="114">
        <f>IFERROR(IF('FA Addition'!$N1285="WDV",1-('FA Addition'!$M1285/'FA Addition'!$L1285)^(1/'FA Addition'!$O1285),1/'FA Addition'!$O1285),0)</f>
        <v>0.2</v>
      </c>
      <c r="Q1285" s="122">
        <f>'FA Addition'!$P1285*'FA Addition'!$O1285</f>
        <v>1</v>
      </c>
      <c r="R1285" s="122"/>
      <c r="S1285" s="116">
        <f>IF(AND(DATE(20&amp;LEFT(FAAddition[[#This Row],[FY]],2),4,1)&lt;$L$1+1,DATE(20&amp;LEFT(FAAddition[[#This Row],[FY]],2),4,1)&gt;$P$1-1),'FA Addition'!$J1285,0)</f>
        <v>0</v>
      </c>
      <c r="U1285" s="117">
        <f>S1285*'FA Addition'!$L1285/'FA Addition'!$J1285</f>
        <v>0</v>
      </c>
      <c r="W1285" s="116">
        <f>SUMIFS('FA Write off'!D:D,'FA Write off'!A:A,'FA Addition'!$A1285,'FA Write off'!C:C,"&lt;"&amp;'FA Addition'!$P$1)</f>
        <v>0</v>
      </c>
      <c r="Y1285" s="191">
        <f>IFERROR(W1285/'FA Addition'!$J1285*'FA Addition'!$L1285,0)</f>
        <v>0</v>
      </c>
      <c r="AA1285" s="116">
        <f>SUMIFS('FA Write off'!D:D,'FA Write off'!A:A,'FA Addition'!$A1285,'FA Write off'!C:C,"&lt;"&amp;'FA Addition'!$L$1+1,'FA Write off'!C:C,"&gt;"&amp;'FA Addition'!$L$1-365)</f>
        <v>0</v>
      </c>
      <c r="AC1285" s="118">
        <f>IFERROR(AA1285/'FA Addition'!$J1285*'FA Addition'!$L1285,0)</f>
        <v>0</v>
      </c>
      <c r="AE1285" s="117">
        <f>IF(AND('FA Addition'!$D1285&lt;$P$1+1,U1285=0),'FA Addition'!$L1285,0)-Y1285</f>
        <v>0</v>
      </c>
      <c r="AF1285" s="117">
        <f t="shared" si="100"/>
        <v>0</v>
      </c>
      <c r="AG1285" s="117">
        <f>MIN(MAX(+$P$1-'FA Addition'!$D1285,0),365*'FA Addition'!$O1285)</f>
        <v>0</v>
      </c>
      <c r="AH1285" s="117">
        <f>MIN(MAX($L$1-'FA Addition'!$D1285+1,0),365*'FA Addition'!$O1285)</f>
        <v>0</v>
      </c>
      <c r="AI1285" s="117" cm="1">
        <f t="array" ref="AI1285">_xlfn.XLOOKUP(1,('FA Write off'!A:A='FA Addition'!$A1285)*('FA Write off'!D:D=AA1285),'FA Write off'!H:H,0,0)</f>
        <v>0</v>
      </c>
      <c r="AJ1285" s="117">
        <f>IF(AC1285&gt;0,MAX(IF('FA Addition'!$N1285="SLM",($AC1285-'FA Addition'!$M1285)*'FA Addition'!$P1285*AI1285/365,(AC1285-'FA Addition'!$M1285)*(1-(1-'FA Addition'!$P1285)^(AI1285/365))),0),0)</f>
        <v>0</v>
      </c>
      <c r="AL1285" s="117">
        <f>MAX(IF(AG1285&gt;0,IF('FA Addition'!$N1285="SLM",($AE1285-'FA Addition'!$M1285)*'FA Addition'!$P1285*AG1285/365,IFERROR(VDB(AE1285,AE1285*0.05,'FA Addition'!$O1285,0,YEARFRAC('FA Addition'!$C1285,$P$1-1,3),'FA Addition'!$Q1285),FAAddition[[#This Row],[Original Cost (Rs)]]-FAAddition[[#This Row],[Salvage Value]])),0),0)</f>
        <v>0</v>
      </c>
      <c r="AM1285" s="119"/>
      <c r="AN1285" s="117">
        <f>MAX(IF(AH1285&gt;0,IF('FA Addition'!$N1285="SLM",($AF1285-'FA Addition'!$M1285)*'FA Addition'!$P1285*AH1285/365,IFERROR(VDB(AF1285,AF1285*0.05,'FA Addition'!$O1285,0,YEARFRAC('FA Addition'!$C1285,$L$1,3),'FA Addition'!$Q1285),FAAddition[[#This Row],[Original Cost (Rs)]]-FAAddition[[#This Row],[Salvage Value]])),0),0)</f>
        <v>0</v>
      </c>
      <c r="AO1285" s="117">
        <f t="shared" ref="AO1285:AO1348" si="103">AN1285-AL1285+AJ1285</f>
        <v>0</v>
      </c>
      <c r="AQ1285" s="117">
        <f t="shared" si="101"/>
        <v>0</v>
      </c>
      <c r="AR1285" s="120">
        <f t="shared" si="102"/>
        <v>0</v>
      </c>
      <c r="AS1285" s="121"/>
    </row>
    <row r="1286" spans="1:45" ht="13.5" x14ac:dyDescent="0.4">
      <c r="A1286" s="12">
        <f t="shared" ref="A1286:A1349" si="104">A1285+1</f>
        <v>1283</v>
      </c>
      <c r="B1286" s="64" t="s">
        <v>1758</v>
      </c>
      <c r="C1286" s="54">
        <v>45710</v>
      </c>
      <c r="D1286" s="54">
        <v>45710</v>
      </c>
      <c r="E1286" s="46" t="s">
        <v>451</v>
      </c>
      <c r="F1286" s="51" t="s">
        <v>19</v>
      </c>
      <c r="G1286" s="51" t="s">
        <v>144</v>
      </c>
      <c r="H1286" s="51" t="s">
        <v>21</v>
      </c>
      <c r="I1286" s="55" t="s">
        <v>2060</v>
      </c>
      <c r="J1286" s="56">
        <v>1</v>
      </c>
      <c r="K1286" s="51" t="s">
        <v>2061</v>
      </c>
      <c r="L1286" s="58">
        <v>186440.68</v>
      </c>
      <c r="M1286" s="50">
        <f>ROUND('FA Addition'!$L1286*5%,0.1)</f>
        <v>9322</v>
      </c>
      <c r="N1286" s="113" t="str">
        <f>_xlfn.XLOOKUP(_xlfn.CONCAT(E1286,B1286),'Year Wise Master Dep Approach'!F:F,'Year Wise Master Dep Approach'!D:D)</f>
        <v>WDV</v>
      </c>
      <c r="O1286" s="113">
        <f>_xlfn.XLOOKUP(_xlfn.CONCAT(E1286,B1286),'Year Wise Master Dep Approach'!F:F,'Year Wise Master Dep Approach'!E:E)</f>
        <v>3</v>
      </c>
      <c r="P1286" s="114">
        <f>IFERROR(IF('FA Addition'!$N1286="WDV",1-('FA Addition'!$M1286/'FA Addition'!$L1286)^(1/'FA Addition'!$O1286),1/'FA Addition'!$O1286),0)</f>
        <v>0.63159729802542142</v>
      </c>
      <c r="Q1286" s="122">
        <f>'FA Addition'!$P1286*'FA Addition'!$O1286</f>
        <v>1.8947918940762642</v>
      </c>
      <c r="R1286" s="122"/>
      <c r="S1286" s="116">
        <f>IF(AND(DATE(20&amp;LEFT(FAAddition[[#This Row],[FY]],2),4,1)&lt;$L$1+1,DATE(20&amp;LEFT(FAAddition[[#This Row],[FY]],2),4,1)&gt;$P$1-1),'FA Addition'!$J1286,0)</f>
        <v>0</v>
      </c>
      <c r="U1286" s="117">
        <f>S1286*'FA Addition'!$L1286/'FA Addition'!$J1286</f>
        <v>0</v>
      </c>
      <c r="W1286" s="116">
        <f>SUMIFS('FA Write off'!D:D,'FA Write off'!A:A,'FA Addition'!$A1286,'FA Write off'!C:C,"&lt;"&amp;'FA Addition'!$P$1)</f>
        <v>0</v>
      </c>
      <c r="Y1286" s="191">
        <f>IFERROR(W1286/'FA Addition'!$J1286*'FA Addition'!$L1286,0)</f>
        <v>0</v>
      </c>
      <c r="AA1286" s="116">
        <f>SUMIFS('FA Write off'!D:D,'FA Write off'!A:A,'FA Addition'!$A1286,'FA Write off'!C:C,"&lt;"&amp;'FA Addition'!$L$1+1,'FA Write off'!C:C,"&gt;"&amp;'FA Addition'!$L$1-365)</f>
        <v>0</v>
      </c>
      <c r="AC1286" s="118">
        <f>IFERROR(AA1286/'FA Addition'!$J1286*'FA Addition'!$L1286,0)</f>
        <v>0</v>
      </c>
      <c r="AE1286" s="117">
        <f>IF(AND('FA Addition'!$D1286&lt;$P$1+1,U1286=0),'FA Addition'!$L1286,0)-Y1286</f>
        <v>0</v>
      </c>
      <c r="AF1286" s="117">
        <f t="shared" si="100"/>
        <v>0</v>
      </c>
      <c r="AG1286" s="117">
        <f>MIN(MAX(+$P$1-'FA Addition'!$D1286,0),365*'FA Addition'!$O1286)</f>
        <v>0</v>
      </c>
      <c r="AH1286" s="117">
        <f>MIN(MAX($L$1-'FA Addition'!$D1286+1,0),365*'FA Addition'!$O1286)</f>
        <v>0</v>
      </c>
      <c r="AI1286" s="117" cm="1">
        <f t="array" ref="AI1286">_xlfn.XLOOKUP(1,('FA Write off'!A:A='FA Addition'!$A1286)*('FA Write off'!D:D=AA1286),'FA Write off'!H:H,0,0)</f>
        <v>0</v>
      </c>
      <c r="AJ1286" s="117">
        <f>IF(AC1286&gt;0,MAX(IF('FA Addition'!$N1286="SLM",($AC1286-'FA Addition'!$M1286)*'FA Addition'!$P1286*AI1286/365,(AC1286-'FA Addition'!$M1286)*(1-(1-'FA Addition'!$P1286)^(AI1286/365))),0),0)</f>
        <v>0</v>
      </c>
      <c r="AL1286" s="117">
        <f>MAX(IF(AG1286&gt;0,IF('FA Addition'!$N1286="SLM",($AE1286-'FA Addition'!$M1286)*'FA Addition'!$P1286*AG1286/365,IFERROR(VDB(AE1286,AE1286*0.05,'FA Addition'!$O1286,0,YEARFRAC('FA Addition'!$C1286,$P$1-1,3),'FA Addition'!$Q1286),FAAddition[[#This Row],[Original Cost (Rs)]]-FAAddition[[#This Row],[Salvage Value]])),0),0)</f>
        <v>0</v>
      </c>
      <c r="AM1286" s="119"/>
      <c r="AN1286" s="117">
        <f>MAX(IF(AH1286&gt;0,IF('FA Addition'!$N1286="SLM",($AF1286-'FA Addition'!$M1286)*'FA Addition'!$P1286*AH1286/365,IFERROR(VDB(AF1286,AF1286*0.05,'FA Addition'!$O1286,0,YEARFRAC('FA Addition'!$C1286,$L$1,3),'FA Addition'!$Q1286),FAAddition[[#This Row],[Original Cost (Rs)]]-FAAddition[[#This Row],[Salvage Value]])),0),0)</f>
        <v>0</v>
      </c>
      <c r="AO1286" s="117">
        <f t="shared" si="103"/>
        <v>0</v>
      </c>
      <c r="AQ1286" s="117">
        <f t="shared" si="101"/>
        <v>0</v>
      </c>
      <c r="AR1286" s="120">
        <f t="shared" si="102"/>
        <v>0</v>
      </c>
      <c r="AS1286" s="121"/>
    </row>
    <row r="1287" spans="1:45" ht="13.5" x14ac:dyDescent="0.4">
      <c r="A1287" s="12">
        <f t="shared" si="104"/>
        <v>1284</v>
      </c>
      <c r="B1287" s="64" t="s">
        <v>1758</v>
      </c>
      <c r="C1287" s="54">
        <v>45710</v>
      </c>
      <c r="D1287" s="54">
        <v>45710</v>
      </c>
      <c r="E1287" s="46" t="s">
        <v>451</v>
      </c>
      <c r="F1287" s="51" t="s">
        <v>19</v>
      </c>
      <c r="G1287" s="51" t="s">
        <v>144</v>
      </c>
      <c r="H1287" s="51" t="s">
        <v>21</v>
      </c>
      <c r="I1287" s="55" t="s">
        <v>2060</v>
      </c>
      <c r="J1287" s="56">
        <v>1</v>
      </c>
      <c r="K1287" s="51" t="s">
        <v>2061</v>
      </c>
      <c r="L1287" s="58">
        <v>186440.68</v>
      </c>
      <c r="M1287" s="50">
        <f>ROUND('FA Addition'!$L1287*5%,0.1)</f>
        <v>9322</v>
      </c>
      <c r="N1287" s="113" t="str">
        <f>_xlfn.XLOOKUP(_xlfn.CONCAT(E1287,B1287),'Year Wise Master Dep Approach'!F:F,'Year Wise Master Dep Approach'!D:D)</f>
        <v>WDV</v>
      </c>
      <c r="O1287" s="113">
        <f>_xlfn.XLOOKUP(_xlfn.CONCAT(E1287,B1287),'Year Wise Master Dep Approach'!F:F,'Year Wise Master Dep Approach'!E:E)</f>
        <v>3</v>
      </c>
      <c r="P1287" s="114">
        <f>IFERROR(IF('FA Addition'!$N1287="WDV",1-('FA Addition'!$M1287/'FA Addition'!$L1287)^(1/'FA Addition'!$O1287),1/'FA Addition'!$O1287),0)</f>
        <v>0.63159729802542142</v>
      </c>
      <c r="Q1287" s="122">
        <f>'FA Addition'!$P1287*'FA Addition'!$O1287</f>
        <v>1.8947918940762642</v>
      </c>
      <c r="R1287" s="122"/>
      <c r="S1287" s="116">
        <f>IF(AND(DATE(20&amp;LEFT(FAAddition[[#This Row],[FY]],2),4,1)&lt;$L$1+1,DATE(20&amp;LEFT(FAAddition[[#This Row],[FY]],2),4,1)&gt;$P$1-1),'FA Addition'!$J1287,0)</f>
        <v>0</v>
      </c>
      <c r="U1287" s="117">
        <f>S1287*'FA Addition'!$L1287/'FA Addition'!$J1287</f>
        <v>0</v>
      </c>
      <c r="W1287" s="116">
        <f>SUMIFS('FA Write off'!D:D,'FA Write off'!A:A,'FA Addition'!$A1287,'FA Write off'!C:C,"&lt;"&amp;'FA Addition'!$P$1)</f>
        <v>0</v>
      </c>
      <c r="Y1287" s="191">
        <f>IFERROR(W1287/'FA Addition'!$J1287*'FA Addition'!$L1287,0)</f>
        <v>0</v>
      </c>
      <c r="AA1287" s="116">
        <f>SUMIFS('FA Write off'!D:D,'FA Write off'!A:A,'FA Addition'!$A1287,'FA Write off'!C:C,"&lt;"&amp;'FA Addition'!$L$1+1,'FA Write off'!C:C,"&gt;"&amp;'FA Addition'!$L$1-365)</f>
        <v>0</v>
      </c>
      <c r="AC1287" s="118">
        <f>IFERROR(AA1287/'FA Addition'!$J1287*'FA Addition'!$L1287,0)</f>
        <v>0</v>
      </c>
      <c r="AE1287" s="117">
        <f>IF(AND('FA Addition'!$D1287&lt;$P$1+1,U1287=0),'FA Addition'!$L1287,0)-Y1287</f>
        <v>0</v>
      </c>
      <c r="AF1287" s="117">
        <f t="shared" si="100"/>
        <v>0</v>
      </c>
      <c r="AG1287" s="117">
        <f>MIN(MAX(+$P$1-'FA Addition'!$D1287,0),365*'FA Addition'!$O1287)</f>
        <v>0</v>
      </c>
      <c r="AH1287" s="117">
        <f>MIN(MAX($L$1-'FA Addition'!$D1287+1,0),365*'FA Addition'!$O1287)</f>
        <v>0</v>
      </c>
      <c r="AI1287" s="117" cm="1">
        <f t="array" ref="AI1287">_xlfn.XLOOKUP(1,('FA Write off'!A:A='FA Addition'!$A1287)*('FA Write off'!D:D=AA1287),'FA Write off'!H:H,0,0)</f>
        <v>0</v>
      </c>
      <c r="AJ1287" s="117">
        <f>IF(AC1287&gt;0,MAX(IF('FA Addition'!$N1287="SLM",($AC1287-'FA Addition'!$M1287)*'FA Addition'!$P1287*AI1287/365,(AC1287-'FA Addition'!$M1287)*(1-(1-'FA Addition'!$P1287)^(AI1287/365))),0),0)</f>
        <v>0</v>
      </c>
      <c r="AL1287" s="117">
        <f>MAX(IF(AG1287&gt;0,IF('FA Addition'!$N1287="SLM",($AE1287-'FA Addition'!$M1287)*'FA Addition'!$P1287*AG1287/365,IFERROR(VDB(AE1287,AE1287*0.05,'FA Addition'!$O1287,0,YEARFRAC('FA Addition'!$C1287,$P$1-1,3),'FA Addition'!$Q1287),FAAddition[[#This Row],[Original Cost (Rs)]]-FAAddition[[#This Row],[Salvage Value]])),0),0)</f>
        <v>0</v>
      </c>
      <c r="AM1287" s="119"/>
      <c r="AN1287" s="117">
        <f>MAX(IF(AH1287&gt;0,IF('FA Addition'!$N1287="SLM",($AF1287-'FA Addition'!$M1287)*'FA Addition'!$P1287*AH1287/365,IFERROR(VDB(AF1287,AF1287*0.05,'FA Addition'!$O1287,0,YEARFRAC('FA Addition'!$C1287,$L$1,3),'FA Addition'!$Q1287),FAAddition[[#This Row],[Original Cost (Rs)]]-FAAddition[[#This Row],[Salvage Value]])),0),0)</f>
        <v>0</v>
      </c>
      <c r="AO1287" s="117">
        <f t="shared" si="103"/>
        <v>0</v>
      </c>
      <c r="AQ1287" s="117">
        <f t="shared" si="101"/>
        <v>0</v>
      </c>
      <c r="AR1287" s="120">
        <f t="shared" si="102"/>
        <v>0</v>
      </c>
      <c r="AS1287" s="121"/>
    </row>
    <row r="1288" spans="1:45" ht="13.5" x14ac:dyDescent="0.4">
      <c r="A1288" s="12">
        <f t="shared" si="104"/>
        <v>1285</v>
      </c>
      <c r="B1288" s="64" t="s">
        <v>1758</v>
      </c>
      <c r="C1288" s="54">
        <v>45860</v>
      </c>
      <c r="D1288" s="54">
        <v>45710</v>
      </c>
      <c r="E1288" s="46" t="s">
        <v>451</v>
      </c>
      <c r="F1288" s="51" t="s">
        <v>19</v>
      </c>
      <c r="G1288" s="51" t="s">
        <v>1919</v>
      </c>
      <c r="H1288" s="51" t="s">
        <v>209</v>
      </c>
      <c r="I1288" s="55" t="s">
        <v>2062</v>
      </c>
      <c r="J1288" s="56">
        <v>1</v>
      </c>
      <c r="K1288" s="51" t="s">
        <v>2063</v>
      </c>
      <c r="L1288" s="58">
        <v>560</v>
      </c>
      <c r="M1288" s="50">
        <f>ROUND('FA Addition'!$L1288*5%,0.1)</f>
        <v>28</v>
      </c>
      <c r="N1288" s="113" t="str">
        <f>_xlfn.XLOOKUP(_xlfn.CONCAT(E1288,B1288),'Year Wise Master Dep Approach'!F:F,'Year Wise Master Dep Approach'!D:D)</f>
        <v>WDV</v>
      </c>
      <c r="O1288" s="113">
        <f>_xlfn.XLOOKUP(_xlfn.CONCAT(E1288,B1288),'Year Wise Master Dep Approach'!F:F,'Year Wise Master Dep Approach'!E:E)</f>
        <v>3</v>
      </c>
      <c r="P1288" s="114">
        <f>IFERROR(IF('FA Addition'!$N1288="WDV",1-('FA Addition'!$M1288/'FA Addition'!$L1288)^(1/'FA Addition'!$O1288),1/'FA Addition'!$O1288),0)</f>
        <v>0.63159685013596123</v>
      </c>
      <c r="Q1288" s="122">
        <f>'FA Addition'!$P1288*'FA Addition'!$O1288</f>
        <v>1.8947905504078837</v>
      </c>
      <c r="R1288" s="122"/>
      <c r="S1288" s="116">
        <f>IF(AND(DATE(20&amp;LEFT(FAAddition[[#This Row],[FY]],2),4,1)&lt;$L$1+1,DATE(20&amp;LEFT(FAAddition[[#This Row],[FY]],2),4,1)&gt;$P$1-1),'FA Addition'!$J1288,0)</f>
        <v>0</v>
      </c>
      <c r="U1288" s="117">
        <f>S1288*'FA Addition'!$L1288/'FA Addition'!$J1288</f>
        <v>0</v>
      </c>
      <c r="W1288" s="116">
        <f>SUMIFS('FA Write off'!D:D,'FA Write off'!A:A,'FA Addition'!$A1288,'FA Write off'!C:C,"&lt;"&amp;'FA Addition'!$P$1)</f>
        <v>0</v>
      </c>
      <c r="Y1288" s="191">
        <f>IFERROR(W1288/'FA Addition'!$J1288*'FA Addition'!$L1288,0)</f>
        <v>0</v>
      </c>
      <c r="AA1288" s="116">
        <f>SUMIFS('FA Write off'!D:D,'FA Write off'!A:A,'FA Addition'!$A1288,'FA Write off'!C:C,"&lt;"&amp;'FA Addition'!$L$1+1,'FA Write off'!C:C,"&gt;"&amp;'FA Addition'!$L$1-365)</f>
        <v>0</v>
      </c>
      <c r="AC1288" s="118">
        <f>IFERROR(AA1288/'FA Addition'!$J1288*'FA Addition'!$L1288,0)</f>
        <v>0</v>
      </c>
      <c r="AE1288" s="117">
        <f>IF(AND('FA Addition'!$D1288&lt;$P$1+1,U1288=0),'FA Addition'!$L1288,0)-Y1288</f>
        <v>0</v>
      </c>
      <c r="AF1288" s="117">
        <f t="shared" si="100"/>
        <v>0</v>
      </c>
      <c r="AG1288" s="117">
        <f>MIN(MAX(+$P$1-'FA Addition'!$D1288,0),365*'FA Addition'!$O1288)</f>
        <v>0</v>
      </c>
      <c r="AH1288" s="117">
        <f>MIN(MAX($L$1-'FA Addition'!$D1288+1,0),365*'FA Addition'!$O1288)</f>
        <v>0</v>
      </c>
      <c r="AI1288" s="117" cm="1">
        <f t="array" ref="AI1288">_xlfn.XLOOKUP(1,('FA Write off'!A:A='FA Addition'!$A1288)*('FA Write off'!D:D=AA1288),'FA Write off'!H:H,0,0)</f>
        <v>0</v>
      </c>
      <c r="AJ1288" s="117">
        <f>IF(AC1288&gt;0,MAX(IF('FA Addition'!$N1288="SLM",($AC1288-'FA Addition'!$M1288)*'FA Addition'!$P1288*AI1288/365,(AC1288-'FA Addition'!$M1288)*(1-(1-'FA Addition'!$P1288)^(AI1288/365))),0),0)</f>
        <v>0</v>
      </c>
      <c r="AL1288" s="117">
        <f>MAX(IF(AG1288&gt;0,IF('FA Addition'!$N1288="SLM",($AE1288-'FA Addition'!$M1288)*'FA Addition'!$P1288*AG1288/365,IFERROR(VDB(AE1288,AE1288*0.05,'FA Addition'!$O1288,0,YEARFRAC('FA Addition'!$C1288,$P$1-1,3),'FA Addition'!$Q1288),FAAddition[[#This Row],[Original Cost (Rs)]]-FAAddition[[#This Row],[Salvage Value]])),0),0)</f>
        <v>0</v>
      </c>
      <c r="AM1288" s="119"/>
      <c r="AN1288" s="117">
        <f>MAX(IF(AH1288&gt;0,IF('FA Addition'!$N1288="SLM",($AF1288-'FA Addition'!$M1288)*'FA Addition'!$P1288*AH1288/365,IFERROR(VDB(AF1288,AF1288*0.05,'FA Addition'!$O1288,0,YEARFRAC('FA Addition'!$C1288,$L$1,3),'FA Addition'!$Q1288),FAAddition[[#This Row],[Original Cost (Rs)]]-FAAddition[[#This Row],[Salvage Value]])),0),0)</f>
        <v>0</v>
      </c>
      <c r="AO1288" s="117">
        <f t="shared" si="103"/>
        <v>0</v>
      </c>
      <c r="AQ1288" s="117">
        <f t="shared" si="101"/>
        <v>0</v>
      </c>
      <c r="AR1288" s="120">
        <f t="shared" si="102"/>
        <v>0</v>
      </c>
      <c r="AS1288" s="121"/>
    </row>
    <row r="1289" spans="1:45" ht="13.5" x14ac:dyDescent="0.4">
      <c r="A1289" s="12">
        <f t="shared" si="104"/>
        <v>1286</v>
      </c>
      <c r="B1289" s="64" t="s">
        <v>1758</v>
      </c>
      <c r="C1289" s="54">
        <v>45860</v>
      </c>
      <c r="D1289" s="54">
        <v>45710</v>
      </c>
      <c r="E1289" s="46" t="s">
        <v>451</v>
      </c>
      <c r="F1289" s="51" t="s">
        <v>19</v>
      </c>
      <c r="G1289" s="51" t="s">
        <v>1919</v>
      </c>
      <c r="H1289" s="51" t="s">
        <v>209</v>
      </c>
      <c r="I1289" s="55" t="s">
        <v>2062</v>
      </c>
      <c r="J1289" s="56">
        <v>1</v>
      </c>
      <c r="K1289" s="51" t="s">
        <v>2063</v>
      </c>
      <c r="L1289" s="58">
        <v>560</v>
      </c>
      <c r="M1289" s="50">
        <f>ROUND('FA Addition'!$L1289*5%,0.1)</f>
        <v>28</v>
      </c>
      <c r="N1289" s="113" t="str">
        <f>_xlfn.XLOOKUP(_xlfn.CONCAT(E1289,B1289),'Year Wise Master Dep Approach'!F:F,'Year Wise Master Dep Approach'!D:D)</f>
        <v>WDV</v>
      </c>
      <c r="O1289" s="113">
        <f>_xlfn.XLOOKUP(_xlfn.CONCAT(E1289,B1289),'Year Wise Master Dep Approach'!F:F,'Year Wise Master Dep Approach'!E:E)</f>
        <v>3</v>
      </c>
      <c r="P1289" s="114">
        <f>IFERROR(IF('FA Addition'!$N1289="WDV",1-('FA Addition'!$M1289/'FA Addition'!$L1289)^(1/'FA Addition'!$O1289),1/'FA Addition'!$O1289),0)</f>
        <v>0.63159685013596123</v>
      </c>
      <c r="Q1289" s="122">
        <f>'FA Addition'!$P1289*'FA Addition'!$O1289</f>
        <v>1.8947905504078837</v>
      </c>
      <c r="R1289" s="122"/>
      <c r="S1289" s="116">
        <f>IF(AND(DATE(20&amp;LEFT(FAAddition[[#This Row],[FY]],2),4,1)&lt;$L$1+1,DATE(20&amp;LEFT(FAAddition[[#This Row],[FY]],2),4,1)&gt;$P$1-1),'FA Addition'!$J1289,0)</f>
        <v>0</v>
      </c>
      <c r="U1289" s="117">
        <f>S1289*'FA Addition'!$L1289/'FA Addition'!$J1289</f>
        <v>0</v>
      </c>
      <c r="W1289" s="116">
        <f>SUMIFS('FA Write off'!D:D,'FA Write off'!A:A,'FA Addition'!$A1289,'FA Write off'!C:C,"&lt;"&amp;'FA Addition'!$P$1)</f>
        <v>0</v>
      </c>
      <c r="Y1289" s="191">
        <f>IFERROR(W1289/'FA Addition'!$J1289*'FA Addition'!$L1289,0)</f>
        <v>0</v>
      </c>
      <c r="AA1289" s="116">
        <f>SUMIFS('FA Write off'!D:D,'FA Write off'!A:A,'FA Addition'!$A1289,'FA Write off'!C:C,"&lt;"&amp;'FA Addition'!$L$1+1,'FA Write off'!C:C,"&gt;"&amp;'FA Addition'!$L$1-365)</f>
        <v>0</v>
      </c>
      <c r="AC1289" s="118">
        <f>IFERROR(AA1289/'FA Addition'!$J1289*'FA Addition'!$L1289,0)</f>
        <v>0</v>
      </c>
      <c r="AE1289" s="117">
        <f>IF(AND('FA Addition'!$D1289&lt;$P$1+1,U1289=0),'FA Addition'!$L1289,0)-Y1289</f>
        <v>0</v>
      </c>
      <c r="AF1289" s="117">
        <f t="shared" si="100"/>
        <v>0</v>
      </c>
      <c r="AG1289" s="117">
        <f>MIN(MAX(+$P$1-'FA Addition'!$D1289,0),365*'FA Addition'!$O1289)</f>
        <v>0</v>
      </c>
      <c r="AH1289" s="117">
        <f>MIN(MAX($L$1-'FA Addition'!$D1289+1,0),365*'FA Addition'!$O1289)</f>
        <v>0</v>
      </c>
      <c r="AI1289" s="117" cm="1">
        <f t="array" ref="AI1289">_xlfn.XLOOKUP(1,('FA Write off'!A:A='FA Addition'!$A1289)*('FA Write off'!D:D=AA1289),'FA Write off'!H:H,0,0)</f>
        <v>0</v>
      </c>
      <c r="AJ1289" s="117">
        <f>IF(AC1289&gt;0,MAX(IF('FA Addition'!$N1289="SLM",($AC1289-'FA Addition'!$M1289)*'FA Addition'!$P1289*AI1289/365,(AC1289-'FA Addition'!$M1289)*(1-(1-'FA Addition'!$P1289)^(AI1289/365))),0),0)</f>
        <v>0</v>
      </c>
      <c r="AL1289" s="117">
        <f>MAX(IF(AG1289&gt;0,IF('FA Addition'!$N1289="SLM",($AE1289-'FA Addition'!$M1289)*'FA Addition'!$P1289*AG1289/365,IFERROR(VDB(AE1289,AE1289*0.05,'FA Addition'!$O1289,0,YEARFRAC('FA Addition'!$C1289,$P$1-1,3),'FA Addition'!$Q1289),FAAddition[[#This Row],[Original Cost (Rs)]]-FAAddition[[#This Row],[Salvage Value]])),0),0)</f>
        <v>0</v>
      </c>
      <c r="AM1289" s="119"/>
      <c r="AN1289" s="117">
        <f>MAX(IF(AH1289&gt;0,IF('FA Addition'!$N1289="SLM",($AF1289-'FA Addition'!$M1289)*'FA Addition'!$P1289*AH1289/365,IFERROR(VDB(AF1289,AF1289*0.05,'FA Addition'!$O1289,0,YEARFRAC('FA Addition'!$C1289,$L$1,3),'FA Addition'!$Q1289),FAAddition[[#This Row],[Original Cost (Rs)]]-FAAddition[[#This Row],[Salvage Value]])),0),0)</f>
        <v>0</v>
      </c>
      <c r="AO1289" s="117">
        <f t="shared" si="103"/>
        <v>0</v>
      </c>
      <c r="AQ1289" s="117">
        <f t="shared" si="101"/>
        <v>0</v>
      </c>
      <c r="AR1289" s="120">
        <f t="shared" si="102"/>
        <v>0</v>
      </c>
      <c r="AS1289" s="121"/>
    </row>
    <row r="1290" spans="1:45" ht="13.5" x14ac:dyDescent="0.4">
      <c r="A1290" s="12">
        <f t="shared" si="104"/>
        <v>1287</v>
      </c>
      <c r="B1290" s="64" t="s">
        <v>1758</v>
      </c>
      <c r="C1290" s="54">
        <v>45860</v>
      </c>
      <c r="D1290" s="54">
        <v>45710</v>
      </c>
      <c r="E1290" s="46" t="s">
        <v>451</v>
      </c>
      <c r="F1290" s="51" t="s">
        <v>19</v>
      </c>
      <c r="G1290" s="51" t="s">
        <v>1919</v>
      </c>
      <c r="H1290" s="51" t="s">
        <v>209</v>
      </c>
      <c r="I1290" s="55" t="s">
        <v>2062</v>
      </c>
      <c r="J1290" s="56">
        <v>1</v>
      </c>
      <c r="K1290" s="51" t="s">
        <v>2063</v>
      </c>
      <c r="L1290" s="58">
        <v>560</v>
      </c>
      <c r="M1290" s="50">
        <f>ROUND('FA Addition'!$L1290*5%,0.1)</f>
        <v>28</v>
      </c>
      <c r="N1290" s="113" t="str">
        <f>_xlfn.XLOOKUP(_xlfn.CONCAT(E1290,B1290),'Year Wise Master Dep Approach'!F:F,'Year Wise Master Dep Approach'!D:D)</f>
        <v>WDV</v>
      </c>
      <c r="O1290" s="113">
        <f>_xlfn.XLOOKUP(_xlfn.CONCAT(E1290,B1290),'Year Wise Master Dep Approach'!F:F,'Year Wise Master Dep Approach'!E:E)</f>
        <v>3</v>
      </c>
      <c r="P1290" s="114">
        <f>IFERROR(IF('FA Addition'!$N1290="WDV",1-('FA Addition'!$M1290/'FA Addition'!$L1290)^(1/'FA Addition'!$O1290),1/'FA Addition'!$O1290),0)</f>
        <v>0.63159685013596123</v>
      </c>
      <c r="Q1290" s="122">
        <f>'FA Addition'!$P1290*'FA Addition'!$O1290</f>
        <v>1.8947905504078837</v>
      </c>
      <c r="R1290" s="122"/>
      <c r="S1290" s="116">
        <f>IF(AND(DATE(20&amp;LEFT(FAAddition[[#This Row],[FY]],2),4,1)&lt;$L$1+1,DATE(20&amp;LEFT(FAAddition[[#This Row],[FY]],2),4,1)&gt;$P$1-1),'FA Addition'!$J1290,0)</f>
        <v>0</v>
      </c>
      <c r="U1290" s="117">
        <f>S1290*'FA Addition'!$L1290/'FA Addition'!$J1290</f>
        <v>0</v>
      </c>
      <c r="W1290" s="116">
        <f>SUMIFS('FA Write off'!D:D,'FA Write off'!A:A,'FA Addition'!$A1290,'FA Write off'!C:C,"&lt;"&amp;'FA Addition'!$P$1)</f>
        <v>0</v>
      </c>
      <c r="Y1290" s="191">
        <f>IFERROR(W1290/'FA Addition'!$J1290*'FA Addition'!$L1290,0)</f>
        <v>0</v>
      </c>
      <c r="AA1290" s="116">
        <f>SUMIFS('FA Write off'!D:D,'FA Write off'!A:A,'FA Addition'!$A1290,'FA Write off'!C:C,"&lt;"&amp;'FA Addition'!$L$1+1,'FA Write off'!C:C,"&gt;"&amp;'FA Addition'!$L$1-365)</f>
        <v>0</v>
      </c>
      <c r="AC1290" s="118">
        <f>IFERROR(AA1290/'FA Addition'!$J1290*'FA Addition'!$L1290,0)</f>
        <v>0</v>
      </c>
      <c r="AE1290" s="117">
        <f>IF(AND('FA Addition'!$D1290&lt;$P$1+1,U1290=0),'FA Addition'!$L1290,0)-Y1290</f>
        <v>0</v>
      </c>
      <c r="AF1290" s="117">
        <f t="shared" si="100"/>
        <v>0</v>
      </c>
      <c r="AG1290" s="117">
        <f>MIN(MAX(+$P$1-'FA Addition'!$D1290,0),365*'FA Addition'!$O1290)</f>
        <v>0</v>
      </c>
      <c r="AH1290" s="117">
        <f>MIN(MAX($L$1-'FA Addition'!$D1290+1,0),365*'FA Addition'!$O1290)</f>
        <v>0</v>
      </c>
      <c r="AI1290" s="117" cm="1">
        <f t="array" ref="AI1290">_xlfn.XLOOKUP(1,('FA Write off'!A:A='FA Addition'!$A1290)*('FA Write off'!D:D=AA1290),'FA Write off'!H:H,0,0)</f>
        <v>0</v>
      </c>
      <c r="AJ1290" s="117">
        <f>IF(AC1290&gt;0,MAX(IF('FA Addition'!$N1290="SLM",($AC1290-'FA Addition'!$M1290)*'FA Addition'!$P1290*AI1290/365,(AC1290-'FA Addition'!$M1290)*(1-(1-'FA Addition'!$P1290)^(AI1290/365))),0),0)</f>
        <v>0</v>
      </c>
      <c r="AL1290" s="117">
        <f>MAX(IF(AG1290&gt;0,IF('FA Addition'!$N1290="SLM",($AE1290-'FA Addition'!$M1290)*'FA Addition'!$P1290*AG1290/365,IFERROR(VDB(AE1290,AE1290*0.05,'FA Addition'!$O1290,0,YEARFRAC('FA Addition'!$C1290,$P$1-1,3),'FA Addition'!$Q1290),FAAddition[[#This Row],[Original Cost (Rs)]]-FAAddition[[#This Row],[Salvage Value]])),0),0)</f>
        <v>0</v>
      </c>
      <c r="AM1290" s="119"/>
      <c r="AN1290" s="117">
        <f>MAX(IF(AH1290&gt;0,IF('FA Addition'!$N1290="SLM",($AF1290-'FA Addition'!$M1290)*'FA Addition'!$P1290*AH1290/365,IFERROR(VDB(AF1290,AF1290*0.05,'FA Addition'!$O1290,0,YEARFRAC('FA Addition'!$C1290,$L$1,3),'FA Addition'!$Q1290),FAAddition[[#This Row],[Original Cost (Rs)]]-FAAddition[[#This Row],[Salvage Value]])),0),0)</f>
        <v>0</v>
      </c>
      <c r="AO1290" s="117">
        <f t="shared" si="103"/>
        <v>0</v>
      </c>
      <c r="AQ1290" s="117">
        <f t="shared" si="101"/>
        <v>0</v>
      </c>
      <c r="AR1290" s="120">
        <f t="shared" si="102"/>
        <v>0</v>
      </c>
      <c r="AS1290" s="121"/>
    </row>
    <row r="1291" spans="1:45" ht="13.5" x14ac:dyDescent="0.4">
      <c r="A1291" s="12">
        <f t="shared" si="104"/>
        <v>1288</v>
      </c>
      <c r="B1291" s="64" t="s">
        <v>1758</v>
      </c>
      <c r="C1291" s="54">
        <v>45860</v>
      </c>
      <c r="D1291" s="54">
        <v>45710</v>
      </c>
      <c r="E1291" s="46" t="s">
        <v>451</v>
      </c>
      <c r="F1291" s="51" t="s">
        <v>19</v>
      </c>
      <c r="G1291" s="51" t="s">
        <v>1919</v>
      </c>
      <c r="H1291" s="51" t="s">
        <v>209</v>
      </c>
      <c r="I1291" s="55" t="s">
        <v>2062</v>
      </c>
      <c r="J1291" s="56">
        <v>1</v>
      </c>
      <c r="K1291" s="51" t="s">
        <v>2063</v>
      </c>
      <c r="L1291" s="58">
        <v>560</v>
      </c>
      <c r="M1291" s="50">
        <f>ROUND('FA Addition'!$L1291*5%,0.1)</f>
        <v>28</v>
      </c>
      <c r="N1291" s="113" t="str">
        <f>_xlfn.XLOOKUP(_xlfn.CONCAT(E1291,B1291),'Year Wise Master Dep Approach'!F:F,'Year Wise Master Dep Approach'!D:D)</f>
        <v>WDV</v>
      </c>
      <c r="O1291" s="113">
        <f>_xlfn.XLOOKUP(_xlfn.CONCAT(E1291,B1291),'Year Wise Master Dep Approach'!F:F,'Year Wise Master Dep Approach'!E:E)</f>
        <v>3</v>
      </c>
      <c r="P1291" s="114">
        <f>IFERROR(IF('FA Addition'!$N1291="WDV",1-('FA Addition'!$M1291/'FA Addition'!$L1291)^(1/'FA Addition'!$O1291),1/'FA Addition'!$O1291),0)</f>
        <v>0.63159685013596123</v>
      </c>
      <c r="Q1291" s="122">
        <f>'FA Addition'!$P1291*'FA Addition'!$O1291</f>
        <v>1.8947905504078837</v>
      </c>
      <c r="R1291" s="122"/>
      <c r="S1291" s="116">
        <f>IF(AND(DATE(20&amp;LEFT(FAAddition[[#This Row],[FY]],2),4,1)&lt;$L$1+1,DATE(20&amp;LEFT(FAAddition[[#This Row],[FY]],2),4,1)&gt;$P$1-1),'FA Addition'!$J1291,0)</f>
        <v>0</v>
      </c>
      <c r="U1291" s="117">
        <f>S1291*'FA Addition'!$L1291/'FA Addition'!$J1291</f>
        <v>0</v>
      </c>
      <c r="W1291" s="116">
        <f>SUMIFS('FA Write off'!D:D,'FA Write off'!A:A,'FA Addition'!$A1291,'FA Write off'!C:C,"&lt;"&amp;'FA Addition'!$P$1)</f>
        <v>0</v>
      </c>
      <c r="Y1291" s="191">
        <f>IFERROR(W1291/'FA Addition'!$J1291*'FA Addition'!$L1291,0)</f>
        <v>0</v>
      </c>
      <c r="AA1291" s="116">
        <f>SUMIFS('FA Write off'!D:D,'FA Write off'!A:A,'FA Addition'!$A1291,'FA Write off'!C:C,"&lt;"&amp;'FA Addition'!$L$1+1,'FA Write off'!C:C,"&gt;"&amp;'FA Addition'!$L$1-365)</f>
        <v>0</v>
      </c>
      <c r="AC1291" s="118">
        <f>IFERROR(AA1291/'FA Addition'!$J1291*'FA Addition'!$L1291,0)</f>
        <v>0</v>
      </c>
      <c r="AE1291" s="117">
        <f>IF(AND('FA Addition'!$D1291&lt;$P$1+1,U1291=0),'FA Addition'!$L1291,0)-Y1291</f>
        <v>0</v>
      </c>
      <c r="AF1291" s="117">
        <f t="shared" si="100"/>
        <v>0</v>
      </c>
      <c r="AG1291" s="117">
        <f>MIN(MAX(+$P$1-'FA Addition'!$D1291,0),365*'FA Addition'!$O1291)</f>
        <v>0</v>
      </c>
      <c r="AH1291" s="117">
        <f>MIN(MAX($L$1-'FA Addition'!$D1291+1,0),365*'FA Addition'!$O1291)</f>
        <v>0</v>
      </c>
      <c r="AI1291" s="117" cm="1">
        <f t="array" ref="AI1291">_xlfn.XLOOKUP(1,('FA Write off'!A:A='FA Addition'!$A1291)*('FA Write off'!D:D=AA1291),'FA Write off'!H:H,0,0)</f>
        <v>0</v>
      </c>
      <c r="AJ1291" s="117">
        <f>IF(AC1291&gt;0,MAX(IF('FA Addition'!$N1291="SLM",($AC1291-'FA Addition'!$M1291)*'FA Addition'!$P1291*AI1291/365,(AC1291-'FA Addition'!$M1291)*(1-(1-'FA Addition'!$P1291)^(AI1291/365))),0),0)</f>
        <v>0</v>
      </c>
      <c r="AL1291" s="117">
        <f>MAX(IF(AG1291&gt;0,IF('FA Addition'!$N1291="SLM",($AE1291-'FA Addition'!$M1291)*'FA Addition'!$P1291*AG1291/365,IFERROR(VDB(AE1291,AE1291*0.05,'FA Addition'!$O1291,0,YEARFRAC('FA Addition'!$C1291,$P$1-1,3),'FA Addition'!$Q1291),FAAddition[[#This Row],[Original Cost (Rs)]]-FAAddition[[#This Row],[Salvage Value]])),0),0)</f>
        <v>0</v>
      </c>
      <c r="AM1291" s="119"/>
      <c r="AN1291" s="117">
        <f>MAX(IF(AH1291&gt;0,IF('FA Addition'!$N1291="SLM",($AF1291-'FA Addition'!$M1291)*'FA Addition'!$P1291*AH1291/365,IFERROR(VDB(AF1291,AF1291*0.05,'FA Addition'!$O1291,0,YEARFRAC('FA Addition'!$C1291,$L$1,3),'FA Addition'!$Q1291),FAAddition[[#This Row],[Original Cost (Rs)]]-FAAddition[[#This Row],[Salvage Value]])),0),0)</f>
        <v>0</v>
      </c>
      <c r="AO1291" s="117">
        <f t="shared" si="103"/>
        <v>0</v>
      </c>
      <c r="AQ1291" s="117">
        <f t="shared" si="101"/>
        <v>0</v>
      </c>
      <c r="AR1291" s="120">
        <f t="shared" si="102"/>
        <v>0</v>
      </c>
      <c r="AS1291" s="121"/>
    </row>
    <row r="1292" spans="1:45" ht="13.5" x14ac:dyDescent="0.4">
      <c r="A1292" s="12">
        <f t="shared" si="104"/>
        <v>1289</v>
      </c>
      <c r="B1292" s="64" t="s">
        <v>1758</v>
      </c>
      <c r="C1292" s="54">
        <v>45860</v>
      </c>
      <c r="D1292" s="54">
        <v>45710</v>
      </c>
      <c r="E1292" s="46" t="s">
        <v>451</v>
      </c>
      <c r="F1292" s="51" t="s">
        <v>19</v>
      </c>
      <c r="G1292" s="51" t="s">
        <v>1919</v>
      </c>
      <c r="H1292" s="51" t="s">
        <v>209</v>
      </c>
      <c r="I1292" s="55" t="s">
        <v>2062</v>
      </c>
      <c r="J1292" s="56">
        <v>1</v>
      </c>
      <c r="K1292" s="51" t="s">
        <v>2063</v>
      </c>
      <c r="L1292" s="58">
        <v>560</v>
      </c>
      <c r="M1292" s="50">
        <f>ROUND('FA Addition'!$L1292*5%,0.1)</f>
        <v>28</v>
      </c>
      <c r="N1292" s="113" t="str">
        <f>_xlfn.XLOOKUP(_xlfn.CONCAT(E1292,B1292),'Year Wise Master Dep Approach'!F:F,'Year Wise Master Dep Approach'!D:D)</f>
        <v>WDV</v>
      </c>
      <c r="O1292" s="113">
        <f>_xlfn.XLOOKUP(_xlfn.CONCAT(E1292,B1292),'Year Wise Master Dep Approach'!F:F,'Year Wise Master Dep Approach'!E:E)</f>
        <v>3</v>
      </c>
      <c r="P1292" s="114">
        <f>IFERROR(IF('FA Addition'!$N1292="WDV",1-('FA Addition'!$M1292/'FA Addition'!$L1292)^(1/'FA Addition'!$O1292),1/'FA Addition'!$O1292),0)</f>
        <v>0.63159685013596123</v>
      </c>
      <c r="Q1292" s="122">
        <f>'FA Addition'!$P1292*'FA Addition'!$O1292</f>
        <v>1.8947905504078837</v>
      </c>
      <c r="R1292" s="122"/>
      <c r="S1292" s="116">
        <f>IF(AND(DATE(20&amp;LEFT(FAAddition[[#This Row],[FY]],2),4,1)&lt;$L$1+1,DATE(20&amp;LEFT(FAAddition[[#This Row],[FY]],2),4,1)&gt;$P$1-1),'FA Addition'!$J1292,0)</f>
        <v>0</v>
      </c>
      <c r="U1292" s="117">
        <f>S1292*'FA Addition'!$L1292/'FA Addition'!$J1292</f>
        <v>0</v>
      </c>
      <c r="W1292" s="116">
        <f>SUMIFS('FA Write off'!D:D,'FA Write off'!A:A,'FA Addition'!$A1292,'FA Write off'!C:C,"&lt;"&amp;'FA Addition'!$P$1)</f>
        <v>0</v>
      </c>
      <c r="Y1292" s="191">
        <f>IFERROR(W1292/'FA Addition'!$J1292*'FA Addition'!$L1292,0)</f>
        <v>0</v>
      </c>
      <c r="AA1292" s="116">
        <f>SUMIFS('FA Write off'!D:D,'FA Write off'!A:A,'FA Addition'!$A1292,'FA Write off'!C:C,"&lt;"&amp;'FA Addition'!$L$1+1,'FA Write off'!C:C,"&gt;"&amp;'FA Addition'!$L$1-365)</f>
        <v>0</v>
      </c>
      <c r="AC1292" s="118">
        <f>IFERROR(AA1292/'FA Addition'!$J1292*'FA Addition'!$L1292,0)</f>
        <v>0</v>
      </c>
      <c r="AE1292" s="117">
        <f>IF(AND('FA Addition'!$D1292&lt;$P$1+1,U1292=0),'FA Addition'!$L1292,0)-Y1292</f>
        <v>0</v>
      </c>
      <c r="AF1292" s="117">
        <f t="shared" si="100"/>
        <v>0</v>
      </c>
      <c r="AG1292" s="117">
        <f>MIN(MAX(+$P$1-'FA Addition'!$D1292,0),365*'FA Addition'!$O1292)</f>
        <v>0</v>
      </c>
      <c r="AH1292" s="117">
        <f>MIN(MAX($L$1-'FA Addition'!$D1292+1,0),365*'FA Addition'!$O1292)</f>
        <v>0</v>
      </c>
      <c r="AI1292" s="117" cm="1">
        <f t="array" ref="AI1292">_xlfn.XLOOKUP(1,('FA Write off'!A:A='FA Addition'!$A1292)*('FA Write off'!D:D=AA1292),'FA Write off'!H:H,0,0)</f>
        <v>0</v>
      </c>
      <c r="AJ1292" s="117">
        <f>IF(AC1292&gt;0,MAX(IF('FA Addition'!$N1292="SLM",($AC1292-'FA Addition'!$M1292)*'FA Addition'!$P1292*AI1292/365,(AC1292-'FA Addition'!$M1292)*(1-(1-'FA Addition'!$P1292)^(AI1292/365))),0),0)</f>
        <v>0</v>
      </c>
      <c r="AL1292" s="117">
        <f>MAX(IF(AG1292&gt;0,IF('FA Addition'!$N1292="SLM",($AE1292-'FA Addition'!$M1292)*'FA Addition'!$P1292*AG1292/365,IFERROR(VDB(AE1292,AE1292*0.05,'FA Addition'!$O1292,0,YEARFRAC('FA Addition'!$C1292,$P$1-1,3),'FA Addition'!$Q1292),FAAddition[[#This Row],[Original Cost (Rs)]]-FAAddition[[#This Row],[Salvage Value]])),0),0)</f>
        <v>0</v>
      </c>
      <c r="AM1292" s="119"/>
      <c r="AN1292" s="117">
        <f>MAX(IF(AH1292&gt;0,IF('FA Addition'!$N1292="SLM",($AF1292-'FA Addition'!$M1292)*'FA Addition'!$P1292*AH1292/365,IFERROR(VDB(AF1292,AF1292*0.05,'FA Addition'!$O1292,0,YEARFRAC('FA Addition'!$C1292,$L$1,3),'FA Addition'!$Q1292),FAAddition[[#This Row],[Original Cost (Rs)]]-FAAddition[[#This Row],[Salvage Value]])),0),0)</f>
        <v>0</v>
      </c>
      <c r="AO1292" s="117">
        <f t="shared" si="103"/>
        <v>0</v>
      </c>
      <c r="AQ1292" s="117">
        <f t="shared" si="101"/>
        <v>0</v>
      </c>
      <c r="AR1292" s="120">
        <f t="shared" si="102"/>
        <v>0</v>
      </c>
      <c r="AS1292" s="121"/>
    </row>
    <row r="1293" spans="1:45" ht="13.5" x14ac:dyDescent="0.4">
      <c r="A1293" s="12">
        <f t="shared" si="104"/>
        <v>1290</v>
      </c>
      <c r="B1293" s="64" t="s">
        <v>1758</v>
      </c>
      <c r="C1293" s="54">
        <v>45860</v>
      </c>
      <c r="D1293" s="54">
        <v>45710</v>
      </c>
      <c r="E1293" s="46" t="s">
        <v>451</v>
      </c>
      <c r="F1293" s="51" t="s">
        <v>19</v>
      </c>
      <c r="G1293" s="51" t="s">
        <v>1919</v>
      </c>
      <c r="H1293" s="51" t="s">
        <v>209</v>
      </c>
      <c r="I1293" s="55" t="s">
        <v>2062</v>
      </c>
      <c r="J1293" s="56">
        <v>1</v>
      </c>
      <c r="K1293" s="51" t="s">
        <v>2063</v>
      </c>
      <c r="L1293" s="58">
        <v>560</v>
      </c>
      <c r="M1293" s="50">
        <f>ROUND('FA Addition'!$L1293*5%,0.1)</f>
        <v>28</v>
      </c>
      <c r="N1293" s="113" t="str">
        <f>_xlfn.XLOOKUP(_xlfn.CONCAT(E1293,B1293),'Year Wise Master Dep Approach'!F:F,'Year Wise Master Dep Approach'!D:D)</f>
        <v>WDV</v>
      </c>
      <c r="O1293" s="113">
        <f>_xlfn.XLOOKUP(_xlfn.CONCAT(E1293,B1293),'Year Wise Master Dep Approach'!F:F,'Year Wise Master Dep Approach'!E:E)</f>
        <v>3</v>
      </c>
      <c r="P1293" s="114">
        <f>IFERROR(IF('FA Addition'!$N1293="WDV",1-('FA Addition'!$M1293/'FA Addition'!$L1293)^(1/'FA Addition'!$O1293),1/'FA Addition'!$O1293),0)</f>
        <v>0.63159685013596123</v>
      </c>
      <c r="Q1293" s="122">
        <f>'FA Addition'!$P1293*'FA Addition'!$O1293</f>
        <v>1.8947905504078837</v>
      </c>
      <c r="R1293" s="122"/>
      <c r="S1293" s="116">
        <f>IF(AND(DATE(20&amp;LEFT(FAAddition[[#This Row],[FY]],2),4,1)&lt;$L$1+1,DATE(20&amp;LEFT(FAAddition[[#This Row],[FY]],2),4,1)&gt;$P$1-1),'FA Addition'!$J1293,0)</f>
        <v>0</v>
      </c>
      <c r="U1293" s="117">
        <f>S1293*'FA Addition'!$L1293/'FA Addition'!$J1293</f>
        <v>0</v>
      </c>
      <c r="W1293" s="116">
        <f>SUMIFS('FA Write off'!D:D,'FA Write off'!A:A,'FA Addition'!$A1293,'FA Write off'!C:C,"&lt;"&amp;'FA Addition'!$P$1)</f>
        <v>0</v>
      </c>
      <c r="Y1293" s="191">
        <f>IFERROR(W1293/'FA Addition'!$J1293*'FA Addition'!$L1293,0)</f>
        <v>0</v>
      </c>
      <c r="AA1293" s="116">
        <f>SUMIFS('FA Write off'!D:D,'FA Write off'!A:A,'FA Addition'!$A1293,'FA Write off'!C:C,"&lt;"&amp;'FA Addition'!$L$1+1,'FA Write off'!C:C,"&gt;"&amp;'FA Addition'!$L$1-365)</f>
        <v>0</v>
      </c>
      <c r="AC1293" s="118">
        <f>IFERROR(AA1293/'FA Addition'!$J1293*'FA Addition'!$L1293,0)</f>
        <v>0</v>
      </c>
      <c r="AE1293" s="117">
        <f>IF(AND('FA Addition'!$D1293&lt;$P$1+1,U1293=0),'FA Addition'!$L1293,0)-Y1293</f>
        <v>0</v>
      </c>
      <c r="AF1293" s="117">
        <f t="shared" si="100"/>
        <v>0</v>
      </c>
      <c r="AG1293" s="117">
        <f>MIN(MAX(+$P$1-'FA Addition'!$D1293,0),365*'FA Addition'!$O1293)</f>
        <v>0</v>
      </c>
      <c r="AH1293" s="117">
        <f>MIN(MAX($L$1-'FA Addition'!$D1293+1,0),365*'FA Addition'!$O1293)</f>
        <v>0</v>
      </c>
      <c r="AI1293" s="117" cm="1">
        <f t="array" ref="AI1293">_xlfn.XLOOKUP(1,('FA Write off'!A:A='FA Addition'!$A1293)*('FA Write off'!D:D=AA1293),'FA Write off'!H:H,0,0)</f>
        <v>0</v>
      </c>
      <c r="AJ1293" s="117">
        <f>IF(AC1293&gt;0,MAX(IF('FA Addition'!$N1293="SLM",($AC1293-'FA Addition'!$M1293)*'FA Addition'!$P1293*AI1293/365,(AC1293-'FA Addition'!$M1293)*(1-(1-'FA Addition'!$P1293)^(AI1293/365))),0),0)</f>
        <v>0</v>
      </c>
      <c r="AL1293" s="117">
        <f>MAX(IF(AG1293&gt;0,IF('FA Addition'!$N1293="SLM",($AE1293-'FA Addition'!$M1293)*'FA Addition'!$P1293*AG1293/365,IFERROR(VDB(AE1293,AE1293*0.05,'FA Addition'!$O1293,0,YEARFRAC('FA Addition'!$C1293,$P$1-1,3),'FA Addition'!$Q1293),FAAddition[[#This Row],[Original Cost (Rs)]]-FAAddition[[#This Row],[Salvage Value]])),0),0)</f>
        <v>0</v>
      </c>
      <c r="AM1293" s="119"/>
      <c r="AN1293" s="117">
        <f>MAX(IF(AH1293&gt;0,IF('FA Addition'!$N1293="SLM",($AF1293-'FA Addition'!$M1293)*'FA Addition'!$P1293*AH1293/365,IFERROR(VDB(AF1293,AF1293*0.05,'FA Addition'!$O1293,0,YEARFRAC('FA Addition'!$C1293,$L$1,3),'FA Addition'!$Q1293),FAAddition[[#This Row],[Original Cost (Rs)]]-FAAddition[[#This Row],[Salvage Value]])),0),0)</f>
        <v>0</v>
      </c>
      <c r="AO1293" s="117">
        <f t="shared" si="103"/>
        <v>0</v>
      </c>
      <c r="AQ1293" s="117">
        <f t="shared" si="101"/>
        <v>0</v>
      </c>
      <c r="AR1293" s="120">
        <f t="shared" si="102"/>
        <v>0</v>
      </c>
      <c r="AS1293" s="121"/>
    </row>
    <row r="1294" spans="1:45" ht="13.5" x14ac:dyDescent="0.4">
      <c r="A1294" s="12">
        <f t="shared" si="104"/>
        <v>1291</v>
      </c>
      <c r="B1294" s="64" t="s">
        <v>1758</v>
      </c>
      <c r="C1294" s="54">
        <v>45860</v>
      </c>
      <c r="D1294" s="54">
        <v>45710</v>
      </c>
      <c r="E1294" s="46" t="s">
        <v>451</v>
      </c>
      <c r="F1294" s="51" t="s">
        <v>19</v>
      </c>
      <c r="G1294" s="51" t="s">
        <v>1919</v>
      </c>
      <c r="H1294" s="51" t="s">
        <v>209</v>
      </c>
      <c r="I1294" s="55" t="s">
        <v>2062</v>
      </c>
      <c r="J1294" s="56">
        <v>1</v>
      </c>
      <c r="K1294" s="51" t="s">
        <v>2063</v>
      </c>
      <c r="L1294" s="58">
        <v>560</v>
      </c>
      <c r="M1294" s="50">
        <f>ROUND('FA Addition'!$L1294*5%,0.1)</f>
        <v>28</v>
      </c>
      <c r="N1294" s="113" t="str">
        <f>_xlfn.XLOOKUP(_xlfn.CONCAT(E1294,B1294),'Year Wise Master Dep Approach'!F:F,'Year Wise Master Dep Approach'!D:D)</f>
        <v>WDV</v>
      </c>
      <c r="O1294" s="113">
        <f>_xlfn.XLOOKUP(_xlfn.CONCAT(E1294,B1294),'Year Wise Master Dep Approach'!F:F,'Year Wise Master Dep Approach'!E:E)</f>
        <v>3</v>
      </c>
      <c r="P1294" s="114">
        <f>IFERROR(IF('FA Addition'!$N1294="WDV",1-('FA Addition'!$M1294/'FA Addition'!$L1294)^(1/'FA Addition'!$O1294),1/'FA Addition'!$O1294),0)</f>
        <v>0.63159685013596123</v>
      </c>
      <c r="Q1294" s="122">
        <f>'FA Addition'!$P1294*'FA Addition'!$O1294</f>
        <v>1.8947905504078837</v>
      </c>
      <c r="R1294" s="122"/>
      <c r="S1294" s="116">
        <f>IF(AND(DATE(20&amp;LEFT(FAAddition[[#This Row],[FY]],2),4,1)&lt;$L$1+1,DATE(20&amp;LEFT(FAAddition[[#This Row],[FY]],2),4,1)&gt;$P$1-1),'FA Addition'!$J1294,0)</f>
        <v>0</v>
      </c>
      <c r="U1294" s="117">
        <f>S1294*'FA Addition'!$L1294/'FA Addition'!$J1294</f>
        <v>0</v>
      </c>
      <c r="W1294" s="116">
        <f>SUMIFS('FA Write off'!D:D,'FA Write off'!A:A,'FA Addition'!$A1294,'FA Write off'!C:C,"&lt;"&amp;'FA Addition'!$P$1)</f>
        <v>0</v>
      </c>
      <c r="Y1294" s="191">
        <f>IFERROR(W1294/'FA Addition'!$J1294*'FA Addition'!$L1294,0)</f>
        <v>0</v>
      </c>
      <c r="AA1294" s="116">
        <f>SUMIFS('FA Write off'!D:D,'FA Write off'!A:A,'FA Addition'!$A1294,'FA Write off'!C:C,"&lt;"&amp;'FA Addition'!$L$1+1,'FA Write off'!C:C,"&gt;"&amp;'FA Addition'!$L$1-365)</f>
        <v>0</v>
      </c>
      <c r="AC1294" s="118">
        <f>IFERROR(AA1294/'FA Addition'!$J1294*'FA Addition'!$L1294,0)</f>
        <v>0</v>
      </c>
      <c r="AE1294" s="117">
        <f>IF(AND('FA Addition'!$D1294&lt;$P$1+1,U1294=0),'FA Addition'!$L1294,0)-Y1294</f>
        <v>0</v>
      </c>
      <c r="AF1294" s="117">
        <f t="shared" si="100"/>
        <v>0</v>
      </c>
      <c r="AG1294" s="117">
        <f>MIN(MAX(+$P$1-'FA Addition'!$D1294,0),365*'FA Addition'!$O1294)</f>
        <v>0</v>
      </c>
      <c r="AH1294" s="117">
        <f>MIN(MAX($L$1-'FA Addition'!$D1294+1,0),365*'FA Addition'!$O1294)</f>
        <v>0</v>
      </c>
      <c r="AI1294" s="117" cm="1">
        <f t="array" ref="AI1294">_xlfn.XLOOKUP(1,('FA Write off'!A:A='FA Addition'!$A1294)*('FA Write off'!D:D=AA1294),'FA Write off'!H:H,0,0)</f>
        <v>0</v>
      </c>
      <c r="AJ1294" s="117">
        <f>IF(AC1294&gt;0,MAX(IF('FA Addition'!$N1294="SLM",($AC1294-'FA Addition'!$M1294)*'FA Addition'!$P1294*AI1294/365,(AC1294-'FA Addition'!$M1294)*(1-(1-'FA Addition'!$P1294)^(AI1294/365))),0),0)</f>
        <v>0</v>
      </c>
      <c r="AL1294" s="117">
        <f>MAX(IF(AG1294&gt;0,IF('FA Addition'!$N1294="SLM",($AE1294-'FA Addition'!$M1294)*'FA Addition'!$P1294*AG1294/365,IFERROR(VDB(AE1294,AE1294*0.05,'FA Addition'!$O1294,0,YEARFRAC('FA Addition'!$C1294,$P$1-1,3),'FA Addition'!$Q1294),FAAddition[[#This Row],[Original Cost (Rs)]]-FAAddition[[#This Row],[Salvage Value]])),0),0)</f>
        <v>0</v>
      </c>
      <c r="AM1294" s="119"/>
      <c r="AN1294" s="117">
        <f>MAX(IF(AH1294&gt;0,IF('FA Addition'!$N1294="SLM",($AF1294-'FA Addition'!$M1294)*'FA Addition'!$P1294*AH1294/365,IFERROR(VDB(AF1294,AF1294*0.05,'FA Addition'!$O1294,0,YEARFRAC('FA Addition'!$C1294,$L$1,3),'FA Addition'!$Q1294),FAAddition[[#This Row],[Original Cost (Rs)]]-FAAddition[[#This Row],[Salvage Value]])),0),0)</f>
        <v>0</v>
      </c>
      <c r="AO1294" s="117">
        <f t="shared" si="103"/>
        <v>0</v>
      </c>
      <c r="AQ1294" s="117">
        <f t="shared" si="101"/>
        <v>0</v>
      </c>
      <c r="AR1294" s="120">
        <f t="shared" si="102"/>
        <v>0</v>
      </c>
      <c r="AS1294" s="121"/>
    </row>
    <row r="1295" spans="1:45" ht="13.5" x14ac:dyDescent="0.4">
      <c r="A1295" s="12">
        <f t="shared" si="104"/>
        <v>1292</v>
      </c>
      <c r="B1295" s="64" t="s">
        <v>1758</v>
      </c>
      <c r="C1295" s="54">
        <v>45860</v>
      </c>
      <c r="D1295" s="54">
        <v>45710</v>
      </c>
      <c r="E1295" s="46" t="s">
        <v>451</v>
      </c>
      <c r="F1295" s="51" t="s">
        <v>19</v>
      </c>
      <c r="G1295" s="51" t="s">
        <v>1919</v>
      </c>
      <c r="H1295" s="51" t="s">
        <v>209</v>
      </c>
      <c r="I1295" s="55" t="s">
        <v>2062</v>
      </c>
      <c r="J1295" s="56">
        <v>1</v>
      </c>
      <c r="K1295" s="51" t="s">
        <v>2063</v>
      </c>
      <c r="L1295" s="58">
        <v>560</v>
      </c>
      <c r="M1295" s="50">
        <f>ROUND('FA Addition'!$L1295*5%,0.1)</f>
        <v>28</v>
      </c>
      <c r="N1295" s="113" t="str">
        <f>_xlfn.XLOOKUP(_xlfn.CONCAT(E1295,B1295),'Year Wise Master Dep Approach'!F:F,'Year Wise Master Dep Approach'!D:D)</f>
        <v>WDV</v>
      </c>
      <c r="O1295" s="113">
        <f>_xlfn.XLOOKUP(_xlfn.CONCAT(E1295,B1295),'Year Wise Master Dep Approach'!F:F,'Year Wise Master Dep Approach'!E:E)</f>
        <v>3</v>
      </c>
      <c r="P1295" s="114">
        <f>IFERROR(IF('FA Addition'!$N1295="WDV",1-('FA Addition'!$M1295/'FA Addition'!$L1295)^(1/'FA Addition'!$O1295),1/'FA Addition'!$O1295),0)</f>
        <v>0.63159685013596123</v>
      </c>
      <c r="Q1295" s="122">
        <f>'FA Addition'!$P1295*'FA Addition'!$O1295</f>
        <v>1.8947905504078837</v>
      </c>
      <c r="R1295" s="122"/>
      <c r="S1295" s="116">
        <f>IF(AND(DATE(20&amp;LEFT(FAAddition[[#This Row],[FY]],2),4,1)&lt;$L$1+1,DATE(20&amp;LEFT(FAAddition[[#This Row],[FY]],2),4,1)&gt;$P$1-1),'FA Addition'!$J1295,0)</f>
        <v>0</v>
      </c>
      <c r="U1295" s="117">
        <f>S1295*'FA Addition'!$L1295/'FA Addition'!$J1295</f>
        <v>0</v>
      </c>
      <c r="W1295" s="116">
        <f>SUMIFS('FA Write off'!D:D,'FA Write off'!A:A,'FA Addition'!$A1295,'FA Write off'!C:C,"&lt;"&amp;'FA Addition'!$P$1)</f>
        <v>0</v>
      </c>
      <c r="Y1295" s="191">
        <f>IFERROR(W1295/'FA Addition'!$J1295*'FA Addition'!$L1295,0)</f>
        <v>0</v>
      </c>
      <c r="AA1295" s="116">
        <f>SUMIFS('FA Write off'!D:D,'FA Write off'!A:A,'FA Addition'!$A1295,'FA Write off'!C:C,"&lt;"&amp;'FA Addition'!$L$1+1,'FA Write off'!C:C,"&gt;"&amp;'FA Addition'!$L$1-365)</f>
        <v>0</v>
      </c>
      <c r="AC1295" s="118">
        <f>IFERROR(AA1295/'FA Addition'!$J1295*'FA Addition'!$L1295,0)</f>
        <v>0</v>
      </c>
      <c r="AE1295" s="117">
        <f>IF(AND('FA Addition'!$D1295&lt;$P$1+1,U1295=0),'FA Addition'!$L1295,0)-Y1295</f>
        <v>0</v>
      </c>
      <c r="AF1295" s="117">
        <f t="shared" si="100"/>
        <v>0</v>
      </c>
      <c r="AG1295" s="117">
        <f>MIN(MAX(+$P$1-'FA Addition'!$D1295,0),365*'FA Addition'!$O1295)</f>
        <v>0</v>
      </c>
      <c r="AH1295" s="117">
        <f>MIN(MAX($L$1-'FA Addition'!$D1295+1,0),365*'FA Addition'!$O1295)</f>
        <v>0</v>
      </c>
      <c r="AI1295" s="117" cm="1">
        <f t="array" ref="AI1295">_xlfn.XLOOKUP(1,('FA Write off'!A:A='FA Addition'!$A1295)*('FA Write off'!D:D=AA1295),'FA Write off'!H:H,0,0)</f>
        <v>0</v>
      </c>
      <c r="AJ1295" s="117">
        <f>IF(AC1295&gt;0,MAX(IF('FA Addition'!$N1295="SLM",($AC1295-'FA Addition'!$M1295)*'FA Addition'!$P1295*AI1295/365,(AC1295-'FA Addition'!$M1295)*(1-(1-'FA Addition'!$P1295)^(AI1295/365))),0),0)</f>
        <v>0</v>
      </c>
      <c r="AL1295" s="117">
        <f>MAX(IF(AG1295&gt;0,IF('FA Addition'!$N1295="SLM",($AE1295-'FA Addition'!$M1295)*'FA Addition'!$P1295*AG1295/365,IFERROR(VDB(AE1295,AE1295*0.05,'FA Addition'!$O1295,0,YEARFRAC('FA Addition'!$C1295,$P$1-1,3),'FA Addition'!$Q1295),FAAddition[[#This Row],[Original Cost (Rs)]]-FAAddition[[#This Row],[Salvage Value]])),0),0)</f>
        <v>0</v>
      </c>
      <c r="AM1295" s="119"/>
      <c r="AN1295" s="117">
        <f>MAX(IF(AH1295&gt;0,IF('FA Addition'!$N1295="SLM",($AF1295-'FA Addition'!$M1295)*'FA Addition'!$P1295*AH1295/365,IFERROR(VDB(AF1295,AF1295*0.05,'FA Addition'!$O1295,0,YEARFRAC('FA Addition'!$C1295,$L$1,3),'FA Addition'!$Q1295),FAAddition[[#This Row],[Original Cost (Rs)]]-FAAddition[[#This Row],[Salvage Value]])),0),0)</f>
        <v>0</v>
      </c>
      <c r="AO1295" s="117">
        <f t="shared" si="103"/>
        <v>0</v>
      </c>
      <c r="AQ1295" s="117">
        <f t="shared" si="101"/>
        <v>0</v>
      </c>
      <c r="AR1295" s="120">
        <f t="shared" si="102"/>
        <v>0</v>
      </c>
      <c r="AS1295" s="121"/>
    </row>
    <row r="1296" spans="1:45" ht="13.5" x14ac:dyDescent="0.4">
      <c r="A1296" s="12">
        <f t="shared" si="104"/>
        <v>1293</v>
      </c>
      <c r="B1296" s="64" t="s">
        <v>1758</v>
      </c>
      <c r="C1296" s="54">
        <v>45860</v>
      </c>
      <c r="D1296" s="54">
        <v>45710</v>
      </c>
      <c r="E1296" s="46" t="s">
        <v>451</v>
      </c>
      <c r="F1296" s="51" t="s">
        <v>19</v>
      </c>
      <c r="G1296" s="51" t="s">
        <v>1919</v>
      </c>
      <c r="H1296" s="51" t="s">
        <v>209</v>
      </c>
      <c r="I1296" s="55" t="s">
        <v>2062</v>
      </c>
      <c r="J1296" s="56">
        <v>1</v>
      </c>
      <c r="K1296" s="51" t="s">
        <v>2063</v>
      </c>
      <c r="L1296" s="58">
        <v>560</v>
      </c>
      <c r="M1296" s="50">
        <f>ROUND('FA Addition'!$L1296*5%,0.1)</f>
        <v>28</v>
      </c>
      <c r="N1296" s="113" t="str">
        <f>_xlfn.XLOOKUP(_xlfn.CONCAT(E1296,B1296),'Year Wise Master Dep Approach'!F:F,'Year Wise Master Dep Approach'!D:D)</f>
        <v>WDV</v>
      </c>
      <c r="O1296" s="113">
        <f>_xlfn.XLOOKUP(_xlfn.CONCAT(E1296,B1296),'Year Wise Master Dep Approach'!F:F,'Year Wise Master Dep Approach'!E:E)</f>
        <v>3</v>
      </c>
      <c r="P1296" s="114">
        <f>IFERROR(IF('FA Addition'!$N1296="WDV",1-('FA Addition'!$M1296/'FA Addition'!$L1296)^(1/'FA Addition'!$O1296),1/'FA Addition'!$O1296),0)</f>
        <v>0.63159685013596123</v>
      </c>
      <c r="Q1296" s="122">
        <f>'FA Addition'!$P1296*'FA Addition'!$O1296</f>
        <v>1.8947905504078837</v>
      </c>
      <c r="R1296" s="122"/>
      <c r="S1296" s="116">
        <f>IF(AND(DATE(20&amp;LEFT(FAAddition[[#This Row],[FY]],2),4,1)&lt;$L$1+1,DATE(20&amp;LEFT(FAAddition[[#This Row],[FY]],2),4,1)&gt;$P$1-1),'FA Addition'!$J1296,0)</f>
        <v>0</v>
      </c>
      <c r="U1296" s="117">
        <f>S1296*'FA Addition'!$L1296/'FA Addition'!$J1296</f>
        <v>0</v>
      </c>
      <c r="W1296" s="116">
        <f>SUMIFS('FA Write off'!D:D,'FA Write off'!A:A,'FA Addition'!$A1296,'FA Write off'!C:C,"&lt;"&amp;'FA Addition'!$P$1)</f>
        <v>0</v>
      </c>
      <c r="Y1296" s="191">
        <f>IFERROR(W1296/'FA Addition'!$J1296*'FA Addition'!$L1296,0)</f>
        <v>0</v>
      </c>
      <c r="AA1296" s="116">
        <f>SUMIFS('FA Write off'!D:D,'FA Write off'!A:A,'FA Addition'!$A1296,'FA Write off'!C:C,"&lt;"&amp;'FA Addition'!$L$1+1,'FA Write off'!C:C,"&gt;"&amp;'FA Addition'!$L$1-365)</f>
        <v>0</v>
      </c>
      <c r="AC1296" s="118">
        <f>IFERROR(AA1296/'FA Addition'!$J1296*'FA Addition'!$L1296,0)</f>
        <v>0</v>
      </c>
      <c r="AE1296" s="117">
        <f>IF(AND('FA Addition'!$D1296&lt;$P$1+1,U1296=0),'FA Addition'!$L1296,0)-Y1296</f>
        <v>0</v>
      </c>
      <c r="AF1296" s="117">
        <f t="shared" si="100"/>
        <v>0</v>
      </c>
      <c r="AG1296" s="117">
        <f>MIN(MAX(+$P$1-'FA Addition'!$D1296,0),365*'FA Addition'!$O1296)</f>
        <v>0</v>
      </c>
      <c r="AH1296" s="117">
        <f>MIN(MAX($L$1-'FA Addition'!$D1296+1,0),365*'FA Addition'!$O1296)</f>
        <v>0</v>
      </c>
      <c r="AI1296" s="117" cm="1">
        <f t="array" ref="AI1296">_xlfn.XLOOKUP(1,('FA Write off'!A:A='FA Addition'!$A1296)*('FA Write off'!D:D=AA1296),'FA Write off'!H:H,0,0)</f>
        <v>0</v>
      </c>
      <c r="AJ1296" s="117">
        <f>IF(AC1296&gt;0,MAX(IF('FA Addition'!$N1296="SLM",($AC1296-'FA Addition'!$M1296)*'FA Addition'!$P1296*AI1296/365,(AC1296-'FA Addition'!$M1296)*(1-(1-'FA Addition'!$P1296)^(AI1296/365))),0),0)</f>
        <v>0</v>
      </c>
      <c r="AL1296" s="117">
        <f>MAX(IF(AG1296&gt;0,IF('FA Addition'!$N1296="SLM",($AE1296-'FA Addition'!$M1296)*'FA Addition'!$P1296*AG1296/365,IFERROR(VDB(AE1296,AE1296*0.05,'FA Addition'!$O1296,0,YEARFRAC('FA Addition'!$C1296,$P$1-1,3),'FA Addition'!$Q1296),FAAddition[[#This Row],[Original Cost (Rs)]]-FAAddition[[#This Row],[Salvage Value]])),0),0)</f>
        <v>0</v>
      </c>
      <c r="AM1296" s="119"/>
      <c r="AN1296" s="117">
        <f>MAX(IF(AH1296&gt;0,IF('FA Addition'!$N1296="SLM",($AF1296-'FA Addition'!$M1296)*'FA Addition'!$P1296*AH1296/365,IFERROR(VDB(AF1296,AF1296*0.05,'FA Addition'!$O1296,0,YEARFRAC('FA Addition'!$C1296,$L$1,3),'FA Addition'!$Q1296),FAAddition[[#This Row],[Original Cost (Rs)]]-FAAddition[[#This Row],[Salvage Value]])),0),0)</f>
        <v>0</v>
      </c>
      <c r="AO1296" s="117">
        <f t="shared" si="103"/>
        <v>0</v>
      </c>
      <c r="AQ1296" s="117">
        <f t="shared" si="101"/>
        <v>0</v>
      </c>
      <c r="AR1296" s="120">
        <f t="shared" si="102"/>
        <v>0</v>
      </c>
      <c r="AS1296" s="121"/>
    </row>
    <row r="1297" spans="1:45" ht="13.5" x14ac:dyDescent="0.4">
      <c r="A1297" s="12">
        <f t="shared" si="104"/>
        <v>1294</v>
      </c>
      <c r="B1297" s="64" t="s">
        <v>1758</v>
      </c>
      <c r="C1297" s="54">
        <v>45860</v>
      </c>
      <c r="D1297" s="54">
        <v>45710</v>
      </c>
      <c r="E1297" s="46" t="s">
        <v>451</v>
      </c>
      <c r="F1297" s="51" t="s">
        <v>19</v>
      </c>
      <c r="G1297" s="51" t="s">
        <v>1919</v>
      </c>
      <c r="H1297" s="51" t="s">
        <v>209</v>
      </c>
      <c r="I1297" s="55" t="s">
        <v>2062</v>
      </c>
      <c r="J1297" s="56">
        <v>1</v>
      </c>
      <c r="K1297" s="51" t="s">
        <v>2063</v>
      </c>
      <c r="L1297" s="58">
        <v>560</v>
      </c>
      <c r="M1297" s="50">
        <f>ROUND('FA Addition'!$L1297*5%,0.1)</f>
        <v>28</v>
      </c>
      <c r="N1297" s="113" t="str">
        <f>_xlfn.XLOOKUP(_xlfn.CONCAT(E1297,B1297),'Year Wise Master Dep Approach'!F:F,'Year Wise Master Dep Approach'!D:D)</f>
        <v>WDV</v>
      </c>
      <c r="O1297" s="113">
        <f>_xlfn.XLOOKUP(_xlfn.CONCAT(E1297,B1297),'Year Wise Master Dep Approach'!F:F,'Year Wise Master Dep Approach'!E:E)</f>
        <v>3</v>
      </c>
      <c r="P1297" s="114">
        <f>IFERROR(IF('FA Addition'!$N1297="WDV",1-('FA Addition'!$M1297/'FA Addition'!$L1297)^(1/'FA Addition'!$O1297),1/'FA Addition'!$O1297),0)</f>
        <v>0.63159685013596123</v>
      </c>
      <c r="Q1297" s="122">
        <f>'FA Addition'!$P1297*'FA Addition'!$O1297</f>
        <v>1.8947905504078837</v>
      </c>
      <c r="R1297" s="122"/>
      <c r="S1297" s="116">
        <f>IF(AND(DATE(20&amp;LEFT(FAAddition[[#This Row],[FY]],2),4,1)&lt;$L$1+1,DATE(20&amp;LEFT(FAAddition[[#This Row],[FY]],2),4,1)&gt;$P$1-1),'FA Addition'!$J1297,0)</f>
        <v>0</v>
      </c>
      <c r="U1297" s="117">
        <f>S1297*'FA Addition'!$L1297/'FA Addition'!$J1297</f>
        <v>0</v>
      </c>
      <c r="W1297" s="116">
        <f>SUMIFS('FA Write off'!D:D,'FA Write off'!A:A,'FA Addition'!$A1297,'FA Write off'!C:C,"&lt;"&amp;'FA Addition'!$P$1)</f>
        <v>0</v>
      </c>
      <c r="Y1297" s="191">
        <f>IFERROR(W1297/'FA Addition'!$J1297*'FA Addition'!$L1297,0)</f>
        <v>0</v>
      </c>
      <c r="AA1297" s="116">
        <f>SUMIFS('FA Write off'!D:D,'FA Write off'!A:A,'FA Addition'!$A1297,'FA Write off'!C:C,"&lt;"&amp;'FA Addition'!$L$1+1,'FA Write off'!C:C,"&gt;"&amp;'FA Addition'!$L$1-365)</f>
        <v>0</v>
      </c>
      <c r="AC1297" s="118">
        <f>IFERROR(AA1297/'FA Addition'!$J1297*'FA Addition'!$L1297,0)</f>
        <v>0</v>
      </c>
      <c r="AE1297" s="117">
        <f>IF(AND('FA Addition'!$D1297&lt;$P$1+1,U1297=0),'FA Addition'!$L1297,0)-Y1297</f>
        <v>0</v>
      </c>
      <c r="AF1297" s="117">
        <f t="shared" si="100"/>
        <v>0</v>
      </c>
      <c r="AG1297" s="117">
        <f>MIN(MAX(+$P$1-'FA Addition'!$D1297,0),365*'FA Addition'!$O1297)</f>
        <v>0</v>
      </c>
      <c r="AH1297" s="117">
        <f>MIN(MAX($L$1-'FA Addition'!$D1297+1,0),365*'FA Addition'!$O1297)</f>
        <v>0</v>
      </c>
      <c r="AI1297" s="117" cm="1">
        <f t="array" ref="AI1297">_xlfn.XLOOKUP(1,('FA Write off'!A:A='FA Addition'!$A1297)*('FA Write off'!D:D=AA1297),'FA Write off'!H:H,0,0)</f>
        <v>0</v>
      </c>
      <c r="AJ1297" s="117">
        <f>IF(AC1297&gt;0,MAX(IF('FA Addition'!$N1297="SLM",($AC1297-'FA Addition'!$M1297)*'FA Addition'!$P1297*AI1297/365,(AC1297-'FA Addition'!$M1297)*(1-(1-'FA Addition'!$P1297)^(AI1297/365))),0),0)</f>
        <v>0</v>
      </c>
      <c r="AL1297" s="117">
        <f>MAX(IF(AG1297&gt;0,IF('FA Addition'!$N1297="SLM",($AE1297-'FA Addition'!$M1297)*'FA Addition'!$P1297*AG1297/365,IFERROR(VDB(AE1297,AE1297*0.05,'FA Addition'!$O1297,0,YEARFRAC('FA Addition'!$C1297,$P$1-1,3),'FA Addition'!$Q1297),FAAddition[[#This Row],[Original Cost (Rs)]]-FAAddition[[#This Row],[Salvage Value]])),0),0)</f>
        <v>0</v>
      </c>
      <c r="AM1297" s="119"/>
      <c r="AN1297" s="117">
        <f>MAX(IF(AH1297&gt;0,IF('FA Addition'!$N1297="SLM",($AF1297-'FA Addition'!$M1297)*'FA Addition'!$P1297*AH1297/365,IFERROR(VDB(AF1297,AF1297*0.05,'FA Addition'!$O1297,0,YEARFRAC('FA Addition'!$C1297,$L$1,3),'FA Addition'!$Q1297),FAAddition[[#This Row],[Original Cost (Rs)]]-FAAddition[[#This Row],[Salvage Value]])),0),0)</f>
        <v>0</v>
      </c>
      <c r="AO1297" s="117">
        <f t="shared" si="103"/>
        <v>0</v>
      </c>
      <c r="AQ1297" s="117">
        <f t="shared" si="101"/>
        <v>0</v>
      </c>
      <c r="AR1297" s="120">
        <f t="shared" si="102"/>
        <v>0</v>
      </c>
      <c r="AS1297" s="121"/>
    </row>
    <row r="1298" spans="1:45" ht="13.5" x14ac:dyDescent="0.4">
      <c r="A1298" s="12">
        <f t="shared" si="104"/>
        <v>1295</v>
      </c>
      <c r="B1298" s="64" t="s">
        <v>1758</v>
      </c>
      <c r="C1298" s="54">
        <v>45708</v>
      </c>
      <c r="D1298" s="54">
        <v>45710</v>
      </c>
      <c r="E1298" s="46" t="s">
        <v>1320</v>
      </c>
      <c r="F1298" s="51" t="s">
        <v>33</v>
      </c>
      <c r="G1298" s="51" t="s">
        <v>34</v>
      </c>
      <c r="H1298" s="51" t="s">
        <v>32</v>
      </c>
      <c r="I1298" s="55" t="s">
        <v>2064</v>
      </c>
      <c r="J1298" s="56">
        <v>800</v>
      </c>
      <c r="K1298" s="51" t="s">
        <v>295</v>
      </c>
      <c r="L1298" s="58">
        <v>1332000</v>
      </c>
      <c r="M1298" s="50">
        <f>ROUND('FA Addition'!$L1298*5%,0.1)</f>
        <v>66600</v>
      </c>
      <c r="N1298" s="113" t="str">
        <f>_xlfn.XLOOKUP(_xlfn.CONCAT(E1298,B1298),'Year Wise Master Dep Approach'!F:F,'Year Wise Master Dep Approach'!D:D)</f>
        <v>SLM</v>
      </c>
      <c r="O1298" s="113">
        <f>_xlfn.XLOOKUP(_xlfn.CONCAT(E1298,B1298),'Year Wise Master Dep Approach'!F:F,'Year Wise Master Dep Approach'!E:E)</f>
        <v>5</v>
      </c>
      <c r="P1298" s="114">
        <f>IFERROR(IF('FA Addition'!$N1298="WDV",1-('FA Addition'!$M1298/'FA Addition'!$L1298)^(1/'FA Addition'!$O1298),1/'FA Addition'!$O1298),0)</f>
        <v>0.2</v>
      </c>
      <c r="Q1298" s="122">
        <f>'FA Addition'!$P1298*'FA Addition'!$O1298</f>
        <v>1</v>
      </c>
      <c r="R1298" s="122"/>
      <c r="S1298" s="116">
        <f>IF(AND(DATE(20&amp;LEFT(FAAddition[[#This Row],[FY]],2),4,1)&lt;$L$1+1,DATE(20&amp;LEFT(FAAddition[[#This Row],[FY]],2),4,1)&gt;$P$1-1),'FA Addition'!$J1298,0)</f>
        <v>0</v>
      </c>
      <c r="U1298" s="117">
        <f>S1298*'FA Addition'!$L1298/'FA Addition'!$J1298</f>
        <v>0</v>
      </c>
      <c r="W1298" s="116">
        <f>SUMIFS('FA Write off'!D:D,'FA Write off'!A:A,'FA Addition'!$A1298,'FA Write off'!C:C,"&lt;"&amp;'FA Addition'!$P$1)</f>
        <v>0</v>
      </c>
      <c r="Y1298" s="191">
        <f>IFERROR(W1298/'FA Addition'!$J1298*'FA Addition'!$L1298,0)</f>
        <v>0</v>
      </c>
      <c r="AA1298" s="116">
        <f>SUMIFS('FA Write off'!D:D,'FA Write off'!A:A,'FA Addition'!$A1298,'FA Write off'!C:C,"&lt;"&amp;'FA Addition'!$L$1+1,'FA Write off'!C:C,"&gt;"&amp;'FA Addition'!$L$1-365)</f>
        <v>0</v>
      </c>
      <c r="AC1298" s="118">
        <f>IFERROR(AA1298/'FA Addition'!$J1298*'FA Addition'!$L1298,0)</f>
        <v>0</v>
      </c>
      <c r="AE1298" s="117">
        <f>IF(AND('FA Addition'!$D1298&lt;$P$1+1,U1298=0),'FA Addition'!$L1298,0)-Y1298</f>
        <v>0</v>
      </c>
      <c r="AF1298" s="117">
        <f t="shared" si="100"/>
        <v>0</v>
      </c>
      <c r="AG1298" s="117">
        <f>MIN(MAX(+$P$1-'FA Addition'!$D1298,0),365*'FA Addition'!$O1298)</f>
        <v>0</v>
      </c>
      <c r="AH1298" s="117">
        <f>MIN(MAX($L$1-'FA Addition'!$D1298+1,0),365*'FA Addition'!$O1298)</f>
        <v>0</v>
      </c>
      <c r="AI1298" s="117" cm="1">
        <f t="array" ref="AI1298">_xlfn.XLOOKUP(1,('FA Write off'!A:A='FA Addition'!$A1298)*('FA Write off'!D:D=AA1298),'FA Write off'!H:H,0,0)</f>
        <v>0</v>
      </c>
      <c r="AJ1298" s="117">
        <f>IF(AC1298&gt;0,MAX(IF('FA Addition'!$N1298="SLM",($AC1298-'FA Addition'!$M1298)*'FA Addition'!$P1298*AI1298/365,(AC1298-'FA Addition'!$M1298)*(1-(1-'FA Addition'!$P1298)^(AI1298/365))),0),0)</f>
        <v>0</v>
      </c>
      <c r="AL1298" s="117">
        <f>MAX(IF(AG1298&gt;0,IF('FA Addition'!$N1298="SLM",($AE1298-'FA Addition'!$M1298)*'FA Addition'!$P1298*AG1298/365,IFERROR(VDB(AE1298,AE1298*0.05,'FA Addition'!$O1298,0,YEARFRAC('FA Addition'!$C1298,$P$1-1,3),'FA Addition'!$Q1298),FAAddition[[#This Row],[Original Cost (Rs)]]-FAAddition[[#This Row],[Salvage Value]])),0),0)</f>
        <v>0</v>
      </c>
      <c r="AM1298" s="119"/>
      <c r="AN1298" s="117">
        <f>MAX(IF(AH1298&gt;0,IF('FA Addition'!$N1298="SLM",($AF1298-'FA Addition'!$M1298)*'FA Addition'!$P1298*AH1298/365,IFERROR(VDB(AF1298,AF1298*0.05,'FA Addition'!$O1298,0,YEARFRAC('FA Addition'!$C1298,$L$1,3),'FA Addition'!$Q1298),FAAddition[[#This Row],[Original Cost (Rs)]]-FAAddition[[#This Row],[Salvage Value]])),0),0)</f>
        <v>0</v>
      </c>
      <c r="AO1298" s="117">
        <f t="shared" si="103"/>
        <v>0</v>
      </c>
      <c r="AQ1298" s="117">
        <f t="shared" si="101"/>
        <v>0</v>
      </c>
      <c r="AR1298" s="120">
        <f t="shared" si="102"/>
        <v>0</v>
      </c>
      <c r="AS1298" s="121"/>
    </row>
    <row r="1299" spans="1:45" ht="13.5" x14ac:dyDescent="0.4">
      <c r="A1299" s="12">
        <f t="shared" si="104"/>
        <v>1296</v>
      </c>
      <c r="B1299" s="64" t="s">
        <v>1758</v>
      </c>
      <c r="C1299" s="54">
        <v>45715</v>
      </c>
      <c r="D1299" s="54">
        <v>45715</v>
      </c>
      <c r="E1299" s="46" t="s">
        <v>1320</v>
      </c>
      <c r="F1299" s="51" t="s">
        <v>33</v>
      </c>
      <c r="G1299" s="51" t="s">
        <v>34</v>
      </c>
      <c r="H1299" s="51" t="s">
        <v>32</v>
      </c>
      <c r="I1299" s="55" t="s">
        <v>2065</v>
      </c>
      <c r="J1299" s="56">
        <v>700</v>
      </c>
      <c r="K1299" s="51" t="s">
        <v>295</v>
      </c>
      <c r="L1299" s="58">
        <v>1165500</v>
      </c>
      <c r="M1299" s="50">
        <f>ROUND('FA Addition'!$L1299*5%,0.1)</f>
        <v>58275</v>
      </c>
      <c r="N1299" s="113" t="str">
        <f>_xlfn.XLOOKUP(_xlfn.CONCAT(E1299,B1299),'Year Wise Master Dep Approach'!F:F,'Year Wise Master Dep Approach'!D:D)</f>
        <v>SLM</v>
      </c>
      <c r="O1299" s="113">
        <f>_xlfn.XLOOKUP(_xlfn.CONCAT(E1299,B1299),'Year Wise Master Dep Approach'!F:F,'Year Wise Master Dep Approach'!E:E)</f>
        <v>5</v>
      </c>
      <c r="P1299" s="114">
        <f>IFERROR(IF('FA Addition'!$N1299="WDV",1-('FA Addition'!$M1299/'FA Addition'!$L1299)^(1/'FA Addition'!$O1299),1/'FA Addition'!$O1299),0)</f>
        <v>0.2</v>
      </c>
      <c r="Q1299" s="122">
        <f>'FA Addition'!$P1299*'FA Addition'!$O1299</f>
        <v>1</v>
      </c>
      <c r="R1299" s="122"/>
      <c r="S1299" s="116">
        <f>IF(AND(DATE(20&amp;LEFT(FAAddition[[#This Row],[FY]],2),4,1)&lt;$L$1+1,DATE(20&amp;LEFT(FAAddition[[#This Row],[FY]],2),4,1)&gt;$P$1-1),'FA Addition'!$J1299,0)</f>
        <v>0</v>
      </c>
      <c r="U1299" s="117">
        <f>S1299*'FA Addition'!$L1299/'FA Addition'!$J1299</f>
        <v>0</v>
      </c>
      <c r="W1299" s="116">
        <f>SUMIFS('FA Write off'!D:D,'FA Write off'!A:A,'FA Addition'!$A1299,'FA Write off'!C:C,"&lt;"&amp;'FA Addition'!$P$1)</f>
        <v>0</v>
      </c>
      <c r="Y1299" s="191">
        <f>IFERROR(W1299/'FA Addition'!$J1299*'FA Addition'!$L1299,0)</f>
        <v>0</v>
      </c>
      <c r="AA1299" s="116">
        <f>SUMIFS('FA Write off'!D:D,'FA Write off'!A:A,'FA Addition'!$A1299,'FA Write off'!C:C,"&lt;"&amp;'FA Addition'!$L$1+1,'FA Write off'!C:C,"&gt;"&amp;'FA Addition'!$L$1-365)</f>
        <v>0</v>
      </c>
      <c r="AC1299" s="118">
        <f>IFERROR(AA1299/'FA Addition'!$J1299*'FA Addition'!$L1299,0)</f>
        <v>0</v>
      </c>
      <c r="AE1299" s="117">
        <f>IF(AND('FA Addition'!$D1299&lt;$P$1+1,U1299=0),'FA Addition'!$L1299,0)-Y1299</f>
        <v>0</v>
      </c>
      <c r="AF1299" s="117">
        <f t="shared" si="100"/>
        <v>0</v>
      </c>
      <c r="AG1299" s="117">
        <f>MIN(MAX(+$P$1-'FA Addition'!$D1299,0),365*'FA Addition'!$O1299)</f>
        <v>0</v>
      </c>
      <c r="AH1299" s="117">
        <f>MIN(MAX($L$1-'FA Addition'!$D1299+1,0),365*'FA Addition'!$O1299)</f>
        <v>0</v>
      </c>
      <c r="AI1299" s="117" cm="1">
        <f t="array" ref="AI1299">_xlfn.XLOOKUP(1,('FA Write off'!A:A='FA Addition'!$A1299)*('FA Write off'!D:D=AA1299),'FA Write off'!H:H,0,0)</f>
        <v>0</v>
      </c>
      <c r="AJ1299" s="117">
        <f>IF(AC1299&gt;0,MAX(IF('FA Addition'!$N1299="SLM",($AC1299-'FA Addition'!$M1299)*'FA Addition'!$P1299*AI1299/365,(AC1299-'FA Addition'!$M1299)*(1-(1-'FA Addition'!$P1299)^(AI1299/365))),0),0)</f>
        <v>0</v>
      </c>
      <c r="AL1299" s="117">
        <f>MAX(IF(AG1299&gt;0,IF('FA Addition'!$N1299="SLM",($AE1299-'FA Addition'!$M1299)*'FA Addition'!$P1299*AG1299/365,IFERROR(VDB(AE1299,AE1299*0.05,'FA Addition'!$O1299,0,YEARFRAC('FA Addition'!$C1299,$P$1-1,3),'FA Addition'!$Q1299),FAAddition[[#This Row],[Original Cost (Rs)]]-FAAddition[[#This Row],[Salvage Value]])),0),0)</f>
        <v>0</v>
      </c>
      <c r="AM1299" s="119"/>
      <c r="AN1299" s="117">
        <f>MAX(IF(AH1299&gt;0,IF('FA Addition'!$N1299="SLM",($AF1299-'FA Addition'!$M1299)*'FA Addition'!$P1299*AH1299/365,IFERROR(VDB(AF1299,AF1299*0.05,'FA Addition'!$O1299,0,YEARFRAC('FA Addition'!$C1299,$L$1,3),'FA Addition'!$Q1299),FAAddition[[#This Row],[Original Cost (Rs)]]-FAAddition[[#This Row],[Salvage Value]])),0),0)</f>
        <v>0</v>
      </c>
      <c r="AO1299" s="117">
        <f t="shared" si="103"/>
        <v>0</v>
      </c>
      <c r="AQ1299" s="117">
        <f t="shared" si="101"/>
        <v>0</v>
      </c>
      <c r="AR1299" s="120">
        <f t="shared" si="102"/>
        <v>0</v>
      </c>
      <c r="AS1299" s="121"/>
    </row>
    <row r="1300" spans="1:45" ht="13.5" x14ac:dyDescent="0.4">
      <c r="A1300" s="12">
        <f t="shared" si="104"/>
        <v>1297</v>
      </c>
      <c r="B1300" s="64" t="s">
        <v>1758</v>
      </c>
      <c r="C1300" s="54">
        <v>45701</v>
      </c>
      <c r="D1300" s="54">
        <v>45729</v>
      </c>
      <c r="E1300" s="46" t="s">
        <v>451</v>
      </c>
      <c r="F1300" s="51" t="s">
        <v>19</v>
      </c>
      <c r="G1300" s="51" t="s">
        <v>1919</v>
      </c>
      <c r="H1300" s="51" t="s">
        <v>21</v>
      </c>
      <c r="I1300" s="55" t="s">
        <v>2066</v>
      </c>
      <c r="J1300" s="56">
        <v>1</v>
      </c>
      <c r="K1300" s="51" t="s">
        <v>2067</v>
      </c>
      <c r="L1300" s="58">
        <v>64700</v>
      </c>
      <c r="M1300" s="50">
        <f>ROUND('FA Addition'!$L1300*5%,0.1)</f>
        <v>3235</v>
      </c>
      <c r="N1300" s="113" t="str">
        <f>_xlfn.XLOOKUP(_xlfn.CONCAT(E1300,B1300),'Year Wise Master Dep Approach'!F:F,'Year Wise Master Dep Approach'!D:D)</f>
        <v>WDV</v>
      </c>
      <c r="O1300" s="113">
        <f>_xlfn.XLOOKUP(_xlfn.CONCAT(E1300,B1300),'Year Wise Master Dep Approach'!F:F,'Year Wise Master Dep Approach'!E:E)</f>
        <v>3</v>
      </c>
      <c r="P1300" s="114">
        <f>IFERROR(IF('FA Addition'!$N1300="WDV",1-('FA Addition'!$M1300/'FA Addition'!$L1300)^(1/'FA Addition'!$O1300),1/'FA Addition'!$O1300),0)</f>
        <v>0.63159685013596123</v>
      </c>
      <c r="Q1300" s="122">
        <f>'FA Addition'!$P1300*'FA Addition'!$O1300</f>
        <v>1.8947905504078837</v>
      </c>
      <c r="R1300" s="122"/>
      <c r="S1300" s="116">
        <f>IF(AND(DATE(20&amp;LEFT(FAAddition[[#This Row],[FY]],2),4,1)&lt;$L$1+1,DATE(20&amp;LEFT(FAAddition[[#This Row],[FY]],2),4,1)&gt;$P$1-1),'FA Addition'!$J1300,0)</f>
        <v>0</v>
      </c>
      <c r="U1300" s="117">
        <f>S1300*'FA Addition'!$L1300/'FA Addition'!$J1300</f>
        <v>0</v>
      </c>
      <c r="W1300" s="116">
        <f>SUMIFS('FA Write off'!D:D,'FA Write off'!A:A,'FA Addition'!$A1300,'FA Write off'!C:C,"&lt;"&amp;'FA Addition'!$P$1)</f>
        <v>0</v>
      </c>
      <c r="Y1300" s="191">
        <f>IFERROR(W1300/'FA Addition'!$J1300*'FA Addition'!$L1300,0)</f>
        <v>0</v>
      </c>
      <c r="AA1300" s="116">
        <f>SUMIFS('FA Write off'!D:D,'FA Write off'!A:A,'FA Addition'!$A1300,'FA Write off'!C:C,"&lt;"&amp;'FA Addition'!$L$1+1,'FA Write off'!C:C,"&gt;"&amp;'FA Addition'!$L$1-365)</f>
        <v>0</v>
      </c>
      <c r="AC1300" s="118">
        <f>IFERROR(AA1300/'FA Addition'!$J1300*'FA Addition'!$L1300,0)</f>
        <v>0</v>
      </c>
      <c r="AE1300" s="117">
        <f>IF(AND('FA Addition'!$D1300&lt;$P$1+1,U1300=0),'FA Addition'!$L1300,0)-Y1300</f>
        <v>0</v>
      </c>
      <c r="AF1300" s="117">
        <f t="shared" si="100"/>
        <v>0</v>
      </c>
      <c r="AG1300" s="117">
        <f>MIN(MAX(+$P$1-'FA Addition'!$D1300,0),365*'FA Addition'!$O1300)</f>
        <v>0</v>
      </c>
      <c r="AH1300" s="117">
        <f>MIN(MAX($L$1-'FA Addition'!$D1300+1,0),365*'FA Addition'!$O1300)</f>
        <v>0</v>
      </c>
      <c r="AI1300" s="117" cm="1">
        <f t="array" ref="AI1300">_xlfn.XLOOKUP(1,('FA Write off'!A:A='FA Addition'!$A1300)*('FA Write off'!D:D=AA1300),'FA Write off'!H:H,0,0)</f>
        <v>0</v>
      </c>
      <c r="AJ1300" s="117">
        <f>IF(AC1300&gt;0,MAX(IF('FA Addition'!$N1300="SLM",($AC1300-'FA Addition'!$M1300)*'FA Addition'!$P1300*AI1300/365,(AC1300-'FA Addition'!$M1300)*(1-(1-'FA Addition'!$P1300)^(AI1300/365))),0),0)</f>
        <v>0</v>
      </c>
      <c r="AL1300" s="117">
        <f>MAX(IF(AG1300&gt;0,IF('FA Addition'!$N1300="SLM",($AE1300-'FA Addition'!$M1300)*'FA Addition'!$P1300*AG1300/365,IFERROR(VDB(AE1300,AE1300*0.05,'FA Addition'!$O1300,0,YEARFRAC('FA Addition'!$C1300,$P$1-1,3),'FA Addition'!$Q1300),FAAddition[[#This Row],[Original Cost (Rs)]]-FAAddition[[#This Row],[Salvage Value]])),0),0)</f>
        <v>0</v>
      </c>
      <c r="AM1300" s="119"/>
      <c r="AN1300" s="117">
        <f>MAX(IF(AH1300&gt;0,IF('FA Addition'!$N1300="SLM",($AF1300-'FA Addition'!$M1300)*'FA Addition'!$P1300*AH1300/365,IFERROR(VDB(AF1300,AF1300*0.05,'FA Addition'!$O1300,0,YEARFRAC('FA Addition'!$C1300,$L$1,3),'FA Addition'!$Q1300),FAAddition[[#This Row],[Original Cost (Rs)]]-FAAddition[[#This Row],[Salvage Value]])),0),0)</f>
        <v>0</v>
      </c>
      <c r="AO1300" s="117">
        <f t="shared" si="103"/>
        <v>0</v>
      </c>
      <c r="AQ1300" s="117">
        <f t="shared" si="101"/>
        <v>0</v>
      </c>
      <c r="AR1300" s="120">
        <f t="shared" si="102"/>
        <v>0</v>
      </c>
      <c r="AS1300" s="121"/>
    </row>
    <row r="1301" spans="1:45" ht="13.5" x14ac:dyDescent="0.4">
      <c r="A1301" s="12">
        <f t="shared" si="104"/>
        <v>1298</v>
      </c>
      <c r="B1301" s="64" t="s">
        <v>1758</v>
      </c>
      <c r="C1301" s="54">
        <v>45723</v>
      </c>
      <c r="D1301" s="54">
        <v>45736</v>
      </c>
      <c r="E1301" s="46" t="s">
        <v>451</v>
      </c>
      <c r="F1301" s="51" t="s">
        <v>19</v>
      </c>
      <c r="G1301" s="51" t="s">
        <v>144</v>
      </c>
      <c r="H1301" s="51" t="s">
        <v>21</v>
      </c>
      <c r="I1301" s="55" t="s">
        <v>2068</v>
      </c>
      <c r="J1301" s="56">
        <v>1</v>
      </c>
      <c r="K1301" s="51" t="s">
        <v>317</v>
      </c>
      <c r="L1301" s="58">
        <v>131779.66</v>
      </c>
      <c r="M1301" s="50">
        <f>ROUND('FA Addition'!$L1301*5%,0.1)</f>
        <v>6589</v>
      </c>
      <c r="N1301" s="113" t="str">
        <f>_xlfn.XLOOKUP(_xlfn.CONCAT(E1301,B1301),'Year Wise Master Dep Approach'!F:F,'Year Wise Master Dep Approach'!D:D)</f>
        <v>WDV</v>
      </c>
      <c r="O1301" s="113">
        <f>_xlfn.XLOOKUP(_xlfn.CONCAT(E1301,B1301),'Year Wise Master Dep Approach'!F:F,'Year Wise Master Dep Approach'!E:E)</f>
        <v>3</v>
      </c>
      <c r="P1301" s="114">
        <f>IFERROR(IF('FA Addition'!$N1301="WDV",1-('FA Addition'!$M1301/'FA Addition'!$L1301)^(1/'FA Addition'!$O1301),1/'FA Addition'!$O1301),0)</f>
        <v>0.63159653330162535</v>
      </c>
      <c r="Q1301" s="122">
        <f>'FA Addition'!$P1301*'FA Addition'!$O1301</f>
        <v>1.8947895999048761</v>
      </c>
      <c r="R1301" s="122"/>
      <c r="S1301" s="116">
        <f>IF(AND(DATE(20&amp;LEFT(FAAddition[[#This Row],[FY]],2),4,1)&lt;$L$1+1,DATE(20&amp;LEFT(FAAddition[[#This Row],[FY]],2),4,1)&gt;$P$1-1),'FA Addition'!$J1301,0)</f>
        <v>0</v>
      </c>
      <c r="U1301" s="117">
        <f>S1301*'FA Addition'!$L1301/'FA Addition'!$J1301</f>
        <v>0</v>
      </c>
      <c r="W1301" s="116">
        <f>SUMIFS('FA Write off'!D:D,'FA Write off'!A:A,'FA Addition'!$A1301,'FA Write off'!C:C,"&lt;"&amp;'FA Addition'!$P$1)</f>
        <v>0</v>
      </c>
      <c r="Y1301" s="191">
        <f>IFERROR(W1301/'FA Addition'!$J1301*'FA Addition'!$L1301,0)</f>
        <v>0</v>
      </c>
      <c r="AA1301" s="116">
        <f>SUMIFS('FA Write off'!D:D,'FA Write off'!A:A,'FA Addition'!$A1301,'FA Write off'!C:C,"&lt;"&amp;'FA Addition'!$L$1+1,'FA Write off'!C:C,"&gt;"&amp;'FA Addition'!$L$1-365)</f>
        <v>0</v>
      </c>
      <c r="AC1301" s="118">
        <f>IFERROR(AA1301/'FA Addition'!$J1301*'FA Addition'!$L1301,0)</f>
        <v>0</v>
      </c>
      <c r="AE1301" s="117">
        <f>IF(AND('FA Addition'!$D1301&lt;$P$1+1,U1301=0),'FA Addition'!$L1301,0)-Y1301</f>
        <v>0</v>
      </c>
      <c r="AF1301" s="117">
        <f t="shared" si="100"/>
        <v>0</v>
      </c>
      <c r="AG1301" s="117">
        <f>MIN(MAX(+$P$1-'FA Addition'!$D1301,0),365*'FA Addition'!$O1301)</f>
        <v>0</v>
      </c>
      <c r="AH1301" s="117">
        <f>MIN(MAX($L$1-'FA Addition'!$D1301+1,0),365*'FA Addition'!$O1301)</f>
        <v>0</v>
      </c>
      <c r="AI1301" s="117" cm="1">
        <f t="array" ref="AI1301">_xlfn.XLOOKUP(1,('FA Write off'!A:A='FA Addition'!$A1301)*('FA Write off'!D:D=AA1301),'FA Write off'!H:H,0,0)</f>
        <v>0</v>
      </c>
      <c r="AJ1301" s="117">
        <f>IF(AC1301&gt;0,MAX(IF('FA Addition'!$N1301="SLM",($AC1301-'FA Addition'!$M1301)*'FA Addition'!$P1301*AI1301/365,(AC1301-'FA Addition'!$M1301)*(1-(1-'FA Addition'!$P1301)^(AI1301/365))),0),0)</f>
        <v>0</v>
      </c>
      <c r="AL1301" s="117">
        <f>MAX(IF(AG1301&gt;0,IF('FA Addition'!$N1301="SLM",($AE1301-'FA Addition'!$M1301)*'FA Addition'!$P1301*AG1301/365,IFERROR(VDB(AE1301,AE1301*0.05,'FA Addition'!$O1301,0,YEARFRAC('FA Addition'!$C1301,$P$1-1,3),'FA Addition'!$Q1301),FAAddition[[#This Row],[Original Cost (Rs)]]-FAAddition[[#This Row],[Salvage Value]])),0),0)</f>
        <v>0</v>
      </c>
      <c r="AM1301" s="119"/>
      <c r="AN1301" s="117">
        <f>MAX(IF(AH1301&gt;0,IF('FA Addition'!$N1301="SLM",($AF1301-'FA Addition'!$M1301)*'FA Addition'!$P1301*AH1301/365,IFERROR(VDB(AF1301,AF1301*0.05,'FA Addition'!$O1301,0,YEARFRAC('FA Addition'!$C1301,$L$1,3),'FA Addition'!$Q1301),FAAddition[[#This Row],[Original Cost (Rs)]]-FAAddition[[#This Row],[Salvage Value]])),0),0)</f>
        <v>0</v>
      </c>
      <c r="AO1301" s="117">
        <f t="shared" si="103"/>
        <v>0</v>
      </c>
      <c r="AQ1301" s="117">
        <f t="shared" si="101"/>
        <v>0</v>
      </c>
      <c r="AR1301" s="120">
        <f t="shared" si="102"/>
        <v>0</v>
      </c>
      <c r="AS1301" s="121"/>
    </row>
    <row r="1302" spans="1:45" ht="13.5" x14ac:dyDescent="0.4">
      <c r="A1302" s="12">
        <f t="shared" si="104"/>
        <v>1299</v>
      </c>
      <c r="B1302" s="64" t="s">
        <v>1758</v>
      </c>
      <c r="C1302" s="54">
        <v>45723</v>
      </c>
      <c r="D1302" s="54">
        <v>45736</v>
      </c>
      <c r="E1302" s="46" t="s">
        <v>451</v>
      </c>
      <c r="F1302" s="51" t="s">
        <v>19</v>
      </c>
      <c r="G1302" s="51" t="s">
        <v>144</v>
      </c>
      <c r="H1302" s="51" t="s">
        <v>21</v>
      </c>
      <c r="I1302" s="55" t="s">
        <v>2068</v>
      </c>
      <c r="J1302" s="56">
        <v>1</v>
      </c>
      <c r="K1302" s="51" t="s">
        <v>317</v>
      </c>
      <c r="L1302" s="58">
        <v>131779.66</v>
      </c>
      <c r="M1302" s="50">
        <f>ROUND('FA Addition'!$L1302*5%,0.1)</f>
        <v>6589</v>
      </c>
      <c r="N1302" s="113" t="str">
        <f>_xlfn.XLOOKUP(_xlfn.CONCAT(E1302,B1302),'Year Wise Master Dep Approach'!F:F,'Year Wise Master Dep Approach'!D:D)</f>
        <v>WDV</v>
      </c>
      <c r="O1302" s="113">
        <f>_xlfn.XLOOKUP(_xlfn.CONCAT(E1302,B1302),'Year Wise Master Dep Approach'!F:F,'Year Wise Master Dep Approach'!E:E)</f>
        <v>3</v>
      </c>
      <c r="P1302" s="114">
        <f>IFERROR(IF('FA Addition'!$N1302="WDV",1-('FA Addition'!$M1302/'FA Addition'!$L1302)^(1/'FA Addition'!$O1302),1/'FA Addition'!$O1302),0)</f>
        <v>0.63159653330162535</v>
      </c>
      <c r="Q1302" s="122">
        <f>'FA Addition'!$P1302*'FA Addition'!$O1302</f>
        <v>1.8947895999048761</v>
      </c>
      <c r="R1302" s="122"/>
      <c r="S1302" s="116">
        <f>IF(AND(DATE(20&amp;LEFT(FAAddition[[#This Row],[FY]],2),4,1)&lt;$L$1+1,DATE(20&amp;LEFT(FAAddition[[#This Row],[FY]],2),4,1)&gt;$P$1-1),'FA Addition'!$J1302,0)</f>
        <v>0</v>
      </c>
      <c r="U1302" s="117">
        <f>S1302*'FA Addition'!$L1302/'FA Addition'!$J1302</f>
        <v>0</v>
      </c>
      <c r="W1302" s="116">
        <f>SUMIFS('FA Write off'!D:D,'FA Write off'!A:A,'FA Addition'!$A1302,'FA Write off'!C:C,"&lt;"&amp;'FA Addition'!$P$1)</f>
        <v>0</v>
      </c>
      <c r="Y1302" s="191">
        <f>IFERROR(W1302/'FA Addition'!$J1302*'FA Addition'!$L1302,0)</f>
        <v>0</v>
      </c>
      <c r="AA1302" s="116">
        <f>SUMIFS('FA Write off'!D:D,'FA Write off'!A:A,'FA Addition'!$A1302,'FA Write off'!C:C,"&lt;"&amp;'FA Addition'!$L$1+1,'FA Write off'!C:C,"&gt;"&amp;'FA Addition'!$L$1-365)</f>
        <v>0</v>
      </c>
      <c r="AC1302" s="118">
        <f>IFERROR(AA1302/'FA Addition'!$J1302*'FA Addition'!$L1302,0)</f>
        <v>0</v>
      </c>
      <c r="AE1302" s="117">
        <f>IF(AND('FA Addition'!$D1302&lt;$P$1+1,U1302=0),'FA Addition'!$L1302,0)-Y1302</f>
        <v>0</v>
      </c>
      <c r="AF1302" s="117">
        <f t="shared" si="100"/>
        <v>0</v>
      </c>
      <c r="AG1302" s="117">
        <f>MIN(MAX(+$P$1-'FA Addition'!$D1302,0),365*'FA Addition'!$O1302)</f>
        <v>0</v>
      </c>
      <c r="AH1302" s="117">
        <f>MIN(MAX($L$1-'FA Addition'!$D1302+1,0),365*'FA Addition'!$O1302)</f>
        <v>0</v>
      </c>
      <c r="AI1302" s="117" cm="1">
        <f t="array" ref="AI1302">_xlfn.XLOOKUP(1,('FA Write off'!A:A='FA Addition'!$A1302)*('FA Write off'!D:D=AA1302),'FA Write off'!H:H,0,0)</f>
        <v>0</v>
      </c>
      <c r="AJ1302" s="117">
        <f>IF(AC1302&gt;0,MAX(IF('FA Addition'!$N1302="SLM",($AC1302-'FA Addition'!$M1302)*'FA Addition'!$P1302*AI1302/365,(AC1302-'FA Addition'!$M1302)*(1-(1-'FA Addition'!$P1302)^(AI1302/365))),0),0)</f>
        <v>0</v>
      </c>
      <c r="AL1302" s="117">
        <f>MAX(IF(AG1302&gt;0,IF('FA Addition'!$N1302="SLM",($AE1302-'FA Addition'!$M1302)*'FA Addition'!$P1302*AG1302/365,IFERROR(VDB(AE1302,AE1302*0.05,'FA Addition'!$O1302,0,YEARFRAC('FA Addition'!$C1302,$P$1-1,3),'FA Addition'!$Q1302),FAAddition[[#This Row],[Original Cost (Rs)]]-FAAddition[[#This Row],[Salvage Value]])),0),0)</f>
        <v>0</v>
      </c>
      <c r="AM1302" s="119"/>
      <c r="AN1302" s="117">
        <f>MAX(IF(AH1302&gt;0,IF('FA Addition'!$N1302="SLM",($AF1302-'FA Addition'!$M1302)*'FA Addition'!$P1302*AH1302/365,IFERROR(VDB(AF1302,AF1302*0.05,'FA Addition'!$O1302,0,YEARFRAC('FA Addition'!$C1302,$L$1,3),'FA Addition'!$Q1302),FAAddition[[#This Row],[Original Cost (Rs)]]-FAAddition[[#This Row],[Salvage Value]])),0),0)</f>
        <v>0</v>
      </c>
      <c r="AO1302" s="117">
        <f t="shared" si="103"/>
        <v>0</v>
      </c>
      <c r="AQ1302" s="117">
        <f t="shared" si="101"/>
        <v>0</v>
      </c>
      <c r="AR1302" s="120">
        <f t="shared" si="102"/>
        <v>0</v>
      </c>
      <c r="AS1302" s="121"/>
    </row>
    <row r="1303" spans="1:45" ht="13.5" x14ac:dyDescent="0.4">
      <c r="A1303" s="12">
        <f t="shared" si="104"/>
        <v>1300</v>
      </c>
      <c r="B1303" s="64" t="s">
        <v>1758</v>
      </c>
      <c r="C1303" s="54">
        <v>45723</v>
      </c>
      <c r="D1303" s="54">
        <v>45736</v>
      </c>
      <c r="E1303" s="46" t="s">
        <v>451</v>
      </c>
      <c r="F1303" s="51" t="s">
        <v>19</v>
      </c>
      <c r="G1303" s="51" t="s">
        <v>144</v>
      </c>
      <c r="H1303" s="51" t="s">
        <v>21</v>
      </c>
      <c r="I1303" s="55" t="s">
        <v>2068</v>
      </c>
      <c r="J1303" s="56">
        <v>1</v>
      </c>
      <c r="K1303" s="51" t="s">
        <v>317</v>
      </c>
      <c r="L1303" s="58">
        <v>131779.66</v>
      </c>
      <c r="M1303" s="50">
        <f>ROUND('FA Addition'!$L1303*5%,0.1)</f>
        <v>6589</v>
      </c>
      <c r="N1303" s="113" t="str">
        <f>_xlfn.XLOOKUP(_xlfn.CONCAT(E1303,B1303),'Year Wise Master Dep Approach'!F:F,'Year Wise Master Dep Approach'!D:D)</f>
        <v>WDV</v>
      </c>
      <c r="O1303" s="113">
        <f>_xlfn.XLOOKUP(_xlfn.CONCAT(E1303,B1303),'Year Wise Master Dep Approach'!F:F,'Year Wise Master Dep Approach'!E:E)</f>
        <v>3</v>
      </c>
      <c r="P1303" s="114">
        <f>IFERROR(IF('FA Addition'!$N1303="WDV",1-('FA Addition'!$M1303/'FA Addition'!$L1303)^(1/'FA Addition'!$O1303),1/'FA Addition'!$O1303),0)</f>
        <v>0.63159653330162535</v>
      </c>
      <c r="Q1303" s="122">
        <f>'FA Addition'!$P1303*'FA Addition'!$O1303</f>
        <v>1.8947895999048761</v>
      </c>
      <c r="R1303" s="122"/>
      <c r="S1303" s="116">
        <f>IF(AND(DATE(20&amp;LEFT(FAAddition[[#This Row],[FY]],2),4,1)&lt;$L$1+1,DATE(20&amp;LEFT(FAAddition[[#This Row],[FY]],2),4,1)&gt;$P$1-1),'FA Addition'!$J1303,0)</f>
        <v>0</v>
      </c>
      <c r="U1303" s="117">
        <f>S1303*'FA Addition'!$L1303/'FA Addition'!$J1303</f>
        <v>0</v>
      </c>
      <c r="W1303" s="116">
        <f>SUMIFS('FA Write off'!D:D,'FA Write off'!A:A,'FA Addition'!$A1303,'FA Write off'!C:C,"&lt;"&amp;'FA Addition'!$P$1)</f>
        <v>0</v>
      </c>
      <c r="Y1303" s="191">
        <f>IFERROR(W1303/'FA Addition'!$J1303*'FA Addition'!$L1303,0)</f>
        <v>0</v>
      </c>
      <c r="AA1303" s="116">
        <f>SUMIFS('FA Write off'!D:D,'FA Write off'!A:A,'FA Addition'!$A1303,'FA Write off'!C:C,"&lt;"&amp;'FA Addition'!$L$1+1,'FA Write off'!C:C,"&gt;"&amp;'FA Addition'!$L$1-365)</f>
        <v>0</v>
      </c>
      <c r="AC1303" s="118">
        <f>IFERROR(AA1303/'FA Addition'!$J1303*'FA Addition'!$L1303,0)</f>
        <v>0</v>
      </c>
      <c r="AE1303" s="117">
        <f>IF(AND('FA Addition'!$D1303&lt;$P$1+1,U1303=0),'FA Addition'!$L1303,0)-Y1303</f>
        <v>0</v>
      </c>
      <c r="AF1303" s="117">
        <f t="shared" si="100"/>
        <v>0</v>
      </c>
      <c r="AG1303" s="117">
        <f>MIN(MAX(+$P$1-'FA Addition'!$D1303,0),365*'FA Addition'!$O1303)</f>
        <v>0</v>
      </c>
      <c r="AH1303" s="117">
        <f>MIN(MAX($L$1-'FA Addition'!$D1303+1,0),365*'FA Addition'!$O1303)</f>
        <v>0</v>
      </c>
      <c r="AI1303" s="117" cm="1">
        <f t="array" ref="AI1303">_xlfn.XLOOKUP(1,('FA Write off'!A:A='FA Addition'!$A1303)*('FA Write off'!D:D=AA1303),'FA Write off'!H:H,0,0)</f>
        <v>0</v>
      </c>
      <c r="AJ1303" s="117">
        <f>IF(AC1303&gt;0,MAX(IF('FA Addition'!$N1303="SLM",($AC1303-'FA Addition'!$M1303)*'FA Addition'!$P1303*AI1303/365,(AC1303-'FA Addition'!$M1303)*(1-(1-'FA Addition'!$P1303)^(AI1303/365))),0),0)</f>
        <v>0</v>
      </c>
      <c r="AL1303" s="117">
        <f>MAX(IF(AG1303&gt;0,IF('FA Addition'!$N1303="SLM",($AE1303-'FA Addition'!$M1303)*'FA Addition'!$P1303*AG1303/365,IFERROR(VDB(AE1303,AE1303*0.05,'FA Addition'!$O1303,0,YEARFRAC('FA Addition'!$C1303,$P$1-1,3),'FA Addition'!$Q1303),FAAddition[[#This Row],[Original Cost (Rs)]]-FAAddition[[#This Row],[Salvage Value]])),0),0)</f>
        <v>0</v>
      </c>
      <c r="AM1303" s="119"/>
      <c r="AN1303" s="117">
        <f>MAX(IF(AH1303&gt;0,IF('FA Addition'!$N1303="SLM",($AF1303-'FA Addition'!$M1303)*'FA Addition'!$P1303*AH1303/365,IFERROR(VDB(AF1303,AF1303*0.05,'FA Addition'!$O1303,0,YEARFRAC('FA Addition'!$C1303,$L$1,3),'FA Addition'!$Q1303),FAAddition[[#This Row],[Original Cost (Rs)]]-FAAddition[[#This Row],[Salvage Value]])),0),0)</f>
        <v>0</v>
      </c>
      <c r="AO1303" s="117">
        <f t="shared" si="103"/>
        <v>0</v>
      </c>
      <c r="AQ1303" s="117">
        <f t="shared" si="101"/>
        <v>0</v>
      </c>
      <c r="AR1303" s="120">
        <f t="shared" si="102"/>
        <v>0</v>
      </c>
      <c r="AS1303" s="121"/>
    </row>
    <row r="1304" spans="1:45" ht="13.5" x14ac:dyDescent="0.4">
      <c r="A1304" s="12">
        <f t="shared" si="104"/>
        <v>1301</v>
      </c>
      <c r="B1304" s="64" t="s">
        <v>1758</v>
      </c>
      <c r="C1304" s="54">
        <v>45723</v>
      </c>
      <c r="D1304" s="54">
        <v>45736</v>
      </c>
      <c r="E1304" s="46" t="s">
        <v>451</v>
      </c>
      <c r="F1304" s="51" t="s">
        <v>19</v>
      </c>
      <c r="G1304" s="51" t="s">
        <v>144</v>
      </c>
      <c r="H1304" s="51" t="s">
        <v>21</v>
      </c>
      <c r="I1304" s="55" t="s">
        <v>2068</v>
      </c>
      <c r="J1304" s="56">
        <v>1</v>
      </c>
      <c r="K1304" s="51" t="s">
        <v>317</v>
      </c>
      <c r="L1304" s="58">
        <v>131779.66</v>
      </c>
      <c r="M1304" s="50">
        <f>ROUND('FA Addition'!$L1304*5%,0.1)</f>
        <v>6589</v>
      </c>
      <c r="N1304" s="113" t="str">
        <f>_xlfn.XLOOKUP(_xlfn.CONCAT(E1304,B1304),'Year Wise Master Dep Approach'!F:F,'Year Wise Master Dep Approach'!D:D)</f>
        <v>WDV</v>
      </c>
      <c r="O1304" s="113">
        <f>_xlfn.XLOOKUP(_xlfn.CONCAT(E1304,B1304),'Year Wise Master Dep Approach'!F:F,'Year Wise Master Dep Approach'!E:E)</f>
        <v>3</v>
      </c>
      <c r="P1304" s="114">
        <f>IFERROR(IF('FA Addition'!$N1304="WDV",1-('FA Addition'!$M1304/'FA Addition'!$L1304)^(1/'FA Addition'!$O1304),1/'FA Addition'!$O1304),0)</f>
        <v>0.63159653330162535</v>
      </c>
      <c r="Q1304" s="122">
        <f>'FA Addition'!$P1304*'FA Addition'!$O1304</f>
        <v>1.8947895999048761</v>
      </c>
      <c r="R1304" s="122"/>
      <c r="S1304" s="116">
        <f>IF(AND(DATE(20&amp;LEFT(FAAddition[[#This Row],[FY]],2),4,1)&lt;$L$1+1,DATE(20&amp;LEFT(FAAddition[[#This Row],[FY]],2),4,1)&gt;$P$1-1),'FA Addition'!$J1304,0)</f>
        <v>0</v>
      </c>
      <c r="U1304" s="117">
        <f>S1304*'FA Addition'!$L1304/'FA Addition'!$J1304</f>
        <v>0</v>
      </c>
      <c r="W1304" s="116">
        <f>SUMIFS('FA Write off'!D:D,'FA Write off'!A:A,'FA Addition'!$A1304,'FA Write off'!C:C,"&lt;"&amp;'FA Addition'!$P$1)</f>
        <v>0</v>
      </c>
      <c r="Y1304" s="191">
        <f>IFERROR(W1304/'FA Addition'!$J1304*'FA Addition'!$L1304,0)</f>
        <v>0</v>
      </c>
      <c r="AA1304" s="116">
        <f>SUMIFS('FA Write off'!D:D,'FA Write off'!A:A,'FA Addition'!$A1304,'FA Write off'!C:C,"&lt;"&amp;'FA Addition'!$L$1+1,'FA Write off'!C:C,"&gt;"&amp;'FA Addition'!$L$1-365)</f>
        <v>0</v>
      </c>
      <c r="AC1304" s="118">
        <f>IFERROR(AA1304/'FA Addition'!$J1304*'FA Addition'!$L1304,0)</f>
        <v>0</v>
      </c>
      <c r="AE1304" s="117">
        <f>IF(AND('FA Addition'!$D1304&lt;$P$1+1,U1304=0),'FA Addition'!$L1304,0)-Y1304</f>
        <v>0</v>
      </c>
      <c r="AF1304" s="117">
        <f t="shared" si="100"/>
        <v>0</v>
      </c>
      <c r="AG1304" s="117">
        <f>MIN(MAX(+$P$1-'FA Addition'!$D1304,0),365*'FA Addition'!$O1304)</f>
        <v>0</v>
      </c>
      <c r="AH1304" s="117">
        <f>MIN(MAX($L$1-'FA Addition'!$D1304+1,0),365*'FA Addition'!$O1304)</f>
        <v>0</v>
      </c>
      <c r="AI1304" s="117" cm="1">
        <f t="array" ref="AI1304">_xlfn.XLOOKUP(1,('FA Write off'!A:A='FA Addition'!$A1304)*('FA Write off'!D:D=AA1304),'FA Write off'!H:H,0,0)</f>
        <v>0</v>
      </c>
      <c r="AJ1304" s="117">
        <f>IF(AC1304&gt;0,MAX(IF('FA Addition'!$N1304="SLM",($AC1304-'FA Addition'!$M1304)*'FA Addition'!$P1304*AI1304/365,(AC1304-'FA Addition'!$M1304)*(1-(1-'FA Addition'!$P1304)^(AI1304/365))),0),0)</f>
        <v>0</v>
      </c>
      <c r="AL1304" s="117">
        <f>MAX(IF(AG1304&gt;0,IF('FA Addition'!$N1304="SLM",($AE1304-'FA Addition'!$M1304)*'FA Addition'!$P1304*AG1304/365,IFERROR(VDB(AE1304,AE1304*0.05,'FA Addition'!$O1304,0,YEARFRAC('FA Addition'!$C1304,$P$1-1,3),'FA Addition'!$Q1304),FAAddition[[#This Row],[Original Cost (Rs)]]-FAAddition[[#This Row],[Salvage Value]])),0),0)</f>
        <v>0</v>
      </c>
      <c r="AM1304" s="119"/>
      <c r="AN1304" s="117">
        <f>MAX(IF(AH1304&gt;0,IF('FA Addition'!$N1304="SLM",($AF1304-'FA Addition'!$M1304)*'FA Addition'!$P1304*AH1304/365,IFERROR(VDB(AF1304,AF1304*0.05,'FA Addition'!$O1304,0,YEARFRAC('FA Addition'!$C1304,$L$1,3),'FA Addition'!$Q1304),FAAddition[[#This Row],[Original Cost (Rs)]]-FAAddition[[#This Row],[Salvage Value]])),0),0)</f>
        <v>0</v>
      </c>
      <c r="AO1304" s="117">
        <f t="shared" si="103"/>
        <v>0</v>
      </c>
      <c r="AQ1304" s="117">
        <f t="shared" si="101"/>
        <v>0</v>
      </c>
      <c r="AR1304" s="120">
        <f t="shared" si="102"/>
        <v>0</v>
      </c>
      <c r="AS1304" s="121"/>
    </row>
    <row r="1305" spans="1:45" ht="13.5" x14ac:dyDescent="0.4">
      <c r="A1305" s="12">
        <f t="shared" si="104"/>
        <v>1302</v>
      </c>
      <c r="B1305" s="64" t="s">
        <v>1758</v>
      </c>
      <c r="C1305" s="54">
        <v>45723</v>
      </c>
      <c r="D1305" s="54">
        <v>45736</v>
      </c>
      <c r="E1305" s="46" t="s">
        <v>451</v>
      </c>
      <c r="F1305" s="51" t="s">
        <v>19</v>
      </c>
      <c r="G1305" s="51" t="s">
        <v>144</v>
      </c>
      <c r="H1305" s="51" t="s">
        <v>21</v>
      </c>
      <c r="I1305" s="55" t="s">
        <v>2068</v>
      </c>
      <c r="J1305" s="56">
        <v>1</v>
      </c>
      <c r="K1305" s="51" t="s">
        <v>317</v>
      </c>
      <c r="L1305" s="58">
        <v>131779.66</v>
      </c>
      <c r="M1305" s="50">
        <f>ROUND('FA Addition'!$L1305*5%,0.1)</f>
        <v>6589</v>
      </c>
      <c r="N1305" s="113" t="str">
        <f>_xlfn.XLOOKUP(_xlfn.CONCAT(E1305,B1305),'Year Wise Master Dep Approach'!F:F,'Year Wise Master Dep Approach'!D:D)</f>
        <v>WDV</v>
      </c>
      <c r="O1305" s="113">
        <f>_xlfn.XLOOKUP(_xlfn.CONCAT(E1305,B1305),'Year Wise Master Dep Approach'!F:F,'Year Wise Master Dep Approach'!E:E)</f>
        <v>3</v>
      </c>
      <c r="P1305" s="114">
        <f>IFERROR(IF('FA Addition'!$N1305="WDV",1-('FA Addition'!$M1305/'FA Addition'!$L1305)^(1/'FA Addition'!$O1305),1/'FA Addition'!$O1305),0)</f>
        <v>0.63159653330162535</v>
      </c>
      <c r="Q1305" s="122">
        <f>'FA Addition'!$P1305*'FA Addition'!$O1305</f>
        <v>1.8947895999048761</v>
      </c>
      <c r="R1305" s="122"/>
      <c r="S1305" s="116">
        <f>IF(AND(DATE(20&amp;LEFT(FAAddition[[#This Row],[FY]],2),4,1)&lt;$L$1+1,DATE(20&amp;LEFT(FAAddition[[#This Row],[FY]],2),4,1)&gt;$P$1-1),'FA Addition'!$J1305,0)</f>
        <v>0</v>
      </c>
      <c r="U1305" s="117">
        <f>S1305*'FA Addition'!$L1305/'FA Addition'!$J1305</f>
        <v>0</v>
      </c>
      <c r="W1305" s="116">
        <f>SUMIFS('FA Write off'!D:D,'FA Write off'!A:A,'FA Addition'!$A1305,'FA Write off'!C:C,"&lt;"&amp;'FA Addition'!$P$1)</f>
        <v>0</v>
      </c>
      <c r="Y1305" s="191">
        <f>IFERROR(W1305/'FA Addition'!$J1305*'FA Addition'!$L1305,0)</f>
        <v>0</v>
      </c>
      <c r="AA1305" s="116">
        <f>SUMIFS('FA Write off'!D:D,'FA Write off'!A:A,'FA Addition'!$A1305,'FA Write off'!C:C,"&lt;"&amp;'FA Addition'!$L$1+1,'FA Write off'!C:C,"&gt;"&amp;'FA Addition'!$L$1-365)</f>
        <v>0</v>
      </c>
      <c r="AC1305" s="118">
        <f>IFERROR(AA1305/'FA Addition'!$J1305*'FA Addition'!$L1305,0)</f>
        <v>0</v>
      </c>
      <c r="AE1305" s="117">
        <f>IF(AND('FA Addition'!$D1305&lt;$P$1+1,U1305=0),'FA Addition'!$L1305,0)-Y1305</f>
        <v>0</v>
      </c>
      <c r="AF1305" s="117">
        <f t="shared" si="100"/>
        <v>0</v>
      </c>
      <c r="AG1305" s="117">
        <f>MIN(MAX(+$P$1-'FA Addition'!$D1305,0),365*'FA Addition'!$O1305)</f>
        <v>0</v>
      </c>
      <c r="AH1305" s="117">
        <f>MIN(MAX($L$1-'FA Addition'!$D1305+1,0),365*'FA Addition'!$O1305)</f>
        <v>0</v>
      </c>
      <c r="AI1305" s="117" cm="1">
        <f t="array" ref="AI1305">_xlfn.XLOOKUP(1,('FA Write off'!A:A='FA Addition'!$A1305)*('FA Write off'!D:D=AA1305),'FA Write off'!H:H,0,0)</f>
        <v>0</v>
      </c>
      <c r="AJ1305" s="117">
        <f>IF(AC1305&gt;0,MAX(IF('FA Addition'!$N1305="SLM",($AC1305-'FA Addition'!$M1305)*'FA Addition'!$P1305*AI1305/365,(AC1305-'FA Addition'!$M1305)*(1-(1-'FA Addition'!$P1305)^(AI1305/365))),0),0)</f>
        <v>0</v>
      </c>
      <c r="AL1305" s="117">
        <f>MAX(IF(AG1305&gt;0,IF('FA Addition'!$N1305="SLM",($AE1305-'FA Addition'!$M1305)*'FA Addition'!$P1305*AG1305/365,IFERROR(VDB(AE1305,AE1305*0.05,'FA Addition'!$O1305,0,YEARFRAC('FA Addition'!$C1305,$P$1-1,3),'FA Addition'!$Q1305),FAAddition[[#This Row],[Original Cost (Rs)]]-FAAddition[[#This Row],[Salvage Value]])),0),0)</f>
        <v>0</v>
      </c>
      <c r="AM1305" s="119"/>
      <c r="AN1305" s="117">
        <f>MAX(IF(AH1305&gt;0,IF('FA Addition'!$N1305="SLM",($AF1305-'FA Addition'!$M1305)*'FA Addition'!$P1305*AH1305/365,IFERROR(VDB(AF1305,AF1305*0.05,'FA Addition'!$O1305,0,YEARFRAC('FA Addition'!$C1305,$L$1,3),'FA Addition'!$Q1305),FAAddition[[#This Row],[Original Cost (Rs)]]-FAAddition[[#This Row],[Salvage Value]])),0),0)</f>
        <v>0</v>
      </c>
      <c r="AO1305" s="117">
        <f t="shared" si="103"/>
        <v>0</v>
      </c>
      <c r="AQ1305" s="117">
        <f t="shared" si="101"/>
        <v>0</v>
      </c>
      <c r="AR1305" s="120">
        <f t="shared" si="102"/>
        <v>0</v>
      </c>
      <c r="AS1305" s="121"/>
    </row>
    <row r="1306" spans="1:45" ht="13.5" x14ac:dyDescent="0.4">
      <c r="A1306" s="12">
        <f t="shared" si="104"/>
        <v>1303</v>
      </c>
      <c r="B1306" s="64" t="s">
        <v>1758</v>
      </c>
      <c r="C1306" s="54">
        <v>45723</v>
      </c>
      <c r="D1306" s="54">
        <v>45736</v>
      </c>
      <c r="E1306" s="46" t="s">
        <v>451</v>
      </c>
      <c r="F1306" s="51" t="s">
        <v>19</v>
      </c>
      <c r="G1306" s="51" t="s">
        <v>144</v>
      </c>
      <c r="H1306" s="51" t="s">
        <v>21</v>
      </c>
      <c r="I1306" s="55" t="s">
        <v>2068</v>
      </c>
      <c r="J1306" s="56">
        <v>1</v>
      </c>
      <c r="K1306" s="51" t="s">
        <v>317</v>
      </c>
      <c r="L1306" s="58">
        <v>131779.66</v>
      </c>
      <c r="M1306" s="50">
        <f>ROUND('FA Addition'!$L1306*5%,0.1)</f>
        <v>6589</v>
      </c>
      <c r="N1306" s="113" t="str">
        <f>_xlfn.XLOOKUP(_xlfn.CONCAT(E1306,B1306),'Year Wise Master Dep Approach'!F:F,'Year Wise Master Dep Approach'!D:D)</f>
        <v>WDV</v>
      </c>
      <c r="O1306" s="113">
        <f>_xlfn.XLOOKUP(_xlfn.CONCAT(E1306,B1306),'Year Wise Master Dep Approach'!F:F,'Year Wise Master Dep Approach'!E:E)</f>
        <v>3</v>
      </c>
      <c r="P1306" s="114">
        <f>IFERROR(IF('FA Addition'!$N1306="WDV",1-('FA Addition'!$M1306/'FA Addition'!$L1306)^(1/'FA Addition'!$O1306),1/'FA Addition'!$O1306),0)</f>
        <v>0.63159653330162535</v>
      </c>
      <c r="Q1306" s="122">
        <f>'FA Addition'!$P1306*'FA Addition'!$O1306</f>
        <v>1.8947895999048761</v>
      </c>
      <c r="R1306" s="122"/>
      <c r="S1306" s="116">
        <f>IF(AND(DATE(20&amp;LEFT(FAAddition[[#This Row],[FY]],2),4,1)&lt;$L$1+1,DATE(20&amp;LEFT(FAAddition[[#This Row],[FY]],2),4,1)&gt;$P$1-1),'FA Addition'!$J1306,0)</f>
        <v>0</v>
      </c>
      <c r="U1306" s="117">
        <f>S1306*'FA Addition'!$L1306/'FA Addition'!$J1306</f>
        <v>0</v>
      </c>
      <c r="W1306" s="116">
        <f>SUMIFS('FA Write off'!D:D,'FA Write off'!A:A,'FA Addition'!$A1306,'FA Write off'!C:C,"&lt;"&amp;'FA Addition'!$P$1)</f>
        <v>0</v>
      </c>
      <c r="Y1306" s="191">
        <f>IFERROR(W1306/'FA Addition'!$J1306*'FA Addition'!$L1306,0)</f>
        <v>0</v>
      </c>
      <c r="AA1306" s="116">
        <f>SUMIFS('FA Write off'!D:D,'FA Write off'!A:A,'FA Addition'!$A1306,'FA Write off'!C:C,"&lt;"&amp;'FA Addition'!$L$1+1,'FA Write off'!C:C,"&gt;"&amp;'FA Addition'!$L$1-365)</f>
        <v>0</v>
      </c>
      <c r="AC1306" s="118">
        <f>IFERROR(AA1306/'FA Addition'!$J1306*'FA Addition'!$L1306,0)</f>
        <v>0</v>
      </c>
      <c r="AE1306" s="117">
        <f>IF(AND('FA Addition'!$D1306&lt;$P$1+1,U1306=0),'FA Addition'!$L1306,0)-Y1306</f>
        <v>0</v>
      </c>
      <c r="AF1306" s="117">
        <f t="shared" si="100"/>
        <v>0</v>
      </c>
      <c r="AG1306" s="117">
        <f>MIN(MAX(+$P$1-'FA Addition'!$D1306,0),365*'FA Addition'!$O1306)</f>
        <v>0</v>
      </c>
      <c r="AH1306" s="117">
        <f>MIN(MAX($L$1-'FA Addition'!$D1306+1,0),365*'FA Addition'!$O1306)</f>
        <v>0</v>
      </c>
      <c r="AI1306" s="117" cm="1">
        <f t="array" ref="AI1306">_xlfn.XLOOKUP(1,('FA Write off'!A:A='FA Addition'!$A1306)*('FA Write off'!D:D=AA1306),'FA Write off'!H:H,0,0)</f>
        <v>0</v>
      </c>
      <c r="AJ1306" s="117">
        <f>IF(AC1306&gt;0,MAX(IF('FA Addition'!$N1306="SLM",($AC1306-'FA Addition'!$M1306)*'FA Addition'!$P1306*AI1306/365,(AC1306-'FA Addition'!$M1306)*(1-(1-'FA Addition'!$P1306)^(AI1306/365))),0),0)</f>
        <v>0</v>
      </c>
      <c r="AL1306" s="117">
        <f>MAX(IF(AG1306&gt;0,IF('FA Addition'!$N1306="SLM",($AE1306-'FA Addition'!$M1306)*'FA Addition'!$P1306*AG1306/365,IFERROR(VDB(AE1306,AE1306*0.05,'FA Addition'!$O1306,0,YEARFRAC('FA Addition'!$C1306,$P$1-1,3),'FA Addition'!$Q1306),FAAddition[[#This Row],[Original Cost (Rs)]]-FAAddition[[#This Row],[Salvage Value]])),0),0)</f>
        <v>0</v>
      </c>
      <c r="AM1306" s="119"/>
      <c r="AN1306" s="117">
        <f>MAX(IF(AH1306&gt;0,IF('FA Addition'!$N1306="SLM",($AF1306-'FA Addition'!$M1306)*'FA Addition'!$P1306*AH1306/365,IFERROR(VDB(AF1306,AF1306*0.05,'FA Addition'!$O1306,0,YEARFRAC('FA Addition'!$C1306,$L$1,3),'FA Addition'!$Q1306),FAAddition[[#This Row],[Original Cost (Rs)]]-FAAddition[[#This Row],[Salvage Value]])),0),0)</f>
        <v>0</v>
      </c>
      <c r="AO1306" s="117">
        <f t="shared" si="103"/>
        <v>0</v>
      </c>
      <c r="AQ1306" s="117">
        <f t="shared" si="101"/>
        <v>0</v>
      </c>
      <c r="AR1306" s="120">
        <f t="shared" si="102"/>
        <v>0</v>
      </c>
      <c r="AS1306" s="121"/>
    </row>
    <row r="1307" spans="1:45" ht="13.5" x14ac:dyDescent="0.4">
      <c r="A1307" s="12">
        <f t="shared" si="104"/>
        <v>1304</v>
      </c>
      <c r="B1307" s="64" t="s">
        <v>1758</v>
      </c>
      <c r="C1307" s="54">
        <v>45736</v>
      </c>
      <c r="D1307" s="54">
        <v>45741</v>
      </c>
      <c r="E1307" s="46" t="s">
        <v>451</v>
      </c>
      <c r="F1307" s="51" t="s">
        <v>19</v>
      </c>
      <c r="G1307" s="51" t="s">
        <v>144</v>
      </c>
      <c r="H1307" s="51" t="s">
        <v>21</v>
      </c>
      <c r="I1307" s="55" t="s">
        <v>2069</v>
      </c>
      <c r="J1307" s="56">
        <v>1</v>
      </c>
      <c r="K1307" s="51" t="s">
        <v>2070</v>
      </c>
      <c r="L1307" s="58">
        <v>131779.44</v>
      </c>
      <c r="M1307" s="50">
        <f>ROUND('FA Addition'!$L1307*5%,0.1)</f>
        <v>6589</v>
      </c>
      <c r="N1307" s="113" t="str">
        <f>_xlfn.XLOOKUP(_xlfn.CONCAT(E1307,B1307),'Year Wise Master Dep Approach'!F:F,'Year Wise Master Dep Approach'!D:D)</f>
        <v>WDV</v>
      </c>
      <c r="O1307" s="113">
        <f>_xlfn.XLOOKUP(_xlfn.CONCAT(E1307,B1307),'Year Wise Master Dep Approach'!F:F,'Year Wise Master Dep Approach'!E:E)</f>
        <v>3</v>
      </c>
      <c r="P1307" s="114">
        <f>IFERROR(IF('FA Addition'!$N1307="WDV",1-('FA Addition'!$M1307/'FA Addition'!$L1307)^(1/'FA Addition'!$O1307),1/'FA Addition'!$O1307),0)</f>
        <v>0.63159632829059176</v>
      </c>
      <c r="Q1307" s="122">
        <f>'FA Addition'!$P1307*'FA Addition'!$O1307</f>
        <v>1.8947889848717754</v>
      </c>
      <c r="R1307" s="122"/>
      <c r="S1307" s="116">
        <f>IF(AND(DATE(20&amp;LEFT(FAAddition[[#This Row],[FY]],2),4,1)&lt;$L$1+1,DATE(20&amp;LEFT(FAAddition[[#This Row],[FY]],2),4,1)&gt;$P$1-1),'FA Addition'!$J1307,0)</f>
        <v>0</v>
      </c>
      <c r="U1307" s="117">
        <f>S1307*'FA Addition'!$L1307/'FA Addition'!$J1307</f>
        <v>0</v>
      </c>
      <c r="W1307" s="116">
        <f>SUMIFS('FA Write off'!D:D,'FA Write off'!A:A,'FA Addition'!$A1307,'FA Write off'!C:C,"&lt;"&amp;'FA Addition'!$P$1)</f>
        <v>0</v>
      </c>
      <c r="Y1307" s="191">
        <f>IFERROR(W1307/'FA Addition'!$J1307*'FA Addition'!$L1307,0)</f>
        <v>0</v>
      </c>
      <c r="AA1307" s="116">
        <f>SUMIFS('FA Write off'!D:D,'FA Write off'!A:A,'FA Addition'!$A1307,'FA Write off'!C:C,"&lt;"&amp;'FA Addition'!$L$1+1,'FA Write off'!C:C,"&gt;"&amp;'FA Addition'!$L$1-365)</f>
        <v>0</v>
      </c>
      <c r="AC1307" s="118">
        <f>IFERROR(AA1307/'FA Addition'!$J1307*'FA Addition'!$L1307,0)</f>
        <v>0</v>
      </c>
      <c r="AE1307" s="117">
        <f>IF(AND('FA Addition'!$D1307&lt;$P$1+1,U1307=0),'FA Addition'!$L1307,0)-Y1307</f>
        <v>0</v>
      </c>
      <c r="AF1307" s="117">
        <f t="shared" si="100"/>
        <v>0</v>
      </c>
      <c r="AG1307" s="117">
        <f>MIN(MAX(+$P$1-'FA Addition'!$D1307,0),365*'FA Addition'!$O1307)</f>
        <v>0</v>
      </c>
      <c r="AH1307" s="117">
        <f>MIN(MAX($L$1-'FA Addition'!$D1307+1,0),365*'FA Addition'!$O1307)</f>
        <v>0</v>
      </c>
      <c r="AI1307" s="117" cm="1">
        <f t="array" ref="AI1307">_xlfn.XLOOKUP(1,('FA Write off'!A:A='FA Addition'!$A1307)*('FA Write off'!D:D=AA1307),'FA Write off'!H:H,0,0)</f>
        <v>0</v>
      </c>
      <c r="AJ1307" s="117">
        <f>IF(AC1307&gt;0,MAX(IF('FA Addition'!$N1307="SLM",($AC1307-'FA Addition'!$M1307)*'FA Addition'!$P1307*AI1307/365,(AC1307-'FA Addition'!$M1307)*(1-(1-'FA Addition'!$P1307)^(AI1307/365))),0),0)</f>
        <v>0</v>
      </c>
      <c r="AL1307" s="117">
        <f>MAX(IF(AG1307&gt;0,IF('FA Addition'!$N1307="SLM",($AE1307-'FA Addition'!$M1307)*'FA Addition'!$P1307*AG1307/365,IFERROR(VDB(AE1307,AE1307*0.05,'FA Addition'!$O1307,0,YEARFRAC('FA Addition'!$C1307,$P$1-1,3),'FA Addition'!$Q1307),FAAddition[[#This Row],[Original Cost (Rs)]]-FAAddition[[#This Row],[Salvage Value]])),0),0)</f>
        <v>0</v>
      </c>
      <c r="AM1307" s="119"/>
      <c r="AN1307" s="117">
        <f>MAX(IF(AH1307&gt;0,IF('FA Addition'!$N1307="SLM",($AF1307-'FA Addition'!$M1307)*'FA Addition'!$P1307*AH1307/365,IFERROR(VDB(AF1307,AF1307*0.05,'FA Addition'!$O1307,0,YEARFRAC('FA Addition'!$C1307,$L$1,3),'FA Addition'!$Q1307),FAAddition[[#This Row],[Original Cost (Rs)]]-FAAddition[[#This Row],[Salvage Value]])),0),0)</f>
        <v>0</v>
      </c>
      <c r="AO1307" s="117">
        <f t="shared" si="103"/>
        <v>0</v>
      </c>
      <c r="AQ1307" s="117">
        <f t="shared" si="101"/>
        <v>0</v>
      </c>
      <c r="AR1307" s="120">
        <f t="shared" si="102"/>
        <v>0</v>
      </c>
      <c r="AS1307" s="121"/>
    </row>
    <row r="1308" spans="1:45" ht="13.5" x14ac:dyDescent="0.4">
      <c r="A1308" s="12">
        <f t="shared" si="104"/>
        <v>1305</v>
      </c>
      <c r="B1308" s="64" t="s">
        <v>1758</v>
      </c>
      <c r="C1308" s="54">
        <v>45736</v>
      </c>
      <c r="D1308" s="54">
        <v>45741</v>
      </c>
      <c r="E1308" s="46" t="s">
        <v>451</v>
      </c>
      <c r="F1308" s="51" t="s">
        <v>19</v>
      </c>
      <c r="G1308" s="51" t="s">
        <v>144</v>
      </c>
      <c r="H1308" s="51" t="s">
        <v>21</v>
      </c>
      <c r="I1308" s="55" t="s">
        <v>2069</v>
      </c>
      <c r="J1308" s="56">
        <v>1</v>
      </c>
      <c r="K1308" s="51" t="s">
        <v>2070</v>
      </c>
      <c r="L1308" s="58">
        <v>131779.44</v>
      </c>
      <c r="M1308" s="50">
        <f>ROUND('FA Addition'!$L1308*5%,0.1)</f>
        <v>6589</v>
      </c>
      <c r="N1308" s="113" t="str">
        <f>_xlfn.XLOOKUP(_xlfn.CONCAT(E1308,B1308),'Year Wise Master Dep Approach'!F:F,'Year Wise Master Dep Approach'!D:D)</f>
        <v>WDV</v>
      </c>
      <c r="O1308" s="113">
        <f>_xlfn.XLOOKUP(_xlfn.CONCAT(E1308,B1308),'Year Wise Master Dep Approach'!F:F,'Year Wise Master Dep Approach'!E:E)</f>
        <v>3</v>
      </c>
      <c r="P1308" s="114">
        <f>IFERROR(IF('FA Addition'!$N1308="WDV",1-('FA Addition'!$M1308/'FA Addition'!$L1308)^(1/'FA Addition'!$O1308),1/'FA Addition'!$O1308),0)</f>
        <v>0.63159632829059176</v>
      </c>
      <c r="Q1308" s="122">
        <f>'FA Addition'!$P1308*'FA Addition'!$O1308</f>
        <v>1.8947889848717754</v>
      </c>
      <c r="R1308" s="122"/>
      <c r="S1308" s="116">
        <f>IF(AND(DATE(20&amp;LEFT(FAAddition[[#This Row],[FY]],2),4,1)&lt;$L$1+1,DATE(20&amp;LEFT(FAAddition[[#This Row],[FY]],2),4,1)&gt;$P$1-1),'FA Addition'!$J1308,0)</f>
        <v>0</v>
      </c>
      <c r="U1308" s="117">
        <f>S1308*'FA Addition'!$L1308/'FA Addition'!$J1308</f>
        <v>0</v>
      </c>
      <c r="W1308" s="116">
        <f>SUMIFS('FA Write off'!D:D,'FA Write off'!A:A,'FA Addition'!$A1308,'FA Write off'!C:C,"&lt;"&amp;'FA Addition'!$P$1)</f>
        <v>0</v>
      </c>
      <c r="Y1308" s="191">
        <f>IFERROR(W1308/'FA Addition'!$J1308*'FA Addition'!$L1308,0)</f>
        <v>0</v>
      </c>
      <c r="AA1308" s="116">
        <f>SUMIFS('FA Write off'!D:D,'FA Write off'!A:A,'FA Addition'!$A1308,'FA Write off'!C:C,"&lt;"&amp;'FA Addition'!$L$1+1,'FA Write off'!C:C,"&gt;"&amp;'FA Addition'!$L$1-365)</f>
        <v>0</v>
      </c>
      <c r="AC1308" s="118">
        <f>IFERROR(AA1308/'FA Addition'!$J1308*'FA Addition'!$L1308,0)</f>
        <v>0</v>
      </c>
      <c r="AE1308" s="117">
        <f>IF(AND('FA Addition'!$D1308&lt;$P$1+1,U1308=0),'FA Addition'!$L1308,0)-Y1308</f>
        <v>0</v>
      </c>
      <c r="AF1308" s="117">
        <f t="shared" si="100"/>
        <v>0</v>
      </c>
      <c r="AG1308" s="117">
        <f>MIN(MAX(+$P$1-'FA Addition'!$D1308,0),365*'FA Addition'!$O1308)</f>
        <v>0</v>
      </c>
      <c r="AH1308" s="117">
        <f>MIN(MAX($L$1-'FA Addition'!$D1308+1,0),365*'FA Addition'!$O1308)</f>
        <v>0</v>
      </c>
      <c r="AI1308" s="117" cm="1">
        <f t="array" ref="AI1308">_xlfn.XLOOKUP(1,('FA Write off'!A:A='FA Addition'!$A1308)*('FA Write off'!D:D=AA1308),'FA Write off'!H:H,0,0)</f>
        <v>0</v>
      </c>
      <c r="AJ1308" s="117">
        <f>IF(AC1308&gt;0,MAX(IF('FA Addition'!$N1308="SLM",($AC1308-'FA Addition'!$M1308)*'FA Addition'!$P1308*AI1308/365,(AC1308-'FA Addition'!$M1308)*(1-(1-'FA Addition'!$P1308)^(AI1308/365))),0),0)</f>
        <v>0</v>
      </c>
      <c r="AL1308" s="117">
        <f>MAX(IF(AG1308&gt;0,IF('FA Addition'!$N1308="SLM",($AE1308-'FA Addition'!$M1308)*'FA Addition'!$P1308*AG1308/365,IFERROR(VDB(AE1308,AE1308*0.05,'FA Addition'!$O1308,0,YEARFRAC('FA Addition'!$C1308,$P$1-1,3),'FA Addition'!$Q1308),FAAddition[[#This Row],[Original Cost (Rs)]]-FAAddition[[#This Row],[Salvage Value]])),0),0)</f>
        <v>0</v>
      </c>
      <c r="AM1308" s="119"/>
      <c r="AN1308" s="117">
        <f>MAX(IF(AH1308&gt;0,IF('FA Addition'!$N1308="SLM",($AF1308-'FA Addition'!$M1308)*'FA Addition'!$P1308*AH1308/365,IFERROR(VDB(AF1308,AF1308*0.05,'FA Addition'!$O1308,0,YEARFRAC('FA Addition'!$C1308,$L$1,3),'FA Addition'!$Q1308),FAAddition[[#This Row],[Original Cost (Rs)]]-FAAddition[[#This Row],[Salvage Value]])),0),0)</f>
        <v>0</v>
      </c>
      <c r="AO1308" s="117">
        <f t="shared" si="103"/>
        <v>0</v>
      </c>
      <c r="AQ1308" s="117">
        <f t="shared" si="101"/>
        <v>0</v>
      </c>
      <c r="AR1308" s="120">
        <f t="shared" si="102"/>
        <v>0</v>
      </c>
      <c r="AS1308" s="121"/>
    </row>
    <row r="1309" spans="1:45" ht="13.5" x14ac:dyDescent="0.4">
      <c r="A1309" s="12">
        <f t="shared" si="104"/>
        <v>1306</v>
      </c>
      <c r="B1309" s="64" t="s">
        <v>1758</v>
      </c>
      <c r="C1309" s="54">
        <v>45736</v>
      </c>
      <c r="D1309" s="54">
        <v>45741</v>
      </c>
      <c r="E1309" s="46" t="s">
        <v>451</v>
      </c>
      <c r="F1309" s="51" t="s">
        <v>19</v>
      </c>
      <c r="G1309" s="51" t="s">
        <v>144</v>
      </c>
      <c r="H1309" s="51" t="s">
        <v>21</v>
      </c>
      <c r="I1309" s="55" t="s">
        <v>2069</v>
      </c>
      <c r="J1309" s="56">
        <v>1</v>
      </c>
      <c r="K1309" s="51" t="s">
        <v>2070</v>
      </c>
      <c r="L1309" s="58">
        <v>131779.44</v>
      </c>
      <c r="M1309" s="50">
        <f>ROUND('FA Addition'!$L1309*5%,0.1)</f>
        <v>6589</v>
      </c>
      <c r="N1309" s="113" t="str">
        <f>_xlfn.XLOOKUP(_xlfn.CONCAT(E1309,B1309),'Year Wise Master Dep Approach'!F:F,'Year Wise Master Dep Approach'!D:D)</f>
        <v>WDV</v>
      </c>
      <c r="O1309" s="113">
        <f>_xlfn.XLOOKUP(_xlfn.CONCAT(E1309,B1309),'Year Wise Master Dep Approach'!F:F,'Year Wise Master Dep Approach'!E:E)</f>
        <v>3</v>
      </c>
      <c r="P1309" s="114">
        <f>IFERROR(IF('FA Addition'!$N1309="WDV",1-('FA Addition'!$M1309/'FA Addition'!$L1309)^(1/'FA Addition'!$O1309),1/'FA Addition'!$O1309),0)</f>
        <v>0.63159632829059176</v>
      </c>
      <c r="Q1309" s="122">
        <f>'FA Addition'!$P1309*'FA Addition'!$O1309</f>
        <v>1.8947889848717754</v>
      </c>
      <c r="R1309" s="122"/>
      <c r="S1309" s="116">
        <f>IF(AND(DATE(20&amp;LEFT(FAAddition[[#This Row],[FY]],2),4,1)&lt;$L$1+1,DATE(20&amp;LEFT(FAAddition[[#This Row],[FY]],2),4,1)&gt;$P$1-1),'FA Addition'!$J1309,0)</f>
        <v>0</v>
      </c>
      <c r="U1309" s="117">
        <f>S1309*'FA Addition'!$L1309/'FA Addition'!$J1309</f>
        <v>0</v>
      </c>
      <c r="W1309" s="116">
        <f>SUMIFS('FA Write off'!D:D,'FA Write off'!A:A,'FA Addition'!$A1309,'FA Write off'!C:C,"&lt;"&amp;'FA Addition'!$P$1)</f>
        <v>0</v>
      </c>
      <c r="Y1309" s="191">
        <f>IFERROR(W1309/'FA Addition'!$J1309*'FA Addition'!$L1309,0)</f>
        <v>0</v>
      </c>
      <c r="AA1309" s="116">
        <f>SUMIFS('FA Write off'!D:D,'FA Write off'!A:A,'FA Addition'!$A1309,'FA Write off'!C:C,"&lt;"&amp;'FA Addition'!$L$1+1,'FA Write off'!C:C,"&gt;"&amp;'FA Addition'!$L$1-365)</f>
        <v>0</v>
      </c>
      <c r="AC1309" s="118">
        <f>IFERROR(AA1309/'FA Addition'!$J1309*'FA Addition'!$L1309,0)</f>
        <v>0</v>
      </c>
      <c r="AE1309" s="117">
        <f>IF(AND('FA Addition'!$D1309&lt;$P$1+1,U1309=0),'FA Addition'!$L1309,0)-Y1309</f>
        <v>0</v>
      </c>
      <c r="AF1309" s="117">
        <f t="shared" si="100"/>
        <v>0</v>
      </c>
      <c r="AG1309" s="117">
        <f>MIN(MAX(+$P$1-'FA Addition'!$D1309,0),365*'FA Addition'!$O1309)</f>
        <v>0</v>
      </c>
      <c r="AH1309" s="117">
        <f>MIN(MAX($L$1-'FA Addition'!$D1309+1,0),365*'FA Addition'!$O1309)</f>
        <v>0</v>
      </c>
      <c r="AI1309" s="117" cm="1">
        <f t="array" ref="AI1309">_xlfn.XLOOKUP(1,('FA Write off'!A:A='FA Addition'!$A1309)*('FA Write off'!D:D=AA1309),'FA Write off'!H:H,0,0)</f>
        <v>0</v>
      </c>
      <c r="AJ1309" s="117">
        <f>IF(AC1309&gt;0,MAX(IF('FA Addition'!$N1309="SLM",($AC1309-'FA Addition'!$M1309)*'FA Addition'!$P1309*AI1309/365,(AC1309-'FA Addition'!$M1309)*(1-(1-'FA Addition'!$P1309)^(AI1309/365))),0),0)</f>
        <v>0</v>
      </c>
      <c r="AL1309" s="117">
        <f>MAX(IF(AG1309&gt;0,IF('FA Addition'!$N1309="SLM",($AE1309-'FA Addition'!$M1309)*'FA Addition'!$P1309*AG1309/365,IFERROR(VDB(AE1309,AE1309*0.05,'FA Addition'!$O1309,0,YEARFRAC('FA Addition'!$C1309,$P$1-1,3),'FA Addition'!$Q1309),FAAddition[[#This Row],[Original Cost (Rs)]]-FAAddition[[#This Row],[Salvage Value]])),0),0)</f>
        <v>0</v>
      </c>
      <c r="AM1309" s="119"/>
      <c r="AN1309" s="117">
        <f>MAX(IF(AH1309&gt;0,IF('FA Addition'!$N1309="SLM",($AF1309-'FA Addition'!$M1309)*'FA Addition'!$P1309*AH1309/365,IFERROR(VDB(AF1309,AF1309*0.05,'FA Addition'!$O1309,0,YEARFRAC('FA Addition'!$C1309,$L$1,3),'FA Addition'!$Q1309),FAAddition[[#This Row],[Original Cost (Rs)]]-FAAddition[[#This Row],[Salvage Value]])),0),0)</f>
        <v>0</v>
      </c>
      <c r="AO1309" s="117">
        <f t="shared" si="103"/>
        <v>0</v>
      </c>
      <c r="AQ1309" s="117">
        <f t="shared" si="101"/>
        <v>0</v>
      </c>
      <c r="AR1309" s="120">
        <f t="shared" si="102"/>
        <v>0</v>
      </c>
      <c r="AS1309" s="121"/>
    </row>
    <row r="1310" spans="1:45" ht="13.5" x14ac:dyDescent="0.4">
      <c r="A1310" s="12">
        <f t="shared" si="104"/>
        <v>1307</v>
      </c>
      <c r="B1310" s="64" t="s">
        <v>1758</v>
      </c>
      <c r="C1310" s="54">
        <v>45736</v>
      </c>
      <c r="D1310" s="54">
        <v>45741</v>
      </c>
      <c r="E1310" s="46" t="s">
        <v>451</v>
      </c>
      <c r="F1310" s="51" t="s">
        <v>19</v>
      </c>
      <c r="G1310" s="51" t="s">
        <v>144</v>
      </c>
      <c r="H1310" s="51" t="s">
        <v>21</v>
      </c>
      <c r="I1310" s="55" t="s">
        <v>2069</v>
      </c>
      <c r="J1310" s="56">
        <v>1</v>
      </c>
      <c r="K1310" s="51" t="s">
        <v>2070</v>
      </c>
      <c r="L1310" s="58">
        <v>131779.44</v>
      </c>
      <c r="M1310" s="50">
        <f>ROUND('FA Addition'!$L1310*5%,0.1)</f>
        <v>6589</v>
      </c>
      <c r="N1310" s="113" t="str">
        <f>_xlfn.XLOOKUP(_xlfn.CONCAT(E1310,B1310),'Year Wise Master Dep Approach'!F:F,'Year Wise Master Dep Approach'!D:D)</f>
        <v>WDV</v>
      </c>
      <c r="O1310" s="113">
        <f>_xlfn.XLOOKUP(_xlfn.CONCAT(E1310,B1310),'Year Wise Master Dep Approach'!F:F,'Year Wise Master Dep Approach'!E:E)</f>
        <v>3</v>
      </c>
      <c r="P1310" s="114">
        <f>IFERROR(IF('FA Addition'!$N1310="WDV",1-('FA Addition'!$M1310/'FA Addition'!$L1310)^(1/'FA Addition'!$O1310),1/'FA Addition'!$O1310),0)</f>
        <v>0.63159632829059176</v>
      </c>
      <c r="Q1310" s="122">
        <f>'FA Addition'!$P1310*'FA Addition'!$O1310</f>
        <v>1.8947889848717754</v>
      </c>
      <c r="R1310" s="122"/>
      <c r="S1310" s="116">
        <f>IF(AND(DATE(20&amp;LEFT(FAAddition[[#This Row],[FY]],2),4,1)&lt;$L$1+1,DATE(20&amp;LEFT(FAAddition[[#This Row],[FY]],2),4,1)&gt;$P$1-1),'FA Addition'!$J1310,0)</f>
        <v>0</v>
      </c>
      <c r="U1310" s="117">
        <f>S1310*'FA Addition'!$L1310/'FA Addition'!$J1310</f>
        <v>0</v>
      </c>
      <c r="W1310" s="116">
        <f>SUMIFS('FA Write off'!D:D,'FA Write off'!A:A,'FA Addition'!$A1310,'FA Write off'!C:C,"&lt;"&amp;'FA Addition'!$P$1)</f>
        <v>0</v>
      </c>
      <c r="Y1310" s="191">
        <f>IFERROR(W1310/'FA Addition'!$J1310*'FA Addition'!$L1310,0)</f>
        <v>0</v>
      </c>
      <c r="AA1310" s="116">
        <f>SUMIFS('FA Write off'!D:D,'FA Write off'!A:A,'FA Addition'!$A1310,'FA Write off'!C:C,"&lt;"&amp;'FA Addition'!$L$1+1,'FA Write off'!C:C,"&gt;"&amp;'FA Addition'!$L$1-365)</f>
        <v>0</v>
      </c>
      <c r="AC1310" s="118">
        <f>IFERROR(AA1310/'FA Addition'!$J1310*'FA Addition'!$L1310,0)</f>
        <v>0</v>
      </c>
      <c r="AE1310" s="117">
        <f>IF(AND('FA Addition'!$D1310&lt;$P$1+1,U1310=0),'FA Addition'!$L1310,0)-Y1310</f>
        <v>0</v>
      </c>
      <c r="AF1310" s="117">
        <f t="shared" si="100"/>
        <v>0</v>
      </c>
      <c r="AG1310" s="117">
        <f>MIN(MAX(+$P$1-'FA Addition'!$D1310,0),365*'FA Addition'!$O1310)</f>
        <v>0</v>
      </c>
      <c r="AH1310" s="117">
        <f>MIN(MAX($L$1-'FA Addition'!$D1310+1,0),365*'FA Addition'!$O1310)</f>
        <v>0</v>
      </c>
      <c r="AI1310" s="117" cm="1">
        <f t="array" ref="AI1310">_xlfn.XLOOKUP(1,('FA Write off'!A:A='FA Addition'!$A1310)*('FA Write off'!D:D=AA1310),'FA Write off'!H:H,0,0)</f>
        <v>0</v>
      </c>
      <c r="AJ1310" s="117">
        <f>IF(AC1310&gt;0,MAX(IF('FA Addition'!$N1310="SLM",($AC1310-'FA Addition'!$M1310)*'FA Addition'!$P1310*AI1310/365,(AC1310-'FA Addition'!$M1310)*(1-(1-'FA Addition'!$P1310)^(AI1310/365))),0),0)</f>
        <v>0</v>
      </c>
      <c r="AL1310" s="117">
        <f>MAX(IF(AG1310&gt;0,IF('FA Addition'!$N1310="SLM",($AE1310-'FA Addition'!$M1310)*'FA Addition'!$P1310*AG1310/365,IFERROR(VDB(AE1310,AE1310*0.05,'FA Addition'!$O1310,0,YEARFRAC('FA Addition'!$C1310,$P$1-1,3),'FA Addition'!$Q1310),FAAddition[[#This Row],[Original Cost (Rs)]]-FAAddition[[#This Row],[Salvage Value]])),0),0)</f>
        <v>0</v>
      </c>
      <c r="AM1310" s="119"/>
      <c r="AN1310" s="117">
        <f>MAX(IF(AH1310&gt;0,IF('FA Addition'!$N1310="SLM",($AF1310-'FA Addition'!$M1310)*'FA Addition'!$P1310*AH1310/365,IFERROR(VDB(AF1310,AF1310*0.05,'FA Addition'!$O1310,0,YEARFRAC('FA Addition'!$C1310,$L$1,3),'FA Addition'!$Q1310),FAAddition[[#This Row],[Original Cost (Rs)]]-FAAddition[[#This Row],[Salvage Value]])),0),0)</f>
        <v>0</v>
      </c>
      <c r="AO1310" s="117">
        <f t="shared" si="103"/>
        <v>0</v>
      </c>
      <c r="AQ1310" s="117">
        <f t="shared" si="101"/>
        <v>0</v>
      </c>
      <c r="AR1310" s="120">
        <f t="shared" si="102"/>
        <v>0</v>
      </c>
      <c r="AS1310" s="121"/>
    </row>
    <row r="1311" spans="1:45" ht="13.5" x14ac:dyDescent="0.4">
      <c r="A1311" s="12">
        <f t="shared" si="104"/>
        <v>1308</v>
      </c>
      <c r="B1311" s="64" t="s">
        <v>1758</v>
      </c>
      <c r="C1311" s="54">
        <v>45736</v>
      </c>
      <c r="D1311" s="54">
        <v>45741</v>
      </c>
      <c r="E1311" s="46" t="s">
        <v>451</v>
      </c>
      <c r="F1311" s="51" t="s">
        <v>19</v>
      </c>
      <c r="G1311" s="51" t="s">
        <v>144</v>
      </c>
      <c r="H1311" s="51" t="s">
        <v>21</v>
      </c>
      <c r="I1311" s="55" t="s">
        <v>2069</v>
      </c>
      <c r="J1311" s="56">
        <v>1</v>
      </c>
      <c r="K1311" s="51" t="s">
        <v>2070</v>
      </c>
      <c r="L1311" s="58">
        <v>131779.44</v>
      </c>
      <c r="M1311" s="50">
        <f>ROUND('FA Addition'!$L1311*5%,0.1)</f>
        <v>6589</v>
      </c>
      <c r="N1311" s="113" t="str">
        <f>_xlfn.XLOOKUP(_xlfn.CONCAT(E1311,B1311),'Year Wise Master Dep Approach'!F:F,'Year Wise Master Dep Approach'!D:D)</f>
        <v>WDV</v>
      </c>
      <c r="O1311" s="113">
        <f>_xlfn.XLOOKUP(_xlfn.CONCAT(E1311,B1311),'Year Wise Master Dep Approach'!F:F,'Year Wise Master Dep Approach'!E:E)</f>
        <v>3</v>
      </c>
      <c r="P1311" s="114">
        <f>IFERROR(IF('FA Addition'!$N1311="WDV",1-('FA Addition'!$M1311/'FA Addition'!$L1311)^(1/'FA Addition'!$O1311),1/'FA Addition'!$O1311),0)</f>
        <v>0.63159632829059176</v>
      </c>
      <c r="Q1311" s="122">
        <f>'FA Addition'!$P1311*'FA Addition'!$O1311</f>
        <v>1.8947889848717754</v>
      </c>
      <c r="R1311" s="122"/>
      <c r="S1311" s="116">
        <f>IF(AND(DATE(20&amp;LEFT(FAAddition[[#This Row],[FY]],2),4,1)&lt;$L$1+1,DATE(20&amp;LEFT(FAAddition[[#This Row],[FY]],2),4,1)&gt;$P$1-1),'FA Addition'!$J1311,0)</f>
        <v>0</v>
      </c>
      <c r="U1311" s="117">
        <f>S1311*'FA Addition'!$L1311/'FA Addition'!$J1311</f>
        <v>0</v>
      </c>
      <c r="W1311" s="116">
        <f>SUMIFS('FA Write off'!D:D,'FA Write off'!A:A,'FA Addition'!$A1311,'FA Write off'!C:C,"&lt;"&amp;'FA Addition'!$P$1)</f>
        <v>0</v>
      </c>
      <c r="Y1311" s="191">
        <f>IFERROR(W1311/'FA Addition'!$J1311*'FA Addition'!$L1311,0)</f>
        <v>0</v>
      </c>
      <c r="AA1311" s="116">
        <f>SUMIFS('FA Write off'!D:D,'FA Write off'!A:A,'FA Addition'!$A1311,'FA Write off'!C:C,"&lt;"&amp;'FA Addition'!$L$1+1,'FA Write off'!C:C,"&gt;"&amp;'FA Addition'!$L$1-365)</f>
        <v>0</v>
      </c>
      <c r="AC1311" s="118">
        <f>IFERROR(AA1311/'FA Addition'!$J1311*'FA Addition'!$L1311,0)</f>
        <v>0</v>
      </c>
      <c r="AE1311" s="117">
        <f>IF(AND('FA Addition'!$D1311&lt;$P$1+1,U1311=0),'FA Addition'!$L1311,0)-Y1311</f>
        <v>0</v>
      </c>
      <c r="AF1311" s="117">
        <f t="shared" si="100"/>
        <v>0</v>
      </c>
      <c r="AG1311" s="117">
        <f>MIN(MAX(+$P$1-'FA Addition'!$D1311,0),365*'FA Addition'!$O1311)</f>
        <v>0</v>
      </c>
      <c r="AH1311" s="117">
        <f>MIN(MAX($L$1-'FA Addition'!$D1311+1,0),365*'FA Addition'!$O1311)</f>
        <v>0</v>
      </c>
      <c r="AI1311" s="117" cm="1">
        <f t="array" ref="AI1311">_xlfn.XLOOKUP(1,('FA Write off'!A:A='FA Addition'!$A1311)*('FA Write off'!D:D=AA1311),'FA Write off'!H:H,0,0)</f>
        <v>0</v>
      </c>
      <c r="AJ1311" s="117">
        <f>IF(AC1311&gt;0,MAX(IF('FA Addition'!$N1311="SLM",($AC1311-'FA Addition'!$M1311)*'FA Addition'!$P1311*AI1311/365,(AC1311-'FA Addition'!$M1311)*(1-(1-'FA Addition'!$P1311)^(AI1311/365))),0),0)</f>
        <v>0</v>
      </c>
      <c r="AL1311" s="117">
        <f>MAX(IF(AG1311&gt;0,IF('FA Addition'!$N1311="SLM",($AE1311-'FA Addition'!$M1311)*'FA Addition'!$P1311*AG1311/365,IFERROR(VDB(AE1311,AE1311*0.05,'FA Addition'!$O1311,0,YEARFRAC('FA Addition'!$C1311,$P$1-1,3),'FA Addition'!$Q1311),FAAddition[[#This Row],[Original Cost (Rs)]]-FAAddition[[#This Row],[Salvage Value]])),0),0)</f>
        <v>0</v>
      </c>
      <c r="AM1311" s="119"/>
      <c r="AN1311" s="117">
        <f>MAX(IF(AH1311&gt;0,IF('FA Addition'!$N1311="SLM",($AF1311-'FA Addition'!$M1311)*'FA Addition'!$P1311*AH1311/365,IFERROR(VDB(AF1311,AF1311*0.05,'FA Addition'!$O1311,0,YEARFRAC('FA Addition'!$C1311,$L$1,3),'FA Addition'!$Q1311),FAAddition[[#This Row],[Original Cost (Rs)]]-FAAddition[[#This Row],[Salvage Value]])),0),0)</f>
        <v>0</v>
      </c>
      <c r="AO1311" s="117">
        <f t="shared" si="103"/>
        <v>0</v>
      </c>
      <c r="AQ1311" s="117">
        <f t="shared" si="101"/>
        <v>0</v>
      </c>
      <c r="AR1311" s="120">
        <f t="shared" si="102"/>
        <v>0</v>
      </c>
      <c r="AS1311" s="121"/>
    </row>
    <row r="1312" spans="1:45" ht="13.5" x14ac:dyDescent="0.4">
      <c r="A1312" s="12">
        <f t="shared" si="104"/>
        <v>1309</v>
      </c>
      <c r="B1312" s="64" t="s">
        <v>1758</v>
      </c>
      <c r="C1312" s="54">
        <v>45734</v>
      </c>
      <c r="D1312" s="54">
        <v>45741</v>
      </c>
      <c r="E1312" s="46" t="s">
        <v>1320</v>
      </c>
      <c r="F1312" s="51" t="s">
        <v>33</v>
      </c>
      <c r="G1312" s="51" t="s">
        <v>36</v>
      </c>
      <c r="H1312" s="51" t="s">
        <v>32</v>
      </c>
      <c r="I1312" s="55" t="s">
        <v>2071</v>
      </c>
      <c r="J1312" s="56">
        <v>1200</v>
      </c>
      <c r="K1312" s="51" t="s">
        <v>296</v>
      </c>
      <c r="L1312" s="58">
        <v>1920000</v>
      </c>
      <c r="M1312" s="50">
        <f>ROUND('FA Addition'!$L1312*5%,0.1)</f>
        <v>96000</v>
      </c>
      <c r="N1312" s="113" t="str">
        <f>_xlfn.XLOOKUP(_xlfn.CONCAT(E1312,B1312),'Year Wise Master Dep Approach'!F:F,'Year Wise Master Dep Approach'!D:D)</f>
        <v>SLM</v>
      </c>
      <c r="O1312" s="113">
        <f>_xlfn.XLOOKUP(_xlfn.CONCAT(E1312,B1312),'Year Wise Master Dep Approach'!F:F,'Year Wise Master Dep Approach'!E:E)</f>
        <v>5</v>
      </c>
      <c r="P1312" s="114">
        <f>IFERROR(IF('FA Addition'!$N1312="WDV",1-('FA Addition'!$M1312/'FA Addition'!$L1312)^(1/'FA Addition'!$O1312),1/'FA Addition'!$O1312),0)</f>
        <v>0.2</v>
      </c>
      <c r="Q1312" s="122">
        <f>'FA Addition'!$P1312*'FA Addition'!$O1312</f>
        <v>1</v>
      </c>
      <c r="R1312" s="122"/>
      <c r="S1312" s="116">
        <f>IF(AND(DATE(20&amp;LEFT(FAAddition[[#This Row],[FY]],2),4,1)&lt;$L$1+1,DATE(20&amp;LEFT(FAAddition[[#This Row],[FY]],2),4,1)&gt;$P$1-1),'FA Addition'!$J1312,0)</f>
        <v>0</v>
      </c>
      <c r="U1312" s="117">
        <f>S1312*'FA Addition'!$L1312/'FA Addition'!$J1312</f>
        <v>0</v>
      </c>
      <c r="W1312" s="116">
        <f>SUMIFS('FA Write off'!D:D,'FA Write off'!A:A,'FA Addition'!$A1312,'FA Write off'!C:C,"&lt;"&amp;'FA Addition'!$P$1)</f>
        <v>0</v>
      </c>
      <c r="Y1312" s="191">
        <f>IFERROR(W1312/'FA Addition'!$J1312*'FA Addition'!$L1312,0)</f>
        <v>0</v>
      </c>
      <c r="AA1312" s="116">
        <f>SUMIFS('FA Write off'!D:D,'FA Write off'!A:A,'FA Addition'!$A1312,'FA Write off'!C:C,"&lt;"&amp;'FA Addition'!$L$1+1,'FA Write off'!C:C,"&gt;"&amp;'FA Addition'!$L$1-365)</f>
        <v>0</v>
      </c>
      <c r="AC1312" s="118">
        <f>IFERROR(AA1312/'FA Addition'!$J1312*'FA Addition'!$L1312,0)</f>
        <v>0</v>
      </c>
      <c r="AE1312" s="117">
        <f>IF(AND('FA Addition'!$D1312&lt;$P$1+1,U1312=0),'FA Addition'!$L1312,0)-Y1312</f>
        <v>0</v>
      </c>
      <c r="AF1312" s="117">
        <f t="shared" si="100"/>
        <v>0</v>
      </c>
      <c r="AG1312" s="117">
        <f>MIN(MAX(+$P$1-'FA Addition'!$D1312,0),365*'FA Addition'!$O1312)</f>
        <v>0</v>
      </c>
      <c r="AH1312" s="117">
        <f>MIN(MAX($L$1-'FA Addition'!$D1312+1,0),365*'FA Addition'!$O1312)</f>
        <v>0</v>
      </c>
      <c r="AI1312" s="117" cm="1">
        <f t="array" ref="AI1312">_xlfn.XLOOKUP(1,('FA Write off'!A:A='FA Addition'!$A1312)*('FA Write off'!D:D=AA1312),'FA Write off'!H:H,0,0)</f>
        <v>0</v>
      </c>
      <c r="AJ1312" s="117">
        <f>IF(AC1312&gt;0,MAX(IF('FA Addition'!$N1312="SLM",($AC1312-'FA Addition'!$M1312)*'FA Addition'!$P1312*AI1312/365,(AC1312-'FA Addition'!$M1312)*(1-(1-'FA Addition'!$P1312)^(AI1312/365))),0),0)</f>
        <v>0</v>
      </c>
      <c r="AL1312" s="117">
        <f>MAX(IF(AG1312&gt;0,IF('FA Addition'!$N1312="SLM",($AE1312-'FA Addition'!$M1312)*'FA Addition'!$P1312*AG1312/365,IFERROR(VDB(AE1312,AE1312*0.05,'FA Addition'!$O1312,0,YEARFRAC('FA Addition'!$C1312,$P$1-1,3),'FA Addition'!$Q1312),FAAddition[[#This Row],[Original Cost (Rs)]]-FAAddition[[#This Row],[Salvage Value]])),0),0)</f>
        <v>0</v>
      </c>
      <c r="AM1312" s="119"/>
      <c r="AN1312" s="117">
        <f>MAX(IF(AH1312&gt;0,IF('FA Addition'!$N1312="SLM",($AF1312-'FA Addition'!$M1312)*'FA Addition'!$P1312*AH1312/365,IFERROR(VDB(AF1312,AF1312*0.05,'FA Addition'!$O1312,0,YEARFRAC('FA Addition'!$C1312,$L$1,3),'FA Addition'!$Q1312),FAAddition[[#This Row],[Original Cost (Rs)]]-FAAddition[[#This Row],[Salvage Value]])),0),0)</f>
        <v>0</v>
      </c>
      <c r="AO1312" s="117">
        <f t="shared" si="103"/>
        <v>0</v>
      </c>
      <c r="AQ1312" s="117">
        <f t="shared" si="101"/>
        <v>0</v>
      </c>
      <c r="AR1312" s="120">
        <f t="shared" si="102"/>
        <v>0</v>
      </c>
      <c r="AS1312" s="121"/>
    </row>
    <row r="1313" spans="1:45" ht="13.5" x14ac:dyDescent="0.4">
      <c r="A1313" s="12">
        <f t="shared" si="104"/>
        <v>1310</v>
      </c>
      <c r="B1313" s="64" t="s">
        <v>1758</v>
      </c>
      <c r="C1313" s="54">
        <v>45716</v>
      </c>
      <c r="D1313" s="54">
        <v>45741</v>
      </c>
      <c r="E1313" s="46" t="s">
        <v>1320</v>
      </c>
      <c r="F1313" s="51" t="s">
        <v>33</v>
      </c>
      <c r="G1313" s="51" t="s">
        <v>36</v>
      </c>
      <c r="H1313" s="51" t="s">
        <v>32</v>
      </c>
      <c r="I1313" s="55" t="s">
        <v>2072</v>
      </c>
      <c r="J1313" s="56">
        <v>1000</v>
      </c>
      <c r="K1313" s="51" t="s">
        <v>296</v>
      </c>
      <c r="L1313" s="58">
        <v>1600000</v>
      </c>
      <c r="M1313" s="50">
        <f>ROUND('FA Addition'!$L1313*5%,0.1)</f>
        <v>80000</v>
      </c>
      <c r="N1313" s="113" t="str">
        <f>_xlfn.XLOOKUP(_xlfn.CONCAT(E1313,B1313),'Year Wise Master Dep Approach'!F:F,'Year Wise Master Dep Approach'!D:D)</f>
        <v>SLM</v>
      </c>
      <c r="O1313" s="113">
        <f>_xlfn.XLOOKUP(_xlfn.CONCAT(E1313,B1313),'Year Wise Master Dep Approach'!F:F,'Year Wise Master Dep Approach'!E:E)</f>
        <v>5</v>
      </c>
      <c r="P1313" s="114">
        <f>IFERROR(IF('FA Addition'!$N1313="WDV",1-('FA Addition'!$M1313/'FA Addition'!$L1313)^(1/'FA Addition'!$O1313),1/'FA Addition'!$O1313),0)</f>
        <v>0.2</v>
      </c>
      <c r="Q1313" s="122">
        <f>'FA Addition'!$P1313*'FA Addition'!$O1313</f>
        <v>1</v>
      </c>
      <c r="R1313" s="122"/>
      <c r="S1313" s="116">
        <f>IF(AND(DATE(20&amp;LEFT(FAAddition[[#This Row],[FY]],2),4,1)&lt;$L$1+1,DATE(20&amp;LEFT(FAAddition[[#This Row],[FY]],2),4,1)&gt;$P$1-1),'FA Addition'!$J1313,0)</f>
        <v>0</v>
      </c>
      <c r="U1313" s="117">
        <f>S1313*'FA Addition'!$L1313/'FA Addition'!$J1313</f>
        <v>0</v>
      </c>
      <c r="W1313" s="116">
        <f>SUMIFS('FA Write off'!D:D,'FA Write off'!A:A,'FA Addition'!$A1313,'FA Write off'!C:C,"&lt;"&amp;'FA Addition'!$P$1)</f>
        <v>0</v>
      </c>
      <c r="Y1313" s="191">
        <f>IFERROR(W1313/'FA Addition'!$J1313*'FA Addition'!$L1313,0)</f>
        <v>0</v>
      </c>
      <c r="AA1313" s="116">
        <f>SUMIFS('FA Write off'!D:D,'FA Write off'!A:A,'FA Addition'!$A1313,'FA Write off'!C:C,"&lt;"&amp;'FA Addition'!$L$1+1,'FA Write off'!C:C,"&gt;"&amp;'FA Addition'!$L$1-365)</f>
        <v>0</v>
      </c>
      <c r="AC1313" s="118">
        <f>IFERROR(AA1313/'FA Addition'!$J1313*'FA Addition'!$L1313,0)</f>
        <v>0</v>
      </c>
      <c r="AE1313" s="117">
        <f>IF(AND('FA Addition'!$D1313&lt;$P$1+1,U1313=0),'FA Addition'!$L1313,0)-Y1313</f>
        <v>0</v>
      </c>
      <c r="AF1313" s="117">
        <f t="shared" si="100"/>
        <v>0</v>
      </c>
      <c r="AG1313" s="117">
        <f>MIN(MAX(+$P$1-'FA Addition'!$D1313,0),365*'FA Addition'!$O1313)</f>
        <v>0</v>
      </c>
      <c r="AH1313" s="117">
        <f>MIN(MAX($L$1-'FA Addition'!$D1313+1,0),365*'FA Addition'!$O1313)</f>
        <v>0</v>
      </c>
      <c r="AI1313" s="117" cm="1">
        <f t="array" ref="AI1313">_xlfn.XLOOKUP(1,('FA Write off'!A:A='FA Addition'!$A1313)*('FA Write off'!D:D=AA1313),'FA Write off'!H:H,0,0)</f>
        <v>0</v>
      </c>
      <c r="AJ1313" s="117">
        <f>IF(AC1313&gt;0,MAX(IF('FA Addition'!$N1313="SLM",($AC1313-'FA Addition'!$M1313)*'FA Addition'!$P1313*AI1313/365,(AC1313-'FA Addition'!$M1313)*(1-(1-'FA Addition'!$P1313)^(AI1313/365))),0),0)</f>
        <v>0</v>
      </c>
      <c r="AL1313" s="117">
        <f>MAX(IF(AG1313&gt;0,IF('FA Addition'!$N1313="SLM",($AE1313-'FA Addition'!$M1313)*'FA Addition'!$P1313*AG1313/365,IFERROR(VDB(AE1313,AE1313*0.05,'FA Addition'!$O1313,0,YEARFRAC('FA Addition'!$C1313,$P$1-1,3),'FA Addition'!$Q1313),FAAddition[[#This Row],[Original Cost (Rs)]]-FAAddition[[#This Row],[Salvage Value]])),0),0)</f>
        <v>0</v>
      </c>
      <c r="AM1313" s="119"/>
      <c r="AN1313" s="117">
        <f>MAX(IF(AH1313&gt;0,IF('FA Addition'!$N1313="SLM",($AF1313-'FA Addition'!$M1313)*'FA Addition'!$P1313*AH1313/365,IFERROR(VDB(AF1313,AF1313*0.05,'FA Addition'!$O1313,0,YEARFRAC('FA Addition'!$C1313,$L$1,3),'FA Addition'!$Q1313),FAAddition[[#This Row],[Original Cost (Rs)]]-FAAddition[[#This Row],[Salvage Value]])),0),0)</f>
        <v>0</v>
      </c>
      <c r="AO1313" s="117">
        <f t="shared" si="103"/>
        <v>0</v>
      </c>
      <c r="AQ1313" s="117">
        <f t="shared" si="101"/>
        <v>0</v>
      </c>
      <c r="AR1313" s="120">
        <f t="shared" si="102"/>
        <v>0</v>
      </c>
      <c r="AS1313" s="121"/>
    </row>
    <row r="1314" spans="1:45" ht="13.5" x14ac:dyDescent="0.4">
      <c r="A1314" s="12">
        <f t="shared" si="104"/>
        <v>1311</v>
      </c>
      <c r="B1314" s="64" t="s">
        <v>1758</v>
      </c>
      <c r="C1314" s="54">
        <v>45714</v>
      </c>
      <c r="D1314" s="54">
        <v>45741</v>
      </c>
      <c r="E1314" s="46" t="s">
        <v>1320</v>
      </c>
      <c r="F1314" s="51" t="s">
        <v>33</v>
      </c>
      <c r="G1314" s="51" t="s">
        <v>36</v>
      </c>
      <c r="H1314" s="51" t="s">
        <v>32</v>
      </c>
      <c r="I1314" s="55" t="s">
        <v>2073</v>
      </c>
      <c r="J1314" s="56">
        <v>500</v>
      </c>
      <c r="K1314" s="51" t="s">
        <v>296</v>
      </c>
      <c r="L1314" s="58">
        <v>800000</v>
      </c>
      <c r="M1314" s="50">
        <f>ROUND('FA Addition'!$L1314*5%,0.1)</f>
        <v>40000</v>
      </c>
      <c r="N1314" s="113" t="str">
        <f>_xlfn.XLOOKUP(_xlfn.CONCAT(E1314,B1314),'Year Wise Master Dep Approach'!F:F,'Year Wise Master Dep Approach'!D:D)</f>
        <v>SLM</v>
      </c>
      <c r="O1314" s="113">
        <f>_xlfn.XLOOKUP(_xlfn.CONCAT(E1314,B1314),'Year Wise Master Dep Approach'!F:F,'Year Wise Master Dep Approach'!E:E)</f>
        <v>5</v>
      </c>
      <c r="P1314" s="114">
        <f>IFERROR(IF('FA Addition'!$N1314="WDV",1-('FA Addition'!$M1314/'FA Addition'!$L1314)^(1/'FA Addition'!$O1314),1/'FA Addition'!$O1314),0)</f>
        <v>0.2</v>
      </c>
      <c r="Q1314" s="122">
        <f>'FA Addition'!$P1314*'FA Addition'!$O1314</f>
        <v>1</v>
      </c>
      <c r="R1314" s="122"/>
      <c r="S1314" s="116">
        <f>IF(AND(DATE(20&amp;LEFT(FAAddition[[#This Row],[FY]],2),4,1)&lt;$L$1+1,DATE(20&amp;LEFT(FAAddition[[#This Row],[FY]],2),4,1)&gt;$P$1-1),'FA Addition'!$J1314,0)</f>
        <v>0</v>
      </c>
      <c r="U1314" s="117">
        <f>S1314*'FA Addition'!$L1314/'FA Addition'!$J1314</f>
        <v>0</v>
      </c>
      <c r="W1314" s="116">
        <f>SUMIFS('FA Write off'!D:D,'FA Write off'!A:A,'FA Addition'!$A1314,'FA Write off'!C:C,"&lt;"&amp;'FA Addition'!$P$1)</f>
        <v>0</v>
      </c>
      <c r="Y1314" s="191">
        <f>IFERROR(W1314/'FA Addition'!$J1314*'FA Addition'!$L1314,0)</f>
        <v>0</v>
      </c>
      <c r="AA1314" s="116">
        <f>SUMIFS('FA Write off'!D:D,'FA Write off'!A:A,'FA Addition'!$A1314,'FA Write off'!C:C,"&lt;"&amp;'FA Addition'!$L$1+1,'FA Write off'!C:C,"&gt;"&amp;'FA Addition'!$L$1-365)</f>
        <v>0</v>
      </c>
      <c r="AC1314" s="118">
        <f>IFERROR(AA1314/'FA Addition'!$J1314*'FA Addition'!$L1314,0)</f>
        <v>0</v>
      </c>
      <c r="AE1314" s="117">
        <f>IF(AND('FA Addition'!$D1314&lt;$P$1+1,U1314=0),'FA Addition'!$L1314,0)-Y1314</f>
        <v>0</v>
      </c>
      <c r="AF1314" s="117">
        <f t="shared" si="100"/>
        <v>0</v>
      </c>
      <c r="AG1314" s="117">
        <f>MIN(MAX(+$P$1-'FA Addition'!$D1314,0),365*'FA Addition'!$O1314)</f>
        <v>0</v>
      </c>
      <c r="AH1314" s="117">
        <f>MIN(MAX($L$1-'FA Addition'!$D1314+1,0),365*'FA Addition'!$O1314)</f>
        <v>0</v>
      </c>
      <c r="AI1314" s="117" cm="1">
        <f t="array" ref="AI1314">_xlfn.XLOOKUP(1,('FA Write off'!A:A='FA Addition'!$A1314)*('FA Write off'!D:D=AA1314),'FA Write off'!H:H,0,0)</f>
        <v>0</v>
      </c>
      <c r="AJ1314" s="117">
        <f>IF(AC1314&gt;0,MAX(IF('FA Addition'!$N1314="SLM",($AC1314-'FA Addition'!$M1314)*'FA Addition'!$P1314*AI1314/365,(AC1314-'FA Addition'!$M1314)*(1-(1-'FA Addition'!$P1314)^(AI1314/365))),0),0)</f>
        <v>0</v>
      </c>
      <c r="AL1314" s="117">
        <f>MAX(IF(AG1314&gt;0,IF('FA Addition'!$N1314="SLM",($AE1314-'FA Addition'!$M1314)*'FA Addition'!$P1314*AG1314/365,IFERROR(VDB(AE1314,AE1314*0.05,'FA Addition'!$O1314,0,YEARFRAC('FA Addition'!$C1314,$P$1-1,3),'FA Addition'!$Q1314),FAAddition[[#This Row],[Original Cost (Rs)]]-FAAddition[[#This Row],[Salvage Value]])),0),0)</f>
        <v>0</v>
      </c>
      <c r="AM1314" s="119"/>
      <c r="AN1314" s="117">
        <f>MAX(IF(AH1314&gt;0,IF('FA Addition'!$N1314="SLM",($AF1314-'FA Addition'!$M1314)*'FA Addition'!$P1314*AH1314/365,IFERROR(VDB(AF1314,AF1314*0.05,'FA Addition'!$O1314,0,YEARFRAC('FA Addition'!$C1314,$L$1,3),'FA Addition'!$Q1314),FAAddition[[#This Row],[Original Cost (Rs)]]-FAAddition[[#This Row],[Salvage Value]])),0),0)</f>
        <v>0</v>
      </c>
      <c r="AO1314" s="117">
        <f t="shared" si="103"/>
        <v>0</v>
      </c>
      <c r="AQ1314" s="117">
        <f t="shared" si="101"/>
        <v>0</v>
      </c>
      <c r="AR1314" s="120">
        <f t="shared" si="102"/>
        <v>0</v>
      </c>
      <c r="AS1314" s="121"/>
    </row>
    <row r="1315" spans="1:45" ht="13.5" x14ac:dyDescent="0.4">
      <c r="A1315" s="12">
        <f t="shared" si="104"/>
        <v>1312</v>
      </c>
      <c r="B1315" s="64" t="s">
        <v>1758</v>
      </c>
      <c r="C1315" s="54">
        <v>45727</v>
      </c>
      <c r="D1315" s="54">
        <v>45741</v>
      </c>
      <c r="E1315" s="46" t="s">
        <v>1320</v>
      </c>
      <c r="F1315" s="51" t="s">
        <v>33</v>
      </c>
      <c r="G1315" s="51" t="s">
        <v>36</v>
      </c>
      <c r="H1315" s="51" t="s">
        <v>32</v>
      </c>
      <c r="I1315" s="55" t="s">
        <v>2074</v>
      </c>
      <c r="J1315" s="56">
        <v>1000</v>
      </c>
      <c r="K1315" s="51" t="s">
        <v>296</v>
      </c>
      <c r="L1315" s="58">
        <v>1600000</v>
      </c>
      <c r="M1315" s="50">
        <f>ROUND('FA Addition'!$L1315*5%,0.1)</f>
        <v>80000</v>
      </c>
      <c r="N1315" s="113" t="str">
        <f>_xlfn.XLOOKUP(_xlfn.CONCAT(E1315,B1315),'Year Wise Master Dep Approach'!F:F,'Year Wise Master Dep Approach'!D:D)</f>
        <v>SLM</v>
      </c>
      <c r="O1315" s="113">
        <f>_xlfn.XLOOKUP(_xlfn.CONCAT(E1315,B1315),'Year Wise Master Dep Approach'!F:F,'Year Wise Master Dep Approach'!E:E)</f>
        <v>5</v>
      </c>
      <c r="P1315" s="114">
        <f>IFERROR(IF('FA Addition'!$N1315="WDV",1-('FA Addition'!$M1315/'FA Addition'!$L1315)^(1/'FA Addition'!$O1315),1/'FA Addition'!$O1315),0)</f>
        <v>0.2</v>
      </c>
      <c r="Q1315" s="122">
        <f>'FA Addition'!$P1315*'FA Addition'!$O1315</f>
        <v>1</v>
      </c>
      <c r="R1315" s="122"/>
      <c r="S1315" s="116">
        <f>IF(AND(DATE(20&amp;LEFT(FAAddition[[#This Row],[FY]],2),4,1)&lt;$L$1+1,DATE(20&amp;LEFT(FAAddition[[#This Row],[FY]],2),4,1)&gt;$P$1-1),'FA Addition'!$J1315,0)</f>
        <v>0</v>
      </c>
      <c r="U1315" s="117">
        <f>S1315*'FA Addition'!$L1315/'FA Addition'!$J1315</f>
        <v>0</v>
      </c>
      <c r="W1315" s="116">
        <f>SUMIFS('FA Write off'!D:D,'FA Write off'!A:A,'FA Addition'!$A1315,'FA Write off'!C:C,"&lt;"&amp;'FA Addition'!$P$1)</f>
        <v>0</v>
      </c>
      <c r="Y1315" s="191">
        <f>IFERROR(W1315/'FA Addition'!$J1315*'FA Addition'!$L1315,0)</f>
        <v>0</v>
      </c>
      <c r="AA1315" s="116">
        <f>SUMIFS('FA Write off'!D:D,'FA Write off'!A:A,'FA Addition'!$A1315,'FA Write off'!C:C,"&lt;"&amp;'FA Addition'!$L$1+1,'FA Write off'!C:C,"&gt;"&amp;'FA Addition'!$L$1-365)</f>
        <v>0</v>
      </c>
      <c r="AC1315" s="118">
        <f>IFERROR(AA1315/'FA Addition'!$J1315*'FA Addition'!$L1315,0)</f>
        <v>0</v>
      </c>
      <c r="AE1315" s="117">
        <f>IF(AND('FA Addition'!$D1315&lt;$P$1+1,U1315=0),'FA Addition'!$L1315,0)-Y1315</f>
        <v>0</v>
      </c>
      <c r="AF1315" s="117">
        <f t="shared" si="100"/>
        <v>0</v>
      </c>
      <c r="AG1315" s="117">
        <f>MIN(MAX(+$P$1-'FA Addition'!$D1315,0),365*'FA Addition'!$O1315)</f>
        <v>0</v>
      </c>
      <c r="AH1315" s="117">
        <f>MIN(MAX($L$1-'FA Addition'!$D1315+1,0),365*'FA Addition'!$O1315)</f>
        <v>0</v>
      </c>
      <c r="AI1315" s="117" cm="1">
        <f t="array" ref="AI1315">_xlfn.XLOOKUP(1,('FA Write off'!A:A='FA Addition'!$A1315)*('FA Write off'!D:D=AA1315),'FA Write off'!H:H,0,0)</f>
        <v>0</v>
      </c>
      <c r="AJ1315" s="117">
        <f>IF(AC1315&gt;0,MAX(IF('FA Addition'!$N1315="SLM",($AC1315-'FA Addition'!$M1315)*'FA Addition'!$P1315*AI1315/365,(AC1315-'FA Addition'!$M1315)*(1-(1-'FA Addition'!$P1315)^(AI1315/365))),0),0)</f>
        <v>0</v>
      </c>
      <c r="AL1315" s="117">
        <f>MAX(IF(AG1315&gt;0,IF('FA Addition'!$N1315="SLM",($AE1315-'FA Addition'!$M1315)*'FA Addition'!$P1315*AG1315/365,IFERROR(VDB(AE1315,AE1315*0.05,'FA Addition'!$O1315,0,YEARFRAC('FA Addition'!$C1315,$P$1-1,3),'FA Addition'!$Q1315),FAAddition[[#This Row],[Original Cost (Rs)]]-FAAddition[[#This Row],[Salvage Value]])),0),0)</f>
        <v>0</v>
      </c>
      <c r="AM1315" s="119"/>
      <c r="AN1315" s="117">
        <f>MAX(IF(AH1315&gt;0,IF('FA Addition'!$N1315="SLM",($AF1315-'FA Addition'!$M1315)*'FA Addition'!$P1315*AH1315/365,IFERROR(VDB(AF1315,AF1315*0.05,'FA Addition'!$O1315,0,YEARFRAC('FA Addition'!$C1315,$L$1,3),'FA Addition'!$Q1315),FAAddition[[#This Row],[Original Cost (Rs)]]-FAAddition[[#This Row],[Salvage Value]])),0),0)</f>
        <v>0</v>
      </c>
      <c r="AO1315" s="117">
        <f t="shared" si="103"/>
        <v>0</v>
      </c>
      <c r="AQ1315" s="117">
        <f t="shared" si="101"/>
        <v>0</v>
      </c>
      <c r="AR1315" s="120">
        <f t="shared" si="102"/>
        <v>0</v>
      </c>
      <c r="AS1315" s="121"/>
    </row>
    <row r="1316" spans="1:45" ht="13.5" x14ac:dyDescent="0.4">
      <c r="A1316" s="12">
        <f t="shared" si="104"/>
        <v>1313</v>
      </c>
      <c r="B1316" s="64" t="s">
        <v>1758</v>
      </c>
      <c r="C1316" s="54">
        <v>45727</v>
      </c>
      <c r="D1316" s="54">
        <v>45739</v>
      </c>
      <c r="E1316" s="46" t="s">
        <v>1320</v>
      </c>
      <c r="F1316" s="51" t="s">
        <v>33</v>
      </c>
      <c r="G1316" s="51" t="s">
        <v>36</v>
      </c>
      <c r="H1316" s="51" t="s">
        <v>32</v>
      </c>
      <c r="I1316" s="55" t="s">
        <v>2075</v>
      </c>
      <c r="J1316" s="56">
        <v>1000</v>
      </c>
      <c r="K1316" s="51" t="s">
        <v>296</v>
      </c>
      <c r="L1316" s="58">
        <v>1600000</v>
      </c>
      <c r="M1316" s="50">
        <f>ROUND('FA Addition'!$L1316*5%,0.1)</f>
        <v>80000</v>
      </c>
      <c r="N1316" s="113" t="str">
        <f>_xlfn.XLOOKUP(_xlfn.CONCAT(E1316,B1316),'Year Wise Master Dep Approach'!F:F,'Year Wise Master Dep Approach'!D:D)</f>
        <v>SLM</v>
      </c>
      <c r="O1316" s="113">
        <f>_xlfn.XLOOKUP(_xlfn.CONCAT(E1316,B1316),'Year Wise Master Dep Approach'!F:F,'Year Wise Master Dep Approach'!E:E)</f>
        <v>5</v>
      </c>
      <c r="P1316" s="114">
        <f>IFERROR(IF('FA Addition'!$N1316="WDV",1-('FA Addition'!$M1316/'FA Addition'!$L1316)^(1/'FA Addition'!$O1316),1/'FA Addition'!$O1316),0)</f>
        <v>0.2</v>
      </c>
      <c r="Q1316" s="122">
        <f>'FA Addition'!$P1316*'FA Addition'!$O1316</f>
        <v>1</v>
      </c>
      <c r="R1316" s="122"/>
      <c r="S1316" s="116">
        <f>IF(AND(DATE(20&amp;LEFT(FAAddition[[#This Row],[FY]],2),4,1)&lt;$L$1+1,DATE(20&amp;LEFT(FAAddition[[#This Row],[FY]],2),4,1)&gt;$P$1-1),'FA Addition'!$J1316,0)</f>
        <v>0</v>
      </c>
      <c r="U1316" s="117">
        <f>S1316*'FA Addition'!$L1316/'FA Addition'!$J1316</f>
        <v>0</v>
      </c>
      <c r="W1316" s="116">
        <f>SUMIFS('FA Write off'!D:D,'FA Write off'!A:A,'FA Addition'!$A1316,'FA Write off'!C:C,"&lt;"&amp;'FA Addition'!$P$1)</f>
        <v>0</v>
      </c>
      <c r="Y1316" s="191">
        <f>IFERROR(W1316/'FA Addition'!$J1316*'FA Addition'!$L1316,0)</f>
        <v>0</v>
      </c>
      <c r="AA1316" s="116">
        <f>SUMIFS('FA Write off'!D:D,'FA Write off'!A:A,'FA Addition'!$A1316,'FA Write off'!C:C,"&lt;"&amp;'FA Addition'!$L$1+1,'FA Write off'!C:C,"&gt;"&amp;'FA Addition'!$L$1-365)</f>
        <v>0</v>
      </c>
      <c r="AC1316" s="118">
        <f>IFERROR(AA1316/'FA Addition'!$J1316*'FA Addition'!$L1316,0)</f>
        <v>0</v>
      </c>
      <c r="AE1316" s="117">
        <f>IF(AND('FA Addition'!$D1316&lt;$P$1+1,U1316=0),'FA Addition'!$L1316,0)-Y1316</f>
        <v>0</v>
      </c>
      <c r="AF1316" s="117">
        <f t="shared" si="100"/>
        <v>0</v>
      </c>
      <c r="AG1316" s="117">
        <f>MIN(MAX(+$P$1-'FA Addition'!$D1316,0),365*'FA Addition'!$O1316)</f>
        <v>0</v>
      </c>
      <c r="AH1316" s="117">
        <f>MIN(MAX($L$1-'FA Addition'!$D1316+1,0),365*'FA Addition'!$O1316)</f>
        <v>0</v>
      </c>
      <c r="AI1316" s="117" cm="1">
        <f t="array" ref="AI1316">_xlfn.XLOOKUP(1,('FA Write off'!A:A='FA Addition'!$A1316)*('FA Write off'!D:D=AA1316),'FA Write off'!H:H,0,0)</f>
        <v>0</v>
      </c>
      <c r="AJ1316" s="117">
        <f>IF(AC1316&gt;0,MAX(IF('FA Addition'!$N1316="SLM",($AC1316-'FA Addition'!$M1316)*'FA Addition'!$P1316*AI1316/365,(AC1316-'FA Addition'!$M1316)*(1-(1-'FA Addition'!$P1316)^(AI1316/365))),0),0)</f>
        <v>0</v>
      </c>
      <c r="AL1316" s="117">
        <f>MAX(IF(AG1316&gt;0,IF('FA Addition'!$N1316="SLM",($AE1316-'FA Addition'!$M1316)*'FA Addition'!$P1316*AG1316/365,IFERROR(VDB(AE1316,AE1316*0.05,'FA Addition'!$O1316,0,YEARFRAC('FA Addition'!$C1316,$P$1-1,3),'FA Addition'!$Q1316),FAAddition[[#This Row],[Original Cost (Rs)]]-FAAddition[[#This Row],[Salvage Value]])),0),0)</f>
        <v>0</v>
      </c>
      <c r="AM1316" s="119"/>
      <c r="AN1316" s="117">
        <f>MAX(IF(AH1316&gt;0,IF('FA Addition'!$N1316="SLM",($AF1316-'FA Addition'!$M1316)*'FA Addition'!$P1316*AH1316/365,IFERROR(VDB(AF1316,AF1316*0.05,'FA Addition'!$O1316,0,YEARFRAC('FA Addition'!$C1316,$L$1,3),'FA Addition'!$Q1316),FAAddition[[#This Row],[Original Cost (Rs)]]-FAAddition[[#This Row],[Salvage Value]])),0),0)</f>
        <v>0</v>
      </c>
      <c r="AO1316" s="117">
        <f t="shared" si="103"/>
        <v>0</v>
      </c>
      <c r="AQ1316" s="117">
        <f t="shared" si="101"/>
        <v>0</v>
      </c>
      <c r="AR1316" s="120">
        <f t="shared" si="102"/>
        <v>0</v>
      </c>
      <c r="AS1316" s="121"/>
    </row>
    <row r="1317" spans="1:45" ht="13.5" x14ac:dyDescent="0.4">
      <c r="A1317" s="12">
        <f t="shared" si="104"/>
        <v>1314</v>
      </c>
      <c r="B1317" s="64" t="s">
        <v>1758</v>
      </c>
      <c r="C1317" s="54">
        <v>45741</v>
      </c>
      <c r="D1317" s="54">
        <v>45747</v>
      </c>
      <c r="E1317" s="46" t="s">
        <v>1320</v>
      </c>
      <c r="F1317" s="51" t="s">
        <v>33</v>
      </c>
      <c r="G1317" s="51" t="s">
        <v>34</v>
      </c>
      <c r="H1317" s="51" t="s">
        <v>32</v>
      </c>
      <c r="I1317" s="55" t="s">
        <v>2076</v>
      </c>
      <c r="J1317" s="56">
        <v>1000</v>
      </c>
      <c r="K1317" s="51" t="s">
        <v>295</v>
      </c>
      <c r="L1317" s="58">
        <v>1665000</v>
      </c>
      <c r="M1317" s="50">
        <f>ROUND('FA Addition'!$L1317*5%,0.1)</f>
        <v>83250</v>
      </c>
      <c r="N1317" s="113" t="str">
        <f>_xlfn.XLOOKUP(_xlfn.CONCAT(E1317,B1317),'Year Wise Master Dep Approach'!F:F,'Year Wise Master Dep Approach'!D:D)</f>
        <v>SLM</v>
      </c>
      <c r="O1317" s="113">
        <f>_xlfn.XLOOKUP(_xlfn.CONCAT(E1317,B1317),'Year Wise Master Dep Approach'!F:F,'Year Wise Master Dep Approach'!E:E)</f>
        <v>5</v>
      </c>
      <c r="P1317" s="114">
        <f>IFERROR(IF('FA Addition'!$N1317="WDV",1-('FA Addition'!$M1317/'FA Addition'!$L1317)^(1/'FA Addition'!$O1317),1/'FA Addition'!$O1317),0)</f>
        <v>0.2</v>
      </c>
      <c r="Q1317" s="122">
        <f>'FA Addition'!$P1317*'FA Addition'!$O1317</f>
        <v>1</v>
      </c>
      <c r="R1317" s="122"/>
      <c r="S1317" s="116">
        <f>IF(AND(DATE(20&amp;LEFT(FAAddition[[#This Row],[FY]],2),4,1)&lt;$L$1+1,DATE(20&amp;LEFT(FAAddition[[#This Row],[FY]],2),4,1)&gt;$P$1-1),'FA Addition'!$J1317,0)</f>
        <v>0</v>
      </c>
      <c r="U1317" s="117">
        <f>S1317*'FA Addition'!$L1317/'FA Addition'!$J1317</f>
        <v>0</v>
      </c>
      <c r="W1317" s="116">
        <f>SUMIFS('FA Write off'!D:D,'FA Write off'!A:A,'FA Addition'!$A1317,'FA Write off'!C:C,"&lt;"&amp;'FA Addition'!$P$1)</f>
        <v>0</v>
      </c>
      <c r="Y1317" s="191">
        <f>IFERROR(W1317/'FA Addition'!$J1317*'FA Addition'!$L1317,0)</f>
        <v>0</v>
      </c>
      <c r="AA1317" s="116">
        <f>SUMIFS('FA Write off'!D:D,'FA Write off'!A:A,'FA Addition'!$A1317,'FA Write off'!C:C,"&lt;"&amp;'FA Addition'!$L$1+1,'FA Write off'!C:C,"&gt;"&amp;'FA Addition'!$L$1-365)</f>
        <v>0</v>
      </c>
      <c r="AC1317" s="118">
        <f>IFERROR(AA1317/'FA Addition'!$J1317*'FA Addition'!$L1317,0)</f>
        <v>0</v>
      </c>
      <c r="AE1317" s="117">
        <f>IF(AND('FA Addition'!$D1317&lt;$P$1+1,U1317=0),'FA Addition'!$L1317,0)-Y1317</f>
        <v>0</v>
      </c>
      <c r="AF1317" s="117">
        <f t="shared" si="100"/>
        <v>0</v>
      </c>
      <c r="AG1317" s="117">
        <f>MIN(MAX(+$P$1-'FA Addition'!$D1317,0),365*'FA Addition'!$O1317)</f>
        <v>0</v>
      </c>
      <c r="AH1317" s="117">
        <f>MIN(MAX($L$1-'FA Addition'!$D1317+1,0),365*'FA Addition'!$O1317)</f>
        <v>0</v>
      </c>
      <c r="AI1317" s="117" cm="1">
        <f t="array" ref="AI1317">_xlfn.XLOOKUP(1,('FA Write off'!A:A='FA Addition'!$A1317)*('FA Write off'!D:D=AA1317),'FA Write off'!H:H,0,0)</f>
        <v>0</v>
      </c>
      <c r="AJ1317" s="117">
        <f>IF(AC1317&gt;0,MAX(IF('FA Addition'!$N1317="SLM",($AC1317-'FA Addition'!$M1317)*'FA Addition'!$P1317*AI1317/365,(AC1317-'FA Addition'!$M1317)*(1-(1-'FA Addition'!$P1317)^(AI1317/365))),0),0)</f>
        <v>0</v>
      </c>
      <c r="AL1317" s="117">
        <f>MAX(IF(AG1317&gt;0,IF('FA Addition'!$N1317="SLM",($AE1317-'FA Addition'!$M1317)*'FA Addition'!$P1317*AG1317/365,IFERROR(VDB(AE1317,AE1317*0.05,'FA Addition'!$O1317,0,YEARFRAC('FA Addition'!$C1317,$P$1-1,3),'FA Addition'!$Q1317),FAAddition[[#This Row],[Original Cost (Rs)]]-FAAddition[[#This Row],[Salvage Value]])),0),0)</f>
        <v>0</v>
      </c>
      <c r="AM1317" s="119"/>
      <c r="AN1317" s="117">
        <f>MAX(IF(AH1317&gt;0,IF('FA Addition'!$N1317="SLM",($AF1317-'FA Addition'!$M1317)*'FA Addition'!$P1317*AH1317/365,IFERROR(VDB(AF1317,AF1317*0.05,'FA Addition'!$O1317,0,YEARFRAC('FA Addition'!$C1317,$L$1,3),'FA Addition'!$Q1317),FAAddition[[#This Row],[Original Cost (Rs)]]-FAAddition[[#This Row],[Salvage Value]])),0),0)</f>
        <v>0</v>
      </c>
      <c r="AO1317" s="117">
        <f t="shared" si="103"/>
        <v>0</v>
      </c>
      <c r="AQ1317" s="117">
        <f t="shared" si="101"/>
        <v>0</v>
      </c>
      <c r="AR1317" s="120">
        <f t="shared" si="102"/>
        <v>0</v>
      </c>
      <c r="AS1317" s="121"/>
    </row>
    <row r="1318" spans="1:45" ht="13.5" x14ac:dyDescent="0.4">
      <c r="A1318" s="12">
        <f t="shared" si="104"/>
        <v>1315</v>
      </c>
      <c r="B1318" s="64" t="s">
        <v>1758</v>
      </c>
      <c r="C1318" s="54">
        <v>45745</v>
      </c>
      <c r="D1318" s="54">
        <v>45747</v>
      </c>
      <c r="E1318" s="46" t="s">
        <v>1320</v>
      </c>
      <c r="F1318" s="51" t="s">
        <v>33</v>
      </c>
      <c r="G1318" s="51" t="s">
        <v>34</v>
      </c>
      <c r="H1318" s="51" t="s">
        <v>32</v>
      </c>
      <c r="I1318" s="55" t="s">
        <v>2077</v>
      </c>
      <c r="J1318" s="56">
        <v>1000</v>
      </c>
      <c r="K1318" s="51" t="s">
        <v>295</v>
      </c>
      <c r="L1318" s="58">
        <v>1499000</v>
      </c>
      <c r="M1318" s="50">
        <f>ROUND('FA Addition'!$L1318*5%,0.1)</f>
        <v>74950</v>
      </c>
      <c r="N1318" s="113" t="str">
        <f>_xlfn.XLOOKUP(_xlfn.CONCAT(E1318,B1318),'Year Wise Master Dep Approach'!F:F,'Year Wise Master Dep Approach'!D:D)</f>
        <v>SLM</v>
      </c>
      <c r="O1318" s="113">
        <f>_xlfn.XLOOKUP(_xlfn.CONCAT(E1318,B1318),'Year Wise Master Dep Approach'!F:F,'Year Wise Master Dep Approach'!E:E)</f>
        <v>5</v>
      </c>
      <c r="P1318" s="114">
        <f>IFERROR(IF('FA Addition'!$N1318="WDV",1-('FA Addition'!$M1318/'FA Addition'!$L1318)^(1/'FA Addition'!$O1318),1/'FA Addition'!$O1318),0)</f>
        <v>0.2</v>
      </c>
      <c r="Q1318" s="122">
        <f>'FA Addition'!$P1318*'FA Addition'!$O1318</f>
        <v>1</v>
      </c>
      <c r="R1318" s="122"/>
      <c r="S1318" s="116">
        <f>IF(AND(DATE(20&amp;LEFT(FAAddition[[#This Row],[FY]],2),4,1)&lt;$L$1+1,DATE(20&amp;LEFT(FAAddition[[#This Row],[FY]],2),4,1)&gt;$P$1-1),'FA Addition'!$J1318,0)</f>
        <v>0</v>
      </c>
      <c r="U1318" s="117">
        <f>S1318*'FA Addition'!$L1318/'FA Addition'!$J1318</f>
        <v>0</v>
      </c>
      <c r="W1318" s="116">
        <f>SUMIFS('FA Write off'!D:D,'FA Write off'!A:A,'FA Addition'!$A1318,'FA Write off'!C:C,"&lt;"&amp;'FA Addition'!$P$1)</f>
        <v>0</v>
      </c>
      <c r="Y1318" s="191">
        <f>IFERROR(W1318/'FA Addition'!$J1318*'FA Addition'!$L1318,0)</f>
        <v>0</v>
      </c>
      <c r="AA1318" s="116">
        <f>SUMIFS('FA Write off'!D:D,'FA Write off'!A:A,'FA Addition'!$A1318,'FA Write off'!C:C,"&lt;"&amp;'FA Addition'!$L$1+1,'FA Write off'!C:C,"&gt;"&amp;'FA Addition'!$L$1-365)</f>
        <v>0</v>
      </c>
      <c r="AC1318" s="118">
        <f>IFERROR(AA1318/'FA Addition'!$J1318*'FA Addition'!$L1318,0)</f>
        <v>0</v>
      </c>
      <c r="AE1318" s="117">
        <f>IF(AND('FA Addition'!$D1318&lt;$P$1+1,U1318=0),'FA Addition'!$L1318,0)-Y1318</f>
        <v>0</v>
      </c>
      <c r="AF1318" s="117">
        <f t="shared" si="100"/>
        <v>0</v>
      </c>
      <c r="AG1318" s="117">
        <f>MIN(MAX(+$P$1-'FA Addition'!$D1318,0),365*'FA Addition'!$O1318)</f>
        <v>0</v>
      </c>
      <c r="AH1318" s="117">
        <f>MIN(MAX($L$1-'FA Addition'!$D1318+1,0),365*'FA Addition'!$O1318)</f>
        <v>0</v>
      </c>
      <c r="AI1318" s="117" cm="1">
        <f t="array" ref="AI1318">_xlfn.XLOOKUP(1,('FA Write off'!A:A='FA Addition'!$A1318)*('FA Write off'!D:D=AA1318),'FA Write off'!H:H,0,0)</f>
        <v>0</v>
      </c>
      <c r="AJ1318" s="117">
        <f>IF(AC1318&gt;0,MAX(IF('FA Addition'!$N1318="SLM",($AC1318-'FA Addition'!$M1318)*'FA Addition'!$P1318*AI1318/365,(AC1318-'FA Addition'!$M1318)*(1-(1-'FA Addition'!$P1318)^(AI1318/365))),0),0)</f>
        <v>0</v>
      </c>
      <c r="AL1318" s="117">
        <f>MAX(IF(AG1318&gt;0,IF('FA Addition'!$N1318="SLM",($AE1318-'FA Addition'!$M1318)*'FA Addition'!$P1318*AG1318/365,IFERROR(VDB(AE1318,AE1318*0.05,'FA Addition'!$O1318,0,YEARFRAC('FA Addition'!$C1318,$P$1-1,3),'FA Addition'!$Q1318),FAAddition[[#This Row],[Original Cost (Rs)]]-FAAddition[[#This Row],[Salvage Value]])),0),0)</f>
        <v>0</v>
      </c>
      <c r="AM1318" s="119"/>
      <c r="AN1318" s="117">
        <f>MAX(IF(AH1318&gt;0,IF('FA Addition'!$N1318="SLM",($AF1318-'FA Addition'!$M1318)*'FA Addition'!$P1318*AH1318/365,IFERROR(VDB(AF1318,AF1318*0.05,'FA Addition'!$O1318,0,YEARFRAC('FA Addition'!$C1318,$L$1,3),'FA Addition'!$Q1318),FAAddition[[#This Row],[Original Cost (Rs)]]-FAAddition[[#This Row],[Salvage Value]])),0),0)</f>
        <v>0</v>
      </c>
      <c r="AO1318" s="117">
        <f t="shared" si="103"/>
        <v>0</v>
      </c>
      <c r="AQ1318" s="117">
        <f t="shared" si="101"/>
        <v>0</v>
      </c>
      <c r="AR1318" s="120">
        <f t="shared" si="102"/>
        <v>0</v>
      </c>
      <c r="AS1318" s="121"/>
    </row>
    <row r="1319" spans="1:45" ht="13.5" x14ac:dyDescent="0.4">
      <c r="A1319" s="12">
        <f t="shared" si="104"/>
        <v>1316</v>
      </c>
      <c r="B1319" s="64" t="s">
        <v>1758</v>
      </c>
      <c r="C1319" s="54">
        <v>45747</v>
      </c>
      <c r="D1319" s="54">
        <v>45747</v>
      </c>
      <c r="E1319" s="46" t="s">
        <v>1320</v>
      </c>
      <c r="F1319" s="51" t="s">
        <v>33</v>
      </c>
      <c r="G1319" s="51" t="s">
        <v>36</v>
      </c>
      <c r="H1319" s="51" t="s">
        <v>32</v>
      </c>
      <c r="I1319" s="55" t="s">
        <v>2078</v>
      </c>
      <c r="J1319" s="56">
        <v>900</v>
      </c>
      <c r="K1319" s="51" t="s">
        <v>296</v>
      </c>
      <c r="L1319" s="58">
        <v>1440000</v>
      </c>
      <c r="M1319" s="50">
        <f>ROUND('FA Addition'!$L1319*5%,0.1)</f>
        <v>72000</v>
      </c>
      <c r="N1319" s="113" t="str">
        <f>_xlfn.XLOOKUP(_xlfn.CONCAT(E1319,B1319),'Year Wise Master Dep Approach'!F:F,'Year Wise Master Dep Approach'!D:D)</f>
        <v>SLM</v>
      </c>
      <c r="O1319" s="113">
        <f>_xlfn.XLOOKUP(_xlfn.CONCAT(E1319,B1319),'Year Wise Master Dep Approach'!F:F,'Year Wise Master Dep Approach'!E:E)</f>
        <v>5</v>
      </c>
      <c r="P1319" s="114">
        <f>IFERROR(IF('FA Addition'!$N1319="WDV",1-('FA Addition'!$M1319/'FA Addition'!$L1319)^(1/'FA Addition'!$O1319),1/'FA Addition'!$O1319),0)</f>
        <v>0.2</v>
      </c>
      <c r="Q1319" s="122">
        <f>'FA Addition'!$P1319*'FA Addition'!$O1319</f>
        <v>1</v>
      </c>
      <c r="R1319" s="122"/>
      <c r="S1319" s="116">
        <f>IF(AND(DATE(20&amp;LEFT(FAAddition[[#This Row],[FY]],2),4,1)&lt;$L$1+1,DATE(20&amp;LEFT(FAAddition[[#This Row],[FY]],2),4,1)&gt;$P$1-1),'FA Addition'!$J1319,0)</f>
        <v>0</v>
      </c>
      <c r="U1319" s="117">
        <f>S1319*'FA Addition'!$L1319/'FA Addition'!$J1319</f>
        <v>0</v>
      </c>
      <c r="W1319" s="116">
        <f>SUMIFS('FA Write off'!D:D,'FA Write off'!A:A,'FA Addition'!$A1319,'FA Write off'!C:C,"&lt;"&amp;'FA Addition'!$P$1)</f>
        <v>0</v>
      </c>
      <c r="Y1319" s="191">
        <f>IFERROR(W1319/'FA Addition'!$J1319*'FA Addition'!$L1319,0)</f>
        <v>0</v>
      </c>
      <c r="AA1319" s="116">
        <f>SUMIFS('FA Write off'!D:D,'FA Write off'!A:A,'FA Addition'!$A1319,'FA Write off'!C:C,"&lt;"&amp;'FA Addition'!$L$1+1,'FA Write off'!C:C,"&gt;"&amp;'FA Addition'!$L$1-365)</f>
        <v>0</v>
      </c>
      <c r="AC1319" s="118">
        <f>IFERROR(AA1319/'FA Addition'!$J1319*'FA Addition'!$L1319,0)</f>
        <v>0</v>
      </c>
      <c r="AE1319" s="117">
        <f>IF(AND('FA Addition'!$D1319&lt;$P$1+1,U1319=0),'FA Addition'!$L1319,0)-Y1319</f>
        <v>0</v>
      </c>
      <c r="AF1319" s="117">
        <f t="shared" si="100"/>
        <v>0</v>
      </c>
      <c r="AG1319" s="117">
        <f>MIN(MAX(+$P$1-'FA Addition'!$D1319,0),365*'FA Addition'!$O1319)</f>
        <v>0</v>
      </c>
      <c r="AH1319" s="117">
        <f>MIN(MAX($L$1-'FA Addition'!$D1319+1,0),365*'FA Addition'!$O1319)</f>
        <v>0</v>
      </c>
      <c r="AI1319" s="117" cm="1">
        <f t="array" ref="AI1319">_xlfn.XLOOKUP(1,('FA Write off'!A:A='FA Addition'!$A1319)*('FA Write off'!D:D=AA1319),'FA Write off'!H:H,0,0)</f>
        <v>0</v>
      </c>
      <c r="AJ1319" s="117">
        <f>IF(AC1319&gt;0,MAX(IF('FA Addition'!$N1319="SLM",($AC1319-'FA Addition'!$M1319)*'FA Addition'!$P1319*AI1319/365,(AC1319-'FA Addition'!$M1319)*(1-(1-'FA Addition'!$P1319)^(AI1319/365))),0),0)</f>
        <v>0</v>
      </c>
      <c r="AL1319" s="117">
        <f>MAX(IF(AG1319&gt;0,IF('FA Addition'!$N1319="SLM",($AE1319-'FA Addition'!$M1319)*'FA Addition'!$P1319*AG1319/365,IFERROR(VDB(AE1319,AE1319*0.05,'FA Addition'!$O1319,0,YEARFRAC('FA Addition'!$C1319,$P$1-1,3),'FA Addition'!$Q1319),FAAddition[[#This Row],[Original Cost (Rs)]]-FAAddition[[#This Row],[Salvage Value]])),0),0)</f>
        <v>0</v>
      </c>
      <c r="AM1319" s="119"/>
      <c r="AN1319" s="117">
        <f>MAX(IF(AH1319&gt;0,IF('FA Addition'!$N1319="SLM",($AF1319-'FA Addition'!$M1319)*'FA Addition'!$P1319*AH1319/365,IFERROR(VDB(AF1319,AF1319*0.05,'FA Addition'!$O1319,0,YEARFRAC('FA Addition'!$C1319,$L$1,3),'FA Addition'!$Q1319),FAAddition[[#This Row],[Original Cost (Rs)]]-FAAddition[[#This Row],[Salvage Value]])),0),0)</f>
        <v>0</v>
      </c>
      <c r="AO1319" s="117">
        <f t="shared" si="103"/>
        <v>0</v>
      </c>
      <c r="AQ1319" s="117">
        <f t="shared" si="101"/>
        <v>0</v>
      </c>
      <c r="AR1319" s="120">
        <f t="shared" si="102"/>
        <v>0</v>
      </c>
      <c r="AS1319" s="121"/>
    </row>
    <row r="1320" spans="1:45" ht="13.5" x14ac:dyDescent="0.4">
      <c r="A1320" s="12">
        <f t="shared" si="104"/>
        <v>1317</v>
      </c>
      <c r="B1320" s="64" t="s">
        <v>1758</v>
      </c>
      <c r="C1320" s="54">
        <v>45738</v>
      </c>
      <c r="D1320" s="54">
        <v>45747</v>
      </c>
      <c r="E1320" s="46" t="s">
        <v>1320</v>
      </c>
      <c r="F1320" s="51" t="s">
        <v>33</v>
      </c>
      <c r="G1320" s="51" t="s">
        <v>36</v>
      </c>
      <c r="H1320" s="51" t="s">
        <v>32</v>
      </c>
      <c r="I1320" s="55" t="s">
        <v>2079</v>
      </c>
      <c r="J1320" s="56">
        <v>500</v>
      </c>
      <c r="K1320" s="51" t="s">
        <v>296</v>
      </c>
      <c r="L1320" s="58">
        <v>800000</v>
      </c>
      <c r="M1320" s="50">
        <f>ROUND('FA Addition'!$L1320*5%,0.1)</f>
        <v>40000</v>
      </c>
      <c r="N1320" s="113" t="str">
        <f>_xlfn.XLOOKUP(_xlfn.CONCAT(E1320,B1320),'Year Wise Master Dep Approach'!F:F,'Year Wise Master Dep Approach'!D:D)</f>
        <v>SLM</v>
      </c>
      <c r="O1320" s="113">
        <f>_xlfn.XLOOKUP(_xlfn.CONCAT(E1320,B1320),'Year Wise Master Dep Approach'!F:F,'Year Wise Master Dep Approach'!E:E)</f>
        <v>5</v>
      </c>
      <c r="P1320" s="114">
        <f>IFERROR(IF('FA Addition'!$N1320="WDV",1-('FA Addition'!$M1320/'FA Addition'!$L1320)^(1/'FA Addition'!$O1320),1/'FA Addition'!$O1320),0)</f>
        <v>0.2</v>
      </c>
      <c r="Q1320" s="122">
        <f>'FA Addition'!$P1320*'FA Addition'!$O1320</f>
        <v>1</v>
      </c>
      <c r="R1320" s="122"/>
      <c r="S1320" s="116">
        <f>IF(AND(DATE(20&amp;LEFT(FAAddition[[#This Row],[FY]],2),4,1)&lt;$L$1+1,DATE(20&amp;LEFT(FAAddition[[#This Row],[FY]],2),4,1)&gt;$P$1-1),'FA Addition'!$J1320,0)</f>
        <v>0</v>
      </c>
      <c r="U1320" s="117">
        <f>S1320*'FA Addition'!$L1320/'FA Addition'!$J1320</f>
        <v>0</v>
      </c>
      <c r="W1320" s="116">
        <f>SUMIFS('FA Write off'!D:D,'FA Write off'!A:A,'FA Addition'!$A1320,'FA Write off'!C:C,"&lt;"&amp;'FA Addition'!$P$1)</f>
        <v>0</v>
      </c>
      <c r="Y1320" s="191">
        <f>IFERROR(W1320/'FA Addition'!$J1320*'FA Addition'!$L1320,0)</f>
        <v>0</v>
      </c>
      <c r="AA1320" s="116">
        <f>SUMIFS('FA Write off'!D:D,'FA Write off'!A:A,'FA Addition'!$A1320,'FA Write off'!C:C,"&lt;"&amp;'FA Addition'!$L$1+1,'FA Write off'!C:C,"&gt;"&amp;'FA Addition'!$L$1-365)</f>
        <v>0</v>
      </c>
      <c r="AC1320" s="118">
        <f>IFERROR(AA1320/'FA Addition'!$J1320*'FA Addition'!$L1320,0)</f>
        <v>0</v>
      </c>
      <c r="AE1320" s="117">
        <f>IF(AND('FA Addition'!$D1320&lt;$P$1+1,U1320=0),'FA Addition'!$L1320,0)-Y1320</f>
        <v>0</v>
      </c>
      <c r="AF1320" s="117">
        <f t="shared" si="100"/>
        <v>0</v>
      </c>
      <c r="AG1320" s="117">
        <f>MIN(MAX(+$P$1-'FA Addition'!$D1320,0),365*'FA Addition'!$O1320)</f>
        <v>0</v>
      </c>
      <c r="AH1320" s="117">
        <f>MIN(MAX($L$1-'FA Addition'!$D1320+1,0),365*'FA Addition'!$O1320)</f>
        <v>0</v>
      </c>
      <c r="AI1320" s="117" cm="1">
        <f t="array" ref="AI1320">_xlfn.XLOOKUP(1,('FA Write off'!A:A='FA Addition'!$A1320)*('FA Write off'!D:D=AA1320),'FA Write off'!H:H,0,0)</f>
        <v>0</v>
      </c>
      <c r="AJ1320" s="117">
        <f>IF(AC1320&gt;0,MAX(IF('FA Addition'!$N1320="SLM",($AC1320-'FA Addition'!$M1320)*'FA Addition'!$P1320*AI1320/365,(AC1320-'FA Addition'!$M1320)*(1-(1-'FA Addition'!$P1320)^(AI1320/365))),0),0)</f>
        <v>0</v>
      </c>
      <c r="AL1320" s="117">
        <f>MAX(IF(AG1320&gt;0,IF('FA Addition'!$N1320="SLM",($AE1320-'FA Addition'!$M1320)*'FA Addition'!$P1320*AG1320/365,IFERROR(VDB(AE1320,AE1320*0.05,'FA Addition'!$O1320,0,YEARFRAC('FA Addition'!$C1320,$P$1-1,3),'FA Addition'!$Q1320),FAAddition[[#This Row],[Original Cost (Rs)]]-FAAddition[[#This Row],[Salvage Value]])),0),0)</f>
        <v>0</v>
      </c>
      <c r="AM1320" s="119"/>
      <c r="AN1320" s="117">
        <f>MAX(IF(AH1320&gt;0,IF('FA Addition'!$N1320="SLM",($AF1320-'FA Addition'!$M1320)*'FA Addition'!$P1320*AH1320/365,IFERROR(VDB(AF1320,AF1320*0.05,'FA Addition'!$O1320,0,YEARFRAC('FA Addition'!$C1320,$L$1,3),'FA Addition'!$Q1320),FAAddition[[#This Row],[Original Cost (Rs)]]-FAAddition[[#This Row],[Salvage Value]])),0),0)</f>
        <v>0</v>
      </c>
      <c r="AO1320" s="117">
        <f t="shared" si="103"/>
        <v>0</v>
      </c>
      <c r="AQ1320" s="117">
        <f t="shared" si="101"/>
        <v>0</v>
      </c>
      <c r="AR1320" s="120">
        <f t="shared" si="102"/>
        <v>0</v>
      </c>
      <c r="AS1320" s="121"/>
    </row>
    <row r="1321" spans="1:45" ht="13.5" x14ac:dyDescent="0.4">
      <c r="A1321" s="12">
        <f t="shared" si="104"/>
        <v>1318</v>
      </c>
      <c r="B1321" s="64" t="s">
        <v>1758</v>
      </c>
      <c r="C1321" s="54">
        <v>45743</v>
      </c>
      <c r="D1321" s="54">
        <v>45747</v>
      </c>
      <c r="E1321" s="46" t="s">
        <v>1320</v>
      </c>
      <c r="F1321" s="51" t="s">
        <v>33</v>
      </c>
      <c r="G1321" s="51" t="s">
        <v>34</v>
      </c>
      <c r="H1321" s="51" t="s">
        <v>32</v>
      </c>
      <c r="I1321" s="55" t="s">
        <v>2080</v>
      </c>
      <c r="J1321" s="56">
        <v>1000</v>
      </c>
      <c r="K1321" s="51" t="s">
        <v>295</v>
      </c>
      <c r="L1321" s="58">
        <v>1665000</v>
      </c>
      <c r="M1321" s="50">
        <f>ROUND('FA Addition'!$L1321*5%,0.1)</f>
        <v>83250</v>
      </c>
      <c r="N1321" s="113" t="str">
        <f>_xlfn.XLOOKUP(_xlfn.CONCAT(E1321,B1321),'Year Wise Master Dep Approach'!F:F,'Year Wise Master Dep Approach'!D:D)</f>
        <v>SLM</v>
      </c>
      <c r="O1321" s="113">
        <f>_xlfn.XLOOKUP(_xlfn.CONCAT(E1321,B1321),'Year Wise Master Dep Approach'!F:F,'Year Wise Master Dep Approach'!E:E)</f>
        <v>5</v>
      </c>
      <c r="P1321" s="114">
        <f>IFERROR(IF('FA Addition'!$N1321="WDV",1-('FA Addition'!$M1321/'FA Addition'!$L1321)^(1/'FA Addition'!$O1321),1/'FA Addition'!$O1321),0)</f>
        <v>0.2</v>
      </c>
      <c r="Q1321" s="122">
        <f>'FA Addition'!$P1321*'FA Addition'!$O1321</f>
        <v>1</v>
      </c>
      <c r="R1321" s="122"/>
      <c r="S1321" s="116">
        <f>IF(AND(DATE(20&amp;LEFT(FAAddition[[#This Row],[FY]],2),4,1)&lt;$L$1+1,DATE(20&amp;LEFT(FAAddition[[#This Row],[FY]],2),4,1)&gt;$P$1-1),'FA Addition'!$J1321,0)</f>
        <v>0</v>
      </c>
      <c r="U1321" s="117">
        <f>S1321*'FA Addition'!$L1321/'FA Addition'!$J1321</f>
        <v>0</v>
      </c>
      <c r="W1321" s="116">
        <f>SUMIFS('FA Write off'!D:D,'FA Write off'!A:A,'FA Addition'!$A1321,'FA Write off'!C:C,"&lt;"&amp;'FA Addition'!$P$1)</f>
        <v>0</v>
      </c>
      <c r="Y1321" s="191">
        <f>IFERROR(W1321/'FA Addition'!$J1321*'FA Addition'!$L1321,0)</f>
        <v>0</v>
      </c>
      <c r="AA1321" s="116">
        <f>SUMIFS('FA Write off'!D:D,'FA Write off'!A:A,'FA Addition'!$A1321,'FA Write off'!C:C,"&lt;"&amp;'FA Addition'!$L$1+1,'FA Write off'!C:C,"&gt;"&amp;'FA Addition'!$L$1-365)</f>
        <v>0</v>
      </c>
      <c r="AC1321" s="118">
        <f>IFERROR(AA1321/'FA Addition'!$J1321*'FA Addition'!$L1321,0)</f>
        <v>0</v>
      </c>
      <c r="AE1321" s="117">
        <f>IF(AND('FA Addition'!$D1321&lt;$P$1+1,U1321=0),'FA Addition'!$L1321,0)-Y1321</f>
        <v>0</v>
      </c>
      <c r="AF1321" s="117">
        <f t="shared" si="100"/>
        <v>0</v>
      </c>
      <c r="AG1321" s="117">
        <f>MIN(MAX(+$P$1-'FA Addition'!$D1321,0),365*'FA Addition'!$O1321)</f>
        <v>0</v>
      </c>
      <c r="AH1321" s="117">
        <f>MIN(MAX($L$1-'FA Addition'!$D1321+1,0),365*'FA Addition'!$O1321)</f>
        <v>0</v>
      </c>
      <c r="AI1321" s="117" cm="1">
        <f t="array" ref="AI1321">_xlfn.XLOOKUP(1,('FA Write off'!A:A='FA Addition'!$A1321)*('FA Write off'!D:D=AA1321),'FA Write off'!H:H,0,0)</f>
        <v>0</v>
      </c>
      <c r="AJ1321" s="117">
        <f>IF(AC1321&gt;0,MAX(IF('FA Addition'!$N1321="SLM",($AC1321-'FA Addition'!$M1321)*'FA Addition'!$P1321*AI1321/365,(AC1321-'FA Addition'!$M1321)*(1-(1-'FA Addition'!$P1321)^(AI1321/365))),0),0)</f>
        <v>0</v>
      </c>
      <c r="AL1321" s="117">
        <f>MAX(IF(AG1321&gt;0,IF('FA Addition'!$N1321="SLM",($AE1321-'FA Addition'!$M1321)*'FA Addition'!$P1321*AG1321/365,IFERROR(VDB(AE1321,AE1321*0.05,'FA Addition'!$O1321,0,YEARFRAC('FA Addition'!$C1321,$P$1-1,3),'FA Addition'!$Q1321),FAAddition[[#This Row],[Original Cost (Rs)]]-FAAddition[[#This Row],[Salvage Value]])),0),0)</f>
        <v>0</v>
      </c>
      <c r="AM1321" s="119"/>
      <c r="AN1321" s="117">
        <f>MAX(IF(AH1321&gt;0,IF('FA Addition'!$N1321="SLM",($AF1321-'FA Addition'!$M1321)*'FA Addition'!$P1321*AH1321/365,IFERROR(VDB(AF1321,AF1321*0.05,'FA Addition'!$O1321,0,YEARFRAC('FA Addition'!$C1321,$L$1,3),'FA Addition'!$Q1321),FAAddition[[#This Row],[Original Cost (Rs)]]-FAAddition[[#This Row],[Salvage Value]])),0),0)</f>
        <v>0</v>
      </c>
      <c r="AO1321" s="117">
        <f t="shared" si="103"/>
        <v>0</v>
      </c>
      <c r="AQ1321" s="117">
        <f t="shared" si="101"/>
        <v>0</v>
      </c>
      <c r="AR1321" s="120">
        <f t="shared" si="102"/>
        <v>0</v>
      </c>
      <c r="AS1321" s="121"/>
    </row>
    <row r="1322" spans="1:45" ht="13.5" x14ac:dyDescent="0.4">
      <c r="A1322" s="12">
        <f t="shared" si="104"/>
        <v>1319</v>
      </c>
      <c r="B1322" s="64" t="s">
        <v>1758</v>
      </c>
      <c r="C1322" s="54">
        <v>45735</v>
      </c>
      <c r="D1322" s="54">
        <v>45747</v>
      </c>
      <c r="E1322" s="46" t="s">
        <v>1320</v>
      </c>
      <c r="F1322" s="51" t="s">
        <v>33</v>
      </c>
      <c r="G1322" s="51" t="s">
        <v>34</v>
      </c>
      <c r="H1322" s="51" t="s">
        <v>32</v>
      </c>
      <c r="I1322" s="55" t="s">
        <v>2081</v>
      </c>
      <c r="J1322" s="56">
        <v>1000</v>
      </c>
      <c r="K1322" s="51" t="s">
        <v>295</v>
      </c>
      <c r="L1322" s="58">
        <v>1499000</v>
      </c>
      <c r="M1322" s="50">
        <f>ROUND('FA Addition'!$L1322*5%,0.1)</f>
        <v>74950</v>
      </c>
      <c r="N1322" s="113" t="str">
        <f>_xlfn.XLOOKUP(_xlfn.CONCAT(E1322,B1322),'Year Wise Master Dep Approach'!F:F,'Year Wise Master Dep Approach'!D:D)</f>
        <v>SLM</v>
      </c>
      <c r="O1322" s="113">
        <f>_xlfn.XLOOKUP(_xlfn.CONCAT(E1322,B1322),'Year Wise Master Dep Approach'!F:F,'Year Wise Master Dep Approach'!E:E)</f>
        <v>5</v>
      </c>
      <c r="P1322" s="114">
        <f>IFERROR(IF('FA Addition'!$N1322="WDV",1-('FA Addition'!$M1322/'FA Addition'!$L1322)^(1/'FA Addition'!$O1322),1/'FA Addition'!$O1322),0)</f>
        <v>0.2</v>
      </c>
      <c r="Q1322" s="122">
        <f>'FA Addition'!$P1322*'FA Addition'!$O1322</f>
        <v>1</v>
      </c>
      <c r="R1322" s="122"/>
      <c r="S1322" s="116">
        <f>IF(AND(DATE(20&amp;LEFT(FAAddition[[#This Row],[FY]],2),4,1)&lt;$L$1+1,DATE(20&amp;LEFT(FAAddition[[#This Row],[FY]],2),4,1)&gt;$P$1-1),'FA Addition'!$J1322,0)</f>
        <v>0</v>
      </c>
      <c r="U1322" s="117">
        <f>S1322*'FA Addition'!$L1322/'FA Addition'!$J1322</f>
        <v>0</v>
      </c>
      <c r="W1322" s="116">
        <f>SUMIFS('FA Write off'!D:D,'FA Write off'!A:A,'FA Addition'!$A1322,'FA Write off'!C:C,"&lt;"&amp;'FA Addition'!$P$1)</f>
        <v>0</v>
      </c>
      <c r="Y1322" s="191">
        <f>IFERROR(W1322/'FA Addition'!$J1322*'FA Addition'!$L1322,0)</f>
        <v>0</v>
      </c>
      <c r="AA1322" s="116">
        <f>SUMIFS('FA Write off'!D:D,'FA Write off'!A:A,'FA Addition'!$A1322,'FA Write off'!C:C,"&lt;"&amp;'FA Addition'!$L$1+1,'FA Write off'!C:C,"&gt;"&amp;'FA Addition'!$L$1-365)</f>
        <v>0</v>
      </c>
      <c r="AC1322" s="118">
        <f>IFERROR(AA1322/'FA Addition'!$J1322*'FA Addition'!$L1322,0)</f>
        <v>0</v>
      </c>
      <c r="AE1322" s="117">
        <f>IF(AND('FA Addition'!$D1322&lt;$P$1+1,U1322=0),'FA Addition'!$L1322,0)-Y1322</f>
        <v>0</v>
      </c>
      <c r="AF1322" s="117">
        <f t="shared" si="100"/>
        <v>0</v>
      </c>
      <c r="AG1322" s="117">
        <f>MIN(MAX(+$P$1-'FA Addition'!$D1322,0),365*'FA Addition'!$O1322)</f>
        <v>0</v>
      </c>
      <c r="AH1322" s="117">
        <f>MIN(MAX($L$1-'FA Addition'!$D1322+1,0),365*'FA Addition'!$O1322)</f>
        <v>0</v>
      </c>
      <c r="AI1322" s="117" cm="1">
        <f t="array" ref="AI1322">_xlfn.XLOOKUP(1,('FA Write off'!A:A='FA Addition'!$A1322)*('FA Write off'!D:D=AA1322),'FA Write off'!H:H,0,0)</f>
        <v>0</v>
      </c>
      <c r="AJ1322" s="117">
        <f>IF(AC1322&gt;0,MAX(IF('FA Addition'!$N1322="SLM",($AC1322-'FA Addition'!$M1322)*'FA Addition'!$P1322*AI1322/365,(AC1322-'FA Addition'!$M1322)*(1-(1-'FA Addition'!$P1322)^(AI1322/365))),0),0)</f>
        <v>0</v>
      </c>
      <c r="AL1322" s="117">
        <f>MAX(IF(AG1322&gt;0,IF('FA Addition'!$N1322="SLM",($AE1322-'FA Addition'!$M1322)*'FA Addition'!$P1322*AG1322/365,IFERROR(VDB(AE1322,AE1322*0.05,'FA Addition'!$O1322,0,YEARFRAC('FA Addition'!$C1322,$P$1-1,3),'FA Addition'!$Q1322),FAAddition[[#This Row],[Original Cost (Rs)]]-FAAddition[[#This Row],[Salvage Value]])),0),0)</f>
        <v>0</v>
      </c>
      <c r="AM1322" s="119"/>
      <c r="AN1322" s="117">
        <f>MAX(IF(AH1322&gt;0,IF('FA Addition'!$N1322="SLM",($AF1322-'FA Addition'!$M1322)*'FA Addition'!$P1322*AH1322/365,IFERROR(VDB(AF1322,AF1322*0.05,'FA Addition'!$O1322,0,YEARFRAC('FA Addition'!$C1322,$L$1,3),'FA Addition'!$Q1322),FAAddition[[#This Row],[Original Cost (Rs)]]-FAAddition[[#This Row],[Salvage Value]])),0),0)</f>
        <v>0</v>
      </c>
      <c r="AO1322" s="117">
        <f t="shared" si="103"/>
        <v>0</v>
      </c>
      <c r="AQ1322" s="117">
        <f t="shared" si="101"/>
        <v>0</v>
      </c>
      <c r="AR1322" s="120">
        <f t="shared" si="102"/>
        <v>0</v>
      </c>
      <c r="AS1322" s="121"/>
    </row>
    <row r="1323" spans="1:45" ht="13.5" x14ac:dyDescent="0.4">
      <c r="A1323" s="12">
        <f t="shared" si="104"/>
        <v>1320</v>
      </c>
      <c r="B1323" s="64" t="s">
        <v>1758</v>
      </c>
      <c r="C1323" s="54">
        <v>45736</v>
      </c>
      <c r="D1323" s="54">
        <v>45747</v>
      </c>
      <c r="E1323" s="46" t="s">
        <v>1320</v>
      </c>
      <c r="F1323" s="51" t="s">
        <v>33</v>
      </c>
      <c r="G1323" s="51" t="s">
        <v>34</v>
      </c>
      <c r="H1323" s="51" t="s">
        <v>32</v>
      </c>
      <c r="I1323" s="55" t="s">
        <v>2082</v>
      </c>
      <c r="J1323" s="56">
        <v>380</v>
      </c>
      <c r="K1323" s="51" t="s">
        <v>295</v>
      </c>
      <c r="L1323" s="58">
        <v>632700</v>
      </c>
      <c r="M1323" s="50">
        <f>ROUND('FA Addition'!$L1323*5%,0.1)</f>
        <v>31635</v>
      </c>
      <c r="N1323" s="113" t="str">
        <f>_xlfn.XLOOKUP(_xlfn.CONCAT(E1323,B1323),'Year Wise Master Dep Approach'!F:F,'Year Wise Master Dep Approach'!D:D)</f>
        <v>SLM</v>
      </c>
      <c r="O1323" s="113">
        <f>_xlfn.XLOOKUP(_xlfn.CONCAT(E1323,B1323),'Year Wise Master Dep Approach'!F:F,'Year Wise Master Dep Approach'!E:E)</f>
        <v>5</v>
      </c>
      <c r="P1323" s="114">
        <f>IFERROR(IF('FA Addition'!$N1323="WDV",1-('FA Addition'!$M1323/'FA Addition'!$L1323)^(1/'FA Addition'!$O1323),1/'FA Addition'!$O1323),0)</f>
        <v>0.2</v>
      </c>
      <c r="Q1323" s="122">
        <f>'FA Addition'!$P1323*'FA Addition'!$O1323</f>
        <v>1</v>
      </c>
      <c r="R1323" s="122"/>
      <c r="S1323" s="116">
        <f>IF(AND(DATE(20&amp;LEFT(FAAddition[[#This Row],[FY]],2),4,1)&lt;$L$1+1,DATE(20&amp;LEFT(FAAddition[[#This Row],[FY]],2),4,1)&gt;$P$1-1),'FA Addition'!$J1323,0)</f>
        <v>0</v>
      </c>
      <c r="U1323" s="117">
        <f>S1323*'FA Addition'!$L1323/'FA Addition'!$J1323</f>
        <v>0</v>
      </c>
      <c r="W1323" s="116">
        <f>SUMIFS('FA Write off'!D:D,'FA Write off'!A:A,'FA Addition'!$A1323,'FA Write off'!C:C,"&lt;"&amp;'FA Addition'!$P$1)</f>
        <v>0</v>
      </c>
      <c r="Y1323" s="191">
        <f>IFERROR(W1323/'FA Addition'!$J1323*'FA Addition'!$L1323,0)</f>
        <v>0</v>
      </c>
      <c r="AA1323" s="116">
        <f>SUMIFS('FA Write off'!D:D,'FA Write off'!A:A,'FA Addition'!$A1323,'FA Write off'!C:C,"&lt;"&amp;'FA Addition'!$L$1+1,'FA Write off'!C:C,"&gt;"&amp;'FA Addition'!$L$1-365)</f>
        <v>0</v>
      </c>
      <c r="AC1323" s="118">
        <f>IFERROR(AA1323/'FA Addition'!$J1323*'FA Addition'!$L1323,0)</f>
        <v>0</v>
      </c>
      <c r="AE1323" s="117">
        <f>IF(AND('FA Addition'!$D1323&lt;$P$1+1,U1323=0),'FA Addition'!$L1323,0)-Y1323</f>
        <v>0</v>
      </c>
      <c r="AF1323" s="117">
        <f t="shared" si="100"/>
        <v>0</v>
      </c>
      <c r="AG1323" s="117">
        <f>MIN(MAX(+$P$1-'FA Addition'!$D1323,0),365*'FA Addition'!$O1323)</f>
        <v>0</v>
      </c>
      <c r="AH1323" s="117">
        <f>MIN(MAX($L$1-'FA Addition'!$D1323+1,0),365*'FA Addition'!$O1323)</f>
        <v>0</v>
      </c>
      <c r="AI1323" s="117" cm="1">
        <f t="array" ref="AI1323">_xlfn.XLOOKUP(1,('FA Write off'!A:A='FA Addition'!$A1323)*('FA Write off'!D:D=AA1323),'FA Write off'!H:H,0,0)</f>
        <v>0</v>
      </c>
      <c r="AJ1323" s="117">
        <f>IF(AC1323&gt;0,MAX(IF('FA Addition'!$N1323="SLM",($AC1323-'FA Addition'!$M1323)*'FA Addition'!$P1323*AI1323/365,(AC1323-'FA Addition'!$M1323)*(1-(1-'FA Addition'!$P1323)^(AI1323/365))),0),0)</f>
        <v>0</v>
      </c>
      <c r="AL1323" s="117">
        <f>MAX(IF(AG1323&gt;0,IF('FA Addition'!$N1323="SLM",($AE1323-'FA Addition'!$M1323)*'FA Addition'!$P1323*AG1323/365,IFERROR(VDB(AE1323,AE1323*0.05,'FA Addition'!$O1323,0,YEARFRAC('FA Addition'!$C1323,$P$1-1,3),'FA Addition'!$Q1323),FAAddition[[#This Row],[Original Cost (Rs)]]-FAAddition[[#This Row],[Salvage Value]])),0),0)</f>
        <v>0</v>
      </c>
      <c r="AM1323" s="119"/>
      <c r="AN1323" s="117">
        <f>MAX(IF(AH1323&gt;0,IF('FA Addition'!$N1323="SLM",($AF1323-'FA Addition'!$M1323)*'FA Addition'!$P1323*AH1323/365,IFERROR(VDB(AF1323,AF1323*0.05,'FA Addition'!$O1323,0,YEARFRAC('FA Addition'!$C1323,$L$1,3),'FA Addition'!$Q1323),FAAddition[[#This Row],[Original Cost (Rs)]]-FAAddition[[#This Row],[Salvage Value]])),0),0)</f>
        <v>0</v>
      </c>
      <c r="AO1323" s="117">
        <f t="shared" si="103"/>
        <v>0</v>
      </c>
      <c r="AQ1323" s="117">
        <f t="shared" si="101"/>
        <v>0</v>
      </c>
      <c r="AR1323" s="120">
        <f t="shared" si="102"/>
        <v>0</v>
      </c>
      <c r="AS1323" s="121"/>
    </row>
    <row r="1324" spans="1:45" ht="13.5" x14ac:dyDescent="0.4">
      <c r="A1324" s="12">
        <f t="shared" si="104"/>
        <v>1321</v>
      </c>
      <c r="B1324" s="64" t="s">
        <v>10</v>
      </c>
      <c r="C1324" s="54">
        <v>45720</v>
      </c>
      <c r="D1324" s="54">
        <v>45748</v>
      </c>
      <c r="E1324" s="46" t="s">
        <v>523</v>
      </c>
      <c r="F1324" s="51" t="s">
        <v>11</v>
      </c>
      <c r="G1324" s="51" t="s">
        <v>12</v>
      </c>
      <c r="H1324" s="51" t="s">
        <v>13</v>
      </c>
      <c r="I1324" s="55" t="s">
        <v>14</v>
      </c>
      <c r="J1324" s="56">
        <v>1</v>
      </c>
      <c r="K1324" s="51" t="s">
        <v>283</v>
      </c>
      <c r="L1324" s="58">
        <v>877404</v>
      </c>
      <c r="M1324" s="50">
        <f>ROUND('FA Addition'!$L1324*5%,0.1)</f>
        <v>43870</v>
      </c>
      <c r="N1324" s="113" t="str">
        <f>_xlfn.XLOOKUP(_xlfn.CONCAT(E1324,B1324),'Year Wise Master Dep Approach'!F:F,'Year Wise Master Dep Approach'!D:D)</f>
        <v>WDV</v>
      </c>
      <c r="O1324" s="113">
        <f>_xlfn.XLOOKUP(_xlfn.CONCAT(E1324,B1324),'Year Wise Master Dep Approach'!F:F,'Year Wise Master Dep Approach'!E:E)</f>
        <v>10</v>
      </c>
      <c r="P1324" s="114">
        <f>IFERROR(IF('FA Addition'!$N1324="WDV",1-('FA Addition'!$M1324/'FA Addition'!$L1324)^(1/'FA Addition'!$O1324),1/'FA Addition'!$O1324),0)</f>
        <v>0.25886588876977479</v>
      </c>
      <c r="Q1324" s="122">
        <f>'FA Addition'!$P1324*'FA Addition'!$O1324</f>
        <v>2.5886588876977479</v>
      </c>
      <c r="R1324" s="122"/>
      <c r="S1324" s="116">
        <f>IF(AND(DATE(20&amp;LEFT(FAAddition[[#This Row],[FY]],2),4,1)&lt;$L$1+1,DATE(20&amp;LEFT(FAAddition[[#This Row],[FY]],2),4,1)&gt;$P$1-1),'FA Addition'!$J1324,0)</f>
        <v>0</v>
      </c>
      <c r="U1324" s="117">
        <f>S1324*'FA Addition'!$L1324/'FA Addition'!$J1324</f>
        <v>0</v>
      </c>
      <c r="W1324" s="116">
        <f>SUMIFS('FA Write off'!D:D,'FA Write off'!A:A,'FA Addition'!$A1324,'FA Write off'!C:C,"&lt;"&amp;'FA Addition'!$P$1)</f>
        <v>0</v>
      </c>
      <c r="Y1324" s="191">
        <f>IFERROR(W1324/'FA Addition'!$J1324*'FA Addition'!$L1324,0)</f>
        <v>0</v>
      </c>
      <c r="AA1324" s="116">
        <f>SUMIFS('FA Write off'!D:D,'FA Write off'!A:A,'FA Addition'!$A1324,'FA Write off'!C:C,"&lt;"&amp;'FA Addition'!$L$1+1,'FA Write off'!C:C,"&gt;"&amp;'FA Addition'!$L$1-365)</f>
        <v>0</v>
      </c>
      <c r="AC1324" s="118">
        <f>IFERROR(AA1324/'FA Addition'!$J1324*'FA Addition'!$L1324,0)</f>
        <v>0</v>
      </c>
      <c r="AE1324" s="117">
        <f>IF(AND('FA Addition'!$D1324&lt;$P$1+1,U1324=0),'FA Addition'!$L1324,0)-Y1324</f>
        <v>0</v>
      </c>
      <c r="AF1324" s="117">
        <f t="shared" si="100"/>
        <v>0</v>
      </c>
      <c r="AG1324" s="117">
        <f>MIN(MAX(+$P$1-'FA Addition'!$D1324,0),365*'FA Addition'!$O1324)</f>
        <v>0</v>
      </c>
      <c r="AH1324" s="117">
        <f>MIN(MAX($L$1-'FA Addition'!$D1324+1,0),365*'FA Addition'!$O1324)</f>
        <v>0</v>
      </c>
      <c r="AI1324" s="117" cm="1">
        <f t="array" ref="AI1324">_xlfn.XLOOKUP(1,('FA Write off'!A:A='FA Addition'!$A1324)*('FA Write off'!D:D=AA1324),'FA Write off'!H:H,0,0)</f>
        <v>0</v>
      </c>
      <c r="AJ1324" s="117">
        <f>IF(AC1324&gt;0,MAX(IF('FA Addition'!$N1324="SLM",($AC1324-'FA Addition'!$M1324)*'FA Addition'!$P1324*AI1324/365,(AC1324-'FA Addition'!$M1324)*(1-(1-'FA Addition'!$P1324)^(AI1324/365))),0),0)</f>
        <v>0</v>
      </c>
      <c r="AL1324" s="117">
        <f>MAX(IF(AG1324&gt;0,IF('FA Addition'!$N1324="SLM",($AE1324-'FA Addition'!$M1324)*'FA Addition'!$P1324*AG1324/365,IFERROR(VDB(AE1324,AE1324*0.05,'FA Addition'!$O1324,0,YEARFRAC('FA Addition'!$C1324,$P$1-1,3),'FA Addition'!$Q1324),FAAddition[[#This Row],[Original Cost (Rs)]]-FAAddition[[#This Row],[Salvage Value]])),0),0)</f>
        <v>0</v>
      </c>
      <c r="AM1324" s="119"/>
      <c r="AN1324" s="117">
        <f>MAX(IF(AH1324&gt;0,IF('FA Addition'!$N1324="SLM",($AF1324-'FA Addition'!$M1324)*'FA Addition'!$P1324*AH1324/365,IFERROR(VDB(AF1324,AF1324*0.05,'FA Addition'!$O1324,0,YEARFRAC('FA Addition'!$C1324,$L$1,3),'FA Addition'!$Q1324),FAAddition[[#This Row],[Original Cost (Rs)]]-FAAddition[[#This Row],[Salvage Value]])),0),0)</f>
        <v>0</v>
      </c>
      <c r="AO1324" s="117">
        <f t="shared" si="103"/>
        <v>0</v>
      </c>
      <c r="AQ1324" s="117">
        <f t="shared" si="101"/>
        <v>0</v>
      </c>
      <c r="AR1324" s="120">
        <f t="shared" si="102"/>
        <v>0</v>
      </c>
      <c r="AS1324" s="121"/>
    </row>
    <row r="1325" spans="1:45" ht="13.5" x14ac:dyDescent="0.4">
      <c r="A1325" s="12">
        <f t="shared" si="104"/>
        <v>1322</v>
      </c>
      <c r="B1325" s="64" t="s">
        <v>10</v>
      </c>
      <c r="C1325" s="54">
        <v>45721</v>
      </c>
      <c r="D1325" s="54">
        <v>45748</v>
      </c>
      <c r="E1325" s="46" t="s">
        <v>523</v>
      </c>
      <c r="F1325" s="51" t="s">
        <v>11</v>
      </c>
      <c r="G1325" s="51" t="s">
        <v>12</v>
      </c>
      <c r="H1325" s="51" t="s">
        <v>13</v>
      </c>
      <c r="I1325" s="55" t="s">
        <v>15</v>
      </c>
      <c r="J1325" s="56">
        <v>1</v>
      </c>
      <c r="K1325" s="51" t="s">
        <v>284</v>
      </c>
      <c r="L1325" s="58">
        <v>42238</v>
      </c>
      <c r="M1325" s="50">
        <f>ROUND('FA Addition'!$L1325*5%,0.1)</f>
        <v>2112</v>
      </c>
      <c r="N1325" s="113" t="str">
        <f>_xlfn.XLOOKUP(_xlfn.CONCAT(E1325,B1325),'Year Wise Master Dep Approach'!F:F,'Year Wise Master Dep Approach'!D:D)</f>
        <v>WDV</v>
      </c>
      <c r="O1325" s="113">
        <f>_xlfn.XLOOKUP(_xlfn.CONCAT(E1325,B1325),'Year Wise Master Dep Approach'!F:F,'Year Wise Master Dep Approach'!E:E)</f>
        <v>10</v>
      </c>
      <c r="P1325" s="114">
        <f>IFERROR(IF('FA Addition'!$N1325="WDV",1-('FA Addition'!$M1325/'FA Addition'!$L1325)^(1/'FA Addition'!$O1325),1/'FA Addition'!$O1325),0)</f>
        <v>0.2588620416423415</v>
      </c>
      <c r="Q1325" s="122">
        <f>'FA Addition'!$P1325*'FA Addition'!$O1325</f>
        <v>2.588620416423415</v>
      </c>
      <c r="R1325" s="122"/>
      <c r="S1325" s="116">
        <f>IF(AND(DATE(20&amp;LEFT(FAAddition[[#This Row],[FY]],2),4,1)&lt;$L$1+1,DATE(20&amp;LEFT(FAAddition[[#This Row],[FY]],2),4,1)&gt;$P$1-1),'FA Addition'!$J1325,0)</f>
        <v>0</v>
      </c>
      <c r="U1325" s="117">
        <f>S1325*'FA Addition'!$L1325/'FA Addition'!$J1325</f>
        <v>0</v>
      </c>
      <c r="W1325" s="116">
        <f>SUMIFS('FA Write off'!D:D,'FA Write off'!A:A,'FA Addition'!$A1325,'FA Write off'!C:C,"&lt;"&amp;'FA Addition'!$P$1)</f>
        <v>0</v>
      </c>
      <c r="Y1325" s="191">
        <f>IFERROR(W1325/'FA Addition'!$J1325*'FA Addition'!$L1325,0)</f>
        <v>0</v>
      </c>
      <c r="AA1325" s="116">
        <f>SUMIFS('FA Write off'!D:D,'FA Write off'!A:A,'FA Addition'!$A1325,'FA Write off'!C:C,"&lt;"&amp;'FA Addition'!$L$1+1,'FA Write off'!C:C,"&gt;"&amp;'FA Addition'!$L$1-365)</f>
        <v>0</v>
      </c>
      <c r="AC1325" s="118">
        <f>IFERROR(AA1325/'FA Addition'!$J1325*'FA Addition'!$L1325,0)</f>
        <v>0</v>
      </c>
      <c r="AE1325" s="117">
        <f>IF(AND('FA Addition'!$D1325&lt;$P$1+1,U1325=0),'FA Addition'!$L1325,0)-Y1325</f>
        <v>0</v>
      </c>
      <c r="AF1325" s="117">
        <f t="shared" si="100"/>
        <v>0</v>
      </c>
      <c r="AG1325" s="117">
        <f>MIN(MAX(+$P$1-'FA Addition'!$D1325,0),365*'FA Addition'!$O1325)</f>
        <v>0</v>
      </c>
      <c r="AH1325" s="117">
        <f>MIN(MAX($L$1-'FA Addition'!$D1325+1,0),365*'FA Addition'!$O1325)</f>
        <v>0</v>
      </c>
      <c r="AI1325" s="117" cm="1">
        <f t="array" ref="AI1325">_xlfn.XLOOKUP(1,('FA Write off'!A:A='FA Addition'!$A1325)*('FA Write off'!D:D=AA1325),'FA Write off'!H:H,0,0)</f>
        <v>0</v>
      </c>
      <c r="AJ1325" s="117">
        <f>IF(AC1325&gt;0,MAX(IF('FA Addition'!$N1325="SLM",($AC1325-'FA Addition'!$M1325)*'FA Addition'!$P1325*AI1325/365,(AC1325-'FA Addition'!$M1325)*(1-(1-'FA Addition'!$P1325)^(AI1325/365))),0),0)</f>
        <v>0</v>
      </c>
      <c r="AL1325" s="117">
        <f>MAX(IF(AG1325&gt;0,IF('FA Addition'!$N1325="SLM",($AE1325-'FA Addition'!$M1325)*'FA Addition'!$P1325*AG1325/365,IFERROR(VDB(AE1325,AE1325*0.05,'FA Addition'!$O1325,0,YEARFRAC('FA Addition'!$C1325,$P$1-1,3),'FA Addition'!$Q1325),FAAddition[[#This Row],[Original Cost (Rs)]]-FAAddition[[#This Row],[Salvage Value]])),0),0)</f>
        <v>0</v>
      </c>
      <c r="AM1325" s="119"/>
      <c r="AN1325" s="117">
        <f>MAX(IF(AH1325&gt;0,IF('FA Addition'!$N1325="SLM",($AF1325-'FA Addition'!$M1325)*'FA Addition'!$P1325*AH1325/365,IFERROR(VDB(AF1325,AF1325*0.05,'FA Addition'!$O1325,0,YEARFRAC('FA Addition'!$C1325,$L$1,3),'FA Addition'!$Q1325),FAAddition[[#This Row],[Original Cost (Rs)]]-FAAddition[[#This Row],[Salvage Value]])),0),0)</f>
        <v>0</v>
      </c>
      <c r="AO1325" s="117">
        <f t="shared" si="103"/>
        <v>0</v>
      </c>
      <c r="AQ1325" s="117">
        <f t="shared" si="101"/>
        <v>0</v>
      </c>
      <c r="AR1325" s="120">
        <f t="shared" si="102"/>
        <v>0</v>
      </c>
      <c r="AS1325" s="121"/>
    </row>
    <row r="1326" spans="1:45" ht="13.5" x14ac:dyDescent="0.4">
      <c r="A1326" s="12">
        <f t="shared" si="104"/>
        <v>1323</v>
      </c>
      <c r="B1326" s="64" t="s">
        <v>10</v>
      </c>
      <c r="C1326" s="54">
        <v>45720</v>
      </c>
      <c r="D1326" s="54">
        <v>45748</v>
      </c>
      <c r="E1326" s="46" t="s">
        <v>523</v>
      </c>
      <c r="F1326" s="51" t="s">
        <v>16</v>
      </c>
      <c r="G1326" s="51" t="s">
        <v>12</v>
      </c>
      <c r="H1326" s="51" t="s">
        <v>17</v>
      </c>
      <c r="I1326" s="55" t="s">
        <v>18</v>
      </c>
      <c r="J1326" s="56">
        <v>20</v>
      </c>
      <c r="K1326" s="51" t="s">
        <v>285</v>
      </c>
      <c r="L1326" s="58">
        <v>632500</v>
      </c>
      <c r="M1326" s="50">
        <f>ROUND('FA Addition'!$L1326*5%,0.1)</f>
        <v>31625</v>
      </c>
      <c r="N1326" s="113" t="str">
        <f>_xlfn.XLOOKUP(_xlfn.CONCAT(E1326,B1326),'Year Wise Master Dep Approach'!F:F,'Year Wise Master Dep Approach'!D:D)</f>
        <v>WDV</v>
      </c>
      <c r="O1326" s="113">
        <f>_xlfn.XLOOKUP(_xlfn.CONCAT(E1326,B1326),'Year Wise Master Dep Approach'!F:F,'Year Wise Master Dep Approach'!E:E)</f>
        <v>10</v>
      </c>
      <c r="P1326" s="114">
        <f>IFERROR(IF('FA Addition'!$N1326="WDV",1-('FA Addition'!$M1326/'FA Addition'!$L1326)^(1/'FA Addition'!$O1326),1/'FA Addition'!$O1326),0)</f>
        <v>0.2588655508930523</v>
      </c>
      <c r="Q1326" s="122">
        <f>'FA Addition'!$P1326*'FA Addition'!$O1326</f>
        <v>2.5886555089305228</v>
      </c>
      <c r="R1326" s="122"/>
      <c r="S1326" s="116">
        <f>IF(AND(DATE(20&amp;LEFT(FAAddition[[#This Row],[FY]],2),4,1)&lt;$L$1+1,DATE(20&amp;LEFT(FAAddition[[#This Row],[FY]],2),4,1)&gt;$P$1-1),'FA Addition'!$J1326,0)</f>
        <v>0</v>
      </c>
      <c r="U1326" s="117">
        <f>S1326*'FA Addition'!$L1326/'FA Addition'!$J1326</f>
        <v>0</v>
      </c>
      <c r="W1326" s="116">
        <f>SUMIFS('FA Write off'!D:D,'FA Write off'!A:A,'FA Addition'!$A1326,'FA Write off'!C:C,"&lt;"&amp;'FA Addition'!$P$1)</f>
        <v>0</v>
      </c>
      <c r="Y1326" s="191">
        <f>IFERROR(W1326/'FA Addition'!$J1326*'FA Addition'!$L1326,0)</f>
        <v>0</v>
      </c>
      <c r="AA1326" s="116">
        <f>SUMIFS('FA Write off'!D:D,'FA Write off'!A:A,'FA Addition'!$A1326,'FA Write off'!C:C,"&lt;"&amp;'FA Addition'!$L$1+1,'FA Write off'!C:C,"&gt;"&amp;'FA Addition'!$L$1-365)</f>
        <v>0</v>
      </c>
      <c r="AC1326" s="118">
        <f>IFERROR(AA1326/'FA Addition'!$J1326*'FA Addition'!$L1326,0)</f>
        <v>0</v>
      </c>
      <c r="AE1326" s="117">
        <f>IF(AND('FA Addition'!$D1326&lt;$P$1+1,U1326=0),'FA Addition'!$L1326,0)-Y1326</f>
        <v>0</v>
      </c>
      <c r="AF1326" s="117">
        <f t="shared" si="100"/>
        <v>0</v>
      </c>
      <c r="AG1326" s="117">
        <f>MIN(MAX(+$P$1-'FA Addition'!$D1326,0),365*'FA Addition'!$O1326)</f>
        <v>0</v>
      </c>
      <c r="AH1326" s="117">
        <f>MIN(MAX($L$1-'FA Addition'!$D1326+1,0),365*'FA Addition'!$O1326)</f>
        <v>0</v>
      </c>
      <c r="AI1326" s="117" cm="1">
        <f t="array" ref="AI1326">_xlfn.XLOOKUP(1,('FA Write off'!A:A='FA Addition'!$A1326)*('FA Write off'!D:D=AA1326),'FA Write off'!H:H,0,0)</f>
        <v>0</v>
      </c>
      <c r="AJ1326" s="117">
        <f>IF(AC1326&gt;0,MAX(IF('FA Addition'!$N1326="SLM",($AC1326-'FA Addition'!$M1326)*'FA Addition'!$P1326*AI1326/365,(AC1326-'FA Addition'!$M1326)*(1-(1-'FA Addition'!$P1326)^(AI1326/365))),0),0)</f>
        <v>0</v>
      </c>
      <c r="AL1326" s="117">
        <f>MAX(IF(AG1326&gt;0,IF('FA Addition'!$N1326="SLM",($AE1326-'FA Addition'!$M1326)*'FA Addition'!$P1326*AG1326/365,IFERROR(VDB(AE1326,AE1326*0.05,'FA Addition'!$O1326,0,YEARFRAC('FA Addition'!$C1326,$P$1-1,3),'FA Addition'!$Q1326),FAAddition[[#This Row],[Original Cost (Rs)]]-FAAddition[[#This Row],[Salvage Value]])),0),0)</f>
        <v>0</v>
      </c>
      <c r="AM1326" s="119"/>
      <c r="AN1326" s="117">
        <f>MAX(IF(AH1326&gt;0,IF('FA Addition'!$N1326="SLM",($AF1326-'FA Addition'!$M1326)*'FA Addition'!$P1326*AH1326/365,IFERROR(VDB(AF1326,AF1326*0.05,'FA Addition'!$O1326,0,YEARFRAC('FA Addition'!$C1326,$L$1,3),'FA Addition'!$Q1326),FAAddition[[#This Row],[Original Cost (Rs)]]-FAAddition[[#This Row],[Salvage Value]])),0),0)</f>
        <v>0</v>
      </c>
      <c r="AO1326" s="117">
        <f t="shared" si="103"/>
        <v>0</v>
      </c>
      <c r="AQ1326" s="117">
        <f t="shared" si="101"/>
        <v>0</v>
      </c>
      <c r="AR1326" s="120">
        <f t="shared" si="102"/>
        <v>0</v>
      </c>
      <c r="AS1326" s="121"/>
    </row>
    <row r="1327" spans="1:45" ht="13.5" x14ac:dyDescent="0.4">
      <c r="A1327" s="12">
        <f t="shared" si="104"/>
        <v>1324</v>
      </c>
      <c r="B1327" s="64" t="s">
        <v>10</v>
      </c>
      <c r="C1327" s="54">
        <v>45720</v>
      </c>
      <c r="D1327" s="54">
        <v>45748</v>
      </c>
      <c r="E1327" s="46" t="s">
        <v>523</v>
      </c>
      <c r="F1327" s="51" t="s">
        <v>16</v>
      </c>
      <c r="G1327" s="51" t="s">
        <v>12</v>
      </c>
      <c r="H1327" s="51" t="s">
        <v>17</v>
      </c>
      <c r="I1327" s="55" t="s">
        <v>18</v>
      </c>
      <c r="J1327" s="56">
        <v>12</v>
      </c>
      <c r="K1327" s="51" t="s">
        <v>286</v>
      </c>
      <c r="L1327" s="58">
        <v>407100</v>
      </c>
      <c r="M1327" s="50">
        <f>ROUND('FA Addition'!$L1327*5%,0.1)</f>
        <v>20355</v>
      </c>
      <c r="N1327" s="113" t="str">
        <f>_xlfn.XLOOKUP(_xlfn.CONCAT(E1327,B1327),'Year Wise Master Dep Approach'!F:F,'Year Wise Master Dep Approach'!D:D)</f>
        <v>WDV</v>
      </c>
      <c r="O1327" s="113">
        <f>_xlfn.XLOOKUP(_xlfn.CONCAT(E1327,B1327),'Year Wise Master Dep Approach'!F:F,'Year Wise Master Dep Approach'!E:E)</f>
        <v>10</v>
      </c>
      <c r="P1327" s="114">
        <f>IFERROR(IF('FA Addition'!$N1327="WDV",1-('FA Addition'!$M1327/'FA Addition'!$L1327)^(1/'FA Addition'!$O1327),1/'FA Addition'!$O1327),0)</f>
        <v>0.2588655508930523</v>
      </c>
      <c r="Q1327" s="122">
        <f>'FA Addition'!$P1327*'FA Addition'!$O1327</f>
        <v>2.5886555089305228</v>
      </c>
      <c r="R1327" s="122"/>
      <c r="S1327" s="116">
        <f>IF(AND(DATE(20&amp;LEFT(FAAddition[[#This Row],[FY]],2),4,1)&lt;$L$1+1,DATE(20&amp;LEFT(FAAddition[[#This Row],[FY]],2),4,1)&gt;$P$1-1),'FA Addition'!$J1327,0)</f>
        <v>0</v>
      </c>
      <c r="U1327" s="117">
        <f>S1327*'FA Addition'!$L1327/'FA Addition'!$J1327</f>
        <v>0</v>
      </c>
      <c r="W1327" s="116">
        <f>SUMIFS('FA Write off'!D:D,'FA Write off'!A:A,'FA Addition'!$A1327,'FA Write off'!C:C,"&lt;"&amp;'FA Addition'!$P$1)</f>
        <v>0</v>
      </c>
      <c r="Y1327" s="191">
        <f>IFERROR(W1327/'FA Addition'!$J1327*'FA Addition'!$L1327,0)</f>
        <v>0</v>
      </c>
      <c r="AA1327" s="116">
        <f>SUMIFS('FA Write off'!D:D,'FA Write off'!A:A,'FA Addition'!$A1327,'FA Write off'!C:C,"&lt;"&amp;'FA Addition'!$L$1+1,'FA Write off'!C:C,"&gt;"&amp;'FA Addition'!$L$1-365)</f>
        <v>0</v>
      </c>
      <c r="AC1327" s="118">
        <f>IFERROR(AA1327/'FA Addition'!$J1327*'FA Addition'!$L1327,0)</f>
        <v>0</v>
      </c>
      <c r="AE1327" s="117">
        <f>IF(AND('FA Addition'!$D1327&lt;$P$1+1,U1327=0),'FA Addition'!$L1327,0)-Y1327</f>
        <v>0</v>
      </c>
      <c r="AF1327" s="117">
        <f t="shared" si="100"/>
        <v>0</v>
      </c>
      <c r="AG1327" s="117">
        <f>MIN(MAX(+$P$1-'FA Addition'!$D1327,0),365*'FA Addition'!$O1327)</f>
        <v>0</v>
      </c>
      <c r="AH1327" s="117">
        <f>MIN(MAX($L$1-'FA Addition'!$D1327+1,0),365*'FA Addition'!$O1327)</f>
        <v>0</v>
      </c>
      <c r="AI1327" s="117" cm="1">
        <f t="array" ref="AI1327">_xlfn.XLOOKUP(1,('FA Write off'!A:A='FA Addition'!$A1327)*('FA Write off'!D:D=AA1327),'FA Write off'!H:H,0,0)</f>
        <v>0</v>
      </c>
      <c r="AJ1327" s="117">
        <f>IF(AC1327&gt;0,MAX(IF('FA Addition'!$N1327="SLM",($AC1327-'FA Addition'!$M1327)*'FA Addition'!$P1327*AI1327/365,(AC1327-'FA Addition'!$M1327)*(1-(1-'FA Addition'!$P1327)^(AI1327/365))),0),0)</f>
        <v>0</v>
      </c>
      <c r="AL1327" s="117">
        <f>MAX(IF(AG1327&gt;0,IF('FA Addition'!$N1327="SLM",($AE1327-'FA Addition'!$M1327)*'FA Addition'!$P1327*AG1327/365,IFERROR(VDB(AE1327,AE1327*0.05,'FA Addition'!$O1327,0,YEARFRAC('FA Addition'!$C1327,$P$1-1,3),'FA Addition'!$Q1327),FAAddition[[#This Row],[Original Cost (Rs)]]-FAAddition[[#This Row],[Salvage Value]])),0),0)</f>
        <v>0</v>
      </c>
      <c r="AM1327" s="119"/>
      <c r="AN1327" s="117">
        <f>MAX(IF(AH1327&gt;0,IF('FA Addition'!$N1327="SLM",($AF1327-'FA Addition'!$M1327)*'FA Addition'!$P1327*AH1327/365,IFERROR(VDB(AF1327,AF1327*0.05,'FA Addition'!$O1327,0,YEARFRAC('FA Addition'!$C1327,$L$1,3),'FA Addition'!$Q1327),FAAddition[[#This Row],[Original Cost (Rs)]]-FAAddition[[#This Row],[Salvage Value]])),0),0)</f>
        <v>0</v>
      </c>
      <c r="AO1327" s="117">
        <f t="shared" si="103"/>
        <v>0</v>
      </c>
      <c r="AQ1327" s="117">
        <f t="shared" si="101"/>
        <v>0</v>
      </c>
      <c r="AR1327" s="120">
        <f t="shared" si="102"/>
        <v>0</v>
      </c>
      <c r="AS1327" s="121"/>
    </row>
    <row r="1328" spans="1:45" ht="13.5" x14ac:dyDescent="0.4">
      <c r="A1328" s="12">
        <f t="shared" si="104"/>
        <v>1325</v>
      </c>
      <c r="B1328" s="64" t="s">
        <v>10</v>
      </c>
      <c r="C1328" s="54">
        <v>45720</v>
      </c>
      <c r="D1328" s="54">
        <v>45748</v>
      </c>
      <c r="E1328" s="46" t="s">
        <v>523</v>
      </c>
      <c r="F1328" s="51" t="s">
        <v>16</v>
      </c>
      <c r="G1328" s="51" t="s">
        <v>12</v>
      </c>
      <c r="H1328" s="51" t="s">
        <v>17</v>
      </c>
      <c r="I1328" s="55" t="s">
        <v>18</v>
      </c>
      <c r="J1328" s="56">
        <v>2</v>
      </c>
      <c r="K1328" s="51" t="s">
        <v>2083</v>
      </c>
      <c r="L1328" s="58">
        <v>67850</v>
      </c>
      <c r="M1328" s="50">
        <f>ROUND('FA Addition'!$L1328*5%,0.1)</f>
        <v>3393</v>
      </c>
      <c r="N1328" s="113" t="str">
        <f>_xlfn.XLOOKUP(_xlfn.CONCAT(E1328,B1328),'Year Wise Master Dep Approach'!F:F,'Year Wise Master Dep Approach'!D:D)</f>
        <v>WDV</v>
      </c>
      <c r="O1328" s="113">
        <f>_xlfn.XLOOKUP(_xlfn.CONCAT(E1328,B1328),'Year Wise Master Dep Approach'!F:F,'Year Wise Master Dep Approach'!E:E)</f>
        <v>10</v>
      </c>
      <c r="P1328" s="114">
        <f>IFERROR(IF('FA Addition'!$N1328="WDV",1-('FA Addition'!$M1328/'FA Addition'!$L1328)^(1/'FA Addition'!$O1328),1/'FA Addition'!$O1328),0)</f>
        <v>0.25885462848627849</v>
      </c>
      <c r="Q1328" s="122">
        <f>'FA Addition'!$P1328*'FA Addition'!$O1328</f>
        <v>2.5885462848627849</v>
      </c>
      <c r="R1328" s="122"/>
      <c r="S1328" s="116">
        <f>IF(AND(DATE(20&amp;LEFT(FAAddition[[#This Row],[FY]],2),4,1)&lt;$L$1+1,DATE(20&amp;LEFT(FAAddition[[#This Row],[FY]],2),4,1)&gt;$P$1-1),'FA Addition'!$J1328,0)</f>
        <v>0</v>
      </c>
      <c r="U1328" s="117">
        <f>S1328*'FA Addition'!$L1328/'FA Addition'!$J1328</f>
        <v>0</v>
      </c>
      <c r="W1328" s="116">
        <f>SUMIFS('FA Write off'!D:D,'FA Write off'!A:A,'FA Addition'!$A1328,'FA Write off'!C:C,"&lt;"&amp;'FA Addition'!$P$1)</f>
        <v>0</v>
      </c>
      <c r="Y1328" s="191">
        <f>IFERROR(W1328/'FA Addition'!$J1328*'FA Addition'!$L1328,0)</f>
        <v>0</v>
      </c>
      <c r="AA1328" s="116">
        <f>SUMIFS('FA Write off'!D:D,'FA Write off'!A:A,'FA Addition'!$A1328,'FA Write off'!C:C,"&lt;"&amp;'FA Addition'!$L$1+1,'FA Write off'!C:C,"&gt;"&amp;'FA Addition'!$L$1-365)</f>
        <v>0</v>
      </c>
      <c r="AC1328" s="118">
        <f>IFERROR(AA1328/'FA Addition'!$J1328*'FA Addition'!$L1328,0)</f>
        <v>0</v>
      </c>
      <c r="AE1328" s="117">
        <f>IF(AND('FA Addition'!$D1328&lt;$P$1+1,U1328=0),'FA Addition'!$L1328,0)-Y1328</f>
        <v>0</v>
      </c>
      <c r="AF1328" s="117">
        <f t="shared" si="100"/>
        <v>0</v>
      </c>
      <c r="AG1328" s="117">
        <f>MIN(MAX(+$P$1-'FA Addition'!$D1328,0),365*'FA Addition'!$O1328)</f>
        <v>0</v>
      </c>
      <c r="AH1328" s="117">
        <f>MIN(MAX($L$1-'FA Addition'!$D1328+1,0),365*'FA Addition'!$O1328)</f>
        <v>0</v>
      </c>
      <c r="AI1328" s="117" cm="1">
        <f t="array" ref="AI1328">_xlfn.XLOOKUP(1,('FA Write off'!A:A='FA Addition'!$A1328)*('FA Write off'!D:D=AA1328),'FA Write off'!H:H,0,0)</f>
        <v>0</v>
      </c>
      <c r="AJ1328" s="117">
        <f>IF(AC1328&gt;0,MAX(IF('FA Addition'!$N1328="SLM",($AC1328-'FA Addition'!$M1328)*'FA Addition'!$P1328*AI1328/365,(AC1328-'FA Addition'!$M1328)*(1-(1-'FA Addition'!$P1328)^(AI1328/365))),0),0)</f>
        <v>0</v>
      </c>
      <c r="AL1328" s="117">
        <f>MAX(IF(AG1328&gt;0,IF('FA Addition'!$N1328="SLM",($AE1328-'FA Addition'!$M1328)*'FA Addition'!$P1328*AG1328/365,IFERROR(VDB(AE1328,AE1328*0.05,'FA Addition'!$O1328,0,YEARFRAC('FA Addition'!$C1328,$P$1-1,3),'FA Addition'!$Q1328),FAAddition[[#This Row],[Original Cost (Rs)]]-FAAddition[[#This Row],[Salvage Value]])),0),0)</f>
        <v>0</v>
      </c>
      <c r="AM1328" s="119"/>
      <c r="AN1328" s="117">
        <f>MAX(IF(AH1328&gt;0,IF('FA Addition'!$N1328="SLM",($AF1328-'FA Addition'!$M1328)*'FA Addition'!$P1328*AH1328/365,IFERROR(VDB(AF1328,AF1328*0.05,'FA Addition'!$O1328,0,YEARFRAC('FA Addition'!$C1328,$L$1,3),'FA Addition'!$Q1328),FAAddition[[#This Row],[Original Cost (Rs)]]-FAAddition[[#This Row],[Salvage Value]])),0),0)</f>
        <v>0</v>
      </c>
      <c r="AO1328" s="117">
        <f t="shared" si="103"/>
        <v>0</v>
      </c>
      <c r="AQ1328" s="117">
        <f t="shared" si="101"/>
        <v>0</v>
      </c>
      <c r="AR1328" s="120">
        <f t="shared" si="102"/>
        <v>0</v>
      </c>
      <c r="AS1328" s="121"/>
    </row>
    <row r="1329" spans="1:45" ht="13.5" x14ac:dyDescent="0.4">
      <c r="A1329" s="12">
        <f t="shared" si="104"/>
        <v>1326</v>
      </c>
      <c r="B1329" s="64" t="s">
        <v>10</v>
      </c>
      <c r="C1329" s="54">
        <v>45747</v>
      </c>
      <c r="D1329" s="54">
        <v>45748</v>
      </c>
      <c r="E1329" s="46" t="s">
        <v>451</v>
      </c>
      <c r="F1329" s="51" t="s">
        <v>19</v>
      </c>
      <c r="G1329" s="51" t="s">
        <v>20</v>
      </c>
      <c r="H1329" s="51" t="s">
        <v>21</v>
      </c>
      <c r="I1329" s="55" t="s">
        <v>22</v>
      </c>
      <c r="J1329" s="56">
        <v>1</v>
      </c>
      <c r="K1329" s="51" t="s">
        <v>287</v>
      </c>
      <c r="L1329" s="58">
        <v>84500</v>
      </c>
      <c r="M1329" s="50">
        <f>ROUND('FA Addition'!$L1329*5%,0.1)</f>
        <v>4225</v>
      </c>
      <c r="N1329" s="113" t="str">
        <f>_xlfn.XLOOKUP(_xlfn.CONCAT(E1329,B1329),'Year Wise Master Dep Approach'!F:F,'Year Wise Master Dep Approach'!D:D)</f>
        <v>WDV</v>
      </c>
      <c r="O1329" s="113">
        <f>_xlfn.XLOOKUP(_xlfn.CONCAT(E1329,B1329),'Year Wise Master Dep Approach'!F:F,'Year Wise Master Dep Approach'!E:E)</f>
        <v>3</v>
      </c>
      <c r="P1329" s="114">
        <f>IFERROR(IF('FA Addition'!$N1329="WDV",1-('FA Addition'!$M1329/'FA Addition'!$L1329)^(1/'FA Addition'!$O1329),1/'FA Addition'!$O1329),0)</f>
        <v>0.63159685013596123</v>
      </c>
      <c r="Q1329" s="122">
        <f>'FA Addition'!$P1329*'FA Addition'!$O1329</f>
        <v>1.8947905504078837</v>
      </c>
      <c r="R1329" s="122"/>
      <c r="S1329" s="116">
        <f>IF(AND(DATE(20&amp;LEFT(FAAddition[[#This Row],[FY]],2),4,1)&lt;$L$1+1,DATE(20&amp;LEFT(FAAddition[[#This Row],[FY]],2),4,1)&gt;$P$1-1),'FA Addition'!$J1329,0)</f>
        <v>0</v>
      </c>
      <c r="U1329" s="117">
        <f>S1329*'FA Addition'!$L1329/'FA Addition'!$J1329</f>
        <v>0</v>
      </c>
      <c r="W1329" s="116">
        <f>SUMIFS('FA Write off'!D:D,'FA Write off'!A:A,'FA Addition'!$A1329,'FA Write off'!C:C,"&lt;"&amp;'FA Addition'!$P$1)</f>
        <v>0</v>
      </c>
      <c r="Y1329" s="191">
        <f>IFERROR(W1329/'FA Addition'!$J1329*'FA Addition'!$L1329,0)</f>
        <v>0</v>
      </c>
      <c r="AA1329" s="116">
        <f>SUMIFS('FA Write off'!D:D,'FA Write off'!A:A,'FA Addition'!$A1329,'FA Write off'!C:C,"&lt;"&amp;'FA Addition'!$L$1+1,'FA Write off'!C:C,"&gt;"&amp;'FA Addition'!$L$1-365)</f>
        <v>0</v>
      </c>
      <c r="AC1329" s="118">
        <f>IFERROR(AA1329/'FA Addition'!$J1329*'FA Addition'!$L1329,0)</f>
        <v>0</v>
      </c>
      <c r="AE1329" s="117">
        <f>IF(AND('FA Addition'!$D1329&lt;$P$1+1,U1329=0),'FA Addition'!$L1329,0)-Y1329</f>
        <v>0</v>
      </c>
      <c r="AF1329" s="117">
        <f t="shared" si="100"/>
        <v>0</v>
      </c>
      <c r="AG1329" s="117">
        <f>MIN(MAX(+$P$1-'FA Addition'!$D1329,0),365*'FA Addition'!$O1329)</f>
        <v>0</v>
      </c>
      <c r="AH1329" s="117">
        <f>MIN(MAX($L$1-'FA Addition'!$D1329+1,0),365*'FA Addition'!$O1329)</f>
        <v>0</v>
      </c>
      <c r="AI1329" s="117" cm="1">
        <f t="array" ref="AI1329">_xlfn.XLOOKUP(1,('FA Write off'!A:A='FA Addition'!$A1329)*('FA Write off'!D:D=AA1329),'FA Write off'!H:H,0,0)</f>
        <v>0</v>
      </c>
      <c r="AJ1329" s="117">
        <f>IF(AC1329&gt;0,MAX(IF('FA Addition'!$N1329="SLM",($AC1329-'FA Addition'!$M1329)*'FA Addition'!$P1329*AI1329/365,(AC1329-'FA Addition'!$M1329)*(1-(1-'FA Addition'!$P1329)^(AI1329/365))),0),0)</f>
        <v>0</v>
      </c>
      <c r="AL1329" s="117">
        <f>MAX(IF(AG1329&gt;0,IF('FA Addition'!$N1329="SLM",($AE1329-'FA Addition'!$M1329)*'FA Addition'!$P1329*AG1329/365,IFERROR(VDB(AE1329,AE1329*0.05,'FA Addition'!$O1329,0,YEARFRAC('FA Addition'!$C1329,$P$1-1,3),'FA Addition'!$Q1329),FAAddition[[#This Row],[Original Cost (Rs)]]-FAAddition[[#This Row],[Salvage Value]])),0),0)</f>
        <v>0</v>
      </c>
      <c r="AM1329" s="119"/>
      <c r="AN1329" s="117">
        <f>MAX(IF(AH1329&gt;0,IF('FA Addition'!$N1329="SLM",($AF1329-'FA Addition'!$M1329)*'FA Addition'!$P1329*AH1329/365,IFERROR(VDB(AF1329,AF1329*0.05,'FA Addition'!$O1329,0,YEARFRAC('FA Addition'!$C1329,$L$1,3),'FA Addition'!$Q1329),FAAddition[[#This Row],[Original Cost (Rs)]]-FAAddition[[#This Row],[Salvage Value]])),0),0)</f>
        <v>0</v>
      </c>
      <c r="AO1329" s="117">
        <f t="shared" si="103"/>
        <v>0</v>
      </c>
      <c r="AQ1329" s="117">
        <f t="shared" si="101"/>
        <v>0</v>
      </c>
      <c r="AR1329" s="120">
        <f t="shared" si="102"/>
        <v>0</v>
      </c>
      <c r="AS1329" s="121"/>
    </row>
    <row r="1330" spans="1:45" ht="13.5" x14ac:dyDescent="0.4">
      <c r="A1330" s="12">
        <f t="shared" si="104"/>
        <v>1327</v>
      </c>
      <c r="B1330" s="64" t="s">
        <v>10</v>
      </c>
      <c r="C1330" s="54">
        <v>45747</v>
      </c>
      <c r="D1330" s="54">
        <v>45748</v>
      </c>
      <c r="E1330" s="46" t="s">
        <v>451</v>
      </c>
      <c r="F1330" s="51" t="s">
        <v>19</v>
      </c>
      <c r="G1330" s="51" t="s">
        <v>20</v>
      </c>
      <c r="H1330" s="51" t="s">
        <v>21</v>
      </c>
      <c r="I1330" s="55" t="s">
        <v>22</v>
      </c>
      <c r="J1330" s="56">
        <v>1</v>
      </c>
      <c r="K1330" s="51" t="s">
        <v>287</v>
      </c>
      <c r="L1330" s="58">
        <v>84500</v>
      </c>
      <c r="M1330" s="50">
        <f>ROUND('FA Addition'!$L1330*5%,0.1)</f>
        <v>4225</v>
      </c>
      <c r="N1330" s="113" t="str">
        <f>_xlfn.XLOOKUP(_xlfn.CONCAT(E1330,B1330),'Year Wise Master Dep Approach'!F:F,'Year Wise Master Dep Approach'!D:D)</f>
        <v>WDV</v>
      </c>
      <c r="O1330" s="113">
        <f>_xlfn.XLOOKUP(_xlfn.CONCAT(E1330,B1330),'Year Wise Master Dep Approach'!F:F,'Year Wise Master Dep Approach'!E:E)</f>
        <v>3</v>
      </c>
      <c r="P1330" s="114">
        <f>IFERROR(IF('FA Addition'!$N1330="WDV",1-('FA Addition'!$M1330/'FA Addition'!$L1330)^(1/'FA Addition'!$O1330),1/'FA Addition'!$O1330),0)</f>
        <v>0.63159685013596123</v>
      </c>
      <c r="Q1330" s="122">
        <f>'FA Addition'!$P1330*'FA Addition'!$O1330</f>
        <v>1.8947905504078837</v>
      </c>
      <c r="R1330" s="122"/>
      <c r="S1330" s="116">
        <f>IF(AND(DATE(20&amp;LEFT(FAAddition[[#This Row],[FY]],2),4,1)&lt;$L$1+1,DATE(20&amp;LEFT(FAAddition[[#This Row],[FY]],2),4,1)&gt;$P$1-1),'FA Addition'!$J1330,0)</f>
        <v>0</v>
      </c>
      <c r="U1330" s="117">
        <f>S1330*'FA Addition'!$L1330/'FA Addition'!$J1330</f>
        <v>0</v>
      </c>
      <c r="W1330" s="116">
        <f>SUMIFS('FA Write off'!D:D,'FA Write off'!A:A,'FA Addition'!$A1330,'FA Write off'!C:C,"&lt;"&amp;'FA Addition'!$P$1)</f>
        <v>0</v>
      </c>
      <c r="Y1330" s="191">
        <f>IFERROR(W1330/'FA Addition'!$J1330*'FA Addition'!$L1330,0)</f>
        <v>0</v>
      </c>
      <c r="AA1330" s="116">
        <f>SUMIFS('FA Write off'!D:D,'FA Write off'!A:A,'FA Addition'!$A1330,'FA Write off'!C:C,"&lt;"&amp;'FA Addition'!$L$1+1,'FA Write off'!C:C,"&gt;"&amp;'FA Addition'!$L$1-365)</f>
        <v>0</v>
      </c>
      <c r="AC1330" s="118">
        <f>IFERROR(AA1330/'FA Addition'!$J1330*'FA Addition'!$L1330,0)</f>
        <v>0</v>
      </c>
      <c r="AE1330" s="117">
        <f>IF(AND('FA Addition'!$D1330&lt;$P$1+1,U1330=0),'FA Addition'!$L1330,0)-Y1330</f>
        <v>0</v>
      </c>
      <c r="AF1330" s="117">
        <f t="shared" si="100"/>
        <v>0</v>
      </c>
      <c r="AG1330" s="117">
        <f>MIN(MAX(+$P$1-'FA Addition'!$D1330,0),365*'FA Addition'!$O1330)</f>
        <v>0</v>
      </c>
      <c r="AH1330" s="117">
        <f>MIN(MAX($L$1-'FA Addition'!$D1330+1,0),365*'FA Addition'!$O1330)</f>
        <v>0</v>
      </c>
      <c r="AI1330" s="117" cm="1">
        <f t="array" ref="AI1330">_xlfn.XLOOKUP(1,('FA Write off'!A:A='FA Addition'!$A1330)*('FA Write off'!D:D=AA1330),'FA Write off'!H:H,0,0)</f>
        <v>0</v>
      </c>
      <c r="AJ1330" s="117">
        <f>IF(AC1330&gt;0,MAX(IF('FA Addition'!$N1330="SLM",($AC1330-'FA Addition'!$M1330)*'FA Addition'!$P1330*AI1330/365,(AC1330-'FA Addition'!$M1330)*(1-(1-'FA Addition'!$P1330)^(AI1330/365))),0),0)</f>
        <v>0</v>
      </c>
      <c r="AL1330" s="117">
        <f>MAX(IF(AG1330&gt;0,IF('FA Addition'!$N1330="SLM",($AE1330-'FA Addition'!$M1330)*'FA Addition'!$P1330*AG1330/365,IFERROR(VDB(AE1330,AE1330*0.05,'FA Addition'!$O1330,0,YEARFRAC('FA Addition'!$C1330,$P$1-1,3),'FA Addition'!$Q1330),FAAddition[[#This Row],[Original Cost (Rs)]]-FAAddition[[#This Row],[Salvage Value]])),0),0)</f>
        <v>0</v>
      </c>
      <c r="AM1330" s="119"/>
      <c r="AN1330" s="117">
        <f>MAX(IF(AH1330&gt;0,IF('FA Addition'!$N1330="SLM",($AF1330-'FA Addition'!$M1330)*'FA Addition'!$P1330*AH1330/365,IFERROR(VDB(AF1330,AF1330*0.05,'FA Addition'!$O1330,0,YEARFRAC('FA Addition'!$C1330,$L$1,3),'FA Addition'!$Q1330),FAAddition[[#This Row],[Original Cost (Rs)]]-FAAddition[[#This Row],[Salvage Value]])),0),0)</f>
        <v>0</v>
      </c>
      <c r="AO1330" s="117">
        <f t="shared" si="103"/>
        <v>0</v>
      </c>
      <c r="AQ1330" s="117">
        <f t="shared" si="101"/>
        <v>0</v>
      </c>
      <c r="AR1330" s="120">
        <f t="shared" si="102"/>
        <v>0</v>
      </c>
      <c r="AS1330" s="121"/>
    </row>
    <row r="1331" spans="1:45" ht="13.5" x14ac:dyDescent="0.4">
      <c r="A1331" s="12">
        <f t="shared" si="104"/>
        <v>1328</v>
      </c>
      <c r="B1331" s="64" t="s">
        <v>10</v>
      </c>
      <c r="C1331" s="54">
        <v>45747</v>
      </c>
      <c r="D1331" s="54">
        <v>45748</v>
      </c>
      <c r="E1331" s="46" t="s">
        <v>451</v>
      </c>
      <c r="F1331" s="51" t="s">
        <v>19</v>
      </c>
      <c r="G1331" s="51" t="s">
        <v>20</v>
      </c>
      <c r="H1331" s="51" t="s">
        <v>21</v>
      </c>
      <c r="I1331" s="55" t="s">
        <v>22</v>
      </c>
      <c r="J1331" s="56">
        <v>1</v>
      </c>
      <c r="K1331" s="51" t="s">
        <v>287</v>
      </c>
      <c r="L1331" s="58">
        <v>84500</v>
      </c>
      <c r="M1331" s="50">
        <f>ROUND('FA Addition'!$L1331*5%,0.1)</f>
        <v>4225</v>
      </c>
      <c r="N1331" s="113" t="str">
        <f>_xlfn.XLOOKUP(_xlfn.CONCAT(E1331,B1331),'Year Wise Master Dep Approach'!F:F,'Year Wise Master Dep Approach'!D:D)</f>
        <v>WDV</v>
      </c>
      <c r="O1331" s="113">
        <f>_xlfn.XLOOKUP(_xlfn.CONCAT(E1331,B1331),'Year Wise Master Dep Approach'!F:F,'Year Wise Master Dep Approach'!E:E)</f>
        <v>3</v>
      </c>
      <c r="P1331" s="114">
        <f>IFERROR(IF('FA Addition'!$N1331="WDV",1-('FA Addition'!$M1331/'FA Addition'!$L1331)^(1/'FA Addition'!$O1331),1/'FA Addition'!$O1331),0)</f>
        <v>0.63159685013596123</v>
      </c>
      <c r="Q1331" s="122">
        <f>'FA Addition'!$P1331*'FA Addition'!$O1331</f>
        <v>1.8947905504078837</v>
      </c>
      <c r="R1331" s="122"/>
      <c r="S1331" s="116">
        <f>IF(AND(DATE(20&amp;LEFT(FAAddition[[#This Row],[FY]],2),4,1)&lt;$L$1+1,DATE(20&amp;LEFT(FAAddition[[#This Row],[FY]],2),4,1)&gt;$P$1-1),'FA Addition'!$J1331,0)</f>
        <v>0</v>
      </c>
      <c r="U1331" s="117">
        <f>S1331*'FA Addition'!$L1331/'FA Addition'!$J1331</f>
        <v>0</v>
      </c>
      <c r="W1331" s="116">
        <f>SUMIFS('FA Write off'!D:D,'FA Write off'!A:A,'FA Addition'!$A1331,'FA Write off'!C:C,"&lt;"&amp;'FA Addition'!$P$1)</f>
        <v>0</v>
      </c>
      <c r="Y1331" s="191">
        <f>IFERROR(W1331/'FA Addition'!$J1331*'FA Addition'!$L1331,0)</f>
        <v>0</v>
      </c>
      <c r="AA1331" s="116">
        <f>SUMIFS('FA Write off'!D:D,'FA Write off'!A:A,'FA Addition'!$A1331,'FA Write off'!C:C,"&lt;"&amp;'FA Addition'!$L$1+1,'FA Write off'!C:C,"&gt;"&amp;'FA Addition'!$L$1-365)</f>
        <v>0</v>
      </c>
      <c r="AC1331" s="118">
        <f>IFERROR(AA1331/'FA Addition'!$J1331*'FA Addition'!$L1331,0)</f>
        <v>0</v>
      </c>
      <c r="AE1331" s="117">
        <f>IF(AND('FA Addition'!$D1331&lt;$P$1+1,U1331=0),'FA Addition'!$L1331,0)-Y1331</f>
        <v>0</v>
      </c>
      <c r="AF1331" s="117">
        <f t="shared" si="100"/>
        <v>0</v>
      </c>
      <c r="AG1331" s="117">
        <f>MIN(MAX(+$P$1-'FA Addition'!$D1331,0),365*'FA Addition'!$O1331)</f>
        <v>0</v>
      </c>
      <c r="AH1331" s="117">
        <f>MIN(MAX($L$1-'FA Addition'!$D1331+1,0),365*'FA Addition'!$O1331)</f>
        <v>0</v>
      </c>
      <c r="AI1331" s="117" cm="1">
        <f t="array" ref="AI1331">_xlfn.XLOOKUP(1,('FA Write off'!A:A='FA Addition'!$A1331)*('FA Write off'!D:D=AA1331),'FA Write off'!H:H,0,0)</f>
        <v>0</v>
      </c>
      <c r="AJ1331" s="117">
        <f>IF(AC1331&gt;0,MAX(IF('FA Addition'!$N1331="SLM",($AC1331-'FA Addition'!$M1331)*'FA Addition'!$P1331*AI1331/365,(AC1331-'FA Addition'!$M1331)*(1-(1-'FA Addition'!$P1331)^(AI1331/365))),0),0)</f>
        <v>0</v>
      </c>
      <c r="AL1331" s="117">
        <f>MAX(IF(AG1331&gt;0,IF('FA Addition'!$N1331="SLM",($AE1331-'FA Addition'!$M1331)*'FA Addition'!$P1331*AG1331/365,IFERROR(VDB(AE1331,AE1331*0.05,'FA Addition'!$O1331,0,YEARFRAC('FA Addition'!$C1331,$P$1-1,3),'FA Addition'!$Q1331),FAAddition[[#This Row],[Original Cost (Rs)]]-FAAddition[[#This Row],[Salvage Value]])),0),0)</f>
        <v>0</v>
      </c>
      <c r="AM1331" s="119"/>
      <c r="AN1331" s="117">
        <f>MAX(IF(AH1331&gt;0,IF('FA Addition'!$N1331="SLM",($AF1331-'FA Addition'!$M1331)*'FA Addition'!$P1331*AH1331/365,IFERROR(VDB(AF1331,AF1331*0.05,'FA Addition'!$O1331,0,YEARFRAC('FA Addition'!$C1331,$L$1,3),'FA Addition'!$Q1331),FAAddition[[#This Row],[Original Cost (Rs)]]-FAAddition[[#This Row],[Salvage Value]])),0),0)</f>
        <v>0</v>
      </c>
      <c r="AO1331" s="117">
        <f t="shared" si="103"/>
        <v>0</v>
      </c>
      <c r="AQ1331" s="117">
        <f t="shared" si="101"/>
        <v>0</v>
      </c>
      <c r="AR1331" s="120">
        <f t="shared" si="102"/>
        <v>0</v>
      </c>
      <c r="AS1331" s="121"/>
    </row>
    <row r="1332" spans="1:45" ht="13.5" x14ac:dyDescent="0.4">
      <c r="A1332" s="12">
        <f t="shared" si="104"/>
        <v>1329</v>
      </c>
      <c r="B1332" s="64" t="s">
        <v>10</v>
      </c>
      <c r="C1332" s="54">
        <v>45747</v>
      </c>
      <c r="D1332" s="54">
        <v>45748</v>
      </c>
      <c r="E1332" s="46" t="s">
        <v>451</v>
      </c>
      <c r="F1332" s="51" t="s">
        <v>19</v>
      </c>
      <c r="G1332" s="51" t="s">
        <v>20</v>
      </c>
      <c r="H1332" s="51" t="s">
        <v>21</v>
      </c>
      <c r="I1332" s="55" t="s">
        <v>22</v>
      </c>
      <c r="J1332" s="56">
        <v>1</v>
      </c>
      <c r="K1332" s="51" t="s">
        <v>287</v>
      </c>
      <c r="L1332" s="58">
        <v>84500</v>
      </c>
      <c r="M1332" s="50">
        <f>ROUND('FA Addition'!$L1332*5%,0.1)</f>
        <v>4225</v>
      </c>
      <c r="N1332" s="113" t="str">
        <f>_xlfn.XLOOKUP(_xlfn.CONCAT(E1332,B1332),'Year Wise Master Dep Approach'!F:F,'Year Wise Master Dep Approach'!D:D)</f>
        <v>WDV</v>
      </c>
      <c r="O1332" s="113">
        <f>_xlfn.XLOOKUP(_xlfn.CONCAT(E1332,B1332),'Year Wise Master Dep Approach'!F:F,'Year Wise Master Dep Approach'!E:E)</f>
        <v>3</v>
      </c>
      <c r="P1332" s="114">
        <f>IFERROR(IF('FA Addition'!$N1332="WDV",1-('FA Addition'!$M1332/'FA Addition'!$L1332)^(1/'FA Addition'!$O1332),1/'FA Addition'!$O1332),0)</f>
        <v>0.63159685013596123</v>
      </c>
      <c r="Q1332" s="122">
        <f>'FA Addition'!$P1332*'FA Addition'!$O1332</f>
        <v>1.8947905504078837</v>
      </c>
      <c r="R1332" s="122"/>
      <c r="S1332" s="116">
        <f>IF(AND(DATE(20&amp;LEFT(FAAddition[[#This Row],[FY]],2),4,1)&lt;$L$1+1,DATE(20&amp;LEFT(FAAddition[[#This Row],[FY]],2),4,1)&gt;$P$1-1),'FA Addition'!$J1332,0)</f>
        <v>0</v>
      </c>
      <c r="U1332" s="117">
        <f>S1332*'FA Addition'!$L1332/'FA Addition'!$J1332</f>
        <v>0</v>
      </c>
      <c r="W1332" s="116">
        <f>SUMIFS('FA Write off'!D:D,'FA Write off'!A:A,'FA Addition'!$A1332,'FA Write off'!C:C,"&lt;"&amp;'FA Addition'!$P$1)</f>
        <v>0</v>
      </c>
      <c r="Y1332" s="191">
        <f>IFERROR(W1332/'FA Addition'!$J1332*'FA Addition'!$L1332,0)</f>
        <v>0</v>
      </c>
      <c r="AA1332" s="116">
        <f>SUMIFS('FA Write off'!D:D,'FA Write off'!A:A,'FA Addition'!$A1332,'FA Write off'!C:C,"&lt;"&amp;'FA Addition'!$L$1+1,'FA Write off'!C:C,"&gt;"&amp;'FA Addition'!$L$1-365)</f>
        <v>0</v>
      </c>
      <c r="AC1332" s="118">
        <f>IFERROR(AA1332/'FA Addition'!$J1332*'FA Addition'!$L1332,0)</f>
        <v>0</v>
      </c>
      <c r="AE1332" s="117">
        <f>IF(AND('FA Addition'!$D1332&lt;$P$1+1,U1332=0),'FA Addition'!$L1332,0)-Y1332</f>
        <v>0</v>
      </c>
      <c r="AF1332" s="117">
        <f t="shared" si="100"/>
        <v>0</v>
      </c>
      <c r="AG1332" s="117">
        <f>MIN(MAX(+$P$1-'FA Addition'!$D1332,0),365*'FA Addition'!$O1332)</f>
        <v>0</v>
      </c>
      <c r="AH1332" s="117">
        <f>MIN(MAX($L$1-'FA Addition'!$D1332+1,0),365*'FA Addition'!$O1332)</f>
        <v>0</v>
      </c>
      <c r="AI1332" s="117" cm="1">
        <f t="array" ref="AI1332">_xlfn.XLOOKUP(1,('FA Write off'!A:A='FA Addition'!$A1332)*('FA Write off'!D:D=AA1332),'FA Write off'!H:H,0,0)</f>
        <v>0</v>
      </c>
      <c r="AJ1332" s="117">
        <f>IF(AC1332&gt;0,MAX(IF('FA Addition'!$N1332="SLM",($AC1332-'FA Addition'!$M1332)*'FA Addition'!$P1332*AI1332/365,(AC1332-'FA Addition'!$M1332)*(1-(1-'FA Addition'!$P1332)^(AI1332/365))),0),0)</f>
        <v>0</v>
      </c>
      <c r="AL1332" s="117">
        <f>MAX(IF(AG1332&gt;0,IF('FA Addition'!$N1332="SLM",($AE1332-'FA Addition'!$M1332)*'FA Addition'!$P1332*AG1332/365,IFERROR(VDB(AE1332,AE1332*0.05,'FA Addition'!$O1332,0,YEARFRAC('FA Addition'!$C1332,$P$1-1,3),'FA Addition'!$Q1332),FAAddition[[#This Row],[Original Cost (Rs)]]-FAAddition[[#This Row],[Salvage Value]])),0),0)</f>
        <v>0</v>
      </c>
      <c r="AM1332" s="119"/>
      <c r="AN1332" s="117">
        <f>MAX(IF(AH1332&gt;0,IF('FA Addition'!$N1332="SLM",($AF1332-'FA Addition'!$M1332)*'FA Addition'!$P1332*AH1332/365,IFERROR(VDB(AF1332,AF1332*0.05,'FA Addition'!$O1332,0,YEARFRAC('FA Addition'!$C1332,$L$1,3),'FA Addition'!$Q1332),FAAddition[[#This Row],[Original Cost (Rs)]]-FAAddition[[#This Row],[Salvage Value]])),0),0)</f>
        <v>0</v>
      </c>
      <c r="AO1332" s="117">
        <f t="shared" si="103"/>
        <v>0</v>
      </c>
      <c r="AQ1332" s="117">
        <f t="shared" si="101"/>
        <v>0</v>
      </c>
      <c r="AR1332" s="120">
        <f t="shared" si="102"/>
        <v>0</v>
      </c>
      <c r="AS1332" s="121"/>
    </row>
    <row r="1333" spans="1:45" ht="13.5" x14ac:dyDescent="0.4">
      <c r="A1333" s="12">
        <f t="shared" si="104"/>
        <v>1330</v>
      </c>
      <c r="B1333" s="64" t="s">
        <v>10</v>
      </c>
      <c r="C1333" s="54">
        <v>45754</v>
      </c>
      <c r="D1333" s="54">
        <v>45763</v>
      </c>
      <c r="E1333" s="46" t="s">
        <v>451</v>
      </c>
      <c r="F1333" s="51" t="s">
        <v>19</v>
      </c>
      <c r="G1333" s="51" t="s">
        <v>20</v>
      </c>
      <c r="H1333" s="51" t="s">
        <v>21</v>
      </c>
      <c r="I1333" s="55" t="s">
        <v>23</v>
      </c>
      <c r="J1333" s="56">
        <v>1</v>
      </c>
      <c r="K1333" s="51" t="s">
        <v>288</v>
      </c>
      <c r="L1333" s="58">
        <v>130508.47</v>
      </c>
      <c r="M1333" s="50">
        <f>ROUND('FA Addition'!$L1333*5%,0.1)</f>
        <v>6525</v>
      </c>
      <c r="N1333" s="113" t="str">
        <f>_xlfn.XLOOKUP(_xlfn.CONCAT(E1333,B1333),'Year Wise Master Dep Approach'!F:F,'Year Wise Master Dep Approach'!D:D)</f>
        <v>WDV</v>
      </c>
      <c r="O1333" s="113">
        <f>_xlfn.XLOOKUP(_xlfn.CONCAT(E1333,B1333),'Year Wise Master Dep Approach'!F:F,'Year Wise Master Dep Approach'!E:E)</f>
        <v>3</v>
      </c>
      <c r="P1333" s="114">
        <f>IFERROR(IF('FA Addition'!$N1333="WDV",1-('FA Addition'!$M1333/'FA Addition'!$L1333)^(1/'FA Addition'!$O1333),1/'FA Addition'!$O1333),0)</f>
        <v>0.63160482009680208</v>
      </c>
      <c r="Q1333" s="122">
        <f>'FA Addition'!$P1333*'FA Addition'!$O1333</f>
        <v>1.8948144602904062</v>
      </c>
      <c r="R1333" s="122"/>
      <c r="S1333" s="116">
        <f>IF(AND(DATE(20&amp;LEFT(FAAddition[[#This Row],[FY]],2),4,1)&lt;$L$1+1,DATE(20&amp;LEFT(FAAddition[[#This Row],[FY]],2),4,1)&gt;$P$1-1),'FA Addition'!$J1333,0)</f>
        <v>0</v>
      </c>
      <c r="U1333" s="117">
        <f>S1333*'FA Addition'!$L1333/'FA Addition'!$J1333</f>
        <v>0</v>
      </c>
      <c r="W1333" s="116">
        <f>SUMIFS('FA Write off'!D:D,'FA Write off'!A:A,'FA Addition'!$A1333,'FA Write off'!C:C,"&lt;"&amp;'FA Addition'!$P$1)</f>
        <v>0</v>
      </c>
      <c r="Y1333" s="191">
        <f>IFERROR(W1333/'FA Addition'!$J1333*'FA Addition'!$L1333,0)</f>
        <v>0</v>
      </c>
      <c r="AA1333" s="116">
        <f>SUMIFS('FA Write off'!D:D,'FA Write off'!A:A,'FA Addition'!$A1333,'FA Write off'!C:C,"&lt;"&amp;'FA Addition'!$L$1+1,'FA Write off'!C:C,"&gt;"&amp;'FA Addition'!$L$1-365)</f>
        <v>0</v>
      </c>
      <c r="AC1333" s="118">
        <f>IFERROR(AA1333/'FA Addition'!$J1333*'FA Addition'!$L1333,0)</f>
        <v>0</v>
      </c>
      <c r="AE1333" s="117">
        <f>IF(AND('FA Addition'!$D1333&lt;$P$1+1,U1333=0),'FA Addition'!$L1333,0)-Y1333</f>
        <v>0</v>
      </c>
      <c r="AF1333" s="117">
        <f t="shared" si="100"/>
        <v>0</v>
      </c>
      <c r="AG1333" s="117">
        <f>MIN(MAX(+$P$1-'FA Addition'!$D1333,0),365*'FA Addition'!$O1333)</f>
        <v>0</v>
      </c>
      <c r="AH1333" s="117">
        <f>MIN(MAX($L$1-'FA Addition'!$D1333+1,0),365*'FA Addition'!$O1333)</f>
        <v>0</v>
      </c>
      <c r="AI1333" s="117" cm="1">
        <f t="array" ref="AI1333">_xlfn.XLOOKUP(1,('FA Write off'!A:A='FA Addition'!$A1333)*('FA Write off'!D:D=AA1333),'FA Write off'!H:H,0,0)</f>
        <v>0</v>
      </c>
      <c r="AJ1333" s="117">
        <f>IF(AC1333&gt;0,MAX(IF('FA Addition'!$N1333="SLM",($AC1333-'FA Addition'!$M1333)*'FA Addition'!$P1333*AI1333/365,(AC1333-'FA Addition'!$M1333)*(1-(1-'FA Addition'!$P1333)^(AI1333/365))),0),0)</f>
        <v>0</v>
      </c>
      <c r="AL1333" s="117">
        <f>MAX(IF(AG1333&gt;0,IF('FA Addition'!$N1333="SLM",($AE1333-'FA Addition'!$M1333)*'FA Addition'!$P1333*AG1333/365,IFERROR(VDB(AE1333,AE1333*0.05,'FA Addition'!$O1333,0,YEARFRAC('FA Addition'!$C1333,$P$1-1,3),'FA Addition'!$Q1333),FAAddition[[#This Row],[Original Cost (Rs)]]-FAAddition[[#This Row],[Salvage Value]])),0),0)</f>
        <v>0</v>
      </c>
      <c r="AM1333" s="119"/>
      <c r="AN1333" s="117">
        <f>MAX(IF(AH1333&gt;0,IF('FA Addition'!$N1333="SLM",($AF1333-'FA Addition'!$M1333)*'FA Addition'!$P1333*AH1333/365,IFERROR(VDB(AF1333,AF1333*0.05,'FA Addition'!$O1333,0,YEARFRAC('FA Addition'!$C1333,$L$1,3),'FA Addition'!$Q1333),FAAddition[[#This Row],[Original Cost (Rs)]]-FAAddition[[#This Row],[Salvage Value]])),0),0)</f>
        <v>0</v>
      </c>
      <c r="AO1333" s="117">
        <f t="shared" si="103"/>
        <v>0</v>
      </c>
      <c r="AQ1333" s="117">
        <f t="shared" si="101"/>
        <v>0</v>
      </c>
      <c r="AR1333" s="120">
        <f t="shared" si="102"/>
        <v>0</v>
      </c>
      <c r="AS1333" s="121"/>
    </row>
    <row r="1334" spans="1:45" ht="13.5" x14ac:dyDescent="0.4">
      <c r="A1334" s="12">
        <f t="shared" si="104"/>
        <v>1331</v>
      </c>
      <c r="B1334" s="64" t="s">
        <v>10</v>
      </c>
      <c r="C1334" s="54">
        <v>45754</v>
      </c>
      <c r="D1334" s="54">
        <v>45763</v>
      </c>
      <c r="E1334" s="46" t="s">
        <v>451</v>
      </c>
      <c r="F1334" s="51" t="s">
        <v>19</v>
      </c>
      <c r="G1334" s="51" t="s">
        <v>20</v>
      </c>
      <c r="H1334" s="51" t="s">
        <v>21</v>
      </c>
      <c r="I1334" s="55" t="s">
        <v>23</v>
      </c>
      <c r="J1334" s="56">
        <v>1</v>
      </c>
      <c r="K1334" s="51" t="s">
        <v>288</v>
      </c>
      <c r="L1334" s="58">
        <v>130508.47</v>
      </c>
      <c r="M1334" s="50">
        <f>ROUND('FA Addition'!$L1334*5%,0.1)</f>
        <v>6525</v>
      </c>
      <c r="N1334" s="113" t="str">
        <f>_xlfn.XLOOKUP(_xlfn.CONCAT(E1334,B1334),'Year Wise Master Dep Approach'!F:F,'Year Wise Master Dep Approach'!D:D)</f>
        <v>WDV</v>
      </c>
      <c r="O1334" s="113">
        <f>_xlfn.XLOOKUP(_xlfn.CONCAT(E1334,B1334),'Year Wise Master Dep Approach'!F:F,'Year Wise Master Dep Approach'!E:E)</f>
        <v>3</v>
      </c>
      <c r="P1334" s="114">
        <f>IFERROR(IF('FA Addition'!$N1334="WDV",1-('FA Addition'!$M1334/'FA Addition'!$L1334)^(1/'FA Addition'!$O1334),1/'FA Addition'!$O1334),0)</f>
        <v>0.63160482009680208</v>
      </c>
      <c r="Q1334" s="122">
        <f>'FA Addition'!$P1334*'FA Addition'!$O1334</f>
        <v>1.8948144602904062</v>
      </c>
      <c r="R1334" s="122"/>
      <c r="S1334" s="116">
        <f>IF(AND(DATE(20&amp;LEFT(FAAddition[[#This Row],[FY]],2),4,1)&lt;$L$1+1,DATE(20&amp;LEFT(FAAddition[[#This Row],[FY]],2),4,1)&gt;$P$1-1),'FA Addition'!$J1334,0)</f>
        <v>0</v>
      </c>
      <c r="U1334" s="117">
        <f>S1334*'FA Addition'!$L1334/'FA Addition'!$J1334</f>
        <v>0</v>
      </c>
      <c r="W1334" s="116">
        <f>SUMIFS('FA Write off'!D:D,'FA Write off'!A:A,'FA Addition'!$A1334,'FA Write off'!C:C,"&lt;"&amp;'FA Addition'!$P$1)</f>
        <v>0</v>
      </c>
      <c r="Y1334" s="191">
        <f>IFERROR(W1334/'FA Addition'!$J1334*'FA Addition'!$L1334,0)</f>
        <v>0</v>
      </c>
      <c r="AA1334" s="116">
        <f>SUMIFS('FA Write off'!D:D,'FA Write off'!A:A,'FA Addition'!$A1334,'FA Write off'!C:C,"&lt;"&amp;'FA Addition'!$L$1+1,'FA Write off'!C:C,"&gt;"&amp;'FA Addition'!$L$1-365)</f>
        <v>0</v>
      </c>
      <c r="AC1334" s="118">
        <f>IFERROR(AA1334/'FA Addition'!$J1334*'FA Addition'!$L1334,0)</f>
        <v>0</v>
      </c>
      <c r="AE1334" s="117">
        <f>IF(AND('FA Addition'!$D1334&lt;$P$1+1,U1334=0),'FA Addition'!$L1334,0)-Y1334</f>
        <v>0</v>
      </c>
      <c r="AF1334" s="117">
        <f t="shared" si="100"/>
        <v>0</v>
      </c>
      <c r="AG1334" s="117">
        <f>MIN(MAX(+$P$1-'FA Addition'!$D1334,0),365*'FA Addition'!$O1334)</f>
        <v>0</v>
      </c>
      <c r="AH1334" s="117">
        <f>MIN(MAX($L$1-'FA Addition'!$D1334+1,0),365*'FA Addition'!$O1334)</f>
        <v>0</v>
      </c>
      <c r="AI1334" s="117" cm="1">
        <f t="array" ref="AI1334">_xlfn.XLOOKUP(1,('FA Write off'!A:A='FA Addition'!$A1334)*('FA Write off'!D:D=AA1334),'FA Write off'!H:H,0,0)</f>
        <v>0</v>
      </c>
      <c r="AJ1334" s="117">
        <f>IF(AC1334&gt;0,MAX(IF('FA Addition'!$N1334="SLM",($AC1334-'FA Addition'!$M1334)*'FA Addition'!$P1334*AI1334/365,(AC1334-'FA Addition'!$M1334)*(1-(1-'FA Addition'!$P1334)^(AI1334/365))),0),0)</f>
        <v>0</v>
      </c>
      <c r="AL1334" s="117">
        <f>MAX(IF(AG1334&gt;0,IF('FA Addition'!$N1334="SLM",($AE1334-'FA Addition'!$M1334)*'FA Addition'!$P1334*AG1334/365,IFERROR(VDB(AE1334,AE1334*0.05,'FA Addition'!$O1334,0,YEARFRAC('FA Addition'!$C1334,$P$1-1,3),'FA Addition'!$Q1334),FAAddition[[#This Row],[Original Cost (Rs)]]-FAAddition[[#This Row],[Salvage Value]])),0),0)</f>
        <v>0</v>
      </c>
      <c r="AM1334" s="119"/>
      <c r="AN1334" s="117">
        <f>MAX(IF(AH1334&gt;0,IF('FA Addition'!$N1334="SLM",($AF1334-'FA Addition'!$M1334)*'FA Addition'!$P1334*AH1334/365,IFERROR(VDB(AF1334,AF1334*0.05,'FA Addition'!$O1334,0,YEARFRAC('FA Addition'!$C1334,$L$1,3),'FA Addition'!$Q1334),FAAddition[[#This Row],[Original Cost (Rs)]]-FAAddition[[#This Row],[Salvage Value]])),0),0)</f>
        <v>0</v>
      </c>
      <c r="AO1334" s="117">
        <f t="shared" si="103"/>
        <v>0</v>
      </c>
      <c r="AQ1334" s="117">
        <f t="shared" si="101"/>
        <v>0</v>
      </c>
      <c r="AR1334" s="120">
        <f t="shared" si="102"/>
        <v>0</v>
      </c>
      <c r="AS1334" s="121"/>
    </row>
    <row r="1335" spans="1:45" ht="13.5" x14ac:dyDescent="0.4">
      <c r="A1335" s="12">
        <f t="shared" si="104"/>
        <v>1332</v>
      </c>
      <c r="B1335" s="64" t="s">
        <v>10</v>
      </c>
      <c r="C1335" s="54">
        <v>45754</v>
      </c>
      <c r="D1335" s="54">
        <v>45763</v>
      </c>
      <c r="E1335" s="46" t="s">
        <v>451</v>
      </c>
      <c r="F1335" s="51" t="s">
        <v>19</v>
      </c>
      <c r="G1335" s="51" t="s">
        <v>20</v>
      </c>
      <c r="H1335" s="51" t="s">
        <v>21</v>
      </c>
      <c r="I1335" s="55" t="s">
        <v>23</v>
      </c>
      <c r="J1335" s="56">
        <v>1</v>
      </c>
      <c r="K1335" s="51" t="s">
        <v>288</v>
      </c>
      <c r="L1335" s="58">
        <v>130508.47</v>
      </c>
      <c r="M1335" s="50">
        <f>ROUND('FA Addition'!$L1335*5%,0.1)</f>
        <v>6525</v>
      </c>
      <c r="N1335" s="113" t="str">
        <f>_xlfn.XLOOKUP(_xlfn.CONCAT(E1335,B1335),'Year Wise Master Dep Approach'!F:F,'Year Wise Master Dep Approach'!D:D)</f>
        <v>WDV</v>
      </c>
      <c r="O1335" s="113">
        <f>_xlfn.XLOOKUP(_xlfn.CONCAT(E1335,B1335),'Year Wise Master Dep Approach'!F:F,'Year Wise Master Dep Approach'!E:E)</f>
        <v>3</v>
      </c>
      <c r="P1335" s="114">
        <f>IFERROR(IF('FA Addition'!$N1335="WDV",1-('FA Addition'!$M1335/'FA Addition'!$L1335)^(1/'FA Addition'!$O1335),1/'FA Addition'!$O1335),0)</f>
        <v>0.63160482009680208</v>
      </c>
      <c r="Q1335" s="122">
        <f>'FA Addition'!$P1335*'FA Addition'!$O1335</f>
        <v>1.8948144602904062</v>
      </c>
      <c r="R1335" s="122"/>
      <c r="S1335" s="116">
        <f>IF(AND(DATE(20&amp;LEFT(FAAddition[[#This Row],[FY]],2),4,1)&lt;$L$1+1,DATE(20&amp;LEFT(FAAddition[[#This Row],[FY]],2),4,1)&gt;$P$1-1),'FA Addition'!$J1335,0)</f>
        <v>0</v>
      </c>
      <c r="U1335" s="117">
        <f>S1335*'FA Addition'!$L1335/'FA Addition'!$J1335</f>
        <v>0</v>
      </c>
      <c r="W1335" s="116">
        <f>SUMIFS('FA Write off'!D:D,'FA Write off'!A:A,'FA Addition'!$A1335,'FA Write off'!C:C,"&lt;"&amp;'FA Addition'!$P$1)</f>
        <v>0</v>
      </c>
      <c r="Y1335" s="191">
        <f>IFERROR(W1335/'FA Addition'!$J1335*'FA Addition'!$L1335,0)</f>
        <v>0</v>
      </c>
      <c r="AA1335" s="116">
        <f>SUMIFS('FA Write off'!D:D,'FA Write off'!A:A,'FA Addition'!$A1335,'FA Write off'!C:C,"&lt;"&amp;'FA Addition'!$L$1+1,'FA Write off'!C:C,"&gt;"&amp;'FA Addition'!$L$1-365)</f>
        <v>0</v>
      </c>
      <c r="AC1335" s="118">
        <f>IFERROR(AA1335/'FA Addition'!$J1335*'FA Addition'!$L1335,0)</f>
        <v>0</v>
      </c>
      <c r="AE1335" s="117">
        <f>IF(AND('FA Addition'!$D1335&lt;$P$1+1,U1335=0),'FA Addition'!$L1335,0)-Y1335</f>
        <v>0</v>
      </c>
      <c r="AF1335" s="117">
        <f t="shared" si="100"/>
        <v>0</v>
      </c>
      <c r="AG1335" s="117">
        <f>MIN(MAX(+$P$1-'FA Addition'!$D1335,0),365*'FA Addition'!$O1335)</f>
        <v>0</v>
      </c>
      <c r="AH1335" s="117">
        <f>MIN(MAX($L$1-'FA Addition'!$D1335+1,0),365*'FA Addition'!$O1335)</f>
        <v>0</v>
      </c>
      <c r="AI1335" s="117" cm="1">
        <f t="array" ref="AI1335">_xlfn.XLOOKUP(1,('FA Write off'!A:A='FA Addition'!$A1335)*('FA Write off'!D:D=AA1335),'FA Write off'!H:H,0,0)</f>
        <v>0</v>
      </c>
      <c r="AJ1335" s="117">
        <f>IF(AC1335&gt;0,MAX(IF('FA Addition'!$N1335="SLM",($AC1335-'FA Addition'!$M1335)*'FA Addition'!$P1335*AI1335/365,(AC1335-'FA Addition'!$M1335)*(1-(1-'FA Addition'!$P1335)^(AI1335/365))),0),0)</f>
        <v>0</v>
      </c>
      <c r="AL1335" s="117">
        <f>MAX(IF(AG1335&gt;0,IF('FA Addition'!$N1335="SLM",($AE1335-'FA Addition'!$M1335)*'FA Addition'!$P1335*AG1335/365,IFERROR(VDB(AE1335,AE1335*0.05,'FA Addition'!$O1335,0,YEARFRAC('FA Addition'!$C1335,$P$1-1,3),'FA Addition'!$Q1335),FAAddition[[#This Row],[Original Cost (Rs)]]-FAAddition[[#This Row],[Salvage Value]])),0),0)</f>
        <v>0</v>
      </c>
      <c r="AM1335" s="119"/>
      <c r="AN1335" s="117">
        <f>MAX(IF(AH1335&gt;0,IF('FA Addition'!$N1335="SLM",($AF1335-'FA Addition'!$M1335)*'FA Addition'!$P1335*AH1335/365,IFERROR(VDB(AF1335,AF1335*0.05,'FA Addition'!$O1335,0,YEARFRAC('FA Addition'!$C1335,$L$1,3),'FA Addition'!$Q1335),FAAddition[[#This Row],[Original Cost (Rs)]]-FAAddition[[#This Row],[Salvage Value]])),0),0)</f>
        <v>0</v>
      </c>
      <c r="AO1335" s="117">
        <f t="shared" si="103"/>
        <v>0</v>
      </c>
      <c r="AQ1335" s="117">
        <f t="shared" si="101"/>
        <v>0</v>
      </c>
      <c r="AR1335" s="120">
        <f t="shared" si="102"/>
        <v>0</v>
      </c>
      <c r="AS1335" s="121"/>
    </row>
    <row r="1336" spans="1:45" ht="13.5" x14ac:dyDescent="0.4">
      <c r="A1336" s="12">
        <f t="shared" si="104"/>
        <v>1333</v>
      </c>
      <c r="B1336" s="64" t="s">
        <v>10</v>
      </c>
      <c r="C1336" s="54">
        <v>45754</v>
      </c>
      <c r="D1336" s="54">
        <v>45763</v>
      </c>
      <c r="E1336" s="46" t="s">
        <v>451</v>
      </c>
      <c r="F1336" s="51" t="s">
        <v>19</v>
      </c>
      <c r="G1336" s="51" t="s">
        <v>20</v>
      </c>
      <c r="H1336" s="51" t="s">
        <v>21</v>
      </c>
      <c r="I1336" s="55" t="s">
        <v>23</v>
      </c>
      <c r="J1336" s="56">
        <v>1</v>
      </c>
      <c r="K1336" s="51" t="s">
        <v>288</v>
      </c>
      <c r="L1336" s="58">
        <v>130508.47</v>
      </c>
      <c r="M1336" s="50">
        <f>ROUND('FA Addition'!$L1336*5%,0.1)</f>
        <v>6525</v>
      </c>
      <c r="N1336" s="113" t="str">
        <f>_xlfn.XLOOKUP(_xlfn.CONCAT(E1336,B1336),'Year Wise Master Dep Approach'!F:F,'Year Wise Master Dep Approach'!D:D)</f>
        <v>WDV</v>
      </c>
      <c r="O1336" s="113">
        <f>_xlfn.XLOOKUP(_xlfn.CONCAT(E1336,B1336),'Year Wise Master Dep Approach'!F:F,'Year Wise Master Dep Approach'!E:E)</f>
        <v>3</v>
      </c>
      <c r="P1336" s="114">
        <f>IFERROR(IF('FA Addition'!$N1336="WDV",1-('FA Addition'!$M1336/'FA Addition'!$L1336)^(1/'FA Addition'!$O1336),1/'FA Addition'!$O1336),0)</f>
        <v>0.63160482009680208</v>
      </c>
      <c r="Q1336" s="122">
        <f>'FA Addition'!$P1336*'FA Addition'!$O1336</f>
        <v>1.8948144602904062</v>
      </c>
      <c r="R1336" s="122"/>
      <c r="S1336" s="116">
        <f>IF(AND(DATE(20&amp;LEFT(FAAddition[[#This Row],[FY]],2),4,1)&lt;$L$1+1,DATE(20&amp;LEFT(FAAddition[[#This Row],[FY]],2),4,1)&gt;$P$1-1),'FA Addition'!$J1336,0)</f>
        <v>0</v>
      </c>
      <c r="U1336" s="117">
        <f>S1336*'FA Addition'!$L1336/'FA Addition'!$J1336</f>
        <v>0</v>
      </c>
      <c r="W1336" s="116">
        <f>SUMIFS('FA Write off'!D:D,'FA Write off'!A:A,'FA Addition'!$A1336,'FA Write off'!C:C,"&lt;"&amp;'FA Addition'!$P$1)</f>
        <v>0</v>
      </c>
      <c r="Y1336" s="191">
        <f>IFERROR(W1336/'FA Addition'!$J1336*'FA Addition'!$L1336,0)</f>
        <v>0</v>
      </c>
      <c r="AA1336" s="116">
        <f>SUMIFS('FA Write off'!D:D,'FA Write off'!A:A,'FA Addition'!$A1336,'FA Write off'!C:C,"&lt;"&amp;'FA Addition'!$L$1+1,'FA Write off'!C:C,"&gt;"&amp;'FA Addition'!$L$1-365)</f>
        <v>0</v>
      </c>
      <c r="AC1336" s="118">
        <f>IFERROR(AA1336/'FA Addition'!$J1336*'FA Addition'!$L1336,0)</f>
        <v>0</v>
      </c>
      <c r="AE1336" s="117">
        <f>IF(AND('FA Addition'!$D1336&lt;$P$1+1,U1336=0),'FA Addition'!$L1336,0)-Y1336</f>
        <v>0</v>
      </c>
      <c r="AF1336" s="117">
        <f t="shared" si="100"/>
        <v>0</v>
      </c>
      <c r="AG1336" s="117">
        <f>MIN(MAX(+$P$1-'FA Addition'!$D1336,0),365*'FA Addition'!$O1336)</f>
        <v>0</v>
      </c>
      <c r="AH1336" s="117">
        <f>MIN(MAX($L$1-'FA Addition'!$D1336+1,0),365*'FA Addition'!$O1336)</f>
        <v>0</v>
      </c>
      <c r="AI1336" s="117" cm="1">
        <f t="array" ref="AI1336">_xlfn.XLOOKUP(1,('FA Write off'!A:A='FA Addition'!$A1336)*('FA Write off'!D:D=AA1336),'FA Write off'!H:H,0,0)</f>
        <v>0</v>
      </c>
      <c r="AJ1336" s="117">
        <f>IF(AC1336&gt;0,MAX(IF('FA Addition'!$N1336="SLM",($AC1336-'FA Addition'!$M1336)*'FA Addition'!$P1336*AI1336/365,(AC1336-'FA Addition'!$M1336)*(1-(1-'FA Addition'!$P1336)^(AI1336/365))),0),0)</f>
        <v>0</v>
      </c>
      <c r="AL1336" s="117">
        <f>MAX(IF(AG1336&gt;0,IF('FA Addition'!$N1336="SLM",($AE1336-'FA Addition'!$M1336)*'FA Addition'!$P1336*AG1336/365,IFERROR(VDB(AE1336,AE1336*0.05,'FA Addition'!$O1336,0,YEARFRAC('FA Addition'!$C1336,$P$1-1,3),'FA Addition'!$Q1336),FAAddition[[#This Row],[Original Cost (Rs)]]-FAAddition[[#This Row],[Salvage Value]])),0),0)</f>
        <v>0</v>
      </c>
      <c r="AM1336" s="119"/>
      <c r="AN1336" s="117">
        <f>MAX(IF(AH1336&gt;0,IF('FA Addition'!$N1336="SLM",($AF1336-'FA Addition'!$M1336)*'FA Addition'!$P1336*AH1336/365,IFERROR(VDB(AF1336,AF1336*0.05,'FA Addition'!$O1336,0,YEARFRAC('FA Addition'!$C1336,$L$1,3),'FA Addition'!$Q1336),FAAddition[[#This Row],[Original Cost (Rs)]]-FAAddition[[#This Row],[Salvage Value]])),0),0)</f>
        <v>0</v>
      </c>
      <c r="AO1336" s="117">
        <f t="shared" si="103"/>
        <v>0</v>
      </c>
      <c r="AQ1336" s="117">
        <f t="shared" si="101"/>
        <v>0</v>
      </c>
      <c r="AR1336" s="120">
        <f t="shared" si="102"/>
        <v>0</v>
      </c>
      <c r="AS1336" s="121"/>
    </row>
    <row r="1337" spans="1:45" ht="13.5" x14ac:dyDescent="0.4">
      <c r="A1337" s="12">
        <f t="shared" si="104"/>
        <v>1334</v>
      </c>
      <c r="B1337" s="64" t="s">
        <v>10</v>
      </c>
      <c r="C1337" s="54">
        <v>45751</v>
      </c>
      <c r="D1337" s="54">
        <v>45763</v>
      </c>
      <c r="E1337" s="46" t="s">
        <v>451</v>
      </c>
      <c r="F1337" s="51" t="s">
        <v>19</v>
      </c>
      <c r="G1337" s="51" t="s">
        <v>20</v>
      </c>
      <c r="H1337" s="51" t="s">
        <v>21</v>
      </c>
      <c r="I1337" s="55" t="s">
        <v>24</v>
      </c>
      <c r="J1337" s="56">
        <v>1</v>
      </c>
      <c r="K1337" s="51" t="s">
        <v>289</v>
      </c>
      <c r="L1337" s="58">
        <v>84500</v>
      </c>
      <c r="M1337" s="50">
        <f>ROUND('FA Addition'!$L1337*5%,0.1)</f>
        <v>4225</v>
      </c>
      <c r="N1337" s="113" t="str">
        <f>_xlfn.XLOOKUP(_xlfn.CONCAT(E1337,B1337),'Year Wise Master Dep Approach'!F:F,'Year Wise Master Dep Approach'!D:D)</f>
        <v>WDV</v>
      </c>
      <c r="O1337" s="113">
        <f>_xlfn.XLOOKUP(_xlfn.CONCAT(E1337,B1337),'Year Wise Master Dep Approach'!F:F,'Year Wise Master Dep Approach'!E:E)</f>
        <v>3</v>
      </c>
      <c r="P1337" s="114">
        <f>IFERROR(IF('FA Addition'!$N1337="WDV",1-('FA Addition'!$M1337/'FA Addition'!$L1337)^(1/'FA Addition'!$O1337),1/'FA Addition'!$O1337),0)</f>
        <v>0.63159685013596123</v>
      </c>
      <c r="Q1337" s="122">
        <f>'FA Addition'!$P1337*'FA Addition'!$O1337</f>
        <v>1.8947905504078837</v>
      </c>
      <c r="R1337" s="122"/>
      <c r="S1337" s="116">
        <f>IF(AND(DATE(20&amp;LEFT(FAAddition[[#This Row],[FY]],2),4,1)&lt;$L$1+1,DATE(20&amp;LEFT(FAAddition[[#This Row],[FY]],2),4,1)&gt;$P$1-1),'FA Addition'!$J1337,0)</f>
        <v>0</v>
      </c>
      <c r="U1337" s="117">
        <f>S1337*'FA Addition'!$L1337/'FA Addition'!$J1337</f>
        <v>0</v>
      </c>
      <c r="W1337" s="116">
        <f>SUMIFS('FA Write off'!D:D,'FA Write off'!A:A,'FA Addition'!$A1337,'FA Write off'!C:C,"&lt;"&amp;'FA Addition'!$P$1)</f>
        <v>0</v>
      </c>
      <c r="Y1337" s="191">
        <f>IFERROR(W1337/'FA Addition'!$J1337*'FA Addition'!$L1337,0)</f>
        <v>0</v>
      </c>
      <c r="AA1337" s="116">
        <f>SUMIFS('FA Write off'!D:D,'FA Write off'!A:A,'FA Addition'!$A1337,'FA Write off'!C:C,"&lt;"&amp;'FA Addition'!$L$1+1,'FA Write off'!C:C,"&gt;"&amp;'FA Addition'!$L$1-365)</f>
        <v>0</v>
      </c>
      <c r="AC1337" s="118">
        <f>IFERROR(AA1337/'FA Addition'!$J1337*'FA Addition'!$L1337,0)</f>
        <v>0</v>
      </c>
      <c r="AE1337" s="117">
        <f>IF(AND('FA Addition'!$D1337&lt;$P$1+1,U1337=0),'FA Addition'!$L1337,0)-Y1337</f>
        <v>0</v>
      </c>
      <c r="AF1337" s="117">
        <f t="shared" si="100"/>
        <v>0</v>
      </c>
      <c r="AG1337" s="117">
        <f>MIN(MAX(+$P$1-'FA Addition'!$D1337,0),365*'FA Addition'!$O1337)</f>
        <v>0</v>
      </c>
      <c r="AH1337" s="117">
        <f>MIN(MAX($L$1-'FA Addition'!$D1337+1,0),365*'FA Addition'!$O1337)</f>
        <v>0</v>
      </c>
      <c r="AI1337" s="117" cm="1">
        <f t="array" ref="AI1337">_xlfn.XLOOKUP(1,('FA Write off'!A:A='FA Addition'!$A1337)*('FA Write off'!D:D=AA1337),'FA Write off'!H:H,0,0)</f>
        <v>0</v>
      </c>
      <c r="AJ1337" s="117">
        <f>IF(AC1337&gt;0,MAX(IF('FA Addition'!$N1337="SLM",($AC1337-'FA Addition'!$M1337)*'FA Addition'!$P1337*AI1337/365,(AC1337-'FA Addition'!$M1337)*(1-(1-'FA Addition'!$P1337)^(AI1337/365))),0),0)</f>
        <v>0</v>
      </c>
      <c r="AL1337" s="117">
        <f>MAX(IF(AG1337&gt;0,IF('FA Addition'!$N1337="SLM",($AE1337-'FA Addition'!$M1337)*'FA Addition'!$P1337*AG1337/365,IFERROR(VDB(AE1337,AE1337*0.05,'FA Addition'!$O1337,0,YEARFRAC('FA Addition'!$C1337,$P$1-1,3),'FA Addition'!$Q1337),FAAddition[[#This Row],[Original Cost (Rs)]]-FAAddition[[#This Row],[Salvage Value]])),0),0)</f>
        <v>0</v>
      </c>
      <c r="AM1337" s="119"/>
      <c r="AN1337" s="117">
        <f>MAX(IF(AH1337&gt;0,IF('FA Addition'!$N1337="SLM",($AF1337-'FA Addition'!$M1337)*'FA Addition'!$P1337*AH1337/365,IFERROR(VDB(AF1337,AF1337*0.05,'FA Addition'!$O1337,0,YEARFRAC('FA Addition'!$C1337,$L$1,3),'FA Addition'!$Q1337),FAAddition[[#This Row],[Original Cost (Rs)]]-FAAddition[[#This Row],[Salvage Value]])),0),0)</f>
        <v>0</v>
      </c>
      <c r="AO1337" s="117">
        <f t="shared" si="103"/>
        <v>0</v>
      </c>
      <c r="AQ1337" s="117">
        <f t="shared" si="101"/>
        <v>0</v>
      </c>
      <c r="AR1337" s="120">
        <f t="shared" si="102"/>
        <v>0</v>
      </c>
      <c r="AS1337" s="121"/>
    </row>
    <row r="1338" spans="1:45" ht="13.5" x14ac:dyDescent="0.4">
      <c r="A1338" s="12">
        <f t="shared" si="104"/>
        <v>1335</v>
      </c>
      <c r="B1338" s="64" t="s">
        <v>10</v>
      </c>
      <c r="C1338" s="54">
        <v>45768</v>
      </c>
      <c r="D1338" s="54">
        <v>45775</v>
      </c>
      <c r="E1338" s="46" t="s">
        <v>451</v>
      </c>
      <c r="F1338" s="51" t="s">
        <v>19</v>
      </c>
      <c r="G1338" s="51" t="s">
        <v>20</v>
      </c>
      <c r="H1338" s="51" t="s">
        <v>21</v>
      </c>
      <c r="I1338" s="55" t="s">
        <v>25</v>
      </c>
      <c r="J1338" s="56">
        <v>1</v>
      </c>
      <c r="K1338" s="51" t="s">
        <v>290</v>
      </c>
      <c r="L1338" s="58">
        <v>130508</v>
      </c>
      <c r="M1338" s="50">
        <f>ROUND('FA Addition'!$L1338*5%,0.1)</f>
        <v>6525</v>
      </c>
      <c r="N1338" s="113" t="str">
        <f>_xlfn.XLOOKUP(_xlfn.CONCAT(E1338,B1338),'Year Wise Master Dep Approach'!F:F,'Year Wise Master Dep Approach'!D:D)</f>
        <v>WDV</v>
      </c>
      <c r="O1338" s="113">
        <f>_xlfn.XLOOKUP(_xlfn.CONCAT(E1338,B1338),'Year Wise Master Dep Approach'!F:F,'Year Wise Master Dep Approach'!E:E)</f>
        <v>3</v>
      </c>
      <c r="P1338" s="114">
        <f>IFERROR(IF('FA Addition'!$N1338="WDV",1-('FA Addition'!$M1338/'FA Addition'!$L1338)^(1/'FA Addition'!$O1338),1/'FA Addition'!$O1338),0)</f>
        <v>0.63160437786203061</v>
      </c>
      <c r="Q1338" s="122">
        <f>'FA Addition'!$P1338*'FA Addition'!$O1338</f>
        <v>1.8948131335860918</v>
      </c>
      <c r="R1338" s="122"/>
      <c r="S1338" s="116">
        <f>IF(AND(DATE(20&amp;LEFT(FAAddition[[#This Row],[FY]],2),4,1)&lt;$L$1+1,DATE(20&amp;LEFT(FAAddition[[#This Row],[FY]],2),4,1)&gt;$P$1-1),'FA Addition'!$J1338,0)</f>
        <v>0</v>
      </c>
      <c r="U1338" s="117">
        <f>S1338*'FA Addition'!$L1338/'FA Addition'!$J1338</f>
        <v>0</v>
      </c>
      <c r="W1338" s="116">
        <f>SUMIFS('FA Write off'!D:D,'FA Write off'!A:A,'FA Addition'!$A1338,'FA Write off'!C:C,"&lt;"&amp;'FA Addition'!$P$1)</f>
        <v>0</v>
      </c>
      <c r="Y1338" s="191">
        <f>IFERROR(W1338/'FA Addition'!$J1338*'FA Addition'!$L1338,0)</f>
        <v>0</v>
      </c>
      <c r="AA1338" s="116">
        <f>SUMIFS('FA Write off'!D:D,'FA Write off'!A:A,'FA Addition'!$A1338,'FA Write off'!C:C,"&lt;"&amp;'FA Addition'!$L$1+1,'FA Write off'!C:C,"&gt;"&amp;'FA Addition'!$L$1-365)</f>
        <v>0</v>
      </c>
      <c r="AC1338" s="118">
        <f>IFERROR(AA1338/'FA Addition'!$J1338*'FA Addition'!$L1338,0)</f>
        <v>0</v>
      </c>
      <c r="AE1338" s="117">
        <f>IF(AND('FA Addition'!$D1338&lt;$P$1+1,U1338=0),'FA Addition'!$L1338,0)-Y1338</f>
        <v>0</v>
      </c>
      <c r="AF1338" s="117">
        <f t="shared" si="100"/>
        <v>0</v>
      </c>
      <c r="AG1338" s="117">
        <f>MIN(MAX(+$P$1-'FA Addition'!$D1338,0),365*'FA Addition'!$O1338)</f>
        <v>0</v>
      </c>
      <c r="AH1338" s="117">
        <f>MIN(MAX($L$1-'FA Addition'!$D1338+1,0),365*'FA Addition'!$O1338)</f>
        <v>0</v>
      </c>
      <c r="AI1338" s="117" cm="1">
        <f t="array" ref="AI1338">_xlfn.XLOOKUP(1,('FA Write off'!A:A='FA Addition'!$A1338)*('FA Write off'!D:D=AA1338),'FA Write off'!H:H,0,0)</f>
        <v>0</v>
      </c>
      <c r="AJ1338" s="117">
        <f>IF(AC1338&gt;0,MAX(IF('FA Addition'!$N1338="SLM",($AC1338-'FA Addition'!$M1338)*'FA Addition'!$P1338*AI1338/365,(AC1338-'FA Addition'!$M1338)*(1-(1-'FA Addition'!$P1338)^(AI1338/365))),0),0)</f>
        <v>0</v>
      </c>
      <c r="AL1338" s="117">
        <f>MAX(IF(AG1338&gt;0,IF('FA Addition'!$N1338="SLM",($AE1338-'FA Addition'!$M1338)*'FA Addition'!$P1338*AG1338/365,IFERROR(VDB(AE1338,AE1338*0.05,'FA Addition'!$O1338,0,YEARFRAC('FA Addition'!$C1338,$P$1-1,3),'FA Addition'!$Q1338),FAAddition[[#This Row],[Original Cost (Rs)]]-FAAddition[[#This Row],[Salvage Value]])),0),0)</f>
        <v>0</v>
      </c>
      <c r="AM1338" s="119"/>
      <c r="AN1338" s="117">
        <f>MAX(IF(AH1338&gt;0,IF('FA Addition'!$N1338="SLM",($AF1338-'FA Addition'!$M1338)*'FA Addition'!$P1338*AH1338/365,IFERROR(VDB(AF1338,AF1338*0.05,'FA Addition'!$O1338,0,YEARFRAC('FA Addition'!$C1338,$L$1,3),'FA Addition'!$Q1338),FAAddition[[#This Row],[Original Cost (Rs)]]-FAAddition[[#This Row],[Salvage Value]])),0),0)</f>
        <v>0</v>
      </c>
      <c r="AO1338" s="117">
        <f t="shared" si="103"/>
        <v>0</v>
      </c>
      <c r="AQ1338" s="117">
        <f t="shared" si="101"/>
        <v>0</v>
      </c>
      <c r="AR1338" s="120">
        <f t="shared" si="102"/>
        <v>0</v>
      </c>
      <c r="AS1338" s="121"/>
    </row>
    <row r="1339" spans="1:45" ht="13.5" x14ac:dyDescent="0.4">
      <c r="A1339" s="12">
        <f t="shared" si="104"/>
        <v>1336</v>
      </c>
      <c r="B1339" s="64" t="s">
        <v>10</v>
      </c>
      <c r="C1339" s="54">
        <v>45768</v>
      </c>
      <c r="D1339" s="54">
        <v>45775</v>
      </c>
      <c r="E1339" s="46" t="s">
        <v>451</v>
      </c>
      <c r="F1339" s="51" t="s">
        <v>19</v>
      </c>
      <c r="G1339" s="51" t="s">
        <v>20</v>
      </c>
      <c r="H1339" s="51" t="s">
        <v>21</v>
      </c>
      <c r="I1339" s="55" t="s">
        <v>25</v>
      </c>
      <c r="J1339" s="56">
        <v>1</v>
      </c>
      <c r="K1339" s="51" t="s">
        <v>290</v>
      </c>
      <c r="L1339" s="58">
        <v>130508</v>
      </c>
      <c r="M1339" s="50">
        <f>ROUND('FA Addition'!$L1339*5%,0.1)</f>
        <v>6525</v>
      </c>
      <c r="N1339" s="113" t="str">
        <f>_xlfn.XLOOKUP(_xlfn.CONCAT(E1339,B1339),'Year Wise Master Dep Approach'!F:F,'Year Wise Master Dep Approach'!D:D)</f>
        <v>WDV</v>
      </c>
      <c r="O1339" s="113">
        <f>_xlfn.XLOOKUP(_xlfn.CONCAT(E1339,B1339),'Year Wise Master Dep Approach'!F:F,'Year Wise Master Dep Approach'!E:E)</f>
        <v>3</v>
      </c>
      <c r="P1339" s="114">
        <f>IFERROR(IF('FA Addition'!$N1339="WDV",1-('FA Addition'!$M1339/'FA Addition'!$L1339)^(1/'FA Addition'!$O1339),1/'FA Addition'!$O1339),0)</f>
        <v>0.63160437786203061</v>
      </c>
      <c r="Q1339" s="122">
        <f>'FA Addition'!$P1339*'FA Addition'!$O1339</f>
        <v>1.8948131335860918</v>
      </c>
      <c r="R1339" s="122"/>
      <c r="S1339" s="116">
        <f>IF(AND(DATE(20&amp;LEFT(FAAddition[[#This Row],[FY]],2),4,1)&lt;$L$1+1,DATE(20&amp;LEFT(FAAddition[[#This Row],[FY]],2),4,1)&gt;$P$1-1),'FA Addition'!$J1339,0)</f>
        <v>0</v>
      </c>
      <c r="U1339" s="117">
        <f>S1339*'FA Addition'!$L1339/'FA Addition'!$J1339</f>
        <v>0</v>
      </c>
      <c r="W1339" s="116">
        <f>SUMIFS('FA Write off'!D:D,'FA Write off'!A:A,'FA Addition'!$A1339,'FA Write off'!C:C,"&lt;"&amp;'FA Addition'!$P$1)</f>
        <v>0</v>
      </c>
      <c r="Y1339" s="191">
        <f>IFERROR(W1339/'FA Addition'!$J1339*'FA Addition'!$L1339,0)</f>
        <v>0</v>
      </c>
      <c r="AA1339" s="116">
        <f>SUMIFS('FA Write off'!D:D,'FA Write off'!A:A,'FA Addition'!$A1339,'FA Write off'!C:C,"&lt;"&amp;'FA Addition'!$L$1+1,'FA Write off'!C:C,"&gt;"&amp;'FA Addition'!$L$1-365)</f>
        <v>0</v>
      </c>
      <c r="AC1339" s="118">
        <f>IFERROR(AA1339/'FA Addition'!$J1339*'FA Addition'!$L1339,0)</f>
        <v>0</v>
      </c>
      <c r="AE1339" s="117">
        <f>IF(AND('FA Addition'!$D1339&lt;$P$1+1,U1339=0),'FA Addition'!$L1339,0)-Y1339</f>
        <v>0</v>
      </c>
      <c r="AF1339" s="117">
        <f t="shared" si="100"/>
        <v>0</v>
      </c>
      <c r="AG1339" s="117">
        <f>MIN(MAX(+$P$1-'FA Addition'!$D1339,0),365*'FA Addition'!$O1339)</f>
        <v>0</v>
      </c>
      <c r="AH1339" s="117">
        <f>MIN(MAX($L$1-'FA Addition'!$D1339+1,0),365*'FA Addition'!$O1339)</f>
        <v>0</v>
      </c>
      <c r="AI1339" s="117" cm="1">
        <f t="array" ref="AI1339">_xlfn.XLOOKUP(1,('FA Write off'!A:A='FA Addition'!$A1339)*('FA Write off'!D:D=AA1339),'FA Write off'!H:H,0,0)</f>
        <v>0</v>
      </c>
      <c r="AJ1339" s="117">
        <f>IF(AC1339&gt;0,MAX(IF('FA Addition'!$N1339="SLM",($AC1339-'FA Addition'!$M1339)*'FA Addition'!$P1339*AI1339/365,(AC1339-'FA Addition'!$M1339)*(1-(1-'FA Addition'!$P1339)^(AI1339/365))),0),0)</f>
        <v>0</v>
      </c>
      <c r="AL1339" s="117">
        <f>MAX(IF(AG1339&gt;0,IF('FA Addition'!$N1339="SLM",($AE1339-'FA Addition'!$M1339)*'FA Addition'!$P1339*AG1339/365,IFERROR(VDB(AE1339,AE1339*0.05,'FA Addition'!$O1339,0,YEARFRAC('FA Addition'!$C1339,$P$1-1,3),'FA Addition'!$Q1339),FAAddition[[#This Row],[Original Cost (Rs)]]-FAAddition[[#This Row],[Salvage Value]])),0),0)</f>
        <v>0</v>
      </c>
      <c r="AM1339" s="119"/>
      <c r="AN1339" s="117">
        <f>MAX(IF(AH1339&gt;0,IF('FA Addition'!$N1339="SLM",($AF1339-'FA Addition'!$M1339)*'FA Addition'!$P1339*AH1339/365,IFERROR(VDB(AF1339,AF1339*0.05,'FA Addition'!$O1339,0,YEARFRAC('FA Addition'!$C1339,$L$1,3),'FA Addition'!$Q1339),FAAddition[[#This Row],[Original Cost (Rs)]]-FAAddition[[#This Row],[Salvage Value]])),0),0)</f>
        <v>0</v>
      </c>
      <c r="AO1339" s="117">
        <f t="shared" si="103"/>
        <v>0</v>
      </c>
      <c r="AQ1339" s="117">
        <f t="shared" si="101"/>
        <v>0</v>
      </c>
      <c r="AR1339" s="120">
        <f t="shared" si="102"/>
        <v>0</v>
      </c>
      <c r="AS1339" s="121"/>
    </row>
    <row r="1340" spans="1:45" ht="13.5" x14ac:dyDescent="0.4">
      <c r="A1340" s="12">
        <f t="shared" si="104"/>
        <v>1337</v>
      </c>
      <c r="B1340" s="64" t="s">
        <v>10</v>
      </c>
      <c r="C1340" s="54">
        <v>45765</v>
      </c>
      <c r="D1340" s="54">
        <v>45773</v>
      </c>
      <c r="E1340" s="46" t="s">
        <v>32</v>
      </c>
      <c r="F1340" s="51" t="s">
        <v>27</v>
      </c>
      <c r="G1340" s="51" t="s">
        <v>28</v>
      </c>
      <c r="H1340" s="51" t="s">
        <v>26</v>
      </c>
      <c r="I1340" s="55">
        <v>46</v>
      </c>
      <c r="J1340" s="56">
        <v>4000</v>
      </c>
      <c r="K1340" s="51" t="s">
        <v>291</v>
      </c>
      <c r="L1340" s="58">
        <v>270000</v>
      </c>
      <c r="M1340" s="50">
        <f>ROUND('FA Addition'!$L1340*5%,0.1)</f>
        <v>13500</v>
      </c>
      <c r="N1340" s="113" t="str">
        <f>_xlfn.XLOOKUP(_xlfn.CONCAT(E1340,B1340),'Year Wise Master Dep Approach'!F:F,'Year Wise Master Dep Approach'!D:D)</f>
        <v>SLM</v>
      </c>
      <c r="O1340" s="113">
        <f>_xlfn.XLOOKUP(_xlfn.CONCAT(E1340,B1340),'Year Wise Master Dep Approach'!F:F,'Year Wise Master Dep Approach'!E:E)</f>
        <v>5</v>
      </c>
      <c r="P1340" s="114">
        <f>IFERROR(IF('FA Addition'!$N1340="WDV",1-('FA Addition'!$M1340/'FA Addition'!$L1340)^(1/'FA Addition'!$O1340),1/'FA Addition'!$O1340),0)</f>
        <v>0.2</v>
      </c>
      <c r="Q1340" s="122">
        <f>'FA Addition'!$P1340*'FA Addition'!$O1340</f>
        <v>1</v>
      </c>
      <c r="R1340" s="122"/>
      <c r="S1340" s="116">
        <f>IF(AND(DATE(20&amp;LEFT(FAAddition[[#This Row],[FY]],2),4,1)&lt;$L$1+1,DATE(20&amp;LEFT(FAAddition[[#This Row],[FY]],2),4,1)&gt;$P$1-1),'FA Addition'!$J1340,0)</f>
        <v>0</v>
      </c>
      <c r="U1340" s="117">
        <f>S1340*'FA Addition'!$L1340/'FA Addition'!$J1340</f>
        <v>0</v>
      </c>
      <c r="W1340" s="116">
        <f>SUMIFS('FA Write off'!D:D,'FA Write off'!A:A,'FA Addition'!$A1340,'FA Write off'!C:C,"&lt;"&amp;'FA Addition'!$P$1)</f>
        <v>0</v>
      </c>
      <c r="Y1340" s="191">
        <f>IFERROR(W1340/'FA Addition'!$J1340*'FA Addition'!$L1340,0)</f>
        <v>0</v>
      </c>
      <c r="AA1340" s="116">
        <f>SUMIFS('FA Write off'!D:D,'FA Write off'!A:A,'FA Addition'!$A1340,'FA Write off'!C:C,"&lt;"&amp;'FA Addition'!$L$1+1,'FA Write off'!C:C,"&gt;"&amp;'FA Addition'!$L$1-365)</f>
        <v>0</v>
      </c>
      <c r="AC1340" s="118">
        <f>IFERROR(AA1340/'FA Addition'!$J1340*'FA Addition'!$L1340,0)</f>
        <v>0</v>
      </c>
      <c r="AE1340" s="117">
        <f>IF(AND('FA Addition'!$D1340&lt;$P$1+1,U1340=0),'FA Addition'!$L1340,0)-Y1340</f>
        <v>0</v>
      </c>
      <c r="AF1340" s="117">
        <f t="shared" si="100"/>
        <v>0</v>
      </c>
      <c r="AG1340" s="117">
        <f>MIN(MAX(+$P$1-'FA Addition'!$D1340,0),365*'FA Addition'!$O1340)</f>
        <v>0</v>
      </c>
      <c r="AH1340" s="117">
        <f>MIN(MAX($L$1-'FA Addition'!$D1340+1,0),365*'FA Addition'!$O1340)</f>
        <v>0</v>
      </c>
      <c r="AI1340" s="117" cm="1">
        <f t="array" ref="AI1340">_xlfn.XLOOKUP(1,('FA Write off'!A:A='FA Addition'!$A1340)*('FA Write off'!D:D=AA1340),'FA Write off'!H:H,0,0)</f>
        <v>0</v>
      </c>
      <c r="AJ1340" s="117">
        <f>IF(AC1340&gt;0,MAX(IF('FA Addition'!$N1340="SLM",($AC1340-'FA Addition'!$M1340)*'FA Addition'!$P1340*AI1340/365,(AC1340-'FA Addition'!$M1340)*(1-(1-'FA Addition'!$P1340)^(AI1340/365))),0),0)</f>
        <v>0</v>
      </c>
      <c r="AL1340" s="117">
        <f>MAX(IF(AG1340&gt;0,IF('FA Addition'!$N1340="SLM",($AE1340-'FA Addition'!$M1340)*'FA Addition'!$P1340*AG1340/365,IFERROR(VDB(AE1340,AE1340*0.05,'FA Addition'!$O1340,0,YEARFRAC('FA Addition'!$C1340,$P$1-1,3),'FA Addition'!$Q1340),FAAddition[[#This Row],[Original Cost (Rs)]]-FAAddition[[#This Row],[Salvage Value]])),0),0)</f>
        <v>0</v>
      </c>
      <c r="AM1340" s="119"/>
      <c r="AN1340" s="117">
        <f>MAX(IF(AH1340&gt;0,IF('FA Addition'!$N1340="SLM",($AF1340-'FA Addition'!$M1340)*'FA Addition'!$P1340*AH1340/365,IFERROR(VDB(AF1340,AF1340*0.05,'FA Addition'!$O1340,0,YEARFRAC('FA Addition'!$C1340,$L$1,3),'FA Addition'!$Q1340),FAAddition[[#This Row],[Original Cost (Rs)]]-FAAddition[[#This Row],[Salvage Value]])),0),0)</f>
        <v>0</v>
      </c>
      <c r="AO1340" s="117">
        <f t="shared" si="103"/>
        <v>0</v>
      </c>
      <c r="AQ1340" s="117">
        <f t="shared" si="101"/>
        <v>0</v>
      </c>
      <c r="AR1340" s="120">
        <f t="shared" si="102"/>
        <v>0</v>
      </c>
      <c r="AS1340" s="121"/>
    </row>
    <row r="1341" spans="1:45" ht="13.5" x14ac:dyDescent="0.4">
      <c r="A1341" s="12">
        <f t="shared" si="104"/>
        <v>1338</v>
      </c>
      <c r="B1341" s="64" t="s">
        <v>10</v>
      </c>
      <c r="C1341" s="54">
        <v>45833</v>
      </c>
      <c r="D1341" s="54">
        <v>45838</v>
      </c>
      <c r="E1341" s="46" t="s">
        <v>32</v>
      </c>
      <c r="F1341" s="51" t="s">
        <v>27</v>
      </c>
      <c r="G1341" s="51" t="s">
        <v>29</v>
      </c>
      <c r="H1341" s="51" t="s">
        <v>26</v>
      </c>
      <c r="I1341" s="55" t="s">
        <v>30</v>
      </c>
      <c r="J1341" s="56">
        <v>500</v>
      </c>
      <c r="K1341" s="51" t="s">
        <v>292</v>
      </c>
      <c r="L1341" s="58">
        <v>26000</v>
      </c>
      <c r="M1341" s="50">
        <f>ROUND('FA Addition'!$L1341*5%,0.1)</f>
        <v>1300</v>
      </c>
      <c r="N1341" s="113" t="str">
        <f>_xlfn.XLOOKUP(_xlfn.CONCAT(E1341,B1341),'Year Wise Master Dep Approach'!F:F,'Year Wise Master Dep Approach'!D:D)</f>
        <v>SLM</v>
      </c>
      <c r="O1341" s="113">
        <f>_xlfn.XLOOKUP(_xlfn.CONCAT(E1341,B1341),'Year Wise Master Dep Approach'!F:F,'Year Wise Master Dep Approach'!E:E)</f>
        <v>5</v>
      </c>
      <c r="P1341" s="114">
        <f>IFERROR(IF('FA Addition'!$N1341="WDV",1-('FA Addition'!$M1341/'FA Addition'!$L1341)^(1/'FA Addition'!$O1341),1/'FA Addition'!$O1341),0)</f>
        <v>0.2</v>
      </c>
      <c r="Q1341" s="122">
        <f>'FA Addition'!$P1341*'FA Addition'!$O1341</f>
        <v>1</v>
      </c>
      <c r="R1341" s="122"/>
      <c r="S1341" s="116">
        <f>IF(AND(DATE(20&amp;LEFT(FAAddition[[#This Row],[FY]],2),4,1)&lt;$L$1+1,DATE(20&amp;LEFT(FAAddition[[#This Row],[FY]],2),4,1)&gt;$P$1-1),'FA Addition'!$J1341,0)</f>
        <v>0</v>
      </c>
      <c r="U1341" s="117">
        <f>S1341*'FA Addition'!$L1341/'FA Addition'!$J1341</f>
        <v>0</v>
      </c>
      <c r="W1341" s="116">
        <f>SUMIFS('FA Write off'!D:D,'FA Write off'!A:A,'FA Addition'!$A1341,'FA Write off'!C:C,"&lt;"&amp;'FA Addition'!$P$1)</f>
        <v>0</v>
      </c>
      <c r="Y1341" s="191">
        <f>IFERROR(W1341/'FA Addition'!$J1341*'FA Addition'!$L1341,0)</f>
        <v>0</v>
      </c>
      <c r="AA1341" s="116">
        <f>SUMIFS('FA Write off'!D:D,'FA Write off'!A:A,'FA Addition'!$A1341,'FA Write off'!C:C,"&lt;"&amp;'FA Addition'!$L$1+1,'FA Write off'!C:C,"&gt;"&amp;'FA Addition'!$L$1-365)</f>
        <v>0</v>
      </c>
      <c r="AC1341" s="118">
        <f>IFERROR(AA1341/'FA Addition'!$J1341*'FA Addition'!$L1341,0)</f>
        <v>0</v>
      </c>
      <c r="AE1341" s="117">
        <f>IF(AND('FA Addition'!$D1341&lt;$P$1+1,U1341=0),'FA Addition'!$L1341,0)-Y1341</f>
        <v>0</v>
      </c>
      <c r="AF1341" s="117">
        <f t="shared" si="100"/>
        <v>0</v>
      </c>
      <c r="AG1341" s="117">
        <f>MIN(MAX(+$P$1-'FA Addition'!$D1341,0),365*'FA Addition'!$O1341)</f>
        <v>0</v>
      </c>
      <c r="AH1341" s="117">
        <f>MIN(MAX($L$1-'FA Addition'!$D1341+1,0),365*'FA Addition'!$O1341)</f>
        <v>0</v>
      </c>
      <c r="AI1341" s="117" cm="1">
        <f t="array" ref="AI1341">_xlfn.XLOOKUP(1,('FA Write off'!A:A='FA Addition'!$A1341)*('FA Write off'!D:D=AA1341),'FA Write off'!H:H,0,0)</f>
        <v>0</v>
      </c>
      <c r="AJ1341" s="117">
        <f>IF(AC1341&gt;0,MAX(IF('FA Addition'!$N1341="SLM",($AC1341-'FA Addition'!$M1341)*'FA Addition'!$P1341*AI1341/365,(AC1341-'FA Addition'!$M1341)*(1-(1-'FA Addition'!$P1341)^(AI1341/365))),0),0)</f>
        <v>0</v>
      </c>
      <c r="AL1341" s="117">
        <f>MAX(IF(AG1341&gt;0,IF('FA Addition'!$N1341="SLM",($AE1341-'FA Addition'!$M1341)*'FA Addition'!$P1341*AG1341/365,IFERROR(VDB(AE1341,AE1341*0.05,'FA Addition'!$O1341,0,YEARFRAC('FA Addition'!$C1341,$P$1-1,3),'FA Addition'!$Q1341),FAAddition[[#This Row],[Original Cost (Rs)]]-FAAddition[[#This Row],[Salvage Value]])),0),0)</f>
        <v>0</v>
      </c>
      <c r="AM1341" s="119"/>
      <c r="AN1341" s="117">
        <f>MAX(IF(AH1341&gt;0,IF('FA Addition'!$N1341="SLM",($AF1341-'FA Addition'!$M1341)*'FA Addition'!$P1341*AH1341/365,IFERROR(VDB(AF1341,AF1341*0.05,'FA Addition'!$O1341,0,YEARFRAC('FA Addition'!$C1341,$L$1,3),'FA Addition'!$Q1341),FAAddition[[#This Row],[Original Cost (Rs)]]-FAAddition[[#This Row],[Salvage Value]])),0),0)</f>
        <v>0</v>
      </c>
      <c r="AO1341" s="117">
        <f t="shared" si="103"/>
        <v>0</v>
      </c>
      <c r="AQ1341" s="117">
        <f t="shared" si="101"/>
        <v>0</v>
      </c>
      <c r="AR1341" s="120">
        <f t="shared" si="102"/>
        <v>0</v>
      </c>
      <c r="AS1341" s="121"/>
    </row>
    <row r="1342" spans="1:45" ht="13.5" x14ac:dyDescent="0.4">
      <c r="A1342" s="12">
        <f t="shared" si="104"/>
        <v>1339</v>
      </c>
      <c r="B1342" s="64" t="s">
        <v>10</v>
      </c>
      <c r="C1342" s="54">
        <v>45811</v>
      </c>
      <c r="D1342" s="54">
        <v>45818</v>
      </c>
      <c r="E1342" s="46" t="s">
        <v>32</v>
      </c>
      <c r="F1342" s="51" t="s">
        <v>27</v>
      </c>
      <c r="G1342" s="51" t="s">
        <v>28</v>
      </c>
      <c r="H1342" s="51" t="s">
        <v>26</v>
      </c>
      <c r="I1342" s="55">
        <v>179</v>
      </c>
      <c r="J1342" s="56">
        <v>2000</v>
      </c>
      <c r="K1342" s="51" t="s">
        <v>293</v>
      </c>
      <c r="L1342" s="58">
        <v>135000</v>
      </c>
      <c r="M1342" s="50">
        <f>ROUND('FA Addition'!$L1342*5%,0.1)</f>
        <v>6750</v>
      </c>
      <c r="N1342" s="113" t="str">
        <f>_xlfn.XLOOKUP(_xlfn.CONCAT(E1342,B1342),'Year Wise Master Dep Approach'!F:F,'Year Wise Master Dep Approach'!D:D)</f>
        <v>SLM</v>
      </c>
      <c r="O1342" s="113">
        <f>_xlfn.XLOOKUP(_xlfn.CONCAT(E1342,B1342),'Year Wise Master Dep Approach'!F:F,'Year Wise Master Dep Approach'!E:E)</f>
        <v>5</v>
      </c>
      <c r="P1342" s="114">
        <f>IFERROR(IF('FA Addition'!$N1342="WDV",1-('FA Addition'!$M1342/'FA Addition'!$L1342)^(1/'FA Addition'!$O1342),1/'FA Addition'!$O1342),0)</f>
        <v>0.2</v>
      </c>
      <c r="Q1342" s="122">
        <f>'FA Addition'!$P1342*'FA Addition'!$O1342</f>
        <v>1</v>
      </c>
      <c r="R1342" s="122"/>
      <c r="S1342" s="116">
        <f>IF(AND(DATE(20&amp;LEFT(FAAddition[[#This Row],[FY]],2),4,1)&lt;$L$1+1,DATE(20&amp;LEFT(FAAddition[[#This Row],[FY]],2),4,1)&gt;$P$1-1),'FA Addition'!$J1342,0)</f>
        <v>0</v>
      </c>
      <c r="U1342" s="117">
        <f>S1342*'FA Addition'!$L1342/'FA Addition'!$J1342</f>
        <v>0</v>
      </c>
      <c r="W1342" s="116">
        <f>SUMIFS('FA Write off'!D:D,'FA Write off'!A:A,'FA Addition'!$A1342,'FA Write off'!C:C,"&lt;"&amp;'FA Addition'!$P$1)</f>
        <v>0</v>
      </c>
      <c r="Y1342" s="191">
        <f>IFERROR(W1342/'FA Addition'!$J1342*'FA Addition'!$L1342,0)</f>
        <v>0</v>
      </c>
      <c r="AA1342" s="116">
        <f>SUMIFS('FA Write off'!D:D,'FA Write off'!A:A,'FA Addition'!$A1342,'FA Write off'!C:C,"&lt;"&amp;'FA Addition'!$L$1+1,'FA Write off'!C:C,"&gt;"&amp;'FA Addition'!$L$1-365)</f>
        <v>0</v>
      </c>
      <c r="AC1342" s="118">
        <f>IFERROR(AA1342/'FA Addition'!$J1342*'FA Addition'!$L1342,0)</f>
        <v>0</v>
      </c>
      <c r="AE1342" s="117">
        <f>IF(AND('FA Addition'!$D1342&lt;$P$1+1,U1342=0),'FA Addition'!$L1342,0)-Y1342</f>
        <v>0</v>
      </c>
      <c r="AF1342" s="117">
        <f t="shared" si="100"/>
        <v>0</v>
      </c>
      <c r="AG1342" s="117">
        <f>MIN(MAX(+$P$1-'FA Addition'!$D1342,0),365*'FA Addition'!$O1342)</f>
        <v>0</v>
      </c>
      <c r="AH1342" s="117">
        <f>MIN(MAX($L$1-'FA Addition'!$D1342+1,0),365*'FA Addition'!$O1342)</f>
        <v>0</v>
      </c>
      <c r="AI1342" s="117" cm="1">
        <f t="array" ref="AI1342">_xlfn.XLOOKUP(1,('FA Write off'!A:A='FA Addition'!$A1342)*('FA Write off'!D:D=AA1342),'FA Write off'!H:H,0,0)</f>
        <v>0</v>
      </c>
      <c r="AJ1342" s="117">
        <f>IF(AC1342&gt;0,MAX(IF('FA Addition'!$N1342="SLM",($AC1342-'FA Addition'!$M1342)*'FA Addition'!$P1342*AI1342/365,(AC1342-'FA Addition'!$M1342)*(1-(1-'FA Addition'!$P1342)^(AI1342/365))),0),0)</f>
        <v>0</v>
      </c>
      <c r="AL1342" s="117">
        <f>MAX(IF(AG1342&gt;0,IF('FA Addition'!$N1342="SLM",($AE1342-'FA Addition'!$M1342)*'FA Addition'!$P1342*AG1342/365,IFERROR(VDB(AE1342,AE1342*0.05,'FA Addition'!$O1342,0,YEARFRAC('FA Addition'!$C1342,$P$1-1,3),'FA Addition'!$Q1342),FAAddition[[#This Row],[Original Cost (Rs)]]-FAAddition[[#This Row],[Salvage Value]])),0),0)</f>
        <v>0</v>
      </c>
      <c r="AM1342" s="119"/>
      <c r="AN1342" s="117">
        <f>MAX(IF(AH1342&gt;0,IF('FA Addition'!$N1342="SLM",($AF1342-'FA Addition'!$M1342)*'FA Addition'!$P1342*AH1342/365,IFERROR(VDB(AF1342,AF1342*0.05,'FA Addition'!$O1342,0,YEARFRAC('FA Addition'!$C1342,$L$1,3),'FA Addition'!$Q1342),FAAddition[[#This Row],[Original Cost (Rs)]]-FAAddition[[#This Row],[Salvage Value]])),0),0)</f>
        <v>0</v>
      </c>
      <c r="AO1342" s="117">
        <f t="shared" si="103"/>
        <v>0</v>
      </c>
      <c r="AQ1342" s="117">
        <f t="shared" si="101"/>
        <v>0</v>
      </c>
      <c r="AR1342" s="120">
        <f t="shared" si="102"/>
        <v>0</v>
      </c>
      <c r="AS1342" s="121"/>
    </row>
    <row r="1343" spans="1:45" ht="13.5" x14ac:dyDescent="0.4">
      <c r="A1343" s="12">
        <f t="shared" si="104"/>
        <v>1340</v>
      </c>
      <c r="B1343" s="64" t="s">
        <v>10</v>
      </c>
      <c r="C1343" s="54">
        <v>45805</v>
      </c>
      <c r="D1343" s="54">
        <v>45818</v>
      </c>
      <c r="E1343" s="46" t="s">
        <v>32</v>
      </c>
      <c r="F1343" s="51" t="s">
        <v>27</v>
      </c>
      <c r="G1343" s="51" t="s">
        <v>28</v>
      </c>
      <c r="H1343" s="51" t="s">
        <v>26</v>
      </c>
      <c r="I1343" s="55">
        <v>161</v>
      </c>
      <c r="J1343" s="56">
        <v>500</v>
      </c>
      <c r="K1343" s="51" t="s">
        <v>26</v>
      </c>
      <c r="L1343" s="58">
        <v>30000</v>
      </c>
      <c r="M1343" s="50">
        <f>ROUND('FA Addition'!$L1343*5%,0.1)</f>
        <v>1500</v>
      </c>
      <c r="N1343" s="113" t="str">
        <f>_xlfn.XLOOKUP(_xlfn.CONCAT(E1343,B1343),'Year Wise Master Dep Approach'!F:F,'Year Wise Master Dep Approach'!D:D)</f>
        <v>SLM</v>
      </c>
      <c r="O1343" s="113">
        <f>_xlfn.XLOOKUP(_xlfn.CONCAT(E1343,B1343),'Year Wise Master Dep Approach'!F:F,'Year Wise Master Dep Approach'!E:E)</f>
        <v>5</v>
      </c>
      <c r="P1343" s="114">
        <f>IFERROR(IF('FA Addition'!$N1343="WDV",1-('FA Addition'!$M1343/'FA Addition'!$L1343)^(1/'FA Addition'!$O1343),1/'FA Addition'!$O1343),0)</f>
        <v>0.2</v>
      </c>
      <c r="Q1343" s="122">
        <f>'FA Addition'!$P1343*'FA Addition'!$O1343</f>
        <v>1</v>
      </c>
      <c r="R1343" s="122"/>
      <c r="S1343" s="116">
        <f>IF(AND(DATE(20&amp;LEFT(FAAddition[[#This Row],[FY]],2),4,1)&lt;$L$1+1,DATE(20&amp;LEFT(FAAddition[[#This Row],[FY]],2),4,1)&gt;$P$1-1),'FA Addition'!$J1343,0)</f>
        <v>0</v>
      </c>
      <c r="U1343" s="117">
        <f>S1343*'FA Addition'!$L1343/'FA Addition'!$J1343</f>
        <v>0</v>
      </c>
      <c r="W1343" s="116">
        <f>SUMIFS('FA Write off'!D:D,'FA Write off'!A:A,'FA Addition'!$A1343,'FA Write off'!C:C,"&lt;"&amp;'FA Addition'!$P$1)</f>
        <v>0</v>
      </c>
      <c r="Y1343" s="191">
        <f>IFERROR(W1343/'FA Addition'!$J1343*'FA Addition'!$L1343,0)</f>
        <v>0</v>
      </c>
      <c r="AA1343" s="116">
        <f>SUMIFS('FA Write off'!D:D,'FA Write off'!A:A,'FA Addition'!$A1343,'FA Write off'!C:C,"&lt;"&amp;'FA Addition'!$L$1+1,'FA Write off'!C:C,"&gt;"&amp;'FA Addition'!$L$1-365)</f>
        <v>0</v>
      </c>
      <c r="AC1343" s="118">
        <f>IFERROR(AA1343/'FA Addition'!$J1343*'FA Addition'!$L1343,0)</f>
        <v>0</v>
      </c>
      <c r="AE1343" s="117">
        <f>IF(AND('FA Addition'!$D1343&lt;$P$1+1,U1343=0),'FA Addition'!$L1343,0)-Y1343</f>
        <v>0</v>
      </c>
      <c r="AF1343" s="117">
        <f t="shared" si="100"/>
        <v>0</v>
      </c>
      <c r="AG1343" s="117">
        <f>MIN(MAX(+$P$1-'FA Addition'!$D1343,0),365*'FA Addition'!$O1343)</f>
        <v>0</v>
      </c>
      <c r="AH1343" s="117">
        <f>MIN(MAX($L$1-'FA Addition'!$D1343+1,0),365*'FA Addition'!$O1343)</f>
        <v>0</v>
      </c>
      <c r="AI1343" s="117" cm="1">
        <f t="array" ref="AI1343">_xlfn.XLOOKUP(1,('FA Write off'!A:A='FA Addition'!$A1343)*('FA Write off'!D:D=AA1343),'FA Write off'!H:H,0,0)</f>
        <v>0</v>
      </c>
      <c r="AJ1343" s="117">
        <f>IF(AC1343&gt;0,MAX(IF('FA Addition'!$N1343="SLM",($AC1343-'FA Addition'!$M1343)*'FA Addition'!$P1343*AI1343/365,(AC1343-'FA Addition'!$M1343)*(1-(1-'FA Addition'!$P1343)^(AI1343/365))),0),0)</f>
        <v>0</v>
      </c>
      <c r="AL1343" s="117">
        <f>MAX(IF(AG1343&gt;0,IF('FA Addition'!$N1343="SLM",($AE1343-'FA Addition'!$M1343)*'FA Addition'!$P1343*AG1343/365,IFERROR(VDB(AE1343,AE1343*0.05,'FA Addition'!$O1343,0,YEARFRAC('FA Addition'!$C1343,$P$1-1,3),'FA Addition'!$Q1343),FAAddition[[#This Row],[Original Cost (Rs)]]-FAAddition[[#This Row],[Salvage Value]])),0),0)</f>
        <v>0</v>
      </c>
      <c r="AM1343" s="119"/>
      <c r="AN1343" s="117">
        <f>MAX(IF(AH1343&gt;0,IF('FA Addition'!$N1343="SLM",($AF1343-'FA Addition'!$M1343)*'FA Addition'!$P1343*AH1343/365,IFERROR(VDB(AF1343,AF1343*0.05,'FA Addition'!$O1343,0,YEARFRAC('FA Addition'!$C1343,$L$1,3),'FA Addition'!$Q1343),FAAddition[[#This Row],[Original Cost (Rs)]]-FAAddition[[#This Row],[Salvage Value]])),0),0)</f>
        <v>0</v>
      </c>
      <c r="AO1343" s="117">
        <f t="shared" si="103"/>
        <v>0</v>
      </c>
      <c r="AQ1343" s="117">
        <f t="shared" si="101"/>
        <v>0</v>
      </c>
      <c r="AR1343" s="120">
        <f t="shared" si="102"/>
        <v>0</v>
      </c>
      <c r="AS1343" s="121"/>
    </row>
    <row r="1344" spans="1:45" ht="13.5" x14ac:dyDescent="0.4">
      <c r="A1344" s="12">
        <f t="shared" si="104"/>
        <v>1341</v>
      </c>
      <c r="B1344" s="64" t="s">
        <v>10</v>
      </c>
      <c r="C1344" s="54">
        <v>45819</v>
      </c>
      <c r="D1344" s="54">
        <v>45828</v>
      </c>
      <c r="E1344" s="46" t="s">
        <v>32</v>
      </c>
      <c r="F1344" s="51" t="s">
        <v>27</v>
      </c>
      <c r="G1344" s="51" t="s">
        <v>28</v>
      </c>
      <c r="H1344" s="51" t="s">
        <v>26</v>
      </c>
      <c r="I1344" s="55" t="s">
        <v>2084</v>
      </c>
      <c r="J1344" s="56">
        <v>1000</v>
      </c>
      <c r="K1344" s="51" t="s">
        <v>26</v>
      </c>
      <c r="L1344" s="58">
        <v>60000</v>
      </c>
      <c r="M1344" s="50">
        <f>ROUND('FA Addition'!$L1344*5%,0.1)</f>
        <v>3000</v>
      </c>
      <c r="N1344" s="113" t="str">
        <f>_xlfn.XLOOKUP(_xlfn.CONCAT(E1344,B1344),'Year Wise Master Dep Approach'!F:F,'Year Wise Master Dep Approach'!D:D)</f>
        <v>SLM</v>
      </c>
      <c r="O1344" s="113">
        <f>_xlfn.XLOOKUP(_xlfn.CONCAT(E1344,B1344),'Year Wise Master Dep Approach'!F:F,'Year Wise Master Dep Approach'!E:E)</f>
        <v>5</v>
      </c>
      <c r="P1344" s="114">
        <f>IFERROR(IF('FA Addition'!$N1344="WDV",1-('FA Addition'!$M1344/'FA Addition'!$L1344)^(1/'FA Addition'!$O1344),1/'FA Addition'!$O1344),0)</f>
        <v>0.2</v>
      </c>
      <c r="Q1344" s="122">
        <f>'FA Addition'!$P1344*'FA Addition'!$O1344</f>
        <v>1</v>
      </c>
      <c r="R1344" s="122"/>
      <c r="S1344" s="116">
        <f>IF(AND(DATE(20&amp;LEFT(FAAddition[[#This Row],[FY]],2),4,1)&lt;$L$1+1,DATE(20&amp;LEFT(FAAddition[[#This Row],[FY]],2),4,1)&gt;$P$1-1),'FA Addition'!$J1344,0)</f>
        <v>0</v>
      </c>
      <c r="U1344" s="117">
        <f>S1344*'FA Addition'!$L1344/'FA Addition'!$J1344</f>
        <v>0</v>
      </c>
      <c r="W1344" s="116">
        <f>SUMIFS('FA Write off'!D:D,'FA Write off'!A:A,'FA Addition'!$A1344,'FA Write off'!C:C,"&lt;"&amp;'FA Addition'!$P$1)</f>
        <v>0</v>
      </c>
      <c r="Y1344" s="191">
        <f>IFERROR(W1344/'FA Addition'!$J1344*'FA Addition'!$L1344,0)</f>
        <v>0</v>
      </c>
      <c r="AA1344" s="116">
        <f>SUMIFS('FA Write off'!D:D,'FA Write off'!A:A,'FA Addition'!$A1344,'FA Write off'!C:C,"&lt;"&amp;'FA Addition'!$L$1+1,'FA Write off'!C:C,"&gt;"&amp;'FA Addition'!$L$1-365)</f>
        <v>0</v>
      </c>
      <c r="AC1344" s="118">
        <f>IFERROR(AA1344/'FA Addition'!$J1344*'FA Addition'!$L1344,0)</f>
        <v>0</v>
      </c>
      <c r="AE1344" s="117">
        <f>IF(AND('FA Addition'!$D1344&lt;$P$1+1,U1344=0),'FA Addition'!$L1344,0)-Y1344</f>
        <v>0</v>
      </c>
      <c r="AF1344" s="117">
        <f t="shared" si="100"/>
        <v>0</v>
      </c>
      <c r="AG1344" s="117">
        <f>MIN(MAX(+$P$1-'FA Addition'!$D1344,0),365*'FA Addition'!$O1344)</f>
        <v>0</v>
      </c>
      <c r="AH1344" s="117">
        <f>MIN(MAX($L$1-'FA Addition'!$D1344+1,0),365*'FA Addition'!$O1344)</f>
        <v>0</v>
      </c>
      <c r="AI1344" s="117" cm="1">
        <f t="array" ref="AI1344">_xlfn.XLOOKUP(1,('FA Write off'!A:A='FA Addition'!$A1344)*('FA Write off'!D:D=AA1344),'FA Write off'!H:H,0,0)</f>
        <v>0</v>
      </c>
      <c r="AJ1344" s="117">
        <f>IF(AC1344&gt;0,MAX(IF('FA Addition'!$N1344="SLM",($AC1344-'FA Addition'!$M1344)*'FA Addition'!$P1344*AI1344/365,(AC1344-'FA Addition'!$M1344)*(1-(1-'FA Addition'!$P1344)^(AI1344/365))),0),0)</f>
        <v>0</v>
      </c>
      <c r="AL1344" s="117">
        <f>MAX(IF(AG1344&gt;0,IF('FA Addition'!$N1344="SLM",($AE1344-'FA Addition'!$M1344)*'FA Addition'!$P1344*AG1344/365,IFERROR(VDB(AE1344,AE1344*0.05,'FA Addition'!$O1344,0,YEARFRAC('FA Addition'!$C1344,$P$1-1,3),'FA Addition'!$Q1344),FAAddition[[#This Row],[Original Cost (Rs)]]-FAAddition[[#This Row],[Salvage Value]])),0),0)</f>
        <v>0</v>
      </c>
      <c r="AM1344" s="119"/>
      <c r="AN1344" s="117">
        <f>MAX(IF(AH1344&gt;0,IF('FA Addition'!$N1344="SLM",($AF1344-'FA Addition'!$M1344)*'FA Addition'!$P1344*AH1344/365,IFERROR(VDB(AF1344,AF1344*0.05,'FA Addition'!$O1344,0,YEARFRAC('FA Addition'!$C1344,$L$1,3),'FA Addition'!$Q1344),FAAddition[[#This Row],[Original Cost (Rs)]]-FAAddition[[#This Row],[Salvage Value]])),0),0)</f>
        <v>0</v>
      </c>
      <c r="AO1344" s="117">
        <f t="shared" si="103"/>
        <v>0</v>
      </c>
      <c r="AQ1344" s="117">
        <f t="shared" si="101"/>
        <v>0</v>
      </c>
      <c r="AR1344" s="120">
        <f t="shared" si="102"/>
        <v>0</v>
      </c>
      <c r="AS1344" s="121"/>
    </row>
    <row r="1345" spans="1:45" ht="13.5" x14ac:dyDescent="0.4">
      <c r="A1345" s="12">
        <f t="shared" si="104"/>
        <v>1342</v>
      </c>
      <c r="B1345" s="64" t="s">
        <v>10</v>
      </c>
      <c r="C1345" s="54">
        <v>45828</v>
      </c>
      <c r="D1345" s="54">
        <v>45828</v>
      </c>
      <c r="E1345" s="46" t="s">
        <v>32</v>
      </c>
      <c r="F1345" s="51" t="s">
        <v>27</v>
      </c>
      <c r="G1345" s="51" t="s">
        <v>28</v>
      </c>
      <c r="H1345" s="51" t="s">
        <v>26</v>
      </c>
      <c r="I1345" s="55">
        <v>219</v>
      </c>
      <c r="J1345" s="56">
        <v>2000</v>
      </c>
      <c r="K1345" s="51" t="s">
        <v>26</v>
      </c>
      <c r="L1345" s="58">
        <v>135000</v>
      </c>
      <c r="M1345" s="50">
        <f>ROUND('FA Addition'!$L1345*5%,0.1)</f>
        <v>6750</v>
      </c>
      <c r="N1345" s="113" t="str">
        <f>_xlfn.XLOOKUP(_xlfn.CONCAT(E1345,B1345),'Year Wise Master Dep Approach'!F:F,'Year Wise Master Dep Approach'!D:D)</f>
        <v>SLM</v>
      </c>
      <c r="O1345" s="113">
        <f>_xlfn.XLOOKUP(_xlfn.CONCAT(E1345,B1345),'Year Wise Master Dep Approach'!F:F,'Year Wise Master Dep Approach'!E:E)</f>
        <v>5</v>
      </c>
      <c r="P1345" s="114">
        <f>IFERROR(IF('FA Addition'!$N1345="WDV",1-('FA Addition'!$M1345/'FA Addition'!$L1345)^(1/'FA Addition'!$O1345),1/'FA Addition'!$O1345),0)</f>
        <v>0.2</v>
      </c>
      <c r="Q1345" s="122">
        <f>'FA Addition'!$P1345*'FA Addition'!$O1345</f>
        <v>1</v>
      </c>
      <c r="R1345" s="122"/>
      <c r="S1345" s="116">
        <f>IF(AND(DATE(20&amp;LEFT(FAAddition[[#This Row],[FY]],2),4,1)&lt;$L$1+1,DATE(20&amp;LEFT(FAAddition[[#This Row],[FY]],2),4,1)&gt;$P$1-1),'FA Addition'!$J1345,0)</f>
        <v>0</v>
      </c>
      <c r="U1345" s="117">
        <f>S1345*'FA Addition'!$L1345/'FA Addition'!$J1345</f>
        <v>0</v>
      </c>
      <c r="W1345" s="116">
        <f>SUMIFS('FA Write off'!D:D,'FA Write off'!A:A,'FA Addition'!$A1345,'FA Write off'!C:C,"&lt;"&amp;'FA Addition'!$P$1)</f>
        <v>0</v>
      </c>
      <c r="Y1345" s="191">
        <f>IFERROR(W1345/'FA Addition'!$J1345*'FA Addition'!$L1345,0)</f>
        <v>0</v>
      </c>
      <c r="AA1345" s="116">
        <f>SUMIFS('FA Write off'!D:D,'FA Write off'!A:A,'FA Addition'!$A1345,'FA Write off'!C:C,"&lt;"&amp;'FA Addition'!$L$1+1,'FA Write off'!C:C,"&gt;"&amp;'FA Addition'!$L$1-365)</f>
        <v>0</v>
      </c>
      <c r="AC1345" s="118">
        <f>IFERROR(AA1345/'FA Addition'!$J1345*'FA Addition'!$L1345,0)</f>
        <v>0</v>
      </c>
      <c r="AE1345" s="117">
        <f>IF(AND('FA Addition'!$D1345&lt;$P$1+1,U1345=0),'FA Addition'!$L1345,0)-Y1345</f>
        <v>0</v>
      </c>
      <c r="AF1345" s="117">
        <f t="shared" si="100"/>
        <v>0</v>
      </c>
      <c r="AG1345" s="117">
        <f>MIN(MAX(+$P$1-'FA Addition'!$D1345,0),365*'FA Addition'!$O1345)</f>
        <v>0</v>
      </c>
      <c r="AH1345" s="117">
        <f>MIN(MAX($L$1-'FA Addition'!$D1345+1,0),365*'FA Addition'!$O1345)</f>
        <v>0</v>
      </c>
      <c r="AI1345" s="117" cm="1">
        <f t="array" ref="AI1345">_xlfn.XLOOKUP(1,('FA Write off'!A:A='FA Addition'!$A1345)*('FA Write off'!D:D=AA1345),'FA Write off'!H:H,0,0)</f>
        <v>0</v>
      </c>
      <c r="AJ1345" s="117">
        <f>IF(AC1345&gt;0,MAX(IF('FA Addition'!$N1345="SLM",($AC1345-'FA Addition'!$M1345)*'FA Addition'!$P1345*AI1345/365,(AC1345-'FA Addition'!$M1345)*(1-(1-'FA Addition'!$P1345)^(AI1345/365))),0),0)</f>
        <v>0</v>
      </c>
      <c r="AL1345" s="117">
        <f>MAX(IF(AG1345&gt;0,IF('FA Addition'!$N1345="SLM",($AE1345-'FA Addition'!$M1345)*'FA Addition'!$P1345*AG1345/365,IFERROR(VDB(AE1345,AE1345*0.05,'FA Addition'!$O1345,0,YEARFRAC('FA Addition'!$C1345,$P$1-1,3),'FA Addition'!$Q1345),FAAddition[[#This Row],[Original Cost (Rs)]]-FAAddition[[#This Row],[Salvage Value]])),0),0)</f>
        <v>0</v>
      </c>
      <c r="AM1345" s="119"/>
      <c r="AN1345" s="117">
        <f>MAX(IF(AH1345&gt;0,IF('FA Addition'!$N1345="SLM",($AF1345-'FA Addition'!$M1345)*'FA Addition'!$P1345*AH1345/365,IFERROR(VDB(AF1345,AF1345*0.05,'FA Addition'!$O1345,0,YEARFRAC('FA Addition'!$C1345,$L$1,3),'FA Addition'!$Q1345),FAAddition[[#This Row],[Original Cost (Rs)]]-FAAddition[[#This Row],[Salvage Value]])),0),0)</f>
        <v>0</v>
      </c>
      <c r="AO1345" s="117">
        <f t="shared" si="103"/>
        <v>0</v>
      </c>
      <c r="AQ1345" s="117">
        <f t="shared" si="101"/>
        <v>0</v>
      </c>
      <c r="AR1345" s="120">
        <f t="shared" si="102"/>
        <v>0</v>
      </c>
      <c r="AS1345" s="121"/>
    </row>
    <row r="1346" spans="1:45" ht="13.5" x14ac:dyDescent="0.4">
      <c r="A1346" s="12">
        <f t="shared" si="104"/>
        <v>1343</v>
      </c>
      <c r="B1346" s="64" t="s">
        <v>10</v>
      </c>
      <c r="C1346" s="54">
        <v>45860</v>
      </c>
      <c r="D1346" s="54">
        <v>45863</v>
      </c>
      <c r="E1346" s="46" t="s">
        <v>32</v>
      </c>
      <c r="F1346" s="51" t="s">
        <v>27</v>
      </c>
      <c r="G1346" s="51" t="s">
        <v>29</v>
      </c>
      <c r="H1346" s="51" t="s">
        <v>26</v>
      </c>
      <c r="I1346" s="55" t="s">
        <v>31</v>
      </c>
      <c r="J1346" s="56">
        <v>1020</v>
      </c>
      <c r="K1346" s="51" t="s">
        <v>294</v>
      </c>
      <c r="L1346" s="58">
        <v>51340</v>
      </c>
      <c r="M1346" s="50">
        <f>ROUND('FA Addition'!$L1346*5%,0.1)</f>
        <v>2567</v>
      </c>
      <c r="N1346" s="113" t="str">
        <f>_xlfn.XLOOKUP(_xlfn.CONCAT(E1346,B1346),'Year Wise Master Dep Approach'!F:F,'Year Wise Master Dep Approach'!D:D)</f>
        <v>SLM</v>
      </c>
      <c r="O1346" s="113">
        <f>_xlfn.XLOOKUP(_xlfn.CONCAT(E1346,B1346),'Year Wise Master Dep Approach'!F:F,'Year Wise Master Dep Approach'!E:E)</f>
        <v>5</v>
      </c>
      <c r="P1346" s="114">
        <f>IFERROR(IF('FA Addition'!$N1346="WDV",1-('FA Addition'!$M1346/'FA Addition'!$L1346)^(1/'FA Addition'!$O1346),1/'FA Addition'!$O1346),0)</f>
        <v>0.2</v>
      </c>
      <c r="Q1346" s="122">
        <f>'FA Addition'!$P1346*'FA Addition'!$O1346</f>
        <v>1</v>
      </c>
      <c r="R1346" s="122"/>
      <c r="S1346" s="116">
        <f>IF(AND(DATE(20&amp;LEFT(FAAddition[[#This Row],[FY]],2),4,1)&lt;$L$1+1,DATE(20&amp;LEFT(FAAddition[[#This Row],[FY]],2),4,1)&gt;$P$1-1),'FA Addition'!$J1346,0)</f>
        <v>0</v>
      </c>
      <c r="U1346" s="117">
        <f>S1346*'FA Addition'!$L1346/'FA Addition'!$J1346</f>
        <v>0</v>
      </c>
      <c r="W1346" s="116">
        <f>SUMIFS('FA Write off'!D:D,'FA Write off'!A:A,'FA Addition'!$A1346,'FA Write off'!C:C,"&lt;"&amp;'FA Addition'!$P$1)</f>
        <v>0</v>
      </c>
      <c r="Y1346" s="191">
        <f>IFERROR(W1346/'FA Addition'!$J1346*'FA Addition'!$L1346,0)</f>
        <v>0</v>
      </c>
      <c r="AA1346" s="116">
        <f>SUMIFS('FA Write off'!D:D,'FA Write off'!A:A,'FA Addition'!$A1346,'FA Write off'!C:C,"&lt;"&amp;'FA Addition'!$L$1+1,'FA Write off'!C:C,"&gt;"&amp;'FA Addition'!$L$1-365)</f>
        <v>0</v>
      </c>
      <c r="AC1346" s="118">
        <f>IFERROR(AA1346/'FA Addition'!$J1346*'FA Addition'!$L1346,0)</f>
        <v>0</v>
      </c>
      <c r="AE1346" s="117">
        <f>IF(AND('FA Addition'!$D1346&lt;$P$1+1,U1346=0),'FA Addition'!$L1346,0)-Y1346</f>
        <v>0</v>
      </c>
      <c r="AF1346" s="117">
        <f t="shared" si="100"/>
        <v>0</v>
      </c>
      <c r="AG1346" s="117">
        <f>MIN(MAX(+$P$1-'FA Addition'!$D1346,0),365*'FA Addition'!$O1346)</f>
        <v>0</v>
      </c>
      <c r="AH1346" s="117">
        <f>MIN(MAX($L$1-'FA Addition'!$D1346+1,0),365*'FA Addition'!$O1346)</f>
        <v>0</v>
      </c>
      <c r="AI1346" s="117" cm="1">
        <f t="array" ref="AI1346">_xlfn.XLOOKUP(1,('FA Write off'!A:A='FA Addition'!$A1346)*('FA Write off'!D:D=AA1346),'FA Write off'!H:H,0,0)</f>
        <v>0</v>
      </c>
      <c r="AJ1346" s="117">
        <f>IF(AC1346&gt;0,MAX(IF('FA Addition'!$N1346="SLM",($AC1346-'FA Addition'!$M1346)*'FA Addition'!$P1346*AI1346/365,(AC1346-'FA Addition'!$M1346)*(1-(1-'FA Addition'!$P1346)^(AI1346/365))),0),0)</f>
        <v>0</v>
      </c>
      <c r="AL1346" s="117">
        <f>MAX(IF(AG1346&gt;0,IF('FA Addition'!$N1346="SLM",($AE1346-'FA Addition'!$M1346)*'FA Addition'!$P1346*AG1346/365,IFERROR(VDB(AE1346,AE1346*0.05,'FA Addition'!$O1346,0,YEARFRAC('FA Addition'!$C1346,$P$1-1,3),'FA Addition'!$Q1346),FAAddition[[#This Row],[Original Cost (Rs)]]-FAAddition[[#This Row],[Salvage Value]])),0),0)</f>
        <v>0</v>
      </c>
      <c r="AM1346" s="119"/>
      <c r="AN1346" s="117">
        <f>MAX(IF(AH1346&gt;0,IF('FA Addition'!$N1346="SLM",($AF1346-'FA Addition'!$M1346)*'FA Addition'!$P1346*AH1346/365,IFERROR(VDB(AF1346,AF1346*0.05,'FA Addition'!$O1346,0,YEARFRAC('FA Addition'!$C1346,$L$1,3),'FA Addition'!$Q1346),FAAddition[[#This Row],[Original Cost (Rs)]]-FAAddition[[#This Row],[Salvage Value]])),0),0)</f>
        <v>0</v>
      </c>
      <c r="AO1346" s="117">
        <f t="shared" si="103"/>
        <v>0</v>
      </c>
      <c r="AQ1346" s="117">
        <f t="shared" si="101"/>
        <v>0</v>
      </c>
      <c r="AR1346" s="120">
        <f t="shared" si="102"/>
        <v>0</v>
      </c>
      <c r="AS1346" s="121"/>
    </row>
    <row r="1347" spans="1:45" ht="13.5" x14ac:dyDescent="0.4">
      <c r="A1347" s="12">
        <f t="shared" si="104"/>
        <v>1344</v>
      </c>
      <c r="B1347" s="64" t="s">
        <v>10</v>
      </c>
      <c r="C1347" s="54">
        <v>45738</v>
      </c>
      <c r="D1347" s="54">
        <v>45748</v>
      </c>
      <c r="E1347" s="46" t="s">
        <v>32</v>
      </c>
      <c r="F1347" s="51" t="s">
        <v>33</v>
      </c>
      <c r="G1347" s="51" t="s">
        <v>34</v>
      </c>
      <c r="H1347" s="51" t="s">
        <v>32</v>
      </c>
      <c r="I1347" s="55" t="s">
        <v>35</v>
      </c>
      <c r="J1347" s="56">
        <v>1000</v>
      </c>
      <c r="K1347" s="51" t="s">
        <v>295</v>
      </c>
      <c r="L1347" s="58">
        <v>1665000</v>
      </c>
      <c r="M1347" s="50">
        <f>ROUND('FA Addition'!$L1347*5%,0.1)</f>
        <v>83250</v>
      </c>
      <c r="N1347" s="113" t="str">
        <f>_xlfn.XLOOKUP(_xlfn.CONCAT(E1347,B1347),'Year Wise Master Dep Approach'!F:F,'Year Wise Master Dep Approach'!D:D)</f>
        <v>SLM</v>
      </c>
      <c r="O1347" s="113">
        <f>_xlfn.XLOOKUP(_xlfn.CONCAT(E1347,B1347),'Year Wise Master Dep Approach'!F:F,'Year Wise Master Dep Approach'!E:E)</f>
        <v>5</v>
      </c>
      <c r="P1347" s="114">
        <f>IFERROR(IF('FA Addition'!$N1347="WDV",1-('FA Addition'!$M1347/'FA Addition'!$L1347)^(1/'FA Addition'!$O1347),1/'FA Addition'!$O1347),0)</f>
        <v>0.2</v>
      </c>
      <c r="Q1347" s="122">
        <f>'FA Addition'!$P1347*'FA Addition'!$O1347</f>
        <v>1</v>
      </c>
      <c r="R1347" s="122"/>
      <c r="S1347" s="116">
        <f>IF(AND(DATE(20&amp;LEFT(FAAddition[[#This Row],[FY]],2),4,1)&lt;$L$1+1,DATE(20&amp;LEFT(FAAddition[[#This Row],[FY]],2),4,1)&gt;$P$1-1),'FA Addition'!$J1347,0)</f>
        <v>0</v>
      </c>
      <c r="U1347" s="117">
        <f>S1347*'FA Addition'!$L1347/'FA Addition'!$J1347</f>
        <v>0</v>
      </c>
      <c r="W1347" s="116">
        <f>SUMIFS('FA Write off'!D:D,'FA Write off'!A:A,'FA Addition'!$A1347,'FA Write off'!C:C,"&lt;"&amp;'FA Addition'!$P$1)</f>
        <v>0</v>
      </c>
      <c r="Y1347" s="191">
        <f>IFERROR(W1347/'FA Addition'!$J1347*'FA Addition'!$L1347,0)</f>
        <v>0</v>
      </c>
      <c r="AA1347" s="116">
        <f>SUMIFS('FA Write off'!D:D,'FA Write off'!A:A,'FA Addition'!$A1347,'FA Write off'!C:C,"&lt;"&amp;'FA Addition'!$L$1+1,'FA Write off'!C:C,"&gt;"&amp;'FA Addition'!$L$1-365)</f>
        <v>0</v>
      </c>
      <c r="AC1347" s="118">
        <f>IFERROR(AA1347/'FA Addition'!$J1347*'FA Addition'!$L1347,0)</f>
        <v>0</v>
      </c>
      <c r="AE1347" s="117">
        <f>IF(AND('FA Addition'!$D1347&lt;$P$1+1,U1347=0),'FA Addition'!$L1347,0)-Y1347</f>
        <v>0</v>
      </c>
      <c r="AF1347" s="117">
        <f t="shared" si="100"/>
        <v>0</v>
      </c>
      <c r="AG1347" s="117">
        <f>MIN(MAX(+$P$1-'FA Addition'!$D1347,0),365*'FA Addition'!$O1347)</f>
        <v>0</v>
      </c>
      <c r="AH1347" s="117">
        <f>MIN(MAX($L$1-'FA Addition'!$D1347+1,0),365*'FA Addition'!$O1347)</f>
        <v>0</v>
      </c>
      <c r="AI1347" s="117" cm="1">
        <f t="array" ref="AI1347">_xlfn.XLOOKUP(1,('FA Write off'!A:A='FA Addition'!$A1347)*('FA Write off'!D:D=AA1347),'FA Write off'!H:H,0,0)</f>
        <v>0</v>
      </c>
      <c r="AJ1347" s="117">
        <f>IF(AC1347&gt;0,MAX(IF('FA Addition'!$N1347="SLM",($AC1347-'FA Addition'!$M1347)*'FA Addition'!$P1347*AI1347/365,(AC1347-'FA Addition'!$M1347)*(1-(1-'FA Addition'!$P1347)^(AI1347/365))),0),0)</f>
        <v>0</v>
      </c>
      <c r="AL1347" s="117">
        <f>MAX(IF(AG1347&gt;0,IF('FA Addition'!$N1347="SLM",($AE1347-'FA Addition'!$M1347)*'FA Addition'!$P1347*AG1347/365,IFERROR(VDB(AE1347,AE1347*0.05,'FA Addition'!$O1347,0,YEARFRAC('FA Addition'!$C1347,$P$1-1,3),'FA Addition'!$Q1347),FAAddition[[#This Row],[Original Cost (Rs)]]-FAAddition[[#This Row],[Salvage Value]])),0),0)</f>
        <v>0</v>
      </c>
      <c r="AM1347" s="119"/>
      <c r="AN1347" s="117">
        <f>MAX(IF(AH1347&gt;0,IF('FA Addition'!$N1347="SLM",($AF1347-'FA Addition'!$M1347)*'FA Addition'!$P1347*AH1347/365,IFERROR(VDB(AF1347,AF1347*0.05,'FA Addition'!$O1347,0,YEARFRAC('FA Addition'!$C1347,$L$1,3),'FA Addition'!$Q1347),FAAddition[[#This Row],[Original Cost (Rs)]]-FAAddition[[#This Row],[Salvage Value]])),0),0)</f>
        <v>0</v>
      </c>
      <c r="AO1347" s="117">
        <f t="shared" si="103"/>
        <v>0</v>
      </c>
      <c r="AQ1347" s="117">
        <f t="shared" si="101"/>
        <v>0</v>
      </c>
      <c r="AR1347" s="120">
        <f t="shared" si="102"/>
        <v>0</v>
      </c>
      <c r="AS1347" s="121"/>
    </row>
    <row r="1348" spans="1:45" ht="13.5" x14ac:dyDescent="0.4">
      <c r="A1348" s="12">
        <f t="shared" si="104"/>
        <v>1345</v>
      </c>
      <c r="B1348" s="64" t="s">
        <v>10</v>
      </c>
      <c r="C1348" s="54">
        <v>45736</v>
      </c>
      <c r="D1348" s="54">
        <v>45748</v>
      </c>
      <c r="E1348" s="46" t="s">
        <v>32</v>
      </c>
      <c r="F1348" s="51" t="s">
        <v>33</v>
      </c>
      <c r="G1348" s="51" t="s">
        <v>36</v>
      </c>
      <c r="H1348" s="51" t="s">
        <v>32</v>
      </c>
      <c r="I1348" s="55" t="s">
        <v>37</v>
      </c>
      <c r="J1348" s="56">
        <v>800</v>
      </c>
      <c r="K1348" s="51" t="s">
        <v>296</v>
      </c>
      <c r="L1348" s="58">
        <v>1280000</v>
      </c>
      <c r="M1348" s="50">
        <f>ROUND('FA Addition'!$L1348*5%,0.1)</f>
        <v>64000</v>
      </c>
      <c r="N1348" s="113" t="str">
        <f>_xlfn.XLOOKUP(_xlfn.CONCAT(E1348,B1348),'Year Wise Master Dep Approach'!F:F,'Year Wise Master Dep Approach'!D:D)</f>
        <v>SLM</v>
      </c>
      <c r="O1348" s="113">
        <f>_xlfn.XLOOKUP(_xlfn.CONCAT(E1348,B1348),'Year Wise Master Dep Approach'!F:F,'Year Wise Master Dep Approach'!E:E)</f>
        <v>5</v>
      </c>
      <c r="P1348" s="114">
        <f>IFERROR(IF('FA Addition'!$N1348="WDV",1-('FA Addition'!$M1348/'FA Addition'!$L1348)^(1/'FA Addition'!$O1348),1/'FA Addition'!$O1348),0)</f>
        <v>0.2</v>
      </c>
      <c r="Q1348" s="122">
        <f>'FA Addition'!$P1348*'FA Addition'!$O1348</f>
        <v>1</v>
      </c>
      <c r="R1348" s="122"/>
      <c r="S1348" s="116">
        <f>IF(AND(DATE(20&amp;LEFT(FAAddition[[#This Row],[FY]],2),4,1)&lt;$L$1+1,DATE(20&amp;LEFT(FAAddition[[#This Row],[FY]],2),4,1)&gt;$P$1-1),'FA Addition'!$J1348,0)</f>
        <v>0</v>
      </c>
      <c r="U1348" s="117">
        <f>S1348*'FA Addition'!$L1348/'FA Addition'!$J1348</f>
        <v>0</v>
      </c>
      <c r="W1348" s="116">
        <f>SUMIFS('FA Write off'!D:D,'FA Write off'!A:A,'FA Addition'!$A1348,'FA Write off'!C:C,"&lt;"&amp;'FA Addition'!$P$1)</f>
        <v>0</v>
      </c>
      <c r="Y1348" s="191">
        <f>IFERROR(W1348/'FA Addition'!$J1348*'FA Addition'!$L1348,0)</f>
        <v>0</v>
      </c>
      <c r="AA1348" s="116">
        <f>SUMIFS('FA Write off'!D:D,'FA Write off'!A:A,'FA Addition'!$A1348,'FA Write off'!C:C,"&lt;"&amp;'FA Addition'!$L$1+1,'FA Write off'!C:C,"&gt;"&amp;'FA Addition'!$L$1-365)</f>
        <v>0</v>
      </c>
      <c r="AC1348" s="118">
        <f>IFERROR(AA1348/'FA Addition'!$J1348*'FA Addition'!$L1348,0)</f>
        <v>0</v>
      </c>
      <c r="AE1348" s="117">
        <f>IF(AND('FA Addition'!$D1348&lt;$P$1+1,U1348=0),'FA Addition'!$L1348,0)-Y1348</f>
        <v>0</v>
      </c>
      <c r="AF1348" s="117">
        <f t="shared" ref="AF1348:AF1411" si="105">AE1348+U1348-AC1348</f>
        <v>0</v>
      </c>
      <c r="AG1348" s="117">
        <f>MIN(MAX(+$P$1-'FA Addition'!$D1348,0),365*'FA Addition'!$O1348)</f>
        <v>0</v>
      </c>
      <c r="AH1348" s="117">
        <f>MIN(MAX($L$1-'FA Addition'!$D1348+1,0),365*'FA Addition'!$O1348)</f>
        <v>0</v>
      </c>
      <c r="AI1348" s="117" cm="1">
        <f t="array" ref="AI1348">_xlfn.XLOOKUP(1,('FA Write off'!A:A='FA Addition'!$A1348)*('FA Write off'!D:D=AA1348),'FA Write off'!H:H,0,0)</f>
        <v>0</v>
      </c>
      <c r="AJ1348" s="117">
        <f>IF(AC1348&gt;0,MAX(IF('FA Addition'!$N1348="SLM",($AC1348-'FA Addition'!$M1348)*'FA Addition'!$P1348*AI1348/365,(AC1348-'FA Addition'!$M1348)*(1-(1-'FA Addition'!$P1348)^(AI1348/365))),0),0)</f>
        <v>0</v>
      </c>
      <c r="AL1348" s="117">
        <f>MAX(IF(AG1348&gt;0,IF('FA Addition'!$N1348="SLM",($AE1348-'FA Addition'!$M1348)*'FA Addition'!$P1348*AG1348/365,IFERROR(VDB(AE1348,AE1348*0.05,'FA Addition'!$O1348,0,YEARFRAC('FA Addition'!$C1348,$P$1-1,3),'FA Addition'!$Q1348),FAAddition[[#This Row],[Original Cost (Rs)]]-FAAddition[[#This Row],[Salvage Value]])),0),0)</f>
        <v>0</v>
      </c>
      <c r="AM1348" s="119"/>
      <c r="AN1348" s="117">
        <f>MAX(IF(AH1348&gt;0,IF('FA Addition'!$N1348="SLM",($AF1348-'FA Addition'!$M1348)*'FA Addition'!$P1348*AH1348/365,IFERROR(VDB(AF1348,AF1348*0.05,'FA Addition'!$O1348,0,YEARFRAC('FA Addition'!$C1348,$L$1,3),'FA Addition'!$Q1348),FAAddition[[#This Row],[Original Cost (Rs)]]-FAAddition[[#This Row],[Salvage Value]])),0),0)</f>
        <v>0</v>
      </c>
      <c r="AO1348" s="117">
        <f t="shared" si="103"/>
        <v>0</v>
      </c>
      <c r="AQ1348" s="117">
        <f t="shared" ref="AQ1348:AQ1411" si="106">AE1348-AL1348</f>
        <v>0</v>
      </c>
      <c r="AR1348" s="120">
        <f t="shared" ref="AR1348:AR1411" si="107">AF1348-AN1348</f>
        <v>0</v>
      </c>
      <c r="AS1348" s="121"/>
    </row>
    <row r="1349" spans="1:45" ht="13.5" x14ac:dyDescent="0.4">
      <c r="A1349" s="12">
        <f t="shared" si="104"/>
        <v>1346</v>
      </c>
      <c r="B1349" s="64" t="s">
        <v>10</v>
      </c>
      <c r="C1349" s="54">
        <v>45757</v>
      </c>
      <c r="D1349" s="54">
        <v>45763</v>
      </c>
      <c r="E1349" s="46" t="s">
        <v>32</v>
      </c>
      <c r="F1349" s="51" t="s">
        <v>33</v>
      </c>
      <c r="G1349" s="51" t="s">
        <v>34</v>
      </c>
      <c r="H1349" s="51" t="s">
        <v>32</v>
      </c>
      <c r="I1349" s="55" t="s">
        <v>38</v>
      </c>
      <c r="J1349" s="56">
        <v>1500</v>
      </c>
      <c r="K1349" s="51" t="s">
        <v>295</v>
      </c>
      <c r="L1349" s="58">
        <v>2248500</v>
      </c>
      <c r="M1349" s="50">
        <f>ROUND('FA Addition'!$L1349*5%,0.1)</f>
        <v>112425</v>
      </c>
      <c r="N1349" s="113" t="str">
        <f>_xlfn.XLOOKUP(_xlfn.CONCAT(E1349,B1349),'Year Wise Master Dep Approach'!F:F,'Year Wise Master Dep Approach'!D:D)</f>
        <v>SLM</v>
      </c>
      <c r="O1349" s="113">
        <f>_xlfn.XLOOKUP(_xlfn.CONCAT(E1349,B1349),'Year Wise Master Dep Approach'!F:F,'Year Wise Master Dep Approach'!E:E)</f>
        <v>5</v>
      </c>
      <c r="P1349" s="114">
        <f>IFERROR(IF('FA Addition'!$N1349="WDV",1-('FA Addition'!$M1349/'FA Addition'!$L1349)^(1/'FA Addition'!$O1349),1/'FA Addition'!$O1349),0)</f>
        <v>0.2</v>
      </c>
      <c r="Q1349" s="122">
        <f>'FA Addition'!$P1349*'FA Addition'!$O1349</f>
        <v>1</v>
      </c>
      <c r="R1349" s="122"/>
      <c r="S1349" s="116">
        <f>IF(AND(DATE(20&amp;LEFT(FAAddition[[#This Row],[FY]],2),4,1)&lt;$L$1+1,DATE(20&amp;LEFT(FAAddition[[#This Row],[FY]],2),4,1)&gt;$P$1-1),'FA Addition'!$J1349,0)</f>
        <v>0</v>
      </c>
      <c r="U1349" s="117">
        <f>S1349*'FA Addition'!$L1349/'FA Addition'!$J1349</f>
        <v>0</v>
      </c>
      <c r="W1349" s="116">
        <f>SUMIFS('FA Write off'!D:D,'FA Write off'!A:A,'FA Addition'!$A1349,'FA Write off'!C:C,"&lt;"&amp;'FA Addition'!$P$1)</f>
        <v>0</v>
      </c>
      <c r="Y1349" s="191">
        <f>IFERROR(W1349/'FA Addition'!$J1349*'FA Addition'!$L1349,0)</f>
        <v>0</v>
      </c>
      <c r="AA1349" s="116">
        <f>SUMIFS('FA Write off'!D:D,'FA Write off'!A:A,'FA Addition'!$A1349,'FA Write off'!C:C,"&lt;"&amp;'FA Addition'!$L$1+1,'FA Write off'!C:C,"&gt;"&amp;'FA Addition'!$L$1-365)</f>
        <v>0</v>
      </c>
      <c r="AC1349" s="118">
        <f>IFERROR(AA1349/'FA Addition'!$J1349*'FA Addition'!$L1349,0)</f>
        <v>0</v>
      </c>
      <c r="AE1349" s="117">
        <f>IF(AND('FA Addition'!$D1349&lt;$P$1+1,U1349=0),'FA Addition'!$L1349,0)-Y1349</f>
        <v>0</v>
      </c>
      <c r="AF1349" s="117">
        <f t="shared" si="105"/>
        <v>0</v>
      </c>
      <c r="AG1349" s="117">
        <f>MIN(MAX(+$P$1-'FA Addition'!$D1349,0),365*'FA Addition'!$O1349)</f>
        <v>0</v>
      </c>
      <c r="AH1349" s="117">
        <f>MIN(MAX($L$1-'FA Addition'!$D1349+1,0),365*'FA Addition'!$O1349)</f>
        <v>0</v>
      </c>
      <c r="AI1349" s="117" cm="1">
        <f t="array" ref="AI1349">_xlfn.XLOOKUP(1,('FA Write off'!A:A='FA Addition'!$A1349)*('FA Write off'!D:D=AA1349),'FA Write off'!H:H,0,0)</f>
        <v>0</v>
      </c>
      <c r="AJ1349" s="117">
        <f>IF(AC1349&gt;0,MAX(IF('FA Addition'!$N1349="SLM",($AC1349-'FA Addition'!$M1349)*'FA Addition'!$P1349*AI1349/365,(AC1349-'FA Addition'!$M1349)*(1-(1-'FA Addition'!$P1349)^(AI1349/365))),0),0)</f>
        <v>0</v>
      </c>
      <c r="AL1349" s="117">
        <f>MAX(IF(AG1349&gt;0,IF('FA Addition'!$N1349="SLM",($AE1349-'FA Addition'!$M1349)*'FA Addition'!$P1349*AG1349/365,IFERROR(VDB(AE1349,AE1349*0.05,'FA Addition'!$O1349,0,YEARFRAC('FA Addition'!$C1349,$P$1-1,3),'FA Addition'!$Q1349),FAAddition[[#This Row],[Original Cost (Rs)]]-FAAddition[[#This Row],[Salvage Value]])),0),0)</f>
        <v>0</v>
      </c>
      <c r="AM1349" s="119"/>
      <c r="AN1349" s="117">
        <f>MAX(IF(AH1349&gt;0,IF('FA Addition'!$N1349="SLM",($AF1349-'FA Addition'!$M1349)*'FA Addition'!$P1349*AH1349/365,IFERROR(VDB(AF1349,AF1349*0.05,'FA Addition'!$O1349,0,YEARFRAC('FA Addition'!$C1349,$L$1,3),'FA Addition'!$Q1349),FAAddition[[#This Row],[Original Cost (Rs)]]-FAAddition[[#This Row],[Salvage Value]])),0),0)</f>
        <v>0</v>
      </c>
      <c r="AO1349" s="117">
        <f t="shared" ref="AO1349:AO1412" si="108">AN1349-AL1349+AJ1349</f>
        <v>0</v>
      </c>
      <c r="AQ1349" s="117">
        <f t="shared" si="106"/>
        <v>0</v>
      </c>
      <c r="AR1349" s="120">
        <f t="shared" si="107"/>
        <v>0</v>
      </c>
      <c r="AS1349" s="121"/>
    </row>
    <row r="1350" spans="1:45" ht="13.5" x14ac:dyDescent="0.4">
      <c r="A1350" s="12">
        <f t="shared" ref="A1350:A1413" si="109">A1349+1</f>
        <v>1347</v>
      </c>
      <c r="B1350" s="64" t="s">
        <v>10</v>
      </c>
      <c r="C1350" s="54">
        <v>45754</v>
      </c>
      <c r="D1350" s="54">
        <v>45763</v>
      </c>
      <c r="E1350" s="46" t="s">
        <v>32</v>
      </c>
      <c r="F1350" s="51" t="s">
        <v>33</v>
      </c>
      <c r="G1350" s="51" t="s">
        <v>34</v>
      </c>
      <c r="H1350" s="51" t="s">
        <v>32</v>
      </c>
      <c r="I1350" s="55" t="s">
        <v>39</v>
      </c>
      <c r="J1350" s="56">
        <v>1500</v>
      </c>
      <c r="K1350" s="51" t="s">
        <v>295</v>
      </c>
      <c r="L1350" s="58">
        <v>2248500</v>
      </c>
      <c r="M1350" s="50">
        <f>ROUND('FA Addition'!$L1350*5%,0.1)</f>
        <v>112425</v>
      </c>
      <c r="N1350" s="113" t="str">
        <f>_xlfn.XLOOKUP(_xlfn.CONCAT(E1350,B1350),'Year Wise Master Dep Approach'!F:F,'Year Wise Master Dep Approach'!D:D)</f>
        <v>SLM</v>
      </c>
      <c r="O1350" s="113">
        <f>_xlfn.XLOOKUP(_xlfn.CONCAT(E1350,B1350),'Year Wise Master Dep Approach'!F:F,'Year Wise Master Dep Approach'!E:E)</f>
        <v>5</v>
      </c>
      <c r="P1350" s="114">
        <f>IFERROR(IF('FA Addition'!$N1350="WDV",1-('FA Addition'!$M1350/'FA Addition'!$L1350)^(1/'FA Addition'!$O1350),1/'FA Addition'!$O1350),0)</f>
        <v>0.2</v>
      </c>
      <c r="Q1350" s="122">
        <f>'FA Addition'!$P1350*'FA Addition'!$O1350</f>
        <v>1</v>
      </c>
      <c r="R1350" s="122"/>
      <c r="S1350" s="116">
        <f>IF(AND(DATE(20&amp;LEFT(FAAddition[[#This Row],[FY]],2),4,1)&lt;$L$1+1,DATE(20&amp;LEFT(FAAddition[[#This Row],[FY]],2),4,1)&gt;$P$1-1),'FA Addition'!$J1350,0)</f>
        <v>0</v>
      </c>
      <c r="U1350" s="117">
        <f>S1350*'FA Addition'!$L1350/'FA Addition'!$J1350</f>
        <v>0</v>
      </c>
      <c r="W1350" s="116">
        <f>SUMIFS('FA Write off'!D:D,'FA Write off'!A:A,'FA Addition'!$A1350,'FA Write off'!C:C,"&lt;"&amp;'FA Addition'!$P$1)</f>
        <v>0</v>
      </c>
      <c r="Y1350" s="191">
        <f>IFERROR(W1350/'FA Addition'!$J1350*'FA Addition'!$L1350,0)</f>
        <v>0</v>
      </c>
      <c r="AA1350" s="116">
        <f>SUMIFS('FA Write off'!D:D,'FA Write off'!A:A,'FA Addition'!$A1350,'FA Write off'!C:C,"&lt;"&amp;'FA Addition'!$L$1+1,'FA Write off'!C:C,"&gt;"&amp;'FA Addition'!$L$1-365)</f>
        <v>0</v>
      </c>
      <c r="AC1350" s="118">
        <f>IFERROR(AA1350/'FA Addition'!$J1350*'FA Addition'!$L1350,0)</f>
        <v>0</v>
      </c>
      <c r="AE1350" s="117">
        <f>IF(AND('FA Addition'!$D1350&lt;$P$1+1,U1350=0),'FA Addition'!$L1350,0)-Y1350</f>
        <v>0</v>
      </c>
      <c r="AF1350" s="117">
        <f t="shared" si="105"/>
        <v>0</v>
      </c>
      <c r="AG1350" s="117">
        <f>MIN(MAX(+$P$1-'FA Addition'!$D1350,0),365*'FA Addition'!$O1350)</f>
        <v>0</v>
      </c>
      <c r="AH1350" s="117">
        <f>MIN(MAX($L$1-'FA Addition'!$D1350+1,0),365*'FA Addition'!$O1350)</f>
        <v>0</v>
      </c>
      <c r="AI1350" s="117" cm="1">
        <f t="array" ref="AI1350">_xlfn.XLOOKUP(1,('FA Write off'!A:A='FA Addition'!$A1350)*('FA Write off'!D:D=AA1350),'FA Write off'!H:H,0,0)</f>
        <v>0</v>
      </c>
      <c r="AJ1350" s="117">
        <f>IF(AC1350&gt;0,MAX(IF('FA Addition'!$N1350="SLM",($AC1350-'FA Addition'!$M1350)*'FA Addition'!$P1350*AI1350/365,(AC1350-'FA Addition'!$M1350)*(1-(1-'FA Addition'!$P1350)^(AI1350/365))),0),0)</f>
        <v>0</v>
      </c>
      <c r="AL1350" s="117">
        <f>MAX(IF(AG1350&gt;0,IF('FA Addition'!$N1350="SLM",($AE1350-'FA Addition'!$M1350)*'FA Addition'!$P1350*AG1350/365,IFERROR(VDB(AE1350,AE1350*0.05,'FA Addition'!$O1350,0,YEARFRAC('FA Addition'!$C1350,$P$1-1,3),'FA Addition'!$Q1350),FAAddition[[#This Row],[Original Cost (Rs)]]-FAAddition[[#This Row],[Salvage Value]])),0),0)</f>
        <v>0</v>
      </c>
      <c r="AM1350" s="119"/>
      <c r="AN1350" s="117">
        <f>MAX(IF(AH1350&gt;0,IF('FA Addition'!$N1350="SLM",($AF1350-'FA Addition'!$M1350)*'FA Addition'!$P1350*AH1350/365,IFERROR(VDB(AF1350,AF1350*0.05,'FA Addition'!$O1350,0,YEARFRAC('FA Addition'!$C1350,$L$1,3),'FA Addition'!$Q1350),FAAddition[[#This Row],[Original Cost (Rs)]]-FAAddition[[#This Row],[Salvage Value]])),0),0)</f>
        <v>0</v>
      </c>
      <c r="AO1350" s="117">
        <f t="shared" si="108"/>
        <v>0</v>
      </c>
      <c r="AQ1350" s="117">
        <f t="shared" si="106"/>
        <v>0</v>
      </c>
      <c r="AR1350" s="120">
        <f t="shared" si="107"/>
        <v>0</v>
      </c>
      <c r="AS1350" s="121"/>
    </row>
    <row r="1351" spans="1:45" ht="13.5" x14ac:dyDescent="0.4">
      <c r="A1351" s="12">
        <f t="shared" si="109"/>
        <v>1348</v>
      </c>
      <c r="B1351" s="64" t="s">
        <v>10</v>
      </c>
      <c r="C1351" s="54">
        <v>45750</v>
      </c>
      <c r="D1351" s="54">
        <v>45763</v>
      </c>
      <c r="E1351" s="46" t="s">
        <v>32</v>
      </c>
      <c r="F1351" s="51" t="s">
        <v>33</v>
      </c>
      <c r="G1351" s="51" t="s">
        <v>34</v>
      </c>
      <c r="H1351" s="51" t="s">
        <v>32</v>
      </c>
      <c r="I1351" s="55" t="s">
        <v>40</v>
      </c>
      <c r="J1351" s="56">
        <v>1000</v>
      </c>
      <c r="K1351" s="51" t="s">
        <v>295</v>
      </c>
      <c r="L1351" s="58">
        <v>1499000</v>
      </c>
      <c r="M1351" s="50">
        <f>ROUND('FA Addition'!$L1351*5%,0.1)</f>
        <v>74950</v>
      </c>
      <c r="N1351" s="113" t="str">
        <f>_xlfn.XLOOKUP(_xlfn.CONCAT(E1351,B1351),'Year Wise Master Dep Approach'!F:F,'Year Wise Master Dep Approach'!D:D)</f>
        <v>SLM</v>
      </c>
      <c r="O1351" s="113">
        <f>_xlfn.XLOOKUP(_xlfn.CONCAT(E1351,B1351),'Year Wise Master Dep Approach'!F:F,'Year Wise Master Dep Approach'!E:E)</f>
        <v>5</v>
      </c>
      <c r="P1351" s="114">
        <f>IFERROR(IF('FA Addition'!$N1351="WDV",1-('FA Addition'!$M1351/'FA Addition'!$L1351)^(1/'FA Addition'!$O1351),1/'FA Addition'!$O1351),0)</f>
        <v>0.2</v>
      </c>
      <c r="Q1351" s="122">
        <f>'FA Addition'!$P1351*'FA Addition'!$O1351</f>
        <v>1</v>
      </c>
      <c r="R1351" s="122"/>
      <c r="S1351" s="116">
        <f>IF(AND(DATE(20&amp;LEFT(FAAddition[[#This Row],[FY]],2),4,1)&lt;$L$1+1,DATE(20&amp;LEFT(FAAddition[[#This Row],[FY]],2),4,1)&gt;$P$1-1),'FA Addition'!$J1351,0)</f>
        <v>0</v>
      </c>
      <c r="U1351" s="117">
        <f>S1351*'FA Addition'!$L1351/'FA Addition'!$J1351</f>
        <v>0</v>
      </c>
      <c r="W1351" s="116">
        <f>SUMIFS('FA Write off'!D:D,'FA Write off'!A:A,'FA Addition'!$A1351,'FA Write off'!C:C,"&lt;"&amp;'FA Addition'!$P$1)</f>
        <v>0</v>
      </c>
      <c r="Y1351" s="191">
        <f>IFERROR(W1351/'FA Addition'!$J1351*'FA Addition'!$L1351,0)</f>
        <v>0</v>
      </c>
      <c r="AA1351" s="116">
        <f>SUMIFS('FA Write off'!D:D,'FA Write off'!A:A,'FA Addition'!$A1351,'FA Write off'!C:C,"&lt;"&amp;'FA Addition'!$L$1+1,'FA Write off'!C:C,"&gt;"&amp;'FA Addition'!$L$1-365)</f>
        <v>0</v>
      </c>
      <c r="AC1351" s="118">
        <f>IFERROR(AA1351/'FA Addition'!$J1351*'FA Addition'!$L1351,0)</f>
        <v>0</v>
      </c>
      <c r="AE1351" s="117">
        <f>IF(AND('FA Addition'!$D1351&lt;$P$1+1,U1351=0),'FA Addition'!$L1351,0)-Y1351</f>
        <v>0</v>
      </c>
      <c r="AF1351" s="117">
        <f t="shared" si="105"/>
        <v>0</v>
      </c>
      <c r="AG1351" s="117">
        <f>MIN(MAX(+$P$1-'FA Addition'!$D1351,0),365*'FA Addition'!$O1351)</f>
        <v>0</v>
      </c>
      <c r="AH1351" s="117">
        <f>MIN(MAX($L$1-'FA Addition'!$D1351+1,0),365*'FA Addition'!$O1351)</f>
        <v>0</v>
      </c>
      <c r="AI1351" s="117" cm="1">
        <f t="array" ref="AI1351">_xlfn.XLOOKUP(1,('FA Write off'!A:A='FA Addition'!$A1351)*('FA Write off'!D:D=AA1351),'FA Write off'!H:H,0,0)</f>
        <v>0</v>
      </c>
      <c r="AJ1351" s="117">
        <f>IF(AC1351&gt;0,MAX(IF('FA Addition'!$N1351="SLM",($AC1351-'FA Addition'!$M1351)*'FA Addition'!$P1351*AI1351/365,(AC1351-'FA Addition'!$M1351)*(1-(1-'FA Addition'!$P1351)^(AI1351/365))),0),0)</f>
        <v>0</v>
      </c>
      <c r="AL1351" s="117">
        <f>MAX(IF(AG1351&gt;0,IF('FA Addition'!$N1351="SLM",($AE1351-'FA Addition'!$M1351)*'FA Addition'!$P1351*AG1351/365,IFERROR(VDB(AE1351,AE1351*0.05,'FA Addition'!$O1351,0,YEARFRAC('FA Addition'!$C1351,$P$1-1,3),'FA Addition'!$Q1351),FAAddition[[#This Row],[Original Cost (Rs)]]-FAAddition[[#This Row],[Salvage Value]])),0),0)</f>
        <v>0</v>
      </c>
      <c r="AM1351" s="119"/>
      <c r="AN1351" s="117">
        <f>MAX(IF(AH1351&gt;0,IF('FA Addition'!$N1351="SLM",($AF1351-'FA Addition'!$M1351)*'FA Addition'!$P1351*AH1351/365,IFERROR(VDB(AF1351,AF1351*0.05,'FA Addition'!$O1351,0,YEARFRAC('FA Addition'!$C1351,$L$1,3),'FA Addition'!$Q1351),FAAddition[[#This Row],[Original Cost (Rs)]]-FAAddition[[#This Row],[Salvage Value]])),0),0)</f>
        <v>0</v>
      </c>
      <c r="AO1351" s="117">
        <f t="shared" si="108"/>
        <v>0</v>
      </c>
      <c r="AQ1351" s="117">
        <f t="shared" si="106"/>
        <v>0</v>
      </c>
      <c r="AR1351" s="120">
        <f t="shared" si="107"/>
        <v>0</v>
      </c>
      <c r="AS1351" s="121"/>
    </row>
    <row r="1352" spans="1:45" ht="13.5" x14ac:dyDescent="0.4">
      <c r="A1352" s="12">
        <f t="shared" si="109"/>
        <v>1349</v>
      </c>
      <c r="B1352" s="64" t="s">
        <v>10</v>
      </c>
      <c r="C1352" s="54">
        <v>45761</v>
      </c>
      <c r="D1352" s="54">
        <v>45771</v>
      </c>
      <c r="E1352" s="46" t="s">
        <v>32</v>
      </c>
      <c r="F1352" s="51" t="s">
        <v>33</v>
      </c>
      <c r="G1352" s="51" t="s">
        <v>34</v>
      </c>
      <c r="H1352" s="51" t="s">
        <v>32</v>
      </c>
      <c r="I1352" s="55" t="s">
        <v>41</v>
      </c>
      <c r="J1352" s="56">
        <v>1500</v>
      </c>
      <c r="K1352" s="51" t="s">
        <v>295</v>
      </c>
      <c r="L1352" s="58">
        <v>2248500</v>
      </c>
      <c r="M1352" s="50">
        <f>ROUND('FA Addition'!$L1352*5%,0.1)</f>
        <v>112425</v>
      </c>
      <c r="N1352" s="113" t="str">
        <f>_xlfn.XLOOKUP(_xlfn.CONCAT(E1352,B1352),'Year Wise Master Dep Approach'!F:F,'Year Wise Master Dep Approach'!D:D)</f>
        <v>SLM</v>
      </c>
      <c r="O1352" s="113">
        <f>_xlfn.XLOOKUP(_xlfn.CONCAT(E1352,B1352),'Year Wise Master Dep Approach'!F:F,'Year Wise Master Dep Approach'!E:E)</f>
        <v>5</v>
      </c>
      <c r="P1352" s="114">
        <f>IFERROR(IF('FA Addition'!$N1352="WDV",1-('FA Addition'!$M1352/'FA Addition'!$L1352)^(1/'FA Addition'!$O1352),1/'FA Addition'!$O1352),0)</f>
        <v>0.2</v>
      </c>
      <c r="Q1352" s="122">
        <f>'FA Addition'!$P1352*'FA Addition'!$O1352</f>
        <v>1</v>
      </c>
      <c r="R1352" s="122"/>
      <c r="S1352" s="116">
        <f>IF(AND(DATE(20&amp;LEFT(FAAddition[[#This Row],[FY]],2),4,1)&lt;$L$1+1,DATE(20&amp;LEFT(FAAddition[[#This Row],[FY]],2),4,1)&gt;$P$1-1),'FA Addition'!$J1352,0)</f>
        <v>0</v>
      </c>
      <c r="U1352" s="117">
        <f>S1352*'FA Addition'!$L1352/'FA Addition'!$J1352</f>
        <v>0</v>
      </c>
      <c r="W1352" s="116">
        <f>SUMIFS('FA Write off'!D:D,'FA Write off'!A:A,'FA Addition'!$A1352,'FA Write off'!C:C,"&lt;"&amp;'FA Addition'!$P$1)</f>
        <v>0</v>
      </c>
      <c r="Y1352" s="191">
        <f>IFERROR(W1352/'FA Addition'!$J1352*'FA Addition'!$L1352,0)</f>
        <v>0</v>
      </c>
      <c r="AA1352" s="116">
        <f>SUMIFS('FA Write off'!D:D,'FA Write off'!A:A,'FA Addition'!$A1352,'FA Write off'!C:C,"&lt;"&amp;'FA Addition'!$L$1+1,'FA Write off'!C:C,"&gt;"&amp;'FA Addition'!$L$1-365)</f>
        <v>0</v>
      </c>
      <c r="AC1352" s="118">
        <f>IFERROR(AA1352/'FA Addition'!$J1352*'FA Addition'!$L1352,0)</f>
        <v>0</v>
      </c>
      <c r="AE1352" s="117">
        <f>IF(AND('FA Addition'!$D1352&lt;$P$1+1,U1352=0),'FA Addition'!$L1352,0)-Y1352</f>
        <v>0</v>
      </c>
      <c r="AF1352" s="117">
        <f t="shared" si="105"/>
        <v>0</v>
      </c>
      <c r="AG1352" s="117">
        <f>MIN(MAX(+$P$1-'FA Addition'!$D1352,0),365*'FA Addition'!$O1352)</f>
        <v>0</v>
      </c>
      <c r="AH1352" s="117">
        <f>MIN(MAX($L$1-'FA Addition'!$D1352+1,0),365*'FA Addition'!$O1352)</f>
        <v>0</v>
      </c>
      <c r="AI1352" s="117" cm="1">
        <f t="array" ref="AI1352">_xlfn.XLOOKUP(1,('FA Write off'!A:A='FA Addition'!$A1352)*('FA Write off'!D:D=AA1352),'FA Write off'!H:H,0,0)</f>
        <v>0</v>
      </c>
      <c r="AJ1352" s="117">
        <f>IF(AC1352&gt;0,MAX(IF('FA Addition'!$N1352="SLM",($AC1352-'FA Addition'!$M1352)*'FA Addition'!$P1352*AI1352/365,(AC1352-'FA Addition'!$M1352)*(1-(1-'FA Addition'!$P1352)^(AI1352/365))),0),0)</f>
        <v>0</v>
      </c>
      <c r="AL1352" s="117">
        <f>MAX(IF(AG1352&gt;0,IF('FA Addition'!$N1352="SLM",($AE1352-'FA Addition'!$M1352)*'FA Addition'!$P1352*AG1352/365,IFERROR(VDB(AE1352,AE1352*0.05,'FA Addition'!$O1352,0,YEARFRAC('FA Addition'!$C1352,$P$1-1,3),'FA Addition'!$Q1352),FAAddition[[#This Row],[Original Cost (Rs)]]-FAAddition[[#This Row],[Salvage Value]])),0),0)</f>
        <v>0</v>
      </c>
      <c r="AM1352" s="119"/>
      <c r="AN1352" s="117">
        <f>MAX(IF(AH1352&gt;0,IF('FA Addition'!$N1352="SLM",($AF1352-'FA Addition'!$M1352)*'FA Addition'!$P1352*AH1352/365,IFERROR(VDB(AF1352,AF1352*0.05,'FA Addition'!$O1352,0,YEARFRAC('FA Addition'!$C1352,$L$1,3),'FA Addition'!$Q1352),FAAddition[[#This Row],[Original Cost (Rs)]]-FAAddition[[#This Row],[Salvage Value]])),0),0)</f>
        <v>0</v>
      </c>
      <c r="AO1352" s="117">
        <f t="shared" si="108"/>
        <v>0</v>
      </c>
      <c r="AQ1352" s="117">
        <f t="shared" si="106"/>
        <v>0</v>
      </c>
      <c r="AR1352" s="120">
        <f t="shared" si="107"/>
        <v>0</v>
      </c>
      <c r="AS1352" s="121"/>
    </row>
    <row r="1353" spans="1:45" ht="13.5" x14ac:dyDescent="0.4">
      <c r="A1353" s="12">
        <f t="shared" si="109"/>
        <v>1350</v>
      </c>
      <c r="B1353" s="64" t="s">
        <v>10</v>
      </c>
      <c r="C1353" s="54">
        <v>45764</v>
      </c>
      <c r="D1353" s="54">
        <v>45771</v>
      </c>
      <c r="E1353" s="46" t="s">
        <v>32</v>
      </c>
      <c r="F1353" s="51" t="s">
        <v>33</v>
      </c>
      <c r="G1353" s="51" t="s">
        <v>34</v>
      </c>
      <c r="H1353" s="51" t="s">
        <v>32</v>
      </c>
      <c r="I1353" s="55" t="s">
        <v>42</v>
      </c>
      <c r="J1353" s="56">
        <v>2000</v>
      </c>
      <c r="K1353" s="51" t="s">
        <v>295</v>
      </c>
      <c r="L1353" s="58">
        <v>2998000</v>
      </c>
      <c r="M1353" s="50">
        <f>ROUND('FA Addition'!$L1353*5%,0.1)</f>
        <v>149900</v>
      </c>
      <c r="N1353" s="113" t="str">
        <f>_xlfn.XLOOKUP(_xlfn.CONCAT(E1353,B1353),'Year Wise Master Dep Approach'!F:F,'Year Wise Master Dep Approach'!D:D)</f>
        <v>SLM</v>
      </c>
      <c r="O1353" s="113">
        <f>_xlfn.XLOOKUP(_xlfn.CONCAT(E1353,B1353),'Year Wise Master Dep Approach'!F:F,'Year Wise Master Dep Approach'!E:E)</f>
        <v>5</v>
      </c>
      <c r="P1353" s="114">
        <f>IFERROR(IF('FA Addition'!$N1353="WDV",1-('FA Addition'!$M1353/'FA Addition'!$L1353)^(1/'FA Addition'!$O1353),1/'FA Addition'!$O1353),0)</f>
        <v>0.2</v>
      </c>
      <c r="Q1353" s="122">
        <f>'FA Addition'!$P1353*'FA Addition'!$O1353</f>
        <v>1</v>
      </c>
      <c r="R1353" s="122"/>
      <c r="S1353" s="116">
        <f>IF(AND(DATE(20&amp;LEFT(FAAddition[[#This Row],[FY]],2),4,1)&lt;$L$1+1,DATE(20&amp;LEFT(FAAddition[[#This Row],[FY]],2),4,1)&gt;$P$1-1),'FA Addition'!$J1353,0)</f>
        <v>0</v>
      </c>
      <c r="U1353" s="117">
        <f>S1353*'FA Addition'!$L1353/'FA Addition'!$J1353</f>
        <v>0</v>
      </c>
      <c r="W1353" s="116">
        <f>SUMIFS('FA Write off'!D:D,'FA Write off'!A:A,'FA Addition'!$A1353,'FA Write off'!C:C,"&lt;"&amp;'FA Addition'!$P$1)</f>
        <v>0</v>
      </c>
      <c r="Y1353" s="191">
        <f>IFERROR(W1353/'FA Addition'!$J1353*'FA Addition'!$L1353,0)</f>
        <v>0</v>
      </c>
      <c r="AA1353" s="116">
        <f>SUMIFS('FA Write off'!D:D,'FA Write off'!A:A,'FA Addition'!$A1353,'FA Write off'!C:C,"&lt;"&amp;'FA Addition'!$L$1+1,'FA Write off'!C:C,"&gt;"&amp;'FA Addition'!$L$1-365)</f>
        <v>0</v>
      </c>
      <c r="AC1353" s="118">
        <f>IFERROR(AA1353/'FA Addition'!$J1353*'FA Addition'!$L1353,0)</f>
        <v>0</v>
      </c>
      <c r="AE1353" s="117">
        <f>IF(AND('FA Addition'!$D1353&lt;$P$1+1,U1353=0),'FA Addition'!$L1353,0)-Y1353</f>
        <v>0</v>
      </c>
      <c r="AF1353" s="117">
        <f t="shared" si="105"/>
        <v>0</v>
      </c>
      <c r="AG1353" s="117">
        <f>MIN(MAX(+$P$1-'FA Addition'!$D1353,0),365*'FA Addition'!$O1353)</f>
        <v>0</v>
      </c>
      <c r="AH1353" s="117">
        <f>MIN(MAX($L$1-'FA Addition'!$D1353+1,0),365*'FA Addition'!$O1353)</f>
        <v>0</v>
      </c>
      <c r="AI1353" s="117" cm="1">
        <f t="array" ref="AI1353">_xlfn.XLOOKUP(1,('FA Write off'!A:A='FA Addition'!$A1353)*('FA Write off'!D:D=AA1353),'FA Write off'!H:H,0,0)</f>
        <v>0</v>
      </c>
      <c r="AJ1353" s="117">
        <f>IF(AC1353&gt;0,MAX(IF('FA Addition'!$N1353="SLM",($AC1353-'FA Addition'!$M1353)*'FA Addition'!$P1353*AI1353/365,(AC1353-'FA Addition'!$M1353)*(1-(1-'FA Addition'!$P1353)^(AI1353/365))),0),0)</f>
        <v>0</v>
      </c>
      <c r="AL1353" s="117">
        <f>MAX(IF(AG1353&gt;0,IF('FA Addition'!$N1353="SLM",($AE1353-'FA Addition'!$M1353)*'FA Addition'!$P1353*AG1353/365,IFERROR(VDB(AE1353,AE1353*0.05,'FA Addition'!$O1353,0,YEARFRAC('FA Addition'!$C1353,$P$1-1,3),'FA Addition'!$Q1353),FAAddition[[#This Row],[Original Cost (Rs)]]-FAAddition[[#This Row],[Salvage Value]])),0),0)</f>
        <v>0</v>
      </c>
      <c r="AM1353" s="119"/>
      <c r="AN1353" s="117">
        <f>MAX(IF(AH1353&gt;0,IF('FA Addition'!$N1353="SLM",($AF1353-'FA Addition'!$M1353)*'FA Addition'!$P1353*AH1353/365,IFERROR(VDB(AF1353,AF1353*0.05,'FA Addition'!$O1353,0,YEARFRAC('FA Addition'!$C1353,$L$1,3),'FA Addition'!$Q1353),FAAddition[[#This Row],[Original Cost (Rs)]]-FAAddition[[#This Row],[Salvage Value]])),0),0)</f>
        <v>0</v>
      </c>
      <c r="AO1353" s="117">
        <f t="shared" si="108"/>
        <v>0</v>
      </c>
      <c r="AQ1353" s="117">
        <f t="shared" si="106"/>
        <v>0</v>
      </c>
      <c r="AR1353" s="120">
        <f t="shared" si="107"/>
        <v>0</v>
      </c>
      <c r="AS1353" s="121"/>
    </row>
    <row r="1354" spans="1:45" ht="13.5" x14ac:dyDescent="0.4">
      <c r="A1354" s="12">
        <f t="shared" si="109"/>
        <v>1351</v>
      </c>
      <c r="B1354" s="64" t="s">
        <v>10</v>
      </c>
      <c r="C1354" s="54">
        <v>45768</v>
      </c>
      <c r="D1354" s="54">
        <v>45777</v>
      </c>
      <c r="E1354" s="46" t="s">
        <v>32</v>
      </c>
      <c r="F1354" s="51" t="s">
        <v>33</v>
      </c>
      <c r="G1354" s="51" t="s">
        <v>34</v>
      </c>
      <c r="H1354" s="51" t="s">
        <v>32</v>
      </c>
      <c r="I1354" s="55" t="s">
        <v>43</v>
      </c>
      <c r="J1354" s="56">
        <v>2000</v>
      </c>
      <c r="K1354" s="51" t="s">
        <v>295</v>
      </c>
      <c r="L1354" s="58">
        <v>2998000</v>
      </c>
      <c r="M1354" s="50">
        <f>ROUND('FA Addition'!$L1354*5%,0.1)</f>
        <v>149900</v>
      </c>
      <c r="N1354" s="113" t="str">
        <f>_xlfn.XLOOKUP(_xlfn.CONCAT(E1354,B1354),'Year Wise Master Dep Approach'!F:F,'Year Wise Master Dep Approach'!D:D)</f>
        <v>SLM</v>
      </c>
      <c r="O1354" s="113">
        <f>_xlfn.XLOOKUP(_xlfn.CONCAT(E1354,B1354),'Year Wise Master Dep Approach'!F:F,'Year Wise Master Dep Approach'!E:E)</f>
        <v>5</v>
      </c>
      <c r="P1354" s="114">
        <f>IFERROR(IF('FA Addition'!$N1354="WDV",1-('FA Addition'!$M1354/'FA Addition'!$L1354)^(1/'FA Addition'!$O1354),1/'FA Addition'!$O1354),0)</f>
        <v>0.2</v>
      </c>
      <c r="Q1354" s="122">
        <f>'FA Addition'!$P1354*'FA Addition'!$O1354</f>
        <v>1</v>
      </c>
      <c r="R1354" s="122"/>
      <c r="S1354" s="116">
        <f>IF(AND(DATE(20&amp;LEFT(FAAddition[[#This Row],[FY]],2),4,1)&lt;$L$1+1,DATE(20&amp;LEFT(FAAddition[[#This Row],[FY]],2),4,1)&gt;$P$1-1),'FA Addition'!$J1354,0)</f>
        <v>0</v>
      </c>
      <c r="U1354" s="117">
        <f>S1354*'FA Addition'!$L1354/'FA Addition'!$J1354</f>
        <v>0</v>
      </c>
      <c r="W1354" s="116">
        <f>SUMIFS('FA Write off'!D:D,'FA Write off'!A:A,'FA Addition'!$A1354,'FA Write off'!C:C,"&lt;"&amp;'FA Addition'!$P$1)</f>
        <v>0</v>
      </c>
      <c r="Y1354" s="191">
        <f>IFERROR(W1354/'FA Addition'!$J1354*'FA Addition'!$L1354,0)</f>
        <v>0</v>
      </c>
      <c r="AA1354" s="116">
        <f>SUMIFS('FA Write off'!D:D,'FA Write off'!A:A,'FA Addition'!$A1354,'FA Write off'!C:C,"&lt;"&amp;'FA Addition'!$L$1+1,'FA Write off'!C:C,"&gt;"&amp;'FA Addition'!$L$1-365)</f>
        <v>0</v>
      </c>
      <c r="AC1354" s="118">
        <f>IFERROR(AA1354/'FA Addition'!$J1354*'FA Addition'!$L1354,0)</f>
        <v>0</v>
      </c>
      <c r="AE1354" s="117">
        <f>IF(AND('FA Addition'!$D1354&lt;$P$1+1,U1354=0),'FA Addition'!$L1354,0)-Y1354</f>
        <v>0</v>
      </c>
      <c r="AF1354" s="117">
        <f t="shared" si="105"/>
        <v>0</v>
      </c>
      <c r="AG1354" s="117">
        <f>MIN(MAX(+$P$1-'FA Addition'!$D1354,0),365*'FA Addition'!$O1354)</f>
        <v>0</v>
      </c>
      <c r="AH1354" s="117">
        <f>MIN(MAX($L$1-'FA Addition'!$D1354+1,0),365*'FA Addition'!$O1354)</f>
        <v>0</v>
      </c>
      <c r="AI1354" s="117" cm="1">
        <f t="array" ref="AI1354">_xlfn.XLOOKUP(1,('FA Write off'!A:A='FA Addition'!$A1354)*('FA Write off'!D:D=AA1354),'FA Write off'!H:H,0,0)</f>
        <v>0</v>
      </c>
      <c r="AJ1354" s="117">
        <f>IF(AC1354&gt;0,MAX(IF('FA Addition'!$N1354="SLM",($AC1354-'FA Addition'!$M1354)*'FA Addition'!$P1354*AI1354/365,(AC1354-'FA Addition'!$M1354)*(1-(1-'FA Addition'!$P1354)^(AI1354/365))),0),0)</f>
        <v>0</v>
      </c>
      <c r="AL1354" s="117">
        <f>MAX(IF(AG1354&gt;0,IF('FA Addition'!$N1354="SLM",($AE1354-'FA Addition'!$M1354)*'FA Addition'!$P1354*AG1354/365,IFERROR(VDB(AE1354,AE1354*0.05,'FA Addition'!$O1354,0,YEARFRAC('FA Addition'!$C1354,$P$1-1,3),'FA Addition'!$Q1354),FAAddition[[#This Row],[Original Cost (Rs)]]-FAAddition[[#This Row],[Salvage Value]])),0),0)</f>
        <v>0</v>
      </c>
      <c r="AM1354" s="119"/>
      <c r="AN1354" s="117">
        <f>MAX(IF(AH1354&gt;0,IF('FA Addition'!$N1354="SLM",($AF1354-'FA Addition'!$M1354)*'FA Addition'!$P1354*AH1354/365,IFERROR(VDB(AF1354,AF1354*0.05,'FA Addition'!$O1354,0,YEARFRAC('FA Addition'!$C1354,$L$1,3),'FA Addition'!$Q1354),FAAddition[[#This Row],[Original Cost (Rs)]]-FAAddition[[#This Row],[Salvage Value]])),0),0)</f>
        <v>0</v>
      </c>
      <c r="AO1354" s="117">
        <f t="shared" si="108"/>
        <v>0</v>
      </c>
      <c r="AQ1354" s="117">
        <f t="shared" si="106"/>
        <v>0</v>
      </c>
      <c r="AR1354" s="120">
        <f t="shared" si="107"/>
        <v>0</v>
      </c>
      <c r="AS1354" s="121"/>
    </row>
    <row r="1355" spans="1:45" ht="13.5" x14ac:dyDescent="0.4">
      <c r="A1355" s="12">
        <f t="shared" si="109"/>
        <v>1352</v>
      </c>
      <c r="B1355" s="64" t="s">
        <v>10</v>
      </c>
      <c r="C1355" s="54">
        <v>45768</v>
      </c>
      <c r="D1355" s="54">
        <v>45777</v>
      </c>
      <c r="E1355" s="46" t="s">
        <v>32</v>
      </c>
      <c r="F1355" s="51" t="s">
        <v>33</v>
      </c>
      <c r="G1355" s="51" t="s">
        <v>34</v>
      </c>
      <c r="H1355" s="51" t="s">
        <v>32</v>
      </c>
      <c r="I1355" s="55" t="s">
        <v>44</v>
      </c>
      <c r="J1355" s="56">
        <v>500</v>
      </c>
      <c r="K1355" s="51" t="s">
        <v>295</v>
      </c>
      <c r="L1355" s="58">
        <v>749500</v>
      </c>
      <c r="M1355" s="50">
        <f>ROUND('FA Addition'!$L1355*5%,0.1)</f>
        <v>37475</v>
      </c>
      <c r="N1355" s="113" t="str">
        <f>_xlfn.XLOOKUP(_xlfn.CONCAT(E1355,B1355),'Year Wise Master Dep Approach'!F:F,'Year Wise Master Dep Approach'!D:D)</f>
        <v>SLM</v>
      </c>
      <c r="O1355" s="113">
        <f>_xlfn.XLOOKUP(_xlfn.CONCAT(E1355,B1355),'Year Wise Master Dep Approach'!F:F,'Year Wise Master Dep Approach'!E:E)</f>
        <v>5</v>
      </c>
      <c r="P1355" s="114">
        <f>IFERROR(IF('FA Addition'!$N1355="WDV",1-('FA Addition'!$M1355/'FA Addition'!$L1355)^(1/'FA Addition'!$O1355),1/'FA Addition'!$O1355),0)</f>
        <v>0.2</v>
      </c>
      <c r="Q1355" s="122">
        <f>'FA Addition'!$P1355*'FA Addition'!$O1355</f>
        <v>1</v>
      </c>
      <c r="R1355" s="122"/>
      <c r="S1355" s="116">
        <f>IF(AND(DATE(20&amp;LEFT(FAAddition[[#This Row],[FY]],2),4,1)&lt;$L$1+1,DATE(20&amp;LEFT(FAAddition[[#This Row],[FY]],2),4,1)&gt;$P$1-1),'FA Addition'!$J1355,0)</f>
        <v>0</v>
      </c>
      <c r="U1355" s="117">
        <f>S1355*'FA Addition'!$L1355/'FA Addition'!$J1355</f>
        <v>0</v>
      </c>
      <c r="W1355" s="116">
        <f>SUMIFS('FA Write off'!D:D,'FA Write off'!A:A,'FA Addition'!$A1355,'FA Write off'!C:C,"&lt;"&amp;'FA Addition'!$P$1)</f>
        <v>0</v>
      </c>
      <c r="Y1355" s="191">
        <f>IFERROR(W1355/'FA Addition'!$J1355*'FA Addition'!$L1355,0)</f>
        <v>0</v>
      </c>
      <c r="AA1355" s="116">
        <f>SUMIFS('FA Write off'!D:D,'FA Write off'!A:A,'FA Addition'!$A1355,'FA Write off'!C:C,"&lt;"&amp;'FA Addition'!$L$1+1,'FA Write off'!C:C,"&gt;"&amp;'FA Addition'!$L$1-365)</f>
        <v>0</v>
      </c>
      <c r="AC1355" s="118">
        <f>IFERROR(AA1355/'FA Addition'!$J1355*'FA Addition'!$L1355,0)</f>
        <v>0</v>
      </c>
      <c r="AE1355" s="117">
        <f>IF(AND('FA Addition'!$D1355&lt;$P$1+1,U1355=0),'FA Addition'!$L1355,0)-Y1355</f>
        <v>0</v>
      </c>
      <c r="AF1355" s="117">
        <f t="shared" si="105"/>
        <v>0</v>
      </c>
      <c r="AG1355" s="117">
        <f>MIN(MAX(+$P$1-'FA Addition'!$D1355,0),365*'FA Addition'!$O1355)</f>
        <v>0</v>
      </c>
      <c r="AH1355" s="117">
        <f>MIN(MAX($L$1-'FA Addition'!$D1355+1,0),365*'FA Addition'!$O1355)</f>
        <v>0</v>
      </c>
      <c r="AI1355" s="117" cm="1">
        <f t="array" ref="AI1355">_xlfn.XLOOKUP(1,('FA Write off'!A:A='FA Addition'!$A1355)*('FA Write off'!D:D=AA1355),'FA Write off'!H:H,0,0)</f>
        <v>0</v>
      </c>
      <c r="AJ1355" s="117">
        <f>IF(AC1355&gt;0,MAX(IF('FA Addition'!$N1355="SLM",($AC1355-'FA Addition'!$M1355)*'FA Addition'!$P1355*AI1355/365,(AC1355-'FA Addition'!$M1355)*(1-(1-'FA Addition'!$P1355)^(AI1355/365))),0),0)</f>
        <v>0</v>
      </c>
      <c r="AL1355" s="117">
        <f>MAX(IF(AG1355&gt;0,IF('FA Addition'!$N1355="SLM",($AE1355-'FA Addition'!$M1355)*'FA Addition'!$P1355*AG1355/365,IFERROR(VDB(AE1355,AE1355*0.05,'FA Addition'!$O1355,0,YEARFRAC('FA Addition'!$C1355,$P$1-1,3),'FA Addition'!$Q1355),FAAddition[[#This Row],[Original Cost (Rs)]]-FAAddition[[#This Row],[Salvage Value]])),0),0)</f>
        <v>0</v>
      </c>
      <c r="AM1355" s="119"/>
      <c r="AN1355" s="117">
        <f>MAX(IF(AH1355&gt;0,IF('FA Addition'!$N1355="SLM",($AF1355-'FA Addition'!$M1355)*'FA Addition'!$P1355*AH1355/365,IFERROR(VDB(AF1355,AF1355*0.05,'FA Addition'!$O1355,0,YEARFRAC('FA Addition'!$C1355,$L$1,3),'FA Addition'!$Q1355),FAAddition[[#This Row],[Original Cost (Rs)]]-FAAddition[[#This Row],[Salvage Value]])),0),0)</f>
        <v>0</v>
      </c>
      <c r="AO1355" s="117">
        <f t="shared" si="108"/>
        <v>0</v>
      </c>
      <c r="AQ1355" s="117">
        <f t="shared" si="106"/>
        <v>0</v>
      </c>
      <c r="AR1355" s="120">
        <f t="shared" si="107"/>
        <v>0</v>
      </c>
      <c r="AS1355" s="121"/>
    </row>
    <row r="1356" spans="1:45" ht="13.5" x14ac:dyDescent="0.4">
      <c r="A1356" s="12">
        <f t="shared" si="109"/>
        <v>1353</v>
      </c>
      <c r="B1356" s="64" t="s">
        <v>10</v>
      </c>
      <c r="C1356" s="54">
        <v>45769</v>
      </c>
      <c r="D1356" s="54">
        <v>45777</v>
      </c>
      <c r="E1356" s="46" t="s">
        <v>32</v>
      </c>
      <c r="F1356" s="51" t="s">
        <v>33</v>
      </c>
      <c r="G1356" s="51" t="s">
        <v>36</v>
      </c>
      <c r="H1356" s="51" t="s">
        <v>32</v>
      </c>
      <c r="I1356" s="55" t="s">
        <v>45</v>
      </c>
      <c r="J1356" s="56">
        <v>1000</v>
      </c>
      <c r="K1356" s="51" t="s">
        <v>296</v>
      </c>
      <c r="L1356" s="58">
        <v>1600000</v>
      </c>
      <c r="M1356" s="50">
        <f>ROUND('FA Addition'!$L1356*5%,0.1)</f>
        <v>80000</v>
      </c>
      <c r="N1356" s="113" t="str">
        <f>_xlfn.XLOOKUP(_xlfn.CONCAT(E1356,B1356),'Year Wise Master Dep Approach'!F:F,'Year Wise Master Dep Approach'!D:D)</f>
        <v>SLM</v>
      </c>
      <c r="O1356" s="113">
        <f>_xlfn.XLOOKUP(_xlfn.CONCAT(E1356,B1356),'Year Wise Master Dep Approach'!F:F,'Year Wise Master Dep Approach'!E:E)</f>
        <v>5</v>
      </c>
      <c r="P1356" s="114">
        <f>IFERROR(IF('FA Addition'!$N1356="WDV",1-('FA Addition'!$M1356/'FA Addition'!$L1356)^(1/'FA Addition'!$O1356),1/'FA Addition'!$O1356),0)</f>
        <v>0.2</v>
      </c>
      <c r="Q1356" s="122">
        <f>'FA Addition'!$P1356*'FA Addition'!$O1356</f>
        <v>1</v>
      </c>
      <c r="R1356" s="122"/>
      <c r="S1356" s="116">
        <f>IF(AND(DATE(20&amp;LEFT(FAAddition[[#This Row],[FY]],2),4,1)&lt;$L$1+1,DATE(20&amp;LEFT(FAAddition[[#This Row],[FY]],2),4,1)&gt;$P$1-1),'FA Addition'!$J1356,0)</f>
        <v>0</v>
      </c>
      <c r="U1356" s="117">
        <f>S1356*'FA Addition'!$L1356/'FA Addition'!$J1356</f>
        <v>0</v>
      </c>
      <c r="W1356" s="116">
        <f>SUMIFS('FA Write off'!D:D,'FA Write off'!A:A,'FA Addition'!$A1356,'FA Write off'!C:C,"&lt;"&amp;'FA Addition'!$P$1)</f>
        <v>0</v>
      </c>
      <c r="Y1356" s="191">
        <f>IFERROR(W1356/'FA Addition'!$J1356*'FA Addition'!$L1356,0)</f>
        <v>0</v>
      </c>
      <c r="AA1356" s="116">
        <f>SUMIFS('FA Write off'!D:D,'FA Write off'!A:A,'FA Addition'!$A1356,'FA Write off'!C:C,"&lt;"&amp;'FA Addition'!$L$1+1,'FA Write off'!C:C,"&gt;"&amp;'FA Addition'!$L$1-365)</f>
        <v>0</v>
      </c>
      <c r="AC1356" s="118">
        <f>IFERROR(AA1356/'FA Addition'!$J1356*'FA Addition'!$L1356,0)</f>
        <v>0</v>
      </c>
      <c r="AE1356" s="117">
        <f>IF(AND('FA Addition'!$D1356&lt;$P$1+1,U1356=0),'FA Addition'!$L1356,0)-Y1356</f>
        <v>0</v>
      </c>
      <c r="AF1356" s="117">
        <f t="shared" si="105"/>
        <v>0</v>
      </c>
      <c r="AG1356" s="117">
        <f>MIN(MAX(+$P$1-'FA Addition'!$D1356,0),365*'FA Addition'!$O1356)</f>
        <v>0</v>
      </c>
      <c r="AH1356" s="117">
        <f>MIN(MAX($L$1-'FA Addition'!$D1356+1,0),365*'FA Addition'!$O1356)</f>
        <v>0</v>
      </c>
      <c r="AI1356" s="117" cm="1">
        <f t="array" ref="AI1356">_xlfn.XLOOKUP(1,('FA Write off'!A:A='FA Addition'!$A1356)*('FA Write off'!D:D=AA1356),'FA Write off'!H:H,0,0)</f>
        <v>0</v>
      </c>
      <c r="AJ1356" s="117">
        <f>IF(AC1356&gt;0,MAX(IF('FA Addition'!$N1356="SLM",($AC1356-'FA Addition'!$M1356)*'FA Addition'!$P1356*AI1356/365,(AC1356-'FA Addition'!$M1356)*(1-(1-'FA Addition'!$P1356)^(AI1356/365))),0),0)</f>
        <v>0</v>
      </c>
      <c r="AL1356" s="117">
        <f>MAX(IF(AG1356&gt;0,IF('FA Addition'!$N1356="SLM",($AE1356-'FA Addition'!$M1356)*'FA Addition'!$P1356*AG1356/365,IFERROR(VDB(AE1356,AE1356*0.05,'FA Addition'!$O1356,0,YEARFRAC('FA Addition'!$C1356,$P$1-1,3),'FA Addition'!$Q1356),FAAddition[[#This Row],[Original Cost (Rs)]]-FAAddition[[#This Row],[Salvage Value]])),0),0)</f>
        <v>0</v>
      </c>
      <c r="AM1356" s="119"/>
      <c r="AN1356" s="117">
        <f>MAX(IF(AH1356&gt;0,IF('FA Addition'!$N1356="SLM",($AF1356-'FA Addition'!$M1356)*'FA Addition'!$P1356*AH1356/365,IFERROR(VDB(AF1356,AF1356*0.05,'FA Addition'!$O1356,0,YEARFRAC('FA Addition'!$C1356,$L$1,3),'FA Addition'!$Q1356),FAAddition[[#This Row],[Original Cost (Rs)]]-FAAddition[[#This Row],[Salvage Value]])),0),0)</f>
        <v>0</v>
      </c>
      <c r="AO1356" s="117">
        <f t="shared" si="108"/>
        <v>0</v>
      </c>
      <c r="AQ1356" s="117">
        <f t="shared" si="106"/>
        <v>0</v>
      </c>
      <c r="AR1356" s="120">
        <f t="shared" si="107"/>
        <v>0</v>
      </c>
      <c r="AS1356" s="121"/>
    </row>
    <row r="1357" spans="1:45" ht="13.5" x14ac:dyDescent="0.4">
      <c r="A1357" s="12">
        <f t="shared" si="109"/>
        <v>1354</v>
      </c>
      <c r="B1357" s="64" t="s">
        <v>10</v>
      </c>
      <c r="C1357" s="54">
        <v>45771</v>
      </c>
      <c r="D1357" s="54">
        <v>45778</v>
      </c>
      <c r="E1357" s="46" t="s">
        <v>32</v>
      </c>
      <c r="F1357" s="51" t="s">
        <v>33</v>
      </c>
      <c r="G1357" s="51" t="s">
        <v>34</v>
      </c>
      <c r="H1357" s="51" t="s">
        <v>32</v>
      </c>
      <c r="I1357" s="55" t="s">
        <v>46</v>
      </c>
      <c r="J1357" s="56">
        <v>1500</v>
      </c>
      <c r="K1357" s="51" t="s">
        <v>295</v>
      </c>
      <c r="L1357" s="58">
        <v>2248500</v>
      </c>
      <c r="M1357" s="50">
        <f>ROUND('FA Addition'!$L1357*5%,0.1)</f>
        <v>112425</v>
      </c>
      <c r="N1357" s="113" t="str">
        <f>_xlfn.XLOOKUP(_xlfn.CONCAT(E1357,B1357),'Year Wise Master Dep Approach'!F:F,'Year Wise Master Dep Approach'!D:D)</f>
        <v>SLM</v>
      </c>
      <c r="O1357" s="113">
        <f>_xlfn.XLOOKUP(_xlfn.CONCAT(E1357,B1357),'Year Wise Master Dep Approach'!F:F,'Year Wise Master Dep Approach'!E:E)</f>
        <v>5</v>
      </c>
      <c r="P1357" s="114">
        <f>IFERROR(IF('FA Addition'!$N1357="WDV",1-('FA Addition'!$M1357/'FA Addition'!$L1357)^(1/'FA Addition'!$O1357),1/'FA Addition'!$O1357),0)</f>
        <v>0.2</v>
      </c>
      <c r="Q1357" s="122">
        <f>'FA Addition'!$P1357*'FA Addition'!$O1357</f>
        <v>1</v>
      </c>
      <c r="R1357" s="122"/>
      <c r="S1357" s="116">
        <f>IF(AND(DATE(20&amp;LEFT(FAAddition[[#This Row],[FY]],2),4,1)&lt;$L$1+1,DATE(20&amp;LEFT(FAAddition[[#This Row],[FY]],2),4,1)&gt;$P$1-1),'FA Addition'!$J1357,0)</f>
        <v>0</v>
      </c>
      <c r="U1357" s="117">
        <f>S1357*'FA Addition'!$L1357/'FA Addition'!$J1357</f>
        <v>0</v>
      </c>
      <c r="W1357" s="116">
        <f>SUMIFS('FA Write off'!D:D,'FA Write off'!A:A,'FA Addition'!$A1357,'FA Write off'!C:C,"&lt;"&amp;'FA Addition'!$P$1)</f>
        <v>0</v>
      </c>
      <c r="Y1357" s="191">
        <f>IFERROR(W1357/'FA Addition'!$J1357*'FA Addition'!$L1357,0)</f>
        <v>0</v>
      </c>
      <c r="AA1357" s="116">
        <f>SUMIFS('FA Write off'!D:D,'FA Write off'!A:A,'FA Addition'!$A1357,'FA Write off'!C:C,"&lt;"&amp;'FA Addition'!$L$1+1,'FA Write off'!C:C,"&gt;"&amp;'FA Addition'!$L$1-365)</f>
        <v>0</v>
      </c>
      <c r="AC1357" s="118">
        <f>IFERROR(AA1357/'FA Addition'!$J1357*'FA Addition'!$L1357,0)</f>
        <v>0</v>
      </c>
      <c r="AE1357" s="117">
        <f>IF(AND('FA Addition'!$D1357&lt;$P$1+1,U1357=0),'FA Addition'!$L1357,0)-Y1357</f>
        <v>0</v>
      </c>
      <c r="AF1357" s="117">
        <f t="shared" si="105"/>
        <v>0</v>
      </c>
      <c r="AG1357" s="117">
        <f>MIN(MAX(+$P$1-'FA Addition'!$D1357,0),365*'FA Addition'!$O1357)</f>
        <v>0</v>
      </c>
      <c r="AH1357" s="117">
        <f>MIN(MAX($L$1-'FA Addition'!$D1357+1,0),365*'FA Addition'!$O1357)</f>
        <v>0</v>
      </c>
      <c r="AI1357" s="117" cm="1">
        <f t="array" ref="AI1357">_xlfn.XLOOKUP(1,('FA Write off'!A:A='FA Addition'!$A1357)*('FA Write off'!D:D=AA1357),'FA Write off'!H:H,0,0)</f>
        <v>0</v>
      </c>
      <c r="AJ1357" s="117">
        <f>IF(AC1357&gt;0,MAX(IF('FA Addition'!$N1357="SLM",($AC1357-'FA Addition'!$M1357)*'FA Addition'!$P1357*AI1357/365,(AC1357-'FA Addition'!$M1357)*(1-(1-'FA Addition'!$P1357)^(AI1357/365))),0),0)</f>
        <v>0</v>
      </c>
      <c r="AL1357" s="117">
        <f>MAX(IF(AG1357&gt;0,IF('FA Addition'!$N1357="SLM",($AE1357-'FA Addition'!$M1357)*'FA Addition'!$P1357*AG1357/365,IFERROR(VDB(AE1357,AE1357*0.05,'FA Addition'!$O1357,0,YEARFRAC('FA Addition'!$C1357,$P$1-1,3),'FA Addition'!$Q1357),FAAddition[[#This Row],[Original Cost (Rs)]]-FAAddition[[#This Row],[Salvage Value]])),0),0)</f>
        <v>0</v>
      </c>
      <c r="AM1357" s="119"/>
      <c r="AN1357" s="117">
        <f>MAX(IF(AH1357&gt;0,IF('FA Addition'!$N1357="SLM",($AF1357-'FA Addition'!$M1357)*'FA Addition'!$P1357*AH1357/365,IFERROR(VDB(AF1357,AF1357*0.05,'FA Addition'!$O1357,0,YEARFRAC('FA Addition'!$C1357,$L$1,3),'FA Addition'!$Q1357),FAAddition[[#This Row],[Original Cost (Rs)]]-FAAddition[[#This Row],[Salvage Value]])),0),0)</f>
        <v>0</v>
      </c>
      <c r="AO1357" s="117">
        <f t="shared" si="108"/>
        <v>0</v>
      </c>
      <c r="AQ1357" s="117">
        <f t="shared" si="106"/>
        <v>0</v>
      </c>
      <c r="AR1357" s="120">
        <f t="shared" si="107"/>
        <v>0</v>
      </c>
      <c r="AS1357" s="121"/>
    </row>
    <row r="1358" spans="1:45" ht="13.5" x14ac:dyDescent="0.4">
      <c r="A1358" s="12">
        <f t="shared" si="109"/>
        <v>1355</v>
      </c>
      <c r="B1358" s="64" t="s">
        <v>10</v>
      </c>
      <c r="C1358" s="54">
        <v>45775</v>
      </c>
      <c r="D1358" s="54">
        <v>45785</v>
      </c>
      <c r="E1358" s="46" t="s">
        <v>32</v>
      </c>
      <c r="F1358" s="51" t="s">
        <v>33</v>
      </c>
      <c r="G1358" s="51" t="s">
        <v>36</v>
      </c>
      <c r="H1358" s="51" t="s">
        <v>32</v>
      </c>
      <c r="I1358" s="55" t="s">
        <v>47</v>
      </c>
      <c r="J1358" s="56">
        <v>1000</v>
      </c>
      <c r="K1358" s="51" t="s">
        <v>296</v>
      </c>
      <c r="L1358" s="58">
        <v>1600000</v>
      </c>
      <c r="M1358" s="50">
        <f>ROUND('FA Addition'!$L1358*5%,0.1)</f>
        <v>80000</v>
      </c>
      <c r="N1358" s="113" t="str">
        <f>_xlfn.XLOOKUP(_xlfn.CONCAT(E1358,B1358),'Year Wise Master Dep Approach'!F:F,'Year Wise Master Dep Approach'!D:D)</f>
        <v>SLM</v>
      </c>
      <c r="O1358" s="113">
        <f>_xlfn.XLOOKUP(_xlfn.CONCAT(E1358,B1358),'Year Wise Master Dep Approach'!F:F,'Year Wise Master Dep Approach'!E:E)</f>
        <v>5</v>
      </c>
      <c r="P1358" s="114">
        <f>IFERROR(IF('FA Addition'!$N1358="WDV",1-('FA Addition'!$M1358/'FA Addition'!$L1358)^(1/'FA Addition'!$O1358),1/'FA Addition'!$O1358),0)</f>
        <v>0.2</v>
      </c>
      <c r="Q1358" s="122">
        <f>'FA Addition'!$P1358*'FA Addition'!$O1358</f>
        <v>1</v>
      </c>
      <c r="R1358" s="122"/>
      <c r="S1358" s="116">
        <f>IF(AND(DATE(20&amp;LEFT(FAAddition[[#This Row],[FY]],2),4,1)&lt;$L$1+1,DATE(20&amp;LEFT(FAAddition[[#This Row],[FY]],2),4,1)&gt;$P$1-1),'FA Addition'!$J1358,0)</f>
        <v>0</v>
      </c>
      <c r="U1358" s="117">
        <f>S1358*'FA Addition'!$L1358/'FA Addition'!$J1358</f>
        <v>0</v>
      </c>
      <c r="W1358" s="116">
        <f>SUMIFS('FA Write off'!D:D,'FA Write off'!A:A,'FA Addition'!$A1358,'FA Write off'!C:C,"&lt;"&amp;'FA Addition'!$P$1)</f>
        <v>0</v>
      </c>
      <c r="Y1358" s="191">
        <f>IFERROR(W1358/'FA Addition'!$J1358*'FA Addition'!$L1358,0)</f>
        <v>0</v>
      </c>
      <c r="AA1358" s="116">
        <f>SUMIFS('FA Write off'!D:D,'FA Write off'!A:A,'FA Addition'!$A1358,'FA Write off'!C:C,"&lt;"&amp;'FA Addition'!$L$1+1,'FA Write off'!C:C,"&gt;"&amp;'FA Addition'!$L$1-365)</f>
        <v>0</v>
      </c>
      <c r="AC1358" s="118">
        <f>IFERROR(AA1358/'FA Addition'!$J1358*'FA Addition'!$L1358,0)</f>
        <v>0</v>
      </c>
      <c r="AE1358" s="117">
        <f>IF(AND('FA Addition'!$D1358&lt;$P$1+1,U1358=0),'FA Addition'!$L1358,0)-Y1358</f>
        <v>0</v>
      </c>
      <c r="AF1358" s="117">
        <f t="shared" si="105"/>
        <v>0</v>
      </c>
      <c r="AG1358" s="117">
        <f>MIN(MAX(+$P$1-'FA Addition'!$D1358,0),365*'FA Addition'!$O1358)</f>
        <v>0</v>
      </c>
      <c r="AH1358" s="117">
        <f>MIN(MAX($L$1-'FA Addition'!$D1358+1,0),365*'FA Addition'!$O1358)</f>
        <v>0</v>
      </c>
      <c r="AI1358" s="117" cm="1">
        <f t="array" ref="AI1358">_xlfn.XLOOKUP(1,('FA Write off'!A:A='FA Addition'!$A1358)*('FA Write off'!D:D=AA1358),'FA Write off'!H:H,0,0)</f>
        <v>0</v>
      </c>
      <c r="AJ1358" s="117">
        <f>IF(AC1358&gt;0,MAX(IF('FA Addition'!$N1358="SLM",($AC1358-'FA Addition'!$M1358)*'FA Addition'!$P1358*AI1358/365,(AC1358-'FA Addition'!$M1358)*(1-(1-'FA Addition'!$P1358)^(AI1358/365))),0),0)</f>
        <v>0</v>
      </c>
      <c r="AL1358" s="117">
        <f>MAX(IF(AG1358&gt;0,IF('FA Addition'!$N1358="SLM",($AE1358-'FA Addition'!$M1358)*'FA Addition'!$P1358*AG1358/365,IFERROR(VDB(AE1358,AE1358*0.05,'FA Addition'!$O1358,0,YEARFRAC('FA Addition'!$C1358,$P$1-1,3),'FA Addition'!$Q1358),FAAddition[[#This Row],[Original Cost (Rs)]]-FAAddition[[#This Row],[Salvage Value]])),0),0)</f>
        <v>0</v>
      </c>
      <c r="AM1358" s="119"/>
      <c r="AN1358" s="117">
        <f>MAX(IF(AH1358&gt;0,IF('FA Addition'!$N1358="SLM",($AF1358-'FA Addition'!$M1358)*'FA Addition'!$P1358*AH1358/365,IFERROR(VDB(AF1358,AF1358*0.05,'FA Addition'!$O1358,0,YEARFRAC('FA Addition'!$C1358,$L$1,3),'FA Addition'!$Q1358),FAAddition[[#This Row],[Original Cost (Rs)]]-FAAddition[[#This Row],[Salvage Value]])),0),0)</f>
        <v>0</v>
      </c>
      <c r="AO1358" s="117">
        <f t="shared" si="108"/>
        <v>0</v>
      </c>
      <c r="AQ1358" s="117">
        <f t="shared" si="106"/>
        <v>0</v>
      </c>
      <c r="AR1358" s="120">
        <f t="shared" si="107"/>
        <v>0</v>
      </c>
      <c r="AS1358" s="121"/>
    </row>
    <row r="1359" spans="1:45" ht="13.5" x14ac:dyDescent="0.4">
      <c r="A1359" s="12">
        <f t="shared" si="109"/>
        <v>1356</v>
      </c>
      <c r="B1359" s="64" t="s">
        <v>10</v>
      </c>
      <c r="C1359" s="54">
        <v>45793</v>
      </c>
      <c r="D1359" s="54">
        <v>45793</v>
      </c>
      <c r="E1359" s="46" t="s">
        <v>32</v>
      </c>
      <c r="F1359" s="51" t="s">
        <v>33</v>
      </c>
      <c r="G1359" s="51" t="s">
        <v>36</v>
      </c>
      <c r="H1359" s="51" t="s">
        <v>32</v>
      </c>
      <c r="I1359" s="55" t="s">
        <v>48</v>
      </c>
      <c r="J1359" s="56">
        <v>1000</v>
      </c>
      <c r="K1359" s="51" t="s">
        <v>296</v>
      </c>
      <c r="L1359" s="58">
        <v>1600000</v>
      </c>
      <c r="M1359" s="50">
        <f>ROUND('FA Addition'!$L1359*5%,0.1)</f>
        <v>80000</v>
      </c>
      <c r="N1359" s="113" t="str">
        <f>_xlfn.XLOOKUP(_xlfn.CONCAT(E1359,B1359),'Year Wise Master Dep Approach'!F:F,'Year Wise Master Dep Approach'!D:D)</f>
        <v>SLM</v>
      </c>
      <c r="O1359" s="113">
        <f>_xlfn.XLOOKUP(_xlfn.CONCAT(E1359,B1359),'Year Wise Master Dep Approach'!F:F,'Year Wise Master Dep Approach'!E:E)</f>
        <v>5</v>
      </c>
      <c r="P1359" s="114">
        <f>IFERROR(IF('FA Addition'!$N1359="WDV",1-('FA Addition'!$M1359/'FA Addition'!$L1359)^(1/'FA Addition'!$O1359),1/'FA Addition'!$O1359),0)</f>
        <v>0.2</v>
      </c>
      <c r="Q1359" s="122">
        <f>'FA Addition'!$P1359*'FA Addition'!$O1359</f>
        <v>1</v>
      </c>
      <c r="R1359" s="122"/>
      <c r="S1359" s="116">
        <f>IF(AND(DATE(20&amp;LEFT(FAAddition[[#This Row],[FY]],2),4,1)&lt;$L$1+1,DATE(20&amp;LEFT(FAAddition[[#This Row],[FY]],2),4,1)&gt;$P$1-1),'FA Addition'!$J1359,0)</f>
        <v>0</v>
      </c>
      <c r="U1359" s="117">
        <f>S1359*'FA Addition'!$L1359/'FA Addition'!$J1359</f>
        <v>0</v>
      </c>
      <c r="W1359" s="116">
        <f>SUMIFS('FA Write off'!D:D,'FA Write off'!A:A,'FA Addition'!$A1359,'FA Write off'!C:C,"&lt;"&amp;'FA Addition'!$P$1)</f>
        <v>0</v>
      </c>
      <c r="Y1359" s="191">
        <f>IFERROR(W1359/'FA Addition'!$J1359*'FA Addition'!$L1359,0)</f>
        <v>0</v>
      </c>
      <c r="AA1359" s="116">
        <f>SUMIFS('FA Write off'!D:D,'FA Write off'!A:A,'FA Addition'!$A1359,'FA Write off'!C:C,"&lt;"&amp;'FA Addition'!$L$1+1,'FA Write off'!C:C,"&gt;"&amp;'FA Addition'!$L$1-365)</f>
        <v>0</v>
      </c>
      <c r="AC1359" s="118">
        <f>IFERROR(AA1359/'FA Addition'!$J1359*'FA Addition'!$L1359,0)</f>
        <v>0</v>
      </c>
      <c r="AE1359" s="117">
        <f>IF(AND('FA Addition'!$D1359&lt;$P$1+1,U1359=0),'FA Addition'!$L1359,0)-Y1359</f>
        <v>0</v>
      </c>
      <c r="AF1359" s="117">
        <f t="shared" si="105"/>
        <v>0</v>
      </c>
      <c r="AG1359" s="117">
        <f>MIN(MAX(+$P$1-'FA Addition'!$D1359,0),365*'FA Addition'!$O1359)</f>
        <v>0</v>
      </c>
      <c r="AH1359" s="117">
        <f>MIN(MAX($L$1-'FA Addition'!$D1359+1,0),365*'FA Addition'!$O1359)</f>
        <v>0</v>
      </c>
      <c r="AI1359" s="117" cm="1">
        <f t="array" ref="AI1359">_xlfn.XLOOKUP(1,('FA Write off'!A:A='FA Addition'!$A1359)*('FA Write off'!D:D=AA1359),'FA Write off'!H:H,0,0)</f>
        <v>0</v>
      </c>
      <c r="AJ1359" s="117">
        <f>IF(AC1359&gt;0,MAX(IF('FA Addition'!$N1359="SLM",($AC1359-'FA Addition'!$M1359)*'FA Addition'!$P1359*AI1359/365,(AC1359-'FA Addition'!$M1359)*(1-(1-'FA Addition'!$P1359)^(AI1359/365))),0),0)</f>
        <v>0</v>
      </c>
      <c r="AL1359" s="117">
        <f>MAX(IF(AG1359&gt;0,IF('FA Addition'!$N1359="SLM",($AE1359-'FA Addition'!$M1359)*'FA Addition'!$P1359*AG1359/365,IFERROR(VDB(AE1359,AE1359*0.05,'FA Addition'!$O1359,0,YEARFRAC('FA Addition'!$C1359,$P$1-1,3),'FA Addition'!$Q1359),FAAddition[[#This Row],[Original Cost (Rs)]]-FAAddition[[#This Row],[Salvage Value]])),0),0)</f>
        <v>0</v>
      </c>
      <c r="AM1359" s="119"/>
      <c r="AN1359" s="117">
        <f>MAX(IF(AH1359&gt;0,IF('FA Addition'!$N1359="SLM",($AF1359-'FA Addition'!$M1359)*'FA Addition'!$P1359*AH1359/365,IFERROR(VDB(AF1359,AF1359*0.05,'FA Addition'!$O1359,0,YEARFRAC('FA Addition'!$C1359,$L$1,3),'FA Addition'!$Q1359),FAAddition[[#This Row],[Original Cost (Rs)]]-FAAddition[[#This Row],[Salvage Value]])),0),0)</f>
        <v>0</v>
      </c>
      <c r="AO1359" s="117">
        <f t="shared" si="108"/>
        <v>0</v>
      </c>
      <c r="AQ1359" s="117">
        <f t="shared" si="106"/>
        <v>0</v>
      </c>
      <c r="AR1359" s="120">
        <f t="shared" si="107"/>
        <v>0</v>
      </c>
      <c r="AS1359" s="121"/>
    </row>
    <row r="1360" spans="1:45" ht="13.5" x14ac:dyDescent="0.4">
      <c r="A1360" s="12">
        <f t="shared" si="109"/>
        <v>1357</v>
      </c>
      <c r="B1360" s="64" t="s">
        <v>10</v>
      </c>
      <c r="C1360" s="54">
        <v>45799</v>
      </c>
      <c r="D1360" s="54">
        <v>45799</v>
      </c>
      <c r="E1360" s="46" t="s">
        <v>32</v>
      </c>
      <c r="F1360" s="51" t="s">
        <v>33</v>
      </c>
      <c r="G1360" s="51" t="s">
        <v>36</v>
      </c>
      <c r="H1360" s="51" t="s">
        <v>32</v>
      </c>
      <c r="I1360" s="55" t="s">
        <v>49</v>
      </c>
      <c r="J1360" s="56">
        <v>500</v>
      </c>
      <c r="K1360" s="51" t="s">
        <v>296</v>
      </c>
      <c r="L1360" s="58">
        <v>800000</v>
      </c>
      <c r="M1360" s="50">
        <f>ROUND('FA Addition'!$L1360*5%,0.1)</f>
        <v>40000</v>
      </c>
      <c r="N1360" s="113" t="str">
        <f>_xlfn.XLOOKUP(_xlfn.CONCAT(E1360,B1360),'Year Wise Master Dep Approach'!F:F,'Year Wise Master Dep Approach'!D:D)</f>
        <v>SLM</v>
      </c>
      <c r="O1360" s="113">
        <f>_xlfn.XLOOKUP(_xlfn.CONCAT(E1360,B1360),'Year Wise Master Dep Approach'!F:F,'Year Wise Master Dep Approach'!E:E)</f>
        <v>5</v>
      </c>
      <c r="P1360" s="114">
        <f>IFERROR(IF('FA Addition'!$N1360="WDV",1-('FA Addition'!$M1360/'FA Addition'!$L1360)^(1/'FA Addition'!$O1360),1/'FA Addition'!$O1360),0)</f>
        <v>0.2</v>
      </c>
      <c r="Q1360" s="122">
        <f>'FA Addition'!$P1360*'FA Addition'!$O1360</f>
        <v>1</v>
      </c>
      <c r="R1360" s="122"/>
      <c r="S1360" s="116">
        <f>IF(AND(DATE(20&amp;LEFT(FAAddition[[#This Row],[FY]],2),4,1)&lt;$L$1+1,DATE(20&amp;LEFT(FAAddition[[#This Row],[FY]],2),4,1)&gt;$P$1-1),'FA Addition'!$J1360,0)</f>
        <v>0</v>
      </c>
      <c r="U1360" s="117">
        <f>S1360*'FA Addition'!$L1360/'FA Addition'!$J1360</f>
        <v>0</v>
      </c>
      <c r="W1360" s="116">
        <f>SUMIFS('FA Write off'!D:D,'FA Write off'!A:A,'FA Addition'!$A1360,'FA Write off'!C:C,"&lt;"&amp;'FA Addition'!$P$1)</f>
        <v>0</v>
      </c>
      <c r="Y1360" s="191">
        <f>IFERROR(W1360/'FA Addition'!$J1360*'FA Addition'!$L1360,0)</f>
        <v>0</v>
      </c>
      <c r="AA1360" s="116">
        <f>SUMIFS('FA Write off'!D:D,'FA Write off'!A:A,'FA Addition'!$A1360,'FA Write off'!C:C,"&lt;"&amp;'FA Addition'!$L$1+1,'FA Write off'!C:C,"&gt;"&amp;'FA Addition'!$L$1-365)</f>
        <v>0</v>
      </c>
      <c r="AC1360" s="118">
        <f>IFERROR(AA1360/'FA Addition'!$J1360*'FA Addition'!$L1360,0)</f>
        <v>0</v>
      </c>
      <c r="AE1360" s="117">
        <f>IF(AND('FA Addition'!$D1360&lt;$P$1+1,U1360=0),'FA Addition'!$L1360,0)-Y1360</f>
        <v>0</v>
      </c>
      <c r="AF1360" s="117">
        <f t="shared" si="105"/>
        <v>0</v>
      </c>
      <c r="AG1360" s="117">
        <f>MIN(MAX(+$P$1-'FA Addition'!$D1360,0),365*'FA Addition'!$O1360)</f>
        <v>0</v>
      </c>
      <c r="AH1360" s="117">
        <f>MIN(MAX($L$1-'FA Addition'!$D1360+1,0),365*'FA Addition'!$O1360)</f>
        <v>0</v>
      </c>
      <c r="AI1360" s="117" cm="1">
        <f t="array" ref="AI1360">_xlfn.XLOOKUP(1,('FA Write off'!A:A='FA Addition'!$A1360)*('FA Write off'!D:D=AA1360),'FA Write off'!H:H,0,0)</f>
        <v>0</v>
      </c>
      <c r="AJ1360" s="117">
        <f>IF(AC1360&gt;0,MAX(IF('FA Addition'!$N1360="SLM",($AC1360-'FA Addition'!$M1360)*'FA Addition'!$P1360*AI1360/365,(AC1360-'FA Addition'!$M1360)*(1-(1-'FA Addition'!$P1360)^(AI1360/365))),0),0)</f>
        <v>0</v>
      </c>
      <c r="AL1360" s="117">
        <f>MAX(IF(AG1360&gt;0,IF('FA Addition'!$N1360="SLM",($AE1360-'FA Addition'!$M1360)*'FA Addition'!$P1360*AG1360/365,IFERROR(VDB(AE1360,AE1360*0.05,'FA Addition'!$O1360,0,YEARFRAC('FA Addition'!$C1360,$P$1-1,3),'FA Addition'!$Q1360),FAAddition[[#This Row],[Original Cost (Rs)]]-FAAddition[[#This Row],[Salvage Value]])),0),0)</f>
        <v>0</v>
      </c>
      <c r="AM1360" s="119"/>
      <c r="AN1360" s="117">
        <f>MAX(IF(AH1360&gt;0,IF('FA Addition'!$N1360="SLM",($AF1360-'FA Addition'!$M1360)*'FA Addition'!$P1360*AH1360/365,IFERROR(VDB(AF1360,AF1360*0.05,'FA Addition'!$O1360,0,YEARFRAC('FA Addition'!$C1360,$L$1,3),'FA Addition'!$Q1360),FAAddition[[#This Row],[Original Cost (Rs)]]-FAAddition[[#This Row],[Salvage Value]])),0),0)</f>
        <v>0</v>
      </c>
      <c r="AO1360" s="117">
        <f t="shared" si="108"/>
        <v>0</v>
      </c>
      <c r="AQ1360" s="117">
        <f t="shared" si="106"/>
        <v>0</v>
      </c>
      <c r="AR1360" s="120">
        <f t="shared" si="107"/>
        <v>0</v>
      </c>
      <c r="AS1360" s="121"/>
    </row>
    <row r="1361" spans="1:45" ht="13.5" x14ac:dyDescent="0.4">
      <c r="A1361" s="12">
        <f t="shared" si="109"/>
        <v>1358</v>
      </c>
      <c r="B1361" s="64" t="s">
        <v>10</v>
      </c>
      <c r="C1361" s="54">
        <v>45791</v>
      </c>
      <c r="D1361" s="54">
        <v>45807</v>
      </c>
      <c r="E1361" s="46" t="s">
        <v>32</v>
      </c>
      <c r="F1361" s="51" t="s">
        <v>33</v>
      </c>
      <c r="G1361" s="51" t="s">
        <v>34</v>
      </c>
      <c r="H1361" s="51" t="s">
        <v>32</v>
      </c>
      <c r="I1361" s="55" t="s">
        <v>50</v>
      </c>
      <c r="J1361" s="56">
        <v>1000</v>
      </c>
      <c r="K1361" s="51" t="s">
        <v>295</v>
      </c>
      <c r="L1361" s="58">
        <v>1499000</v>
      </c>
      <c r="M1361" s="50">
        <f>ROUND('FA Addition'!$L1361*5%,0.1)</f>
        <v>74950</v>
      </c>
      <c r="N1361" s="113" t="str">
        <f>_xlfn.XLOOKUP(_xlfn.CONCAT(E1361,B1361),'Year Wise Master Dep Approach'!F:F,'Year Wise Master Dep Approach'!D:D)</f>
        <v>SLM</v>
      </c>
      <c r="O1361" s="113">
        <f>_xlfn.XLOOKUP(_xlfn.CONCAT(E1361,B1361),'Year Wise Master Dep Approach'!F:F,'Year Wise Master Dep Approach'!E:E)</f>
        <v>5</v>
      </c>
      <c r="P1361" s="114">
        <f>IFERROR(IF('FA Addition'!$N1361="WDV",1-('FA Addition'!$M1361/'FA Addition'!$L1361)^(1/'FA Addition'!$O1361),1/'FA Addition'!$O1361),0)</f>
        <v>0.2</v>
      </c>
      <c r="Q1361" s="122">
        <f>'FA Addition'!$P1361*'FA Addition'!$O1361</f>
        <v>1</v>
      </c>
      <c r="R1361" s="122"/>
      <c r="S1361" s="116">
        <f>IF(AND(DATE(20&amp;LEFT(FAAddition[[#This Row],[FY]],2),4,1)&lt;$L$1+1,DATE(20&amp;LEFT(FAAddition[[#This Row],[FY]],2),4,1)&gt;$P$1-1),'FA Addition'!$J1361,0)</f>
        <v>0</v>
      </c>
      <c r="U1361" s="117">
        <f>S1361*'FA Addition'!$L1361/'FA Addition'!$J1361</f>
        <v>0</v>
      </c>
      <c r="W1361" s="116">
        <f>SUMIFS('FA Write off'!D:D,'FA Write off'!A:A,'FA Addition'!$A1361,'FA Write off'!C:C,"&lt;"&amp;'FA Addition'!$P$1)</f>
        <v>0</v>
      </c>
      <c r="Y1361" s="191">
        <f>IFERROR(W1361/'FA Addition'!$J1361*'FA Addition'!$L1361,0)</f>
        <v>0</v>
      </c>
      <c r="AA1361" s="116">
        <f>SUMIFS('FA Write off'!D:D,'FA Write off'!A:A,'FA Addition'!$A1361,'FA Write off'!C:C,"&lt;"&amp;'FA Addition'!$L$1+1,'FA Write off'!C:C,"&gt;"&amp;'FA Addition'!$L$1-365)</f>
        <v>0</v>
      </c>
      <c r="AC1361" s="118">
        <f>IFERROR(AA1361/'FA Addition'!$J1361*'FA Addition'!$L1361,0)</f>
        <v>0</v>
      </c>
      <c r="AE1361" s="117">
        <f>IF(AND('FA Addition'!$D1361&lt;$P$1+1,U1361=0),'FA Addition'!$L1361,0)-Y1361</f>
        <v>0</v>
      </c>
      <c r="AF1361" s="117">
        <f t="shared" si="105"/>
        <v>0</v>
      </c>
      <c r="AG1361" s="117">
        <f>MIN(MAX(+$P$1-'FA Addition'!$D1361,0),365*'FA Addition'!$O1361)</f>
        <v>0</v>
      </c>
      <c r="AH1361" s="117">
        <f>MIN(MAX($L$1-'FA Addition'!$D1361+1,0),365*'FA Addition'!$O1361)</f>
        <v>0</v>
      </c>
      <c r="AI1361" s="117" cm="1">
        <f t="array" ref="AI1361">_xlfn.XLOOKUP(1,('FA Write off'!A:A='FA Addition'!$A1361)*('FA Write off'!D:D=AA1361),'FA Write off'!H:H,0,0)</f>
        <v>0</v>
      </c>
      <c r="AJ1361" s="117">
        <f>IF(AC1361&gt;0,MAX(IF('FA Addition'!$N1361="SLM",($AC1361-'FA Addition'!$M1361)*'FA Addition'!$P1361*AI1361/365,(AC1361-'FA Addition'!$M1361)*(1-(1-'FA Addition'!$P1361)^(AI1361/365))),0),0)</f>
        <v>0</v>
      </c>
      <c r="AL1361" s="117">
        <f>MAX(IF(AG1361&gt;0,IF('FA Addition'!$N1361="SLM",($AE1361-'FA Addition'!$M1361)*'FA Addition'!$P1361*AG1361/365,IFERROR(VDB(AE1361,AE1361*0.05,'FA Addition'!$O1361,0,YEARFRAC('FA Addition'!$C1361,$P$1-1,3),'FA Addition'!$Q1361),FAAddition[[#This Row],[Original Cost (Rs)]]-FAAddition[[#This Row],[Salvage Value]])),0),0)</f>
        <v>0</v>
      </c>
      <c r="AM1361" s="119"/>
      <c r="AN1361" s="117">
        <f>MAX(IF(AH1361&gt;0,IF('FA Addition'!$N1361="SLM",($AF1361-'FA Addition'!$M1361)*'FA Addition'!$P1361*AH1361/365,IFERROR(VDB(AF1361,AF1361*0.05,'FA Addition'!$O1361,0,YEARFRAC('FA Addition'!$C1361,$L$1,3),'FA Addition'!$Q1361),FAAddition[[#This Row],[Original Cost (Rs)]]-FAAddition[[#This Row],[Salvage Value]])),0),0)</f>
        <v>0</v>
      </c>
      <c r="AO1361" s="117">
        <f t="shared" si="108"/>
        <v>0</v>
      </c>
      <c r="AQ1361" s="117">
        <f t="shared" si="106"/>
        <v>0</v>
      </c>
      <c r="AR1361" s="120">
        <f t="shared" si="107"/>
        <v>0</v>
      </c>
      <c r="AS1361" s="121"/>
    </row>
    <row r="1362" spans="1:45" ht="13.5" x14ac:dyDescent="0.4">
      <c r="A1362" s="12">
        <f t="shared" si="109"/>
        <v>1359</v>
      </c>
      <c r="B1362" s="64" t="s">
        <v>10</v>
      </c>
      <c r="C1362" s="54">
        <v>45794</v>
      </c>
      <c r="D1362" s="54">
        <v>45807</v>
      </c>
      <c r="E1362" s="46" t="s">
        <v>32</v>
      </c>
      <c r="F1362" s="51" t="s">
        <v>33</v>
      </c>
      <c r="G1362" s="51" t="s">
        <v>34</v>
      </c>
      <c r="H1362" s="51" t="s">
        <v>32</v>
      </c>
      <c r="I1362" s="55" t="s">
        <v>51</v>
      </c>
      <c r="J1362" s="56">
        <v>1000</v>
      </c>
      <c r="K1362" s="51" t="s">
        <v>295</v>
      </c>
      <c r="L1362" s="58">
        <v>1499000</v>
      </c>
      <c r="M1362" s="50">
        <f>ROUND('FA Addition'!$L1362*5%,0.1)</f>
        <v>74950</v>
      </c>
      <c r="N1362" s="113" t="str">
        <f>_xlfn.XLOOKUP(_xlfn.CONCAT(E1362,B1362),'Year Wise Master Dep Approach'!F:F,'Year Wise Master Dep Approach'!D:D)</f>
        <v>SLM</v>
      </c>
      <c r="O1362" s="113">
        <f>_xlfn.XLOOKUP(_xlfn.CONCAT(E1362,B1362),'Year Wise Master Dep Approach'!F:F,'Year Wise Master Dep Approach'!E:E)</f>
        <v>5</v>
      </c>
      <c r="P1362" s="114">
        <f>IFERROR(IF('FA Addition'!$N1362="WDV",1-('FA Addition'!$M1362/'FA Addition'!$L1362)^(1/'FA Addition'!$O1362),1/'FA Addition'!$O1362),0)</f>
        <v>0.2</v>
      </c>
      <c r="Q1362" s="122">
        <f>'FA Addition'!$P1362*'FA Addition'!$O1362</f>
        <v>1</v>
      </c>
      <c r="R1362" s="122"/>
      <c r="S1362" s="116">
        <f>IF(AND(DATE(20&amp;LEFT(FAAddition[[#This Row],[FY]],2),4,1)&lt;$L$1+1,DATE(20&amp;LEFT(FAAddition[[#This Row],[FY]],2),4,1)&gt;$P$1-1),'FA Addition'!$J1362,0)</f>
        <v>0</v>
      </c>
      <c r="U1362" s="117">
        <f>S1362*'FA Addition'!$L1362/'FA Addition'!$J1362</f>
        <v>0</v>
      </c>
      <c r="W1362" s="116">
        <f>SUMIFS('FA Write off'!D:D,'FA Write off'!A:A,'FA Addition'!$A1362,'FA Write off'!C:C,"&lt;"&amp;'FA Addition'!$P$1)</f>
        <v>0</v>
      </c>
      <c r="Y1362" s="191">
        <f>IFERROR(W1362/'FA Addition'!$J1362*'FA Addition'!$L1362,0)</f>
        <v>0</v>
      </c>
      <c r="AA1362" s="116">
        <f>SUMIFS('FA Write off'!D:D,'FA Write off'!A:A,'FA Addition'!$A1362,'FA Write off'!C:C,"&lt;"&amp;'FA Addition'!$L$1+1,'FA Write off'!C:C,"&gt;"&amp;'FA Addition'!$L$1-365)</f>
        <v>0</v>
      </c>
      <c r="AC1362" s="118">
        <f>IFERROR(AA1362/'FA Addition'!$J1362*'FA Addition'!$L1362,0)</f>
        <v>0</v>
      </c>
      <c r="AE1362" s="117">
        <f>IF(AND('FA Addition'!$D1362&lt;$P$1+1,U1362=0),'FA Addition'!$L1362,0)-Y1362</f>
        <v>0</v>
      </c>
      <c r="AF1362" s="117">
        <f t="shared" si="105"/>
        <v>0</v>
      </c>
      <c r="AG1362" s="117">
        <f>MIN(MAX(+$P$1-'FA Addition'!$D1362,0),365*'FA Addition'!$O1362)</f>
        <v>0</v>
      </c>
      <c r="AH1362" s="117">
        <f>MIN(MAX($L$1-'FA Addition'!$D1362+1,0),365*'FA Addition'!$O1362)</f>
        <v>0</v>
      </c>
      <c r="AI1362" s="117" cm="1">
        <f t="array" ref="AI1362">_xlfn.XLOOKUP(1,('FA Write off'!A:A='FA Addition'!$A1362)*('FA Write off'!D:D=AA1362),'FA Write off'!H:H,0,0)</f>
        <v>0</v>
      </c>
      <c r="AJ1362" s="117">
        <f>IF(AC1362&gt;0,MAX(IF('FA Addition'!$N1362="SLM",($AC1362-'FA Addition'!$M1362)*'FA Addition'!$P1362*AI1362/365,(AC1362-'FA Addition'!$M1362)*(1-(1-'FA Addition'!$P1362)^(AI1362/365))),0),0)</f>
        <v>0</v>
      </c>
      <c r="AL1362" s="117">
        <f>MAX(IF(AG1362&gt;0,IF('FA Addition'!$N1362="SLM",($AE1362-'FA Addition'!$M1362)*'FA Addition'!$P1362*AG1362/365,IFERROR(VDB(AE1362,AE1362*0.05,'FA Addition'!$O1362,0,YEARFRAC('FA Addition'!$C1362,$P$1-1,3),'FA Addition'!$Q1362),FAAddition[[#This Row],[Original Cost (Rs)]]-FAAddition[[#This Row],[Salvage Value]])),0),0)</f>
        <v>0</v>
      </c>
      <c r="AM1362" s="119"/>
      <c r="AN1362" s="117">
        <f>MAX(IF(AH1362&gt;0,IF('FA Addition'!$N1362="SLM",($AF1362-'FA Addition'!$M1362)*'FA Addition'!$P1362*AH1362/365,IFERROR(VDB(AF1362,AF1362*0.05,'FA Addition'!$O1362,0,YEARFRAC('FA Addition'!$C1362,$L$1,3),'FA Addition'!$Q1362),FAAddition[[#This Row],[Original Cost (Rs)]]-FAAddition[[#This Row],[Salvage Value]])),0),0)</f>
        <v>0</v>
      </c>
      <c r="AO1362" s="117">
        <f t="shared" si="108"/>
        <v>0</v>
      </c>
      <c r="AQ1362" s="117">
        <f t="shared" si="106"/>
        <v>0</v>
      </c>
      <c r="AR1362" s="120">
        <f t="shared" si="107"/>
        <v>0</v>
      </c>
      <c r="AS1362" s="121"/>
    </row>
    <row r="1363" spans="1:45" ht="13.5" x14ac:dyDescent="0.4">
      <c r="A1363" s="12">
        <f t="shared" si="109"/>
        <v>1360</v>
      </c>
      <c r="B1363" s="64" t="s">
        <v>10</v>
      </c>
      <c r="C1363" s="54">
        <v>45880</v>
      </c>
      <c r="D1363" s="54">
        <v>45880</v>
      </c>
      <c r="E1363" s="46" t="s">
        <v>32</v>
      </c>
      <c r="F1363" s="51" t="s">
        <v>27</v>
      </c>
      <c r="G1363" s="51" t="s">
        <v>29</v>
      </c>
      <c r="H1363" s="51" t="s">
        <v>26</v>
      </c>
      <c r="I1363" s="55" t="s">
        <v>52</v>
      </c>
      <c r="J1363" s="56">
        <v>1000</v>
      </c>
      <c r="K1363" s="51" t="s">
        <v>297</v>
      </c>
      <c r="L1363" s="58">
        <v>67000</v>
      </c>
      <c r="M1363" s="50">
        <f>ROUND('FA Addition'!$L1363*5%,0.1)</f>
        <v>3350</v>
      </c>
      <c r="N1363" s="113" t="str">
        <f>_xlfn.XLOOKUP(_xlfn.CONCAT(E1363,B1363),'Year Wise Master Dep Approach'!F:F,'Year Wise Master Dep Approach'!D:D)</f>
        <v>SLM</v>
      </c>
      <c r="O1363" s="113">
        <f>_xlfn.XLOOKUP(_xlfn.CONCAT(E1363,B1363),'Year Wise Master Dep Approach'!F:F,'Year Wise Master Dep Approach'!E:E)</f>
        <v>5</v>
      </c>
      <c r="P1363" s="114">
        <f>IFERROR(IF('FA Addition'!$N1363="WDV",1-('FA Addition'!$M1363/'FA Addition'!$L1363)^(1/'FA Addition'!$O1363),1/'FA Addition'!$O1363),0)</f>
        <v>0.2</v>
      </c>
      <c r="Q1363" s="122">
        <f>'FA Addition'!$P1363*'FA Addition'!$O1363</f>
        <v>1</v>
      </c>
      <c r="R1363" s="122"/>
      <c r="S1363" s="116">
        <f>IF(AND(DATE(20&amp;LEFT(FAAddition[[#This Row],[FY]],2),4,1)&lt;$L$1+1,DATE(20&amp;LEFT(FAAddition[[#This Row],[FY]],2),4,1)&gt;$P$1-1),'FA Addition'!$J1363,0)</f>
        <v>0</v>
      </c>
      <c r="U1363" s="117">
        <f>S1363*'FA Addition'!$L1363/'FA Addition'!$J1363</f>
        <v>0</v>
      </c>
      <c r="W1363" s="116">
        <f>SUMIFS('FA Write off'!D:D,'FA Write off'!A:A,'FA Addition'!$A1363,'FA Write off'!C:C,"&lt;"&amp;'FA Addition'!$P$1)</f>
        <v>0</v>
      </c>
      <c r="Y1363" s="191">
        <f>IFERROR(W1363/'FA Addition'!$J1363*'FA Addition'!$L1363,0)</f>
        <v>0</v>
      </c>
      <c r="AA1363" s="116">
        <f>SUMIFS('FA Write off'!D:D,'FA Write off'!A:A,'FA Addition'!$A1363,'FA Write off'!C:C,"&lt;"&amp;'FA Addition'!$L$1+1,'FA Write off'!C:C,"&gt;"&amp;'FA Addition'!$L$1-365)</f>
        <v>0</v>
      </c>
      <c r="AC1363" s="118">
        <f>IFERROR(AA1363/'FA Addition'!$J1363*'FA Addition'!$L1363,0)</f>
        <v>0</v>
      </c>
      <c r="AE1363" s="117">
        <f>IF(AND('FA Addition'!$D1363&lt;$P$1+1,U1363=0),'FA Addition'!$L1363,0)-Y1363</f>
        <v>0</v>
      </c>
      <c r="AF1363" s="117">
        <f t="shared" si="105"/>
        <v>0</v>
      </c>
      <c r="AG1363" s="117">
        <f>MIN(MAX(+$P$1-'FA Addition'!$D1363,0),365*'FA Addition'!$O1363)</f>
        <v>0</v>
      </c>
      <c r="AH1363" s="117">
        <f>MIN(MAX($L$1-'FA Addition'!$D1363+1,0),365*'FA Addition'!$O1363)</f>
        <v>0</v>
      </c>
      <c r="AI1363" s="117" cm="1">
        <f t="array" ref="AI1363">_xlfn.XLOOKUP(1,('FA Write off'!A:A='FA Addition'!$A1363)*('FA Write off'!D:D=AA1363),'FA Write off'!H:H,0,0)</f>
        <v>0</v>
      </c>
      <c r="AJ1363" s="117">
        <f>IF(AC1363&gt;0,MAX(IF('FA Addition'!$N1363="SLM",($AC1363-'FA Addition'!$M1363)*'FA Addition'!$P1363*AI1363/365,(AC1363-'FA Addition'!$M1363)*(1-(1-'FA Addition'!$P1363)^(AI1363/365))),0),0)</f>
        <v>0</v>
      </c>
      <c r="AL1363" s="117">
        <f>MAX(IF(AG1363&gt;0,IF('FA Addition'!$N1363="SLM",($AE1363-'FA Addition'!$M1363)*'FA Addition'!$P1363*AG1363/365,IFERROR(VDB(AE1363,AE1363*0.05,'FA Addition'!$O1363,0,YEARFRAC('FA Addition'!$C1363,$P$1-1,3),'FA Addition'!$Q1363),FAAddition[[#This Row],[Original Cost (Rs)]]-FAAddition[[#This Row],[Salvage Value]])),0),0)</f>
        <v>0</v>
      </c>
      <c r="AM1363" s="119"/>
      <c r="AN1363" s="117">
        <f>MAX(IF(AH1363&gt;0,IF('FA Addition'!$N1363="SLM",($AF1363-'FA Addition'!$M1363)*'FA Addition'!$P1363*AH1363/365,IFERROR(VDB(AF1363,AF1363*0.05,'FA Addition'!$O1363,0,YEARFRAC('FA Addition'!$C1363,$L$1,3),'FA Addition'!$Q1363),FAAddition[[#This Row],[Original Cost (Rs)]]-FAAddition[[#This Row],[Salvage Value]])),0),0)</f>
        <v>0</v>
      </c>
      <c r="AO1363" s="117">
        <f t="shared" si="108"/>
        <v>0</v>
      </c>
      <c r="AQ1363" s="117">
        <f t="shared" si="106"/>
        <v>0</v>
      </c>
      <c r="AR1363" s="120">
        <f t="shared" si="107"/>
        <v>0</v>
      </c>
      <c r="AS1363" s="121"/>
    </row>
    <row r="1364" spans="1:45" ht="13.5" x14ac:dyDescent="0.4">
      <c r="A1364" s="12">
        <f t="shared" si="109"/>
        <v>1361</v>
      </c>
      <c r="B1364" s="64" t="s">
        <v>10</v>
      </c>
      <c r="C1364" s="54">
        <v>45885</v>
      </c>
      <c r="D1364" s="54">
        <v>45888</v>
      </c>
      <c r="E1364" s="46" t="s">
        <v>32</v>
      </c>
      <c r="F1364" s="51" t="s">
        <v>27</v>
      </c>
      <c r="G1364" s="51" t="s">
        <v>29</v>
      </c>
      <c r="H1364" s="51" t="s">
        <v>26</v>
      </c>
      <c r="I1364" s="55" t="s">
        <v>53</v>
      </c>
      <c r="J1364" s="56">
        <v>1000</v>
      </c>
      <c r="K1364" s="51" t="s">
        <v>297</v>
      </c>
      <c r="L1364" s="58">
        <v>67000</v>
      </c>
      <c r="M1364" s="50">
        <f>ROUND('FA Addition'!$L1364*5%,0.1)</f>
        <v>3350</v>
      </c>
      <c r="N1364" s="113" t="str">
        <f>_xlfn.XLOOKUP(_xlfn.CONCAT(E1364,B1364),'Year Wise Master Dep Approach'!F:F,'Year Wise Master Dep Approach'!D:D)</f>
        <v>SLM</v>
      </c>
      <c r="O1364" s="113">
        <f>_xlfn.XLOOKUP(_xlfn.CONCAT(E1364,B1364),'Year Wise Master Dep Approach'!F:F,'Year Wise Master Dep Approach'!E:E)</f>
        <v>5</v>
      </c>
      <c r="P1364" s="114">
        <f>IFERROR(IF('FA Addition'!$N1364="WDV",1-('FA Addition'!$M1364/'FA Addition'!$L1364)^(1/'FA Addition'!$O1364),1/'FA Addition'!$O1364),0)</f>
        <v>0.2</v>
      </c>
      <c r="Q1364" s="122">
        <f>'FA Addition'!$P1364*'FA Addition'!$O1364</f>
        <v>1</v>
      </c>
      <c r="R1364" s="122"/>
      <c r="S1364" s="116">
        <f>IF(AND(DATE(20&amp;LEFT(FAAddition[[#This Row],[FY]],2),4,1)&lt;$L$1+1,DATE(20&amp;LEFT(FAAddition[[#This Row],[FY]],2),4,1)&gt;$P$1-1),'FA Addition'!$J1364,0)</f>
        <v>0</v>
      </c>
      <c r="U1364" s="117">
        <f>S1364*'FA Addition'!$L1364/'FA Addition'!$J1364</f>
        <v>0</v>
      </c>
      <c r="W1364" s="116">
        <f>SUMIFS('FA Write off'!D:D,'FA Write off'!A:A,'FA Addition'!$A1364,'FA Write off'!C:C,"&lt;"&amp;'FA Addition'!$P$1)</f>
        <v>0</v>
      </c>
      <c r="Y1364" s="191">
        <f>IFERROR(W1364/'FA Addition'!$J1364*'FA Addition'!$L1364,0)</f>
        <v>0</v>
      </c>
      <c r="AA1364" s="116">
        <f>SUMIFS('FA Write off'!D:D,'FA Write off'!A:A,'FA Addition'!$A1364,'FA Write off'!C:C,"&lt;"&amp;'FA Addition'!$L$1+1,'FA Write off'!C:C,"&gt;"&amp;'FA Addition'!$L$1-365)</f>
        <v>0</v>
      </c>
      <c r="AC1364" s="118">
        <f>IFERROR(AA1364/'FA Addition'!$J1364*'FA Addition'!$L1364,0)</f>
        <v>0</v>
      </c>
      <c r="AE1364" s="117">
        <f>IF(AND('FA Addition'!$D1364&lt;$P$1+1,U1364=0),'FA Addition'!$L1364,0)-Y1364</f>
        <v>0</v>
      </c>
      <c r="AF1364" s="117">
        <f t="shared" si="105"/>
        <v>0</v>
      </c>
      <c r="AG1364" s="117">
        <f>MIN(MAX(+$P$1-'FA Addition'!$D1364,0),365*'FA Addition'!$O1364)</f>
        <v>0</v>
      </c>
      <c r="AH1364" s="117">
        <f>MIN(MAX($L$1-'FA Addition'!$D1364+1,0),365*'FA Addition'!$O1364)</f>
        <v>0</v>
      </c>
      <c r="AI1364" s="117" cm="1">
        <f t="array" ref="AI1364">_xlfn.XLOOKUP(1,('FA Write off'!A:A='FA Addition'!$A1364)*('FA Write off'!D:D=AA1364),'FA Write off'!H:H,0,0)</f>
        <v>0</v>
      </c>
      <c r="AJ1364" s="117">
        <f>IF(AC1364&gt;0,MAX(IF('FA Addition'!$N1364="SLM",($AC1364-'FA Addition'!$M1364)*'FA Addition'!$P1364*AI1364/365,(AC1364-'FA Addition'!$M1364)*(1-(1-'FA Addition'!$P1364)^(AI1364/365))),0),0)</f>
        <v>0</v>
      </c>
      <c r="AL1364" s="117">
        <f>MAX(IF(AG1364&gt;0,IF('FA Addition'!$N1364="SLM",($AE1364-'FA Addition'!$M1364)*'FA Addition'!$P1364*AG1364/365,IFERROR(VDB(AE1364,AE1364*0.05,'FA Addition'!$O1364,0,YEARFRAC('FA Addition'!$C1364,$P$1-1,3),'FA Addition'!$Q1364),FAAddition[[#This Row],[Original Cost (Rs)]]-FAAddition[[#This Row],[Salvage Value]])),0),0)</f>
        <v>0</v>
      </c>
      <c r="AM1364" s="119"/>
      <c r="AN1364" s="117">
        <f>MAX(IF(AH1364&gt;0,IF('FA Addition'!$N1364="SLM",($AF1364-'FA Addition'!$M1364)*'FA Addition'!$P1364*AH1364/365,IFERROR(VDB(AF1364,AF1364*0.05,'FA Addition'!$O1364,0,YEARFRAC('FA Addition'!$C1364,$L$1,3),'FA Addition'!$Q1364),FAAddition[[#This Row],[Original Cost (Rs)]]-FAAddition[[#This Row],[Salvage Value]])),0),0)</f>
        <v>0</v>
      </c>
      <c r="AO1364" s="117">
        <f t="shared" si="108"/>
        <v>0</v>
      </c>
      <c r="AQ1364" s="117">
        <f t="shared" si="106"/>
        <v>0</v>
      </c>
      <c r="AR1364" s="120">
        <f t="shared" si="107"/>
        <v>0</v>
      </c>
      <c r="AS1364" s="121"/>
    </row>
    <row r="1365" spans="1:45" ht="13.5" x14ac:dyDescent="0.4">
      <c r="A1365" s="12">
        <f t="shared" si="109"/>
        <v>1362</v>
      </c>
      <c r="B1365" s="64" t="s">
        <v>10</v>
      </c>
      <c r="C1365" s="54">
        <v>45888</v>
      </c>
      <c r="D1365" s="54">
        <v>45896</v>
      </c>
      <c r="E1365" s="46" t="s">
        <v>32</v>
      </c>
      <c r="F1365" s="51" t="s">
        <v>27</v>
      </c>
      <c r="G1365" s="51" t="s">
        <v>28</v>
      </c>
      <c r="H1365" s="51" t="s">
        <v>26</v>
      </c>
      <c r="I1365" s="55">
        <v>407</v>
      </c>
      <c r="J1365" s="56">
        <v>500</v>
      </c>
      <c r="K1365" s="51" t="s">
        <v>26</v>
      </c>
      <c r="L1365" s="58">
        <v>40000</v>
      </c>
      <c r="M1365" s="50">
        <f>ROUND('FA Addition'!$L1365*5%,0.1)</f>
        <v>2000</v>
      </c>
      <c r="N1365" s="113" t="str">
        <f>_xlfn.XLOOKUP(_xlfn.CONCAT(E1365,B1365),'Year Wise Master Dep Approach'!F:F,'Year Wise Master Dep Approach'!D:D)</f>
        <v>SLM</v>
      </c>
      <c r="O1365" s="113">
        <f>_xlfn.XLOOKUP(_xlfn.CONCAT(E1365,B1365),'Year Wise Master Dep Approach'!F:F,'Year Wise Master Dep Approach'!E:E)</f>
        <v>5</v>
      </c>
      <c r="P1365" s="114">
        <f>IFERROR(IF('FA Addition'!$N1365="WDV",1-('FA Addition'!$M1365/'FA Addition'!$L1365)^(1/'FA Addition'!$O1365),1/'FA Addition'!$O1365),0)</f>
        <v>0.2</v>
      </c>
      <c r="Q1365" s="122">
        <f>'FA Addition'!$P1365*'FA Addition'!$O1365</f>
        <v>1</v>
      </c>
      <c r="R1365" s="122"/>
      <c r="S1365" s="116">
        <f>IF(AND(DATE(20&amp;LEFT(FAAddition[[#This Row],[FY]],2),4,1)&lt;$L$1+1,DATE(20&amp;LEFT(FAAddition[[#This Row],[FY]],2),4,1)&gt;$P$1-1),'FA Addition'!$J1365,0)</f>
        <v>0</v>
      </c>
      <c r="U1365" s="117">
        <f>S1365*'FA Addition'!$L1365/'FA Addition'!$J1365</f>
        <v>0</v>
      </c>
      <c r="W1365" s="116">
        <f>SUMIFS('FA Write off'!D:D,'FA Write off'!A:A,'FA Addition'!$A1365,'FA Write off'!C:C,"&lt;"&amp;'FA Addition'!$P$1)</f>
        <v>0</v>
      </c>
      <c r="Y1365" s="191">
        <f>IFERROR(W1365/'FA Addition'!$J1365*'FA Addition'!$L1365,0)</f>
        <v>0</v>
      </c>
      <c r="AA1365" s="116">
        <f>SUMIFS('FA Write off'!D:D,'FA Write off'!A:A,'FA Addition'!$A1365,'FA Write off'!C:C,"&lt;"&amp;'FA Addition'!$L$1+1,'FA Write off'!C:C,"&gt;"&amp;'FA Addition'!$L$1-365)</f>
        <v>0</v>
      </c>
      <c r="AC1365" s="118">
        <f>IFERROR(AA1365/'FA Addition'!$J1365*'FA Addition'!$L1365,0)</f>
        <v>0</v>
      </c>
      <c r="AE1365" s="117">
        <f>IF(AND('FA Addition'!$D1365&lt;$P$1+1,U1365=0),'FA Addition'!$L1365,0)-Y1365</f>
        <v>0</v>
      </c>
      <c r="AF1365" s="117">
        <f t="shared" si="105"/>
        <v>0</v>
      </c>
      <c r="AG1365" s="117">
        <f>MIN(MAX(+$P$1-'FA Addition'!$D1365,0),365*'FA Addition'!$O1365)</f>
        <v>0</v>
      </c>
      <c r="AH1365" s="117">
        <f>MIN(MAX($L$1-'FA Addition'!$D1365+1,0),365*'FA Addition'!$O1365)</f>
        <v>0</v>
      </c>
      <c r="AI1365" s="117" cm="1">
        <f t="array" ref="AI1365">_xlfn.XLOOKUP(1,('FA Write off'!A:A='FA Addition'!$A1365)*('FA Write off'!D:D=AA1365),'FA Write off'!H:H,0,0)</f>
        <v>0</v>
      </c>
      <c r="AJ1365" s="117">
        <f>IF(AC1365&gt;0,MAX(IF('FA Addition'!$N1365="SLM",($AC1365-'FA Addition'!$M1365)*'FA Addition'!$P1365*AI1365/365,(AC1365-'FA Addition'!$M1365)*(1-(1-'FA Addition'!$P1365)^(AI1365/365))),0),0)</f>
        <v>0</v>
      </c>
      <c r="AL1365" s="117">
        <f>MAX(IF(AG1365&gt;0,IF('FA Addition'!$N1365="SLM",($AE1365-'FA Addition'!$M1365)*'FA Addition'!$P1365*AG1365/365,IFERROR(VDB(AE1365,AE1365*0.05,'FA Addition'!$O1365,0,YEARFRAC('FA Addition'!$C1365,$P$1-1,3),'FA Addition'!$Q1365),FAAddition[[#This Row],[Original Cost (Rs)]]-FAAddition[[#This Row],[Salvage Value]])),0),0)</f>
        <v>0</v>
      </c>
      <c r="AM1365" s="119"/>
      <c r="AN1365" s="117">
        <f>MAX(IF(AH1365&gt;0,IF('FA Addition'!$N1365="SLM",($AF1365-'FA Addition'!$M1365)*'FA Addition'!$P1365*AH1365/365,IFERROR(VDB(AF1365,AF1365*0.05,'FA Addition'!$O1365,0,YEARFRAC('FA Addition'!$C1365,$L$1,3),'FA Addition'!$Q1365),FAAddition[[#This Row],[Original Cost (Rs)]]-FAAddition[[#This Row],[Salvage Value]])),0),0)</f>
        <v>0</v>
      </c>
      <c r="AO1365" s="117">
        <f t="shared" si="108"/>
        <v>0</v>
      </c>
      <c r="AQ1365" s="117">
        <f t="shared" si="106"/>
        <v>0</v>
      </c>
      <c r="AR1365" s="120">
        <f t="shared" si="107"/>
        <v>0</v>
      </c>
      <c r="AS1365" s="121"/>
    </row>
    <row r="1366" spans="1:45" ht="13.5" x14ac:dyDescent="0.4">
      <c r="A1366" s="12">
        <f t="shared" si="109"/>
        <v>1363</v>
      </c>
      <c r="B1366" s="64" t="s">
        <v>10</v>
      </c>
      <c r="C1366" s="54">
        <v>45894</v>
      </c>
      <c r="D1366" s="54">
        <v>45897</v>
      </c>
      <c r="E1366" s="46" t="s">
        <v>32</v>
      </c>
      <c r="F1366" s="51" t="s">
        <v>27</v>
      </c>
      <c r="G1366" s="51" t="s">
        <v>29</v>
      </c>
      <c r="H1366" s="51" t="s">
        <v>26</v>
      </c>
      <c r="I1366" s="55" t="s">
        <v>54</v>
      </c>
      <c r="J1366" s="56">
        <v>1000</v>
      </c>
      <c r="K1366" s="51" t="s">
        <v>298</v>
      </c>
      <c r="L1366" s="58">
        <v>72000</v>
      </c>
      <c r="M1366" s="50">
        <f>ROUND('FA Addition'!$L1366*5%,0.1)</f>
        <v>3600</v>
      </c>
      <c r="N1366" s="113" t="str">
        <f>_xlfn.XLOOKUP(_xlfn.CONCAT(E1366,B1366),'Year Wise Master Dep Approach'!F:F,'Year Wise Master Dep Approach'!D:D)</f>
        <v>SLM</v>
      </c>
      <c r="O1366" s="113">
        <f>_xlfn.XLOOKUP(_xlfn.CONCAT(E1366,B1366),'Year Wise Master Dep Approach'!F:F,'Year Wise Master Dep Approach'!E:E)</f>
        <v>5</v>
      </c>
      <c r="P1366" s="114">
        <f>IFERROR(IF('FA Addition'!$N1366="WDV",1-('FA Addition'!$M1366/'FA Addition'!$L1366)^(1/'FA Addition'!$O1366),1/'FA Addition'!$O1366),0)</f>
        <v>0.2</v>
      </c>
      <c r="Q1366" s="122">
        <f>'FA Addition'!$P1366*'FA Addition'!$O1366</f>
        <v>1</v>
      </c>
      <c r="R1366" s="122"/>
      <c r="S1366" s="116">
        <f>IF(AND(DATE(20&amp;LEFT(FAAddition[[#This Row],[FY]],2),4,1)&lt;$L$1+1,DATE(20&amp;LEFT(FAAddition[[#This Row],[FY]],2),4,1)&gt;$P$1-1),'FA Addition'!$J1366,0)</f>
        <v>0</v>
      </c>
      <c r="U1366" s="117">
        <f>S1366*'FA Addition'!$L1366/'FA Addition'!$J1366</f>
        <v>0</v>
      </c>
      <c r="W1366" s="116">
        <f>SUMIFS('FA Write off'!D:D,'FA Write off'!A:A,'FA Addition'!$A1366,'FA Write off'!C:C,"&lt;"&amp;'FA Addition'!$P$1)</f>
        <v>0</v>
      </c>
      <c r="Y1366" s="191">
        <f>IFERROR(W1366/'FA Addition'!$J1366*'FA Addition'!$L1366,0)</f>
        <v>0</v>
      </c>
      <c r="AA1366" s="116">
        <f>SUMIFS('FA Write off'!D:D,'FA Write off'!A:A,'FA Addition'!$A1366,'FA Write off'!C:C,"&lt;"&amp;'FA Addition'!$L$1+1,'FA Write off'!C:C,"&gt;"&amp;'FA Addition'!$L$1-365)</f>
        <v>0</v>
      </c>
      <c r="AC1366" s="118">
        <f>IFERROR(AA1366/'FA Addition'!$J1366*'FA Addition'!$L1366,0)</f>
        <v>0</v>
      </c>
      <c r="AE1366" s="117">
        <f>IF(AND('FA Addition'!$D1366&lt;$P$1+1,U1366=0),'FA Addition'!$L1366,0)-Y1366</f>
        <v>0</v>
      </c>
      <c r="AF1366" s="117">
        <f t="shared" si="105"/>
        <v>0</v>
      </c>
      <c r="AG1366" s="117">
        <f>MIN(MAX(+$P$1-'FA Addition'!$D1366,0),365*'FA Addition'!$O1366)</f>
        <v>0</v>
      </c>
      <c r="AH1366" s="117">
        <f>MIN(MAX($L$1-'FA Addition'!$D1366+1,0),365*'FA Addition'!$O1366)</f>
        <v>0</v>
      </c>
      <c r="AI1366" s="117" cm="1">
        <f t="array" ref="AI1366">_xlfn.XLOOKUP(1,('FA Write off'!A:A='FA Addition'!$A1366)*('FA Write off'!D:D=AA1366),'FA Write off'!H:H,0,0)</f>
        <v>0</v>
      </c>
      <c r="AJ1366" s="117">
        <f>IF(AC1366&gt;0,MAX(IF('FA Addition'!$N1366="SLM",($AC1366-'FA Addition'!$M1366)*'FA Addition'!$P1366*AI1366/365,(AC1366-'FA Addition'!$M1366)*(1-(1-'FA Addition'!$P1366)^(AI1366/365))),0),0)</f>
        <v>0</v>
      </c>
      <c r="AL1366" s="117">
        <f>MAX(IF(AG1366&gt;0,IF('FA Addition'!$N1366="SLM",($AE1366-'FA Addition'!$M1366)*'FA Addition'!$P1366*AG1366/365,IFERROR(VDB(AE1366,AE1366*0.05,'FA Addition'!$O1366,0,YEARFRAC('FA Addition'!$C1366,$P$1-1,3),'FA Addition'!$Q1366),FAAddition[[#This Row],[Original Cost (Rs)]]-FAAddition[[#This Row],[Salvage Value]])),0),0)</f>
        <v>0</v>
      </c>
      <c r="AM1366" s="119"/>
      <c r="AN1366" s="117">
        <f>MAX(IF(AH1366&gt;0,IF('FA Addition'!$N1366="SLM",($AF1366-'FA Addition'!$M1366)*'FA Addition'!$P1366*AH1366/365,IFERROR(VDB(AF1366,AF1366*0.05,'FA Addition'!$O1366,0,YEARFRAC('FA Addition'!$C1366,$L$1,3),'FA Addition'!$Q1366),FAAddition[[#This Row],[Original Cost (Rs)]]-FAAddition[[#This Row],[Salvage Value]])),0),0)</f>
        <v>0</v>
      </c>
      <c r="AO1366" s="117">
        <f t="shared" si="108"/>
        <v>0</v>
      </c>
      <c r="AQ1366" s="117">
        <f t="shared" si="106"/>
        <v>0</v>
      </c>
      <c r="AR1366" s="120">
        <f t="shared" si="107"/>
        <v>0</v>
      </c>
      <c r="AS1366" s="121"/>
    </row>
    <row r="1367" spans="1:45" ht="13.5" x14ac:dyDescent="0.4">
      <c r="A1367" s="12">
        <f t="shared" si="109"/>
        <v>1364</v>
      </c>
      <c r="B1367" s="64" t="s">
        <v>10</v>
      </c>
      <c r="C1367" s="54">
        <v>45899</v>
      </c>
      <c r="D1367" s="54">
        <v>45900</v>
      </c>
      <c r="E1367" s="46" t="s">
        <v>32</v>
      </c>
      <c r="F1367" s="51" t="s">
        <v>27</v>
      </c>
      <c r="G1367" s="51" t="s">
        <v>29</v>
      </c>
      <c r="H1367" s="51" t="s">
        <v>26</v>
      </c>
      <c r="I1367" s="55" t="s">
        <v>55</v>
      </c>
      <c r="J1367" s="56">
        <v>1000</v>
      </c>
      <c r="K1367" s="51" t="s">
        <v>299</v>
      </c>
      <c r="L1367" s="58">
        <v>62000</v>
      </c>
      <c r="M1367" s="50">
        <f>ROUND('FA Addition'!$L1367*5%,0.1)</f>
        <v>3100</v>
      </c>
      <c r="N1367" s="113" t="str">
        <f>_xlfn.XLOOKUP(_xlfn.CONCAT(E1367,B1367),'Year Wise Master Dep Approach'!F:F,'Year Wise Master Dep Approach'!D:D)</f>
        <v>SLM</v>
      </c>
      <c r="O1367" s="113">
        <f>_xlfn.XLOOKUP(_xlfn.CONCAT(E1367,B1367),'Year Wise Master Dep Approach'!F:F,'Year Wise Master Dep Approach'!E:E)</f>
        <v>5</v>
      </c>
      <c r="P1367" s="114">
        <f>IFERROR(IF('FA Addition'!$N1367="WDV",1-('FA Addition'!$M1367/'FA Addition'!$L1367)^(1/'FA Addition'!$O1367),1/'FA Addition'!$O1367),0)</f>
        <v>0.2</v>
      </c>
      <c r="Q1367" s="122">
        <f>'FA Addition'!$P1367*'FA Addition'!$O1367</f>
        <v>1</v>
      </c>
      <c r="R1367" s="122"/>
      <c r="S1367" s="116">
        <f>IF(AND(DATE(20&amp;LEFT(FAAddition[[#This Row],[FY]],2),4,1)&lt;$L$1+1,DATE(20&amp;LEFT(FAAddition[[#This Row],[FY]],2),4,1)&gt;$P$1-1),'FA Addition'!$J1367,0)</f>
        <v>0</v>
      </c>
      <c r="U1367" s="117">
        <f>S1367*'FA Addition'!$L1367/'FA Addition'!$J1367</f>
        <v>0</v>
      </c>
      <c r="W1367" s="116">
        <f>SUMIFS('FA Write off'!D:D,'FA Write off'!A:A,'FA Addition'!$A1367,'FA Write off'!C:C,"&lt;"&amp;'FA Addition'!$P$1)</f>
        <v>0</v>
      </c>
      <c r="Y1367" s="191">
        <f>IFERROR(W1367/'FA Addition'!$J1367*'FA Addition'!$L1367,0)</f>
        <v>0</v>
      </c>
      <c r="AA1367" s="116">
        <f>SUMIFS('FA Write off'!D:D,'FA Write off'!A:A,'FA Addition'!$A1367,'FA Write off'!C:C,"&lt;"&amp;'FA Addition'!$L$1+1,'FA Write off'!C:C,"&gt;"&amp;'FA Addition'!$L$1-365)</f>
        <v>0</v>
      </c>
      <c r="AC1367" s="118">
        <f>IFERROR(AA1367/'FA Addition'!$J1367*'FA Addition'!$L1367,0)</f>
        <v>0</v>
      </c>
      <c r="AE1367" s="117">
        <f>IF(AND('FA Addition'!$D1367&lt;$P$1+1,U1367=0),'FA Addition'!$L1367,0)-Y1367</f>
        <v>0</v>
      </c>
      <c r="AF1367" s="117">
        <f t="shared" si="105"/>
        <v>0</v>
      </c>
      <c r="AG1367" s="117">
        <f>MIN(MAX(+$P$1-'FA Addition'!$D1367,0),365*'FA Addition'!$O1367)</f>
        <v>0</v>
      </c>
      <c r="AH1367" s="117">
        <f>MIN(MAX($L$1-'FA Addition'!$D1367+1,0),365*'FA Addition'!$O1367)</f>
        <v>0</v>
      </c>
      <c r="AI1367" s="117" cm="1">
        <f t="array" ref="AI1367">_xlfn.XLOOKUP(1,('FA Write off'!A:A='FA Addition'!$A1367)*('FA Write off'!D:D=AA1367),'FA Write off'!H:H,0,0)</f>
        <v>0</v>
      </c>
      <c r="AJ1367" s="117">
        <f>IF(AC1367&gt;0,MAX(IF('FA Addition'!$N1367="SLM",($AC1367-'FA Addition'!$M1367)*'FA Addition'!$P1367*AI1367/365,(AC1367-'FA Addition'!$M1367)*(1-(1-'FA Addition'!$P1367)^(AI1367/365))),0),0)</f>
        <v>0</v>
      </c>
      <c r="AL1367" s="117">
        <f>MAX(IF(AG1367&gt;0,IF('FA Addition'!$N1367="SLM",($AE1367-'FA Addition'!$M1367)*'FA Addition'!$P1367*AG1367/365,IFERROR(VDB(AE1367,AE1367*0.05,'FA Addition'!$O1367,0,YEARFRAC('FA Addition'!$C1367,$P$1-1,3),'FA Addition'!$Q1367),FAAddition[[#This Row],[Original Cost (Rs)]]-FAAddition[[#This Row],[Salvage Value]])),0),0)</f>
        <v>0</v>
      </c>
      <c r="AM1367" s="119"/>
      <c r="AN1367" s="117">
        <f>MAX(IF(AH1367&gt;0,IF('FA Addition'!$N1367="SLM",($AF1367-'FA Addition'!$M1367)*'FA Addition'!$P1367*AH1367/365,IFERROR(VDB(AF1367,AF1367*0.05,'FA Addition'!$O1367,0,YEARFRAC('FA Addition'!$C1367,$L$1,3),'FA Addition'!$Q1367),FAAddition[[#This Row],[Original Cost (Rs)]]-FAAddition[[#This Row],[Salvage Value]])),0),0)</f>
        <v>0</v>
      </c>
      <c r="AO1367" s="117">
        <f t="shared" si="108"/>
        <v>0</v>
      </c>
      <c r="AQ1367" s="117">
        <f t="shared" si="106"/>
        <v>0</v>
      </c>
      <c r="AR1367" s="120">
        <f t="shared" si="107"/>
        <v>0</v>
      </c>
      <c r="AS1367" s="121"/>
    </row>
    <row r="1368" spans="1:45" ht="13.5" x14ac:dyDescent="0.4">
      <c r="A1368" s="12">
        <f t="shared" si="109"/>
        <v>1365</v>
      </c>
      <c r="B1368" s="64" t="s">
        <v>10</v>
      </c>
      <c r="C1368" s="54">
        <v>45818</v>
      </c>
      <c r="D1368" s="54">
        <v>45824</v>
      </c>
      <c r="E1368" s="46" t="s">
        <v>32</v>
      </c>
      <c r="F1368" s="51" t="s">
        <v>33</v>
      </c>
      <c r="G1368" s="51" t="s">
        <v>34</v>
      </c>
      <c r="H1368" s="51" t="s">
        <v>32</v>
      </c>
      <c r="I1368" s="55" t="s">
        <v>56</v>
      </c>
      <c r="J1368" s="56">
        <v>1000</v>
      </c>
      <c r="K1368" s="51" t="s">
        <v>295</v>
      </c>
      <c r="L1368" s="58">
        <v>1499000</v>
      </c>
      <c r="M1368" s="50">
        <f>ROUND('FA Addition'!$L1368*5%,0.1)</f>
        <v>74950</v>
      </c>
      <c r="N1368" s="113" t="str">
        <f>_xlfn.XLOOKUP(_xlfn.CONCAT(E1368,B1368),'Year Wise Master Dep Approach'!F:F,'Year Wise Master Dep Approach'!D:D)</f>
        <v>SLM</v>
      </c>
      <c r="O1368" s="113">
        <f>_xlfn.XLOOKUP(_xlfn.CONCAT(E1368,B1368),'Year Wise Master Dep Approach'!F:F,'Year Wise Master Dep Approach'!E:E)</f>
        <v>5</v>
      </c>
      <c r="P1368" s="114">
        <f>IFERROR(IF('FA Addition'!$N1368="WDV",1-('FA Addition'!$M1368/'FA Addition'!$L1368)^(1/'FA Addition'!$O1368),1/'FA Addition'!$O1368),0)</f>
        <v>0.2</v>
      </c>
      <c r="Q1368" s="122">
        <f>'FA Addition'!$P1368*'FA Addition'!$O1368</f>
        <v>1</v>
      </c>
      <c r="R1368" s="122"/>
      <c r="S1368" s="116">
        <f>IF(AND(DATE(20&amp;LEFT(FAAddition[[#This Row],[FY]],2),4,1)&lt;$L$1+1,DATE(20&amp;LEFT(FAAddition[[#This Row],[FY]],2),4,1)&gt;$P$1-1),'FA Addition'!$J1368,0)</f>
        <v>0</v>
      </c>
      <c r="U1368" s="117">
        <f>S1368*'FA Addition'!$L1368/'FA Addition'!$J1368</f>
        <v>0</v>
      </c>
      <c r="W1368" s="116">
        <f>SUMIFS('FA Write off'!D:D,'FA Write off'!A:A,'FA Addition'!$A1368,'FA Write off'!C:C,"&lt;"&amp;'FA Addition'!$P$1)</f>
        <v>0</v>
      </c>
      <c r="Y1368" s="191">
        <f>IFERROR(W1368/'FA Addition'!$J1368*'FA Addition'!$L1368,0)</f>
        <v>0</v>
      </c>
      <c r="AA1368" s="116">
        <f>SUMIFS('FA Write off'!D:D,'FA Write off'!A:A,'FA Addition'!$A1368,'FA Write off'!C:C,"&lt;"&amp;'FA Addition'!$L$1+1,'FA Write off'!C:C,"&gt;"&amp;'FA Addition'!$L$1-365)</f>
        <v>0</v>
      </c>
      <c r="AC1368" s="118">
        <f>IFERROR(AA1368/'FA Addition'!$J1368*'FA Addition'!$L1368,0)</f>
        <v>0</v>
      </c>
      <c r="AE1368" s="117">
        <f>IF(AND('FA Addition'!$D1368&lt;$P$1+1,U1368=0),'FA Addition'!$L1368,0)-Y1368</f>
        <v>0</v>
      </c>
      <c r="AF1368" s="117">
        <f t="shared" si="105"/>
        <v>0</v>
      </c>
      <c r="AG1368" s="117">
        <f>MIN(MAX(+$P$1-'FA Addition'!$D1368,0),365*'FA Addition'!$O1368)</f>
        <v>0</v>
      </c>
      <c r="AH1368" s="117">
        <f>MIN(MAX($L$1-'FA Addition'!$D1368+1,0),365*'FA Addition'!$O1368)</f>
        <v>0</v>
      </c>
      <c r="AI1368" s="117" cm="1">
        <f t="array" ref="AI1368">_xlfn.XLOOKUP(1,('FA Write off'!A:A='FA Addition'!$A1368)*('FA Write off'!D:D=AA1368),'FA Write off'!H:H,0,0)</f>
        <v>0</v>
      </c>
      <c r="AJ1368" s="117">
        <f>IF(AC1368&gt;0,MAX(IF('FA Addition'!$N1368="SLM",($AC1368-'FA Addition'!$M1368)*'FA Addition'!$P1368*AI1368/365,(AC1368-'FA Addition'!$M1368)*(1-(1-'FA Addition'!$P1368)^(AI1368/365))),0),0)</f>
        <v>0</v>
      </c>
      <c r="AL1368" s="117">
        <f>MAX(IF(AG1368&gt;0,IF('FA Addition'!$N1368="SLM",($AE1368-'FA Addition'!$M1368)*'FA Addition'!$P1368*AG1368/365,IFERROR(VDB(AE1368,AE1368*0.05,'FA Addition'!$O1368,0,YEARFRAC('FA Addition'!$C1368,$P$1-1,3),'FA Addition'!$Q1368),FAAddition[[#This Row],[Original Cost (Rs)]]-FAAddition[[#This Row],[Salvage Value]])),0),0)</f>
        <v>0</v>
      </c>
      <c r="AM1368" s="119"/>
      <c r="AN1368" s="117">
        <f>MAX(IF(AH1368&gt;0,IF('FA Addition'!$N1368="SLM",($AF1368-'FA Addition'!$M1368)*'FA Addition'!$P1368*AH1368/365,IFERROR(VDB(AF1368,AF1368*0.05,'FA Addition'!$O1368,0,YEARFRAC('FA Addition'!$C1368,$L$1,3),'FA Addition'!$Q1368),FAAddition[[#This Row],[Original Cost (Rs)]]-FAAddition[[#This Row],[Salvage Value]])),0),0)</f>
        <v>0</v>
      </c>
      <c r="AO1368" s="117">
        <f t="shared" si="108"/>
        <v>0</v>
      </c>
      <c r="AQ1368" s="117">
        <f t="shared" si="106"/>
        <v>0</v>
      </c>
      <c r="AR1368" s="120">
        <f t="shared" si="107"/>
        <v>0</v>
      </c>
      <c r="AS1368" s="121"/>
    </row>
    <row r="1369" spans="1:45" ht="13.5" x14ac:dyDescent="0.4">
      <c r="A1369" s="12">
        <f t="shared" si="109"/>
        <v>1366</v>
      </c>
      <c r="B1369" s="64" t="s">
        <v>10</v>
      </c>
      <c r="C1369" s="54">
        <v>45821</v>
      </c>
      <c r="D1369" s="54">
        <v>45828</v>
      </c>
      <c r="E1369" s="46" t="s">
        <v>32</v>
      </c>
      <c r="F1369" s="51" t="s">
        <v>33</v>
      </c>
      <c r="G1369" s="51" t="s">
        <v>34</v>
      </c>
      <c r="H1369" s="51" t="s">
        <v>32</v>
      </c>
      <c r="I1369" s="55" t="s">
        <v>57</v>
      </c>
      <c r="J1369" s="56">
        <v>1000</v>
      </c>
      <c r="K1369" s="51" t="s">
        <v>295</v>
      </c>
      <c r="L1369" s="58">
        <v>1499000</v>
      </c>
      <c r="M1369" s="50">
        <f>ROUND('FA Addition'!$L1369*5%,0.1)</f>
        <v>74950</v>
      </c>
      <c r="N1369" s="113" t="str">
        <f>_xlfn.XLOOKUP(_xlfn.CONCAT(E1369,B1369),'Year Wise Master Dep Approach'!F:F,'Year Wise Master Dep Approach'!D:D)</f>
        <v>SLM</v>
      </c>
      <c r="O1369" s="113">
        <f>_xlfn.XLOOKUP(_xlfn.CONCAT(E1369,B1369),'Year Wise Master Dep Approach'!F:F,'Year Wise Master Dep Approach'!E:E)</f>
        <v>5</v>
      </c>
      <c r="P1369" s="114">
        <f>IFERROR(IF('FA Addition'!$N1369="WDV",1-('FA Addition'!$M1369/'FA Addition'!$L1369)^(1/'FA Addition'!$O1369),1/'FA Addition'!$O1369),0)</f>
        <v>0.2</v>
      </c>
      <c r="Q1369" s="122">
        <f>'FA Addition'!$P1369*'FA Addition'!$O1369</f>
        <v>1</v>
      </c>
      <c r="R1369" s="122"/>
      <c r="S1369" s="116">
        <f>IF(AND(DATE(20&amp;LEFT(FAAddition[[#This Row],[FY]],2),4,1)&lt;$L$1+1,DATE(20&amp;LEFT(FAAddition[[#This Row],[FY]],2),4,1)&gt;$P$1-1),'FA Addition'!$J1369,0)</f>
        <v>0</v>
      </c>
      <c r="U1369" s="117">
        <f>S1369*'FA Addition'!$L1369/'FA Addition'!$J1369</f>
        <v>0</v>
      </c>
      <c r="W1369" s="116">
        <f>SUMIFS('FA Write off'!D:D,'FA Write off'!A:A,'FA Addition'!$A1369,'FA Write off'!C:C,"&lt;"&amp;'FA Addition'!$P$1)</f>
        <v>0</v>
      </c>
      <c r="Y1369" s="191">
        <f>IFERROR(W1369/'FA Addition'!$J1369*'FA Addition'!$L1369,0)</f>
        <v>0</v>
      </c>
      <c r="AA1369" s="116">
        <f>SUMIFS('FA Write off'!D:D,'FA Write off'!A:A,'FA Addition'!$A1369,'FA Write off'!C:C,"&lt;"&amp;'FA Addition'!$L$1+1,'FA Write off'!C:C,"&gt;"&amp;'FA Addition'!$L$1-365)</f>
        <v>0</v>
      </c>
      <c r="AC1369" s="118">
        <f>IFERROR(AA1369/'FA Addition'!$J1369*'FA Addition'!$L1369,0)</f>
        <v>0</v>
      </c>
      <c r="AE1369" s="117">
        <f>IF(AND('FA Addition'!$D1369&lt;$P$1+1,U1369=0),'FA Addition'!$L1369,0)-Y1369</f>
        <v>0</v>
      </c>
      <c r="AF1369" s="117">
        <f t="shared" si="105"/>
        <v>0</v>
      </c>
      <c r="AG1369" s="117">
        <f>MIN(MAX(+$P$1-'FA Addition'!$D1369,0),365*'FA Addition'!$O1369)</f>
        <v>0</v>
      </c>
      <c r="AH1369" s="117">
        <f>MIN(MAX($L$1-'FA Addition'!$D1369+1,0),365*'FA Addition'!$O1369)</f>
        <v>0</v>
      </c>
      <c r="AI1369" s="117" cm="1">
        <f t="array" ref="AI1369">_xlfn.XLOOKUP(1,('FA Write off'!A:A='FA Addition'!$A1369)*('FA Write off'!D:D=AA1369),'FA Write off'!H:H,0,0)</f>
        <v>0</v>
      </c>
      <c r="AJ1369" s="117">
        <f>IF(AC1369&gt;0,MAX(IF('FA Addition'!$N1369="SLM",($AC1369-'FA Addition'!$M1369)*'FA Addition'!$P1369*AI1369/365,(AC1369-'FA Addition'!$M1369)*(1-(1-'FA Addition'!$P1369)^(AI1369/365))),0),0)</f>
        <v>0</v>
      </c>
      <c r="AL1369" s="117">
        <f>MAX(IF(AG1369&gt;0,IF('FA Addition'!$N1369="SLM",($AE1369-'FA Addition'!$M1369)*'FA Addition'!$P1369*AG1369/365,IFERROR(VDB(AE1369,AE1369*0.05,'FA Addition'!$O1369,0,YEARFRAC('FA Addition'!$C1369,$P$1-1,3),'FA Addition'!$Q1369),FAAddition[[#This Row],[Original Cost (Rs)]]-FAAddition[[#This Row],[Salvage Value]])),0),0)</f>
        <v>0</v>
      </c>
      <c r="AM1369" s="119"/>
      <c r="AN1369" s="117">
        <f>MAX(IF(AH1369&gt;0,IF('FA Addition'!$N1369="SLM",($AF1369-'FA Addition'!$M1369)*'FA Addition'!$P1369*AH1369/365,IFERROR(VDB(AF1369,AF1369*0.05,'FA Addition'!$O1369,0,YEARFRAC('FA Addition'!$C1369,$L$1,3),'FA Addition'!$Q1369),FAAddition[[#This Row],[Original Cost (Rs)]]-FAAddition[[#This Row],[Salvage Value]])),0),0)</f>
        <v>0</v>
      </c>
      <c r="AO1369" s="117">
        <f t="shared" si="108"/>
        <v>0</v>
      </c>
      <c r="AQ1369" s="117">
        <f t="shared" si="106"/>
        <v>0</v>
      </c>
      <c r="AR1369" s="120">
        <f t="shared" si="107"/>
        <v>0</v>
      </c>
      <c r="AS1369" s="121"/>
    </row>
    <row r="1370" spans="1:45" ht="13.5" x14ac:dyDescent="0.4">
      <c r="A1370" s="12">
        <f t="shared" si="109"/>
        <v>1367</v>
      </c>
      <c r="B1370" s="64" t="s">
        <v>10</v>
      </c>
      <c r="C1370" s="54">
        <v>45825</v>
      </c>
      <c r="D1370" s="54">
        <v>45831</v>
      </c>
      <c r="E1370" s="46" t="s">
        <v>32</v>
      </c>
      <c r="F1370" s="51" t="s">
        <v>33</v>
      </c>
      <c r="G1370" s="51" t="s">
        <v>34</v>
      </c>
      <c r="H1370" s="51" t="s">
        <v>32</v>
      </c>
      <c r="I1370" s="55" t="s">
        <v>58</v>
      </c>
      <c r="J1370" s="56">
        <v>1000</v>
      </c>
      <c r="K1370" s="51" t="s">
        <v>295</v>
      </c>
      <c r="L1370" s="58">
        <v>1499000</v>
      </c>
      <c r="M1370" s="50">
        <f>ROUND('FA Addition'!$L1370*5%,0.1)</f>
        <v>74950</v>
      </c>
      <c r="N1370" s="113" t="str">
        <f>_xlfn.XLOOKUP(_xlfn.CONCAT(E1370,B1370),'Year Wise Master Dep Approach'!F:F,'Year Wise Master Dep Approach'!D:D)</f>
        <v>SLM</v>
      </c>
      <c r="O1370" s="113">
        <f>_xlfn.XLOOKUP(_xlfn.CONCAT(E1370,B1370),'Year Wise Master Dep Approach'!F:F,'Year Wise Master Dep Approach'!E:E)</f>
        <v>5</v>
      </c>
      <c r="P1370" s="114">
        <f>IFERROR(IF('FA Addition'!$N1370="WDV",1-('FA Addition'!$M1370/'FA Addition'!$L1370)^(1/'FA Addition'!$O1370),1/'FA Addition'!$O1370),0)</f>
        <v>0.2</v>
      </c>
      <c r="Q1370" s="122">
        <f>'FA Addition'!$P1370*'FA Addition'!$O1370</f>
        <v>1</v>
      </c>
      <c r="R1370" s="122"/>
      <c r="S1370" s="116">
        <f>IF(AND(DATE(20&amp;LEFT(FAAddition[[#This Row],[FY]],2),4,1)&lt;$L$1+1,DATE(20&amp;LEFT(FAAddition[[#This Row],[FY]],2),4,1)&gt;$P$1-1),'FA Addition'!$J1370,0)</f>
        <v>0</v>
      </c>
      <c r="U1370" s="117">
        <f>S1370*'FA Addition'!$L1370/'FA Addition'!$J1370</f>
        <v>0</v>
      </c>
      <c r="W1370" s="116">
        <f>SUMIFS('FA Write off'!D:D,'FA Write off'!A:A,'FA Addition'!$A1370,'FA Write off'!C:C,"&lt;"&amp;'FA Addition'!$P$1)</f>
        <v>0</v>
      </c>
      <c r="Y1370" s="191">
        <f>IFERROR(W1370/'FA Addition'!$J1370*'FA Addition'!$L1370,0)</f>
        <v>0</v>
      </c>
      <c r="AA1370" s="116">
        <f>SUMIFS('FA Write off'!D:D,'FA Write off'!A:A,'FA Addition'!$A1370,'FA Write off'!C:C,"&lt;"&amp;'FA Addition'!$L$1+1,'FA Write off'!C:C,"&gt;"&amp;'FA Addition'!$L$1-365)</f>
        <v>0</v>
      </c>
      <c r="AC1370" s="118">
        <f>IFERROR(AA1370/'FA Addition'!$J1370*'FA Addition'!$L1370,0)</f>
        <v>0</v>
      </c>
      <c r="AE1370" s="117">
        <f>IF(AND('FA Addition'!$D1370&lt;$P$1+1,U1370=0),'FA Addition'!$L1370,0)-Y1370</f>
        <v>0</v>
      </c>
      <c r="AF1370" s="117">
        <f t="shared" si="105"/>
        <v>0</v>
      </c>
      <c r="AG1370" s="117">
        <f>MIN(MAX(+$P$1-'FA Addition'!$D1370,0),365*'FA Addition'!$O1370)</f>
        <v>0</v>
      </c>
      <c r="AH1370" s="117">
        <f>MIN(MAX($L$1-'FA Addition'!$D1370+1,0),365*'FA Addition'!$O1370)</f>
        <v>0</v>
      </c>
      <c r="AI1370" s="117" cm="1">
        <f t="array" ref="AI1370">_xlfn.XLOOKUP(1,('FA Write off'!A:A='FA Addition'!$A1370)*('FA Write off'!D:D=AA1370),'FA Write off'!H:H,0,0)</f>
        <v>0</v>
      </c>
      <c r="AJ1370" s="117">
        <f>IF(AC1370&gt;0,MAX(IF('FA Addition'!$N1370="SLM",($AC1370-'FA Addition'!$M1370)*'FA Addition'!$P1370*AI1370/365,(AC1370-'FA Addition'!$M1370)*(1-(1-'FA Addition'!$P1370)^(AI1370/365))),0),0)</f>
        <v>0</v>
      </c>
      <c r="AL1370" s="117">
        <f>MAX(IF(AG1370&gt;0,IF('FA Addition'!$N1370="SLM",($AE1370-'FA Addition'!$M1370)*'FA Addition'!$P1370*AG1370/365,IFERROR(VDB(AE1370,AE1370*0.05,'FA Addition'!$O1370,0,YEARFRAC('FA Addition'!$C1370,$P$1-1,3),'FA Addition'!$Q1370),FAAddition[[#This Row],[Original Cost (Rs)]]-FAAddition[[#This Row],[Salvage Value]])),0),0)</f>
        <v>0</v>
      </c>
      <c r="AM1370" s="119"/>
      <c r="AN1370" s="117">
        <f>MAX(IF(AH1370&gt;0,IF('FA Addition'!$N1370="SLM",($AF1370-'FA Addition'!$M1370)*'FA Addition'!$P1370*AH1370/365,IFERROR(VDB(AF1370,AF1370*0.05,'FA Addition'!$O1370,0,YEARFRAC('FA Addition'!$C1370,$L$1,3),'FA Addition'!$Q1370),FAAddition[[#This Row],[Original Cost (Rs)]]-FAAddition[[#This Row],[Salvage Value]])),0),0)</f>
        <v>0</v>
      </c>
      <c r="AO1370" s="117">
        <f t="shared" si="108"/>
        <v>0</v>
      </c>
      <c r="AQ1370" s="117">
        <f t="shared" si="106"/>
        <v>0</v>
      </c>
      <c r="AR1370" s="120">
        <f t="shared" si="107"/>
        <v>0</v>
      </c>
      <c r="AS1370" s="121"/>
    </row>
    <row r="1371" spans="1:45" ht="13.5" x14ac:dyDescent="0.4">
      <c r="A1371" s="12">
        <f t="shared" si="109"/>
        <v>1368</v>
      </c>
      <c r="B1371" s="64" t="s">
        <v>10</v>
      </c>
      <c r="C1371" s="54">
        <v>45829</v>
      </c>
      <c r="D1371" s="54">
        <v>45838</v>
      </c>
      <c r="E1371" s="46" t="s">
        <v>32</v>
      </c>
      <c r="F1371" s="51" t="s">
        <v>33</v>
      </c>
      <c r="G1371" s="51" t="s">
        <v>34</v>
      </c>
      <c r="H1371" s="51" t="s">
        <v>32</v>
      </c>
      <c r="I1371" s="55" t="s">
        <v>59</v>
      </c>
      <c r="J1371" s="56">
        <v>1000</v>
      </c>
      <c r="K1371" s="51" t="s">
        <v>295</v>
      </c>
      <c r="L1371" s="58">
        <v>1499000</v>
      </c>
      <c r="M1371" s="50">
        <f>ROUND('FA Addition'!$L1371*5%,0.1)</f>
        <v>74950</v>
      </c>
      <c r="N1371" s="113" t="str">
        <f>_xlfn.XLOOKUP(_xlfn.CONCAT(E1371,B1371),'Year Wise Master Dep Approach'!F:F,'Year Wise Master Dep Approach'!D:D)</f>
        <v>SLM</v>
      </c>
      <c r="O1371" s="113">
        <f>_xlfn.XLOOKUP(_xlfn.CONCAT(E1371,B1371),'Year Wise Master Dep Approach'!F:F,'Year Wise Master Dep Approach'!E:E)</f>
        <v>5</v>
      </c>
      <c r="P1371" s="114">
        <f>IFERROR(IF('FA Addition'!$N1371="WDV",1-('FA Addition'!$M1371/'FA Addition'!$L1371)^(1/'FA Addition'!$O1371),1/'FA Addition'!$O1371),0)</f>
        <v>0.2</v>
      </c>
      <c r="Q1371" s="122">
        <f>'FA Addition'!$P1371*'FA Addition'!$O1371</f>
        <v>1</v>
      </c>
      <c r="R1371" s="122"/>
      <c r="S1371" s="116">
        <f>IF(AND(DATE(20&amp;LEFT(FAAddition[[#This Row],[FY]],2),4,1)&lt;$L$1+1,DATE(20&amp;LEFT(FAAddition[[#This Row],[FY]],2),4,1)&gt;$P$1-1),'FA Addition'!$J1371,0)</f>
        <v>0</v>
      </c>
      <c r="U1371" s="117">
        <f>S1371*'FA Addition'!$L1371/'FA Addition'!$J1371</f>
        <v>0</v>
      </c>
      <c r="W1371" s="116">
        <f>SUMIFS('FA Write off'!D:D,'FA Write off'!A:A,'FA Addition'!$A1371,'FA Write off'!C:C,"&lt;"&amp;'FA Addition'!$P$1)</f>
        <v>0</v>
      </c>
      <c r="Y1371" s="191">
        <f>IFERROR(W1371/'FA Addition'!$J1371*'FA Addition'!$L1371,0)</f>
        <v>0</v>
      </c>
      <c r="AA1371" s="116">
        <f>SUMIFS('FA Write off'!D:D,'FA Write off'!A:A,'FA Addition'!$A1371,'FA Write off'!C:C,"&lt;"&amp;'FA Addition'!$L$1+1,'FA Write off'!C:C,"&gt;"&amp;'FA Addition'!$L$1-365)</f>
        <v>0</v>
      </c>
      <c r="AC1371" s="118">
        <f>IFERROR(AA1371/'FA Addition'!$J1371*'FA Addition'!$L1371,0)</f>
        <v>0</v>
      </c>
      <c r="AE1371" s="117">
        <f>IF(AND('FA Addition'!$D1371&lt;$P$1+1,U1371=0),'FA Addition'!$L1371,0)-Y1371</f>
        <v>0</v>
      </c>
      <c r="AF1371" s="117">
        <f t="shared" si="105"/>
        <v>0</v>
      </c>
      <c r="AG1371" s="117">
        <f>MIN(MAX(+$P$1-'FA Addition'!$D1371,0),365*'FA Addition'!$O1371)</f>
        <v>0</v>
      </c>
      <c r="AH1371" s="117">
        <f>MIN(MAX($L$1-'FA Addition'!$D1371+1,0),365*'FA Addition'!$O1371)</f>
        <v>0</v>
      </c>
      <c r="AI1371" s="117" cm="1">
        <f t="array" ref="AI1371">_xlfn.XLOOKUP(1,('FA Write off'!A:A='FA Addition'!$A1371)*('FA Write off'!D:D=AA1371),'FA Write off'!H:H,0,0)</f>
        <v>0</v>
      </c>
      <c r="AJ1371" s="117">
        <f>IF(AC1371&gt;0,MAX(IF('FA Addition'!$N1371="SLM",($AC1371-'FA Addition'!$M1371)*'FA Addition'!$P1371*AI1371/365,(AC1371-'FA Addition'!$M1371)*(1-(1-'FA Addition'!$P1371)^(AI1371/365))),0),0)</f>
        <v>0</v>
      </c>
      <c r="AL1371" s="117">
        <f>MAX(IF(AG1371&gt;0,IF('FA Addition'!$N1371="SLM",($AE1371-'FA Addition'!$M1371)*'FA Addition'!$P1371*AG1371/365,IFERROR(VDB(AE1371,AE1371*0.05,'FA Addition'!$O1371,0,YEARFRAC('FA Addition'!$C1371,$P$1-1,3),'FA Addition'!$Q1371),FAAddition[[#This Row],[Original Cost (Rs)]]-FAAddition[[#This Row],[Salvage Value]])),0),0)</f>
        <v>0</v>
      </c>
      <c r="AM1371" s="119"/>
      <c r="AN1371" s="117">
        <f>MAX(IF(AH1371&gt;0,IF('FA Addition'!$N1371="SLM",($AF1371-'FA Addition'!$M1371)*'FA Addition'!$P1371*AH1371/365,IFERROR(VDB(AF1371,AF1371*0.05,'FA Addition'!$O1371,0,YEARFRAC('FA Addition'!$C1371,$L$1,3),'FA Addition'!$Q1371),FAAddition[[#This Row],[Original Cost (Rs)]]-FAAddition[[#This Row],[Salvage Value]])),0),0)</f>
        <v>0</v>
      </c>
      <c r="AO1371" s="117">
        <f t="shared" si="108"/>
        <v>0</v>
      </c>
      <c r="AQ1371" s="117">
        <f t="shared" si="106"/>
        <v>0</v>
      </c>
      <c r="AR1371" s="120">
        <f t="shared" si="107"/>
        <v>0</v>
      </c>
      <c r="AS1371" s="121"/>
    </row>
    <row r="1372" spans="1:45" ht="13.5" x14ac:dyDescent="0.4">
      <c r="A1372" s="12">
        <f t="shared" si="109"/>
        <v>1369</v>
      </c>
      <c r="B1372" s="64" t="s">
        <v>10</v>
      </c>
      <c r="C1372" s="54">
        <v>45831</v>
      </c>
      <c r="D1372" s="54">
        <v>45838</v>
      </c>
      <c r="E1372" s="46" t="s">
        <v>32</v>
      </c>
      <c r="F1372" s="51" t="s">
        <v>33</v>
      </c>
      <c r="G1372" s="51" t="s">
        <v>36</v>
      </c>
      <c r="H1372" s="51" t="s">
        <v>32</v>
      </c>
      <c r="I1372" s="55" t="s">
        <v>60</v>
      </c>
      <c r="J1372" s="56">
        <v>1000</v>
      </c>
      <c r="K1372" s="51" t="s">
        <v>296</v>
      </c>
      <c r="L1372" s="58">
        <v>1600000</v>
      </c>
      <c r="M1372" s="50">
        <f>ROUND('FA Addition'!$L1372*5%,0.1)</f>
        <v>80000</v>
      </c>
      <c r="N1372" s="113" t="str">
        <f>_xlfn.XLOOKUP(_xlfn.CONCAT(E1372,B1372),'Year Wise Master Dep Approach'!F:F,'Year Wise Master Dep Approach'!D:D)</f>
        <v>SLM</v>
      </c>
      <c r="O1372" s="113">
        <f>_xlfn.XLOOKUP(_xlfn.CONCAT(E1372,B1372),'Year Wise Master Dep Approach'!F:F,'Year Wise Master Dep Approach'!E:E)</f>
        <v>5</v>
      </c>
      <c r="P1372" s="114">
        <f>IFERROR(IF('FA Addition'!$N1372="WDV",1-('FA Addition'!$M1372/'FA Addition'!$L1372)^(1/'FA Addition'!$O1372),1/'FA Addition'!$O1372),0)</f>
        <v>0.2</v>
      </c>
      <c r="Q1372" s="122">
        <f>'FA Addition'!$P1372*'FA Addition'!$O1372</f>
        <v>1</v>
      </c>
      <c r="R1372" s="122"/>
      <c r="S1372" s="116">
        <f>IF(AND(DATE(20&amp;LEFT(FAAddition[[#This Row],[FY]],2),4,1)&lt;$L$1+1,DATE(20&amp;LEFT(FAAddition[[#This Row],[FY]],2),4,1)&gt;$P$1-1),'FA Addition'!$J1372,0)</f>
        <v>0</v>
      </c>
      <c r="U1372" s="117">
        <f>S1372*'FA Addition'!$L1372/'FA Addition'!$J1372</f>
        <v>0</v>
      </c>
      <c r="W1372" s="116">
        <f>SUMIFS('FA Write off'!D:D,'FA Write off'!A:A,'FA Addition'!$A1372,'FA Write off'!C:C,"&lt;"&amp;'FA Addition'!$P$1)</f>
        <v>0</v>
      </c>
      <c r="Y1372" s="191">
        <f>IFERROR(W1372/'FA Addition'!$J1372*'FA Addition'!$L1372,0)</f>
        <v>0</v>
      </c>
      <c r="AA1372" s="116">
        <f>SUMIFS('FA Write off'!D:D,'FA Write off'!A:A,'FA Addition'!$A1372,'FA Write off'!C:C,"&lt;"&amp;'FA Addition'!$L$1+1,'FA Write off'!C:C,"&gt;"&amp;'FA Addition'!$L$1-365)</f>
        <v>0</v>
      </c>
      <c r="AC1372" s="118">
        <f>IFERROR(AA1372/'FA Addition'!$J1372*'FA Addition'!$L1372,0)</f>
        <v>0</v>
      </c>
      <c r="AE1372" s="117">
        <f>IF(AND('FA Addition'!$D1372&lt;$P$1+1,U1372=0),'FA Addition'!$L1372,0)-Y1372</f>
        <v>0</v>
      </c>
      <c r="AF1372" s="117">
        <f t="shared" si="105"/>
        <v>0</v>
      </c>
      <c r="AG1372" s="117">
        <f>MIN(MAX(+$P$1-'FA Addition'!$D1372,0),365*'FA Addition'!$O1372)</f>
        <v>0</v>
      </c>
      <c r="AH1372" s="117">
        <f>MIN(MAX($L$1-'FA Addition'!$D1372+1,0),365*'FA Addition'!$O1372)</f>
        <v>0</v>
      </c>
      <c r="AI1372" s="117" cm="1">
        <f t="array" ref="AI1372">_xlfn.XLOOKUP(1,('FA Write off'!A:A='FA Addition'!$A1372)*('FA Write off'!D:D=AA1372),'FA Write off'!H:H,0,0)</f>
        <v>0</v>
      </c>
      <c r="AJ1372" s="117">
        <f>IF(AC1372&gt;0,MAX(IF('FA Addition'!$N1372="SLM",($AC1372-'FA Addition'!$M1372)*'FA Addition'!$P1372*AI1372/365,(AC1372-'FA Addition'!$M1372)*(1-(1-'FA Addition'!$P1372)^(AI1372/365))),0),0)</f>
        <v>0</v>
      </c>
      <c r="AL1372" s="117">
        <f>MAX(IF(AG1372&gt;0,IF('FA Addition'!$N1372="SLM",($AE1372-'FA Addition'!$M1372)*'FA Addition'!$P1372*AG1372/365,IFERROR(VDB(AE1372,AE1372*0.05,'FA Addition'!$O1372,0,YEARFRAC('FA Addition'!$C1372,$P$1-1,3),'FA Addition'!$Q1372),FAAddition[[#This Row],[Original Cost (Rs)]]-FAAddition[[#This Row],[Salvage Value]])),0),0)</f>
        <v>0</v>
      </c>
      <c r="AM1372" s="119"/>
      <c r="AN1372" s="117">
        <f>MAX(IF(AH1372&gt;0,IF('FA Addition'!$N1372="SLM",($AF1372-'FA Addition'!$M1372)*'FA Addition'!$P1372*AH1372/365,IFERROR(VDB(AF1372,AF1372*0.05,'FA Addition'!$O1372,0,YEARFRAC('FA Addition'!$C1372,$L$1,3),'FA Addition'!$Q1372),FAAddition[[#This Row],[Original Cost (Rs)]]-FAAddition[[#This Row],[Salvage Value]])),0),0)</f>
        <v>0</v>
      </c>
      <c r="AO1372" s="117">
        <f t="shared" si="108"/>
        <v>0</v>
      </c>
      <c r="AQ1372" s="117">
        <f t="shared" si="106"/>
        <v>0</v>
      </c>
      <c r="AR1372" s="120">
        <f t="shared" si="107"/>
        <v>0</v>
      </c>
      <c r="AS1372" s="121"/>
    </row>
    <row r="1373" spans="1:45" ht="13.5" x14ac:dyDescent="0.4">
      <c r="A1373" s="12">
        <f t="shared" si="109"/>
        <v>1370</v>
      </c>
      <c r="B1373" s="64" t="s">
        <v>10</v>
      </c>
      <c r="C1373" s="54">
        <v>45838</v>
      </c>
      <c r="D1373" s="54">
        <v>45839</v>
      </c>
      <c r="E1373" s="46" t="s">
        <v>32</v>
      </c>
      <c r="F1373" s="51" t="s">
        <v>33</v>
      </c>
      <c r="G1373" s="51" t="s">
        <v>36</v>
      </c>
      <c r="H1373" s="51" t="s">
        <v>32</v>
      </c>
      <c r="I1373" s="55" t="s">
        <v>61</v>
      </c>
      <c r="J1373" s="56">
        <v>1000</v>
      </c>
      <c r="K1373" s="51" t="s">
        <v>296</v>
      </c>
      <c r="L1373" s="58">
        <v>1600000</v>
      </c>
      <c r="M1373" s="50">
        <f>ROUND('FA Addition'!$L1373*5%,0.1)</f>
        <v>80000</v>
      </c>
      <c r="N1373" s="113" t="str">
        <f>_xlfn.XLOOKUP(_xlfn.CONCAT(E1373,B1373),'Year Wise Master Dep Approach'!F:F,'Year Wise Master Dep Approach'!D:D)</f>
        <v>SLM</v>
      </c>
      <c r="O1373" s="113">
        <f>_xlfn.XLOOKUP(_xlfn.CONCAT(E1373,B1373),'Year Wise Master Dep Approach'!F:F,'Year Wise Master Dep Approach'!E:E)</f>
        <v>5</v>
      </c>
      <c r="P1373" s="114">
        <f>IFERROR(IF('FA Addition'!$N1373="WDV",1-('FA Addition'!$M1373/'FA Addition'!$L1373)^(1/'FA Addition'!$O1373),1/'FA Addition'!$O1373),0)</f>
        <v>0.2</v>
      </c>
      <c r="Q1373" s="122">
        <f>'FA Addition'!$P1373*'FA Addition'!$O1373</f>
        <v>1</v>
      </c>
      <c r="R1373" s="122"/>
      <c r="S1373" s="116">
        <f>IF(AND(DATE(20&amp;LEFT(FAAddition[[#This Row],[FY]],2),4,1)&lt;$L$1+1,DATE(20&amp;LEFT(FAAddition[[#This Row],[FY]],2),4,1)&gt;$P$1-1),'FA Addition'!$J1373,0)</f>
        <v>0</v>
      </c>
      <c r="U1373" s="117">
        <f>S1373*'FA Addition'!$L1373/'FA Addition'!$J1373</f>
        <v>0</v>
      </c>
      <c r="W1373" s="116">
        <f>SUMIFS('FA Write off'!D:D,'FA Write off'!A:A,'FA Addition'!$A1373,'FA Write off'!C:C,"&lt;"&amp;'FA Addition'!$P$1)</f>
        <v>0</v>
      </c>
      <c r="Y1373" s="191">
        <f>IFERROR(W1373/'FA Addition'!$J1373*'FA Addition'!$L1373,0)</f>
        <v>0</v>
      </c>
      <c r="AA1373" s="116">
        <f>SUMIFS('FA Write off'!D:D,'FA Write off'!A:A,'FA Addition'!$A1373,'FA Write off'!C:C,"&lt;"&amp;'FA Addition'!$L$1+1,'FA Write off'!C:C,"&gt;"&amp;'FA Addition'!$L$1-365)</f>
        <v>0</v>
      </c>
      <c r="AC1373" s="118">
        <f>IFERROR(AA1373/'FA Addition'!$J1373*'FA Addition'!$L1373,0)</f>
        <v>0</v>
      </c>
      <c r="AE1373" s="117">
        <f>IF(AND('FA Addition'!$D1373&lt;$P$1+1,U1373=0),'FA Addition'!$L1373,0)-Y1373</f>
        <v>0</v>
      </c>
      <c r="AF1373" s="117">
        <f t="shared" si="105"/>
        <v>0</v>
      </c>
      <c r="AG1373" s="117">
        <f>MIN(MAX(+$P$1-'FA Addition'!$D1373,0),365*'FA Addition'!$O1373)</f>
        <v>0</v>
      </c>
      <c r="AH1373" s="117">
        <f>MIN(MAX($L$1-'FA Addition'!$D1373+1,0),365*'FA Addition'!$O1373)</f>
        <v>0</v>
      </c>
      <c r="AI1373" s="117" cm="1">
        <f t="array" ref="AI1373">_xlfn.XLOOKUP(1,('FA Write off'!A:A='FA Addition'!$A1373)*('FA Write off'!D:D=AA1373),'FA Write off'!H:H,0,0)</f>
        <v>0</v>
      </c>
      <c r="AJ1373" s="117">
        <f>IF(AC1373&gt;0,MAX(IF('FA Addition'!$N1373="SLM",($AC1373-'FA Addition'!$M1373)*'FA Addition'!$P1373*AI1373/365,(AC1373-'FA Addition'!$M1373)*(1-(1-'FA Addition'!$P1373)^(AI1373/365))),0),0)</f>
        <v>0</v>
      </c>
      <c r="AL1373" s="117">
        <f>MAX(IF(AG1373&gt;0,IF('FA Addition'!$N1373="SLM",($AE1373-'FA Addition'!$M1373)*'FA Addition'!$P1373*AG1373/365,IFERROR(VDB(AE1373,AE1373*0.05,'FA Addition'!$O1373,0,YEARFRAC('FA Addition'!$C1373,$P$1-1,3),'FA Addition'!$Q1373),FAAddition[[#This Row],[Original Cost (Rs)]]-FAAddition[[#This Row],[Salvage Value]])),0),0)</f>
        <v>0</v>
      </c>
      <c r="AM1373" s="119"/>
      <c r="AN1373" s="117">
        <f>MAX(IF(AH1373&gt;0,IF('FA Addition'!$N1373="SLM",($AF1373-'FA Addition'!$M1373)*'FA Addition'!$P1373*AH1373/365,IFERROR(VDB(AF1373,AF1373*0.05,'FA Addition'!$O1373,0,YEARFRAC('FA Addition'!$C1373,$L$1,3),'FA Addition'!$Q1373),FAAddition[[#This Row],[Original Cost (Rs)]]-FAAddition[[#This Row],[Salvage Value]])),0),0)</f>
        <v>0</v>
      </c>
      <c r="AO1373" s="117">
        <f t="shared" si="108"/>
        <v>0</v>
      </c>
      <c r="AQ1373" s="117">
        <f t="shared" si="106"/>
        <v>0</v>
      </c>
      <c r="AR1373" s="120">
        <f t="shared" si="107"/>
        <v>0</v>
      </c>
      <c r="AS1373" s="121"/>
    </row>
    <row r="1374" spans="1:45" ht="13.5" x14ac:dyDescent="0.4">
      <c r="A1374" s="12">
        <f t="shared" si="109"/>
        <v>1371</v>
      </c>
      <c r="B1374" s="64" t="s">
        <v>10</v>
      </c>
      <c r="C1374" s="54">
        <v>45846</v>
      </c>
      <c r="D1374" s="54">
        <v>45847</v>
      </c>
      <c r="E1374" s="46" t="s">
        <v>32</v>
      </c>
      <c r="F1374" s="51" t="s">
        <v>33</v>
      </c>
      <c r="G1374" s="51" t="s">
        <v>34</v>
      </c>
      <c r="H1374" s="51" t="s">
        <v>32</v>
      </c>
      <c r="I1374" s="55" t="s">
        <v>62</v>
      </c>
      <c r="J1374" s="56">
        <v>1000</v>
      </c>
      <c r="K1374" s="51" t="s">
        <v>295</v>
      </c>
      <c r="L1374" s="58">
        <v>1499000</v>
      </c>
      <c r="M1374" s="50">
        <f>ROUND('FA Addition'!$L1374*5%,0.1)</f>
        <v>74950</v>
      </c>
      <c r="N1374" s="113" t="str">
        <f>_xlfn.XLOOKUP(_xlfn.CONCAT(E1374,B1374),'Year Wise Master Dep Approach'!F:F,'Year Wise Master Dep Approach'!D:D)</f>
        <v>SLM</v>
      </c>
      <c r="O1374" s="113">
        <f>_xlfn.XLOOKUP(_xlfn.CONCAT(E1374,B1374),'Year Wise Master Dep Approach'!F:F,'Year Wise Master Dep Approach'!E:E)</f>
        <v>5</v>
      </c>
      <c r="P1374" s="114">
        <f>IFERROR(IF('FA Addition'!$N1374="WDV",1-('FA Addition'!$M1374/'FA Addition'!$L1374)^(1/'FA Addition'!$O1374),1/'FA Addition'!$O1374),0)</f>
        <v>0.2</v>
      </c>
      <c r="Q1374" s="122">
        <f>'FA Addition'!$P1374*'FA Addition'!$O1374</f>
        <v>1</v>
      </c>
      <c r="R1374" s="122"/>
      <c r="S1374" s="116">
        <f>IF(AND(DATE(20&amp;LEFT(FAAddition[[#This Row],[FY]],2),4,1)&lt;$L$1+1,DATE(20&amp;LEFT(FAAddition[[#This Row],[FY]],2),4,1)&gt;$P$1-1),'FA Addition'!$J1374,0)</f>
        <v>0</v>
      </c>
      <c r="U1374" s="117">
        <f>S1374*'FA Addition'!$L1374/'FA Addition'!$J1374</f>
        <v>0</v>
      </c>
      <c r="W1374" s="116">
        <f>SUMIFS('FA Write off'!D:D,'FA Write off'!A:A,'FA Addition'!$A1374,'FA Write off'!C:C,"&lt;"&amp;'FA Addition'!$P$1)</f>
        <v>0</v>
      </c>
      <c r="Y1374" s="191">
        <f>IFERROR(W1374/'FA Addition'!$J1374*'FA Addition'!$L1374,0)</f>
        <v>0</v>
      </c>
      <c r="AA1374" s="116">
        <f>SUMIFS('FA Write off'!D:D,'FA Write off'!A:A,'FA Addition'!$A1374,'FA Write off'!C:C,"&lt;"&amp;'FA Addition'!$L$1+1,'FA Write off'!C:C,"&gt;"&amp;'FA Addition'!$L$1-365)</f>
        <v>0</v>
      </c>
      <c r="AC1374" s="118">
        <f>IFERROR(AA1374/'FA Addition'!$J1374*'FA Addition'!$L1374,0)</f>
        <v>0</v>
      </c>
      <c r="AE1374" s="117">
        <f>IF(AND('FA Addition'!$D1374&lt;$P$1+1,U1374=0),'FA Addition'!$L1374,0)-Y1374</f>
        <v>0</v>
      </c>
      <c r="AF1374" s="117">
        <f t="shared" si="105"/>
        <v>0</v>
      </c>
      <c r="AG1374" s="117">
        <f>MIN(MAX(+$P$1-'FA Addition'!$D1374,0),365*'FA Addition'!$O1374)</f>
        <v>0</v>
      </c>
      <c r="AH1374" s="117">
        <f>MIN(MAX($L$1-'FA Addition'!$D1374+1,0),365*'FA Addition'!$O1374)</f>
        <v>0</v>
      </c>
      <c r="AI1374" s="117" cm="1">
        <f t="array" ref="AI1374">_xlfn.XLOOKUP(1,('FA Write off'!A:A='FA Addition'!$A1374)*('FA Write off'!D:D=AA1374),'FA Write off'!H:H,0,0)</f>
        <v>0</v>
      </c>
      <c r="AJ1374" s="117">
        <f>IF(AC1374&gt;0,MAX(IF('FA Addition'!$N1374="SLM",($AC1374-'FA Addition'!$M1374)*'FA Addition'!$P1374*AI1374/365,(AC1374-'FA Addition'!$M1374)*(1-(1-'FA Addition'!$P1374)^(AI1374/365))),0),0)</f>
        <v>0</v>
      </c>
      <c r="AL1374" s="117">
        <f>MAX(IF(AG1374&gt;0,IF('FA Addition'!$N1374="SLM",($AE1374-'FA Addition'!$M1374)*'FA Addition'!$P1374*AG1374/365,IFERROR(VDB(AE1374,AE1374*0.05,'FA Addition'!$O1374,0,YEARFRAC('FA Addition'!$C1374,$P$1-1,3),'FA Addition'!$Q1374),FAAddition[[#This Row],[Original Cost (Rs)]]-FAAddition[[#This Row],[Salvage Value]])),0),0)</f>
        <v>0</v>
      </c>
      <c r="AM1374" s="119"/>
      <c r="AN1374" s="117">
        <f>MAX(IF(AH1374&gt;0,IF('FA Addition'!$N1374="SLM",($AF1374-'FA Addition'!$M1374)*'FA Addition'!$P1374*AH1374/365,IFERROR(VDB(AF1374,AF1374*0.05,'FA Addition'!$O1374,0,YEARFRAC('FA Addition'!$C1374,$L$1,3),'FA Addition'!$Q1374),FAAddition[[#This Row],[Original Cost (Rs)]]-FAAddition[[#This Row],[Salvage Value]])),0),0)</f>
        <v>0</v>
      </c>
      <c r="AO1374" s="117">
        <f t="shared" si="108"/>
        <v>0</v>
      </c>
      <c r="AQ1374" s="117">
        <f t="shared" si="106"/>
        <v>0</v>
      </c>
      <c r="AR1374" s="120">
        <f t="shared" si="107"/>
        <v>0</v>
      </c>
      <c r="AS1374" s="121"/>
    </row>
    <row r="1375" spans="1:45" ht="13.5" x14ac:dyDescent="0.4">
      <c r="A1375" s="12">
        <f t="shared" si="109"/>
        <v>1372</v>
      </c>
      <c r="B1375" s="64" t="s">
        <v>10</v>
      </c>
      <c r="C1375" s="54">
        <v>45828</v>
      </c>
      <c r="D1375" s="54">
        <v>45852</v>
      </c>
      <c r="E1375" s="46" t="s">
        <v>32</v>
      </c>
      <c r="F1375" s="51" t="s">
        <v>33</v>
      </c>
      <c r="G1375" s="51" t="s">
        <v>34</v>
      </c>
      <c r="H1375" s="51" t="s">
        <v>32</v>
      </c>
      <c r="I1375" s="55" t="s">
        <v>63</v>
      </c>
      <c r="J1375" s="56">
        <v>1000</v>
      </c>
      <c r="K1375" s="51" t="s">
        <v>295</v>
      </c>
      <c r="L1375" s="58">
        <v>1499000</v>
      </c>
      <c r="M1375" s="50">
        <f>ROUND('FA Addition'!$L1375*5%,0.1)</f>
        <v>74950</v>
      </c>
      <c r="N1375" s="113" t="str">
        <f>_xlfn.XLOOKUP(_xlfn.CONCAT(E1375,B1375),'Year Wise Master Dep Approach'!F:F,'Year Wise Master Dep Approach'!D:D)</f>
        <v>SLM</v>
      </c>
      <c r="O1375" s="113">
        <f>_xlfn.XLOOKUP(_xlfn.CONCAT(E1375,B1375),'Year Wise Master Dep Approach'!F:F,'Year Wise Master Dep Approach'!E:E)</f>
        <v>5</v>
      </c>
      <c r="P1375" s="114">
        <f>IFERROR(IF('FA Addition'!$N1375="WDV",1-('FA Addition'!$M1375/'FA Addition'!$L1375)^(1/'FA Addition'!$O1375),1/'FA Addition'!$O1375),0)</f>
        <v>0.2</v>
      </c>
      <c r="Q1375" s="122">
        <f>'FA Addition'!$P1375*'FA Addition'!$O1375</f>
        <v>1</v>
      </c>
      <c r="R1375" s="122"/>
      <c r="S1375" s="116">
        <f>IF(AND(DATE(20&amp;LEFT(FAAddition[[#This Row],[FY]],2),4,1)&lt;$L$1+1,DATE(20&amp;LEFT(FAAddition[[#This Row],[FY]],2),4,1)&gt;$P$1-1),'FA Addition'!$J1375,0)</f>
        <v>0</v>
      </c>
      <c r="U1375" s="117">
        <f>S1375*'FA Addition'!$L1375/'FA Addition'!$J1375</f>
        <v>0</v>
      </c>
      <c r="W1375" s="116">
        <f>SUMIFS('FA Write off'!D:D,'FA Write off'!A:A,'FA Addition'!$A1375,'FA Write off'!C:C,"&lt;"&amp;'FA Addition'!$P$1)</f>
        <v>0</v>
      </c>
      <c r="Y1375" s="191">
        <f>IFERROR(W1375/'FA Addition'!$J1375*'FA Addition'!$L1375,0)</f>
        <v>0</v>
      </c>
      <c r="AA1375" s="116">
        <f>SUMIFS('FA Write off'!D:D,'FA Write off'!A:A,'FA Addition'!$A1375,'FA Write off'!C:C,"&lt;"&amp;'FA Addition'!$L$1+1,'FA Write off'!C:C,"&gt;"&amp;'FA Addition'!$L$1-365)</f>
        <v>0</v>
      </c>
      <c r="AC1375" s="118">
        <f>IFERROR(AA1375/'FA Addition'!$J1375*'FA Addition'!$L1375,0)</f>
        <v>0</v>
      </c>
      <c r="AE1375" s="117">
        <f>IF(AND('FA Addition'!$D1375&lt;$P$1+1,U1375=0),'FA Addition'!$L1375,0)-Y1375</f>
        <v>0</v>
      </c>
      <c r="AF1375" s="117">
        <f t="shared" si="105"/>
        <v>0</v>
      </c>
      <c r="AG1375" s="117">
        <f>MIN(MAX(+$P$1-'FA Addition'!$D1375,0),365*'FA Addition'!$O1375)</f>
        <v>0</v>
      </c>
      <c r="AH1375" s="117">
        <f>MIN(MAX($L$1-'FA Addition'!$D1375+1,0),365*'FA Addition'!$O1375)</f>
        <v>0</v>
      </c>
      <c r="AI1375" s="117" cm="1">
        <f t="array" ref="AI1375">_xlfn.XLOOKUP(1,('FA Write off'!A:A='FA Addition'!$A1375)*('FA Write off'!D:D=AA1375),'FA Write off'!H:H,0,0)</f>
        <v>0</v>
      </c>
      <c r="AJ1375" s="117">
        <f>IF(AC1375&gt;0,MAX(IF('FA Addition'!$N1375="SLM",($AC1375-'FA Addition'!$M1375)*'FA Addition'!$P1375*AI1375/365,(AC1375-'FA Addition'!$M1375)*(1-(1-'FA Addition'!$P1375)^(AI1375/365))),0),0)</f>
        <v>0</v>
      </c>
      <c r="AL1375" s="117">
        <f>MAX(IF(AG1375&gt;0,IF('FA Addition'!$N1375="SLM",($AE1375-'FA Addition'!$M1375)*'FA Addition'!$P1375*AG1375/365,IFERROR(VDB(AE1375,AE1375*0.05,'FA Addition'!$O1375,0,YEARFRAC('FA Addition'!$C1375,$P$1-1,3),'FA Addition'!$Q1375),FAAddition[[#This Row],[Original Cost (Rs)]]-FAAddition[[#This Row],[Salvage Value]])),0),0)</f>
        <v>0</v>
      </c>
      <c r="AM1375" s="119"/>
      <c r="AN1375" s="117">
        <f>MAX(IF(AH1375&gt;0,IF('FA Addition'!$N1375="SLM",($AF1375-'FA Addition'!$M1375)*'FA Addition'!$P1375*AH1375/365,IFERROR(VDB(AF1375,AF1375*0.05,'FA Addition'!$O1375,0,YEARFRAC('FA Addition'!$C1375,$L$1,3),'FA Addition'!$Q1375),FAAddition[[#This Row],[Original Cost (Rs)]]-FAAddition[[#This Row],[Salvage Value]])),0),0)</f>
        <v>0</v>
      </c>
      <c r="AO1375" s="117">
        <f t="shared" si="108"/>
        <v>0</v>
      </c>
      <c r="AQ1375" s="117">
        <f t="shared" si="106"/>
        <v>0</v>
      </c>
      <c r="AR1375" s="120">
        <f t="shared" si="107"/>
        <v>0</v>
      </c>
      <c r="AS1375" s="121"/>
    </row>
    <row r="1376" spans="1:45" ht="13.5" x14ac:dyDescent="0.4">
      <c r="A1376" s="12">
        <f t="shared" si="109"/>
        <v>1373</v>
      </c>
      <c r="B1376" s="64" t="s">
        <v>10</v>
      </c>
      <c r="C1376" s="54">
        <v>45835</v>
      </c>
      <c r="D1376" s="54">
        <v>45852</v>
      </c>
      <c r="E1376" s="46" t="s">
        <v>32</v>
      </c>
      <c r="F1376" s="51" t="s">
        <v>33</v>
      </c>
      <c r="G1376" s="51" t="s">
        <v>36</v>
      </c>
      <c r="H1376" s="51" t="s">
        <v>32</v>
      </c>
      <c r="I1376" s="55" t="s">
        <v>64</v>
      </c>
      <c r="J1376" s="56">
        <v>1000</v>
      </c>
      <c r="K1376" s="51" t="s">
        <v>296</v>
      </c>
      <c r="L1376" s="58">
        <v>1600000</v>
      </c>
      <c r="M1376" s="50">
        <f>ROUND('FA Addition'!$L1376*5%,0.1)</f>
        <v>80000</v>
      </c>
      <c r="N1376" s="113" t="str">
        <f>_xlfn.XLOOKUP(_xlfn.CONCAT(E1376,B1376),'Year Wise Master Dep Approach'!F:F,'Year Wise Master Dep Approach'!D:D)</f>
        <v>SLM</v>
      </c>
      <c r="O1376" s="113">
        <f>_xlfn.XLOOKUP(_xlfn.CONCAT(E1376,B1376),'Year Wise Master Dep Approach'!F:F,'Year Wise Master Dep Approach'!E:E)</f>
        <v>5</v>
      </c>
      <c r="P1376" s="114">
        <f>IFERROR(IF('FA Addition'!$N1376="WDV",1-('FA Addition'!$M1376/'FA Addition'!$L1376)^(1/'FA Addition'!$O1376),1/'FA Addition'!$O1376),0)</f>
        <v>0.2</v>
      </c>
      <c r="Q1376" s="122">
        <f>'FA Addition'!$P1376*'FA Addition'!$O1376</f>
        <v>1</v>
      </c>
      <c r="R1376" s="122"/>
      <c r="S1376" s="116">
        <f>IF(AND(DATE(20&amp;LEFT(FAAddition[[#This Row],[FY]],2),4,1)&lt;$L$1+1,DATE(20&amp;LEFT(FAAddition[[#This Row],[FY]],2),4,1)&gt;$P$1-1),'FA Addition'!$J1376,0)</f>
        <v>0</v>
      </c>
      <c r="U1376" s="117">
        <f>S1376*'FA Addition'!$L1376/'FA Addition'!$J1376</f>
        <v>0</v>
      </c>
      <c r="W1376" s="116">
        <f>SUMIFS('FA Write off'!D:D,'FA Write off'!A:A,'FA Addition'!$A1376,'FA Write off'!C:C,"&lt;"&amp;'FA Addition'!$P$1)</f>
        <v>0</v>
      </c>
      <c r="Y1376" s="191">
        <f>IFERROR(W1376/'FA Addition'!$J1376*'FA Addition'!$L1376,0)</f>
        <v>0</v>
      </c>
      <c r="AA1376" s="116">
        <f>SUMIFS('FA Write off'!D:D,'FA Write off'!A:A,'FA Addition'!$A1376,'FA Write off'!C:C,"&lt;"&amp;'FA Addition'!$L$1+1,'FA Write off'!C:C,"&gt;"&amp;'FA Addition'!$L$1-365)</f>
        <v>0</v>
      </c>
      <c r="AC1376" s="118">
        <f>IFERROR(AA1376/'FA Addition'!$J1376*'FA Addition'!$L1376,0)</f>
        <v>0</v>
      </c>
      <c r="AE1376" s="117">
        <f>IF(AND('FA Addition'!$D1376&lt;$P$1+1,U1376=0),'FA Addition'!$L1376,0)-Y1376</f>
        <v>0</v>
      </c>
      <c r="AF1376" s="117">
        <f t="shared" si="105"/>
        <v>0</v>
      </c>
      <c r="AG1376" s="117">
        <f>MIN(MAX(+$P$1-'FA Addition'!$D1376,0),365*'FA Addition'!$O1376)</f>
        <v>0</v>
      </c>
      <c r="AH1376" s="117">
        <f>MIN(MAX($L$1-'FA Addition'!$D1376+1,0),365*'FA Addition'!$O1376)</f>
        <v>0</v>
      </c>
      <c r="AI1376" s="117" cm="1">
        <f t="array" ref="AI1376">_xlfn.XLOOKUP(1,('FA Write off'!A:A='FA Addition'!$A1376)*('FA Write off'!D:D=AA1376),'FA Write off'!H:H,0,0)</f>
        <v>0</v>
      </c>
      <c r="AJ1376" s="117">
        <f>IF(AC1376&gt;0,MAX(IF('FA Addition'!$N1376="SLM",($AC1376-'FA Addition'!$M1376)*'FA Addition'!$P1376*AI1376/365,(AC1376-'FA Addition'!$M1376)*(1-(1-'FA Addition'!$P1376)^(AI1376/365))),0),0)</f>
        <v>0</v>
      </c>
      <c r="AL1376" s="117">
        <f>MAX(IF(AG1376&gt;0,IF('FA Addition'!$N1376="SLM",($AE1376-'FA Addition'!$M1376)*'FA Addition'!$P1376*AG1376/365,IFERROR(VDB(AE1376,AE1376*0.05,'FA Addition'!$O1376,0,YEARFRAC('FA Addition'!$C1376,$P$1-1,3),'FA Addition'!$Q1376),FAAddition[[#This Row],[Original Cost (Rs)]]-FAAddition[[#This Row],[Salvage Value]])),0),0)</f>
        <v>0</v>
      </c>
      <c r="AM1376" s="119"/>
      <c r="AN1376" s="117">
        <f>MAX(IF(AH1376&gt;0,IF('FA Addition'!$N1376="SLM",($AF1376-'FA Addition'!$M1376)*'FA Addition'!$P1376*AH1376/365,IFERROR(VDB(AF1376,AF1376*0.05,'FA Addition'!$O1376,0,YEARFRAC('FA Addition'!$C1376,$L$1,3),'FA Addition'!$Q1376),FAAddition[[#This Row],[Original Cost (Rs)]]-FAAddition[[#This Row],[Salvage Value]])),0),0)</f>
        <v>0</v>
      </c>
      <c r="AO1376" s="117">
        <f t="shared" si="108"/>
        <v>0</v>
      </c>
      <c r="AQ1376" s="117">
        <f t="shared" si="106"/>
        <v>0</v>
      </c>
      <c r="AR1376" s="120">
        <f t="shared" si="107"/>
        <v>0</v>
      </c>
      <c r="AS1376" s="121"/>
    </row>
    <row r="1377" spans="1:45" ht="13.5" x14ac:dyDescent="0.4">
      <c r="A1377" s="12">
        <f t="shared" si="109"/>
        <v>1374</v>
      </c>
      <c r="B1377" s="64" t="s">
        <v>10</v>
      </c>
      <c r="C1377" s="54">
        <v>45859</v>
      </c>
      <c r="D1377" s="54">
        <v>45862</v>
      </c>
      <c r="E1377" s="46" t="s">
        <v>32</v>
      </c>
      <c r="F1377" s="51" t="s">
        <v>33</v>
      </c>
      <c r="G1377" s="51" t="s">
        <v>36</v>
      </c>
      <c r="H1377" s="51" t="s">
        <v>32</v>
      </c>
      <c r="I1377" s="55" t="s">
        <v>65</v>
      </c>
      <c r="J1377" s="56">
        <v>1000</v>
      </c>
      <c r="K1377" s="51" t="s">
        <v>296</v>
      </c>
      <c r="L1377" s="58">
        <v>1500000</v>
      </c>
      <c r="M1377" s="50">
        <f>ROUND('FA Addition'!$L1377*5%,0.1)</f>
        <v>75000</v>
      </c>
      <c r="N1377" s="113" t="str">
        <f>_xlfn.XLOOKUP(_xlfn.CONCAT(E1377,B1377),'Year Wise Master Dep Approach'!F:F,'Year Wise Master Dep Approach'!D:D)</f>
        <v>SLM</v>
      </c>
      <c r="O1377" s="113">
        <f>_xlfn.XLOOKUP(_xlfn.CONCAT(E1377,B1377),'Year Wise Master Dep Approach'!F:F,'Year Wise Master Dep Approach'!E:E)</f>
        <v>5</v>
      </c>
      <c r="P1377" s="114">
        <f>IFERROR(IF('FA Addition'!$N1377="WDV",1-('FA Addition'!$M1377/'FA Addition'!$L1377)^(1/'FA Addition'!$O1377),1/'FA Addition'!$O1377),0)</f>
        <v>0.2</v>
      </c>
      <c r="Q1377" s="122">
        <f>'FA Addition'!$P1377*'FA Addition'!$O1377</f>
        <v>1</v>
      </c>
      <c r="R1377" s="122"/>
      <c r="S1377" s="116">
        <f>IF(AND(DATE(20&amp;LEFT(FAAddition[[#This Row],[FY]],2),4,1)&lt;$L$1+1,DATE(20&amp;LEFT(FAAddition[[#This Row],[FY]],2),4,1)&gt;$P$1-1),'FA Addition'!$J1377,0)</f>
        <v>0</v>
      </c>
      <c r="U1377" s="117">
        <f>S1377*'FA Addition'!$L1377/'FA Addition'!$J1377</f>
        <v>0</v>
      </c>
      <c r="W1377" s="116">
        <f>SUMIFS('FA Write off'!D:D,'FA Write off'!A:A,'FA Addition'!$A1377,'FA Write off'!C:C,"&lt;"&amp;'FA Addition'!$P$1)</f>
        <v>0</v>
      </c>
      <c r="Y1377" s="191">
        <f>IFERROR(W1377/'FA Addition'!$J1377*'FA Addition'!$L1377,0)</f>
        <v>0</v>
      </c>
      <c r="AA1377" s="116">
        <f>SUMIFS('FA Write off'!D:D,'FA Write off'!A:A,'FA Addition'!$A1377,'FA Write off'!C:C,"&lt;"&amp;'FA Addition'!$L$1+1,'FA Write off'!C:C,"&gt;"&amp;'FA Addition'!$L$1-365)</f>
        <v>0</v>
      </c>
      <c r="AC1377" s="118">
        <f>IFERROR(AA1377/'FA Addition'!$J1377*'FA Addition'!$L1377,0)</f>
        <v>0</v>
      </c>
      <c r="AE1377" s="117">
        <f>IF(AND('FA Addition'!$D1377&lt;$P$1+1,U1377=0),'FA Addition'!$L1377,0)-Y1377</f>
        <v>0</v>
      </c>
      <c r="AF1377" s="117">
        <f t="shared" si="105"/>
        <v>0</v>
      </c>
      <c r="AG1377" s="117">
        <f>MIN(MAX(+$P$1-'FA Addition'!$D1377,0),365*'FA Addition'!$O1377)</f>
        <v>0</v>
      </c>
      <c r="AH1377" s="117">
        <f>MIN(MAX($L$1-'FA Addition'!$D1377+1,0),365*'FA Addition'!$O1377)</f>
        <v>0</v>
      </c>
      <c r="AI1377" s="117" cm="1">
        <f t="array" ref="AI1377">_xlfn.XLOOKUP(1,('FA Write off'!A:A='FA Addition'!$A1377)*('FA Write off'!D:D=AA1377),'FA Write off'!H:H,0,0)</f>
        <v>0</v>
      </c>
      <c r="AJ1377" s="117">
        <f>IF(AC1377&gt;0,MAX(IF('FA Addition'!$N1377="SLM",($AC1377-'FA Addition'!$M1377)*'FA Addition'!$P1377*AI1377/365,(AC1377-'FA Addition'!$M1377)*(1-(1-'FA Addition'!$P1377)^(AI1377/365))),0),0)</f>
        <v>0</v>
      </c>
      <c r="AL1377" s="117">
        <f>MAX(IF(AG1377&gt;0,IF('FA Addition'!$N1377="SLM",($AE1377-'FA Addition'!$M1377)*'FA Addition'!$P1377*AG1377/365,IFERROR(VDB(AE1377,AE1377*0.05,'FA Addition'!$O1377,0,YEARFRAC('FA Addition'!$C1377,$P$1-1,3),'FA Addition'!$Q1377),FAAddition[[#This Row],[Original Cost (Rs)]]-FAAddition[[#This Row],[Salvage Value]])),0),0)</f>
        <v>0</v>
      </c>
      <c r="AM1377" s="119"/>
      <c r="AN1377" s="117">
        <f>MAX(IF(AH1377&gt;0,IF('FA Addition'!$N1377="SLM",($AF1377-'FA Addition'!$M1377)*'FA Addition'!$P1377*AH1377/365,IFERROR(VDB(AF1377,AF1377*0.05,'FA Addition'!$O1377,0,YEARFRAC('FA Addition'!$C1377,$L$1,3),'FA Addition'!$Q1377),FAAddition[[#This Row],[Original Cost (Rs)]]-FAAddition[[#This Row],[Salvage Value]])),0),0)</f>
        <v>0</v>
      </c>
      <c r="AO1377" s="117">
        <f t="shared" si="108"/>
        <v>0</v>
      </c>
      <c r="AQ1377" s="117">
        <f t="shared" si="106"/>
        <v>0</v>
      </c>
      <c r="AR1377" s="120">
        <f t="shared" si="107"/>
        <v>0</v>
      </c>
      <c r="AS1377" s="121"/>
    </row>
    <row r="1378" spans="1:45" ht="13.5" x14ac:dyDescent="0.4">
      <c r="A1378" s="12">
        <f t="shared" si="109"/>
        <v>1375</v>
      </c>
      <c r="B1378" s="64" t="s">
        <v>10</v>
      </c>
      <c r="C1378" s="54">
        <v>45850</v>
      </c>
      <c r="D1378" s="54">
        <v>45862</v>
      </c>
      <c r="E1378" s="46" t="s">
        <v>32</v>
      </c>
      <c r="F1378" s="51" t="s">
        <v>33</v>
      </c>
      <c r="G1378" s="51" t="s">
        <v>34</v>
      </c>
      <c r="H1378" s="51" t="s">
        <v>32</v>
      </c>
      <c r="I1378" s="55" t="s">
        <v>66</v>
      </c>
      <c r="J1378" s="56">
        <v>1000</v>
      </c>
      <c r="K1378" s="51" t="s">
        <v>295</v>
      </c>
      <c r="L1378" s="58">
        <v>1499000</v>
      </c>
      <c r="M1378" s="50">
        <f>ROUND('FA Addition'!$L1378*5%,0.1)</f>
        <v>74950</v>
      </c>
      <c r="N1378" s="113" t="str">
        <f>_xlfn.XLOOKUP(_xlfn.CONCAT(E1378,B1378),'Year Wise Master Dep Approach'!F:F,'Year Wise Master Dep Approach'!D:D)</f>
        <v>SLM</v>
      </c>
      <c r="O1378" s="113">
        <f>_xlfn.XLOOKUP(_xlfn.CONCAT(E1378,B1378),'Year Wise Master Dep Approach'!F:F,'Year Wise Master Dep Approach'!E:E)</f>
        <v>5</v>
      </c>
      <c r="P1378" s="114">
        <f>IFERROR(IF('FA Addition'!$N1378="WDV",1-('FA Addition'!$M1378/'FA Addition'!$L1378)^(1/'FA Addition'!$O1378),1/'FA Addition'!$O1378),0)</f>
        <v>0.2</v>
      </c>
      <c r="Q1378" s="122">
        <f>'FA Addition'!$P1378*'FA Addition'!$O1378</f>
        <v>1</v>
      </c>
      <c r="R1378" s="122"/>
      <c r="S1378" s="116">
        <f>IF(AND(DATE(20&amp;LEFT(FAAddition[[#This Row],[FY]],2),4,1)&lt;$L$1+1,DATE(20&amp;LEFT(FAAddition[[#This Row],[FY]],2),4,1)&gt;$P$1-1),'FA Addition'!$J1378,0)</f>
        <v>0</v>
      </c>
      <c r="U1378" s="117">
        <f>S1378*'FA Addition'!$L1378/'FA Addition'!$J1378</f>
        <v>0</v>
      </c>
      <c r="W1378" s="116">
        <f>SUMIFS('FA Write off'!D:D,'FA Write off'!A:A,'FA Addition'!$A1378,'FA Write off'!C:C,"&lt;"&amp;'FA Addition'!$P$1)</f>
        <v>0</v>
      </c>
      <c r="Y1378" s="191">
        <f>IFERROR(W1378/'FA Addition'!$J1378*'FA Addition'!$L1378,0)</f>
        <v>0</v>
      </c>
      <c r="AA1378" s="116">
        <f>SUMIFS('FA Write off'!D:D,'FA Write off'!A:A,'FA Addition'!$A1378,'FA Write off'!C:C,"&lt;"&amp;'FA Addition'!$L$1+1,'FA Write off'!C:C,"&gt;"&amp;'FA Addition'!$L$1-365)</f>
        <v>0</v>
      </c>
      <c r="AC1378" s="118">
        <f>IFERROR(AA1378/'FA Addition'!$J1378*'FA Addition'!$L1378,0)</f>
        <v>0</v>
      </c>
      <c r="AE1378" s="117">
        <f>IF(AND('FA Addition'!$D1378&lt;$P$1+1,U1378=0),'FA Addition'!$L1378,0)-Y1378</f>
        <v>0</v>
      </c>
      <c r="AF1378" s="117">
        <f t="shared" si="105"/>
        <v>0</v>
      </c>
      <c r="AG1378" s="117">
        <f>MIN(MAX(+$P$1-'FA Addition'!$D1378,0),365*'FA Addition'!$O1378)</f>
        <v>0</v>
      </c>
      <c r="AH1378" s="117">
        <f>MIN(MAX($L$1-'FA Addition'!$D1378+1,0),365*'FA Addition'!$O1378)</f>
        <v>0</v>
      </c>
      <c r="AI1378" s="117" cm="1">
        <f t="array" ref="AI1378">_xlfn.XLOOKUP(1,('FA Write off'!A:A='FA Addition'!$A1378)*('FA Write off'!D:D=AA1378),'FA Write off'!H:H,0,0)</f>
        <v>0</v>
      </c>
      <c r="AJ1378" s="117">
        <f>IF(AC1378&gt;0,MAX(IF('FA Addition'!$N1378="SLM",($AC1378-'FA Addition'!$M1378)*'FA Addition'!$P1378*AI1378/365,(AC1378-'FA Addition'!$M1378)*(1-(1-'FA Addition'!$P1378)^(AI1378/365))),0),0)</f>
        <v>0</v>
      </c>
      <c r="AL1378" s="117">
        <f>MAX(IF(AG1378&gt;0,IF('FA Addition'!$N1378="SLM",($AE1378-'FA Addition'!$M1378)*'FA Addition'!$P1378*AG1378/365,IFERROR(VDB(AE1378,AE1378*0.05,'FA Addition'!$O1378,0,YEARFRAC('FA Addition'!$C1378,$P$1-1,3),'FA Addition'!$Q1378),FAAddition[[#This Row],[Original Cost (Rs)]]-FAAddition[[#This Row],[Salvage Value]])),0),0)</f>
        <v>0</v>
      </c>
      <c r="AM1378" s="119"/>
      <c r="AN1378" s="117">
        <f>MAX(IF(AH1378&gt;0,IF('FA Addition'!$N1378="SLM",($AF1378-'FA Addition'!$M1378)*'FA Addition'!$P1378*AH1378/365,IFERROR(VDB(AF1378,AF1378*0.05,'FA Addition'!$O1378,0,YEARFRAC('FA Addition'!$C1378,$L$1,3),'FA Addition'!$Q1378),FAAddition[[#This Row],[Original Cost (Rs)]]-FAAddition[[#This Row],[Salvage Value]])),0),0)</f>
        <v>0</v>
      </c>
      <c r="AO1378" s="117">
        <f t="shared" si="108"/>
        <v>0</v>
      </c>
      <c r="AQ1378" s="117">
        <f t="shared" si="106"/>
        <v>0</v>
      </c>
      <c r="AR1378" s="120">
        <f t="shared" si="107"/>
        <v>0</v>
      </c>
      <c r="AS1378" s="121"/>
    </row>
    <row r="1379" spans="1:45" ht="13.5" x14ac:dyDescent="0.4">
      <c r="A1379" s="12">
        <f t="shared" si="109"/>
        <v>1376</v>
      </c>
      <c r="B1379" s="64" t="s">
        <v>10</v>
      </c>
      <c r="C1379" s="54">
        <v>45854</v>
      </c>
      <c r="D1379" s="54">
        <v>45862</v>
      </c>
      <c r="E1379" s="46" t="s">
        <v>32</v>
      </c>
      <c r="F1379" s="51" t="s">
        <v>33</v>
      </c>
      <c r="G1379" s="51" t="s">
        <v>34</v>
      </c>
      <c r="H1379" s="51" t="s">
        <v>32</v>
      </c>
      <c r="I1379" s="55" t="s">
        <v>67</v>
      </c>
      <c r="J1379" s="56">
        <v>1000</v>
      </c>
      <c r="K1379" s="51" t="s">
        <v>295</v>
      </c>
      <c r="L1379" s="58">
        <v>1499000</v>
      </c>
      <c r="M1379" s="50">
        <f>ROUND('FA Addition'!$L1379*5%,0.1)</f>
        <v>74950</v>
      </c>
      <c r="N1379" s="113" t="str">
        <f>_xlfn.XLOOKUP(_xlfn.CONCAT(E1379,B1379),'Year Wise Master Dep Approach'!F:F,'Year Wise Master Dep Approach'!D:D)</f>
        <v>SLM</v>
      </c>
      <c r="O1379" s="113">
        <f>_xlfn.XLOOKUP(_xlfn.CONCAT(E1379,B1379),'Year Wise Master Dep Approach'!F:F,'Year Wise Master Dep Approach'!E:E)</f>
        <v>5</v>
      </c>
      <c r="P1379" s="114">
        <f>IFERROR(IF('FA Addition'!$N1379="WDV",1-('FA Addition'!$M1379/'FA Addition'!$L1379)^(1/'FA Addition'!$O1379),1/'FA Addition'!$O1379),0)</f>
        <v>0.2</v>
      </c>
      <c r="Q1379" s="122">
        <f>'FA Addition'!$P1379*'FA Addition'!$O1379</f>
        <v>1</v>
      </c>
      <c r="R1379" s="122"/>
      <c r="S1379" s="116">
        <f>IF(AND(DATE(20&amp;LEFT(FAAddition[[#This Row],[FY]],2),4,1)&lt;$L$1+1,DATE(20&amp;LEFT(FAAddition[[#This Row],[FY]],2),4,1)&gt;$P$1-1),'FA Addition'!$J1379,0)</f>
        <v>0</v>
      </c>
      <c r="U1379" s="117">
        <f>S1379*'FA Addition'!$L1379/'FA Addition'!$J1379</f>
        <v>0</v>
      </c>
      <c r="W1379" s="116">
        <f>SUMIFS('FA Write off'!D:D,'FA Write off'!A:A,'FA Addition'!$A1379,'FA Write off'!C:C,"&lt;"&amp;'FA Addition'!$P$1)</f>
        <v>0</v>
      </c>
      <c r="Y1379" s="191">
        <f>IFERROR(W1379/'FA Addition'!$J1379*'FA Addition'!$L1379,0)</f>
        <v>0</v>
      </c>
      <c r="AA1379" s="116">
        <f>SUMIFS('FA Write off'!D:D,'FA Write off'!A:A,'FA Addition'!$A1379,'FA Write off'!C:C,"&lt;"&amp;'FA Addition'!$L$1+1,'FA Write off'!C:C,"&gt;"&amp;'FA Addition'!$L$1-365)</f>
        <v>0</v>
      </c>
      <c r="AC1379" s="118">
        <f>IFERROR(AA1379/'FA Addition'!$J1379*'FA Addition'!$L1379,0)</f>
        <v>0</v>
      </c>
      <c r="AE1379" s="117">
        <f>IF(AND('FA Addition'!$D1379&lt;$P$1+1,U1379=0),'FA Addition'!$L1379,0)-Y1379</f>
        <v>0</v>
      </c>
      <c r="AF1379" s="117">
        <f t="shared" si="105"/>
        <v>0</v>
      </c>
      <c r="AG1379" s="117">
        <f>MIN(MAX(+$P$1-'FA Addition'!$D1379,0),365*'FA Addition'!$O1379)</f>
        <v>0</v>
      </c>
      <c r="AH1379" s="117">
        <f>MIN(MAX($L$1-'FA Addition'!$D1379+1,0),365*'FA Addition'!$O1379)</f>
        <v>0</v>
      </c>
      <c r="AI1379" s="117" cm="1">
        <f t="array" ref="AI1379">_xlfn.XLOOKUP(1,('FA Write off'!A:A='FA Addition'!$A1379)*('FA Write off'!D:D=AA1379),'FA Write off'!H:H,0,0)</f>
        <v>0</v>
      </c>
      <c r="AJ1379" s="117">
        <f>IF(AC1379&gt;0,MAX(IF('FA Addition'!$N1379="SLM",($AC1379-'FA Addition'!$M1379)*'FA Addition'!$P1379*AI1379/365,(AC1379-'FA Addition'!$M1379)*(1-(1-'FA Addition'!$P1379)^(AI1379/365))),0),0)</f>
        <v>0</v>
      </c>
      <c r="AL1379" s="117">
        <f>MAX(IF(AG1379&gt;0,IF('FA Addition'!$N1379="SLM",($AE1379-'FA Addition'!$M1379)*'FA Addition'!$P1379*AG1379/365,IFERROR(VDB(AE1379,AE1379*0.05,'FA Addition'!$O1379,0,YEARFRAC('FA Addition'!$C1379,$P$1-1,3),'FA Addition'!$Q1379),FAAddition[[#This Row],[Original Cost (Rs)]]-FAAddition[[#This Row],[Salvage Value]])),0),0)</f>
        <v>0</v>
      </c>
      <c r="AM1379" s="119"/>
      <c r="AN1379" s="117">
        <f>MAX(IF(AH1379&gt;0,IF('FA Addition'!$N1379="SLM",($AF1379-'FA Addition'!$M1379)*'FA Addition'!$P1379*AH1379/365,IFERROR(VDB(AF1379,AF1379*0.05,'FA Addition'!$O1379,0,YEARFRAC('FA Addition'!$C1379,$L$1,3),'FA Addition'!$Q1379),FAAddition[[#This Row],[Original Cost (Rs)]]-FAAddition[[#This Row],[Salvage Value]])),0),0)</f>
        <v>0</v>
      </c>
      <c r="AO1379" s="117">
        <f t="shared" si="108"/>
        <v>0</v>
      </c>
      <c r="AQ1379" s="117">
        <f t="shared" si="106"/>
        <v>0</v>
      </c>
      <c r="AR1379" s="120">
        <f t="shared" si="107"/>
        <v>0</v>
      </c>
      <c r="AS1379" s="121"/>
    </row>
    <row r="1380" spans="1:45" ht="13.5" x14ac:dyDescent="0.4">
      <c r="A1380" s="12">
        <f t="shared" si="109"/>
        <v>1377</v>
      </c>
      <c r="B1380" s="64" t="s">
        <v>10</v>
      </c>
      <c r="C1380" s="54">
        <v>45857</v>
      </c>
      <c r="D1380" s="54">
        <v>45862</v>
      </c>
      <c r="E1380" s="46" t="s">
        <v>32</v>
      </c>
      <c r="F1380" s="51" t="s">
        <v>33</v>
      </c>
      <c r="G1380" s="51" t="s">
        <v>34</v>
      </c>
      <c r="H1380" s="51" t="s">
        <v>32</v>
      </c>
      <c r="I1380" s="55" t="s">
        <v>68</v>
      </c>
      <c r="J1380" s="56">
        <v>1000</v>
      </c>
      <c r="K1380" s="51" t="s">
        <v>295</v>
      </c>
      <c r="L1380" s="58">
        <v>1499000</v>
      </c>
      <c r="M1380" s="50">
        <f>ROUND('FA Addition'!$L1380*5%,0.1)</f>
        <v>74950</v>
      </c>
      <c r="N1380" s="113" t="str">
        <f>_xlfn.XLOOKUP(_xlfn.CONCAT(E1380,B1380),'Year Wise Master Dep Approach'!F:F,'Year Wise Master Dep Approach'!D:D)</f>
        <v>SLM</v>
      </c>
      <c r="O1380" s="113">
        <f>_xlfn.XLOOKUP(_xlfn.CONCAT(E1380,B1380),'Year Wise Master Dep Approach'!F:F,'Year Wise Master Dep Approach'!E:E)</f>
        <v>5</v>
      </c>
      <c r="P1380" s="114">
        <f>IFERROR(IF('FA Addition'!$N1380="WDV",1-('FA Addition'!$M1380/'FA Addition'!$L1380)^(1/'FA Addition'!$O1380),1/'FA Addition'!$O1380),0)</f>
        <v>0.2</v>
      </c>
      <c r="Q1380" s="122">
        <f>'FA Addition'!$P1380*'FA Addition'!$O1380</f>
        <v>1</v>
      </c>
      <c r="R1380" s="122"/>
      <c r="S1380" s="116">
        <f>IF(AND(DATE(20&amp;LEFT(FAAddition[[#This Row],[FY]],2),4,1)&lt;$L$1+1,DATE(20&amp;LEFT(FAAddition[[#This Row],[FY]],2),4,1)&gt;$P$1-1),'FA Addition'!$J1380,0)</f>
        <v>0</v>
      </c>
      <c r="U1380" s="117">
        <f>S1380*'FA Addition'!$L1380/'FA Addition'!$J1380</f>
        <v>0</v>
      </c>
      <c r="W1380" s="116">
        <f>SUMIFS('FA Write off'!D:D,'FA Write off'!A:A,'FA Addition'!$A1380,'FA Write off'!C:C,"&lt;"&amp;'FA Addition'!$P$1)</f>
        <v>0</v>
      </c>
      <c r="Y1380" s="191">
        <f>IFERROR(W1380/'FA Addition'!$J1380*'FA Addition'!$L1380,0)</f>
        <v>0</v>
      </c>
      <c r="AA1380" s="116">
        <f>SUMIFS('FA Write off'!D:D,'FA Write off'!A:A,'FA Addition'!$A1380,'FA Write off'!C:C,"&lt;"&amp;'FA Addition'!$L$1+1,'FA Write off'!C:C,"&gt;"&amp;'FA Addition'!$L$1-365)</f>
        <v>0</v>
      </c>
      <c r="AC1380" s="118">
        <f>IFERROR(AA1380/'FA Addition'!$J1380*'FA Addition'!$L1380,0)</f>
        <v>0</v>
      </c>
      <c r="AE1380" s="117">
        <f>IF(AND('FA Addition'!$D1380&lt;$P$1+1,U1380=0),'FA Addition'!$L1380,0)-Y1380</f>
        <v>0</v>
      </c>
      <c r="AF1380" s="117">
        <f t="shared" si="105"/>
        <v>0</v>
      </c>
      <c r="AG1380" s="117">
        <f>MIN(MAX(+$P$1-'FA Addition'!$D1380,0),365*'FA Addition'!$O1380)</f>
        <v>0</v>
      </c>
      <c r="AH1380" s="117">
        <f>MIN(MAX($L$1-'FA Addition'!$D1380+1,0),365*'FA Addition'!$O1380)</f>
        <v>0</v>
      </c>
      <c r="AI1380" s="117" cm="1">
        <f t="array" ref="AI1380">_xlfn.XLOOKUP(1,('FA Write off'!A:A='FA Addition'!$A1380)*('FA Write off'!D:D=AA1380),'FA Write off'!H:H,0,0)</f>
        <v>0</v>
      </c>
      <c r="AJ1380" s="117">
        <f>IF(AC1380&gt;0,MAX(IF('FA Addition'!$N1380="SLM",($AC1380-'FA Addition'!$M1380)*'FA Addition'!$P1380*AI1380/365,(AC1380-'FA Addition'!$M1380)*(1-(1-'FA Addition'!$P1380)^(AI1380/365))),0),0)</f>
        <v>0</v>
      </c>
      <c r="AL1380" s="117">
        <f>MAX(IF(AG1380&gt;0,IF('FA Addition'!$N1380="SLM",($AE1380-'FA Addition'!$M1380)*'FA Addition'!$P1380*AG1380/365,IFERROR(VDB(AE1380,AE1380*0.05,'FA Addition'!$O1380,0,YEARFRAC('FA Addition'!$C1380,$P$1-1,3),'FA Addition'!$Q1380),FAAddition[[#This Row],[Original Cost (Rs)]]-FAAddition[[#This Row],[Salvage Value]])),0),0)</f>
        <v>0</v>
      </c>
      <c r="AM1380" s="119"/>
      <c r="AN1380" s="117">
        <f>MAX(IF(AH1380&gt;0,IF('FA Addition'!$N1380="SLM",($AF1380-'FA Addition'!$M1380)*'FA Addition'!$P1380*AH1380/365,IFERROR(VDB(AF1380,AF1380*0.05,'FA Addition'!$O1380,0,YEARFRAC('FA Addition'!$C1380,$L$1,3),'FA Addition'!$Q1380),FAAddition[[#This Row],[Original Cost (Rs)]]-FAAddition[[#This Row],[Salvage Value]])),0),0)</f>
        <v>0</v>
      </c>
      <c r="AO1380" s="117">
        <f t="shared" si="108"/>
        <v>0</v>
      </c>
      <c r="AQ1380" s="117">
        <f t="shared" si="106"/>
        <v>0</v>
      </c>
      <c r="AR1380" s="120">
        <f t="shared" si="107"/>
        <v>0</v>
      </c>
      <c r="AS1380" s="121"/>
    </row>
    <row r="1381" spans="1:45" ht="13.5" x14ac:dyDescent="0.4">
      <c r="A1381" s="12">
        <f t="shared" si="109"/>
        <v>1378</v>
      </c>
      <c r="B1381" s="64" t="s">
        <v>10</v>
      </c>
      <c r="C1381" s="54">
        <v>45865</v>
      </c>
      <c r="D1381" s="54">
        <v>45867</v>
      </c>
      <c r="E1381" s="46" t="s">
        <v>32</v>
      </c>
      <c r="F1381" s="51" t="s">
        <v>33</v>
      </c>
      <c r="G1381" s="51" t="s">
        <v>34</v>
      </c>
      <c r="H1381" s="51" t="s">
        <v>32</v>
      </c>
      <c r="I1381" s="55" t="s">
        <v>69</v>
      </c>
      <c r="J1381" s="56">
        <v>1000</v>
      </c>
      <c r="K1381" s="51" t="s">
        <v>295</v>
      </c>
      <c r="L1381" s="58">
        <v>1499000</v>
      </c>
      <c r="M1381" s="50">
        <f>ROUND('FA Addition'!$L1381*5%,0.1)</f>
        <v>74950</v>
      </c>
      <c r="N1381" s="113" t="str">
        <f>_xlfn.XLOOKUP(_xlfn.CONCAT(E1381,B1381),'Year Wise Master Dep Approach'!F:F,'Year Wise Master Dep Approach'!D:D)</f>
        <v>SLM</v>
      </c>
      <c r="O1381" s="113">
        <f>_xlfn.XLOOKUP(_xlfn.CONCAT(E1381,B1381),'Year Wise Master Dep Approach'!F:F,'Year Wise Master Dep Approach'!E:E)</f>
        <v>5</v>
      </c>
      <c r="P1381" s="114">
        <f>IFERROR(IF('FA Addition'!$N1381="WDV",1-('FA Addition'!$M1381/'FA Addition'!$L1381)^(1/'FA Addition'!$O1381),1/'FA Addition'!$O1381),0)</f>
        <v>0.2</v>
      </c>
      <c r="Q1381" s="122">
        <f>'FA Addition'!$P1381*'FA Addition'!$O1381</f>
        <v>1</v>
      </c>
      <c r="R1381" s="122"/>
      <c r="S1381" s="116">
        <f>IF(AND(DATE(20&amp;LEFT(FAAddition[[#This Row],[FY]],2),4,1)&lt;$L$1+1,DATE(20&amp;LEFT(FAAddition[[#This Row],[FY]],2),4,1)&gt;$P$1-1),'FA Addition'!$J1381,0)</f>
        <v>0</v>
      </c>
      <c r="U1381" s="117">
        <f>S1381*'FA Addition'!$L1381/'FA Addition'!$J1381</f>
        <v>0</v>
      </c>
      <c r="W1381" s="116">
        <f>SUMIFS('FA Write off'!D:D,'FA Write off'!A:A,'FA Addition'!$A1381,'FA Write off'!C:C,"&lt;"&amp;'FA Addition'!$P$1)</f>
        <v>0</v>
      </c>
      <c r="Y1381" s="191">
        <f>IFERROR(W1381/'FA Addition'!$J1381*'FA Addition'!$L1381,0)</f>
        <v>0</v>
      </c>
      <c r="AA1381" s="116">
        <f>SUMIFS('FA Write off'!D:D,'FA Write off'!A:A,'FA Addition'!$A1381,'FA Write off'!C:C,"&lt;"&amp;'FA Addition'!$L$1+1,'FA Write off'!C:C,"&gt;"&amp;'FA Addition'!$L$1-365)</f>
        <v>0</v>
      </c>
      <c r="AC1381" s="118">
        <f>IFERROR(AA1381/'FA Addition'!$J1381*'FA Addition'!$L1381,0)</f>
        <v>0</v>
      </c>
      <c r="AE1381" s="117">
        <f>IF(AND('FA Addition'!$D1381&lt;$P$1+1,U1381=0),'FA Addition'!$L1381,0)-Y1381</f>
        <v>0</v>
      </c>
      <c r="AF1381" s="117">
        <f t="shared" si="105"/>
        <v>0</v>
      </c>
      <c r="AG1381" s="117">
        <f>MIN(MAX(+$P$1-'FA Addition'!$D1381,0),365*'FA Addition'!$O1381)</f>
        <v>0</v>
      </c>
      <c r="AH1381" s="117">
        <f>MIN(MAX($L$1-'FA Addition'!$D1381+1,0),365*'FA Addition'!$O1381)</f>
        <v>0</v>
      </c>
      <c r="AI1381" s="117" cm="1">
        <f t="array" ref="AI1381">_xlfn.XLOOKUP(1,('FA Write off'!A:A='FA Addition'!$A1381)*('FA Write off'!D:D=AA1381),'FA Write off'!H:H,0,0)</f>
        <v>0</v>
      </c>
      <c r="AJ1381" s="117">
        <f>IF(AC1381&gt;0,MAX(IF('FA Addition'!$N1381="SLM",($AC1381-'FA Addition'!$M1381)*'FA Addition'!$P1381*AI1381/365,(AC1381-'FA Addition'!$M1381)*(1-(1-'FA Addition'!$P1381)^(AI1381/365))),0),0)</f>
        <v>0</v>
      </c>
      <c r="AL1381" s="117">
        <f>MAX(IF(AG1381&gt;0,IF('FA Addition'!$N1381="SLM",($AE1381-'FA Addition'!$M1381)*'FA Addition'!$P1381*AG1381/365,IFERROR(VDB(AE1381,AE1381*0.05,'FA Addition'!$O1381,0,YEARFRAC('FA Addition'!$C1381,$P$1-1,3),'FA Addition'!$Q1381),FAAddition[[#This Row],[Original Cost (Rs)]]-FAAddition[[#This Row],[Salvage Value]])),0),0)</f>
        <v>0</v>
      </c>
      <c r="AM1381" s="119"/>
      <c r="AN1381" s="117">
        <f>MAX(IF(AH1381&gt;0,IF('FA Addition'!$N1381="SLM",($AF1381-'FA Addition'!$M1381)*'FA Addition'!$P1381*AH1381/365,IFERROR(VDB(AF1381,AF1381*0.05,'FA Addition'!$O1381,0,YEARFRAC('FA Addition'!$C1381,$L$1,3),'FA Addition'!$Q1381),FAAddition[[#This Row],[Original Cost (Rs)]]-FAAddition[[#This Row],[Salvage Value]])),0),0)</f>
        <v>0</v>
      </c>
      <c r="AO1381" s="117">
        <f t="shared" si="108"/>
        <v>0</v>
      </c>
      <c r="AQ1381" s="117">
        <f t="shared" si="106"/>
        <v>0</v>
      </c>
      <c r="AR1381" s="120">
        <f t="shared" si="107"/>
        <v>0</v>
      </c>
      <c r="AS1381" s="121"/>
    </row>
    <row r="1382" spans="1:45" ht="13.5" x14ac:dyDescent="0.4">
      <c r="A1382" s="12">
        <f t="shared" si="109"/>
        <v>1379</v>
      </c>
      <c r="B1382" s="64" t="s">
        <v>10</v>
      </c>
      <c r="C1382" s="54">
        <v>45864</v>
      </c>
      <c r="D1382" s="54">
        <v>45869</v>
      </c>
      <c r="E1382" s="46" t="s">
        <v>32</v>
      </c>
      <c r="F1382" s="51" t="s">
        <v>33</v>
      </c>
      <c r="G1382" s="51" t="s">
        <v>36</v>
      </c>
      <c r="H1382" s="51" t="s">
        <v>32</v>
      </c>
      <c r="I1382" s="55" t="s">
        <v>70</v>
      </c>
      <c r="J1382" s="56">
        <v>500</v>
      </c>
      <c r="K1382" s="51" t="s">
        <v>296</v>
      </c>
      <c r="L1382" s="58">
        <v>750000</v>
      </c>
      <c r="M1382" s="50">
        <f>ROUND('FA Addition'!$L1382*5%,0.1)</f>
        <v>37500</v>
      </c>
      <c r="N1382" s="113" t="str">
        <f>_xlfn.XLOOKUP(_xlfn.CONCAT(E1382,B1382),'Year Wise Master Dep Approach'!F:F,'Year Wise Master Dep Approach'!D:D)</f>
        <v>SLM</v>
      </c>
      <c r="O1382" s="113">
        <f>_xlfn.XLOOKUP(_xlfn.CONCAT(E1382,B1382),'Year Wise Master Dep Approach'!F:F,'Year Wise Master Dep Approach'!E:E)</f>
        <v>5</v>
      </c>
      <c r="P1382" s="114">
        <f>IFERROR(IF('FA Addition'!$N1382="WDV",1-('FA Addition'!$M1382/'FA Addition'!$L1382)^(1/'FA Addition'!$O1382),1/'FA Addition'!$O1382),0)</f>
        <v>0.2</v>
      </c>
      <c r="Q1382" s="122">
        <f>'FA Addition'!$P1382*'FA Addition'!$O1382</f>
        <v>1</v>
      </c>
      <c r="R1382" s="122"/>
      <c r="S1382" s="116">
        <f>IF(AND(DATE(20&amp;LEFT(FAAddition[[#This Row],[FY]],2),4,1)&lt;$L$1+1,DATE(20&amp;LEFT(FAAddition[[#This Row],[FY]],2),4,1)&gt;$P$1-1),'FA Addition'!$J1382,0)</f>
        <v>0</v>
      </c>
      <c r="U1382" s="117">
        <f>S1382*'FA Addition'!$L1382/'FA Addition'!$J1382</f>
        <v>0</v>
      </c>
      <c r="W1382" s="116">
        <f>SUMIFS('FA Write off'!D:D,'FA Write off'!A:A,'FA Addition'!$A1382,'FA Write off'!C:C,"&lt;"&amp;'FA Addition'!$P$1)</f>
        <v>0</v>
      </c>
      <c r="Y1382" s="191">
        <f>IFERROR(W1382/'FA Addition'!$J1382*'FA Addition'!$L1382,0)</f>
        <v>0</v>
      </c>
      <c r="AA1382" s="116">
        <f>SUMIFS('FA Write off'!D:D,'FA Write off'!A:A,'FA Addition'!$A1382,'FA Write off'!C:C,"&lt;"&amp;'FA Addition'!$L$1+1,'FA Write off'!C:C,"&gt;"&amp;'FA Addition'!$L$1-365)</f>
        <v>0</v>
      </c>
      <c r="AC1382" s="118">
        <f>IFERROR(AA1382/'FA Addition'!$J1382*'FA Addition'!$L1382,0)</f>
        <v>0</v>
      </c>
      <c r="AE1382" s="117">
        <f>IF(AND('FA Addition'!$D1382&lt;$P$1+1,U1382=0),'FA Addition'!$L1382,0)-Y1382</f>
        <v>0</v>
      </c>
      <c r="AF1382" s="117">
        <f t="shared" si="105"/>
        <v>0</v>
      </c>
      <c r="AG1382" s="117">
        <f>MIN(MAX(+$P$1-'FA Addition'!$D1382,0),365*'FA Addition'!$O1382)</f>
        <v>0</v>
      </c>
      <c r="AH1382" s="117">
        <f>MIN(MAX($L$1-'FA Addition'!$D1382+1,0),365*'FA Addition'!$O1382)</f>
        <v>0</v>
      </c>
      <c r="AI1382" s="117" cm="1">
        <f t="array" ref="AI1382">_xlfn.XLOOKUP(1,('FA Write off'!A:A='FA Addition'!$A1382)*('FA Write off'!D:D=AA1382),'FA Write off'!H:H,0,0)</f>
        <v>0</v>
      </c>
      <c r="AJ1382" s="117">
        <f>IF(AC1382&gt;0,MAX(IF('FA Addition'!$N1382="SLM",($AC1382-'FA Addition'!$M1382)*'FA Addition'!$P1382*AI1382/365,(AC1382-'FA Addition'!$M1382)*(1-(1-'FA Addition'!$P1382)^(AI1382/365))),0),0)</f>
        <v>0</v>
      </c>
      <c r="AL1382" s="117">
        <f>MAX(IF(AG1382&gt;0,IF('FA Addition'!$N1382="SLM",($AE1382-'FA Addition'!$M1382)*'FA Addition'!$P1382*AG1382/365,IFERROR(VDB(AE1382,AE1382*0.05,'FA Addition'!$O1382,0,YEARFRAC('FA Addition'!$C1382,$P$1-1,3),'FA Addition'!$Q1382),FAAddition[[#This Row],[Original Cost (Rs)]]-FAAddition[[#This Row],[Salvage Value]])),0),0)</f>
        <v>0</v>
      </c>
      <c r="AM1382" s="119"/>
      <c r="AN1382" s="117">
        <f>MAX(IF(AH1382&gt;0,IF('FA Addition'!$N1382="SLM",($AF1382-'FA Addition'!$M1382)*'FA Addition'!$P1382*AH1382/365,IFERROR(VDB(AF1382,AF1382*0.05,'FA Addition'!$O1382,0,YEARFRAC('FA Addition'!$C1382,$L$1,3),'FA Addition'!$Q1382),FAAddition[[#This Row],[Original Cost (Rs)]]-FAAddition[[#This Row],[Salvage Value]])),0),0)</f>
        <v>0</v>
      </c>
      <c r="AO1382" s="117">
        <f t="shared" si="108"/>
        <v>0</v>
      </c>
      <c r="AQ1382" s="117">
        <f t="shared" si="106"/>
        <v>0</v>
      </c>
      <c r="AR1382" s="120">
        <f t="shared" si="107"/>
        <v>0</v>
      </c>
      <c r="AS1382" s="121"/>
    </row>
    <row r="1383" spans="1:45" ht="13.5" x14ac:dyDescent="0.4">
      <c r="A1383" s="12">
        <f t="shared" si="109"/>
        <v>1380</v>
      </c>
      <c r="B1383" s="64" t="s">
        <v>10</v>
      </c>
      <c r="C1383" s="54">
        <v>45864</v>
      </c>
      <c r="D1383" s="54">
        <v>45869</v>
      </c>
      <c r="E1383" s="46" t="s">
        <v>32</v>
      </c>
      <c r="F1383" s="51" t="s">
        <v>33</v>
      </c>
      <c r="G1383" s="51" t="s">
        <v>34</v>
      </c>
      <c r="H1383" s="51" t="s">
        <v>32</v>
      </c>
      <c r="I1383" s="55" t="s">
        <v>71</v>
      </c>
      <c r="J1383" s="56">
        <v>1000</v>
      </c>
      <c r="K1383" s="51" t="s">
        <v>295</v>
      </c>
      <c r="L1383" s="58">
        <v>1499000</v>
      </c>
      <c r="M1383" s="50">
        <f>ROUND('FA Addition'!$L1383*5%,0.1)</f>
        <v>74950</v>
      </c>
      <c r="N1383" s="113" t="str">
        <f>_xlfn.XLOOKUP(_xlfn.CONCAT(E1383,B1383),'Year Wise Master Dep Approach'!F:F,'Year Wise Master Dep Approach'!D:D)</f>
        <v>SLM</v>
      </c>
      <c r="O1383" s="113">
        <f>_xlfn.XLOOKUP(_xlfn.CONCAT(E1383,B1383),'Year Wise Master Dep Approach'!F:F,'Year Wise Master Dep Approach'!E:E)</f>
        <v>5</v>
      </c>
      <c r="P1383" s="114">
        <f>IFERROR(IF('FA Addition'!$N1383="WDV",1-('FA Addition'!$M1383/'FA Addition'!$L1383)^(1/'FA Addition'!$O1383),1/'FA Addition'!$O1383),0)</f>
        <v>0.2</v>
      </c>
      <c r="Q1383" s="122">
        <f>'FA Addition'!$P1383*'FA Addition'!$O1383</f>
        <v>1</v>
      </c>
      <c r="R1383" s="122"/>
      <c r="S1383" s="116">
        <f>IF(AND(DATE(20&amp;LEFT(FAAddition[[#This Row],[FY]],2),4,1)&lt;$L$1+1,DATE(20&amp;LEFT(FAAddition[[#This Row],[FY]],2),4,1)&gt;$P$1-1),'FA Addition'!$J1383,0)</f>
        <v>0</v>
      </c>
      <c r="U1383" s="117">
        <f>S1383*'FA Addition'!$L1383/'FA Addition'!$J1383</f>
        <v>0</v>
      </c>
      <c r="W1383" s="116">
        <f>SUMIFS('FA Write off'!D:D,'FA Write off'!A:A,'FA Addition'!$A1383,'FA Write off'!C:C,"&lt;"&amp;'FA Addition'!$P$1)</f>
        <v>0</v>
      </c>
      <c r="Y1383" s="191">
        <f>IFERROR(W1383/'FA Addition'!$J1383*'FA Addition'!$L1383,0)</f>
        <v>0</v>
      </c>
      <c r="AA1383" s="116">
        <f>SUMIFS('FA Write off'!D:D,'FA Write off'!A:A,'FA Addition'!$A1383,'FA Write off'!C:C,"&lt;"&amp;'FA Addition'!$L$1+1,'FA Write off'!C:C,"&gt;"&amp;'FA Addition'!$L$1-365)</f>
        <v>0</v>
      </c>
      <c r="AC1383" s="118">
        <f>IFERROR(AA1383/'FA Addition'!$J1383*'FA Addition'!$L1383,0)</f>
        <v>0</v>
      </c>
      <c r="AE1383" s="117">
        <f>IF(AND('FA Addition'!$D1383&lt;$P$1+1,U1383=0),'FA Addition'!$L1383,0)-Y1383</f>
        <v>0</v>
      </c>
      <c r="AF1383" s="117">
        <f t="shared" si="105"/>
        <v>0</v>
      </c>
      <c r="AG1383" s="117">
        <f>MIN(MAX(+$P$1-'FA Addition'!$D1383,0),365*'FA Addition'!$O1383)</f>
        <v>0</v>
      </c>
      <c r="AH1383" s="117">
        <f>MIN(MAX($L$1-'FA Addition'!$D1383+1,0),365*'FA Addition'!$O1383)</f>
        <v>0</v>
      </c>
      <c r="AI1383" s="117" cm="1">
        <f t="array" ref="AI1383">_xlfn.XLOOKUP(1,('FA Write off'!A:A='FA Addition'!$A1383)*('FA Write off'!D:D=AA1383),'FA Write off'!H:H,0,0)</f>
        <v>0</v>
      </c>
      <c r="AJ1383" s="117">
        <f>IF(AC1383&gt;0,MAX(IF('FA Addition'!$N1383="SLM",($AC1383-'FA Addition'!$M1383)*'FA Addition'!$P1383*AI1383/365,(AC1383-'FA Addition'!$M1383)*(1-(1-'FA Addition'!$P1383)^(AI1383/365))),0),0)</f>
        <v>0</v>
      </c>
      <c r="AL1383" s="117">
        <f>MAX(IF(AG1383&gt;0,IF('FA Addition'!$N1383="SLM",($AE1383-'FA Addition'!$M1383)*'FA Addition'!$P1383*AG1383/365,IFERROR(VDB(AE1383,AE1383*0.05,'FA Addition'!$O1383,0,YEARFRAC('FA Addition'!$C1383,$P$1-1,3),'FA Addition'!$Q1383),FAAddition[[#This Row],[Original Cost (Rs)]]-FAAddition[[#This Row],[Salvage Value]])),0),0)</f>
        <v>0</v>
      </c>
      <c r="AM1383" s="119"/>
      <c r="AN1383" s="117">
        <f>MAX(IF(AH1383&gt;0,IF('FA Addition'!$N1383="SLM",($AF1383-'FA Addition'!$M1383)*'FA Addition'!$P1383*AH1383/365,IFERROR(VDB(AF1383,AF1383*0.05,'FA Addition'!$O1383,0,YEARFRAC('FA Addition'!$C1383,$L$1,3),'FA Addition'!$Q1383),FAAddition[[#This Row],[Original Cost (Rs)]]-FAAddition[[#This Row],[Salvage Value]])),0),0)</f>
        <v>0</v>
      </c>
      <c r="AO1383" s="117">
        <f t="shared" si="108"/>
        <v>0</v>
      </c>
      <c r="AQ1383" s="117">
        <f t="shared" si="106"/>
        <v>0</v>
      </c>
      <c r="AR1383" s="120">
        <f t="shared" si="107"/>
        <v>0</v>
      </c>
      <c r="AS1383" s="121"/>
    </row>
    <row r="1384" spans="1:45" ht="13.5" x14ac:dyDescent="0.4">
      <c r="A1384" s="12">
        <f t="shared" si="109"/>
        <v>1381</v>
      </c>
      <c r="B1384" s="64" t="s">
        <v>10</v>
      </c>
      <c r="C1384" s="54">
        <v>45866</v>
      </c>
      <c r="D1384" s="54">
        <v>45869</v>
      </c>
      <c r="E1384" s="46" t="s">
        <v>32</v>
      </c>
      <c r="F1384" s="51" t="s">
        <v>33</v>
      </c>
      <c r="G1384" s="51" t="s">
        <v>34</v>
      </c>
      <c r="H1384" s="51" t="s">
        <v>32</v>
      </c>
      <c r="I1384" s="55" t="s">
        <v>72</v>
      </c>
      <c r="J1384" s="56">
        <v>1000</v>
      </c>
      <c r="K1384" s="51" t="s">
        <v>295</v>
      </c>
      <c r="L1384" s="58">
        <v>1499000</v>
      </c>
      <c r="M1384" s="50">
        <f>ROUND('FA Addition'!$L1384*5%,0.1)</f>
        <v>74950</v>
      </c>
      <c r="N1384" s="113" t="str">
        <f>_xlfn.XLOOKUP(_xlfn.CONCAT(E1384,B1384),'Year Wise Master Dep Approach'!F:F,'Year Wise Master Dep Approach'!D:D)</f>
        <v>SLM</v>
      </c>
      <c r="O1384" s="113">
        <f>_xlfn.XLOOKUP(_xlfn.CONCAT(E1384,B1384),'Year Wise Master Dep Approach'!F:F,'Year Wise Master Dep Approach'!E:E)</f>
        <v>5</v>
      </c>
      <c r="P1384" s="114">
        <f>IFERROR(IF('FA Addition'!$N1384="WDV",1-('FA Addition'!$M1384/'FA Addition'!$L1384)^(1/'FA Addition'!$O1384),1/'FA Addition'!$O1384),0)</f>
        <v>0.2</v>
      </c>
      <c r="Q1384" s="122">
        <f>'FA Addition'!$P1384*'FA Addition'!$O1384</f>
        <v>1</v>
      </c>
      <c r="R1384" s="122"/>
      <c r="S1384" s="116">
        <f>IF(AND(DATE(20&amp;LEFT(FAAddition[[#This Row],[FY]],2),4,1)&lt;$L$1+1,DATE(20&amp;LEFT(FAAddition[[#This Row],[FY]],2),4,1)&gt;$P$1-1),'FA Addition'!$J1384,0)</f>
        <v>0</v>
      </c>
      <c r="U1384" s="117">
        <f>S1384*'FA Addition'!$L1384/'FA Addition'!$J1384</f>
        <v>0</v>
      </c>
      <c r="W1384" s="116">
        <f>SUMIFS('FA Write off'!D:D,'FA Write off'!A:A,'FA Addition'!$A1384,'FA Write off'!C:C,"&lt;"&amp;'FA Addition'!$P$1)</f>
        <v>0</v>
      </c>
      <c r="Y1384" s="191">
        <f>IFERROR(W1384/'FA Addition'!$J1384*'FA Addition'!$L1384,0)</f>
        <v>0</v>
      </c>
      <c r="AA1384" s="116">
        <f>SUMIFS('FA Write off'!D:D,'FA Write off'!A:A,'FA Addition'!$A1384,'FA Write off'!C:C,"&lt;"&amp;'FA Addition'!$L$1+1,'FA Write off'!C:C,"&gt;"&amp;'FA Addition'!$L$1-365)</f>
        <v>0</v>
      </c>
      <c r="AC1384" s="118">
        <f>IFERROR(AA1384/'FA Addition'!$J1384*'FA Addition'!$L1384,0)</f>
        <v>0</v>
      </c>
      <c r="AE1384" s="117">
        <f>IF(AND('FA Addition'!$D1384&lt;$P$1+1,U1384=0),'FA Addition'!$L1384,0)-Y1384</f>
        <v>0</v>
      </c>
      <c r="AF1384" s="117">
        <f t="shared" si="105"/>
        <v>0</v>
      </c>
      <c r="AG1384" s="117">
        <f>MIN(MAX(+$P$1-'FA Addition'!$D1384,0),365*'FA Addition'!$O1384)</f>
        <v>0</v>
      </c>
      <c r="AH1384" s="117">
        <f>MIN(MAX($L$1-'FA Addition'!$D1384+1,0),365*'FA Addition'!$O1384)</f>
        <v>0</v>
      </c>
      <c r="AI1384" s="117" cm="1">
        <f t="array" ref="AI1384">_xlfn.XLOOKUP(1,('FA Write off'!A:A='FA Addition'!$A1384)*('FA Write off'!D:D=AA1384),'FA Write off'!H:H,0,0)</f>
        <v>0</v>
      </c>
      <c r="AJ1384" s="117">
        <f>IF(AC1384&gt;0,MAX(IF('FA Addition'!$N1384="SLM",($AC1384-'FA Addition'!$M1384)*'FA Addition'!$P1384*AI1384/365,(AC1384-'FA Addition'!$M1384)*(1-(1-'FA Addition'!$P1384)^(AI1384/365))),0),0)</f>
        <v>0</v>
      </c>
      <c r="AL1384" s="117">
        <f>MAX(IF(AG1384&gt;0,IF('FA Addition'!$N1384="SLM",($AE1384-'FA Addition'!$M1384)*'FA Addition'!$P1384*AG1384/365,IFERROR(VDB(AE1384,AE1384*0.05,'FA Addition'!$O1384,0,YEARFRAC('FA Addition'!$C1384,$P$1-1,3),'FA Addition'!$Q1384),FAAddition[[#This Row],[Original Cost (Rs)]]-FAAddition[[#This Row],[Salvage Value]])),0),0)</f>
        <v>0</v>
      </c>
      <c r="AM1384" s="119"/>
      <c r="AN1384" s="117">
        <f>MAX(IF(AH1384&gt;0,IF('FA Addition'!$N1384="SLM",($AF1384-'FA Addition'!$M1384)*'FA Addition'!$P1384*AH1384/365,IFERROR(VDB(AF1384,AF1384*0.05,'FA Addition'!$O1384,0,YEARFRAC('FA Addition'!$C1384,$L$1,3),'FA Addition'!$Q1384),FAAddition[[#This Row],[Original Cost (Rs)]]-FAAddition[[#This Row],[Salvage Value]])),0),0)</f>
        <v>0</v>
      </c>
      <c r="AO1384" s="117">
        <f t="shared" si="108"/>
        <v>0</v>
      </c>
      <c r="AQ1384" s="117">
        <f t="shared" si="106"/>
        <v>0</v>
      </c>
      <c r="AR1384" s="120">
        <f t="shared" si="107"/>
        <v>0</v>
      </c>
      <c r="AS1384" s="121"/>
    </row>
    <row r="1385" spans="1:45" ht="13.5" x14ac:dyDescent="0.4">
      <c r="A1385" s="12">
        <f t="shared" si="109"/>
        <v>1382</v>
      </c>
      <c r="B1385" s="64" t="s">
        <v>10</v>
      </c>
      <c r="C1385" s="54">
        <v>45751</v>
      </c>
      <c r="D1385" s="54">
        <v>45778</v>
      </c>
      <c r="E1385" s="46" t="s">
        <v>451</v>
      </c>
      <c r="F1385" s="51" t="s">
        <v>19</v>
      </c>
      <c r="G1385" s="51" t="s">
        <v>20</v>
      </c>
      <c r="H1385" s="51" t="s">
        <v>21</v>
      </c>
      <c r="I1385" s="55" t="s">
        <v>73</v>
      </c>
      <c r="J1385" s="56">
        <v>1</v>
      </c>
      <c r="K1385" s="51" t="s">
        <v>288</v>
      </c>
      <c r="L1385" s="58">
        <v>130508.47</v>
      </c>
      <c r="M1385" s="50">
        <f>ROUND('FA Addition'!$L1385*5%,0.1)</f>
        <v>6525</v>
      </c>
      <c r="N1385" s="113" t="str">
        <f>_xlfn.XLOOKUP(_xlfn.CONCAT(E1385,B1385),'Year Wise Master Dep Approach'!F:F,'Year Wise Master Dep Approach'!D:D)</f>
        <v>WDV</v>
      </c>
      <c r="O1385" s="113">
        <f>_xlfn.XLOOKUP(_xlfn.CONCAT(E1385,B1385),'Year Wise Master Dep Approach'!F:F,'Year Wise Master Dep Approach'!E:E)</f>
        <v>3</v>
      </c>
      <c r="P1385" s="114">
        <f>IFERROR(IF('FA Addition'!$N1385="WDV",1-('FA Addition'!$M1385/'FA Addition'!$L1385)^(1/'FA Addition'!$O1385),1/'FA Addition'!$O1385),0)</f>
        <v>0.63160482009680208</v>
      </c>
      <c r="Q1385" s="122">
        <f>'FA Addition'!$P1385*'FA Addition'!$O1385</f>
        <v>1.8948144602904062</v>
      </c>
      <c r="R1385" s="122"/>
      <c r="S1385" s="116">
        <f>IF(AND(DATE(20&amp;LEFT(FAAddition[[#This Row],[FY]],2),4,1)&lt;$L$1+1,DATE(20&amp;LEFT(FAAddition[[#This Row],[FY]],2),4,1)&gt;$P$1-1),'FA Addition'!$J1385,0)</f>
        <v>0</v>
      </c>
      <c r="U1385" s="117">
        <f>S1385*'FA Addition'!$L1385/'FA Addition'!$J1385</f>
        <v>0</v>
      </c>
      <c r="W1385" s="116">
        <f>SUMIFS('FA Write off'!D:D,'FA Write off'!A:A,'FA Addition'!$A1385,'FA Write off'!C:C,"&lt;"&amp;'FA Addition'!$P$1)</f>
        <v>0</v>
      </c>
      <c r="Y1385" s="191">
        <f>IFERROR(W1385/'FA Addition'!$J1385*'FA Addition'!$L1385,0)</f>
        <v>0</v>
      </c>
      <c r="AA1385" s="116">
        <f>SUMIFS('FA Write off'!D:D,'FA Write off'!A:A,'FA Addition'!$A1385,'FA Write off'!C:C,"&lt;"&amp;'FA Addition'!$L$1+1,'FA Write off'!C:C,"&gt;"&amp;'FA Addition'!$L$1-365)</f>
        <v>0</v>
      </c>
      <c r="AC1385" s="118">
        <f>IFERROR(AA1385/'FA Addition'!$J1385*'FA Addition'!$L1385,0)</f>
        <v>0</v>
      </c>
      <c r="AE1385" s="117">
        <f>IF(AND('FA Addition'!$D1385&lt;$P$1+1,U1385=0),'FA Addition'!$L1385,0)-Y1385</f>
        <v>0</v>
      </c>
      <c r="AF1385" s="117">
        <f t="shared" si="105"/>
        <v>0</v>
      </c>
      <c r="AG1385" s="117">
        <f>MIN(MAX(+$P$1-'FA Addition'!$D1385,0),365*'FA Addition'!$O1385)</f>
        <v>0</v>
      </c>
      <c r="AH1385" s="117">
        <f>MIN(MAX($L$1-'FA Addition'!$D1385+1,0),365*'FA Addition'!$O1385)</f>
        <v>0</v>
      </c>
      <c r="AI1385" s="117" cm="1">
        <f t="array" ref="AI1385">_xlfn.XLOOKUP(1,('FA Write off'!A:A='FA Addition'!$A1385)*('FA Write off'!D:D=AA1385),'FA Write off'!H:H,0,0)</f>
        <v>0</v>
      </c>
      <c r="AJ1385" s="117">
        <f>IF(AC1385&gt;0,MAX(IF('FA Addition'!$N1385="SLM",($AC1385-'FA Addition'!$M1385)*'FA Addition'!$P1385*AI1385/365,(AC1385-'FA Addition'!$M1385)*(1-(1-'FA Addition'!$P1385)^(AI1385/365))),0),0)</f>
        <v>0</v>
      </c>
      <c r="AL1385" s="117">
        <f>MAX(IF(AG1385&gt;0,IF('FA Addition'!$N1385="SLM",($AE1385-'FA Addition'!$M1385)*'FA Addition'!$P1385*AG1385/365,IFERROR(VDB(AE1385,AE1385*0.05,'FA Addition'!$O1385,0,YEARFRAC('FA Addition'!$C1385,$P$1-1,3),'FA Addition'!$Q1385),FAAddition[[#This Row],[Original Cost (Rs)]]-FAAddition[[#This Row],[Salvage Value]])),0),0)</f>
        <v>0</v>
      </c>
      <c r="AM1385" s="119"/>
      <c r="AN1385" s="117">
        <f>MAX(IF(AH1385&gt;0,IF('FA Addition'!$N1385="SLM",($AF1385-'FA Addition'!$M1385)*'FA Addition'!$P1385*AH1385/365,IFERROR(VDB(AF1385,AF1385*0.05,'FA Addition'!$O1385,0,YEARFRAC('FA Addition'!$C1385,$L$1,3),'FA Addition'!$Q1385),FAAddition[[#This Row],[Original Cost (Rs)]]-FAAddition[[#This Row],[Salvage Value]])),0),0)</f>
        <v>0</v>
      </c>
      <c r="AO1385" s="117">
        <f t="shared" si="108"/>
        <v>0</v>
      </c>
      <c r="AQ1385" s="117">
        <f t="shared" si="106"/>
        <v>0</v>
      </c>
      <c r="AR1385" s="120">
        <f t="shared" si="107"/>
        <v>0</v>
      </c>
      <c r="AS1385" s="121"/>
    </row>
    <row r="1386" spans="1:45" ht="13.5" x14ac:dyDescent="0.4">
      <c r="A1386" s="12">
        <f t="shared" si="109"/>
        <v>1383</v>
      </c>
      <c r="B1386" s="64" t="s">
        <v>10</v>
      </c>
      <c r="C1386" s="54">
        <v>45784</v>
      </c>
      <c r="D1386" s="54">
        <v>45784</v>
      </c>
      <c r="E1386" s="46" t="s">
        <v>749</v>
      </c>
      <c r="F1386" s="51" t="s">
        <v>74</v>
      </c>
      <c r="G1386" s="51" t="s">
        <v>75</v>
      </c>
      <c r="H1386" s="51" t="s">
        <v>76</v>
      </c>
      <c r="I1386" s="55" t="s">
        <v>77</v>
      </c>
      <c r="J1386" s="56">
        <v>1</v>
      </c>
      <c r="K1386" s="51" t="s">
        <v>300</v>
      </c>
      <c r="L1386" s="58">
        <v>16525</v>
      </c>
      <c r="M1386" s="50">
        <f>ROUND('FA Addition'!$L1386*5%,0.1)</f>
        <v>826</v>
      </c>
      <c r="N1386" s="113" t="str">
        <f>_xlfn.XLOOKUP(_xlfn.CONCAT(E1386,B1386),'Year Wise Master Dep Approach'!F:F,'Year Wise Master Dep Approach'!D:D)</f>
        <v>WDV</v>
      </c>
      <c r="O1386" s="113">
        <f>_xlfn.XLOOKUP(_xlfn.CONCAT(E1386,B1386),'Year Wise Master Dep Approach'!F:F,'Year Wise Master Dep Approach'!E:E)</f>
        <v>5</v>
      </c>
      <c r="P1386" s="114">
        <f>IFERROR(IF('FA Addition'!$N1386="WDV",1-('FA Addition'!$M1386/'FA Addition'!$L1386)^(1/'FA Addition'!$O1386),1/'FA Addition'!$O1386),0)</f>
        <v>0.4507529717213693</v>
      </c>
      <c r="Q1386" s="122">
        <f>'FA Addition'!$P1386*'FA Addition'!$O1386</f>
        <v>2.2537648586068464</v>
      </c>
      <c r="R1386" s="122"/>
      <c r="S1386" s="116">
        <f>IF(AND(DATE(20&amp;LEFT(FAAddition[[#This Row],[FY]],2),4,1)&lt;$L$1+1,DATE(20&amp;LEFT(FAAddition[[#This Row],[FY]],2),4,1)&gt;$P$1-1),'FA Addition'!$J1386,0)</f>
        <v>0</v>
      </c>
      <c r="U1386" s="117">
        <f>S1386*'FA Addition'!$L1386/'FA Addition'!$J1386</f>
        <v>0</v>
      </c>
      <c r="W1386" s="116">
        <f>SUMIFS('FA Write off'!D:D,'FA Write off'!A:A,'FA Addition'!$A1386,'FA Write off'!C:C,"&lt;"&amp;'FA Addition'!$P$1)</f>
        <v>0</v>
      </c>
      <c r="Y1386" s="191">
        <f>IFERROR(W1386/'FA Addition'!$J1386*'FA Addition'!$L1386,0)</f>
        <v>0</v>
      </c>
      <c r="AA1386" s="116">
        <f>SUMIFS('FA Write off'!D:D,'FA Write off'!A:A,'FA Addition'!$A1386,'FA Write off'!C:C,"&lt;"&amp;'FA Addition'!$L$1+1,'FA Write off'!C:C,"&gt;"&amp;'FA Addition'!$L$1-365)</f>
        <v>0</v>
      </c>
      <c r="AC1386" s="118">
        <f>IFERROR(AA1386/'FA Addition'!$J1386*'FA Addition'!$L1386,0)</f>
        <v>0</v>
      </c>
      <c r="AE1386" s="117">
        <f>IF(AND('FA Addition'!$D1386&lt;$P$1+1,U1386=0),'FA Addition'!$L1386,0)-Y1386</f>
        <v>0</v>
      </c>
      <c r="AF1386" s="117">
        <f t="shared" si="105"/>
        <v>0</v>
      </c>
      <c r="AG1386" s="117">
        <f>MIN(MAX(+$P$1-'FA Addition'!$D1386,0),365*'FA Addition'!$O1386)</f>
        <v>0</v>
      </c>
      <c r="AH1386" s="117">
        <f>MIN(MAX($L$1-'FA Addition'!$D1386+1,0),365*'FA Addition'!$O1386)</f>
        <v>0</v>
      </c>
      <c r="AI1386" s="117" cm="1">
        <f t="array" ref="AI1386">_xlfn.XLOOKUP(1,('FA Write off'!A:A='FA Addition'!$A1386)*('FA Write off'!D:D=AA1386),'FA Write off'!H:H,0,0)</f>
        <v>0</v>
      </c>
      <c r="AJ1386" s="117">
        <f>IF(AC1386&gt;0,MAX(IF('FA Addition'!$N1386="SLM",($AC1386-'FA Addition'!$M1386)*'FA Addition'!$P1386*AI1386/365,(AC1386-'FA Addition'!$M1386)*(1-(1-'FA Addition'!$P1386)^(AI1386/365))),0),0)</f>
        <v>0</v>
      </c>
      <c r="AL1386" s="117">
        <f>MAX(IF(AG1386&gt;0,IF('FA Addition'!$N1386="SLM",($AE1386-'FA Addition'!$M1386)*'FA Addition'!$P1386*AG1386/365,IFERROR(VDB(AE1386,AE1386*0.05,'FA Addition'!$O1386,0,YEARFRAC('FA Addition'!$C1386,$P$1-1,3),'FA Addition'!$Q1386),FAAddition[[#This Row],[Original Cost (Rs)]]-FAAddition[[#This Row],[Salvage Value]])),0),0)</f>
        <v>0</v>
      </c>
      <c r="AM1386" s="119"/>
      <c r="AN1386" s="117">
        <f>MAX(IF(AH1386&gt;0,IF('FA Addition'!$N1386="SLM",($AF1386-'FA Addition'!$M1386)*'FA Addition'!$P1386*AH1386/365,IFERROR(VDB(AF1386,AF1386*0.05,'FA Addition'!$O1386,0,YEARFRAC('FA Addition'!$C1386,$L$1,3),'FA Addition'!$Q1386),FAAddition[[#This Row],[Original Cost (Rs)]]-FAAddition[[#This Row],[Salvage Value]])),0),0)</f>
        <v>0</v>
      </c>
      <c r="AO1386" s="117">
        <f t="shared" si="108"/>
        <v>0</v>
      </c>
      <c r="AQ1386" s="117">
        <f t="shared" si="106"/>
        <v>0</v>
      </c>
      <c r="AR1386" s="120">
        <f t="shared" si="107"/>
        <v>0</v>
      </c>
      <c r="AS1386" s="121"/>
    </row>
    <row r="1387" spans="1:45" ht="13.5" x14ac:dyDescent="0.4">
      <c r="A1387" s="12">
        <f t="shared" si="109"/>
        <v>1384</v>
      </c>
      <c r="B1387" s="64" t="s">
        <v>10</v>
      </c>
      <c r="C1387" s="54">
        <v>45786</v>
      </c>
      <c r="D1387" s="54">
        <v>45792</v>
      </c>
      <c r="E1387" s="46" t="s">
        <v>749</v>
      </c>
      <c r="F1387" s="51" t="s">
        <v>74</v>
      </c>
      <c r="G1387" s="51" t="s">
        <v>78</v>
      </c>
      <c r="H1387" s="51" t="s">
        <v>79</v>
      </c>
      <c r="I1387" s="55" t="s">
        <v>80</v>
      </c>
      <c r="J1387" s="56">
        <v>1</v>
      </c>
      <c r="K1387" s="51" t="s">
        <v>301</v>
      </c>
      <c r="L1387" s="58">
        <v>8900</v>
      </c>
      <c r="M1387" s="50">
        <f>ROUND('FA Addition'!$L1387*5%,0.1)</f>
        <v>445</v>
      </c>
      <c r="N1387" s="113" t="str">
        <f>_xlfn.XLOOKUP(_xlfn.CONCAT(E1387,B1387),'Year Wise Master Dep Approach'!F:F,'Year Wise Master Dep Approach'!D:D)</f>
        <v>WDV</v>
      </c>
      <c r="O1387" s="113">
        <f>_xlfn.XLOOKUP(_xlfn.CONCAT(E1387,B1387),'Year Wise Master Dep Approach'!F:F,'Year Wise Master Dep Approach'!E:E)</f>
        <v>5</v>
      </c>
      <c r="P1387" s="114">
        <f>IFERROR(IF('FA Addition'!$N1387="WDV",1-('FA Addition'!$M1387/'FA Addition'!$L1387)^(1/'FA Addition'!$O1387),1/'FA Addition'!$O1387),0)</f>
        <v>0.45071972834694107</v>
      </c>
      <c r="Q1387" s="122">
        <f>'FA Addition'!$P1387*'FA Addition'!$O1387</f>
        <v>2.2535986417347056</v>
      </c>
      <c r="R1387" s="122"/>
      <c r="S1387" s="116">
        <f>IF(AND(DATE(20&amp;LEFT(FAAddition[[#This Row],[FY]],2),4,1)&lt;$L$1+1,DATE(20&amp;LEFT(FAAddition[[#This Row],[FY]],2),4,1)&gt;$P$1-1),'FA Addition'!$J1387,0)</f>
        <v>0</v>
      </c>
      <c r="U1387" s="117">
        <f>S1387*'FA Addition'!$L1387/'FA Addition'!$J1387</f>
        <v>0</v>
      </c>
      <c r="W1387" s="116">
        <f>SUMIFS('FA Write off'!D:D,'FA Write off'!A:A,'FA Addition'!$A1387,'FA Write off'!C:C,"&lt;"&amp;'FA Addition'!$P$1)</f>
        <v>0</v>
      </c>
      <c r="Y1387" s="191">
        <f>IFERROR(W1387/'FA Addition'!$J1387*'FA Addition'!$L1387,0)</f>
        <v>0</v>
      </c>
      <c r="AA1387" s="116">
        <f>SUMIFS('FA Write off'!D:D,'FA Write off'!A:A,'FA Addition'!$A1387,'FA Write off'!C:C,"&lt;"&amp;'FA Addition'!$L$1+1,'FA Write off'!C:C,"&gt;"&amp;'FA Addition'!$L$1-365)</f>
        <v>0</v>
      </c>
      <c r="AC1387" s="118">
        <f>IFERROR(AA1387/'FA Addition'!$J1387*'FA Addition'!$L1387,0)</f>
        <v>0</v>
      </c>
      <c r="AE1387" s="117">
        <f>IF(AND('FA Addition'!$D1387&lt;$P$1+1,U1387=0),'FA Addition'!$L1387,0)-Y1387</f>
        <v>0</v>
      </c>
      <c r="AF1387" s="117">
        <f t="shared" si="105"/>
        <v>0</v>
      </c>
      <c r="AG1387" s="117">
        <f>MIN(MAX(+$P$1-'FA Addition'!$D1387,0),365*'FA Addition'!$O1387)</f>
        <v>0</v>
      </c>
      <c r="AH1387" s="117">
        <f>MIN(MAX($L$1-'FA Addition'!$D1387+1,0),365*'FA Addition'!$O1387)</f>
        <v>0</v>
      </c>
      <c r="AI1387" s="117" cm="1">
        <f t="array" ref="AI1387">_xlfn.XLOOKUP(1,('FA Write off'!A:A='FA Addition'!$A1387)*('FA Write off'!D:D=AA1387),'FA Write off'!H:H,0,0)</f>
        <v>0</v>
      </c>
      <c r="AJ1387" s="117">
        <f>IF(AC1387&gt;0,MAX(IF('FA Addition'!$N1387="SLM",($AC1387-'FA Addition'!$M1387)*'FA Addition'!$P1387*AI1387/365,(AC1387-'FA Addition'!$M1387)*(1-(1-'FA Addition'!$P1387)^(AI1387/365))),0),0)</f>
        <v>0</v>
      </c>
      <c r="AL1387" s="117">
        <f>MAX(IF(AG1387&gt;0,IF('FA Addition'!$N1387="SLM",($AE1387-'FA Addition'!$M1387)*'FA Addition'!$P1387*AG1387/365,IFERROR(VDB(AE1387,AE1387*0.05,'FA Addition'!$O1387,0,YEARFRAC('FA Addition'!$C1387,$P$1-1,3),'FA Addition'!$Q1387),FAAddition[[#This Row],[Original Cost (Rs)]]-FAAddition[[#This Row],[Salvage Value]])),0),0)</f>
        <v>0</v>
      </c>
      <c r="AM1387" s="119"/>
      <c r="AN1387" s="117">
        <f>MAX(IF(AH1387&gt;0,IF('FA Addition'!$N1387="SLM",($AF1387-'FA Addition'!$M1387)*'FA Addition'!$P1387*AH1387/365,IFERROR(VDB(AF1387,AF1387*0.05,'FA Addition'!$O1387,0,YEARFRAC('FA Addition'!$C1387,$L$1,3),'FA Addition'!$Q1387),FAAddition[[#This Row],[Original Cost (Rs)]]-FAAddition[[#This Row],[Salvage Value]])),0),0)</f>
        <v>0</v>
      </c>
      <c r="AO1387" s="117">
        <f t="shared" si="108"/>
        <v>0</v>
      </c>
      <c r="AQ1387" s="117">
        <f t="shared" si="106"/>
        <v>0</v>
      </c>
      <c r="AR1387" s="120">
        <f t="shared" si="107"/>
        <v>0</v>
      </c>
      <c r="AS1387" s="121"/>
    </row>
    <row r="1388" spans="1:45" ht="13.5" x14ac:dyDescent="0.4">
      <c r="A1388" s="12">
        <f t="shared" si="109"/>
        <v>1385</v>
      </c>
      <c r="B1388" s="64" t="s">
        <v>10</v>
      </c>
      <c r="C1388" s="54">
        <v>45869</v>
      </c>
      <c r="D1388" s="54">
        <v>45875</v>
      </c>
      <c r="E1388" s="46" t="s">
        <v>32</v>
      </c>
      <c r="F1388" s="51" t="s">
        <v>33</v>
      </c>
      <c r="G1388" s="51" t="s">
        <v>34</v>
      </c>
      <c r="H1388" s="51" t="s">
        <v>32</v>
      </c>
      <c r="I1388" s="55" t="s">
        <v>81</v>
      </c>
      <c r="J1388" s="56">
        <v>1000</v>
      </c>
      <c r="K1388" s="51" t="s">
        <v>295</v>
      </c>
      <c r="L1388" s="58">
        <v>1499000</v>
      </c>
      <c r="M1388" s="50">
        <f>ROUND('FA Addition'!$L1388*5%,0.1)</f>
        <v>74950</v>
      </c>
      <c r="N1388" s="113" t="str">
        <f>_xlfn.XLOOKUP(_xlfn.CONCAT(E1388,B1388),'Year Wise Master Dep Approach'!F:F,'Year Wise Master Dep Approach'!D:D)</f>
        <v>SLM</v>
      </c>
      <c r="O1388" s="113">
        <f>_xlfn.XLOOKUP(_xlfn.CONCAT(E1388,B1388),'Year Wise Master Dep Approach'!F:F,'Year Wise Master Dep Approach'!E:E)</f>
        <v>5</v>
      </c>
      <c r="P1388" s="114">
        <f>IFERROR(IF('FA Addition'!$N1388="WDV",1-('FA Addition'!$M1388/'FA Addition'!$L1388)^(1/'FA Addition'!$O1388),1/'FA Addition'!$O1388),0)</f>
        <v>0.2</v>
      </c>
      <c r="Q1388" s="122">
        <f>'FA Addition'!$P1388*'FA Addition'!$O1388</f>
        <v>1</v>
      </c>
      <c r="R1388" s="122"/>
      <c r="S1388" s="116">
        <f>IF(AND(DATE(20&amp;LEFT(FAAddition[[#This Row],[FY]],2),4,1)&lt;$L$1+1,DATE(20&amp;LEFT(FAAddition[[#This Row],[FY]],2),4,1)&gt;$P$1-1),'FA Addition'!$J1388,0)</f>
        <v>0</v>
      </c>
      <c r="U1388" s="117">
        <f>S1388*'FA Addition'!$L1388/'FA Addition'!$J1388</f>
        <v>0</v>
      </c>
      <c r="W1388" s="116">
        <f>SUMIFS('FA Write off'!D:D,'FA Write off'!A:A,'FA Addition'!$A1388,'FA Write off'!C:C,"&lt;"&amp;'FA Addition'!$P$1)</f>
        <v>0</v>
      </c>
      <c r="Y1388" s="191">
        <f>IFERROR(W1388/'FA Addition'!$J1388*'FA Addition'!$L1388,0)</f>
        <v>0</v>
      </c>
      <c r="AA1388" s="116">
        <f>SUMIFS('FA Write off'!D:D,'FA Write off'!A:A,'FA Addition'!$A1388,'FA Write off'!C:C,"&lt;"&amp;'FA Addition'!$L$1+1,'FA Write off'!C:C,"&gt;"&amp;'FA Addition'!$L$1-365)</f>
        <v>0</v>
      </c>
      <c r="AC1388" s="118">
        <f>IFERROR(AA1388/'FA Addition'!$J1388*'FA Addition'!$L1388,0)</f>
        <v>0</v>
      </c>
      <c r="AE1388" s="117">
        <f>IF(AND('FA Addition'!$D1388&lt;$P$1+1,U1388=0),'FA Addition'!$L1388,0)-Y1388</f>
        <v>0</v>
      </c>
      <c r="AF1388" s="117">
        <f t="shared" si="105"/>
        <v>0</v>
      </c>
      <c r="AG1388" s="117">
        <f>MIN(MAX(+$P$1-'FA Addition'!$D1388,0),365*'FA Addition'!$O1388)</f>
        <v>0</v>
      </c>
      <c r="AH1388" s="117">
        <f>MIN(MAX($L$1-'FA Addition'!$D1388+1,0),365*'FA Addition'!$O1388)</f>
        <v>0</v>
      </c>
      <c r="AI1388" s="117" cm="1">
        <f t="array" ref="AI1388">_xlfn.XLOOKUP(1,('FA Write off'!A:A='FA Addition'!$A1388)*('FA Write off'!D:D=AA1388),'FA Write off'!H:H,0,0)</f>
        <v>0</v>
      </c>
      <c r="AJ1388" s="117">
        <f>IF(AC1388&gt;0,MAX(IF('FA Addition'!$N1388="SLM",($AC1388-'FA Addition'!$M1388)*'FA Addition'!$P1388*AI1388/365,(AC1388-'FA Addition'!$M1388)*(1-(1-'FA Addition'!$P1388)^(AI1388/365))),0),0)</f>
        <v>0</v>
      </c>
      <c r="AL1388" s="117">
        <f>MAX(IF(AG1388&gt;0,IF('FA Addition'!$N1388="SLM",($AE1388-'FA Addition'!$M1388)*'FA Addition'!$P1388*AG1388/365,IFERROR(VDB(AE1388,AE1388*0.05,'FA Addition'!$O1388,0,YEARFRAC('FA Addition'!$C1388,$P$1-1,3),'FA Addition'!$Q1388),FAAddition[[#This Row],[Original Cost (Rs)]]-FAAddition[[#This Row],[Salvage Value]])),0),0)</f>
        <v>0</v>
      </c>
      <c r="AM1388" s="119"/>
      <c r="AN1388" s="117">
        <f>MAX(IF(AH1388&gt;0,IF('FA Addition'!$N1388="SLM",($AF1388-'FA Addition'!$M1388)*'FA Addition'!$P1388*AH1388/365,IFERROR(VDB(AF1388,AF1388*0.05,'FA Addition'!$O1388,0,YEARFRAC('FA Addition'!$C1388,$L$1,3),'FA Addition'!$Q1388),FAAddition[[#This Row],[Original Cost (Rs)]]-FAAddition[[#This Row],[Salvage Value]])),0),0)</f>
        <v>0</v>
      </c>
      <c r="AO1388" s="117">
        <f t="shared" si="108"/>
        <v>0</v>
      </c>
      <c r="AQ1388" s="117">
        <f t="shared" si="106"/>
        <v>0</v>
      </c>
      <c r="AR1388" s="120">
        <f t="shared" si="107"/>
        <v>0</v>
      </c>
      <c r="AS1388" s="121"/>
    </row>
    <row r="1389" spans="1:45" ht="13.5" x14ac:dyDescent="0.4">
      <c r="A1389" s="12">
        <f t="shared" si="109"/>
        <v>1386</v>
      </c>
      <c r="B1389" s="64" t="s">
        <v>10</v>
      </c>
      <c r="C1389" s="54">
        <v>45863</v>
      </c>
      <c r="D1389" s="54">
        <v>45875</v>
      </c>
      <c r="E1389" s="46" t="s">
        <v>32</v>
      </c>
      <c r="F1389" s="51" t="s">
        <v>33</v>
      </c>
      <c r="G1389" s="51" t="s">
        <v>36</v>
      </c>
      <c r="H1389" s="51" t="s">
        <v>32</v>
      </c>
      <c r="I1389" s="55" t="s">
        <v>82</v>
      </c>
      <c r="J1389" s="56">
        <v>500</v>
      </c>
      <c r="K1389" s="51" t="s">
        <v>296</v>
      </c>
      <c r="L1389" s="58">
        <v>750000</v>
      </c>
      <c r="M1389" s="50">
        <f>ROUND('FA Addition'!$L1389*5%,0.1)</f>
        <v>37500</v>
      </c>
      <c r="N1389" s="113" t="str">
        <f>_xlfn.XLOOKUP(_xlfn.CONCAT(E1389,B1389),'Year Wise Master Dep Approach'!F:F,'Year Wise Master Dep Approach'!D:D)</f>
        <v>SLM</v>
      </c>
      <c r="O1389" s="113">
        <f>_xlfn.XLOOKUP(_xlfn.CONCAT(E1389,B1389),'Year Wise Master Dep Approach'!F:F,'Year Wise Master Dep Approach'!E:E)</f>
        <v>5</v>
      </c>
      <c r="P1389" s="114">
        <f>IFERROR(IF('FA Addition'!$N1389="WDV",1-('FA Addition'!$M1389/'FA Addition'!$L1389)^(1/'FA Addition'!$O1389),1/'FA Addition'!$O1389),0)</f>
        <v>0.2</v>
      </c>
      <c r="Q1389" s="122">
        <f>'FA Addition'!$P1389*'FA Addition'!$O1389</f>
        <v>1</v>
      </c>
      <c r="R1389" s="122"/>
      <c r="S1389" s="116">
        <f>IF(AND(DATE(20&amp;LEFT(FAAddition[[#This Row],[FY]],2),4,1)&lt;$L$1+1,DATE(20&amp;LEFT(FAAddition[[#This Row],[FY]],2),4,1)&gt;$P$1-1),'FA Addition'!$J1389,0)</f>
        <v>0</v>
      </c>
      <c r="U1389" s="117">
        <f>S1389*'FA Addition'!$L1389/'FA Addition'!$J1389</f>
        <v>0</v>
      </c>
      <c r="W1389" s="116">
        <f>SUMIFS('FA Write off'!D:D,'FA Write off'!A:A,'FA Addition'!$A1389,'FA Write off'!C:C,"&lt;"&amp;'FA Addition'!$P$1)</f>
        <v>0</v>
      </c>
      <c r="Y1389" s="191">
        <f>IFERROR(W1389/'FA Addition'!$J1389*'FA Addition'!$L1389,0)</f>
        <v>0</v>
      </c>
      <c r="AA1389" s="116">
        <f>SUMIFS('FA Write off'!D:D,'FA Write off'!A:A,'FA Addition'!$A1389,'FA Write off'!C:C,"&lt;"&amp;'FA Addition'!$L$1+1,'FA Write off'!C:C,"&gt;"&amp;'FA Addition'!$L$1-365)</f>
        <v>0</v>
      </c>
      <c r="AC1389" s="118">
        <f>IFERROR(AA1389/'FA Addition'!$J1389*'FA Addition'!$L1389,0)</f>
        <v>0</v>
      </c>
      <c r="AE1389" s="117">
        <f>IF(AND('FA Addition'!$D1389&lt;$P$1+1,U1389=0),'FA Addition'!$L1389,0)-Y1389</f>
        <v>0</v>
      </c>
      <c r="AF1389" s="117">
        <f t="shared" si="105"/>
        <v>0</v>
      </c>
      <c r="AG1389" s="117">
        <f>MIN(MAX(+$P$1-'FA Addition'!$D1389,0),365*'FA Addition'!$O1389)</f>
        <v>0</v>
      </c>
      <c r="AH1389" s="117">
        <f>MIN(MAX($L$1-'FA Addition'!$D1389+1,0),365*'FA Addition'!$O1389)</f>
        <v>0</v>
      </c>
      <c r="AI1389" s="117" cm="1">
        <f t="array" ref="AI1389">_xlfn.XLOOKUP(1,('FA Write off'!A:A='FA Addition'!$A1389)*('FA Write off'!D:D=AA1389),'FA Write off'!H:H,0,0)</f>
        <v>0</v>
      </c>
      <c r="AJ1389" s="117">
        <f>IF(AC1389&gt;0,MAX(IF('FA Addition'!$N1389="SLM",($AC1389-'FA Addition'!$M1389)*'FA Addition'!$P1389*AI1389/365,(AC1389-'FA Addition'!$M1389)*(1-(1-'FA Addition'!$P1389)^(AI1389/365))),0),0)</f>
        <v>0</v>
      </c>
      <c r="AL1389" s="117">
        <f>MAX(IF(AG1389&gt;0,IF('FA Addition'!$N1389="SLM",($AE1389-'FA Addition'!$M1389)*'FA Addition'!$P1389*AG1389/365,IFERROR(VDB(AE1389,AE1389*0.05,'FA Addition'!$O1389,0,YEARFRAC('FA Addition'!$C1389,$P$1-1,3),'FA Addition'!$Q1389),FAAddition[[#This Row],[Original Cost (Rs)]]-FAAddition[[#This Row],[Salvage Value]])),0),0)</f>
        <v>0</v>
      </c>
      <c r="AM1389" s="119"/>
      <c r="AN1389" s="117">
        <f>MAX(IF(AH1389&gt;0,IF('FA Addition'!$N1389="SLM",($AF1389-'FA Addition'!$M1389)*'FA Addition'!$P1389*AH1389/365,IFERROR(VDB(AF1389,AF1389*0.05,'FA Addition'!$O1389,0,YEARFRAC('FA Addition'!$C1389,$L$1,3),'FA Addition'!$Q1389),FAAddition[[#This Row],[Original Cost (Rs)]]-FAAddition[[#This Row],[Salvage Value]])),0),0)</f>
        <v>0</v>
      </c>
      <c r="AO1389" s="117">
        <f t="shared" si="108"/>
        <v>0</v>
      </c>
      <c r="AQ1389" s="117">
        <f t="shared" si="106"/>
        <v>0</v>
      </c>
      <c r="AR1389" s="120">
        <f t="shared" si="107"/>
        <v>0</v>
      </c>
      <c r="AS1389" s="121"/>
    </row>
    <row r="1390" spans="1:45" ht="13.5" x14ac:dyDescent="0.4">
      <c r="A1390" s="12">
        <f t="shared" si="109"/>
        <v>1387</v>
      </c>
      <c r="B1390" s="64" t="s">
        <v>10</v>
      </c>
      <c r="C1390" s="54">
        <v>45869</v>
      </c>
      <c r="D1390" s="54">
        <v>45875</v>
      </c>
      <c r="E1390" s="46" t="s">
        <v>32</v>
      </c>
      <c r="F1390" s="51" t="s">
        <v>33</v>
      </c>
      <c r="G1390" s="51" t="s">
        <v>36</v>
      </c>
      <c r="H1390" s="51" t="s">
        <v>32</v>
      </c>
      <c r="I1390" s="55" t="s">
        <v>83</v>
      </c>
      <c r="J1390" s="56">
        <v>500</v>
      </c>
      <c r="K1390" s="51" t="s">
        <v>296</v>
      </c>
      <c r="L1390" s="58">
        <v>750000</v>
      </c>
      <c r="M1390" s="50">
        <f>ROUND('FA Addition'!$L1390*5%,0.1)</f>
        <v>37500</v>
      </c>
      <c r="N1390" s="113" t="str">
        <f>_xlfn.XLOOKUP(_xlfn.CONCAT(E1390,B1390),'Year Wise Master Dep Approach'!F:F,'Year Wise Master Dep Approach'!D:D)</f>
        <v>SLM</v>
      </c>
      <c r="O1390" s="113">
        <f>_xlfn.XLOOKUP(_xlfn.CONCAT(E1390,B1390),'Year Wise Master Dep Approach'!F:F,'Year Wise Master Dep Approach'!E:E)</f>
        <v>5</v>
      </c>
      <c r="P1390" s="114">
        <f>IFERROR(IF('FA Addition'!$N1390="WDV",1-('FA Addition'!$M1390/'FA Addition'!$L1390)^(1/'FA Addition'!$O1390),1/'FA Addition'!$O1390),0)</f>
        <v>0.2</v>
      </c>
      <c r="Q1390" s="122">
        <f>'FA Addition'!$P1390*'FA Addition'!$O1390</f>
        <v>1</v>
      </c>
      <c r="R1390" s="122"/>
      <c r="S1390" s="116">
        <f>IF(AND(DATE(20&amp;LEFT(FAAddition[[#This Row],[FY]],2),4,1)&lt;$L$1+1,DATE(20&amp;LEFT(FAAddition[[#This Row],[FY]],2),4,1)&gt;$P$1-1),'FA Addition'!$J1390,0)</f>
        <v>0</v>
      </c>
      <c r="U1390" s="117">
        <f>S1390*'FA Addition'!$L1390/'FA Addition'!$J1390</f>
        <v>0</v>
      </c>
      <c r="W1390" s="116">
        <f>SUMIFS('FA Write off'!D:D,'FA Write off'!A:A,'FA Addition'!$A1390,'FA Write off'!C:C,"&lt;"&amp;'FA Addition'!$P$1)</f>
        <v>0</v>
      </c>
      <c r="Y1390" s="191">
        <f>IFERROR(W1390/'FA Addition'!$J1390*'FA Addition'!$L1390,0)</f>
        <v>0</v>
      </c>
      <c r="AA1390" s="116">
        <f>SUMIFS('FA Write off'!D:D,'FA Write off'!A:A,'FA Addition'!$A1390,'FA Write off'!C:C,"&lt;"&amp;'FA Addition'!$L$1+1,'FA Write off'!C:C,"&gt;"&amp;'FA Addition'!$L$1-365)</f>
        <v>0</v>
      </c>
      <c r="AC1390" s="118">
        <f>IFERROR(AA1390/'FA Addition'!$J1390*'FA Addition'!$L1390,0)</f>
        <v>0</v>
      </c>
      <c r="AE1390" s="117">
        <f>IF(AND('FA Addition'!$D1390&lt;$P$1+1,U1390=0),'FA Addition'!$L1390,0)-Y1390</f>
        <v>0</v>
      </c>
      <c r="AF1390" s="117">
        <f t="shared" si="105"/>
        <v>0</v>
      </c>
      <c r="AG1390" s="117">
        <f>MIN(MAX(+$P$1-'FA Addition'!$D1390,0),365*'FA Addition'!$O1390)</f>
        <v>0</v>
      </c>
      <c r="AH1390" s="117">
        <f>MIN(MAX($L$1-'FA Addition'!$D1390+1,0),365*'FA Addition'!$O1390)</f>
        <v>0</v>
      </c>
      <c r="AI1390" s="117" cm="1">
        <f t="array" ref="AI1390">_xlfn.XLOOKUP(1,('FA Write off'!A:A='FA Addition'!$A1390)*('FA Write off'!D:D=AA1390),'FA Write off'!H:H,0,0)</f>
        <v>0</v>
      </c>
      <c r="AJ1390" s="117">
        <f>IF(AC1390&gt;0,MAX(IF('FA Addition'!$N1390="SLM",($AC1390-'FA Addition'!$M1390)*'FA Addition'!$P1390*AI1390/365,(AC1390-'FA Addition'!$M1390)*(1-(1-'FA Addition'!$P1390)^(AI1390/365))),0),0)</f>
        <v>0</v>
      </c>
      <c r="AL1390" s="117">
        <f>MAX(IF(AG1390&gt;0,IF('FA Addition'!$N1390="SLM",($AE1390-'FA Addition'!$M1390)*'FA Addition'!$P1390*AG1390/365,IFERROR(VDB(AE1390,AE1390*0.05,'FA Addition'!$O1390,0,YEARFRAC('FA Addition'!$C1390,$P$1-1,3),'FA Addition'!$Q1390),FAAddition[[#This Row],[Original Cost (Rs)]]-FAAddition[[#This Row],[Salvage Value]])),0),0)</f>
        <v>0</v>
      </c>
      <c r="AM1390" s="119"/>
      <c r="AN1390" s="117">
        <f>MAX(IF(AH1390&gt;0,IF('FA Addition'!$N1390="SLM",($AF1390-'FA Addition'!$M1390)*'FA Addition'!$P1390*AH1390/365,IFERROR(VDB(AF1390,AF1390*0.05,'FA Addition'!$O1390,0,YEARFRAC('FA Addition'!$C1390,$L$1,3),'FA Addition'!$Q1390),FAAddition[[#This Row],[Original Cost (Rs)]]-FAAddition[[#This Row],[Salvage Value]])),0),0)</f>
        <v>0</v>
      </c>
      <c r="AO1390" s="117">
        <f t="shared" si="108"/>
        <v>0</v>
      </c>
      <c r="AQ1390" s="117">
        <f t="shared" si="106"/>
        <v>0</v>
      </c>
      <c r="AR1390" s="120">
        <f t="shared" si="107"/>
        <v>0</v>
      </c>
      <c r="AS1390" s="121"/>
    </row>
    <row r="1391" spans="1:45" ht="13.5" x14ac:dyDescent="0.4">
      <c r="A1391" s="12">
        <f t="shared" si="109"/>
        <v>1388</v>
      </c>
      <c r="B1391" s="64" t="s">
        <v>10</v>
      </c>
      <c r="C1391" s="54">
        <v>45876</v>
      </c>
      <c r="D1391" s="54">
        <v>45880</v>
      </c>
      <c r="E1391" s="46" t="s">
        <v>32</v>
      </c>
      <c r="F1391" s="51" t="s">
        <v>33</v>
      </c>
      <c r="G1391" s="51" t="s">
        <v>34</v>
      </c>
      <c r="H1391" s="51" t="s">
        <v>32</v>
      </c>
      <c r="I1391" s="55" t="s">
        <v>84</v>
      </c>
      <c r="J1391" s="56">
        <v>2000</v>
      </c>
      <c r="K1391" s="51" t="s">
        <v>295</v>
      </c>
      <c r="L1391" s="58">
        <v>2998000</v>
      </c>
      <c r="M1391" s="50">
        <f>ROUND('FA Addition'!$L1391*5%,0.1)</f>
        <v>149900</v>
      </c>
      <c r="N1391" s="113" t="str">
        <f>_xlfn.XLOOKUP(_xlfn.CONCAT(E1391,B1391),'Year Wise Master Dep Approach'!F:F,'Year Wise Master Dep Approach'!D:D)</f>
        <v>SLM</v>
      </c>
      <c r="O1391" s="113">
        <f>_xlfn.XLOOKUP(_xlfn.CONCAT(E1391,B1391),'Year Wise Master Dep Approach'!F:F,'Year Wise Master Dep Approach'!E:E)</f>
        <v>5</v>
      </c>
      <c r="P1391" s="114">
        <f>IFERROR(IF('FA Addition'!$N1391="WDV",1-('FA Addition'!$M1391/'FA Addition'!$L1391)^(1/'FA Addition'!$O1391),1/'FA Addition'!$O1391),0)</f>
        <v>0.2</v>
      </c>
      <c r="Q1391" s="122">
        <f>'FA Addition'!$P1391*'FA Addition'!$O1391</f>
        <v>1</v>
      </c>
      <c r="R1391" s="122"/>
      <c r="S1391" s="116">
        <f>IF(AND(DATE(20&amp;LEFT(FAAddition[[#This Row],[FY]],2),4,1)&lt;$L$1+1,DATE(20&amp;LEFT(FAAddition[[#This Row],[FY]],2),4,1)&gt;$P$1-1),'FA Addition'!$J1391,0)</f>
        <v>0</v>
      </c>
      <c r="U1391" s="117">
        <f>S1391*'FA Addition'!$L1391/'FA Addition'!$J1391</f>
        <v>0</v>
      </c>
      <c r="W1391" s="116">
        <f>SUMIFS('FA Write off'!D:D,'FA Write off'!A:A,'FA Addition'!$A1391,'FA Write off'!C:C,"&lt;"&amp;'FA Addition'!$P$1)</f>
        <v>0</v>
      </c>
      <c r="Y1391" s="191">
        <f>IFERROR(W1391/'FA Addition'!$J1391*'FA Addition'!$L1391,0)</f>
        <v>0</v>
      </c>
      <c r="AA1391" s="116">
        <f>SUMIFS('FA Write off'!D:D,'FA Write off'!A:A,'FA Addition'!$A1391,'FA Write off'!C:C,"&lt;"&amp;'FA Addition'!$L$1+1,'FA Write off'!C:C,"&gt;"&amp;'FA Addition'!$L$1-365)</f>
        <v>0</v>
      </c>
      <c r="AC1391" s="118">
        <f>IFERROR(AA1391/'FA Addition'!$J1391*'FA Addition'!$L1391,0)</f>
        <v>0</v>
      </c>
      <c r="AE1391" s="117">
        <f>IF(AND('FA Addition'!$D1391&lt;$P$1+1,U1391=0),'FA Addition'!$L1391,0)-Y1391</f>
        <v>0</v>
      </c>
      <c r="AF1391" s="117">
        <f t="shared" si="105"/>
        <v>0</v>
      </c>
      <c r="AG1391" s="117">
        <f>MIN(MAX(+$P$1-'FA Addition'!$D1391,0),365*'FA Addition'!$O1391)</f>
        <v>0</v>
      </c>
      <c r="AH1391" s="117">
        <f>MIN(MAX($L$1-'FA Addition'!$D1391+1,0),365*'FA Addition'!$O1391)</f>
        <v>0</v>
      </c>
      <c r="AI1391" s="117" cm="1">
        <f t="array" ref="AI1391">_xlfn.XLOOKUP(1,('FA Write off'!A:A='FA Addition'!$A1391)*('FA Write off'!D:D=AA1391),'FA Write off'!H:H,0,0)</f>
        <v>0</v>
      </c>
      <c r="AJ1391" s="117">
        <f>IF(AC1391&gt;0,MAX(IF('FA Addition'!$N1391="SLM",($AC1391-'FA Addition'!$M1391)*'FA Addition'!$P1391*AI1391/365,(AC1391-'FA Addition'!$M1391)*(1-(1-'FA Addition'!$P1391)^(AI1391/365))),0),0)</f>
        <v>0</v>
      </c>
      <c r="AL1391" s="117">
        <f>MAX(IF(AG1391&gt;0,IF('FA Addition'!$N1391="SLM",($AE1391-'FA Addition'!$M1391)*'FA Addition'!$P1391*AG1391/365,IFERROR(VDB(AE1391,AE1391*0.05,'FA Addition'!$O1391,0,YEARFRAC('FA Addition'!$C1391,$P$1-1,3),'FA Addition'!$Q1391),FAAddition[[#This Row],[Original Cost (Rs)]]-FAAddition[[#This Row],[Salvage Value]])),0),0)</f>
        <v>0</v>
      </c>
      <c r="AM1391" s="119"/>
      <c r="AN1391" s="117">
        <f>MAX(IF(AH1391&gt;0,IF('FA Addition'!$N1391="SLM",($AF1391-'FA Addition'!$M1391)*'FA Addition'!$P1391*AH1391/365,IFERROR(VDB(AF1391,AF1391*0.05,'FA Addition'!$O1391,0,YEARFRAC('FA Addition'!$C1391,$L$1,3),'FA Addition'!$Q1391),FAAddition[[#This Row],[Original Cost (Rs)]]-FAAddition[[#This Row],[Salvage Value]])),0),0)</f>
        <v>0</v>
      </c>
      <c r="AO1391" s="117">
        <f t="shared" si="108"/>
        <v>0</v>
      </c>
      <c r="AQ1391" s="117">
        <f t="shared" si="106"/>
        <v>0</v>
      </c>
      <c r="AR1391" s="120">
        <f t="shared" si="107"/>
        <v>0</v>
      </c>
      <c r="AS1391" s="121"/>
    </row>
    <row r="1392" spans="1:45" ht="13.5" x14ac:dyDescent="0.4">
      <c r="A1392" s="12">
        <f t="shared" si="109"/>
        <v>1389</v>
      </c>
      <c r="B1392" s="64" t="s">
        <v>10</v>
      </c>
      <c r="C1392" s="54">
        <v>45885</v>
      </c>
      <c r="D1392" s="54">
        <v>45888</v>
      </c>
      <c r="E1392" s="46" t="s">
        <v>32</v>
      </c>
      <c r="F1392" s="51" t="s">
        <v>33</v>
      </c>
      <c r="G1392" s="51" t="s">
        <v>36</v>
      </c>
      <c r="H1392" s="51" t="s">
        <v>32</v>
      </c>
      <c r="I1392" s="55" t="s">
        <v>85</v>
      </c>
      <c r="J1392" s="56">
        <v>400</v>
      </c>
      <c r="K1392" s="51" t="s">
        <v>296</v>
      </c>
      <c r="L1392" s="58">
        <v>600000</v>
      </c>
      <c r="M1392" s="50">
        <f>ROUND('FA Addition'!$L1392*5%,0.1)</f>
        <v>30000</v>
      </c>
      <c r="N1392" s="113" t="str">
        <f>_xlfn.XLOOKUP(_xlfn.CONCAT(E1392,B1392),'Year Wise Master Dep Approach'!F:F,'Year Wise Master Dep Approach'!D:D)</f>
        <v>SLM</v>
      </c>
      <c r="O1392" s="113">
        <f>_xlfn.XLOOKUP(_xlfn.CONCAT(E1392,B1392),'Year Wise Master Dep Approach'!F:F,'Year Wise Master Dep Approach'!E:E)</f>
        <v>5</v>
      </c>
      <c r="P1392" s="114">
        <f>IFERROR(IF('FA Addition'!$N1392="WDV",1-('FA Addition'!$M1392/'FA Addition'!$L1392)^(1/'FA Addition'!$O1392),1/'FA Addition'!$O1392),0)</f>
        <v>0.2</v>
      </c>
      <c r="Q1392" s="122">
        <f>'FA Addition'!$P1392*'FA Addition'!$O1392</f>
        <v>1</v>
      </c>
      <c r="R1392" s="122"/>
      <c r="S1392" s="116">
        <f>IF(AND(DATE(20&amp;LEFT(FAAddition[[#This Row],[FY]],2),4,1)&lt;$L$1+1,DATE(20&amp;LEFT(FAAddition[[#This Row],[FY]],2),4,1)&gt;$P$1-1),'FA Addition'!$J1392,0)</f>
        <v>0</v>
      </c>
      <c r="U1392" s="117">
        <f>S1392*'FA Addition'!$L1392/'FA Addition'!$J1392</f>
        <v>0</v>
      </c>
      <c r="W1392" s="116">
        <f>SUMIFS('FA Write off'!D:D,'FA Write off'!A:A,'FA Addition'!$A1392,'FA Write off'!C:C,"&lt;"&amp;'FA Addition'!$P$1)</f>
        <v>0</v>
      </c>
      <c r="Y1392" s="191">
        <f>IFERROR(W1392/'FA Addition'!$J1392*'FA Addition'!$L1392,0)</f>
        <v>0</v>
      </c>
      <c r="AA1392" s="116">
        <f>SUMIFS('FA Write off'!D:D,'FA Write off'!A:A,'FA Addition'!$A1392,'FA Write off'!C:C,"&lt;"&amp;'FA Addition'!$L$1+1,'FA Write off'!C:C,"&gt;"&amp;'FA Addition'!$L$1-365)</f>
        <v>0</v>
      </c>
      <c r="AC1392" s="118">
        <f>IFERROR(AA1392/'FA Addition'!$J1392*'FA Addition'!$L1392,0)</f>
        <v>0</v>
      </c>
      <c r="AE1392" s="117">
        <f>IF(AND('FA Addition'!$D1392&lt;$P$1+1,U1392=0),'FA Addition'!$L1392,0)-Y1392</f>
        <v>0</v>
      </c>
      <c r="AF1392" s="117">
        <f t="shared" si="105"/>
        <v>0</v>
      </c>
      <c r="AG1392" s="117">
        <f>MIN(MAX(+$P$1-'FA Addition'!$D1392,0),365*'FA Addition'!$O1392)</f>
        <v>0</v>
      </c>
      <c r="AH1392" s="117">
        <f>MIN(MAX($L$1-'FA Addition'!$D1392+1,0),365*'FA Addition'!$O1392)</f>
        <v>0</v>
      </c>
      <c r="AI1392" s="117" cm="1">
        <f t="array" ref="AI1392">_xlfn.XLOOKUP(1,('FA Write off'!A:A='FA Addition'!$A1392)*('FA Write off'!D:D=AA1392),'FA Write off'!H:H,0,0)</f>
        <v>0</v>
      </c>
      <c r="AJ1392" s="117">
        <f>IF(AC1392&gt;0,MAX(IF('FA Addition'!$N1392="SLM",($AC1392-'FA Addition'!$M1392)*'FA Addition'!$P1392*AI1392/365,(AC1392-'FA Addition'!$M1392)*(1-(1-'FA Addition'!$P1392)^(AI1392/365))),0),0)</f>
        <v>0</v>
      </c>
      <c r="AL1392" s="117">
        <f>MAX(IF(AG1392&gt;0,IF('FA Addition'!$N1392="SLM",($AE1392-'FA Addition'!$M1392)*'FA Addition'!$P1392*AG1392/365,IFERROR(VDB(AE1392,AE1392*0.05,'FA Addition'!$O1392,0,YEARFRAC('FA Addition'!$C1392,$P$1-1,3),'FA Addition'!$Q1392),FAAddition[[#This Row],[Original Cost (Rs)]]-FAAddition[[#This Row],[Salvage Value]])),0),0)</f>
        <v>0</v>
      </c>
      <c r="AM1392" s="119"/>
      <c r="AN1392" s="117">
        <f>MAX(IF(AH1392&gt;0,IF('FA Addition'!$N1392="SLM",($AF1392-'FA Addition'!$M1392)*'FA Addition'!$P1392*AH1392/365,IFERROR(VDB(AF1392,AF1392*0.05,'FA Addition'!$O1392,0,YEARFRAC('FA Addition'!$C1392,$L$1,3),'FA Addition'!$Q1392),FAAddition[[#This Row],[Original Cost (Rs)]]-FAAddition[[#This Row],[Salvage Value]])),0),0)</f>
        <v>0</v>
      </c>
      <c r="AO1392" s="117">
        <f t="shared" si="108"/>
        <v>0</v>
      </c>
      <c r="AQ1392" s="117">
        <f t="shared" si="106"/>
        <v>0</v>
      </c>
      <c r="AR1392" s="120">
        <f t="shared" si="107"/>
        <v>0</v>
      </c>
      <c r="AS1392" s="121"/>
    </row>
    <row r="1393" spans="1:45" ht="13.5" x14ac:dyDescent="0.4">
      <c r="A1393" s="12">
        <f t="shared" si="109"/>
        <v>1390</v>
      </c>
      <c r="B1393" s="64" t="s">
        <v>10</v>
      </c>
      <c r="C1393" s="54">
        <v>45885</v>
      </c>
      <c r="D1393" s="54">
        <v>45888</v>
      </c>
      <c r="E1393" s="46" t="s">
        <v>32</v>
      </c>
      <c r="F1393" s="51" t="s">
        <v>33</v>
      </c>
      <c r="G1393" s="51" t="s">
        <v>34</v>
      </c>
      <c r="H1393" s="51" t="s">
        <v>32</v>
      </c>
      <c r="I1393" s="55" t="s">
        <v>86</v>
      </c>
      <c r="J1393" s="56">
        <v>120</v>
      </c>
      <c r="K1393" s="51" t="s">
        <v>295</v>
      </c>
      <c r="L1393" s="58">
        <v>179880</v>
      </c>
      <c r="M1393" s="50">
        <f>ROUND('FA Addition'!$L1393*5%,0.1)</f>
        <v>8994</v>
      </c>
      <c r="N1393" s="113" t="str">
        <f>_xlfn.XLOOKUP(_xlfn.CONCAT(E1393,B1393),'Year Wise Master Dep Approach'!F:F,'Year Wise Master Dep Approach'!D:D)</f>
        <v>SLM</v>
      </c>
      <c r="O1393" s="113">
        <f>_xlfn.XLOOKUP(_xlfn.CONCAT(E1393,B1393),'Year Wise Master Dep Approach'!F:F,'Year Wise Master Dep Approach'!E:E)</f>
        <v>5</v>
      </c>
      <c r="P1393" s="114">
        <f>IFERROR(IF('FA Addition'!$N1393="WDV",1-('FA Addition'!$M1393/'FA Addition'!$L1393)^(1/'FA Addition'!$O1393),1/'FA Addition'!$O1393),0)</f>
        <v>0.2</v>
      </c>
      <c r="Q1393" s="122">
        <f>'FA Addition'!$P1393*'FA Addition'!$O1393</f>
        <v>1</v>
      </c>
      <c r="R1393" s="122"/>
      <c r="S1393" s="116">
        <f>IF(AND(DATE(20&amp;LEFT(FAAddition[[#This Row],[FY]],2),4,1)&lt;$L$1+1,DATE(20&amp;LEFT(FAAddition[[#This Row],[FY]],2),4,1)&gt;$P$1-1),'FA Addition'!$J1393,0)</f>
        <v>0</v>
      </c>
      <c r="U1393" s="117">
        <f>S1393*'FA Addition'!$L1393/'FA Addition'!$J1393</f>
        <v>0</v>
      </c>
      <c r="W1393" s="116">
        <f>SUMIFS('FA Write off'!D:D,'FA Write off'!A:A,'FA Addition'!$A1393,'FA Write off'!C:C,"&lt;"&amp;'FA Addition'!$P$1)</f>
        <v>0</v>
      </c>
      <c r="Y1393" s="191">
        <f>IFERROR(W1393/'FA Addition'!$J1393*'FA Addition'!$L1393,0)</f>
        <v>0</v>
      </c>
      <c r="AA1393" s="116">
        <f>SUMIFS('FA Write off'!D:D,'FA Write off'!A:A,'FA Addition'!$A1393,'FA Write off'!C:C,"&lt;"&amp;'FA Addition'!$L$1+1,'FA Write off'!C:C,"&gt;"&amp;'FA Addition'!$L$1-365)</f>
        <v>0</v>
      </c>
      <c r="AC1393" s="118">
        <f>IFERROR(AA1393/'FA Addition'!$J1393*'FA Addition'!$L1393,0)</f>
        <v>0</v>
      </c>
      <c r="AE1393" s="117">
        <f>IF(AND('FA Addition'!$D1393&lt;$P$1+1,U1393=0),'FA Addition'!$L1393,0)-Y1393</f>
        <v>0</v>
      </c>
      <c r="AF1393" s="117">
        <f t="shared" si="105"/>
        <v>0</v>
      </c>
      <c r="AG1393" s="117">
        <f>MIN(MAX(+$P$1-'FA Addition'!$D1393,0),365*'FA Addition'!$O1393)</f>
        <v>0</v>
      </c>
      <c r="AH1393" s="117">
        <f>MIN(MAX($L$1-'FA Addition'!$D1393+1,0),365*'FA Addition'!$O1393)</f>
        <v>0</v>
      </c>
      <c r="AI1393" s="117" cm="1">
        <f t="array" ref="AI1393">_xlfn.XLOOKUP(1,('FA Write off'!A:A='FA Addition'!$A1393)*('FA Write off'!D:D=AA1393),'FA Write off'!H:H,0,0)</f>
        <v>0</v>
      </c>
      <c r="AJ1393" s="117">
        <f>IF(AC1393&gt;0,MAX(IF('FA Addition'!$N1393="SLM",($AC1393-'FA Addition'!$M1393)*'FA Addition'!$P1393*AI1393/365,(AC1393-'FA Addition'!$M1393)*(1-(1-'FA Addition'!$P1393)^(AI1393/365))),0),0)</f>
        <v>0</v>
      </c>
      <c r="AL1393" s="117">
        <f>MAX(IF(AG1393&gt;0,IF('FA Addition'!$N1393="SLM",($AE1393-'FA Addition'!$M1393)*'FA Addition'!$P1393*AG1393/365,IFERROR(VDB(AE1393,AE1393*0.05,'FA Addition'!$O1393,0,YEARFRAC('FA Addition'!$C1393,$P$1-1,3),'FA Addition'!$Q1393),FAAddition[[#This Row],[Original Cost (Rs)]]-FAAddition[[#This Row],[Salvage Value]])),0),0)</f>
        <v>0</v>
      </c>
      <c r="AM1393" s="119"/>
      <c r="AN1393" s="117">
        <f>MAX(IF(AH1393&gt;0,IF('FA Addition'!$N1393="SLM",($AF1393-'FA Addition'!$M1393)*'FA Addition'!$P1393*AH1393/365,IFERROR(VDB(AF1393,AF1393*0.05,'FA Addition'!$O1393,0,YEARFRAC('FA Addition'!$C1393,$L$1,3),'FA Addition'!$Q1393),FAAddition[[#This Row],[Original Cost (Rs)]]-FAAddition[[#This Row],[Salvage Value]])),0),0)</f>
        <v>0</v>
      </c>
      <c r="AO1393" s="117">
        <f t="shared" si="108"/>
        <v>0</v>
      </c>
      <c r="AQ1393" s="117">
        <f t="shared" si="106"/>
        <v>0</v>
      </c>
      <c r="AR1393" s="120">
        <f t="shared" si="107"/>
        <v>0</v>
      </c>
      <c r="AS1393" s="121"/>
    </row>
    <row r="1394" spans="1:45" ht="13.5" x14ac:dyDescent="0.4">
      <c r="A1394" s="12">
        <f t="shared" si="109"/>
        <v>1391</v>
      </c>
      <c r="B1394" s="64" t="s">
        <v>10</v>
      </c>
      <c r="C1394" s="54">
        <v>45887</v>
      </c>
      <c r="D1394" s="54">
        <v>45888</v>
      </c>
      <c r="E1394" s="46" t="s">
        <v>32</v>
      </c>
      <c r="F1394" s="51" t="s">
        <v>33</v>
      </c>
      <c r="G1394" s="51" t="s">
        <v>36</v>
      </c>
      <c r="H1394" s="51" t="s">
        <v>32</v>
      </c>
      <c r="I1394" s="55" t="s">
        <v>87</v>
      </c>
      <c r="J1394" s="56">
        <v>520</v>
      </c>
      <c r="K1394" s="51" t="s">
        <v>296</v>
      </c>
      <c r="L1394" s="58">
        <v>780000</v>
      </c>
      <c r="M1394" s="50">
        <f>ROUND('FA Addition'!$L1394*5%,0.1)</f>
        <v>39000</v>
      </c>
      <c r="N1394" s="113" t="str">
        <f>_xlfn.XLOOKUP(_xlfn.CONCAT(E1394,B1394),'Year Wise Master Dep Approach'!F:F,'Year Wise Master Dep Approach'!D:D)</f>
        <v>SLM</v>
      </c>
      <c r="O1394" s="113">
        <f>_xlfn.XLOOKUP(_xlfn.CONCAT(E1394,B1394),'Year Wise Master Dep Approach'!F:F,'Year Wise Master Dep Approach'!E:E)</f>
        <v>5</v>
      </c>
      <c r="P1394" s="114">
        <f>IFERROR(IF('FA Addition'!$N1394="WDV",1-('FA Addition'!$M1394/'FA Addition'!$L1394)^(1/'FA Addition'!$O1394),1/'FA Addition'!$O1394),0)</f>
        <v>0.2</v>
      </c>
      <c r="Q1394" s="122">
        <f>'FA Addition'!$P1394*'FA Addition'!$O1394</f>
        <v>1</v>
      </c>
      <c r="R1394" s="122"/>
      <c r="S1394" s="116">
        <f>IF(AND(DATE(20&amp;LEFT(FAAddition[[#This Row],[FY]],2),4,1)&lt;$L$1+1,DATE(20&amp;LEFT(FAAddition[[#This Row],[FY]],2),4,1)&gt;$P$1-1),'FA Addition'!$J1394,0)</f>
        <v>0</v>
      </c>
      <c r="U1394" s="117">
        <f>S1394*'FA Addition'!$L1394/'FA Addition'!$J1394</f>
        <v>0</v>
      </c>
      <c r="W1394" s="116">
        <f>SUMIFS('FA Write off'!D:D,'FA Write off'!A:A,'FA Addition'!$A1394,'FA Write off'!C:C,"&lt;"&amp;'FA Addition'!$P$1)</f>
        <v>0</v>
      </c>
      <c r="Y1394" s="191">
        <f>IFERROR(W1394/'FA Addition'!$J1394*'FA Addition'!$L1394,0)</f>
        <v>0</v>
      </c>
      <c r="AA1394" s="116">
        <f>SUMIFS('FA Write off'!D:D,'FA Write off'!A:A,'FA Addition'!$A1394,'FA Write off'!C:C,"&lt;"&amp;'FA Addition'!$L$1+1,'FA Write off'!C:C,"&gt;"&amp;'FA Addition'!$L$1-365)</f>
        <v>0</v>
      </c>
      <c r="AC1394" s="118">
        <f>IFERROR(AA1394/'FA Addition'!$J1394*'FA Addition'!$L1394,0)</f>
        <v>0</v>
      </c>
      <c r="AE1394" s="117">
        <f>IF(AND('FA Addition'!$D1394&lt;$P$1+1,U1394=0),'FA Addition'!$L1394,0)-Y1394</f>
        <v>0</v>
      </c>
      <c r="AF1394" s="117">
        <f t="shared" si="105"/>
        <v>0</v>
      </c>
      <c r="AG1394" s="117">
        <f>MIN(MAX(+$P$1-'FA Addition'!$D1394,0),365*'FA Addition'!$O1394)</f>
        <v>0</v>
      </c>
      <c r="AH1394" s="117">
        <f>MIN(MAX($L$1-'FA Addition'!$D1394+1,0),365*'FA Addition'!$O1394)</f>
        <v>0</v>
      </c>
      <c r="AI1394" s="117" cm="1">
        <f t="array" ref="AI1394">_xlfn.XLOOKUP(1,('FA Write off'!A:A='FA Addition'!$A1394)*('FA Write off'!D:D=AA1394),'FA Write off'!H:H,0,0)</f>
        <v>0</v>
      </c>
      <c r="AJ1394" s="117">
        <f>IF(AC1394&gt;0,MAX(IF('FA Addition'!$N1394="SLM",($AC1394-'FA Addition'!$M1394)*'FA Addition'!$P1394*AI1394/365,(AC1394-'FA Addition'!$M1394)*(1-(1-'FA Addition'!$P1394)^(AI1394/365))),0),0)</f>
        <v>0</v>
      </c>
      <c r="AL1394" s="117">
        <f>MAX(IF(AG1394&gt;0,IF('FA Addition'!$N1394="SLM",($AE1394-'FA Addition'!$M1394)*'FA Addition'!$P1394*AG1394/365,IFERROR(VDB(AE1394,AE1394*0.05,'FA Addition'!$O1394,0,YEARFRAC('FA Addition'!$C1394,$P$1-1,3),'FA Addition'!$Q1394),FAAddition[[#This Row],[Original Cost (Rs)]]-FAAddition[[#This Row],[Salvage Value]])),0),0)</f>
        <v>0</v>
      </c>
      <c r="AM1394" s="119"/>
      <c r="AN1394" s="117">
        <f>MAX(IF(AH1394&gt;0,IF('FA Addition'!$N1394="SLM",($AF1394-'FA Addition'!$M1394)*'FA Addition'!$P1394*AH1394/365,IFERROR(VDB(AF1394,AF1394*0.05,'FA Addition'!$O1394,0,YEARFRAC('FA Addition'!$C1394,$L$1,3),'FA Addition'!$Q1394),FAAddition[[#This Row],[Original Cost (Rs)]]-FAAddition[[#This Row],[Salvage Value]])),0),0)</f>
        <v>0</v>
      </c>
      <c r="AO1394" s="117">
        <f t="shared" si="108"/>
        <v>0</v>
      </c>
      <c r="AQ1394" s="117">
        <f t="shared" si="106"/>
        <v>0</v>
      </c>
      <c r="AR1394" s="120">
        <f t="shared" si="107"/>
        <v>0</v>
      </c>
      <c r="AS1394" s="121"/>
    </row>
    <row r="1395" spans="1:45" ht="13.5" x14ac:dyDescent="0.4">
      <c r="A1395" s="12">
        <f t="shared" si="109"/>
        <v>1392</v>
      </c>
      <c r="B1395" s="64" t="s">
        <v>10</v>
      </c>
      <c r="C1395" s="54">
        <v>45888</v>
      </c>
      <c r="D1395" s="54">
        <v>45896</v>
      </c>
      <c r="E1395" s="46" t="s">
        <v>32</v>
      </c>
      <c r="F1395" s="51" t="s">
        <v>33</v>
      </c>
      <c r="G1395" s="51" t="s">
        <v>36</v>
      </c>
      <c r="H1395" s="51" t="s">
        <v>32</v>
      </c>
      <c r="I1395" s="55" t="s">
        <v>88</v>
      </c>
      <c r="J1395" s="56">
        <v>540</v>
      </c>
      <c r="K1395" s="51" t="s">
        <v>296</v>
      </c>
      <c r="L1395" s="58">
        <v>810000</v>
      </c>
      <c r="M1395" s="50">
        <f>ROUND('FA Addition'!$L1395*5%,0.1)</f>
        <v>40500</v>
      </c>
      <c r="N1395" s="113" t="str">
        <f>_xlfn.XLOOKUP(_xlfn.CONCAT(E1395,B1395),'Year Wise Master Dep Approach'!F:F,'Year Wise Master Dep Approach'!D:D)</f>
        <v>SLM</v>
      </c>
      <c r="O1395" s="113">
        <f>_xlfn.XLOOKUP(_xlfn.CONCAT(E1395,B1395),'Year Wise Master Dep Approach'!F:F,'Year Wise Master Dep Approach'!E:E)</f>
        <v>5</v>
      </c>
      <c r="P1395" s="114">
        <f>IFERROR(IF('FA Addition'!$N1395="WDV",1-('FA Addition'!$M1395/'FA Addition'!$L1395)^(1/'FA Addition'!$O1395),1/'FA Addition'!$O1395),0)</f>
        <v>0.2</v>
      </c>
      <c r="Q1395" s="122">
        <f>'FA Addition'!$P1395*'FA Addition'!$O1395</f>
        <v>1</v>
      </c>
      <c r="R1395" s="122"/>
      <c r="S1395" s="116">
        <f>IF(AND(DATE(20&amp;LEFT(FAAddition[[#This Row],[FY]],2),4,1)&lt;$L$1+1,DATE(20&amp;LEFT(FAAddition[[#This Row],[FY]],2),4,1)&gt;$P$1-1),'FA Addition'!$J1395,0)</f>
        <v>0</v>
      </c>
      <c r="U1395" s="117">
        <f>S1395*'FA Addition'!$L1395/'FA Addition'!$J1395</f>
        <v>0</v>
      </c>
      <c r="W1395" s="116">
        <f>SUMIFS('FA Write off'!D:D,'FA Write off'!A:A,'FA Addition'!$A1395,'FA Write off'!C:C,"&lt;"&amp;'FA Addition'!$P$1)</f>
        <v>0</v>
      </c>
      <c r="Y1395" s="191">
        <f>IFERROR(W1395/'FA Addition'!$J1395*'FA Addition'!$L1395,0)</f>
        <v>0</v>
      </c>
      <c r="AA1395" s="116">
        <f>SUMIFS('FA Write off'!D:D,'FA Write off'!A:A,'FA Addition'!$A1395,'FA Write off'!C:C,"&lt;"&amp;'FA Addition'!$L$1+1,'FA Write off'!C:C,"&gt;"&amp;'FA Addition'!$L$1-365)</f>
        <v>0</v>
      </c>
      <c r="AC1395" s="118">
        <f>IFERROR(AA1395/'FA Addition'!$J1395*'FA Addition'!$L1395,0)</f>
        <v>0</v>
      </c>
      <c r="AE1395" s="117">
        <f>IF(AND('FA Addition'!$D1395&lt;$P$1+1,U1395=0),'FA Addition'!$L1395,0)-Y1395</f>
        <v>0</v>
      </c>
      <c r="AF1395" s="117">
        <f t="shared" si="105"/>
        <v>0</v>
      </c>
      <c r="AG1395" s="117">
        <f>MIN(MAX(+$P$1-'FA Addition'!$D1395,0),365*'FA Addition'!$O1395)</f>
        <v>0</v>
      </c>
      <c r="AH1395" s="117">
        <f>MIN(MAX($L$1-'FA Addition'!$D1395+1,0),365*'FA Addition'!$O1395)</f>
        <v>0</v>
      </c>
      <c r="AI1395" s="117" cm="1">
        <f t="array" ref="AI1395">_xlfn.XLOOKUP(1,('FA Write off'!A:A='FA Addition'!$A1395)*('FA Write off'!D:D=AA1395),'FA Write off'!H:H,0,0)</f>
        <v>0</v>
      </c>
      <c r="AJ1395" s="117">
        <f>IF(AC1395&gt;0,MAX(IF('FA Addition'!$N1395="SLM",($AC1395-'FA Addition'!$M1395)*'FA Addition'!$P1395*AI1395/365,(AC1395-'FA Addition'!$M1395)*(1-(1-'FA Addition'!$P1395)^(AI1395/365))),0),0)</f>
        <v>0</v>
      </c>
      <c r="AL1395" s="117">
        <f>MAX(IF(AG1395&gt;0,IF('FA Addition'!$N1395="SLM",($AE1395-'FA Addition'!$M1395)*'FA Addition'!$P1395*AG1395/365,IFERROR(VDB(AE1395,AE1395*0.05,'FA Addition'!$O1395,0,YEARFRAC('FA Addition'!$C1395,$P$1-1,3),'FA Addition'!$Q1395),FAAddition[[#This Row],[Original Cost (Rs)]]-FAAddition[[#This Row],[Salvage Value]])),0),0)</f>
        <v>0</v>
      </c>
      <c r="AM1395" s="119"/>
      <c r="AN1395" s="117">
        <f>MAX(IF(AH1395&gt;0,IF('FA Addition'!$N1395="SLM",($AF1395-'FA Addition'!$M1395)*'FA Addition'!$P1395*AH1395/365,IFERROR(VDB(AF1395,AF1395*0.05,'FA Addition'!$O1395,0,YEARFRAC('FA Addition'!$C1395,$L$1,3),'FA Addition'!$Q1395),FAAddition[[#This Row],[Original Cost (Rs)]]-FAAddition[[#This Row],[Salvage Value]])),0),0)</f>
        <v>0</v>
      </c>
      <c r="AO1395" s="117">
        <f t="shared" si="108"/>
        <v>0</v>
      </c>
      <c r="AQ1395" s="117">
        <f t="shared" si="106"/>
        <v>0</v>
      </c>
      <c r="AR1395" s="120">
        <f t="shared" si="107"/>
        <v>0</v>
      </c>
      <c r="AS1395" s="121"/>
    </row>
    <row r="1396" spans="1:45" ht="13.5" x14ac:dyDescent="0.4">
      <c r="A1396" s="12">
        <f t="shared" si="109"/>
        <v>1393</v>
      </c>
      <c r="B1396" s="64" t="s">
        <v>10</v>
      </c>
      <c r="C1396" s="54">
        <v>45887</v>
      </c>
      <c r="D1396" s="54">
        <v>45896</v>
      </c>
      <c r="E1396" s="46" t="s">
        <v>32</v>
      </c>
      <c r="F1396" s="51" t="s">
        <v>33</v>
      </c>
      <c r="G1396" s="51" t="s">
        <v>34</v>
      </c>
      <c r="H1396" s="51" t="s">
        <v>32</v>
      </c>
      <c r="I1396" s="55" t="s">
        <v>89</v>
      </c>
      <c r="J1396" s="56">
        <v>100</v>
      </c>
      <c r="K1396" s="51" t="s">
        <v>295</v>
      </c>
      <c r="L1396" s="58">
        <v>149900</v>
      </c>
      <c r="M1396" s="50">
        <f>ROUND('FA Addition'!$L1396*5%,0.1)</f>
        <v>7495</v>
      </c>
      <c r="N1396" s="113" t="str">
        <f>_xlfn.XLOOKUP(_xlfn.CONCAT(E1396,B1396),'Year Wise Master Dep Approach'!F:F,'Year Wise Master Dep Approach'!D:D)</f>
        <v>SLM</v>
      </c>
      <c r="O1396" s="113">
        <f>_xlfn.XLOOKUP(_xlfn.CONCAT(E1396,B1396),'Year Wise Master Dep Approach'!F:F,'Year Wise Master Dep Approach'!E:E)</f>
        <v>5</v>
      </c>
      <c r="P1396" s="114">
        <f>IFERROR(IF('FA Addition'!$N1396="WDV",1-('FA Addition'!$M1396/'FA Addition'!$L1396)^(1/'FA Addition'!$O1396),1/'FA Addition'!$O1396),0)</f>
        <v>0.2</v>
      </c>
      <c r="Q1396" s="122">
        <f>'FA Addition'!$P1396*'FA Addition'!$O1396</f>
        <v>1</v>
      </c>
      <c r="R1396" s="122"/>
      <c r="S1396" s="116">
        <f>IF(AND(DATE(20&amp;LEFT(FAAddition[[#This Row],[FY]],2),4,1)&lt;$L$1+1,DATE(20&amp;LEFT(FAAddition[[#This Row],[FY]],2),4,1)&gt;$P$1-1),'FA Addition'!$J1396,0)</f>
        <v>0</v>
      </c>
      <c r="U1396" s="117">
        <f>S1396*'FA Addition'!$L1396/'FA Addition'!$J1396</f>
        <v>0</v>
      </c>
      <c r="W1396" s="116">
        <f>SUMIFS('FA Write off'!D:D,'FA Write off'!A:A,'FA Addition'!$A1396,'FA Write off'!C:C,"&lt;"&amp;'FA Addition'!$P$1)</f>
        <v>0</v>
      </c>
      <c r="Y1396" s="191">
        <f>IFERROR(W1396/'FA Addition'!$J1396*'FA Addition'!$L1396,0)</f>
        <v>0</v>
      </c>
      <c r="AA1396" s="116">
        <f>SUMIFS('FA Write off'!D:D,'FA Write off'!A:A,'FA Addition'!$A1396,'FA Write off'!C:C,"&lt;"&amp;'FA Addition'!$L$1+1,'FA Write off'!C:C,"&gt;"&amp;'FA Addition'!$L$1-365)</f>
        <v>0</v>
      </c>
      <c r="AC1396" s="118">
        <f>IFERROR(AA1396/'FA Addition'!$J1396*'FA Addition'!$L1396,0)</f>
        <v>0</v>
      </c>
      <c r="AE1396" s="117">
        <f>IF(AND('FA Addition'!$D1396&lt;$P$1+1,U1396=0),'FA Addition'!$L1396,0)-Y1396</f>
        <v>0</v>
      </c>
      <c r="AF1396" s="117">
        <f t="shared" si="105"/>
        <v>0</v>
      </c>
      <c r="AG1396" s="117">
        <f>MIN(MAX(+$P$1-'FA Addition'!$D1396,0),365*'FA Addition'!$O1396)</f>
        <v>0</v>
      </c>
      <c r="AH1396" s="117">
        <f>MIN(MAX($L$1-'FA Addition'!$D1396+1,0),365*'FA Addition'!$O1396)</f>
        <v>0</v>
      </c>
      <c r="AI1396" s="117" cm="1">
        <f t="array" ref="AI1396">_xlfn.XLOOKUP(1,('FA Write off'!A:A='FA Addition'!$A1396)*('FA Write off'!D:D=AA1396),'FA Write off'!H:H,0,0)</f>
        <v>0</v>
      </c>
      <c r="AJ1396" s="117">
        <f>IF(AC1396&gt;0,MAX(IF('FA Addition'!$N1396="SLM",($AC1396-'FA Addition'!$M1396)*'FA Addition'!$P1396*AI1396/365,(AC1396-'FA Addition'!$M1396)*(1-(1-'FA Addition'!$P1396)^(AI1396/365))),0),0)</f>
        <v>0</v>
      </c>
      <c r="AL1396" s="117">
        <f>MAX(IF(AG1396&gt;0,IF('FA Addition'!$N1396="SLM",($AE1396-'FA Addition'!$M1396)*'FA Addition'!$P1396*AG1396/365,IFERROR(VDB(AE1396,AE1396*0.05,'FA Addition'!$O1396,0,YEARFRAC('FA Addition'!$C1396,$P$1-1,3),'FA Addition'!$Q1396),FAAddition[[#This Row],[Original Cost (Rs)]]-FAAddition[[#This Row],[Salvage Value]])),0),0)</f>
        <v>0</v>
      </c>
      <c r="AM1396" s="119"/>
      <c r="AN1396" s="117">
        <f>MAX(IF(AH1396&gt;0,IF('FA Addition'!$N1396="SLM",($AF1396-'FA Addition'!$M1396)*'FA Addition'!$P1396*AH1396/365,IFERROR(VDB(AF1396,AF1396*0.05,'FA Addition'!$O1396,0,YEARFRAC('FA Addition'!$C1396,$L$1,3),'FA Addition'!$Q1396),FAAddition[[#This Row],[Original Cost (Rs)]]-FAAddition[[#This Row],[Salvage Value]])),0),0)</f>
        <v>0</v>
      </c>
      <c r="AO1396" s="117">
        <f t="shared" si="108"/>
        <v>0</v>
      </c>
      <c r="AQ1396" s="117">
        <f t="shared" si="106"/>
        <v>0</v>
      </c>
      <c r="AR1396" s="120">
        <f t="shared" si="107"/>
        <v>0</v>
      </c>
      <c r="AS1396" s="121"/>
    </row>
    <row r="1397" spans="1:45" ht="13.5" x14ac:dyDescent="0.4">
      <c r="A1397" s="12">
        <f t="shared" si="109"/>
        <v>1394</v>
      </c>
      <c r="B1397" s="64" t="s">
        <v>10</v>
      </c>
      <c r="C1397" s="54">
        <v>45888</v>
      </c>
      <c r="D1397" s="54">
        <v>45897</v>
      </c>
      <c r="E1397" s="46" t="s">
        <v>32</v>
      </c>
      <c r="F1397" s="51" t="s">
        <v>33</v>
      </c>
      <c r="G1397" s="51" t="s">
        <v>34</v>
      </c>
      <c r="H1397" s="51" t="s">
        <v>32</v>
      </c>
      <c r="I1397" s="55" t="s">
        <v>90</v>
      </c>
      <c r="J1397" s="56">
        <v>1780</v>
      </c>
      <c r="K1397" s="51" t="s">
        <v>295</v>
      </c>
      <c r="L1397" s="58">
        <v>2668220</v>
      </c>
      <c r="M1397" s="50">
        <f>ROUND('FA Addition'!$L1397*5%,0.1)</f>
        <v>133411</v>
      </c>
      <c r="N1397" s="113" t="str">
        <f>_xlfn.XLOOKUP(_xlfn.CONCAT(E1397,B1397),'Year Wise Master Dep Approach'!F:F,'Year Wise Master Dep Approach'!D:D)</f>
        <v>SLM</v>
      </c>
      <c r="O1397" s="113">
        <f>_xlfn.XLOOKUP(_xlfn.CONCAT(E1397,B1397),'Year Wise Master Dep Approach'!F:F,'Year Wise Master Dep Approach'!E:E)</f>
        <v>5</v>
      </c>
      <c r="P1397" s="114">
        <f>IFERROR(IF('FA Addition'!$N1397="WDV",1-('FA Addition'!$M1397/'FA Addition'!$L1397)^(1/'FA Addition'!$O1397),1/'FA Addition'!$O1397),0)</f>
        <v>0.2</v>
      </c>
      <c r="Q1397" s="122">
        <f>'FA Addition'!$P1397*'FA Addition'!$O1397</f>
        <v>1</v>
      </c>
      <c r="R1397" s="122"/>
      <c r="S1397" s="116">
        <f>IF(AND(DATE(20&amp;LEFT(FAAddition[[#This Row],[FY]],2),4,1)&lt;$L$1+1,DATE(20&amp;LEFT(FAAddition[[#This Row],[FY]],2),4,1)&gt;$P$1-1),'FA Addition'!$J1397,0)</f>
        <v>0</v>
      </c>
      <c r="U1397" s="117">
        <f>S1397*'FA Addition'!$L1397/'FA Addition'!$J1397</f>
        <v>0</v>
      </c>
      <c r="W1397" s="116">
        <f>SUMIFS('FA Write off'!D:D,'FA Write off'!A:A,'FA Addition'!$A1397,'FA Write off'!C:C,"&lt;"&amp;'FA Addition'!$P$1)</f>
        <v>0</v>
      </c>
      <c r="Y1397" s="191">
        <f>IFERROR(W1397/'FA Addition'!$J1397*'FA Addition'!$L1397,0)</f>
        <v>0</v>
      </c>
      <c r="AA1397" s="116">
        <f>SUMIFS('FA Write off'!D:D,'FA Write off'!A:A,'FA Addition'!$A1397,'FA Write off'!C:C,"&lt;"&amp;'FA Addition'!$L$1+1,'FA Write off'!C:C,"&gt;"&amp;'FA Addition'!$L$1-365)</f>
        <v>0</v>
      </c>
      <c r="AC1397" s="118">
        <f>IFERROR(AA1397/'FA Addition'!$J1397*'FA Addition'!$L1397,0)</f>
        <v>0</v>
      </c>
      <c r="AE1397" s="117">
        <f>IF(AND('FA Addition'!$D1397&lt;$P$1+1,U1397=0),'FA Addition'!$L1397,0)-Y1397</f>
        <v>0</v>
      </c>
      <c r="AF1397" s="117">
        <f t="shared" si="105"/>
        <v>0</v>
      </c>
      <c r="AG1397" s="117">
        <f>MIN(MAX(+$P$1-'FA Addition'!$D1397,0),365*'FA Addition'!$O1397)</f>
        <v>0</v>
      </c>
      <c r="AH1397" s="117">
        <f>MIN(MAX($L$1-'FA Addition'!$D1397+1,0),365*'FA Addition'!$O1397)</f>
        <v>0</v>
      </c>
      <c r="AI1397" s="117" cm="1">
        <f t="array" ref="AI1397">_xlfn.XLOOKUP(1,('FA Write off'!A:A='FA Addition'!$A1397)*('FA Write off'!D:D=AA1397),'FA Write off'!H:H,0,0)</f>
        <v>0</v>
      </c>
      <c r="AJ1397" s="117">
        <f>IF(AC1397&gt;0,MAX(IF('FA Addition'!$N1397="SLM",($AC1397-'FA Addition'!$M1397)*'FA Addition'!$P1397*AI1397/365,(AC1397-'FA Addition'!$M1397)*(1-(1-'FA Addition'!$P1397)^(AI1397/365))),0),0)</f>
        <v>0</v>
      </c>
      <c r="AL1397" s="117">
        <f>MAX(IF(AG1397&gt;0,IF('FA Addition'!$N1397="SLM",($AE1397-'FA Addition'!$M1397)*'FA Addition'!$P1397*AG1397/365,IFERROR(VDB(AE1397,AE1397*0.05,'FA Addition'!$O1397,0,YEARFRAC('FA Addition'!$C1397,$P$1-1,3),'FA Addition'!$Q1397),FAAddition[[#This Row],[Original Cost (Rs)]]-FAAddition[[#This Row],[Salvage Value]])),0),0)</f>
        <v>0</v>
      </c>
      <c r="AM1397" s="119"/>
      <c r="AN1397" s="117">
        <f>MAX(IF(AH1397&gt;0,IF('FA Addition'!$N1397="SLM",($AF1397-'FA Addition'!$M1397)*'FA Addition'!$P1397*AH1397/365,IFERROR(VDB(AF1397,AF1397*0.05,'FA Addition'!$O1397,0,YEARFRAC('FA Addition'!$C1397,$L$1,3),'FA Addition'!$Q1397),FAAddition[[#This Row],[Original Cost (Rs)]]-FAAddition[[#This Row],[Salvage Value]])),0),0)</f>
        <v>0</v>
      </c>
      <c r="AO1397" s="117">
        <f t="shared" si="108"/>
        <v>0</v>
      </c>
      <c r="AQ1397" s="117">
        <f t="shared" si="106"/>
        <v>0</v>
      </c>
      <c r="AR1397" s="120">
        <f t="shared" si="107"/>
        <v>0</v>
      </c>
      <c r="AS1397" s="121"/>
    </row>
    <row r="1398" spans="1:45" ht="13.5" x14ac:dyDescent="0.4">
      <c r="A1398" s="12">
        <f t="shared" si="109"/>
        <v>1395</v>
      </c>
      <c r="B1398" s="64" t="s">
        <v>10</v>
      </c>
      <c r="C1398" s="54">
        <v>45889</v>
      </c>
      <c r="D1398" s="54">
        <v>45897</v>
      </c>
      <c r="E1398" s="46" t="s">
        <v>32</v>
      </c>
      <c r="F1398" s="51" t="s">
        <v>33</v>
      </c>
      <c r="G1398" s="51" t="s">
        <v>34</v>
      </c>
      <c r="H1398" s="51" t="s">
        <v>32</v>
      </c>
      <c r="I1398" s="55" t="s">
        <v>91</v>
      </c>
      <c r="J1398" s="56">
        <v>1600</v>
      </c>
      <c r="K1398" s="51" t="s">
        <v>295</v>
      </c>
      <c r="L1398" s="58">
        <v>2398400</v>
      </c>
      <c r="M1398" s="50">
        <f>ROUND('FA Addition'!$L1398*5%,0.1)</f>
        <v>119920</v>
      </c>
      <c r="N1398" s="113" t="str">
        <f>_xlfn.XLOOKUP(_xlfn.CONCAT(E1398,B1398),'Year Wise Master Dep Approach'!F:F,'Year Wise Master Dep Approach'!D:D)</f>
        <v>SLM</v>
      </c>
      <c r="O1398" s="113">
        <f>_xlfn.XLOOKUP(_xlfn.CONCAT(E1398,B1398),'Year Wise Master Dep Approach'!F:F,'Year Wise Master Dep Approach'!E:E)</f>
        <v>5</v>
      </c>
      <c r="P1398" s="114">
        <f>IFERROR(IF('FA Addition'!$N1398="WDV",1-('FA Addition'!$M1398/'FA Addition'!$L1398)^(1/'FA Addition'!$O1398),1/'FA Addition'!$O1398),0)</f>
        <v>0.2</v>
      </c>
      <c r="Q1398" s="122">
        <f>'FA Addition'!$P1398*'FA Addition'!$O1398</f>
        <v>1</v>
      </c>
      <c r="R1398" s="122"/>
      <c r="S1398" s="116">
        <f>IF(AND(DATE(20&amp;LEFT(FAAddition[[#This Row],[FY]],2),4,1)&lt;$L$1+1,DATE(20&amp;LEFT(FAAddition[[#This Row],[FY]],2),4,1)&gt;$P$1-1),'FA Addition'!$J1398,0)</f>
        <v>0</v>
      </c>
      <c r="U1398" s="117">
        <f>S1398*'FA Addition'!$L1398/'FA Addition'!$J1398</f>
        <v>0</v>
      </c>
      <c r="W1398" s="116">
        <f>SUMIFS('FA Write off'!D:D,'FA Write off'!A:A,'FA Addition'!$A1398,'FA Write off'!C:C,"&lt;"&amp;'FA Addition'!$P$1)</f>
        <v>0</v>
      </c>
      <c r="Y1398" s="191">
        <f>IFERROR(W1398/'FA Addition'!$J1398*'FA Addition'!$L1398,0)</f>
        <v>0</v>
      </c>
      <c r="AA1398" s="116">
        <f>SUMIFS('FA Write off'!D:D,'FA Write off'!A:A,'FA Addition'!$A1398,'FA Write off'!C:C,"&lt;"&amp;'FA Addition'!$L$1+1,'FA Write off'!C:C,"&gt;"&amp;'FA Addition'!$L$1-365)</f>
        <v>0</v>
      </c>
      <c r="AC1398" s="118">
        <f>IFERROR(AA1398/'FA Addition'!$J1398*'FA Addition'!$L1398,0)</f>
        <v>0</v>
      </c>
      <c r="AE1398" s="117">
        <f>IF(AND('FA Addition'!$D1398&lt;$P$1+1,U1398=0),'FA Addition'!$L1398,0)-Y1398</f>
        <v>0</v>
      </c>
      <c r="AF1398" s="117">
        <f t="shared" si="105"/>
        <v>0</v>
      </c>
      <c r="AG1398" s="117">
        <f>MIN(MAX(+$P$1-'FA Addition'!$D1398,0),365*'FA Addition'!$O1398)</f>
        <v>0</v>
      </c>
      <c r="AH1398" s="117">
        <f>MIN(MAX($L$1-'FA Addition'!$D1398+1,0),365*'FA Addition'!$O1398)</f>
        <v>0</v>
      </c>
      <c r="AI1398" s="117" cm="1">
        <f t="array" ref="AI1398">_xlfn.XLOOKUP(1,('FA Write off'!A:A='FA Addition'!$A1398)*('FA Write off'!D:D=AA1398),'FA Write off'!H:H,0,0)</f>
        <v>0</v>
      </c>
      <c r="AJ1398" s="117">
        <f>IF(AC1398&gt;0,MAX(IF('FA Addition'!$N1398="SLM",($AC1398-'FA Addition'!$M1398)*'FA Addition'!$P1398*AI1398/365,(AC1398-'FA Addition'!$M1398)*(1-(1-'FA Addition'!$P1398)^(AI1398/365))),0),0)</f>
        <v>0</v>
      </c>
      <c r="AL1398" s="117">
        <f>MAX(IF(AG1398&gt;0,IF('FA Addition'!$N1398="SLM",($AE1398-'FA Addition'!$M1398)*'FA Addition'!$P1398*AG1398/365,IFERROR(VDB(AE1398,AE1398*0.05,'FA Addition'!$O1398,0,YEARFRAC('FA Addition'!$C1398,$P$1-1,3),'FA Addition'!$Q1398),FAAddition[[#This Row],[Original Cost (Rs)]]-FAAddition[[#This Row],[Salvage Value]])),0),0)</f>
        <v>0</v>
      </c>
      <c r="AM1398" s="119"/>
      <c r="AN1398" s="117">
        <f>MAX(IF(AH1398&gt;0,IF('FA Addition'!$N1398="SLM",($AF1398-'FA Addition'!$M1398)*'FA Addition'!$P1398*AH1398/365,IFERROR(VDB(AF1398,AF1398*0.05,'FA Addition'!$O1398,0,YEARFRAC('FA Addition'!$C1398,$L$1,3),'FA Addition'!$Q1398),FAAddition[[#This Row],[Original Cost (Rs)]]-FAAddition[[#This Row],[Salvage Value]])),0),0)</f>
        <v>0</v>
      </c>
      <c r="AO1398" s="117">
        <f t="shared" si="108"/>
        <v>0</v>
      </c>
      <c r="AQ1398" s="117">
        <f t="shared" si="106"/>
        <v>0</v>
      </c>
      <c r="AR1398" s="120">
        <f t="shared" si="107"/>
        <v>0</v>
      </c>
      <c r="AS1398" s="121"/>
    </row>
    <row r="1399" spans="1:45" ht="13.5" x14ac:dyDescent="0.4">
      <c r="A1399" s="12">
        <f t="shared" si="109"/>
        <v>1396</v>
      </c>
      <c r="B1399" s="64" t="s">
        <v>10</v>
      </c>
      <c r="C1399" s="54">
        <v>45889</v>
      </c>
      <c r="D1399" s="54">
        <v>45897</v>
      </c>
      <c r="E1399" s="46" t="s">
        <v>32</v>
      </c>
      <c r="F1399" s="51" t="s">
        <v>33</v>
      </c>
      <c r="G1399" s="51" t="s">
        <v>36</v>
      </c>
      <c r="H1399" s="51" t="s">
        <v>32</v>
      </c>
      <c r="I1399" s="55" t="s">
        <v>92</v>
      </c>
      <c r="J1399" s="56">
        <v>1000</v>
      </c>
      <c r="K1399" s="51" t="s">
        <v>296</v>
      </c>
      <c r="L1399" s="58">
        <v>1500000</v>
      </c>
      <c r="M1399" s="50">
        <f>ROUND('FA Addition'!$L1399*5%,0.1)</f>
        <v>75000</v>
      </c>
      <c r="N1399" s="113" t="str">
        <f>_xlfn.XLOOKUP(_xlfn.CONCAT(E1399,B1399),'Year Wise Master Dep Approach'!F:F,'Year Wise Master Dep Approach'!D:D)</f>
        <v>SLM</v>
      </c>
      <c r="O1399" s="113">
        <f>_xlfn.XLOOKUP(_xlfn.CONCAT(E1399,B1399),'Year Wise Master Dep Approach'!F:F,'Year Wise Master Dep Approach'!E:E)</f>
        <v>5</v>
      </c>
      <c r="P1399" s="114">
        <f>IFERROR(IF('FA Addition'!$N1399="WDV",1-('FA Addition'!$M1399/'FA Addition'!$L1399)^(1/'FA Addition'!$O1399),1/'FA Addition'!$O1399),0)</f>
        <v>0.2</v>
      </c>
      <c r="Q1399" s="122">
        <f>'FA Addition'!$P1399*'FA Addition'!$O1399</f>
        <v>1</v>
      </c>
      <c r="R1399" s="122"/>
      <c r="S1399" s="116">
        <f>IF(AND(DATE(20&amp;LEFT(FAAddition[[#This Row],[FY]],2),4,1)&lt;$L$1+1,DATE(20&amp;LEFT(FAAddition[[#This Row],[FY]],2),4,1)&gt;$P$1-1),'FA Addition'!$J1399,0)</f>
        <v>0</v>
      </c>
      <c r="U1399" s="117">
        <f>S1399*'FA Addition'!$L1399/'FA Addition'!$J1399</f>
        <v>0</v>
      </c>
      <c r="W1399" s="116">
        <f>SUMIFS('FA Write off'!D:D,'FA Write off'!A:A,'FA Addition'!$A1399,'FA Write off'!C:C,"&lt;"&amp;'FA Addition'!$P$1)</f>
        <v>0</v>
      </c>
      <c r="Y1399" s="191">
        <f>IFERROR(W1399/'FA Addition'!$J1399*'FA Addition'!$L1399,0)</f>
        <v>0</v>
      </c>
      <c r="AA1399" s="116">
        <f>SUMIFS('FA Write off'!D:D,'FA Write off'!A:A,'FA Addition'!$A1399,'FA Write off'!C:C,"&lt;"&amp;'FA Addition'!$L$1+1,'FA Write off'!C:C,"&gt;"&amp;'FA Addition'!$L$1-365)</f>
        <v>0</v>
      </c>
      <c r="AC1399" s="118">
        <f>IFERROR(AA1399/'FA Addition'!$J1399*'FA Addition'!$L1399,0)</f>
        <v>0</v>
      </c>
      <c r="AE1399" s="117">
        <f>IF(AND('FA Addition'!$D1399&lt;$P$1+1,U1399=0),'FA Addition'!$L1399,0)-Y1399</f>
        <v>0</v>
      </c>
      <c r="AF1399" s="117">
        <f t="shared" si="105"/>
        <v>0</v>
      </c>
      <c r="AG1399" s="117">
        <f>MIN(MAX(+$P$1-'FA Addition'!$D1399,0),365*'FA Addition'!$O1399)</f>
        <v>0</v>
      </c>
      <c r="AH1399" s="117">
        <f>MIN(MAX($L$1-'FA Addition'!$D1399+1,0),365*'FA Addition'!$O1399)</f>
        <v>0</v>
      </c>
      <c r="AI1399" s="117" cm="1">
        <f t="array" ref="AI1399">_xlfn.XLOOKUP(1,('FA Write off'!A:A='FA Addition'!$A1399)*('FA Write off'!D:D=AA1399),'FA Write off'!H:H,0,0)</f>
        <v>0</v>
      </c>
      <c r="AJ1399" s="117">
        <f>IF(AC1399&gt;0,MAX(IF('FA Addition'!$N1399="SLM",($AC1399-'FA Addition'!$M1399)*'FA Addition'!$P1399*AI1399/365,(AC1399-'FA Addition'!$M1399)*(1-(1-'FA Addition'!$P1399)^(AI1399/365))),0),0)</f>
        <v>0</v>
      </c>
      <c r="AL1399" s="117">
        <f>MAX(IF(AG1399&gt;0,IF('FA Addition'!$N1399="SLM",($AE1399-'FA Addition'!$M1399)*'FA Addition'!$P1399*AG1399/365,IFERROR(VDB(AE1399,AE1399*0.05,'FA Addition'!$O1399,0,YEARFRAC('FA Addition'!$C1399,$P$1-1,3),'FA Addition'!$Q1399),FAAddition[[#This Row],[Original Cost (Rs)]]-FAAddition[[#This Row],[Salvage Value]])),0),0)</f>
        <v>0</v>
      </c>
      <c r="AM1399" s="119"/>
      <c r="AN1399" s="117">
        <f>MAX(IF(AH1399&gt;0,IF('FA Addition'!$N1399="SLM",($AF1399-'FA Addition'!$M1399)*'FA Addition'!$P1399*AH1399/365,IFERROR(VDB(AF1399,AF1399*0.05,'FA Addition'!$O1399,0,YEARFRAC('FA Addition'!$C1399,$L$1,3),'FA Addition'!$Q1399),FAAddition[[#This Row],[Original Cost (Rs)]]-FAAddition[[#This Row],[Salvage Value]])),0),0)</f>
        <v>0</v>
      </c>
      <c r="AO1399" s="117">
        <f t="shared" si="108"/>
        <v>0</v>
      </c>
      <c r="AQ1399" s="117">
        <f t="shared" si="106"/>
        <v>0</v>
      </c>
      <c r="AR1399" s="120">
        <f t="shared" si="107"/>
        <v>0</v>
      </c>
      <c r="AS1399" s="121"/>
    </row>
    <row r="1400" spans="1:45" ht="13.5" x14ac:dyDescent="0.4">
      <c r="A1400" s="12">
        <f t="shared" si="109"/>
        <v>1397</v>
      </c>
      <c r="B1400" s="64" t="s">
        <v>10</v>
      </c>
      <c r="C1400" s="54">
        <v>45891</v>
      </c>
      <c r="D1400" s="54">
        <v>45900</v>
      </c>
      <c r="E1400" s="46" t="s">
        <v>32</v>
      </c>
      <c r="F1400" s="51" t="s">
        <v>33</v>
      </c>
      <c r="G1400" s="51" t="s">
        <v>34</v>
      </c>
      <c r="H1400" s="51" t="s">
        <v>32</v>
      </c>
      <c r="I1400" s="55" t="s">
        <v>93</v>
      </c>
      <c r="J1400" s="56">
        <v>1500</v>
      </c>
      <c r="K1400" s="51" t="s">
        <v>295</v>
      </c>
      <c r="L1400" s="58">
        <v>2248500</v>
      </c>
      <c r="M1400" s="50">
        <f>ROUND('FA Addition'!$L1400*5%,0.1)</f>
        <v>112425</v>
      </c>
      <c r="N1400" s="113" t="str">
        <f>_xlfn.XLOOKUP(_xlfn.CONCAT(E1400,B1400),'Year Wise Master Dep Approach'!F:F,'Year Wise Master Dep Approach'!D:D)</f>
        <v>SLM</v>
      </c>
      <c r="O1400" s="113">
        <f>_xlfn.XLOOKUP(_xlfn.CONCAT(E1400,B1400),'Year Wise Master Dep Approach'!F:F,'Year Wise Master Dep Approach'!E:E)</f>
        <v>5</v>
      </c>
      <c r="P1400" s="114">
        <f>IFERROR(IF('FA Addition'!$N1400="WDV",1-('FA Addition'!$M1400/'FA Addition'!$L1400)^(1/'FA Addition'!$O1400),1/'FA Addition'!$O1400),0)</f>
        <v>0.2</v>
      </c>
      <c r="Q1400" s="122">
        <f>'FA Addition'!$P1400*'FA Addition'!$O1400</f>
        <v>1</v>
      </c>
      <c r="R1400" s="122"/>
      <c r="S1400" s="116">
        <f>IF(AND(DATE(20&amp;LEFT(FAAddition[[#This Row],[FY]],2),4,1)&lt;$L$1+1,DATE(20&amp;LEFT(FAAddition[[#This Row],[FY]],2),4,1)&gt;$P$1-1),'FA Addition'!$J1400,0)</f>
        <v>0</v>
      </c>
      <c r="U1400" s="117">
        <f>S1400*'FA Addition'!$L1400/'FA Addition'!$J1400</f>
        <v>0</v>
      </c>
      <c r="W1400" s="116">
        <f>SUMIFS('FA Write off'!D:D,'FA Write off'!A:A,'FA Addition'!$A1400,'FA Write off'!C:C,"&lt;"&amp;'FA Addition'!$P$1)</f>
        <v>0</v>
      </c>
      <c r="Y1400" s="191">
        <f>IFERROR(W1400/'FA Addition'!$J1400*'FA Addition'!$L1400,0)</f>
        <v>0</v>
      </c>
      <c r="AA1400" s="116">
        <f>SUMIFS('FA Write off'!D:D,'FA Write off'!A:A,'FA Addition'!$A1400,'FA Write off'!C:C,"&lt;"&amp;'FA Addition'!$L$1+1,'FA Write off'!C:C,"&gt;"&amp;'FA Addition'!$L$1-365)</f>
        <v>0</v>
      </c>
      <c r="AC1400" s="118">
        <f>IFERROR(AA1400/'FA Addition'!$J1400*'FA Addition'!$L1400,0)</f>
        <v>0</v>
      </c>
      <c r="AE1400" s="117">
        <f>IF(AND('FA Addition'!$D1400&lt;$P$1+1,U1400=0),'FA Addition'!$L1400,0)-Y1400</f>
        <v>0</v>
      </c>
      <c r="AF1400" s="117">
        <f t="shared" si="105"/>
        <v>0</v>
      </c>
      <c r="AG1400" s="117">
        <f>MIN(MAX(+$P$1-'FA Addition'!$D1400,0),365*'FA Addition'!$O1400)</f>
        <v>0</v>
      </c>
      <c r="AH1400" s="117">
        <f>MIN(MAX($L$1-'FA Addition'!$D1400+1,0),365*'FA Addition'!$O1400)</f>
        <v>0</v>
      </c>
      <c r="AI1400" s="117" cm="1">
        <f t="array" ref="AI1400">_xlfn.XLOOKUP(1,('FA Write off'!A:A='FA Addition'!$A1400)*('FA Write off'!D:D=AA1400),'FA Write off'!H:H,0,0)</f>
        <v>0</v>
      </c>
      <c r="AJ1400" s="117">
        <f>IF(AC1400&gt;0,MAX(IF('FA Addition'!$N1400="SLM",($AC1400-'FA Addition'!$M1400)*'FA Addition'!$P1400*AI1400/365,(AC1400-'FA Addition'!$M1400)*(1-(1-'FA Addition'!$P1400)^(AI1400/365))),0),0)</f>
        <v>0</v>
      </c>
      <c r="AL1400" s="117">
        <f>MAX(IF(AG1400&gt;0,IF('FA Addition'!$N1400="SLM",($AE1400-'FA Addition'!$M1400)*'FA Addition'!$P1400*AG1400/365,IFERROR(VDB(AE1400,AE1400*0.05,'FA Addition'!$O1400,0,YEARFRAC('FA Addition'!$C1400,$P$1-1,3),'FA Addition'!$Q1400),FAAddition[[#This Row],[Original Cost (Rs)]]-FAAddition[[#This Row],[Salvage Value]])),0),0)</f>
        <v>0</v>
      </c>
      <c r="AM1400" s="119"/>
      <c r="AN1400" s="117">
        <f>MAX(IF(AH1400&gt;0,IF('FA Addition'!$N1400="SLM",($AF1400-'FA Addition'!$M1400)*'FA Addition'!$P1400*AH1400/365,IFERROR(VDB(AF1400,AF1400*0.05,'FA Addition'!$O1400,0,YEARFRAC('FA Addition'!$C1400,$L$1,3),'FA Addition'!$Q1400),FAAddition[[#This Row],[Original Cost (Rs)]]-FAAddition[[#This Row],[Salvage Value]])),0),0)</f>
        <v>0</v>
      </c>
      <c r="AO1400" s="117">
        <f t="shared" si="108"/>
        <v>0</v>
      </c>
      <c r="AQ1400" s="117">
        <f t="shared" si="106"/>
        <v>0</v>
      </c>
      <c r="AR1400" s="120">
        <f t="shared" si="107"/>
        <v>0</v>
      </c>
      <c r="AS1400" s="121"/>
    </row>
    <row r="1401" spans="1:45" ht="13.5" x14ac:dyDescent="0.4">
      <c r="A1401" s="12">
        <f t="shared" si="109"/>
        <v>1398</v>
      </c>
      <c r="B1401" s="64" t="s">
        <v>10</v>
      </c>
      <c r="C1401" s="54">
        <v>45892</v>
      </c>
      <c r="D1401" s="54">
        <v>45900</v>
      </c>
      <c r="E1401" s="46" t="s">
        <v>32</v>
      </c>
      <c r="F1401" s="51" t="s">
        <v>33</v>
      </c>
      <c r="G1401" s="51" t="s">
        <v>36</v>
      </c>
      <c r="H1401" s="51" t="s">
        <v>32</v>
      </c>
      <c r="I1401" s="55" t="s">
        <v>94</v>
      </c>
      <c r="J1401" s="56">
        <v>940</v>
      </c>
      <c r="K1401" s="51" t="s">
        <v>296</v>
      </c>
      <c r="L1401" s="58">
        <v>1410000</v>
      </c>
      <c r="M1401" s="50">
        <f>ROUND('FA Addition'!$L1401*5%,0.1)</f>
        <v>70500</v>
      </c>
      <c r="N1401" s="113" t="str">
        <f>_xlfn.XLOOKUP(_xlfn.CONCAT(E1401,B1401),'Year Wise Master Dep Approach'!F:F,'Year Wise Master Dep Approach'!D:D)</f>
        <v>SLM</v>
      </c>
      <c r="O1401" s="113">
        <f>_xlfn.XLOOKUP(_xlfn.CONCAT(E1401,B1401),'Year Wise Master Dep Approach'!F:F,'Year Wise Master Dep Approach'!E:E)</f>
        <v>5</v>
      </c>
      <c r="P1401" s="114">
        <f>IFERROR(IF('FA Addition'!$N1401="WDV",1-('FA Addition'!$M1401/'FA Addition'!$L1401)^(1/'FA Addition'!$O1401),1/'FA Addition'!$O1401),0)</f>
        <v>0.2</v>
      </c>
      <c r="Q1401" s="122">
        <f>'FA Addition'!$P1401*'FA Addition'!$O1401</f>
        <v>1</v>
      </c>
      <c r="R1401" s="122"/>
      <c r="S1401" s="116">
        <f>IF(AND(DATE(20&amp;LEFT(FAAddition[[#This Row],[FY]],2),4,1)&lt;$L$1+1,DATE(20&amp;LEFT(FAAddition[[#This Row],[FY]],2),4,1)&gt;$P$1-1),'FA Addition'!$J1401,0)</f>
        <v>0</v>
      </c>
      <c r="U1401" s="117">
        <f>S1401*'FA Addition'!$L1401/'FA Addition'!$J1401</f>
        <v>0</v>
      </c>
      <c r="W1401" s="116">
        <f>SUMIFS('FA Write off'!D:D,'FA Write off'!A:A,'FA Addition'!$A1401,'FA Write off'!C:C,"&lt;"&amp;'FA Addition'!$P$1)</f>
        <v>0</v>
      </c>
      <c r="Y1401" s="191">
        <f>IFERROR(W1401/'FA Addition'!$J1401*'FA Addition'!$L1401,0)</f>
        <v>0</v>
      </c>
      <c r="AA1401" s="116">
        <f>SUMIFS('FA Write off'!D:D,'FA Write off'!A:A,'FA Addition'!$A1401,'FA Write off'!C:C,"&lt;"&amp;'FA Addition'!$L$1+1,'FA Write off'!C:C,"&gt;"&amp;'FA Addition'!$L$1-365)</f>
        <v>0</v>
      </c>
      <c r="AC1401" s="118">
        <f>IFERROR(AA1401/'FA Addition'!$J1401*'FA Addition'!$L1401,0)</f>
        <v>0</v>
      </c>
      <c r="AE1401" s="117">
        <f>IF(AND('FA Addition'!$D1401&lt;$P$1+1,U1401=0),'FA Addition'!$L1401,0)-Y1401</f>
        <v>0</v>
      </c>
      <c r="AF1401" s="117">
        <f t="shared" si="105"/>
        <v>0</v>
      </c>
      <c r="AG1401" s="117">
        <f>MIN(MAX(+$P$1-'FA Addition'!$D1401,0),365*'FA Addition'!$O1401)</f>
        <v>0</v>
      </c>
      <c r="AH1401" s="117">
        <f>MIN(MAX($L$1-'FA Addition'!$D1401+1,0),365*'FA Addition'!$O1401)</f>
        <v>0</v>
      </c>
      <c r="AI1401" s="117" cm="1">
        <f t="array" ref="AI1401">_xlfn.XLOOKUP(1,('FA Write off'!A:A='FA Addition'!$A1401)*('FA Write off'!D:D=AA1401),'FA Write off'!H:H,0,0)</f>
        <v>0</v>
      </c>
      <c r="AJ1401" s="117">
        <f>IF(AC1401&gt;0,MAX(IF('FA Addition'!$N1401="SLM",($AC1401-'FA Addition'!$M1401)*'FA Addition'!$P1401*AI1401/365,(AC1401-'FA Addition'!$M1401)*(1-(1-'FA Addition'!$P1401)^(AI1401/365))),0),0)</f>
        <v>0</v>
      </c>
      <c r="AL1401" s="117">
        <f>MAX(IF(AG1401&gt;0,IF('FA Addition'!$N1401="SLM",($AE1401-'FA Addition'!$M1401)*'FA Addition'!$P1401*AG1401/365,IFERROR(VDB(AE1401,AE1401*0.05,'FA Addition'!$O1401,0,YEARFRAC('FA Addition'!$C1401,$P$1-1,3),'FA Addition'!$Q1401),FAAddition[[#This Row],[Original Cost (Rs)]]-FAAddition[[#This Row],[Salvage Value]])),0),0)</f>
        <v>0</v>
      </c>
      <c r="AM1401" s="119"/>
      <c r="AN1401" s="117">
        <f>MAX(IF(AH1401&gt;0,IF('FA Addition'!$N1401="SLM",($AF1401-'FA Addition'!$M1401)*'FA Addition'!$P1401*AH1401/365,IFERROR(VDB(AF1401,AF1401*0.05,'FA Addition'!$O1401,0,YEARFRAC('FA Addition'!$C1401,$L$1,3),'FA Addition'!$Q1401),FAAddition[[#This Row],[Original Cost (Rs)]]-FAAddition[[#This Row],[Salvage Value]])),0),0)</f>
        <v>0</v>
      </c>
      <c r="AO1401" s="117">
        <f t="shared" si="108"/>
        <v>0</v>
      </c>
      <c r="AQ1401" s="117">
        <f t="shared" si="106"/>
        <v>0</v>
      </c>
      <c r="AR1401" s="120">
        <f t="shared" si="107"/>
        <v>0</v>
      </c>
      <c r="AS1401" s="121"/>
    </row>
    <row r="1402" spans="1:45" ht="13.5" x14ac:dyDescent="0.4">
      <c r="A1402" s="12">
        <f t="shared" si="109"/>
        <v>1399</v>
      </c>
      <c r="B1402" s="64" t="s">
        <v>10</v>
      </c>
      <c r="C1402" s="54">
        <v>45894</v>
      </c>
      <c r="D1402" s="54">
        <v>45900</v>
      </c>
      <c r="E1402" s="46" t="s">
        <v>32</v>
      </c>
      <c r="F1402" s="51" t="s">
        <v>33</v>
      </c>
      <c r="G1402" s="51" t="s">
        <v>34</v>
      </c>
      <c r="H1402" s="51" t="s">
        <v>32</v>
      </c>
      <c r="I1402" s="55" t="s">
        <v>95</v>
      </c>
      <c r="J1402" s="56">
        <v>2000</v>
      </c>
      <c r="K1402" s="51" t="s">
        <v>295</v>
      </c>
      <c r="L1402" s="58">
        <v>2998000</v>
      </c>
      <c r="M1402" s="50">
        <f>ROUND('FA Addition'!$L1402*5%,0.1)</f>
        <v>149900</v>
      </c>
      <c r="N1402" s="113" t="str">
        <f>_xlfn.XLOOKUP(_xlfn.CONCAT(E1402,B1402),'Year Wise Master Dep Approach'!F:F,'Year Wise Master Dep Approach'!D:D)</f>
        <v>SLM</v>
      </c>
      <c r="O1402" s="113">
        <f>_xlfn.XLOOKUP(_xlfn.CONCAT(E1402,B1402),'Year Wise Master Dep Approach'!F:F,'Year Wise Master Dep Approach'!E:E)</f>
        <v>5</v>
      </c>
      <c r="P1402" s="114">
        <f>IFERROR(IF('FA Addition'!$N1402="WDV",1-('FA Addition'!$M1402/'FA Addition'!$L1402)^(1/'FA Addition'!$O1402),1/'FA Addition'!$O1402),0)</f>
        <v>0.2</v>
      </c>
      <c r="Q1402" s="122">
        <f>'FA Addition'!$P1402*'FA Addition'!$O1402</f>
        <v>1</v>
      </c>
      <c r="R1402" s="122"/>
      <c r="S1402" s="116">
        <f>IF(AND(DATE(20&amp;LEFT(FAAddition[[#This Row],[FY]],2),4,1)&lt;$L$1+1,DATE(20&amp;LEFT(FAAddition[[#This Row],[FY]],2),4,1)&gt;$P$1-1),'FA Addition'!$J1402,0)</f>
        <v>0</v>
      </c>
      <c r="U1402" s="117">
        <f>S1402*'FA Addition'!$L1402/'FA Addition'!$J1402</f>
        <v>0</v>
      </c>
      <c r="W1402" s="116">
        <f>SUMIFS('FA Write off'!D:D,'FA Write off'!A:A,'FA Addition'!$A1402,'FA Write off'!C:C,"&lt;"&amp;'FA Addition'!$P$1)</f>
        <v>0</v>
      </c>
      <c r="Y1402" s="191">
        <f>IFERROR(W1402/'FA Addition'!$J1402*'FA Addition'!$L1402,0)</f>
        <v>0</v>
      </c>
      <c r="AA1402" s="116">
        <f>SUMIFS('FA Write off'!D:D,'FA Write off'!A:A,'FA Addition'!$A1402,'FA Write off'!C:C,"&lt;"&amp;'FA Addition'!$L$1+1,'FA Write off'!C:C,"&gt;"&amp;'FA Addition'!$L$1-365)</f>
        <v>0</v>
      </c>
      <c r="AC1402" s="118">
        <f>IFERROR(AA1402/'FA Addition'!$J1402*'FA Addition'!$L1402,0)</f>
        <v>0</v>
      </c>
      <c r="AE1402" s="117">
        <f>IF(AND('FA Addition'!$D1402&lt;$P$1+1,U1402=0),'FA Addition'!$L1402,0)-Y1402</f>
        <v>0</v>
      </c>
      <c r="AF1402" s="117">
        <f t="shared" si="105"/>
        <v>0</v>
      </c>
      <c r="AG1402" s="117">
        <f>MIN(MAX(+$P$1-'FA Addition'!$D1402,0),365*'FA Addition'!$O1402)</f>
        <v>0</v>
      </c>
      <c r="AH1402" s="117">
        <f>MIN(MAX($L$1-'FA Addition'!$D1402+1,0),365*'FA Addition'!$O1402)</f>
        <v>0</v>
      </c>
      <c r="AI1402" s="117" cm="1">
        <f t="array" ref="AI1402">_xlfn.XLOOKUP(1,('FA Write off'!A:A='FA Addition'!$A1402)*('FA Write off'!D:D=AA1402),'FA Write off'!H:H,0,0)</f>
        <v>0</v>
      </c>
      <c r="AJ1402" s="117">
        <f>IF(AC1402&gt;0,MAX(IF('FA Addition'!$N1402="SLM",($AC1402-'FA Addition'!$M1402)*'FA Addition'!$P1402*AI1402/365,(AC1402-'FA Addition'!$M1402)*(1-(1-'FA Addition'!$P1402)^(AI1402/365))),0),0)</f>
        <v>0</v>
      </c>
      <c r="AL1402" s="117">
        <f>MAX(IF(AG1402&gt;0,IF('FA Addition'!$N1402="SLM",($AE1402-'FA Addition'!$M1402)*'FA Addition'!$P1402*AG1402/365,IFERROR(VDB(AE1402,AE1402*0.05,'FA Addition'!$O1402,0,YEARFRAC('FA Addition'!$C1402,$P$1-1,3),'FA Addition'!$Q1402),FAAddition[[#This Row],[Original Cost (Rs)]]-FAAddition[[#This Row],[Salvage Value]])),0),0)</f>
        <v>0</v>
      </c>
      <c r="AM1402" s="119"/>
      <c r="AN1402" s="117">
        <f>MAX(IF(AH1402&gt;0,IF('FA Addition'!$N1402="SLM",($AF1402-'FA Addition'!$M1402)*'FA Addition'!$P1402*AH1402/365,IFERROR(VDB(AF1402,AF1402*0.05,'FA Addition'!$O1402,0,YEARFRAC('FA Addition'!$C1402,$L$1,3),'FA Addition'!$Q1402),FAAddition[[#This Row],[Original Cost (Rs)]]-FAAddition[[#This Row],[Salvage Value]])),0),0)</f>
        <v>0</v>
      </c>
      <c r="AO1402" s="117">
        <f t="shared" si="108"/>
        <v>0</v>
      </c>
      <c r="AQ1402" s="117">
        <f t="shared" si="106"/>
        <v>0</v>
      </c>
      <c r="AR1402" s="120">
        <f t="shared" si="107"/>
        <v>0</v>
      </c>
      <c r="AS1402" s="121"/>
    </row>
    <row r="1403" spans="1:45" ht="13.5" x14ac:dyDescent="0.4">
      <c r="A1403" s="12">
        <f t="shared" si="109"/>
        <v>1400</v>
      </c>
      <c r="B1403" s="64" t="s">
        <v>10</v>
      </c>
      <c r="C1403" s="54">
        <v>45891</v>
      </c>
      <c r="D1403" s="54">
        <v>45900</v>
      </c>
      <c r="E1403" s="46" t="s">
        <v>32</v>
      </c>
      <c r="F1403" s="51" t="s">
        <v>33</v>
      </c>
      <c r="G1403" s="51" t="s">
        <v>36</v>
      </c>
      <c r="H1403" s="51" t="s">
        <v>32</v>
      </c>
      <c r="I1403" s="55" t="s">
        <v>96</v>
      </c>
      <c r="J1403" s="56">
        <v>500</v>
      </c>
      <c r="K1403" s="51" t="s">
        <v>296</v>
      </c>
      <c r="L1403" s="58">
        <v>750000</v>
      </c>
      <c r="M1403" s="50">
        <f>ROUND('FA Addition'!$L1403*5%,0.1)</f>
        <v>37500</v>
      </c>
      <c r="N1403" s="113" t="str">
        <f>_xlfn.XLOOKUP(_xlfn.CONCAT(E1403,B1403),'Year Wise Master Dep Approach'!F:F,'Year Wise Master Dep Approach'!D:D)</f>
        <v>SLM</v>
      </c>
      <c r="O1403" s="113">
        <f>_xlfn.XLOOKUP(_xlfn.CONCAT(E1403,B1403),'Year Wise Master Dep Approach'!F:F,'Year Wise Master Dep Approach'!E:E)</f>
        <v>5</v>
      </c>
      <c r="P1403" s="114">
        <f>IFERROR(IF('FA Addition'!$N1403="WDV",1-('FA Addition'!$M1403/'FA Addition'!$L1403)^(1/'FA Addition'!$O1403),1/'FA Addition'!$O1403),0)</f>
        <v>0.2</v>
      </c>
      <c r="Q1403" s="122">
        <f>'FA Addition'!$P1403*'FA Addition'!$O1403</f>
        <v>1</v>
      </c>
      <c r="R1403" s="122"/>
      <c r="S1403" s="116">
        <f>IF(AND(DATE(20&amp;LEFT(FAAddition[[#This Row],[FY]],2),4,1)&lt;$L$1+1,DATE(20&amp;LEFT(FAAddition[[#This Row],[FY]],2),4,1)&gt;$P$1-1),'FA Addition'!$J1403,0)</f>
        <v>0</v>
      </c>
      <c r="U1403" s="117">
        <f>S1403*'FA Addition'!$L1403/'FA Addition'!$J1403</f>
        <v>0</v>
      </c>
      <c r="W1403" s="116">
        <f>SUMIFS('FA Write off'!D:D,'FA Write off'!A:A,'FA Addition'!$A1403,'FA Write off'!C:C,"&lt;"&amp;'FA Addition'!$P$1)</f>
        <v>0</v>
      </c>
      <c r="Y1403" s="191">
        <f>IFERROR(W1403/'FA Addition'!$J1403*'FA Addition'!$L1403,0)</f>
        <v>0</v>
      </c>
      <c r="AA1403" s="116">
        <f>SUMIFS('FA Write off'!D:D,'FA Write off'!A:A,'FA Addition'!$A1403,'FA Write off'!C:C,"&lt;"&amp;'FA Addition'!$L$1+1,'FA Write off'!C:C,"&gt;"&amp;'FA Addition'!$L$1-365)</f>
        <v>0</v>
      </c>
      <c r="AC1403" s="118">
        <f>IFERROR(AA1403/'FA Addition'!$J1403*'FA Addition'!$L1403,0)</f>
        <v>0</v>
      </c>
      <c r="AE1403" s="117">
        <f>IF(AND('FA Addition'!$D1403&lt;$P$1+1,U1403=0),'FA Addition'!$L1403,0)-Y1403</f>
        <v>0</v>
      </c>
      <c r="AF1403" s="117">
        <f t="shared" si="105"/>
        <v>0</v>
      </c>
      <c r="AG1403" s="117">
        <f>MIN(MAX(+$P$1-'FA Addition'!$D1403,0),365*'FA Addition'!$O1403)</f>
        <v>0</v>
      </c>
      <c r="AH1403" s="117">
        <f>MIN(MAX($L$1-'FA Addition'!$D1403+1,0),365*'FA Addition'!$O1403)</f>
        <v>0</v>
      </c>
      <c r="AI1403" s="117" cm="1">
        <f t="array" ref="AI1403">_xlfn.XLOOKUP(1,('FA Write off'!A:A='FA Addition'!$A1403)*('FA Write off'!D:D=AA1403),'FA Write off'!H:H,0,0)</f>
        <v>0</v>
      </c>
      <c r="AJ1403" s="117">
        <f>IF(AC1403&gt;0,MAX(IF('FA Addition'!$N1403="SLM",($AC1403-'FA Addition'!$M1403)*'FA Addition'!$P1403*AI1403/365,(AC1403-'FA Addition'!$M1403)*(1-(1-'FA Addition'!$P1403)^(AI1403/365))),0),0)</f>
        <v>0</v>
      </c>
      <c r="AL1403" s="117">
        <f>MAX(IF(AG1403&gt;0,IF('FA Addition'!$N1403="SLM",($AE1403-'FA Addition'!$M1403)*'FA Addition'!$P1403*AG1403/365,IFERROR(VDB(AE1403,AE1403*0.05,'FA Addition'!$O1403,0,YEARFRAC('FA Addition'!$C1403,$P$1-1,3),'FA Addition'!$Q1403),FAAddition[[#This Row],[Original Cost (Rs)]]-FAAddition[[#This Row],[Salvage Value]])),0),0)</f>
        <v>0</v>
      </c>
      <c r="AM1403" s="119"/>
      <c r="AN1403" s="117">
        <f>MAX(IF(AH1403&gt;0,IF('FA Addition'!$N1403="SLM",($AF1403-'FA Addition'!$M1403)*'FA Addition'!$P1403*AH1403/365,IFERROR(VDB(AF1403,AF1403*0.05,'FA Addition'!$O1403,0,YEARFRAC('FA Addition'!$C1403,$L$1,3),'FA Addition'!$Q1403),FAAddition[[#This Row],[Original Cost (Rs)]]-FAAddition[[#This Row],[Salvage Value]])),0),0)</f>
        <v>0</v>
      </c>
      <c r="AO1403" s="117">
        <f t="shared" si="108"/>
        <v>0</v>
      </c>
      <c r="AQ1403" s="117">
        <f t="shared" si="106"/>
        <v>0</v>
      </c>
      <c r="AR1403" s="120">
        <f t="shared" si="107"/>
        <v>0</v>
      </c>
      <c r="AS1403" s="121"/>
    </row>
    <row r="1404" spans="1:45" ht="13.5" x14ac:dyDescent="0.4">
      <c r="A1404" s="12">
        <f t="shared" si="109"/>
        <v>1401</v>
      </c>
      <c r="B1404" s="64" t="s">
        <v>10</v>
      </c>
      <c r="C1404" s="54">
        <v>45897</v>
      </c>
      <c r="D1404" s="54">
        <v>45900</v>
      </c>
      <c r="E1404" s="46" t="s">
        <v>32</v>
      </c>
      <c r="F1404" s="51" t="s">
        <v>33</v>
      </c>
      <c r="G1404" s="51" t="s">
        <v>34</v>
      </c>
      <c r="H1404" s="51" t="s">
        <v>32</v>
      </c>
      <c r="I1404" s="55" t="s">
        <v>97</v>
      </c>
      <c r="J1404" s="56">
        <v>2000</v>
      </c>
      <c r="K1404" s="51" t="s">
        <v>295</v>
      </c>
      <c r="L1404" s="58">
        <v>2998000</v>
      </c>
      <c r="M1404" s="50">
        <f>ROUND('FA Addition'!$L1404*5%,0.1)</f>
        <v>149900</v>
      </c>
      <c r="N1404" s="113" t="str">
        <f>_xlfn.XLOOKUP(_xlfn.CONCAT(E1404,B1404),'Year Wise Master Dep Approach'!F:F,'Year Wise Master Dep Approach'!D:D)</f>
        <v>SLM</v>
      </c>
      <c r="O1404" s="113">
        <f>_xlfn.XLOOKUP(_xlfn.CONCAT(E1404,B1404),'Year Wise Master Dep Approach'!F:F,'Year Wise Master Dep Approach'!E:E)</f>
        <v>5</v>
      </c>
      <c r="P1404" s="114">
        <f>IFERROR(IF('FA Addition'!$N1404="WDV",1-('FA Addition'!$M1404/'FA Addition'!$L1404)^(1/'FA Addition'!$O1404),1/'FA Addition'!$O1404),0)</f>
        <v>0.2</v>
      </c>
      <c r="Q1404" s="122">
        <f>'FA Addition'!$P1404*'FA Addition'!$O1404</f>
        <v>1</v>
      </c>
      <c r="R1404" s="122"/>
      <c r="S1404" s="116">
        <f>IF(AND(DATE(20&amp;LEFT(FAAddition[[#This Row],[FY]],2),4,1)&lt;$L$1+1,DATE(20&amp;LEFT(FAAddition[[#This Row],[FY]],2),4,1)&gt;$P$1-1),'FA Addition'!$J1404,0)</f>
        <v>0</v>
      </c>
      <c r="U1404" s="117">
        <f>S1404*'FA Addition'!$L1404/'FA Addition'!$J1404</f>
        <v>0</v>
      </c>
      <c r="W1404" s="116">
        <f>SUMIFS('FA Write off'!D:D,'FA Write off'!A:A,'FA Addition'!$A1404,'FA Write off'!C:C,"&lt;"&amp;'FA Addition'!$P$1)</f>
        <v>0</v>
      </c>
      <c r="Y1404" s="191">
        <f>IFERROR(W1404/'FA Addition'!$J1404*'FA Addition'!$L1404,0)</f>
        <v>0</v>
      </c>
      <c r="AA1404" s="116">
        <f>SUMIFS('FA Write off'!D:D,'FA Write off'!A:A,'FA Addition'!$A1404,'FA Write off'!C:C,"&lt;"&amp;'FA Addition'!$L$1+1,'FA Write off'!C:C,"&gt;"&amp;'FA Addition'!$L$1-365)</f>
        <v>0</v>
      </c>
      <c r="AC1404" s="118">
        <f>IFERROR(AA1404/'FA Addition'!$J1404*'FA Addition'!$L1404,0)</f>
        <v>0</v>
      </c>
      <c r="AE1404" s="117">
        <f>IF(AND('FA Addition'!$D1404&lt;$P$1+1,U1404=0),'FA Addition'!$L1404,0)-Y1404</f>
        <v>0</v>
      </c>
      <c r="AF1404" s="117">
        <f t="shared" si="105"/>
        <v>0</v>
      </c>
      <c r="AG1404" s="117">
        <f>MIN(MAX(+$P$1-'FA Addition'!$D1404,0),365*'FA Addition'!$O1404)</f>
        <v>0</v>
      </c>
      <c r="AH1404" s="117">
        <f>MIN(MAX($L$1-'FA Addition'!$D1404+1,0),365*'FA Addition'!$O1404)</f>
        <v>0</v>
      </c>
      <c r="AI1404" s="117" cm="1">
        <f t="array" ref="AI1404">_xlfn.XLOOKUP(1,('FA Write off'!A:A='FA Addition'!$A1404)*('FA Write off'!D:D=AA1404),'FA Write off'!H:H,0,0)</f>
        <v>0</v>
      </c>
      <c r="AJ1404" s="117">
        <f>IF(AC1404&gt;0,MAX(IF('FA Addition'!$N1404="SLM",($AC1404-'FA Addition'!$M1404)*'FA Addition'!$P1404*AI1404/365,(AC1404-'FA Addition'!$M1404)*(1-(1-'FA Addition'!$P1404)^(AI1404/365))),0),0)</f>
        <v>0</v>
      </c>
      <c r="AL1404" s="117">
        <f>MAX(IF(AG1404&gt;0,IF('FA Addition'!$N1404="SLM",($AE1404-'FA Addition'!$M1404)*'FA Addition'!$P1404*AG1404/365,IFERROR(VDB(AE1404,AE1404*0.05,'FA Addition'!$O1404,0,YEARFRAC('FA Addition'!$C1404,$P$1-1,3),'FA Addition'!$Q1404),FAAddition[[#This Row],[Original Cost (Rs)]]-FAAddition[[#This Row],[Salvage Value]])),0),0)</f>
        <v>0</v>
      </c>
      <c r="AM1404" s="119"/>
      <c r="AN1404" s="117">
        <f>MAX(IF(AH1404&gt;0,IF('FA Addition'!$N1404="SLM",($AF1404-'FA Addition'!$M1404)*'FA Addition'!$P1404*AH1404/365,IFERROR(VDB(AF1404,AF1404*0.05,'FA Addition'!$O1404,0,YEARFRAC('FA Addition'!$C1404,$L$1,3),'FA Addition'!$Q1404),FAAddition[[#This Row],[Original Cost (Rs)]]-FAAddition[[#This Row],[Salvage Value]])),0),0)</f>
        <v>0</v>
      </c>
      <c r="AO1404" s="117">
        <f t="shared" si="108"/>
        <v>0</v>
      </c>
      <c r="AQ1404" s="117">
        <f t="shared" si="106"/>
        <v>0</v>
      </c>
      <c r="AR1404" s="120">
        <f t="shared" si="107"/>
        <v>0</v>
      </c>
      <c r="AS1404" s="121"/>
    </row>
    <row r="1405" spans="1:45" ht="13.5" x14ac:dyDescent="0.4">
      <c r="A1405" s="12">
        <f t="shared" si="109"/>
        <v>1402</v>
      </c>
      <c r="B1405" s="64" t="s">
        <v>10</v>
      </c>
      <c r="C1405" s="54">
        <v>45892</v>
      </c>
      <c r="D1405" s="54">
        <v>45900</v>
      </c>
      <c r="E1405" s="46" t="s">
        <v>32</v>
      </c>
      <c r="F1405" s="51" t="s">
        <v>33</v>
      </c>
      <c r="G1405" s="51" t="s">
        <v>36</v>
      </c>
      <c r="H1405" s="51" t="s">
        <v>32</v>
      </c>
      <c r="I1405" s="55" t="s">
        <v>98</v>
      </c>
      <c r="J1405" s="56">
        <v>1000</v>
      </c>
      <c r="K1405" s="51" t="s">
        <v>296</v>
      </c>
      <c r="L1405" s="58">
        <v>1500000</v>
      </c>
      <c r="M1405" s="50">
        <f>ROUND('FA Addition'!$L1405*5%,0.1)</f>
        <v>75000</v>
      </c>
      <c r="N1405" s="113" t="str">
        <f>_xlfn.XLOOKUP(_xlfn.CONCAT(E1405,B1405),'Year Wise Master Dep Approach'!F:F,'Year Wise Master Dep Approach'!D:D)</f>
        <v>SLM</v>
      </c>
      <c r="O1405" s="113">
        <f>_xlfn.XLOOKUP(_xlfn.CONCAT(E1405,B1405),'Year Wise Master Dep Approach'!F:F,'Year Wise Master Dep Approach'!E:E)</f>
        <v>5</v>
      </c>
      <c r="P1405" s="114">
        <f>IFERROR(IF('FA Addition'!$N1405="WDV",1-('FA Addition'!$M1405/'FA Addition'!$L1405)^(1/'FA Addition'!$O1405),1/'FA Addition'!$O1405),0)</f>
        <v>0.2</v>
      </c>
      <c r="Q1405" s="122">
        <f>'FA Addition'!$P1405*'FA Addition'!$O1405</f>
        <v>1</v>
      </c>
      <c r="R1405" s="122"/>
      <c r="S1405" s="116">
        <f>IF(AND(DATE(20&amp;LEFT(FAAddition[[#This Row],[FY]],2),4,1)&lt;$L$1+1,DATE(20&amp;LEFT(FAAddition[[#This Row],[FY]],2),4,1)&gt;$P$1-1),'FA Addition'!$J1405,0)</f>
        <v>0</v>
      </c>
      <c r="U1405" s="117">
        <f>S1405*'FA Addition'!$L1405/'FA Addition'!$J1405</f>
        <v>0</v>
      </c>
      <c r="W1405" s="116">
        <f>SUMIFS('FA Write off'!D:D,'FA Write off'!A:A,'FA Addition'!$A1405,'FA Write off'!C:C,"&lt;"&amp;'FA Addition'!$P$1)</f>
        <v>0</v>
      </c>
      <c r="Y1405" s="191">
        <f>IFERROR(W1405/'FA Addition'!$J1405*'FA Addition'!$L1405,0)</f>
        <v>0</v>
      </c>
      <c r="AA1405" s="116">
        <f>SUMIFS('FA Write off'!D:D,'FA Write off'!A:A,'FA Addition'!$A1405,'FA Write off'!C:C,"&lt;"&amp;'FA Addition'!$L$1+1,'FA Write off'!C:C,"&gt;"&amp;'FA Addition'!$L$1-365)</f>
        <v>0</v>
      </c>
      <c r="AC1405" s="118">
        <f>IFERROR(AA1405/'FA Addition'!$J1405*'FA Addition'!$L1405,0)</f>
        <v>0</v>
      </c>
      <c r="AE1405" s="117">
        <f>IF(AND('FA Addition'!$D1405&lt;$P$1+1,U1405=0),'FA Addition'!$L1405,0)-Y1405</f>
        <v>0</v>
      </c>
      <c r="AF1405" s="117">
        <f t="shared" si="105"/>
        <v>0</v>
      </c>
      <c r="AG1405" s="117">
        <f>MIN(MAX(+$P$1-'FA Addition'!$D1405,0),365*'FA Addition'!$O1405)</f>
        <v>0</v>
      </c>
      <c r="AH1405" s="117">
        <f>MIN(MAX($L$1-'FA Addition'!$D1405+1,0),365*'FA Addition'!$O1405)</f>
        <v>0</v>
      </c>
      <c r="AI1405" s="117" cm="1">
        <f t="array" ref="AI1405">_xlfn.XLOOKUP(1,('FA Write off'!A:A='FA Addition'!$A1405)*('FA Write off'!D:D=AA1405),'FA Write off'!H:H,0,0)</f>
        <v>0</v>
      </c>
      <c r="AJ1405" s="117">
        <f>IF(AC1405&gt;0,MAX(IF('FA Addition'!$N1405="SLM",($AC1405-'FA Addition'!$M1405)*'FA Addition'!$P1405*AI1405/365,(AC1405-'FA Addition'!$M1405)*(1-(1-'FA Addition'!$P1405)^(AI1405/365))),0),0)</f>
        <v>0</v>
      </c>
      <c r="AL1405" s="117">
        <f>MAX(IF(AG1405&gt;0,IF('FA Addition'!$N1405="SLM",($AE1405-'FA Addition'!$M1405)*'FA Addition'!$P1405*AG1405/365,IFERROR(VDB(AE1405,AE1405*0.05,'FA Addition'!$O1405,0,YEARFRAC('FA Addition'!$C1405,$P$1-1,3),'FA Addition'!$Q1405),FAAddition[[#This Row],[Original Cost (Rs)]]-FAAddition[[#This Row],[Salvage Value]])),0),0)</f>
        <v>0</v>
      </c>
      <c r="AM1405" s="119"/>
      <c r="AN1405" s="117">
        <f>MAX(IF(AH1405&gt;0,IF('FA Addition'!$N1405="SLM",($AF1405-'FA Addition'!$M1405)*'FA Addition'!$P1405*AH1405/365,IFERROR(VDB(AF1405,AF1405*0.05,'FA Addition'!$O1405,0,YEARFRAC('FA Addition'!$C1405,$L$1,3),'FA Addition'!$Q1405),FAAddition[[#This Row],[Original Cost (Rs)]]-FAAddition[[#This Row],[Salvage Value]])),0),0)</f>
        <v>0</v>
      </c>
      <c r="AO1405" s="117">
        <f t="shared" si="108"/>
        <v>0</v>
      </c>
      <c r="AQ1405" s="117">
        <f t="shared" si="106"/>
        <v>0</v>
      </c>
      <c r="AR1405" s="120">
        <f t="shared" si="107"/>
        <v>0</v>
      </c>
      <c r="AS1405" s="121"/>
    </row>
    <row r="1406" spans="1:45" ht="13.5" x14ac:dyDescent="0.4">
      <c r="A1406" s="12">
        <f t="shared" si="109"/>
        <v>1403</v>
      </c>
      <c r="B1406" s="64" t="s">
        <v>10</v>
      </c>
      <c r="C1406" s="54">
        <v>45899</v>
      </c>
      <c r="D1406" s="54">
        <v>45910</v>
      </c>
      <c r="E1406" s="46" t="s">
        <v>32</v>
      </c>
      <c r="F1406" s="51" t="s">
        <v>33</v>
      </c>
      <c r="G1406" s="51" t="s">
        <v>34</v>
      </c>
      <c r="H1406" s="51" t="s">
        <v>32</v>
      </c>
      <c r="I1406" s="55" t="s">
        <v>99</v>
      </c>
      <c r="J1406" s="56">
        <v>2000</v>
      </c>
      <c r="K1406" s="51" t="s">
        <v>295</v>
      </c>
      <c r="L1406" s="58">
        <v>2998000</v>
      </c>
      <c r="M1406" s="50">
        <f>ROUND('FA Addition'!$L1406*5%,0.1)</f>
        <v>149900</v>
      </c>
      <c r="N1406" s="113" t="str">
        <f>_xlfn.XLOOKUP(_xlfn.CONCAT(E1406,B1406),'Year Wise Master Dep Approach'!F:F,'Year Wise Master Dep Approach'!D:D)</f>
        <v>SLM</v>
      </c>
      <c r="O1406" s="113">
        <f>_xlfn.XLOOKUP(_xlfn.CONCAT(E1406,B1406),'Year Wise Master Dep Approach'!F:F,'Year Wise Master Dep Approach'!E:E)</f>
        <v>5</v>
      </c>
      <c r="P1406" s="114">
        <f>IFERROR(IF('FA Addition'!$N1406="WDV",1-('FA Addition'!$M1406/'FA Addition'!$L1406)^(1/'FA Addition'!$O1406),1/'FA Addition'!$O1406),0)</f>
        <v>0.2</v>
      </c>
      <c r="Q1406" s="122">
        <f>'FA Addition'!$P1406*'FA Addition'!$O1406</f>
        <v>1</v>
      </c>
      <c r="R1406" s="122"/>
      <c r="S1406" s="116">
        <f>IF(AND(DATE(20&amp;LEFT(FAAddition[[#This Row],[FY]],2),4,1)&lt;$L$1+1,DATE(20&amp;LEFT(FAAddition[[#This Row],[FY]],2),4,1)&gt;$P$1-1),'FA Addition'!$J1406,0)</f>
        <v>0</v>
      </c>
      <c r="U1406" s="117">
        <f>S1406*'FA Addition'!$L1406/'FA Addition'!$J1406</f>
        <v>0</v>
      </c>
      <c r="W1406" s="116">
        <f>SUMIFS('FA Write off'!D:D,'FA Write off'!A:A,'FA Addition'!$A1406,'FA Write off'!C:C,"&lt;"&amp;'FA Addition'!$P$1)</f>
        <v>0</v>
      </c>
      <c r="Y1406" s="191">
        <f>IFERROR(W1406/'FA Addition'!$J1406*'FA Addition'!$L1406,0)</f>
        <v>0</v>
      </c>
      <c r="AA1406" s="116">
        <f>SUMIFS('FA Write off'!D:D,'FA Write off'!A:A,'FA Addition'!$A1406,'FA Write off'!C:C,"&lt;"&amp;'FA Addition'!$L$1+1,'FA Write off'!C:C,"&gt;"&amp;'FA Addition'!$L$1-365)</f>
        <v>0</v>
      </c>
      <c r="AC1406" s="118">
        <f>IFERROR(AA1406/'FA Addition'!$J1406*'FA Addition'!$L1406,0)</f>
        <v>0</v>
      </c>
      <c r="AE1406" s="117">
        <f>IF(AND('FA Addition'!$D1406&lt;$P$1+1,U1406=0),'FA Addition'!$L1406,0)-Y1406</f>
        <v>0</v>
      </c>
      <c r="AF1406" s="117">
        <f t="shared" si="105"/>
        <v>0</v>
      </c>
      <c r="AG1406" s="117">
        <f>MIN(MAX(+$P$1-'FA Addition'!$D1406,0),365*'FA Addition'!$O1406)</f>
        <v>0</v>
      </c>
      <c r="AH1406" s="117">
        <f>MIN(MAX($L$1-'FA Addition'!$D1406+1,0),365*'FA Addition'!$O1406)</f>
        <v>0</v>
      </c>
      <c r="AI1406" s="117" cm="1">
        <f t="array" ref="AI1406">_xlfn.XLOOKUP(1,('FA Write off'!A:A='FA Addition'!$A1406)*('FA Write off'!D:D=AA1406),'FA Write off'!H:H,0,0)</f>
        <v>0</v>
      </c>
      <c r="AJ1406" s="117">
        <f>IF(AC1406&gt;0,MAX(IF('FA Addition'!$N1406="SLM",($AC1406-'FA Addition'!$M1406)*'FA Addition'!$P1406*AI1406/365,(AC1406-'FA Addition'!$M1406)*(1-(1-'FA Addition'!$P1406)^(AI1406/365))),0),0)</f>
        <v>0</v>
      </c>
      <c r="AL1406" s="117">
        <f>MAX(IF(AG1406&gt;0,IF('FA Addition'!$N1406="SLM",($AE1406-'FA Addition'!$M1406)*'FA Addition'!$P1406*AG1406/365,IFERROR(VDB(AE1406,AE1406*0.05,'FA Addition'!$O1406,0,YEARFRAC('FA Addition'!$C1406,$P$1-1,3),'FA Addition'!$Q1406),FAAddition[[#This Row],[Original Cost (Rs)]]-FAAddition[[#This Row],[Salvage Value]])),0),0)</f>
        <v>0</v>
      </c>
      <c r="AM1406" s="119"/>
      <c r="AN1406" s="117">
        <f>MAX(IF(AH1406&gt;0,IF('FA Addition'!$N1406="SLM",($AF1406-'FA Addition'!$M1406)*'FA Addition'!$P1406*AH1406/365,IFERROR(VDB(AF1406,AF1406*0.05,'FA Addition'!$O1406,0,YEARFRAC('FA Addition'!$C1406,$L$1,3),'FA Addition'!$Q1406),FAAddition[[#This Row],[Original Cost (Rs)]]-FAAddition[[#This Row],[Salvage Value]])),0),0)</f>
        <v>0</v>
      </c>
      <c r="AO1406" s="117">
        <f t="shared" si="108"/>
        <v>0</v>
      </c>
      <c r="AQ1406" s="117">
        <f t="shared" si="106"/>
        <v>0</v>
      </c>
      <c r="AR1406" s="120">
        <f t="shared" si="107"/>
        <v>0</v>
      </c>
      <c r="AS1406" s="121"/>
    </row>
    <row r="1407" spans="1:45" ht="13.5" x14ac:dyDescent="0.4">
      <c r="A1407" s="12">
        <f t="shared" si="109"/>
        <v>1404</v>
      </c>
      <c r="B1407" s="64" t="s">
        <v>10</v>
      </c>
      <c r="C1407" s="54">
        <v>45899</v>
      </c>
      <c r="D1407" s="54">
        <v>45910</v>
      </c>
      <c r="E1407" s="46" t="s">
        <v>32</v>
      </c>
      <c r="F1407" s="51" t="s">
        <v>33</v>
      </c>
      <c r="G1407" s="51" t="s">
        <v>36</v>
      </c>
      <c r="H1407" s="51" t="s">
        <v>32</v>
      </c>
      <c r="I1407" s="55" t="s">
        <v>100</v>
      </c>
      <c r="J1407" s="56">
        <v>880</v>
      </c>
      <c r="K1407" s="51" t="s">
        <v>296</v>
      </c>
      <c r="L1407" s="58">
        <v>1320000</v>
      </c>
      <c r="M1407" s="50">
        <f>ROUND('FA Addition'!$L1407*5%,0.1)</f>
        <v>66000</v>
      </c>
      <c r="N1407" s="113" t="str">
        <f>_xlfn.XLOOKUP(_xlfn.CONCAT(E1407,B1407),'Year Wise Master Dep Approach'!F:F,'Year Wise Master Dep Approach'!D:D)</f>
        <v>SLM</v>
      </c>
      <c r="O1407" s="113">
        <f>_xlfn.XLOOKUP(_xlfn.CONCAT(E1407,B1407),'Year Wise Master Dep Approach'!F:F,'Year Wise Master Dep Approach'!E:E)</f>
        <v>5</v>
      </c>
      <c r="P1407" s="114">
        <f>IFERROR(IF('FA Addition'!$N1407="WDV",1-('FA Addition'!$M1407/'FA Addition'!$L1407)^(1/'FA Addition'!$O1407),1/'FA Addition'!$O1407),0)</f>
        <v>0.2</v>
      </c>
      <c r="Q1407" s="122">
        <f>'FA Addition'!$P1407*'FA Addition'!$O1407</f>
        <v>1</v>
      </c>
      <c r="R1407" s="122"/>
      <c r="S1407" s="116">
        <f>IF(AND(DATE(20&amp;LEFT(FAAddition[[#This Row],[FY]],2),4,1)&lt;$L$1+1,DATE(20&amp;LEFT(FAAddition[[#This Row],[FY]],2),4,1)&gt;$P$1-1),'FA Addition'!$J1407,0)</f>
        <v>0</v>
      </c>
      <c r="U1407" s="117">
        <f>S1407*'FA Addition'!$L1407/'FA Addition'!$J1407</f>
        <v>0</v>
      </c>
      <c r="W1407" s="116">
        <f>SUMIFS('FA Write off'!D:D,'FA Write off'!A:A,'FA Addition'!$A1407,'FA Write off'!C:C,"&lt;"&amp;'FA Addition'!$P$1)</f>
        <v>0</v>
      </c>
      <c r="Y1407" s="191">
        <f>IFERROR(W1407/'FA Addition'!$J1407*'FA Addition'!$L1407,0)</f>
        <v>0</v>
      </c>
      <c r="AA1407" s="116">
        <f>SUMIFS('FA Write off'!D:D,'FA Write off'!A:A,'FA Addition'!$A1407,'FA Write off'!C:C,"&lt;"&amp;'FA Addition'!$L$1+1,'FA Write off'!C:C,"&gt;"&amp;'FA Addition'!$L$1-365)</f>
        <v>0</v>
      </c>
      <c r="AC1407" s="118">
        <f>IFERROR(AA1407/'FA Addition'!$J1407*'FA Addition'!$L1407,0)</f>
        <v>0</v>
      </c>
      <c r="AE1407" s="117">
        <f>IF(AND('FA Addition'!$D1407&lt;$P$1+1,U1407=0),'FA Addition'!$L1407,0)-Y1407</f>
        <v>0</v>
      </c>
      <c r="AF1407" s="117">
        <f t="shared" si="105"/>
        <v>0</v>
      </c>
      <c r="AG1407" s="117">
        <f>MIN(MAX(+$P$1-'FA Addition'!$D1407,0),365*'FA Addition'!$O1407)</f>
        <v>0</v>
      </c>
      <c r="AH1407" s="117">
        <f>MIN(MAX($L$1-'FA Addition'!$D1407+1,0),365*'FA Addition'!$O1407)</f>
        <v>0</v>
      </c>
      <c r="AI1407" s="117" cm="1">
        <f t="array" ref="AI1407">_xlfn.XLOOKUP(1,('FA Write off'!A:A='FA Addition'!$A1407)*('FA Write off'!D:D=AA1407),'FA Write off'!H:H,0,0)</f>
        <v>0</v>
      </c>
      <c r="AJ1407" s="117">
        <f>IF(AC1407&gt;0,MAX(IF('FA Addition'!$N1407="SLM",($AC1407-'FA Addition'!$M1407)*'FA Addition'!$P1407*AI1407/365,(AC1407-'FA Addition'!$M1407)*(1-(1-'FA Addition'!$P1407)^(AI1407/365))),0),0)</f>
        <v>0</v>
      </c>
      <c r="AL1407" s="117">
        <f>MAX(IF(AG1407&gt;0,IF('FA Addition'!$N1407="SLM",($AE1407-'FA Addition'!$M1407)*'FA Addition'!$P1407*AG1407/365,IFERROR(VDB(AE1407,AE1407*0.05,'FA Addition'!$O1407,0,YEARFRAC('FA Addition'!$C1407,$P$1-1,3),'FA Addition'!$Q1407),FAAddition[[#This Row],[Original Cost (Rs)]]-FAAddition[[#This Row],[Salvage Value]])),0),0)</f>
        <v>0</v>
      </c>
      <c r="AM1407" s="119"/>
      <c r="AN1407" s="117">
        <f>MAX(IF(AH1407&gt;0,IF('FA Addition'!$N1407="SLM",($AF1407-'FA Addition'!$M1407)*'FA Addition'!$P1407*AH1407/365,IFERROR(VDB(AF1407,AF1407*0.05,'FA Addition'!$O1407,0,YEARFRAC('FA Addition'!$C1407,$L$1,3),'FA Addition'!$Q1407),FAAddition[[#This Row],[Original Cost (Rs)]]-FAAddition[[#This Row],[Salvage Value]])),0),0)</f>
        <v>0</v>
      </c>
      <c r="AO1407" s="117">
        <f t="shared" si="108"/>
        <v>0</v>
      </c>
      <c r="AQ1407" s="117">
        <f t="shared" si="106"/>
        <v>0</v>
      </c>
      <c r="AR1407" s="120">
        <f t="shared" si="107"/>
        <v>0</v>
      </c>
      <c r="AS1407" s="121"/>
    </row>
    <row r="1408" spans="1:45" ht="13.5" x14ac:dyDescent="0.4">
      <c r="A1408" s="12">
        <f t="shared" si="109"/>
        <v>1405</v>
      </c>
      <c r="B1408" s="64" t="s">
        <v>10</v>
      </c>
      <c r="C1408" s="54">
        <v>45891</v>
      </c>
      <c r="D1408" s="54">
        <v>45922</v>
      </c>
      <c r="E1408" s="46" t="s">
        <v>32</v>
      </c>
      <c r="F1408" s="51" t="s">
        <v>33</v>
      </c>
      <c r="G1408" s="51" t="s">
        <v>34</v>
      </c>
      <c r="H1408" s="51" t="s">
        <v>32</v>
      </c>
      <c r="I1408" s="55" t="s">
        <v>101</v>
      </c>
      <c r="J1408" s="56">
        <v>500</v>
      </c>
      <c r="K1408" s="51" t="s">
        <v>295</v>
      </c>
      <c r="L1408" s="58">
        <v>749500</v>
      </c>
      <c r="M1408" s="50">
        <f>ROUND('FA Addition'!$L1408*5%,0.1)</f>
        <v>37475</v>
      </c>
      <c r="N1408" s="113" t="str">
        <f>_xlfn.XLOOKUP(_xlfn.CONCAT(E1408,B1408),'Year Wise Master Dep Approach'!F:F,'Year Wise Master Dep Approach'!D:D)</f>
        <v>SLM</v>
      </c>
      <c r="O1408" s="113">
        <f>_xlfn.XLOOKUP(_xlfn.CONCAT(E1408,B1408),'Year Wise Master Dep Approach'!F:F,'Year Wise Master Dep Approach'!E:E)</f>
        <v>5</v>
      </c>
      <c r="P1408" s="114">
        <f>IFERROR(IF('FA Addition'!$N1408="WDV",1-('FA Addition'!$M1408/'FA Addition'!$L1408)^(1/'FA Addition'!$O1408),1/'FA Addition'!$O1408),0)</f>
        <v>0.2</v>
      </c>
      <c r="Q1408" s="122">
        <f>'FA Addition'!$P1408*'FA Addition'!$O1408</f>
        <v>1</v>
      </c>
      <c r="R1408" s="122"/>
      <c r="S1408" s="116">
        <f>IF(AND(DATE(20&amp;LEFT(FAAddition[[#This Row],[FY]],2),4,1)&lt;$L$1+1,DATE(20&amp;LEFT(FAAddition[[#This Row],[FY]],2),4,1)&gt;$P$1-1),'FA Addition'!$J1408,0)</f>
        <v>0</v>
      </c>
      <c r="U1408" s="117">
        <f>S1408*'FA Addition'!$L1408/'FA Addition'!$J1408</f>
        <v>0</v>
      </c>
      <c r="W1408" s="116">
        <f>SUMIFS('FA Write off'!D:D,'FA Write off'!A:A,'FA Addition'!$A1408,'FA Write off'!C:C,"&lt;"&amp;'FA Addition'!$P$1)</f>
        <v>0</v>
      </c>
      <c r="Y1408" s="191">
        <f>IFERROR(W1408/'FA Addition'!$J1408*'FA Addition'!$L1408,0)</f>
        <v>0</v>
      </c>
      <c r="AA1408" s="116">
        <f>SUMIFS('FA Write off'!D:D,'FA Write off'!A:A,'FA Addition'!$A1408,'FA Write off'!C:C,"&lt;"&amp;'FA Addition'!$L$1+1,'FA Write off'!C:C,"&gt;"&amp;'FA Addition'!$L$1-365)</f>
        <v>0</v>
      </c>
      <c r="AC1408" s="118">
        <f>IFERROR(AA1408/'FA Addition'!$J1408*'FA Addition'!$L1408,0)</f>
        <v>0</v>
      </c>
      <c r="AE1408" s="117">
        <f>IF(AND('FA Addition'!$D1408&lt;$P$1+1,U1408=0),'FA Addition'!$L1408,0)-Y1408</f>
        <v>0</v>
      </c>
      <c r="AF1408" s="117">
        <f t="shared" si="105"/>
        <v>0</v>
      </c>
      <c r="AG1408" s="117">
        <f>MIN(MAX(+$P$1-'FA Addition'!$D1408,0),365*'FA Addition'!$O1408)</f>
        <v>0</v>
      </c>
      <c r="AH1408" s="117">
        <f>MIN(MAX($L$1-'FA Addition'!$D1408+1,0),365*'FA Addition'!$O1408)</f>
        <v>0</v>
      </c>
      <c r="AI1408" s="117" cm="1">
        <f t="array" ref="AI1408">_xlfn.XLOOKUP(1,('FA Write off'!A:A='FA Addition'!$A1408)*('FA Write off'!D:D=AA1408),'FA Write off'!H:H,0,0)</f>
        <v>0</v>
      </c>
      <c r="AJ1408" s="117">
        <f>IF(AC1408&gt;0,MAX(IF('FA Addition'!$N1408="SLM",($AC1408-'FA Addition'!$M1408)*'FA Addition'!$P1408*AI1408/365,(AC1408-'FA Addition'!$M1408)*(1-(1-'FA Addition'!$P1408)^(AI1408/365))),0),0)</f>
        <v>0</v>
      </c>
      <c r="AL1408" s="117">
        <f>MAX(IF(AG1408&gt;0,IF('FA Addition'!$N1408="SLM",($AE1408-'FA Addition'!$M1408)*'FA Addition'!$P1408*AG1408/365,IFERROR(VDB(AE1408,AE1408*0.05,'FA Addition'!$O1408,0,YEARFRAC('FA Addition'!$C1408,$P$1-1,3),'FA Addition'!$Q1408),FAAddition[[#This Row],[Original Cost (Rs)]]-FAAddition[[#This Row],[Salvage Value]])),0),0)</f>
        <v>0</v>
      </c>
      <c r="AM1408" s="119"/>
      <c r="AN1408" s="117">
        <f>MAX(IF(AH1408&gt;0,IF('FA Addition'!$N1408="SLM",($AF1408-'FA Addition'!$M1408)*'FA Addition'!$P1408*AH1408/365,IFERROR(VDB(AF1408,AF1408*0.05,'FA Addition'!$O1408,0,YEARFRAC('FA Addition'!$C1408,$L$1,3),'FA Addition'!$Q1408),FAAddition[[#This Row],[Original Cost (Rs)]]-FAAddition[[#This Row],[Salvage Value]])),0),0)</f>
        <v>0</v>
      </c>
      <c r="AO1408" s="117">
        <f t="shared" si="108"/>
        <v>0</v>
      </c>
      <c r="AQ1408" s="117">
        <f t="shared" si="106"/>
        <v>0</v>
      </c>
      <c r="AR1408" s="120">
        <f t="shared" si="107"/>
        <v>0</v>
      </c>
      <c r="AS1408" s="121"/>
    </row>
    <row r="1409" spans="1:45" ht="13.5" x14ac:dyDescent="0.4">
      <c r="A1409" s="12">
        <f t="shared" si="109"/>
        <v>1406</v>
      </c>
      <c r="B1409" s="64" t="s">
        <v>10</v>
      </c>
      <c r="C1409" s="54">
        <v>45922</v>
      </c>
      <c r="D1409" s="54">
        <v>45923</v>
      </c>
      <c r="E1409" s="46" t="s">
        <v>32</v>
      </c>
      <c r="F1409" s="51" t="s">
        <v>33</v>
      </c>
      <c r="G1409" s="51" t="s">
        <v>34</v>
      </c>
      <c r="H1409" s="51" t="s">
        <v>32</v>
      </c>
      <c r="I1409" s="55" t="s">
        <v>102</v>
      </c>
      <c r="J1409" s="56">
        <v>1500</v>
      </c>
      <c r="K1409" s="51" t="s">
        <v>295</v>
      </c>
      <c r="L1409" s="58">
        <v>2248500</v>
      </c>
      <c r="M1409" s="50">
        <f>ROUND('FA Addition'!$L1409*5%,0.1)</f>
        <v>112425</v>
      </c>
      <c r="N1409" s="113" t="str">
        <f>_xlfn.XLOOKUP(_xlfn.CONCAT(E1409,B1409),'Year Wise Master Dep Approach'!F:F,'Year Wise Master Dep Approach'!D:D)</f>
        <v>SLM</v>
      </c>
      <c r="O1409" s="113">
        <f>_xlfn.XLOOKUP(_xlfn.CONCAT(E1409,B1409),'Year Wise Master Dep Approach'!F:F,'Year Wise Master Dep Approach'!E:E)</f>
        <v>5</v>
      </c>
      <c r="P1409" s="114">
        <f>IFERROR(IF('FA Addition'!$N1409="WDV",1-('FA Addition'!$M1409/'FA Addition'!$L1409)^(1/'FA Addition'!$O1409),1/'FA Addition'!$O1409),0)</f>
        <v>0.2</v>
      </c>
      <c r="Q1409" s="122">
        <f>'FA Addition'!$P1409*'FA Addition'!$O1409</f>
        <v>1</v>
      </c>
      <c r="R1409" s="122"/>
      <c r="S1409" s="116">
        <f>IF(AND(DATE(20&amp;LEFT(FAAddition[[#This Row],[FY]],2),4,1)&lt;$L$1+1,DATE(20&amp;LEFT(FAAddition[[#This Row],[FY]],2),4,1)&gt;$P$1-1),'FA Addition'!$J1409,0)</f>
        <v>0</v>
      </c>
      <c r="U1409" s="117">
        <f>S1409*'FA Addition'!$L1409/'FA Addition'!$J1409</f>
        <v>0</v>
      </c>
      <c r="W1409" s="116">
        <f>SUMIFS('FA Write off'!D:D,'FA Write off'!A:A,'FA Addition'!$A1409,'FA Write off'!C:C,"&lt;"&amp;'FA Addition'!$P$1)</f>
        <v>0</v>
      </c>
      <c r="Y1409" s="191">
        <f>IFERROR(W1409/'FA Addition'!$J1409*'FA Addition'!$L1409,0)</f>
        <v>0</v>
      </c>
      <c r="AA1409" s="116">
        <f>SUMIFS('FA Write off'!D:D,'FA Write off'!A:A,'FA Addition'!$A1409,'FA Write off'!C:C,"&lt;"&amp;'FA Addition'!$L$1+1,'FA Write off'!C:C,"&gt;"&amp;'FA Addition'!$L$1-365)</f>
        <v>0</v>
      </c>
      <c r="AC1409" s="118">
        <f>IFERROR(AA1409/'FA Addition'!$J1409*'FA Addition'!$L1409,0)</f>
        <v>0</v>
      </c>
      <c r="AE1409" s="117">
        <f>IF(AND('FA Addition'!$D1409&lt;$P$1+1,U1409=0),'FA Addition'!$L1409,0)-Y1409</f>
        <v>0</v>
      </c>
      <c r="AF1409" s="117">
        <f t="shared" si="105"/>
        <v>0</v>
      </c>
      <c r="AG1409" s="117">
        <f>MIN(MAX(+$P$1-'FA Addition'!$D1409,0),365*'FA Addition'!$O1409)</f>
        <v>0</v>
      </c>
      <c r="AH1409" s="117">
        <f>MIN(MAX($L$1-'FA Addition'!$D1409+1,0),365*'FA Addition'!$O1409)</f>
        <v>0</v>
      </c>
      <c r="AI1409" s="117" cm="1">
        <f t="array" ref="AI1409">_xlfn.XLOOKUP(1,('FA Write off'!A:A='FA Addition'!$A1409)*('FA Write off'!D:D=AA1409),'FA Write off'!H:H,0,0)</f>
        <v>0</v>
      </c>
      <c r="AJ1409" s="117">
        <f>IF(AC1409&gt;0,MAX(IF('FA Addition'!$N1409="SLM",($AC1409-'FA Addition'!$M1409)*'FA Addition'!$P1409*AI1409/365,(AC1409-'FA Addition'!$M1409)*(1-(1-'FA Addition'!$P1409)^(AI1409/365))),0),0)</f>
        <v>0</v>
      </c>
      <c r="AL1409" s="117">
        <f>MAX(IF(AG1409&gt;0,IF('FA Addition'!$N1409="SLM",($AE1409-'FA Addition'!$M1409)*'FA Addition'!$P1409*AG1409/365,IFERROR(VDB(AE1409,AE1409*0.05,'FA Addition'!$O1409,0,YEARFRAC('FA Addition'!$C1409,$P$1-1,3),'FA Addition'!$Q1409),FAAddition[[#This Row],[Original Cost (Rs)]]-FAAddition[[#This Row],[Salvage Value]])),0),0)</f>
        <v>0</v>
      </c>
      <c r="AM1409" s="119"/>
      <c r="AN1409" s="117">
        <f>MAX(IF(AH1409&gt;0,IF('FA Addition'!$N1409="SLM",($AF1409-'FA Addition'!$M1409)*'FA Addition'!$P1409*AH1409/365,IFERROR(VDB(AF1409,AF1409*0.05,'FA Addition'!$O1409,0,YEARFRAC('FA Addition'!$C1409,$L$1,3),'FA Addition'!$Q1409),FAAddition[[#This Row],[Original Cost (Rs)]]-FAAddition[[#This Row],[Salvage Value]])),0),0)</f>
        <v>0</v>
      </c>
      <c r="AO1409" s="117">
        <f t="shared" si="108"/>
        <v>0</v>
      </c>
      <c r="AQ1409" s="117">
        <f t="shared" si="106"/>
        <v>0</v>
      </c>
      <c r="AR1409" s="120">
        <f t="shared" si="107"/>
        <v>0</v>
      </c>
      <c r="AS1409" s="121"/>
    </row>
    <row r="1410" spans="1:45" ht="13.5" x14ac:dyDescent="0.4">
      <c r="A1410" s="12">
        <f t="shared" si="109"/>
        <v>1407</v>
      </c>
      <c r="B1410" s="64" t="s">
        <v>10</v>
      </c>
      <c r="C1410" s="54">
        <v>45904</v>
      </c>
      <c r="D1410" s="54">
        <v>45923</v>
      </c>
      <c r="E1410" s="46" t="s">
        <v>32</v>
      </c>
      <c r="F1410" s="51" t="s">
        <v>33</v>
      </c>
      <c r="G1410" s="51" t="s">
        <v>36</v>
      </c>
      <c r="H1410" s="51" t="s">
        <v>32</v>
      </c>
      <c r="I1410" s="55" t="s">
        <v>103</v>
      </c>
      <c r="J1410" s="56">
        <v>1220</v>
      </c>
      <c r="K1410" s="51" t="s">
        <v>296</v>
      </c>
      <c r="L1410" s="58">
        <v>1830000</v>
      </c>
      <c r="M1410" s="50">
        <f>ROUND('FA Addition'!$L1410*5%,0.1)</f>
        <v>91500</v>
      </c>
      <c r="N1410" s="113" t="str">
        <f>_xlfn.XLOOKUP(_xlfn.CONCAT(E1410,B1410),'Year Wise Master Dep Approach'!F:F,'Year Wise Master Dep Approach'!D:D)</f>
        <v>SLM</v>
      </c>
      <c r="O1410" s="113">
        <f>_xlfn.XLOOKUP(_xlfn.CONCAT(E1410,B1410),'Year Wise Master Dep Approach'!F:F,'Year Wise Master Dep Approach'!E:E)</f>
        <v>5</v>
      </c>
      <c r="P1410" s="114">
        <f>IFERROR(IF('FA Addition'!$N1410="WDV",1-('FA Addition'!$M1410/'FA Addition'!$L1410)^(1/'FA Addition'!$O1410),1/'FA Addition'!$O1410),0)</f>
        <v>0.2</v>
      </c>
      <c r="Q1410" s="122">
        <f>'FA Addition'!$P1410*'FA Addition'!$O1410</f>
        <v>1</v>
      </c>
      <c r="R1410" s="122"/>
      <c r="S1410" s="116">
        <f>IF(AND(DATE(20&amp;LEFT(FAAddition[[#This Row],[FY]],2),4,1)&lt;$L$1+1,DATE(20&amp;LEFT(FAAddition[[#This Row],[FY]],2),4,1)&gt;$P$1-1),'FA Addition'!$J1410,0)</f>
        <v>0</v>
      </c>
      <c r="U1410" s="117">
        <f>S1410*'FA Addition'!$L1410/'FA Addition'!$J1410</f>
        <v>0</v>
      </c>
      <c r="W1410" s="116">
        <f>SUMIFS('FA Write off'!D:D,'FA Write off'!A:A,'FA Addition'!$A1410,'FA Write off'!C:C,"&lt;"&amp;'FA Addition'!$P$1)</f>
        <v>0</v>
      </c>
      <c r="Y1410" s="191">
        <f>IFERROR(W1410/'FA Addition'!$J1410*'FA Addition'!$L1410,0)</f>
        <v>0</v>
      </c>
      <c r="AA1410" s="116">
        <f>SUMIFS('FA Write off'!D:D,'FA Write off'!A:A,'FA Addition'!$A1410,'FA Write off'!C:C,"&lt;"&amp;'FA Addition'!$L$1+1,'FA Write off'!C:C,"&gt;"&amp;'FA Addition'!$L$1-365)</f>
        <v>0</v>
      </c>
      <c r="AC1410" s="118">
        <f>IFERROR(AA1410/'FA Addition'!$J1410*'FA Addition'!$L1410,0)</f>
        <v>0</v>
      </c>
      <c r="AE1410" s="117">
        <f>IF(AND('FA Addition'!$D1410&lt;$P$1+1,U1410=0),'FA Addition'!$L1410,0)-Y1410</f>
        <v>0</v>
      </c>
      <c r="AF1410" s="117">
        <f t="shared" si="105"/>
        <v>0</v>
      </c>
      <c r="AG1410" s="117">
        <f>MIN(MAX(+$P$1-'FA Addition'!$D1410,0),365*'FA Addition'!$O1410)</f>
        <v>0</v>
      </c>
      <c r="AH1410" s="117">
        <f>MIN(MAX($L$1-'FA Addition'!$D1410+1,0),365*'FA Addition'!$O1410)</f>
        <v>0</v>
      </c>
      <c r="AI1410" s="117" cm="1">
        <f t="array" ref="AI1410">_xlfn.XLOOKUP(1,('FA Write off'!A:A='FA Addition'!$A1410)*('FA Write off'!D:D=AA1410),'FA Write off'!H:H,0,0)</f>
        <v>0</v>
      </c>
      <c r="AJ1410" s="117">
        <f>IF(AC1410&gt;0,MAX(IF('FA Addition'!$N1410="SLM",($AC1410-'FA Addition'!$M1410)*'FA Addition'!$P1410*AI1410/365,(AC1410-'FA Addition'!$M1410)*(1-(1-'FA Addition'!$P1410)^(AI1410/365))),0),0)</f>
        <v>0</v>
      </c>
      <c r="AL1410" s="117">
        <f>MAX(IF(AG1410&gt;0,IF('FA Addition'!$N1410="SLM",($AE1410-'FA Addition'!$M1410)*'FA Addition'!$P1410*AG1410/365,IFERROR(VDB(AE1410,AE1410*0.05,'FA Addition'!$O1410,0,YEARFRAC('FA Addition'!$C1410,$P$1-1,3),'FA Addition'!$Q1410),FAAddition[[#This Row],[Original Cost (Rs)]]-FAAddition[[#This Row],[Salvage Value]])),0),0)</f>
        <v>0</v>
      </c>
      <c r="AM1410" s="119"/>
      <c r="AN1410" s="117">
        <f>MAX(IF(AH1410&gt;0,IF('FA Addition'!$N1410="SLM",($AF1410-'FA Addition'!$M1410)*'FA Addition'!$P1410*AH1410/365,IFERROR(VDB(AF1410,AF1410*0.05,'FA Addition'!$O1410,0,YEARFRAC('FA Addition'!$C1410,$L$1,3),'FA Addition'!$Q1410),FAAddition[[#This Row],[Original Cost (Rs)]]-FAAddition[[#This Row],[Salvage Value]])),0),0)</f>
        <v>0</v>
      </c>
      <c r="AO1410" s="117">
        <f t="shared" si="108"/>
        <v>0</v>
      </c>
      <c r="AQ1410" s="117">
        <f t="shared" si="106"/>
        <v>0</v>
      </c>
      <c r="AR1410" s="120">
        <f t="shared" si="107"/>
        <v>0</v>
      </c>
      <c r="AS1410" s="121"/>
    </row>
    <row r="1411" spans="1:45" ht="13.5" x14ac:dyDescent="0.4">
      <c r="A1411" s="12">
        <f t="shared" si="109"/>
        <v>1408</v>
      </c>
      <c r="B1411" s="64" t="s">
        <v>10</v>
      </c>
      <c r="C1411" s="54">
        <v>45911</v>
      </c>
      <c r="D1411" s="54">
        <v>45923</v>
      </c>
      <c r="E1411" s="46" t="s">
        <v>32</v>
      </c>
      <c r="F1411" s="51" t="s">
        <v>33</v>
      </c>
      <c r="G1411" s="51" t="s">
        <v>36</v>
      </c>
      <c r="H1411" s="51" t="s">
        <v>32</v>
      </c>
      <c r="I1411" s="55" t="s">
        <v>104</v>
      </c>
      <c r="J1411" s="56">
        <v>500</v>
      </c>
      <c r="K1411" s="51" t="s">
        <v>296</v>
      </c>
      <c r="L1411" s="58">
        <v>750000</v>
      </c>
      <c r="M1411" s="50">
        <f>ROUND('FA Addition'!$L1411*5%,0.1)</f>
        <v>37500</v>
      </c>
      <c r="N1411" s="113" t="str">
        <f>_xlfn.XLOOKUP(_xlfn.CONCAT(E1411,B1411),'Year Wise Master Dep Approach'!F:F,'Year Wise Master Dep Approach'!D:D)</f>
        <v>SLM</v>
      </c>
      <c r="O1411" s="113">
        <f>_xlfn.XLOOKUP(_xlfn.CONCAT(E1411,B1411),'Year Wise Master Dep Approach'!F:F,'Year Wise Master Dep Approach'!E:E)</f>
        <v>5</v>
      </c>
      <c r="P1411" s="114">
        <f>IFERROR(IF('FA Addition'!$N1411="WDV",1-('FA Addition'!$M1411/'FA Addition'!$L1411)^(1/'FA Addition'!$O1411),1/'FA Addition'!$O1411),0)</f>
        <v>0.2</v>
      </c>
      <c r="Q1411" s="122">
        <f>'FA Addition'!$P1411*'FA Addition'!$O1411</f>
        <v>1</v>
      </c>
      <c r="R1411" s="122"/>
      <c r="S1411" s="116">
        <f>IF(AND(DATE(20&amp;LEFT(FAAddition[[#This Row],[FY]],2),4,1)&lt;$L$1+1,DATE(20&amp;LEFT(FAAddition[[#This Row],[FY]],2),4,1)&gt;$P$1-1),'FA Addition'!$J1411,0)</f>
        <v>0</v>
      </c>
      <c r="U1411" s="117">
        <f>S1411*'FA Addition'!$L1411/'FA Addition'!$J1411</f>
        <v>0</v>
      </c>
      <c r="W1411" s="116">
        <f>SUMIFS('FA Write off'!D:D,'FA Write off'!A:A,'FA Addition'!$A1411,'FA Write off'!C:C,"&lt;"&amp;'FA Addition'!$P$1)</f>
        <v>0</v>
      </c>
      <c r="Y1411" s="191">
        <f>IFERROR(W1411/'FA Addition'!$J1411*'FA Addition'!$L1411,0)</f>
        <v>0</v>
      </c>
      <c r="AA1411" s="116">
        <f>SUMIFS('FA Write off'!D:D,'FA Write off'!A:A,'FA Addition'!$A1411,'FA Write off'!C:C,"&lt;"&amp;'FA Addition'!$L$1+1,'FA Write off'!C:C,"&gt;"&amp;'FA Addition'!$L$1-365)</f>
        <v>0</v>
      </c>
      <c r="AC1411" s="118">
        <f>IFERROR(AA1411/'FA Addition'!$J1411*'FA Addition'!$L1411,0)</f>
        <v>0</v>
      </c>
      <c r="AE1411" s="117">
        <f>IF(AND('FA Addition'!$D1411&lt;$P$1+1,U1411=0),'FA Addition'!$L1411,0)-Y1411</f>
        <v>0</v>
      </c>
      <c r="AF1411" s="117">
        <f t="shared" si="105"/>
        <v>0</v>
      </c>
      <c r="AG1411" s="117">
        <f>MIN(MAX(+$P$1-'FA Addition'!$D1411,0),365*'FA Addition'!$O1411)</f>
        <v>0</v>
      </c>
      <c r="AH1411" s="117">
        <f>MIN(MAX($L$1-'FA Addition'!$D1411+1,0),365*'FA Addition'!$O1411)</f>
        <v>0</v>
      </c>
      <c r="AI1411" s="117" cm="1">
        <f t="array" ref="AI1411">_xlfn.XLOOKUP(1,('FA Write off'!A:A='FA Addition'!$A1411)*('FA Write off'!D:D=AA1411),'FA Write off'!H:H,0,0)</f>
        <v>0</v>
      </c>
      <c r="AJ1411" s="117">
        <f>IF(AC1411&gt;0,MAX(IF('FA Addition'!$N1411="SLM",($AC1411-'FA Addition'!$M1411)*'FA Addition'!$P1411*AI1411/365,(AC1411-'FA Addition'!$M1411)*(1-(1-'FA Addition'!$P1411)^(AI1411/365))),0),0)</f>
        <v>0</v>
      </c>
      <c r="AL1411" s="117">
        <f>MAX(IF(AG1411&gt;0,IF('FA Addition'!$N1411="SLM",($AE1411-'FA Addition'!$M1411)*'FA Addition'!$P1411*AG1411/365,IFERROR(VDB(AE1411,AE1411*0.05,'FA Addition'!$O1411,0,YEARFRAC('FA Addition'!$C1411,$P$1-1,3),'FA Addition'!$Q1411),FAAddition[[#This Row],[Original Cost (Rs)]]-FAAddition[[#This Row],[Salvage Value]])),0),0)</f>
        <v>0</v>
      </c>
      <c r="AM1411" s="119"/>
      <c r="AN1411" s="117">
        <f>MAX(IF(AH1411&gt;0,IF('FA Addition'!$N1411="SLM",($AF1411-'FA Addition'!$M1411)*'FA Addition'!$P1411*AH1411/365,IFERROR(VDB(AF1411,AF1411*0.05,'FA Addition'!$O1411,0,YEARFRAC('FA Addition'!$C1411,$L$1,3),'FA Addition'!$Q1411),FAAddition[[#This Row],[Original Cost (Rs)]]-FAAddition[[#This Row],[Salvage Value]])),0),0)</f>
        <v>0</v>
      </c>
      <c r="AO1411" s="117">
        <f t="shared" si="108"/>
        <v>0</v>
      </c>
      <c r="AQ1411" s="117">
        <f t="shared" si="106"/>
        <v>0</v>
      </c>
      <c r="AR1411" s="120">
        <f t="shared" si="107"/>
        <v>0</v>
      </c>
      <c r="AS1411" s="121"/>
    </row>
    <row r="1412" spans="1:45" ht="13.5" x14ac:dyDescent="0.4">
      <c r="A1412" s="12">
        <f t="shared" si="109"/>
        <v>1409</v>
      </c>
      <c r="B1412" s="64" t="s">
        <v>10</v>
      </c>
      <c r="C1412" s="54">
        <v>45911</v>
      </c>
      <c r="D1412" s="54">
        <v>45923</v>
      </c>
      <c r="E1412" s="46" t="s">
        <v>32</v>
      </c>
      <c r="F1412" s="51" t="s">
        <v>33</v>
      </c>
      <c r="G1412" s="51" t="s">
        <v>36</v>
      </c>
      <c r="H1412" s="51" t="s">
        <v>32</v>
      </c>
      <c r="I1412" s="55" t="s">
        <v>105</v>
      </c>
      <c r="J1412" s="56">
        <v>1000</v>
      </c>
      <c r="K1412" s="51" t="s">
        <v>296</v>
      </c>
      <c r="L1412" s="58">
        <v>1500000</v>
      </c>
      <c r="M1412" s="50">
        <f>ROUND('FA Addition'!$L1412*5%,0.1)</f>
        <v>75000</v>
      </c>
      <c r="N1412" s="113" t="str">
        <f>_xlfn.XLOOKUP(_xlfn.CONCAT(E1412,B1412),'Year Wise Master Dep Approach'!F:F,'Year Wise Master Dep Approach'!D:D)</f>
        <v>SLM</v>
      </c>
      <c r="O1412" s="113">
        <f>_xlfn.XLOOKUP(_xlfn.CONCAT(E1412,B1412),'Year Wise Master Dep Approach'!F:F,'Year Wise Master Dep Approach'!E:E)</f>
        <v>5</v>
      </c>
      <c r="P1412" s="114">
        <f>IFERROR(IF('FA Addition'!$N1412="WDV",1-('FA Addition'!$M1412/'FA Addition'!$L1412)^(1/'FA Addition'!$O1412),1/'FA Addition'!$O1412),0)</f>
        <v>0.2</v>
      </c>
      <c r="Q1412" s="122">
        <f>'FA Addition'!$P1412*'FA Addition'!$O1412</f>
        <v>1</v>
      </c>
      <c r="R1412" s="122"/>
      <c r="S1412" s="116">
        <f>IF(AND(DATE(20&amp;LEFT(FAAddition[[#This Row],[FY]],2),4,1)&lt;$L$1+1,DATE(20&amp;LEFT(FAAddition[[#This Row],[FY]],2),4,1)&gt;$P$1-1),'FA Addition'!$J1412,0)</f>
        <v>0</v>
      </c>
      <c r="U1412" s="117">
        <f>S1412*'FA Addition'!$L1412/'FA Addition'!$J1412</f>
        <v>0</v>
      </c>
      <c r="W1412" s="116">
        <f>SUMIFS('FA Write off'!D:D,'FA Write off'!A:A,'FA Addition'!$A1412,'FA Write off'!C:C,"&lt;"&amp;'FA Addition'!$P$1)</f>
        <v>0</v>
      </c>
      <c r="Y1412" s="191">
        <f>IFERROR(W1412/'FA Addition'!$J1412*'FA Addition'!$L1412,0)</f>
        <v>0</v>
      </c>
      <c r="AA1412" s="116">
        <f>SUMIFS('FA Write off'!D:D,'FA Write off'!A:A,'FA Addition'!$A1412,'FA Write off'!C:C,"&lt;"&amp;'FA Addition'!$L$1+1,'FA Write off'!C:C,"&gt;"&amp;'FA Addition'!$L$1-365)</f>
        <v>0</v>
      </c>
      <c r="AC1412" s="118">
        <f>IFERROR(AA1412/'FA Addition'!$J1412*'FA Addition'!$L1412,0)</f>
        <v>0</v>
      </c>
      <c r="AE1412" s="117">
        <f>IF(AND('FA Addition'!$D1412&lt;$P$1+1,U1412=0),'FA Addition'!$L1412,0)-Y1412</f>
        <v>0</v>
      </c>
      <c r="AF1412" s="117">
        <f t="shared" ref="AF1412:AF1475" si="110">AE1412+U1412-AC1412</f>
        <v>0</v>
      </c>
      <c r="AG1412" s="117">
        <f>MIN(MAX(+$P$1-'FA Addition'!$D1412,0),365*'FA Addition'!$O1412)</f>
        <v>0</v>
      </c>
      <c r="AH1412" s="117">
        <f>MIN(MAX($L$1-'FA Addition'!$D1412+1,0),365*'FA Addition'!$O1412)</f>
        <v>0</v>
      </c>
      <c r="AI1412" s="117" cm="1">
        <f t="array" ref="AI1412">_xlfn.XLOOKUP(1,('FA Write off'!A:A='FA Addition'!$A1412)*('FA Write off'!D:D=AA1412),'FA Write off'!H:H,0,0)</f>
        <v>0</v>
      </c>
      <c r="AJ1412" s="117">
        <f>IF(AC1412&gt;0,MAX(IF('FA Addition'!$N1412="SLM",($AC1412-'FA Addition'!$M1412)*'FA Addition'!$P1412*AI1412/365,(AC1412-'FA Addition'!$M1412)*(1-(1-'FA Addition'!$P1412)^(AI1412/365))),0),0)</f>
        <v>0</v>
      </c>
      <c r="AL1412" s="117">
        <f>MAX(IF(AG1412&gt;0,IF('FA Addition'!$N1412="SLM",($AE1412-'FA Addition'!$M1412)*'FA Addition'!$P1412*AG1412/365,IFERROR(VDB(AE1412,AE1412*0.05,'FA Addition'!$O1412,0,YEARFRAC('FA Addition'!$C1412,$P$1-1,3),'FA Addition'!$Q1412),FAAddition[[#This Row],[Original Cost (Rs)]]-FAAddition[[#This Row],[Salvage Value]])),0),0)</f>
        <v>0</v>
      </c>
      <c r="AM1412" s="119"/>
      <c r="AN1412" s="117">
        <f>MAX(IF(AH1412&gt;0,IF('FA Addition'!$N1412="SLM",($AF1412-'FA Addition'!$M1412)*'FA Addition'!$P1412*AH1412/365,IFERROR(VDB(AF1412,AF1412*0.05,'FA Addition'!$O1412,0,YEARFRAC('FA Addition'!$C1412,$L$1,3),'FA Addition'!$Q1412),FAAddition[[#This Row],[Original Cost (Rs)]]-FAAddition[[#This Row],[Salvage Value]])),0),0)</f>
        <v>0</v>
      </c>
      <c r="AO1412" s="117">
        <f t="shared" si="108"/>
        <v>0</v>
      </c>
      <c r="AQ1412" s="117">
        <f t="shared" ref="AQ1412:AQ1475" si="111">AE1412-AL1412</f>
        <v>0</v>
      </c>
      <c r="AR1412" s="120">
        <f t="shared" ref="AR1412:AR1475" si="112">AF1412-AN1412</f>
        <v>0</v>
      </c>
      <c r="AS1412" s="121"/>
    </row>
    <row r="1413" spans="1:45" ht="13.5" x14ac:dyDescent="0.4">
      <c r="A1413" s="12">
        <f t="shared" si="109"/>
        <v>1410</v>
      </c>
      <c r="B1413" s="64" t="s">
        <v>10</v>
      </c>
      <c r="C1413" s="54">
        <v>45905</v>
      </c>
      <c r="D1413" s="54">
        <v>45925</v>
      </c>
      <c r="E1413" s="46" t="s">
        <v>32</v>
      </c>
      <c r="F1413" s="51" t="s">
        <v>33</v>
      </c>
      <c r="G1413" s="51" t="s">
        <v>34</v>
      </c>
      <c r="H1413" s="51" t="s">
        <v>32</v>
      </c>
      <c r="I1413" s="55" t="s">
        <v>106</v>
      </c>
      <c r="J1413" s="56">
        <v>2000</v>
      </c>
      <c r="K1413" s="51" t="s">
        <v>295</v>
      </c>
      <c r="L1413" s="58">
        <v>2998000</v>
      </c>
      <c r="M1413" s="50">
        <f>ROUND('FA Addition'!$L1413*5%,0.1)</f>
        <v>149900</v>
      </c>
      <c r="N1413" s="113" t="str">
        <f>_xlfn.XLOOKUP(_xlfn.CONCAT(E1413,B1413),'Year Wise Master Dep Approach'!F:F,'Year Wise Master Dep Approach'!D:D)</f>
        <v>SLM</v>
      </c>
      <c r="O1413" s="113">
        <f>_xlfn.XLOOKUP(_xlfn.CONCAT(E1413,B1413),'Year Wise Master Dep Approach'!F:F,'Year Wise Master Dep Approach'!E:E)</f>
        <v>5</v>
      </c>
      <c r="P1413" s="114">
        <f>IFERROR(IF('FA Addition'!$N1413="WDV",1-('FA Addition'!$M1413/'FA Addition'!$L1413)^(1/'FA Addition'!$O1413),1/'FA Addition'!$O1413),0)</f>
        <v>0.2</v>
      </c>
      <c r="Q1413" s="122">
        <f>'FA Addition'!$P1413*'FA Addition'!$O1413</f>
        <v>1</v>
      </c>
      <c r="R1413" s="122"/>
      <c r="S1413" s="116">
        <f>IF(AND(DATE(20&amp;LEFT(FAAddition[[#This Row],[FY]],2),4,1)&lt;$L$1+1,DATE(20&amp;LEFT(FAAddition[[#This Row],[FY]],2),4,1)&gt;$P$1-1),'FA Addition'!$J1413,0)</f>
        <v>0</v>
      </c>
      <c r="U1413" s="117">
        <f>S1413*'FA Addition'!$L1413/'FA Addition'!$J1413</f>
        <v>0</v>
      </c>
      <c r="W1413" s="116">
        <f>SUMIFS('FA Write off'!D:D,'FA Write off'!A:A,'FA Addition'!$A1413,'FA Write off'!C:C,"&lt;"&amp;'FA Addition'!$P$1)</f>
        <v>0</v>
      </c>
      <c r="Y1413" s="191">
        <f>IFERROR(W1413/'FA Addition'!$J1413*'FA Addition'!$L1413,0)</f>
        <v>0</v>
      </c>
      <c r="AA1413" s="116">
        <f>SUMIFS('FA Write off'!D:D,'FA Write off'!A:A,'FA Addition'!$A1413,'FA Write off'!C:C,"&lt;"&amp;'FA Addition'!$L$1+1,'FA Write off'!C:C,"&gt;"&amp;'FA Addition'!$L$1-365)</f>
        <v>0</v>
      </c>
      <c r="AC1413" s="118">
        <f>IFERROR(AA1413/'FA Addition'!$J1413*'FA Addition'!$L1413,0)</f>
        <v>0</v>
      </c>
      <c r="AE1413" s="117">
        <f>IF(AND('FA Addition'!$D1413&lt;$P$1+1,U1413=0),'FA Addition'!$L1413,0)-Y1413</f>
        <v>0</v>
      </c>
      <c r="AF1413" s="117">
        <f t="shared" si="110"/>
        <v>0</v>
      </c>
      <c r="AG1413" s="117">
        <f>MIN(MAX(+$P$1-'FA Addition'!$D1413,0),365*'FA Addition'!$O1413)</f>
        <v>0</v>
      </c>
      <c r="AH1413" s="117">
        <f>MIN(MAX($L$1-'FA Addition'!$D1413+1,0),365*'FA Addition'!$O1413)</f>
        <v>0</v>
      </c>
      <c r="AI1413" s="117" cm="1">
        <f t="array" ref="AI1413">_xlfn.XLOOKUP(1,('FA Write off'!A:A='FA Addition'!$A1413)*('FA Write off'!D:D=AA1413),'FA Write off'!H:H,0,0)</f>
        <v>0</v>
      </c>
      <c r="AJ1413" s="117">
        <f>IF(AC1413&gt;0,MAX(IF('FA Addition'!$N1413="SLM",($AC1413-'FA Addition'!$M1413)*'FA Addition'!$P1413*AI1413/365,(AC1413-'FA Addition'!$M1413)*(1-(1-'FA Addition'!$P1413)^(AI1413/365))),0),0)</f>
        <v>0</v>
      </c>
      <c r="AL1413" s="117">
        <f>MAX(IF(AG1413&gt;0,IF('FA Addition'!$N1413="SLM",($AE1413-'FA Addition'!$M1413)*'FA Addition'!$P1413*AG1413/365,IFERROR(VDB(AE1413,AE1413*0.05,'FA Addition'!$O1413,0,YEARFRAC('FA Addition'!$C1413,$P$1-1,3),'FA Addition'!$Q1413),FAAddition[[#This Row],[Original Cost (Rs)]]-FAAddition[[#This Row],[Salvage Value]])),0),0)</f>
        <v>0</v>
      </c>
      <c r="AM1413" s="119"/>
      <c r="AN1413" s="117">
        <f>MAX(IF(AH1413&gt;0,IF('FA Addition'!$N1413="SLM",($AF1413-'FA Addition'!$M1413)*'FA Addition'!$P1413*AH1413/365,IFERROR(VDB(AF1413,AF1413*0.05,'FA Addition'!$O1413,0,YEARFRAC('FA Addition'!$C1413,$L$1,3),'FA Addition'!$Q1413),FAAddition[[#This Row],[Original Cost (Rs)]]-FAAddition[[#This Row],[Salvage Value]])),0),0)</f>
        <v>0</v>
      </c>
      <c r="AO1413" s="117">
        <f t="shared" ref="AO1413:AO1476" si="113">AN1413-AL1413+AJ1413</f>
        <v>0</v>
      </c>
      <c r="AQ1413" s="117">
        <f t="shared" si="111"/>
        <v>0</v>
      </c>
      <c r="AR1413" s="120">
        <f t="shared" si="112"/>
        <v>0</v>
      </c>
      <c r="AS1413" s="121"/>
    </row>
    <row r="1414" spans="1:45" ht="13.5" x14ac:dyDescent="0.4">
      <c r="A1414" s="12">
        <f t="shared" ref="A1414:A1477" si="114">A1413+1</f>
        <v>1411</v>
      </c>
      <c r="B1414" s="64" t="s">
        <v>10</v>
      </c>
      <c r="C1414" s="54">
        <v>45910</v>
      </c>
      <c r="D1414" s="54">
        <v>45925</v>
      </c>
      <c r="E1414" s="46" t="s">
        <v>32</v>
      </c>
      <c r="F1414" s="51" t="s">
        <v>33</v>
      </c>
      <c r="G1414" s="51" t="s">
        <v>34</v>
      </c>
      <c r="H1414" s="51" t="s">
        <v>32</v>
      </c>
      <c r="I1414" s="55" t="s">
        <v>107</v>
      </c>
      <c r="J1414" s="56">
        <v>1500</v>
      </c>
      <c r="K1414" s="51" t="s">
        <v>295</v>
      </c>
      <c r="L1414" s="58">
        <v>2248500</v>
      </c>
      <c r="M1414" s="50">
        <f>ROUND('FA Addition'!$L1414*5%,0.1)</f>
        <v>112425</v>
      </c>
      <c r="N1414" s="113" t="str">
        <f>_xlfn.XLOOKUP(_xlfn.CONCAT(E1414,B1414),'Year Wise Master Dep Approach'!F:F,'Year Wise Master Dep Approach'!D:D)</f>
        <v>SLM</v>
      </c>
      <c r="O1414" s="113">
        <f>_xlfn.XLOOKUP(_xlfn.CONCAT(E1414,B1414),'Year Wise Master Dep Approach'!F:F,'Year Wise Master Dep Approach'!E:E)</f>
        <v>5</v>
      </c>
      <c r="P1414" s="114">
        <f>IFERROR(IF('FA Addition'!$N1414="WDV",1-('FA Addition'!$M1414/'FA Addition'!$L1414)^(1/'FA Addition'!$O1414),1/'FA Addition'!$O1414),0)</f>
        <v>0.2</v>
      </c>
      <c r="Q1414" s="122">
        <f>'FA Addition'!$P1414*'FA Addition'!$O1414</f>
        <v>1</v>
      </c>
      <c r="R1414" s="122"/>
      <c r="S1414" s="116">
        <f>IF(AND(DATE(20&amp;LEFT(FAAddition[[#This Row],[FY]],2),4,1)&lt;$L$1+1,DATE(20&amp;LEFT(FAAddition[[#This Row],[FY]],2),4,1)&gt;$P$1-1),'FA Addition'!$J1414,0)</f>
        <v>0</v>
      </c>
      <c r="U1414" s="117">
        <f>S1414*'FA Addition'!$L1414/'FA Addition'!$J1414</f>
        <v>0</v>
      </c>
      <c r="W1414" s="116">
        <f>SUMIFS('FA Write off'!D:D,'FA Write off'!A:A,'FA Addition'!$A1414,'FA Write off'!C:C,"&lt;"&amp;'FA Addition'!$P$1)</f>
        <v>0</v>
      </c>
      <c r="Y1414" s="191">
        <f>IFERROR(W1414/'FA Addition'!$J1414*'FA Addition'!$L1414,0)</f>
        <v>0</v>
      </c>
      <c r="AA1414" s="116">
        <f>SUMIFS('FA Write off'!D:D,'FA Write off'!A:A,'FA Addition'!$A1414,'FA Write off'!C:C,"&lt;"&amp;'FA Addition'!$L$1+1,'FA Write off'!C:C,"&gt;"&amp;'FA Addition'!$L$1-365)</f>
        <v>0</v>
      </c>
      <c r="AC1414" s="118">
        <f>IFERROR(AA1414/'FA Addition'!$J1414*'FA Addition'!$L1414,0)</f>
        <v>0</v>
      </c>
      <c r="AE1414" s="117">
        <f>IF(AND('FA Addition'!$D1414&lt;$P$1+1,U1414=0),'FA Addition'!$L1414,0)-Y1414</f>
        <v>0</v>
      </c>
      <c r="AF1414" s="117">
        <f t="shared" si="110"/>
        <v>0</v>
      </c>
      <c r="AG1414" s="117">
        <f>MIN(MAX(+$P$1-'FA Addition'!$D1414,0),365*'FA Addition'!$O1414)</f>
        <v>0</v>
      </c>
      <c r="AH1414" s="117">
        <f>MIN(MAX($L$1-'FA Addition'!$D1414+1,0),365*'FA Addition'!$O1414)</f>
        <v>0</v>
      </c>
      <c r="AI1414" s="117" cm="1">
        <f t="array" ref="AI1414">_xlfn.XLOOKUP(1,('FA Write off'!A:A='FA Addition'!$A1414)*('FA Write off'!D:D=AA1414),'FA Write off'!H:H,0,0)</f>
        <v>0</v>
      </c>
      <c r="AJ1414" s="117">
        <f>IF(AC1414&gt;0,MAX(IF('FA Addition'!$N1414="SLM",($AC1414-'FA Addition'!$M1414)*'FA Addition'!$P1414*AI1414/365,(AC1414-'FA Addition'!$M1414)*(1-(1-'FA Addition'!$P1414)^(AI1414/365))),0),0)</f>
        <v>0</v>
      </c>
      <c r="AL1414" s="117">
        <f>MAX(IF(AG1414&gt;0,IF('FA Addition'!$N1414="SLM",($AE1414-'FA Addition'!$M1414)*'FA Addition'!$P1414*AG1414/365,IFERROR(VDB(AE1414,AE1414*0.05,'FA Addition'!$O1414,0,YEARFRAC('FA Addition'!$C1414,$P$1-1,3),'FA Addition'!$Q1414),FAAddition[[#This Row],[Original Cost (Rs)]]-FAAddition[[#This Row],[Salvage Value]])),0),0)</f>
        <v>0</v>
      </c>
      <c r="AM1414" s="119"/>
      <c r="AN1414" s="117">
        <f>MAX(IF(AH1414&gt;0,IF('FA Addition'!$N1414="SLM",($AF1414-'FA Addition'!$M1414)*'FA Addition'!$P1414*AH1414/365,IFERROR(VDB(AF1414,AF1414*0.05,'FA Addition'!$O1414,0,YEARFRAC('FA Addition'!$C1414,$L$1,3),'FA Addition'!$Q1414),FAAddition[[#This Row],[Original Cost (Rs)]]-FAAddition[[#This Row],[Salvage Value]])),0),0)</f>
        <v>0</v>
      </c>
      <c r="AO1414" s="117">
        <f t="shared" si="113"/>
        <v>0</v>
      </c>
      <c r="AQ1414" s="117">
        <f t="shared" si="111"/>
        <v>0</v>
      </c>
      <c r="AR1414" s="120">
        <f t="shared" si="112"/>
        <v>0</v>
      </c>
      <c r="AS1414" s="121"/>
    </row>
    <row r="1415" spans="1:45" ht="13.5" x14ac:dyDescent="0.4">
      <c r="A1415" s="12">
        <f t="shared" si="114"/>
        <v>1412</v>
      </c>
      <c r="B1415" s="64" t="s">
        <v>10</v>
      </c>
      <c r="C1415" s="54">
        <v>45918</v>
      </c>
      <c r="D1415" s="54">
        <v>45925</v>
      </c>
      <c r="E1415" s="46" t="s">
        <v>32</v>
      </c>
      <c r="F1415" s="51" t="s">
        <v>33</v>
      </c>
      <c r="G1415" s="51" t="s">
        <v>36</v>
      </c>
      <c r="H1415" s="51" t="s">
        <v>32</v>
      </c>
      <c r="I1415" s="55" t="s">
        <v>108</v>
      </c>
      <c r="J1415" s="56">
        <v>1000</v>
      </c>
      <c r="K1415" s="51" t="s">
        <v>296</v>
      </c>
      <c r="L1415" s="58">
        <v>1500000</v>
      </c>
      <c r="M1415" s="50">
        <f>ROUND('FA Addition'!$L1415*5%,0.1)</f>
        <v>75000</v>
      </c>
      <c r="N1415" s="113" t="str">
        <f>_xlfn.XLOOKUP(_xlfn.CONCAT(E1415,B1415),'Year Wise Master Dep Approach'!F:F,'Year Wise Master Dep Approach'!D:D)</f>
        <v>SLM</v>
      </c>
      <c r="O1415" s="113">
        <f>_xlfn.XLOOKUP(_xlfn.CONCAT(E1415,B1415),'Year Wise Master Dep Approach'!F:F,'Year Wise Master Dep Approach'!E:E)</f>
        <v>5</v>
      </c>
      <c r="P1415" s="114">
        <f>IFERROR(IF('FA Addition'!$N1415="WDV",1-('FA Addition'!$M1415/'FA Addition'!$L1415)^(1/'FA Addition'!$O1415),1/'FA Addition'!$O1415),0)</f>
        <v>0.2</v>
      </c>
      <c r="Q1415" s="122">
        <f>'FA Addition'!$P1415*'FA Addition'!$O1415</f>
        <v>1</v>
      </c>
      <c r="R1415" s="122"/>
      <c r="S1415" s="116">
        <f>IF(AND(DATE(20&amp;LEFT(FAAddition[[#This Row],[FY]],2),4,1)&lt;$L$1+1,DATE(20&amp;LEFT(FAAddition[[#This Row],[FY]],2),4,1)&gt;$P$1-1),'FA Addition'!$J1415,0)</f>
        <v>0</v>
      </c>
      <c r="U1415" s="117">
        <f>S1415*'FA Addition'!$L1415/'FA Addition'!$J1415</f>
        <v>0</v>
      </c>
      <c r="W1415" s="116">
        <f>SUMIFS('FA Write off'!D:D,'FA Write off'!A:A,'FA Addition'!$A1415,'FA Write off'!C:C,"&lt;"&amp;'FA Addition'!$P$1)</f>
        <v>0</v>
      </c>
      <c r="Y1415" s="191">
        <f>IFERROR(W1415/'FA Addition'!$J1415*'FA Addition'!$L1415,0)</f>
        <v>0</v>
      </c>
      <c r="AA1415" s="116">
        <f>SUMIFS('FA Write off'!D:D,'FA Write off'!A:A,'FA Addition'!$A1415,'FA Write off'!C:C,"&lt;"&amp;'FA Addition'!$L$1+1,'FA Write off'!C:C,"&gt;"&amp;'FA Addition'!$L$1-365)</f>
        <v>0</v>
      </c>
      <c r="AC1415" s="118">
        <f>IFERROR(AA1415/'FA Addition'!$J1415*'FA Addition'!$L1415,0)</f>
        <v>0</v>
      </c>
      <c r="AE1415" s="117">
        <f>IF(AND('FA Addition'!$D1415&lt;$P$1+1,U1415=0),'FA Addition'!$L1415,0)-Y1415</f>
        <v>0</v>
      </c>
      <c r="AF1415" s="117">
        <f t="shared" si="110"/>
        <v>0</v>
      </c>
      <c r="AG1415" s="117">
        <f>MIN(MAX(+$P$1-'FA Addition'!$D1415,0),365*'FA Addition'!$O1415)</f>
        <v>0</v>
      </c>
      <c r="AH1415" s="117">
        <f>MIN(MAX($L$1-'FA Addition'!$D1415+1,0),365*'FA Addition'!$O1415)</f>
        <v>0</v>
      </c>
      <c r="AI1415" s="117" cm="1">
        <f t="array" ref="AI1415">_xlfn.XLOOKUP(1,('FA Write off'!A:A='FA Addition'!$A1415)*('FA Write off'!D:D=AA1415),'FA Write off'!H:H,0,0)</f>
        <v>0</v>
      </c>
      <c r="AJ1415" s="117">
        <f>IF(AC1415&gt;0,MAX(IF('FA Addition'!$N1415="SLM",($AC1415-'FA Addition'!$M1415)*'FA Addition'!$P1415*AI1415/365,(AC1415-'FA Addition'!$M1415)*(1-(1-'FA Addition'!$P1415)^(AI1415/365))),0),0)</f>
        <v>0</v>
      </c>
      <c r="AL1415" s="117">
        <f>MAX(IF(AG1415&gt;0,IF('FA Addition'!$N1415="SLM",($AE1415-'FA Addition'!$M1415)*'FA Addition'!$P1415*AG1415/365,IFERROR(VDB(AE1415,AE1415*0.05,'FA Addition'!$O1415,0,YEARFRAC('FA Addition'!$C1415,$P$1-1,3),'FA Addition'!$Q1415),FAAddition[[#This Row],[Original Cost (Rs)]]-FAAddition[[#This Row],[Salvage Value]])),0),0)</f>
        <v>0</v>
      </c>
      <c r="AM1415" s="119"/>
      <c r="AN1415" s="117">
        <f>MAX(IF(AH1415&gt;0,IF('FA Addition'!$N1415="SLM",($AF1415-'FA Addition'!$M1415)*'FA Addition'!$P1415*AH1415/365,IFERROR(VDB(AF1415,AF1415*0.05,'FA Addition'!$O1415,0,YEARFRAC('FA Addition'!$C1415,$L$1,3),'FA Addition'!$Q1415),FAAddition[[#This Row],[Original Cost (Rs)]]-FAAddition[[#This Row],[Salvage Value]])),0),0)</f>
        <v>0</v>
      </c>
      <c r="AO1415" s="117">
        <f t="shared" si="113"/>
        <v>0</v>
      </c>
      <c r="AQ1415" s="117">
        <f t="shared" si="111"/>
        <v>0</v>
      </c>
      <c r="AR1415" s="120">
        <f t="shared" si="112"/>
        <v>0</v>
      </c>
      <c r="AS1415" s="121"/>
    </row>
    <row r="1416" spans="1:45" ht="13.5" x14ac:dyDescent="0.4">
      <c r="A1416" s="12">
        <f t="shared" si="114"/>
        <v>1413</v>
      </c>
      <c r="B1416" s="64" t="s">
        <v>10</v>
      </c>
      <c r="C1416" s="54">
        <v>45912</v>
      </c>
      <c r="D1416" s="54">
        <v>45925</v>
      </c>
      <c r="E1416" s="46" t="s">
        <v>32</v>
      </c>
      <c r="F1416" s="51" t="s">
        <v>33</v>
      </c>
      <c r="G1416" s="51" t="s">
        <v>34</v>
      </c>
      <c r="H1416" s="51" t="s">
        <v>32</v>
      </c>
      <c r="I1416" s="55" t="s">
        <v>109</v>
      </c>
      <c r="J1416" s="56">
        <v>1000</v>
      </c>
      <c r="K1416" s="51" t="s">
        <v>295</v>
      </c>
      <c r="L1416" s="58">
        <v>1499000</v>
      </c>
      <c r="M1416" s="50">
        <f>ROUND('FA Addition'!$L1416*5%,0.1)</f>
        <v>74950</v>
      </c>
      <c r="N1416" s="113" t="str">
        <f>_xlfn.XLOOKUP(_xlfn.CONCAT(E1416,B1416),'Year Wise Master Dep Approach'!F:F,'Year Wise Master Dep Approach'!D:D)</f>
        <v>SLM</v>
      </c>
      <c r="O1416" s="113">
        <f>_xlfn.XLOOKUP(_xlfn.CONCAT(E1416,B1416),'Year Wise Master Dep Approach'!F:F,'Year Wise Master Dep Approach'!E:E)</f>
        <v>5</v>
      </c>
      <c r="P1416" s="114">
        <f>IFERROR(IF('FA Addition'!$N1416="WDV",1-('FA Addition'!$M1416/'FA Addition'!$L1416)^(1/'FA Addition'!$O1416),1/'FA Addition'!$O1416),0)</f>
        <v>0.2</v>
      </c>
      <c r="Q1416" s="122">
        <f>'FA Addition'!$P1416*'FA Addition'!$O1416</f>
        <v>1</v>
      </c>
      <c r="R1416" s="122"/>
      <c r="S1416" s="116">
        <f>IF(AND(DATE(20&amp;LEFT(FAAddition[[#This Row],[FY]],2),4,1)&lt;$L$1+1,DATE(20&amp;LEFT(FAAddition[[#This Row],[FY]],2),4,1)&gt;$P$1-1),'FA Addition'!$J1416,0)</f>
        <v>0</v>
      </c>
      <c r="U1416" s="117">
        <f>S1416*'FA Addition'!$L1416/'FA Addition'!$J1416</f>
        <v>0</v>
      </c>
      <c r="W1416" s="116">
        <f>SUMIFS('FA Write off'!D:D,'FA Write off'!A:A,'FA Addition'!$A1416,'FA Write off'!C:C,"&lt;"&amp;'FA Addition'!$P$1)</f>
        <v>0</v>
      </c>
      <c r="Y1416" s="191">
        <f>IFERROR(W1416/'FA Addition'!$J1416*'FA Addition'!$L1416,0)</f>
        <v>0</v>
      </c>
      <c r="AA1416" s="116">
        <f>SUMIFS('FA Write off'!D:D,'FA Write off'!A:A,'FA Addition'!$A1416,'FA Write off'!C:C,"&lt;"&amp;'FA Addition'!$L$1+1,'FA Write off'!C:C,"&gt;"&amp;'FA Addition'!$L$1-365)</f>
        <v>0</v>
      </c>
      <c r="AC1416" s="118">
        <f>IFERROR(AA1416/'FA Addition'!$J1416*'FA Addition'!$L1416,0)</f>
        <v>0</v>
      </c>
      <c r="AE1416" s="117">
        <f>IF(AND('FA Addition'!$D1416&lt;$P$1+1,U1416=0),'FA Addition'!$L1416,0)-Y1416</f>
        <v>0</v>
      </c>
      <c r="AF1416" s="117">
        <f t="shared" si="110"/>
        <v>0</v>
      </c>
      <c r="AG1416" s="117">
        <f>MIN(MAX(+$P$1-'FA Addition'!$D1416,0),365*'FA Addition'!$O1416)</f>
        <v>0</v>
      </c>
      <c r="AH1416" s="117">
        <f>MIN(MAX($L$1-'FA Addition'!$D1416+1,0),365*'FA Addition'!$O1416)</f>
        <v>0</v>
      </c>
      <c r="AI1416" s="117" cm="1">
        <f t="array" ref="AI1416">_xlfn.XLOOKUP(1,('FA Write off'!A:A='FA Addition'!$A1416)*('FA Write off'!D:D=AA1416),'FA Write off'!H:H,0,0)</f>
        <v>0</v>
      </c>
      <c r="AJ1416" s="117">
        <f>IF(AC1416&gt;0,MAX(IF('FA Addition'!$N1416="SLM",($AC1416-'FA Addition'!$M1416)*'FA Addition'!$P1416*AI1416/365,(AC1416-'FA Addition'!$M1416)*(1-(1-'FA Addition'!$P1416)^(AI1416/365))),0),0)</f>
        <v>0</v>
      </c>
      <c r="AL1416" s="117">
        <f>MAX(IF(AG1416&gt;0,IF('FA Addition'!$N1416="SLM",($AE1416-'FA Addition'!$M1416)*'FA Addition'!$P1416*AG1416/365,IFERROR(VDB(AE1416,AE1416*0.05,'FA Addition'!$O1416,0,YEARFRAC('FA Addition'!$C1416,$P$1-1,3),'FA Addition'!$Q1416),FAAddition[[#This Row],[Original Cost (Rs)]]-FAAddition[[#This Row],[Salvage Value]])),0),0)</f>
        <v>0</v>
      </c>
      <c r="AM1416" s="119"/>
      <c r="AN1416" s="117">
        <f>MAX(IF(AH1416&gt;0,IF('FA Addition'!$N1416="SLM",($AF1416-'FA Addition'!$M1416)*'FA Addition'!$P1416*AH1416/365,IFERROR(VDB(AF1416,AF1416*0.05,'FA Addition'!$O1416,0,YEARFRAC('FA Addition'!$C1416,$L$1,3),'FA Addition'!$Q1416),FAAddition[[#This Row],[Original Cost (Rs)]]-FAAddition[[#This Row],[Salvage Value]])),0),0)</f>
        <v>0</v>
      </c>
      <c r="AO1416" s="117">
        <f t="shared" si="113"/>
        <v>0</v>
      </c>
      <c r="AQ1416" s="117">
        <f t="shared" si="111"/>
        <v>0</v>
      </c>
      <c r="AR1416" s="120">
        <f t="shared" si="112"/>
        <v>0</v>
      </c>
      <c r="AS1416" s="121"/>
    </row>
    <row r="1417" spans="1:45" ht="13.5" x14ac:dyDescent="0.4">
      <c r="A1417" s="12">
        <f t="shared" si="114"/>
        <v>1414</v>
      </c>
      <c r="B1417" s="64" t="s">
        <v>10</v>
      </c>
      <c r="C1417" s="54">
        <v>45916</v>
      </c>
      <c r="D1417" s="54">
        <v>45929</v>
      </c>
      <c r="E1417" s="46" t="s">
        <v>32</v>
      </c>
      <c r="F1417" s="51" t="s">
        <v>33</v>
      </c>
      <c r="G1417" s="51" t="s">
        <v>34</v>
      </c>
      <c r="H1417" s="51" t="s">
        <v>32</v>
      </c>
      <c r="I1417" s="55" t="s">
        <v>110</v>
      </c>
      <c r="J1417" s="56">
        <v>1000</v>
      </c>
      <c r="K1417" s="51" t="s">
        <v>295</v>
      </c>
      <c r="L1417" s="58">
        <v>1499000</v>
      </c>
      <c r="M1417" s="50">
        <f>ROUND('FA Addition'!$L1417*5%,0.1)</f>
        <v>74950</v>
      </c>
      <c r="N1417" s="113" t="str">
        <f>_xlfn.XLOOKUP(_xlfn.CONCAT(E1417,B1417),'Year Wise Master Dep Approach'!F:F,'Year Wise Master Dep Approach'!D:D)</f>
        <v>SLM</v>
      </c>
      <c r="O1417" s="113">
        <f>_xlfn.XLOOKUP(_xlfn.CONCAT(E1417,B1417),'Year Wise Master Dep Approach'!F:F,'Year Wise Master Dep Approach'!E:E)</f>
        <v>5</v>
      </c>
      <c r="P1417" s="114">
        <f>IFERROR(IF('FA Addition'!$N1417="WDV",1-('FA Addition'!$M1417/'FA Addition'!$L1417)^(1/'FA Addition'!$O1417),1/'FA Addition'!$O1417),0)</f>
        <v>0.2</v>
      </c>
      <c r="Q1417" s="122">
        <f>'FA Addition'!$P1417*'FA Addition'!$O1417</f>
        <v>1</v>
      </c>
      <c r="R1417" s="122"/>
      <c r="S1417" s="116">
        <f>IF(AND(DATE(20&amp;LEFT(FAAddition[[#This Row],[FY]],2),4,1)&lt;$L$1+1,DATE(20&amp;LEFT(FAAddition[[#This Row],[FY]],2),4,1)&gt;$P$1-1),'FA Addition'!$J1417,0)</f>
        <v>0</v>
      </c>
      <c r="U1417" s="117">
        <f>S1417*'FA Addition'!$L1417/'FA Addition'!$J1417</f>
        <v>0</v>
      </c>
      <c r="W1417" s="116">
        <f>SUMIFS('FA Write off'!D:D,'FA Write off'!A:A,'FA Addition'!$A1417,'FA Write off'!C:C,"&lt;"&amp;'FA Addition'!$P$1)</f>
        <v>0</v>
      </c>
      <c r="Y1417" s="191">
        <f>IFERROR(W1417/'FA Addition'!$J1417*'FA Addition'!$L1417,0)</f>
        <v>0</v>
      </c>
      <c r="AA1417" s="116">
        <f>SUMIFS('FA Write off'!D:D,'FA Write off'!A:A,'FA Addition'!$A1417,'FA Write off'!C:C,"&lt;"&amp;'FA Addition'!$L$1+1,'FA Write off'!C:C,"&gt;"&amp;'FA Addition'!$L$1-365)</f>
        <v>0</v>
      </c>
      <c r="AC1417" s="118">
        <f>IFERROR(AA1417/'FA Addition'!$J1417*'FA Addition'!$L1417,0)</f>
        <v>0</v>
      </c>
      <c r="AE1417" s="117">
        <f>IF(AND('FA Addition'!$D1417&lt;$P$1+1,U1417=0),'FA Addition'!$L1417,0)-Y1417</f>
        <v>0</v>
      </c>
      <c r="AF1417" s="117">
        <f t="shared" si="110"/>
        <v>0</v>
      </c>
      <c r="AG1417" s="117">
        <f>MIN(MAX(+$P$1-'FA Addition'!$D1417,0),365*'FA Addition'!$O1417)</f>
        <v>0</v>
      </c>
      <c r="AH1417" s="117">
        <f>MIN(MAX($L$1-'FA Addition'!$D1417+1,0),365*'FA Addition'!$O1417)</f>
        <v>0</v>
      </c>
      <c r="AI1417" s="117" cm="1">
        <f t="array" ref="AI1417">_xlfn.XLOOKUP(1,('FA Write off'!A:A='FA Addition'!$A1417)*('FA Write off'!D:D=AA1417),'FA Write off'!H:H,0,0)</f>
        <v>0</v>
      </c>
      <c r="AJ1417" s="117">
        <f>IF(AC1417&gt;0,MAX(IF('FA Addition'!$N1417="SLM",($AC1417-'FA Addition'!$M1417)*'FA Addition'!$P1417*AI1417/365,(AC1417-'FA Addition'!$M1417)*(1-(1-'FA Addition'!$P1417)^(AI1417/365))),0),0)</f>
        <v>0</v>
      </c>
      <c r="AL1417" s="117">
        <f>MAX(IF(AG1417&gt;0,IF('FA Addition'!$N1417="SLM",($AE1417-'FA Addition'!$M1417)*'FA Addition'!$P1417*AG1417/365,IFERROR(VDB(AE1417,AE1417*0.05,'FA Addition'!$O1417,0,YEARFRAC('FA Addition'!$C1417,$P$1-1,3),'FA Addition'!$Q1417),FAAddition[[#This Row],[Original Cost (Rs)]]-FAAddition[[#This Row],[Salvage Value]])),0),0)</f>
        <v>0</v>
      </c>
      <c r="AM1417" s="119"/>
      <c r="AN1417" s="117">
        <f>MAX(IF(AH1417&gt;0,IF('FA Addition'!$N1417="SLM",($AF1417-'FA Addition'!$M1417)*'FA Addition'!$P1417*AH1417/365,IFERROR(VDB(AF1417,AF1417*0.05,'FA Addition'!$O1417,0,YEARFRAC('FA Addition'!$C1417,$L$1,3),'FA Addition'!$Q1417),FAAddition[[#This Row],[Original Cost (Rs)]]-FAAddition[[#This Row],[Salvage Value]])),0),0)</f>
        <v>0</v>
      </c>
      <c r="AO1417" s="117">
        <f t="shared" si="113"/>
        <v>0</v>
      </c>
      <c r="AQ1417" s="117">
        <f t="shared" si="111"/>
        <v>0</v>
      </c>
      <c r="AR1417" s="120">
        <f t="shared" si="112"/>
        <v>0</v>
      </c>
      <c r="AS1417" s="121"/>
    </row>
    <row r="1418" spans="1:45" ht="13.5" x14ac:dyDescent="0.4">
      <c r="A1418" s="12">
        <f t="shared" si="114"/>
        <v>1415</v>
      </c>
      <c r="B1418" s="64" t="s">
        <v>10</v>
      </c>
      <c r="C1418" s="54">
        <v>45918</v>
      </c>
      <c r="D1418" s="54">
        <v>45929</v>
      </c>
      <c r="E1418" s="46" t="s">
        <v>32</v>
      </c>
      <c r="F1418" s="51" t="s">
        <v>33</v>
      </c>
      <c r="G1418" s="51" t="s">
        <v>36</v>
      </c>
      <c r="H1418" s="51" t="s">
        <v>32</v>
      </c>
      <c r="I1418" s="55" t="s">
        <v>111</v>
      </c>
      <c r="J1418" s="56">
        <v>500</v>
      </c>
      <c r="K1418" s="51" t="s">
        <v>296</v>
      </c>
      <c r="L1418" s="58">
        <v>750000</v>
      </c>
      <c r="M1418" s="50">
        <f>ROUND('FA Addition'!$L1418*5%,0.1)</f>
        <v>37500</v>
      </c>
      <c r="N1418" s="113" t="str">
        <f>_xlfn.XLOOKUP(_xlfn.CONCAT(E1418,B1418),'Year Wise Master Dep Approach'!F:F,'Year Wise Master Dep Approach'!D:D)</f>
        <v>SLM</v>
      </c>
      <c r="O1418" s="113">
        <f>_xlfn.XLOOKUP(_xlfn.CONCAT(E1418,B1418),'Year Wise Master Dep Approach'!F:F,'Year Wise Master Dep Approach'!E:E)</f>
        <v>5</v>
      </c>
      <c r="P1418" s="114">
        <f>IFERROR(IF('FA Addition'!$N1418="WDV",1-('FA Addition'!$M1418/'FA Addition'!$L1418)^(1/'FA Addition'!$O1418),1/'FA Addition'!$O1418),0)</f>
        <v>0.2</v>
      </c>
      <c r="Q1418" s="122">
        <f>'FA Addition'!$P1418*'FA Addition'!$O1418</f>
        <v>1</v>
      </c>
      <c r="R1418" s="122"/>
      <c r="S1418" s="116">
        <f>IF(AND(DATE(20&amp;LEFT(FAAddition[[#This Row],[FY]],2),4,1)&lt;$L$1+1,DATE(20&amp;LEFT(FAAddition[[#This Row],[FY]],2),4,1)&gt;$P$1-1),'FA Addition'!$J1418,0)</f>
        <v>0</v>
      </c>
      <c r="U1418" s="117">
        <f>S1418*'FA Addition'!$L1418/'FA Addition'!$J1418</f>
        <v>0</v>
      </c>
      <c r="W1418" s="116">
        <f>SUMIFS('FA Write off'!D:D,'FA Write off'!A:A,'FA Addition'!$A1418,'FA Write off'!C:C,"&lt;"&amp;'FA Addition'!$P$1)</f>
        <v>0</v>
      </c>
      <c r="Y1418" s="191">
        <f>IFERROR(W1418/'FA Addition'!$J1418*'FA Addition'!$L1418,0)</f>
        <v>0</v>
      </c>
      <c r="AA1418" s="116">
        <f>SUMIFS('FA Write off'!D:D,'FA Write off'!A:A,'FA Addition'!$A1418,'FA Write off'!C:C,"&lt;"&amp;'FA Addition'!$L$1+1,'FA Write off'!C:C,"&gt;"&amp;'FA Addition'!$L$1-365)</f>
        <v>0</v>
      </c>
      <c r="AC1418" s="118">
        <f>IFERROR(AA1418/'FA Addition'!$J1418*'FA Addition'!$L1418,0)</f>
        <v>0</v>
      </c>
      <c r="AE1418" s="117">
        <f>IF(AND('FA Addition'!$D1418&lt;$P$1+1,U1418=0),'FA Addition'!$L1418,0)-Y1418</f>
        <v>0</v>
      </c>
      <c r="AF1418" s="117">
        <f t="shared" si="110"/>
        <v>0</v>
      </c>
      <c r="AG1418" s="117">
        <f>MIN(MAX(+$P$1-'FA Addition'!$D1418,0),365*'FA Addition'!$O1418)</f>
        <v>0</v>
      </c>
      <c r="AH1418" s="117">
        <f>MIN(MAX($L$1-'FA Addition'!$D1418+1,0),365*'FA Addition'!$O1418)</f>
        <v>0</v>
      </c>
      <c r="AI1418" s="117" cm="1">
        <f t="array" ref="AI1418">_xlfn.XLOOKUP(1,('FA Write off'!A:A='FA Addition'!$A1418)*('FA Write off'!D:D=AA1418),'FA Write off'!H:H,0,0)</f>
        <v>0</v>
      </c>
      <c r="AJ1418" s="117">
        <f>IF(AC1418&gt;0,MAX(IF('FA Addition'!$N1418="SLM",($AC1418-'FA Addition'!$M1418)*'FA Addition'!$P1418*AI1418/365,(AC1418-'FA Addition'!$M1418)*(1-(1-'FA Addition'!$P1418)^(AI1418/365))),0),0)</f>
        <v>0</v>
      </c>
      <c r="AL1418" s="117">
        <f>MAX(IF(AG1418&gt;0,IF('FA Addition'!$N1418="SLM",($AE1418-'FA Addition'!$M1418)*'FA Addition'!$P1418*AG1418/365,IFERROR(VDB(AE1418,AE1418*0.05,'FA Addition'!$O1418,0,YEARFRAC('FA Addition'!$C1418,$P$1-1,3),'FA Addition'!$Q1418),FAAddition[[#This Row],[Original Cost (Rs)]]-FAAddition[[#This Row],[Salvage Value]])),0),0)</f>
        <v>0</v>
      </c>
      <c r="AM1418" s="119"/>
      <c r="AN1418" s="117">
        <f>MAX(IF(AH1418&gt;0,IF('FA Addition'!$N1418="SLM",($AF1418-'FA Addition'!$M1418)*'FA Addition'!$P1418*AH1418/365,IFERROR(VDB(AF1418,AF1418*0.05,'FA Addition'!$O1418,0,YEARFRAC('FA Addition'!$C1418,$L$1,3),'FA Addition'!$Q1418),FAAddition[[#This Row],[Original Cost (Rs)]]-FAAddition[[#This Row],[Salvage Value]])),0),0)</f>
        <v>0</v>
      </c>
      <c r="AO1418" s="117">
        <f t="shared" si="113"/>
        <v>0</v>
      </c>
      <c r="AQ1418" s="117">
        <f t="shared" si="111"/>
        <v>0</v>
      </c>
      <c r="AR1418" s="120">
        <f t="shared" si="112"/>
        <v>0</v>
      </c>
      <c r="AS1418" s="121"/>
    </row>
    <row r="1419" spans="1:45" ht="13.5" x14ac:dyDescent="0.4">
      <c r="A1419" s="12">
        <f t="shared" si="114"/>
        <v>1416</v>
      </c>
      <c r="B1419" s="64" t="s">
        <v>10</v>
      </c>
      <c r="C1419" s="54">
        <v>45841</v>
      </c>
      <c r="D1419" s="54">
        <v>45852</v>
      </c>
      <c r="E1419" s="46" t="s">
        <v>749</v>
      </c>
      <c r="F1419" s="51" t="s">
        <v>74</v>
      </c>
      <c r="G1419" s="51" t="s">
        <v>112</v>
      </c>
      <c r="H1419" s="51" t="s">
        <v>113</v>
      </c>
      <c r="I1419" s="55" t="s">
        <v>114</v>
      </c>
      <c r="J1419" s="56">
        <v>2</v>
      </c>
      <c r="K1419" s="51" t="s">
        <v>302</v>
      </c>
      <c r="L1419" s="58">
        <v>470000</v>
      </c>
      <c r="M1419" s="50">
        <f>ROUND('FA Addition'!$L1419*5%,0.1)</f>
        <v>23500</v>
      </c>
      <c r="N1419" s="113" t="str">
        <f>_xlfn.XLOOKUP(_xlfn.CONCAT(E1419,B1419),'Year Wise Master Dep Approach'!F:F,'Year Wise Master Dep Approach'!D:D)</f>
        <v>WDV</v>
      </c>
      <c r="O1419" s="113">
        <f>_xlfn.XLOOKUP(_xlfn.CONCAT(E1419,B1419),'Year Wise Master Dep Approach'!F:F,'Year Wise Master Dep Approach'!E:E)</f>
        <v>5</v>
      </c>
      <c r="P1419" s="114">
        <f>IFERROR(IF('FA Addition'!$N1419="WDV",1-('FA Addition'!$M1419/'FA Addition'!$L1419)^(1/'FA Addition'!$O1419),1/'FA Addition'!$O1419),0)</f>
        <v>0.45071972834694107</v>
      </c>
      <c r="Q1419" s="122">
        <f>'FA Addition'!$P1419*'FA Addition'!$O1419</f>
        <v>2.2535986417347056</v>
      </c>
      <c r="R1419" s="122"/>
      <c r="S1419" s="116">
        <f>IF(AND(DATE(20&amp;LEFT(FAAddition[[#This Row],[FY]],2),4,1)&lt;$L$1+1,DATE(20&amp;LEFT(FAAddition[[#This Row],[FY]],2),4,1)&gt;$P$1-1),'FA Addition'!$J1419,0)</f>
        <v>0</v>
      </c>
      <c r="U1419" s="117">
        <f>S1419*'FA Addition'!$L1419/'FA Addition'!$J1419</f>
        <v>0</v>
      </c>
      <c r="W1419" s="116">
        <f>SUMIFS('FA Write off'!D:D,'FA Write off'!A:A,'FA Addition'!$A1419,'FA Write off'!C:C,"&lt;"&amp;'FA Addition'!$P$1)</f>
        <v>0</v>
      </c>
      <c r="Y1419" s="191">
        <f>IFERROR(W1419/'FA Addition'!$J1419*'FA Addition'!$L1419,0)</f>
        <v>0</v>
      </c>
      <c r="AA1419" s="116">
        <f>SUMIFS('FA Write off'!D:D,'FA Write off'!A:A,'FA Addition'!$A1419,'FA Write off'!C:C,"&lt;"&amp;'FA Addition'!$L$1+1,'FA Write off'!C:C,"&gt;"&amp;'FA Addition'!$L$1-365)</f>
        <v>0</v>
      </c>
      <c r="AC1419" s="118">
        <f>IFERROR(AA1419/'FA Addition'!$J1419*'FA Addition'!$L1419,0)</f>
        <v>0</v>
      </c>
      <c r="AE1419" s="117">
        <f>IF(AND('FA Addition'!$D1419&lt;$P$1+1,U1419=0),'FA Addition'!$L1419,0)-Y1419</f>
        <v>0</v>
      </c>
      <c r="AF1419" s="117">
        <f t="shared" si="110"/>
        <v>0</v>
      </c>
      <c r="AG1419" s="117">
        <f>MIN(MAX(+$P$1-'FA Addition'!$D1419,0),365*'FA Addition'!$O1419)</f>
        <v>0</v>
      </c>
      <c r="AH1419" s="117">
        <f>MIN(MAX($L$1-'FA Addition'!$D1419+1,0),365*'FA Addition'!$O1419)</f>
        <v>0</v>
      </c>
      <c r="AI1419" s="117" cm="1">
        <f t="array" ref="AI1419">_xlfn.XLOOKUP(1,('FA Write off'!A:A='FA Addition'!$A1419)*('FA Write off'!D:D=AA1419),'FA Write off'!H:H,0,0)</f>
        <v>0</v>
      </c>
      <c r="AJ1419" s="117">
        <f>IF(AC1419&gt;0,MAX(IF('FA Addition'!$N1419="SLM",($AC1419-'FA Addition'!$M1419)*'FA Addition'!$P1419*AI1419/365,(AC1419-'FA Addition'!$M1419)*(1-(1-'FA Addition'!$P1419)^(AI1419/365))),0),0)</f>
        <v>0</v>
      </c>
      <c r="AL1419" s="117">
        <f>MAX(IF(AG1419&gt;0,IF('FA Addition'!$N1419="SLM",($AE1419-'FA Addition'!$M1419)*'FA Addition'!$P1419*AG1419/365,IFERROR(VDB(AE1419,AE1419*0.05,'FA Addition'!$O1419,0,YEARFRAC('FA Addition'!$C1419,$P$1-1,3),'FA Addition'!$Q1419),FAAddition[[#This Row],[Original Cost (Rs)]]-FAAddition[[#This Row],[Salvage Value]])),0),0)</f>
        <v>0</v>
      </c>
      <c r="AM1419" s="119"/>
      <c r="AN1419" s="117">
        <f>MAX(IF(AH1419&gt;0,IF('FA Addition'!$N1419="SLM",($AF1419-'FA Addition'!$M1419)*'FA Addition'!$P1419*AH1419/365,IFERROR(VDB(AF1419,AF1419*0.05,'FA Addition'!$O1419,0,YEARFRAC('FA Addition'!$C1419,$L$1,3),'FA Addition'!$Q1419),FAAddition[[#This Row],[Original Cost (Rs)]]-FAAddition[[#This Row],[Salvage Value]])),0),0)</f>
        <v>0</v>
      </c>
      <c r="AO1419" s="117">
        <f t="shared" si="113"/>
        <v>0</v>
      </c>
      <c r="AQ1419" s="117">
        <f t="shared" si="111"/>
        <v>0</v>
      </c>
      <c r="AR1419" s="120">
        <f t="shared" si="112"/>
        <v>0</v>
      </c>
      <c r="AS1419" s="121"/>
    </row>
    <row r="1420" spans="1:45" ht="13.5" x14ac:dyDescent="0.4">
      <c r="A1420" s="12">
        <f t="shared" si="114"/>
        <v>1417</v>
      </c>
      <c r="B1420" s="64" t="s">
        <v>10</v>
      </c>
      <c r="C1420" s="54">
        <v>45915</v>
      </c>
      <c r="D1420" s="54">
        <v>45925</v>
      </c>
      <c r="E1420" s="46" t="s">
        <v>749</v>
      </c>
      <c r="F1420" s="51" t="s">
        <v>74</v>
      </c>
      <c r="G1420" s="51" t="s">
        <v>115</v>
      </c>
      <c r="H1420" s="51" t="s">
        <v>113</v>
      </c>
      <c r="I1420" s="55" t="s">
        <v>116</v>
      </c>
      <c r="J1420" s="56">
        <v>2</v>
      </c>
      <c r="K1420" s="51" t="s">
        <v>303</v>
      </c>
      <c r="L1420" s="58">
        <v>35000</v>
      </c>
      <c r="M1420" s="50">
        <f>ROUND('FA Addition'!$L1420*5%,0.1)</f>
        <v>1750</v>
      </c>
      <c r="N1420" s="113" t="str">
        <f>_xlfn.XLOOKUP(_xlfn.CONCAT(E1420,B1420),'Year Wise Master Dep Approach'!F:F,'Year Wise Master Dep Approach'!D:D)</f>
        <v>WDV</v>
      </c>
      <c r="O1420" s="113">
        <f>_xlfn.XLOOKUP(_xlfn.CONCAT(E1420,B1420),'Year Wise Master Dep Approach'!F:F,'Year Wise Master Dep Approach'!E:E)</f>
        <v>5</v>
      </c>
      <c r="P1420" s="114">
        <f>IFERROR(IF('FA Addition'!$N1420="WDV",1-('FA Addition'!$M1420/'FA Addition'!$L1420)^(1/'FA Addition'!$O1420),1/'FA Addition'!$O1420),0)</f>
        <v>0.45071972834694107</v>
      </c>
      <c r="Q1420" s="122">
        <f>'FA Addition'!$P1420*'FA Addition'!$O1420</f>
        <v>2.2535986417347056</v>
      </c>
      <c r="R1420" s="122"/>
      <c r="S1420" s="116">
        <f>IF(AND(DATE(20&amp;LEFT(FAAddition[[#This Row],[FY]],2),4,1)&lt;$L$1+1,DATE(20&amp;LEFT(FAAddition[[#This Row],[FY]],2),4,1)&gt;$P$1-1),'FA Addition'!$J1420,0)</f>
        <v>0</v>
      </c>
      <c r="U1420" s="117">
        <f>S1420*'FA Addition'!$L1420/'FA Addition'!$J1420</f>
        <v>0</v>
      </c>
      <c r="W1420" s="116">
        <f>SUMIFS('FA Write off'!D:D,'FA Write off'!A:A,'FA Addition'!$A1420,'FA Write off'!C:C,"&lt;"&amp;'FA Addition'!$P$1)</f>
        <v>0</v>
      </c>
      <c r="Y1420" s="191">
        <f>IFERROR(W1420/'FA Addition'!$J1420*'FA Addition'!$L1420,0)</f>
        <v>0</v>
      </c>
      <c r="AA1420" s="116">
        <f>SUMIFS('FA Write off'!D:D,'FA Write off'!A:A,'FA Addition'!$A1420,'FA Write off'!C:C,"&lt;"&amp;'FA Addition'!$L$1+1,'FA Write off'!C:C,"&gt;"&amp;'FA Addition'!$L$1-365)</f>
        <v>0</v>
      </c>
      <c r="AC1420" s="118">
        <f>IFERROR(AA1420/'FA Addition'!$J1420*'FA Addition'!$L1420,0)</f>
        <v>0</v>
      </c>
      <c r="AE1420" s="117">
        <f>IF(AND('FA Addition'!$D1420&lt;$P$1+1,U1420=0),'FA Addition'!$L1420,0)-Y1420</f>
        <v>0</v>
      </c>
      <c r="AF1420" s="117">
        <f t="shared" si="110"/>
        <v>0</v>
      </c>
      <c r="AG1420" s="117">
        <f>MIN(MAX(+$P$1-'FA Addition'!$D1420,0),365*'FA Addition'!$O1420)</f>
        <v>0</v>
      </c>
      <c r="AH1420" s="117">
        <f>MIN(MAX($L$1-'FA Addition'!$D1420+1,0),365*'FA Addition'!$O1420)</f>
        <v>0</v>
      </c>
      <c r="AI1420" s="117" cm="1">
        <f t="array" ref="AI1420">_xlfn.XLOOKUP(1,('FA Write off'!A:A='FA Addition'!$A1420)*('FA Write off'!D:D=AA1420),'FA Write off'!H:H,0,0)</f>
        <v>0</v>
      </c>
      <c r="AJ1420" s="117">
        <f>IF(AC1420&gt;0,MAX(IF('FA Addition'!$N1420="SLM",($AC1420-'FA Addition'!$M1420)*'FA Addition'!$P1420*AI1420/365,(AC1420-'FA Addition'!$M1420)*(1-(1-'FA Addition'!$P1420)^(AI1420/365))),0),0)</f>
        <v>0</v>
      </c>
      <c r="AL1420" s="117">
        <f>MAX(IF(AG1420&gt;0,IF('FA Addition'!$N1420="SLM",($AE1420-'FA Addition'!$M1420)*'FA Addition'!$P1420*AG1420/365,IFERROR(VDB(AE1420,AE1420*0.05,'FA Addition'!$O1420,0,YEARFRAC('FA Addition'!$C1420,$P$1-1,3),'FA Addition'!$Q1420),FAAddition[[#This Row],[Original Cost (Rs)]]-FAAddition[[#This Row],[Salvage Value]])),0),0)</f>
        <v>0</v>
      </c>
      <c r="AM1420" s="119"/>
      <c r="AN1420" s="117">
        <f>MAX(IF(AH1420&gt;0,IF('FA Addition'!$N1420="SLM",($AF1420-'FA Addition'!$M1420)*'FA Addition'!$P1420*AH1420/365,IFERROR(VDB(AF1420,AF1420*0.05,'FA Addition'!$O1420,0,YEARFRAC('FA Addition'!$C1420,$L$1,3),'FA Addition'!$Q1420),FAAddition[[#This Row],[Original Cost (Rs)]]-FAAddition[[#This Row],[Salvage Value]])),0),0)</f>
        <v>0</v>
      </c>
      <c r="AO1420" s="117">
        <f t="shared" si="113"/>
        <v>0</v>
      </c>
      <c r="AQ1420" s="117">
        <f t="shared" si="111"/>
        <v>0</v>
      </c>
      <c r="AR1420" s="120">
        <f t="shared" si="112"/>
        <v>0</v>
      </c>
      <c r="AS1420" s="121"/>
    </row>
    <row r="1421" spans="1:45" ht="13.5" x14ac:dyDescent="0.4">
      <c r="A1421" s="12">
        <f t="shared" si="114"/>
        <v>1418</v>
      </c>
      <c r="B1421" s="64" t="s">
        <v>10</v>
      </c>
      <c r="C1421" s="54">
        <v>45925</v>
      </c>
      <c r="D1421" s="54">
        <v>45930</v>
      </c>
      <c r="E1421" s="46" t="s">
        <v>749</v>
      </c>
      <c r="F1421" s="51" t="s">
        <v>74</v>
      </c>
      <c r="G1421" s="51" t="s">
        <v>117</v>
      </c>
      <c r="H1421" s="51" t="s">
        <v>118</v>
      </c>
      <c r="I1421" s="55" t="s">
        <v>119</v>
      </c>
      <c r="J1421" s="56">
        <v>1</v>
      </c>
      <c r="K1421" s="51" t="s">
        <v>304</v>
      </c>
      <c r="L1421" s="58">
        <v>11822</v>
      </c>
      <c r="M1421" s="50">
        <f>ROUND('FA Addition'!$L1421*5%,0.1)</f>
        <v>591</v>
      </c>
      <c r="N1421" s="113" t="str">
        <f>_xlfn.XLOOKUP(_xlfn.CONCAT(E1421,B1421),'Year Wise Master Dep Approach'!F:F,'Year Wise Master Dep Approach'!D:D)</f>
        <v>WDV</v>
      </c>
      <c r="O1421" s="113">
        <f>_xlfn.XLOOKUP(_xlfn.CONCAT(E1421,B1421),'Year Wise Master Dep Approach'!F:F,'Year Wise Master Dep Approach'!E:E)</f>
        <v>5</v>
      </c>
      <c r="P1421" s="114">
        <f>IFERROR(IF('FA Addition'!$N1421="WDV",1-('FA Addition'!$M1421/'FA Addition'!$L1421)^(1/'FA Addition'!$O1421),1/'FA Addition'!$O1421),0)</f>
        <v>0.45073831462491332</v>
      </c>
      <c r="Q1421" s="122">
        <f>'FA Addition'!$P1421*'FA Addition'!$O1421</f>
        <v>2.2536915731245664</v>
      </c>
      <c r="R1421" s="122"/>
      <c r="S1421" s="116">
        <f>IF(AND(DATE(20&amp;LEFT(FAAddition[[#This Row],[FY]],2),4,1)&lt;$L$1+1,DATE(20&amp;LEFT(FAAddition[[#This Row],[FY]],2),4,1)&gt;$P$1-1),'FA Addition'!$J1421,0)</f>
        <v>0</v>
      </c>
      <c r="U1421" s="117">
        <f>S1421*'FA Addition'!$L1421/'FA Addition'!$J1421</f>
        <v>0</v>
      </c>
      <c r="W1421" s="116">
        <f>SUMIFS('FA Write off'!D:D,'FA Write off'!A:A,'FA Addition'!$A1421,'FA Write off'!C:C,"&lt;"&amp;'FA Addition'!$P$1)</f>
        <v>0</v>
      </c>
      <c r="Y1421" s="191">
        <f>IFERROR(W1421/'FA Addition'!$J1421*'FA Addition'!$L1421,0)</f>
        <v>0</v>
      </c>
      <c r="AA1421" s="116">
        <f>SUMIFS('FA Write off'!D:D,'FA Write off'!A:A,'FA Addition'!$A1421,'FA Write off'!C:C,"&lt;"&amp;'FA Addition'!$L$1+1,'FA Write off'!C:C,"&gt;"&amp;'FA Addition'!$L$1-365)</f>
        <v>0</v>
      </c>
      <c r="AC1421" s="118">
        <f>IFERROR(AA1421/'FA Addition'!$J1421*'FA Addition'!$L1421,0)</f>
        <v>0</v>
      </c>
      <c r="AE1421" s="117">
        <f>IF(AND('FA Addition'!$D1421&lt;$P$1+1,U1421=0),'FA Addition'!$L1421,0)-Y1421</f>
        <v>0</v>
      </c>
      <c r="AF1421" s="117">
        <f t="shared" si="110"/>
        <v>0</v>
      </c>
      <c r="AG1421" s="117">
        <f>MIN(MAX(+$P$1-'FA Addition'!$D1421,0),365*'FA Addition'!$O1421)</f>
        <v>0</v>
      </c>
      <c r="AH1421" s="117">
        <f>MIN(MAX($L$1-'FA Addition'!$D1421+1,0),365*'FA Addition'!$O1421)</f>
        <v>0</v>
      </c>
      <c r="AI1421" s="117" cm="1">
        <f t="array" ref="AI1421">_xlfn.XLOOKUP(1,('FA Write off'!A:A='FA Addition'!$A1421)*('FA Write off'!D:D=AA1421),'FA Write off'!H:H,0,0)</f>
        <v>0</v>
      </c>
      <c r="AJ1421" s="117">
        <f>IF(AC1421&gt;0,MAX(IF('FA Addition'!$N1421="SLM",($AC1421-'FA Addition'!$M1421)*'FA Addition'!$P1421*AI1421/365,(AC1421-'FA Addition'!$M1421)*(1-(1-'FA Addition'!$P1421)^(AI1421/365))),0),0)</f>
        <v>0</v>
      </c>
      <c r="AL1421" s="117">
        <f>MAX(IF(AG1421&gt;0,IF('FA Addition'!$N1421="SLM",($AE1421-'FA Addition'!$M1421)*'FA Addition'!$P1421*AG1421/365,IFERROR(VDB(AE1421,AE1421*0.05,'FA Addition'!$O1421,0,YEARFRAC('FA Addition'!$C1421,$P$1-1,3),'FA Addition'!$Q1421),FAAddition[[#This Row],[Original Cost (Rs)]]-FAAddition[[#This Row],[Salvage Value]])),0),0)</f>
        <v>0</v>
      </c>
      <c r="AM1421" s="119"/>
      <c r="AN1421" s="117">
        <f>MAX(IF(AH1421&gt;0,IF('FA Addition'!$N1421="SLM",($AF1421-'FA Addition'!$M1421)*'FA Addition'!$P1421*AH1421/365,IFERROR(VDB(AF1421,AF1421*0.05,'FA Addition'!$O1421,0,YEARFRAC('FA Addition'!$C1421,$L$1,3),'FA Addition'!$Q1421),FAAddition[[#This Row],[Original Cost (Rs)]]-FAAddition[[#This Row],[Salvage Value]])),0),0)</f>
        <v>0</v>
      </c>
      <c r="AO1421" s="117">
        <f t="shared" si="113"/>
        <v>0</v>
      </c>
      <c r="AQ1421" s="117">
        <f t="shared" si="111"/>
        <v>0</v>
      </c>
      <c r="AR1421" s="120">
        <f t="shared" si="112"/>
        <v>0</v>
      </c>
      <c r="AS1421" s="121"/>
    </row>
    <row r="1422" spans="1:45" ht="13.5" x14ac:dyDescent="0.4">
      <c r="A1422" s="12">
        <f t="shared" si="114"/>
        <v>1419</v>
      </c>
      <c r="B1422" s="64" t="s">
        <v>10</v>
      </c>
      <c r="C1422" s="54">
        <v>45925</v>
      </c>
      <c r="D1422" s="54">
        <v>45930</v>
      </c>
      <c r="E1422" s="46" t="s">
        <v>749</v>
      </c>
      <c r="F1422" s="51" t="s">
        <v>74</v>
      </c>
      <c r="G1422" s="51" t="s">
        <v>117</v>
      </c>
      <c r="H1422" s="51" t="s">
        <v>118</v>
      </c>
      <c r="I1422" s="55" t="s">
        <v>120</v>
      </c>
      <c r="J1422" s="56">
        <v>1</v>
      </c>
      <c r="K1422" s="51" t="s">
        <v>304</v>
      </c>
      <c r="L1422" s="58">
        <v>11822</v>
      </c>
      <c r="M1422" s="50">
        <f>ROUND('FA Addition'!$L1422*5%,0.1)</f>
        <v>591</v>
      </c>
      <c r="N1422" s="113" t="str">
        <f>_xlfn.XLOOKUP(_xlfn.CONCAT(E1422,B1422),'Year Wise Master Dep Approach'!F:F,'Year Wise Master Dep Approach'!D:D)</f>
        <v>WDV</v>
      </c>
      <c r="O1422" s="113">
        <f>_xlfn.XLOOKUP(_xlfn.CONCAT(E1422,B1422),'Year Wise Master Dep Approach'!F:F,'Year Wise Master Dep Approach'!E:E)</f>
        <v>5</v>
      </c>
      <c r="P1422" s="114">
        <f>IFERROR(IF('FA Addition'!$N1422="WDV",1-('FA Addition'!$M1422/'FA Addition'!$L1422)^(1/'FA Addition'!$O1422),1/'FA Addition'!$O1422),0)</f>
        <v>0.45073831462491332</v>
      </c>
      <c r="Q1422" s="122">
        <f>'FA Addition'!$P1422*'FA Addition'!$O1422</f>
        <v>2.2536915731245664</v>
      </c>
      <c r="R1422" s="122"/>
      <c r="S1422" s="116">
        <f>IF(AND(DATE(20&amp;LEFT(FAAddition[[#This Row],[FY]],2),4,1)&lt;$L$1+1,DATE(20&amp;LEFT(FAAddition[[#This Row],[FY]],2),4,1)&gt;$P$1-1),'FA Addition'!$J1422,0)</f>
        <v>0</v>
      </c>
      <c r="U1422" s="117">
        <f>S1422*'FA Addition'!$L1422/'FA Addition'!$J1422</f>
        <v>0</v>
      </c>
      <c r="W1422" s="116">
        <f>SUMIFS('FA Write off'!D:D,'FA Write off'!A:A,'FA Addition'!$A1422,'FA Write off'!C:C,"&lt;"&amp;'FA Addition'!$P$1)</f>
        <v>0</v>
      </c>
      <c r="Y1422" s="191">
        <f>IFERROR(W1422/'FA Addition'!$J1422*'FA Addition'!$L1422,0)</f>
        <v>0</v>
      </c>
      <c r="AA1422" s="116">
        <f>SUMIFS('FA Write off'!D:D,'FA Write off'!A:A,'FA Addition'!$A1422,'FA Write off'!C:C,"&lt;"&amp;'FA Addition'!$L$1+1,'FA Write off'!C:C,"&gt;"&amp;'FA Addition'!$L$1-365)</f>
        <v>0</v>
      </c>
      <c r="AC1422" s="118">
        <f>IFERROR(AA1422/'FA Addition'!$J1422*'FA Addition'!$L1422,0)</f>
        <v>0</v>
      </c>
      <c r="AE1422" s="117">
        <f>IF(AND('FA Addition'!$D1422&lt;$P$1+1,U1422=0),'FA Addition'!$L1422,0)-Y1422</f>
        <v>0</v>
      </c>
      <c r="AF1422" s="117">
        <f t="shared" si="110"/>
        <v>0</v>
      </c>
      <c r="AG1422" s="117">
        <f>MIN(MAX(+$P$1-'FA Addition'!$D1422,0),365*'FA Addition'!$O1422)</f>
        <v>0</v>
      </c>
      <c r="AH1422" s="117">
        <f>MIN(MAX($L$1-'FA Addition'!$D1422+1,0),365*'FA Addition'!$O1422)</f>
        <v>0</v>
      </c>
      <c r="AI1422" s="117" cm="1">
        <f t="array" ref="AI1422">_xlfn.XLOOKUP(1,('FA Write off'!A:A='FA Addition'!$A1422)*('FA Write off'!D:D=AA1422),'FA Write off'!H:H,0,0)</f>
        <v>0</v>
      </c>
      <c r="AJ1422" s="117">
        <f>IF(AC1422&gt;0,MAX(IF('FA Addition'!$N1422="SLM",($AC1422-'FA Addition'!$M1422)*'FA Addition'!$P1422*AI1422/365,(AC1422-'FA Addition'!$M1422)*(1-(1-'FA Addition'!$P1422)^(AI1422/365))),0),0)</f>
        <v>0</v>
      </c>
      <c r="AL1422" s="117">
        <f>MAX(IF(AG1422&gt;0,IF('FA Addition'!$N1422="SLM",($AE1422-'FA Addition'!$M1422)*'FA Addition'!$P1422*AG1422/365,IFERROR(VDB(AE1422,AE1422*0.05,'FA Addition'!$O1422,0,YEARFRAC('FA Addition'!$C1422,$P$1-1,3),'FA Addition'!$Q1422),FAAddition[[#This Row],[Original Cost (Rs)]]-FAAddition[[#This Row],[Salvage Value]])),0),0)</f>
        <v>0</v>
      </c>
      <c r="AM1422" s="119"/>
      <c r="AN1422" s="117">
        <f>MAX(IF(AH1422&gt;0,IF('FA Addition'!$N1422="SLM",($AF1422-'FA Addition'!$M1422)*'FA Addition'!$P1422*AH1422/365,IFERROR(VDB(AF1422,AF1422*0.05,'FA Addition'!$O1422,0,YEARFRAC('FA Addition'!$C1422,$L$1,3),'FA Addition'!$Q1422),FAAddition[[#This Row],[Original Cost (Rs)]]-FAAddition[[#This Row],[Salvage Value]])),0),0)</f>
        <v>0</v>
      </c>
      <c r="AO1422" s="117">
        <f t="shared" si="113"/>
        <v>0</v>
      </c>
      <c r="AQ1422" s="117">
        <f t="shared" si="111"/>
        <v>0</v>
      </c>
      <c r="AR1422" s="120">
        <f t="shared" si="112"/>
        <v>0</v>
      </c>
      <c r="AS1422" s="121"/>
    </row>
    <row r="1423" spans="1:45" ht="13.5" x14ac:dyDescent="0.4">
      <c r="A1423" s="12">
        <f t="shared" si="114"/>
        <v>1420</v>
      </c>
      <c r="B1423" s="64" t="s">
        <v>10</v>
      </c>
      <c r="C1423" s="54">
        <v>45925</v>
      </c>
      <c r="D1423" s="54">
        <v>45930</v>
      </c>
      <c r="E1423" s="46" t="s">
        <v>749</v>
      </c>
      <c r="F1423" s="51" t="s">
        <v>74</v>
      </c>
      <c r="G1423" s="51" t="s">
        <v>117</v>
      </c>
      <c r="H1423" s="51" t="s">
        <v>118</v>
      </c>
      <c r="I1423" s="55" t="s">
        <v>121</v>
      </c>
      <c r="J1423" s="56">
        <v>1</v>
      </c>
      <c r="K1423" s="51" t="s">
        <v>304</v>
      </c>
      <c r="L1423" s="58">
        <v>11822</v>
      </c>
      <c r="M1423" s="50">
        <f>ROUND('FA Addition'!$L1423*5%,0.1)</f>
        <v>591</v>
      </c>
      <c r="N1423" s="113" t="str">
        <f>_xlfn.XLOOKUP(_xlfn.CONCAT(E1423,B1423),'Year Wise Master Dep Approach'!F:F,'Year Wise Master Dep Approach'!D:D)</f>
        <v>WDV</v>
      </c>
      <c r="O1423" s="113">
        <f>_xlfn.XLOOKUP(_xlfn.CONCAT(E1423,B1423),'Year Wise Master Dep Approach'!F:F,'Year Wise Master Dep Approach'!E:E)</f>
        <v>5</v>
      </c>
      <c r="P1423" s="114">
        <f>IFERROR(IF('FA Addition'!$N1423="WDV",1-('FA Addition'!$M1423/'FA Addition'!$L1423)^(1/'FA Addition'!$O1423),1/'FA Addition'!$O1423),0)</f>
        <v>0.45073831462491332</v>
      </c>
      <c r="Q1423" s="122">
        <f>'FA Addition'!$P1423*'FA Addition'!$O1423</f>
        <v>2.2536915731245664</v>
      </c>
      <c r="R1423" s="122"/>
      <c r="S1423" s="116">
        <f>IF(AND(DATE(20&amp;LEFT(FAAddition[[#This Row],[FY]],2),4,1)&lt;$L$1+1,DATE(20&amp;LEFT(FAAddition[[#This Row],[FY]],2),4,1)&gt;$P$1-1),'FA Addition'!$J1423,0)</f>
        <v>0</v>
      </c>
      <c r="U1423" s="117">
        <f>S1423*'FA Addition'!$L1423/'FA Addition'!$J1423</f>
        <v>0</v>
      </c>
      <c r="W1423" s="116">
        <f>SUMIFS('FA Write off'!D:D,'FA Write off'!A:A,'FA Addition'!$A1423,'FA Write off'!C:C,"&lt;"&amp;'FA Addition'!$P$1)</f>
        <v>0</v>
      </c>
      <c r="Y1423" s="191">
        <f>IFERROR(W1423/'FA Addition'!$J1423*'FA Addition'!$L1423,0)</f>
        <v>0</v>
      </c>
      <c r="AA1423" s="116">
        <f>SUMIFS('FA Write off'!D:D,'FA Write off'!A:A,'FA Addition'!$A1423,'FA Write off'!C:C,"&lt;"&amp;'FA Addition'!$L$1+1,'FA Write off'!C:C,"&gt;"&amp;'FA Addition'!$L$1-365)</f>
        <v>0</v>
      </c>
      <c r="AC1423" s="118">
        <f>IFERROR(AA1423/'FA Addition'!$J1423*'FA Addition'!$L1423,0)</f>
        <v>0</v>
      </c>
      <c r="AE1423" s="117">
        <f>IF(AND('FA Addition'!$D1423&lt;$P$1+1,U1423=0),'FA Addition'!$L1423,0)-Y1423</f>
        <v>0</v>
      </c>
      <c r="AF1423" s="117">
        <f t="shared" si="110"/>
        <v>0</v>
      </c>
      <c r="AG1423" s="117">
        <f>MIN(MAX(+$P$1-'FA Addition'!$D1423,0),365*'FA Addition'!$O1423)</f>
        <v>0</v>
      </c>
      <c r="AH1423" s="117">
        <f>MIN(MAX($L$1-'FA Addition'!$D1423+1,0),365*'FA Addition'!$O1423)</f>
        <v>0</v>
      </c>
      <c r="AI1423" s="117" cm="1">
        <f t="array" ref="AI1423">_xlfn.XLOOKUP(1,('FA Write off'!A:A='FA Addition'!$A1423)*('FA Write off'!D:D=AA1423),'FA Write off'!H:H,0,0)</f>
        <v>0</v>
      </c>
      <c r="AJ1423" s="117">
        <f>IF(AC1423&gt;0,MAX(IF('FA Addition'!$N1423="SLM",($AC1423-'FA Addition'!$M1423)*'FA Addition'!$P1423*AI1423/365,(AC1423-'FA Addition'!$M1423)*(1-(1-'FA Addition'!$P1423)^(AI1423/365))),0),0)</f>
        <v>0</v>
      </c>
      <c r="AL1423" s="117">
        <f>MAX(IF(AG1423&gt;0,IF('FA Addition'!$N1423="SLM",($AE1423-'FA Addition'!$M1423)*'FA Addition'!$P1423*AG1423/365,IFERROR(VDB(AE1423,AE1423*0.05,'FA Addition'!$O1423,0,YEARFRAC('FA Addition'!$C1423,$P$1-1,3),'FA Addition'!$Q1423),FAAddition[[#This Row],[Original Cost (Rs)]]-FAAddition[[#This Row],[Salvage Value]])),0),0)</f>
        <v>0</v>
      </c>
      <c r="AM1423" s="119"/>
      <c r="AN1423" s="117">
        <f>MAX(IF(AH1423&gt;0,IF('FA Addition'!$N1423="SLM",($AF1423-'FA Addition'!$M1423)*'FA Addition'!$P1423*AH1423/365,IFERROR(VDB(AF1423,AF1423*0.05,'FA Addition'!$O1423,0,YEARFRAC('FA Addition'!$C1423,$L$1,3),'FA Addition'!$Q1423),FAAddition[[#This Row],[Original Cost (Rs)]]-FAAddition[[#This Row],[Salvage Value]])),0),0)</f>
        <v>0</v>
      </c>
      <c r="AO1423" s="117">
        <f t="shared" si="113"/>
        <v>0</v>
      </c>
      <c r="AQ1423" s="117">
        <f t="shared" si="111"/>
        <v>0</v>
      </c>
      <c r="AR1423" s="120">
        <f t="shared" si="112"/>
        <v>0</v>
      </c>
      <c r="AS1423" s="121"/>
    </row>
    <row r="1424" spans="1:45" ht="13.5" x14ac:dyDescent="0.4">
      <c r="A1424" s="12">
        <f t="shared" si="114"/>
        <v>1421</v>
      </c>
      <c r="B1424" s="64" t="s">
        <v>10</v>
      </c>
      <c r="C1424" s="54">
        <v>45925</v>
      </c>
      <c r="D1424" s="54">
        <v>45930</v>
      </c>
      <c r="E1424" s="46" t="s">
        <v>749</v>
      </c>
      <c r="F1424" s="51" t="s">
        <v>74</v>
      </c>
      <c r="G1424" s="51" t="s">
        <v>117</v>
      </c>
      <c r="H1424" s="51" t="s">
        <v>118</v>
      </c>
      <c r="I1424" s="55" t="s">
        <v>122</v>
      </c>
      <c r="J1424" s="56">
        <v>1</v>
      </c>
      <c r="K1424" s="51" t="s">
        <v>304</v>
      </c>
      <c r="L1424" s="58">
        <v>11822</v>
      </c>
      <c r="M1424" s="50">
        <f>ROUND('FA Addition'!$L1424*5%,0.1)</f>
        <v>591</v>
      </c>
      <c r="N1424" s="113" t="str">
        <f>_xlfn.XLOOKUP(_xlfn.CONCAT(E1424,B1424),'Year Wise Master Dep Approach'!F:F,'Year Wise Master Dep Approach'!D:D)</f>
        <v>WDV</v>
      </c>
      <c r="O1424" s="113">
        <f>_xlfn.XLOOKUP(_xlfn.CONCAT(E1424,B1424),'Year Wise Master Dep Approach'!F:F,'Year Wise Master Dep Approach'!E:E)</f>
        <v>5</v>
      </c>
      <c r="P1424" s="114">
        <f>IFERROR(IF('FA Addition'!$N1424="WDV",1-('FA Addition'!$M1424/'FA Addition'!$L1424)^(1/'FA Addition'!$O1424),1/'FA Addition'!$O1424),0)</f>
        <v>0.45073831462491332</v>
      </c>
      <c r="Q1424" s="122">
        <f>'FA Addition'!$P1424*'FA Addition'!$O1424</f>
        <v>2.2536915731245664</v>
      </c>
      <c r="R1424" s="122"/>
      <c r="S1424" s="116">
        <f>IF(AND(DATE(20&amp;LEFT(FAAddition[[#This Row],[FY]],2),4,1)&lt;$L$1+1,DATE(20&amp;LEFT(FAAddition[[#This Row],[FY]],2),4,1)&gt;$P$1-1),'FA Addition'!$J1424,0)</f>
        <v>0</v>
      </c>
      <c r="U1424" s="117">
        <f>S1424*'FA Addition'!$L1424/'FA Addition'!$J1424</f>
        <v>0</v>
      </c>
      <c r="W1424" s="116">
        <f>SUMIFS('FA Write off'!D:D,'FA Write off'!A:A,'FA Addition'!$A1424,'FA Write off'!C:C,"&lt;"&amp;'FA Addition'!$P$1)</f>
        <v>0</v>
      </c>
      <c r="Y1424" s="191">
        <f>IFERROR(W1424/'FA Addition'!$J1424*'FA Addition'!$L1424,0)</f>
        <v>0</v>
      </c>
      <c r="AA1424" s="116">
        <f>SUMIFS('FA Write off'!D:D,'FA Write off'!A:A,'FA Addition'!$A1424,'FA Write off'!C:C,"&lt;"&amp;'FA Addition'!$L$1+1,'FA Write off'!C:C,"&gt;"&amp;'FA Addition'!$L$1-365)</f>
        <v>0</v>
      </c>
      <c r="AC1424" s="118">
        <f>IFERROR(AA1424/'FA Addition'!$J1424*'FA Addition'!$L1424,0)</f>
        <v>0</v>
      </c>
      <c r="AE1424" s="117">
        <f>IF(AND('FA Addition'!$D1424&lt;$P$1+1,U1424=0),'FA Addition'!$L1424,0)-Y1424</f>
        <v>0</v>
      </c>
      <c r="AF1424" s="117">
        <f t="shared" si="110"/>
        <v>0</v>
      </c>
      <c r="AG1424" s="117">
        <f>MIN(MAX(+$P$1-'FA Addition'!$D1424,0),365*'FA Addition'!$O1424)</f>
        <v>0</v>
      </c>
      <c r="AH1424" s="117">
        <f>MIN(MAX($L$1-'FA Addition'!$D1424+1,0),365*'FA Addition'!$O1424)</f>
        <v>0</v>
      </c>
      <c r="AI1424" s="117" cm="1">
        <f t="array" ref="AI1424">_xlfn.XLOOKUP(1,('FA Write off'!A:A='FA Addition'!$A1424)*('FA Write off'!D:D=AA1424),'FA Write off'!H:H,0,0)</f>
        <v>0</v>
      </c>
      <c r="AJ1424" s="117">
        <f>IF(AC1424&gt;0,MAX(IF('FA Addition'!$N1424="SLM",($AC1424-'FA Addition'!$M1424)*'FA Addition'!$P1424*AI1424/365,(AC1424-'FA Addition'!$M1424)*(1-(1-'FA Addition'!$P1424)^(AI1424/365))),0),0)</f>
        <v>0</v>
      </c>
      <c r="AL1424" s="117">
        <f>MAX(IF(AG1424&gt;0,IF('FA Addition'!$N1424="SLM",($AE1424-'FA Addition'!$M1424)*'FA Addition'!$P1424*AG1424/365,IFERROR(VDB(AE1424,AE1424*0.05,'FA Addition'!$O1424,0,YEARFRAC('FA Addition'!$C1424,$P$1-1,3),'FA Addition'!$Q1424),FAAddition[[#This Row],[Original Cost (Rs)]]-FAAddition[[#This Row],[Salvage Value]])),0),0)</f>
        <v>0</v>
      </c>
      <c r="AM1424" s="119"/>
      <c r="AN1424" s="117">
        <f>MAX(IF(AH1424&gt;0,IF('FA Addition'!$N1424="SLM",($AF1424-'FA Addition'!$M1424)*'FA Addition'!$P1424*AH1424/365,IFERROR(VDB(AF1424,AF1424*0.05,'FA Addition'!$O1424,0,YEARFRAC('FA Addition'!$C1424,$L$1,3),'FA Addition'!$Q1424),FAAddition[[#This Row],[Original Cost (Rs)]]-FAAddition[[#This Row],[Salvage Value]])),0),0)</f>
        <v>0</v>
      </c>
      <c r="AO1424" s="117">
        <f t="shared" si="113"/>
        <v>0</v>
      </c>
      <c r="AQ1424" s="117">
        <f t="shared" si="111"/>
        <v>0</v>
      </c>
      <c r="AR1424" s="120">
        <f t="shared" si="112"/>
        <v>0</v>
      </c>
      <c r="AS1424" s="121"/>
    </row>
    <row r="1425" spans="1:45" ht="13.5" x14ac:dyDescent="0.4">
      <c r="A1425" s="12">
        <f t="shared" si="114"/>
        <v>1422</v>
      </c>
      <c r="B1425" s="64" t="s">
        <v>10</v>
      </c>
      <c r="C1425" s="54">
        <v>45925</v>
      </c>
      <c r="D1425" s="54">
        <v>45930</v>
      </c>
      <c r="E1425" s="46" t="s">
        <v>749</v>
      </c>
      <c r="F1425" s="51" t="s">
        <v>74</v>
      </c>
      <c r="G1425" s="51" t="s">
        <v>117</v>
      </c>
      <c r="H1425" s="51" t="s">
        <v>118</v>
      </c>
      <c r="I1425" s="55" t="s">
        <v>123</v>
      </c>
      <c r="J1425" s="56">
        <v>1</v>
      </c>
      <c r="K1425" s="51" t="s">
        <v>304</v>
      </c>
      <c r="L1425" s="58">
        <v>11822</v>
      </c>
      <c r="M1425" s="50">
        <f>ROUND('FA Addition'!$L1425*5%,0.1)</f>
        <v>591</v>
      </c>
      <c r="N1425" s="113" t="str">
        <f>_xlfn.XLOOKUP(_xlfn.CONCAT(E1425,B1425),'Year Wise Master Dep Approach'!F:F,'Year Wise Master Dep Approach'!D:D)</f>
        <v>WDV</v>
      </c>
      <c r="O1425" s="113">
        <f>_xlfn.XLOOKUP(_xlfn.CONCAT(E1425,B1425),'Year Wise Master Dep Approach'!F:F,'Year Wise Master Dep Approach'!E:E)</f>
        <v>5</v>
      </c>
      <c r="P1425" s="114">
        <f>IFERROR(IF('FA Addition'!$N1425="WDV",1-('FA Addition'!$M1425/'FA Addition'!$L1425)^(1/'FA Addition'!$O1425),1/'FA Addition'!$O1425),0)</f>
        <v>0.45073831462491332</v>
      </c>
      <c r="Q1425" s="122">
        <f>'FA Addition'!$P1425*'FA Addition'!$O1425</f>
        <v>2.2536915731245664</v>
      </c>
      <c r="R1425" s="122"/>
      <c r="S1425" s="116">
        <f>IF(AND(DATE(20&amp;LEFT(FAAddition[[#This Row],[FY]],2),4,1)&lt;$L$1+1,DATE(20&amp;LEFT(FAAddition[[#This Row],[FY]],2),4,1)&gt;$P$1-1),'FA Addition'!$J1425,0)</f>
        <v>0</v>
      </c>
      <c r="U1425" s="117">
        <f>S1425*'FA Addition'!$L1425/'FA Addition'!$J1425</f>
        <v>0</v>
      </c>
      <c r="W1425" s="116">
        <f>SUMIFS('FA Write off'!D:D,'FA Write off'!A:A,'FA Addition'!$A1425,'FA Write off'!C:C,"&lt;"&amp;'FA Addition'!$P$1)</f>
        <v>0</v>
      </c>
      <c r="Y1425" s="191">
        <f>IFERROR(W1425/'FA Addition'!$J1425*'FA Addition'!$L1425,0)</f>
        <v>0</v>
      </c>
      <c r="AA1425" s="116">
        <f>SUMIFS('FA Write off'!D:D,'FA Write off'!A:A,'FA Addition'!$A1425,'FA Write off'!C:C,"&lt;"&amp;'FA Addition'!$L$1+1,'FA Write off'!C:C,"&gt;"&amp;'FA Addition'!$L$1-365)</f>
        <v>0</v>
      </c>
      <c r="AC1425" s="118">
        <f>IFERROR(AA1425/'FA Addition'!$J1425*'FA Addition'!$L1425,0)</f>
        <v>0</v>
      </c>
      <c r="AE1425" s="117">
        <f>IF(AND('FA Addition'!$D1425&lt;$P$1+1,U1425=0),'FA Addition'!$L1425,0)-Y1425</f>
        <v>0</v>
      </c>
      <c r="AF1425" s="117">
        <f t="shared" si="110"/>
        <v>0</v>
      </c>
      <c r="AG1425" s="117">
        <f>MIN(MAX(+$P$1-'FA Addition'!$D1425,0),365*'FA Addition'!$O1425)</f>
        <v>0</v>
      </c>
      <c r="AH1425" s="117">
        <f>MIN(MAX($L$1-'FA Addition'!$D1425+1,0),365*'FA Addition'!$O1425)</f>
        <v>0</v>
      </c>
      <c r="AI1425" s="117" cm="1">
        <f t="array" ref="AI1425">_xlfn.XLOOKUP(1,('FA Write off'!A:A='FA Addition'!$A1425)*('FA Write off'!D:D=AA1425),'FA Write off'!H:H,0,0)</f>
        <v>0</v>
      </c>
      <c r="AJ1425" s="117">
        <f>IF(AC1425&gt;0,MAX(IF('FA Addition'!$N1425="SLM",($AC1425-'FA Addition'!$M1425)*'FA Addition'!$P1425*AI1425/365,(AC1425-'FA Addition'!$M1425)*(1-(1-'FA Addition'!$P1425)^(AI1425/365))),0),0)</f>
        <v>0</v>
      </c>
      <c r="AL1425" s="117">
        <f>MAX(IF(AG1425&gt;0,IF('FA Addition'!$N1425="SLM",($AE1425-'FA Addition'!$M1425)*'FA Addition'!$P1425*AG1425/365,IFERROR(VDB(AE1425,AE1425*0.05,'FA Addition'!$O1425,0,YEARFRAC('FA Addition'!$C1425,$P$1-1,3),'FA Addition'!$Q1425),FAAddition[[#This Row],[Original Cost (Rs)]]-FAAddition[[#This Row],[Salvage Value]])),0),0)</f>
        <v>0</v>
      </c>
      <c r="AM1425" s="119"/>
      <c r="AN1425" s="117">
        <f>MAX(IF(AH1425&gt;0,IF('FA Addition'!$N1425="SLM",($AF1425-'FA Addition'!$M1425)*'FA Addition'!$P1425*AH1425/365,IFERROR(VDB(AF1425,AF1425*0.05,'FA Addition'!$O1425,0,YEARFRAC('FA Addition'!$C1425,$L$1,3),'FA Addition'!$Q1425),FAAddition[[#This Row],[Original Cost (Rs)]]-FAAddition[[#This Row],[Salvage Value]])),0),0)</f>
        <v>0</v>
      </c>
      <c r="AO1425" s="117">
        <f t="shared" si="113"/>
        <v>0</v>
      </c>
      <c r="AQ1425" s="117">
        <f t="shared" si="111"/>
        <v>0</v>
      </c>
      <c r="AR1425" s="120">
        <f t="shared" si="112"/>
        <v>0</v>
      </c>
      <c r="AS1425" s="121"/>
    </row>
    <row r="1426" spans="1:45" ht="13.5" x14ac:dyDescent="0.4">
      <c r="A1426" s="12">
        <f t="shared" si="114"/>
        <v>1423</v>
      </c>
      <c r="B1426" s="64" t="s">
        <v>10</v>
      </c>
      <c r="C1426" s="54">
        <v>45925</v>
      </c>
      <c r="D1426" s="54">
        <v>45930</v>
      </c>
      <c r="E1426" s="46" t="s">
        <v>749</v>
      </c>
      <c r="F1426" s="51" t="s">
        <v>74</v>
      </c>
      <c r="G1426" s="51" t="s">
        <v>117</v>
      </c>
      <c r="H1426" s="51" t="s">
        <v>118</v>
      </c>
      <c r="I1426" s="55" t="s">
        <v>124</v>
      </c>
      <c r="J1426" s="56">
        <v>1</v>
      </c>
      <c r="K1426" s="51" t="s">
        <v>304</v>
      </c>
      <c r="L1426" s="58">
        <v>11822</v>
      </c>
      <c r="M1426" s="50">
        <f>ROUND('FA Addition'!$L1426*5%,0.1)</f>
        <v>591</v>
      </c>
      <c r="N1426" s="113" t="str">
        <f>_xlfn.XLOOKUP(_xlfn.CONCAT(E1426,B1426),'Year Wise Master Dep Approach'!F:F,'Year Wise Master Dep Approach'!D:D)</f>
        <v>WDV</v>
      </c>
      <c r="O1426" s="113">
        <f>_xlfn.XLOOKUP(_xlfn.CONCAT(E1426,B1426),'Year Wise Master Dep Approach'!F:F,'Year Wise Master Dep Approach'!E:E)</f>
        <v>5</v>
      </c>
      <c r="P1426" s="114">
        <f>IFERROR(IF('FA Addition'!$N1426="WDV",1-('FA Addition'!$M1426/'FA Addition'!$L1426)^(1/'FA Addition'!$O1426),1/'FA Addition'!$O1426),0)</f>
        <v>0.45073831462491332</v>
      </c>
      <c r="Q1426" s="122">
        <f>'FA Addition'!$P1426*'FA Addition'!$O1426</f>
        <v>2.2536915731245664</v>
      </c>
      <c r="R1426" s="122"/>
      <c r="S1426" s="116">
        <f>IF(AND(DATE(20&amp;LEFT(FAAddition[[#This Row],[FY]],2),4,1)&lt;$L$1+1,DATE(20&amp;LEFT(FAAddition[[#This Row],[FY]],2),4,1)&gt;$P$1-1),'FA Addition'!$J1426,0)</f>
        <v>0</v>
      </c>
      <c r="U1426" s="117">
        <f>S1426*'FA Addition'!$L1426/'FA Addition'!$J1426</f>
        <v>0</v>
      </c>
      <c r="W1426" s="116">
        <f>SUMIFS('FA Write off'!D:D,'FA Write off'!A:A,'FA Addition'!$A1426,'FA Write off'!C:C,"&lt;"&amp;'FA Addition'!$P$1)</f>
        <v>0</v>
      </c>
      <c r="Y1426" s="191">
        <f>IFERROR(W1426/'FA Addition'!$J1426*'FA Addition'!$L1426,0)</f>
        <v>0</v>
      </c>
      <c r="AA1426" s="116">
        <f>SUMIFS('FA Write off'!D:D,'FA Write off'!A:A,'FA Addition'!$A1426,'FA Write off'!C:C,"&lt;"&amp;'FA Addition'!$L$1+1,'FA Write off'!C:C,"&gt;"&amp;'FA Addition'!$L$1-365)</f>
        <v>0</v>
      </c>
      <c r="AC1426" s="118">
        <f>IFERROR(AA1426/'FA Addition'!$J1426*'FA Addition'!$L1426,0)</f>
        <v>0</v>
      </c>
      <c r="AE1426" s="117">
        <f>IF(AND('FA Addition'!$D1426&lt;$P$1+1,U1426=0),'FA Addition'!$L1426,0)-Y1426</f>
        <v>0</v>
      </c>
      <c r="AF1426" s="117">
        <f t="shared" si="110"/>
        <v>0</v>
      </c>
      <c r="AG1426" s="117">
        <f>MIN(MAX(+$P$1-'FA Addition'!$D1426,0),365*'FA Addition'!$O1426)</f>
        <v>0</v>
      </c>
      <c r="AH1426" s="117">
        <f>MIN(MAX($L$1-'FA Addition'!$D1426+1,0),365*'FA Addition'!$O1426)</f>
        <v>0</v>
      </c>
      <c r="AI1426" s="117" cm="1">
        <f t="array" ref="AI1426">_xlfn.XLOOKUP(1,('FA Write off'!A:A='FA Addition'!$A1426)*('FA Write off'!D:D=AA1426),'FA Write off'!H:H,0,0)</f>
        <v>0</v>
      </c>
      <c r="AJ1426" s="117">
        <f>IF(AC1426&gt;0,MAX(IF('FA Addition'!$N1426="SLM",($AC1426-'FA Addition'!$M1426)*'FA Addition'!$P1426*AI1426/365,(AC1426-'FA Addition'!$M1426)*(1-(1-'FA Addition'!$P1426)^(AI1426/365))),0),0)</f>
        <v>0</v>
      </c>
      <c r="AL1426" s="117">
        <f>MAX(IF(AG1426&gt;0,IF('FA Addition'!$N1426="SLM",($AE1426-'FA Addition'!$M1426)*'FA Addition'!$P1426*AG1426/365,IFERROR(VDB(AE1426,AE1426*0.05,'FA Addition'!$O1426,0,YEARFRAC('FA Addition'!$C1426,$P$1-1,3),'FA Addition'!$Q1426),FAAddition[[#This Row],[Original Cost (Rs)]]-FAAddition[[#This Row],[Salvage Value]])),0),0)</f>
        <v>0</v>
      </c>
      <c r="AM1426" s="119"/>
      <c r="AN1426" s="117">
        <f>MAX(IF(AH1426&gt;0,IF('FA Addition'!$N1426="SLM",($AF1426-'FA Addition'!$M1426)*'FA Addition'!$P1426*AH1426/365,IFERROR(VDB(AF1426,AF1426*0.05,'FA Addition'!$O1426,0,YEARFRAC('FA Addition'!$C1426,$L$1,3),'FA Addition'!$Q1426),FAAddition[[#This Row],[Original Cost (Rs)]]-FAAddition[[#This Row],[Salvage Value]])),0),0)</f>
        <v>0</v>
      </c>
      <c r="AO1426" s="117">
        <f t="shared" si="113"/>
        <v>0</v>
      </c>
      <c r="AQ1426" s="117">
        <f t="shared" si="111"/>
        <v>0</v>
      </c>
      <c r="AR1426" s="120">
        <f t="shared" si="112"/>
        <v>0</v>
      </c>
      <c r="AS1426" s="121"/>
    </row>
    <row r="1427" spans="1:45" ht="13.5" x14ac:dyDescent="0.4">
      <c r="A1427" s="12">
        <f t="shared" si="114"/>
        <v>1424</v>
      </c>
      <c r="B1427" s="64" t="s">
        <v>10</v>
      </c>
      <c r="C1427" s="54">
        <v>45924</v>
      </c>
      <c r="D1427" s="54">
        <v>45930</v>
      </c>
      <c r="E1427" s="46" t="s">
        <v>749</v>
      </c>
      <c r="F1427" s="51" t="s">
        <v>74</v>
      </c>
      <c r="G1427" s="51" t="s">
        <v>117</v>
      </c>
      <c r="H1427" s="51" t="s">
        <v>125</v>
      </c>
      <c r="I1427" s="55" t="s">
        <v>126</v>
      </c>
      <c r="J1427" s="56">
        <v>1</v>
      </c>
      <c r="K1427" s="51" t="s">
        <v>305</v>
      </c>
      <c r="L1427" s="58">
        <v>32856</v>
      </c>
      <c r="M1427" s="50">
        <f>ROUND('FA Addition'!$L1427*5%,0.1)</f>
        <v>1643</v>
      </c>
      <c r="N1427" s="113" t="str">
        <f>_xlfn.XLOOKUP(_xlfn.CONCAT(E1427,B1427),'Year Wise Master Dep Approach'!F:F,'Year Wise Master Dep Approach'!D:D)</f>
        <v>WDV</v>
      </c>
      <c r="O1427" s="113">
        <f>_xlfn.XLOOKUP(_xlfn.CONCAT(E1427,B1427),'Year Wise Master Dep Approach'!F:F,'Year Wise Master Dep Approach'!E:E)</f>
        <v>5</v>
      </c>
      <c r="P1427" s="114">
        <f>IFERROR(IF('FA Addition'!$N1427="WDV",1-('FA Addition'!$M1427/'FA Addition'!$L1427)^(1/'FA Addition'!$O1427),1/'FA Addition'!$O1427),0)</f>
        <v>0.45070635475246545</v>
      </c>
      <c r="Q1427" s="122">
        <f>'FA Addition'!$P1427*'FA Addition'!$O1427</f>
        <v>2.2535317737623273</v>
      </c>
      <c r="R1427" s="122"/>
      <c r="S1427" s="116">
        <f>IF(AND(DATE(20&amp;LEFT(FAAddition[[#This Row],[FY]],2),4,1)&lt;$L$1+1,DATE(20&amp;LEFT(FAAddition[[#This Row],[FY]],2),4,1)&gt;$P$1-1),'FA Addition'!$J1427,0)</f>
        <v>0</v>
      </c>
      <c r="U1427" s="117">
        <f>S1427*'FA Addition'!$L1427/'FA Addition'!$J1427</f>
        <v>0</v>
      </c>
      <c r="W1427" s="116">
        <f>SUMIFS('FA Write off'!D:D,'FA Write off'!A:A,'FA Addition'!$A1427,'FA Write off'!C:C,"&lt;"&amp;'FA Addition'!$P$1)</f>
        <v>0</v>
      </c>
      <c r="Y1427" s="191">
        <f>IFERROR(W1427/'FA Addition'!$J1427*'FA Addition'!$L1427,0)</f>
        <v>0</v>
      </c>
      <c r="AA1427" s="116">
        <f>SUMIFS('FA Write off'!D:D,'FA Write off'!A:A,'FA Addition'!$A1427,'FA Write off'!C:C,"&lt;"&amp;'FA Addition'!$L$1+1,'FA Write off'!C:C,"&gt;"&amp;'FA Addition'!$L$1-365)</f>
        <v>0</v>
      </c>
      <c r="AC1427" s="118">
        <f>IFERROR(AA1427/'FA Addition'!$J1427*'FA Addition'!$L1427,0)</f>
        <v>0</v>
      </c>
      <c r="AE1427" s="117">
        <f>IF(AND('FA Addition'!$D1427&lt;$P$1+1,U1427=0),'FA Addition'!$L1427,0)-Y1427</f>
        <v>0</v>
      </c>
      <c r="AF1427" s="117">
        <f t="shared" si="110"/>
        <v>0</v>
      </c>
      <c r="AG1427" s="117">
        <f>MIN(MAX(+$P$1-'FA Addition'!$D1427,0),365*'FA Addition'!$O1427)</f>
        <v>0</v>
      </c>
      <c r="AH1427" s="117">
        <f>MIN(MAX($L$1-'FA Addition'!$D1427+1,0),365*'FA Addition'!$O1427)</f>
        <v>0</v>
      </c>
      <c r="AI1427" s="117" cm="1">
        <f t="array" ref="AI1427">_xlfn.XLOOKUP(1,('FA Write off'!A:A='FA Addition'!$A1427)*('FA Write off'!D:D=AA1427),'FA Write off'!H:H,0,0)</f>
        <v>0</v>
      </c>
      <c r="AJ1427" s="117">
        <f>IF(AC1427&gt;0,MAX(IF('FA Addition'!$N1427="SLM",($AC1427-'FA Addition'!$M1427)*'FA Addition'!$P1427*AI1427/365,(AC1427-'FA Addition'!$M1427)*(1-(1-'FA Addition'!$P1427)^(AI1427/365))),0),0)</f>
        <v>0</v>
      </c>
      <c r="AL1427" s="117">
        <f>MAX(IF(AG1427&gt;0,IF('FA Addition'!$N1427="SLM",($AE1427-'FA Addition'!$M1427)*'FA Addition'!$P1427*AG1427/365,IFERROR(VDB(AE1427,AE1427*0.05,'FA Addition'!$O1427,0,YEARFRAC('FA Addition'!$C1427,$P$1-1,3),'FA Addition'!$Q1427),FAAddition[[#This Row],[Original Cost (Rs)]]-FAAddition[[#This Row],[Salvage Value]])),0),0)</f>
        <v>0</v>
      </c>
      <c r="AM1427" s="119"/>
      <c r="AN1427" s="117">
        <f>MAX(IF(AH1427&gt;0,IF('FA Addition'!$N1427="SLM",($AF1427-'FA Addition'!$M1427)*'FA Addition'!$P1427*AH1427/365,IFERROR(VDB(AF1427,AF1427*0.05,'FA Addition'!$O1427,0,YEARFRAC('FA Addition'!$C1427,$L$1,3),'FA Addition'!$Q1427),FAAddition[[#This Row],[Original Cost (Rs)]]-FAAddition[[#This Row],[Salvage Value]])),0),0)</f>
        <v>0</v>
      </c>
      <c r="AO1427" s="117">
        <f t="shared" si="113"/>
        <v>0</v>
      </c>
      <c r="AQ1427" s="117">
        <f t="shared" si="111"/>
        <v>0</v>
      </c>
      <c r="AR1427" s="120">
        <f t="shared" si="112"/>
        <v>0</v>
      </c>
      <c r="AS1427" s="121"/>
    </row>
    <row r="1428" spans="1:45" ht="13.5" x14ac:dyDescent="0.4">
      <c r="A1428" s="12">
        <f t="shared" si="114"/>
        <v>1425</v>
      </c>
      <c r="B1428" s="64" t="s">
        <v>10</v>
      </c>
      <c r="C1428" s="54">
        <v>45930</v>
      </c>
      <c r="D1428" s="54">
        <v>45930</v>
      </c>
      <c r="E1428" s="46" t="s">
        <v>749</v>
      </c>
      <c r="F1428" s="51" t="s">
        <v>74</v>
      </c>
      <c r="G1428" s="51" t="s">
        <v>117</v>
      </c>
      <c r="H1428" s="51" t="s">
        <v>127</v>
      </c>
      <c r="I1428" s="55" t="s">
        <v>128</v>
      </c>
      <c r="J1428" s="56">
        <v>1</v>
      </c>
      <c r="K1428" s="51" t="s">
        <v>306</v>
      </c>
      <c r="L1428" s="58">
        <v>2338</v>
      </c>
      <c r="M1428" s="50">
        <f>ROUND('FA Addition'!$L1428*5%,0.1)</f>
        <v>117</v>
      </c>
      <c r="N1428" s="113" t="str">
        <f>_xlfn.XLOOKUP(_xlfn.CONCAT(E1428,B1428),'Year Wise Master Dep Approach'!F:F,'Year Wise Master Dep Approach'!D:D)</f>
        <v>WDV</v>
      </c>
      <c r="O1428" s="113">
        <f>_xlfn.XLOOKUP(_xlfn.CONCAT(E1428,B1428),'Year Wise Master Dep Approach'!F:F,'Year Wise Master Dep Approach'!E:E)</f>
        <v>5</v>
      </c>
      <c r="P1428" s="114">
        <f>IFERROR(IF('FA Addition'!$N1428="WDV",1-('FA Addition'!$M1428/'FA Addition'!$L1428)^(1/'FA Addition'!$O1428),1/'FA Addition'!$O1428),0)</f>
        <v>0.45062578610240822</v>
      </c>
      <c r="Q1428" s="122">
        <f>'FA Addition'!$P1428*'FA Addition'!$O1428</f>
        <v>2.253128930512041</v>
      </c>
      <c r="R1428" s="122"/>
      <c r="S1428" s="116">
        <f>IF(AND(DATE(20&amp;LEFT(FAAddition[[#This Row],[FY]],2),4,1)&lt;$L$1+1,DATE(20&amp;LEFT(FAAddition[[#This Row],[FY]],2),4,1)&gt;$P$1-1),'FA Addition'!$J1428,0)</f>
        <v>0</v>
      </c>
      <c r="U1428" s="117">
        <f>S1428*'FA Addition'!$L1428/'FA Addition'!$J1428</f>
        <v>0</v>
      </c>
      <c r="W1428" s="116">
        <f>SUMIFS('FA Write off'!D:D,'FA Write off'!A:A,'FA Addition'!$A1428,'FA Write off'!C:C,"&lt;"&amp;'FA Addition'!$P$1)</f>
        <v>0</v>
      </c>
      <c r="Y1428" s="191">
        <f>IFERROR(W1428/'FA Addition'!$J1428*'FA Addition'!$L1428,0)</f>
        <v>0</v>
      </c>
      <c r="AA1428" s="116">
        <f>SUMIFS('FA Write off'!D:D,'FA Write off'!A:A,'FA Addition'!$A1428,'FA Write off'!C:C,"&lt;"&amp;'FA Addition'!$L$1+1,'FA Write off'!C:C,"&gt;"&amp;'FA Addition'!$L$1-365)</f>
        <v>0</v>
      </c>
      <c r="AC1428" s="118">
        <f>IFERROR(AA1428/'FA Addition'!$J1428*'FA Addition'!$L1428,0)</f>
        <v>0</v>
      </c>
      <c r="AE1428" s="117">
        <f>IF(AND('FA Addition'!$D1428&lt;$P$1+1,U1428=0),'FA Addition'!$L1428,0)-Y1428</f>
        <v>0</v>
      </c>
      <c r="AF1428" s="117">
        <f t="shared" si="110"/>
        <v>0</v>
      </c>
      <c r="AG1428" s="117">
        <f>MIN(MAX(+$P$1-'FA Addition'!$D1428,0),365*'FA Addition'!$O1428)</f>
        <v>0</v>
      </c>
      <c r="AH1428" s="117">
        <f>MIN(MAX($L$1-'FA Addition'!$D1428+1,0),365*'FA Addition'!$O1428)</f>
        <v>0</v>
      </c>
      <c r="AI1428" s="117" cm="1">
        <f t="array" ref="AI1428">_xlfn.XLOOKUP(1,('FA Write off'!A:A='FA Addition'!$A1428)*('FA Write off'!D:D=AA1428),'FA Write off'!H:H,0,0)</f>
        <v>0</v>
      </c>
      <c r="AJ1428" s="117">
        <f>IF(AC1428&gt;0,MAX(IF('FA Addition'!$N1428="SLM",($AC1428-'FA Addition'!$M1428)*'FA Addition'!$P1428*AI1428/365,(AC1428-'FA Addition'!$M1428)*(1-(1-'FA Addition'!$P1428)^(AI1428/365))),0),0)</f>
        <v>0</v>
      </c>
      <c r="AL1428" s="117">
        <f>MAX(IF(AG1428&gt;0,IF('FA Addition'!$N1428="SLM",($AE1428-'FA Addition'!$M1428)*'FA Addition'!$P1428*AG1428/365,IFERROR(VDB(AE1428,AE1428*0.05,'FA Addition'!$O1428,0,YEARFRAC('FA Addition'!$C1428,$P$1-1,3),'FA Addition'!$Q1428),FAAddition[[#This Row],[Original Cost (Rs)]]-FAAddition[[#This Row],[Salvage Value]])),0),0)</f>
        <v>0</v>
      </c>
      <c r="AM1428" s="119"/>
      <c r="AN1428" s="117">
        <f>MAX(IF(AH1428&gt;0,IF('FA Addition'!$N1428="SLM",($AF1428-'FA Addition'!$M1428)*'FA Addition'!$P1428*AH1428/365,IFERROR(VDB(AF1428,AF1428*0.05,'FA Addition'!$O1428,0,YEARFRAC('FA Addition'!$C1428,$L$1,3),'FA Addition'!$Q1428),FAAddition[[#This Row],[Original Cost (Rs)]]-FAAddition[[#This Row],[Salvage Value]])),0),0)</f>
        <v>0</v>
      </c>
      <c r="AO1428" s="117">
        <f t="shared" si="113"/>
        <v>0</v>
      </c>
      <c r="AQ1428" s="117">
        <f t="shared" si="111"/>
        <v>0</v>
      </c>
      <c r="AR1428" s="120">
        <f t="shared" si="112"/>
        <v>0</v>
      </c>
      <c r="AS1428" s="121"/>
    </row>
    <row r="1429" spans="1:45" ht="13.5" x14ac:dyDescent="0.4">
      <c r="A1429" s="12">
        <f t="shared" si="114"/>
        <v>1426</v>
      </c>
      <c r="B1429" s="64" t="s">
        <v>10</v>
      </c>
      <c r="C1429" s="54">
        <v>45930</v>
      </c>
      <c r="D1429" s="54">
        <v>45930</v>
      </c>
      <c r="E1429" s="46" t="s">
        <v>749</v>
      </c>
      <c r="F1429" s="51" t="s">
        <v>74</v>
      </c>
      <c r="G1429" s="51" t="s">
        <v>117</v>
      </c>
      <c r="H1429" s="51" t="s">
        <v>127</v>
      </c>
      <c r="I1429" s="55" t="s">
        <v>128</v>
      </c>
      <c r="J1429" s="56">
        <v>1</v>
      </c>
      <c r="K1429" s="51" t="s">
        <v>306</v>
      </c>
      <c r="L1429" s="58">
        <v>2338</v>
      </c>
      <c r="M1429" s="50">
        <f>ROUND('FA Addition'!$L1429*5%,0.1)</f>
        <v>117</v>
      </c>
      <c r="N1429" s="113" t="str">
        <f>_xlfn.XLOOKUP(_xlfn.CONCAT(E1429,B1429),'Year Wise Master Dep Approach'!F:F,'Year Wise Master Dep Approach'!D:D)</f>
        <v>WDV</v>
      </c>
      <c r="O1429" s="113">
        <f>_xlfn.XLOOKUP(_xlfn.CONCAT(E1429,B1429),'Year Wise Master Dep Approach'!F:F,'Year Wise Master Dep Approach'!E:E)</f>
        <v>5</v>
      </c>
      <c r="P1429" s="114">
        <f>IFERROR(IF('FA Addition'!$N1429="WDV",1-('FA Addition'!$M1429/'FA Addition'!$L1429)^(1/'FA Addition'!$O1429),1/'FA Addition'!$O1429),0)</f>
        <v>0.45062578610240822</v>
      </c>
      <c r="Q1429" s="122">
        <f>'FA Addition'!$P1429*'FA Addition'!$O1429</f>
        <v>2.253128930512041</v>
      </c>
      <c r="R1429" s="122"/>
      <c r="S1429" s="116">
        <f>IF(AND(DATE(20&amp;LEFT(FAAddition[[#This Row],[FY]],2),4,1)&lt;$L$1+1,DATE(20&amp;LEFT(FAAddition[[#This Row],[FY]],2),4,1)&gt;$P$1-1),'FA Addition'!$J1429,0)</f>
        <v>0</v>
      </c>
      <c r="U1429" s="117">
        <f>S1429*'FA Addition'!$L1429/'FA Addition'!$J1429</f>
        <v>0</v>
      </c>
      <c r="W1429" s="116">
        <f>SUMIFS('FA Write off'!D:D,'FA Write off'!A:A,'FA Addition'!$A1429,'FA Write off'!C:C,"&lt;"&amp;'FA Addition'!$P$1)</f>
        <v>0</v>
      </c>
      <c r="Y1429" s="191">
        <f>IFERROR(W1429/'FA Addition'!$J1429*'FA Addition'!$L1429,0)</f>
        <v>0</v>
      </c>
      <c r="AA1429" s="116">
        <f>SUMIFS('FA Write off'!D:D,'FA Write off'!A:A,'FA Addition'!$A1429,'FA Write off'!C:C,"&lt;"&amp;'FA Addition'!$L$1+1,'FA Write off'!C:C,"&gt;"&amp;'FA Addition'!$L$1-365)</f>
        <v>0</v>
      </c>
      <c r="AC1429" s="118">
        <f>IFERROR(AA1429/'FA Addition'!$J1429*'FA Addition'!$L1429,0)</f>
        <v>0</v>
      </c>
      <c r="AE1429" s="117">
        <f>IF(AND('FA Addition'!$D1429&lt;$P$1+1,U1429=0),'FA Addition'!$L1429,0)-Y1429</f>
        <v>0</v>
      </c>
      <c r="AF1429" s="117">
        <f t="shared" si="110"/>
        <v>0</v>
      </c>
      <c r="AG1429" s="117">
        <f>MIN(MAX(+$P$1-'FA Addition'!$D1429,0),365*'FA Addition'!$O1429)</f>
        <v>0</v>
      </c>
      <c r="AH1429" s="117">
        <f>MIN(MAX($L$1-'FA Addition'!$D1429+1,0),365*'FA Addition'!$O1429)</f>
        <v>0</v>
      </c>
      <c r="AI1429" s="117" cm="1">
        <f t="array" ref="AI1429">_xlfn.XLOOKUP(1,('FA Write off'!A:A='FA Addition'!$A1429)*('FA Write off'!D:D=AA1429),'FA Write off'!H:H,0,0)</f>
        <v>0</v>
      </c>
      <c r="AJ1429" s="117">
        <f>IF(AC1429&gt;0,MAX(IF('FA Addition'!$N1429="SLM",($AC1429-'FA Addition'!$M1429)*'FA Addition'!$P1429*AI1429/365,(AC1429-'FA Addition'!$M1429)*(1-(1-'FA Addition'!$P1429)^(AI1429/365))),0),0)</f>
        <v>0</v>
      </c>
      <c r="AL1429" s="117">
        <f>MAX(IF(AG1429&gt;0,IF('FA Addition'!$N1429="SLM",($AE1429-'FA Addition'!$M1429)*'FA Addition'!$P1429*AG1429/365,IFERROR(VDB(AE1429,AE1429*0.05,'FA Addition'!$O1429,0,YEARFRAC('FA Addition'!$C1429,$P$1-1,3),'FA Addition'!$Q1429),FAAddition[[#This Row],[Original Cost (Rs)]]-FAAddition[[#This Row],[Salvage Value]])),0),0)</f>
        <v>0</v>
      </c>
      <c r="AM1429" s="119"/>
      <c r="AN1429" s="117">
        <f>MAX(IF(AH1429&gt;0,IF('FA Addition'!$N1429="SLM",($AF1429-'FA Addition'!$M1429)*'FA Addition'!$P1429*AH1429/365,IFERROR(VDB(AF1429,AF1429*0.05,'FA Addition'!$O1429,0,YEARFRAC('FA Addition'!$C1429,$L$1,3),'FA Addition'!$Q1429),FAAddition[[#This Row],[Original Cost (Rs)]]-FAAddition[[#This Row],[Salvage Value]])),0),0)</f>
        <v>0</v>
      </c>
      <c r="AO1429" s="117">
        <f t="shared" si="113"/>
        <v>0</v>
      </c>
      <c r="AQ1429" s="117">
        <f t="shared" si="111"/>
        <v>0</v>
      </c>
      <c r="AR1429" s="120">
        <f t="shared" si="112"/>
        <v>0</v>
      </c>
      <c r="AS1429" s="121"/>
    </row>
    <row r="1430" spans="1:45" ht="13.5" x14ac:dyDescent="0.4">
      <c r="A1430" s="12">
        <f t="shared" si="114"/>
        <v>1427</v>
      </c>
      <c r="B1430" s="64" t="s">
        <v>10</v>
      </c>
      <c r="C1430" s="54">
        <v>45930</v>
      </c>
      <c r="D1430" s="54">
        <v>45930</v>
      </c>
      <c r="E1430" s="46" t="s">
        <v>749</v>
      </c>
      <c r="F1430" s="51" t="s">
        <v>74</v>
      </c>
      <c r="G1430" s="51" t="s">
        <v>117</v>
      </c>
      <c r="H1430" s="51" t="s">
        <v>127</v>
      </c>
      <c r="I1430" s="55" t="s">
        <v>128</v>
      </c>
      <c r="J1430" s="56">
        <v>1</v>
      </c>
      <c r="K1430" s="51" t="s">
        <v>306</v>
      </c>
      <c r="L1430" s="58">
        <v>2338</v>
      </c>
      <c r="M1430" s="50">
        <f>ROUND('FA Addition'!$L1430*5%,0.1)</f>
        <v>117</v>
      </c>
      <c r="N1430" s="113" t="str">
        <f>_xlfn.XLOOKUP(_xlfn.CONCAT(E1430,B1430),'Year Wise Master Dep Approach'!F:F,'Year Wise Master Dep Approach'!D:D)</f>
        <v>WDV</v>
      </c>
      <c r="O1430" s="113">
        <f>_xlfn.XLOOKUP(_xlfn.CONCAT(E1430,B1430),'Year Wise Master Dep Approach'!F:F,'Year Wise Master Dep Approach'!E:E)</f>
        <v>5</v>
      </c>
      <c r="P1430" s="114">
        <f>IFERROR(IF('FA Addition'!$N1430="WDV",1-('FA Addition'!$M1430/'FA Addition'!$L1430)^(1/'FA Addition'!$O1430),1/'FA Addition'!$O1430),0)</f>
        <v>0.45062578610240822</v>
      </c>
      <c r="Q1430" s="122">
        <f>'FA Addition'!$P1430*'FA Addition'!$O1430</f>
        <v>2.253128930512041</v>
      </c>
      <c r="R1430" s="122"/>
      <c r="S1430" s="116">
        <f>IF(AND(DATE(20&amp;LEFT(FAAddition[[#This Row],[FY]],2),4,1)&lt;$L$1+1,DATE(20&amp;LEFT(FAAddition[[#This Row],[FY]],2),4,1)&gt;$P$1-1),'FA Addition'!$J1430,0)</f>
        <v>0</v>
      </c>
      <c r="U1430" s="117">
        <f>S1430*'FA Addition'!$L1430/'FA Addition'!$J1430</f>
        <v>0</v>
      </c>
      <c r="W1430" s="116">
        <f>SUMIFS('FA Write off'!D:D,'FA Write off'!A:A,'FA Addition'!$A1430,'FA Write off'!C:C,"&lt;"&amp;'FA Addition'!$P$1)</f>
        <v>0</v>
      </c>
      <c r="Y1430" s="191">
        <f>IFERROR(W1430/'FA Addition'!$J1430*'FA Addition'!$L1430,0)</f>
        <v>0</v>
      </c>
      <c r="AA1430" s="116">
        <f>SUMIFS('FA Write off'!D:D,'FA Write off'!A:A,'FA Addition'!$A1430,'FA Write off'!C:C,"&lt;"&amp;'FA Addition'!$L$1+1,'FA Write off'!C:C,"&gt;"&amp;'FA Addition'!$L$1-365)</f>
        <v>0</v>
      </c>
      <c r="AC1430" s="118">
        <f>IFERROR(AA1430/'FA Addition'!$J1430*'FA Addition'!$L1430,0)</f>
        <v>0</v>
      </c>
      <c r="AE1430" s="117">
        <f>IF(AND('FA Addition'!$D1430&lt;$P$1+1,U1430=0),'FA Addition'!$L1430,0)-Y1430</f>
        <v>0</v>
      </c>
      <c r="AF1430" s="117">
        <f t="shared" si="110"/>
        <v>0</v>
      </c>
      <c r="AG1430" s="117">
        <f>MIN(MAX(+$P$1-'FA Addition'!$D1430,0),365*'FA Addition'!$O1430)</f>
        <v>0</v>
      </c>
      <c r="AH1430" s="117">
        <f>MIN(MAX($L$1-'FA Addition'!$D1430+1,0),365*'FA Addition'!$O1430)</f>
        <v>0</v>
      </c>
      <c r="AI1430" s="117" cm="1">
        <f t="array" ref="AI1430">_xlfn.XLOOKUP(1,('FA Write off'!A:A='FA Addition'!$A1430)*('FA Write off'!D:D=AA1430),'FA Write off'!H:H,0,0)</f>
        <v>0</v>
      </c>
      <c r="AJ1430" s="117">
        <f>IF(AC1430&gt;0,MAX(IF('FA Addition'!$N1430="SLM",($AC1430-'FA Addition'!$M1430)*'FA Addition'!$P1430*AI1430/365,(AC1430-'FA Addition'!$M1430)*(1-(1-'FA Addition'!$P1430)^(AI1430/365))),0),0)</f>
        <v>0</v>
      </c>
      <c r="AL1430" s="117">
        <f>MAX(IF(AG1430&gt;0,IF('FA Addition'!$N1430="SLM",($AE1430-'FA Addition'!$M1430)*'FA Addition'!$P1430*AG1430/365,IFERROR(VDB(AE1430,AE1430*0.05,'FA Addition'!$O1430,0,YEARFRAC('FA Addition'!$C1430,$P$1-1,3),'FA Addition'!$Q1430),FAAddition[[#This Row],[Original Cost (Rs)]]-FAAddition[[#This Row],[Salvage Value]])),0),0)</f>
        <v>0</v>
      </c>
      <c r="AM1430" s="119"/>
      <c r="AN1430" s="117">
        <f>MAX(IF(AH1430&gt;0,IF('FA Addition'!$N1430="SLM",($AF1430-'FA Addition'!$M1430)*'FA Addition'!$P1430*AH1430/365,IFERROR(VDB(AF1430,AF1430*0.05,'FA Addition'!$O1430,0,YEARFRAC('FA Addition'!$C1430,$L$1,3),'FA Addition'!$Q1430),FAAddition[[#This Row],[Original Cost (Rs)]]-FAAddition[[#This Row],[Salvage Value]])),0),0)</f>
        <v>0</v>
      </c>
      <c r="AO1430" s="117">
        <f t="shared" si="113"/>
        <v>0</v>
      </c>
      <c r="AQ1430" s="117">
        <f t="shared" si="111"/>
        <v>0</v>
      </c>
      <c r="AR1430" s="120">
        <f t="shared" si="112"/>
        <v>0</v>
      </c>
      <c r="AS1430" s="121"/>
    </row>
    <row r="1431" spans="1:45" ht="13.5" x14ac:dyDescent="0.4">
      <c r="A1431" s="12">
        <f t="shared" si="114"/>
        <v>1428</v>
      </c>
      <c r="B1431" s="64" t="s">
        <v>10</v>
      </c>
      <c r="C1431" s="54">
        <v>45930</v>
      </c>
      <c r="D1431" s="54">
        <v>45930</v>
      </c>
      <c r="E1431" s="46" t="s">
        <v>749</v>
      </c>
      <c r="F1431" s="51" t="s">
        <v>74</v>
      </c>
      <c r="G1431" s="51" t="s">
        <v>117</v>
      </c>
      <c r="H1431" s="51" t="s">
        <v>127</v>
      </c>
      <c r="I1431" s="55" t="s">
        <v>128</v>
      </c>
      <c r="J1431" s="56">
        <v>1</v>
      </c>
      <c r="K1431" s="51" t="s">
        <v>306</v>
      </c>
      <c r="L1431" s="58">
        <v>2338</v>
      </c>
      <c r="M1431" s="50">
        <f>ROUND('FA Addition'!$L1431*5%,0.1)</f>
        <v>117</v>
      </c>
      <c r="N1431" s="113" t="str">
        <f>_xlfn.XLOOKUP(_xlfn.CONCAT(E1431,B1431),'Year Wise Master Dep Approach'!F:F,'Year Wise Master Dep Approach'!D:D)</f>
        <v>WDV</v>
      </c>
      <c r="O1431" s="113">
        <f>_xlfn.XLOOKUP(_xlfn.CONCAT(E1431,B1431),'Year Wise Master Dep Approach'!F:F,'Year Wise Master Dep Approach'!E:E)</f>
        <v>5</v>
      </c>
      <c r="P1431" s="114">
        <f>IFERROR(IF('FA Addition'!$N1431="WDV",1-('FA Addition'!$M1431/'FA Addition'!$L1431)^(1/'FA Addition'!$O1431),1/'FA Addition'!$O1431),0)</f>
        <v>0.45062578610240822</v>
      </c>
      <c r="Q1431" s="122">
        <f>'FA Addition'!$P1431*'FA Addition'!$O1431</f>
        <v>2.253128930512041</v>
      </c>
      <c r="R1431" s="122"/>
      <c r="S1431" s="116">
        <f>IF(AND(DATE(20&amp;LEFT(FAAddition[[#This Row],[FY]],2),4,1)&lt;$L$1+1,DATE(20&amp;LEFT(FAAddition[[#This Row],[FY]],2),4,1)&gt;$P$1-1),'FA Addition'!$J1431,0)</f>
        <v>0</v>
      </c>
      <c r="U1431" s="117">
        <f>S1431*'FA Addition'!$L1431/'FA Addition'!$J1431</f>
        <v>0</v>
      </c>
      <c r="W1431" s="116">
        <f>SUMIFS('FA Write off'!D:D,'FA Write off'!A:A,'FA Addition'!$A1431,'FA Write off'!C:C,"&lt;"&amp;'FA Addition'!$P$1)</f>
        <v>0</v>
      </c>
      <c r="Y1431" s="191">
        <f>IFERROR(W1431/'FA Addition'!$J1431*'FA Addition'!$L1431,0)</f>
        <v>0</v>
      </c>
      <c r="AA1431" s="116">
        <f>SUMIFS('FA Write off'!D:D,'FA Write off'!A:A,'FA Addition'!$A1431,'FA Write off'!C:C,"&lt;"&amp;'FA Addition'!$L$1+1,'FA Write off'!C:C,"&gt;"&amp;'FA Addition'!$L$1-365)</f>
        <v>0</v>
      </c>
      <c r="AC1431" s="118">
        <f>IFERROR(AA1431/'FA Addition'!$J1431*'FA Addition'!$L1431,0)</f>
        <v>0</v>
      </c>
      <c r="AE1431" s="117">
        <f>IF(AND('FA Addition'!$D1431&lt;$P$1+1,U1431=0),'FA Addition'!$L1431,0)-Y1431</f>
        <v>0</v>
      </c>
      <c r="AF1431" s="117">
        <f t="shared" si="110"/>
        <v>0</v>
      </c>
      <c r="AG1431" s="117">
        <f>MIN(MAX(+$P$1-'FA Addition'!$D1431,0),365*'FA Addition'!$O1431)</f>
        <v>0</v>
      </c>
      <c r="AH1431" s="117">
        <f>MIN(MAX($L$1-'FA Addition'!$D1431+1,0),365*'FA Addition'!$O1431)</f>
        <v>0</v>
      </c>
      <c r="AI1431" s="117" cm="1">
        <f t="array" ref="AI1431">_xlfn.XLOOKUP(1,('FA Write off'!A:A='FA Addition'!$A1431)*('FA Write off'!D:D=AA1431),'FA Write off'!H:H,0,0)</f>
        <v>0</v>
      </c>
      <c r="AJ1431" s="117">
        <f>IF(AC1431&gt;0,MAX(IF('FA Addition'!$N1431="SLM",($AC1431-'FA Addition'!$M1431)*'FA Addition'!$P1431*AI1431/365,(AC1431-'FA Addition'!$M1431)*(1-(1-'FA Addition'!$P1431)^(AI1431/365))),0),0)</f>
        <v>0</v>
      </c>
      <c r="AL1431" s="117">
        <f>MAX(IF(AG1431&gt;0,IF('FA Addition'!$N1431="SLM",($AE1431-'FA Addition'!$M1431)*'FA Addition'!$P1431*AG1431/365,IFERROR(VDB(AE1431,AE1431*0.05,'FA Addition'!$O1431,0,YEARFRAC('FA Addition'!$C1431,$P$1-1,3),'FA Addition'!$Q1431),FAAddition[[#This Row],[Original Cost (Rs)]]-FAAddition[[#This Row],[Salvage Value]])),0),0)</f>
        <v>0</v>
      </c>
      <c r="AM1431" s="119"/>
      <c r="AN1431" s="117">
        <f>MAX(IF(AH1431&gt;0,IF('FA Addition'!$N1431="SLM",($AF1431-'FA Addition'!$M1431)*'FA Addition'!$P1431*AH1431/365,IFERROR(VDB(AF1431,AF1431*0.05,'FA Addition'!$O1431,0,YEARFRAC('FA Addition'!$C1431,$L$1,3),'FA Addition'!$Q1431),FAAddition[[#This Row],[Original Cost (Rs)]]-FAAddition[[#This Row],[Salvage Value]])),0),0)</f>
        <v>0</v>
      </c>
      <c r="AO1431" s="117">
        <f t="shared" si="113"/>
        <v>0</v>
      </c>
      <c r="AQ1431" s="117">
        <f t="shared" si="111"/>
        <v>0</v>
      </c>
      <c r="AR1431" s="120">
        <f t="shared" si="112"/>
        <v>0</v>
      </c>
      <c r="AS1431" s="121"/>
    </row>
    <row r="1432" spans="1:45" ht="13.5" x14ac:dyDescent="0.4">
      <c r="A1432" s="12">
        <f t="shared" si="114"/>
        <v>1429</v>
      </c>
      <c r="B1432" s="64" t="s">
        <v>10</v>
      </c>
      <c r="C1432" s="54">
        <v>45930</v>
      </c>
      <c r="D1432" s="54">
        <v>45930</v>
      </c>
      <c r="E1432" s="46" t="s">
        <v>749</v>
      </c>
      <c r="F1432" s="51" t="s">
        <v>74</v>
      </c>
      <c r="G1432" s="51" t="s">
        <v>117</v>
      </c>
      <c r="H1432" s="51" t="s">
        <v>127</v>
      </c>
      <c r="I1432" s="55" t="s">
        <v>128</v>
      </c>
      <c r="J1432" s="56">
        <v>1</v>
      </c>
      <c r="K1432" s="51" t="s">
        <v>306</v>
      </c>
      <c r="L1432" s="58">
        <v>2338</v>
      </c>
      <c r="M1432" s="50">
        <f>ROUND('FA Addition'!$L1432*5%,0.1)</f>
        <v>117</v>
      </c>
      <c r="N1432" s="113" t="str">
        <f>_xlfn.XLOOKUP(_xlfn.CONCAT(E1432,B1432),'Year Wise Master Dep Approach'!F:F,'Year Wise Master Dep Approach'!D:D)</f>
        <v>WDV</v>
      </c>
      <c r="O1432" s="113">
        <f>_xlfn.XLOOKUP(_xlfn.CONCAT(E1432,B1432),'Year Wise Master Dep Approach'!F:F,'Year Wise Master Dep Approach'!E:E)</f>
        <v>5</v>
      </c>
      <c r="P1432" s="114">
        <f>IFERROR(IF('FA Addition'!$N1432="WDV",1-('FA Addition'!$M1432/'FA Addition'!$L1432)^(1/'FA Addition'!$O1432),1/'FA Addition'!$O1432),0)</f>
        <v>0.45062578610240822</v>
      </c>
      <c r="Q1432" s="122">
        <f>'FA Addition'!$P1432*'FA Addition'!$O1432</f>
        <v>2.253128930512041</v>
      </c>
      <c r="R1432" s="122"/>
      <c r="S1432" s="116">
        <f>IF(AND(DATE(20&amp;LEFT(FAAddition[[#This Row],[FY]],2),4,1)&lt;$L$1+1,DATE(20&amp;LEFT(FAAddition[[#This Row],[FY]],2),4,1)&gt;$P$1-1),'FA Addition'!$J1432,0)</f>
        <v>0</v>
      </c>
      <c r="U1432" s="117">
        <f>S1432*'FA Addition'!$L1432/'FA Addition'!$J1432</f>
        <v>0</v>
      </c>
      <c r="W1432" s="116">
        <f>SUMIFS('FA Write off'!D:D,'FA Write off'!A:A,'FA Addition'!$A1432,'FA Write off'!C:C,"&lt;"&amp;'FA Addition'!$P$1)</f>
        <v>0</v>
      </c>
      <c r="Y1432" s="191">
        <f>IFERROR(W1432/'FA Addition'!$J1432*'FA Addition'!$L1432,0)</f>
        <v>0</v>
      </c>
      <c r="AA1432" s="116">
        <f>SUMIFS('FA Write off'!D:D,'FA Write off'!A:A,'FA Addition'!$A1432,'FA Write off'!C:C,"&lt;"&amp;'FA Addition'!$L$1+1,'FA Write off'!C:C,"&gt;"&amp;'FA Addition'!$L$1-365)</f>
        <v>0</v>
      </c>
      <c r="AC1432" s="118">
        <f>IFERROR(AA1432/'FA Addition'!$J1432*'FA Addition'!$L1432,0)</f>
        <v>0</v>
      </c>
      <c r="AE1432" s="117">
        <f>IF(AND('FA Addition'!$D1432&lt;$P$1+1,U1432=0),'FA Addition'!$L1432,0)-Y1432</f>
        <v>0</v>
      </c>
      <c r="AF1432" s="117">
        <f t="shared" si="110"/>
        <v>0</v>
      </c>
      <c r="AG1432" s="117">
        <f>MIN(MAX(+$P$1-'FA Addition'!$D1432,0),365*'FA Addition'!$O1432)</f>
        <v>0</v>
      </c>
      <c r="AH1432" s="117">
        <f>MIN(MAX($L$1-'FA Addition'!$D1432+1,0),365*'FA Addition'!$O1432)</f>
        <v>0</v>
      </c>
      <c r="AI1432" s="117" cm="1">
        <f t="array" ref="AI1432">_xlfn.XLOOKUP(1,('FA Write off'!A:A='FA Addition'!$A1432)*('FA Write off'!D:D=AA1432),'FA Write off'!H:H,0,0)</f>
        <v>0</v>
      </c>
      <c r="AJ1432" s="117">
        <f>IF(AC1432&gt;0,MAX(IF('FA Addition'!$N1432="SLM",($AC1432-'FA Addition'!$M1432)*'FA Addition'!$P1432*AI1432/365,(AC1432-'FA Addition'!$M1432)*(1-(1-'FA Addition'!$P1432)^(AI1432/365))),0),0)</f>
        <v>0</v>
      </c>
      <c r="AL1432" s="117">
        <f>MAX(IF(AG1432&gt;0,IF('FA Addition'!$N1432="SLM",($AE1432-'FA Addition'!$M1432)*'FA Addition'!$P1432*AG1432/365,IFERROR(VDB(AE1432,AE1432*0.05,'FA Addition'!$O1432,0,YEARFRAC('FA Addition'!$C1432,$P$1-1,3),'FA Addition'!$Q1432),FAAddition[[#This Row],[Original Cost (Rs)]]-FAAddition[[#This Row],[Salvage Value]])),0),0)</f>
        <v>0</v>
      </c>
      <c r="AM1432" s="119"/>
      <c r="AN1432" s="117">
        <f>MAX(IF(AH1432&gt;0,IF('FA Addition'!$N1432="SLM",($AF1432-'FA Addition'!$M1432)*'FA Addition'!$P1432*AH1432/365,IFERROR(VDB(AF1432,AF1432*0.05,'FA Addition'!$O1432,0,YEARFRAC('FA Addition'!$C1432,$L$1,3),'FA Addition'!$Q1432),FAAddition[[#This Row],[Original Cost (Rs)]]-FAAddition[[#This Row],[Salvage Value]])),0),0)</f>
        <v>0</v>
      </c>
      <c r="AO1432" s="117">
        <f t="shared" si="113"/>
        <v>0</v>
      </c>
      <c r="AQ1432" s="117">
        <f t="shared" si="111"/>
        <v>0</v>
      </c>
      <c r="AR1432" s="120">
        <f t="shared" si="112"/>
        <v>0</v>
      </c>
      <c r="AS1432" s="121"/>
    </row>
    <row r="1433" spans="1:45" ht="13.5" x14ac:dyDescent="0.4">
      <c r="A1433" s="12">
        <f t="shared" si="114"/>
        <v>1430</v>
      </c>
      <c r="B1433" s="64" t="s">
        <v>10</v>
      </c>
      <c r="C1433" s="54">
        <v>45930</v>
      </c>
      <c r="D1433" s="54">
        <v>45930</v>
      </c>
      <c r="E1433" s="46" t="s">
        <v>749</v>
      </c>
      <c r="F1433" s="51" t="s">
        <v>74</v>
      </c>
      <c r="G1433" s="51" t="s">
        <v>117</v>
      </c>
      <c r="H1433" s="51" t="s">
        <v>127</v>
      </c>
      <c r="I1433" s="55" t="s">
        <v>128</v>
      </c>
      <c r="J1433" s="56">
        <v>1</v>
      </c>
      <c r="K1433" s="51" t="s">
        <v>306</v>
      </c>
      <c r="L1433" s="58">
        <v>2338</v>
      </c>
      <c r="M1433" s="50">
        <f>ROUND('FA Addition'!$L1433*5%,0.1)</f>
        <v>117</v>
      </c>
      <c r="N1433" s="113" t="str">
        <f>_xlfn.XLOOKUP(_xlfn.CONCAT(E1433,B1433),'Year Wise Master Dep Approach'!F:F,'Year Wise Master Dep Approach'!D:D)</f>
        <v>WDV</v>
      </c>
      <c r="O1433" s="113">
        <f>_xlfn.XLOOKUP(_xlfn.CONCAT(E1433,B1433),'Year Wise Master Dep Approach'!F:F,'Year Wise Master Dep Approach'!E:E)</f>
        <v>5</v>
      </c>
      <c r="P1433" s="114">
        <f>IFERROR(IF('FA Addition'!$N1433="WDV",1-('FA Addition'!$M1433/'FA Addition'!$L1433)^(1/'FA Addition'!$O1433),1/'FA Addition'!$O1433),0)</f>
        <v>0.45062578610240822</v>
      </c>
      <c r="Q1433" s="122">
        <f>'FA Addition'!$P1433*'FA Addition'!$O1433</f>
        <v>2.253128930512041</v>
      </c>
      <c r="R1433" s="122"/>
      <c r="S1433" s="116">
        <f>IF(AND(DATE(20&amp;LEFT(FAAddition[[#This Row],[FY]],2),4,1)&lt;$L$1+1,DATE(20&amp;LEFT(FAAddition[[#This Row],[FY]],2),4,1)&gt;$P$1-1),'FA Addition'!$J1433,0)</f>
        <v>0</v>
      </c>
      <c r="U1433" s="117">
        <f>S1433*'FA Addition'!$L1433/'FA Addition'!$J1433</f>
        <v>0</v>
      </c>
      <c r="W1433" s="116">
        <f>SUMIFS('FA Write off'!D:D,'FA Write off'!A:A,'FA Addition'!$A1433,'FA Write off'!C:C,"&lt;"&amp;'FA Addition'!$P$1)</f>
        <v>0</v>
      </c>
      <c r="Y1433" s="191">
        <f>IFERROR(W1433/'FA Addition'!$J1433*'FA Addition'!$L1433,0)</f>
        <v>0</v>
      </c>
      <c r="AA1433" s="116">
        <f>SUMIFS('FA Write off'!D:D,'FA Write off'!A:A,'FA Addition'!$A1433,'FA Write off'!C:C,"&lt;"&amp;'FA Addition'!$L$1+1,'FA Write off'!C:C,"&gt;"&amp;'FA Addition'!$L$1-365)</f>
        <v>0</v>
      </c>
      <c r="AC1433" s="118">
        <f>IFERROR(AA1433/'FA Addition'!$J1433*'FA Addition'!$L1433,0)</f>
        <v>0</v>
      </c>
      <c r="AE1433" s="117">
        <f>IF(AND('FA Addition'!$D1433&lt;$P$1+1,U1433=0),'FA Addition'!$L1433,0)-Y1433</f>
        <v>0</v>
      </c>
      <c r="AF1433" s="117">
        <f t="shared" si="110"/>
        <v>0</v>
      </c>
      <c r="AG1433" s="117">
        <f>MIN(MAX(+$P$1-'FA Addition'!$D1433,0),365*'FA Addition'!$O1433)</f>
        <v>0</v>
      </c>
      <c r="AH1433" s="117">
        <f>MIN(MAX($L$1-'FA Addition'!$D1433+1,0),365*'FA Addition'!$O1433)</f>
        <v>0</v>
      </c>
      <c r="AI1433" s="117" cm="1">
        <f t="array" ref="AI1433">_xlfn.XLOOKUP(1,('FA Write off'!A:A='FA Addition'!$A1433)*('FA Write off'!D:D=AA1433),'FA Write off'!H:H,0,0)</f>
        <v>0</v>
      </c>
      <c r="AJ1433" s="117">
        <f>IF(AC1433&gt;0,MAX(IF('FA Addition'!$N1433="SLM",($AC1433-'FA Addition'!$M1433)*'FA Addition'!$P1433*AI1433/365,(AC1433-'FA Addition'!$M1433)*(1-(1-'FA Addition'!$P1433)^(AI1433/365))),0),0)</f>
        <v>0</v>
      </c>
      <c r="AL1433" s="117">
        <f>MAX(IF(AG1433&gt;0,IF('FA Addition'!$N1433="SLM",($AE1433-'FA Addition'!$M1433)*'FA Addition'!$P1433*AG1433/365,IFERROR(VDB(AE1433,AE1433*0.05,'FA Addition'!$O1433,0,YEARFRAC('FA Addition'!$C1433,$P$1-1,3),'FA Addition'!$Q1433),FAAddition[[#This Row],[Original Cost (Rs)]]-FAAddition[[#This Row],[Salvage Value]])),0),0)</f>
        <v>0</v>
      </c>
      <c r="AM1433" s="119"/>
      <c r="AN1433" s="117">
        <f>MAX(IF(AH1433&gt;0,IF('FA Addition'!$N1433="SLM",($AF1433-'FA Addition'!$M1433)*'FA Addition'!$P1433*AH1433/365,IFERROR(VDB(AF1433,AF1433*0.05,'FA Addition'!$O1433,0,YEARFRAC('FA Addition'!$C1433,$L$1,3),'FA Addition'!$Q1433),FAAddition[[#This Row],[Original Cost (Rs)]]-FAAddition[[#This Row],[Salvage Value]])),0),0)</f>
        <v>0</v>
      </c>
      <c r="AO1433" s="117">
        <f t="shared" si="113"/>
        <v>0</v>
      </c>
      <c r="AQ1433" s="117">
        <f t="shared" si="111"/>
        <v>0</v>
      </c>
      <c r="AR1433" s="120">
        <f t="shared" si="112"/>
        <v>0</v>
      </c>
      <c r="AS1433" s="121"/>
    </row>
    <row r="1434" spans="1:45" ht="13.5" x14ac:dyDescent="0.4">
      <c r="A1434" s="12">
        <f t="shared" si="114"/>
        <v>1431</v>
      </c>
      <c r="B1434" s="64" t="s">
        <v>10</v>
      </c>
      <c r="C1434" s="54">
        <v>45928</v>
      </c>
      <c r="D1434" s="54">
        <v>45930</v>
      </c>
      <c r="E1434" s="46" t="s">
        <v>749</v>
      </c>
      <c r="F1434" s="51" t="s">
        <v>74</v>
      </c>
      <c r="G1434" s="51" t="s">
        <v>117</v>
      </c>
      <c r="H1434" s="51" t="s">
        <v>129</v>
      </c>
      <c r="I1434" s="55" t="s">
        <v>130</v>
      </c>
      <c r="J1434" s="56">
        <v>1</v>
      </c>
      <c r="K1434" s="51" t="s">
        <v>307</v>
      </c>
      <c r="L1434" s="58">
        <v>13982</v>
      </c>
      <c r="M1434" s="50">
        <f>ROUND('FA Addition'!$L1434*5%,0.1)</f>
        <v>699</v>
      </c>
      <c r="N1434" s="113" t="str">
        <f>_xlfn.XLOOKUP(_xlfn.CONCAT(E1434,B1434),'Year Wise Master Dep Approach'!F:F,'Year Wise Master Dep Approach'!D:D)</f>
        <v>WDV</v>
      </c>
      <c r="O1434" s="113">
        <f>_xlfn.XLOOKUP(_xlfn.CONCAT(E1434,B1434),'Year Wise Master Dep Approach'!F:F,'Year Wise Master Dep Approach'!E:E)</f>
        <v>5</v>
      </c>
      <c r="P1434" s="114">
        <f>IFERROR(IF('FA Addition'!$N1434="WDV",1-('FA Addition'!$M1434/'FA Addition'!$L1434)^(1/'FA Addition'!$O1434),1/'FA Addition'!$O1434),0)</f>
        <v>0.45073544317177883</v>
      </c>
      <c r="Q1434" s="122">
        <f>'FA Addition'!$P1434*'FA Addition'!$O1434</f>
        <v>2.253677215858894</v>
      </c>
      <c r="R1434" s="122"/>
      <c r="S1434" s="116">
        <f>IF(AND(DATE(20&amp;LEFT(FAAddition[[#This Row],[FY]],2),4,1)&lt;$L$1+1,DATE(20&amp;LEFT(FAAddition[[#This Row],[FY]],2),4,1)&gt;$P$1-1),'FA Addition'!$J1434,0)</f>
        <v>0</v>
      </c>
      <c r="U1434" s="117">
        <f>S1434*'FA Addition'!$L1434/'FA Addition'!$J1434</f>
        <v>0</v>
      </c>
      <c r="W1434" s="116">
        <f>SUMIFS('FA Write off'!D:D,'FA Write off'!A:A,'FA Addition'!$A1434,'FA Write off'!C:C,"&lt;"&amp;'FA Addition'!$P$1)</f>
        <v>0</v>
      </c>
      <c r="Y1434" s="191">
        <f>IFERROR(W1434/'FA Addition'!$J1434*'FA Addition'!$L1434,0)</f>
        <v>0</v>
      </c>
      <c r="AA1434" s="116">
        <f>SUMIFS('FA Write off'!D:D,'FA Write off'!A:A,'FA Addition'!$A1434,'FA Write off'!C:C,"&lt;"&amp;'FA Addition'!$L$1+1,'FA Write off'!C:C,"&gt;"&amp;'FA Addition'!$L$1-365)</f>
        <v>0</v>
      </c>
      <c r="AC1434" s="118">
        <f>IFERROR(AA1434/'FA Addition'!$J1434*'FA Addition'!$L1434,0)</f>
        <v>0</v>
      </c>
      <c r="AE1434" s="117">
        <f>IF(AND('FA Addition'!$D1434&lt;$P$1+1,U1434=0),'FA Addition'!$L1434,0)-Y1434</f>
        <v>0</v>
      </c>
      <c r="AF1434" s="117">
        <f t="shared" si="110"/>
        <v>0</v>
      </c>
      <c r="AG1434" s="117">
        <f>MIN(MAX(+$P$1-'FA Addition'!$D1434,0),365*'FA Addition'!$O1434)</f>
        <v>0</v>
      </c>
      <c r="AH1434" s="117">
        <f>MIN(MAX($L$1-'FA Addition'!$D1434+1,0),365*'FA Addition'!$O1434)</f>
        <v>0</v>
      </c>
      <c r="AI1434" s="117" cm="1">
        <f t="array" ref="AI1434">_xlfn.XLOOKUP(1,('FA Write off'!A:A='FA Addition'!$A1434)*('FA Write off'!D:D=AA1434),'FA Write off'!H:H,0,0)</f>
        <v>0</v>
      </c>
      <c r="AJ1434" s="117">
        <f>IF(AC1434&gt;0,MAX(IF('FA Addition'!$N1434="SLM",($AC1434-'FA Addition'!$M1434)*'FA Addition'!$P1434*AI1434/365,(AC1434-'FA Addition'!$M1434)*(1-(1-'FA Addition'!$P1434)^(AI1434/365))),0),0)</f>
        <v>0</v>
      </c>
      <c r="AL1434" s="117">
        <f>MAX(IF(AG1434&gt;0,IF('FA Addition'!$N1434="SLM",($AE1434-'FA Addition'!$M1434)*'FA Addition'!$P1434*AG1434/365,IFERROR(VDB(AE1434,AE1434*0.05,'FA Addition'!$O1434,0,YEARFRAC('FA Addition'!$C1434,$P$1-1,3),'FA Addition'!$Q1434),FAAddition[[#This Row],[Original Cost (Rs)]]-FAAddition[[#This Row],[Salvage Value]])),0),0)</f>
        <v>0</v>
      </c>
      <c r="AM1434" s="119"/>
      <c r="AN1434" s="117">
        <f>MAX(IF(AH1434&gt;0,IF('FA Addition'!$N1434="SLM",($AF1434-'FA Addition'!$M1434)*'FA Addition'!$P1434*AH1434/365,IFERROR(VDB(AF1434,AF1434*0.05,'FA Addition'!$O1434,0,YEARFRAC('FA Addition'!$C1434,$L$1,3),'FA Addition'!$Q1434),FAAddition[[#This Row],[Original Cost (Rs)]]-FAAddition[[#This Row],[Salvage Value]])),0),0)</f>
        <v>0</v>
      </c>
      <c r="AO1434" s="117">
        <f t="shared" si="113"/>
        <v>0</v>
      </c>
      <c r="AQ1434" s="117">
        <f t="shared" si="111"/>
        <v>0</v>
      </c>
      <c r="AR1434" s="120">
        <f t="shared" si="112"/>
        <v>0</v>
      </c>
      <c r="AS1434" s="121"/>
    </row>
    <row r="1435" spans="1:45" ht="13.5" x14ac:dyDescent="0.4">
      <c r="A1435" s="12">
        <f t="shared" si="114"/>
        <v>1432</v>
      </c>
      <c r="B1435" s="64" t="s">
        <v>10</v>
      </c>
      <c r="C1435" s="54">
        <v>45904</v>
      </c>
      <c r="D1435" s="54">
        <v>45910</v>
      </c>
      <c r="E1435" s="46" t="s">
        <v>32</v>
      </c>
      <c r="F1435" s="51" t="s">
        <v>131</v>
      </c>
      <c r="G1435" s="51" t="s">
        <v>29</v>
      </c>
      <c r="H1435" s="51" t="s">
        <v>26</v>
      </c>
      <c r="I1435" s="55" t="s">
        <v>132</v>
      </c>
      <c r="J1435" s="56">
        <v>1000</v>
      </c>
      <c r="K1435" s="51" t="s">
        <v>308</v>
      </c>
      <c r="L1435" s="58">
        <v>50000</v>
      </c>
      <c r="M1435" s="50">
        <f>ROUND('FA Addition'!$L1435*5%,0.1)</f>
        <v>2500</v>
      </c>
      <c r="N1435" s="113" t="str">
        <f>_xlfn.XLOOKUP(_xlfn.CONCAT(E1435,B1435),'Year Wise Master Dep Approach'!F:F,'Year Wise Master Dep Approach'!D:D)</f>
        <v>SLM</v>
      </c>
      <c r="O1435" s="113">
        <f>_xlfn.XLOOKUP(_xlfn.CONCAT(E1435,B1435),'Year Wise Master Dep Approach'!F:F,'Year Wise Master Dep Approach'!E:E)</f>
        <v>5</v>
      </c>
      <c r="P1435" s="114">
        <f>IFERROR(IF('FA Addition'!$N1435="WDV",1-('FA Addition'!$M1435/'FA Addition'!$L1435)^(1/'FA Addition'!$O1435),1/'FA Addition'!$O1435),0)</f>
        <v>0.2</v>
      </c>
      <c r="Q1435" s="122">
        <f>'FA Addition'!$P1435*'FA Addition'!$O1435</f>
        <v>1</v>
      </c>
      <c r="R1435" s="122"/>
      <c r="S1435" s="116">
        <f>IF(AND(DATE(20&amp;LEFT(FAAddition[[#This Row],[FY]],2),4,1)&lt;$L$1+1,DATE(20&amp;LEFT(FAAddition[[#This Row],[FY]],2),4,1)&gt;$P$1-1),'FA Addition'!$J1435,0)</f>
        <v>0</v>
      </c>
      <c r="U1435" s="117">
        <f>S1435*'FA Addition'!$L1435/'FA Addition'!$J1435</f>
        <v>0</v>
      </c>
      <c r="W1435" s="116">
        <f>SUMIFS('FA Write off'!D:D,'FA Write off'!A:A,'FA Addition'!$A1435,'FA Write off'!C:C,"&lt;"&amp;'FA Addition'!$P$1)</f>
        <v>0</v>
      </c>
      <c r="Y1435" s="191">
        <f>IFERROR(W1435/'FA Addition'!$J1435*'FA Addition'!$L1435,0)</f>
        <v>0</v>
      </c>
      <c r="AA1435" s="116">
        <f>SUMIFS('FA Write off'!D:D,'FA Write off'!A:A,'FA Addition'!$A1435,'FA Write off'!C:C,"&lt;"&amp;'FA Addition'!$L$1+1,'FA Write off'!C:C,"&gt;"&amp;'FA Addition'!$L$1-365)</f>
        <v>0</v>
      </c>
      <c r="AC1435" s="118">
        <f>IFERROR(AA1435/'FA Addition'!$J1435*'FA Addition'!$L1435,0)</f>
        <v>0</v>
      </c>
      <c r="AE1435" s="117">
        <f>IF(AND('FA Addition'!$D1435&lt;$P$1+1,U1435=0),'FA Addition'!$L1435,0)-Y1435</f>
        <v>0</v>
      </c>
      <c r="AF1435" s="117">
        <f t="shared" si="110"/>
        <v>0</v>
      </c>
      <c r="AG1435" s="117">
        <f>MIN(MAX(+$P$1-'FA Addition'!$D1435,0),365*'FA Addition'!$O1435)</f>
        <v>0</v>
      </c>
      <c r="AH1435" s="117">
        <f>MIN(MAX($L$1-'FA Addition'!$D1435+1,0),365*'FA Addition'!$O1435)</f>
        <v>0</v>
      </c>
      <c r="AI1435" s="117" cm="1">
        <f t="array" ref="AI1435">_xlfn.XLOOKUP(1,('FA Write off'!A:A='FA Addition'!$A1435)*('FA Write off'!D:D=AA1435),'FA Write off'!H:H,0,0)</f>
        <v>0</v>
      </c>
      <c r="AJ1435" s="117">
        <f>IF(AC1435&gt;0,MAX(IF('FA Addition'!$N1435="SLM",($AC1435-'FA Addition'!$M1435)*'FA Addition'!$P1435*AI1435/365,(AC1435-'FA Addition'!$M1435)*(1-(1-'FA Addition'!$P1435)^(AI1435/365))),0),0)</f>
        <v>0</v>
      </c>
      <c r="AL1435" s="117">
        <f>MAX(IF(AG1435&gt;0,IF('FA Addition'!$N1435="SLM",($AE1435-'FA Addition'!$M1435)*'FA Addition'!$P1435*AG1435/365,IFERROR(VDB(AE1435,AE1435*0.05,'FA Addition'!$O1435,0,YEARFRAC('FA Addition'!$C1435,$P$1-1,3),'FA Addition'!$Q1435),FAAddition[[#This Row],[Original Cost (Rs)]]-FAAddition[[#This Row],[Salvage Value]])),0),0)</f>
        <v>0</v>
      </c>
      <c r="AM1435" s="119"/>
      <c r="AN1435" s="117">
        <f>MAX(IF(AH1435&gt;0,IF('FA Addition'!$N1435="SLM",($AF1435-'FA Addition'!$M1435)*'FA Addition'!$P1435*AH1435/365,IFERROR(VDB(AF1435,AF1435*0.05,'FA Addition'!$O1435,0,YEARFRAC('FA Addition'!$C1435,$L$1,3),'FA Addition'!$Q1435),FAAddition[[#This Row],[Original Cost (Rs)]]-FAAddition[[#This Row],[Salvage Value]])),0),0)</f>
        <v>0</v>
      </c>
      <c r="AO1435" s="117">
        <f t="shared" si="113"/>
        <v>0</v>
      </c>
      <c r="AQ1435" s="117">
        <f t="shared" si="111"/>
        <v>0</v>
      </c>
      <c r="AR1435" s="120">
        <f t="shared" si="112"/>
        <v>0</v>
      </c>
      <c r="AS1435" s="121"/>
    </row>
    <row r="1436" spans="1:45" ht="13.5" x14ac:dyDescent="0.4">
      <c r="A1436" s="12">
        <f t="shared" si="114"/>
        <v>1433</v>
      </c>
      <c r="B1436" s="64" t="s">
        <v>10</v>
      </c>
      <c r="C1436" s="54">
        <v>45776</v>
      </c>
      <c r="D1436" s="54">
        <v>45798</v>
      </c>
      <c r="E1436" s="46" t="s">
        <v>451</v>
      </c>
      <c r="F1436" s="51" t="s">
        <v>19</v>
      </c>
      <c r="G1436" s="51" t="s">
        <v>20</v>
      </c>
      <c r="H1436" s="51" t="s">
        <v>21</v>
      </c>
      <c r="I1436" s="55" t="s">
        <v>133</v>
      </c>
      <c r="J1436" s="56">
        <v>1</v>
      </c>
      <c r="K1436" s="51" t="s">
        <v>288</v>
      </c>
      <c r="L1436" s="58">
        <v>130508</v>
      </c>
      <c r="M1436" s="50">
        <f>ROUND('FA Addition'!$L1436*5%,0.1)</f>
        <v>6525</v>
      </c>
      <c r="N1436" s="113" t="str">
        <f>_xlfn.XLOOKUP(_xlfn.CONCAT(E1436,B1436),'Year Wise Master Dep Approach'!F:F,'Year Wise Master Dep Approach'!D:D)</f>
        <v>WDV</v>
      </c>
      <c r="O1436" s="113">
        <f>_xlfn.XLOOKUP(_xlfn.CONCAT(E1436,B1436),'Year Wise Master Dep Approach'!F:F,'Year Wise Master Dep Approach'!E:E)</f>
        <v>3</v>
      </c>
      <c r="P1436" s="114">
        <f>IFERROR(IF('FA Addition'!$N1436="WDV",1-('FA Addition'!$M1436/'FA Addition'!$L1436)^(1/'FA Addition'!$O1436),1/'FA Addition'!$O1436),0)</f>
        <v>0.63160437786203061</v>
      </c>
      <c r="Q1436" s="122">
        <f>'FA Addition'!$P1436*'FA Addition'!$O1436</f>
        <v>1.8948131335860918</v>
      </c>
      <c r="R1436" s="122"/>
      <c r="S1436" s="116">
        <f>IF(AND(DATE(20&amp;LEFT(FAAddition[[#This Row],[FY]],2),4,1)&lt;$L$1+1,DATE(20&amp;LEFT(FAAddition[[#This Row],[FY]],2),4,1)&gt;$P$1-1),'FA Addition'!$J1436,0)</f>
        <v>0</v>
      </c>
      <c r="U1436" s="117">
        <f>S1436*'FA Addition'!$L1436/'FA Addition'!$J1436</f>
        <v>0</v>
      </c>
      <c r="W1436" s="116">
        <f>SUMIFS('FA Write off'!D:D,'FA Write off'!A:A,'FA Addition'!$A1436,'FA Write off'!C:C,"&lt;"&amp;'FA Addition'!$P$1)</f>
        <v>0</v>
      </c>
      <c r="Y1436" s="191">
        <f>IFERROR(W1436/'FA Addition'!$J1436*'FA Addition'!$L1436,0)</f>
        <v>0</v>
      </c>
      <c r="AA1436" s="116">
        <f>SUMIFS('FA Write off'!D:D,'FA Write off'!A:A,'FA Addition'!$A1436,'FA Write off'!C:C,"&lt;"&amp;'FA Addition'!$L$1+1,'FA Write off'!C:C,"&gt;"&amp;'FA Addition'!$L$1-365)</f>
        <v>0</v>
      </c>
      <c r="AC1436" s="118">
        <f>IFERROR(AA1436/'FA Addition'!$J1436*'FA Addition'!$L1436,0)</f>
        <v>0</v>
      </c>
      <c r="AE1436" s="117">
        <f>IF(AND('FA Addition'!$D1436&lt;$P$1+1,U1436=0),'FA Addition'!$L1436,0)-Y1436</f>
        <v>0</v>
      </c>
      <c r="AF1436" s="117">
        <f t="shared" si="110"/>
        <v>0</v>
      </c>
      <c r="AG1436" s="117">
        <f>MIN(MAX(+$P$1-'FA Addition'!$D1436,0),365*'FA Addition'!$O1436)</f>
        <v>0</v>
      </c>
      <c r="AH1436" s="117">
        <f>MIN(MAX($L$1-'FA Addition'!$D1436+1,0),365*'FA Addition'!$O1436)</f>
        <v>0</v>
      </c>
      <c r="AI1436" s="117" cm="1">
        <f t="array" ref="AI1436">_xlfn.XLOOKUP(1,('FA Write off'!A:A='FA Addition'!$A1436)*('FA Write off'!D:D=AA1436),'FA Write off'!H:H,0,0)</f>
        <v>0</v>
      </c>
      <c r="AJ1436" s="117">
        <f>IF(AC1436&gt;0,MAX(IF('FA Addition'!$N1436="SLM",($AC1436-'FA Addition'!$M1436)*'FA Addition'!$P1436*AI1436/365,(AC1436-'FA Addition'!$M1436)*(1-(1-'FA Addition'!$P1436)^(AI1436/365))),0),0)</f>
        <v>0</v>
      </c>
      <c r="AL1436" s="117">
        <f>MAX(IF(AG1436&gt;0,IF('FA Addition'!$N1436="SLM",($AE1436-'FA Addition'!$M1436)*'FA Addition'!$P1436*AG1436/365,IFERROR(VDB(AE1436,AE1436*0.05,'FA Addition'!$O1436,0,YEARFRAC('FA Addition'!$C1436,$P$1-1,3),'FA Addition'!$Q1436),FAAddition[[#This Row],[Original Cost (Rs)]]-FAAddition[[#This Row],[Salvage Value]])),0),0)</f>
        <v>0</v>
      </c>
      <c r="AM1436" s="119"/>
      <c r="AN1436" s="117">
        <f>MAX(IF(AH1436&gt;0,IF('FA Addition'!$N1436="SLM",($AF1436-'FA Addition'!$M1436)*'FA Addition'!$P1436*AH1436/365,IFERROR(VDB(AF1436,AF1436*0.05,'FA Addition'!$O1436,0,YEARFRAC('FA Addition'!$C1436,$L$1,3),'FA Addition'!$Q1436),FAAddition[[#This Row],[Original Cost (Rs)]]-FAAddition[[#This Row],[Salvage Value]])),0),0)</f>
        <v>0</v>
      </c>
      <c r="AO1436" s="117">
        <f t="shared" si="113"/>
        <v>0</v>
      </c>
      <c r="AQ1436" s="117">
        <f t="shared" si="111"/>
        <v>0</v>
      </c>
      <c r="AR1436" s="120">
        <f t="shared" si="112"/>
        <v>0</v>
      </c>
      <c r="AS1436" s="121"/>
    </row>
    <row r="1437" spans="1:45" ht="13.5" x14ac:dyDescent="0.4">
      <c r="A1437" s="12">
        <f t="shared" si="114"/>
        <v>1434</v>
      </c>
      <c r="B1437" s="64" t="s">
        <v>10</v>
      </c>
      <c r="C1437" s="54">
        <v>45779</v>
      </c>
      <c r="D1437" s="54">
        <v>45798</v>
      </c>
      <c r="E1437" s="46" t="s">
        <v>451</v>
      </c>
      <c r="F1437" s="51" t="s">
        <v>19</v>
      </c>
      <c r="G1437" s="51" t="s">
        <v>20</v>
      </c>
      <c r="H1437" s="51" t="s">
        <v>21</v>
      </c>
      <c r="I1437" s="55" t="s">
        <v>134</v>
      </c>
      <c r="J1437" s="56">
        <v>1</v>
      </c>
      <c r="K1437" s="51" t="s">
        <v>309</v>
      </c>
      <c r="L1437" s="58">
        <v>130508.5</v>
      </c>
      <c r="M1437" s="50">
        <f>ROUND('FA Addition'!$L1437*5%,0.1)</f>
        <v>6525</v>
      </c>
      <c r="N1437" s="113" t="str">
        <f>_xlfn.XLOOKUP(_xlfn.CONCAT(E1437,B1437),'Year Wise Master Dep Approach'!F:F,'Year Wise Master Dep Approach'!D:D)</f>
        <v>WDV</v>
      </c>
      <c r="O1437" s="113">
        <f>_xlfn.XLOOKUP(_xlfn.CONCAT(E1437,B1437),'Year Wise Master Dep Approach'!F:F,'Year Wise Master Dep Approach'!E:E)</f>
        <v>3</v>
      </c>
      <c r="P1437" s="114">
        <f>IFERROR(IF('FA Addition'!$N1437="WDV",1-('FA Addition'!$M1437/'FA Addition'!$L1437)^(1/'FA Addition'!$O1437),1/'FA Addition'!$O1437),0)</f>
        <v>0.63160484832448138</v>
      </c>
      <c r="Q1437" s="122">
        <f>'FA Addition'!$P1437*'FA Addition'!$O1437</f>
        <v>1.8948145449734441</v>
      </c>
      <c r="R1437" s="122"/>
      <c r="S1437" s="116">
        <f>IF(AND(DATE(20&amp;LEFT(FAAddition[[#This Row],[FY]],2),4,1)&lt;$L$1+1,DATE(20&amp;LEFT(FAAddition[[#This Row],[FY]],2),4,1)&gt;$P$1-1),'FA Addition'!$J1437,0)</f>
        <v>0</v>
      </c>
      <c r="U1437" s="117">
        <f>S1437*'FA Addition'!$L1437/'FA Addition'!$J1437</f>
        <v>0</v>
      </c>
      <c r="W1437" s="116">
        <f>SUMIFS('FA Write off'!D:D,'FA Write off'!A:A,'FA Addition'!$A1437,'FA Write off'!C:C,"&lt;"&amp;'FA Addition'!$P$1)</f>
        <v>0</v>
      </c>
      <c r="Y1437" s="191">
        <f>IFERROR(W1437/'FA Addition'!$J1437*'FA Addition'!$L1437,0)</f>
        <v>0</v>
      </c>
      <c r="AA1437" s="116">
        <f>SUMIFS('FA Write off'!D:D,'FA Write off'!A:A,'FA Addition'!$A1437,'FA Write off'!C:C,"&lt;"&amp;'FA Addition'!$L$1+1,'FA Write off'!C:C,"&gt;"&amp;'FA Addition'!$L$1-365)</f>
        <v>0</v>
      </c>
      <c r="AC1437" s="118">
        <f>IFERROR(AA1437/'FA Addition'!$J1437*'FA Addition'!$L1437,0)</f>
        <v>0</v>
      </c>
      <c r="AE1437" s="117">
        <f>IF(AND('FA Addition'!$D1437&lt;$P$1+1,U1437=0),'FA Addition'!$L1437,0)-Y1437</f>
        <v>0</v>
      </c>
      <c r="AF1437" s="117">
        <f t="shared" si="110"/>
        <v>0</v>
      </c>
      <c r="AG1437" s="117">
        <f>MIN(MAX(+$P$1-'FA Addition'!$D1437,0),365*'FA Addition'!$O1437)</f>
        <v>0</v>
      </c>
      <c r="AH1437" s="117">
        <f>MIN(MAX($L$1-'FA Addition'!$D1437+1,0),365*'FA Addition'!$O1437)</f>
        <v>0</v>
      </c>
      <c r="AI1437" s="117" cm="1">
        <f t="array" ref="AI1437">_xlfn.XLOOKUP(1,('FA Write off'!A:A='FA Addition'!$A1437)*('FA Write off'!D:D=AA1437),'FA Write off'!H:H,0,0)</f>
        <v>0</v>
      </c>
      <c r="AJ1437" s="117">
        <f>IF(AC1437&gt;0,MAX(IF('FA Addition'!$N1437="SLM",($AC1437-'FA Addition'!$M1437)*'FA Addition'!$P1437*AI1437/365,(AC1437-'FA Addition'!$M1437)*(1-(1-'FA Addition'!$P1437)^(AI1437/365))),0),0)</f>
        <v>0</v>
      </c>
      <c r="AL1437" s="117">
        <f>MAX(IF(AG1437&gt;0,IF('FA Addition'!$N1437="SLM",($AE1437-'FA Addition'!$M1437)*'FA Addition'!$P1437*AG1437/365,IFERROR(VDB(AE1437,AE1437*0.05,'FA Addition'!$O1437,0,YEARFRAC('FA Addition'!$C1437,$P$1-1,3),'FA Addition'!$Q1437),FAAddition[[#This Row],[Original Cost (Rs)]]-FAAddition[[#This Row],[Salvage Value]])),0),0)</f>
        <v>0</v>
      </c>
      <c r="AM1437" s="119"/>
      <c r="AN1437" s="117">
        <f>MAX(IF(AH1437&gt;0,IF('FA Addition'!$N1437="SLM",($AF1437-'FA Addition'!$M1437)*'FA Addition'!$P1437*AH1437/365,IFERROR(VDB(AF1437,AF1437*0.05,'FA Addition'!$O1437,0,YEARFRAC('FA Addition'!$C1437,$L$1,3),'FA Addition'!$Q1437),FAAddition[[#This Row],[Original Cost (Rs)]]-FAAddition[[#This Row],[Salvage Value]])),0),0)</f>
        <v>0</v>
      </c>
      <c r="AO1437" s="117">
        <f t="shared" si="113"/>
        <v>0</v>
      </c>
      <c r="AQ1437" s="117">
        <f t="shared" si="111"/>
        <v>0</v>
      </c>
      <c r="AR1437" s="120">
        <f t="shared" si="112"/>
        <v>0</v>
      </c>
      <c r="AS1437" s="121"/>
    </row>
    <row r="1438" spans="1:45" ht="13.5" x14ac:dyDescent="0.4">
      <c r="A1438" s="12">
        <f t="shared" si="114"/>
        <v>1435</v>
      </c>
      <c r="B1438" s="64" t="s">
        <v>10</v>
      </c>
      <c r="C1438" s="54">
        <v>45779</v>
      </c>
      <c r="D1438" s="54">
        <v>45798</v>
      </c>
      <c r="E1438" s="46" t="s">
        <v>451</v>
      </c>
      <c r="F1438" s="51" t="s">
        <v>19</v>
      </c>
      <c r="G1438" s="51" t="s">
        <v>20</v>
      </c>
      <c r="H1438" s="51" t="s">
        <v>21</v>
      </c>
      <c r="I1438" s="55" t="s">
        <v>134</v>
      </c>
      <c r="J1438" s="56">
        <v>1</v>
      </c>
      <c r="K1438" s="51" t="s">
        <v>309</v>
      </c>
      <c r="L1438" s="58">
        <v>130508.5</v>
      </c>
      <c r="M1438" s="50">
        <f>ROUND('FA Addition'!$L1438*5%,0.1)</f>
        <v>6525</v>
      </c>
      <c r="N1438" s="113" t="str">
        <f>_xlfn.XLOOKUP(_xlfn.CONCAT(E1438,B1438),'Year Wise Master Dep Approach'!F:F,'Year Wise Master Dep Approach'!D:D)</f>
        <v>WDV</v>
      </c>
      <c r="O1438" s="113">
        <f>_xlfn.XLOOKUP(_xlfn.CONCAT(E1438,B1438),'Year Wise Master Dep Approach'!F:F,'Year Wise Master Dep Approach'!E:E)</f>
        <v>3</v>
      </c>
      <c r="P1438" s="114">
        <f>IFERROR(IF('FA Addition'!$N1438="WDV",1-('FA Addition'!$M1438/'FA Addition'!$L1438)^(1/'FA Addition'!$O1438),1/'FA Addition'!$O1438),0)</f>
        <v>0.63160484832448138</v>
      </c>
      <c r="Q1438" s="122">
        <f>'FA Addition'!$P1438*'FA Addition'!$O1438</f>
        <v>1.8948145449734441</v>
      </c>
      <c r="R1438" s="122"/>
      <c r="S1438" s="116">
        <f>IF(AND(DATE(20&amp;LEFT(FAAddition[[#This Row],[FY]],2),4,1)&lt;$L$1+1,DATE(20&amp;LEFT(FAAddition[[#This Row],[FY]],2),4,1)&gt;$P$1-1),'FA Addition'!$J1438,0)</f>
        <v>0</v>
      </c>
      <c r="U1438" s="117">
        <f>S1438*'FA Addition'!$L1438/'FA Addition'!$J1438</f>
        <v>0</v>
      </c>
      <c r="W1438" s="116">
        <f>SUMIFS('FA Write off'!D:D,'FA Write off'!A:A,'FA Addition'!$A1438,'FA Write off'!C:C,"&lt;"&amp;'FA Addition'!$P$1)</f>
        <v>0</v>
      </c>
      <c r="Y1438" s="191">
        <f>IFERROR(W1438/'FA Addition'!$J1438*'FA Addition'!$L1438,0)</f>
        <v>0</v>
      </c>
      <c r="AA1438" s="116">
        <f>SUMIFS('FA Write off'!D:D,'FA Write off'!A:A,'FA Addition'!$A1438,'FA Write off'!C:C,"&lt;"&amp;'FA Addition'!$L$1+1,'FA Write off'!C:C,"&gt;"&amp;'FA Addition'!$L$1-365)</f>
        <v>0</v>
      </c>
      <c r="AC1438" s="118">
        <f>IFERROR(AA1438/'FA Addition'!$J1438*'FA Addition'!$L1438,0)</f>
        <v>0</v>
      </c>
      <c r="AE1438" s="117">
        <f>IF(AND('FA Addition'!$D1438&lt;$P$1+1,U1438=0),'FA Addition'!$L1438,0)-Y1438</f>
        <v>0</v>
      </c>
      <c r="AF1438" s="117">
        <f t="shared" si="110"/>
        <v>0</v>
      </c>
      <c r="AG1438" s="117">
        <f>MIN(MAX(+$P$1-'FA Addition'!$D1438,0),365*'FA Addition'!$O1438)</f>
        <v>0</v>
      </c>
      <c r="AH1438" s="117">
        <f>MIN(MAX($L$1-'FA Addition'!$D1438+1,0),365*'FA Addition'!$O1438)</f>
        <v>0</v>
      </c>
      <c r="AI1438" s="117" cm="1">
        <f t="array" ref="AI1438">_xlfn.XLOOKUP(1,('FA Write off'!A:A='FA Addition'!$A1438)*('FA Write off'!D:D=AA1438),'FA Write off'!H:H,0,0)</f>
        <v>0</v>
      </c>
      <c r="AJ1438" s="117">
        <f>IF(AC1438&gt;0,MAX(IF('FA Addition'!$N1438="SLM",($AC1438-'FA Addition'!$M1438)*'FA Addition'!$P1438*AI1438/365,(AC1438-'FA Addition'!$M1438)*(1-(1-'FA Addition'!$P1438)^(AI1438/365))),0),0)</f>
        <v>0</v>
      </c>
      <c r="AL1438" s="117">
        <f>MAX(IF(AG1438&gt;0,IF('FA Addition'!$N1438="SLM",($AE1438-'FA Addition'!$M1438)*'FA Addition'!$P1438*AG1438/365,IFERROR(VDB(AE1438,AE1438*0.05,'FA Addition'!$O1438,0,YEARFRAC('FA Addition'!$C1438,$P$1-1,3),'FA Addition'!$Q1438),FAAddition[[#This Row],[Original Cost (Rs)]]-FAAddition[[#This Row],[Salvage Value]])),0),0)</f>
        <v>0</v>
      </c>
      <c r="AM1438" s="119"/>
      <c r="AN1438" s="117">
        <f>MAX(IF(AH1438&gt;0,IF('FA Addition'!$N1438="SLM",($AF1438-'FA Addition'!$M1438)*'FA Addition'!$P1438*AH1438/365,IFERROR(VDB(AF1438,AF1438*0.05,'FA Addition'!$O1438,0,YEARFRAC('FA Addition'!$C1438,$L$1,3),'FA Addition'!$Q1438),FAAddition[[#This Row],[Original Cost (Rs)]]-FAAddition[[#This Row],[Salvage Value]])),0),0)</f>
        <v>0</v>
      </c>
      <c r="AO1438" s="117">
        <f t="shared" si="113"/>
        <v>0</v>
      </c>
      <c r="AQ1438" s="117">
        <f t="shared" si="111"/>
        <v>0</v>
      </c>
      <c r="AR1438" s="120">
        <f t="shared" si="112"/>
        <v>0</v>
      </c>
      <c r="AS1438" s="121"/>
    </row>
    <row r="1439" spans="1:45" ht="13.5" x14ac:dyDescent="0.4">
      <c r="A1439" s="12">
        <f t="shared" si="114"/>
        <v>1436</v>
      </c>
      <c r="B1439" s="64" t="s">
        <v>10</v>
      </c>
      <c r="C1439" s="54">
        <v>45779</v>
      </c>
      <c r="D1439" s="54">
        <v>45798</v>
      </c>
      <c r="E1439" s="46" t="s">
        <v>451</v>
      </c>
      <c r="F1439" s="51" t="s">
        <v>19</v>
      </c>
      <c r="G1439" s="51" t="s">
        <v>20</v>
      </c>
      <c r="H1439" s="51" t="s">
        <v>21</v>
      </c>
      <c r="I1439" s="55" t="s">
        <v>134</v>
      </c>
      <c r="J1439" s="56">
        <v>1</v>
      </c>
      <c r="K1439" s="51" t="s">
        <v>309</v>
      </c>
      <c r="L1439" s="58">
        <v>130508.5</v>
      </c>
      <c r="M1439" s="50">
        <f>ROUND('FA Addition'!$L1439*5%,0.1)</f>
        <v>6525</v>
      </c>
      <c r="N1439" s="113" t="str">
        <f>_xlfn.XLOOKUP(_xlfn.CONCAT(E1439,B1439),'Year Wise Master Dep Approach'!F:F,'Year Wise Master Dep Approach'!D:D)</f>
        <v>WDV</v>
      </c>
      <c r="O1439" s="113">
        <f>_xlfn.XLOOKUP(_xlfn.CONCAT(E1439,B1439),'Year Wise Master Dep Approach'!F:F,'Year Wise Master Dep Approach'!E:E)</f>
        <v>3</v>
      </c>
      <c r="P1439" s="114">
        <f>IFERROR(IF('FA Addition'!$N1439="WDV",1-('FA Addition'!$M1439/'FA Addition'!$L1439)^(1/'FA Addition'!$O1439),1/'FA Addition'!$O1439),0)</f>
        <v>0.63160484832448138</v>
      </c>
      <c r="Q1439" s="122">
        <f>'FA Addition'!$P1439*'FA Addition'!$O1439</f>
        <v>1.8948145449734441</v>
      </c>
      <c r="R1439" s="122"/>
      <c r="S1439" s="116">
        <f>IF(AND(DATE(20&amp;LEFT(FAAddition[[#This Row],[FY]],2),4,1)&lt;$L$1+1,DATE(20&amp;LEFT(FAAddition[[#This Row],[FY]],2),4,1)&gt;$P$1-1),'FA Addition'!$J1439,0)</f>
        <v>0</v>
      </c>
      <c r="U1439" s="117">
        <f>S1439*'FA Addition'!$L1439/'FA Addition'!$J1439</f>
        <v>0</v>
      </c>
      <c r="W1439" s="116">
        <f>SUMIFS('FA Write off'!D:D,'FA Write off'!A:A,'FA Addition'!$A1439,'FA Write off'!C:C,"&lt;"&amp;'FA Addition'!$P$1)</f>
        <v>0</v>
      </c>
      <c r="Y1439" s="191">
        <f>IFERROR(W1439/'FA Addition'!$J1439*'FA Addition'!$L1439,0)</f>
        <v>0</v>
      </c>
      <c r="AA1439" s="116">
        <f>SUMIFS('FA Write off'!D:D,'FA Write off'!A:A,'FA Addition'!$A1439,'FA Write off'!C:C,"&lt;"&amp;'FA Addition'!$L$1+1,'FA Write off'!C:C,"&gt;"&amp;'FA Addition'!$L$1-365)</f>
        <v>0</v>
      </c>
      <c r="AC1439" s="118">
        <f>IFERROR(AA1439/'FA Addition'!$J1439*'FA Addition'!$L1439,0)</f>
        <v>0</v>
      </c>
      <c r="AE1439" s="117">
        <f>IF(AND('FA Addition'!$D1439&lt;$P$1+1,U1439=0),'FA Addition'!$L1439,0)-Y1439</f>
        <v>0</v>
      </c>
      <c r="AF1439" s="117">
        <f t="shared" si="110"/>
        <v>0</v>
      </c>
      <c r="AG1439" s="117">
        <f>MIN(MAX(+$P$1-'FA Addition'!$D1439,0),365*'FA Addition'!$O1439)</f>
        <v>0</v>
      </c>
      <c r="AH1439" s="117">
        <f>MIN(MAX($L$1-'FA Addition'!$D1439+1,0),365*'FA Addition'!$O1439)</f>
        <v>0</v>
      </c>
      <c r="AI1439" s="117" cm="1">
        <f t="array" ref="AI1439">_xlfn.XLOOKUP(1,('FA Write off'!A:A='FA Addition'!$A1439)*('FA Write off'!D:D=AA1439),'FA Write off'!H:H,0,0)</f>
        <v>0</v>
      </c>
      <c r="AJ1439" s="117">
        <f>IF(AC1439&gt;0,MAX(IF('FA Addition'!$N1439="SLM",($AC1439-'FA Addition'!$M1439)*'FA Addition'!$P1439*AI1439/365,(AC1439-'FA Addition'!$M1439)*(1-(1-'FA Addition'!$P1439)^(AI1439/365))),0),0)</f>
        <v>0</v>
      </c>
      <c r="AL1439" s="117">
        <f>MAX(IF(AG1439&gt;0,IF('FA Addition'!$N1439="SLM",($AE1439-'FA Addition'!$M1439)*'FA Addition'!$P1439*AG1439/365,IFERROR(VDB(AE1439,AE1439*0.05,'FA Addition'!$O1439,0,YEARFRAC('FA Addition'!$C1439,$P$1-1,3),'FA Addition'!$Q1439),FAAddition[[#This Row],[Original Cost (Rs)]]-FAAddition[[#This Row],[Salvage Value]])),0),0)</f>
        <v>0</v>
      </c>
      <c r="AM1439" s="119"/>
      <c r="AN1439" s="117">
        <f>MAX(IF(AH1439&gt;0,IF('FA Addition'!$N1439="SLM",($AF1439-'FA Addition'!$M1439)*'FA Addition'!$P1439*AH1439/365,IFERROR(VDB(AF1439,AF1439*0.05,'FA Addition'!$O1439,0,YEARFRAC('FA Addition'!$C1439,$L$1,3),'FA Addition'!$Q1439),FAAddition[[#This Row],[Original Cost (Rs)]]-FAAddition[[#This Row],[Salvage Value]])),0),0)</f>
        <v>0</v>
      </c>
      <c r="AO1439" s="117">
        <f t="shared" si="113"/>
        <v>0</v>
      </c>
      <c r="AQ1439" s="117">
        <f t="shared" si="111"/>
        <v>0</v>
      </c>
      <c r="AR1439" s="120">
        <f t="shared" si="112"/>
        <v>0</v>
      </c>
      <c r="AS1439" s="121"/>
    </row>
    <row r="1440" spans="1:45" ht="13.5" x14ac:dyDescent="0.4">
      <c r="A1440" s="12">
        <f t="shared" si="114"/>
        <v>1437</v>
      </c>
      <c r="B1440" s="64" t="s">
        <v>10</v>
      </c>
      <c r="C1440" s="54">
        <v>45779</v>
      </c>
      <c r="D1440" s="54">
        <v>45798</v>
      </c>
      <c r="E1440" s="46" t="s">
        <v>451</v>
      </c>
      <c r="F1440" s="51" t="s">
        <v>19</v>
      </c>
      <c r="G1440" s="51" t="s">
        <v>20</v>
      </c>
      <c r="H1440" s="51" t="s">
        <v>21</v>
      </c>
      <c r="I1440" s="55" t="s">
        <v>134</v>
      </c>
      <c r="J1440" s="56">
        <v>1</v>
      </c>
      <c r="K1440" s="51" t="s">
        <v>309</v>
      </c>
      <c r="L1440" s="58">
        <v>130508.5</v>
      </c>
      <c r="M1440" s="50">
        <f>ROUND('FA Addition'!$L1440*5%,0.1)</f>
        <v>6525</v>
      </c>
      <c r="N1440" s="113" t="str">
        <f>_xlfn.XLOOKUP(_xlfn.CONCAT(E1440,B1440),'Year Wise Master Dep Approach'!F:F,'Year Wise Master Dep Approach'!D:D)</f>
        <v>WDV</v>
      </c>
      <c r="O1440" s="113">
        <f>_xlfn.XLOOKUP(_xlfn.CONCAT(E1440,B1440),'Year Wise Master Dep Approach'!F:F,'Year Wise Master Dep Approach'!E:E)</f>
        <v>3</v>
      </c>
      <c r="P1440" s="114">
        <f>IFERROR(IF('FA Addition'!$N1440="WDV",1-('FA Addition'!$M1440/'FA Addition'!$L1440)^(1/'FA Addition'!$O1440),1/'FA Addition'!$O1440),0)</f>
        <v>0.63160484832448138</v>
      </c>
      <c r="Q1440" s="122">
        <f>'FA Addition'!$P1440*'FA Addition'!$O1440</f>
        <v>1.8948145449734441</v>
      </c>
      <c r="R1440" s="122"/>
      <c r="S1440" s="116">
        <f>IF(AND(DATE(20&amp;LEFT(FAAddition[[#This Row],[FY]],2),4,1)&lt;$L$1+1,DATE(20&amp;LEFT(FAAddition[[#This Row],[FY]],2),4,1)&gt;$P$1-1),'FA Addition'!$J1440,0)</f>
        <v>0</v>
      </c>
      <c r="U1440" s="117">
        <f>S1440*'FA Addition'!$L1440/'FA Addition'!$J1440</f>
        <v>0</v>
      </c>
      <c r="W1440" s="116">
        <f>SUMIFS('FA Write off'!D:D,'FA Write off'!A:A,'FA Addition'!$A1440,'FA Write off'!C:C,"&lt;"&amp;'FA Addition'!$P$1)</f>
        <v>0</v>
      </c>
      <c r="Y1440" s="191">
        <f>IFERROR(W1440/'FA Addition'!$J1440*'FA Addition'!$L1440,0)</f>
        <v>0</v>
      </c>
      <c r="AA1440" s="116">
        <f>SUMIFS('FA Write off'!D:D,'FA Write off'!A:A,'FA Addition'!$A1440,'FA Write off'!C:C,"&lt;"&amp;'FA Addition'!$L$1+1,'FA Write off'!C:C,"&gt;"&amp;'FA Addition'!$L$1-365)</f>
        <v>0</v>
      </c>
      <c r="AC1440" s="118">
        <f>IFERROR(AA1440/'FA Addition'!$J1440*'FA Addition'!$L1440,0)</f>
        <v>0</v>
      </c>
      <c r="AE1440" s="117">
        <f>IF(AND('FA Addition'!$D1440&lt;$P$1+1,U1440=0),'FA Addition'!$L1440,0)-Y1440</f>
        <v>0</v>
      </c>
      <c r="AF1440" s="117">
        <f t="shared" si="110"/>
        <v>0</v>
      </c>
      <c r="AG1440" s="117">
        <f>MIN(MAX(+$P$1-'FA Addition'!$D1440,0),365*'FA Addition'!$O1440)</f>
        <v>0</v>
      </c>
      <c r="AH1440" s="117">
        <f>MIN(MAX($L$1-'FA Addition'!$D1440+1,0),365*'FA Addition'!$O1440)</f>
        <v>0</v>
      </c>
      <c r="AI1440" s="117" cm="1">
        <f t="array" ref="AI1440">_xlfn.XLOOKUP(1,('FA Write off'!A:A='FA Addition'!$A1440)*('FA Write off'!D:D=AA1440),'FA Write off'!H:H,0,0)</f>
        <v>0</v>
      </c>
      <c r="AJ1440" s="117">
        <f>IF(AC1440&gt;0,MAX(IF('FA Addition'!$N1440="SLM",($AC1440-'FA Addition'!$M1440)*'FA Addition'!$P1440*AI1440/365,(AC1440-'FA Addition'!$M1440)*(1-(1-'FA Addition'!$P1440)^(AI1440/365))),0),0)</f>
        <v>0</v>
      </c>
      <c r="AL1440" s="117">
        <f>MAX(IF(AG1440&gt;0,IF('FA Addition'!$N1440="SLM",($AE1440-'FA Addition'!$M1440)*'FA Addition'!$P1440*AG1440/365,IFERROR(VDB(AE1440,AE1440*0.05,'FA Addition'!$O1440,0,YEARFRAC('FA Addition'!$C1440,$P$1-1,3),'FA Addition'!$Q1440),FAAddition[[#This Row],[Original Cost (Rs)]]-FAAddition[[#This Row],[Salvage Value]])),0),0)</f>
        <v>0</v>
      </c>
      <c r="AM1440" s="119"/>
      <c r="AN1440" s="117">
        <f>MAX(IF(AH1440&gt;0,IF('FA Addition'!$N1440="SLM",($AF1440-'FA Addition'!$M1440)*'FA Addition'!$P1440*AH1440/365,IFERROR(VDB(AF1440,AF1440*0.05,'FA Addition'!$O1440,0,YEARFRAC('FA Addition'!$C1440,$L$1,3),'FA Addition'!$Q1440),FAAddition[[#This Row],[Original Cost (Rs)]]-FAAddition[[#This Row],[Salvage Value]])),0),0)</f>
        <v>0</v>
      </c>
      <c r="AO1440" s="117">
        <f t="shared" si="113"/>
        <v>0</v>
      </c>
      <c r="AQ1440" s="117">
        <f t="shared" si="111"/>
        <v>0</v>
      </c>
      <c r="AR1440" s="120">
        <f t="shared" si="112"/>
        <v>0</v>
      </c>
      <c r="AS1440" s="121"/>
    </row>
    <row r="1441" spans="1:45" ht="13.5" x14ac:dyDescent="0.4">
      <c r="A1441" s="12">
        <f t="shared" si="114"/>
        <v>1438</v>
      </c>
      <c r="B1441" s="64" t="s">
        <v>10</v>
      </c>
      <c r="C1441" s="54">
        <v>45783</v>
      </c>
      <c r="D1441" s="54">
        <v>45798</v>
      </c>
      <c r="E1441" s="46" t="s">
        <v>451</v>
      </c>
      <c r="F1441" s="51" t="s">
        <v>19</v>
      </c>
      <c r="G1441" s="51" t="s">
        <v>112</v>
      </c>
      <c r="H1441" s="51" t="s">
        <v>21</v>
      </c>
      <c r="I1441" s="55" t="s">
        <v>135</v>
      </c>
      <c r="J1441" s="56">
        <v>1</v>
      </c>
      <c r="K1441" s="51" t="s">
        <v>310</v>
      </c>
      <c r="L1441" s="58">
        <v>53500</v>
      </c>
      <c r="M1441" s="50">
        <f>ROUND('FA Addition'!$L1441*5%,0.1)</f>
        <v>2675</v>
      </c>
      <c r="N1441" s="113" t="str">
        <f>_xlfn.XLOOKUP(_xlfn.CONCAT(E1441,B1441),'Year Wise Master Dep Approach'!F:F,'Year Wise Master Dep Approach'!D:D)</f>
        <v>WDV</v>
      </c>
      <c r="O1441" s="113">
        <f>_xlfn.XLOOKUP(_xlfn.CONCAT(E1441,B1441),'Year Wise Master Dep Approach'!F:F,'Year Wise Master Dep Approach'!E:E)</f>
        <v>3</v>
      </c>
      <c r="P1441" s="114">
        <f>IFERROR(IF('FA Addition'!$N1441="WDV",1-('FA Addition'!$M1441/'FA Addition'!$L1441)^(1/'FA Addition'!$O1441),1/'FA Addition'!$O1441),0)</f>
        <v>0.63159685013596123</v>
      </c>
      <c r="Q1441" s="122">
        <f>'FA Addition'!$P1441*'FA Addition'!$O1441</f>
        <v>1.8947905504078837</v>
      </c>
      <c r="R1441" s="122"/>
      <c r="S1441" s="116">
        <f>IF(AND(DATE(20&amp;LEFT(FAAddition[[#This Row],[FY]],2),4,1)&lt;$L$1+1,DATE(20&amp;LEFT(FAAddition[[#This Row],[FY]],2),4,1)&gt;$P$1-1),'FA Addition'!$J1441,0)</f>
        <v>0</v>
      </c>
      <c r="U1441" s="117">
        <f>S1441*'FA Addition'!$L1441/'FA Addition'!$J1441</f>
        <v>0</v>
      </c>
      <c r="W1441" s="116">
        <f>SUMIFS('FA Write off'!D:D,'FA Write off'!A:A,'FA Addition'!$A1441,'FA Write off'!C:C,"&lt;"&amp;'FA Addition'!$P$1)</f>
        <v>0</v>
      </c>
      <c r="Y1441" s="191">
        <f>IFERROR(W1441/'FA Addition'!$J1441*'FA Addition'!$L1441,0)</f>
        <v>0</v>
      </c>
      <c r="AA1441" s="116">
        <f>SUMIFS('FA Write off'!D:D,'FA Write off'!A:A,'FA Addition'!$A1441,'FA Write off'!C:C,"&lt;"&amp;'FA Addition'!$L$1+1,'FA Write off'!C:C,"&gt;"&amp;'FA Addition'!$L$1-365)</f>
        <v>0</v>
      </c>
      <c r="AC1441" s="118">
        <f>IFERROR(AA1441/'FA Addition'!$J1441*'FA Addition'!$L1441,0)</f>
        <v>0</v>
      </c>
      <c r="AE1441" s="117">
        <f>IF(AND('FA Addition'!$D1441&lt;$P$1+1,U1441=0),'FA Addition'!$L1441,0)-Y1441</f>
        <v>0</v>
      </c>
      <c r="AF1441" s="117">
        <f t="shared" si="110"/>
        <v>0</v>
      </c>
      <c r="AG1441" s="117">
        <f>MIN(MAX(+$P$1-'FA Addition'!$D1441,0),365*'FA Addition'!$O1441)</f>
        <v>0</v>
      </c>
      <c r="AH1441" s="117">
        <f>MIN(MAX($L$1-'FA Addition'!$D1441+1,0),365*'FA Addition'!$O1441)</f>
        <v>0</v>
      </c>
      <c r="AI1441" s="117" cm="1">
        <f t="array" ref="AI1441">_xlfn.XLOOKUP(1,('FA Write off'!A:A='FA Addition'!$A1441)*('FA Write off'!D:D=AA1441),'FA Write off'!H:H,0,0)</f>
        <v>0</v>
      </c>
      <c r="AJ1441" s="117">
        <f>IF(AC1441&gt;0,MAX(IF('FA Addition'!$N1441="SLM",($AC1441-'FA Addition'!$M1441)*'FA Addition'!$P1441*AI1441/365,(AC1441-'FA Addition'!$M1441)*(1-(1-'FA Addition'!$P1441)^(AI1441/365))),0),0)</f>
        <v>0</v>
      </c>
      <c r="AL1441" s="117">
        <f>MAX(IF(AG1441&gt;0,IF('FA Addition'!$N1441="SLM",($AE1441-'FA Addition'!$M1441)*'FA Addition'!$P1441*AG1441/365,IFERROR(VDB(AE1441,AE1441*0.05,'FA Addition'!$O1441,0,YEARFRAC('FA Addition'!$C1441,$P$1-1,3),'FA Addition'!$Q1441),FAAddition[[#This Row],[Original Cost (Rs)]]-FAAddition[[#This Row],[Salvage Value]])),0),0)</f>
        <v>0</v>
      </c>
      <c r="AM1441" s="119"/>
      <c r="AN1441" s="117">
        <f>MAX(IF(AH1441&gt;0,IF('FA Addition'!$N1441="SLM",($AF1441-'FA Addition'!$M1441)*'FA Addition'!$P1441*AH1441/365,IFERROR(VDB(AF1441,AF1441*0.05,'FA Addition'!$O1441,0,YEARFRAC('FA Addition'!$C1441,$L$1,3),'FA Addition'!$Q1441),FAAddition[[#This Row],[Original Cost (Rs)]]-FAAddition[[#This Row],[Salvage Value]])),0),0)</f>
        <v>0</v>
      </c>
      <c r="AO1441" s="117">
        <f t="shared" si="113"/>
        <v>0</v>
      </c>
      <c r="AQ1441" s="117">
        <f t="shared" si="111"/>
        <v>0</v>
      </c>
      <c r="AR1441" s="120">
        <f t="shared" si="112"/>
        <v>0</v>
      </c>
      <c r="AS1441" s="121"/>
    </row>
    <row r="1442" spans="1:45" ht="13.5" x14ac:dyDescent="0.4">
      <c r="A1442" s="12">
        <f t="shared" si="114"/>
        <v>1439</v>
      </c>
      <c r="B1442" s="64" t="s">
        <v>10</v>
      </c>
      <c r="C1442" s="54">
        <v>45783</v>
      </c>
      <c r="D1442" s="54">
        <v>45798</v>
      </c>
      <c r="E1442" s="46" t="s">
        <v>451</v>
      </c>
      <c r="F1442" s="51" t="s">
        <v>19</v>
      </c>
      <c r="G1442" s="51" t="s">
        <v>112</v>
      </c>
      <c r="H1442" s="51" t="s">
        <v>21</v>
      </c>
      <c r="I1442" s="55" t="s">
        <v>135</v>
      </c>
      <c r="J1442" s="56">
        <v>1</v>
      </c>
      <c r="K1442" s="51" t="s">
        <v>310</v>
      </c>
      <c r="L1442" s="58">
        <v>53500</v>
      </c>
      <c r="M1442" s="50">
        <f>ROUND('FA Addition'!$L1442*5%,0.1)</f>
        <v>2675</v>
      </c>
      <c r="N1442" s="113" t="str">
        <f>_xlfn.XLOOKUP(_xlfn.CONCAT(E1442,B1442),'Year Wise Master Dep Approach'!F:F,'Year Wise Master Dep Approach'!D:D)</f>
        <v>WDV</v>
      </c>
      <c r="O1442" s="113">
        <f>_xlfn.XLOOKUP(_xlfn.CONCAT(E1442,B1442),'Year Wise Master Dep Approach'!F:F,'Year Wise Master Dep Approach'!E:E)</f>
        <v>3</v>
      </c>
      <c r="P1442" s="114">
        <f>IFERROR(IF('FA Addition'!$N1442="WDV",1-('FA Addition'!$M1442/'FA Addition'!$L1442)^(1/'FA Addition'!$O1442),1/'FA Addition'!$O1442),0)</f>
        <v>0.63159685013596123</v>
      </c>
      <c r="Q1442" s="122">
        <f>'FA Addition'!$P1442*'FA Addition'!$O1442</f>
        <v>1.8947905504078837</v>
      </c>
      <c r="R1442" s="122"/>
      <c r="S1442" s="116">
        <f>IF(AND(DATE(20&amp;LEFT(FAAddition[[#This Row],[FY]],2),4,1)&lt;$L$1+1,DATE(20&amp;LEFT(FAAddition[[#This Row],[FY]],2),4,1)&gt;$P$1-1),'FA Addition'!$J1442,0)</f>
        <v>0</v>
      </c>
      <c r="U1442" s="117">
        <f>S1442*'FA Addition'!$L1442/'FA Addition'!$J1442</f>
        <v>0</v>
      </c>
      <c r="W1442" s="116">
        <f>SUMIFS('FA Write off'!D:D,'FA Write off'!A:A,'FA Addition'!$A1442,'FA Write off'!C:C,"&lt;"&amp;'FA Addition'!$P$1)</f>
        <v>0</v>
      </c>
      <c r="Y1442" s="191">
        <f>IFERROR(W1442/'FA Addition'!$J1442*'FA Addition'!$L1442,0)</f>
        <v>0</v>
      </c>
      <c r="AA1442" s="116">
        <f>SUMIFS('FA Write off'!D:D,'FA Write off'!A:A,'FA Addition'!$A1442,'FA Write off'!C:C,"&lt;"&amp;'FA Addition'!$L$1+1,'FA Write off'!C:C,"&gt;"&amp;'FA Addition'!$L$1-365)</f>
        <v>0</v>
      </c>
      <c r="AC1442" s="118">
        <f>IFERROR(AA1442/'FA Addition'!$J1442*'FA Addition'!$L1442,0)</f>
        <v>0</v>
      </c>
      <c r="AE1442" s="117">
        <f>IF(AND('FA Addition'!$D1442&lt;$P$1+1,U1442=0),'FA Addition'!$L1442,0)-Y1442</f>
        <v>0</v>
      </c>
      <c r="AF1442" s="117">
        <f t="shared" si="110"/>
        <v>0</v>
      </c>
      <c r="AG1442" s="117">
        <f>MIN(MAX(+$P$1-'FA Addition'!$D1442,0),365*'FA Addition'!$O1442)</f>
        <v>0</v>
      </c>
      <c r="AH1442" s="117">
        <f>MIN(MAX($L$1-'FA Addition'!$D1442+1,0),365*'FA Addition'!$O1442)</f>
        <v>0</v>
      </c>
      <c r="AI1442" s="117" cm="1">
        <f t="array" ref="AI1442">_xlfn.XLOOKUP(1,('FA Write off'!A:A='FA Addition'!$A1442)*('FA Write off'!D:D=AA1442),'FA Write off'!H:H,0,0)</f>
        <v>0</v>
      </c>
      <c r="AJ1442" s="117">
        <f>IF(AC1442&gt;0,MAX(IF('FA Addition'!$N1442="SLM",($AC1442-'FA Addition'!$M1442)*'FA Addition'!$P1442*AI1442/365,(AC1442-'FA Addition'!$M1442)*(1-(1-'FA Addition'!$P1442)^(AI1442/365))),0),0)</f>
        <v>0</v>
      </c>
      <c r="AL1442" s="117">
        <f>MAX(IF(AG1442&gt;0,IF('FA Addition'!$N1442="SLM",($AE1442-'FA Addition'!$M1442)*'FA Addition'!$P1442*AG1442/365,IFERROR(VDB(AE1442,AE1442*0.05,'FA Addition'!$O1442,0,YEARFRAC('FA Addition'!$C1442,$P$1-1,3),'FA Addition'!$Q1442),FAAddition[[#This Row],[Original Cost (Rs)]]-FAAddition[[#This Row],[Salvage Value]])),0),0)</f>
        <v>0</v>
      </c>
      <c r="AM1442" s="119"/>
      <c r="AN1442" s="117">
        <f>MAX(IF(AH1442&gt;0,IF('FA Addition'!$N1442="SLM",($AF1442-'FA Addition'!$M1442)*'FA Addition'!$P1442*AH1442/365,IFERROR(VDB(AF1442,AF1442*0.05,'FA Addition'!$O1442,0,YEARFRAC('FA Addition'!$C1442,$L$1,3),'FA Addition'!$Q1442),FAAddition[[#This Row],[Original Cost (Rs)]]-FAAddition[[#This Row],[Salvage Value]])),0),0)</f>
        <v>0</v>
      </c>
      <c r="AO1442" s="117">
        <f t="shared" si="113"/>
        <v>0</v>
      </c>
      <c r="AQ1442" s="117">
        <f t="shared" si="111"/>
        <v>0</v>
      </c>
      <c r="AR1442" s="120">
        <f t="shared" si="112"/>
        <v>0</v>
      </c>
      <c r="AS1442" s="121"/>
    </row>
    <row r="1443" spans="1:45" ht="13.5" x14ac:dyDescent="0.4">
      <c r="A1443" s="12">
        <f t="shared" si="114"/>
        <v>1440</v>
      </c>
      <c r="B1443" s="64" t="s">
        <v>10</v>
      </c>
      <c r="C1443" s="54">
        <v>45783</v>
      </c>
      <c r="D1443" s="54">
        <v>45798</v>
      </c>
      <c r="E1443" s="46" t="s">
        <v>451</v>
      </c>
      <c r="F1443" s="51" t="s">
        <v>19</v>
      </c>
      <c r="G1443" s="51" t="s">
        <v>112</v>
      </c>
      <c r="H1443" s="51" t="s">
        <v>21</v>
      </c>
      <c r="I1443" s="55" t="s">
        <v>135</v>
      </c>
      <c r="J1443" s="56">
        <v>1</v>
      </c>
      <c r="K1443" s="51" t="s">
        <v>310</v>
      </c>
      <c r="L1443" s="58">
        <v>53500</v>
      </c>
      <c r="M1443" s="50">
        <f>ROUND('FA Addition'!$L1443*5%,0.1)</f>
        <v>2675</v>
      </c>
      <c r="N1443" s="113" t="str">
        <f>_xlfn.XLOOKUP(_xlfn.CONCAT(E1443,B1443),'Year Wise Master Dep Approach'!F:F,'Year Wise Master Dep Approach'!D:D)</f>
        <v>WDV</v>
      </c>
      <c r="O1443" s="113">
        <f>_xlfn.XLOOKUP(_xlfn.CONCAT(E1443,B1443),'Year Wise Master Dep Approach'!F:F,'Year Wise Master Dep Approach'!E:E)</f>
        <v>3</v>
      </c>
      <c r="P1443" s="114">
        <f>IFERROR(IF('FA Addition'!$N1443="WDV",1-('FA Addition'!$M1443/'FA Addition'!$L1443)^(1/'FA Addition'!$O1443),1/'FA Addition'!$O1443),0)</f>
        <v>0.63159685013596123</v>
      </c>
      <c r="Q1443" s="122">
        <f>'FA Addition'!$P1443*'FA Addition'!$O1443</f>
        <v>1.8947905504078837</v>
      </c>
      <c r="R1443" s="122"/>
      <c r="S1443" s="116">
        <f>IF(AND(DATE(20&amp;LEFT(FAAddition[[#This Row],[FY]],2),4,1)&lt;$L$1+1,DATE(20&amp;LEFT(FAAddition[[#This Row],[FY]],2),4,1)&gt;$P$1-1),'FA Addition'!$J1443,0)</f>
        <v>0</v>
      </c>
      <c r="U1443" s="117">
        <f>S1443*'FA Addition'!$L1443/'FA Addition'!$J1443</f>
        <v>0</v>
      </c>
      <c r="W1443" s="116">
        <f>SUMIFS('FA Write off'!D:D,'FA Write off'!A:A,'FA Addition'!$A1443,'FA Write off'!C:C,"&lt;"&amp;'FA Addition'!$P$1)</f>
        <v>0</v>
      </c>
      <c r="Y1443" s="191">
        <f>IFERROR(W1443/'FA Addition'!$J1443*'FA Addition'!$L1443,0)</f>
        <v>0</v>
      </c>
      <c r="AA1443" s="116">
        <f>SUMIFS('FA Write off'!D:D,'FA Write off'!A:A,'FA Addition'!$A1443,'FA Write off'!C:C,"&lt;"&amp;'FA Addition'!$L$1+1,'FA Write off'!C:C,"&gt;"&amp;'FA Addition'!$L$1-365)</f>
        <v>0</v>
      </c>
      <c r="AC1443" s="118">
        <f>IFERROR(AA1443/'FA Addition'!$J1443*'FA Addition'!$L1443,0)</f>
        <v>0</v>
      </c>
      <c r="AE1443" s="117">
        <f>IF(AND('FA Addition'!$D1443&lt;$P$1+1,U1443=0),'FA Addition'!$L1443,0)-Y1443</f>
        <v>0</v>
      </c>
      <c r="AF1443" s="117">
        <f t="shared" si="110"/>
        <v>0</v>
      </c>
      <c r="AG1443" s="117">
        <f>MIN(MAX(+$P$1-'FA Addition'!$D1443,0),365*'FA Addition'!$O1443)</f>
        <v>0</v>
      </c>
      <c r="AH1443" s="117">
        <f>MIN(MAX($L$1-'FA Addition'!$D1443+1,0),365*'FA Addition'!$O1443)</f>
        <v>0</v>
      </c>
      <c r="AI1443" s="117" cm="1">
        <f t="array" ref="AI1443">_xlfn.XLOOKUP(1,('FA Write off'!A:A='FA Addition'!$A1443)*('FA Write off'!D:D=AA1443),'FA Write off'!H:H,0,0)</f>
        <v>0</v>
      </c>
      <c r="AJ1443" s="117">
        <f>IF(AC1443&gt;0,MAX(IF('FA Addition'!$N1443="SLM",($AC1443-'FA Addition'!$M1443)*'FA Addition'!$P1443*AI1443/365,(AC1443-'FA Addition'!$M1443)*(1-(1-'FA Addition'!$P1443)^(AI1443/365))),0),0)</f>
        <v>0</v>
      </c>
      <c r="AL1443" s="117">
        <f>MAX(IF(AG1443&gt;0,IF('FA Addition'!$N1443="SLM",($AE1443-'FA Addition'!$M1443)*'FA Addition'!$P1443*AG1443/365,IFERROR(VDB(AE1443,AE1443*0.05,'FA Addition'!$O1443,0,YEARFRAC('FA Addition'!$C1443,$P$1-1,3),'FA Addition'!$Q1443),FAAddition[[#This Row],[Original Cost (Rs)]]-FAAddition[[#This Row],[Salvage Value]])),0),0)</f>
        <v>0</v>
      </c>
      <c r="AM1443" s="119"/>
      <c r="AN1443" s="117">
        <f>MAX(IF(AH1443&gt;0,IF('FA Addition'!$N1443="SLM",($AF1443-'FA Addition'!$M1443)*'FA Addition'!$P1443*AH1443/365,IFERROR(VDB(AF1443,AF1443*0.05,'FA Addition'!$O1443,0,YEARFRAC('FA Addition'!$C1443,$L$1,3),'FA Addition'!$Q1443),FAAddition[[#This Row],[Original Cost (Rs)]]-FAAddition[[#This Row],[Salvage Value]])),0),0)</f>
        <v>0</v>
      </c>
      <c r="AO1443" s="117">
        <f t="shared" si="113"/>
        <v>0</v>
      </c>
      <c r="AQ1443" s="117">
        <f t="shared" si="111"/>
        <v>0</v>
      </c>
      <c r="AR1443" s="120">
        <f t="shared" si="112"/>
        <v>0</v>
      </c>
      <c r="AS1443" s="121"/>
    </row>
    <row r="1444" spans="1:45" ht="13.5" x14ac:dyDescent="0.4">
      <c r="A1444" s="12">
        <f t="shared" si="114"/>
        <v>1441</v>
      </c>
      <c r="B1444" s="64" t="s">
        <v>10</v>
      </c>
      <c r="C1444" s="54">
        <v>45783</v>
      </c>
      <c r="D1444" s="54">
        <v>45798</v>
      </c>
      <c r="E1444" s="46" t="s">
        <v>451</v>
      </c>
      <c r="F1444" s="51" t="s">
        <v>19</v>
      </c>
      <c r="G1444" s="51" t="s">
        <v>112</v>
      </c>
      <c r="H1444" s="51" t="s">
        <v>21</v>
      </c>
      <c r="I1444" s="55" t="s">
        <v>135</v>
      </c>
      <c r="J1444" s="56">
        <v>1</v>
      </c>
      <c r="K1444" s="51" t="s">
        <v>310</v>
      </c>
      <c r="L1444" s="58">
        <v>53500</v>
      </c>
      <c r="M1444" s="50">
        <f>ROUND('FA Addition'!$L1444*5%,0.1)</f>
        <v>2675</v>
      </c>
      <c r="N1444" s="113" t="str">
        <f>_xlfn.XLOOKUP(_xlfn.CONCAT(E1444,B1444),'Year Wise Master Dep Approach'!F:F,'Year Wise Master Dep Approach'!D:D)</f>
        <v>WDV</v>
      </c>
      <c r="O1444" s="113">
        <f>_xlfn.XLOOKUP(_xlfn.CONCAT(E1444,B1444),'Year Wise Master Dep Approach'!F:F,'Year Wise Master Dep Approach'!E:E)</f>
        <v>3</v>
      </c>
      <c r="P1444" s="114">
        <f>IFERROR(IF('FA Addition'!$N1444="WDV",1-('FA Addition'!$M1444/'FA Addition'!$L1444)^(1/'FA Addition'!$O1444),1/'FA Addition'!$O1444),0)</f>
        <v>0.63159685013596123</v>
      </c>
      <c r="Q1444" s="122">
        <f>'FA Addition'!$P1444*'FA Addition'!$O1444</f>
        <v>1.8947905504078837</v>
      </c>
      <c r="R1444" s="122"/>
      <c r="S1444" s="116">
        <f>IF(AND(DATE(20&amp;LEFT(FAAddition[[#This Row],[FY]],2),4,1)&lt;$L$1+1,DATE(20&amp;LEFT(FAAddition[[#This Row],[FY]],2),4,1)&gt;$P$1-1),'FA Addition'!$J1444,0)</f>
        <v>0</v>
      </c>
      <c r="U1444" s="117">
        <f>S1444*'FA Addition'!$L1444/'FA Addition'!$J1444</f>
        <v>0</v>
      </c>
      <c r="W1444" s="116">
        <f>SUMIFS('FA Write off'!D:D,'FA Write off'!A:A,'FA Addition'!$A1444,'FA Write off'!C:C,"&lt;"&amp;'FA Addition'!$P$1)</f>
        <v>0</v>
      </c>
      <c r="Y1444" s="191">
        <f>IFERROR(W1444/'FA Addition'!$J1444*'FA Addition'!$L1444,0)</f>
        <v>0</v>
      </c>
      <c r="AA1444" s="116">
        <f>SUMIFS('FA Write off'!D:D,'FA Write off'!A:A,'FA Addition'!$A1444,'FA Write off'!C:C,"&lt;"&amp;'FA Addition'!$L$1+1,'FA Write off'!C:C,"&gt;"&amp;'FA Addition'!$L$1-365)</f>
        <v>0</v>
      </c>
      <c r="AC1444" s="118">
        <f>IFERROR(AA1444/'FA Addition'!$J1444*'FA Addition'!$L1444,0)</f>
        <v>0</v>
      </c>
      <c r="AE1444" s="117">
        <f>IF(AND('FA Addition'!$D1444&lt;$P$1+1,U1444=0),'FA Addition'!$L1444,0)-Y1444</f>
        <v>0</v>
      </c>
      <c r="AF1444" s="117">
        <f t="shared" si="110"/>
        <v>0</v>
      </c>
      <c r="AG1444" s="117">
        <f>MIN(MAX(+$P$1-'FA Addition'!$D1444,0),365*'FA Addition'!$O1444)</f>
        <v>0</v>
      </c>
      <c r="AH1444" s="117">
        <f>MIN(MAX($L$1-'FA Addition'!$D1444+1,0),365*'FA Addition'!$O1444)</f>
        <v>0</v>
      </c>
      <c r="AI1444" s="117" cm="1">
        <f t="array" ref="AI1444">_xlfn.XLOOKUP(1,('FA Write off'!A:A='FA Addition'!$A1444)*('FA Write off'!D:D=AA1444),'FA Write off'!H:H,0,0)</f>
        <v>0</v>
      </c>
      <c r="AJ1444" s="117">
        <f>IF(AC1444&gt;0,MAX(IF('FA Addition'!$N1444="SLM",($AC1444-'FA Addition'!$M1444)*'FA Addition'!$P1444*AI1444/365,(AC1444-'FA Addition'!$M1444)*(1-(1-'FA Addition'!$P1444)^(AI1444/365))),0),0)</f>
        <v>0</v>
      </c>
      <c r="AL1444" s="117">
        <f>MAX(IF(AG1444&gt;0,IF('FA Addition'!$N1444="SLM",($AE1444-'FA Addition'!$M1444)*'FA Addition'!$P1444*AG1444/365,IFERROR(VDB(AE1444,AE1444*0.05,'FA Addition'!$O1444,0,YEARFRAC('FA Addition'!$C1444,$P$1-1,3),'FA Addition'!$Q1444),FAAddition[[#This Row],[Original Cost (Rs)]]-FAAddition[[#This Row],[Salvage Value]])),0),0)</f>
        <v>0</v>
      </c>
      <c r="AM1444" s="119"/>
      <c r="AN1444" s="117">
        <f>MAX(IF(AH1444&gt;0,IF('FA Addition'!$N1444="SLM",($AF1444-'FA Addition'!$M1444)*'FA Addition'!$P1444*AH1444/365,IFERROR(VDB(AF1444,AF1444*0.05,'FA Addition'!$O1444,0,YEARFRAC('FA Addition'!$C1444,$L$1,3),'FA Addition'!$Q1444),FAAddition[[#This Row],[Original Cost (Rs)]]-FAAddition[[#This Row],[Salvage Value]])),0),0)</f>
        <v>0</v>
      </c>
      <c r="AO1444" s="117">
        <f t="shared" si="113"/>
        <v>0</v>
      </c>
      <c r="AQ1444" s="117">
        <f t="shared" si="111"/>
        <v>0</v>
      </c>
      <c r="AR1444" s="120">
        <f t="shared" si="112"/>
        <v>0</v>
      </c>
      <c r="AS1444" s="121"/>
    </row>
    <row r="1445" spans="1:45" ht="13.5" x14ac:dyDescent="0.4">
      <c r="A1445" s="12">
        <f t="shared" si="114"/>
        <v>1442</v>
      </c>
      <c r="B1445" s="64" t="s">
        <v>10</v>
      </c>
      <c r="C1445" s="54">
        <v>45783</v>
      </c>
      <c r="D1445" s="54">
        <v>45798</v>
      </c>
      <c r="E1445" s="46" t="s">
        <v>451</v>
      </c>
      <c r="F1445" s="51" t="s">
        <v>19</v>
      </c>
      <c r="G1445" s="51" t="s">
        <v>112</v>
      </c>
      <c r="H1445" s="51" t="s">
        <v>21</v>
      </c>
      <c r="I1445" s="55" t="s">
        <v>135</v>
      </c>
      <c r="J1445" s="56">
        <v>1</v>
      </c>
      <c r="K1445" s="51" t="s">
        <v>310</v>
      </c>
      <c r="L1445" s="58">
        <v>53500</v>
      </c>
      <c r="M1445" s="50">
        <f>ROUND('FA Addition'!$L1445*5%,0.1)</f>
        <v>2675</v>
      </c>
      <c r="N1445" s="113" t="str">
        <f>_xlfn.XLOOKUP(_xlfn.CONCAT(E1445,B1445),'Year Wise Master Dep Approach'!F:F,'Year Wise Master Dep Approach'!D:D)</f>
        <v>WDV</v>
      </c>
      <c r="O1445" s="113">
        <f>_xlfn.XLOOKUP(_xlfn.CONCAT(E1445,B1445),'Year Wise Master Dep Approach'!F:F,'Year Wise Master Dep Approach'!E:E)</f>
        <v>3</v>
      </c>
      <c r="P1445" s="114">
        <f>IFERROR(IF('FA Addition'!$N1445="WDV",1-('FA Addition'!$M1445/'FA Addition'!$L1445)^(1/'FA Addition'!$O1445),1/'FA Addition'!$O1445),0)</f>
        <v>0.63159685013596123</v>
      </c>
      <c r="Q1445" s="122">
        <f>'FA Addition'!$P1445*'FA Addition'!$O1445</f>
        <v>1.8947905504078837</v>
      </c>
      <c r="R1445" s="122"/>
      <c r="S1445" s="116">
        <f>IF(AND(DATE(20&amp;LEFT(FAAddition[[#This Row],[FY]],2),4,1)&lt;$L$1+1,DATE(20&amp;LEFT(FAAddition[[#This Row],[FY]],2),4,1)&gt;$P$1-1),'FA Addition'!$J1445,0)</f>
        <v>0</v>
      </c>
      <c r="U1445" s="117">
        <f>S1445*'FA Addition'!$L1445/'FA Addition'!$J1445</f>
        <v>0</v>
      </c>
      <c r="W1445" s="116">
        <f>SUMIFS('FA Write off'!D:D,'FA Write off'!A:A,'FA Addition'!$A1445,'FA Write off'!C:C,"&lt;"&amp;'FA Addition'!$P$1)</f>
        <v>0</v>
      </c>
      <c r="Y1445" s="191">
        <f>IFERROR(W1445/'FA Addition'!$J1445*'FA Addition'!$L1445,0)</f>
        <v>0</v>
      </c>
      <c r="AA1445" s="116">
        <f>SUMIFS('FA Write off'!D:D,'FA Write off'!A:A,'FA Addition'!$A1445,'FA Write off'!C:C,"&lt;"&amp;'FA Addition'!$L$1+1,'FA Write off'!C:C,"&gt;"&amp;'FA Addition'!$L$1-365)</f>
        <v>0</v>
      </c>
      <c r="AC1445" s="118">
        <f>IFERROR(AA1445/'FA Addition'!$J1445*'FA Addition'!$L1445,0)</f>
        <v>0</v>
      </c>
      <c r="AE1445" s="117">
        <f>IF(AND('FA Addition'!$D1445&lt;$P$1+1,U1445=0),'FA Addition'!$L1445,0)-Y1445</f>
        <v>0</v>
      </c>
      <c r="AF1445" s="117">
        <f t="shared" si="110"/>
        <v>0</v>
      </c>
      <c r="AG1445" s="117">
        <f>MIN(MAX(+$P$1-'FA Addition'!$D1445,0),365*'FA Addition'!$O1445)</f>
        <v>0</v>
      </c>
      <c r="AH1445" s="117">
        <f>MIN(MAX($L$1-'FA Addition'!$D1445+1,0),365*'FA Addition'!$O1445)</f>
        <v>0</v>
      </c>
      <c r="AI1445" s="117" cm="1">
        <f t="array" ref="AI1445">_xlfn.XLOOKUP(1,('FA Write off'!A:A='FA Addition'!$A1445)*('FA Write off'!D:D=AA1445),'FA Write off'!H:H,0,0)</f>
        <v>0</v>
      </c>
      <c r="AJ1445" s="117">
        <f>IF(AC1445&gt;0,MAX(IF('FA Addition'!$N1445="SLM",($AC1445-'FA Addition'!$M1445)*'FA Addition'!$P1445*AI1445/365,(AC1445-'FA Addition'!$M1445)*(1-(1-'FA Addition'!$P1445)^(AI1445/365))),0),0)</f>
        <v>0</v>
      </c>
      <c r="AL1445" s="117">
        <f>MAX(IF(AG1445&gt;0,IF('FA Addition'!$N1445="SLM",($AE1445-'FA Addition'!$M1445)*'FA Addition'!$P1445*AG1445/365,IFERROR(VDB(AE1445,AE1445*0.05,'FA Addition'!$O1445,0,YEARFRAC('FA Addition'!$C1445,$P$1-1,3),'FA Addition'!$Q1445),FAAddition[[#This Row],[Original Cost (Rs)]]-FAAddition[[#This Row],[Salvage Value]])),0),0)</f>
        <v>0</v>
      </c>
      <c r="AM1445" s="119"/>
      <c r="AN1445" s="117">
        <f>MAX(IF(AH1445&gt;0,IF('FA Addition'!$N1445="SLM",($AF1445-'FA Addition'!$M1445)*'FA Addition'!$P1445*AH1445/365,IFERROR(VDB(AF1445,AF1445*0.05,'FA Addition'!$O1445,0,YEARFRAC('FA Addition'!$C1445,$L$1,3),'FA Addition'!$Q1445),FAAddition[[#This Row],[Original Cost (Rs)]]-FAAddition[[#This Row],[Salvage Value]])),0),0)</f>
        <v>0</v>
      </c>
      <c r="AO1445" s="117">
        <f t="shared" si="113"/>
        <v>0</v>
      </c>
      <c r="AQ1445" s="117">
        <f t="shared" si="111"/>
        <v>0</v>
      </c>
      <c r="AR1445" s="120">
        <f t="shared" si="112"/>
        <v>0</v>
      </c>
      <c r="AS1445" s="121"/>
    </row>
    <row r="1446" spans="1:45" ht="13.5" x14ac:dyDescent="0.4">
      <c r="A1446" s="12">
        <f t="shared" si="114"/>
        <v>1443</v>
      </c>
      <c r="B1446" s="64" t="s">
        <v>10</v>
      </c>
      <c r="C1446" s="54">
        <v>45772</v>
      </c>
      <c r="D1446" s="54">
        <v>45802</v>
      </c>
      <c r="E1446" s="46" t="s">
        <v>451</v>
      </c>
      <c r="F1446" s="51" t="s">
        <v>19</v>
      </c>
      <c r="G1446" s="51" t="s">
        <v>20</v>
      </c>
      <c r="H1446" s="51" t="s">
        <v>21</v>
      </c>
      <c r="I1446" s="55" t="s">
        <v>136</v>
      </c>
      <c r="J1446" s="56">
        <v>1</v>
      </c>
      <c r="K1446" s="51" t="s">
        <v>311</v>
      </c>
      <c r="L1446" s="58">
        <v>71000</v>
      </c>
      <c r="M1446" s="50">
        <f>ROUND('FA Addition'!$L1446*5%,0.1)</f>
        <v>3550</v>
      </c>
      <c r="N1446" s="113" t="str">
        <f>_xlfn.XLOOKUP(_xlfn.CONCAT(E1446,B1446),'Year Wise Master Dep Approach'!F:F,'Year Wise Master Dep Approach'!D:D)</f>
        <v>WDV</v>
      </c>
      <c r="O1446" s="113">
        <f>_xlfn.XLOOKUP(_xlfn.CONCAT(E1446,B1446),'Year Wise Master Dep Approach'!F:F,'Year Wise Master Dep Approach'!E:E)</f>
        <v>3</v>
      </c>
      <c r="P1446" s="114">
        <f>IFERROR(IF('FA Addition'!$N1446="WDV",1-('FA Addition'!$M1446/'FA Addition'!$L1446)^(1/'FA Addition'!$O1446),1/'FA Addition'!$O1446),0)</f>
        <v>0.63159685013596123</v>
      </c>
      <c r="Q1446" s="122">
        <f>'FA Addition'!$P1446*'FA Addition'!$O1446</f>
        <v>1.8947905504078837</v>
      </c>
      <c r="R1446" s="122"/>
      <c r="S1446" s="116">
        <f>IF(AND(DATE(20&amp;LEFT(FAAddition[[#This Row],[FY]],2),4,1)&lt;$L$1+1,DATE(20&amp;LEFT(FAAddition[[#This Row],[FY]],2),4,1)&gt;$P$1-1),'FA Addition'!$J1446,0)</f>
        <v>0</v>
      </c>
      <c r="U1446" s="117">
        <f>S1446*'FA Addition'!$L1446/'FA Addition'!$J1446</f>
        <v>0</v>
      </c>
      <c r="W1446" s="116">
        <f>SUMIFS('FA Write off'!D:D,'FA Write off'!A:A,'FA Addition'!$A1446,'FA Write off'!C:C,"&lt;"&amp;'FA Addition'!$P$1)</f>
        <v>0</v>
      </c>
      <c r="Y1446" s="191">
        <f>IFERROR(W1446/'FA Addition'!$J1446*'FA Addition'!$L1446,0)</f>
        <v>0</v>
      </c>
      <c r="AA1446" s="116">
        <f>SUMIFS('FA Write off'!D:D,'FA Write off'!A:A,'FA Addition'!$A1446,'FA Write off'!C:C,"&lt;"&amp;'FA Addition'!$L$1+1,'FA Write off'!C:C,"&gt;"&amp;'FA Addition'!$L$1-365)</f>
        <v>0</v>
      </c>
      <c r="AC1446" s="118">
        <f>IFERROR(AA1446/'FA Addition'!$J1446*'FA Addition'!$L1446,0)</f>
        <v>0</v>
      </c>
      <c r="AE1446" s="117">
        <f>IF(AND('FA Addition'!$D1446&lt;$P$1+1,U1446=0),'FA Addition'!$L1446,0)-Y1446</f>
        <v>0</v>
      </c>
      <c r="AF1446" s="117">
        <f t="shared" si="110"/>
        <v>0</v>
      </c>
      <c r="AG1446" s="117">
        <f>MIN(MAX(+$P$1-'FA Addition'!$D1446,0),365*'FA Addition'!$O1446)</f>
        <v>0</v>
      </c>
      <c r="AH1446" s="117">
        <f>MIN(MAX($L$1-'FA Addition'!$D1446+1,0),365*'FA Addition'!$O1446)</f>
        <v>0</v>
      </c>
      <c r="AI1446" s="117" cm="1">
        <f t="array" ref="AI1446">_xlfn.XLOOKUP(1,('FA Write off'!A:A='FA Addition'!$A1446)*('FA Write off'!D:D=AA1446),'FA Write off'!H:H,0,0)</f>
        <v>0</v>
      </c>
      <c r="AJ1446" s="117">
        <f>IF(AC1446&gt;0,MAX(IF('FA Addition'!$N1446="SLM",($AC1446-'FA Addition'!$M1446)*'FA Addition'!$P1446*AI1446/365,(AC1446-'FA Addition'!$M1446)*(1-(1-'FA Addition'!$P1446)^(AI1446/365))),0),0)</f>
        <v>0</v>
      </c>
      <c r="AL1446" s="117">
        <f>MAX(IF(AG1446&gt;0,IF('FA Addition'!$N1446="SLM",($AE1446-'FA Addition'!$M1446)*'FA Addition'!$P1446*AG1446/365,IFERROR(VDB(AE1446,AE1446*0.05,'FA Addition'!$O1446,0,YEARFRAC('FA Addition'!$C1446,$P$1-1,3),'FA Addition'!$Q1446),FAAddition[[#This Row],[Original Cost (Rs)]]-FAAddition[[#This Row],[Salvage Value]])),0),0)</f>
        <v>0</v>
      </c>
      <c r="AM1446" s="119"/>
      <c r="AN1446" s="117">
        <f>MAX(IF(AH1446&gt;0,IF('FA Addition'!$N1446="SLM",($AF1446-'FA Addition'!$M1446)*'FA Addition'!$P1446*AH1446/365,IFERROR(VDB(AF1446,AF1446*0.05,'FA Addition'!$O1446,0,YEARFRAC('FA Addition'!$C1446,$L$1,3),'FA Addition'!$Q1446),FAAddition[[#This Row],[Original Cost (Rs)]]-FAAddition[[#This Row],[Salvage Value]])),0),0)</f>
        <v>0</v>
      </c>
      <c r="AO1446" s="117">
        <f t="shared" si="113"/>
        <v>0</v>
      </c>
      <c r="AQ1446" s="117">
        <f t="shared" si="111"/>
        <v>0</v>
      </c>
      <c r="AR1446" s="120">
        <f t="shared" si="112"/>
        <v>0</v>
      </c>
      <c r="AS1446" s="121"/>
    </row>
    <row r="1447" spans="1:45" ht="13.5" x14ac:dyDescent="0.4">
      <c r="A1447" s="12">
        <f t="shared" si="114"/>
        <v>1444</v>
      </c>
      <c r="B1447" s="64" t="s">
        <v>10</v>
      </c>
      <c r="C1447" s="54">
        <v>45793</v>
      </c>
      <c r="D1447" s="54">
        <v>45805</v>
      </c>
      <c r="E1447" s="46" t="s">
        <v>451</v>
      </c>
      <c r="F1447" s="51" t="s">
        <v>19</v>
      </c>
      <c r="G1447" s="51" t="s">
        <v>112</v>
      </c>
      <c r="H1447" s="51" t="s">
        <v>21</v>
      </c>
      <c r="I1447" s="55" t="s">
        <v>137</v>
      </c>
      <c r="J1447" s="56">
        <v>1</v>
      </c>
      <c r="K1447" s="51" t="s">
        <v>310</v>
      </c>
      <c r="L1447" s="58">
        <v>53500</v>
      </c>
      <c r="M1447" s="50">
        <f>ROUND('FA Addition'!$L1447*5%,0.1)</f>
        <v>2675</v>
      </c>
      <c r="N1447" s="113" t="str">
        <f>_xlfn.XLOOKUP(_xlfn.CONCAT(E1447,B1447),'Year Wise Master Dep Approach'!F:F,'Year Wise Master Dep Approach'!D:D)</f>
        <v>WDV</v>
      </c>
      <c r="O1447" s="113">
        <f>_xlfn.XLOOKUP(_xlfn.CONCAT(E1447,B1447),'Year Wise Master Dep Approach'!F:F,'Year Wise Master Dep Approach'!E:E)</f>
        <v>3</v>
      </c>
      <c r="P1447" s="114">
        <f>IFERROR(IF('FA Addition'!$N1447="WDV",1-('FA Addition'!$M1447/'FA Addition'!$L1447)^(1/'FA Addition'!$O1447),1/'FA Addition'!$O1447),0)</f>
        <v>0.63159685013596123</v>
      </c>
      <c r="Q1447" s="122">
        <f>'FA Addition'!$P1447*'FA Addition'!$O1447</f>
        <v>1.8947905504078837</v>
      </c>
      <c r="R1447" s="122"/>
      <c r="S1447" s="116">
        <f>IF(AND(DATE(20&amp;LEFT(FAAddition[[#This Row],[FY]],2),4,1)&lt;$L$1+1,DATE(20&amp;LEFT(FAAddition[[#This Row],[FY]],2),4,1)&gt;$P$1-1),'FA Addition'!$J1447,0)</f>
        <v>0</v>
      </c>
      <c r="U1447" s="117">
        <f>S1447*'FA Addition'!$L1447/'FA Addition'!$J1447</f>
        <v>0</v>
      </c>
      <c r="W1447" s="116">
        <f>SUMIFS('FA Write off'!D:D,'FA Write off'!A:A,'FA Addition'!$A1447,'FA Write off'!C:C,"&lt;"&amp;'FA Addition'!$P$1)</f>
        <v>0</v>
      </c>
      <c r="Y1447" s="191">
        <f>IFERROR(W1447/'FA Addition'!$J1447*'FA Addition'!$L1447,0)</f>
        <v>0</v>
      </c>
      <c r="AA1447" s="116">
        <f>SUMIFS('FA Write off'!D:D,'FA Write off'!A:A,'FA Addition'!$A1447,'FA Write off'!C:C,"&lt;"&amp;'FA Addition'!$L$1+1,'FA Write off'!C:C,"&gt;"&amp;'FA Addition'!$L$1-365)</f>
        <v>0</v>
      </c>
      <c r="AC1447" s="118">
        <f>IFERROR(AA1447/'FA Addition'!$J1447*'FA Addition'!$L1447,0)</f>
        <v>0</v>
      </c>
      <c r="AE1447" s="117">
        <f>IF(AND('FA Addition'!$D1447&lt;$P$1+1,U1447=0),'FA Addition'!$L1447,0)-Y1447</f>
        <v>0</v>
      </c>
      <c r="AF1447" s="117">
        <f t="shared" si="110"/>
        <v>0</v>
      </c>
      <c r="AG1447" s="117">
        <f>MIN(MAX(+$P$1-'FA Addition'!$D1447,0),365*'FA Addition'!$O1447)</f>
        <v>0</v>
      </c>
      <c r="AH1447" s="117">
        <f>MIN(MAX($L$1-'FA Addition'!$D1447+1,0),365*'FA Addition'!$O1447)</f>
        <v>0</v>
      </c>
      <c r="AI1447" s="117" cm="1">
        <f t="array" ref="AI1447">_xlfn.XLOOKUP(1,('FA Write off'!A:A='FA Addition'!$A1447)*('FA Write off'!D:D=AA1447),'FA Write off'!H:H,0,0)</f>
        <v>0</v>
      </c>
      <c r="AJ1447" s="117">
        <f>IF(AC1447&gt;0,MAX(IF('FA Addition'!$N1447="SLM",($AC1447-'FA Addition'!$M1447)*'FA Addition'!$P1447*AI1447/365,(AC1447-'FA Addition'!$M1447)*(1-(1-'FA Addition'!$P1447)^(AI1447/365))),0),0)</f>
        <v>0</v>
      </c>
      <c r="AL1447" s="117">
        <f>MAX(IF(AG1447&gt;0,IF('FA Addition'!$N1447="SLM",($AE1447-'FA Addition'!$M1447)*'FA Addition'!$P1447*AG1447/365,IFERROR(VDB(AE1447,AE1447*0.05,'FA Addition'!$O1447,0,YEARFRAC('FA Addition'!$C1447,$P$1-1,3),'FA Addition'!$Q1447),FAAddition[[#This Row],[Original Cost (Rs)]]-FAAddition[[#This Row],[Salvage Value]])),0),0)</f>
        <v>0</v>
      </c>
      <c r="AM1447" s="119"/>
      <c r="AN1447" s="117">
        <f>MAX(IF(AH1447&gt;0,IF('FA Addition'!$N1447="SLM",($AF1447-'FA Addition'!$M1447)*'FA Addition'!$P1447*AH1447/365,IFERROR(VDB(AF1447,AF1447*0.05,'FA Addition'!$O1447,0,YEARFRAC('FA Addition'!$C1447,$L$1,3),'FA Addition'!$Q1447),FAAddition[[#This Row],[Original Cost (Rs)]]-FAAddition[[#This Row],[Salvage Value]])),0),0)</f>
        <v>0</v>
      </c>
      <c r="AO1447" s="117">
        <f t="shared" si="113"/>
        <v>0</v>
      </c>
      <c r="AQ1447" s="117">
        <f t="shared" si="111"/>
        <v>0</v>
      </c>
      <c r="AR1447" s="120">
        <f t="shared" si="112"/>
        <v>0</v>
      </c>
      <c r="AS1447" s="121"/>
    </row>
    <row r="1448" spans="1:45" ht="13.5" x14ac:dyDescent="0.4">
      <c r="A1448" s="12">
        <f t="shared" si="114"/>
        <v>1445</v>
      </c>
      <c r="B1448" s="64" t="s">
        <v>10</v>
      </c>
      <c r="C1448" s="54">
        <v>45793</v>
      </c>
      <c r="D1448" s="54">
        <v>45805</v>
      </c>
      <c r="E1448" s="46" t="s">
        <v>451</v>
      </c>
      <c r="F1448" s="51" t="s">
        <v>19</v>
      </c>
      <c r="G1448" s="51" t="s">
        <v>112</v>
      </c>
      <c r="H1448" s="51" t="s">
        <v>21</v>
      </c>
      <c r="I1448" s="55" t="s">
        <v>137</v>
      </c>
      <c r="J1448" s="56">
        <v>1</v>
      </c>
      <c r="K1448" s="51" t="s">
        <v>310</v>
      </c>
      <c r="L1448" s="58">
        <v>53500</v>
      </c>
      <c r="M1448" s="50">
        <f>ROUND('FA Addition'!$L1448*5%,0.1)</f>
        <v>2675</v>
      </c>
      <c r="N1448" s="113" t="str">
        <f>_xlfn.XLOOKUP(_xlfn.CONCAT(E1448,B1448),'Year Wise Master Dep Approach'!F:F,'Year Wise Master Dep Approach'!D:D)</f>
        <v>WDV</v>
      </c>
      <c r="O1448" s="113">
        <f>_xlfn.XLOOKUP(_xlfn.CONCAT(E1448,B1448),'Year Wise Master Dep Approach'!F:F,'Year Wise Master Dep Approach'!E:E)</f>
        <v>3</v>
      </c>
      <c r="P1448" s="114">
        <f>IFERROR(IF('FA Addition'!$N1448="WDV",1-('FA Addition'!$M1448/'FA Addition'!$L1448)^(1/'FA Addition'!$O1448),1/'FA Addition'!$O1448),0)</f>
        <v>0.63159685013596123</v>
      </c>
      <c r="Q1448" s="122">
        <f>'FA Addition'!$P1448*'FA Addition'!$O1448</f>
        <v>1.8947905504078837</v>
      </c>
      <c r="R1448" s="122"/>
      <c r="S1448" s="116">
        <f>IF(AND(DATE(20&amp;LEFT(FAAddition[[#This Row],[FY]],2),4,1)&lt;$L$1+1,DATE(20&amp;LEFT(FAAddition[[#This Row],[FY]],2),4,1)&gt;$P$1-1),'FA Addition'!$J1448,0)</f>
        <v>0</v>
      </c>
      <c r="U1448" s="117">
        <f>S1448*'FA Addition'!$L1448/'FA Addition'!$J1448</f>
        <v>0</v>
      </c>
      <c r="W1448" s="116">
        <f>SUMIFS('FA Write off'!D:D,'FA Write off'!A:A,'FA Addition'!$A1448,'FA Write off'!C:C,"&lt;"&amp;'FA Addition'!$P$1)</f>
        <v>0</v>
      </c>
      <c r="Y1448" s="191">
        <f>IFERROR(W1448/'FA Addition'!$J1448*'FA Addition'!$L1448,0)</f>
        <v>0</v>
      </c>
      <c r="AA1448" s="116">
        <f>SUMIFS('FA Write off'!D:D,'FA Write off'!A:A,'FA Addition'!$A1448,'FA Write off'!C:C,"&lt;"&amp;'FA Addition'!$L$1+1,'FA Write off'!C:C,"&gt;"&amp;'FA Addition'!$L$1-365)</f>
        <v>0</v>
      </c>
      <c r="AC1448" s="118">
        <f>IFERROR(AA1448/'FA Addition'!$J1448*'FA Addition'!$L1448,0)</f>
        <v>0</v>
      </c>
      <c r="AE1448" s="117">
        <f>IF(AND('FA Addition'!$D1448&lt;$P$1+1,U1448=0),'FA Addition'!$L1448,0)-Y1448</f>
        <v>0</v>
      </c>
      <c r="AF1448" s="117">
        <f t="shared" si="110"/>
        <v>0</v>
      </c>
      <c r="AG1448" s="117">
        <f>MIN(MAX(+$P$1-'FA Addition'!$D1448,0),365*'FA Addition'!$O1448)</f>
        <v>0</v>
      </c>
      <c r="AH1448" s="117">
        <f>MIN(MAX($L$1-'FA Addition'!$D1448+1,0),365*'FA Addition'!$O1448)</f>
        <v>0</v>
      </c>
      <c r="AI1448" s="117" cm="1">
        <f t="array" ref="AI1448">_xlfn.XLOOKUP(1,('FA Write off'!A:A='FA Addition'!$A1448)*('FA Write off'!D:D=AA1448),'FA Write off'!H:H,0,0)</f>
        <v>0</v>
      </c>
      <c r="AJ1448" s="117">
        <f>IF(AC1448&gt;0,MAX(IF('FA Addition'!$N1448="SLM",($AC1448-'FA Addition'!$M1448)*'FA Addition'!$P1448*AI1448/365,(AC1448-'FA Addition'!$M1448)*(1-(1-'FA Addition'!$P1448)^(AI1448/365))),0),0)</f>
        <v>0</v>
      </c>
      <c r="AL1448" s="117">
        <f>MAX(IF(AG1448&gt;0,IF('FA Addition'!$N1448="SLM",($AE1448-'FA Addition'!$M1448)*'FA Addition'!$P1448*AG1448/365,IFERROR(VDB(AE1448,AE1448*0.05,'FA Addition'!$O1448,0,YEARFRAC('FA Addition'!$C1448,$P$1-1,3),'FA Addition'!$Q1448),FAAddition[[#This Row],[Original Cost (Rs)]]-FAAddition[[#This Row],[Salvage Value]])),0),0)</f>
        <v>0</v>
      </c>
      <c r="AM1448" s="119"/>
      <c r="AN1448" s="117">
        <f>MAX(IF(AH1448&gt;0,IF('FA Addition'!$N1448="SLM",($AF1448-'FA Addition'!$M1448)*'FA Addition'!$P1448*AH1448/365,IFERROR(VDB(AF1448,AF1448*0.05,'FA Addition'!$O1448,0,YEARFRAC('FA Addition'!$C1448,$L$1,3),'FA Addition'!$Q1448),FAAddition[[#This Row],[Original Cost (Rs)]]-FAAddition[[#This Row],[Salvage Value]])),0),0)</f>
        <v>0</v>
      </c>
      <c r="AO1448" s="117">
        <f t="shared" si="113"/>
        <v>0</v>
      </c>
      <c r="AQ1448" s="117">
        <f t="shared" si="111"/>
        <v>0</v>
      </c>
      <c r="AR1448" s="120">
        <f t="shared" si="112"/>
        <v>0</v>
      </c>
      <c r="AS1448" s="121"/>
    </row>
    <row r="1449" spans="1:45" ht="13.5" x14ac:dyDescent="0.4">
      <c r="A1449" s="12">
        <f t="shared" si="114"/>
        <v>1446</v>
      </c>
      <c r="B1449" s="64" t="s">
        <v>10</v>
      </c>
      <c r="C1449" s="54">
        <v>45790</v>
      </c>
      <c r="D1449" s="54">
        <v>45805</v>
      </c>
      <c r="E1449" s="46" t="s">
        <v>451</v>
      </c>
      <c r="F1449" s="51" t="s">
        <v>19</v>
      </c>
      <c r="G1449" s="51" t="s">
        <v>112</v>
      </c>
      <c r="H1449" s="51" t="s">
        <v>21</v>
      </c>
      <c r="I1449" s="55" t="s">
        <v>138</v>
      </c>
      <c r="J1449" s="56">
        <v>1</v>
      </c>
      <c r="K1449" s="51" t="s">
        <v>312</v>
      </c>
      <c r="L1449" s="58">
        <v>66949</v>
      </c>
      <c r="M1449" s="50">
        <f>ROUND('FA Addition'!$L1449*5%,0.1)</f>
        <v>3347</v>
      </c>
      <c r="N1449" s="113" t="str">
        <f>_xlfn.XLOOKUP(_xlfn.CONCAT(E1449,B1449),'Year Wise Master Dep Approach'!F:F,'Year Wise Master Dep Approach'!D:D)</f>
        <v>WDV</v>
      </c>
      <c r="O1449" s="113">
        <f>_xlfn.XLOOKUP(_xlfn.CONCAT(E1449,B1449),'Year Wise Master Dep Approach'!F:F,'Year Wise Master Dep Approach'!E:E)</f>
        <v>3</v>
      </c>
      <c r="P1449" s="114">
        <f>IFERROR(IF('FA Addition'!$N1449="WDV",1-('FA Addition'!$M1449/'FA Addition'!$L1449)^(1/'FA Addition'!$O1449),1/'FA Addition'!$O1449),0)</f>
        <v>0.63161335910514649</v>
      </c>
      <c r="Q1449" s="122">
        <f>'FA Addition'!$P1449*'FA Addition'!$O1449</f>
        <v>1.8948400773154395</v>
      </c>
      <c r="R1449" s="122"/>
      <c r="S1449" s="116">
        <f>IF(AND(DATE(20&amp;LEFT(FAAddition[[#This Row],[FY]],2),4,1)&lt;$L$1+1,DATE(20&amp;LEFT(FAAddition[[#This Row],[FY]],2),4,1)&gt;$P$1-1),'FA Addition'!$J1449,0)</f>
        <v>0</v>
      </c>
      <c r="U1449" s="117">
        <f>S1449*'FA Addition'!$L1449/'FA Addition'!$J1449</f>
        <v>0</v>
      </c>
      <c r="W1449" s="116">
        <f>SUMIFS('FA Write off'!D:D,'FA Write off'!A:A,'FA Addition'!$A1449,'FA Write off'!C:C,"&lt;"&amp;'FA Addition'!$P$1)</f>
        <v>0</v>
      </c>
      <c r="Y1449" s="191">
        <f>IFERROR(W1449/'FA Addition'!$J1449*'FA Addition'!$L1449,0)</f>
        <v>0</v>
      </c>
      <c r="AA1449" s="116">
        <f>SUMIFS('FA Write off'!D:D,'FA Write off'!A:A,'FA Addition'!$A1449,'FA Write off'!C:C,"&lt;"&amp;'FA Addition'!$L$1+1,'FA Write off'!C:C,"&gt;"&amp;'FA Addition'!$L$1-365)</f>
        <v>0</v>
      </c>
      <c r="AC1449" s="118">
        <f>IFERROR(AA1449/'FA Addition'!$J1449*'FA Addition'!$L1449,0)</f>
        <v>0</v>
      </c>
      <c r="AE1449" s="117">
        <f>IF(AND('FA Addition'!$D1449&lt;$P$1+1,U1449=0),'FA Addition'!$L1449,0)-Y1449</f>
        <v>0</v>
      </c>
      <c r="AF1449" s="117">
        <f t="shared" si="110"/>
        <v>0</v>
      </c>
      <c r="AG1449" s="117">
        <f>MIN(MAX(+$P$1-'FA Addition'!$D1449,0),365*'FA Addition'!$O1449)</f>
        <v>0</v>
      </c>
      <c r="AH1449" s="117">
        <f>MIN(MAX($L$1-'FA Addition'!$D1449+1,0),365*'FA Addition'!$O1449)</f>
        <v>0</v>
      </c>
      <c r="AI1449" s="117" cm="1">
        <f t="array" ref="AI1449">_xlfn.XLOOKUP(1,('FA Write off'!A:A='FA Addition'!$A1449)*('FA Write off'!D:D=AA1449),'FA Write off'!H:H,0,0)</f>
        <v>0</v>
      </c>
      <c r="AJ1449" s="117">
        <f>IF(AC1449&gt;0,MAX(IF('FA Addition'!$N1449="SLM",($AC1449-'FA Addition'!$M1449)*'FA Addition'!$P1449*AI1449/365,(AC1449-'FA Addition'!$M1449)*(1-(1-'FA Addition'!$P1449)^(AI1449/365))),0),0)</f>
        <v>0</v>
      </c>
      <c r="AL1449" s="117">
        <f>MAX(IF(AG1449&gt;0,IF('FA Addition'!$N1449="SLM",($AE1449-'FA Addition'!$M1449)*'FA Addition'!$P1449*AG1449/365,IFERROR(VDB(AE1449,AE1449*0.05,'FA Addition'!$O1449,0,YEARFRAC('FA Addition'!$C1449,$P$1-1,3),'FA Addition'!$Q1449),FAAddition[[#This Row],[Original Cost (Rs)]]-FAAddition[[#This Row],[Salvage Value]])),0),0)</f>
        <v>0</v>
      </c>
      <c r="AM1449" s="119"/>
      <c r="AN1449" s="117">
        <f>MAX(IF(AH1449&gt;0,IF('FA Addition'!$N1449="SLM",($AF1449-'FA Addition'!$M1449)*'FA Addition'!$P1449*AH1449/365,IFERROR(VDB(AF1449,AF1449*0.05,'FA Addition'!$O1449,0,YEARFRAC('FA Addition'!$C1449,$L$1,3),'FA Addition'!$Q1449),FAAddition[[#This Row],[Original Cost (Rs)]]-FAAddition[[#This Row],[Salvage Value]])),0),0)</f>
        <v>0</v>
      </c>
      <c r="AO1449" s="117">
        <f t="shared" si="113"/>
        <v>0</v>
      </c>
      <c r="AQ1449" s="117">
        <f t="shared" si="111"/>
        <v>0</v>
      </c>
      <c r="AR1449" s="120">
        <f t="shared" si="112"/>
        <v>0</v>
      </c>
      <c r="AS1449" s="121"/>
    </row>
    <row r="1450" spans="1:45" ht="13.5" x14ac:dyDescent="0.4">
      <c r="A1450" s="12">
        <f t="shared" si="114"/>
        <v>1447</v>
      </c>
      <c r="B1450" s="64" t="s">
        <v>10</v>
      </c>
      <c r="C1450" s="54">
        <v>45779</v>
      </c>
      <c r="D1450" s="54">
        <v>45805</v>
      </c>
      <c r="E1450" s="46" t="s">
        <v>451</v>
      </c>
      <c r="F1450" s="51" t="s">
        <v>19</v>
      </c>
      <c r="G1450" s="51" t="s">
        <v>139</v>
      </c>
      <c r="H1450" s="51" t="s">
        <v>21</v>
      </c>
      <c r="I1450" s="55" t="s">
        <v>140</v>
      </c>
      <c r="J1450" s="56">
        <v>1</v>
      </c>
      <c r="K1450" s="51" t="s">
        <v>313</v>
      </c>
      <c r="L1450" s="58">
        <v>53390</v>
      </c>
      <c r="M1450" s="50">
        <f>ROUND('FA Addition'!$L1450*5%,0.1)</f>
        <v>2670</v>
      </c>
      <c r="N1450" s="113" t="str">
        <f>_xlfn.XLOOKUP(_xlfn.CONCAT(E1450,B1450),'Year Wise Master Dep Approach'!F:F,'Year Wise Master Dep Approach'!D:D)</f>
        <v>WDV</v>
      </c>
      <c r="O1450" s="113">
        <f>_xlfn.XLOOKUP(_xlfn.CONCAT(E1450,B1450),'Year Wise Master Dep Approach'!F:F,'Year Wise Master Dep Approach'!E:E)</f>
        <v>3</v>
      </c>
      <c r="P1450" s="114">
        <f>IFERROR(IF('FA Addition'!$N1450="WDV",1-('FA Addition'!$M1450/'FA Addition'!$L1450)^(1/'FA Addition'!$O1450),1/'FA Addition'!$O1450),0)</f>
        <v>0.63157385081327311</v>
      </c>
      <c r="Q1450" s="122">
        <f>'FA Addition'!$P1450*'FA Addition'!$O1450</f>
        <v>1.8947215524398193</v>
      </c>
      <c r="R1450" s="122"/>
      <c r="S1450" s="116">
        <f>IF(AND(DATE(20&amp;LEFT(FAAddition[[#This Row],[FY]],2),4,1)&lt;$L$1+1,DATE(20&amp;LEFT(FAAddition[[#This Row],[FY]],2),4,1)&gt;$P$1-1),'FA Addition'!$J1450,0)</f>
        <v>0</v>
      </c>
      <c r="U1450" s="117">
        <f>S1450*'FA Addition'!$L1450/'FA Addition'!$J1450</f>
        <v>0</v>
      </c>
      <c r="W1450" s="116">
        <f>SUMIFS('FA Write off'!D:D,'FA Write off'!A:A,'FA Addition'!$A1450,'FA Write off'!C:C,"&lt;"&amp;'FA Addition'!$P$1)</f>
        <v>0</v>
      </c>
      <c r="Y1450" s="191">
        <f>IFERROR(W1450/'FA Addition'!$J1450*'FA Addition'!$L1450,0)</f>
        <v>0</v>
      </c>
      <c r="AA1450" s="116">
        <f>SUMIFS('FA Write off'!D:D,'FA Write off'!A:A,'FA Addition'!$A1450,'FA Write off'!C:C,"&lt;"&amp;'FA Addition'!$L$1+1,'FA Write off'!C:C,"&gt;"&amp;'FA Addition'!$L$1-365)</f>
        <v>0</v>
      </c>
      <c r="AC1450" s="118">
        <f>IFERROR(AA1450/'FA Addition'!$J1450*'FA Addition'!$L1450,0)</f>
        <v>0</v>
      </c>
      <c r="AE1450" s="117">
        <f>IF(AND('FA Addition'!$D1450&lt;$P$1+1,U1450=0),'FA Addition'!$L1450,0)-Y1450</f>
        <v>0</v>
      </c>
      <c r="AF1450" s="117">
        <f t="shared" si="110"/>
        <v>0</v>
      </c>
      <c r="AG1450" s="117">
        <f>MIN(MAX(+$P$1-'FA Addition'!$D1450,0),365*'FA Addition'!$O1450)</f>
        <v>0</v>
      </c>
      <c r="AH1450" s="117">
        <f>MIN(MAX($L$1-'FA Addition'!$D1450+1,0),365*'FA Addition'!$O1450)</f>
        <v>0</v>
      </c>
      <c r="AI1450" s="117" cm="1">
        <f t="array" ref="AI1450">_xlfn.XLOOKUP(1,('FA Write off'!A:A='FA Addition'!$A1450)*('FA Write off'!D:D=AA1450),'FA Write off'!H:H,0,0)</f>
        <v>0</v>
      </c>
      <c r="AJ1450" s="117">
        <f>IF(AC1450&gt;0,MAX(IF('FA Addition'!$N1450="SLM",($AC1450-'FA Addition'!$M1450)*'FA Addition'!$P1450*AI1450/365,(AC1450-'FA Addition'!$M1450)*(1-(1-'FA Addition'!$P1450)^(AI1450/365))),0),0)</f>
        <v>0</v>
      </c>
      <c r="AL1450" s="117">
        <f>MAX(IF(AG1450&gt;0,IF('FA Addition'!$N1450="SLM",($AE1450-'FA Addition'!$M1450)*'FA Addition'!$P1450*AG1450/365,IFERROR(VDB(AE1450,AE1450*0.05,'FA Addition'!$O1450,0,YEARFRAC('FA Addition'!$C1450,$P$1-1,3),'FA Addition'!$Q1450),FAAddition[[#This Row],[Original Cost (Rs)]]-FAAddition[[#This Row],[Salvage Value]])),0),0)</f>
        <v>0</v>
      </c>
      <c r="AM1450" s="119"/>
      <c r="AN1450" s="117">
        <f>MAX(IF(AH1450&gt;0,IF('FA Addition'!$N1450="SLM",($AF1450-'FA Addition'!$M1450)*'FA Addition'!$P1450*AH1450/365,IFERROR(VDB(AF1450,AF1450*0.05,'FA Addition'!$O1450,0,YEARFRAC('FA Addition'!$C1450,$L$1,3),'FA Addition'!$Q1450),FAAddition[[#This Row],[Original Cost (Rs)]]-FAAddition[[#This Row],[Salvage Value]])),0),0)</f>
        <v>0</v>
      </c>
      <c r="AO1450" s="117">
        <f t="shared" si="113"/>
        <v>0</v>
      </c>
      <c r="AQ1450" s="117">
        <f t="shared" si="111"/>
        <v>0</v>
      </c>
      <c r="AR1450" s="120">
        <f t="shared" si="112"/>
        <v>0</v>
      </c>
      <c r="AS1450" s="121"/>
    </row>
    <row r="1451" spans="1:45" ht="13.5" x14ac:dyDescent="0.4">
      <c r="A1451" s="12">
        <f t="shared" si="114"/>
        <v>1448</v>
      </c>
      <c r="B1451" s="64" t="s">
        <v>10</v>
      </c>
      <c r="C1451" s="54">
        <v>45804</v>
      </c>
      <c r="D1451" s="54">
        <v>45828</v>
      </c>
      <c r="E1451" s="46" t="s">
        <v>451</v>
      </c>
      <c r="F1451" s="51" t="s">
        <v>19</v>
      </c>
      <c r="G1451" s="51" t="s">
        <v>20</v>
      </c>
      <c r="H1451" s="51" t="s">
        <v>21</v>
      </c>
      <c r="I1451" s="55" t="s">
        <v>141</v>
      </c>
      <c r="J1451" s="56">
        <v>1</v>
      </c>
      <c r="K1451" s="51" t="s">
        <v>314</v>
      </c>
      <c r="L1451" s="58">
        <v>57000</v>
      </c>
      <c r="M1451" s="50">
        <f>ROUND('FA Addition'!$L1451*5%,0.1)</f>
        <v>2850</v>
      </c>
      <c r="N1451" s="113" t="str">
        <f>_xlfn.XLOOKUP(_xlfn.CONCAT(E1451,B1451),'Year Wise Master Dep Approach'!F:F,'Year Wise Master Dep Approach'!D:D)</f>
        <v>WDV</v>
      </c>
      <c r="O1451" s="113">
        <f>_xlfn.XLOOKUP(_xlfn.CONCAT(E1451,B1451),'Year Wise Master Dep Approach'!F:F,'Year Wise Master Dep Approach'!E:E)</f>
        <v>3</v>
      </c>
      <c r="P1451" s="114">
        <f>IFERROR(IF('FA Addition'!$N1451="WDV",1-('FA Addition'!$M1451/'FA Addition'!$L1451)^(1/'FA Addition'!$O1451),1/'FA Addition'!$O1451),0)</f>
        <v>0.63159685013596123</v>
      </c>
      <c r="Q1451" s="122">
        <f>'FA Addition'!$P1451*'FA Addition'!$O1451</f>
        <v>1.8947905504078837</v>
      </c>
      <c r="R1451" s="122"/>
      <c r="S1451" s="116">
        <f>IF(AND(DATE(20&amp;LEFT(FAAddition[[#This Row],[FY]],2),4,1)&lt;$L$1+1,DATE(20&amp;LEFT(FAAddition[[#This Row],[FY]],2),4,1)&gt;$P$1-1),'FA Addition'!$J1451,0)</f>
        <v>0</v>
      </c>
      <c r="U1451" s="117">
        <f>S1451*'FA Addition'!$L1451/'FA Addition'!$J1451</f>
        <v>0</v>
      </c>
      <c r="W1451" s="116">
        <f>SUMIFS('FA Write off'!D:D,'FA Write off'!A:A,'FA Addition'!$A1451,'FA Write off'!C:C,"&lt;"&amp;'FA Addition'!$P$1)</f>
        <v>0</v>
      </c>
      <c r="Y1451" s="191">
        <f>IFERROR(W1451/'FA Addition'!$J1451*'FA Addition'!$L1451,0)</f>
        <v>0</v>
      </c>
      <c r="AA1451" s="116">
        <f>SUMIFS('FA Write off'!D:D,'FA Write off'!A:A,'FA Addition'!$A1451,'FA Write off'!C:C,"&lt;"&amp;'FA Addition'!$L$1+1,'FA Write off'!C:C,"&gt;"&amp;'FA Addition'!$L$1-365)</f>
        <v>0</v>
      </c>
      <c r="AC1451" s="118">
        <f>IFERROR(AA1451/'FA Addition'!$J1451*'FA Addition'!$L1451,0)</f>
        <v>0</v>
      </c>
      <c r="AE1451" s="117">
        <f>IF(AND('FA Addition'!$D1451&lt;$P$1+1,U1451=0),'FA Addition'!$L1451,0)-Y1451</f>
        <v>0</v>
      </c>
      <c r="AF1451" s="117">
        <f t="shared" si="110"/>
        <v>0</v>
      </c>
      <c r="AG1451" s="117">
        <f>MIN(MAX(+$P$1-'FA Addition'!$D1451,0),365*'FA Addition'!$O1451)</f>
        <v>0</v>
      </c>
      <c r="AH1451" s="117">
        <f>MIN(MAX($L$1-'FA Addition'!$D1451+1,0),365*'FA Addition'!$O1451)</f>
        <v>0</v>
      </c>
      <c r="AI1451" s="117" cm="1">
        <f t="array" ref="AI1451">_xlfn.XLOOKUP(1,('FA Write off'!A:A='FA Addition'!$A1451)*('FA Write off'!D:D=AA1451),'FA Write off'!H:H,0,0)</f>
        <v>0</v>
      </c>
      <c r="AJ1451" s="117">
        <f>IF(AC1451&gt;0,MAX(IF('FA Addition'!$N1451="SLM",($AC1451-'FA Addition'!$M1451)*'FA Addition'!$P1451*AI1451/365,(AC1451-'FA Addition'!$M1451)*(1-(1-'FA Addition'!$P1451)^(AI1451/365))),0),0)</f>
        <v>0</v>
      </c>
      <c r="AL1451" s="117">
        <f>MAX(IF(AG1451&gt;0,IF('FA Addition'!$N1451="SLM",($AE1451-'FA Addition'!$M1451)*'FA Addition'!$P1451*AG1451/365,IFERROR(VDB(AE1451,AE1451*0.05,'FA Addition'!$O1451,0,YEARFRAC('FA Addition'!$C1451,$P$1-1,3),'FA Addition'!$Q1451),FAAddition[[#This Row],[Original Cost (Rs)]]-FAAddition[[#This Row],[Salvage Value]])),0),0)</f>
        <v>0</v>
      </c>
      <c r="AM1451" s="119"/>
      <c r="AN1451" s="117">
        <f>MAX(IF(AH1451&gt;0,IF('FA Addition'!$N1451="SLM",($AF1451-'FA Addition'!$M1451)*'FA Addition'!$P1451*AH1451/365,IFERROR(VDB(AF1451,AF1451*0.05,'FA Addition'!$O1451,0,YEARFRAC('FA Addition'!$C1451,$L$1,3),'FA Addition'!$Q1451),FAAddition[[#This Row],[Original Cost (Rs)]]-FAAddition[[#This Row],[Salvage Value]])),0),0)</f>
        <v>0</v>
      </c>
      <c r="AO1451" s="117">
        <f t="shared" si="113"/>
        <v>0</v>
      </c>
      <c r="AQ1451" s="117">
        <f t="shared" si="111"/>
        <v>0</v>
      </c>
      <c r="AR1451" s="120">
        <f t="shared" si="112"/>
        <v>0</v>
      </c>
      <c r="AS1451" s="121"/>
    </row>
    <row r="1452" spans="1:45" ht="13.5" x14ac:dyDescent="0.4">
      <c r="A1452" s="12">
        <f t="shared" si="114"/>
        <v>1449</v>
      </c>
      <c r="B1452" s="64" t="s">
        <v>10</v>
      </c>
      <c r="C1452" s="54">
        <v>45804</v>
      </c>
      <c r="D1452" s="54">
        <v>45828</v>
      </c>
      <c r="E1452" s="46" t="s">
        <v>451</v>
      </c>
      <c r="F1452" s="51" t="s">
        <v>19</v>
      </c>
      <c r="G1452" s="51" t="s">
        <v>20</v>
      </c>
      <c r="H1452" s="51" t="s">
        <v>21</v>
      </c>
      <c r="I1452" s="55" t="s">
        <v>141</v>
      </c>
      <c r="J1452" s="56">
        <v>1</v>
      </c>
      <c r="K1452" s="51" t="s">
        <v>314</v>
      </c>
      <c r="L1452" s="58">
        <v>57000</v>
      </c>
      <c r="M1452" s="50">
        <f>ROUND('FA Addition'!$L1452*5%,0.1)</f>
        <v>2850</v>
      </c>
      <c r="N1452" s="113" t="str">
        <f>_xlfn.XLOOKUP(_xlfn.CONCAT(E1452,B1452),'Year Wise Master Dep Approach'!F:F,'Year Wise Master Dep Approach'!D:D)</f>
        <v>WDV</v>
      </c>
      <c r="O1452" s="113">
        <f>_xlfn.XLOOKUP(_xlfn.CONCAT(E1452,B1452),'Year Wise Master Dep Approach'!F:F,'Year Wise Master Dep Approach'!E:E)</f>
        <v>3</v>
      </c>
      <c r="P1452" s="114">
        <f>IFERROR(IF('FA Addition'!$N1452="WDV",1-('FA Addition'!$M1452/'FA Addition'!$L1452)^(1/'FA Addition'!$O1452),1/'FA Addition'!$O1452),0)</f>
        <v>0.63159685013596123</v>
      </c>
      <c r="Q1452" s="122">
        <f>'FA Addition'!$P1452*'FA Addition'!$O1452</f>
        <v>1.8947905504078837</v>
      </c>
      <c r="R1452" s="122"/>
      <c r="S1452" s="116">
        <f>IF(AND(DATE(20&amp;LEFT(FAAddition[[#This Row],[FY]],2),4,1)&lt;$L$1+1,DATE(20&amp;LEFT(FAAddition[[#This Row],[FY]],2),4,1)&gt;$P$1-1),'FA Addition'!$J1452,0)</f>
        <v>0</v>
      </c>
      <c r="U1452" s="117">
        <f>S1452*'FA Addition'!$L1452/'FA Addition'!$J1452</f>
        <v>0</v>
      </c>
      <c r="W1452" s="116">
        <f>SUMIFS('FA Write off'!D:D,'FA Write off'!A:A,'FA Addition'!$A1452,'FA Write off'!C:C,"&lt;"&amp;'FA Addition'!$P$1)</f>
        <v>0</v>
      </c>
      <c r="Y1452" s="191">
        <f>IFERROR(W1452/'FA Addition'!$J1452*'FA Addition'!$L1452,0)</f>
        <v>0</v>
      </c>
      <c r="AA1452" s="116">
        <f>SUMIFS('FA Write off'!D:D,'FA Write off'!A:A,'FA Addition'!$A1452,'FA Write off'!C:C,"&lt;"&amp;'FA Addition'!$L$1+1,'FA Write off'!C:C,"&gt;"&amp;'FA Addition'!$L$1-365)</f>
        <v>0</v>
      </c>
      <c r="AC1452" s="118">
        <f>IFERROR(AA1452/'FA Addition'!$J1452*'FA Addition'!$L1452,0)</f>
        <v>0</v>
      </c>
      <c r="AE1452" s="117">
        <f>IF(AND('FA Addition'!$D1452&lt;$P$1+1,U1452=0),'FA Addition'!$L1452,0)-Y1452</f>
        <v>0</v>
      </c>
      <c r="AF1452" s="117">
        <f t="shared" si="110"/>
        <v>0</v>
      </c>
      <c r="AG1452" s="117">
        <f>MIN(MAX(+$P$1-'FA Addition'!$D1452,0),365*'FA Addition'!$O1452)</f>
        <v>0</v>
      </c>
      <c r="AH1452" s="117">
        <f>MIN(MAX($L$1-'FA Addition'!$D1452+1,0),365*'FA Addition'!$O1452)</f>
        <v>0</v>
      </c>
      <c r="AI1452" s="117" cm="1">
        <f t="array" ref="AI1452">_xlfn.XLOOKUP(1,('FA Write off'!A:A='FA Addition'!$A1452)*('FA Write off'!D:D=AA1452),'FA Write off'!H:H,0,0)</f>
        <v>0</v>
      </c>
      <c r="AJ1452" s="117">
        <f>IF(AC1452&gt;0,MAX(IF('FA Addition'!$N1452="SLM",($AC1452-'FA Addition'!$M1452)*'FA Addition'!$P1452*AI1452/365,(AC1452-'FA Addition'!$M1452)*(1-(1-'FA Addition'!$P1452)^(AI1452/365))),0),0)</f>
        <v>0</v>
      </c>
      <c r="AL1452" s="117">
        <f>MAX(IF(AG1452&gt;0,IF('FA Addition'!$N1452="SLM",($AE1452-'FA Addition'!$M1452)*'FA Addition'!$P1452*AG1452/365,IFERROR(VDB(AE1452,AE1452*0.05,'FA Addition'!$O1452,0,YEARFRAC('FA Addition'!$C1452,$P$1-1,3),'FA Addition'!$Q1452),FAAddition[[#This Row],[Original Cost (Rs)]]-FAAddition[[#This Row],[Salvage Value]])),0),0)</f>
        <v>0</v>
      </c>
      <c r="AM1452" s="119"/>
      <c r="AN1452" s="117">
        <f>MAX(IF(AH1452&gt;0,IF('FA Addition'!$N1452="SLM",($AF1452-'FA Addition'!$M1452)*'FA Addition'!$P1452*AH1452/365,IFERROR(VDB(AF1452,AF1452*0.05,'FA Addition'!$O1452,0,YEARFRAC('FA Addition'!$C1452,$L$1,3),'FA Addition'!$Q1452),FAAddition[[#This Row],[Original Cost (Rs)]]-FAAddition[[#This Row],[Salvage Value]])),0),0)</f>
        <v>0</v>
      </c>
      <c r="AO1452" s="117">
        <f t="shared" si="113"/>
        <v>0</v>
      </c>
      <c r="AQ1452" s="117">
        <f t="shared" si="111"/>
        <v>0</v>
      </c>
      <c r="AR1452" s="120">
        <f t="shared" si="112"/>
        <v>0</v>
      </c>
      <c r="AS1452" s="121"/>
    </row>
    <row r="1453" spans="1:45" ht="13.5" x14ac:dyDescent="0.4">
      <c r="A1453" s="12">
        <f t="shared" si="114"/>
        <v>1450</v>
      </c>
      <c r="B1453" s="64" t="s">
        <v>10</v>
      </c>
      <c r="C1453" s="54">
        <v>45804</v>
      </c>
      <c r="D1453" s="54">
        <v>45828</v>
      </c>
      <c r="E1453" s="46" t="s">
        <v>451</v>
      </c>
      <c r="F1453" s="51" t="s">
        <v>19</v>
      </c>
      <c r="G1453" s="51" t="s">
        <v>20</v>
      </c>
      <c r="H1453" s="51" t="s">
        <v>21</v>
      </c>
      <c r="I1453" s="55" t="s">
        <v>141</v>
      </c>
      <c r="J1453" s="56">
        <v>1</v>
      </c>
      <c r="K1453" s="51" t="s">
        <v>314</v>
      </c>
      <c r="L1453" s="58">
        <v>57000</v>
      </c>
      <c r="M1453" s="50">
        <f>ROUND('FA Addition'!$L1453*5%,0.1)</f>
        <v>2850</v>
      </c>
      <c r="N1453" s="113" t="str">
        <f>_xlfn.XLOOKUP(_xlfn.CONCAT(E1453,B1453),'Year Wise Master Dep Approach'!F:F,'Year Wise Master Dep Approach'!D:D)</f>
        <v>WDV</v>
      </c>
      <c r="O1453" s="113">
        <f>_xlfn.XLOOKUP(_xlfn.CONCAT(E1453,B1453),'Year Wise Master Dep Approach'!F:F,'Year Wise Master Dep Approach'!E:E)</f>
        <v>3</v>
      </c>
      <c r="P1453" s="114">
        <f>IFERROR(IF('FA Addition'!$N1453="WDV",1-('FA Addition'!$M1453/'FA Addition'!$L1453)^(1/'FA Addition'!$O1453),1/'FA Addition'!$O1453),0)</f>
        <v>0.63159685013596123</v>
      </c>
      <c r="Q1453" s="122">
        <f>'FA Addition'!$P1453*'FA Addition'!$O1453</f>
        <v>1.8947905504078837</v>
      </c>
      <c r="R1453" s="122"/>
      <c r="S1453" s="116">
        <f>IF(AND(DATE(20&amp;LEFT(FAAddition[[#This Row],[FY]],2),4,1)&lt;$L$1+1,DATE(20&amp;LEFT(FAAddition[[#This Row],[FY]],2),4,1)&gt;$P$1-1),'FA Addition'!$J1453,0)</f>
        <v>0</v>
      </c>
      <c r="U1453" s="117">
        <f>S1453*'FA Addition'!$L1453/'FA Addition'!$J1453</f>
        <v>0</v>
      </c>
      <c r="W1453" s="116">
        <f>SUMIFS('FA Write off'!D:D,'FA Write off'!A:A,'FA Addition'!$A1453,'FA Write off'!C:C,"&lt;"&amp;'FA Addition'!$P$1)</f>
        <v>0</v>
      </c>
      <c r="Y1453" s="191">
        <f>IFERROR(W1453/'FA Addition'!$J1453*'FA Addition'!$L1453,0)</f>
        <v>0</v>
      </c>
      <c r="AA1453" s="116">
        <f>SUMIFS('FA Write off'!D:D,'FA Write off'!A:A,'FA Addition'!$A1453,'FA Write off'!C:C,"&lt;"&amp;'FA Addition'!$L$1+1,'FA Write off'!C:C,"&gt;"&amp;'FA Addition'!$L$1-365)</f>
        <v>0</v>
      </c>
      <c r="AC1453" s="118">
        <f>IFERROR(AA1453/'FA Addition'!$J1453*'FA Addition'!$L1453,0)</f>
        <v>0</v>
      </c>
      <c r="AE1453" s="117">
        <f>IF(AND('FA Addition'!$D1453&lt;$P$1+1,U1453=0),'FA Addition'!$L1453,0)-Y1453</f>
        <v>0</v>
      </c>
      <c r="AF1453" s="117">
        <f t="shared" si="110"/>
        <v>0</v>
      </c>
      <c r="AG1453" s="117">
        <f>MIN(MAX(+$P$1-'FA Addition'!$D1453,0),365*'FA Addition'!$O1453)</f>
        <v>0</v>
      </c>
      <c r="AH1453" s="117">
        <f>MIN(MAX($L$1-'FA Addition'!$D1453+1,0),365*'FA Addition'!$O1453)</f>
        <v>0</v>
      </c>
      <c r="AI1453" s="117" cm="1">
        <f t="array" ref="AI1453">_xlfn.XLOOKUP(1,('FA Write off'!A:A='FA Addition'!$A1453)*('FA Write off'!D:D=AA1453),'FA Write off'!H:H,0,0)</f>
        <v>0</v>
      </c>
      <c r="AJ1453" s="117">
        <f>IF(AC1453&gt;0,MAX(IF('FA Addition'!$N1453="SLM",($AC1453-'FA Addition'!$M1453)*'FA Addition'!$P1453*AI1453/365,(AC1453-'FA Addition'!$M1453)*(1-(1-'FA Addition'!$P1453)^(AI1453/365))),0),0)</f>
        <v>0</v>
      </c>
      <c r="AL1453" s="117">
        <f>MAX(IF(AG1453&gt;0,IF('FA Addition'!$N1453="SLM",($AE1453-'FA Addition'!$M1453)*'FA Addition'!$P1453*AG1453/365,IFERROR(VDB(AE1453,AE1453*0.05,'FA Addition'!$O1453,0,YEARFRAC('FA Addition'!$C1453,$P$1-1,3),'FA Addition'!$Q1453),FAAddition[[#This Row],[Original Cost (Rs)]]-FAAddition[[#This Row],[Salvage Value]])),0),0)</f>
        <v>0</v>
      </c>
      <c r="AM1453" s="119"/>
      <c r="AN1453" s="117">
        <f>MAX(IF(AH1453&gt;0,IF('FA Addition'!$N1453="SLM",($AF1453-'FA Addition'!$M1453)*'FA Addition'!$P1453*AH1453/365,IFERROR(VDB(AF1453,AF1453*0.05,'FA Addition'!$O1453,0,YEARFRAC('FA Addition'!$C1453,$L$1,3),'FA Addition'!$Q1453),FAAddition[[#This Row],[Original Cost (Rs)]]-FAAddition[[#This Row],[Salvage Value]])),0),0)</f>
        <v>0</v>
      </c>
      <c r="AO1453" s="117">
        <f t="shared" si="113"/>
        <v>0</v>
      </c>
      <c r="AQ1453" s="117">
        <f t="shared" si="111"/>
        <v>0</v>
      </c>
      <c r="AR1453" s="120">
        <f t="shared" si="112"/>
        <v>0</v>
      </c>
      <c r="AS1453" s="121"/>
    </row>
    <row r="1454" spans="1:45" ht="13.5" x14ac:dyDescent="0.4">
      <c r="A1454" s="12">
        <f t="shared" si="114"/>
        <v>1451</v>
      </c>
      <c r="B1454" s="64" t="s">
        <v>10</v>
      </c>
      <c r="C1454" s="54">
        <v>45804</v>
      </c>
      <c r="D1454" s="54">
        <v>45828</v>
      </c>
      <c r="E1454" s="46" t="s">
        <v>451</v>
      </c>
      <c r="F1454" s="51" t="s">
        <v>19</v>
      </c>
      <c r="G1454" s="51" t="s">
        <v>20</v>
      </c>
      <c r="H1454" s="51" t="s">
        <v>21</v>
      </c>
      <c r="I1454" s="55" t="s">
        <v>141</v>
      </c>
      <c r="J1454" s="56">
        <v>1</v>
      </c>
      <c r="K1454" s="51" t="s">
        <v>314</v>
      </c>
      <c r="L1454" s="58">
        <v>57000</v>
      </c>
      <c r="M1454" s="50">
        <f>ROUND('FA Addition'!$L1454*5%,0.1)</f>
        <v>2850</v>
      </c>
      <c r="N1454" s="113" t="str">
        <f>_xlfn.XLOOKUP(_xlfn.CONCAT(E1454,B1454),'Year Wise Master Dep Approach'!F:F,'Year Wise Master Dep Approach'!D:D)</f>
        <v>WDV</v>
      </c>
      <c r="O1454" s="113">
        <f>_xlfn.XLOOKUP(_xlfn.CONCAT(E1454,B1454),'Year Wise Master Dep Approach'!F:F,'Year Wise Master Dep Approach'!E:E)</f>
        <v>3</v>
      </c>
      <c r="P1454" s="114">
        <f>IFERROR(IF('FA Addition'!$N1454="WDV",1-('FA Addition'!$M1454/'FA Addition'!$L1454)^(1/'FA Addition'!$O1454),1/'FA Addition'!$O1454),0)</f>
        <v>0.63159685013596123</v>
      </c>
      <c r="Q1454" s="122">
        <f>'FA Addition'!$P1454*'FA Addition'!$O1454</f>
        <v>1.8947905504078837</v>
      </c>
      <c r="R1454" s="122"/>
      <c r="S1454" s="116">
        <f>IF(AND(DATE(20&amp;LEFT(FAAddition[[#This Row],[FY]],2),4,1)&lt;$L$1+1,DATE(20&amp;LEFT(FAAddition[[#This Row],[FY]],2),4,1)&gt;$P$1-1),'FA Addition'!$J1454,0)</f>
        <v>0</v>
      </c>
      <c r="U1454" s="117">
        <f>S1454*'FA Addition'!$L1454/'FA Addition'!$J1454</f>
        <v>0</v>
      </c>
      <c r="W1454" s="116">
        <f>SUMIFS('FA Write off'!D:D,'FA Write off'!A:A,'FA Addition'!$A1454,'FA Write off'!C:C,"&lt;"&amp;'FA Addition'!$P$1)</f>
        <v>0</v>
      </c>
      <c r="Y1454" s="191">
        <f>IFERROR(W1454/'FA Addition'!$J1454*'FA Addition'!$L1454,0)</f>
        <v>0</v>
      </c>
      <c r="AA1454" s="116">
        <f>SUMIFS('FA Write off'!D:D,'FA Write off'!A:A,'FA Addition'!$A1454,'FA Write off'!C:C,"&lt;"&amp;'FA Addition'!$L$1+1,'FA Write off'!C:C,"&gt;"&amp;'FA Addition'!$L$1-365)</f>
        <v>0</v>
      </c>
      <c r="AC1454" s="118">
        <f>IFERROR(AA1454/'FA Addition'!$J1454*'FA Addition'!$L1454,0)</f>
        <v>0</v>
      </c>
      <c r="AE1454" s="117">
        <f>IF(AND('FA Addition'!$D1454&lt;$P$1+1,U1454=0),'FA Addition'!$L1454,0)-Y1454</f>
        <v>0</v>
      </c>
      <c r="AF1454" s="117">
        <f t="shared" si="110"/>
        <v>0</v>
      </c>
      <c r="AG1454" s="117">
        <f>MIN(MAX(+$P$1-'FA Addition'!$D1454,0),365*'FA Addition'!$O1454)</f>
        <v>0</v>
      </c>
      <c r="AH1454" s="117">
        <f>MIN(MAX($L$1-'FA Addition'!$D1454+1,0),365*'FA Addition'!$O1454)</f>
        <v>0</v>
      </c>
      <c r="AI1454" s="117" cm="1">
        <f t="array" ref="AI1454">_xlfn.XLOOKUP(1,('FA Write off'!A:A='FA Addition'!$A1454)*('FA Write off'!D:D=AA1454),'FA Write off'!H:H,0,0)</f>
        <v>0</v>
      </c>
      <c r="AJ1454" s="117">
        <f>IF(AC1454&gt;0,MAX(IF('FA Addition'!$N1454="SLM",($AC1454-'FA Addition'!$M1454)*'FA Addition'!$P1454*AI1454/365,(AC1454-'FA Addition'!$M1454)*(1-(1-'FA Addition'!$P1454)^(AI1454/365))),0),0)</f>
        <v>0</v>
      </c>
      <c r="AL1454" s="117">
        <f>MAX(IF(AG1454&gt;0,IF('FA Addition'!$N1454="SLM",($AE1454-'FA Addition'!$M1454)*'FA Addition'!$P1454*AG1454/365,IFERROR(VDB(AE1454,AE1454*0.05,'FA Addition'!$O1454,0,YEARFRAC('FA Addition'!$C1454,$P$1-1,3),'FA Addition'!$Q1454),FAAddition[[#This Row],[Original Cost (Rs)]]-FAAddition[[#This Row],[Salvage Value]])),0),0)</f>
        <v>0</v>
      </c>
      <c r="AM1454" s="119"/>
      <c r="AN1454" s="117">
        <f>MAX(IF(AH1454&gt;0,IF('FA Addition'!$N1454="SLM",($AF1454-'FA Addition'!$M1454)*'FA Addition'!$P1454*AH1454/365,IFERROR(VDB(AF1454,AF1454*0.05,'FA Addition'!$O1454,0,YEARFRAC('FA Addition'!$C1454,$L$1,3),'FA Addition'!$Q1454),FAAddition[[#This Row],[Original Cost (Rs)]]-FAAddition[[#This Row],[Salvage Value]])),0),0)</f>
        <v>0</v>
      </c>
      <c r="AO1454" s="117">
        <f t="shared" si="113"/>
        <v>0</v>
      </c>
      <c r="AQ1454" s="117">
        <f t="shared" si="111"/>
        <v>0</v>
      </c>
      <c r="AR1454" s="120">
        <f t="shared" si="112"/>
        <v>0</v>
      </c>
      <c r="AS1454" s="121"/>
    </row>
    <row r="1455" spans="1:45" ht="13.5" x14ac:dyDescent="0.4">
      <c r="A1455" s="12">
        <f t="shared" si="114"/>
        <v>1452</v>
      </c>
      <c r="B1455" s="64" t="s">
        <v>10</v>
      </c>
      <c r="C1455" s="54">
        <v>45804</v>
      </c>
      <c r="D1455" s="54">
        <v>45828</v>
      </c>
      <c r="E1455" s="46" t="s">
        <v>451</v>
      </c>
      <c r="F1455" s="51" t="s">
        <v>19</v>
      </c>
      <c r="G1455" s="51" t="s">
        <v>20</v>
      </c>
      <c r="H1455" s="51" t="s">
        <v>21</v>
      </c>
      <c r="I1455" s="55" t="s">
        <v>141</v>
      </c>
      <c r="J1455" s="56">
        <v>1</v>
      </c>
      <c r="K1455" s="51" t="s">
        <v>314</v>
      </c>
      <c r="L1455" s="58">
        <v>57000</v>
      </c>
      <c r="M1455" s="50">
        <f>ROUND('FA Addition'!$L1455*5%,0.1)</f>
        <v>2850</v>
      </c>
      <c r="N1455" s="113" t="str">
        <f>_xlfn.XLOOKUP(_xlfn.CONCAT(E1455,B1455),'Year Wise Master Dep Approach'!F:F,'Year Wise Master Dep Approach'!D:D)</f>
        <v>WDV</v>
      </c>
      <c r="O1455" s="113">
        <f>_xlfn.XLOOKUP(_xlfn.CONCAT(E1455,B1455),'Year Wise Master Dep Approach'!F:F,'Year Wise Master Dep Approach'!E:E)</f>
        <v>3</v>
      </c>
      <c r="P1455" s="114">
        <f>IFERROR(IF('FA Addition'!$N1455="WDV",1-('FA Addition'!$M1455/'FA Addition'!$L1455)^(1/'FA Addition'!$O1455),1/'FA Addition'!$O1455),0)</f>
        <v>0.63159685013596123</v>
      </c>
      <c r="Q1455" s="122">
        <f>'FA Addition'!$P1455*'FA Addition'!$O1455</f>
        <v>1.8947905504078837</v>
      </c>
      <c r="R1455" s="122"/>
      <c r="S1455" s="116">
        <f>IF(AND(DATE(20&amp;LEFT(FAAddition[[#This Row],[FY]],2),4,1)&lt;$L$1+1,DATE(20&amp;LEFT(FAAddition[[#This Row],[FY]],2),4,1)&gt;$P$1-1),'FA Addition'!$J1455,0)</f>
        <v>0</v>
      </c>
      <c r="U1455" s="117">
        <f>S1455*'FA Addition'!$L1455/'FA Addition'!$J1455</f>
        <v>0</v>
      </c>
      <c r="W1455" s="116">
        <f>SUMIFS('FA Write off'!D:D,'FA Write off'!A:A,'FA Addition'!$A1455,'FA Write off'!C:C,"&lt;"&amp;'FA Addition'!$P$1)</f>
        <v>0</v>
      </c>
      <c r="Y1455" s="191">
        <f>IFERROR(W1455/'FA Addition'!$J1455*'FA Addition'!$L1455,0)</f>
        <v>0</v>
      </c>
      <c r="AA1455" s="116">
        <f>SUMIFS('FA Write off'!D:D,'FA Write off'!A:A,'FA Addition'!$A1455,'FA Write off'!C:C,"&lt;"&amp;'FA Addition'!$L$1+1,'FA Write off'!C:C,"&gt;"&amp;'FA Addition'!$L$1-365)</f>
        <v>0</v>
      </c>
      <c r="AC1455" s="118">
        <f>IFERROR(AA1455/'FA Addition'!$J1455*'FA Addition'!$L1455,0)</f>
        <v>0</v>
      </c>
      <c r="AE1455" s="117">
        <f>IF(AND('FA Addition'!$D1455&lt;$P$1+1,U1455=0),'FA Addition'!$L1455,0)-Y1455</f>
        <v>0</v>
      </c>
      <c r="AF1455" s="117">
        <f t="shared" si="110"/>
        <v>0</v>
      </c>
      <c r="AG1455" s="117">
        <f>MIN(MAX(+$P$1-'FA Addition'!$D1455,0),365*'FA Addition'!$O1455)</f>
        <v>0</v>
      </c>
      <c r="AH1455" s="117">
        <f>MIN(MAX($L$1-'FA Addition'!$D1455+1,0),365*'FA Addition'!$O1455)</f>
        <v>0</v>
      </c>
      <c r="AI1455" s="117" cm="1">
        <f t="array" ref="AI1455">_xlfn.XLOOKUP(1,('FA Write off'!A:A='FA Addition'!$A1455)*('FA Write off'!D:D=AA1455),'FA Write off'!H:H,0,0)</f>
        <v>0</v>
      </c>
      <c r="AJ1455" s="117">
        <f>IF(AC1455&gt;0,MAX(IF('FA Addition'!$N1455="SLM",($AC1455-'FA Addition'!$M1455)*'FA Addition'!$P1455*AI1455/365,(AC1455-'FA Addition'!$M1455)*(1-(1-'FA Addition'!$P1455)^(AI1455/365))),0),0)</f>
        <v>0</v>
      </c>
      <c r="AL1455" s="117">
        <f>MAX(IF(AG1455&gt;0,IF('FA Addition'!$N1455="SLM",($AE1455-'FA Addition'!$M1455)*'FA Addition'!$P1455*AG1455/365,IFERROR(VDB(AE1455,AE1455*0.05,'FA Addition'!$O1455,0,YEARFRAC('FA Addition'!$C1455,$P$1-1,3),'FA Addition'!$Q1455),FAAddition[[#This Row],[Original Cost (Rs)]]-FAAddition[[#This Row],[Salvage Value]])),0),0)</f>
        <v>0</v>
      </c>
      <c r="AM1455" s="119"/>
      <c r="AN1455" s="117">
        <f>MAX(IF(AH1455&gt;0,IF('FA Addition'!$N1455="SLM",($AF1455-'FA Addition'!$M1455)*'FA Addition'!$P1455*AH1455/365,IFERROR(VDB(AF1455,AF1455*0.05,'FA Addition'!$O1455,0,YEARFRAC('FA Addition'!$C1455,$L$1,3),'FA Addition'!$Q1455),FAAddition[[#This Row],[Original Cost (Rs)]]-FAAddition[[#This Row],[Salvage Value]])),0),0)</f>
        <v>0</v>
      </c>
      <c r="AO1455" s="117">
        <f t="shared" si="113"/>
        <v>0</v>
      </c>
      <c r="AQ1455" s="117">
        <f t="shared" si="111"/>
        <v>0</v>
      </c>
      <c r="AR1455" s="120">
        <f t="shared" si="112"/>
        <v>0</v>
      </c>
      <c r="AS1455" s="121"/>
    </row>
    <row r="1456" spans="1:45" ht="13.5" x14ac:dyDescent="0.4">
      <c r="A1456" s="12">
        <f t="shared" si="114"/>
        <v>1453</v>
      </c>
      <c r="B1456" s="64" t="s">
        <v>10</v>
      </c>
      <c r="C1456" s="54">
        <v>45826</v>
      </c>
      <c r="D1456" s="54">
        <v>45838</v>
      </c>
      <c r="E1456" s="46" t="s">
        <v>451</v>
      </c>
      <c r="F1456" s="51" t="s">
        <v>19</v>
      </c>
      <c r="G1456" s="51" t="s">
        <v>142</v>
      </c>
      <c r="H1456" s="51" t="s">
        <v>21</v>
      </c>
      <c r="I1456" s="55" t="s">
        <v>143</v>
      </c>
      <c r="J1456" s="56">
        <v>1</v>
      </c>
      <c r="K1456" s="51" t="s">
        <v>315</v>
      </c>
      <c r="L1456" s="58">
        <v>17796.61</v>
      </c>
      <c r="M1456" s="50">
        <f>ROUND('FA Addition'!$L1456*5%,0.1)</f>
        <v>890</v>
      </c>
      <c r="N1456" s="113" t="str">
        <f>_xlfn.XLOOKUP(_xlfn.CONCAT(E1456,B1456),'Year Wise Master Dep Approach'!F:F,'Year Wise Master Dep Approach'!D:D)</f>
        <v>WDV</v>
      </c>
      <c r="O1456" s="113">
        <f>_xlfn.XLOOKUP(_xlfn.CONCAT(E1456,B1456),'Year Wise Master Dep Approach'!F:F,'Year Wise Master Dep Approach'!E:E)</f>
        <v>3</v>
      </c>
      <c r="P1456" s="114">
        <f>IFERROR(IF('FA Addition'!$N1456="WDV",1-('FA Addition'!$M1456/'FA Addition'!$L1456)^(1/'FA Addition'!$O1456),1/'FA Addition'!$O1456),0)</f>
        <v>0.63157345977513657</v>
      </c>
      <c r="Q1456" s="122">
        <f>'FA Addition'!$P1456*'FA Addition'!$O1456</f>
        <v>1.8947203793254097</v>
      </c>
      <c r="R1456" s="122"/>
      <c r="S1456" s="116">
        <f>IF(AND(DATE(20&amp;LEFT(FAAddition[[#This Row],[FY]],2),4,1)&lt;$L$1+1,DATE(20&amp;LEFT(FAAddition[[#This Row],[FY]],2),4,1)&gt;$P$1-1),'FA Addition'!$J1456,0)</f>
        <v>0</v>
      </c>
      <c r="U1456" s="117">
        <f>S1456*'FA Addition'!$L1456/'FA Addition'!$J1456</f>
        <v>0</v>
      </c>
      <c r="W1456" s="116">
        <f>SUMIFS('FA Write off'!D:D,'FA Write off'!A:A,'FA Addition'!$A1456,'FA Write off'!C:C,"&lt;"&amp;'FA Addition'!$P$1)</f>
        <v>0</v>
      </c>
      <c r="Y1456" s="191">
        <f>IFERROR(W1456/'FA Addition'!$J1456*'FA Addition'!$L1456,0)</f>
        <v>0</v>
      </c>
      <c r="AA1456" s="116">
        <f>SUMIFS('FA Write off'!D:D,'FA Write off'!A:A,'FA Addition'!$A1456,'FA Write off'!C:C,"&lt;"&amp;'FA Addition'!$L$1+1,'FA Write off'!C:C,"&gt;"&amp;'FA Addition'!$L$1-365)</f>
        <v>0</v>
      </c>
      <c r="AC1456" s="118">
        <f>IFERROR(AA1456/'FA Addition'!$J1456*'FA Addition'!$L1456,0)</f>
        <v>0</v>
      </c>
      <c r="AE1456" s="117">
        <f>IF(AND('FA Addition'!$D1456&lt;$P$1+1,U1456=0),'FA Addition'!$L1456,0)-Y1456</f>
        <v>0</v>
      </c>
      <c r="AF1456" s="117">
        <f t="shared" si="110"/>
        <v>0</v>
      </c>
      <c r="AG1456" s="117">
        <f>MIN(MAX(+$P$1-'FA Addition'!$D1456,0),365*'FA Addition'!$O1456)</f>
        <v>0</v>
      </c>
      <c r="AH1456" s="117">
        <f>MIN(MAX($L$1-'FA Addition'!$D1456+1,0),365*'FA Addition'!$O1456)</f>
        <v>0</v>
      </c>
      <c r="AI1456" s="117" cm="1">
        <f t="array" ref="AI1456">_xlfn.XLOOKUP(1,('FA Write off'!A:A='FA Addition'!$A1456)*('FA Write off'!D:D=AA1456),'FA Write off'!H:H,0,0)</f>
        <v>0</v>
      </c>
      <c r="AJ1456" s="117">
        <f>IF(AC1456&gt;0,MAX(IF('FA Addition'!$N1456="SLM",($AC1456-'FA Addition'!$M1456)*'FA Addition'!$P1456*AI1456/365,(AC1456-'FA Addition'!$M1456)*(1-(1-'FA Addition'!$P1456)^(AI1456/365))),0),0)</f>
        <v>0</v>
      </c>
      <c r="AL1456" s="117">
        <f>MAX(IF(AG1456&gt;0,IF('FA Addition'!$N1456="SLM",($AE1456-'FA Addition'!$M1456)*'FA Addition'!$P1456*AG1456/365,IFERROR(VDB(AE1456,AE1456*0.05,'FA Addition'!$O1456,0,YEARFRAC('FA Addition'!$C1456,$P$1-1,3),'FA Addition'!$Q1456),FAAddition[[#This Row],[Original Cost (Rs)]]-FAAddition[[#This Row],[Salvage Value]])),0),0)</f>
        <v>0</v>
      </c>
      <c r="AM1456" s="119"/>
      <c r="AN1456" s="117">
        <f>MAX(IF(AH1456&gt;0,IF('FA Addition'!$N1456="SLM",($AF1456-'FA Addition'!$M1456)*'FA Addition'!$P1456*AH1456/365,IFERROR(VDB(AF1456,AF1456*0.05,'FA Addition'!$O1456,0,YEARFRAC('FA Addition'!$C1456,$L$1,3),'FA Addition'!$Q1456),FAAddition[[#This Row],[Original Cost (Rs)]]-FAAddition[[#This Row],[Salvage Value]])),0),0)</f>
        <v>0</v>
      </c>
      <c r="AO1456" s="117">
        <f t="shared" si="113"/>
        <v>0</v>
      </c>
      <c r="AQ1456" s="117">
        <f t="shared" si="111"/>
        <v>0</v>
      </c>
      <c r="AR1456" s="120">
        <f t="shared" si="112"/>
        <v>0</v>
      </c>
      <c r="AS1456" s="121"/>
    </row>
    <row r="1457" spans="1:45" ht="13.5" x14ac:dyDescent="0.4">
      <c r="A1457" s="12">
        <f t="shared" si="114"/>
        <v>1454</v>
      </c>
      <c r="B1457" s="64" t="s">
        <v>10</v>
      </c>
      <c r="C1457" s="54">
        <v>45826</v>
      </c>
      <c r="D1457" s="54">
        <v>45838</v>
      </c>
      <c r="E1457" s="46" t="s">
        <v>451</v>
      </c>
      <c r="F1457" s="51" t="s">
        <v>19</v>
      </c>
      <c r="G1457" s="51" t="s">
        <v>142</v>
      </c>
      <c r="H1457" s="51" t="s">
        <v>21</v>
      </c>
      <c r="I1457" s="55" t="s">
        <v>143</v>
      </c>
      <c r="J1457" s="56">
        <v>1</v>
      </c>
      <c r="K1457" s="51" t="s">
        <v>315</v>
      </c>
      <c r="L1457" s="58">
        <v>17796.61</v>
      </c>
      <c r="M1457" s="50">
        <f>ROUND('FA Addition'!$L1457*5%,0.1)</f>
        <v>890</v>
      </c>
      <c r="N1457" s="113" t="str">
        <f>_xlfn.XLOOKUP(_xlfn.CONCAT(E1457,B1457),'Year Wise Master Dep Approach'!F:F,'Year Wise Master Dep Approach'!D:D)</f>
        <v>WDV</v>
      </c>
      <c r="O1457" s="113">
        <f>_xlfn.XLOOKUP(_xlfn.CONCAT(E1457,B1457),'Year Wise Master Dep Approach'!F:F,'Year Wise Master Dep Approach'!E:E)</f>
        <v>3</v>
      </c>
      <c r="P1457" s="114">
        <f>IFERROR(IF('FA Addition'!$N1457="WDV",1-('FA Addition'!$M1457/'FA Addition'!$L1457)^(1/'FA Addition'!$O1457),1/'FA Addition'!$O1457),0)</f>
        <v>0.63157345977513657</v>
      </c>
      <c r="Q1457" s="122">
        <f>'FA Addition'!$P1457*'FA Addition'!$O1457</f>
        <v>1.8947203793254097</v>
      </c>
      <c r="R1457" s="122"/>
      <c r="S1457" s="116">
        <f>IF(AND(DATE(20&amp;LEFT(FAAddition[[#This Row],[FY]],2),4,1)&lt;$L$1+1,DATE(20&amp;LEFT(FAAddition[[#This Row],[FY]],2),4,1)&gt;$P$1-1),'FA Addition'!$J1457,0)</f>
        <v>0</v>
      </c>
      <c r="U1457" s="117">
        <f>S1457*'FA Addition'!$L1457/'FA Addition'!$J1457</f>
        <v>0</v>
      </c>
      <c r="W1457" s="116">
        <f>SUMIFS('FA Write off'!D:D,'FA Write off'!A:A,'FA Addition'!$A1457,'FA Write off'!C:C,"&lt;"&amp;'FA Addition'!$P$1)</f>
        <v>0</v>
      </c>
      <c r="Y1457" s="191">
        <f>IFERROR(W1457/'FA Addition'!$J1457*'FA Addition'!$L1457,0)</f>
        <v>0</v>
      </c>
      <c r="AA1457" s="116">
        <f>SUMIFS('FA Write off'!D:D,'FA Write off'!A:A,'FA Addition'!$A1457,'FA Write off'!C:C,"&lt;"&amp;'FA Addition'!$L$1+1,'FA Write off'!C:C,"&gt;"&amp;'FA Addition'!$L$1-365)</f>
        <v>0</v>
      </c>
      <c r="AC1457" s="118">
        <f>IFERROR(AA1457/'FA Addition'!$J1457*'FA Addition'!$L1457,0)</f>
        <v>0</v>
      </c>
      <c r="AE1457" s="117">
        <f>IF(AND('FA Addition'!$D1457&lt;$P$1+1,U1457=0),'FA Addition'!$L1457,0)-Y1457</f>
        <v>0</v>
      </c>
      <c r="AF1457" s="117">
        <f t="shared" si="110"/>
        <v>0</v>
      </c>
      <c r="AG1457" s="117">
        <f>MIN(MAX(+$P$1-'FA Addition'!$D1457,0),365*'FA Addition'!$O1457)</f>
        <v>0</v>
      </c>
      <c r="AH1457" s="117">
        <f>MIN(MAX($L$1-'FA Addition'!$D1457+1,0),365*'FA Addition'!$O1457)</f>
        <v>0</v>
      </c>
      <c r="AI1457" s="117" cm="1">
        <f t="array" ref="AI1457">_xlfn.XLOOKUP(1,('FA Write off'!A:A='FA Addition'!$A1457)*('FA Write off'!D:D=AA1457),'FA Write off'!H:H,0,0)</f>
        <v>0</v>
      </c>
      <c r="AJ1457" s="117">
        <f>IF(AC1457&gt;0,MAX(IF('FA Addition'!$N1457="SLM",($AC1457-'FA Addition'!$M1457)*'FA Addition'!$P1457*AI1457/365,(AC1457-'FA Addition'!$M1457)*(1-(1-'FA Addition'!$P1457)^(AI1457/365))),0),0)</f>
        <v>0</v>
      </c>
      <c r="AL1457" s="117">
        <f>MAX(IF(AG1457&gt;0,IF('FA Addition'!$N1457="SLM",($AE1457-'FA Addition'!$M1457)*'FA Addition'!$P1457*AG1457/365,IFERROR(VDB(AE1457,AE1457*0.05,'FA Addition'!$O1457,0,YEARFRAC('FA Addition'!$C1457,$P$1-1,3),'FA Addition'!$Q1457),FAAddition[[#This Row],[Original Cost (Rs)]]-FAAddition[[#This Row],[Salvage Value]])),0),0)</f>
        <v>0</v>
      </c>
      <c r="AM1457" s="119"/>
      <c r="AN1457" s="117">
        <f>MAX(IF(AH1457&gt;0,IF('FA Addition'!$N1457="SLM",($AF1457-'FA Addition'!$M1457)*'FA Addition'!$P1457*AH1457/365,IFERROR(VDB(AF1457,AF1457*0.05,'FA Addition'!$O1457,0,YEARFRAC('FA Addition'!$C1457,$L$1,3),'FA Addition'!$Q1457),FAAddition[[#This Row],[Original Cost (Rs)]]-FAAddition[[#This Row],[Salvage Value]])),0),0)</f>
        <v>0</v>
      </c>
      <c r="AO1457" s="117">
        <f t="shared" si="113"/>
        <v>0</v>
      </c>
      <c r="AQ1457" s="117">
        <f t="shared" si="111"/>
        <v>0</v>
      </c>
      <c r="AR1457" s="120">
        <f t="shared" si="112"/>
        <v>0</v>
      </c>
      <c r="AS1457" s="121"/>
    </row>
    <row r="1458" spans="1:45" ht="13.5" x14ac:dyDescent="0.4">
      <c r="A1458" s="12">
        <f t="shared" si="114"/>
        <v>1455</v>
      </c>
      <c r="B1458" s="64" t="s">
        <v>10</v>
      </c>
      <c r="C1458" s="54">
        <v>45826</v>
      </c>
      <c r="D1458" s="54">
        <v>45838</v>
      </c>
      <c r="E1458" s="46" t="s">
        <v>451</v>
      </c>
      <c r="F1458" s="51" t="s">
        <v>19</v>
      </c>
      <c r="G1458" s="51" t="s">
        <v>142</v>
      </c>
      <c r="H1458" s="51" t="s">
        <v>21</v>
      </c>
      <c r="I1458" s="55" t="s">
        <v>143</v>
      </c>
      <c r="J1458" s="56">
        <v>1</v>
      </c>
      <c r="K1458" s="51" t="s">
        <v>315</v>
      </c>
      <c r="L1458" s="58">
        <v>17796.61</v>
      </c>
      <c r="M1458" s="50">
        <f>ROUND('FA Addition'!$L1458*5%,0.1)</f>
        <v>890</v>
      </c>
      <c r="N1458" s="113" t="str">
        <f>_xlfn.XLOOKUP(_xlfn.CONCAT(E1458,B1458),'Year Wise Master Dep Approach'!F:F,'Year Wise Master Dep Approach'!D:D)</f>
        <v>WDV</v>
      </c>
      <c r="O1458" s="113">
        <f>_xlfn.XLOOKUP(_xlfn.CONCAT(E1458,B1458),'Year Wise Master Dep Approach'!F:F,'Year Wise Master Dep Approach'!E:E)</f>
        <v>3</v>
      </c>
      <c r="P1458" s="114">
        <f>IFERROR(IF('FA Addition'!$N1458="WDV",1-('FA Addition'!$M1458/'FA Addition'!$L1458)^(1/'FA Addition'!$O1458),1/'FA Addition'!$O1458),0)</f>
        <v>0.63157345977513657</v>
      </c>
      <c r="Q1458" s="122">
        <f>'FA Addition'!$P1458*'FA Addition'!$O1458</f>
        <v>1.8947203793254097</v>
      </c>
      <c r="R1458" s="122"/>
      <c r="S1458" s="116">
        <f>IF(AND(DATE(20&amp;LEFT(FAAddition[[#This Row],[FY]],2),4,1)&lt;$L$1+1,DATE(20&amp;LEFT(FAAddition[[#This Row],[FY]],2),4,1)&gt;$P$1-1),'FA Addition'!$J1458,0)</f>
        <v>0</v>
      </c>
      <c r="U1458" s="117">
        <f>S1458*'FA Addition'!$L1458/'FA Addition'!$J1458</f>
        <v>0</v>
      </c>
      <c r="W1458" s="116">
        <f>SUMIFS('FA Write off'!D:D,'FA Write off'!A:A,'FA Addition'!$A1458,'FA Write off'!C:C,"&lt;"&amp;'FA Addition'!$P$1)</f>
        <v>0</v>
      </c>
      <c r="Y1458" s="191">
        <f>IFERROR(W1458/'FA Addition'!$J1458*'FA Addition'!$L1458,0)</f>
        <v>0</v>
      </c>
      <c r="AA1458" s="116">
        <f>SUMIFS('FA Write off'!D:D,'FA Write off'!A:A,'FA Addition'!$A1458,'FA Write off'!C:C,"&lt;"&amp;'FA Addition'!$L$1+1,'FA Write off'!C:C,"&gt;"&amp;'FA Addition'!$L$1-365)</f>
        <v>0</v>
      </c>
      <c r="AC1458" s="118">
        <f>IFERROR(AA1458/'FA Addition'!$J1458*'FA Addition'!$L1458,0)</f>
        <v>0</v>
      </c>
      <c r="AE1458" s="117">
        <f>IF(AND('FA Addition'!$D1458&lt;$P$1+1,U1458=0),'FA Addition'!$L1458,0)-Y1458</f>
        <v>0</v>
      </c>
      <c r="AF1458" s="117">
        <f t="shared" si="110"/>
        <v>0</v>
      </c>
      <c r="AG1458" s="117">
        <f>MIN(MAX(+$P$1-'FA Addition'!$D1458,0),365*'FA Addition'!$O1458)</f>
        <v>0</v>
      </c>
      <c r="AH1458" s="117">
        <f>MIN(MAX($L$1-'FA Addition'!$D1458+1,0),365*'FA Addition'!$O1458)</f>
        <v>0</v>
      </c>
      <c r="AI1458" s="117" cm="1">
        <f t="array" ref="AI1458">_xlfn.XLOOKUP(1,('FA Write off'!A:A='FA Addition'!$A1458)*('FA Write off'!D:D=AA1458),'FA Write off'!H:H,0,0)</f>
        <v>0</v>
      </c>
      <c r="AJ1458" s="117">
        <f>IF(AC1458&gt;0,MAX(IF('FA Addition'!$N1458="SLM",($AC1458-'FA Addition'!$M1458)*'FA Addition'!$P1458*AI1458/365,(AC1458-'FA Addition'!$M1458)*(1-(1-'FA Addition'!$P1458)^(AI1458/365))),0),0)</f>
        <v>0</v>
      </c>
      <c r="AL1458" s="117">
        <f>MAX(IF(AG1458&gt;0,IF('FA Addition'!$N1458="SLM",($AE1458-'FA Addition'!$M1458)*'FA Addition'!$P1458*AG1458/365,IFERROR(VDB(AE1458,AE1458*0.05,'FA Addition'!$O1458,0,YEARFRAC('FA Addition'!$C1458,$P$1-1,3),'FA Addition'!$Q1458),FAAddition[[#This Row],[Original Cost (Rs)]]-FAAddition[[#This Row],[Salvage Value]])),0),0)</f>
        <v>0</v>
      </c>
      <c r="AM1458" s="119"/>
      <c r="AN1458" s="117">
        <f>MAX(IF(AH1458&gt;0,IF('FA Addition'!$N1458="SLM",($AF1458-'FA Addition'!$M1458)*'FA Addition'!$P1458*AH1458/365,IFERROR(VDB(AF1458,AF1458*0.05,'FA Addition'!$O1458,0,YEARFRAC('FA Addition'!$C1458,$L$1,3),'FA Addition'!$Q1458),FAAddition[[#This Row],[Original Cost (Rs)]]-FAAddition[[#This Row],[Salvage Value]])),0),0)</f>
        <v>0</v>
      </c>
      <c r="AO1458" s="117">
        <f t="shared" si="113"/>
        <v>0</v>
      </c>
      <c r="AQ1458" s="117">
        <f t="shared" si="111"/>
        <v>0</v>
      </c>
      <c r="AR1458" s="120">
        <f t="shared" si="112"/>
        <v>0</v>
      </c>
      <c r="AS1458" s="121"/>
    </row>
    <row r="1459" spans="1:45" ht="13.5" x14ac:dyDescent="0.4">
      <c r="A1459" s="12">
        <f t="shared" si="114"/>
        <v>1456</v>
      </c>
      <c r="B1459" s="64" t="s">
        <v>10</v>
      </c>
      <c r="C1459" s="54">
        <v>45826</v>
      </c>
      <c r="D1459" s="54">
        <v>45838</v>
      </c>
      <c r="E1459" s="46" t="s">
        <v>451</v>
      </c>
      <c r="F1459" s="51" t="s">
        <v>19</v>
      </c>
      <c r="G1459" s="51" t="s">
        <v>142</v>
      </c>
      <c r="H1459" s="51" t="s">
        <v>21</v>
      </c>
      <c r="I1459" s="55" t="s">
        <v>143</v>
      </c>
      <c r="J1459" s="56">
        <v>1</v>
      </c>
      <c r="K1459" s="51" t="s">
        <v>315</v>
      </c>
      <c r="L1459" s="58">
        <v>17796.61</v>
      </c>
      <c r="M1459" s="50">
        <f>ROUND('FA Addition'!$L1459*5%,0.1)</f>
        <v>890</v>
      </c>
      <c r="N1459" s="113" t="str">
        <f>_xlfn.XLOOKUP(_xlfn.CONCAT(E1459,B1459),'Year Wise Master Dep Approach'!F:F,'Year Wise Master Dep Approach'!D:D)</f>
        <v>WDV</v>
      </c>
      <c r="O1459" s="113">
        <f>_xlfn.XLOOKUP(_xlfn.CONCAT(E1459,B1459),'Year Wise Master Dep Approach'!F:F,'Year Wise Master Dep Approach'!E:E)</f>
        <v>3</v>
      </c>
      <c r="P1459" s="114">
        <f>IFERROR(IF('FA Addition'!$N1459="WDV",1-('FA Addition'!$M1459/'FA Addition'!$L1459)^(1/'FA Addition'!$O1459),1/'FA Addition'!$O1459),0)</f>
        <v>0.63157345977513657</v>
      </c>
      <c r="Q1459" s="122">
        <f>'FA Addition'!$P1459*'FA Addition'!$O1459</f>
        <v>1.8947203793254097</v>
      </c>
      <c r="R1459" s="122"/>
      <c r="S1459" s="116">
        <f>IF(AND(DATE(20&amp;LEFT(FAAddition[[#This Row],[FY]],2),4,1)&lt;$L$1+1,DATE(20&amp;LEFT(FAAddition[[#This Row],[FY]],2),4,1)&gt;$P$1-1),'FA Addition'!$J1459,0)</f>
        <v>0</v>
      </c>
      <c r="U1459" s="117">
        <f>S1459*'FA Addition'!$L1459/'FA Addition'!$J1459</f>
        <v>0</v>
      </c>
      <c r="W1459" s="116">
        <f>SUMIFS('FA Write off'!D:D,'FA Write off'!A:A,'FA Addition'!$A1459,'FA Write off'!C:C,"&lt;"&amp;'FA Addition'!$P$1)</f>
        <v>0</v>
      </c>
      <c r="Y1459" s="191">
        <f>IFERROR(W1459/'FA Addition'!$J1459*'FA Addition'!$L1459,0)</f>
        <v>0</v>
      </c>
      <c r="AA1459" s="116">
        <f>SUMIFS('FA Write off'!D:D,'FA Write off'!A:A,'FA Addition'!$A1459,'FA Write off'!C:C,"&lt;"&amp;'FA Addition'!$L$1+1,'FA Write off'!C:C,"&gt;"&amp;'FA Addition'!$L$1-365)</f>
        <v>0</v>
      </c>
      <c r="AC1459" s="118">
        <f>IFERROR(AA1459/'FA Addition'!$J1459*'FA Addition'!$L1459,0)</f>
        <v>0</v>
      </c>
      <c r="AE1459" s="117">
        <f>IF(AND('FA Addition'!$D1459&lt;$P$1+1,U1459=0),'FA Addition'!$L1459,0)-Y1459</f>
        <v>0</v>
      </c>
      <c r="AF1459" s="117">
        <f t="shared" si="110"/>
        <v>0</v>
      </c>
      <c r="AG1459" s="117">
        <f>MIN(MAX(+$P$1-'FA Addition'!$D1459,0),365*'FA Addition'!$O1459)</f>
        <v>0</v>
      </c>
      <c r="AH1459" s="117">
        <f>MIN(MAX($L$1-'FA Addition'!$D1459+1,0),365*'FA Addition'!$O1459)</f>
        <v>0</v>
      </c>
      <c r="AI1459" s="117" cm="1">
        <f t="array" ref="AI1459">_xlfn.XLOOKUP(1,('FA Write off'!A:A='FA Addition'!$A1459)*('FA Write off'!D:D=AA1459),'FA Write off'!H:H,0,0)</f>
        <v>0</v>
      </c>
      <c r="AJ1459" s="117">
        <f>IF(AC1459&gt;0,MAX(IF('FA Addition'!$N1459="SLM",($AC1459-'FA Addition'!$M1459)*'FA Addition'!$P1459*AI1459/365,(AC1459-'FA Addition'!$M1459)*(1-(1-'FA Addition'!$P1459)^(AI1459/365))),0),0)</f>
        <v>0</v>
      </c>
      <c r="AL1459" s="117">
        <f>MAX(IF(AG1459&gt;0,IF('FA Addition'!$N1459="SLM",($AE1459-'FA Addition'!$M1459)*'FA Addition'!$P1459*AG1459/365,IFERROR(VDB(AE1459,AE1459*0.05,'FA Addition'!$O1459,0,YEARFRAC('FA Addition'!$C1459,$P$1-1,3),'FA Addition'!$Q1459),FAAddition[[#This Row],[Original Cost (Rs)]]-FAAddition[[#This Row],[Salvage Value]])),0),0)</f>
        <v>0</v>
      </c>
      <c r="AM1459" s="119"/>
      <c r="AN1459" s="117">
        <f>MAX(IF(AH1459&gt;0,IF('FA Addition'!$N1459="SLM",($AF1459-'FA Addition'!$M1459)*'FA Addition'!$P1459*AH1459/365,IFERROR(VDB(AF1459,AF1459*0.05,'FA Addition'!$O1459,0,YEARFRAC('FA Addition'!$C1459,$L$1,3),'FA Addition'!$Q1459),FAAddition[[#This Row],[Original Cost (Rs)]]-FAAddition[[#This Row],[Salvage Value]])),0),0)</f>
        <v>0</v>
      </c>
      <c r="AO1459" s="117">
        <f t="shared" si="113"/>
        <v>0</v>
      </c>
      <c r="AQ1459" s="117">
        <f t="shared" si="111"/>
        <v>0</v>
      </c>
      <c r="AR1459" s="120">
        <f t="shared" si="112"/>
        <v>0</v>
      </c>
      <c r="AS1459" s="121"/>
    </row>
    <row r="1460" spans="1:45" ht="13.5" x14ac:dyDescent="0.4">
      <c r="A1460" s="12">
        <f t="shared" si="114"/>
        <v>1457</v>
      </c>
      <c r="B1460" s="64" t="s">
        <v>10</v>
      </c>
      <c r="C1460" s="54">
        <v>45826</v>
      </c>
      <c r="D1460" s="54">
        <v>45838</v>
      </c>
      <c r="E1460" s="46" t="s">
        <v>451</v>
      </c>
      <c r="F1460" s="51" t="s">
        <v>19</v>
      </c>
      <c r="G1460" s="51" t="s">
        <v>142</v>
      </c>
      <c r="H1460" s="51" t="s">
        <v>21</v>
      </c>
      <c r="I1460" s="55" t="s">
        <v>143</v>
      </c>
      <c r="J1460" s="56">
        <v>1</v>
      </c>
      <c r="K1460" s="51" t="s">
        <v>315</v>
      </c>
      <c r="L1460" s="58">
        <v>17796.61</v>
      </c>
      <c r="M1460" s="50">
        <f>ROUND('FA Addition'!$L1460*5%,0.1)</f>
        <v>890</v>
      </c>
      <c r="N1460" s="113" t="str">
        <f>_xlfn.XLOOKUP(_xlfn.CONCAT(E1460,B1460),'Year Wise Master Dep Approach'!F:F,'Year Wise Master Dep Approach'!D:D)</f>
        <v>WDV</v>
      </c>
      <c r="O1460" s="113">
        <f>_xlfn.XLOOKUP(_xlfn.CONCAT(E1460,B1460),'Year Wise Master Dep Approach'!F:F,'Year Wise Master Dep Approach'!E:E)</f>
        <v>3</v>
      </c>
      <c r="P1460" s="114">
        <f>IFERROR(IF('FA Addition'!$N1460="WDV",1-('FA Addition'!$M1460/'FA Addition'!$L1460)^(1/'FA Addition'!$O1460),1/'FA Addition'!$O1460),0)</f>
        <v>0.63157345977513657</v>
      </c>
      <c r="Q1460" s="122">
        <f>'FA Addition'!$P1460*'FA Addition'!$O1460</f>
        <v>1.8947203793254097</v>
      </c>
      <c r="R1460" s="122"/>
      <c r="S1460" s="116">
        <f>IF(AND(DATE(20&amp;LEFT(FAAddition[[#This Row],[FY]],2),4,1)&lt;$L$1+1,DATE(20&amp;LEFT(FAAddition[[#This Row],[FY]],2),4,1)&gt;$P$1-1),'FA Addition'!$J1460,0)</f>
        <v>0</v>
      </c>
      <c r="U1460" s="117">
        <f>S1460*'FA Addition'!$L1460/'FA Addition'!$J1460</f>
        <v>0</v>
      </c>
      <c r="W1460" s="116">
        <f>SUMIFS('FA Write off'!D:D,'FA Write off'!A:A,'FA Addition'!$A1460,'FA Write off'!C:C,"&lt;"&amp;'FA Addition'!$P$1)</f>
        <v>0</v>
      </c>
      <c r="Y1460" s="191">
        <f>IFERROR(W1460/'FA Addition'!$J1460*'FA Addition'!$L1460,0)</f>
        <v>0</v>
      </c>
      <c r="AA1460" s="116">
        <f>SUMIFS('FA Write off'!D:D,'FA Write off'!A:A,'FA Addition'!$A1460,'FA Write off'!C:C,"&lt;"&amp;'FA Addition'!$L$1+1,'FA Write off'!C:C,"&gt;"&amp;'FA Addition'!$L$1-365)</f>
        <v>0</v>
      </c>
      <c r="AC1460" s="118">
        <f>IFERROR(AA1460/'FA Addition'!$J1460*'FA Addition'!$L1460,0)</f>
        <v>0</v>
      </c>
      <c r="AE1460" s="117">
        <f>IF(AND('FA Addition'!$D1460&lt;$P$1+1,U1460=0),'FA Addition'!$L1460,0)-Y1460</f>
        <v>0</v>
      </c>
      <c r="AF1460" s="117">
        <f t="shared" si="110"/>
        <v>0</v>
      </c>
      <c r="AG1460" s="117">
        <f>MIN(MAX(+$P$1-'FA Addition'!$D1460,0),365*'FA Addition'!$O1460)</f>
        <v>0</v>
      </c>
      <c r="AH1460" s="117">
        <f>MIN(MAX($L$1-'FA Addition'!$D1460+1,0),365*'FA Addition'!$O1460)</f>
        <v>0</v>
      </c>
      <c r="AI1460" s="117" cm="1">
        <f t="array" ref="AI1460">_xlfn.XLOOKUP(1,('FA Write off'!A:A='FA Addition'!$A1460)*('FA Write off'!D:D=AA1460),'FA Write off'!H:H,0,0)</f>
        <v>0</v>
      </c>
      <c r="AJ1460" s="117">
        <f>IF(AC1460&gt;0,MAX(IF('FA Addition'!$N1460="SLM",($AC1460-'FA Addition'!$M1460)*'FA Addition'!$P1460*AI1460/365,(AC1460-'FA Addition'!$M1460)*(1-(1-'FA Addition'!$P1460)^(AI1460/365))),0),0)</f>
        <v>0</v>
      </c>
      <c r="AL1460" s="117">
        <f>MAX(IF(AG1460&gt;0,IF('FA Addition'!$N1460="SLM",($AE1460-'FA Addition'!$M1460)*'FA Addition'!$P1460*AG1460/365,IFERROR(VDB(AE1460,AE1460*0.05,'FA Addition'!$O1460,0,YEARFRAC('FA Addition'!$C1460,$P$1-1,3),'FA Addition'!$Q1460),FAAddition[[#This Row],[Original Cost (Rs)]]-FAAddition[[#This Row],[Salvage Value]])),0),0)</f>
        <v>0</v>
      </c>
      <c r="AM1460" s="119"/>
      <c r="AN1460" s="117">
        <f>MAX(IF(AH1460&gt;0,IF('FA Addition'!$N1460="SLM",($AF1460-'FA Addition'!$M1460)*'FA Addition'!$P1460*AH1460/365,IFERROR(VDB(AF1460,AF1460*0.05,'FA Addition'!$O1460,0,YEARFRAC('FA Addition'!$C1460,$L$1,3),'FA Addition'!$Q1460),FAAddition[[#This Row],[Original Cost (Rs)]]-FAAddition[[#This Row],[Salvage Value]])),0),0)</f>
        <v>0</v>
      </c>
      <c r="AO1460" s="117">
        <f t="shared" si="113"/>
        <v>0</v>
      </c>
      <c r="AQ1460" s="117">
        <f t="shared" si="111"/>
        <v>0</v>
      </c>
      <c r="AR1460" s="120">
        <f t="shared" si="112"/>
        <v>0</v>
      </c>
      <c r="AS1460" s="121"/>
    </row>
    <row r="1461" spans="1:45" ht="13.5" x14ac:dyDescent="0.4">
      <c r="A1461" s="12">
        <f t="shared" si="114"/>
        <v>1458</v>
      </c>
      <c r="B1461" s="64" t="s">
        <v>10</v>
      </c>
      <c r="C1461" s="54">
        <v>45828</v>
      </c>
      <c r="D1461" s="54">
        <v>45838</v>
      </c>
      <c r="E1461" s="46" t="s">
        <v>451</v>
      </c>
      <c r="F1461" s="51" t="s">
        <v>19</v>
      </c>
      <c r="G1461" s="51" t="s">
        <v>144</v>
      </c>
      <c r="H1461" s="51" t="s">
        <v>21</v>
      </c>
      <c r="I1461" s="55">
        <v>66</v>
      </c>
      <c r="J1461" s="56">
        <v>1</v>
      </c>
      <c r="K1461" s="51" t="s">
        <v>316</v>
      </c>
      <c r="L1461" s="58">
        <v>75000</v>
      </c>
      <c r="M1461" s="50">
        <f>ROUND('FA Addition'!$L1461*5%,0.1)</f>
        <v>3750</v>
      </c>
      <c r="N1461" s="113" t="str">
        <f>_xlfn.XLOOKUP(_xlfn.CONCAT(E1461,B1461),'Year Wise Master Dep Approach'!F:F,'Year Wise Master Dep Approach'!D:D)</f>
        <v>WDV</v>
      </c>
      <c r="O1461" s="113">
        <f>_xlfn.XLOOKUP(_xlfn.CONCAT(E1461,B1461),'Year Wise Master Dep Approach'!F:F,'Year Wise Master Dep Approach'!E:E)</f>
        <v>3</v>
      </c>
      <c r="P1461" s="114">
        <f>IFERROR(IF('FA Addition'!$N1461="WDV",1-('FA Addition'!$M1461/'FA Addition'!$L1461)^(1/'FA Addition'!$O1461),1/'FA Addition'!$O1461),0)</f>
        <v>0.63159685013596123</v>
      </c>
      <c r="Q1461" s="122">
        <f>'FA Addition'!$P1461*'FA Addition'!$O1461</f>
        <v>1.8947905504078837</v>
      </c>
      <c r="R1461" s="122"/>
      <c r="S1461" s="116">
        <f>IF(AND(DATE(20&amp;LEFT(FAAddition[[#This Row],[FY]],2),4,1)&lt;$L$1+1,DATE(20&amp;LEFT(FAAddition[[#This Row],[FY]],2),4,1)&gt;$P$1-1),'FA Addition'!$J1461,0)</f>
        <v>0</v>
      </c>
      <c r="U1461" s="117">
        <f>S1461*'FA Addition'!$L1461/'FA Addition'!$J1461</f>
        <v>0</v>
      </c>
      <c r="W1461" s="116">
        <f>SUMIFS('FA Write off'!D:D,'FA Write off'!A:A,'FA Addition'!$A1461,'FA Write off'!C:C,"&lt;"&amp;'FA Addition'!$P$1)</f>
        <v>0</v>
      </c>
      <c r="Y1461" s="191">
        <f>IFERROR(W1461/'FA Addition'!$J1461*'FA Addition'!$L1461,0)</f>
        <v>0</v>
      </c>
      <c r="AA1461" s="116">
        <f>SUMIFS('FA Write off'!D:D,'FA Write off'!A:A,'FA Addition'!$A1461,'FA Write off'!C:C,"&lt;"&amp;'FA Addition'!$L$1+1,'FA Write off'!C:C,"&gt;"&amp;'FA Addition'!$L$1-365)</f>
        <v>0</v>
      </c>
      <c r="AC1461" s="118">
        <f>IFERROR(AA1461/'FA Addition'!$J1461*'FA Addition'!$L1461,0)</f>
        <v>0</v>
      </c>
      <c r="AE1461" s="117">
        <f>IF(AND('FA Addition'!$D1461&lt;$P$1+1,U1461=0),'FA Addition'!$L1461,0)-Y1461</f>
        <v>0</v>
      </c>
      <c r="AF1461" s="117">
        <f t="shared" si="110"/>
        <v>0</v>
      </c>
      <c r="AG1461" s="117">
        <f>MIN(MAX(+$P$1-'FA Addition'!$D1461,0),365*'FA Addition'!$O1461)</f>
        <v>0</v>
      </c>
      <c r="AH1461" s="117">
        <f>MIN(MAX($L$1-'FA Addition'!$D1461+1,0),365*'FA Addition'!$O1461)</f>
        <v>0</v>
      </c>
      <c r="AI1461" s="117" cm="1">
        <f t="array" ref="AI1461">_xlfn.XLOOKUP(1,('FA Write off'!A:A='FA Addition'!$A1461)*('FA Write off'!D:D=AA1461),'FA Write off'!H:H,0,0)</f>
        <v>0</v>
      </c>
      <c r="AJ1461" s="117">
        <f>IF(AC1461&gt;0,MAX(IF('FA Addition'!$N1461="SLM",($AC1461-'FA Addition'!$M1461)*'FA Addition'!$P1461*AI1461/365,(AC1461-'FA Addition'!$M1461)*(1-(1-'FA Addition'!$P1461)^(AI1461/365))),0),0)</f>
        <v>0</v>
      </c>
      <c r="AL1461" s="117">
        <f>MAX(IF(AG1461&gt;0,IF('FA Addition'!$N1461="SLM",($AE1461-'FA Addition'!$M1461)*'FA Addition'!$P1461*AG1461/365,IFERROR(VDB(AE1461,AE1461*0.05,'FA Addition'!$O1461,0,YEARFRAC('FA Addition'!$C1461,$P$1-1,3),'FA Addition'!$Q1461),FAAddition[[#This Row],[Original Cost (Rs)]]-FAAddition[[#This Row],[Salvage Value]])),0),0)</f>
        <v>0</v>
      </c>
      <c r="AM1461" s="119"/>
      <c r="AN1461" s="117">
        <f>MAX(IF(AH1461&gt;0,IF('FA Addition'!$N1461="SLM",($AF1461-'FA Addition'!$M1461)*'FA Addition'!$P1461*AH1461/365,IFERROR(VDB(AF1461,AF1461*0.05,'FA Addition'!$O1461,0,YEARFRAC('FA Addition'!$C1461,$L$1,3),'FA Addition'!$Q1461),FAAddition[[#This Row],[Original Cost (Rs)]]-FAAddition[[#This Row],[Salvage Value]])),0),0)</f>
        <v>0</v>
      </c>
      <c r="AO1461" s="117">
        <f t="shared" si="113"/>
        <v>0</v>
      </c>
      <c r="AQ1461" s="117">
        <f t="shared" si="111"/>
        <v>0</v>
      </c>
      <c r="AR1461" s="120">
        <f t="shared" si="112"/>
        <v>0</v>
      </c>
      <c r="AS1461" s="121"/>
    </row>
    <row r="1462" spans="1:45" ht="13.5" x14ac:dyDescent="0.4">
      <c r="A1462" s="12">
        <f t="shared" si="114"/>
        <v>1459</v>
      </c>
      <c r="B1462" s="64" t="s">
        <v>10</v>
      </c>
      <c r="C1462" s="54">
        <v>45828</v>
      </c>
      <c r="D1462" s="54">
        <v>45838</v>
      </c>
      <c r="E1462" s="46" t="s">
        <v>451</v>
      </c>
      <c r="F1462" s="51" t="s">
        <v>19</v>
      </c>
      <c r="G1462" s="51" t="s">
        <v>144</v>
      </c>
      <c r="H1462" s="51" t="s">
        <v>21</v>
      </c>
      <c r="I1462" s="55">
        <v>64</v>
      </c>
      <c r="J1462" s="56">
        <v>1</v>
      </c>
      <c r="K1462" s="51" t="s">
        <v>317</v>
      </c>
      <c r="L1462" s="58">
        <v>133051</v>
      </c>
      <c r="M1462" s="50">
        <f>ROUND('FA Addition'!$L1462*5%,0.1)</f>
        <v>6653</v>
      </c>
      <c r="N1462" s="113" t="str">
        <f>_xlfn.XLOOKUP(_xlfn.CONCAT(E1462,B1462),'Year Wise Master Dep Approach'!F:F,'Year Wise Master Dep Approach'!D:D)</f>
        <v>WDV</v>
      </c>
      <c r="O1462" s="113">
        <f>_xlfn.XLOOKUP(_xlfn.CONCAT(E1462,B1462),'Year Wise Master Dep Approach'!F:F,'Year Wise Master Dep Approach'!E:E)</f>
        <v>3</v>
      </c>
      <c r="P1462" s="114">
        <f>IFERROR(IF('FA Addition'!$N1462="WDV",1-('FA Addition'!$M1462/'FA Addition'!$L1462)^(1/'FA Addition'!$O1462),1/'FA Addition'!$O1462),0)</f>
        <v>0.63158854366302575</v>
      </c>
      <c r="Q1462" s="122">
        <f>'FA Addition'!$P1462*'FA Addition'!$O1462</f>
        <v>1.8947656309890772</v>
      </c>
      <c r="R1462" s="122"/>
      <c r="S1462" s="116">
        <f>IF(AND(DATE(20&amp;LEFT(FAAddition[[#This Row],[FY]],2),4,1)&lt;$L$1+1,DATE(20&amp;LEFT(FAAddition[[#This Row],[FY]],2),4,1)&gt;$P$1-1),'FA Addition'!$J1462,0)</f>
        <v>0</v>
      </c>
      <c r="U1462" s="117">
        <f>S1462*'FA Addition'!$L1462/'FA Addition'!$J1462</f>
        <v>0</v>
      </c>
      <c r="W1462" s="116">
        <f>SUMIFS('FA Write off'!D:D,'FA Write off'!A:A,'FA Addition'!$A1462,'FA Write off'!C:C,"&lt;"&amp;'FA Addition'!$P$1)</f>
        <v>0</v>
      </c>
      <c r="Y1462" s="191">
        <f>IFERROR(W1462/'FA Addition'!$J1462*'FA Addition'!$L1462,0)</f>
        <v>0</v>
      </c>
      <c r="AA1462" s="116">
        <f>SUMIFS('FA Write off'!D:D,'FA Write off'!A:A,'FA Addition'!$A1462,'FA Write off'!C:C,"&lt;"&amp;'FA Addition'!$L$1+1,'FA Write off'!C:C,"&gt;"&amp;'FA Addition'!$L$1-365)</f>
        <v>0</v>
      </c>
      <c r="AC1462" s="118">
        <f>IFERROR(AA1462/'FA Addition'!$J1462*'FA Addition'!$L1462,0)</f>
        <v>0</v>
      </c>
      <c r="AE1462" s="117">
        <f>IF(AND('FA Addition'!$D1462&lt;$P$1+1,U1462=0),'FA Addition'!$L1462,0)-Y1462</f>
        <v>0</v>
      </c>
      <c r="AF1462" s="117">
        <f t="shared" si="110"/>
        <v>0</v>
      </c>
      <c r="AG1462" s="117">
        <f>MIN(MAX(+$P$1-'FA Addition'!$D1462,0),365*'FA Addition'!$O1462)</f>
        <v>0</v>
      </c>
      <c r="AH1462" s="117">
        <f>MIN(MAX($L$1-'FA Addition'!$D1462+1,0),365*'FA Addition'!$O1462)</f>
        <v>0</v>
      </c>
      <c r="AI1462" s="117" cm="1">
        <f t="array" ref="AI1462">_xlfn.XLOOKUP(1,('FA Write off'!A:A='FA Addition'!$A1462)*('FA Write off'!D:D=AA1462),'FA Write off'!H:H,0,0)</f>
        <v>0</v>
      </c>
      <c r="AJ1462" s="117">
        <f>IF(AC1462&gt;0,MAX(IF('FA Addition'!$N1462="SLM",($AC1462-'FA Addition'!$M1462)*'FA Addition'!$P1462*AI1462/365,(AC1462-'FA Addition'!$M1462)*(1-(1-'FA Addition'!$P1462)^(AI1462/365))),0),0)</f>
        <v>0</v>
      </c>
      <c r="AL1462" s="117">
        <f>MAX(IF(AG1462&gt;0,IF('FA Addition'!$N1462="SLM",($AE1462-'FA Addition'!$M1462)*'FA Addition'!$P1462*AG1462/365,IFERROR(VDB(AE1462,AE1462*0.05,'FA Addition'!$O1462,0,YEARFRAC('FA Addition'!$C1462,$P$1-1,3),'FA Addition'!$Q1462),FAAddition[[#This Row],[Original Cost (Rs)]]-FAAddition[[#This Row],[Salvage Value]])),0),0)</f>
        <v>0</v>
      </c>
      <c r="AM1462" s="119"/>
      <c r="AN1462" s="117">
        <f>MAX(IF(AH1462&gt;0,IF('FA Addition'!$N1462="SLM",($AF1462-'FA Addition'!$M1462)*'FA Addition'!$P1462*AH1462/365,IFERROR(VDB(AF1462,AF1462*0.05,'FA Addition'!$O1462,0,YEARFRAC('FA Addition'!$C1462,$L$1,3),'FA Addition'!$Q1462),FAAddition[[#This Row],[Original Cost (Rs)]]-FAAddition[[#This Row],[Salvage Value]])),0),0)</f>
        <v>0</v>
      </c>
      <c r="AO1462" s="117">
        <f t="shared" si="113"/>
        <v>0</v>
      </c>
      <c r="AQ1462" s="117">
        <f t="shared" si="111"/>
        <v>0</v>
      </c>
      <c r="AR1462" s="120">
        <f t="shared" si="112"/>
        <v>0</v>
      </c>
      <c r="AS1462" s="121"/>
    </row>
    <row r="1463" spans="1:45" ht="13.5" x14ac:dyDescent="0.4">
      <c r="A1463" s="12">
        <f t="shared" si="114"/>
        <v>1460</v>
      </c>
      <c r="B1463" s="64" t="s">
        <v>10</v>
      </c>
      <c r="C1463" s="54">
        <v>45828</v>
      </c>
      <c r="D1463" s="54">
        <v>45838</v>
      </c>
      <c r="E1463" s="46" t="s">
        <v>451</v>
      </c>
      <c r="F1463" s="51" t="s">
        <v>19</v>
      </c>
      <c r="G1463" s="51" t="s">
        <v>144</v>
      </c>
      <c r="H1463" s="51" t="s">
        <v>21</v>
      </c>
      <c r="I1463" s="55">
        <v>64</v>
      </c>
      <c r="J1463" s="56">
        <v>1</v>
      </c>
      <c r="K1463" s="51" t="s">
        <v>317</v>
      </c>
      <c r="L1463" s="58">
        <v>133051</v>
      </c>
      <c r="M1463" s="50">
        <f>ROUND('FA Addition'!$L1463*5%,0.1)</f>
        <v>6653</v>
      </c>
      <c r="N1463" s="113" t="str">
        <f>_xlfn.XLOOKUP(_xlfn.CONCAT(E1463,B1463),'Year Wise Master Dep Approach'!F:F,'Year Wise Master Dep Approach'!D:D)</f>
        <v>WDV</v>
      </c>
      <c r="O1463" s="113">
        <f>_xlfn.XLOOKUP(_xlfn.CONCAT(E1463,B1463),'Year Wise Master Dep Approach'!F:F,'Year Wise Master Dep Approach'!E:E)</f>
        <v>3</v>
      </c>
      <c r="P1463" s="114">
        <f>IFERROR(IF('FA Addition'!$N1463="WDV",1-('FA Addition'!$M1463/'FA Addition'!$L1463)^(1/'FA Addition'!$O1463),1/'FA Addition'!$O1463),0)</f>
        <v>0.63158854366302575</v>
      </c>
      <c r="Q1463" s="122">
        <f>'FA Addition'!$P1463*'FA Addition'!$O1463</f>
        <v>1.8947656309890772</v>
      </c>
      <c r="R1463" s="122"/>
      <c r="S1463" s="116">
        <f>IF(AND(DATE(20&amp;LEFT(FAAddition[[#This Row],[FY]],2),4,1)&lt;$L$1+1,DATE(20&amp;LEFT(FAAddition[[#This Row],[FY]],2),4,1)&gt;$P$1-1),'FA Addition'!$J1463,0)</f>
        <v>0</v>
      </c>
      <c r="U1463" s="117">
        <f>S1463*'FA Addition'!$L1463/'FA Addition'!$J1463</f>
        <v>0</v>
      </c>
      <c r="W1463" s="116">
        <f>SUMIFS('FA Write off'!D:D,'FA Write off'!A:A,'FA Addition'!$A1463,'FA Write off'!C:C,"&lt;"&amp;'FA Addition'!$P$1)</f>
        <v>0</v>
      </c>
      <c r="Y1463" s="191">
        <f>IFERROR(W1463/'FA Addition'!$J1463*'FA Addition'!$L1463,0)</f>
        <v>0</v>
      </c>
      <c r="AA1463" s="116">
        <f>SUMIFS('FA Write off'!D:D,'FA Write off'!A:A,'FA Addition'!$A1463,'FA Write off'!C:C,"&lt;"&amp;'FA Addition'!$L$1+1,'FA Write off'!C:C,"&gt;"&amp;'FA Addition'!$L$1-365)</f>
        <v>0</v>
      </c>
      <c r="AC1463" s="118">
        <f>IFERROR(AA1463/'FA Addition'!$J1463*'FA Addition'!$L1463,0)</f>
        <v>0</v>
      </c>
      <c r="AE1463" s="117">
        <f>IF(AND('FA Addition'!$D1463&lt;$P$1+1,U1463=0),'FA Addition'!$L1463,0)-Y1463</f>
        <v>0</v>
      </c>
      <c r="AF1463" s="117">
        <f t="shared" si="110"/>
        <v>0</v>
      </c>
      <c r="AG1463" s="117">
        <f>MIN(MAX(+$P$1-'FA Addition'!$D1463,0),365*'FA Addition'!$O1463)</f>
        <v>0</v>
      </c>
      <c r="AH1463" s="117">
        <f>MIN(MAX($L$1-'FA Addition'!$D1463+1,0),365*'FA Addition'!$O1463)</f>
        <v>0</v>
      </c>
      <c r="AI1463" s="117" cm="1">
        <f t="array" ref="AI1463">_xlfn.XLOOKUP(1,('FA Write off'!A:A='FA Addition'!$A1463)*('FA Write off'!D:D=AA1463),'FA Write off'!H:H,0,0)</f>
        <v>0</v>
      </c>
      <c r="AJ1463" s="117">
        <f>IF(AC1463&gt;0,MAX(IF('FA Addition'!$N1463="SLM",($AC1463-'FA Addition'!$M1463)*'FA Addition'!$P1463*AI1463/365,(AC1463-'FA Addition'!$M1463)*(1-(1-'FA Addition'!$P1463)^(AI1463/365))),0),0)</f>
        <v>0</v>
      </c>
      <c r="AL1463" s="117">
        <f>MAX(IF(AG1463&gt;0,IF('FA Addition'!$N1463="SLM",($AE1463-'FA Addition'!$M1463)*'FA Addition'!$P1463*AG1463/365,IFERROR(VDB(AE1463,AE1463*0.05,'FA Addition'!$O1463,0,YEARFRAC('FA Addition'!$C1463,$P$1-1,3),'FA Addition'!$Q1463),FAAddition[[#This Row],[Original Cost (Rs)]]-FAAddition[[#This Row],[Salvage Value]])),0),0)</f>
        <v>0</v>
      </c>
      <c r="AM1463" s="119"/>
      <c r="AN1463" s="117">
        <f>MAX(IF(AH1463&gt;0,IF('FA Addition'!$N1463="SLM",($AF1463-'FA Addition'!$M1463)*'FA Addition'!$P1463*AH1463/365,IFERROR(VDB(AF1463,AF1463*0.05,'FA Addition'!$O1463,0,YEARFRAC('FA Addition'!$C1463,$L$1,3),'FA Addition'!$Q1463),FAAddition[[#This Row],[Original Cost (Rs)]]-FAAddition[[#This Row],[Salvage Value]])),0),0)</f>
        <v>0</v>
      </c>
      <c r="AO1463" s="117">
        <f t="shared" si="113"/>
        <v>0</v>
      </c>
      <c r="AQ1463" s="117">
        <f t="shared" si="111"/>
        <v>0</v>
      </c>
      <c r="AR1463" s="120">
        <f t="shared" si="112"/>
        <v>0</v>
      </c>
      <c r="AS1463" s="121"/>
    </row>
    <row r="1464" spans="1:45" ht="13.5" x14ac:dyDescent="0.4">
      <c r="A1464" s="12">
        <f t="shared" si="114"/>
        <v>1461</v>
      </c>
      <c r="B1464" s="64" t="s">
        <v>10</v>
      </c>
      <c r="C1464" s="54">
        <v>45828</v>
      </c>
      <c r="D1464" s="54">
        <v>45838</v>
      </c>
      <c r="E1464" s="46" t="s">
        <v>451</v>
      </c>
      <c r="F1464" s="51" t="s">
        <v>19</v>
      </c>
      <c r="G1464" s="51" t="s">
        <v>144</v>
      </c>
      <c r="H1464" s="51" t="s">
        <v>21</v>
      </c>
      <c r="I1464" s="55">
        <v>64</v>
      </c>
      <c r="J1464" s="56">
        <v>1</v>
      </c>
      <c r="K1464" s="51" t="s">
        <v>317</v>
      </c>
      <c r="L1464" s="58">
        <v>133051</v>
      </c>
      <c r="M1464" s="50">
        <f>ROUND('FA Addition'!$L1464*5%,0.1)</f>
        <v>6653</v>
      </c>
      <c r="N1464" s="113" t="str">
        <f>_xlfn.XLOOKUP(_xlfn.CONCAT(E1464,B1464),'Year Wise Master Dep Approach'!F:F,'Year Wise Master Dep Approach'!D:D)</f>
        <v>WDV</v>
      </c>
      <c r="O1464" s="113">
        <f>_xlfn.XLOOKUP(_xlfn.CONCAT(E1464,B1464),'Year Wise Master Dep Approach'!F:F,'Year Wise Master Dep Approach'!E:E)</f>
        <v>3</v>
      </c>
      <c r="P1464" s="114">
        <f>IFERROR(IF('FA Addition'!$N1464="WDV",1-('FA Addition'!$M1464/'FA Addition'!$L1464)^(1/'FA Addition'!$O1464),1/'FA Addition'!$O1464),0)</f>
        <v>0.63158854366302575</v>
      </c>
      <c r="Q1464" s="122">
        <f>'FA Addition'!$P1464*'FA Addition'!$O1464</f>
        <v>1.8947656309890772</v>
      </c>
      <c r="R1464" s="122"/>
      <c r="S1464" s="116">
        <f>IF(AND(DATE(20&amp;LEFT(FAAddition[[#This Row],[FY]],2),4,1)&lt;$L$1+1,DATE(20&amp;LEFT(FAAddition[[#This Row],[FY]],2),4,1)&gt;$P$1-1),'FA Addition'!$J1464,0)</f>
        <v>0</v>
      </c>
      <c r="U1464" s="117">
        <f>S1464*'FA Addition'!$L1464/'FA Addition'!$J1464</f>
        <v>0</v>
      </c>
      <c r="W1464" s="116">
        <f>SUMIFS('FA Write off'!D:D,'FA Write off'!A:A,'FA Addition'!$A1464,'FA Write off'!C:C,"&lt;"&amp;'FA Addition'!$P$1)</f>
        <v>0</v>
      </c>
      <c r="Y1464" s="191">
        <f>IFERROR(W1464/'FA Addition'!$J1464*'FA Addition'!$L1464,0)</f>
        <v>0</v>
      </c>
      <c r="AA1464" s="116">
        <f>SUMIFS('FA Write off'!D:D,'FA Write off'!A:A,'FA Addition'!$A1464,'FA Write off'!C:C,"&lt;"&amp;'FA Addition'!$L$1+1,'FA Write off'!C:C,"&gt;"&amp;'FA Addition'!$L$1-365)</f>
        <v>0</v>
      </c>
      <c r="AC1464" s="118">
        <f>IFERROR(AA1464/'FA Addition'!$J1464*'FA Addition'!$L1464,0)</f>
        <v>0</v>
      </c>
      <c r="AE1464" s="117">
        <f>IF(AND('FA Addition'!$D1464&lt;$P$1+1,U1464=0),'FA Addition'!$L1464,0)-Y1464</f>
        <v>0</v>
      </c>
      <c r="AF1464" s="117">
        <f t="shared" si="110"/>
        <v>0</v>
      </c>
      <c r="AG1464" s="117">
        <f>MIN(MAX(+$P$1-'FA Addition'!$D1464,0),365*'FA Addition'!$O1464)</f>
        <v>0</v>
      </c>
      <c r="AH1464" s="117">
        <f>MIN(MAX($L$1-'FA Addition'!$D1464+1,0),365*'FA Addition'!$O1464)</f>
        <v>0</v>
      </c>
      <c r="AI1464" s="117" cm="1">
        <f t="array" ref="AI1464">_xlfn.XLOOKUP(1,('FA Write off'!A:A='FA Addition'!$A1464)*('FA Write off'!D:D=AA1464),'FA Write off'!H:H,0,0)</f>
        <v>0</v>
      </c>
      <c r="AJ1464" s="117">
        <f>IF(AC1464&gt;0,MAX(IF('FA Addition'!$N1464="SLM",($AC1464-'FA Addition'!$M1464)*'FA Addition'!$P1464*AI1464/365,(AC1464-'FA Addition'!$M1464)*(1-(1-'FA Addition'!$P1464)^(AI1464/365))),0),0)</f>
        <v>0</v>
      </c>
      <c r="AL1464" s="117">
        <f>MAX(IF(AG1464&gt;0,IF('FA Addition'!$N1464="SLM",($AE1464-'FA Addition'!$M1464)*'FA Addition'!$P1464*AG1464/365,IFERROR(VDB(AE1464,AE1464*0.05,'FA Addition'!$O1464,0,YEARFRAC('FA Addition'!$C1464,$P$1-1,3),'FA Addition'!$Q1464),FAAddition[[#This Row],[Original Cost (Rs)]]-FAAddition[[#This Row],[Salvage Value]])),0),0)</f>
        <v>0</v>
      </c>
      <c r="AM1464" s="119"/>
      <c r="AN1464" s="117">
        <f>MAX(IF(AH1464&gt;0,IF('FA Addition'!$N1464="SLM",($AF1464-'FA Addition'!$M1464)*'FA Addition'!$P1464*AH1464/365,IFERROR(VDB(AF1464,AF1464*0.05,'FA Addition'!$O1464,0,YEARFRAC('FA Addition'!$C1464,$L$1,3),'FA Addition'!$Q1464),FAAddition[[#This Row],[Original Cost (Rs)]]-FAAddition[[#This Row],[Salvage Value]])),0),0)</f>
        <v>0</v>
      </c>
      <c r="AO1464" s="117">
        <f t="shared" si="113"/>
        <v>0</v>
      </c>
      <c r="AQ1464" s="117">
        <f t="shared" si="111"/>
        <v>0</v>
      </c>
      <c r="AR1464" s="120">
        <f t="shared" si="112"/>
        <v>0</v>
      </c>
      <c r="AS1464" s="121"/>
    </row>
    <row r="1465" spans="1:45" ht="13.5" x14ac:dyDescent="0.4">
      <c r="A1465" s="12">
        <f t="shared" si="114"/>
        <v>1462</v>
      </c>
      <c r="B1465" s="64" t="s">
        <v>10</v>
      </c>
      <c r="C1465" s="54">
        <v>45828</v>
      </c>
      <c r="D1465" s="54">
        <v>45838</v>
      </c>
      <c r="E1465" s="46" t="s">
        <v>451</v>
      </c>
      <c r="F1465" s="51" t="s">
        <v>19</v>
      </c>
      <c r="G1465" s="51" t="s">
        <v>144</v>
      </c>
      <c r="H1465" s="51" t="s">
        <v>21</v>
      </c>
      <c r="I1465" s="55">
        <v>64</v>
      </c>
      <c r="J1465" s="56">
        <v>1</v>
      </c>
      <c r="K1465" s="51" t="s">
        <v>317</v>
      </c>
      <c r="L1465" s="58">
        <v>133051</v>
      </c>
      <c r="M1465" s="50">
        <f>ROUND('FA Addition'!$L1465*5%,0.1)</f>
        <v>6653</v>
      </c>
      <c r="N1465" s="113" t="str">
        <f>_xlfn.XLOOKUP(_xlfn.CONCAT(E1465,B1465),'Year Wise Master Dep Approach'!F:F,'Year Wise Master Dep Approach'!D:D)</f>
        <v>WDV</v>
      </c>
      <c r="O1465" s="113">
        <f>_xlfn.XLOOKUP(_xlfn.CONCAT(E1465,B1465),'Year Wise Master Dep Approach'!F:F,'Year Wise Master Dep Approach'!E:E)</f>
        <v>3</v>
      </c>
      <c r="P1465" s="114">
        <f>IFERROR(IF('FA Addition'!$N1465="WDV",1-('FA Addition'!$M1465/'FA Addition'!$L1465)^(1/'FA Addition'!$O1465),1/'FA Addition'!$O1465),0)</f>
        <v>0.63158854366302575</v>
      </c>
      <c r="Q1465" s="122">
        <f>'FA Addition'!$P1465*'FA Addition'!$O1465</f>
        <v>1.8947656309890772</v>
      </c>
      <c r="R1465" s="122"/>
      <c r="S1465" s="116">
        <f>IF(AND(DATE(20&amp;LEFT(FAAddition[[#This Row],[FY]],2),4,1)&lt;$L$1+1,DATE(20&amp;LEFT(FAAddition[[#This Row],[FY]],2),4,1)&gt;$P$1-1),'FA Addition'!$J1465,0)</f>
        <v>0</v>
      </c>
      <c r="U1465" s="117">
        <f>S1465*'FA Addition'!$L1465/'FA Addition'!$J1465</f>
        <v>0</v>
      </c>
      <c r="W1465" s="116">
        <f>SUMIFS('FA Write off'!D:D,'FA Write off'!A:A,'FA Addition'!$A1465,'FA Write off'!C:C,"&lt;"&amp;'FA Addition'!$P$1)</f>
        <v>0</v>
      </c>
      <c r="Y1465" s="191">
        <f>IFERROR(W1465/'FA Addition'!$J1465*'FA Addition'!$L1465,0)</f>
        <v>0</v>
      </c>
      <c r="AA1465" s="116">
        <f>SUMIFS('FA Write off'!D:D,'FA Write off'!A:A,'FA Addition'!$A1465,'FA Write off'!C:C,"&lt;"&amp;'FA Addition'!$L$1+1,'FA Write off'!C:C,"&gt;"&amp;'FA Addition'!$L$1-365)</f>
        <v>0</v>
      </c>
      <c r="AC1465" s="118">
        <f>IFERROR(AA1465/'FA Addition'!$J1465*'FA Addition'!$L1465,0)</f>
        <v>0</v>
      </c>
      <c r="AE1465" s="117">
        <f>IF(AND('FA Addition'!$D1465&lt;$P$1+1,U1465=0),'FA Addition'!$L1465,0)-Y1465</f>
        <v>0</v>
      </c>
      <c r="AF1465" s="117">
        <f t="shared" si="110"/>
        <v>0</v>
      </c>
      <c r="AG1465" s="117">
        <f>MIN(MAX(+$P$1-'FA Addition'!$D1465,0),365*'FA Addition'!$O1465)</f>
        <v>0</v>
      </c>
      <c r="AH1465" s="117">
        <f>MIN(MAX($L$1-'FA Addition'!$D1465+1,0),365*'FA Addition'!$O1465)</f>
        <v>0</v>
      </c>
      <c r="AI1465" s="117" cm="1">
        <f t="array" ref="AI1465">_xlfn.XLOOKUP(1,('FA Write off'!A:A='FA Addition'!$A1465)*('FA Write off'!D:D=AA1465),'FA Write off'!H:H,0,0)</f>
        <v>0</v>
      </c>
      <c r="AJ1465" s="117">
        <f>IF(AC1465&gt;0,MAX(IF('FA Addition'!$N1465="SLM",($AC1465-'FA Addition'!$M1465)*'FA Addition'!$P1465*AI1465/365,(AC1465-'FA Addition'!$M1465)*(1-(1-'FA Addition'!$P1465)^(AI1465/365))),0),0)</f>
        <v>0</v>
      </c>
      <c r="AL1465" s="117">
        <f>MAX(IF(AG1465&gt;0,IF('FA Addition'!$N1465="SLM",($AE1465-'FA Addition'!$M1465)*'FA Addition'!$P1465*AG1465/365,IFERROR(VDB(AE1465,AE1465*0.05,'FA Addition'!$O1465,0,YEARFRAC('FA Addition'!$C1465,$P$1-1,3),'FA Addition'!$Q1465),FAAddition[[#This Row],[Original Cost (Rs)]]-FAAddition[[#This Row],[Salvage Value]])),0),0)</f>
        <v>0</v>
      </c>
      <c r="AM1465" s="119"/>
      <c r="AN1465" s="117">
        <f>MAX(IF(AH1465&gt;0,IF('FA Addition'!$N1465="SLM",($AF1465-'FA Addition'!$M1465)*'FA Addition'!$P1465*AH1465/365,IFERROR(VDB(AF1465,AF1465*0.05,'FA Addition'!$O1465,0,YEARFRAC('FA Addition'!$C1465,$L$1,3),'FA Addition'!$Q1465),FAAddition[[#This Row],[Original Cost (Rs)]]-FAAddition[[#This Row],[Salvage Value]])),0),0)</f>
        <v>0</v>
      </c>
      <c r="AO1465" s="117">
        <f t="shared" si="113"/>
        <v>0</v>
      </c>
      <c r="AQ1465" s="117">
        <f t="shared" si="111"/>
        <v>0</v>
      </c>
      <c r="AR1465" s="120">
        <f t="shared" si="112"/>
        <v>0</v>
      </c>
      <c r="AS1465" s="121"/>
    </row>
    <row r="1466" spans="1:45" ht="13.5" x14ac:dyDescent="0.4">
      <c r="A1466" s="12">
        <f t="shared" si="114"/>
        <v>1463</v>
      </c>
      <c r="B1466" s="64" t="s">
        <v>10</v>
      </c>
      <c r="C1466" s="54">
        <v>45828</v>
      </c>
      <c r="D1466" s="54">
        <v>45838</v>
      </c>
      <c r="E1466" s="46" t="s">
        <v>451</v>
      </c>
      <c r="F1466" s="51" t="s">
        <v>19</v>
      </c>
      <c r="G1466" s="51" t="s">
        <v>144</v>
      </c>
      <c r="H1466" s="51" t="s">
        <v>21</v>
      </c>
      <c r="I1466" s="55">
        <v>64</v>
      </c>
      <c r="J1466" s="56">
        <v>1</v>
      </c>
      <c r="K1466" s="51" t="s">
        <v>317</v>
      </c>
      <c r="L1466" s="58">
        <v>133051</v>
      </c>
      <c r="M1466" s="50">
        <f>ROUND('FA Addition'!$L1466*5%,0.1)</f>
        <v>6653</v>
      </c>
      <c r="N1466" s="113" t="str">
        <f>_xlfn.XLOOKUP(_xlfn.CONCAT(E1466,B1466),'Year Wise Master Dep Approach'!F:F,'Year Wise Master Dep Approach'!D:D)</f>
        <v>WDV</v>
      </c>
      <c r="O1466" s="113">
        <f>_xlfn.XLOOKUP(_xlfn.CONCAT(E1466,B1466),'Year Wise Master Dep Approach'!F:F,'Year Wise Master Dep Approach'!E:E)</f>
        <v>3</v>
      </c>
      <c r="P1466" s="114">
        <f>IFERROR(IF('FA Addition'!$N1466="WDV",1-('FA Addition'!$M1466/'FA Addition'!$L1466)^(1/'FA Addition'!$O1466),1/'FA Addition'!$O1466),0)</f>
        <v>0.63158854366302575</v>
      </c>
      <c r="Q1466" s="122">
        <f>'FA Addition'!$P1466*'FA Addition'!$O1466</f>
        <v>1.8947656309890772</v>
      </c>
      <c r="R1466" s="122"/>
      <c r="S1466" s="116">
        <f>IF(AND(DATE(20&amp;LEFT(FAAddition[[#This Row],[FY]],2),4,1)&lt;$L$1+1,DATE(20&amp;LEFT(FAAddition[[#This Row],[FY]],2),4,1)&gt;$P$1-1),'FA Addition'!$J1466,0)</f>
        <v>0</v>
      </c>
      <c r="U1466" s="117">
        <f>S1466*'FA Addition'!$L1466/'FA Addition'!$J1466</f>
        <v>0</v>
      </c>
      <c r="W1466" s="116">
        <f>SUMIFS('FA Write off'!D:D,'FA Write off'!A:A,'FA Addition'!$A1466,'FA Write off'!C:C,"&lt;"&amp;'FA Addition'!$P$1)</f>
        <v>0</v>
      </c>
      <c r="Y1466" s="191">
        <f>IFERROR(W1466/'FA Addition'!$J1466*'FA Addition'!$L1466,0)</f>
        <v>0</v>
      </c>
      <c r="AA1466" s="116">
        <f>SUMIFS('FA Write off'!D:D,'FA Write off'!A:A,'FA Addition'!$A1466,'FA Write off'!C:C,"&lt;"&amp;'FA Addition'!$L$1+1,'FA Write off'!C:C,"&gt;"&amp;'FA Addition'!$L$1-365)</f>
        <v>0</v>
      </c>
      <c r="AC1466" s="118">
        <f>IFERROR(AA1466/'FA Addition'!$J1466*'FA Addition'!$L1466,0)</f>
        <v>0</v>
      </c>
      <c r="AE1466" s="117">
        <f>IF(AND('FA Addition'!$D1466&lt;$P$1+1,U1466=0),'FA Addition'!$L1466,0)-Y1466</f>
        <v>0</v>
      </c>
      <c r="AF1466" s="117">
        <f t="shared" si="110"/>
        <v>0</v>
      </c>
      <c r="AG1466" s="117">
        <f>MIN(MAX(+$P$1-'FA Addition'!$D1466,0),365*'FA Addition'!$O1466)</f>
        <v>0</v>
      </c>
      <c r="AH1466" s="117">
        <f>MIN(MAX($L$1-'FA Addition'!$D1466+1,0),365*'FA Addition'!$O1466)</f>
        <v>0</v>
      </c>
      <c r="AI1466" s="117" cm="1">
        <f t="array" ref="AI1466">_xlfn.XLOOKUP(1,('FA Write off'!A:A='FA Addition'!$A1466)*('FA Write off'!D:D=AA1466),'FA Write off'!H:H,0,0)</f>
        <v>0</v>
      </c>
      <c r="AJ1466" s="117">
        <f>IF(AC1466&gt;0,MAX(IF('FA Addition'!$N1466="SLM",($AC1466-'FA Addition'!$M1466)*'FA Addition'!$P1466*AI1466/365,(AC1466-'FA Addition'!$M1466)*(1-(1-'FA Addition'!$P1466)^(AI1466/365))),0),0)</f>
        <v>0</v>
      </c>
      <c r="AL1466" s="117">
        <f>MAX(IF(AG1466&gt;0,IF('FA Addition'!$N1466="SLM",($AE1466-'FA Addition'!$M1466)*'FA Addition'!$P1466*AG1466/365,IFERROR(VDB(AE1466,AE1466*0.05,'FA Addition'!$O1466,0,YEARFRAC('FA Addition'!$C1466,$P$1-1,3),'FA Addition'!$Q1466),FAAddition[[#This Row],[Original Cost (Rs)]]-FAAddition[[#This Row],[Salvage Value]])),0),0)</f>
        <v>0</v>
      </c>
      <c r="AM1466" s="119"/>
      <c r="AN1466" s="117">
        <f>MAX(IF(AH1466&gt;0,IF('FA Addition'!$N1466="SLM",($AF1466-'FA Addition'!$M1466)*'FA Addition'!$P1466*AH1466/365,IFERROR(VDB(AF1466,AF1466*0.05,'FA Addition'!$O1466,0,YEARFRAC('FA Addition'!$C1466,$L$1,3),'FA Addition'!$Q1466),FAAddition[[#This Row],[Original Cost (Rs)]]-FAAddition[[#This Row],[Salvage Value]])),0),0)</f>
        <v>0</v>
      </c>
      <c r="AO1466" s="117">
        <f t="shared" si="113"/>
        <v>0</v>
      </c>
      <c r="AQ1466" s="117">
        <f t="shared" si="111"/>
        <v>0</v>
      </c>
      <c r="AR1466" s="120">
        <f t="shared" si="112"/>
        <v>0</v>
      </c>
      <c r="AS1466" s="121"/>
    </row>
    <row r="1467" spans="1:45" ht="13.5" x14ac:dyDescent="0.4">
      <c r="A1467" s="12">
        <f t="shared" si="114"/>
        <v>1464</v>
      </c>
      <c r="B1467" s="64" t="s">
        <v>10</v>
      </c>
      <c r="C1467" s="54">
        <v>45814</v>
      </c>
      <c r="D1467" s="54">
        <v>45838</v>
      </c>
      <c r="E1467" s="46" t="s">
        <v>451</v>
      </c>
      <c r="F1467" s="51" t="s">
        <v>19</v>
      </c>
      <c r="G1467" s="51" t="s">
        <v>139</v>
      </c>
      <c r="H1467" s="51" t="s">
        <v>21</v>
      </c>
      <c r="I1467" s="55" t="s">
        <v>145</v>
      </c>
      <c r="J1467" s="56">
        <v>1</v>
      </c>
      <c r="K1467" s="51" t="s">
        <v>318</v>
      </c>
      <c r="L1467" s="58">
        <v>57000</v>
      </c>
      <c r="M1467" s="50">
        <f>ROUND('FA Addition'!$L1467*5%,0.1)</f>
        <v>2850</v>
      </c>
      <c r="N1467" s="113" t="str">
        <f>_xlfn.XLOOKUP(_xlfn.CONCAT(E1467,B1467),'Year Wise Master Dep Approach'!F:F,'Year Wise Master Dep Approach'!D:D)</f>
        <v>WDV</v>
      </c>
      <c r="O1467" s="113">
        <f>_xlfn.XLOOKUP(_xlfn.CONCAT(E1467,B1467),'Year Wise Master Dep Approach'!F:F,'Year Wise Master Dep Approach'!E:E)</f>
        <v>3</v>
      </c>
      <c r="P1467" s="114">
        <f>IFERROR(IF('FA Addition'!$N1467="WDV",1-('FA Addition'!$M1467/'FA Addition'!$L1467)^(1/'FA Addition'!$O1467),1/'FA Addition'!$O1467),0)</f>
        <v>0.63159685013596123</v>
      </c>
      <c r="Q1467" s="122">
        <f>'FA Addition'!$P1467*'FA Addition'!$O1467</f>
        <v>1.8947905504078837</v>
      </c>
      <c r="R1467" s="122"/>
      <c r="S1467" s="116">
        <f>IF(AND(DATE(20&amp;LEFT(FAAddition[[#This Row],[FY]],2),4,1)&lt;$L$1+1,DATE(20&amp;LEFT(FAAddition[[#This Row],[FY]],2),4,1)&gt;$P$1-1),'FA Addition'!$J1467,0)</f>
        <v>0</v>
      </c>
      <c r="U1467" s="117">
        <f>S1467*'FA Addition'!$L1467/'FA Addition'!$J1467</f>
        <v>0</v>
      </c>
      <c r="W1467" s="116">
        <f>SUMIFS('FA Write off'!D:D,'FA Write off'!A:A,'FA Addition'!$A1467,'FA Write off'!C:C,"&lt;"&amp;'FA Addition'!$P$1)</f>
        <v>0</v>
      </c>
      <c r="Y1467" s="191">
        <f>IFERROR(W1467/'FA Addition'!$J1467*'FA Addition'!$L1467,0)</f>
        <v>0</v>
      </c>
      <c r="AA1467" s="116">
        <f>SUMIFS('FA Write off'!D:D,'FA Write off'!A:A,'FA Addition'!$A1467,'FA Write off'!C:C,"&lt;"&amp;'FA Addition'!$L$1+1,'FA Write off'!C:C,"&gt;"&amp;'FA Addition'!$L$1-365)</f>
        <v>0</v>
      </c>
      <c r="AC1467" s="118">
        <f>IFERROR(AA1467/'FA Addition'!$J1467*'FA Addition'!$L1467,0)</f>
        <v>0</v>
      </c>
      <c r="AE1467" s="117">
        <f>IF(AND('FA Addition'!$D1467&lt;$P$1+1,U1467=0),'FA Addition'!$L1467,0)-Y1467</f>
        <v>0</v>
      </c>
      <c r="AF1467" s="117">
        <f t="shared" si="110"/>
        <v>0</v>
      </c>
      <c r="AG1467" s="117">
        <f>MIN(MAX(+$P$1-'FA Addition'!$D1467,0),365*'FA Addition'!$O1467)</f>
        <v>0</v>
      </c>
      <c r="AH1467" s="117">
        <f>MIN(MAX($L$1-'FA Addition'!$D1467+1,0),365*'FA Addition'!$O1467)</f>
        <v>0</v>
      </c>
      <c r="AI1467" s="117" cm="1">
        <f t="array" ref="AI1467">_xlfn.XLOOKUP(1,('FA Write off'!A:A='FA Addition'!$A1467)*('FA Write off'!D:D=AA1467),'FA Write off'!H:H,0,0)</f>
        <v>0</v>
      </c>
      <c r="AJ1467" s="117">
        <f>IF(AC1467&gt;0,MAX(IF('FA Addition'!$N1467="SLM",($AC1467-'FA Addition'!$M1467)*'FA Addition'!$P1467*AI1467/365,(AC1467-'FA Addition'!$M1467)*(1-(1-'FA Addition'!$P1467)^(AI1467/365))),0),0)</f>
        <v>0</v>
      </c>
      <c r="AL1467" s="117">
        <f>MAX(IF(AG1467&gt;0,IF('FA Addition'!$N1467="SLM",($AE1467-'FA Addition'!$M1467)*'FA Addition'!$P1467*AG1467/365,IFERROR(VDB(AE1467,AE1467*0.05,'FA Addition'!$O1467,0,YEARFRAC('FA Addition'!$C1467,$P$1-1,3),'FA Addition'!$Q1467),FAAddition[[#This Row],[Original Cost (Rs)]]-FAAddition[[#This Row],[Salvage Value]])),0),0)</f>
        <v>0</v>
      </c>
      <c r="AM1467" s="119"/>
      <c r="AN1467" s="117">
        <f>MAX(IF(AH1467&gt;0,IF('FA Addition'!$N1467="SLM",($AF1467-'FA Addition'!$M1467)*'FA Addition'!$P1467*AH1467/365,IFERROR(VDB(AF1467,AF1467*0.05,'FA Addition'!$O1467,0,YEARFRAC('FA Addition'!$C1467,$L$1,3),'FA Addition'!$Q1467),FAAddition[[#This Row],[Original Cost (Rs)]]-FAAddition[[#This Row],[Salvage Value]])),0),0)</f>
        <v>0</v>
      </c>
      <c r="AO1467" s="117">
        <f t="shared" si="113"/>
        <v>0</v>
      </c>
      <c r="AQ1467" s="117">
        <f t="shared" si="111"/>
        <v>0</v>
      </c>
      <c r="AR1467" s="120">
        <f t="shared" si="112"/>
        <v>0</v>
      </c>
      <c r="AS1467" s="121"/>
    </row>
    <row r="1468" spans="1:45" ht="13.5" x14ac:dyDescent="0.4">
      <c r="A1468" s="12">
        <f t="shared" si="114"/>
        <v>1465</v>
      </c>
      <c r="B1468" s="64" t="s">
        <v>10</v>
      </c>
      <c r="C1468" s="54">
        <v>45814</v>
      </c>
      <c r="D1468" s="54">
        <v>45838</v>
      </c>
      <c r="E1468" s="46" t="s">
        <v>451</v>
      </c>
      <c r="F1468" s="51" t="s">
        <v>19</v>
      </c>
      <c r="G1468" s="51" t="s">
        <v>139</v>
      </c>
      <c r="H1468" s="51" t="s">
        <v>21</v>
      </c>
      <c r="I1468" s="55" t="s">
        <v>145</v>
      </c>
      <c r="J1468" s="56">
        <v>1</v>
      </c>
      <c r="K1468" s="51" t="s">
        <v>318</v>
      </c>
      <c r="L1468" s="58">
        <v>57000</v>
      </c>
      <c r="M1468" s="50">
        <f>ROUND('FA Addition'!$L1468*5%,0.1)</f>
        <v>2850</v>
      </c>
      <c r="N1468" s="113" t="str">
        <f>_xlfn.XLOOKUP(_xlfn.CONCAT(E1468,B1468),'Year Wise Master Dep Approach'!F:F,'Year Wise Master Dep Approach'!D:D)</f>
        <v>WDV</v>
      </c>
      <c r="O1468" s="113">
        <f>_xlfn.XLOOKUP(_xlfn.CONCAT(E1468,B1468),'Year Wise Master Dep Approach'!F:F,'Year Wise Master Dep Approach'!E:E)</f>
        <v>3</v>
      </c>
      <c r="P1468" s="114">
        <f>IFERROR(IF('FA Addition'!$N1468="WDV",1-('FA Addition'!$M1468/'FA Addition'!$L1468)^(1/'FA Addition'!$O1468),1/'FA Addition'!$O1468),0)</f>
        <v>0.63159685013596123</v>
      </c>
      <c r="Q1468" s="122">
        <f>'FA Addition'!$P1468*'FA Addition'!$O1468</f>
        <v>1.8947905504078837</v>
      </c>
      <c r="R1468" s="122"/>
      <c r="S1468" s="116">
        <f>IF(AND(DATE(20&amp;LEFT(FAAddition[[#This Row],[FY]],2),4,1)&lt;$L$1+1,DATE(20&amp;LEFT(FAAddition[[#This Row],[FY]],2),4,1)&gt;$P$1-1),'FA Addition'!$J1468,0)</f>
        <v>0</v>
      </c>
      <c r="U1468" s="117">
        <f>S1468*'FA Addition'!$L1468/'FA Addition'!$J1468</f>
        <v>0</v>
      </c>
      <c r="W1468" s="116">
        <f>SUMIFS('FA Write off'!D:D,'FA Write off'!A:A,'FA Addition'!$A1468,'FA Write off'!C:C,"&lt;"&amp;'FA Addition'!$P$1)</f>
        <v>0</v>
      </c>
      <c r="Y1468" s="191">
        <f>IFERROR(W1468/'FA Addition'!$J1468*'FA Addition'!$L1468,0)</f>
        <v>0</v>
      </c>
      <c r="AA1468" s="116">
        <f>SUMIFS('FA Write off'!D:D,'FA Write off'!A:A,'FA Addition'!$A1468,'FA Write off'!C:C,"&lt;"&amp;'FA Addition'!$L$1+1,'FA Write off'!C:C,"&gt;"&amp;'FA Addition'!$L$1-365)</f>
        <v>0</v>
      </c>
      <c r="AC1468" s="118">
        <f>IFERROR(AA1468/'FA Addition'!$J1468*'FA Addition'!$L1468,0)</f>
        <v>0</v>
      </c>
      <c r="AE1468" s="117">
        <f>IF(AND('FA Addition'!$D1468&lt;$P$1+1,U1468=0),'FA Addition'!$L1468,0)-Y1468</f>
        <v>0</v>
      </c>
      <c r="AF1468" s="117">
        <f t="shared" si="110"/>
        <v>0</v>
      </c>
      <c r="AG1468" s="117">
        <f>MIN(MAX(+$P$1-'FA Addition'!$D1468,0),365*'FA Addition'!$O1468)</f>
        <v>0</v>
      </c>
      <c r="AH1468" s="117">
        <f>MIN(MAX($L$1-'FA Addition'!$D1468+1,0),365*'FA Addition'!$O1468)</f>
        <v>0</v>
      </c>
      <c r="AI1468" s="117" cm="1">
        <f t="array" ref="AI1468">_xlfn.XLOOKUP(1,('FA Write off'!A:A='FA Addition'!$A1468)*('FA Write off'!D:D=AA1468),'FA Write off'!H:H,0,0)</f>
        <v>0</v>
      </c>
      <c r="AJ1468" s="117">
        <f>IF(AC1468&gt;0,MAX(IF('FA Addition'!$N1468="SLM",($AC1468-'FA Addition'!$M1468)*'FA Addition'!$P1468*AI1468/365,(AC1468-'FA Addition'!$M1468)*(1-(1-'FA Addition'!$P1468)^(AI1468/365))),0),0)</f>
        <v>0</v>
      </c>
      <c r="AL1468" s="117">
        <f>MAX(IF(AG1468&gt;0,IF('FA Addition'!$N1468="SLM",($AE1468-'FA Addition'!$M1468)*'FA Addition'!$P1468*AG1468/365,IFERROR(VDB(AE1468,AE1468*0.05,'FA Addition'!$O1468,0,YEARFRAC('FA Addition'!$C1468,$P$1-1,3),'FA Addition'!$Q1468),FAAddition[[#This Row],[Original Cost (Rs)]]-FAAddition[[#This Row],[Salvage Value]])),0),0)</f>
        <v>0</v>
      </c>
      <c r="AM1468" s="119"/>
      <c r="AN1468" s="117">
        <f>MAX(IF(AH1468&gt;0,IF('FA Addition'!$N1468="SLM",($AF1468-'FA Addition'!$M1468)*'FA Addition'!$P1468*AH1468/365,IFERROR(VDB(AF1468,AF1468*0.05,'FA Addition'!$O1468,0,YEARFRAC('FA Addition'!$C1468,$L$1,3),'FA Addition'!$Q1468),FAAddition[[#This Row],[Original Cost (Rs)]]-FAAddition[[#This Row],[Salvage Value]])),0),0)</f>
        <v>0</v>
      </c>
      <c r="AO1468" s="117">
        <f t="shared" si="113"/>
        <v>0</v>
      </c>
      <c r="AQ1468" s="117">
        <f t="shared" si="111"/>
        <v>0</v>
      </c>
      <c r="AR1468" s="120">
        <f t="shared" si="112"/>
        <v>0</v>
      </c>
      <c r="AS1468" s="121"/>
    </row>
    <row r="1469" spans="1:45" ht="13.5" x14ac:dyDescent="0.4">
      <c r="A1469" s="12">
        <f t="shared" si="114"/>
        <v>1466</v>
      </c>
      <c r="B1469" s="64" t="s">
        <v>10</v>
      </c>
      <c r="C1469" s="54">
        <v>45814</v>
      </c>
      <c r="D1469" s="54">
        <v>45838</v>
      </c>
      <c r="E1469" s="46" t="s">
        <v>451</v>
      </c>
      <c r="F1469" s="51" t="s">
        <v>19</v>
      </c>
      <c r="G1469" s="51" t="s">
        <v>139</v>
      </c>
      <c r="H1469" s="51" t="s">
        <v>21</v>
      </c>
      <c r="I1469" s="55" t="s">
        <v>145</v>
      </c>
      <c r="J1469" s="56">
        <v>1</v>
      </c>
      <c r="K1469" s="51" t="s">
        <v>318</v>
      </c>
      <c r="L1469" s="58">
        <v>57000</v>
      </c>
      <c r="M1469" s="50">
        <f>ROUND('FA Addition'!$L1469*5%,0.1)</f>
        <v>2850</v>
      </c>
      <c r="N1469" s="113" t="str">
        <f>_xlfn.XLOOKUP(_xlfn.CONCAT(E1469,B1469),'Year Wise Master Dep Approach'!F:F,'Year Wise Master Dep Approach'!D:D)</f>
        <v>WDV</v>
      </c>
      <c r="O1469" s="113">
        <f>_xlfn.XLOOKUP(_xlfn.CONCAT(E1469,B1469),'Year Wise Master Dep Approach'!F:F,'Year Wise Master Dep Approach'!E:E)</f>
        <v>3</v>
      </c>
      <c r="P1469" s="114">
        <f>IFERROR(IF('FA Addition'!$N1469="WDV",1-('FA Addition'!$M1469/'FA Addition'!$L1469)^(1/'FA Addition'!$O1469),1/'FA Addition'!$O1469),0)</f>
        <v>0.63159685013596123</v>
      </c>
      <c r="Q1469" s="122">
        <f>'FA Addition'!$P1469*'FA Addition'!$O1469</f>
        <v>1.8947905504078837</v>
      </c>
      <c r="R1469" s="122"/>
      <c r="S1469" s="116">
        <f>IF(AND(DATE(20&amp;LEFT(FAAddition[[#This Row],[FY]],2),4,1)&lt;$L$1+1,DATE(20&amp;LEFT(FAAddition[[#This Row],[FY]],2),4,1)&gt;$P$1-1),'FA Addition'!$J1469,0)</f>
        <v>0</v>
      </c>
      <c r="U1469" s="117">
        <f>S1469*'FA Addition'!$L1469/'FA Addition'!$J1469</f>
        <v>0</v>
      </c>
      <c r="W1469" s="116">
        <f>SUMIFS('FA Write off'!D:D,'FA Write off'!A:A,'FA Addition'!$A1469,'FA Write off'!C:C,"&lt;"&amp;'FA Addition'!$P$1)</f>
        <v>0</v>
      </c>
      <c r="Y1469" s="191">
        <f>IFERROR(W1469/'FA Addition'!$J1469*'FA Addition'!$L1469,0)</f>
        <v>0</v>
      </c>
      <c r="AA1469" s="116">
        <f>SUMIFS('FA Write off'!D:D,'FA Write off'!A:A,'FA Addition'!$A1469,'FA Write off'!C:C,"&lt;"&amp;'FA Addition'!$L$1+1,'FA Write off'!C:C,"&gt;"&amp;'FA Addition'!$L$1-365)</f>
        <v>0</v>
      </c>
      <c r="AC1469" s="118">
        <f>IFERROR(AA1469/'FA Addition'!$J1469*'FA Addition'!$L1469,0)</f>
        <v>0</v>
      </c>
      <c r="AE1469" s="117">
        <f>IF(AND('FA Addition'!$D1469&lt;$P$1+1,U1469=0),'FA Addition'!$L1469,0)-Y1469</f>
        <v>0</v>
      </c>
      <c r="AF1469" s="117">
        <f t="shared" si="110"/>
        <v>0</v>
      </c>
      <c r="AG1469" s="117">
        <f>MIN(MAX(+$P$1-'FA Addition'!$D1469,0),365*'FA Addition'!$O1469)</f>
        <v>0</v>
      </c>
      <c r="AH1469" s="117">
        <f>MIN(MAX($L$1-'FA Addition'!$D1469+1,0),365*'FA Addition'!$O1469)</f>
        <v>0</v>
      </c>
      <c r="AI1469" s="117" cm="1">
        <f t="array" ref="AI1469">_xlfn.XLOOKUP(1,('FA Write off'!A:A='FA Addition'!$A1469)*('FA Write off'!D:D=AA1469),'FA Write off'!H:H,0,0)</f>
        <v>0</v>
      </c>
      <c r="AJ1469" s="117">
        <f>IF(AC1469&gt;0,MAX(IF('FA Addition'!$N1469="SLM",($AC1469-'FA Addition'!$M1469)*'FA Addition'!$P1469*AI1469/365,(AC1469-'FA Addition'!$M1469)*(1-(1-'FA Addition'!$P1469)^(AI1469/365))),0),0)</f>
        <v>0</v>
      </c>
      <c r="AL1469" s="117">
        <f>MAX(IF(AG1469&gt;0,IF('FA Addition'!$N1469="SLM",($AE1469-'FA Addition'!$M1469)*'FA Addition'!$P1469*AG1469/365,IFERROR(VDB(AE1469,AE1469*0.05,'FA Addition'!$O1469,0,YEARFRAC('FA Addition'!$C1469,$P$1-1,3),'FA Addition'!$Q1469),FAAddition[[#This Row],[Original Cost (Rs)]]-FAAddition[[#This Row],[Salvage Value]])),0),0)</f>
        <v>0</v>
      </c>
      <c r="AM1469" s="119"/>
      <c r="AN1469" s="117">
        <f>MAX(IF(AH1469&gt;0,IF('FA Addition'!$N1469="SLM",($AF1469-'FA Addition'!$M1469)*'FA Addition'!$P1469*AH1469/365,IFERROR(VDB(AF1469,AF1469*0.05,'FA Addition'!$O1469,0,YEARFRAC('FA Addition'!$C1469,$L$1,3),'FA Addition'!$Q1469),FAAddition[[#This Row],[Original Cost (Rs)]]-FAAddition[[#This Row],[Salvage Value]])),0),0)</f>
        <v>0</v>
      </c>
      <c r="AO1469" s="117">
        <f t="shared" si="113"/>
        <v>0</v>
      </c>
      <c r="AQ1469" s="117">
        <f t="shared" si="111"/>
        <v>0</v>
      </c>
      <c r="AR1469" s="120">
        <f t="shared" si="112"/>
        <v>0</v>
      </c>
      <c r="AS1469" s="121"/>
    </row>
    <row r="1470" spans="1:45" ht="13.5" x14ac:dyDescent="0.4">
      <c r="A1470" s="12">
        <f t="shared" si="114"/>
        <v>1467</v>
      </c>
      <c r="B1470" s="64" t="s">
        <v>10</v>
      </c>
      <c r="C1470" s="54">
        <v>45814</v>
      </c>
      <c r="D1470" s="54">
        <v>45838</v>
      </c>
      <c r="E1470" s="46" t="s">
        <v>451</v>
      </c>
      <c r="F1470" s="51" t="s">
        <v>19</v>
      </c>
      <c r="G1470" s="51" t="s">
        <v>139</v>
      </c>
      <c r="H1470" s="51" t="s">
        <v>21</v>
      </c>
      <c r="I1470" s="55" t="s">
        <v>145</v>
      </c>
      <c r="J1470" s="56">
        <v>1</v>
      </c>
      <c r="K1470" s="51" t="s">
        <v>318</v>
      </c>
      <c r="L1470" s="58">
        <v>57000</v>
      </c>
      <c r="M1470" s="50">
        <f>ROUND('FA Addition'!$L1470*5%,0.1)</f>
        <v>2850</v>
      </c>
      <c r="N1470" s="113" t="str">
        <f>_xlfn.XLOOKUP(_xlfn.CONCAT(E1470,B1470),'Year Wise Master Dep Approach'!F:F,'Year Wise Master Dep Approach'!D:D)</f>
        <v>WDV</v>
      </c>
      <c r="O1470" s="113">
        <f>_xlfn.XLOOKUP(_xlfn.CONCAT(E1470,B1470),'Year Wise Master Dep Approach'!F:F,'Year Wise Master Dep Approach'!E:E)</f>
        <v>3</v>
      </c>
      <c r="P1470" s="114">
        <f>IFERROR(IF('FA Addition'!$N1470="WDV",1-('FA Addition'!$M1470/'FA Addition'!$L1470)^(1/'FA Addition'!$O1470),1/'FA Addition'!$O1470),0)</f>
        <v>0.63159685013596123</v>
      </c>
      <c r="Q1470" s="122">
        <f>'FA Addition'!$P1470*'FA Addition'!$O1470</f>
        <v>1.8947905504078837</v>
      </c>
      <c r="R1470" s="122"/>
      <c r="S1470" s="116">
        <f>IF(AND(DATE(20&amp;LEFT(FAAddition[[#This Row],[FY]],2),4,1)&lt;$L$1+1,DATE(20&amp;LEFT(FAAddition[[#This Row],[FY]],2),4,1)&gt;$P$1-1),'FA Addition'!$J1470,0)</f>
        <v>0</v>
      </c>
      <c r="U1470" s="117">
        <f>S1470*'FA Addition'!$L1470/'FA Addition'!$J1470</f>
        <v>0</v>
      </c>
      <c r="W1470" s="116">
        <f>SUMIFS('FA Write off'!D:D,'FA Write off'!A:A,'FA Addition'!$A1470,'FA Write off'!C:C,"&lt;"&amp;'FA Addition'!$P$1)</f>
        <v>0</v>
      </c>
      <c r="Y1470" s="191">
        <f>IFERROR(W1470/'FA Addition'!$J1470*'FA Addition'!$L1470,0)</f>
        <v>0</v>
      </c>
      <c r="AA1470" s="116">
        <f>SUMIFS('FA Write off'!D:D,'FA Write off'!A:A,'FA Addition'!$A1470,'FA Write off'!C:C,"&lt;"&amp;'FA Addition'!$L$1+1,'FA Write off'!C:C,"&gt;"&amp;'FA Addition'!$L$1-365)</f>
        <v>0</v>
      </c>
      <c r="AC1470" s="118">
        <f>IFERROR(AA1470/'FA Addition'!$J1470*'FA Addition'!$L1470,0)</f>
        <v>0</v>
      </c>
      <c r="AE1470" s="117">
        <f>IF(AND('FA Addition'!$D1470&lt;$P$1+1,U1470=0),'FA Addition'!$L1470,0)-Y1470</f>
        <v>0</v>
      </c>
      <c r="AF1470" s="117">
        <f t="shared" si="110"/>
        <v>0</v>
      </c>
      <c r="AG1470" s="117">
        <f>MIN(MAX(+$P$1-'FA Addition'!$D1470,0),365*'FA Addition'!$O1470)</f>
        <v>0</v>
      </c>
      <c r="AH1470" s="117">
        <f>MIN(MAX($L$1-'FA Addition'!$D1470+1,0),365*'FA Addition'!$O1470)</f>
        <v>0</v>
      </c>
      <c r="AI1470" s="117" cm="1">
        <f t="array" ref="AI1470">_xlfn.XLOOKUP(1,('FA Write off'!A:A='FA Addition'!$A1470)*('FA Write off'!D:D=AA1470),'FA Write off'!H:H,0,0)</f>
        <v>0</v>
      </c>
      <c r="AJ1470" s="117">
        <f>IF(AC1470&gt;0,MAX(IF('FA Addition'!$N1470="SLM",($AC1470-'FA Addition'!$M1470)*'FA Addition'!$P1470*AI1470/365,(AC1470-'FA Addition'!$M1470)*(1-(1-'FA Addition'!$P1470)^(AI1470/365))),0),0)</f>
        <v>0</v>
      </c>
      <c r="AL1470" s="117">
        <f>MAX(IF(AG1470&gt;0,IF('FA Addition'!$N1470="SLM",($AE1470-'FA Addition'!$M1470)*'FA Addition'!$P1470*AG1470/365,IFERROR(VDB(AE1470,AE1470*0.05,'FA Addition'!$O1470,0,YEARFRAC('FA Addition'!$C1470,$P$1-1,3),'FA Addition'!$Q1470),FAAddition[[#This Row],[Original Cost (Rs)]]-FAAddition[[#This Row],[Salvage Value]])),0),0)</f>
        <v>0</v>
      </c>
      <c r="AM1470" s="119"/>
      <c r="AN1470" s="117">
        <f>MAX(IF(AH1470&gt;0,IF('FA Addition'!$N1470="SLM",($AF1470-'FA Addition'!$M1470)*'FA Addition'!$P1470*AH1470/365,IFERROR(VDB(AF1470,AF1470*0.05,'FA Addition'!$O1470,0,YEARFRAC('FA Addition'!$C1470,$L$1,3),'FA Addition'!$Q1470),FAAddition[[#This Row],[Original Cost (Rs)]]-FAAddition[[#This Row],[Salvage Value]])),0),0)</f>
        <v>0</v>
      </c>
      <c r="AO1470" s="117">
        <f t="shared" si="113"/>
        <v>0</v>
      </c>
      <c r="AQ1470" s="117">
        <f t="shared" si="111"/>
        <v>0</v>
      </c>
      <c r="AR1470" s="120">
        <f t="shared" si="112"/>
        <v>0</v>
      </c>
      <c r="AS1470" s="121"/>
    </row>
    <row r="1471" spans="1:45" ht="13.5" x14ac:dyDescent="0.4">
      <c r="A1471" s="12">
        <f t="shared" si="114"/>
        <v>1468</v>
      </c>
      <c r="B1471" s="64" t="s">
        <v>10</v>
      </c>
      <c r="C1471" s="54">
        <v>45814</v>
      </c>
      <c r="D1471" s="54">
        <v>45838</v>
      </c>
      <c r="E1471" s="46" t="s">
        <v>451</v>
      </c>
      <c r="F1471" s="51" t="s">
        <v>19</v>
      </c>
      <c r="G1471" s="51" t="s">
        <v>139</v>
      </c>
      <c r="H1471" s="51" t="s">
        <v>21</v>
      </c>
      <c r="I1471" s="55" t="s">
        <v>145</v>
      </c>
      <c r="J1471" s="56">
        <v>1</v>
      </c>
      <c r="K1471" s="51" t="s">
        <v>318</v>
      </c>
      <c r="L1471" s="58">
        <v>57000</v>
      </c>
      <c r="M1471" s="50">
        <f>ROUND('FA Addition'!$L1471*5%,0.1)</f>
        <v>2850</v>
      </c>
      <c r="N1471" s="113" t="str">
        <f>_xlfn.XLOOKUP(_xlfn.CONCAT(E1471,B1471),'Year Wise Master Dep Approach'!F:F,'Year Wise Master Dep Approach'!D:D)</f>
        <v>WDV</v>
      </c>
      <c r="O1471" s="113">
        <f>_xlfn.XLOOKUP(_xlfn.CONCAT(E1471,B1471),'Year Wise Master Dep Approach'!F:F,'Year Wise Master Dep Approach'!E:E)</f>
        <v>3</v>
      </c>
      <c r="P1471" s="114">
        <f>IFERROR(IF('FA Addition'!$N1471="WDV",1-('FA Addition'!$M1471/'FA Addition'!$L1471)^(1/'FA Addition'!$O1471),1/'FA Addition'!$O1471),0)</f>
        <v>0.63159685013596123</v>
      </c>
      <c r="Q1471" s="122">
        <f>'FA Addition'!$P1471*'FA Addition'!$O1471</f>
        <v>1.8947905504078837</v>
      </c>
      <c r="R1471" s="122"/>
      <c r="S1471" s="116">
        <f>IF(AND(DATE(20&amp;LEFT(FAAddition[[#This Row],[FY]],2),4,1)&lt;$L$1+1,DATE(20&amp;LEFT(FAAddition[[#This Row],[FY]],2),4,1)&gt;$P$1-1),'FA Addition'!$J1471,0)</f>
        <v>0</v>
      </c>
      <c r="U1471" s="117">
        <f>S1471*'FA Addition'!$L1471/'FA Addition'!$J1471</f>
        <v>0</v>
      </c>
      <c r="W1471" s="116">
        <f>SUMIFS('FA Write off'!D:D,'FA Write off'!A:A,'FA Addition'!$A1471,'FA Write off'!C:C,"&lt;"&amp;'FA Addition'!$P$1)</f>
        <v>0</v>
      </c>
      <c r="Y1471" s="191">
        <f>IFERROR(W1471/'FA Addition'!$J1471*'FA Addition'!$L1471,0)</f>
        <v>0</v>
      </c>
      <c r="AA1471" s="116">
        <f>SUMIFS('FA Write off'!D:D,'FA Write off'!A:A,'FA Addition'!$A1471,'FA Write off'!C:C,"&lt;"&amp;'FA Addition'!$L$1+1,'FA Write off'!C:C,"&gt;"&amp;'FA Addition'!$L$1-365)</f>
        <v>0</v>
      </c>
      <c r="AC1471" s="118">
        <f>IFERROR(AA1471/'FA Addition'!$J1471*'FA Addition'!$L1471,0)</f>
        <v>0</v>
      </c>
      <c r="AE1471" s="117">
        <f>IF(AND('FA Addition'!$D1471&lt;$P$1+1,U1471=0),'FA Addition'!$L1471,0)-Y1471</f>
        <v>0</v>
      </c>
      <c r="AF1471" s="117">
        <f t="shared" si="110"/>
        <v>0</v>
      </c>
      <c r="AG1471" s="117">
        <f>MIN(MAX(+$P$1-'FA Addition'!$D1471,0),365*'FA Addition'!$O1471)</f>
        <v>0</v>
      </c>
      <c r="AH1471" s="117">
        <f>MIN(MAX($L$1-'FA Addition'!$D1471+1,0),365*'FA Addition'!$O1471)</f>
        <v>0</v>
      </c>
      <c r="AI1471" s="117" cm="1">
        <f t="array" ref="AI1471">_xlfn.XLOOKUP(1,('FA Write off'!A:A='FA Addition'!$A1471)*('FA Write off'!D:D=AA1471),'FA Write off'!H:H,0,0)</f>
        <v>0</v>
      </c>
      <c r="AJ1471" s="117">
        <f>IF(AC1471&gt;0,MAX(IF('FA Addition'!$N1471="SLM",($AC1471-'FA Addition'!$M1471)*'FA Addition'!$P1471*AI1471/365,(AC1471-'FA Addition'!$M1471)*(1-(1-'FA Addition'!$P1471)^(AI1471/365))),0),0)</f>
        <v>0</v>
      </c>
      <c r="AL1471" s="117">
        <f>MAX(IF(AG1471&gt;0,IF('FA Addition'!$N1471="SLM",($AE1471-'FA Addition'!$M1471)*'FA Addition'!$P1471*AG1471/365,IFERROR(VDB(AE1471,AE1471*0.05,'FA Addition'!$O1471,0,YEARFRAC('FA Addition'!$C1471,$P$1-1,3),'FA Addition'!$Q1471),FAAddition[[#This Row],[Original Cost (Rs)]]-FAAddition[[#This Row],[Salvage Value]])),0),0)</f>
        <v>0</v>
      </c>
      <c r="AM1471" s="119"/>
      <c r="AN1471" s="117">
        <f>MAX(IF(AH1471&gt;0,IF('FA Addition'!$N1471="SLM",($AF1471-'FA Addition'!$M1471)*'FA Addition'!$P1471*AH1471/365,IFERROR(VDB(AF1471,AF1471*0.05,'FA Addition'!$O1471,0,YEARFRAC('FA Addition'!$C1471,$L$1,3),'FA Addition'!$Q1471),FAAddition[[#This Row],[Original Cost (Rs)]]-FAAddition[[#This Row],[Salvage Value]])),0),0)</f>
        <v>0</v>
      </c>
      <c r="AO1471" s="117">
        <f t="shared" si="113"/>
        <v>0</v>
      </c>
      <c r="AQ1471" s="117">
        <f t="shared" si="111"/>
        <v>0</v>
      </c>
      <c r="AR1471" s="120">
        <f t="shared" si="112"/>
        <v>0</v>
      </c>
      <c r="AS1471" s="121"/>
    </row>
    <row r="1472" spans="1:45" ht="13.5" x14ac:dyDescent="0.4">
      <c r="A1472" s="12">
        <f t="shared" si="114"/>
        <v>1469</v>
      </c>
      <c r="B1472" s="64" t="s">
        <v>10</v>
      </c>
      <c r="C1472" s="54">
        <v>45831</v>
      </c>
      <c r="D1472" s="54">
        <v>45838</v>
      </c>
      <c r="E1472" s="46" t="s">
        <v>451</v>
      </c>
      <c r="F1472" s="51" t="s">
        <v>19</v>
      </c>
      <c r="G1472" s="51" t="s">
        <v>142</v>
      </c>
      <c r="H1472" s="51" t="s">
        <v>21</v>
      </c>
      <c r="I1472" s="55" t="s">
        <v>146</v>
      </c>
      <c r="J1472" s="56">
        <v>1</v>
      </c>
      <c r="K1472" s="51" t="s">
        <v>319</v>
      </c>
      <c r="L1472" s="58">
        <v>17796.61</v>
      </c>
      <c r="M1472" s="50">
        <f>ROUND('FA Addition'!$L1472*5%,0.1)</f>
        <v>890</v>
      </c>
      <c r="N1472" s="113" t="str">
        <f>_xlfn.XLOOKUP(_xlfn.CONCAT(E1472,B1472),'Year Wise Master Dep Approach'!F:F,'Year Wise Master Dep Approach'!D:D)</f>
        <v>WDV</v>
      </c>
      <c r="O1472" s="113">
        <f>_xlfn.XLOOKUP(_xlfn.CONCAT(E1472,B1472),'Year Wise Master Dep Approach'!F:F,'Year Wise Master Dep Approach'!E:E)</f>
        <v>3</v>
      </c>
      <c r="P1472" s="114">
        <f>IFERROR(IF('FA Addition'!$N1472="WDV",1-('FA Addition'!$M1472/'FA Addition'!$L1472)^(1/'FA Addition'!$O1472),1/'FA Addition'!$O1472),0)</f>
        <v>0.63157345977513657</v>
      </c>
      <c r="Q1472" s="122">
        <f>'FA Addition'!$P1472*'FA Addition'!$O1472</f>
        <v>1.8947203793254097</v>
      </c>
      <c r="R1472" s="122"/>
      <c r="S1472" s="116">
        <f>IF(AND(DATE(20&amp;LEFT(FAAddition[[#This Row],[FY]],2),4,1)&lt;$L$1+1,DATE(20&amp;LEFT(FAAddition[[#This Row],[FY]],2),4,1)&gt;$P$1-1),'FA Addition'!$J1472,0)</f>
        <v>0</v>
      </c>
      <c r="U1472" s="117">
        <f>S1472*'FA Addition'!$L1472/'FA Addition'!$J1472</f>
        <v>0</v>
      </c>
      <c r="W1472" s="116">
        <f>SUMIFS('FA Write off'!D:D,'FA Write off'!A:A,'FA Addition'!$A1472,'FA Write off'!C:C,"&lt;"&amp;'FA Addition'!$P$1)</f>
        <v>0</v>
      </c>
      <c r="Y1472" s="191">
        <f>IFERROR(W1472/'FA Addition'!$J1472*'FA Addition'!$L1472,0)</f>
        <v>0</v>
      </c>
      <c r="AA1472" s="116">
        <f>SUMIFS('FA Write off'!D:D,'FA Write off'!A:A,'FA Addition'!$A1472,'FA Write off'!C:C,"&lt;"&amp;'FA Addition'!$L$1+1,'FA Write off'!C:C,"&gt;"&amp;'FA Addition'!$L$1-365)</f>
        <v>0</v>
      </c>
      <c r="AC1472" s="118">
        <f>IFERROR(AA1472/'FA Addition'!$J1472*'FA Addition'!$L1472,0)</f>
        <v>0</v>
      </c>
      <c r="AE1472" s="117">
        <f>IF(AND('FA Addition'!$D1472&lt;$P$1+1,U1472=0),'FA Addition'!$L1472,0)-Y1472</f>
        <v>0</v>
      </c>
      <c r="AF1472" s="117">
        <f t="shared" si="110"/>
        <v>0</v>
      </c>
      <c r="AG1472" s="117">
        <f>MIN(MAX(+$P$1-'FA Addition'!$D1472,0),365*'FA Addition'!$O1472)</f>
        <v>0</v>
      </c>
      <c r="AH1472" s="117">
        <f>MIN(MAX($L$1-'FA Addition'!$D1472+1,0),365*'FA Addition'!$O1472)</f>
        <v>0</v>
      </c>
      <c r="AI1472" s="117" cm="1">
        <f t="array" ref="AI1472">_xlfn.XLOOKUP(1,('FA Write off'!A:A='FA Addition'!$A1472)*('FA Write off'!D:D=AA1472),'FA Write off'!H:H,0,0)</f>
        <v>0</v>
      </c>
      <c r="AJ1472" s="117">
        <f>IF(AC1472&gt;0,MAX(IF('FA Addition'!$N1472="SLM",($AC1472-'FA Addition'!$M1472)*'FA Addition'!$P1472*AI1472/365,(AC1472-'FA Addition'!$M1472)*(1-(1-'FA Addition'!$P1472)^(AI1472/365))),0),0)</f>
        <v>0</v>
      </c>
      <c r="AL1472" s="117">
        <f>MAX(IF(AG1472&gt;0,IF('FA Addition'!$N1472="SLM",($AE1472-'FA Addition'!$M1472)*'FA Addition'!$P1472*AG1472/365,IFERROR(VDB(AE1472,AE1472*0.05,'FA Addition'!$O1472,0,YEARFRAC('FA Addition'!$C1472,$P$1-1,3),'FA Addition'!$Q1472),FAAddition[[#This Row],[Original Cost (Rs)]]-FAAddition[[#This Row],[Salvage Value]])),0),0)</f>
        <v>0</v>
      </c>
      <c r="AM1472" s="119"/>
      <c r="AN1472" s="117">
        <f>MAX(IF(AH1472&gt;0,IF('FA Addition'!$N1472="SLM",($AF1472-'FA Addition'!$M1472)*'FA Addition'!$P1472*AH1472/365,IFERROR(VDB(AF1472,AF1472*0.05,'FA Addition'!$O1472,0,YEARFRAC('FA Addition'!$C1472,$L$1,3),'FA Addition'!$Q1472),FAAddition[[#This Row],[Original Cost (Rs)]]-FAAddition[[#This Row],[Salvage Value]])),0),0)</f>
        <v>0</v>
      </c>
      <c r="AO1472" s="117">
        <f t="shared" si="113"/>
        <v>0</v>
      </c>
      <c r="AQ1472" s="117">
        <f t="shared" si="111"/>
        <v>0</v>
      </c>
      <c r="AR1472" s="120">
        <f t="shared" si="112"/>
        <v>0</v>
      </c>
      <c r="AS1472" s="121"/>
    </row>
    <row r="1473" spans="1:45" ht="13.5" x14ac:dyDescent="0.4">
      <c r="A1473" s="12">
        <f t="shared" si="114"/>
        <v>1470</v>
      </c>
      <c r="B1473" s="64" t="s">
        <v>10</v>
      </c>
      <c r="C1473" s="54">
        <v>45831</v>
      </c>
      <c r="D1473" s="54">
        <v>45838</v>
      </c>
      <c r="E1473" s="46" t="s">
        <v>451</v>
      </c>
      <c r="F1473" s="51" t="s">
        <v>19</v>
      </c>
      <c r="G1473" s="51" t="s">
        <v>142</v>
      </c>
      <c r="H1473" s="51" t="s">
        <v>21</v>
      </c>
      <c r="I1473" s="55" t="s">
        <v>146</v>
      </c>
      <c r="J1473" s="56">
        <v>1</v>
      </c>
      <c r="K1473" s="51" t="s">
        <v>319</v>
      </c>
      <c r="L1473" s="58">
        <v>17796.61</v>
      </c>
      <c r="M1473" s="50">
        <f>ROUND('FA Addition'!$L1473*5%,0.1)</f>
        <v>890</v>
      </c>
      <c r="N1473" s="113" t="str">
        <f>_xlfn.XLOOKUP(_xlfn.CONCAT(E1473,B1473),'Year Wise Master Dep Approach'!F:F,'Year Wise Master Dep Approach'!D:D)</f>
        <v>WDV</v>
      </c>
      <c r="O1473" s="113">
        <f>_xlfn.XLOOKUP(_xlfn.CONCAT(E1473,B1473),'Year Wise Master Dep Approach'!F:F,'Year Wise Master Dep Approach'!E:E)</f>
        <v>3</v>
      </c>
      <c r="P1473" s="114">
        <f>IFERROR(IF('FA Addition'!$N1473="WDV",1-('FA Addition'!$M1473/'FA Addition'!$L1473)^(1/'FA Addition'!$O1473),1/'FA Addition'!$O1473),0)</f>
        <v>0.63157345977513657</v>
      </c>
      <c r="Q1473" s="122">
        <f>'FA Addition'!$P1473*'FA Addition'!$O1473</f>
        <v>1.8947203793254097</v>
      </c>
      <c r="R1473" s="122"/>
      <c r="S1473" s="116">
        <f>IF(AND(DATE(20&amp;LEFT(FAAddition[[#This Row],[FY]],2),4,1)&lt;$L$1+1,DATE(20&amp;LEFT(FAAddition[[#This Row],[FY]],2),4,1)&gt;$P$1-1),'FA Addition'!$J1473,0)</f>
        <v>0</v>
      </c>
      <c r="U1473" s="117">
        <f>S1473*'FA Addition'!$L1473/'FA Addition'!$J1473</f>
        <v>0</v>
      </c>
      <c r="W1473" s="116">
        <f>SUMIFS('FA Write off'!D:D,'FA Write off'!A:A,'FA Addition'!$A1473,'FA Write off'!C:C,"&lt;"&amp;'FA Addition'!$P$1)</f>
        <v>0</v>
      </c>
      <c r="Y1473" s="191">
        <f>IFERROR(W1473/'FA Addition'!$J1473*'FA Addition'!$L1473,0)</f>
        <v>0</v>
      </c>
      <c r="AA1473" s="116">
        <f>SUMIFS('FA Write off'!D:D,'FA Write off'!A:A,'FA Addition'!$A1473,'FA Write off'!C:C,"&lt;"&amp;'FA Addition'!$L$1+1,'FA Write off'!C:C,"&gt;"&amp;'FA Addition'!$L$1-365)</f>
        <v>0</v>
      </c>
      <c r="AC1473" s="118">
        <f>IFERROR(AA1473/'FA Addition'!$J1473*'FA Addition'!$L1473,0)</f>
        <v>0</v>
      </c>
      <c r="AE1473" s="117">
        <f>IF(AND('FA Addition'!$D1473&lt;$P$1+1,U1473=0),'FA Addition'!$L1473,0)-Y1473</f>
        <v>0</v>
      </c>
      <c r="AF1473" s="117">
        <f t="shared" si="110"/>
        <v>0</v>
      </c>
      <c r="AG1473" s="117">
        <f>MIN(MAX(+$P$1-'FA Addition'!$D1473,0),365*'FA Addition'!$O1473)</f>
        <v>0</v>
      </c>
      <c r="AH1473" s="117">
        <f>MIN(MAX($L$1-'FA Addition'!$D1473+1,0),365*'FA Addition'!$O1473)</f>
        <v>0</v>
      </c>
      <c r="AI1473" s="117" cm="1">
        <f t="array" ref="AI1473">_xlfn.XLOOKUP(1,('FA Write off'!A:A='FA Addition'!$A1473)*('FA Write off'!D:D=AA1473),'FA Write off'!H:H,0,0)</f>
        <v>0</v>
      </c>
      <c r="AJ1473" s="117">
        <f>IF(AC1473&gt;0,MAX(IF('FA Addition'!$N1473="SLM",($AC1473-'FA Addition'!$M1473)*'FA Addition'!$P1473*AI1473/365,(AC1473-'FA Addition'!$M1473)*(1-(1-'FA Addition'!$P1473)^(AI1473/365))),0),0)</f>
        <v>0</v>
      </c>
      <c r="AL1473" s="117">
        <f>MAX(IF(AG1473&gt;0,IF('FA Addition'!$N1473="SLM",($AE1473-'FA Addition'!$M1473)*'FA Addition'!$P1473*AG1473/365,IFERROR(VDB(AE1473,AE1473*0.05,'FA Addition'!$O1473,0,YEARFRAC('FA Addition'!$C1473,$P$1-1,3),'FA Addition'!$Q1473),FAAddition[[#This Row],[Original Cost (Rs)]]-FAAddition[[#This Row],[Salvage Value]])),0),0)</f>
        <v>0</v>
      </c>
      <c r="AM1473" s="119"/>
      <c r="AN1473" s="117">
        <f>MAX(IF(AH1473&gt;0,IF('FA Addition'!$N1473="SLM",($AF1473-'FA Addition'!$M1473)*'FA Addition'!$P1473*AH1473/365,IFERROR(VDB(AF1473,AF1473*0.05,'FA Addition'!$O1473,0,YEARFRAC('FA Addition'!$C1473,$L$1,3),'FA Addition'!$Q1473),FAAddition[[#This Row],[Original Cost (Rs)]]-FAAddition[[#This Row],[Salvage Value]])),0),0)</f>
        <v>0</v>
      </c>
      <c r="AO1473" s="117">
        <f t="shared" si="113"/>
        <v>0</v>
      </c>
      <c r="AQ1473" s="117">
        <f t="shared" si="111"/>
        <v>0</v>
      </c>
      <c r="AR1473" s="120">
        <f t="shared" si="112"/>
        <v>0</v>
      </c>
      <c r="AS1473" s="121"/>
    </row>
    <row r="1474" spans="1:45" ht="13.5" x14ac:dyDescent="0.4">
      <c r="A1474" s="12">
        <f t="shared" si="114"/>
        <v>1471</v>
      </c>
      <c r="B1474" s="64" t="s">
        <v>10</v>
      </c>
      <c r="C1474" s="54">
        <v>45831</v>
      </c>
      <c r="D1474" s="54">
        <v>45838</v>
      </c>
      <c r="E1474" s="46" t="s">
        <v>451</v>
      </c>
      <c r="F1474" s="51" t="s">
        <v>19</v>
      </c>
      <c r="G1474" s="51" t="s">
        <v>142</v>
      </c>
      <c r="H1474" s="51" t="s">
        <v>21</v>
      </c>
      <c r="I1474" s="55" t="s">
        <v>146</v>
      </c>
      <c r="J1474" s="56">
        <v>1</v>
      </c>
      <c r="K1474" s="51" t="s">
        <v>319</v>
      </c>
      <c r="L1474" s="58">
        <v>17796.61</v>
      </c>
      <c r="M1474" s="50">
        <f>ROUND('FA Addition'!$L1474*5%,0.1)</f>
        <v>890</v>
      </c>
      <c r="N1474" s="113" t="str">
        <f>_xlfn.XLOOKUP(_xlfn.CONCAT(E1474,B1474),'Year Wise Master Dep Approach'!F:F,'Year Wise Master Dep Approach'!D:D)</f>
        <v>WDV</v>
      </c>
      <c r="O1474" s="113">
        <f>_xlfn.XLOOKUP(_xlfn.CONCAT(E1474,B1474),'Year Wise Master Dep Approach'!F:F,'Year Wise Master Dep Approach'!E:E)</f>
        <v>3</v>
      </c>
      <c r="P1474" s="114">
        <f>IFERROR(IF('FA Addition'!$N1474="WDV",1-('FA Addition'!$M1474/'FA Addition'!$L1474)^(1/'FA Addition'!$O1474),1/'FA Addition'!$O1474),0)</f>
        <v>0.63157345977513657</v>
      </c>
      <c r="Q1474" s="122">
        <f>'FA Addition'!$P1474*'FA Addition'!$O1474</f>
        <v>1.8947203793254097</v>
      </c>
      <c r="R1474" s="122"/>
      <c r="S1474" s="116">
        <f>IF(AND(DATE(20&amp;LEFT(FAAddition[[#This Row],[FY]],2),4,1)&lt;$L$1+1,DATE(20&amp;LEFT(FAAddition[[#This Row],[FY]],2),4,1)&gt;$P$1-1),'FA Addition'!$J1474,0)</f>
        <v>0</v>
      </c>
      <c r="U1474" s="117">
        <f>S1474*'FA Addition'!$L1474/'FA Addition'!$J1474</f>
        <v>0</v>
      </c>
      <c r="W1474" s="116">
        <f>SUMIFS('FA Write off'!D:D,'FA Write off'!A:A,'FA Addition'!$A1474,'FA Write off'!C:C,"&lt;"&amp;'FA Addition'!$P$1)</f>
        <v>0</v>
      </c>
      <c r="Y1474" s="191">
        <f>IFERROR(W1474/'FA Addition'!$J1474*'FA Addition'!$L1474,0)</f>
        <v>0</v>
      </c>
      <c r="AA1474" s="116">
        <f>SUMIFS('FA Write off'!D:D,'FA Write off'!A:A,'FA Addition'!$A1474,'FA Write off'!C:C,"&lt;"&amp;'FA Addition'!$L$1+1,'FA Write off'!C:C,"&gt;"&amp;'FA Addition'!$L$1-365)</f>
        <v>0</v>
      </c>
      <c r="AC1474" s="118">
        <f>IFERROR(AA1474/'FA Addition'!$J1474*'FA Addition'!$L1474,0)</f>
        <v>0</v>
      </c>
      <c r="AE1474" s="117">
        <f>IF(AND('FA Addition'!$D1474&lt;$P$1+1,U1474=0),'FA Addition'!$L1474,0)-Y1474</f>
        <v>0</v>
      </c>
      <c r="AF1474" s="117">
        <f t="shared" si="110"/>
        <v>0</v>
      </c>
      <c r="AG1474" s="117">
        <f>MIN(MAX(+$P$1-'FA Addition'!$D1474,0),365*'FA Addition'!$O1474)</f>
        <v>0</v>
      </c>
      <c r="AH1474" s="117">
        <f>MIN(MAX($L$1-'FA Addition'!$D1474+1,0),365*'FA Addition'!$O1474)</f>
        <v>0</v>
      </c>
      <c r="AI1474" s="117" cm="1">
        <f t="array" ref="AI1474">_xlfn.XLOOKUP(1,('FA Write off'!A:A='FA Addition'!$A1474)*('FA Write off'!D:D=AA1474),'FA Write off'!H:H,0,0)</f>
        <v>0</v>
      </c>
      <c r="AJ1474" s="117">
        <f>IF(AC1474&gt;0,MAX(IF('FA Addition'!$N1474="SLM",($AC1474-'FA Addition'!$M1474)*'FA Addition'!$P1474*AI1474/365,(AC1474-'FA Addition'!$M1474)*(1-(1-'FA Addition'!$P1474)^(AI1474/365))),0),0)</f>
        <v>0</v>
      </c>
      <c r="AL1474" s="117">
        <f>MAX(IF(AG1474&gt;0,IF('FA Addition'!$N1474="SLM",($AE1474-'FA Addition'!$M1474)*'FA Addition'!$P1474*AG1474/365,IFERROR(VDB(AE1474,AE1474*0.05,'FA Addition'!$O1474,0,YEARFRAC('FA Addition'!$C1474,$P$1-1,3),'FA Addition'!$Q1474),FAAddition[[#This Row],[Original Cost (Rs)]]-FAAddition[[#This Row],[Salvage Value]])),0),0)</f>
        <v>0</v>
      </c>
      <c r="AM1474" s="119"/>
      <c r="AN1474" s="117">
        <f>MAX(IF(AH1474&gt;0,IF('FA Addition'!$N1474="SLM",($AF1474-'FA Addition'!$M1474)*'FA Addition'!$P1474*AH1474/365,IFERROR(VDB(AF1474,AF1474*0.05,'FA Addition'!$O1474,0,YEARFRAC('FA Addition'!$C1474,$L$1,3),'FA Addition'!$Q1474),FAAddition[[#This Row],[Original Cost (Rs)]]-FAAddition[[#This Row],[Salvage Value]])),0),0)</f>
        <v>0</v>
      </c>
      <c r="AO1474" s="117">
        <f t="shared" si="113"/>
        <v>0</v>
      </c>
      <c r="AQ1474" s="117">
        <f t="shared" si="111"/>
        <v>0</v>
      </c>
      <c r="AR1474" s="120">
        <f t="shared" si="112"/>
        <v>0</v>
      </c>
      <c r="AS1474" s="121"/>
    </row>
    <row r="1475" spans="1:45" ht="13.5" x14ac:dyDescent="0.4">
      <c r="A1475" s="12">
        <f t="shared" si="114"/>
        <v>1472</v>
      </c>
      <c r="B1475" s="64" t="s">
        <v>10</v>
      </c>
      <c r="C1475" s="54">
        <v>45831</v>
      </c>
      <c r="D1475" s="54">
        <v>45838</v>
      </c>
      <c r="E1475" s="46" t="s">
        <v>451</v>
      </c>
      <c r="F1475" s="51" t="s">
        <v>19</v>
      </c>
      <c r="G1475" s="51" t="s">
        <v>142</v>
      </c>
      <c r="H1475" s="51" t="s">
        <v>21</v>
      </c>
      <c r="I1475" s="55" t="s">
        <v>146</v>
      </c>
      <c r="J1475" s="56">
        <v>1</v>
      </c>
      <c r="K1475" s="51" t="s">
        <v>319</v>
      </c>
      <c r="L1475" s="58">
        <v>17796.61</v>
      </c>
      <c r="M1475" s="50">
        <f>ROUND('FA Addition'!$L1475*5%,0.1)</f>
        <v>890</v>
      </c>
      <c r="N1475" s="113" t="str">
        <f>_xlfn.XLOOKUP(_xlfn.CONCAT(E1475,B1475),'Year Wise Master Dep Approach'!F:F,'Year Wise Master Dep Approach'!D:D)</f>
        <v>WDV</v>
      </c>
      <c r="O1475" s="113">
        <f>_xlfn.XLOOKUP(_xlfn.CONCAT(E1475,B1475),'Year Wise Master Dep Approach'!F:F,'Year Wise Master Dep Approach'!E:E)</f>
        <v>3</v>
      </c>
      <c r="P1475" s="114">
        <f>IFERROR(IF('FA Addition'!$N1475="WDV",1-('FA Addition'!$M1475/'FA Addition'!$L1475)^(1/'FA Addition'!$O1475),1/'FA Addition'!$O1475),0)</f>
        <v>0.63157345977513657</v>
      </c>
      <c r="Q1475" s="122">
        <f>'FA Addition'!$P1475*'FA Addition'!$O1475</f>
        <v>1.8947203793254097</v>
      </c>
      <c r="R1475" s="122"/>
      <c r="S1475" s="116">
        <f>IF(AND(DATE(20&amp;LEFT(FAAddition[[#This Row],[FY]],2),4,1)&lt;$L$1+1,DATE(20&amp;LEFT(FAAddition[[#This Row],[FY]],2),4,1)&gt;$P$1-1),'FA Addition'!$J1475,0)</f>
        <v>0</v>
      </c>
      <c r="U1475" s="117">
        <f>S1475*'FA Addition'!$L1475/'FA Addition'!$J1475</f>
        <v>0</v>
      </c>
      <c r="W1475" s="116">
        <f>SUMIFS('FA Write off'!D:D,'FA Write off'!A:A,'FA Addition'!$A1475,'FA Write off'!C:C,"&lt;"&amp;'FA Addition'!$P$1)</f>
        <v>0</v>
      </c>
      <c r="Y1475" s="191">
        <f>IFERROR(W1475/'FA Addition'!$J1475*'FA Addition'!$L1475,0)</f>
        <v>0</v>
      </c>
      <c r="AA1475" s="116">
        <f>SUMIFS('FA Write off'!D:D,'FA Write off'!A:A,'FA Addition'!$A1475,'FA Write off'!C:C,"&lt;"&amp;'FA Addition'!$L$1+1,'FA Write off'!C:C,"&gt;"&amp;'FA Addition'!$L$1-365)</f>
        <v>0</v>
      </c>
      <c r="AC1475" s="118">
        <f>IFERROR(AA1475/'FA Addition'!$J1475*'FA Addition'!$L1475,0)</f>
        <v>0</v>
      </c>
      <c r="AE1475" s="117">
        <f>IF(AND('FA Addition'!$D1475&lt;$P$1+1,U1475=0),'FA Addition'!$L1475,0)-Y1475</f>
        <v>0</v>
      </c>
      <c r="AF1475" s="117">
        <f t="shared" si="110"/>
        <v>0</v>
      </c>
      <c r="AG1475" s="117">
        <f>MIN(MAX(+$P$1-'FA Addition'!$D1475,0),365*'FA Addition'!$O1475)</f>
        <v>0</v>
      </c>
      <c r="AH1475" s="117">
        <f>MIN(MAX($L$1-'FA Addition'!$D1475+1,0),365*'FA Addition'!$O1475)</f>
        <v>0</v>
      </c>
      <c r="AI1475" s="117" cm="1">
        <f t="array" ref="AI1475">_xlfn.XLOOKUP(1,('FA Write off'!A:A='FA Addition'!$A1475)*('FA Write off'!D:D=AA1475),'FA Write off'!H:H,0,0)</f>
        <v>0</v>
      </c>
      <c r="AJ1475" s="117">
        <f>IF(AC1475&gt;0,MAX(IF('FA Addition'!$N1475="SLM",($AC1475-'FA Addition'!$M1475)*'FA Addition'!$P1475*AI1475/365,(AC1475-'FA Addition'!$M1475)*(1-(1-'FA Addition'!$P1475)^(AI1475/365))),0),0)</f>
        <v>0</v>
      </c>
      <c r="AL1475" s="117">
        <f>MAX(IF(AG1475&gt;0,IF('FA Addition'!$N1475="SLM",($AE1475-'FA Addition'!$M1475)*'FA Addition'!$P1475*AG1475/365,IFERROR(VDB(AE1475,AE1475*0.05,'FA Addition'!$O1475,0,YEARFRAC('FA Addition'!$C1475,$P$1-1,3),'FA Addition'!$Q1475),FAAddition[[#This Row],[Original Cost (Rs)]]-FAAddition[[#This Row],[Salvage Value]])),0),0)</f>
        <v>0</v>
      </c>
      <c r="AM1475" s="119"/>
      <c r="AN1475" s="117">
        <f>MAX(IF(AH1475&gt;0,IF('FA Addition'!$N1475="SLM",($AF1475-'FA Addition'!$M1475)*'FA Addition'!$P1475*AH1475/365,IFERROR(VDB(AF1475,AF1475*0.05,'FA Addition'!$O1475,0,YEARFRAC('FA Addition'!$C1475,$L$1,3),'FA Addition'!$Q1475),FAAddition[[#This Row],[Original Cost (Rs)]]-FAAddition[[#This Row],[Salvage Value]])),0),0)</f>
        <v>0</v>
      </c>
      <c r="AO1475" s="117">
        <f t="shared" si="113"/>
        <v>0</v>
      </c>
      <c r="AQ1475" s="117">
        <f t="shared" si="111"/>
        <v>0</v>
      </c>
      <c r="AR1475" s="120">
        <f t="shared" si="112"/>
        <v>0</v>
      </c>
      <c r="AS1475" s="121"/>
    </row>
    <row r="1476" spans="1:45" ht="13.5" x14ac:dyDescent="0.4">
      <c r="A1476" s="12">
        <f t="shared" si="114"/>
        <v>1473</v>
      </c>
      <c r="B1476" s="64" t="s">
        <v>10</v>
      </c>
      <c r="C1476" s="54">
        <v>45831</v>
      </c>
      <c r="D1476" s="54">
        <v>45838</v>
      </c>
      <c r="E1476" s="46" t="s">
        <v>451</v>
      </c>
      <c r="F1476" s="51" t="s">
        <v>19</v>
      </c>
      <c r="G1476" s="51" t="s">
        <v>142</v>
      </c>
      <c r="H1476" s="51" t="s">
        <v>21</v>
      </c>
      <c r="I1476" s="55" t="s">
        <v>146</v>
      </c>
      <c r="J1476" s="56">
        <v>1</v>
      </c>
      <c r="K1476" s="51" t="s">
        <v>319</v>
      </c>
      <c r="L1476" s="58">
        <v>17796.61</v>
      </c>
      <c r="M1476" s="50">
        <f>ROUND('FA Addition'!$L1476*5%,0.1)</f>
        <v>890</v>
      </c>
      <c r="N1476" s="113" t="str">
        <f>_xlfn.XLOOKUP(_xlfn.CONCAT(E1476,B1476),'Year Wise Master Dep Approach'!F:F,'Year Wise Master Dep Approach'!D:D)</f>
        <v>WDV</v>
      </c>
      <c r="O1476" s="113">
        <f>_xlfn.XLOOKUP(_xlfn.CONCAT(E1476,B1476),'Year Wise Master Dep Approach'!F:F,'Year Wise Master Dep Approach'!E:E)</f>
        <v>3</v>
      </c>
      <c r="P1476" s="114">
        <f>IFERROR(IF('FA Addition'!$N1476="WDV",1-('FA Addition'!$M1476/'FA Addition'!$L1476)^(1/'FA Addition'!$O1476),1/'FA Addition'!$O1476),0)</f>
        <v>0.63157345977513657</v>
      </c>
      <c r="Q1476" s="122">
        <f>'FA Addition'!$P1476*'FA Addition'!$O1476</f>
        <v>1.8947203793254097</v>
      </c>
      <c r="R1476" s="122"/>
      <c r="S1476" s="116">
        <f>IF(AND(DATE(20&amp;LEFT(FAAddition[[#This Row],[FY]],2),4,1)&lt;$L$1+1,DATE(20&amp;LEFT(FAAddition[[#This Row],[FY]],2),4,1)&gt;$P$1-1),'FA Addition'!$J1476,0)</f>
        <v>0</v>
      </c>
      <c r="U1476" s="117">
        <f>S1476*'FA Addition'!$L1476/'FA Addition'!$J1476</f>
        <v>0</v>
      </c>
      <c r="W1476" s="116">
        <f>SUMIFS('FA Write off'!D:D,'FA Write off'!A:A,'FA Addition'!$A1476,'FA Write off'!C:C,"&lt;"&amp;'FA Addition'!$P$1)</f>
        <v>0</v>
      </c>
      <c r="Y1476" s="191">
        <f>IFERROR(W1476/'FA Addition'!$J1476*'FA Addition'!$L1476,0)</f>
        <v>0</v>
      </c>
      <c r="AA1476" s="116">
        <f>SUMIFS('FA Write off'!D:D,'FA Write off'!A:A,'FA Addition'!$A1476,'FA Write off'!C:C,"&lt;"&amp;'FA Addition'!$L$1+1,'FA Write off'!C:C,"&gt;"&amp;'FA Addition'!$L$1-365)</f>
        <v>0</v>
      </c>
      <c r="AC1476" s="118">
        <f>IFERROR(AA1476/'FA Addition'!$J1476*'FA Addition'!$L1476,0)</f>
        <v>0</v>
      </c>
      <c r="AE1476" s="117">
        <f>IF(AND('FA Addition'!$D1476&lt;$P$1+1,U1476=0),'FA Addition'!$L1476,0)-Y1476</f>
        <v>0</v>
      </c>
      <c r="AF1476" s="117">
        <f t="shared" ref="AF1476:AF1539" si="115">AE1476+U1476-AC1476</f>
        <v>0</v>
      </c>
      <c r="AG1476" s="117">
        <f>MIN(MAX(+$P$1-'FA Addition'!$D1476,0),365*'FA Addition'!$O1476)</f>
        <v>0</v>
      </c>
      <c r="AH1476" s="117">
        <f>MIN(MAX($L$1-'FA Addition'!$D1476+1,0),365*'FA Addition'!$O1476)</f>
        <v>0</v>
      </c>
      <c r="AI1476" s="117" cm="1">
        <f t="array" ref="AI1476">_xlfn.XLOOKUP(1,('FA Write off'!A:A='FA Addition'!$A1476)*('FA Write off'!D:D=AA1476),'FA Write off'!H:H,0,0)</f>
        <v>0</v>
      </c>
      <c r="AJ1476" s="117">
        <f>IF(AC1476&gt;0,MAX(IF('FA Addition'!$N1476="SLM",($AC1476-'FA Addition'!$M1476)*'FA Addition'!$P1476*AI1476/365,(AC1476-'FA Addition'!$M1476)*(1-(1-'FA Addition'!$P1476)^(AI1476/365))),0),0)</f>
        <v>0</v>
      </c>
      <c r="AL1476" s="117">
        <f>MAX(IF(AG1476&gt;0,IF('FA Addition'!$N1476="SLM",($AE1476-'FA Addition'!$M1476)*'FA Addition'!$P1476*AG1476/365,IFERROR(VDB(AE1476,AE1476*0.05,'FA Addition'!$O1476,0,YEARFRAC('FA Addition'!$C1476,$P$1-1,3),'FA Addition'!$Q1476),FAAddition[[#This Row],[Original Cost (Rs)]]-FAAddition[[#This Row],[Salvage Value]])),0),0)</f>
        <v>0</v>
      </c>
      <c r="AM1476" s="119"/>
      <c r="AN1476" s="117">
        <f>MAX(IF(AH1476&gt;0,IF('FA Addition'!$N1476="SLM",($AF1476-'FA Addition'!$M1476)*'FA Addition'!$P1476*AH1476/365,IFERROR(VDB(AF1476,AF1476*0.05,'FA Addition'!$O1476,0,YEARFRAC('FA Addition'!$C1476,$L$1,3),'FA Addition'!$Q1476),FAAddition[[#This Row],[Original Cost (Rs)]]-FAAddition[[#This Row],[Salvage Value]])),0),0)</f>
        <v>0</v>
      </c>
      <c r="AO1476" s="117">
        <f t="shared" si="113"/>
        <v>0</v>
      </c>
      <c r="AQ1476" s="117">
        <f t="shared" ref="AQ1476:AQ1539" si="116">AE1476-AL1476</f>
        <v>0</v>
      </c>
      <c r="AR1476" s="120">
        <f t="shared" ref="AR1476:AR1539" si="117">AF1476-AN1476</f>
        <v>0</v>
      </c>
      <c r="AS1476" s="121"/>
    </row>
    <row r="1477" spans="1:45" ht="13.5" x14ac:dyDescent="0.4">
      <c r="A1477" s="12">
        <f t="shared" si="114"/>
        <v>1474</v>
      </c>
      <c r="B1477" s="64" t="s">
        <v>10</v>
      </c>
      <c r="C1477" s="54">
        <v>45803</v>
      </c>
      <c r="D1477" s="54">
        <v>45812</v>
      </c>
      <c r="E1477" s="46" t="s">
        <v>445</v>
      </c>
      <c r="F1477" s="51" t="s">
        <v>147</v>
      </c>
      <c r="G1477" s="51" t="s">
        <v>117</v>
      </c>
      <c r="H1477" s="51" t="s">
        <v>21</v>
      </c>
      <c r="I1477" s="55" t="s">
        <v>148</v>
      </c>
      <c r="J1477" s="56">
        <v>1</v>
      </c>
      <c r="K1477" s="51" t="s">
        <v>320</v>
      </c>
      <c r="L1477" s="58">
        <v>66093</v>
      </c>
      <c r="M1477" s="50">
        <f>ROUND('FA Addition'!$L1477*5%,0.1)</f>
        <v>3305</v>
      </c>
      <c r="N1477" s="113" t="str">
        <f>_xlfn.XLOOKUP(_xlfn.CONCAT(E1477,B1477),'Year Wise Master Dep Approach'!F:F,'Year Wise Master Dep Approach'!D:D)</f>
        <v>WDV</v>
      </c>
      <c r="O1477" s="113">
        <f>_xlfn.XLOOKUP(_xlfn.CONCAT(E1477,B1477),'Year Wise Master Dep Approach'!F:F,'Year Wise Master Dep Approach'!E:E)</f>
        <v>5</v>
      </c>
      <c r="P1477" s="114">
        <f>IFERROR(IF('FA Addition'!$N1477="WDV",1-('FA Addition'!$M1477/'FA Addition'!$L1477)^(1/'FA Addition'!$O1477),1/'FA Addition'!$O1477),0)</f>
        <v>0.4507080938348994</v>
      </c>
      <c r="Q1477" s="122">
        <f>'FA Addition'!$P1477*'FA Addition'!$O1477</f>
        <v>2.2535404691744971</v>
      </c>
      <c r="R1477" s="122"/>
      <c r="S1477" s="116">
        <f>IF(AND(DATE(20&amp;LEFT(FAAddition[[#This Row],[FY]],2),4,1)&lt;$L$1+1,DATE(20&amp;LEFT(FAAddition[[#This Row],[FY]],2),4,1)&gt;$P$1-1),'FA Addition'!$J1477,0)</f>
        <v>0</v>
      </c>
      <c r="U1477" s="117">
        <f>S1477*'FA Addition'!$L1477/'FA Addition'!$J1477</f>
        <v>0</v>
      </c>
      <c r="W1477" s="116">
        <f>SUMIFS('FA Write off'!D:D,'FA Write off'!A:A,'FA Addition'!$A1477,'FA Write off'!C:C,"&lt;"&amp;'FA Addition'!$P$1)</f>
        <v>0</v>
      </c>
      <c r="Y1477" s="191">
        <f>IFERROR(W1477/'FA Addition'!$J1477*'FA Addition'!$L1477,0)</f>
        <v>0</v>
      </c>
      <c r="AA1477" s="116">
        <f>SUMIFS('FA Write off'!D:D,'FA Write off'!A:A,'FA Addition'!$A1477,'FA Write off'!C:C,"&lt;"&amp;'FA Addition'!$L$1+1,'FA Write off'!C:C,"&gt;"&amp;'FA Addition'!$L$1-365)</f>
        <v>0</v>
      </c>
      <c r="AC1477" s="118">
        <f>IFERROR(AA1477/'FA Addition'!$J1477*'FA Addition'!$L1477,0)</f>
        <v>0</v>
      </c>
      <c r="AE1477" s="117">
        <f>IF(AND('FA Addition'!$D1477&lt;$P$1+1,U1477=0),'FA Addition'!$L1477,0)-Y1477</f>
        <v>0</v>
      </c>
      <c r="AF1477" s="117">
        <f t="shared" si="115"/>
        <v>0</v>
      </c>
      <c r="AG1477" s="117">
        <f>MIN(MAX(+$P$1-'FA Addition'!$D1477,0),365*'FA Addition'!$O1477)</f>
        <v>0</v>
      </c>
      <c r="AH1477" s="117">
        <f>MIN(MAX($L$1-'FA Addition'!$D1477+1,0),365*'FA Addition'!$O1477)</f>
        <v>0</v>
      </c>
      <c r="AI1477" s="117" cm="1">
        <f t="array" ref="AI1477">_xlfn.XLOOKUP(1,('FA Write off'!A:A='FA Addition'!$A1477)*('FA Write off'!D:D=AA1477),'FA Write off'!H:H,0,0)</f>
        <v>0</v>
      </c>
      <c r="AJ1477" s="117">
        <f>IF(AC1477&gt;0,MAX(IF('FA Addition'!$N1477="SLM",($AC1477-'FA Addition'!$M1477)*'FA Addition'!$P1477*AI1477/365,(AC1477-'FA Addition'!$M1477)*(1-(1-'FA Addition'!$P1477)^(AI1477/365))),0),0)</f>
        <v>0</v>
      </c>
      <c r="AL1477" s="117">
        <f>MAX(IF(AG1477&gt;0,IF('FA Addition'!$N1477="SLM",($AE1477-'FA Addition'!$M1477)*'FA Addition'!$P1477*AG1477/365,IFERROR(VDB(AE1477,AE1477*0.05,'FA Addition'!$O1477,0,YEARFRAC('FA Addition'!$C1477,$P$1-1,3),'FA Addition'!$Q1477),FAAddition[[#This Row],[Original Cost (Rs)]]-FAAddition[[#This Row],[Salvage Value]])),0),0)</f>
        <v>0</v>
      </c>
      <c r="AM1477" s="119"/>
      <c r="AN1477" s="117">
        <f>MAX(IF(AH1477&gt;0,IF('FA Addition'!$N1477="SLM",($AF1477-'FA Addition'!$M1477)*'FA Addition'!$P1477*AH1477/365,IFERROR(VDB(AF1477,AF1477*0.05,'FA Addition'!$O1477,0,YEARFRAC('FA Addition'!$C1477,$L$1,3),'FA Addition'!$Q1477),FAAddition[[#This Row],[Original Cost (Rs)]]-FAAddition[[#This Row],[Salvage Value]])),0),0)</f>
        <v>0</v>
      </c>
      <c r="AO1477" s="117">
        <f t="shared" ref="AO1477:AO1540" si="118">AN1477-AL1477+AJ1477</f>
        <v>0</v>
      </c>
      <c r="AQ1477" s="117">
        <f t="shared" si="116"/>
        <v>0</v>
      </c>
      <c r="AR1477" s="120">
        <f t="shared" si="117"/>
        <v>0</v>
      </c>
      <c r="AS1477" s="121"/>
    </row>
    <row r="1478" spans="1:45" ht="13.5" x14ac:dyDescent="0.4">
      <c r="A1478" s="12">
        <f t="shared" ref="A1478:A1541" si="119">A1477+1</f>
        <v>1475</v>
      </c>
      <c r="B1478" s="64" t="s">
        <v>10</v>
      </c>
      <c r="C1478" s="54">
        <v>45828</v>
      </c>
      <c r="D1478" s="54">
        <v>45838</v>
      </c>
      <c r="E1478" s="46" t="s">
        <v>451</v>
      </c>
      <c r="F1478" s="51" t="s">
        <v>19</v>
      </c>
      <c r="G1478" s="51" t="s">
        <v>75</v>
      </c>
      <c r="H1478" s="51" t="s">
        <v>21</v>
      </c>
      <c r="I1478" s="55" t="s">
        <v>149</v>
      </c>
      <c r="J1478" s="56">
        <v>1</v>
      </c>
      <c r="K1478" s="51" t="s">
        <v>321</v>
      </c>
      <c r="L1478" s="58">
        <v>107618.64</v>
      </c>
      <c r="M1478" s="50">
        <f>ROUND('FA Addition'!$L1478*5%,0.1)</f>
        <v>5381</v>
      </c>
      <c r="N1478" s="113" t="str">
        <f>_xlfn.XLOOKUP(_xlfn.CONCAT(E1478,B1478),'Year Wise Master Dep Approach'!F:F,'Year Wise Master Dep Approach'!D:D)</f>
        <v>WDV</v>
      </c>
      <c r="O1478" s="113">
        <f>_xlfn.XLOOKUP(_xlfn.CONCAT(E1478,B1478),'Year Wise Master Dep Approach'!F:F,'Year Wise Master Dep Approach'!E:E)</f>
        <v>3</v>
      </c>
      <c r="P1478" s="114">
        <f>IFERROR(IF('FA Addition'!$N1478="WDV",1-('FA Addition'!$M1478/'FA Addition'!$L1478)^(1/'FA Addition'!$O1478),1/'FA Addition'!$O1478),0)</f>
        <v>0.63159529827910421</v>
      </c>
      <c r="Q1478" s="122">
        <f>'FA Addition'!$P1478*'FA Addition'!$O1478</f>
        <v>1.8947858948373126</v>
      </c>
      <c r="R1478" s="122"/>
      <c r="S1478" s="116">
        <f>IF(AND(DATE(20&amp;LEFT(FAAddition[[#This Row],[FY]],2),4,1)&lt;$L$1+1,DATE(20&amp;LEFT(FAAddition[[#This Row],[FY]],2),4,1)&gt;$P$1-1),'FA Addition'!$J1478,0)</f>
        <v>0</v>
      </c>
      <c r="U1478" s="117">
        <f>S1478*'FA Addition'!$L1478/'FA Addition'!$J1478</f>
        <v>0</v>
      </c>
      <c r="W1478" s="116">
        <f>SUMIFS('FA Write off'!D:D,'FA Write off'!A:A,'FA Addition'!$A1478,'FA Write off'!C:C,"&lt;"&amp;'FA Addition'!$P$1)</f>
        <v>0</v>
      </c>
      <c r="Y1478" s="191">
        <f>IFERROR(W1478/'FA Addition'!$J1478*'FA Addition'!$L1478,0)</f>
        <v>0</v>
      </c>
      <c r="AA1478" s="116">
        <f>SUMIFS('FA Write off'!D:D,'FA Write off'!A:A,'FA Addition'!$A1478,'FA Write off'!C:C,"&lt;"&amp;'FA Addition'!$L$1+1,'FA Write off'!C:C,"&gt;"&amp;'FA Addition'!$L$1-365)</f>
        <v>0</v>
      </c>
      <c r="AC1478" s="118">
        <f>IFERROR(AA1478/'FA Addition'!$J1478*'FA Addition'!$L1478,0)</f>
        <v>0</v>
      </c>
      <c r="AE1478" s="117">
        <f>IF(AND('FA Addition'!$D1478&lt;$P$1+1,U1478=0),'FA Addition'!$L1478,0)-Y1478</f>
        <v>0</v>
      </c>
      <c r="AF1478" s="117">
        <f t="shared" si="115"/>
        <v>0</v>
      </c>
      <c r="AG1478" s="117">
        <f>MIN(MAX(+$P$1-'FA Addition'!$D1478,0),365*'FA Addition'!$O1478)</f>
        <v>0</v>
      </c>
      <c r="AH1478" s="117">
        <f>MIN(MAX($L$1-'FA Addition'!$D1478+1,0),365*'FA Addition'!$O1478)</f>
        <v>0</v>
      </c>
      <c r="AI1478" s="117" cm="1">
        <f t="array" ref="AI1478">_xlfn.XLOOKUP(1,('FA Write off'!A:A='FA Addition'!$A1478)*('FA Write off'!D:D=AA1478),'FA Write off'!H:H,0,0)</f>
        <v>0</v>
      </c>
      <c r="AJ1478" s="117">
        <f>IF(AC1478&gt;0,MAX(IF('FA Addition'!$N1478="SLM",($AC1478-'FA Addition'!$M1478)*'FA Addition'!$P1478*AI1478/365,(AC1478-'FA Addition'!$M1478)*(1-(1-'FA Addition'!$P1478)^(AI1478/365))),0),0)</f>
        <v>0</v>
      </c>
      <c r="AL1478" s="117">
        <f>MAX(IF(AG1478&gt;0,IF('FA Addition'!$N1478="SLM",($AE1478-'FA Addition'!$M1478)*'FA Addition'!$P1478*AG1478/365,IFERROR(VDB(AE1478,AE1478*0.05,'FA Addition'!$O1478,0,YEARFRAC('FA Addition'!$C1478,$P$1-1,3),'FA Addition'!$Q1478),FAAddition[[#This Row],[Original Cost (Rs)]]-FAAddition[[#This Row],[Salvage Value]])),0),0)</f>
        <v>0</v>
      </c>
      <c r="AM1478" s="119"/>
      <c r="AN1478" s="117">
        <f>MAX(IF(AH1478&gt;0,IF('FA Addition'!$N1478="SLM",($AF1478-'FA Addition'!$M1478)*'FA Addition'!$P1478*AH1478/365,IFERROR(VDB(AF1478,AF1478*0.05,'FA Addition'!$O1478,0,YEARFRAC('FA Addition'!$C1478,$L$1,3),'FA Addition'!$Q1478),FAAddition[[#This Row],[Original Cost (Rs)]]-FAAddition[[#This Row],[Salvage Value]])),0),0)</f>
        <v>0</v>
      </c>
      <c r="AO1478" s="117">
        <f t="shared" si="118"/>
        <v>0</v>
      </c>
      <c r="AQ1478" s="117">
        <f t="shared" si="116"/>
        <v>0</v>
      </c>
      <c r="AR1478" s="120">
        <f t="shared" si="117"/>
        <v>0</v>
      </c>
      <c r="AS1478" s="121"/>
    </row>
    <row r="1479" spans="1:45" ht="13.5" x14ac:dyDescent="0.4">
      <c r="A1479" s="12">
        <f t="shared" si="119"/>
        <v>1476</v>
      </c>
      <c r="B1479" s="64" t="s">
        <v>10</v>
      </c>
      <c r="C1479" s="54">
        <v>45835</v>
      </c>
      <c r="D1479" s="54">
        <v>45852</v>
      </c>
      <c r="E1479" s="46" t="s">
        <v>451</v>
      </c>
      <c r="F1479" s="51" t="s">
        <v>19</v>
      </c>
      <c r="G1479" s="51" t="s">
        <v>112</v>
      </c>
      <c r="H1479" s="51" t="s">
        <v>21</v>
      </c>
      <c r="I1479" s="55" t="s">
        <v>150</v>
      </c>
      <c r="J1479" s="56">
        <v>1</v>
      </c>
      <c r="K1479" s="51" t="s">
        <v>322</v>
      </c>
      <c r="L1479" s="58">
        <v>53000</v>
      </c>
      <c r="M1479" s="50">
        <f>ROUND('FA Addition'!$L1479*5%,0.1)</f>
        <v>2650</v>
      </c>
      <c r="N1479" s="113" t="str">
        <f>_xlfn.XLOOKUP(_xlfn.CONCAT(E1479,B1479),'Year Wise Master Dep Approach'!F:F,'Year Wise Master Dep Approach'!D:D)</f>
        <v>WDV</v>
      </c>
      <c r="O1479" s="113">
        <f>_xlfn.XLOOKUP(_xlfn.CONCAT(E1479,B1479),'Year Wise Master Dep Approach'!F:F,'Year Wise Master Dep Approach'!E:E)</f>
        <v>3</v>
      </c>
      <c r="P1479" s="114">
        <f>IFERROR(IF('FA Addition'!$N1479="WDV",1-('FA Addition'!$M1479/'FA Addition'!$L1479)^(1/'FA Addition'!$O1479),1/'FA Addition'!$O1479),0)</f>
        <v>0.63159685013596123</v>
      </c>
      <c r="Q1479" s="122">
        <f>'FA Addition'!$P1479*'FA Addition'!$O1479</f>
        <v>1.8947905504078837</v>
      </c>
      <c r="R1479" s="122"/>
      <c r="S1479" s="116">
        <f>IF(AND(DATE(20&amp;LEFT(FAAddition[[#This Row],[FY]],2),4,1)&lt;$L$1+1,DATE(20&amp;LEFT(FAAddition[[#This Row],[FY]],2),4,1)&gt;$P$1-1),'FA Addition'!$J1479,0)</f>
        <v>0</v>
      </c>
      <c r="U1479" s="117">
        <f>S1479*'FA Addition'!$L1479/'FA Addition'!$J1479</f>
        <v>0</v>
      </c>
      <c r="W1479" s="116">
        <f>SUMIFS('FA Write off'!D:D,'FA Write off'!A:A,'FA Addition'!$A1479,'FA Write off'!C:C,"&lt;"&amp;'FA Addition'!$P$1)</f>
        <v>0</v>
      </c>
      <c r="Y1479" s="191">
        <f>IFERROR(W1479/'FA Addition'!$J1479*'FA Addition'!$L1479,0)</f>
        <v>0</v>
      </c>
      <c r="AA1479" s="116">
        <f>SUMIFS('FA Write off'!D:D,'FA Write off'!A:A,'FA Addition'!$A1479,'FA Write off'!C:C,"&lt;"&amp;'FA Addition'!$L$1+1,'FA Write off'!C:C,"&gt;"&amp;'FA Addition'!$L$1-365)</f>
        <v>0</v>
      </c>
      <c r="AC1479" s="118">
        <f>IFERROR(AA1479/'FA Addition'!$J1479*'FA Addition'!$L1479,0)</f>
        <v>0</v>
      </c>
      <c r="AE1479" s="117">
        <f>IF(AND('FA Addition'!$D1479&lt;$P$1+1,U1479=0),'FA Addition'!$L1479,0)-Y1479</f>
        <v>0</v>
      </c>
      <c r="AF1479" s="117">
        <f t="shared" si="115"/>
        <v>0</v>
      </c>
      <c r="AG1479" s="117">
        <f>MIN(MAX(+$P$1-'FA Addition'!$D1479,0),365*'FA Addition'!$O1479)</f>
        <v>0</v>
      </c>
      <c r="AH1479" s="117">
        <f>MIN(MAX($L$1-'FA Addition'!$D1479+1,0),365*'FA Addition'!$O1479)</f>
        <v>0</v>
      </c>
      <c r="AI1479" s="117" cm="1">
        <f t="array" ref="AI1479">_xlfn.XLOOKUP(1,('FA Write off'!A:A='FA Addition'!$A1479)*('FA Write off'!D:D=AA1479),'FA Write off'!H:H,0,0)</f>
        <v>0</v>
      </c>
      <c r="AJ1479" s="117">
        <f>IF(AC1479&gt;0,MAX(IF('FA Addition'!$N1479="SLM",($AC1479-'FA Addition'!$M1479)*'FA Addition'!$P1479*AI1479/365,(AC1479-'FA Addition'!$M1479)*(1-(1-'FA Addition'!$P1479)^(AI1479/365))),0),0)</f>
        <v>0</v>
      </c>
      <c r="AL1479" s="117">
        <f>MAX(IF(AG1479&gt;0,IF('FA Addition'!$N1479="SLM",($AE1479-'FA Addition'!$M1479)*'FA Addition'!$P1479*AG1479/365,IFERROR(VDB(AE1479,AE1479*0.05,'FA Addition'!$O1479,0,YEARFRAC('FA Addition'!$C1479,$P$1-1,3),'FA Addition'!$Q1479),FAAddition[[#This Row],[Original Cost (Rs)]]-FAAddition[[#This Row],[Salvage Value]])),0),0)</f>
        <v>0</v>
      </c>
      <c r="AM1479" s="119"/>
      <c r="AN1479" s="117">
        <f>MAX(IF(AH1479&gt;0,IF('FA Addition'!$N1479="SLM",($AF1479-'FA Addition'!$M1479)*'FA Addition'!$P1479*AH1479/365,IFERROR(VDB(AF1479,AF1479*0.05,'FA Addition'!$O1479,0,YEARFRAC('FA Addition'!$C1479,$L$1,3),'FA Addition'!$Q1479),FAAddition[[#This Row],[Original Cost (Rs)]]-FAAddition[[#This Row],[Salvage Value]])),0),0)</f>
        <v>0</v>
      </c>
      <c r="AO1479" s="117">
        <f t="shared" si="118"/>
        <v>0</v>
      </c>
      <c r="AQ1479" s="117">
        <f t="shared" si="116"/>
        <v>0</v>
      </c>
      <c r="AR1479" s="120">
        <f t="shared" si="117"/>
        <v>0</v>
      </c>
      <c r="AS1479" s="121"/>
    </row>
    <row r="1480" spans="1:45" ht="13.5" x14ac:dyDescent="0.4">
      <c r="A1480" s="12">
        <f t="shared" si="119"/>
        <v>1477</v>
      </c>
      <c r="B1480" s="64" t="s">
        <v>10</v>
      </c>
      <c r="C1480" s="54">
        <v>45839</v>
      </c>
      <c r="D1480" s="54">
        <v>45852</v>
      </c>
      <c r="E1480" s="46" t="s">
        <v>451</v>
      </c>
      <c r="F1480" s="51" t="s">
        <v>19</v>
      </c>
      <c r="G1480" s="51" t="s">
        <v>20</v>
      </c>
      <c r="H1480" s="51" t="s">
        <v>151</v>
      </c>
      <c r="I1480" s="55" t="s">
        <v>152</v>
      </c>
      <c r="J1480" s="56">
        <v>1</v>
      </c>
      <c r="K1480" s="51" t="s">
        <v>323</v>
      </c>
      <c r="L1480" s="58">
        <v>8400</v>
      </c>
      <c r="M1480" s="50">
        <f>ROUND('FA Addition'!$L1480*5%,0.1)</f>
        <v>420</v>
      </c>
      <c r="N1480" s="113" t="str">
        <f>_xlfn.XLOOKUP(_xlfn.CONCAT(E1480,B1480),'Year Wise Master Dep Approach'!F:F,'Year Wise Master Dep Approach'!D:D)</f>
        <v>WDV</v>
      </c>
      <c r="O1480" s="113">
        <f>_xlfn.XLOOKUP(_xlfn.CONCAT(E1480,B1480),'Year Wise Master Dep Approach'!F:F,'Year Wise Master Dep Approach'!E:E)</f>
        <v>3</v>
      </c>
      <c r="P1480" s="114">
        <f>IFERROR(IF('FA Addition'!$N1480="WDV",1-('FA Addition'!$M1480/'FA Addition'!$L1480)^(1/'FA Addition'!$O1480),1/'FA Addition'!$O1480),0)</f>
        <v>0.63159685013596123</v>
      </c>
      <c r="Q1480" s="122">
        <f>'FA Addition'!$P1480*'FA Addition'!$O1480</f>
        <v>1.8947905504078837</v>
      </c>
      <c r="R1480" s="122"/>
      <c r="S1480" s="116">
        <f>IF(AND(DATE(20&amp;LEFT(FAAddition[[#This Row],[FY]],2),4,1)&lt;$L$1+1,DATE(20&amp;LEFT(FAAddition[[#This Row],[FY]],2),4,1)&gt;$P$1-1),'FA Addition'!$J1480,0)</f>
        <v>0</v>
      </c>
      <c r="U1480" s="117">
        <f>S1480*'FA Addition'!$L1480/'FA Addition'!$J1480</f>
        <v>0</v>
      </c>
      <c r="W1480" s="116">
        <f>SUMIFS('FA Write off'!D:D,'FA Write off'!A:A,'FA Addition'!$A1480,'FA Write off'!C:C,"&lt;"&amp;'FA Addition'!$P$1)</f>
        <v>0</v>
      </c>
      <c r="Y1480" s="191">
        <f>IFERROR(W1480/'FA Addition'!$J1480*'FA Addition'!$L1480,0)</f>
        <v>0</v>
      </c>
      <c r="AA1480" s="116">
        <f>SUMIFS('FA Write off'!D:D,'FA Write off'!A:A,'FA Addition'!$A1480,'FA Write off'!C:C,"&lt;"&amp;'FA Addition'!$L$1+1,'FA Write off'!C:C,"&gt;"&amp;'FA Addition'!$L$1-365)</f>
        <v>0</v>
      </c>
      <c r="AC1480" s="118">
        <f>IFERROR(AA1480/'FA Addition'!$J1480*'FA Addition'!$L1480,0)</f>
        <v>0</v>
      </c>
      <c r="AE1480" s="117">
        <f>IF(AND('FA Addition'!$D1480&lt;$P$1+1,U1480=0),'FA Addition'!$L1480,0)-Y1480</f>
        <v>0</v>
      </c>
      <c r="AF1480" s="117">
        <f t="shared" si="115"/>
        <v>0</v>
      </c>
      <c r="AG1480" s="117">
        <f>MIN(MAX(+$P$1-'FA Addition'!$D1480,0),365*'FA Addition'!$O1480)</f>
        <v>0</v>
      </c>
      <c r="AH1480" s="117">
        <f>MIN(MAX($L$1-'FA Addition'!$D1480+1,0),365*'FA Addition'!$O1480)</f>
        <v>0</v>
      </c>
      <c r="AI1480" s="117" cm="1">
        <f t="array" ref="AI1480">_xlfn.XLOOKUP(1,('FA Write off'!A:A='FA Addition'!$A1480)*('FA Write off'!D:D=AA1480),'FA Write off'!H:H,0,0)</f>
        <v>0</v>
      </c>
      <c r="AJ1480" s="117">
        <f>IF(AC1480&gt;0,MAX(IF('FA Addition'!$N1480="SLM",($AC1480-'FA Addition'!$M1480)*'FA Addition'!$P1480*AI1480/365,(AC1480-'FA Addition'!$M1480)*(1-(1-'FA Addition'!$P1480)^(AI1480/365))),0),0)</f>
        <v>0</v>
      </c>
      <c r="AL1480" s="117">
        <f>MAX(IF(AG1480&gt;0,IF('FA Addition'!$N1480="SLM",($AE1480-'FA Addition'!$M1480)*'FA Addition'!$P1480*AG1480/365,IFERROR(VDB(AE1480,AE1480*0.05,'FA Addition'!$O1480,0,YEARFRAC('FA Addition'!$C1480,$P$1-1,3),'FA Addition'!$Q1480),FAAddition[[#This Row],[Original Cost (Rs)]]-FAAddition[[#This Row],[Salvage Value]])),0),0)</f>
        <v>0</v>
      </c>
      <c r="AM1480" s="119"/>
      <c r="AN1480" s="117">
        <f>MAX(IF(AH1480&gt;0,IF('FA Addition'!$N1480="SLM",($AF1480-'FA Addition'!$M1480)*'FA Addition'!$P1480*AH1480/365,IFERROR(VDB(AF1480,AF1480*0.05,'FA Addition'!$O1480,0,YEARFRAC('FA Addition'!$C1480,$L$1,3),'FA Addition'!$Q1480),FAAddition[[#This Row],[Original Cost (Rs)]]-FAAddition[[#This Row],[Salvage Value]])),0),0)</f>
        <v>0</v>
      </c>
      <c r="AO1480" s="117">
        <f t="shared" si="118"/>
        <v>0</v>
      </c>
      <c r="AQ1480" s="117">
        <f t="shared" si="116"/>
        <v>0</v>
      </c>
      <c r="AR1480" s="120">
        <f t="shared" si="117"/>
        <v>0</v>
      </c>
      <c r="AS1480" s="121"/>
    </row>
    <row r="1481" spans="1:45" ht="13.5" x14ac:dyDescent="0.4">
      <c r="A1481" s="12">
        <f t="shared" si="119"/>
        <v>1478</v>
      </c>
      <c r="B1481" s="64" t="s">
        <v>10</v>
      </c>
      <c r="C1481" s="54">
        <v>45839</v>
      </c>
      <c r="D1481" s="54">
        <v>45852</v>
      </c>
      <c r="E1481" s="46" t="s">
        <v>451</v>
      </c>
      <c r="F1481" s="51" t="s">
        <v>19</v>
      </c>
      <c r="G1481" s="51" t="s">
        <v>20</v>
      </c>
      <c r="H1481" s="51" t="s">
        <v>21</v>
      </c>
      <c r="I1481" s="55" t="s">
        <v>153</v>
      </c>
      <c r="J1481" s="56">
        <v>1</v>
      </c>
      <c r="K1481" s="51" t="s">
        <v>324</v>
      </c>
      <c r="L1481" s="58">
        <v>68000</v>
      </c>
      <c r="M1481" s="50">
        <f>ROUND('FA Addition'!$L1481*5%,0.1)</f>
        <v>3400</v>
      </c>
      <c r="N1481" s="113" t="str">
        <f>_xlfn.XLOOKUP(_xlfn.CONCAT(E1481,B1481),'Year Wise Master Dep Approach'!F:F,'Year Wise Master Dep Approach'!D:D)</f>
        <v>WDV</v>
      </c>
      <c r="O1481" s="113">
        <f>_xlfn.XLOOKUP(_xlfn.CONCAT(E1481,B1481),'Year Wise Master Dep Approach'!F:F,'Year Wise Master Dep Approach'!E:E)</f>
        <v>3</v>
      </c>
      <c r="P1481" s="114">
        <f>IFERROR(IF('FA Addition'!$N1481="WDV",1-('FA Addition'!$M1481/'FA Addition'!$L1481)^(1/'FA Addition'!$O1481),1/'FA Addition'!$O1481),0)</f>
        <v>0.63159685013596123</v>
      </c>
      <c r="Q1481" s="122">
        <f>'FA Addition'!$P1481*'FA Addition'!$O1481</f>
        <v>1.8947905504078837</v>
      </c>
      <c r="R1481" s="122"/>
      <c r="S1481" s="116">
        <f>IF(AND(DATE(20&amp;LEFT(FAAddition[[#This Row],[FY]],2),4,1)&lt;$L$1+1,DATE(20&amp;LEFT(FAAddition[[#This Row],[FY]],2),4,1)&gt;$P$1-1),'FA Addition'!$J1481,0)</f>
        <v>0</v>
      </c>
      <c r="U1481" s="117">
        <f>S1481*'FA Addition'!$L1481/'FA Addition'!$J1481</f>
        <v>0</v>
      </c>
      <c r="W1481" s="116">
        <f>SUMIFS('FA Write off'!D:D,'FA Write off'!A:A,'FA Addition'!$A1481,'FA Write off'!C:C,"&lt;"&amp;'FA Addition'!$P$1)</f>
        <v>0</v>
      </c>
      <c r="Y1481" s="191">
        <f>IFERROR(W1481/'FA Addition'!$J1481*'FA Addition'!$L1481,0)</f>
        <v>0</v>
      </c>
      <c r="AA1481" s="116">
        <f>SUMIFS('FA Write off'!D:D,'FA Write off'!A:A,'FA Addition'!$A1481,'FA Write off'!C:C,"&lt;"&amp;'FA Addition'!$L$1+1,'FA Write off'!C:C,"&gt;"&amp;'FA Addition'!$L$1-365)</f>
        <v>0</v>
      </c>
      <c r="AC1481" s="118">
        <f>IFERROR(AA1481/'FA Addition'!$J1481*'FA Addition'!$L1481,0)</f>
        <v>0</v>
      </c>
      <c r="AE1481" s="117">
        <f>IF(AND('FA Addition'!$D1481&lt;$P$1+1,U1481=0),'FA Addition'!$L1481,0)-Y1481</f>
        <v>0</v>
      </c>
      <c r="AF1481" s="117">
        <f t="shared" si="115"/>
        <v>0</v>
      </c>
      <c r="AG1481" s="117">
        <f>MIN(MAX(+$P$1-'FA Addition'!$D1481,0),365*'FA Addition'!$O1481)</f>
        <v>0</v>
      </c>
      <c r="AH1481" s="117">
        <f>MIN(MAX($L$1-'FA Addition'!$D1481+1,0),365*'FA Addition'!$O1481)</f>
        <v>0</v>
      </c>
      <c r="AI1481" s="117" cm="1">
        <f t="array" ref="AI1481">_xlfn.XLOOKUP(1,('FA Write off'!A:A='FA Addition'!$A1481)*('FA Write off'!D:D=AA1481),'FA Write off'!H:H,0,0)</f>
        <v>0</v>
      </c>
      <c r="AJ1481" s="117">
        <f>IF(AC1481&gt;0,MAX(IF('FA Addition'!$N1481="SLM",($AC1481-'FA Addition'!$M1481)*'FA Addition'!$P1481*AI1481/365,(AC1481-'FA Addition'!$M1481)*(1-(1-'FA Addition'!$P1481)^(AI1481/365))),0),0)</f>
        <v>0</v>
      </c>
      <c r="AL1481" s="117">
        <f>MAX(IF(AG1481&gt;0,IF('FA Addition'!$N1481="SLM",($AE1481-'FA Addition'!$M1481)*'FA Addition'!$P1481*AG1481/365,IFERROR(VDB(AE1481,AE1481*0.05,'FA Addition'!$O1481,0,YEARFRAC('FA Addition'!$C1481,$P$1-1,3),'FA Addition'!$Q1481),FAAddition[[#This Row],[Original Cost (Rs)]]-FAAddition[[#This Row],[Salvage Value]])),0),0)</f>
        <v>0</v>
      </c>
      <c r="AM1481" s="119"/>
      <c r="AN1481" s="117">
        <f>MAX(IF(AH1481&gt;0,IF('FA Addition'!$N1481="SLM",($AF1481-'FA Addition'!$M1481)*'FA Addition'!$P1481*AH1481/365,IFERROR(VDB(AF1481,AF1481*0.05,'FA Addition'!$O1481,0,YEARFRAC('FA Addition'!$C1481,$L$1,3),'FA Addition'!$Q1481),FAAddition[[#This Row],[Original Cost (Rs)]]-FAAddition[[#This Row],[Salvage Value]])),0),0)</f>
        <v>0</v>
      </c>
      <c r="AO1481" s="117">
        <f t="shared" si="118"/>
        <v>0</v>
      </c>
      <c r="AQ1481" s="117">
        <f t="shared" si="116"/>
        <v>0</v>
      </c>
      <c r="AR1481" s="120">
        <f t="shared" si="117"/>
        <v>0</v>
      </c>
      <c r="AS1481" s="121"/>
    </row>
    <row r="1482" spans="1:45" ht="13.5" x14ac:dyDescent="0.4">
      <c r="A1482" s="12">
        <f t="shared" si="119"/>
        <v>1479</v>
      </c>
      <c r="B1482" s="64" t="s">
        <v>10</v>
      </c>
      <c r="C1482" s="54">
        <v>45847</v>
      </c>
      <c r="D1482" s="54">
        <v>45852</v>
      </c>
      <c r="E1482" s="46" t="s">
        <v>451</v>
      </c>
      <c r="F1482" s="51" t="s">
        <v>19</v>
      </c>
      <c r="G1482" s="51" t="s">
        <v>20</v>
      </c>
      <c r="H1482" s="51" t="s">
        <v>21</v>
      </c>
      <c r="I1482" s="55" t="s">
        <v>154</v>
      </c>
      <c r="J1482" s="56">
        <v>1</v>
      </c>
      <c r="K1482" s="51" t="s">
        <v>325</v>
      </c>
      <c r="L1482" s="58">
        <v>133050</v>
      </c>
      <c r="M1482" s="50">
        <f>ROUND('FA Addition'!$L1482*5%,0.1)</f>
        <v>6653</v>
      </c>
      <c r="N1482" s="113" t="str">
        <f>_xlfn.XLOOKUP(_xlfn.CONCAT(E1482,B1482),'Year Wise Master Dep Approach'!F:F,'Year Wise Master Dep Approach'!D:D)</f>
        <v>WDV</v>
      </c>
      <c r="O1482" s="113">
        <f>_xlfn.XLOOKUP(_xlfn.CONCAT(E1482,B1482),'Year Wise Master Dep Approach'!F:F,'Year Wise Master Dep Approach'!E:E)</f>
        <v>3</v>
      </c>
      <c r="P1482" s="114">
        <f>IFERROR(IF('FA Addition'!$N1482="WDV",1-('FA Addition'!$M1482/'FA Addition'!$L1482)^(1/'FA Addition'!$O1482),1/'FA Addition'!$O1482),0)</f>
        <v>0.63158762067534358</v>
      </c>
      <c r="Q1482" s="122">
        <f>'FA Addition'!$P1482*'FA Addition'!$O1482</f>
        <v>1.8947628620260306</v>
      </c>
      <c r="R1482" s="122"/>
      <c r="S1482" s="116">
        <f>IF(AND(DATE(20&amp;LEFT(FAAddition[[#This Row],[FY]],2),4,1)&lt;$L$1+1,DATE(20&amp;LEFT(FAAddition[[#This Row],[FY]],2),4,1)&gt;$P$1-1),'FA Addition'!$J1482,0)</f>
        <v>0</v>
      </c>
      <c r="U1482" s="117">
        <f>S1482*'FA Addition'!$L1482/'FA Addition'!$J1482</f>
        <v>0</v>
      </c>
      <c r="W1482" s="116">
        <f>SUMIFS('FA Write off'!D:D,'FA Write off'!A:A,'FA Addition'!$A1482,'FA Write off'!C:C,"&lt;"&amp;'FA Addition'!$P$1)</f>
        <v>0</v>
      </c>
      <c r="Y1482" s="191">
        <f>IFERROR(W1482/'FA Addition'!$J1482*'FA Addition'!$L1482,0)</f>
        <v>0</v>
      </c>
      <c r="AA1482" s="116">
        <f>SUMIFS('FA Write off'!D:D,'FA Write off'!A:A,'FA Addition'!$A1482,'FA Write off'!C:C,"&lt;"&amp;'FA Addition'!$L$1+1,'FA Write off'!C:C,"&gt;"&amp;'FA Addition'!$L$1-365)</f>
        <v>0</v>
      </c>
      <c r="AC1482" s="118">
        <f>IFERROR(AA1482/'FA Addition'!$J1482*'FA Addition'!$L1482,0)</f>
        <v>0</v>
      </c>
      <c r="AE1482" s="117">
        <f>IF(AND('FA Addition'!$D1482&lt;$P$1+1,U1482=0),'FA Addition'!$L1482,0)-Y1482</f>
        <v>0</v>
      </c>
      <c r="AF1482" s="117">
        <f t="shared" si="115"/>
        <v>0</v>
      </c>
      <c r="AG1482" s="117">
        <f>MIN(MAX(+$P$1-'FA Addition'!$D1482,0),365*'FA Addition'!$O1482)</f>
        <v>0</v>
      </c>
      <c r="AH1482" s="117">
        <f>MIN(MAX($L$1-'FA Addition'!$D1482+1,0),365*'FA Addition'!$O1482)</f>
        <v>0</v>
      </c>
      <c r="AI1482" s="117" cm="1">
        <f t="array" ref="AI1482">_xlfn.XLOOKUP(1,('FA Write off'!A:A='FA Addition'!$A1482)*('FA Write off'!D:D=AA1482),'FA Write off'!H:H,0,0)</f>
        <v>0</v>
      </c>
      <c r="AJ1482" s="117">
        <f>IF(AC1482&gt;0,MAX(IF('FA Addition'!$N1482="SLM",($AC1482-'FA Addition'!$M1482)*'FA Addition'!$P1482*AI1482/365,(AC1482-'FA Addition'!$M1482)*(1-(1-'FA Addition'!$P1482)^(AI1482/365))),0),0)</f>
        <v>0</v>
      </c>
      <c r="AL1482" s="117">
        <f>MAX(IF(AG1482&gt;0,IF('FA Addition'!$N1482="SLM",($AE1482-'FA Addition'!$M1482)*'FA Addition'!$P1482*AG1482/365,IFERROR(VDB(AE1482,AE1482*0.05,'FA Addition'!$O1482,0,YEARFRAC('FA Addition'!$C1482,$P$1-1,3),'FA Addition'!$Q1482),FAAddition[[#This Row],[Original Cost (Rs)]]-FAAddition[[#This Row],[Salvage Value]])),0),0)</f>
        <v>0</v>
      </c>
      <c r="AM1482" s="119"/>
      <c r="AN1482" s="117">
        <f>MAX(IF(AH1482&gt;0,IF('FA Addition'!$N1482="SLM",($AF1482-'FA Addition'!$M1482)*'FA Addition'!$P1482*AH1482/365,IFERROR(VDB(AF1482,AF1482*0.05,'FA Addition'!$O1482,0,YEARFRAC('FA Addition'!$C1482,$L$1,3),'FA Addition'!$Q1482),FAAddition[[#This Row],[Original Cost (Rs)]]-FAAddition[[#This Row],[Salvage Value]])),0),0)</f>
        <v>0</v>
      </c>
      <c r="AO1482" s="117">
        <f t="shared" si="118"/>
        <v>0</v>
      </c>
      <c r="AQ1482" s="117">
        <f t="shared" si="116"/>
        <v>0</v>
      </c>
      <c r="AR1482" s="120">
        <f t="shared" si="117"/>
        <v>0</v>
      </c>
      <c r="AS1482" s="121"/>
    </row>
    <row r="1483" spans="1:45" ht="13.5" x14ac:dyDescent="0.4">
      <c r="A1483" s="12">
        <f t="shared" si="119"/>
        <v>1480</v>
      </c>
      <c r="B1483" s="64" t="s">
        <v>10</v>
      </c>
      <c r="C1483" s="54">
        <v>45831</v>
      </c>
      <c r="D1483" s="54">
        <v>45855</v>
      </c>
      <c r="E1483" s="46" t="s">
        <v>451</v>
      </c>
      <c r="F1483" s="51" t="s">
        <v>19</v>
      </c>
      <c r="G1483" s="51" t="s">
        <v>144</v>
      </c>
      <c r="H1483" s="51" t="s">
        <v>151</v>
      </c>
      <c r="I1483" s="55">
        <v>68</v>
      </c>
      <c r="J1483" s="56">
        <v>1</v>
      </c>
      <c r="K1483" s="51" t="s">
        <v>326</v>
      </c>
      <c r="L1483" s="58">
        <v>32203</v>
      </c>
      <c r="M1483" s="50">
        <f>ROUND('FA Addition'!$L1483*5%,0.1)</f>
        <v>1610</v>
      </c>
      <c r="N1483" s="113" t="str">
        <f>_xlfn.XLOOKUP(_xlfn.CONCAT(E1483,B1483),'Year Wise Master Dep Approach'!F:F,'Year Wise Master Dep Approach'!D:D)</f>
        <v>WDV</v>
      </c>
      <c r="O1483" s="113">
        <f>_xlfn.XLOOKUP(_xlfn.CONCAT(E1483,B1483),'Year Wise Master Dep Approach'!F:F,'Year Wise Master Dep Approach'!E:E)</f>
        <v>3</v>
      </c>
      <c r="P1483" s="114">
        <f>IFERROR(IF('FA Addition'!$N1483="WDV",1-('FA Addition'!$M1483/'FA Addition'!$L1483)^(1/'FA Addition'!$O1483),1/'FA Addition'!$O1483),0)</f>
        <v>0.63160829051699663</v>
      </c>
      <c r="Q1483" s="122">
        <f>'FA Addition'!$P1483*'FA Addition'!$O1483</f>
        <v>1.8948248715509899</v>
      </c>
      <c r="R1483" s="122"/>
      <c r="S1483" s="116">
        <f>IF(AND(DATE(20&amp;LEFT(FAAddition[[#This Row],[FY]],2),4,1)&lt;$L$1+1,DATE(20&amp;LEFT(FAAddition[[#This Row],[FY]],2),4,1)&gt;$P$1-1),'FA Addition'!$J1483,0)</f>
        <v>0</v>
      </c>
      <c r="U1483" s="117">
        <f>S1483*'FA Addition'!$L1483/'FA Addition'!$J1483</f>
        <v>0</v>
      </c>
      <c r="W1483" s="116">
        <f>SUMIFS('FA Write off'!D:D,'FA Write off'!A:A,'FA Addition'!$A1483,'FA Write off'!C:C,"&lt;"&amp;'FA Addition'!$P$1)</f>
        <v>0</v>
      </c>
      <c r="Y1483" s="191">
        <f>IFERROR(W1483/'FA Addition'!$J1483*'FA Addition'!$L1483,0)</f>
        <v>0</v>
      </c>
      <c r="AA1483" s="116">
        <f>SUMIFS('FA Write off'!D:D,'FA Write off'!A:A,'FA Addition'!$A1483,'FA Write off'!C:C,"&lt;"&amp;'FA Addition'!$L$1+1,'FA Write off'!C:C,"&gt;"&amp;'FA Addition'!$L$1-365)</f>
        <v>0</v>
      </c>
      <c r="AC1483" s="118">
        <f>IFERROR(AA1483/'FA Addition'!$J1483*'FA Addition'!$L1483,0)</f>
        <v>0</v>
      </c>
      <c r="AE1483" s="117">
        <f>IF(AND('FA Addition'!$D1483&lt;$P$1+1,U1483=0),'FA Addition'!$L1483,0)-Y1483</f>
        <v>0</v>
      </c>
      <c r="AF1483" s="117">
        <f t="shared" si="115"/>
        <v>0</v>
      </c>
      <c r="AG1483" s="117">
        <f>MIN(MAX(+$P$1-'FA Addition'!$D1483,0),365*'FA Addition'!$O1483)</f>
        <v>0</v>
      </c>
      <c r="AH1483" s="117">
        <f>MIN(MAX($L$1-'FA Addition'!$D1483+1,0),365*'FA Addition'!$O1483)</f>
        <v>0</v>
      </c>
      <c r="AI1483" s="117" cm="1">
        <f t="array" ref="AI1483">_xlfn.XLOOKUP(1,('FA Write off'!A:A='FA Addition'!$A1483)*('FA Write off'!D:D=AA1483),'FA Write off'!H:H,0,0)</f>
        <v>0</v>
      </c>
      <c r="AJ1483" s="117">
        <f>IF(AC1483&gt;0,MAX(IF('FA Addition'!$N1483="SLM",($AC1483-'FA Addition'!$M1483)*'FA Addition'!$P1483*AI1483/365,(AC1483-'FA Addition'!$M1483)*(1-(1-'FA Addition'!$P1483)^(AI1483/365))),0),0)</f>
        <v>0</v>
      </c>
      <c r="AL1483" s="117">
        <f>MAX(IF(AG1483&gt;0,IF('FA Addition'!$N1483="SLM",($AE1483-'FA Addition'!$M1483)*'FA Addition'!$P1483*AG1483/365,IFERROR(VDB(AE1483,AE1483*0.05,'FA Addition'!$O1483,0,YEARFRAC('FA Addition'!$C1483,$P$1-1,3),'FA Addition'!$Q1483),FAAddition[[#This Row],[Original Cost (Rs)]]-FAAddition[[#This Row],[Salvage Value]])),0),0)</f>
        <v>0</v>
      </c>
      <c r="AM1483" s="119"/>
      <c r="AN1483" s="117">
        <f>MAX(IF(AH1483&gt;0,IF('FA Addition'!$N1483="SLM",($AF1483-'FA Addition'!$M1483)*'FA Addition'!$P1483*AH1483/365,IFERROR(VDB(AF1483,AF1483*0.05,'FA Addition'!$O1483,0,YEARFRAC('FA Addition'!$C1483,$L$1,3),'FA Addition'!$Q1483),FAAddition[[#This Row],[Original Cost (Rs)]]-FAAddition[[#This Row],[Salvage Value]])),0),0)</f>
        <v>0</v>
      </c>
      <c r="AO1483" s="117">
        <f t="shared" si="118"/>
        <v>0</v>
      </c>
      <c r="AQ1483" s="117">
        <f t="shared" si="116"/>
        <v>0</v>
      </c>
      <c r="AR1483" s="120">
        <f t="shared" si="117"/>
        <v>0</v>
      </c>
      <c r="AS1483" s="121"/>
    </row>
    <row r="1484" spans="1:45" ht="13.5" x14ac:dyDescent="0.4">
      <c r="A1484" s="12">
        <f t="shared" si="119"/>
        <v>1481</v>
      </c>
      <c r="B1484" s="64" t="s">
        <v>10</v>
      </c>
      <c r="C1484" s="54">
        <v>45831</v>
      </c>
      <c r="D1484" s="54">
        <v>45862</v>
      </c>
      <c r="E1484" s="46" t="s">
        <v>451</v>
      </c>
      <c r="F1484" s="51" t="s">
        <v>19</v>
      </c>
      <c r="G1484" s="51" t="s">
        <v>139</v>
      </c>
      <c r="H1484" s="51" t="s">
        <v>21</v>
      </c>
      <c r="I1484" s="55" t="s">
        <v>155</v>
      </c>
      <c r="J1484" s="56">
        <v>1</v>
      </c>
      <c r="K1484" s="51" t="s">
        <v>318</v>
      </c>
      <c r="L1484" s="58">
        <v>57300</v>
      </c>
      <c r="M1484" s="50">
        <f>ROUND('FA Addition'!$L1484*5%,0.1)</f>
        <v>2865</v>
      </c>
      <c r="N1484" s="113" t="str">
        <f>_xlfn.XLOOKUP(_xlfn.CONCAT(E1484,B1484),'Year Wise Master Dep Approach'!F:F,'Year Wise Master Dep Approach'!D:D)</f>
        <v>WDV</v>
      </c>
      <c r="O1484" s="113">
        <f>_xlfn.XLOOKUP(_xlfn.CONCAT(E1484,B1484),'Year Wise Master Dep Approach'!F:F,'Year Wise Master Dep Approach'!E:E)</f>
        <v>3</v>
      </c>
      <c r="P1484" s="114">
        <f>IFERROR(IF('FA Addition'!$N1484="WDV",1-('FA Addition'!$M1484/'FA Addition'!$L1484)^(1/'FA Addition'!$O1484),1/'FA Addition'!$O1484),0)</f>
        <v>0.63159685013596123</v>
      </c>
      <c r="Q1484" s="122">
        <f>'FA Addition'!$P1484*'FA Addition'!$O1484</f>
        <v>1.8947905504078837</v>
      </c>
      <c r="R1484" s="122"/>
      <c r="S1484" s="116">
        <f>IF(AND(DATE(20&amp;LEFT(FAAddition[[#This Row],[FY]],2),4,1)&lt;$L$1+1,DATE(20&amp;LEFT(FAAddition[[#This Row],[FY]],2),4,1)&gt;$P$1-1),'FA Addition'!$J1484,0)</f>
        <v>0</v>
      </c>
      <c r="U1484" s="117">
        <f>S1484*'FA Addition'!$L1484/'FA Addition'!$J1484</f>
        <v>0</v>
      </c>
      <c r="W1484" s="116">
        <f>SUMIFS('FA Write off'!D:D,'FA Write off'!A:A,'FA Addition'!$A1484,'FA Write off'!C:C,"&lt;"&amp;'FA Addition'!$P$1)</f>
        <v>0</v>
      </c>
      <c r="Y1484" s="191">
        <f>IFERROR(W1484/'FA Addition'!$J1484*'FA Addition'!$L1484,0)</f>
        <v>0</v>
      </c>
      <c r="AA1484" s="116">
        <f>SUMIFS('FA Write off'!D:D,'FA Write off'!A:A,'FA Addition'!$A1484,'FA Write off'!C:C,"&lt;"&amp;'FA Addition'!$L$1+1,'FA Write off'!C:C,"&gt;"&amp;'FA Addition'!$L$1-365)</f>
        <v>0</v>
      </c>
      <c r="AC1484" s="118">
        <f>IFERROR(AA1484/'FA Addition'!$J1484*'FA Addition'!$L1484,0)</f>
        <v>0</v>
      </c>
      <c r="AE1484" s="117">
        <f>IF(AND('FA Addition'!$D1484&lt;$P$1+1,U1484=0),'FA Addition'!$L1484,0)-Y1484</f>
        <v>0</v>
      </c>
      <c r="AF1484" s="117">
        <f t="shared" si="115"/>
        <v>0</v>
      </c>
      <c r="AG1484" s="117">
        <f>MIN(MAX(+$P$1-'FA Addition'!$D1484,0),365*'FA Addition'!$O1484)</f>
        <v>0</v>
      </c>
      <c r="AH1484" s="117">
        <f>MIN(MAX($L$1-'FA Addition'!$D1484+1,0),365*'FA Addition'!$O1484)</f>
        <v>0</v>
      </c>
      <c r="AI1484" s="117" cm="1">
        <f t="array" ref="AI1484">_xlfn.XLOOKUP(1,('FA Write off'!A:A='FA Addition'!$A1484)*('FA Write off'!D:D=AA1484),'FA Write off'!H:H,0,0)</f>
        <v>0</v>
      </c>
      <c r="AJ1484" s="117">
        <f>IF(AC1484&gt;0,MAX(IF('FA Addition'!$N1484="SLM",($AC1484-'FA Addition'!$M1484)*'FA Addition'!$P1484*AI1484/365,(AC1484-'FA Addition'!$M1484)*(1-(1-'FA Addition'!$P1484)^(AI1484/365))),0),0)</f>
        <v>0</v>
      </c>
      <c r="AL1484" s="117">
        <f>MAX(IF(AG1484&gt;0,IF('FA Addition'!$N1484="SLM",($AE1484-'FA Addition'!$M1484)*'FA Addition'!$P1484*AG1484/365,IFERROR(VDB(AE1484,AE1484*0.05,'FA Addition'!$O1484,0,YEARFRAC('FA Addition'!$C1484,$P$1-1,3),'FA Addition'!$Q1484),FAAddition[[#This Row],[Original Cost (Rs)]]-FAAddition[[#This Row],[Salvage Value]])),0),0)</f>
        <v>0</v>
      </c>
      <c r="AM1484" s="119"/>
      <c r="AN1484" s="117">
        <f>MAX(IF(AH1484&gt;0,IF('FA Addition'!$N1484="SLM",($AF1484-'FA Addition'!$M1484)*'FA Addition'!$P1484*AH1484/365,IFERROR(VDB(AF1484,AF1484*0.05,'FA Addition'!$O1484,0,YEARFRAC('FA Addition'!$C1484,$L$1,3),'FA Addition'!$Q1484),FAAddition[[#This Row],[Original Cost (Rs)]]-FAAddition[[#This Row],[Salvage Value]])),0),0)</f>
        <v>0</v>
      </c>
      <c r="AO1484" s="117">
        <f t="shared" si="118"/>
        <v>0</v>
      </c>
      <c r="AQ1484" s="117">
        <f t="shared" si="116"/>
        <v>0</v>
      </c>
      <c r="AR1484" s="120">
        <f t="shared" si="117"/>
        <v>0</v>
      </c>
      <c r="AS1484" s="121"/>
    </row>
    <row r="1485" spans="1:45" ht="13.5" x14ac:dyDescent="0.4">
      <c r="A1485" s="12">
        <f t="shared" si="119"/>
        <v>1482</v>
      </c>
      <c r="B1485" s="64" t="s">
        <v>10</v>
      </c>
      <c r="C1485" s="54">
        <v>45831</v>
      </c>
      <c r="D1485" s="54">
        <v>45862</v>
      </c>
      <c r="E1485" s="46" t="s">
        <v>451</v>
      </c>
      <c r="F1485" s="51" t="s">
        <v>19</v>
      </c>
      <c r="G1485" s="51" t="s">
        <v>139</v>
      </c>
      <c r="H1485" s="51" t="s">
        <v>21</v>
      </c>
      <c r="I1485" s="55" t="s">
        <v>155</v>
      </c>
      <c r="J1485" s="56">
        <v>1</v>
      </c>
      <c r="K1485" s="51" t="s">
        <v>318</v>
      </c>
      <c r="L1485" s="58">
        <v>57300</v>
      </c>
      <c r="M1485" s="50">
        <f>ROUND('FA Addition'!$L1485*5%,0.1)</f>
        <v>2865</v>
      </c>
      <c r="N1485" s="113" t="str">
        <f>_xlfn.XLOOKUP(_xlfn.CONCAT(E1485,B1485),'Year Wise Master Dep Approach'!F:F,'Year Wise Master Dep Approach'!D:D)</f>
        <v>WDV</v>
      </c>
      <c r="O1485" s="113">
        <f>_xlfn.XLOOKUP(_xlfn.CONCAT(E1485,B1485),'Year Wise Master Dep Approach'!F:F,'Year Wise Master Dep Approach'!E:E)</f>
        <v>3</v>
      </c>
      <c r="P1485" s="114">
        <f>IFERROR(IF('FA Addition'!$N1485="WDV",1-('FA Addition'!$M1485/'FA Addition'!$L1485)^(1/'FA Addition'!$O1485),1/'FA Addition'!$O1485),0)</f>
        <v>0.63159685013596123</v>
      </c>
      <c r="Q1485" s="122">
        <f>'FA Addition'!$P1485*'FA Addition'!$O1485</f>
        <v>1.8947905504078837</v>
      </c>
      <c r="R1485" s="122"/>
      <c r="S1485" s="116">
        <f>IF(AND(DATE(20&amp;LEFT(FAAddition[[#This Row],[FY]],2),4,1)&lt;$L$1+1,DATE(20&amp;LEFT(FAAddition[[#This Row],[FY]],2),4,1)&gt;$P$1-1),'FA Addition'!$J1485,0)</f>
        <v>0</v>
      </c>
      <c r="U1485" s="117">
        <f>S1485*'FA Addition'!$L1485/'FA Addition'!$J1485</f>
        <v>0</v>
      </c>
      <c r="W1485" s="116">
        <f>SUMIFS('FA Write off'!D:D,'FA Write off'!A:A,'FA Addition'!$A1485,'FA Write off'!C:C,"&lt;"&amp;'FA Addition'!$P$1)</f>
        <v>0</v>
      </c>
      <c r="Y1485" s="191">
        <f>IFERROR(W1485/'FA Addition'!$J1485*'FA Addition'!$L1485,0)</f>
        <v>0</v>
      </c>
      <c r="AA1485" s="116">
        <f>SUMIFS('FA Write off'!D:D,'FA Write off'!A:A,'FA Addition'!$A1485,'FA Write off'!C:C,"&lt;"&amp;'FA Addition'!$L$1+1,'FA Write off'!C:C,"&gt;"&amp;'FA Addition'!$L$1-365)</f>
        <v>0</v>
      </c>
      <c r="AC1485" s="118">
        <f>IFERROR(AA1485/'FA Addition'!$J1485*'FA Addition'!$L1485,0)</f>
        <v>0</v>
      </c>
      <c r="AE1485" s="117">
        <f>IF(AND('FA Addition'!$D1485&lt;$P$1+1,U1485=0),'FA Addition'!$L1485,0)-Y1485</f>
        <v>0</v>
      </c>
      <c r="AF1485" s="117">
        <f t="shared" si="115"/>
        <v>0</v>
      </c>
      <c r="AG1485" s="117">
        <f>MIN(MAX(+$P$1-'FA Addition'!$D1485,0),365*'FA Addition'!$O1485)</f>
        <v>0</v>
      </c>
      <c r="AH1485" s="117">
        <f>MIN(MAX($L$1-'FA Addition'!$D1485+1,0),365*'FA Addition'!$O1485)</f>
        <v>0</v>
      </c>
      <c r="AI1485" s="117" cm="1">
        <f t="array" ref="AI1485">_xlfn.XLOOKUP(1,('FA Write off'!A:A='FA Addition'!$A1485)*('FA Write off'!D:D=AA1485),'FA Write off'!H:H,0,0)</f>
        <v>0</v>
      </c>
      <c r="AJ1485" s="117">
        <f>IF(AC1485&gt;0,MAX(IF('FA Addition'!$N1485="SLM",($AC1485-'FA Addition'!$M1485)*'FA Addition'!$P1485*AI1485/365,(AC1485-'FA Addition'!$M1485)*(1-(1-'FA Addition'!$P1485)^(AI1485/365))),0),0)</f>
        <v>0</v>
      </c>
      <c r="AL1485" s="117">
        <f>MAX(IF(AG1485&gt;0,IF('FA Addition'!$N1485="SLM",($AE1485-'FA Addition'!$M1485)*'FA Addition'!$P1485*AG1485/365,IFERROR(VDB(AE1485,AE1485*0.05,'FA Addition'!$O1485,0,YEARFRAC('FA Addition'!$C1485,$P$1-1,3),'FA Addition'!$Q1485),FAAddition[[#This Row],[Original Cost (Rs)]]-FAAddition[[#This Row],[Salvage Value]])),0),0)</f>
        <v>0</v>
      </c>
      <c r="AM1485" s="119"/>
      <c r="AN1485" s="117">
        <f>MAX(IF(AH1485&gt;0,IF('FA Addition'!$N1485="SLM",($AF1485-'FA Addition'!$M1485)*'FA Addition'!$P1485*AH1485/365,IFERROR(VDB(AF1485,AF1485*0.05,'FA Addition'!$O1485,0,YEARFRAC('FA Addition'!$C1485,$L$1,3),'FA Addition'!$Q1485),FAAddition[[#This Row],[Original Cost (Rs)]]-FAAddition[[#This Row],[Salvage Value]])),0),0)</f>
        <v>0</v>
      </c>
      <c r="AO1485" s="117">
        <f t="shared" si="118"/>
        <v>0</v>
      </c>
      <c r="AQ1485" s="117">
        <f t="shared" si="116"/>
        <v>0</v>
      </c>
      <c r="AR1485" s="120">
        <f t="shared" si="117"/>
        <v>0</v>
      </c>
      <c r="AS1485" s="121"/>
    </row>
    <row r="1486" spans="1:45" ht="13.5" x14ac:dyDescent="0.4">
      <c r="A1486" s="12">
        <f t="shared" si="119"/>
        <v>1483</v>
      </c>
      <c r="B1486" s="64" t="s">
        <v>10</v>
      </c>
      <c r="C1486" s="54">
        <v>45831</v>
      </c>
      <c r="D1486" s="54">
        <v>45862</v>
      </c>
      <c r="E1486" s="46" t="s">
        <v>451</v>
      </c>
      <c r="F1486" s="51" t="s">
        <v>19</v>
      </c>
      <c r="G1486" s="51" t="s">
        <v>139</v>
      </c>
      <c r="H1486" s="51" t="s">
        <v>21</v>
      </c>
      <c r="I1486" s="55" t="s">
        <v>155</v>
      </c>
      <c r="J1486" s="56">
        <v>1</v>
      </c>
      <c r="K1486" s="51" t="s">
        <v>318</v>
      </c>
      <c r="L1486" s="58">
        <v>57300</v>
      </c>
      <c r="M1486" s="50">
        <f>ROUND('FA Addition'!$L1486*5%,0.1)</f>
        <v>2865</v>
      </c>
      <c r="N1486" s="113" t="str">
        <f>_xlfn.XLOOKUP(_xlfn.CONCAT(E1486,B1486),'Year Wise Master Dep Approach'!F:F,'Year Wise Master Dep Approach'!D:D)</f>
        <v>WDV</v>
      </c>
      <c r="O1486" s="113">
        <f>_xlfn.XLOOKUP(_xlfn.CONCAT(E1486,B1486),'Year Wise Master Dep Approach'!F:F,'Year Wise Master Dep Approach'!E:E)</f>
        <v>3</v>
      </c>
      <c r="P1486" s="114">
        <f>IFERROR(IF('FA Addition'!$N1486="WDV",1-('FA Addition'!$M1486/'FA Addition'!$L1486)^(1/'FA Addition'!$O1486),1/'FA Addition'!$O1486),0)</f>
        <v>0.63159685013596123</v>
      </c>
      <c r="Q1486" s="122">
        <f>'FA Addition'!$P1486*'FA Addition'!$O1486</f>
        <v>1.8947905504078837</v>
      </c>
      <c r="R1486" s="122"/>
      <c r="S1486" s="116">
        <f>IF(AND(DATE(20&amp;LEFT(FAAddition[[#This Row],[FY]],2),4,1)&lt;$L$1+1,DATE(20&amp;LEFT(FAAddition[[#This Row],[FY]],2),4,1)&gt;$P$1-1),'FA Addition'!$J1486,0)</f>
        <v>0</v>
      </c>
      <c r="U1486" s="117">
        <f>S1486*'FA Addition'!$L1486/'FA Addition'!$J1486</f>
        <v>0</v>
      </c>
      <c r="W1486" s="116">
        <f>SUMIFS('FA Write off'!D:D,'FA Write off'!A:A,'FA Addition'!$A1486,'FA Write off'!C:C,"&lt;"&amp;'FA Addition'!$P$1)</f>
        <v>0</v>
      </c>
      <c r="Y1486" s="191">
        <f>IFERROR(W1486/'FA Addition'!$J1486*'FA Addition'!$L1486,0)</f>
        <v>0</v>
      </c>
      <c r="AA1486" s="116">
        <f>SUMIFS('FA Write off'!D:D,'FA Write off'!A:A,'FA Addition'!$A1486,'FA Write off'!C:C,"&lt;"&amp;'FA Addition'!$L$1+1,'FA Write off'!C:C,"&gt;"&amp;'FA Addition'!$L$1-365)</f>
        <v>0</v>
      </c>
      <c r="AC1486" s="118">
        <f>IFERROR(AA1486/'FA Addition'!$J1486*'FA Addition'!$L1486,0)</f>
        <v>0</v>
      </c>
      <c r="AE1486" s="117">
        <f>IF(AND('FA Addition'!$D1486&lt;$P$1+1,U1486=0),'FA Addition'!$L1486,0)-Y1486</f>
        <v>0</v>
      </c>
      <c r="AF1486" s="117">
        <f t="shared" si="115"/>
        <v>0</v>
      </c>
      <c r="AG1486" s="117">
        <f>MIN(MAX(+$P$1-'FA Addition'!$D1486,0),365*'FA Addition'!$O1486)</f>
        <v>0</v>
      </c>
      <c r="AH1486" s="117">
        <f>MIN(MAX($L$1-'FA Addition'!$D1486+1,0),365*'FA Addition'!$O1486)</f>
        <v>0</v>
      </c>
      <c r="AI1486" s="117" cm="1">
        <f t="array" ref="AI1486">_xlfn.XLOOKUP(1,('FA Write off'!A:A='FA Addition'!$A1486)*('FA Write off'!D:D=AA1486),'FA Write off'!H:H,0,0)</f>
        <v>0</v>
      </c>
      <c r="AJ1486" s="117">
        <f>IF(AC1486&gt;0,MAX(IF('FA Addition'!$N1486="SLM",($AC1486-'FA Addition'!$M1486)*'FA Addition'!$P1486*AI1486/365,(AC1486-'FA Addition'!$M1486)*(1-(1-'FA Addition'!$P1486)^(AI1486/365))),0),0)</f>
        <v>0</v>
      </c>
      <c r="AL1486" s="117">
        <f>MAX(IF(AG1486&gt;0,IF('FA Addition'!$N1486="SLM",($AE1486-'FA Addition'!$M1486)*'FA Addition'!$P1486*AG1486/365,IFERROR(VDB(AE1486,AE1486*0.05,'FA Addition'!$O1486,0,YEARFRAC('FA Addition'!$C1486,$P$1-1,3),'FA Addition'!$Q1486),FAAddition[[#This Row],[Original Cost (Rs)]]-FAAddition[[#This Row],[Salvage Value]])),0),0)</f>
        <v>0</v>
      </c>
      <c r="AM1486" s="119"/>
      <c r="AN1486" s="117">
        <f>MAX(IF(AH1486&gt;0,IF('FA Addition'!$N1486="SLM",($AF1486-'FA Addition'!$M1486)*'FA Addition'!$P1486*AH1486/365,IFERROR(VDB(AF1486,AF1486*0.05,'FA Addition'!$O1486,0,YEARFRAC('FA Addition'!$C1486,$L$1,3),'FA Addition'!$Q1486),FAAddition[[#This Row],[Original Cost (Rs)]]-FAAddition[[#This Row],[Salvage Value]])),0),0)</f>
        <v>0</v>
      </c>
      <c r="AO1486" s="117">
        <f t="shared" si="118"/>
        <v>0</v>
      </c>
      <c r="AQ1486" s="117">
        <f t="shared" si="116"/>
        <v>0</v>
      </c>
      <c r="AR1486" s="120">
        <f t="shared" si="117"/>
        <v>0</v>
      </c>
      <c r="AS1486" s="121"/>
    </row>
    <row r="1487" spans="1:45" ht="13.5" x14ac:dyDescent="0.4">
      <c r="A1487" s="12">
        <f t="shared" si="119"/>
        <v>1484</v>
      </c>
      <c r="B1487" s="64" t="s">
        <v>10</v>
      </c>
      <c r="C1487" s="54">
        <v>45831</v>
      </c>
      <c r="D1487" s="54">
        <v>45862</v>
      </c>
      <c r="E1487" s="46" t="s">
        <v>451</v>
      </c>
      <c r="F1487" s="51" t="s">
        <v>19</v>
      </c>
      <c r="G1487" s="51" t="s">
        <v>139</v>
      </c>
      <c r="H1487" s="51" t="s">
        <v>21</v>
      </c>
      <c r="I1487" s="55" t="s">
        <v>155</v>
      </c>
      <c r="J1487" s="56">
        <v>1</v>
      </c>
      <c r="K1487" s="51" t="s">
        <v>318</v>
      </c>
      <c r="L1487" s="58">
        <v>57300</v>
      </c>
      <c r="M1487" s="50">
        <f>ROUND('FA Addition'!$L1487*5%,0.1)</f>
        <v>2865</v>
      </c>
      <c r="N1487" s="113" t="str">
        <f>_xlfn.XLOOKUP(_xlfn.CONCAT(E1487,B1487),'Year Wise Master Dep Approach'!F:F,'Year Wise Master Dep Approach'!D:D)</f>
        <v>WDV</v>
      </c>
      <c r="O1487" s="113">
        <f>_xlfn.XLOOKUP(_xlfn.CONCAT(E1487,B1487),'Year Wise Master Dep Approach'!F:F,'Year Wise Master Dep Approach'!E:E)</f>
        <v>3</v>
      </c>
      <c r="P1487" s="114">
        <f>IFERROR(IF('FA Addition'!$N1487="WDV",1-('FA Addition'!$M1487/'FA Addition'!$L1487)^(1/'FA Addition'!$O1487),1/'FA Addition'!$O1487),0)</f>
        <v>0.63159685013596123</v>
      </c>
      <c r="Q1487" s="122">
        <f>'FA Addition'!$P1487*'FA Addition'!$O1487</f>
        <v>1.8947905504078837</v>
      </c>
      <c r="R1487" s="122"/>
      <c r="S1487" s="116">
        <f>IF(AND(DATE(20&amp;LEFT(FAAddition[[#This Row],[FY]],2),4,1)&lt;$L$1+1,DATE(20&amp;LEFT(FAAddition[[#This Row],[FY]],2),4,1)&gt;$P$1-1),'FA Addition'!$J1487,0)</f>
        <v>0</v>
      </c>
      <c r="U1487" s="117">
        <f>S1487*'FA Addition'!$L1487/'FA Addition'!$J1487</f>
        <v>0</v>
      </c>
      <c r="W1487" s="116">
        <f>SUMIFS('FA Write off'!D:D,'FA Write off'!A:A,'FA Addition'!$A1487,'FA Write off'!C:C,"&lt;"&amp;'FA Addition'!$P$1)</f>
        <v>0</v>
      </c>
      <c r="Y1487" s="191">
        <f>IFERROR(W1487/'FA Addition'!$J1487*'FA Addition'!$L1487,0)</f>
        <v>0</v>
      </c>
      <c r="AA1487" s="116">
        <f>SUMIFS('FA Write off'!D:D,'FA Write off'!A:A,'FA Addition'!$A1487,'FA Write off'!C:C,"&lt;"&amp;'FA Addition'!$L$1+1,'FA Write off'!C:C,"&gt;"&amp;'FA Addition'!$L$1-365)</f>
        <v>0</v>
      </c>
      <c r="AC1487" s="118">
        <f>IFERROR(AA1487/'FA Addition'!$J1487*'FA Addition'!$L1487,0)</f>
        <v>0</v>
      </c>
      <c r="AE1487" s="117">
        <f>IF(AND('FA Addition'!$D1487&lt;$P$1+1,U1487=0),'FA Addition'!$L1487,0)-Y1487</f>
        <v>0</v>
      </c>
      <c r="AF1487" s="117">
        <f t="shared" si="115"/>
        <v>0</v>
      </c>
      <c r="AG1487" s="117">
        <f>MIN(MAX(+$P$1-'FA Addition'!$D1487,0),365*'FA Addition'!$O1487)</f>
        <v>0</v>
      </c>
      <c r="AH1487" s="117">
        <f>MIN(MAX($L$1-'FA Addition'!$D1487+1,0),365*'FA Addition'!$O1487)</f>
        <v>0</v>
      </c>
      <c r="AI1487" s="117" cm="1">
        <f t="array" ref="AI1487">_xlfn.XLOOKUP(1,('FA Write off'!A:A='FA Addition'!$A1487)*('FA Write off'!D:D=AA1487),'FA Write off'!H:H,0,0)</f>
        <v>0</v>
      </c>
      <c r="AJ1487" s="117">
        <f>IF(AC1487&gt;0,MAX(IF('FA Addition'!$N1487="SLM",($AC1487-'FA Addition'!$M1487)*'FA Addition'!$P1487*AI1487/365,(AC1487-'FA Addition'!$M1487)*(1-(1-'FA Addition'!$P1487)^(AI1487/365))),0),0)</f>
        <v>0</v>
      </c>
      <c r="AL1487" s="117">
        <f>MAX(IF(AG1487&gt;0,IF('FA Addition'!$N1487="SLM",($AE1487-'FA Addition'!$M1487)*'FA Addition'!$P1487*AG1487/365,IFERROR(VDB(AE1487,AE1487*0.05,'FA Addition'!$O1487,0,YEARFRAC('FA Addition'!$C1487,$P$1-1,3),'FA Addition'!$Q1487),FAAddition[[#This Row],[Original Cost (Rs)]]-FAAddition[[#This Row],[Salvage Value]])),0),0)</f>
        <v>0</v>
      </c>
      <c r="AM1487" s="119"/>
      <c r="AN1487" s="117">
        <f>MAX(IF(AH1487&gt;0,IF('FA Addition'!$N1487="SLM",($AF1487-'FA Addition'!$M1487)*'FA Addition'!$P1487*AH1487/365,IFERROR(VDB(AF1487,AF1487*0.05,'FA Addition'!$O1487,0,YEARFRAC('FA Addition'!$C1487,$L$1,3),'FA Addition'!$Q1487),FAAddition[[#This Row],[Original Cost (Rs)]]-FAAddition[[#This Row],[Salvage Value]])),0),0)</f>
        <v>0</v>
      </c>
      <c r="AO1487" s="117">
        <f t="shared" si="118"/>
        <v>0</v>
      </c>
      <c r="AQ1487" s="117">
        <f t="shared" si="116"/>
        <v>0</v>
      </c>
      <c r="AR1487" s="120">
        <f t="shared" si="117"/>
        <v>0</v>
      </c>
      <c r="AS1487" s="121"/>
    </row>
    <row r="1488" spans="1:45" ht="13.5" x14ac:dyDescent="0.4">
      <c r="A1488" s="12">
        <f t="shared" si="119"/>
        <v>1485</v>
      </c>
      <c r="B1488" s="64" t="s">
        <v>10</v>
      </c>
      <c r="C1488" s="54">
        <v>45831</v>
      </c>
      <c r="D1488" s="54">
        <v>45862</v>
      </c>
      <c r="E1488" s="46" t="s">
        <v>451</v>
      </c>
      <c r="F1488" s="51" t="s">
        <v>19</v>
      </c>
      <c r="G1488" s="51" t="s">
        <v>139</v>
      </c>
      <c r="H1488" s="51" t="s">
        <v>21</v>
      </c>
      <c r="I1488" s="55" t="s">
        <v>155</v>
      </c>
      <c r="J1488" s="56">
        <v>1</v>
      </c>
      <c r="K1488" s="51" t="s">
        <v>318</v>
      </c>
      <c r="L1488" s="58">
        <v>57300</v>
      </c>
      <c r="M1488" s="50">
        <f>ROUND('FA Addition'!$L1488*5%,0.1)</f>
        <v>2865</v>
      </c>
      <c r="N1488" s="113" t="str">
        <f>_xlfn.XLOOKUP(_xlfn.CONCAT(E1488,B1488),'Year Wise Master Dep Approach'!F:F,'Year Wise Master Dep Approach'!D:D)</f>
        <v>WDV</v>
      </c>
      <c r="O1488" s="113">
        <f>_xlfn.XLOOKUP(_xlfn.CONCAT(E1488,B1488),'Year Wise Master Dep Approach'!F:F,'Year Wise Master Dep Approach'!E:E)</f>
        <v>3</v>
      </c>
      <c r="P1488" s="114">
        <f>IFERROR(IF('FA Addition'!$N1488="WDV",1-('FA Addition'!$M1488/'FA Addition'!$L1488)^(1/'FA Addition'!$O1488),1/'FA Addition'!$O1488),0)</f>
        <v>0.63159685013596123</v>
      </c>
      <c r="Q1488" s="122">
        <f>'FA Addition'!$P1488*'FA Addition'!$O1488</f>
        <v>1.8947905504078837</v>
      </c>
      <c r="R1488" s="122"/>
      <c r="S1488" s="116">
        <f>IF(AND(DATE(20&amp;LEFT(FAAddition[[#This Row],[FY]],2),4,1)&lt;$L$1+1,DATE(20&amp;LEFT(FAAddition[[#This Row],[FY]],2),4,1)&gt;$P$1-1),'FA Addition'!$J1488,0)</f>
        <v>0</v>
      </c>
      <c r="U1488" s="117">
        <f>S1488*'FA Addition'!$L1488/'FA Addition'!$J1488</f>
        <v>0</v>
      </c>
      <c r="W1488" s="116">
        <f>SUMIFS('FA Write off'!D:D,'FA Write off'!A:A,'FA Addition'!$A1488,'FA Write off'!C:C,"&lt;"&amp;'FA Addition'!$P$1)</f>
        <v>0</v>
      </c>
      <c r="Y1488" s="191">
        <f>IFERROR(W1488/'FA Addition'!$J1488*'FA Addition'!$L1488,0)</f>
        <v>0</v>
      </c>
      <c r="AA1488" s="116">
        <f>SUMIFS('FA Write off'!D:D,'FA Write off'!A:A,'FA Addition'!$A1488,'FA Write off'!C:C,"&lt;"&amp;'FA Addition'!$L$1+1,'FA Write off'!C:C,"&gt;"&amp;'FA Addition'!$L$1-365)</f>
        <v>0</v>
      </c>
      <c r="AC1488" s="118">
        <f>IFERROR(AA1488/'FA Addition'!$J1488*'FA Addition'!$L1488,0)</f>
        <v>0</v>
      </c>
      <c r="AE1488" s="117">
        <f>IF(AND('FA Addition'!$D1488&lt;$P$1+1,U1488=0),'FA Addition'!$L1488,0)-Y1488</f>
        <v>0</v>
      </c>
      <c r="AF1488" s="117">
        <f t="shared" si="115"/>
        <v>0</v>
      </c>
      <c r="AG1488" s="117">
        <f>MIN(MAX(+$P$1-'FA Addition'!$D1488,0),365*'FA Addition'!$O1488)</f>
        <v>0</v>
      </c>
      <c r="AH1488" s="117">
        <f>MIN(MAX($L$1-'FA Addition'!$D1488+1,0),365*'FA Addition'!$O1488)</f>
        <v>0</v>
      </c>
      <c r="AI1488" s="117" cm="1">
        <f t="array" ref="AI1488">_xlfn.XLOOKUP(1,('FA Write off'!A:A='FA Addition'!$A1488)*('FA Write off'!D:D=AA1488),'FA Write off'!H:H,0,0)</f>
        <v>0</v>
      </c>
      <c r="AJ1488" s="117">
        <f>IF(AC1488&gt;0,MAX(IF('FA Addition'!$N1488="SLM",($AC1488-'FA Addition'!$M1488)*'FA Addition'!$P1488*AI1488/365,(AC1488-'FA Addition'!$M1488)*(1-(1-'FA Addition'!$P1488)^(AI1488/365))),0),0)</f>
        <v>0</v>
      </c>
      <c r="AL1488" s="117">
        <f>MAX(IF(AG1488&gt;0,IF('FA Addition'!$N1488="SLM",($AE1488-'FA Addition'!$M1488)*'FA Addition'!$P1488*AG1488/365,IFERROR(VDB(AE1488,AE1488*0.05,'FA Addition'!$O1488,0,YEARFRAC('FA Addition'!$C1488,$P$1-1,3),'FA Addition'!$Q1488),FAAddition[[#This Row],[Original Cost (Rs)]]-FAAddition[[#This Row],[Salvage Value]])),0),0)</f>
        <v>0</v>
      </c>
      <c r="AM1488" s="119"/>
      <c r="AN1488" s="117">
        <f>MAX(IF(AH1488&gt;0,IF('FA Addition'!$N1488="SLM",($AF1488-'FA Addition'!$M1488)*'FA Addition'!$P1488*AH1488/365,IFERROR(VDB(AF1488,AF1488*0.05,'FA Addition'!$O1488,0,YEARFRAC('FA Addition'!$C1488,$L$1,3),'FA Addition'!$Q1488),FAAddition[[#This Row],[Original Cost (Rs)]]-FAAddition[[#This Row],[Salvage Value]])),0),0)</f>
        <v>0</v>
      </c>
      <c r="AO1488" s="117">
        <f t="shared" si="118"/>
        <v>0</v>
      </c>
      <c r="AQ1488" s="117">
        <f t="shared" si="116"/>
        <v>0</v>
      </c>
      <c r="AR1488" s="120">
        <f t="shared" si="117"/>
        <v>0</v>
      </c>
      <c r="AS1488" s="121"/>
    </row>
    <row r="1489" spans="1:45" ht="13.5" x14ac:dyDescent="0.4">
      <c r="A1489" s="12">
        <f t="shared" si="119"/>
        <v>1486</v>
      </c>
      <c r="B1489" s="64" t="s">
        <v>10</v>
      </c>
      <c r="C1489" s="54">
        <v>45862</v>
      </c>
      <c r="D1489" s="54">
        <v>45866</v>
      </c>
      <c r="E1489" s="46" t="s">
        <v>451</v>
      </c>
      <c r="F1489" s="51" t="s">
        <v>19</v>
      </c>
      <c r="G1489" s="51" t="s">
        <v>156</v>
      </c>
      <c r="H1489" s="51" t="s">
        <v>21</v>
      </c>
      <c r="I1489" s="55" t="s">
        <v>157</v>
      </c>
      <c r="J1489" s="56">
        <v>1</v>
      </c>
      <c r="K1489" s="51" t="s">
        <v>327</v>
      </c>
      <c r="L1489" s="58">
        <v>105830</v>
      </c>
      <c r="M1489" s="50">
        <f>ROUND('FA Addition'!$L1489*5%,0.1)</f>
        <v>5292</v>
      </c>
      <c r="N1489" s="113" t="str">
        <f>_xlfn.XLOOKUP(_xlfn.CONCAT(E1489,B1489),'Year Wise Master Dep Approach'!F:F,'Year Wise Master Dep Approach'!D:D)</f>
        <v>WDV</v>
      </c>
      <c r="O1489" s="113">
        <f>_xlfn.XLOOKUP(_xlfn.CONCAT(E1489,B1489),'Year Wise Master Dep Approach'!F:F,'Year Wise Master Dep Approach'!E:E)</f>
        <v>3</v>
      </c>
      <c r="P1489" s="114">
        <f>IFERROR(IF('FA Addition'!$N1489="WDV",1-('FA Addition'!$M1489/'FA Addition'!$L1489)^(1/'FA Addition'!$O1489),1/'FA Addition'!$O1489),0)</f>
        <v>0.63158524688713902</v>
      </c>
      <c r="Q1489" s="122">
        <f>'FA Addition'!$P1489*'FA Addition'!$O1489</f>
        <v>1.8947557406614171</v>
      </c>
      <c r="R1489" s="122"/>
      <c r="S1489" s="116">
        <f>IF(AND(DATE(20&amp;LEFT(FAAddition[[#This Row],[FY]],2),4,1)&lt;$L$1+1,DATE(20&amp;LEFT(FAAddition[[#This Row],[FY]],2),4,1)&gt;$P$1-1),'FA Addition'!$J1489,0)</f>
        <v>0</v>
      </c>
      <c r="U1489" s="117">
        <f>S1489*'FA Addition'!$L1489/'FA Addition'!$J1489</f>
        <v>0</v>
      </c>
      <c r="W1489" s="116">
        <f>SUMIFS('FA Write off'!D:D,'FA Write off'!A:A,'FA Addition'!$A1489,'FA Write off'!C:C,"&lt;"&amp;'FA Addition'!$P$1)</f>
        <v>0</v>
      </c>
      <c r="Y1489" s="191">
        <f>IFERROR(W1489/'FA Addition'!$J1489*'FA Addition'!$L1489,0)</f>
        <v>0</v>
      </c>
      <c r="AA1489" s="116">
        <f>SUMIFS('FA Write off'!D:D,'FA Write off'!A:A,'FA Addition'!$A1489,'FA Write off'!C:C,"&lt;"&amp;'FA Addition'!$L$1+1,'FA Write off'!C:C,"&gt;"&amp;'FA Addition'!$L$1-365)</f>
        <v>0</v>
      </c>
      <c r="AC1489" s="118">
        <f>IFERROR(AA1489/'FA Addition'!$J1489*'FA Addition'!$L1489,0)</f>
        <v>0</v>
      </c>
      <c r="AE1489" s="117">
        <f>IF(AND('FA Addition'!$D1489&lt;$P$1+1,U1489=0),'FA Addition'!$L1489,0)-Y1489</f>
        <v>0</v>
      </c>
      <c r="AF1489" s="117">
        <f t="shared" si="115"/>
        <v>0</v>
      </c>
      <c r="AG1489" s="117">
        <f>MIN(MAX(+$P$1-'FA Addition'!$D1489,0),365*'FA Addition'!$O1489)</f>
        <v>0</v>
      </c>
      <c r="AH1489" s="117">
        <f>MIN(MAX($L$1-'FA Addition'!$D1489+1,0),365*'FA Addition'!$O1489)</f>
        <v>0</v>
      </c>
      <c r="AI1489" s="117" cm="1">
        <f t="array" ref="AI1489">_xlfn.XLOOKUP(1,('FA Write off'!A:A='FA Addition'!$A1489)*('FA Write off'!D:D=AA1489),'FA Write off'!H:H,0,0)</f>
        <v>0</v>
      </c>
      <c r="AJ1489" s="117">
        <f>IF(AC1489&gt;0,MAX(IF('FA Addition'!$N1489="SLM",($AC1489-'FA Addition'!$M1489)*'FA Addition'!$P1489*AI1489/365,(AC1489-'FA Addition'!$M1489)*(1-(1-'FA Addition'!$P1489)^(AI1489/365))),0),0)</f>
        <v>0</v>
      </c>
      <c r="AL1489" s="117">
        <f>MAX(IF(AG1489&gt;0,IF('FA Addition'!$N1489="SLM",($AE1489-'FA Addition'!$M1489)*'FA Addition'!$P1489*AG1489/365,IFERROR(VDB(AE1489,AE1489*0.05,'FA Addition'!$O1489,0,YEARFRAC('FA Addition'!$C1489,$P$1-1,3),'FA Addition'!$Q1489),FAAddition[[#This Row],[Original Cost (Rs)]]-FAAddition[[#This Row],[Salvage Value]])),0),0)</f>
        <v>0</v>
      </c>
      <c r="AM1489" s="119"/>
      <c r="AN1489" s="117">
        <f>MAX(IF(AH1489&gt;0,IF('FA Addition'!$N1489="SLM",($AF1489-'FA Addition'!$M1489)*'FA Addition'!$P1489*AH1489/365,IFERROR(VDB(AF1489,AF1489*0.05,'FA Addition'!$O1489,0,YEARFRAC('FA Addition'!$C1489,$L$1,3),'FA Addition'!$Q1489),FAAddition[[#This Row],[Original Cost (Rs)]]-FAAddition[[#This Row],[Salvage Value]])),0),0)</f>
        <v>0</v>
      </c>
      <c r="AO1489" s="117">
        <f t="shared" si="118"/>
        <v>0</v>
      </c>
      <c r="AQ1489" s="117">
        <f t="shared" si="116"/>
        <v>0</v>
      </c>
      <c r="AR1489" s="120">
        <f t="shared" si="117"/>
        <v>0</v>
      </c>
      <c r="AS1489" s="121"/>
    </row>
    <row r="1490" spans="1:45" ht="13.5" x14ac:dyDescent="0.4">
      <c r="A1490" s="12">
        <f t="shared" si="119"/>
        <v>1487</v>
      </c>
      <c r="B1490" s="64" t="s">
        <v>10</v>
      </c>
      <c r="C1490" s="54">
        <v>45854</v>
      </c>
      <c r="D1490" s="54">
        <v>45867</v>
      </c>
      <c r="E1490" s="46" t="s">
        <v>451</v>
      </c>
      <c r="F1490" s="51" t="s">
        <v>19</v>
      </c>
      <c r="G1490" s="51" t="s">
        <v>20</v>
      </c>
      <c r="H1490" s="51" t="s">
        <v>21</v>
      </c>
      <c r="I1490" s="55" t="s">
        <v>158</v>
      </c>
      <c r="J1490" s="56">
        <v>1</v>
      </c>
      <c r="K1490" s="51" t="s">
        <v>325</v>
      </c>
      <c r="L1490" s="58">
        <v>133050.85</v>
      </c>
      <c r="M1490" s="50">
        <f>ROUND('FA Addition'!$L1490*5%,0.1)</f>
        <v>6653</v>
      </c>
      <c r="N1490" s="113" t="str">
        <f>_xlfn.XLOOKUP(_xlfn.CONCAT(E1490,B1490),'Year Wise Master Dep Approach'!F:F,'Year Wise Master Dep Approach'!D:D)</f>
        <v>WDV</v>
      </c>
      <c r="O1490" s="113">
        <f>_xlfn.XLOOKUP(_xlfn.CONCAT(E1490,B1490),'Year Wise Master Dep Approach'!F:F,'Year Wise Master Dep Approach'!E:E)</f>
        <v>3</v>
      </c>
      <c r="P1490" s="114">
        <f>IFERROR(IF('FA Addition'!$N1490="WDV",1-('FA Addition'!$M1490/'FA Addition'!$L1490)^(1/'FA Addition'!$O1490),1/'FA Addition'!$O1490),0)</f>
        <v>0.63158840521546311</v>
      </c>
      <c r="Q1490" s="122">
        <f>'FA Addition'!$P1490*'FA Addition'!$O1490</f>
        <v>1.8947652156463892</v>
      </c>
      <c r="R1490" s="122"/>
      <c r="S1490" s="116">
        <f>IF(AND(DATE(20&amp;LEFT(FAAddition[[#This Row],[FY]],2),4,1)&lt;$L$1+1,DATE(20&amp;LEFT(FAAddition[[#This Row],[FY]],2),4,1)&gt;$P$1-1),'FA Addition'!$J1490,0)</f>
        <v>0</v>
      </c>
      <c r="U1490" s="117">
        <f>S1490*'FA Addition'!$L1490/'FA Addition'!$J1490</f>
        <v>0</v>
      </c>
      <c r="W1490" s="116">
        <f>SUMIFS('FA Write off'!D:D,'FA Write off'!A:A,'FA Addition'!$A1490,'FA Write off'!C:C,"&lt;"&amp;'FA Addition'!$P$1)</f>
        <v>0</v>
      </c>
      <c r="Y1490" s="191">
        <f>IFERROR(W1490/'FA Addition'!$J1490*'FA Addition'!$L1490,0)</f>
        <v>0</v>
      </c>
      <c r="AA1490" s="116">
        <f>SUMIFS('FA Write off'!D:D,'FA Write off'!A:A,'FA Addition'!$A1490,'FA Write off'!C:C,"&lt;"&amp;'FA Addition'!$L$1+1,'FA Write off'!C:C,"&gt;"&amp;'FA Addition'!$L$1-365)</f>
        <v>0</v>
      </c>
      <c r="AC1490" s="118">
        <f>IFERROR(AA1490/'FA Addition'!$J1490*'FA Addition'!$L1490,0)</f>
        <v>0</v>
      </c>
      <c r="AE1490" s="117">
        <f>IF(AND('FA Addition'!$D1490&lt;$P$1+1,U1490=0),'FA Addition'!$L1490,0)-Y1490</f>
        <v>0</v>
      </c>
      <c r="AF1490" s="117">
        <f t="shared" si="115"/>
        <v>0</v>
      </c>
      <c r="AG1490" s="117">
        <f>MIN(MAX(+$P$1-'FA Addition'!$D1490,0),365*'FA Addition'!$O1490)</f>
        <v>0</v>
      </c>
      <c r="AH1490" s="117">
        <f>MIN(MAX($L$1-'FA Addition'!$D1490+1,0),365*'FA Addition'!$O1490)</f>
        <v>0</v>
      </c>
      <c r="AI1490" s="117" cm="1">
        <f t="array" ref="AI1490">_xlfn.XLOOKUP(1,('FA Write off'!A:A='FA Addition'!$A1490)*('FA Write off'!D:D=AA1490),'FA Write off'!H:H,0,0)</f>
        <v>0</v>
      </c>
      <c r="AJ1490" s="117">
        <f>IF(AC1490&gt;0,MAX(IF('FA Addition'!$N1490="SLM",($AC1490-'FA Addition'!$M1490)*'FA Addition'!$P1490*AI1490/365,(AC1490-'FA Addition'!$M1490)*(1-(1-'FA Addition'!$P1490)^(AI1490/365))),0),0)</f>
        <v>0</v>
      </c>
      <c r="AL1490" s="117">
        <f>MAX(IF(AG1490&gt;0,IF('FA Addition'!$N1490="SLM",($AE1490-'FA Addition'!$M1490)*'FA Addition'!$P1490*AG1490/365,IFERROR(VDB(AE1490,AE1490*0.05,'FA Addition'!$O1490,0,YEARFRAC('FA Addition'!$C1490,$P$1-1,3),'FA Addition'!$Q1490),FAAddition[[#This Row],[Original Cost (Rs)]]-FAAddition[[#This Row],[Salvage Value]])),0),0)</f>
        <v>0</v>
      </c>
      <c r="AM1490" s="119"/>
      <c r="AN1490" s="117">
        <f>MAX(IF(AH1490&gt;0,IF('FA Addition'!$N1490="SLM",($AF1490-'FA Addition'!$M1490)*'FA Addition'!$P1490*AH1490/365,IFERROR(VDB(AF1490,AF1490*0.05,'FA Addition'!$O1490,0,YEARFRAC('FA Addition'!$C1490,$L$1,3),'FA Addition'!$Q1490),FAAddition[[#This Row],[Original Cost (Rs)]]-FAAddition[[#This Row],[Salvage Value]])),0),0)</f>
        <v>0</v>
      </c>
      <c r="AO1490" s="117">
        <f t="shared" si="118"/>
        <v>0</v>
      </c>
      <c r="AQ1490" s="117">
        <f t="shared" si="116"/>
        <v>0</v>
      </c>
      <c r="AR1490" s="120">
        <f t="shared" si="117"/>
        <v>0</v>
      </c>
      <c r="AS1490" s="121"/>
    </row>
    <row r="1491" spans="1:45" ht="13.5" x14ac:dyDescent="0.4">
      <c r="A1491" s="12">
        <f t="shared" si="119"/>
        <v>1488</v>
      </c>
      <c r="B1491" s="64" t="s">
        <v>10</v>
      </c>
      <c r="C1491" s="54">
        <v>45854</v>
      </c>
      <c r="D1491" s="54">
        <v>45867</v>
      </c>
      <c r="E1491" s="46" t="s">
        <v>451</v>
      </c>
      <c r="F1491" s="51" t="s">
        <v>19</v>
      </c>
      <c r="G1491" s="51" t="s">
        <v>20</v>
      </c>
      <c r="H1491" s="51" t="s">
        <v>21</v>
      </c>
      <c r="I1491" s="55" t="s">
        <v>158</v>
      </c>
      <c r="J1491" s="56">
        <v>1</v>
      </c>
      <c r="K1491" s="51" t="s">
        <v>325</v>
      </c>
      <c r="L1491" s="58">
        <v>133050.85</v>
      </c>
      <c r="M1491" s="50">
        <f>ROUND('FA Addition'!$L1491*5%,0.1)</f>
        <v>6653</v>
      </c>
      <c r="N1491" s="113" t="str">
        <f>_xlfn.XLOOKUP(_xlfn.CONCAT(E1491,B1491),'Year Wise Master Dep Approach'!F:F,'Year Wise Master Dep Approach'!D:D)</f>
        <v>WDV</v>
      </c>
      <c r="O1491" s="113">
        <f>_xlfn.XLOOKUP(_xlfn.CONCAT(E1491,B1491),'Year Wise Master Dep Approach'!F:F,'Year Wise Master Dep Approach'!E:E)</f>
        <v>3</v>
      </c>
      <c r="P1491" s="114">
        <f>IFERROR(IF('FA Addition'!$N1491="WDV",1-('FA Addition'!$M1491/'FA Addition'!$L1491)^(1/'FA Addition'!$O1491),1/'FA Addition'!$O1491),0)</f>
        <v>0.63158840521546311</v>
      </c>
      <c r="Q1491" s="122">
        <f>'FA Addition'!$P1491*'FA Addition'!$O1491</f>
        <v>1.8947652156463892</v>
      </c>
      <c r="R1491" s="122"/>
      <c r="S1491" s="116">
        <f>IF(AND(DATE(20&amp;LEFT(FAAddition[[#This Row],[FY]],2),4,1)&lt;$L$1+1,DATE(20&amp;LEFT(FAAddition[[#This Row],[FY]],2),4,1)&gt;$P$1-1),'FA Addition'!$J1491,0)</f>
        <v>0</v>
      </c>
      <c r="U1491" s="117">
        <f>S1491*'FA Addition'!$L1491/'FA Addition'!$J1491</f>
        <v>0</v>
      </c>
      <c r="W1491" s="116">
        <f>SUMIFS('FA Write off'!D:D,'FA Write off'!A:A,'FA Addition'!$A1491,'FA Write off'!C:C,"&lt;"&amp;'FA Addition'!$P$1)</f>
        <v>0</v>
      </c>
      <c r="Y1491" s="191">
        <f>IFERROR(W1491/'FA Addition'!$J1491*'FA Addition'!$L1491,0)</f>
        <v>0</v>
      </c>
      <c r="AA1491" s="116">
        <f>SUMIFS('FA Write off'!D:D,'FA Write off'!A:A,'FA Addition'!$A1491,'FA Write off'!C:C,"&lt;"&amp;'FA Addition'!$L$1+1,'FA Write off'!C:C,"&gt;"&amp;'FA Addition'!$L$1-365)</f>
        <v>0</v>
      </c>
      <c r="AC1491" s="118">
        <f>IFERROR(AA1491/'FA Addition'!$J1491*'FA Addition'!$L1491,0)</f>
        <v>0</v>
      </c>
      <c r="AE1491" s="117">
        <f>IF(AND('FA Addition'!$D1491&lt;$P$1+1,U1491=0),'FA Addition'!$L1491,0)-Y1491</f>
        <v>0</v>
      </c>
      <c r="AF1491" s="117">
        <f t="shared" si="115"/>
        <v>0</v>
      </c>
      <c r="AG1491" s="117">
        <f>MIN(MAX(+$P$1-'FA Addition'!$D1491,0),365*'FA Addition'!$O1491)</f>
        <v>0</v>
      </c>
      <c r="AH1491" s="117">
        <f>MIN(MAX($L$1-'FA Addition'!$D1491+1,0),365*'FA Addition'!$O1491)</f>
        <v>0</v>
      </c>
      <c r="AI1491" s="117" cm="1">
        <f t="array" ref="AI1491">_xlfn.XLOOKUP(1,('FA Write off'!A:A='FA Addition'!$A1491)*('FA Write off'!D:D=AA1491),'FA Write off'!H:H,0,0)</f>
        <v>0</v>
      </c>
      <c r="AJ1491" s="117">
        <f>IF(AC1491&gt;0,MAX(IF('FA Addition'!$N1491="SLM",($AC1491-'FA Addition'!$M1491)*'FA Addition'!$P1491*AI1491/365,(AC1491-'FA Addition'!$M1491)*(1-(1-'FA Addition'!$P1491)^(AI1491/365))),0),0)</f>
        <v>0</v>
      </c>
      <c r="AL1491" s="117">
        <f>MAX(IF(AG1491&gt;0,IF('FA Addition'!$N1491="SLM",($AE1491-'FA Addition'!$M1491)*'FA Addition'!$P1491*AG1491/365,IFERROR(VDB(AE1491,AE1491*0.05,'FA Addition'!$O1491,0,YEARFRAC('FA Addition'!$C1491,$P$1-1,3),'FA Addition'!$Q1491),FAAddition[[#This Row],[Original Cost (Rs)]]-FAAddition[[#This Row],[Salvage Value]])),0),0)</f>
        <v>0</v>
      </c>
      <c r="AM1491" s="119"/>
      <c r="AN1491" s="117">
        <f>MAX(IF(AH1491&gt;0,IF('FA Addition'!$N1491="SLM",($AF1491-'FA Addition'!$M1491)*'FA Addition'!$P1491*AH1491/365,IFERROR(VDB(AF1491,AF1491*0.05,'FA Addition'!$O1491,0,YEARFRAC('FA Addition'!$C1491,$L$1,3),'FA Addition'!$Q1491),FAAddition[[#This Row],[Original Cost (Rs)]]-FAAddition[[#This Row],[Salvage Value]])),0),0)</f>
        <v>0</v>
      </c>
      <c r="AO1491" s="117">
        <f t="shared" si="118"/>
        <v>0</v>
      </c>
      <c r="AQ1491" s="117">
        <f t="shared" si="116"/>
        <v>0</v>
      </c>
      <c r="AR1491" s="120">
        <f t="shared" si="117"/>
        <v>0</v>
      </c>
      <c r="AS1491" s="121"/>
    </row>
    <row r="1492" spans="1:45" ht="13.5" x14ac:dyDescent="0.4">
      <c r="A1492" s="12">
        <f t="shared" si="119"/>
        <v>1489</v>
      </c>
      <c r="B1492" s="64" t="s">
        <v>10</v>
      </c>
      <c r="C1492" s="54">
        <v>45854</v>
      </c>
      <c r="D1492" s="54">
        <v>45867</v>
      </c>
      <c r="E1492" s="46" t="s">
        <v>451</v>
      </c>
      <c r="F1492" s="51" t="s">
        <v>19</v>
      </c>
      <c r="G1492" s="51" t="s">
        <v>20</v>
      </c>
      <c r="H1492" s="51" t="s">
        <v>21</v>
      </c>
      <c r="I1492" s="55" t="s">
        <v>158</v>
      </c>
      <c r="J1492" s="56">
        <v>1</v>
      </c>
      <c r="K1492" s="51" t="s">
        <v>325</v>
      </c>
      <c r="L1492" s="58">
        <v>133050.85</v>
      </c>
      <c r="M1492" s="50">
        <f>ROUND('FA Addition'!$L1492*5%,0.1)</f>
        <v>6653</v>
      </c>
      <c r="N1492" s="113" t="str">
        <f>_xlfn.XLOOKUP(_xlfn.CONCAT(E1492,B1492),'Year Wise Master Dep Approach'!F:F,'Year Wise Master Dep Approach'!D:D)</f>
        <v>WDV</v>
      </c>
      <c r="O1492" s="113">
        <f>_xlfn.XLOOKUP(_xlfn.CONCAT(E1492,B1492),'Year Wise Master Dep Approach'!F:F,'Year Wise Master Dep Approach'!E:E)</f>
        <v>3</v>
      </c>
      <c r="P1492" s="114">
        <f>IFERROR(IF('FA Addition'!$N1492="WDV",1-('FA Addition'!$M1492/'FA Addition'!$L1492)^(1/'FA Addition'!$O1492),1/'FA Addition'!$O1492),0)</f>
        <v>0.63158840521546311</v>
      </c>
      <c r="Q1492" s="122">
        <f>'FA Addition'!$P1492*'FA Addition'!$O1492</f>
        <v>1.8947652156463892</v>
      </c>
      <c r="R1492" s="122"/>
      <c r="S1492" s="116">
        <f>IF(AND(DATE(20&amp;LEFT(FAAddition[[#This Row],[FY]],2),4,1)&lt;$L$1+1,DATE(20&amp;LEFT(FAAddition[[#This Row],[FY]],2),4,1)&gt;$P$1-1),'FA Addition'!$J1492,0)</f>
        <v>0</v>
      </c>
      <c r="U1492" s="117">
        <f>S1492*'FA Addition'!$L1492/'FA Addition'!$J1492</f>
        <v>0</v>
      </c>
      <c r="W1492" s="116">
        <f>SUMIFS('FA Write off'!D:D,'FA Write off'!A:A,'FA Addition'!$A1492,'FA Write off'!C:C,"&lt;"&amp;'FA Addition'!$P$1)</f>
        <v>0</v>
      </c>
      <c r="Y1492" s="191">
        <f>IFERROR(W1492/'FA Addition'!$J1492*'FA Addition'!$L1492,0)</f>
        <v>0</v>
      </c>
      <c r="AA1492" s="116">
        <f>SUMIFS('FA Write off'!D:D,'FA Write off'!A:A,'FA Addition'!$A1492,'FA Write off'!C:C,"&lt;"&amp;'FA Addition'!$L$1+1,'FA Write off'!C:C,"&gt;"&amp;'FA Addition'!$L$1-365)</f>
        <v>0</v>
      </c>
      <c r="AC1492" s="118">
        <f>IFERROR(AA1492/'FA Addition'!$J1492*'FA Addition'!$L1492,0)</f>
        <v>0</v>
      </c>
      <c r="AE1492" s="117">
        <f>IF(AND('FA Addition'!$D1492&lt;$P$1+1,U1492=0),'FA Addition'!$L1492,0)-Y1492</f>
        <v>0</v>
      </c>
      <c r="AF1492" s="117">
        <f t="shared" si="115"/>
        <v>0</v>
      </c>
      <c r="AG1492" s="117">
        <f>MIN(MAX(+$P$1-'FA Addition'!$D1492,0),365*'FA Addition'!$O1492)</f>
        <v>0</v>
      </c>
      <c r="AH1492" s="117">
        <f>MIN(MAX($L$1-'FA Addition'!$D1492+1,0),365*'FA Addition'!$O1492)</f>
        <v>0</v>
      </c>
      <c r="AI1492" s="117" cm="1">
        <f t="array" ref="AI1492">_xlfn.XLOOKUP(1,('FA Write off'!A:A='FA Addition'!$A1492)*('FA Write off'!D:D=AA1492),'FA Write off'!H:H,0,0)</f>
        <v>0</v>
      </c>
      <c r="AJ1492" s="117">
        <f>IF(AC1492&gt;0,MAX(IF('FA Addition'!$N1492="SLM",($AC1492-'FA Addition'!$M1492)*'FA Addition'!$P1492*AI1492/365,(AC1492-'FA Addition'!$M1492)*(1-(1-'FA Addition'!$P1492)^(AI1492/365))),0),0)</f>
        <v>0</v>
      </c>
      <c r="AL1492" s="117">
        <f>MAX(IF(AG1492&gt;0,IF('FA Addition'!$N1492="SLM",($AE1492-'FA Addition'!$M1492)*'FA Addition'!$P1492*AG1492/365,IFERROR(VDB(AE1492,AE1492*0.05,'FA Addition'!$O1492,0,YEARFRAC('FA Addition'!$C1492,$P$1-1,3),'FA Addition'!$Q1492),FAAddition[[#This Row],[Original Cost (Rs)]]-FAAddition[[#This Row],[Salvage Value]])),0),0)</f>
        <v>0</v>
      </c>
      <c r="AM1492" s="119"/>
      <c r="AN1492" s="117">
        <f>MAX(IF(AH1492&gt;0,IF('FA Addition'!$N1492="SLM",($AF1492-'FA Addition'!$M1492)*'FA Addition'!$P1492*AH1492/365,IFERROR(VDB(AF1492,AF1492*0.05,'FA Addition'!$O1492,0,YEARFRAC('FA Addition'!$C1492,$L$1,3),'FA Addition'!$Q1492),FAAddition[[#This Row],[Original Cost (Rs)]]-FAAddition[[#This Row],[Salvage Value]])),0),0)</f>
        <v>0</v>
      </c>
      <c r="AO1492" s="117">
        <f t="shared" si="118"/>
        <v>0</v>
      </c>
      <c r="AQ1492" s="117">
        <f t="shared" si="116"/>
        <v>0</v>
      </c>
      <c r="AR1492" s="120">
        <f t="shared" si="117"/>
        <v>0</v>
      </c>
      <c r="AS1492" s="121"/>
    </row>
    <row r="1493" spans="1:45" ht="13.5" x14ac:dyDescent="0.4">
      <c r="A1493" s="12">
        <f t="shared" si="119"/>
        <v>1490</v>
      </c>
      <c r="B1493" s="64" t="s">
        <v>10</v>
      </c>
      <c r="C1493" s="54">
        <v>45854</v>
      </c>
      <c r="D1493" s="54">
        <v>45867</v>
      </c>
      <c r="E1493" s="46" t="s">
        <v>451</v>
      </c>
      <c r="F1493" s="51" t="s">
        <v>19</v>
      </c>
      <c r="G1493" s="51" t="s">
        <v>20</v>
      </c>
      <c r="H1493" s="51" t="s">
        <v>21</v>
      </c>
      <c r="I1493" s="55" t="s">
        <v>158</v>
      </c>
      <c r="J1493" s="56">
        <v>1</v>
      </c>
      <c r="K1493" s="51" t="s">
        <v>325</v>
      </c>
      <c r="L1493" s="58">
        <v>133050.85</v>
      </c>
      <c r="M1493" s="50">
        <f>ROUND('FA Addition'!$L1493*5%,0.1)</f>
        <v>6653</v>
      </c>
      <c r="N1493" s="113" t="str">
        <f>_xlfn.XLOOKUP(_xlfn.CONCAT(E1493,B1493),'Year Wise Master Dep Approach'!F:F,'Year Wise Master Dep Approach'!D:D)</f>
        <v>WDV</v>
      </c>
      <c r="O1493" s="113">
        <f>_xlfn.XLOOKUP(_xlfn.CONCAT(E1493,B1493),'Year Wise Master Dep Approach'!F:F,'Year Wise Master Dep Approach'!E:E)</f>
        <v>3</v>
      </c>
      <c r="P1493" s="114">
        <f>IFERROR(IF('FA Addition'!$N1493="WDV",1-('FA Addition'!$M1493/'FA Addition'!$L1493)^(1/'FA Addition'!$O1493),1/'FA Addition'!$O1493),0)</f>
        <v>0.63158840521546311</v>
      </c>
      <c r="Q1493" s="122">
        <f>'FA Addition'!$P1493*'FA Addition'!$O1493</f>
        <v>1.8947652156463892</v>
      </c>
      <c r="R1493" s="122"/>
      <c r="S1493" s="116">
        <f>IF(AND(DATE(20&amp;LEFT(FAAddition[[#This Row],[FY]],2),4,1)&lt;$L$1+1,DATE(20&amp;LEFT(FAAddition[[#This Row],[FY]],2),4,1)&gt;$P$1-1),'FA Addition'!$J1493,0)</f>
        <v>0</v>
      </c>
      <c r="U1493" s="117">
        <f>S1493*'FA Addition'!$L1493/'FA Addition'!$J1493</f>
        <v>0</v>
      </c>
      <c r="W1493" s="116">
        <f>SUMIFS('FA Write off'!D:D,'FA Write off'!A:A,'FA Addition'!$A1493,'FA Write off'!C:C,"&lt;"&amp;'FA Addition'!$P$1)</f>
        <v>0</v>
      </c>
      <c r="Y1493" s="191">
        <f>IFERROR(W1493/'FA Addition'!$J1493*'FA Addition'!$L1493,0)</f>
        <v>0</v>
      </c>
      <c r="AA1493" s="116">
        <f>SUMIFS('FA Write off'!D:D,'FA Write off'!A:A,'FA Addition'!$A1493,'FA Write off'!C:C,"&lt;"&amp;'FA Addition'!$L$1+1,'FA Write off'!C:C,"&gt;"&amp;'FA Addition'!$L$1-365)</f>
        <v>0</v>
      </c>
      <c r="AC1493" s="118">
        <f>IFERROR(AA1493/'FA Addition'!$J1493*'FA Addition'!$L1493,0)</f>
        <v>0</v>
      </c>
      <c r="AE1493" s="117">
        <f>IF(AND('FA Addition'!$D1493&lt;$P$1+1,U1493=0),'FA Addition'!$L1493,0)-Y1493</f>
        <v>0</v>
      </c>
      <c r="AF1493" s="117">
        <f t="shared" si="115"/>
        <v>0</v>
      </c>
      <c r="AG1493" s="117">
        <f>MIN(MAX(+$P$1-'FA Addition'!$D1493,0),365*'FA Addition'!$O1493)</f>
        <v>0</v>
      </c>
      <c r="AH1493" s="117">
        <f>MIN(MAX($L$1-'FA Addition'!$D1493+1,0),365*'FA Addition'!$O1493)</f>
        <v>0</v>
      </c>
      <c r="AI1493" s="117" cm="1">
        <f t="array" ref="AI1493">_xlfn.XLOOKUP(1,('FA Write off'!A:A='FA Addition'!$A1493)*('FA Write off'!D:D=AA1493),'FA Write off'!H:H,0,0)</f>
        <v>0</v>
      </c>
      <c r="AJ1493" s="117">
        <f>IF(AC1493&gt;0,MAX(IF('FA Addition'!$N1493="SLM",($AC1493-'FA Addition'!$M1493)*'FA Addition'!$P1493*AI1493/365,(AC1493-'FA Addition'!$M1493)*(1-(1-'FA Addition'!$P1493)^(AI1493/365))),0),0)</f>
        <v>0</v>
      </c>
      <c r="AL1493" s="117">
        <f>MAX(IF(AG1493&gt;0,IF('FA Addition'!$N1493="SLM",($AE1493-'FA Addition'!$M1493)*'FA Addition'!$P1493*AG1493/365,IFERROR(VDB(AE1493,AE1493*0.05,'FA Addition'!$O1493,0,YEARFRAC('FA Addition'!$C1493,$P$1-1,3),'FA Addition'!$Q1493),FAAddition[[#This Row],[Original Cost (Rs)]]-FAAddition[[#This Row],[Salvage Value]])),0),0)</f>
        <v>0</v>
      </c>
      <c r="AM1493" s="119"/>
      <c r="AN1493" s="117">
        <f>MAX(IF(AH1493&gt;0,IF('FA Addition'!$N1493="SLM",($AF1493-'FA Addition'!$M1493)*'FA Addition'!$P1493*AH1493/365,IFERROR(VDB(AF1493,AF1493*0.05,'FA Addition'!$O1493,0,YEARFRAC('FA Addition'!$C1493,$L$1,3),'FA Addition'!$Q1493),FAAddition[[#This Row],[Original Cost (Rs)]]-FAAddition[[#This Row],[Salvage Value]])),0),0)</f>
        <v>0</v>
      </c>
      <c r="AO1493" s="117">
        <f t="shared" si="118"/>
        <v>0</v>
      </c>
      <c r="AQ1493" s="117">
        <f t="shared" si="116"/>
        <v>0</v>
      </c>
      <c r="AR1493" s="120">
        <f t="shared" si="117"/>
        <v>0</v>
      </c>
      <c r="AS1493" s="121"/>
    </row>
    <row r="1494" spans="1:45" ht="13.5" x14ac:dyDescent="0.4">
      <c r="A1494" s="12">
        <f t="shared" si="119"/>
        <v>1491</v>
      </c>
      <c r="B1494" s="64" t="s">
        <v>10</v>
      </c>
      <c r="C1494" s="54">
        <v>45866</v>
      </c>
      <c r="D1494" s="54">
        <v>45867</v>
      </c>
      <c r="E1494" s="46" t="s">
        <v>451</v>
      </c>
      <c r="F1494" s="51" t="s">
        <v>19</v>
      </c>
      <c r="G1494" s="51" t="s">
        <v>156</v>
      </c>
      <c r="H1494" s="51" t="s">
        <v>21</v>
      </c>
      <c r="I1494" s="55" t="s">
        <v>159</v>
      </c>
      <c r="J1494" s="56">
        <v>1</v>
      </c>
      <c r="K1494" s="51" t="s">
        <v>327</v>
      </c>
      <c r="L1494" s="58">
        <v>105830</v>
      </c>
      <c r="M1494" s="50">
        <f>ROUND('FA Addition'!$L1494*5%,0.1)</f>
        <v>5292</v>
      </c>
      <c r="N1494" s="113" t="str">
        <f>_xlfn.XLOOKUP(_xlfn.CONCAT(E1494,B1494),'Year Wise Master Dep Approach'!F:F,'Year Wise Master Dep Approach'!D:D)</f>
        <v>WDV</v>
      </c>
      <c r="O1494" s="113">
        <f>_xlfn.XLOOKUP(_xlfn.CONCAT(E1494,B1494),'Year Wise Master Dep Approach'!F:F,'Year Wise Master Dep Approach'!E:E)</f>
        <v>3</v>
      </c>
      <c r="P1494" s="114">
        <f>IFERROR(IF('FA Addition'!$N1494="WDV",1-('FA Addition'!$M1494/'FA Addition'!$L1494)^(1/'FA Addition'!$O1494),1/'FA Addition'!$O1494),0)</f>
        <v>0.63158524688713902</v>
      </c>
      <c r="Q1494" s="122">
        <f>'FA Addition'!$P1494*'FA Addition'!$O1494</f>
        <v>1.8947557406614171</v>
      </c>
      <c r="R1494" s="122"/>
      <c r="S1494" s="116">
        <f>IF(AND(DATE(20&amp;LEFT(FAAddition[[#This Row],[FY]],2),4,1)&lt;$L$1+1,DATE(20&amp;LEFT(FAAddition[[#This Row],[FY]],2),4,1)&gt;$P$1-1),'FA Addition'!$J1494,0)</f>
        <v>0</v>
      </c>
      <c r="U1494" s="117">
        <f>S1494*'FA Addition'!$L1494/'FA Addition'!$J1494</f>
        <v>0</v>
      </c>
      <c r="W1494" s="116">
        <f>SUMIFS('FA Write off'!D:D,'FA Write off'!A:A,'FA Addition'!$A1494,'FA Write off'!C:C,"&lt;"&amp;'FA Addition'!$P$1)</f>
        <v>0</v>
      </c>
      <c r="Y1494" s="191">
        <f>IFERROR(W1494/'FA Addition'!$J1494*'FA Addition'!$L1494,0)</f>
        <v>0</v>
      </c>
      <c r="AA1494" s="116">
        <f>SUMIFS('FA Write off'!D:D,'FA Write off'!A:A,'FA Addition'!$A1494,'FA Write off'!C:C,"&lt;"&amp;'FA Addition'!$L$1+1,'FA Write off'!C:C,"&gt;"&amp;'FA Addition'!$L$1-365)</f>
        <v>0</v>
      </c>
      <c r="AC1494" s="118">
        <f>IFERROR(AA1494/'FA Addition'!$J1494*'FA Addition'!$L1494,0)</f>
        <v>0</v>
      </c>
      <c r="AE1494" s="117">
        <f>IF(AND('FA Addition'!$D1494&lt;$P$1+1,U1494=0),'FA Addition'!$L1494,0)-Y1494</f>
        <v>0</v>
      </c>
      <c r="AF1494" s="117">
        <f t="shared" si="115"/>
        <v>0</v>
      </c>
      <c r="AG1494" s="117">
        <f>MIN(MAX(+$P$1-'FA Addition'!$D1494,0),365*'FA Addition'!$O1494)</f>
        <v>0</v>
      </c>
      <c r="AH1494" s="117">
        <f>MIN(MAX($L$1-'FA Addition'!$D1494+1,0),365*'FA Addition'!$O1494)</f>
        <v>0</v>
      </c>
      <c r="AI1494" s="117" cm="1">
        <f t="array" ref="AI1494">_xlfn.XLOOKUP(1,('FA Write off'!A:A='FA Addition'!$A1494)*('FA Write off'!D:D=AA1494),'FA Write off'!H:H,0,0)</f>
        <v>0</v>
      </c>
      <c r="AJ1494" s="117">
        <f>IF(AC1494&gt;0,MAX(IF('FA Addition'!$N1494="SLM",($AC1494-'FA Addition'!$M1494)*'FA Addition'!$P1494*AI1494/365,(AC1494-'FA Addition'!$M1494)*(1-(1-'FA Addition'!$P1494)^(AI1494/365))),0),0)</f>
        <v>0</v>
      </c>
      <c r="AL1494" s="117">
        <f>MAX(IF(AG1494&gt;0,IF('FA Addition'!$N1494="SLM",($AE1494-'FA Addition'!$M1494)*'FA Addition'!$P1494*AG1494/365,IFERROR(VDB(AE1494,AE1494*0.05,'FA Addition'!$O1494,0,YEARFRAC('FA Addition'!$C1494,$P$1-1,3),'FA Addition'!$Q1494),FAAddition[[#This Row],[Original Cost (Rs)]]-FAAddition[[#This Row],[Salvage Value]])),0),0)</f>
        <v>0</v>
      </c>
      <c r="AM1494" s="119"/>
      <c r="AN1494" s="117">
        <f>MAX(IF(AH1494&gt;0,IF('FA Addition'!$N1494="SLM",($AF1494-'FA Addition'!$M1494)*'FA Addition'!$P1494*AH1494/365,IFERROR(VDB(AF1494,AF1494*0.05,'FA Addition'!$O1494,0,YEARFRAC('FA Addition'!$C1494,$L$1,3),'FA Addition'!$Q1494),FAAddition[[#This Row],[Original Cost (Rs)]]-FAAddition[[#This Row],[Salvage Value]])),0),0)</f>
        <v>0</v>
      </c>
      <c r="AO1494" s="117">
        <f t="shared" si="118"/>
        <v>0</v>
      </c>
      <c r="AQ1494" s="117">
        <f t="shared" si="116"/>
        <v>0</v>
      </c>
      <c r="AR1494" s="120">
        <f t="shared" si="117"/>
        <v>0</v>
      </c>
      <c r="AS1494" s="121"/>
    </row>
    <row r="1495" spans="1:45" ht="13.5" x14ac:dyDescent="0.4">
      <c r="A1495" s="12">
        <f t="shared" si="119"/>
        <v>1492</v>
      </c>
      <c r="B1495" s="64" t="s">
        <v>10</v>
      </c>
      <c r="C1495" s="54">
        <v>45830</v>
      </c>
      <c r="D1495" s="54">
        <v>45869</v>
      </c>
      <c r="E1495" s="46" t="s">
        <v>451</v>
      </c>
      <c r="F1495" s="51" t="s">
        <v>19</v>
      </c>
      <c r="G1495" s="51" t="s">
        <v>142</v>
      </c>
      <c r="H1495" s="51" t="s">
        <v>21</v>
      </c>
      <c r="I1495" s="55" t="s">
        <v>160</v>
      </c>
      <c r="J1495" s="56">
        <v>1</v>
      </c>
      <c r="K1495" s="51" t="s">
        <v>315</v>
      </c>
      <c r="L1495" s="58">
        <v>17796.61</v>
      </c>
      <c r="M1495" s="50">
        <f>ROUND('FA Addition'!$L1495*5%,0.1)</f>
        <v>890</v>
      </c>
      <c r="N1495" s="113" t="str">
        <f>_xlfn.XLOOKUP(_xlfn.CONCAT(E1495,B1495),'Year Wise Master Dep Approach'!F:F,'Year Wise Master Dep Approach'!D:D)</f>
        <v>WDV</v>
      </c>
      <c r="O1495" s="113">
        <f>_xlfn.XLOOKUP(_xlfn.CONCAT(E1495,B1495),'Year Wise Master Dep Approach'!F:F,'Year Wise Master Dep Approach'!E:E)</f>
        <v>3</v>
      </c>
      <c r="P1495" s="114">
        <f>IFERROR(IF('FA Addition'!$N1495="WDV",1-('FA Addition'!$M1495/'FA Addition'!$L1495)^(1/'FA Addition'!$O1495),1/'FA Addition'!$O1495),0)</f>
        <v>0.63157345977513657</v>
      </c>
      <c r="Q1495" s="122">
        <f>'FA Addition'!$P1495*'FA Addition'!$O1495</f>
        <v>1.8947203793254097</v>
      </c>
      <c r="R1495" s="122"/>
      <c r="S1495" s="116">
        <f>IF(AND(DATE(20&amp;LEFT(FAAddition[[#This Row],[FY]],2),4,1)&lt;$L$1+1,DATE(20&amp;LEFT(FAAddition[[#This Row],[FY]],2),4,1)&gt;$P$1-1),'FA Addition'!$J1495,0)</f>
        <v>0</v>
      </c>
      <c r="U1495" s="117">
        <f>S1495*'FA Addition'!$L1495/'FA Addition'!$J1495</f>
        <v>0</v>
      </c>
      <c r="W1495" s="116">
        <f>SUMIFS('FA Write off'!D:D,'FA Write off'!A:A,'FA Addition'!$A1495,'FA Write off'!C:C,"&lt;"&amp;'FA Addition'!$P$1)</f>
        <v>0</v>
      </c>
      <c r="Y1495" s="191">
        <f>IFERROR(W1495/'FA Addition'!$J1495*'FA Addition'!$L1495,0)</f>
        <v>0</v>
      </c>
      <c r="AA1495" s="116">
        <f>SUMIFS('FA Write off'!D:D,'FA Write off'!A:A,'FA Addition'!$A1495,'FA Write off'!C:C,"&lt;"&amp;'FA Addition'!$L$1+1,'FA Write off'!C:C,"&gt;"&amp;'FA Addition'!$L$1-365)</f>
        <v>0</v>
      </c>
      <c r="AC1495" s="118">
        <f>IFERROR(AA1495/'FA Addition'!$J1495*'FA Addition'!$L1495,0)</f>
        <v>0</v>
      </c>
      <c r="AE1495" s="117">
        <f>IF(AND('FA Addition'!$D1495&lt;$P$1+1,U1495=0),'FA Addition'!$L1495,0)-Y1495</f>
        <v>0</v>
      </c>
      <c r="AF1495" s="117">
        <f t="shared" si="115"/>
        <v>0</v>
      </c>
      <c r="AG1495" s="117">
        <f>MIN(MAX(+$P$1-'FA Addition'!$D1495,0),365*'FA Addition'!$O1495)</f>
        <v>0</v>
      </c>
      <c r="AH1495" s="117">
        <f>MIN(MAX($L$1-'FA Addition'!$D1495+1,0),365*'FA Addition'!$O1495)</f>
        <v>0</v>
      </c>
      <c r="AI1495" s="117" cm="1">
        <f t="array" ref="AI1495">_xlfn.XLOOKUP(1,('FA Write off'!A:A='FA Addition'!$A1495)*('FA Write off'!D:D=AA1495),'FA Write off'!H:H,0,0)</f>
        <v>0</v>
      </c>
      <c r="AJ1495" s="117">
        <f>IF(AC1495&gt;0,MAX(IF('FA Addition'!$N1495="SLM",($AC1495-'FA Addition'!$M1495)*'FA Addition'!$P1495*AI1495/365,(AC1495-'FA Addition'!$M1495)*(1-(1-'FA Addition'!$P1495)^(AI1495/365))),0),0)</f>
        <v>0</v>
      </c>
      <c r="AL1495" s="117">
        <f>MAX(IF(AG1495&gt;0,IF('FA Addition'!$N1495="SLM",($AE1495-'FA Addition'!$M1495)*'FA Addition'!$P1495*AG1495/365,IFERROR(VDB(AE1495,AE1495*0.05,'FA Addition'!$O1495,0,YEARFRAC('FA Addition'!$C1495,$P$1-1,3),'FA Addition'!$Q1495),FAAddition[[#This Row],[Original Cost (Rs)]]-FAAddition[[#This Row],[Salvage Value]])),0),0)</f>
        <v>0</v>
      </c>
      <c r="AM1495" s="119"/>
      <c r="AN1495" s="117">
        <f>MAX(IF(AH1495&gt;0,IF('FA Addition'!$N1495="SLM",($AF1495-'FA Addition'!$M1495)*'FA Addition'!$P1495*AH1495/365,IFERROR(VDB(AF1495,AF1495*0.05,'FA Addition'!$O1495,0,YEARFRAC('FA Addition'!$C1495,$L$1,3),'FA Addition'!$Q1495),FAAddition[[#This Row],[Original Cost (Rs)]]-FAAddition[[#This Row],[Salvage Value]])),0),0)</f>
        <v>0</v>
      </c>
      <c r="AO1495" s="117">
        <f t="shared" si="118"/>
        <v>0</v>
      </c>
      <c r="AQ1495" s="117">
        <f t="shared" si="116"/>
        <v>0</v>
      </c>
      <c r="AR1495" s="120">
        <f t="shared" si="117"/>
        <v>0</v>
      </c>
      <c r="AS1495" s="121"/>
    </row>
    <row r="1496" spans="1:45" ht="13.5" x14ac:dyDescent="0.4">
      <c r="A1496" s="12">
        <f t="shared" si="119"/>
        <v>1493</v>
      </c>
      <c r="B1496" s="64" t="s">
        <v>10</v>
      </c>
      <c r="C1496" s="54">
        <v>45830</v>
      </c>
      <c r="D1496" s="54">
        <v>45869</v>
      </c>
      <c r="E1496" s="46" t="s">
        <v>451</v>
      </c>
      <c r="F1496" s="51" t="s">
        <v>19</v>
      </c>
      <c r="G1496" s="51" t="s">
        <v>142</v>
      </c>
      <c r="H1496" s="51" t="s">
        <v>21</v>
      </c>
      <c r="I1496" s="55" t="s">
        <v>160</v>
      </c>
      <c r="J1496" s="56">
        <v>1</v>
      </c>
      <c r="K1496" s="51" t="s">
        <v>315</v>
      </c>
      <c r="L1496" s="58">
        <v>17796.61</v>
      </c>
      <c r="M1496" s="50">
        <f>ROUND('FA Addition'!$L1496*5%,0.1)</f>
        <v>890</v>
      </c>
      <c r="N1496" s="113" t="str">
        <f>_xlfn.XLOOKUP(_xlfn.CONCAT(E1496,B1496),'Year Wise Master Dep Approach'!F:F,'Year Wise Master Dep Approach'!D:D)</f>
        <v>WDV</v>
      </c>
      <c r="O1496" s="113">
        <f>_xlfn.XLOOKUP(_xlfn.CONCAT(E1496,B1496),'Year Wise Master Dep Approach'!F:F,'Year Wise Master Dep Approach'!E:E)</f>
        <v>3</v>
      </c>
      <c r="P1496" s="114">
        <f>IFERROR(IF('FA Addition'!$N1496="WDV",1-('FA Addition'!$M1496/'FA Addition'!$L1496)^(1/'FA Addition'!$O1496),1/'FA Addition'!$O1496),0)</f>
        <v>0.63157345977513657</v>
      </c>
      <c r="Q1496" s="122">
        <f>'FA Addition'!$P1496*'FA Addition'!$O1496</f>
        <v>1.8947203793254097</v>
      </c>
      <c r="R1496" s="122"/>
      <c r="S1496" s="116">
        <f>IF(AND(DATE(20&amp;LEFT(FAAddition[[#This Row],[FY]],2),4,1)&lt;$L$1+1,DATE(20&amp;LEFT(FAAddition[[#This Row],[FY]],2),4,1)&gt;$P$1-1),'FA Addition'!$J1496,0)</f>
        <v>0</v>
      </c>
      <c r="U1496" s="117">
        <f>S1496*'FA Addition'!$L1496/'FA Addition'!$J1496</f>
        <v>0</v>
      </c>
      <c r="W1496" s="116">
        <f>SUMIFS('FA Write off'!D:D,'FA Write off'!A:A,'FA Addition'!$A1496,'FA Write off'!C:C,"&lt;"&amp;'FA Addition'!$P$1)</f>
        <v>0</v>
      </c>
      <c r="Y1496" s="191">
        <f>IFERROR(W1496/'FA Addition'!$J1496*'FA Addition'!$L1496,0)</f>
        <v>0</v>
      </c>
      <c r="AA1496" s="116">
        <f>SUMIFS('FA Write off'!D:D,'FA Write off'!A:A,'FA Addition'!$A1496,'FA Write off'!C:C,"&lt;"&amp;'FA Addition'!$L$1+1,'FA Write off'!C:C,"&gt;"&amp;'FA Addition'!$L$1-365)</f>
        <v>0</v>
      </c>
      <c r="AC1496" s="118">
        <f>IFERROR(AA1496/'FA Addition'!$J1496*'FA Addition'!$L1496,0)</f>
        <v>0</v>
      </c>
      <c r="AE1496" s="117">
        <f>IF(AND('FA Addition'!$D1496&lt;$P$1+1,U1496=0),'FA Addition'!$L1496,0)-Y1496</f>
        <v>0</v>
      </c>
      <c r="AF1496" s="117">
        <f t="shared" si="115"/>
        <v>0</v>
      </c>
      <c r="AG1496" s="117">
        <f>MIN(MAX(+$P$1-'FA Addition'!$D1496,0),365*'FA Addition'!$O1496)</f>
        <v>0</v>
      </c>
      <c r="AH1496" s="117">
        <f>MIN(MAX($L$1-'FA Addition'!$D1496+1,0),365*'FA Addition'!$O1496)</f>
        <v>0</v>
      </c>
      <c r="AI1496" s="117" cm="1">
        <f t="array" ref="AI1496">_xlfn.XLOOKUP(1,('FA Write off'!A:A='FA Addition'!$A1496)*('FA Write off'!D:D=AA1496),'FA Write off'!H:H,0,0)</f>
        <v>0</v>
      </c>
      <c r="AJ1496" s="117">
        <f>IF(AC1496&gt;0,MAX(IF('FA Addition'!$N1496="SLM",($AC1496-'FA Addition'!$M1496)*'FA Addition'!$P1496*AI1496/365,(AC1496-'FA Addition'!$M1496)*(1-(1-'FA Addition'!$P1496)^(AI1496/365))),0),0)</f>
        <v>0</v>
      </c>
      <c r="AL1496" s="117">
        <f>MAX(IF(AG1496&gt;0,IF('FA Addition'!$N1496="SLM",($AE1496-'FA Addition'!$M1496)*'FA Addition'!$P1496*AG1496/365,IFERROR(VDB(AE1496,AE1496*0.05,'FA Addition'!$O1496,0,YEARFRAC('FA Addition'!$C1496,$P$1-1,3),'FA Addition'!$Q1496),FAAddition[[#This Row],[Original Cost (Rs)]]-FAAddition[[#This Row],[Salvage Value]])),0),0)</f>
        <v>0</v>
      </c>
      <c r="AM1496" s="119"/>
      <c r="AN1496" s="117">
        <f>MAX(IF(AH1496&gt;0,IF('FA Addition'!$N1496="SLM",($AF1496-'FA Addition'!$M1496)*'FA Addition'!$P1496*AH1496/365,IFERROR(VDB(AF1496,AF1496*0.05,'FA Addition'!$O1496,0,YEARFRAC('FA Addition'!$C1496,$L$1,3),'FA Addition'!$Q1496),FAAddition[[#This Row],[Original Cost (Rs)]]-FAAddition[[#This Row],[Salvage Value]])),0),0)</f>
        <v>0</v>
      </c>
      <c r="AO1496" s="117">
        <f t="shared" si="118"/>
        <v>0</v>
      </c>
      <c r="AQ1496" s="117">
        <f t="shared" si="116"/>
        <v>0</v>
      </c>
      <c r="AR1496" s="120">
        <f t="shared" si="117"/>
        <v>0</v>
      </c>
      <c r="AS1496" s="121"/>
    </row>
    <row r="1497" spans="1:45" ht="13.5" x14ac:dyDescent="0.4">
      <c r="A1497" s="12">
        <f t="shared" si="119"/>
        <v>1494</v>
      </c>
      <c r="B1497" s="64" t="s">
        <v>10</v>
      </c>
      <c r="C1497" s="54">
        <v>45830</v>
      </c>
      <c r="D1497" s="54">
        <v>45869</v>
      </c>
      <c r="E1497" s="46" t="s">
        <v>451</v>
      </c>
      <c r="F1497" s="51" t="s">
        <v>19</v>
      </c>
      <c r="G1497" s="51" t="s">
        <v>142</v>
      </c>
      <c r="H1497" s="51" t="s">
        <v>21</v>
      </c>
      <c r="I1497" s="55" t="s">
        <v>160</v>
      </c>
      <c r="J1497" s="56">
        <v>1</v>
      </c>
      <c r="K1497" s="51" t="s">
        <v>315</v>
      </c>
      <c r="L1497" s="58">
        <v>17796.61</v>
      </c>
      <c r="M1497" s="50">
        <f>ROUND('FA Addition'!$L1497*5%,0.1)</f>
        <v>890</v>
      </c>
      <c r="N1497" s="113" t="str">
        <f>_xlfn.XLOOKUP(_xlfn.CONCAT(E1497,B1497),'Year Wise Master Dep Approach'!F:F,'Year Wise Master Dep Approach'!D:D)</f>
        <v>WDV</v>
      </c>
      <c r="O1497" s="113">
        <f>_xlfn.XLOOKUP(_xlfn.CONCAT(E1497,B1497),'Year Wise Master Dep Approach'!F:F,'Year Wise Master Dep Approach'!E:E)</f>
        <v>3</v>
      </c>
      <c r="P1497" s="114">
        <f>IFERROR(IF('FA Addition'!$N1497="WDV",1-('FA Addition'!$M1497/'FA Addition'!$L1497)^(1/'FA Addition'!$O1497),1/'FA Addition'!$O1497),0)</f>
        <v>0.63157345977513657</v>
      </c>
      <c r="Q1497" s="122">
        <f>'FA Addition'!$P1497*'FA Addition'!$O1497</f>
        <v>1.8947203793254097</v>
      </c>
      <c r="R1497" s="122"/>
      <c r="S1497" s="116">
        <f>IF(AND(DATE(20&amp;LEFT(FAAddition[[#This Row],[FY]],2),4,1)&lt;$L$1+1,DATE(20&amp;LEFT(FAAddition[[#This Row],[FY]],2),4,1)&gt;$P$1-1),'FA Addition'!$J1497,0)</f>
        <v>0</v>
      </c>
      <c r="U1497" s="117">
        <f>S1497*'FA Addition'!$L1497/'FA Addition'!$J1497</f>
        <v>0</v>
      </c>
      <c r="W1497" s="116">
        <f>SUMIFS('FA Write off'!D:D,'FA Write off'!A:A,'FA Addition'!$A1497,'FA Write off'!C:C,"&lt;"&amp;'FA Addition'!$P$1)</f>
        <v>0</v>
      </c>
      <c r="Y1497" s="191">
        <f>IFERROR(W1497/'FA Addition'!$J1497*'FA Addition'!$L1497,0)</f>
        <v>0</v>
      </c>
      <c r="AA1497" s="116">
        <f>SUMIFS('FA Write off'!D:D,'FA Write off'!A:A,'FA Addition'!$A1497,'FA Write off'!C:C,"&lt;"&amp;'FA Addition'!$L$1+1,'FA Write off'!C:C,"&gt;"&amp;'FA Addition'!$L$1-365)</f>
        <v>0</v>
      </c>
      <c r="AC1497" s="118">
        <f>IFERROR(AA1497/'FA Addition'!$J1497*'FA Addition'!$L1497,0)</f>
        <v>0</v>
      </c>
      <c r="AE1497" s="117">
        <f>IF(AND('FA Addition'!$D1497&lt;$P$1+1,U1497=0),'FA Addition'!$L1497,0)-Y1497</f>
        <v>0</v>
      </c>
      <c r="AF1497" s="117">
        <f t="shared" si="115"/>
        <v>0</v>
      </c>
      <c r="AG1497" s="117">
        <f>MIN(MAX(+$P$1-'FA Addition'!$D1497,0),365*'FA Addition'!$O1497)</f>
        <v>0</v>
      </c>
      <c r="AH1497" s="117">
        <f>MIN(MAX($L$1-'FA Addition'!$D1497+1,0),365*'FA Addition'!$O1497)</f>
        <v>0</v>
      </c>
      <c r="AI1497" s="117" cm="1">
        <f t="array" ref="AI1497">_xlfn.XLOOKUP(1,('FA Write off'!A:A='FA Addition'!$A1497)*('FA Write off'!D:D=AA1497),'FA Write off'!H:H,0,0)</f>
        <v>0</v>
      </c>
      <c r="AJ1497" s="117">
        <f>IF(AC1497&gt;0,MAX(IF('FA Addition'!$N1497="SLM",($AC1497-'FA Addition'!$M1497)*'FA Addition'!$P1497*AI1497/365,(AC1497-'FA Addition'!$M1497)*(1-(1-'FA Addition'!$P1497)^(AI1497/365))),0),0)</f>
        <v>0</v>
      </c>
      <c r="AL1497" s="117">
        <f>MAX(IF(AG1497&gt;0,IF('FA Addition'!$N1497="SLM",($AE1497-'FA Addition'!$M1497)*'FA Addition'!$P1497*AG1497/365,IFERROR(VDB(AE1497,AE1497*0.05,'FA Addition'!$O1497,0,YEARFRAC('FA Addition'!$C1497,$P$1-1,3),'FA Addition'!$Q1497),FAAddition[[#This Row],[Original Cost (Rs)]]-FAAddition[[#This Row],[Salvage Value]])),0),0)</f>
        <v>0</v>
      </c>
      <c r="AM1497" s="119"/>
      <c r="AN1497" s="117">
        <f>MAX(IF(AH1497&gt;0,IF('FA Addition'!$N1497="SLM",($AF1497-'FA Addition'!$M1497)*'FA Addition'!$P1497*AH1497/365,IFERROR(VDB(AF1497,AF1497*0.05,'FA Addition'!$O1497,0,YEARFRAC('FA Addition'!$C1497,$L$1,3),'FA Addition'!$Q1497),FAAddition[[#This Row],[Original Cost (Rs)]]-FAAddition[[#This Row],[Salvage Value]])),0),0)</f>
        <v>0</v>
      </c>
      <c r="AO1497" s="117">
        <f t="shared" si="118"/>
        <v>0</v>
      </c>
      <c r="AQ1497" s="117">
        <f t="shared" si="116"/>
        <v>0</v>
      </c>
      <c r="AR1497" s="120">
        <f t="shared" si="117"/>
        <v>0</v>
      </c>
      <c r="AS1497" s="121"/>
    </row>
    <row r="1498" spans="1:45" ht="13.5" x14ac:dyDescent="0.4">
      <c r="A1498" s="12">
        <f t="shared" si="119"/>
        <v>1495</v>
      </c>
      <c r="B1498" s="64" t="s">
        <v>10</v>
      </c>
      <c r="C1498" s="54">
        <v>45830</v>
      </c>
      <c r="D1498" s="54">
        <v>45869</v>
      </c>
      <c r="E1498" s="46" t="s">
        <v>451</v>
      </c>
      <c r="F1498" s="51" t="s">
        <v>19</v>
      </c>
      <c r="G1498" s="51" t="s">
        <v>142</v>
      </c>
      <c r="H1498" s="51" t="s">
        <v>21</v>
      </c>
      <c r="I1498" s="55" t="s">
        <v>160</v>
      </c>
      <c r="J1498" s="56">
        <v>1</v>
      </c>
      <c r="K1498" s="51" t="s">
        <v>315</v>
      </c>
      <c r="L1498" s="58">
        <v>17796.61</v>
      </c>
      <c r="M1498" s="50">
        <f>ROUND('FA Addition'!$L1498*5%,0.1)</f>
        <v>890</v>
      </c>
      <c r="N1498" s="113" t="str">
        <f>_xlfn.XLOOKUP(_xlfn.CONCAT(E1498,B1498),'Year Wise Master Dep Approach'!F:F,'Year Wise Master Dep Approach'!D:D)</f>
        <v>WDV</v>
      </c>
      <c r="O1498" s="113">
        <f>_xlfn.XLOOKUP(_xlfn.CONCAT(E1498,B1498),'Year Wise Master Dep Approach'!F:F,'Year Wise Master Dep Approach'!E:E)</f>
        <v>3</v>
      </c>
      <c r="P1498" s="114">
        <f>IFERROR(IF('FA Addition'!$N1498="WDV",1-('FA Addition'!$M1498/'FA Addition'!$L1498)^(1/'FA Addition'!$O1498),1/'FA Addition'!$O1498),0)</f>
        <v>0.63157345977513657</v>
      </c>
      <c r="Q1498" s="122">
        <f>'FA Addition'!$P1498*'FA Addition'!$O1498</f>
        <v>1.8947203793254097</v>
      </c>
      <c r="R1498" s="122"/>
      <c r="S1498" s="116">
        <f>IF(AND(DATE(20&amp;LEFT(FAAddition[[#This Row],[FY]],2),4,1)&lt;$L$1+1,DATE(20&amp;LEFT(FAAddition[[#This Row],[FY]],2),4,1)&gt;$P$1-1),'FA Addition'!$J1498,0)</f>
        <v>0</v>
      </c>
      <c r="U1498" s="117">
        <f>S1498*'FA Addition'!$L1498/'FA Addition'!$J1498</f>
        <v>0</v>
      </c>
      <c r="W1498" s="116">
        <f>SUMIFS('FA Write off'!D:D,'FA Write off'!A:A,'FA Addition'!$A1498,'FA Write off'!C:C,"&lt;"&amp;'FA Addition'!$P$1)</f>
        <v>0</v>
      </c>
      <c r="Y1498" s="191">
        <f>IFERROR(W1498/'FA Addition'!$J1498*'FA Addition'!$L1498,0)</f>
        <v>0</v>
      </c>
      <c r="AA1498" s="116">
        <f>SUMIFS('FA Write off'!D:D,'FA Write off'!A:A,'FA Addition'!$A1498,'FA Write off'!C:C,"&lt;"&amp;'FA Addition'!$L$1+1,'FA Write off'!C:C,"&gt;"&amp;'FA Addition'!$L$1-365)</f>
        <v>0</v>
      </c>
      <c r="AC1498" s="118">
        <f>IFERROR(AA1498/'FA Addition'!$J1498*'FA Addition'!$L1498,0)</f>
        <v>0</v>
      </c>
      <c r="AE1498" s="117">
        <f>IF(AND('FA Addition'!$D1498&lt;$P$1+1,U1498=0),'FA Addition'!$L1498,0)-Y1498</f>
        <v>0</v>
      </c>
      <c r="AF1498" s="117">
        <f t="shared" si="115"/>
        <v>0</v>
      </c>
      <c r="AG1498" s="117">
        <f>MIN(MAX(+$P$1-'FA Addition'!$D1498,0),365*'FA Addition'!$O1498)</f>
        <v>0</v>
      </c>
      <c r="AH1498" s="117">
        <f>MIN(MAX($L$1-'FA Addition'!$D1498+1,0),365*'FA Addition'!$O1498)</f>
        <v>0</v>
      </c>
      <c r="AI1498" s="117" cm="1">
        <f t="array" ref="AI1498">_xlfn.XLOOKUP(1,('FA Write off'!A:A='FA Addition'!$A1498)*('FA Write off'!D:D=AA1498),'FA Write off'!H:H,0,0)</f>
        <v>0</v>
      </c>
      <c r="AJ1498" s="117">
        <f>IF(AC1498&gt;0,MAX(IF('FA Addition'!$N1498="SLM",($AC1498-'FA Addition'!$M1498)*'FA Addition'!$P1498*AI1498/365,(AC1498-'FA Addition'!$M1498)*(1-(1-'FA Addition'!$P1498)^(AI1498/365))),0),0)</f>
        <v>0</v>
      </c>
      <c r="AL1498" s="117">
        <f>MAX(IF(AG1498&gt;0,IF('FA Addition'!$N1498="SLM",($AE1498-'FA Addition'!$M1498)*'FA Addition'!$P1498*AG1498/365,IFERROR(VDB(AE1498,AE1498*0.05,'FA Addition'!$O1498,0,YEARFRAC('FA Addition'!$C1498,$P$1-1,3),'FA Addition'!$Q1498),FAAddition[[#This Row],[Original Cost (Rs)]]-FAAddition[[#This Row],[Salvage Value]])),0),0)</f>
        <v>0</v>
      </c>
      <c r="AM1498" s="119"/>
      <c r="AN1498" s="117">
        <f>MAX(IF(AH1498&gt;0,IF('FA Addition'!$N1498="SLM",($AF1498-'FA Addition'!$M1498)*'FA Addition'!$P1498*AH1498/365,IFERROR(VDB(AF1498,AF1498*0.05,'FA Addition'!$O1498,0,YEARFRAC('FA Addition'!$C1498,$L$1,3),'FA Addition'!$Q1498),FAAddition[[#This Row],[Original Cost (Rs)]]-FAAddition[[#This Row],[Salvage Value]])),0),0)</f>
        <v>0</v>
      </c>
      <c r="AO1498" s="117">
        <f t="shared" si="118"/>
        <v>0</v>
      </c>
      <c r="AQ1498" s="117">
        <f t="shared" si="116"/>
        <v>0</v>
      </c>
      <c r="AR1498" s="120">
        <f t="shared" si="117"/>
        <v>0</v>
      </c>
      <c r="AS1498" s="121"/>
    </row>
    <row r="1499" spans="1:45" ht="13.5" x14ac:dyDescent="0.4">
      <c r="A1499" s="12">
        <f t="shared" si="119"/>
        <v>1496</v>
      </c>
      <c r="B1499" s="64" t="s">
        <v>10</v>
      </c>
      <c r="C1499" s="54">
        <v>45830</v>
      </c>
      <c r="D1499" s="54">
        <v>45869</v>
      </c>
      <c r="E1499" s="46" t="s">
        <v>451</v>
      </c>
      <c r="F1499" s="51" t="s">
        <v>19</v>
      </c>
      <c r="G1499" s="51" t="s">
        <v>142</v>
      </c>
      <c r="H1499" s="51" t="s">
        <v>21</v>
      </c>
      <c r="I1499" s="55" t="s">
        <v>160</v>
      </c>
      <c r="J1499" s="56">
        <v>1</v>
      </c>
      <c r="K1499" s="51" t="s">
        <v>315</v>
      </c>
      <c r="L1499" s="58">
        <v>17796.61</v>
      </c>
      <c r="M1499" s="50">
        <f>ROUND('FA Addition'!$L1499*5%,0.1)</f>
        <v>890</v>
      </c>
      <c r="N1499" s="113" t="str">
        <f>_xlfn.XLOOKUP(_xlfn.CONCAT(E1499,B1499),'Year Wise Master Dep Approach'!F:F,'Year Wise Master Dep Approach'!D:D)</f>
        <v>WDV</v>
      </c>
      <c r="O1499" s="113">
        <f>_xlfn.XLOOKUP(_xlfn.CONCAT(E1499,B1499),'Year Wise Master Dep Approach'!F:F,'Year Wise Master Dep Approach'!E:E)</f>
        <v>3</v>
      </c>
      <c r="P1499" s="114">
        <f>IFERROR(IF('FA Addition'!$N1499="WDV",1-('FA Addition'!$M1499/'FA Addition'!$L1499)^(1/'FA Addition'!$O1499),1/'FA Addition'!$O1499),0)</f>
        <v>0.63157345977513657</v>
      </c>
      <c r="Q1499" s="122">
        <f>'FA Addition'!$P1499*'FA Addition'!$O1499</f>
        <v>1.8947203793254097</v>
      </c>
      <c r="R1499" s="122"/>
      <c r="S1499" s="116">
        <f>IF(AND(DATE(20&amp;LEFT(FAAddition[[#This Row],[FY]],2),4,1)&lt;$L$1+1,DATE(20&amp;LEFT(FAAddition[[#This Row],[FY]],2),4,1)&gt;$P$1-1),'FA Addition'!$J1499,0)</f>
        <v>0</v>
      </c>
      <c r="U1499" s="117">
        <f>S1499*'FA Addition'!$L1499/'FA Addition'!$J1499</f>
        <v>0</v>
      </c>
      <c r="W1499" s="116">
        <f>SUMIFS('FA Write off'!D:D,'FA Write off'!A:A,'FA Addition'!$A1499,'FA Write off'!C:C,"&lt;"&amp;'FA Addition'!$P$1)</f>
        <v>0</v>
      </c>
      <c r="Y1499" s="191">
        <f>IFERROR(W1499/'FA Addition'!$J1499*'FA Addition'!$L1499,0)</f>
        <v>0</v>
      </c>
      <c r="AA1499" s="116">
        <f>SUMIFS('FA Write off'!D:D,'FA Write off'!A:A,'FA Addition'!$A1499,'FA Write off'!C:C,"&lt;"&amp;'FA Addition'!$L$1+1,'FA Write off'!C:C,"&gt;"&amp;'FA Addition'!$L$1-365)</f>
        <v>0</v>
      </c>
      <c r="AC1499" s="118">
        <f>IFERROR(AA1499/'FA Addition'!$J1499*'FA Addition'!$L1499,0)</f>
        <v>0</v>
      </c>
      <c r="AE1499" s="117">
        <f>IF(AND('FA Addition'!$D1499&lt;$P$1+1,U1499=0),'FA Addition'!$L1499,0)-Y1499</f>
        <v>0</v>
      </c>
      <c r="AF1499" s="117">
        <f t="shared" si="115"/>
        <v>0</v>
      </c>
      <c r="AG1499" s="117">
        <f>MIN(MAX(+$P$1-'FA Addition'!$D1499,0),365*'FA Addition'!$O1499)</f>
        <v>0</v>
      </c>
      <c r="AH1499" s="117">
        <f>MIN(MAX($L$1-'FA Addition'!$D1499+1,0),365*'FA Addition'!$O1499)</f>
        <v>0</v>
      </c>
      <c r="AI1499" s="117" cm="1">
        <f t="array" ref="AI1499">_xlfn.XLOOKUP(1,('FA Write off'!A:A='FA Addition'!$A1499)*('FA Write off'!D:D=AA1499),'FA Write off'!H:H,0,0)</f>
        <v>0</v>
      </c>
      <c r="AJ1499" s="117">
        <f>IF(AC1499&gt;0,MAX(IF('FA Addition'!$N1499="SLM",($AC1499-'FA Addition'!$M1499)*'FA Addition'!$P1499*AI1499/365,(AC1499-'FA Addition'!$M1499)*(1-(1-'FA Addition'!$P1499)^(AI1499/365))),0),0)</f>
        <v>0</v>
      </c>
      <c r="AL1499" s="117">
        <f>MAX(IF(AG1499&gt;0,IF('FA Addition'!$N1499="SLM",($AE1499-'FA Addition'!$M1499)*'FA Addition'!$P1499*AG1499/365,IFERROR(VDB(AE1499,AE1499*0.05,'FA Addition'!$O1499,0,YEARFRAC('FA Addition'!$C1499,$P$1-1,3),'FA Addition'!$Q1499),FAAddition[[#This Row],[Original Cost (Rs)]]-FAAddition[[#This Row],[Salvage Value]])),0),0)</f>
        <v>0</v>
      </c>
      <c r="AM1499" s="119"/>
      <c r="AN1499" s="117">
        <f>MAX(IF(AH1499&gt;0,IF('FA Addition'!$N1499="SLM",($AF1499-'FA Addition'!$M1499)*'FA Addition'!$P1499*AH1499/365,IFERROR(VDB(AF1499,AF1499*0.05,'FA Addition'!$O1499,0,YEARFRAC('FA Addition'!$C1499,$L$1,3),'FA Addition'!$Q1499),FAAddition[[#This Row],[Original Cost (Rs)]]-FAAddition[[#This Row],[Salvage Value]])),0),0)</f>
        <v>0</v>
      </c>
      <c r="AO1499" s="117">
        <f t="shared" si="118"/>
        <v>0</v>
      </c>
      <c r="AQ1499" s="117">
        <f t="shared" si="116"/>
        <v>0</v>
      </c>
      <c r="AR1499" s="120">
        <f t="shared" si="117"/>
        <v>0</v>
      </c>
      <c r="AS1499" s="121"/>
    </row>
    <row r="1500" spans="1:45" ht="13.5" x14ac:dyDescent="0.4">
      <c r="A1500" s="12">
        <f t="shared" si="119"/>
        <v>1497</v>
      </c>
      <c r="B1500" s="64" t="s">
        <v>10</v>
      </c>
      <c r="C1500" s="54">
        <v>45859</v>
      </c>
      <c r="D1500" s="54">
        <v>45869</v>
      </c>
      <c r="E1500" s="46" t="s">
        <v>451</v>
      </c>
      <c r="F1500" s="51" t="s">
        <v>19</v>
      </c>
      <c r="G1500" s="51" t="s">
        <v>20</v>
      </c>
      <c r="H1500" s="51" t="s">
        <v>151</v>
      </c>
      <c r="I1500" s="55" t="s">
        <v>161</v>
      </c>
      <c r="J1500" s="56">
        <v>1</v>
      </c>
      <c r="K1500" s="51" t="s">
        <v>328</v>
      </c>
      <c r="L1500" s="58">
        <v>8400</v>
      </c>
      <c r="M1500" s="50">
        <f>ROUND('FA Addition'!$L1500*5%,0.1)</f>
        <v>420</v>
      </c>
      <c r="N1500" s="113" t="str">
        <f>_xlfn.XLOOKUP(_xlfn.CONCAT(E1500,B1500),'Year Wise Master Dep Approach'!F:F,'Year Wise Master Dep Approach'!D:D)</f>
        <v>WDV</v>
      </c>
      <c r="O1500" s="113">
        <f>_xlfn.XLOOKUP(_xlfn.CONCAT(E1500,B1500),'Year Wise Master Dep Approach'!F:F,'Year Wise Master Dep Approach'!E:E)</f>
        <v>3</v>
      </c>
      <c r="P1500" s="114">
        <f>IFERROR(IF('FA Addition'!$N1500="WDV",1-('FA Addition'!$M1500/'FA Addition'!$L1500)^(1/'FA Addition'!$O1500),1/'FA Addition'!$O1500),0)</f>
        <v>0.63159685013596123</v>
      </c>
      <c r="Q1500" s="122">
        <f>'FA Addition'!$P1500*'FA Addition'!$O1500</f>
        <v>1.8947905504078837</v>
      </c>
      <c r="R1500" s="122"/>
      <c r="S1500" s="116">
        <f>IF(AND(DATE(20&amp;LEFT(FAAddition[[#This Row],[FY]],2),4,1)&lt;$L$1+1,DATE(20&amp;LEFT(FAAddition[[#This Row],[FY]],2),4,1)&gt;$P$1-1),'FA Addition'!$J1500,0)</f>
        <v>0</v>
      </c>
      <c r="U1500" s="117">
        <f>S1500*'FA Addition'!$L1500/'FA Addition'!$J1500</f>
        <v>0</v>
      </c>
      <c r="W1500" s="116">
        <f>SUMIFS('FA Write off'!D:D,'FA Write off'!A:A,'FA Addition'!$A1500,'FA Write off'!C:C,"&lt;"&amp;'FA Addition'!$P$1)</f>
        <v>0</v>
      </c>
      <c r="Y1500" s="191">
        <f>IFERROR(W1500/'FA Addition'!$J1500*'FA Addition'!$L1500,0)</f>
        <v>0</v>
      </c>
      <c r="AA1500" s="116">
        <f>SUMIFS('FA Write off'!D:D,'FA Write off'!A:A,'FA Addition'!$A1500,'FA Write off'!C:C,"&lt;"&amp;'FA Addition'!$L$1+1,'FA Write off'!C:C,"&gt;"&amp;'FA Addition'!$L$1-365)</f>
        <v>0</v>
      </c>
      <c r="AC1500" s="118">
        <f>IFERROR(AA1500/'FA Addition'!$J1500*'FA Addition'!$L1500,0)</f>
        <v>0</v>
      </c>
      <c r="AE1500" s="117">
        <f>IF(AND('FA Addition'!$D1500&lt;$P$1+1,U1500=0),'FA Addition'!$L1500,0)-Y1500</f>
        <v>0</v>
      </c>
      <c r="AF1500" s="117">
        <f t="shared" si="115"/>
        <v>0</v>
      </c>
      <c r="AG1500" s="117">
        <f>MIN(MAX(+$P$1-'FA Addition'!$D1500,0),365*'FA Addition'!$O1500)</f>
        <v>0</v>
      </c>
      <c r="AH1500" s="117">
        <f>MIN(MAX($L$1-'FA Addition'!$D1500+1,0),365*'FA Addition'!$O1500)</f>
        <v>0</v>
      </c>
      <c r="AI1500" s="117" cm="1">
        <f t="array" ref="AI1500">_xlfn.XLOOKUP(1,('FA Write off'!A:A='FA Addition'!$A1500)*('FA Write off'!D:D=AA1500),'FA Write off'!H:H,0,0)</f>
        <v>0</v>
      </c>
      <c r="AJ1500" s="117">
        <f>IF(AC1500&gt;0,MAX(IF('FA Addition'!$N1500="SLM",($AC1500-'FA Addition'!$M1500)*'FA Addition'!$P1500*AI1500/365,(AC1500-'FA Addition'!$M1500)*(1-(1-'FA Addition'!$P1500)^(AI1500/365))),0),0)</f>
        <v>0</v>
      </c>
      <c r="AL1500" s="117">
        <f>MAX(IF(AG1500&gt;0,IF('FA Addition'!$N1500="SLM",($AE1500-'FA Addition'!$M1500)*'FA Addition'!$P1500*AG1500/365,IFERROR(VDB(AE1500,AE1500*0.05,'FA Addition'!$O1500,0,YEARFRAC('FA Addition'!$C1500,$P$1-1,3),'FA Addition'!$Q1500),FAAddition[[#This Row],[Original Cost (Rs)]]-FAAddition[[#This Row],[Salvage Value]])),0),0)</f>
        <v>0</v>
      </c>
      <c r="AM1500" s="119"/>
      <c r="AN1500" s="117">
        <f>MAX(IF(AH1500&gt;0,IF('FA Addition'!$N1500="SLM",($AF1500-'FA Addition'!$M1500)*'FA Addition'!$P1500*AH1500/365,IFERROR(VDB(AF1500,AF1500*0.05,'FA Addition'!$O1500,0,YEARFRAC('FA Addition'!$C1500,$L$1,3),'FA Addition'!$Q1500),FAAddition[[#This Row],[Original Cost (Rs)]]-FAAddition[[#This Row],[Salvage Value]])),0),0)</f>
        <v>0</v>
      </c>
      <c r="AO1500" s="117">
        <f t="shared" si="118"/>
        <v>0</v>
      </c>
      <c r="AQ1500" s="117">
        <f t="shared" si="116"/>
        <v>0</v>
      </c>
      <c r="AR1500" s="120">
        <f t="shared" si="117"/>
        <v>0</v>
      </c>
      <c r="AS1500" s="121"/>
    </row>
    <row r="1501" spans="1:45" ht="13.5" x14ac:dyDescent="0.4">
      <c r="A1501" s="12">
        <f t="shared" si="119"/>
        <v>1498</v>
      </c>
      <c r="B1501" s="64" t="s">
        <v>10</v>
      </c>
      <c r="C1501" s="54">
        <v>45841</v>
      </c>
      <c r="D1501" s="54">
        <v>45869</v>
      </c>
      <c r="E1501" s="46" t="s">
        <v>451</v>
      </c>
      <c r="F1501" s="51" t="s">
        <v>19</v>
      </c>
      <c r="G1501" s="51" t="s">
        <v>142</v>
      </c>
      <c r="H1501" s="51" t="s">
        <v>21</v>
      </c>
      <c r="I1501" s="55" t="s">
        <v>162</v>
      </c>
      <c r="J1501" s="56">
        <v>1</v>
      </c>
      <c r="K1501" s="51" t="s">
        <v>315</v>
      </c>
      <c r="L1501" s="58">
        <v>17796.61</v>
      </c>
      <c r="M1501" s="50">
        <f>ROUND('FA Addition'!$L1501*5%,0.1)</f>
        <v>890</v>
      </c>
      <c r="N1501" s="113" t="str">
        <f>_xlfn.XLOOKUP(_xlfn.CONCAT(E1501,B1501),'Year Wise Master Dep Approach'!F:F,'Year Wise Master Dep Approach'!D:D)</f>
        <v>WDV</v>
      </c>
      <c r="O1501" s="113">
        <f>_xlfn.XLOOKUP(_xlfn.CONCAT(E1501,B1501),'Year Wise Master Dep Approach'!F:F,'Year Wise Master Dep Approach'!E:E)</f>
        <v>3</v>
      </c>
      <c r="P1501" s="114">
        <f>IFERROR(IF('FA Addition'!$N1501="WDV",1-('FA Addition'!$M1501/'FA Addition'!$L1501)^(1/'FA Addition'!$O1501),1/'FA Addition'!$O1501),0)</f>
        <v>0.63157345977513657</v>
      </c>
      <c r="Q1501" s="122">
        <f>'FA Addition'!$P1501*'FA Addition'!$O1501</f>
        <v>1.8947203793254097</v>
      </c>
      <c r="R1501" s="122"/>
      <c r="S1501" s="116">
        <f>IF(AND(DATE(20&amp;LEFT(FAAddition[[#This Row],[FY]],2),4,1)&lt;$L$1+1,DATE(20&amp;LEFT(FAAddition[[#This Row],[FY]],2),4,1)&gt;$P$1-1),'FA Addition'!$J1501,0)</f>
        <v>0</v>
      </c>
      <c r="U1501" s="117">
        <f>S1501*'FA Addition'!$L1501/'FA Addition'!$J1501</f>
        <v>0</v>
      </c>
      <c r="W1501" s="116">
        <f>SUMIFS('FA Write off'!D:D,'FA Write off'!A:A,'FA Addition'!$A1501,'FA Write off'!C:C,"&lt;"&amp;'FA Addition'!$P$1)</f>
        <v>0</v>
      </c>
      <c r="Y1501" s="191">
        <f>IFERROR(W1501/'FA Addition'!$J1501*'FA Addition'!$L1501,0)</f>
        <v>0</v>
      </c>
      <c r="AA1501" s="116">
        <f>SUMIFS('FA Write off'!D:D,'FA Write off'!A:A,'FA Addition'!$A1501,'FA Write off'!C:C,"&lt;"&amp;'FA Addition'!$L$1+1,'FA Write off'!C:C,"&gt;"&amp;'FA Addition'!$L$1-365)</f>
        <v>0</v>
      </c>
      <c r="AC1501" s="118">
        <f>IFERROR(AA1501/'FA Addition'!$J1501*'FA Addition'!$L1501,0)</f>
        <v>0</v>
      </c>
      <c r="AE1501" s="117">
        <f>IF(AND('FA Addition'!$D1501&lt;$P$1+1,U1501=0),'FA Addition'!$L1501,0)-Y1501</f>
        <v>0</v>
      </c>
      <c r="AF1501" s="117">
        <f t="shared" si="115"/>
        <v>0</v>
      </c>
      <c r="AG1501" s="117">
        <f>MIN(MAX(+$P$1-'FA Addition'!$D1501,0),365*'FA Addition'!$O1501)</f>
        <v>0</v>
      </c>
      <c r="AH1501" s="117">
        <f>MIN(MAX($L$1-'FA Addition'!$D1501+1,0),365*'FA Addition'!$O1501)</f>
        <v>0</v>
      </c>
      <c r="AI1501" s="117" cm="1">
        <f t="array" ref="AI1501">_xlfn.XLOOKUP(1,('FA Write off'!A:A='FA Addition'!$A1501)*('FA Write off'!D:D=AA1501),'FA Write off'!H:H,0,0)</f>
        <v>0</v>
      </c>
      <c r="AJ1501" s="117">
        <f>IF(AC1501&gt;0,MAX(IF('FA Addition'!$N1501="SLM",($AC1501-'FA Addition'!$M1501)*'FA Addition'!$P1501*AI1501/365,(AC1501-'FA Addition'!$M1501)*(1-(1-'FA Addition'!$P1501)^(AI1501/365))),0),0)</f>
        <v>0</v>
      </c>
      <c r="AL1501" s="117">
        <f>MAX(IF(AG1501&gt;0,IF('FA Addition'!$N1501="SLM",($AE1501-'FA Addition'!$M1501)*'FA Addition'!$P1501*AG1501/365,IFERROR(VDB(AE1501,AE1501*0.05,'FA Addition'!$O1501,0,YEARFRAC('FA Addition'!$C1501,$P$1-1,3),'FA Addition'!$Q1501),FAAddition[[#This Row],[Original Cost (Rs)]]-FAAddition[[#This Row],[Salvage Value]])),0),0)</f>
        <v>0</v>
      </c>
      <c r="AM1501" s="119"/>
      <c r="AN1501" s="117">
        <f>MAX(IF(AH1501&gt;0,IF('FA Addition'!$N1501="SLM",($AF1501-'FA Addition'!$M1501)*'FA Addition'!$P1501*AH1501/365,IFERROR(VDB(AF1501,AF1501*0.05,'FA Addition'!$O1501,0,YEARFRAC('FA Addition'!$C1501,$L$1,3),'FA Addition'!$Q1501),FAAddition[[#This Row],[Original Cost (Rs)]]-FAAddition[[#This Row],[Salvage Value]])),0),0)</f>
        <v>0</v>
      </c>
      <c r="AO1501" s="117">
        <f t="shared" si="118"/>
        <v>0</v>
      </c>
      <c r="AQ1501" s="117">
        <f t="shared" si="116"/>
        <v>0</v>
      </c>
      <c r="AR1501" s="120">
        <f t="shared" si="117"/>
        <v>0</v>
      </c>
      <c r="AS1501" s="121"/>
    </row>
    <row r="1502" spans="1:45" ht="13.5" x14ac:dyDescent="0.4">
      <c r="A1502" s="12">
        <f t="shared" si="119"/>
        <v>1499</v>
      </c>
      <c r="B1502" s="64" t="s">
        <v>10</v>
      </c>
      <c r="C1502" s="54">
        <v>45841</v>
      </c>
      <c r="D1502" s="54">
        <v>45869</v>
      </c>
      <c r="E1502" s="46" t="s">
        <v>451</v>
      </c>
      <c r="F1502" s="51" t="s">
        <v>19</v>
      </c>
      <c r="G1502" s="51" t="s">
        <v>142</v>
      </c>
      <c r="H1502" s="51" t="s">
        <v>21</v>
      </c>
      <c r="I1502" s="55" t="s">
        <v>162</v>
      </c>
      <c r="J1502" s="56">
        <v>1</v>
      </c>
      <c r="K1502" s="51" t="s">
        <v>315</v>
      </c>
      <c r="L1502" s="58">
        <v>17796.61</v>
      </c>
      <c r="M1502" s="50">
        <f>ROUND('FA Addition'!$L1502*5%,0.1)</f>
        <v>890</v>
      </c>
      <c r="N1502" s="113" t="str">
        <f>_xlfn.XLOOKUP(_xlfn.CONCAT(E1502,B1502),'Year Wise Master Dep Approach'!F:F,'Year Wise Master Dep Approach'!D:D)</f>
        <v>WDV</v>
      </c>
      <c r="O1502" s="113">
        <f>_xlfn.XLOOKUP(_xlfn.CONCAT(E1502,B1502),'Year Wise Master Dep Approach'!F:F,'Year Wise Master Dep Approach'!E:E)</f>
        <v>3</v>
      </c>
      <c r="P1502" s="114">
        <f>IFERROR(IF('FA Addition'!$N1502="WDV",1-('FA Addition'!$M1502/'FA Addition'!$L1502)^(1/'FA Addition'!$O1502),1/'FA Addition'!$O1502),0)</f>
        <v>0.63157345977513657</v>
      </c>
      <c r="Q1502" s="122">
        <f>'FA Addition'!$P1502*'FA Addition'!$O1502</f>
        <v>1.8947203793254097</v>
      </c>
      <c r="R1502" s="122"/>
      <c r="S1502" s="116">
        <f>IF(AND(DATE(20&amp;LEFT(FAAddition[[#This Row],[FY]],2),4,1)&lt;$L$1+1,DATE(20&amp;LEFT(FAAddition[[#This Row],[FY]],2),4,1)&gt;$P$1-1),'FA Addition'!$J1502,0)</f>
        <v>0</v>
      </c>
      <c r="U1502" s="117">
        <f>S1502*'FA Addition'!$L1502/'FA Addition'!$J1502</f>
        <v>0</v>
      </c>
      <c r="W1502" s="116">
        <f>SUMIFS('FA Write off'!D:D,'FA Write off'!A:A,'FA Addition'!$A1502,'FA Write off'!C:C,"&lt;"&amp;'FA Addition'!$P$1)</f>
        <v>0</v>
      </c>
      <c r="Y1502" s="191">
        <f>IFERROR(W1502/'FA Addition'!$J1502*'FA Addition'!$L1502,0)</f>
        <v>0</v>
      </c>
      <c r="AA1502" s="116">
        <f>SUMIFS('FA Write off'!D:D,'FA Write off'!A:A,'FA Addition'!$A1502,'FA Write off'!C:C,"&lt;"&amp;'FA Addition'!$L$1+1,'FA Write off'!C:C,"&gt;"&amp;'FA Addition'!$L$1-365)</f>
        <v>0</v>
      </c>
      <c r="AC1502" s="118">
        <f>IFERROR(AA1502/'FA Addition'!$J1502*'FA Addition'!$L1502,0)</f>
        <v>0</v>
      </c>
      <c r="AE1502" s="117">
        <f>IF(AND('FA Addition'!$D1502&lt;$P$1+1,U1502=0),'FA Addition'!$L1502,0)-Y1502</f>
        <v>0</v>
      </c>
      <c r="AF1502" s="117">
        <f t="shared" si="115"/>
        <v>0</v>
      </c>
      <c r="AG1502" s="117">
        <f>MIN(MAX(+$P$1-'FA Addition'!$D1502,0),365*'FA Addition'!$O1502)</f>
        <v>0</v>
      </c>
      <c r="AH1502" s="117">
        <f>MIN(MAX($L$1-'FA Addition'!$D1502+1,0),365*'FA Addition'!$O1502)</f>
        <v>0</v>
      </c>
      <c r="AI1502" s="117" cm="1">
        <f t="array" ref="AI1502">_xlfn.XLOOKUP(1,('FA Write off'!A:A='FA Addition'!$A1502)*('FA Write off'!D:D=AA1502),'FA Write off'!H:H,0,0)</f>
        <v>0</v>
      </c>
      <c r="AJ1502" s="117">
        <f>IF(AC1502&gt;0,MAX(IF('FA Addition'!$N1502="SLM",($AC1502-'FA Addition'!$M1502)*'FA Addition'!$P1502*AI1502/365,(AC1502-'FA Addition'!$M1502)*(1-(1-'FA Addition'!$P1502)^(AI1502/365))),0),0)</f>
        <v>0</v>
      </c>
      <c r="AL1502" s="117">
        <f>MAX(IF(AG1502&gt;0,IF('FA Addition'!$N1502="SLM",($AE1502-'FA Addition'!$M1502)*'FA Addition'!$P1502*AG1502/365,IFERROR(VDB(AE1502,AE1502*0.05,'FA Addition'!$O1502,0,YEARFRAC('FA Addition'!$C1502,$P$1-1,3),'FA Addition'!$Q1502),FAAddition[[#This Row],[Original Cost (Rs)]]-FAAddition[[#This Row],[Salvage Value]])),0),0)</f>
        <v>0</v>
      </c>
      <c r="AM1502" s="119"/>
      <c r="AN1502" s="117">
        <f>MAX(IF(AH1502&gt;0,IF('FA Addition'!$N1502="SLM",($AF1502-'FA Addition'!$M1502)*'FA Addition'!$P1502*AH1502/365,IFERROR(VDB(AF1502,AF1502*0.05,'FA Addition'!$O1502,0,YEARFRAC('FA Addition'!$C1502,$L$1,3),'FA Addition'!$Q1502),FAAddition[[#This Row],[Original Cost (Rs)]]-FAAddition[[#This Row],[Salvage Value]])),0),0)</f>
        <v>0</v>
      </c>
      <c r="AO1502" s="117">
        <f t="shared" si="118"/>
        <v>0</v>
      </c>
      <c r="AQ1502" s="117">
        <f t="shared" si="116"/>
        <v>0</v>
      </c>
      <c r="AR1502" s="120">
        <f t="shared" si="117"/>
        <v>0</v>
      </c>
      <c r="AS1502" s="121"/>
    </row>
    <row r="1503" spans="1:45" ht="13.5" x14ac:dyDescent="0.4">
      <c r="A1503" s="12">
        <f t="shared" si="119"/>
        <v>1500</v>
      </c>
      <c r="B1503" s="64" t="s">
        <v>10</v>
      </c>
      <c r="C1503" s="54">
        <v>45841</v>
      </c>
      <c r="D1503" s="54">
        <v>45869</v>
      </c>
      <c r="E1503" s="46" t="s">
        <v>451</v>
      </c>
      <c r="F1503" s="51" t="s">
        <v>19</v>
      </c>
      <c r="G1503" s="51" t="s">
        <v>142</v>
      </c>
      <c r="H1503" s="51" t="s">
        <v>21</v>
      </c>
      <c r="I1503" s="55" t="s">
        <v>162</v>
      </c>
      <c r="J1503" s="56">
        <v>1</v>
      </c>
      <c r="K1503" s="51" t="s">
        <v>315</v>
      </c>
      <c r="L1503" s="58">
        <v>17796.61</v>
      </c>
      <c r="M1503" s="50">
        <f>ROUND('FA Addition'!$L1503*5%,0.1)</f>
        <v>890</v>
      </c>
      <c r="N1503" s="113" t="str">
        <f>_xlfn.XLOOKUP(_xlfn.CONCAT(E1503,B1503),'Year Wise Master Dep Approach'!F:F,'Year Wise Master Dep Approach'!D:D)</f>
        <v>WDV</v>
      </c>
      <c r="O1503" s="113">
        <f>_xlfn.XLOOKUP(_xlfn.CONCAT(E1503,B1503),'Year Wise Master Dep Approach'!F:F,'Year Wise Master Dep Approach'!E:E)</f>
        <v>3</v>
      </c>
      <c r="P1503" s="114">
        <f>IFERROR(IF('FA Addition'!$N1503="WDV",1-('FA Addition'!$M1503/'FA Addition'!$L1503)^(1/'FA Addition'!$O1503),1/'FA Addition'!$O1503),0)</f>
        <v>0.63157345977513657</v>
      </c>
      <c r="Q1503" s="122">
        <f>'FA Addition'!$P1503*'FA Addition'!$O1503</f>
        <v>1.8947203793254097</v>
      </c>
      <c r="R1503" s="122"/>
      <c r="S1503" s="116">
        <f>IF(AND(DATE(20&amp;LEFT(FAAddition[[#This Row],[FY]],2),4,1)&lt;$L$1+1,DATE(20&amp;LEFT(FAAddition[[#This Row],[FY]],2),4,1)&gt;$P$1-1),'FA Addition'!$J1503,0)</f>
        <v>0</v>
      </c>
      <c r="U1503" s="117">
        <f>S1503*'FA Addition'!$L1503/'FA Addition'!$J1503</f>
        <v>0</v>
      </c>
      <c r="W1503" s="116">
        <f>SUMIFS('FA Write off'!D:D,'FA Write off'!A:A,'FA Addition'!$A1503,'FA Write off'!C:C,"&lt;"&amp;'FA Addition'!$P$1)</f>
        <v>0</v>
      </c>
      <c r="Y1503" s="191">
        <f>IFERROR(W1503/'FA Addition'!$J1503*'FA Addition'!$L1503,0)</f>
        <v>0</v>
      </c>
      <c r="AA1503" s="116">
        <f>SUMIFS('FA Write off'!D:D,'FA Write off'!A:A,'FA Addition'!$A1503,'FA Write off'!C:C,"&lt;"&amp;'FA Addition'!$L$1+1,'FA Write off'!C:C,"&gt;"&amp;'FA Addition'!$L$1-365)</f>
        <v>0</v>
      </c>
      <c r="AC1503" s="118">
        <f>IFERROR(AA1503/'FA Addition'!$J1503*'FA Addition'!$L1503,0)</f>
        <v>0</v>
      </c>
      <c r="AE1503" s="117">
        <f>IF(AND('FA Addition'!$D1503&lt;$P$1+1,U1503=0),'FA Addition'!$L1503,0)-Y1503</f>
        <v>0</v>
      </c>
      <c r="AF1503" s="117">
        <f t="shared" si="115"/>
        <v>0</v>
      </c>
      <c r="AG1503" s="117">
        <f>MIN(MAX(+$P$1-'FA Addition'!$D1503,0),365*'FA Addition'!$O1503)</f>
        <v>0</v>
      </c>
      <c r="AH1503" s="117">
        <f>MIN(MAX($L$1-'FA Addition'!$D1503+1,0),365*'FA Addition'!$O1503)</f>
        <v>0</v>
      </c>
      <c r="AI1503" s="117" cm="1">
        <f t="array" ref="AI1503">_xlfn.XLOOKUP(1,('FA Write off'!A:A='FA Addition'!$A1503)*('FA Write off'!D:D=AA1503),'FA Write off'!H:H,0,0)</f>
        <v>0</v>
      </c>
      <c r="AJ1503" s="117">
        <f>IF(AC1503&gt;0,MAX(IF('FA Addition'!$N1503="SLM",($AC1503-'FA Addition'!$M1503)*'FA Addition'!$P1503*AI1503/365,(AC1503-'FA Addition'!$M1503)*(1-(1-'FA Addition'!$P1503)^(AI1503/365))),0),0)</f>
        <v>0</v>
      </c>
      <c r="AL1503" s="117">
        <f>MAX(IF(AG1503&gt;0,IF('FA Addition'!$N1503="SLM",($AE1503-'FA Addition'!$M1503)*'FA Addition'!$P1503*AG1503/365,IFERROR(VDB(AE1503,AE1503*0.05,'FA Addition'!$O1503,0,YEARFRAC('FA Addition'!$C1503,$P$1-1,3),'FA Addition'!$Q1503),FAAddition[[#This Row],[Original Cost (Rs)]]-FAAddition[[#This Row],[Salvage Value]])),0),0)</f>
        <v>0</v>
      </c>
      <c r="AM1503" s="119"/>
      <c r="AN1503" s="117">
        <f>MAX(IF(AH1503&gt;0,IF('FA Addition'!$N1503="SLM",($AF1503-'FA Addition'!$M1503)*'FA Addition'!$P1503*AH1503/365,IFERROR(VDB(AF1503,AF1503*0.05,'FA Addition'!$O1503,0,YEARFRAC('FA Addition'!$C1503,$L$1,3),'FA Addition'!$Q1503),FAAddition[[#This Row],[Original Cost (Rs)]]-FAAddition[[#This Row],[Salvage Value]])),0),0)</f>
        <v>0</v>
      </c>
      <c r="AO1503" s="117">
        <f t="shared" si="118"/>
        <v>0</v>
      </c>
      <c r="AQ1503" s="117">
        <f t="shared" si="116"/>
        <v>0</v>
      </c>
      <c r="AR1503" s="120">
        <f t="shared" si="117"/>
        <v>0</v>
      </c>
      <c r="AS1503" s="121"/>
    </row>
    <row r="1504" spans="1:45" ht="13.5" x14ac:dyDescent="0.4">
      <c r="A1504" s="12">
        <f t="shared" si="119"/>
        <v>1501</v>
      </c>
      <c r="B1504" s="64" t="s">
        <v>10</v>
      </c>
      <c r="C1504" s="54">
        <v>45841</v>
      </c>
      <c r="D1504" s="54">
        <v>45869</v>
      </c>
      <c r="E1504" s="46" t="s">
        <v>451</v>
      </c>
      <c r="F1504" s="51" t="s">
        <v>19</v>
      </c>
      <c r="G1504" s="51" t="s">
        <v>142</v>
      </c>
      <c r="H1504" s="51" t="s">
        <v>21</v>
      </c>
      <c r="I1504" s="55" t="s">
        <v>162</v>
      </c>
      <c r="J1504" s="56">
        <v>1</v>
      </c>
      <c r="K1504" s="51" t="s">
        <v>315</v>
      </c>
      <c r="L1504" s="58">
        <v>17796.61</v>
      </c>
      <c r="M1504" s="50">
        <f>ROUND('FA Addition'!$L1504*5%,0.1)</f>
        <v>890</v>
      </c>
      <c r="N1504" s="113" t="str">
        <f>_xlfn.XLOOKUP(_xlfn.CONCAT(E1504,B1504),'Year Wise Master Dep Approach'!F:F,'Year Wise Master Dep Approach'!D:D)</f>
        <v>WDV</v>
      </c>
      <c r="O1504" s="113">
        <f>_xlfn.XLOOKUP(_xlfn.CONCAT(E1504,B1504),'Year Wise Master Dep Approach'!F:F,'Year Wise Master Dep Approach'!E:E)</f>
        <v>3</v>
      </c>
      <c r="P1504" s="114">
        <f>IFERROR(IF('FA Addition'!$N1504="WDV",1-('FA Addition'!$M1504/'FA Addition'!$L1504)^(1/'FA Addition'!$O1504),1/'FA Addition'!$O1504),0)</f>
        <v>0.63157345977513657</v>
      </c>
      <c r="Q1504" s="122">
        <f>'FA Addition'!$P1504*'FA Addition'!$O1504</f>
        <v>1.8947203793254097</v>
      </c>
      <c r="R1504" s="122"/>
      <c r="S1504" s="116">
        <f>IF(AND(DATE(20&amp;LEFT(FAAddition[[#This Row],[FY]],2),4,1)&lt;$L$1+1,DATE(20&amp;LEFT(FAAddition[[#This Row],[FY]],2),4,1)&gt;$P$1-1),'FA Addition'!$J1504,0)</f>
        <v>0</v>
      </c>
      <c r="U1504" s="117">
        <f>S1504*'FA Addition'!$L1504/'FA Addition'!$J1504</f>
        <v>0</v>
      </c>
      <c r="W1504" s="116">
        <f>SUMIFS('FA Write off'!D:D,'FA Write off'!A:A,'FA Addition'!$A1504,'FA Write off'!C:C,"&lt;"&amp;'FA Addition'!$P$1)</f>
        <v>0</v>
      </c>
      <c r="Y1504" s="191">
        <f>IFERROR(W1504/'FA Addition'!$J1504*'FA Addition'!$L1504,0)</f>
        <v>0</v>
      </c>
      <c r="AA1504" s="116">
        <f>SUMIFS('FA Write off'!D:D,'FA Write off'!A:A,'FA Addition'!$A1504,'FA Write off'!C:C,"&lt;"&amp;'FA Addition'!$L$1+1,'FA Write off'!C:C,"&gt;"&amp;'FA Addition'!$L$1-365)</f>
        <v>0</v>
      </c>
      <c r="AC1504" s="118">
        <f>IFERROR(AA1504/'FA Addition'!$J1504*'FA Addition'!$L1504,0)</f>
        <v>0</v>
      </c>
      <c r="AE1504" s="117">
        <f>IF(AND('FA Addition'!$D1504&lt;$P$1+1,U1504=0),'FA Addition'!$L1504,0)-Y1504</f>
        <v>0</v>
      </c>
      <c r="AF1504" s="117">
        <f t="shared" si="115"/>
        <v>0</v>
      </c>
      <c r="AG1504" s="117">
        <f>MIN(MAX(+$P$1-'FA Addition'!$D1504,0),365*'FA Addition'!$O1504)</f>
        <v>0</v>
      </c>
      <c r="AH1504" s="117">
        <f>MIN(MAX($L$1-'FA Addition'!$D1504+1,0),365*'FA Addition'!$O1504)</f>
        <v>0</v>
      </c>
      <c r="AI1504" s="117" cm="1">
        <f t="array" ref="AI1504">_xlfn.XLOOKUP(1,('FA Write off'!A:A='FA Addition'!$A1504)*('FA Write off'!D:D=AA1504),'FA Write off'!H:H,0,0)</f>
        <v>0</v>
      </c>
      <c r="AJ1504" s="117">
        <f>IF(AC1504&gt;0,MAX(IF('FA Addition'!$N1504="SLM",($AC1504-'FA Addition'!$M1504)*'FA Addition'!$P1504*AI1504/365,(AC1504-'FA Addition'!$M1504)*(1-(1-'FA Addition'!$P1504)^(AI1504/365))),0),0)</f>
        <v>0</v>
      </c>
      <c r="AL1504" s="117">
        <f>MAX(IF(AG1504&gt;0,IF('FA Addition'!$N1504="SLM",($AE1504-'FA Addition'!$M1504)*'FA Addition'!$P1504*AG1504/365,IFERROR(VDB(AE1504,AE1504*0.05,'FA Addition'!$O1504,0,YEARFRAC('FA Addition'!$C1504,$P$1-1,3),'FA Addition'!$Q1504),FAAddition[[#This Row],[Original Cost (Rs)]]-FAAddition[[#This Row],[Salvage Value]])),0),0)</f>
        <v>0</v>
      </c>
      <c r="AM1504" s="119"/>
      <c r="AN1504" s="117">
        <f>MAX(IF(AH1504&gt;0,IF('FA Addition'!$N1504="SLM",($AF1504-'FA Addition'!$M1504)*'FA Addition'!$P1504*AH1504/365,IFERROR(VDB(AF1504,AF1504*0.05,'FA Addition'!$O1504,0,YEARFRAC('FA Addition'!$C1504,$L$1,3),'FA Addition'!$Q1504),FAAddition[[#This Row],[Original Cost (Rs)]]-FAAddition[[#This Row],[Salvage Value]])),0),0)</f>
        <v>0</v>
      </c>
      <c r="AO1504" s="117">
        <f t="shared" si="118"/>
        <v>0</v>
      </c>
      <c r="AQ1504" s="117">
        <f t="shared" si="116"/>
        <v>0</v>
      </c>
      <c r="AR1504" s="120">
        <f t="shared" si="117"/>
        <v>0</v>
      </c>
      <c r="AS1504" s="121"/>
    </row>
    <row r="1505" spans="1:45" ht="13.5" x14ac:dyDescent="0.4">
      <c r="A1505" s="12">
        <f t="shared" si="119"/>
        <v>1502</v>
      </c>
      <c r="B1505" s="64" t="s">
        <v>10</v>
      </c>
      <c r="C1505" s="54">
        <v>45841</v>
      </c>
      <c r="D1505" s="54">
        <v>45869</v>
      </c>
      <c r="E1505" s="46" t="s">
        <v>451</v>
      </c>
      <c r="F1505" s="51" t="s">
        <v>19</v>
      </c>
      <c r="G1505" s="51" t="s">
        <v>142</v>
      </c>
      <c r="H1505" s="51" t="s">
        <v>21</v>
      </c>
      <c r="I1505" s="55" t="s">
        <v>162</v>
      </c>
      <c r="J1505" s="56">
        <v>1</v>
      </c>
      <c r="K1505" s="51" t="s">
        <v>315</v>
      </c>
      <c r="L1505" s="58">
        <v>17796.61</v>
      </c>
      <c r="M1505" s="50">
        <f>ROUND('FA Addition'!$L1505*5%,0.1)</f>
        <v>890</v>
      </c>
      <c r="N1505" s="113" t="str">
        <f>_xlfn.XLOOKUP(_xlfn.CONCAT(E1505,B1505),'Year Wise Master Dep Approach'!F:F,'Year Wise Master Dep Approach'!D:D)</f>
        <v>WDV</v>
      </c>
      <c r="O1505" s="113">
        <f>_xlfn.XLOOKUP(_xlfn.CONCAT(E1505,B1505),'Year Wise Master Dep Approach'!F:F,'Year Wise Master Dep Approach'!E:E)</f>
        <v>3</v>
      </c>
      <c r="P1505" s="114">
        <f>IFERROR(IF('FA Addition'!$N1505="WDV",1-('FA Addition'!$M1505/'FA Addition'!$L1505)^(1/'FA Addition'!$O1505),1/'FA Addition'!$O1505),0)</f>
        <v>0.63157345977513657</v>
      </c>
      <c r="Q1505" s="122">
        <f>'FA Addition'!$P1505*'FA Addition'!$O1505</f>
        <v>1.8947203793254097</v>
      </c>
      <c r="R1505" s="122"/>
      <c r="S1505" s="116">
        <f>IF(AND(DATE(20&amp;LEFT(FAAddition[[#This Row],[FY]],2),4,1)&lt;$L$1+1,DATE(20&amp;LEFT(FAAddition[[#This Row],[FY]],2),4,1)&gt;$P$1-1),'FA Addition'!$J1505,0)</f>
        <v>0</v>
      </c>
      <c r="U1505" s="117">
        <f>S1505*'FA Addition'!$L1505/'FA Addition'!$J1505</f>
        <v>0</v>
      </c>
      <c r="W1505" s="116">
        <f>SUMIFS('FA Write off'!D:D,'FA Write off'!A:A,'FA Addition'!$A1505,'FA Write off'!C:C,"&lt;"&amp;'FA Addition'!$P$1)</f>
        <v>0</v>
      </c>
      <c r="Y1505" s="191">
        <f>IFERROR(W1505/'FA Addition'!$J1505*'FA Addition'!$L1505,0)</f>
        <v>0</v>
      </c>
      <c r="AA1505" s="116">
        <f>SUMIFS('FA Write off'!D:D,'FA Write off'!A:A,'FA Addition'!$A1505,'FA Write off'!C:C,"&lt;"&amp;'FA Addition'!$L$1+1,'FA Write off'!C:C,"&gt;"&amp;'FA Addition'!$L$1-365)</f>
        <v>0</v>
      </c>
      <c r="AC1505" s="118">
        <f>IFERROR(AA1505/'FA Addition'!$J1505*'FA Addition'!$L1505,0)</f>
        <v>0</v>
      </c>
      <c r="AE1505" s="117">
        <f>IF(AND('FA Addition'!$D1505&lt;$P$1+1,U1505=0),'FA Addition'!$L1505,0)-Y1505</f>
        <v>0</v>
      </c>
      <c r="AF1505" s="117">
        <f t="shared" si="115"/>
        <v>0</v>
      </c>
      <c r="AG1505" s="117">
        <f>MIN(MAX(+$P$1-'FA Addition'!$D1505,0),365*'FA Addition'!$O1505)</f>
        <v>0</v>
      </c>
      <c r="AH1505" s="117">
        <f>MIN(MAX($L$1-'FA Addition'!$D1505+1,0),365*'FA Addition'!$O1505)</f>
        <v>0</v>
      </c>
      <c r="AI1505" s="117" cm="1">
        <f t="array" ref="AI1505">_xlfn.XLOOKUP(1,('FA Write off'!A:A='FA Addition'!$A1505)*('FA Write off'!D:D=AA1505),'FA Write off'!H:H,0,0)</f>
        <v>0</v>
      </c>
      <c r="AJ1505" s="117">
        <f>IF(AC1505&gt;0,MAX(IF('FA Addition'!$N1505="SLM",($AC1505-'FA Addition'!$M1505)*'FA Addition'!$P1505*AI1505/365,(AC1505-'FA Addition'!$M1505)*(1-(1-'FA Addition'!$P1505)^(AI1505/365))),0),0)</f>
        <v>0</v>
      </c>
      <c r="AL1505" s="117">
        <f>MAX(IF(AG1505&gt;0,IF('FA Addition'!$N1505="SLM",($AE1505-'FA Addition'!$M1505)*'FA Addition'!$P1505*AG1505/365,IFERROR(VDB(AE1505,AE1505*0.05,'FA Addition'!$O1505,0,YEARFRAC('FA Addition'!$C1505,$P$1-1,3),'FA Addition'!$Q1505),FAAddition[[#This Row],[Original Cost (Rs)]]-FAAddition[[#This Row],[Salvage Value]])),0),0)</f>
        <v>0</v>
      </c>
      <c r="AM1505" s="119"/>
      <c r="AN1505" s="117">
        <f>MAX(IF(AH1505&gt;0,IF('FA Addition'!$N1505="SLM",($AF1505-'FA Addition'!$M1505)*'FA Addition'!$P1505*AH1505/365,IFERROR(VDB(AF1505,AF1505*0.05,'FA Addition'!$O1505,0,YEARFRAC('FA Addition'!$C1505,$L$1,3),'FA Addition'!$Q1505),FAAddition[[#This Row],[Original Cost (Rs)]]-FAAddition[[#This Row],[Salvage Value]])),0),0)</f>
        <v>0</v>
      </c>
      <c r="AO1505" s="117">
        <f t="shared" si="118"/>
        <v>0</v>
      </c>
      <c r="AQ1505" s="117">
        <f t="shared" si="116"/>
        <v>0</v>
      </c>
      <c r="AR1505" s="120">
        <f t="shared" si="117"/>
        <v>0</v>
      </c>
      <c r="AS1505" s="121"/>
    </row>
    <row r="1506" spans="1:45" ht="13.5" x14ac:dyDescent="0.4">
      <c r="A1506" s="12">
        <f t="shared" si="119"/>
        <v>1503</v>
      </c>
      <c r="B1506" s="64" t="s">
        <v>10</v>
      </c>
      <c r="C1506" s="54">
        <v>45896</v>
      </c>
      <c r="D1506" s="54">
        <v>45910</v>
      </c>
      <c r="E1506" s="46" t="s">
        <v>451</v>
      </c>
      <c r="F1506" s="51" t="s">
        <v>19</v>
      </c>
      <c r="G1506" s="51" t="s">
        <v>144</v>
      </c>
      <c r="H1506" s="51" t="s">
        <v>163</v>
      </c>
      <c r="I1506" s="55">
        <v>124</v>
      </c>
      <c r="J1506" s="56">
        <v>1</v>
      </c>
      <c r="K1506" s="51" t="s">
        <v>329</v>
      </c>
      <c r="L1506" s="58">
        <v>169000</v>
      </c>
      <c r="M1506" s="50">
        <f>ROUND('FA Addition'!$L1506*5%,0.1)</f>
        <v>8450</v>
      </c>
      <c r="N1506" s="113" t="str">
        <f>_xlfn.XLOOKUP(_xlfn.CONCAT(E1506,B1506),'Year Wise Master Dep Approach'!F:F,'Year Wise Master Dep Approach'!D:D)</f>
        <v>WDV</v>
      </c>
      <c r="O1506" s="113">
        <f>_xlfn.XLOOKUP(_xlfn.CONCAT(E1506,B1506),'Year Wise Master Dep Approach'!F:F,'Year Wise Master Dep Approach'!E:E)</f>
        <v>3</v>
      </c>
      <c r="P1506" s="114">
        <f>IFERROR(IF('FA Addition'!$N1506="WDV",1-('FA Addition'!$M1506/'FA Addition'!$L1506)^(1/'FA Addition'!$O1506),1/'FA Addition'!$O1506),0)</f>
        <v>0.63159685013596123</v>
      </c>
      <c r="Q1506" s="122">
        <f>'FA Addition'!$P1506*'FA Addition'!$O1506</f>
        <v>1.8947905504078837</v>
      </c>
      <c r="R1506" s="122"/>
      <c r="S1506" s="116">
        <f>IF(AND(DATE(20&amp;LEFT(FAAddition[[#This Row],[FY]],2),4,1)&lt;$L$1+1,DATE(20&amp;LEFT(FAAddition[[#This Row],[FY]],2),4,1)&gt;$P$1-1),'FA Addition'!$J1506,0)</f>
        <v>0</v>
      </c>
      <c r="U1506" s="117">
        <f>S1506*'FA Addition'!$L1506/'FA Addition'!$J1506</f>
        <v>0</v>
      </c>
      <c r="W1506" s="116">
        <f>SUMIFS('FA Write off'!D:D,'FA Write off'!A:A,'FA Addition'!$A1506,'FA Write off'!C:C,"&lt;"&amp;'FA Addition'!$P$1)</f>
        <v>0</v>
      </c>
      <c r="Y1506" s="191">
        <f>IFERROR(W1506/'FA Addition'!$J1506*'FA Addition'!$L1506,0)</f>
        <v>0</v>
      </c>
      <c r="AA1506" s="116">
        <f>SUMIFS('FA Write off'!D:D,'FA Write off'!A:A,'FA Addition'!$A1506,'FA Write off'!C:C,"&lt;"&amp;'FA Addition'!$L$1+1,'FA Write off'!C:C,"&gt;"&amp;'FA Addition'!$L$1-365)</f>
        <v>0</v>
      </c>
      <c r="AC1506" s="118">
        <f>IFERROR(AA1506/'FA Addition'!$J1506*'FA Addition'!$L1506,0)</f>
        <v>0</v>
      </c>
      <c r="AE1506" s="117">
        <f>IF(AND('FA Addition'!$D1506&lt;$P$1+1,U1506=0),'FA Addition'!$L1506,0)-Y1506</f>
        <v>0</v>
      </c>
      <c r="AF1506" s="117">
        <f t="shared" si="115"/>
        <v>0</v>
      </c>
      <c r="AG1506" s="117">
        <f>MIN(MAX(+$P$1-'FA Addition'!$D1506,0),365*'FA Addition'!$O1506)</f>
        <v>0</v>
      </c>
      <c r="AH1506" s="117">
        <f>MIN(MAX($L$1-'FA Addition'!$D1506+1,0),365*'FA Addition'!$O1506)</f>
        <v>0</v>
      </c>
      <c r="AI1506" s="117" cm="1">
        <f t="array" ref="AI1506">_xlfn.XLOOKUP(1,('FA Write off'!A:A='FA Addition'!$A1506)*('FA Write off'!D:D=AA1506),'FA Write off'!H:H,0,0)</f>
        <v>0</v>
      </c>
      <c r="AJ1506" s="117">
        <f>IF(AC1506&gt;0,MAX(IF('FA Addition'!$N1506="SLM",($AC1506-'FA Addition'!$M1506)*'FA Addition'!$P1506*AI1506/365,(AC1506-'FA Addition'!$M1506)*(1-(1-'FA Addition'!$P1506)^(AI1506/365))),0),0)</f>
        <v>0</v>
      </c>
      <c r="AL1506" s="117">
        <f>MAX(IF(AG1506&gt;0,IF('FA Addition'!$N1506="SLM",($AE1506-'FA Addition'!$M1506)*'FA Addition'!$P1506*AG1506/365,IFERROR(VDB(AE1506,AE1506*0.05,'FA Addition'!$O1506,0,YEARFRAC('FA Addition'!$C1506,$P$1-1,3),'FA Addition'!$Q1506),FAAddition[[#This Row],[Original Cost (Rs)]]-FAAddition[[#This Row],[Salvage Value]])),0),0)</f>
        <v>0</v>
      </c>
      <c r="AM1506" s="119"/>
      <c r="AN1506" s="117">
        <f>MAX(IF(AH1506&gt;0,IF('FA Addition'!$N1506="SLM",($AF1506-'FA Addition'!$M1506)*'FA Addition'!$P1506*AH1506/365,IFERROR(VDB(AF1506,AF1506*0.05,'FA Addition'!$O1506,0,YEARFRAC('FA Addition'!$C1506,$L$1,3),'FA Addition'!$Q1506),FAAddition[[#This Row],[Original Cost (Rs)]]-FAAddition[[#This Row],[Salvage Value]])),0),0)</f>
        <v>0</v>
      </c>
      <c r="AO1506" s="117">
        <f t="shared" si="118"/>
        <v>0</v>
      </c>
      <c r="AQ1506" s="117">
        <f t="shared" si="116"/>
        <v>0</v>
      </c>
      <c r="AR1506" s="120">
        <f t="shared" si="117"/>
        <v>0</v>
      </c>
      <c r="AS1506" s="121"/>
    </row>
    <row r="1507" spans="1:45" ht="13.5" x14ac:dyDescent="0.4">
      <c r="A1507" s="12">
        <f t="shared" si="119"/>
        <v>1504</v>
      </c>
      <c r="B1507" s="64" t="s">
        <v>10</v>
      </c>
      <c r="C1507" s="54">
        <v>45905</v>
      </c>
      <c r="D1507" s="54">
        <v>45923</v>
      </c>
      <c r="E1507" s="46" t="s">
        <v>451</v>
      </c>
      <c r="F1507" s="51" t="s">
        <v>19</v>
      </c>
      <c r="G1507" s="51" t="s">
        <v>20</v>
      </c>
      <c r="H1507" s="51" t="s">
        <v>151</v>
      </c>
      <c r="I1507" s="55" t="s">
        <v>164</v>
      </c>
      <c r="J1507" s="56">
        <v>1</v>
      </c>
      <c r="K1507" s="51" t="s">
        <v>330</v>
      </c>
      <c r="L1507" s="58">
        <v>10400</v>
      </c>
      <c r="M1507" s="50">
        <f>ROUND('FA Addition'!$L1507*5%,0.1)</f>
        <v>520</v>
      </c>
      <c r="N1507" s="113" t="str">
        <f>_xlfn.XLOOKUP(_xlfn.CONCAT(E1507,B1507),'Year Wise Master Dep Approach'!F:F,'Year Wise Master Dep Approach'!D:D)</f>
        <v>WDV</v>
      </c>
      <c r="O1507" s="113">
        <f>_xlfn.XLOOKUP(_xlfn.CONCAT(E1507,B1507),'Year Wise Master Dep Approach'!F:F,'Year Wise Master Dep Approach'!E:E)</f>
        <v>3</v>
      </c>
      <c r="P1507" s="114">
        <f>IFERROR(IF('FA Addition'!$N1507="WDV",1-('FA Addition'!$M1507/'FA Addition'!$L1507)^(1/'FA Addition'!$O1507),1/'FA Addition'!$O1507),0)</f>
        <v>0.63159685013596123</v>
      </c>
      <c r="Q1507" s="122">
        <f>'FA Addition'!$P1507*'FA Addition'!$O1507</f>
        <v>1.8947905504078837</v>
      </c>
      <c r="R1507" s="122"/>
      <c r="S1507" s="116">
        <f>IF(AND(DATE(20&amp;LEFT(FAAddition[[#This Row],[FY]],2),4,1)&lt;$L$1+1,DATE(20&amp;LEFT(FAAddition[[#This Row],[FY]],2),4,1)&gt;$P$1-1),'FA Addition'!$J1507,0)</f>
        <v>0</v>
      </c>
      <c r="U1507" s="117">
        <f>S1507*'FA Addition'!$L1507/'FA Addition'!$J1507</f>
        <v>0</v>
      </c>
      <c r="W1507" s="116">
        <f>SUMIFS('FA Write off'!D:D,'FA Write off'!A:A,'FA Addition'!$A1507,'FA Write off'!C:C,"&lt;"&amp;'FA Addition'!$P$1)</f>
        <v>0</v>
      </c>
      <c r="Y1507" s="191">
        <f>IFERROR(W1507/'FA Addition'!$J1507*'FA Addition'!$L1507,0)</f>
        <v>0</v>
      </c>
      <c r="AA1507" s="116">
        <f>SUMIFS('FA Write off'!D:D,'FA Write off'!A:A,'FA Addition'!$A1507,'FA Write off'!C:C,"&lt;"&amp;'FA Addition'!$L$1+1,'FA Write off'!C:C,"&gt;"&amp;'FA Addition'!$L$1-365)</f>
        <v>0</v>
      </c>
      <c r="AC1507" s="118">
        <f>IFERROR(AA1507/'FA Addition'!$J1507*'FA Addition'!$L1507,0)</f>
        <v>0</v>
      </c>
      <c r="AE1507" s="117">
        <f>IF(AND('FA Addition'!$D1507&lt;$P$1+1,U1507=0),'FA Addition'!$L1507,0)-Y1507</f>
        <v>0</v>
      </c>
      <c r="AF1507" s="117">
        <f t="shared" si="115"/>
        <v>0</v>
      </c>
      <c r="AG1507" s="117">
        <f>MIN(MAX(+$P$1-'FA Addition'!$D1507,0),365*'FA Addition'!$O1507)</f>
        <v>0</v>
      </c>
      <c r="AH1507" s="117">
        <f>MIN(MAX($L$1-'FA Addition'!$D1507+1,0),365*'FA Addition'!$O1507)</f>
        <v>0</v>
      </c>
      <c r="AI1507" s="117" cm="1">
        <f t="array" ref="AI1507">_xlfn.XLOOKUP(1,('FA Write off'!A:A='FA Addition'!$A1507)*('FA Write off'!D:D=AA1507),'FA Write off'!H:H,0,0)</f>
        <v>0</v>
      </c>
      <c r="AJ1507" s="117">
        <f>IF(AC1507&gt;0,MAX(IF('FA Addition'!$N1507="SLM",($AC1507-'FA Addition'!$M1507)*'FA Addition'!$P1507*AI1507/365,(AC1507-'FA Addition'!$M1507)*(1-(1-'FA Addition'!$P1507)^(AI1507/365))),0),0)</f>
        <v>0</v>
      </c>
      <c r="AL1507" s="117">
        <f>MAX(IF(AG1507&gt;0,IF('FA Addition'!$N1507="SLM",($AE1507-'FA Addition'!$M1507)*'FA Addition'!$P1507*AG1507/365,IFERROR(VDB(AE1507,AE1507*0.05,'FA Addition'!$O1507,0,YEARFRAC('FA Addition'!$C1507,$P$1-1,3),'FA Addition'!$Q1507),FAAddition[[#This Row],[Original Cost (Rs)]]-FAAddition[[#This Row],[Salvage Value]])),0),0)</f>
        <v>0</v>
      </c>
      <c r="AM1507" s="119"/>
      <c r="AN1507" s="117">
        <f>MAX(IF(AH1507&gt;0,IF('FA Addition'!$N1507="SLM",($AF1507-'FA Addition'!$M1507)*'FA Addition'!$P1507*AH1507/365,IFERROR(VDB(AF1507,AF1507*0.05,'FA Addition'!$O1507,0,YEARFRAC('FA Addition'!$C1507,$L$1,3),'FA Addition'!$Q1507),FAAddition[[#This Row],[Original Cost (Rs)]]-FAAddition[[#This Row],[Salvage Value]])),0),0)</f>
        <v>0</v>
      </c>
      <c r="AO1507" s="117">
        <f t="shared" si="118"/>
        <v>0</v>
      </c>
      <c r="AQ1507" s="117">
        <f t="shared" si="116"/>
        <v>0</v>
      </c>
      <c r="AR1507" s="120">
        <f t="shared" si="117"/>
        <v>0</v>
      </c>
      <c r="AS1507" s="121"/>
    </row>
    <row r="1508" spans="1:45" ht="13.5" x14ac:dyDescent="0.4">
      <c r="A1508" s="12">
        <f t="shared" si="119"/>
        <v>1505</v>
      </c>
      <c r="B1508" s="64" t="s">
        <v>10</v>
      </c>
      <c r="C1508" s="54">
        <v>45909</v>
      </c>
      <c r="D1508" s="54">
        <v>45925</v>
      </c>
      <c r="E1508" s="46" t="s">
        <v>451</v>
      </c>
      <c r="F1508" s="51" t="s">
        <v>19</v>
      </c>
      <c r="G1508" s="51" t="s">
        <v>20</v>
      </c>
      <c r="H1508" s="51" t="s">
        <v>21</v>
      </c>
      <c r="I1508" s="55" t="s">
        <v>165</v>
      </c>
      <c r="J1508" s="56">
        <v>1</v>
      </c>
      <c r="K1508" s="51" t="s">
        <v>331</v>
      </c>
      <c r="L1508" s="58">
        <v>133050.85</v>
      </c>
      <c r="M1508" s="50">
        <f>ROUND('FA Addition'!$L1508*5%,0.1)</f>
        <v>6653</v>
      </c>
      <c r="N1508" s="113" t="str">
        <f>_xlfn.XLOOKUP(_xlfn.CONCAT(E1508,B1508),'Year Wise Master Dep Approach'!F:F,'Year Wise Master Dep Approach'!D:D)</f>
        <v>WDV</v>
      </c>
      <c r="O1508" s="113">
        <f>_xlfn.XLOOKUP(_xlfn.CONCAT(E1508,B1508),'Year Wise Master Dep Approach'!F:F,'Year Wise Master Dep Approach'!E:E)</f>
        <v>3</v>
      </c>
      <c r="P1508" s="114">
        <f>IFERROR(IF('FA Addition'!$N1508="WDV",1-('FA Addition'!$M1508/'FA Addition'!$L1508)^(1/'FA Addition'!$O1508),1/'FA Addition'!$O1508),0)</f>
        <v>0.63158840521546311</v>
      </c>
      <c r="Q1508" s="122">
        <f>'FA Addition'!$P1508*'FA Addition'!$O1508</f>
        <v>1.8947652156463892</v>
      </c>
      <c r="R1508" s="122"/>
      <c r="S1508" s="116">
        <f>IF(AND(DATE(20&amp;LEFT(FAAddition[[#This Row],[FY]],2),4,1)&lt;$L$1+1,DATE(20&amp;LEFT(FAAddition[[#This Row],[FY]],2),4,1)&gt;$P$1-1),'FA Addition'!$J1508,0)</f>
        <v>0</v>
      </c>
      <c r="U1508" s="117">
        <f>S1508*'FA Addition'!$L1508/'FA Addition'!$J1508</f>
        <v>0</v>
      </c>
      <c r="W1508" s="116">
        <f>SUMIFS('FA Write off'!D:D,'FA Write off'!A:A,'FA Addition'!$A1508,'FA Write off'!C:C,"&lt;"&amp;'FA Addition'!$P$1)</f>
        <v>0</v>
      </c>
      <c r="Y1508" s="191">
        <f>IFERROR(W1508/'FA Addition'!$J1508*'FA Addition'!$L1508,0)</f>
        <v>0</v>
      </c>
      <c r="AA1508" s="116">
        <f>SUMIFS('FA Write off'!D:D,'FA Write off'!A:A,'FA Addition'!$A1508,'FA Write off'!C:C,"&lt;"&amp;'FA Addition'!$L$1+1,'FA Write off'!C:C,"&gt;"&amp;'FA Addition'!$L$1-365)</f>
        <v>0</v>
      </c>
      <c r="AC1508" s="118">
        <f>IFERROR(AA1508/'FA Addition'!$J1508*'FA Addition'!$L1508,0)</f>
        <v>0</v>
      </c>
      <c r="AE1508" s="117">
        <f>IF(AND('FA Addition'!$D1508&lt;$P$1+1,U1508=0),'FA Addition'!$L1508,0)-Y1508</f>
        <v>0</v>
      </c>
      <c r="AF1508" s="117">
        <f t="shared" si="115"/>
        <v>0</v>
      </c>
      <c r="AG1508" s="117">
        <f>MIN(MAX(+$P$1-'FA Addition'!$D1508,0),365*'FA Addition'!$O1508)</f>
        <v>0</v>
      </c>
      <c r="AH1508" s="117">
        <f>MIN(MAX($L$1-'FA Addition'!$D1508+1,0),365*'FA Addition'!$O1508)</f>
        <v>0</v>
      </c>
      <c r="AI1508" s="117" cm="1">
        <f t="array" ref="AI1508">_xlfn.XLOOKUP(1,('FA Write off'!A:A='FA Addition'!$A1508)*('FA Write off'!D:D=AA1508),'FA Write off'!H:H,0,0)</f>
        <v>0</v>
      </c>
      <c r="AJ1508" s="117">
        <f>IF(AC1508&gt;0,MAX(IF('FA Addition'!$N1508="SLM",($AC1508-'FA Addition'!$M1508)*'FA Addition'!$P1508*AI1508/365,(AC1508-'FA Addition'!$M1508)*(1-(1-'FA Addition'!$P1508)^(AI1508/365))),0),0)</f>
        <v>0</v>
      </c>
      <c r="AL1508" s="117">
        <f>MAX(IF(AG1508&gt;0,IF('FA Addition'!$N1508="SLM",($AE1508-'FA Addition'!$M1508)*'FA Addition'!$P1508*AG1508/365,IFERROR(VDB(AE1508,AE1508*0.05,'FA Addition'!$O1508,0,YEARFRAC('FA Addition'!$C1508,$P$1-1,3),'FA Addition'!$Q1508),FAAddition[[#This Row],[Original Cost (Rs)]]-FAAddition[[#This Row],[Salvage Value]])),0),0)</f>
        <v>0</v>
      </c>
      <c r="AM1508" s="119"/>
      <c r="AN1508" s="117">
        <f>MAX(IF(AH1508&gt;0,IF('FA Addition'!$N1508="SLM",($AF1508-'FA Addition'!$M1508)*'FA Addition'!$P1508*AH1508/365,IFERROR(VDB(AF1508,AF1508*0.05,'FA Addition'!$O1508,0,YEARFRAC('FA Addition'!$C1508,$L$1,3),'FA Addition'!$Q1508),FAAddition[[#This Row],[Original Cost (Rs)]]-FAAddition[[#This Row],[Salvage Value]])),0),0)</f>
        <v>0</v>
      </c>
      <c r="AO1508" s="117">
        <f t="shared" si="118"/>
        <v>0</v>
      </c>
      <c r="AQ1508" s="117">
        <f t="shared" si="116"/>
        <v>0</v>
      </c>
      <c r="AR1508" s="120">
        <f t="shared" si="117"/>
        <v>0</v>
      </c>
      <c r="AS1508" s="121"/>
    </row>
    <row r="1509" spans="1:45" ht="13.5" x14ac:dyDescent="0.4">
      <c r="A1509" s="12">
        <f t="shared" si="119"/>
        <v>1506</v>
      </c>
      <c r="B1509" s="64" t="s">
        <v>10</v>
      </c>
      <c r="C1509" s="54">
        <v>45909</v>
      </c>
      <c r="D1509" s="54">
        <v>45925</v>
      </c>
      <c r="E1509" s="46" t="s">
        <v>451</v>
      </c>
      <c r="F1509" s="51" t="s">
        <v>19</v>
      </c>
      <c r="G1509" s="51" t="s">
        <v>20</v>
      </c>
      <c r="H1509" s="51" t="s">
        <v>21</v>
      </c>
      <c r="I1509" s="55" t="s">
        <v>165</v>
      </c>
      <c r="J1509" s="56">
        <v>1</v>
      </c>
      <c r="K1509" s="51" t="s">
        <v>331</v>
      </c>
      <c r="L1509" s="58">
        <v>133050.85</v>
      </c>
      <c r="M1509" s="50">
        <f>ROUND('FA Addition'!$L1509*5%,0.1)</f>
        <v>6653</v>
      </c>
      <c r="N1509" s="113" t="str">
        <f>_xlfn.XLOOKUP(_xlfn.CONCAT(E1509,B1509),'Year Wise Master Dep Approach'!F:F,'Year Wise Master Dep Approach'!D:D)</f>
        <v>WDV</v>
      </c>
      <c r="O1509" s="113">
        <f>_xlfn.XLOOKUP(_xlfn.CONCAT(E1509,B1509),'Year Wise Master Dep Approach'!F:F,'Year Wise Master Dep Approach'!E:E)</f>
        <v>3</v>
      </c>
      <c r="P1509" s="114">
        <f>IFERROR(IF('FA Addition'!$N1509="WDV",1-('FA Addition'!$M1509/'FA Addition'!$L1509)^(1/'FA Addition'!$O1509),1/'FA Addition'!$O1509),0)</f>
        <v>0.63158840521546311</v>
      </c>
      <c r="Q1509" s="122">
        <f>'FA Addition'!$P1509*'FA Addition'!$O1509</f>
        <v>1.8947652156463892</v>
      </c>
      <c r="R1509" s="122"/>
      <c r="S1509" s="116">
        <f>IF(AND(DATE(20&amp;LEFT(FAAddition[[#This Row],[FY]],2),4,1)&lt;$L$1+1,DATE(20&amp;LEFT(FAAddition[[#This Row],[FY]],2),4,1)&gt;$P$1-1),'FA Addition'!$J1509,0)</f>
        <v>0</v>
      </c>
      <c r="U1509" s="117">
        <f>S1509*'FA Addition'!$L1509/'FA Addition'!$J1509</f>
        <v>0</v>
      </c>
      <c r="W1509" s="116">
        <f>SUMIFS('FA Write off'!D:D,'FA Write off'!A:A,'FA Addition'!$A1509,'FA Write off'!C:C,"&lt;"&amp;'FA Addition'!$P$1)</f>
        <v>0</v>
      </c>
      <c r="Y1509" s="191">
        <f>IFERROR(W1509/'FA Addition'!$J1509*'FA Addition'!$L1509,0)</f>
        <v>0</v>
      </c>
      <c r="AA1509" s="116">
        <f>SUMIFS('FA Write off'!D:D,'FA Write off'!A:A,'FA Addition'!$A1509,'FA Write off'!C:C,"&lt;"&amp;'FA Addition'!$L$1+1,'FA Write off'!C:C,"&gt;"&amp;'FA Addition'!$L$1-365)</f>
        <v>0</v>
      </c>
      <c r="AC1509" s="118">
        <f>IFERROR(AA1509/'FA Addition'!$J1509*'FA Addition'!$L1509,0)</f>
        <v>0</v>
      </c>
      <c r="AE1509" s="117">
        <f>IF(AND('FA Addition'!$D1509&lt;$P$1+1,U1509=0),'FA Addition'!$L1509,0)-Y1509</f>
        <v>0</v>
      </c>
      <c r="AF1509" s="117">
        <f t="shared" si="115"/>
        <v>0</v>
      </c>
      <c r="AG1509" s="117">
        <f>MIN(MAX(+$P$1-'FA Addition'!$D1509,0),365*'FA Addition'!$O1509)</f>
        <v>0</v>
      </c>
      <c r="AH1509" s="117">
        <f>MIN(MAX($L$1-'FA Addition'!$D1509+1,0),365*'FA Addition'!$O1509)</f>
        <v>0</v>
      </c>
      <c r="AI1509" s="117" cm="1">
        <f t="array" ref="AI1509">_xlfn.XLOOKUP(1,('FA Write off'!A:A='FA Addition'!$A1509)*('FA Write off'!D:D=AA1509),'FA Write off'!H:H,0,0)</f>
        <v>0</v>
      </c>
      <c r="AJ1509" s="117">
        <f>IF(AC1509&gt;0,MAX(IF('FA Addition'!$N1509="SLM",($AC1509-'FA Addition'!$M1509)*'FA Addition'!$P1509*AI1509/365,(AC1509-'FA Addition'!$M1509)*(1-(1-'FA Addition'!$P1509)^(AI1509/365))),0),0)</f>
        <v>0</v>
      </c>
      <c r="AL1509" s="117">
        <f>MAX(IF(AG1509&gt;0,IF('FA Addition'!$N1509="SLM",($AE1509-'FA Addition'!$M1509)*'FA Addition'!$P1509*AG1509/365,IFERROR(VDB(AE1509,AE1509*0.05,'FA Addition'!$O1509,0,YEARFRAC('FA Addition'!$C1509,$P$1-1,3),'FA Addition'!$Q1509),FAAddition[[#This Row],[Original Cost (Rs)]]-FAAddition[[#This Row],[Salvage Value]])),0),0)</f>
        <v>0</v>
      </c>
      <c r="AM1509" s="119"/>
      <c r="AN1509" s="117">
        <f>MAX(IF(AH1509&gt;0,IF('FA Addition'!$N1509="SLM",($AF1509-'FA Addition'!$M1509)*'FA Addition'!$P1509*AH1509/365,IFERROR(VDB(AF1509,AF1509*0.05,'FA Addition'!$O1509,0,YEARFRAC('FA Addition'!$C1509,$L$1,3),'FA Addition'!$Q1509),FAAddition[[#This Row],[Original Cost (Rs)]]-FAAddition[[#This Row],[Salvage Value]])),0),0)</f>
        <v>0</v>
      </c>
      <c r="AO1509" s="117">
        <f t="shared" si="118"/>
        <v>0</v>
      </c>
      <c r="AQ1509" s="117">
        <f t="shared" si="116"/>
        <v>0</v>
      </c>
      <c r="AR1509" s="120">
        <f t="shared" si="117"/>
        <v>0</v>
      </c>
      <c r="AS1509" s="121"/>
    </row>
    <row r="1510" spans="1:45" ht="13.5" x14ac:dyDescent="0.4">
      <c r="A1510" s="12">
        <f t="shared" si="119"/>
        <v>1507</v>
      </c>
      <c r="B1510" s="64" t="s">
        <v>10</v>
      </c>
      <c r="C1510" s="54">
        <v>45916</v>
      </c>
      <c r="D1510" s="54">
        <v>45925</v>
      </c>
      <c r="E1510" s="46" t="s">
        <v>451</v>
      </c>
      <c r="F1510" s="51" t="s">
        <v>19</v>
      </c>
      <c r="G1510" s="51" t="s">
        <v>166</v>
      </c>
      <c r="H1510" s="51" t="s">
        <v>21</v>
      </c>
      <c r="I1510" s="55" t="s">
        <v>167</v>
      </c>
      <c r="J1510" s="56">
        <v>1</v>
      </c>
      <c r="K1510" s="51" t="s">
        <v>332</v>
      </c>
      <c r="L1510" s="58">
        <v>89500</v>
      </c>
      <c r="M1510" s="50">
        <f>ROUND('FA Addition'!$L1510*5%,0.1)</f>
        <v>4475</v>
      </c>
      <c r="N1510" s="113" t="str">
        <f>_xlfn.XLOOKUP(_xlfn.CONCAT(E1510,B1510),'Year Wise Master Dep Approach'!F:F,'Year Wise Master Dep Approach'!D:D)</f>
        <v>WDV</v>
      </c>
      <c r="O1510" s="113">
        <f>_xlfn.XLOOKUP(_xlfn.CONCAT(E1510,B1510),'Year Wise Master Dep Approach'!F:F,'Year Wise Master Dep Approach'!E:E)</f>
        <v>3</v>
      </c>
      <c r="P1510" s="114">
        <f>IFERROR(IF('FA Addition'!$N1510="WDV",1-('FA Addition'!$M1510/'FA Addition'!$L1510)^(1/'FA Addition'!$O1510),1/'FA Addition'!$O1510),0)</f>
        <v>0.63159685013596123</v>
      </c>
      <c r="Q1510" s="122">
        <f>'FA Addition'!$P1510*'FA Addition'!$O1510</f>
        <v>1.8947905504078837</v>
      </c>
      <c r="R1510" s="122"/>
      <c r="S1510" s="116">
        <f>IF(AND(DATE(20&amp;LEFT(FAAddition[[#This Row],[FY]],2),4,1)&lt;$L$1+1,DATE(20&amp;LEFT(FAAddition[[#This Row],[FY]],2),4,1)&gt;$P$1-1),'FA Addition'!$J1510,0)</f>
        <v>0</v>
      </c>
      <c r="U1510" s="117">
        <f>S1510*'FA Addition'!$L1510/'FA Addition'!$J1510</f>
        <v>0</v>
      </c>
      <c r="W1510" s="116">
        <f>SUMIFS('FA Write off'!D:D,'FA Write off'!A:A,'FA Addition'!$A1510,'FA Write off'!C:C,"&lt;"&amp;'FA Addition'!$P$1)</f>
        <v>0</v>
      </c>
      <c r="Y1510" s="191">
        <f>IFERROR(W1510/'FA Addition'!$J1510*'FA Addition'!$L1510,0)</f>
        <v>0</v>
      </c>
      <c r="AA1510" s="116">
        <f>SUMIFS('FA Write off'!D:D,'FA Write off'!A:A,'FA Addition'!$A1510,'FA Write off'!C:C,"&lt;"&amp;'FA Addition'!$L$1+1,'FA Write off'!C:C,"&gt;"&amp;'FA Addition'!$L$1-365)</f>
        <v>0</v>
      </c>
      <c r="AC1510" s="118">
        <f>IFERROR(AA1510/'FA Addition'!$J1510*'FA Addition'!$L1510,0)</f>
        <v>0</v>
      </c>
      <c r="AE1510" s="117">
        <f>IF(AND('FA Addition'!$D1510&lt;$P$1+1,U1510=0),'FA Addition'!$L1510,0)-Y1510</f>
        <v>0</v>
      </c>
      <c r="AF1510" s="117">
        <f t="shared" si="115"/>
        <v>0</v>
      </c>
      <c r="AG1510" s="117">
        <f>MIN(MAX(+$P$1-'FA Addition'!$D1510,0),365*'FA Addition'!$O1510)</f>
        <v>0</v>
      </c>
      <c r="AH1510" s="117">
        <f>MIN(MAX($L$1-'FA Addition'!$D1510+1,0),365*'FA Addition'!$O1510)</f>
        <v>0</v>
      </c>
      <c r="AI1510" s="117" cm="1">
        <f t="array" ref="AI1510">_xlfn.XLOOKUP(1,('FA Write off'!A:A='FA Addition'!$A1510)*('FA Write off'!D:D=AA1510),'FA Write off'!H:H,0,0)</f>
        <v>0</v>
      </c>
      <c r="AJ1510" s="117">
        <f>IF(AC1510&gt;0,MAX(IF('FA Addition'!$N1510="SLM",($AC1510-'FA Addition'!$M1510)*'FA Addition'!$P1510*AI1510/365,(AC1510-'FA Addition'!$M1510)*(1-(1-'FA Addition'!$P1510)^(AI1510/365))),0),0)</f>
        <v>0</v>
      </c>
      <c r="AL1510" s="117">
        <f>MAX(IF(AG1510&gt;0,IF('FA Addition'!$N1510="SLM",($AE1510-'FA Addition'!$M1510)*'FA Addition'!$P1510*AG1510/365,IFERROR(VDB(AE1510,AE1510*0.05,'FA Addition'!$O1510,0,YEARFRAC('FA Addition'!$C1510,$P$1-1,3),'FA Addition'!$Q1510),FAAddition[[#This Row],[Original Cost (Rs)]]-FAAddition[[#This Row],[Salvage Value]])),0),0)</f>
        <v>0</v>
      </c>
      <c r="AM1510" s="119"/>
      <c r="AN1510" s="117">
        <f>MAX(IF(AH1510&gt;0,IF('FA Addition'!$N1510="SLM",($AF1510-'FA Addition'!$M1510)*'FA Addition'!$P1510*AH1510/365,IFERROR(VDB(AF1510,AF1510*0.05,'FA Addition'!$O1510,0,YEARFRAC('FA Addition'!$C1510,$L$1,3),'FA Addition'!$Q1510),FAAddition[[#This Row],[Original Cost (Rs)]]-FAAddition[[#This Row],[Salvage Value]])),0),0)</f>
        <v>0</v>
      </c>
      <c r="AO1510" s="117">
        <f t="shared" si="118"/>
        <v>0</v>
      </c>
      <c r="AQ1510" s="117">
        <f t="shared" si="116"/>
        <v>0</v>
      </c>
      <c r="AR1510" s="120">
        <f t="shared" si="117"/>
        <v>0</v>
      </c>
      <c r="AS1510" s="121"/>
    </row>
    <row r="1511" spans="1:45" ht="13.5" x14ac:dyDescent="0.4">
      <c r="A1511" s="12">
        <f t="shared" si="119"/>
        <v>1508</v>
      </c>
      <c r="B1511" s="64" t="s">
        <v>10</v>
      </c>
      <c r="C1511" s="54">
        <v>45916</v>
      </c>
      <c r="D1511" s="54">
        <v>45925</v>
      </c>
      <c r="E1511" s="46" t="s">
        <v>451</v>
      </c>
      <c r="F1511" s="51" t="s">
        <v>19</v>
      </c>
      <c r="G1511" s="51" t="s">
        <v>166</v>
      </c>
      <c r="H1511" s="51" t="s">
        <v>21</v>
      </c>
      <c r="I1511" s="55" t="s">
        <v>167</v>
      </c>
      <c r="J1511" s="56">
        <v>1</v>
      </c>
      <c r="K1511" s="51" t="s">
        <v>332</v>
      </c>
      <c r="L1511" s="58">
        <v>89500</v>
      </c>
      <c r="M1511" s="50">
        <f>ROUND('FA Addition'!$L1511*5%,0.1)</f>
        <v>4475</v>
      </c>
      <c r="N1511" s="113" t="str">
        <f>_xlfn.XLOOKUP(_xlfn.CONCAT(E1511,B1511),'Year Wise Master Dep Approach'!F:F,'Year Wise Master Dep Approach'!D:D)</f>
        <v>WDV</v>
      </c>
      <c r="O1511" s="113">
        <f>_xlfn.XLOOKUP(_xlfn.CONCAT(E1511,B1511),'Year Wise Master Dep Approach'!F:F,'Year Wise Master Dep Approach'!E:E)</f>
        <v>3</v>
      </c>
      <c r="P1511" s="114">
        <f>IFERROR(IF('FA Addition'!$N1511="WDV",1-('FA Addition'!$M1511/'FA Addition'!$L1511)^(1/'FA Addition'!$O1511),1/'FA Addition'!$O1511),0)</f>
        <v>0.63159685013596123</v>
      </c>
      <c r="Q1511" s="122">
        <f>'FA Addition'!$P1511*'FA Addition'!$O1511</f>
        <v>1.8947905504078837</v>
      </c>
      <c r="R1511" s="122"/>
      <c r="S1511" s="116">
        <f>IF(AND(DATE(20&amp;LEFT(FAAddition[[#This Row],[FY]],2),4,1)&lt;$L$1+1,DATE(20&amp;LEFT(FAAddition[[#This Row],[FY]],2),4,1)&gt;$P$1-1),'FA Addition'!$J1511,0)</f>
        <v>0</v>
      </c>
      <c r="U1511" s="117">
        <f>S1511*'FA Addition'!$L1511/'FA Addition'!$J1511</f>
        <v>0</v>
      </c>
      <c r="W1511" s="116">
        <f>SUMIFS('FA Write off'!D:D,'FA Write off'!A:A,'FA Addition'!$A1511,'FA Write off'!C:C,"&lt;"&amp;'FA Addition'!$P$1)</f>
        <v>0</v>
      </c>
      <c r="Y1511" s="191">
        <f>IFERROR(W1511/'FA Addition'!$J1511*'FA Addition'!$L1511,0)</f>
        <v>0</v>
      </c>
      <c r="AA1511" s="116">
        <f>SUMIFS('FA Write off'!D:D,'FA Write off'!A:A,'FA Addition'!$A1511,'FA Write off'!C:C,"&lt;"&amp;'FA Addition'!$L$1+1,'FA Write off'!C:C,"&gt;"&amp;'FA Addition'!$L$1-365)</f>
        <v>0</v>
      </c>
      <c r="AC1511" s="118">
        <f>IFERROR(AA1511/'FA Addition'!$J1511*'FA Addition'!$L1511,0)</f>
        <v>0</v>
      </c>
      <c r="AE1511" s="117">
        <f>IF(AND('FA Addition'!$D1511&lt;$P$1+1,U1511=0),'FA Addition'!$L1511,0)-Y1511</f>
        <v>0</v>
      </c>
      <c r="AF1511" s="117">
        <f t="shared" si="115"/>
        <v>0</v>
      </c>
      <c r="AG1511" s="117">
        <f>MIN(MAX(+$P$1-'FA Addition'!$D1511,0),365*'FA Addition'!$O1511)</f>
        <v>0</v>
      </c>
      <c r="AH1511" s="117">
        <f>MIN(MAX($L$1-'FA Addition'!$D1511+1,0),365*'FA Addition'!$O1511)</f>
        <v>0</v>
      </c>
      <c r="AI1511" s="117" cm="1">
        <f t="array" ref="AI1511">_xlfn.XLOOKUP(1,('FA Write off'!A:A='FA Addition'!$A1511)*('FA Write off'!D:D=AA1511),'FA Write off'!H:H,0,0)</f>
        <v>0</v>
      </c>
      <c r="AJ1511" s="117">
        <f>IF(AC1511&gt;0,MAX(IF('FA Addition'!$N1511="SLM",($AC1511-'FA Addition'!$M1511)*'FA Addition'!$P1511*AI1511/365,(AC1511-'FA Addition'!$M1511)*(1-(1-'FA Addition'!$P1511)^(AI1511/365))),0),0)</f>
        <v>0</v>
      </c>
      <c r="AL1511" s="117">
        <f>MAX(IF(AG1511&gt;0,IF('FA Addition'!$N1511="SLM",($AE1511-'FA Addition'!$M1511)*'FA Addition'!$P1511*AG1511/365,IFERROR(VDB(AE1511,AE1511*0.05,'FA Addition'!$O1511,0,YEARFRAC('FA Addition'!$C1511,$P$1-1,3),'FA Addition'!$Q1511),FAAddition[[#This Row],[Original Cost (Rs)]]-FAAddition[[#This Row],[Salvage Value]])),0),0)</f>
        <v>0</v>
      </c>
      <c r="AM1511" s="119"/>
      <c r="AN1511" s="117">
        <f>MAX(IF(AH1511&gt;0,IF('FA Addition'!$N1511="SLM",($AF1511-'FA Addition'!$M1511)*'FA Addition'!$P1511*AH1511/365,IFERROR(VDB(AF1511,AF1511*0.05,'FA Addition'!$O1511,0,YEARFRAC('FA Addition'!$C1511,$L$1,3),'FA Addition'!$Q1511),FAAddition[[#This Row],[Original Cost (Rs)]]-FAAddition[[#This Row],[Salvage Value]])),0),0)</f>
        <v>0</v>
      </c>
      <c r="AO1511" s="117">
        <f t="shared" si="118"/>
        <v>0</v>
      </c>
      <c r="AQ1511" s="117">
        <f t="shared" si="116"/>
        <v>0</v>
      </c>
      <c r="AR1511" s="120">
        <f t="shared" si="117"/>
        <v>0</v>
      </c>
      <c r="AS1511" s="121"/>
    </row>
    <row r="1512" spans="1:45" ht="13.5" x14ac:dyDescent="0.4">
      <c r="A1512" s="12">
        <f t="shared" si="119"/>
        <v>1509</v>
      </c>
      <c r="B1512" s="64" t="s">
        <v>10</v>
      </c>
      <c r="C1512" s="54">
        <v>45919</v>
      </c>
      <c r="D1512" s="54">
        <v>45929</v>
      </c>
      <c r="E1512" s="46" t="s">
        <v>451</v>
      </c>
      <c r="F1512" s="51" t="s">
        <v>19</v>
      </c>
      <c r="G1512" s="51" t="s">
        <v>20</v>
      </c>
      <c r="H1512" s="51" t="s">
        <v>151</v>
      </c>
      <c r="I1512" s="55" t="s">
        <v>168</v>
      </c>
      <c r="J1512" s="56">
        <v>1</v>
      </c>
      <c r="K1512" s="51" t="s">
        <v>333</v>
      </c>
      <c r="L1512" s="58">
        <v>10400</v>
      </c>
      <c r="M1512" s="50">
        <f>ROUND('FA Addition'!$L1512*5%,0.1)</f>
        <v>520</v>
      </c>
      <c r="N1512" s="113" t="str">
        <f>_xlfn.XLOOKUP(_xlfn.CONCAT(E1512,B1512),'Year Wise Master Dep Approach'!F:F,'Year Wise Master Dep Approach'!D:D)</f>
        <v>WDV</v>
      </c>
      <c r="O1512" s="113">
        <f>_xlfn.XLOOKUP(_xlfn.CONCAT(E1512,B1512),'Year Wise Master Dep Approach'!F:F,'Year Wise Master Dep Approach'!E:E)</f>
        <v>3</v>
      </c>
      <c r="P1512" s="114">
        <f>IFERROR(IF('FA Addition'!$N1512="WDV",1-('FA Addition'!$M1512/'FA Addition'!$L1512)^(1/'FA Addition'!$O1512),1/'FA Addition'!$O1512),0)</f>
        <v>0.63159685013596123</v>
      </c>
      <c r="Q1512" s="122">
        <f>'FA Addition'!$P1512*'FA Addition'!$O1512</f>
        <v>1.8947905504078837</v>
      </c>
      <c r="R1512" s="122"/>
      <c r="S1512" s="116">
        <f>IF(AND(DATE(20&amp;LEFT(FAAddition[[#This Row],[FY]],2),4,1)&lt;$L$1+1,DATE(20&amp;LEFT(FAAddition[[#This Row],[FY]],2),4,1)&gt;$P$1-1),'FA Addition'!$J1512,0)</f>
        <v>0</v>
      </c>
      <c r="U1512" s="117">
        <f>S1512*'FA Addition'!$L1512/'FA Addition'!$J1512</f>
        <v>0</v>
      </c>
      <c r="W1512" s="116">
        <f>SUMIFS('FA Write off'!D:D,'FA Write off'!A:A,'FA Addition'!$A1512,'FA Write off'!C:C,"&lt;"&amp;'FA Addition'!$P$1)</f>
        <v>0</v>
      </c>
      <c r="Y1512" s="191">
        <f>IFERROR(W1512/'FA Addition'!$J1512*'FA Addition'!$L1512,0)</f>
        <v>0</v>
      </c>
      <c r="AA1512" s="116">
        <f>SUMIFS('FA Write off'!D:D,'FA Write off'!A:A,'FA Addition'!$A1512,'FA Write off'!C:C,"&lt;"&amp;'FA Addition'!$L$1+1,'FA Write off'!C:C,"&gt;"&amp;'FA Addition'!$L$1-365)</f>
        <v>0</v>
      </c>
      <c r="AC1512" s="118">
        <f>IFERROR(AA1512/'FA Addition'!$J1512*'FA Addition'!$L1512,0)</f>
        <v>0</v>
      </c>
      <c r="AE1512" s="117">
        <f>IF(AND('FA Addition'!$D1512&lt;$P$1+1,U1512=0),'FA Addition'!$L1512,0)-Y1512</f>
        <v>0</v>
      </c>
      <c r="AF1512" s="117">
        <f t="shared" si="115"/>
        <v>0</v>
      </c>
      <c r="AG1512" s="117">
        <f>MIN(MAX(+$P$1-'FA Addition'!$D1512,0),365*'FA Addition'!$O1512)</f>
        <v>0</v>
      </c>
      <c r="AH1512" s="117">
        <f>MIN(MAX($L$1-'FA Addition'!$D1512+1,0),365*'FA Addition'!$O1512)</f>
        <v>0</v>
      </c>
      <c r="AI1512" s="117" cm="1">
        <f t="array" ref="AI1512">_xlfn.XLOOKUP(1,('FA Write off'!A:A='FA Addition'!$A1512)*('FA Write off'!D:D=AA1512),'FA Write off'!H:H,0,0)</f>
        <v>0</v>
      </c>
      <c r="AJ1512" s="117">
        <f>IF(AC1512&gt;0,MAX(IF('FA Addition'!$N1512="SLM",($AC1512-'FA Addition'!$M1512)*'FA Addition'!$P1512*AI1512/365,(AC1512-'FA Addition'!$M1512)*(1-(1-'FA Addition'!$P1512)^(AI1512/365))),0),0)</f>
        <v>0</v>
      </c>
      <c r="AL1512" s="117">
        <f>MAX(IF(AG1512&gt;0,IF('FA Addition'!$N1512="SLM",($AE1512-'FA Addition'!$M1512)*'FA Addition'!$P1512*AG1512/365,IFERROR(VDB(AE1512,AE1512*0.05,'FA Addition'!$O1512,0,YEARFRAC('FA Addition'!$C1512,$P$1-1,3),'FA Addition'!$Q1512),FAAddition[[#This Row],[Original Cost (Rs)]]-FAAddition[[#This Row],[Salvage Value]])),0),0)</f>
        <v>0</v>
      </c>
      <c r="AM1512" s="119"/>
      <c r="AN1512" s="117">
        <f>MAX(IF(AH1512&gt;0,IF('FA Addition'!$N1512="SLM",($AF1512-'FA Addition'!$M1512)*'FA Addition'!$P1512*AH1512/365,IFERROR(VDB(AF1512,AF1512*0.05,'FA Addition'!$O1512,0,YEARFRAC('FA Addition'!$C1512,$L$1,3),'FA Addition'!$Q1512),FAAddition[[#This Row],[Original Cost (Rs)]]-FAAddition[[#This Row],[Salvage Value]])),0),0)</f>
        <v>0</v>
      </c>
      <c r="AO1512" s="117">
        <f t="shared" si="118"/>
        <v>0</v>
      </c>
      <c r="AQ1512" s="117">
        <f t="shared" si="116"/>
        <v>0</v>
      </c>
      <c r="AR1512" s="120">
        <f t="shared" si="117"/>
        <v>0</v>
      </c>
      <c r="AS1512" s="121"/>
    </row>
    <row r="1513" spans="1:45" ht="13.5" x14ac:dyDescent="0.4">
      <c r="A1513" s="12">
        <f t="shared" si="119"/>
        <v>1510</v>
      </c>
      <c r="B1513" s="64" t="s">
        <v>10</v>
      </c>
      <c r="C1513" s="54">
        <v>45916</v>
      </c>
      <c r="D1513" s="54">
        <v>45930</v>
      </c>
      <c r="E1513" s="46" t="s">
        <v>451</v>
      </c>
      <c r="F1513" s="51" t="s">
        <v>19</v>
      </c>
      <c r="G1513" s="51" t="s">
        <v>169</v>
      </c>
      <c r="H1513" s="51" t="s">
        <v>21</v>
      </c>
      <c r="I1513" s="55" t="s">
        <v>170</v>
      </c>
      <c r="J1513" s="56">
        <v>1</v>
      </c>
      <c r="K1513" s="51" t="s">
        <v>334</v>
      </c>
      <c r="L1513" s="58">
        <v>53000</v>
      </c>
      <c r="M1513" s="50">
        <f>ROUND('FA Addition'!$L1513*5%,0.1)</f>
        <v>2650</v>
      </c>
      <c r="N1513" s="113" t="str">
        <f>_xlfn.XLOOKUP(_xlfn.CONCAT(E1513,B1513),'Year Wise Master Dep Approach'!F:F,'Year Wise Master Dep Approach'!D:D)</f>
        <v>WDV</v>
      </c>
      <c r="O1513" s="113">
        <f>_xlfn.XLOOKUP(_xlfn.CONCAT(E1513,B1513),'Year Wise Master Dep Approach'!F:F,'Year Wise Master Dep Approach'!E:E)</f>
        <v>3</v>
      </c>
      <c r="P1513" s="114">
        <f>IFERROR(IF('FA Addition'!$N1513="WDV",1-('FA Addition'!$M1513/'FA Addition'!$L1513)^(1/'FA Addition'!$O1513),1/'FA Addition'!$O1513),0)</f>
        <v>0.63159685013596123</v>
      </c>
      <c r="Q1513" s="122">
        <f>'FA Addition'!$P1513*'FA Addition'!$O1513</f>
        <v>1.8947905504078837</v>
      </c>
      <c r="R1513" s="122"/>
      <c r="S1513" s="116">
        <f>IF(AND(DATE(20&amp;LEFT(FAAddition[[#This Row],[FY]],2),4,1)&lt;$L$1+1,DATE(20&amp;LEFT(FAAddition[[#This Row],[FY]],2),4,1)&gt;$P$1-1),'FA Addition'!$J1513,0)</f>
        <v>0</v>
      </c>
      <c r="U1513" s="117">
        <f>S1513*'FA Addition'!$L1513/'FA Addition'!$J1513</f>
        <v>0</v>
      </c>
      <c r="W1513" s="116">
        <f>SUMIFS('FA Write off'!D:D,'FA Write off'!A:A,'FA Addition'!$A1513,'FA Write off'!C:C,"&lt;"&amp;'FA Addition'!$P$1)</f>
        <v>0</v>
      </c>
      <c r="Y1513" s="191">
        <f>IFERROR(W1513/'FA Addition'!$J1513*'FA Addition'!$L1513,0)</f>
        <v>0</v>
      </c>
      <c r="AA1513" s="116">
        <f>SUMIFS('FA Write off'!D:D,'FA Write off'!A:A,'FA Addition'!$A1513,'FA Write off'!C:C,"&lt;"&amp;'FA Addition'!$L$1+1,'FA Write off'!C:C,"&gt;"&amp;'FA Addition'!$L$1-365)</f>
        <v>0</v>
      </c>
      <c r="AC1513" s="118">
        <f>IFERROR(AA1513/'FA Addition'!$J1513*'FA Addition'!$L1513,0)</f>
        <v>0</v>
      </c>
      <c r="AE1513" s="117">
        <f>IF(AND('FA Addition'!$D1513&lt;$P$1+1,U1513=0),'FA Addition'!$L1513,0)-Y1513</f>
        <v>0</v>
      </c>
      <c r="AF1513" s="117">
        <f t="shared" si="115"/>
        <v>0</v>
      </c>
      <c r="AG1513" s="117">
        <f>MIN(MAX(+$P$1-'FA Addition'!$D1513,0),365*'FA Addition'!$O1513)</f>
        <v>0</v>
      </c>
      <c r="AH1513" s="117">
        <f>MIN(MAX($L$1-'FA Addition'!$D1513+1,0),365*'FA Addition'!$O1513)</f>
        <v>0</v>
      </c>
      <c r="AI1513" s="117" cm="1">
        <f t="array" ref="AI1513">_xlfn.XLOOKUP(1,('FA Write off'!A:A='FA Addition'!$A1513)*('FA Write off'!D:D=AA1513),'FA Write off'!H:H,0,0)</f>
        <v>0</v>
      </c>
      <c r="AJ1513" s="117">
        <f>IF(AC1513&gt;0,MAX(IF('FA Addition'!$N1513="SLM",($AC1513-'FA Addition'!$M1513)*'FA Addition'!$P1513*AI1513/365,(AC1513-'FA Addition'!$M1513)*(1-(1-'FA Addition'!$P1513)^(AI1513/365))),0),0)</f>
        <v>0</v>
      </c>
      <c r="AL1513" s="117">
        <f>MAX(IF(AG1513&gt;0,IF('FA Addition'!$N1513="SLM",($AE1513-'FA Addition'!$M1513)*'FA Addition'!$P1513*AG1513/365,IFERROR(VDB(AE1513,AE1513*0.05,'FA Addition'!$O1513,0,YEARFRAC('FA Addition'!$C1513,$P$1-1,3),'FA Addition'!$Q1513),FAAddition[[#This Row],[Original Cost (Rs)]]-FAAddition[[#This Row],[Salvage Value]])),0),0)</f>
        <v>0</v>
      </c>
      <c r="AM1513" s="119"/>
      <c r="AN1513" s="117">
        <f>MAX(IF(AH1513&gt;0,IF('FA Addition'!$N1513="SLM",($AF1513-'FA Addition'!$M1513)*'FA Addition'!$P1513*AH1513/365,IFERROR(VDB(AF1513,AF1513*0.05,'FA Addition'!$O1513,0,YEARFRAC('FA Addition'!$C1513,$L$1,3),'FA Addition'!$Q1513),FAAddition[[#This Row],[Original Cost (Rs)]]-FAAddition[[#This Row],[Salvage Value]])),0),0)</f>
        <v>0</v>
      </c>
      <c r="AO1513" s="117">
        <f t="shared" si="118"/>
        <v>0</v>
      </c>
      <c r="AQ1513" s="117">
        <f t="shared" si="116"/>
        <v>0</v>
      </c>
      <c r="AR1513" s="120">
        <f t="shared" si="117"/>
        <v>0</v>
      </c>
      <c r="AS1513" s="121"/>
    </row>
    <row r="1514" spans="1:45" ht="13.5" x14ac:dyDescent="0.4">
      <c r="A1514" s="12">
        <f t="shared" si="119"/>
        <v>1511</v>
      </c>
      <c r="B1514" s="64" t="s">
        <v>10</v>
      </c>
      <c r="C1514" s="54">
        <v>45916</v>
      </c>
      <c r="D1514" s="54">
        <v>45930</v>
      </c>
      <c r="E1514" s="46" t="s">
        <v>451</v>
      </c>
      <c r="F1514" s="51" t="s">
        <v>19</v>
      </c>
      <c r="G1514" s="51" t="s">
        <v>169</v>
      </c>
      <c r="H1514" s="51" t="s">
        <v>21</v>
      </c>
      <c r="I1514" s="55" t="s">
        <v>170</v>
      </c>
      <c r="J1514" s="56">
        <v>1</v>
      </c>
      <c r="K1514" s="51" t="s">
        <v>334</v>
      </c>
      <c r="L1514" s="58">
        <v>53000</v>
      </c>
      <c r="M1514" s="50">
        <f>ROUND('FA Addition'!$L1514*5%,0.1)</f>
        <v>2650</v>
      </c>
      <c r="N1514" s="113" t="str">
        <f>_xlfn.XLOOKUP(_xlfn.CONCAT(E1514,B1514),'Year Wise Master Dep Approach'!F:F,'Year Wise Master Dep Approach'!D:D)</f>
        <v>WDV</v>
      </c>
      <c r="O1514" s="113">
        <f>_xlfn.XLOOKUP(_xlfn.CONCAT(E1514,B1514),'Year Wise Master Dep Approach'!F:F,'Year Wise Master Dep Approach'!E:E)</f>
        <v>3</v>
      </c>
      <c r="P1514" s="114">
        <f>IFERROR(IF('FA Addition'!$N1514="WDV",1-('FA Addition'!$M1514/'FA Addition'!$L1514)^(1/'FA Addition'!$O1514),1/'FA Addition'!$O1514),0)</f>
        <v>0.63159685013596123</v>
      </c>
      <c r="Q1514" s="122">
        <f>'FA Addition'!$P1514*'FA Addition'!$O1514</f>
        <v>1.8947905504078837</v>
      </c>
      <c r="R1514" s="122"/>
      <c r="S1514" s="116">
        <f>IF(AND(DATE(20&amp;LEFT(FAAddition[[#This Row],[FY]],2),4,1)&lt;$L$1+1,DATE(20&amp;LEFT(FAAddition[[#This Row],[FY]],2),4,1)&gt;$P$1-1),'FA Addition'!$J1514,0)</f>
        <v>0</v>
      </c>
      <c r="U1514" s="117">
        <f>S1514*'FA Addition'!$L1514/'FA Addition'!$J1514</f>
        <v>0</v>
      </c>
      <c r="W1514" s="116">
        <f>SUMIFS('FA Write off'!D:D,'FA Write off'!A:A,'FA Addition'!$A1514,'FA Write off'!C:C,"&lt;"&amp;'FA Addition'!$P$1)</f>
        <v>0</v>
      </c>
      <c r="Y1514" s="191">
        <f>IFERROR(W1514/'FA Addition'!$J1514*'FA Addition'!$L1514,0)</f>
        <v>0</v>
      </c>
      <c r="AA1514" s="116">
        <f>SUMIFS('FA Write off'!D:D,'FA Write off'!A:A,'FA Addition'!$A1514,'FA Write off'!C:C,"&lt;"&amp;'FA Addition'!$L$1+1,'FA Write off'!C:C,"&gt;"&amp;'FA Addition'!$L$1-365)</f>
        <v>0</v>
      </c>
      <c r="AC1514" s="118">
        <f>IFERROR(AA1514/'FA Addition'!$J1514*'FA Addition'!$L1514,0)</f>
        <v>0</v>
      </c>
      <c r="AE1514" s="117">
        <f>IF(AND('FA Addition'!$D1514&lt;$P$1+1,U1514=0),'FA Addition'!$L1514,0)-Y1514</f>
        <v>0</v>
      </c>
      <c r="AF1514" s="117">
        <f t="shared" si="115"/>
        <v>0</v>
      </c>
      <c r="AG1514" s="117">
        <f>MIN(MAX(+$P$1-'FA Addition'!$D1514,0),365*'FA Addition'!$O1514)</f>
        <v>0</v>
      </c>
      <c r="AH1514" s="117">
        <f>MIN(MAX($L$1-'FA Addition'!$D1514+1,0),365*'FA Addition'!$O1514)</f>
        <v>0</v>
      </c>
      <c r="AI1514" s="117" cm="1">
        <f t="array" ref="AI1514">_xlfn.XLOOKUP(1,('FA Write off'!A:A='FA Addition'!$A1514)*('FA Write off'!D:D=AA1514),'FA Write off'!H:H,0,0)</f>
        <v>0</v>
      </c>
      <c r="AJ1514" s="117">
        <f>IF(AC1514&gt;0,MAX(IF('FA Addition'!$N1514="SLM",($AC1514-'FA Addition'!$M1514)*'FA Addition'!$P1514*AI1514/365,(AC1514-'FA Addition'!$M1514)*(1-(1-'FA Addition'!$P1514)^(AI1514/365))),0),0)</f>
        <v>0</v>
      </c>
      <c r="AL1514" s="117">
        <f>MAX(IF(AG1514&gt;0,IF('FA Addition'!$N1514="SLM",($AE1514-'FA Addition'!$M1514)*'FA Addition'!$P1514*AG1514/365,IFERROR(VDB(AE1514,AE1514*0.05,'FA Addition'!$O1514,0,YEARFRAC('FA Addition'!$C1514,$P$1-1,3),'FA Addition'!$Q1514),FAAddition[[#This Row],[Original Cost (Rs)]]-FAAddition[[#This Row],[Salvage Value]])),0),0)</f>
        <v>0</v>
      </c>
      <c r="AM1514" s="119"/>
      <c r="AN1514" s="117">
        <f>MAX(IF(AH1514&gt;0,IF('FA Addition'!$N1514="SLM",($AF1514-'FA Addition'!$M1514)*'FA Addition'!$P1514*AH1514/365,IFERROR(VDB(AF1514,AF1514*0.05,'FA Addition'!$O1514,0,YEARFRAC('FA Addition'!$C1514,$L$1,3),'FA Addition'!$Q1514),FAAddition[[#This Row],[Original Cost (Rs)]]-FAAddition[[#This Row],[Salvage Value]])),0),0)</f>
        <v>0</v>
      </c>
      <c r="AO1514" s="117">
        <f t="shared" si="118"/>
        <v>0</v>
      </c>
      <c r="AQ1514" s="117">
        <f t="shared" si="116"/>
        <v>0</v>
      </c>
      <c r="AR1514" s="120">
        <f t="shared" si="117"/>
        <v>0</v>
      </c>
      <c r="AS1514" s="121"/>
    </row>
    <row r="1515" spans="1:45" ht="13.5" x14ac:dyDescent="0.4">
      <c r="A1515" s="12">
        <f t="shared" si="119"/>
        <v>1512</v>
      </c>
      <c r="B1515" s="64" t="s">
        <v>10</v>
      </c>
      <c r="C1515" s="54">
        <v>45916</v>
      </c>
      <c r="D1515" s="54">
        <v>45930</v>
      </c>
      <c r="E1515" s="46" t="s">
        <v>451</v>
      </c>
      <c r="F1515" s="51" t="s">
        <v>19</v>
      </c>
      <c r="G1515" s="51" t="s">
        <v>169</v>
      </c>
      <c r="H1515" s="51" t="s">
        <v>21</v>
      </c>
      <c r="I1515" s="55" t="s">
        <v>170</v>
      </c>
      <c r="J1515" s="56">
        <v>1</v>
      </c>
      <c r="K1515" s="51" t="s">
        <v>334</v>
      </c>
      <c r="L1515" s="58">
        <v>53000</v>
      </c>
      <c r="M1515" s="50">
        <f>ROUND('FA Addition'!$L1515*5%,0.1)</f>
        <v>2650</v>
      </c>
      <c r="N1515" s="113" t="str">
        <f>_xlfn.XLOOKUP(_xlfn.CONCAT(E1515,B1515),'Year Wise Master Dep Approach'!F:F,'Year Wise Master Dep Approach'!D:D)</f>
        <v>WDV</v>
      </c>
      <c r="O1515" s="113">
        <f>_xlfn.XLOOKUP(_xlfn.CONCAT(E1515,B1515),'Year Wise Master Dep Approach'!F:F,'Year Wise Master Dep Approach'!E:E)</f>
        <v>3</v>
      </c>
      <c r="P1515" s="114">
        <f>IFERROR(IF('FA Addition'!$N1515="WDV",1-('FA Addition'!$M1515/'FA Addition'!$L1515)^(1/'FA Addition'!$O1515),1/'FA Addition'!$O1515),0)</f>
        <v>0.63159685013596123</v>
      </c>
      <c r="Q1515" s="122">
        <f>'FA Addition'!$P1515*'FA Addition'!$O1515</f>
        <v>1.8947905504078837</v>
      </c>
      <c r="R1515" s="122"/>
      <c r="S1515" s="116">
        <f>IF(AND(DATE(20&amp;LEFT(FAAddition[[#This Row],[FY]],2),4,1)&lt;$L$1+1,DATE(20&amp;LEFT(FAAddition[[#This Row],[FY]],2),4,1)&gt;$P$1-1),'FA Addition'!$J1515,0)</f>
        <v>0</v>
      </c>
      <c r="U1515" s="117">
        <f>S1515*'FA Addition'!$L1515/'FA Addition'!$J1515</f>
        <v>0</v>
      </c>
      <c r="W1515" s="116">
        <f>SUMIFS('FA Write off'!D:D,'FA Write off'!A:A,'FA Addition'!$A1515,'FA Write off'!C:C,"&lt;"&amp;'FA Addition'!$P$1)</f>
        <v>0</v>
      </c>
      <c r="Y1515" s="191">
        <f>IFERROR(W1515/'FA Addition'!$J1515*'FA Addition'!$L1515,0)</f>
        <v>0</v>
      </c>
      <c r="AA1515" s="116">
        <f>SUMIFS('FA Write off'!D:D,'FA Write off'!A:A,'FA Addition'!$A1515,'FA Write off'!C:C,"&lt;"&amp;'FA Addition'!$L$1+1,'FA Write off'!C:C,"&gt;"&amp;'FA Addition'!$L$1-365)</f>
        <v>0</v>
      </c>
      <c r="AC1515" s="118">
        <f>IFERROR(AA1515/'FA Addition'!$J1515*'FA Addition'!$L1515,0)</f>
        <v>0</v>
      </c>
      <c r="AE1515" s="117">
        <f>IF(AND('FA Addition'!$D1515&lt;$P$1+1,U1515=0),'FA Addition'!$L1515,0)-Y1515</f>
        <v>0</v>
      </c>
      <c r="AF1515" s="117">
        <f t="shared" si="115"/>
        <v>0</v>
      </c>
      <c r="AG1515" s="117">
        <f>MIN(MAX(+$P$1-'FA Addition'!$D1515,0),365*'FA Addition'!$O1515)</f>
        <v>0</v>
      </c>
      <c r="AH1515" s="117">
        <f>MIN(MAX($L$1-'FA Addition'!$D1515+1,0),365*'FA Addition'!$O1515)</f>
        <v>0</v>
      </c>
      <c r="AI1515" s="117" cm="1">
        <f t="array" ref="AI1515">_xlfn.XLOOKUP(1,('FA Write off'!A:A='FA Addition'!$A1515)*('FA Write off'!D:D=AA1515),'FA Write off'!H:H,0,0)</f>
        <v>0</v>
      </c>
      <c r="AJ1515" s="117">
        <f>IF(AC1515&gt;0,MAX(IF('FA Addition'!$N1515="SLM",($AC1515-'FA Addition'!$M1515)*'FA Addition'!$P1515*AI1515/365,(AC1515-'FA Addition'!$M1515)*(1-(1-'FA Addition'!$P1515)^(AI1515/365))),0),0)</f>
        <v>0</v>
      </c>
      <c r="AL1515" s="117">
        <f>MAX(IF(AG1515&gt;0,IF('FA Addition'!$N1515="SLM",($AE1515-'FA Addition'!$M1515)*'FA Addition'!$P1515*AG1515/365,IFERROR(VDB(AE1515,AE1515*0.05,'FA Addition'!$O1515,0,YEARFRAC('FA Addition'!$C1515,$P$1-1,3),'FA Addition'!$Q1515),FAAddition[[#This Row],[Original Cost (Rs)]]-FAAddition[[#This Row],[Salvage Value]])),0),0)</f>
        <v>0</v>
      </c>
      <c r="AM1515" s="119"/>
      <c r="AN1515" s="117">
        <f>MAX(IF(AH1515&gt;0,IF('FA Addition'!$N1515="SLM",($AF1515-'FA Addition'!$M1515)*'FA Addition'!$P1515*AH1515/365,IFERROR(VDB(AF1515,AF1515*0.05,'FA Addition'!$O1515,0,YEARFRAC('FA Addition'!$C1515,$L$1,3),'FA Addition'!$Q1515),FAAddition[[#This Row],[Original Cost (Rs)]]-FAAddition[[#This Row],[Salvage Value]])),0),0)</f>
        <v>0</v>
      </c>
      <c r="AO1515" s="117">
        <f t="shared" si="118"/>
        <v>0</v>
      </c>
      <c r="AQ1515" s="117">
        <f t="shared" si="116"/>
        <v>0</v>
      </c>
      <c r="AR1515" s="120">
        <f t="shared" si="117"/>
        <v>0</v>
      </c>
      <c r="AS1515" s="121"/>
    </row>
    <row r="1516" spans="1:45" ht="13.5" x14ac:dyDescent="0.4">
      <c r="A1516" s="12">
        <f t="shared" si="119"/>
        <v>1513</v>
      </c>
      <c r="B1516" s="64" t="s">
        <v>10</v>
      </c>
      <c r="C1516" s="54">
        <v>45916</v>
      </c>
      <c r="D1516" s="54">
        <v>45930</v>
      </c>
      <c r="E1516" s="46" t="s">
        <v>451</v>
      </c>
      <c r="F1516" s="51" t="s">
        <v>19</v>
      </c>
      <c r="G1516" s="51" t="s">
        <v>169</v>
      </c>
      <c r="H1516" s="51" t="s">
        <v>21</v>
      </c>
      <c r="I1516" s="55" t="s">
        <v>170</v>
      </c>
      <c r="J1516" s="56">
        <v>1</v>
      </c>
      <c r="K1516" s="51" t="s">
        <v>334</v>
      </c>
      <c r="L1516" s="58">
        <v>53000</v>
      </c>
      <c r="M1516" s="50">
        <f>ROUND('FA Addition'!$L1516*5%,0.1)</f>
        <v>2650</v>
      </c>
      <c r="N1516" s="113" t="str">
        <f>_xlfn.XLOOKUP(_xlfn.CONCAT(E1516,B1516),'Year Wise Master Dep Approach'!F:F,'Year Wise Master Dep Approach'!D:D)</f>
        <v>WDV</v>
      </c>
      <c r="O1516" s="113">
        <f>_xlfn.XLOOKUP(_xlfn.CONCAT(E1516,B1516),'Year Wise Master Dep Approach'!F:F,'Year Wise Master Dep Approach'!E:E)</f>
        <v>3</v>
      </c>
      <c r="P1516" s="114">
        <f>IFERROR(IF('FA Addition'!$N1516="WDV",1-('FA Addition'!$M1516/'FA Addition'!$L1516)^(1/'FA Addition'!$O1516),1/'FA Addition'!$O1516),0)</f>
        <v>0.63159685013596123</v>
      </c>
      <c r="Q1516" s="122">
        <f>'FA Addition'!$P1516*'FA Addition'!$O1516</f>
        <v>1.8947905504078837</v>
      </c>
      <c r="R1516" s="122"/>
      <c r="S1516" s="116">
        <f>IF(AND(DATE(20&amp;LEFT(FAAddition[[#This Row],[FY]],2),4,1)&lt;$L$1+1,DATE(20&amp;LEFT(FAAddition[[#This Row],[FY]],2),4,1)&gt;$P$1-1),'FA Addition'!$J1516,0)</f>
        <v>0</v>
      </c>
      <c r="U1516" s="117">
        <f>S1516*'FA Addition'!$L1516/'FA Addition'!$J1516</f>
        <v>0</v>
      </c>
      <c r="W1516" s="116">
        <f>SUMIFS('FA Write off'!D:D,'FA Write off'!A:A,'FA Addition'!$A1516,'FA Write off'!C:C,"&lt;"&amp;'FA Addition'!$P$1)</f>
        <v>0</v>
      </c>
      <c r="Y1516" s="191">
        <f>IFERROR(W1516/'FA Addition'!$J1516*'FA Addition'!$L1516,0)</f>
        <v>0</v>
      </c>
      <c r="AA1516" s="116">
        <f>SUMIFS('FA Write off'!D:D,'FA Write off'!A:A,'FA Addition'!$A1516,'FA Write off'!C:C,"&lt;"&amp;'FA Addition'!$L$1+1,'FA Write off'!C:C,"&gt;"&amp;'FA Addition'!$L$1-365)</f>
        <v>0</v>
      </c>
      <c r="AC1516" s="118">
        <f>IFERROR(AA1516/'FA Addition'!$J1516*'FA Addition'!$L1516,0)</f>
        <v>0</v>
      </c>
      <c r="AE1516" s="117">
        <f>IF(AND('FA Addition'!$D1516&lt;$P$1+1,U1516=0),'FA Addition'!$L1516,0)-Y1516</f>
        <v>0</v>
      </c>
      <c r="AF1516" s="117">
        <f t="shared" si="115"/>
        <v>0</v>
      </c>
      <c r="AG1516" s="117">
        <f>MIN(MAX(+$P$1-'FA Addition'!$D1516,0),365*'FA Addition'!$O1516)</f>
        <v>0</v>
      </c>
      <c r="AH1516" s="117">
        <f>MIN(MAX($L$1-'FA Addition'!$D1516+1,0),365*'FA Addition'!$O1516)</f>
        <v>0</v>
      </c>
      <c r="AI1516" s="117" cm="1">
        <f t="array" ref="AI1516">_xlfn.XLOOKUP(1,('FA Write off'!A:A='FA Addition'!$A1516)*('FA Write off'!D:D=AA1516),'FA Write off'!H:H,0,0)</f>
        <v>0</v>
      </c>
      <c r="AJ1516" s="117">
        <f>IF(AC1516&gt;0,MAX(IF('FA Addition'!$N1516="SLM",($AC1516-'FA Addition'!$M1516)*'FA Addition'!$P1516*AI1516/365,(AC1516-'FA Addition'!$M1516)*(1-(1-'FA Addition'!$P1516)^(AI1516/365))),0),0)</f>
        <v>0</v>
      </c>
      <c r="AL1516" s="117">
        <f>MAX(IF(AG1516&gt;0,IF('FA Addition'!$N1516="SLM",($AE1516-'FA Addition'!$M1516)*'FA Addition'!$P1516*AG1516/365,IFERROR(VDB(AE1516,AE1516*0.05,'FA Addition'!$O1516,0,YEARFRAC('FA Addition'!$C1516,$P$1-1,3),'FA Addition'!$Q1516),FAAddition[[#This Row],[Original Cost (Rs)]]-FAAddition[[#This Row],[Salvage Value]])),0),0)</f>
        <v>0</v>
      </c>
      <c r="AM1516" s="119"/>
      <c r="AN1516" s="117">
        <f>MAX(IF(AH1516&gt;0,IF('FA Addition'!$N1516="SLM",($AF1516-'FA Addition'!$M1516)*'FA Addition'!$P1516*AH1516/365,IFERROR(VDB(AF1516,AF1516*0.05,'FA Addition'!$O1516,0,YEARFRAC('FA Addition'!$C1516,$L$1,3),'FA Addition'!$Q1516),FAAddition[[#This Row],[Original Cost (Rs)]]-FAAddition[[#This Row],[Salvage Value]])),0),0)</f>
        <v>0</v>
      </c>
      <c r="AO1516" s="117">
        <f t="shared" si="118"/>
        <v>0</v>
      </c>
      <c r="AQ1516" s="117">
        <f t="shared" si="116"/>
        <v>0</v>
      </c>
      <c r="AR1516" s="120">
        <f t="shared" si="117"/>
        <v>0</v>
      </c>
      <c r="AS1516" s="121"/>
    </row>
    <row r="1517" spans="1:45" ht="13.5" x14ac:dyDescent="0.4">
      <c r="A1517" s="12">
        <f t="shared" si="119"/>
        <v>1514</v>
      </c>
      <c r="B1517" s="64" t="s">
        <v>10</v>
      </c>
      <c r="C1517" s="54">
        <v>45916</v>
      </c>
      <c r="D1517" s="54">
        <v>45930</v>
      </c>
      <c r="E1517" s="46" t="s">
        <v>451</v>
      </c>
      <c r="F1517" s="51" t="s">
        <v>19</v>
      </c>
      <c r="G1517" s="51" t="s">
        <v>169</v>
      </c>
      <c r="H1517" s="51" t="s">
        <v>21</v>
      </c>
      <c r="I1517" s="55" t="s">
        <v>170</v>
      </c>
      <c r="J1517" s="56">
        <v>1</v>
      </c>
      <c r="K1517" s="51" t="s">
        <v>334</v>
      </c>
      <c r="L1517" s="58">
        <v>53000</v>
      </c>
      <c r="M1517" s="50">
        <f>ROUND('FA Addition'!$L1517*5%,0.1)</f>
        <v>2650</v>
      </c>
      <c r="N1517" s="113" t="str">
        <f>_xlfn.XLOOKUP(_xlfn.CONCAT(E1517,B1517),'Year Wise Master Dep Approach'!F:F,'Year Wise Master Dep Approach'!D:D)</f>
        <v>WDV</v>
      </c>
      <c r="O1517" s="113">
        <f>_xlfn.XLOOKUP(_xlfn.CONCAT(E1517,B1517),'Year Wise Master Dep Approach'!F:F,'Year Wise Master Dep Approach'!E:E)</f>
        <v>3</v>
      </c>
      <c r="P1517" s="114">
        <f>IFERROR(IF('FA Addition'!$N1517="WDV",1-('FA Addition'!$M1517/'FA Addition'!$L1517)^(1/'FA Addition'!$O1517),1/'FA Addition'!$O1517),0)</f>
        <v>0.63159685013596123</v>
      </c>
      <c r="Q1517" s="122">
        <f>'FA Addition'!$P1517*'FA Addition'!$O1517</f>
        <v>1.8947905504078837</v>
      </c>
      <c r="R1517" s="122"/>
      <c r="S1517" s="116">
        <f>IF(AND(DATE(20&amp;LEFT(FAAddition[[#This Row],[FY]],2),4,1)&lt;$L$1+1,DATE(20&amp;LEFT(FAAddition[[#This Row],[FY]],2),4,1)&gt;$P$1-1),'FA Addition'!$J1517,0)</f>
        <v>0</v>
      </c>
      <c r="U1517" s="117">
        <f>S1517*'FA Addition'!$L1517/'FA Addition'!$J1517</f>
        <v>0</v>
      </c>
      <c r="W1517" s="116">
        <f>SUMIFS('FA Write off'!D:D,'FA Write off'!A:A,'FA Addition'!$A1517,'FA Write off'!C:C,"&lt;"&amp;'FA Addition'!$P$1)</f>
        <v>0</v>
      </c>
      <c r="Y1517" s="191">
        <f>IFERROR(W1517/'FA Addition'!$J1517*'FA Addition'!$L1517,0)</f>
        <v>0</v>
      </c>
      <c r="AA1517" s="116">
        <f>SUMIFS('FA Write off'!D:D,'FA Write off'!A:A,'FA Addition'!$A1517,'FA Write off'!C:C,"&lt;"&amp;'FA Addition'!$L$1+1,'FA Write off'!C:C,"&gt;"&amp;'FA Addition'!$L$1-365)</f>
        <v>0</v>
      </c>
      <c r="AC1517" s="118">
        <f>IFERROR(AA1517/'FA Addition'!$J1517*'FA Addition'!$L1517,0)</f>
        <v>0</v>
      </c>
      <c r="AE1517" s="117">
        <f>IF(AND('FA Addition'!$D1517&lt;$P$1+1,U1517=0),'FA Addition'!$L1517,0)-Y1517</f>
        <v>0</v>
      </c>
      <c r="AF1517" s="117">
        <f t="shared" si="115"/>
        <v>0</v>
      </c>
      <c r="AG1517" s="117">
        <f>MIN(MAX(+$P$1-'FA Addition'!$D1517,0),365*'FA Addition'!$O1517)</f>
        <v>0</v>
      </c>
      <c r="AH1517" s="117">
        <f>MIN(MAX($L$1-'FA Addition'!$D1517+1,0),365*'FA Addition'!$O1517)</f>
        <v>0</v>
      </c>
      <c r="AI1517" s="117" cm="1">
        <f t="array" ref="AI1517">_xlfn.XLOOKUP(1,('FA Write off'!A:A='FA Addition'!$A1517)*('FA Write off'!D:D=AA1517),'FA Write off'!H:H,0,0)</f>
        <v>0</v>
      </c>
      <c r="AJ1517" s="117">
        <f>IF(AC1517&gt;0,MAX(IF('FA Addition'!$N1517="SLM",($AC1517-'FA Addition'!$M1517)*'FA Addition'!$P1517*AI1517/365,(AC1517-'FA Addition'!$M1517)*(1-(1-'FA Addition'!$P1517)^(AI1517/365))),0),0)</f>
        <v>0</v>
      </c>
      <c r="AL1517" s="117">
        <f>MAX(IF(AG1517&gt;0,IF('FA Addition'!$N1517="SLM",($AE1517-'FA Addition'!$M1517)*'FA Addition'!$P1517*AG1517/365,IFERROR(VDB(AE1517,AE1517*0.05,'FA Addition'!$O1517,0,YEARFRAC('FA Addition'!$C1517,$P$1-1,3),'FA Addition'!$Q1517),FAAddition[[#This Row],[Original Cost (Rs)]]-FAAddition[[#This Row],[Salvage Value]])),0),0)</f>
        <v>0</v>
      </c>
      <c r="AM1517" s="119"/>
      <c r="AN1517" s="117">
        <f>MAX(IF(AH1517&gt;0,IF('FA Addition'!$N1517="SLM",($AF1517-'FA Addition'!$M1517)*'FA Addition'!$P1517*AH1517/365,IFERROR(VDB(AF1517,AF1517*0.05,'FA Addition'!$O1517,0,YEARFRAC('FA Addition'!$C1517,$L$1,3),'FA Addition'!$Q1517),FAAddition[[#This Row],[Original Cost (Rs)]]-FAAddition[[#This Row],[Salvage Value]])),0),0)</f>
        <v>0</v>
      </c>
      <c r="AO1517" s="117">
        <f t="shared" si="118"/>
        <v>0</v>
      </c>
      <c r="AQ1517" s="117">
        <f t="shared" si="116"/>
        <v>0</v>
      </c>
      <c r="AR1517" s="120">
        <f t="shared" si="117"/>
        <v>0</v>
      </c>
      <c r="AS1517" s="121"/>
    </row>
    <row r="1518" spans="1:45" ht="13.5" x14ac:dyDescent="0.4">
      <c r="A1518" s="12">
        <f t="shared" si="119"/>
        <v>1515</v>
      </c>
      <c r="B1518" s="64" t="s">
        <v>10</v>
      </c>
      <c r="C1518" s="54">
        <v>45786</v>
      </c>
      <c r="D1518" s="54">
        <v>45792</v>
      </c>
      <c r="E1518" s="46" t="s">
        <v>749</v>
      </c>
      <c r="F1518" s="51" t="s">
        <v>74</v>
      </c>
      <c r="G1518" s="51" t="s">
        <v>78</v>
      </c>
      <c r="H1518" s="51" t="s">
        <v>171</v>
      </c>
      <c r="I1518" s="55" t="s">
        <v>80</v>
      </c>
      <c r="J1518" s="56">
        <v>3</v>
      </c>
      <c r="K1518" s="51" t="s">
        <v>335</v>
      </c>
      <c r="L1518" s="58">
        <v>24600</v>
      </c>
      <c r="M1518" s="50">
        <f>ROUND('FA Addition'!$L1518*5%,0.1)</f>
        <v>1230</v>
      </c>
      <c r="N1518" s="113" t="str">
        <f>_xlfn.XLOOKUP(_xlfn.CONCAT(E1518,B1518),'Year Wise Master Dep Approach'!F:F,'Year Wise Master Dep Approach'!D:D)</f>
        <v>WDV</v>
      </c>
      <c r="O1518" s="113">
        <f>_xlfn.XLOOKUP(_xlfn.CONCAT(E1518,B1518),'Year Wise Master Dep Approach'!F:F,'Year Wise Master Dep Approach'!E:E)</f>
        <v>5</v>
      </c>
      <c r="P1518" s="114">
        <f>IFERROR(IF('FA Addition'!$N1518="WDV",1-('FA Addition'!$M1518/'FA Addition'!$L1518)^(1/'FA Addition'!$O1518),1/'FA Addition'!$O1518),0)</f>
        <v>0.45071972834694107</v>
      </c>
      <c r="Q1518" s="122">
        <f>'FA Addition'!$P1518*'FA Addition'!$O1518</f>
        <v>2.2535986417347056</v>
      </c>
      <c r="R1518" s="122"/>
      <c r="S1518" s="116">
        <f>IF(AND(DATE(20&amp;LEFT(FAAddition[[#This Row],[FY]],2),4,1)&lt;$L$1+1,DATE(20&amp;LEFT(FAAddition[[#This Row],[FY]],2),4,1)&gt;$P$1-1),'FA Addition'!$J1518,0)</f>
        <v>0</v>
      </c>
      <c r="U1518" s="117">
        <f>S1518*'FA Addition'!$L1518/'FA Addition'!$J1518</f>
        <v>0</v>
      </c>
      <c r="W1518" s="116">
        <f>SUMIFS('FA Write off'!D:D,'FA Write off'!A:A,'FA Addition'!$A1518,'FA Write off'!C:C,"&lt;"&amp;'FA Addition'!$P$1)</f>
        <v>0</v>
      </c>
      <c r="Y1518" s="191">
        <f>IFERROR(W1518/'FA Addition'!$J1518*'FA Addition'!$L1518,0)</f>
        <v>0</v>
      </c>
      <c r="AA1518" s="116">
        <f>SUMIFS('FA Write off'!D:D,'FA Write off'!A:A,'FA Addition'!$A1518,'FA Write off'!C:C,"&lt;"&amp;'FA Addition'!$L$1+1,'FA Write off'!C:C,"&gt;"&amp;'FA Addition'!$L$1-365)</f>
        <v>0</v>
      </c>
      <c r="AC1518" s="118">
        <f>IFERROR(AA1518/'FA Addition'!$J1518*'FA Addition'!$L1518,0)</f>
        <v>0</v>
      </c>
      <c r="AE1518" s="117">
        <f>IF(AND('FA Addition'!$D1518&lt;$P$1+1,U1518=0),'FA Addition'!$L1518,0)-Y1518</f>
        <v>0</v>
      </c>
      <c r="AF1518" s="117">
        <f t="shared" si="115"/>
        <v>0</v>
      </c>
      <c r="AG1518" s="117">
        <f>MIN(MAX(+$P$1-'FA Addition'!$D1518,0),365*'FA Addition'!$O1518)</f>
        <v>0</v>
      </c>
      <c r="AH1518" s="117">
        <f>MIN(MAX($L$1-'FA Addition'!$D1518+1,0),365*'FA Addition'!$O1518)</f>
        <v>0</v>
      </c>
      <c r="AI1518" s="117" cm="1">
        <f t="array" ref="AI1518">_xlfn.XLOOKUP(1,('FA Write off'!A:A='FA Addition'!$A1518)*('FA Write off'!D:D=AA1518),'FA Write off'!H:H,0,0)</f>
        <v>0</v>
      </c>
      <c r="AJ1518" s="117">
        <f>IF(AC1518&gt;0,MAX(IF('FA Addition'!$N1518="SLM",($AC1518-'FA Addition'!$M1518)*'FA Addition'!$P1518*AI1518/365,(AC1518-'FA Addition'!$M1518)*(1-(1-'FA Addition'!$P1518)^(AI1518/365))),0),0)</f>
        <v>0</v>
      </c>
      <c r="AL1518" s="117">
        <f>MAX(IF(AG1518&gt;0,IF('FA Addition'!$N1518="SLM",($AE1518-'FA Addition'!$M1518)*'FA Addition'!$P1518*AG1518/365,IFERROR(VDB(AE1518,AE1518*0.05,'FA Addition'!$O1518,0,YEARFRAC('FA Addition'!$C1518,$P$1-1,3),'FA Addition'!$Q1518),FAAddition[[#This Row],[Original Cost (Rs)]]-FAAddition[[#This Row],[Salvage Value]])),0),0)</f>
        <v>0</v>
      </c>
      <c r="AM1518" s="119"/>
      <c r="AN1518" s="117">
        <f>MAX(IF(AH1518&gt;0,IF('FA Addition'!$N1518="SLM",($AF1518-'FA Addition'!$M1518)*'FA Addition'!$P1518*AH1518/365,IFERROR(VDB(AF1518,AF1518*0.05,'FA Addition'!$O1518,0,YEARFRAC('FA Addition'!$C1518,$L$1,3),'FA Addition'!$Q1518),FAAddition[[#This Row],[Original Cost (Rs)]]-FAAddition[[#This Row],[Salvage Value]])),0),0)</f>
        <v>0</v>
      </c>
      <c r="AO1518" s="117">
        <f t="shared" si="118"/>
        <v>0</v>
      </c>
      <c r="AQ1518" s="117">
        <f t="shared" si="116"/>
        <v>0</v>
      </c>
      <c r="AR1518" s="120">
        <f t="shared" si="117"/>
        <v>0</v>
      </c>
      <c r="AS1518" s="121"/>
    </row>
    <row r="1519" spans="1:45" ht="13.5" x14ac:dyDescent="0.4">
      <c r="A1519" s="12">
        <f t="shared" si="119"/>
        <v>1516</v>
      </c>
      <c r="B1519" s="64" t="s">
        <v>10</v>
      </c>
      <c r="C1519" s="54">
        <v>45787</v>
      </c>
      <c r="D1519" s="54">
        <v>45807</v>
      </c>
      <c r="E1519" s="46" t="s">
        <v>749</v>
      </c>
      <c r="F1519" s="51" t="s">
        <v>74</v>
      </c>
      <c r="G1519" s="51" t="s">
        <v>172</v>
      </c>
      <c r="H1519" s="51" t="s">
        <v>173</v>
      </c>
      <c r="I1519" s="55" t="s">
        <v>174</v>
      </c>
      <c r="J1519" s="56">
        <v>1</v>
      </c>
      <c r="K1519" s="51" t="s">
        <v>336</v>
      </c>
      <c r="L1519" s="58">
        <v>23500</v>
      </c>
      <c r="M1519" s="50">
        <f>ROUND('FA Addition'!$L1519*5%,0.1)</f>
        <v>1175</v>
      </c>
      <c r="N1519" s="113" t="str">
        <f>_xlfn.XLOOKUP(_xlfn.CONCAT(E1519,B1519),'Year Wise Master Dep Approach'!F:F,'Year Wise Master Dep Approach'!D:D)</f>
        <v>WDV</v>
      </c>
      <c r="O1519" s="113">
        <f>_xlfn.XLOOKUP(_xlfn.CONCAT(E1519,B1519),'Year Wise Master Dep Approach'!F:F,'Year Wise Master Dep Approach'!E:E)</f>
        <v>5</v>
      </c>
      <c r="P1519" s="114">
        <f>IFERROR(IF('FA Addition'!$N1519="WDV",1-('FA Addition'!$M1519/'FA Addition'!$L1519)^(1/'FA Addition'!$O1519),1/'FA Addition'!$O1519),0)</f>
        <v>0.45071972834694107</v>
      </c>
      <c r="Q1519" s="122">
        <f>'FA Addition'!$P1519*'FA Addition'!$O1519</f>
        <v>2.2535986417347056</v>
      </c>
      <c r="R1519" s="122"/>
      <c r="S1519" s="116">
        <f>IF(AND(DATE(20&amp;LEFT(FAAddition[[#This Row],[FY]],2),4,1)&lt;$L$1+1,DATE(20&amp;LEFT(FAAddition[[#This Row],[FY]],2),4,1)&gt;$P$1-1),'FA Addition'!$J1519,0)</f>
        <v>0</v>
      </c>
      <c r="U1519" s="117">
        <f>S1519*'FA Addition'!$L1519/'FA Addition'!$J1519</f>
        <v>0</v>
      </c>
      <c r="W1519" s="116">
        <f>SUMIFS('FA Write off'!D:D,'FA Write off'!A:A,'FA Addition'!$A1519,'FA Write off'!C:C,"&lt;"&amp;'FA Addition'!$P$1)</f>
        <v>0</v>
      </c>
      <c r="Y1519" s="191">
        <f>IFERROR(W1519/'FA Addition'!$J1519*'FA Addition'!$L1519,0)</f>
        <v>0</v>
      </c>
      <c r="AA1519" s="116">
        <f>SUMIFS('FA Write off'!D:D,'FA Write off'!A:A,'FA Addition'!$A1519,'FA Write off'!C:C,"&lt;"&amp;'FA Addition'!$L$1+1,'FA Write off'!C:C,"&gt;"&amp;'FA Addition'!$L$1-365)</f>
        <v>0</v>
      </c>
      <c r="AC1519" s="118">
        <f>IFERROR(AA1519/'FA Addition'!$J1519*'FA Addition'!$L1519,0)</f>
        <v>0</v>
      </c>
      <c r="AE1519" s="117">
        <f>IF(AND('FA Addition'!$D1519&lt;$P$1+1,U1519=0),'FA Addition'!$L1519,0)-Y1519</f>
        <v>0</v>
      </c>
      <c r="AF1519" s="117">
        <f t="shared" si="115"/>
        <v>0</v>
      </c>
      <c r="AG1519" s="117">
        <f>MIN(MAX(+$P$1-'FA Addition'!$D1519,0),365*'FA Addition'!$O1519)</f>
        <v>0</v>
      </c>
      <c r="AH1519" s="117">
        <f>MIN(MAX($L$1-'FA Addition'!$D1519+1,0),365*'FA Addition'!$O1519)</f>
        <v>0</v>
      </c>
      <c r="AI1519" s="117" cm="1">
        <f t="array" ref="AI1519">_xlfn.XLOOKUP(1,('FA Write off'!A:A='FA Addition'!$A1519)*('FA Write off'!D:D=AA1519),'FA Write off'!H:H,0,0)</f>
        <v>0</v>
      </c>
      <c r="AJ1519" s="117">
        <f>IF(AC1519&gt;0,MAX(IF('FA Addition'!$N1519="SLM",($AC1519-'FA Addition'!$M1519)*'FA Addition'!$P1519*AI1519/365,(AC1519-'FA Addition'!$M1519)*(1-(1-'FA Addition'!$P1519)^(AI1519/365))),0),0)</f>
        <v>0</v>
      </c>
      <c r="AL1519" s="117">
        <f>MAX(IF(AG1519&gt;0,IF('FA Addition'!$N1519="SLM",($AE1519-'FA Addition'!$M1519)*'FA Addition'!$P1519*AG1519/365,IFERROR(VDB(AE1519,AE1519*0.05,'FA Addition'!$O1519,0,YEARFRAC('FA Addition'!$C1519,$P$1-1,3),'FA Addition'!$Q1519),FAAddition[[#This Row],[Original Cost (Rs)]]-FAAddition[[#This Row],[Salvage Value]])),0),0)</f>
        <v>0</v>
      </c>
      <c r="AM1519" s="119"/>
      <c r="AN1519" s="117">
        <f>MAX(IF(AH1519&gt;0,IF('FA Addition'!$N1519="SLM",($AF1519-'FA Addition'!$M1519)*'FA Addition'!$P1519*AH1519/365,IFERROR(VDB(AF1519,AF1519*0.05,'FA Addition'!$O1519,0,YEARFRAC('FA Addition'!$C1519,$L$1,3),'FA Addition'!$Q1519),FAAddition[[#This Row],[Original Cost (Rs)]]-FAAddition[[#This Row],[Salvage Value]])),0),0)</f>
        <v>0</v>
      </c>
      <c r="AO1519" s="117">
        <f t="shared" si="118"/>
        <v>0</v>
      </c>
      <c r="AQ1519" s="117">
        <f t="shared" si="116"/>
        <v>0</v>
      </c>
      <c r="AR1519" s="120">
        <f t="shared" si="117"/>
        <v>0</v>
      </c>
      <c r="AS1519" s="121"/>
    </row>
    <row r="1520" spans="1:45" ht="13.5" x14ac:dyDescent="0.4">
      <c r="A1520" s="12">
        <f t="shared" si="119"/>
        <v>1517</v>
      </c>
      <c r="B1520" s="64" t="s">
        <v>10</v>
      </c>
      <c r="C1520" s="54">
        <v>45787</v>
      </c>
      <c r="D1520" s="54">
        <v>45807</v>
      </c>
      <c r="E1520" s="46" t="s">
        <v>749</v>
      </c>
      <c r="F1520" s="51" t="s">
        <v>74</v>
      </c>
      <c r="G1520" s="51" t="s">
        <v>172</v>
      </c>
      <c r="H1520" s="51" t="s">
        <v>173</v>
      </c>
      <c r="I1520" s="55" t="s">
        <v>174</v>
      </c>
      <c r="J1520" s="56">
        <v>1</v>
      </c>
      <c r="K1520" s="51" t="s">
        <v>336</v>
      </c>
      <c r="L1520" s="58">
        <v>23500</v>
      </c>
      <c r="M1520" s="50">
        <f>ROUND('FA Addition'!$L1520*5%,0.1)</f>
        <v>1175</v>
      </c>
      <c r="N1520" s="113" t="str">
        <f>_xlfn.XLOOKUP(_xlfn.CONCAT(E1520,B1520),'Year Wise Master Dep Approach'!F:F,'Year Wise Master Dep Approach'!D:D)</f>
        <v>WDV</v>
      </c>
      <c r="O1520" s="113">
        <f>_xlfn.XLOOKUP(_xlfn.CONCAT(E1520,B1520),'Year Wise Master Dep Approach'!F:F,'Year Wise Master Dep Approach'!E:E)</f>
        <v>5</v>
      </c>
      <c r="P1520" s="114">
        <f>IFERROR(IF('FA Addition'!$N1520="WDV",1-('FA Addition'!$M1520/'FA Addition'!$L1520)^(1/'FA Addition'!$O1520),1/'FA Addition'!$O1520),0)</f>
        <v>0.45071972834694107</v>
      </c>
      <c r="Q1520" s="122">
        <f>'FA Addition'!$P1520*'FA Addition'!$O1520</f>
        <v>2.2535986417347056</v>
      </c>
      <c r="R1520" s="122"/>
      <c r="S1520" s="116">
        <f>IF(AND(DATE(20&amp;LEFT(FAAddition[[#This Row],[FY]],2),4,1)&lt;$L$1+1,DATE(20&amp;LEFT(FAAddition[[#This Row],[FY]],2),4,1)&gt;$P$1-1),'FA Addition'!$J1520,0)</f>
        <v>0</v>
      </c>
      <c r="U1520" s="117">
        <f>S1520*'FA Addition'!$L1520/'FA Addition'!$J1520</f>
        <v>0</v>
      </c>
      <c r="W1520" s="116">
        <f>SUMIFS('FA Write off'!D:D,'FA Write off'!A:A,'FA Addition'!$A1520,'FA Write off'!C:C,"&lt;"&amp;'FA Addition'!$P$1)</f>
        <v>0</v>
      </c>
      <c r="Y1520" s="191">
        <f>IFERROR(W1520/'FA Addition'!$J1520*'FA Addition'!$L1520,0)</f>
        <v>0</v>
      </c>
      <c r="AA1520" s="116">
        <f>SUMIFS('FA Write off'!D:D,'FA Write off'!A:A,'FA Addition'!$A1520,'FA Write off'!C:C,"&lt;"&amp;'FA Addition'!$L$1+1,'FA Write off'!C:C,"&gt;"&amp;'FA Addition'!$L$1-365)</f>
        <v>0</v>
      </c>
      <c r="AC1520" s="118">
        <f>IFERROR(AA1520/'FA Addition'!$J1520*'FA Addition'!$L1520,0)</f>
        <v>0</v>
      </c>
      <c r="AE1520" s="117">
        <f>IF(AND('FA Addition'!$D1520&lt;$P$1+1,U1520=0),'FA Addition'!$L1520,0)-Y1520</f>
        <v>0</v>
      </c>
      <c r="AF1520" s="117">
        <f t="shared" si="115"/>
        <v>0</v>
      </c>
      <c r="AG1520" s="117">
        <f>MIN(MAX(+$P$1-'FA Addition'!$D1520,0),365*'FA Addition'!$O1520)</f>
        <v>0</v>
      </c>
      <c r="AH1520" s="117">
        <f>MIN(MAX($L$1-'FA Addition'!$D1520+1,0),365*'FA Addition'!$O1520)</f>
        <v>0</v>
      </c>
      <c r="AI1520" s="117" cm="1">
        <f t="array" ref="AI1520">_xlfn.XLOOKUP(1,('FA Write off'!A:A='FA Addition'!$A1520)*('FA Write off'!D:D=AA1520),'FA Write off'!H:H,0,0)</f>
        <v>0</v>
      </c>
      <c r="AJ1520" s="117">
        <f>IF(AC1520&gt;0,MAX(IF('FA Addition'!$N1520="SLM",($AC1520-'FA Addition'!$M1520)*'FA Addition'!$P1520*AI1520/365,(AC1520-'FA Addition'!$M1520)*(1-(1-'FA Addition'!$P1520)^(AI1520/365))),0),0)</f>
        <v>0</v>
      </c>
      <c r="AL1520" s="117">
        <f>MAX(IF(AG1520&gt;0,IF('FA Addition'!$N1520="SLM",($AE1520-'FA Addition'!$M1520)*'FA Addition'!$P1520*AG1520/365,IFERROR(VDB(AE1520,AE1520*0.05,'FA Addition'!$O1520,0,YEARFRAC('FA Addition'!$C1520,$P$1-1,3),'FA Addition'!$Q1520),FAAddition[[#This Row],[Original Cost (Rs)]]-FAAddition[[#This Row],[Salvage Value]])),0),0)</f>
        <v>0</v>
      </c>
      <c r="AM1520" s="119"/>
      <c r="AN1520" s="117">
        <f>MAX(IF(AH1520&gt;0,IF('FA Addition'!$N1520="SLM",($AF1520-'FA Addition'!$M1520)*'FA Addition'!$P1520*AH1520/365,IFERROR(VDB(AF1520,AF1520*0.05,'FA Addition'!$O1520,0,YEARFRAC('FA Addition'!$C1520,$L$1,3),'FA Addition'!$Q1520),FAAddition[[#This Row],[Original Cost (Rs)]]-FAAddition[[#This Row],[Salvage Value]])),0),0)</f>
        <v>0</v>
      </c>
      <c r="AO1520" s="117">
        <f t="shared" si="118"/>
        <v>0</v>
      </c>
      <c r="AQ1520" s="117">
        <f t="shared" si="116"/>
        <v>0</v>
      </c>
      <c r="AR1520" s="120">
        <f t="shared" si="117"/>
        <v>0</v>
      </c>
      <c r="AS1520" s="121"/>
    </row>
    <row r="1521" spans="1:45" ht="13.5" x14ac:dyDescent="0.4">
      <c r="A1521" s="12">
        <f t="shared" si="119"/>
        <v>1518</v>
      </c>
      <c r="B1521" s="64" t="s">
        <v>10</v>
      </c>
      <c r="C1521" s="54">
        <v>45787</v>
      </c>
      <c r="D1521" s="54">
        <v>45807</v>
      </c>
      <c r="E1521" s="46" t="s">
        <v>749</v>
      </c>
      <c r="F1521" s="51" t="s">
        <v>74</v>
      </c>
      <c r="G1521" s="51" t="s">
        <v>172</v>
      </c>
      <c r="H1521" s="51" t="s">
        <v>173</v>
      </c>
      <c r="I1521" s="55" t="s">
        <v>174</v>
      </c>
      <c r="J1521" s="56">
        <v>1</v>
      </c>
      <c r="K1521" s="51" t="s">
        <v>336</v>
      </c>
      <c r="L1521" s="58">
        <v>23500</v>
      </c>
      <c r="M1521" s="50">
        <f>ROUND('FA Addition'!$L1521*5%,0.1)</f>
        <v>1175</v>
      </c>
      <c r="N1521" s="113" t="str">
        <f>_xlfn.XLOOKUP(_xlfn.CONCAT(E1521,B1521),'Year Wise Master Dep Approach'!F:F,'Year Wise Master Dep Approach'!D:D)</f>
        <v>WDV</v>
      </c>
      <c r="O1521" s="113">
        <f>_xlfn.XLOOKUP(_xlfn.CONCAT(E1521,B1521),'Year Wise Master Dep Approach'!F:F,'Year Wise Master Dep Approach'!E:E)</f>
        <v>5</v>
      </c>
      <c r="P1521" s="114">
        <f>IFERROR(IF('FA Addition'!$N1521="WDV",1-('FA Addition'!$M1521/'FA Addition'!$L1521)^(1/'FA Addition'!$O1521),1/'FA Addition'!$O1521),0)</f>
        <v>0.45071972834694107</v>
      </c>
      <c r="Q1521" s="122">
        <f>'FA Addition'!$P1521*'FA Addition'!$O1521</f>
        <v>2.2535986417347056</v>
      </c>
      <c r="R1521" s="122"/>
      <c r="S1521" s="116">
        <f>IF(AND(DATE(20&amp;LEFT(FAAddition[[#This Row],[FY]],2),4,1)&lt;$L$1+1,DATE(20&amp;LEFT(FAAddition[[#This Row],[FY]],2),4,1)&gt;$P$1-1),'FA Addition'!$J1521,0)</f>
        <v>0</v>
      </c>
      <c r="U1521" s="117">
        <f>S1521*'FA Addition'!$L1521/'FA Addition'!$J1521</f>
        <v>0</v>
      </c>
      <c r="W1521" s="116">
        <f>SUMIFS('FA Write off'!D:D,'FA Write off'!A:A,'FA Addition'!$A1521,'FA Write off'!C:C,"&lt;"&amp;'FA Addition'!$P$1)</f>
        <v>0</v>
      </c>
      <c r="Y1521" s="191">
        <f>IFERROR(W1521/'FA Addition'!$J1521*'FA Addition'!$L1521,0)</f>
        <v>0</v>
      </c>
      <c r="AA1521" s="116">
        <f>SUMIFS('FA Write off'!D:D,'FA Write off'!A:A,'FA Addition'!$A1521,'FA Write off'!C:C,"&lt;"&amp;'FA Addition'!$L$1+1,'FA Write off'!C:C,"&gt;"&amp;'FA Addition'!$L$1-365)</f>
        <v>0</v>
      </c>
      <c r="AC1521" s="118">
        <f>IFERROR(AA1521/'FA Addition'!$J1521*'FA Addition'!$L1521,0)</f>
        <v>0</v>
      </c>
      <c r="AE1521" s="117">
        <f>IF(AND('FA Addition'!$D1521&lt;$P$1+1,U1521=0),'FA Addition'!$L1521,0)-Y1521</f>
        <v>0</v>
      </c>
      <c r="AF1521" s="117">
        <f t="shared" si="115"/>
        <v>0</v>
      </c>
      <c r="AG1521" s="117">
        <f>MIN(MAX(+$P$1-'FA Addition'!$D1521,0),365*'FA Addition'!$O1521)</f>
        <v>0</v>
      </c>
      <c r="AH1521" s="117">
        <f>MIN(MAX($L$1-'FA Addition'!$D1521+1,0),365*'FA Addition'!$O1521)</f>
        <v>0</v>
      </c>
      <c r="AI1521" s="117" cm="1">
        <f t="array" ref="AI1521">_xlfn.XLOOKUP(1,('FA Write off'!A:A='FA Addition'!$A1521)*('FA Write off'!D:D=AA1521),'FA Write off'!H:H,0,0)</f>
        <v>0</v>
      </c>
      <c r="AJ1521" s="117">
        <f>IF(AC1521&gt;0,MAX(IF('FA Addition'!$N1521="SLM",($AC1521-'FA Addition'!$M1521)*'FA Addition'!$P1521*AI1521/365,(AC1521-'FA Addition'!$M1521)*(1-(1-'FA Addition'!$P1521)^(AI1521/365))),0),0)</f>
        <v>0</v>
      </c>
      <c r="AL1521" s="117">
        <f>MAX(IF(AG1521&gt;0,IF('FA Addition'!$N1521="SLM",($AE1521-'FA Addition'!$M1521)*'FA Addition'!$P1521*AG1521/365,IFERROR(VDB(AE1521,AE1521*0.05,'FA Addition'!$O1521,0,YEARFRAC('FA Addition'!$C1521,$P$1-1,3),'FA Addition'!$Q1521),FAAddition[[#This Row],[Original Cost (Rs)]]-FAAddition[[#This Row],[Salvage Value]])),0),0)</f>
        <v>0</v>
      </c>
      <c r="AM1521" s="119"/>
      <c r="AN1521" s="117">
        <f>MAX(IF(AH1521&gt;0,IF('FA Addition'!$N1521="SLM",($AF1521-'FA Addition'!$M1521)*'FA Addition'!$P1521*AH1521/365,IFERROR(VDB(AF1521,AF1521*0.05,'FA Addition'!$O1521,0,YEARFRAC('FA Addition'!$C1521,$L$1,3),'FA Addition'!$Q1521),FAAddition[[#This Row],[Original Cost (Rs)]]-FAAddition[[#This Row],[Salvage Value]])),0),0)</f>
        <v>0</v>
      </c>
      <c r="AO1521" s="117">
        <f t="shared" si="118"/>
        <v>0</v>
      </c>
      <c r="AQ1521" s="117">
        <f t="shared" si="116"/>
        <v>0</v>
      </c>
      <c r="AR1521" s="120">
        <f t="shared" si="117"/>
        <v>0</v>
      </c>
      <c r="AS1521" s="121"/>
    </row>
    <row r="1522" spans="1:45" ht="13.5" x14ac:dyDescent="0.4">
      <c r="A1522" s="12">
        <f t="shared" si="119"/>
        <v>1519</v>
      </c>
      <c r="B1522" s="64" t="s">
        <v>10</v>
      </c>
      <c r="C1522" s="54">
        <v>45787</v>
      </c>
      <c r="D1522" s="54">
        <v>45807</v>
      </c>
      <c r="E1522" s="46" t="s">
        <v>749</v>
      </c>
      <c r="F1522" s="51" t="s">
        <v>74</v>
      </c>
      <c r="G1522" s="51" t="s">
        <v>172</v>
      </c>
      <c r="H1522" s="51" t="s">
        <v>173</v>
      </c>
      <c r="I1522" s="55" t="s">
        <v>174</v>
      </c>
      <c r="J1522" s="56">
        <v>1</v>
      </c>
      <c r="K1522" s="51" t="s">
        <v>336</v>
      </c>
      <c r="L1522" s="58">
        <v>23500</v>
      </c>
      <c r="M1522" s="50">
        <f>ROUND('FA Addition'!$L1522*5%,0.1)</f>
        <v>1175</v>
      </c>
      <c r="N1522" s="113" t="str">
        <f>_xlfn.XLOOKUP(_xlfn.CONCAT(E1522,B1522),'Year Wise Master Dep Approach'!F:F,'Year Wise Master Dep Approach'!D:D)</f>
        <v>WDV</v>
      </c>
      <c r="O1522" s="113">
        <f>_xlfn.XLOOKUP(_xlfn.CONCAT(E1522,B1522),'Year Wise Master Dep Approach'!F:F,'Year Wise Master Dep Approach'!E:E)</f>
        <v>5</v>
      </c>
      <c r="P1522" s="114">
        <f>IFERROR(IF('FA Addition'!$N1522="WDV",1-('FA Addition'!$M1522/'FA Addition'!$L1522)^(1/'FA Addition'!$O1522),1/'FA Addition'!$O1522),0)</f>
        <v>0.45071972834694107</v>
      </c>
      <c r="Q1522" s="122">
        <f>'FA Addition'!$P1522*'FA Addition'!$O1522</f>
        <v>2.2535986417347056</v>
      </c>
      <c r="R1522" s="122"/>
      <c r="S1522" s="116">
        <f>IF(AND(DATE(20&amp;LEFT(FAAddition[[#This Row],[FY]],2),4,1)&lt;$L$1+1,DATE(20&amp;LEFT(FAAddition[[#This Row],[FY]],2),4,1)&gt;$P$1-1),'FA Addition'!$J1522,0)</f>
        <v>0</v>
      </c>
      <c r="U1522" s="117">
        <f>S1522*'FA Addition'!$L1522/'FA Addition'!$J1522</f>
        <v>0</v>
      </c>
      <c r="W1522" s="116">
        <f>SUMIFS('FA Write off'!D:D,'FA Write off'!A:A,'FA Addition'!$A1522,'FA Write off'!C:C,"&lt;"&amp;'FA Addition'!$P$1)</f>
        <v>0</v>
      </c>
      <c r="Y1522" s="191">
        <f>IFERROR(W1522/'FA Addition'!$J1522*'FA Addition'!$L1522,0)</f>
        <v>0</v>
      </c>
      <c r="AA1522" s="116">
        <f>SUMIFS('FA Write off'!D:D,'FA Write off'!A:A,'FA Addition'!$A1522,'FA Write off'!C:C,"&lt;"&amp;'FA Addition'!$L$1+1,'FA Write off'!C:C,"&gt;"&amp;'FA Addition'!$L$1-365)</f>
        <v>0</v>
      </c>
      <c r="AC1522" s="118">
        <f>IFERROR(AA1522/'FA Addition'!$J1522*'FA Addition'!$L1522,0)</f>
        <v>0</v>
      </c>
      <c r="AE1522" s="117">
        <f>IF(AND('FA Addition'!$D1522&lt;$P$1+1,U1522=0),'FA Addition'!$L1522,0)-Y1522</f>
        <v>0</v>
      </c>
      <c r="AF1522" s="117">
        <f t="shared" si="115"/>
        <v>0</v>
      </c>
      <c r="AG1522" s="117">
        <f>MIN(MAX(+$P$1-'FA Addition'!$D1522,0),365*'FA Addition'!$O1522)</f>
        <v>0</v>
      </c>
      <c r="AH1522" s="117">
        <f>MIN(MAX($L$1-'FA Addition'!$D1522+1,0),365*'FA Addition'!$O1522)</f>
        <v>0</v>
      </c>
      <c r="AI1522" s="117" cm="1">
        <f t="array" ref="AI1522">_xlfn.XLOOKUP(1,('FA Write off'!A:A='FA Addition'!$A1522)*('FA Write off'!D:D=AA1522),'FA Write off'!H:H,0,0)</f>
        <v>0</v>
      </c>
      <c r="AJ1522" s="117">
        <f>IF(AC1522&gt;0,MAX(IF('FA Addition'!$N1522="SLM",($AC1522-'FA Addition'!$M1522)*'FA Addition'!$P1522*AI1522/365,(AC1522-'FA Addition'!$M1522)*(1-(1-'FA Addition'!$P1522)^(AI1522/365))),0),0)</f>
        <v>0</v>
      </c>
      <c r="AL1522" s="117">
        <f>MAX(IF(AG1522&gt;0,IF('FA Addition'!$N1522="SLM",($AE1522-'FA Addition'!$M1522)*'FA Addition'!$P1522*AG1522/365,IFERROR(VDB(AE1522,AE1522*0.05,'FA Addition'!$O1522,0,YEARFRAC('FA Addition'!$C1522,$P$1-1,3),'FA Addition'!$Q1522),FAAddition[[#This Row],[Original Cost (Rs)]]-FAAddition[[#This Row],[Salvage Value]])),0),0)</f>
        <v>0</v>
      </c>
      <c r="AM1522" s="119"/>
      <c r="AN1522" s="117">
        <f>MAX(IF(AH1522&gt;0,IF('FA Addition'!$N1522="SLM",($AF1522-'FA Addition'!$M1522)*'FA Addition'!$P1522*AH1522/365,IFERROR(VDB(AF1522,AF1522*0.05,'FA Addition'!$O1522,0,YEARFRAC('FA Addition'!$C1522,$L$1,3),'FA Addition'!$Q1522),FAAddition[[#This Row],[Original Cost (Rs)]]-FAAddition[[#This Row],[Salvage Value]])),0),0)</f>
        <v>0</v>
      </c>
      <c r="AO1522" s="117">
        <f t="shared" si="118"/>
        <v>0</v>
      </c>
      <c r="AQ1522" s="117">
        <f t="shared" si="116"/>
        <v>0</v>
      </c>
      <c r="AR1522" s="120">
        <f t="shared" si="117"/>
        <v>0</v>
      </c>
      <c r="AS1522" s="121"/>
    </row>
    <row r="1523" spans="1:45" ht="13.5" x14ac:dyDescent="0.4">
      <c r="A1523" s="12">
        <f t="shared" si="119"/>
        <v>1520</v>
      </c>
      <c r="B1523" s="64" t="s">
        <v>10</v>
      </c>
      <c r="C1523" s="54">
        <v>45868</v>
      </c>
      <c r="D1523" s="54">
        <v>45875</v>
      </c>
      <c r="E1523" s="46" t="s">
        <v>451</v>
      </c>
      <c r="F1523" s="51" t="s">
        <v>19</v>
      </c>
      <c r="G1523" s="51" t="s">
        <v>166</v>
      </c>
      <c r="H1523" s="51" t="s">
        <v>151</v>
      </c>
      <c r="I1523" s="55" t="s">
        <v>175</v>
      </c>
      <c r="J1523" s="56">
        <v>1</v>
      </c>
      <c r="K1523" s="51" t="s">
        <v>337</v>
      </c>
      <c r="L1523" s="58">
        <v>31800</v>
      </c>
      <c r="M1523" s="50">
        <f>ROUND('FA Addition'!$L1523*5%,0.1)</f>
        <v>1590</v>
      </c>
      <c r="N1523" s="113" t="str">
        <f>_xlfn.XLOOKUP(_xlfn.CONCAT(E1523,B1523),'Year Wise Master Dep Approach'!F:F,'Year Wise Master Dep Approach'!D:D)</f>
        <v>WDV</v>
      </c>
      <c r="O1523" s="113">
        <f>_xlfn.XLOOKUP(_xlfn.CONCAT(E1523,B1523),'Year Wise Master Dep Approach'!F:F,'Year Wise Master Dep Approach'!E:E)</f>
        <v>3</v>
      </c>
      <c r="P1523" s="114">
        <f>IFERROR(IF('FA Addition'!$N1523="WDV",1-('FA Addition'!$M1523/'FA Addition'!$L1523)^(1/'FA Addition'!$O1523),1/'FA Addition'!$O1523),0)</f>
        <v>0.63159685013596123</v>
      </c>
      <c r="Q1523" s="122">
        <f>'FA Addition'!$P1523*'FA Addition'!$O1523</f>
        <v>1.8947905504078837</v>
      </c>
      <c r="R1523" s="122"/>
      <c r="S1523" s="116">
        <f>IF(AND(DATE(20&amp;LEFT(FAAddition[[#This Row],[FY]],2),4,1)&lt;$L$1+1,DATE(20&amp;LEFT(FAAddition[[#This Row],[FY]],2),4,1)&gt;$P$1-1),'FA Addition'!$J1523,0)</f>
        <v>0</v>
      </c>
      <c r="U1523" s="117">
        <f>S1523*'FA Addition'!$L1523/'FA Addition'!$J1523</f>
        <v>0</v>
      </c>
      <c r="W1523" s="116">
        <f>SUMIFS('FA Write off'!D:D,'FA Write off'!A:A,'FA Addition'!$A1523,'FA Write off'!C:C,"&lt;"&amp;'FA Addition'!$P$1)</f>
        <v>0</v>
      </c>
      <c r="Y1523" s="191">
        <f>IFERROR(W1523/'FA Addition'!$J1523*'FA Addition'!$L1523,0)</f>
        <v>0</v>
      </c>
      <c r="AA1523" s="116">
        <f>SUMIFS('FA Write off'!D:D,'FA Write off'!A:A,'FA Addition'!$A1523,'FA Write off'!C:C,"&lt;"&amp;'FA Addition'!$L$1+1,'FA Write off'!C:C,"&gt;"&amp;'FA Addition'!$L$1-365)</f>
        <v>0</v>
      </c>
      <c r="AC1523" s="118">
        <f>IFERROR(AA1523/'FA Addition'!$J1523*'FA Addition'!$L1523,0)</f>
        <v>0</v>
      </c>
      <c r="AE1523" s="117">
        <f>IF(AND('FA Addition'!$D1523&lt;$P$1+1,U1523=0),'FA Addition'!$L1523,0)-Y1523</f>
        <v>0</v>
      </c>
      <c r="AF1523" s="117">
        <f t="shared" si="115"/>
        <v>0</v>
      </c>
      <c r="AG1523" s="117">
        <f>MIN(MAX(+$P$1-'FA Addition'!$D1523,0),365*'FA Addition'!$O1523)</f>
        <v>0</v>
      </c>
      <c r="AH1523" s="117">
        <f>MIN(MAX($L$1-'FA Addition'!$D1523+1,0),365*'FA Addition'!$O1523)</f>
        <v>0</v>
      </c>
      <c r="AI1523" s="117" cm="1">
        <f t="array" ref="AI1523">_xlfn.XLOOKUP(1,('FA Write off'!A:A='FA Addition'!$A1523)*('FA Write off'!D:D=AA1523),'FA Write off'!H:H,0,0)</f>
        <v>0</v>
      </c>
      <c r="AJ1523" s="117">
        <f>IF(AC1523&gt;0,MAX(IF('FA Addition'!$N1523="SLM",($AC1523-'FA Addition'!$M1523)*'FA Addition'!$P1523*AI1523/365,(AC1523-'FA Addition'!$M1523)*(1-(1-'FA Addition'!$P1523)^(AI1523/365))),0),0)</f>
        <v>0</v>
      </c>
      <c r="AL1523" s="117">
        <f>MAX(IF(AG1523&gt;0,IF('FA Addition'!$N1523="SLM",($AE1523-'FA Addition'!$M1523)*'FA Addition'!$P1523*AG1523/365,IFERROR(VDB(AE1523,AE1523*0.05,'FA Addition'!$O1523,0,YEARFRAC('FA Addition'!$C1523,$P$1-1,3),'FA Addition'!$Q1523),FAAddition[[#This Row],[Original Cost (Rs)]]-FAAddition[[#This Row],[Salvage Value]])),0),0)</f>
        <v>0</v>
      </c>
      <c r="AM1523" s="119"/>
      <c r="AN1523" s="117">
        <f>MAX(IF(AH1523&gt;0,IF('FA Addition'!$N1523="SLM",($AF1523-'FA Addition'!$M1523)*'FA Addition'!$P1523*AH1523/365,IFERROR(VDB(AF1523,AF1523*0.05,'FA Addition'!$O1523,0,YEARFRAC('FA Addition'!$C1523,$L$1,3),'FA Addition'!$Q1523),FAAddition[[#This Row],[Original Cost (Rs)]]-FAAddition[[#This Row],[Salvage Value]])),0),0)</f>
        <v>0</v>
      </c>
      <c r="AO1523" s="117">
        <f t="shared" si="118"/>
        <v>0</v>
      </c>
      <c r="AQ1523" s="117">
        <f t="shared" si="116"/>
        <v>0</v>
      </c>
      <c r="AR1523" s="120">
        <f t="shared" si="117"/>
        <v>0</v>
      </c>
      <c r="AS1523" s="121"/>
    </row>
    <row r="1524" spans="1:45" ht="13.5" x14ac:dyDescent="0.4">
      <c r="A1524" s="12">
        <f t="shared" si="119"/>
        <v>1521</v>
      </c>
      <c r="B1524" s="64" t="s">
        <v>10</v>
      </c>
      <c r="C1524" s="54">
        <v>45874</v>
      </c>
      <c r="D1524" s="54">
        <v>45875</v>
      </c>
      <c r="E1524" s="46" t="s">
        <v>451</v>
      </c>
      <c r="F1524" s="51" t="s">
        <v>19</v>
      </c>
      <c r="G1524" s="51" t="s">
        <v>166</v>
      </c>
      <c r="H1524" s="51" t="s">
        <v>21</v>
      </c>
      <c r="I1524" s="55" t="s">
        <v>176</v>
      </c>
      <c r="J1524" s="56">
        <v>1</v>
      </c>
      <c r="K1524" s="51" t="s">
        <v>338</v>
      </c>
      <c r="L1524" s="58">
        <v>53000</v>
      </c>
      <c r="M1524" s="50">
        <f>ROUND('FA Addition'!$L1524*5%,0.1)</f>
        <v>2650</v>
      </c>
      <c r="N1524" s="113" t="str">
        <f>_xlfn.XLOOKUP(_xlfn.CONCAT(E1524,B1524),'Year Wise Master Dep Approach'!F:F,'Year Wise Master Dep Approach'!D:D)</f>
        <v>WDV</v>
      </c>
      <c r="O1524" s="113">
        <f>_xlfn.XLOOKUP(_xlfn.CONCAT(E1524,B1524),'Year Wise Master Dep Approach'!F:F,'Year Wise Master Dep Approach'!E:E)</f>
        <v>3</v>
      </c>
      <c r="P1524" s="114">
        <f>IFERROR(IF('FA Addition'!$N1524="WDV",1-('FA Addition'!$M1524/'FA Addition'!$L1524)^(1/'FA Addition'!$O1524),1/'FA Addition'!$O1524),0)</f>
        <v>0.63159685013596123</v>
      </c>
      <c r="Q1524" s="122">
        <f>'FA Addition'!$P1524*'FA Addition'!$O1524</f>
        <v>1.8947905504078837</v>
      </c>
      <c r="R1524" s="122"/>
      <c r="S1524" s="116">
        <f>IF(AND(DATE(20&amp;LEFT(FAAddition[[#This Row],[FY]],2),4,1)&lt;$L$1+1,DATE(20&amp;LEFT(FAAddition[[#This Row],[FY]],2),4,1)&gt;$P$1-1),'FA Addition'!$J1524,0)</f>
        <v>0</v>
      </c>
      <c r="U1524" s="117">
        <f>S1524*'FA Addition'!$L1524/'FA Addition'!$J1524</f>
        <v>0</v>
      </c>
      <c r="W1524" s="116">
        <f>SUMIFS('FA Write off'!D:D,'FA Write off'!A:A,'FA Addition'!$A1524,'FA Write off'!C:C,"&lt;"&amp;'FA Addition'!$P$1)</f>
        <v>0</v>
      </c>
      <c r="Y1524" s="191">
        <f>IFERROR(W1524/'FA Addition'!$J1524*'FA Addition'!$L1524,0)</f>
        <v>0</v>
      </c>
      <c r="AA1524" s="116">
        <f>SUMIFS('FA Write off'!D:D,'FA Write off'!A:A,'FA Addition'!$A1524,'FA Write off'!C:C,"&lt;"&amp;'FA Addition'!$L$1+1,'FA Write off'!C:C,"&gt;"&amp;'FA Addition'!$L$1-365)</f>
        <v>0</v>
      </c>
      <c r="AC1524" s="118">
        <f>IFERROR(AA1524/'FA Addition'!$J1524*'FA Addition'!$L1524,0)</f>
        <v>0</v>
      </c>
      <c r="AE1524" s="117">
        <f>IF(AND('FA Addition'!$D1524&lt;$P$1+1,U1524=0),'FA Addition'!$L1524,0)-Y1524</f>
        <v>0</v>
      </c>
      <c r="AF1524" s="117">
        <f t="shared" si="115"/>
        <v>0</v>
      </c>
      <c r="AG1524" s="117">
        <f>MIN(MAX(+$P$1-'FA Addition'!$D1524,0),365*'FA Addition'!$O1524)</f>
        <v>0</v>
      </c>
      <c r="AH1524" s="117">
        <f>MIN(MAX($L$1-'FA Addition'!$D1524+1,0),365*'FA Addition'!$O1524)</f>
        <v>0</v>
      </c>
      <c r="AI1524" s="117" cm="1">
        <f t="array" ref="AI1524">_xlfn.XLOOKUP(1,('FA Write off'!A:A='FA Addition'!$A1524)*('FA Write off'!D:D=AA1524),'FA Write off'!H:H,0,0)</f>
        <v>0</v>
      </c>
      <c r="AJ1524" s="117">
        <f>IF(AC1524&gt;0,MAX(IF('FA Addition'!$N1524="SLM",($AC1524-'FA Addition'!$M1524)*'FA Addition'!$P1524*AI1524/365,(AC1524-'FA Addition'!$M1524)*(1-(1-'FA Addition'!$P1524)^(AI1524/365))),0),0)</f>
        <v>0</v>
      </c>
      <c r="AL1524" s="117">
        <f>MAX(IF(AG1524&gt;0,IF('FA Addition'!$N1524="SLM",($AE1524-'FA Addition'!$M1524)*'FA Addition'!$P1524*AG1524/365,IFERROR(VDB(AE1524,AE1524*0.05,'FA Addition'!$O1524,0,YEARFRAC('FA Addition'!$C1524,$P$1-1,3),'FA Addition'!$Q1524),FAAddition[[#This Row],[Original Cost (Rs)]]-FAAddition[[#This Row],[Salvage Value]])),0),0)</f>
        <v>0</v>
      </c>
      <c r="AM1524" s="119"/>
      <c r="AN1524" s="117">
        <f>MAX(IF(AH1524&gt;0,IF('FA Addition'!$N1524="SLM",($AF1524-'FA Addition'!$M1524)*'FA Addition'!$P1524*AH1524/365,IFERROR(VDB(AF1524,AF1524*0.05,'FA Addition'!$O1524,0,YEARFRAC('FA Addition'!$C1524,$L$1,3),'FA Addition'!$Q1524),FAAddition[[#This Row],[Original Cost (Rs)]]-FAAddition[[#This Row],[Salvage Value]])),0),0)</f>
        <v>0</v>
      </c>
      <c r="AO1524" s="117">
        <f t="shared" si="118"/>
        <v>0</v>
      </c>
      <c r="AQ1524" s="117">
        <f t="shared" si="116"/>
        <v>0</v>
      </c>
      <c r="AR1524" s="120">
        <f t="shared" si="117"/>
        <v>0</v>
      </c>
      <c r="AS1524" s="121"/>
    </row>
    <row r="1525" spans="1:45" ht="13.5" x14ac:dyDescent="0.4">
      <c r="A1525" s="12">
        <f t="shared" si="119"/>
        <v>1522</v>
      </c>
      <c r="B1525" s="64" t="s">
        <v>10</v>
      </c>
      <c r="C1525" s="54">
        <v>45874</v>
      </c>
      <c r="D1525" s="54">
        <v>45875</v>
      </c>
      <c r="E1525" s="46" t="s">
        <v>451</v>
      </c>
      <c r="F1525" s="51" t="s">
        <v>19</v>
      </c>
      <c r="G1525" s="51" t="s">
        <v>166</v>
      </c>
      <c r="H1525" s="51" t="s">
        <v>21</v>
      </c>
      <c r="I1525" s="55" t="s">
        <v>176</v>
      </c>
      <c r="J1525" s="56">
        <v>1</v>
      </c>
      <c r="K1525" s="51" t="s">
        <v>338</v>
      </c>
      <c r="L1525" s="58">
        <v>53000</v>
      </c>
      <c r="M1525" s="50">
        <f>ROUND('FA Addition'!$L1525*5%,0.1)</f>
        <v>2650</v>
      </c>
      <c r="N1525" s="113" t="str">
        <f>_xlfn.XLOOKUP(_xlfn.CONCAT(E1525,B1525),'Year Wise Master Dep Approach'!F:F,'Year Wise Master Dep Approach'!D:D)</f>
        <v>WDV</v>
      </c>
      <c r="O1525" s="113">
        <f>_xlfn.XLOOKUP(_xlfn.CONCAT(E1525,B1525),'Year Wise Master Dep Approach'!F:F,'Year Wise Master Dep Approach'!E:E)</f>
        <v>3</v>
      </c>
      <c r="P1525" s="114">
        <f>IFERROR(IF('FA Addition'!$N1525="WDV",1-('FA Addition'!$M1525/'FA Addition'!$L1525)^(1/'FA Addition'!$O1525),1/'FA Addition'!$O1525),0)</f>
        <v>0.63159685013596123</v>
      </c>
      <c r="Q1525" s="122">
        <f>'FA Addition'!$P1525*'FA Addition'!$O1525</f>
        <v>1.8947905504078837</v>
      </c>
      <c r="R1525" s="122"/>
      <c r="S1525" s="116">
        <f>IF(AND(DATE(20&amp;LEFT(FAAddition[[#This Row],[FY]],2),4,1)&lt;$L$1+1,DATE(20&amp;LEFT(FAAddition[[#This Row],[FY]],2),4,1)&gt;$P$1-1),'FA Addition'!$J1525,0)</f>
        <v>0</v>
      </c>
      <c r="U1525" s="117">
        <f>S1525*'FA Addition'!$L1525/'FA Addition'!$J1525</f>
        <v>0</v>
      </c>
      <c r="W1525" s="116">
        <f>SUMIFS('FA Write off'!D:D,'FA Write off'!A:A,'FA Addition'!$A1525,'FA Write off'!C:C,"&lt;"&amp;'FA Addition'!$P$1)</f>
        <v>0</v>
      </c>
      <c r="Y1525" s="191">
        <f>IFERROR(W1525/'FA Addition'!$J1525*'FA Addition'!$L1525,0)</f>
        <v>0</v>
      </c>
      <c r="AA1525" s="116">
        <f>SUMIFS('FA Write off'!D:D,'FA Write off'!A:A,'FA Addition'!$A1525,'FA Write off'!C:C,"&lt;"&amp;'FA Addition'!$L$1+1,'FA Write off'!C:C,"&gt;"&amp;'FA Addition'!$L$1-365)</f>
        <v>0</v>
      </c>
      <c r="AC1525" s="118">
        <f>IFERROR(AA1525/'FA Addition'!$J1525*'FA Addition'!$L1525,0)</f>
        <v>0</v>
      </c>
      <c r="AE1525" s="117">
        <f>IF(AND('FA Addition'!$D1525&lt;$P$1+1,U1525=0),'FA Addition'!$L1525,0)-Y1525</f>
        <v>0</v>
      </c>
      <c r="AF1525" s="117">
        <f t="shared" si="115"/>
        <v>0</v>
      </c>
      <c r="AG1525" s="117">
        <f>MIN(MAX(+$P$1-'FA Addition'!$D1525,0),365*'FA Addition'!$O1525)</f>
        <v>0</v>
      </c>
      <c r="AH1525" s="117">
        <f>MIN(MAX($L$1-'FA Addition'!$D1525+1,0),365*'FA Addition'!$O1525)</f>
        <v>0</v>
      </c>
      <c r="AI1525" s="117" cm="1">
        <f t="array" ref="AI1525">_xlfn.XLOOKUP(1,('FA Write off'!A:A='FA Addition'!$A1525)*('FA Write off'!D:D=AA1525),'FA Write off'!H:H,0,0)</f>
        <v>0</v>
      </c>
      <c r="AJ1525" s="117">
        <f>IF(AC1525&gt;0,MAX(IF('FA Addition'!$N1525="SLM",($AC1525-'FA Addition'!$M1525)*'FA Addition'!$P1525*AI1525/365,(AC1525-'FA Addition'!$M1525)*(1-(1-'FA Addition'!$P1525)^(AI1525/365))),0),0)</f>
        <v>0</v>
      </c>
      <c r="AL1525" s="117">
        <f>MAX(IF(AG1525&gt;0,IF('FA Addition'!$N1525="SLM",($AE1525-'FA Addition'!$M1525)*'FA Addition'!$P1525*AG1525/365,IFERROR(VDB(AE1525,AE1525*0.05,'FA Addition'!$O1525,0,YEARFRAC('FA Addition'!$C1525,$P$1-1,3),'FA Addition'!$Q1525),FAAddition[[#This Row],[Original Cost (Rs)]]-FAAddition[[#This Row],[Salvage Value]])),0),0)</f>
        <v>0</v>
      </c>
      <c r="AM1525" s="119"/>
      <c r="AN1525" s="117">
        <f>MAX(IF(AH1525&gt;0,IF('FA Addition'!$N1525="SLM",($AF1525-'FA Addition'!$M1525)*'FA Addition'!$P1525*AH1525/365,IFERROR(VDB(AF1525,AF1525*0.05,'FA Addition'!$O1525,0,YEARFRAC('FA Addition'!$C1525,$L$1,3),'FA Addition'!$Q1525),FAAddition[[#This Row],[Original Cost (Rs)]]-FAAddition[[#This Row],[Salvage Value]])),0),0)</f>
        <v>0</v>
      </c>
      <c r="AO1525" s="117">
        <f t="shared" si="118"/>
        <v>0</v>
      </c>
      <c r="AQ1525" s="117">
        <f t="shared" si="116"/>
        <v>0</v>
      </c>
      <c r="AR1525" s="120">
        <f t="shared" si="117"/>
        <v>0</v>
      </c>
      <c r="AS1525" s="121"/>
    </row>
    <row r="1526" spans="1:45" ht="13.5" x14ac:dyDescent="0.4">
      <c r="A1526" s="12">
        <f t="shared" si="119"/>
        <v>1523</v>
      </c>
      <c r="B1526" s="64" t="s">
        <v>10</v>
      </c>
      <c r="C1526" s="54">
        <v>45874</v>
      </c>
      <c r="D1526" s="54">
        <v>45875</v>
      </c>
      <c r="E1526" s="46" t="s">
        <v>451</v>
      </c>
      <c r="F1526" s="51" t="s">
        <v>19</v>
      </c>
      <c r="G1526" s="51" t="s">
        <v>166</v>
      </c>
      <c r="H1526" s="51" t="s">
        <v>21</v>
      </c>
      <c r="I1526" s="55" t="s">
        <v>176</v>
      </c>
      <c r="J1526" s="56">
        <v>1</v>
      </c>
      <c r="K1526" s="51" t="s">
        <v>338</v>
      </c>
      <c r="L1526" s="58">
        <v>53000</v>
      </c>
      <c r="M1526" s="50">
        <f>ROUND('FA Addition'!$L1526*5%,0.1)</f>
        <v>2650</v>
      </c>
      <c r="N1526" s="113" t="str">
        <f>_xlfn.XLOOKUP(_xlfn.CONCAT(E1526,B1526),'Year Wise Master Dep Approach'!F:F,'Year Wise Master Dep Approach'!D:D)</f>
        <v>WDV</v>
      </c>
      <c r="O1526" s="113">
        <f>_xlfn.XLOOKUP(_xlfn.CONCAT(E1526,B1526),'Year Wise Master Dep Approach'!F:F,'Year Wise Master Dep Approach'!E:E)</f>
        <v>3</v>
      </c>
      <c r="P1526" s="114">
        <f>IFERROR(IF('FA Addition'!$N1526="WDV",1-('FA Addition'!$M1526/'FA Addition'!$L1526)^(1/'FA Addition'!$O1526),1/'FA Addition'!$O1526),0)</f>
        <v>0.63159685013596123</v>
      </c>
      <c r="Q1526" s="122">
        <f>'FA Addition'!$P1526*'FA Addition'!$O1526</f>
        <v>1.8947905504078837</v>
      </c>
      <c r="R1526" s="122"/>
      <c r="S1526" s="116">
        <f>IF(AND(DATE(20&amp;LEFT(FAAddition[[#This Row],[FY]],2),4,1)&lt;$L$1+1,DATE(20&amp;LEFT(FAAddition[[#This Row],[FY]],2),4,1)&gt;$P$1-1),'FA Addition'!$J1526,0)</f>
        <v>0</v>
      </c>
      <c r="U1526" s="117">
        <f>S1526*'FA Addition'!$L1526/'FA Addition'!$J1526</f>
        <v>0</v>
      </c>
      <c r="W1526" s="116">
        <f>SUMIFS('FA Write off'!D:D,'FA Write off'!A:A,'FA Addition'!$A1526,'FA Write off'!C:C,"&lt;"&amp;'FA Addition'!$P$1)</f>
        <v>0</v>
      </c>
      <c r="Y1526" s="191">
        <f>IFERROR(W1526/'FA Addition'!$J1526*'FA Addition'!$L1526,0)</f>
        <v>0</v>
      </c>
      <c r="AA1526" s="116">
        <f>SUMIFS('FA Write off'!D:D,'FA Write off'!A:A,'FA Addition'!$A1526,'FA Write off'!C:C,"&lt;"&amp;'FA Addition'!$L$1+1,'FA Write off'!C:C,"&gt;"&amp;'FA Addition'!$L$1-365)</f>
        <v>0</v>
      </c>
      <c r="AC1526" s="118">
        <f>IFERROR(AA1526/'FA Addition'!$J1526*'FA Addition'!$L1526,0)</f>
        <v>0</v>
      </c>
      <c r="AE1526" s="117">
        <f>IF(AND('FA Addition'!$D1526&lt;$P$1+1,U1526=0),'FA Addition'!$L1526,0)-Y1526</f>
        <v>0</v>
      </c>
      <c r="AF1526" s="117">
        <f t="shared" si="115"/>
        <v>0</v>
      </c>
      <c r="AG1526" s="117">
        <f>MIN(MAX(+$P$1-'FA Addition'!$D1526,0),365*'FA Addition'!$O1526)</f>
        <v>0</v>
      </c>
      <c r="AH1526" s="117">
        <f>MIN(MAX($L$1-'FA Addition'!$D1526+1,0),365*'FA Addition'!$O1526)</f>
        <v>0</v>
      </c>
      <c r="AI1526" s="117" cm="1">
        <f t="array" ref="AI1526">_xlfn.XLOOKUP(1,('FA Write off'!A:A='FA Addition'!$A1526)*('FA Write off'!D:D=AA1526),'FA Write off'!H:H,0,0)</f>
        <v>0</v>
      </c>
      <c r="AJ1526" s="117">
        <f>IF(AC1526&gt;0,MAX(IF('FA Addition'!$N1526="SLM",($AC1526-'FA Addition'!$M1526)*'FA Addition'!$P1526*AI1526/365,(AC1526-'FA Addition'!$M1526)*(1-(1-'FA Addition'!$P1526)^(AI1526/365))),0),0)</f>
        <v>0</v>
      </c>
      <c r="AL1526" s="117">
        <f>MAX(IF(AG1526&gt;0,IF('FA Addition'!$N1526="SLM",($AE1526-'FA Addition'!$M1526)*'FA Addition'!$P1526*AG1526/365,IFERROR(VDB(AE1526,AE1526*0.05,'FA Addition'!$O1526,0,YEARFRAC('FA Addition'!$C1526,$P$1-1,3),'FA Addition'!$Q1526),FAAddition[[#This Row],[Original Cost (Rs)]]-FAAddition[[#This Row],[Salvage Value]])),0),0)</f>
        <v>0</v>
      </c>
      <c r="AM1526" s="119"/>
      <c r="AN1526" s="117">
        <f>MAX(IF(AH1526&gt;0,IF('FA Addition'!$N1526="SLM",($AF1526-'FA Addition'!$M1526)*'FA Addition'!$P1526*AH1526/365,IFERROR(VDB(AF1526,AF1526*0.05,'FA Addition'!$O1526,0,YEARFRAC('FA Addition'!$C1526,$L$1,3),'FA Addition'!$Q1526),FAAddition[[#This Row],[Original Cost (Rs)]]-FAAddition[[#This Row],[Salvage Value]])),0),0)</f>
        <v>0</v>
      </c>
      <c r="AO1526" s="117">
        <f t="shared" si="118"/>
        <v>0</v>
      </c>
      <c r="AQ1526" s="117">
        <f t="shared" si="116"/>
        <v>0</v>
      </c>
      <c r="AR1526" s="120">
        <f t="shared" si="117"/>
        <v>0</v>
      </c>
      <c r="AS1526" s="121"/>
    </row>
    <row r="1527" spans="1:45" ht="13.5" x14ac:dyDescent="0.4">
      <c r="A1527" s="12">
        <f t="shared" si="119"/>
        <v>1524</v>
      </c>
      <c r="B1527" s="64" t="s">
        <v>10</v>
      </c>
      <c r="C1527" s="54">
        <v>45874</v>
      </c>
      <c r="D1527" s="54">
        <v>45875</v>
      </c>
      <c r="E1527" s="46" t="s">
        <v>451</v>
      </c>
      <c r="F1527" s="51" t="s">
        <v>19</v>
      </c>
      <c r="G1527" s="51" t="s">
        <v>166</v>
      </c>
      <c r="H1527" s="51" t="s">
        <v>21</v>
      </c>
      <c r="I1527" s="55" t="s">
        <v>176</v>
      </c>
      <c r="J1527" s="56">
        <v>1</v>
      </c>
      <c r="K1527" s="51" t="s">
        <v>338</v>
      </c>
      <c r="L1527" s="58">
        <v>53000</v>
      </c>
      <c r="M1527" s="50">
        <f>ROUND('FA Addition'!$L1527*5%,0.1)</f>
        <v>2650</v>
      </c>
      <c r="N1527" s="113" t="str">
        <f>_xlfn.XLOOKUP(_xlfn.CONCAT(E1527,B1527),'Year Wise Master Dep Approach'!F:F,'Year Wise Master Dep Approach'!D:D)</f>
        <v>WDV</v>
      </c>
      <c r="O1527" s="113">
        <f>_xlfn.XLOOKUP(_xlfn.CONCAT(E1527,B1527),'Year Wise Master Dep Approach'!F:F,'Year Wise Master Dep Approach'!E:E)</f>
        <v>3</v>
      </c>
      <c r="P1527" s="114">
        <f>IFERROR(IF('FA Addition'!$N1527="WDV",1-('FA Addition'!$M1527/'FA Addition'!$L1527)^(1/'FA Addition'!$O1527),1/'FA Addition'!$O1527),0)</f>
        <v>0.63159685013596123</v>
      </c>
      <c r="Q1527" s="122">
        <f>'FA Addition'!$P1527*'FA Addition'!$O1527</f>
        <v>1.8947905504078837</v>
      </c>
      <c r="R1527" s="122"/>
      <c r="S1527" s="116">
        <f>IF(AND(DATE(20&amp;LEFT(FAAddition[[#This Row],[FY]],2),4,1)&lt;$L$1+1,DATE(20&amp;LEFT(FAAddition[[#This Row],[FY]],2),4,1)&gt;$P$1-1),'FA Addition'!$J1527,0)</f>
        <v>0</v>
      </c>
      <c r="U1527" s="117">
        <f>S1527*'FA Addition'!$L1527/'FA Addition'!$J1527</f>
        <v>0</v>
      </c>
      <c r="W1527" s="116">
        <f>SUMIFS('FA Write off'!D:D,'FA Write off'!A:A,'FA Addition'!$A1527,'FA Write off'!C:C,"&lt;"&amp;'FA Addition'!$P$1)</f>
        <v>0</v>
      </c>
      <c r="Y1527" s="191">
        <f>IFERROR(W1527/'FA Addition'!$J1527*'FA Addition'!$L1527,0)</f>
        <v>0</v>
      </c>
      <c r="AA1527" s="116">
        <f>SUMIFS('FA Write off'!D:D,'FA Write off'!A:A,'FA Addition'!$A1527,'FA Write off'!C:C,"&lt;"&amp;'FA Addition'!$L$1+1,'FA Write off'!C:C,"&gt;"&amp;'FA Addition'!$L$1-365)</f>
        <v>0</v>
      </c>
      <c r="AC1527" s="118">
        <f>IFERROR(AA1527/'FA Addition'!$J1527*'FA Addition'!$L1527,0)</f>
        <v>0</v>
      </c>
      <c r="AE1527" s="117">
        <f>IF(AND('FA Addition'!$D1527&lt;$P$1+1,U1527=0),'FA Addition'!$L1527,0)-Y1527</f>
        <v>0</v>
      </c>
      <c r="AF1527" s="117">
        <f t="shared" si="115"/>
        <v>0</v>
      </c>
      <c r="AG1527" s="117">
        <f>MIN(MAX(+$P$1-'FA Addition'!$D1527,0),365*'FA Addition'!$O1527)</f>
        <v>0</v>
      </c>
      <c r="AH1527" s="117">
        <f>MIN(MAX($L$1-'FA Addition'!$D1527+1,0),365*'FA Addition'!$O1527)</f>
        <v>0</v>
      </c>
      <c r="AI1527" s="117" cm="1">
        <f t="array" ref="AI1527">_xlfn.XLOOKUP(1,('FA Write off'!A:A='FA Addition'!$A1527)*('FA Write off'!D:D=AA1527),'FA Write off'!H:H,0,0)</f>
        <v>0</v>
      </c>
      <c r="AJ1527" s="117">
        <f>IF(AC1527&gt;0,MAX(IF('FA Addition'!$N1527="SLM",($AC1527-'FA Addition'!$M1527)*'FA Addition'!$P1527*AI1527/365,(AC1527-'FA Addition'!$M1527)*(1-(1-'FA Addition'!$P1527)^(AI1527/365))),0),0)</f>
        <v>0</v>
      </c>
      <c r="AL1527" s="117">
        <f>MAX(IF(AG1527&gt;0,IF('FA Addition'!$N1527="SLM",($AE1527-'FA Addition'!$M1527)*'FA Addition'!$P1527*AG1527/365,IFERROR(VDB(AE1527,AE1527*0.05,'FA Addition'!$O1527,0,YEARFRAC('FA Addition'!$C1527,$P$1-1,3),'FA Addition'!$Q1527),FAAddition[[#This Row],[Original Cost (Rs)]]-FAAddition[[#This Row],[Salvage Value]])),0),0)</f>
        <v>0</v>
      </c>
      <c r="AM1527" s="119"/>
      <c r="AN1527" s="117">
        <f>MAX(IF(AH1527&gt;0,IF('FA Addition'!$N1527="SLM",($AF1527-'FA Addition'!$M1527)*'FA Addition'!$P1527*AH1527/365,IFERROR(VDB(AF1527,AF1527*0.05,'FA Addition'!$O1527,0,YEARFRAC('FA Addition'!$C1527,$L$1,3),'FA Addition'!$Q1527),FAAddition[[#This Row],[Original Cost (Rs)]]-FAAddition[[#This Row],[Salvage Value]])),0),0)</f>
        <v>0</v>
      </c>
      <c r="AO1527" s="117">
        <f t="shared" si="118"/>
        <v>0</v>
      </c>
      <c r="AQ1527" s="117">
        <f t="shared" si="116"/>
        <v>0</v>
      </c>
      <c r="AR1527" s="120">
        <f t="shared" si="117"/>
        <v>0</v>
      </c>
      <c r="AS1527" s="121"/>
    </row>
    <row r="1528" spans="1:45" ht="13.5" x14ac:dyDescent="0.4">
      <c r="A1528" s="12">
        <f t="shared" si="119"/>
        <v>1525</v>
      </c>
      <c r="B1528" s="64" t="s">
        <v>10</v>
      </c>
      <c r="C1528" s="54">
        <v>45874</v>
      </c>
      <c r="D1528" s="54">
        <v>45875</v>
      </c>
      <c r="E1528" s="46" t="s">
        <v>451</v>
      </c>
      <c r="F1528" s="51" t="s">
        <v>19</v>
      </c>
      <c r="G1528" s="51" t="s">
        <v>166</v>
      </c>
      <c r="H1528" s="51" t="s">
        <v>21</v>
      </c>
      <c r="I1528" s="55" t="s">
        <v>176</v>
      </c>
      <c r="J1528" s="56">
        <v>1</v>
      </c>
      <c r="K1528" s="51" t="s">
        <v>338</v>
      </c>
      <c r="L1528" s="58">
        <v>53000</v>
      </c>
      <c r="M1528" s="50">
        <f>ROUND('FA Addition'!$L1528*5%,0.1)</f>
        <v>2650</v>
      </c>
      <c r="N1528" s="113" t="str">
        <f>_xlfn.XLOOKUP(_xlfn.CONCAT(E1528,B1528),'Year Wise Master Dep Approach'!F:F,'Year Wise Master Dep Approach'!D:D)</f>
        <v>WDV</v>
      </c>
      <c r="O1528" s="113">
        <f>_xlfn.XLOOKUP(_xlfn.CONCAT(E1528,B1528),'Year Wise Master Dep Approach'!F:F,'Year Wise Master Dep Approach'!E:E)</f>
        <v>3</v>
      </c>
      <c r="P1528" s="114">
        <f>IFERROR(IF('FA Addition'!$N1528="WDV",1-('FA Addition'!$M1528/'FA Addition'!$L1528)^(1/'FA Addition'!$O1528),1/'FA Addition'!$O1528),0)</f>
        <v>0.63159685013596123</v>
      </c>
      <c r="Q1528" s="122">
        <f>'FA Addition'!$P1528*'FA Addition'!$O1528</f>
        <v>1.8947905504078837</v>
      </c>
      <c r="R1528" s="122"/>
      <c r="S1528" s="116">
        <f>IF(AND(DATE(20&amp;LEFT(FAAddition[[#This Row],[FY]],2),4,1)&lt;$L$1+1,DATE(20&amp;LEFT(FAAddition[[#This Row],[FY]],2),4,1)&gt;$P$1-1),'FA Addition'!$J1528,0)</f>
        <v>0</v>
      </c>
      <c r="U1528" s="117">
        <f>S1528*'FA Addition'!$L1528/'FA Addition'!$J1528</f>
        <v>0</v>
      </c>
      <c r="W1528" s="116">
        <f>SUMIFS('FA Write off'!D:D,'FA Write off'!A:A,'FA Addition'!$A1528,'FA Write off'!C:C,"&lt;"&amp;'FA Addition'!$P$1)</f>
        <v>0</v>
      </c>
      <c r="Y1528" s="191">
        <f>IFERROR(W1528/'FA Addition'!$J1528*'FA Addition'!$L1528,0)</f>
        <v>0</v>
      </c>
      <c r="AA1528" s="116">
        <f>SUMIFS('FA Write off'!D:D,'FA Write off'!A:A,'FA Addition'!$A1528,'FA Write off'!C:C,"&lt;"&amp;'FA Addition'!$L$1+1,'FA Write off'!C:C,"&gt;"&amp;'FA Addition'!$L$1-365)</f>
        <v>0</v>
      </c>
      <c r="AC1528" s="118">
        <f>IFERROR(AA1528/'FA Addition'!$J1528*'FA Addition'!$L1528,0)</f>
        <v>0</v>
      </c>
      <c r="AE1528" s="117">
        <f>IF(AND('FA Addition'!$D1528&lt;$P$1+1,U1528=0),'FA Addition'!$L1528,0)-Y1528</f>
        <v>0</v>
      </c>
      <c r="AF1528" s="117">
        <f t="shared" si="115"/>
        <v>0</v>
      </c>
      <c r="AG1528" s="117">
        <f>MIN(MAX(+$P$1-'FA Addition'!$D1528,0),365*'FA Addition'!$O1528)</f>
        <v>0</v>
      </c>
      <c r="AH1528" s="117">
        <f>MIN(MAX($L$1-'FA Addition'!$D1528+1,0),365*'FA Addition'!$O1528)</f>
        <v>0</v>
      </c>
      <c r="AI1528" s="117" cm="1">
        <f t="array" ref="AI1528">_xlfn.XLOOKUP(1,('FA Write off'!A:A='FA Addition'!$A1528)*('FA Write off'!D:D=AA1528),'FA Write off'!H:H,0,0)</f>
        <v>0</v>
      </c>
      <c r="AJ1528" s="117">
        <f>IF(AC1528&gt;0,MAX(IF('FA Addition'!$N1528="SLM",($AC1528-'FA Addition'!$M1528)*'FA Addition'!$P1528*AI1528/365,(AC1528-'FA Addition'!$M1528)*(1-(1-'FA Addition'!$P1528)^(AI1528/365))),0),0)</f>
        <v>0</v>
      </c>
      <c r="AL1528" s="117">
        <f>MAX(IF(AG1528&gt;0,IF('FA Addition'!$N1528="SLM",($AE1528-'FA Addition'!$M1528)*'FA Addition'!$P1528*AG1528/365,IFERROR(VDB(AE1528,AE1528*0.05,'FA Addition'!$O1528,0,YEARFRAC('FA Addition'!$C1528,$P$1-1,3),'FA Addition'!$Q1528),FAAddition[[#This Row],[Original Cost (Rs)]]-FAAddition[[#This Row],[Salvage Value]])),0),0)</f>
        <v>0</v>
      </c>
      <c r="AM1528" s="119"/>
      <c r="AN1528" s="117">
        <f>MAX(IF(AH1528&gt;0,IF('FA Addition'!$N1528="SLM",($AF1528-'FA Addition'!$M1528)*'FA Addition'!$P1528*AH1528/365,IFERROR(VDB(AF1528,AF1528*0.05,'FA Addition'!$O1528,0,YEARFRAC('FA Addition'!$C1528,$L$1,3),'FA Addition'!$Q1528),FAAddition[[#This Row],[Original Cost (Rs)]]-FAAddition[[#This Row],[Salvage Value]])),0),0)</f>
        <v>0</v>
      </c>
      <c r="AO1528" s="117">
        <f t="shared" si="118"/>
        <v>0</v>
      </c>
      <c r="AQ1528" s="117">
        <f t="shared" si="116"/>
        <v>0</v>
      </c>
      <c r="AR1528" s="120">
        <f t="shared" si="117"/>
        <v>0</v>
      </c>
      <c r="AS1528" s="121"/>
    </row>
    <row r="1529" spans="1:45" ht="13.5" x14ac:dyDescent="0.4">
      <c r="A1529" s="12">
        <f t="shared" si="119"/>
        <v>1526</v>
      </c>
      <c r="B1529" s="64" t="s">
        <v>10</v>
      </c>
      <c r="C1529" s="54">
        <v>45875</v>
      </c>
      <c r="D1529" s="54">
        <v>45875</v>
      </c>
      <c r="E1529" s="46" t="s">
        <v>451</v>
      </c>
      <c r="F1529" s="51" t="s">
        <v>19</v>
      </c>
      <c r="G1529" s="51" t="s">
        <v>166</v>
      </c>
      <c r="H1529" s="51" t="s">
        <v>151</v>
      </c>
      <c r="I1529" s="55" t="s">
        <v>177</v>
      </c>
      <c r="J1529" s="56">
        <v>1</v>
      </c>
      <c r="K1529" s="51" t="s">
        <v>339</v>
      </c>
      <c r="L1529" s="58">
        <v>8280</v>
      </c>
      <c r="M1529" s="50">
        <f>ROUND('FA Addition'!$L1529*5%,0.1)</f>
        <v>414</v>
      </c>
      <c r="N1529" s="113" t="str">
        <f>_xlfn.XLOOKUP(_xlfn.CONCAT(E1529,B1529),'Year Wise Master Dep Approach'!F:F,'Year Wise Master Dep Approach'!D:D)</f>
        <v>WDV</v>
      </c>
      <c r="O1529" s="113">
        <f>_xlfn.XLOOKUP(_xlfn.CONCAT(E1529,B1529),'Year Wise Master Dep Approach'!F:F,'Year Wise Master Dep Approach'!E:E)</f>
        <v>3</v>
      </c>
      <c r="P1529" s="114">
        <f>IFERROR(IF('FA Addition'!$N1529="WDV",1-('FA Addition'!$M1529/'FA Addition'!$L1529)^(1/'FA Addition'!$O1529),1/'FA Addition'!$O1529),0)</f>
        <v>0.63159685013596123</v>
      </c>
      <c r="Q1529" s="122">
        <f>'FA Addition'!$P1529*'FA Addition'!$O1529</f>
        <v>1.8947905504078837</v>
      </c>
      <c r="R1529" s="122"/>
      <c r="S1529" s="116">
        <f>IF(AND(DATE(20&amp;LEFT(FAAddition[[#This Row],[FY]],2),4,1)&lt;$L$1+1,DATE(20&amp;LEFT(FAAddition[[#This Row],[FY]],2),4,1)&gt;$P$1-1),'FA Addition'!$J1529,0)</f>
        <v>0</v>
      </c>
      <c r="U1529" s="117">
        <f>S1529*'FA Addition'!$L1529/'FA Addition'!$J1529</f>
        <v>0</v>
      </c>
      <c r="W1529" s="116">
        <f>SUMIFS('FA Write off'!D:D,'FA Write off'!A:A,'FA Addition'!$A1529,'FA Write off'!C:C,"&lt;"&amp;'FA Addition'!$P$1)</f>
        <v>0</v>
      </c>
      <c r="Y1529" s="191">
        <f>IFERROR(W1529/'FA Addition'!$J1529*'FA Addition'!$L1529,0)</f>
        <v>0</v>
      </c>
      <c r="AA1529" s="116">
        <f>SUMIFS('FA Write off'!D:D,'FA Write off'!A:A,'FA Addition'!$A1529,'FA Write off'!C:C,"&lt;"&amp;'FA Addition'!$L$1+1,'FA Write off'!C:C,"&gt;"&amp;'FA Addition'!$L$1-365)</f>
        <v>0</v>
      </c>
      <c r="AC1529" s="118">
        <f>IFERROR(AA1529/'FA Addition'!$J1529*'FA Addition'!$L1529,0)</f>
        <v>0</v>
      </c>
      <c r="AE1529" s="117">
        <f>IF(AND('FA Addition'!$D1529&lt;$P$1+1,U1529=0),'FA Addition'!$L1529,0)-Y1529</f>
        <v>0</v>
      </c>
      <c r="AF1529" s="117">
        <f t="shared" si="115"/>
        <v>0</v>
      </c>
      <c r="AG1529" s="117">
        <f>MIN(MAX(+$P$1-'FA Addition'!$D1529,0),365*'FA Addition'!$O1529)</f>
        <v>0</v>
      </c>
      <c r="AH1529" s="117">
        <f>MIN(MAX($L$1-'FA Addition'!$D1529+1,0),365*'FA Addition'!$O1529)</f>
        <v>0</v>
      </c>
      <c r="AI1529" s="117" cm="1">
        <f t="array" ref="AI1529">_xlfn.XLOOKUP(1,('FA Write off'!A:A='FA Addition'!$A1529)*('FA Write off'!D:D=AA1529),'FA Write off'!H:H,0,0)</f>
        <v>0</v>
      </c>
      <c r="AJ1529" s="117">
        <f>IF(AC1529&gt;0,MAX(IF('FA Addition'!$N1529="SLM",($AC1529-'FA Addition'!$M1529)*'FA Addition'!$P1529*AI1529/365,(AC1529-'FA Addition'!$M1529)*(1-(1-'FA Addition'!$P1529)^(AI1529/365))),0),0)</f>
        <v>0</v>
      </c>
      <c r="AL1529" s="117">
        <f>MAX(IF(AG1529&gt;0,IF('FA Addition'!$N1529="SLM",($AE1529-'FA Addition'!$M1529)*'FA Addition'!$P1529*AG1529/365,IFERROR(VDB(AE1529,AE1529*0.05,'FA Addition'!$O1529,0,YEARFRAC('FA Addition'!$C1529,$P$1-1,3),'FA Addition'!$Q1529),FAAddition[[#This Row],[Original Cost (Rs)]]-FAAddition[[#This Row],[Salvage Value]])),0),0)</f>
        <v>0</v>
      </c>
      <c r="AM1529" s="119"/>
      <c r="AN1529" s="117">
        <f>MAX(IF(AH1529&gt;0,IF('FA Addition'!$N1529="SLM",($AF1529-'FA Addition'!$M1529)*'FA Addition'!$P1529*AH1529/365,IFERROR(VDB(AF1529,AF1529*0.05,'FA Addition'!$O1529,0,YEARFRAC('FA Addition'!$C1529,$L$1,3),'FA Addition'!$Q1529),FAAddition[[#This Row],[Original Cost (Rs)]]-FAAddition[[#This Row],[Salvage Value]])),0),0)</f>
        <v>0</v>
      </c>
      <c r="AO1529" s="117">
        <f t="shared" si="118"/>
        <v>0</v>
      </c>
      <c r="AQ1529" s="117">
        <f t="shared" si="116"/>
        <v>0</v>
      </c>
      <c r="AR1529" s="120">
        <f t="shared" si="117"/>
        <v>0</v>
      </c>
      <c r="AS1529" s="121"/>
    </row>
    <row r="1530" spans="1:45" ht="13.5" x14ac:dyDescent="0.4">
      <c r="A1530" s="12">
        <f t="shared" si="119"/>
        <v>1527</v>
      </c>
      <c r="B1530" s="64" t="s">
        <v>10</v>
      </c>
      <c r="C1530" s="54">
        <v>45875</v>
      </c>
      <c r="D1530" s="54">
        <v>45875</v>
      </c>
      <c r="E1530" s="46" t="s">
        <v>451</v>
      </c>
      <c r="F1530" s="51" t="s">
        <v>19</v>
      </c>
      <c r="G1530" s="51" t="s">
        <v>166</v>
      </c>
      <c r="H1530" s="51" t="s">
        <v>151</v>
      </c>
      <c r="I1530" s="55" t="s">
        <v>177</v>
      </c>
      <c r="J1530" s="56">
        <v>1</v>
      </c>
      <c r="K1530" s="51" t="s">
        <v>339</v>
      </c>
      <c r="L1530" s="58">
        <v>8280</v>
      </c>
      <c r="M1530" s="50">
        <f>ROUND('FA Addition'!$L1530*5%,0.1)</f>
        <v>414</v>
      </c>
      <c r="N1530" s="113" t="str">
        <f>_xlfn.XLOOKUP(_xlfn.CONCAT(E1530,B1530),'Year Wise Master Dep Approach'!F:F,'Year Wise Master Dep Approach'!D:D)</f>
        <v>WDV</v>
      </c>
      <c r="O1530" s="113">
        <f>_xlfn.XLOOKUP(_xlfn.CONCAT(E1530,B1530),'Year Wise Master Dep Approach'!F:F,'Year Wise Master Dep Approach'!E:E)</f>
        <v>3</v>
      </c>
      <c r="P1530" s="114">
        <f>IFERROR(IF('FA Addition'!$N1530="WDV",1-('FA Addition'!$M1530/'FA Addition'!$L1530)^(1/'FA Addition'!$O1530),1/'FA Addition'!$O1530),0)</f>
        <v>0.63159685013596123</v>
      </c>
      <c r="Q1530" s="122">
        <f>'FA Addition'!$P1530*'FA Addition'!$O1530</f>
        <v>1.8947905504078837</v>
      </c>
      <c r="R1530" s="122"/>
      <c r="S1530" s="116">
        <f>IF(AND(DATE(20&amp;LEFT(FAAddition[[#This Row],[FY]],2),4,1)&lt;$L$1+1,DATE(20&amp;LEFT(FAAddition[[#This Row],[FY]],2),4,1)&gt;$P$1-1),'FA Addition'!$J1530,0)</f>
        <v>0</v>
      </c>
      <c r="U1530" s="117">
        <f>S1530*'FA Addition'!$L1530/'FA Addition'!$J1530</f>
        <v>0</v>
      </c>
      <c r="W1530" s="116">
        <f>SUMIFS('FA Write off'!D:D,'FA Write off'!A:A,'FA Addition'!$A1530,'FA Write off'!C:C,"&lt;"&amp;'FA Addition'!$P$1)</f>
        <v>0</v>
      </c>
      <c r="Y1530" s="191">
        <f>IFERROR(W1530/'FA Addition'!$J1530*'FA Addition'!$L1530,0)</f>
        <v>0</v>
      </c>
      <c r="AA1530" s="116">
        <f>SUMIFS('FA Write off'!D:D,'FA Write off'!A:A,'FA Addition'!$A1530,'FA Write off'!C:C,"&lt;"&amp;'FA Addition'!$L$1+1,'FA Write off'!C:C,"&gt;"&amp;'FA Addition'!$L$1-365)</f>
        <v>0</v>
      </c>
      <c r="AC1530" s="118">
        <f>IFERROR(AA1530/'FA Addition'!$J1530*'FA Addition'!$L1530,0)</f>
        <v>0</v>
      </c>
      <c r="AE1530" s="117">
        <f>IF(AND('FA Addition'!$D1530&lt;$P$1+1,U1530=0),'FA Addition'!$L1530,0)-Y1530</f>
        <v>0</v>
      </c>
      <c r="AF1530" s="117">
        <f t="shared" si="115"/>
        <v>0</v>
      </c>
      <c r="AG1530" s="117">
        <f>MIN(MAX(+$P$1-'FA Addition'!$D1530,0),365*'FA Addition'!$O1530)</f>
        <v>0</v>
      </c>
      <c r="AH1530" s="117">
        <f>MIN(MAX($L$1-'FA Addition'!$D1530+1,0),365*'FA Addition'!$O1530)</f>
        <v>0</v>
      </c>
      <c r="AI1530" s="117" cm="1">
        <f t="array" ref="AI1530">_xlfn.XLOOKUP(1,('FA Write off'!A:A='FA Addition'!$A1530)*('FA Write off'!D:D=AA1530),'FA Write off'!H:H,0,0)</f>
        <v>0</v>
      </c>
      <c r="AJ1530" s="117">
        <f>IF(AC1530&gt;0,MAX(IF('FA Addition'!$N1530="SLM",($AC1530-'FA Addition'!$M1530)*'FA Addition'!$P1530*AI1530/365,(AC1530-'FA Addition'!$M1530)*(1-(1-'FA Addition'!$P1530)^(AI1530/365))),0),0)</f>
        <v>0</v>
      </c>
      <c r="AL1530" s="117">
        <f>MAX(IF(AG1530&gt;0,IF('FA Addition'!$N1530="SLM",($AE1530-'FA Addition'!$M1530)*'FA Addition'!$P1530*AG1530/365,IFERROR(VDB(AE1530,AE1530*0.05,'FA Addition'!$O1530,0,YEARFRAC('FA Addition'!$C1530,$P$1-1,3),'FA Addition'!$Q1530),FAAddition[[#This Row],[Original Cost (Rs)]]-FAAddition[[#This Row],[Salvage Value]])),0),0)</f>
        <v>0</v>
      </c>
      <c r="AM1530" s="119"/>
      <c r="AN1530" s="117">
        <f>MAX(IF(AH1530&gt;0,IF('FA Addition'!$N1530="SLM",($AF1530-'FA Addition'!$M1530)*'FA Addition'!$P1530*AH1530/365,IFERROR(VDB(AF1530,AF1530*0.05,'FA Addition'!$O1530,0,YEARFRAC('FA Addition'!$C1530,$L$1,3),'FA Addition'!$Q1530),FAAddition[[#This Row],[Original Cost (Rs)]]-FAAddition[[#This Row],[Salvage Value]])),0),0)</f>
        <v>0</v>
      </c>
      <c r="AO1530" s="117">
        <f t="shared" si="118"/>
        <v>0</v>
      </c>
      <c r="AQ1530" s="117">
        <f t="shared" si="116"/>
        <v>0</v>
      </c>
      <c r="AR1530" s="120">
        <f t="shared" si="117"/>
        <v>0</v>
      </c>
      <c r="AS1530" s="121"/>
    </row>
    <row r="1531" spans="1:45" ht="13.5" x14ac:dyDescent="0.4">
      <c r="A1531" s="12">
        <f t="shared" si="119"/>
        <v>1528</v>
      </c>
      <c r="B1531" s="64" t="s">
        <v>10</v>
      </c>
      <c r="C1531" s="54">
        <v>45875</v>
      </c>
      <c r="D1531" s="54">
        <v>45882</v>
      </c>
      <c r="E1531" s="46" t="s">
        <v>451</v>
      </c>
      <c r="F1531" s="51" t="s">
        <v>19</v>
      </c>
      <c r="G1531" s="51" t="s">
        <v>166</v>
      </c>
      <c r="H1531" s="51" t="s">
        <v>21</v>
      </c>
      <c r="I1531" s="55" t="s">
        <v>178</v>
      </c>
      <c r="J1531" s="56">
        <v>1</v>
      </c>
      <c r="K1531" s="51" t="s">
        <v>340</v>
      </c>
      <c r="L1531" s="58">
        <v>115800</v>
      </c>
      <c r="M1531" s="50">
        <f>ROUND('FA Addition'!$L1531*5%,0.1)</f>
        <v>5790</v>
      </c>
      <c r="N1531" s="113" t="str">
        <f>_xlfn.XLOOKUP(_xlfn.CONCAT(E1531,B1531),'Year Wise Master Dep Approach'!F:F,'Year Wise Master Dep Approach'!D:D)</f>
        <v>WDV</v>
      </c>
      <c r="O1531" s="113">
        <f>_xlfn.XLOOKUP(_xlfn.CONCAT(E1531,B1531),'Year Wise Master Dep Approach'!F:F,'Year Wise Master Dep Approach'!E:E)</f>
        <v>3</v>
      </c>
      <c r="P1531" s="114">
        <f>IFERROR(IF('FA Addition'!$N1531="WDV",1-('FA Addition'!$M1531/'FA Addition'!$L1531)^(1/'FA Addition'!$O1531),1/'FA Addition'!$O1531),0)</f>
        <v>0.63159685013596123</v>
      </c>
      <c r="Q1531" s="122">
        <f>'FA Addition'!$P1531*'FA Addition'!$O1531</f>
        <v>1.8947905504078837</v>
      </c>
      <c r="R1531" s="122"/>
      <c r="S1531" s="116">
        <f>IF(AND(DATE(20&amp;LEFT(FAAddition[[#This Row],[FY]],2),4,1)&lt;$L$1+1,DATE(20&amp;LEFT(FAAddition[[#This Row],[FY]],2),4,1)&gt;$P$1-1),'FA Addition'!$J1531,0)</f>
        <v>0</v>
      </c>
      <c r="U1531" s="117">
        <f>S1531*'FA Addition'!$L1531/'FA Addition'!$J1531</f>
        <v>0</v>
      </c>
      <c r="W1531" s="116">
        <f>SUMIFS('FA Write off'!D:D,'FA Write off'!A:A,'FA Addition'!$A1531,'FA Write off'!C:C,"&lt;"&amp;'FA Addition'!$P$1)</f>
        <v>0</v>
      </c>
      <c r="Y1531" s="191">
        <f>IFERROR(W1531/'FA Addition'!$J1531*'FA Addition'!$L1531,0)</f>
        <v>0</v>
      </c>
      <c r="AA1531" s="116">
        <f>SUMIFS('FA Write off'!D:D,'FA Write off'!A:A,'FA Addition'!$A1531,'FA Write off'!C:C,"&lt;"&amp;'FA Addition'!$L$1+1,'FA Write off'!C:C,"&gt;"&amp;'FA Addition'!$L$1-365)</f>
        <v>0</v>
      </c>
      <c r="AC1531" s="118">
        <f>IFERROR(AA1531/'FA Addition'!$J1531*'FA Addition'!$L1531,0)</f>
        <v>0</v>
      </c>
      <c r="AE1531" s="117">
        <f>IF(AND('FA Addition'!$D1531&lt;$P$1+1,U1531=0),'FA Addition'!$L1531,0)-Y1531</f>
        <v>0</v>
      </c>
      <c r="AF1531" s="117">
        <f t="shared" si="115"/>
        <v>0</v>
      </c>
      <c r="AG1531" s="117">
        <f>MIN(MAX(+$P$1-'FA Addition'!$D1531,0),365*'FA Addition'!$O1531)</f>
        <v>0</v>
      </c>
      <c r="AH1531" s="117">
        <f>MIN(MAX($L$1-'FA Addition'!$D1531+1,0),365*'FA Addition'!$O1531)</f>
        <v>0</v>
      </c>
      <c r="AI1531" s="117" cm="1">
        <f t="array" ref="AI1531">_xlfn.XLOOKUP(1,('FA Write off'!A:A='FA Addition'!$A1531)*('FA Write off'!D:D=AA1531),'FA Write off'!H:H,0,0)</f>
        <v>0</v>
      </c>
      <c r="AJ1531" s="117">
        <f>IF(AC1531&gt;0,MAX(IF('FA Addition'!$N1531="SLM",($AC1531-'FA Addition'!$M1531)*'FA Addition'!$P1531*AI1531/365,(AC1531-'FA Addition'!$M1531)*(1-(1-'FA Addition'!$P1531)^(AI1531/365))),0),0)</f>
        <v>0</v>
      </c>
      <c r="AL1531" s="117">
        <f>MAX(IF(AG1531&gt;0,IF('FA Addition'!$N1531="SLM",($AE1531-'FA Addition'!$M1531)*'FA Addition'!$P1531*AG1531/365,IFERROR(VDB(AE1531,AE1531*0.05,'FA Addition'!$O1531,0,YEARFRAC('FA Addition'!$C1531,$P$1-1,3),'FA Addition'!$Q1531),FAAddition[[#This Row],[Original Cost (Rs)]]-FAAddition[[#This Row],[Salvage Value]])),0),0)</f>
        <v>0</v>
      </c>
      <c r="AM1531" s="119"/>
      <c r="AN1531" s="117">
        <f>MAX(IF(AH1531&gt;0,IF('FA Addition'!$N1531="SLM",($AF1531-'FA Addition'!$M1531)*'FA Addition'!$P1531*AH1531/365,IFERROR(VDB(AF1531,AF1531*0.05,'FA Addition'!$O1531,0,YEARFRAC('FA Addition'!$C1531,$L$1,3),'FA Addition'!$Q1531),FAAddition[[#This Row],[Original Cost (Rs)]]-FAAddition[[#This Row],[Salvage Value]])),0),0)</f>
        <v>0</v>
      </c>
      <c r="AO1531" s="117">
        <f t="shared" si="118"/>
        <v>0</v>
      </c>
      <c r="AQ1531" s="117">
        <f t="shared" si="116"/>
        <v>0</v>
      </c>
      <c r="AR1531" s="120">
        <f t="shared" si="117"/>
        <v>0</v>
      </c>
      <c r="AS1531" s="121"/>
    </row>
    <row r="1532" spans="1:45" ht="13.5" x14ac:dyDescent="0.4">
      <c r="A1532" s="12">
        <f t="shared" si="119"/>
        <v>1529</v>
      </c>
      <c r="B1532" s="64" t="s">
        <v>10</v>
      </c>
      <c r="C1532" s="54">
        <v>45890</v>
      </c>
      <c r="D1532" s="54">
        <v>45897</v>
      </c>
      <c r="E1532" s="46" t="s">
        <v>451</v>
      </c>
      <c r="F1532" s="51" t="s">
        <v>19</v>
      </c>
      <c r="G1532" s="51" t="s">
        <v>169</v>
      </c>
      <c r="H1532" s="51" t="s">
        <v>21</v>
      </c>
      <c r="I1532" s="55" t="s">
        <v>179</v>
      </c>
      <c r="J1532" s="56">
        <v>1</v>
      </c>
      <c r="K1532" s="51" t="s">
        <v>341</v>
      </c>
      <c r="L1532" s="58">
        <v>53000</v>
      </c>
      <c r="M1532" s="50">
        <f>ROUND('FA Addition'!$L1532*5%,0.1)</f>
        <v>2650</v>
      </c>
      <c r="N1532" s="113" t="str">
        <f>_xlfn.XLOOKUP(_xlfn.CONCAT(E1532,B1532),'Year Wise Master Dep Approach'!F:F,'Year Wise Master Dep Approach'!D:D)</f>
        <v>WDV</v>
      </c>
      <c r="O1532" s="113">
        <f>_xlfn.XLOOKUP(_xlfn.CONCAT(E1532,B1532),'Year Wise Master Dep Approach'!F:F,'Year Wise Master Dep Approach'!E:E)</f>
        <v>3</v>
      </c>
      <c r="P1532" s="114">
        <f>IFERROR(IF('FA Addition'!$N1532="WDV",1-('FA Addition'!$M1532/'FA Addition'!$L1532)^(1/'FA Addition'!$O1532),1/'FA Addition'!$O1532),0)</f>
        <v>0.63159685013596123</v>
      </c>
      <c r="Q1532" s="122">
        <f>'FA Addition'!$P1532*'FA Addition'!$O1532</f>
        <v>1.8947905504078837</v>
      </c>
      <c r="R1532" s="122"/>
      <c r="S1532" s="116">
        <f>IF(AND(DATE(20&amp;LEFT(FAAddition[[#This Row],[FY]],2),4,1)&lt;$L$1+1,DATE(20&amp;LEFT(FAAddition[[#This Row],[FY]],2),4,1)&gt;$P$1-1),'FA Addition'!$J1532,0)</f>
        <v>0</v>
      </c>
      <c r="U1532" s="117">
        <f>S1532*'FA Addition'!$L1532/'FA Addition'!$J1532</f>
        <v>0</v>
      </c>
      <c r="W1532" s="116">
        <f>SUMIFS('FA Write off'!D:D,'FA Write off'!A:A,'FA Addition'!$A1532,'FA Write off'!C:C,"&lt;"&amp;'FA Addition'!$P$1)</f>
        <v>0</v>
      </c>
      <c r="Y1532" s="191">
        <f>IFERROR(W1532/'FA Addition'!$J1532*'FA Addition'!$L1532,0)</f>
        <v>0</v>
      </c>
      <c r="AA1532" s="116">
        <f>SUMIFS('FA Write off'!D:D,'FA Write off'!A:A,'FA Addition'!$A1532,'FA Write off'!C:C,"&lt;"&amp;'FA Addition'!$L$1+1,'FA Write off'!C:C,"&gt;"&amp;'FA Addition'!$L$1-365)</f>
        <v>0</v>
      </c>
      <c r="AC1532" s="118">
        <f>IFERROR(AA1532/'FA Addition'!$J1532*'FA Addition'!$L1532,0)</f>
        <v>0</v>
      </c>
      <c r="AE1532" s="117">
        <f>IF(AND('FA Addition'!$D1532&lt;$P$1+1,U1532=0),'FA Addition'!$L1532,0)-Y1532</f>
        <v>0</v>
      </c>
      <c r="AF1532" s="117">
        <f t="shared" si="115"/>
        <v>0</v>
      </c>
      <c r="AG1532" s="117">
        <f>MIN(MAX(+$P$1-'FA Addition'!$D1532,0),365*'FA Addition'!$O1532)</f>
        <v>0</v>
      </c>
      <c r="AH1532" s="117">
        <f>MIN(MAX($L$1-'FA Addition'!$D1532+1,0),365*'FA Addition'!$O1532)</f>
        <v>0</v>
      </c>
      <c r="AI1532" s="117" cm="1">
        <f t="array" ref="AI1532">_xlfn.XLOOKUP(1,('FA Write off'!A:A='FA Addition'!$A1532)*('FA Write off'!D:D=AA1532),'FA Write off'!H:H,0,0)</f>
        <v>0</v>
      </c>
      <c r="AJ1532" s="117">
        <f>IF(AC1532&gt;0,MAX(IF('FA Addition'!$N1532="SLM",($AC1532-'FA Addition'!$M1532)*'FA Addition'!$P1532*AI1532/365,(AC1532-'FA Addition'!$M1532)*(1-(1-'FA Addition'!$P1532)^(AI1532/365))),0),0)</f>
        <v>0</v>
      </c>
      <c r="AL1532" s="117">
        <f>MAX(IF(AG1532&gt;0,IF('FA Addition'!$N1532="SLM",($AE1532-'FA Addition'!$M1532)*'FA Addition'!$P1532*AG1532/365,IFERROR(VDB(AE1532,AE1532*0.05,'FA Addition'!$O1532,0,YEARFRAC('FA Addition'!$C1532,$P$1-1,3),'FA Addition'!$Q1532),FAAddition[[#This Row],[Original Cost (Rs)]]-FAAddition[[#This Row],[Salvage Value]])),0),0)</f>
        <v>0</v>
      </c>
      <c r="AM1532" s="119"/>
      <c r="AN1532" s="117">
        <f>MAX(IF(AH1532&gt;0,IF('FA Addition'!$N1532="SLM",($AF1532-'FA Addition'!$M1532)*'FA Addition'!$P1532*AH1532/365,IFERROR(VDB(AF1532,AF1532*0.05,'FA Addition'!$O1532,0,YEARFRAC('FA Addition'!$C1532,$L$1,3),'FA Addition'!$Q1532),FAAddition[[#This Row],[Original Cost (Rs)]]-FAAddition[[#This Row],[Salvage Value]])),0),0)</f>
        <v>0</v>
      </c>
      <c r="AO1532" s="117">
        <f t="shared" si="118"/>
        <v>0</v>
      </c>
      <c r="AQ1532" s="117">
        <f t="shared" si="116"/>
        <v>0</v>
      </c>
      <c r="AR1532" s="120">
        <f t="shared" si="117"/>
        <v>0</v>
      </c>
      <c r="AS1532" s="121"/>
    </row>
    <row r="1533" spans="1:45" ht="13.5" x14ac:dyDescent="0.4">
      <c r="A1533" s="12">
        <f t="shared" si="119"/>
        <v>1530</v>
      </c>
      <c r="B1533" s="64" t="s">
        <v>10</v>
      </c>
      <c r="C1533" s="54">
        <v>45890</v>
      </c>
      <c r="D1533" s="54">
        <v>45897</v>
      </c>
      <c r="E1533" s="46" t="s">
        <v>451</v>
      </c>
      <c r="F1533" s="51" t="s">
        <v>19</v>
      </c>
      <c r="G1533" s="51" t="s">
        <v>169</v>
      </c>
      <c r="H1533" s="51" t="s">
        <v>21</v>
      </c>
      <c r="I1533" s="55" t="s">
        <v>179</v>
      </c>
      <c r="J1533" s="56">
        <v>1</v>
      </c>
      <c r="K1533" s="51" t="s">
        <v>341</v>
      </c>
      <c r="L1533" s="58">
        <v>53000</v>
      </c>
      <c r="M1533" s="50">
        <f>ROUND('FA Addition'!$L1533*5%,0.1)</f>
        <v>2650</v>
      </c>
      <c r="N1533" s="113" t="str">
        <f>_xlfn.XLOOKUP(_xlfn.CONCAT(E1533,B1533),'Year Wise Master Dep Approach'!F:F,'Year Wise Master Dep Approach'!D:D)</f>
        <v>WDV</v>
      </c>
      <c r="O1533" s="113">
        <f>_xlfn.XLOOKUP(_xlfn.CONCAT(E1533,B1533),'Year Wise Master Dep Approach'!F:F,'Year Wise Master Dep Approach'!E:E)</f>
        <v>3</v>
      </c>
      <c r="P1533" s="114">
        <f>IFERROR(IF('FA Addition'!$N1533="WDV",1-('FA Addition'!$M1533/'FA Addition'!$L1533)^(1/'FA Addition'!$O1533),1/'FA Addition'!$O1533),0)</f>
        <v>0.63159685013596123</v>
      </c>
      <c r="Q1533" s="122">
        <f>'FA Addition'!$P1533*'FA Addition'!$O1533</f>
        <v>1.8947905504078837</v>
      </c>
      <c r="R1533" s="122"/>
      <c r="S1533" s="116">
        <f>IF(AND(DATE(20&amp;LEFT(FAAddition[[#This Row],[FY]],2),4,1)&lt;$L$1+1,DATE(20&amp;LEFT(FAAddition[[#This Row],[FY]],2),4,1)&gt;$P$1-1),'FA Addition'!$J1533,0)</f>
        <v>0</v>
      </c>
      <c r="U1533" s="117">
        <f>S1533*'FA Addition'!$L1533/'FA Addition'!$J1533</f>
        <v>0</v>
      </c>
      <c r="W1533" s="116">
        <f>SUMIFS('FA Write off'!D:D,'FA Write off'!A:A,'FA Addition'!$A1533,'FA Write off'!C:C,"&lt;"&amp;'FA Addition'!$P$1)</f>
        <v>0</v>
      </c>
      <c r="Y1533" s="191">
        <f>IFERROR(W1533/'FA Addition'!$J1533*'FA Addition'!$L1533,0)</f>
        <v>0</v>
      </c>
      <c r="AA1533" s="116">
        <f>SUMIFS('FA Write off'!D:D,'FA Write off'!A:A,'FA Addition'!$A1533,'FA Write off'!C:C,"&lt;"&amp;'FA Addition'!$L$1+1,'FA Write off'!C:C,"&gt;"&amp;'FA Addition'!$L$1-365)</f>
        <v>0</v>
      </c>
      <c r="AC1533" s="118">
        <f>IFERROR(AA1533/'FA Addition'!$J1533*'FA Addition'!$L1533,0)</f>
        <v>0</v>
      </c>
      <c r="AE1533" s="117">
        <f>IF(AND('FA Addition'!$D1533&lt;$P$1+1,U1533=0),'FA Addition'!$L1533,0)-Y1533</f>
        <v>0</v>
      </c>
      <c r="AF1533" s="117">
        <f t="shared" si="115"/>
        <v>0</v>
      </c>
      <c r="AG1533" s="117">
        <f>MIN(MAX(+$P$1-'FA Addition'!$D1533,0),365*'FA Addition'!$O1533)</f>
        <v>0</v>
      </c>
      <c r="AH1533" s="117">
        <f>MIN(MAX($L$1-'FA Addition'!$D1533+1,0),365*'FA Addition'!$O1533)</f>
        <v>0</v>
      </c>
      <c r="AI1533" s="117" cm="1">
        <f t="array" ref="AI1533">_xlfn.XLOOKUP(1,('FA Write off'!A:A='FA Addition'!$A1533)*('FA Write off'!D:D=AA1533),'FA Write off'!H:H,0,0)</f>
        <v>0</v>
      </c>
      <c r="AJ1533" s="117">
        <f>IF(AC1533&gt;0,MAX(IF('FA Addition'!$N1533="SLM",($AC1533-'FA Addition'!$M1533)*'FA Addition'!$P1533*AI1533/365,(AC1533-'FA Addition'!$M1533)*(1-(1-'FA Addition'!$P1533)^(AI1533/365))),0),0)</f>
        <v>0</v>
      </c>
      <c r="AL1533" s="117">
        <f>MAX(IF(AG1533&gt;0,IF('FA Addition'!$N1533="SLM",($AE1533-'FA Addition'!$M1533)*'FA Addition'!$P1533*AG1533/365,IFERROR(VDB(AE1533,AE1533*0.05,'FA Addition'!$O1533,0,YEARFRAC('FA Addition'!$C1533,$P$1-1,3),'FA Addition'!$Q1533),FAAddition[[#This Row],[Original Cost (Rs)]]-FAAddition[[#This Row],[Salvage Value]])),0),0)</f>
        <v>0</v>
      </c>
      <c r="AM1533" s="119"/>
      <c r="AN1533" s="117">
        <f>MAX(IF(AH1533&gt;0,IF('FA Addition'!$N1533="SLM",($AF1533-'FA Addition'!$M1533)*'FA Addition'!$P1533*AH1533/365,IFERROR(VDB(AF1533,AF1533*0.05,'FA Addition'!$O1533,0,YEARFRAC('FA Addition'!$C1533,$L$1,3),'FA Addition'!$Q1533),FAAddition[[#This Row],[Original Cost (Rs)]]-FAAddition[[#This Row],[Salvage Value]])),0),0)</f>
        <v>0</v>
      </c>
      <c r="AO1533" s="117">
        <f t="shared" si="118"/>
        <v>0</v>
      </c>
      <c r="AQ1533" s="117">
        <f t="shared" si="116"/>
        <v>0</v>
      </c>
      <c r="AR1533" s="120">
        <f t="shared" si="117"/>
        <v>0</v>
      </c>
      <c r="AS1533" s="121"/>
    </row>
    <row r="1534" spans="1:45" ht="13.5" x14ac:dyDescent="0.4">
      <c r="A1534" s="12">
        <f t="shared" si="119"/>
        <v>1531</v>
      </c>
      <c r="B1534" s="64" t="s">
        <v>10</v>
      </c>
      <c r="C1534" s="54">
        <v>45890</v>
      </c>
      <c r="D1534" s="54">
        <v>45897</v>
      </c>
      <c r="E1534" s="46" t="s">
        <v>451</v>
      </c>
      <c r="F1534" s="51" t="s">
        <v>19</v>
      </c>
      <c r="G1534" s="51" t="s">
        <v>169</v>
      </c>
      <c r="H1534" s="51" t="s">
        <v>21</v>
      </c>
      <c r="I1534" s="55" t="s">
        <v>179</v>
      </c>
      <c r="J1534" s="56">
        <v>1</v>
      </c>
      <c r="K1534" s="51" t="s">
        <v>341</v>
      </c>
      <c r="L1534" s="58">
        <v>53000</v>
      </c>
      <c r="M1534" s="50">
        <f>ROUND('FA Addition'!$L1534*5%,0.1)</f>
        <v>2650</v>
      </c>
      <c r="N1534" s="113" t="str">
        <f>_xlfn.XLOOKUP(_xlfn.CONCAT(E1534,B1534),'Year Wise Master Dep Approach'!F:F,'Year Wise Master Dep Approach'!D:D)</f>
        <v>WDV</v>
      </c>
      <c r="O1534" s="113">
        <f>_xlfn.XLOOKUP(_xlfn.CONCAT(E1534,B1534),'Year Wise Master Dep Approach'!F:F,'Year Wise Master Dep Approach'!E:E)</f>
        <v>3</v>
      </c>
      <c r="P1534" s="114">
        <f>IFERROR(IF('FA Addition'!$N1534="WDV",1-('FA Addition'!$M1534/'FA Addition'!$L1534)^(1/'FA Addition'!$O1534),1/'FA Addition'!$O1534),0)</f>
        <v>0.63159685013596123</v>
      </c>
      <c r="Q1534" s="122">
        <f>'FA Addition'!$P1534*'FA Addition'!$O1534</f>
        <v>1.8947905504078837</v>
      </c>
      <c r="R1534" s="122"/>
      <c r="S1534" s="116">
        <f>IF(AND(DATE(20&amp;LEFT(FAAddition[[#This Row],[FY]],2),4,1)&lt;$L$1+1,DATE(20&amp;LEFT(FAAddition[[#This Row],[FY]],2),4,1)&gt;$P$1-1),'FA Addition'!$J1534,0)</f>
        <v>0</v>
      </c>
      <c r="U1534" s="117">
        <f>S1534*'FA Addition'!$L1534/'FA Addition'!$J1534</f>
        <v>0</v>
      </c>
      <c r="W1534" s="116">
        <f>SUMIFS('FA Write off'!D:D,'FA Write off'!A:A,'FA Addition'!$A1534,'FA Write off'!C:C,"&lt;"&amp;'FA Addition'!$P$1)</f>
        <v>0</v>
      </c>
      <c r="Y1534" s="191">
        <f>IFERROR(W1534/'FA Addition'!$J1534*'FA Addition'!$L1534,0)</f>
        <v>0</v>
      </c>
      <c r="AA1534" s="116">
        <f>SUMIFS('FA Write off'!D:D,'FA Write off'!A:A,'FA Addition'!$A1534,'FA Write off'!C:C,"&lt;"&amp;'FA Addition'!$L$1+1,'FA Write off'!C:C,"&gt;"&amp;'FA Addition'!$L$1-365)</f>
        <v>0</v>
      </c>
      <c r="AC1534" s="118">
        <f>IFERROR(AA1534/'FA Addition'!$J1534*'FA Addition'!$L1534,0)</f>
        <v>0</v>
      </c>
      <c r="AE1534" s="117">
        <f>IF(AND('FA Addition'!$D1534&lt;$P$1+1,U1534=0),'FA Addition'!$L1534,0)-Y1534</f>
        <v>0</v>
      </c>
      <c r="AF1534" s="117">
        <f t="shared" si="115"/>
        <v>0</v>
      </c>
      <c r="AG1534" s="117">
        <f>MIN(MAX(+$P$1-'FA Addition'!$D1534,0),365*'FA Addition'!$O1534)</f>
        <v>0</v>
      </c>
      <c r="AH1534" s="117">
        <f>MIN(MAX($L$1-'FA Addition'!$D1534+1,0),365*'FA Addition'!$O1534)</f>
        <v>0</v>
      </c>
      <c r="AI1534" s="117" cm="1">
        <f t="array" ref="AI1534">_xlfn.XLOOKUP(1,('FA Write off'!A:A='FA Addition'!$A1534)*('FA Write off'!D:D=AA1534),'FA Write off'!H:H,0,0)</f>
        <v>0</v>
      </c>
      <c r="AJ1534" s="117">
        <f>IF(AC1534&gt;0,MAX(IF('FA Addition'!$N1534="SLM",($AC1534-'FA Addition'!$M1534)*'FA Addition'!$P1534*AI1534/365,(AC1534-'FA Addition'!$M1534)*(1-(1-'FA Addition'!$P1534)^(AI1534/365))),0),0)</f>
        <v>0</v>
      </c>
      <c r="AL1534" s="117">
        <f>MAX(IF(AG1534&gt;0,IF('FA Addition'!$N1534="SLM",($AE1534-'FA Addition'!$M1534)*'FA Addition'!$P1534*AG1534/365,IFERROR(VDB(AE1534,AE1534*0.05,'FA Addition'!$O1534,0,YEARFRAC('FA Addition'!$C1534,$P$1-1,3),'FA Addition'!$Q1534),FAAddition[[#This Row],[Original Cost (Rs)]]-FAAddition[[#This Row],[Salvage Value]])),0),0)</f>
        <v>0</v>
      </c>
      <c r="AM1534" s="119"/>
      <c r="AN1534" s="117">
        <f>MAX(IF(AH1534&gt;0,IF('FA Addition'!$N1534="SLM",($AF1534-'FA Addition'!$M1534)*'FA Addition'!$P1534*AH1534/365,IFERROR(VDB(AF1534,AF1534*0.05,'FA Addition'!$O1534,0,YEARFRAC('FA Addition'!$C1534,$L$1,3),'FA Addition'!$Q1534),FAAddition[[#This Row],[Original Cost (Rs)]]-FAAddition[[#This Row],[Salvage Value]])),0),0)</f>
        <v>0</v>
      </c>
      <c r="AO1534" s="117">
        <f t="shared" si="118"/>
        <v>0</v>
      </c>
      <c r="AQ1534" s="117">
        <f t="shared" si="116"/>
        <v>0</v>
      </c>
      <c r="AR1534" s="120">
        <f t="shared" si="117"/>
        <v>0</v>
      </c>
      <c r="AS1534" s="121"/>
    </row>
    <row r="1535" spans="1:45" ht="13.5" x14ac:dyDescent="0.4">
      <c r="A1535" s="12">
        <f t="shared" si="119"/>
        <v>1532</v>
      </c>
      <c r="B1535" s="64" t="s">
        <v>10</v>
      </c>
      <c r="C1535" s="54">
        <v>45890</v>
      </c>
      <c r="D1535" s="54">
        <v>45897</v>
      </c>
      <c r="E1535" s="46" t="s">
        <v>451</v>
      </c>
      <c r="F1535" s="51" t="s">
        <v>19</v>
      </c>
      <c r="G1535" s="51" t="s">
        <v>169</v>
      </c>
      <c r="H1535" s="51" t="s">
        <v>21</v>
      </c>
      <c r="I1535" s="55" t="s">
        <v>179</v>
      </c>
      <c r="J1535" s="56">
        <v>1</v>
      </c>
      <c r="K1535" s="51" t="s">
        <v>341</v>
      </c>
      <c r="L1535" s="58">
        <v>53000</v>
      </c>
      <c r="M1535" s="50">
        <f>ROUND('FA Addition'!$L1535*5%,0.1)</f>
        <v>2650</v>
      </c>
      <c r="N1535" s="113" t="str">
        <f>_xlfn.XLOOKUP(_xlfn.CONCAT(E1535,B1535),'Year Wise Master Dep Approach'!F:F,'Year Wise Master Dep Approach'!D:D)</f>
        <v>WDV</v>
      </c>
      <c r="O1535" s="113">
        <f>_xlfn.XLOOKUP(_xlfn.CONCAT(E1535,B1535),'Year Wise Master Dep Approach'!F:F,'Year Wise Master Dep Approach'!E:E)</f>
        <v>3</v>
      </c>
      <c r="P1535" s="114">
        <f>IFERROR(IF('FA Addition'!$N1535="WDV",1-('FA Addition'!$M1535/'FA Addition'!$L1535)^(1/'FA Addition'!$O1535),1/'FA Addition'!$O1535),0)</f>
        <v>0.63159685013596123</v>
      </c>
      <c r="Q1535" s="122">
        <f>'FA Addition'!$P1535*'FA Addition'!$O1535</f>
        <v>1.8947905504078837</v>
      </c>
      <c r="R1535" s="122"/>
      <c r="S1535" s="116">
        <f>IF(AND(DATE(20&amp;LEFT(FAAddition[[#This Row],[FY]],2),4,1)&lt;$L$1+1,DATE(20&amp;LEFT(FAAddition[[#This Row],[FY]],2),4,1)&gt;$P$1-1),'FA Addition'!$J1535,0)</f>
        <v>0</v>
      </c>
      <c r="U1535" s="117">
        <f>S1535*'FA Addition'!$L1535/'FA Addition'!$J1535</f>
        <v>0</v>
      </c>
      <c r="W1535" s="116">
        <f>SUMIFS('FA Write off'!D:D,'FA Write off'!A:A,'FA Addition'!$A1535,'FA Write off'!C:C,"&lt;"&amp;'FA Addition'!$P$1)</f>
        <v>0</v>
      </c>
      <c r="Y1535" s="191">
        <f>IFERROR(W1535/'FA Addition'!$J1535*'FA Addition'!$L1535,0)</f>
        <v>0</v>
      </c>
      <c r="AA1535" s="116">
        <f>SUMIFS('FA Write off'!D:D,'FA Write off'!A:A,'FA Addition'!$A1535,'FA Write off'!C:C,"&lt;"&amp;'FA Addition'!$L$1+1,'FA Write off'!C:C,"&gt;"&amp;'FA Addition'!$L$1-365)</f>
        <v>0</v>
      </c>
      <c r="AC1535" s="118">
        <f>IFERROR(AA1535/'FA Addition'!$J1535*'FA Addition'!$L1535,0)</f>
        <v>0</v>
      </c>
      <c r="AE1535" s="117">
        <f>IF(AND('FA Addition'!$D1535&lt;$P$1+1,U1535=0),'FA Addition'!$L1535,0)-Y1535</f>
        <v>0</v>
      </c>
      <c r="AF1535" s="117">
        <f t="shared" si="115"/>
        <v>0</v>
      </c>
      <c r="AG1535" s="117">
        <f>MIN(MAX(+$P$1-'FA Addition'!$D1535,0),365*'FA Addition'!$O1535)</f>
        <v>0</v>
      </c>
      <c r="AH1535" s="117">
        <f>MIN(MAX($L$1-'FA Addition'!$D1535+1,0),365*'FA Addition'!$O1535)</f>
        <v>0</v>
      </c>
      <c r="AI1535" s="117" cm="1">
        <f t="array" ref="AI1535">_xlfn.XLOOKUP(1,('FA Write off'!A:A='FA Addition'!$A1535)*('FA Write off'!D:D=AA1535),'FA Write off'!H:H,0,0)</f>
        <v>0</v>
      </c>
      <c r="AJ1535" s="117">
        <f>IF(AC1535&gt;0,MAX(IF('FA Addition'!$N1535="SLM",($AC1535-'FA Addition'!$M1535)*'FA Addition'!$P1535*AI1535/365,(AC1535-'FA Addition'!$M1535)*(1-(1-'FA Addition'!$P1535)^(AI1535/365))),0),0)</f>
        <v>0</v>
      </c>
      <c r="AL1535" s="117">
        <f>MAX(IF(AG1535&gt;0,IF('FA Addition'!$N1535="SLM",($AE1535-'FA Addition'!$M1535)*'FA Addition'!$P1535*AG1535/365,IFERROR(VDB(AE1535,AE1535*0.05,'FA Addition'!$O1535,0,YEARFRAC('FA Addition'!$C1535,$P$1-1,3),'FA Addition'!$Q1535),FAAddition[[#This Row],[Original Cost (Rs)]]-FAAddition[[#This Row],[Salvage Value]])),0),0)</f>
        <v>0</v>
      </c>
      <c r="AM1535" s="119"/>
      <c r="AN1535" s="117">
        <f>MAX(IF(AH1535&gt;0,IF('FA Addition'!$N1535="SLM",($AF1535-'FA Addition'!$M1535)*'FA Addition'!$P1535*AH1535/365,IFERROR(VDB(AF1535,AF1535*0.05,'FA Addition'!$O1535,0,YEARFRAC('FA Addition'!$C1535,$L$1,3),'FA Addition'!$Q1535),FAAddition[[#This Row],[Original Cost (Rs)]]-FAAddition[[#This Row],[Salvage Value]])),0),0)</f>
        <v>0</v>
      </c>
      <c r="AO1535" s="117">
        <f t="shared" si="118"/>
        <v>0</v>
      </c>
      <c r="AQ1535" s="117">
        <f t="shared" si="116"/>
        <v>0</v>
      </c>
      <c r="AR1535" s="120">
        <f t="shared" si="117"/>
        <v>0</v>
      </c>
      <c r="AS1535" s="121"/>
    </row>
    <row r="1536" spans="1:45" ht="13.5" x14ac:dyDescent="0.4">
      <c r="A1536" s="12">
        <f t="shared" si="119"/>
        <v>1533</v>
      </c>
      <c r="B1536" s="64" t="s">
        <v>10</v>
      </c>
      <c r="C1536" s="54">
        <v>45890</v>
      </c>
      <c r="D1536" s="54">
        <v>45897</v>
      </c>
      <c r="E1536" s="46" t="s">
        <v>451</v>
      </c>
      <c r="F1536" s="51" t="s">
        <v>19</v>
      </c>
      <c r="G1536" s="51" t="s">
        <v>169</v>
      </c>
      <c r="H1536" s="51" t="s">
        <v>21</v>
      </c>
      <c r="I1536" s="55" t="s">
        <v>179</v>
      </c>
      <c r="J1536" s="56">
        <v>1</v>
      </c>
      <c r="K1536" s="51" t="s">
        <v>341</v>
      </c>
      <c r="L1536" s="58">
        <v>53000</v>
      </c>
      <c r="M1536" s="50">
        <f>ROUND('FA Addition'!$L1536*5%,0.1)</f>
        <v>2650</v>
      </c>
      <c r="N1536" s="113" t="str">
        <f>_xlfn.XLOOKUP(_xlfn.CONCAT(E1536,B1536),'Year Wise Master Dep Approach'!F:F,'Year Wise Master Dep Approach'!D:D)</f>
        <v>WDV</v>
      </c>
      <c r="O1536" s="113">
        <f>_xlfn.XLOOKUP(_xlfn.CONCAT(E1536,B1536),'Year Wise Master Dep Approach'!F:F,'Year Wise Master Dep Approach'!E:E)</f>
        <v>3</v>
      </c>
      <c r="P1536" s="114">
        <f>IFERROR(IF('FA Addition'!$N1536="WDV",1-('FA Addition'!$M1536/'FA Addition'!$L1536)^(1/'FA Addition'!$O1536),1/'FA Addition'!$O1536),0)</f>
        <v>0.63159685013596123</v>
      </c>
      <c r="Q1536" s="122">
        <f>'FA Addition'!$P1536*'FA Addition'!$O1536</f>
        <v>1.8947905504078837</v>
      </c>
      <c r="R1536" s="122"/>
      <c r="S1536" s="116">
        <f>IF(AND(DATE(20&amp;LEFT(FAAddition[[#This Row],[FY]],2),4,1)&lt;$L$1+1,DATE(20&amp;LEFT(FAAddition[[#This Row],[FY]],2),4,1)&gt;$P$1-1),'FA Addition'!$J1536,0)</f>
        <v>0</v>
      </c>
      <c r="U1536" s="117">
        <f>S1536*'FA Addition'!$L1536/'FA Addition'!$J1536</f>
        <v>0</v>
      </c>
      <c r="W1536" s="116">
        <f>SUMIFS('FA Write off'!D:D,'FA Write off'!A:A,'FA Addition'!$A1536,'FA Write off'!C:C,"&lt;"&amp;'FA Addition'!$P$1)</f>
        <v>0</v>
      </c>
      <c r="Y1536" s="191">
        <f>IFERROR(W1536/'FA Addition'!$J1536*'FA Addition'!$L1536,0)</f>
        <v>0</v>
      </c>
      <c r="AA1536" s="116">
        <f>SUMIFS('FA Write off'!D:D,'FA Write off'!A:A,'FA Addition'!$A1536,'FA Write off'!C:C,"&lt;"&amp;'FA Addition'!$L$1+1,'FA Write off'!C:C,"&gt;"&amp;'FA Addition'!$L$1-365)</f>
        <v>0</v>
      </c>
      <c r="AC1536" s="118">
        <f>IFERROR(AA1536/'FA Addition'!$J1536*'FA Addition'!$L1536,0)</f>
        <v>0</v>
      </c>
      <c r="AE1536" s="117">
        <f>IF(AND('FA Addition'!$D1536&lt;$P$1+1,U1536=0),'FA Addition'!$L1536,0)-Y1536</f>
        <v>0</v>
      </c>
      <c r="AF1536" s="117">
        <f t="shared" si="115"/>
        <v>0</v>
      </c>
      <c r="AG1536" s="117">
        <f>MIN(MAX(+$P$1-'FA Addition'!$D1536,0),365*'FA Addition'!$O1536)</f>
        <v>0</v>
      </c>
      <c r="AH1536" s="117">
        <f>MIN(MAX($L$1-'FA Addition'!$D1536+1,0),365*'FA Addition'!$O1536)</f>
        <v>0</v>
      </c>
      <c r="AI1536" s="117" cm="1">
        <f t="array" ref="AI1536">_xlfn.XLOOKUP(1,('FA Write off'!A:A='FA Addition'!$A1536)*('FA Write off'!D:D=AA1536),'FA Write off'!H:H,0,0)</f>
        <v>0</v>
      </c>
      <c r="AJ1536" s="117">
        <f>IF(AC1536&gt;0,MAX(IF('FA Addition'!$N1536="SLM",($AC1536-'FA Addition'!$M1536)*'FA Addition'!$P1536*AI1536/365,(AC1536-'FA Addition'!$M1536)*(1-(1-'FA Addition'!$P1536)^(AI1536/365))),0),0)</f>
        <v>0</v>
      </c>
      <c r="AL1536" s="117">
        <f>MAX(IF(AG1536&gt;0,IF('FA Addition'!$N1536="SLM",($AE1536-'FA Addition'!$M1536)*'FA Addition'!$P1536*AG1536/365,IFERROR(VDB(AE1536,AE1536*0.05,'FA Addition'!$O1536,0,YEARFRAC('FA Addition'!$C1536,$P$1-1,3),'FA Addition'!$Q1536),FAAddition[[#This Row],[Original Cost (Rs)]]-FAAddition[[#This Row],[Salvage Value]])),0),0)</f>
        <v>0</v>
      </c>
      <c r="AM1536" s="119"/>
      <c r="AN1536" s="117">
        <f>MAX(IF(AH1536&gt;0,IF('FA Addition'!$N1536="SLM",($AF1536-'FA Addition'!$M1536)*'FA Addition'!$P1536*AH1536/365,IFERROR(VDB(AF1536,AF1536*0.05,'FA Addition'!$O1536,0,YEARFRAC('FA Addition'!$C1536,$L$1,3),'FA Addition'!$Q1536),FAAddition[[#This Row],[Original Cost (Rs)]]-FAAddition[[#This Row],[Salvage Value]])),0),0)</f>
        <v>0</v>
      </c>
      <c r="AO1536" s="117">
        <f t="shared" si="118"/>
        <v>0</v>
      </c>
      <c r="AQ1536" s="117">
        <f t="shared" si="116"/>
        <v>0</v>
      </c>
      <c r="AR1536" s="120">
        <f t="shared" si="117"/>
        <v>0</v>
      </c>
      <c r="AS1536" s="121"/>
    </row>
    <row r="1537" spans="1:45" ht="13.5" x14ac:dyDescent="0.4">
      <c r="A1537" s="12">
        <f t="shared" si="119"/>
        <v>1534</v>
      </c>
      <c r="B1537" s="64" t="s">
        <v>10</v>
      </c>
      <c r="C1537" s="54">
        <v>45889</v>
      </c>
      <c r="D1537" s="54">
        <v>45897</v>
      </c>
      <c r="E1537" s="46" t="s">
        <v>451</v>
      </c>
      <c r="F1537" s="51" t="s">
        <v>19</v>
      </c>
      <c r="G1537" s="51" t="s">
        <v>180</v>
      </c>
      <c r="H1537" s="51" t="s">
        <v>21</v>
      </c>
      <c r="I1537" s="55" t="s">
        <v>181</v>
      </c>
      <c r="J1537" s="56">
        <v>1</v>
      </c>
      <c r="K1537" s="51" t="s">
        <v>342</v>
      </c>
      <c r="L1537" s="58">
        <v>21000</v>
      </c>
      <c r="M1537" s="50">
        <f>ROUND('FA Addition'!$L1537*5%,0.1)</f>
        <v>1050</v>
      </c>
      <c r="N1537" s="113" t="str">
        <f>_xlfn.XLOOKUP(_xlfn.CONCAT(E1537,B1537),'Year Wise Master Dep Approach'!F:F,'Year Wise Master Dep Approach'!D:D)</f>
        <v>WDV</v>
      </c>
      <c r="O1537" s="113">
        <f>_xlfn.XLOOKUP(_xlfn.CONCAT(E1537,B1537),'Year Wise Master Dep Approach'!F:F,'Year Wise Master Dep Approach'!E:E)</f>
        <v>3</v>
      </c>
      <c r="P1537" s="114">
        <f>IFERROR(IF('FA Addition'!$N1537="WDV",1-('FA Addition'!$M1537/'FA Addition'!$L1537)^(1/'FA Addition'!$O1537),1/'FA Addition'!$O1537),0)</f>
        <v>0.63159685013596123</v>
      </c>
      <c r="Q1537" s="122">
        <f>'FA Addition'!$P1537*'FA Addition'!$O1537</f>
        <v>1.8947905504078837</v>
      </c>
      <c r="R1537" s="122"/>
      <c r="S1537" s="116">
        <f>IF(AND(DATE(20&amp;LEFT(FAAddition[[#This Row],[FY]],2),4,1)&lt;$L$1+1,DATE(20&amp;LEFT(FAAddition[[#This Row],[FY]],2),4,1)&gt;$P$1-1),'FA Addition'!$J1537,0)</f>
        <v>0</v>
      </c>
      <c r="U1537" s="117">
        <f>S1537*'FA Addition'!$L1537/'FA Addition'!$J1537</f>
        <v>0</v>
      </c>
      <c r="W1537" s="116">
        <f>SUMIFS('FA Write off'!D:D,'FA Write off'!A:A,'FA Addition'!$A1537,'FA Write off'!C:C,"&lt;"&amp;'FA Addition'!$P$1)</f>
        <v>0</v>
      </c>
      <c r="Y1537" s="191">
        <f>IFERROR(W1537/'FA Addition'!$J1537*'FA Addition'!$L1537,0)</f>
        <v>0</v>
      </c>
      <c r="AA1537" s="116">
        <f>SUMIFS('FA Write off'!D:D,'FA Write off'!A:A,'FA Addition'!$A1537,'FA Write off'!C:C,"&lt;"&amp;'FA Addition'!$L$1+1,'FA Write off'!C:C,"&gt;"&amp;'FA Addition'!$L$1-365)</f>
        <v>0</v>
      </c>
      <c r="AC1537" s="118">
        <f>IFERROR(AA1537/'FA Addition'!$J1537*'FA Addition'!$L1537,0)</f>
        <v>0</v>
      </c>
      <c r="AE1537" s="117">
        <f>IF(AND('FA Addition'!$D1537&lt;$P$1+1,U1537=0),'FA Addition'!$L1537,0)-Y1537</f>
        <v>0</v>
      </c>
      <c r="AF1537" s="117">
        <f t="shared" si="115"/>
        <v>0</v>
      </c>
      <c r="AG1537" s="117">
        <f>MIN(MAX(+$P$1-'FA Addition'!$D1537,0),365*'FA Addition'!$O1537)</f>
        <v>0</v>
      </c>
      <c r="AH1537" s="117">
        <f>MIN(MAX($L$1-'FA Addition'!$D1537+1,0),365*'FA Addition'!$O1537)</f>
        <v>0</v>
      </c>
      <c r="AI1537" s="117" cm="1">
        <f t="array" ref="AI1537">_xlfn.XLOOKUP(1,('FA Write off'!A:A='FA Addition'!$A1537)*('FA Write off'!D:D=AA1537),'FA Write off'!H:H,0,0)</f>
        <v>0</v>
      </c>
      <c r="AJ1537" s="117">
        <f>IF(AC1537&gt;0,MAX(IF('FA Addition'!$N1537="SLM",($AC1537-'FA Addition'!$M1537)*'FA Addition'!$P1537*AI1537/365,(AC1537-'FA Addition'!$M1537)*(1-(1-'FA Addition'!$P1537)^(AI1537/365))),0),0)</f>
        <v>0</v>
      </c>
      <c r="AL1537" s="117">
        <f>MAX(IF(AG1537&gt;0,IF('FA Addition'!$N1537="SLM",($AE1537-'FA Addition'!$M1537)*'FA Addition'!$P1537*AG1537/365,IFERROR(VDB(AE1537,AE1537*0.05,'FA Addition'!$O1537,0,YEARFRAC('FA Addition'!$C1537,$P$1-1,3),'FA Addition'!$Q1537),FAAddition[[#This Row],[Original Cost (Rs)]]-FAAddition[[#This Row],[Salvage Value]])),0),0)</f>
        <v>0</v>
      </c>
      <c r="AM1537" s="119"/>
      <c r="AN1537" s="117">
        <f>MAX(IF(AH1537&gt;0,IF('FA Addition'!$N1537="SLM",($AF1537-'FA Addition'!$M1537)*'FA Addition'!$P1537*AH1537/365,IFERROR(VDB(AF1537,AF1537*0.05,'FA Addition'!$O1537,0,YEARFRAC('FA Addition'!$C1537,$L$1,3),'FA Addition'!$Q1537),FAAddition[[#This Row],[Original Cost (Rs)]]-FAAddition[[#This Row],[Salvage Value]])),0),0)</f>
        <v>0</v>
      </c>
      <c r="AO1537" s="117">
        <f t="shared" si="118"/>
        <v>0</v>
      </c>
      <c r="AQ1537" s="117">
        <f t="shared" si="116"/>
        <v>0</v>
      </c>
      <c r="AR1537" s="120">
        <f t="shared" si="117"/>
        <v>0</v>
      </c>
      <c r="AS1537" s="121"/>
    </row>
    <row r="1538" spans="1:45" ht="13.5" x14ac:dyDescent="0.4">
      <c r="A1538" s="12">
        <f t="shared" si="119"/>
        <v>1535</v>
      </c>
      <c r="B1538" s="64" t="s">
        <v>10</v>
      </c>
      <c r="C1538" s="54">
        <v>45889</v>
      </c>
      <c r="D1538" s="54">
        <v>45897</v>
      </c>
      <c r="E1538" s="46" t="s">
        <v>451</v>
      </c>
      <c r="F1538" s="51" t="s">
        <v>19</v>
      </c>
      <c r="G1538" s="51" t="s">
        <v>180</v>
      </c>
      <c r="H1538" s="51" t="s">
        <v>21</v>
      </c>
      <c r="I1538" s="55" t="s">
        <v>181</v>
      </c>
      <c r="J1538" s="56">
        <v>1</v>
      </c>
      <c r="K1538" s="51" t="s">
        <v>342</v>
      </c>
      <c r="L1538" s="58">
        <v>21000</v>
      </c>
      <c r="M1538" s="50">
        <f>ROUND('FA Addition'!$L1538*5%,0.1)</f>
        <v>1050</v>
      </c>
      <c r="N1538" s="113" t="str">
        <f>_xlfn.XLOOKUP(_xlfn.CONCAT(E1538,B1538),'Year Wise Master Dep Approach'!F:F,'Year Wise Master Dep Approach'!D:D)</f>
        <v>WDV</v>
      </c>
      <c r="O1538" s="113">
        <f>_xlfn.XLOOKUP(_xlfn.CONCAT(E1538,B1538),'Year Wise Master Dep Approach'!F:F,'Year Wise Master Dep Approach'!E:E)</f>
        <v>3</v>
      </c>
      <c r="P1538" s="114">
        <f>IFERROR(IF('FA Addition'!$N1538="WDV",1-('FA Addition'!$M1538/'FA Addition'!$L1538)^(1/'FA Addition'!$O1538),1/'FA Addition'!$O1538),0)</f>
        <v>0.63159685013596123</v>
      </c>
      <c r="Q1538" s="122">
        <f>'FA Addition'!$P1538*'FA Addition'!$O1538</f>
        <v>1.8947905504078837</v>
      </c>
      <c r="R1538" s="122"/>
      <c r="S1538" s="116">
        <f>IF(AND(DATE(20&amp;LEFT(FAAddition[[#This Row],[FY]],2),4,1)&lt;$L$1+1,DATE(20&amp;LEFT(FAAddition[[#This Row],[FY]],2),4,1)&gt;$P$1-1),'FA Addition'!$J1538,0)</f>
        <v>0</v>
      </c>
      <c r="U1538" s="117">
        <f>S1538*'FA Addition'!$L1538/'FA Addition'!$J1538</f>
        <v>0</v>
      </c>
      <c r="W1538" s="116">
        <f>SUMIFS('FA Write off'!D:D,'FA Write off'!A:A,'FA Addition'!$A1538,'FA Write off'!C:C,"&lt;"&amp;'FA Addition'!$P$1)</f>
        <v>0</v>
      </c>
      <c r="Y1538" s="191">
        <f>IFERROR(W1538/'FA Addition'!$J1538*'FA Addition'!$L1538,0)</f>
        <v>0</v>
      </c>
      <c r="AA1538" s="116">
        <f>SUMIFS('FA Write off'!D:D,'FA Write off'!A:A,'FA Addition'!$A1538,'FA Write off'!C:C,"&lt;"&amp;'FA Addition'!$L$1+1,'FA Write off'!C:C,"&gt;"&amp;'FA Addition'!$L$1-365)</f>
        <v>0</v>
      </c>
      <c r="AC1538" s="118">
        <f>IFERROR(AA1538/'FA Addition'!$J1538*'FA Addition'!$L1538,0)</f>
        <v>0</v>
      </c>
      <c r="AE1538" s="117">
        <f>IF(AND('FA Addition'!$D1538&lt;$P$1+1,U1538=0),'FA Addition'!$L1538,0)-Y1538</f>
        <v>0</v>
      </c>
      <c r="AF1538" s="117">
        <f t="shared" si="115"/>
        <v>0</v>
      </c>
      <c r="AG1538" s="117">
        <f>MIN(MAX(+$P$1-'FA Addition'!$D1538,0),365*'FA Addition'!$O1538)</f>
        <v>0</v>
      </c>
      <c r="AH1538" s="117">
        <f>MIN(MAX($L$1-'FA Addition'!$D1538+1,0),365*'FA Addition'!$O1538)</f>
        <v>0</v>
      </c>
      <c r="AI1538" s="117" cm="1">
        <f t="array" ref="AI1538">_xlfn.XLOOKUP(1,('FA Write off'!A:A='FA Addition'!$A1538)*('FA Write off'!D:D=AA1538),'FA Write off'!H:H,0,0)</f>
        <v>0</v>
      </c>
      <c r="AJ1538" s="117">
        <f>IF(AC1538&gt;0,MAX(IF('FA Addition'!$N1538="SLM",($AC1538-'FA Addition'!$M1538)*'FA Addition'!$P1538*AI1538/365,(AC1538-'FA Addition'!$M1538)*(1-(1-'FA Addition'!$P1538)^(AI1538/365))),0),0)</f>
        <v>0</v>
      </c>
      <c r="AL1538" s="117">
        <f>MAX(IF(AG1538&gt;0,IF('FA Addition'!$N1538="SLM",($AE1538-'FA Addition'!$M1538)*'FA Addition'!$P1538*AG1538/365,IFERROR(VDB(AE1538,AE1538*0.05,'FA Addition'!$O1538,0,YEARFRAC('FA Addition'!$C1538,$P$1-1,3),'FA Addition'!$Q1538),FAAddition[[#This Row],[Original Cost (Rs)]]-FAAddition[[#This Row],[Salvage Value]])),0),0)</f>
        <v>0</v>
      </c>
      <c r="AM1538" s="119"/>
      <c r="AN1538" s="117">
        <f>MAX(IF(AH1538&gt;0,IF('FA Addition'!$N1538="SLM",($AF1538-'FA Addition'!$M1538)*'FA Addition'!$P1538*AH1538/365,IFERROR(VDB(AF1538,AF1538*0.05,'FA Addition'!$O1538,0,YEARFRAC('FA Addition'!$C1538,$L$1,3),'FA Addition'!$Q1538),FAAddition[[#This Row],[Original Cost (Rs)]]-FAAddition[[#This Row],[Salvage Value]])),0),0)</f>
        <v>0</v>
      </c>
      <c r="AO1538" s="117">
        <f t="shared" si="118"/>
        <v>0</v>
      </c>
      <c r="AQ1538" s="117">
        <f t="shared" si="116"/>
        <v>0</v>
      </c>
      <c r="AR1538" s="120">
        <f t="shared" si="117"/>
        <v>0</v>
      </c>
      <c r="AS1538" s="121"/>
    </row>
    <row r="1539" spans="1:45" ht="13.5" x14ac:dyDescent="0.4">
      <c r="A1539" s="12">
        <f t="shared" si="119"/>
        <v>1536</v>
      </c>
      <c r="B1539" s="64" t="s">
        <v>10</v>
      </c>
      <c r="C1539" s="54">
        <v>45889</v>
      </c>
      <c r="D1539" s="54">
        <v>45897</v>
      </c>
      <c r="E1539" s="46" t="s">
        <v>451</v>
      </c>
      <c r="F1539" s="51" t="s">
        <v>19</v>
      </c>
      <c r="G1539" s="51" t="s">
        <v>180</v>
      </c>
      <c r="H1539" s="51" t="s">
        <v>21</v>
      </c>
      <c r="I1539" s="55" t="s">
        <v>181</v>
      </c>
      <c r="J1539" s="56">
        <v>1</v>
      </c>
      <c r="K1539" s="51" t="s">
        <v>342</v>
      </c>
      <c r="L1539" s="58">
        <v>21000</v>
      </c>
      <c r="M1539" s="50">
        <f>ROUND('FA Addition'!$L1539*5%,0.1)</f>
        <v>1050</v>
      </c>
      <c r="N1539" s="113" t="str">
        <f>_xlfn.XLOOKUP(_xlfn.CONCAT(E1539,B1539),'Year Wise Master Dep Approach'!F:F,'Year Wise Master Dep Approach'!D:D)</f>
        <v>WDV</v>
      </c>
      <c r="O1539" s="113">
        <f>_xlfn.XLOOKUP(_xlfn.CONCAT(E1539,B1539),'Year Wise Master Dep Approach'!F:F,'Year Wise Master Dep Approach'!E:E)</f>
        <v>3</v>
      </c>
      <c r="P1539" s="114">
        <f>IFERROR(IF('FA Addition'!$N1539="WDV",1-('FA Addition'!$M1539/'FA Addition'!$L1539)^(1/'FA Addition'!$O1539),1/'FA Addition'!$O1539),0)</f>
        <v>0.63159685013596123</v>
      </c>
      <c r="Q1539" s="122">
        <f>'FA Addition'!$P1539*'FA Addition'!$O1539</f>
        <v>1.8947905504078837</v>
      </c>
      <c r="R1539" s="122"/>
      <c r="S1539" s="116">
        <f>IF(AND(DATE(20&amp;LEFT(FAAddition[[#This Row],[FY]],2),4,1)&lt;$L$1+1,DATE(20&amp;LEFT(FAAddition[[#This Row],[FY]],2),4,1)&gt;$P$1-1),'FA Addition'!$J1539,0)</f>
        <v>0</v>
      </c>
      <c r="U1539" s="117">
        <f>S1539*'FA Addition'!$L1539/'FA Addition'!$J1539</f>
        <v>0</v>
      </c>
      <c r="W1539" s="116">
        <f>SUMIFS('FA Write off'!D:D,'FA Write off'!A:A,'FA Addition'!$A1539,'FA Write off'!C:C,"&lt;"&amp;'FA Addition'!$P$1)</f>
        <v>0</v>
      </c>
      <c r="Y1539" s="191">
        <f>IFERROR(W1539/'FA Addition'!$J1539*'FA Addition'!$L1539,0)</f>
        <v>0</v>
      </c>
      <c r="AA1539" s="116">
        <f>SUMIFS('FA Write off'!D:D,'FA Write off'!A:A,'FA Addition'!$A1539,'FA Write off'!C:C,"&lt;"&amp;'FA Addition'!$L$1+1,'FA Write off'!C:C,"&gt;"&amp;'FA Addition'!$L$1-365)</f>
        <v>0</v>
      </c>
      <c r="AC1539" s="118">
        <f>IFERROR(AA1539/'FA Addition'!$J1539*'FA Addition'!$L1539,0)</f>
        <v>0</v>
      </c>
      <c r="AE1539" s="117">
        <f>IF(AND('FA Addition'!$D1539&lt;$P$1+1,U1539=0),'FA Addition'!$L1539,0)-Y1539</f>
        <v>0</v>
      </c>
      <c r="AF1539" s="117">
        <f t="shared" si="115"/>
        <v>0</v>
      </c>
      <c r="AG1539" s="117">
        <f>MIN(MAX(+$P$1-'FA Addition'!$D1539,0),365*'FA Addition'!$O1539)</f>
        <v>0</v>
      </c>
      <c r="AH1539" s="117">
        <f>MIN(MAX($L$1-'FA Addition'!$D1539+1,0),365*'FA Addition'!$O1539)</f>
        <v>0</v>
      </c>
      <c r="AI1539" s="117" cm="1">
        <f t="array" ref="AI1539">_xlfn.XLOOKUP(1,('FA Write off'!A:A='FA Addition'!$A1539)*('FA Write off'!D:D=AA1539),'FA Write off'!H:H,0,0)</f>
        <v>0</v>
      </c>
      <c r="AJ1539" s="117">
        <f>IF(AC1539&gt;0,MAX(IF('FA Addition'!$N1539="SLM",($AC1539-'FA Addition'!$M1539)*'FA Addition'!$P1539*AI1539/365,(AC1539-'FA Addition'!$M1539)*(1-(1-'FA Addition'!$P1539)^(AI1539/365))),0),0)</f>
        <v>0</v>
      </c>
      <c r="AL1539" s="117">
        <f>MAX(IF(AG1539&gt;0,IF('FA Addition'!$N1539="SLM",($AE1539-'FA Addition'!$M1539)*'FA Addition'!$P1539*AG1539/365,IFERROR(VDB(AE1539,AE1539*0.05,'FA Addition'!$O1539,0,YEARFRAC('FA Addition'!$C1539,$P$1-1,3),'FA Addition'!$Q1539),FAAddition[[#This Row],[Original Cost (Rs)]]-FAAddition[[#This Row],[Salvage Value]])),0),0)</f>
        <v>0</v>
      </c>
      <c r="AM1539" s="119"/>
      <c r="AN1539" s="117">
        <f>MAX(IF(AH1539&gt;0,IF('FA Addition'!$N1539="SLM",($AF1539-'FA Addition'!$M1539)*'FA Addition'!$P1539*AH1539/365,IFERROR(VDB(AF1539,AF1539*0.05,'FA Addition'!$O1539,0,YEARFRAC('FA Addition'!$C1539,$L$1,3),'FA Addition'!$Q1539),FAAddition[[#This Row],[Original Cost (Rs)]]-FAAddition[[#This Row],[Salvage Value]])),0),0)</f>
        <v>0</v>
      </c>
      <c r="AO1539" s="117">
        <f t="shared" si="118"/>
        <v>0</v>
      </c>
      <c r="AQ1539" s="117">
        <f t="shared" si="116"/>
        <v>0</v>
      </c>
      <c r="AR1539" s="120">
        <f t="shared" si="117"/>
        <v>0</v>
      </c>
      <c r="AS1539" s="121"/>
    </row>
    <row r="1540" spans="1:45" ht="13.5" x14ac:dyDescent="0.4">
      <c r="A1540" s="12">
        <f t="shared" si="119"/>
        <v>1537</v>
      </c>
      <c r="B1540" s="64" t="s">
        <v>10</v>
      </c>
      <c r="C1540" s="54">
        <v>45889</v>
      </c>
      <c r="D1540" s="54">
        <v>45897</v>
      </c>
      <c r="E1540" s="46" t="s">
        <v>451</v>
      </c>
      <c r="F1540" s="51" t="s">
        <v>19</v>
      </c>
      <c r="G1540" s="51" t="s">
        <v>180</v>
      </c>
      <c r="H1540" s="51" t="s">
        <v>21</v>
      </c>
      <c r="I1540" s="55" t="s">
        <v>181</v>
      </c>
      <c r="J1540" s="56">
        <v>1</v>
      </c>
      <c r="K1540" s="51" t="s">
        <v>342</v>
      </c>
      <c r="L1540" s="58">
        <v>21000</v>
      </c>
      <c r="M1540" s="50">
        <f>ROUND('FA Addition'!$L1540*5%,0.1)</f>
        <v>1050</v>
      </c>
      <c r="N1540" s="113" t="str">
        <f>_xlfn.XLOOKUP(_xlfn.CONCAT(E1540,B1540),'Year Wise Master Dep Approach'!F:F,'Year Wise Master Dep Approach'!D:D)</f>
        <v>WDV</v>
      </c>
      <c r="O1540" s="113">
        <f>_xlfn.XLOOKUP(_xlfn.CONCAT(E1540,B1540),'Year Wise Master Dep Approach'!F:F,'Year Wise Master Dep Approach'!E:E)</f>
        <v>3</v>
      </c>
      <c r="P1540" s="114">
        <f>IFERROR(IF('FA Addition'!$N1540="WDV",1-('FA Addition'!$M1540/'FA Addition'!$L1540)^(1/'FA Addition'!$O1540),1/'FA Addition'!$O1540),0)</f>
        <v>0.63159685013596123</v>
      </c>
      <c r="Q1540" s="122">
        <f>'FA Addition'!$P1540*'FA Addition'!$O1540</f>
        <v>1.8947905504078837</v>
      </c>
      <c r="R1540" s="122"/>
      <c r="S1540" s="116">
        <f>IF(AND(DATE(20&amp;LEFT(FAAddition[[#This Row],[FY]],2),4,1)&lt;$L$1+1,DATE(20&amp;LEFT(FAAddition[[#This Row],[FY]],2),4,1)&gt;$P$1-1),'FA Addition'!$J1540,0)</f>
        <v>0</v>
      </c>
      <c r="U1540" s="117">
        <f>S1540*'FA Addition'!$L1540/'FA Addition'!$J1540</f>
        <v>0</v>
      </c>
      <c r="W1540" s="116">
        <f>SUMIFS('FA Write off'!D:D,'FA Write off'!A:A,'FA Addition'!$A1540,'FA Write off'!C:C,"&lt;"&amp;'FA Addition'!$P$1)</f>
        <v>0</v>
      </c>
      <c r="Y1540" s="191">
        <f>IFERROR(W1540/'FA Addition'!$J1540*'FA Addition'!$L1540,0)</f>
        <v>0</v>
      </c>
      <c r="AA1540" s="116">
        <f>SUMIFS('FA Write off'!D:D,'FA Write off'!A:A,'FA Addition'!$A1540,'FA Write off'!C:C,"&lt;"&amp;'FA Addition'!$L$1+1,'FA Write off'!C:C,"&gt;"&amp;'FA Addition'!$L$1-365)</f>
        <v>0</v>
      </c>
      <c r="AC1540" s="118">
        <f>IFERROR(AA1540/'FA Addition'!$J1540*'FA Addition'!$L1540,0)</f>
        <v>0</v>
      </c>
      <c r="AE1540" s="117">
        <f>IF(AND('FA Addition'!$D1540&lt;$P$1+1,U1540=0),'FA Addition'!$L1540,0)-Y1540</f>
        <v>0</v>
      </c>
      <c r="AF1540" s="117">
        <f t="shared" ref="AF1540:AF1603" si="120">AE1540+U1540-AC1540</f>
        <v>0</v>
      </c>
      <c r="AG1540" s="117">
        <f>MIN(MAX(+$P$1-'FA Addition'!$D1540,0),365*'FA Addition'!$O1540)</f>
        <v>0</v>
      </c>
      <c r="AH1540" s="117">
        <f>MIN(MAX($L$1-'FA Addition'!$D1540+1,0),365*'FA Addition'!$O1540)</f>
        <v>0</v>
      </c>
      <c r="AI1540" s="117" cm="1">
        <f t="array" ref="AI1540">_xlfn.XLOOKUP(1,('FA Write off'!A:A='FA Addition'!$A1540)*('FA Write off'!D:D=AA1540),'FA Write off'!H:H,0,0)</f>
        <v>0</v>
      </c>
      <c r="AJ1540" s="117">
        <f>IF(AC1540&gt;0,MAX(IF('FA Addition'!$N1540="SLM",($AC1540-'FA Addition'!$M1540)*'FA Addition'!$P1540*AI1540/365,(AC1540-'FA Addition'!$M1540)*(1-(1-'FA Addition'!$P1540)^(AI1540/365))),0),0)</f>
        <v>0</v>
      </c>
      <c r="AL1540" s="117">
        <f>MAX(IF(AG1540&gt;0,IF('FA Addition'!$N1540="SLM",($AE1540-'FA Addition'!$M1540)*'FA Addition'!$P1540*AG1540/365,IFERROR(VDB(AE1540,AE1540*0.05,'FA Addition'!$O1540,0,YEARFRAC('FA Addition'!$C1540,$P$1-1,3),'FA Addition'!$Q1540),FAAddition[[#This Row],[Original Cost (Rs)]]-FAAddition[[#This Row],[Salvage Value]])),0),0)</f>
        <v>0</v>
      </c>
      <c r="AM1540" s="119"/>
      <c r="AN1540" s="117">
        <f>MAX(IF(AH1540&gt;0,IF('FA Addition'!$N1540="SLM",($AF1540-'FA Addition'!$M1540)*'FA Addition'!$P1540*AH1540/365,IFERROR(VDB(AF1540,AF1540*0.05,'FA Addition'!$O1540,0,YEARFRAC('FA Addition'!$C1540,$L$1,3),'FA Addition'!$Q1540),FAAddition[[#This Row],[Original Cost (Rs)]]-FAAddition[[#This Row],[Salvage Value]])),0),0)</f>
        <v>0</v>
      </c>
      <c r="AO1540" s="117">
        <f t="shared" si="118"/>
        <v>0</v>
      </c>
      <c r="AQ1540" s="117">
        <f t="shared" ref="AQ1540:AQ1603" si="121">AE1540-AL1540</f>
        <v>0</v>
      </c>
      <c r="AR1540" s="120">
        <f t="shared" ref="AR1540:AR1603" si="122">AF1540-AN1540</f>
        <v>0</v>
      </c>
      <c r="AS1540" s="121"/>
    </row>
    <row r="1541" spans="1:45" ht="13.5" x14ac:dyDescent="0.4">
      <c r="A1541" s="12">
        <f t="shared" si="119"/>
        <v>1538</v>
      </c>
      <c r="B1541" s="64" t="s">
        <v>10</v>
      </c>
      <c r="C1541" s="54">
        <v>45889</v>
      </c>
      <c r="D1541" s="54">
        <v>45897</v>
      </c>
      <c r="E1541" s="46" t="s">
        <v>451</v>
      </c>
      <c r="F1541" s="51" t="s">
        <v>19</v>
      </c>
      <c r="G1541" s="51" t="s">
        <v>180</v>
      </c>
      <c r="H1541" s="51" t="s">
        <v>21</v>
      </c>
      <c r="I1541" s="55" t="s">
        <v>181</v>
      </c>
      <c r="J1541" s="56">
        <v>1</v>
      </c>
      <c r="K1541" s="51" t="s">
        <v>342</v>
      </c>
      <c r="L1541" s="58">
        <v>21000</v>
      </c>
      <c r="M1541" s="50">
        <f>ROUND('FA Addition'!$L1541*5%,0.1)</f>
        <v>1050</v>
      </c>
      <c r="N1541" s="113" t="str">
        <f>_xlfn.XLOOKUP(_xlfn.CONCAT(E1541,B1541),'Year Wise Master Dep Approach'!F:F,'Year Wise Master Dep Approach'!D:D)</f>
        <v>WDV</v>
      </c>
      <c r="O1541" s="113">
        <f>_xlfn.XLOOKUP(_xlfn.CONCAT(E1541,B1541),'Year Wise Master Dep Approach'!F:F,'Year Wise Master Dep Approach'!E:E)</f>
        <v>3</v>
      </c>
      <c r="P1541" s="114">
        <f>IFERROR(IF('FA Addition'!$N1541="WDV",1-('FA Addition'!$M1541/'FA Addition'!$L1541)^(1/'FA Addition'!$O1541),1/'FA Addition'!$O1541),0)</f>
        <v>0.63159685013596123</v>
      </c>
      <c r="Q1541" s="122">
        <f>'FA Addition'!$P1541*'FA Addition'!$O1541</f>
        <v>1.8947905504078837</v>
      </c>
      <c r="R1541" s="122"/>
      <c r="S1541" s="116">
        <f>IF(AND(DATE(20&amp;LEFT(FAAddition[[#This Row],[FY]],2),4,1)&lt;$L$1+1,DATE(20&amp;LEFT(FAAddition[[#This Row],[FY]],2),4,1)&gt;$P$1-1),'FA Addition'!$J1541,0)</f>
        <v>0</v>
      </c>
      <c r="U1541" s="117">
        <f>S1541*'FA Addition'!$L1541/'FA Addition'!$J1541</f>
        <v>0</v>
      </c>
      <c r="W1541" s="116">
        <f>SUMIFS('FA Write off'!D:D,'FA Write off'!A:A,'FA Addition'!$A1541,'FA Write off'!C:C,"&lt;"&amp;'FA Addition'!$P$1)</f>
        <v>0</v>
      </c>
      <c r="Y1541" s="191">
        <f>IFERROR(W1541/'FA Addition'!$J1541*'FA Addition'!$L1541,0)</f>
        <v>0</v>
      </c>
      <c r="AA1541" s="116">
        <f>SUMIFS('FA Write off'!D:D,'FA Write off'!A:A,'FA Addition'!$A1541,'FA Write off'!C:C,"&lt;"&amp;'FA Addition'!$L$1+1,'FA Write off'!C:C,"&gt;"&amp;'FA Addition'!$L$1-365)</f>
        <v>0</v>
      </c>
      <c r="AC1541" s="118">
        <f>IFERROR(AA1541/'FA Addition'!$J1541*'FA Addition'!$L1541,0)</f>
        <v>0</v>
      </c>
      <c r="AE1541" s="117">
        <f>IF(AND('FA Addition'!$D1541&lt;$P$1+1,U1541=0),'FA Addition'!$L1541,0)-Y1541</f>
        <v>0</v>
      </c>
      <c r="AF1541" s="117">
        <f t="shared" si="120"/>
        <v>0</v>
      </c>
      <c r="AG1541" s="117">
        <f>MIN(MAX(+$P$1-'FA Addition'!$D1541,0),365*'FA Addition'!$O1541)</f>
        <v>0</v>
      </c>
      <c r="AH1541" s="117">
        <f>MIN(MAX($L$1-'FA Addition'!$D1541+1,0),365*'FA Addition'!$O1541)</f>
        <v>0</v>
      </c>
      <c r="AI1541" s="117" cm="1">
        <f t="array" ref="AI1541">_xlfn.XLOOKUP(1,('FA Write off'!A:A='FA Addition'!$A1541)*('FA Write off'!D:D=AA1541),'FA Write off'!H:H,0,0)</f>
        <v>0</v>
      </c>
      <c r="AJ1541" s="117">
        <f>IF(AC1541&gt;0,MAX(IF('FA Addition'!$N1541="SLM",($AC1541-'FA Addition'!$M1541)*'FA Addition'!$P1541*AI1541/365,(AC1541-'FA Addition'!$M1541)*(1-(1-'FA Addition'!$P1541)^(AI1541/365))),0),0)</f>
        <v>0</v>
      </c>
      <c r="AL1541" s="117">
        <f>MAX(IF(AG1541&gt;0,IF('FA Addition'!$N1541="SLM",($AE1541-'FA Addition'!$M1541)*'FA Addition'!$P1541*AG1541/365,IFERROR(VDB(AE1541,AE1541*0.05,'FA Addition'!$O1541,0,YEARFRAC('FA Addition'!$C1541,$P$1-1,3),'FA Addition'!$Q1541),FAAddition[[#This Row],[Original Cost (Rs)]]-FAAddition[[#This Row],[Salvage Value]])),0),0)</f>
        <v>0</v>
      </c>
      <c r="AM1541" s="119"/>
      <c r="AN1541" s="117">
        <f>MAX(IF(AH1541&gt;0,IF('FA Addition'!$N1541="SLM",($AF1541-'FA Addition'!$M1541)*'FA Addition'!$P1541*AH1541/365,IFERROR(VDB(AF1541,AF1541*0.05,'FA Addition'!$O1541,0,YEARFRAC('FA Addition'!$C1541,$L$1,3),'FA Addition'!$Q1541),FAAddition[[#This Row],[Original Cost (Rs)]]-FAAddition[[#This Row],[Salvage Value]])),0),0)</f>
        <v>0</v>
      </c>
      <c r="AO1541" s="117">
        <f t="shared" ref="AO1541:AO1604" si="123">AN1541-AL1541+AJ1541</f>
        <v>0</v>
      </c>
      <c r="AQ1541" s="117">
        <f t="shared" si="121"/>
        <v>0</v>
      </c>
      <c r="AR1541" s="120">
        <f t="shared" si="122"/>
        <v>0</v>
      </c>
      <c r="AS1541" s="121"/>
    </row>
    <row r="1542" spans="1:45" ht="13.5" x14ac:dyDescent="0.4">
      <c r="A1542" s="12">
        <f t="shared" ref="A1542:A1605" si="124">A1541+1</f>
        <v>1539</v>
      </c>
      <c r="B1542" s="64" t="s">
        <v>10</v>
      </c>
      <c r="C1542" s="54">
        <v>45922</v>
      </c>
      <c r="D1542" s="54">
        <v>45922</v>
      </c>
      <c r="E1542" s="46" t="s">
        <v>523</v>
      </c>
      <c r="F1542" s="51" t="s">
        <v>11</v>
      </c>
      <c r="G1542" s="51" t="s">
        <v>182</v>
      </c>
      <c r="H1542" s="51" t="s">
        <v>183</v>
      </c>
      <c r="I1542" s="55" t="s">
        <v>184</v>
      </c>
      <c r="J1542" s="56">
        <v>1</v>
      </c>
      <c r="K1542" s="51" t="s">
        <v>343</v>
      </c>
      <c r="L1542" s="58">
        <v>3776000</v>
      </c>
      <c r="M1542" s="50">
        <f>ROUND('FA Addition'!$L1542*5%,0.1)</f>
        <v>188800</v>
      </c>
      <c r="N1542" s="113" t="str">
        <f>_xlfn.XLOOKUP(_xlfn.CONCAT(E1542,B1542),'Year Wise Master Dep Approach'!F:F,'Year Wise Master Dep Approach'!D:D)</f>
        <v>WDV</v>
      </c>
      <c r="O1542" s="113">
        <f>_xlfn.XLOOKUP(_xlfn.CONCAT(E1542,B1542),'Year Wise Master Dep Approach'!F:F,'Year Wise Master Dep Approach'!E:E)</f>
        <v>10</v>
      </c>
      <c r="P1542" s="114">
        <f>IFERROR(IF('FA Addition'!$N1542="WDV",1-('FA Addition'!$M1542/'FA Addition'!$L1542)^(1/'FA Addition'!$O1542),1/'FA Addition'!$O1542),0)</f>
        <v>0.2588655508930523</v>
      </c>
      <c r="Q1542" s="122">
        <f>'FA Addition'!$P1542*'FA Addition'!$O1542</f>
        <v>2.5886555089305228</v>
      </c>
      <c r="R1542" s="122"/>
      <c r="S1542" s="116">
        <f>IF(AND(DATE(20&amp;LEFT(FAAddition[[#This Row],[FY]],2),4,1)&lt;$L$1+1,DATE(20&amp;LEFT(FAAddition[[#This Row],[FY]],2),4,1)&gt;$P$1-1),'FA Addition'!$J1542,0)</f>
        <v>0</v>
      </c>
      <c r="U1542" s="117">
        <f>S1542*'FA Addition'!$L1542/'FA Addition'!$J1542</f>
        <v>0</v>
      </c>
      <c r="W1542" s="116">
        <f>SUMIFS('FA Write off'!D:D,'FA Write off'!A:A,'FA Addition'!$A1542,'FA Write off'!C:C,"&lt;"&amp;'FA Addition'!$P$1)</f>
        <v>0</v>
      </c>
      <c r="Y1542" s="191">
        <f>IFERROR(W1542/'FA Addition'!$J1542*'FA Addition'!$L1542,0)</f>
        <v>0</v>
      </c>
      <c r="AA1542" s="116">
        <f>SUMIFS('FA Write off'!D:D,'FA Write off'!A:A,'FA Addition'!$A1542,'FA Write off'!C:C,"&lt;"&amp;'FA Addition'!$L$1+1,'FA Write off'!C:C,"&gt;"&amp;'FA Addition'!$L$1-365)</f>
        <v>0</v>
      </c>
      <c r="AC1542" s="118">
        <f>IFERROR(AA1542/'FA Addition'!$J1542*'FA Addition'!$L1542,0)</f>
        <v>0</v>
      </c>
      <c r="AE1542" s="117">
        <f>IF(AND('FA Addition'!$D1542&lt;$P$1+1,U1542=0),'FA Addition'!$L1542,0)-Y1542</f>
        <v>0</v>
      </c>
      <c r="AF1542" s="117">
        <f t="shared" si="120"/>
        <v>0</v>
      </c>
      <c r="AG1542" s="117">
        <f>MIN(MAX(+$P$1-'FA Addition'!$D1542,0),365*'FA Addition'!$O1542)</f>
        <v>0</v>
      </c>
      <c r="AH1542" s="117">
        <f>MIN(MAX($L$1-'FA Addition'!$D1542+1,0),365*'FA Addition'!$O1542)</f>
        <v>0</v>
      </c>
      <c r="AI1542" s="117" cm="1">
        <f t="array" ref="AI1542">_xlfn.XLOOKUP(1,('FA Write off'!A:A='FA Addition'!$A1542)*('FA Write off'!D:D=AA1542),'FA Write off'!H:H,0,0)</f>
        <v>0</v>
      </c>
      <c r="AJ1542" s="117">
        <f>IF(AC1542&gt;0,MAX(IF('FA Addition'!$N1542="SLM",($AC1542-'FA Addition'!$M1542)*'FA Addition'!$P1542*AI1542/365,(AC1542-'FA Addition'!$M1542)*(1-(1-'FA Addition'!$P1542)^(AI1542/365))),0),0)</f>
        <v>0</v>
      </c>
      <c r="AL1542" s="117">
        <f>MAX(IF(AG1542&gt;0,IF('FA Addition'!$N1542="SLM",($AE1542-'FA Addition'!$M1542)*'FA Addition'!$P1542*AG1542/365,IFERROR(VDB(AE1542,AE1542*0.05,'FA Addition'!$O1542,0,YEARFRAC('FA Addition'!$C1542,$P$1-1,3),'FA Addition'!$Q1542),FAAddition[[#This Row],[Original Cost (Rs)]]-FAAddition[[#This Row],[Salvage Value]])),0),0)</f>
        <v>0</v>
      </c>
      <c r="AM1542" s="119"/>
      <c r="AN1542" s="117">
        <f>MAX(IF(AH1542&gt;0,IF('FA Addition'!$N1542="SLM",($AF1542-'FA Addition'!$M1542)*'FA Addition'!$P1542*AH1542/365,IFERROR(VDB(AF1542,AF1542*0.05,'FA Addition'!$O1542,0,YEARFRAC('FA Addition'!$C1542,$L$1,3),'FA Addition'!$Q1542),FAAddition[[#This Row],[Original Cost (Rs)]]-FAAddition[[#This Row],[Salvage Value]])),0),0)</f>
        <v>0</v>
      </c>
      <c r="AO1542" s="117">
        <f t="shared" si="123"/>
        <v>0</v>
      </c>
      <c r="AQ1542" s="117">
        <f t="shared" si="121"/>
        <v>0</v>
      </c>
      <c r="AR1542" s="120">
        <f t="shared" si="122"/>
        <v>0</v>
      </c>
      <c r="AS1542" s="121"/>
    </row>
    <row r="1543" spans="1:45" ht="13.5" x14ac:dyDescent="0.4">
      <c r="A1543" s="12">
        <f t="shared" si="124"/>
        <v>1540</v>
      </c>
      <c r="B1543" s="64" t="s">
        <v>10</v>
      </c>
      <c r="C1543" s="54">
        <v>45926</v>
      </c>
      <c r="D1543" s="54">
        <v>45926</v>
      </c>
      <c r="E1543" s="46" t="s">
        <v>451</v>
      </c>
      <c r="F1543" s="51" t="s">
        <v>19</v>
      </c>
      <c r="G1543" s="51" t="s">
        <v>180</v>
      </c>
      <c r="H1543" s="51" t="s">
        <v>21</v>
      </c>
      <c r="I1543" s="55" t="s">
        <v>185</v>
      </c>
      <c r="J1543" s="56">
        <v>1</v>
      </c>
      <c r="K1543" s="51" t="s">
        <v>342</v>
      </c>
      <c r="L1543" s="58">
        <v>21000</v>
      </c>
      <c r="M1543" s="50">
        <f>ROUND('FA Addition'!$L1543*5%,0.1)</f>
        <v>1050</v>
      </c>
      <c r="N1543" s="113" t="str">
        <f>_xlfn.XLOOKUP(_xlfn.CONCAT(E1543,B1543),'Year Wise Master Dep Approach'!F:F,'Year Wise Master Dep Approach'!D:D)</f>
        <v>WDV</v>
      </c>
      <c r="O1543" s="113">
        <f>_xlfn.XLOOKUP(_xlfn.CONCAT(E1543,B1543),'Year Wise Master Dep Approach'!F:F,'Year Wise Master Dep Approach'!E:E)</f>
        <v>3</v>
      </c>
      <c r="P1543" s="114">
        <f>IFERROR(IF('FA Addition'!$N1543="WDV",1-('FA Addition'!$M1543/'FA Addition'!$L1543)^(1/'FA Addition'!$O1543),1/'FA Addition'!$O1543),0)</f>
        <v>0.63159685013596123</v>
      </c>
      <c r="Q1543" s="122">
        <f>'FA Addition'!$P1543*'FA Addition'!$O1543</f>
        <v>1.8947905504078837</v>
      </c>
      <c r="R1543" s="122"/>
      <c r="S1543" s="116">
        <f>IF(AND(DATE(20&amp;LEFT(FAAddition[[#This Row],[FY]],2),4,1)&lt;$L$1+1,DATE(20&amp;LEFT(FAAddition[[#This Row],[FY]],2),4,1)&gt;$P$1-1),'FA Addition'!$J1543,0)</f>
        <v>0</v>
      </c>
      <c r="U1543" s="117">
        <f>S1543*'FA Addition'!$L1543/'FA Addition'!$J1543</f>
        <v>0</v>
      </c>
      <c r="W1543" s="116">
        <f>SUMIFS('FA Write off'!D:D,'FA Write off'!A:A,'FA Addition'!$A1543,'FA Write off'!C:C,"&lt;"&amp;'FA Addition'!$P$1)</f>
        <v>0</v>
      </c>
      <c r="Y1543" s="191">
        <f>IFERROR(W1543/'FA Addition'!$J1543*'FA Addition'!$L1543,0)</f>
        <v>0</v>
      </c>
      <c r="AA1543" s="116">
        <f>SUMIFS('FA Write off'!D:D,'FA Write off'!A:A,'FA Addition'!$A1543,'FA Write off'!C:C,"&lt;"&amp;'FA Addition'!$L$1+1,'FA Write off'!C:C,"&gt;"&amp;'FA Addition'!$L$1-365)</f>
        <v>0</v>
      </c>
      <c r="AC1543" s="118">
        <f>IFERROR(AA1543/'FA Addition'!$J1543*'FA Addition'!$L1543,0)</f>
        <v>0</v>
      </c>
      <c r="AE1543" s="117">
        <f>IF(AND('FA Addition'!$D1543&lt;$P$1+1,U1543=0),'FA Addition'!$L1543,0)-Y1543</f>
        <v>0</v>
      </c>
      <c r="AF1543" s="117">
        <f t="shared" si="120"/>
        <v>0</v>
      </c>
      <c r="AG1543" s="117">
        <f>MIN(MAX(+$P$1-'FA Addition'!$D1543,0),365*'FA Addition'!$O1543)</f>
        <v>0</v>
      </c>
      <c r="AH1543" s="117">
        <f>MIN(MAX($L$1-'FA Addition'!$D1543+1,0),365*'FA Addition'!$O1543)</f>
        <v>0</v>
      </c>
      <c r="AI1543" s="117" cm="1">
        <f t="array" ref="AI1543">_xlfn.XLOOKUP(1,('FA Write off'!A:A='FA Addition'!$A1543)*('FA Write off'!D:D=AA1543),'FA Write off'!H:H,0,0)</f>
        <v>0</v>
      </c>
      <c r="AJ1543" s="117">
        <f>IF(AC1543&gt;0,MAX(IF('FA Addition'!$N1543="SLM",($AC1543-'FA Addition'!$M1543)*'FA Addition'!$P1543*AI1543/365,(AC1543-'FA Addition'!$M1543)*(1-(1-'FA Addition'!$P1543)^(AI1543/365))),0),0)</f>
        <v>0</v>
      </c>
      <c r="AL1543" s="117">
        <f>MAX(IF(AG1543&gt;0,IF('FA Addition'!$N1543="SLM",($AE1543-'FA Addition'!$M1543)*'FA Addition'!$P1543*AG1543/365,IFERROR(VDB(AE1543,AE1543*0.05,'FA Addition'!$O1543,0,YEARFRAC('FA Addition'!$C1543,$P$1-1,3),'FA Addition'!$Q1543),FAAddition[[#This Row],[Original Cost (Rs)]]-FAAddition[[#This Row],[Salvage Value]])),0),0)</f>
        <v>0</v>
      </c>
      <c r="AM1543" s="119"/>
      <c r="AN1543" s="117">
        <f>MAX(IF(AH1543&gt;0,IF('FA Addition'!$N1543="SLM",($AF1543-'FA Addition'!$M1543)*'FA Addition'!$P1543*AH1543/365,IFERROR(VDB(AF1543,AF1543*0.05,'FA Addition'!$O1543,0,YEARFRAC('FA Addition'!$C1543,$L$1,3),'FA Addition'!$Q1543),FAAddition[[#This Row],[Original Cost (Rs)]]-FAAddition[[#This Row],[Salvage Value]])),0),0)</f>
        <v>0</v>
      </c>
      <c r="AO1543" s="117">
        <f t="shared" si="123"/>
        <v>0</v>
      </c>
      <c r="AQ1543" s="117">
        <f t="shared" si="121"/>
        <v>0</v>
      </c>
      <c r="AR1543" s="120">
        <f t="shared" si="122"/>
        <v>0</v>
      </c>
      <c r="AS1543" s="121"/>
    </row>
    <row r="1544" spans="1:45" ht="13.5" x14ac:dyDescent="0.4">
      <c r="A1544" s="12">
        <f t="shared" si="124"/>
        <v>1541</v>
      </c>
      <c r="B1544" s="64" t="s">
        <v>10</v>
      </c>
      <c r="C1544" s="54">
        <v>45926</v>
      </c>
      <c r="D1544" s="54">
        <v>45926</v>
      </c>
      <c r="E1544" s="46" t="s">
        <v>451</v>
      </c>
      <c r="F1544" s="51" t="s">
        <v>19</v>
      </c>
      <c r="G1544" s="51" t="s">
        <v>180</v>
      </c>
      <c r="H1544" s="51" t="s">
        <v>21</v>
      </c>
      <c r="I1544" s="55" t="s">
        <v>185</v>
      </c>
      <c r="J1544" s="56">
        <v>1</v>
      </c>
      <c r="K1544" s="51" t="s">
        <v>342</v>
      </c>
      <c r="L1544" s="58">
        <v>21000</v>
      </c>
      <c r="M1544" s="50">
        <f>ROUND('FA Addition'!$L1544*5%,0.1)</f>
        <v>1050</v>
      </c>
      <c r="N1544" s="113" t="str">
        <f>_xlfn.XLOOKUP(_xlfn.CONCAT(E1544,B1544),'Year Wise Master Dep Approach'!F:F,'Year Wise Master Dep Approach'!D:D)</f>
        <v>WDV</v>
      </c>
      <c r="O1544" s="113">
        <f>_xlfn.XLOOKUP(_xlfn.CONCAT(E1544,B1544),'Year Wise Master Dep Approach'!F:F,'Year Wise Master Dep Approach'!E:E)</f>
        <v>3</v>
      </c>
      <c r="P1544" s="114">
        <f>IFERROR(IF('FA Addition'!$N1544="WDV",1-('FA Addition'!$M1544/'FA Addition'!$L1544)^(1/'FA Addition'!$O1544),1/'FA Addition'!$O1544),0)</f>
        <v>0.63159685013596123</v>
      </c>
      <c r="Q1544" s="122">
        <f>'FA Addition'!$P1544*'FA Addition'!$O1544</f>
        <v>1.8947905504078837</v>
      </c>
      <c r="R1544" s="122"/>
      <c r="S1544" s="116">
        <f>IF(AND(DATE(20&amp;LEFT(FAAddition[[#This Row],[FY]],2),4,1)&lt;$L$1+1,DATE(20&amp;LEFT(FAAddition[[#This Row],[FY]],2),4,1)&gt;$P$1-1),'FA Addition'!$J1544,0)</f>
        <v>0</v>
      </c>
      <c r="U1544" s="117">
        <f>S1544*'FA Addition'!$L1544/'FA Addition'!$J1544</f>
        <v>0</v>
      </c>
      <c r="W1544" s="116">
        <f>SUMIFS('FA Write off'!D:D,'FA Write off'!A:A,'FA Addition'!$A1544,'FA Write off'!C:C,"&lt;"&amp;'FA Addition'!$P$1)</f>
        <v>0</v>
      </c>
      <c r="Y1544" s="191">
        <f>IFERROR(W1544/'FA Addition'!$J1544*'FA Addition'!$L1544,0)</f>
        <v>0</v>
      </c>
      <c r="AA1544" s="116">
        <f>SUMIFS('FA Write off'!D:D,'FA Write off'!A:A,'FA Addition'!$A1544,'FA Write off'!C:C,"&lt;"&amp;'FA Addition'!$L$1+1,'FA Write off'!C:C,"&gt;"&amp;'FA Addition'!$L$1-365)</f>
        <v>0</v>
      </c>
      <c r="AC1544" s="118">
        <f>IFERROR(AA1544/'FA Addition'!$J1544*'FA Addition'!$L1544,0)</f>
        <v>0</v>
      </c>
      <c r="AE1544" s="117">
        <f>IF(AND('FA Addition'!$D1544&lt;$P$1+1,U1544=0),'FA Addition'!$L1544,0)-Y1544</f>
        <v>0</v>
      </c>
      <c r="AF1544" s="117">
        <f t="shared" si="120"/>
        <v>0</v>
      </c>
      <c r="AG1544" s="117">
        <f>MIN(MAX(+$P$1-'FA Addition'!$D1544,0),365*'FA Addition'!$O1544)</f>
        <v>0</v>
      </c>
      <c r="AH1544" s="117">
        <f>MIN(MAX($L$1-'FA Addition'!$D1544+1,0),365*'FA Addition'!$O1544)</f>
        <v>0</v>
      </c>
      <c r="AI1544" s="117" cm="1">
        <f t="array" ref="AI1544">_xlfn.XLOOKUP(1,('FA Write off'!A:A='FA Addition'!$A1544)*('FA Write off'!D:D=AA1544),'FA Write off'!H:H,0,0)</f>
        <v>0</v>
      </c>
      <c r="AJ1544" s="117">
        <f>IF(AC1544&gt;0,MAX(IF('FA Addition'!$N1544="SLM",($AC1544-'FA Addition'!$M1544)*'FA Addition'!$P1544*AI1544/365,(AC1544-'FA Addition'!$M1544)*(1-(1-'FA Addition'!$P1544)^(AI1544/365))),0),0)</f>
        <v>0</v>
      </c>
      <c r="AL1544" s="117">
        <f>MAX(IF(AG1544&gt;0,IF('FA Addition'!$N1544="SLM",($AE1544-'FA Addition'!$M1544)*'FA Addition'!$P1544*AG1544/365,IFERROR(VDB(AE1544,AE1544*0.05,'FA Addition'!$O1544,0,YEARFRAC('FA Addition'!$C1544,$P$1-1,3),'FA Addition'!$Q1544),FAAddition[[#This Row],[Original Cost (Rs)]]-FAAddition[[#This Row],[Salvage Value]])),0),0)</f>
        <v>0</v>
      </c>
      <c r="AM1544" s="119"/>
      <c r="AN1544" s="117">
        <f>MAX(IF(AH1544&gt;0,IF('FA Addition'!$N1544="SLM",($AF1544-'FA Addition'!$M1544)*'FA Addition'!$P1544*AH1544/365,IFERROR(VDB(AF1544,AF1544*0.05,'FA Addition'!$O1544,0,YEARFRAC('FA Addition'!$C1544,$L$1,3),'FA Addition'!$Q1544),FAAddition[[#This Row],[Original Cost (Rs)]]-FAAddition[[#This Row],[Salvage Value]])),0),0)</f>
        <v>0</v>
      </c>
      <c r="AO1544" s="117">
        <f t="shared" si="123"/>
        <v>0</v>
      </c>
      <c r="AQ1544" s="117">
        <f t="shared" si="121"/>
        <v>0</v>
      </c>
      <c r="AR1544" s="120">
        <f t="shared" si="122"/>
        <v>0</v>
      </c>
      <c r="AS1544" s="121"/>
    </row>
    <row r="1545" spans="1:45" ht="13.5" x14ac:dyDescent="0.4">
      <c r="A1545" s="12">
        <f t="shared" si="124"/>
        <v>1542</v>
      </c>
      <c r="B1545" s="64" t="s">
        <v>10</v>
      </c>
      <c r="C1545" s="54">
        <v>45926</v>
      </c>
      <c r="D1545" s="54">
        <v>45926</v>
      </c>
      <c r="E1545" s="46" t="s">
        <v>451</v>
      </c>
      <c r="F1545" s="51" t="s">
        <v>19</v>
      </c>
      <c r="G1545" s="51" t="s">
        <v>180</v>
      </c>
      <c r="H1545" s="51" t="s">
        <v>21</v>
      </c>
      <c r="I1545" s="55" t="s">
        <v>185</v>
      </c>
      <c r="J1545" s="56">
        <v>1</v>
      </c>
      <c r="K1545" s="51" t="s">
        <v>342</v>
      </c>
      <c r="L1545" s="58">
        <v>21000</v>
      </c>
      <c r="M1545" s="50">
        <f>ROUND('FA Addition'!$L1545*5%,0.1)</f>
        <v>1050</v>
      </c>
      <c r="N1545" s="113" t="str">
        <f>_xlfn.XLOOKUP(_xlfn.CONCAT(E1545,B1545),'Year Wise Master Dep Approach'!F:F,'Year Wise Master Dep Approach'!D:D)</f>
        <v>WDV</v>
      </c>
      <c r="O1545" s="113">
        <f>_xlfn.XLOOKUP(_xlfn.CONCAT(E1545,B1545),'Year Wise Master Dep Approach'!F:F,'Year Wise Master Dep Approach'!E:E)</f>
        <v>3</v>
      </c>
      <c r="P1545" s="114">
        <f>IFERROR(IF('FA Addition'!$N1545="WDV",1-('FA Addition'!$M1545/'FA Addition'!$L1545)^(1/'FA Addition'!$O1545),1/'FA Addition'!$O1545),0)</f>
        <v>0.63159685013596123</v>
      </c>
      <c r="Q1545" s="122">
        <f>'FA Addition'!$P1545*'FA Addition'!$O1545</f>
        <v>1.8947905504078837</v>
      </c>
      <c r="R1545" s="122"/>
      <c r="S1545" s="116">
        <f>IF(AND(DATE(20&amp;LEFT(FAAddition[[#This Row],[FY]],2),4,1)&lt;$L$1+1,DATE(20&amp;LEFT(FAAddition[[#This Row],[FY]],2),4,1)&gt;$P$1-1),'FA Addition'!$J1545,0)</f>
        <v>0</v>
      </c>
      <c r="U1545" s="117">
        <f>S1545*'FA Addition'!$L1545/'FA Addition'!$J1545</f>
        <v>0</v>
      </c>
      <c r="W1545" s="116">
        <f>SUMIFS('FA Write off'!D:D,'FA Write off'!A:A,'FA Addition'!$A1545,'FA Write off'!C:C,"&lt;"&amp;'FA Addition'!$P$1)</f>
        <v>0</v>
      </c>
      <c r="Y1545" s="191">
        <f>IFERROR(W1545/'FA Addition'!$J1545*'FA Addition'!$L1545,0)</f>
        <v>0</v>
      </c>
      <c r="AA1545" s="116">
        <f>SUMIFS('FA Write off'!D:D,'FA Write off'!A:A,'FA Addition'!$A1545,'FA Write off'!C:C,"&lt;"&amp;'FA Addition'!$L$1+1,'FA Write off'!C:C,"&gt;"&amp;'FA Addition'!$L$1-365)</f>
        <v>0</v>
      </c>
      <c r="AC1545" s="118">
        <f>IFERROR(AA1545/'FA Addition'!$J1545*'FA Addition'!$L1545,0)</f>
        <v>0</v>
      </c>
      <c r="AE1545" s="117">
        <f>IF(AND('FA Addition'!$D1545&lt;$P$1+1,U1545=0),'FA Addition'!$L1545,0)-Y1545</f>
        <v>0</v>
      </c>
      <c r="AF1545" s="117">
        <f t="shared" si="120"/>
        <v>0</v>
      </c>
      <c r="AG1545" s="117">
        <f>MIN(MAX(+$P$1-'FA Addition'!$D1545,0),365*'FA Addition'!$O1545)</f>
        <v>0</v>
      </c>
      <c r="AH1545" s="117">
        <f>MIN(MAX($L$1-'FA Addition'!$D1545+1,0),365*'FA Addition'!$O1545)</f>
        <v>0</v>
      </c>
      <c r="AI1545" s="117" cm="1">
        <f t="array" ref="AI1545">_xlfn.XLOOKUP(1,('FA Write off'!A:A='FA Addition'!$A1545)*('FA Write off'!D:D=AA1545),'FA Write off'!H:H,0,0)</f>
        <v>0</v>
      </c>
      <c r="AJ1545" s="117">
        <f>IF(AC1545&gt;0,MAX(IF('FA Addition'!$N1545="SLM",($AC1545-'FA Addition'!$M1545)*'FA Addition'!$P1545*AI1545/365,(AC1545-'FA Addition'!$M1545)*(1-(1-'FA Addition'!$P1545)^(AI1545/365))),0),0)</f>
        <v>0</v>
      </c>
      <c r="AL1545" s="117">
        <f>MAX(IF(AG1545&gt;0,IF('FA Addition'!$N1545="SLM",($AE1545-'FA Addition'!$M1545)*'FA Addition'!$P1545*AG1545/365,IFERROR(VDB(AE1545,AE1545*0.05,'FA Addition'!$O1545,0,YEARFRAC('FA Addition'!$C1545,$P$1-1,3),'FA Addition'!$Q1545),FAAddition[[#This Row],[Original Cost (Rs)]]-FAAddition[[#This Row],[Salvage Value]])),0),0)</f>
        <v>0</v>
      </c>
      <c r="AM1545" s="119"/>
      <c r="AN1545" s="117">
        <f>MAX(IF(AH1545&gt;0,IF('FA Addition'!$N1545="SLM",($AF1545-'FA Addition'!$M1545)*'FA Addition'!$P1545*AH1545/365,IFERROR(VDB(AF1545,AF1545*0.05,'FA Addition'!$O1545,0,YEARFRAC('FA Addition'!$C1545,$L$1,3),'FA Addition'!$Q1545),FAAddition[[#This Row],[Original Cost (Rs)]]-FAAddition[[#This Row],[Salvage Value]])),0),0)</f>
        <v>0</v>
      </c>
      <c r="AO1545" s="117">
        <f t="shared" si="123"/>
        <v>0</v>
      </c>
      <c r="AQ1545" s="117">
        <f t="shared" si="121"/>
        <v>0</v>
      </c>
      <c r="AR1545" s="120">
        <f t="shared" si="122"/>
        <v>0</v>
      </c>
      <c r="AS1545" s="121"/>
    </row>
    <row r="1546" spans="1:45" ht="13.5" x14ac:dyDescent="0.4">
      <c r="A1546" s="12">
        <f t="shared" si="124"/>
        <v>1543</v>
      </c>
      <c r="B1546" s="64" t="s">
        <v>10</v>
      </c>
      <c r="C1546" s="54">
        <v>45926</v>
      </c>
      <c r="D1546" s="54">
        <v>45926</v>
      </c>
      <c r="E1546" s="46" t="s">
        <v>451</v>
      </c>
      <c r="F1546" s="51" t="s">
        <v>19</v>
      </c>
      <c r="G1546" s="51" t="s">
        <v>180</v>
      </c>
      <c r="H1546" s="51" t="s">
        <v>21</v>
      </c>
      <c r="I1546" s="55" t="s">
        <v>185</v>
      </c>
      <c r="J1546" s="56">
        <v>1</v>
      </c>
      <c r="K1546" s="51" t="s">
        <v>342</v>
      </c>
      <c r="L1546" s="58">
        <v>21000</v>
      </c>
      <c r="M1546" s="50">
        <f>ROUND('FA Addition'!$L1546*5%,0.1)</f>
        <v>1050</v>
      </c>
      <c r="N1546" s="113" t="str">
        <f>_xlfn.XLOOKUP(_xlfn.CONCAT(E1546,B1546),'Year Wise Master Dep Approach'!F:F,'Year Wise Master Dep Approach'!D:D)</f>
        <v>WDV</v>
      </c>
      <c r="O1546" s="113">
        <f>_xlfn.XLOOKUP(_xlfn.CONCAT(E1546,B1546),'Year Wise Master Dep Approach'!F:F,'Year Wise Master Dep Approach'!E:E)</f>
        <v>3</v>
      </c>
      <c r="P1546" s="114">
        <f>IFERROR(IF('FA Addition'!$N1546="WDV",1-('FA Addition'!$M1546/'FA Addition'!$L1546)^(1/'FA Addition'!$O1546),1/'FA Addition'!$O1546),0)</f>
        <v>0.63159685013596123</v>
      </c>
      <c r="Q1546" s="122">
        <f>'FA Addition'!$P1546*'FA Addition'!$O1546</f>
        <v>1.8947905504078837</v>
      </c>
      <c r="R1546" s="122"/>
      <c r="S1546" s="116">
        <f>IF(AND(DATE(20&amp;LEFT(FAAddition[[#This Row],[FY]],2),4,1)&lt;$L$1+1,DATE(20&amp;LEFT(FAAddition[[#This Row],[FY]],2),4,1)&gt;$P$1-1),'FA Addition'!$J1546,0)</f>
        <v>0</v>
      </c>
      <c r="U1546" s="117">
        <f>S1546*'FA Addition'!$L1546/'FA Addition'!$J1546</f>
        <v>0</v>
      </c>
      <c r="W1546" s="116">
        <f>SUMIFS('FA Write off'!D:D,'FA Write off'!A:A,'FA Addition'!$A1546,'FA Write off'!C:C,"&lt;"&amp;'FA Addition'!$P$1)</f>
        <v>0</v>
      </c>
      <c r="Y1546" s="191">
        <f>IFERROR(W1546/'FA Addition'!$J1546*'FA Addition'!$L1546,0)</f>
        <v>0</v>
      </c>
      <c r="AA1546" s="116">
        <f>SUMIFS('FA Write off'!D:D,'FA Write off'!A:A,'FA Addition'!$A1546,'FA Write off'!C:C,"&lt;"&amp;'FA Addition'!$L$1+1,'FA Write off'!C:C,"&gt;"&amp;'FA Addition'!$L$1-365)</f>
        <v>0</v>
      </c>
      <c r="AC1546" s="118">
        <f>IFERROR(AA1546/'FA Addition'!$J1546*'FA Addition'!$L1546,0)</f>
        <v>0</v>
      </c>
      <c r="AE1546" s="117">
        <f>IF(AND('FA Addition'!$D1546&lt;$P$1+1,U1546=0),'FA Addition'!$L1546,0)-Y1546</f>
        <v>0</v>
      </c>
      <c r="AF1546" s="117">
        <f t="shared" si="120"/>
        <v>0</v>
      </c>
      <c r="AG1546" s="117">
        <f>MIN(MAX(+$P$1-'FA Addition'!$D1546,0),365*'FA Addition'!$O1546)</f>
        <v>0</v>
      </c>
      <c r="AH1546" s="117">
        <f>MIN(MAX($L$1-'FA Addition'!$D1546+1,0),365*'FA Addition'!$O1546)</f>
        <v>0</v>
      </c>
      <c r="AI1546" s="117" cm="1">
        <f t="array" ref="AI1546">_xlfn.XLOOKUP(1,('FA Write off'!A:A='FA Addition'!$A1546)*('FA Write off'!D:D=AA1546),'FA Write off'!H:H,0,0)</f>
        <v>0</v>
      </c>
      <c r="AJ1546" s="117">
        <f>IF(AC1546&gt;0,MAX(IF('FA Addition'!$N1546="SLM",($AC1546-'FA Addition'!$M1546)*'FA Addition'!$P1546*AI1546/365,(AC1546-'FA Addition'!$M1546)*(1-(1-'FA Addition'!$P1546)^(AI1546/365))),0),0)</f>
        <v>0</v>
      </c>
      <c r="AL1546" s="117">
        <f>MAX(IF(AG1546&gt;0,IF('FA Addition'!$N1546="SLM",($AE1546-'FA Addition'!$M1546)*'FA Addition'!$P1546*AG1546/365,IFERROR(VDB(AE1546,AE1546*0.05,'FA Addition'!$O1546,0,YEARFRAC('FA Addition'!$C1546,$P$1-1,3),'FA Addition'!$Q1546),FAAddition[[#This Row],[Original Cost (Rs)]]-FAAddition[[#This Row],[Salvage Value]])),0),0)</f>
        <v>0</v>
      </c>
      <c r="AM1546" s="119"/>
      <c r="AN1546" s="117">
        <f>MAX(IF(AH1546&gt;0,IF('FA Addition'!$N1546="SLM",($AF1546-'FA Addition'!$M1546)*'FA Addition'!$P1546*AH1546/365,IFERROR(VDB(AF1546,AF1546*0.05,'FA Addition'!$O1546,0,YEARFRAC('FA Addition'!$C1546,$L$1,3),'FA Addition'!$Q1546),FAAddition[[#This Row],[Original Cost (Rs)]]-FAAddition[[#This Row],[Salvage Value]])),0),0)</f>
        <v>0</v>
      </c>
      <c r="AO1546" s="117">
        <f t="shared" si="123"/>
        <v>0</v>
      </c>
      <c r="AQ1546" s="117">
        <f t="shared" si="121"/>
        <v>0</v>
      </c>
      <c r="AR1546" s="120">
        <f t="shared" si="122"/>
        <v>0</v>
      </c>
      <c r="AS1546" s="121"/>
    </row>
    <row r="1547" spans="1:45" ht="13.5" x14ac:dyDescent="0.4">
      <c r="A1547" s="12">
        <f t="shared" si="124"/>
        <v>1544</v>
      </c>
      <c r="B1547" s="64" t="s">
        <v>10</v>
      </c>
      <c r="C1547" s="54">
        <v>45926</v>
      </c>
      <c r="D1547" s="54">
        <v>45926</v>
      </c>
      <c r="E1547" s="46" t="s">
        <v>451</v>
      </c>
      <c r="F1547" s="51" t="s">
        <v>19</v>
      </c>
      <c r="G1547" s="51" t="s">
        <v>180</v>
      </c>
      <c r="H1547" s="51" t="s">
        <v>21</v>
      </c>
      <c r="I1547" s="55" t="s">
        <v>185</v>
      </c>
      <c r="J1547" s="56">
        <v>1</v>
      </c>
      <c r="K1547" s="51" t="s">
        <v>342</v>
      </c>
      <c r="L1547" s="58">
        <v>21000</v>
      </c>
      <c r="M1547" s="50">
        <f>ROUND('FA Addition'!$L1547*5%,0.1)</f>
        <v>1050</v>
      </c>
      <c r="N1547" s="113" t="str">
        <f>_xlfn.XLOOKUP(_xlfn.CONCAT(E1547,B1547),'Year Wise Master Dep Approach'!F:F,'Year Wise Master Dep Approach'!D:D)</f>
        <v>WDV</v>
      </c>
      <c r="O1547" s="113">
        <f>_xlfn.XLOOKUP(_xlfn.CONCAT(E1547,B1547),'Year Wise Master Dep Approach'!F:F,'Year Wise Master Dep Approach'!E:E)</f>
        <v>3</v>
      </c>
      <c r="P1547" s="114">
        <f>IFERROR(IF('FA Addition'!$N1547="WDV",1-('FA Addition'!$M1547/'FA Addition'!$L1547)^(1/'FA Addition'!$O1547),1/'FA Addition'!$O1547),0)</f>
        <v>0.63159685013596123</v>
      </c>
      <c r="Q1547" s="122">
        <f>'FA Addition'!$P1547*'FA Addition'!$O1547</f>
        <v>1.8947905504078837</v>
      </c>
      <c r="R1547" s="122"/>
      <c r="S1547" s="116">
        <f>IF(AND(DATE(20&amp;LEFT(FAAddition[[#This Row],[FY]],2),4,1)&lt;$L$1+1,DATE(20&amp;LEFT(FAAddition[[#This Row],[FY]],2),4,1)&gt;$P$1-1),'FA Addition'!$J1547,0)</f>
        <v>0</v>
      </c>
      <c r="U1547" s="117">
        <f>S1547*'FA Addition'!$L1547/'FA Addition'!$J1547</f>
        <v>0</v>
      </c>
      <c r="W1547" s="116">
        <f>SUMIFS('FA Write off'!D:D,'FA Write off'!A:A,'FA Addition'!$A1547,'FA Write off'!C:C,"&lt;"&amp;'FA Addition'!$P$1)</f>
        <v>0</v>
      </c>
      <c r="Y1547" s="191">
        <f>IFERROR(W1547/'FA Addition'!$J1547*'FA Addition'!$L1547,0)</f>
        <v>0</v>
      </c>
      <c r="AA1547" s="116">
        <f>SUMIFS('FA Write off'!D:D,'FA Write off'!A:A,'FA Addition'!$A1547,'FA Write off'!C:C,"&lt;"&amp;'FA Addition'!$L$1+1,'FA Write off'!C:C,"&gt;"&amp;'FA Addition'!$L$1-365)</f>
        <v>0</v>
      </c>
      <c r="AC1547" s="118">
        <f>IFERROR(AA1547/'FA Addition'!$J1547*'FA Addition'!$L1547,0)</f>
        <v>0</v>
      </c>
      <c r="AE1547" s="117">
        <f>IF(AND('FA Addition'!$D1547&lt;$P$1+1,U1547=0),'FA Addition'!$L1547,0)-Y1547</f>
        <v>0</v>
      </c>
      <c r="AF1547" s="117">
        <f t="shared" si="120"/>
        <v>0</v>
      </c>
      <c r="AG1547" s="117">
        <f>MIN(MAX(+$P$1-'FA Addition'!$D1547,0),365*'FA Addition'!$O1547)</f>
        <v>0</v>
      </c>
      <c r="AH1547" s="117">
        <f>MIN(MAX($L$1-'FA Addition'!$D1547+1,0),365*'FA Addition'!$O1547)</f>
        <v>0</v>
      </c>
      <c r="AI1547" s="117" cm="1">
        <f t="array" ref="AI1547">_xlfn.XLOOKUP(1,('FA Write off'!A:A='FA Addition'!$A1547)*('FA Write off'!D:D=AA1547),'FA Write off'!H:H,0,0)</f>
        <v>0</v>
      </c>
      <c r="AJ1547" s="117">
        <f>IF(AC1547&gt;0,MAX(IF('FA Addition'!$N1547="SLM",($AC1547-'FA Addition'!$M1547)*'FA Addition'!$P1547*AI1547/365,(AC1547-'FA Addition'!$M1547)*(1-(1-'FA Addition'!$P1547)^(AI1547/365))),0),0)</f>
        <v>0</v>
      </c>
      <c r="AL1547" s="117">
        <f>MAX(IF(AG1547&gt;0,IF('FA Addition'!$N1547="SLM",($AE1547-'FA Addition'!$M1547)*'FA Addition'!$P1547*AG1547/365,IFERROR(VDB(AE1547,AE1547*0.05,'FA Addition'!$O1547,0,YEARFRAC('FA Addition'!$C1547,$P$1-1,3),'FA Addition'!$Q1547),FAAddition[[#This Row],[Original Cost (Rs)]]-FAAddition[[#This Row],[Salvage Value]])),0),0)</f>
        <v>0</v>
      </c>
      <c r="AM1547" s="119"/>
      <c r="AN1547" s="117">
        <f>MAX(IF(AH1547&gt;0,IF('FA Addition'!$N1547="SLM",($AF1547-'FA Addition'!$M1547)*'FA Addition'!$P1547*AH1547/365,IFERROR(VDB(AF1547,AF1547*0.05,'FA Addition'!$O1547,0,YEARFRAC('FA Addition'!$C1547,$L$1,3),'FA Addition'!$Q1547),FAAddition[[#This Row],[Original Cost (Rs)]]-FAAddition[[#This Row],[Salvage Value]])),0),0)</f>
        <v>0</v>
      </c>
      <c r="AO1547" s="117">
        <f t="shared" si="123"/>
        <v>0</v>
      </c>
      <c r="AQ1547" s="117">
        <f t="shared" si="121"/>
        <v>0</v>
      </c>
      <c r="AR1547" s="120">
        <f t="shared" si="122"/>
        <v>0</v>
      </c>
      <c r="AS1547" s="121"/>
    </row>
    <row r="1548" spans="1:45" ht="13.5" x14ac:dyDescent="0.4">
      <c r="A1548" s="12">
        <f t="shared" si="124"/>
        <v>1545</v>
      </c>
      <c r="B1548" s="64" t="s">
        <v>10</v>
      </c>
      <c r="C1548" s="54">
        <v>45944</v>
      </c>
      <c r="D1548" s="54">
        <v>45926</v>
      </c>
      <c r="E1548" s="46" t="s">
        <v>1320</v>
      </c>
      <c r="F1548" s="51" t="s">
        <v>33</v>
      </c>
      <c r="G1548" s="51" t="s">
        <v>36</v>
      </c>
      <c r="H1548" s="51" t="s">
        <v>32</v>
      </c>
      <c r="I1548" s="55" t="s">
        <v>186</v>
      </c>
      <c r="J1548" s="56">
        <v>1000</v>
      </c>
      <c r="K1548" s="51" t="s">
        <v>296</v>
      </c>
      <c r="L1548" s="58">
        <v>1500000</v>
      </c>
      <c r="M1548" s="50">
        <f>ROUND('FA Addition'!$L1548*5%,0.1)</f>
        <v>75000</v>
      </c>
      <c r="N1548" s="113" t="str">
        <f>_xlfn.XLOOKUP(_xlfn.CONCAT(E1548,B1548),'Year Wise Master Dep Approach'!F:F,'Year Wise Master Dep Approach'!D:D)</f>
        <v>SLM</v>
      </c>
      <c r="O1548" s="113">
        <f>_xlfn.XLOOKUP(_xlfn.CONCAT(E1548,B1548),'Year Wise Master Dep Approach'!F:F,'Year Wise Master Dep Approach'!E:E)</f>
        <v>5</v>
      </c>
      <c r="P1548" s="114">
        <f>IFERROR(IF('FA Addition'!$N1548="WDV",1-('FA Addition'!$M1548/'FA Addition'!$L1548)^(1/'FA Addition'!$O1548),1/'FA Addition'!$O1548),0)</f>
        <v>0.2</v>
      </c>
      <c r="Q1548" s="122">
        <f>'FA Addition'!$P1548*'FA Addition'!$O1548</f>
        <v>1</v>
      </c>
      <c r="R1548" s="122"/>
      <c r="S1548" s="116">
        <f>IF(AND(DATE(20&amp;LEFT(FAAddition[[#This Row],[FY]],2),4,1)&lt;$L$1+1,DATE(20&amp;LEFT(FAAddition[[#This Row],[FY]],2),4,1)&gt;$P$1-1),'FA Addition'!$J1548,0)</f>
        <v>0</v>
      </c>
      <c r="U1548" s="117">
        <f>S1548*'FA Addition'!$L1548/'FA Addition'!$J1548</f>
        <v>0</v>
      </c>
      <c r="W1548" s="116">
        <f>SUMIFS('FA Write off'!D:D,'FA Write off'!A:A,'FA Addition'!$A1548,'FA Write off'!C:C,"&lt;"&amp;'FA Addition'!$P$1)</f>
        <v>0</v>
      </c>
      <c r="Y1548" s="191">
        <f>IFERROR(W1548/'FA Addition'!$J1548*'FA Addition'!$L1548,0)</f>
        <v>0</v>
      </c>
      <c r="AA1548" s="116">
        <f>SUMIFS('FA Write off'!D:D,'FA Write off'!A:A,'FA Addition'!$A1548,'FA Write off'!C:C,"&lt;"&amp;'FA Addition'!$L$1+1,'FA Write off'!C:C,"&gt;"&amp;'FA Addition'!$L$1-365)</f>
        <v>0</v>
      </c>
      <c r="AC1548" s="118">
        <f>IFERROR(AA1548/'FA Addition'!$J1548*'FA Addition'!$L1548,0)</f>
        <v>0</v>
      </c>
      <c r="AE1548" s="117">
        <f>IF(AND('FA Addition'!$D1548&lt;$P$1+1,U1548=0),'FA Addition'!$L1548,0)-Y1548</f>
        <v>0</v>
      </c>
      <c r="AF1548" s="117">
        <f t="shared" si="120"/>
        <v>0</v>
      </c>
      <c r="AG1548" s="117">
        <f>MIN(MAX(+$P$1-'FA Addition'!$D1548,0),365*'FA Addition'!$O1548)</f>
        <v>0</v>
      </c>
      <c r="AH1548" s="117">
        <f>MIN(MAX($L$1-'FA Addition'!$D1548+1,0),365*'FA Addition'!$O1548)</f>
        <v>0</v>
      </c>
      <c r="AI1548" s="117" cm="1">
        <f t="array" ref="AI1548">_xlfn.XLOOKUP(1,('FA Write off'!A:A='FA Addition'!$A1548)*('FA Write off'!D:D=AA1548),'FA Write off'!H:H,0,0)</f>
        <v>0</v>
      </c>
      <c r="AJ1548" s="117">
        <f>IF(AC1548&gt;0,MAX(IF('FA Addition'!$N1548="SLM",($AC1548-'FA Addition'!$M1548)*'FA Addition'!$P1548*AI1548/365,(AC1548-'FA Addition'!$M1548)*(1-(1-'FA Addition'!$P1548)^(AI1548/365))),0),0)</f>
        <v>0</v>
      </c>
      <c r="AL1548" s="117">
        <f>MAX(IF(AG1548&gt;0,IF('FA Addition'!$N1548="SLM",($AE1548-'FA Addition'!$M1548)*'FA Addition'!$P1548*AG1548/365,IFERROR(VDB(AE1548,AE1548*0.05,'FA Addition'!$O1548,0,YEARFRAC('FA Addition'!$C1548,$P$1-1,3),'FA Addition'!$Q1548),FAAddition[[#This Row],[Original Cost (Rs)]]-FAAddition[[#This Row],[Salvage Value]])),0),0)</f>
        <v>0</v>
      </c>
      <c r="AM1548" s="119"/>
      <c r="AN1548" s="117">
        <f>MAX(IF(AH1548&gt;0,IF('FA Addition'!$N1548="SLM",($AF1548-'FA Addition'!$M1548)*'FA Addition'!$P1548*AH1548/365,IFERROR(VDB(AF1548,AF1548*0.05,'FA Addition'!$O1548,0,YEARFRAC('FA Addition'!$C1548,$L$1,3),'FA Addition'!$Q1548),FAAddition[[#This Row],[Original Cost (Rs)]]-FAAddition[[#This Row],[Salvage Value]])),0),0)</f>
        <v>0</v>
      </c>
      <c r="AO1548" s="117">
        <f t="shared" si="123"/>
        <v>0</v>
      </c>
      <c r="AQ1548" s="117">
        <f t="shared" si="121"/>
        <v>0</v>
      </c>
      <c r="AR1548" s="120">
        <f t="shared" si="122"/>
        <v>0</v>
      </c>
      <c r="AS1548" s="121"/>
    </row>
    <row r="1549" spans="1:45" ht="13.5" x14ac:dyDescent="0.4">
      <c r="A1549" s="12">
        <f t="shared" si="124"/>
        <v>1546</v>
      </c>
      <c r="B1549" s="64" t="s">
        <v>10</v>
      </c>
      <c r="C1549" s="54">
        <v>45933</v>
      </c>
      <c r="D1549" s="54">
        <v>45926</v>
      </c>
      <c r="E1549" s="46" t="s">
        <v>749</v>
      </c>
      <c r="F1549" s="51" t="s">
        <v>74</v>
      </c>
      <c r="G1549" s="51" t="s">
        <v>169</v>
      </c>
      <c r="H1549" s="51" t="s">
        <v>187</v>
      </c>
      <c r="I1549" s="55" t="s">
        <v>188</v>
      </c>
      <c r="J1549" s="56">
        <v>1</v>
      </c>
      <c r="K1549" s="51" t="s">
        <v>344</v>
      </c>
      <c r="L1549" s="58">
        <v>20500</v>
      </c>
      <c r="M1549" s="50">
        <f>ROUND('FA Addition'!$L1549*5%,0.1)</f>
        <v>1025</v>
      </c>
      <c r="N1549" s="113" t="str">
        <f>_xlfn.XLOOKUP(_xlfn.CONCAT(E1549,B1549),'Year Wise Master Dep Approach'!F:F,'Year Wise Master Dep Approach'!D:D)</f>
        <v>WDV</v>
      </c>
      <c r="O1549" s="113">
        <f>_xlfn.XLOOKUP(_xlfn.CONCAT(E1549,B1549),'Year Wise Master Dep Approach'!F:F,'Year Wise Master Dep Approach'!E:E)</f>
        <v>5</v>
      </c>
      <c r="P1549" s="114">
        <f>IFERROR(IF('FA Addition'!$N1549="WDV",1-('FA Addition'!$M1549/'FA Addition'!$L1549)^(1/'FA Addition'!$O1549),1/'FA Addition'!$O1549),0)</f>
        <v>0.45071972834694107</v>
      </c>
      <c r="Q1549" s="122">
        <f>'FA Addition'!$P1549*'FA Addition'!$O1549</f>
        <v>2.2535986417347056</v>
      </c>
      <c r="R1549" s="122"/>
      <c r="S1549" s="116">
        <f>IF(AND(DATE(20&amp;LEFT(FAAddition[[#This Row],[FY]],2),4,1)&lt;$L$1+1,DATE(20&amp;LEFT(FAAddition[[#This Row],[FY]],2),4,1)&gt;$P$1-1),'FA Addition'!$J1549,0)</f>
        <v>0</v>
      </c>
      <c r="U1549" s="117">
        <f>S1549*'FA Addition'!$L1549/'FA Addition'!$J1549</f>
        <v>0</v>
      </c>
      <c r="W1549" s="116">
        <f>SUMIFS('FA Write off'!D:D,'FA Write off'!A:A,'FA Addition'!$A1549,'FA Write off'!C:C,"&lt;"&amp;'FA Addition'!$P$1)</f>
        <v>0</v>
      </c>
      <c r="Y1549" s="191">
        <f>IFERROR(W1549/'FA Addition'!$J1549*'FA Addition'!$L1549,0)</f>
        <v>0</v>
      </c>
      <c r="AA1549" s="116">
        <f>SUMIFS('FA Write off'!D:D,'FA Write off'!A:A,'FA Addition'!$A1549,'FA Write off'!C:C,"&lt;"&amp;'FA Addition'!$L$1+1,'FA Write off'!C:C,"&gt;"&amp;'FA Addition'!$L$1-365)</f>
        <v>0</v>
      </c>
      <c r="AC1549" s="118">
        <f>IFERROR(AA1549/'FA Addition'!$J1549*'FA Addition'!$L1549,0)</f>
        <v>0</v>
      </c>
      <c r="AE1549" s="117">
        <f>IF(AND('FA Addition'!$D1549&lt;$P$1+1,U1549=0),'FA Addition'!$L1549,0)-Y1549</f>
        <v>0</v>
      </c>
      <c r="AF1549" s="117">
        <f t="shared" si="120"/>
        <v>0</v>
      </c>
      <c r="AG1549" s="117">
        <f>MIN(MAX(+$P$1-'FA Addition'!$D1549,0),365*'FA Addition'!$O1549)</f>
        <v>0</v>
      </c>
      <c r="AH1549" s="117">
        <f>MIN(MAX($L$1-'FA Addition'!$D1549+1,0),365*'FA Addition'!$O1549)</f>
        <v>0</v>
      </c>
      <c r="AI1549" s="117" cm="1">
        <f t="array" ref="AI1549">_xlfn.XLOOKUP(1,('FA Write off'!A:A='FA Addition'!$A1549)*('FA Write off'!D:D=AA1549),'FA Write off'!H:H,0,0)</f>
        <v>0</v>
      </c>
      <c r="AJ1549" s="117">
        <f>IF(AC1549&gt;0,MAX(IF('FA Addition'!$N1549="SLM",($AC1549-'FA Addition'!$M1549)*'FA Addition'!$P1549*AI1549/365,(AC1549-'FA Addition'!$M1549)*(1-(1-'FA Addition'!$P1549)^(AI1549/365))),0),0)</f>
        <v>0</v>
      </c>
      <c r="AL1549" s="117">
        <f>MAX(IF(AG1549&gt;0,IF('FA Addition'!$N1549="SLM",($AE1549-'FA Addition'!$M1549)*'FA Addition'!$P1549*AG1549/365,IFERROR(VDB(AE1549,AE1549*0.05,'FA Addition'!$O1549,0,YEARFRAC('FA Addition'!$C1549,$P$1-1,3),'FA Addition'!$Q1549),FAAddition[[#This Row],[Original Cost (Rs)]]-FAAddition[[#This Row],[Salvage Value]])),0),0)</f>
        <v>0</v>
      </c>
      <c r="AM1549" s="119"/>
      <c r="AN1549" s="117">
        <f>MAX(IF(AH1549&gt;0,IF('FA Addition'!$N1549="SLM",($AF1549-'FA Addition'!$M1549)*'FA Addition'!$P1549*AH1549/365,IFERROR(VDB(AF1549,AF1549*0.05,'FA Addition'!$O1549,0,YEARFRAC('FA Addition'!$C1549,$L$1,3),'FA Addition'!$Q1549),FAAddition[[#This Row],[Original Cost (Rs)]]-FAAddition[[#This Row],[Salvage Value]])),0),0)</f>
        <v>0</v>
      </c>
      <c r="AO1549" s="117">
        <f t="shared" si="123"/>
        <v>0</v>
      </c>
      <c r="AQ1549" s="117">
        <f t="shared" si="121"/>
        <v>0</v>
      </c>
      <c r="AR1549" s="120">
        <f t="shared" si="122"/>
        <v>0</v>
      </c>
      <c r="AS1549" s="121"/>
    </row>
    <row r="1550" spans="1:45" ht="13.5" x14ac:dyDescent="0.4">
      <c r="A1550" s="12">
        <f t="shared" si="124"/>
        <v>1547</v>
      </c>
      <c r="B1550" s="64" t="s">
        <v>10</v>
      </c>
      <c r="C1550" s="54">
        <v>45960</v>
      </c>
      <c r="D1550" s="54">
        <v>45960</v>
      </c>
      <c r="E1550" s="46" t="s">
        <v>451</v>
      </c>
      <c r="F1550" s="51" t="s">
        <v>19</v>
      </c>
      <c r="G1550" s="51" t="s">
        <v>169</v>
      </c>
      <c r="H1550" s="51" t="s">
        <v>189</v>
      </c>
      <c r="I1550" s="55" t="s">
        <v>190</v>
      </c>
      <c r="J1550" s="56">
        <v>1</v>
      </c>
      <c r="K1550" s="51" t="s">
        <v>345</v>
      </c>
      <c r="L1550" s="58">
        <v>13200</v>
      </c>
      <c r="M1550" s="50">
        <f>ROUND('FA Addition'!$L1550*5%,0.1)</f>
        <v>660</v>
      </c>
      <c r="N1550" s="113" t="str">
        <f>_xlfn.XLOOKUP(_xlfn.CONCAT(E1550,B1550),'Year Wise Master Dep Approach'!F:F,'Year Wise Master Dep Approach'!D:D)</f>
        <v>WDV</v>
      </c>
      <c r="O1550" s="113">
        <f>_xlfn.XLOOKUP(_xlfn.CONCAT(E1550,B1550),'Year Wise Master Dep Approach'!F:F,'Year Wise Master Dep Approach'!E:E)</f>
        <v>3</v>
      </c>
      <c r="P1550" s="114">
        <f>IFERROR(IF('FA Addition'!$N1550="WDV",1-('FA Addition'!$M1550/'FA Addition'!$L1550)^(1/'FA Addition'!$O1550),1/'FA Addition'!$O1550),0)</f>
        <v>0.63159685013596123</v>
      </c>
      <c r="Q1550" s="122">
        <f>'FA Addition'!$P1550*'FA Addition'!$O1550</f>
        <v>1.8947905504078837</v>
      </c>
      <c r="R1550" s="122"/>
      <c r="S1550" s="116">
        <f>IF(AND(DATE(20&amp;LEFT(FAAddition[[#This Row],[FY]],2),4,1)&lt;$L$1+1,DATE(20&amp;LEFT(FAAddition[[#This Row],[FY]],2),4,1)&gt;$P$1-1),'FA Addition'!$J1550,0)</f>
        <v>0</v>
      </c>
      <c r="U1550" s="117">
        <f>S1550*'FA Addition'!$L1550/'FA Addition'!$J1550</f>
        <v>0</v>
      </c>
      <c r="W1550" s="116">
        <f>SUMIFS('FA Write off'!D:D,'FA Write off'!A:A,'FA Addition'!$A1550,'FA Write off'!C:C,"&lt;"&amp;'FA Addition'!$P$1)</f>
        <v>0</v>
      </c>
      <c r="Y1550" s="191">
        <f>IFERROR(W1550/'FA Addition'!$J1550*'FA Addition'!$L1550,0)</f>
        <v>0</v>
      </c>
      <c r="AA1550" s="116">
        <f>SUMIFS('FA Write off'!D:D,'FA Write off'!A:A,'FA Addition'!$A1550,'FA Write off'!C:C,"&lt;"&amp;'FA Addition'!$L$1+1,'FA Write off'!C:C,"&gt;"&amp;'FA Addition'!$L$1-365)</f>
        <v>0</v>
      </c>
      <c r="AC1550" s="118">
        <f>IFERROR(AA1550/'FA Addition'!$J1550*'FA Addition'!$L1550,0)</f>
        <v>0</v>
      </c>
      <c r="AE1550" s="117">
        <f>IF(AND('FA Addition'!$D1550&lt;$P$1+1,U1550=0),'FA Addition'!$L1550,0)-Y1550</f>
        <v>0</v>
      </c>
      <c r="AF1550" s="117">
        <f t="shared" si="120"/>
        <v>0</v>
      </c>
      <c r="AG1550" s="117">
        <f>MIN(MAX(+$P$1-'FA Addition'!$D1550,0),365*'FA Addition'!$O1550)</f>
        <v>0</v>
      </c>
      <c r="AH1550" s="117">
        <f>MIN(MAX($L$1-'FA Addition'!$D1550+1,0),365*'FA Addition'!$O1550)</f>
        <v>0</v>
      </c>
      <c r="AI1550" s="117" cm="1">
        <f t="array" ref="AI1550">_xlfn.XLOOKUP(1,('FA Write off'!A:A='FA Addition'!$A1550)*('FA Write off'!D:D=AA1550),'FA Write off'!H:H,0,0)</f>
        <v>0</v>
      </c>
      <c r="AJ1550" s="117">
        <f>IF(AC1550&gt;0,MAX(IF('FA Addition'!$N1550="SLM",($AC1550-'FA Addition'!$M1550)*'FA Addition'!$P1550*AI1550/365,(AC1550-'FA Addition'!$M1550)*(1-(1-'FA Addition'!$P1550)^(AI1550/365))),0),0)</f>
        <v>0</v>
      </c>
      <c r="AL1550" s="117">
        <f>MAX(IF(AG1550&gt;0,IF('FA Addition'!$N1550="SLM",($AE1550-'FA Addition'!$M1550)*'FA Addition'!$P1550*AG1550/365,IFERROR(VDB(AE1550,AE1550*0.05,'FA Addition'!$O1550,0,YEARFRAC('FA Addition'!$C1550,$P$1-1,3),'FA Addition'!$Q1550),FAAddition[[#This Row],[Original Cost (Rs)]]-FAAddition[[#This Row],[Salvage Value]])),0),0)</f>
        <v>0</v>
      </c>
      <c r="AM1550" s="119"/>
      <c r="AN1550" s="117">
        <f>MAX(IF(AH1550&gt;0,IF('FA Addition'!$N1550="SLM",($AF1550-'FA Addition'!$M1550)*'FA Addition'!$P1550*AH1550/365,IFERROR(VDB(AF1550,AF1550*0.05,'FA Addition'!$O1550,0,YEARFRAC('FA Addition'!$C1550,$L$1,3),'FA Addition'!$Q1550),FAAddition[[#This Row],[Original Cost (Rs)]]-FAAddition[[#This Row],[Salvage Value]])),0),0)</f>
        <v>0</v>
      </c>
      <c r="AO1550" s="117">
        <f t="shared" si="123"/>
        <v>0</v>
      </c>
      <c r="AQ1550" s="117">
        <f t="shared" si="121"/>
        <v>0</v>
      </c>
      <c r="AR1550" s="120">
        <f t="shared" si="122"/>
        <v>0</v>
      </c>
      <c r="AS1550" s="121"/>
    </row>
    <row r="1551" spans="1:45" ht="13.5" x14ac:dyDescent="0.4">
      <c r="A1551" s="12">
        <f t="shared" si="124"/>
        <v>1548</v>
      </c>
      <c r="B1551" s="64" t="s">
        <v>10</v>
      </c>
      <c r="C1551" s="54">
        <v>45960</v>
      </c>
      <c r="D1551" s="54">
        <v>45960</v>
      </c>
      <c r="E1551" s="46" t="s">
        <v>451</v>
      </c>
      <c r="F1551" s="51" t="s">
        <v>19</v>
      </c>
      <c r="G1551" s="51" t="s">
        <v>169</v>
      </c>
      <c r="H1551" s="51" t="s">
        <v>151</v>
      </c>
      <c r="I1551" s="55" t="s">
        <v>190</v>
      </c>
      <c r="J1551" s="56">
        <v>1</v>
      </c>
      <c r="K1551" s="51" t="s">
        <v>346</v>
      </c>
      <c r="L1551" s="58">
        <v>12600</v>
      </c>
      <c r="M1551" s="50">
        <f>ROUND('FA Addition'!$L1551*5%,0.1)</f>
        <v>630</v>
      </c>
      <c r="N1551" s="113" t="str">
        <f>_xlfn.XLOOKUP(_xlfn.CONCAT(E1551,B1551),'Year Wise Master Dep Approach'!F:F,'Year Wise Master Dep Approach'!D:D)</f>
        <v>WDV</v>
      </c>
      <c r="O1551" s="113">
        <f>_xlfn.XLOOKUP(_xlfn.CONCAT(E1551,B1551),'Year Wise Master Dep Approach'!F:F,'Year Wise Master Dep Approach'!E:E)</f>
        <v>3</v>
      </c>
      <c r="P1551" s="114">
        <f>IFERROR(IF('FA Addition'!$N1551="WDV",1-('FA Addition'!$M1551/'FA Addition'!$L1551)^(1/'FA Addition'!$O1551),1/'FA Addition'!$O1551),0)</f>
        <v>0.63159685013596123</v>
      </c>
      <c r="Q1551" s="122">
        <f>'FA Addition'!$P1551*'FA Addition'!$O1551</f>
        <v>1.8947905504078837</v>
      </c>
      <c r="R1551" s="122"/>
      <c r="S1551" s="116">
        <f>IF(AND(DATE(20&amp;LEFT(FAAddition[[#This Row],[FY]],2),4,1)&lt;$L$1+1,DATE(20&amp;LEFT(FAAddition[[#This Row],[FY]],2),4,1)&gt;$P$1-1),'FA Addition'!$J1551,0)</f>
        <v>0</v>
      </c>
      <c r="U1551" s="117">
        <f>S1551*'FA Addition'!$L1551/'FA Addition'!$J1551</f>
        <v>0</v>
      </c>
      <c r="W1551" s="116">
        <f>SUMIFS('FA Write off'!D:D,'FA Write off'!A:A,'FA Addition'!$A1551,'FA Write off'!C:C,"&lt;"&amp;'FA Addition'!$P$1)</f>
        <v>0</v>
      </c>
      <c r="Y1551" s="191">
        <f>IFERROR(W1551/'FA Addition'!$J1551*'FA Addition'!$L1551,0)</f>
        <v>0</v>
      </c>
      <c r="AA1551" s="116">
        <f>SUMIFS('FA Write off'!D:D,'FA Write off'!A:A,'FA Addition'!$A1551,'FA Write off'!C:C,"&lt;"&amp;'FA Addition'!$L$1+1,'FA Write off'!C:C,"&gt;"&amp;'FA Addition'!$L$1-365)</f>
        <v>0</v>
      </c>
      <c r="AC1551" s="118">
        <f>IFERROR(AA1551/'FA Addition'!$J1551*'FA Addition'!$L1551,0)</f>
        <v>0</v>
      </c>
      <c r="AE1551" s="117">
        <f>IF(AND('FA Addition'!$D1551&lt;$P$1+1,U1551=0),'FA Addition'!$L1551,0)-Y1551</f>
        <v>0</v>
      </c>
      <c r="AF1551" s="117">
        <f t="shared" si="120"/>
        <v>0</v>
      </c>
      <c r="AG1551" s="117">
        <f>MIN(MAX(+$P$1-'FA Addition'!$D1551,0),365*'FA Addition'!$O1551)</f>
        <v>0</v>
      </c>
      <c r="AH1551" s="117">
        <f>MIN(MAX($L$1-'FA Addition'!$D1551+1,0),365*'FA Addition'!$O1551)</f>
        <v>0</v>
      </c>
      <c r="AI1551" s="117" cm="1">
        <f t="array" ref="AI1551">_xlfn.XLOOKUP(1,('FA Write off'!A:A='FA Addition'!$A1551)*('FA Write off'!D:D=AA1551),'FA Write off'!H:H,0,0)</f>
        <v>0</v>
      </c>
      <c r="AJ1551" s="117">
        <f>IF(AC1551&gt;0,MAX(IF('FA Addition'!$N1551="SLM",($AC1551-'FA Addition'!$M1551)*'FA Addition'!$P1551*AI1551/365,(AC1551-'FA Addition'!$M1551)*(1-(1-'FA Addition'!$P1551)^(AI1551/365))),0),0)</f>
        <v>0</v>
      </c>
      <c r="AL1551" s="117">
        <f>MAX(IF(AG1551&gt;0,IF('FA Addition'!$N1551="SLM",($AE1551-'FA Addition'!$M1551)*'FA Addition'!$P1551*AG1551/365,IFERROR(VDB(AE1551,AE1551*0.05,'FA Addition'!$O1551,0,YEARFRAC('FA Addition'!$C1551,$P$1-1,3),'FA Addition'!$Q1551),FAAddition[[#This Row],[Original Cost (Rs)]]-FAAddition[[#This Row],[Salvage Value]])),0),0)</f>
        <v>0</v>
      </c>
      <c r="AM1551" s="119"/>
      <c r="AN1551" s="117">
        <f>MAX(IF(AH1551&gt;0,IF('FA Addition'!$N1551="SLM",($AF1551-'FA Addition'!$M1551)*'FA Addition'!$P1551*AH1551/365,IFERROR(VDB(AF1551,AF1551*0.05,'FA Addition'!$O1551,0,YEARFRAC('FA Addition'!$C1551,$L$1,3),'FA Addition'!$Q1551),FAAddition[[#This Row],[Original Cost (Rs)]]-FAAddition[[#This Row],[Salvage Value]])),0),0)</f>
        <v>0</v>
      </c>
      <c r="AO1551" s="117">
        <f t="shared" si="123"/>
        <v>0</v>
      </c>
      <c r="AQ1551" s="117">
        <f t="shared" si="121"/>
        <v>0</v>
      </c>
      <c r="AR1551" s="120">
        <f t="shared" si="122"/>
        <v>0</v>
      </c>
      <c r="AS1551" s="121"/>
    </row>
    <row r="1552" spans="1:45" ht="13.5" x14ac:dyDescent="0.4">
      <c r="A1552" s="12">
        <f t="shared" si="124"/>
        <v>1549</v>
      </c>
      <c r="B1552" s="64" t="s">
        <v>10</v>
      </c>
      <c r="C1552" s="54">
        <v>45962</v>
      </c>
      <c r="D1552" s="54">
        <v>45962</v>
      </c>
      <c r="E1552" s="46" t="s">
        <v>451</v>
      </c>
      <c r="F1552" s="51" t="s">
        <v>19</v>
      </c>
      <c r="G1552" s="51" t="s">
        <v>169</v>
      </c>
      <c r="H1552" s="51" t="s">
        <v>151</v>
      </c>
      <c r="I1552" s="55" t="s">
        <v>191</v>
      </c>
      <c r="J1552" s="56">
        <v>1</v>
      </c>
      <c r="K1552" s="51" t="s">
        <v>347</v>
      </c>
      <c r="L1552" s="58">
        <v>12600</v>
      </c>
      <c r="M1552" s="50">
        <f>ROUND('FA Addition'!$L1552*5%,0.1)</f>
        <v>630</v>
      </c>
      <c r="N1552" s="113" t="str">
        <f>_xlfn.XLOOKUP(_xlfn.CONCAT(E1552,B1552),'Year Wise Master Dep Approach'!F:F,'Year Wise Master Dep Approach'!D:D)</f>
        <v>WDV</v>
      </c>
      <c r="O1552" s="113">
        <f>_xlfn.XLOOKUP(_xlfn.CONCAT(E1552,B1552),'Year Wise Master Dep Approach'!F:F,'Year Wise Master Dep Approach'!E:E)</f>
        <v>3</v>
      </c>
      <c r="P1552" s="114">
        <f>IFERROR(IF('FA Addition'!$N1552="WDV",1-('FA Addition'!$M1552/'FA Addition'!$L1552)^(1/'FA Addition'!$O1552),1/'FA Addition'!$O1552),0)</f>
        <v>0.63159685013596123</v>
      </c>
      <c r="Q1552" s="122">
        <f>'FA Addition'!$P1552*'FA Addition'!$O1552</f>
        <v>1.8947905504078837</v>
      </c>
      <c r="R1552" s="122"/>
      <c r="S1552" s="116">
        <f>IF(AND(DATE(20&amp;LEFT(FAAddition[[#This Row],[FY]],2),4,1)&lt;$L$1+1,DATE(20&amp;LEFT(FAAddition[[#This Row],[FY]],2),4,1)&gt;$P$1-1),'FA Addition'!$J1552,0)</f>
        <v>0</v>
      </c>
      <c r="U1552" s="117">
        <f>S1552*'FA Addition'!$L1552/'FA Addition'!$J1552</f>
        <v>0</v>
      </c>
      <c r="W1552" s="116">
        <f>SUMIFS('FA Write off'!D:D,'FA Write off'!A:A,'FA Addition'!$A1552,'FA Write off'!C:C,"&lt;"&amp;'FA Addition'!$P$1)</f>
        <v>0</v>
      </c>
      <c r="Y1552" s="191">
        <f>IFERROR(W1552/'FA Addition'!$J1552*'FA Addition'!$L1552,0)</f>
        <v>0</v>
      </c>
      <c r="AA1552" s="116">
        <f>SUMIFS('FA Write off'!D:D,'FA Write off'!A:A,'FA Addition'!$A1552,'FA Write off'!C:C,"&lt;"&amp;'FA Addition'!$L$1+1,'FA Write off'!C:C,"&gt;"&amp;'FA Addition'!$L$1-365)</f>
        <v>0</v>
      </c>
      <c r="AC1552" s="118">
        <f>IFERROR(AA1552/'FA Addition'!$J1552*'FA Addition'!$L1552,0)</f>
        <v>0</v>
      </c>
      <c r="AE1552" s="117">
        <f>IF(AND('FA Addition'!$D1552&lt;$P$1+1,U1552=0),'FA Addition'!$L1552,0)-Y1552</f>
        <v>0</v>
      </c>
      <c r="AF1552" s="117">
        <f t="shared" si="120"/>
        <v>0</v>
      </c>
      <c r="AG1552" s="117">
        <f>MIN(MAX(+$P$1-'FA Addition'!$D1552,0),365*'FA Addition'!$O1552)</f>
        <v>0</v>
      </c>
      <c r="AH1552" s="117">
        <f>MIN(MAX($L$1-'FA Addition'!$D1552+1,0),365*'FA Addition'!$O1552)</f>
        <v>0</v>
      </c>
      <c r="AI1552" s="117" cm="1">
        <f t="array" ref="AI1552">_xlfn.XLOOKUP(1,('FA Write off'!A:A='FA Addition'!$A1552)*('FA Write off'!D:D=AA1552),'FA Write off'!H:H,0,0)</f>
        <v>0</v>
      </c>
      <c r="AJ1552" s="117">
        <f>IF(AC1552&gt;0,MAX(IF('FA Addition'!$N1552="SLM",($AC1552-'FA Addition'!$M1552)*'FA Addition'!$P1552*AI1552/365,(AC1552-'FA Addition'!$M1552)*(1-(1-'FA Addition'!$P1552)^(AI1552/365))),0),0)</f>
        <v>0</v>
      </c>
      <c r="AL1552" s="117">
        <f>MAX(IF(AG1552&gt;0,IF('FA Addition'!$N1552="SLM",($AE1552-'FA Addition'!$M1552)*'FA Addition'!$P1552*AG1552/365,IFERROR(VDB(AE1552,AE1552*0.05,'FA Addition'!$O1552,0,YEARFRAC('FA Addition'!$C1552,$P$1-1,3),'FA Addition'!$Q1552),FAAddition[[#This Row],[Original Cost (Rs)]]-FAAddition[[#This Row],[Salvage Value]])),0),0)</f>
        <v>0</v>
      </c>
      <c r="AM1552" s="119"/>
      <c r="AN1552" s="117">
        <f>MAX(IF(AH1552&gt;0,IF('FA Addition'!$N1552="SLM",($AF1552-'FA Addition'!$M1552)*'FA Addition'!$P1552*AH1552/365,IFERROR(VDB(AF1552,AF1552*0.05,'FA Addition'!$O1552,0,YEARFRAC('FA Addition'!$C1552,$L$1,3),'FA Addition'!$Q1552),FAAddition[[#This Row],[Original Cost (Rs)]]-FAAddition[[#This Row],[Salvage Value]])),0),0)</f>
        <v>0</v>
      </c>
      <c r="AO1552" s="117">
        <f t="shared" si="123"/>
        <v>0</v>
      </c>
      <c r="AQ1552" s="117">
        <f t="shared" si="121"/>
        <v>0</v>
      </c>
      <c r="AR1552" s="120">
        <f t="shared" si="122"/>
        <v>0</v>
      </c>
      <c r="AS1552" s="121"/>
    </row>
    <row r="1553" spans="1:45" ht="13.5" x14ac:dyDescent="0.4">
      <c r="A1553" s="12">
        <f t="shared" si="124"/>
        <v>1550</v>
      </c>
      <c r="B1553" s="64" t="s">
        <v>10</v>
      </c>
      <c r="C1553" s="54">
        <v>45966</v>
      </c>
      <c r="D1553" s="54">
        <v>45966</v>
      </c>
      <c r="E1553" s="46" t="s">
        <v>451</v>
      </c>
      <c r="F1553" s="51" t="s">
        <v>19</v>
      </c>
      <c r="G1553" s="51" t="s">
        <v>169</v>
      </c>
      <c r="H1553" s="51" t="s">
        <v>151</v>
      </c>
      <c r="I1553" s="55" t="s">
        <v>192</v>
      </c>
      <c r="J1553" s="56">
        <v>1</v>
      </c>
      <c r="K1553" s="51" t="s">
        <v>348</v>
      </c>
      <c r="L1553" s="58">
        <v>12600</v>
      </c>
      <c r="M1553" s="50">
        <f>ROUND('FA Addition'!$L1553*5%,0.1)</f>
        <v>630</v>
      </c>
      <c r="N1553" s="113" t="str">
        <f>_xlfn.XLOOKUP(_xlfn.CONCAT(E1553,B1553),'Year Wise Master Dep Approach'!F:F,'Year Wise Master Dep Approach'!D:D)</f>
        <v>WDV</v>
      </c>
      <c r="O1553" s="113">
        <f>_xlfn.XLOOKUP(_xlfn.CONCAT(E1553,B1553),'Year Wise Master Dep Approach'!F:F,'Year Wise Master Dep Approach'!E:E)</f>
        <v>3</v>
      </c>
      <c r="P1553" s="114">
        <f>IFERROR(IF('FA Addition'!$N1553="WDV",1-('FA Addition'!$M1553/'FA Addition'!$L1553)^(1/'FA Addition'!$O1553),1/'FA Addition'!$O1553),0)</f>
        <v>0.63159685013596123</v>
      </c>
      <c r="Q1553" s="122">
        <f>'FA Addition'!$P1553*'FA Addition'!$O1553</f>
        <v>1.8947905504078837</v>
      </c>
      <c r="R1553" s="122"/>
      <c r="S1553" s="116">
        <f>IF(AND(DATE(20&amp;LEFT(FAAddition[[#This Row],[FY]],2),4,1)&lt;$L$1+1,DATE(20&amp;LEFT(FAAddition[[#This Row],[FY]],2),4,1)&gt;$P$1-1),'FA Addition'!$J1553,0)</f>
        <v>0</v>
      </c>
      <c r="U1553" s="117">
        <f>S1553*'FA Addition'!$L1553/'FA Addition'!$J1553</f>
        <v>0</v>
      </c>
      <c r="W1553" s="116">
        <f>SUMIFS('FA Write off'!D:D,'FA Write off'!A:A,'FA Addition'!$A1553,'FA Write off'!C:C,"&lt;"&amp;'FA Addition'!$P$1)</f>
        <v>0</v>
      </c>
      <c r="Y1553" s="191">
        <f>IFERROR(W1553/'FA Addition'!$J1553*'FA Addition'!$L1553,0)</f>
        <v>0</v>
      </c>
      <c r="AA1553" s="116">
        <f>SUMIFS('FA Write off'!D:D,'FA Write off'!A:A,'FA Addition'!$A1553,'FA Write off'!C:C,"&lt;"&amp;'FA Addition'!$L$1+1,'FA Write off'!C:C,"&gt;"&amp;'FA Addition'!$L$1-365)</f>
        <v>0</v>
      </c>
      <c r="AC1553" s="118">
        <f>IFERROR(AA1553/'FA Addition'!$J1553*'FA Addition'!$L1553,0)</f>
        <v>0</v>
      </c>
      <c r="AE1553" s="117">
        <f>IF(AND('FA Addition'!$D1553&lt;$P$1+1,U1553=0),'FA Addition'!$L1553,0)-Y1553</f>
        <v>0</v>
      </c>
      <c r="AF1553" s="117">
        <f t="shared" si="120"/>
        <v>0</v>
      </c>
      <c r="AG1553" s="117">
        <f>MIN(MAX(+$P$1-'FA Addition'!$D1553,0),365*'FA Addition'!$O1553)</f>
        <v>0</v>
      </c>
      <c r="AH1553" s="117">
        <f>MIN(MAX($L$1-'FA Addition'!$D1553+1,0),365*'FA Addition'!$O1553)</f>
        <v>0</v>
      </c>
      <c r="AI1553" s="117" cm="1">
        <f t="array" ref="AI1553">_xlfn.XLOOKUP(1,('FA Write off'!A:A='FA Addition'!$A1553)*('FA Write off'!D:D=AA1553),'FA Write off'!H:H,0,0)</f>
        <v>0</v>
      </c>
      <c r="AJ1553" s="117">
        <f>IF(AC1553&gt;0,MAX(IF('FA Addition'!$N1553="SLM",($AC1553-'FA Addition'!$M1553)*'FA Addition'!$P1553*AI1553/365,(AC1553-'FA Addition'!$M1553)*(1-(1-'FA Addition'!$P1553)^(AI1553/365))),0),0)</f>
        <v>0</v>
      </c>
      <c r="AL1553" s="117">
        <f>MAX(IF(AG1553&gt;0,IF('FA Addition'!$N1553="SLM",($AE1553-'FA Addition'!$M1553)*'FA Addition'!$P1553*AG1553/365,IFERROR(VDB(AE1553,AE1553*0.05,'FA Addition'!$O1553,0,YEARFRAC('FA Addition'!$C1553,$P$1-1,3),'FA Addition'!$Q1553),FAAddition[[#This Row],[Original Cost (Rs)]]-FAAddition[[#This Row],[Salvage Value]])),0),0)</f>
        <v>0</v>
      </c>
      <c r="AM1553" s="119"/>
      <c r="AN1553" s="117">
        <f>MAX(IF(AH1553&gt;0,IF('FA Addition'!$N1553="SLM",($AF1553-'FA Addition'!$M1553)*'FA Addition'!$P1553*AH1553/365,IFERROR(VDB(AF1553,AF1553*0.05,'FA Addition'!$O1553,0,YEARFRAC('FA Addition'!$C1553,$L$1,3),'FA Addition'!$Q1553),FAAddition[[#This Row],[Original Cost (Rs)]]-FAAddition[[#This Row],[Salvage Value]])),0),0)</f>
        <v>0</v>
      </c>
      <c r="AO1553" s="117">
        <f t="shared" si="123"/>
        <v>0</v>
      </c>
      <c r="AQ1553" s="117">
        <f t="shared" si="121"/>
        <v>0</v>
      </c>
      <c r="AR1553" s="120">
        <f t="shared" si="122"/>
        <v>0</v>
      </c>
      <c r="AS1553" s="121"/>
    </row>
    <row r="1554" spans="1:45" ht="13.5" x14ac:dyDescent="0.4">
      <c r="A1554" s="12">
        <f t="shared" si="124"/>
        <v>1551</v>
      </c>
      <c r="B1554" s="64" t="s">
        <v>10</v>
      </c>
      <c r="C1554" s="54">
        <v>45988</v>
      </c>
      <c r="D1554" s="54">
        <v>45988</v>
      </c>
      <c r="E1554" s="46" t="s">
        <v>523</v>
      </c>
      <c r="F1554" s="51" t="s">
        <v>11</v>
      </c>
      <c r="G1554" s="51" t="s">
        <v>182</v>
      </c>
      <c r="H1554" s="51" t="s">
        <v>193</v>
      </c>
      <c r="I1554" s="55" t="s">
        <v>194</v>
      </c>
      <c r="J1554" s="56">
        <v>120</v>
      </c>
      <c r="K1554" s="51" t="s">
        <v>2085</v>
      </c>
      <c r="L1554" s="58">
        <v>1699200</v>
      </c>
      <c r="M1554" s="50">
        <f>ROUND('FA Addition'!$L1554*5%,0.1)</f>
        <v>84960</v>
      </c>
      <c r="N1554" s="113" t="str">
        <f>_xlfn.XLOOKUP(_xlfn.CONCAT(E1554,B1554),'Year Wise Master Dep Approach'!F:F,'Year Wise Master Dep Approach'!D:D)</f>
        <v>WDV</v>
      </c>
      <c r="O1554" s="113">
        <f>_xlfn.XLOOKUP(_xlfn.CONCAT(E1554,B1554),'Year Wise Master Dep Approach'!F:F,'Year Wise Master Dep Approach'!E:E)</f>
        <v>10</v>
      </c>
      <c r="P1554" s="114">
        <f>IFERROR(IF('FA Addition'!$N1554="WDV",1-('FA Addition'!$M1554/'FA Addition'!$L1554)^(1/'FA Addition'!$O1554),1/'FA Addition'!$O1554),0)</f>
        <v>0.2588655508930523</v>
      </c>
      <c r="Q1554" s="122">
        <f>'FA Addition'!$P1554*'FA Addition'!$O1554</f>
        <v>2.5886555089305228</v>
      </c>
      <c r="R1554" s="122"/>
      <c r="S1554" s="116">
        <f>IF(AND(DATE(20&amp;LEFT(FAAddition[[#This Row],[FY]],2),4,1)&lt;$L$1+1,DATE(20&amp;LEFT(FAAddition[[#This Row],[FY]],2),4,1)&gt;$P$1-1),'FA Addition'!$J1554,0)</f>
        <v>0</v>
      </c>
      <c r="U1554" s="117">
        <f>S1554*'FA Addition'!$L1554/'FA Addition'!$J1554</f>
        <v>0</v>
      </c>
      <c r="W1554" s="116">
        <f>SUMIFS('FA Write off'!D:D,'FA Write off'!A:A,'FA Addition'!$A1554,'FA Write off'!C:C,"&lt;"&amp;'FA Addition'!$P$1)</f>
        <v>0</v>
      </c>
      <c r="Y1554" s="191">
        <f>IFERROR(W1554/'FA Addition'!$J1554*'FA Addition'!$L1554,0)</f>
        <v>0</v>
      </c>
      <c r="AA1554" s="116">
        <f>SUMIFS('FA Write off'!D:D,'FA Write off'!A:A,'FA Addition'!$A1554,'FA Write off'!C:C,"&lt;"&amp;'FA Addition'!$L$1+1,'FA Write off'!C:C,"&gt;"&amp;'FA Addition'!$L$1-365)</f>
        <v>0</v>
      </c>
      <c r="AC1554" s="118">
        <f>IFERROR(AA1554/'FA Addition'!$J1554*'FA Addition'!$L1554,0)</f>
        <v>0</v>
      </c>
      <c r="AE1554" s="117">
        <f>IF(AND('FA Addition'!$D1554&lt;$P$1+1,U1554=0),'FA Addition'!$L1554,0)-Y1554</f>
        <v>0</v>
      </c>
      <c r="AF1554" s="117">
        <f t="shared" si="120"/>
        <v>0</v>
      </c>
      <c r="AG1554" s="117">
        <f>MIN(MAX(+$P$1-'FA Addition'!$D1554,0),365*'FA Addition'!$O1554)</f>
        <v>0</v>
      </c>
      <c r="AH1554" s="117">
        <f>MIN(MAX($L$1-'FA Addition'!$D1554+1,0),365*'FA Addition'!$O1554)</f>
        <v>0</v>
      </c>
      <c r="AI1554" s="117" cm="1">
        <f t="array" ref="AI1554">_xlfn.XLOOKUP(1,('FA Write off'!A:A='FA Addition'!$A1554)*('FA Write off'!D:D=AA1554),'FA Write off'!H:H,0,0)</f>
        <v>0</v>
      </c>
      <c r="AJ1554" s="117">
        <f>IF(AC1554&gt;0,MAX(IF('FA Addition'!$N1554="SLM",($AC1554-'FA Addition'!$M1554)*'FA Addition'!$P1554*AI1554/365,(AC1554-'FA Addition'!$M1554)*(1-(1-'FA Addition'!$P1554)^(AI1554/365))),0),0)</f>
        <v>0</v>
      </c>
      <c r="AL1554" s="117">
        <f>MAX(IF(AG1554&gt;0,IF('FA Addition'!$N1554="SLM",($AE1554-'FA Addition'!$M1554)*'FA Addition'!$P1554*AG1554/365,IFERROR(VDB(AE1554,AE1554*0.05,'FA Addition'!$O1554,0,YEARFRAC('FA Addition'!$C1554,$P$1-1,3),'FA Addition'!$Q1554),FAAddition[[#This Row],[Original Cost (Rs)]]-FAAddition[[#This Row],[Salvage Value]])),0),0)</f>
        <v>0</v>
      </c>
      <c r="AM1554" s="119"/>
      <c r="AN1554" s="117">
        <f>MAX(IF(AH1554&gt;0,IF('FA Addition'!$N1554="SLM",($AF1554-'FA Addition'!$M1554)*'FA Addition'!$P1554*AH1554/365,IFERROR(VDB(AF1554,AF1554*0.05,'FA Addition'!$O1554,0,YEARFRAC('FA Addition'!$C1554,$L$1,3),'FA Addition'!$Q1554),FAAddition[[#This Row],[Original Cost (Rs)]]-FAAddition[[#This Row],[Salvage Value]])),0),0)</f>
        <v>0</v>
      </c>
      <c r="AO1554" s="117">
        <f t="shared" si="123"/>
        <v>0</v>
      </c>
      <c r="AQ1554" s="117">
        <f t="shared" si="121"/>
        <v>0</v>
      </c>
      <c r="AR1554" s="120">
        <f t="shared" si="122"/>
        <v>0</v>
      </c>
      <c r="AS1554" s="121"/>
    </row>
    <row r="1555" spans="1:45" ht="13.5" x14ac:dyDescent="0.4">
      <c r="A1555" s="12">
        <f t="shared" si="124"/>
        <v>1552</v>
      </c>
      <c r="B1555" s="64" t="s">
        <v>10</v>
      </c>
      <c r="C1555" s="54">
        <v>45988</v>
      </c>
      <c r="D1555" s="54">
        <v>45988</v>
      </c>
      <c r="E1555" s="46" t="s">
        <v>523</v>
      </c>
      <c r="F1555" s="51" t="s">
        <v>11</v>
      </c>
      <c r="G1555" s="51" t="s">
        <v>182</v>
      </c>
      <c r="H1555" s="51" t="s">
        <v>195</v>
      </c>
      <c r="I1555" s="55" t="s">
        <v>194</v>
      </c>
      <c r="J1555" s="56">
        <v>20</v>
      </c>
      <c r="K1555" s="51" t="s">
        <v>2086</v>
      </c>
      <c r="L1555" s="58">
        <v>188800</v>
      </c>
      <c r="M1555" s="50">
        <f>ROUND('FA Addition'!$L1555*5%,0.1)</f>
        <v>9440</v>
      </c>
      <c r="N1555" s="113" t="str">
        <f>_xlfn.XLOOKUP(_xlfn.CONCAT(E1555,B1555),'Year Wise Master Dep Approach'!F:F,'Year Wise Master Dep Approach'!D:D)</f>
        <v>WDV</v>
      </c>
      <c r="O1555" s="113">
        <f>_xlfn.XLOOKUP(_xlfn.CONCAT(E1555,B1555),'Year Wise Master Dep Approach'!F:F,'Year Wise Master Dep Approach'!E:E)</f>
        <v>10</v>
      </c>
      <c r="P1555" s="114">
        <f>IFERROR(IF('FA Addition'!$N1555="WDV",1-('FA Addition'!$M1555/'FA Addition'!$L1555)^(1/'FA Addition'!$O1555),1/'FA Addition'!$O1555),0)</f>
        <v>0.2588655508930523</v>
      </c>
      <c r="Q1555" s="122">
        <f>'FA Addition'!$P1555*'FA Addition'!$O1555</f>
        <v>2.5886555089305228</v>
      </c>
      <c r="R1555" s="122"/>
      <c r="S1555" s="116">
        <f>IF(AND(DATE(20&amp;LEFT(FAAddition[[#This Row],[FY]],2),4,1)&lt;$L$1+1,DATE(20&amp;LEFT(FAAddition[[#This Row],[FY]],2),4,1)&gt;$P$1-1),'FA Addition'!$J1555,0)</f>
        <v>0</v>
      </c>
      <c r="U1555" s="117">
        <f>S1555*'FA Addition'!$L1555/'FA Addition'!$J1555</f>
        <v>0</v>
      </c>
      <c r="W1555" s="116">
        <f>SUMIFS('FA Write off'!D:D,'FA Write off'!A:A,'FA Addition'!$A1555,'FA Write off'!C:C,"&lt;"&amp;'FA Addition'!$P$1)</f>
        <v>0</v>
      </c>
      <c r="Y1555" s="191">
        <f>IFERROR(W1555/'FA Addition'!$J1555*'FA Addition'!$L1555,0)</f>
        <v>0</v>
      </c>
      <c r="AA1555" s="116">
        <f>SUMIFS('FA Write off'!D:D,'FA Write off'!A:A,'FA Addition'!$A1555,'FA Write off'!C:C,"&lt;"&amp;'FA Addition'!$L$1+1,'FA Write off'!C:C,"&gt;"&amp;'FA Addition'!$L$1-365)</f>
        <v>0</v>
      </c>
      <c r="AC1555" s="118">
        <f>IFERROR(AA1555/'FA Addition'!$J1555*'FA Addition'!$L1555,0)</f>
        <v>0</v>
      </c>
      <c r="AE1555" s="117">
        <f>IF(AND('FA Addition'!$D1555&lt;$P$1+1,U1555=0),'FA Addition'!$L1555,0)-Y1555</f>
        <v>0</v>
      </c>
      <c r="AF1555" s="117">
        <f t="shared" si="120"/>
        <v>0</v>
      </c>
      <c r="AG1555" s="117">
        <f>MIN(MAX(+$P$1-'FA Addition'!$D1555,0),365*'FA Addition'!$O1555)</f>
        <v>0</v>
      </c>
      <c r="AH1555" s="117">
        <f>MIN(MAX($L$1-'FA Addition'!$D1555+1,0),365*'FA Addition'!$O1555)</f>
        <v>0</v>
      </c>
      <c r="AI1555" s="117" cm="1">
        <f t="array" ref="AI1555">_xlfn.XLOOKUP(1,('FA Write off'!A:A='FA Addition'!$A1555)*('FA Write off'!D:D=AA1555),'FA Write off'!H:H,0,0)</f>
        <v>0</v>
      </c>
      <c r="AJ1555" s="117">
        <f>IF(AC1555&gt;0,MAX(IF('FA Addition'!$N1555="SLM",($AC1555-'FA Addition'!$M1555)*'FA Addition'!$P1555*AI1555/365,(AC1555-'FA Addition'!$M1555)*(1-(1-'FA Addition'!$P1555)^(AI1555/365))),0),0)</f>
        <v>0</v>
      </c>
      <c r="AL1555" s="117">
        <f>MAX(IF(AG1555&gt;0,IF('FA Addition'!$N1555="SLM",($AE1555-'FA Addition'!$M1555)*'FA Addition'!$P1555*AG1555/365,IFERROR(VDB(AE1555,AE1555*0.05,'FA Addition'!$O1555,0,YEARFRAC('FA Addition'!$C1555,$P$1-1,3),'FA Addition'!$Q1555),FAAddition[[#This Row],[Original Cost (Rs)]]-FAAddition[[#This Row],[Salvage Value]])),0),0)</f>
        <v>0</v>
      </c>
      <c r="AM1555" s="119"/>
      <c r="AN1555" s="117">
        <f>MAX(IF(AH1555&gt;0,IF('FA Addition'!$N1555="SLM",($AF1555-'FA Addition'!$M1555)*'FA Addition'!$P1555*AH1555/365,IFERROR(VDB(AF1555,AF1555*0.05,'FA Addition'!$O1555,0,YEARFRAC('FA Addition'!$C1555,$L$1,3),'FA Addition'!$Q1555),FAAddition[[#This Row],[Original Cost (Rs)]]-FAAddition[[#This Row],[Salvage Value]])),0),0)</f>
        <v>0</v>
      </c>
      <c r="AO1555" s="117">
        <f t="shared" si="123"/>
        <v>0</v>
      </c>
      <c r="AQ1555" s="117">
        <f t="shared" si="121"/>
        <v>0</v>
      </c>
      <c r="AR1555" s="120">
        <f t="shared" si="122"/>
        <v>0</v>
      </c>
      <c r="AS1555" s="121"/>
    </row>
    <row r="1556" spans="1:45" ht="13.5" x14ac:dyDescent="0.4">
      <c r="A1556" s="12">
        <f t="shared" si="124"/>
        <v>1553</v>
      </c>
      <c r="B1556" s="64" t="s">
        <v>10</v>
      </c>
      <c r="C1556" s="54">
        <v>45988</v>
      </c>
      <c r="D1556" s="54">
        <v>45988</v>
      </c>
      <c r="E1556" s="46" t="s">
        <v>523</v>
      </c>
      <c r="F1556" s="51" t="s">
        <v>11</v>
      </c>
      <c r="G1556" s="51" t="s">
        <v>182</v>
      </c>
      <c r="H1556" s="51" t="s">
        <v>196</v>
      </c>
      <c r="I1556" s="55" t="s">
        <v>194</v>
      </c>
      <c r="J1556" s="56">
        <v>1</v>
      </c>
      <c r="K1556" s="51" t="s">
        <v>2087</v>
      </c>
      <c r="L1556" s="58">
        <v>472000</v>
      </c>
      <c r="M1556" s="50">
        <f>ROUND('FA Addition'!$L1556*5%,0.1)</f>
        <v>23600</v>
      </c>
      <c r="N1556" s="113" t="str">
        <f>_xlfn.XLOOKUP(_xlfn.CONCAT(E1556,B1556),'Year Wise Master Dep Approach'!F:F,'Year Wise Master Dep Approach'!D:D)</f>
        <v>WDV</v>
      </c>
      <c r="O1556" s="113">
        <f>_xlfn.XLOOKUP(_xlfn.CONCAT(E1556,B1556),'Year Wise Master Dep Approach'!F:F,'Year Wise Master Dep Approach'!E:E)</f>
        <v>10</v>
      </c>
      <c r="P1556" s="114">
        <f>IFERROR(IF('FA Addition'!$N1556="WDV",1-('FA Addition'!$M1556/'FA Addition'!$L1556)^(1/'FA Addition'!$O1556),1/'FA Addition'!$O1556),0)</f>
        <v>0.2588655508930523</v>
      </c>
      <c r="Q1556" s="122">
        <f>'FA Addition'!$P1556*'FA Addition'!$O1556</f>
        <v>2.5886555089305228</v>
      </c>
      <c r="R1556" s="122"/>
      <c r="S1556" s="116">
        <f>IF(AND(DATE(20&amp;LEFT(FAAddition[[#This Row],[FY]],2),4,1)&lt;$L$1+1,DATE(20&amp;LEFT(FAAddition[[#This Row],[FY]],2),4,1)&gt;$P$1-1),'FA Addition'!$J1556,0)</f>
        <v>0</v>
      </c>
      <c r="U1556" s="117">
        <f>S1556*'FA Addition'!$L1556/'FA Addition'!$J1556</f>
        <v>0</v>
      </c>
      <c r="W1556" s="116">
        <f>SUMIFS('FA Write off'!D:D,'FA Write off'!A:A,'FA Addition'!$A1556,'FA Write off'!C:C,"&lt;"&amp;'FA Addition'!$P$1)</f>
        <v>0</v>
      </c>
      <c r="Y1556" s="191">
        <f>IFERROR(W1556/'FA Addition'!$J1556*'FA Addition'!$L1556,0)</f>
        <v>0</v>
      </c>
      <c r="AA1556" s="116">
        <f>SUMIFS('FA Write off'!D:D,'FA Write off'!A:A,'FA Addition'!$A1556,'FA Write off'!C:C,"&lt;"&amp;'FA Addition'!$L$1+1,'FA Write off'!C:C,"&gt;"&amp;'FA Addition'!$L$1-365)</f>
        <v>0</v>
      </c>
      <c r="AC1556" s="118">
        <f>IFERROR(AA1556/'FA Addition'!$J1556*'FA Addition'!$L1556,0)</f>
        <v>0</v>
      </c>
      <c r="AE1556" s="117">
        <f>IF(AND('FA Addition'!$D1556&lt;$P$1+1,U1556=0),'FA Addition'!$L1556,0)-Y1556</f>
        <v>0</v>
      </c>
      <c r="AF1556" s="117">
        <f t="shared" si="120"/>
        <v>0</v>
      </c>
      <c r="AG1556" s="117">
        <f>MIN(MAX(+$P$1-'FA Addition'!$D1556,0),365*'FA Addition'!$O1556)</f>
        <v>0</v>
      </c>
      <c r="AH1556" s="117">
        <f>MIN(MAX($L$1-'FA Addition'!$D1556+1,0),365*'FA Addition'!$O1556)</f>
        <v>0</v>
      </c>
      <c r="AI1556" s="117" cm="1">
        <f t="array" ref="AI1556">_xlfn.XLOOKUP(1,('FA Write off'!A:A='FA Addition'!$A1556)*('FA Write off'!D:D=AA1556),'FA Write off'!H:H,0,0)</f>
        <v>0</v>
      </c>
      <c r="AJ1556" s="117">
        <f>IF(AC1556&gt;0,MAX(IF('FA Addition'!$N1556="SLM",($AC1556-'FA Addition'!$M1556)*'FA Addition'!$P1556*AI1556/365,(AC1556-'FA Addition'!$M1556)*(1-(1-'FA Addition'!$P1556)^(AI1556/365))),0),0)</f>
        <v>0</v>
      </c>
      <c r="AL1556" s="117">
        <f>MAX(IF(AG1556&gt;0,IF('FA Addition'!$N1556="SLM",($AE1556-'FA Addition'!$M1556)*'FA Addition'!$P1556*AG1556/365,IFERROR(VDB(AE1556,AE1556*0.05,'FA Addition'!$O1556,0,YEARFRAC('FA Addition'!$C1556,$P$1-1,3),'FA Addition'!$Q1556),FAAddition[[#This Row],[Original Cost (Rs)]]-FAAddition[[#This Row],[Salvage Value]])),0),0)</f>
        <v>0</v>
      </c>
      <c r="AM1556" s="119"/>
      <c r="AN1556" s="117">
        <f>MAX(IF(AH1556&gt;0,IF('FA Addition'!$N1556="SLM",($AF1556-'FA Addition'!$M1556)*'FA Addition'!$P1556*AH1556/365,IFERROR(VDB(AF1556,AF1556*0.05,'FA Addition'!$O1556,0,YEARFRAC('FA Addition'!$C1556,$L$1,3),'FA Addition'!$Q1556),FAAddition[[#This Row],[Original Cost (Rs)]]-FAAddition[[#This Row],[Salvage Value]])),0),0)</f>
        <v>0</v>
      </c>
      <c r="AO1556" s="117">
        <f t="shared" si="123"/>
        <v>0</v>
      </c>
      <c r="AQ1556" s="117">
        <f t="shared" si="121"/>
        <v>0</v>
      </c>
      <c r="AR1556" s="120">
        <f t="shared" si="122"/>
        <v>0</v>
      </c>
      <c r="AS1556" s="121"/>
    </row>
    <row r="1557" spans="1:45" ht="13.5" x14ac:dyDescent="0.4">
      <c r="A1557" s="12">
        <f t="shared" si="124"/>
        <v>1554</v>
      </c>
      <c r="B1557" s="64" t="s">
        <v>10</v>
      </c>
      <c r="C1557" s="54">
        <v>45937</v>
      </c>
      <c r="D1557" s="54">
        <v>45937</v>
      </c>
      <c r="E1557" s="46" t="s">
        <v>451</v>
      </c>
      <c r="F1557" s="51" t="s">
        <v>19</v>
      </c>
      <c r="G1557" s="51" t="s">
        <v>156</v>
      </c>
      <c r="H1557" s="51" t="s">
        <v>21</v>
      </c>
      <c r="I1557" s="55" t="s">
        <v>197</v>
      </c>
      <c r="J1557" s="56">
        <v>1</v>
      </c>
      <c r="K1557" s="51" t="s">
        <v>349</v>
      </c>
      <c r="L1557" s="58">
        <v>76262</v>
      </c>
      <c r="M1557" s="50">
        <f>ROUND('FA Addition'!$L1557*5%,0.1)</f>
        <v>3813</v>
      </c>
      <c r="N1557" s="113" t="str">
        <f>_xlfn.XLOOKUP(_xlfn.CONCAT(E1557,B1557),'Year Wise Master Dep Approach'!F:F,'Year Wise Master Dep Approach'!D:D)</f>
        <v>WDV</v>
      </c>
      <c r="O1557" s="113">
        <f>_xlfn.XLOOKUP(_xlfn.CONCAT(E1557,B1557),'Year Wise Master Dep Approach'!F:F,'Year Wise Master Dep Approach'!E:E)</f>
        <v>3</v>
      </c>
      <c r="P1557" s="114">
        <f>IFERROR(IF('FA Addition'!$N1557="WDV",1-('FA Addition'!$M1557/'FA Addition'!$L1557)^(1/'FA Addition'!$O1557),1/'FA Addition'!$O1557),0)</f>
        <v>0.63160007066842749</v>
      </c>
      <c r="Q1557" s="122">
        <f>'FA Addition'!$P1557*'FA Addition'!$O1557</f>
        <v>1.8948002120052825</v>
      </c>
      <c r="R1557" s="122"/>
      <c r="S1557" s="116">
        <f>IF(AND(DATE(20&amp;LEFT(FAAddition[[#This Row],[FY]],2),4,1)&lt;$L$1+1,DATE(20&amp;LEFT(FAAddition[[#This Row],[FY]],2),4,1)&gt;$P$1-1),'FA Addition'!$J1557,0)</f>
        <v>0</v>
      </c>
      <c r="U1557" s="117">
        <f>S1557*'FA Addition'!$L1557/'FA Addition'!$J1557</f>
        <v>0</v>
      </c>
      <c r="W1557" s="116">
        <f>SUMIFS('FA Write off'!D:D,'FA Write off'!A:A,'FA Addition'!$A1557,'FA Write off'!C:C,"&lt;"&amp;'FA Addition'!$P$1)</f>
        <v>0</v>
      </c>
      <c r="Y1557" s="191">
        <f>IFERROR(W1557/'FA Addition'!$J1557*'FA Addition'!$L1557,0)</f>
        <v>0</v>
      </c>
      <c r="AA1557" s="116">
        <f>SUMIFS('FA Write off'!D:D,'FA Write off'!A:A,'FA Addition'!$A1557,'FA Write off'!C:C,"&lt;"&amp;'FA Addition'!$L$1+1,'FA Write off'!C:C,"&gt;"&amp;'FA Addition'!$L$1-365)</f>
        <v>0</v>
      </c>
      <c r="AC1557" s="118">
        <f>IFERROR(AA1557/'FA Addition'!$J1557*'FA Addition'!$L1557,0)</f>
        <v>0</v>
      </c>
      <c r="AE1557" s="117">
        <f>IF(AND('FA Addition'!$D1557&lt;$P$1+1,U1557=0),'FA Addition'!$L1557,0)-Y1557</f>
        <v>0</v>
      </c>
      <c r="AF1557" s="117">
        <f t="shared" si="120"/>
        <v>0</v>
      </c>
      <c r="AG1557" s="117">
        <f>MIN(MAX(+$P$1-'FA Addition'!$D1557,0),365*'FA Addition'!$O1557)</f>
        <v>0</v>
      </c>
      <c r="AH1557" s="117">
        <f>MIN(MAX($L$1-'FA Addition'!$D1557+1,0),365*'FA Addition'!$O1557)</f>
        <v>0</v>
      </c>
      <c r="AI1557" s="117" cm="1">
        <f t="array" ref="AI1557">_xlfn.XLOOKUP(1,('FA Write off'!A:A='FA Addition'!$A1557)*('FA Write off'!D:D=AA1557),'FA Write off'!H:H,0,0)</f>
        <v>0</v>
      </c>
      <c r="AJ1557" s="117">
        <f>IF(AC1557&gt;0,MAX(IF('FA Addition'!$N1557="SLM",($AC1557-'FA Addition'!$M1557)*'FA Addition'!$P1557*AI1557/365,(AC1557-'FA Addition'!$M1557)*(1-(1-'FA Addition'!$P1557)^(AI1557/365))),0),0)</f>
        <v>0</v>
      </c>
      <c r="AL1557" s="117">
        <f>MAX(IF(AG1557&gt;0,IF('FA Addition'!$N1557="SLM",($AE1557-'FA Addition'!$M1557)*'FA Addition'!$P1557*AG1557/365,IFERROR(VDB(AE1557,AE1557*0.05,'FA Addition'!$O1557,0,YEARFRAC('FA Addition'!$C1557,$P$1-1,3),'FA Addition'!$Q1557),FAAddition[[#This Row],[Original Cost (Rs)]]-FAAddition[[#This Row],[Salvage Value]])),0),0)</f>
        <v>0</v>
      </c>
      <c r="AM1557" s="119"/>
      <c r="AN1557" s="117">
        <f>MAX(IF(AH1557&gt;0,IF('FA Addition'!$N1557="SLM",($AF1557-'FA Addition'!$M1557)*'FA Addition'!$P1557*AH1557/365,IFERROR(VDB(AF1557,AF1557*0.05,'FA Addition'!$O1557,0,YEARFRAC('FA Addition'!$C1557,$L$1,3),'FA Addition'!$Q1557),FAAddition[[#This Row],[Original Cost (Rs)]]-FAAddition[[#This Row],[Salvage Value]])),0),0)</f>
        <v>0</v>
      </c>
      <c r="AO1557" s="117">
        <f t="shared" si="123"/>
        <v>0</v>
      </c>
      <c r="AQ1557" s="117">
        <f t="shared" si="121"/>
        <v>0</v>
      </c>
      <c r="AR1557" s="120">
        <f t="shared" si="122"/>
        <v>0</v>
      </c>
      <c r="AS1557" s="121"/>
    </row>
    <row r="1558" spans="1:45" ht="13.5" x14ac:dyDescent="0.4">
      <c r="A1558" s="12">
        <f t="shared" si="124"/>
        <v>1555</v>
      </c>
      <c r="B1558" s="64" t="s">
        <v>10</v>
      </c>
      <c r="C1558" s="54">
        <v>45937</v>
      </c>
      <c r="D1558" s="54">
        <v>45937</v>
      </c>
      <c r="E1558" s="46" t="s">
        <v>451</v>
      </c>
      <c r="F1558" s="51" t="s">
        <v>19</v>
      </c>
      <c r="G1558" s="51" t="s">
        <v>156</v>
      </c>
      <c r="H1558" s="51" t="s">
        <v>21</v>
      </c>
      <c r="I1558" s="55" t="s">
        <v>197</v>
      </c>
      <c r="J1558" s="56">
        <v>1</v>
      </c>
      <c r="K1558" s="51" t="s">
        <v>349</v>
      </c>
      <c r="L1558" s="58">
        <v>76262</v>
      </c>
      <c r="M1558" s="50">
        <f>ROUND('FA Addition'!$L1558*5%,0.1)</f>
        <v>3813</v>
      </c>
      <c r="N1558" s="113" t="str">
        <f>_xlfn.XLOOKUP(_xlfn.CONCAT(E1558,B1558),'Year Wise Master Dep Approach'!F:F,'Year Wise Master Dep Approach'!D:D)</f>
        <v>WDV</v>
      </c>
      <c r="O1558" s="113">
        <f>_xlfn.XLOOKUP(_xlfn.CONCAT(E1558,B1558),'Year Wise Master Dep Approach'!F:F,'Year Wise Master Dep Approach'!E:E)</f>
        <v>3</v>
      </c>
      <c r="P1558" s="114">
        <f>IFERROR(IF('FA Addition'!$N1558="WDV",1-('FA Addition'!$M1558/'FA Addition'!$L1558)^(1/'FA Addition'!$O1558),1/'FA Addition'!$O1558),0)</f>
        <v>0.63160007066842749</v>
      </c>
      <c r="Q1558" s="122">
        <f>'FA Addition'!$P1558*'FA Addition'!$O1558</f>
        <v>1.8948002120052825</v>
      </c>
      <c r="R1558" s="122"/>
      <c r="S1558" s="116">
        <f>IF(AND(DATE(20&amp;LEFT(FAAddition[[#This Row],[FY]],2),4,1)&lt;$L$1+1,DATE(20&amp;LEFT(FAAddition[[#This Row],[FY]],2),4,1)&gt;$P$1-1),'FA Addition'!$J1558,0)</f>
        <v>0</v>
      </c>
      <c r="U1558" s="117">
        <f>S1558*'FA Addition'!$L1558/'FA Addition'!$J1558</f>
        <v>0</v>
      </c>
      <c r="W1558" s="116">
        <f>SUMIFS('FA Write off'!D:D,'FA Write off'!A:A,'FA Addition'!$A1558,'FA Write off'!C:C,"&lt;"&amp;'FA Addition'!$P$1)</f>
        <v>0</v>
      </c>
      <c r="Y1558" s="191">
        <f>IFERROR(W1558/'FA Addition'!$J1558*'FA Addition'!$L1558,0)</f>
        <v>0</v>
      </c>
      <c r="AA1558" s="116">
        <f>SUMIFS('FA Write off'!D:D,'FA Write off'!A:A,'FA Addition'!$A1558,'FA Write off'!C:C,"&lt;"&amp;'FA Addition'!$L$1+1,'FA Write off'!C:C,"&gt;"&amp;'FA Addition'!$L$1-365)</f>
        <v>0</v>
      </c>
      <c r="AC1558" s="118">
        <f>IFERROR(AA1558/'FA Addition'!$J1558*'FA Addition'!$L1558,0)</f>
        <v>0</v>
      </c>
      <c r="AE1558" s="117">
        <f>IF(AND('FA Addition'!$D1558&lt;$P$1+1,U1558=0),'FA Addition'!$L1558,0)-Y1558</f>
        <v>0</v>
      </c>
      <c r="AF1558" s="117">
        <f t="shared" si="120"/>
        <v>0</v>
      </c>
      <c r="AG1558" s="117">
        <f>MIN(MAX(+$P$1-'FA Addition'!$D1558,0),365*'FA Addition'!$O1558)</f>
        <v>0</v>
      </c>
      <c r="AH1558" s="117">
        <f>MIN(MAX($L$1-'FA Addition'!$D1558+1,0),365*'FA Addition'!$O1558)</f>
        <v>0</v>
      </c>
      <c r="AI1558" s="117" cm="1">
        <f t="array" ref="AI1558">_xlfn.XLOOKUP(1,('FA Write off'!A:A='FA Addition'!$A1558)*('FA Write off'!D:D=AA1558),'FA Write off'!H:H,0,0)</f>
        <v>0</v>
      </c>
      <c r="AJ1558" s="117">
        <f>IF(AC1558&gt;0,MAX(IF('FA Addition'!$N1558="SLM",($AC1558-'FA Addition'!$M1558)*'FA Addition'!$P1558*AI1558/365,(AC1558-'FA Addition'!$M1558)*(1-(1-'FA Addition'!$P1558)^(AI1558/365))),0),0)</f>
        <v>0</v>
      </c>
      <c r="AL1558" s="117">
        <f>MAX(IF(AG1558&gt;0,IF('FA Addition'!$N1558="SLM",($AE1558-'FA Addition'!$M1558)*'FA Addition'!$P1558*AG1558/365,IFERROR(VDB(AE1558,AE1558*0.05,'FA Addition'!$O1558,0,YEARFRAC('FA Addition'!$C1558,$P$1-1,3),'FA Addition'!$Q1558),FAAddition[[#This Row],[Original Cost (Rs)]]-FAAddition[[#This Row],[Salvage Value]])),0),0)</f>
        <v>0</v>
      </c>
      <c r="AM1558" s="119"/>
      <c r="AN1558" s="117">
        <f>MAX(IF(AH1558&gt;0,IF('FA Addition'!$N1558="SLM",($AF1558-'FA Addition'!$M1558)*'FA Addition'!$P1558*AH1558/365,IFERROR(VDB(AF1558,AF1558*0.05,'FA Addition'!$O1558,0,YEARFRAC('FA Addition'!$C1558,$L$1,3),'FA Addition'!$Q1558),FAAddition[[#This Row],[Original Cost (Rs)]]-FAAddition[[#This Row],[Salvage Value]])),0),0)</f>
        <v>0</v>
      </c>
      <c r="AO1558" s="117">
        <f t="shared" si="123"/>
        <v>0</v>
      </c>
      <c r="AQ1558" s="117">
        <f t="shared" si="121"/>
        <v>0</v>
      </c>
      <c r="AR1558" s="120">
        <f t="shared" si="122"/>
        <v>0</v>
      </c>
      <c r="AS1558" s="121"/>
    </row>
    <row r="1559" spans="1:45" ht="13.5" x14ac:dyDescent="0.4">
      <c r="A1559" s="12">
        <f t="shared" si="124"/>
        <v>1556</v>
      </c>
      <c r="B1559" s="64" t="s">
        <v>10</v>
      </c>
      <c r="C1559" s="54">
        <v>45926</v>
      </c>
      <c r="D1559" s="54">
        <v>45926</v>
      </c>
      <c r="E1559" s="46" t="s">
        <v>1320</v>
      </c>
      <c r="F1559" s="51" t="s">
        <v>33</v>
      </c>
      <c r="G1559" s="51" t="s">
        <v>34</v>
      </c>
      <c r="H1559" s="51" t="s">
        <v>32</v>
      </c>
      <c r="I1559" s="55" t="s">
        <v>198</v>
      </c>
      <c r="J1559" s="56">
        <v>1000</v>
      </c>
      <c r="K1559" s="51" t="s">
        <v>295</v>
      </c>
      <c r="L1559" s="58">
        <v>1499000</v>
      </c>
      <c r="M1559" s="50">
        <f>ROUND('FA Addition'!$L1559*5%,0.1)</f>
        <v>74950</v>
      </c>
      <c r="N1559" s="113" t="str">
        <f>_xlfn.XLOOKUP(_xlfn.CONCAT(E1559,B1559),'Year Wise Master Dep Approach'!F:F,'Year Wise Master Dep Approach'!D:D)</f>
        <v>SLM</v>
      </c>
      <c r="O1559" s="113">
        <f>_xlfn.XLOOKUP(_xlfn.CONCAT(E1559,B1559),'Year Wise Master Dep Approach'!F:F,'Year Wise Master Dep Approach'!E:E)</f>
        <v>5</v>
      </c>
      <c r="P1559" s="114">
        <f>IFERROR(IF('FA Addition'!$N1559="WDV",1-('FA Addition'!$M1559/'FA Addition'!$L1559)^(1/'FA Addition'!$O1559),1/'FA Addition'!$O1559),0)</f>
        <v>0.2</v>
      </c>
      <c r="Q1559" s="122">
        <f>'FA Addition'!$P1559*'FA Addition'!$O1559</f>
        <v>1</v>
      </c>
      <c r="R1559" s="122"/>
      <c r="S1559" s="116">
        <f>IF(AND(DATE(20&amp;LEFT(FAAddition[[#This Row],[FY]],2),4,1)&lt;$L$1+1,DATE(20&amp;LEFT(FAAddition[[#This Row],[FY]],2),4,1)&gt;$P$1-1),'FA Addition'!$J1559,0)</f>
        <v>0</v>
      </c>
      <c r="U1559" s="117">
        <f>S1559*'FA Addition'!$L1559/'FA Addition'!$J1559</f>
        <v>0</v>
      </c>
      <c r="W1559" s="116">
        <f>SUMIFS('FA Write off'!D:D,'FA Write off'!A:A,'FA Addition'!$A1559,'FA Write off'!C:C,"&lt;"&amp;'FA Addition'!$P$1)</f>
        <v>0</v>
      </c>
      <c r="Y1559" s="191">
        <f>IFERROR(W1559/'FA Addition'!$J1559*'FA Addition'!$L1559,0)</f>
        <v>0</v>
      </c>
      <c r="AA1559" s="116">
        <f>SUMIFS('FA Write off'!D:D,'FA Write off'!A:A,'FA Addition'!$A1559,'FA Write off'!C:C,"&lt;"&amp;'FA Addition'!$L$1+1,'FA Write off'!C:C,"&gt;"&amp;'FA Addition'!$L$1-365)</f>
        <v>0</v>
      </c>
      <c r="AC1559" s="118">
        <f>IFERROR(AA1559/'FA Addition'!$J1559*'FA Addition'!$L1559,0)</f>
        <v>0</v>
      </c>
      <c r="AE1559" s="117">
        <f>IF(AND('FA Addition'!$D1559&lt;$P$1+1,U1559=0),'FA Addition'!$L1559,0)-Y1559</f>
        <v>0</v>
      </c>
      <c r="AF1559" s="117">
        <f t="shared" si="120"/>
        <v>0</v>
      </c>
      <c r="AG1559" s="117">
        <f>MIN(MAX(+$P$1-'FA Addition'!$D1559,0),365*'FA Addition'!$O1559)</f>
        <v>0</v>
      </c>
      <c r="AH1559" s="117">
        <f>MIN(MAX($L$1-'FA Addition'!$D1559+1,0),365*'FA Addition'!$O1559)</f>
        <v>0</v>
      </c>
      <c r="AI1559" s="117" cm="1">
        <f t="array" ref="AI1559">_xlfn.XLOOKUP(1,('FA Write off'!A:A='FA Addition'!$A1559)*('FA Write off'!D:D=AA1559),'FA Write off'!H:H,0,0)</f>
        <v>0</v>
      </c>
      <c r="AJ1559" s="117">
        <f>IF(AC1559&gt;0,MAX(IF('FA Addition'!$N1559="SLM",($AC1559-'FA Addition'!$M1559)*'FA Addition'!$P1559*AI1559/365,(AC1559-'FA Addition'!$M1559)*(1-(1-'FA Addition'!$P1559)^(AI1559/365))),0),0)</f>
        <v>0</v>
      </c>
      <c r="AL1559" s="117">
        <f>MAX(IF(AG1559&gt;0,IF('FA Addition'!$N1559="SLM",($AE1559-'FA Addition'!$M1559)*'FA Addition'!$P1559*AG1559/365,IFERROR(VDB(AE1559,AE1559*0.05,'FA Addition'!$O1559,0,YEARFRAC('FA Addition'!$C1559,$P$1-1,3),'FA Addition'!$Q1559),FAAddition[[#This Row],[Original Cost (Rs)]]-FAAddition[[#This Row],[Salvage Value]])),0),0)</f>
        <v>0</v>
      </c>
      <c r="AM1559" s="119"/>
      <c r="AN1559" s="117">
        <f>MAX(IF(AH1559&gt;0,IF('FA Addition'!$N1559="SLM",($AF1559-'FA Addition'!$M1559)*'FA Addition'!$P1559*AH1559/365,IFERROR(VDB(AF1559,AF1559*0.05,'FA Addition'!$O1559,0,YEARFRAC('FA Addition'!$C1559,$L$1,3),'FA Addition'!$Q1559),FAAddition[[#This Row],[Original Cost (Rs)]]-FAAddition[[#This Row],[Salvage Value]])),0),0)</f>
        <v>0</v>
      </c>
      <c r="AO1559" s="117">
        <f t="shared" si="123"/>
        <v>0</v>
      </c>
      <c r="AQ1559" s="117">
        <f t="shared" si="121"/>
        <v>0</v>
      </c>
      <c r="AR1559" s="120">
        <f t="shared" si="122"/>
        <v>0</v>
      </c>
      <c r="AS1559" s="121"/>
    </row>
    <row r="1560" spans="1:45" ht="13.5" x14ac:dyDescent="0.4">
      <c r="A1560" s="12">
        <f t="shared" si="124"/>
        <v>1557</v>
      </c>
      <c r="B1560" s="64" t="s">
        <v>10</v>
      </c>
      <c r="C1560" s="54">
        <v>45943</v>
      </c>
      <c r="D1560" s="54">
        <v>45943</v>
      </c>
      <c r="E1560" s="46" t="s">
        <v>1320</v>
      </c>
      <c r="F1560" s="51" t="s">
        <v>33</v>
      </c>
      <c r="G1560" s="51" t="s">
        <v>34</v>
      </c>
      <c r="H1560" s="51" t="s">
        <v>32</v>
      </c>
      <c r="I1560" s="55" t="s">
        <v>199</v>
      </c>
      <c r="J1560" s="56">
        <v>1500</v>
      </c>
      <c r="K1560" s="51" t="s">
        <v>295</v>
      </c>
      <c r="L1560" s="58">
        <v>2248500</v>
      </c>
      <c r="M1560" s="50">
        <f>ROUND('FA Addition'!$L1560*5%,0.1)</f>
        <v>112425</v>
      </c>
      <c r="N1560" s="113" t="str">
        <f>_xlfn.XLOOKUP(_xlfn.CONCAT(E1560,B1560),'Year Wise Master Dep Approach'!F:F,'Year Wise Master Dep Approach'!D:D)</f>
        <v>SLM</v>
      </c>
      <c r="O1560" s="113">
        <f>_xlfn.XLOOKUP(_xlfn.CONCAT(E1560,B1560),'Year Wise Master Dep Approach'!F:F,'Year Wise Master Dep Approach'!E:E)</f>
        <v>5</v>
      </c>
      <c r="P1560" s="114">
        <f>IFERROR(IF('FA Addition'!$N1560="WDV",1-('FA Addition'!$M1560/'FA Addition'!$L1560)^(1/'FA Addition'!$O1560),1/'FA Addition'!$O1560),0)</f>
        <v>0.2</v>
      </c>
      <c r="Q1560" s="122">
        <f>'FA Addition'!$P1560*'FA Addition'!$O1560</f>
        <v>1</v>
      </c>
      <c r="R1560" s="122"/>
      <c r="S1560" s="116">
        <f>IF(AND(DATE(20&amp;LEFT(FAAddition[[#This Row],[FY]],2),4,1)&lt;$L$1+1,DATE(20&amp;LEFT(FAAddition[[#This Row],[FY]],2),4,1)&gt;$P$1-1),'FA Addition'!$J1560,0)</f>
        <v>0</v>
      </c>
      <c r="U1560" s="117">
        <f>S1560*'FA Addition'!$L1560/'FA Addition'!$J1560</f>
        <v>0</v>
      </c>
      <c r="W1560" s="116">
        <f>SUMIFS('FA Write off'!D:D,'FA Write off'!A:A,'FA Addition'!$A1560,'FA Write off'!C:C,"&lt;"&amp;'FA Addition'!$P$1)</f>
        <v>0</v>
      </c>
      <c r="Y1560" s="191">
        <f>IFERROR(W1560/'FA Addition'!$J1560*'FA Addition'!$L1560,0)</f>
        <v>0</v>
      </c>
      <c r="AA1560" s="116">
        <f>SUMIFS('FA Write off'!D:D,'FA Write off'!A:A,'FA Addition'!$A1560,'FA Write off'!C:C,"&lt;"&amp;'FA Addition'!$L$1+1,'FA Write off'!C:C,"&gt;"&amp;'FA Addition'!$L$1-365)</f>
        <v>0</v>
      </c>
      <c r="AC1560" s="118">
        <f>IFERROR(AA1560/'FA Addition'!$J1560*'FA Addition'!$L1560,0)</f>
        <v>0</v>
      </c>
      <c r="AE1560" s="117">
        <f>IF(AND('FA Addition'!$D1560&lt;$P$1+1,U1560=0),'FA Addition'!$L1560,0)-Y1560</f>
        <v>0</v>
      </c>
      <c r="AF1560" s="117">
        <f t="shared" si="120"/>
        <v>0</v>
      </c>
      <c r="AG1560" s="117">
        <f>MIN(MAX(+$P$1-'FA Addition'!$D1560,0),365*'FA Addition'!$O1560)</f>
        <v>0</v>
      </c>
      <c r="AH1560" s="117">
        <f>MIN(MAX($L$1-'FA Addition'!$D1560+1,0),365*'FA Addition'!$O1560)</f>
        <v>0</v>
      </c>
      <c r="AI1560" s="117" cm="1">
        <f t="array" ref="AI1560">_xlfn.XLOOKUP(1,('FA Write off'!A:A='FA Addition'!$A1560)*('FA Write off'!D:D=AA1560),'FA Write off'!H:H,0,0)</f>
        <v>0</v>
      </c>
      <c r="AJ1560" s="117">
        <f>IF(AC1560&gt;0,MAX(IF('FA Addition'!$N1560="SLM",($AC1560-'FA Addition'!$M1560)*'FA Addition'!$P1560*AI1560/365,(AC1560-'FA Addition'!$M1560)*(1-(1-'FA Addition'!$P1560)^(AI1560/365))),0),0)</f>
        <v>0</v>
      </c>
      <c r="AL1560" s="117">
        <f>MAX(IF(AG1560&gt;0,IF('FA Addition'!$N1560="SLM",($AE1560-'FA Addition'!$M1560)*'FA Addition'!$P1560*AG1560/365,IFERROR(VDB(AE1560,AE1560*0.05,'FA Addition'!$O1560,0,YEARFRAC('FA Addition'!$C1560,$P$1-1,3),'FA Addition'!$Q1560),FAAddition[[#This Row],[Original Cost (Rs)]]-FAAddition[[#This Row],[Salvage Value]])),0),0)</f>
        <v>0</v>
      </c>
      <c r="AM1560" s="119"/>
      <c r="AN1560" s="117">
        <f>MAX(IF(AH1560&gt;0,IF('FA Addition'!$N1560="SLM",($AF1560-'FA Addition'!$M1560)*'FA Addition'!$P1560*AH1560/365,IFERROR(VDB(AF1560,AF1560*0.05,'FA Addition'!$O1560,0,YEARFRAC('FA Addition'!$C1560,$L$1,3),'FA Addition'!$Q1560),FAAddition[[#This Row],[Original Cost (Rs)]]-FAAddition[[#This Row],[Salvage Value]])),0),0)</f>
        <v>0</v>
      </c>
      <c r="AO1560" s="117">
        <f t="shared" si="123"/>
        <v>0</v>
      </c>
      <c r="AQ1560" s="117">
        <f t="shared" si="121"/>
        <v>0</v>
      </c>
      <c r="AR1560" s="120">
        <f t="shared" si="122"/>
        <v>0</v>
      </c>
      <c r="AS1560" s="121"/>
    </row>
    <row r="1561" spans="1:45" ht="13.5" x14ac:dyDescent="0.4">
      <c r="A1561" s="12">
        <f t="shared" si="124"/>
        <v>1558</v>
      </c>
      <c r="B1561" s="64" t="s">
        <v>10</v>
      </c>
      <c r="C1561" s="54">
        <v>45944</v>
      </c>
      <c r="D1561" s="54">
        <v>45944</v>
      </c>
      <c r="E1561" s="46" t="s">
        <v>1320</v>
      </c>
      <c r="F1561" s="51" t="s">
        <v>33</v>
      </c>
      <c r="G1561" s="51" t="s">
        <v>34</v>
      </c>
      <c r="H1561" s="51" t="s">
        <v>32</v>
      </c>
      <c r="I1561" s="55" t="s">
        <v>200</v>
      </c>
      <c r="J1561" s="56">
        <v>1000</v>
      </c>
      <c r="K1561" s="51" t="s">
        <v>295</v>
      </c>
      <c r="L1561" s="58">
        <v>1499000</v>
      </c>
      <c r="M1561" s="50">
        <f>ROUND('FA Addition'!$L1561*5%,0.1)</f>
        <v>74950</v>
      </c>
      <c r="N1561" s="113" t="str">
        <f>_xlfn.XLOOKUP(_xlfn.CONCAT(E1561,B1561),'Year Wise Master Dep Approach'!F:F,'Year Wise Master Dep Approach'!D:D)</f>
        <v>SLM</v>
      </c>
      <c r="O1561" s="113">
        <f>_xlfn.XLOOKUP(_xlfn.CONCAT(E1561,B1561),'Year Wise Master Dep Approach'!F:F,'Year Wise Master Dep Approach'!E:E)</f>
        <v>5</v>
      </c>
      <c r="P1561" s="114">
        <f>IFERROR(IF('FA Addition'!$N1561="WDV",1-('FA Addition'!$M1561/'FA Addition'!$L1561)^(1/'FA Addition'!$O1561),1/'FA Addition'!$O1561),0)</f>
        <v>0.2</v>
      </c>
      <c r="Q1561" s="122">
        <f>'FA Addition'!$P1561*'FA Addition'!$O1561</f>
        <v>1</v>
      </c>
      <c r="R1561" s="122"/>
      <c r="S1561" s="116">
        <f>IF(AND(DATE(20&amp;LEFT(FAAddition[[#This Row],[FY]],2),4,1)&lt;$L$1+1,DATE(20&amp;LEFT(FAAddition[[#This Row],[FY]],2),4,1)&gt;$P$1-1),'FA Addition'!$J1561,0)</f>
        <v>0</v>
      </c>
      <c r="U1561" s="117">
        <f>S1561*'FA Addition'!$L1561/'FA Addition'!$J1561</f>
        <v>0</v>
      </c>
      <c r="W1561" s="116">
        <f>SUMIFS('FA Write off'!D:D,'FA Write off'!A:A,'FA Addition'!$A1561,'FA Write off'!C:C,"&lt;"&amp;'FA Addition'!$P$1)</f>
        <v>0</v>
      </c>
      <c r="Y1561" s="191">
        <f>IFERROR(W1561/'FA Addition'!$J1561*'FA Addition'!$L1561,0)</f>
        <v>0</v>
      </c>
      <c r="AA1561" s="116">
        <f>SUMIFS('FA Write off'!D:D,'FA Write off'!A:A,'FA Addition'!$A1561,'FA Write off'!C:C,"&lt;"&amp;'FA Addition'!$L$1+1,'FA Write off'!C:C,"&gt;"&amp;'FA Addition'!$L$1-365)</f>
        <v>0</v>
      </c>
      <c r="AC1561" s="118">
        <f>IFERROR(AA1561/'FA Addition'!$J1561*'FA Addition'!$L1561,0)</f>
        <v>0</v>
      </c>
      <c r="AE1561" s="117">
        <f>IF(AND('FA Addition'!$D1561&lt;$P$1+1,U1561=0),'FA Addition'!$L1561,0)-Y1561</f>
        <v>0</v>
      </c>
      <c r="AF1561" s="117">
        <f t="shared" si="120"/>
        <v>0</v>
      </c>
      <c r="AG1561" s="117">
        <f>MIN(MAX(+$P$1-'FA Addition'!$D1561,0),365*'FA Addition'!$O1561)</f>
        <v>0</v>
      </c>
      <c r="AH1561" s="117">
        <f>MIN(MAX($L$1-'FA Addition'!$D1561+1,0),365*'FA Addition'!$O1561)</f>
        <v>0</v>
      </c>
      <c r="AI1561" s="117" cm="1">
        <f t="array" ref="AI1561">_xlfn.XLOOKUP(1,('FA Write off'!A:A='FA Addition'!$A1561)*('FA Write off'!D:D=AA1561),'FA Write off'!H:H,0,0)</f>
        <v>0</v>
      </c>
      <c r="AJ1561" s="117">
        <f>IF(AC1561&gt;0,MAX(IF('FA Addition'!$N1561="SLM",($AC1561-'FA Addition'!$M1561)*'FA Addition'!$P1561*AI1561/365,(AC1561-'FA Addition'!$M1561)*(1-(1-'FA Addition'!$P1561)^(AI1561/365))),0),0)</f>
        <v>0</v>
      </c>
      <c r="AL1561" s="117">
        <f>MAX(IF(AG1561&gt;0,IF('FA Addition'!$N1561="SLM",($AE1561-'FA Addition'!$M1561)*'FA Addition'!$P1561*AG1561/365,IFERROR(VDB(AE1561,AE1561*0.05,'FA Addition'!$O1561,0,YEARFRAC('FA Addition'!$C1561,$P$1-1,3),'FA Addition'!$Q1561),FAAddition[[#This Row],[Original Cost (Rs)]]-FAAddition[[#This Row],[Salvage Value]])),0),0)</f>
        <v>0</v>
      </c>
      <c r="AM1561" s="119"/>
      <c r="AN1561" s="117">
        <f>MAX(IF(AH1561&gt;0,IF('FA Addition'!$N1561="SLM",($AF1561-'FA Addition'!$M1561)*'FA Addition'!$P1561*AH1561/365,IFERROR(VDB(AF1561,AF1561*0.05,'FA Addition'!$O1561,0,YEARFRAC('FA Addition'!$C1561,$L$1,3),'FA Addition'!$Q1561),FAAddition[[#This Row],[Original Cost (Rs)]]-FAAddition[[#This Row],[Salvage Value]])),0),0)</f>
        <v>0</v>
      </c>
      <c r="AO1561" s="117">
        <f t="shared" si="123"/>
        <v>0</v>
      </c>
      <c r="AQ1561" s="117">
        <f t="shared" si="121"/>
        <v>0</v>
      </c>
      <c r="AR1561" s="120">
        <f t="shared" si="122"/>
        <v>0</v>
      </c>
      <c r="AS1561" s="121"/>
    </row>
    <row r="1562" spans="1:45" ht="13.5" x14ac:dyDescent="0.4">
      <c r="A1562" s="12">
        <f t="shared" si="124"/>
        <v>1559</v>
      </c>
      <c r="B1562" s="64" t="s">
        <v>10</v>
      </c>
      <c r="C1562" s="54">
        <v>45945</v>
      </c>
      <c r="D1562" s="54">
        <v>45945</v>
      </c>
      <c r="E1562" s="46" t="s">
        <v>1320</v>
      </c>
      <c r="F1562" s="51" t="s">
        <v>33</v>
      </c>
      <c r="G1562" s="51" t="s">
        <v>34</v>
      </c>
      <c r="H1562" s="51" t="s">
        <v>32</v>
      </c>
      <c r="I1562" s="55" t="s">
        <v>201</v>
      </c>
      <c r="J1562" s="56">
        <v>1000</v>
      </c>
      <c r="K1562" s="51" t="s">
        <v>295</v>
      </c>
      <c r="L1562" s="58">
        <v>1499000</v>
      </c>
      <c r="M1562" s="50">
        <f>ROUND('FA Addition'!$L1562*5%,0.1)</f>
        <v>74950</v>
      </c>
      <c r="N1562" s="113" t="str">
        <f>_xlfn.XLOOKUP(_xlfn.CONCAT(E1562,B1562),'Year Wise Master Dep Approach'!F:F,'Year Wise Master Dep Approach'!D:D)</f>
        <v>SLM</v>
      </c>
      <c r="O1562" s="113">
        <f>_xlfn.XLOOKUP(_xlfn.CONCAT(E1562,B1562),'Year Wise Master Dep Approach'!F:F,'Year Wise Master Dep Approach'!E:E)</f>
        <v>5</v>
      </c>
      <c r="P1562" s="114">
        <f>IFERROR(IF('FA Addition'!$N1562="WDV",1-('FA Addition'!$M1562/'FA Addition'!$L1562)^(1/'FA Addition'!$O1562),1/'FA Addition'!$O1562),0)</f>
        <v>0.2</v>
      </c>
      <c r="Q1562" s="122">
        <f>'FA Addition'!$P1562*'FA Addition'!$O1562</f>
        <v>1</v>
      </c>
      <c r="R1562" s="122"/>
      <c r="S1562" s="116">
        <f>IF(AND(DATE(20&amp;LEFT(FAAddition[[#This Row],[FY]],2),4,1)&lt;$L$1+1,DATE(20&amp;LEFT(FAAddition[[#This Row],[FY]],2),4,1)&gt;$P$1-1),'FA Addition'!$J1562,0)</f>
        <v>0</v>
      </c>
      <c r="U1562" s="117">
        <f>S1562*'FA Addition'!$L1562/'FA Addition'!$J1562</f>
        <v>0</v>
      </c>
      <c r="W1562" s="116">
        <f>SUMIFS('FA Write off'!D:D,'FA Write off'!A:A,'FA Addition'!$A1562,'FA Write off'!C:C,"&lt;"&amp;'FA Addition'!$P$1)</f>
        <v>0</v>
      </c>
      <c r="Y1562" s="191">
        <f>IFERROR(W1562/'FA Addition'!$J1562*'FA Addition'!$L1562,0)</f>
        <v>0</v>
      </c>
      <c r="AA1562" s="116">
        <f>SUMIFS('FA Write off'!D:D,'FA Write off'!A:A,'FA Addition'!$A1562,'FA Write off'!C:C,"&lt;"&amp;'FA Addition'!$L$1+1,'FA Write off'!C:C,"&gt;"&amp;'FA Addition'!$L$1-365)</f>
        <v>0</v>
      </c>
      <c r="AC1562" s="118">
        <f>IFERROR(AA1562/'FA Addition'!$J1562*'FA Addition'!$L1562,0)</f>
        <v>0</v>
      </c>
      <c r="AE1562" s="117">
        <f>IF(AND('FA Addition'!$D1562&lt;$P$1+1,U1562=0),'FA Addition'!$L1562,0)-Y1562</f>
        <v>0</v>
      </c>
      <c r="AF1562" s="117">
        <f t="shared" si="120"/>
        <v>0</v>
      </c>
      <c r="AG1562" s="117">
        <f>MIN(MAX(+$P$1-'FA Addition'!$D1562,0),365*'FA Addition'!$O1562)</f>
        <v>0</v>
      </c>
      <c r="AH1562" s="117">
        <f>MIN(MAX($L$1-'FA Addition'!$D1562+1,0),365*'FA Addition'!$O1562)</f>
        <v>0</v>
      </c>
      <c r="AI1562" s="117" cm="1">
        <f t="array" ref="AI1562">_xlfn.XLOOKUP(1,('FA Write off'!A:A='FA Addition'!$A1562)*('FA Write off'!D:D=AA1562),'FA Write off'!H:H,0,0)</f>
        <v>0</v>
      </c>
      <c r="AJ1562" s="117">
        <f>IF(AC1562&gt;0,MAX(IF('FA Addition'!$N1562="SLM",($AC1562-'FA Addition'!$M1562)*'FA Addition'!$P1562*AI1562/365,(AC1562-'FA Addition'!$M1562)*(1-(1-'FA Addition'!$P1562)^(AI1562/365))),0),0)</f>
        <v>0</v>
      </c>
      <c r="AL1562" s="117">
        <f>MAX(IF(AG1562&gt;0,IF('FA Addition'!$N1562="SLM",($AE1562-'FA Addition'!$M1562)*'FA Addition'!$P1562*AG1562/365,IFERROR(VDB(AE1562,AE1562*0.05,'FA Addition'!$O1562,0,YEARFRAC('FA Addition'!$C1562,$P$1-1,3),'FA Addition'!$Q1562),FAAddition[[#This Row],[Original Cost (Rs)]]-FAAddition[[#This Row],[Salvage Value]])),0),0)</f>
        <v>0</v>
      </c>
      <c r="AM1562" s="119"/>
      <c r="AN1562" s="117">
        <f>MAX(IF(AH1562&gt;0,IF('FA Addition'!$N1562="SLM",($AF1562-'FA Addition'!$M1562)*'FA Addition'!$P1562*AH1562/365,IFERROR(VDB(AF1562,AF1562*0.05,'FA Addition'!$O1562,0,YEARFRAC('FA Addition'!$C1562,$L$1,3),'FA Addition'!$Q1562),FAAddition[[#This Row],[Original Cost (Rs)]]-FAAddition[[#This Row],[Salvage Value]])),0),0)</f>
        <v>0</v>
      </c>
      <c r="AO1562" s="117">
        <f t="shared" si="123"/>
        <v>0</v>
      </c>
      <c r="AQ1562" s="117">
        <f t="shared" si="121"/>
        <v>0</v>
      </c>
      <c r="AR1562" s="120">
        <f t="shared" si="122"/>
        <v>0</v>
      </c>
      <c r="AS1562" s="121"/>
    </row>
    <row r="1563" spans="1:45" ht="13.5" x14ac:dyDescent="0.4">
      <c r="A1563" s="12">
        <f t="shared" si="124"/>
        <v>1560</v>
      </c>
      <c r="B1563" s="64" t="s">
        <v>10</v>
      </c>
      <c r="C1563" s="54">
        <v>45947</v>
      </c>
      <c r="D1563" s="54">
        <v>45947</v>
      </c>
      <c r="E1563" s="46" t="s">
        <v>1320</v>
      </c>
      <c r="F1563" s="51" t="s">
        <v>33</v>
      </c>
      <c r="G1563" s="51" t="s">
        <v>34</v>
      </c>
      <c r="H1563" s="51" t="s">
        <v>32</v>
      </c>
      <c r="I1563" s="55" t="s">
        <v>202</v>
      </c>
      <c r="J1563" s="56">
        <v>1000</v>
      </c>
      <c r="K1563" s="51" t="s">
        <v>295</v>
      </c>
      <c r="L1563" s="58">
        <v>1499000</v>
      </c>
      <c r="M1563" s="50">
        <f>ROUND('FA Addition'!$L1563*5%,0.1)</f>
        <v>74950</v>
      </c>
      <c r="N1563" s="113" t="str">
        <f>_xlfn.XLOOKUP(_xlfn.CONCAT(E1563,B1563),'Year Wise Master Dep Approach'!F:F,'Year Wise Master Dep Approach'!D:D)</f>
        <v>SLM</v>
      </c>
      <c r="O1563" s="113">
        <f>_xlfn.XLOOKUP(_xlfn.CONCAT(E1563,B1563),'Year Wise Master Dep Approach'!F:F,'Year Wise Master Dep Approach'!E:E)</f>
        <v>5</v>
      </c>
      <c r="P1563" s="114">
        <f>IFERROR(IF('FA Addition'!$N1563="WDV",1-('FA Addition'!$M1563/'FA Addition'!$L1563)^(1/'FA Addition'!$O1563),1/'FA Addition'!$O1563),0)</f>
        <v>0.2</v>
      </c>
      <c r="Q1563" s="122">
        <f>'FA Addition'!$P1563*'FA Addition'!$O1563</f>
        <v>1</v>
      </c>
      <c r="R1563" s="122"/>
      <c r="S1563" s="116">
        <f>IF(AND(DATE(20&amp;LEFT(FAAddition[[#This Row],[FY]],2),4,1)&lt;$L$1+1,DATE(20&amp;LEFT(FAAddition[[#This Row],[FY]],2),4,1)&gt;$P$1-1),'FA Addition'!$J1563,0)</f>
        <v>0</v>
      </c>
      <c r="U1563" s="117">
        <f>S1563*'FA Addition'!$L1563/'FA Addition'!$J1563</f>
        <v>0</v>
      </c>
      <c r="W1563" s="116">
        <f>SUMIFS('FA Write off'!D:D,'FA Write off'!A:A,'FA Addition'!$A1563,'FA Write off'!C:C,"&lt;"&amp;'FA Addition'!$P$1)</f>
        <v>0</v>
      </c>
      <c r="Y1563" s="191">
        <f>IFERROR(W1563/'FA Addition'!$J1563*'FA Addition'!$L1563,0)</f>
        <v>0</v>
      </c>
      <c r="AA1563" s="116">
        <f>SUMIFS('FA Write off'!D:D,'FA Write off'!A:A,'FA Addition'!$A1563,'FA Write off'!C:C,"&lt;"&amp;'FA Addition'!$L$1+1,'FA Write off'!C:C,"&gt;"&amp;'FA Addition'!$L$1-365)</f>
        <v>0</v>
      </c>
      <c r="AC1563" s="118">
        <f>IFERROR(AA1563/'FA Addition'!$J1563*'FA Addition'!$L1563,0)</f>
        <v>0</v>
      </c>
      <c r="AE1563" s="117">
        <f>IF(AND('FA Addition'!$D1563&lt;$P$1+1,U1563=0),'FA Addition'!$L1563,0)-Y1563</f>
        <v>0</v>
      </c>
      <c r="AF1563" s="117">
        <f t="shared" si="120"/>
        <v>0</v>
      </c>
      <c r="AG1563" s="117">
        <f>MIN(MAX(+$P$1-'FA Addition'!$D1563,0),365*'FA Addition'!$O1563)</f>
        <v>0</v>
      </c>
      <c r="AH1563" s="117">
        <f>MIN(MAX($L$1-'FA Addition'!$D1563+1,0),365*'FA Addition'!$O1563)</f>
        <v>0</v>
      </c>
      <c r="AI1563" s="117" cm="1">
        <f t="array" ref="AI1563">_xlfn.XLOOKUP(1,('FA Write off'!A:A='FA Addition'!$A1563)*('FA Write off'!D:D=AA1563),'FA Write off'!H:H,0,0)</f>
        <v>0</v>
      </c>
      <c r="AJ1563" s="117">
        <f>IF(AC1563&gt;0,MAX(IF('FA Addition'!$N1563="SLM",($AC1563-'FA Addition'!$M1563)*'FA Addition'!$P1563*AI1563/365,(AC1563-'FA Addition'!$M1563)*(1-(1-'FA Addition'!$P1563)^(AI1563/365))),0),0)</f>
        <v>0</v>
      </c>
      <c r="AL1563" s="117">
        <f>MAX(IF(AG1563&gt;0,IF('FA Addition'!$N1563="SLM",($AE1563-'FA Addition'!$M1563)*'FA Addition'!$P1563*AG1563/365,IFERROR(VDB(AE1563,AE1563*0.05,'FA Addition'!$O1563,0,YEARFRAC('FA Addition'!$C1563,$P$1-1,3),'FA Addition'!$Q1563),FAAddition[[#This Row],[Original Cost (Rs)]]-FAAddition[[#This Row],[Salvage Value]])),0),0)</f>
        <v>0</v>
      </c>
      <c r="AM1563" s="119"/>
      <c r="AN1563" s="117">
        <f>MAX(IF(AH1563&gt;0,IF('FA Addition'!$N1563="SLM",($AF1563-'FA Addition'!$M1563)*'FA Addition'!$P1563*AH1563/365,IFERROR(VDB(AF1563,AF1563*0.05,'FA Addition'!$O1563,0,YEARFRAC('FA Addition'!$C1563,$L$1,3),'FA Addition'!$Q1563),FAAddition[[#This Row],[Original Cost (Rs)]]-FAAddition[[#This Row],[Salvage Value]])),0),0)</f>
        <v>0</v>
      </c>
      <c r="AO1563" s="117">
        <f t="shared" si="123"/>
        <v>0</v>
      </c>
      <c r="AQ1563" s="117">
        <f t="shared" si="121"/>
        <v>0</v>
      </c>
      <c r="AR1563" s="120">
        <f t="shared" si="122"/>
        <v>0</v>
      </c>
      <c r="AS1563" s="121"/>
    </row>
    <row r="1564" spans="1:45" ht="13.5" x14ac:dyDescent="0.4">
      <c r="A1564" s="12">
        <f t="shared" si="124"/>
        <v>1561</v>
      </c>
      <c r="B1564" s="64" t="s">
        <v>10</v>
      </c>
      <c r="C1564" s="54">
        <v>45948</v>
      </c>
      <c r="D1564" s="54">
        <v>45948</v>
      </c>
      <c r="E1564" s="46" t="s">
        <v>1320</v>
      </c>
      <c r="F1564" s="51" t="s">
        <v>33</v>
      </c>
      <c r="G1564" s="51" t="s">
        <v>34</v>
      </c>
      <c r="H1564" s="51" t="s">
        <v>32</v>
      </c>
      <c r="I1564" s="55" t="s">
        <v>203</v>
      </c>
      <c r="J1564" s="56">
        <v>1000</v>
      </c>
      <c r="K1564" s="51" t="s">
        <v>295</v>
      </c>
      <c r="L1564" s="58">
        <v>1499000</v>
      </c>
      <c r="M1564" s="50">
        <f>ROUND('FA Addition'!$L1564*5%,0.1)</f>
        <v>74950</v>
      </c>
      <c r="N1564" s="113" t="str">
        <f>_xlfn.XLOOKUP(_xlfn.CONCAT(E1564,B1564),'Year Wise Master Dep Approach'!F:F,'Year Wise Master Dep Approach'!D:D)</f>
        <v>SLM</v>
      </c>
      <c r="O1564" s="113">
        <f>_xlfn.XLOOKUP(_xlfn.CONCAT(E1564,B1564),'Year Wise Master Dep Approach'!F:F,'Year Wise Master Dep Approach'!E:E)</f>
        <v>5</v>
      </c>
      <c r="P1564" s="114">
        <f>IFERROR(IF('FA Addition'!$N1564="WDV",1-('FA Addition'!$M1564/'FA Addition'!$L1564)^(1/'FA Addition'!$O1564),1/'FA Addition'!$O1564),0)</f>
        <v>0.2</v>
      </c>
      <c r="Q1564" s="122">
        <f>'FA Addition'!$P1564*'FA Addition'!$O1564</f>
        <v>1</v>
      </c>
      <c r="R1564" s="122"/>
      <c r="S1564" s="116">
        <f>IF(AND(DATE(20&amp;LEFT(FAAddition[[#This Row],[FY]],2),4,1)&lt;$L$1+1,DATE(20&amp;LEFT(FAAddition[[#This Row],[FY]],2),4,1)&gt;$P$1-1),'FA Addition'!$J1564,0)</f>
        <v>0</v>
      </c>
      <c r="U1564" s="117">
        <f>S1564*'FA Addition'!$L1564/'FA Addition'!$J1564</f>
        <v>0</v>
      </c>
      <c r="W1564" s="116">
        <f>SUMIFS('FA Write off'!D:D,'FA Write off'!A:A,'FA Addition'!$A1564,'FA Write off'!C:C,"&lt;"&amp;'FA Addition'!$P$1)</f>
        <v>0</v>
      </c>
      <c r="Y1564" s="191">
        <f>IFERROR(W1564/'FA Addition'!$J1564*'FA Addition'!$L1564,0)</f>
        <v>0</v>
      </c>
      <c r="AA1564" s="116">
        <f>SUMIFS('FA Write off'!D:D,'FA Write off'!A:A,'FA Addition'!$A1564,'FA Write off'!C:C,"&lt;"&amp;'FA Addition'!$L$1+1,'FA Write off'!C:C,"&gt;"&amp;'FA Addition'!$L$1-365)</f>
        <v>0</v>
      </c>
      <c r="AC1564" s="118">
        <f>IFERROR(AA1564/'FA Addition'!$J1564*'FA Addition'!$L1564,0)</f>
        <v>0</v>
      </c>
      <c r="AE1564" s="117">
        <f>IF(AND('FA Addition'!$D1564&lt;$P$1+1,U1564=0),'FA Addition'!$L1564,0)-Y1564</f>
        <v>0</v>
      </c>
      <c r="AF1564" s="117">
        <f t="shared" si="120"/>
        <v>0</v>
      </c>
      <c r="AG1564" s="117">
        <f>MIN(MAX(+$P$1-'FA Addition'!$D1564,0),365*'FA Addition'!$O1564)</f>
        <v>0</v>
      </c>
      <c r="AH1564" s="117">
        <f>MIN(MAX($L$1-'FA Addition'!$D1564+1,0),365*'FA Addition'!$O1564)</f>
        <v>0</v>
      </c>
      <c r="AI1564" s="117" cm="1">
        <f t="array" ref="AI1564">_xlfn.XLOOKUP(1,('FA Write off'!A:A='FA Addition'!$A1564)*('FA Write off'!D:D=AA1564),'FA Write off'!H:H,0,0)</f>
        <v>0</v>
      </c>
      <c r="AJ1564" s="117">
        <f>IF(AC1564&gt;0,MAX(IF('FA Addition'!$N1564="SLM",($AC1564-'FA Addition'!$M1564)*'FA Addition'!$P1564*AI1564/365,(AC1564-'FA Addition'!$M1564)*(1-(1-'FA Addition'!$P1564)^(AI1564/365))),0),0)</f>
        <v>0</v>
      </c>
      <c r="AL1564" s="117">
        <f>MAX(IF(AG1564&gt;0,IF('FA Addition'!$N1564="SLM",($AE1564-'FA Addition'!$M1564)*'FA Addition'!$P1564*AG1564/365,IFERROR(VDB(AE1564,AE1564*0.05,'FA Addition'!$O1564,0,YEARFRAC('FA Addition'!$C1564,$P$1-1,3),'FA Addition'!$Q1564),FAAddition[[#This Row],[Original Cost (Rs)]]-FAAddition[[#This Row],[Salvage Value]])),0),0)</f>
        <v>0</v>
      </c>
      <c r="AM1564" s="119"/>
      <c r="AN1564" s="117">
        <f>MAX(IF(AH1564&gt;0,IF('FA Addition'!$N1564="SLM",($AF1564-'FA Addition'!$M1564)*'FA Addition'!$P1564*AH1564/365,IFERROR(VDB(AF1564,AF1564*0.05,'FA Addition'!$O1564,0,YEARFRAC('FA Addition'!$C1564,$L$1,3),'FA Addition'!$Q1564),FAAddition[[#This Row],[Original Cost (Rs)]]-FAAddition[[#This Row],[Salvage Value]])),0),0)</f>
        <v>0</v>
      </c>
      <c r="AO1564" s="117">
        <f t="shared" si="123"/>
        <v>0</v>
      </c>
      <c r="AQ1564" s="117">
        <f t="shared" si="121"/>
        <v>0</v>
      </c>
      <c r="AR1564" s="120">
        <f t="shared" si="122"/>
        <v>0</v>
      </c>
      <c r="AS1564" s="121"/>
    </row>
    <row r="1565" spans="1:45" ht="13.5" x14ac:dyDescent="0.4">
      <c r="A1565" s="12">
        <f t="shared" si="124"/>
        <v>1562</v>
      </c>
      <c r="B1565" s="64" t="s">
        <v>10</v>
      </c>
      <c r="C1565" s="54">
        <v>45954</v>
      </c>
      <c r="D1565" s="54">
        <v>45954</v>
      </c>
      <c r="E1565" s="46" t="s">
        <v>1320</v>
      </c>
      <c r="F1565" s="51" t="s">
        <v>33</v>
      </c>
      <c r="G1565" s="51" t="s">
        <v>34</v>
      </c>
      <c r="H1565" s="51" t="s">
        <v>32</v>
      </c>
      <c r="I1565" s="55" t="s">
        <v>204</v>
      </c>
      <c r="J1565" s="56">
        <v>1500</v>
      </c>
      <c r="K1565" s="51" t="s">
        <v>295</v>
      </c>
      <c r="L1565" s="58">
        <v>2248500</v>
      </c>
      <c r="M1565" s="50">
        <f>ROUND('FA Addition'!$L1565*5%,0.1)</f>
        <v>112425</v>
      </c>
      <c r="N1565" s="113" t="str">
        <f>_xlfn.XLOOKUP(_xlfn.CONCAT(E1565,B1565),'Year Wise Master Dep Approach'!F:F,'Year Wise Master Dep Approach'!D:D)</f>
        <v>SLM</v>
      </c>
      <c r="O1565" s="113">
        <f>_xlfn.XLOOKUP(_xlfn.CONCAT(E1565,B1565),'Year Wise Master Dep Approach'!F:F,'Year Wise Master Dep Approach'!E:E)</f>
        <v>5</v>
      </c>
      <c r="P1565" s="114">
        <f>IFERROR(IF('FA Addition'!$N1565="WDV",1-('FA Addition'!$M1565/'FA Addition'!$L1565)^(1/'FA Addition'!$O1565),1/'FA Addition'!$O1565),0)</f>
        <v>0.2</v>
      </c>
      <c r="Q1565" s="122">
        <f>'FA Addition'!$P1565*'FA Addition'!$O1565</f>
        <v>1</v>
      </c>
      <c r="R1565" s="122"/>
      <c r="S1565" s="116">
        <f>IF(AND(DATE(20&amp;LEFT(FAAddition[[#This Row],[FY]],2),4,1)&lt;$L$1+1,DATE(20&amp;LEFT(FAAddition[[#This Row],[FY]],2),4,1)&gt;$P$1-1),'FA Addition'!$J1565,0)</f>
        <v>0</v>
      </c>
      <c r="U1565" s="117">
        <f>S1565*'FA Addition'!$L1565/'FA Addition'!$J1565</f>
        <v>0</v>
      </c>
      <c r="W1565" s="116">
        <f>SUMIFS('FA Write off'!D:D,'FA Write off'!A:A,'FA Addition'!$A1565,'FA Write off'!C:C,"&lt;"&amp;'FA Addition'!$P$1)</f>
        <v>0</v>
      </c>
      <c r="Y1565" s="191">
        <f>IFERROR(W1565/'FA Addition'!$J1565*'FA Addition'!$L1565,0)</f>
        <v>0</v>
      </c>
      <c r="AA1565" s="116">
        <f>SUMIFS('FA Write off'!D:D,'FA Write off'!A:A,'FA Addition'!$A1565,'FA Write off'!C:C,"&lt;"&amp;'FA Addition'!$L$1+1,'FA Write off'!C:C,"&gt;"&amp;'FA Addition'!$L$1-365)</f>
        <v>0</v>
      </c>
      <c r="AC1565" s="118">
        <f>IFERROR(AA1565/'FA Addition'!$J1565*'FA Addition'!$L1565,0)</f>
        <v>0</v>
      </c>
      <c r="AE1565" s="117">
        <f>IF(AND('FA Addition'!$D1565&lt;$P$1+1,U1565=0),'FA Addition'!$L1565,0)-Y1565</f>
        <v>0</v>
      </c>
      <c r="AF1565" s="117">
        <f t="shared" si="120"/>
        <v>0</v>
      </c>
      <c r="AG1565" s="117">
        <f>MIN(MAX(+$P$1-'FA Addition'!$D1565,0),365*'FA Addition'!$O1565)</f>
        <v>0</v>
      </c>
      <c r="AH1565" s="117">
        <f>MIN(MAX($L$1-'FA Addition'!$D1565+1,0),365*'FA Addition'!$O1565)</f>
        <v>0</v>
      </c>
      <c r="AI1565" s="117" cm="1">
        <f t="array" ref="AI1565">_xlfn.XLOOKUP(1,('FA Write off'!A:A='FA Addition'!$A1565)*('FA Write off'!D:D=AA1565),'FA Write off'!H:H,0,0)</f>
        <v>0</v>
      </c>
      <c r="AJ1565" s="117">
        <f>IF(AC1565&gt;0,MAX(IF('FA Addition'!$N1565="SLM",($AC1565-'FA Addition'!$M1565)*'FA Addition'!$P1565*AI1565/365,(AC1565-'FA Addition'!$M1565)*(1-(1-'FA Addition'!$P1565)^(AI1565/365))),0),0)</f>
        <v>0</v>
      </c>
      <c r="AL1565" s="117">
        <f>MAX(IF(AG1565&gt;0,IF('FA Addition'!$N1565="SLM",($AE1565-'FA Addition'!$M1565)*'FA Addition'!$P1565*AG1565/365,IFERROR(VDB(AE1565,AE1565*0.05,'FA Addition'!$O1565,0,YEARFRAC('FA Addition'!$C1565,$P$1-1,3),'FA Addition'!$Q1565),FAAddition[[#This Row],[Original Cost (Rs)]]-FAAddition[[#This Row],[Salvage Value]])),0),0)</f>
        <v>0</v>
      </c>
      <c r="AM1565" s="119"/>
      <c r="AN1565" s="117">
        <f>MAX(IF(AH1565&gt;0,IF('FA Addition'!$N1565="SLM",($AF1565-'FA Addition'!$M1565)*'FA Addition'!$P1565*AH1565/365,IFERROR(VDB(AF1565,AF1565*0.05,'FA Addition'!$O1565,0,YEARFRAC('FA Addition'!$C1565,$L$1,3),'FA Addition'!$Q1565),FAAddition[[#This Row],[Original Cost (Rs)]]-FAAddition[[#This Row],[Salvage Value]])),0),0)</f>
        <v>0</v>
      </c>
      <c r="AO1565" s="117">
        <f t="shared" si="123"/>
        <v>0</v>
      </c>
      <c r="AQ1565" s="117">
        <f t="shared" si="121"/>
        <v>0</v>
      </c>
      <c r="AR1565" s="120">
        <f t="shared" si="122"/>
        <v>0</v>
      </c>
      <c r="AS1565" s="121"/>
    </row>
    <row r="1566" spans="1:45" ht="13.5" x14ac:dyDescent="0.4">
      <c r="A1566" s="12">
        <f t="shared" si="124"/>
        <v>1563</v>
      </c>
      <c r="B1566" s="64" t="s">
        <v>10</v>
      </c>
      <c r="C1566" s="54">
        <v>45955</v>
      </c>
      <c r="D1566" s="54">
        <v>45955</v>
      </c>
      <c r="E1566" s="46" t="s">
        <v>1320</v>
      </c>
      <c r="F1566" s="51" t="s">
        <v>33</v>
      </c>
      <c r="G1566" s="51" t="s">
        <v>34</v>
      </c>
      <c r="H1566" s="51" t="s">
        <v>32</v>
      </c>
      <c r="I1566" s="55" t="s">
        <v>205</v>
      </c>
      <c r="J1566" s="56">
        <v>1000</v>
      </c>
      <c r="K1566" s="51" t="s">
        <v>295</v>
      </c>
      <c r="L1566" s="58">
        <v>1499000</v>
      </c>
      <c r="M1566" s="50">
        <f>ROUND('FA Addition'!$L1566*5%,0.1)</f>
        <v>74950</v>
      </c>
      <c r="N1566" s="113" t="str">
        <f>_xlfn.XLOOKUP(_xlfn.CONCAT(E1566,B1566),'Year Wise Master Dep Approach'!F:F,'Year Wise Master Dep Approach'!D:D)</f>
        <v>SLM</v>
      </c>
      <c r="O1566" s="113">
        <f>_xlfn.XLOOKUP(_xlfn.CONCAT(E1566,B1566),'Year Wise Master Dep Approach'!F:F,'Year Wise Master Dep Approach'!E:E)</f>
        <v>5</v>
      </c>
      <c r="P1566" s="114">
        <f>IFERROR(IF('FA Addition'!$N1566="WDV",1-('FA Addition'!$M1566/'FA Addition'!$L1566)^(1/'FA Addition'!$O1566),1/'FA Addition'!$O1566),0)</f>
        <v>0.2</v>
      </c>
      <c r="Q1566" s="122">
        <f>'FA Addition'!$P1566*'FA Addition'!$O1566</f>
        <v>1</v>
      </c>
      <c r="R1566" s="122"/>
      <c r="S1566" s="116">
        <f>IF(AND(DATE(20&amp;LEFT(FAAddition[[#This Row],[FY]],2),4,1)&lt;$L$1+1,DATE(20&amp;LEFT(FAAddition[[#This Row],[FY]],2),4,1)&gt;$P$1-1),'FA Addition'!$J1566,0)</f>
        <v>0</v>
      </c>
      <c r="U1566" s="117">
        <f>S1566*'FA Addition'!$L1566/'FA Addition'!$J1566</f>
        <v>0</v>
      </c>
      <c r="W1566" s="116">
        <f>SUMIFS('FA Write off'!D:D,'FA Write off'!A:A,'FA Addition'!$A1566,'FA Write off'!C:C,"&lt;"&amp;'FA Addition'!$P$1)</f>
        <v>0</v>
      </c>
      <c r="Y1566" s="191">
        <f>IFERROR(W1566/'FA Addition'!$J1566*'FA Addition'!$L1566,0)</f>
        <v>0</v>
      </c>
      <c r="AA1566" s="116">
        <f>SUMIFS('FA Write off'!D:D,'FA Write off'!A:A,'FA Addition'!$A1566,'FA Write off'!C:C,"&lt;"&amp;'FA Addition'!$L$1+1,'FA Write off'!C:C,"&gt;"&amp;'FA Addition'!$L$1-365)</f>
        <v>0</v>
      </c>
      <c r="AC1566" s="118">
        <f>IFERROR(AA1566/'FA Addition'!$J1566*'FA Addition'!$L1566,0)</f>
        <v>0</v>
      </c>
      <c r="AE1566" s="117">
        <f>IF(AND('FA Addition'!$D1566&lt;$P$1+1,U1566=0),'FA Addition'!$L1566,0)-Y1566</f>
        <v>0</v>
      </c>
      <c r="AF1566" s="117">
        <f t="shared" si="120"/>
        <v>0</v>
      </c>
      <c r="AG1566" s="117">
        <f>MIN(MAX(+$P$1-'FA Addition'!$D1566,0),365*'FA Addition'!$O1566)</f>
        <v>0</v>
      </c>
      <c r="AH1566" s="117">
        <f>MIN(MAX($L$1-'FA Addition'!$D1566+1,0),365*'FA Addition'!$O1566)</f>
        <v>0</v>
      </c>
      <c r="AI1566" s="117" cm="1">
        <f t="array" ref="AI1566">_xlfn.XLOOKUP(1,('FA Write off'!A:A='FA Addition'!$A1566)*('FA Write off'!D:D=AA1566),'FA Write off'!H:H,0,0)</f>
        <v>0</v>
      </c>
      <c r="AJ1566" s="117">
        <f>IF(AC1566&gt;0,MAX(IF('FA Addition'!$N1566="SLM",($AC1566-'FA Addition'!$M1566)*'FA Addition'!$P1566*AI1566/365,(AC1566-'FA Addition'!$M1566)*(1-(1-'FA Addition'!$P1566)^(AI1566/365))),0),0)</f>
        <v>0</v>
      </c>
      <c r="AL1566" s="117">
        <f>MAX(IF(AG1566&gt;0,IF('FA Addition'!$N1566="SLM",($AE1566-'FA Addition'!$M1566)*'FA Addition'!$P1566*AG1566/365,IFERROR(VDB(AE1566,AE1566*0.05,'FA Addition'!$O1566,0,YEARFRAC('FA Addition'!$C1566,$P$1-1,3),'FA Addition'!$Q1566),FAAddition[[#This Row],[Original Cost (Rs)]]-FAAddition[[#This Row],[Salvage Value]])),0),0)</f>
        <v>0</v>
      </c>
      <c r="AM1566" s="119"/>
      <c r="AN1566" s="117">
        <f>MAX(IF(AH1566&gt;0,IF('FA Addition'!$N1566="SLM",($AF1566-'FA Addition'!$M1566)*'FA Addition'!$P1566*AH1566/365,IFERROR(VDB(AF1566,AF1566*0.05,'FA Addition'!$O1566,0,YEARFRAC('FA Addition'!$C1566,$L$1,3),'FA Addition'!$Q1566),FAAddition[[#This Row],[Original Cost (Rs)]]-FAAddition[[#This Row],[Salvage Value]])),0),0)</f>
        <v>0</v>
      </c>
      <c r="AO1566" s="117">
        <f t="shared" si="123"/>
        <v>0</v>
      </c>
      <c r="AQ1566" s="117">
        <f t="shared" si="121"/>
        <v>0</v>
      </c>
      <c r="AR1566" s="120">
        <f t="shared" si="122"/>
        <v>0</v>
      </c>
      <c r="AS1566" s="121"/>
    </row>
    <row r="1567" spans="1:45" ht="13.5" x14ac:dyDescent="0.4">
      <c r="A1567" s="12">
        <f t="shared" si="124"/>
        <v>1564</v>
      </c>
      <c r="B1567" s="64" t="s">
        <v>10</v>
      </c>
      <c r="C1567" s="54">
        <v>45957</v>
      </c>
      <c r="D1567" s="54">
        <v>45957</v>
      </c>
      <c r="E1567" s="46" t="s">
        <v>1320</v>
      </c>
      <c r="F1567" s="51" t="s">
        <v>33</v>
      </c>
      <c r="G1567" s="51" t="s">
        <v>34</v>
      </c>
      <c r="H1567" s="51" t="s">
        <v>32</v>
      </c>
      <c r="I1567" s="55" t="s">
        <v>206</v>
      </c>
      <c r="J1567" s="56">
        <v>1500</v>
      </c>
      <c r="K1567" s="51" t="s">
        <v>295</v>
      </c>
      <c r="L1567" s="58">
        <v>2248500</v>
      </c>
      <c r="M1567" s="50">
        <f>ROUND('FA Addition'!$L1567*5%,0.1)</f>
        <v>112425</v>
      </c>
      <c r="N1567" s="113" t="str">
        <f>_xlfn.XLOOKUP(_xlfn.CONCAT(E1567,B1567),'Year Wise Master Dep Approach'!F:F,'Year Wise Master Dep Approach'!D:D)</f>
        <v>SLM</v>
      </c>
      <c r="O1567" s="113">
        <f>_xlfn.XLOOKUP(_xlfn.CONCAT(E1567,B1567),'Year Wise Master Dep Approach'!F:F,'Year Wise Master Dep Approach'!E:E)</f>
        <v>5</v>
      </c>
      <c r="P1567" s="114">
        <f>IFERROR(IF('FA Addition'!$N1567="WDV",1-('FA Addition'!$M1567/'FA Addition'!$L1567)^(1/'FA Addition'!$O1567),1/'FA Addition'!$O1567),0)</f>
        <v>0.2</v>
      </c>
      <c r="Q1567" s="122">
        <f>'FA Addition'!$P1567*'FA Addition'!$O1567</f>
        <v>1</v>
      </c>
      <c r="R1567" s="122"/>
      <c r="S1567" s="116">
        <f>IF(AND(DATE(20&amp;LEFT(FAAddition[[#This Row],[FY]],2),4,1)&lt;$L$1+1,DATE(20&amp;LEFT(FAAddition[[#This Row],[FY]],2),4,1)&gt;$P$1-1),'FA Addition'!$J1567,0)</f>
        <v>0</v>
      </c>
      <c r="U1567" s="117">
        <f>S1567*'FA Addition'!$L1567/'FA Addition'!$J1567</f>
        <v>0</v>
      </c>
      <c r="W1567" s="116">
        <f>SUMIFS('FA Write off'!D:D,'FA Write off'!A:A,'FA Addition'!$A1567,'FA Write off'!C:C,"&lt;"&amp;'FA Addition'!$P$1)</f>
        <v>0</v>
      </c>
      <c r="Y1567" s="191">
        <f>IFERROR(W1567/'FA Addition'!$J1567*'FA Addition'!$L1567,0)</f>
        <v>0</v>
      </c>
      <c r="AA1567" s="116">
        <f>SUMIFS('FA Write off'!D:D,'FA Write off'!A:A,'FA Addition'!$A1567,'FA Write off'!C:C,"&lt;"&amp;'FA Addition'!$L$1+1,'FA Write off'!C:C,"&gt;"&amp;'FA Addition'!$L$1-365)</f>
        <v>0</v>
      </c>
      <c r="AC1567" s="118">
        <f>IFERROR(AA1567/'FA Addition'!$J1567*'FA Addition'!$L1567,0)</f>
        <v>0</v>
      </c>
      <c r="AE1567" s="117">
        <f>IF(AND('FA Addition'!$D1567&lt;$P$1+1,U1567=0),'FA Addition'!$L1567,0)-Y1567</f>
        <v>0</v>
      </c>
      <c r="AF1567" s="117">
        <f t="shared" si="120"/>
        <v>0</v>
      </c>
      <c r="AG1567" s="117">
        <f>MIN(MAX(+$P$1-'FA Addition'!$D1567,0),365*'FA Addition'!$O1567)</f>
        <v>0</v>
      </c>
      <c r="AH1567" s="117">
        <f>MIN(MAX($L$1-'FA Addition'!$D1567+1,0),365*'FA Addition'!$O1567)</f>
        <v>0</v>
      </c>
      <c r="AI1567" s="117" cm="1">
        <f t="array" ref="AI1567">_xlfn.XLOOKUP(1,('FA Write off'!A:A='FA Addition'!$A1567)*('FA Write off'!D:D=AA1567),'FA Write off'!H:H,0,0)</f>
        <v>0</v>
      </c>
      <c r="AJ1567" s="117">
        <f>IF(AC1567&gt;0,MAX(IF('FA Addition'!$N1567="SLM",($AC1567-'FA Addition'!$M1567)*'FA Addition'!$P1567*AI1567/365,(AC1567-'FA Addition'!$M1567)*(1-(1-'FA Addition'!$P1567)^(AI1567/365))),0),0)</f>
        <v>0</v>
      </c>
      <c r="AL1567" s="117">
        <f>MAX(IF(AG1567&gt;0,IF('FA Addition'!$N1567="SLM",($AE1567-'FA Addition'!$M1567)*'FA Addition'!$P1567*AG1567/365,IFERROR(VDB(AE1567,AE1567*0.05,'FA Addition'!$O1567,0,YEARFRAC('FA Addition'!$C1567,$P$1-1,3),'FA Addition'!$Q1567),FAAddition[[#This Row],[Original Cost (Rs)]]-FAAddition[[#This Row],[Salvage Value]])),0),0)</f>
        <v>0</v>
      </c>
      <c r="AM1567" s="119"/>
      <c r="AN1567" s="117">
        <f>MAX(IF(AH1567&gt;0,IF('FA Addition'!$N1567="SLM",($AF1567-'FA Addition'!$M1567)*'FA Addition'!$P1567*AH1567/365,IFERROR(VDB(AF1567,AF1567*0.05,'FA Addition'!$O1567,0,YEARFRAC('FA Addition'!$C1567,$L$1,3),'FA Addition'!$Q1567),FAAddition[[#This Row],[Original Cost (Rs)]]-FAAddition[[#This Row],[Salvage Value]])),0),0)</f>
        <v>0</v>
      </c>
      <c r="AO1567" s="117">
        <f t="shared" si="123"/>
        <v>0</v>
      </c>
      <c r="AQ1567" s="117">
        <f t="shared" si="121"/>
        <v>0</v>
      </c>
      <c r="AR1567" s="120">
        <f t="shared" si="122"/>
        <v>0</v>
      </c>
      <c r="AS1567" s="121"/>
    </row>
    <row r="1568" spans="1:45" ht="13.5" x14ac:dyDescent="0.4">
      <c r="A1568" s="12">
        <f t="shared" si="124"/>
        <v>1565</v>
      </c>
      <c r="B1568" s="64" t="s">
        <v>10</v>
      </c>
      <c r="C1568" s="54">
        <v>45931</v>
      </c>
      <c r="D1568" s="54">
        <v>45931</v>
      </c>
      <c r="E1568" s="46" t="s">
        <v>207</v>
      </c>
      <c r="F1568" s="51" t="s">
        <v>147</v>
      </c>
      <c r="G1568" s="51" t="s">
        <v>117</v>
      </c>
      <c r="H1568" s="51" t="s">
        <v>207</v>
      </c>
      <c r="I1568" s="55" t="s">
        <v>208</v>
      </c>
      <c r="J1568" s="56">
        <v>1</v>
      </c>
      <c r="K1568" s="51" t="s">
        <v>350</v>
      </c>
      <c r="L1568" s="58">
        <v>12117.8</v>
      </c>
      <c r="M1568" s="50">
        <f>ROUND('FA Addition'!$L1568*5%,0.1)</f>
        <v>606</v>
      </c>
      <c r="N1568" s="113" t="str">
        <f>_xlfn.XLOOKUP(_xlfn.CONCAT(E1568,B1568),'Year Wise Master Dep Approach'!F:F,'Year Wise Master Dep Approach'!D:D)</f>
        <v>WDV</v>
      </c>
      <c r="O1568" s="113">
        <f>_xlfn.XLOOKUP(_xlfn.CONCAT(E1568,B1568),'Year Wise Master Dep Approach'!F:F,'Year Wise Master Dep Approach'!E:E)</f>
        <v>5</v>
      </c>
      <c r="P1568" s="114">
        <f>IFERROR(IF('FA Addition'!$N1568="WDV",1-('FA Addition'!$M1568/'FA Addition'!$L1568)^(1/'FA Addition'!$O1568),1/'FA Addition'!$O1568),0)</f>
        <v>0.45069978530692656</v>
      </c>
      <c r="Q1568" s="122">
        <f>'FA Addition'!$P1568*'FA Addition'!$O1568</f>
        <v>2.2534989265346326</v>
      </c>
      <c r="R1568" s="122"/>
      <c r="S1568" s="116">
        <f>IF(AND(DATE(20&amp;LEFT(FAAddition[[#This Row],[FY]],2),4,1)&lt;$L$1+1,DATE(20&amp;LEFT(FAAddition[[#This Row],[FY]],2),4,1)&gt;$P$1-1),'FA Addition'!$J1568,0)</f>
        <v>0</v>
      </c>
      <c r="U1568" s="117">
        <f>S1568*'FA Addition'!$L1568/'FA Addition'!$J1568</f>
        <v>0</v>
      </c>
      <c r="W1568" s="116">
        <f>SUMIFS('FA Write off'!D:D,'FA Write off'!A:A,'FA Addition'!$A1568,'FA Write off'!C:C,"&lt;"&amp;'FA Addition'!$P$1)</f>
        <v>0</v>
      </c>
      <c r="Y1568" s="191">
        <f>IFERROR(W1568/'FA Addition'!$J1568*'FA Addition'!$L1568,0)</f>
        <v>0</v>
      </c>
      <c r="AA1568" s="116">
        <f>SUMIFS('FA Write off'!D:D,'FA Write off'!A:A,'FA Addition'!$A1568,'FA Write off'!C:C,"&lt;"&amp;'FA Addition'!$L$1+1,'FA Write off'!C:C,"&gt;"&amp;'FA Addition'!$L$1-365)</f>
        <v>0</v>
      </c>
      <c r="AC1568" s="118">
        <f>IFERROR(AA1568/'FA Addition'!$J1568*'FA Addition'!$L1568,0)</f>
        <v>0</v>
      </c>
      <c r="AE1568" s="117">
        <f>IF(AND('FA Addition'!$D1568&lt;$P$1+1,U1568=0),'FA Addition'!$L1568,0)-Y1568</f>
        <v>0</v>
      </c>
      <c r="AF1568" s="117">
        <f t="shared" si="120"/>
        <v>0</v>
      </c>
      <c r="AG1568" s="117">
        <f>MIN(MAX(+$P$1-'FA Addition'!$D1568,0),365*'FA Addition'!$O1568)</f>
        <v>0</v>
      </c>
      <c r="AH1568" s="117">
        <f>MIN(MAX($L$1-'FA Addition'!$D1568+1,0),365*'FA Addition'!$O1568)</f>
        <v>0</v>
      </c>
      <c r="AI1568" s="117" cm="1">
        <f t="array" ref="AI1568">_xlfn.XLOOKUP(1,('FA Write off'!A:A='FA Addition'!$A1568)*('FA Write off'!D:D=AA1568),'FA Write off'!H:H,0,0)</f>
        <v>0</v>
      </c>
      <c r="AJ1568" s="117">
        <f>IF(AC1568&gt;0,MAX(IF('FA Addition'!$N1568="SLM",($AC1568-'FA Addition'!$M1568)*'FA Addition'!$P1568*AI1568/365,(AC1568-'FA Addition'!$M1568)*(1-(1-'FA Addition'!$P1568)^(AI1568/365))),0),0)</f>
        <v>0</v>
      </c>
      <c r="AL1568" s="117">
        <f>MAX(IF(AG1568&gt;0,IF('FA Addition'!$N1568="SLM",($AE1568-'FA Addition'!$M1568)*'FA Addition'!$P1568*AG1568/365,IFERROR(VDB(AE1568,AE1568*0.05,'FA Addition'!$O1568,0,YEARFRAC('FA Addition'!$C1568,$P$1-1,3),'FA Addition'!$Q1568),FAAddition[[#This Row],[Original Cost (Rs)]]-FAAddition[[#This Row],[Salvage Value]])),0),0)</f>
        <v>0</v>
      </c>
      <c r="AM1568" s="119"/>
      <c r="AN1568" s="117">
        <f>MAX(IF(AH1568&gt;0,IF('FA Addition'!$N1568="SLM",($AF1568-'FA Addition'!$M1568)*'FA Addition'!$P1568*AH1568/365,IFERROR(VDB(AF1568,AF1568*0.05,'FA Addition'!$O1568,0,YEARFRAC('FA Addition'!$C1568,$L$1,3),'FA Addition'!$Q1568),FAAddition[[#This Row],[Original Cost (Rs)]]-FAAddition[[#This Row],[Salvage Value]])),0),0)</f>
        <v>0</v>
      </c>
      <c r="AO1568" s="117">
        <f t="shared" si="123"/>
        <v>0</v>
      </c>
      <c r="AQ1568" s="117">
        <f t="shared" si="121"/>
        <v>0</v>
      </c>
      <c r="AR1568" s="120">
        <f t="shared" si="122"/>
        <v>0</v>
      </c>
      <c r="AS1568" s="121"/>
    </row>
    <row r="1569" spans="1:45" ht="13.5" x14ac:dyDescent="0.4">
      <c r="A1569" s="12">
        <f t="shared" si="124"/>
        <v>1566</v>
      </c>
      <c r="B1569" s="64" t="s">
        <v>10</v>
      </c>
      <c r="C1569" s="54">
        <v>45937</v>
      </c>
      <c r="D1569" s="54">
        <v>45937</v>
      </c>
      <c r="E1569" s="46" t="s">
        <v>749</v>
      </c>
      <c r="F1569" s="51" t="s">
        <v>74</v>
      </c>
      <c r="G1569" s="51" t="s">
        <v>117</v>
      </c>
      <c r="H1569" s="51" t="s">
        <v>209</v>
      </c>
      <c r="I1569" s="55" t="s">
        <v>210</v>
      </c>
      <c r="J1569" s="56">
        <v>1</v>
      </c>
      <c r="K1569" s="51" t="s">
        <v>351</v>
      </c>
      <c r="L1569" s="58">
        <v>7089.25</v>
      </c>
      <c r="M1569" s="50">
        <f>ROUND('FA Addition'!$L1569*5%,0.1)</f>
        <v>354</v>
      </c>
      <c r="N1569" s="113" t="str">
        <f>_xlfn.XLOOKUP(_xlfn.CONCAT(E1569,B1569),'Year Wise Master Dep Approach'!F:F,'Year Wise Master Dep Approach'!D:D)</f>
        <v>WDV</v>
      </c>
      <c r="O1569" s="113">
        <f>_xlfn.XLOOKUP(_xlfn.CONCAT(E1569,B1569),'Year Wise Master Dep Approach'!F:F,'Year Wise Master Dep Approach'!E:E)</f>
        <v>5</v>
      </c>
      <c r="P1569" s="114">
        <f>IFERROR(IF('FA Addition'!$N1569="WDV",1-('FA Addition'!$M1569/'FA Addition'!$L1569)^(1/'FA Addition'!$O1569),1/'FA Addition'!$O1569),0)</f>
        <v>0.45086314256900173</v>
      </c>
      <c r="Q1569" s="122">
        <f>'FA Addition'!$P1569*'FA Addition'!$O1569</f>
        <v>2.2543157128450089</v>
      </c>
      <c r="R1569" s="122"/>
      <c r="S1569" s="116">
        <f>IF(AND(DATE(20&amp;LEFT(FAAddition[[#This Row],[FY]],2),4,1)&lt;$L$1+1,DATE(20&amp;LEFT(FAAddition[[#This Row],[FY]],2),4,1)&gt;$P$1-1),'FA Addition'!$J1569,0)</f>
        <v>0</v>
      </c>
      <c r="U1569" s="117">
        <f>S1569*'FA Addition'!$L1569/'FA Addition'!$J1569</f>
        <v>0</v>
      </c>
      <c r="W1569" s="116">
        <f>SUMIFS('FA Write off'!D:D,'FA Write off'!A:A,'FA Addition'!$A1569,'FA Write off'!C:C,"&lt;"&amp;'FA Addition'!$P$1)</f>
        <v>0</v>
      </c>
      <c r="Y1569" s="191">
        <f>IFERROR(W1569/'FA Addition'!$J1569*'FA Addition'!$L1569,0)</f>
        <v>0</v>
      </c>
      <c r="AA1569" s="116">
        <f>SUMIFS('FA Write off'!D:D,'FA Write off'!A:A,'FA Addition'!$A1569,'FA Write off'!C:C,"&lt;"&amp;'FA Addition'!$L$1+1,'FA Write off'!C:C,"&gt;"&amp;'FA Addition'!$L$1-365)</f>
        <v>0</v>
      </c>
      <c r="AC1569" s="118">
        <f>IFERROR(AA1569/'FA Addition'!$J1569*'FA Addition'!$L1569,0)</f>
        <v>0</v>
      </c>
      <c r="AE1569" s="117">
        <f>IF(AND('FA Addition'!$D1569&lt;$P$1+1,U1569=0),'FA Addition'!$L1569,0)-Y1569</f>
        <v>0</v>
      </c>
      <c r="AF1569" s="117">
        <f t="shared" si="120"/>
        <v>0</v>
      </c>
      <c r="AG1569" s="117">
        <f>MIN(MAX(+$P$1-'FA Addition'!$D1569,0),365*'FA Addition'!$O1569)</f>
        <v>0</v>
      </c>
      <c r="AH1569" s="117">
        <f>MIN(MAX($L$1-'FA Addition'!$D1569+1,0),365*'FA Addition'!$O1569)</f>
        <v>0</v>
      </c>
      <c r="AI1569" s="117" cm="1">
        <f t="array" ref="AI1569">_xlfn.XLOOKUP(1,('FA Write off'!A:A='FA Addition'!$A1569)*('FA Write off'!D:D=AA1569),'FA Write off'!H:H,0,0)</f>
        <v>0</v>
      </c>
      <c r="AJ1569" s="117">
        <f>IF(AC1569&gt;0,MAX(IF('FA Addition'!$N1569="SLM",($AC1569-'FA Addition'!$M1569)*'FA Addition'!$P1569*AI1569/365,(AC1569-'FA Addition'!$M1569)*(1-(1-'FA Addition'!$P1569)^(AI1569/365))),0),0)</f>
        <v>0</v>
      </c>
      <c r="AL1569" s="117">
        <f>MAX(IF(AG1569&gt;0,IF('FA Addition'!$N1569="SLM",($AE1569-'FA Addition'!$M1569)*'FA Addition'!$P1569*AG1569/365,IFERROR(VDB(AE1569,AE1569*0.05,'FA Addition'!$O1569,0,YEARFRAC('FA Addition'!$C1569,$P$1-1,3),'FA Addition'!$Q1569),FAAddition[[#This Row],[Original Cost (Rs)]]-FAAddition[[#This Row],[Salvage Value]])),0),0)</f>
        <v>0</v>
      </c>
      <c r="AM1569" s="119"/>
      <c r="AN1569" s="117">
        <f>MAX(IF(AH1569&gt;0,IF('FA Addition'!$N1569="SLM",($AF1569-'FA Addition'!$M1569)*'FA Addition'!$P1569*AH1569/365,IFERROR(VDB(AF1569,AF1569*0.05,'FA Addition'!$O1569,0,YEARFRAC('FA Addition'!$C1569,$L$1,3),'FA Addition'!$Q1569),FAAddition[[#This Row],[Original Cost (Rs)]]-FAAddition[[#This Row],[Salvage Value]])),0),0)</f>
        <v>0</v>
      </c>
      <c r="AO1569" s="117">
        <f t="shared" si="123"/>
        <v>0</v>
      </c>
      <c r="AQ1569" s="117">
        <f t="shared" si="121"/>
        <v>0</v>
      </c>
      <c r="AR1569" s="120">
        <f t="shared" si="122"/>
        <v>0</v>
      </c>
      <c r="AS1569" s="121"/>
    </row>
    <row r="1570" spans="1:45" ht="13.5" x14ac:dyDescent="0.4">
      <c r="A1570" s="12">
        <f t="shared" si="124"/>
        <v>1567</v>
      </c>
      <c r="B1570" s="64" t="s">
        <v>10</v>
      </c>
      <c r="C1570" s="54">
        <v>45959</v>
      </c>
      <c r="D1570" s="54">
        <v>45959</v>
      </c>
      <c r="E1570" s="46" t="s">
        <v>749</v>
      </c>
      <c r="F1570" s="51" t="s">
        <v>74</v>
      </c>
      <c r="G1570" s="51" t="s">
        <v>117</v>
      </c>
      <c r="H1570" s="51" t="s">
        <v>211</v>
      </c>
      <c r="I1570" s="55" t="s">
        <v>212</v>
      </c>
      <c r="J1570" s="56">
        <v>1</v>
      </c>
      <c r="K1570" s="51" t="s">
        <v>352</v>
      </c>
      <c r="L1570" s="58">
        <v>8805.08</v>
      </c>
      <c r="M1570" s="50">
        <f>ROUND('FA Addition'!$L1570*5%,0.1)</f>
        <v>440</v>
      </c>
      <c r="N1570" s="113" t="str">
        <f>_xlfn.XLOOKUP(_xlfn.CONCAT(E1570,B1570),'Year Wise Master Dep Approach'!F:F,'Year Wise Master Dep Approach'!D:D)</f>
        <v>WDV</v>
      </c>
      <c r="O1570" s="113">
        <f>_xlfn.XLOOKUP(_xlfn.CONCAT(E1570,B1570),'Year Wise Master Dep Approach'!F:F,'Year Wise Master Dep Approach'!E:E)</f>
        <v>5</v>
      </c>
      <c r="P1570" s="114">
        <f>IFERROR(IF('FA Addition'!$N1570="WDV",1-('FA Addition'!$M1570/'FA Addition'!$L1570)^(1/'FA Addition'!$O1570),1/'FA Addition'!$O1570),0)</f>
        <v>0.45078312329501691</v>
      </c>
      <c r="Q1570" s="122">
        <f>'FA Addition'!$P1570*'FA Addition'!$O1570</f>
        <v>2.2539156164750844</v>
      </c>
      <c r="R1570" s="122"/>
      <c r="S1570" s="116">
        <f>IF(AND(DATE(20&amp;LEFT(FAAddition[[#This Row],[FY]],2),4,1)&lt;$L$1+1,DATE(20&amp;LEFT(FAAddition[[#This Row],[FY]],2),4,1)&gt;$P$1-1),'FA Addition'!$J1570,0)</f>
        <v>0</v>
      </c>
      <c r="U1570" s="117">
        <f>S1570*'FA Addition'!$L1570/'FA Addition'!$J1570</f>
        <v>0</v>
      </c>
      <c r="W1570" s="116">
        <f>SUMIFS('FA Write off'!D:D,'FA Write off'!A:A,'FA Addition'!$A1570,'FA Write off'!C:C,"&lt;"&amp;'FA Addition'!$P$1)</f>
        <v>0</v>
      </c>
      <c r="Y1570" s="191">
        <f>IFERROR(W1570/'FA Addition'!$J1570*'FA Addition'!$L1570,0)</f>
        <v>0</v>
      </c>
      <c r="AA1570" s="116">
        <f>SUMIFS('FA Write off'!D:D,'FA Write off'!A:A,'FA Addition'!$A1570,'FA Write off'!C:C,"&lt;"&amp;'FA Addition'!$L$1+1,'FA Write off'!C:C,"&gt;"&amp;'FA Addition'!$L$1-365)</f>
        <v>0</v>
      </c>
      <c r="AC1570" s="118">
        <f>IFERROR(AA1570/'FA Addition'!$J1570*'FA Addition'!$L1570,0)</f>
        <v>0</v>
      </c>
      <c r="AE1570" s="117">
        <f>IF(AND('FA Addition'!$D1570&lt;$P$1+1,U1570=0),'FA Addition'!$L1570,0)-Y1570</f>
        <v>0</v>
      </c>
      <c r="AF1570" s="117">
        <f t="shared" si="120"/>
        <v>0</v>
      </c>
      <c r="AG1570" s="117">
        <f>MIN(MAX(+$P$1-'FA Addition'!$D1570,0),365*'FA Addition'!$O1570)</f>
        <v>0</v>
      </c>
      <c r="AH1570" s="117">
        <f>MIN(MAX($L$1-'FA Addition'!$D1570+1,0),365*'FA Addition'!$O1570)</f>
        <v>0</v>
      </c>
      <c r="AI1570" s="117" cm="1">
        <f t="array" ref="AI1570">_xlfn.XLOOKUP(1,('FA Write off'!A:A='FA Addition'!$A1570)*('FA Write off'!D:D=AA1570),'FA Write off'!H:H,0,0)</f>
        <v>0</v>
      </c>
      <c r="AJ1570" s="117">
        <f>IF(AC1570&gt;0,MAX(IF('FA Addition'!$N1570="SLM",($AC1570-'FA Addition'!$M1570)*'FA Addition'!$P1570*AI1570/365,(AC1570-'FA Addition'!$M1570)*(1-(1-'FA Addition'!$P1570)^(AI1570/365))),0),0)</f>
        <v>0</v>
      </c>
      <c r="AL1570" s="117">
        <f>MAX(IF(AG1570&gt;0,IF('FA Addition'!$N1570="SLM",($AE1570-'FA Addition'!$M1570)*'FA Addition'!$P1570*AG1570/365,IFERROR(VDB(AE1570,AE1570*0.05,'FA Addition'!$O1570,0,YEARFRAC('FA Addition'!$C1570,$P$1-1,3),'FA Addition'!$Q1570),FAAddition[[#This Row],[Original Cost (Rs)]]-FAAddition[[#This Row],[Salvage Value]])),0),0)</f>
        <v>0</v>
      </c>
      <c r="AM1570" s="119"/>
      <c r="AN1570" s="117">
        <f>MAX(IF(AH1570&gt;0,IF('FA Addition'!$N1570="SLM",($AF1570-'FA Addition'!$M1570)*'FA Addition'!$P1570*AH1570/365,IFERROR(VDB(AF1570,AF1570*0.05,'FA Addition'!$O1570,0,YEARFRAC('FA Addition'!$C1570,$L$1,3),'FA Addition'!$Q1570),FAAddition[[#This Row],[Original Cost (Rs)]]-FAAddition[[#This Row],[Salvage Value]])),0),0)</f>
        <v>0</v>
      </c>
      <c r="AO1570" s="117">
        <f t="shared" si="123"/>
        <v>0</v>
      </c>
      <c r="AQ1570" s="117">
        <f t="shared" si="121"/>
        <v>0</v>
      </c>
      <c r="AR1570" s="120">
        <f t="shared" si="122"/>
        <v>0</v>
      </c>
      <c r="AS1570" s="121"/>
    </row>
    <row r="1571" spans="1:45" ht="13.5" x14ac:dyDescent="0.4">
      <c r="A1571" s="12">
        <f t="shared" si="124"/>
        <v>1568</v>
      </c>
      <c r="B1571" s="64" t="s">
        <v>10</v>
      </c>
      <c r="C1571" s="54">
        <v>45980</v>
      </c>
      <c r="D1571" s="54">
        <v>45980</v>
      </c>
      <c r="E1571" s="46" t="s">
        <v>207</v>
      </c>
      <c r="F1571" s="51" t="s">
        <v>147</v>
      </c>
      <c r="G1571" s="51" t="s">
        <v>117</v>
      </c>
      <c r="H1571" s="51" t="s">
        <v>207</v>
      </c>
      <c r="I1571" s="55" t="s">
        <v>213</v>
      </c>
      <c r="J1571" s="56">
        <v>1</v>
      </c>
      <c r="K1571" s="51" t="s">
        <v>353</v>
      </c>
      <c r="L1571" s="58">
        <v>5761.86</v>
      </c>
      <c r="M1571" s="50">
        <f>ROUND('FA Addition'!$L1571*5%,0.1)</f>
        <v>288</v>
      </c>
      <c r="N1571" s="113" t="str">
        <f>_xlfn.XLOOKUP(_xlfn.CONCAT(E1571,B1571),'Year Wise Master Dep Approach'!F:F,'Year Wise Master Dep Approach'!D:D)</f>
        <v>WDV</v>
      </c>
      <c r="O1571" s="113">
        <f>_xlfn.XLOOKUP(_xlfn.CONCAT(E1571,B1571),'Year Wise Master Dep Approach'!F:F,'Year Wise Master Dep Approach'!E:E)</f>
        <v>5</v>
      </c>
      <c r="P1571" s="114">
        <f>IFERROR(IF('FA Addition'!$N1571="WDV",1-('FA Addition'!$M1571/'FA Addition'!$L1571)^(1/'FA Addition'!$O1571),1/'FA Addition'!$O1571),0)</f>
        <v>0.45075519582629042</v>
      </c>
      <c r="Q1571" s="122">
        <f>'FA Addition'!$P1571*'FA Addition'!$O1571</f>
        <v>2.253775979131452</v>
      </c>
      <c r="R1571" s="122"/>
      <c r="S1571" s="116">
        <f>IF(AND(DATE(20&amp;LEFT(FAAddition[[#This Row],[FY]],2),4,1)&lt;$L$1+1,DATE(20&amp;LEFT(FAAddition[[#This Row],[FY]],2),4,1)&gt;$P$1-1),'FA Addition'!$J1571,0)</f>
        <v>0</v>
      </c>
      <c r="U1571" s="117">
        <f>S1571*'FA Addition'!$L1571/'FA Addition'!$J1571</f>
        <v>0</v>
      </c>
      <c r="W1571" s="116">
        <f>SUMIFS('FA Write off'!D:D,'FA Write off'!A:A,'FA Addition'!$A1571,'FA Write off'!C:C,"&lt;"&amp;'FA Addition'!$P$1)</f>
        <v>0</v>
      </c>
      <c r="Y1571" s="191">
        <f>IFERROR(W1571/'FA Addition'!$J1571*'FA Addition'!$L1571,0)</f>
        <v>0</v>
      </c>
      <c r="AA1571" s="116">
        <f>SUMIFS('FA Write off'!D:D,'FA Write off'!A:A,'FA Addition'!$A1571,'FA Write off'!C:C,"&lt;"&amp;'FA Addition'!$L$1+1,'FA Write off'!C:C,"&gt;"&amp;'FA Addition'!$L$1-365)</f>
        <v>0</v>
      </c>
      <c r="AC1571" s="118">
        <f>IFERROR(AA1571/'FA Addition'!$J1571*'FA Addition'!$L1571,0)</f>
        <v>0</v>
      </c>
      <c r="AE1571" s="117">
        <f>IF(AND('FA Addition'!$D1571&lt;$P$1+1,U1571=0),'FA Addition'!$L1571,0)-Y1571</f>
        <v>0</v>
      </c>
      <c r="AF1571" s="117">
        <f t="shared" si="120"/>
        <v>0</v>
      </c>
      <c r="AG1571" s="117">
        <f>MIN(MAX(+$P$1-'FA Addition'!$D1571,0),365*'FA Addition'!$O1571)</f>
        <v>0</v>
      </c>
      <c r="AH1571" s="117">
        <f>MIN(MAX($L$1-'FA Addition'!$D1571+1,0),365*'FA Addition'!$O1571)</f>
        <v>0</v>
      </c>
      <c r="AI1571" s="117" cm="1">
        <f t="array" ref="AI1571">_xlfn.XLOOKUP(1,('FA Write off'!A:A='FA Addition'!$A1571)*('FA Write off'!D:D=AA1571),'FA Write off'!H:H,0,0)</f>
        <v>0</v>
      </c>
      <c r="AJ1571" s="117">
        <f>IF(AC1571&gt;0,MAX(IF('FA Addition'!$N1571="SLM",($AC1571-'FA Addition'!$M1571)*'FA Addition'!$P1571*AI1571/365,(AC1571-'FA Addition'!$M1571)*(1-(1-'FA Addition'!$P1571)^(AI1571/365))),0),0)</f>
        <v>0</v>
      </c>
      <c r="AL1571" s="117">
        <f>MAX(IF(AG1571&gt;0,IF('FA Addition'!$N1571="SLM",($AE1571-'FA Addition'!$M1571)*'FA Addition'!$P1571*AG1571/365,IFERROR(VDB(AE1571,AE1571*0.05,'FA Addition'!$O1571,0,YEARFRAC('FA Addition'!$C1571,$P$1-1,3),'FA Addition'!$Q1571),FAAddition[[#This Row],[Original Cost (Rs)]]-FAAddition[[#This Row],[Salvage Value]])),0),0)</f>
        <v>0</v>
      </c>
      <c r="AM1571" s="119"/>
      <c r="AN1571" s="117">
        <f>MAX(IF(AH1571&gt;0,IF('FA Addition'!$N1571="SLM",($AF1571-'FA Addition'!$M1571)*'FA Addition'!$P1571*AH1571/365,IFERROR(VDB(AF1571,AF1571*0.05,'FA Addition'!$O1571,0,YEARFRAC('FA Addition'!$C1571,$L$1,3),'FA Addition'!$Q1571),FAAddition[[#This Row],[Original Cost (Rs)]]-FAAddition[[#This Row],[Salvage Value]])),0),0)</f>
        <v>0</v>
      </c>
      <c r="AO1571" s="117">
        <f t="shared" si="123"/>
        <v>0</v>
      </c>
      <c r="AQ1571" s="117">
        <f t="shared" si="121"/>
        <v>0</v>
      </c>
      <c r="AR1571" s="120">
        <f t="shared" si="122"/>
        <v>0</v>
      </c>
      <c r="AS1571" s="121"/>
    </row>
    <row r="1572" spans="1:45" ht="13.5" x14ac:dyDescent="0.4">
      <c r="A1572" s="12">
        <f t="shared" si="124"/>
        <v>1569</v>
      </c>
      <c r="B1572" s="64" t="s">
        <v>10</v>
      </c>
      <c r="C1572" s="54">
        <v>45980</v>
      </c>
      <c r="D1572" s="54">
        <v>45980</v>
      </c>
      <c r="E1572" s="46" t="s">
        <v>207</v>
      </c>
      <c r="F1572" s="51" t="s">
        <v>147</v>
      </c>
      <c r="G1572" s="51" t="s">
        <v>117</v>
      </c>
      <c r="H1572" s="51" t="s">
        <v>207</v>
      </c>
      <c r="I1572" s="55" t="s">
        <v>213</v>
      </c>
      <c r="J1572" s="56">
        <v>1</v>
      </c>
      <c r="K1572" s="51" t="s">
        <v>353</v>
      </c>
      <c r="L1572" s="58">
        <v>5761.86</v>
      </c>
      <c r="M1572" s="50">
        <f>ROUND('FA Addition'!$L1572*5%,0.1)</f>
        <v>288</v>
      </c>
      <c r="N1572" s="113" t="str">
        <f>_xlfn.XLOOKUP(_xlfn.CONCAT(E1572,B1572),'Year Wise Master Dep Approach'!F:F,'Year Wise Master Dep Approach'!D:D)</f>
        <v>WDV</v>
      </c>
      <c r="O1572" s="113">
        <f>_xlfn.XLOOKUP(_xlfn.CONCAT(E1572,B1572),'Year Wise Master Dep Approach'!F:F,'Year Wise Master Dep Approach'!E:E)</f>
        <v>5</v>
      </c>
      <c r="P1572" s="114">
        <f>IFERROR(IF('FA Addition'!$N1572="WDV",1-('FA Addition'!$M1572/'FA Addition'!$L1572)^(1/'FA Addition'!$O1572),1/'FA Addition'!$O1572),0)</f>
        <v>0.45075519582629042</v>
      </c>
      <c r="Q1572" s="122">
        <f>'FA Addition'!$P1572*'FA Addition'!$O1572</f>
        <v>2.253775979131452</v>
      </c>
      <c r="R1572" s="122"/>
      <c r="S1572" s="116">
        <f>IF(AND(DATE(20&amp;LEFT(FAAddition[[#This Row],[FY]],2),4,1)&lt;$L$1+1,DATE(20&amp;LEFT(FAAddition[[#This Row],[FY]],2),4,1)&gt;$P$1-1),'FA Addition'!$J1572,0)</f>
        <v>0</v>
      </c>
      <c r="U1572" s="117">
        <f>S1572*'FA Addition'!$L1572/'FA Addition'!$J1572</f>
        <v>0</v>
      </c>
      <c r="W1572" s="116">
        <f>SUMIFS('FA Write off'!D:D,'FA Write off'!A:A,'FA Addition'!$A1572,'FA Write off'!C:C,"&lt;"&amp;'FA Addition'!$P$1)</f>
        <v>0</v>
      </c>
      <c r="Y1572" s="191">
        <f>IFERROR(W1572/'FA Addition'!$J1572*'FA Addition'!$L1572,0)</f>
        <v>0</v>
      </c>
      <c r="AA1572" s="116">
        <f>SUMIFS('FA Write off'!D:D,'FA Write off'!A:A,'FA Addition'!$A1572,'FA Write off'!C:C,"&lt;"&amp;'FA Addition'!$L$1+1,'FA Write off'!C:C,"&gt;"&amp;'FA Addition'!$L$1-365)</f>
        <v>0</v>
      </c>
      <c r="AC1572" s="118">
        <f>IFERROR(AA1572/'FA Addition'!$J1572*'FA Addition'!$L1572,0)</f>
        <v>0</v>
      </c>
      <c r="AE1572" s="117">
        <f>IF(AND('FA Addition'!$D1572&lt;$P$1+1,U1572=0),'FA Addition'!$L1572,0)-Y1572</f>
        <v>0</v>
      </c>
      <c r="AF1572" s="117">
        <f t="shared" si="120"/>
        <v>0</v>
      </c>
      <c r="AG1572" s="117">
        <f>MIN(MAX(+$P$1-'FA Addition'!$D1572,0),365*'FA Addition'!$O1572)</f>
        <v>0</v>
      </c>
      <c r="AH1572" s="117">
        <f>MIN(MAX($L$1-'FA Addition'!$D1572+1,0),365*'FA Addition'!$O1572)</f>
        <v>0</v>
      </c>
      <c r="AI1572" s="117" cm="1">
        <f t="array" ref="AI1572">_xlfn.XLOOKUP(1,('FA Write off'!A:A='FA Addition'!$A1572)*('FA Write off'!D:D=AA1572),'FA Write off'!H:H,0,0)</f>
        <v>0</v>
      </c>
      <c r="AJ1572" s="117">
        <f>IF(AC1572&gt;0,MAX(IF('FA Addition'!$N1572="SLM",($AC1572-'FA Addition'!$M1572)*'FA Addition'!$P1572*AI1572/365,(AC1572-'FA Addition'!$M1572)*(1-(1-'FA Addition'!$P1572)^(AI1572/365))),0),0)</f>
        <v>0</v>
      </c>
      <c r="AL1572" s="117">
        <f>MAX(IF(AG1572&gt;0,IF('FA Addition'!$N1572="SLM",($AE1572-'FA Addition'!$M1572)*'FA Addition'!$P1572*AG1572/365,IFERROR(VDB(AE1572,AE1572*0.05,'FA Addition'!$O1572,0,YEARFRAC('FA Addition'!$C1572,$P$1-1,3),'FA Addition'!$Q1572),FAAddition[[#This Row],[Original Cost (Rs)]]-FAAddition[[#This Row],[Salvage Value]])),0),0)</f>
        <v>0</v>
      </c>
      <c r="AM1572" s="119"/>
      <c r="AN1572" s="117">
        <f>MAX(IF(AH1572&gt;0,IF('FA Addition'!$N1572="SLM",($AF1572-'FA Addition'!$M1572)*'FA Addition'!$P1572*AH1572/365,IFERROR(VDB(AF1572,AF1572*0.05,'FA Addition'!$O1572,0,YEARFRAC('FA Addition'!$C1572,$L$1,3),'FA Addition'!$Q1572),FAAddition[[#This Row],[Original Cost (Rs)]]-FAAddition[[#This Row],[Salvage Value]])),0),0)</f>
        <v>0</v>
      </c>
      <c r="AO1572" s="117">
        <f t="shared" si="123"/>
        <v>0</v>
      </c>
      <c r="AQ1572" s="117">
        <f t="shared" si="121"/>
        <v>0</v>
      </c>
      <c r="AR1572" s="120">
        <f t="shared" si="122"/>
        <v>0</v>
      </c>
      <c r="AS1572" s="121"/>
    </row>
    <row r="1573" spans="1:45" ht="13.5" x14ac:dyDescent="0.4">
      <c r="A1573" s="12">
        <f t="shared" si="124"/>
        <v>1570</v>
      </c>
      <c r="B1573" s="64" t="s">
        <v>10</v>
      </c>
      <c r="C1573" s="54">
        <v>45937</v>
      </c>
      <c r="D1573" s="54">
        <v>45937</v>
      </c>
      <c r="E1573" s="46" t="s">
        <v>451</v>
      </c>
      <c r="F1573" s="51" t="s">
        <v>19</v>
      </c>
      <c r="G1573" s="51" t="s">
        <v>20</v>
      </c>
      <c r="H1573" s="51" t="s">
        <v>21</v>
      </c>
      <c r="I1573" s="55" t="s">
        <v>214</v>
      </c>
      <c r="J1573" s="56">
        <v>1</v>
      </c>
      <c r="K1573" s="51" t="s">
        <v>354</v>
      </c>
      <c r="L1573" s="58">
        <v>127950</v>
      </c>
      <c r="M1573" s="50">
        <f>ROUND('FA Addition'!$L1573*5%,0.1)</f>
        <v>6398</v>
      </c>
      <c r="N1573" s="113" t="str">
        <f>_xlfn.XLOOKUP(_xlfn.CONCAT(E1573,B1573),'Year Wise Master Dep Approach'!F:F,'Year Wise Master Dep Approach'!D:D)</f>
        <v>WDV</v>
      </c>
      <c r="O1573" s="113">
        <f>_xlfn.XLOOKUP(_xlfn.CONCAT(E1573,B1573),'Year Wise Master Dep Approach'!F:F,'Year Wise Master Dep Approach'!E:E)</f>
        <v>3</v>
      </c>
      <c r="P1573" s="114">
        <f>IFERROR(IF('FA Addition'!$N1573="WDV",1-('FA Addition'!$M1573/'FA Addition'!$L1573)^(1/'FA Addition'!$O1573),1/'FA Addition'!$O1573),0)</f>
        <v>0.63158725280490235</v>
      </c>
      <c r="Q1573" s="122">
        <f>'FA Addition'!$P1573*'FA Addition'!$O1573</f>
        <v>1.894761758414707</v>
      </c>
      <c r="R1573" s="122"/>
      <c r="S1573" s="116">
        <f>IF(AND(DATE(20&amp;LEFT(FAAddition[[#This Row],[FY]],2),4,1)&lt;$L$1+1,DATE(20&amp;LEFT(FAAddition[[#This Row],[FY]],2),4,1)&gt;$P$1-1),'FA Addition'!$J1573,0)</f>
        <v>0</v>
      </c>
      <c r="U1573" s="117">
        <f>S1573*'FA Addition'!$L1573/'FA Addition'!$J1573</f>
        <v>0</v>
      </c>
      <c r="W1573" s="116">
        <f>SUMIFS('FA Write off'!D:D,'FA Write off'!A:A,'FA Addition'!$A1573,'FA Write off'!C:C,"&lt;"&amp;'FA Addition'!$P$1)</f>
        <v>0</v>
      </c>
      <c r="Y1573" s="191">
        <f>IFERROR(W1573/'FA Addition'!$J1573*'FA Addition'!$L1573,0)</f>
        <v>0</v>
      </c>
      <c r="AA1573" s="116">
        <f>SUMIFS('FA Write off'!D:D,'FA Write off'!A:A,'FA Addition'!$A1573,'FA Write off'!C:C,"&lt;"&amp;'FA Addition'!$L$1+1,'FA Write off'!C:C,"&gt;"&amp;'FA Addition'!$L$1-365)</f>
        <v>0</v>
      </c>
      <c r="AC1573" s="118">
        <f>IFERROR(AA1573/'FA Addition'!$J1573*'FA Addition'!$L1573,0)</f>
        <v>0</v>
      </c>
      <c r="AE1573" s="117">
        <f>IF(AND('FA Addition'!$D1573&lt;$P$1+1,U1573=0),'FA Addition'!$L1573,0)-Y1573</f>
        <v>0</v>
      </c>
      <c r="AF1573" s="117">
        <f t="shared" si="120"/>
        <v>0</v>
      </c>
      <c r="AG1573" s="117">
        <f>MIN(MAX(+$P$1-'FA Addition'!$D1573,0),365*'FA Addition'!$O1573)</f>
        <v>0</v>
      </c>
      <c r="AH1573" s="117">
        <f>MIN(MAX($L$1-'FA Addition'!$D1573+1,0),365*'FA Addition'!$O1573)</f>
        <v>0</v>
      </c>
      <c r="AI1573" s="117" cm="1">
        <f t="array" ref="AI1573">_xlfn.XLOOKUP(1,('FA Write off'!A:A='FA Addition'!$A1573)*('FA Write off'!D:D=AA1573),'FA Write off'!H:H,0,0)</f>
        <v>0</v>
      </c>
      <c r="AJ1573" s="117">
        <f>IF(AC1573&gt;0,MAX(IF('FA Addition'!$N1573="SLM",($AC1573-'FA Addition'!$M1573)*'FA Addition'!$P1573*AI1573/365,(AC1573-'FA Addition'!$M1573)*(1-(1-'FA Addition'!$P1573)^(AI1573/365))),0),0)</f>
        <v>0</v>
      </c>
      <c r="AL1573" s="117">
        <f>MAX(IF(AG1573&gt;0,IF('FA Addition'!$N1573="SLM",($AE1573-'FA Addition'!$M1573)*'FA Addition'!$P1573*AG1573/365,IFERROR(VDB(AE1573,AE1573*0.05,'FA Addition'!$O1573,0,YEARFRAC('FA Addition'!$C1573,$P$1-1,3),'FA Addition'!$Q1573),FAAddition[[#This Row],[Original Cost (Rs)]]-FAAddition[[#This Row],[Salvage Value]])),0),0)</f>
        <v>0</v>
      </c>
      <c r="AM1573" s="119"/>
      <c r="AN1573" s="117">
        <f>MAX(IF(AH1573&gt;0,IF('FA Addition'!$N1573="SLM",($AF1573-'FA Addition'!$M1573)*'FA Addition'!$P1573*AH1573/365,IFERROR(VDB(AF1573,AF1573*0.05,'FA Addition'!$O1573,0,YEARFRAC('FA Addition'!$C1573,$L$1,3),'FA Addition'!$Q1573),FAAddition[[#This Row],[Original Cost (Rs)]]-FAAddition[[#This Row],[Salvage Value]])),0),0)</f>
        <v>0</v>
      </c>
      <c r="AO1573" s="117">
        <f t="shared" si="123"/>
        <v>0</v>
      </c>
      <c r="AQ1573" s="117">
        <f t="shared" si="121"/>
        <v>0</v>
      </c>
      <c r="AR1573" s="120">
        <f t="shared" si="122"/>
        <v>0</v>
      </c>
      <c r="AS1573" s="121"/>
    </row>
    <row r="1574" spans="1:45" ht="13.5" x14ac:dyDescent="0.4">
      <c r="A1574" s="12">
        <f t="shared" si="124"/>
        <v>1571</v>
      </c>
      <c r="B1574" s="64" t="s">
        <v>10</v>
      </c>
      <c r="C1574" s="54">
        <v>45938</v>
      </c>
      <c r="D1574" s="54">
        <v>45938</v>
      </c>
      <c r="E1574" s="46" t="s">
        <v>451</v>
      </c>
      <c r="F1574" s="51" t="s">
        <v>19</v>
      </c>
      <c r="G1574" s="51" t="s">
        <v>20</v>
      </c>
      <c r="H1574" s="51" t="s">
        <v>21</v>
      </c>
      <c r="I1574" s="55" t="s">
        <v>215</v>
      </c>
      <c r="J1574" s="56">
        <v>1</v>
      </c>
      <c r="K1574" s="51" t="s">
        <v>355</v>
      </c>
      <c r="L1574" s="58">
        <v>133050.85</v>
      </c>
      <c r="M1574" s="50">
        <f>ROUND('FA Addition'!$L1574*5%,0.1)</f>
        <v>6653</v>
      </c>
      <c r="N1574" s="113" t="str">
        <f>_xlfn.XLOOKUP(_xlfn.CONCAT(E1574,B1574),'Year Wise Master Dep Approach'!F:F,'Year Wise Master Dep Approach'!D:D)</f>
        <v>WDV</v>
      </c>
      <c r="O1574" s="113">
        <f>_xlfn.XLOOKUP(_xlfn.CONCAT(E1574,B1574),'Year Wise Master Dep Approach'!F:F,'Year Wise Master Dep Approach'!E:E)</f>
        <v>3</v>
      </c>
      <c r="P1574" s="114">
        <f>IFERROR(IF('FA Addition'!$N1574="WDV",1-('FA Addition'!$M1574/'FA Addition'!$L1574)^(1/'FA Addition'!$O1574),1/'FA Addition'!$O1574),0)</f>
        <v>0.63158840521546311</v>
      </c>
      <c r="Q1574" s="122">
        <f>'FA Addition'!$P1574*'FA Addition'!$O1574</f>
        <v>1.8947652156463892</v>
      </c>
      <c r="R1574" s="122"/>
      <c r="S1574" s="116">
        <f>IF(AND(DATE(20&amp;LEFT(FAAddition[[#This Row],[FY]],2),4,1)&lt;$L$1+1,DATE(20&amp;LEFT(FAAddition[[#This Row],[FY]],2),4,1)&gt;$P$1-1),'FA Addition'!$J1574,0)</f>
        <v>0</v>
      </c>
      <c r="U1574" s="117">
        <f>S1574*'FA Addition'!$L1574/'FA Addition'!$J1574</f>
        <v>0</v>
      </c>
      <c r="W1574" s="116">
        <f>SUMIFS('FA Write off'!D:D,'FA Write off'!A:A,'FA Addition'!$A1574,'FA Write off'!C:C,"&lt;"&amp;'FA Addition'!$P$1)</f>
        <v>0</v>
      </c>
      <c r="Y1574" s="191">
        <f>IFERROR(W1574/'FA Addition'!$J1574*'FA Addition'!$L1574,0)</f>
        <v>0</v>
      </c>
      <c r="AA1574" s="116">
        <f>SUMIFS('FA Write off'!D:D,'FA Write off'!A:A,'FA Addition'!$A1574,'FA Write off'!C:C,"&lt;"&amp;'FA Addition'!$L$1+1,'FA Write off'!C:C,"&gt;"&amp;'FA Addition'!$L$1-365)</f>
        <v>0</v>
      </c>
      <c r="AC1574" s="118">
        <f>IFERROR(AA1574/'FA Addition'!$J1574*'FA Addition'!$L1574,0)</f>
        <v>0</v>
      </c>
      <c r="AE1574" s="117">
        <f>IF(AND('FA Addition'!$D1574&lt;$P$1+1,U1574=0),'FA Addition'!$L1574,0)-Y1574</f>
        <v>0</v>
      </c>
      <c r="AF1574" s="117">
        <f t="shared" si="120"/>
        <v>0</v>
      </c>
      <c r="AG1574" s="117">
        <f>MIN(MAX(+$P$1-'FA Addition'!$D1574,0),365*'FA Addition'!$O1574)</f>
        <v>0</v>
      </c>
      <c r="AH1574" s="117">
        <f>MIN(MAX($L$1-'FA Addition'!$D1574+1,0),365*'FA Addition'!$O1574)</f>
        <v>0</v>
      </c>
      <c r="AI1574" s="117" cm="1">
        <f t="array" ref="AI1574">_xlfn.XLOOKUP(1,('FA Write off'!A:A='FA Addition'!$A1574)*('FA Write off'!D:D=AA1574),'FA Write off'!H:H,0,0)</f>
        <v>0</v>
      </c>
      <c r="AJ1574" s="117">
        <f>IF(AC1574&gt;0,MAX(IF('FA Addition'!$N1574="SLM",($AC1574-'FA Addition'!$M1574)*'FA Addition'!$P1574*AI1574/365,(AC1574-'FA Addition'!$M1574)*(1-(1-'FA Addition'!$P1574)^(AI1574/365))),0),0)</f>
        <v>0</v>
      </c>
      <c r="AL1574" s="117">
        <f>MAX(IF(AG1574&gt;0,IF('FA Addition'!$N1574="SLM",($AE1574-'FA Addition'!$M1574)*'FA Addition'!$P1574*AG1574/365,IFERROR(VDB(AE1574,AE1574*0.05,'FA Addition'!$O1574,0,YEARFRAC('FA Addition'!$C1574,$P$1-1,3),'FA Addition'!$Q1574),FAAddition[[#This Row],[Original Cost (Rs)]]-FAAddition[[#This Row],[Salvage Value]])),0),0)</f>
        <v>0</v>
      </c>
      <c r="AM1574" s="119"/>
      <c r="AN1574" s="117">
        <f>MAX(IF(AH1574&gt;0,IF('FA Addition'!$N1574="SLM",($AF1574-'FA Addition'!$M1574)*'FA Addition'!$P1574*AH1574/365,IFERROR(VDB(AF1574,AF1574*0.05,'FA Addition'!$O1574,0,YEARFRAC('FA Addition'!$C1574,$L$1,3),'FA Addition'!$Q1574),FAAddition[[#This Row],[Original Cost (Rs)]]-FAAddition[[#This Row],[Salvage Value]])),0),0)</f>
        <v>0</v>
      </c>
      <c r="AO1574" s="117">
        <f t="shared" si="123"/>
        <v>0</v>
      </c>
      <c r="AQ1574" s="117">
        <f t="shared" si="121"/>
        <v>0</v>
      </c>
      <c r="AR1574" s="120">
        <f t="shared" si="122"/>
        <v>0</v>
      </c>
      <c r="AS1574" s="121"/>
    </row>
    <row r="1575" spans="1:45" ht="13.5" x14ac:dyDescent="0.4">
      <c r="A1575" s="12">
        <f t="shared" si="124"/>
        <v>1572</v>
      </c>
      <c r="B1575" s="64" t="s">
        <v>10</v>
      </c>
      <c r="C1575" s="54">
        <v>45938</v>
      </c>
      <c r="D1575" s="54">
        <v>45938</v>
      </c>
      <c r="E1575" s="46" t="s">
        <v>451</v>
      </c>
      <c r="F1575" s="51" t="s">
        <v>19</v>
      </c>
      <c r="G1575" s="51" t="s">
        <v>20</v>
      </c>
      <c r="H1575" s="51" t="s">
        <v>21</v>
      </c>
      <c r="I1575" s="55" t="s">
        <v>215</v>
      </c>
      <c r="J1575" s="56">
        <v>1</v>
      </c>
      <c r="K1575" s="51" t="s">
        <v>355</v>
      </c>
      <c r="L1575" s="58">
        <v>133050.85</v>
      </c>
      <c r="M1575" s="50">
        <f>ROUND('FA Addition'!$L1575*5%,0.1)</f>
        <v>6653</v>
      </c>
      <c r="N1575" s="113" t="str">
        <f>_xlfn.XLOOKUP(_xlfn.CONCAT(E1575,B1575),'Year Wise Master Dep Approach'!F:F,'Year Wise Master Dep Approach'!D:D)</f>
        <v>WDV</v>
      </c>
      <c r="O1575" s="113">
        <f>_xlfn.XLOOKUP(_xlfn.CONCAT(E1575,B1575),'Year Wise Master Dep Approach'!F:F,'Year Wise Master Dep Approach'!E:E)</f>
        <v>3</v>
      </c>
      <c r="P1575" s="114">
        <f>IFERROR(IF('FA Addition'!$N1575="WDV",1-('FA Addition'!$M1575/'FA Addition'!$L1575)^(1/'FA Addition'!$O1575),1/'FA Addition'!$O1575),0)</f>
        <v>0.63158840521546311</v>
      </c>
      <c r="Q1575" s="122">
        <f>'FA Addition'!$P1575*'FA Addition'!$O1575</f>
        <v>1.8947652156463892</v>
      </c>
      <c r="R1575" s="122"/>
      <c r="S1575" s="116">
        <f>IF(AND(DATE(20&amp;LEFT(FAAddition[[#This Row],[FY]],2),4,1)&lt;$L$1+1,DATE(20&amp;LEFT(FAAddition[[#This Row],[FY]],2),4,1)&gt;$P$1-1),'FA Addition'!$J1575,0)</f>
        <v>0</v>
      </c>
      <c r="U1575" s="117">
        <f>S1575*'FA Addition'!$L1575/'FA Addition'!$J1575</f>
        <v>0</v>
      </c>
      <c r="W1575" s="116">
        <f>SUMIFS('FA Write off'!D:D,'FA Write off'!A:A,'FA Addition'!$A1575,'FA Write off'!C:C,"&lt;"&amp;'FA Addition'!$P$1)</f>
        <v>0</v>
      </c>
      <c r="Y1575" s="191">
        <f>IFERROR(W1575/'FA Addition'!$J1575*'FA Addition'!$L1575,0)</f>
        <v>0</v>
      </c>
      <c r="AA1575" s="116">
        <f>SUMIFS('FA Write off'!D:D,'FA Write off'!A:A,'FA Addition'!$A1575,'FA Write off'!C:C,"&lt;"&amp;'FA Addition'!$L$1+1,'FA Write off'!C:C,"&gt;"&amp;'FA Addition'!$L$1-365)</f>
        <v>0</v>
      </c>
      <c r="AC1575" s="118">
        <f>IFERROR(AA1575/'FA Addition'!$J1575*'FA Addition'!$L1575,0)</f>
        <v>0</v>
      </c>
      <c r="AE1575" s="117">
        <f>IF(AND('FA Addition'!$D1575&lt;$P$1+1,U1575=0),'FA Addition'!$L1575,0)-Y1575</f>
        <v>0</v>
      </c>
      <c r="AF1575" s="117">
        <f t="shared" si="120"/>
        <v>0</v>
      </c>
      <c r="AG1575" s="117">
        <f>MIN(MAX(+$P$1-'FA Addition'!$D1575,0),365*'FA Addition'!$O1575)</f>
        <v>0</v>
      </c>
      <c r="AH1575" s="117">
        <f>MIN(MAX($L$1-'FA Addition'!$D1575+1,0),365*'FA Addition'!$O1575)</f>
        <v>0</v>
      </c>
      <c r="AI1575" s="117" cm="1">
        <f t="array" ref="AI1575">_xlfn.XLOOKUP(1,('FA Write off'!A:A='FA Addition'!$A1575)*('FA Write off'!D:D=AA1575),'FA Write off'!H:H,0,0)</f>
        <v>0</v>
      </c>
      <c r="AJ1575" s="117">
        <f>IF(AC1575&gt;0,MAX(IF('FA Addition'!$N1575="SLM",($AC1575-'FA Addition'!$M1575)*'FA Addition'!$P1575*AI1575/365,(AC1575-'FA Addition'!$M1575)*(1-(1-'FA Addition'!$P1575)^(AI1575/365))),0),0)</f>
        <v>0</v>
      </c>
      <c r="AL1575" s="117">
        <f>MAX(IF(AG1575&gt;0,IF('FA Addition'!$N1575="SLM",($AE1575-'FA Addition'!$M1575)*'FA Addition'!$P1575*AG1575/365,IFERROR(VDB(AE1575,AE1575*0.05,'FA Addition'!$O1575,0,YEARFRAC('FA Addition'!$C1575,$P$1-1,3),'FA Addition'!$Q1575),FAAddition[[#This Row],[Original Cost (Rs)]]-FAAddition[[#This Row],[Salvage Value]])),0),0)</f>
        <v>0</v>
      </c>
      <c r="AM1575" s="119"/>
      <c r="AN1575" s="117">
        <f>MAX(IF(AH1575&gt;0,IF('FA Addition'!$N1575="SLM",($AF1575-'FA Addition'!$M1575)*'FA Addition'!$P1575*AH1575/365,IFERROR(VDB(AF1575,AF1575*0.05,'FA Addition'!$O1575,0,YEARFRAC('FA Addition'!$C1575,$L$1,3),'FA Addition'!$Q1575),FAAddition[[#This Row],[Original Cost (Rs)]]-FAAddition[[#This Row],[Salvage Value]])),0),0)</f>
        <v>0</v>
      </c>
      <c r="AO1575" s="117">
        <f t="shared" si="123"/>
        <v>0</v>
      </c>
      <c r="AQ1575" s="117">
        <f t="shared" si="121"/>
        <v>0</v>
      </c>
      <c r="AR1575" s="120">
        <f t="shared" si="122"/>
        <v>0</v>
      </c>
      <c r="AS1575" s="121"/>
    </row>
    <row r="1576" spans="1:45" ht="13.5" x14ac:dyDescent="0.4">
      <c r="A1576" s="12">
        <f t="shared" si="124"/>
        <v>1573</v>
      </c>
      <c r="B1576" s="64" t="s">
        <v>10</v>
      </c>
      <c r="C1576" s="54">
        <v>45938</v>
      </c>
      <c r="D1576" s="54">
        <v>45938</v>
      </c>
      <c r="E1576" s="46" t="s">
        <v>451</v>
      </c>
      <c r="F1576" s="51" t="s">
        <v>19</v>
      </c>
      <c r="G1576" s="51" t="s">
        <v>20</v>
      </c>
      <c r="H1576" s="51" t="s">
        <v>21</v>
      </c>
      <c r="I1576" s="55" t="s">
        <v>215</v>
      </c>
      <c r="J1576" s="56">
        <v>1</v>
      </c>
      <c r="K1576" s="51" t="s">
        <v>355</v>
      </c>
      <c r="L1576" s="58">
        <v>133050.85</v>
      </c>
      <c r="M1576" s="50">
        <f>ROUND('FA Addition'!$L1576*5%,0.1)</f>
        <v>6653</v>
      </c>
      <c r="N1576" s="113" t="str">
        <f>_xlfn.XLOOKUP(_xlfn.CONCAT(E1576,B1576),'Year Wise Master Dep Approach'!F:F,'Year Wise Master Dep Approach'!D:D)</f>
        <v>WDV</v>
      </c>
      <c r="O1576" s="113">
        <f>_xlfn.XLOOKUP(_xlfn.CONCAT(E1576,B1576),'Year Wise Master Dep Approach'!F:F,'Year Wise Master Dep Approach'!E:E)</f>
        <v>3</v>
      </c>
      <c r="P1576" s="114">
        <f>IFERROR(IF('FA Addition'!$N1576="WDV",1-('FA Addition'!$M1576/'FA Addition'!$L1576)^(1/'FA Addition'!$O1576),1/'FA Addition'!$O1576),0)</f>
        <v>0.63158840521546311</v>
      </c>
      <c r="Q1576" s="122">
        <f>'FA Addition'!$P1576*'FA Addition'!$O1576</f>
        <v>1.8947652156463892</v>
      </c>
      <c r="R1576" s="122"/>
      <c r="S1576" s="116">
        <f>IF(AND(DATE(20&amp;LEFT(FAAddition[[#This Row],[FY]],2),4,1)&lt;$L$1+1,DATE(20&amp;LEFT(FAAddition[[#This Row],[FY]],2),4,1)&gt;$P$1-1),'FA Addition'!$J1576,0)</f>
        <v>0</v>
      </c>
      <c r="U1576" s="117">
        <f>S1576*'FA Addition'!$L1576/'FA Addition'!$J1576</f>
        <v>0</v>
      </c>
      <c r="W1576" s="116">
        <f>SUMIFS('FA Write off'!D:D,'FA Write off'!A:A,'FA Addition'!$A1576,'FA Write off'!C:C,"&lt;"&amp;'FA Addition'!$P$1)</f>
        <v>0</v>
      </c>
      <c r="Y1576" s="191">
        <f>IFERROR(W1576/'FA Addition'!$J1576*'FA Addition'!$L1576,0)</f>
        <v>0</v>
      </c>
      <c r="AA1576" s="116">
        <f>SUMIFS('FA Write off'!D:D,'FA Write off'!A:A,'FA Addition'!$A1576,'FA Write off'!C:C,"&lt;"&amp;'FA Addition'!$L$1+1,'FA Write off'!C:C,"&gt;"&amp;'FA Addition'!$L$1-365)</f>
        <v>0</v>
      </c>
      <c r="AC1576" s="118">
        <f>IFERROR(AA1576/'FA Addition'!$J1576*'FA Addition'!$L1576,0)</f>
        <v>0</v>
      </c>
      <c r="AE1576" s="117">
        <f>IF(AND('FA Addition'!$D1576&lt;$P$1+1,U1576=0),'FA Addition'!$L1576,0)-Y1576</f>
        <v>0</v>
      </c>
      <c r="AF1576" s="117">
        <f t="shared" si="120"/>
        <v>0</v>
      </c>
      <c r="AG1576" s="117">
        <f>MIN(MAX(+$P$1-'FA Addition'!$D1576,0),365*'FA Addition'!$O1576)</f>
        <v>0</v>
      </c>
      <c r="AH1576" s="117">
        <f>MIN(MAX($L$1-'FA Addition'!$D1576+1,0),365*'FA Addition'!$O1576)</f>
        <v>0</v>
      </c>
      <c r="AI1576" s="117" cm="1">
        <f t="array" ref="AI1576">_xlfn.XLOOKUP(1,('FA Write off'!A:A='FA Addition'!$A1576)*('FA Write off'!D:D=AA1576),'FA Write off'!H:H,0,0)</f>
        <v>0</v>
      </c>
      <c r="AJ1576" s="117">
        <f>IF(AC1576&gt;0,MAX(IF('FA Addition'!$N1576="SLM",($AC1576-'FA Addition'!$M1576)*'FA Addition'!$P1576*AI1576/365,(AC1576-'FA Addition'!$M1576)*(1-(1-'FA Addition'!$P1576)^(AI1576/365))),0),0)</f>
        <v>0</v>
      </c>
      <c r="AL1576" s="117">
        <f>MAX(IF(AG1576&gt;0,IF('FA Addition'!$N1576="SLM",($AE1576-'FA Addition'!$M1576)*'FA Addition'!$P1576*AG1576/365,IFERROR(VDB(AE1576,AE1576*0.05,'FA Addition'!$O1576,0,YEARFRAC('FA Addition'!$C1576,$P$1-1,3),'FA Addition'!$Q1576),FAAddition[[#This Row],[Original Cost (Rs)]]-FAAddition[[#This Row],[Salvage Value]])),0),0)</f>
        <v>0</v>
      </c>
      <c r="AM1576" s="119"/>
      <c r="AN1576" s="117">
        <f>MAX(IF(AH1576&gt;0,IF('FA Addition'!$N1576="SLM",($AF1576-'FA Addition'!$M1576)*'FA Addition'!$P1576*AH1576/365,IFERROR(VDB(AF1576,AF1576*0.05,'FA Addition'!$O1576,0,YEARFRAC('FA Addition'!$C1576,$L$1,3),'FA Addition'!$Q1576),FAAddition[[#This Row],[Original Cost (Rs)]]-FAAddition[[#This Row],[Salvage Value]])),0),0)</f>
        <v>0</v>
      </c>
      <c r="AO1576" s="117">
        <f t="shared" si="123"/>
        <v>0</v>
      </c>
      <c r="AQ1576" s="117">
        <f t="shared" si="121"/>
        <v>0</v>
      </c>
      <c r="AR1576" s="120">
        <f t="shared" si="122"/>
        <v>0</v>
      </c>
      <c r="AS1576" s="121"/>
    </row>
    <row r="1577" spans="1:45" ht="13.5" x14ac:dyDescent="0.4">
      <c r="A1577" s="12">
        <f t="shared" si="124"/>
        <v>1574</v>
      </c>
      <c r="B1577" s="64" t="s">
        <v>10</v>
      </c>
      <c r="C1577" s="54">
        <v>45938</v>
      </c>
      <c r="D1577" s="54">
        <v>45938</v>
      </c>
      <c r="E1577" s="46" t="s">
        <v>451</v>
      </c>
      <c r="F1577" s="51" t="s">
        <v>19</v>
      </c>
      <c r="G1577" s="51" t="s">
        <v>20</v>
      </c>
      <c r="H1577" s="51" t="s">
        <v>21</v>
      </c>
      <c r="I1577" s="55" t="s">
        <v>215</v>
      </c>
      <c r="J1577" s="56">
        <v>1</v>
      </c>
      <c r="K1577" s="51" t="s">
        <v>355</v>
      </c>
      <c r="L1577" s="58">
        <v>133050.85</v>
      </c>
      <c r="M1577" s="50">
        <f>ROUND('FA Addition'!$L1577*5%,0.1)</f>
        <v>6653</v>
      </c>
      <c r="N1577" s="113" t="str">
        <f>_xlfn.XLOOKUP(_xlfn.CONCAT(E1577,B1577),'Year Wise Master Dep Approach'!F:F,'Year Wise Master Dep Approach'!D:D)</f>
        <v>WDV</v>
      </c>
      <c r="O1577" s="113">
        <f>_xlfn.XLOOKUP(_xlfn.CONCAT(E1577,B1577),'Year Wise Master Dep Approach'!F:F,'Year Wise Master Dep Approach'!E:E)</f>
        <v>3</v>
      </c>
      <c r="P1577" s="114">
        <f>IFERROR(IF('FA Addition'!$N1577="WDV",1-('FA Addition'!$M1577/'FA Addition'!$L1577)^(1/'FA Addition'!$O1577),1/'FA Addition'!$O1577),0)</f>
        <v>0.63158840521546311</v>
      </c>
      <c r="Q1577" s="122">
        <f>'FA Addition'!$P1577*'FA Addition'!$O1577</f>
        <v>1.8947652156463892</v>
      </c>
      <c r="R1577" s="122"/>
      <c r="S1577" s="116">
        <f>IF(AND(DATE(20&amp;LEFT(FAAddition[[#This Row],[FY]],2),4,1)&lt;$L$1+1,DATE(20&amp;LEFT(FAAddition[[#This Row],[FY]],2),4,1)&gt;$P$1-1),'FA Addition'!$J1577,0)</f>
        <v>0</v>
      </c>
      <c r="U1577" s="117">
        <f>S1577*'FA Addition'!$L1577/'FA Addition'!$J1577</f>
        <v>0</v>
      </c>
      <c r="W1577" s="116">
        <f>SUMIFS('FA Write off'!D:D,'FA Write off'!A:A,'FA Addition'!$A1577,'FA Write off'!C:C,"&lt;"&amp;'FA Addition'!$P$1)</f>
        <v>0</v>
      </c>
      <c r="Y1577" s="191">
        <f>IFERROR(W1577/'FA Addition'!$J1577*'FA Addition'!$L1577,0)</f>
        <v>0</v>
      </c>
      <c r="AA1577" s="116">
        <f>SUMIFS('FA Write off'!D:D,'FA Write off'!A:A,'FA Addition'!$A1577,'FA Write off'!C:C,"&lt;"&amp;'FA Addition'!$L$1+1,'FA Write off'!C:C,"&gt;"&amp;'FA Addition'!$L$1-365)</f>
        <v>0</v>
      </c>
      <c r="AC1577" s="118">
        <f>IFERROR(AA1577/'FA Addition'!$J1577*'FA Addition'!$L1577,0)</f>
        <v>0</v>
      </c>
      <c r="AE1577" s="117">
        <f>IF(AND('FA Addition'!$D1577&lt;$P$1+1,U1577=0),'FA Addition'!$L1577,0)-Y1577</f>
        <v>0</v>
      </c>
      <c r="AF1577" s="117">
        <f t="shared" si="120"/>
        <v>0</v>
      </c>
      <c r="AG1577" s="117">
        <f>MIN(MAX(+$P$1-'FA Addition'!$D1577,0),365*'FA Addition'!$O1577)</f>
        <v>0</v>
      </c>
      <c r="AH1577" s="117">
        <f>MIN(MAX($L$1-'FA Addition'!$D1577+1,0),365*'FA Addition'!$O1577)</f>
        <v>0</v>
      </c>
      <c r="AI1577" s="117" cm="1">
        <f t="array" ref="AI1577">_xlfn.XLOOKUP(1,('FA Write off'!A:A='FA Addition'!$A1577)*('FA Write off'!D:D=AA1577),'FA Write off'!H:H,0,0)</f>
        <v>0</v>
      </c>
      <c r="AJ1577" s="117">
        <f>IF(AC1577&gt;0,MAX(IF('FA Addition'!$N1577="SLM",($AC1577-'FA Addition'!$M1577)*'FA Addition'!$P1577*AI1577/365,(AC1577-'FA Addition'!$M1577)*(1-(1-'FA Addition'!$P1577)^(AI1577/365))),0),0)</f>
        <v>0</v>
      </c>
      <c r="AL1577" s="117">
        <f>MAX(IF(AG1577&gt;0,IF('FA Addition'!$N1577="SLM",($AE1577-'FA Addition'!$M1577)*'FA Addition'!$P1577*AG1577/365,IFERROR(VDB(AE1577,AE1577*0.05,'FA Addition'!$O1577,0,YEARFRAC('FA Addition'!$C1577,$P$1-1,3),'FA Addition'!$Q1577),FAAddition[[#This Row],[Original Cost (Rs)]]-FAAddition[[#This Row],[Salvage Value]])),0),0)</f>
        <v>0</v>
      </c>
      <c r="AM1577" s="119"/>
      <c r="AN1577" s="117">
        <f>MAX(IF(AH1577&gt;0,IF('FA Addition'!$N1577="SLM",($AF1577-'FA Addition'!$M1577)*'FA Addition'!$P1577*AH1577/365,IFERROR(VDB(AF1577,AF1577*0.05,'FA Addition'!$O1577,0,YEARFRAC('FA Addition'!$C1577,$L$1,3),'FA Addition'!$Q1577),FAAddition[[#This Row],[Original Cost (Rs)]]-FAAddition[[#This Row],[Salvage Value]])),0),0)</f>
        <v>0</v>
      </c>
      <c r="AO1577" s="117">
        <f t="shared" si="123"/>
        <v>0</v>
      </c>
      <c r="AQ1577" s="117">
        <f t="shared" si="121"/>
        <v>0</v>
      </c>
      <c r="AR1577" s="120">
        <f t="shared" si="122"/>
        <v>0</v>
      </c>
      <c r="AS1577" s="121"/>
    </row>
    <row r="1578" spans="1:45" ht="13.5" x14ac:dyDescent="0.4">
      <c r="A1578" s="12">
        <f t="shared" si="124"/>
        <v>1575</v>
      </c>
      <c r="B1578" s="64" t="s">
        <v>10</v>
      </c>
      <c r="C1578" s="54">
        <v>45938</v>
      </c>
      <c r="D1578" s="54">
        <v>45938</v>
      </c>
      <c r="E1578" s="46" t="s">
        <v>451</v>
      </c>
      <c r="F1578" s="51" t="s">
        <v>19</v>
      </c>
      <c r="G1578" s="51" t="s">
        <v>20</v>
      </c>
      <c r="H1578" s="51" t="s">
        <v>21</v>
      </c>
      <c r="I1578" s="55" t="s">
        <v>215</v>
      </c>
      <c r="J1578" s="56">
        <v>1</v>
      </c>
      <c r="K1578" s="51" t="s">
        <v>355</v>
      </c>
      <c r="L1578" s="58">
        <v>133050.85</v>
      </c>
      <c r="M1578" s="50">
        <f>ROUND('FA Addition'!$L1578*5%,0.1)</f>
        <v>6653</v>
      </c>
      <c r="N1578" s="113" t="str">
        <f>_xlfn.XLOOKUP(_xlfn.CONCAT(E1578,B1578),'Year Wise Master Dep Approach'!F:F,'Year Wise Master Dep Approach'!D:D)</f>
        <v>WDV</v>
      </c>
      <c r="O1578" s="113">
        <f>_xlfn.XLOOKUP(_xlfn.CONCAT(E1578,B1578),'Year Wise Master Dep Approach'!F:F,'Year Wise Master Dep Approach'!E:E)</f>
        <v>3</v>
      </c>
      <c r="P1578" s="114">
        <f>IFERROR(IF('FA Addition'!$N1578="WDV",1-('FA Addition'!$M1578/'FA Addition'!$L1578)^(1/'FA Addition'!$O1578),1/'FA Addition'!$O1578),0)</f>
        <v>0.63158840521546311</v>
      </c>
      <c r="Q1578" s="122">
        <f>'FA Addition'!$P1578*'FA Addition'!$O1578</f>
        <v>1.8947652156463892</v>
      </c>
      <c r="R1578" s="122"/>
      <c r="S1578" s="116">
        <f>IF(AND(DATE(20&amp;LEFT(FAAddition[[#This Row],[FY]],2),4,1)&lt;$L$1+1,DATE(20&amp;LEFT(FAAddition[[#This Row],[FY]],2),4,1)&gt;$P$1-1),'FA Addition'!$J1578,0)</f>
        <v>0</v>
      </c>
      <c r="U1578" s="117">
        <f>S1578*'FA Addition'!$L1578/'FA Addition'!$J1578</f>
        <v>0</v>
      </c>
      <c r="W1578" s="116">
        <f>SUMIFS('FA Write off'!D:D,'FA Write off'!A:A,'FA Addition'!$A1578,'FA Write off'!C:C,"&lt;"&amp;'FA Addition'!$P$1)</f>
        <v>0</v>
      </c>
      <c r="Y1578" s="191">
        <f>IFERROR(W1578/'FA Addition'!$J1578*'FA Addition'!$L1578,0)</f>
        <v>0</v>
      </c>
      <c r="AA1578" s="116">
        <f>SUMIFS('FA Write off'!D:D,'FA Write off'!A:A,'FA Addition'!$A1578,'FA Write off'!C:C,"&lt;"&amp;'FA Addition'!$L$1+1,'FA Write off'!C:C,"&gt;"&amp;'FA Addition'!$L$1-365)</f>
        <v>0</v>
      </c>
      <c r="AC1578" s="118">
        <f>IFERROR(AA1578/'FA Addition'!$J1578*'FA Addition'!$L1578,0)</f>
        <v>0</v>
      </c>
      <c r="AE1578" s="117">
        <f>IF(AND('FA Addition'!$D1578&lt;$P$1+1,U1578=0),'FA Addition'!$L1578,0)-Y1578</f>
        <v>0</v>
      </c>
      <c r="AF1578" s="117">
        <f t="shared" si="120"/>
        <v>0</v>
      </c>
      <c r="AG1578" s="117">
        <f>MIN(MAX(+$P$1-'FA Addition'!$D1578,0),365*'FA Addition'!$O1578)</f>
        <v>0</v>
      </c>
      <c r="AH1578" s="117">
        <f>MIN(MAX($L$1-'FA Addition'!$D1578+1,0),365*'FA Addition'!$O1578)</f>
        <v>0</v>
      </c>
      <c r="AI1578" s="117" cm="1">
        <f t="array" ref="AI1578">_xlfn.XLOOKUP(1,('FA Write off'!A:A='FA Addition'!$A1578)*('FA Write off'!D:D=AA1578),'FA Write off'!H:H,0,0)</f>
        <v>0</v>
      </c>
      <c r="AJ1578" s="117">
        <f>IF(AC1578&gt;0,MAX(IF('FA Addition'!$N1578="SLM",($AC1578-'FA Addition'!$M1578)*'FA Addition'!$P1578*AI1578/365,(AC1578-'FA Addition'!$M1578)*(1-(1-'FA Addition'!$P1578)^(AI1578/365))),0),0)</f>
        <v>0</v>
      </c>
      <c r="AL1578" s="117">
        <f>MAX(IF(AG1578&gt;0,IF('FA Addition'!$N1578="SLM",($AE1578-'FA Addition'!$M1578)*'FA Addition'!$P1578*AG1578/365,IFERROR(VDB(AE1578,AE1578*0.05,'FA Addition'!$O1578,0,YEARFRAC('FA Addition'!$C1578,$P$1-1,3),'FA Addition'!$Q1578),FAAddition[[#This Row],[Original Cost (Rs)]]-FAAddition[[#This Row],[Salvage Value]])),0),0)</f>
        <v>0</v>
      </c>
      <c r="AM1578" s="119"/>
      <c r="AN1578" s="117">
        <f>MAX(IF(AH1578&gt;0,IF('FA Addition'!$N1578="SLM",($AF1578-'FA Addition'!$M1578)*'FA Addition'!$P1578*AH1578/365,IFERROR(VDB(AF1578,AF1578*0.05,'FA Addition'!$O1578,0,YEARFRAC('FA Addition'!$C1578,$L$1,3),'FA Addition'!$Q1578),FAAddition[[#This Row],[Original Cost (Rs)]]-FAAddition[[#This Row],[Salvage Value]])),0),0)</f>
        <v>0</v>
      </c>
      <c r="AO1578" s="117">
        <f t="shared" si="123"/>
        <v>0</v>
      </c>
      <c r="AQ1578" s="117">
        <f t="shared" si="121"/>
        <v>0</v>
      </c>
      <c r="AR1578" s="120">
        <f t="shared" si="122"/>
        <v>0</v>
      </c>
      <c r="AS1578" s="121"/>
    </row>
    <row r="1579" spans="1:45" ht="13.5" x14ac:dyDescent="0.4">
      <c r="A1579" s="12">
        <f t="shared" si="124"/>
        <v>1576</v>
      </c>
      <c r="B1579" s="64" t="s">
        <v>10</v>
      </c>
      <c r="C1579" s="54">
        <v>45938</v>
      </c>
      <c r="D1579" s="54">
        <v>45938</v>
      </c>
      <c r="E1579" s="46" t="s">
        <v>451</v>
      </c>
      <c r="F1579" s="51" t="s">
        <v>19</v>
      </c>
      <c r="G1579" s="51" t="s">
        <v>20</v>
      </c>
      <c r="H1579" s="51" t="s">
        <v>151</v>
      </c>
      <c r="I1579" s="55" t="s">
        <v>216</v>
      </c>
      <c r="J1579" s="56">
        <v>1</v>
      </c>
      <c r="K1579" s="51" t="s">
        <v>356</v>
      </c>
      <c r="L1579" s="58">
        <v>10400</v>
      </c>
      <c r="M1579" s="50">
        <f>ROUND('FA Addition'!$L1579*5%,0.1)</f>
        <v>520</v>
      </c>
      <c r="N1579" s="113" t="str">
        <f>_xlfn.XLOOKUP(_xlfn.CONCAT(E1579,B1579),'Year Wise Master Dep Approach'!F:F,'Year Wise Master Dep Approach'!D:D)</f>
        <v>WDV</v>
      </c>
      <c r="O1579" s="113">
        <f>_xlfn.XLOOKUP(_xlfn.CONCAT(E1579,B1579),'Year Wise Master Dep Approach'!F:F,'Year Wise Master Dep Approach'!E:E)</f>
        <v>3</v>
      </c>
      <c r="P1579" s="114">
        <f>IFERROR(IF('FA Addition'!$N1579="WDV",1-('FA Addition'!$M1579/'FA Addition'!$L1579)^(1/'FA Addition'!$O1579),1/'FA Addition'!$O1579),0)</f>
        <v>0.63159685013596123</v>
      </c>
      <c r="Q1579" s="122">
        <f>'FA Addition'!$P1579*'FA Addition'!$O1579</f>
        <v>1.8947905504078837</v>
      </c>
      <c r="R1579" s="122"/>
      <c r="S1579" s="116">
        <f>IF(AND(DATE(20&amp;LEFT(FAAddition[[#This Row],[FY]],2),4,1)&lt;$L$1+1,DATE(20&amp;LEFT(FAAddition[[#This Row],[FY]],2),4,1)&gt;$P$1-1),'FA Addition'!$J1579,0)</f>
        <v>0</v>
      </c>
      <c r="U1579" s="117">
        <f>S1579*'FA Addition'!$L1579/'FA Addition'!$J1579</f>
        <v>0</v>
      </c>
      <c r="W1579" s="116">
        <f>SUMIFS('FA Write off'!D:D,'FA Write off'!A:A,'FA Addition'!$A1579,'FA Write off'!C:C,"&lt;"&amp;'FA Addition'!$P$1)</f>
        <v>0</v>
      </c>
      <c r="Y1579" s="191">
        <f>IFERROR(W1579/'FA Addition'!$J1579*'FA Addition'!$L1579,0)</f>
        <v>0</v>
      </c>
      <c r="AA1579" s="116">
        <f>SUMIFS('FA Write off'!D:D,'FA Write off'!A:A,'FA Addition'!$A1579,'FA Write off'!C:C,"&lt;"&amp;'FA Addition'!$L$1+1,'FA Write off'!C:C,"&gt;"&amp;'FA Addition'!$L$1-365)</f>
        <v>0</v>
      </c>
      <c r="AC1579" s="118">
        <f>IFERROR(AA1579/'FA Addition'!$J1579*'FA Addition'!$L1579,0)</f>
        <v>0</v>
      </c>
      <c r="AE1579" s="117">
        <f>IF(AND('FA Addition'!$D1579&lt;$P$1+1,U1579=0),'FA Addition'!$L1579,0)-Y1579</f>
        <v>0</v>
      </c>
      <c r="AF1579" s="117">
        <f t="shared" si="120"/>
        <v>0</v>
      </c>
      <c r="AG1579" s="117">
        <f>MIN(MAX(+$P$1-'FA Addition'!$D1579,0),365*'FA Addition'!$O1579)</f>
        <v>0</v>
      </c>
      <c r="AH1579" s="117">
        <f>MIN(MAX($L$1-'FA Addition'!$D1579+1,0),365*'FA Addition'!$O1579)</f>
        <v>0</v>
      </c>
      <c r="AI1579" s="117" cm="1">
        <f t="array" ref="AI1579">_xlfn.XLOOKUP(1,('FA Write off'!A:A='FA Addition'!$A1579)*('FA Write off'!D:D=AA1579),'FA Write off'!H:H,0,0)</f>
        <v>0</v>
      </c>
      <c r="AJ1579" s="117">
        <f>IF(AC1579&gt;0,MAX(IF('FA Addition'!$N1579="SLM",($AC1579-'FA Addition'!$M1579)*'FA Addition'!$P1579*AI1579/365,(AC1579-'FA Addition'!$M1579)*(1-(1-'FA Addition'!$P1579)^(AI1579/365))),0),0)</f>
        <v>0</v>
      </c>
      <c r="AL1579" s="117">
        <f>MAX(IF(AG1579&gt;0,IF('FA Addition'!$N1579="SLM",($AE1579-'FA Addition'!$M1579)*'FA Addition'!$P1579*AG1579/365,IFERROR(VDB(AE1579,AE1579*0.05,'FA Addition'!$O1579,0,YEARFRAC('FA Addition'!$C1579,$P$1-1,3),'FA Addition'!$Q1579),FAAddition[[#This Row],[Original Cost (Rs)]]-FAAddition[[#This Row],[Salvage Value]])),0),0)</f>
        <v>0</v>
      </c>
      <c r="AM1579" s="119"/>
      <c r="AN1579" s="117">
        <f>MAX(IF(AH1579&gt;0,IF('FA Addition'!$N1579="SLM",($AF1579-'FA Addition'!$M1579)*'FA Addition'!$P1579*AH1579/365,IFERROR(VDB(AF1579,AF1579*0.05,'FA Addition'!$O1579,0,YEARFRAC('FA Addition'!$C1579,$L$1,3),'FA Addition'!$Q1579),FAAddition[[#This Row],[Original Cost (Rs)]]-FAAddition[[#This Row],[Salvage Value]])),0),0)</f>
        <v>0</v>
      </c>
      <c r="AO1579" s="117">
        <f t="shared" si="123"/>
        <v>0</v>
      </c>
      <c r="AQ1579" s="117">
        <f t="shared" si="121"/>
        <v>0</v>
      </c>
      <c r="AR1579" s="120">
        <f t="shared" si="122"/>
        <v>0</v>
      </c>
      <c r="AS1579" s="121"/>
    </row>
    <row r="1580" spans="1:45" ht="13.5" x14ac:dyDescent="0.4">
      <c r="A1580" s="12">
        <f t="shared" si="124"/>
        <v>1577</v>
      </c>
      <c r="B1580" s="64" t="s">
        <v>10</v>
      </c>
      <c r="C1580" s="54">
        <v>45939</v>
      </c>
      <c r="D1580" s="54">
        <v>45939</v>
      </c>
      <c r="E1580" s="46" t="s">
        <v>451</v>
      </c>
      <c r="F1580" s="51" t="s">
        <v>19</v>
      </c>
      <c r="G1580" s="51" t="s">
        <v>166</v>
      </c>
      <c r="H1580" s="51" t="s">
        <v>79</v>
      </c>
      <c r="I1580" s="55" t="s">
        <v>217</v>
      </c>
      <c r="J1580" s="56">
        <v>1</v>
      </c>
      <c r="K1580" s="51" t="s">
        <v>357</v>
      </c>
      <c r="L1580" s="58">
        <v>30500</v>
      </c>
      <c r="M1580" s="50">
        <f>ROUND('FA Addition'!$L1580*5%,0.1)</f>
        <v>1525</v>
      </c>
      <c r="N1580" s="113" t="str">
        <f>_xlfn.XLOOKUP(_xlfn.CONCAT(E1580,B1580),'Year Wise Master Dep Approach'!F:F,'Year Wise Master Dep Approach'!D:D)</f>
        <v>WDV</v>
      </c>
      <c r="O1580" s="113">
        <f>_xlfn.XLOOKUP(_xlfn.CONCAT(E1580,B1580),'Year Wise Master Dep Approach'!F:F,'Year Wise Master Dep Approach'!E:E)</f>
        <v>3</v>
      </c>
      <c r="P1580" s="114">
        <f>IFERROR(IF('FA Addition'!$N1580="WDV",1-('FA Addition'!$M1580/'FA Addition'!$L1580)^(1/'FA Addition'!$O1580),1/'FA Addition'!$O1580),0)</f>
        <v>0.63159685013596123</v>
      </c>
      <c r="Q1580" s="122">
        <f>'FA Addition'!$P1580*'FA Addition'!$O1580</f>
        <v>1.8947905504078837</v>
      </c>
      <c r="R1580" s="122"/>
      <c r="S1580" s="116">
        <f>IF(AND(DATE(20&amp;LEFT(FAAddition[[#This Row],[FY]],2),4,1)&lt;$L$1+1,DATE(20&amp;LEFT(FAAddition[[#This Row],[FY]],2),4,1)&gt;$P$1-1),'FA Addition'!$J1580,0)</f>
        <v>0</v>
      </c>
      <c r="U1580" s="117">
        <f>S1580*'FA Addition'!$L1580/'FA Addition'!$J1580</f>
        <v>0</v>
      </c>
      <c r="W1580" s="116">
        <f>SUMIFS('FA Write off'!D:D,'FA Write off'!A:A,'FA Addition'!$A1580,'FA Write off'!C:C,"&lt;"&amp;'FA Addition'!$P$1)</f>
        <v>0</v>
      </c>
      <c r="Y1580" s="191">
        <f>IFERROR(W1580/'FA Addition'!$J1580*'FA Addition'!$L1580,0)</f>
        <v>0</v>
      </c>
      <c r="AA1580" s="116">
        <f>SUMIFS('FA Write off'!D:D,'FA Write off'!A:A,'FA Addition'!$A1580,'FA Write off'!C:C,"&lt;"&amp;'FA Addition'!$L$1+1,'FA Write off'!C:C,"&gt;"&amp;'FA Addition'!$L$1-365)</f>
        <v>0</v>
      </c>
      <c r="AC1580" s="118">
        <f>IFERROR(AA1580/'FA Addition'!$J1580*'FA Addition'!$L1580,0)</f>
        <v>0</v>
      </c>
      <c r="AE1580" s="117">
        <f>IF(AND('FA Addition'!$D1580&lt;$P$1+1,U1580=0),'FA Addition'!$L1580,0)-Y1580</f>
        <v>0</v>
      </c>
      <c r="AF1580" s="117">
        <f t="shared" si="120"/>
        <v>0</v>
      </c>
      <c r="AG1580" s="117">
        <f>MIN(MAX(+$P$1-'FA Addition'!$D1580,0),365*'FA Addition'!$O1580)</f>
        <v>0</v>
      </c>
      <c r="AH1580" s="117">
        <f>MIN(MAX($L$1-'FA Addition'!$D1580+1,0),365*'FA Addition'!$O1580)</f>
        <v>0</v>
      </c>
      <c r="AI1580" s="117" cm="1">
        <f t="array" ref="AI1580">_xlfn.XLOOKUP(1,('FA Write off'!A:A='FA Addition'!$A1580)*('FA Write off'!D:D=AA1580),'FA Write off'!H:H,0,0)</f>
        <v>0</v>
      </c>
      <c r="AJ1580" s="117">
        <f>IF(AC1580&gt;0,MAX(IF('FA Addition'!$N1580="SLM",($AC1580-'FA Addition'!$M1580)*'FA Addition'!$P1580*AI1580/365,(AC1580-'FA Addition'!$M1580)*(1-(1-'FA Addition'!$P1580)^(AI1580/365))),0),0)</f>
        <v>0</v>
      </c>
      <c r="AL1580" s="117">
        <f>MAX(IF(AG1580&gt;0,IF('FA Addition'!$N1580="SLM",($AE1580-'FA Addition'!$M1580)*'FA Addition'!$P1580*AG1580/365,IFERROR(VDB(AE1580,AE1580*0.05,'FA Addition'!$O1580,0,YEARFRAC('FA Addition'!$C1580,$P$1-1,3),'FA Addition'!$Q1580),FAAddition[[#This Row],[Original Cost (Rs)]]-FAAddition[[#This Row],[Salvage Value]])),0),0)</f>
        <v>0</v>
      </c>
      <c r="AM1580" s="119"/>
      <c r="AN1580" s="117">
        <f>MAX(IF(AH1580&gt;0,IF('FA Addition'!$N1580="SLM",($AF1580-'FA Addition'!$M1580)*'FA Addition'!$P1580*AH1580/365,IFERROR(VDB(AF1580,AF1580*0.05,'FA Addition'!$O1580,0,YEARFRAC('FA Addition'!$C1580,$L$1,3),'FA Addition'!$Q1580),FAAddition[[#This Row],[Original Cost (Rs)]]-FAAddition[[#This Row],[Salvage Value]])),0),0)</f>
        <v>0</v>
      </c>
      <c r="AO1580" s="117">
        <f t="shared" si="123"/>
        <v>0</v>
      </c>
      <c r="AQ1580" s="117">
        <f t="shared" si="121"/>
        <v>0</v>
      </c>
      <c r="AR1580" s="120">
        <f t="shared" si="122"/>
        <v>0</v>
      </c>
      <c r="AS1580" s="121"/>
    </row>
    <row r="1581" spans="1:45" ht="13.5" x14ac:dyDescent="0.4">
      <c r="A1581" s="12">
        <f t="shared" si="124"/>
        <v>1578</v>
      </c>
      <c r="B1581" s="64" t="s">
        <v>10</v>
      </c>
      <c r="C1581" s="54">
        <v>45948</v>
      </c>
      <c r="D1581" s="54">
        <v>45948</v>
      </c>
      <c r="E1581" s="46" t="s">
        <v>749</v>
      </c>
      <c r="F1581" s="51" t="s">
        <v>74</v>
      </c>
      <c r="G1581" s="51" t="s">
        <v>166</v>
      </c>
      <c r="H1581" s="51" t="s">
        <v>32</v>
      </c>
      <c r="I1581" s="55" t="s">
        <v>2088</v>
      </c>
      <c r="J1581" s="56">
        <v>1</v>
      </c>
      <c r="K1581" s="51" t="s">
        <v>358</v>
      </c>
      <c r="L1581" s="58">
        <v>43500</v>
      </c>
      <c r="M1581" s="50">
        <f>ROUND('FA Addition'!$L1581*5%,0.1)</f>
        <v>2175</v>
      </c>
      <c r="N1581" s="113" t="str">
        <f>_xlfn.XLOOKUP(_xlfn.CONCAT(E1581,B1581),'Year Wise Master Dep Approach'!F:F,'Year Wise Master Dep Approach'!D:D)</f>
        <v>WDV</v>
      </c>
      <c r="O1581" s="113">
        <f>_xlfn.XLOOKUP(_xlfn.CONCAT(E1581,B1581),'Year Wise Master Dep Approach'!F:F,'Year Wise Master Dep Approach'!E:E)</f>
        <v>5</v>
      </c>
      <c r="P1581" s="114">
        <f>IFERROR(IF('FA Addition'!$N1581="WDV",1-('FA Addition'!$M1581/'FA Addition'!$L1581)^(1/'FA Addition'!$O1581),1/'FA Addition'!$O1581),0)</f>
        <v>0.45071972834694107</v>
      </c>
      <c r="Q1581" s="122">
        <f>'FA Addition'!$P1581*'FA Addition'!$O1581</f>
        <v>2.2535986417347056</v>
      </c>
      <c r="R1581" s="122"/>
      <c r="S1581" s="116">
        <f>IF(AND(DATE(20&amp;LEFT(FAAddition[[#This Row],[FY]],2),4,1)&lt;$L$1+1,DATE(20&amp;LEFT(FAAddition[[#This Row],[FY]],2),4,1)&gt;$P$1-1),'FA Addition'!$J1581,0)</f>
        <v>0</v>
      </c>
      <c r="U1581" s="117">
        <f>S1581*'FA Addition'!$L1581/'FA Addition'!$J1581</f>
        <v>0</v>
      </c>
      <c r="W1581" s="116">
        <f>SUMIFS('FA Write off'!D:D,'FA Write off'!A:A,'FA Addition'!$A1581,'FA Write off'!C:C,"&lt;"&amp;'FA Addition'!$P$1)</f>
        <v>0</v>
      </c>
      <c r="Y1581" s="191">
        <f>IFERROR(W1581/'FA Addition'!$J1581*'FA Addition'!$L1581,0)</f>
        <v>0</v>
      </c>
      <c r="AA1581" s="116">
        <f>SUMIFS('FA Write off'!D:D,'FA Write off'!A:A,'FA Addition'!$A1581,'FA Write off'!C:C,"&lt;"&amp;'FA Addition'!$L$1+1,'FA Write off'!C:C,"&gt;"&amp;'FA Addition'!$L$1-365)</f>
        <v>0</v>
      </c>
      <c r="AC1581" s="118">
        <f>IFERROR(AA1581/'FA Addition'!$J1581*'FA Addition'!$L1581,0)</f>
        <v>0</v>
      </c>
      <c r="AE1581" s="117">
        <f>IF(AND('FA Addition'!$D1581&lt;$P$1+1,U1581=0),'FA Addition'!$L1581,0)-Y1581</f>
        <v>0</v>
      </c>
      <c r="AF1581" s="117">
        <f t="shared" si="120"/>
        <v>0</v>
      </c>
      <c r="AG1581" s="117">
        <f>MIN(MAX(+$P$1-'FA Addition'!$D1581,0),365*'FA Addition'!$O1581)</f>
        <v>0</v>
      </c>
      <c r="AH1581" s="117">
        <f>MIN(MAX($L$1-'FA Addition'!$D1581+1,0),365*'FA Addition'!$O1581)</f>
        <v>0</v>
      </c>
      <c r="AI1581" s="117" cm="1">
        <f t="array" ref="AI1581">_xlfn.XLOOKUP(1,('FA Write off'!A:A='FA Addition'!$A1581)*('FA Write off'!D:D=AA1581),'FA Write off'!H:H,0,0)</f>
        <v>0</v>
      </c>
      <c r="AJ1581" s="117">
        <f>IF(AC1581&gt;0,MAX(IF('FA Addition'!$N1581="SLM",($AC1581-'FA Addition'!$M1581)*'FA Addition'!$P1581*AI1581/365,(AC1581-'FA Addition'!$M1581)*(1-(1-'FA Addition'!$P1581)^(AI1581/365))),0),0)</f>
        <v>0</v>
      </c>
      <c r="AL1581" s="117">
        <f>MAX(IF(AG1581&gt;0,IF('FA Addition'!$N1581="SLM",($AE1581-'FA Addition'!$M1581)*'FA Addition'!$P1581*AG1581/365,IFERROR(VDB(AE1581,AE1581*0.05,'FA Addition'!$O1581,0,YEARFRAC('FA Addition'!$C1581,$P$1-1,3),'FA Addition'!$Q1581),FAAddition[[#This Row],[Original Cost (Rs)]]-FAAddition[[#This Row],[Salvage Value]])),0),0)</f>
        <v>0</v>
      </c>
      <c r="AM1581" s="119"/>
      <c r="AN1581" s="117">
        <f>MAX(IF(AH1581&gt;0,IF('FA Addition'!$N1581="SLM",($AF1581-'FA Addition'!$M1581)*'FA Addition'!$P1581*AH1581/365,IFERROR(VDB(AF1581,AF1581*0.05,'FA Addition'!$O1581,0,YEARFRAC('FA Addition'!$C1581,$L$1,3),'FA Addition'!$Q1581),FAAddition[[#This Row],[Original Cost (Rs)]]-FAAddition[[#This Row],[Salvage Value]])),0),0)</f>
        <v>0</v>
      </c>
      <c r="AO1581" s="117">
        <f t="shared" si="123"/>
        <v>0</v>
      </c>
      <c r="AQ1581" s="117">
        <f t="shared" si="121"/>
        <v>0</v>
      </c>
      <c r="AR1581" s="120">
        <f t="shared" si="122"/>
        <v>0</v>
      </c>
      <c r="AS1581" s="121"/>
    </row>
    <row r="1582" spans="1:45" ht="13.5" x14ac:dyDescent="0.4">
      <c r="A1582" s="12">
        <f t="shared" si="124"/>
        <v>1579</v>
      </c>
      <c r="B1582" s="64" t="s">
        <v>10</v>
      </c>
      <c r="C1582" s="54">
        <v>45948</v>
      </c>
      <c r="D1582" s="54">
        <v>45948</v>
      </c>
      <c r="E1582" s="46" t="s">
        <v>749</v>
      </c>
      <c r="F1582" s="51" t="s">
        <v>74</v>
      </c>
      <c r="G1582" s="51" t="s">
        <v>166</v>
      </c>
      <c r="H1582" s="51" t="s">
        <v>32</v>
      </c>
      <c r="I1582" s="55" t="s">
        <v>2089</v>
      </c>
      <c r="J1582" s="56">
        <v>1</v>
      </c>
      <c r="K1582" s="51" t="s">
        <v>359</v>
      </c>
      <c r="L1582" s="58">
        <v>7700</v>
      </c>
      <c r="M1582" s="50">
        <f>ROUND('FA Addition'!$L1582*5%,0.1)</f>
        <v>385</v>
      </c>
      <c r="N1582" s="113" t="str">
        <f>_xlfn.XLOOKUP(_xlfn.CONCAT(E1582,B1582),'Year Wise Master Dep Approach'!F:F,'Year Wise Master Dep Approach'!D:D)</f>
        <v>WDV</v>
      </c>
      <c r="O1582" s="113">
        <f>_xlfn.XLOOKUP(_xlfn.CONCAT(E1582,B1582),'Year Wise Master Dep Approach'!F:F,'Year Wise Master Dep Approach'!E:E)</f>
        <v>5</v>
      </c>
      <c r="P1582" s="114">
        <f>IFERROR(IF('FA Addition'!$N1582="WDV",1-('FA Addition'!$M1582/'FA Addition'!$L1582)^(1/'FA Addition'!$O1582),1/'FA Addition'!$O1582),0)</f>
        <v>0.45071972834694107</v>
      </c>
      <c r="Q1582" s="122">
        <f>'FA Addition'!$P1582*'FA Addition'!$O1582</f>
        <v>2.2535986417347056</v>
      </c>
      <c r="R1582" s="122"/>
      <c r="S1582" s="116">
        <f>IF(AND(DATE(20&amp;LEFT(FAAddition[[#This Row],[FY]],2),4,1)&lt;$L$1+1,DATE(20&amp;LEFT(FAAddition[[#This Row],[FY]],2),4,1)&gt;$P$1-1),'FA Addition'!$J1582,0)</f>
        <v>0</v>
      </c>
      <c r="U1582" s="117">
        <f>S1582*'FA Addition'!$L1582/'FA Addition'!$J1582</f>
        <v>0</v>
      </c>
      <c r="W1582" s="116">
        <f>SUMIFS('FA Write off'!D:D,'FA Write off'!A:A,'FA Addition'!$A1582,'FA Write off'!C:C,"&lt;"&amp;'FA Addition'!$P$1)</f>
        <v>0</v>
      </c>
      <c r="Y1582" s="191">
        <f>IFERROR(W1582/'FA Addition'!$J1582*'FA Addition'!$L1582,0)</f>
        <v>0</v>
      </c>
      <c r="AA1582" s="116">
        <f>SUMIFS('FA Write off'!D:D,'FA Write off'!A:A,'FA Addition'!$A1582,'FA Write off'!C:C,"&lt;"&amp;'FA Addition'!$L$1+1,'FA Write off'!C:C,"&gt;"&amp;'FA Addition'!$L$1-365)</f>
        <v>0</v>
      </c>
      <c r="AC1582" s="118">
        <f>IFERROR(AA1582/'FA Addition'!$J1582*'FA Addition'!$L1582,0)</f>
        <v>0</v>
      </c>
      <c r="AE1582" s="117">
        <f>IF(AND('FA Addition'!$D1582&lt;$P$1+1,U1582=0),'FA Addition'!$L1582,0)-Y1582</f>
        <v>0</v>
      </c>
      <c r="AF1582" s="117">
        <f t="shared" si="120"/>
        <v>0</v>
      </c>
      <c r="AG1582" s="117">
        <f>MIN(MAX(+$P$1-'FA Addition'!$D1582,0),365*'FA Addition'!$O1582)</f>
        <v>0</v>
      </c>
      <c r="AH1582" s="117">
        <f>MIN(MAX($L$1-'FA Addition'!$D1582+1,0),365*'FA Addition'!$O1582)</f>
        <v>0</v>
      </c>
      <c r="AI1582" s="117" cm="1">
        <f t="array" ref="AI1582">_xlfn.XLOOKUP(1,('FA Write off'!A:A='FA Addition'!$A1582)*('FA Write off'!D:D=AA1582),'FA Write off'!H:H,0,0)</f>
        <v>0</v>
      </c>
      <c r="AJ1582" s="117">
        <f>IF(AC1582&gt;0,MAX(IF('FA Addition'!$N1582="SLM",($AC1582-'FA Addition'!$M1582)*'FA Addition'!$P1582*AI1582/365,(AC1582-'FA Addition'!$M1582)*(1-(1-'FA Addition'!$P1582)^(AI1582/365))),0),0)</f>
        <v>0</v>
      </c>
      <c r="AL1582" s="117">
        <f>MAX(IF(AG1582&gt;0,IF('FA Addition'!$N1582="SLM",($AE1582-'FA Addition'!$M1582)*'FA Addition'!$P1582*AG1582/365,IFERROR(VDB(AE1582,AE1582*0.05,'FA Addition'!$O1582,0,YEARFRAC('FA Addition'!$C1582,$P$1-1,3),'FA Addition'!$Q1582),FAAddition[[#This Row],[Original Cost (Rs)]]-FAAddition[[#This Row],[Salvage Value]])),0),0)</f>
        <v>0</v>
      </c>
      <c r="AM1582" s="119"/>
      <c r="AN1582" s="117">
        <f>MAX(IF(AH1582&gt;0,IF('FA Addition'!$N1582="SLM",($AF1582-'FA Addition'!$M1582)*'FA Addition'!$P1582*AH1582/365,IFERROR(VDB(AF1582,AF1582*0.05,'FA Addition'!$O1582,0,YEARFRAC('FA Addition'!$C1582,$L$1,3),'FA Addition'!$Q1582),FAAddition[[#This Row],[Original Cost (Rs)]]-FAAddition[[#This Row],[Salvage Value]])),0),0)</f>
        <v>0</v>
      </c>
      <c r="AO1582" s="117">
        <f t="shared" si="123"/>
        <v>0</v>
      </c>
      <c r="AQ1582" s="117">
        <f t="shared" si="121"/>
        <v>0</v>
      </c>
      <c r="AR1582" s="120">
        <f t="shared" si="122"/>
        <v>0</v>
      </c>
      <c r="AS1582" s="121"/>
    </row>
    <row r="1583" spans="1:45" ht="13.5" x14ac:dyDescent="0.4">
      <c r="A1583" s="12">
        <f t="shared" si="124"/>
        <v>1580</v>
      </c>
      <c r="B1583" s="64" t="s">
        <v>10</v>
      </c>
      <c r="C1583" s="54">
        <v>45948</v>
      </c>
      <c r="D1583" s="54">
        <v>45948</v>
      </c>
      <c r="E1583" s="46" t="s">
        <v>749</v>
      </c>
      <c r="F1583" s="51" t="s">
        <v>74</v>
      </c>
      <c r="G1583" s="51" t="s">
        <v>166</v>
      </c>
      <c r="H1583" s="51" t="s">
        <v>219</v>
      </c>
      <c r="I1583" s="55" t="s">
        <v>218</v>
      </c>
      <c r="J1583" s="56">
        <v>1</v>
      </c>
      <c r="K1583" s="51" t="s">
        <v>360</v>
      </c>
      <c r="L1583" s="58">
        <v>2150</v>
      </c>
      <c r="M1583" s="50">
        <f>ROUND('FA Addition'!$L1583*5%,0.1)</f>
        <v>108</v>
      </c>
      <c r="N1583" s="113" t="str">
        <f>_xlfn.XLOOKUP(_xlfn.CONCAT(E1583,B1583),'Year Wise Master Dep Approach'!F:F,'Year Wise Master Dep Approach'!D:D)</f>
        <v>WDV</v>
      </c>
      <c r="O1583" s="113">
        <f>_xlfn.XLOOKUP(_xlfn.CONCAT(E1583,B1583),'Year Wise Master Dep Approach'!F:F,'Year Wise Master Dep Approach'!E:E)</f>
        <v>5</v>
      </c>
      <c r="P1583" s="114">
        <f>IFERROR(IF('FA Addition'!$N1583="WDV",1-('FA Addition'!$M1583/'FA Addition'!$L1583)^(1/'FA Addition'!$O1583),1/'FA Addition'!$O1583),0)</f>
        <v>0.45020971793068354</v>
      </c>
      <c r="Q1583" s="122">
        <f>'FA Addition'!$P1583*'FA Addition'!$O1583</f>
        <v>2.2510485896534176</v>
      </c>
      <c r="R1583" s="122"/>
      <c r="S1583" s="116">
        <f>IF(AND(DATE(20&amp;LEFT(FAAddition[[#This Row],[FY]],2),4,1)&lt;$L$1+1,DATE(20&amp;LEFT(FAAddition[[#This Row],[FY]],2),4,1)&gt;$P$1-1),'FA Addition'!$J1583,0)</f>
        <v>0</v>
      </c>
      <c r="U1583" s="117">
        <f>S1583*'FA Addition'!$L1583/'FA Addition'!$J1583</f>
        <v>0</v>
      </c>
      <c r="W1583" s="116">
        <f>SUMIFS('FA Write off'!D:D,'FA Write off'!A:A,'FA Addition'!$A1583,'FA Write off'!C:C,"&lt;"&amp;'FA Addition'!$P$1)</f>
        <v>0</v>
      </c>
      <c r="Y1583" s="191">
        <f>IFERROR(W1583/'FA Addition'!$J1583*'FA Addition'!$L1583,0)</f>
        <v>0</v>
      </c>
      <c r="AA1583" s="116">
        <f>SUMIFS('FA Write off'!D:D,'FA Write off'!A:A,'FA Addition'!$A1583,'FA Write off'!C:C,"&lt;"&amp;'FA Addition'!$L$1+1,'FA Write off'!C:C,"&gt;"&amp;'FA Addition'!$L$1-365)</f>
        <v>0</v>
      </c>
      <c r="AC1583" s="118">
        <f>IFERROR(AA1583/'FA Addition'!$J1583*'FA Addition'!$L1583,0)</f>
        <v>0</v>
      </c>
      <c r="AE1583" s="117">
        <f>IF(AND('FA Addition'!$D1583&lt;$P$1+1,U1583=0),'FA Addition'!$L1583,0)-Y1583</f>
        <v>0</v>
      </c>
      <c r="AF1583" s="117">
        <f t="shared" si="120"/>
        <v>0</v>
      </c>
      <c r="AG1583" s="117">
        <f>MIN(MAX(+$P$1-'FA Addition'!$D1583,0),365*'FA Addition'!$O1583)</f>
        <v>0</v>
      </c>
      <c r="AH1583" s="117">
        <f>MIN(MAX($L$1-'FA Addition'!$D1583+1,0),365*'FA Addition'!$O1583)</f>
        <v>0</v>
      </c>
      <c r="AI1583" s="117" cm="1">
        <f t="array" ref="AI1583">_xlfn.XLOOKUP(1,('FA Write off'!A:A='FA Addition'!$A1583)*('FA Write off'!D:D=AA1583),'FA Write off'!H:H,0,0)</f>
        <v>0</v>
      </c>
      <c r="AJ1583" s="117">
        <f>IF(AC1583&gt;0,MAX(IF('FA Addition'!$N1583="SLM",($AC1583-'FA Addition'!$M1583)*'FA Addition'!$P1583*AI1583/365,(AC1583-'FA Addition'!$M1583)*(1-(1-'FA Addition'!$P1583)^(AI1583/365))),0),0)</f>
        <v>0</v>
      </c>
      <c r="AL1583" s="117">
        <f>MAX(IF(AG1583&gt;0,IF('FA Addition'!$N1583="SLM",($AE1583-'FA Addition'!$M1583)*'FA Addition'!$P1583*AG1583/365,IFERROR(VDB(AE1583,AE1583*0.05,'FA Addition'!$O1583,0,YEARFRAC('FA Addition'!$C1583,$P$1-1,3),'FA Addition'!$Q1583),FAAddition[[#This Row],[Original Cost (Rs)]]-FAAddition[[#This Row],[Salvage Value]])),0),0)</f>
        <v>0</v>
      </c>
      <c r="AM1583" s="119"/>
      <c r="AN1583" s="117">
        <f>MAX(IF(AH1583&gt;0,IF('FA Addition'!$N1583="SLM",($AF1583-'FA Addition'!$M1583)*'FA Addition'!$P1583*AH1583/365,IFERROR(VDB(AF1583,AF1583*0.05,'FA Addition'!$O1583,0,YEARFRAC('FA Addition'!$C1583,$L$1,3),'FA Addition'!$Q1583),FAAddition[[#This Row],[Original Cost (Rs)]]-FAAddition[[#This Row],[Salvage Value]])),0),0)</f>
        <v>0</v>
      </c>
      <c r="AO1583" s="117">
        <f t="shared" si="123"/>
        <v>0</v>
      </c>
      <c r="AQ1583" s="117">
        <f t="shared" si="121"/>
        <v>0</v>
      </c>
      <c r="AR1583" s="120">
        <f t="shared" si="122"/>
        <v>0</v>
      </c>
      <c r="AS1583" s="121"/>
    </row>
    <row r="1584" spans="1:45" ht="13.5" x14ac:dyDescent="0.4">
      <c r="A1584" s="12">
        <f t="shared" si="124"/>
        <v>1581</v>
      </c>
      <c r="B1584" s="64" t="s">
        <v>10</v>
      </c>
      <c r="C1584" s="54">
        <v>45948</v>
      </c>
      <c r="D1584" s="54">
        <v>45948</v>
      </c>
      <c r="E1584" s="46" t="s">
        <v>749</v>
      </c>
      <c r="F1584" s="51" t="s">
        <v>74</v>
      </c>
      <c r="G1584" s="51" t="s">
        <v>166</v>
      </c>
      <c r="H1584" s="51" t="s">
        <v>32</v>
      </c>
      <c r="I1584" s="55" t="s">
        <v>2090</v>
      </c>
      <c r="J1584" s="56">
        <v>1</v>
      </c>
      <c r="K1584" s="51" t="s">
        <v>361</v>
      </c>
      <c r="L1584" s="58">
        <v>3500</v>
      </c>
      <c r="M1584" s="50">
        <f>ROUND('FA Addition'!$L1584*5%,0.1)</f>
        <v>175</v>
      </c>
      <c r="N1584" s="113" t="str">
        <f>_xlfn.XLOOKUP(_xlfn.CONCAT(E1584,B1584),'Year Wise Master Dep Approach'!F:F,'Year Wise Master Dep Approach'!D:D)</f>
        <v>WDV</v>
      </c>
      <c r="O1584" s="113">
        <f>_xlfn.XLOOKUP(_xlfn.CONCAT(E1584,B1584),'Year Wise Master Dep Approach'!F:F,'Year Wise Master Dep Approach'!E:E)</f>
        <v>5</v>
      </c>
      <c r="P1584" s="114">
        <f>IFERROR(IF('FA Addition'!$N1584="WDV",1-('FA Addition'!$M1584/'FA Addition'!$L1584)^(1/'FA Addition'!$O1584),1/'FA Addition'!$O1584),0)</f>
        <v>0.45071972834694107</v>
      </c>
      <c r="Q1584" s="122">
        <f>'FA Addition'!$P1584*'FA Addition'!$O1584</f>
        <v>2.2535986417347056</v>
      </c>
      <c r="R1584" s="122"/>
      <c r="S1584" s="116">
        <f>IF(AND(DATE(20&amp;LEFT(FAAddition[[#This Row],[FY]],2),4,1)&lt;$L$1+1,DATE(20&amp;LEFT(FAAddition[[#This Row],[FY]],2),4,1)&gt;$P$1-1),'FA Addition'!$J1584,0)</f>
        <v>0</v>
      </c>
      <c r="U1584" s="117">
        <f>S1584*'FA Addition'!$L1584/'FA Addition'!$J1584</f>
        <v>0</v>
      </c>
      <c r="W1584" s="116">
        <f>SUMIFS('FA Write off'!D:D,'FA Write off'!A:A,'FA Addition'!$A1584,'FA Write off'!C:C,"&lt;"&amp;'FA Addition'!$P$1)</f>
        <v>0</v>
      </c>
      <c r="Y1584" s="191">
        <f>IFERROR(W1584/'FA Addition'!$J1584*'FA Addition'!$L1584,0)</f>
        <v>0</v>
      </c>
      <c r="AA1584" s="116">
        <f>SUMIFS('FA Write off'!D:D,'FA Write off'!A:A,'FA Addition'!$A1584,'FA Write off'!C:C,"&lt;"&amp;'FA Addition'!$L$1+1,'FA Write off'!C:C,"&gt;"&amp;'FA Addition'!$L$1-365)</f>
        <v>0</v>
      </c>
      <c r="AC1584" s="118">
        <f>IFERROR(AA1584/'FA Addition'!$J1584*'FA Addition'!$L1584,0)</f>
        <v>0</v>
      </c>
      <c r="AE1584" s="117">
        <f>IF(AND('FA Addition'!$D1584&lt;$P$1+1,U1584=0),'FA Addition'!$L1584,0)-Y1584</f>
        <v>0</v>
      </c>
      <c r="AF1584" s="117">
        <f t="shared" si="120"/>
        <v>0</v>
      </c>
      <c r="AG1584" s="117">
        <f>MIN(MAX(+$P$1-'FA Addition'!$D1584,0),365*'FA Addition'!$O1584)</f>
        <v>0</v>
      </c>
      <c r="AH1584" s="117">
        <f>MIN(MAX($L$1-'FA Addition'!$D1584+1,0),365*'FA Addition'!$O1584)</f>
        <v>0</v>
      </c>
      <c r="AI1584" s="117" cm="1">
        <f t="array" ref="AI1584">_xlfn.XLOOKUP(1,('FA Write off'!A:A='FA Addition'!$A1584)*('FA Write off'!D:D=AA1584),'FA Write off'!H:H,0,0)</f>
        <v>0</v>
      </c>
      <c r="AJ1584" s="117">
        <f>IF(AC1584&gt;0,MAX(IF('FA Addition'!$N1584="SLM",($AC1584-'FA Addition'!$M1584)*'FA Addition'!$P1584*AI1584/365,(AC1584-'FA Addition'!$M1584)*(1-(1-'FA Addition'!$P1584)^(AI1584/365))),0),0)</f>
        <v>0</v>
      </c>
      <c r="AL1584" s="117">
        <f>MAX(IF(AG1584&gt;0,IF('FA Addition'!$N1584="SLM",($AE1584-'FA Addition'!$M1584)*'FA Addition'!$P1584*AG1584/365,IFERROR(VDB(AE1584,AE1584*0.05,'FA Addition'!$O1584,0,YEARFRAC('FA Addition'!$C1584,$P$1-1,3),'FA Addition'!$Q1584),FAAddition[[#This Row],[Original Cost (Rs)]]-FAAddition[[#This Row],[Salvage Value]])),0),0)</f>
        <v>0</v>
      </c>
      <c r="AM1584" s="119"/>
      <c r="AN1584" s="117">
        <f>MAX(IF(AH1584&gt;0,IF('FA Addition'!$N1584="SLM",($AF1584-'FA Addition'!$M1584)*'FA Addition'!$P1584*AH1584/365,IFERROR(VDB(AF1584,AF1584*0.05,'FA Addition'!$O1584,0,YEARFRAC('FA Addition'!$C1584,$L$1,3),'FA Addition'!$Q1584),FAAddition[[#This Row],[Original Cost (Rs)]]-FAAddition[[#This Row],[Salvage Value]])),0),0)</f>
        <v>0</v>
      </c>
      <c r="AO1584" s="117">
        <f t="shared" si="123"/>
        <v>0</v>
      </c>
      <c r="AQ1584" s="117">
        <f t="shared" si="121"/>
        <v>0</v>
      </c>
      <c r="AR1584" s="120">
        <f t="shared" si="122"/>
        <v>0</v>
      </c>
      <c r="AS1584" s="121"/>
    </row>
    <row r="1585" spans="1:45" ht="13.5" x14ac:dyDescent="0.4">
      <c r="A1585" s="12">
        <f t="shared" si="124"/>
        <v>1582</v>
      </c>
      <c r="B1585" s="64" t="s">
        <v>10</v>
      </c>
      <c r="C1585" s="54">
        <v>45948</v>
      </c>
      <c r="D1585" s="54">
        <v>45948</v>
      </c>
      <c r="E1585" s="46" t="s">
        <v>749</v>
      </c>
      <c r="F1585" s="51" t="s">
        <v>74</v>
      </c>
      <c r="G1585" s="51" t="s">
        <v>166</v>
      </c>
      <c r="H1585" s="51" t="s">
        <v>32</v>
      </c>
      <c r="I1585" s="55" t="s">
        <v>2091</v>
      </c>
      <c r="J1585" s="56">
        <v>1</v>
      </c>
      <c r="K1585" s="51" t="s">
        <v>362</v>
      </c>
      <c r="L1585" s="58">
        <v>2890</v>
      </c>
      <c r="M1585" s="50">
        <f>ROUND('FA Addition'!$L1585*5%,0.1)</f>
        <v>145</v>
      </c>
      <c r="N1585" s="113" t="str">
        <f>_xlfn.XLOOKUP(_xlfn.CONCAT(E1585,B1585),'Year Wise Master Dep Approach'!F:F,'Year Wise Master Dep Approach'!D:D)</f>
        <v>WDV</v>
      </c>
      <c r="O1585" s="113">
        <f>_xlfn.XLOOKUP(_xlfn.CONCAT(E1585,B1585),'Year Wise Master Dep Approach'!F:F,'Year Wise Master Dep Approach'!E:E)</f>
        <v>5</v>
      </c>
      <c r="P1585" s="114">
        <f>IFERROR(IF('FA Addition'!$N1585="WDV",1-('FA Addition'!$M1585/'FA Addition'!$L1585)^(1/'FA Addition'!$O1585),1/'FA Addition'!$O1585),0)</f>
        <v>0.45034012862604023</v>
      </c>
      <c r="Q1585" s="122">
        <f>'FA Addition'!$P1585*'FA Addition'!$O1585</f>
        <v>2.2517006431302011</v>
      </c>
      <c r="R1585" s="122"/>
      <c r="S1585" s="116">
        <f>IF(AND(DATE(20&amp;LEFT(FAAddition[[#This Row],[FY]],2),4,1)&lt;$L$1+1,DATE(20&amp;LEFT(FAAddition[[#This Row],[FY]],2),4,1)&gt;$P$1-1),'FA Addition'!$J1585,0)</f>
        <v>0</v>
      </c>
      <c r="U1585" s="117">
        <f>S1585*'FA Addition'!$L1585/'FA Addition'!$J1585</f>
        <v>0</v>
      </c>
      <c r="W1585" s="116">
        <f>SUMIFS('FA Write off'!D:D,'FA Write off'!A:A,'FA Addition'!$A1585,'FA Write off'!C:C,"&lt;"&amp;'FA Addition'!$P$1)</f>
        <v>0</v>
      </c>
      <c r="Y1585" s="191">
        <f>IFERROR(W1585/'FA Addition'!$J1585*'FA Addition'!$L1585,0)</f>
        <v>0</v>
      </c>
      <c r="AA1585" s="116">
        <f>SUMIFS('FA Write off'!D:D,'FA Write off'!A:A,'FA Addition'!$A1585,'FA Write off'!C:C,"&lt;"&amp;'FA Addition'!$L$1+1,'FA Write off'!C:C,"&gt;"&amp;'FA Addition'!$L$1-365)</f>
        <v>0</v>
      </c>
      <c r="AC1585" s="118">
        <f>IFERROR(AA1585/'FA Addition'!$J1585*'FA Addition'!$L1585,0)</f>
        <v>0</v>
      </c>
      <c r="AE1585" s="117">
        <f>IF(AND('FA Addition'!$D1585&lt;$P$1+1,U1585=0),'FA Addition'!$L1585,0)-Y1585</f>
        <v>0</v>
      </c>
      <c r="AF1585" s="117">
        <f t="shared" si="120"/>
        <v>0</v>
      </c>
      <c r="AG1585" s="117">
        <f>MIN(MAX(+$P$1-'FA Addition'!$D1585,0),365*'FA Addition'!$O1585)</f>
        <v>0</v>
      </c>
      <c r="AH1585" s="117">
        <f>MIN(MAX($L$1-'FA Addition'!$D1585+1,0),365*'FA Addition'!$O1585)</f>
        <v>0</v>
      </c>
      <c r="AI1585" s="117" cm="1">
        <f t="array" ref="AI1585">_xlfn.XLOOKUP(1,('FA Write off'!A:A='FA Addition'!$A1585)*('FA Write off'!D:D=AA1585),'FA Write off'!H:H,0,0)</f>
        <v>0</v>
      </c>
      <c r="AJ1585" s="117">
        <f>IF(AC1585&gt;0,MAX(IF('FA Addition'!$N1585="SLM",($AC1585-'FA Addition'!$M1585)*'FA Addition'!$P1585*AI1585/365,(AC1585-'FA Addition'!$M1585)*(1-(1-'FA Addition'!$P1585)^(AI1585/365))),0),0)</f>
        <v>0</v>
      </c>
      <c r="AL1585" s="117">
        <f>MAX(IF(AG1585&gt;0,IF('FA Addition'!$N1585="SLM",($AE1585-'FA Addition'!$M1585)*'FA Addition'!$P1585*AG1585/365,IFERROR(VDB(AE1585,AE1585*0.05,'FA Addition'!$O1585,0,YEARFRAC('FA Addition'!$C1585,$P$1-1,3),'FA Addition'!$Q1585),FAAddition[[#This Row],[Original Cost (Rs)]]-FAAddition[[#This Row],[Salvage Value]])),0),0)</f>
        <v>0</v>
      </c>
      <c r="AM1585" s="119"/>
      <c r="AN1585" s="117">
        <f>MAX(IF(AH1585&gt;0,IF('FA Addition'!$N1585="SLM",($AF1585-'FA Addition'!$M1585)*'FA Addition'!$P1585*AH1585/365,IFERROR(VDB(AF1585,AF1585*0.05,'FA Addition'!$O1585,0,YEARFRAC('FA Addition'!$C1585,$L$1,3),'FA Addition'!$Q1585),FAAddition[[#This Row],[Original Cost (Rs)]]-FAAddition[[#This Row],[Salvage Value]])),0),0)</f>
        <v>0</v>
      </c>
      <c r="AO1585" s="117">
        <f t="shared" si="123"/>
        <v>0</v>
      </c>
      <c r="AQ1585" s="117">
        <f t="shared" si="121"/>
        <v>0</v>
      </c>
      <c r="AR1585" s="120">
        <f t="shared" si="122"/>
        <v>0</v>
      </c>
      <c r="AS1585" s="121"/>
    </row>
    <row r="1586" spans="1:45" ht="13.5" x14ac:dyDescent="0.4">
      <c r="A1586" s="12">
        <f t="shared" si="124"/>
        <v>1583</v>
      </c>
      <c r="B1586" s="64" t="s">
        <v>10</v>
      </c>
      <c r="C1586" s="54">
        <v>45948</v>
      </c>
      <c r="D1586" s="54">
        <v>45948</v>
      </c>
      <c r="E1586" s="46" t="s">
        <v>749</v>
      </c>
      <c r="F1586" s="51" t="s">
        <v>74</v>
      </c>
      <c r="G1586" s="51" t="s">
        <v>166</v>
      </c>
      <c r="H1586" s="51" t="s">
        <v>32</v>
      </c>
      <c r="I1586" s="55" t="s">
        <v>2092</v>
      </c>
      <c r="J1586" s="56">
        <v>1</v>
      </c>
      <c r="K1586" s="51" t="s">
        <v>363</v>
      </c>
      <c r="L1586" s="58">
        <v>2550</v>
      </c>
      <c r="M1586" s="50">
        <f>ROUND('FA Addition'!$L1586*5%,0.1)</f>
        <v>128</v>
      </c>
      <c r="N1586" s="113" t="str">
        <f>_xlfn.XLOOKUP(_xlfn.CONCAT(E1586,B1586),'Year Wise Master Dep Approach'!F:F,'Year Wise Master Dep Approach'!D:D)</f>
        <v>WDV</v>
      </c>
      <c r="O1586" s="113">
        <f>_xlfn.XLOOKUP(_xlfn.CONCAT(E1586,B1586),'Year Wise Master Dep Approach'!F:F,'Year Wise Master Dep Approach'!E:E)</f>
        <v>5</v>
      </c>
      <c r="P1586" s="114">
        <f>IFERROR(IF('FA Addition'!$N1586="WDV",1-('FA Addition'!$M1586/'FA Addition'!$L1586)^(1/'FA Addition'!$O1586),1/'FA Addition'!$O1586),0)</f>
        <v>0.45028959448237327</v>
      </c>
      <c r="Q1586" s="122">
        <f>'FA Addition'!$P1586*'FA Addition'!$O1586</f>
        <v>2.2514479724118663</v>
      </c>
      <c r="R1586" s="122"/>
      <c r="S1586" s="116">
        <f>IF(AND(DATE(20&amp;LEFT(FAAddition[[#This Row],[FY]],2),4,1)&lt;$L$1+1,DATE(20&amp;LEFT(FAAddition[[#This Row],[FY]],2),4,1)&gt;$P$1-1),'FA Addition'!$J1586,0)</f>
        <v>0</v>
      </c>
      <c r="U1586" s="117">
        <f>S1586*'FA Addition'!$L1586/'FA Addition'!$J1586</f>
        <v>0</v>
      </c>
      <c r="W1586" s="116">
        <f>SUMIFS('FA Write off'!D:D,'FA Write off'!A:A,'FA Addition'!$A1586,'FA Write off'!C:C,"&lt;"&amp;'FA Addition'!$P$1)</f>
        <v>0</v>
      </c>
      <c r="Y1586" s="191">
        <f>IFERROR(W1586/'FA Addition'!$J1586*'FA Addition'!$L1586,0)</f>
        <v>0</v>
      </c>
      <c r="AA1586" s="116">
        <f>SUMIFS('FA Write off'!D:D,'FA Write off'!A:A,'FA Addition'!$A1586,'FA Write off'!C:C,"&lt;"&amp;'FA Addition'!$L$1+1,'FA Write off'!C:C,"&gt;"&amp;'FA Addition'!$L$1-365)</f>
        <v>0</v>
      </c>
      <c r="AC1586" s="118">
        <f>IFERROR(AA1586/'FA Addition'!$J1586*'FA Addition'!$L1586,0)</f>
        <v>0</v>
      </c>
      <c r="AE1586" s="117">
        <f>IF(AND('FA Addition'!$D1586&lt;$P$1+1,U1586=0),'FA Addition'!$L1586,0)-Y1586</f>
        <v>0</v>
      </c>
      <c r="AF1586" s="117">
        <f t="shared" si="120"/>
        <v>0</v>
      </c>
      <c r="AG1586" s="117">
        <f>MIN(MAX(+$P$1-'FA Addition'!$D1586,0),365*'FA Addition'!$O1586)</f>
        <v>0</v>
      </c>
      <c r="AH1586" s="117">
        <f>MIN(MAX($L$1-'FA Addition'!$D1586+1,0),365*'FA Addition'!$O1586)</f>
        <v>0</v>
      </c>
      <c r="AI1586" s="117" cm="1">
        <f t="array" ref="AI1586">_xlfn.XLOOKUP(1,('FA Write off'!A:A='FA Addition'!$A1586)*('FA Write off'!D:D=AA1586),'FA Write off'!H:H,0,0)</f>
        <v>0</v>
      </c>
      <c r="AJ1586" s="117">
        <f>IF(AC1586&gt;0,MAX(IF('FA Addition'!$N1586="SLM",($AC1586-'FA Addition'!$M1586)*'FA Addition'!$P1586*AI1586/365,(AC1586-'FA Addition'!$M1586)*(1-(1-'FA Addition'!$P1586)^(AI1586/365))),0),0)</f>
        <v>0</v>
      </c>
      <c r="AL1586" s="117">
        <f>MAX(IF(AG1586&gt;0,IF('FA Addition'!$N1586="SLM",($AE1586-'FA Addition'!$M1586)*'FA Addition'!$P1586*AG1586/365,IFERROR(VDB(AE1586,AE1586*0.05,'FA Addition'!$O1586,0,YEARFRAC('FA Addition'!$C1586,$P$1-1,3),'FA Addition'!$Q1586),FAAddition[[#This Row],[Original Cost (Rs)]]-FAAddition[[#This Row],[Salvage Value]])),0),0)</f>
        <v>0</v>
      </c>
      <c r="AM1586" s="119"/>
      <c r="AN1586" s="117">
        <f>MAX(IF(AH1586&gt;0,IF('FA Addition'!$N1586="SLM",($AF1586-'FA Addition'!$M1586)*'FA Addition'!$P1586*AH1586/365,IFERROR(VDB(AF1586,AF1586*0.05,'FA Addition'!$O1586,0,YEARFRAC('FA Addition'!$C1586,$L$1,3),'FA Addition'!$Q1586),FAAddition[[#This Row],[Original Cost (Rs)]]-FAAddition[[#This Row],[Salvage Value]])),0),0)</f>
        <v>0</v>
      </c>
      <c r="AO1586" s="117">
        <f t="shared" si="123"/>
        <v>0</v>
      </c>
      <c r="AQ1586" s="117">
        <f t="shared" si="121"/>
        <v>0</v>
      </c>
      <c r="AR1586" s="120">
        <f t="shared" si="122"/>
        <v>0</v>
      </c>
      <c r="AS1586" s="121"/>
    </row>
    <row r="1587" spans="1:45" ht="13.5" x14ac:dyDescent="0.4">
      <c r="A1587" s="12">
        <f t="shared" si="124"/>
        <v>1584</v>
      </c>
      <c r="B1587" s="64" t="s">
        <v>10</v>
      </c>
      <c r="C1587" s="54">
        <v>45948</v>
      </c>
      <c r="D1587" s="54">
        <v>45948</v>
      </c>
      <c r="E1587" s="46" t="s">
        <v>749</v>
      </c>
      <c r="F1587" s="51" t="s">
        <v>74</v>
      </c>
      <c r="G1587" s="51" t="s">
        <v>166</v>
      </c>
      <c r="H1587" s="51" t="s">
        <v>189</v>
      </c>
      <c r="I1587" s="55" t="s">
        <v>218</v>
      </c>
      <c r="J1587" s="56">
        <v>1</v>
      </c>
      <c r="K1587" s="51" t="s">
        <v>364</v>
      </c>
      <c r="L1587" s="58">
        <v>3630</v>
      </c>
      <c r="M1587" s="50">
        <f>ROUND('FA Addition'!$L1587*5%,0.1)</f>
        <v>182</v>
      </c>
      <c r="N1587" s="113" t="str">
        <f>_xlfn.XLOOKUP(_xlfn.CONCAT(E1587,B1587),'Year Wise Master Dep Approach'!F:F,'Year Wise Master Dep Approach'!D:D)</f>
        <v>WDV</v>
      </c>
      <c r="O1587" s="113">
        <f>_xlfn.XLOOKUP(_xlfn.CONCAT(E1587,B1587),'Year Wise Master Dep Approach'!F:F,'Year Wise Master Dep Approach'!E:E)</f>
        <v>5</v>
      </c>
      <c r="P1587" s="114">
        <f>IFERROR(IF('FA Addition'!$N1587="WDV",1-('FA Addition'!$M1587/'FA Addition'!$L1587)^(1/'FA Addition'!$O1587),1/'FA Addition'!$O1587),0)</f>
        <v>0.45041742751903313</v>
      </c>
      <c r="Q1587" s="122">
        <f>'FA Addition'!$P1587*'FA Addition'!$O1587</f>
        <v>2.2520871375951659</v>
      </c>
      <c r="R1587" s="122"/>
      <c r="S1587" s="116">
        <f>IF(AND(DATE(20&amp;LEFT(FAAddition[[#This Row],[FY]],2),4,1)&lt;$L$1+1,DATE(20&amp;LEFT(FAAddition[[#This Row],[FY]],2),4,1)&gt;$P$1-1),'FA Addition'!$J1587,0)</f>
        <v>0</v>
      </c>
      <c r="U1587" s="117">
        <f>S1587*'FA Addition'!$L1587/'FA Addition'!$J1587</f>
        <v>0</v>
      </c>
      <c r="W1587" s="116">
        <f>SUMIFS('FA Write off'!D:D,'FA Write off'!A:A,'FA Addition'!$A1587,'FA Write off'!C:C,"&lt;"&amp;'FA Addition'!$P$1)</f>
        <v>0</v>
      </c>
      <c r="Y1587" s="191">
        <f>IFERROR(W1587/'FA Addition'!$J1587*'FA Addition'!$L1587,0)</f>
        <v>0</v>
      </c>
      <c r="AA1587" s="116">
        <f>SUMIFS('FA Write off'!D:D,'FA Write off'!A:A,'FA Addition'!$A1587,'FA Write off'!C:C,"&lt;"&amp;'FA Addition'!$L$1+1,'FA Write off'!C:C,"&gt;"&amp;'FA Addition'!$L$1-365)</f>
        <v>0</v>
      </c>
      <c r="AC1587" s="118">
        <f>IFERROR(AA1587/'FA Addition'!$J1587*'FA Addition'!$L1587,0)</f>
        <v>0</v>
      </c>
      <c r="AE1587" s="117">
        <f>IF(AND('FA Addition'!$D1587&lt;$P$1+1,U1587=0),'FA Addition'!$L1587,0)-Y1587</f>
        <v>0</v>
      </c>
      <c r="AF1587" s="117">
        <f t="shared" si="120"/>
        <v>0</v>
      </c>
      <c r="AG1587" s="117">
        <f>MIN(MAX(+$P$1-'FA Addition'!$D1587,0),365*'FA Addition'!$O1587)</f>
        <v>0</v>
      </c>
      <c r="AH1587" s="117">
        <f>MIN(MAX($L$1-'FA Addition'!$D1587+1,0),365*'FA Addition'!$O1587)</f>
        <v>0</v>
      </c>
      <c r="AI1587" s="117" cm="1">
        <f t="array" ref="AI1587">_xlfn.XLOOKUP(1,('FA Write off'!A:A='FA Addition'!$A1587)*('FA Write off'!D:D=AA1587),'FA Write off'!H:H,0,0)</f>
        <v>0</v>
      </c>
      <c r="AJ1587" s="117">
        <f>IF(AC1587&gt;0,MAX(IF('FA Addition'!$N1587="SLM",($AC1587-'FA Addition'!$M1587)*'FA Addition'!$P1587*AI1587/365,(AC1587-'FA Addition'!$M1587)*(1-(1-'FA Addition'!$P1587)^(AI1587/365))),0),0)</f>
        <v>0</v>
      </c>
      <c r="AL1587" s="117">
        <f>MAX(IF(AG1587&gt;0,IF('FA Addition'!$N1587="SLM",($AE1587-'FA Addition'!$M1587)*'FA Addition'!$P1587*AG1587/365,IFERROR(VDB(AE1587,AE1587*0.05,'FA Addition'!$O1587,0,YEARFRAC('FA Addition'!$C1587,$P$1-1,3),'FA Addition'!$Q1587),FAAddition[[#This Row],[Original Cost (Rs)]]-FAAddition[[#This Row],[Salvage Value]])),0),0)</f>
        <v>0</v>
      </c>
      <c r="AM1587" s="119"/>
      <c r="AN1587" s="117">
        <f>MAX(IF(AH1587&gt;0,IF('FA Addition'!$N1587="SLM",($AF1587-'FA Addition'!$M1587)*'FA Addition'!$P1587*AH1587/365,IFERROR(VDB(AF1587,AF1587*0.05,'FA Addition'!$O1587,0,YEARFRAC('FA Addition'!$C1587,$L$1,3),'FA Addition'!$Q1587),FAAddition[[#This Row],[Original Cost (Rs)]]-FAAddition[[#This Row],[Salvage Value]])),0),0)</f>
        <v>0</v>
      </c>
      <c r="AO1587" s="117">
        <f t="shared" si="123"/>
        <v>0</v>
      </c>
      <c r="AQ1587" s="117">
        <f t="shared" si="121"/>
        <v>0</v>
      </c>
      <c r="AR1587" s="120">
        <f t="shared" si="122"/>
        <v>0</v>
      </c>
      <c r="AS1587" s="121"/>
    </row>
    <row r="1588" spans="1:45" ht="13.5" x14ac:dyDescent="0.4">
      <c r="A1588" s="12">
        <f t="shared" si="124"/>
        <v>1585</v>
      </c>
      <c r="B1588" s="64" t="s">
        <v>10</v>
      </c>
      <c r="C1588" s="54">
        <v>45948</v>
      </c>
      <c r="D1588" s="54">
        <v>45948</v>
      </c>
      <c r="E1588" s="46" t="s">
        <v>749</v>
      </c>
      <c r="F1588" s="51" t="s">
        <v>74</v>
      </c>
      <c r="G1588" s="51" t="s">
        <v>166</v>
      </c>
      <c r="H1588" s="51" t="s">
        <v>32</v>
      </c>
      <c r="I1588" s="55" t="s">
        <v>2093</v>
      </c>
      <c r="J1588" s="56">
        <v>1</v>
      </c>
      <c r="K1588" s="51" t="s">
        <v>365</v>
      </c>
      <c r="L1588" s="58">
        <v>2550</v>
      </c>
      <c r="M1588" s="50">
        <f>ROUND('FA Addition'!$L1588*5%,0.1)</f>
        <v>128</v>
      </c>
      <c r="N1588" s="113" t="str">
        <f>_xlfn.XLOOKUP(_xlfn.CONCAT(E1588,B1588),'Year Wise Master Dep Approach'!F:F,'Year Wise Master Dep Approach'!D:D)</f>
        <v>WDV</v>
      </c>
      <c r="O1588" s="113">
        <f>_xlfn.XLOOKUP(_xlfn.CONCAT(E1588,B1588),'Year Wise Master Dep Approach'!F:F,'Year Wise Master Dep Approach'!E:E)</f>
        <v>5</v>
      </c>
      <c r="P1588" s="114">
        <f>IFERROR(IF('FA Addition'!$N1588="WDV",1-('FA Addition'!$M1588/'FA Addition'!$L1588)^(1/'FA Addition'!$O1588),1/'FA Addition'!$O1588),0)</f>
        <v>0.45028959448237327</v>
      </c>
      <c r="Q1588" s="122">
        <f>'FA Addition'!$P1588*'FA Addition'!$O1588</f>
        <v>2.2514479724118663</v>
      </c>
      <c r="R1588" s="122"/>
      <c r="S1588" s="116">
        <f>IF(AND(DATE(20&amp;LEFT(FAAddition[[#This Row],[FY]],2),4,1)&lt;$L$1+1,DATE(20&amp;LEFT(FAAddition[[#This Row],[FY]],2),4,1)&gt;$P$1-1),'FA Addition'!$J1588,0)</f>
        <v>0</v>
      </c>
      <c r="U1588" s="117">
        <f>S1588*'FA Addition'!$L1588/'FA Addition'!$J1588</f>
        <v>0</v>
      </c>
      <c r="W1588" s="116">
        <f>SUMIFS('FA Write off'!D:D,'FA Write off'!A:A,'FA Addition'!$A1588,'FA Write off'!C:C,"&lt;"&amp;'FA Addition'!$P$1)</f>
        <v>0</v>
      </c>
      <c r="Y1588" s="191">
        <f>IFERROR(W1588/'FA Addition'!$J1588*'FA Addition'!$L1588,0)</f>
        <v>0</v>
      </c>
      <c r="AA1588" s="116">
        <f>SUMIFS('FA Write off'!D:D,'FA Write off'!A:A,'FA Addition'!$A1588,'FA Write off'!C:C,"&lt;"&amp;'FA Addition'!$L$1+1,'FA Write off'!C:C,"&gt;"&amp;'FA Addition'!$L$1-365)</f>
        <v>0</v>
      </c>
      <c r="AC1588" s="118">
        <f>IFERROR(AA1588/'FA Addition'!$J1588*'FA Addition'!$L1588,0)</f>
        <v>0</v>
      </c>
      <c r="AE1588" s="117">
        <f>IF(AND('FA Addition'!$D1588&lt;$P$1+1,U1588=0),'FA Addition'!$L1588,0)-Y1588</f>
        <v>0</v>
      </c>
      <c r="AF1588" s="117">
        <f t="shared" si="120"/>
        <v>0</v>
      </c>
      <c r="AG1588" s="117">
        <f>MIN(MAX(+$P$1-'FA Addition'!$D1588,0),365*'FA Addition'!$O1588)</f>
        <v>0</v>
      </c>
      <c r="AH1588" s="117">
        <f>MIN(MAX($L$1-'FA Addition'!$D1588+1,0),365*'FA Addition'!$O1588)</f>
        <v>0</v>
      </c>
      <c r="AI1588" s="117" cm="1">
        <f t="array" ref="AI1588">_xlfn.XLOOKUP(1,('FA Write off'!A:A='FA Addition'!$A1588)*('FA Write off'!D:D=AA1588),'FA Write off'!H:H,0,0)</f>
        <v>0</v>
      </c>
      <c r="AJ1588" s="117">
        <f>IF(AC1588&gt;0,MAX(IF('FA Addition'!$N1588="SLM",($AC1588-'FA Addition'!$M1588)*'FA Addition'!$P1588*AI1588/365,(AC1588-'FA Addition'!$M1588)*(1-(1-'FA Addition'!$P1588)^(AI1588/365))),0),0)</f>
        <v>0</v>
      </c>
      <c r="AL1588" s="117">
        <f>MAX(IF(AG1588&gt;0,IF('FA Addition'!$N1588="SLM",($AE1588-'FA Addition'!$M1588)*'FA Addition'!$P1588*AG1588/365,IFERROR(VDB(AE1588,AE1588*0.05,'FA Addition'!$O1588,0,YEARFRAC('FA Addition'!$C1588,$P$1-1,3),'FA Addition'!$Q1588),FAAddition[[#This Row],[Original Cost (Rs)]]-FAAddition[[#This Row],[Salvage Value]])),0),0)</f>
        <v>0</v>
      </c>
      <c r="AM1588" s="119"/>
      <c r="AN1588" s="117">
        <f>MAX(IF(AH1588&gt;0,IF('FA Addition'!$N1588="SLM",($AF1588-'FA Addition'!$M1588)*'FA Addition'!$P1588*AH1588/365,IFERROR(VDB(AF1588,AF1588*0.05,'FA Addition'!$O1588,0,YEARFRAC('FA Addition'!$C1588,$L$1,3),'FA Addition'!$Q1588),FAAddition[[#This Row],[Original Cost (Rs)]]-FAAddition[[#This Row],[Salvage Value]])),0),0)</f>
        <v>0</v>
      </c>
      <c r="AO1588" s="117">
        <f t="shared" si="123"/>
        <v>0</v>
      </c>
      <c r="AQ1588" s="117">
        <f t="shared" si="121"/>
        <v>0</v>
      </c>
      <c r="AR1588" s="120">
        <f t="shared" si="122"/>
        <v>0</v>
      </c>
      <c r="AS1588" s="121"/>
    </row>
    <row r="1589" spans="1:45" ht="13.5" x14ac:dyDescent="0.4">
      <c r="A1589" s="12">
        <f t="shared" si="124"/>
        <v>1586</v>
      </c>
      <c r="B1589" s="64" t="s">
        <v>10</v>
      </c>
      <c r="C1589" s="54">
        <v>45954</v>
      </c>
      <c r="D1589" s="54">
        <v>45954</v>
      </c>
      <c r="E1589" s="46" t="s">
        <v>749</v>
      </c>
      <c r="F1589" s="51" t="s">
        <v>74</v>
      </c>
      <c r="G1589" s="51" t="s">
        <v>166</v>
      </c>
      <c r="H1589" s="51" t="s">
        <v>220</v>
      </c>
      <c r="I1589" s="55" t="s">
        <v>221</v>
      </c>
      <c r="J1589" s="56">
        <v>1</v>
      </c>
      <c r="K1589" s="51" t="s">
        <v>366</v>
      </c>
      <c r="L1589" s="58">
        <v>32000</v>
      </c>
      <c r="M1589" s="50">
        <f>ROUND('FA Addition'!$L1589*5%,0.1)</f>
        <v>1600</v>
      </c>
      <c r="N1589" s="113" t="str">
        <f>_xlfn.XLOOKUP(_xlfn.CONCAT(E1589,B1589),'Year Wise Master Dep Approach'!F:F,'Year Wise Master Dep Approach'!D:D)</f>
        <v>WDV</v>
      </c>
      <c r="O1589" s="113">
        <f>_xlfn.XLOOKUP(_xlfn.CONCAT(E1589,B1589),'Year Wise Master Dep Approach'!F:F,'Year Wise Master Dep Approach'!E:E)</f>
        <v>5</v>
      </c>
      <c r="P1589" s="114">
        <f>IFERROR(IF('FA Addition'!$N1589="WDV",1-('FA Addition'!$M1589/'FA Addition'!$L1589)^(1/'FA Addition'!$O1589),1/'FA Addition'!$O1589),0)</f>
        <v>0.45071972834694107</v>
      </c>
      <c r="Q1589" s="122">
        <f>'FA Addition'!$P1589*'FA Addition'!$O1589</f>
        <v>2.2535986417347056</v>
      </c>
      <c r="R1589" s="122"/>
      <c r="S1589" s="116">
        <f>IF(AND(DATE(20&amp;LEFT(FAAddition[[#This Row],[FY]],2),4,1)&lt;$L$1+1,DATE(20&amp;LEFT(FAAddition[[#This Row],[FY]],2),4,1)&gt;$P$1-1),'FA Addition'!$J1589,0)</f>
        <v>0</v>
      </c>
      <c r="U1589" s="117">
        <f>S1589*'FA Addition'!$L1589/'FA Addition'!$J1589</f>
        <v>0</v>
      </c>
      <c r="W1589" s="116">
        <f>SUMIFS('FA Write off'!D:D,'FA Write off'!A:A,'FA Addition'!$A1589,'FA Write off'!C:C,"&lt;"&amp;'FA Addition'!$P$1)</f>
        <v>0</v>
      </c>
      <c r="Y1589" s="191">
        <f>IFERROR(W1589/'FA Addition'!$J1589*'FA Addition'!$L1589,0)</f>
        <v>0</v>
      </c>
      <c r="AA1589" s="116">
        <f>SUMIFS('FA Write off'!D:D,'FA Write off'!A:A,'FA Addition'!$A1589,'FA Write off'!C:C,"&lt;"&amp;'FA Addition'!$L$1+1,'FA Write off'!C:C,"&gt;"&amp;'FA Addition'!$L$1-365)</f>
        <v>0</v>
      </c>
      <c r="AC1589" s="118">
        <f>IFERROR(AA1589/'FA Addition'!$J1589*'FA Addition'!$L1589,0)</f>
        <v>0</v>
      </c>
      <c r="AE1589" s="117">
        <f>IF(AND('FA Addition'!$D1589&lt;$P$1+1,U1589=0),'FA Addition'!$L1589,0)-Y1589</f>
        <v>0</v>
      </c>
      <c r="AF1589" s="117">
        <f t="shared" si="120"/>
        <v>0</v>
      </c>
      <c r="AG1589" s="117">
        <f>MIN(MAX(+$P$1-'FA Addition'!$D1589,0),365*'FA Addition'!$O1589)</f>
        <v>0</v>
      </c>
      <c r="AH1589" s="117">
        <f>MIN(MAX($L$1-'FA Addition'!$D1589+1,0),365*'FA Addition'!$O1589)</f>
        <v>0</v>
      </c>
      <c r="AI1589" s="117" cm="1">
        <f t="array" ref="AI1589">_xlfn.XLOOKUP(1,('FA Write off'!A:A='FA Addition'!$A1589)*('FA Write off'!D:D=AA1589),'FA Write off'!H:H,0,0)</f>
        <v>0</v>
      </c>
      <c r="AJ1589" s="117">
        <f>IF(AC1589&gt;0,MAX(IF('FA Addition'!$N1589="SLM",($AC1589-'FA Addition'!$M1589)*'FA Addition'!$P1589*AI1589/365,(AC1589-'FA Addition'!$M1589)*(1-(1-'FA Addition'!$P1589)^(AI1589/365))),0),0)</f>
        <v>0</v>
      </c>
      <c r="AL1589" s="117">
        <f>MAX(IF(AG1589&gt;0,IF('FA Addition'!$N1589="SLM",($AE1589-'FA Addition'!$M1589)*'FA Addition'!$P1589*AG1589/365,IFERROR(VDB(AE1589,AE1589*0.05,'FA Addition'!$O1589,0,YEARFRAC('FA Addition'!$C1589,$P$1-1,3),'FA Addition'!$Q1589),FAAddition[[#This Row],[Original Cost (Rs)]]-FAAddition[[#This Row],[Salvage Value]])),0),0)</f>
        <v>0</v>
      </c>
      <c r="AM1589" s="119"/>
      <c r="AN1589" s="117">
        <f>MAX(IF(AH1589&gt;0,IF('FA Addition'!$N1589="SLM",($AF1589-'FA Addition'!$M1589)*'FA Addition'!$P1589*AH1589/365,IFERROR(VDB(AF1589,AF1589*0.05,'FA Addition'!$O1589,0,YEARFRAC('FA Addition'!$C1589,$L$1,3),'FA Addition'!$Q1589),FAAddition[[#This Row],[Original Cost (Rs)]]-FAAddition[[#This Row],[Salvage Value]])),0),0)</f>
        <v>0</v>
      </c>
      <c r="AO1589" s="117">
        <f t="shared" si="123"/>
        <v>0</v>
      </c>
      <c r="AQ1589" s="117">
        <f t="shared" si="121"/>
        <v>0</v>
      </c>
      <c r="AR1589" s="120">
        <f t="shared" si="122"/>
        <v>0</v>
      </c>
      <c r="AS1589" s="121"/>
    </row>
    <row r="1590" spans="1:45" ht="13.5" x14ac:dyDescent="0.4">
      <c r="A1590" s="12">
        <f t="shared" si="124"/>
        <v>1587</v>
      </c>
      <c r="B1590" s="64" t="s">
        <v>10</v>
      </c>
      <c r="C1590" s="54">
        <v>45954</v>
      </c>
      <c r="D1590" s="54">
        <v>45954</v>
      </c>
      <c r="E1590" s="46" t="s">
        <v>749</v>
      </c>
      <c r="F1590" s="51" t="s">
        <v>74</v>
      </c>
      <c r="G1590" s="51" t="s">
        <v>166</v>
      </c>
      <c r="H1590" s="51" t="s">
        <v>79</v>
      </c>
      <c r="I1590" s="55" t="s">
        <v>221</v>
      </c>
      <c r="J1590" s="56">
        <v>1</v>
      </c>
      <c r="K1590" s="51" t="s">
        <v>367</v>
      </c>
      <c r="L1590" s="58">
        <v>30500</v>
      </c>
      <c r="M1590" s="50">
        <f>ROUND('FA Addition'!$L1590*5%,0.1)</f>
        <v>1525</v>
      </c>
      <c r="N1590" s="113" t="str">
        <f>_xlfn.XLOOKUP(_xlfn.CONCAT(E1590,B1590),'Year Wise Master Dep Approach'!F:F,'Year Wise Master Dep Approach'!D:D)</f>
        <v>WDV</v>
      </c>
      <c r="O1590" s="113">
        <f>_xlfn.XLOOKUP(_xlfn.CONCAT(E1590,B1590),'Year Wise Master Dep Approach'!F:F,'Year Wise Master Dep Approach'!E:E)</f>
        <v>5</v>
      </c>
      <c r="P1590" s="114">
        <f>IFERROR(IF('FA Addition'!$N1590="WDV",1-('FA Addition'!$M1590/'FA Addition'!$L1590)^(1/'FA Addition'!$O1590),1/'FA Addition'!$O1590),0)</f>
        <v>0.45071972834694107</v>
      </c>
      <c r="Q1590" s="122">
        <f>'FA Addition'!$P1590*'FA Addition'!$O1590</f>
        <v>2.2535986417347056</v>
      </c>
      <c r="R1590" s="122"/>
      <c r="S1590" s="116">
        <f>IF(AND(DATE(20&amp;LEFT(FAAddition[[#This Row],[FY]],2),4,1)&lt;$L$1+1,DATE(20&amp;LEFT(FAAddition[[#This Row],[FY]],2),4,1)&gt;$P$1-1),'FA Addition'!$J1590,0)</f>
        <v>0</v>
      </c>
      <c r="U1590" s="117">
        <f>S1590*'FA Addition'!$L1590/'FA Addition'!$J1590</f>
        <v>0</v>
      </c>
      <c r="W1590" s="116">
        <f>SUMIFS('FA Write off'!D:D,'FA Write off'!A:A,'FA Addition'!$A1590,'FA Write off'!C:C,"&lt;"&amp;'FA Addition'!$P$1)</f>
        <v>0</v>
      </c>
      <c r="Y1590" s="191">
        <f>IFERROR(W1590/'FA Addition'!$J1590*'FA Addition'!$L1590,0)</f>
        <v>0</v>
      </c>
      <c r="AA1590" s="116">
        <f>SUMIFS('FA Write off'!D:D,'FA Write off'!A:A,'FA Addition'!$A1590,'FA Write off'!C:C,"&lt;"&amp;'FA Addition'!$L$1+1,'FA Write off'!C:C,"&gt;"&amp;'FA Addition'!$L$1-365)</f>
        <v>0</v>
      </c>
      <c r="AC1590" s="118">
        <f>IFERROR(AA1590/'FA Addition'!$J1590*'FA Addition'!$L1590,0)</f>
        <v>0</v>
      </c>
      <c r="AE1590" s="117">
        <f>IF(AND('FA Addition'!$D1590&lt;$P$1+1,U1590=0),'FA Addition'!$L1590,0)-Y1590</f>
        <v>0</v>
      </c>
      <c r="AF1590" s="117">
        <f t="shared" si="120"/>
        <v>0</v>
      </c>
      <c r="AG1590" s="117">
        <f>MIN(MAX(+$P$1-'FA Addition'!$D1590,0),365*'FA Addition'!$O1590)</f>
        <v>0</v>
      </c>
      <c r="AH1590" s="117">
        <f>MIN(MAX($L$1-'FA Addition'!$D1590+1,0),365*'FA Addition'!$O1590)</f>
        <v>0</v>
      </c>
      <c r="AI1590" s="117" cm="1">
        <f t="array" ref="AI1590">_xlfn.XLOOKUP(1,('FA Write off'!A:A='FA Addition'!$A1590)*('FA Write off'!D:D=AA1590),'FA Write off'!H:H,0,0)</f>
        <v>0</v>
      </c>
      <c r="AJ1590" s="117">
        <f>IF(AC1590&gt;0,MAX(IF('FA Addition'!$N1590="SLM",($AC1590-'FA Addition'!$M1590)*'FA Addition'!$P1590*AI1590/365,(AC1590-'FA Addition'!$M1590)*(1-(1-'FA Addition'!$P1590)^(AI1590/365))),0),0)</f>
        <v>0</v>
      </c>
      <c r="AL1590" s="117">
        <f>MAX(IF(AG1590&gt;0,IF('FA Addition'!$N1590="SLM",($AE1590-'FA Addition'!$M1590)*'FA Addition'!$P1590*AG1590/365,IFERROR(VDB(AE1590,AE1590*0.05,'FA Addition'!$O1590,0,YEARFRAC('FA Addition'!$C1590,$P$1-1,3),'FA Addition'!$Q1590),FAAddition[[#This Row],[Original Cost (Rs)]]-FAAddition[[#This Row],[Salvage Value]])),0),0)</f>
        <v>0</v>
      </c>
      <c r="AM1590" s="119"/>
      <c r="AN1590" s="117">
        <f>MAX(IF(AH1590&gt;0,IF('FA Addition'!$N1590="SLM",($AF1590-'FA Addition'!$M1590)*'FA Addition'!$P1590*AH1590/365,IFERROR(VDB(AF1590,AF1590*0.05,'FA Addition'!$O1590,0,YEARFRAC('FA Addition'!$C1590,$L$1,3),'FA Addition'!$Q1590),FAAddition[[#This Row],[Original Cost (Rs)]]-FAAddition[[#This Row],[Salvage Value]])),0),0)</f>
        <v>0</v>
      </c>
      <c r="AO1590" s="117">
        <f t="shared" si="123"/>
        <v>0</v>
      </c>
      <c r="AQ1590" s="117">
        <f t="shared" si="121"/>
        <v>0</v>
      </c>
      <c r="AR1590" s="120">
        <f t="shared" si="122"/>
        <v>0</v>
      </c>
      <c r="AS1590" s="121"/>
    </row>
    <row r="1591" spans="1:45" ht="13.5" x14ac:dyDescent="0.4">
      <c r="A1591" s="12">
        <f t="shared" si="124"/>
        <v>1588</v>
      </c>
      <c r="B1591" s="64" t="s">
        <v>10</v>
      </c>
      <c r="C1591" s="54">
        <v>45954</v>
      </c>
      <c r="D1591" s="54">
        <v>45954</v>
      </c>
      <c r="E1591" s="46" t="s">
        <v>749</v>
      </c>
      <c r="F1591" s="51" t="s">
        <v>74</v>
      </c>
      <c r="G1591" s="51" t="s">
        <v>166</v>
      </c>
      <c r="H1591" s="51" t="s">
        <v>79</v>
      </c>
      <c r="I1591" s="55" t="s">
        <v>221</v>
      </c>
      <c r="J1591" s="56">
        <v>1</v>
      </c>
      <c r="K1591" s="51" t="s">
        <v>367</v>
      </c>
      <c r="L1591" s="58">
        <v>30500</v>
      </c>
      <c r="M1591" s="50">
        <f>ROUND('FA Addition'!$L1591*5%,0.1)</f>
        <v>1525</v>
      </c>
      <c r="N1591" s="113" t="str">
        <f>_xlfn.XLOOKUP(_xlfn.CONCAT(E1591,B1591),'Year Wise Master Dep Approach'!F:F,'Year Wise Master Dep Approach'!D:D)</f>
        <v>WDV</v>
      </c>
      <c r="O1591" s="113">
        <f>_xlfn.XLOOKUP(_xlfn.CONCAT(E1591,B1591),'Year Wise Master Dep Approach'!F:F,'Year Wise Master Dep Approach'!E:E)</f>
        <v>5</v>
      </c>
      <c r="P1591" s="114">
        <f>IFERROR(IF('FA Addition'!$N1591="WDV",1-('FA Addition'!$M1591/'FA Addition'!$L1591)^(1/'FA Addition'!$O1591),1/'FA Addition'!$O1591),0)</f>
        <v>0.45071972834694107</v>
      </c>
      <c r="Q1591" s="122">
        <f>'FA Addition'!$P1591*'FA Addition'!$O1591</f>
        <v>2.2535986417347056</v>
      </c>
      <c r="R1591" s="122"/>
      <c r="S1591" s="116">
        <f>IF(AND(DATE(20&amp;LEFT(FAAddition[[#This Row],[FY]],2),4,1)&lt;$L$1+1,DATE(20&amp;LEFT(FAAddition[[#This Row],[FY]],2),4,1)&gt;$P$1-1),'FA Addition'!$J1591,0)</f>
        <v>0</v>
      </c>
      <c r="U1591" s="117">
        <f>S1591*'FA Addition'!$L1591/'FA Addition'!$J1591</f>
        <v>0</v>
      </c>
      <c r="W1591" s="116">
        <f>SUMIFS('FA Write off'!D:D,'FA Write off'!A:A,'FA Addition'!$A1591,'FA Write off'!C:C,"&lt;"&amp;'FA Addition'!$P$1)</f>
        <v>0</v>
      </c>
      <c r="Y1591" s="191">
        <f>IFERROR(W1591/'FA Addition'!$J1591*'FA Addition'!$L1591,0)</f>
        <v>0</v>
      </c>
      <c r="AA1591" s="116">
        <f>SUMIFS('FA Write off'!D:D,'FA Write off'!A:A,'FA Addition'!$A1591,'FA Write off'!C:C,"&lt;"&amp;'FA Addition'!$L$1+1,'FA Write off'!C:C,"&gt;"&amp;'FA Addition'!$L$1-365)</f>
        <v>0</v>
      </c>
      <c r="AC1591" s="118">
        <f>IFERROR(AA1591/'FA Addition'!$J1591*'FA Addition'!$L1591,0)</f>
        <v>0</v>
      </c>
      <c r="AE1591" s="117">
        <f>IF(AND('FA Addition'!$D1591&lt;$P$1+1,U1591=0),'FA Addition'!$L1591,0)-Y1591</f>
        <v>0</v>
      </c>
      <c r="AF1591" s="117">
        <f t="shared" si="120"/>
        <v>0</v>
      </c>
      <c r="AG1591" s="117">
        <f>MIN(MAX(+$P$1-'FA Addition'!$D1591,0),365*'FA Addition'!$O1591)</f>
        <v>0</v>
      </c>
      <c r="AH1591" s="117">
        <f>MIN(MAX($L$1-'FA Addition'!$D1591+1,0),365*'FA Addition'!$O1591)</f>
        <v>0</v>
      </c>
      <c r="AI1591" s="117" cm="1">
        <f t="array" ref="AI1591">_xlfn.XLOOKUP(1,('FA Write off'!A:A='FA Addition'!$A1591)*('FA Write off'!D:D=AA1591),'FA Write off'!H:H,0,0)</f>
        <v>0</v>
      </c>
      <c r="AJ1591" s="117">
        <f>IF(AC1591&gt;0,MAX(IF('FA Addition'!$N1591="SLM",($AC1591-'FA Addition'!$M1591)*'FA Addition'!$P1591*AI1591/365,(AC1591-'FA Addition'!$M1591)*(1-(1-'FA Addition'!$P1591)^(AI1591/365))),0),0)</f>
        <v>0</v>
      </c>
      <c r="AL1591" s="117">
        <f>MAX(IF(AG1591&gt;0,IF('FA Addition'!$N1591="SLM",($AE1591-'FA Addition'!$M1591)*'FA Addition'!$P1591*AG1591/365,IFERROR(VDB(AE1591,AE1591*0.05,'FA Addition'!$O1591,0,YEARFRAC('FA Addition'!$C1591,$P$1-1,3),'FA Addition'!$Q1591),FAAddition[[#This Row],[Original Cost (Rs)]]-FAAddition[[#This Row],[Salvage Value]])),0),0)</f>
        <v>0</v>
      </c>
      <c r="AM1591" s="119"/>
      <c r="AN1591" s="117">
        <f>MAX(IF(AH1591&gt;0,IF('FA Addition'!$N1591="SLM",($AF1591-'FA Addition'!$M1591)*'FA Addition'!$P1591*AH1591/365,IFERROR(VDB(AF1591,AF1591*0.05,'FA Addition'!$O1591,0,YEARFRAC('FA Addition'!$C1591,$L$1,3),'FA Addition'!$Q1591),FAAddition[[#This Row],[Original Cost (Rs)]]-FAAddition[[#This Row],[Salvage Value]])),0),0)</f>
        <v>0</v>
      </c>
      <c r="AO1591" s="117">
        <f t="shared" si="123"/>
        <v>0</v>
      </c>
      <c r="AQ1591" s="117">
        <f t="shared" si="121"/>
        <v>0</v>
      </c>
      <c r="AR1591" s="120">
        <f t="shared" si="122"/>
        <v>0</v>
      </c>
      <c r="AS1591" s="121"/>
    </row>
    <row r="1592" spans="1:45" ht="13.5" x14ac:dyDescent="0.4">
      <c r="A1592" s="12">
        <f t="shared" si="124"/>
        <v>1589</v>
      </c>
      <c r="B1592" s="64" t="s">
        <v>10</v>
      </c>
      <c r="C1592" s="54">
        <v>45954</v>
      </c>
      <c r="D1592" s="54">
        <v>45954</v>
      </c>
      <c r="E1592" s="46" t="s">
        <v>749</v>
      </c>
      <c r="F1592" s="51" t="s">
        <v>74</v>
      </c>
      <c r="G1592" s="51" t="s">
        <v>166</v>
      </c>
      <c r="H1592" s="51" t="s">
        <v>222</v>
      </c>
      <c r="I1592" s="55" t="s">
        <v>221</v>
      </c>
      <c r="J1592" s="56">
        <v>1</v>
      </c>
      <c r="K1592" s="51" t="s">
        <v>368</v>
      </c>
      <c r="L1592" s="58">
        <v>5600</v>
      </c>
      <c r="M1592" s="50">
        <f>ROUND('FA Addition'!$L1592*5%,0.1)</f>
        <v>280</v>
      </c>
      <c r="N1592" s="113" t="str">
        <f>_xlfn.XLOOKUP(_xlfn.CONCAT(E1592,B1592),'Year Wise Master Dep Approach'!F:F,'Year Wise Master Dep Approach'!D:D)</f>
        <v>WDV</v>
      </c>
      <c r="O1592" s="113">
        <f>_xlfn.XLOOKUP(_xlfn.CONCAT(E1592,B1592),'Year Wise Master Dep Approach'!F:F,'Year Wise Master Dep Approach'!E:E)</f>
        <v>5</v>
      </c>
      <c r="P1592" s="114">
        <f>IFERROR(IF('FA Addition'!$N1592="WDV",1-('FA Addition'!$M1592/'FA Addition'!$L1592)^(1/'FA Addition'!$O1592),1/'FA Addition'!$O1592),0)</f>
        <v>0.45071972834694107</v>
      </c>
      <c r="Q1592" s="122">
        <f>'FA Addition'!$P1592*'FA Addition'!$O1592</f>
        <v>2.2535986417347056</v>
      </c>
      <c r="R1592" s="122"/>
      <c r="S1592" s="116">
        <f>IF(AND(DATE(20&amp;LEFT(FAAddition[[#This Row],[FY]],2),4,1)&lt;$L$1+1,DATE(20&amp;LEFT(FAAddition[[#This Row],[FY]],2),4,1)&gt;$P$1-1),'FA Addition'!$J1592,0)</f>
        <v>0</v>
      </c>
      <c r="U1592" s="117">
        <f>S1592*'FA Addition'!$L1592/'FA Addition'!$J1592</f>
        <v>0</v>
      </c>
      <c r="W1592" s="116">
        <f>SUMIFS('FA Write off'!D:D,'FA Write off'!A:A,'FA Addition'!$A1592,'FA Write off'!C:C,"&lt;"&amp;'FA Addition'!$P$1)</f>
        <v>0</v>
      </c>
      <c r="Y1592" s="191">
        <f>IFERROR(W1592/'FA Addition'!$J1592*'FA Addition'!$L1592,0)</f>
        <v>0</v>
      </c>
      <c r="AA1592" s="116">
        <f>SUMIFS('FA Write off'!D:D,'FA Write off'!A:A,'FA Addition'!$A1592,'FA Write off'!C:C,"&lt;"&amp;'FA Addition'!$L$1+1,'FA Write off'!C:C,"&gt;"&amp;'FA Addition'!$L$1-365)</f>
        <v>0</v>
      </c>
      <c r="AC1592" s="118">
        <f>IFERROR(AA1592/'FA Addition'!$J1592*'FA Addition'!$L1592,0)</f>
        <v>0</v>
      </c>
      <c r="AE1592" s="117">
        <f>IF(AND('FA Addition'!$D1592&lt;$P$1+1,U1592=0),'FA Addition'!$L1592,0)-Y1592</f>
        <v>0</v>
      </c>
      <c r="AF1592" s="117">
        <f t="shared" si="120"/>
        <v>0</v>
      </c>
      <c r="AG1592" s="117">
        <f>MIN(MAX(+$P$1-'FA Addition'!$D1592,0),365*'FA Addition'!$O1592)</f>
        <v>0</v>
      </c>
      <c r="AH1592" s="117">
        <f>MIN(MAX($L$1-'FA Addition'!$D1592+1,0),365*'FA Addition'!$O1592)</f>
        <v>0</v>
      </c>
      <c r="AI1592" s="117" cm="1">
        <f t="array" ref="AI1592">_xlfn.XLOOKUP(1,('FA Write off'!A:A='FA Addition'!$A1592)*('FA Write off'!D:D=AA1592),'FA Write off'!H:H,0,0)</f>
        <v>0</v>
      </c>
      <c r="AJ1592" s="117">
        <f>IF(AC1592&gt;0,MAX(IF('FA Addition'!$N1592="SLM",($AC1592-'FA Addition'!$M1592)*'FA Addition'!$P1592*AI1592/365,(AC1592-'FA Addition'!$M1592)*(1-(1-'FA Addition'!$P1592)^(AI1592/365))),0),0)</f>
        <v>0</v>
      </c>
      <c r="AL1592" s="117">
        <f>MAX(IF(AG1592&gt;0,IF('FA Addition'!$N1592="SLM",($AE1592-'FA Addition'!$M1592)*'FA Addition'!$P1592*AG1592/365,IFERROR(VDB(AE1592,AE1592*0.05,'FA Addition'!$O1592,0,YEARFRAC('FA Addition'!$C1592,$P$1-1,3),'FA Addition'!$Q1592),FAAddition[[#This Row],[Original Cost (Rs)]]-FAAddition[[#This Row],[Salvage Value]])),0),0)</f>
        <v>0</v>
      </c>
      <c r="AM1592" s="119"/>
      <c r="AN1592" s="117">
        <f>MAX(IF(AH1592&gt;0,IF('FA Addition'!$N1592="SLM",($AF1592-'FA Addition'!$M1592)*'FA Addition'!$P1592*AH1592/365,IFERROR(VDB(AF1592,AF1592*0.05,'FA Addition'!$O1592,0,YEARFRAC('FA Addition'!$C1592,$L$1,3),'FA Addition'!$Q1592),FAAddition[[#This Row],[Original Cost (Rs)]]-FAAddition[[#This Row],[Salvage Value]])),0),0)</f>
        <v>0</v>
      </c>
      <c r="AO1592" s="117">
        <f t="shared" si="123"/>
        <v>0</v>
      </c>
      <c r="AQ1592" s="117">
        <f t="shared" si="121"/>
        <v>0</v>
      </c>
      <c r="AR1592" s="120">
        <f t="shared" si="122"/>
        <v>0</v>
      </c>
      <c r="AS1592" s="121"/>
    </row>
    <row r="1593" spans="1:45" ht="13.5" x14ac:dyDescent="0.4">
      <c r="A1593" s="12">
        <f t="shared" si="124"/>
        <v>1590</v>
      </c>
      <c r="B1593" s="64" t="s">
        <v>10</v>
      </c>
      <c r="C1593" s="54">
        <v>45954</v>
      </c>
      <c r="D1593" s="54">
        <v>45954</v>
      </c>
      <c r="E1593" s="46" t="s">
        <v>749</v>
      </c>
      <c r="F1593" s="51" t="s">
        <v>74</v>
      </c>
      <c r="G1593" s="51" t="s">
        <v>166</v>
      </c>
      <c r="H1593" s="51" t="s">
        <v>222</v>
      </c>
      <c r="I1593" s="55" t="s">
        <v>221</v>
      </c>
      <c r="J1593" s="56">
        <v>1</v>
      </c>
      <c r="K1593" s="51" t="s">
        <v>368</v>
      </c>
      <c r="L1593" s="58">
        <v>5600</v>
      </c>
      <c r="M1593" s="50">
        <f>ROUND('FA Addition'!$L1593*5%,0.1)</f>
        <v>280</v>
      </c>
      <c r="N1593" s="113" t="str">
        <f>_xlfn.XLOOKUP(_xlfn.CONCAT(E1593,B1593),'Year Wise Master Dep Approach'!F:F,'Year Wise Master Dep Approach'!D:D)</f>
        <v>WDV</v>
      </c>
      <c r="O1593" s="113">
        <f>_xlfn.XLOOKUP(_xlfn.CONCAT(E1593,B1593),'Year Wise Master Dep Approach'!F:F,'Year Wise Master Dep Approach'!E:E)</f>
        <v>5</v>
      </c>
      <c r="P1593" s="114">
        <f>IFERROR(IF('FA Addition'!$N1593="WDV",1-('FA Addition'!$M1593/'FA Addition'!$L1593)^(1/'FA Addition'!$O1593),1/'FA Addition'!$O1593),0)</f>
        <v>0.45071972834694107</v>
      </c>
      <c r="Q1593" s="122">
        <f>'FA Addition'!$P1593*'FA Addition'!$O1593</f>
        <v>2.2535986417347056</v>
      </c>
      <c r="R1593" s="122"/>
      <c r="S1593" s="116">
        <f>IF(AND(DATE(20&amp;LEFT(FAAddition[[#This Row],[FY]],2),4,1)&lt;$L$1+1,DATE(20&amp;LEFT(FAAddition[[#This Row],[FY]],2),4,1)&gt;$P$1-1),'FA Addition'!$J1593,0)</f>
        <v>0</v>
      </c>
      <c r="U1593" s="117">
        <f>S1593*'FA Addition'!$L1593/'FA Addition'!$J1593</f>
        <v>0</v>
      </c>
      <c r="W1593" s="116">
        <f>SUMIFS('FA Write off'!D:D,'FA Write off'!A:A,'FA Addition'!$A1593,'FA Write off'!C:C,"&lt;"&amp;'FA Addition'!$P$1)</f>
        <v>0</v>
      </c>
      <c r="Y1593" s="191">
        <f>IFERROR(W1593/'FA Addition'!$J1593*'FA Addition'!$L1593,0)</f>
        <v>0</v>
      </c>
      <c r="AA1593" s="116">
        <f>SUMIFS('FA Write off'!D:D,'FA Write off'!A:A,'FA Addition'!$A1593,'FA Write off'!C:C,"&lt;"&amp;'FA Addition'!$L$1+1,'FA Write off'!C:C,"&gt;"&amp;'FA Addition'!$L$1-365)</f>
        <v>0</v>
      </c>
      <c r="AC1593" s="118">
        <f>IFERROR(AA1593/'FA Addition'!$J1593*'FA Addition'!$L1593,0)</f>
        <v>0</v>
      </c>
      <c r="AE1593" s="117">
        <f>IF(AND('FA Addition'!$D1593&lt;$P$1+1,U1593=0),'FA Addition'!$L1593,0)-Y1593</f>
        <v>0</v>
      </c>
      <c r="AF1593" s="117">
        <f t="shared" si="120"/>
        <v>0</v>
      </c>
      <c r="AG1593" s="117">
        <f>MIN(MAX(+$P$1-'FA Addition'!$D1593,0),365*'FA Addition'!$O1593)</f>
        <v>0</v>
      </c>
      <c r="AH1593" s="117">
        <f>MIN(MAX($L$1-'FA Addition'!$D1593+1,0),365*'FA Addition'!$O1593)</f>
        <v>0</v>
      </c>
      <c r="AI1593" s="117" cm="1">
        <f t="array" ref="AI1593">_xlfn.XLOOKUP(1,('FA Write off'!A:A='FA Addition'!$A1593)*('FA Write off'!D:D=AA1593),'FA Write off'!H:H,0,0)</f>
        <v>0</v>
      </c>
      <c r="AJ1593" s="117">
        <f>IF(AC1593&gt;0,MAX(IF('FA Addition'!$N1593="SLM",($AC1593-'FA Addition'!$M1593)*'FA Addition'!$P1593*AI1593/365,(AC1593-'FA Addition'!$M1593)*(1-(1-'FA Addition'!$P1593)^(AI1593/365))),0),0)</f>
        <v>0</v>
      </c>
      <c r="AL1593" s="117">
        <f>MAX(IF(AG1593&gt;0,IF('FA Addition'!$N1593="SLM",($AE1593-'FA Addition'!$M1593)*'FA Addition'!$P1593*AG1593/365,IFERROR(VDB(AE1593,AE1593*0.05,'FA Addition'!$O1593,0,YEARFRAC('FA Addition'!$C1593,$P$1-1,3),'FA Addition'!$Q1593),FAAddition[[#This Row],[Original Cost (Rs)]]-FAAddition[[#This Row],[Salvage Value]])),0),0)</f>
        <v>0</v>
      </c>
      <c r="AM1593" s="119"/>
      <c r="AN1593" s="117">
        <f>MAX(IF(AH1593&gt;0,IF('FA Addition'!$N1593="SLM",($AF1593-'FA Addition'!$M1593)*'FA Addition'!$P1593*AH1593/365,IFERROR(VDB(AF1593,AF1593*0.05,'FA Addition'!$O1593,0,YEARFRAC('FA Addition'!$C1593,$L$1,3),'FA Addition'!$Q1593),FAAddition[[#This Row],[Original Cost (Rs)]]-FAAddition[[#This Row],[Salvage Value]])),0),0)</f>
        <v>0</v>
      </c>
      <c r="AO1593" s="117">
        <f t="shared" si="123"/>
        <v>0</v>
      </c>
      <c r="AQ1593" s="117">
        <f t="shared" si="121"/>
        <v>0</v>
      </c>
      <c r="AR1593" s="120">
        <f t="shared" si="122"/>
        <v>0</v>
      </c>
      <c r="AS1593" s="121"/>
    </row>
    <row r="1594" spans="1:45" ht="13.5" x14ac:dyDescent="0.4">
      <c r="A1594" s="12">
        <f t="shared" si="124"/>
        <v>1591</v>
      </c>
      <c r="B1594" s="64" t="s">
        <v>10</v>
      </c>
      <c r="C1594" s="54">
        <v>45954</v>
      </c>
      <c r="D1594" s="54">
        <v>45954</v>
      </c>
      <c r="E1594" s="46" t="s">
        <v>749</v>
      </c>
      <c r="F1594" s="51" t="s">
        <v>74</v>
      </c>
      <c r="G1594" s="51" t="s">
        <v>166</v>
      </c>
      <c r="H1594" s="51" t="s">
        <v>222</v>
      </c>
      <c r="I1594" s="55" t="s">
        <v>221</v>
      </c>
      <c r="J1594" s="56">
        <v>1</v>
      </c>
      <c r="K1594" s="51" t="s">
        <v>368</v>
      </c>
      <c r="L1594" s="58">
        <v>5600</v>
      </c>
      <c r="M1594" s="50">
        <f>ROUND('FA Addition'!$L1594*5%,0.1)</f>
        <v>280</v>
      </c>
      <c r="N1594" s="113" t="str">
        <f>_xlfn.XLOOKUP(_xlfn.CONCAT(E1594,B1594),'Year Wise Master Dep Approach'!F:F,'Year Wise Master Dep Approach'!D:D)</f>
        <v>WDV</v>
      </c>
      <c r="O1594" s="113">
        <f>_xlfn.XLOOKUP(_xlfn.CONCAT(E1594,B1594),'Year Wise Master Dep Approach'!F:F,'Year Wise Master Dep Approach'!E:E)</f>
        <v>5</v>
      </c>
      <c r="P1594" s="114">
        <f>IFERROR(IF('FA Addition'!$N1594="WDV",1-('FA Addition'!$M1594/'FA Addition'!$L1594)^(1/'FA Addition'!$O1594),1/'FA Addition'!$O1594),0)</f>
        <v>0.45071972834694107</v>
      </c>
      <c r="Q1594" s="122">
        <f>'FA Addition'!$P1594*'FA Addition'!$O1594</f>
        <v>2.2535986417347056</v>
      </c>
      <c r="R1594" s="122"/>
      <c r="S1594" s="116">
        <f>IF(AND(DATE(20&amp;LEFT(FAAddition[[#This Row],[FY]],2),4,1)&lt;$L$1+1,DATE(20&amp;LEFT(FAAddition[[#This Row],[FY]],2),4,1)&gt;$P$1-1),'FA Addition'!$J1594,0)</f>
        <v>0</v>
      </c>
      <c r="U1594" s="117">
        <f>S1594*'FA Addition'!$L1594/'FA Addition'!$J1594</f>
        <v>0</v>
      </c>
      <c r="W1594" s="116">
        <f>SUMIFS('FA Write off'!D:D,'FA Write off'!A:A,'FA Addition'!$A1594,'FA Write off'!C:C,"&lt;"&amp;'FA Addition'!$P$1)</f>
        <v>0</v>
      </c>
      <c r="Y1594" s="191">
        <f>IFERROR(W1594/'FA Addition'!$J1594*'FA Addition'!$L1594,0)</f>
        <v>0</v>
      </c>
      <c r="AA1594" s="116">
        <f>SUMIFS('FA Write off'!D:D,'FA Write off'!A:A,'FA Addition'!$A1594,'FA Write off'!C:C,"&lt;"&amp;'FA Addition'!$L$1+1,'FA Write off'!C:C,"&gt;"&amp;'FA Addition'!$L$1-365)</f>
        <v>0</v>
      </c>
      <c r="AC1594" s="118">
        <f>IFERROR(AA1594/'FA Addition'!$J1594*'FA Addition'!$L1594,0)</f>
        <v>0</v>
      </c>
      <c r="AE1594" s="117">
        <f>IF(AND('FA Addition'!$D1594&lt;$P$1+1,U1594=0),'FA Addition'!$L1594,0)-Y1594</f>
        <v>0</v>
      </c>
      <c r="AF1594" s="117">
        <f t="shared" si="120"/>
        <v>0</v>
      </c>
      <c r="AG1594" s="117">
        <f>MIN(MAX(+$P$1-'FA Addition'!$D1594,0),365*'FA Addition'!$O1594)</f>
        <v>0</v>
      </c>
      <c r="AH1594" s="117">
        <f>MIN(MAX($L$1-'FA Addition'!$D1594+1,0),365*'FA Addition'!$O1594)</f>
        <v>0</v>
      </c>
      <c r="AI1594" s="117" cm="1">
        <f t="array" ref="AI1594">_xlfn.XLOOKUP(1,('FA Write off'!A:A='FA Addition'!$A1594)*('FA Write off'!D:D=AA1594),'FA Write off'!H:H,0,0)</f>
        <v>0</v>
      </c>
      <c r="AJ1594" s="117">
        <f>IF(AC1594&gt;0,MAX(IF('FA Addition'!$N1594="SLM",($AC1594-'FA Addition'!$M1594)*'FA Addition'!$P1594*AI1594/365,(AC1594-'FA Addition'!$M1594)*(1-(1-'FA Addition'!$P1594)^(AI1594/365))),0),0)</f>
        <v>0</v>
      </c>
      <c r="AL1594" s="117">
        <f>MAX(IF(AG1594&gt;0,IF('FA Addition'!$N1594="SLM",($AE1594-'FA Addition'!$M1594)*'FA Addition'!$P1594*AG1594/365,IFERROR(VDB(AE1594,AE1594*0.05,'FA Addition'!$O1594,0,YEARFRAC('FA Addition'!$C1594,$P$1-1,3),'FA Addition'!$Q1594),FAAddition[[#This Row],[Original Cost (Rs)]]-FAAddition[[#This Row],[Salvage Value]])),0),0)</f>
        <v>0</v>
      </c>
      <c r="AM1594" s="119"/>
      <c r="AN1594" s="117">
        <f>MAX(IF(AH1594&gt;0,IF('FA Addition'!$N1594="SLM",($AF1594-'FA Addition'!$M1594)*'FA Addition'!$P1594*AH1594/365,IFERROR(VDB(AF1594,AF1594*0.05,'FA Addition'!$O1594,0,YEARFRAC('FA Addition'!$C1594,$L$1,3),'FA Addition'!$Q1594),FAAddition[[#This Row],[Original Cost (Rs)]]-FAAddition[[#This Row],[Salvage Value]])),0),0)</f>
        <v>0</v>
      </c>
      <c r="AO1594" s="117">
        <f t="shared" si="123"/>
        <v>0</v>
      </c>
      <c r="AQ1594" s="117">
        <f t="shared" si="121"/>
        <v>0</v>
      </c>
      <c r="AR1594" s="120">
        <f t="shared" si="122"/>
        <v>0</v>
      </c>
      <c r="AS1594" s="121"/>
    </row>
    <row r="1595" spans="1:45" ht="13.5" x14ac:dyDescent="0.4">
      <c r="A1595" s="12">
        <f t="shared" si="124"/>
        <v>1592</v>
      </c>
      <c r="B1595" s="64" t="s">
        <v>10</v>
      </c>
      <c r="C1595" s="54">
        <v>45931</v>
      </c>
      <c r="D1595" s="54">
        <v>45931</v>
      </c>
      <c r="E1595" s="46" t="s">
        <v>451</v>
      </c>
      <c r="F1595" s="51" t="s">
        <v>19</v>
      </c>
      <c r="G1595" s="51" t="s">
        <v>166</v>
      </c>
      <c r="H1595" s="51" t="s">
        <v>21</v>
      </c>
      <c r="I1595" s="55" t="s">
        <v>223</v>
      </c>
      <c r="J1595" s="56">
        <v>1</v>
      </c>
      <c r="K1595" s="51" t="s">
        <v>369</v>
      </c>
      <c r="L1595" s="58">
        <v>75200</v>
      </c>
      <c r="M1595" s="50">
        <f>ROUND('FA Addition'!$L1595*5%,0.1)</f>
        <v>3760</v>
      </c>
      <c r="N1595" s="113" t="str">
        <f>_xlfn.XLOOKUP(_xlfn.CONCAT(E1595,B1595),'Year Wise Master Dep Approach'!F:F,'Year Wise Master Dep Approach'!D:D)</f>
        <v>WDV</v>
      </c>
      <c r="O1595" s="113">
        <f>_xlfn.XLOOKUP(_xlfn.CONCAT(E1595,B1595),'Year Wise Master Dep Approach'!F:F,'Year Wise Master Dep Approach'!E:E)</f>
        <v>3</v>
      </c>
      <c r="P1595" s="114">
        <f>IFERROR(IF('FA Addition'!$N1595="WDV",1-('FA Addition'!$M1595/'FA Addition'!$L1595)^(1/'FA Addition'!$O1595),1/'FA Addition'!$O1595),0)</f>
        <v>0.63159685013596123</v>
      </c>
      <c r="Q1595" s="122">
        <f>'FA Addition'!$P1595*'FA Addition'!$O1595</f>
        <v>1.8947905504078837</v>
      </c>
      <c r="R1595" s="122"/>
      <c r="S1595" s="116">
        <f>IF(AND(DATE(20&amp;LEFT(FAAddition[[#This Row],[FY]],2),4,1)&lt;$L$1+1,DATE(20&amp;LEFT(FAAddition[[#This Row],[FY]],2),4,1)&gt;$P$1-1),'FA Addition'!$J1595,0)</f>
        <v>0</v>
      </c>
      <c r="U1595" s="117">
        <f>S1595*'FA Addition'!$L1595/'FA Addition'!$J1595</f>
        <v>0</v>
      </c>
      <c r="W1595" s="116">
        <f>SUMIFS('FA Write off'!D:D,'FA Write off'!A:A,'FA Addition'!$A1595,'FA Write off'!C:C,"&lt;"&amp;'FA Addition'!$P$1)</f>
        <v>0</v>
      </c>
      <c r="Y1595" s="191">
        <f>IFERROR(W1595/'FA Addition'!$J1595*'FA Addition'!$L1595,0)</f>
        <v>0</v>
      </c>
      <c r="AA1595" s="116">
        <f>SUMIFS('FA Write off'!D:D,'FA Write off'!A:A,'FA Addition'!$A1595,'FA Write off'!C:C,"&lt;"&amp;'FA Addition'!$L$1+1,'FA Write off'!C:C,"&gt;"&amp;'FA Addition'!$L$1-365)</f>
        <v>0</v>
      </c>
      <c r="AC1595" s="118">
        <f>IFERROR(AA1595/'FA Addition'!$J1595*'FA Addition'!$L1595,0)</f>
        <v>0</v>
      </c>
      <c r="AE1595" s="117">
        <f>IF(AND('FA Addition'!$D1595&lt;$P$1+1,U1595=0),'FA Addition'!$L1595,0)-Y1595</f>
        <v>0</v>
      </c>
      <c r="AF1595" s="117">
        <f t="shared" si="120"/>
        <v>0</v>
      </c>
      <c r="AG1595" s="117">
        <f>MIN(MAX(+$P$1-'FA Addition'!$D1595,0),365*'FA Addition'!$O1595)</f>
        <v>0</v>
      </c>
      <c r="AH1595" s="117">
        <f>MIN(MAX($L$1-'FA Addition'!$D1595+1,0),365*'FA Addition'!$O1595)</f>
        <v>0</v>
      </c>
      <c r="AI1595" s="117" cm="1">
        <f t="array" ref="AI1595">_xlfn.XLOOKUP(1,('FA Write off'!A:A='FA Addition'!$A1595)*('FA Write off'!D:D=AA1595),'FA Write off'!H:H,0,0)</f>
        <v>0</v>
      </c>
      <c r="AJ1595" s="117">
        <f>IF(AC1595&gt;0,MAX(IF('FA Addition'!$N1595="SLM",($AC1595-'FA Addition'!$M1595)*'FA Addition'!$P1595*AI1595/365,(AC1595-'FA Addition'!$M1595)*(1-(1-'FA Addition'!$P1595)^(AI1595/365))),0),0)</f>
        <v>0</v>
      </c>
      <c r="AL1595" s="117">
        <f>MAX(IF(AG1595&gt;0,IF('FA Addition'!$N1595="SLM",($AE1595-'FA Addition'!$M1595)*'FA Addition'!$P1595*AG1595/365,IFERROR(VDB(AE1595,AE1595*0.05,'FA Addition'!$O1595,0,YEARFRAC('FA Addition'!$C1595,$P$1-1,3),'FA Addition'!$Q1595),FAAddition[[#This Row],[Original Cost (Rs)]]-FAAddition[[#This Row],[Salvage Value]])),0),0)</f>
        <v>0</v>
      </c>
      <c r="AM1595" s="119"/>
      <c r="AN1595" s="117">
        <f>MAX(IF(AH1595&gt;0,IF('FA Addition'!$N1595="SLM",($AF1595-'FA Addition'!$M1595)*'FA Addition'!$P1595*AH1595/365,IFERROR(VDB(AF1595,AF1595*0.05,'FA Addition'!$O1595,0,YEARFRAC('FA Addition'!$C1595,$L$1,3),'FA Addition'!$Q1595),FAAddition[[#This Row],[Original Cost (Rs)]]-FAAddition[[#This Row],[Salvage Value]])),0),0)</f>
        <v>0</v>
      </c>
      <c r="AO1595" s="117">
        <f t="shared" si="123"/>
        <v>0</v>
      </c>
      <c r="AQ1595" s="117">
        <f t="shared" si="121"/>
        <v>0</v>
      </c>
      <c r="AR1595" s="120">
        <f t="shared" si="122"/>
        <v>0</v>
      </c>
      <c r="AS1595" s="121"/>
    </row>
    <row r="1596" spans="1:45" ht="13.5" x14ac:dyDescent="0.4">
      <c r="A1596" s="12">
        <f t="shared" si="124"/>
        <v>1593</v>
      </c>
      <c r="B1596" s="64" t="s">
        <v>10</v>
      </c>
      <c r="C1596" s="54">
        <v>45931</v>
      </c>
      <c r="D1596" s="54">
        <v>45931</v>
      </c>
      <c r="E1596" s="46" t="s">
        <v>451</v>
      </c>
      <c r="F1596" s="51" t="s">
        <v>19</v>
      </c>
      <c r="G1596" s="51" t="s">
        <v>166</v>
      </c>
      <c r="H1596" s="51" t="s">
        <v>21</v>
      </c>
      <c r="I1596" s="55" t="s">
        <v>223</v>
      </c>
      <c r="J1596" s="56">
        <v>1</v>
      </c>
      <c r="K1596" s="51" t="s">
        <v>369</v>
      </c>
      <c r="L1596" s="58">
        <v>75200</v>
      </c>
      <c r="M1596" s="50">
        <f>ROUND('FA Addition'!$L1596*5%,0.1)</f>
        <v>3760</v>
      </c>
      <c r="N1596" s="113" t="str">
        <f>_xlfn.XLOOKUP(_xlfn.CONCAT(E1596,B1596),'Year Wise Master Dep Approach'!F:F,'Year Wise Master Dep Approach'!D:D)</f>
        <v>WDV</v>
      </c>
      <c r="O1596" s="113">
        <f>_xlfn.XLOOKUP(_xlfn.CONCAT(E1596,B1596),'Year Wise Master Dep Approach'!F:F,'Year Wise Master Dep Approach'!E:E)</f>
        <v>3</v>
      </c>
      <c r="P1596" s="114">
        <f>IFERROR(IF('FA Addition'!$N1596="WDV",1-('FA Addition'!$M1596/'FA Addition'!$L1596)^(1/'FA Addition'!$O1596),1/'FA Addition'!$O1596),0)</f>
        <v>0.63159685013596123</v>
      </c>
      <c r="Q1596" s="122">
        <f>'FA Addition'!$P1596*'FA Addition'!$O1596</f>
        <v>1.8947905504078837</v>
      </c>
      <c r="R1596" s="122"/>
      <c r="S1596" s="116">
        <f>IF(AND(DATE(20&amp;LEFT(FAAddition[[#This Row],[FY]],2),4,1)&lt;$L$1+1,DATE(20&amp;LEFT(FAAddition[[#This Row],[FY]],2),4,1)&gt;$P$1-1),'FA Addition'!$J1596,0)</f>
        <v>0</v>
      </c>
      <c r="U1596" s="117">
        <f>S1596*'FA Addition'!$L1596/'FA Addition'!$J1596</f>
        <v>0</v>
      </c>
      <c r="W1596" s="116">
        <f>SUMIFS('FA Write off'!D:D,'FA Write off'!A:A,'FA Addition'!$A1596,'FA Write off'!C:C,"&lt;"&amp;'FA Addition'!$P$1)</f>
        <v>0</v>
      </c>
      <c r="Y1596" s="191">
        <f>IFERROR(W1596/'FA Addition'!$J1596*'FA Addition'!$L1596,0)</f>
        <v>0</v>
      </c>
      <c r="AA1596" s="116">
        <f>SUMIFS('FA Write off'!D:D,'FA Write off'!A:A,'FA Addition'!$A1596,'FA Write off'!C:C,"&lt;"&amp;'FA Addition'!$L$1+1,'FA Write off'!C:C,"&gt;"&amp;'FA Addition'!$L$1-365)</f>
        <v>0</v>
      </c>
      <c r="AC1596" s="118">
        <f>IFERROR(AA1596/'FA Addition'!$J1596*'FA Addition'!$L1596,0)</f>
        <v>0</v>
      </c>
      <c r="AE1596" s="117">
        <f>IF(AND('FA Addition'!$D1596&lt;$P$1+1,U1596=0),'FA Addition'!$L1596,0)-Y1596</f>
        <v>0</v>
      </c>
      <c r="AF1596" s="117">
        <f t="shared" si="120"/>
        <v>0</v>
      </c>
      <c r="AG1596" s="117">
        <f>MIN(MAX(+$P$1-'FA Addition'!$D1596,0),365*'FA Addition'!$O1596)</f>
        <v>0</v>
      </c>
      <c r="AH1596" s="117">
        <f>MIN(MAX($L$1-'FA Addition'!$D1596+1,0),365*'FA Addition'!$O1596)</f>
        <v>0</v>
      </c>
      <c r="AI1596" s="117" cm="1">
        <f t="array" ref="AI1596">_xlfn.XLOOKUP(1,('FA Write off'!A:A='FA Addition'!$A1596)*('FA Write off'!D:D=AA1596),'FA Write off'!H:H,0,0)</f>
        <v>0</v>
      </c>
      <c r="AJ1596" s="117">
        <f>IF(AC1596&gt;0,MAX(IF('FA Addition'!$N1596="SLM",($AC1596-'FA Addition'!$M1596)*'FA Addition'!$P1596*AI1596/365,(AC1596-'FA Addition'!$M1596)*(1-(1-'FA Addition'!$P1596)^(AI1596/365))),0),0)</f>
        <v>0</v>
      </c>
      <c r="AL1596" s="117">
        <f>MAX(IF(AG1596&gt;0,IF('FA Addition'!$N1596="SLM",($AE1596-'FA Addition'!$M1596)*'FA Addition'!$P1596*AG1596/365,IFERROR(VDB(AE1596,AE1596*0.05,'FA Addition'!$O1596,0,YEARFRAC('FA Addition'!$C1596,$P$1-1,3),'FA Addition'!$Q1596),FAAddition[[#This Row],[Original Cost (Rs)]]-FAAddition[[#This Row],[Salvage Value]])),0),0)</f>
        <v>0</v>
      </c>
      <c r="AM1596" s="119"/>
      <c r="AN1596" s="117">
        <f>MAX(IF(AH1596&gt;0,IF('FA Addition'!$N1596="SLM",($AF1596-'FA Addition'!$M1596)*'FA Addition'!$P1596*AH1596/365,IFERROR(VDB(AF1596,AF1596*0.05,'FA Addition'!$O1596,0,YEARFRAC('FA Addition'!$C1596,$L$1,3),'FA Addition'!$Q1596),FAAddition[[#This Row],[Original Cost (Rs)]]-FAAddition[[#This Row],[Salvage Value]])),0),0)</f>
        <v>0</v>
      </c>
      <c r="AO1596" s="117">
        <f t="shared" si="123"/>
        <v>0</v>
      </c>
      <c r="AQ1596" s="117">
        <f t="shared" si="121"/>
        <v>0</v>
      </c>
      <c r="AR1596" s="120">
        <f t="shared" si="122"/>
        <v>0</v>
      </c>
      <c r="AS1596" s="121"/>
    </row>
    <row r="1597" spans="1:45" ht="13.5" x14ac:dyDescent="0.4">
      <c r="A1597" s="12">
        <f t="shared" si="124"/>
        <v>1594</v>
      </c>
      <c r="B1597" s="64" t="s">
        <v>10</v>
      </c>
      <c r="C1597" s="54">
        <v>45931</v>
      </c>
      <c r="D1597" s="54">
        <v>45931</v>
      </c>
      <c r="E1597" s="46" t="s">
        <v>451</v>
      </c>
      <c r="F1597" s="51" t="s">
        <v>19</v>
      </c>
      <c r="G1597" s="51" t="s">
        <v>166</v>
      </c>
      <c r="H1597" s="51" t="s">
        <v>21</v>
      </c>
      <c r="I1597" s="55" t="s">
        <v>223</v>
      </c>
      <c r="J1597" s="56">
        <v>1</v>
      </c>
      <c r="K1597" s="51" t="s">
        <v>370</v>
      </c>
      <c r="L1597" s="58">
        <v>89500</v>
      </c>
      <c r="M1597" s="50">
        <f>ROUND('FA Addition'!$L1597*5%,0.1)</f>
        <v>4475</v>
      </c>
      <c r="N1597" s="113" t="str">
        <f>_xlfn.XLOOKUP(_xlfn.CONCAT(E1597,B1597),'Year Wise Master Dep Approach'!F:F,'Year Wise Master Dep Approach'!D:D)</f>
        <v>WDV</v>
      </c>
      <c r="O1597" s="113">
        <f>_xlfn.XLOOKUP(_xlfn.CONCAT(E1597,B1597),'Year Wise Master Dep Approach'!F:F,'Year Wise Master Dep Approach'!E:E)</f>
        <v>3</v>
      </c>
      <c r="P1597" s="114">
        <f>IFERROR(IF('FA Addition'!$N1597="WDV",1-('FA Addition'!$M1597/'FA Addition'!$L1597)^(1/'FA Addition'!$O1597),1/'FA Addition'!$O1597),0)</f>
        <v>0.63159685013596123</v>
      </c>
      <c r="Q1597" s="122">
        <f>'FA Addition'!$P1597*'FA Addition'!$O1597</f>
        <v>1.8947905504078837</v>
      </c>
      <c r="R1597" s="122"/>
      <c r="S1597" s="116">
        <f>IF(AND(DATE(20&amp;LEFT(FAAddition[[#This Row],[FY]],2),4,1)&lt;$L$1+1,DATE(20&amp;LEFT(FAAddition[[#This Row],[FY]],2),4,1)&gt;$P$1-1),'FA Addition'!$J1597,0)</f>
        <v>0</v>
      </c>
      <c r="U1597" s="117">
        <f>S1597*'FA Addition'!$L1597/'FA Addition'!$J1597</f>
        <v>0</v>
      </c>
      <c r="W1597" s="116">
        <f>SUMIFS('FA Write off'!D:D,'FA Write off'!A:A,'FA Addition'!$A1597,'FA Write off'!C:C,"&lt;"&amp;'FA Addition'!$P$1)</f>
        <v>0</v>
      </c>
      <c r="Y1597" s="191">
        <f>IFERROR(W1597/'FA Addition'!$J1597*'FA Addition'!$L1597,0)</f>
        <v>0</v>
      </c>
      <c r="AA1597" s="116">
        <f>SUMIFS('FA Write off'!D:D,'FA Write off'!A:A,'FA Addition'!$A1597,'FA Write off'!C:C,"&lt;"&amp;'FA Addition'!$L$1+1,'FA Write off'!C:C,"&gt;"&amp;'FA Addition'!$L$1-365)</f>
        <v>0</v>
      </c>
      <c r="AC1597" s="118">
        <f>IFERROR(AA1597/'FA Addition'!$J1597*'FA Addition'!$L1597,0)</f>
        <v>0</v>
      </c>
      <c r="AE1597" s="117">
        <f>IF(AND('FA Addition'!$D1597&lt;$P$1+1,U1597=0),'FA Addition'!$L1597,0)-Y1597</f>
        <v>0</v>
      </c>
      <c r="AF1597" s="117">
        <f t="shared" si="120"/>
        <v>0</v>
      </c>
      <c r="AG1597" s="117">
        <f>MIN(MAX(+$P$1-'FA Addition'!$D1597,0),365*'FA Addition'!$O1597)</f>
        <v>0</v>
      </c>
      <c r="AH1597" s="117">
        <f>MIN(MAX($L$1-'FA Addition'!$D1597+1,0),365*'FA Addition'!$O1597)</f>
        <v>0</v>
      </c>
      <c r="AI1597" s="117" cm="1">
        <f t="array" ref="AI1597">_xlfn.XLOOKUP(1,('FA Write off'!A:A='FA Addition'!$A1597)*('FA Write off'!D:D=AA1597),'FA Write off'!H:H,0,0)</f>
        <v>0</v>
      </c>
      <c r="AJ1597" s="117">
        <f>IF(AC1597&gt;0,MAX(IF('FA Addition'!$N1597="SLM",($AC1597-'FA Addition'!$M1597)*'FA Addition'!$P1597*AI1597/365,(AC1597-'FA Addition'!$M1597)*(1-(1-'FA Addition'!$P1597)^(AI1597/365))),0),0)</f>
        <v>0</v>
      </c>
      <c r="AL1597" s="117">
        <f>MAX(IF(AG1597&gt;0,IF('FA Addition'!$N1597="SLM",($AE1597-'FA Addition'!$M1597)*'FA Addition'!$P1597*AG1597/365,IFERROR(VDB(AE1597,AE1597*0.05,'FA Addition'!$O1597,0,YEARFRAC('FA Addition'!$C1597,$P$1-1,3),'FA Addition'!$Q1597),FAAddition[[#This Row],[Original Cost (Rs)]]-FAAddition[[#This Row],[Salvage Value]])),0),0)</f>
        <v>0</v>
      </c>
      <c r="AM1597" s="119"/>
      <c r="AN1597" s="117">
        <f>MAX(IF(AH1597&gt;0,IF('FA Addition'!$N1597="SLM",($AF1597-'FA Addition'!$M1597)*'FA Addition'!$P1597*AH1597/365,IFERROR(VDB(AF1597,AF1597*0.05,'FA Addition'!$O1597,0,YEARFRAC('FA Addition'!$C1597,$L$1,3),'FA Addition'!$Q1597),FAAddition[[#This Row],[Original Cost (Rs)]]-FAAddition[[#This Row],[Salvage Value]])),0),0)</f>
        <v>0</v>
      </c>
      <c r="AO1597" s="117">
        <f t="shared" si="123"/>
        <v>0</v>
      </c>
      <c r="AQ1597" s="117">
        <f t="shared" si="121"/>
        <v>0</v>
      </c>
      <c r="AR1597" s="120">
        <f t="shared" si="122"/>
        <v>0</v>
      </c>
      <c r="AS1597" s="121"/>
    </row>
    <row r="1598" spans="1:45" ht="13.5" x14ac:dyDescent="0.4">
      <c r="A1598" s="12">
        <f t="shared" si="124"/>
        <v>1595</v>
      </c>
      <c r="B1598" s="64" t="s">
        <v>10</v>
      </c>
      <c r="C1598" s="54">
        <v>45923</v>
      </c>
      <c r="D1598" s="54">
        <v>45923</v>
      </c>
      <c r="E1598" s="46" t="s">
        <v>1320</v>
      </c>
      <c r="F1598" s="51" t="s">
        <v>33</v>
      </c>
      <c r="G1598" s="51" t="s">
        <v>36</v>
      </c>
      <c r="H1598" s="51" t="s">
        <v>32</v>
      </c>
      <c r="I1598" s="55" t="s">
        <v>224</v>
      </c>
      <c r="J1598" s="56">
        <v>500</v>
      </c>
      <c r="K1598" s="51" t="s">
        <v>296</v>
      </c>
      <c r="L1598" s="58">
        <v>750000</v>
      </c>
      <c r="M1598" s="50">
        <f>ROUND('FA Addition'!$L1598*5%,0.1)</f>
        <v>37500</v>
      </c>
      <c r="N1598" s="113" t="str">
        <f>_xlfn.XLOOKUP(_xlfn.CONCAT(E1598,B1598),'Year Wise Master Dep Approach'!F:F,'Year Wise Master Dep Approach'!D:D)</f>
        <v>SLM</v>
      </c>
      <c r="O1598" s="113">
        <f>_xlfn.XLOOKUP(_xlfn.CONCAT(E1598,B1598),'Year Wise Master Dep Approach'!F:F,'Year Wise Master Dep Approach'!E:E)</f>
        <v>5</v>
      </c>
      <c r="P1598" s="114">
        <f>IFERROR(IF('FA Addition'!$N1598="WDV",1-('FA Addition'!$M1598/'FA Addition'!$L1598)^(1/'FA Addition'!$O1598),1/'FA Addition'!$O1598),0)</f>
        <v>0.2</v>
      </c>
      <c r="Q1598" s="122">
        <f>'FA Addition'!$P1598*'FA Addition'!$O1598</f>
        <v>1</v>
      </c>
      <c r="R1598" s="122"/>
      <c r="S1598" s="116">
        <f>IF(AND(DATE(20&amp;LEFT(FAAddition[[#This Row],[FY]],2),4,1)&lt;$L$1+1,DATE(20&amp;LEFT(FAAddition[[#This Row],[FY]],2),4,1)&gt;$P$1-1),'FA Addition'!$J1598,0)</f>
        <v>0</v>
      </c>
      <c r="U1598" s="117">
        <f>S1598*'FA Addition'!$L1598/'FA Addition'!$J1598</f>
        <v>0</v>
      </c>
      <c r="W1598" s="116">
        <f>SUMIFS('FA Write off'!D:D,'FA Write off'!A:A,'FA Addition'!$A1598,'FA Write off'!C:C,"&lt;"&amp;'FA Addition'!$P$1)</f>
        <v>0</v>
      </c>
      <c r="Y1598" s="191">
        <f>IFERROR(W1598/'FA Addition'!$J1598*'FA Addition'!$L1598,0)</f>
        <v>0</v>
      </c>
      <c r="AA1598" s="116">
        <f>SUMIFS('FA Write off'!D:D,'FA Write off'!A:A,'FA Addition'!$A1598,'FA Write off'!C:C,"&lt;"&amp;'FA Addition'!$L$1+1,'FA Write off'!C:C,"&gt;"&amp;'FA Addition'!$L$1-365)</f>
        <v>0</v>
      </c>
      <c r="AC1598" s="118">
        <f>IFERROR(AA1598/'FA Addition'!$J1598*'FA Addition'!$L1598,0)</f>
        <v>0</v>
      </c>
      <c r="AE1598" s="117">
        <f>IF(AND('FA Addition'!$D1598&lt;$P$1+1,U1598=0),'FA Addition'!$L1598,0)-Y1598</f>
        <v>0</v>
      </c>
      <c r="AF1598" s="117">
        <f t="shared" si="120"/>
        <v>0</v>
      </c>
      <c r="AG1598" s="117">
        <f>MIN(MAX(+$P$1-'FA Addition'!$D1598,0),365*'FA Addition'!$O1598)</f>
        <v>0</v>
      </c>
      <c r="AH1598" s="117">
        <f>MIN(MAX($L$1-'FA Addition'!$D1598+1,0),365*'FA Addition'!$O1598)</f>
        <v>0</v>
      </c>
      <c r="AI1598" s="117" cm="1">
        <f t="array" ref="AI1598">_xlfn.XLOOKUP(1,('FA Write off'!A:A='FA Addition'!$A1598)*('FA Write off'!D:D=AA1598),'FA Write off'!H:H,0,0)</f>
        <v>0</v>
      </c>
      <c r="AJ1598" s="117">
        <f>IF(AC1598&gt;0,MAX(IF('FA Addition'!$N1598="SLM",($AC1598-'FA Addition'!$M1598)*'FA Addition'!$P1598*AI1598/365,(AC1598-'FA Addition'!$M1598)*(1-(1-'FA Addition'!$P1598)^(AI1598/365))),0),0)</f>
        <v>0</v>
      </c>
      <c r="AL1598" s="117">
        <f>MAX(IF(AG1598&gt;0,IF('FA Addition'!$N1598="SLM",($AE1598-'FA Addition'!$M1598)*'FA Addition'!$P1598*AG1598/365,IFERROR(VDB(AE1598,AE1598*0.05,'FA Addition'!$O1598,0,YEARFRAC('FA Addition'!$C1598,$P$1-1,3),'FA Addition'!$Q1598),FAAddition[[#This Row],[Original Cost (Rs)]]-FAAddition[[#This Row],[Salvage Value]])),0),0)</f>
        <v>0</v>
      </c>
      <c r="AM1598" s="119"/>
      <c r="AN1598" s="117">
        <f>MAX(IF(AH1598&gt;0,IF('FA Addition'!$N1598="SLM",($AF1598-'FA Addition'!$M1598)*'FA Addition'!$P1598*AH1598/365,IFERROR(VDB(AF1598,AF1598*0.05,'FA Addition'!$O1598,0,YEARFRAC('FA Addition'!$C1598,$L$1,3),'FA Addition'!$Q1598),FAAddition[[#This Row],[Original Cost (Rs)]]-FAAddition[[#This Row],[Salvage Value]])),0),0)</f>
        <v>0</v>
      </c>
      <c r="AO1598" s="117">
        <f t="shared" si="123"/>
        <v>0</v>
      </c>
      <c r="AQ1598" s="117">
        <f t="shared" si="121"/>
        <v>0</v>
      </c>
      <c r="AR1598" s="120">
        <f t="shared" si="122"/>
        <v>0</v>
      </c>
      <c r="AS1598" s="121"/>
    </row>
    <row r="1599" spans="1:45" ht="13.5" x14ac:dyDescent="0.4">
      <c r="A1599" s="12">
        <f t="shared" si="124"/>
        <v>1596</v>
      </c>
      <c r="B1599" s="64" t="s">
        <v>10</v>
      </c>
      <c r="C1599" s="54">
        <v>45947</v>
      </c>
      <c r="D1599" s="54">
        <v>45947</v>
      </c>
      <c r="E1599" s="46" t="s">
        <v>1320</v>
      </c>
      <c r="F1599" s="51" t="s">
        <v>33</v>
      </c>
      <c r="G1599" s="51" t="s">
        <v>36</v>
      </c>
      <c r="H1599" s="51" t="s">
        <v>32</v>
      </c>
      <c r="I1599" s="55" t="s">
        <v>225</v>
      </c>
      <c r="J1599" s="56">
        <v>1000</v>
      </c>
      <c r="K1599" s="51" t="s">
        <v>296</v>
      </c>
      <c r="L1599" s="58">
        <v>1500000</v>
      </c>
      <c r="M1599" s="50">
        <f>ROUND('FA Addition'!$L1599*5%,0.1)</f>
        <v>75000</v>
      </c>
      <c r="N1599" s="113" t="str">
        <f>_xlfn.XLOOKUP(_xlfn.CONCAT(E1599,B1599),'Year Wise Master Dep Approach'!F:F,'Year Wise Master Dep Approach'!D:D)</f>
        <v>SLM</v>
      </c>
      <c r="O1599" s="113">
        <f>_xlfn.XLOOKUP(_xlfn.CONCAT(E1599,B1599),'Year Wise Master Dep Approach'!F:F,'Year Wise Master Dep Approach'!E:E)</f>
        <v>5</v>
      </c>
      <c r="P1599" s="114">
        <f>IFERROR(IF('FA Addition'!$N1599="WDV",1-('FA Addition'!$M1599/'FA Addition'!$L1599)^(1/'FA Addition'!$O1599),1/'FA Addition'!$O1599),0)</f>
        <v>0.2</v>
      </c>
      <c r="Q1599" s="122">
        <f>'FA Addition'!$P1599*'FA Addition'!$O1599</f>
        <v>1</v>
      </c>
      <c r="R1599" s="122"/>
      <c r="S1599" s="116">
        <f>IF(AND(DATE(20&amp;LEFT(FAAddition[[#This Row],[FY]],2),4,1)&lt;$L$1+1,DATE(20&amp;LEFT(FAAddition[[#This Row],[FY]],2),4,1)&gt;$P$1-1),'FA Addition'!$J1599,0)</f>
        <v>0</v>
      </c>
      <c r="U1599" s="117">
        <f>S1599*'FA Addition'!$L1599/'FA Addition'!$J1599</f>
        <v>0</v>
      </c>
      <c r="W1599" s="116">
        <f>SUMIFS('FA Write off'!D:D,'FA Write off'!A:A,'FA Addition'!$A1599,'FA Write off'!C:C,"&lt;"&amp;'FA Addition'!$P$1)</f>
        <v>0</v>
      </c>
      <c r="Y1599" s="191">
        <f>IFERROR(W1599/'FA Addition'!$J1599*'FA Addition'!$L1599,0)</f>
        <v>0</v>
      </c>
      <c r="AA1599" s="116">
        <f>SUMIFS('FA Write off'!D:D,'FA Write off'!A:A,'FA Addition'!$A1599,'FA Write off'!C:C,"&lt;"&amp;'FA Addition'!$L$1+1,'FA Write off'!C:C,"&gt;"&amp;'FA Addition'!$L$1-365)</f>
        <v>0</v>
      </c>
      <c r="AC1599" s="118">
        <f>IFERROR(AA1599/'FA Addition'!$J1599*'FA Addition'!$L1599,0)</f>
        <v>0</v>
      </c>
      <c r="AE1599" s="117">
        <f>IF(AND('FA Addition'!$D1599&lt;$P$1+1,U1599=0),'FA Addition'!$L1599,0)-Y1599</f>
        <v>0</v>
      </c>
      <c r="AF1599" s="117">
        <f t="shared" si="120"/>
        <v>0</v>
      </c>
      <c r="AG1599" s="117">
        <f>MIN(MAX(+$P$1-'FA Addition'!$D1599,0),365*'FA Addition'!$O1599)</f>
        <v>0</v>
      </c>
      <c r="AH1599" s="117">
        <f>MIN(MAX($L$1-'FA Addition'!$D1599+1,0),365*'FA Addition'!$O1599)</f>
        <v>0</v>
      </c>
      <c r="AI1599" s="117" cm="1">
        <f t="array" ref="AI1599">_xlfn.XLOOKUP(1,('FA Write off'!A:A='FA Addition'!$A1599)*('FA Write off'!D:D=AA1599),'FA Write off'!H:H,0,0)</f>
        <v>0</v>
      </c>
      <c r="AJ1599" s="117">
        <f>IF(AC1599&gt;0,MAX(IF('FA Addition'!$N1599="SLM",($AC1599-'FA Addition'!$M1599)*'FA Addition'!$P1599*AI1599/365,(AC1599-'FA Addition'!$M1599)*(1-(1-'FA Addition'!$P1599)^(AI1599/365))),0),0)</f>
        <v>0</v>
      </c>
      <c r="AL1599" s="117">
        <f>MAX(IF(AG1599&gt;0,IF('FA Addition'!$N1599="SLM",($AE1599-'FA Addition'!$M1599)*'FA Addition'!$P1599*AG1599/365,IFERROR(VDB(AE1599,AE1599*0.05,'FA Addition'!$O1599,0,YEARFRAC('FA Addition'!$C1599,$P$1-1,3),'FA Addition'!$Q1599),FAAddition[[#This Row],[Original Cost (Rs)]]-FAAddition[[#This Row],[Salvage Value]])),0),0)</f>
        <v>0</v>
      </c>
      <c r="AM1599" s="119"/>
      <c r="AN1599" s="117">
        <f>MAX(IF(AH1599&gt;0,IF('FA Addition'!$N1599="SLM",($AF1599-'FA Addition'!$M1599)*'FA Addition'!$P1599*AH1599/365,IFERROR(VDB(AF1599,AF1599*0.05,'FA Addition'!$O1599,0,YEARFRAC('FA Addition'!$C1599,$L$1,3),'FA Addition'!$Q1599),FAAddition[[#This Row],[Original Cost (Rs)]]-FAAddition[[#This Row],[Salvage Value]])),0),0)</f>
        <v>0</v>
      </c>
      <c r="AO1599" s="117">
        <f t="shared" si="123"/>
        <v>0</v>
      </c>
      <c r="AQ1599" s="117">
        <f t="shared" si="121"/>
        <v>0</v>
      </c>
      <c r="AR1599" s="120">
        <f t="shared" si="122"/>
        <v>0</v>
      </c>
      <c r="AS1599" s="121"/>
    </row>
    <row r="1600" spans="1:45" ht="13.5" x14ac:dyDescent="0.4">
      <c r="A1600" s="12">
        <f t="shared" si="124"/>
        <v>1597</v>
      </c>
      <c r="B1600" s="64" t="s">
        <v>10</v>
      </c>
      <c r="C1600" s="54">
        <v>45968</v>
      </c>
      <c r="D1600" s="54">
        <v>45968</v>
      </c>
      <c r="E1600" s="46" t="s">
        <v>32</v>
      </c>
      <c r="F1600" s="51" t="s">
        <v>226</v>
      </c>
      <c r="G1600" s="51" t="s">
        <v>29</v>
      </c>
      <c r="H1600" s="51" t="s">
        <v>26</v>
      </c>
      <c r="I1600" s="55" t="s">
        <v>227</v>
      </c>
      <c r="J1600" s="56">
        <v>1200</v>
      </c>
      <c r="K1600" s="51" t="s">
        <v>299</v>
      </c>
      <c r="L1600" s="58">
        <v>74400</v>
      </c>
      <c r="M1600" s="50">
        <f>ROUND('FA Addition'!$L1600*5%,0.1)</f>
        <v>3720</v>
      </c>
      <c r="N1600" s="113" t="str">
        <f>_xlfn.XLOOKUP(_xlfn.CONCAT(E1600,B1600),'Year Wise Master Dep Approach'!F:F,'Year Wise Master Dep Approach'!D:D)</f>
        <v>SLM</v>
      </c>
      <c r="O1600" s="113">
        <f>_xlfn.XLOOKUP(_xlfn.CONCAT(E1600,B1600),'Year Wise Master Dep Approach'!F:F,'Year Wise Master Dep Approach'!E:E)</f>
        <v>5</v>
      </c>
      <c r="P1600" s="114">
        <f>IFERROR(IF('FA Addition'!$N1600="WDV",1-('FA Addition'!$M1600/'FA Addition'!$L1600)^(1/'FA Addition'!$O1600),1/'FA Addition'!$O1600),0)</f>
        <v>0.2</v>
      </c>
      <c r="Q1600" s="122">
        <f>'FA Addition'!$P1600*'FA Addition'!$O1600</f>
        <v>1</v>
      </c>
      <c r="R1600" s="122"/>
      <c r="S1600" s="116">
        <f>IF(AND(DATE(20&amp;LEFT(FAAddition[[#This Row],[FY]],2),4,1)&lt;$L$1+1,DATE(20&amp;LEFT(FAAddition[[#This Row],[FY]],2),4,1)&gt;$P$1-1),'FA Addition'!$J1600,0)</f>
        <v>0</v>
      </c>
      <c r="U1600" s="117">
        <f>S1600*'FA Addition'!$L1600/'FA Addition'!$J1600</f>
        <v>0</v>
      </c>
      <c r="W1600" s="116">
        <f>SUMIFS('FA Write off'!D:D,'FA Write off'!A:A,'FA Addition'!$A1600,'FA Write off'!C:C,"&lt;"&amp;'FA Addition'!$P$1)</f>
        <v>0</v>
      </c>
      <c r="Y1600" s="191">
        <f>IFERROR(W1600/'FA Addition'!$J1600*'FA Addition'!$L1600,0)</f>
        <v>0</v>
      </c>
      <c r="AA1600" s="116">
        <f>SUMIFS('FA Write off'!D:D,'FA Write off'!A:A,'FA Addition'!$A1600,'FA Write off'!C:C,"&lt;"&amp;'FA Addition'!$L$1+1,'FA Write off'!C:C,"&gt;"&amp;'FA Addition'!$L$1-365)</f>
        <v>0</v>
      </c>
      <c r="AC1600" s="118">
        <f>IFERROR(AA1600/'FA Addition'!$J1600*'FA Addition'!$L1600,0)</f>
        <v>0</v>
      </c>
      <c r="AE1600" s="117">
        <f>IF(AND('FA Addition'!$D1600&lt;$P$1+1,U1600=0),'FA Addition'!$L1600,0)-Y1600</f>
        <v>0</v>
      </c>
      <c r="AF1600" s="117">
        <f t="shared" si="120"/>
        <v>0</v>
      </c>
      <c r="AG1600" s="117">
        <f>MIN(MAX(+$P$1-'FA Addition'!$D1600,0),365*'FA Addition'!$O1600)</f>
        <v>0</v>
      </c>
      <c r="AH1600" s="117">
        <f>MIN(MAX($L$1-'FA Addition'!$D1600+1,0),365*'FA Addition'!$O1600)</f>
        <v>0</v>
      </c>
      <c r="AI1600" s="117" cm="1">
        <f t="array" ref="AI1600">_xlfn.XLOOKUP(1,('FA Write off'!A:A='FA Addition'!$A1600)*('FA Write off'!D:D=AA1600),'FA Write off'!H:H,0,0)</f>
        <v>0</v>
      </c>
      <c r="AJ1600" s="117">
        <f>IF(AC1600&gt;0,MAX(IF('FA Addition'!$N1600="SLM",($AC1600-'FA Addition'!$M1600)*'FA Addition'!$P1600*AI1600/365,(AC1600-'FA Addition'!$M1600)*(1-(1-'FA Addition'!$P1600)^(AI1600/365))),0),0)</f>
        <v>0</v>
      </c>
      <c r="AL1600" s="117">
        <f>MAX(IF(AG1600&gt;0,IF('FA Addition'!$N1600="SLM",($AE1600-'FA Addition'!$M1600)*'FA Addition'!$P1600*AG1600/365,IFERROR(VDB(AE1600,AE1600*0.05,'FA Addition'!$O1600,0,YEARFRAC('FA Addition'!$C1600,$P$1-1,3),'FA Addition'!$Q1600),FAAddition[[#This Row],[Original Cost (Rs)]]-FAAddition[[#This Row],[Salvage Value]])),0),0)</f>
        <v>0</v>
      </c>
      <c r="AM1600" s="119"/>
      <c r="AN1600" s="117">
        <f>MAX(IF(AH1600&gt;0,IF('FA Addition'!$N1600="SLM",($AF1600-'FA Addition'!$M1600)*'FA Addition'!$P1600*AH1600/365,IFERROR(VDB(AF1600,AF1600*0.05,'FA Addition'!$O1600,0,YEARFRAC('FA Addition'!$C1600,$L$1,3),'FA Addition'!$Q1600),FAAddition[[#This Row],[Original Cost (Rs)]]-FAAddition[[#This Row],[Salvage Value]])),0),0)</f>
        <v>0</v>
      </c>
      <c r="AO1600" s="117">
        <f t="shared" si="123"/>
        <v>0</v>
      </c>
      <c r="AQ1600" s="117">
        <f t="shared" si="121"/>
        <v>0</v>
      </c>
      <c r="AR1600" s="120">
        <f t="shared" si="122"/>
        <v>0</v>
      </c>
      <c r="AS1600" s="121"/>
    </row>
    <row r="1601" spans="1:45" ht="13.5" x14ac:dyDescent="0.4">
      <c r="A1601" s="12">
        <f t="shared" si="124"/>
        <v>1598</v>
      </c>
      <c r="B1601" s="64" t="s">
        <v>10</v>
      </c>
      <c r="C1601" s="54">
        <v>45944</v>
      </c>
      <c r="D1601" s="54">
        <v>45944</v>
      </c>
      <c r="E1601" s="46" t="s">
        <v>32</v>
      </c>
      <c r="F1601" s="51" t="s">
        <v>27</v>
      </c>
      <c r="G1601" s="51" t="s">
        <v>29</v>
      </c>
      <c r="H1601" s="51" t="s">
        <v>26</v>
      </c>
      <c r="I1601" s="55" t="s">
        <v>228</v>
      </c>
      <c r="J1601" s="56">
        <v>900</v>
      </c>
      <c r="K1601" s="51" t="s">
        <v>299</v>
      </c>
      <c r="L1601" s="58">
        <v>55800</v>
      </c>
      <c r="M1601" s="50">
        <f>ROUND('FA Addition'!$L1601*5%,0.1)</f>
        <v>2790</v>
      </c>
      <c r="N1601" s="113" t="str">
        <f>_xlfn.XLOOKUP(_xlfn.CONCAT(E1601,B1601),'Year Wise Master Dep Approach'!F:F,'Year Wise Master Dep Approach'!D:D)</f>
        <v>SLM</v>
      </c>
      <c r="O1601" s="113">
        <f>_xlfn.XLOOKUP(_xlfn.CONCAT(E1601,B1601),'Year Wise Master Dep Approach'!F:F,'Year Wise Master Dep Approach'!E:E)</f>
        <v>5</v>
      </c>
      <c r="P1601" s="114">
        <f>IFERROR(IF('FA Addition'!$N1601="WDV",1-('FA Addition'!$M1601/'FA Addition'!$L1601)^(1/'FA Addition'!$O1601),1/'FA Addition'!$O1601),0)</f>
        <v>0.2</v>
      </c>
      <c r="Q1601" s="122">
        <f>'FA Addition'!$P1601*'FA Addition'!$O1601</f>
        <v>1</v>
      </c>
      <c r="R1601" s="122"/>
      <c r="S1601" s="116">
        <f>IF(AND(DATE(20&amp;LEFT(FAAddition[[#This Row],[FY]],2),4,1)&lt;$L$1+1,DATE(20&amp;LEFT(FAAddition[[#This Row],[FY]],2),4,1)&gt;$P$1-1),'FA Addition'!$J1601,0)</f>
        <v>0</v>
      </c>
      <c r="U1601" s="117">
        <f>S1601*'FA Addition'!$L1601/'FA Addition'!$J1601</f>
        <v>0</v>
      </c>
      <c r="W1601" s="116">
        <f>SUMIFS('FA Write off'!D:D,'FA Write off'!A:A,'FA Addition'!$A1601,'FA Write off'!C:C,"&lt;"&amp;'FA Addition'!$P$1)</f>
        <v>0</v>
      </c>
      <c r="Y1601" s="191">
        <f>IFERROR(W1601/'FA Addition'!$J1601*'FA Addition'!$L1601,0)</f>
        <v>0</v>
      </c>
      <c r="AA1601" s="116">
        <f>SUMIFS('FA Write off'!D:D,'FA Write off'!A:A,'FA Addition'!$A1601,'FA Write off'!C:C,"&lt;"&amp;'FA Addition'!$L$1+1,'FA Write off'!C:C,"&gt;"&amp;'FA Addition'!$L$1-365)</f>
        <v>0</v>
      </c>
      <c r="AC1601" s="118">
        <f>IFERROR(AA1601/'FA Addition'!$J1601*'FA Addition'!$L1601,0)</f>
        <v>0</v>
      </c>
      <c r="AE1601" s="117">
        <f>IF(AND('FA Addition'!$D1601&lt;$P$1+1,U1601=0),'FA Addition'!$L1601,0)-Y1601</f>
        <v>0</v>
      </c>
      <c r="AF1601" s="117">
        <f t="shared" si="120"/>
        <v>0</v>
      </c>
      <c r="AG1601" s="117">
        <f>MIN(MAX(+$P$1-'FA Addition'!$D1601,0),365*'FA Addition'!$O1601)</f>
        <v>0</v>
      </c>
      <c r="AH1601" s="117">
        <f>MIN(MAX($L$1-'FA Addition'!$D1601+1,0),365*'FA Addition'!$O1601)</f>
        <v>0</v>
      </c>
      <c r="AI1601" s="117" cm="1">
        <f t="array" ref="AI1601">_xlfn.XLOOKUP(1,('FA Write off'!A:A='FA Addition'!$A1601)*('FA Write off'!D:D=AA1601),'FA Write off'!H:H,0,0)</f>
        <v>0</v>
      </c>
      <c r="AJ1601" s="117">
        <f>IF(AC1601&gt;0,MAX(IF('FA Addition'!$N1601="SLM",($AC1601-'FA Addition'!$M1601)*'FA Addition'!$P1601*AI1601/365,(AC1601-'FA Addition'!$M1601)*(1-(1-'FA Addition'!$P1601)^(AI1601/365))),0),0)</f>
        <v>0</v>
      </c>
      <c r="AL1601" s="117">
        <f>MAX(IF(AG1601&gt;0,IF('FA Addition'!$N1601="SLM",($AE1601-'FA Addition'!$M1601)*'FA Addition'!$P1601*AG1601/365,IFERROR(VDB(AE1601,AE1601*0.05,'FA Addition'!$O1601,0,YEARFRAC('FA Addition'!$C1601,$P$1-1,3),'FA Addition'!$Q1601),FAAddition[[#This Row],[Original Cost (Rs)]]-FAAddition[[#This Row],[Salvage Value]])),0),0)</f>
        <v>0</v>
      </c>
      <c r="AM1601" s="119"/>
      <c r="AN1601" s="117">
        <f>MAX(IF(AH1601&gt;0,IF('FA Addition'!$N1601="SLM",($AF1601-'FA Addition'!$M1601)*'FA Addition'!$P1601*AH1601/365,IFERROR(VDB(AF1601,AF1601*0.05,'FA Addition'!$O1601,0,YEARFRAC('FA Addition'!$C1601,$L$1,3),'FA Addition'!$Q1601),FAAddition[[#This Row],[Original Cost (Rs)]]-FAAddition[[#This Row],[Salvage Value]])),0),0)</f>
        <v>0</v>
      </c>
      <c r="AO1601" s="117">
        <f t="shared" si="123"/>
        <v>0</v>
      </c>
      <c r="AQ1601" s="117">
        <f t="shared" si="121"/>
        <v>0</v>
      </c>
      <c r="AR1601" s="120">
        <f t="shared" si="122"/>
        <v>0</v>
      </c>
      <c r="AS1601" s="121"/>
    </row>
    <row r="1602" spans="1:45" ht="13.5" x14ac:dyDescent="0.4">
      <c r="A1602" s="12">
        <f t="shared" si="124"/>
        <v>1599</v>
      </c>
      <c r="B1602" s="64" t="s">
        <v>10</v>
      </c>
      <c r="C1602" s="54">
        <v>45944</v>
      </c>
      <c r="D1602" s="54">
        <v>45944</v>
      </c>
      <c r="E1602" s="46" t="s">
        <v>32</v>
      </c>
      <c r="F1602" s="51" t="s">
        <v>27</v>
      </c>
      <c r="G1602" s="51" t="s">
        <v>29</v>
      </c>
      <c r="H1602" s="51" t="s">
        <v>26</v>
      </c>
      <c r="I1602" s="55" t="s">
        <v>228</v>
      </c>
      <c r="J1602" s="56">
        <v>500</v>
      </c>
      <c r="K1602" s="51" t="s">
        <v>298</v>
      </c>
      <c r="L1602" s="58">
        <v>36000</v>
      </c>
      <c r="M1602" s="50">
        <f>ROUND('FA Addition'!$L1602*5%,0.1)</f>
        <v>1800</v>
      </c>
      <c r="N1602" s="113" t="str">
        <f>_xlfn.XLOOKUP(_xlfn.CONCAT(E1602,B1602),'Year Wise Master Dep Approach'!F:F,'Year Wise Master Dep Approach'!D:D)</f>
        <v>SLM</v>
      </c>
      <c r="O1602" s="113">
        <f>_xlfn.XLOOKUP(_xlfn.CONCAT(E1602,B1602),'Year Wise Master Dep Approach'!F:F,'Year Wise Master Dep Approach'!E:E)</f>
        <v>5</v>
      </c>
      <c r="P1602" s="114">
        <f>IFERROR(IF('FA Addition'!$N1602="WDV",1-('FA Addition'!$M1602/'FA Addition'!$L1602)^(1/'FA Addition'!$O1602),1/'FA Addition'!$O1602),0)</f>
        <v>0.2</v>
      </c>
      <c r="Q1602" s="122">
        <f>'FA Addition'!$P1602*'FA Addition'!$O1602</f>
        <v>1</v>
      </c>
      <c r="R1602" s="122"/>
      <c r="S1602" s="116">
        <f>IF(AND(DATE(20&amp;LEFT(FAAddition[[#This Row],[FY]],2),4,1)&lt;$L$1+1,DATE(20&amp;LEFT(FAAddition[[#This Row],[FY]],2),4,1)&gt;$P$1-1),'FA Addition'!$J1602,0)</f>
        <v>0</v>
      </c>
      <c r="U1602" s="117">
        <f>S1602*'FA Addition'!$L1602/'FA Addition'!$J1602</f>
        <v>0</v>
      </c>
      <c r="W1602" s="116">
        <f>SUMIFS('FA Write off'!D:D,'FA Write off'!A:A,'FA Addition'!$A1602,'FA Write off'!C:C,"&lt;"&amp;'FA Addition'!$P$1)</f>
        <v>0</v>
      </c>
      <c r="Y1602" s="191">
        <f>IFERROR(W1602/'FA Addition'!$J1602*'FA Addition'!$L1602,0)</f>
        <v>0</v>
      </c>
      <c r="AA1602" s="116">
        <f>SUMIFS('FA Write off'!D:D,'FA Write off'!A:A,'FA Addition'!$A1602,'FA Write off'!C:C,"&lt;"&amp;'FA Addition'!$L$1+1,'FA Write off'!C:C,"&gt;"&amp;'FA Addition'!$L$1-365)</f>
        <v>0</v>
      </c>
      <c r="AC1602" s="118">
        <f>IFERROR(AA1602/'FA Addition'!$J1602*'FA Addition'!$L1602,0)</f>
        <v>0</v>
      </c>
      <c r="AE1602" s="117">
        <f>IF(AND('FA Addition'!$D1602&lt;$P$1+1,U1602=0),'FA Addition'!$L1602,0)-Y1602</f>
        <v>0</v>
      </c>
      <c r="AF1602" s="117">
        <f t="shared" si="120"/>
        <v>0</v>
      </c>
      <c r="AG1602" s="117">
        <f>MIN(MAX(+$P$1-'FA Addition'!$D1602,0),365*'FA Addition'!$O1602)</f>
        <v>0</v>
      </c>
      <c r="AH1602" s="117">
        <f>MIN(MAX($L$1-'FA Addition'!$D1602+1,0),365*'FA Addition'!$O1602)</f>
        <v>0</v>
      </c>
      <c r="AI1602" s="117" cm="1">
        <f t="array" ref="AI1602">_xlfn.XLOOKUP(1,('FA Write off'!A:A='FA Addition'!$A1602)*('FA Write off'!D:D=AA1602),'FA Write off'!H:H,0,0)</f>
        <v>0</v>
      </c>
      <c r="AJ1602" s="117">
        <f>IF(AC1602&gt;0,MAX(IF('FA Addition'!$N1602="SLM",($AC1602-'FA Addition'!$M1602)*'FA Addition'!$P1602*AI1602/365,(AC1602-'FA Addition'!$M1602)*(1-(1-'FA Addition'!$P1602)^(AI1602/365))),0),0)</f>
        <v>0</v>
      </c>
      <c r="AL1602" s="117">
        <f>MAX(IF(AG1602&gt;0,IF('FA Addition'!$N1602="SLM",($AE1602-'FA Addition'!$M1602)*'FA Addition'!$P1602*AG1602/365,IFERROR(VDB(AE1602,AE1602*0.05,'FA Addition'!$O1602,0,YEARFRAC('FA Addition'!$C1602,$P$1-1,3),'FA Addition'!$Q1602),FAAddition[[#This Row],[Original Cost (Rs)]]-FAAddition[[#This Row],[Salvage Value]])),0),0)</f>
        <v>0</v>
      </c>
      <c r="AM1602" s="119"/>
      <c r="AN1602" s="117">
        <f>MAX(IF(AH1602&gt;0,IF('FA Addition'!$N1602="SLM",($AF1602-'FA Addition'!$M1602)*'FA Addition'!$P1602*AH1602/365,IFERROR(VDB(AF1602,AF1602*0.05,'FA Addition'!$O1602,0,YEARFRAC('FA Addition'!$C1602,$L$1,3),'FA Addition'!$Q1602),FAAddition[[#This Row],[Original Cost (Rs)]]-FAAddition[[#This Row],[Salvage Value]])),0),0)</f>
        <v>0</v>
      </c>
      <c r="AO1602" s="117">
        <f t="shared" si="123"/>
        <v>0</v>
      </c>
      <c r="AQ1602" s="117">
        <f t="shared" si="121"/>
        <v>0</v>
      </c>
      <c r="AR1602" s="120">
        <f t="shared" si="122"/>
        <v>0</v>
      </c>
      <c r="AS1602" s="121"/>
    </row>
    <row r="1603" spans="1:45" ht="13.5" x14ac:dyDescent="0.4">
      <c r="A1603" s="12">
        <f t="shared" si="124"/>
        <v>1600</v>
      </c>
      <c r="B1603" s="64" t="s">
        <v>10</v>
      </c>
      <c r="C1603" s="54">
        <v>45954</v>
      </c>
      <c r="D1603" s="54">
        <v>45954</v>
      </c>
      <c r="E1603" s="46" t="s">
        <v>32</v>
      </c>
      <c r="F1603" s="51" t="s">
        <v>131</v>
      </c>
      <c r="G1603" s="51" t="s">
        <v>29</v>
      </c>
      <c r="H1603" s="51" t="s">
        <v>26</v>
      </c>
      <c r="I1603" s="55" t="s">
        <v>229</v>
      </c>
      <c r="J1603" s="56">
        <v>800</v>
      </c>
      <c r="K1603" s="51" t="s">
        <v>298</v>
      </c>
      <c r="L1603" s="58">
        <v>57600</v>
      </c>
      <c r="M1603" s="50">
        <f>ROUND('FA Addition'!$L1603*5%,0.1)</f>
        <v>2880</v>
      </c>
      <c r="N1603" s="113" t="str">
        <f>_xlfn.XLOOKUP(_xlfn.CONCAT(E1603,B1603),'Year Wise Master Dep Approach'!F:F,'Year Wise Master Dep Approach'!D:D)</f>
        <v>SLM</v>
      </c>
      <c r="O1603" s="113">
        <f>_xlfn.XLOOKUP(_xlfn.CONCAT(E1603,B1603),'Year Wise Master Dep Approach'!F:F,'Year Wise Master Dep Approach'!E:E)</f>
        <v>5</v>
      </c>
      <c r="P1603" s="114">
        <f>IFERROR(IF('FA Addition'!$N1603="WDV",1-('FA Addition'!$M1603/'FA Addition'!$L1603)^(1/'FA Addition'!$O1603),1/'FA Addition'!$O1603),0)</f>
        <v>0.2</v>
      </c>
      <c r="Q1603" s="122">
        <f>'FA Addition'!$P1603*'FA Addition'!$O1603</f>
        <v>1</v>
      </c>
      <c r="R1603" s="122"/>
      <c r="S1603" s="116">
        <f>IF(AND(DATE(20&amp;LEFT(FAAddition[[#This Row],[FY]],2),4,1)&lt;$L$1+1,DATE(20&amp;LEFT(FAAddition[[#This Row],[FY]],2),4,1)&gt;$P$1-1),'FA Addition'!$J1603,0)</f>
        <v>0</v>
      </c>
      <c r="U1603" s="117">
        <f>S1603*'FA Addition'!$L1603/'FA Addition'!$J1603</f>
        <v>0</v>
      </c>
      <c r="W1603" s="116">
        <f>SUMIFS('FA Write off'!D:D,'FA Write off'!A:A,'FA Addition'!$A1603,'FA Write off'!C:C,"&lt;"&amp;'FA Addition'!$P$1)</f>
        <v>0</v>
      </c>
      <c r="Y1603" s="191">
        <f>IFERROR(W1603/'FA Addition'!$J1603*'FA Addition'!$L1603,0)</f>
        <v>0</v>
      </c>
      <c r="AA1603" s="116">
        <f>SUMIFS('FA Write off'!D:D,'FA Write off'!A:A,'FA Addition'!$A1603,'FA Write off'!C:C,"&lt;"&amp;'FA Addition'!$L$1+1,'FA Write off'!C:C,"&gt;"&amp;'FA Addition'!$L$1-365)</f>
        <v>0</v>
      </c>
      <c r="AC1603" s="118">
        <f>IFERROR(AA1603/'FA Addition'!$J1603*'FA Addition'!$L1603,0)</f>
        <v>0</v>
      </c>
      <c r="AE1603" s="117">
        <f>IF(AND('FA Addition'!$D1603&lt;$P$1+1,U1603=0),'FA Addition'!$L1603,0)-Y1603</f>
        <v>0</v>
      </c>
      <c r="AF1603" s="117">
        <f t="shared" si="120"/>
        <v>0</v>
      </c>
      <c r="AG1603" s="117">
        <f>MIN(MAX(+$P$1-'FA Addition'!$D1603,0),365*'FA Addition'!$O1603)</f>
        <v>0</v>
      </c>
      <c r="AH1603" s="117">
        <f>MIN(MAX($L$1-'FA Addition'!$D1603+1,0),365*'FA Addition'!$O1603)</f>
        <v>0</v>
      </c>
      <c r="AI1603" s="117" cm="1">
        <f t="array" ref="AI1603">_xlfn.XLOOKUP(1,('FA Write off'!A:A='FA Addition'!$A1603)*('FA Write off'!D:D=AA1603),'FA Write off'!H:H,0,0)</f>
        <v>0</v>
      </c>
      <c r="AJ1603" s="117">
        <f>IF(AC1603&gt;0,MAX(IF('FA Addition'!$N1603="SLM",($AC1603-'FA Addition'!$M1603)*'FA Addition'!$P1603*AI1603/365,(AC1603-'FA Addition'!$M1603)*(1-(1-'FA Addition'!$P1603)^(AI1603/365))),0),0)</f>
        <v>0</v>
      </c>
      <c r="AL1603" s="117">
        <f>MAX(IF(AG1603&gt;0,IF('FA Addition'!$N1603="SLM",($AE1603-'FA Addition'!$M1603)*'FA Addition'!$P1603*AG1603/365,IFERROR(VDB(AE1603,AE1603*0.05,'FA Addition'!$O1603,0,YEARFRAC('FA Addition'!$C1603,$P$1-1,3),'FA Addition'!$Q1603),FAAddition[[#This Row],[Original Cost (Rs)]]-FAAddition[[#This Row],[Salvage Value]])),0),0)</f>
        <v>0</v>
      </c>
      <c r="AM1603" s="119"/>
      <c r="AN1603" s="117">
        <f>MAX(IF(AH1603&gt;0,IF('FA Addition'!$N1603="SLM",($AF1603-'FA Addition'!$M1603)*'FA Addition'!$P1603*AH1603/365,IFERROR(VDB(AF1603,AF1603*0.05,'FA Addition'!$O1603,0,YEARFRAC('FA Addition'!$C1603,$L$1,3),'FA Addition'!$Q1603),FAAddition[[#This Row],[Original Cost (Rs)]]-FAAddition[[#This Row],[Salvage Value]])),0),0)</f>
        <v>0</v>
      </c>
      <c r="AO1603" s="117">
        <f t="shared" si="123"/>
        <v>0</v>
      </c>
      <c r="AQ1603" s="117">
        <f t="shared" si="121"/>
        <v>0</v>
      </c>
      <c r="AR1603" s="120">
        <f t="shared" si="122"/>
        <v>0</v>
      </c>
      <c r="AS1603" s="121"/>
    </row>
    <row r="1604" spans="1:45" ht="13.5" x14ac:dyDescent="0.4">
      <c r="A1604" s="12">
        <f t="shared" si="124"/>
        <v>1601</v>
      </c>
      <c r="B1604" s="64" t="s">
        <v>10</v>
      </c>
      <c r="C1604" s="54">
        <v>45961</v>
      </c>
      <c r="D1604" s="54">
        <v>45961</v>
      </c>
      <c r="E1604" s="46" t="s">
        <v>32</v>
      </c>
      <c r="F1604" s="51" t="s">
        <v>226</v>
      </c>
      <c r="G1604" s="51" t="s">
        <v>29</v>
      </c>
      <c r="H1604" s="51" t="s">
        <v>26</v>
      </c>
      <c r="I1604" s="55" t="s">
        <v>230</v>
      </c>
      <c r="J1604" s="56">
        <v>900</v>
      </c>
      <c r="K1604" s="51" t="s">
        <v>299</v>
      </c>
      <c r="L1604" s="58">
        <v>55800</v>
      </c>
      <c r="M1604" s="50">
        <f>ROUND('FA Addition'!$L1604*5%,0.1)</f>
        <v>2790</v>
      </c>
      <c r="N1604" s="113" t="str">
        <f>_xlfn.XLOOKUP(_xlfn.CONCAT(E1604,B1604),'Year Wise Master Dep Approach'!F:F,'Year Wise Master Dep Approach'!D:D)</f>
        <v>SLM</v>
      </c>
      <c r="O1604" s="113">
        <f>_xlfn.XLOOKUP(_xlfn.CONCAT(E1604,B1604),'Year Wise Master Dep Approach'!F:F,'Year Wise Master Dep Approach'!E:E)</f>
        <v>5</v>
      </c>
      <c r="P1604" s="114">
        <f>IFERROR(IF('FA Addition'!$N1604="WDV",1-('FA Addition'!$M1604/'FA Addition'!$L1604)^(1/'FA Addition'!$O1604),1/'FA Addition'!$O1604),0)</f>
        <v>0.2</v>
      </c>
      <c r="Q1604" s="122">
        <f>'FA Addition'!$P1604*'FA Addition'!$O1604</f>
        <v>1</v>
      </c>
      <c r="R1604" s="122"/>
      <c r="S1604" s="116">
        <f>IF(AND(DATE(20&amp;LEFT(FAAddition[[#This Row],[FY]],2),4,1)&lt;$L$1+1,DATE(20&amp;LEFT(FAAddition[[#This Row],[FY]],2),4,1)&gt;$P$1-1),'FA Addition'!$J1604,0)</f>
        <v>0</v>
      </c>
      <c r="U1604" s="117">
        <f>S1604*'FA Addition'!$L1604/'FA Addition'!$J1604</f>
        <v>0</v>
      </c>
      <c r="W1604" s="116">
        <f>SUMIFS('FA Write off'!D:D,'FA Write off'!A:A,'FA Addition'!$A1604,'FA Write off'!C:C,"&lt;"&amp;'FA Addition'!$P$1)</f>
        <v>0</v>
      </c>
      <c r="Y1604" s="191">
        <f>IFERROR(W1604/'FA Addition'!$J1604*'FA Addition'!$L1604,0)</f>
        <v>0</v>
      </c>
      <c r="AA1604" s="116">
        <f>SUMIFS('FA Write off'!D:D,'FA Write off'!A:A,'FA Addition'!$A1604,'FA Write off'!C:C,"&lt;"&amp;'FA Addition'!$L$1+1,'FA Write off'!C:C,"&gt;"&amp;'FA Addition'!$L$1-365)</f>
        <v>0</v>
      </c>
      <c r="AC1604" s="118">
        <f>IFERROR(AA1604/'FA Addition'!$J1604*'FA Addition'!$L1604,0)</f>
        <v>0</v>
      </c>
      <c r="AE1604" s="117">
        <f>IF(AND('FA Addition'!$D1604&lt;$P$1+1,U1604=0),'FA Addition'!$L1604,0)-Y1604</f>
        <v>0</v>
      </c>
      <c r="AF1604" s="117">
        <f t="shared" ref="AF1604:AF1667" si="125">AE1604+U1604-AC1604</f>
        <v>0</v>
      </c>
      <c r="AG1604" s="117">
        <f>MIN(MAX(+$P$1-'FA Addition'!$D1604,0),365*'FA Addition'!$O1604)</f>
        <v>0</v>
      </c>
      <c r="AH1604" s="117">
        <f>MIN(MAX($L$1-'FA Addition'!$D1604+1,0),365*'FA Addition'!$O1604)</f>
        <v>0</v>
      </c>
      <c r="AI1604" s="117" cm="1">
        <f t="array" ref="AI1604">_xlfn.XLOOKUP(1,('FA Write off'!A:A='FA Addition'!$A1604)*('FA Write off'!D:D=AA1604),'FA Write off'!H:H,0,0)</f>
        <v>0</v>
      </c>
      <c r="AJ1604" s="117">
        <f>IF(AC1604&gt;0,MAX(IF('FA Addition'!$N1604="SLM",($AC1604-'FA Addition'!$M1604)*'FA Addition'!$P1604*AI1604/365,(AC1604-'FA Addition'!$M1604)*(1-(1-'FA Addition'!$P1604)^(AI1604/365))),0),0)</f>
        <v>0</v>
      </c>
      <c r="AL1604" s="117">
        <f>MAX(IF(AG1604&gt;0,IF('FA Addition'!$N1604="SLM",($AE1604-'FA Addition'!$M1604)*'FA Addition'!$P1604*AG1604/365,IFERROR(VDB(AE1604,AE1604*0.05,'FA Addition'!$O1604,0,YEARFRAC('FA Addition'!$C1604,$P$1-1,3),'FA Addition'!$Q1604),FAAddition[[#This Row],[Original Cost (Rs)]]-FAAddition[[#This Row],[Salvage Value]])),0),0)</f>
        <v>0</v>
      </c>
      <c r="AM1604" s="119"/>
      <c r="AN1604" s="117">
        <f>MAX(IF(AH1604&gt;0,IF('FA Addition'!$N1604="SLM",($AF1604-'FA Addition'!$M1604)*'FA Addition'!$P1604*AH1604/365,IFERROR(VDB(AF1604,AF1604*0.05,'FA Addition'!$O1604,0,YEARFRAC('FA Addition'!$C1604,$L$1,3),'FA Addition'!$Q1604),FAAddition[[#This Row],[Original Cost (Rs)]]-FAAddition[[#This Row],[Salvage Value]])),0),0)</f>
        <v>0</v>
      </c>
      <c r="AO1604" s="117">
        <f t="shared" si="123"/>
        <v>0</v>
      </c>
      <c r="AQ1604" s="117">
        <f t="shared" ref="AQ1604:AQ1667" si="126">AE1604-AL1604</f>
        <v>0</v>
      </c>
      <c r="AR1604" s="120">
        <f t="shared" ref="AR1604:AR1667" si="127">AF1604-AN1604</f>
        <v>0</v>
      </c>
      <c r="AS1604" s="121"/>
    </row>
    <row r="1605" spans="1:45" ht="13.5" x14ac:dyDescent="0.4">
      <c r="A1605" s="12">
        <f t="shared" si="124"/>
        <v>1602</v>
      </c>
      <c r="B1605" s="64" t="s">
        <v>10</v>
      </c>
      <c r="C1605" s="54">
        <v>45961</v>
      </c>
      <c r="D1605" s="54">
        <v>45961</v>
      </c>
      <c r="E1605" s="46" t="s">
        <v>32</v>
      </c>
      <c r="F1605" s="51" t="s">
        <v>226</v>
      </c>
      <c r="G1605" s="51" t="s">
        <v>29</v>
      </c>
      <c r="H1605" s="51" t="s">
        <v>26</v>
      </c>
      <c r="I1605" s="55" t="s">
        <v>230</v>
      </c>
      <c r="J1605" s="56">
        <v>600</v>
      </c>
      <c r="K1605" s="51" t="s">
        <v>298</v>
      </c>
      <c r="L1605" s="58">
        <v>43200</v>
      </c>
      <c r="M1605" s="50">
        <f>ROUND('FA Addition'!$L1605*5%,0.1)</f>
        <v>2160</v>
      </c>
      <c r="N1605" s="113" t="str">
        <f>_xlfn.XLOOKUP(_xlfn.CONCAT(E1605,B1605),'Year Wise Master Dep Approach'!F:F,'Year Wise Master Dep Approach'!D:D)</f>
        <v>SLM</v>
      </c>
      <c r="O1605" s="113">
        <f>_xlfn.XLOOKUP(_xlfn.CONCAT(E1605,B1605),'Year Wise Master Dep Approach'!F:F,'Year Wise Master Dep Approach'!E:E)</f>
        <v>5</v>
      </c>
      <c r="P1605" s="114">
        <f>IFERROR(IF('FA Addition'!$N1605="WDV",1-('FA Addition'!$M1605/'FA Addition'!$L1605)^(1/'FA Addition'!$O1605),1/'FA Addition'!$O1605),0)</f>
        <v>0.2</v>
      </c>
      <c r="Q1605" s="122">
        <f>'FA Addition'!$P1605*'FA Addition'!$O1605</f>
        <v>1</v>
      </c>
      <c r="R1605" s="122"/>
      <c r="S1605" s="116">
        <f>IF(AND(DATE(20&amp;LEFT(FAAddition[[#This Row],[FY]],2),4,1)&lt;$L$1+1,DATE(20&amp;LEFT(FAAddition[[#This Row],[FY]],2),4,1)&gt;$P$1-1),'FA Addition'!$J1605,0)</f>
        <v>0</v>
      </c>
      <c r="U1605" s="117">
        <f>S1605*'FA Addition'!$L1605/'FA Addition'!$J1605</f>
        <v>0</v>
      </c>
      <c r="W1605" s="116">
        <f>SUMIFS('FA Write off'!D:D,'FA Write off'!A:A,'FA Addition'!$A1605,'FA Write off'!C:C,"&lt;"&amp;'FA Addition'!$P$1)</f>
        <v>0</v>
      </c>
      <c r="Y1605" s="191">
        <f>IFERROR(W1605/'FA Addition'!$J1605*'FA Addition'!$L1605,0)</f>
        <v>0</v>
      </c>
      <c r="AA1605" s="116">
        <f>SUMIFS('FA Write off'!D:D,'FA Write off'!A:A,'FA Addition'!$A1605,'FA Write off'!C:C,"&lt;"&amp;'FA Addition'!$L$1+1,'FA Write off'!C:C,"&gt;"&amp;'FA Addition'!$L$1-365)</f>
        <v>0</v>
      </c>
      <c r="AC1605" s="118">
        <f>IFERROR(AA1605/'FA Addition'!$J1605*'FA Addition'!$L1605,0)</f>
        <v>0</v>
      </c>
      <c r="AE1605" s="117">
        <f>IF(AND('FA Addition'!$D1605&lt;$P$1+1,U1605=0),'FA Addition'!$L1605,0)-Y1605</f>
        <v>0</v>
      </c>
      <c r="AF1605" s="117">
        <f t="shared" si="125"/>
        <v>0</v>
      </c>
      <c r="AG1605" s="117">
        <f>MIN(MAX(+$P$1-'FA Addition'!$D1605,0),365*'FA Addition'!$O1605)</f>
        <v>0</v>
      </c>
      <c r="AH1605" s="117">
        <f>MIN(MAX($L$1-'FA Addition'!$D1605+1,0),365*'FA Addition'!$O1605)</f>
        <v>0</v>
      </c>
      <c r="AI1605" s="117" cm="1">
        <f t="array" ref="AI1605">_xlfn.XLOOKUP(1,('FA Write off'!A:A='FA Addition'!$A1605)*('FA Write off'!D:D=AA1605),'FA Write off'!H:H,0,0)</f>
        <v>0</v>
      </c>
      <c r="AJ1605" s="117">
        <f>IF(AC1605&gt;0,MAX(IF('FA Addition'!$N1605="SLM",($AC1605-'FA Addition'!$M1605)*'FA Addition'!$P1605*AI1605/365,(AC1605-'FA Addition'!$M1605)*(1-(1-'FA Addition'!$P1605)^(AI1605/365))),0),0)</f>
        <v>0</v>
      </c>
      <c r="AL1605" s="117">
        <f>MAX(IF(AG1605&gt;0,IF('FA Addition'!$N1605="SLM",($AE1605-'FA Addition'!$M1605)*'FA Addition'!$P1605*AG1605/365,IFERROR(VDB(AE1605,AE1605*0.05,'FA Addition'!$O1605,0,YEARFRAC('FA Addition'!$C1605,$P$1-1,3),'FA Addition'!$Q1605),FAAddition[[#This Row],[Original Cost (Rs)]]-FAAddition[[#This Row],[Salvage Value]])),0),0)</f>
        <v>0</v>
      </c>
      <c r="AM1605" s="119"/>
      <c r="AN1605" s="117">
        <f>MAX(IF(AH1605&gt;0,IF('FA Addition'!$N1605="SLM",($AF1605-'FA Addition'!$M1605)*'FA Addition'!$P1605*AH1605/365,IFERROR(VDB(AF1605,AF1605*0.05,'FA Addition'!$O1605,0,YEARFRAC('FA Addition'!$C1605,$L$1,3),'FA Addition'!$Q1605),FAAddition[[#This Row],[Original Cost (Rs)]]-FAAddition[[#This Row],[Salvage Value]])),0),0)</f>
        <v>0</v>
      </c>
      <c r="AO1605" s="117">
        <f t="shared" ref="AO1605:AO1668" si="128">AN1605-AL1605+AJ1605</f>
        <v>0</v>
      </c>
      <c r="AQ1605" s="117">
        <f t="shared" si="126"/>
        <v>0</v>
      </c>
      <c r="AR1605" s="120">
        <f t="shared" si="127"/>
        <v>0</v>
      </c>
      <c r="AS1605" s="121"/>
    </row>
    <row r="1606" spans="1:45" ht="13.5" x14ac:dyDescent="0.4">
      <c r="A1606" s="12">
        <f t="shared" ref="A1606:A1669" si="129">A1605+1</f>
        <v>1603</v>
      </c>
      <c r="B1606" s="64" t="s">
        <v>10</v>
      </c>
      <c r="C1606" s="54">
        <v>45959</v>
      </c>
      <c r="D1606" s="54">
        <v>45962</v>
      </c>
      <c r="E1606" s="46" t="s">
        <v>1320</v>
      </c>
      <c r="F1606" s="51" t="s">
        <v>33</v>
      </c>
      <c r="G1606" s="51" t="s">
        <v>34</v>
      </c>
      <c r="H1606" s="51" t="s">
        <v>32</v>
      </c>
      <c r="I1606" s="55" t="s">
        <v>231</v>
      </c>
      <c r="J1606" s="56">
        <v>1500</v>
      </c>
      <c r="K1606" s="51" t="s">
        <v>295</v>
      </c>
      <c r="L1606" s="58">
        <v>2248500</v>
      </c>
      <c r="M1606" s="50">
        <f>ROUND('FA Addition'!$L1606*5%,0.1)</f>
        <v>112425</v>
      </c>
      <c r="N1606" s="113" t="str">
        <f>_xlfn.XLOOKUP(_xlfn.CONCAT(E1606,B1606),'Year Wise Master Dep Approach'!F:F,'Year Wise Master Dep Approach'!D:D)</f>
        <v>SLM</v>
      </c>
      <c r="O1606" s="113">
        <f>_xlfn.XLOOKUP(_xlfn.CONCAT(E1606,B1606),'Year Wise Master Dep Approach'!F:F,'Year Wise Master Dep Approach'!E:E)</f>
        <v>5</v>
      </c>
      <c r="P1606" s="114">
        <f>IFERROR(IF('FA Addition'!$N1606="WDV",1-('FA Addition'!$M1606/'FA Addition'!$L1606)^(1/'FA Addition'!$O1606),1/'FA Addition'!$O1606),0)</f>
        <v>0.2</v>
      </c>
      <c r="Q1606" s="122">
        <f>'FA Addition'!$P1606*'FA Addition'!$O1606</f>
        <v>1</v>
      </c>
      <c r="R1606" s="122"/>
      <c r="S1606" s="116">
        <f>IF(AND(DATE(20&amp;LEFT(FAAddition[[#This Row],[FY]],2),4,1)&lt;$L$1+1,DATE(20&amp;LEFT(FAAddition[[#This Row],[FY]],2),4,1)&gt;$P$1-1),'FA Addition'!$J1606,0)</f>
        <v>0</v>
      </c>
      <c r="U1606" s="117">
        <f>S1606*'FA Addition'!$L1606/'FA Addition'!$J1606</f>
        <v>0</v>
      </c>
      <c r="W1606" s="116">
        <f>SUMIFS('FA Write off'!D:D,'FA Write off'!A:A,'FA Addition'!$A1606,'FA Write off'!C:C,"&lt;"&amp;'FA Addition'!$P$1)</f>
        <v>0</v>
      </c>
      <c r="Y1606" s="191">
        <f>IFERROR(W1606/'FA Addition'!$J1606*'FA Addition'!$L1606,0)</f>
        <v>0</v>
      </c>
      <c r="AA1606" s="116">
        <f>SUMIFS('FA Write off'!D:D,'FA Write off'!A:A,'FA Addition'!$A1606,'FA Write off'!C:C,"&lt;"&amp;'FA Addition'!$L$1+1,'FA Write off'!C:C,"&gt;"&amp;'FA Addition'!$L$1-365)</f>
        <v>0</v>
      </c>
      <c r="AC1606" s="118">
        <f>IFERROR(AA1606/'FA Addition'!$J1606*'FA Addition'!$L1606,0)</f>
        <v>0</v>
      </c>
      <c r="AE1606" s="117">
        <f>IF(AND('FA Addition'!$D1606&lt;$P$1+1,U1606=0),'FA Addition'!$L1606,0)-Y1606</f>
        <v>0</v>
      </c>
      <c r="AF1606" s="117">
        <f t="shared" si="125"/>
        <v>0</v>
      </c>
      <c r="AG1606" s="117">
        <f>MIN(MAX(+$P$1-'FA Addition'!$D1606,0),365*'FA Addition'!$O1606)</f>
        <v>0</v>
      </c>
      <c r="AH1606" s="117">
        <f>MIN(MAX($L$1-'FA Addition'!$D1606+1,0),365*'FA Addition'!$O1606)</f>
        <v>0</v>
      </c>
      <c r="AI1606" s="117" cm="1">
        <f t="array" ref="AI1606">_xlfn.XLOOKUP(1,('FA Write off'!A:A='FA Addition'!$A1606)*('FA Write off'!D:D=AA1606),'FA Write off'!H:H,0,0)</f>
        <v>0</v>
      </c>
      <c r="AJ1606" s="117">
        <f>IF(AC1606&gt;0,MAX(IF('FA Addition'!$N1606="SLM",($AC1606-'FA Addition'!$M1606)*'FA Addition'!$P1606*AI1606/365,(AC1606-'FA Addition'!$M1606)*(1-(1-'FA Addition'!$P1606)^(AI1606/365))),0),0)</f>
        <v>0</v>
      </c>
      <c r="AL1606" s="117">
        <f>MAX(IF(AG1606&gt;0,IF('FA Addition'!$N1606="SLM",($AE1606-'FA Addition'!$M1606)*'FA Addition'!$P1606*AG1606/365,IFERROR(VDB(AE1606,AE1606*0.05,'FA Addition'!$O1606,0,YEARFRAC('FA Addition'!$C1606,$P$1-1,3),'FA Addition'!$Q1606),FAAddition[[#This Row],[Original Cost (Rs)]]-FAAddition[[#This Row],[Salvage Value]])),0),0)</f>
        <v>0</v>
      </c>
      <c r="AM1606" s="119"/>
      <c r="AN1606" s="117">
        <f>MAX(IF(AH1606&gt;0,IF('FA Addition'!$N1606="SLM",($AF1606-'FA Addition'!$M1606)*'FA Addition'!$P1606*AH1606/365,IFERROR(VDB(AF1606,AF1606*0.05,'FA Addition'!$O1606,0,YEARFRAC('FA Addition'!$C1606,$L$1,3),'FA Addition'!$Q1606),FAAddition[[#This Row],[Original Cost (Rs)]]-FAAddition[[#This Row],[Salvage Value]])),0),0)</f>
        <v>0</v>
      </c>
      <c r="AO1606" s="117">
        <f t="shared" si="128"/>
        <v>0</v>
      </c>
      <c r="AQ1606" s="117">
        <f t="shared" si="126"/>
        <v>0</v>
      </c>
      <c r="AR1606" s="120">
        <f t="shared" si="127"/>
        <v>0</v>
      </c>
      <c r="AS1606" s="121"/>
    </row>
    <row r="1607" spans="1:45" ht="13.5" x14ac:dyDescent="0.4">
      <c r="A1607" s="12">
        <f t="shared" si="129"/>
        <v>1604</v>
      </c>
      <c r="B1607" s="64" t="s">
        <v>10</v>
      </c>
      <c r="C1607" s="54">
        <v>45947</v>
      </c>
      <c r="D1607" s="54">
        <v>45962</v>
      </c>
      <c r="E1607" s="46" t="s">
        <v>1320</v>
      </c>
      <c r="F1607" s="51" t="s">
        <v>33</v>
      </c>
      <c r="G1607" s="51" t="s">
        <v>34</v>
      </c>
      <c r="H1607" s="51" t="s">
        <v>32</v>
      </c>
      <c r="I1607" s="55" t="s">
        <v>232</v>
      </c>
      <c r="J1607" s="56">
        <v>500</v>
      </c>
      <c r="K1607" s="51" t="s">
        <v>295</v>
      </c>
      <c r="L1607" s="58">
        <v>749500</v>
      </c>
      <c r="M1607" s="50">
        <f>ROUND('FA Addition'!$L1607*5%,0.1)</f>
        <v>37475</v>
      </c>
      <c r="N1607" s="113" t="str">
        <f>_xlfn.XLOOKUP(_xlfn.CONCAT(E1607,B1607),'Year Wise Master Dep Approach'!F:F,'Year Wise Master Dep Approach'!D:D)</f>
        <v>SLM</v>
      </c>
      <c r="O1607" s="113">
        <f>_xlfn.XLOOKUP(_xlfn.CONCAT(E1607,B1607),'Year Wise Master Dep Approach'!F:F,'Year Wise Master Dep Approach'!E:E)</f>
        <v>5</v>
      </c>
      <c r="P1607" s="114">
        <f>IFERROR(IF('FA Addition'!$N1607="WDV",1-('FA Addition'!$M1607/'FA Addition'!$L1607)^(1/'FA Addition'!$O1607),1/'FA Addition'!$O1607),0)</f>
        <v>0.2</v>
      </c>
      <c r="Q1607" s="122">
        <f>'FA Addition'!$P1607*'FA Addition'!$O1607</f>
        <v>1</v>
      </c>
      <c r="R1607" s="122"/>
      <c r="S1607" s="116">
        <f>IF(AND(DATE(20&amp;LEFT(FAAddition[[#This Row],[FY]],2),4,1)&lt;$L$1+1,DATE(20&amp;LEFT(FAAddition[[#This Row],[FY]],2),4,1)&gt;$P$1-1),'FA Addition'!$J1607,0)</f>
        <v>0</v>
      </c>
      <c r="U1607" s="117">
        <f>S1607*'FA Addition'!$L1607/'FA Addition'!$J1607</f>
        <v>0</v>
      </c>
      <c r="W1607" s="116">
        <f>SUMIFS('FA Write off'!D:D,'FA Write off'!A:A,'FA Addition'!$A1607,'FA Write off'!C:C,"&lt;"&amp;'FA Addition'!$P$1)</f>
        <v>0</v>
      </c>
      <c r="Y1607" s="191">
        <f>IFERROR(W1607/'FA Addition'!$J1607*'FA Addition'!$L1607,0)</f>
        <v>0</v>
      </c>
      <c r="AA1607" s="116">
        <f>SUMIFS('FA Write off'!D:D,'FA Write off'!A:A,'FA Addition'!$A1607,'FA Write off'!C:C,"&lt;"&amp;'FA Addition'!$L$1+1,'FA Write off'!C:C,"&gt;"&amp;'FA Addition'!$L$1-365)</f>
        <v>0</v>
      </c>
      <c r="AC1607" s="118">
        <f>IFERROR(AA1607/'FA Addition'!$J1607*'FA Addition'!$L1607,0)</f>
        <v>0</v>
      </c>
      <c r="AE1607" s="117">
        <f>IF(AND('FA Addition'!$D1607&lt;$P$1+1,U1607=0),'FA Addition'!$L1607,0)-Y1607</f>
        <v>0</v>
      </c>
      <c r="AF1607" s="117">
        <f t="shared" si="125"/>
        <v>0</v>
      </c>
      <c r="AG1607" s="117">
        <f>MIN(MAX(+$P$1-'FA Addition'!$D1607,0),365*'FA Addition'!$O1607)</f>
        <v>0</v>
      </c>
      <c r="AH1607" s="117">
        <f>MIN(MAX($L$1-'FA Addition'!$D1607+1,0),365*'FA Addition'!$O1607)</f>
        <v>0</v>
      </c>
      <c r="AI1607" s="117" cm="1">
        <f t="array" ref="AI1607">_xlfn.XLOOKUP(1,('FA Write off'!A:A='FA Addition'!$A1607)*('FA Write off'!D:D=AA1607),'FA Write off'!H:H,0,0)</f>
        <v>0</v>
      </c>
      <c r="AJ1607" s="117">
        <f>IF(AC1607&gt;0,MAX(IF('FA Addition'!$N1607="SLM",($AC1607-'FA Addition'!$M1607)*'FA Addition'!$P1607*AI1607/365,(AC1607-'FA Addition'!$M1607)*(1-(1-'FA Addition'!$P1607)^(AI1607/365))),0),0)</f>
        <v>0</v>
      </c>
      <c r="AL1607" s="117">
        <f>MAX(IF(AG1607&gt;0,IF('FA Addition'!$N1607="SLM",($AE1607-'FA Addition'!$M1607)*'FA Addition'!$P1607*AG1607/365,IFERROR(VDB(AE1607,AE1607*0.05,'FA Addition'!$O1607,0,YEARFRAC('FA Addition'!$C1607,$P$1-1,3),'FA Addition'!$Q1607),FAAddition[[#This Row],[Original Cost (Rs)]]-FAAddition[[#This Row],[Salvage Value]])),0),0)</f>
        <v>0</v>
      </c>
      <c r="AM1607" s="119"/>
      <c r="AN1607" s="117">
        <f>MAX(IF(AH1607&gt;0,IF('FA Addition'!$N1607="SLM",($AF1607-'FA Addition'!$M1607)*'FA Addition'!$P1607*AH1607/365,IFERROR(VDB(AF1607,AF1607*0.05,'FA Addition'!$O1607,0,YEARFRAC('FA Addition'!$C1607,$L$1,3),'FA Addition'!$Q1607),FAAddition[[#This Row],[Original Cost (Rs)]]-FAAddition[[#This Row],[Salvage Value]])),0),0)</f>
        <v>0</v>
      </c>
      <c r="AO1607" s="117">
        <f t="shared" si="128"/>
        <v>0</v>
      </c>
      <c r="AQ1607" s="117">
        <f t="shared" si="126"/>
        <v>0</v>
      </c>
      <c r="AR1607" s="120">
        <f t="shared" si="127"/>
        <v>0</v>
      </c>
      <c r="AS1607" s="121"/>
    </row>
    <row r="1608" spans="1:45" ht="13.5" x14ac:dyDescent="0.4">
      <c r="A1608" s="12">
        <f t="shared" si="129"/>
        <v>1605</v>
      </c>
      <c r="B1608" s="64" t="s">
        <v>10</v>
      </c>
      <c r="C1608" s="54">
        <v>45972</v>
      </c>
      <c r="D1608" s="54">
        <v>45973</v>
      </c>
      <c r="E1608" s="46" t="s">
        <v>451</v>
      </c>
      <c r="F1608" s="51" t="s">
        <v>33</v>
      </c>
      <c r="G1608" s="51" t="s">
        <v>29</v>
      </c>
      <c r="H1608" s="51" t="s">
        <v>26</v>
      </c>
      <c r="I1608" s="55" t="s">
        <v>233</v>
      </c>
      <c r="J1608" s="56">
        <v>700</v>
      </c>
      <c r="K1608" s="51" t="s">
        <v>298</v>
      </c>
      <c r="L1608" s="58">
        <v>50400</v>
      </c>
      <c r="M1608" s="50">
        <f>ROUND('FA Addition'!$L1608*5%,0.1)</f>
        <v>2520</v>
      </c>
      <c r="N1608" s="113" t="str">
        <f>_xlfn.XLOOKUP(_xlfn.CONCAT(E1608,B1608),'Year Wise Master Dep Approach'!F:F,'Year Wise Master Dep Approach'!D:D)</f>
        <v>WDV</v>
      </c>
      <c r="O1608" s="113">
        <f>_xlfn.XLOOKUP(_xlfn.CONCAT(E1608,B1608),'Year Wise Master Dep Approach'!F:F,'Year Wise Master Dep Approach'!E:E)</f>
        <v>3</v>
      </c>
      <c r="P1608" s="114">
        <f>IFERROR(IF('FA Addition'!$N1608="WDV",1-('FA Addition'!$M1608/'FA Addition'!$L1608)^(1/'FA Addition'!$O1608),1/'FA Addition'!$O1608),0)</f>
        <v>0.63159685013596123</v>
      </c>
      <c r="Q1608" s="122">
        <f>'FA Addition'!$P1608*'FA Addition'!$O1608</f>
        <v>1.8947905504078837</v>
      </c>
      <c r="R1608" s="122"/>
      <c r="S1608" s="116">
        <f>IF(AND(DATE(20&amp;LEFT(FAAddition[[#This Row],[FY]],2),4,1)&lt;$L$1+1,DATE(20&amp;LEFT(FAAddition[[#This Row],[FY]],2),4,1)&gt;$P$1-1),'FA Addition'!$J1608,0)</f>
        <v>0</v>
      </c>
      <c r="U1608" s="117">
        <f>S1608*'FA Addition'!$L1608/'FA Addition'!$J1608</f>
        <v>0</v>
      </c>
      <c r="W1608" s="116">
        <f>SUMIFS('FA Write off'!D:D,'FA Write off'!A:A,'FA Addition'!$A1608,'FA Write off'!C:C,"&lt;"&amp;'FA Addition'!$P$1)</f>
        <v>0</v>
      </c>
      <c r="Y1608" s="191">
        <f>IFERROR(W1608/'FA Addition'!$J1608*'FA Addition'!$L1608,0)</f>
        <v>0</v>
      </c>
      <c r="AA1608" s="116">
        <f>SUMIFS('FA Write off'!D:D,'FA Write off'!A:A,'FA Addition'!$A1608,'FA Write off'!C:C,"&lt;"&amp;'FA Addition'!$L$1+1,'FA Write off'!C:C,"&gt;"&amp;'FA Addition'!$L$1-365)</f>
        <v>0</v>
      </c>
      <c r="AC1608" s="118">
        <f>IFERROR(AA1608/'FA Addition'!$J1608*'FA Addition'!$L1608,0)</f>
        <v>0</v>
      </c>
      <c r="AE1608" s="117">
        <f>IF(AND('FA Addition'!$D1608&lt;$P$1+1,U1608=0),'FA Addition'!$L1608,0)-Y1608</f>
        <v>0</v>
      </c>
      <c r="AF1608" s="117">
        <f t="shared" si="125"/>
        <v>0</v>
      </c>
      <c r="AG1608" s="117">
        <f>MIN(MAX(+$P$1-'FA Addition'!$D1608,0),365*'FA Addition'!$O1608)</f>
        <v>0</v>
      </c>
      <c r="AH1608" s="117">
        <f>MIN(MAX($L$1-'FA Addition'!$D1608+1,0),365*'FA Addition'!$O1608)</f>
        <v>0</v>
      </c>
      <c r="AI1608" s="117" cm="1">
        <f t="array" ref="AI1608">_xlfn.XLOOKUP(1,('FA Write off'!A:A='FA Addition'!$A1608)*('FA Write off'!D:D=AA1608),'FA Write off'!H:H,0,0)</f>
        <v>0</v>
      </c>
      <c r="AJ1608" s="117">
        <f>IF(AC1608&gt;0,MAX(IF('FA Addition'!$N1608="SLM",($AC1608-'FA Addition'!$M1608)*'FA Addition'!$P1608*AI1608/365,(AC1608-'FA Addition'!$M1608)*(1-(1-'FA Addition'!$P1608)^(AI1608/365))),0),0)</f>
        <v>0</v>
      </c>
      <c r="AL1608" s="117">
        <f>MAX(IF(AG1608&gt;0,IF('FA Addition'!$N1608="SLM",($AE1608-'FA Addition'!$M1608)*'FA Addition'!$P1608*AG1608/365,IFERROR(VDB(AE1608,AE1608*0.05,'FA Addition'!$O1608,0,YEARFRAC('FA Addition'!$C1608,$P$1-1,3),'FA Addition'!$Q1608),FAAddition[[#This Row],[Original Cost (Rs)]]-FAAddition[[#This Row],[Salvage Value]])),0),0)</f>
        <v>0</v>
      </c>
      <c r="AM1608" s="119"/>
      <c r="AN1608" s="117">
        <f>MAX(IF(AH1608&gt;0,IF('FA Addition'!$N1608="SLM",($AF1608-'FA Addition'!$M1608)*'FA Addition'!$P1608*AH1608/365,IFERROR(VDB(AF1608,AF1608*0.05,'FA Addition'!$O1608,0,YEARFRAC('FA Addition'!$C1608,$L$1,3),'FA Addition'!$Q1608),FAAddition[[#This Row],[Original Cost (Rs)]]-FAAddition[[#This Row],[Salvage Value]])),0),0)</f>
        <v>0</v>
      </c>
      <c r="AO1608" s="117">
        <f t="shared" si="128"/>
        <v>0</v>
      </c>
      <c r="AQ1608" s="117">
        <f t="shared" si="126"/>
        <v>0</v>
      </c>
      <c r="AR1608" s="120">
        <f t="shared" si="127"/>
        <v>0</v>
      </c>
      <c r="AS1608" s="121"/>
    </row>
    <row r="1609" spans="1:45" ht="13.5" x14ac:dyDescent="0.4">
      <c r="A1609" s="12">
        <f t="shared" si="129"/>
        <v>1606</v>
      </c>
      <c r="B1609" s="64" t="s">
        <v>10</v>
      </c>
      <c r="C1609" s="54">
        <v>45974</v>
      </c>
      <c r="D1609" s="54">
        <v>45979</v>
      </c>
      <c r="E1609" s="46" t="s">
        <v>451</v>
      </c>
      <c r="F1609" s="51" t="s">
        <v>33</v>
      </c>
      <c r="G1609" s="51" t="s">
        <v>29</v>
      </c>
      <c r="H1609" s="51" t="s">
        <v>26</v>
      </c>
      <c r="I1609" s="55" t="s">
        <v>234</v>
      </c>
      <c r="J1609" s="56">
        <v>400</v>
      </c>
      <c r="K1609" s="51" t="s">
        <v>298</v>
      </c>
      <c r="L1609" s="58">
        <v>28800</v>
      </c>
      <c r="M1609" s="50">
        <f>ROUND('FA Addition'!$L1609*5%,0.1)</f>
        <v>1440</v>
      </c>
      <c r="N1609" s="113" t="str">
        <f>_xlfn.XLOOKUP(_xlfn.CONCAT(E1609,B1609),'Year Wise Master Dep Approach'!F:F,'Year Wise Master Dep Approach'!D:D)</f>
        <v>WDV</v>
      </c>
      <c r="O1609" s="113">
        <f>_xlfn.XLOOKUP(_xlfn.CONCAT(E1609,B1609),'Year Wise Master Dep Approach'!F:F,'Year Wise Master Dep Approach'!E:E)</f>
        <v>3</v>
      </c>
      <c r="P1609" s="114">
        <f>IFERROR(IF('FA Addition'!$N1609="WDV",1-('FA Addition'!$M1609/'FA Addition'!$L1609)^(1/'FA Addition'!$O1609),1/'FA Addition'!$O1609),0)</f>
        <v>0.63159685013596123</v>
      </c>
      <c r="Q1609" s="122">
        <f>'FA Addition'!$P1609*'FA Addition'!$O1609</f>
        <v>1.8947905504078837</v>
      </c>
      <c r="R1609" s="122"/>
      <c r="S1609" s="116">
        <f>IF(AND(DATE(20&amp;LEFT(FAAddition[[#This Row],[FY]],2),4,1)&lt;$L$1+1,DATE(20&amp;LEFT(FAAddition[[#This Row],[FY]],2),4,1)&gt;$P$1-1),'FA Addition'!$J1609,0)</f>
        <v>0</v>
      </c>
      <c r="U1609" s="117">
        <f>S1609*'FA Addition'!$L1609/'FA Addition'!$J1609</f>
        <v>0</v>
      </c>
      <c r="W1609" s="116">
        <f>SUMIFS('FA Write off'!D:D,'FA Write off'!A:A,'FA Addition'!$A1609,'FA Write off'!C:C,"&lt;"&amp;'FA Addition'!$P$1)</f>
        <v>0</v>
      </c>
      <c r="Y1609" s="191">
        <f>IFERROR(W1609/'FA Addition'!$J1609*'FA Addition'!$L1609,0)</f>
        <v>0</v>
      </c>
      <c r="AA1609" s="116">
        <f>SUMIFS('FA Write off'!D:D,'FA Write off'!A:A,'FA Addition'!$A1609,'FA Write off'!C:C,"&lt;"&amp;'FA Addition'!$L$1+1,'FA Write off'!C:C,"&gt;"&amp;'FA Addition'!$L$1-365)</f>
        <v>0</v>
      </c>
      <c r="AC1609" s="118">
        <f>IFERROR(AA1609/'FA Addition'!$J1609*'FA Addition'!$L1609,0)</f>
        <v>0</v>
      </c>
      <c r="AE1609" s="117">
        <f>IF(AND('FA Addition'!$D1609&lt;$P$1+1,U1609=0),'FA Addition'!$L1609,0)-Y1609</f>
        <v>0</v>
      </c>
      <c r="AF1609" s="117">
        <f t="shared" si="125"/>
        <v>0</v>
      </c>
      <c r="AG1609" s="117">
        <f>MIN(MAX(+$P$1-'FA Addition'!$D1609,0),365*'FA Addition'!$O1609)</f>
        <v>0</v>
      </c>
      <c r="AH1609" s="117">
        <f>MIN(MAX($L$1-'FA Addition'!$D1609+1,0),365*'FA Addition'!$O1609)</f>
        <v>0</v>
      </c>
      <c r="AI1609" s="117" cm="1">
        <f t="array" ref="AI1609">_xlfn.XLOOKUP(1,('FA Write off'!A:A='FA Addition'!$A1609)*('FA Write off'!D:D=AA1609),'FA Write off'!H:H,0,0)</f>
        <v>0</v>
      </c>
      <c r="AJ1609" s="117">
        <f>IF(AC1609&gt;0,MAX(IF('FA Addition'!$N1609="SLM",($AC1609-'FA Addition'!$M1609)*'FA Addition'!$P1609*AI1609/365,(AC1609-'FA Addition'!$M1609)*(1-(1-'FA Addition'!$P1609)^(AI1609/365))),0),0)</f>
        <v>0</v>
      </c>
      <c r="AL1609" s="117">
        <f>MAX(IF(AG1609&gt;0,IF('FA Addition'!$N1609="SLM",($AE1609-'FA Addition'!$M1609)*'FA Addition'!$P1609*AG1609/365,IFERROR(VDB(AE1609,AE1609*0.05,'FA Addition'!$O1609,0,YEARFRAC('FA Addition'!$C1609,$P$1-1,3),'FA Addition'!$Q1609),FAAddition[[#This Row],[Original Cost (Rs)]]-FAAddition[[#This Row],[Salvage Value]])),0),0)</f>
        <v>0</v>
      </c>
      <c r="AM1609" s="119"/>
      <c r="AN1609" s="117">
        <f>MAX(IF(AH1609&gt;0,IF('FA Addition'!$N1609="SLM",($AF1609-'FA Addition'!$M1609)*'FA Addition'!$P1609*AH1609/365,IFERROR(VDB(AF1609,AF1609*0.05,'FA Addition'!$O1609,0,YEARFRAC('FA Addition'!$C1609,$L$1,3),'FA Addition'!$Q1609),FAAddition[[#This Row],[Original Cost (Rs)]]-FAAddition[[#This Row],[Salvage Value]])),0),0)</f>
        <v>0</v>
      </c>
      <c r="AO1609" s="117">
        <f t="shared" si="128"/>
        <v>0</v>
      </c>
      <c r="AQ1609" s="117">
        <f t="shared" si="126"/>
        <v>0</v>
      </c>
      <c r="AR1609" s="120">
        <f t="shared" si="127"/>
        <v>0</v>
      </c>
      <c r="AS1609" s="121"/>
    </row>
    <row r="1610" spans="1:45" ht="13.5" x14ac:dyDescent="0.4">
      <c r="A1610" s="12">
        <f t="shared" si="129"/>
        <v>1607</v>
      </c>
      <c r="B1610" s="64" t="s">
        <v>10</v>
      </c>
      <c r="C1610" s="54">
        <v>45961</v>
      </c>
      <c r="D1610" s="54">
        <v>45979</v>
      </c>
      <c r="E1610" s="46" t="s">
        <v>1320</v>
      </c>
      <c r="F1610" s="51" t="s">
        <v>33</v>
      </c>
      <c r="G1610" s="51" t="s">
        <v>34</v>
      </c>
      <c r="H1610" s="51" t="s">
        <v>32</v>
      </c>
      <c r="I1610" s="55" t="s">
        <v>235</v>
      </c>
      <c r="J1610" s="56">
        <v>1000</v>
      </c>
      <c r="K1610" s="51" t="s">
        <v>295</v>
      </c>
      <c r="L1610" s="58">
        <v>1499000</v>
      </c>
      <c r="M1610" s="50">
        <f>ROUND('FA Addition'!$L1610*5%,0.1)</f>
        <v>74950</v>
      </c>
      <c r="N1610" s="113" t="str">
        <f>_xlfn.XLOOKUP(_xlfn.CONCAT(E1610,B1610),'Year Wise Master Dep Approach'!F:F,'Year Wise Master Dep Approach'!D:D)</f>
        <v>SLM</v>
      </c>
      <c r="O1610" s="113">
        <f>_xlfn.XLOOKUP(_xlfn.CONCAT(E1610,B1610),'Year Wise Master Dep Approach'!F:F,'Year Wise Master Dep Approach'!E:E)</f>
        <v>5</v>
      </c>
      <c r="P1610" s="114">
        <f>IFERROR(IF('FA Addition'!$N1610="WDV",1-('FA Addition'!$M1610/'FA Addition'!$L1610)^(1/'FA Addition'!$O1610),1/'FA Addition'!$O1610),0)</f>
        <v>0.2</v>
      </c>
      <c r="Q1610" s="122">
        <f>'FA Addition'!$P1610*'FA Addition'!$O1610</f>
        <v>1</v>
      </c>
      <c r="R1610" s="122"/>
      <c r="S1610" s="116">
        <f>IF(AND(DATE(20&amp;LEFT(FAAddition[[#This Row],[FY]],2),4,1)&lt;$L$1+1,DATE(20&amp;LEFT(FAAddition[[#This Row],[FY]],2),4,1)&gt;$P$1-1),'FA Addition'!$J1610,0)</f>
        <v>0</v>
      </c>
      <c r="U1610" s="117">
        <f>S1610*'FA Addition'!$L1610/'FA Addition'!$J1610</f>
        <v>0</v>
      </c>
      <c r="W1610" s="116">
        <f>SUMIFS('FA Write off'!D:D,'FA Write off'!A:A,'FA Addition'!$A1610,'FA Write off'!C:C,"&lt;"&amp;'FA Addition'!$P$1)</f>
        <v>0</v>
      </c>
      <c r="Y1610" s="191">
        <f>IFERROR(W1610/'FA Addition'!$J1610*'FA Addition'!$L1610,0)</f>
        <v>0</v>
      </c>
      <c r="AA1610" s="116">
        <f>SUMIFS('FA Write off'!D:D,'FA Write off'!A:A,'FA Addition'!$A1610,'FA Write off'!C:C,"&lt;"&amp;'FA Addition'!$L$1+1,'FA Write off'!C:C,"&gt;"&amp;'FA Addition'!$L$1-365)</f>
        <v>0</v>
      </c>
      <c r="AC1610" s="118">
        <f>IFERROR(AA1610/'FA Addition'!$J1610*'FA Addition'!$L1610,0)</f>
        <v>0</v>
      </c>
      <c r="AE1610" s="117">
        <f>IF(AND('FA Addition'!$D1610&lt;$P$1+1,U1610=0),'FA Addition'!$L1610,0)-Y1610</f>
        <v>0</v>
      </c>
      <c r="AF1610" s="117">
        <f t="shared" si="125"/>
        <v>0</v>
      </c>
      <c r="AG1610" s="117">
        <f>MIN(MAX(+$P$1-'FA Addition'!$D1610,0),365*'FA Addition'!$O1610)</f>
        <v>0</v>
      </c>
      <c r="AH1610" s="117">
        <f>MIN(MAX($L$1-'FA Addition'!$D1610+1,0),365*'FA Addition'!$O1610)</f>
        <v>0</v>
      </c>
      <c r="AI1610" s="117" cm="1">
        <f t="array" ref="AI1610">_xlfn.XLOOKUP(1,('FA Write off'!A:A='FA Addition'!$A1610)*('FA Write off'!D:D=AA1610),'FA Write off'!H:H,0,0)</f>
        <v>0</v>
      </c>
      <c r="AJ1610" s="117">
        <f>IF(AC1610&gt;0,MAX(IF('FA Addition'!$N1610="SLM",($AC1610-'FA Addition'!$M1610)*'FA Addition'!$P1610*AI1610/365,(AC1610-'FA Addition'!$M1610)*(1-(1-'FA Addition'!$P1610)^(AI1610/365))),0),0)</f>
        <v>0</v>
      </c>
      <c r="AL1610" s="117">
        <f>MAX(IF(AG1610&gt;0,IF('FA Addition'!$N1610="SLM",($AE1610-'FA Addition'!$M1610)*'FA Addition'!$P1610*AG1610/365,IFERROR(VDB(AE1610,AE1610*0.05,'FA Addition'!$O1610,0,YEARFRAC('FA Addition'!$C1610,$P$1-1,3),'FA Addition'!$Q1610),FAAddition[[#This Row],[Original Cost (Rs)]]-FAAddition[[#This Row],[Salvage Value]])),0),0)</f>
        <v>0</v>
      </c>
      <c r="AM1610" s="119"/>
      <c r="AN1610" s="117">
        <f>MAX(IF(AH1610&gt;0,IF('FA Addition'!$N1610="SLM",($AF1610-'FA Addition'!$M1610)*'FA Addition'!$P1610*AH1610/365,IFERROR(VDB(AF1610,AF1610*0.05,'FA Addition'!$O1610,0,YEARFRAC('FA Addition'!$C1610,$L$1,3),'FA Addition'!$Q1610),FAAddition[[#This Row],[Original Cost (Rs)]]-FAAddition[[#This Row],[Salvage Value]])),0),0)</f>
        <v>0</v>
      </c>
      <c r="AO1610" s="117">
        <f t="shared" si="128"/>
        <v>0</v>
      </c>
      <c r="AQ1610" s="117">
        <f t="shared" si="126"/>
        <v>0</v>
      </c>
      <c r="AR1610" s="120">
        <f t="shared" si="127"/>
        <v>0</v>
      </c>
      <c r="AS1610" s="121"/>
    </row>
    <row r="1611" spans="1:45" ht="13.5" x14ac:dyDescent="0.4">
      <c r="A1611" s="12">
        <f t="shared" si="129"/>
        <v>1608</v>
      </c>
      <c r="B1611" s="64" t="s">
        <v>10</v>
      </c>
      <c r="C1611" s="54">
        <v>45974</v>
      </c>
      <c r="D1611" s="54">
        <v>45979</v>
      </c>
      <c r="E1611" s="46" t="s">
        <v>1320</v>
      </c>
      <c r="F1611" s="51" t="s">
        <v>33</v>
      </c>
      <c r="G1611" s="51" t="s">
        <v>34</v>
      </c>
      <c r="H1611" s="51" t="s">
        <v>32</v>
      </c>
      <c r="I1611" s="55" t="s">
        <v>236</v>
      </c>
      <c r="J1611" s="56">
        <v>1000</v>
      </c>
      <c r="K1611" s="51" t="s">
        <v>295</v>
      </c>
      <c r="L1611" s="58">
        <v>1499000</v>
      </c>
      <c r="M1611" s="50">
        <f>ROUND('FA Addition'!$L1611*5%,0.1)</f>
        <v>74950</v>
      </c>
      <c r="N1611" s="113" t="str">
        <f>_xlfn.XLOOKUP(_xlfn.CONCAT(E1611,B1611),'Year Wise Master Dep Approach'!F:F,'Year Wise Master Dep Approach'!D:D)</f>
        <v>SLM</v>
      </c>
      <c r="O1611" s="113">
        <f>_xlfn.XLOOKUP(_xlfn.CONCAT(E1611,B1611),'Year Wise Master Dep Approach'!F:F,'Year Wise Master Dep Approach'!E:E)</f>
        <v>5</v>
      </c>
      <c r="P1611" s="114">
        <f>IFERROR(IF('FA Addition'!$N1611="WDV",1-('FA Addition'!$M1611/'FA Addition'!$L1611)^(1/'FA Addition'!$O1611),1/'FA Addition'!$O1611),0)</f>
        <v>0.2</v>
      </c>
      <c r="Q1611" s="122">
        <f>'FA Addition'!$P1611*'FA Addition'!$O1611</f>
        <v>1</v>
      </c>
      <c r="R1611" s="122"/>
      <c r="S1611" s="116">
        <f>IF(AND(DATE(20&amp;LEFT(FAAddition[[#This Row],[FY]],2),4,1)&lt;$L$1+1,DATE(20&amp;LEFT(FAAddition[[#This Row],[FY]],2),4,1)&gt;$P$1-1),'FA Addition'!$J1611,0)</f>
        <v>0</v>
      </c>
      <c r="U1611" s="117">
        <f>S1611*'FA Addition'!$L1611/'FA Addition'!$J1611</f>
        <v>0</v>
      </c>
      <c r="W1611" s="116">
        <f>SUMIFS('FA Write off'!D:D,'FA Write off'!A:A,'FA Addition'!$A1611,'FA Write off'!C:C,"&lt;"&amp;'FA Addition'!$P$1)</f>
        <v>0</v>
      </c>
      <c r="Y1611" s="191">
        <f>IFERROR(W1611/'FA Addition'!$J1611*'FA Addition'!$L1611,0)</f>
        <v>0</v>
      </c>
      <c r="AA1611" s="116">
        <f>SUMIFS('FA Write off'!D:D,'FA Write off'!A:A,'FA Addition'!$A1611,'FA Write off'!C:C,"&lt;"&amp;'FA Addition'!$L$1+1,'FA Write off'!C:C,"&gt;"&amp;'FA Addition'!$L$1-365)</f>
        <v>0</v>
      </c>
      <c r="AC1611" s="118">
        <f>IFERROR(AA1611/'FA Addition'!$J1611*'FA Addition'!$L1611,0)</f>
        <v>0</v>
      </c>
      <c r="AE1611" s="117">
        <f>IF(AND('FA Addition'!$D1611&lt;$P$1+1,U1611=0),'FA Addition'!$L1611,0)-Y1611</f>
        <v>0</v>
      </c>
      <c r="AF1611" s="117">
        <f t="shared" si="125"/>
        <v>0</v>
      </c>
      <c r="AG1611" s="117">
        <f>MIN(MAX(+$P$1-'FA Addition'!$D1611,0),365*'FA Addition'!$O1611)</f>
        <v>0</v>
      </c>
      <c r="AH1611" s="117">
        <f>MIN(MAX($L$1-'FA Addition'!$D1611+1,0),365*'FA Addition'!$O1611)</f>
        <v>0</v>
      </c>
      <c r="AI1611" s="117" cm="1">
        <f t="array" ref="AI1611">_xlfn.XLOOKUP(1,('FA Write off'!A:A='FA Addition'!$A1611)*('FA Write off'!D:D=AA1611),'FA Write off'!H:H,0,0)</f>
        <v>0</v>
      </c>
      <c r="AJ1611" s="117">
        <f>IF(AC1611&gt;0,MAX(IF('FA Addition'!$N1611="SLM",($AC1611-'FA Addition'!$M1611)*'FA Addition'!$P1611*AI1611/365,(AC1611-'FA Addition'!$M1611)*(1-(1-'FA Addition'!$P1611)^(AI1611/365))),0),0)</f>
        <v>0</v>
      </c>
      <c r="AL1611" s="117">
        <f>MAX(IF(AG1611&gt;0,IF('FA Addition'!$N1611="SLM",($AE1611-'FA Addition'!$M1611)*'FA Addition'!$P1611*AG1611/365,IFERROR(VDB(AE1611,AE1611*0.05,'FA Addition'!$O1611,0,YEARFRAC('FA Addition'!$C1611,$P$1-1,3),'FA Addition'!$Q1611),FAAddition[[#This Row],[Original Cost (Rs)]]-FAAddition[[#This Row],[Salvage Value]])),0),0)</f>
        <v>0</v>
      </c>
      <c r="AM1611" s="119"/>
      <c r="AN1611" s="117">
        <f>MAX(IF(AH1611&gt;0,IF('FA Addition'!$N1611="SLM",($AF1611-'FA Addition'!$M1611)*'FA Addition'!$P1611*AH1611/365,IFERROR(VDB(AF1611,AF1611*0.05,'FA Addition'!$O1611,0,YEARFRAC('FA Addition'!$C1611,$L$1,3),'FA Addition'!$Q1611),FAAddition[[#This Row],[Original Cost (Rs)]]-FAAddition[[#This Row],[Salvage Value]])),0),0)</f>
        <v>0</v>
      </c>
      <c r="AO1611" s="117">
        <f t="shared" si="128"/>
        <v>0</v>
      </c>
      <c r="AQ1611" s="117">
        <f t="shared" si="126"/>
        <v>0</v>
      </c>
      <c r="AR1611" s="120">
        <f t="shared" si="127"/>
        <v>0</v>
      </c>
      <c r="AS1611" s="121"/>
    </row>
    <row r="1612" spans="1:45" ht="13.5" x14ac:dyDescent="0.4">
      <c r="A1612" s="12">
        <f t="shared" si="129"/>
        <v>1609</v>
      </c>
      <c r="B1612" s="64" t="s">
        <v>10</v>
      </c>
      <c r="C1612" s="54">
        <v>45979</v>
      </c>
      <c r="D1612" s="54">
        <v>45979</v>
      </c>
      <c r="E1612" s="46" t="s">
        <v>1320</v>
      </c>
      <c r="F1612" s="51" t="s">
        <v>33</v>
      </c>
      <c r="G1612" s="51" t="s">
        <v>34</v>
      </c>
      <c r="H1612" s="51" t="s">
        <v>32</v>
      </c>
      <c r="I1612" s="55" t="s">
        <v>237</v>
      </c>
      <c r="J1612" s="56">
        <v>1000</v>
      </c>
      <c r="K1612" s="51" t="s">
        <v>295</v>
      </c>
      <c r="L1612" s="58">
        <v>1499000</v>
      </c>
      <c r="M1612" s="50">
        <f>ROUND('FA Addition'!$L1612*5%,0.1)</f>
        <v>74950</v>
      </c>
      <c r="N1612" s="113" t="str">
        <f>_xlfn.XLOOKUP(_xlfn.CONCAT(E1612,B1612),'Year Wise Master Dep Approach'!F:F,'Year Wise Master Dep Approach'!D:D)</f>
        <v>SLM</v>
      </c>
      <c r="O1612" s="113">
        <f>_xlfn.XLOOKUP(_xlfn.CONCAT(E1612,B1612),'Year Wise Master Dep Approach'!F:F,'Year Wise Master Dep Approach'!E:E)</f>
        <v>5</v>
      </c>
      <c r="P1612" s="114">
        <f>IFERROR(IF('FA Addition'!$N1612="WDV",1-('FA Addition'!$M1612/'FA Addition'!$L1612)^(1/'FA Addition'!$O1612),1/'FA Addition'!$O1612),0)</f>
        <v>0.2</v>
      </c>
      <c r="Q1612" s="122">
        <f>'FA Addition'!$P1612*'FA Addition'!$O1612</f>
        <v>1</v>
      </c>
      <c r="R1612" s="122"/>
      <c r="S1612" s="116">
        <f>IF(AND(DATE(20&amp;LEFT(FAAddition[[#This Row],[FY]],2),4,1)&lt;$L$1+1,DATE(20&amp;LEFT(FAAddition[[#This Row],[FY]],2),4,1)&gt;$P$1-1),'FA Addition'!$J1612,0)</f>
        <v>0</v>
      </c>
      <c r="U1612" s="117">
        <f>S1612*'FA Addition'!$L1612/'FA Addition'!$J1612</f>
        <v>0</v>
      </c>
      <c r="W1612" s="116">
        <f>SUMIFS('FA Write off'!D:D,'FA Write off'!A:A,'FA Addition'!$A1612,'FA Write off'!C:C,"&lt;"&amp;'FA Addition'!$P$1)</f>
        <v>0</v>
      </c>
      <c r="Y1612" s="191">
        <f>IFERROR(W1612/'FA Addition'!$J1612*'FA Addition'!$L1612,0)</f>
        <v>0</v>
      </c>
      <c r="AA1612" s="116">
        <f>SUMIFS('FA Write off'!D:D,'FA Write off'!A:A,'FA Addition'!$A1612,'FA Write off'!C:C,"&lt;"&amp;'FA Addition'!$L$1+1,'FA Write off'!C:C,"&gt;"&amp;'FA Addition'!$L$1-365)</f>
        <v>0</v>
      </c>
      <c r="AC1612" s="118">
        <f>IFERROR(AA1612/'FA Addition'!$J1612*'FA Addition'!$L1612,0)</f>
        <v>0</v>
      </c>
      <c r="AE1612" s="117">
        <f>IF(AND('FA Addition'!$D1612&lt;$P$1+1,U1612=0),'FA Addition'!$L1612,0)-Y1612</f>
        <v>0</v>
      </c>
      <c r="AF1612" s="117">
        <f t="shared" si="125"/>
        <v>0</v>
      </c>
      <c r="AG1612" s="117">
        <f>MIN(MAX(+$P$1-'FA Addition'!$D1612,0),365*'FA Addition'!$O1612)</f>
        <v>0</v>
      </c>
      <c r="AH1612" s="117">
        <f>MIN(MAX($L$1-'FA Addition'!$D1612+1,0),365*'FA Addition'!$O1612)</f>
        <v>0</v>
      </c>
      <c r="AI1612" s="117" cm="1">
        <f t="array" ref="AI1612">_xlfn.XLOOKUP(1,('FA Write off'!A:A='FA Addition'!$A1612)*('FA Write off'!D:D=AA1612),'FA Write off'!H:H,0,0)</f>
        <v>0</v>
      </c>
      <c r="AJ1612" s="117">
        <f>IF(AC1612&gt;0,MAX(IF('FA Addition'!$N1612="SLM",($AC1612-'FA Addition'!$M1612)*'FA Addition'!$P1612*AI1612/365,(AC1612-'FA Addition'!$M1612)*(1-(1-'FA Addition'!$P1612)^(AI1612/365))),0),0)</f>
        <v>0</v>
      </c>
      <c r="AL1612" s="117">
        <f>MAX(IF(AG1612&gt;0,IF('FA Addition'!$N1612="SLM",($AE1612-'FA Addition'!$M1612)*'FA Addition'!$P1612*AG1612/365,IFERROR(VDB(AE1612,AE1612*0.05,'FA Addition'!$O1612,0,YEARFRAC('FA Addition'!$C1612,$P$1-1,3),'FA Addition'!$Q1612),FAAddition[[#This Row],[Original Cost (Rs)]]-FAAddition[[#This Row],[Salvage Value]])),0),0)</f>
        <v>0</v>
      </c>
      <c r="AM1612" s="119"/>
      <c r="AN1612" s="117">
        <f>MAX(IF(AH1612&gt;0,IF('FA Addition'!$N1612="SLM",($AF1612-'FA Addition'!$M1612)*'FA Addition'!$P1612*AH1612/365,IFERROR(VDB(AF1612,AF1612*0.05,'FA Addition'!$O1612,0,YEARFRAC('FA Addition'!$C1612,$L$1,3),'FA Addition'!$Q1612),FAAddition[[#This Row],[Original Cost (Rs)]]-FAAddition[[#This Row],[Salvage Value]])),0),0)</f>
        <v>0</v>
      </c>
      <c r="AO1612" s="117">
        <f t="shared" si="128"/>
        <v>0</v>
      </c>
      <c r="AQ1612" s="117">
        <f t="shared" si="126"/>
        <v>0</v>
      </c>
      <c r="AR1612" s="120">
        <f t="shared" si="127"/>
        <v>0</v>
      </c>
      <c r="AS1612" s="121"/>
    </row>
    <row r="1613" spans="1:45" ht="13.5" x14ac:dyDescent="0.4">
      <c r="A1613" s="12">
        <f t="shared" si="129"/>
        <v>1610</v>
      </c>
      <c r="B1613" s="64" t="s">
        <v>10</v>
      </c>
      <c r="C1613" s="54">
        <v>45987</v>
      </c>
      <c r="D1613" s="54">
        <v>45988</v>
      </c>
      <c r="E1613" s="46" t="s">
        <v>1320</v>
      </c>
      <c r="F1613" s="51" t="s">
        <v>33</v>
      </c>
      <c r="G1613" s="51" t="s">
        <v>34</v>
      </c>
      <c r="H1613" s="51" t="s">
        <v>32</v>
      </c>
      <c r="I1613" s="55" t="s">
        <v>238</v>
      </c>
      <c r="J1613" s="56">
        <v>1000</v>
      </c>
      <c r="K1613" s="51" t="s">
        <v>295</v>
      </c>
      <c r="L1613" s="58">
        <v>1499000</v>
      </c>
      <c r="M1613" s="50">
        <f>ROUND('FA Addition'!$L1613*5%,0.1)</f>
        <v>74950</v>
      </c>
      <c r="N1613" s="113" t="str">
        <f>_xlfn.XLOOKUP(_xlfn.CONCAT(E1613,B1613),'Year Wise Master Dep Approach'!F:F,'Year Wise Master Dep Approach'!D:D)</f>
        <v>SLM</v>
      </c>
      <c r="O1613" s="113">
        <f>_xlfn.XLOOKUP(_xlfn.CONCAT(E1613,B1613),'Year Wise Master Dep Approach'!F:F,'Year Wise Master Dep Approach'!E:E)</f>
        <v>5</v>
      </c>
      <c r="P1613" s="114">
        <f>IFERROR(IF('FA Addition'!$N1613="WDV",1-('FA Addition'!$M1613/'FA Addition'!$L1613)^(1/'FA Addition'!$O1613),1/'FA Addition'!$O1613),0)</f>
        <v>0.2</v>
      </c>
      <c r="Q1613" s="122">
        <f>'FA Addition'!$P1613*'FA Addition'!$O1613</f>
        <v>1</v>
      </c>
      <c r="R1613" s="122"/>
      <c r="S1613" s="116">
        <f>IF(AND(DATE(20&amp;LEFT(FAAddition[[#This Row],[FY]],2),4,1)&lt;$L$1+1,DATE(20&amp;LEFT(FAAddition[[#This Row],[FY]],2),4,1)&gt;$P$1-1),'FA Addition'!$J1613,0)</f>
        <v>0</v>
      </c>
      <c r="U1613" s="117">
        <f>S1613*'FA Addition'!$L1613/'FA Addition'!$J1613</f>
        <v>0</v>
      </c>
      <c r="W1613" s="116">
        <f>SUMIFS('FA Write off'!D:D,'FA Write off'!A:A,'FA Addition'!$A1613,'FA Write off'!C:C,"&lt;"&amp;'FA Addition'!$P$1)</f>
        <v>0</v>
      </c>
      <c r="Y1613" s="191">
        <f>IFERROR(W1613/'FA Addition'!$J1613*'FA Addition'!$L1613,0)</f>
        <v>0</v>
      </c>
      <c r="AA1613" s="116">
        <f>SUMIFS('FA Write off'!D:D,'FA Write off'!A:A,'FA Addition'!$A1613,'FA Write off'!C:C,"&lt;"&amp;'FA Addition'!$L$1+1,'FA Write off'!C:C,"&gt;"&amp;'FA Addition'!$L$1-365)</f>
        <v>0</v>
      </c>
      <c r="AC1613" s="118">
        <f>IFERROR(AA1613/'FA Addition'!$J1613*'FA Addition'!$L1613,0)</f>
        <v>0</v>
      </c>
      <c r="AE1613" s="117">
        <f>IF(AND('FA Addition'!$D1613&lt;$P$1+1,U1613=0),'FA Addition'!$L1613,0)-Y1613</f>
        <v>0</v>
      </c>
      <c r="AF1613" s="117">
        <f t="shared" si="125"/>
        <v>0</v>
      </c>
      <c r="AG1613" s="117">
        <f>MIN(MAX(+$P$1-'FA Addition'!$D1613,0),365*'FA Addition'!$O1613)</f>
        <v>0</v>
      </c>
      <c r="AH1613" s="117">
        <f>MIN(MAX($L$1-'FA Addition'!$D1613+1,0),365*'FA Addition'!$O1613)</f>
        <v>0</v>
      </c>
      <c r="AI1613" s="117" cm="1">
        <f t="array" ref="AI1613">_xlfn.XLOOKUP(1,('FA Write off'!A:A='FA Addition'!$A1613)*('FA Write off'!D:D=AA1613),'FA Write off'!H:H,0,0)</f>
        <v>0</v>
      </c>
      <c r="AJ1613" s="117">
        <f>IF(AC1613&gt;0,MAX(IF('FA Addition'!$N1613="SLM",($AC1613-'FA Addition'!$M1613)*'FA Addition'!$P1613*AI1613/365,(AC1613-'FA Addition'!$M1613)*(1-(1-'FA Addition'!$P1613)^(AI1613/365))),0),0)</f>
        <v>0</v>
      </c>
      <c r="AL1613" s="117">
        <f>MAX(IF(AG1613&gt;0,IF('FA Addition'!$N1613="SLM",($AE1613-'FA Addition'!$M1613)*'FA Addition'!$P1613*AG1613/365,IFERROR(VDB(AE1613,AE1613*0.05,'FA Addition'!$O1613,0,YEARFRAC('FA Addition'!$C1613,$P$1-1,3),'FA Addition'!$Q1613),FAAddition[[#This Row],[Original Cost (Rs)]]-FAAddition[[#This Row],[Salvage Value]])),0),0)</f>
        <v>0</v>
      </c>
      <c r="AM1613" s="119"/>
      <c r="AN1613" s="117">
        <f>MAX(IF(AH1613&gt;0,IF('FA Addition'!$N1613="SLM",($AF1613-'FA Addition'!$M1613)*'FA Addition'!$P1613*AH1613/365,IFERROR(VDB(AF1613,AF1613*0.05,'FA Addition'!$O1613,0,YEARFRAC('FA Addition'!$C1613,$L$1,3),'FA Addition'!$Q1613),FAAddition[[#This Row],[Original Cost (Rs)]]-FAAddition[[#This Row],[Salvage Value]])),0),0)</f>
        <v>0</v>
      </c>
      <c r="AO1613" s="117">
        <f t="shared" si="128"/>
        <v>0</v>
      </c>
      <c r="AQ1613" s="117">
        <f t="shared" si="126"/>
        <v>0</v>
      </c>
      <c r="AR1613" s="120">
        <f t="shared" si="127"/>
        <v>0</v>
      </c>
      <c r="AS1613" s="121"/>
    </row>
    <row r="1614" spans="1:45" ht="13.5" x14ac:dyDescent="0.4">
      <c r="A1614" s="12">
        <f t="shared" si="129"/>
        <v>1611</v>
      </c>
      <c r="B1614" s="64" t="s">
        <v>10</v>
      </c>
      <c r="C1614" s="54">
        <v>45981</v>
      </c>
      <c r="D1614" s="54">
        <v>45989</v>
      </c>
      <c r="E1614" s="46" t="s">
        <v>1320</v>
      </c>
      <c r="F1614" s="51" t="s">
        <v>33</v>
      </c>
      <c r="G1614" s="51" t="s">
        <v>34</v>
      </c>
      <c r="H1614" s="51" t="s">
        <v>32</v>
      </c>
      <c r="I1614" s="55" t="s">
        <v>239</v>
      </c>
      <c r="J1614" s="56">
        <v>1000</v>
      </c>
      <c r="K1614" s="51" t="s">
        <v>295</v>
      </c>
      <c r="L1614" s="58">
        <v>1499000</v>
      </c>
      <c r="M1614" s="50">
        <f>ROUND('FA Addition'!$L1614*5%,0.1)</f>
        <v>74950</v>
      </c>
      <c r="N1614" s="113" t="str">
        <f>_xlfn.XLOOKUP(_xlfn.CONCAT(E1614,B1614),'Year Wise Master Dep Approach'!F:F,'Year Wise Master Dep Approach'!D:D)</f>
        <v>SLM</v>
      </c>
      <c r="O1614" s="113">
        <f>_xlfn.XLOOKUP(_xlfn.CONCAT(E1614,B1614),'Year Wise Master Dep Approach'!F:F,'Year Wise Master Dep Approach'!E:E)</f>
        <v>5</v>
      </c>
      <c r="P1614" s="114">
        <f>IFERROR(IF('FA Addition'!$N1614="WDV",1-('FA Addition'!$M1614/'FA Addition'!$L1614)^(1/'FA Addition'!$O1614),1/'FA Addition'!$O1614),0)</f>
        <v>0.2</v>
      </c>
      <c r="Q1614" s="122">
        <f>'FA Addition'!$P1614*'FA Addition'!$O1614</f>
        <v>1</v>
      </c>
      <c r="R1614" s="122"/>
      <c r="S1614" s="116">
        <f>IF(AND(DATE(20&amp;LEFT(FAAddition[[#This Row],[FY]],2),4,1)&lt;$L$1+1,DATE(20&amp;LEFT(FAAddition[[#This Row],[FY]],2),4,1)&gt;$P$1-1),'FA Addition'!$J1614,0)</f>
        <v>0</v>
      </c>
      <c r="U1614" s="117">
        <f>S1614*'FA Addition'!$L1614/'FA Addition'!$J1614</f>
        <v>0</v>
      </c>
      <c r="W1614" s="116">
        <f>SUMIFS('FA Write off'!D:D,'FA Write off'!A:A,'FA Addition'!$A1614,'FA Write off'!C:C,"&lt;"&amp;'FA Addition'!$P$1)</f>
        <v>0</v>
      </c>
      <c r="Y1614" s="191">
        <f>IFERROR(W1614/'FA Addition'!$J1614*'FA Addition'!$L1614,0)</f>
        <v>0</v>
      </c>
      <c r="AA1614" s="116">
        <f>SUMIFS('FA Write off'!D:D,'FA Write off'!A:A,'FA Addition'!$A1614,'FA Write off'!C:C,"&lt;"&amp;'FA Addition'!$L$1+1,'FA Write off'!C:C,"&gt;"&amp;'FA Addition'!$L$1-365)</f>
        <v>0</v>
      </c>
      <c r="AC1614" s="118">
        <f>IFERROR(AA1614/'FA Addition'!$J1614*'FA Addition'!$L1614,0)</f>
        <v>0</v>
      </c>
      <c r="AE1614" s="117">
        <f>IF(AND('FA Addition'!$D1614&lt;$P$1+1,U1614=0),'FA Addition'!$L1614,0)-Y1614</f>
        <v>0</v>
      </c>
      <c r="AF1614" s="117">
        <f t="shared" si="125"/>
        <v>0</v>
      </c>
      <c r="AG1614" s="117">
        <f>MIN(MAX(+$P$1-'FA Addition'!$D1614,0),365*'FA Addition'!$O1614)</f>
        <v>0</v>
      </c>
      <c r="AH1614" s="117">
        <f>MIN(MAX($L$1-'FA Addition'!$D1614+1,0),365*'FA Addition'!$O1614)</f>
        <v>0</v>
      </c>
      <c r="AI1614" s="117" cm="1">
        <f t="array" ref="AI1614">_xlfn.XLOOKUP(1,('FA Write off'!A:A='FA Addition'!$A1614)*('FA Write off'!D:D=AA1614),'FA Write off'!H:H,0,0)</f>
        <v>0</v>
      </c>
      <c r="AJ1614" s="117">
        <f>IF(AC1614&gt;0,MAX(IF('FA Addition'!$N1614="SLM",($AC1614-'FA Addition'!$M1614)*'FA Addition'!$P1614*AI1614/365,(AC1614-'FA Addition'!$M1614)*(1-(1-'FA Addition'!$P1614)^(AI1614/365))),0),0)</f>
        <v>0</v>
      </c>
      <c r="AL1614" s="117">
        <f>MAX(IF(AG1614&gt;0,IF('FA Addition'!$N1614="SLM",($AE1614-'FA Addition'!$M1614)*'FA Addition'!$P1614*AG1614/365,IFERROR(VDB(AE1614,AE1614*0.05,'FA Addition'!$O1614,0,YEARFRAC('FA Addition'!$C1614,$P$1-1,3),'FA Addition'!$Q1614),FAAddition[[#This Row],[Original Cost (Rs)]]-FAAddition[[#This Row],[Salvage Value]])),0),0)</f>
        <v>0</v>
      </c>
      <c r="AM1614" s="119"/>
      <c r="AN1614" s="117">
        <f>MAX(IF(AH1614&gt;0,IF('FA Addition'!$N1614="SLM",($AF1614-'FA Addition'!$M1614)*'FA Addition'!$P1614*AH1614/365,IFERROR(VDB(AF1614,AF1614*0.05,'FA Addition'!$O1614,0,YEARFRAC('FA Addition'!$C1614,$L$1,3),'FA Addition'!$Q1614),FAAddition[[#This Row],[Original Cost (Rs)]]-FAAddition[[#This Row],[Salvage Value]])),0),0)</f>
        <v>0</v>
      </c>
      <c r="AO1614" s="117">
        <f t="shared" si="128"/>
        <v>0</v>
      </c>
      <c r="AQ1614" s="117">
        <f t="shared" si="126"/>
        <v>0</v>
      </c>
      <c r="AR1614" s="120">
        <f t="shared" si="127"/>
        <v>0</v>
      </c>
      <c r="AS1614" s="121"/>
    </row>
    <row r="1615" spans="1:45" ht="13.5" x14ac:dyDescent="0.4">
      <c r="A1615" s="12">
        <f t="shared" si="129"/>
        <v>1612</v>
      </c>
      <c r="B1615" s="64" t="s">
        <v>10</v>
      </c>
      <c r="C1615" s="54">
        <v>45948</v>
      </c>
      <c r="D1615" s="54">
        <v>45979</v>
      </c>
      <c r="E1615" s="46" t="s">
        <v>1320</v>
      </c>
      <c r="F1615" s="51" t="s">
        <v>33</v>
      </c>
      <c r="G1615" s="51" t="s">
        <v>36</v>
      </c>
      <c r="H1615" s="51" t="s">
        <v>32</v>
      </c>
      <c r="I1615" s="55" t="s">
        <v>240</v>
      </c>
      <c r="J1615" s="56">
        <v>500</v>
      </c>
      <c r="K1615" s="51" t="s">
        <v>296</v>
      </c>
      <c r="L1615" s="58">
        <v>800000</v>
      </c>
      <c r="M1615" s="50">
        <f>ROUND('FA Addition'!$L1615*5%,0.1)</f>
        <v>40000</v>
      </c>
      <c r="N1615" s="113" t="str">
        <f>_xlfn.XLOOKUP(_xlfn.CONCAT(E1615,B1615),'Year Wise Master Dep Approach'!F:F,'Year Wise Master Dep Approach'!D:D)</f>
        <v>SLM</v>
      </c>
      <c r="O1615" s="113">
        <f>_xlfn.XLOOKUP(_xlfn.CONCAT(E1615,B1615),'Year Wise Master Dep Approach'!F:F,'Year Wise Master Dep Approach'!E:E)</f>
        <v>5</v>
      </c>
      <c r="P1615" s="114">
        <f>IFERROR(IF('FA Addition'!$N1615="WDV",1-('FA Addition'!$M1615/'FA Addition'!$L1615)^(1/'FA Addition'!$O1615),1/'FA Addition'!$O1615),0)</f>
        <v>0.2</v>
      </c>
      <c r="Q1615" s="122">
        <f>'FA Addition'!$P1615*'FA Addition'!$O1615</f>
        <v>1</v>
      </c>
      <c r="R1615" s="122"/>
      <c r="S1615" s="116">
        <f>IF(AND(DATE(20&amp;LEFT(FAAddition[[#This Row],[FY]],2),4,1)&lt;$L$1+1,DATE(20&amp;LEFT(FAAddition[[#This Row],[FY]],2),4,1)&gt;$P$1-1),'FA Addition'!$J1615,0)</f>
        <v>0</v>
      </c>
      <c r="U1615" s="117">
        <f>S1615*'FA Addition'!$L1615/'FA Addition'!$J1615</f>
        <v>0</v>
      </c>
      <c r="W1615" s="116">
        <f>SUMIFS('FA Write off'!D:D,'FA Write off'!A:A,'FA Addition'!$A1615,'FA Write off'!C:C,"&lt;"&amp;'FA Addition'!$P$1)</f>
        <v>0</v>
      </c>
      <c r="Y1615" s="191">
        <f>IFERROR(W1615/'FA Addition'!$J1615*'FA Addition'!$L1615,0)</f>
        <v>0</v>
      </c>
      <c r="AA1615" s="116">
        <f>SUMIFS('FA Write off'!D:D,'FA Write off'!A:A,'FA Addition'!$A1615,'FA Write off'!C:C,"&lt;"&amp;'FA Addition'!$L$1+1,'FA Write off'!C:C,"&gt;"&amp;'FA Addition'!$L$1-365)</f>
        <v>0</v>
      </c>
      <c r="AC1615" s="118">
        <f>IFERROR(AA1615/'FA Addition'!$J1615*'FA Addition'!$L1615,0)</f>
        <v>0</v>
      </c>
      <c r="AE1615" s="117">
        <f>IF(AND('FA Addition'!$D1615&lt;$P$1+1,U1615=0),'FA Addition'!$L1615,0)-Y1615</f>
        <v>0</v>
      </c>
      <c r="AF1615" s="117">
        <f t="shared" si="125"/>
        <v>0</v>
      </c>
      <c r="AG1615" s="117">
        <f>MIN(MAX(+$P$1-'FA Addition'!$D1615,0),365*'FA Addition'!$O1615)</f>
        <v>0</v>
      </c>
      <c r="AH1615" s="117">
        <f>MIN(MAX($L$1-'FA Addition'!$D1615+1,0),365*'FA Addition'!$O1615)</f>
        <v>0</v>
      </c>
      <c r="AI1615" s="117" cm="1">
        <f t="array" ref="AI1615">_xlfn.XLOOKUP(1,('FA Write off'!A:A='FA Addition'!$A1615)*('FA Write off'!D:D=AA1615),'FA Write off'!H:H,0,0)</f>
        <v>0</v>
      </c>
      <c r="AJ1615" s="117">
        <f>IF(AC1615&gt;0,MAX(IF('FA Addition'!$N1615="SLM",($AC1615-'FA Addition'!$M1615)*'FA Addition'!$P1615*AI1615/365,(AC1615-'FA Addition'!$M1615)*(1-(1-'FA Addition'!$P1615)^(AI1615/365))),0),0)</f>
        <v>0</v>
      </c>
      <c r="AL1615" s="117">
        <f>MAX(IF(AG1615&gt;0,IF('FA Addition'!$N1615="SLM",($AE1615-'FA Addition'!$M1615)*'FA Addition'!$P1615*AG1615/365,IFERROR(VDB(AE1615,AE1615*0.05,'FA Addition'!$O1615,0,YEARFRAC('FA Addition'!$C1615,$P$1-1,3),'FA Addition'!$Q1615),FAAddition[[#This Row],[Original Cost (Rs)]]-FAAddition[[#This Row],[Salvage Value]])),0),0)</f>
        <v>0</v>
      </c>
      <c r="AM1615" s="119"/>
      <c r="AN1615" s="117">
        <f>MAX(IF(AH1615&gt;0,IF('FA Addition'!$N1615="SLM",($AF1615-'FA Addition'!$M1615)*'FA Addition'!$P1615*AH1615/365,IFERROR(VDB(AF1615,AF1615*0.05,'FA Addition'!$O1615,0,YEARFRAC('FA Addition'!$C1615,$L$1,3),'FA Addition'!$Q1615),FAAddition[[#This Row],[Original Cost (Rs)]]-FAAddition[[#This Row],[Salvage Value]])),0),0)</f>
        <v>0</v>
      </c>
      <c r="AO1615" s="117">
        <f t="shared" si="128"/>
        <v>0</v>
      </c>
      <c r="AQ1615" s="117">
        <f t="shared" si="126"/>
        <v>0</v>
      </c>
      <c r="AR1615" s="120">
        <f t="shared" si="127"/>
        <v>0</v>
      </c>
      <c r="AS1615" s="121"/>
    </row>
    <row r="1616" spans="1:45" ht="13.5" x14ac:dyDescent="0.4">
      <c r="A1616" s="12">
        <f t="shared" si="129"/>
        <v>1613</v>
      </c>
      <c r="B1616" s="64" t="s">
        <v>10</v>
      </c>
      <c r="C1616" s="54">
        <v>45978</v>
      </c>
      <c r="D1616" s="54">
        <v>45989</v>
      </c>
      <c r="E1616" s="46" t="s">
        <v>1320</v>
      </c>
      <c r="F1616" s="51" t="s">
        <v>33</v>
      </c>
      <c r="G1616" s="51" t="s">
        <v>36</v>
      </c>
      <c r="H1616" s="51" t="s">
        <v>32</v>
      </c>
      <c r="I1616" s="55" t="s">
        <v>241</v>
      </c>
      <c r="J1616" s="56">
        <v>1000</v>
      </c>
      <c r="K1616" s="51" t="s">
        <v>296</v>
      </c>
      <c r="L1616" s="58">
        <v>1600000</v>
      </c>
      <c r="M1616" s="50">
        <f>ROUND('FA Addition'!$L1616*5%,0.1)</f>
        <v>80000</v>
      </c>
      <c r="N1616" s="113" t="str">
        <f>_xlfn.XLOOKUP(_xlfn.CONCAT(E1616,B1616),'Year Wise Master Dep Approach'!F:F,'Year Wise Master Dep Approach'!D:D)</f>
        <v>SLM</v>
      </c>
      <c r="O1616" s="113">
        <f>_xlfn.XLOOKUP(_xlfn.CONCAT(E1616,B1616),'Year Wise Master Dep Approach'!F:F,'Year Wise Master Dep Approach'!E:E)</f>
        <v>5</v>
      </c>
      <c r="P1616" s="114">
        <f>IFERROR(IF('FA Addition'!$N1616="WDV",1-('FA Addition'!$M1616/'FA Addition'!$L1616)^(1/'FA Addition'!$O1616),1/'FA Addition'!$O1616),0)</f>
        <v>0.2</v>
      </c>
      <c r="Q1616" s="122">
        <f>'FA Addition'!$P1616*'FA Addition'!$O1616</f>
        <v>1</v>
      </c>
      <c r="R1616" s="122"/>
      <c r="S1616" s="116">
        <f>IF(AND(DATE(20&amp;LEFT(FAAddition[[#This Row],[FY]],2),4,1)&lt;$L$1+1,DATE(20&amp;LEFT(FAAddition[[#This Row],[FY]],2),4,1)&gt;$P$1-1),'FA Addition'!$J1616,0)</f>
        <v>0</v>
      </c>
      <c r="U1616" s="117">
        <f>S1616*'FA Addition'!$L1616/'FA Addition'!$J1616</f>
        <v>0</v>
      </c>
      <c r="W1616" s="116">
        <f>SUMIFS('FA Write off'!D:D,'FA Write off'!A:A,'FA Addition'!$A1616,'FA Write off'!C:C,"&lt;"&amp;'FA Addition'!$P$1)</f>
        <v>0</v>
      </c>
      <c r="Y1616" s="191">
        <f>IFERROR(W1616/'FA Addition'!$J1616*'FA Addition'!$L1616,0)</f>
        <v>0</v>
      </c>
      <c r="AA1616" s="116">
        <f>SUMIFS('FA Write off'!D:D,'FA Write off'!A:A,'FA Addition'!$A1616,'FA Write off'!C:C,"&lt;"&amp;'FA Addition'!$L$1+1,'FA Write off'!C:C,"&gt;"&amp;'FA Addition'!$L$1-365)</f>
        <v>0</v>
      </c>
      <c r="AC1616" s="118">
        <f>IFERROR(AA1616/'FA Addition'!$J1616*'FA Addition'!$L1616,0)</f>
        <v>0</v>
      </c>
      <c r="AE1616" s="117">
        <f>IF(AND('FA Addition'!$D1616&lt;$P$1+1,U1616=0),'FA Addition'!$L1616,0)-Y1616</f>
        <v>0</v>
      </c>
      <c r="AF1616" s="117">
        <f t="shared" si="125"/>
        <v>0</v>
      </c>
      <c r="AG1616" s="117">
        <f>MIN(MAX(+$P$1-'FA Addition'!$D1616,0),365*'FA Addition'!$O1616)</f>
        <v>0</v>
      </c>
      <c r="AH1616" s="117">
        <f>MIN(MAX($L$1-'FA Addition'!$D1616+1,0),365*'FA Addition'!$O1616)</f>
        <v>0</v>
      </c>
      <c r="AI1616" s="117" cm="1">
        <f t="array" ref="AI1616">_xlfn.XLOOKUP(1,('FA Write off'!A:A='FA Addition'!$A1616)*('FA Write off'!D:D=AA1616),'FA Write off'!H:H,0,0)</f>
        <v>0</v>
      </c>
      <c r="AJ1616" s="117">
        <f>IF(AC1616&gt;0,MAX(IF('FA Addition'!$N1616="SLM",($AC1616-'FA Addition'!$M1616)*'FA Addition'!$P1616*AI1616/365,(AC1616-'FA Addition'!$M1616)*(1-(1-'FA Addition'!$P1616)^(AI1616/365))),0),0)</f>
        <v>0</v>
      </c>
      <c r="AL1616" s="117">
        <f>MAX(IF(AG1616&gt;0,IF('FA Addition'!$N1616="SLM",($AE1616-'FA Addition'!$M1616)*'FA Addition'!$P1616*AG1616/365,IFERROR(VDB(AE1616,AE1616*0.05,'FA Addition'!$O1616,0,YEARFRAC('FA Addition'!$C1616,$P$1-1,3),'FA Addition'!$Q1616),FAAddition[[#This Row],[Original Cost (Rs)]]-FAAddition[[#This Row],[Salvage Value]])),0),0)</f>
        <v>0</v>
      </c>
      <c r="AM1616" s="119"/>
      <c r="AN1616" s="117">
        <f>MAX(IF(AH1616&gt;0,IF('FA Addition'!$N1616="SLM",($AF1616-'FA Addition'!$M1616)*'FA Addition'!$P1616*AH1616/365,IFERROR(VDB(AF1616,AF1616*0.05,'FA Addition'!$O1616,0,YEARFRAC('FA Addition'!$C1616,$L$1,3),'FA Addition'!$Q1616),FAAddition[[#This Row],[Original Cost (Rs)]]-FAAddition[[#This Row],[Salvage Value]])),0),0)</f>
        <v>0</v>
      </c>
      <c r="AO1616" s="117">
        <f t="shared" si="128"/>
        <v>0</v>
      </c>
      <c r="AQ1616" s="117">
        <f t="shared" si="126"/>
        <v>0</v>
      </c>
      <c r="AR1616" s="120">
        <f t="shared" si="127"/>
        <v>0</v>
      </c>
      <c r="AS1616" s="121"/>
    </row>
    <row r="1617" spans="1:45" ht="13.5" x14ac:dyDescent="0.4">
      <c r="A1617" s="12">
        <f t="shared" si="129"/>
        <v>1614</v>
      </c>
      <c r="B1617" s="64" t="s">
        <v>10</v>
      </c>
      <c r="C1617" s="54">
        <v>45909</v>
      </c>
      <c r="D1617" s="54">
        <v>45925</v>
      </c>
      <c r="E1617" s="46" t="s">
        <v>32</v>
      </c>
      <c r="F1617" s="51" t="s">
        <v>131</v>
      </c>
      <c r="G1617" s="51" t="s">
        <v>29</v>
      </c>
      <c r="H1617" s="51" t="s">
        <v>26</v>
      </c>
      <c r="I1617" s="55" t="s">
        <v>242</v>
      </c>
      <c r="J1617" s="56">
        <v>1000</v>
      </c>
      <c r="K1617" s="51" t="s">
        <v>308</v>
      </c>
      <c r="L1617" s="58">
        <v>50000</v>
      </c>
      <c r="M1617" s="50">
        <f>ROUND('FA Addition'!$L1617*5%,0.1)</f>
        <v>2500</v>
      </c>
      <c r="N1617" s="113" t="str">
        <f>_xlfn.XLOOKUP(_xlfn.CONCAT(E1617,B1617),'Year Wise Master Dep Approach'!F:F,'Year Wise Master Dep Approach'!D:D)</f>
        <v>SLM</v>
      </c>
      <c r="O1617" s="113">
        <f>_xlfn.XLOOKUP(_xlfn.CONCAT(E1617,B1617),'Year Wise Master Dep Approach'!F:F,'Year Wise Master Dep Approach'!E:E)</f>
        <v>5</v>
      </c>
      <c r="P1617" s="114">
        <f>IFERROR(IF('FA Addition'!$N1617="WDV",1-('FA Addition'!$M1617/'FA Addition'!$L1617)^(1/'FA Addition'!$O1617),1/'FA Addition'!$O1617),0)</f>
        <v>0.2</v>
      </c>
      <c r="Q1617" s="122">
        <f>'FA Addition'!$P1617*'FA Addition'!$O1617</f>
        <v>1</v>
      </c>
      <c r="R1617" s="122"/>
      <c r="S1617" s="116">
        <f>IF(AND(DATE(20&amp;LEFT(FAAddition[[#This Row],[FY]],2),4,1)&lt;$L$1+1,DATE(20&amp;LEFT(FAAddition[[#This Row],[FY]],2),4,1)&gt;$P$1-1),'FA Addition'!$J1617,0)</f>
        <v>0</v>
      </c>
      <c r="U1617" s="117">
        <f>S1617*'FA Addition'!$L1617/'FA Addition'!$J1617</f>
        <v>0</v>
      </c>
      <c r="W1617" s="116">
        <f>SUMIFS('FA Write off'!D:D,'FA Write off'!A:A,'FA Addition'!$A1617,'FA Write off'!C:C,"&lt;"&amp;'FA Addition'!$P$1)</f>
        <v>0</v>
      </c>
      <c r="Y1617" s="191">
        <f>IFERROR(W1617/'FA Addition'!$J1617*'FA Addition'!$L1617,0)</f>
        <v>0</v>
      </c>
      <c r="AA1617" s="116">
        <f>SUMIFS('FA Write off'!D:D,'FA Write off'!A:A,'FA Addition'!$A1617,'FA Write off'!C:C,"&lt;"&amp;'FA Addition'!$L$1+1,'FA Write off'!C:C,"&gt;"&amp;'FA Addition'!$L$1-365)</f>
        <v>0</v>
      </c>
      <c r="AC1617" s="118">
        <f>IFERROR(AA1617/'FA Addition'!$J1617*'FA Addition'!$L1617,0)</f>
        <v>0</v>
      </c>
      <c r="AE1617" s="117">
        <f>IF(AND('FA Addition'!$D1617&lt;$P$1+1,U1617=0),'FA Addition'!$L1617,0)-Y1617</f>
        <v>0</v>
      </c>
      <c r="AF1617" s="117">
        <f t="shared" si="125"/>
        <v>0</v>
      </c>
      <c r="AG1617" s="117">
        <f>MIN(MAX(+$P$1-'FA Addition'!$D1617,0),365*'FA Addition'!$O1617)</f>
        <v>0</v>
      </c>
      <c r="AH1617" s="117">
        <f>MIN(MAX($L$1-'FA Addition'!$D1617+1,0),365*'FA Addition'!$O1617)</f>
        <v>0</v>
      </c>
      <c r="AI1617" s="117" cm="1">
        <f t="array" ref="AI1617">_xlfn.XLOOKUP(1,('FA Write off'!A:A='FA Addition'!$A1617)*('FA Write off'!D:D=AA1617),'FA Write off'!H:H,0,0)</f>
        <v>0</v>
      </c>
      <c r="AJ1617" s="117">
        <f>IF(AC1617&gt;0,MAX(IF('FA Addition'!$N1617="SLM",($AC1617-'FA Addition'!$M1617)*'FA Addition'!$P1617*AI1617/365,(AC1617-'FA Addition'!$M1617)*(1-(1-'FA Addition'!$P1617)^(AI1617/365))),0),0)</f>
        <v>0</v>
      </c>
      <c r="AL1617" s="117">
        <f>MAX(IF(AG1617&gt;0,IF('FA Addition'!$N1617="SLM",($AE1617-'FA Addition'!$M1617)*'FA Addition'!$P1617*AG1617/365,IFERROR(VDB(AE1617,AE1617*0.05,'FA Addition'!$O1617,0,YEARFRAC('FA Addition'!$C1617,$P$1-1,3),'FA Addition'!$Q1617),FAAddition[[#This Row],[Original Cost (Rs)]]-FAAddition[[#This Row],[Salvage Value]])),0),0)</f>
        <v>0</v>
      </c>
      <c r="AM1617" s="119"/>
      <c r="AN1617" s="117">
        <f>MAX(IF(AH1617&gt;0,IF('FA Addition'!$N1617="SLM",($AF1617-'FA Addition'!$M1617)*'FA Addition'!$P1617*AH1617/365,IFERROR(VDB(AF1617,AF1617*0.05,'FA Addition'!$O1617,0,YEARFRAC('FA Addition'!$C1617,$L$1,3),'FA Addition'!$Q1617),FAAddition[[#This Row],[Original Cost (Rs)]]-FAAddition[[#This Row],[Salvage Value]])),0),0)</f>
        <v>0</v>
      </c>
      <c r="AO1617" s="117">
        <f t="shared" si="128"/>
        <v>0</v>
      </c>
      <c r="AQ1617" s="117">
        <f t="shared" si="126"/>
        <v>0</v>
      </c>
      <c r="AR1617" s="120">
        <f t="shared" si="127"/>
        <v>0</v>
      </c>
      <c r="AS1617" s="121"/>
    </row>
    <row r="1618" spans="1:45" ht="13.5" x14ac:dyDescent="0.4">
      <c r="A1618" s="12">
        <f t="shared" si="129"/>
        <v>1615</v>
      </c>
      <c r="B1618" s="64" t="s">
        <v>10</v>
      </c>
      <c r="C1618" s="54">
        <v>45909</v>
      </c>
      <c r="D1618" s="54">
        <v>45925</v>
      </c>
      <c r="E1618" s="46" t="s">
        <v>32</v>
      </c>
      <c r="F1618" s="51" t="s">
        <v>131</v>
      </c>
      <c r="G1618" s="51" t="s">
        <v>29</v>
      </c>
      <c r="H1618" s="51" t="s">
        <v>26</v>
      </c>
      <c r="I1618" s="55" t="s">
        <v>242</v>
      </c>
      <c r="J1618" s="56">
        <v>750</v>
      </c>
      <c r="K1618" s="51" t="s">
        <v>299</v>
      </c>
      <c r="L1618" s="58">
        <v>46500</v>
      </c>
      <c r="M1618" s="50">
        <f>ROUND('FA Addition'!$L1618*5%,0.1)</f>
        <v>2325</v>
      </c>
      <c r="N1618" s="113" t="str">
        <f>_xlfn.XLOOKUP(_xlfn.CONCAT(E1618,B1618),'Year Wise Master Dep Approach'!F:F,'Year Wise Master Dep Approach'!D:D)</f>
        <v>SLM</v>
      </c>
      <c r="O1618" s="113">
        <f>_xlfn.XLOOKUP(_xlfn.CONCAT(E1618,B1618),'Year Wise Master Dep Approach'!F:F,'Year Wise Master Dep Approach'!E:E)</f>
        <v>5</v>
      </c>
      <c r="P1618" s="114">
        <f>IFERROR(IF('FA Addition'!$N1618="WDV",1-('FA Addition'!$M1618/'FA Addition'!$L1618)^(1/'FA Addition'!$O1618),1/'FA Addition'!$O1618),0)</f>
        <v>0.2</v>
      </c>
      <c r="Q1618" s="122">
        <f>'FA Addition'!$P1618*'FA Addition'!$O1618</f>
        <v>1</v>
      </c>
      <c r="R1618" s="122"/>
      <c r="S1618" s="116">
        <f>IF(AND(DATE(20&amp;LEFT(FAAddition[[#This Row],[FY]],2),4,1)&lt;$L$1+1,DATE(20&amp;LEFT(FAAddition[[#This Row],[FY]],2),4,1)&gt;$P$1-1),'FA Addition'!$J1618,0)</f>
        <v>0</v>
      </c>
      <c r="U1618" s="117">
        <f>S1618*'FA Addition'!$L1618/'FA Addition'!$J1618</f>
        <v>0</v>
      </c>
      <c r="W1618" s="116">
        <f>SUMIFS('FA Write off'!D:D,'FA Write off'!A:A,'FA Addition'!$A1618,'FA Write off'!C:C,"&lt;"&amp;'FA Addition'!$P$1)</f>
        <v>0</v>
      </c>
      <c r="Y1618" s="191">
        <f>IFERROR(W1618/'FA Addition'!$J1618*'FA Addition'!$L1618,0)</f>
        <v>0</v>
      </c>
      <c r="AA1618" s="116">
        <f>SUMIFS('FA Write off'!D:D,'FA Write off'!A:A,'FA Addition'!$A1618,'FA Write off'!C:C,"&lt;"&amp;'FA Addition'!$L$1+1,'FA Write off'!C:C,"&gt;"&amp;'FA Addition'!$L$1-365)</f>
        <v>0</v>
      </c>
      <c r="AC1618" s="118">
        <f>IFERROR(AA1618/'FA Addition'!$J1618*'FA Addition'!$L1618,0)</f>
        <v>0</v>
      </c>
      <c r="AE1618" s="117">
        <f>IF(AND('FA Addition'!$D1618&lt;$P$1+1,U1618=0),'FA Addition'!$L1618,0)-Y1618</f>
        <v>0</v>
      </c>
      <c r="AF1618" s="117">
        <f t="shared" si="125"/>
        <v>0</v>
      </c>
      <c r="AG1618" s="117">
        <f>MIN(MAX(+$P$1-'FA Addition'!$D1618,0),365*'FA Addition'!$O1618)</f>
        <v>0</v>
      </c>
      <c r="AH1618" s="117">
        <f>MIN(MAX($L$1-'FA Addition'!$D1618+1,0),365*'FA Addition'!$O1618)</f>
        <v>0</v>
      </c>
      <c r="AI1618" s="117" cm="1">
        <f t="array" ref="AI1618">_xlfn.XLOOKUP(1,('FA Write off'!A:A='FA Addition'!$A1618)*('FA Write off'!D:D=AA1618),'FA Write off'!H:H,0,0)</f>
        <v>0</v>
      </c>
      <c r="AJ1618" s="117">
        <f>IF(AC1618&gt;0,MAX(IF('FA Addition'!$N1618="SLM",($AC1618-'FA Addition'!$M1618)*'FA Addition'!$P1618*AI1618/365,(AC1618-'FA Addition'!$M1618)*(1-(1-'FA Addition'!$P1618)^(AI1618/365))),0),0)</f>
        <v>0</v>
      </c>
      <c r="AL1618" s="117">
        <f>MAX(IF(AG1618&gt;0,IF('FA Addition'!$N1618="SLM",($AE1618-'FA Addition'!$M1618)*'FA Addition'!$P1618*AG1618/365,IFERROR(VDB(AE1618,AE1618*0.05,'FA Addition'!$O1618,0,YEARFRAC('FA Addition'!$C1618,$P$1-1,3),'FA Addition'!$Q1618),FAAddition[[#This Row],[Original Cost (Rs)]]-FAAddition[[#This Row],[Salvage Value]])),0),0)</f>
        <v>0</v>
      </c>
      <c r="AM1618" s="119"/>
      <c r="AN1618" s="117">
        <f>MAX(IF(AH1618&gt;0,IF('FA Addition'!$N1618="SLM",($AF1618-'FA Addition'!$M1618)*'FA Addition'!$P1618*AH1618/365,IFERROR(VDB(AF1618,AF1618*0.05,'FA Addition'!$O1618,0,YEARFRAC('FA Addition'!$C1618,$L$1,3),'FA Addition'!$Q1618),FAAddition[[#This Row],[Original Cost (Rs)]]-FAAddition[[#This Row],[Salvage Value]])),0),0)</f>
        <v>0</v>
      </c>
      <c r="AO1618" s="117">
        <f t="shared" si="128"/>
        <v>0</v>
      </c>
      <c r="AQ1618" s="117">
        <f t="shared" si="126"/>
        <v>0</v>
      </c>
      <c r="AR1618" s="120">
        <f t="shared" si="127"/>
        <v>0</v>
      </c>
      <c r="AS1618" s="121"/>
    </row>
    <row r="1619" spans="1:45" ht="13.5" x14ac:dyDescent="0.4">
      <c r="A1619" s="12">
        <f t="shared" si="129"/>
        <v>1616</v>
      </c>
      <c r="B1619" s="64" t="s">
        <v>10</v>
      </c>
      <c r="C1619" s="54">
        <v>46007</v>
      </c>
      <c r="D1619" s="54">
        <v>46008</v>
      </c>
      <c r="E1619" s="46" t="s">
        <v>451</v>
      </c>
      <c r="F1619" s="51" t="s">
        <v>19</v>
      </c>
      <c r="G1619" s="51" t="s">
        <v>169</v>
      </c>
      <c r="H1619" s="51" t="s">
        <v>21</v>
      </c>
      <c r="I1619" s="55" t="s">
        <v>243</v>
      </c>
      <c r="J1619" s="56">
        <v>1</v>
      </c>
      <c r="K1619" s="51" t="s">
        <v>371</v>
      </c>
      <c r="L1619" s="58">
        <v>84746</v>
      </c>
      <c r="M1619" s="50">
        <f>ROUND('FA Addition'!$L1619*5%,0.1)</f>
        <v>4237</v>
      </c>
      <c r="N1619" s="113" t="str">
        <f>_xlfn.XLOOKUP(_xlfn.CONCAT(E1619,B1619),'Year Wise Master Dep Approach'!F:F,'Year Wise Master Dep Approach'!D:D)</f>
        <v>WDV</v>
      </c>
      <c r="O1619" s="113">
        <f>_xlfn.XLOOKUP(_xlfn.CONCAT(E1619,B1619),'Year Wise Master Dep Approach'!F:F,'Year Wise Master Dep Approach'!E:E)</f>
        <v>3</v>
      </c>
      <c r="P1619" s="114">
        <f>IFERROR(IF('FA Addition'!$N1619="WDV",1-('FA Addition'!$M1619/'FA Addition'!$L1619)^(1/'FA Addition'!$O1619),1/'FA Addition'!$O1619),0)</f>
        <v>0.63160554463114682</v>
      </c>
      <c r="Q1619" s="122">
        <f>'FA Addition'!$P1619*'FA Addition'!$O1619</f>
        <v>1.8948166338934405</v>
      </c>
      <c r="R1619" s="122"/>
      <c r="S1619" s="116">
        <f>IF(AND(DATE(20&amp;LEFT(FAAddition[[#This Row],[FY]],2),4,1)&lt;$L$1+1,DATE(20&amp;LEFT(FAAddition[[#This Row],[FY]],2),4,1)&gt;$P$1-1),'FA Addition'!$J1619,0)</f>
        <v>0</v>
      </c>
      <c r="U1619" s="117">
        <f>S1619*'FA Addition'!$L1619/'FA Addition'!$J1619</f>
        <v>0</v>
      </c>
      <c r="W1619" s="116">
        <f>SUMIFS('FA Write off'!D:D,'FA Write off'!A:A,'FA Addition'!$A1619,'FA Write off'!C:C,"&lt;"&amp;'FA Addition'!$P$1)</f>
        <v>0</v>
      </c>
      <c r="Y1619" s="191">
        <f>IFERROR(W1619/'FA Addition'!$J1619*'FA Addition'!$L1619,0)</f>
        <v>0</v>
      </c>
      <c r="AA1619" s="116">
        <f>SUMIFS('FA Write off'!D:D,'FA Write off'!A:A,'FA Addition'!$A1619,'FA Write off'!C:C,"&lt;"&amp;'FA Addition'!$L$1+1,'FA Write off'!C:C,"&gt;"&amp;'FA Addition'!$L$1-365)</f>
        <v>0</v>
      </c>
      <c r="AC1619" s="118">
        <f>IFERROR(AA1619/'FA Addition'!$J1619*'FA Addition'!$L1619,0)</f>
        <v>0</v>
      </c>
      <c r="AE1619" s="117">
        <f>IF(AND('FA Addition'!$D1619&lt;$P$1+1,U1619=0),'FA Addition'!$L1619,0)-Y1619</f>
        <v>0</v>
      </c>
      <c r="AF1619" s="117">
        <f t="shared" si="125"/>
        <v>0</v>
      </c>
      <c r="AG1619" s="117">
        <f>MIN(MAX(+$P$1-'FA Addition'!$D1619,0),365*'FA Addition'!$O1619)</f>
        <v>0</v>
      </c>
      <c r="AH1619" s="117">
        <f>MIN(MAX($L$1-'FA Addition'!$D1619+1,0),365*'FA Addition'!$O1619)</f>
        <v>0</v>
      </c>
      <c r="AI1619" s="117" cm="1">
        <f t="array" ref="AI1619">_xlfn.XLOOKUP(1,('FA Write off'!A:A='FA Addition'!$A1619)*('FA Write off'!D:D=AA1619),'FA Write off'!H:H,0,0)</f>
        <v>0</v>
      </c>
      <c r="AJ1619" s="117">
        <f>IF(AC1619&gt;0,MAX(IF('FA Addition'!$N1619="SLM",($AC1619-'FA Addition'!$M1619)*'FA Addition'!$P1619*AI1619/365,(AC1619-'FA Addition'!$M1619)*(1-(1-'FA Addition'!$P1619)^(AI1619/365))),0),0)</f>
        <v>0</v>
      </c>
      <c r="AL1619" s="117">
        <f>MAX(IF(AG1619&gt;0,IF('FA Addition'!$N1619="SLM",($AE1619-'FA Addition'!$M1619)*'FA Addition'!$P1619*AG1619/365,IFERROR(VDB(AE1619,AE1619*0.05,'FA Addition'!$O1619,0,YEARFRAC('FA Addition'!$C1619,$P$1-1,3),'FA Addition'!$Q1619),FAAddition[[#This Row],[Original Cost (Rs)]]-FAAddition[[#This Row],[Salvage Value]])),0),0)</f>
        <v>0</v>
      </c>
      <c r="AM1619" s="119"/>
      <c r="AN1619" s="117">
        <f>MAX(IF(AH1619&gt;0,IF('FA Addition'!$N1619="SLM",($AF1619-'FA Addition'!$M1619)*'FA Addition'!$P1619*AH1619/365,IFERROR(VDB(AF1619,AF1619*0.05,'FA Addition'!$O1619,0,YEARFRAC('FA Addition'!$C1619,$L$1,3),'FA Addition'!$Q1619),FAAddition[[#This Row],[Original Cost (Rs)]]-FAAddition[[#This Row],[Salvage Value]])),0),0)</f>
        <v>0</v>
      </c>
      <c r="AO1619" s="117">
        <f t="shared" si="128"/>
        <v>0</v>
      </c>
      <c r="AQ1619" s="117">
        <f t="shared" si="126"/>
        <v>0</v>
      </c>
      <c r="AR1619" s="120">
        <f t="shared" si="127"/>
        <v>0</v>
      </c>
      <c r="AS1619" s="121"/>
    </row>
    <row r="1620" spans="1:45" ht="13.5" x14ac:dyDescent="0.4">
      <c r="A1620" s="12">
        <f t="shared" si="129"/>
        <v>1617</v>
      </c>
      <c r="B1620" s="64" t="s">
        <v>10</v>
      </c>
      <c r="C1620" s="54">
        <v>46004</v>
      </c>
      <c r="D1620" s="54">
        <v>46008</v>
      </c>
      <c r="E1620" s="46" t="s">
        <v>451</v>
      </c>
      <c r="F1620" s="51" t="s">
        <v>19</v>
      </c>
      <c r="G1620" s="51" t="s">
        <v>20</v>
      </c>
      <c r="H1620" s="51" t="s">
        <v>244</v>
      </c>
      <c r="I1620" s="55" t="s">
        <v>245</v>
      </c>
      <c r="J1620" s="56">
        <v>1</v>
      </c>
      <c r="K1620" s="51" t="s">
        <v>372</v>
      </c>
      <c r="L1620" s="58">
        <v>284000</v>
      </c>
      <c r="M1620" s="50">
        <f>ROUND('FA Addition'!$L1620*5%,0.1)</f>
        <v>14200</v>
      </c>
      <c r="N1620" s="113" t="str">
        <f>_xlfn.XLOOKUP(_xlfn.CONCAT(E1620,B1620),'Year Wise Master Dep Approach'!F:F,'Year Wise Master Dep Approach'!D:D)</f>
        <v>WDV</v>
      </c>
      <c r="O1620" s="113">
        <f>_xlfn.XLOOKUP(_xlfn.CONCAT(E1620,B1620),'Year Wise Master Dep Approach'!F:F,'Year Wise Master Dep Approach'!E:E)</f>
        <v>3</v>
      </c>
      <c r="P1620" s="114">
        <f>IFERROR(IF('FA Addition'!$N1620="WDV",1-('FA Addition'!$M1620/'FA Addition'!$L1620)^(1/'FA Addition'!$O1620),1/'FA Addition'!$O1620),0)</f>
        <v>0.63159685013596123</v>
      </c>
      <c r="Q1620" s="122">
        <f>'FA Addition'!$P1620*'FA Addition'!$O1620</f>
        <v>1.8947905504078837</v>
      </c>
      <c r="R1620" s="122"/>
      <c r="S1620" s="116">
        <f>IF(AND(DATE(20&amp;LEFT(FAAddition[[#This Row],[FY]],2),4,1)&lt;$L$1+1,DATE(20&amp;LEFT(FAAddition[[#This Row],[FY]],2),4,1)&gt;$P$1-1),'FA Addition'!$J1620,0)</f>
        <v>0</v>
      </c>
      <c r="U1620" s="117">
        <f>S1620*'FA Addition'!$L1620/'FA Addition'!$J1620</f>
        <v>0</v>
      </c>
      <c r="W1620" s="116">
        <f>SUMIFS('FA Write off'!D:D,'FA Write off'!A:A,'FA Addition'!$A1620,'FA Write off'!C:C,"&lt;"&amp;'FA Addition'!$P$1)</f>
        <v>0</v>
      </c>
      <c r="Y1620" s="191">
        <f>IFERROR(W1620/'FA Addition'!$J1620*'FA Addition'!$L1620,0)</f>
        <v>0</v>
      </c>
      <c r="AA1620" s="116">
        <f>SUMIFS('FA Write off'!D:D,'FA Write off'!A:A,'FA Addition'!$A1620,'FA Write off'!C:C,"&lt;"&amp;'FA Addition'!$L$1+1,'FA Write off'!C:C,"&gt;"&amp;'FA Addition'!$L$1-365)</f>
        <v>0</v>
      </c>
      <c r="AC1620" s="118">
        <f>IFERROR(AA1620/'FA Addition'!$J1620*'FA Addition'!$L1620,0)</f>
        <v>0</v>
      </c>
      <c r="AE1620" s="117">
        <f>IF(AND('FA Addition'!$D1620&lt;$P$1+1,U1620=0),'FA Addition'!$L1620,0)-Y1620</f>
        <v>0</v>
      </c>
      <c r="AF1620" s="117">
        <f t="shared" si="125"/>
        <v>0</v>
      </c>
      <c r="AG1620" s="117">
        <f>MIN(MAX(+$P$1-'FA Addition'!$D1620,0),365*'FA Addition'!$O1620)</f>
        <v>0</v>
      </c>
      <c r="AH1620" s="117">
        <f>MIN(MAX($L$1-'FA Addition'!$D1620+1,0),365*'FA Addition'!$O1620)</f>
        <v>0</v>
      </c>
      <c r="AI1620" s="117" cm="1">
        <f t="array" ref="AI1620">_xlfn.XLOOKUP(1,('FA Write off'!A:A='FA Addition'!$A1620)*('FA Write off'!D:D=AA1620),'FA Write off'!H:H,0,0)</f>
        <v>0</v>
      </c>
      <c r="AJ1620" s="117">
        <f>IF(AC1620&gt;0,MAX(IF('FA Addition'!$N1620="SLM",($AC1620-'FA Addition'!$M1620)*'FA Addition'!$P1620*AI1620/365,(AC1620-'FA Addition'!$M1620)*(1-(1-'FA Addition'!$P1620)^(AI1620/365))),0),0)</f>
        <v>0</v>
      </c>
      <c r="AL1620" s="117">
        <f>MAX(IF(AG1620&gt;0,IF('FA Addition'!$N1620="SLM",($AE1620-'FA Addition'!$M1620)*'FA Addition'!$P1620*AG1620/365,IFERROR(VDB(AE1620,AE1620*0.05,'FA Addition'!$O1620,0,YEARFRAC('FA Addition'!$C1620,$P$1-1,3),'FA Addition'!$Q1620),FAAddition[[#This Row],[Original Cost (Rs)]]-FAAddition[[#This Row],[Salvage Value]])),0),0)</f>
        <v>0</v>
      </c>
      <c r="AM1620" s="119"/>
      <c r="AN1620" s="117">
        <f>MAX(IF(AH1620&gt;0,IF('FA Addition'!$N1620="SLM",($AF1620-'FA Addition'!$M1620)*'FA Addition'!$P1620*AH1620/365,IFERROR(VDB(AF1620,AF1620*0.05,'FA Addition'!$O1620,0,YEARFRAC('FA Addition'!$C1620,$L$1,3),'FA Addition'!$Q1620),FAAddition[[#This Row],[Original Cost (Rs)]]-FAAddition[[#This Row],[Salvage Value]])),0),0)</f>
        <v>0</v>
      </c>
      <c r="AO1620" s="117">
        <f t="shared" si="128"/>
        <v>0</v>
      </c>
      <c r="AQ1620" s="117">
        <f t="shared" si="126"/>
        <v>0</v>
      </c>
      <c r="AR1620" s="120">
        <f t="shared" si="127"/>
        <v>0</v>
      </c>
      <c r="AS1620" s="121"/>
    </row>
    <row r="1621" spans="1:45" ht="13.5" x14ac:dyDescent="0.4">
      <c r="A1621" s="12">
        <f t="shared" si="129"/>
        <v>1618</v>
      </c>
      <c r="B1621" s="64" t="s">
        <v>10</v>
      </c>
      <c r="C1621" s="54">
        <v>45987</v>
      </c>
      <c r="D1621" s="54">
        <v>46008</v>
      </c>
      <c r="E1621" s="46" t="s">
        <v>451</v>
      </c>
      <c r="F1621" s="51" t="s">
        <v>19</v>
      </c>
      <c r="G1621" s="51" t="s">
        <v>246</v>
      </c>
      <c r="H1621" s="51" t="s">
        <v>21</v>
      </c>
      <c r="I1621" s="55" t="s">
        <v>247</v>
      </c>
      <c r="J1621" s="56">
        <v>1</v>
      </c>
      <c r="K1621" s="51" t="s">
        <v>373</v>
      </c>
      <c r="L1621" s="58">
        <v>58000</v>
      </c>
      <c r="M1621" s="50">
        <f>ROUND('FA Addition'!$L1621*5%,0.1)</f>
        <v>2900</v>
      </c>
      <c r="N1621" s="113" t="str">
        <f>_xlfn.XLOOKUP(_xlfn.CONCAT(E1621,B1621),'Year Wise Master Dep Approach'!F:F,'Year Wise Master Dep Approach'!D:D)</f>
        <v>WDV</v>
      </c>
      <c r="O1621" s="113">
        <f>_xlfn.XLOOKUP(_xlfn.CONCAT(E1621,B1621),'Year Wise Master Dep Approach'!F:F,'Year Wise Master Dep Approach'!E:E)</f>
        <v>3</v>
      </c>
      <c r="P1621" s="114">
        <f>IFERROR(IF('FA Addition'!$N1621="WDV",1-('FA Addition'!$M1621/'FA Addition'!$L1621)^(1/'FA Addition'!$O1621),1/'FA Addition'!$O1621),0)</f>
        <v>0.63159685013596123</v>
      </c>
      <c r="Q1621" s="122">
        <f>'FA Addition'!$P1621*'FA Addition'!$O1621</f>
        <v>1.8947905504078837</v>
      </c>
      <c r="R1621" s="122"/>
      <c r="S1621" s="116">
        <f>IF(AND(DATE(20&amp;LEFT(FAAddition[[#This Row],[FY]],2),4,1)&lt;$L$1+1,DATE(20&amp;LEFT(FAAddition[[#This Row],[FY]],2),4,1)&gt;$P$1-1),'FA Addition'!$J1621,0)</f>
        <v>0</v>
      </c>
      <c r="U1621" s="117">
        <f>S1621*'FA Addition'!$L1621/'FA Addition'!$J1621</f>
        <v>0</v>
      </c>
      <c r="W1621" s="116">
        <f>SUMIFS('FA Write off'!D:D,'FA Write off'!A:A,'FA Addition'!$A1621,'FA Write off'!C:C,"&lt;"&amp;'FA Addition'!$P$1)</f>
        <v>0</v>
      </c>
      <c r="Y1621" s="191">
        <f>IFERROR(W1621/'FA Addition'!$J1621*'FA Addition'!$L1621,0)</f>
        <v>0</v>
      </c>
      <c r="AA1621" s="116">
        <f>SUMIFS('FA Write off'!D:D,'FA Write off'!A:A,'FA Addition'!$A1621,'FA Write off'!C:C,"&lt;"&amp;'FA Addition'!$L$1+1,'FA Write off'!C:C,"&gt;"&amp;'FA Addition'!$L$1-365)</f>
        <v>0</v>
      </c>
      <c r="AC1621" s="118">
        <f>IFERROR(AA1621/'FA Addition'!$J1621*'FA Addition'!$L1621,0)</f>
        <v>0</v>
      </c>
      <c r="AE1621" s="117">
        <f>IF(AND('FA Addition'!$D1621&lt;$P$1+1,U1621=0),'FA Addition'!$L1621,0)-Y1621</f>
        <v>0</v>
      </c>
      <c r="AF1621" s="117">
        <f t="shared" si="125"/>
        <v>0</v>
      </c>
      <c r="AG1621" s="117">
        <f>MIN(MAX(+$P$1-'FA Addition'!$D1621,0),365*'FA Addition'!$O1621)</f>
        <v>0</v>
      </c>
      <c r="AH1621" s="117">
        <f>MIN(MAX($L$1-'FA Addition'!$D1621+1,0),365*'FA Addition'!$O1621)</f>
        <v>0</v>
      </c>
      <c r="AI1621" s="117" cm="1">
        <f t="array" ref="AI1621">_xlfn.XLOOKUP(1,('FA Write off'!A:A='FA Addition'!$A1621)*('FA Write off'!D:D=AA1621),'FA Write off'!H:H,0,0)</f>
        <v>0</v>
      </c>
      <c r="AJ1621" s="117">
        <f>IF(AC1621&gt;0,MAX(IF('FA Addition'!$N1621="SLM",($AC1621-'FA Addition'!$M1621)*'FA Addition'!$P1621*AI1621/365,(AC1621-'FA Addition'!$M1621)*(1-(1-'FA Addition'!$P1621)^(AI1621/365))),0),0)</f>
        <v>0</v>
      </c>
      <c r="AL1621" s="117">
        <f>MAX(IF(AG1621&gt;0,IF('FA Addition'!$N1621="SLM",($AE1621-'FA Addition'!$M1621)*'FA Addition'!$P1621*AG1621/365,IFERROR(VDB(AE1621,AE1621*0.05,'FA Addition'!$O1621,0,YEARFRAC('FA Addition'!$C1621,$P$1-1,3),'FA Addition'!$Q1621),FAAddition[[#This Row],[Original Cost (Rs)]]-FAAddition[[#This Row],[Salvage Value]])),0),0)</f>
        <v>0</v>
      </c>
      <c r="AM1621" s="119"/>
      <c r="AN1621" s="117">
        <f>MAX(IF(AH1621&gt;0,IF('FA Addition'!$N1621="SLM",($AF1621-'FA Addition'!$M1621)*'FA Addition'!$P1621*AH1621/365,IFERROR(VDB(AF1621,AF1621*0.05,'FA Addition'!$O1621,0,YEARFRAC('FA Addition'!$C1621,$L$1,3),'FA Addition'!$Q1621),FAAddition[[#This Row],[Original Cost (Rs)]]-FAAddition[[#This Row],[Salvage Value]])),0),0)</f>
        <v>0</v>
      </c>
      <c r="AO1621" s="117">
        <f t="shared" si="128"/>
        <v>0</v>
      </c>
      <c r="AQ1621" s="117">
        <f t="shared" si="126"/>
        <v>0</v>
      </c>
      <c r="AR1621" s="120">
        <f t="shared" si="127"/>
        <v>0</v>
      </c>
      <c r="AS1621" s="121"/>
    </row>
    <row r="1622" spans="1:45" ht="13.5" x14ac:dyDescent="0.4">
      <c r="A1622" s="12">
        <f t="shared" si="129"/>
        <v>1619</v>
      </c>
      <c r="B1622" s="64" t="s">
        <v>10</v>
      </c>
      <c r="C1622" s="54">
        <v>45987</v>
      </c>
      <c r="D1622" s="54">
        <v>46008</v>
      </c>
      <c r="E1622" s="46" t="s">
        <v>451</v>
      </c>
      <c r="F1622" s="51" t="s">
        <v>19</v>
      </c>
      <c r="G1622" s="51" t="s">
        <v>246</v>
      </c>
      <c r="H1622" s="51" t="s">
        <v>21</v>
      </c>
      <c r="I1622" s="55" t="s">
        <v>247</v>
      </c>
      <c r="J1622" s="56">
        <v>1</v>
      </c>
      <c r="K1622" s="51" t="s">
        <v>373</v>
      </c>
      <c r="L1622" s="58">
        <v>58000</v>
      </c>
      <c r="M1622" s="50">
        <f>ROUND('FA Addition'!$L1622*5%,0.1)</f>
        <v>2900</v>
      </c>
      <c r="N1622" s="113" t="str">
        <f>_xlfn.XLOOKUP(_xlfn.CONCAT(E1622,B1622),'Year Wise Master Dep Approach'!F:F,'Year Wise Master Dep Approach'!D:D)</f>
        <v>WDV</v>
      </c>
      <c r="O1622" s="113">
        <f>_xlfn.XLOOKUP(_xlfn.CONCAT(E1622,B1622),'Year Wise Master Dep Approach'!F:F,'Year Wise Master Dep Approach'!E:E)</f>
        <v>3</v>
      </c>
      <c r="P1622" s="114">
        <f>IFERROR(IF('FA Addition'!$N1622="WDV",1-('FA Addition'!$M1622/'FA Addition'!$L1622)^(1/'FA Addition'!$O1622),1/'FA Addition'!$O1622),0)</f>
        <v>0.63159685013596123</v>
      </c>
      <c r="Q1622" s="122">
        <f>'FA Addition'!$P1622*'FA Addition'!$O1622</f>
        <v>1.8947905504078837</v>
      </c>
      <c r="R1622" s="122"/>
      <c r="S1622" s="116">
        <f>IF(AND(DATE(20&amp;LEFT(FAAddition[[#This Row],[FY]],2),4,1)&lt;$L$1+1,DATE(20&amp;LEFT(FAAddition[[#This Row],[FY]],2),4,1)&gt;$P$1-1),'FA Addition'!$J1622,0)</f>
        <v>0</v>
      </c>
      <c r="U1622" s="117">
        <f>S1622*'FA Addition'!$L1622/'FA Addition'!$J1622</f>
        <v>0</v>
      </c>
      <c r="W1622" s="116">
        <f>SUMIFS('FA Write off'!D:D,'FA Write off'!A:A,'FA Addition'!$A1622,'FA Write off'!C:C,"&lt;"&amp;'FA Addition'!$P$1)</f>
        <v>0</v>
      </c>
      <c r="Y1622" s="191">
        <f>IFERROR(W1622/'FA Addition'!$J1622*'FA Addition'!$L1622,0)</f>
        <v>0</v>
      </c>
      <c r="AA1622" s="116">
        <f>SUMIFS('FA Write off'!D:D,'FA Write off'!A:A,'FA Addition'!$A1622,'FA Write off'!C:C,"&lt;"&amp;'FA Addition'!$L$1+1,'FA Write off'!C:C,"&gt;"&amp;'FA Addition'!$L$1-365)</f>
        <v>0</v>
      </c>
      <c r="AC1622" s="118">
        <f>IFERROR(AA1622/'FA Addition'!$J1622*'FA Addition'!$L1622,0)</f>
        <v>0</v>
      </c>
      <c r="AE1622" s="117">
        <f>IF(AND('FA Addition'!$D1622&lt;$P$1+1,U1622=0),'FA Addition'!$L1622,0)-Y1622</f>
        <v>0</v>
      </c>
      <c r="AF1622" s="117">
        <f t="shared" si="125"/>
        <v>0</v>
      </c>
      <c r="AG1622" s="117">
        <f>MIN(MAX(+$P$1-'FA Addition'!$D1622,0),365*'FA Addition'!$O1622)</f>
        <v>0</v>
      </c>
      <c r="AH1622" s="117">
        <f>MIN(MAX($L$1-'FA Addition'!$D1622+1,0),365*'FA Addition'!$O1622)</f>
        <v>0</v>
      </c>
      <c r="AI1622" s="117" cm="1">
        <f t="array" ref="AI1622">_xlfn.XLOOKUP(1,('FA Write off'!A:A='FA Addition'!$A1622)*('FA Write off'!D:D=AA1622),'FA Write off'!H:H,0,0)</f>
        <v>0</v>
      </c>
      <c r="AJ1622" s="117">
        <f>IF(AC1622&gt;0,MAX(IF('FA Addition'!$N1622="SLM",($AC1622-'FA Addition'!$M1622)*'FA Addition'!$P1622*AI1622/365,(AC1622-'FA Addition'!$M1622)*(1-(1-'FA Addition'!$P1622)^(AI1622/365))),0),0)</f>
        <v>0</v>
      </c>
      <c r="AL1622" s="117">
        <f>MAX(IF(AG1622&gt;0,IF('FA Addition'!$N1622="SLM",($AE1622-'FA Addition'!$M1622)*'FA Addition'!$P1622*AG1622/365,IFERROR(VDB(AE1622,AE1622*0.05,'FA Addition'!$O1622,0,YEARFRAC('FA Addition'!$C1622,$P$1-1,3),'FA Addition'!$Q1622),FAAddition[[#This Row],[Original Cost (Rs)]]-FAAddition[[#This Row],[Salvage Value]])),0),0)</f>
        <v>0</v>
      </c>
      <c r="AM1622" s="119"/>
      <c r="AN1622" s="117">
        <f>MAX(IF(AH1622&gt;0,IF('FA Addition'!$N1622="SLM",($AF1622-'FA Addition'!$M1622)*'FA Addition'!$P1622*AH1622/365,IFERROR(VDB(AF1622,AF1622*0.05,'FA Addition'!$O1622,0,YEARFRAC('FA Addition'!$C1622,$L$1,3),'FA Addition'!$Q1622),FAAddition[[#This Row],[Original Cost (Rs)]]-FAAddition[[#This Row],[Salvage Value]])),0),0)</f>
        <v>0</v>
      </c>
      <c r="AO1622" s="117">
        <f t="shared" si="128"/>
        <v>0</v>
      </c>
      <c r="AQ1622" s="117">
        <f t="shared" si="126"/>
        <v>0</v>
      </c>
      <c r="AR1622" s="120">
        <f t="shared" si="127"/>
        <v>0</v>
      </c>
      <c r="AS1622" s="121"/>
    </row>
    <row r="1623" spans="1:45" ht="13.5" x14ac:dyDescent="0.4">
      <c r="A1623" s="12">
        <f t="shared" si="129"/>
        <v>1620</v>
      </c>
      <c r="B1623" s="64" t="s">
        <v>10</v>
      </c>
      <c r="C1623" s="54">
        <v>46004</v>
      </c>
      <c r="D1623" s="54">
        <v>46006</v>
      </c>
      <c r="E1623" s="46" t="s">
        <v>451</v>
      </c>
      <c r="F1623" s="51" t="s">
        <v>19</v>
      </c>
      <c r="G1623" s="51" t="s">
        <v>169</v>
      </c>
      <c r="H1623" s="51" t="s">
        <v>248</v>
      </c>
      <c r="I1623" s="55" t="s">
        <v>249</v>
      </c>
      <c r="J1623" s="56">
        <v>1</v>
      </c>
      <c r="K1623" s="51" t="s">
        <v>374</v>
      </c>
      <c r="L1623" s="58">
        <v>58500</v>
      </c>
      <c r="M1623" s="50">
        <f>ROUND('FA Addition'!$L1623*5%,0.1)</f>
        <v>2925</v>
      </c>
      <c r="N1623" s="113" t="str">
        <f>_xlfn.XLOOKUP(_xlfn.CONCAT(E1623,B1623),'Year Wise Master Dep Approach'!F:F,'Year Wise Master Dep Approach'!D:D)</f>
        <v>WDV</v>
      </c>
      <c r="O1623" s="113">
        <f>_xlfn.XLOOKUP(_xlfn.CONCAT(E1623,B1623),'Year Wise Master Dep Approach'!F:F,'Year Wise Master Dep Approach'!E:E)</f>
        <v>3</v>
      </c>
      <c r="P1623" s="114">
        <f>IFERROR(IF('FA Addition'!$N1623="WDV",1-('FA Addition'!$M1623/'FA Addition'!$L1623)^(1/'FA Addition'!$O1623),1/'FA Addition'!$O1623),0)</f>
        <v>0.63159685013596123</v>
      </c>
      <c r="Q1623" s="122">
        <f>'FA Addition'!$P1623*'FA Addition'!$O1623</f>
        <v>1.8947905504078837</v>
      </c>
      <c r="R1623" s="122"/>
      <c r="S1623" s="116">
        <f>IF(AND(DATE(20&amp;LEFT(FAAddition[[#This Row],[FY]],2),4,1)&lt;$L$1+1,DATE(20&amp;LEFT(FAAddition[[#This Row],[FY]],2),4,1)&gt;$P$1-1),'FA Addition'!$J1623,0)</f>
        <v>0</v>
      </c>
      <c r="U1623" s="117">
        <f>S1623*'FA Addition'!$L1623/'FA Addition'!$J1623</f>
        <v>0</v>
      </c>
      <c r="W1623" s="116">
        <f>SUMIFS('FA Write off'!D:D,'FA Write off'!A:A,'FA Addition'!$A1623,'FA Write off'!C:C,"&lt;"&amp;'FA Addition'!$P$1)</f>
        <v>0</v>
      </c>
      <c r="Y1623" s="191">
        <f>IFERROR(W1623/'FA Addition'!$J1623*'FA Addition'!$L1623,0)</f>
        <v>0</v>
      </c>
      <c r="AA1623" s="116">
        <f>SUMIFS('FA Write off'!D:D,'FA Write off'!A:A,'FA Addition'!$A1623,'FA Write off'!C:C,"&lt;"&amp;'FA Addition'!$L$1+1,'FA Write off'!C:C,"&gt;"&amp;'FA Addition'!$L$1-365)</f>
        <v>0</v>
      </c>
      <c r="AC1623" s="118">
        <f>IFERROR(AA1623/'FA Addition'!$J1623*'FA Addition'!$L1623,0)</f>
        <v>0</v>
      </c>
      <c r="AE1623" s="117">
        <f>IF(AND('FA Addition'!$D1623&lt;$P$1+1,U1623=0),'FA Addition'!$L1623,0)-Y1623</f>
        <v>0</v>
      </c>
      <c r="AF1623" s="117">
        <f t="shared" si="125"/>
        <v>0</v>
      </c>
      <c r="AG1623" s="117">
        <f>MIN(MAX(+$P$1-'FA Addition'!$D1623,0),365*'FA Addition'!$O1623)</f>
        <v>0</v>
      </c>
      <c r="AH1623" s="117">
        <f>MIN(MAX($L$1-'FA Addition'!$D1623+1,0),365*'FA Addition'!$O1623)</f>
        <v>0</v>
      </c>
      <c r="AI1623" s="117" cm="1">
        <f t="array" ref="AI1623">_xlfn.XLOOKUP(1,('FA Write off'!A:A='FA Addition'!$A1623)*('FA Write off'!D:D=AA1623),'FA Write off'!H:H,0,0)</f>
        <v>0</v>
      </c>
      <c r="AJ1623" s="117">
        <f>IF(AC1623&gt;0,MAX(IF('FA Addition'!$N1623="SLM",($AC1623-'FA Addition'!$M1623)*'FA Addition'!$P1623*AI1623/365,(AC1623-'FA Addition'!$M1623)*(1-(1-'FA Addition'!$P1623)^(AI1623/365))),0),0)</f>
        <v>0</v>
      </c>
      <c r="AL1623" s="117">
        <f>MAX(IF(AG1623&gt;0,IF('FA Addition'!$N1623="SLM",($AE1623-'FA Addition'!$M1623)*'FA Addition'!$P1623*AG1623/365,IFERROR(VDB(AE1623,AE1623*0.05,'FA Addition'!$O1623,0,YEARFRAC('FA Addition'!$C1623,$P$1-1,3),'FA Addition'!$Q1623),FAAddition[[#This Row],[Original Cost (Rs)]]-FAAddition[[#This Row],[Salvage Value]])),0),0)</f>
        <v>0</v>
      </c>
      <c r="AM1623" s="119"/>
      <c r="AN1623" s="117">
        <f>MAX(IF(AH1623&gt;0,IF('FA Addition'!$N1623="SLM",($AF1623-'FA Addition'!$M1623)*'FA Addition'!$P1623*AH1623/365,IFERROR(VDB(AF1623,AF1623*0.05,'FA Addition'!$O1623,0,YEARFRAC('FA Addition'!$C1623,$L$1,3),'FA Addition'!$Q1623),FAAddition[[#This Row],[Original Cost (Rs)]]-FAAddition[[#This Row],[Salvage Value]])),0),0)</f>
        <v>0</v>
      </c>
      <c r="AO1623" s="117">
        <f t="shared" si="128"/>
        <v>0</v>
      </c>
      <c r="AQ1623" s="117">
        <f t="shared" si="126"/>
        <v>0</v>
      </c>
      <c r="AR1623" s="120">
        <f t="shared" si="127"/>
        <v>0</v>
      </c>
      <c r="AS1623" s="121"/>
    </row>
    <row r="1624" spans="1:45" ht="13.5" x14ac:dyDescent="0.4">
      <c r="A1624" s="12">
        <f t="shared" si="129"/>
        <v>1621</v>
      </c>
      <c r="B1624" s="64" t="s">
        <v>10</v>
      </c>
      <c r="C1624" s="54">
        <v>46004</v>
      </c>
      <c r="D1624" s="54">
        <v>46006</v>
      </c>
      <c r="E1624" s="46" t="s">
        <v>451</v>
      </c>
      <c r="F1624" s="51" t="s">
        <v>19</v>
      </c>
      <c r="G1624" s="51" t="s">
        <v>169</v>
      </c>
      <c r="H1624" s="51" t="s">
        <v>248</v>
      </c>
      <c r="I1624" s="55" t="s">
        <v>249</v>
      </c>
      <c r="J1624" s="56">
        <v>1</v>
      </c>
      <c r="K1624" s="51" t="s">
        <v>374</v>
      </c>
      <c r="L1624" s="58">
        <v>58500</v>
      </c>
      <c r="M1624" s="50">
        <f>ROUND('FA Addition'!$L1624*5%,0.1)</f>
        <v>2925</v>
      </c>
      <c r="N1624" s="113" t="str">
        <f>_xlfn.XLOOKUP(_xlfn.CONCAT(E1624,B1624),'Year Wise Master Dep Approach'!F:F,'Year Wise Master Dep Approach'!D:D)</f>
        <v>WDV</v>
      </c>
      <c r="O1624" s="113">
        <f>_xlfn.XLOOKUP(_xlfn.CONCAT(E1624,B1624),'Year Wise Master Dep Approach'!F:F,'Year Wise Master Dep Approach'!E:E)</f>
        <v>3</v>
      </c>
      <c r="P1624" s="114">
        <f>IFERROR(IF('FA Addition'!$N1624="WDV",1-('FA Addition'!$M1624/'FA Addition'!$L1624)^(1/'FA Addition'!$O1624),1/'FA Addition'!$O1624),0)</f>
        <v>0.63159685013596123</v>
      </c>
      <c r="Q1624" s="122">
        <f>'FA Addition'!$P1624*'FA Addition'!$O1624</f>
        <v>1.8947905504078837</v>
      </c>
      <c r="R1624" s="122"/>
      <c r="S1624" s="116">
        <f>IF(AND(DATE(20&amp;LEFT(FAAddition[[#This Row],[FY]],2),4,1)&lt;$L$1+1,DATE(20&amp;LEFT(FAAddition[[#This Row],[FY]],2),4,1)&gt;$P$1-1),'FA Addition'!$J1624,0)</f>
        <v>0</v>
      </c>
      <c r="U1624" s="117">
        <f>S1624*'FA Addition'!$L1624/'FA Addition'!$J1624</f>
        <v>0</v>
      </c>
      <c r="W1624" s="116">
        <f>SUMIFS('FA Write off'!D:D,'FA Write off'!A:A,'FA Addition'!$A1624,'FA Write off'!C:C,"&lt;"&amp;'FA Addition'!$P$1)</f>
        <v>0</v>
      </c>
      <c r="Y1624" s="191">
        <f>IFERROR(W1624/'FA Addition'!$J1624*'FA Addition'!$L1624,0)</f>
        <v>0</v>
      </c>
      <c r="AA1624" s="116">
        <f>SUMIFS('FA Write off'!D:D,'FA Write off'!A:A,'FA Addition'!$A1624,'FA Write off'!C:C,"&lt;"&amp;'FA Addition'!$L$1+1,'FA Write off'!C:C,"&gt;"&amp;'FA Addition'!$L$1-365)</f>
        <v>0</v>
      </c>
      <c r="AC1624" s="118">
        <f>IFERROR(AA1624/'FA Addition'!$J1624*'FA Addition'!$L1624,0)</f>
        <v>0</v>
      </c>
      <c r="AE1624" s="117">
        <f>IF(AND('FA Addition'!$D1624&lt;$P$1+1,U1624=0),'FA Addition'!$L1624,0)-Y1624</f>
        <v>0</v>
      </c>
      <c r="AF1624" s="117">
        <f t="shared" si="125"/>
        <v>0</v>
      </c>
      <c r="AG1624" s="117">
        <f>MIN(MAX(+$P$1-'FA Addition'!$D1624,0),365*'FA Addition'!$O1624)</f>
        <v>0</v>
      </c>
      <c r="AH1624" s="117">
        <f>MIN(MAX($L$1-'FA Addition'!$D1624+1,0),365*'FA Addition'!$O1624)</f>
        <v>0</v>
      </c>
      <c r="AI1624" s="117" cm="1">
        <f t="array" ref="AI1624">_xlfn.XLOOKUP(1,('FA Write off'!A:A='FA Addition'!$A1624)*('FA Write off'!D:D=AA1624),'FA Write off'!H:H,0,0)</f>
        <v>0</v>
      </c>
      <c r="AJ1624" s="117">
        <f>IF(AC1624&gt;0,MAX(IF('FA Addition'!$N1624="SLM",($AC1624-'FA Addition'!$M1624)*'FA Addition'!$P1624*AI1624/365,(AC1624-'FA Addition'!$M1624)*(1-(1-'FA Addition'!$P1624)^(AI1624/365))),0),0)</f>
        <v>0</v>
      </c>
      <c r="AL1624" s="117">
        <f>MAX(IF(AG1624&gt;0,IF('FA Addition'!$N1624="SLM",($AE1624-'FA Addition'!$M1624)*'FA Addition'!$P1624*AG1624/365,IFERROR(VDB(AE1624,AE1624*0.05,'FA Addition'!$O1624,0,YEARFRAC('FA Addition'!$C1624,$P$1-1,3),'FA Addition'!$Q1624),FAAddition[[#This Row],[Original Cost (Rs)]]-FAAddition[[#This Row],[Salvage Value]])),0),0)</f>
        <v>0</v>
      </c>
      <c r="AM1624" s="119"/>
      <c r="AN1624" s="117">
        <f>MAX(IF(AH1624&gt;0,IF('FA Addition'!$N1624="SLM",($AF1624-'FA Addition'!$M1624)*'FA Addition'!$P1624*AH1624/365,IFERROR(VDB(AF1624,AF1624*0.05,'FA Addition'!$O1624,0,YEARFRAC('FA Addition'!$C1624,$L$1,3),'FA Addition'!$Q1624),FAAddition[[#This Row],[Original Cost (Rs)]]-FAAddition[[#This Row],[Salvage Value]])),0),0)</f>
        <v>0</v>
      </c>
      <c r="AO1624" s="117">
        <f t="shared" si="128"/>
        <v>0</v>
      </c>
      <c r="AQ1624" s="117">
        <f t="shared" si="126"/>
        <v>0</v>
      </c>
      <c r="AR1624" s="120">
        <f t="shared" si="127"/>
        <v>0</v>
      </c>
      <c r="AS1624" s="121"/>
    </row>
    <row r="1625" spans="1:45" ht="13.5" x14ac:dyDescent="0.4">
      <c r="A1625" s="12">
        <f t="shared" si="129"/>
        <v>1622</v>
      </c>
      <c r="B1625" s="64" t="s">
        <v>10</v>
      </c>
      <c r="C1625" s="54">
        <v>46004</v>
      </c>
      <c r="D1625" s="54">
        <v>46006</v>
      </c>
      <c r="E1625" s="46" t="s">
        <v>451</v>
      </c>
      <c r="F1625" s="51" t="s">
        <v>19</v>
      </c>
      <c r="G1625" s="51" t="s">
        <v>169</v>
      </c>
      <c r="H1625" s="51" t="s">
        <v>248</v>
      </c>
      <c r="I1625" s="55" t="s">
        <v>249</v>
      </c>
      <c r="J1625" s="56">
        <v>1</v>
      </c>
      <c r="K1625" s="51" t="s">
        <v>374</v>
      </c>
      <c r="L1625" s="58">
        <v>58500</v>
      </c>
      <c r="M1625" s="50">
        <f>ROUND('FA Addition'!$L1625*5%,0.1)</f>
        <v>2925</v>
      </c>
      <c r="N1625" s="113" t="str">
        <f>_xlfn.XLOOKUP(_xlfn.CONCAT(E1625,B1625),'Year Wise Master Dep Approach'!F:F,'Year Wise Master Dep Approach'!D:D)</f>
        <v>WDV</v>
      </c>
      <c r="O1625" s="113">
        <f>_xlfn.XLOOKUP(_xlfn.CONCAT(E1625,B1625),'Year Wise Master Dep Approach'!F:F,'Year Wise Master Dep Approach'!E:E)</f>
        <v>3</v>
      </c>
      <c r="P1625" s="114">
        <f>IFERROR(IF('FA Addition'!$N1625="WDV",1-('FA Addition'!$M1625/'FA Addition'!$L1625)^(1/'FA Addition'!$O1625),1/'FA Addition'!$O1625),0)</f>
        <v>0.63159685013596123</v>
      </c>
      <c r="Q1625" s="122">
        <f>'FA Addition'!$P1625*'FA Addition'!$O1625</f>
        <v>1.8947905504078837</v>
      </c>
      <c r="R1625" s="122"/>
      <c r="S1625" s="116">
        <f>IF(AND(DATE(20&amp;LEFT(FAAddition[[#This Row],[FY]],2),4,1)&lt;$L$1+1,DATE(20&amp;LEFT(FAAddition[[#This Row],[FY]],2),4,1)&gt;$P$1-1),'FA Addition'!$J1625,0)</f>
        <v>0</v>
      </c>
      <c r="U1625" s="117">
        <f>S1625*'FA Addition'!$L1625/'FA Addition'!$J1625</f>
        <v>0</v>
      </c>
      <c r="W1625" s="116">
        <f>SUMIFS('FA Write off'!D:D,'FA Write off'!A:A,'FA Addition'!$A1625,'FA Write off'!C:C,"&lt;"&amp;'FA Addition'!$P$1)</f>
        <v>0</v>
      </c>
      <c r="Y1625" s="191">
        <f>IFERROR(W1625/'FA Addition'!$J1625*'FA Addition'!$L1625,0)</f>
        <v>0</v>
      </c>
      <c r="AA1625" s="116">
        <f>SUMIFS('FA Write off'!D:D,'FA Write off'!A:A,'FA Addition'!$A1625,'FA Write off'!C:C,"&lt;"&amp;'FA Addition'!$L$1+1,'FA Write off'!C:C,"&gt;"&amp;'FA Addition'!$L$1-365)</f>
        <v>0</v>
      </c>
      <c r="AC1625" s="118">
        <f>IFERROR(AA1625/'FA Addition'!$J1625*'FA Addition'!$L1625,0)</f>
        <v>0</v>
      </c>
      <c r="AE1625" s="117">
        <f>IF(AND('FA Addition'!$D1625&lt;$P$1+1,U1625=0),'FA Addition'!$L1625,0)-Y1625</f>
        <v>0</v>
      </c>
      <c r="AF1625" s="117">
        <f t="shared" si="125"/>
        <v>0</v>
      </c>
      <c r="AG1625" s="117">
        <f>MIN(MAX(+$P$1-'FA Addition'!$D1625,0),365*'FA Addition'!$O1625)</f>
        <v>0</v>
      </c>
      <c r="AH1625" s="117">
        <f>MIN(MAX($L$1-'FA Addition'!$D1625+1,0),365*'FA Addition'!$O1625)</f>
        <v>0</v>
      </c>
      <c r="AI1625" s="117" cm="1">
        <f t="array" ref="AI1625">_xlfn.XLOOKUP(1,('FA Write off'!A:A='FA Addition'!$A1625)*('FA Write off'!D:D=AA1625),'FA Write off'!H:H,0,0)</f>
        <v>0</v>
      </c>
      <c r="AJ1625" s="117">
        <f>IF(AC1625&gt;0,MAX(IF('FA Addition'!$N1625="SLM",($AC1625-'FA Addition'!$M1625)*'FA Addition'!$P1625*AI1625/365,(AC1625-'FA Addition'!$M1625)*(1-(1-'FA Addition'!$P1625)^(AI1625/365))),0),0)</f>
        <v>0</v>
      </c>
      <c r="AL1625" s="117">
        <f>MAX(IF(AG1625&gt;0,IF('FA Addition'!$N1625="SLM",($AE1625-'FA Addition'!$M1625)*'FA Addition'!$P1625*AG1625/365,IFERROR(VDB(AE1625,AE1625*0.05,'FA Addition'!$O1625,0,YEARFRAC('FA Addition'!$C1625,$P$1-1,3),'FA Addition'!$Q1625),FAAddition[[#This Row],[Original Cost (Rs)]]-FAAddition[[#This Row],[Salvage Value]])),0),0)</f>
        <v>0</v>
      </c>
      <c r="AM1625" s="119"/>
      <c r="AN1625" s="117">
        <f>MAX(IF(AH1625&gt;0,IF('FA Addition'!$N1625="SLM",($AF1625-'FA Addition'!$M1625)*'FA Addition'!$P1625*AH1625/365,IFERROR(VDB(AF1625,AF1625*0.05,'FA Addition'!$O1625,0,YEARFRAC('FA Addition'!$C1625,$L$1,3),'FA Addition'!$Q1625),FAAddition[[#This Row],[Original Cost (Rs)]]-FAAddition[[#This Row],[Salvage Value]])),0),0)</f>
        <v>0</v>
      </c>
      <c r="AO1625" s="117">
        <f t="shared" si="128"/>
        <v>0</v>
      </c>
      <c r="AQ1625" s="117">
        <f t="shared" si="126"/>
        <v>0</v>
      </c>
      <c r="AR1625" s="120">
        <f t="shared" si="127"/>
        <v>0</v>
      </c>
      <c r="AS1625" s="121"/>
    </row>
    <row r="1626" spans="1:45" ht="13.5" x14ac:dyDescent="0.4">
      <c r="A1626" s="12">
        <f t="shared" si="129"/>
        <v>1623</v>
      </c>
      <c r="B1626" s="64" t="s">
        <v>10</v>
      </c>
      <c r="C1626" s="54">
        <v>46004</v>
      </c>
      <c r="D1626" s="54">
        <v>46006</v>
      </c>
      <c r="E1626" s="46" t="s">
        <v>451</v>
      </c>
      <c r="F1626" s="51" t="s">
        <v>19</v>
      </c>
      <c r="G1626" s="51" t="s">
        <v>169</v>
      </c>
      <c r="H1626" s="51" t="s">
        <v>248</v>
      </c>
      <c r="I1626" s="55" t="s">
        <v>249</v>
      </c>
      <c r="J1626" s="56">
        <v>1</v>
      </c>
      <c r="K1626" s="51" t="s">
        <v>374</v>
      </c>
      <c r="L1626" s="58">
        <v>58500</v>
      </c>
      <c r="M1626" s="50">
        <f>ROUND('FA Addition'!$L1626*5%,0.1)</f>
        <v>2925</v>
      </c>
      <c r="N1626" s="113" t="str">
        <f>_xlfn.XLOOKUP(_xlfn.CONCAT(E1626,B1626),'Year Wise Master Dep Approach'!F:F,'Year Wise Master Dep Approach'!D:D)</f>
        <v>WDV</v>
      </c>
      <c r="O1626" s="113">
        <f>_xlfn.XLOOKUP(_xlfn.CONCAT(E1626,B1626),'Year Wise Master Dep Approach'!F:F,'Year Wise Master Dep Approach'!E:E)</f>
        <v>3</v>
      </c>
      <c r="P1626" s="114">
        <f>IFERROR(IF('FA Addition'!$N1626="WDV",1-('FA Addition'!$M1626/'FA Addition'!$L1626)^(1/'FA Addition'!$O1626),1/'FA Addition'!$O1626),0)</f>
        <v>0.63159685013596123</v>
      </c>
      <c r="Q1626" s="122">
        <f>'FA Addition'!$P1626*'FA Addition'!$O1626</f>
        <v>1.8947905504078837</v>
      </c>
      <c r="R1626" s="122"/>
      <c r="S1626" s="116">
        <f>IF(AND(DATE(20&amp;LEFT(FAAddition[[#This Row],[FY]],2),4,1)&lt;$L$1+1,DATE(20&amp;LEFT(FAAddition[[#This Row],[FY]],2),4,1)&gt;$P$1-1),'FA Addition'!$J1626,0)</f>
        <v>0</v>
      </c>
      <c r="U1626" s="117">
        <f>S1626*'FA Addition'!$L1626/'FA Addition'!$J1626</f>
        <v>0</v>
      </c>
      <c r="W1626" s="116">
        <f>SUMIFS('FA Write off'!D:D,'FA Write off'!A:A,'FA Addition'!$A1626,'FA Write off'!C:C,"&lt;"&amp;'FA Addition'!$P$1)</f>
        <v>0</v>
      </c>
      <c r="Y1626" s="191">
        <f>IFERROR(W1626/'FA Addition'!$J1626*'FA Addition'!$L1626,0)</f>
        <v>0</v>
      </c>
      <c r="AA1626" s="116">
        <f>SUMIFS('FA Write off'!D:D,'FA Write off'!A:A,'FA Addition'!$A1626,'FA Write off'!C:C,"&lt;"&amp;'FA Addition'!$L$1+1,'FA Write off'!C:C,"&gt;"&amp;'FA Addition'!$L$1-365)</f>
        <v>0</v>
      </c>
      <c r="AC1626" s="118">
        <f>IFERROR(AA1626/'FA Addition'!$J1626*'FA Addition'!$L1626,0)</f>
        <v>0</v>
      </c>
      <c r="AE1626" s="117">
        <f>IF(AND('FA Addition'!$D1626&lt;$P$1+1,U1626=0),'FA Addition'!$L1626,0)-Y1626</f>
        <v>0</v>
      </c>
      <c r="AF1626" s="117">
        <f t="shared" si="125"/>
        <v>0</v>
      </c>
      <c r="AG1626" s="117">
        <f>MIN(MAX(+$P$1-'FA Addition'!$D1626,0),365*'FA Addition'!$O1626)</f>
        <v>0</v>
      </c>
      <c r="AH1626" s="117">
        <f>MIN(MAX($L$1-'FA Addition'!$D1626+1,0),365*'FA Addition'!$O1626)</f>
        <v>0</v>
      </c>
      <c r="AI1626" s="117" cm="1">
        <f t="array" ref="AI1626">_xlfn.XLOOKUP(1,('FA Write off'!A:A='FA Addition'!$A1626)*('FA Write off'!D:D=AA1626),'FA Write off'!H:H,0,0)</f>
        <v>0</v>
      </c>
      <c r="AJ1626" s="117">
        <f>IF(AC1626&gt;0,MAX(IF('FA Addition'!$N1626="SLM",($AC1626-'FA Addition'!$M1626)*'FA Addition'!$P1626*AI1626/365,(AC1626-'FA Addition'!$M1626)*(1-(1-'FA Addition'!$P1626)^(AI1626/365))),0),0)</f>
        <v>0</v>
      </c>
      <c r="AL1626" s="117">
        <f>MAX(IF(AG1626&gt;0,IF('FA Addition'!$N1626="SLM",($AE1626-'FA Addition'!$M1626)*'FA Addition'!$P1626*AG1626/365,IFERROR(VDB(AE1626,AE1626*0.05,'FA Addition'!$O1626,0,YEARFRAC('FA Addition'!$C1626,$P$1-1,3),'FA Addition'!$Q1626),FAAddition[[#This Row],[Original Cost (Rs)]]-FAAddition[[#This Row],[Salvage Value]])),0),0)</f>
        <v>0</v>
      </c>
      <c r="AM1626" s="119"/>
      <c r="AN1626" s="117">
        <f>MAX(IF(AH1626&gt;0,IF('FA Addition'!$N1626="SLM",($AF1626-'FA Addition'!$M1626)*'FA Addition'!$P1626*AH1626/365,IFERROR(VDB(AF1626,AF1626*0.05,'FA Addition'!$O1626,0,YEARFRAC('FA Addition'!$C1626,$L$1,3),'FA Addition'!$Q1626),FAAddition[[#This Row],[Original Cost (Rs)]]-FAAddition[[#This Row],[Salvage Value]])),0),0)</f>
        <v>0</v>
      </c>
      <c r="AO1626" s="117">
        <f t="shared" si="128"/>
        <v>0</v>
      </c>
      <c r="AQ1626" s="117">
        <f t="shared" si="126"/>
        <v>0</v>
      </c>
      <c r="AR1626" s="120">
        <f t="shared" si="127"/>
        <v>0</v>
      </c>
      <c r="AS1626" s="121"/>
    </row>
    <row r="1627" spans="1:45" ht="13.5" x14ac:dyDescent="0.4">
      <c r="A1627" s="12">
        <f t="shared" si="129"/>
        <v>1624</v>
      </c>
      <c r="B1627" s="64" t="s">
        <v>10</v>
      </c>
      <c r="C1627" s="54">
        <v>46004</v>
      </c>
      <c r="D1627" s="54">
        <v>46006</v>
      </c>
      <c r="E1627" s="46" t="s">
        <v>451</v>
      </c>
      <c r="F1627" s="51" t="s">
        <v>19</v>
      </c>
      <c r="G1627" s="51" t="s">
        <v>169</v>
      </c>
      <c r="H1627" s="51" t="s">
        <v>248</v>
      </c>
      <c r="I1627" s="55" t="s">
        <v>249</v>
      </c>
      <c r="J1627" s="56">
        <v>1</v>
      </c>
      <c r="K1627" s="51" t="s">
        <v>374</v>
      </c>
      <c r="L1627" s="58">
        <v>58500</v>
      </c>
      <c r="M1627" s="50">
        <f>ROUND('FA Addition'!$L1627*5%,0.1)</f>
        <v>2925</v>
      </c>
      <c r="N1627" s="113" t="str">
        <f>_xlfn.XLOOKUP(_xlfn.CONCAT(E1627,B1627),'Year Wise Master Dep Approach'!F:F,'Year Wise Master Dep Approach'!D:D)</f>
        <v>WDV</v>
      </c>
      <c r="O1627" s="113">
        <f>_xlfn.XLOOKUP(_xlfn.CONCAT(E1627,B1627),'Year Wise Master Dep Approach'!F:F,'Year Wise Master Dep Approach'!E:E)</f>
        <v>3</v>
      </c>
      <c r="P1627" s="114">
        <f>IFERROR(IF('FA Addition'!$N1627="WDV",1-('FA Addition'!$M1627/'FA Addition'!$L1627)^(1/'FA Addition'!$O1627),1/'FA Addition'!$O1627),0)</f>
        <v>0.63159685013596123</v>
      </c>
      <c r="Q1627" s="122">
        <f>'FA Addition'!$P1627*'FA Addition'!$O1627</f>
        <v>1.8947905504078837</v>
      </c>
      <c r="R1627" s="122"/>
      <c r="S1627" s="116">
        <f>IF(AND(DATE(20&amp;LEFT(FAAddition[[#This Row],[FY]],2),4,1)&lt;$L$1+1,DATE(20&amp;LEFT(FAAddition[[#This Row],[FY]],2),4,1)&gt;$P$1-1),'FA Addition'!$J1627,0)</f>
        <v>0</v>
      </c>
      <c r="U1627" s="117">
        <f>S1627*'FA Addition'!$L1627/'FA Addition'!$J1627</f>
        <v>0</v>
      </c>
      <c r="W1627" s="116">
        <f>SUMIFS('FA Write off'!D:D,'FA Write off'!A:A,'FA Addition'!$A1627,'FA Write off'!C:C,"&lt;"&amp;'FA Addition'!$P$1)</f>
        <v>0</v>
      </c>
      <c r="Y1627" s="191">
        <f>IFERROR(W1627/'FA Addition'!$J1627*'FA Addition'!$L1627,0)</f>
        <v>0</v>
      </c>
      <c r="AA1627" s="116">
        <f>SUMIFS('FA Write off'!D:D,'FA Write off'!A:A,'FA Addition'!$A1627,'FA Write off'!C:C,"&lt;"&amp;'FA Addition'!$L$1+1,'FA Write off'!C:C,"&gt;"&amp;'FA Addition'!$L$1-365)</f>
        <v>0</v>
      </c>
      <c r="AC1627" s="118">
        <f>IFERROR(AA1627/'FA Addition'!$J1627*'FA Addition'!$L1627,0)</f>
        <v>0</v>
      </c>
      <c r="AE1627" s="117">
        <f>IF(AND('FA Addition'!$D1627&lt;$P$1+1,U1627=0),'FA Addition'!$L1627,0)-Y1627</f>
        <v>0</v>
      </c>
      <c r="AF1627" s="117">
        <f t="shared" si="125"/>
        <v>0</v>
      </c>
      <c r="AG1627" s="117">
        <f>MIN(MAX(+$P$1-'FA Addition'!$D1627,0),365*'FA Addition'!$O1627)</f>
        <v>0</v>
      </c>
      <c r="AH1627" s="117">
        <f>MIN(MAX($L$1-'FA Addition'!$D1627+1,0),365*'FA Addition'!$O1627)</f>
        <v>0</v>
      </c>
      <c r="AI1627" s="117" cm="1">
        <f t="array" ref="AI1627">_xlfn.XLOOKUP(1,('FA Write off'!A:A='FA Addition'!$A1627)*('FA Write off'!D:D=AA1627),'FA Write off'!H:H,0,0)</f>
        <v>0</v>
      </c>
      <c r="AJ1627" s="117">
        <f>IF(AC1627&gt;0,MAX(IF('FA Addition'!$N1627="SLM",($AC1627-'FA Addition'!$M1627)*'FA Addition'!$P1627*AI1627/365,(AC1627-'FA Addition'!$M1627)*(1-(1-'FA Addition'!$P1627)^(AI1627/365))),0),0)</f>
        <v>0</v>
      </c>
      <c r="AL1627" s="117">
        <f>MAX(IF(AG1627&gt;0,IF('FA Addition'!$N1627="SLM",($AE1627-'FA Addition'!$M1627)*'FA Addition'!$P1627*AG1627/365,IFERROR(VDB(AE1627,AE1627*0.05,'FA Addition'!$O1627,0,YEARFRAC('FA Addition'!$C1627,$P$1-1,3),'FA Addition'!$Q1627),FAAddition[[#This Row],[Original Cost (Rs)]]-FAAddition[[#This Row],[Salvage Value]])),0),0)</f>
        <v>0</v>
      </c>
      <c r="AM1627" s="119"/>
      <c r="AN1627" s="117">
        <f>MAX(IF(AH1627&gt;0,IF('FA Addition'!$N1627="SLM",($AF1627-'FA Addition'!$M1627)*'FA Addition'!$P1627*AH1627/365,IFERROR(VDB(AF1627,AF1627*0.05,'FA Addition'!$O1627,0,YEARFRAC('FA Addition'!$C1627,$L$1,3),'FA Addition'!$Q1627),FAAddition[[#This Row],[Original Cost (Rs)]]-FAAddition[[#This Row],[Salvage Value]])),0),0)</f>
        <v>0</v>
      </c>
      <c r="AO1627" s="117">
        <f t="shared" si="128"/>
        <v>0</v>
      </c>
      <c r="AQ1627" s="117">
        <f t="shared" si="126"/>
        <v>0</v>
      </c>
      <c r="AR1627" s="120">
        <f t="shared" si="127"/>
        <v>0</v>
      </c>
      <c r="AS1627" s="121"/>
    </row>
    <row r="1628" spans="1:45" ht="13.5" x14ac:dyDescent="0.4">
      <c r="A1628" s="12">
        <f t="shared" si="129"/>
        <v>1625</v>
      </c>
      <c r="B1628" s="64" t="s">
        <v>10</v>
      </c>
      <c r="C1628" s="54">
        <v>46004</v>
      </c>
      <c r="D1628" s="54">
        <v>46006</v>
      </c>
      <c r="E1628" s="46" t="s">
        <v>451</v>
      </c>
      <c r="F1628" s="51" t="s">
        <v>19</v>
      </c>
      <c r="G1628" s="51" t="s">
        <v>169</v>
      </c>
      <c r="H1628" s="51" t="s">
        <v>248</v>
      </c>
      <c r="I1628" s="55" t="s">
        <v>249</v>
      </c>
      <c r="J1628" s="56">
        <v>1</v>
      </c>
      <c r="K1628" s="51" t="s">
        <v>374</v>
      </c>
      <c r="L1628" s="58">
        <v>58500</v>
      </c>
      <c r="M1628" s="50">
        <f>ROUND('FA Addition'!$L1628*5%,0.1)</f>
        <v>2925</v>
      </c>
      <c r="N1628" s="113" t="str">
        <f>_xlfn.XLOOKUP(_xlfn.CONCAT(E1628,B1628),'Year Wise Master Dep Approach'!F:F,'Year Wise Master Dep Approach'!D:D)</f>
        <v>WDV</v>
      </c>
      <c r="O1628" s="113">
        <f>_xlfn.XLOOKUP(_xlfn.CONCAT(E1628,B1628),'Year Wise Master Dep Approach'!F:F,'Year Wise Master Dep Approach'!E:E)</f>
        <v>3</v>
      </c>
      <c r="P1628" s="114">
        <f>IFERROR(IF('FA Addition'!$N1628="WDV",1-('FA Addition'!$M1628/'FA Addition'!$L1628)^(1/'FA Addition'!$O1628),1/'FA Addition'!$O1628),0)</f>
        <v>0.63159685013596123</v>
      </c>
      <c r="Q1628" s="122">
        <f>'FA Addition'!$P1628*'FA Addition'!$O1628</f>
        <v>1.8947905504078837</v>
      </c>
      <c r="R1628" s="122"/>
      <c r="S1628" s="116">
        <f>IF(AND(DATE(20&amp;LEFT(FAAddition[[#This Row],[FY]],2),4,1)&lt;$L$1+1,DATE(20&amp;LEFT(FAAddition[[#This Row],[FY]],2),4,1)&gt;$P$1-1),'FA Addition'!$J1628,0)</f>
        <v>0</v>
      </c>
      <c r="U1628" s="117">
        <f>S1628*'FA Addition'!$L1628/'FA Addition'!$J1628</f>
        <v>0</v>
      </c>
      <c r="W1628" s="116">
        <f>SUMIFS('FA Write off'!D:D,'FA Write off'!A:A,'FA Addition'!$A1628,'FA Write off'!C:C,"&lt;"&amp;'FA Addition'!$P$1)</f>
        <v>0</v>
      </c>
      <c r="Y1628" s="191">
        <f>IFERROR(W1628/'FA Addition'!$J1628*'FA Addition'!$L1628,0)</f>
        <v>0</v>
      </c>
      <c r="AA1628" s="116">
        <f>SUMIFS('FA Write off'!D:D,'FA Write off'!A:A,'FA Addition'!$A1628,'FA Write off'!C:C,"&lt;"&amp;'FA Addition'!$L$1+1,'FA Write off'!C:C,"&gt;"&amp;'FA Addition'!$L$1-365)</f>
        <v>0</v>
      </c>
      <c r="AC1628" s="118">
        <f>IFERROR(AA1628/'FA Addition'!$J1628*'FA Addition'!$L1628,0)</f>
        <v>0</v>
      </c>
      <c r="AE1628" s="117">
        <f>IF(AND('FA Addition'!$D1628&lt;$P$1+1,U1628=0),'FA Addition'!$L1628,0)-Y1628</f>
        <v>0</v>
      </c>
      <c r="AF1628" s="117">
        <f t="shared" si="125"/>
        <v>0</v>
      </c>
      <c r="AG1628" s="117">
        <f>MIN(MAX(+$P$1-'FA Addition'!$D1628,0),365*'FA Addition'!$O1628)</f>
        <v>0</v>
      </c>
      <c r="AH1628" s="117">
        <f>MIN(MAX($L$1-'FA Addition'!$D1628+1,0),365*'FA Addition'!$O1628)</f>
        <v>0</v>
      </c>
      <c r="AI1628" s="117" cm="1">
        <f t="array" ref="AI1628">_xlfn.XLOOKUP(1,('FA Write off'!A:A='FA Addition'!$A1628)*('FA Write off'!D:D=AA1628),'FA Write off'!H:H,0,0)</f>
        <v>0</v>
      </c>
      <c r="AJ1628" s="117">
        <f>IF(AC1628&gt;0,MAX(IF('FA Addition'!$N1628="SLM",($AC1628-'FA Addition'!$M1628)*'FA Addition'!$P1628*AI1628/365,(AC1628-'FA Addition'!$M1628)*(1-(1-'FA Addition'!$P1628)^(AI1628/365))),0),0)</f>
        <v>0</v>
      </c>
      <c r="AL1628" s="117">
        <f>MAX(IF(AG1628&gt;0,IF('FA Addition'!$N1628="SLM",($AE1628-'FA Addition'!$M1628)*'FA Addition'!$P1628*AG1628/365,IFERROR(VDB(AE1628,AE1628*0.05,'FA Addition'!$O1628,0,YEARFRAC('FA Addition'!$C1628,$P$1-1,3),'FA Addition'!$Q1628),FAAddition[[#This Row],[Original Cost (Rs)]]-FAAddition[[#This Row],[Salvage Value]])),0),0)</f>
        <v>0</v>
      </c>
      <c r="AM1628" s="119"/>
      <c r="AN1628" s="117">
        <f>MAX(IF(AH1628&gt;0,IF('FA Addition'!$N1628="SLM",($AF1628-'FA Addition'!$M1628)*'FA Addition'!$P1628*AH1628/365,IFERROR(VDB(AF1628,AF1628*0.05,'FA Addition'!$O1628,0,YEARFRAC('FA Addition'!$C1628,$L$1,3),'FA Addition'!$Q1628),FAAddition[[#This Row],[Original Cost (Rs)]]-FAAddition[[#This Row],[Salvage Value]])),0),0)</f>
        <v>0</v>
      </c>
      <c r="AO1628" s="117">
        <f t="shared" si="128"/>
        <v>0</v>
      </c>
      <c r="AQ1628" s="117">
        <f t="shared" si="126"/>
        <v>0</v>
      </c>
      <c r="AR1628" s="120">
        <f t="shared" si="127"/>
        <v>0</v>
      </c>
      <c r="AS1628" s="121"/>
    </row>
    <row r="1629" spans="1:45" ht="13.5" x14ac:dyDescent="0.4">
      <c r="A1629" s="12">
        <f t="shared" si="129"/>
        <v>1626</v>
      </c>
      <c r="B1629" s="64" t="s">
        <v>10</v>
      </c>
      <c r="C1629" s="54">
        <v>46004</v>
      </c>
      <c r="D1629" s="54">
        <v>46006</v>
      </c>
      <c r="E1629" s="46" t="s">
        <v>451</v>
      </c>
      <c r="F1629" s="51" t="s">
        <v>19</v>
      </c>
      <c r="G1629" s="51" t="s">
        <v>169</v>
      </c>
      <c r="H1629" s="51" t="s">
        <v>248</v>
      </c>
      <c r="I1629" s="55" t="s">
        <v>249</v>
      </c>
      <c r="J1629" s="56">
        <v>1</v>
      </c>
      <c r="K1629" s="51" t="s">
        <v>374</v>
      </c>
      <c r="L1629" s="58">
        <v>58500</v>
      </c>
      <c r="M1629" s="50">
        <f>ROUND('FA Addition'!$L1629*5%,0.1)</f>
        <v>2925</v>
      </c>
      <c r="N1629" s="113" t="str">
        <f>_xlfn.XLOOKUP(_xlfn.CONCAT(E1629,B1629),'Year Wise Master Dep Approach'!F:F,'Year Wise Master Dep Approach'!D:D)</f>
        <v>WDV</v>
      </c>
      <c r="O1629" s="113">
        <f>_xlfn.XLOOKUP(_xlfn.CONCAT(E1629,B1629),'Year Wise Master Dep Approach'!F:F,'Year Wise Master Dep Approach'!E:E)</f>
        <v>3</v>
      </c>
      <c r="P1629" s="114">
        <f>IFERROR(IF('FA Addition'!$N1629="WDV",1-('FA Addition'!$M1629/'FA Addition'!$L1629)^(1/'FA Addition'!$O1629),1/'FA Addition'!$O1629),0)</f>
        <v>0.63159685013596123</v>
      </c>
      <c r="Q1629" s="122">
        <f>'FA Addition'!$P1629*'FA Addition'!$O1629</f>
        <v>1.8947905504078837</v>
      </c>
      <c r="R1629" s="122"/>
      <c r="S1629" s="116">
        <f>IF(AND(DATE(20&amp;LEFT(FAAddition[[#This Row],[FY]],2),4,1)&lt;$L$1+1,DATE(20&amp;LEFT(FAAddition[[#This Row],[FY]],2),4,1)&gt;$P$1-1),'FA Addition'!$J1629,0)</f>
        <v>0</v>
      </c>
      <c r="U1629" s="117">
        <f>S1629*'FA Addition'!$L1629/'FA Addition'!$J1629</f>
        <v>0</v>
      </c>
      <c r="W1629" s="116">
        <f>SUMIFS('FA Write off'!D:D,'FA Write off'!A:A,'FA Addition'!$A1629,'FA Write off'!C:C,"&lt;"&amp;'FA Addition'!$P$1)</f>
        <v>0</v>
      </c>
      <c r="Y1629" s="191">
        <f>IFERROR(W1629/'FA Addition'!$J1629*'FA Addition'!$L1629,0)</f>
        <v>0</v>
      </c>
      <c r="AA1629" s="116">
        <f>SUMIFS('FA Write off'!D:D,'FA Write off'!A:A,'FA Addition'!$A1629,'FA Write off'!C:C,"&lt;"&amp;'FA Addition'!$L$1+1,'FA Write off'!C:C,"&gt;"&amp;'FA Addition'!$L$1-365)</f>
        <v>0</v>
      </c>
      <c r="AC1629" s="118">
        <f>IFERROR(AA1629/'FA Addition'!$J1629*'FA Addition'!$L1629,0)</f>
        <v>0</v>
      </c>
      <c r="AE1629" s="117">
        <f>IF(AND('FA Addition'!$D1629&lt;$P$1+1,U1629=0),'FA Addition'!$L1629,0)-Y1629</f>
        <v>0</v>
      </c>
      <c r="AF1629" s="117">
        <f t="shared" si="125"/>
        <v>0</v>
      </c>
      <c r="AG1629" s="117">
        <f>MIN(MAX(+$P$1-'FA Addition'!$D1629,0),365*'FA Addition'!$O1629)</f>
        <v>0</v>
      </c>
      <c r="AH1629" s="117">
        <f>MIN(MAX($L$1-'FA Addition'!$D1629+1,0),365*'FA Addition'!$O1629)</f>
        <v>0</v>
      </c>
      <c r="AI1629" s="117" cm="1">
        <f t="array" ref="AI1629">_xlfn.XLOOKUP(1,('FA Write off'!A:A='FA Addition'!$A1629)*('FA Write off'!D:D=AA1629),'FA Write off'!H:H,0,0)</f>
        <v>0</v>
      </c>
      <c r="AJ1629" s="117">
        <f>IF(AC1629&gt;0,MAX(IF('FA Addition'!$N1629="SLM",($AC1629-'FA Addition'!$M1629)*'FA Addition'!$P1629*AI1629/365,(AC1629-'FA Addition'!$M1629)*(1-(1-'FA Addition'!$P1629)^(AI1629/365))),0),0)</f>
        <v>0</v>
      </c>
      <c r="AL1629" s="117">
        <f>MAX(IF(AG1629&gt;0,IF('FA Addition'!$N1629="SLM",($AE1629-'FA Addition'!$M1629)*'FA Addition'!$P1629*AG1629/365,IFERROR(VDB(AE1629,AE1629*0.05,'FA Addition'!$O1629,0,YEARFRAC('FA Addition'!$C1629,$P$1-1,3),'FA Addition'!$Q1629),FAAddition[[#This Row],[Original Cost (Rs)]]-FAAddition[[#This Row],[Salvage Value]])),0),0)</f>
        <v>0</v>
      </c>
      <c r="AM1629" s="119"/>
      <c r="AN1629" s="117">
        <f>MAX(IF(AH1629&gt;0,IF('FA Addition'!$N1629="SLM",($AF1629-'FA Addition'!$M1629)*'FA Addition'!$P1629*AH1629/365,IFERROR(VDB(AF1629,AF1629*0.05,'FA Addition'!$O1629,0,YEARFRAC('FA Addition'!$C1629,$L$1,3),'FA Addition'!$Q1629),FAAddition[[#This Row],[Original Cost (Rs)]]-FAAddition[[#This Row],[Salvage Value]])),0),0)</f>
        <v>0</v>
      </c>
      <c r="AO1629" s="117">
        <f t="shared" si="128"/>
        <v>0</v>
      </c>
      <c r="AQ1629" s="117">
        <f t="shared" si="126"/>
        <v>0</v>
      </c>
      <c r="AR1629" s="120">
        <f t="shared" si="127"/>
        <v>0</v>
      </c>
      <c r="AS1629" s="121"/>
    </row>
    <row r="1630" spans="1:45" ht="13.5" x14ac:dyDescent="0.4">
      <c r="A1630" s="12">
        <f t="shared" si="129"/>
        <v>1627</v>
      </c>
      <c r="B1630" s="64" t="s">
        <v>10</v>
      </c>
      <c r="C1630" s="54">
        <v>46004</v>
      </c>
      <c r="D1630" s="54">
        <v>46006</v>
      </c>
      <c r="E1630" s="46" t="s">
        <v>451</v>
      </c>
      <c r="F1630" s="51" t="s">
        <v>19</v>
      </c>
      <c r="G1630" s="51" t="s">
        <v>169</v>
      </c>
      <c r="H1630" s="51" t="s">
        <v>248</v>
      </c>
      <c r="I1630" s="55" t="s">
        <v>249</v>
      </c>
      <c r="J1630" s="56">
        <v>1</v>
      </c>
      <c r="K1630" s="51" t="s">
        <v>374</v>
      </c>
      <c r="L1630" s="58">
        <v>58500</v>
      </c>
      <c r="M1630" s="50">
        <f>ROUND('FA Addition'!$L1630*5%,0.1)</f>
        <v>2925</v>
      </c>
      <c r="N1630" s="113" t="str">
        <f>_xlfn.XLOOKUP(_xlfn.CONCAT(E1630,B1630),'Year Wise Master Dep Approach'!F:F,'Year Wise Master Dep Approach'!D:D)</f>
        <v>WDV</v>
      </c>
      <c r="O1630" s="113">
        <f>_xlfn.XLOOKUP(_xlfn.CONCAT(E1630,B1630),'Year Wise Master Dep Approach'!F:F,'Year Wise Master Dep Approach'!E:E)</f>
        <v>3</v>
      </c>
      <c r="P1630" s="114">
        <f>IFERROR(IF('FA Addition'!$N1630="WDV",1-('FA Addition'!$M1630/'FA Addition'!$L1630)^(1/'FA Addition'!$O1630),1/'FA Addition'!$O1630),0)</f>
        <v>0.63159685013596123</v>
      </c>
      <c r="Q1630" s="122">
        <f>'FA Addition'!$P1630*'FA Addition'!$O1630</f>
        <v>1.8947905504078837</v>
      </c>
      <c r="R1630" s="122"/>
      <c r="S1630" s="116">
        <f>IF(AND(DATE(20&amp;LEFT(FAAddition[[#This Row],[FY]],2),4,1)&lt;$L$1+1,DATE(20&amp;LEFT(FAAddition[[#This Row],[FY]],2),4,1)&gt;$P$1-1),'FA Addition'!$J1630,0)</f>
        <v>0</v>
      </c>
      <c r="U1630" s="117">
        <f>S1630*'FA Addition'!$L1630/'FA Addition'!$J1630</f>
        <v>0</v>
      </c>
      <c r="W1630" s="116">
        <f>SUMIFS('FA Write off'!D:D,'FA Write off'!A:A,'FA Addition'!$A1630,'FA Write off'!C:C,"&lt;"&amp;'FA Addition'!$P$1)</f>
        <v>0</v>
      </c>
      <c r="Y1630" s="191">
        <f>IFERROR(W1630/'FA Addition'!$J1630*'FA Addition'!$L1630,0)</f>
        <v>0</v>
      </c>
      <c r="AA1630" s="116">
        <f>SUMIFS('FA Write off'!D:D,'FA Write off'!A:A,'FA Addition'!$A1630,'FA Write off'!C:C,"&lt;"&amp;'FA Addition'!$L$1+1,'FA Write off'!C:C,"&gt;"&amp;'FA Addition'!$L$1-365)</f>
        <v>0</v>
      </c>
      <c r="AC1630" s="118">
        <f>IFERROR(AA1630/'FA Addition'!$J1630*'FA Addition'!$L1630,0)</f>
        <v>0</v>
      </c>
      <c r="AE1630" s="117">
        <f>IF(AND('FA Addition'!$D1630&lt;$P$1+1,U1630=0),'FA Addition'!$L1630,0)-Y1630</f>
        <v>0</v>
      </c>
      <c r="AF1630" s="117">
        <f t="shared" si="125"/>
        <v>0</v>
      </c>
      <c r="AG1630" s="117">
        <f>MIN(MAX(+$P$1-'FA Addition'!$D1630,0),365*'FA Addition'!$O1630)</f>
        <v>0</v>
      </c>
      <c r="AH1630" s="117">
        <f>MIN(MAX($L$1-'FA Addition'!$D1630+1,0),365*'FA Addition'!$O1630)</f>
        <v>0</v>
      </c>
      <c r="AI1630" s="117" cm="1">
        <f t="array" ref="AI1630">_xlfn.XLOOKUP(1,('FA Write off'!A:A='FA Addition'!$A1630)*('FA Write off'!D:D=AA1630),'FA Write off'!H:H,0,0)</f>
        <v>0</v>
      </c>
      <c r="AJ1630" s="117">
        <f>IF(AC1630&gt;0,MAX(IF('FA Addition'!$N1630="SLM",($AC1630-'FA Addition'!$M1630)*'FA Addition'!$P1630*AI1630/365,(AC1630-'FA Addition'!$M1630)*(1-(1-'FA Addition'!$P1630)^(AI1630/365))),0),0)</f>
        <v>0</v>
      </c>
      <c r="AL1630" s="117">
        <f>MAX(IF(AG1630&gt;0,IF('FA Addition'!$N1630="SLM",($AE1630-'FA Addition'!$M1630)*'FA Addition'!$P1630*AG1630/365,IFERROR(VDB(AE1630,AE1630*0.05,'FA Addition'!$O1630,0,YEARFRAC('FA Addition'!$C1630,$P$1-1,3),'FA Addition'!$Q1630),FAAddition[[#This Row],[Original Cost (Rs)]]-FAAddition[[#This Row],[Salvage Value]])),0),0)</f>
        <v>0</v>
      </c>
      <c r="AM1630" s="119"/>
      <c r="AN1630" s="117">
        <f>MAX(IF(AH1630&gt;0,IF('FA Addition'!$N1630="SLM",($AF1630-'FA Addition'!$M1630)*'FA Addition'!$P1630*AH1630/365,IFERROR(VDB(AF1630,AF1630*0.05,'FA Addition'!$O1630,0,YEARFRAC('FA Addition'!$C1630,$L$1,3),'FA Addition'!$Q1630),FAAddition[[#This Row],[Original Cost (Rs)]]-FAAddition[[#This Row],[Salvage Value]])),0),0)</f>
        <v>0</v>
      </c>
      <c r="AO1630" s="117">
        <f t="shared" si="128"/>
        <v>0</v>
      </c>
      <c r="AQ1630" s="117">
        <f t="shared" si="126"/>
        <v>0</v>
      </c>
      <c r="AR1630" s="120">
        <f t="shared" si="127"/>
        <v>0</v>
      </c>
      <c r="AS1630" s="121"/>
    </row>
    <row r="1631" spans="1:45" ht="13.5" x14ac:dyDescent="0.4">
      <c r="A1631" s="12">
        <f t="shared" si="129"/>
        <v>1628</v>
      </c>
      <c r="B1631" s="64" t="s">
        <v>10</v>
      </c>
      <c r="C1631" s="54">
        <v>46004</v>
      </c>
      <c r="D1631" s="54">
        <v>46006</v>
      </c>
      <c r="E1631" s="46" t="s">
        <v>451</v>
      </c>
      <c r="F1631" s="51" t="s">
        <v>19</v>
      </c>
      <c r="G1631" s="51" t="s">
        <v>169</v>
      </c>
      <c r="H1631" s="51" t="s">
        <v>248</v>
      </c>
      <c r="I1631" s="55" t="s">
        <v>249</v>
      </c>
      <c r="J1631" s="56">
        <v>1</v>
      </c>
      <c r="K1631" s="51" t="s">
        <v>374</v>
      </c>
      <c r="L1631" s="58">
        <v>58500</v>
      </c>
      <c r="M1631" s="50">
        <f>ROUND('FA Addition'!$L1631*5%,0.1)</f>
        <v>2925</v>
      </c>
      <c r="N1631" s="113" t="str">
        <f>_xlfn.XLOOKUP(_xlfn.CONCAT(E1631,B1631),'Year Wise Master Dep Approach'!F:F,'Year Wise Master Dep Approach'!D:D)</f>
        <v>WDV</v>
      </c>
      <c r="O1631" s="113">
        <f>_xlfn.XLOOKUP(_xlfn.CONCAT(E1631,B1631),'Year Wise Master Dep Approach'!F:F,'Year Wise Master Dep Approach'!E:E)</f>
        <v>3</v>
      </c>
      <c r="P1631" s="114">
        <f>IFERROR(IF('FA Addition'!$N1631="WDV",1-('FA Addition'!$M1631/'FA Addition'!$L1631)^(1/'FA Addition'!$O1631),1/'FA Addition'!$O1631),0)</f>
        <v>0.63159685013596123</v>
      </c>
      <c r="Q1631" s="122">
        <f>'FA Addition'!$P1631*'FA Addition'!$O1631</f>
        <v>1.8947905504078837</v>
      </c>
      <c r="R1631" s="122"/>
      <c r="S1631" s="116">
        <f>IF(AND(DATE(20&amp;LEFT(FAAddition[[#This Row],[FY]],2),4,1)&lt;$L$1+1,DATE(20&amp;LEFT(FAAddition[[#This Row],[FY]],2),4,1)&gt;$P$1-1),'FA Addition'!$J1631,0)</f>
        <v>0</v>
      </c>
      <c r="U1631" s="117">
        <f>S1631*'FA Addition'!$L1631/'FA Addition'!$J1631</f>
        <v>0</v>
      </c>
      <c r="W1631" s="116">
        <f>SUMIFS('FA Write off'!D:D,'FA Write off'!A:A,'FA Addition'!$A1631,'FA Write off'!C:C,"&lt;"&amp;'FA Addition'!$P$1)</f>
        <v>0</v>
      </c>
      <c r="Y1631" s="191">
        <f>IFERROR(W1631/'FA Addition'!$J1631*'FA Addition'!$L1631,0)</f>
        <v>0</v>
      </c>
      <c r="AA1631" s="116">
        <f>SUMIFS('FA Write off'!D:D,'FA Write off'!A:A,'FA Addition'!$A1631,'FA Write off'!C:C,"&lt;"&amp;'FA Addition'!$L$1+1,'FA Write off'!C:C,"&gt;"&amp;'FA Addition'!$L$1-365)</f>
        <v>0</v>
      </c>
      <c r="AC1631" s="118">
        <f>IFERROR(AA1631/'FA Addition'!$J1631*'FA Addition'!$L1631,0)</f>
        <v>0</v>
      </c>
      <c r="AE1631" s="117">
        <f>IF(AND('FA Addition'!$D1631&lt;$P$1+1,U1631=0),'FA Addition'!$L1631,0)-Y1631</f>
        <v>0</v>
      </c>
      <c r="AF1631" s="117">
        <f t="shared" si="125"/>
        <v>0</v>
      </c>
      <c r="AG1631" s="117">
        <f>MIN(MAX(+$P$1-'FA Addition'!$D1631,0),365*'FA Addition'!$O1631)</f>
        <v>0</v>
      </c>
      <c r="AH1631" s="117">
        <f>MIN(MAX($L$1-'FA Addition'!$D1631+1,0),365*'FA Addition'!$O1631)</f>
        <v>0</v>
      </c>
      <c r="AI1631" s="117" cm="1">
        <f t="array" ref="AI1631">_xlfn.XLOOKUP(1,('FA Write off'!A:A='FA Addition'!$A1631)*('FA Write off'!D:D=AA1631),'FA Write off'!H:H,0,0)</f>
        <v>0</v>
      </c>
      <c r="AJ1631" s="117">
        <f>IF(AC1631&gt;0,MAX(IF('FA Addition'!$N1631="SLM",($AC1631-'FA Addition'!$M1631)*'FA Addition'!$P1631*AI1631/365,(AC1631-'FA Addition'!$M1631)*(1-(1-'FA Addition'!$P1631)^(AI1631/365))),0),0)</f>
        <v>0</v>
      </c>
      <c r="AL1631" s="117">
        <f>MAX(IF(AG1631&gt;0,IF('FA Addition'!$N1631="SLM",($AE1631-'FA Addition'!$M1631)*'FA Addition'!$P1631*AG1631/365,IFERROR(VDB(AE1631,AE1631*0.05,'FA Addition'!$O1631,0,YEARFRAC('FA Addition'!$C1631,$P$1-1,3),'FA Addition'!$Q1631),FAAddition[[#This Row],[Original Cost (Rs)]]-FAAddition[[#This Row],[Salvage Value]])),0),0)</f>
        <v>0</v>
      </c>
      <c r="AM1631" s="119"/>
      <c r="AN1631" s="117">
        <f>MAX(IF(AH1631&gt;0,IF('FA Addition'!$N1631="SLM",($AF1631-'FA Addition'!$M1631)*'FA Addition'!$P1631*AH1631/365,IFERROR(VDB(AF1631,AF1631*0.05,'FA Addition'!$O1631,0,YEARFRAC('FA Addition'!$C1631,$L$1,3),'FA Addition'!$Q1631),FAAddition[[#This Row],[Original Cost (Rs)]]-FAAddition[[#This Row],[Salvage Value]])),0),0)</f>
        <v>0</v>
      </c>
      <c r="AO1631" s="117">
        <f t="shared" si="128"/>
        <v>0</v>
      </c>
      <c r="AQ1631" s="117">
        <f t="shared" si="126"/>
        <v>0</v>
      </c>
      <c r="AR1631" s="120">
        <f t="shared" si="127"/>
        <v>0</v>
      </c>
      <c r="AS1631" s="121"/>
    </row>
    <row r="1632" spans="1:45" ht="13.5" x14ac:dyDescent="0.4">
      <c r="A1632" s="12">
        <f t="shared" si="129"/>
        <v>1629</v>
      </c>
      <c r="B1632" s="64" t="s">
        <v>10</v>
      </c>
      <c r="C1632" s="54">
        <v>46004</v>
      </c>
      <c r="D1632" s="54">
        <v>46006</v>
      </c>
      <c r="E1632" s="46" t="s">
        <v>451</v>
      </c>
      <c r="F1632" s="51" t="s">
        <v>19</v>
      </c>
      <c r="G1632" s="51" t="s">
        <v>169</v>
      </c>
      <c r="H1632" s="51" t="s">
        <v>248</v>
      </c>
      <c r="I1632" s="55" t="s">
        <v>249</v>
      </c>
      <c r="J1632" s="56">
        <v>1</v>
      </c>
      <c r="K1632" s="51" t="s">
        <v>374</v>
      </c>
      <c r="L1632" s="58">
        <v>58500</v>
      </c>
      <c r="M1632" s="50">
        <f>ROUND('FA Addition'!$L1632*5%,0.1)</f>
        <v>2925</v>
      </c>
      <c r="N1632" s="113" t="str">
        <f>_xlfn.XLOOKUP(_xlfn.CONCAT(E1632,B1632),'Year Wise Master Dep Approach'!F:F,'Year Wise Master Dep Approach'!D:D)</f>
        <v>WDV</v>
      </c>
      <c r="O1632" s="113">
        <f>_xlfn.XLOOKUP(_xlfn.CONCAT(E1632,B1632),'Year Wise Master Dep Approach'!F:F,'Year Wise Master Dep Approach'!E:E)</f>
        <v>3</v>
      </c>
      <c r="P1632" s="114">
        <f>IFERROR(IF('FA Addition'!$N1632="WDV",1-('FA Addition'!$M1632/'FA Addition'!$L1632)^(1/'FA Addition'!$O1632),1/'FA Addition'!$O1632),0)</f>
        <v>0.63159685013596123</v>
      </c>
      <c r="Q1632" s="122">
        <f>'FA Addition'!$P1632*'FA Addition'!$O1632</f>
        <v>1.8947905504078837</v>
      </c>
      <c r="R1632" s="122"/>
      <c r="S1632" s="116">
        <f>IF(AND(DATE(20&amp;LEFT(FAAddition[[#This Row],[FY]],2),4,1)&lt;$L$1+1,DATE(20&amp;LEFT(FAAddition[[#This Row],[FY]],2),4,1)&gt;$P$1-1),'FA Addition'!$J1632,0)</f>
        <v>0</v>
      </c>
      <c r="U1632" s="117">
        <f>S1632*'FA Addition'!$L1632/'FA Addition'!$J1632</f>
        <v>0</v>
      </c>
      <c r="W1632" s="116">
        <f>SUMIFS('FA Write off'!D:D,'FA Write off'!A:A,'FA Addition'!$A1632,'FA Write off'!C:C,"&lt;"&amp;'FA Addition'!$P$1)</f>
        <v>0</v>
      </c>
      <c r="Y1632" s="191">
        <f>IFERROR(W1632/'FA Addition'!$J1632*'FA Addition'!$L1632,0)</f>
        <v>0</v>
      </c>
      <c r="AA1632" s="116">
        <f>SUMIFS('FA Write off'!D:D,'FA Write off'!A:A,'FA Addition'!$A1632,'FA Write off'!C:C,"&lt;"&amp;'FA Addition'!$L$1+1,'FA Write off'!C:C,"&gt;"&amp;'FA Addition'!$L$1-365)</f>
        <v>0</v>
      </c>
      <c r="AC1632" s="118">
        <f>IFERROR(AA1632/'FA Addition'!$J1632*'FA Addition'!$L1632,0)</f>
        <v>0</v>
      </c>
      <c r="AE1632" s="117">
        <f>IF(AND('FA Addition'!$D1632&lt;$P$1+1,U1632=0),'FA Addition'!$L1632,0)-Y1632</f>
        <v>0</v>
      </c>
      <c r="AF1632" s="117">
        <f t="shared" si="125"/>
        <v>0</v>
      </c>
      <c r="AG1632" s="117">
        <f>MIN(MAX(+$P$1-'FA Addition'!$D1632,0),365*'FA Addition'!$O1632)</f>
        <v>0</v>
      </c>
      <c r="AH1632" s="117">
        <f>MIN(MAX($L$1-'FA Addition'!$D1632+1,0),365*'FA Addition'!$O1632)</f>
        <v>0</v>
      </c>
      <c r="AI1632" s="117" cm="1">
        <f t="array" ref="AI1632">_xlfn.XLOOKUP(1,('FA Write off'!A:A='FA Addition'!$A1632)*('FA Write off'!D:D=AA1632),'FA Write off'!H:H,0,0)</f>
        <v>0</v>
      </c>
      <c r="AJ1632" s="117">
        <f>IF(AC1632&gt;0,MAX(IF('FA Addition'!$N1632="SLM",($AC1632-'FA Addition'!$M1632)*'FA Addition'!$P1632*AI1632/365,(AC1632-'FA Addition'!$M1632)*(1-(1-'FA Addition'!$P1632)^(AI1632/365))),0),0)</f>
        <v>0</v>
      </c>
      <c r="AL1632" s="117">
        <f>MAX(IF(AG1632&gt;0,IF('FA Addition'!$N1632="SLM",($AE1632-'FA Addition'!$M1632)*'FA Addition'!$P1632*AG1632/365,IFERROR(VDB(AE1632,AE1632*0.05,'FA Addition'!$O1632,0,YEARFRAC('FA Addition'!$C1632,$P$1-1,3),'FA Addition'!$Q1632),FAAddition[[#This Row],[Original Cost (Rs)]]-FAAddition[[#This Row],[Salvage Value]])),0),0)</f>
        <v>0</v>
      </c>
      <c r="AM1632" s="119"/>
      <c r="AN1632" s="117">
        <f>MAX(IF(AH1632&gt;0,IF('FA Addition'!$N1632="SLM",($AF1632-'FA Addition'!$M1632)*'FA Addition'!$P1632*AH1632/365,IFERROR(VDB(AF1632,AF1632*0.05,'FA Addition'!$O1632,0,YEARFRAC('FA Addition'!$C1632,$L$1,3),'FA Addition'!$Q1632),FAAddition[[#This Row],[Original Cost (Rs)]]-FAAddition[[#This Row],[Salvage Value]])),0),0)</f>
        <v>0</v>
      </c>
      <c r="AO1632" s="117">
        <f t="shared" si="128"/>
        <v>0</v>
      </c>
      <c r="AQ1632" s="117">
        <f t="shared" si="126"/>
        <v>0</v>
      </c>
      <c r="AR1632" s="120">
        <f t="shared" si="127"/>
        <v>0</v>
      </c>
      <c r="AS1632" s="121"/>
    </row>
    <row r="1633" spans="1:45" ht="13.5" x14ac:dyDescent="0.4">
      <c r="A1633" s="12">
        <f t="shared" si="129"/>
        <v>1630</v>
      </c>
      <c r="B1633" s="64" t="s">
        <v>10</v>
      </c>
      <c r="C1633" s="54">
        <v>46004</v>
      </c>
      <c r="D1633" s="54">
        <v>46006</v>
      </c>
      <c r="E1633" s="46" t="s">
        <v>451</v>
      </c>
      <c r="F1633" s="51" t="s">
        <v>19</v>
      </c>
      <c r="G1633" s="51" t="s">
        <v>169</v>
      </c>
      <c r="H1633" s="51" t="s">
        <v>250</v>
      </c>
      <c r="I1633" s="55" t="s">
        <v>249</v>
      </c>
      <c r="J1633" s="56">
        <v>2</v>
      </c>
      <c r="K1633" s="51" t="s">
        <v>375</v>
      </c>
      <c r="L1633" s="58">
        <v>2796.62</v>
      </c>
      <c r="M1633" s="50">
        <f>ROUND('FA Addition'!$L1633*5%,0.1)</f>
        <v>140</v>
      </c>
      <c r="N1633" s="113" t="str">
        <f>_xlfn.XLOOKUP(_xlfn.CONCAT(E1633,B1633),'Year Wise Master Dep Approach'!F:F,'Year Wise Master Dep Approach'!D:D)</f>
        <v>WDV</v>
      </c>
      <c r="O1633" s="113">
        <f>_xlfn.XLOOKUP(_xlfn.CONCAT(E1633,B1633),'Year Wise Master Dep Approach'!F:F,'Year Wise Master Dep Approach'!E:E)</f>
        <v>3</v>
      </c>
      <c r="P1633" s="114">
        <f>IFERROR(IF('FA Addition'!$N1633="WDV",1-('FA Addition'!$M1633/'FA Addition'!$L1633)^(1/'FA Addition'!$O1633),1/'FA Addition'!$O1633),0)</f>
        <v>0.63144849231691436</v>
      </c>
      <c r="Q1633" s="122">
        <f>'FA Addition'!$P1633*'FA Addition'!$O1633</f>
        <v>1.8943454769507431</v>
      </c>
      <c r="R1633" s="122"/>
      <c r="S1633" s="116">
        <f>IF(AND(DATE(20&amp;LEFT(FAAddition[[#This Row],[FY]],2),4,1)&lt;$L$1+1,DATE(20&amp;LEFT(FAAddition[[#This Row],[FY]],2),4,1)&gt;$P$1-1),'FA Addition'!$J1633,0)</f>
        <v>0</v>
      </c>
      <c r="U1633" s="117">
        <f>S1633*'FA Addition'!$L1633/'FA Addition'!$J1633</f>
        <v>0</v>
      </c>
      <c r="W1633" s="116">
        <f>SUMIFS('FA Write off'!D:D,'FA Write off'!A:A,'FA Addition'!$A1633,'FA Write off'!C:C,"&lt;"&amp;'FA Addition'!$P$1)</f>
        <v>0</v>
      </c>
      <c r="Y1633" s="191">
        <f>IFERROR(W1633/'FA Addition'!$J1633*'FA Addition'!$L1633,0)</f>
        <v>0</v>
      </c>
      <c r="AA1633" s="116">
        <f>SUMIFS('FA Write off'!D:D,'FA Write off'!A:A,'FA Addition'!$A1633,'FA Write off'!C:C,"&lt;"&amp;'FA Addition'!$L$1+1,'FA Write off'!C:C,"&gt;"&amp;'FA Addition'!$L$1-365)</f>
        <v>0</v>
      </c>
      <c r="AC1633" s="118">
        <f>IFERROR(AA1633/'FA Addition'!$J1633*'FA Addition'!$L1633,0)</f>
        <v>0</v>
      </c>
      <c r="AE1633" s="117">
        <f>IF(AND('FA Addition'!$D1633&lt;$P$1+1,U1633=0),'FA Addition'!$L1633,0)-Y1633</f>
        <v>0</v>
      </c>
      <c r="AF1633" s="117">
        <f t="shared" si="125"/>
        <v>0</v>
      </c>
      <c r="AG1633" s="117">
        <f>MIN(MAX(+$P$1-'FA Addition'!$D1633,0),365*'FA Addition'!$O1633)</f>
        <v>0</v>
      </c>
      <c r="AH1633" s="117">
        <f>MIN(MAX($L$1-'FA Addition'!$D1633+1,0),365*'FA Addition'!$O1633)</f>
        <v>0</v>
      </c>
      <c r="AI1633" s="117" cm="1">
        <f t="array" ref="AI1633">_xlfn.XLOOKUP(1,('FA Write off'!A:A='FA Addition'!$A1633)*('FA Write off'!D:D=AA1633),'FA Write off'!H:H,0,0)</f>
        <v>0</v>
      </c>
      <c r="AJ1633" s="117">
        <f>IF(AC1633&gt;0,MAX(IF('FA Addition'!$N1633="SLM",($AC1633-'FA Addition'!$M1633)*'FA Addition'!$P1633*AI1633/365,(AC1633-'FA Addition'!$M1633)*(1-(1-'FA Addition'!$P1633)^(AI1633/365))),0),0)</f>
        <v>0</v>
      </c>
      <c r="AL1633" s="117">
        <f>MAX(IF(AG1633&gt;0,IF('FA Addition'!$N1633="SLM",($AE1633-'FA Addition'!$M1633)*'FA Addition'!$P1633*AG1633/365,IFERROR(VDB(AE1633,AE1633*0.05,'FA Addition'!$O1633,0,YEARFRAC('FA Addition'!$C1633,$P$1-1,3),'FA Addition'!$Q1633),FAAddition[[#This Row],[Original Cost (Rs)]]-FAAddition[[#This Row],[Salvage Value]])),0),0)</f>
        <v>0</v>
      </c>
      <c r="AM1633" s="119"/>
      <c r="AN1633" s="117">
        <f>MAX(IF(AH1633&gt;0,IF('FA Addition'!$N1633="SLM",($AF1633-'FA Addition'!$M1633)*'FA Addition'!$P1633*AH1633/365,IFERROR(VDB(AF1633,AF1633*0.05,'FA Addition'!$O1633,0,YEARFRAC('FA Addition'!$C1633,$L$1,3),'FA Addition'!$Q1633),FAAddition[[#This Row],[Original Cost (Rs)]]-FAAddition[[#This Row],[Salvage Value]])),0),0)</f>
        <v>0</v>
      </c>
      <c r="AO1633" s="117">
        <f t="shared" si="128"/>
        <v>0</v>
      </c>
      <c r="AQ1633" s="117">
        <f t="shared" si="126"/>
        <v>0</v>
      </c>
      <c r="AR1633" s="120">
        <f t="shared" si="127"/>
        <v>0</v>
      </c>
      <c r="AS1633" s="121"/>
    </row>
    <row r="1634" spans="1:45" ht="13.5" x14ac:dyDescent="0.4">
      <c r="A1634" s="12">
        <f t="shared" si="129"/>
        <v>1631</v>
      </c>
      <c r="B1634" s="64" t="s">
        <v>10</v>
      </c>
      <c r="C1634" s="54">
        <v>46004</v>
      </c>
      <c r="D1634" s="54">
        <v>46006</v>
      </c>
      <c r="E1634" s="46" t="s">
        <v>451</v>
      </c>
      <c r="F1634" s="51" t="s">
        <v>19</v>
      </c>
      <c r="G1634" s="51" t="s">
        <v>169</v>
      </c>
      <c r="H1634" s="51" t="s">
        <v>250</v>
      </c>
      <c r="I1634" s="55" t="s">
        <v>249</v>
      </c>
      <c r="J1634" s="56">
        <v>2</v>
      </c>
      <c r="K1634" s="51" t="s">
        <v>376</v>
      </c>
      <c r="L1634" s="58">
        <v>2542.36</v>
      </c>
      <c r="M1634" s="50">
        <f>ROUND('FA Addition'!$L1634*5%,0.1)</f>
        <v>127</v>
      </c>
      <c r="N1634" s="113" t="str">
        <f>_xlfn.XLOOKUP(_xlfn.CONCAT(E1634,B1634),'Year Wise Master Dep Approach'!F:F,'Year Wise Master Dep Approach'!D:D)</f>
        <v>WDV</v>
      </c>
      <c r="O1634" s="113">
        <f>_xlfn.XLOOKUP(_xlfn.CONCAT(E1634,B1634),'Year Wise Master Dep Approach'!F:F,'Year Wise Master Dep Approach'!E:E)</f>
        <v>3</v>
      </c>
      <c r="P1634" s="114">
        <f>IFERROR(IF('FA Addition'!$N1634="WDV",1-('FA Addition'!$M1634/'FA Addition'!$L1634)^(1/'FA Addition'!$O1634),1/'FA Addition'!$O1634),0)</f>
        <v>0.63171087812508309</v>
      </c>
      <c r="Q1634" s="122">
        <f>'FA Addition'!$P1634*'FA Addition'!$O1634</f>
        <v>1.8951326343752493</v>
      </c>
      <c r="R1634" s="122"/>
      <c r="S1634" s="116">
        <f>IF(AND(DATE(20&amp;LEFT(FAAddition[[#This Row],[FY]],2),4,1)&lt;$L$1+1,DATE(20&amp;LEFT(FAAddition[[#This Row],[FY]],2),4,1)&gt;$P$1-1),'FA Addition'!$J1634,0)</f>
        <v>0</v>
      </c>
      <c r="U1634" s="117">
        <f>S1634*'FA Addition'!$L1634/'FA Addition'!$J1634</f>
        <v>0</v>
      </c>
      <c r="W1634" s="116">
        <f>SUMIFS('FA Write off'!D:D,'FA Write off'!A:A,'FA Addition'!$A1634,'FA Write off'!C:C,"&lt;"&amp;'FA Addition'!$P$1)</f>
        <v>0</v>
      </c>
      <c r="Y1634" s="191">
        <f>IFERROR(W1634/'FA Addition'!$J1634*'FA Addition'!$L1634,0)</f>
        <v>0</v>
      </c>
      <c r="AA1634" s="116">
        <f>SUMIFS('FA Write off'!D:D,'FA Write off'!A:A,'FA Addition'!$A1634,'FA Write off'!C:C,"&lt;"&amp;'FA Addition'!$L$1+1,'FA Write off'!C:C,"&gt;"&amp;'FA Addition'!$L$1-365)</f>
        <v>0</v>
      </c>
      <c r="AC1634" s="118">
        <f>IFERROR(AA1634/'FA Addition'!$J1634*'FA Addition'!$L1634,0)</f>
        <v>0</v>
      </c>
      <c r="AE1634" s="117">
        <f>IF(AND('FA Addition'!$D1634&lt;$P$1+1,U1634=0),'FA Addition'!$L1634,0)-Y1634</f>
        <v>0</v>
      </c>
      <c r="AF1634" s="117">
        <f t="shared" si="125"/>
        <v>0</v>
      </c>
      <c r="AG1634" s="117">
        <f>MIN(MAX(+$P$1-'FA Addition'!$D1634,0),365*'FA Addition'!$O1634)</f>
        <v>0</v>
      </c>
      <c r="AH1634" s="117">
        <f>MIN(MAX($L$1-'FA Addition'!$D1634+1,0),365*'FA Addition'!$O1634)</f>
        <v>0</v>
      </c>
      <c r="AI1634" s="117" cm="1">
        <f t="array" ref="AI1634">_xlfn.XLOOKUP(1,('FA Write off'!A:A='FA Addition'!$A1634)*('FA Write off'!D:D=AA1634),'FA Write off'!H:H,0,0)</f>
        <v>0</v>
      </c>
      <c r="AJ1634" s="117">
        <f>IF(AC1634&gt;0,MAX(IF('FA Addition'!$N1634="SLM",($AC1634-'FA Addition'!$M1634)*'FA Addition'!$P1634*AI1634/365,(AC1634-'FA Addition'!$M1634)*(1-(1-'FA Addition'!$P1634)^(AI1634/365))),0),0)</f>
        <v>0</v>
      </c>
      <c r="AL1634" s="117">
        <f>MAX(IF(AG1634&gt;0,IF('FA Addition'!$N1634="SLM",($AE1634-'FA Addition'!$M1634)*'FA Addition'!$P1634*AG1634/365,IFERROR(VDB(AE1634,AE1634*0.05,'FA Addition'!$O1634,0,YEARFRAC('FA Addition'!$C1634,$P$1-1,3),'FA Addition'!$Q1634),FAAddition[[#This Row],[Original Cost (Rs)]]-FAAddition[[#This Row],[Salvage Value]])),0),0)</f>
        <v>0</v>
      </c>
      <c r="AM1634" s="119"/>
      <c r="AN1634" s="117">
        <f>MAX(IF(AH1634&gt;0,IF('FA Addition'!$N1634="SLM",($AF1634-'FA Addition'!$M1634)*'FA Addition'!$P1634*AH1634/365,IFERROR(VDB(AF1634,AF1634*0.05,'FA Addition'!$O1634,0,YEARFRAC('FA Addition'!$C1634,$L$1,3),'FA Addition'!$Q1634),FAAddition[[#This Row],[Original Cost (Rs)]]-FAAddition[[#This Row],[Salvage Value]])),0),0)</f>
        <v>0</v>
      </c>
      <c r="AO1634" s="117">
        <f t="shared" si="128"/>
        <v>0</v>
      </c>
      <c r="AQ1634" s="117">
        <f t="shared" si="126"/>
        <v>0</v>
      </c>
      <c r="AR1634" s="120">
        <f t="shared" si="127"/>
        <v>0</v>
      </c>
      <c r="AS1634" s="121"/>
    </row>
    <row r="1635" spans="1:45" ht="13.5" x14ac:dyDescent="0.4">
      <c r="A1635" s="12">
        <f t="shared" si="129"/>
        <v>1632</v>
      </c>
      <c r="B1635" s="64" t="s">
        <v>10</v>
      </c>
      <c r="C1635" s="54">
        <v>45999</v>
      </c>
      <c r="D1635" s="54">
        <v>46001</v>
      </c>
      <c r="E1635" s="46" t="s">
        <v>451</v>
      </c>
      <c r="F1635" s="51" t="s">
        <v>19</v>
      </c>
      <c r="G1635" s="51" t="s">
        <v>20</v>
      </c>
      <c r="H1635" s="51" t="s">
        <v>21</v>
      </c>
      <c r="I1635" s="55" t="s">
        <v>251</v>
      </c>
      <c r="J1635" s="56">
        <v>1</v>
      </c>
      <c r="K1635" s="51" t="s">
        <v>377</v>
      </c>
      <c r="L1635" s="58">
        <v>128813.56</v>
      </c>
      <c r="M1635" s="50">
        <f>ROUND('FA Addition'!$L1635*5%,0.1)</f>
        <v>6441</v>
      </c>
      <c r="N1635" s="113" t="str">
        <f>_xlfn.XLOOKUP(_xlfn.CONCAT(E1635,B1635),'Year Wise Master Dep Approach'!F:F,'Year Wise Master Dep Approach'!D:D)</f>
        <v>WDV</v>
      </c>
      <c r="O1635" s="113">
        <f>_xlfn.XLOOKUP(_xlfn.CONCAT(E1635,B1635),'Year Wise Master Dep Approach'!F:F,'Year Wise Master Dep Approach'!E:E)</f>
        <v>3</v>
      </c>
      <c r="P1635" s="114">
        <f>IFERROR(IF('FA Addition'!$N1635="WDV",1-('FA Addition'!$M1635/'FA Addition'!$L1635)^(1/'FA Addition'!$O1635),1/'FA Addition'!$O1635),0)</f>
        <v>0.63159071083212703</v>
      </c>
      <c r="Q1635" s="122">
        <f>'FA Addition'!$P1635*'FA Addition'!$O1635</f>
        <v>1.8947721324963811</v>
      </c>
      <c r="R1635" s="122"/>
      <c r="S1635" s="116">
        <f>IF(AND(DATE(20&amp;LEFT(FAAddition[[#This Row],[FY]],2),4,1)&lt;$L$1+1,DATE(20&amp;LEFT(FAAddition[[#This Row],[FY]],2),4,1)&gt;$P$1-1),'FA Addition'!$J1635,0)</f>
        <v>0</v>
      </c>
      <c r="U1635" s="117">
        <f>S1635*'FA Addition'!$L1635/'FA Addition'!$J1635</f>
        <v>0</v>
      </c>
      <c r="W1635" s="116">
        <f>SUMIFS('FA Write off'!D:D,'FA Write off'!A:A,'FA Addition'!$A1635,'FA Write off'!C:C,"&lt;"&amp;'FA Addition'!$P$1)</f>
        <v>0</v>
      </c>
      <c r="Y1635" s="191">
        <f>IFERROR(W1635/'FA Addition'!$J1635*'FA Addition'!$L1635,0)</f>
        <v>0</v>
      </c>
      <c r="AA1635" s="116">
        <f>SUMIFS('FA Write off'!D:D,'FA Write off'!A:A,'FA Addition'!$A1635,'FA Write off'!C:C,"&lt;"&amp;'FA Addition'!$L$1+1,'FA Write off'!C:C,"&gt;"&amp;'FA Addition'!$L$1-365)</f>
        <v>0</v>
      </c>
      <c r="AC1635" s="118">
        <f>IFERROR(AA1635/'FA Addition'!$J1635*'FA Addition'!$L1635,0)</f>
        <v>0</v>
      </c>
      <c r="AE1635" s="117">
        <f>IF(AND('FA Addition'!$D1635&lt;$P$1+1,U1635=0),'FA Addition'!$L1635,0)-Y1635</f>
        <v>0</v>
      </c>
      <c r="AF1635" s="117">
        <f t="shared" si="125"/>
        <v>0</v>
      </c>
      <c r="AG1635" s="117">
        <f>MIN(MAX(+$P$1-'FA Addition'!$D1635,0),365*'FA Addition'!$O1635)</f>
        <v>0</v>
      </c>
      <c r="AH1635" s="117">
        <f>MIN(MAX($L$1-'FA Addition'!$D1635+1,0),365*'FA Addition'!$O1635)</f>
        <v>0</v>
      </c>
      <c r="AI1635" s="117" cm="1">
        <f t="array" ref="AI1635">_xlfn.XLOOKUP(1,('FA Write off'!A:A='FA Addition'!$A1635)*('FA Write off'!D:D=AA1635),'FA Write off'!H:H,0,0)</f>
        <v>0</v>
      </c>
      <c r="AJ1635" s="117">
        <f>IF(AC1635&gt;0,MAX(IF('FA Addition'!$N1635="SLM",($AC1635-'FA Addition'!$M1635)*'FA Addition'!$P1635*AI1635/365,(AC1635-'FA Addition'!$M1635)*(1-(1-'FA Addition'!$P1635)^(AI1635/365))),0),0)</f>
        <v>0</v>
      </c>
      <c r="AL1635" s="117">
        <f>MAX(IF(AG1635&gt;0,IF('FA Addition'!$N1635="SLM",($AE1635-'FA Addition'!$M1635)*'FA Addition'!$P1635*AG1635/365,IFERROR(VDB(AE1635,AE1635*0.05,'FA Addition'!$O1635,0,YEARFRAC('FA Addition'!$C1635,$P$1-1,3),'FA Addition'!$Q1635),FAAddition[[#This Row],[Original Cost (Rs)]]-FAAddition[[#This Row],[Salvage Value]])),0),0)</f>
        <v>0</v>
      </c>
      <c r="AM1635" s="119"/>
      <c r="AN1635" s="117">
        <f>MAX(IF(AH1635&gt;0,IF('FA Addition'!$N1635="SLM",($AF1635-'FA Addition'!$M1635)*'FA Addition'!$P1635*AH1635/365,IFERROR(VDB(AF1635,AF1635*0.05,'FA Addition'!$O1635,0,YEARFRAC('FA Addition'!$C1635,$L$1,3),'FA Addition'!$Q1635),FAAddition[[#This Row],[Original Cost (Rs)]]-FAAddition[[#This Row],[Salvage Value]])),0),0)</f>
        <v>0</v>
      </c>
      <c r="AO1635" s="117">
        <f t="shared" si="128"/>
        <v>0</v>
      </c>
      <c r="AQ1635" s="117">
        <f t="shared" si="126"/>
        <v>0</v>
      </c>
      <c r="AR1635" s="120">
        <f t="shared" si="127"/>
        <v>0</v>
      </c>
      <c r="AS1635" s="121"/>
    </row>
    <row r="1636" spans="1:45" ht="13.5" x14ac:dyDescent="0.4">
      <c r="A1636" s="12">
        <f t="shared" si="129"/>
        <v>1633</v>
      </c>
      <c r="B1636" s="64" t="s">
        <v>10</v>
      </c>
      <c r="C1636" s="54">
        <v>45999</v>
      </c>
      <c r="D1636" s="54">
        <v>46001</v>
      </c>
      <c r="E1636" s="46" t="s">
        <v>451</v>
      </c>
      <c r="F1636" s="51" t="s">
        <v>19</v>
      </c>
      <c r="G1636" s="51" t="s">
        <v>20</v>
      </c>
      <c r="H1636" s="51" t="s">
        <v>21</v>
      </c>
      <c r="I1636" s="55" t="s">
        <v>251</v>
      </c>
      <c r="J1636" s="56">
        <v>1</v>
      </c>
      <c r="K1636" s="51" t="s">
        <v>377</v>
      </c>
      <c r="L1636" s="58">
        <v>128813.56</v>
      </c>
      <c r="M1636" s="50">
        <f>ROUND('FA Addition'!$L1636*5%,0.1)</f>
        <v>6441</v>
      </c>
      <c r="N1636" s="113" t="str">
        <f>_xlfn.XLOOKUP(_xlfn.CONCAT(E1636,B1636),'Year Wise Master Dep Approach'!F:F,'Year Wise Master Dep Approach'!D:D)</f>
        <v>WDV</v>
      </c>
      <c r="O1636" s="113">
        <f>_xlfn.XLOOKUP(_xlfn.CONCAT(E1636,B1636),'Year Wise Master Dep Approach'!F:F,'Year Wise Master Dep Approach'!E:E)</f>
        <v>3</v>
      </c>
      <c r="P1636" s="114">
        <f>IFERROR(IF('FA Addition'!$N1636="WDV",1-('FA Addition'!$M1636/'FA Addition'!$L1636)^(1/'FA Addition'!$O1636),1/'FA Addition'!$O1636),0)</f>
        <v>0.63159071083212703</v>
      </c>
      <c r="Q1636" s="122">
        <f>'FA Addition'!$P1636*'FA Addition'!$O1636</f>
        <v>1.8947721324963811</v>
      </c>
      <c r="R1636" s="122"/>
      <c r="S1636" s="116">
        <f>IF(AND(DATE(20&amp;LEFT(FAAddition[[#This Row],[FY]],2),4,1)&lt;$L$1+1,DATE(20&amp;LEFT(FAAddition[[#This Row],[FY]],2),4,1)&gt;$P$1-1),'FA Addition'!$J1636,0)</f>
        <v>0</v>
      </c>
      <c r="U1636" s="117">
        <f>S1636*'FA Addition'!$L1636/'FA Addition'!$J1636</f>
        <v>0</v>
      </c>
      <c r="W1636" s="116">
        <f>SUMIFS('FA Write off'!D:D,'FA Write off'!A:A,'FA Addition'!$A1636,'FA Write off'!C:C,"&lt;"&amp;'FA Addition'!$P$1)</f>
        <v>0</v>
      </c>
      <c r="Y1636" s="191">
        <f>IFERROR(W1636/'FA Addition'!$J1636*'FA Addition'!$L1636,0)</f>
        <v>0</v>
      </c>
      <c r="AA1636" s="116">
        <f>SUMIFS('FA Write off'!D:D,'FA Write off'!A:A,'FA Addition'!$A1636,'FA Write off'!C:C,"&lt;"&amp;'FA Addition'!$L$1+1,'FA Write off'!C:C,"&gt;"&amp;'FA Addition'!$L$1-365)</f>
        <v>0</v>
      </c>
      <c r="AC1636" s="118">
        <f>IFERROR(AA1636/'FA Addition'!$J1636*'FA Addition'!$L1636,0)</f>
        <v>0</v>
      </c>
      <c r="AE1636" s="117">
        <f>IF(AND('FA Addition'!$D1636&lt;$P$1+1,U1636=0),'FA Addition'!$L1636,0)-Y1636</f>
        <v>0</v>
      </c>
      <c r="AF1636" s="117">
        <f t="shared" si="125"/>
        <v>0</v>
      </c>
      <c r="AG1636" s="117">
        <f>MIN(MAX(+$P$1-'FA Addition'!$D1636,0),365*'FA Addition'!$O1636)</f>
        <v>0</v>
      </c>
      <c r="AH1636" s="117">
        <f>MIN(MAX($L$1-'FA Addition'!$D1636+1,0),365*'FA Addition'!$O1636)</f>
        <v>0</v>
      </c>
      <c r="AI1636" s="117" cm="1">
        <f t="array" ref="AI1636">_xlfn.XLOOKUP(1,('FA Write off'!A:A='FA Addition'!$A1636)*('FA Write off'!D:D=AA1636),'FA Write off'!H:H,0,0)</f>
        <v>0</v>
      </c>
      <c r="AJ1636" s="117">
        <f>IF(AC1636&gt;0,MAX(IF('FA Addition'!$N1636="SLM",($AC1636-'FA Addition'!$M1636)*'FA Addition'!$P1636*AI1636/365,(AC1636-'FA Addition'!$M1636)*(1-(1-'FA Addition'!$P1636)^(AI1636/365))),0),0)</f>
        <v>0</v>
      </c>
      <c r="AL1636" s="117">
        <f>MAX(IF(AG1636&gt;0,IF('FA Addition'!$N1636="SLM",($AE1636-'FA Addition'!$M1636)*'FA Addition'!$P1636*AG1636/365,IFERROR(VDB(AE1636,AE1636*0.05,'FA Addition'!$O1636,0,YEARFRAC('FA Addition'!$C1636,$P$1-1,3),'FA Addition'!$Q1636),FAAddition[[#This Row],[Original Cost (Rs)]]-FAAddition[[#This Row],[Salvage Value]])),0),0)</f>
        <v>0</v>
      </c>
      <c r="AM1636" s="119"/>
      <c r="AN1636" s="117">
        <f>MAX(IF(AH1636&gt;0,IF('FA Addition'!$N1636="SLM",($AF1636-'FA Addition'!$M1636)*'FA Addition'!$P1636*AH1636/365,IFERROR(VDB(AF1636,AF1636*0.05,'FA Addition'!$O1636,0,YEARFRAC('FA Addition'!$C1636,$L$1,3),'FA Addition'!$Q1636),FAAddition[[#This Row],[Original Cost (Rs)]]-FAAddition[[#This Row],[Salvage Value]])),0),0)</f>
        <v>0</v>
      </c>
      <c r="AO1636" s="117">
        <f t="shared" si="128"/>
        <v>0</v>
      </c>
      <c r="AQ1636" s="117">
        <f t="shared" si="126"/>
        <v>0</v>
      </c>
      <c r="AR1636" s="120">
        <f t="shared" si="127"/>
        <v>0</v>
      </c>
      <c r="AS1636" s="121"/>
    </row>
    <row r="1637" spans="1:45" ht="13.5" x14ac:dyDescent="0.4">
      <c r="A1637" s="12">
        <f t="shared" si="129"/>
        <v>1634</v>
      </c>
      <c r="B1637" s="64" t="s">
        <v>10</v>
      </c>
      <c r="C1637" s="54">
        <v>45997</v>
      </c>
      <c r="D1637" s="54">
        <v>46000</v>
      </c>
      <c r="E1637" s="46" t="s">
        <v>451</v>
      </c>
      <c r="F1637" s="51" t="s">
        <v>19</v>
      </c>
      <c r="G1637" s="51" t="s">
        <v>169</v>
      </c>
      <c r="H1637" s="51" t="s">
        <v>151</v>
      </c>
      <c r="I1637" s="55" t="s">
        <v>252</v>
      </c>
      <c r="J1637" s="56">
        <v>1</v>
      </c>
      <c r="K1637" s="51" t="s">
        <v>378</v>
      </c>
      <c r="L1637" s="58">
        <v>35580</v>
      </c>
      <c r="M1637" s="50">
        <f>ROUND('FA Addition'!$L1637*5%,0.1)</f>
        <v>1779</v>
      </c>
      <c r="N1637" s="113" t="str">
        <f>_xlfn.XLOOKUP(_xlfn.CONCAT(E1637,B1637),'Year Wise Master Dep Approach'!F:F,'Year Wise Master Dep Approach'!D:D)</f>
        <v>WDV</v>
      </c>
      <c r="O1637" s="113">
        <f>_xlfn.XLOOKUP(_xlfn.CONCAT(E1637,B1637),'Year Wise Master Dep Approach'!F:F,'Year Wise Master Dep Approach'!E:E)</f>
        <v>3</v>
      </c>
      <c r="P1637" s="114">
        <f>IFERROR(IF('FA Addition'!$N1637="WDV",1-('FA Addition'!$M1637/'FA Addition'!$L1637)^(1/'FA Addition'!$O1637),1/'FA Addition'!$O1637),0)</f>
        <v>0.63159685013596123</v>
      </c>
      <c r="Q1637" s="122">
        <f>'FA Addition'!$P1637*'FA Addition'!$O1637</f>
        <v>1.8947905504078837</v>
      </c>
      <c r="R1637" s="122"/>
      <c r="S1637" s="116">
        <f>IF(AND(DATE(20&amp;LEFT(FAAddition[[#This Row],[FY]],2),4,1)&lt;$L$1+1,DATE(20&amp;LEFT(FAAddition[[#This Row],[FY]],2),4,1)&gt;$P$1-1),'FA Addition'!$J1637,0)</f>
        <v>0</v>
      </c>
      <c r="U1637" s="117">
        <f>S1637*'FA Addition'!$L1637/'FA Addition'!$J1637</f>
        <v>0</v>
      </c>
      <c r="W1637" s="116">
        <f>SUMIFS('FA Write off'!D:D,'FA Write off'!A:A,'FA Addition'!$A1637,'FA Write off'!C:C,"&lt;"&amp;'FA Addition'!$P$1)</f>
        <v>0</v>
      </c>
      <c r="Y1637" s="191">
        <f>IFERROR(W1637/'FA Addition'!$J1637*'FA Addition'!$L1637,0)</f>
        <v>0</v>
      </c>
      <c r="AA1637" s="116">
        <f>SUMIFS('FA Write off'!D:D,'FA Write off'!A:A,'FA Addition'!$A1637,'FA Write off'!C:C,"&lt;"&amp;'FA Addition'!$L$1+1,'FA Write off'!C:C,"&gt;"&amp;'FA Addition'!$L$1-365)</f>
        <v>0</v>
      </c>
      <c r="AC1637" s="118">
        <f>IFERROR(AA1637/'FA Addition'!$J1637*'FA Addition'!$L1637,0)</f>
        <v>0</v>
      </c>
      <c r="AE1637" s="117">
        <f>IF(AND('FA Addition'!$D1637&lt;$P$1+1,U1637=0),'FA Addition'!$L1637,0)-Y1637</f>
        <v>0</v>
      </c>
      <c r="AF1637" s="117">
        <f t="shared" si="125"/>
        <v>0</v>
      </c>
      <c r="AG1637" s="117">
        <f>MIN(MAX(+$P$1-'FA Addition'!$D1637,0),365*'FA Addition'!$O1637)</f>
        <v>0</v>
      </c>
      <c r="AH1637" s="117">
        <f>MIN(MAX($L$1-'FA Addition'!$D1637+1,0),365*'FA Addition'!$O1637)</f>
        <v>0</v>
      </c>
      <c r="AI1637" s="117" cm="1">
        <f t="array" ref="AI1637">_xlfn.XLOOKUP(1,('FA Write off'!A:A='FA Addition'!$A1637)*('FA Write off'!D:D=AA1637),'FA Write off'!H:H,0,0)</f>
        <v>0</v>
      </c>
      <c r="AJ1637" s="117">
        <f>IF(AC1637&gt;0,MAX(IF('FA Addition'!$N1637="SLM",($AC1637-'FA Addition'!$M1637)*'FA Addition'!$P1637*AI1637/365,(AC1637-'FA Addition'!$M1637)*(1-(1-'FA Addition'!$P1637)^(AI1637/365))),0),0)</f>
        <v>0</v>
      </c>
      <c r="AL1637" s="117">
        <f>MAX(IF(AG1637&gt;0,IF('FA Addition'!$N1637="SLM",($AE1637-'FA Addition'!$M1637)*'FA Addition'!$P1637*AG1637/365,IFERROR(VDB(AE1637,AE1637*0.05,'FA Addition'!$O1637,0,YEARFRAC('FA Addition'!$C1637,$P$1-1,3),'FA Addition'!$Q1637),FAAddition[[#This Row],[Original Cost (Rs)]]-FAAddition[[#This Row],[Salvage Value]])),0),0)</f>
        <v>0</v>
      </c>
      <c r="AM1637" s="119"/>
      <c r="AN1637" s="117">
        <f>MAX(IF(AH1637&gt;0,IF('FA Addition'!$N1637="SLM",($AF1637-'FA Addition'!$M1637)*'FA Addition'!$P1637*AH1637/365,IFERROR(VDB(AF1637,AF1637*0.05,'FA Addition'!$O1637,0,YEARFRAC('FA Addition'!$C1637,$L$1,3),'FA Addition'!$Q1637),FAAddition[[#This Row],[Original Cost (Rs)]]-FAAddition[[#This Row],[Salvage Value]])),0),0)</f>
        <v>0</v>
      </c>
      <c r="AO1637" s="117">
        <f t="shared" si="128"/>
        <v>0</v>
      </c>
      <c r="AQ1637" s="117">
        <f t="shared" si="126"/>
        <v>0</v>
      </c>
      <c r="AR1637" s="120">
        <f t="shared" si="127"/>
        <v>0</v>
      </c>
      <c r="AS1637" s="121"/>
    </row>
    <row r="1638" spans="1:45" ht="13.5" x14ac:dyDescent="0.4">
      <c r="A1638" s="12">
        <f t="shared" si="129"/>
        <v>1635</v>
      </c>
      <c r="B1638" s="64" t="s">
        <v>10</v>
      </c>
      <c r="C1638" s="54">
        <v>45997</v>
      </c>
      <c r="D1638" s="54">
        <v>46000</v>
      </c>
      <c r="E1638" s="46" t="s">
        <v>451</v>
      </c>
      <c r="F1638" s="51" t="s">
        <v>19</v>
      </c>
      <c r="G1638" s="51" t="s">
        <v>169</v>
      </c>
      <c r="H1638" s="51" t="s">
        <v>151</v>
      </c>
      <c r="I1638" s="55" t="s">
        <v>252</v>
      </c>
      <c r="J1638" s="56">
        <v>1</v>
      </c>
      <c r="K1638" s="51" t="s">
        <v>378</v>
      </c>
      <c r="L1638" s="58">
        <v>35580</v>
      </c>
      <c r="M1638" s="50">
        <f>ROUND('FA Addition'!$L1638*5%,0.1)</f>
        <v>1779</v>
      </c>
      <c r="N1638" s="113" t="str">
        <f>_xlfn.XLOOKUP(_xlfn.CONCAT(E1638,B1638),'Year Wise Master Dep Approach'!F:F,'Year Wise Master Dep Approach'!D:D)</f>
        <v>WDV</v>
      </c>
      <c r="O1638" s="113">
        <f>_xlfn.XLOOKUP(_xlfn.CONCAT(E1638,B1638),'Year Wise Master Dep Approach'!F:F,'Year Wise Master Dep Approach'!E:E)</f>
        <v>3</v>
      </c>
      <c r="P1638" s="114">
        <f>IFERROR(IF('FA Addition'!$N1638="WDV",1-('FA Addition'!$M1638/'FA Addition'!$L1638)^(1/'FA Addition'!$O1638),1/'FA Addition'!$O1638),0)</f>
        <v>0.63159685013596123</v>
      </c>
      <c r="Q1638" s="122">
        <f>'FA Addition'!$P1638*'FA Addition'!$O1638</f>
        <v>1.8947905504078837</v>
      </c>
      <c r="R1638" s="122"/>
      <c r="S1638" s="116">
        <f>IF(AND(DATE(20&amp;LEFT(FAAddition[[#This Row],[FY]],2),4,1)&lt;$L$1+1,DATE(20&amp;LEFT(FAAddition[[#This Row],[FY]],2),4,1)&gt;$P$1-1),'FA Addition'!$J1638,0)</f>
        <v>0</v>
      </c>
      <c r="U1638" s="117">
        <f>S1638*'FA Addition'!$L1638/'FA Addition'!$J1638</f>
        <v>0</v>
      </c>
      <c r="W1638" s="116">
        <f>SUMIFS('FA Write off'!D:D,'FA Write off'!A:A,'FA Addition'!$A1638,'FA Write off'!C:C,"&lt;"&amp;'FA Addition'!$P$1)</f>
        <v>0</v>
      </c>
      <c r="Y1638" s="191">
        <f>IFERROR(W1638/'FA Addition'!$J1638*'FA Addition'!$L1638,0)</f>
        <v>0</v>
      </c>
      <c r="AA1638" s="116">
        <f>SUMIFS('FA Write off'!D:D,'FA Write off'!A:A,'FA Addition'!$A1638,'FA Write off'!C:C,"&lt;"&amp;'FA Addition'!$L$1+1,'FA Write off'!C:C,"&gt;"&amp;'FA Addition'!$L$1-365)</f>
        <v>0</v>
      </c>
      <c r="AC1638" s="118">
        <f>IFERROR(AA1638/'FA Addition'!$J1638*'FA Addition'!$L1638,0)</f>
        <v>0</v>
      </c>
      <c r="AE1638" s="117">
        <f>IF(AND('FA Addition'!$D1638&lt;$P$1+1,U1638=0),'FA Addition'!$L1638,0)-Y1638</f>
        <v>0</v>
      </c>
      <c r="AF1638" s="117">
        <f t="shared" si="125"/>
        <v>0</v>
      </c>
      <c r="AG1638" s="117">
        <f>MIN(MAX(+$P$1-'FA Addition'!$D1638,0),365*'FA Addition'!$O1638)</f>
        <v>0</v>
      </c>
      <c r="AH1638" s="117">
        <f>MIN(MAX($L$1-'FA Addition'!$D1638+1,0),365*'FA Addition'!$O1638)</f>
        <v>0</v>
      </c>
      <c r="AI1638" s="117" cm="1">
        <f t="array" ref="AI1638">_xlfn.XLOOKUP(1,('FA Write off'!A:A='FA Addition'!$A1638)*('FA Write off'!D:D=AA1638),'FA Write off'!H:H,0,0)</f>
        <v>0</v>
      </c>
      <c r="AJ1638" s="117">
        <f>IF(AC1638&gt;0,MAX(IF('FA Addition'!$N1638="SLM",($AC1638-'FA Addition'!$M1638)*'FA Addition'!$P1638*AI1638/365,(AC1638-'FA Addition'!$M1638)*(1-(1-'FA Addition'!$P1638)^(AI1638/365))),0),0)</f>
        <v>0</v>
      </c>
      <c r="AL1638" s="117">
        <f>MAX(IF(AG1638&gt;0,IF('FA Addition'!$N1638="SLM",($AE1638-'FA Addition'!$M1638)*'FA Addition'!$P1638*AG1638/365,IFERROR(VDB(AE1638,AE1638*0.05,'FA Addition'!$O1638,0,YEARFRAC('FA Addition'!$C1638,$P$1-1,3),'FA Addition'!$Q1638),FAAddition[[#This Row],[Original Cost (Rs)]]-FAAddition[[#This Row],[Salvage Value]])),0),0)</f>
        <v>0</v>
      </c>
      <c r="AM1638" s="119"/>
      <c r="AN1638" s="117">
        <f>MAX(IF(AH1638&gt;0,IF('FA Addition'!$N1638="SLM",($AF1638-'FA Addition'!$M1638)*'FA Addition'!$P1638*AH1638/365,IFERROR(VDB(AF1638,AF1638*0.05,'FA Addition'!$O1638,0,YEARFRAC('FA Addition'!$C1638,$L$1,3),'FA Addition'!$Q1638),FAAddition[[#This Row],[Original Cost (Rs)]]-FAAddition[[#This Row],[Salvage Value]])),0),0)</f>
        <v>0</v>
      </c>
      <c r="AO1638" s="117">
        <f t="shared" si="128"/>
        <v>0</v>
      </c>
      <c r="AQ1638" s="117">
        <f t="shared" si="126"/>
        <v>0</v>
      </c>
      <c r="AR1638" s="120">
        <f t="shared" si="127"/>
        <v>0</v>
      </c>
      <c r="AS1638" s="121"/>
    </row>
    <row r="1639" spans="1:45" ht="13.5" x14ac:dyDescent="0.4">
      <c r="A1639" s="12">
        <f t="shared" si="129"/>
        <v>1636</v>
      </c>
      <c r="B1639" s="64" t="s">
        <v>10</v>
      </c>
      <c r="C1639" s="54">
        <v>45985</v>
      </c>
      <c r="D1639" s="54">
        <v>45996</v>
      </c>
      <c r="E1639" s="46" t="s">
        <v>451</v>
      </c>
      <c r="F1639" s="51" t="s">
        <v>19</v>
      </c>
      <c r="G1639" s="51" t="s">
        <v>20</v>
      </c>
      <c r="H1639" s="51" t="s">
        <v>151</v>
      </c>
      <c r="I1639" s="55" t="s">
        <v>253</v>
      </c>
      <c r="J1639" s="56">
        <v>1</v>
      </c>
      <c r="K1639" s="51" t="s">
        <v>379</v>
      </c>
      <c r="L1639" s="58">
        <v>10400</v>
      </c>
      <c r="M1639" s="50">
        <f>ROUND('FA Addition'!$L1639*5%,0.1)</f>
        <v>520</v>
      </c>
      <c r="N1639" s="113" t="str">
        <f>_xlfn.XLOOKUP(_xlfn.CONCAT(E1639,B1639),'Year Wise Master Dep Approach'!F:F,'Year Wise Master Dep Approach'!D:D)</f>
        <v>WDV</v>
      </c>
      <c r="O1639" s="113">
        <f>_xlfn.XLOOKUP(_xlfn.CONCAT(E1639,B1639),'Year Wise Master Dep Approach'!F:F,'Year Wise Master Dep Approach'!E:E)</f>
        <v>3</v>
      </c>
      <c r="P1639" s="114">
        <f>IFERROR(IF('FA Addition'!$N1639="WDV",1-('FA Addition'!$M1639/'FA Addition'!$L1639)^(1/'FA Addition'!$O1639),1/'FA Addition'!$O1639),0)</f>
        <v>0.63159685013596123</v>
      </c>
      <c r="Q1639" s="122">
        <f>'FA Addition'!$P1639*'FA Addition'!$O1639</f>
        <v>1.8947905504078837</v>
      </c>
      <c r="R1639" s="122"/>
      <c r="S1639" s="116">
        <f>IF(AND(DATE(20&amp;LEFT(FAAddition[[#This Row],[FY]],2),4,1)&lt;$L$1+1,DATE(20&amp;LEFT(FAAddition[[#This Row],[FY]],2),4,1)&gt;$P$1-1),'FA Addition'!$J1639,0)</f>
        <v>0</v>
      </c>
      <c r="U1639" s="117">
        <f>S1639*'FA Addition'!$L1639/'FA Addition'!$J1639</f>
        <v>0</v>
      </c>
      <c r="W1639" s="116">
        <f>SUMIFS('FA Write off'!D:D,'FA Write off'!A:A,'FA Addition'!$A1639,'FA Write off'!C:C,"&lt;"&amp;'FA Addition'!$P$1)</f>
        <v>0</v>
      </c>
      <c r="Y1639" s="191">
        <f>IFERROR(W1639/'FA Addition'!$J1639*'FA Addition'!$L1639,0)</f>
        <v>0</v>
      </c>
      <c r="AA1639" s="116">
        <f>SUMIFS('FA Write off'!D:D,'FA Write off'!A:A,'FA Addition'!$A1639,'FA Write off'!C:C,"&lt;"&amp;'FA Addition'!$L$1+1,'FA Write off'!C:C,"&gt;"&amp;'FA Addition'!$L$1-365)</f>
        <v>0</v>
      </c>
      <c r="AC1639" s="118">
        <f>IFERROR(AA1639/'FA Addition'!$J1639*'FA Addition'!$L1639,0)</f>
        <v>0</v>
      </c>
      <c r="AE1639" s="117">
        <f>IF(AND('FA Addition'!$D1639&lt;$P$1+1,U1639=0),'FA Addition'!$L1639,0)-Y1639</f>
        <v>0</v>
      </c>
      <c r="AF1639" s="117">
        <f t="shared" si="125"/>
        <v>0</v>
      </c>
      <c r="AG1639" s="117">
        <f>MIN(MAX(+$P$1-'FA Addition'!$D1639,0),365*'FA Addition'!$O1639)</f>
        <v>0</v>
      </c>
      <c r="AH1639" s="117">
        <f>MIN(MAX($L$1-'FA Addition'!$D1639+1,0),365*'FA Addition'!$O1639)</f>
        <v>0</v>
      </c>
      <c r="AI1639" s="117" cm="1">
        <f t="array" ref="AI1639">_xlfn.XLOOKUP(1,('FA Write off'!A:A='FA Addition'!$A1639)*('FA Write off'!D:D=AA1639),'FA Write off'!H:H,0,0)</f>
        <v>0</v>
      </c>
      <c r="AJ1639" s="117">
        <f>IF(AC1639&gt;0,MAX(IF('FA Addition'!$N1639="SLM",($AC1639-'FA Addition'!$M1639)*'FA Addition'!$P1639*AI1639/365,(AC1639-'FA Addition'!$M1639)*(1-(1-'FA Addition'!$P1639)^(AI1639/365))),0),0)</f>
        <v>0</v>
      </c>
      <c r="AL1639" s="117">
        <f>MAX(IF(AG1639&gt;0,IF('FA Addition'!$N1639="SLM",($AE1639-'FA Addition'!$M1639)*'FA Addition'!$P1639*AG1639/365,IFERROR(VDB(AE1639,AE1639*0.05,'FA Addition'!$O1639,0,YEARFRAC('FA Addition'!$C1639,$P$1-1,3),'FA Addition'!$Q1639),FAAddition[[#This Row],[Original Cost (Rs)]]-FAAddition[[#This Row],[Salvage Value]])),0),0)</f>
        <v>0</v>
      </c>
      <c r="AM1639" s="119"/>
      <c r="AN1639" s="117">
        <f>MAX(IF(AH1639&gt;0,IF('FA Addition'!$N1639="SLM",($AF1639-'FA Addition'!$M1639)*'FA Addition'!$P1639*AH1639/365,IFERROR(VDB(AF1639,AF1639*0.05,'FA Addition'!$O1639,0,YEARFRAC('FA Addition'!$C1639,$L$1,3),'FA Addition'!$Q1639),FAAddition[[#This Row],[Original Cost (Rs)]]-FAAddition[[#This Row],[Salvage Value]])),0),0)</f>
        <v>0</v>
      </c>
      <c r="AO1639" s="117">
        <f t="shared" si="128"/>
        <v>0</v>
      </c>
      <c r="AQ1639" s="117">
        <f t="shared" si="126"/>
        <v>0</v>
      </c>
      <c r="AR1639" s="120">
        <f t="shared" si="127"/>
        <v>0</v>
      </c>
      <c r="AS1639" s="121"/>
    </row>
    <row r="1640" spans="1:45" ht="13.5" x14ac:dyDescent="0.4">
      <c r="A1640" s="12">
        <f t="shared" si="129"/>
        <v>1637</v>
      </c>
      <c r="B1640" s="64" t="s">
        <v>10</v>
      </c>
      <c r="C1640" s="54">
        <v>45988</v>
      </c>
      <c r="D1640" s="54">
        <v>45996</v>
      </c>
      <c r="E1640" s="46" t="s">
        <v>451</v>
      </c>
      <c r="F1640" s="51" t="s">
        <v>19</v>
      </c>
      <c r="G1640" s="51" t="s">
        <v>20</v>
      </c>
      <c r="H1640" s="51" t="s">
        <v>254</v>
      </c>
      <c r="I1640" s="55" t="s">
        <v>255</v>
      </c>
      <c r="J1640" s="56">
        <v>1</v>
      </c>
      <c r="K1640" s="51" t="s">
        <v>380</v>
      </c>
      <c r="L1640" s="58">
        <v>133050.85</v>
      </c>
      <c r="M1640" s="50">
        <f>ROUND('FA Addition'!$L1640*5%,0.1)</f>
        <v>6653</v>
      </c>
      <c r="N1640" s="113" t="str">
        <f>_xlfn.XLOOKUP(_xlfn.CONCAT(E1640,B1640),'Year Wise Master Dep Approach'!F:F,'Year Wise Master Dep Approach'!D:D)</f>
        <v>WDV</v>
      </c>
      <c r="O1640" s="113">
        <f>_xlfn.XLOOKUP(_xlfn.CONCAT(E1640,B1640),'Year Wise Master Dep Approach'!F:F,'Year Wise Master Dep Approach'!E:E)</f>
        <v>3</v>
      </c>
      <c r="P1640" s="114">
        <f>IFERROR(IF('FA Addition'!$N1640="WDV",1-('FA Addition'!$M1640/'FA Addition'!$L1640)^(1/'FA Addition'!$O1640),1/'FA Addition'!$O1640),0)</f>
        <v>0.63158840521546311</v>
      </c>
      <c r="Q1640" s="122">
        <f>'FA Addition'!$P1640*'FA Addition'!$O1640</f>
        <v>1.8947652156463892</v>
      </c>
      <c r="R1640" s="122"/>
      <c r="S1640" s="116">
        <f>IF(AND(DATE(20&amp;LEFT(FAAddition[[#This Row],[FY]],2),4,1)&lt;$L$1+1,DATE(20&amp;LEFT(FAAddition[[#This Row],[FY]],2),4,1)&gt;$P$1-1),'FA Addition'!$J1640,0)</f>
        <v>0</v>
      </c>
      <c r="U1640" s="117">
        <f>S1640*'FA Addition'!$L1640/'FA Addition'!$J1640</f>
        <v>0</v>
      </c>
      <c r="W1640" s="116">
        <f>SUMIFS('FA Write off'!D:D,'FA Write off'!A:A,'FA Addition'!$A1640,'FA Write off'!C:C,"&lt;"&amp;'FA Addition'!$P$1)</f>
        <v>0</v>
      </c>
      <c r="Y1640" s="191">
        <f>IFERROR(W1640/'FA Addition'!$J1640*'FA Addition'!$L1640,0)</f>
        <v>0</v>
      </c>
      <c r="AA1640" s="116">
        <f>SUMIFS('FA Write off'!D:D,'FA Write off'!A:A,'FA Addition'!$A1640,'FA Write off'!C:C,"&lt;"&amp;'FA Addition'!$L$1+1,'FA Write off'!C:C,"&gt;"&amp;'FA Addition'!$L$1-365)</f>
        <v>0</v>
      </c>
      <c r="AC1640" s="118">
        <f>IFERROR(AA1640/'FA Addition'!$J1640*'FA Addition'!$L1640,0)</f>
        <v>0</v>
      </c>
      <c r="AE1640" s="117">
        <f>IF(AND('FA Addition'!$D1640&lt;$P$1+1,U1640=0),'FA Addition'!$L1640,0)-Y1640</f>
        <v>0</v>
      </c>
      <c r="AF1640" s="117">
        <f t="shared" si="125"/>
        <v>0</v>
      </c>
      <c r="AG1640" s="117">
        <f>MIN(MAX(+$P$1-'FA Addition'!$D1640,0),365*'FA Addition'!$O1640)</f>
        <v>0</v>
      </c>
      <c r="AH1640" s="117">
        <f>MIN(MAX($L$1-'FA Addition'!$D1640+1,0),365*'FA Addition'!$O1640)</f>
        <v>0</v>
      </c>
      <c r="AI1640" s="117" cm="1">
        <f t="array" ref="AI1640">_xlfn.XLOOKUP(1,('FA Write off'!A:A='FA Addition'!$A1640)*('FA Write off'!D:D=AA1640),'FA Write off'!H:H,0,0)</f>
        <v>0</v>
      </c>
      <c r="AJ1640" s="117">
        <f>IF(AC1640&gt;0,MAX(IF('FA Addition'!$N1640="SLM",($AC1640-'FA Addition'!$M1640)*'FA Addition'!$P1640*AI1640/365,(AC1640-'FA Addition'!$M1640)*(1-(1-'FA Addition'!$P1640)^(AI1640/365))),0),0)</f>
        <v>0</v>
      </c>
      <c r="AL1640" s="117">
        <f>MAX(IF(AG1640&gt;0,IF('FA Addition'!$N1640="SLM",($AE1640-'FA Addition'!$M1640)*'FA Addition'!$P1640*AG1640/365,IFERROR(VDB(AE1640,AE1640*0.05,'FA Addition'!$O1640,0,YEARFRAC('FA Addition'!$C1640,$P$1-1,3),'FA Addition'!$Q1640),FAAddition[[#This Row],[Original Cost (Rs)]]-FAAddition[[#This Row],[Salvage Value]])),0),0)</f>
        <v>0</v>
      </c>
      <c r="AM1640" s="119"/>
      <c r="AN1640" s="117">
        <f>MAX(IF(AH1640&gt;0,IF('FA Addition'!$N1640="SLM",($AF1640-'FA Addition'!$M1640)*'FA Addition'!$P1640*AH1640/365,IFERROR(VDB(AF1640,AF1640*0.05,'FA Addition'!$O1640,0,YEARFRAC('FA Addition'!$C1640,$L$1,3),'FA Addition'!$Q1640),FAAddition[[#This Row],[Original Cost (Rs)]]-FAAddition[[#This Row],[Salvage Value]])),0),0)</f>
        <v>0</v>
      </c>
      <c r="AO1640" s="117">
        <f t="shared" si="128"/>
        <v>0</v>
      </c>
      <c r="AQ1640" s="117">
        <f t="shared" si="126"/>
        <v>0</v>
      </c>
      <c r="AR1640" s="120">
        <f t="shared" si="127"/>
        <v>0</v>
      </c>
      <c r="AS1640" s="121"/>
    </row>
    <row r="1641" spans="1:45" ht="13.5" x14ac:dyDescent="0.4">
      <c r="A1641" s="12">
        <f t="shared" si="129"/>
        <v>1638</v>
      </c>
      <c r="B1641" s="64" t="s">
        <v>10</v>
      </c>
      <c r="C1641" s="54">
        <v>45988</v>
      </c>
      <c r="D1641" s="54">
        <v>45996</v>
      </c>
      <c r="E1641" s="46" t="s">
        <v>451</v>
      </c>
      <c r="F1641" s="51" t="s">
        <v>19</v>
      </c>
      <c r="G1641" s="51" t="s">
        <v>20</v>
      </c>
      <c r="H1641" s="51" t="s">
        <v>254</v>
      </c>
      <c r="I1641" s="55" t="s">
        <v>255</v>
      </c>
      <c r="J1641" s="56">
        <v>1</v>
      </c>
      <c r="K1641" s="51" t="s">
        <v>380</v>
      </c>
      <c r="L1641" s="58">
        <v>133050.85</v>
      </c>
      <c r="M1641" s="50">
        <f>ROUND('FA Addition'!$L1641*5%,0.1)</f>
        <v>6653</v>
      </c>
      <c r="N1641" s="113" t="str">
        <f>_xlfn.XLOOKUP(_xlfn.CONCAT(E1641,B1641),'Year Wise Master Dep Approach'!F:F,'Year Wise Master Dep Approach'!D:D)</f>
        <v>WDV</v>
      </c>
      <c r="O1641" s="113">
        <f>_xlfn.XLOOKUP(_xlfn.CONCAT(E1641,B1641),'Year Wise Master Dep Approach'!F:F,'Year Wise Master Dep Approach'!E:E)</f>
        <v>3</v>
      </c>
      <c r="P1641" s="114">
        <f>IFERROR(IF('FA Addition'!$N1641="WDV",1-('FA Addition'!$M1641/'FA Addition'!$L1641)^(1/'FA Addition'!$O1641),1/'FA Addition'!$O1641),0)</f>
        <v>0.63158840521546311</v>
      </c>
      <c r="Q1641" s="122">
        <f>'FA Addition'!$P1641*'FA Addition'!$O1641</f>
        <v>1.8947652156463892</v>
      </c>
      <c r="R1641" s="122"/>
      <c r="S1641" s="116">
        <f>IF(AND(DATE(20&amp;LEFT(FAAddition[[#This Row],[FY]],2),4,1)&lt;$L$1+1,DATE(20&amp;LEFT(FAAddition[[#This Row],[FY]],2),4,1)&gt;$P$1-1),'FA Addition'!$J1641,0)</f>
        <v>0</v>
      </c>
      <c r="U1641" s="117">
        <f>S1641*'FA Addition'!$L1641/'FA Addition'!$J1641</f>
        <v>0</v>
      </c>
      <c r="W1641" s="116">
        <f>SUMIFS('FA Write off'!D:D,'FA Write off'!A:A,'FA Addition'!$A1641,'FA Write off'!C:C,"&lt;"&amp;'FA Addition'!$P$1)</f>
        <v>0</v>
      </c>
      <c r="Y1641" s="191">
        <f>IFERROR(W1641/'FA Addition'!$J1641*'FA Addition'!$L1641,0)</f>
        <v>0</v>
      </c>
      <c r="AA1641" s="116">
        <f>SUMIFS('FA Write off'!D:D,'FA Write off'!A:A,'FA Addition'!$A1641,'FA Write off'!C:C,"&lt;"&amp;'FA Addition'!$L$1+1,'FA Write off'!C:C,"&gt;"&amp;'FA Addition'!$L$1-365)</f>
        <v>0</v>
      </c>
      <c r="AC1641" s="118">
        <f>IFERROR(AA1641/'FA Addition'!$J1641*'FA Addition'!$L1641,0)</f>
        <v>0</v>
      </c>
      <c r="AE1641" s="117">
        <f>IF(AND('FA Addition'!$D1641&lt;$P$1+1,U1641=0),'FA Addition'!$L1641,0)-Y1641</f>
        <v>0</v>
      </c>
      <c r="AF1641" s="117">
        <f t="shared" si="125"/>
        <v>0</v>
      </c>
      <c r="AG1641" s="117">
        <f>MIN(MAX(+$P$1-'FA Addition'!$D1641,0),365*'FA Addition'!$O1641)</f>
        <v>0</v>
      </c>
      <c r="AH1641" s="117">
        <f>MIN(MAX($L$1-'FA Addition'!$D1641+1,0),365*'FA Addition'!$O1641)</f>
        <v>0</v>
      </c>
      <c r="AI1641" s="117" cm="1">
        <f t="array" ref="AI1641">_xlfn.XLOOKUP(1,('FA Write off'!A:A='FA Addition'!$A1641)*('FA Write off'!D:D=AA1641),'FA Write off'!H:H,0,0)</f>
        <v>0</v>
      </c>
      <c r="AJ1641" s="117">
        <f>IF(AC1641&gt;0,MAX(IF('FA Addition'!$N1641="SLM",($AC1641-'FA Addition'!$M1641)*'FA Addition'!$P1641*AI1641/365,(AC1641-'FA Addition'!$M1641)*(1-(1-'FA Addition'!$P1641)^(AI1641/365))),0),0)</f>
        <v>0</v>
      </c>
      <c r="AL1641" s="117">
        <f>MAX(IF(AG1641&gt;0,IF('FA Addition'!$N1641="SLM",($AE1641-'FA Addition'!$M1641)*'FA Addition'!$P1641*AG1641/365,IFERROR(VDB(AE1641,AE1641*0.05,'FA Addition'!$O1641,0,YEARFRAC('FA Addition'!$C1641,$P$1-1,3),'FA Addition'!$Q1641),FAAddition[[#This Row],[Original Cost (Rs)]]-FAAddition[[#This Row],[Salvage Value]])),0),0)</f>
        <v>0</v>
      </c>
      <c r="AM1641" s="119"/>
      <c r="AN1641" s="117">
        <f>MAX(IF(AH1641&gt;0,IF('FA Addition'!$N1641="SLM",($AF1641-'FA Addition'!$M1641)*'FA Addition'!$P1641*AH1641/365,IFERROR(VDB(AF1641,AF1641*0.05,'FA Addition'!$O1641,0,YEARFRAC('FA Addition'!$C1641,$L$1,3),'FA Addition'!$Q1641),FAAddition[[#This Row],[Original Cost (Rs)]]-FAAddition[[#This Row],[Salvage Value]])),0),0)</f>
        <v>0</v>
      </c>
      <c r="AO1641" s="117">
        <f t="shared" si="128"/>
        <v>0</v>
      </c>
      <c r="AQ1641" s="117">
        <f t="shared" si="126"/>
        <v>0</v>
      </c>
      <c r="AR1641" s="120">
        <f t="shared" si="127"/>
        <v>0</v>
      </c>
      <c r="AS1641" s="121"/>
    </row>
    <row r="1642" spans="1:45" ht="13.5" x14ac:dyDescent="0.4">
      <c r="A1642" s="12">
        <f t="shared" si="129"/>
        <v>1639</v>
      </c>
      <c r="B1642" s="64" t="s">
        <v>10</v>
      </c>
      <c r="C1642" s="54">
        <v>45988</v>
      </c>
      <c r="D1642" s="54">
        <v>45996</v>
      </c>
      <c r="E1642" s="46" t="s">
        <v>451</v>
      </c>
      <c r="F1642" s="51" t="s">
        <v>19</v>
      </c>
      <c r="G1642" s="51" t="s">
        <v>20</v>
      </c>
      <c r="H1642" s="51" t="s">
        <v>254</v>
      </c>
      <c r="I1642" s="55" t="s">
        <v>255</v>
      </c>
      <c r="J1642" s="56">
        <v>1</v>
      </c>
      <c r="K1642" s="51" t="s">
        <v>380</v>
      </c>
      <c r="L1642" s="58">
        <v>133050.85</v>
      </c>
      <c r="M1642" s="50">
        <f>ROUND('FA Addition'!$L1642*5%,0.1)</f>
        <v>6653</v>
      </c>
      <c r="N1642" s="113" t="str">
        <f>_xlfn.XLOOKUP(_xlfn.CONCAT(E1642,B1642),'Year Wise Master Dep Approach'!F:F,'Year Wise Master Dep Approach'!D:D)</f>
        <v>WDV</v>
      </c>
      <c r="O1642" s="113">
        <f>_xlfn.XLOOKUP(_xlfn.CONCAT(E1642,B1642),'Year Wise Master Dep Approach'!F:F,'Year Wise Master Dep Approach'!E:E)</f>
        <v>3</v>
      </c>
      <c r="P1642" s="114">
        <f>IFERROR(IF('FA Addition'!$N1642="WDV",1-('FA Addition'!$M1642/'FA Addition'!$L1642)^(1/'FA Addition'!$O1642),1/'FA Addition'!$O1642),0)</f>
        <v>0.63158840521546311</v>
      </c>
      <c r="Q1642" s="122">
        <f>'FA Addition'!$P1642*'FA Addition'!$O1642</f>
        <v>1.8947652156463892</v>
      </c>
      <c r="R1642" s="122"/>
      <c r="S1642" s="116">
        <f>IF(AND(DATE(20&amp;LEFT(FAAddition[[#This Row],[FY]],2),4,1)&lt;$L$1+1,DATE(20&amp;LEFT(FAAddition[[#This Row],[FY]],2),4,1)&gt;$P$1-1),'FA Addition'!$J1642,0)</f>
        <v>0</v>
      </c>
      <c r="U1642" s="117">
        <f>S1642*'FA Addition'!$L1642/'FA Addition'!$J1642</f>
        <v>0</v>
      </c>
      <c r="W1642" s="116">
        <f>SUMIFS('FA Write off'!D:D,'FA Write off'!A:A,'FA Addition'!$A1642,'FA Write off'!C:C,"&lt;"&amp;'FA Addition'!$P$1)</f>
        <v>0</v>
      </c>
      <c r="Y1642" s="191">
        <f>IFERROR(W1642/'FA Addition'!$J1642*'FA Addition'!$L1642,0)</f>
        <v>0</v>
      </c>
      <c r="AA1642" s="116">
        <f>SUMIFS('FA Write off'!D:D,'FA Write off'!A:A,'FA Addition'!$A1642,'FA Write off'!C:C,"&lt;"&amp;'FA Addition'!$L$1+1,'FA Write off'!C:C,"&gt;"&amp;'FA Addition'!$L$1-365)</f>
        <v>0</v>
      </c>
      <c r="AC1642" s="118">
        <f>IFERROR(AA1642/'FA Addition'!$J1642*'FA Addition'!$L1642,0)</f>
        <v>0</v>
      </c>
      <c r="AE1642" s="117">
        <f>IF(AND('FA Addition'!$D1642&lt;$P$1+1,U1642=0),'FA Addition'!$L1642,0)-Y1642</f>
        <v>0</v>
      </c>
      <c r="AF1642" s="117">
        <f t="shared" si="125"/>
        <v>0</v>
      </c>
      <c r="AG1642" s="117">
        <f>MIN(MAX(+$P$1-'FA Addition'!$D1642,0),365*'FA Addition'!$O1642)</f>
        <v>0</v>
      </c>
      <c r="AH1642" s="117">
        <f>MIN(MAX($L$1-'FA Addition'!$D1642+1,0),365*'FA Addition'!$O1642)</f>
        <v>0</v>
      </c>
      <c r="AI1642" s="117" cm="1">
        <f t="array" ref="AI1642">_xlfn.XLOOKUP(1,('FA Write off'!A:A='FA Addition'!$A1642)*('FA Write off'!D:D=AA1642),'FA Write off'!H:H,0,0)</f>
        <v>0</v>
      </c>
      <c r="AJ1642" s="117">
        <f>IF(AC1642&gt;0,MAX(IF('FA Addition'!$N1642="SLM",($AC1642-'FA Addition'!$M1642)*'FA Addition'!$P1642*AI1642/365,(AC1642-'FA Addition'!$M1642)*(1-(1-'FA Addition'!$P1642)^(AI1642/365))),0),0)</f>
        <v>0</v>
      </c>
      <c r="AL1642" s="117">
        <f>MAX(IF(AG1642&gt;0,IF('FA Addition'!$N1642="SLM",($AE1642-'FA Addition'!$M1642)*'FA Addition'!$P1642*AG1642/365,IFERROR(VDB(AE1642,AE1642*0.05,'FA Addition'!$O1642,0,YEARFRAC('FA Addition'!$C1642,$P$1-1,3),'FA Addition'!$Q1642),FAAddition[[#This Row],[Original Cost (Rs)]]-FAAddition[[#This Row],[Salvage Value]])),0),0)</f>
        <v>0</v>
      </c>
      <c r="AM1642" s="119"/>
      <c r="AN1642" s="117">
        <f>MAX(IF(AH1642&gt;0,IF('FA Addition'!$N1642="SLM",($AF1642-'FA Addition'!$M1642)*'FA Addition'!$P1642*AH1642/365,IFERROR(VDB(AF1642,AF1642*0.05,'FA Addition'!$O1642,0,YEARFRAC('FA Addition'!$C1642,$L$1,3),'FA Addition'!$Q1642),FAAddition[[#This Row],[Original Cost (Rs)]]-FAAddition[[#This Row],[Salvage Value]])),0),0)</f>
        <v>0</v>
      </c>
      <c r="AO1642" s="117">
        <f t="shared" si="128"/>
        <v>0</v>
      </c>
      <c r="AQ1642" s="117">
        <f t="shared" si="126"/>
        <v>0</v>
      </c>
      <c r="AR1642" s="120">
        <f t="shared" si="127"/>
        <v>0</v>
      </c>
      <c r="AS1642" s="121"/>
    </row>
    <row r="1643" spans="1:45" ht="13.5" x14ac:dyDescent="0.4">
      <c r="A1643" s="12">
        <f t="shared" si="129"/>
        <v>1640</v>
      </c>
      <c r="B1643" s="64" t="s">
        <v>10</v>
      </c>
      <c r="C1643" s="54">
        <v>45988</v>
      </c>
      <c r="D1643" s="54">
        <v>45996</v>
      </c>
      <c r="E1643" s="46" t="s">
        <v>451</v>
      </c>
      <c r="F1643" s="51" t="s">
        <v>19</v>
      </c>
      <c r="G1643" s="51" t="s">
        <v>20</v>
      </c>
      <c r="H1643" s="51" t="s">
        <v>254</v>
      </c>
      <c r="I1643" s="55" t="s">
        <v>255</v>
      </c>
      <c r="J1643" s="56">
        <v>1</v>
      </c>
      <c r="K1643" s="51" t="s">
        <v>380</v>
      </c>
      <c r="L1643" s="58">
        <v>133050.85</v>
      </c>
      <c r="M1643" s="50">
        <f>ROUND('FA Addition'!$L1643*5%,0.1)</f>
        <v>6653</v>
      </c>
      <c r="N1643" s="113" t="str">
        <f>_xlfn.XLOOKUP(_xlfn.CONCAT(E1643,B1643),'Year Wise Master Dep Approach'!F:F,'Year Wise Master Dep Approach'!D:D)</f>
        <v>WDV</v>
      </c>
      <c r="O1643" s="113">
        <f>_xlfn.XLOOKUP(_xlfn.CONCAT(E1643,B1643),'Year Wise Master Dep Approach'!F:F,'Year Wise Master Dep Approach'!E:E)</f>
        <v>3</v>
      </c>
      <c r="P1643" s="114">
        <f>IFERROR(IF('FA Addition'!$N1643="WDV",1-('FA Addition'!$M1643/'FA Addition'!$L1643)^(1/'FA Addition'!$O1643),1/'FA Addition'!$O1643),0)</f>
        <v>0.63158840521546311</v>
      </c>
      <c r="Q1643" s="122">
        <f>'FA Addition'!$P1643*'FA Addition'!$O1643</f>
        <v>1.8947652156463892</v>
      </c>
      <c r="R1643" s="122"/>
      <c r="S1643" s="116">
        <f>IF(AND(DATE(20&amp;LEFT(FAAddition[[#This Row],[FY]],2),4,1)&lt;$L$1+1,DATE(20&amp;LEFT(FAAddition[[#This Row],[FY]],2),4,1)&gt;$P$1-1),'FA Addition'!$J1643,0)</f>
        <v>0</v>
      </c>
      <c r="U1643" s="117">
        <f>S1643*'FA Addition'!$L1643/'FA Addition'!$J1643</f>
        <v>0</v>
      </c>
      <c r="W1643" s="116">
        <f>SUMIFS('FA Write off'!D:D,'FA Write off'!A:A,'FA Addition'!$A1643,'FA Write off'!C:C,"&lt;"&amp;'FA Addition'!$P$1)</f>
        <v>0</v>
      </c>
      <c r="Y1643" s="191">
        <f>IFERROR(W1643/'FA Addition'!$J1643*'FA Addition'!$L1643,0)</f>
        <v>0</v>
      </c>
      <c r="AA1643" s="116">
        <f>SUMIFS('FA Write off'!D:D,'FA Write off'!A:A,'FA Addition'!$A1643,'FA Write off'!C:C,"&lt;"&amp;'FA Addition'!$L$1+1,'FA Write off'!C:C,"&gt;"&amp;'FA Addition'!$L$1-365)</f>
        <v>0</v>
      </c>
      <c r="AC1643" s="118">
        <f>IFERROR(AA1643/'FA Addition'!$J1643*'FA Addition'!$L1643,0)</f>
        <v>0</v>
      </c>
      <c r="AE1643" s="117">
        <f>IF(AND('FA Addition'!$D1643&lt;$P$1+1,U1643=0),'FA Addition'!$L1643,0)-Y1643</f>
        <v>0</v>
      </c>
      <c r="AF1643" s="117">
        <f t="shared" si="125"/>
        <v>0</v>
      </c>
      <c r="AG1643" s="117">
        <f>MIN(MAX(+$P$1-'FA Addition'!$D1643,0),365*'FA Addition'!$O1643)</f>
        <v>0</v>
      </c>
      <c r="AH1643" s="117">
        <f>MIN(MAX($L$1-'FA Addition'!$D1643+1,0),365*'FA Addition'!$O1643)</f>
        <v>0</v>
      </c>
      <c r="AI1643" s="117" cm="1">
        <f t="array" ref="AI1643">_xlfn.XLOOKUP(1,('FA Write off'!A:A='FA Addition'!$A1643)*('FA Write off'!D:D=AA1643),'FA Write off'!H:H,0,0)</f>
        <v>0</v>
      </c>
      <c r="AJ1643" s="117">
        <f>IF(AC1643&gt;0,MAX(IF('FA Addition'!$N1643="SLM",($AC1643-'FA Addition'!$M1643)*'FA Addition'!$P1643*AI1643/365,(AC1643-'FA Addition'!$M1643)*(1-(1-'FA Addition'!$P1643)^(AI1643/365))),0),0)</f>
        <v>0</v>
      </c>
      <c r="AL1643" s="117">
        <f>MAX(IF(AG1643&gt;0,IF('FA Addition'!$N1643="SLM",($AE1643-'FA Addition'!$M1643)*'FA Addition'!$P1643*AG1643/365,IFERROR(VDB(AE1643,AE1643*0.05,'FA Addition'!$O1643,0,YEARFRAC('FA Addition'!$C1643,$P$1-1,3),'FA Addition'!$Q1643),FAAddition[[#This Row],[Original Cost (Rs)]]-FAAddition[[#This Row],[Salvage Value]])),0),0)</f>
        <v>0</v>
      </c>
      <c r="AM1643" s="119"/>
      <c r="AN1643" s="117">
        <f>MAX(IF(AH1643&gt;0,IF('FA Addition'!$N1643="SLM",($AF1643-'FA Addition'!$M1643)*'FA Addition'!$P1643*AH1643/365,IFERROR(VDB(AF1643,AF1643*0.05,'FA Addition'!$O1643,0,YEARFRAC('FA Addition'!$C1643,$L$1,3),'FA Addition'!$Q1643),FAAddition[[#This Row],[Original Cost (Rs)]]-FAAddition[[#This Row],[Salvage Value]])),0),0)</f>
        <v>0</v>
      </c>
      <c r="AO1643" s="117">
        <f t="shared" si="128"/>
        <v>0</v>
      </c>
      <c r="AQ1643" s="117">
        <f t="shared" si="126"/>
        <v>0</v>
      </c>
      <c r="AR1643" s="120">
        <f t="shared" si="127"/>
        <v>0</v>
      </c>
      <c r="AS1643" s="121"/>
    </row>
    <row r="1644" spans="1:45" ht="13.5" x14ac:dyDescent="0.4">
      <c r="A1644" s="12">
        <f t="shared" si="129"/>
        <v>1641</v>
      </c>
      <c r="B1644" s="64" t="s">
        <v>10</v>
      </c>
      <c r="C1644" s="54">
        <v>45988</v>
      </c>
      <c r="D1644" s="54">
        <v>45996</v>
      </c>
      <c r="E1644" s="46" t="s">
        <v>451</v>
      </c>
      <c r="F1644" s="51" t="s">
        <v>19</v>
      </c>
      <c r="G1644" s="51" t="s">
        <v>20</v>
      </c>
      <c r="H1644" s="51" t="s">
        <v>254</v>
      </c>
      <c r="I1644" s="55" t="s">
        <v>255</v>
      </c>
      <c r="J1644" s="56">
        <v>1</v>
      </c>
      <c r="K1644" s="51" t="s">
        <v>380</v>
      </c>
      <c r="L1644" s="58">
        <v>133050.85</v>
      </c>
      <c r="M1644" s="50">
        <f>ROUND('FA Addition'!$L1644*5%,0.1)</f>
        <v>6653</v>
      </c>
      <c r="N1644" s="113" t="str">
        <f>_xlfn.XLOOKUP(_xlfn.CONCAT(E1644,B1644),'Year Wise Master Dep Approach'!F:F,'Year Wise Master Dep Approach'!D:D)</f>
        <v>WDV</v>
      </c>
      <c r="O1644" s="113">
        <f>_xlfn.XLOOKUP(_xlfn.CONCAT(E1644,B1644),'Year Wise Master Dep Approach'!F:F,'Year Wise Master Dep Approach'!E:E)</f>
        <v>3</v>
      </c>
      <c r="P1644" s="114">
        <f>IFERROR(IF('FA Addition'!$N1644="WDV",1-('FA Addition'!$M1644/'FA Addition'!$L1644)^(1/'FA Addition'!$O1644),1/'FA Addition'!$O1644),0)</f>
        <v>0.63158840521546311</v>
      </c>
      <c r="Q1644" s="122">
        <f>'FA Addition'!$P1644*'FA Addition'!$O1644</f>
        <v>1.8947652156463892</v>
      </c>
      <c r="R1644" s="122"/>
      <c r="S1644" s="116">
        <f>IF(AND(DATE(20&amp;LEFT(FAAddition[[#This Row],[FY]],2),4,1)&lt;$L$1+1,DATE(20&amp;LEFT(FAAddition[[#This Row],[FY]],2),4,1)&gt;$P$1-1),'FA Addition'!$J1644,0)</f>
        <v>0</v>
      </c>
      <c r="U1644" s="117">
        <f>S1644*'FA Addition'!$L1644/'FA Addition'!$J1644</f>
        <v>0</v>
      </c>
      <c r="W1644" s="116">
        <f>SUMIFS('FA Write off'!D:D,'FA Write off'!A:A,'FA Addition'!$A1644,'FA Write off'!C:C,"&lt;"&amp;'FA Addition'!$P$1)</f>
        <v>0</v>
      </c>
      <c r="Y1644" s="191">
        <f>IFERROR(W1644/'FA Addition'!$J1644*'FA Addition'!$L1644,0)</f>
        <v>0</v>
      </c>
      <c r="AA1644" s="116">
        <f>SUMIFS('FA Write off'!D:D,'FA Write off'!A:A,'FA Addition'!$A1644,'FA Write off'!C:C,"&lt;"&amp;'FA Addition'!$L$1+1,'FA Write off'!C:C,"&gt;"&amp;'FA Addition'!$L$1-365)</f>
        <v>0</v>
      </c>
      <c r="AC1644" s="118">
        <f>IFERROR(AA1644/'FA Addition'!$J1644*'FA Addition'!$L1644,0)</f>
        <v>0</v>
      </c>
      <c r="AE1644" s="117">
        <f>IF(AND('FA Addition'!$D1644&lt;$P$1+1,U1644=0),'FA Addition'!$L1644,0)-Y1644</f>
        <v>0</v>
      </c>
      <c r="AF1644" s="117">
        <f t="shared" si="125"/>
        <v>0</v>
      </c>
      <c r="AG1644" s="117">
        <f>MIN(MAX(+$P$1-'FA Addition'!$D1644,0),365*'FA Addition'!$O1644)</f>
        <v>0</v>
      </c>
      <c r="AH1644" s="117">
        <f>MIN(MAX($L$1-'FA Addition'!$D1644+1,0),365*'FA Addition'!$O1644)</f>
        <v>0</v>
      </c>
      <c r="AI1644" s="117" cm="1">
        <f t="array" ref="AI1644">_xlfn.XLOOKUP(1,('FA Write off'!A:A='FA Addition'!$A1644)*('FA Write off'!D:D=AA1644),'FA Write off'!H:H,0,0)</f>
        <v>0</v>
      </c>
      <c r="AJ1644" s="117">
        <f>IF(AC1644&gt;0,MAX(IF('FA Addition'!$N1644="SLM",($AC1644-'FA Addition'!$M1644)*'FA Addition'!$P1644*AI1644/365,(AC1644-'FA Addition'!$M1644)*(1-(1-'FA Addition'!$P1644)^(AI1644/365))),0),0)</f>
        <v>0</v>
      </c>
      <c r="AL1644" s="117">
        <f>MAX(IF(AG1644&gt;0,IF('FA Addition'!$N1644="SLM",($AE1644-'FA Addition'!$M1644)*'FA Addition'!$P1644*AG1644/365,IFERROR(VDB(AE1644,AE1644*0.05,'FA Addition'!$O1644,0,YEARFRAC('FA Addition'!$C1644,$P$1-1,3),'FA Addition'!$Q1644),FAAddition[[#This Row],[Original Cost (Rs)]]-FAAddition[[#This Row],[Salvage Value]])),0),0)</f>
        <v>0</v>
      </c>
      <c r="AM1644" s="119"/>
      <c r="AN1644" s="117">
        <f>MAX(IF(AH1644&gt;0,IF('FA Addition'!$N1644="SLM",($AF1644-'FA Addition'!$M1644)*'FA Addition'!$P1644*AH1644/365,IFERROR(VDB(AF1644,AF1644*0.05,'FA Addition'!$O1644,0,YEARFRAC('FA Addition'!$C1644,$L$1,3),'FA Addition'!$Q1644),FAAddition[[#This Row],[Original Cost (Rs)]]-FAAddition[[#This Row],[Salvage Value]])),0),0)</f>
        <v>0</v>
      </c>
      <c r="AO1644" s="117">
        <f t="shared" si="128"/>
        <v>0</v>
      </c>
      <c r="AQ1644" s="117">
        <f t="shared" si="126"/>
        <v>0</v>
      </c>
      <c r="AR1644" s="120">
        <f t="shared" si="127"/>
        <v>0</v>
      </c>
      <c r="AS1644" s="121"/>
    </row>
    <row r="1645" spans="1:45" ht="13.5" x14ac:dyDescent="0.4">
      <c r="A1645" s="12">
        <f t="shared" si="129"/>
        <v>1642</v>
      </c>
      <c r="B1645" s="64" t="s">
        <v>10</v>
      </c>
      <c r="C1645" s="54">
        <v>45992</v>
      </c>
      <c r="D1645" s="54">
        <v>45996</v>
      </c>
      <c r="E1645" s="46" t="s">
        <v>451</v>
      </c>
      <c r="F1645" s="51" t="s">
        <v>19</v>
      </c>
      <c r="G1645" s="51" t="s">
        <v>20</v>
      </c>
      <c r="H1645" s="51" t="s">
        <v>151</v>
      </c>
      <c r="I1645" s="55" t="s">
        <v>256</v>
      </c>
      <c r="J1645" s="56">
        <v>1</v>
      </c>
      <c r="K1645" s="51" t="s">
        <v>379</v>
      </c>
      <c r="L1645" s="58">
        <v>10400</v>
      </c>
      <c r="M1645" s="50">
        <f>ROUND('FA Addition'!$L1645*5%,0.1)</f>
        <v>520</v>
      </c>
      <c r="N1645" s="113" t="str">
        <f>_xlfn.XLOOKUP(_xlfn.CONCAT(E1645,B1645),'Year Wise Master Dep Approach'!F:F,'Year Wise Master Dep Approach'!D:D)</f>
        <v>WDV</v>
      </c>
      <c r="O1645" s="113">
        <f>_xlfn.XLOOKUP(_xlfn.CONCAT(E1645,B1645),'Year Wise Master Dep Approach'!F:F,'Year Wise Master Dep Approach'!E:E)</f>
        <v>3</v>
      </c>
      <c r="P1645" s="114">
        <f>IFERROR(IF('FA Addition'!$N1645="WDV",1-('FA Addition'!$M1645/'FA Addition'!$L1645)^(1/'FA Addition'!$O1645),1/'FA Addition'!$O1645),0)</f>
        <v>0.63159685013596123</v>
      </c>
      <c r="Q1645" s="122">
        <f>'FA Addition'!$P1645*'FA Addition'!$O1645</f>
        <v>1.8947905504078837</v>
      </c>
      <c r="R1645" s="122"/>
      <c r="S1645" s="116">
        <f>IF(AND(DATE(20&amp;LEFT(FAAddition[[#This Row],[FY]],2),4,1)&lt;$L$1+1,DATE(20&amp;LEFT(FAAddition[[#This Row],[FY]],2),4,1)&gt;$P$1-1),'FA Addition'!$J1645,0)</f>
        <v>0</v>
      </c>
      <c r="U1645" s="117">
        <f>S1645*'FA Addition'!$L1645/'FA Addition'!$J1645</f>
        <v>0</v>
      </c>
      <c r="W1645" s="116">
        <f>SUMIFS('FA Write off'!D:D,'FA Write off'!A:A,'FA Addition'!$A1645,'FA Write off'!C:C,"&lt;"&amp;'FA Addition'!$P$1)</f>
        <v>0</v>
      </c>
      <c r="Y1645" s="191">
        <f>IFERROR(W1645/'FA Addition'!$J1645*'FA Addition'!$L1645,0)</f>
        <v>0</v>
      </c>
      <c r="AA1645" s="116">
        <f>SUMIFS('FA Write off'!D:D,'FA Write off'!A:A,'FA Addition'!$A1645,'FA Write off'!C:C,"&lt;"&amp;'FA Addition'!$L$1+1,'FA Write off'!C:C,"&gt;"&amp;'FA Addition'!$L$1-365)</f>
        <v>0</v>
      </c>
      <c r="AC1645" s="118">
        <f>IFERROR(AA1645/'FA Addition'!$J1645*'FA Addition'!$L1645,0)</f>
        <v>0</v>
      </c>
      <c r="AE1645" s="117">
        <f>IF(AND('FA Addition'!$D1645&lt;$P$1+1,U1645=0),'FA Addition'!$L1645,0)-Y1645</f>
        <v>0</v>
      </c>
      <c r="AF1645" s="117">
        <f t="shared" si="125"/>
        <v>0</v>
      </c>
      <c r="AG1645" s="117">
        <f>MIN(MAX(+$P$1-'FA Addition'!$D1645,0),365*'FA Addition'!$O1645)</f>
        <v>0</v>
      </c>
      <c r="AH1645" s="117">
        <f>MIN(MAX($L$1-'FA Addition'!$D1645+1,0),365*'FA Addition'!$O1645)</f>
        <v>0</v>
      </c>
      <c r="AI1645" s="117" cm="1">
        <f t="array" ref="AI1645">_xlfn.XLOOKUP(1,('FA Write off'!A:A='FA Addition'!$A1645)*('FA Write off'!D:D=AA1645),'FA Write off'!H:H,0,0)</f>
        <v>0</v>
      </c>
      <c r="AJ1645" s="117">
        <f>IF(AC1645&gt;0,MAX(IF('FA Addition'!$N1645="SLM",($AC1645-'FA Addition'!$M1645)*'FA Addition'!$P1645*AI1645/365,(AC1645-'FA Addition'!$M1645)*(1-(1-'FA Addition'!$P1645)^(AI1645/365))),0),0)</f>
        <v>0</v>
      </c>
      <c r="AL1645" s="117">
        <f>MAX(IF(AG1645&gt;0,IF('FA Addition'!$N1645="SLM",($AE1645-'FA Addition'!$M1645)*'FA Addition'!$P1645*AG1645/365,IFERROR(VDB(AE1645,AE1645*0.05,'FA Addition'!$O1645,0,YEARFRAC('FA Addition'!$C1645,$P$1-1,3),'FA Addition'!$Q1645),FAAddition[[#This Row],[Original Cost (Rs)]]-FAAddition[[#This Row],[Salvage Value]])),0),0)</f>
        <v>0</v>
      </c>
      <c r="AM1645" s="119"/>
      <c r="AN1645" s="117">
        <f>MAX(IF(AH1645&gt;0,IF('FA Addition'!$N1645="SLM",($AF1645-'FA Addition'!$M1645)*'FA Addition'!$P1645*AH1645/365,IFERROR(VDB(AF1645,AF1645*0.05,'FA Addition'!$O1645,0,YEARFRAC('FA Addition'!$C1645,$L$1,3),'FA Addition'!$Q1645),FAAddition[[#This Row],[Original Cost (Rs)]]-FAAddition[[#This Row],[Salvage Value]])),0),0)</f>
        <v>0</v>
      </c>
      <c r="AO1645" s="117">
        <f t="shared" si="128"/>
        <v>0</v>
      </c>
      <c r="AQ1645" s="117">
        <f t="shared" si="126"/>
        <v>0</v>
      </c>
      <c r="AR1645" s="120">
        <f t="shared" si="127"/>
        <v>0</v>
      </c>
      <c r="AS1645" s="121"/>
    </row>
    <row r="1646" spans="1:45" ht="13.5" x14ac:dyDescent="0.4">
      <c r="A1646" s="12">
        <f t="shared" si="129"/>
        <v>1643</v>
      </c>
      <c r="B1646" s="64" t="s">
        <v>10</v>
      </c>
      <c r="C1646" s="54" t="s">
        <v>257</v>
      </c>
      <c r="D1646" s="54">
        <v>45996</v>
      </c>
      <c r="E1646" s="46" t="s">
        <v>451</v>
      </c>
      <c r="F1646" s="51" t="s">
        <v>19</v>
      </c>
      <c r="G1646" s="51" t="s">
        <v>20</v>
      </c>
      <c r="H1646" s="51" t="s">
        <v>244</v>
      </c>
      <c r="I1646" s="55" t="s">
        <v>258</v>
      </c>
      <c r="J1646" s="56">
        <v>1</v>
      </c>
      <c r="K1646" s="51" t="s">
        <v>381</v>
      </c>
      <c r="L1646" s="58">
        <v>127118.64</v>
      </c>
      <c r="M1646" s="50">
        <f>ROUND('FA Addition'!$L1646*5%,0.1)</f>
        <v>6356</v>
      </c>
      <c r="N1646" s="113" t="str">
        <f>_xlfn.XLOOKUP(_xlfn.CONCAT(E1646,B1646),'Year Wise Master Dep Approach'!F:F,'Year Wise Master Dep Approach'!D:D)</f>
        <v>WDV</v>
      </c>
      <c r="O1646" s="113">
        <f>_xlfn.XLOOKUP(_xlfn.CONCAT(E1646,B1646),'Year Wise Master Dep Approach'!F:F,'Year Wise Master Dep Approach'!E:E)</f>
        <v>3</v>
      </c>
      <c r="P1646" s="114">
        <f>IFERROR(IF('FA Addition'!$N1646="WDV",1-('FA Addition'!$M1646/'FA Addition'!$L1646)^(1/'FA Addition'!$O1646),1/'FA Addition'!$O1646),0)</f>
        <v>0.63159553633310483</v>
      </c>
      <c r="Q1646" s="122">
        <f>'FA Addition'!$P1646*'FA Addition'!$O1646</f>
        <v>1.8947866089993144</v>
      </c>
      <c r="R1646" s="122"/>
      <c r="S1646" s="116">
        <f>IF(AND(DATE(20&amp;LEFT(FAAddition[[#This Row],[FY]],2),4,1)&lt;$L$1+1,DATE(20&amp;LEFT(FAAddition[[#This Row],[FY]],2),4,1)&gt;$P$1-1),'FA Addition'!$J1646,0)</f>
        <v>0</v>
      </c>
      <c r="U1646" s="117">
        <f>S1646*'FA Addition'!$L1646/'FA Addition'!$J1646</f>
        <v>0</v>
      </c>
      <c r="W1646" s="116">
        <f>SUMIFS('FA Write off'!D:D,'FA Write off'!A:A,'FA Addition'!$A1646,'FA Write off'!C:C,"&lt;"&amp;'FA Addition'!$P$1)</f>
        <v>0</v>
      </c>
      <c r="Y1646" s="191">
        <f>IFERROR(W1646/'FA Addition'!$J1646*'FA Addition'!$L1646,0)</f>
        <v>0</v>
      </c>
      <c r="AA1646" s="116">
        <f>SUMIFS('FA Write off'!D:D,'FA Write off'!A:A,'FA Addition'!$A1646,'FA Write off'!C:C,"&lt;"&amp;'FA Addition'!$L$1+1,'FA Write off'!C:C,"&gt;"&amp;'FA Addition'!$L$1-365)</f>
        <v>0</v>
      </c>
      <c r="AC1646" s="118">
        <f>IFERROR(AA1646/'FA Addition'!$J1646*'FA Addition'!$L1646,0)</f>
        <v>0</v>
      </c>
      <c r="AE1646" s="117">
        <f>IF(AND('FA Addition'!$D1646&lt;$P$1+1,U1646=0),'FA Addition'!$L1646,0)-Y1646</f>
        <v>0</v>
      </c>
      <c r="AF1646" s="117">
        <f t="shared" si="125"/>
        <v>0</v>
      </c>
      <c r="AG1646" s="117">
        <f>MIN(MAX(+$P$1-'FA Addition'!$D1646,0),365*'FA Addition'!$O1646)</f>
        <v>0</v>
      </c>
      <c r="AH1646" s="117">
        <f>MIN(MAX($L$1-'FA Addition'!$D1646+1,0),365*'FA Addition'!$O1646)</f>
        <v>0</v>
      </c>
      <c r="AI1646" s="117" cm="1">
        <f t="array" ref="AI1646">_xlfn.XLOOKUP(1,('FA Write off'!A:A='FA Addition'!$A1646)*('FA Write off'!D:D=AA1646),'FA Write off'!H:H,0,0)</f>
        <v>0</v>
      </c>
      <c r="AJ1646" s="117">
        <f>IF(AC1646&gt;0,MAX(IF('FA Addition'!$N1646="SLM",($AC1646-'FA Addition'!$M1646)*'FA Addition'!$P1646*AI1646/365,(AC1646-'FA Addition'!$M1646)*(1-(1-'FA Addition'!$P1646)^(AI1646/365))),0),0)</f>
        <v>0</v>
      </c>
      <c r="AL1646" s="117">
        <f>MAX(IF(AG1646&gt;0,IF('FA Addition'!$N1646="SLM",($AE1646-'FA Addition'!$M1646)*'FA Addition'!$P1646*AG1646/365,IFERROR(VDB(AE1646,AE1646*0.05,'FA Addition'!$O1646,0,YEARFRAC('FA Addition'!$C1646,$P$1-1,3),'FA Addition'!$Q1646),FAAddition[[#This Row],[Original Cost (Rs)]]-FAAddition[[#This Row],[Salvage Value]])),0),0)</f>
        <v>0</v>
      </c>
      <c r="AM1646" s="119"/>
      <c r="AN1646" s="117">
        <f>MAX(IF(AH1646&gt;0,IF('FA Addition'!$N1646="SLM",($AF1646-'FA Addition'!$M1646)*'FA Addition'!$P1646*AH1646/365,IFERROR(VDB(AF1646,AF1646*0.05,'FA Addition'!$O1646,0,YEARFRAC('FA Addition'!$C1646,$L$1,3),'FA Addition'!$Q1646),FAAddition[[#This Row],[Original Cost (Rs)]]-FAAddition[[#This Row],[Salvage Value]])),0),0)</f>
        <v>0</v>
      </c>
      <c r="AO1646" s="117">
        <f t="shared" si="128"/>
        <v>0</v>
      </c>
      <c r="AQ1646" s="117">
        <f t="shared" si="126"/>
        <v>0</v>
      </c>
      <c r="AR1646" s="120">
        <f t="shared" si="127"/>
        <v>0</v>
      </c>
      <c r="AS1646" s="121"/>
    </row>
    <row r="1647" spans="1:45" ht="13.5" x14ac:dyDescent="0.4">
      <c r="A1647" s="12">
        <f t="shared" si="129"/>
        <v>1644</v>
      </c>
      <c r="B1647" s="64" t="s">
        <v>10</v>
      </c>
      <c r="C1647" s="54">
        <v>45980</v>
      </c>
      <c r="D1647" s="54">
        <v>45992</v>
      </c>
      <c r="E1647" s="46" t="s">
        <v>451</v>
      </c>
      <c r="F1647" s="51" t="s">
        <v>19</v>
      </c>
      <c r="G1647" s="51" t="s">
        <v>169</v>
      </c>
      <c r="H1647" s="51" t="s">
        <v>151</v>
      </c>
      <c r="I1647" s="55" t="s">
        <v>259</v>
      </c>
      <c r="J1647" s="56">
        <v>1</v>
      </c>
      <c r="K1647" s="51" t="s">
        <v>382</v>
      </c>
      <c r="L1647" s="58">
        <v>34000</v>
      </c>
      <c r="M1647" s="50">
        <f>ROUND('FA Addition'!$L1647*5%,0.1)</f>
        <v>1700</v>
      </c>
      <c r="N1647" s="113" t="str">
        <f>_xlfn.XLOOKUP(_xlfn.CONCAT(E1647,B1647),'Year Wise Master Dep Approach'!F:F,'Year Wise Master Dep Approach'!D:D)</f>
        <v>WDV</v>
      </c>
      <c r="O1647" s="113">
        <f>_xlfn.XLOOKUP(_xlfn.CONCAT(E1647,B1647),'Year Wise Master Dep Approach'!F:F,'Year Wise Master Dep Approach'!E:E)</f>
        <v>3</v>
      </c>
      <c r="P1647" s="114">
        <f>IFERROR(IF('FA Addition'!$N1647="WDV",1-('FA Addition'!$M1647/'FA Addition'!$L1647)^(1/'FA Addition'!$O1647),1/'FA Addition'!$O1647),0)</f>
        <v>0.63159685013596123</v>
      </c>
      <c r="Q1647" s="122">
        <f>'FA Addition'!$P1647*'FA Addition'!$O1647</f>
        <v>1.8947905504078837</v>
      </c>
      <c r="R1647" s="122"/>
      <c r="S1647" s="116">
        <f>IF(AND(DATE(20&amp;LEFT(FAAddition[[#This Row],[FY]],2),4,1)&lt;$L$1+1,DATE(20&amp;LEFT(FAAddition[[#This Row],[FY]],2),4,1)&gt;$P$1-1),'FA Addition'!$J1647,0)</f>
        <v>0</v>
      </c>
      <c r="U1647" s="117">
        <f>S1647*'FA Addition'!$L1647/'FA Addition'!$J1647</f>
        <v>0</v>
      </c>
      <c r="W1647" s="116">
        <f>SUMIFS('FA Write off'!D:D,'FA Write off'!A:A,'FA Addition'!$A1647,'FA Write off'!C:C,"&lt;"&amp;'FA Addition'!$P$1)</f>
        <v>0</v>
      </c>
      <c r="Y1647" s="191">
        <f>IFERROR(W1647/'FA Addition'!$J1647*'FA Addition'!$L1647,0)</f>
        <v>0</v>
      </c>
      <c r="AA1647" s="116">
        <f>SUMIFS('FA Write off'!D:D,'FA Write off'!A:A,'FA Addition'!$A1647,'FA Write off'!C:C,"&lt;"&amp;'FA Addition'!$L$1+1,'FA Write off'!C:C,"&gt;"&amp;'FA Addition'!$L$1-365)</f>
        <v>0</v>
      </c>
      <c r="AC1647" s="118">
        <f>IFERROR(AA1647/'FA Addition'!$J1647*'FA Addition'!$L1647,0)</f>
        <v>0</v>
      </c>
      <c r="AE1647" s="117">
        <f>IF(AND('FA Addition'!$D1647&lt;$P$1+1,U1647=0),'FA Addition'!$L1647,0)-Y1647</f>
        <v>0</v>
      </c>
      <c r="AF1647" s="117">
        <f t="shared" si="125"/>
        <v>0</v>
      </c>
      <c r="AG1647" s="117">
        <f>MIN(MAX(+$P$1-'FA Addition'!$D1647,0),365*'FA Addition'!$O1647)</f>
        <v>0</v>
      </c>
      <c r="AH1647" s="117">
        <f>MIN(MAX($L$1-'FA Addition'!$D1647+1,0),365*'FA Addition'!$O1647)</f>
        <v>0</v>
      </c>
      <c r="AI1647" s="117" cm="1">
        <f t="array" ref="AI1647">_xlfn.XLOOKUP(1,('FA Write off'!A:A='FA Addition'!$A1647)*('FA Write off'!D:D=AA1647),'FA Write off'!H:H,0,0)</f>
        <v>0</v>
      </c>
      <c r="AJ1647" s="117">
        <f>IF(AC1647&gt;0,MAX(IF('FA Addition'!$N1647="SLM",($AC1647-'FA Addition'!$M1647)*'FA Addition'!$P1647*AI1647/365,(AC1647-'FA Addition'!$M1647)*(1-(1-'FA Addition'!$P1647)^(AI1647/365))),0),0)</f>
        <v>0</v>
      </c>
      <c r="AL1647" s="117">
        <f>MAX(IF(AG1647&gt;0,IF('FA Addition'!$N1647="SLM",($AE1647-'FA Addition'!$M1647)*'FA Addition'!$P1647*AG1647/365,IFERROR(VDB(AE1647,AE1647*0.05,'FA Addition'!$O1647,0,YEARFRAC('FA Addition'!$C1647,$P$1-1,3),'FA Addition'!$Q1647),FAAddition[[#This Row],[Original Cost (Rs)]]-FAAddition[[#This Row],[Salvage Value]])),0),0)</f>
        <v>0</v>
      </c>
      <c r="AM1647" s="119"/>
      <c r="AN1647" s="117">
        <f>MAX(IF(AH1647&gt;0,IF('FA Addition'!$N1647="SLM",($AF1647-'FA Addition'!$M1647)*'FA Addition'!$P1647*AH1647/365,IFERROR(VDB(AF1647,AF1647*0.05,'FA Addition'!$O1647,0,YEARFRAC('FA Addition'!$C1647,$L$1,3),'FA Addition'!$Q1647),FAAddition[[#This Row],[Original Cost (Rs)]]-FAAddition[[#This Row],[Salvage Value]])),0),0)</f>
        <v>0</v>
      </c>
      <c r="AO1647" s="117">
        <f t="shared" si="128"/>
        <v>0</v>
      </c>
      <c r="AQ1647" s="117">
        <f t="shared" si="126"/>
        <v>0</v>
      </c>
      <c r="AR1647" s="120">
        <f t="shared" si="127"/>
        <v>0</v>
      </c>
      <c r="AS1647" s="121"/>
    </row>
    <row r="1648" spans="1:45" ht="13.5" x14ac:dyDescent="0.4">
      <c r="A1648" s="12">
        <f t="shared" si="129"/>
        <v>1645</v>
      </c>
      <c r="B1648" s="64" t="s">
        <v>10</v>
      </c>
      <c r="C1648" s="54">
        <v>45972</v>
      </c>
      <c r="D1648" s="54">
        <v>46008</v>
      </c>
      <c r="E1648" s="46" t="s">
        <v>749</v>
      </c>
      <c r="F1648" s="51" t="s">
        <v>74</v>
      </c>
      <c r="G1648" s="51" t="s">
        <v>156</v>
      </c>
      <c r="H1648" s="51" t="s">
        <v>118</v>
      </c>
      <c r="I1648" s="55" t="s">
        <v>260</v>
      </c>
      <c r="J1648" s="56">
        <v>1</v>
      </c>
      <c r="K1648" s="51" t="s">
        <v>383</v>
      </c>
      <c r="L1648" s="58">
        <v>16102</v>
      </c>
      <c r="M1648" s="50">
        <f>ROUND('FA Addition'!$L1648*5%,0.1)</f>
        <v>805</v>
      </c>
      <c r="N1648" s="113" t="str">
        <f>_xlfn.XLOOKUP(_xlfn.CONCAT(E1648,B1648),'Year Wise Master Dep Approach'!F:F,'Year Wise Master Dep Approach'!D:D)</f>
        <v>WDV</v>
      </c>
      <c r="O1648" s="113">
        <f>_xlfn.XLOOKUP(_xlfn.CONCAT(E1648,B1648),'Year Wise Master Dep Approach'!F:F,'Year Wise Master Dep Approach'!E:E)</f>
        <v>5</v>
      </c>
      <c r="P1648" s="114">
        <f>IFERROR(IF('FA Addition'!$N1648="WDV",1-('FA Addition'!$M1648/'FA Addition'!$L1648)^(1/'FA Addition'!$O1648),1/'FA Addition'!$O1648),0)</f>
        <v>0.45073337404471103</v>
      </c>
      <c r="Q1648" s="122">
        <f>'FA Addition'!$P1648*'FA Addition'!$O1648</f>
        <v>2.2536668702235554</v>
      </c>
      <c r="R1648" s="122"/>
      <c r="S1648" s="116">
        <f>IF(AND(DATE(20&amp;LEFT(FAAddition[[#This Row],[FY]],2),4,1)&lt;$L$1+1,DATE(20&amp;LEFT(FAAddition[[#This Row],[FY]],2),4,1)&gt;$P$1-1),'FA Addition'!$J1648,0)</f>
        <v>0</v>
      </c>
      <c r="U1648" s="117">
        <f>S1648*'FA Addition'!$L1648/'FA Addition'!$J1648</f>
        <v>0</v>
      </c>
      <c r="W1648" s="116">
        <f>SUMIFS('FA Write off'!D:D,'FA Write off'!A:A,'FA Addition'!$A1648,'FA Write off'!C:C,"&lt;"&amp;'FA Addition'!$P$1)</f>
        <v>0</v>
      </c>
      <c r="Y1648" s="191">
        <f>IFERROR(W1648/'FA Addition'!$J1648*'FA Addition'!$L1648,0)</f>
        <v>0</v>
      </c>
      <c r="AA1648" s="116">
        <f>SUMIFS('FA Write off'!D:D,'FA Write off'!A:A,'FA Addition'!$A1648,'FA Write off'!C:C,"&lt;"&amp;'FA Addition'!$L$1+1,'FA Write off'!C:C,"&gt;"&amp;'FA Addition'!$L$1-365)</f>
        <v>0</v>
      </c>
      <c r="AC1648" s="118">
        <f>IFERROR(AA1648/'FA Addition'!$J1648*'FA Addition'!$L1648,0)</f>
        <v>0</v>
      </c>
      <c r="AE1648" s="117">
        <f>IF(AND('FA Addition'!$D1648&lt;$P$1+1,U1648=0),'FA Addition'!$L1648,0)-Y1648</f>
        <v>0</v>
      </c>
      <c r="AF1648" s="117">
        <f t="shared" si="125"/>
        <v>0</v>
      </c>
      <c r="AG1648" s="117">
        <f>MIN(MAX(+$P$1-'FA Addition'!$D1648,0),365*'FA Addition'!$O1648)</f>
        <v>0</v>
      </c>
      <c r="AH1648" s="117">
        <f>MIN(MAX($L$1-'FA Addition'!$D1648+1,0),365*'FA Addition'!$O1648)</f>
        <v>0</v>
      </c>
      <c r="AI1648" s="117" cm="1">
        <f t="array" ref="AI1648">_xlfn.XLOOKUP(1,('FA Write off'!A:A='FA Addition'!$A1648)*('FA Write off'!D:D=AA1648),'FA Write off'!H:H,0,0)</f>
        <v>0</v>
      </c>
      <c r="AJ1648" s="117">
        <f>IF(AC1648&gt;0,MAX(IF('FA Addition'!$N1648="SLM",($AC1648-'FA Addition'!$M1648)*'FA Addition'!$P1648*AI1648/365,(AC1648-'FA Addition'!$M1648)*(1-(1-'FA Addition'!$P1648)^(AI1648/365))),0),0)</f>
        <v>0</v>
      </c>
      <c r="AL1648" s="117">
        <f>MAX(IF(AG1648&gt;0,IF('FA Addition'!$N1648="SLM",($AE1648-'FA Addition'!$M1648)*'FA Addition'!$P1648*AG1648/365,IFERROR(VDB(AE1648,AE1648*0.05,'FA Addition'!$O1648,0,YEARFRAC('FA Addition'!$C1648,$P$1-1,3),'FA Addition'!$Q1648),FAAddition[[#This Row],[Original Cost (Rs)]]-FAAddition[[#This Row],[Salvage Value]])),0),0)</f>
        <v>0</v>
      </c>
      <c r="AM1648" s="119"/>
      <c r="AN1648" s="117">
        <f>MAX(IF(AH1648&gt;0,IF('FA Addition'!$N1648="SLM",($AF1648-'FA Addition'!$M1648)*'FA Addition'!$P1648*AH1648/365,IFERROR(VDB(AF1648,AF1648*0.05,'FA Addition'!$O1648,0,YEARFRAC('FA Addition'!$C1648,$L$1,3),'FA Addition'!$Q1648),FAAddition[[#This Row],[Original Cost (Rs)]]-FAAddition[[#This Row],[Salvage Value]])),0),0)</f>
        <v>0</v>
      </c>
      <c r="AO1648" s="117">
        <f t="shared" si="128"/>
        <v>0</v>
      </c>
      <c r="AQ1648" s="117">
        <f t="shared" si="126"/>
        <v>0</v>
      </c>
      <c r="AR1648" s="120">
        <f t="shared" si="127"/>
        <v>0</v>
      </c>
      <c r="AS1648" s="121"/>
    </row>
    <row r="1649" spans="1:45" ht="13.5" x14ac:dyDescent="0.4">
      <c r="A1649" s="12">
        <f t="shared" si="129"/>
        <v>1646</v>
      </c>
      <c r="B1649" s="64" t="s">
        <v>10</v>
      </c>
      <c r="C1649" s="54">
        <v>45972</v>
      </c>
      <c r="D1649" s="54">
        <v>46008</v>
      </c>
      <c r="E1649" s="46" t="s">
        <v>749</v>
      </c>
      <c r="F1649" s="51" t="s">
        <v>74</v>
      </c>
      <c r="G1649" s="51" t="s">
        <v>156</v>
      </c>
      <c r="H1649" s="51" t="s">
        <v>118</v>
      </c>
      <c r="I1649" s="55" t="s">
        <v>260</v>
      </c>
      <c r="J1649" s="56">
        <v>1</v>
      </c>
      <c r="K1649" s="51" t="s">
        <v>383</v>
      </c>
      <c r="L1649" s="58">
        <v>16102</v>
      </c>
      <c r="M1649" s="50">
        <f>ROUND('FA Addition'!$L1649*5%,0.1)</f>
        <v>805</v>
      </c>
      <c r="N1649" s="113" t="str">
        <f>_xlfn.XLOOKUP(_xlfn.CONCAT(E1649,B1649),'Year Wise Master Dep Approach'!F:F,'Year Wise Master Dep Approach'!D:D)</f>
        <v>WDV</v>
      </c>
      <c r="O1649" s="113">
        <f>_xlfn.XLOOKUP(_xlfn.CONCAT(E1649,B1649),'Year Wise Master Dep Approach'!F:F,'Year Wise Master Dep Approach'!E:E)</f>
        <v>5</v>
      </c>
      <c r="P1649" s="114">
        <f>IFERROR(IF('FA Addition'!$N1649="WDV",1-('FA Addition'!$M1649/'FA Addition'!$L1649)^(1/'FA Addition'!$O1649),1/'FA Addition'!$O1649),0)</f>
        <v>0.45073337404471103</v>
      </c>
      <c r="Q1649" s="122">
        <f>'FA Addition'!$P1649*'FA Addition'!$O1649</f>
        <v>2.2536668702235554</v>
      </c>
      <c r="R1649" s="122"/>
      <c r="S1649" s="116">
        <f>IF(AND(DATE(20&amp;LEFT(FAAddition[[#This Row],[FY]],2),4,1)&lt;$L$1+1,DATE(20&amp;LEFT(FAAddition[[#This Row],[FY]],2),4,1)&gt;$P$1-1),'FA Addition'!$J1649,0)</f>
        <v>0</v>
      </c>
      <c r="U1649" s="117">
        <f>S1649*'FA Addition'!$L1649/'FA Addition'!$J1649</f>
        <v>0</v>
      </c>
      <c r="W1649" s="116">
        <f>SUMIFS('FA Write off'!D:D,'FA Write off'!A:A,'FA Addition'!$A1649,'FA Write off'!C:C,"&lt;"&amp;'FA Addition'!$P$1)</f>
        <v>0</v>
      </c>
      <c r="Y1649" s="191">
        <f>IFERROR(W1649/'FA Addition'!$J1649*'FA Addition'!$L1649,0)</f>
        <v>0</v>
      </c>
      <c r="AA1649" s="116">
        <f>SUMIFS('FA Write off'!D:D,'FA Write off'!A:A,'FA Addition'!$A1649,'FA Write off'!C:C,"&lt;"&amp;'FA Addition'!$L$1+1,'FA Write off'!C:C,"&gt;"&amp;'FA Addition'!$L$1-365)</f>
        <v>0</v>
      </c>
      <c r="AC1649" s="118">
        <f>IFERROR(AA1649/'FA Addition'!$J1649*'FA Addition'!$L1649,0)</f>
        <v>0</v>
      </c>
      <c r="AE1649" s="117">
        <f>IF(AND('FA Addition'!$D1649&lt;$P$1+1,U1649=0),'FA Addition'!$L1649,0)-Y1649</f>
        <v>0</v>
      </c>
      <c r="AF1649" s="117">
        <f t="shared" si="125"/>
        <v>0</v>
      </c>
      <c r="AG1649" s="117">
        <f>MIN(MAX(+$P$1-'FA Addition'!$D1649,0),365*'FA Addition'!$O1649)</f>
        <v>0</v>
      </c>
      <c r="AH1649" s="117">
        <f>MIN(MAX($L$1-'FA Addition'!$D1649+1,0),365*'FA Addition'!$O1649)</f>
        <v>0</v>
      </c>
      <c r="AI1649" s="117" cm="1">
        <f t="array" ref="AI1649">_xlfn.XLOOKUP(1,('FA Write off'!A:A='FA Addition'!$A1649)*('FA Write off'!D:D=AA1649),'FA Write off'!H:H,0,0)</f>
        <v>0</v>
      </c>
      <c r="AJ1649" s="117">
        <f>IF(AC1649&gt;0,MAX(IF('FA Addition'!$N1649="SLM",($AC1649-'FA Addition'!$M1649)*'FA Addition'!$P1649*AI1649/365,(AC1649-'FA Addition'!$M1649)*(1-(1-'FA Addition'!$P1649)^(AI1649/365))),0),0)</f>
        <v>0</v>
      </c>
      <c r="AL1649" s="117">
        <f>MAX(IF(AG1649&gt;0,IF('FA Addition'!$N1649="SLM",($AE1649-'FA Addition'!$M1649)*'FA Addition'!$P1649*AG1649/365,IFERROR(VDB(AE1649,AE1649*0.05,'FA Addition'!$O1649,0,YEARFRAC('FA Addition'!$C1649,$P$1-1,3),'FA Addition'!$Q1649),FAAddition[[#This Row],[Original Cost (Rs)]]-FAAddition[[#This Row],[Salvage Value]])),0),0)</f>
        <v>0</v>
      </c>
      <c r="AM1649" s="119"/>
      <c r="AN1649" s="117">
        <f>MAX(IF(AH1649&gt;0,IF('FA Addition'!$N1649="SLM",($AF1649-'FA Addition'!$M1649)*'FA Addition'!$P1649*AH1649/365,IFERROR(VDB(AF1649,AF1649*0.05,'FA Addition'!$O1649,0,YEARFRAC('FA Addition'!$C1649,$L$1,3),'FA Addition'!$Q1649),FAAddition[[#This Row],[Original Cost (Rs)]]-FAAddition[[#This Row],[Salvage Value]])),0),0)</f>
        <v>0</v>
      </c>
      <c r="AO1649" s="117">
        <f t="shared" si="128"/>
        <v>0</v>
      </c>
      <c r="AQ1649" s="117">
        <f t="shared" si="126"/>
        <v>0</v>
      </c>
      <c r="AR1649" s="120">
        <f t="shared" si="127"/>
        <v>0</v>
      </c>
      <c r="AS1649" s="121"/>
    </row>
    <row r="1650" spans="1:45" ht="13.5" x14ac:dyDescent="0.4">
      <c r="A1650" s="12">
        <f t="shared" si="129"/>
        <v>1647</v>
      </c>
      <c r="B1650" s="64" t="s">
        <v>10</v>
      </c>
      <c r="C1650" s="54">
        <v>45972</v>
      </c>
      <c r="D1650" s="54">
        <v>46008</v>
      </c>
      <c r="E1650" s="46" t="s">
        <v>749</v>
      </c>
      <c r="F1650" s="51" t="s">
        <v>74</v>
      </c>
      <c r="G1650" s="51" t="s">
        <v>156</v>
      </c>
      <c r="H1650" s="51" t="s">
        <v>118</v>
      </c>
      <c r="I1650" s="55">
        <v>45962</v>
      </c>
      <c r="J1650" s="56">
        <v>2</v>
      </c>
      <c r="K1650" s="51" t="s">
        <v>383</v>
      </c>
      <c r="L1650" s="58">
        <v>32204</v>
      </c>
      <c r="M1650" s="50">
        <f>ROUND('FA Addition'!$L1650*5%,0.1)</f>
        <v>1610</v>
      </c>
      <c r="N1650" s="113" t="str">
        <f>_xlfn.XLOOKUP(_xlfn.CONCAT(E1650,B1650),'Year Wise Master Dep Approach'!F:F,'Year Wise Master Dep Approach'!D:D)</f>
        <v>WDV</v>
      </c>
      <c r="O1650" s="113">
        <f>_xlfn.XLOOKUP(_xlfn.CONCAT(E1650,B1650),'Year Wise Master Dep Approach'!F:F,'Year Wise Master Dep Approach'!E:E)</f>
        <v>5</v>
      </c>
      <c r="P1650" s="114">
        <f>IFERROR(IF('FA Addition'!$N1650="WDV",1-('FA Addition'!$M1650/'FA Addition'!$L1650)^(1/'FA Addition'!$O1650),1/'FA Addition'!$O1650),0)</f>
        <v>0.45073337404471103</v>
      </c>
      <c r="Q1650" s="122">
        <f>'FA Addition'!$P1650*'FA Addition'!$O1650</f>
        <v>2.2536668702235554</v>
      </c>
      <c r="R1650" s="122"/>
      <c r="S1650" s="116">
        <f>IF(AND(DATE(20&amp;LEFT(FAAddition[[#This Row],[FY]],2),4,1)&lt;$L$1+1,DATE(20&amp;LEFT(FAAddition[[#This Row],[FY]],2),4,1)&gt;$P$1-1),'FA Addition'!$J1650,0)</f>
        <v>0</v>
      </c>
      <c r="U1650" s="117">
        <f>S1650*'FA Addition'!$L1650/'FA Addition'!$J1650</f>
        <v>0</v>
      </c>
      <c r="W1650" s="116">
        <f>SUMIFS('FA Write off'!D:D,'FA Write off'!A:A,'FA Addition'!$A1650,'FA Write off'!C:C,"&lt;"&amp;'FA Addition'!$P$1)</f>
        <v>0</v>
      </c>
      <c r="Y1650" s="191">
        <f>IFERROR(W1650/'FA Addition'!$J1650*'FA Addition'!$L1650,0)</f>
        <v>0</v>
      </c>
      <c r="AA1650" s="116">
        <f>SUMIFS('FA Write off'!D:D,'FA Write off'!A:A,'FA Addition'!$A1650,'FA Write off'!C:C,"&lt;"&amp;'FA Addition'!$L$1+1,'FA Write off'!C:C,"&gt;"&amp;'FA Addition'!$L$1-365)</f>
        <v>0</v>
      </c>
      <c r="AC1650" s="118">
        <f>IFERROR(AA1650/'FA Addition'!$J1650*'FA Addition'!$L1650,0)</f>
        <v>0</v>
      </c>
      <c r="AE1650" s="117">
        <f>IF(AND('FA Addition'!$D1650&lt;$P$1+1,U1650=0),'FA Addition'!$L1650,0)-Y1650</f>
        <v>0</v>
      </c>
      <c r="AF1650" s="117">
        <f t="shared" si="125"/>
        <v>0</v>
      </c>
      <c r="AG1650" s="117">
        <f>MIN(MAX(+$P$1-'FA Addition'!$D1650,0),365*'FA Addition'!$O1650)</f>
        <v>0</v>
      </c>
      <c r="AH1650" s="117">
        <f>MIN(MAX($L$1-'FA Addition'!$D1650+1,0),365*'FA Addition'!$O1650)</f>
        <v>0</v>
      </c>
      <c r="AI1650" s="117" cm="1">
        <f t="array" ref="AI1650">_xlfn.XLOOKUP(1,('FA Write off'!A:A='FA Addition'!$A1650)*('FA Write off'!D:D=AA1650),'FA Write off'!H:H,0,0)</f>
        <v>0</v>
      </c>
      <c r="AJ1650" s="117">
        <f>IF(AC1650&gt;0,MAX(IF('FA Addition'!$N1650="SLM",($AC1650-'FA Addition'!$M1650)*'FA Addition'!$P1650*AI1650/365,(AC1650-'FA Addition'!$M1650)*(1-(1-'FA Addition'!$P1650)^(AI1650/365))),0),0)</f>
        <v>0</v>
      </c>
      <c r="AL1650" s="117">
        <f>MAX(IF(AG1650&gt;0,IF('FA Addition'!$N1650="SLM",($AE1650-'FA Addition'!$M1650)*'FA Addition'!$P1650*AG1650/365,IFERROR(VDB(AE1650,AE1650*0.05,'FA Addition'!$O1650,0,YEARFRAC('FA Addition'!$C1650,$P$1-1,3),'FA Addition'!$Q1650),FAAddition[[#This Row],[Original Cost (Rs)]]-FAAddition[[#This Row],[Salvage Value]])),0),0)</f>
        <v>0</v>
      </c>
      <c r="AM1650" s="119"/>
      <c r="AN1650" s="117">
        <f>MAX(IF(AH1650&gt;0,IF('FA Addition'!$N1650="SLM",($AF1650-'FA Addition'!$M1650)*'FA Addition'!$P1650*AH1650/365,IFERROR(VDB(AF1650,AF1650*0.05,'FA Addition'!$O1650,0,YEARFRAC('FA Addition'!$C1650,$L$1,3),'FA Addition'!$Q1650),FAAddition[[#This Row],[Original Cost (Rs)]]-FAAddition[[#This Row],[Salvage Value]])),0),0)</f>
        <v>0</v>
      </c>
      <c r="AO1650" s="117">
        <f t="shared" si="128"/>
        <v>0</v>
      </c>
      <c r="AQ1650" s="117">
        <f t="shared" si="126"/>
        <v>0</v>
      </c>
      <c r="AR1650" s="120">
        <f t="shared" si="127"/>
        <v>0</v>
      </c>
      <c r="AS1650" s="121"/>
    </row>
    <row r="1651" spans="1:45" ht="13.5" x14ac:dyDescent="0.4">
      <c r="A1651" s="12">
        <f t="shared" si="129"/>
        <v>1648</v>
      </c>
      <c r="B1651" s="64" t="s">
        <v>10</v>
      </c>
      <c r="C1651" s="54">
        <v>45945</v>
      </c>
      <c r="D1651" s="54">
        <v>46006</v>
      </c>
      <c r="E1651" s="46" t="s">
        <v>749</v>
      </c>
      <c r="F1651" s="51" t="s">
        <v>74</v>
      </c>
      <c r="G1651" s="51" t="s">
        <v>169</v>
      </c>
      <c r="H1651" s="51" t="s">
        <v>261</v>
      </c>
      <c r="I1651" s="55" t="s">
        <v>262</v>
      </c>
      <c r="J1651" s="56">
        <v>1</v>
      </c>
      <c r="K1651" s="51" t="s">
        <v>384</v>
      </c>
      <c r="L1651" s="58">
        <v>76725</v>
      </c>
      <c r="M1651" s="50">
        <f>ROUND('FA Addition'!$L1651*5%,0.1)</f>
        <v>3836</v>
      </c>
      <c r="N1651" s="113" t="str">
        <f>_xlfn.XLOOKUP(_xlfn.CONCAT(E1651,B1651),'Year Wise Master Dep Approach'!F:F,'Year Wise Master Dep Approach'!D:D)</f>
        <v>WDV</v>
      </c>
      <c r="O1651" s="113">
        <f>_xlfn.XLOOKUP(_xlfn.CONCAT(E1651,B1651),'Year Wise Master Dep Approach'!F:F,'Year Wise Master Dep Approach'!E:E)</f>
        <v>5</v>
      </c>
      <c r="P1651" s="114">
        <f>IFERROR(IF('FA Addition'!$N1651="WDV",1-('FA Addition'!$M1651/'FA Addition'!$L1651)^(1/'FA Addition'!$O1651),1/'FA Addition'!$O1651),0)</f>
        <v>0.45072688761172275</v>
      </c>
      <c r="Q1651" s="122">
        <f>'FA Addition'!$P1651*'FA Addition'!$O1651</f>
        <v>2.2536344380586137</v>
      </c>
      <c r="R1651" s="122"/>
      <c r="S1651" s="116">
        <f>IF(AND(DATE(20&amp;LEFT(FAAddition[[#This Row],[FY]],2),4,1)&lt;$L$1+1,DATE(20&amp;LEFT(FAAddition[[#This Row],[FY]],2),4,1)&gt;$P$1-1),'FA Addition'!$J1651,0)</f>
        <v>0</v>
      </c>
      <c r="U1651" s="117">
        <f>S1651*'FA Addition'!$L1651/'FA Addition'!$J1651</f>
        <v>0</v>
      </c>
      <c r="W1651" s="116">
        <f>SUMIFS('FA Write off'!D:D,'FA Write off'!A:A,'FA Addition'!$A1651,'FA Write off'!C:C,"&lt;"&amp;'FA Addition'!$P$1)</f>
        <v>0</v>
      </c>
      <c r="Y1651" s="191">
        <f>IFERROR(W1651/'FA Addition'!$J1651*'FA Addition'!$L1651,0)</f>
        <v>0</v>
      </c>
      <c r="AA1651" s="116">
        <f>SUMIFS('FA Write off'!D:D,'FA Write off'!A:A,'FA Addition'!$A1651,'FA Write off'!C:C,"&lt;"&amp;'FA Addition'!$L$1+1,'FA Write off'!C:C,"&gt;"&amp;'FA Addition'!$L$1-365)</f>
        <v>0</v>
      </c>
      <c r="AC1651" s="118">
        <f>IFERROR(AA1651/'FA Addition'!$J1651*'FA Addition'!$L1651,0)</f>
        <v>0</v>
      </c>
      <c r="AE1651" s="117">
        <f>IF(AND('FA Addition'!$D1651&lt;$P$1+1,U1651=0),'FA Addition'!$L1651,0)-Y1651</f>
        <v>0</v>
      </c>
      <c r="AF1651" s="117">
        <f t="shared" si="125"/>
        <v>0</v>
      </c>
      <c r="AG1651" s="117">
        <f>MIN(MAX(+$P$1-'FA Addition'!$D1651,0),365*'FA Addition'!$O1651)</f>
        <v>0</v>
      </c>
      <c r="AH1651" s="117">
        <f>MIN(MAX($L$1-'FA Addition'!$D1651+1,0),365*'FA Addition'!$O1651)</f>
        <v>0</v>
      </c>
      <c r="AI1651" s="117" cm="1">
        <f t="array" ref="AI1651">_xlfn.XLOOKUP(1,('FA Write off'!A:A='FA Addition'!$A1651)*('FA Write off'!D:D=AA1651),'FA Write off'!H:H,0,0)</f>
        <v>0</v>
      </c>
      <c r="AJ1651" s="117">
        <f>IF(AC1651&gt;0,MAX(IF('FA Addition'!$N1651="SLM",($AC1651-'FA Addition'!$M1651)*'FA Addition'!$P1651*AI1651/365,(AC1651-'FA Addition'!$M1651)*(1-(1-'FA Addition'!$P1651)^(AI1651/365))),0),0)</f>
        <v>0</v>
      </c>
      <c r="AL1651" s="117">
        <f>MAX(IF(AG1651&gt;0,IF('FA Addition'!$N1651="SLM",($AE1651-'FA Addition'!$M1651)*'FA Addition'!$P1651*AG1651/365,IFERROR(VDB(AE1651,AE1651*0.05,'FA Addition'!$O1651,0,YEARFRAC('FA Addition'!$C1651,$P$1-1,3),'FA Addition'!$Q1651),FAAddition[[#This Row],[Original Cost (Rs)]]-FAAddition[[#This Row],[Salvage Value]])),0),0)</f>
        <v>0</v>
      </c>
      <c r="AM1651" s="119"/>
      <c r="AN1651" s="117">
        <f>MAX(IF(AH1651&gt;0,IF('FA Addition'!$N1651="SLM",($AF1651-'FA Addition'!$M1651)*'FA Addition'!$P1651*AH1651/365,IFERROR(VDB(AF1651,AF1651*0.05,'FA Addition'!$O1651,0,YEARFRAC('FA Addition'!$C1651,$L$1,3),'FA Addition'!$Q1651),FAAddition[[#This Row],[Original Cost (Rs)]]-FAAddition[[#This Row],[Salvage Value]])),0),0)</f>
        <v>0</v>
      </c>
      <c r="AO1651" s="117">
        <f t="shared" si="128"/>
        <v>0</v>
      </c>
      <c r="AQ1651" s="117">
        <f t="shared" si="126"/>
        <v>0</v>
      </c>
      <c r="AR1651" s="120">
        <f t="shared" si="127"/>
        <v>0</v>
      </c>
      <c r="AS1651" s="121"/>
    </row>
    <row r="1652" spans="1:45" ht="13.5" x14ac:dyDescent="0.4">
      <c r="A1652" s="12">
        <f t="shared" si="129"/>
        <v>1649</v>
      </c>
      <c r="B1652" s="64" t="s">
        <v>10</v>
      </c>
      <c r="C1652" s="54">
        <v>45939</v>
      </c>
      <c r="D1652" s="54">
        <v>46001</v>
      </c>
      <c r="E1652" s="46" t="s">
        <v>451</v>
      </c>
      <c r="F1652" s="51" t="s">
        <v>74</v>
      </c>
      <c r="G1652" s="51" t="s">
        <v>169</v>
      </c>
      <c r="H1652" s="51" t="s">
        <v>209</v>
      </c>
      <c r="I1652" s="55" t="s">
        <v>263</v>
      </c>
      <c r="J1652" s="56">
        <v>1</v>
      </c>
      <c r="K1652" s="51" t="s">
        <v>385</v>
      </c>
      <c r="L1652" s="58">
        <v>7622.88</v>
      </c>
      <c r="M1652" s="50">
        <f>ROUND('FA Addition'!$L1652*5%,0.1)</f>
        <v>381</v>
      </c>
      <c r="N1652" s="113" t="str">
        <f>_xlfn.XLOOKUP(_xlfn.CONCAT(E1652,B1652),'Year Wise Master Dep Approach'!F:F,'Year Wise Master Dep Approach'!D:D)</f>
        <v>WDV</v>
      </c>
      <c r="O1652" s="113">
        <f>_xlfn.XLOOKUP(_xlfn.CONCAT(E1652,B1652),'Year Wise Master Dep Approach'!F:F,'Year Wise Master Dep Approach'!E:E)</f>
        <v>3</v>
      </c>
      <c r="P1652" s="114">
        <f>IFERROR(IF('FA Addition'!$N1652="WDV",1-('FA Addition'!$M1652/'FA Addition'!$L1652)^(1/'FA Addition'!$O1652),1/'FA Addition'!$O1652),0)</f>
        <v>0.63164325144004352</v>
      </c>
      <c r="Q1652" s="122">
        <f>'FA Addition'!$P1652*'FA Addition'!$O1652</f>
        <v>1.8949297543201307</v>
      </c>
      <c r="R1652" s="122"/>
      <c r="S1652" s="116">
        <f>IF(AND(DATE(20&amp;LEFT(FAAddition[[#This Row],[FY]],2),4,1)&lt;$L$1+1,DATE(20&amp;LEFT(FAAddition[[#This Row],[FY]],2),4,1)&gt;$P$1-1),'FA Addition'!$J1652,0)</f>
        <v>0</v>
      </c>
      <c r="U1652" s="117">
        <f>S1652*'FA Addition'!$L1652/'FA Addition'!$J1652</f>
        <v>0</v>
      </c>
      <c r="W1652" s="116">
        <f>SUMIFS('FA Write off'!D:D,'FA Write off'!A:A,'FA Addition'!$A1652,'FA Write off'!C:C,"&lt;"&amp;'FA Addition'!$P$1)</f>
        <v>0</v>
      </c>
      <c r="Y1652" s="191">
        <f>IFERROR(W1652/'FA Addition'!$J1652*'FA Addition'!$L1652,0)</f>
        <v>0</v>
      </c>
      <c r="AA1652" s="116">
        <f>SUMIFS('FA Write off'!D:D,'FA Write off'!A:A,'FA Addition'!$A1652,'FA Write off'!C:C,"&lt;"&amp;'FA Addition'!$L$1+1,'FA Write off'!C:C,"&gt;"&amp;'FA Addition'!$L$1-365)</f>
        <v>0</v>
      </c>
      <c r="AC1652" s="118">
        <f>IFERROR(AA1652/'FA Addition'!$J1652*'FA Addition'!$L1652,0)</f>
        <v>0</v>
      </c>
      <c r="AE1652" s="117">
        <f>IF(AND('FA Addition'!$D1652&lt;$P$1+1,U1652=0),'FA Addition'!$L1652,0)-Y1652</f>
        <v>0</v>
      </c>
      <c r="AF1652" s="117">
        <f t="shared" si="125"/>
        <v>0</v>
      </c>
      <c r="AG1652" s="117">
        <f>MIN(MAX(+$P$1-'FA Addition'!$D1652,0),365*'FA Addition'!$O1652)</f>
        <v>0</v>
      </c>
      <c r="AH1652" s="117">
        <f>MIN(MAX($L$1-'FA Addition'!$D1652+1,0),365*'FA Addition'!$O1652)</f>
        <v>0</v>
      </c>
      <c r="AI1652" s="117" cm="1">
        <f t="array" ref="AI1652">_xlfn.XLOOKUP(1,('FA Write off'!A:A='FA Addition'!$A1652)*('FA Write off'!D:D=AA1652),'FA Write off'!H:H,0,0)</f>
        <v>0</v>
      </c>
      <c r="AJ1652" s="117">
        <f>IF(AC1652&gt;0,MAX(IF('FA Addition'!$N1652="SLM",($AC1652-'FA Addition'!$M1652)*'FA Addition'!$P1652*AI1652/365,(AC1652-'FA Addition'!$M1652)*(1-(1-'FA Addition'!$P1652)^(AI1652/365))),0),0)</f>
        <v>0</v>
      </c>
      <c r="AL1652" s="117">
        <f>MAX(IF(AG1652&gt;0,IF('FA Addition'!$N1652="SLM",($AE1652-'FA Addition'!$M1652)*'FA Addition'!$P1652*AG1652/365,IFERROR(VDB(AE1652,AE1652*0.05,'FA Addition'!$O1652,0,YEARFRAC('FA Addition'!$C1652,$P$1-1,3),'FA Addition'!$Q1652),FAAddition[[#This Row],[Original Cost (Rs)]]-FAAddition[[#This Row],[Salvage Value]])),0),0)</f>
        <v>0</v>
      </c>
      <c r="AM1652" s="119"/>
      <c r="AN1652" s="117">
        <f>MAX(IF(AH1652&gt;0,IF('FA Addition'!$N1652="SLM",($AF1652-'FA Addition'!$M1652)*'FA Addition'!$P1652*AH1652/365,IFERROR(VDB(AF1652,AF1652*0.05,'FA Addition'!$O1652,0,YEARFRAC('FA Addition'!$C1652,$L$1,3),'FA Addition'!$Q1652),FAAddition[[#This Row],[Original Cost (Rs)]]-FAAddition[[#This Row],[Salvage Value]])),0),0)</f>
        <v>0</v>
      </c>
      <c r="AO1652" s="117">
        <f t="shared" si="128"/>
        <v>0</v>
      </c>
      <c r="AQ1652" s="117">
        <f t="shared" si="126"/>
        <v>0</v>
      </c>
      <c r="AR1652" s="120">
        <f t="shared" si="127"/>
        <v>0</v>
      </c>
      <c r="AS1652" s="121"/>
    </row>
    <row r="1653" spans="1:45" ht="13.5" x14ac:dyDescent="0.4">
      <c r="A1653" s="12">
        <f t="shared" si="129"/>
        <v>1650</v>
      </c>
      <c r="B1653" s="64" t="s">
        <v>10</v>
      </c>
      <c r="C1653" s="54">
        <v>45939</v>
      </c>
      <c r="D1653" s="54">
        <v>46001</v>
      </c>
      <c r="E1653" s="46" t="s">
        <v>451</v>
      </c>
      <c r="F1653" s="51" t="s">
        <v>74</v>
      </c>
      <c r="G1653" s="51" t="s">
        <v>169</v>
      </c>
      <c r="H1653" s="51" t="s">
        <v>209</v>
      </c>
      <c r="I1653" s="55" t="s">
        <v>263</v>
      </c>
      <c r="J1653" s="56">
        <v>1</v>
      </c>
      <c r="K1653" s="51" t="s">
        <v>385</v>
      </c>
      <c r="L1653" s="58">
        <v>7622.88</v>
      </c>
      <c r="M1653" s="50">
        <f>ROUND('FA Addition'!$L1653*5%,0.1)</f>
        <v>381</v>
      </c>
      <c r="N1653" s="113" t="str">
        <f>_xlfn.XLOOKUP(_xlfn.CONCAT(E1653,B1653),'Year Wise Master Dep Approach'!F:F,'Year Wise Master Dep Approach'!D:D)</f>
        <v>WDV</v>
      </c>
      <c r="O1653" s="113">
        <f>_xlfn.XLOOKUP(_xlfn.CONCAT(E1653,B1653),'Year Wise Master Dep Approach'!F:F,'Year Wise Master Dep Approach'!E:E)</f>
        <v>3</v>
      </c>
      <c r="P1653" s="114">
        <f>IFERROR(IF('FA Addition'!$N1653="WDV",1-('FA Addition'!$M1653/'FA Addition'!$L1653)^(1/'FA Addition'!$O1653),1/'FA Addition'!$O1653),0)</f>
        <v>0.63164325144004352</v>
      </c>
      <c r="Q1653" s="122">
        <f>'FA Addition'!$P1653*'FA Addition'!$O1653</f>
        <v>1.8949297543201307</v>
      </c>
      <c r="R1653" s="122"/>
      <c r="S1653" s="116">
        <f>IF(AND(DATE(20&amp;LEFT(FAAddition[[#This Row],[FY]],2),4,1)&lt;$L$1+1,DATE(20&amp;LEFT(FAAddition[[#This Row],[FY]],2),4,1)&gt;$P$1-1),'FA Addition'!$J1653,0)</f>
        <v>0</v>
      </c>
      <c r="U1653" s="117">
        <f>S1653*'FA Addition'!$L1653/'FA Addition'!$J1653</f>
        <v>0</v>
      </c>
      <c r="W1653" s="116">
        <f>SUMIFS('FA Write off'!D:D,'FA Write off'!A:A,'FA Addition'!$A1653,'FA Write off'!C:C,"&lt;"&amp;'FA Addition'!$P$1)</f>
        <v>0</v>
      </c>
      <c r="Y1653" s="191">
        <f>IFERROR(W1653/'FA Addition'!$J1653*'FA Addition'!$L1653,0)</f>
        <v>0</v>
      </c>
      <c r="AA1653" s="116">
        <f>SUMIFS('FA Write off'!D:D,'FA Write off'!A:A,'FA Addition'!$A1653,'FA Write off'!C:C,"&lt;"&amp;'FA Addition'!$L$1+1,'FA Write off'!C:C,"&gt;"&amp;'FA Addition'!$L$1-365)</f>
        <v>0</v>
      </c>
      <c r="AC1653" s="118">
        <f>IFERROR(AA1653/'FA Addition'!$J1653*'FA Addition'!$L1653,0)</f>
        <v>0</v>
      </c>
      <c r="AE1653" s="117">
        <f>IF(AND('FA Addition'!$D1653&lt;$P$1+1,U1653=0),'FA Addition'!$L1653,0)-Y1653</f>
        <v>0</v>
      </c>
      <c r="AF1653" s="117">
        <f t="shared" si="125"/>
        <v>0</v>
      </c>
      <c r="AG1653" s="117">
        <f>MIN(MAX(+$P$1-'FA Addition'!$D1653,0),365*'FA Addition'!$O1653)</f>
        <v>0</v>
      </c>
      <c r="AH1653" s="117">
        <f>MIN(MAX($L$1-'FA Addition'!$D1653+1,0),365*'FA Addition'!$O1653)</f>
        <v>0</v>
      </c>
      <c r="AI1653" s="117" cm="1">
        <f t="array" ref="AI1653">_xlfn.XLOOKUP(1,('FA Write off'!A:A='FA Addition'!$A1653)*('FA Write off'!D:D=AA1653),'FA Write off'!H:H,0,0)</f>
        <v>0</v>
      </c>
      <c r="AJ1653" s="117">
        <f>IF(AC1653&gt;0,MAX(IF('FA Addition'!$N1653="SLM",($AC1653-'FA Addition'!$M1653)*'FA Addition'!$P1653*AI1653/365,(AC1653-'FA Addition'!$M1653)*(1-(1-'FA Addition'!$P1653)^(AI1653/365))),0),0)</f>
        <v>0</v>
      </c>
      <c r="AL1653" s="117">
        <f>MAX(IF(AG1653&gt;0,IF('FA Addition'!$N1653="SLM",($AE1653-'FA Addition'!$M1653)*'FA Addition'!$P1653*AG1653/365,IFERROR(VDB(AE1653,AE1653*0.05,'FA Addition'!$O1653,0,YEARFRAC('FA Addition'!$C1653,$P$1-1,3),'FA Addition'!$Q1653),FAAddition[[#This Row],[Original Cost (Rs)]]-FAAddition[[#This Row],[Salvage Value]])),0),0)</f>
        <v>0</v>
      </c>
      <c r="AM1653" s="119"/>
      <c r="AN1653" s="117">
        <f>MAX(IF(AH1653&gt;0,IF('FA Addition'!$N1653="SLM",($AF1653-'FA Addition'!$M1653)*'FA Addition'!$P1653*AH1653/365,IFERROR(VDB(AF1653,AF1653*0.05,'FA Addition'!$O1653,0,YEARFRAC('FA Addition'!$C1653,$L$1,3),'FA Addition'!$Q1653),FAAddition[[#This Row],[Original Cost (Rs)]]-FAAddition[[#This Row],[Salvage Value]])),0),0)</f>
        <v>0</v>
      </c>
      <c r="AO1653" s="117">
        <f t="shared" si="128"/>
        <v>0</v>
      </c>
      <c r="AQ1653" s="117">
        <f t="shared" si="126"/>
        <v>0</v>
      </c>
      <c r="AR1653" s="120">
        <f t="shared" si="127"/>
        <v>0</v>
      </c>
      <c r="AS1653" s="121"/>
    </row>
    <row r="1654" spans="1:45" ht="13.5" x14ac:dyDescent="0.4">
      <c r="A1654" s="12">
        <f t="shared" si="129"/>
        <v>1651</v>
      </c>
      <c r="B1654" s="64" t="s">
        <v>10</v>
      </c>
      <c r="C1654" s="54">
        <v>45939</v>
      </c>
      <c r="D1654" s="54">
        <v>46001</v>
      </c>
      <c r="E1654" s="46" t="s">
        <v>451</v>
      </c>
      <c r="F1654" s="51" t="s">
        <v>74</v>
      </c>
      <c r="G1654" s="51" t="s">
        <v>169</v>
      </c>
      <c r="H1654" s="51" t="s">
        <v>209</v>
      </c>
      <c r="I1654" s="55" t="s">
        <v>263</v>
      </c>
      <c r="J1654" s="56">
        <v>1</v>
      </c>
      <c r="K1654" s="51" t="s">
        <v>385</v>
      </c>
      <c r="L1654" s="58">
        <v>7622.88</v>
      </c>
      <c r="M1654" s="50">
        <f>ROUND('FA Addition'!$L1654*5%,0.1)</f>
        <v>381</v>
      </c>
      <c r="N1654" s="113" t="str">
        <f>_xlfn.XLOOKUP(_xlfn.CONCAT(E1654,B1654),'Year Wise Master Dep Approach'!F:F,'Year Wise Master Dep Approach'!D:D)</f>
        <v>WDV</v>
      </c>
      <c r="O1654" s="113">
        <f>_xlfn.XLOOKUP(_xlfn.CONCAT(E1654,B1654),'Year Wise Master Dep Approach'!F:F,'Year Wise Master Dep Approach'!E:E)</f>
        <v>3</v>
      </c>
      <c r="P1654" s="114">
        <f>IFERROR(IF('FA Addition'!$N1654="WDV",1-('FA Addition'!$M1654/'FA Addition'!$L1654)^(1/'FA Addition'!$O1654),1/'FA Addition'!$O1654),0)</f>
        <v>0.63164325144004352</v>
      </c>
      <c r="Q1654" s="122">
        <f>'FA Addition'!$P1654*'FA Addition'!$O1654</f>
        <v>1.8949297543201307</v>
      </c>
      <c r="R1654" s="122"/>
      <c r="S1654" s="116">
        <f>IF(AND(DATE(20&amp;LEFT(FAAddition[[#This Row],[FY]],2),4,1)&lt;$L$1+1,DATE(20&amp;LEFT(FAAddition[[#This Row],[FY]],2),4,1)&gt;$P$1-1),'FA Addition'!$J1654,0)</f>
        <v>0</v>
      </c>
      <c r="U1654" s="117">
        <f>S1654*'FA Addition'!$L1654/'FA Addition'!$J1654</f>
        <v>0</v>
      </c>
      <c r="W1654" s="116">
        <f>SUMIFS('FA Write off'!D:D,'FA Write off'!A:A,'FA Addition'!$A1654,'FA Write off'!C:C,"&lt;"&amp;'FA Addition'!$P$1)</f>
        <v>0</v>
      </c>
      <c r="Y1654" s="191">
        <f>IFERROR(W1654/'FA Addition'!$J1654*'FA Addition'!$L1654,0)</f>
        <v>0</v>
      </c>
      <c r="AA1654" s="116">
        <f>SUMIFS('FA Write off'!D:D,'FA Write off'!A:A,'FA Addition'!$A1654,'FA Write off'!C:C,"&lt;"&amp;'FA Addition'!$L$1+1,'FA Write off'!C:C,"&gt;"&amp;'FA Addition'!$L$1-365)</f>
        <v>0</v>
      </c>
      <c r="AC1654" s="118">
        <f>IFERROR(AA1654/'FA Addition'!$J1654*'FA Addition'!$L1654,0)</f>
        <v>0</v>
      </c>
      <c r="AE1654" s="117">
        <f>IF(AND('FA Addition'!$D1654&lt;$P$1+1,U1654=0),'FA Addition'!$L1654,0)-Y1654</f>
        <v>0</v>
      </c>
      <c r="AF1654" s="117">
        <f t="shared" si="125"/>
        <v>0</v>
      </c>
      <c r="AG1654" s="117">
        <f>MIN(MAX(+$P$1-'FA Addition'!$D1654,0),365*'FA Addition'!$O1654)</f>
        <v>0</v>
      </c>
      <c r="AH1654" s="117">
        <f>MIN(MAX($L$1-'FA Addition'!$D1654+1,0),365*'FA Addition'!$O1654)</f>
        <v>0</v>
      </c>
      <c r="AI1654" s="117" cm="1">
        <f t="array" ref="AI1654">_xlfn.XLOOKUP(1,('FA Write off'!A:A='FA Addition'!$A1654)*('FA Write off'!D:D=AA1654),'FA Write off'!H:H,0,0)</f>
        <v>0</v>
      </c>
      <c r="AJ1654" s="117">
        <f>IF(AC1654&gt;0,MAX(IF('FA Addition'!$N1654="SLM",($AC1654-'FA Addition'!$M1654)*'FA Addition'!$P1654*AI1654/365,(AC1654-'FA Addition'!$M1654)*(1-(1-'FA Addition'!$P1654)^(AI1654/365))),0),0)</f>
        <v>0</v>
      </c>
      <c r="AL1654" s="117">
        <f>MAX(IF(AG1654&gt;0,IF('FA Addition'!$N1654="SLM",($AE1654-'FA Addition'!$M1654)*'FA Addition'!$P1654*AG1654/365,IFERROR(VDB(AE1654,AE1654*0.05,'FA Addition'!$O1654,0,YEARFRAC('FA Addition'!$C1654,$P$1-1,3),'FA Addition'!$Q1654),FAAddition[[#This Row],[Original Cost (Rs)]]-FAAddition[[#This Row],[Salvage Value]])),0),0)</f>
        <v>0</v>
      </c>
      <c r="AM1654" s="119"/>
      <c r="AN1654" s="117">
        <f>MAX(IF(AH1654&gt;0,IF('FA Addition'!$N1654="SLM",($AF1654-'FA Addition'!$M1654)*'FA Addition'!$P1654*AH1654/365,IFERROR(VDB(AF1654,AF1654*0.05,'FA Addition'!$O1654,0,YEARFRAC('FA Addition'!$C1654,$L$1,3),'FA Addition'!$Q1654),FAAddition[[#This Row],[Original Cost (Rs)]]-FAAddition[[#This Row],[Salvage Value]])),0),0)</f>
        <v>0</v>
      </c>
      <c r="AO1654" s="117">
        <f t="shared" si="128"/>
        <v>0</v>
      </c>
      <c r="AQ1654" s="117">
        <f t="shared" si="126"/>
        <v>0</v>
      </c>
      <c r="AR1654" s="120">
        <f t="shared" si="127"/>
        <v>0</v>
      </c>
      <c r="AS1654" s="121"/>
    </row>
    <row r="1655" spans="1:45" ht="13.5" x14ac:dyDescent="0.4">
      <c r="A1655" s="12">
        <f t="shared" si="129"/>
        <v>1652</v>
      </c>
      <c r="B1655" s="64" t="s">
        <v>10</v>
      </c>
      <c r="C1655" s="54">
        <v>46015</v>
      </c>
      <c r="D1655" s="54">
        <v>46017</v>
      </c>
      <c r="E1655" s="46" t="s">
        <v>32</v>
      </c>
      <c r="F1655" s="51" t="s">
        <v>131</v>
      </c>
      <c r="G1655" s="51" t="s">
        <v>29</v>
      </c>
      <c r="H1655" s="51" t="s">
        <v>26</v>
      </c>
      <c r="I1655" s="55" t="s">
        <v>264</v>
      </c>
      <c r="J1655" s="56">
        <v>600</v>
      </c>
      <c r="K1655" s="51" t="s">
        <v>299</v>
      </c>
      <c r="L1655" s="58">
        <v>36000</v>
      </c>
      <c r="M1655" s="50">
        <f>ROUND('FA Addition'!$L1655*5%,0.1)</f>
        <v>1800</v>
      </c>
      <c r="N1655" s="113" t="str">
        <f>_xlfn.XLOOKUP(_xlfn.CONCAT(E1655,B1655),'Year Wise Master Dep Approach'!F:F,'Year Wise Master Dep Approach'!D:D)</f>
        <v>SLM</v>
      </c>
      <c r="O1655" s="113">
        <f>_xlfn.XLOOKUP(_xlfn.CONCAT(E1655,B1655),'Year Wise Master Dep Approach'!F:F,'Year Wise Master Dep Approach'!E:E)</f>
        <v>5</v>
      </c>
      <c r="P1655" s="114">
        <f>IFERROR(IF('FA Addition'!$N1655="WDV",1-('FA Addition'!$M1655/'FA Addition'!$L1655)^(1/'FA Addition'!$O1655),1/'FA Addition'!$O1655),0)</f>
        <v>0.2</v>
      </c>
      <c r="Q1655" s="122">
        <f>'FA Addition'!$P1655*'FA Addition'!$O1655</f>
        <v>1</v>
      </c>
      <c r="R1655" s="122"/>
      <c r="S1655" s="116">
        <f>IF(AND(DATE(20&amp;LEFT(FAAddition[[#This Row],[FY]],2),4,1)&lt;$L$1+1,DATE(20&amp;LEFT(FAAddition[[#This Row],[FY]],2),4,1)&gt;$P$1-1),'FA Addition'!$J1655,0)</f>
        <v>0</v>
      </c>
      <c r="U1655" s="117">
        <f>S1655*'FA Addition'!$L1655/'FA Addition'!$J1655</f>
        <v>0</v>
      </c>
      <c r="W1655" s="116">
        <f>SUMIFS('FA Write off'!D:D,'FA Write off'!A:A,'FA Addition'!$A1655,'FA Write off'!C:C,"&lt;"&amp;'FA Addition'!$P$1)</f>
        <v>0</v>
      </c>
      <c r="Y1655" s="191">
        <f>IFERROR(W1655/'FA Addition'!$J1655*'FA Addition'!$L1655,0)</f>
        <v>0</v>
      </c>
      <c r="AA1655" s="116">
        <f>SUMIFS('FA Write off'!D:D,'FA Write off'!A:A,'FA Addition'!$A1655,'FA Write off'!C:C,"&lt;"&amp;'FA Addition'!$L$1+1,'FA Write off'!C:C,"&gt;"&amp;'FA Addition'!$L$1-365)</f>
        <v>0</v>
      </c>
      <c r="AC1655" s="118">
        <f>IFERROR(AA1655/'FA Addition'!$J1655*'FA Addition'!$L1655,0)</f>
        <v>0</v>
      </c>
      <c r="AE1655" s="117">
        <f>IF(AND('FA Addition'!$D1655&lt;$P$1+1,U1655=0),'FA Addition'!$L1655,0)-Y1655</f>
        <v>0</v>
      </c>
      <c r="AF1655" s="117">
        <f t="shared" si="125"/>
        <v>0</v>
      </c>
      <c r="AG1655" s="117">
        <f>MIN(MAX(+$P$1-'FA Addition'!$D1655,0),365*'FA Addition'!$O1655)</f>
        <v>0</v>
      </c>
      <c r="AH1655" s="117">
        <f>MIN(MAX($L$1-'FA Addition'!$D1655+1,0),365*'FA Addition'!$O1655)</f>
        <v>0</v>
      </c>
      <c r="AI1655" s="117" cm="1">
        <f t="array" ref="AI1655">_xlfn.XLOOKUP(1,('FA Write off'!A:A='FA Addition'!$A1655)*('FA Write off'!D:D=AA1655),'FA Write off'!H:H,0,0)</f>
        <v>0</v>
      </c>
      <c r="AJ1655" s="117">
        <f>IF(AC1655&gt;0,MAX(IF('FA Addition'!$N1655="SLM",($AC1655-'FA Addition'!$M1655)*'FA Addition'!$P1655*AI1655/365,(AC1655-'FA Addition'!$M1655)*(1-(1-'FA Addition'!$P1655)^(AI1655/365))),0),0)</f>
        <v>0</v>
      </c>
      <c r="AL1655" s="117">
        <f>MAX(IF(AG1655&gt;0,IF('FA Addition'!$N1655="SLM",($AE1655-'FA Addition'!$M1655)*'FA Addition'!$P1655*AG1655/365,IFERROR(VDB(AE1655,AE1655*0.05,'FA Addition'!$O1655,0,YEARFRAC('FA Addition'!$C1655,$P$1-1,3),'FA Addition'!$Q1655),FAAddition[[#This Row],[Original Cost (Rs)]]-FAAddition[[#This Row],[Salvage Value]])),0),0)</f>
        <v>0</v>
      </c>
      <c r="AM1655" s="119"/>
      <c r="AN1655" s="117">
        <f>MAX(IF(AH1655&gt;0,IF('FA Addition'!$N1655="SLM",($AF1655-'FA Addition'!$M1655)*'FA Addition'!$P1655*AH1655/365,IFERROR(VDB(AF1655,AF1655*0.05,'FA Addition'!$O1655,0,YEARFRAC('FA Addition'!$C1655,$L$1,3),'FA Addition'!$Q1655),FAAddition[[#This Row],[Original Cost (Rs)]]-FAAddition[[#This Row],[Salvage Value]])),0),0)</f>
        <v>0</v>
      </c>
      <c r="AO1655" s="117">
        <f t="shared" si="128"/>
        <v>0</v>
      </c>
      <c r="AQ1655" s="117">
        <f t="shared" si="126"/>
        <v>0</v>
      </c>
      <c r="AR1655" s="120">
        <f t="shared" si="127"/>
        <v>0</v>
      </c>
      <c r="AS1655" s="121"/>
    </row>
    <row r="1656" spans="1:45" ht="13.5" x14ac:dyDescent="0.4">
      <c r="A1656" s="12">
        <f t="shared" si="129"/>
        <v>1653</v>
      </c>
      <c r="B1656" s="64" t="s">
        <v>10</v>
      </c>
      <c r="C1656" s="54">
        <v>46015</v>
      </c>
      <c r="D1656" s="54">
        <v>46017</v>
      </c>
      <c r="E1656" s="46" t="s">
        <v>32</v>
      </c>
      <c r="F1656" s="51" t="s">
        <v>131</v>
      </c>
      <c r="G1656" s="51" t="s">
        <v>29</v>
      </c>
      <c r="H1656" s="51" t="s">
        <v>26</v>
      </c>
      <c r="I1656" s="55" t="s">
        <v>264</v>
      </c>
      <c r="J1656" s="56">
        <v>1000</v>
      </c>
      <c r="K1656" s="51" t="s">
        <v>298</v>
      </c>
      <c r="L1656" s="58">
        <v>70000</v>
      </c>
      <c r="M1656" s="50">
        <f>ROUND('FA Addition'!$L1656*5%,0.1)</f>
        <v>3500</v>
      </c>
      <c r="N1656" s="113" t="str">
        <f>_xlfn.XLOOKUP(_xlfn.CONCAT(E1656,B1656),'Year Wise Master Dep Approach'!F:F,'Year Wise Master Dep Approach'!D:D)</f>
        <v>SLM</v>
      </c>
      <c r="O1656" s="113">
        <f>_xlfn.XLOOKUP(_xlfn.CONCAT(E1656,B1656),'Year Wise Master Dep Approach'!F:F,'Year Wise Master Dep Approach'!E:E)</f>
        <v>5</v>
      </c>
      <c r="P1656" s="114">
        <f>IFERROR(IF('FA Addition'!$N1656="WDV",1-('FA Addition'!$M1656/'FA Addition'!$L1656)^(1/'FA Addition'!$O1656),1/'FA Addition'!$O1656),0)</f>
        <v>0.2</v>
      </c>
      <c r="Q1656" s="122">
        <f>'FA Addition'!$P1656*'FA Addition'!$O1656</f>
        <v>1</v>
      </c>
      <c r="R1656" s="122"/>
      <c r="S1656" s="116">
        <f>IF(AND(DATE(20&amp;LEFT(FAAddition[[#This Row],[FY]],2),4,1)&lt;$L$1+1,DATE(20&amp;LEFT(FAAddition[[#This Row],[FY]],2),4,1)&gt;$P$1-1),'FA Addition'!$J1656,0)</f>
        <v>0</v>
      </c>
      <c r="U1656" s="117">
        <f>S1656*'FA Addition'!$L1656/'FA Addition'!$J1656</f>
        <v>0</v>
      </c>
      <c r="W1656" s="116">
        <f>SUMIFS('FA Write off'!D:D,'FA Write off'!A:A,'FA Addition'!$A1656,'FA Write off'!C:C,"&lt;"&amp;'FA Addition'!$P$1)</f>
        <v>0</v>
      </c>
      <c r="Y1656" s="191">
        <f>IFERROR(W1656/'FA Addition'!$J1656*'FA Addition'!$L1656,0)</f>
        <v>0</v>
      </c>
      <c r="AA1656" s="116">
        <f>SUMIFS('FA Write off'!D:D,'FA Write off'!A:A,'FA Addition'!$A1656,'FA Write off'!C:C,"&lt;"&amp;'FA Addition'!$L$1+1,'FA Write off'!C:C,"&gt;"&amp;'FA Addition'!$L$1-365)</f>
        <v>0</v>
      </c>
      <c r="AC1656" s="118">
        <f>IFERROR(AA1656/'FA Addition'!$J1656*'FA Addition'!$L1656,0)</f>
        <v>0</v>
      </c>
      <c r="AE1656" s="117">
        <f>IF(AND('FA Addition'!$D1656&lt;$P$1+1,U1656=0),'FA Addition'!$L1656,0)-Y1656</f>
        <v>0</v>
      </c>
      <c r="AF1656" s="117">
        <f t="shared" si="125"/>
        <v>0</v>
      </c>
      <c r="AG1656" s="117">
        <f>MIN(MAX(+$P$1-'FA Addition'!$D1656,0),365*'FA Addition'!$O1656)</f>
        <v>0</v>
      </c>
      <c r="AH1656" s="117">
        <f>MIN(MAX($L$1-'FA Addition'!$D1656+1,0),365*'FA Addition'!$O1656)</f>
        <v>0</v>
      </c>
      <c r="AI1656" s="117" cm="1">
        <f t="array" ref="AI1656">_xlfn.XLOOKUP(1,('FA Write off'!A:A='FA Addition'!$A1656)*('FA Write off'!D:D=AA1656),'FA Write off'!H:H,0,0)</f>
        <v>0</v>
      </c>
      <c r="AJ1656" s="117">
        <f>IF(AC1656&gt;0,MAX(IF('FA Addition'!$N1656="SLM",($AC1656-'FA Addition'!$M1656)*'FA Addition'!$P1656*AI1656/365,(AC1656-'FA Addition'!$M1656)*(1-(1-'FA Addition'!$P1656)^(AI1656/365))),0),0)</f>
        <v>0</v>
      </c>
      <c r="AL1656" s="117">
        <f>MAX(IF(AG1656&gt;0,IF('FA Addition'!$N1656="SLM",($AE1656-'FA Addition'!$M1656)*'FA Addition'!$P1656*AG1656/365,IFERROR(VDB(AE1656,AE1656*0.05,'FA Addition'!$O1656,0,YEARFRAC('FA Addition'!$C1656,$P$1-1,3),'FA Addition'!$Q1656),FAAddition[[#This Row],[Original Cost (Rs)]]-FAAddition[[#This Row],[Salvage Value]])),0),0)</f>
        <v>0</v>
      </c>
      <c r="AM1656" s="119"/>
      <c r="AN1656" s="117">
        <f>MAX(IF(AH1656&gt;0,IF('FA Addition'!$N1656="SLM",($AF1656-'FA Addition'!$M1656)*'FA Addition'!$P1656*AH1656/365,IFERROR(VDB(AF1656,AF1656*0.05,'FA Addition'!$O1656,0,YEARFRAC('FA Addition'!$C1656,$L$1,3),'FA Addition'!$Q1656),FAAddition[[#This Row],[Original Cost (Rs)]]-FAAddition[[#This Row],[Salvage Value]])),0),0)</f>
        <v>0</v>
      </c>
      <c r="AO1656" s="117">
        <f t="shared" si="128"/>
        <v>0</v>
      </c>
      <c r="AQ1656" s="117">
        <f t="shared" si="126"/>
        <v>0</v>
      </c>
      <c r="AR1656" s="120">
        <f t="shared" si="127"/>
        <v>0</v>
      </c>
      <c r="AS1656" s="121"/>
    </row>
    <row r="1657" spans="1:45" ht="13.5" x14ac:dyDescent="0.4">
      <c r="A1657" s="12">
        <f t="shared" si="129"/>
        <v>1654</v>
      </c>
      <c r="B1657" s="64" t="s">
        <v>10</v>
      </c>
      <c r="C1657" s="54">
        <v>46007</v>
      </c>
      <c r="D1657" s="54">
        <v>46008</v>
      </c>
      <c r="E1657" s="46" t="s">
        <v>32</v>
      </c>
      <c r="F1657" s="51" t="s">
        <v>131</v>
      </c>
      <c r="G1657" s="51" t="s">
        <v>29</v>
      </c>
      <c r="H1657" s="51" t="s">
        <v>26</v>
      </c>
      <c r="I1657" s="55" t="s">
        <v>265</v>
      </c>
      <c r="J1657" s="56">
        <v>1000</v>
      </c>
      <c r="K1657" s="51" t="s">
        <v>298</v>
      </c>
      <c r="L1657" s="58">
        <v>70000</v>
      </c>
      <c r="M1657" s="50">
        <f>ROUND('FA Addition'!$L1657*5%,0.1)</f>
        <v>3500</v>
      </c>
      <c r="N1657" s="113" t="str">
        <f>_xlfn.XLOOKUP(_xlfn.CONCAT(E1657,B1657),'Year Wise Master Dep Approach'!F:F,'Year Wise Master Dep Approach'!D:D)</f>
        <v>SLM</v>
      </c>
      <c r="O1657" s="113">
        <f>_xlfn.XLOOKUP(_xlfn.CONCAT(E1657,B1657),'Year Wise Master Dep Approach'!F:F,'Year Wise Master Dep Approach'!E:E)</f>
        <v>5</v>
      </c>
      <c r="P1657" s="114">
        <f>IFERROR(IF('FA Addition'!$N1657="WDV",1-('FA Addition'!$M1657/'FA Addition'!$L1657)^(1/'FA Addition'!$O1657),1/'FA Addition'!$O1657),0)</f>
        <v>0.2</v>
      </c>
      <c r="Q1657" s="122">
        <f>'FA Addition'!$P1657*'FA Addition'!$O1657</f>
        <v>1</v>
      </c>
      <c r="R1657" s="122"/>
      <c r="S1657" s="116">
        <f>IF(AND(DATE(20&amp;LEFT(FAAddition[[#This Row],[FY]],2),4,1)&lt;$L$1+1,DATE(20&amp;LEFT(FAAddition[[#This Row],[FY]],2),4,1)&gt;$P$1-1),'FA Addition'!$J1657,0)</f>
        <v>0</v>
      </c>
      <c r="U1657" s="117">
        <f>S1657*'FA Addition'!$L1657/'FA Addition'!$J1657</f>
        <v>0</v>
      </c>
      <c r="W1657" s="116">
        <f>SUMIFS('FA Write off'!D:D,'FA Write off'!A:A,'FA Addition'!$A1657,'FA Write off'!C:C,"&lt;"&amp;'FA Addition'!$P$1)</f>
        <v>0</v>
      </c>
      <c r="Y1657" s="191">
        <f>IFERROR(W1657/'FA Addition'!$J1657*'FA Addition'!$L1657,0)</f>
        <v>0</v>
      </c>
      <c r="AA1657" s="116">
        <f>SUMIFS('FA Write off'!D:D,'FA Write off'!A:A,'FA Addition'!$A1657,'FA Write off'!C:C,"&lt;"&amp;'FA Addition'!$L$1+1,'FA Write off'!C:C,"&gt;"&amp;'FA Addition'!$L$1-365)</f>
        <v>0</v>
      </c>
      <c r="AC1657" s="118">
        <f>IFERROR(AA1657/'FA Addition'!$J1657*'FA Addition'!$L1657,0)</f>
        <v>0</v>
      </c>
      <c r="AE1657" s="117">
        <f>IF(AND('FA Addition'!$D1657&lt;$P$1+1,U1657=0),'FA Addition'!$L1657,0)-Y1657</f>
        <v>0</v>
      </c>
      <c r="AF1657" s="117">
        <f t="shared" si="125"/>
        <v>0</v>
      </c>
      <c r="AG1657" s="117">
        <f>MIN(MAX(+$P$1-'FA Addition'!$D1657,0),365*'FA Addition'!$O1657)</f>
        <v>0</v>
      </c>
      <c r="AH1657" s="117">
        <f>MIN(MAX($L$1-'FA Addition'!$D1657+1,0),365*'FA Addition'!$O1657)</f>
        <v>0</v>
      </c>
      <c r="AI1657" s="117" cm="1">
        <f t="array" ref="AI1657">_xlfn.XLOOKUP(1,('FA Write off'!A:A='FA Addition'!$A1657)*('FA Write off'!D:D=AA1657),'FA Write off'!H:H,0,0)</f>
        <v>0</v>
      </c>
      <c r="AJ1657" s="117">
        <f>IF(AC1657&gt;0,MAX(IF('FA Addition'!$N1657="SLM",($AC1657-'FA Addition'!$M1657)*'FA Addition'!$P1657*AI1657/365,(AC1657-'FA Addition'!$M1657)*(1-(1-'FA Addition'!$P1657)^(AI1657/365))),0),0)</f>
        <v>0</v>
      </c>
      <c r="AL1657" s="117">
        <f>MAX(IF(AG1657&gt;0,IF('FA Addition'!$N1657="SLM",($AE1657-'FA Addition'!$M1657)*'FA Addition'!$P1657*AG1657/365,IFERROR(VDB(AE1657,AE1657*0.05,'FA Addition'!$O1657,0,YEARFRAC('FA Addition'!$C1657,$P$1-1,3),'FA Addition'!$Q1657),FAAddition[[#This Row],[Original Cost (Rs)]]-FAAddition[[#This Row],[Salvage Value]])),0),0)</f>
        <v>0</v>
      </c>
      <c r="AM1657" s="119"/>
      <c r="AN1657" s="117">
        <f>MAX(IF(AH1657&gt;0,IF('FA Addition'!$N1657="SLM",($AF1657-'FA Addition'!$M1657)*'FA Addition'!$P1657*AH1657/365,IFERROR(VDB(AF1657,AF1657*0.05,'FA Addition'!$O1657,0,YEARFRAC('FA Addition'!$C1657,$L$1,3),'FA Addition'!$Q1657),FAAddition[[#This Row],[Original Cost (Rs)]]-FAAddition[[#This Row],[Salvage Value]])),0),0)</f>
        <v>0</v>
      </c>
      <c r="AO1657" s="117">
        <f t="shared" si="128"/>
        <v>0</v>
      </c>
      <c r="AQ1657" s="117">
        <f t="shared" si="126"/>
        <v>0</v>
      </c>
      <c r="AR1657" s="120">
        <f t="shared" si="127"/>
        <v>0</v>
      </c>
      <c r="AS1657" s="121"/>
    </row>
    <row r="1658" spans="1:45" ht="13.5" x14ac:dyDescent="0.4">
      <c r="A1658" s="12">
        <f t="shared" si="129"/>
        <v>1655</v>
      </c>
      <c r="B1658" s="64" t="s">
        <v>10</v>
      </c>
      <c r="C1658" s="54">
        <v>45994</v>
      </c>
      <c r="D1658" s="54">
        <v>46001</v>
      </c>
      <c r="E1658" s="46" t="s">
        <v>32</v>
      </c>
      <c r="F1658" s="51" t="s">
        <v>131</v>
      </c>
      <c r="G1658" s="51" t="s">
        <v>29</v>
      </c>
      <c r="H1658" s="51" t="s">
        <v>26</v>
      </c>
      <c r="I1658" s="55" t="s">
        <v>266</v>
      </c>
      <c r="J1658" s="56">
        <v>600</v>
      </c>
      <c r="K1658" s="51" t="s">
        <v>299</v>
      </c>
      <c r="L1658" s="58">
        <v>36000</v>
      </c>
      <c r="M1658" s="50">
        <f>ROUND('FA Addition'!$L1658*5%,0.1)</f>
        <v>1800</v>
      </c>
      <c r="N1658" s="113" t="str">
        <f>_xlfn.XLOOKUP(_xlfn.CONCAT(E1658,B1658),'Year Wise Master Dep Approach'!F:F,'Year Wise Master Dep Approach'!D:D)</f>
        <v>SLM</v>
      </c>
      <c r="O1658" s="113">
        <f>_xlfn.XLOOKUP(_xlfn.CONCAT(E1658,B1658),'Year Wise Master Dep Approach'!F:F,'Year Wise Master Dep Approach'!E:E)</f>
        <v>5</v>
      </c>
      <c r="P1658" s="114">
        <f>IFERROR(IF('FA Addition'!$N1658="WDV",1-('FA Addition'!$M1658/'FA Addition'!$L1658)^(1/'FA Addition'!$O1658),1/'FA Addition'!$O1658),0)</f>
        <v>0.2</v>
      </c>
      <c r="Q1658" s="122">
        <f>'FA Addition'!$P1658*'FA Addition'!$O1658</f>
        <v>1</v>
      </c>
      <c r="R1658" s="122"/>
      <c r="S1658" s="116">
        <f>IF(AND(DATE(20&amp;LEFT(FAAddition[[#This Row],[FY]],2),4,1)&lt;$L$1+1,DATE(20&amp;LEFT(FAAddition[[#This Row],[FY]],2),4,1)&gt;$P$1-1),'FA Addition'!$J1658,0)</f>
        <v>0</v>
      </c>
      <c r="U1658" s="117">
        <f>S1658*'FA Addition'!$L1658/'FA Addition'!$J1658</f>
        <v>0</v>
      </c>
      <c r="W1658" s="116">
        <f>SUMIFS('FA Write off'!D:D,'FA Write off'!A:A,'FA Addition'!$A1658,'FA Write off'!C:C,"&lt;"&amp;'FA Addition'!$P$1)</f>
        <v>0</v>
      </c>
      <c r="Y1658" s="191">
        <f>IFERROR(W1658/'FA Addition'!$J1658*'FA Addition'!$L1658,0)</f>
        <v>0</v>
      </c>
      <c r="AA1658" s="116">
        <f>SUMIFS('FA Write off'!D:D,'FA Write off'!A:A,'FA Addition'!$A1658,'FA Write off'!C:C,"&lt;"&amp;'FA Addition'!$L$1+1,'FA Write off'!C:C,"&gt;"&amp;'FA Addition'!$L$1-365)</f>
        <v>0</v>
      </c>
      <c r="AC1658" s="118">
        <f>IFERROR(AA1658/'FA Addition'!$J1658*'FA Addition'!$L1658,0)</f>
        <v>0</v>
      </c>
      <c r="AE1658" s="117">
        <f>IF(AND('FA Addition'!$D1658&lt;$P$1+1,U1658=0),'FA Addition'!$L1658,0)-Y1658</f>
        <v>0</v>
      </c>
      <c r="AF1658" s="117">
        <f t="shared" si="125"/>
        <v>0</v>
      </c>
      <c r="AG1658" s="117">
        <f>MIN(MAX(+$P$1-'FA Addition'!$D1658,0),365*'FA Addition'!$O1658)</f>
        <v>0</v>
      </c>
      <c r="AH1658" s="117">
        <f>MIN(MAX($L$1-'FA Addition'!$D1658+1,0),365*'FA Addition'!$O1658)</f>
        <v>0</v>
      </c>
      <c r="AI1658" s="117" cm="1">
        <f t="array" ref="AI1658">_xlfn.XLOOKUP(1,('FA Write off'!A:A='FA Addition'!$A1658)*('FA Write off'!D:D=AA1658),'FA Write off'!H:H,0,0)</f>
        <v>0</v>
      </c>
      <c r="AJ1658" s="117">
        <f>IF(AC1658&gt;0,MAX(IF('FA Addition'!$N1658="SLM",($AC1658-'FA Addition'!$M1658)*'FA Addition'!$P1658*AI1658/365,(AC1658-'FA Addition'!$M1658)*(1-(1-'FA Addition'!$P1658)^(AI1658/365))),0),0)</f>
        <v>0</v>
      </c>
      <c r="AL1658" s="117">
        <f>MAX(IF(AG1658&gt;0,IF('FA Addition'!$N1658="SLM",($AE1658-'FA Addition'!$M1658)*'FA Addition'!$P1658*AG1658/365,IFERROR(VDB(AE1658,AE1658*0.05,'FA Addition'!$O1658,0,YEARFRAC('FA Addition'!$C1658,$P$1-1,3),'FA Addition'!$Q1658),FAAddition[[#This Row],[Original Cost (Rs)]]-FAAddition[[#This Row],[Salvage Value]])),0),0)</f>
        <v>0</v>
      </c>
      <c r="AM1658" s="119"/>
      <c r="AN1658" s="117">
        <f>MAX(IF(AH1658&gt;0,IF('FA Addition'!$N1658="SLM",($AF1658-'FA Addition'!$M1658)*'FA Addition'!$P1658*AH1658/365,IFERROR(VDB(AF1658,AF1658*0.05,'FA Addition'!$O1658,0,YEARFRAC('FA Addition'!$C1658,$L$1,3),'FA Addition'!$Q1658),FAAddition[[#This Row],[Original Cost (Rs)]]-FAAddition[[#This Row],[Salvage Value]])),0),0)</f>
        <v>0</v>
      </c>
      <c r="AO1658" s="117">
        <f t="shared" si="128"/>
        <v>0</v>
      </c>
      <c r="AQ1658" s="117">
        <f t="shared" si="126"/>
        <v>0</v>
      </c>
      <c r="AR1658" s="120">
        <f t="shared" si="127"/>
        <v>0</v>
      </c>
      <c r="AS1658" s="121"/>
    </row>
    <row r="1659" spans="1:45" ht="13.5" x14ac:dyDescent="0.4">
      <c r="A1659" s="12">
        <f t="shared" si="129"/>
        <v>1656</v>
      </c>
      <c r="B1659" s="64" t="s">
        <v>10</v>
      </c>
      <c r="C1659" s="54">
        <v>45994</v>
      </c>
      <c r="D1659" s="54">
        <v>46001</v>
      </c>
      <c r="E1659" s="46" t="s">
        <v>32</v>
      </c>
      <c r="F1659" s="51" t="s">
        <v>131</v>
      </c>
      <c r="G1659" s="51" t="s">
        <v>29</v>
      </c>
      <c r="H1659" s="51" t="s">
        <v>26</v>
      </c>
      <c r="I1659" s="55" t="s">
        <v>266</v>
      </c>
      <c r="J1659" s="56">
        <v>500</v>
      </c>
      <c r="K1659" s="51" t="s">
        <v>298</v>
      </c>
      <c r="L1659" s="58">
        <v>35000</v>
      </c>
      <c r="M1659" s="50">
        <f>ROUND('FA Addition'!$L1659*5%,0.1)</f>
        <v>1750</v>
      </c>
      <c r="N1659" s="113" t="str">
        <f>_xlfn.XLOOKUP(_xlfn.CONCAT(E1659,B1659),'Year Wise Master Dep Approach'!F:F,'Year Wise Master Dep Approach'!D:D)</f>
        <v>SLM</v>
      </c>
      <c r="O1659" s="113">
        <f>_xlfn.XLOOKUP(_xlfn.CONCAT(E1659,B1659),'Year Wise Master Dep Approach'!F:F,'Year Wise Master Dep Approach'!E:E)</f>
        <v>5</v>
      </c>
      <c r="P1659" s="114">
        <f>IFERROR(IF('FA Addition'!$N1659="WDV",1-('FA Addition'!$M1659/'FA Addition'!$L1659)^(1/'FA Addition'!$O1659),1/'FA Addition'!$O1659),0)</f>
        <v>0.2</v>
      </c>
      <c r="Q1659" s="122">
        <f>'FA Addition'!$P1659*'FA Addition'!$O1659</f>
        <v>1</v>
      </c>
      <c r="R1659" s="122"/>
      <c r="S1659" s="116">
        <f>IF(AND(DATE(20&amp;LEFT(FAAddition[[#This Row],[FY]],2),4,1)&lt;$L$1+1,DATE(20&amp;LEFT(FAAddition[[#This Row],[FY]],2),4,1)&gt;$P$1-1),'FA Addition'!$J1659,0)</f>
        <v>0</v>
      </c>
      <c r="U1659" s="117">
        <f>S1659*'FA Addition'!$L1659/'FA Addition'!$J1659</f>
        <v>0</v>
      </c>
      <c r="W1659" s="116">
        <f>SUMIFS('FA Write off'!D:D,'FA Write off'!A:A,'FA Addition'!$A1659,'FA Write off'!C:C,"&lt;"&amp;'FA Addition'!$P$1)</f>
        <v>0</v>
      </c>
      <c r="Y1659" s="191">
        <f>IFERROR(W1659/'FA Addition'!$J1659*'FA Addition'!$L1659,0)</f>
        <v>0</v>
      </c>
      <c r="AA1659" s="116">
        <f>SUMIFS('FA Write off'!D:D,'FA Write off'!A:A,'FA Addition'!$A1659,'FA Write off'!C:C,"&lt;"&amp;'FA Addition'!$L$1+1,'FA Write off'!C:C,"&gt;"&amp;'FA Addition'!$L$1-365)</f>
        <v>0</v>
      </c>
      <c r="AC1659" s="118">
        <f>IFERROR(AA1659/'FA Addition'!$J1659*'FA Addition'!$L1659,0)</f>
        <v>0</v>
      </c>
      <c r="AE1659" s="117">
        <f>IF(AND('FA Addition'!$D1659&lt;$P$1+1,U1659=0),'FA Addition'!$L1659,0)-Y1659</f>
        <v>0</v>
      </c>
      <c r="AF1659" s="117">
        <f t="shared" si="125"/>
        <v>0</v>
      </c>
      <c r="AG1659" s="117">
        <f>MIN(MAX(+$P$1-'FA Addition'!$D1659,0),365*'FA Addition'!$O1659)</f>
        <v>0</v>
      </c>
      <c r="AH1659" s="117">
        <f>MIN(MAX($L$1-'FA Addition'!$D1659+1,0),365*'FA Addition'!$O1659)</f>
        <v>0</v>
      </c>
      <c r="AI1659" s="117" cm="1">
        <f t="array" ref="AI1659">_xlfn.XLOOKUP(1,('FA Write off'!A:A='FA Addition'!$A1659)*('FA Write off'!D:D=AA1659),'FA Write off'!H:H,0,0)</f>
        <v>0</v>
      </c>
      <c r="AJ1659" s="117">
        <f>IF(AC1659&gt;0,MAX(IF('FA Addition'!$N1659="SLM",($AC1659-'FA Addition'!$M1659)*'FA Addition'!$P1659*AI1659/365,(AC1659-'FA Addition'!$M1659)*(1-(1-'FA Addition'!$P1659)^(AI1659/365))),0),0)</f>
        <v>0</v>
      </c>
      <c r="AL1659" s="117">
        <f>MAX(IF(AG1659&gt;0,IF('FA Addition'!$N1659="SLM",($AE1659-'FA Addition'!$M1659)*'FA Addition'!$P1659*AG1659/365,IFERROR(VDB(AE1659,AE1659*0.05,'FA Addition'!$O1659,0,YEARFRAC('FA Addition'!$C1659,$P$1-1,3),'FA Addition'!$Q1659),FAAddition[[#This Row],[Original Cost (Rs)]]-FAAddition[[#This Row],[Salvage Value]])),0),0)</f>
        <v>0</v>
      </c>
      <c r="AM1659" s="119"/>
      <c r="AN1659" s="117">
        <f>MAX(IF(AH1659&gt;0,IF('FA Addition'!$N1659="SLM",($AF1659-'FA Addition'!$M1659)*'FA Addition'!$P1659*AH1659/365,IFERROR(VDB(AF1659,AF1659*0.05,'FA Addition'!$O1659,0,YEARFRAC('FA Addition'!$C1659,$L$1,3),'FA Addition'!$Q1659),FAAddition[[#This Row],[Original Cost (Rs)]]-FAAddition[[#This Row],[Salvage Value]])),0),0)</f>
        <v>0</v>
      </c>
      <c r="AO1659" s="117">
        <f t="shared" si="128"/>
        <v>0</v>
      </c>
      <c r="AQ1659" s="117">
        <f t="shared" si="126"/>
        <v>0</v>
      </c>
      <c r="AR1659" s="120">
        <f t="shared" si="127"/>
        <v>0</v>
      </c>
      <c r="AS1659" s="121"/>
    </row>
    <row r="1660" spans="1:45" ht="13.5" x14ac:dyDescent="0.4">
      <c r="A1660" s="12">
        <f t="shared" si="129"/>
        <v>1657</v>
      </c>
      <c r="B1660" s="64" t="s">
        <v>10</v>
      </c>
      <c r="C1660" s="54">
        <v>45986</v>
      </c>
      <c r="D1660" s="54">
        <v>45995</v>
      </c>
      <c r="E1660" s="46" t="s">
        <v>32</v>
      </c>
      <c r="F1660" s="51" t="s">
        <v>131</v>
      </c>
      <c r="G1660" s="51" t="s">
        <v>29</v>
      </c>
      <c r="H1660" s="51" t="s">
        <v>26</v>
      </c>
      <c r="I1660" s="55" t="s">
        <v>2094</v>
      </c>
      <c r="J1660" s="56">
        <v>2000</v>
      </c>
      <c r="K1660" s="51" t="s">
        <v>386</v>
      </c>
      <c r="L1660" s="58">
        <v>104000</v>
      </c>
      <c r="M1660" s="50">
        <f>ROUND('FA Addition'!$L1660*5%,0.1)</f>
        <v>5200</v>
      </c>
      <c r="N1660" s="113" t="str">
        <f>_xlfn.XLOOKUP(_xlfn.CONCAT(E1660,B1660),'Year Wise Master Dep Approach'!F:F,'Year Wise Master Dep Approach'!D:D)</f>
        <v>SLM</v>
      </c>
      <c r="O1660" s="113">
        <f>_xlfn.XLOOKUP(_xlfn.CONCAT(E1660,B1660),'Year Wise Master Dep Approach'!F:F,'Year Wise Master Dep Approach'!E:E)</f>
        <v>5</v>
      </c>
      <c r="P1660" s="114">
        <f>IFERROR(IF('FA Addition'!$N1660="WDV",1-('FA Addition'!$M1660/'FA Addition'!$L1660)^(1/'FA Addition'!$O1660),1/'FA Addition'!$O1660),0)</f>
        <v>0.2</v>
      </c>
      <c r="Q1660" s="122">
        <f>'FA Addition'!$P1660*'FA Addition'!$O1660</f>
        <v>1</v>
      </c>
      <c r="R1660" s="122"/>
      <c r="S1660" s="116">
        <f>IF(AND(DATE(20&amp;LEFT(FAAddition[[#This Row],[FY]],2),4,1)&lt;$L$1+1,DATE(20&amp;LEFT(FAAddition[[#This Row],[FY]],2),4,1)&gt;$P$1-1),'FA Addition'!$J1660,0)</f>
        <v>0</v>
      </c>
      <c r="U1660" s="117">
        <f>S1660*'FA Addition'!$L1660/'FA Addition'!$J1660</f>
        <v>0</v>
      </c>
      <c r="W1660" s="116">
        <f>SUMIFS('FA Write off'!D:D,'FA Write off'!A:A,'FA Addition'!$A1660,'FA Write off'!C:C,"&lt;"&amp;'FA Addition'!$P$1)</f>
        <v>0</v>
      </c>
      <c r="Y1660" s="191">
        <f>IFERROR(W1660/'FA Addition'!$J1660*'FA Addition'!$L1660,0)</f>
        <v>0</v>
      </c>
      <c r="AA1660" s="116">
        <f>SUMIFS('FA Write off'!D:D,'FA Write off'!A:A,'FA Addition'!$A1660,'FA Write off'!C:C,"&lt;"&amp;'FA Addition'!$L$1+1,'FA Write off'!C:C,"&gt;"&amp;'FA Addition'!$L$1-365)</f>
        <v>0</v>
      </c>
      <c r="AC1660" s="118">
        <f>IFERROR(AA1660/'FA Addition'!$J1660*'FA Addition'!$L1660,0)</f>
        <v>0</v>
      </c>
      <c r="AE1660" s="117">
        <f>IF(AND('FA Addition'!$D1660&lt;$P$1+1,U1660=0),'FA Addition'!$L1660,0)-Y1660</f>
        <v>0</v>
      </c>
      <c r="AF1660" s="117">
        <f t="shared" si="125"/>
        <v>0</v>
      </c>
      <c r="AG1660" s="117">
        <f>MIN(MAX(+$P$1-'FA Addition'!$D1660,0),365*'FA Addition'!$O1660)</f>
        <v>0</v>
      </c>
      <c r="AH1660" s="117">
        <f>MIN(MAX($L$1-'FA Addition'!$D1660+1,0),365*'FA Addition'!$O1660)</f>
        <v>0</v>
      </c>
      <c r="AI1660" s="117" cm="1">
        <f t="array" ref="AI1660">_xlfn.XLOOKUP(1,('FA Write off'!A:A='FA Addition'!$A1660)*('FA Write off'!D:D=AA1660),'FA Write off'!H:H,0,0)</f>
        <v>0</v>
      </c>
      <c r="AJ1660" s="117">
        <f>IF(AC1660&gt;0,MAX(IF('FA Addition'!$N1660="SLM",($AC1660-'FA Addition'!$M1660)*'FA Addition'!$P1660*AI1660/365,(AC1660-'FA Addition'!$M1660)*(1-(1-'FA Addition'!$P1660)^(AI1660/365))),0),0)</f>
        <v>0</v>
      </c>
      <c r="AL1660" s="117">
        <f>MAX(IF(AG1660&gt;0,IF('FA Addition'!$N1660="SLM",($AE1660-'FA Addition'!$M1660)*'FA Addition'!$P1660*AG1660/365,IFERROR(VDB(AE1660,AE1660*0.05,'FA Addition'!$O1660,0,YEARFRAC('FA Addition'!$C1660,$P$1-1,3),'FA Addition'!$Q1660),FAAddition[[#This Row],[Original Cost (Rs)]]-FAAddition[[#This Row],[Salvage Value]])),0),0)</f>
        <v>0</v>
      </c>
      <c r="AM1660" s="119"/>
      <c r="AN1660" s="117">
        <f>MAX(IF(AH1660&gt;0,IF('FA Addition'!$N1660="SLM",($AF1660-'FA Addition'!$M1660)*'FA Addition'!$P1660*AH1660/365,IFERROR(VDB(AF1660,AF1660*0.05,'FA Addition'!$O1660,0,YEARFRAC('FA Addition'!$C1660,$L$1,3),'FA Addition'!$Q1660),FAAddition[[#This Row],[Original Cost (Rs)]]-FAAddition[[#This Row],[Salvage Value]])),0),0)</f>
        <v>0</v>
      </c>
      <c r="AO1660" s="117">
        <f t="shared" si="128"/>
        <v>0</v>
      </c>
      <c r="AQ1660" s="117">
        <f t="shared" si="126"/>
        <v>0</v>
      </c>
      <c r="AR1660" s="120">
        <f t="shared" si="127"/>
        <v>0</v>
      </c>
      <c r="AS1660" s="121"/>
    </row>
    <row r="1661" spans="1:45" ht="13.5" x14ac:dyDescent="0.4">
      <c r="A1661" s="12">
        <f t="shared" si="129"/>
        <v>1658</v>
      </c>
      <c r="B1661" s="64" t="s">
        <v>10</v>
      </c>
      <c r="C1661" s="54">
        <v>45992</v>
      </c>
      <c r="D1661" s="54">
        <v>45994</v>
      </c>
      <c r="E1661" s="46" t="s">
        <v>32</v>
      </c>
      <c r="F1661" s="51" t="s">
        <v>131</v>
      </c>
      <c r="G1661" s="51" t="s">
        <v>29</v>
      </c>
      <c r="H1661" s="51" t="s">
        <v>26</v>
      </c>
      <c r="I1661" s="55" t="s">
        <v>267</v>
      </c>
      <c r="J1661" s="56">
        <v>250</v>
      </c>
      <c r="K1661" s="51" t="s">
        <v>299</v>
      </c>
      <c r="L1661" s="58">
        <v>15000</v>
      </c>
      <c r="M1661" s="50">
        <f>ROUND('FA Addition'!$L1661*5%,0.1)</f>
        <v>750</v>
      </c>
      <c r="N1661" s="113" t="str">
        <f>_xlfn.XLOOKUP(_xlfn.CONCAT(E1661,B1661),'Year Wise Master Dep Approach'!F:F,'Year Wise Master Dep Approach'!D:D)</f>
        <v>SLM</v>
      </c>
      <c r="O1661" s="113">
        <f>_xlfn.XLOOKUP(_xlfn.CONCAT(E1661,B1661),'Year Wise Master Dep Approach'!F:F,'Year Wise Master Dep Approach'!E:E)</f>
        <v>5</v>
      </c>
      <c r="P1661" s="114">
        <f>IFERROR(IF('FA Addition'!$N1661="WDV",1-('FA Addition'!$M1661/'FA Addition'!$L1661)^(1/'FA Addition'!$O1661),1/'FA Addition'!$O1661),0)</f>
        <v>0.2</v>
      </c>
      <c r="Q1661" s="122">
        <f>'FA Addition'!$P1661*'FA Addition'!$O1661</f>
        <v>1</v>
      </c>
      <c r="R1661" s="122"/>
      <c r="S1661" s="116">
        <f>IF(AND(DATE(20&amp;LEFT(FAAddition[[#This Row],[FY]],2),4,1)&lt;$L$1+1,DATE(20&amp;LEFT(FAAddition[[#This Row],[FY]],2),4,1)&gt;$P$1-1),'FA Addition'!$J1661,0)</f>
        <v>0</v>
      </c>
      <c r="U1661" s="117">
        <f>S1661*'FA Addition'!$L1661/'FA Addition'!$J1661</f>
        <v>0</v>
      </c>
      <c r="W1661" s="116">
        <f>SUMIFS('FA Write off'!D:D,'FA Write off'!A:A,'FA Addition'!$A1661,'FA Write off'!C:C,"&lt;"&amp;'FA Addition'!$P$1)</f>
        <v>0</v>
      </c>
      <c r="Y1661" s="191">
        <f>IFERROR(W1661/'FA Addition'!$J1661*'FA Addition'!$L1661,0)</f>
        <v>0</v>
      </c>
      <c r="AA1661" s="116">
        <f>SUMIFS('FA Write off'!D:D,'FA Write off'!A:A,'FA Addition'!$A1661,'FA Write off'!C:C,"&lt;"&amp;'FA Addition'!$L$1+1,'FA Write off'!C:C,"&gt;"&amp;'FA Addition'!$L$1-365)</f>
        <v>0</v>
      </c>
      <c r="AC1661" s="118">
        <f>IFERROR(AA1661/'FA Addition'!$J1661*'FA Addition'!$L1661,0)</f>
        <v>0</v>
      </c>
      <c r="AE1661" s="117">
        <f>IF(AND('FA Addition'!$D1661&lt;$P$1+1,U1661=0),'FA Addition'!$L1661,0)-Y1661</f>
        <v>0</v>
      </c>
      <c r="AF1661" s="117">
        <f t="shared" si="125"/>
        <v>0</v>
      </c>
      <c r="AG1661" s="117">
        <f>MIN(MAX(+$P$1-'FA Addition'!$D1661,0),365*'FA Addition'!$O1661)</f>
        <v>0</v>
      </c>
      <c r="AH1661" s="117">
        <f>MIN(MAX($L$1-'FA Addition'!$D1661+1,0),365*'FA Addition'!$O1661)</f>
        <v>0</v>
      </c>
      <c r="AI1661" s="117" cm="1">
        <f t="array" ref="AI1661">_xlfn.XLOOKUP(1,('FA Write off'!A:A='FA Addition'!$A1661)*('FA Write off'!D:D=AA1661),'FA Write off'!H:H,0,0)</f>
        <v>0</v>
      </c>
      <c r="AJ1661" s="117">
        <f>IF(AC1661&gt;0,MAX(IF('FA Addition'!$N1661="SLM",($AC1661-'FA Addition'!$M1661)*'FA Addition'!$P1661*AI1661/365,(AC1661-'FA Addition'!$M1661)*(1-(1-'FA Addition'!$P1661)^(AI1661/365))),0),0)</f>
        <v>0</v>
      </c>
      <c r="AL1661" s="117">
        <f>MAX(IF(AG1661&gt;0,IF('FA Addition'!$N1661="SLM",($AE1661-'FA Addition'!$M1661)*'FA Addition'!$P1661*AG1661/365,IFERROR(VDB(AE1661,AE1661*0.05,'FA Addition'!$O1661,0,YEARFRAC('FA Addition'!$C1661,$P$1-1,3),'FA Addition'!$Q1661),FAAddition[[#This Row],[Original Cost (Rs)]]-FAAddition[[#This Row],[Salvage Value]])),0),0)</f>
        <v>0</v>
      </c>
      <c r="AM1661" s="119"/>
      <c r="AN1661" s="117">
        <f>MAX(IF(AH1661&gt;0,IF('FA Addition'!$N1661="SLM",($AF1661-'FA Addition'!$M1661)*'FA Addition'!$P1661*AH1661/365,IFERROR(VDB(AF1661,AF1661*0.05,'FA Addition'!$O1661,0,YEARFRAC('FA Addition'!$C1661,$L$1,3),'FA Addition'!$Q1661),FAAddition[[#This Row],[Original Cost (Rs)]]-FAAddition[[#This Row],[Salvage Value]])),0),0)</f>
        <v>0</v>
      </c>
      <c r="AO1661" s="117">
        <f t="shared" si="128"/>
        <v>0</v>
      </c>
      <c r="AQ1661" s="117">
        <f t="shared" si="126"/>
        <v>0</v>
      </c>
      <c r="AR1661" s="120">
        <f t="shared" si="127"/>
        <v>0</v>
      </c>
      <c r="AS1661" s="121"/>
    </row>
    <row r="1662" spans="1:45" ht="13.5" x14ac:dyDescent="0.4">
      <c r="A1662" s="12">
        <f t="shared" si="129"/>
        <v>1659</v>
      </c>
      <c r="B1662" s="64" t="s">
        <v>10</v>
      </c>
      <c r="C1662" s="54">
        <v>45992</v>
      </c>
      <c r="D1662" s="54">
        <v>45994</v>
      </c>
      <c r="E1662" s="46" t="s">
        <v>32</v>
      </c>
      <c r="F1662" s="51" t="s">
        <v>131</v>
      </c>
      <c r="G1662" s="51" t="s">
        <v>29</v>
      </c>
      <c r="H1662" s="51" t="s">
        <v>26</v>
      </c>
      <c r="I1662" s="55" t="s">
        <v>267</v>
      </c>
      <c r="J1662" s="56">
        <v>200</v>
      </c>
      <c r="K1662" s="51" t="s">
        <v>298</v>
      </c>
      <c r="L1662" s="58">
        <v>14000</v>
      </c>
      <c r="M1662" s="50">
        <f>ROUND('FA Addition'!$L1662*5%,0.1)</f>
        <v>700</v>
      </c>
      <c r="N1662" s="113" t="str">
        <f>_xlfn.XLOOKUP(_xlfn.CONCAT(E1662,B1662),'Year Wise Master Dep Approach'!F:F,'Year Wise Master Dep Approach'!D:D)</f>
        <v>SLM</v>
      </c>
      <c r="O1662" s="113">
        <f>_xlfn.XLOOKUP(_xlfn.CONCAT(E1662,B1662),'Year Wise Master Dep Approach'!F:F,'Year Wise Master Dep Approach'!E:E)</f>
        <v>5</v>
      </c>
      <c r="P1662" s="114">
        <f>IFERROR(IF('FA Addition'!$N1662="WDV",1-('FA Addition'!$M1662/'FA Addition'!$L1662)^(1/'FA Addition'!$O1662),1/'FA Addition'!$O1662),0)</f>
        <v>0.2</v>
      </c>
      <c r="Q1662" s="122">
        <f>'FA Addition'!$P1662*'FA Addition'!$O1662</f>
        <v>1</v>
      </c>
      <c r="R1662" s="122"/>
      <c r="S1662" s="116">
        <f>IF(AND(DATE(20&amp;LEFT(FAAddition[[#This Row],[FY]],2),4,1)&lt;$L$1+1,DATE(20&amp;LEFT(FAAddition[[#This Row],[FY]],2),4,1)&gt;$P$1-1),'FA Addition'!$J1662,0)</f>
        <v>0</v>
      </c>
      <c r="U1662" s="117">
        <f>S1662*'FA Addition'!$L1662/'FA Addition'!$J1662</f>
        <v>0</v>
      </c>
      <c r="W1662" s="116">
        <f>SUMIFS('FA Write off'!D:D,'FA Write off'!A:A,'FA Addition'!$A1662,'FA Write off'!C:C,"&lt;"&amp;'FA Addition'!$P$1)</f>
        <v>0</v>
      </c>
      <c r="Y1662" s="191">
        <f>IFERROR(W1662/'FA Addition'!$J1662*'FA Addition'!$L1662,0)</f>
        <v>0</v>
      </c>
      <c r="AA1662" s="116">
        <f>SUMIFS('FA Write off'!D:D,'FA Write off'!A:A,'FA Addition'!$A1662,'FA Write off'!C:C,"&lt;"&amp;'FA Addition'!$L$1+1,'FA Write off'!C:C,"&gt;"&amp;'FA Addition'!$L$1-365)</f>
        <v>0</v>
      </c>
      <c r="AC1662" s="118">
        <f>IFERROR(AA1662/'FA Addition'!$J1662*'FA Addition'!$L1662,0)</f>
        <v>0</v>
      </c>
      <c r="AE1662" s="117">
        <f>IF(AND('FA Addition'!$D1662&lt;$P$1+1,U1662=0),'FA Addition'!$L1662,0)-Y1662</f>
        <v>0</v>
      </c>
      <c r="AF1662" s="117">
        <f t="shared" si="125"/>
        <v>0</v>
      </c>
      <c r="AG1662" s="117">
        <f>MIN(MAX(+$P$1-'FA Addition'!$D1662,0),365*'FA Addition'!$O1662)</f>
        <v>0</v>
      </c>
      <c r="AH1662" s="117">
        <f>MIN(MAX($L$1-'FA Addition'!$D1662+1,0),365*'FA Addition'!$O1662)</f>
        <v>0</v>
      </c>
      <c r="AI1662" s="117" cm="1">
        <f t="array" ref="AI1662">_xlfn.XLOOKUP(1,('FA Write off'!A:A='FA Addition'!$A1662)*('FA Write off'!D:D=AA1662),'FA Write off'!H:H,0,0)</f>
        <v>0</v>
      </c>
      <c r="AJ1662" s="117">
        <f>IF(AC1662&gt;0,MAX(IF('FA Addition'!$N1662="SLM",($AC1662-'FA Addition'!$M1662)*'FA Addition'!$P1662*AI1662/365,(AC1662-'FA Addition'!$M1662)*(1-(1-'FA Addition'!$P1662)^(AI1662/365))),0),0)</f>
        <v>0</v>
      </c>
      <c r="AL1662" s="117">
        <f>MAX(IF(AG1662&gt;0,IF('FA Addition'!$N1662="SLM",($AE1662-'FA Addition'!$M1662)*'FA Addition'!$P1662*AG1662/365,IFERROR(VDB(AE1662,AE1662*0.05,'FA Addition'!$O1662,0,YEARFRAC('FA Addition'!$C1662,$P$1-1,3),'FA Addition'!$Q1662),FAAddition[[#This Row],[Original Cost (Rs)]]-FAAddition[[#This Row],[Salvage Value]])),0),0)</f>
        <v>0</v>
      </c>
      <c r="AM1662" s="119"/>
      <c r="AN1662" s="117">
        <f>MAX(IF(AH1662&gt;0,IF('FA Addition'!$N1662="SLM",($AF1662-'FA Addition'!$M1662)*'FA Addition'!$P1662*AH1662/365,IFERROR(VDB(AF1662,AF1662*0.05,'FA Addition'!$O1662,0,YEARFRAC('FA Addition'!$C1662,$L$1,3),'FA Addition'!$Q1662),FAAddition[[#This Row],[Original Cost (Rs)]]-FAAddition[[#This Row],[Salvage Value]])),0),0)</f>
        <v>0</v>
      </c>
      <c r="AO1662" s="117">
        <f t="shared" si="128"/>
        <v>0</v>
      </c>
      <c r="AQ1662" s="117">
        <f t="shared" si="126"/>
        <v>0</v>
      </c>
      <c r="AR1662" s="120">
        <f t="shared" si="127"/>
        <v>0</v>
      </c>
      <c r="AS1662" s="121"/>
    </row>
    <row r="1663" spans="1:45" ht="13.5" x14ac:dyDescent="0.4">
      <c r="A1663" s="12">
        <f t="shared" si="129"/>
        <v>1660</v>
      </c>
      <c r="B1663" s="64" t="s">
        <v>10</v>
      </c>
      <c r="C1663" s="54">
        <v>46020</v>
      </c>
      <c r="D1663" s="54">
        <v>46020</v>
      </c>
      <c r="E1663" s="46" t="s">
        <v>1320</v>
      </c>
      <c r="F1663" s="51" t="s">
        <v>33</v>
      </c>
      <c r="G1663" s="51" t="s">
        <v>34</v>
      </c>
      <c r="H1663" s="51" t="s">
        <v>32</v>
      </c>
      <c r="I1663" s="55" t="s">
        <v>268</v>
      </c>
      <c r="J1663" s="56">
        <v>1000</v>
      </c>
      <c r="K1663" s="51" t="s">
        <v>295</v>
      </c>
      <c r="L1663" s="58">
        <v>1499000</v>
      </c>
      <c r="M1663" s="50">
        <f>ROUND('FA Addition'!$L1663*5%,0.1)</f>
        <v>74950</v>
      </c>
      <c r="N1663" s="113" t="str">
        <f>_xlfn.XLOOKUP(_xlfn.CONCAT(E1663,B1663),'Year Wise Master Dep Approach'!F:F,'Year Wise Master Dep Approach'!D:D)</f>
        <v>SLM</v>
      </c>
      <c r="O1663" s="113">
        <f>_xlfn.XLOOKUP(_xlfn.CONCAT(E1663,B1663),'Year Wise Master Dep Approach'!F:F,'Year Wise Master Dep Approach'!E:E)</f>
        <v>5</v>
      </c>
      <c r="P1663" s="114">
        <f>IFERROR(IF('FA Addition'!$N1663="WDV",1-('FA Addition'!$M1663/'FA Addition'!$L1663)^(1/'FA Addition'!$O1663),1/'FA Addition'!$O1663),0)</f>
        <v>0.2</v>
      </c>
      <c r="Q1663" s="122">
        <f>'FA Addition'!$P1663*'FA Addition'!$O1663</f>
        <v>1</v>
      </c>
      <c r="R1663" s="122"/>
      <c r="S1663" s="116">
        <f>IF(AND(DATE(20&amp;LEFT(FAAddition[[#This Row],[FY]],2),4,1)&lt;$L$1+1,DATE(20&amp;LEFT(FAAddition[[#This Row],[FY]],2),4,1)&gt;$P$1-1),'FA Addition'!$J1663,0)</f>
        <v>0</v>
      </c>
      <c r="U1663" s="117">
        <f>S1663*'FA Addition'!$L1663/'FA Addition'!$J1663</f>
        <v>0</v>
      </c>
      <c r="W1663" s="116">
        <f>SUMIFS('FA Write off'!D:D,'FA Write off'!A:A,'FA Addition'!$A1663,'FA Write off'!C:C,"&lt;"&amp;'FA Addition'!$P$1)</f>
        <v>0</v>
      </c>
      <c r="Y1663" s="191">
        <f>IFERROR(W1663/'FA Addition'!$J1663*'FA Addition'!$L1663,0)</f>
        <v>0</v>
      </c>
      <c r="AA1663" s="116">
        <f>SUMIFS('FA Write off'!D:D,'FA Write off'!A:A,'FA Addition'!$A1663,'FA Write off'!C:C,"&lt;"&amp;'FA Addition'!$L$1+1,'FA Write off'!C:C,"&gt;"&amp;'FA Addition'!$L$1-365)</f>
        <v>0</v>
      </c>
      <c r="AC1663" s="118">
        <f>IFERROR(AA1663/'FA Addition'!$J1663*'FA Addition'!$L1663,0)</f>
        <v>0</v>
      </c>
      <c r="AE1663" s="117">
        <f>IF(AND('FA Addition'!$D1663&lt;$P$1+1,U1663=0),'FA Addition'!$L1663,0)-Y1663</f>
        <v>0</v>
      </c>
      <c r="AF1663" s="117">
        <f t="shared" si="125"/>
        <v>0</v>
      </c>
      <c r="AG1663" s="117">
        <f>MIN(MAX(+$P$1-'FA Addition'!$D1663,0),365*'FA Addition'!$O1663)</f>
        <v>0</v>
      </c>
      <c r="AH1663" s="117">
        <f>MIN(MAX($L$1-'FA Addition'!$D1663+1,0),365*'FA Addition'!$O1663)</f>
        <v>0</v>
      </c>
      <c r="AI1663" s="117" cm="1">
        <f t="array" ref="AI1663">_xlfn.XLOOKUP(1,('FA Write off'!A:A='FA Addition'!$A1663)*('FA Write off'!D:D=AA1663),'FA Write off'!H:H,0,0)</f>
        <v>0</v>
      </c>
      <c r="AJ1663" s="117">
        <f>IF(AC1663&gt;0,MAX(IF('FA Addition'!$N1663="SLM",($AC1663-'FA Addition'!$M1663)*'FA Addition'!$P1663*AI1663/365,(AC1663-'FA Addition'!$M1663)*(1-(1-'FA Addition'!$P1663)^(AI1663/365))),0),0)</f>
        <v>0</v>
      </c>
      <c r="AL1663" s="117">
        <f>MAX(IF(AG1663&gt;0,IF('FA Addition'!$N1663="SLM",($AE1663-'FA Addition'!$M1663)*'FA Addition'!$P1663*AG1663/365,IFERROR(VDB(AE1663,AE1663*0.05,'FA Addition'!$O1663,0,YEARFRAC('FA Addition'!$C1663,$P$1-1,3),'FA Addition'!$Q1663),FAAddition[[#This Row],[Original Cost (Rs)]]-FAAddition[[#This Row],[Salvage Value]])),0),0)</f>
        <v>0</v>
      </c>
      <c r="AM1663" s="119"/>
      <c r="AN1663" s="117">
        <f>MAX(IF(AH1663&gt;0,IF('FA Addition'!$N1663="SLM",($AF1663-'FA Addition'!$M1663)*'FA Addition'!$P1663*AH1663/365,IFERROR(VDB(AF1663,AF1663*0.05,'FA Addition'!$O1663,0,YEARFRAC('FA Addition'!$C1663,$L$1,3),'FA Addition'!$Q1663),FAAddition[[#This Row],[Original Cost (Rs)]]-FAAddition[[#This Row],[Salvage Value]])),0),0)</f>
        <v>0</v>
      </c>
      <c r="AO1663" s="117">
        <f t="shared" si="128"/>
        <v>0</v>
      </c>
      <c r="AQ1663" s="117">
        <f t="shared" si="126"/>
        <v>0</v>
      </c>
      <c r="AR1663" s="120">
        <f t="shared" si="127"/>
        <v>0</v>
      </c>
      <c r="AS1663" s="121"/>
    </row>
    <row r="1664" spans="1:45" ht="13.5" x14ac:dyDescent="0.4">
      <c r="A1664" s="12">
        <f t="shared" si="129"/>
        <v>1661</v>
      </c>
      <c r="B1664" s="64" t="s">
        <v>10</v>
      </c>
      <c r="C1664" s="54">
        <v>46009</v>
      </c>
      <c r="D1664" s="54">
        <v>46017</v>
      </c>
      <c r="E1664" s="46" t="s">
        <v>1320</v>
      </c>
      <c r="F1664" s="51" t="s">
        <v>33</v>
      </c>
      <c r="G1664" s="51" t="s">
        <v>34</v>
      </c>
      <c r="H1664" s="51" t="s">
        <v>32</v>
      </c>
      <c r="I1664" s="55" t="s">
        <v>269</v>
      </c>
      <c r="J1664" s="56">
        <v>1000</v>
      </c>
      <c r="K1664" s="51" t="s">
        <v>295</v>
      </c>
      <c r="L1664" s="58">
        <v>1499000</v>
      </c>
      <c r="M1664" s="50">
        <f>ROUND('FA Addition'!$L1664*5%,0.1)</f>
        <v>74950</v>
      </c>
      <c r="N1664" s="113" t="str">
        <f>_xlfn.XLOOKUP(_xlfn.CONCAT(E1664,B1664),'Year Wise Master Dep Approach'!F:F,'Year Wise Master Dep Approach'!D:D)</f>
        <v>SLM</v>
      </c>
      <c r="O1664" s="113">
        <f>_xlfn.XLOOKUP(_xlfn.CONCAT(E1664,B1664),'Year Wise Master Dep Approach'!F:F,'Year Wise Master Dep Approach'!E:E)</f>
        <v>5</v>
      </c>
      <c r="P1664" s="114">
        <f>IFERROR(IF('FA Addition'!$N1664="WDV",1-('FA Addition'!$M1664/'FA Addition'!$L1664)^(1/'FA Addition'!$O1664),1/'FA Addition'!$O1664),0)</f>
        <v>0.2</v>
      </c>
      <c r="Q1664" s="122">
        <f>'FA Addition'!$P1664*'FA Addition'!$O1664</f>
        <v>1</v>
      </c>
      <c r="R1664" s="122"/>
      <c r="S1664" s="116">
        <f>IF(AND(DATE(20&amp;LEFT(FAAddition[[#This Row],[FY]],2),4,1)&lt;$L$1+1,DATE(20&amp;LEFT(FAAddition[[#This Row],[FY]],2),4,1)&gt;$P$1-1),'FA Addition'!$J1664,0)</f>
        <v>0</v>
      </c>
      <c r="U1664" s="117">
        <f>S1664*'FA Addition'!$L1664/'FA Addition'!$J1664</f>
        <v>0</v>
      </c>
      <c r="W1664" s="116">
        <f>SUMIFS('FA Write off'!D:D,'FA Write off'!A:A,'FA Addition'!$A1664,'FA Write off'!C:C,"&lt;"&amp;'FA Addition'!$P$1)</f>
        <v>0</v>
      </c>
      <c r="Y1664" s="191">
        <f>IFERROR(W1664/'FA Addition'!$J1664*'FA Addition'!$L1664,0)</f>
        <v>0</v>
      </c>
      <c r="AA1664" s="116">
        <f>SUMIFS('FA Write off'!D:D,'FA Write off'!A:A,'FA Addition'!$A1664,'FA Write off'!C:C,"&lt;"&amp;'FA Addition'!$L$1+1,'FA Write off'!C:C,"&gt;"&amp;'FA Addition'!$L$1-365)</f>
        <v>0</v>
      </c>
      <c r="AC1664" s="118">
        <f>IFERROR(AA1664/'FA Addition'!$J1664*'FA Addition'!$L1664,0)</f>
        <v>0</v>
      </c>
      <c r="AE1664" s="117">
        <f>IF(AND('FA Addition'!$D1664&lt;$P$1+1,U1664=0),'FA Addition'!$L1664,0)-Y1664</f>
        <v>0</v>
      </c>
      <c r="AF1664" s="117">
        <f t="shared" si="125"/>
        <v>0</v>
      </c>
      <c r="AG1664" s="117">
        <f>MIN(MAX(+$P$1-'FA Addition'!$D1664,0),365*'FA Addition'!$O1664)</f>
        <v>0</v>
      </c>
      <c r="AH1664" s="117">
        <f>MIN(MAX($L$1-'FA Addition'!$D1664+1,0),365*'FA Addition'!$O1664)</f>
        <v>0</v>
      </c>
      <c r="AI1664" s="117" cm="1">
        <f t="array" ref="AI1664">_xlfn.XLOOKUP(1,('FA Write off'!A:A='FA Addition'!$A1664)*('FA Write off'!D:D=AA1664),'FA Write off'!H:H,0,0)</f>
        <v>0</v>
      </c>
      <c r="AJ1664" s="117">
        <f>IF(AC1664&gt;0,MAX(IF('FA Addition'!$N1664="SLM",($AC1664-'FA Addition'!$M1664)*'FA Addition'!$P1664*AI1664/365,(AC1664-'FA Addition'!$M1664)*(1-(1-'FA Addition'!$P1664)^(AI1664/365))),0),0)</f>
        <v>0</v>
      </c>
      <c r="AL1664" s="117">
        <f>MAX(IF(AG1664&gt;0,IF('FA Addition'!$N1664="SLM",($AE1664-'FA Addition'!$M1664)*'FA Addition'!$P1664*AG1664/365,IFERROR(VDB(AE1664,AE1664*0.05,'FA Addition'!$O1664,0,YEARFRAC('FA Addition'!$C1664,$P$1-1,3),'FA Addition'!$Q1664),FAAddition[[#This Row],[Original Cost (Rs)]]-FAAddition[[#This Row],[Salvage Value]])),0),0)</f>
        <v>0</v>
      </c>
      <c r="AM1664" s="119"/>
      <c r="AN1664" s="117">
        <f>MAX(IF(AH1664&gt;0,IF('FA Addition'!$N1664="SLM",($AF1664-'FA Addition'!$M1664)*'FA Addition'!$P1664*AH1664/365,IFERROR(VDB(AF1664,AF1664*0.05,'FA Addition'!$O1664,0,YEARFRAC('FA Addition'!$C1664,$L$1,3),'FA Addition'!$Q1664),FAAddition[[#This Row],[Original Cost (Rs)]]-FAAddition[[#This Row],[Salvage Value]])),0),0)</f>
        <v>0</v>
      </c>
      <c r="AO1664" s="117">
        <f t="shared" si="128"/>
        <v>0</v>
      </c>
      <c r="AQ1664" s="117">
        <f t="shared" si="126"/>
        <v>0</v>
      </c>
      <c r="AR1664" s="120">
        <f t="shared" si="127"/>
        <v>0</v>
      </c>
      <c r="AS1664" s="121"/>
    </row>
    <row r="1665" spans="1:45" ht="13.5" x14ac:dyDescent="0.4">
      <c r="A1665" s="12">
        <f t="shared" si="129"/>
        <v>1662</v>
      </c>
      <c r="B1665" s="64" t="s">
        <v>10</v>
      </c>
      <c r="C1665" s="54">
        <v>46013</v>
      </c>
      <c r="D1665" s="54">
        <v>46017</v>
      </c>
      <c r="E1665" s="46" t="s">
        <v>1320</v>
      </c>
      <c r="F1665" s="51" t="s">
        <v>33</v>
      </c>
      <c r="G1665" s="51" t="s">
        <v>34</v>
      </c>
      <c r="H1665" s="51" t="s">
        <v>32</v>
      </c>
      <c r="I1665" s="55" t="s">
        <v>270</v>
      </c>
      <c r="J1665" s="56">
        <v>1000</v>
      </c>
      <c r="K1665" s="51" t="s">
        <v>295</v>
      </c>
      <c r="L1665" s="58">
        <v>1499000</v>
      </c>
      <c r="M1665" s="50">
        <f>ROUND('FA Addition'!$L1665*5%,0.1)</f>
        <v>74950</v>
      </c>
      <c r="N1665" s="113" t="str">
        <f>_xlfn.XLOOKUP(_xlfn.CONCAT(E1665,B1665),'Year Wise Master Dep Approach'!F:F,'Year Wise Master Dep Approach'!D:D)</f>
        <v>SLM</v>
      </c>
      <c r="O1665" s="113">
        <f>_xlfn.XLOOKUP(_xlfn.CONCAT(E1665,B1665),'Year Wise Master Dep Approach'!F:F,'Year Wise Master Dep Approach'!E:E)</f>
        <v>5</v>
      </c>
      <c r="P1665" s="114">
        <f>IFERROR(IF('FA Addition'!$N1665="WDV",1-('FA Addition'!$M1665/'FA Addition'!$L1665)^(1/'FA Addition'!$O1665),1/'FA Addition'!$O1665),0)</f>
        <v>0.2</v>
      </c>
      <c r="Q1665" s="122">
        <f>'FA Addition'!$P1665*'FA Addition'!$O1665</f>
        <v>1</v>
      </c>
      <c r="R1665" s="122"/>
      <c r="S1665" s="116">
        <f>IF(AND(DATE(20&amp;LEFT(FAAddition[[#This Row],[FY]],2),4,1)&lt;$L$1+1,DATE(20&amp;LEFT(FAAddition[[#This Row],[FY]],2),4,1)&gt;$P$1-1),'FA Addition'!$J1665,0)</f>
        <v>0</v>
      </c>
      <c r="U1665" s="117">
        <f>S1665*'FA Addition'!$L1665/'FA Addition'!$J1665</f>
        <v>0</v>
      </c>
      <c r="W1665" s="116">
        <f>SUMIFS('FA Write off'!D:D,'FA Write off'!A:A,'FA Addition'!$A1665,'FA Write off'!C:C,"&lt;"&amp;'FA Addition'!$P$1)</f>
        <v>0</v>
      </c>
      <c r="Y1665" s="191">
        <f>IFERROR(W1665/'FA Addition'!$J1665*'FA Addition'!$L1665,0)</f>
        <v>0</v>
      </c>
      <c r="AA1665" s="116">
        <f>SUMIFS('FA Write off'!D:D,'FA Write off'!A:A,'FA Addition'!$A1665,'FA Write off'!C:C,"&lt;"&amp;'FA Addition'!$L$1+1,'FA Write off'!C:C,"&gt;"&amp;'FA Addition'!$L$1-365)</f>
        <v>0</v>
      </c>
      <c r="AC1665" s="118">
        <f>IFERROR(AA1665/'FA Addition'!$J1665*'FA Addition'!$L1665,0)</f>
        <v>0</v>
      </c>
      <c r="AE1665" s="117">
        <f>IF(AND('FA Addition'!$D1665&lt;$P$1+1,U1665=0),'FA Addition'!$L1665,0)-Y1665</f>
        <v>0</v>
      </c>
      <c r="AF1665" s="117">
        <f t="shared" si="125"/>
        <v>0</v>
      </c>
      <c r="AG1665" s="117">
        <f>MIN(MAX(+$P$1-'FA Addition'!$D1665,0),365*'FA Addition'!$O1665)</f>
        <v>0</v>
      </c>
      <c r="AH1665" s="117">
        <f>MIN(MAX($L$1-'FA Addition'!$D1665+1,0),365*'FA Addition'!$O1665)</f>
        <v>0</v>
      </c>
      <c r="AI1665" s="117" cm="1">
        <f t="array" ref="AI1665">_xlfn.XLOOKUP(1,('FA Write off'!A:A='FA Addition'!$A1665)*('FA Write off'!D:D=AA1665),'FA Write off'!H:H,0,0)</f>
        <v>0</v>
      </c>
      <c r="AJ1665" s="117">
        <f>IF(AC1665&gt;0,MAX(IF('FA Addition'!$N1665="SLM",($AC1665-'FA Addition'!$M1665)*'FA Addition'!$P1665*AI1665/365,(AC1665-'FA Addition'!$M1665)*(1-(1-'FA Addition'!$P1665)^(AI1665/365))),0),0)</f>
        <v>0</v>
      </c>
      <c r="AL1665" s="117">
        <f>MAX(IF(AG1665&gt;0,IF('FA Addition'!$N1665="SLM",($AE1665-'FA Addition'!$M1665)*'FA Addition'!$P1665*AG1665/365,IFERROR(VDB(AE1665,AE1665*0.05,'FA Addition'!$O1665,0,YEARFRAC('FA Addition'!$C1665,$P$1-1,3),'FA Addition'!$Q1665),FAAddition[[#This Row],[Original Cost (Rs)]]-FAAddition[[#This Row],[Salvage Value]])),0),0)</f>
        <v>0</v>
      </c>
      <c r="AM1665" s="119"/>
      <c r="AN1665" s="117">
        <f>MAX(IF(AH1665&gt;0,IF('FA Addition'!$N1665="SLM",($AF1665-'FA Addition'!$M1665)*'FA Addition'!$P1665*AH1665/365,IFERROR(VDB(AF1665,AF1665*0.05,'FA Addition'!$O1665,0,YEARFRAC('FA Addition'!$C1665,$L$1,3),'FA Addition'!$Q1665),FAAddition[[#This Row],[Original Cost (Rs)]]-FAAddition[[#This Row],[Salvage Value]])),0),0)</f>
        <v>0</v>
      </c>
      <c r="AO1665" s="117">
        <f t="shared" si="128"/>
        <v>0</v>
      </c>
      <c r="AQ1665" s="117">
        <f t="shared" si="126"/>
        <v>0</v>
      </c>
      <c r="AR1665" s="120">
        <f t="shared" si="127"/>
        <v>0</v>
      </c>
      <c r="AS1665" s="121"/>
    </row>
    <row r="1666" spans="1:45" ht="13.5" x14ac:dyDescent="0.4">
      <c r="A1666" s="12">
        <f t="shared" si="129"/>
        <v>1663</v>
      </c>
      <c r="B1666" s="64" t="s">
        <v>10</v>
      </c>
      <c r="C1666" s="54">
        <v>46015</v>
      </c>
      <c r="D1666" s="54">
        <v>46017</v>
      </c>
      <c r="E1666" s="46" t="s">
        <v>1320</v>
      </c>
      <c r="F1666" s="51" t="s">
        <v>33</v>
      </c>
      <c r="G1666" s="51" t="s">
        <v>34</v>
      </c>
      <c r="H1666" s="51" t="s">
        <v>32</v>
      </c>
      <c r="I1666" s="55" t="s">
        <v>271</v>
      </c>
      <c r="J1666" s="56">
        <v>1000</v>
      </c>
      <c r="K1666" s="51" t="s">
        <v>295</v>
      </c>
      <c r="L1666" s="58">
        <v>1499000</v>
      </c>
      <c r="M1666" s="50">
        <f>ROUND('FA Addition'!$L1666*5%,0.1)</f>
        <v>74950</v>
      </c>
      <c r="N1666" s="113" t="str">
        <f>_xlfn.XLOOKUP(_xlfn.CONCAT(E1666,B1666),'Year Wise Master Dep Approach'!F:F,'Year Wise Master Dep Approach'!D:D)</f>
        <v>SLM</v>
      </c>
      <c r="O1666" s="113">
        <f>_xlfn.XLOOKUP(_xlfn.CONCAT(E1666,B1666),'Year Wise Master Dep Approach'!F:F,'Year Wise Master Dep Approach'!E:E)</f>
        <v>5</v>
      </c>
      <c r="P1666" s="114">
        <f>IFERROR(IF('FA Addition'!$N1666="WDV",1-('FA Addition'!$M1666/'FA Addition'!$L1666)^(1/'FA Addition'!$O1666),1/'FA Addition'!$O1666),0)</f>
        <v>0.2</v>
      </c>
      <c r="Q1666" s="122">
        <f>'FA Addition'!$P1666*'FA Addition'!$O1666</f>
        <v>1</v>
      </c>
      <c r="R1666" s="122"/>
      <c r="S1666" s="116">
        <f>IF(AND(DATE(20&amp;LEFT(FAAddition[[#This Row],[FY]],2),4,1)&lt;$L$1+1,DATE(20&amp;LEFT(FAAddition[[#This Row],[FY]],2),4,1)&gt;$P$1-1),'FA Addition'!$J1666,0)</f>
        <v>0</v>
      </c>
      <c r="U1666" s="117">
        <f>S1666*'FA Addition'!$L1666/'FA Addition'!$J1666</f>
        <v>0</v>
      </c>
      <c r="W1666" s="116">
        <f>SUMIFS('FA Write off'!D:D,'FA Write off'!A:A,'FA Addition'!$A1666,'FA Write off'!C:C,"&lt;"&amp;'FA Addition'!$P$1)</f>
        <v>0</v>
      </c>
      <c r="Y1666" s="191">
        <f>IFERROR(W1666/'FA Addition'!$J1666*'FA Addition'!$L1666,0)</f>
        <v>0</v>
      </c>
      <c r="AA1666" s="116">
        <f>SUMIFS('FA Write off'!D:D,'FA Write off'!A:A,'FA Addition'!$A1666,'FA Write off'!C:C,"&lt;"&amp;'FA Addition'!$L$1+1,'FA Write off'!C:C,"&gt;"&amp;'FA Addition'!$L$1-365)</f>
        <v>0</v>
      </c>
      <c r="AC1666" s="118">
        <f>IFERROR(AA1666/'FA Addition'!$J1666*'FA Addition'!$L1666,0)</f>
        <v>0</v>
      </c>
      <c r="AE1666" s="117">
        <f>IF(AND('FA Addition'!$D1666&lt;$P$1+1,U1666=0),'FA Addition'!$L1666,0)-Y1666</f>
        <v>0</v>
      </c>
      <c r="AF1666" s="117">
        <f t="shared" si="125"/>
        <v>0</v>
      </c>
      <c r="AG1666" s="117">
        <f>MIN(MAX(+$P$1-'FA Addition'!$D1666,0),365*'FA Addition'!$O1666)</f>
        <v>0</v>
      </c>
      <c r="AH1666" s="117">
        <f>MIN(MAX($L$1-'FA Addition'!$D1666+1,0),365*'FA Addition'!$O1666)</f>
        <v>0</v>
      </c>
      <c r="AI1666" s="117" cm="1">
        <f t="array" ref="AI1666">_xlfn.XLOOKUP(1,('FA Write off'!A:A='FA Addition'!$A1666)*('FA Write off'!D:D=AA1666),'FA Write off'!H:H,0,0)</f>
        <v>0</v>
      </c>
      <c r="AJ1666" s="117">
        <f>IF(AC1666&gt;0,MAX(IF('FA Addition'!$N1666="SLM",($AC1666-'FA Addition'!$M1666)*'FA Addition'!$P1666*AI1666/365,(AC1666-'FA Addition'!$M1666)*(1-(1-'FA Addition'!$P1666)^(AI1666/365))),0),0)</f>
        <v>0</v>
      </c>
      <c r="AL1666" s="117">
        <f>MAX(IF(AG1666&gt;0,IF('FA Addition'!$N1666="SLM",($AE1666-'FA Addition'!$M1666)*'FA Addition'!$P1666*AG1666/365,IFERROR(VDB(AE1666,AE1666*0.05,'FA Addition'!$O1666,0,YEARFRAC('FA Addition'!$C1666,$P$1-1,3),'FA Addition'!$Q1666),FAAddition[[#This Row],[Original Cost (Rs)]]-FAAddition[[#This Row],[Salvage Value]])),0),0)</f>
        <v>0</v>
      </c>
      <c r="AM1666" s="119"/>
      <c r="AN1666" s="117">
        <f>MAX(IF(AH1666&gt;0,IF('FA Addition'!$N1666="SLM",($AF1666-'FA Addition'!$M1666)*'FA Addition'!$P1666*AH1666/365,IFERROR(VDB(AF1666,AF1666*0.05,'FA Addition'!$O1666,0,YEARFRAC('FA Addition'!$C1666,$L$1,3),'FA Addition'!$Q1666),FAAddition[[#This Row],[Original Cost (Rs)]]-FAAddition[[#This Row],[Salvage Value]])),0),0)</f>
        <v>0</v>
      </c>
      <c r="AO1666" s="117">
        <f t="shared" si="128"/>
        <v>0</v>
      </c>
      <c r="AQ1666" s="117">
        <f t="shared" si="126"/>
        <v>0</v>
      </c>
      <c r="AR1666" s="120">
        <f t="shared" si="127"/>
        <v>0</v>
      </c>
      <c r="AS1666" s="121"/>
    </row>
    <row r="1667" spans="1:45" ht="13.5" x14ac:dyDescent="0.4">
      <c r="A1667" s="12">
        <f t="shared" si="129"/>
        <v>1664</v>
      </c>
      <c r="B1667" s="64" t="s">
        <v>10</v>
      </c>
      <c r="C1667" s="54">
        <v>46002</v>
      </c>
      <c r="D1667" s="54">
        <v>46006</v>
      </c>
      <c r="E1667" s="46" t="s">
        <v>1320</v>
      </c>
      <c r="F1667" s="51" t="s">
        <v>33</v>
      </c>
      <c r="G1667" s="51" t="s">
        <v>34</v>
      </c>
      <c r="H1667" s="51" t="s">
        <v>32</v>
      </c>
      <c r="I1667" s="55" t="s">
        <v>272</v>
      </c>
      <c r="J1667" s="56">
        <v>1000</v>
      </c>
      <c r="K1667" s="51" t="s">
        <v>295</v>
      </c>
      <c r="L1667" s="58">
        <v>1499000</v>
      </c>
      <c r="M1667" s="50">
        <f>ROUND('FA Addition'!$L1667*5%,0.1)</f>
        <v>74950</v>
      </c>
      <c r="N1667" s="113" t="str">
        <f>_xlfn.XLOOKUP(_xlfn.CONCAT(E1667,B1667),'Year Wise Master Dep Approach'!F:F,'Year Wise Master Dep Approach'!D:D)</f>
        <v>SLM</v>
      </c>
      <c r="O1667" s="113">
        <f>_xlfn.XLOOKUP(_xlfn.CONCAT(E1667,B1667),'Year Wise Master Dep Approach'!F:F,'Year Wise Master Dep Approach'!E:E)</f>
        <v>5</v>
      </c>
      <c r="P1667" s="114">
        <f>IFERROR(IF('FA Addition'!$N1667="WDV",1-('FA Addition'!$M1667/'FA Addition'!$L1667)^(1/'FA Addition'!$O1667),1/'FA Addition'!$O1667),0)</f>
        <v>0.2</v>
      </c>
      <c r="Q1667" s="122">
        <f>'FA Addition'!$P1667*'FA Addition'!$O1667</f>
        <v>1</v>
      </c>
      <c r="R1667" s="122"/>
      <c r="S1667" s="116">
        <f>IF(AND(DATE(20&amp;LEFT(FAAddition[[#This Row],[FY]],2),4,1)&lt;$L$1+1,DATE(20&amp;LEFT(FAAddition[[#This Row],[FY]],2),4,1)&gt;$P$1-1),'FA Addition'!$J1667,0)</f>
        <v>0</v>
      </c>
      <c r="U1667" s="117">
        <f>S1667*'FA Addition'!$L1667/'FA Addition'!$J1667</f>
        <v>0</v>
      </c>
      <c r="W1667" s="116">
        <f>SUMIFS('FA Write off'!D:D,'FA Write off'!A:A,'FA Addition'!$A1667,'FA Write off'!C:C,"&lt;"&amp;'FA Addition'!$P$1)</f>
        <v>0</v>
      </c>
      <c r="Y1667" s="191">
        <f>IFERROR(W1667/'FA Addition'!$J1667*'FA Addition'!$L1667,0)</f>
        <v>0</v>
      </c>
      <c r="AA1667" s="116">
        <f>SUMIFS('FA Write off'!D:D,'FA Write off'!A:A,'FA Addition'!$A1667,'FA Write off'!C:C,"&lt;"&amp;'FA Addition'!$L$1+1,'FA Write off'!C:C,"&gt;"&amp;'FA Addition'!$L$1-365)</f>
        <v>0</v>
      </c>
      <c r="AC1667" s="118">
        <f>IFERROR(AA1667/'FA Addition'!$J1667*'FA Addition'!$L1667,0)</f>
        <v>0</v>
      </c>
      <c r="AE1667" s="117">
        <f>IF(AND('FA Addition'!$D1667&lt;$P$1+1,U1667=0),'FA Addition'!$L1667,0)-Y1667</f>
        <v>0</v>
      </c>
      <c r="AF1667" s="117">
        <f t="shared" si="125"/>
        <v>0</v>
      </c>
      <c r="AG1667" s="117">
        <f>MIN(MAX(+$P$1-'FA Addition'!$D1667,0),365*'FA Addition'!$O1667)</f>
        <v>0</v>
      </c>
      <c r="AH1667" s="117">
        <f>MIN(MAX($L$1-'FA Addition'!$D1667+1,0),365*'FA Addition'!$O1667)</f>
        <v>0</v>
      </c>
      <c r="AI1667" s="117" cm="1">
        <f t="array" ref="AI1667">_xlfn.XLOOKUP(1,('FA Write off'!A:A='FA Addition'!$A1667)*('FA Write off'!D:D=AA1667),'FA Write off'!H:H,0,0)</f>
        <v>0</v>
      </c>
      <c r="AJ1667" s="117">
        <f>IF(AC1667&gt;0,MAX(IF('FA Addition'!$N1667="SLM",($AC1667-'FA Addition'!$M1667)*'FA Addition'!$P1667*AI1667/365,(AC1667-'FA Addition'!$M1667)*(1-(1-'FA Addition'!$P1667)^(AI1667/365))),0),0)</f>
        <v>0</v>
      </c>
      <c r="AL1667" s="117">
        <f>MAX(IF(AG1667&gt;0,IF('FA Addition'!$N1667="SLM",($AE1667-'FA Addition'!$M1667)*'FA Addition'!$P1667*AG1667/365,IFERROR(VDB(AE1667,AE1667*0.05,'FA Addition'!$O1667,0,YEARFRAC('FA Addition'!$C1667,$P$1-1,3),'FA Addition'!$Q1667),FAAddition[[#This Row],[Original Cost (Rs)]]-FAAddition[[#This Row],[Salvage Value]])),0),0)</f>
        <v>0</v>
      </c>
      <c r="AM1667" s="119"/>
      <c r="AN1667" s="117">
        <f>MAX(IF(AH1667&gt;0,IF('FA Addition'!$N1667="SLM",($AF1667-'FA Addition'!$M1667)*'FA Addition'!$P1667*AH1667/365,IFERROR(VDB(AF1667,AF1667*0.05,'FA Addition'!$O1667,0,YEARFRAC('FA Addition'!$C1667,$L$1,3),'FA Addition'!$Q1667),FAAddition[[#This Row],[Original Cost (Rs)]]-FAAddition[[#This Row],[Salvage Value]])),0),0)</f>
        <v>0</v>
      </c>
      <c r="AO1667" s="117">
        <f t="shared" si="128"/>
        <v>0</v>
      </c>
      <c r="AQ1667" s="117">
        <f t="shared" si="126"/>
        <v>0</v>
      </c>
      <c r="AR1667" s="120">
        <f t="shared" si="127"/>
        <v>0</v>
      </c>
      <c r="AS1667" s="121"/>
    </row>
    <row r="1668" spans="1:45" ht="13.5" x14ac:dyDescent="0.4">
      <c r="A1668" s="12">
        <f t="shared" si="129"/>
        <v>1665</v>
      </c>
      <c r="B1668" s="64" t="s">
        <v>10</v>
      </c>
      <c r="C1668" s="54">
        <v>46006</v>
      </c>
      <c r="D1668" s="54">
        <v>46006</v>
      </c>
      <c r="E1668" s="46" t="s">
        <v>1320</v>
      </c>
      <c r="F1668" s="51" t="s">
        <v>33</v>
      </c>
      <c r="G1668" s="51" t="s">
        <v>34</v>
      </c>
      <c r="H1668" s="51" t="s">
        <v>32</v>
      </c>
      <c r="I1668" s="55" t="s">
        <v>273</v>
      </c>
      <c r="J1668" s="56">
        <v>1000</v>
      </c>
      <c r="K1668" s="51" t="s">
        <v>295</v>
      </c>
      <c r="L1668" s="58">
        <v>1499000</v>
      </c>
      <c r="M1668" s="50">
        <f>ROUND('FA Addition'!$L1668*5%,0.1)</f>
        <v>74950</v>
      </c>
      <c r="N1668" s="113" t="str">
        <f>_xlfn.XLOOKUP(_xlfn.CONCAT(E1668,B1668),'Year Wise Master Dep Approach'!F:F,'Year Wise Master Dep Approach'!D:D)</f>
        <v>SLM</v>
      </c>
      <c r="O1668" s="113">
        <f>_xlfn.XLOOKUP(_xlfn.CONCAT(E1668,B1668),'Year Wise Master Dep Approach'!F:F,'Year Wise Master Dep Approach'!E:E)</f>
        <v>5</v>
      </c>
      <c r="P1668" s="114">
        <f>IFERROR(IF('FA Addition'!$N1668="WDV",1-('FA Addition'!$M1668/'FA Addition'!$L1668)^(1/'FA Addition'!$O1668),1/'FA Addition'!$O1668),0)</f>
        <v>0.2</v>
      </c>
      <c r="Q1668" s="122">
        <f>'FA Addition'!$P1668*'FA Addition'!$O1668</f>
        <v>1</v>
      </c>
      <c r="R1668" s="122"/>
      <c r="S1668" s="116">
        <f>IF(AND(DATE(20&amp;LEFT(FAAddition[[#This Row],[FY]],2),4,1)&lt;$L$1+1,DATE(20&amp;LEFT(FAAddition[[#This Row],[FY]],2),4,1)&gt;$P$1-1),'FA Addition'!$J1668,0)</f>
        <v>0</v>
      </c>
      <c r="U1668" s="117">
        <f>S1668*'FA Addition'!$L1668/'FA Addition'!$J1668</f>
        <v>0</v>
      </c>
      <c r="W1668" s="116">
        <f>SUMIFS('FA Write off'!D:D,'FA Write off'!A:A,'FA Addition'!$A1668,'FA Write off'!C:C,"&lt;"&amp;'FA Addition'!$P$1)</f>
        <v>0</v>
      </c>
      <c r="Y1668" s="191">
        <f>IFERROR(W1668/'FA Addition'!$J1668*'FA Addition'!$L1668,0)</f>
        <v>0</v>
      </c>
      <c r="AA1668" s="116">
        <f>SUMIFS('FA Write off'!D:D,'FA Write off'!A:A,'FA Addition'!$A1668,'FA Write off'!C:C,"&lt;"&amp;'FA Addition'!$L$1+1,'FA Write off'!C:C,"&gt;"&amp;'FA Addition'!$L$1-365)</f>
        <v>0</v>
      </c>
      <c r="AC1668" s="118">
        <f>IFERROR(AA1668/'FA Addition'!$J1668*'FA Addition'!$L1668,0)</f>
        <v>0</v>
      </c>
      <c r="AE1668" s="117">
        <f>IF(AND('FA Addition'!$D1668&lt;$P$1+1,U1668=0),'FA Addition'!$L1668,0)-Y1668</f>
        <v>0</v>
      </c>
      <c r="AF1668" s="117">
        <f t="shared" ref="AF1668:AF1681" si="130">AE1668+U1668-AC1668</f>
        <v>0</v>
      </c>
      <c r="AG1668" s="117">
        <f>MIN(MAX(+$P$1-'FA Addition'!$D1668,0),365*'FA Addition'!$O1668)</f>
        <v>0</v>
      </c>
      <c r="AH1668" s="117">
        <f>MIN(MAX($L$1-'FA Addition'!$D1668+1,0),365*'FA Addition'!$O1668)</f>
        <v>0</v>
      </c>
      <c r="AI1668" s="117" cm="1">
        <f t="array" ref="AI1668">_xlfn.XLOOKUP(1,('FA Write off'!A:A='FA Addition'!$A1668)*('FA Write off'!D:D=AA1668),'FA Write off'!H:H,0,0)</f>
        <v>0</v>
      </c>
      <c r="AJ1668" s="117">
        <f>IF(AC1668&gt;0,MAX(IF('FA Addition'!$N1668="SLM",($AC1668-'FA Addition'!$M1668)*'FA Addition'!$P1668*AI1668/365,(AC1668-'FA Addition'!$M1668)*(1-(1-'FA Addition'!$P1668)^(AI1668/365))),0),0)</f>
        <v>0</v>
      </c>
      <c r="AL1668" s="117">
        <f>MAX(IF(AG1668&gt;0,IF('FA Addition'!$N1668="SLM",($AE1668-'FA Addition'!$M1668)*'FA Addition'!$P1668*AG1668/365,IFERROR(VDB(AE1668,AE1668*0.05,'FA Addition'!$O1668,0,YEARFRAC('FA Addition'!$C1668,$P$1-1,3),'FA Addition'!$Q1668),FAAddition[[#This Row],[Original Cost (Rs)]]-FAAddition[[#This Row],[Salvage Value]])),0),0)</f>
        <v>0</v>
      </c>
      <c r="AM1668" s="119"/>
      <c r="AN1668" s="117">
        <f>MAX(IF(AH1668&gt;0,IF('FA Addition'!$N1668="SLM",($AF1668-'FA Addition'!$M1668)*'FA Addition'!$P1668*AH1668/365,IFERROR(VDB(AF1668,AF1668*0.05,'FA Addition'!$O1668,0,YEARFRAC('FA Addition'!$C1668,$L$1,3),'FA Addition'!$Q1668),FAAddition[[#This Row],[Original Cost (Rs)]]-FAAddition[[#This Row],[Salvage Value]])),0),0)</f>
        <v>0</v>
      </c>
      <c r="AO1668" s="117">
        <f t="shared" si="128"/>
        <v>0</v>
      </c>
      <c r="AQ1668" s="117">
        <f t="shared" ref="AQ1668:AQ1681" si="131">AE1668-AL1668</f>
        <v>0</v>
      </c>
      <c r="AR1668" s="120">
        <f t="shared" ref="AR1668:AR1681" si="132">AF1668-AN1668</f>
        <v>0</v>
      </c>
      <c r="AS1668" s="121"/>
    </row>
    <row r="1669" spans="1:45" ht="13.5" x14ac:dyDescent="0.4">
      <c r="A1669" s="12">
        <f t="shared" si="129"/>
        <v>1666</v>
      </c>
      <c r="B1669" s="64" t="s">
        <v>10</v>
      </c>
      <c r="C1669" s="54">
        <v>45999</v>
      </c>
      <c r="D1669" s="54">
        <v>46006</v>
      </c>
      <c r="E1669" s="46" t="s">
        <v>1320</v>
      </c>
      <c r="F1669" s="51" t="s">
        <v>33</v>
      </c>
      <c r="G1669" s="51" t="s">
        <v>34</v>
      </c>
      <c r="H1669" s="51" t="s">
        <v>32</v>
      </c>
      <c r="I1669" s="55" t="s">
        <v>274</v>
      </c>
      <c r="J1669" s="56">
        <v>1000</v>
      </c>
      <c r="K1669" s="51" t="s">
        <v>295</v>
      </c>
      <c r="L1669" s="58">
        <v>1499000</v>
      </c>
      <c r="M1669" s="50">
        <f>ROUND('FA Addition'!$L1669*5%,0.1)</f>
        <v>74950</v>
      </c>
      <c r="N1669" s="113" t="str">
        <f>_xlfn.XLOOKUP(_xlfn.CONCAT(E1669,B1669),'Year Wise Master Dep Approach'!F:F,'Year Wise Master Dep Approach'!D:D)</f>
        <v>SLM</v>
      </c>
      <c r="O1669" s="113">
        <f>_xlfn.XLOOKUP(_xlfn.CONCAT(E1669,B1669),'Year Wise Master Dep Approach'!F:F,'Year Wise Master Dep Approach'!E:E)</f>
        <v>5</v>
      </c>
      <c r="P1669" s="114">
        <f>IFERROR(IF('FA Addition'!$N1669="WDV",1-('FA Addition'!$M1669/'FA Addition'!$L1669)^(1/'FA Addition'!$O1669),1/'FA Addition'!$O1669),0)</f>
        <v>0.2</v>
      </c>
      <c r="Q1669" s="122">
        <f>'FA Addition'!$P1669*'FA Addition'!$O1669</f>
        <v>1</v>
      </c>
      <c r="R1669" s="122"/>
      <c r="S1669" s="116">
        <f>IF(AND(DATE(20&amp;LEFT(FAAddition[[#This Row],[FY]],2),4,1)&lt;$L$1+1,DATE(20&amp;LEFT(FAAddition[[#This Row],[FY]],2),4,1)&gt;$P$1-1),'FA Addition'!$J1669,0)</f>
        <v>0</v>
      </c>
      <c r="U1669" s="117">
        <f>S1669*'FA Addition'!$L1669/'FA Addition'!$J1669</f>
        <v>0</v>
      </c>
      <c r="W1669" s="116">
        <f>SUMIFS('FA Write off'!D:D,'FA Write off'!A:A,'FA Addition'!$A1669,'FA Write off'!C:C,"&lt;"&amp;'FA Addition'!$P$1)</f>
        <v>0</v>
      </c>
      <c r="Y1669" s="191">
        <f>IFERROR(W1669/'FA Addition'!$J1669*'FA Addition'!$L1669,0)</f>
        <v>0</v>
      </c>
      <c r="AA1669" s="116">
        <f>SUMIFS('FA Write off'!D:D,'FA Write off'!A:A,'FA Addition'!$A1669,'FA Write off'!C:C,"&lt;"&amp;'FA Addition'!$L$1+1,'FA Write off'!C:C,"&gt;"&amp;'FA Addition'!$L$1-365)</f>
        <v>0</v>
      </c>
      <c r="AC1669" s="118">
        <f>IFERROR(AA1669/'FA Addition'!$J1669*'FA Addition'!$L1669,0)</f>
        <v>0</v>
      </c>
      <c r="AE1669" s="117">
        <f>IF(AND('FA Addition'!$D1669&lt;$P$1+1,U1669=0),'FA Addition'!$L1669,0)-Y1669</f>
        <v>0</v>
      </c>
      <c r="AF1669" s="117">
        <f t="shared" si="130"/>
        <v>0</v>
      </c>
      <c r="AG1669" s="117">
        <f>MIN(MAX(+$P$1-'FA Addition'!$D1669,0),365*'FA Addition'!$O1669)</f>
        <v>0</v>
      </c>
      <c r="AH1669" s="117">
        <f>MIN(MAX($L$1-'FA Addition'!$D1669+1,0),365*'FA Addition'!$O1669)</f>
        <v>0</v>
      </c>
      <c r="AI1669" s="117" cm="1">
        <f t="array" ref="AI1669">_xlfn.XLOOKUP(1,('FA Write off'!A:A='FA Addition'!$A1669)*('FA Write off'!D:D=AA1669),'FA Write off'!H:H,0,0)</f>
        <v>0</v>
      </c>
      <c r="AJ1669" s="117">
        <f>IF(AC1669&gt;0,MAX(IF('FA Addition'!$N1669="SLM",($AC1669-'FA Addition'!$M1669)*'FA Addition'!$P1669*AI1669/365,(AC1669-'FA Addition'!$M1669)*(1-(1-'FA Addition'!$P1669)^(AI1669/365))),0),0)</f>
        <v>0</v>
      </c>
      <c r="AL1669" s="117">
        <f>MAX(IF(AG1669&gt;0,IF('FA Addition'!$N1669="SLM",($AE1669-'FA Addition'!$M1669)*'FA Addition'!$P1669*AG1669/365,IFERROR(VDB(AE1669,AE1669*0.05,'FA Addition'!$O1669,0,YEARFRAC('FA Addition'!$C1669,$P$1-1,3),'FA Addition'!$Q1669),FAAddition[[#This Row],[Original Cost (Rs)]]-FAAddition[[#This Row],[Salvage Value]])),0),0)</f>
        <v>0</v>
      </c>
      <c r="AM1669" s="119"/>
      <c r="AN1669" s="117">
        <f>MAX(IF(AH1669&gt;0,IF('FA Addition'!$N1669="SLM",($AF1669-'FA Addition'!$M1669)*'FA Addition'!$P1669*AH1669/365,IFERROR(VDB(AF1669,AF1669*0.05,'FA Addition'!$O1669,0,YEARFRAC('FA Addition'!$C1669,$L$1,3),'FA Addition'!$Q1669),FAAddition[[#This Row],[Original Cost (Rs)]]-FAAddition[[#This Row],[Salvage Value]])),0),0)</f>
        <v>0</v>
      </c>
      <c r="AO1669" s="117">
        <f t="shared" ref="AO1669:AO1686" si="133">AN1669-AL1669+AJ1669</f>
        <v>0</v>
      </c>
      <c r="AQ1669" s="117">
        <f t="shared" si="131"/>
        <v>0</v>
      </c>
      <c r="AR1669" s="120">
        <f t="shared" si="132"/>
        <v>0</v>
      </c>
      <c r="AS1669" s="121"/>
    </row>
    <row r="1670" spans="1:45" ht="13.5" x14ac:dyDescent="0.4">
      <c r="A1670" s="12">
        <f t="shared" ref="A1670:A1681" si="134">A1669+1</f>
        <v>1667</v>
      </c>
      <c r="B1670" s="64" t="s">
        <v>10</v>
      </c>
      <c r="C1670" s="54">
        <v>45990</v>
      </c>
      <c r="D1670" s="54">
        <v>45992</v>
      </c>
      <c r="E1670" s="46" t="s">
        <v>1320</v>
      </c>
      <c r="F1670" s="51" t="s">
        <v>33</v>
      </c>
      <c r="G1670" s="51" t="s">
        <v>34</v>
      </c>
      <c r="H1670" s="51" t="s">
        <v>32</v>
      </c>
      <c r="I1670" s="55" t="s">
        <v>275</v>
      </c>
      <c r="J1670" s="56">
        <v>1000</v>
      </c>
      <c r="K1670" s="51" t="s">
        <v>295</v>
      </c>
      <c r="L1670" s="58">
        <v>1499000</v>
      </c>
      <c r="M1670" s="50">
        <f>ROUND('FA Addition'!$L1670*5%,0.1)</f>
        <v>74950</v>
      </c>
      <c r="N1670" s="113" t="str">
        <f>_xlfn.XLOOKUP(_xlfn.CONCAT(E1670,B1670),'Year Wise Master Dep Approach'!F:F,'Year Wise Master Dep Approach'!D:D)</f>
        <v>SLM</v>
      </c>
      <c r="O1670" s="113">
        <f>_xlfn.XLOOKUP(_xlfn.CONCAT(E1670,B1670),'Year Wise Master Dep Approach'!F:F,'Year Wise Master Dep Approach'!E:E)</f>
        <v>5</v>
      </c>
      <c r="P1670" s="114">
        <f>IFERROR(IF('FA Addition'!$N1670="WDV",1-('FA Addition'!$M1670/'FA Addition'!$L1670)^(1/'FA Addition'!$O1670),1/'FA Addition'!$O1670),0)</f>
        <v>0.2</v>
      </c>
      <c r="Q1670" s="122">
        <f>'FA Addition'!$P1670*'FA Addition'!$O1670</f>
        <v>1</v>
      </c>
      <c r="R1670" s="122"/>
      <c r="S1670" s="116">
        <f>IF(AND(DATE(20&amp;LEFT(FAAddition[[#This Row],[FY]],2),4,1)&lt;$L$1+1,DATE(20&amp;LEFT(FAAddition[[#This Row],[FY]],2),4,1)&gt;$P$1-1),'FA Addition'!$J1670,0)</f>
        <v>0</v>
      </c>
      <c r="U1670" s="117">
        <f>S1670*'FA Addition'!$L1670/'FA Addition'!$J1670</f>
        <v>0</v>
      </c>
      <c r="W1670" s="116">
        <f>SUMIFS('FA Write off'!D:D,'FA Write off'!A:A,'FA Addition'!$A1670,'FA Write off'!C:C,"&lt;"&amp;'FA Addition'!$P$1)</f>
        <v>0</v>
      </c>
      <c r="Y1670" s="191">
        <f>IFERROR(W1670/'FA Addition'!$J1670*'FA Addition'!$L1670,0)</f>
        <v>0</v>
      </c>
      <c r="AA1670" s="116">
        <f>SUMIFS('FA Write off'!D:D,'FA Write off'!A:A,'FA Addition'!$A1670,'FA Write off'!C:C,"&lt;"&amp;'FA Addition'!$L$1+1,'FA Write off'!C:C,"&gt;"&amp;'FA Addition'!$L$1-365)</f>
        <v>0</v>
      </c>
      <c r="AC1670" s="118">
        <f>IFERROR(AA1670/'FA Addition'!$J1670*'FA Addition'!$L1670,0)</f>
        <v>0</v>
      </c>
      <c r="AE1670" s="117">
        <f>IF(AND('FA Addition'!$D1670&lt;$P$1+1,U1670=0),'FA Addition'!$L1670,0)-Y1670</f>
        <v>0</v>
      </c>
      <c r="AF1670" s="117">
        <f t="shared" si="130"/>
        <v>0</v>
      </c>
      <c r="AG1670" s="117">
        <f>MIN(MAX(+$P$1-'FA Addition'!$D1670,0),365*'FA Addition'!$O1670)</f>
        <v>0</v>
      </c>
      <c r="AH1670" s="117">
        <f>MIN(MAX($L$1-'FA Addition'!$D1670+1,0),365*'FA Addition'!$O1670)</f>
        <v>0</v>
      </c>
      <c r="AI1670" s="117" cm="1">
        <f t="array" ref="AI1670">_xlfn.XLOOKUP(1,('FA Write off'!A:A='FA Addition'!$A1670)*('FA Write off'!D:D=AA1670),'FA Write off'!H:H,0,0)</f>
        <v>0</v>
      </c>
      <c r="AJ1670" s="117">
        <f>IF(AC1670&gt;0,MAX(IF('FA Addition'!$N1670="SLM",($AC1670-'FA Addition'!$M1670)*'FA Addition'!$P1670*AI1670/365,(AC1670-'FA Addition'!$M1670)*(1-(1-'FA Addition'!$P1670)^(AI1670/365))),0),0)</f>
        <v>0</v>
      </c>
      <c r="AL1670" s="117">
        <f>MAX(IF(AG1670&gt;0,IF('FA Addition'!$N1670="SLM",($AE1670-'FA Addition'!$M1670)*'FA Addition'!$P1670*AG1670/365,IFERROR(VDB(AE1670,AE1670*0.05,'FA Addition'!$O1670,0,YEARFRAC('FA Addition'!$C1670,$P$1-1,3),'FA Addition'!$Q1670),FAAddition[[#This Row],[Original Cost (Rs)]]-FAAddition[[#This Row],[Salvage Value]])),0),0)</f>
        <v>0</v>
      </c>
      <c r="AM1670" s="119"/>
      <c r="AN1670" s="117">
        <f>MAX(IF(AH1670&gt;0,IF('FA Addition'!$N1670="SLM",($AF1670-'FA Addition'!$M1670)*'FA Addition'!$P1670*AH1670/365,IFERROR(VDB(AF1670,AF1670*0.05,'FA Addition'!$O1670,0,YEARFRAC('FA Addition'!$C1670,$L$1,3),'FA Addition'!$Q1670),FAAddition[[#This Row],[Original Cost (Rs)]]-FAAddition[[#This Row],[Salvage Value]])),0),0)</f>
        <v>0</v>
      </c>
      <c r="AO1670" s="117">
        <f t="shared" si="133"/>
        <v>0</v>
      </c>
      <c r="AQ1670" s="117">
        <f t="shared" si="131"/>
        <v>0</v>
      </c>
      <c r="AR1670" s="120">
        <f t="shared" si="132"/>
        <v>0</v>
      </c>
      <c r="AS1670" s="121"/>
    </row>
    <row r="1671" spans="1:45" ht="13.5" x14ac:dyDescent="0.4">
      <c r="A1671" s="12">
        <f t="shared" si="134"/>
        <v>1668</v>
      </c>
      <c r="B1671" s="64" t="s">
        <v>10</v>
      </c>
      <c r="C1671" s="54">
        <v>45988</v>
      </c>
      <c r="D1671" s="54">
        <v>46020</v>
      </c>
      <c r="E1671" s="46" t="s">
        <v>523</v>
      </c>
      <c r="F1671" s="51" t="s">
        <v>11</v>
      </c>
      <c r="G1671" s="51" t="s">
        <v>276</v>
      </c>
      <c r="H1671" s="51" t="s">
        <v>183</v>
      </c>
      <c r="I1671" s="55" t="s">
        <v>277</v>
      </c>
      <c r="J1671" s="56">
        <v>1</v>
      </c>
      <c r="K1671" s="51" t="s">
        <v>343</v>
      </c>
      <c r="L1671" s="58">
        <v>2950000</v>
      </c>
      <c r="M1671" s="50">
        <f>ROUND('FA Addition'!$L1671*5%,0.1)</f>
        <v>147500</v>
      </c>
      <c r="N1671" s="113" t="str">
        <f>_xlfn.XLOOKUP(_xlfn.CONCAT(E1671,B1671),'Year Wise Master Dep Approach'!F:F,'Year Wise Master Dep Approach'!D:D)</f>
        <v>WDV</v>
      </c>
      <c r="O1671" s="113">
        <f>_xlfn.XLOOKUP(_xlfn.CONCAT(E1671,B1671),'Year Wise Master Dep Approach'!F:F,'Year Wise Master Dep Approach'!E:E)</f>
        <v>10</v>
      </c>
      <c r="P1671" s="114">
        <f>IFERROR(IF('FA Addition'!$N1671="WDV",1-('FA Addition'!$M1671/'FA Addition'!$L1671)^(1/'FA Addition'!$O1671),1/'FA Addition'!$O1671),0)</f>
        <v>0.2588655508930523</v>
      </c>
      <c r="Q1671" s="122">
        <f>'FA Addition'!$P1671*'FA Addition'!$O1671</f>
        <v>2.5886555089305228</v>
      </c>
      <c r="R1671" s="122"/>
      <c r="S1671" s="116">
        <f>IF(AND(DATE(20&amp;LEFT(FAAddition[[#This Row],[FY]],2),4,1)&lt;$L$1+1,DATE(20&amp;LEFT(FAAddition[[#This Row],[FY]],2),4,1)&gt;$P$1-1),'FA Addition'!$J1671,0)</f>
        <v>0</v>
      </c>
      <c r="U1671" s="117">
        <f>S1671*'FA Addition'!$L1671/'FA Addition'!$J1671</f>
        <v>0</v>
      </c>
      <c r="W1671" s="116">
        <f>SUMIFS('FA Write off'!D:D,'FA Write off'!A:A,'FA Addition'!$A1671,'FA Write off'!C:C,"&lt;"&amp;'FA Addition'!$P$1)</f>
        <v>0</v>
      </c>
      <c r="Y1671" s="191">
        <f>IFERROR(W1671/'FA Addition'!$J1671*'FA Addition'!$L1671,0)</f>
        <v>0</v>
      </c>
      <c r="AA1671" s="116">
        <f>SUMIFS('FA Write off'!D:D,'FA Write off'!A:A,'FA Addition'!$A1671,'FA Write off'!C:C,"&lt;"&amp;'FA Addition'!$L$1+1,'FA Write off'!C:C,"&gt;"&amp;'FA Addition'!$L$1-365)</f>
        <v>0</v>
      </c>
      <c r="AC1671" s="118">
        <f>IFERROR(AA1671/'FA Addition'!$J1671*'FA Addition'!$L1671,0)</f>
        <v>0</v>
      </c>
      <c r="AE1671" s="117">
        <f>IF(AND('FA Addition'!$D1671&lt;$P$1+1,U1671=0),'FA Addition'!$L1671,0)-Y1671</f>
        <v>0</v>
      </c>
      <c r="AF1671" s="117">
        <f t="shared" si="130"/>
        <v>0</v>
      </c>
      <c r="AG1671" s="117">
        <f>MIN(MAX(+$P$1-'FA Addition'!$D1671,0),365*'FA Addition'!$O1671)</f>
        <v>0</v>
      </c>
      <c r="AH1671" s="117">
        <f>MIN(MAX($L$1-'FA Addition'!$D1671+1,0),365*'FA Addition'!$O1671)</f>
        <v>0</v>
      </c>
      <c r="AI1671" s="117" cm="1">
        <f t="array" ref="AI1671">_xlfn.XLOOKUP(1,('FA Write off'!A:A='FA Addition'!$A1671)*('FA Write off'!D:D=AA1671),'FA Write off'!H:H,0,0)</f>
        <v>0</v>
      </c>
      <c r="AJ1671" s="117">
        <f>IF(AC1671&gt;0,MAX(IF('FA Addition'!$N1671="SLM",($AC1671-'FA Addition'!$M1671)*'FA Addition'!$P1671*AI1671/365,(AC1671-'FA Addition'!$M1671)*(1-(1-'FA Addition'!$P1671)^(AI1671/365))),0),0)</f>
        <v>0</v>
      </c>
      <c r="AL1671" s="117">
        <f>MAX(IF(AG1671&gt;0,IF('FA Addition'!$N1671="SLM",($AE1671-'FA Addition'!$M1671)*'FA Addition'!$P1671*AG1671/365,IFERROR(VDB(AE1671,AE1671*0.05,'FA Addition'!$O1671,0,YEARFRAC('FA Addition'!$C1671,$P$1-1,3),'FA Addition'!$Q1671),FAAddition[[#This Row],[Original Cost (Rs)]]-FAAddition[[#This Row],[Salvage Value]])),0),0)</f>
        <v>0</v>
      </c>
      <c r="AM1671" s="119"/>
      <c r="AN1671" s="117">
        <f>MAX(IF(AH1671&gt;0,IF('FA Addition'!$N1671="SLM",($AF1671-'FA Addition'!$M1671)*'FA Addition'!$P1671*AH1671/365,IFERROR(VDB(AF1671,AF1671*0.05,'FA Addition'!$O1671,0,YEARFRAC('FA Addition'!$C1671,$L$1,3),'FA Addition'!$Q1671),FAAddition[[#This Row],[Original Cost (Rs)]]-FAAddition[[#This Row],[Salvage Value]])),0),0)</f>
        <v>0</v>
      </c>
      <c r="AO1671" s="117">
        <f t="shared" si="133"/>
        <v>0</v>
      </c>
      <c r="AQ1671" s="117">
        <f t="shared" si="131"/>
        <v>0</v>
      </c>
      <c r="AR1671" s="120">
        <f t="shared" si="132"/>
        <v>0</v>
      </c>
      <c r="AS1671" s="121"/>
    </row>
    <row r="1672" spans="1:45" ht="13.5" x14ac:dyDescent="0.4">
      <c r="A1672" s="12">
        <f t="shared" si="134"/>
        <v>1669</v>
      </c>
      <c r="B1672" s="64" t="s">
        <v>10</v>
      </c>
      <c r="C1672" s="54">
        <v>45975</v>
      </c>
      <c r="D1672" s="54">
        <v>46020</v>
      </c>
      <c r="E1672" s="46" t="s">
        <v>523</v>
      </c>
      <c r="F1672" s="51" t="s">
        <v>11</v>
      </c>
      <c r="G1672" s="51" t="s">
        <v>276</v>
      </c>
      <c r="H1672" s="51" t="s">
        <v>183</v>
      </c>
      <c r="I1672" s="55" t="s">
        <v>278</v>
      </c>
      <c r="J1672" s="56">
        <v>1</v>
      </c>
      <c r="K1672" s="51" t="s">
        <v>343</v>
      </c>
      <c r="L1672" s="58">
        <v>1500000</v>
      </c>
      <c r="M1672" s="50">
        <f>ROUND('FA Addition'!$L1672*5%,0.1)</f>
        <v>75000</v>
      </c>
      <c r="N1672" s="113" t="str">
        <f>_xlfn.XLOOKUP(_xlfn.CONCAT(E1672,B1672),'Year Wise Master Dep Approach'!F:F,'Year Wise Master Dep Approach'!D:D)</f>
        <v>WDV</v>
      </c>
      <c r="O1672" s="113">
        <f>_xlfn.XLOOKUP(_xlfn.CONCAT(E1672,B1672),'Year Wise Master Dep Approach'!F:F,'Year Wise Master Dep Approach'!E:E)</f>
        <v>10</v>
      </c>
      <c r="P1672" s="114">
        <f>IFERROR(IF('FA Addition'!$N1672="WDV",1-('FA Addition'!$M1672/'FA Addition'!$L1672)^(1/'FA Addition'!$O1672),1/'FA Addition'!$O1672),0)</f>
        <v>0.2588655508930523</v>
      </c>
      <c r="Q1672" s="122">
        <f>'FA Addition'!$P1672*'FA Addition'!$O1672</f>
        <v>2.5886555089305228</v>
      </c>
      <c r="R1672" s="122"/>
      <c r="S1672" s="116">
        <f>IF(AND(DATE(20&amp;LEFT(FAAddition[[#This Row],[FY]],2),4,1)&lt;$L$1+1,DATE(20&amp;LEFT(FAAddition[[#This Row],[FY]],2),4,1)&gt;$P$1-1),'FA Addition'!$J1672,0)</f>
        <v>0</v>
      </c>
      <c r="U1672" s="117">
        <f>S1672*'FA Addition'!$L1672/'FA Addition'!$J1672</f>
        <v>0</v>
      </c>
      <c r="W1672" s="116">
        <f>SUMIFS('FA Write off'!D:D,'FA Write off'!A:A,'FA Addition'!$A1672,'FA Write off'!C:C,"&lt;"&amp;'FA Addition'!$P$1)</f>
        <v>0</v>
      </c>
      <c r="Y1672" s="191">
        <f>IFERROR(W1672/'FA Addition'!$J1672*'FA Addition'!$L1672,0)</f>
        <v>0</v>
      </c>
      <c r="AA1672" s="116">
        <f>SUMIFS('FA Write off'!D:D,'FA Write off'!A:A,'FA Addition'!$A1672,'FA Write off'!C:C,"&lt;"&amp;'FA Addition'!$L$1+1,'FA Write off'!C:C,"&gt;"&amp;'FA Addition'!$L$1-365)</f>
        <v>0</v>
      </c>
      <c r="AC1672" s="118">
        <f>IFERROR(AA1672/'FA Addition'!$J1672*'FA Addition'!$L1672,0)</f>
        <v>0</v>
      </c>
      <c r="AE1672" s="117">
        <f>IF(AND('FA Addition'!$D1672&lt;$P$1+1,U1672=0),'FA Addition'!$L1672,0)-Y1672</f>
        <v>0</v>
      </c>
      <c r="AF1672" s="117">
        <f t="shared" si="130"/>
        <v>0</v>
      </c>
      <c r="AG1672" s="117">
        <f>MIN(MAX(+$P$1-'FA Addition'!$D1672,0),365*'FA Addition'!$O1672)</f>
        <v>0</v>
      </c>
      <c r="AH1672" s="117">
        <f>MIN(MAX($L$1-'FA Addition'!$D1672+1,0),365*'FA Addition'!$O1672)</f>
        <v>0</v>
      </c>
      <c r="AI1672" s="117" cm="1">
        <f t="array" ref="AI1672">_xlfn.XLOOKUP(1,('FA Write off'!A:A='FA Addition'!$A1672)*('FA Write off'!D:D=AA1672),'FA Write off'!H:H,0,0)</f>
        <v>0</v>
      </c>
      <c r="AJ1672" s="117">
        <f>IF(AC1672&gt;0,MAX(IF('FA Addition'!$N1672="SLM",($AC1672-'FA Addition'!$M1672)*'FA Addition'!$P1672*AI1672/365,(AC1672-'FA Addition'!$M1672)*(1-(1-'FA Addition'!$P1672)^(AI1672/365))),0),0)</f>
        <v>0</v>
      </c>
      <c r="AL1672" s="117">
        <f>MAX(IF(AG1672&gt;0,IF('FA Addition'!$N1672="SLM",($AE1672-'FA Addition'!$M1672)*'FA Addition'!$P1672*AG1672/365,IFERROR(VDB(AE1672,AE1672*0.05,'FA Addition'!$O1672,0,YEARFRAC('FA Addition'!$C1672,$P$1-1,3),'FA Addition'!$Q1672),FAAddition[[#This Row],[Original Cost (Rs)]]-FAAddition[[#This Row],[Salvage Value]])),0),0)</f>
        <v>0</v>
      </c>
      <c r="AM1672" s="119"/>
      <c r="AN1672" s="117">
        <f>MAX(IF(AH1672&gt;0,IF('FA Addition'!$N1672="SLM",($AF1672-'FA Addition'!$M1672)*'FA Addition'!$P1672*AH1672/365,IFERROR(VDB(AF1672,AF1672*0.05,'FA Addition'!$O1672,0,YEARFRAC('FA Addition'!$C1672,$L$1,3),'FA Addition'!$Q1672),FAAddition[[#This Row],[Original Cost (Rs)]]-FAAddition[[#This Row],[Salvage Value]])),0),0)</f>
        <v>0</v>
      </c>
      <c r="AO1672" s="117">
        <f t="shared" si="133"/>
        <v>0</v>
      </c>
      <c r="AQ1672" s="117">
        <f t="shared" si="131"/>
        <v>0</v>
      </c>
      <c r="AR1672" s="120">
        <f t="shared" si="132"/>
        <v>0</v>
      </c>
      <c r="AS1672" s="121"/>
    </row>
    <row r="1673" spans="1:45" ht="13.5" x14ac:dyDescent="0.4">
      <c r="A1673" s="12">
        <f t="shared" si="134"/>
        <v>1670</v>
      </c>
      <c r="B1673" s="64" t="s">
        <v>10</v>
      </c>
      <c r="C1673" s="54">
        <v>45961</v>
      </c>
      <c r="D1673" s="54">
        <v>46020</v>
      </c>
      <c r="E1673" s="46" t="s">
        <v>523</v>
      </c>
      <c r="F1673" s="51" t="s">
        <v>279</v>
      </c>
      <c r="G1673" s="51" t="s">
        <v>276</v>
      </c>
      <c r="H1673" s="51" t="s">
        <v>196</v>
      </c>
      <c r="I1673" s="55" t="s">
        <v>280</v>
      </c>
      <c r="J1673" s="56">
        <v>1</v>
      </c>
      <c r="K1673" s="51" t="s">
        <v>387</v>
      </c>
      <c r="L1673" s="58">
        <v>595000</v>
      </c>
      <c r="M1673" s="50">
        <f>ROUND('FA Addition'!$L1673*5%,0.1)</f>
        <v>29750</v>
      </c>
      <c r="N1673" s="113" t="str">
        <f>_xlfn.XLOOKUP(_xlfn.CONCAT(E1673,B1673),'Year Wise Master Dep Approach'!F:F,'Year Wise Master Dep Approach'!D:D)</f>
        <v>WDV</v>
      </c>
      <c r="O1673" s="113">
        <f>_xlfn.XLOOKUP(_xlfn.CONCAT(E1673,B1673),'Year Wise Master Dep Approach'!F:F,'Year Wise Master Dep Approach'!E:E)</f>
        <v>10</v>
      </c>
      <c r="P1673" s="114">
        <f>IFERROR(IF('FA Addition'!$N1673="WDV",1-('FA Addition'!$M1673/'FA Addition'!$L1673)^(1/'FA Addition'!$O1673),1/'FA Addition'!$O1673),0)</f>
        <v>0.2588655508930523</v>
      </c>
      <c r="Q1673" s="122">
        <f>'FA Addition'!$P1673*'FA Addition'!$O1673</f>
        <v>2.5886555089305228</v>
      </c>
      <c r="R1673" s="122"/>
      <c r="S1673" s="116">
        <f>IF(AND(DATE(20&amp;LEFT(FAAddition[[#This Row],[FY]],2),4,1)&lt;$L$1+1,DATE(20&amp;LEFT(FAAddition[[#This Row],[FY]],2),4,1)&gt;$P$1-1),'FA Addition'!$J1673,0)</f>
        <v>0</v>
      </c>
      <c r="U1673" s="117">
        <f>S1673*'FA Addition'!$L1673/'FA Addition'!$J1673</f>
        <v>0</v>
      </c>
      <c r="W1673" s="116">
        <f>SUMIFS('FA Write off'!D:D,'FA Write off'!A:A,'FA Addition'!$A1673,'FA Write off'!C:C,"&lt;"&amp;'FA Addition'!$P$1)</f>
        <v>0</v>
      </c>
      <c r="Y1673" s="191">
        <f>IFERROR(W1673/'FA Addition'!$J1673*'FA Addition'!$L1673,0)</f>
        <v>0</v>
      </c>
      <c r="AA1673" s="116">
        <f>SUMIFS('FA Write off'!D:D,'FA Write off'!A:A,'FA Addition'!$A1673,'FA Write off'!C:C,"&lt;"&amp;'FA Addition'!$L$1+1,'FA Write off'!C:C,"&gt;"&amp;'FA Addition'!$L$1-365)</f>
        <v>0</v>
      </c>
      <c r="AC1673" s="118">
        <f>IFERROR(AA1673/'FA Addition'!$J1673*'FA Addition'!$L1673,0)</f>
        <v>0</v>
      </c>
      <c r="AE1673" s="117">
        <f>IF(AND('FA Addition'!$D1673&lt;$P$1+1,U1673=0),'FA Addition'!$L1673,0)-Y1673</f>
        <v>0</v>
      </c>
      <c r="AF1673" s="117">
        <f t="shared" si="130"/>
        <v>0</v>
      </c>
      <c r="AG1673" s="117">
        <f>MIN(MAX(+$P$1-'FA Addition'!$D1673,0),365*'FA Addition'!$O1673)</f>
        <v>0</v>
      </c>
      <c r="AH1673" s="117">
        <f>MIN(MAX($L$1-'FA Addition'!$D1673+1,0),365*'FA Addition'!$O1673)</f>
        <v>0</v>
      </c>
      <c r="AI1673" s="117" cm="1">
        <f t="array" ref="AI1673">_xlfn.XLOOKUP(1,('FA Write off'!A:A='FA Addition'!$A1673)*('FA Write off'!D:D=AA1673),'FA Write off'!H:H,0,0)</f>
        <v>0</v>
      </c>
      <c r="AJ1673" s="117">
        <f>IF(AC1673&gt;0,MAX(IF('FA Addition'!$N1673="SLM",($AC1673-'FA Addition'!$M1673)*'FA Addition'!$P1673*AI1673/365,(AC1673-'FA Addition'!$M1673)*(1-(1-'FA Addition'!$P1673)^(AI1673/365))),0),0)</f>
        <v>0</v>
      </c>
      <c r="AL1673" s="117">
        <f>MAX(IF(AG1673&gt;0,IF('FA Addition'!$N1673="SLM",($AE1673-'FA Addition'!$M1673)*'FA Addition'!$P1673*AG1673/365,IFERROR(VDB(AE1673,AE1673*0.05,'FA Addition'!$O1673,0,YEARFRAC('FA Addition'!$C1673,$P$1-1,3),'FA Addition'!$Q1673),FAAddition[[#This Row],[Original Cost (Rs)]]-FAAddition[[#This Row],[Salvage Value]])),0),0)</f>
        <v>0</v>
      </c>
      <c r="AM1673" s="119"/>
      <c r="AN1673" s="117">
        <f>MAX(IF(AH1673&gt;0,IF('FA Addition'!$N1673="SLM",($AF1673-'FA Addition'!$M1673)*'FA Addition'!$P1673*AH1673/365,IFERROR(VDB(AF1673,AF1673*0.05,'FA Addition'!$O1673,0,YEARFRAC('FA Addition'!$C1673,$L$1,3),'FA Addition'!$Q1673),FAAddition[[#This Row],[Original Cost (Rs)]]-FAAddition[[#This Row],[Salvage Value]])),0),0)</f>
        <v>0</v>
      </c>
      <c r="AO1673" s="117">
        <f t="shared" si="133"/>
        <v>0</v>
      </c>
      <c r="AQ1673" s="117">
        <f t="shared" si="131"/>
        <v>0</v>
      </c>
      <c r="AR1673" s="120">
        <f t="shared" si="132"/>
        <v>0</v>
      </c>
      <c r="AS1673" s="121"/>
    </row>
    <row r="1674" spans="1:45" ht="13.5" x14ac:dyDescent="0.4">
      <c r="A1674" s="12">
        <f t="shared" si="134"/>
        <v>1671</v>
      </c>
      <c r="B1674" s="64" t="s">
        <v>10</v>
      </c>
      <c r="C1674" s="54">
        <v>45961</v>
      </c>
      <c r="D1674" s="54">
        <v>46020</v>
      </c>
      <c r="E1674" s="46" t="s">
        <v>523</v>
      </c>
      <c r="F1674" s="51" t="s">
        <v>279</v>
      </c>
      <c r="G1674" s="51" t="s">
        <v>276</v>
      </c>
      <c r="H1674" s="51" t="s">
        <v>281</v>
      </c>
      <c r="I1674" s="55" t="s">
        <v>280</v>
      </c>
      <c r="J1674" s="56">
        <v>4</v>
      </c>
      <c r="K1674" s="51" t="s">
        <v>388</v>
      </c>
      <c r="L1674" s="58">
        <v>100000</v>
      </c>
      <c r="M1674" s="50">
        <f>ROUND('FA Addition'!$L1674*5%,0.1)</f>
        <v>5000</v>
      </c>
      <c r="N1674" s="113" t="str">
        <f>_xlfn.XLOOKUP(_xlfn.CONCAT(E1674,B1674),'Year Wise Master Dep Approach'!F:F,'Year Wise Master Dep Approach'!D:D)</f>
        <v>WDV</v>
      </c>
      <c r="O1674" s="113">
        <f>_xlfn.XLOOKUP(_xlfn.CONCAT(E1674,B1674),'Year Wise Master Dep Approach'!F:F,'Year Wise Master Dep Approach'!E:E)</f>
        <v>10</v>
      </c>
      <c r="P1674" s="114">
        <f>IFERROR(IF('FA Addition'!$N1674="WDV",1-('FA Addition'!$M1674/'FA Addition'!$L1674)^(1/'FA Addition'!$O1674),1/'FA Addition'!$O1674),0)</f>
        <v>0.2588655508930523</v>
      </c>
      <c r="Q1674" s="122">
        <f>'FA Addition'!$P1674*'FA Addition'!$O1674</f>
        <v>2.5886555089305228</v>
      </c>
      <c r="R1674" s="122"/>
      <c r="S1674" s="116">
        <f>IF(AND(DATE(20&amp;LEFT(FAAddition[[#This Row],[FY]],2),4,1)&lt;$L$1+1,DATE(20&amp;LEFT(FAAddition[[#This Row],[FY]],2),4,1)&gt;$P$1-1),'FA Addition'!$J1674,0)</f>
        <v>0</v>
      </c>
      <c r="U1674" s="117">
        <f>S1674*'FA Addition'!$L1674/'FA Addition'!$J1674</f>
        <v>0</v>
      </c>
      <c r="W1674" s="116">
        <f>SUMIFS('FA Write off'!D:D,'FA Write off'!A:A,'FA Addition'!$A1674,'FA Write off'!C:C,"&lt;"&amp;'FA Addition'!$P$1)</f>
        <v>0</v>
      </c>
      <c r="Y1674" s="191">
        <f>IFERROR(W1674/'FA Addition'!$J1674*'FA Addition'!$L1674,0)</f>
        <v>0</v>
      </c>
      <c r="AA1674" s="116">
        <f>SUMIFS('FA Write off'!D:D,'FA Write off'!A:A,'FA Addition'!$A1674,'FA Write off'!C:C,"&lt;"&amp;'FA Addition'!$L$1+1,'FA Write off'!C:C,"&gt;"&amp;'FA Addition'!$L$1-365)</f>
        <v>0</v>
      </c>
      <c r="AC1674" s="118">
        <f>IFERROR(AA1674/'FA Addition'!$J1674*'FA Addition'!$L1674,0)</f>
        <v>0</v>
      </c>
      <c r="AE1674" s="117">
        <f>IF(AND('FA Addition'!$D1674&lt;$P$1+1,U1674=0),'FA Addition'!$L1674,0)-Y1674</f>
        <v>0</v>
      </c>
      <c r="AF1674" s="117">
        <f t="shared" si="130"/>
        <v>0</v>
      </c>
      <c r="AG1674" s="117">
        <f>MIN(MAX(+$P$1-'FA Addition'!$D1674,0),365*'FA Addition'!$O1674)</f>
        <v>0</v>
      </c>
      <c r="AH1674" s="117">
        <f>MIN(MAX($L$1-'FA Addition'!$D1674+1,0),365*'FA Addition'!$O1674)</f>
        <v>0</v>
      </c>
      <c r="AI1674" s="117" cm="1">
        <f t="array" ref="AI1674">_xlfn.XLOOKUP(1,('FA Write off'!A:A='FA Addition'!$A1674)*('FA Write off'!D:D=AA1674),'FA Write off'!H:H,0,0)</f>
        <v>0</v>
      </c>
      <c r="AJ1674" s="117">
        <f>IF(AC1674&gt;0,MAX(IF('FA Addition'!$N1674="SLM",($AC1674-'FA Addition'!$M1674)*'FA Addition'!$P1674*AI1674/365,(AC1674-'FA Addition'!$M1674)*(1-(1-'FA Addition'!$P1674)^(AI1674/365))),0),0)</f>
        <v>0</v>
      </c>
      <c r="AL1674" s="117">
        <f>MAX(IF(AG1674&gt;0,IF('FA Addition'!$N1674="SLM",($AE1674-'FA Addition'!$M1674)*'FA Addition'!$P1674*AG1674/365,IFERROR(VDB(AE1674,AE1674*0.05,'FA Addition'!$O1674,0,YEARFRAC('FA Addition'!$C1674,$P$1-1,3),'FA Addition'!$Q1674),FAAddition[[#This Row],[Original Cost (Rs)]]-FAAddition[[#This Row],[Salvage Value]])),0),0)</f>
        <v>0</v>
      </c>
      <c r="AM1674" s="119"/>
      <c r="AN1674" s="117">
        <f>MAX(IF(AH1674&gt;0,IF('FA Addition'!$N1674="SLM",($AF1674-'FA Addition'!$M1674)*'FA Addition'!$P1674*AH1674/365,IFERROR(VDB(AF1674,AF1674*0.05,'FA Addition'!$O1674,0,YEARFRAC('FA Addition'!$C1674,$L$1,3),'FA Addition'!$Q1674),FAAddition[[#This Row],[Original Cost (Rs)]]-FAAddition[[#This Row],[Salvage Value]])),0),0)</f>
        <v>0</v>
      </c>
      <c r="AO1674" s="117">
        <f t="shared" si="133"/>
        <v>0</v>
      </c>
      <c r="AQ1674" s="117">
        <f t="shared" si="131"/>
        <v>0</v>
      </c>
      <c r="AR1674" s="120">
        <f t="shared" si="132"/>
        <v>0</v>
      </c>
      <c r="AS1674" s="121"/>
    </row>
    <row r="1675" spans="1:45" ht="13.5" x14ac:dyDescent="0.4">
      <c r="A1675" s="12">
        <f t="shared" si="134"/>
        <v>1672</v>
      </c>
      <c r="B1675" s="64" t="s">
        <v>10</v>
      </c>
      <c r="C1675" s="54">
        <v>45961</v>
      </c>
      <c r="D1675" s="54">
        <v>46020</v>
      </c>
      <c r="E1675" s="46" t="s">
        <v>523</v>
      </c>
      <c r="F1675" s="51" t="s">
        <v>279</v>
      </c>
      <c r="G1675" s="51" t="s">
        <v>276</v>
      </c>
      <c r="H1675" s="51" t="s">
        <v>193</v>
      </c>
      <c r="I1675" s="55" t="s">
        <v>280</v>
      </c>
      <c r="J1675" s="56">
        <v>15</v>
      </c>
      <c r="K1675" s="51" t="s">
        <v>389</v>
      </c>
      <c r="L1675" s="58">
        <v>180000</v>
      </c>
      <c r="M1675" s="50">
        <f>ROUND('FA Addition'!$L1675*5%,0.1)</f>
        <v>9000</v>
      </c>
      <c r="N1675" s="113" t="str">
        <f>_xlfn.XLOOKUP(_xlfn.CONCAT(E1675,B1675),'Year Wise Master Dep Approach'!F:F,'Year Wise Master Dep Approach'!D:D)</f>
        <v>WDV</v>
      </c>
      <c r="O1675" s="113">
        <f>_xlfn.XLOOKUP(_xlfn.CONCAT(E1675,B1675),'Year Wise Master Dep Approach'!F:F,'Year Wise Master Dep Approach'!E:E)</f>
        <v>10</v>
      </c>
      <c r="P1675" s="114">
        <f>IFERROR(IF('FA Addition'!$N1675="WDV",1-('FA Addition'!$M1675/'FA Addition'!$L1675)^(1/'FA Addition'!$O1675),1/'FA Addition'!$O1675),0)</f>
        <v>0.2588655508930523</v>
      </c>
      <c r="Q1675" s="122">
        <f>'FA Addition'!$P1675*'FA Addition'!$O1675</f>
        <v>2.5886555089305228</v>
      </c>
      <c r="R1675" s="122"/>
      <c r="S1675" s="116">
        <f>IF(AND(DATE(20&amp;LEFT(FAAddition[[#This Row],[FY]],2),4,1)&lt;$L$1+1,DATE(20&amp;LEFT(FAAddition[[#This Row],[FY]],2),4,1)&gt;$P$1-1),'FA Addition'!$J1675,0)</f>
        <v>0</v>
      </c>
      <c r="U1675" s="117">
        <f>S1675*'FA Addition'!$L1675/'FA Addition'!$J1675</f>
        <v>0</v>
      </c>
      <c r="W1675" s="116">
        <f>SUMIFS('FA Write off'!D:D,'FA Write off'!A:A,'FA Addition'!$A1675,'FA Write off'!C:C,"&lt;"&amp;'FA Addition'!$P$1)</f>
        <v>0</v>
      </c>
      <c r="Y1675" s="191">
        <f>IFERROR(W1675/'FA Addition'!$J1675*'FA Addition'!$L1675,0)</f>
        <v>0</v>
      </c>
      <c r="AA1675" s="116">
        <f>SUMIFS('FA Write off'!D:D,'FA Write off'!A:A,'FA Addition'!$A1675,'FA Write off'!C:C,"&lt;"&amp;'FA Addition'!$L$1+1,'FA Write off'!C:C,"&gt;"&amp;'FA Addition'!$L$1-365)</f>
        <v>0</v>
      </c>
      <c r="AC1675" s="118">
        <f>IFERROR(AA1675/'FA Addition'!$J1675*'FA Addition'!$L1675,0)</f>
        <v>0</v>
      </c>
      <c r="AE1675" s="117">
        <f>IF(AND('FA Addition'!$D1675&lt;$P$1+1,U1675=0),'FA Addition'!$L1675,0)-Y1675</f>
        <v>0</v>
      </c>
      <c r="AF1675" s="117">
        <f t="shared" si="130"/>
        <v>0</v>
      </c>
      <c r="AG1675" s="117">
        <f>MIN(MAX(+$P$1-'FA Addition'!$D1675,0),365*'FA Addition'!$O1675)</f>
        <v>0</v>
      </c>
      <c r="AH1675" s="117">
        <f>MIN(MAX($L$1-'FA Addition'!$D1675+1,0),365*'FA Addition'!$O1675)</f>
        <v>0</v>
      </c>
      <c r="AI1675" s="117" cm="1">
        <f t="array" ref="AI1675">_xlfn.XLOOKUP(1,('FA Write off'!A:A='FA Addition'!$A1675)*('FA Write off'!D:D=AA1675),'FA Write off'!H:H,0,0)</f>
        <v>0</v>
      </c>
      <c r="AJ1675" s="117">
        <f>IF(AC1675&gt;0,MAX(IF('FA Addition'!$N1675="SLM",($AC1675-'FA Addition'!$M1675)*'FA Addition'!$P1675*AI1675/365,(AC1675-'FA Addition'!$M1675)*(1-(1-'FA Addition'!$P1675)^(AI1675/365))),0),0)</f>
        <v>0</v>
      </c>
      <c r="AL1675" s="117">
        <f>MAX(IF(AG1675&gt;0,IF('FA Addition'!$N1675="SLM",($AE1675-'FA Addition'!$M1675)*'FA Addition'!$P1675*AG1675/365,IFERROR(VDB(AE1675,AE1675*0.05,'FA Addition'!$O1675,0,YEARFRAC('FA Addition'!$C1675,$P$1-1,3),'FA Addition'!$Q1675),FAAddition[[#This Row],[Original Cost (Rs)]]-FAAddition[[#This Row],[Salvage Value]])),0),0)</f>
        <v>0</v>
      </c>
      <c r="AM1675" s="119"/>
      <c r="AN1675" s="117">
        <f>MAX(IF(AH1675&gt;0,IF('FA Addition'!$N1675="SLM",($AF1675-'FA Addition'!$M1675)*'FA Addition'!$P1675*AH1675/365,IFERROR(VDB(AF1675,AF1675*0.05,'FA Addition'!$O1675,0,YEARFRAC('FA Addition'!$C1675,$L$1,3),'FA Addition'!$Q1675),FAAddition[[#This Row],[Original Cost (Rs)]]-FAAddition[[#This Row],[Salvage Value]])),0),0)</f>
        <v>0</v>
      </c>
      <c r="AO1675" s="117">
        <f t="shared" si="133"/>
        <v>0</v>
      </c>
      <c r="AQ1675" s="117">
        <f t="shared" si="131"/>
        <v>0</v>
      </c>
      <c r="AR1675" s="120">
        <f t="shared" si="132"/>
        <v>0</v>
      </c>
      <c r="AS1675" s="121"/>
    </row>
    <row r="1676" spans="1:45" ht="13.5" x14ac:dyDescent="0.4">
      <c r="A1676" s="12">
        <f t="shared" si="134"/>
        <v>1673</v>
      </c>
      <c r="B1676" s="64" t="s">
        <v>10</v>
      </c>
      <c r="C1676" s="54">
        <v>45961</v>
      </c>
      <c r="D1676" s="54">
        <v>46020</v>
      </c>
      <c r="E1676" s="46" t="s">
        <v>523</v>
      </c>
      <c r="F1676" s="51" t="s">
        <v>11</v>
      </c>
      <c r="G1676" s="51" t="s">
        <v>276</v>
      </c>
      <c r="H1676" s="51" t="s">
        <v>183</v>
      </c>
      <c r="I1676" s="55" t="s">
        <v>280</v>
      </c>
      <c r="J1676" s="56">
        <v>1</v>
      </c>
      <c r="K1676" s="51" t="s">
        <v>343</v>
      </c>
      <c r="L1676" s="58">
        <v>590000</v>
      </c>
      <c r="M1676" s="50">
        <f>ROUND('FA Addition'!$L1676*5%,0.1)</f>
        <v>29500</v>
      </c>
      <c r="N1676" s="113" t="str">
        <f>_xlfn.XLOOKUP(_xlfn.CONCAT(E1676,B1676),'Year Wise Master Dep Approach'!F:F,'Year Wise Master Dep Approach'!D:D)</f>
        <v>WDV</v>
      </c>
      <c r="O1676" s="113">
        <f>_xlfn.XLOOKUP(_xlfn.CONCAT(E1676,B1676),'Year Wise Master Dep Approach'!F:F,'Year Wise Master Dep Approach'!E:E)</f>
        <v>10</v>
      </c>
      <c r="P1676" s="114">
        <f>IFERROR(IF('FA Addition'!$N1676="WDV",1-('FA Addition'!$M1676/'FA Addition'!$L1676)^(1/'FA Addition'!$O1676),1/'FA Addition'!$O1676),0)</f>
        <v>0.2588655508930523</v>
      </c>
      <c r="Q1676" s="122">
        <f>'FA Addition'!$P1676*'FA Addition'!$O1676</f>
        <v>2.5886555089305228</v>
      </c>
      <c r="R1676" s="122"/>
      <c r="S1676" s="116">
        <f>IF(AND(DATE(20&amp;LEFT(FAAddition[[#This Row],[FY]],2),4,1)&lt;$L$1+1,DATE(20&amp;LEFT(FAAddition[[#This Row],[FY]],2),4,1)&gt;$P$1-1),'FA Addition'!$J1676,0)</f>
        <v>0</v>
      </c>
      <c r="U1676" s="117">
        <f>S1676*'FA Addition'!$L1676/'FA Addition'!$J1676</f>
        <v>0</v>
      </c>
      <c r="W1676" s="116">
        <f>SUMIFS('FA Write off'!D:D,'FA Write off'!A:A,'FA Addition'!$A1676,'FA Write off'!C:C,"&lt;"&amp;'FA Addition'!$P$1)</f>
        <v>0</v>
      </c>
      <c r="Y1676" s="191">
        <f>IFERROR(W1676/'FA Addition'!$J1676*'FA Addition'!$L1676,0)</f>
        <v>0</v>
      </c>
      <c r="AA1676" s="116">
        <f>SUMIFS('FA Write off'!D:D,'FA Write off'!A:A,'FA Addition'!$A1676,'FA Write off'!C:C,"&lt;"&amp;'FA Addition'!$L$1+1,'FA Write off'!C:C,"&gt;"&amp;'FA Addition'!$L$1-365)</f>
        <v>0</v>
      </c>
      <c r="AC1676" s="118">
        <f>IFERROR(AA1676/'FA Addition'!$J1676*'FA Addition'!$L1676,0)</f>
        <v>0</v>
      </c>
      <c r="AE1676" s="117">
        <f>IF(AND('FA Addition'!$D1676&lt;$P$1+1,U1676=0),'FA Addition'!$L1676,0)-Y1676</f>
        <v>0</v>
      </c>
      <c r="AF1676" s="117">
        <f t="shared" si="130"/>
        <v>0</v>
      </c>
      <c r="AG1676" s="117">
        <f>MIN(MAX(+$P$1-'FA Addition'!$D1676,0),365*'FA Addition'!$O1676)</f>
        <v>0</v>
      </c>
      <c r="AH1676" s="117">
        <f>MIN(MAX($L$1-'FA Addition'!$D1676+1,0),365*'FA Addition'!$O1676)</f>
        <v>0</v>
      </c>
      <c r="AI1676" s="117" cm="1">
        <f t="array" ref="AI1676">_xlfn.XLOOKUP(1,('FA Write off'!A:A='FA Addition'!$A1676)*('FA Write off'!D:D=AA1676),'FA Write off'!H:H,0,0)</f>
        <v>0</v>
      </c>
      <c r="AJ1676" s="117">
        <f>IF(AC1676&gt;0,MAX(IF('FA Addition'!$N1676="SLM",($AC1676-'FA Addition'!$M1676)*'FA Addition'!$P1676*AI1676/365,(AC1676-'FA Addition'!$M1676)*(1-(1-'FA Addition'!$P1676)^(AI1676/365))),0),0)</f>
        <v>0</v>
      </c>
      <c r="AL1676" s="117">
        <f>MAX(IF(AG1676&gt;0,IF('FA Addition'!$N1676="SLM",($AE1676-'FA Addition'!$M1676)*'FA Addition'!$P1676*AG1676/365,IFERROR(VDB(AE1676,AE1676*0.05,'FA Addition'!$O1676,0,YEARFRAC('FA Addition'!$C1676,$P$1-1,3),'FA Addition'!$Q1676),FAAddition[[#This Row],[Original Cost (Rs)]]-FAAddition[[#This Row],[Salvage Value]])),0),0)</f>
        <v>0</v>
      </c>
      <c r="AM1676" s="119"/>
      <c r="AN1676" s="117">
        <f>MAX(IF(AH1676&gt;0,IF('FA Addition'!$N1676="SLM",($AF1676-'FA Addition'!$M1676)*'FA Addition'!$P1676*AH1676/365,IFERROR(VDB(AF1676,AF1676*0.05,'FA Addition'!$O1676,0,YEARFRAC('FA Addition'!$C1676,$L$1,3),'FA Addition'!$Q1676),FAAddition[[#This Row],[Original Cost (Rs)]]-FAAddition[[#This Row],[Salvage Value]])),0),0)</f>
        <v>0</v>
      </c>
      <c r="AO1676" s="117">
        <f t="shared" si="133"/>
        <v>0</v>
      </c>
      <c r="AQ1676" s="117">
        <f t="shared" si="131"/>
        <v>0</v>
      </c>
      <c r="AR1676" s="120">
        <f t="shared" si="132"/>
        <v>0</v>
      </c>
      <c r="AS1676" s="121"/>
    </row>
    <row r="1677" spans="1:45" ht="13.5" x14ac:dyDescent="0.4">
      <c r="A1677" s="12">
        <f t="shared" si="134"/>
        <v>1674</v>
      </c>
      <c r="B1677" s="64" t="s">
        <v>10</v>
      </c>
      <c r="C1677" s="54">
        <v>45958</v>
      </c>
      <c r="D1677" s="54">
        <v>45979</v>
      </c>
      <c r="E1677" s="46" t="s">
        <v>451</v>
      </c>
      <c r="F1677" s="51" t="s">
        <v>19</v>
      </c>
      <c r="G1677" s="51" t="s">
        <v>144</v>
      </c>
      <c r="H1677" s="51" t="s">
        <v>21</v>
      </c>
      <c r="I1677" s="55">
        <v>197</v>
      </c>
      <c r="J1677" s="56">
        <v>1</v>
      </c>
      <c r="K1677" s="51" t="s">
        <v>390</v>
      </c>
      <c r="L1677" s="58">
        <v>133050.85</v>
      </c>
      <c r="M1677" s="50">
        <f>ROUND('FA Addition'!$L1677*5%,0.1)</f>
        <v>6653</v>
      </c>
      <c r="N1677" s="113" t="str">
        <f>_xlfn.XLOOKUP(_xlfn.CONCAT(E1677,B1677),'Year Wise Master Dep Approach'!F:F,'Year Wise Master Dep Approach'!D:D)</f>
        <v>WDV</v>
      </c>
      <c r="O1677" s="113">
        <f>_xlfn.XLOOKUP(_xlfn.CONCAT(E1677,B1677),'Year Wise Master Dep Approach'!F:F,'Year Wise Master Dep Approach'!E:E)</f>
        <v>3</v>
      </c>
      <c r="P1677" s="114">
        <f>IFERROR(IF('FA Addition'!$N1677="WDV",1-('FA Addition'!$M1677/'FA Addition'!$L1677)^(1/'FA Addition'!$O1677),1/'FA Addition'!$O1677),0)</f>
        <v>0.63158840521546311</v>
      </c>
      <c r="Q1677" s="122">
        <f>'FA Addition'!$P1677*'FA Addition'!$O1677</f>
        <v>1.8947652156463892</v>
      </c>
      <c r="R1677" s="122"/>
      <c r="S1677" s="116">
        <f>IF(AND(DATE(20&amp;LEFT(FAAddition[[#This Row],[FY]],2),4,1)&lt;$L$1+1,DATE(20&amp;LEFT(FAAddition[[#This Row],[FY]],2),4,1)&gt;$P$1-1),'FA Addition'!$J1677,0)</f>
        <v>0</v>
      </c>
      <c r="U1677" s="117">
        <f>S1677*'FA Addition'!$L1677/'FA Addition'!$J1677</f>
        <v>0</v>
      </c>
      <c r="W1677" s="116">
        <f>SUMIFS('FA Write off'!D:D,'FA Write off'!A:A,'FA Addition'!$A1677,'FA Write off'!C:C,"&lt;"&amp;'FA Addition'!$P$1)</f>
        <v>0</v>
      </c>
      <c r="Y1677" s="191">
        <f>IFERROR(W1677/'FA Addition'!$J1677*'FA Addition'!$L1677,0)</f>
        <v>0</v>
      </c>
      <c r="AA1677" s="116">
        <f>SUMIFS('FA Write off'!D:D,'FA Write off'!A:A,'FA Addition'!$A1677,'FA Write off'!C:C,"&lt;"&amp;'FA Addition'!$L$1+1,'FA Write off'!C:C,"&gt;"&amp;'FA Addition'!$L$1-365)</f>
        <v>0</v>
      </c>
      <c r="AC1677" s="118">
        <f>IFERROR(AA1677/'FA Addition'!$J1677*'FA Addition'!$L1677,0)</f>
        <v>0</v>
      </c>
      <c r="AE1677" s="117">
        <f>IF(AND('FA Addition'!$D1677&lt;$P$1+1,U1677=0),'FA Addition'!$L1677,0)-Y1677</f>
        <v>0</v>
      </c>
      <c r="AF1677" s="117">
        <f t="shared" si="130"/>
        <v>0</v>
      </c>
      <c r="AG1677" s="117">
        <f>MIN(MAX(+$P$1-'FA Addition'!$D1677,0),365*'FA Addition'!$O1677)</f>
        <v>0</v>
      </c>
      <c r="AH1677" s="117">
        <f>MIN(MAX($L$1-'FA Addition'!$D1677+1,0),365*'FA Addition'!$O1677)</f>
        <v>0</v>
      </c>
      <c r="AI1677" s="117" cm="1">
        <f t="array" ref="AI1677">_xlfn.XLOOKUP(1,('FA Write off'!A:A='FA Addition'!$A1677)*('FA Write off'!D:D=AA1677),'FA Write off'!H:H,0,0)</f>
        <v>0</v>
      </c>
      <c r="AJ1677" s="117">
        <f>IF(AC1677&gt;0,MAX(IF('FA Addition'!$N1677="SLM",($AC1677-'FA Addition'!$M1677)*'FA Addition'!$P1677*AI1677/365,(AC1677-'FA Addition'!$M1677)*(1-(1-'FA Addition'!$P1677)^(AI1677/365))),0),0)</f>
        <v>0</v>
      </c>
      <c r="AL1677" s="117">
        <f>MAX(IF(AG1677&gt;0,IF('FA Addition'!$N1677="SLM",($AE1677-'FA Addition'!$M1677)*'FA Addition'!$P1677*AG1677/365,IFERROR(VDB(AE1677,AE1677*0.05,'FA Addition'!$O1677,0,YEARFRAC('FA Addition'!$C1677,$P$1-1,3),'FA Addition'!$Q1677),FAAddition[[#This Row],[Original Cost (Rs)]]-FAAddition[[#This Row],[Salvage Value]])),0),0)</f>
        <v>0</v>
      </c>
      <c r="AM1677" s="119"/>
      <c r="AN1677" s="117">
        <f>MAX(IF(AH1677&gt;0,IF('FA Addition'!$N1677="SLM",($AF1677-'FA Addition'!$M1677)*'FA Addition'!$P1677*AH1677/365,IFERROR(VDB(AF1677,AF1677*0.05,'FA Addition'!$O1677,0,YEARFRAC('FA Addition'!$C1677,$L$1,3),'FA Addition'!$Q1677),FAAddition[[#This Row],[Original Cost (Rs)]]-FAAddition[[#This Row],[Salvage Value]])),0),0)</f>
        <v>0</v>
      </c>
      <c r="AO1677" s="117">
        <f t="shared" si="133"/>
        <v>0</v>
      </c>
      <c r="AQ1677" s="117">
        <f t="shared" si="131"/>
        <v>0</v>
      </c>
      <c r="AR1677" s="120">
        <f t="shared" si="132"/>
        <v>0</v>
      </c>
      <c r="AS1677" s="121"/>
    </row>
    <row r="1678" spans="1:45" ht="13.5" x14ac:dyDescent="0.4">
      <c r="A1678" s="12">
        <f t="shared" si="134"/>
        <v>1675</v>
      </c>
      <c r="B1678" s="64" t="s">
        <v>10</v>
      </c>
      <c r="C1678" s="54">
        <v>45958</v>
      </c>
      <c r="D1678" s="54">
        <v>45979</v>
      </c>
      <c r="E1678" s="46" t="s">
        <v>451</v>
      </c>
      <c r="F1678" s="51" t="s">
        <v>19</v>
      </c>
      <c r="G1678" s="51" t="s">
        <v>144</v>
      </c>
      <c r="H1678" s="51" t="s">
        <v>282</v>
      </c>
      <c r="I1678" s="55">
        <v>197</v>
      </c>
      <c r="J1678" s="56">
        <v>1</v>
      </c>
      <c r="K1678" s="51" t="s">
        <v>390</v>
      </c>
      <c r="L1678" s="58">
        <v>133050.85</v>
      </c>
      <c r="M1678" s="50">
        <f>ROUND('FA Addition'!$L1678*5%,0.1)</f>
        <v>6653</v>
      </c>
      <c r="N1678" s="113" t="str">
        <f>_xlfn.XLOOKUP(_xlfn.CONCAT(E1678,B1678),'Year Wise Master Dep Approach'!F:F,'Year Wise Master Dep Approach'!D:D)</f>
        <v>WDV</v>
      </c>
      <c r="O1678" s="113">
        <f>_xlfn.XLOOKUP(_xlfn.CONCAT(E1678,B1678),'Year Wise Master Dep Approach'!F:F,'Year Wise Master Dep Approach'!E:E)</f>
        <v>3</v>
      </c>
      <c r="P1678" s="114">
        <f>IFERROR(IF('FA Addition'!$N1678="WDV",1-('FA Addition'!$M1678/'FA Addition'!$L1678)^(1/'FA Addition'!$O1678),1/'FA Addition'!$O1678),0)</f>
        <v>0.63158840521546311</v>
      </c>
      <c r="Q1678" s="122">
        <f>'FA Addition'!$P1678*'FA Addition'!$O1678</f>
        <v>1.8947652156463892</v>
      </c>
      <c r="R1678" s="122"/>
      <c r="S1678" s="116">
        <f>IF(AND(DATE(20&amp;LEFT(FAAddition[[#This Row],[FY]],2),4,1)&lt;$L$1+1,DATE(20&amp;LEFT(FAAddition[[#This Row],[FY]],2),4,1)&gt;$P$1-1),'FA Addition'!$J1678,0)</f>
        <v>0</v>
      </c>
      <c r="U1678" s="117">
        <f>S1678*'FA Addition'!$L1678/'FA Addition'!$J1678</f>
        <v>0</v>
      </c>
      <c r="W1678" s="116">
        <f>SUMIFS('FA Write off'!D:D,'FA Write off'!A:A,'FA Addition'!$A1678,'FA Write off'!C:C,"&lt;"&amp;'FA Addition'!$P$1)</f>
        <v>0</v>
      </c>
      <c r="Y1678" s="191">
        <f>IFERROR(W1678/'FA Addition'!$J1678*'FA Addition'!$L1678,0)</f>
        <v>0</v>
      </c>
      <c r="AA1678" s="116">
        <f>SUMIFS('FA Write off'!D:D,'FA Write off'!A:A,'FA Addition'!$A1678,'FA Write off'!C:C,"&lt;"&amp;'FA Addition'!$L$1+1,'FA Write off'!C:C,"&gt;"&amp;'FA Addition'!$L$1-365)</f>
        <v>0</v>
      </c>
      <c r="AC1678" s="118">
        <f>IFERROR(AA1678/'FA Addition'!$J1678*'FA Addition'!$L1678,0)</f>
        <v>0</v>
      </c>
      <c r="AE1678" s="117">
        <f>IF(AND('FA Addition'!$D1678&lt;$P$1+1,U1678=0),'FA Addition'!$L1678,0)-Y1678</f>
        <v>0</v>
      </c>
      <c r="AF1678" s="117">
        <f t="shared" si="130"/>
        <v>0</v>
      </c>
      <c r="AG1678" s="117">
        <f>MIN(MAX(+$P$1-'FA Addition'!$D1678,0),365*'FA Addition'!$O1678)</f>
        <v>0</v>
      </c>
      <c r="AH1678" s="117">
        <f>MIN(MAX($L$1-'FA Addition'!$D1678+1,0),365*'FA Addition'!$O1678)</f>
        <v>0</v>
      </c>
      <c r="AI1678" s="117" cm="1">
        <f t="array" ref="AI1678">_xlfn.XLOOKUP(1,('FA Write off'!A:A='FA Addition'!$A1678)*('FA Write off'!D:D=AA1678),'FA Write off'!H:H,0,0)</f>
        <v>0</v>
      </c>
      <c r="AJ1678" s="117">
        <f>IF(AC1678&gt;0,MAX(IF('FA Addition'!$N1678="SLM",($AC1678-'FA Addition'!$M1678)*'FA Addition'!$P1678*AI1678/365,(AC1678-'FA Addition'!$M1678)*(1-(1-'FA Addition'!$P1678)^(AI1678/365))),0),0)</f>
        <v>0</v>
      </c>
      <c r="AL1678" s="117">
        <f>MAX(IF(AG1678&gt;0,IF('FA Addition'!$N1678="SLM",($AE1678-'FA Addition'!$M1678)*'FA Addition'!$P1678*AG1678/365,IFERROR(VDB(AE1678,AE1678*0.05,'FA Addition'!$O1678,0,YEARFRAC('FA Addition'!$C1678,$P$1-1,3),'FA Addition'!$Q1678),FAAddition[[#This Row],[Original Cost (Rs)]]-FAAddition[[#This Row],[Salvage Value]])),0),0)</f>
        <v>0</v>
      </c>
      <c r="AM1678" s="119"/>
      <c r="AN1678" s="117">
        <f>MAX(IF(AH1678&gt;0,IF('FA Addition'!$N1678="SLM",($AF1678-'FA Addition'!$M1678)*'FA Addition'!$P1678*AH1678/365,IFERROR(VDB(AF1678,AF1678*0.05,'FA Addition'!$O1678,0,YEARFRAC('FA Addition'!$C1678,$L$1,3),'FA Addition'!$Q1678),FAAddition[[#This Row],[Original Cost (Rs)]]-FAAddition[[#This Row],[Salvage Value]])),0),0)</f>
        <v>0</v>
      </c>
      <c r="AO1678" s="117">
        <f t="shared" si="133"/>
        <v>0</v>
      </c>
      <c r="AQ1678" s="117">
        <f t="shared" si="131"/>
        <v>0</v>
      </c>
      <c r="AR1678" s="120">
        <f t="shared" si="132"/>
        <v>0</v>
      </c>
      <c r="AS1678" s="121"/>
    </row>
    <row r="1679" spans="1:45" ht="13.5" x14ac:dyDescent="0.4">
      <c r="A1679" s="12">
        <f t="shared" si="134"/>
        <v>1676</v>
      </c>
      <c r="B1679" s="64" t="s">
        <v>10</v>
      </c>
      <c r="C1679" s="54">
        <v>45979</v>
      </c>
      <c r="D1679" s="54">
        <v>45979</v>
      </c>
      <c r="E1679" s="46" t="s">
        <v>749</v>
      </c>
      <c r="F1679" s="51" t="s">
        <v>74</v>
      </c>
      <c r="G1679" s="51" t="s">
        <v>156</v>
      </c>
      <c r="H1679" s="51" t="s">
        <v>118</v>
      </c>
      <c r="I1679" s="55" t="s">
        <v>2095</v>
      </c>
      <c r="J1679" s="56">
        <v>1</v>
      </c>
      <c r="K1679" s="51" t="s">
        <v>2096</v>
      </c>
      <c r="L1679" s="58">
        <v>12712</v>
      </c>
      <c r="M1679" s="50">
        <f>ROUND('FA Addition'!$L1679*5%,0.1)</f>
        <v>636</v>
      </c>
      <c r="N1679" s="113" t="str">
        <f>_xlfn.XLOOKUP(_xlfn.CONCAT(E1679,B1679),'Year Wise Master Dep Approach'!F:F,'Year Wise Master Dep Approach'!D:D)</f>
        <v>WDV</v>
      </c>
      <c r="O1679" s="113">
        <f>_xlfn.XLOOKUP(_xlfn.CONCAT(E1679,B1679),'Year Wise Master Dep Approach'!F:F,'Year Wise Master Dep Approach'!E:E)</f>
        <v>5</v>
      </c>
      <c r="P1679" s="114">
        <f>IFERROR(IF('FA Addition'!$N1679="WDV",1-('FA Addition'!$M1679/'FA Addition'!$L1679)^(1/'FA Addition'!$O1679),1/'FA Addition'!$O1679),0)</f>
        <v>0.45065061040444121</v>
      </c>
      <c r="Q1679" s="122">
        <f>'FA Addition'!$P1679*'FA Addition'!$O1679</f>
        <v>2.253253052022206</v>
      </c>
      <c r="R1679" s="122"/>
      <c r="S1679" s="116">
        <f>IF(AND(DATE(20&amp;LEFT(FAAddition[[#This Row],[FY]],2),4,1)&lt;$L$1+1,DATE(20&amp;LEFT(FAAddition[[#This Row],[FY]],2),4,1)&gt;$P$1-1),'FA Addition'!$J1679,0)</f>
        <v>0</v>
      </c>
      <c r="U1679" s="117">
        <f>S1679*'FA Addition'!$L1679/'FA Addition'!$J1679</f>
        <v>0</v>
      </c>
      <c r="W1679" s="116">
        <f>SUMIFS('FA Write off'!D:D,'FA Write off'!A:A,'FA Addition'!$A1679,'FA Write off'!C:C,"&lt;"&amp;'FA Addition'!$P$1)</f>
        <v>0</v>
      </c>
      <c r="Y1679" s="191">
        <f>IFERROR(W1679/'FA Addition'!$J1679*'FA Addition'!$L1679,0)</f>
        <v>0</v>
      </c>
      <c r="AA1679" s="116">
        <f>SUMIFS('FA Write off'!D:D,'FA Write off'!A:A,'FA Addition'!$A1679,'FA Write off'!C:C,"&lt;"&amp;'FA Addition'!$L$1+1,'FA Write off'!C:C,"&gt;"&amp;'FA Addition'!$L$1-365)</f>
        <v>0</v>
      </c>
      <c r="AC1679" s="118">
        <f>IFERROR(AA1679/'FA Addition'!$J1679*'FA Addition'!$L1679,0)</f>
        <v>0</v>
      </c>
      <c r="AE1679" s="117">
        <f>IF(AND('FA Addition'!$D1679&lt;$P$1+1,U1679=0),'FA Addition'!$L1679,0)-Y1679</f>
        <v>0</v>
      </c>
      <c r="AF1679" s="117">
        <f t="shared" si="130"/>
        <v>0</v>
      </c>
      <c r="AG1679" s="117">
        <f>MIN(MAX(+$P$1-'FA Addition'!$D1679,0),365*'FA Addition'!$O1679)</f>
        <v>0</v>
      </c>
      <c r="AH1679" s="117">
        <f>MIN(MAX($L$1-'FA Addition'!$D1679+1,0),365*'FA Addition'!$O1679)</f>
        <v>0</v>
      </c>
      <c r="AI1679" s="117" cm="1">
        <f t="array" ref="AI1679">_xlfn.XLOOKUP(1,('FA Write off'!A:A='FA Addition'!$A1679)*('FA Write off'!D:D=AA1679),'FA Write off'!H:H,0,0)</f>
        <v>0</v>
      </c>
      <c r="AJ1679" s="117">
        <f>IF(AC1679&gt;0,MAX(IF('FA Addition'!$N1679="SLM",($AC1679-'FA Addition'!$M1679)*'FA Addition'!$P1679*AI1679/365,(AC1679-'FA Addition'!$M1679)*(1-(1-'FA Addition'!$P1679)^(AI1679/365))),0),0)</f>
        <v>0</v>
      </c>
      <c r="AL1679" s="117">
        <f>MAX(IF(AG1679&gt;0,IF('FA Addition'!$N1679="SLM",($AE1679-'FA Addition'!$M1679)*'FA Addition'!$P1679*AG1679/365,IFERROR(VDB(AE1679,AE1679*0.05,'FA Addition'!$O1679,0,YEARFRAC('FA Addition'!$C1679,$P$1-1,3),'FA Addition'!$Q1679),FAAddition[[#This Row],[Original Cost (Rs)]]-FAAddition[[#This Row],[Salvage Value]])),0),0)</f>
        <v>0</v>
      </c>
      <c r="AM1679" s="119"/>
      <c r="AN1679" s="117">
        <f>MAX(IF(AH1679&gt;0,IF('FA Addition'!$N1679="SLM",($AF1679-'FA Addition'!$M1679)*'FA Addition'!$P1679*AH1679/365,IFERROR(VDB(AF1679,AF1679*0.05,'FA Addition'!$O1679,0,YEARFRAC('FA Addition'!$C1679,$L$1,3),'FA Addition'!$Q1679),FAAddition[[#This Row],[Original Cost (Rs)]]-FAAddition[[#This Row],[Salvage Value]])),0),0)</f>
        <v>0</v>
      </c>
      <c r="AO1679" s="117">
        <f t="shared" si="133"/>
        <v>0</v>
      </c>
      <c r="AQ1679" s="117">
        <f t="shared" si="131"/>
        <v>0</v>
      </c>
      <c r="AR1679" s="120">
        <f t="shared" si="132"/>
        <v>0</v>
      </c>
      <c r="AS1679" s="121"/>
    </row>
    <row r="1680" spans="1:45" ht="13.5" x14ac:dyDescent="0.4">
      <c r="A1680" s="12">
        <f t="shared" si="134"/>
        <v>1677</v>
      </c>
      <c r="B1680" s="64" t="s">
        <v>10</v>
      </c>
      <c r="C1680" s="54">
        <v>45979</v>
      </c>
      <c r="D1680" s="54">
        <v>45979</v>
      </c>
      <c r="E1680" s="46" t="s">
        <v>749</v>
      </c>
      <c r="F1680" s="51" t="s">
        <v>74</v>
      </c>
      <c r="G1680" s="51" t="s">
        <v>156</v>
      </c>
      <c r="H1680" s="51" t="s">
        <v>118</v>
      </c>
      <c r="I1680" s="55" t="s">
        <v>2095</v>
      </c>
      <c r="J1680" s="56">
        <v>1</v>
      </c>
      <c r="K1680" s="51" t="s">
        <v>2096</v>
      </c>
      <c r="L1680" s="58">
        <v>12712</v>
      </c>
      <c r="M1680" s="50">
        <f>ROUND('FA Addition'!$L1680*5%,0.1)</f>
        <v>636</v>
      </c>
      <c r="N1680" s="113" t="str">
        <f>_xlfn.XLOOKUP(_xlfn.CONCAT(E1680,B1680),'Year Wise Master Dep Approach'!F:F,'Year Wise Master Dep Approach'!D:D)</f>
        <v>WDV</v>
      </c>
      <c r="O1680" s="113">
        <f>_xlfn.XLOOKUP(_xlfn.CONCAT(E1680,B1680),'Year Wise Master Dep Approach'!F:F,'Year Wise Master Dep Approach'!E:E)</f>
        <v>5</v>
      </c>
      <c r="P1680" s="114">
        <f>IFERROR(IF('FA Addition'!$N1680="WDV",1-('FA Addition'!$M1680/'FA Addition'!$L1680)^(1/'FA Addition'!$O1680),1/'FA Addition'!$O1680),0)</f>
        <v>0.45065061040444121</v>
      </c>
      <c r="Q1680" s="122">
        <f>'FA Addition'!$P1680*'FA Addition'!$O1680</f>
        <v>2.253253052022206</v>
      </c>
      <c r="R1680" s="122"/>
      <c r="S1680" s="116">
        <f>IF(AND(DATE(20&amp;LEFT(FAAddition[[#This Row],[FY]],2),4,1)&lt;$L$1+1,DATE(20&amp;LEFT(FAAddition[[#This Row],[FY]],2),4,1)&gt;$P$1-1),'FA Addition'!$J1680,0)</f>
        <v>0</v>
      </c>
      <c r="U1680" s="117">
        <f>S1680*'FA Addition'!$L1680/'FA Addition'!$J1680</f>
        <v>0</v>
      </c>
      <c r="W1680" s="116">
        <f>SUMIFS('FA Write off'!D:D,'FA Write off'!A:A,'FA Addition'!$A1680,'FA Write off'!C:C,"&lt;"&amp;'FA Addition'!$P$1)</f>
        <v>0</v>
      </c>
      <c r="Y1680" s="191">
        <f>IFERROR(W1680/'FA Addition'!$J1680*'FA Addition'!$L1680,0)</f>
        <v>0</v>
      </c>
      <c r="AA1680" s="116">
        <f>SUMIFS('FA Write off'!D:D,'FA Write off'!A:A,'FA Addition'!$A1680,'FA Write off'!C:C,"&lt;"&amp;'FA Addition'!$L$1+1,'FA Write off'!C:C,"&gt;"&amp;'FA Addition'!$L$1-365)</f>
        <v>0</v>
      </c>
      <c r="AC1680" s="118">
        <f>IFERROR(AA1680/'FA Addition'!$J1680*'FA Addition'!$L1680,0)</f>
        <v>0</v>
      </c>
      <c r="AE1680" s="117">
        <f>IF(AND('FA Addition'!$D1680&lt;$P$1+1,U1680=0),'FA Addition'!$L1680,0)-Y1680</f>
        <v>0</v>
      </c>
      <c r="AF1680" s="117">
        <f t="shared" si="130"/>
        <v>0</v>
      </c>
      <c r="AG1680" s="117">
        <f>MIN(MAX(+$P$1-'FA Addition'!$D1680,0),365*'FA Addition'!$O1680)</f>
        <v>0</v>
      </c>
      <c r="AH1680" s="117">
        <f>MIN(MAX($L$1-'FA Addition'!$D1680+1,0),365*'FA Addition'!$O1680)</f>
        <v>0</v>
      </c>
      <c r="AI1680" s="117" cm="1">
        <f t="array" ref="AI1680">_xlfn.XLOOKUP(1,('FA Write off'!A:A='FA Addition'!$A1680)*('FA Write off'!D:D=AA1680),'FA Write off'!H:H,0,0)</f>
        <v>0</v>
      </c>
      <c r="AJ1680" s="117">
        <f>IF(AC1680&gt;0,MAX(IF('FA Addition'!$N1680="SLM",($AC1680-'FA Addition'!$M1680)*'FA Addition'!$P1680*AI1680/365,(AC1680-'FA Addition'!$M1680)*(1-(1-'FA Addition'!$P1680)^(AI1680/365))),0),0)</f>
        <v>0</v>
      </c>
      <c r="AL1680" s="117">
        <f>MAX(IF(AG1680&gt;0,IF('FA Addition'!$N1680="SLM",($AE1680-'FA Addition'!$M1680)*'FA Addition'!$P1680*AG1680/365,IFERROR(VDB(AE1680,AE1680*0.05,'FA Addition'!$O1680,0,YEARFRAC('FA Addition'!$C1680,$P$1-1,3),'FA Addition'!$Q1680),FAAddition[[#This Row],[Original Cost (Rs)]]-FAAddition[[#This Row],[Salvage Value]])),0),0)</f>
        <v>0</v>
      </c>
      <c r="AM1680" s="119"/>
      <c r="AN1680" s="117">
        <f>MAX(IF(AH1680&gt;0,IF('FA Addition'!$N1680="SLM",($AF1680-'FA Addition'!$M1680)*'FA Addition'!$P1680*AH1680/365,IFERROR(VDB(AF1680,AF1680*0.05,'FA Addition'!$O1680,0,YEARFRAC('FA Addition'!$C1680,$L$1,3),'FA Addition'!$Q1680),FAAddition[[#This Row],[Original Cost (Rs)]]-FAAddition[[#This Row],[Salvage Value]])),0),0)</f>
        <v>0</v>
      </c>
      <c r="AO1680" s="117">
        <f t="shared" si="133"/>
        <v>0</v>
      </c>
      <c r="AQ1680" s="117">
        <f t="shared" si="131"/>
        <v>0</v>
      </c>
      <c r="AR1680" s="120">
        <f t="shared" si="132"/>
        <v>0</v>
      </c>
      <c r="AS1680" s="121"/>
    </row>
    <row r="1681" spans="1:45" ht="13.5" x14ac:dyDescent="0.4">
      <c r="A1681" s="12">
        <f t="shared" si="134"/>
        <v>1678</v>
      </c>
      <c r="B1681" s="64" t="s">
        <v>10</v>
      </c>
      <c r="C1681" s="54">
        <v>45979</v>
      </c>
      <c r="D1681" s="54">
        <v>45979</v>
      </c>
      <c r="E1681" s="46" t="s">
        <v>749</v>
      </c>
      <c r="F1681" s="51" t="s">
        <v>74</v>
      </c>
      <c r="G1681" s="51" t="s">
        <v>156</v>
      </c>
      <c r="H1681" s="51" t="s">
        <v>118</v>
      </c>
      <c r="I1681" s="55" t="s">
        <v>2095</v>
      </c>
      <c r="J1681" s="56">
        <v>1</v>
      </c>
      <c r="K1681" s="51" t="s">
        <v>2096</v>
      </c>
      <c r="L1681" s="58">
        <v>12712</v>
      </c>
      <c r="M1681" s="50">
        <f>ROUND('FA Addition'!$L1681*5%,0.1)</f>
        <v>636</v>
      </c>
      <c r="N1681" s="113" t="str">
        <f>_xlfn.XLOOKUP(_xlfn.CONCAT(E1681,B1681),'Year Wise Master Dep Approach'!F:F,'Year Wise Master Dep Approach'!D:D)</f>
        <v>WDV</v>
      </c>
      <c r="O1681" s="113">
        <f>_xlfn.XLOOKUP(_xlfn.CONCAT(E1681,B1681),'Year Wise Master Dep Approach'!F:F,'Year Wise Master Dep Approach'!E:E)</f>
        <v>5</v>
      </c>
      <c r="P1681" s="114">
        <f>IFERROR(IF('FA Addition'!$N1681="WDV",1-('FA Addition'!$M1681/'FA Addition'!$L1681)^(1/'FA Addition'!$O1681),1/'FA Addition'!$O1681),0)</f>
        <v>0.45065061040444121</v>
      </c>
      <c r="Q1681" s="122">
        <f>'FA Addition'!$P1681*'FA Addition'!$O1681</f>
        <v>2.253253052022206</v>
      </c>
      <c r="R1681" s="122"/>
      <c r="S1681" s="116">
        <f>IF(AND(DATE(20&amp;LEFT(FAAddition[[#This Row],[FY]],2),4,1)&lt;$L$1+1,DATE(20&amp;LEFT(FAAddition[[#This Row],[FY]],2),4,1)&gt;$P$1-1),'FA Addition'!$J1681,0)</f>
        <v>0</v>
      </c>
      <c r="U1681" s="117">
        <f>S1681*'FA Addition'!$L1681/'FA Addition'!$J1681</f>
        <v>0</v>
      </c>
      <c r="W1681" s="116">
        <f>SUMIFS('FA Write off'!D:D,'FA Write off'!A:A,'FA Addition'!$A1681,'FA Write off'!C:C,"&lt;"&amp;'FA Addition'!$P$1)</f>
        <v>0</v>
      </c>
      <c r="Y1681" s="191">
        <f>IFERROR(W1681/'FA Addition'!$J1681*'FA Addition'!$L1681,0)</f>
        <v>0</v>
      </c>
      <c r="AA1681" s="116">
        <f>SUMIFS('FA Write off'!D:D,'FA Write off'!A:A,'FA Addition'!$A1681,'FA Write off'!C:C,"&lt;"&amp;'FA Addition'!$L$1+1,'FA Write off'!C:C,"&gt;"&amp;'FA Addition'!$L$1-365)</f>
        <v>0</v>
      </c>
      <c r="AC1681" s="118">
        <f>IFERROR(AA1681/'FA Addition'!$J1681*'FA Addition'!$L1681,0)</f>
        <v>0</v>
      </c>
      <c r="AE1681" s="117">
        <f>IF(AND('FA Addition'!$D1681&lt;$P$1+1,U1681=0),'FA Addition'!$L1681,0)-Y1681</f>
        <v>0</v>
      </c>
      <c r="AF1681" s="117">
        <f t="shared" si="130"/>
        <v>0</v>
      </c>
      <c r="AG1681" s="117">
        <f>MIN(MAX(+$P$1-'FA Addition'!$D1681,0),365*'FA Addition'!$O1681)</f>
        <v>0</v>
      </c>
      <c r="AH1681" s="117">
        <f>MIN(MAX($L$1-'FA Addition'!$D1681+1,0),365*'FA Addition'!$O1681)</f>
        <v>0</v>
      </c>
      <c r="AI1681" s="117" cm="1">
        <f t="array" ref="AI1681">_xlfn.XLOOKUP(1,('FA Write off'!A:A='FA Addition'!$A1681)*('FA Write off'!D:D=AA1681),'FA Write off'!H:H,0,0)</f>
        <v>0</v>
      </c>
      <c r="AJ1681" s="117">
        <f>IF(AC1681&gt;0,MAX(IF('FA Addition'!$N1681="SLM",($AC1681-'FA Addition'!$M1681)*'FA Addition'!$P1681*AI1681/365,(AC1681-'FA Addition'!$M1681)*(1-(1-'FA Addition'!$P1681)^(AI1681/365))),0),0)</f>
        <v>0</v>
      </c>
      <c r="AL1681" s="117">
        <f>MAX(IF(AG1681&gt;0,IF('FA Addition'!$N1681="SLM",($AE1681-'FA Addition'!$M1681)*'FA Addition'!$P1681*AG1681/365,IFERROR(VDB(AE1681,AE1681*0.05,'FA Addition'!$O1681,0,YEARFRAC('FA Addition'!$C1681,$P$1-1,3),'FA Addition'!$Q1681),FAAddition[[#This Row],[Original Cost (Rs)]]-FAAddition[[#This Row],[Salvage Value]])),0),0)</f>
        <v>0</v>
      </c>
      <c r="AM1681" s="119"/>
      <c r="AN1681" s="117">
        <f>MAX(IF(AH1681&gt;0,IF('FA Addition'!$N1681="SLM",($AF1681-'FA Addition'!$M1681)*'FA Addition'!$P1681*AH1681/365,IFERROR(VDB(AF1681,AF1681*0.05,'FA Addition'!$O1681,0,YEARFRAC('FA Addition'!$C1681,$L$1,3),'FA Addition'!$Q1681),FAAddition[[#This Row],[Original Cost (Rs)]]-FAAddition[[#This Row],[Salvage Value]])),0),0)</f>
        <v>0</v>
      </c>
      <c r="AO1681" s="117">
        <f t="shared" si="133"/>
        <v>0</v>
      </c>
      <c r="AQ1681" s="117">
        <f t="shared" si="131"/>
        <v>0</v>
      </c>
      <c r="AR1681" s="120">
        <f t="shared" si="132"/>
        <v>0</v>
      </c>
      <c r="AS1681" s="121"/>
    </row>
    <row r="1682" spans="1:45" x14ac:dyDescent="0.4">
      <c r="A1682" s="12">
        <f>A1681+1</f>
        <v>1679</v>
      </c>
      <c r="B1682" s="86" t="s">
        <v>439</v>
      </c>
      <c r="C1682" s="54">
        <v>42095</v>
      </c>
      <c r="D1682" s="54">
        <v>42095</v>
      </c>
      <c r="E1682" s="87" t="s">
        <v>2124</v>
      </c>
      <c r="F1682" s="87" t="s">
        <v>2129</v>
      </c>
      <c r="G1682" s="87"/>
      <c r="H1682" s="88"/>
      <c r="I1682" s="87"/>
      <c r="J1682" s="89">
        <v>1</v>
      </c>
      <c r="K1682" s="87" t="s">
        <v>2129</v>
      </c>
      <c r="L1682" s="90">
        <v>6500</v>
      </c>
      <c r="M1682" s="50">
        <v>0</v>
      </c>
      <c r="N1682" s="113" t="str">
        <f>_xlfn.XLOOKUP(_xlfn.CONCAT(E1682,B1682),'Year Wise Master Dep Approach'!F:F,'Year Wise Master Dep Approach'!D:D)</f>
        <v>SLM</v>
      </c>
      <c r="O1682" s="113">
        <f>_xlfn.XLOOKUP(_xlfn.CONCAT(E1682,B1682),'Year Wise Master Dep Approach'!F:F,'Year Wise Master Dep Approach'!E:E)</f>
        <v>5</v>
      </c>
      <c r="P1682" s="125">
        <f>IFERROR(IF('FA Addition'!$N1682="WDV",1-('FA Addition'!$M1682/'FA Addition'!$L1682)^(1/'FA Addition'!$O1682),1/'FA Addition'!$O1682),0)</f>
        <v>0.2</v>
      </c>
      <c r="Q1682" s="122">
        <f>'FA Addition'!$P1682*'FA Addition'!$O1682</f>
        <v>1</v>
      </c>
      <c r="S1682" s="116">
        <f>IF(AND(DATE(20&amp;LEFT(FAAddition[[#This Row],[FY]],2),4,1)&lt;$L$1+1,DATE(20&amp;LEFT(FAAddition[[#This Row],[FY]],2),4,1)&gt;$P$1-1),'FA Addition'!$J1682,0)</f>
        <v>0</v>
      </c>
      <c r="U1682" s="117">
        <f>S1682*'FA Addition'!$L1682/'FA Addition'!$J1682</f>
        <v>0</v>
      </c>
      <c r="W1682" s="116">
        <f>SUMIFS('FA Write off'!D:D,'FA Write off'!A:A,'FA Addition'!$A1682,'FA Write off'!C:C,"&lt;"&amp;'FA Addition'!$P$1)</f>
        <v>1</v>
      </c>
      <c r="Y1682" s="191">
        <f>IFERROR(W1682/'FA Addition'!$J1682*'FA Addition'!$L1682,0)</f>
        <v>6500</v>
      </c>
      <c r="AA1682" s="116">
        <f>SUMIFS('FA Write off'!D:D,'FA Write off'!A:A,'FA Addition'!$A1682,'FA Write off'!C:C,"&lt;"&amp;'FA Addition'!$L$1+1,'FA Write off'!C:C,"&gt;"&amp;'FA Addition'!$L$1-365)</f>
        <v>0</v>
      </c>
      <c r="AC1682" s="118">
        <f>IFERROR(AA1682/'FA Addition'!$J1682*'FA Addition'!$L1682,0)</f>
        <v>0</v>
      </c>
      <c r="AE1682" s="117">
        <f>IF(AND('FA Addition'!$D1682&lt;$P$1+1,U1682=0),'FA Addition'!$L1682,0)-Y1682</f>
        <v>0</v>
      </c>
      <c r="AF1682" s="117">
        <f>AE1682+U1682-AC1682</f>
        <v>0</v>
      </c>
      <c r="AG1682" s="117">
        <f>ROUND(MIN(MAX(+$P$1-'FA Addition'!$D1682,0),365*'FA Addition'!$O1682)/365,1)*365</f>
        <v>1825</v>
      </c>
      <c r="AH1682" s="126">
        <f>ROUND(MIN(MAX($L$1-'FA Addition'!$D1682+1,0),365*'FA Addition'!$O1682)/365,1)*365</f>
        <v>1825</v>
      </c>
      <c r="AI1682" s="117" cm="1">
        <f t="array" ref="AI1682">_xlfn.XLOOKUP(1,('FA Write off'!A:A='FA Addition'!$A1682)*('FA Write off'!D:D=AA1682),'FA Write off'!H:H,0,0)</f>
        <v>0</v>
      </c>
      <c r="AJ1682" s="117">
        <f>IF(AC1682&gt;0,MAX(IF('FA Addition'!$N1682="SLM",($AC1682-'FA Addition'!$M1682)*'FA Addition'!$P1682*AI1682/365,(AC1682-'FA Addition'!$M1682)*(1-(1-'FA Addition'!$P1682)^(AI1682/365))),0),0)</f>
        <v>0</v>
      </c>
      <c r="AL1682" s="117">
        <f>MAX(IF(AG1682&gt;0,IF('FA Addition'!$N1682="SLM",($AE1682-'FA Addition'!$M1682)*'FA Addition'!$P1682*AG1682/365,IFERROR(VDB(AE1682,AE1682*0.05,'FA Addition'!$O1682,0,YEARFRAC('FA Addition'!$C1682,$P$1-1,3),'FA Addition'!$Q1682),FAAddition[[#This Row],[Original Cost (Rs)]]-FAAddition[[#This Row],[Salvage Value]])),0),0)</f>
        <v>0</v>
      </c>
      <c r="AM1682" s="119"/>
      <c r="AN1682" s="117">
        <f>MAX(IF(AH1682&gt;0,IF('FA Addition'!$N1682="SLM",($AF1682-'FA Addition'!$M1682)*'FA Addition'!$P1682*AH1682/365,IFERROR(VDB(AF1682,AF1682*0.05,'FA Addition'!$O1682,0,YEARFRAC('FA Addition'!$C1682,$L$1,3),'FA Addition'!$Q1682),FAAddition[[#This Row],[Original Cost (Rs)]]-FAAddition[[#This Row],[Salvage Value]])),0),0)</f>
        <v>0</v>
      </c>
      <c r="AO1682" s="117">
        <f t="shared" si="133"/>
        <v>0</v>
      </c>
      <c r="AQ1682" s="117">
        <f>AE1682-AL1682</f>
        <v>0</v>
      </c>
      <c r="AR1682" s="120">
        <f>AF1682-AN1682</f>
        <v>0</v>
      </c>
      <c r="AS1682" s="121"/>
    </row>
    <row r="1683" spans="1:45" x14ac:dyDescent="0.4">
      <c r="A1683" s="12">
        <f>A1682+1</f>
        <v>1680</v>
      </c>
      <c r="B1683" s="86" t="s">
        <v>439</v>
      </c>
      <c r="C1683" s="54">
        <v>42095</v>
      </c>
      <c r="D1683" s="54">
        <v>42095</v>
      </c>
      <c r="E1683" s="44" t="s">
        <v>2125</v>
      </c>
      <c r="F1683" s="44" t="s">
        <v>2130</v>
      </c>
      <c r="G1683" s="44"/>
      <c r="H1683" s="51"/>
      <c r="I1683" s="44"/>
      <c r="J1683" s="48">
        <v>1</v>
      </c>
      <c r="K1683" s="44" t="s">
        <v>2130</v>
      </c>
      <c r="L1683" s="85">
        <v>142500</v>
      </c>
      <c r="M1683" s="50">
        <v>0</v>
      </c>
      <c r="N1683" s="113" t="str">
        <f>_xlfn.XLOOKUP(_xlfn.CONCAT(E1683,B1683),'Year Wise Master Dep Approach'!F:F,'Year Wise Master Dep Approach'!D:D)</f>
        <v>SLM</v>
      </c>
      <c r="O1683" s="113">
        <f>_xlfn.XLOOKUP(_xlfn.CONCAT(E1683,B1683),'Year Wise Master Dep Approach'!F:F,'Year Wise Master Dep Approach'!E:E)</f>
        <v>10</v>
      </c>
      <c r="P1683" s="125">
        <f>IFERROR(IF('FA Addition'!$N1683="WDV",1-('FA Addition'!$M1683/'FA Addition'!$L1683)^(1/'FA Addition'!$O1683),1/'FA Addition'!$O1683),0)</f>
        <v>0.1</v>
      </c>
      <c r="Q1683" s="122">
        <f>'FA Addition'!$P1683*'FA Addition'!$O1683</f>
        <v>1</v>
      </c>
      <c r="S1683" s="116">
        <f>IF(AND(DATE(20&amp;LEFT(FAAddition[[#This Row],[FY]],2),4,1)&lt;$L$1+1,DATE(20&amp;LEFT(FAAddition[[#This Row],[FY]],2),4,1)&gt;$P$1-1),'FA Addition'!$J1683,0)</f>
        <v>0</v>
      </c>
      <c r="U1683" s="117">
        <f>S1683*'FA Addition'!$L1683/'FA Addition'!$J1683</f>
        <v>0</v>
      </c>
      <c r="W1683" s="116">
        <f>SUMIFS('FA Write off'!D:D,'FA Write off'!A:A,'FA Addition'!$A1683,'FA Write off'!C:C,"&lt;"&amp;'FA Addition'!$P$1)</f>
        <v>1</v>
      </c>
      <c r="Y1683" s="191">
        <f>IFERROR(W1683/'FA Addition'!$J1683*'FA Addition'!$L1683,0)</f>
        <v>142500</v>
      </c>
      <c r="AA1683" s="116">
        <f>SUMIFS('FA Write off'!D:D,'FA Write off'!A:A,'FA Addition'!$A1683,'FA Write off'!C:C,"&lt;"&amp;'FA Addition'!$L$1+1,'FA Write off'!C:C,"&gt;"&amp;'FA Addition'!$L$1-365)</f>
        <v>0</v>
      </c>
      <c r="AC1683" s="118">
        <f>IFERROR(AA1683/'FA Addition'!$J1683*'FA Addition'!$L1683,0)</f>
        <v>0</v>
      </c>
      <c r="AE1683" s="117">
        <f>IF(AND('FA Addition'!$D1683&lt;$P$1+1,U1683=0),'FA Addition'!$L1683,0)-Y1683</f>
        <v>0</v>
      </c>
      <c r="AF1683" s="117">
        <f>AE1683+U1683-AC1683</f>
        <v>0</v>
      </c>
      <c r="AG1683" s="117">
        <f>ROUND(MIN(MAX(+$P$1-'FA Addition'!$D1683,0),365*'FA Addition'!$O1683)/365,1)*365</f>
        <v>2920</v>
      </c>
      <c r="AH1683" s="126">
        <f>ROUND(MIN(MAX($L$1-'FA Addition'!$D1683+1,0),365*'FA Addition'!$O1683)/365,1)*365</f>
        <v>3285</v>
      </c>
      <c r="AI1683" s="117" cm="1">
        <f t="array" ref="AI1683">_xlfn.XLOOKUP(1,('FA Write off'!A:A='FA Addition'!$A1683)*('FA Write off'!D:D=AA1683),'FA Write off'!H:H,0,0)</f>
        <v>0</v>
      </c>
      <c r="AJ1683" s="117">
        <f>IF(AC1683&gt;0,MAX(IF('FA Addition'!$N1683="SLM",($AC1683-'FA Addition'!$M1683)*'FA Addition'!$P1683*AI1683/365,(AC1683-'FA Addition'!$M1683)*(1-(1-'FA Addition'!$P1683)^(AI1683/365))),0),0)</f>
        <v>0</v>
      </c>
      <c r="AL1683" s="117">
        <f>MAX(IF(AG1683&gt;0,IF('FA Addition'!$N1683="SLM",($AE1683-'FA Addition'!$M1683)*'FA Addition'!$P1683*AG1683/365,IFERROR(VDB(AE1683,AE1683*0.05,'FA Addition'!$O1683,0,YEARFRAC('FA Addition'!$C1683,$P$1-1,3),'FA Addition'!$Q1683),FAAddition[[#This Row],[Original Cost (Rs)]]-FAAddition[[#This Row],[Salvage Value]])),0),0)</f>
        <v>0</v>
      </c>
      <c r="AM1683" s="119"/>
      <c r="AN1683" s="117">
        <f>MAX(IF(AH1683&gt;0,IF('FA Addition'!$N1683="SLM",($AF1683-'FA Addition'!$M1683)*'FA Addition'!$P1683*AH1683/365,IFERROR(VDB(AF1683,AF1683*0.05,'FA Addition'!$O1683,0,YEARFRAC('FA Addition'!$C1683,$L$1,3),'FA Addition'!$Q1683),FAAddition[[#This Row],[Original Cost (Rs)]]-FAAddition[[#This Row],[Salvage Value]])),0),0)</f>
        <v>0</v>
      </c>
      <c r="AO1683" s="117">
        <f t="shared" si="133"/>
        <v>0</v>
      </c>
      <c r="AQ1683" s="117">
        <f>AE1683-AL1683</f>
        <v>0</v>
      </c>
      <c r="AR1683" s="120">
        <f>AF1683-AN1683</f>
        <v>0</v>
      </c>
      <c r="AS1683" s="121"/>
    </row>
    <row r="1684" spans="1:45" x14ac:dyDescent="0.4">
      <c r="A1684" s="12">
        <f>A1683+1</f>
        <v>1681</v>
      </c>
      <c r="B1684" s="86" t="s">
        <v>439</v>
      </c>
      <c r="C1684" s="54">
        <v>42095</v>
      </c>
      <c r="D1684" s="54">
        <v>42095</v>
      </c>
      <c r="E1684" s="44" t="s">
        <v>2127</v>
      </c>
      <c r="F1684" s="44" t="s">
        <v>2127</v>
      </c>
      <c r="G1684" s="44"/>
      <c r="H1684" s="51"/>
      <c r="I1684" s="44"/>
      <c r="J1684" s="48">
        <v>1</v>
      </c>
      <c r="K1684" s="44" t="s">
        <v>2127</v>
      </c>
      <c r="L1684" s="85">
        <v>647385</v>
      </c>
      <c r="M1684" s="50">
        <v>0</v>
      </c>
      <c r="N1684" s="12">
        <f>VLOOKUP('FA Addition'!$E1684,'FA Schedule'!$C:$F,2,FALSE)</f>
        <v>0</v>
      </c>
      <c r="O1684" s="12">
        <v>0</v>
      </c>
      <c r="P1684" s="125">
        <f>IFERROR(IF('FA Addition'!$N1684="WDV",1-('FA Addition'!$M1684/'FA Addition'!$L1684)^(1/'FA Addition'!$O1684),1/'FA Addition'!$O1684),0)</f>
        <v>0</v>
      </c>
      <c r="Q1684" s="122">
        <f>'FA Addition'!$P1684*'FA Addition'!$O1684</f>
        <v>0</v>
      </c>
      <c r="S1684" s="116">
        <f>IF(AND(DATE(20&amp;LEFT(FAAddition[[#This Row],[FY]],2),4,1)&lt;$L$1+1,DATE(20&amp;LEFT(FAAddition[[#This Row],[FY]],2),4,1)&gt;$P$1-1),'FA Addition'!$J1684,0)</f>
        <v>0</v>
      </c>
      <c r="U1684" s="117">
        <f>S1684*'FA Addition'!$L1684/'FA Addition'!$J1684</f>
        <v>0</v>
      </c>
      <c r="W1684" s="116">
        <f>SUMIFS('FA Write off'!D:D,'FA Write off'!A:A,'FA Addition'!$A1684,'FA Write off'!C:C,"&lt;"&amp;'FA Addition'!$P$1)</f>
        <v>1</v>
      </c>
      <c r="Y1684" s="191">
        <f>IFERROR(W1684/'FA Addition'!$J1684*'FA Addition'!$L1684,0)</f>
        <v>647385</v>
      </c>
      <c r="AA1684" s="116">
        <f>SUMIFS('FA Write off'!D:D,'FA Write off'!A:A,'FA Addition'!$A1684,'FA Write off'!C:C,"&lt;"&amp;'FA Addition'!$L$1+1,'FA Write off'!C:C,"&gt;"&amp;'FA Addition'!$L$1-365)</f>
        <v>0</v>
      </c>
      <c r="AC1684" s="118">
        <f>IFERROR(AA1684/'FA Addition'!$J1684*'FA Addition'!$L1684,0)</f>
        <v>0</v>
      </c>
      <c r="AE1684" s="117">
        <f>IF(AND('FA Addition'!$D1684&lt;$P$1+1,U1684=0),'FA Addition'!$L1684,0)-Y1684</f>
        <v>0</v>
      </c>
      <c r="AF1684" s="117">
        <f>AE1684+U1684-AC1684</f>
        <v>0</v>
      </c>
      <c r="AG1684" s="117">
        <f>ROUND(MIN(MAX(+$P$1-'FA Addition'!$D1684,0),365*'FA Addition'!$O1684)/365,1)*365</f>
        <v>0</v>
      </c>
      <c r="AH1684" s="126">
        <f>ROUND(MIN(MAX($L$1-'FA Addition'!$D1684+1,0),365*'FA Addition'!$O1684)/365,1)*365</f>
        <v>0</v>
      </c>
      <c r="AI1684" s="117" cm="1">
        <f t="array" ref="AI1684">_xlfn.XLOOKUP(1,('FA Write off'!A:A='FA Addition'!$A1684)*('FA Write off'!D:D=AA1684),'FA Write off'!H:H,0,0)</f>
        <v>0</v>
      </c>
      <c r="AJ1684" s="117">
        <f>IF(AC1684&gt;0,MAX(IF('FA Addition'!$N1684="SLM",($AC1684-'FA Addition'!$M1684)*'FA Addition'!$P1684*AI1684/365,(AC1684-'FA Addition'!$M1684)*(1-(1-'FA Addition'!$P1684)^(AI1684/365))),0),0)</f>
        <v>0</v>
      </c>
      <c r="AL1684" s="117">
        <f>MAX(IF(AG1684&gt;0,IF('FA Addition'!$N1684="SLM",($AE1684-'FA Addition'!$M1684)*'FA Addition'!$P1684*AG1684/365,IFERROR(VDB(AE1684,AE1684*0.05,'FA Addition'!$O1684,0,YEARFRAC('FA Addition'!$C1684,$P$1-1,3),'FA Addition'!$Q1684),FAAddition[[#This Row],[Original Cost (Rs)]]-FAAddition[[#This Row],[Salvage Value]])),0),0)</f>
        <v>0</v>
      </c>
      <c r="AM1684" s="119"/>
      <c r="AN1684" s="117">
        <f>MAX(IF(AH1684&gt;0,IF('FA Addition'!$N1684="SLM",($AF1684-'FA Addition'!$M1684)*'FA Addition'!$P1684*AH1684/365,IFERROR(VDB(AF1684,AF1684*0.05,'FA Addition'!$O1684,0,YEARFRAC('FA Addition'!$C1684,$L$1,3),'FA Addition'!$Q1684),FAAddition[[#This Row],[Original Cost (Rs)]]-FAAddition[[#This Row],[Salvage Value]])),0),0)</f>
        <v>0</v>
      </c>
      <c r="AO1684" s="117">
        <f t="shared" si="133"/>
        <v>0</v>
      </c>
      <c r="AQ1684" s="117">
        <f>AE1684-AL1684</f>
        <v>0</v>
      </c>
      <c r="AR1684" s="120">
        <f>AF1684-AN1684</f>
        <v>0</v>
      </c>
      <c r="AS1684" s="121"/>
    </row>
    <row r="1685" spans="1:45" x14ac:dyDescent="0.4">
      <c r="A1685" s="12">
        <f>A1684+1</f>
        <v>1682</v>
      </c>
      <c r="B1685" s="86" t="s">
        <v>439</v>
      </c>
      <c r="C1685" s="54">
        <v>42095</v>
      </c>
      <c r="D1685" s="54">
        <v>42095</v>
      </c>
      <c r="E1685" s="44" t="s">
        <v>2128</v>
      </c>
      <c r="F1685" s="44" t="s">
        <v>2128</v>
      </c>
      <c r="G1685" s="44"/>
      <c r="H1685" s="51"/>
      <c r="I1685" s="44"/>
      <c r="J1685" s="48">
        <v>1</v>
      </c>
      <c r="K1685" s="44" t="s">
        <v>2128</v>
      </c>
      <c r="L1685" s="85">
        <v>1548821</v>
      </c>
      <c r="M1685" s="50">
        <v>0</v>
      </c>
      <c r="N1685" s="12">
        <f>VLOOKUP('FA Addition'!$E1685,'FA Schedule'!$C:$F,2,FALSE)</f>
        <v>0</v>
      </c>
      <c r="O1685" s="12">
        <v>0</v>
      </c>
      <c r="P1685" s="125">
        <f>IFERROR(IF('FA Addition'!$N1685="WDV",1-('FA Addition'!$M1685/'FA Addition'!$L1685)^(1/'FA Addition'!$O1685),1/'FA Addition'!$O1685),0)</f>
        <v>0</v>
      </c>
      <c r="Q1685" s="122">
        <f>'FA Addition'!$P1685*'FA Addition'!$O1685</f>
        <v>0</v>
      </c>
      <c r="S1685" s="116">
        <f>IF(AND(DATE(20&amp;LEFT(FAAddition[[#This Row],[FY]],2),4,1)&lt;$L$1+1,DATE(20&amp;LEFT(FAAddition[[#This Row],[FY]],2),4,1)&gt;$P$1-1),'FA Addition'!$J1685,0)</f>
        <v>0</v>
      </c>
      <c r="U1685" s="117">
        <f>S1685*'FA Addition'!$L1685/'FA Addition'!$J1685</f>
        <v>0</v>
      </c>
      <c r="W1685" s="116">
        <f>SUMIFS('FA Write off'!D:D,'FA Write off'!A:A,'FA Addition'!$A1685,'FA Write off'!C:C,"&lt;"&amp;'FA Addition'!$P$1)</f>
        <v>1</v>
      </c>
      <c r="Y1685" s="191">
        <f>IFERROR(W1685/'FA Addition'!$J1685*'FA Addition'!$L1685,0)</f>
        <v>1548821</v>
      </c>
      <c r="AA1685" s="116">
        <f>SUMIFS('FA Write off'!D:D,'FA Write off'!A:A,'FA Addition'!$A1685,'FA Write off'!C:C,"&lt;"&amp;'FA Addition'!$L$1+1,'FA Write off'!C:C,"&gt;"&amp;'FA Addition'!$L$1-365)</f>
        <v>0</v>
      </c>
      <c r="AC1685" s="118">
        <f>IFERROR(AA1685/'FA Addition'!$J1685*'FA Addition'!$L1685,0)</f>
        <v>0</v>
      </c>
      <c r="AE1685" s="117">
        <f>IF(AND('FA Addition'!$D1685&lt;$P$1+1,U1685=0),'FA Addition'!$L1685,0)-Y1685</f>
        <v>0</v>
      </c>
      <c r="AF1685" s="117">
        <f>AE1685+U1685-AC1685</f>
        <v>0</v>
      </c>
      <c r="AG1685" s="117">
        <f>ROUND(MIN(MAX(+$P$1-'FA Addition'!$D1685,0),365*'FA Addition'!$O1685)/365,1)*365</f>
        <v>0</v>
      </c>
      <c r="AH1685" s="126">
        <f>ROUND(MIN(MAX($L$1-'FA Addition'!$D1685+1,0),365*'FA Addition'!$O1685)/365,1)*365</f>
        <v>0</v>
      </c>
      <c r="AI1685" s="117" cm="1">
        <f t="array" ref="AI1685">_xlfn.XLOOKUP(1,('FA Write off'!A:A='FA Addition'!$A1685)*('FA Write off'!D:D=AA1685),'FA Write off'!H:H,0,0)</f>
        <v>0</v>
      </c>
      <c r="AJ1685" s="117">
        <f>IF(AC1685&gt;0,MAX(IF('FA Addition'!$N1685="SLM",($AC1685-'FA Addition'!$M1685)*'FA Addition'!$P1685*AI1685/365,(AC1685-'FA Addition'!$M1685)*(1-(1-'FA Addition'!$P1685)^(AI1685/365))),0),0)</f>
        <v>0</v>
      </c>
      <c r="AL1685" s="117">
        <f>MAX(IF(AG1685&gt;0,IF('FA Addition'!$N1685="SLM",($AE1685-'FA Addition'!$M1685)*'FA Addition'!$P1685*AG1685/365,IFERROR(VDB(AE1685,AE1685*0.05,'FA Addition'!$O1685,0,YEARFRAC('FA Addition'!$C1685,$P$1-1,3),'FA Addition'!$Q1685),FAAddition[[#This Row],[Original Cost (Rs)]]-FAAddition[[#This Row],[Salvage Value]])),0),0)</f>
        <v>0</v>
      </c>
      <c r="AM1685" s="119"/>
      <c r="AN1685" s="117">
        <f>MAX(IF(AH1685&gt;0,IF('FA Addition'!$N1685="SLM",($AF1685-'FA Addition'!$M1685)*'FA Addition'!$P1685*AH1685/365,IFERROR(VDB(AF1685,AF1685*0.05,'FA Addition'!$O1685,0,YEARFRAC('FA Addition'!$C1685,$L$1,3),'FA Addition'!$Q1685),FAAddition[[#This Row],[Original Cost (Rs)]]-FAAddition[[#This Row],[Salvage Value]])),0),0)</f>
        <v>0</v>
      </c>
      <c r="AO1685" s="117">
        <f t="shared" si="133"/>
        <v>0</v>
      </c>
      <c r="AQ1685" s="117">
        <f>AE1685-AL1685</f>
        <v>0</v>
      </c>
      <c r="AR1685" s="120">
        <f>AF1685-AN1685</f>
        <v>0</v>
      </c>
      <c r="AS1685" s="121"/>
    </row>
    <row r="1686" spans="1:45" x14ac:dyDescent="0.4">
      <c r="A1686" s="12">
        <f>A1685+1</f>
        <v>1683</v>
      </c>
      <c r="B1686" s="86" t="s">
        <v>559</v>
      </c>
      <c r="C1686" s="54">
        <v>42461</v>
      </c>
      <c r="D1686" s="54">
        <v>42461</v>
      </c>
      <c r="E1686" s="44" t="s">
        <v>2125</v>
      </c>
      <c r="F1686" s="44" t="s">
        <v>2130</v>
      </c>
      <c r="G1686" s="44"/>
      <c r="H1686" s="51"/>
      <c r="I1686" s="44"/>
      <c r="J1686" s="48">
        <v>1</v>
      </c>
      <c r="K1686" s="44" t="s">
        <v>2130</v>
      </c>
      <c r="L1686" s="85">
        <v>29858</v>
      </c>
      <c r="M1686" s="50">
        <v>0</v>
      </c>
      <c r="N1686" s="113" t="str">
        <f>_xlfn.XLOOKUP(_xlfn.CONCAT(E1686,B1686),'Year Wise Master Dep Approach'!F:F,'Year Wise Master Dep Approach'!D:D)</f>
        <v>SLM</v>
      </c>
      <c r="O1686" s="113">
        <f>_xlfn.XLOOKUP(_xlfn.CONCAT(E1686,B1686),'Year Wise Master Dep Approach'!F:F,'Year Wise Master Dep Approach'!E:E)</f>
        <v>10</v>
      </c>
      <c r="P1686" s="125">
        <f>IFERROR(IF('FA Addition'!$N1686="WDV",1-('FA Addition'!$M1686/'FA Addition'!$L1686)^(1/'FA Addition'!$O1686),1/'FA Addition'!$O1686),0)</f>
        <v>0.1</v>
      </c>
      <c r="Q1686" s="122">
        <f>'FA Addition'!$P1686*'FA Addition'!$O1686</f>
        <v>1</v>
      </c>
      <c r="S1686" s="116">
        <f>IF(AND(DATE(20&amp;LEFT(FAAddition[[#This Row],[FY]],2),4,1)&lt;$L$1+1,DATE(20&amp;LEFT(FAAddition[[#This Row],[FY]],2),4,1)&gt;$P$1-1),'FA Addition'!$J1686,0)</f>
        <v>0</v>
      </c>
      <c r="U1686" s="117">
        <f>S1686*'FA Addition'!$L1686</f>
        <v>0</v>
      </c>
      <c r="W1686" s="116">
        <f>SUMIFS('FA Write off'!D:D,'FA Write off'!A:A,'FA Addition'!$A1686,'FA Write off'!C:C,"&lt;"&amp;'FA Addition'!$P$1)</f>
        <v>1</v>
      </c>
      <c r="Y1686" s="191">
        <f>IFERROR(W1686/'FA Addition'!$J1686*'FA Addition'!$L1686,0)</f>
        <v>29858</v>
      </c>
      <c r="AA1686" s="116">
        <f>SUMIFS('FA Write off'!D:D,'FA Write off'!A:A,'FA Addition'!$A1686,'FA Write off'!C:C,"&lt;"&amp;'FA Addition'!$L$1+1,'FA Write off'!C:C,"&gt;"&amp;'FA Addition'!$L$1-365)</f>
        <v>0</v>
      </c>
      <c r="AC1686" s="118">
        <f>IFERROR(AA1686/'FA Addition'!$J1686*'FA Addition'!$L1686,0)</f>
        <v>0</v>
      </c>
      <c r="AE1686" s="117">
        <f>IF(AND('FA Addition'!$D1686&lt;$P$1+1,U1686=0),'FA Addition'!$L1686,0)-Y1686</f>
        <v>0</v>
      </c>
      <c r="AF1686" s="117">
        <f>AE1686+U1686-AC1686</f>
        <v>0</v>
      </c>
      <c r="AG1686" s="117">
        <f>ROUND(MIN(MAX(+$P$1-'FA Addition'!$D1686,0),365*'FA Addition'!$O1686)/365,1)*365</f>
        <v>2555</v>
      </c>
      <c r="AH1686" s="126">
        <f>ROUND(MIN(MAX($L$1-'FA Addition'!$D1686+1,0),365*'FA Addition'!$O1686)/365,1)*365</f>
        <v>2920</v>
      </c>
      <c r="AI1686" s="117" cm="1">
        <f t="array" ref="AI1686">_xlfn.XLOOKUP(1,('FA Write off'!A:A='FA Addition'!$A1686)*('FA Write off'!D:D=AA1686),'FA Write off'!H:H,0,0)</f>
        <v>0</v>
      </c>
      <c r="AJ1686" s="117">
        <f>IF(AC1686&gt;0,MAX(IF('FA Addition'!$N1686="SLM",($AC1686-'FA Addition'!$M1686)*'FA Addition'!$P1686*AI1686/365,(AC1686-'FA Addition'!$M1686)*(1-(1-'FA Addition'!$P1686)^(AI1686/365))),0),0)</f>
        <v>0</v>
      </c>
      <c r="AL1686" s="117">
        <f>MAX(IF(AG1686&gt;0,IF('FA Addition'!$N1686="SLM",($AE1686-'FA Addition'!$M1686)*'FA Addition'!$P1686*AG1686/365,IFERROR(VDB(AE1686,AE1686*0.05,'FA Addition'!$O1686,0,YEARFRAC('FA Addition'!$C1686,$P$1-1,3),'FA Addition'!$Q1686),FAAddition[[#This Row],[Original Cost (Rs)]]-FAAddition[[#This Row],[Salvage Value]])),0),0)</f>
        <v>0</v>
      </c>
      <c r="AM1686" s="119"/>
      <c r="AN1686" s="117">
        <f>MAX(IF(AH1686&gt;0,IF('FA Addition'!$N1686="SLM",($AF1686-'FA Addition'!$M1686)*'FA Addition'!$P1686*AH1686/365,IFERROR(VDB(AF1686,AF1686*0.05,'FA Addition'!$O1686,0,YEARFRAC('FA Addition'!$C1686,$L$1,3),'FA Addition'!$Q1686),FAAddition[[#This Row],[Original Cost (Rs)]]-FAAddition[[#This Row],[Salvage Value]])),0),0)</f>
        <v>0</v>
      </c>
      <c r="AO1686" s="117">
        <f t="shared" si="133"/>
        <v>0</v>
      </c>
      <c r="AQ1686" s="117">
        <f>AE1686-AL1686</f>
        <v>0</v>
      </c>
      <c r="AR1686" s="120">
        <f>AF1686-AN1686</f>
        <v>0</v>
      </c>
      <c r="AS1686" s="121"/>
    </row>
    <row r="1687" spans="1:45" x14ac:dyDescent="0.4">
      <c r="S1687" s="116"/>
      <c r="U1687" s="117"/>
      <c r="W1687" s="116"/>
      <c r="Y1687" s="191"/>
      <c r="AA1687" s="116"/>
      <c r="AC1687" s="118"/>
      <c r="AE1687" s="117"/>
      <c r="AF1687" s="117"/>
      <c r="AG1687" s="117"/>
      <c r="AH1687" s="126"/>
      <c r="AI1687" s="117"/>
      <c r="AJ1687" s="117"/>
      <c r="AL1687" s="117"/>
      <c r="AM1687" s="119"/>
      <c r="AN1687" s="117"/>
      <c r="AO1687" s="117"/>
      <c r="AP1687" s="119"/>
      <c r="AQ1687" s="117"/>
      <c r="AR1687" s="120"/>
      <c r="AS1687" s="121"/>
    </row>
    <row r="1688" spans="1:45" x14ac:dyDescent="0.4">
      <c r="L1688" s="229"/>
      <c r="S1688" s="116"/>
      <c r="U1688" s="117"/>
      <c r="W1688" s="116"/>
      <c r="Y1688" s="191"/>
      <c r="AA1688" s="116"/>
      <c r="AC1688" s="118"/>
      <c r="AE1688" s="117"/>
      <c r="AF1688" s="117"/>
      <c r="AG1688" s="117"/>
      <c r="AH1688" s="126"/>
      <c r="AI1688" s="117"/>
      <c r="AJ1688" s="117"/>
      <c r="AL1688" s="117"/>
      <c r="AM1688" s="119"/>
      <c r="AN1688" s="117"/>
      <c r="AO1688" s="117"/>
      <c r="AQ1688" s="117"/>
      <c r="AR1688" s="120"/>
      <c r="AS1688" s="121"/>
    </row>
    <row r="1689" spans="1:45" x14ac:dyDescent="0.4">
      <c r="L1689" s="230"/>
      <c r="S1689" s="116"/>
      <c r="U1689" s="117"/>
      <c r="W1689" s="116"/>
      <c r="Y1689" s="191"/>
      <c r="AA1689" s="116"/>
      <c r="AC1689" s="118"/>
      <c r="AE1689" s="117"/>
      <c r="AF1689" s="117"/>
      <c r="AG1689" s="117"/>
      <c r="AH1689" s="126"/>
      <c r="AI1689" s="117"/>
      <c r="AJ1689" s="117"/>
      <c r="AL1689" s="117"/>
      <c r="AM1689" s="119"/>
      <c r="AN1689" s="117"/>
      <c r="AO1689" s="117"/>
      <c r="AQ1689" s="117"/>
      <c r="AR1689" s="120"/>
      <c r="AS1689" s="121"/>
    </row>
    <row r="1690" spans="1:45" x14ac:dyDescent="0.4">
      <c r="S1690" s="116"/>
      <c r="U1690" s="117"/>
      <c r="W1690" s="116"/>
      <c r="Y1690" s="191"/>
      <c r="AA1690" s="116"/>
      <c r="AC1690" s="118"/>
      <c r="AE1690" s="117"/>
      <c r="AF1690" s="117"/>
      <c r="AG1690" s="117"/>
      <c r="AH1690" s="126"/>
      <c r="AI1690" s="117"/>
      <c r="AJ1690" s="117"/>
      <c r="AL1690" s="117"/>
      <c r="AM1690" s="119"/>
      <c r="AN1690" s="117"/>
      <c r="AO1690" s="117"/>
      <c r="AQ1690" s="117"/>
      <c r="AR1690" s="120"/>
      <c r="AS1690" s="121"/>
    </row>
    <row r="1691" spans="1:45" x14ac:dyDescent="0.4">
      <c r="S1691" s="116"/>
      <c r="U1691" s="117"/>
      <c r="W1691" s="116"/>
      <c r="Y1691" s="191"/>
      <c r="AA1691" s="116"/>
      <c r="AC1691" s="118"/>
      <c r="AE1691" s="117"/>
      <c r="AF1691" s="117"/>
      <c r="AG1691" s="117"/>
      <c r="AH1691" s="126"/>
      <c r="AI1691" s="117"/>
      <c r="AJ1691" s="117"/>
      <c r="AL1691" s="117"/>
      <c r="AM1691" s="119"/>
      <c r="AN1691" s="117"/>
      <c r="AO1691" s="117"/>
      <c r="AQ1691" s="117"/>
      <c r="AR1691" s="120"/>
      <c r="AS1691" s="121"/>
    </row>
    <row r="1692" spans="1:45" x14ac:dyDescent="0.4">
      <c r="S1692" s="116"/>
      <c r="U1692" s="117"/>
      <c r="W1692" s="116"/>
      <c r="Y1692" s="191"/>
      <c r="AA1692" s="116"/>
      <c r="AC1692" s="118"/>
      <c r="AE1692" s="117"/>
      <c r="AF1692" s="117"/>
      <c r="AG1692" s="117"/>
      <c r="AH1692" s="126"/>
      <c r="AI1692" s="117"/>
      <c r="AJ1692" s="117"/>
      <c r="AL1692" s="117"/>
      <c r="AM1692" s="119"/>
      <c r="AN1692" s="117"/>
      <c r="AO1692" s="117"/>
      <c r="AQ1692" s="117"/>
      <c r="AR1692" s="120"/>
      <c r="AS1692" s="121"/>
    </row>
    <row r="1693" spans="1:45" x14ac:dyDescent="0.4">
      <c r="S1693" s="116"/>
      <c r="U1693" s="117"/>
      <c r="W1693" s="116"/>
      <c r="Y1693" s="191"/>
      <c r="AA1693" s="116"/>
      <c r="AC1693" s="118"/>
      <c r="AE1693" s="117"/>
      <c r="AF1693" s="117"/>
      <c r="AG1693" s="117"/>
      <c r="AH1693" s="126"/>
      <c r="AI1693" s="117"/>
      <c r="AJ1693" s="117"/>
      <c r="AL1693" s="117"/>
      <c r="AM1693" s="119"/>
      <c r="AN1693" s="117"/>
      <c r="AO1693" s="117"/>
      <c r="AQ1693" s="117"/>
      <c r="AR1693" s="120"/>
      <c r="AS1693" s="121"/>
    </row>
    <row r="1694" spans="1:45" x14ac:dyDescent="0.4">
      <c r="S1694" s="116"/>
      <c r="U1694" s="117"/>
      <c r="W1694" s="116"/>
      <c r="Y1694" s="191"/>
      <c r="AA1694" s="116"/>
      <c r="AC1694" s="118"/>
      <c r="AE1694" s="117"/>
      <c r="AF1694" s="117"/>
      <c r="AG1694" s="117"/>
      <c r="AH1694" s="126"/>
      <c r="AI1694" s="117"/>
      <c r="AJ1694" s="117"/>
      <c r="AL1694" s="117"/>
      <c r="AM1694" s="119"/>
      <c r="AN1694" s="117"/>
      <c r="AO1694" s="117"/>
      <c r="AQ1694" s="117"/>
      <c r="AR1694" s="120"/>
      <c r="AS1694" s="121"/>
    </row>
    <row r="1695" spans="1:45" x14ac:dyDescent="0.4">
      <c r="S1695" s="116"/>
      <c r="U1695" s="117"/>
      <c r="W1695" s="116"/>
      <c r="Y1695" s="191"/>
      <c r="AA1695" s="116"/>
      <c r="AC1695" s="118"/>
      <c r="AE1695" s="117"/>
      <c r="AF1695" s="117"/>
      <c r="AG1695" s="117"/>
      <c r="AH1695" s="126"/>
      <c r="AI1695" s="117"/>
      <c r="AJ1695" s="117"/>
      <c r="AL1695" s="117"/>
      <c r="AM1695" s="119"/>
      <c r="AN1695" s="117"/>
      <c r="AO1695" s="117"/>
      <c r="AQ1695" s="117"/>
      <c r="AR1695" s="120"/>
      <c r="AS1695" s="121"/>
    </row>
    <row r="1696" spans="1:45" x14ac:dyDescent="0.4">
      <c r="S1696" s="116"/>
      <c r="U1696" s="117"/>
      <c r="W1696" s="116"/>
      <c r="Y1696" s="191"/>
      <c r="AA1696" s="116"/>
      <c r="AC1696" s="118"/>
      <c r="AE1696" s="117"/>
      <c r="AF1696" s="117"/>
      <c r="AG1696" s="117"/>
      <c r="AH1696" s="126"/>
      <c r="AI1696" s="117"/>
      <c r="AJ1696" s="117"/>
      <c r="AL1696" s="117"/>
      <c r="AM1696" s="119"/>
      <c r="AN1696" s="117"/>
      <c r="AO1696" s="117"/>
      <c r="AQ1696" s="117"/>
      <c r="AR1696" s="120"/>
      <c r="AS1696" s="121"/>
    </row>
    <row r="1697" spans="19:45" x14ac:dyDescent="0.4">
      <c r="S1697" s="116"/>
      <c r="U1697" s="117"/>
      <c r="W1697" s="116"/>
      <c r="Y1697" s="191"/>
      <c r="AA1697" s="116"/>
      <c r="AC1697" s="118"/>
      <c r="AE1697" s="117"/>
      <c r="AF1697" s="117"/>
      <c r="AG1697" s="117"/>
      <c r="AH1697" s="126"/>
      <c r="AI1697" s="117"/>
      <c r="AJ1697" s="117"/>
      <c r="AL1697" s="117"/>
      <c r="AM1697" s="119"/>
      <c r="AN1697" s="117"/>
      <c r="AO1697" s="117"/>
      <c r="AQ1697" s="117"/>
      <c r="AR1697" s="120"/>
      <c r="AS1697" s="121"/>
    </row>
    <row r="1698" spans="19:45" x14ac:dyDescent="0.4">
      <c r="S1698" s="116"/>
      <c r="U1698" s="117"/>
      <c r="W1698" s="116"/>
      <c r="Y1698" s="191"/>
      <c r="AA1698" s="116"/>
      <c r="AC1698" s="118"/>
      <c r="AE1698" s="117"/>
      <c r="AF1698" s="117"/>
      <c r="AG1698" s="117"/>
      <c r="AH1698" s="126"/>
      <c r="AI1698" s="117"/>
      <c r="AJ1698" s="117"/>
      <c r="AL1698" s="117"/>
      <c r="AM1698" s="119"/>
      <c r="AN1698" s="117"/>
      <c r="AO1698" s="117"/>
      <c r="AQ1698" s="117"/>
      <c r="AR1698" s="120"/>
      <c r="AS1698" s="121"/>
    </row>
    <row r="1699" spans="19:45" x14ac:dyDescent="0.4">
      <c r="S1699" s="116"/>
      <c r="U1699" s="117"/>
      <c r="W1699" s="116"/>
      <c r="Y1699" s="191"/>
      <c r="AA1699" s="116"/>
      <c r="AC1699" s="118"/>
      <c r="AE1699" s="117"/>
      <c r="AF1699" s="117"/>
      <c r="AG1699" s="117"/>
      <c r="AH1699" s="126"/>
      <c r="AI1699" s="117"/>
      <c r="AJ1699" s="117"/>
      <c r="AL1699" s="117"/>
      <c r="AM1699" s="119"/>
      <c r="AN1699" s="117"/>
      <c r="AO1699" s="117"/>
      <c r="AQ1699" s="117"/>
      <c r="AR1699" s="120"/>
      <c r="AS1699" s="121"/>
    </row>
    <row r="1700" spans="19:45" x14ac:dyDescent="0.4">
      <c r="S1700" s="116"/>
      <c r="U1700" s="117"/>
      <c r="W1700" s="116"/>
      <c r="Y1700" s="191"/>
      <c r="AA1700" s="116"/>
      <c r="AC1700" s="118"/>
      <c r="AE1700" s="117"/>
      <c r="AF1700" s="117"/>
      <c r="AG1700" s="117"/>
      <c r="AH1700" s="126"/>
      <c r="AI1700" s="117"/>
      <c r="AJ1700" s="117"/>
      <c r="AL1700" s="117"/>
      <c r="AM1700" s="119"/>
      <c r="AN1700" s="117"/>
      <c r="AO1700" s="117"/>
      <c r="AQ1700" s="117"/>
      <c r="AR1700" s="120"/>
      <c r="AS1700" s="121"/>
    </row>
    <row r="1701" spans="19:45" x14ac:dyDescent="0.4">
      <c r="S1701" s="116"/>
      <c r="U1701" s="117"/>
      <c r="W1701" s="116"/>
      <c r="Y1701" s="191"/>
      <c r="AA1701" s="116"/>
      <c r="AC1701" s="118"/>
      <c r="AE1701" s="117"/>
      <c r="AF1701" s="117"/>
      <c r="AG1701" s="117"/>
      <c r="AH1701" s="126"/>
      <c r="AI1701" s="117"/>
      <c r="AJ1701" s="117"/>
      <c r="AL1701" s="117"/>
      <c r="AM1701" s="119"/>
      <c r="AN1701" s="117"/>
      <c r="AO1701" s="117"/>
      <c r="AQ1701" s="117"/>
      <c r="AR1701" s="120"/>
      <c r="AS1701" s="121"/>
    </row>
    <row r="1702" spans="19:45" x14ac:dyDescent="0.4">
      <c r="S1702" s="116"/>
      <c r="U1702" s="117"/>
      <c r="W1702" s="116"/>
      <c r="Y1702" s="191"/>
      <c r="AA1702" s="116"/>
      <c r="AC1702" s="118"/>
      <c r="AE1702" s="117"/>
      <c r="AF1702" s="117"/>
      <c r="AG1702" s="117"/>
      <c r="AH1702" s="126"/>
      <c r="AI1702" s="117"/>
      <c r="AJ1702" s="117"/>
      <c r="AL1702" s="117"/>
      <c r="AM1702" s="119"/>
      <c r="AN1702" s="117"/>
      <c r="AO1702" s="117"/>
      <c r="AQ1702" s="117"/>
      <c r="AR1702" s="120"/>
      <c r="AS1702" s="121"/>
    </row>
    <row r="1703" spans="19:45" x14ac:dyDescent="0.4">
      <c r="S1703" s="116"/>
      <c r="U1703" s="117"/>
      <c r="W1703" s="116"/>
      <c r="Y1703" s="191"/>
      <c r="AA1703" s="116"/>
      <c r="AC1703" s="118"/>
      <c r="AE1703" s="117"/>
      <c r="AF1703" s="117"/>
      <c r="AG1703" s="117"/>
      <c r="AH1703" s="126"/>
      <c r="AI1703" s="117"/>
      <c r="AJ1703" s="117"/>
      <c r="AL1703" s="117"/>
      <c r="AM1703" s="119"/>
      <c r="AN1703" s="117"/>
      <c r="AO1703" s="117"/>
      <c r="AQ1703" s="117"/>
      <c r="AR1703" s="120"/>
      <c r="AS1703" s="121"/>
    </row>
    <row r="1704" spans="19:45" x14ac:dyDescent="0.4">
      <c r="S1704" s="116"/>
      <c r="U1704" s="117"/>
      <c r="W1704" s="116"/>
      <c r="Y1704" s="191"/>
      <c r="AA1704" s="116"/>
      <c r="AC1704" s="118"/>
      <c r="AE1704" s="117"/>
      <c r="AF1704" s="117"/>
      <c r="AG1704" s="117"/>
      <c r="AH1704" s="126"/>
      <c r="AI1704" s="117"/>
      <c r="AJ1704" s="117"/>
      <c r="AL1704" s="117"/>
      <c r="AM1704" s="119"/>
      <c r="AN1704" s="117"/>
      <c r="AO1704" s="117"/>
      <c r="AQ1704" s="117"/>
      <c r="AR1704" s="120"/>
      <c r="AS1704" s="121"/>
    </row>
    <row r="1705" spans="19:45" x14ac:dyDescent="0.4">
      <c r="S1705" s="116"/>
      <c r="U1705" s="117"/>
      <c r="W1705" s="116"/>
      <c r="Y1705" s="191"/>
      <c r="AA1705" s="116"/>
      <c r="AC1705" s="118"/>
      <c r="AE1705" s="117"/>
      <c r="AF1705" s="117"/>
      <c r="AG1705" s="117"/>
      <c r="AH1705" s="126"/>
      <c r="AI1705" s="117"/>
      <c r="AJ1705" s="117"/>
      <c r="AL1705" s="117"/>
      <c r="AM1705" s="119"/>
      <c r="AN1705" s="117"/>
      <c r="AO1705" s="117"/>
      <c r="AQ1705" s="117"/>
      <c r="AR1705" s="120"/>
      <c r="AS1705" s="121"/>
    </row>
    <row r="1706" spans="19:45" x14ac:dyDescent="0.4">
      <c r="S1706" s="116"/>
      <c r="U1706" s="117"/>
      <c r="W1706" s="116"/>
      <c r="Y1706" s="191"/>
      <c r="AA1706" s="116"/>
      <c r="AC1706" s="118"/>
      <c r="AE1706" s="117"/>
      <c r="AF1706" s="117"/>
      <c r="AG1706" s="117"/>
      <c r="AH1706" s="126"/>
      <c r="AI1706" s="117"/>
      <c r="AJ1706" s="117"/>
      <c r="AL1706" s="117"/>
      <c r="AM1706" s="119"/>
      <c r="AN1706" s="117"/>
      <c r="AO1706" s="117"/>
      <c r="AQ1706" s="117"/>
      <c r="AR1706" s="120"/>
      <c r="AS1706" s="121"/>
    </row>
    <row r="1707" spans="19:45" x14ac:dyDescent="0.4">
      <c r="S1707" s="116"/>
      <c r="U1707" s="117"/>
      <c r="W1707" s="116"/>
      <c r="Y1707" s="191"/>
      <c r="AA1707" s="116"/>
      <c r="AC1707" s="118"/>
      <c r="AE1707" s="117"/>
      <c r="AF1707" s="117"/>
      <c r="AG1707" s="117"/>
      <c r="AH1707" s="126"/>
      <c r="AI1707" s="117"/>
      <c r="AJ1707" s="117"/>
      <c r="AL1707" s="117"/>
      <c r="AM1707" s="119"/>
      <c r="AN1707" s="117"/>
      <c r="AO1707" s="117"/>
      <c r="AQ1707" s="117"/>
      <c r="AR1707" s="120"/>
      <c r="AS1707" s="121"/>
    </row>
    <row r="1708" spans="19:45" x14ac:dyDescent="0.4">
      <c r="S1708" s="116"/>
      <c r="U1708" s="117"/>
      <c r="W1708" s="116"/>
      <c r="Y1708" s="191"/>
      <c r="AA1708" s="116"/>
      <c r="AC1708" s="118"/>
      <c r="AE1708" s="117"/>
      <c r="AF1708" s="117"/>
      <c r="AG1708" s="117"/>
      <c r="AH1708" s="126"/>
      <c r="AI1708" s="117"/>
      <c r="AJ1708" s="117"/>
      <c r="AL1708" s="117"/>
      <c r="AM1708" s="119"/>
      <c r="AN1708" s="117"/>
      <c r="AO1708" s="117"/>
      <c r="AQ1708" s="117"/>
      <c r="AR1708" s="120"/>
      <c r="AS1708" s="121"/>
    </row>
    <row r="1709" spans="19:45" x14ac:dyDescent="0.4">
      <c r="S1709" s="116"/>
      <c r="U1709" s="117"/>
      <c r="W1709" s="116"/>
      <c r="Y1709" s="191"/>
      <c r="AA1709" s="116"/>
      <c r="AC1709" s="118"/>
      <c r="AE1709" s="117"/>
      <c r="AF1709" s="117"/>
      <c r="AG1709" s="117"/>
      <c r="AH1709" s="126"/>
      <c r="AI1709" s="117"/>
      <c r="AJ1709" s="117"/>
      <c r="AL1709" s="117"/>
      <c r="AM1709" s="119"/>
      <c r="AN1709" s="117"/>
      <c r="AO1709" s="117"/>
      <c r="AQ1709" s="117"/>
      <c r="AR1709" s="120"/>
      <c r="AS1709" s="121"/>
    </row>
    <row r="1710" spans="19:45" x14ac:dyDescent="0.4">
      <c r="S1710" s="116"/>
      <c r="U1710" s="117"/>
      <c r="W1710" s="116"/>
      <c r="Y1710" s="191"/>
      <c r="AA1710" s="116"/>
      <c r="AC1710" s="118"/>
      <c r="AE1710" s="117"/>
      <c r="AF1710" s="117"/>
      <c r="AG1710" s="117"/>
      <c r="AH1710" s="126"/>
      <c r="AI1710" s="117"/>
      <c r="AJ1710" s="117"/>
      <c r="AL1710" s="117"/>
      <c r="AM1710" s="119"/>
      <c r="AN1710" s="117"/>
      <c r="AO1710" s="117"/>
      <c r="AQ1710" s="117"/>
      <c r="AR1710" s="120"/>
      <c r="AS1710" s="121"/>
    </row>
    <row r="1711" spans="19:45" x14ac:dyDescent="0.4">
      <c r="S1711" s="116"/>
      <c r="U1711" s="117"/>
      <c r="W1711" s="116"/>
      <c r="Y1711" s="191"/>
      <c r="AA1711" s="116"/>
      <c r="AC1711" s="118"/>
      <c r="AE1711" s="117"/>
      <c r="AF1711" s="117"/>
      <c r="AG1711" s="117"/>
      <c r="AH1711" s="126"/>
      <c r="AI1711" s="117"/>
      <c r="AJ1711" s="117"/>
      <c r="AL1711" s="117"/>
      <c r="AM1711" s="119"/>
      <c r="AN1711" s="117"/>
      <c r="AO1711" s="117"/>
      <c r="AQ1711" s="117"/>
      <c r="AR1711" s="120"/>
      <c r="AS1711" s="121"/>
    </row>
    <row r="1712" spans="19:45" x14ac:dyDescent="0.4">
      <c r="S1712" s="116"/>
      <c r="U1712" s="117"/>
      <c r="W1712" s="116"/>
      <c r="Y1712" s="191"/>
      <c r="AA1712" s="116"/>
      <c r="AC1712" s="118"/>
      <c r="AE1712" s="117"/>
      <c r="AF1712" s="117"/>
      <c r="AG1712" s="117"/>
      <c r="AH1712" s="126"/>
      <c r="AI1712" s="117"/>
      <c r="AJ1712" s="117"/>
      <c r="AL1712" s="117"/>
      <c r="AM1712" s="119"/>
      <c r="AN1712" s="117"/>
      <c r="AO1712" s="117"/>
      <c r="AQ1712" s="117"/>
      <c r="AR1712" s="120"/>
      <c r="AS1712" s="121"/>
    </row>
    <row r="1713" spans="19:45" x14ac:dyDescent="0.4">
      <c r="S1713" s="116"/>
      <c r="U1713" s="117"/>
      <c r="W1713" s="116"/>
      <c r="Y1713" s="191"/>
      <c r="AA1713" s="116"/>
      <c r="AC1713" s="118"/>
      <c r="AE1713" s="117"/>
      <c r="AF1713" s="117"/>
      <c r="AG1713" s="117"/>
      <c r="AH1713" s="126"/>
      <c r="AI1713" s="117"/>
      <c r="AJ1713" s="117"/>
      <c r="AL1713" s="117"/>
      <c r="AM1713" s="119"/>
      <c r="AN1713" s="117"/>
      <c r="AO1713" s="117"/>
      <c r="AQ1713" s="117"/>
      <c r="AR1713" s="120"/>
      <c r="AS1713" s="121"/>
    </row>
    <row r="1714" spans="19:45" x14ac:dyDescent="0.4">
      <c r="S1714" s="116"/>
      <c r="U1714" s="117"/>
      <c r="W1714" s="116"/>
      <c r="Y1714" s="191"/>
      <c r="AA1714" s="116"/>
      <c r="AC1714" s="118"/>
      <c r="AE1714" s="117"/>
      <c r="AF1714" s="117"/>
      <c r="AG1714" s="117"/>
      <c r="AH1714" s="126"/>
      <c r="AI1714" s="117"/>
      <c r="AJ1714" s="117"/>
      <c r="AL1714" s="117"/>
      <c r="AM1714" s="119"/>
      <c r="AN1714" s="117"/>
      <c r="AO1714" s="117"/>
      <c r="AQ1714" s="117"/>
      <c r="AR1714" s="120"/>
      <c r="AS1714" s="121"/>
    </row>
    <row r="1715" spans="19:45" x14ac:dyDescent="0.4">
      <c r="S1715" s="116"/>
      <c r="U1715" s="117"/>
      <c r="W1715" s="116"/>
      <c r="Y1715" s="191"/>
      <c r="AA1715" s="116"/>
      <c r="AC1715" s="118"/>
      <c r="AE1715" s="117"/>
      <c r="AF1715" s="117"/>
      <c r="AG1715" s="117"/>
      <c r="AH1715" s="126"/>
      <c r="AI1715" s="117"/>
      <c r="AJ1715" s="117"/>
      <c r="AL1715" s="117"/>
      <c r="AM1715" s="119"/>
      <c r="AN1715" s="117"/>
      <c r="AO1715" s="117"/>
      <c r="AQ1715" s="117"/>
      <c r="AR1715" s="120"/>
      <c r="AS1715" s="121"/>
    </row>
    <row r="1716" spans="19:45" x14ac:dyDescent="0.4">
      <c r="S1716" s="116"/>
      <c r="U1716" s="117"/>
      <c r="W1716" s="116"/>
      <c r="Y1716" s="191"/>
      <c r="AA1716" s="116"/>
      <c r="AC1716" s="118"/>
      <c r="AE1716" s="117"/>
      <c r="AF1716" s="117"/>
      <c r="AG1716" s="117"/>
      <c r="AH1716" s="126"/>
      <c r="AI1716" s="117"/>
      <c r="AJ1716" s="117"/>
      <c r="AL1716" s="117"/>
      <c r="AM1716" s="119"/>
      <c r="AN1716" s="117"/>
      <c r="AO1716" s="117"/>
      <c r="AQ1716" s="117"/>
      <c r="AR1716" s="120"/>
      <c r="AS1716" s="121"/>
    </row>
    <row r="1717" spans="19:45" x14ac:dyDescent="0.4">
      <c r="S1717" s="116"/>
      <c r="U1717" s="117"/>
      <c r="W1717" s="116"/>
      <c r="Y1717" s="191"/>
      <c r="AA1717" s="116"/>
      <c r="AC1717" s="118"/>
      <c r="AE1717" s="117"/>
      <c r="AF1717" s="117"/>
      <c r="AG1717" s="117"/>
      <c r="AH1717" s="126"/>
      <c r="AI1717" s="117"/>
      <c r="AJ1717" s="117"/>
      <c r="AL1717" s="117"/>
      <c r="AM1717" s="119"/>
      <c r="AN1717" s="117"/>
      <c r="AO1717" s="117"/>
      <c r="AQ1717" s="117"/>
      <c r="AR1717" s="120"/>
      <c r="AS1717" s="121"/>
    </row>
    <row r="1718" spans="19:45" x14ac:dyDescent="0.4">
      <c r="S1718" s="116"/>
      <c r="U1718" s="117"/>
      <c r="W1718" s="116"/>
      <c r="Y1718" s="191"/>
      <c r="AA1718" s="116"/>
      <c r="AC1718" s="118"/>
      <c r="AE1718" s="117"/>
      <c r="AF1718" s="117"/>
      <c r="AG1718" s="117"/>
      <c r="AH1718" s="126"/>
      <c r="AI1718" s="117"/>
      <c r="AJ1718" s="117"/>
      <c r="AL1718" s="117"/>
      <c r="AM1718" s="119"/>
      <c r="AN1718" s="117"/>
      <c r="AO1718" s="117"/>
      <c r="AQ1718" s="117"/>
      <c r="AR1718" s="120"/>
      <c r="AS1718" s="121"/>
    </row>
    <row r="1719" spans="19:45" x14ac:dyDescent="0.4">
      <c r="S1719" s="116"/>
      <c r="U1719" s="117"/>
      <c r="W1719" s="116"/>
      <c r="Y1719" s="191"/>
      <c r="AA1719" s="116"/>
      <c r="AC1719" s="118"/>
      <c r="AE1719" s="117"/>
      <c r="AF1719" s="117"/>
      <c r="AG1719" s="117"/>
      <c r="AH1719" s="126"/>
      <c r="AI1719" s="117"/>
      <c r="AJ1719" s="117"/>
      <c r="AL1719" s="117"/>
      <c r="AM1719" s="119"/>
      <c r="AN1719" s="117"/>
      <c r="AO1719" s="117"/>
      <c r="AQ1719" s="117"/>
      <c r="AR1719" s="120"/>
      <c r="AS1719" s="121"/>
    </row>
    <row r="1720" spans="19:45" x14ac:dyDescent="0.4">
      <c r="S1720" s="116"/>
      <c r="U1720" s="117"/>
      <c r="W1720" s="116"/>
      <c r="Y1720" s="191"/>
      <c r="AA1720" s="116"/>
      <c r="AC1720" s="118"/>
      <c r="AE1720" s="117"/>
      <c r="AF1720" s="117"/>
      <c r="AG1720" s="117"/>
      <c r="AH1720" s="126"/>
      <c r="AI1720" s="117"/>
      <c r="AJ1720" s="117"/>
      <c r="AL1720" s="117"/>
      <c r="AM1720" s="119"/>
      <c r="AN1720" s="117"/>
      <c r="AO1720" s="117"/>
      <c r="AQ1720" s="117"/>
      <c r="AR1720" s="120"/>
      <c r="AS1720" s="121"/>
    </row>
    <row r="1721" spans="19:45" x14ac:dyDescent="0.4">
      <c r="S1721" s="116"/>
      <c r="U1721" s="117"/>
      <c r="W1721" s="116"/>
      <c r="Y1721" s="191"/>
      <c r="AA1721" s="116"/>
      <c r="AC1721" s="118"/>
      <c r="AE1721" s="117"/>
      <c r="AF1721" s="117"/>
      <c r="AG1721" s="117"/>
      <c r="AH1721" s="126"/>
      <c r="AI1721" s="117"/>
      <c r="AJ1721" s="117"/>
      <c r="AL1721" s="117"/>
      <c r="AM1721" s="119"/>
      <c r="AN1721" s="117"/>
      <c r="AO1721" s="117"/>
      <c r="AQ1721" s="117"/>
      <c r="AR1721" s="120"/>
      <c r="AS1721" s="121"/>
    </row>
    <row r="1722" spans="19:45" x14ac:dyDescent="0.4">
      <c r="S1722" s="116"/>
      <c r="U1722" s="117"/>
      <c r="W1722" s="116"/>
      <c r="Y1722" s="191"/>
      <c r="AA1722" s="116"/>
      <c r="AC1722" s="118"/>
      <c r="AE1722" s="117"/>
      <c r="AF1722" s="117"/>
      <c r="AG1722" s="117"/>
      <c r="AH1722" s="126"/>
      <c r="AI1722" s="117"/>
      <c r="AJ1722" s="117"/>
      <c r="AL1722" s="117"/>
      <c r="AM1722" s="119"/>
      <c r="AN1722" s="117"/>
      <c r="AO1722" s="117"/>
      <c r="AQ1722" s="117"/>
      <c r="AR1722" s="120"/>
      <c r="AS1722" s="121"/>
    </row>
    <row r="1723" spans="19:45" x14ac:dyDescent="0.4">
      <c r="S1723" s="116"/>
      <c r="U1723" s="117"/>
      <c r="W1723" s="116"/>
      <c r="Y1723" s="191"/>
      <c r="AA1723" s="116"/>
      <c r="AC1723" s="118"/>
      <c r="AE1723" s="117"/>
      <c r="AF1723" s="117"/>
      <c r="AG1723" s="117"/>
      <c r="AH1723" s="126"/>
      <c r="AI1723" s="117"/>
      <c r="AJ1723" s="117"/>
      <c r="AL1723" s="117"/>
      <c r="AM1723" s="119"/>
      <c r="AN1723" s="117"/>
      <c r="AO1723" s="117"/>
      <c r="AQ1723" s="117"/>
      <c r="AR1723" s="120"/>
      <c r="AS1723" s="121"/>
    </row>
    <row r="1724" spans="19:45" x14ac:dyDescent="0.4">
      <c r="S1724" s="116"/>
      <c r="U1724" s="117"/>
      <c r="W1724" s="116"/>
      <c r="Y1724" s="191"/>
      <c r="AA1724" s="116"/>
      <c r="AC1724" s="118"/>
      <c r="AE1724" s="117"/>
      <c r="AF1724" s="117"/>
      <c r="AG1724" s="117"/>
      <c r="AH1724" s="126"/>
      <c r="AI1724" s="117"/>
      <c r="AJ1724" s="117"/>
      <c r="AL1724" s="117"/>
      <c r="AM1724" s="119"/>
      <c r="AN1724" s="117"/>
      <c r="AO1724" s="117"/>
      <c r="AQ1724" s="117"/>
      <c r="AR1724" s="120"/>
      <c r="AS1724" s="121"/>
    </row>
    <row r="1725" spans="19:45" x14ac:dyDescent="0.4">
      <c r="S1725" s="116"/>
      <c r="U1725" s="117"/>
      <c r="W1725" s="116"/>
      <c r="Y1725" s="191"/>
      <c r="AA1725" s="116"/>
      <c r="AC1725" s="118"/>
      <c r="AE1725" s="117"/>
      <c r="AF1725" s="117"/>
      <c r="AG1725" s="117"/>
      <c r="AH1725" s="126"/>
      <c r="AI1725" s="117"/>
      <c r="AJ1725" s="117"/>
      <c r="AL1725" s="117"/>
      <c r="AM1725" s="119"/>
      <c r="AN1725" s="117"/>
      <c r="AO1725" s="117"/>
      <c r="AQ1725" s="117"/>
      <c r="AR1725" s="120"/>
      <c r="AS1725" s="121"/>
    </row>
    <row r="1726" spans="19:45" x14ac:dyDescent="0.4">
      <c r="S1726" s="116"/>
      <c r="U1726" s="117"/>
      <c r="W1726" s="116"/>
      <c r="Y1726" s="191"/>
      <c r="AA1726" s="116"/>
      <c r="AC1726" s="118"/>
      <c r="AE1726" s="117"/>
      <c r="AF1726" s="117"/>
      <c r="AG1726" s="117"/>
      <c r="AH1726" s="126"/>
      <c r="AI1726" s="117"/>
      <c r="AJ1726" s="117"/>
      <c r="AL1726" s="117"/>
      <c r="AM1726" s="119"/>
      <c r="AN1726" s="117"/>
      <c r="AO1726" s="117"/>
      <c r="AQ1726" s="117"/>
      <c r="AR1726" s="120"/>
      <c r="AS1726" s="121"/>
    </row>
    <row r="1727" spans="19:45" x14ac:dyDescent="0.4">
      <c r="S1727" s="116"/>
      <c r="U1727" s="117"/>
      <c r="W1727" s="116"/>
      <c r="Y1727" s="191"/>
      <c r="AA1727" s="116"/>
      <c r="AC1727" s="118"/>
      <c r="AE1727" s="117"/>
      <c r="AF1727" s="117"/>
      <c r="AG1727" s="117"/>
      <c r="AH1727" s="126"/>
      <c r="AI1727" s="117"/>
      <c r="AJ1727" s="117"/>
      <c r="AL1727" s="117"/>
      <c r="AM1727" s="119"/>
      <c r="AN1727" s="117"/>
      <c r="AO1727" s="117"/>
      <c r="AQ1727" s="117"/>
      <c r="AR1727" s="120"/>
      <c r="AS1727" s="121"/>
    </row>
    <row r="1728" spans="19:45" x14ac:dyDescent="0.4">
      <c r="S1728" s="116"/>
      <c r="U1728" s="117"/>
      <c r="W1728" s="116"/>
      <c r="Y1728" s="191"/>
      <c r="AA1728" s="116"/>
      <c r="AC1728" s="118"/>
      <c r="AE1728" s="117"/>
      <c r="AF1728" s="117"/>
      <c r="AG1728" s="117"/>
      <c r="AH1728" s="126"/>
      <c r="AI1728" s="117"/>
      <c r="AJ1728" s="117"/>
      <c r="AL1728" s="117"/>
      <c r="AM1728" s="119"/>
      <c r="AN1728" s="117"/>
      <c r="AO1728" s="117"/>
      <c r="AQ1728" s="117"/>
      <c r="AR1728" s="120"/>
      <c r="AS1728" s="121"/>
    </row>
    <row r="1729" spans="19:45" x14ac:dyDescent="0.4">
      <c r="S1729" s="116"/>
      <c r="U1729" s="117"/>
      <c r="W1729" s="116"/>
      <c r="Y1729" s="191"/>
      <c r="AA1729" s="116"/>
      <c r="AC1729" s="118"/>
      <c r="AE1729" s="117"/>
      <c r="AF1729" s="117"/>
      <c r="AG1729" s="117"/>
      <c r="AH1729" s="126"/>
      <c r="AI1729" s="117"/>
      <c r="AJ1729" s="117"/>
      <c r="AL1729" s="117"/>
      <c r="AM1729" s="119"/>
      <c r="AN1729" s="117"/>
      <c r="AO1729" s="117"/>
      <c r="AQ1729" s="117"/>
      <c r="AR1729" s="120"/>
      <c r="AS1729" s="121"/>
    </row>
    <row r="1730" spans="19:45" x14ac:dyDescent="0.4">
      <c r="S1730" s="116"/>
      <c r="U1730" s="117"/>
      <c r="W1730" s="116"/>
      <c r="Y1730" s="191"/>
      <c r="AA1730" s="116"/>
      <c r="AC1730" s="118"/>
      <c r="AE1730" s="117"/>
      <c r="AF1730" s="117"/>
      <c r="AG1730" s="117"/>
      <c r="AH1730" s="126"/>
      <c r="AI1730" s="117"/>
      <c r="AJ1730" s="117"/>
      <c r="AL1730" s="117"/>
      <c r="AM1730" s="119"/>
      <c r="AN1730" s="117"/>
      <c r="AO1730" s="117"/>
      <c r="AQ1730" s="117"/>
      <c r="AR1730" s="120"/>
      <c r="AS1730" s="121"/>
    </row>
    <row r="1731" spans="19:45" x14ac:dyDescent="0.4">
      <c r="S1731" s="116"/>
      <c r="U1731" s="117"/>
      <c r="W1731" s="116"/>
      <c r="Y1731" s="191"/>
      <c r="AA1731" s="116"/>
      <c r="AC1731" s="118"/>
      <c r="AE1731" s="117"/>
      <c r="AF1731" s="117"/>
      <c r="AG1731" s="117"/>
      <c r="AH1731" s="126"/>
      <c r="AI1731" s="117"/>
      <c r="AJ1731" s="117"/>
      <c r="AL1731" s="117"/>
      <c r="AM1731" s="119"/>
      <c r="AN1731" s="117"/>
      <c r="AO1731" s="117"/>
      <c r="AQ1731" s="117"/>
      <c r="AR1731" s="120"/>
      <c r="AS1731" s="121"/>
    </row>
    <row r="1732" spans="19:45" x14ac:dyDescent="0.4">
      <c r="S1732" s="116"/>
      <c r="U1732" s="117"/>
      <c r="W1732" s="116"/>
      <c r="Y1732" s="191"/>
      <c r="AA1732" s="116"/>
      <c r="AC1732" s="118"/>
      <c r="AE1732" s="117"/>
      <c r="AF1732" s="117"/>
      <c r="AG1732" s="117"/>
      <c r="AH1732" s="126"/>
      <c r="AI1732" s="117"/>
      <c r="AJ1732" s="117"/>
      <c r="AL1732" s="117"/>
      <c r="AM1732" s="119"/>
      <c r="AN1732" s="117"/>
      <c r="AO1732" s="117"/>
      <c r="AQ1732" s="117"/>
      <c r="AR1732" s="120"/>
      <c r="AS1732" s="121"/>
    </row>
  </sheetData>
  <sheetProtection formatCells="0" formatColumns="0" formatRows="0" insertColumns="0" insertRows="0" insertHyperlinks="0" deleteColumns="0" deleteRows="0" sort="0" autoFilter="0" pivotTables="0"/>
  <autoFilter ref="S3:AS1686" xr:uid="{20D45384-BA8B-436B-BD30-7F3DFF89EF30}"/>
  <conditionalFormatting sqref="H224">
    <cfRule type="containsText" dxfId="37" priority="2" operator="containsText" text="Yes">
      <formula>NOT(ISERROR(SEARCH("Yes",H224)))</formula>
    </cfRule>
  </conditionalFormatting>
  <dataValidations disablePrompts="1" count="1">
    <dataValidation type="whole" errorStyle="warning" allowBlank="1" showInputMessage="1" showErrorMessage="1" errorTitle="Addition Qty" error="Insert Positive Whole No only" sqref="J1:J3" xr:uid="{C01AD4D3-3EC5-4252-B02E-DA9178BF17F6}">
      <formula1>1</formula1>
      <formula2>1000000000000</formula2>
    </dataValidation>
  </dataValidations>
  <pageMargins left="0.7" right="0.7" top="0.75" bottom="0.75" header="0.3" footer="0.3"/>
  <ignoredErrors>
    <ignoredError sqref="A1:H1 A1690:AO1048576 A4:I4 AO4:AR4 A5:I67 AO5:AR448 AM4 AM5:AM1686 A594:I602 A593 C593:I593 A604:I604 A603 C603:I603 A606:I1680 A605 C605:I605 T593:AH593 T603:AH603 T605:AH605 T4:AH4 T5:AH592 T594:AH602 T604:AH604 T606:AH620 A1682:I1686 A1681:I1681 K1681:M1681 K4:M4 K6:M170 K594:M602 K593:M593 K604:M604 K603:M603 K606:M1680 K605:M605 K1684:N1685 AO593:AR593 AO449 AQ449:AR449 AO450:AO592 AQ450:AR592 AO603:AR603 AO594:AO602 AQ594:AR602 AO605:AR605 AO604 AQ604:AR604 AO631:AR1686 AO606:AO607 AQ606:AR620 A1687:AM1687 AQ1687:AR1687 A3:AO3 A2:AH2 AJ2:AO2 AQ1:AR1 AQ3:AR3 AQ2:AR2 AQ1688:AR1048576 AC1:AO1 AT4:XFD4 AT5:XFD448 AT593:XFD593 AT449:XFD449 AT450:XFD592 AT603:XFD603 AT594:XFD602 AT605:XFD605 AT604:XFD604 AT631:XFD1686 AT606:XFD630 AT1687:XFD1687 AT1:XFD1 AT3:XFD3 AT2:XFD2 AT1688:XFD1048576 A69:I592 A68:H68 K450:M592 K449:M449 P449:R449 P4:R4 K5:M5 P5:R5 K172:M448 K171:M171 P171:R171 P1681:R1681 P6:R170 P594:R602 P593:R593 P604:R604 P603:R603 P606:R620 P605:R605 P1682:R1686 P450:R592 P172:R448 K1682:M1683 K1686:M1686 AO622:AO630 A1688:K1688 AG1688:AO1688 T622:AH1686 T621:AE621 AG621 AK621 M1688:AE1688 A1689:K1689 M1689:AG1689 J1:AA1 AO1687 P622:R1680 P621 R621 AQ622:AR630 AQ621 AI1689:AO1689 AJ622:AK1686 AJ593:AK593 AJ603:AK603 AJ605:AK605 AJ4:AK4 AJ5:AK592 AJ594:AK602 AJ604:AK604 AJ606:AK620" unlockedFormula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10C55-B52E-4298-BA49-934E3EB9E9B3}">
  <sheetPr codeName="Sheet4">
    <tabColor theme="7" tint="0.39997558519241921"/>
  </sheetPr>
  <dimension ref="A1:U311"/>
  <sheetViews>
    <sheetView workbookViewId="0">
      <pane xSplit="1" ySplit="1" topLeftCell="B98" activePane="bottomRight" state="frozen"/>
      <selection pane="topRight" activeCell="B1" sqref="B1"/>
      <selection pane="bottomLeft" activeCell="A2" sqref="A2"/>
      <selection pane="bottomRight" activeCell="H171" sqref="H171"/>
    </sheetView>
  </sheetViews>
  <sheetFormatPr defaultRowHeight="15" x14ac:dyDescent="0.4"/>
  <cols>
    <col min="1" max="1" width="13.36328125" style="24" customWidth="1"/>
    <col min="2" max="2" width="5" style="25" customWidth="1"/>
    <col min="3" max="3" width="16.6328125" style="26" bestFit="1" customWidth="1"/>
    <col min="4" max="4" width="13.36328125" style="214" customWidth="1"/>
    <col min="5" max="5" width="14.08984375" style="25" customWidth="1"/>
    <col min="6" max="7" width="11.36328125" style="25" customWidth="1"/>
    <col min="8" max="8" width="7.1796875" style="25" bestFit="1" customWidth="1"/>
    <col min="9" max="9" width="17.7265625" style="25" bestFit="1" customWidth="1"/>
    <col min="10" max="10" width="15.81640625" style="25" bestFit="1" customWidth="1"/>
    <col min="11" max="11" width="26.453125" style="25" bestFit="1" customWidth="1"/>
    <col min="12" max="12" width="22.90625" style="180" bestFit="1" customWidth="1"/>
    <col min="13" max="13" width="14.1796875" style="25" bestFit="1" customWidth="1"/>
    <col min="14" max="14" width="20.7265625" style="187" bestFit="1" customWidth="1"/>
    <col min="15" max="15" width="9.6328125" style="25" bestFit="1" customWidth="1"/>
    <col min="16" max="16" width="13.6328125" style="25" customWidth="1"/>
    <col min="17" max="17" width="8.7265625" style="25"/>
    <col min="18" max="18" width="17.7265625" style="25" customWidth="1"/>
    <col min="19" max="19" width="22.6328125" style="188" bestFit="1" customWidth="1"/>
    <col min="20" max="20" width="10.453125" style="189" bestFit="1" customWidth="1"/>
    <col min="21" max="21" width="10.453125" style="190" bestFit="1" customWidth="1"/>
    <col min="22" max="22" width="10.453125" style="25" bestFit="1" customWidth="1"/>
    <col min="23" max="16384" width="8.7265625" style="25"/>
  </cols>
  <sheetData>
    <row r="1" spans="1:15" s="25" customFormat="1" x14ac:dyDescent="0.4">
      <c r="A1" s="5" t="s">
        <v>399</v>
      </c>
      <c r="B1" s="5" t="s">
        <v>0</v>
      </c>
      <c r="C1" s="5" t="s">
        <v>398</v>
      </c>
      <c r="D1" s="213" t="s">
        <v>397</v>
      </c>
      <c r="E1" s="6" t="s">
        <v>401</v>
      </c>
      <c r="F1" s="6" t="s">
        <v>400</v>
      </c>
      <c r="G1" s="7" t="s">
        <v>403</v>
      </c>
      <c r="H1" s="8" t="s">
        <v>404</v>
      </c>
      <c r="I1" s="8" t="s">
        <v>1</v>
      </c>
      <c r="J1" s="8" t="s">
        <v>2</v>
      </c>
      <c r="K1" s="9" t="s">
        <v>2120</v>
      </c>
      <c r="L1" s="180" t="s">
        <v>2121</v>
      </c>
      <c r="M1" s="10" t="s">
        <v>394</v>
      </c>
      <c r="N1" s="11" t="s">
        <v>395</v>
      </c>
      <c r="O1" s="10" t="s">
        <v>405</v>
      </c>
    </row>
    <row r="2" spans="1:15" s="25" customFormat="1" hidden="1" x14ac:dyDescent="0.4">
      <c r="A2" s="12">
        <v>121</v>
      </c>
      <c r="B2" s="13" t="s">
        <v>1089</v>
      </c>
      <c r="C2" s="14">
        <v>45016</v>
      </c>
      <c r="D2" s="23">
        <v>2</v>
      </c>
      <c r="E2" s="15"/>
      <c r="F2" s="15"/>
      <c r="G2" s="181">
        <f>MONTH('FA Write off'!$C2)</f>
        <v>3</v>
      </c>
      <c r="H2" s="181">
        <f>MIN('FA Write off'!$C2-'FA Write off'!$J2+1,'FA Write off'!$M2*365)</f>
        <v>1095</v>
      </c>
      <c r="I2" s="182">
        <f>VLOOKUP($A2,'FA Addition'!$A:$AK,COLUMN()-6,FALSE)</f>
        <v>42465</v>
      </c>
      <c r="J2" s="182">
        <f>VLOOKUP($A2,'FA Addition'!$A:$AK,COLUMN()-6,FALSE)</f>
        <v>42465</v>
      </c>
      <c r="K2" s="183" t="str">
        <f>VLOOKUP($A2,'FA Addition'!$A:$AK,COLUMN()-6,FALSE)</f>
        <v>Router</v>
      </c>
      <c r="L2" s="180">
        <f>VLOOKUP($A2,'FA Addition'!$A:$AK,COLUMN(),FALSE)</f>
        <v>55125</v>
      </c>
      <c r="M2" s="184">
        <f>VLOOKUP($A2,'FA Addition'!$A:$AK,COLUMN()+2,FALSE)</f>
        <v>3</v>
      </c>
      <c r="N2" s="185">
        <f>VLOOKUP($A2,'FA Addition'!$A:$AK,COLUMN()+2,FALSE)</f>
        <v>0.63160798888997016</v>
      </c>
      <c r="O2" s="186">
        <f>'FA Write off'!$N2*'FA Write off'!$L2*'FA Write off'!$H2/365</f>
        <v>104452.17116267883</v>
      </c>
    </row>
    <row r="3" spans="1:15" s="25" customFormat="1" hidden="1" x14ac:dyDescent="0.4">
      <c r="A3" s="12">
        <v>123</v>
      </c>
      <c r="B3" s="13" t="s">
        <v>1089</v>
      </c>
      <c r="C3" s="14">
        <v>45016</v>
      </c>
      <c r="D3" s="23">
        <v>1</v>
      </c>
      <c r="E3" s="15"/>
      <c r="F3" s="15"/>
      <c r="G3" s="181">
        <f>MONTH('FA Write off'!$C3)</f>
        <v>3</v>
      </c>
      <c r="H3" s="181">
        <f>MIN('FA Write off'!$C3-'FA Write off'!$J3+1,'FA Write off'!$M3*365)</f>
        <v>1095</v>
      </c>
      <c r="I3" s="182">
        <f>VLOOKUP($A3,'FA Addition'!$A:$AK,COLUMN()-6,FALSE)</f>
        <v>42472</v>
      </c>
      <c r="J3" s="182">
        <f>VLOOKUP($A3,'FA Addition'!$A:$AK,COLUMN()-6,FALSE)</f>
        <v>42472</v>
      </c>
      <c r="K3" s="183" t="str">
        <f>VLOOKUP($A3,'FA Addition'!$A:$AK,COLUMN()-6,FALSE)</f>
        <v>Router</v>
      </c>
      <c r="L3" s="180">
        <f>VLOOKUP($A3,'FA Addition'!$A:$AK,COLUMN(),FALSE)</f>
        <v>150360</v>
      </c>
      <c r="M3" s="184">
        <f>VLOOKUP($A3,'FA Addition'!$A:$AK,COLUMN()+2,FALSE)</f>
        <v>3</v>
      </c>
      <c r="N3" s="185">
        <f>VLOOKUP($A3,'FA Addition'!$A:$AK,COLUMN()+2,FALSE)</f>
        <v>0.63159685013596123</v>
      </c>
      <c r="O3" s="186">
        <f>'FA Write off'!$N3*'FA Write off'!$L3*'FA Write off'!$H3/365</f>
        <v>284900.70715932938</v>
      </c>
    </row>
    <row r="4" spans="1:15" s="25" customFormat="1" hidden="1" x14ac:dyDescent="0.4">
      <c r="A4" s="12">
        <v>125</v>
      </c>
      <c r="B4" s="13" t="s">
        <v>1089</v>
      </c>
      <c r="C4" s="14">
        <v>45016</v>
      </c>
      <c r="D4" s="23">
        <v>1</v>
      </c>
      <c r="E4" s="15"/>
      <c r="F4" s="15"/>
      <c r="G4" s="181">
        <f>MONTH('FA Write off'!$C4)</f>
        <v>3</v>
      </c>
      <c r="H4" s="181">
        <f>MIN('FA Write off'!$C4-'FA Write off'!$J4+1,'FA Write off'!$M4*365)</f>
        <v>1095</v>
      </c>
      <c r="I4" s="182">
        <f>VLOOKUP($A4,'FA Addition'!$A:$AK,COLUMN()-6,FALSE)</f>
        <v>42486</v>
      </c>
      <c r="J4" s="182">
        <f>VLOOKUP($A4,'FA Addition'!$A:$AK,COLUMN()-6,FALSE)</f>
        <v>42486</v>
      </c>
      <c r="K4" s="183" t="str">
        <f>VLOOKUP($A4,'FA Addition'!$A:$AK,COLUMN()-6,FALSE)</f>
        <v>Router</v>
      </c>
      <c r="L4" s="180">
        <f>VLOOKUP($A4,'FA Addition'!$A:$AK,COLUMN(),FALSE)</f>
        <v>30450</v>
      </c>
      <c r="M4" s="184">
        <f>VLOOKUP($A4,'FA Addition'!$A:$AK,COLUMN()+2,FALSE)</f>
        <v>3</v>
      </c>
      <c r="N4" s="185">
        <f>VLOOKUP($A4,'FA Addition'!$A:$AK,COLUMN()+2,FALSE)</f>
        <v>0.63155652579786958</v>
      </c>
      <c r="O4" s="186">
        <f>'FA Write off'!$N4*'FA Write off'!$L4*'FA Write off'!$H4/365</f>
        <v>57692.688631635385</v>
      </c>
    </row>
    <row r="5" spans="1:15" s="25" customFormat="1" hidden="1" x14ac:dyDescent="0.4">
      <c r="A5" s="12">
        <v>129</v>
      </c>
      <c r="B5" s="13" t="s">
        <v>1089</v>
      </c>
      <c r="C5" s="14">
        <v>45016</v>
      </c>
      <c r="D5" s="23">
        <v>5</v>
      </c>
      <c r="E5" s="15"/>
      <c r="F5" s="15"/>
      <c r="G5" s="181">
        <f>MONTH('FA Write off'!$C5)</f>
        <v>3</v>
      </c>
      <c r="H5" s="181">
        <f>MIN('FA Write off'!$C5-'FA Write off'!$J5+1,'FA Write off'!$M5*365)</f>
        <v>1095</v>
      </c>
      <c r="I5" s="182">
        <f>VLOOKUP($A5,'FA Addition'!$A:$AK,COLUMN()-6,FALSE)</f>
        <v>42489</v>
      </c>
      <c r="J5" s="182">
        <f>VLOOKUP($A5,'FA Addition'!$A:$AK,COLUMN()-6,FALSE)</f>
        <v>42489</v>
      </c>
      <c r="K5" s="183" t="str">
        <f>VLOOKUP($A5,'FA Addition'!$A:$AK,COLUMN()-6,FALSE)</f>
        <v>Router</v>
      </c>
      <c r="L5" s="180">
        <f>VLOOKUP($A5,'FA Addition'!$A:$AK,COLUMN(),FALSE)</f>
        <v>104475</v>
      </c>
      <c r="M5" s="184">
        <f>VLOOKUP($A5,'FA Addition'!$A:$AK,COLUMN()+2,FALSE)</f>
        <v>3</v>
      </c>
      <c r="N5" s="185">
        <f>VLOOKUP($A5,'FA Addition'!$A:$AK,COLUMN()+2,FALSE)</f>
        <v>0.63159097317539714</v>
      </c>
      <c r="O5" s="186">
        <f>'FA Write off'!$N5*'FA Write off'!$L5*'FA Write off'!$H5/365</f>
        <v>197956.40076749885</v>
      </c>
    </row>
    <row r="6" spans="1:15" s="25" customFormat="1" hidden="1" x14ac:dyDescent="0.4">
      <c r="A6" s="12">
        <v>132</v>
      </c>
      <c r="B6" s="13" t="s">
        <v>1089</v>
      </c>
      <c r="C6" s="14">
        <v>45016</v>
      </c>
      <c r="D6" s="23">
        <v>2</v>
      </c>
      <c r="E6" s="15"/>
      <c r="F6" s="15"/>
      <c r="G6" s="181">
        <f>MONTH('FA Write off'!$C6)</f>
        <v>3</v>
      </c>
      <c r="H6" s="181">
        <f>MIN('FA Write off'!$C6-'FA Write off'!$J6+1,'FA Write off'!$M6*365)</f>
        <v>1095</v>
      </c>
      <c r="I6" s="182">
        <f>VLOOKUP($A6,'FA Addition'!$A:$AK,COLUMN()-6,FALSE)</f>
        <v>42494</v>
      </c>
      <c r="J6" s="182">
        <f>VLOOKUP($A6,'FA Addition'!$A:$AK,COLUMN()-6,FALSE)</f>
        <v>42494</v>
      </c>
      <c r="K6" s="183" t="str">
        <f>VLOOKUP($A6,'FA Addition'!$A:$AK,COLUMN()-6,FALSE)</f>
        <v>Router</v>
      </c>
      <c r="L6" s="180">
        <f>VLOOKUP($A6,'FA Addition'!$A:$AK,COLUMN(),FALSE)</f>
        <v>105740</v>
      </c>
      <c r="M6" s="184">
        <f>VLOOKUP($A6,'FA Addition'!$A:$AK,COLUMN()+2,FALSE)</f>
        <v>3</v>
      </c>
      <c r="N6" s="185">
        <f>VLOOKUP($A6,'FA Addition'!$A:$AK,COLUMN()+2,FALSE)</f>
        <v>0.63159685013596123</v>
      </c>
      <c r="O6" s="186">
        <f>'FA Write off'!$N6*'FA Write off'!$L6*'FA Write off'!$H6/365</f>
        <v>200355.15280012961</v>
      </c>
    </row>
    <row r="7" spans="1:15" s="25" customFormat="1" hidden="1" x14ac:dyDescent="0.4">
      <c r="A7" s="12">
        <v>139</v>
      </c>
      <c r="B7" s="13" t="s">
        <v>1089</v>
      </c>
      <c r="C7" s="14">
        <v>45016</v>
      </c>
      <c r="D7" s="23">
        <v>7</v>
      </c>
      <c r="E7" s="15"/>
      <c r="F7" s="15"/>
      <c r="G7" s="181">
        <f>MONTH('FA Write off'!$C7)</f>
        <v>3</v>
      </c>
      <c r="H7" s="181">
        <f>MIN('FA Write off'!$C7-'FA Write off'!$J7+1,'FA Write off'!$M7*365)</f>
        <v>1095</v>
      </c>
      <c r="I7" s="182">
        <f>VLOOKUP($A7,'FA Addition'!$A:$AK,COLUMN()-6,FALSE)</f>
        <v>42517</v>
      </c>
      <c r="J7" s="182">
        <f>VLOOKUP($A7,'FA Addition'!$A:$AK,COLUMN()-6,FALSE)</f>
        <v>42517</v>
      </c>
      <c r="K7" s="183" t="str">
        <f>VLOOKUP($A7,'FA Addition'!$A:$AK,COLUMN()-6,FALSE)</f>
        <v>Router</v>
      </c>
      <c r="L7" s="180">
        <f>VLOOKUP($A7,'FA Addition'!$A:$AK,COLUMN(),FALSE)</f>
        <v>609000</v>
      </c>
      <c r="M7" s="184">
        <f>VLOOKUP($A7,'FA Addition'!$A:$AK,COLUMN()+2,FALSE)</f>
        <v>3</v>
      </c>
      <c r="N7" s="185">
        <f>VLOOKUP($A7,'FA Addition'!$A:$AK,COLUMN()+2,FALSE)</f>
        <v>0.63159685013596123</v>
      </c>
      <c r="O7" s="186">
        <f>'FA Write off'!$N7*'FA Write off'!$L7*'FA Write off'!$H7/365</f>
        <v>1153927.4451984011</v>
      </c>
    </row>
    <row r="8" spans="1:15" s="25" customFormat="1" hidden="1" x14ac:dyDescent="0.4">
      <c r="A8" s="12">
        <v>144</v>
      </c>
      <c r="B8" s="13" t="s">
        <v>1089</v>
      </c>
      <c r="C8" s="14">
        <v>45016</v>
      </c>
      <c r="D8" s="23">
        <v>2</v>
      </c>
      <c r="E8" s="15"/>
      <c r="F8" s="15"/>
      <c r="G8" s="181">
        <f>MONTH('FA Write off'!$C8)</f>
        <v>3</v>
      </c>
      <c r="H8" s="181">
        <f>MIN('FA Write off'!$C8-'FA Write off'!$J8+1,'FA Write off'!$M8*365)</f>
        <v>1095</v>
      </c>
      <c r="I8" s="182">
        <f>VLOOKUP($A8,'FA Addition'!$A:$AK,COLUMN()-6,FALSE)</f>
        <v>42525</v>
      </c>
      <c r="J8" s="182">
        <f>VLOOKUP($A8,'FA Addition'!$A:$AK,COLUMN()-6,FALSE)</f>
        <v>42525</v>
      </c>
      <c r="K8" s="183" t="str">
        <f>VLOOKUP($A8,'FA Addition'!$A:$AK,COLUMN()-6,FALSE)</f>
        <v>Router</v>
      </c>
      <c r="L8" s="180">
        <f>VLOOKUP($A8,'FA Addition'!$A:$AK,COLUMN(),FALSE)</f>
        <v>115920</v>
      </c>
      <c r="M8" s="184">
        <f>VLOOKUP($A8,'FA Addition'!$A:$AK,COLUMN()+2,FALSE)</f>
        <v>3</v>
      </c>
      <c r="N8" s="185">
        <f>VLOOKUP($A8,'FA Addition'!$A:$AK,COLUMN()+2,FALSE)</f>
        <v>0.63159685013596123</v>
      </c>
      <c r="O8" s="186">
        <f>'FA Write off'!$N8*'FA Write off'!$L8*'FA Write off'!$H8/365</f>
        <v>219644.12060328186</v>
      </c>
    </row>
    <row r="9" spans="1:15" s="25" customFormat="1" hidden="1" x14ac:dyDescent="0.4">
      <c r="A9" s="12">
        <v>145</v>
      </c>
      <c r="B9" s="13" t="s">
        <v>1089</v>
      </c>
      <c r="C9" s="14">
        <v>45016</v>
      </c>
      <c r="D9" s="23">
        <v>4</v>
      </c>
      <c r="E9" s="15"/>
      <c r="F9" s="15"/>
      <c r="G9" s="181">
        <f>MONTH('FA Write off'!$C9)</f>
        <v>3</v>
      </c>
      <c r="H9" s="181">
        <f>MIN('FA Write off'!$C9-'FA Write off'!$J9+1,'FA Write off'!$M9*365)</f>
        <v>1095</v>
      </c>
      <c r="I9" s="182">
        <f>VLOOKUP($A9,'FA Addition'!$A:$AK,COLUMN()-6,FALSE)</f>
        <v>42529</v>
      </c>
      <c r="J9" s="182">
        <f>VLOOKUP($A9,'FA Addition'!$A:$AK,COLUMN()-6,FALSE)</f>
        <v>42529</v>
      </c>
      <c r="K9" s="183" t="str">
        <f>VLOOKUP($A9,'FA Addition'!$A:$AK,COLUMN()-6,FALSE)</f>
        <v>Router</v>
      </c>
      <c r="L9" s="180">
        <f>VLOOKUP($A9,'FA Addition'!$A:$AK,COLUMN(),FALSE)</f>
        <v>77280</v>
      </c>
      <c r="M9" s="184">
        <f>VLOOKUP($A9,'FA Addition'!$A:$AK,COLUMN()+2,FALSE)</f>
        <v>3</v>
      </c>
      <c r="N9" s="185">
        <f>VLOOKUP($A9,'FA Addition'!$A:$AK,COLUMN()+2,FALSE)</f>
        <v>0.63159685013596123</v>
      </c>
      <c r="O9" s="186">
        <f>'FA Write off'!$N9*'FA Write off'!$L9*'FA Write off'!$H9/365</f>
        <v>146429.41373552126</v>
      </c>
    </row>
    <row r="10" spans="1:15" s="25" customFormat="1" hidden="1" x14ac:dyDescent="0.4">
      <c r="A10" s="12">
        <v>148</v>
      </c>
      <c r="B10" s="13" t="s">
        <v>1089</v>
      </c>
      <c r="C10" s="14">
        <v>45016</v>
      </c>
      <c r="D10" s="23">
        <v>6</v>
      </c>
      <c r="E10" s="15"/>
      <c r="F10" s="15"/>
      <c r="G10" s="181">
        <f>MONTH('FA Write off'!$C10)</f>
        <v>3</v>
      </c>
      <c r="H10" s="181">
        <f>MIN('FA Write off'!$C10-'FA Write off'!$J10+1,'FA Write off'!$M10*365)</f>
        <v>1095</v>
      </c>
      <c r="I10" s="182">
        <f>VLOOKUP($A10,'FA Addition'!$A:$AK,COLUMN()-6,FALSE)</f>
        <v>42535</v>
      </c>
      <c r="J10" s="182">
        <f>VLOOKUP($A10,'FA Addition'!$A:$AK,COLUMN()-6,FALSE)</f>
        <v>42535</v>
      </c>
      <c r="K10" s="183" t="str">
        <f>VLOOKUP($A10,'FA Addition'!$A:$AK,COLUMN()-6,FALSE)</f>
        <v>Router</v>
      </c>
      <c r="L10" s="180">
        <f>VLOOKUP($A10,'FA Addition'!$A:$AK,COLUMN(),FALSE)</f>
        <v>143586</v>
      </c>
      <c r="M10" s="184">
        <f>VLOOKUP($A10,'FA Addition'!$A:$AK,COLUMN()+2,FALSE)</f>
        <v>3</v>
      </c>
      <c r="N10" s="185">
        <f>VLOOKUP($A10,'FA Addition'!$A:$AK,COLUMN()+2,FALSE)</f>
        <v>0.63160198167081072</v>
      </c>
      <c r="O10" s="186">
        <f>'FA Write off'!$N10*'FA Write off'!$L10*'FA Write off'!$H10/365</f>
        <v>272067.60642055504</v>
      </c>
    </row>
    <row r="11" spans="1:15" s="25" customFormat="1" hidden="1" x14ac:dyDescent="0.4">
      <c r="A11" s="12">
        <v>152</v>
      </c>
      <c r="B11" s="13" t="s">
        <v>1089</v>
      </c>
      <c r="C11" s="14">
        <v>45016</v>
      </c>
      <c r="D11" s="23">
        <v>7</v>
      </c>
      <c r="E11" s="15"/>
      <c r="F11" s="15"/>
      <c r="G11" s="181">
        <f>MONTH('FA Write off'!$C11)</f>
        <v>3</v>
      </c>
      <c r="H11" s="181">
        <f>MIN('FA Write off'!$C11-'FA Write off'!$J11+1,'FA Write off'!$M11*365)</f>
        <v>1095</v>
      </c>
      <c r="I11" s="182">
        <f>VLOOKUP($A11,'FA Addition'!$A:$AK,COLUMN()-6,FALSE)</f>
        <v>42570</v>
      </c>
      <c r="J11" s="182">
        <f>VLOOKUP($A11,'FA Addition'!$A:$AK,COLUMN()-6,FALSE)</f>
        <v>42570</v>
      </c>
      <c r="K11" s="183" t="str">
        <f>VLOOKUP($A11,'FA Addition'!$A:$AK,COLUMN()-6,FALSE)</f>
        <v>Router</v>
      </c>
      <c r="L11" s="180">
        <f>VLOOKUP($A11,'FA Addition'!$A:$AK,COLUMN(),FALSE)</f>
        <v>267120</v>
      </c>
      <c r="M11" s="184">
        <f>VLOOKUP($A11,'FA Addition'!$A:$AK,COLUMN()+2,FALSE)</f>
        <v>3</v>
      </c>
      <c r="N11" s="185">
        <f>VLOOKUP($A11,'FA Addition'!$A:$AK,COLUMN()+2,FALSE)</f>
        <v>0.63159685013596123</v>
      </c>
      <c r="O11" s="186">
        <f>'FA Write off'!$N11*'FA Write off'!$L11*'FA Write off'!$H11/365</f>
        <v>506136.45182495384</v>
      </c>
    </row>
    <row r="12" spans="1:15" s="25" customFormat="1" hidden="1" x14ac:dyDescent="0.4">
      <c r="A12" s="12">
        <v>156</v>
      </c>
      <c r="B12" s="13" t="s">
        <v>1089</v>
      </c>
      <c r="C12" s="14">
        <v>45016</v>
      </c>
      <c r="D12" s="23">
        <v>1</v>
      </c>
      <c r="E12" s="15"/>
      <c r="F12" s="15"/>
      <c r="G12" s="181">
        <f>MONTH('FA Write off'!$C12)</f>
        <v>3</v>
      </c>
      <c r="H12" s="181">
        <f>MIN('FA Write off'!$C12-'FA Write off'!$J12+1,'FA Write off'!$M12*365)</f>
        <v>1095</v>
      </c>
      <c r="I12" s="182">
        <f>VLOOKUP($A12,'FA Addition'!$A:$AK,COLUMN()-6,FALSE)</f>
        <v>42585</v>
      </c>
      <c r="J12" s="182">
        <f>VLOOKUP($A12,'FA Addition'!$A:$AK,COLUMN()-6,FALSE)</f>
        <v>42585</v>
      </c>
      <c r="K12" s="183" t="str">
        <f>VLOOKUP($A12,'FA Addition'!$A:$AK,COLUMN()-6,FALSE)</f>
        <v>Router</v>
      </c>
      <c r="L12" s="180">
        <f>VLOOKUP($A12,'FA Addition'!$A:$AK,COLUMN(),FALSE)</f>
        <v>213675</v>
      </c>
      <c r="M12" s="184">
        <f>VLOOKUP($A12,'FA Addition'!$A:$AK,COLUMN()+2,FALSE)</f>
        <v>3</v>
      </c>
      <c r="N12" s="185">
        <f>VLOOKUP($A12,'FA Addition'!$A:$AK,COLUMN()+2,FALSE)</f>
        <v>0.6315939766109322</v>
      </c>
      <c r="O12" s="186">
        <f>'FA Write off'!$N12*'FA Write off'!$L12*'FA Write off'!$H12/365</f>
        <v>404867.52885702276</v>
      </c>
    </row>
    <row r="13" spans="1:15" s="25" customFormat="1" hidden="1" x14ac:dyDescent="0.4">
      <c r="A13" s="12">
        <v>157</v>
      </c>
      <c r="B13" s="13" t="s">
        <v>1089</v>
      </c>
      <c r="C13" s="14">
        <v>45016</v>
      </c>
      <c r="D13" s="23">
        <v>11</v>
      </c>
      <c r="E13" s="15"/>
      <c r="F13" s="15"/>
      <c r="G13" s="181">
        <f>MONTH('FA Write off'!$C13)</f>
        <v>3</v>
      </c>
      <c r="H13" s="181">
        <f>MIN('FA Write off'!$C13-'FA Write off'!$J13+1,'FA Write off'!$M13*365)</f>
        <v>1095</v>
      </c>
      <c r="I13" s="182">
        <f>VLOOKUP($A13,'FA Addition'!$A:$AK,COLUMN()-6,FALSE)</f>
        <v>42586</v>
      </c>
      <c r="J13" s="182">
        <f>VLOOKUP($A13,'FA Addition'!$A:$AK,COLUMN()-6,FALSE)</f>
        <v>42586</v>
      </c>
      <c r="K13" s="183" t="str">
        <f>VLOOKUP($A13,'FA Addition'!$A:$AK,COLUMN()-6,FALSE)</f>
        <v>Router</v>
      </c>
      <c r="L13" s="180">
        <f>VLOOKUP($A13,'FA Addition'!$A:$AK,COLUMN(),FALSE)</f>
        <v>222605</v>
      </c>
      <c r="M13" s="184">
        <f>VLOOKUP($A13,'FA Addition'!$A:$AK,COLUMN()+2,FALSE)</f>
        <v>3</v>
      </c>
      <c r="N13" s="185">
        <f>VLOOKUP($A13,'FA Addition'!$A:$AK,COLUMN()+2,FALSE)</f>
        <v>0.63159960842911267</v>
      </c>
      <c r="O13" s="186">
        <f>'FA Write off'!$N13*'FA Write off'!$L13*'FA Write off'!$H13/365</f>
        <v>421791.69250308792</v>
      </c>
    </row>
    <row r="14" spans="1:15" s="25" customFormat="1" hidden="1" x14ac:dyDescent="0.4">
      <c r="A14" s="12">
        <v>161</v>
      </c>
      <c r="B14" s="13" t="s">
        <v>1089</v>
      </c>
      <c r="C14" s="14">
        <v>45016</v>
      </c>
      <c r="D14" s="23">
        <v>5</v>
      </c>
      <c r="E14" s="15"/>
      <c r="F14" s="15"/>
      <c r="G14" s="181">
        <f>MONTH('FA Write off'!$C14)</f>
        <v>3</v>
      </c>
      <c r="H14" s="181">
        <f>MIN('FA Write off'!$C14-'FA Write off'!$J14+1,'FA Write off'!$M14*365)</f>
        <v>1095</v>
      </c>
      <c r="I14" s="182">
        <f>VLOOKUP($A14,'FA Addition'!$A:$AK,COLUMN()-6,FALSE)</f>
        <v>42621</v>
      </c>
      <c r="J14" s="182">
        <f>VLOOKUP($A14,'FA Addition'!$A:$AK,COLUMN()-6,FALSE)</f>
        <v>42621</v>
      </c>
      <c r="K14" s="183" t="str">
        <f>VLOOKUP($A14,'FA Addition'!$A:$AK,COLUMN()-6,FALSE)</f>
        <v>Router</v>
      </c>
      <c r="L14" s="180">
        <f>VLOOKUP($A14,'FA Addition'!$A:$AK,COLUMN(),FALSE)</f>
        <v>79955</v>
      </c>
      <c r="M14" s="184">
        <f>VLOOKUP($A14,'FA Addition'!$A:$AK,COLUMN()+2,FALSE)</f>
        <v>3</v>
      </c>
      <c r="N14" s="185">
        <f>VLOOKUP($A14,'FA Addition'!$A:$AK,COLUMN()+2,FALSE)</f>
        <v>0.63158917091075661</v>
      </c>
      <c r="O14" s="186">
        <f>'FA Write off'!$N14*'FA Write off'!$L14*'FA Write off'!$H14/365</f>
        <v>151496.13648050863</v>
      </c>
    </row>
    <row r="15" spans="1:15" s="25" customFormat="1" hidden="1" x14ac:dyDescent="0.4">
      <c r="A15" s="12">
        <v>162</v>
      </c>
      <c r="B15" s="13" t="s">
        <v>1089</v>
      </c>
      <c r="C15" s="14">
        <v>45016</v>
      </c>
      <c r="D15" s="23">
        <v>7</v>
      </c>
      <c r="E15" s="15"/>
      <c r="F15" s="15"/>
      <c r="G15" s="181">
        <f>MONTH('FA Write off'!$C15)</f>
        <v>3</v>
      </c>
      <c r="H15" s="181">
        <f>MIN('FA Write off'!$C15-'FA Write off'!$J15+1,'FA Write off'!$M15*365)</f>
        <v>1095</v>
      </c>
      <c r="I15" s="182">
        <f>VLOOKUP($A15,'FA Addition'!$A:$AK,COLUMN()-6,FALSE)</f>
        <v>42621</v>
      </c>
      <c r="J15" s="182">
        <f>VLOOKUP($A15,'FA Addition'!$A:$AK,COLUMN()-6,FALSE)</f>
        <v>42621</v>
      </c>
      <c r="K15" s="183" t="str">
        <f>VLOOKUP($A15,'FA Addition'!$A:$AK,COLUMN()-6,FALSE)</f>
        <v>Router</v>
      </c>
      <c r="L15" s="180">
        <f>VLOOKUP($A15,'FA Addition'!$A:$AK,COLUMN(),FALSE)</f>
        <v>267120</v>
      </c>
      <c r="M15" s="184">
        <f>VLOOKUP($A15,'FA Addition'!$A:$AK,COLUMN()+2,FALSE)</f>
        <v>3</v>
      </c>
      <c r="N15" s="185">
        <f>VLOOKUP($A15,'FA Addition'!$A:$AK,COLUMN()+2,FALSE)</f>
        <v>0.63159685013596123</v>
      </c>
      <c r="O15" s="186">
        <f>'FA Write off'!$N15*'FA Write off'!$L15*'FA Write off'!$H15/365</f>
        <v>506136.45182495384</v>
      </c>
    </row>
    <row r="16" spans="1:15" s="25" customFormat="1" hidden="1" x14ac:dyDescent="0.4">
      <c r="A16" s="12">
        <v>164</v>
      </c>
      <c r="B16" s="13" t="s">
        <v>1089</v>
      </c>
      <c r="C16" s="14">
        <v>45016</v>
      </c>
      <c r="D16" s="23">
        <v>2</v>
      </c>
      <c r="E16" s="15"/>
      <c r="F16" s="15"/>
      <c r="G16" s="181">
        <f>MONTH('FA Write off'!$C16)</f>
        <v>3</v>
      </c>
      <c r="H16" s="181">
        <f>MIN('FA Write off'!$C16-'FA Write off'!$J16+1,'FA Write off'!$M16*365)</f>
        <v>1095</v>
      </c>
      <c r="I16" s="182">
        <f>VLOOKUP($A16,'FA Addition'!$A:$AK,COLUMN()-6,FALSE)</f>
        <v>42627</v>
      </c>
      <c r="J16" s="182">
        <f>VLOOKUP($A16,'FA Addition'!$A:$AK,COLUMN()-6,FALSE)</f>
        <v>42627</v>
      </c>
      <c r="K16" s="183" t="str">
        <f>VLOOKUP($A16,'FA Addition'!$A:$AK,COLUMN()-6,FALSE)</f>
        <v>Router</v>
      </c>
      <c r="L16" s="180">
        <f>VLOOKUP($A16,'FA Addition'!$A:$AK,COLUMN(),FALSE)</f>
        <v>200340</v>
      </c>
      <c r="M16" s="184">
        <f>VLOOKUP($A16,'FA Addition'!$A:$AK,COLUMN()+2,FALSE)</f>
        <v>3</v>
      </c>
      <c r="N16" s="185">
        <f>VLOOKUP($A16,'FA Addition'!$A:$AK,COLUMN()+2,FALSE)</f>
        <v>0.63159685013596123</v>
      </c>
      <c r="O16" s="186">
        <f>'FA Write off'!$N16*'FA Write off'!$L16*'FA Write off'!$H16/365</f>
        <v>379602.33886871539</v>
      </c>
    </row>
    <row r="17" spans="1:15" s="25" customFormat="1" hidden="1" x14ac:dyDescent="0.4">
      <c r="A17" s="12">
        <v>166</v>
      </c>
      <c r="B17" s="13" t="s">
        <v>1089</v>
      </c>
      <c r="C17" s="14">
        <v>45016</v>
      </c>
      <c r="D17" s="23">
        <v>1</v>
      </c>
      <c r="E17" s="15"/>
      <c r="F17" s="15"/>
      <c r="G17" s="181">
        <f>MONTH('FA Write off'!$C17)</f>
        <v>3</v>
      </c>
      <c r="H17" s="181">
        <f>MIN('FA Write off'!$C17-'FA Write off'!$J17+1,'FA Write off'!$M17*365)</f>
        <v>1095</v>
      </c>
      <c r="I17" s="182">
        <f>VLOOKUP($A17,'FA Addition'!$A:$AK,COLUMN()-6,FALSE)</f>
        <v>42629</v>
      </c>
      <c r="J17" s="182">
        <f>VLOOKUP($A17,'FA Addition'!$A:$AK,COLUMN()-6,FALSE)</f>
        <v>42629</v>
      </c>
      <c r="K17" s="183" t="str">
        <f>VLOOKUP($A17,'FA Addition'!$A:$AK,COLUMN()-6,FALSE)</f>
        <v>Router</v>
      </c>
      <c r="L17" s="180">
        <f>VLOOKUP($A17,'FA Addition'!$A:$AK,COLUMN(),FALSE)</f>
        <v>448350</v>
      </c>
      <c r="M17" s="184">
        <f>VLOOKUP($A17,'FA Addition'!$A:$AK,COLUMN()+2,FALSE)</f>
        <v>3</v>
      </c>
      <c r="N17" s="185">
        <f>VLOOKUP($A17,'FA Addition'!$A:$AK,COLUMN()+2,FALSE)</f>
        <v>0.63159411120126785</v>
      </c>
      <c r="O17" s="186">
        <f>'FA Write off'!$N17*'FA Write off'!$L17*'FA Write off'!$H17/365</f>
        <v>849525.65927126538</v>
      </c>
    </row>
    <row r="18" spans="1:15" s="25" customFormat="1" hidden="1" x14ac:dyDescent="0.4">
      <c r="A18" s="12">
        <v>168</v>
      </c>
      <c r="B18" s="13" t="s">
        <v>1089</v>
      </c>
      <c r="C18" s="14">
        <v>45016</v>
      </c>
      <c r="D18" s="23">
        <v>6</v>
      </c>
      <c r="E18" s="15"/>
      <c r="F18" s="15"/>
      <c r="G18" s="181">
        <f>MONTH('FA Write off'!$C18)</f>
        <v>3</v>
      </c>
      <c r="H18" s="181">
        <f>MIN('FA Write off'!$C18-'FA Write off'!$J18+1,'FA Write off'!$M18*365)</f>
        <v>1095</v>
      </c>
      <c r="I18" s="182">
        <f>VLOOKUP($A18,'FA Addition'!$A:$AK,COLUMN()-6,FALSE)</f>
        <v>42632</v>
      </c>
      <c r="J18" s="182">
        <f>VLOOKUP($A18,'FA Addition'!$A:$AK,COLUMN()-6,FALSE)</f>
        <v>42632</v>
      </c>
      <c r="K18" s="183" t="str">
        <f>VLOOKUP($A18,'FA Addition'!$A:$AK,COLUMN()-6,FALSE)</f>
        <v>Router</v>
      </c>
      <c r="L18" s="180">
        <f>VLOOKUP($A18,'FA Addition'!$A:$AK,COLUMN(),FALSE)</f>
        <v>241605</v>
      </c>
      <c r="M18" s="184">
        <f>VLOOKUP($A18,'FA Addition'!$A:$AK,COLUMN()+2,FALSE)</f>
        <v>3</v>
      </c>
      <c r="N18" s="185">
        <f>VLOOKUP($A18,'FA Addition'!$A:$AK,COLUMN()+2,FALSE)</f>
        <v>0.63159939151335598</v>
      </c>
      <c r="O18" s="186">
        <f>'FA Write off'!$N18*'FA Write off'!$L18*'FA Write off'!$H18/365</f>
        <v>457792.71295975317</v>
      </c>
    </row>
    <row r="19" spans="1:15" s="25" customFormat="1" hidden="1" x14ac:dyDescent="0.4">
      <c r="A19" s="12">
        <v>169</v>
      </c>
      <c r="B19" s="13" t="s">
        <v>1089</v>
      </c>
      <c r="C19" s="14">
        <v>45016</v>
      </c>
      <c r="D19" s="23">
        <v>1</v>
      </c>
      <c r="E19" s="15"/>
      <c r="F19" s="15"/>
      <c r="G19" s="181">
        <f>MONTH('FA Write off'!$C19)</f>
        <v>3</v>
      </c>
      <c r="H19" s="181">
        <f>MIN('FA Write off'!$C19-'FA Write off'!$J19+1,'FA Write off'!$M19*365)</f>
        <v>1095</v>
      </c>
      <c r="I19" s="182">
        <f>VLOOKUP($A19,'FA Addition'!$A:$AK,COLUMN()-6,FALSE)</f>
        <v>42639</v>
      </c>
      <c r="J19" s="182">
        <f>VLOOKUP($A19,'FA Addition'!$A:$AK,COLUMN()-6,FALSE)</f>
        <v>42639</v>
      </c>
      <c r="K19" s="183" t="str">
        <f>VLOOKUP($A19,'FA Addition'!$A:$AK,COLUMN()-6,FALSE)</f>
        <v>Router</v>
      </c>
      <c r="L19" s="180">
        <f>VLOOKUP($A19,'FA Addition'!$A:$AK,COLUMN(),FALSE)</f>
        <v>51188</v>
      </c>
      <c r="M19" s="184">
        <f>VLOOKUP($A19,'FA Addition'!$A:$AK,COLUMN()+2,FALSE)</f>
        <v>3</v>
      </c>
      <c r="N19" s="185">
        <f>VLOOKUP($A19,'FA Addition'!$A:$AK,COLUMN()+2,FALSE)</f>
        <v>0.63161604329809262</v>
      </c>
      <c r="O19" s="186">
        <f>'FA Write off'!$N19*'FA Write off'!$L19*'FA Write off'!$H19/365</f>
        <v>96993.486073028282</v>
      </c>
    </row>
    <row r="20" spans="1:15" s="25" customFormat="1" hidden="1" x14ac:dyDescent="0.4">
      <c r="A20" s="12">
        <v>173</v>
      </c>
      <c r="B20" s="13" t="s">
        <v>1089</v>
      </c>
      <c r="C20" s="14">
        <v>45016</v>
      </c>
      <c r="D20" s="23">
        <v>5</v>
      </c>
      <c r="E20" s="15"/>
      <c r="F20" s="15"/>
      <c r="G20" s="181">
        <f>MONTH('FA Write off'!$C20)</f>
        <v>3</v>
      </c>
      <c r="H20" s="181">
        <f>MIN('FA Write off'!$C20-'FA Write off'!$J20+1,'FA Write off'!$M20*365)</f>
        <v>1095</v>
      </c>
      <c r="I20" s="182">
        <f>VLOOKUP($A20,'FA Addition'!$A:$AK,COLUMN()-6,FALSE)</f>
        <v>42642</v>
      </c>
      <c r="J20" s="182">
        <f>VLOOKUP($A20,'FA Addition'!$A:$AK,COLUMN()-6,FALSE)</f>
        <v>42642</v>
      </c>
      <c r="K20" s="183" t="str">
        <f>VLOOKUP($A20,'FA Addition'!$A:$AK,COLUMN()-6,FALSE)</f>
        <v>Router</v>
      </c>
      <c r="L20" s="180">
        <f>VLOOKUP($A20,'FA Addition'!$A:$AK,COLUMN(),FALSE)</f>
        <v>131670</v>
      </c>
      <c r="M20" s="184">
        <f>VLOOKUP($A20,'FA Addition'!$A:$AK,COLUMN()+2,FALSE)</f>
        <v>3</v>
      </c>
      <c r="N20" s="185">
        <f>VLOOKUP($A20,'FA Addition'!$A:$AK,COLUMN()+2,FALSE)</f>
        <v>0.63158752394614759</v>
      </c>
      <c r="O20" s="186">
        <f>'FA Write off'!$N20*'FA Write off'!$L20*'FA Write off'!$H20/365</f>
        <v>249483.38783396778</v>
      </c>
    </row>
    <row r="21" spans="1:15" s="25" customFormat="1" hidden="1" x14ac:dyDescent="0.4">
      <c r="A21" s="12">
        <v>174</v>
      </c>
      <c r="B21" s="13" t="s">
        <v>1089</v>
      </c>
      <c r="C21" s="14">
        <v>45016</v>
      </c>
      <c r="D21" s="23">
        <v>2</v>
      </c>
      <c r="E21" s="15"/>
      <c r="F21" s="15"/>
      <c r="G21" s="181">
        <f>MONTH('FA Write off'!$C21)</f>
        <v>3</v>
      </c>
      <c r="H21" s="181">
        <f>MIN('FA Write off'!$C21-'FA Write off'!$J21+1,'FA Write off'!$M21*365)</f>
        <v>1095</v>
      </c>
      <c r="I21" s="182">
        <f>VLOOKUP($A21,'FA Addition'!$A:$AK,COLUMN()-6,FALSE)</f>
        <v>42642</v>
      </c>
      <c r="J21" s="182">
        <f>VLOOKUP($A21,'FA Addition'!$A:$AK,COLUMN()-6,FALSE)</f>
        <v>42642</v>
      </c>
      <c r="K21" s="183" t="str">
        <f>VLOOKUP($A21,'FA Addition'!$A:$AK,COLUMN()-6,FALSE)</f>
        <v>Router</v>
      </c>
      <c r="L21" s="180">
        <f>VLOOKUP($A21,'FA Addition'!$A:$AK,COLUMN(),FALSE)</f>
        <v>112613</v>
      </c>
      <c r="M21" s="184">
        <f>VLOOKUP($A21,'FA Addition'!$A:$AK,COLUMN()+2,FALSE)</f>
        <v>3</v>
      </c>
      <c r="N21" s="185">
        <f>VLOOKUP($A21,'FA Addition'!$A:$AK,COLUMN()+2,FALSE)</f>
        <v>0.63158921700711035</v>
      </c>
      <c r="O21" s="186">
        <f>'FA Write off'!$N21*'FA Write off'!$L21*'FA Write off'!$H21/365</f>
        <v>213375.46948446514</v>
      </c>
    </row>
    <row r="22" spans="1:15" s="25" customFormat="1" hidden="1" x14ac:dyDescent="0.4">
      <c r="A22" s="12">
        <v>175</v>
      </c>
      <c r="B22" s="13" t="s">
        <v>1089</v>
      </c>
      <c r="C22" s="14">
        <v>45016</v>
      </c>
      <c r="D22" s="23">
        <v>4</v>
      </c>
      <c r="E22" s="15"/>
      <c r="F22" s="15"/>
      <c r="G22" s="181">
        <f>MONTH('FA Write off'!$C22)</f>
        <v>3</v>
      </c>
      <c r="H22" s="181">
        <f>MIN('FA Write off'!$C22-'FA Write off'!$J22+1,'FA Write off'!$M22*365)</f>
        <v>1095</v>
      </c>
      <c r="I22" s="182">
        <f>VLOOKUP($A22,'FA Addition'!$A:$AK,COLUMN()-6,FALSE)</f>
        <v>42642</v>
      </c>
      <c r="J22" s="182">
        <f>VLOOKUP($A22,'FA Addition'!$A:$AK,COLUMN()-6,FALSE)</f>
        <v>42642</v>
      </c>
      <c r="K22" s="183" t="str">
        <f>VLOOKUP($A22,'FA Addition'!$A:$AK,COLUMN()-6,FALSE)</f>
        <v>Router</v>
      </c>
      <c r="L22" s="180">
        <f>VLOOKUP($A22,'FA Addition'!$A:$AK,COLUMN(),FALSE)</f>
        <v>84420</v>
      </c>
      <c r="M22" s="184">
        <f>VLOOKUP($A22,'FA Addition'!$A:$AK,COLUMN()+2,FALSE)</f>
        <v>3</v>
      </c>
      <c r="N22" s="185">
        <f>VLOOKUP($A22,'FA Addition'!$A:$AK,COLUMN()+2,FALSE)</f>
        <v>0.63159685013596123</v>
      </c>
      <c r="O22" s="186">
        <f>'FA Write off'!$N22*'FA Write off'!$L22*'FA Write off'!$H22/365</f>
        <v>159958.21826543353</v>
      </c>
    </row>
    <row r="23" spans="1:15" s="25" customFormat="1" hidden="1" x14ac:dyDescent="0.4">
      <c r="A23" s="12">
        <v>176</v>
      </c>
      <c r="B23" s="13" t="s">
        <v>1089</v>
      </c>
      <c r="C23" s="14">
        <v>45016</v>
      </c>
      <c r="D23" s="23">
        <v>7</v>
      </c>
      <c r="E23" s="15"/>
      <c r="F23" s="15"/>
      <c r="G23" s="181">
        <f>MONTH('FA Write off'!$C23)</f>
        <v>3</v>
      </c>
      <c r="H23" s="181">
        <f>MIN('FA Write off'!$C23-'FA Write off'!$J23+1,'FA Write off'!$M23*365)</f>
        <v>1095</v>
      </c>
      <c r="I23" s="182">
        <f>VLOOKUP($A23,'FA Addition'!$A:$AK,COLUMN()-6,FALSE)</f>
        <v>42643</v>
      </c>
      <c r="J23" s="182">
        <f>VLOOKUP($A23,'FA Addition'!$A:$AK,COLUMN()-6,FALSE)</f>
        <v>42643</v>
      </c>
      <c r="K23" s="183" t="str">
        <f>VLOOKUP($A23,'FA Addition'!$A:$AK,COLUMN()-6,FALSE)</f>
        <v>Router</v>
      </c>
      <c r="L23" s="180">
        <f>VLOOKUP($A23,'FA Addition'!$A:$AK,COLUMN(),FALSE)</f>
        <v>267120</v>
      </c>
      <c r="M23" s="184">
        <f>VLOOKUP($A23,'FA Addition'!$A:$AK,COLUMN()+2,FALSE)</f>
        <v>3</v>
      </c>
      <c r="N23" s="185">
        <f>VLOOKUP($A23,'FA Addition'!$A:$AK,COLUMN()+2,FALSE)</f>
        <v>0.63159685013596123</v>
      </c>
      <c r="O23" s="186">
        <f>'FA Write off'!$N23*'FA Write off'!$L23*'FA Write off'!$H23/365</f>
        <v>506136.45182495384</v>
      </c>
    </row>
    <row r="24" spans="1:15" s="25" customFormat="1" hidden="1" x14ac:dyDescent="0.4">
      <c r="A24" s="12">
        <v>184</v>
      </c>
      <c r="B24" s="13" t="s">
        <v>1089</v>
      </c>
      <c r="C24" s="14">
        <v>45016</v>
      </c>
      <c r="D24" s="23">
        <v>5</v>
      </c>
      <c r="E24" s="15"/>
      <c r="F24" s="15"/>
      <c r="G24" s="181">
        <f>MONTH('FA Write off'!$C24)</f>
        <v>3</v>
      </c>
      <c r="H24" s="181">
        <f>MIN('FA Write off'!$C24-'FA Write off'!$J24+1,'FA Write off'!$M24*365)</f>
        <v>1095</v>
      </c>
      <c r="I24" s="182">
        <f>VLOOKUP($A24,'FA Addition'!$A:$AK,COLUMN()-6,FALSE)</f>
        <v>42692</v>
      </c>
      <c r="J24" s="182">
        <f>VLOOKUP($A24,'FA Addition'!$A:$AK,COLUMN()-6,FALSE)</f>
        <v>42692</v>
      </c>
      <c r="K24" s="183" t="str">
        <f>VLOOKUP($A24,'FA Addition'!$A:$AK,COLUMN()-6,FALSE)</f>
        <v>Router</v>
      </c>
      <c r="L24" s="180">
        <f>VLOOKUP($A24,'FA Addition'!$A:$AK,COLUMN(),FALSE)</f>
        <v>102375</v>
      </c>
      <c r="M24" s="184">
        <f>VLOOKUP($A24,'FA Addition'!$A:$AK,COLUMN()+2,FALSE)</f>
        <v>3</v>
      </c>
      <c r="N24" s="185">
        <f>VLOOKUP($A24,'FA Addition'!$A:$AK,COLUMN()+2,FALSE)</f>
        <v>0.63159085262432246</v>
      </c>
      <c r="O24" s="186">
        <f>'FA Write off'!$N24*'FA Write off'!$L24*'FA Write off'!$H24/365</f>
        <v>193977.34061224503</v>
      </c>
    </row>
    <row r="25" spans="1:15" s="25" customFormat="1" hidden="1" x14ac:dyDescent="0.4">
      <c r="A25" s="12">
        <v>186</v>
      </c>
      <c r="B25" s="13" t="s">
        <v>1089</v>
      </c>
      <c r="C25" s="14">
        <v>45016</v>
      </c>
      <c r="D25" s="23">
        <v>2</v>
      </c>
      <c r="E25" s="15"/>
      <c r="F25" s="15"/>
      <c r="G25" s="181">
        <f>MONTH('FA Write off'!$C25)</f>
        <v>3</v>
      </c>
      <c r="H25" s="181">
        <f>MIN('FA Write off'!$C25-'FA Write off'!$J25+1,'FA Write off'!$M25*365)</f>
        <v>1095</v>
      </c>
      <c r="I25" s="182">
        <f>VLOOKUP($A25,'FA Addition'!$A:$AK,COLUMN()-6,FALSE)</f>
        <v>42702</v>
      </c>
      <c r="J25" s="182">
        <f>VLOOKUP($A25,'FA Addition'!$A:$AK,COLUMN()-6,FALSE)</f>
        <v>42702</v>
      </c>
      <c r="K25" s="183" t="str">
        <f>VLOOKUP($A25,'FA Addition'!$A:$AK,COLUMN()-6,FALSE)</f>
        <v>Router</v>
      </c>
      <c r="L25" s="180">
        <f>VLOOKUP($A25,'FA Addition'!$A:$AK,COLUMN(),FALSE)</f>
        <v>28326</v>
      </c>
      <c r="M25" s="184">
        <f>VLOOKUP($A25,'FA Addition'!$A:$AK,COLUMN()+2,FALSE)</f>
        <v>3</v>
      </c>
      <c r="N25" s="185">
        <f>VLOOKUP($A25,'FA Addition'!$A:$AK,COLUMN()+2,FALSE)</f>
        <v>0.63162286363342557</v>
      </c>
      <c r="O25" s="186">
        <f>'FA Write off'!$N25*'FA Write off'!$L25*'FA Write off'!$H25/365</f>
        <v>53674.047705841236</v>
      </c>
    </row>
    <row r="26" spans="1:15" s="25" customFormat="1" hidden="1" x14ac:dyDescent="0.4">
      <c r="A26" s="12">
        <v>190</v>
      </c>
      <c r="B26" s="13" t="s">
        <v>1089</v>
      </c>
      <c r="C26" s="14">
        <v>45016</v>
      </c>
      <c r="D26" s="23">
        <v>3</v>
      </c>
      <c r="E26" s="15"/>
      <c r="F26" s="15"/>
      <c r="G26" s="181">
        <f>MONTH('FA Write off'!$C26)</f>
        <v>3</v>
      </c>
      <c r="H26" s="181">
        <f>MIN('FA Write off'!$C26-'FA Write off'!$J26+1,'FA Write off'!$M26*365)</f>
        <v>1095</v>
      </c>
      <c r="I26" s="182">
        <f>VLOOKUP($A26,'FA Addition'!$A:$AK,COLUMN()-6,FALSE)</f>
        <v>42710</v>
      </c>
      <c r="J26" s="182">
        <f>VLOOKUP($A26,'FA Addition'!$A:$AK,COLUMN()-6,FALSE)</f>
        <v>42710</v>
      </c>
      <c r="K26" s="183" t="str">
        <f>VLOOKUP($A26,'FA Addition'!$A:$AK,COLUMN()-6,FALSE)</f>
        <v>Router</v>
      </c>
      <c r="L26" s="180">
        <f>VLOOKUP($A26,'FA Addition'!$A:$AK,COLUMN(),FALSE)</f>
        <v>60848</v>
      </c>
      <c r="M26" s="184">
        <f>VLOOKUP($A26,'FA Addition'!$A:$AK,COLUMN()+2,FALSE)</f>
        <v>3</v>
      </c>
      <c r="N26" s="185">
        <f>VLOOKUP($A26,'FA Addition'!$A:$AK,COLUMN()+2,FALSE)</f>
        <v>0.63161299613019084</v>
      </c>
      <c r="O26" s="186">
        <f>'FA Write off'!$N26*'FA Write off'!$L26*'FA Write off'!$H26/365</f>
        <v>115297.16276558956</v>
      </c>
    </row>
    <row r="27" spans="1:15" s="25" customFormat="1" hidden="1" x14ac:dyDescent="0.4">
      <c r="A27" s="12">
        <v>191</v>
      </c>
      <c r="B27" s="13" t="s">
        <v>1089</v>
      </c>
      <c r="C27" s="14">
        <v>45016</v>
      </c>
      <c r="D27" s="23">
        <v>3</v>
      </c>
      <c r="E27" s="15"/>
      <c r="F27" s="15"/>
      <c r="G27" s="181">
        <f>MONTH('FA Write off'!$C27)</f>
        <v>3</v>
      </c>
      <c r="H27" s="181">
        <f>MIN('FA Write off'!$C27-'FA Write off'!$J27+1,'FA Write off'!$M27*365)</f>
        <v>1095</v>
      </c>
      <c r="I27" s="182">
        <f>VLOOKUP($A27,'FA Addition'!$A:$AK,COLUMN()-6,FALSE)</f>
        <v>42737</v>
      </c>
      <c r="J27" s="182">
        <f>VLOOKUP($A27,'FA Addition'!$A:$AK,COLUMN()-6,FALSE)</f>
        <v>42737</v>
      </c>
      <c r="K27" s="183" t="str">
        <f>VLOOKUP($A27,'FA Addition'!$A:$AK,COLUMN()-6,FALSE)</f>
        <v>Router</v>
      </c>
      <c r="L27" s="180">
        <f>VLOOKUP($A27,'FA Addition'!$A:$AK,COLUMN(),FALSE)</f>
        <v>61425</v>
      </c>
      <c r="M27" s="184">
        <f>VLOOKUP($A27,'FA Addition'!$A:$AK,COLUMN()+2,FALSE)</f>
        <v>3</v>
      </c>
      <c r="N27" s="185">
        <f>VLOOKUP($A27,'FA Addition'!$A:$AK,COLUMN()+2,FALSE)</f>
        <v>0.63160684642266141</v>
      </c>
      <c r="O27" s="186">
        <f>'FA Write off'!$N27*'FA Write off'!$L27*'FA Write off'!$H27/365</f>
        <v>116389.35162453595</v>
      </c>
    </row>
    <row r="28" spans="1:15" s="25" customFormat="1" hidden="1" x14ac:dyDescent="0.4">
      <c r="A28" s="12">
        <v>192</v>
      </c>
      <c r="B28" s="13" t="s">
        <v>1089</v>
      </c>
      <c r="C28" s="14">
        <v>45016</v>
      </c>
      <c r="D28" s="23">
        <v>6</v>
      </c>
      <c r="E28" s="15"/>
      <c r="F28" s="15"/>
      <c r="G28" s="181">
        <f>MONTH('FA Write off'!$C28)</f>
        <v>3</v>
      </c>
      <c r="H28" s="181">
        <f>MIN('FA Write off'!$C28-'FA Write off'!$J28+1,'FA Write off'!$M28*365)</f>
        <v>1095</v>
      </c>
      <c r="I28" s="182">
        <f>VLOOKUP($A28,'FA Addition'!$A:$AK,COLUMN()-6,FALSE)</f>
        <v>42748</v>
      </c>
      <c r="J28" s="182">
        <f>VLOOKUP($A28,'FA Addition'!$A:$AK,COLUMN()-6,FALSE)</f>
        <v>42748</v>
      </c>
      <c r="K28" s="183" t="str">
        <f>VLOOKUP($A28,'FA Addition'!$A:$AK,COLUMN()-6,FALSE)</f>
        <v>Router</v>
      </c>
      <c r="L28" s="180">
        <f>VLOOKUP($A28,'FA Addition'!$A:$AK,COLUMN(),FALSE)</f>
        <v>113925</v>
      </c>
      <c r="M28" s="184">
        <f>VLOOKUP($A28,'FA Addition'!$A:$AK,COLUMN()+2,FALSE)</f>
        <v>3</v>
      </c>
      <c r="N28" s="185">
        <f>VLOOKUP($A28,'FA Addition'!$A:$AK,COLUMN()+2,FALSE)</f>
        <v>0.63160223977153374</v>
      </c>
      <c r="O28" s="186">
        <f>'FA Write off'!$N28*'FA Write off'!$L28*'FA Write off'!$H28/365</f>
        <v>215865.85549791594</v>
      </c>
    </row>
    <row r="29" spans="1:15" s="25" customFormat="1" hidden="1" x14ac:dyDescent="0.4">
      <c r="A29" s="12">
        <v>207</v>
      </c>
      <c r="B29" s="13" t="s">
        <v>1089</v>
      </c>
      <c r="C29" s="14">
        <v>45016</v>
      </c>
      <c r="D29" s="23">
        <v>7</v>
      </c>
      <c r="E29" s="15"/>
      <c r="F29" s="15"/>
      <c r="G29" s="181">
        <f>MONTH('FA Write off'!$C29)</f>
        <v>3</v>
      </c>
      <c r="H29" s="181">
        <f>MIN('FA Write off'!$C29-'FA Write off'!$J29+1,'FA Write off'!$M29*365)</f>
        <v>1095</v>
      </c>
      <c r="I29" s="182">
        <f>VLOOKUP($A29,'FA Addition'!$A:$AK,COLUMN()-6,FALSE)</f>
        <v>42804</v>
      </c>
      <c r="J29" s="182">
        <f>VLOOKUP($A29,'FA Addition'!$A:$AK,COLUMN()-6,FALSE)</f>
        <v>42804</v>
      </c>
      <c r="K29" s="183" t="str">
        <f>VLOOKUP($A29,'FA Addition'!$A:$AK,COLUMN()-6,FALSE)</f>
        <v>Router</v>
      </c>
      <c r="L29" s="180">
        <f>VLOOKUP($A29,'FA Addition'!$A:$AK,COLUMN(),FALSE)</f>
        <v>122693</v>
      </c>
      <c r="M29" s="184">
        <f>VLOOKUP($A29,'FA Addition'!$A:$AK,COLUMN()+2,FALSE)</f>
        <v>3</v>
      </c>
      <c r="N29" s="185">
        <f>VLOOKUP($A29,'FA Addition'!$A:$AK,COLUMN()+2,FALSE)</f>
        <v>0.63158984410462715</v>
      </c>
      <c r="O29" s="186">
        <f>'FA Write off'!$N29*'FA Write off'!$L29*'FA Write off'!$H29/365</f>
        <v>232474.95822818702</v>
      </c>
    </row>
    <row r="30" spans="1:15" s="25" customFormat="1" hidden="1" x14ac:dyDescent="0.4">
      <c r="A30" s="12">
        <v>233</v>
      </c>
      <c r="B30" s="13" t="s">
        <v>1089</v>
      </c>
      <c r="C30" s="14">
        <v>45016</v>
      </c>
      <c r="D30" s="23">
        <v>15</v>
      </c>
      <c r="E30" s="15"/>
      <c r="F30" s="15"/>
      <c r="G30" s="181">
        <f>MONTH('FA Write off'!$C30)</f>
        <v>3</v>
      </c>
      <c r="H30" s="181">
        <f>MIN('FA Write off'!$C30-'FA Write off'!$J30+1,'FA Write off'!$M30*365)</f>
        <v>1095</v>
      </c>
      <c r="I30" s="182">
        <f>VLOOKUP($A30,'FA Addition'!$A:$AK,COLUMN()-6,FALSE)</f>
        <v>42840</v>
      </c>
      <c r="J30" s="182">
        <f>VLOOKUP($A30,'FA Addition'!$A:$AK,COLUMN()-6,FALSE)</f>
        <v>42840</v>
      </c>
      <c r="K30" s="183" t="str">
        <f>VLOOKUP($A30,'FA Addition'!$A:$AK,COLUMN()-6,FALSE)</f>
        <v>Router</v>
      </c>
      <c r="L30" s="180">
        <f>VLOOKUP($A30,'FA Addition'!$A:$AK,COLUMN(),FALSE)</f>
        <v>476200</v>
      </c>
      <c r="M30" s="184">
        <f>VLOOKUP($A30,'FA Addition'!$A:$AK,COLUMN()+2,FALSE)</f>
        <v>3</v>
      </c>
      <c r="N30" s="185">
        <f>VLOOKUP($A30,'FA Addition'!$A:$AK,COLUMN()+2,FALSE)</f>
        <v>0.63159685013596123</v>
      </c>
      <c r="O30" s="186">
        <f>'FA Write off'!$N30*'FA Write off'!$L30*'FA Write off'!$H30/365</f>
        <v>902299.2601042341</v>
      </c>
    </row>
    <row r="31" spans="1:15" s="25" customFormat="1" hidden="1" x14ac:dyDescent="0.4">
      <c r="A31" s="12">
        <v>238</v>
      </c>
      <c r="B31" s="13" t="s">
        <v>1089</v>
      </c>
      <c r="C31" s="14">
        <v>45016</v>
      </c>
      <c r="D31" s="23">
        <v>7</v>
      </c>
      <c r="E31" s="15"/>
      <c r="F31" s="15"/>
      <c r="G31" s="181">
        <f>MONTH('FA Write off'!$C31)</f>
        <v>3</v>
      </c>
      <c r="H31" s="181">
        <f>MIN('FA Write off'!$C31-'FA Write off'!$J31+1,'FA Write off'!$M31*365)</f>
        <v>1095</v>
      </c>
      <c r="I31" s="182">
        <f>VLOOKUP($A31,'FA Addition'!$A:$AK,COLUMN()-6,FALSE)</f>
        <v>42892</v>
      </c>
      <c r="J31" s="182">
        <f>VLOOKUP($A31,'FA Addition'!$A:$AK,COLUMN()-6,FALSE)</f>
        <v>42892</v>
      </c>
      <c r="K31" s="183" t="str">
        <f>VLOOKUP($A31,'FA Addition'!$A:$AK,COLUMN()-6,FALSE)</f>
        <v>Router</v>
      </c>
      <c r="L31" s="180">
        <f>VLOOKUP($A31,'FA Addition'!$A:$AK,COLUMN(),FALSE)</f>
        <v>357150</v>
      </c>
      <c r="M31" s="184">
        <f>VLOOKUP($A31,'FA Addition'!$A:$AK,COLUMN()+2,FALSE)</f>
        <v>3</v>
      </c>
      <c r="N31" s="185">
        <f>VLOOKUP($A31,'FA Addition'!$A:$AK,COLUMN()+2,FALSE)</f>
        <v>0.63159341180742001</v>
      </c>
      <c r="O31" s="186">
        <f>'FA Write off'!$N31*'FA Write off'!$L31*'FA Write off'!$H31/365</f>
        <v>676720.76108106016</v>
      </c>
    </row>
    <row r="32" spans="1:15" s="25" customFormat="1" hidden="1" x14ac:dyDescent="0.4">
      <c r="A32" s="12">
        <v>239</v>
      </c>
      <c r="B32" s="13" t="s">
        <v>1089</v>
      </c>
      <c r="C32" s="14">
        <v>45016</v>
      </c>
      <c r="D32" s="23">
        <v>7</v>
      </c>
      <c r="E32" s="15"/>
      <c r="F32" s="15"/>
      <c r="G32" s="181">
        <f>MONTH('FA Write off'!$C32)</f>
        <v>3</v>
      </c>
      <c r="H32" s="181">
        <f>MIN('FA Write off'!$C32-'FA Write off'!$J32+1,'FA Write off'!$M32*365)</f>
        <v>1095</v>
      </c>
      <c r="I32" s="182">
        <f>VLOOKUP($A32,'FA Addition'!$A:$AK,COLUMN()-6,FALSE)</f>
        <v>42913</v>
      </c>
      <c r="J32" s="182">
        <f>VLOOKUP($A32,'FA Addition'!$A:$AK,COLUMN()-6,FALSE)</f>
        <v>42913</v>
      </c>
      <c r="K32" s="183" t="str">
        <f>VLOOKUP($A32,'FA Addition'!$A:$AK,COLUMN()-6,FALSE)</f>
        <v>Router</v>
      </c>
      <c r="L32" s="180">
        <f>VLOOKUP($A32,'FA Addition'!$A:$AK,COLUMN(),FALSE)</f>
        <v>357150</v>
      </c>
      <c r="M32" s="184">
        <f>VLOOKUP($A32,'FA Addition'!$A:$AK,COLUMN()+2,FALSE)</f>
        <v>3</v>
      </c>
      <c r="N32" s="185">
        <f>VLOOKUP($A32,'FA Addition'!$A:$AK,COLUMN()+2,FALSE)</f>
        <v>0.63159341180742001</v>
      </c>
      <c r="O32" s="186">
        <f>'FA Write off'!$N32*'FA Write off'!$L32*'FA Write off'!$H32/365</f>
        <v>676720.76108106016</v>
      </c>
    </row>
    <row r="33" spans="1:15" s="25" customFormat="1" hidden="1" x14ac:dyDescent="0.4">
      <c r="A33" s="12">
        <v>293</v>
      </c>
      <c r="B33" s="13" t="s">
        <v>1089</v>
      </c>
      <c r="C33" s="14">
        <v>45016</v>
      </c>
      <c r="D33" s="23">
        <v>1</v>
      </c>
      <c r="E33" s="15"/>
      <c r="F33" s="15"/>
      <c r="G33" s="181">
        <f>MONTH('FA Write off'!$C33)</f>
        <v>3</v>
      </c>
      <c r="H33" s="181">
        <f>MIN('FA Write off'!$C33-'FA Write off'!$J33+1,'FA Write off'!$M33*365)</f>
        <v>1095</v>
      </c>
      <c r="I33" s="182">
        <f>VLOOKUP($A33,'FA Addition'!$A:$AK,COLUMN()-6,FALSE)</f>
        <v>43014</v>
      </c>
      <c r="J33" s="182">
        <f>VLOOKUP($A33,'FA Addition'!$A:$AK,COLUMN()-6,FALSE)</f>
        <v>43014</v>
      </c>
      <c r="K33" s="183" t="str">
        <f>VLOOKUP($A33,'FA Addition'!$A:$AK,COLUMN()-6,FALSE)</f>
        <v>Router</v>
      </c>
      <c r="L33" s="180">
        <f>VLOOKUP($A33,'FA Addition'!$A:$AK,COLUMN(),FALSE)</f>
        <v>20700</v>
      </c>
      <c r="M33" s="184">
        <f>VLOOKUP($A33,'FA Addition'!$A:$AK,COLUMN()+2,FALSE)</f>
        <v>3</v>
      </c>
      <c r="N33" s="185">
        <f>VLOOKUP($A33,'FA Addition'!$A:$AK,COLUMN()+2,FALSE)</f>
        <v>0.63159685013596123</v>
      </c>
      <c r="O33" s="186">
        <f>'FA Write off'!$N33*'FA Write off'!$L33*'FA Write off'!$H33/365</f>
        <v>39222.164393443192</v>
      </c>
    </row>
    <row r="34" spans="1:15" s="25" customFormat="1" hidden="1" x14ac:dyDescent="0.4">
      <c r="A34" s="12">
        <v>299</v>
      </c>
      <c r="B34" s="13" t="s">
        <v>1089</v>
      </c>
      <c r="C34" s="14">
        <v>45016</v>
      </c>
      <c r="D34" s="23">
        <v>1</v>
      </c>
      <c r="E34" s="15"/>
      <c r="F34" s="15"/>
      <c r="G34" s="181">
        <f>MONTH('FA Write off'!$C34)</f>
        <v>3</v>
      </c>
      <c r="H34" s="181">
        <f>MIN('FA Write off'!$C34-'FA Write off'!$J34+1,'FA Write off'!$M34*365)</f>
        <v>1095</v>
      </c>
      <c r="I34" s="182">
        <f>VLOOKUP($A34,'FA Addition'!$A:$AK,COLUMN()-6,FALSE)</f>
        <v>43043</v>
      </c>
      <c r="J34" s="182">
        <f>VLOOKUP($A34,'FA Addition'!$A:$AK,COLUMN()-6,FALSE)</f>
        <v>43043</v>
      </c>
      <c r="K34" s="183" t="str">
        <f>VLOOKUP($A34,'FA Addition'!$A:$AK,COLUMN()-6,FALSE)</f>
        <v>Router</v>
      </c>
      <c r="L34" s="180">
        <f>VLOOKUP($A34,'FA Addition'!$A:$AK,COLUMN(),FALSE)</f>
        <v>43220</v>
      </c>
      <c r="M34" s="184">
        <f>VLOOKUP($A34,'FA Addition'!$A:$AK,COLUMN()+2,FALSE)</f>
        <v>3</v>
      </c>
      <c r="N34" s="185">
        <f>VLOOKUP($A34,'FA Addition'!$A:$AK,COLUMN()+2,FALSE)</f>
        <v>0.63159685013596123</v>
      </c>
      <c r="O34" s="186">
        <f>'FA Write off'!$N34*'FA Write off'!$L34*'FA Write off'!$H34/365</f>
        <v>81892.847588628734</v>
      </c>
    </row>
    <row r="35" spans="1:15" s="25" customFormat="1" hidden="1" x14ac:dyDescent="0.4">
      <c r="A35" s="12">
        <v>314</v>
      </c>
      <c r="B35" s="13" t="s">
        <v>1089</v>
      </c>
      <c r="C35" s="14">
        <v>45016</v>
      </c>
      <c r="D35" s="23">
        <v>6</v>
      </c>
      <c r="E35" s="15"/>
      <c r="F35" s="15"/>
      <c r="G35" s="181">
        <f>MONTH('FA Write off'!$C35)</f>
        <v>3</v>
      </c>
      <c r="H35" s="181">
        <f>MIN('FA Write off'!$C35-'FA Write off'!$J35+1,'FA Write off'!$M35*365)</f>
        <v>1095</v>
      </c>
      <c r="I35" s="182">
        <f>VLOOKUP($A35,'FA Addition'!$A:$AK,COLUMN()-6,FALSE)</f>
        <v>43062</v>
      </c>
      <c r="J35" s="182">
        <f>VLOOKUP($A35,'FA Addition'!$A:$AK,COLUMN()-6,FALSE)</f>
        <v>43062</v>
      </c>
      <c r="K35" s="183" t="str">
        <f>VLOOKUP($A35,'FA Addition'!$A:$AK,COLUMN()-6,FALSE)</f>
        <v>Router</v>
      </c>
      <c r="L35" s="180">
        <f>VLOOKUP($A35,'FA Addition'!$A:$AK,COLUMN(),FALSE)</f>
        <v>97200</v>
      </c>
      <c r="M35" s="184">
        <f>VLOOKUP($A35,'FA Addition'!$A:$AK,COLUMN()+2,FALSE)</f>
        <v>3</v>
      </c>
      <c r="N35" s="185">
        <f>VLOOKUP($A35,'FA Addition'!$A:$AK,COLUMN()+2,FALSE)</f>
        <v>0.63159685013596123</v>
      </c>
      <c r="O35" s="186">
        <f>'FA Write off'!$N35*'FA Write off'!$L35*'FA Write off'!$H35/365</f>
        <v>184173.64149964627</v>
      </c>
    </row>
    <row r="36" spans="1:15" s="25" customFormat="1" hidden="1" x14ac:dyDescent="0.4">
      <c r="A36" s="12">
        <v>318</v>
      </c>
      <c r="B36" s="13" t="s">
        <v>1089</v>
      </c>
      <c r="C36" s="14">
        <v>45016</v>
      </c>
      <c r="D36" s="23">
        <v>15</v>
      </c>
      <c r="E36" s="15"/>
      <c r="F36" s="15"/>
      <c r="G36" s="181">
        <f>MONTH('FA Write off'!$C36)</f>
        <v>3</v>
      </c>
      <c r="H36" s="181">
        <f>MIN('FA Write off'!$C36-'FA Write off'!$J36+1,'FA Write off'!$M36*365)</f>
        <v>1095</v>
      </c>
      <c r="I36" s="182">
        <f>VLOOKUP($A36,'FA Addition'!$A:$AK,COLUMN()-6,FALSE)</f>
        <v>43076</v>
      </c>
      <c r="J36" s="182">
        <f>VLOOKUP($A36,'FA Addition'!$A:$AK,COLUMN()-6,FALSE)</f>
        <v>43076</v>
      </c>
      <c r="K36" s="183" t="str">
        <f>VLOOKUP($A36,'FA Addition'!$A:$AK,COLUMN()-6,FALSE)</f>
        <v>Router</v>
      </c>
      <c r="L36" s="180">
        <f>VLOOKUP($A36,'FA Addition'!$A:$AK,COLUMN(),FALSE)</f>
        <v>423328</v>
      </c>
      <c r="M36" s="184">
        <f>VLOOKUP($A36,'FA Addition'!$A:$AK,COLUMN()+2,FALSE)</f>
        <v>3</v>
      </c>
      <c r="N36" s="185">
        <f>VLOOKUP($A36,'FA Addition'!$A:$AK,COLUMN()+2,FALSE)</f>
        <v>0.63159917082957984</v>
      </c>
      <c r="O36" s="186">
        <f>'FA Write off'!$N36*'FA Write off'!$L36*'FA Write off'!$H36/365</f>
        <v>802120.84136683319</v>
      </c>
    </row>
    <row r="37" spans="1:15" s="25" customFormat="1" hidden="1" x14ac:dyDescent="0.4">
      <c r="A37" s="12">
        <v>319</v>
      </c>
      <c r="B37" s="13" t="s">
        <v>1089</v>
      </c>
      <c r="C37" s="14">
        <v>45016</v>
      </c>
      <c r="D37" s="23">
        <v>18</v>
      </c>
      <c r="E37" s="15"/>
      <c r="F37" s="15"/>
      <c r="G37" s="181">
        <f>MONTH('FA Write off'!$C37)</f>
        <v>3</v>
      </c>
      <c r="H37" s="181">
        <f>MIN('FA Write off'!$C37-'FA Write off'!$J37+1,'FA Write off'!$M37*365)</f>
        <v>1095</v>
      </c>
      <c r="I37" s="182">
        <f>VLOOKUP($A37,'FA Addition'!$A:$AK,COLUMN()-6,FALSE)</f>
        <v>43083</v>
      </c>
      <c r="J37" s="182">
        <f>VLOOKUP($A37,'FA Addition'!$A:$AK,COLUMN()-6,FALSE)</f>
        <v>43083</v>
      </c>
      <c r="K37" s="183" t="str">
        <f>VLOOKUP($A37,'FA Addition'!$A:$AK,COLUMN()-6,FALSE)</f>
        <v>Router</v>
      </c>
      <c r="L37" s="180">
        <f>VLOOKUP($A37,'FA Addition'!$A:$AK,COLUMN(),FALSE)</f>
        <v>247882</v>
      </c>
      <c r="M37" s="184">
        <f>VLOOKUP($A37,'FA Addition'!$A:$AK,COLUMN()+2,FALSE)</f>
        <v>3</v>
      </c>
      <c r="N37" s="185">
        <f>VLOOKUP($A37,'FA Addition'!$A:$AK,COLUMN()+2,FALSE)</f>
        <v>0.63159784094110427</v>
      </c>
      <c r="O37" s="186">
        <f>'FA Write off'!$N37*'FA Write off'!$L37*'FA Write off'!$H37/365</f>
        <v>469685.20802448841</v>
      </c>
    </row>
    <row r="38" spans="1:15" s="25" customFormat="1" hidden="1" x14ac:dyDescent="0.4">
      <c r="A38" s="12">
        <v>320</v>
      </c>
      <c r="B38" s="13" t="s">
        <v>1089</v>
      </c>
      <c r="C38" s="14">
        <v>45016</v>
      </c>
      <c r="D38" s="23">
        <v>12</v>
      </c>
      <c r="E38" s="15"/>
      <c r="F38" s="15"/>
      <c r="G38" s="181">
        <f>MONTH('FA Write off'!$C38)</f>
        <v>3</v>
      </c>
      <c r="H38" s="181">
        <f>MIN('FA Write off'!$C38-'FA Write off'!$J38+1,'FA Write off'!$M38*365)</f>
        <v>1095</v>
      </c>
      <c r="I38" s="182">
        <f>VLOOKUP($A38,'FA Addition'!$A:$AK,COLUMN()-6,FALSE)</f>
        <v>43091</v>
      </c>
      <c r="J38" s="182">
        <f>VLOOKUP($A38,'FA Addition'!$A:$AK,COLUMN()-6,FALSE)</f>
        <v>43089</v>
      </c>
      <c r="K38" s="183" t="str">
        <f>VLOOKUP($A38,'FA Addition'!$A:$AK,COLUMN()-6,FALSE)</f>
        <v>Router</v>
      </c>
      <c r="L38" s="180">
        <f>VLOOKUP($A38,'FA Addition'!$A:$AK,COLUMN(),FALSE)</f>
        <v>82627</v>
      </c>
      <c r="M38" s="184">
        <f>VLOOKUP($A38,'FA Addition'!$A:$AK,COLUMN()+2,FALSE)</f>
        <v>3</v>
      </c>
      <c r="N38" s="185">
        <f>VLOOKUP($A38,'FA Addition'!$A:$AK,COLUMN()+2,FALSE)</f>
        <v>0.6316072538977533</v>
      </c>
      <c r="O38" s="186">
        <f>'FA Write off'!$N38*'FA Write off'!$L38*'FA Write off'!$H38/365</f>
        <v>156563.43770342896</v>
      </c>
    </row>
    <row r="39" spans="1:15" s="25" customFormat="1" hidden="1" x14ac:dyDescent="0.4">
      <c r="A39" s="12">
        <v>326</v>
      </c>
      <c r="B39" s="13" t="s">
        <v>1089</v>
      </c>
      <c r="C39" s="14">
        <v>45016</v>
      </c>
      <c r="D39" s="23">
        <v>3</v>
      </c>
      <c r="E39" s="15"/>
      <c r="F39" s="15"/>
      <c r="G39" s="181">
        <f>MONTH('FA Write off'!$C39)</f>
        <v>3</v>
      </c>
      <c r="H39" s="181">
        <f>MIN('FA Write off'!$C39-'FA Write off'!$J39+1,'FA Write off'!$M39*365)</f>
        <v>1095</v>
      </c>
      <c r="I39" s="182">
        <f>VLOOKUP($A39,'FA Addition'!$A:$AK,COLUMN()-6,FALSE)</f>
        <v>43098</v>
      </c>
      <c r="J39" s="182">
        <f>VLOOKUP($A39,'FA Addition'!$A:$AK,COLUMN()-6,FALSE)</f>
        <v>43098</v>
      </c>
      <c r="K39" s="183" t="str">
        <f>VLOOKUP($A39,'FA Addition'!$A:$AK,COLUMN()-6,FALSE)</f>
        <v>Router</v>
      </c>
      <c r="L39" s="180">
        <f>VLOOKUP($A39,'FA Addition'!$A:$AK,COLUMN(),FALSE)</f>
        <v>51966</v>
      </c>
      <c r="M39" s="184">
        <f>VLOOKUP($A39,'FA Addition'!$A:$AK,COLUMN()+2,FALSE)</f>
        <v>3</v>
      </c>
      <c r="N39" s="185">
        <f>VLOOKUP($A39,'FA Addition'!$A:$AK,COLUMN()+2,FALSE)</f>
        <v>0.63161102930424051</v>
      </c>
      <c r="O39" s="186">
        <f>'FA Write off'!$N39*'FA Write off'!$L39*'FA Write off'!$H39/365</f>
        <v>98466.89624647249</v>
      </c>
    </row>
    <row r="40" spans="1:15" s="25" customFormat="1" hidden="1" x14ac:dyDescent="0.4">
      <c r="A40" s="12">
        <v>329</v>
      </c>
      <c r="B40" s="13" t="s">
        <v>1089</v>
      </c>
      <c r="C40" s="14">
        <v>45016</v>
      </c>
      <c r="D40" s="23">
        <v>42</v>
      </c>
      <c r="E40" s="15"/>
      <c r="F40" s="15"/>
      <c r="G40" s="181">
        <f>MONTH('FA Write off'!$C40)</f>
        <v>3</v>
      </c>
      <c r="H40" s="181">
        <f>MIN('FA Write off'!$C40-'FA Write off'!$J40+1,'FA Write off'!$M40*365)</f>
        <v>1095</v>
      </c>
      <c r="I40" s="182">
        <f>VLOOKUP($A40,'FA Addition'!$A:$AK,COLUMN()-6,FALSE)</f>
        <v>43109</v>
      </c>
      <c r="J40" s="182">
        <f>VLOOKUP($A40,'FA Addition'!$A:$AK,COLUMN()-6,FALSE)</f>
        <v>43109</v>
      </c>
      <c r="K40" s="183" t="str">
        <f>VLOOKUP($A40,'FA Addition'!$A:$AK,COLUMN()-6,FALSE)</f>
        <v>Router</v>
      </c>
      <c r="L40" s="180">
        <f>VLOOKUP($A40,'FA Addition'!$A:$AK,COLUMN(),FALSE)</f>
        <v>752541</v>
      </c>
      <c r="M40" s="184">
        <f>VLOOKUP($A40,'FA Addition'!$A:$AK,COLUMN()+2,FALSE)</f>
        <v>3</v>
      </c>
      <c r="N40" s="185">
        <f>VLOOKUP($A40,'FA Addition'!$A:$AK,COLUMN()+2,FALSE)</f>
        <v>0.63159701331790674</v>
      </c>
      <c r="O40" s="186">
        <f>'FA Write off'!$N40*'FA Write off'!$L40*'FA Write off'!$H40/365</f>
        <v>1425907.9439978127</v>
      </c>
    </row>
    <row r="41" spans="1:15" s="25" customFormat="1" hidden="1" x14ac:dyDescent="0.4">
      <c r="A41" s="12">
        <v>337</v>
      </c>
      <c r="B41" s="13" t="s">
        <v>1089</v>
      </c>
      <c r="C41" s="14">
        <v>45016</v>
      </c>
      <c r="D41" s="23">
        <v>10</v>
      </c>
      <c r="E41" s="15"/>
      <c r="F41" s="15"/>
      <c r="G41" s="181">
        <f>MONTH('FA Write off'!$C41)</f>
        <v>3</v>
      </c>
      <c r="H41" s="181">
        <f>MIN('FA Write off'!$C41-'FA Write off'!$J41+1,'FA Write off'!$M41*365)</f>
        <v>1095</v>
      </c>
      <c r="I41" s="182">
        <f>VLOOKUP($A41,'FA Addition'!$A:$AK,COLUMN()-6,FALSE)</f>
        <v>43124</v>
      </c>
      <c r="J41" s="182">
        <f>VLOOKUP($A41,'FA Addition'!$A:$AK,COLUMN()-6,FALSE)</f>
        <v>43124</v>
      </c>
      <c r="K41" s="183" t="str">
        <f>VLOOKUP($A41,'FA Addition'!$A:$AK,COLUMN()-6,FALSE)</f>
        <v>Router</v>
      </c>
      <c r="L41" s="180">
        <f>VLOOKUP($A41,'FA Addition'!$A:$AK,COLUMN(),FALSE)</f>
        <v>213100</v>
      </c>
      <c r="M41" s="184">
        <f>VLOOKUP($A41,'FA Addition'!$A:$AK,COLUMN()+2,FALSE)</f>
        <v>3</v>
      </c>
      <c r="N41" s="185">
        <f>VLOOKUP($A41,'FA Addition'!$A:$AK,COLUMN()+2,FALSE)</f>
        <v>0.63159685013596123</v>
      </c>
      <c r="O41" s="186">
        <f>'FA Write off'!$N41*'FA Write off'!$L41*'FA Write off'!$H41/365</f>
        <v>403779.86629192007</v>
      </c>
    </row>
    <row r="42" spans="1:15" s="25" customFormat="1" hidden="1" x14ac:dyDescent="0.4">
      <c r="A42" s="12">
        <v>338</v>
      </c>
      <c r="B42" s="13" t="s">
        <v>1089</v>
      </c>
      <c r="C42" s="14">
        <v>45016</v>
      </c>
      <c r="D42" s="23">
        <v>11</v>
      </c>
      <c r="E42" s="15"/>
      <c r="F42" s="15"/>
      <c r="G42" s="181">
        <f>MONTH('FA Write off'!$C42)</f>
        <v>3</v>
      </c>
      <c r="H42" s="181">
        <f>MIN('FA Write off'!$C42-'FA Write off'!$J42+1,'FA Write off'!$M42*365)</f>
        <v>1095</v>
      </c>
      <c r="I42" s="182">
        <f>VLOOKUP($A42,'FA Addition'!$A:$AK,COLUMN()-6,FALSE)</f>
        <v>43131</v>
      </c>
      <c r="J42" s="182">
        <f>VLOOKUP($A42,'FA Addition'!$A:$AK,COLUMN()-6,FALSE)</f>
        <v>43131</v>
      </c>
      <c r="K42" s="183" t="str">
        <f>VLOOKUP($A42,'FA Addition'!$A:$AK,COLUMN()-6,FALSE)</f>
        <v>Router</v>
      </c>
      <c r="L42" s="180">
        <f>VLOOKUP($A42,'FA Addition'!$A:$AK,COLUMN(),FALSE)</f>
        <v>600000</v>
      </c>
      <c r="M42" s="184">
        <f>VLOOKUP($A42,'FA Addition'!$A:$AK,COLUMN()+2,FALSE)</f>
        <v>3</v>
      </c>
      <c r="N42" s="185">
        <f>VLOOKUP($A42,'FA Addition'!$A:$AK,COLUMN()+2,FALSE)</f>
        <v>0.63159685013596123</v>
      </c>
      <c r="O42" s="186">
        <f>'FA Write off'!$N42*'FA Write off'!$L42*'FA Write off'!$H42/365</f>
        <v>1136874.3302447302</v>
      </c>
    </row>
    <row r="43" spans="1:15" s="25" customFormat="1" hidden="1" x14ac:dyDescent="0.4">
      <c r="A43" s="12">
        <v>351</v>
      </c>
      <c r="B43" s="13" t="s">
        <v>1089</v>
      </c>
      <c r="C43" s="14">
        <v>45016</v>
      </c>
      <c r="D43" s="23">
        <v>1</v>
      </c>
      <c r="E43" s="15"/>
      <c r="F43" s="15"/>
      <c r="G43" s="181">
        <f>MONTH('FA Write off'!$C43)</f>
        <v>3</v>
      </c>
      <c r="H43" s="181">
        <f>MIN('FA Write off'!$C43-'FA Write off'!$J43+1,'FA Write off'!$M43*365)</f>
        <v>1095</v>
      </c>
      <c r="I43" s="182">
        <f>VLOOKUP($A43,'FA Addition'!$A:$AK,COLUMN()-6,FALSE)</f>
        <v>43206</v>
      </c>
      <c r="J43" s="182">
        <f>VLOOKUP($A43,'FA Addition'!$A:$AK,COLUMN()-6,FALSE)</f>
        <v>43206</v>
      </c>
      <c r="K43" s="183" t="str">
        <f>VLOOKUP($A43,'FA Addition'!$A:$AK,COLUMN()-6,FALSE)</f>
        <v>Router</v>
      </c>
      <c r="L43" s="180">
        <f>VLOOKUP($A43,'FA Addition'!$A:$AK,COLUMN(),FALSE)</f>
        <v>40950</v>
      </c>
      <c r="M43" s="184">
        <f>VLOOKUP($A43,'FA Addition'!$A:$AK,COLUMN()+2,FALSE)</f>
        <v>3</v>
      </c>
      <c r="N43" s="185">
        <f>VLOOKUP($A43,'FA Addition'!$A:$AK,COLUMN()+2,FALSE)</f>
        <v>0.63156686453027266</v>
      </c>
      <c r="O43" s="186">
        <f>'FA Write off'!$N43*'FA Write off'!$L43*'FA Write off'!$H43/365</f>
        <v>77587.989307544005</v>
      </c>
    </row>
    <row r="44" spans="1:15" s="25" customFormat="1" hidden="1" x14ac:dyDescent="0.4">
      <c r="A44" s="12">
        <v>356</v>
      </c>
      <c r="B44" s="13" t="s">
        <v>1089</v>
      </c>
      <c r="C44" s="14">
        <v>45016</v>
      </c>
      <c r="D44" s="23">
        <v>3</v>
      </c>
      <c r="E44" s="15"/>
      <c r="F44" s="15"/>
      <c r="G44" s="181">
        <f>MONTH('FA Write off'!$C44)</f>
        <v>3</v>
      </c>
      <c r="H44" s="181">
        <f>MIN('FA Write off'!$C44-'FA Write off'!$J44+1,'FA Write off'!$M44*365)</f>
        <v>1095</v>
      </c>
      <c r="I44" s="182">
        <f>VLOOKUP($A44,'FA Addition'!$A:$AK,COLUMN()-6,FALSE)</f>
        <v>43228</v>
      </c>
      <c r="J44" s="182">
        <f>VLOOKUP($A44,'FA Addition'!$A:$AK,COLUMN()-6,FALSE)</f>
        <v>43228</v>
      </c>
      <c r="K44" s="183" t="str">
        <f>VLOOKUP($A44,'FA Addition'!$A:$AK,COLUMN()-6,FALSE)</f>
        <v>Router</v>
      </c>
      <c r="L44" s="180">
        <f>VLOOKUP($A44,'FA Addition'!$A:$AK,COLUMN(),FALSE)</f>
        <v>41500</v>
      </c>
      <c r="M44" s="184">
        <f>VLOOKUP($A44,'FA Addition'!$A:$AK,COLUMN()+2,FALSE)</f>
        <v>3</v>
      </c>
      <c r="N44" s="185">
        <f>VLOOKUP($A44,'FA Addition'!$A:$AK,COLUMN()+2,FALSE)</f>
        <v>0.63159685013596123</v>
      </c>
      <c r="O44" s="186">
        <f>'FA Write off'!$N44*'FA Write off'!$L44*'FA Write off'!$H44/365</f>
        <v>78633.807841927177</v>
      </c>
    </row>
    <row r="45" spans="1:15" s="25" customFormat="1" hidden="1" x14ac:dyDescent="0.4">
      <c r="A45" s="12">
        <v>360</v>
      </c>
      <c r="B45" s="13" t="s">
        <v>1089</v>
      </c>
      <c r="C45" s="14">
        <v>45016</v>
      </c>
      <c r="D45" s="23">
        <v>3</v>
      </c>
      <c r="E45" s="15"/>
      <c r="F45" s="15"/>
      <c r="G45" s="181">
        <f>MONTH('FA Write off'!$C45)</f>
        <v>3</v>
      </c>
      <c r="H45" s="181">
        <f>MIN('FA Write off'!$C45-'FA Write off'!$J45+1,'FA Write off'!$M45*365)</f>
        <v>1095</v>
      </c>
      <c r="I45" s="182">
        <f>VLOOKUP($A45,'FA Addition'!$A:$AK,COLUMN()-6,FALSE)</f>
        <v>43238</v>
      </c>
      <c r="J45" s="182">
        <f>VLOOKUP($A45,'FA Addition'!$A:$AK,COLUMN()-6,FALSE)</f>
        <v>43238</v>
      </c>
      <c r="K45" s="183" t="str">
        <f>VLOOKUP($A45,'FA Addition'!$A:$AK,COLUMN()-6,FALSE)</f>
        <v>Router</v>
      </c>
      <c r="L45" s="180">
        <f>VLOOKUP($A45,'FA Addition'!$A:$AK,COLUMN(),FALSE)</f>
        <v>83000</v>
      </c>
      <c r="M45" s="184">
        <f>VLOOKUP($A45,'FA Addition'!$A:$AK,COLUMN()+2,FALSE)</f>
        <v>3</v>
      </c>
      <c r="N45" s="185">
        <f>VLOOKUP($A45,'FA Addition'!$A:$AK,COLUMN()+2,FALSE)</f>
        <v>0.63159685013596123</v>
      </c>
      <c r="O45" s="186">
        <f>'FA Write off'!$N45*'FA Write off'!$L45*'FA Write off'!$H45/365</f>
        <v>157267.61568385435</v>
      </c>
    </row>
    <row r="46" spans="1:15" s="25" customFormat="1" hidden="1" x14ac:dyDescent="0.4">
      <c r="A46" s="12">
        <v>366</v>
      </c>
      <c r="B46" s="13" t="s">
        <v>1089</v>
      </c>
      <c r="C46" s="14">
        <v>45016</v>
      </c>
      <c r="D46" s="23">
        <v>4</v>
      </c>
      <c r="E46" s="15"/>
      <c r="F46" s="15"/>
      <c r="G46" s="181">
        <f>MONTH('FA Write off'!$C46)</f>
        <v>3</v>
      </c>
      <c r="H46" s="181">
        <f>MIN('FA Write off'!$C46-'FA Write off'!$J46+1,'FA Write off'!$M46*365)</f>
        <v>1095</v>
      </c>
      <c r="I46" s="182">
        <f>VLOOKUP($A46,'FA Addition'!$A:$AK,COLUMN()-6,FALSE)</f>
        <v>43294</v>
      </c>
      <c r="J46" s="182">
        <f>VLOOKUP($A46,'FA Addition'!$A:$AK,COLUMN()-6,FALSE)</f>
        <v>43294</v>
      </c>
      <c r="K46" s="183" t="str">
        <f>VLOOKUP($A46,'FA Addition'!$A:$AK,COLUMN()-6,FALSE)</f>
        <v>Router</v>
      </c>
      <c r="L46" s="180">
        <f>VLOOKUP($A46,'FA Addition'!$A:$AK,COLUMN(),FALSE)</f>
        <v>108800</v>
      </c>
      <c r="M46" s="184">
        <f>VLOOKUP($A46,'FA Addition'!$A:$AK,COLUMN()+2,FALSE)</f>
        <v>3</v>
      </c>
      <c r="N46" s="185">
        <f>VLOOKUP($A46,'FA Addition'!$A:$AK,COLUMN()+2,FALSE)</f>
        <v>0.63159685013596123</v>
      </c>
      <c r="O46" s="186">
        <f>'FA Write off'!$N46*'FA Write off'!$L46*'FA Write off'!$H46/365</f>
        <v>206153.2118843777</v>
      </c>
    </row>
    <row r="47" spans="1:15" s="25" customFormat="1" hidden="1" x14ac:dyDescent="0.4">
      <c r="A47" s="12">
        <v>367</v>
      </c>
      <c r="B47" s="13" t="s">
        <v>1089</v>
      </c>
      <c r="C47" s="14">
        <v>45016</v>
      </c>
      <c r="D47" s="23">
        <v>2</v>
      </c>
      <c r="E47" s="15"/>
      <c r="F47" s="15"/>
      <c r="G47" s="181">
        <f>MONTH('FA Write off'!$C47)</f>
        <v>3</v>
      </c>
      <c r="H47" s="181">
        <f>MIN('FA Write off'!$C47-'FA Write off'!$J47+1,'FA Write off'!$M47*365)</f>
        <v>1095</v>
      </c>
      <c r="I47" s="182">
        <f>VLOOKUP($A47,'FA Addition'!$A:$AK,COLUMN()-6,FALSE)</f>
        <v>43304</v>
      </c>
      <c r="J47" s="182">
        <f>VLOOKUP($A47,'FA Addition'!$A:$AK,COLUMN()-6,FALSE)</f>
        <v>43304</v>
      </c>
      <c r="K47" s="183" t="str">
        <f>VLOOKUP($A47,'FA Addition'!$A:$AK,COLUMN()-6,FALSE)</f>
        <v>Router</v>
      </c>
      <c r="L47" s="180">
        <f>VLOOKUP($A47,'FA Addition'!$A:$AK,COLUMN(),FALSE)</f>
        <v>41500</v>
      </c>
      <c r="M47" s="184">
        <f>VLOOKUP($A47,'FA Addition'!$A:$AK,COLUMN()+2,FALSE)</f>
        <v>3</v>
      </c>
      <c r="N47" s="185">
        <f>VLOOKUP($A47,'FA Addition'!$A:$AK,COLUMN()+2,FALSE)</f>
        <v>0.63159685013596123</v>
      </c>
      <c r="O47" s="186">
        <f>'FA Write off'!$N47*'FA Write off'!$L47*'FA Write off'!$H47/365</f>
        <v>78633.807841927177</v>
      </c>
    </row>
    <row r="48" spans="1:15" s="25" customFormat="1" hidden="1" x14ac:dyDescent="0.4">
      <c r="A48" s="12">
        <v>369</v>
      </c>
      <c r="B48" s="13" t="s">
        <v>1089</v>
      </c>
      <c r="C48" s="14">
        <v>45016</v>
      </c>
      <c r="D48" s="23">
        <v>18</v>
      </c>
      <c r="E48" s="15"/>
      <c r="F48" s="15"/>
      <c r="G48" s="181">
        <f>MONTH('FA Write off'!$C48)</f>
        <v>3</v>
      </c>
      <c r="H48" s="181">
        <f>MIN('FA Write off'!$C48-'FA Write off'!$J48+1,'FA Write off'!$M48*365)</f>
        <v>1095</v>
      </c>
      <c r="I48" s="182">
        <f>VLOOKUP($A48,'FA Addition'!$A:$AK,COLUMN()-6,FALSE)</f>
        <v>43323</v>
      </c>
      <c r="J48" s="182">
        <f>VLOOKUP($A48,'FA Addition'!$A:$AK,COLUMN()-6,FALSE)</f>
        <v>43323</v>
      </c>
      <c r="K48" s="183" t="str">
        <f>VLOOKUP($A48,'FA Addition'!$A:$AK,COLUMN()-6,FALSE)</f>
        <v>Router</v>
      </c>
      <c r="L48" s="180">
        <f>VLOOKUP($A48,'FA Addition'!$A:$AK,COLUMN(),FALSE)</f>
        <v>509400</v>
      </c>
      <c r="M48" s="184">
        <f>VLOOKUP($A48,'FA Addition'!$A:$AK,COLUMN()+2,FALSE)</f>
        <v>3</v>
      </c>
      <c r="N48" s="185">
        <f>VLOOKUP($A48,'FA Addition'!$A:$AK,COLUMN()+2,FALSE)</f>
        <v>0.63159685013596123</v>
      </c>
      <c r="O48" s="186">
        <f>'FA Write off'!$N48*'FA Write off'!$L48*'FA Write off'!$H48/365</f>
        <v>965206.30637777608</v>
      </c>
    </row>
    <row r="49" spans="1:15" s="25" customFormat="1" hidden="1" x14ac:dyDescent="0.4">
      <c r="A49" s="12">
        <v>374</v>
      </c>
      <c r="B49" s="13" t="s">
        <v>1089</v>
      </c>
      <c r="C49" s="14">
        <v>45016</v>
      </c>
      <c r="D49" s="23">
        <v>5</v>
      </c>
      <c r="E49" s="15"/>
      <c r="F49" s="15"/>
      <c r="G49" s="181">
        <f>MONTH('FA Write off'!$C49)</f>
        <v>3</v>
      </c>
      <c r="H49" s="181">
        <f>MIN('FA Write off'!$C49-'FA Write off'!$J49+1,'FA Write off'!$M49*365)</f>
        <v>1095</v>
      </c>
      <c r="I49" s="182">
        <f>VLOOKUP($A49,'FA Addition'!$A:$AK,COLUMN()-6,FALSE)</f>
        <v>43361</v>
      </c>
      <c r="J49" s="182">
        <f>VLOOKUP($A49,'FA Addition'!$A:$AK,COLUMN()-6,FALSE)</f>
        <v>43361</v>
      </c>
      <c r="K49" s="183" t="str">
        <f>VLOOKUP($A49,'FA Addition'!$A:$AK,COLUMN()-6,FALSE)</f>
        <v>Router</v>
      </c>
      <c r="L49" s="180">
        <f>VLOOKUP($A49,'FA Addition'!$A:$AK,COLUMN(),FALSE)</f>
        <v>98900</v>
      </c>
      <c r="M49" s="184">
        <f>VLOOKUP($A49,'FA Addition'!$A:$AK,COLUMN()+2,FALSE)</f>
        <v>3</v>
      </c>
      <c r="N49" s="185">
        <f>VLOOKUP($A49,'FA Addition'!$A:$AK,COLUMN()+2,FALSE)</f>
        <v>0.63159685013596123</v>
      </c>
      <c r="O49" s="186">
        <f>'FA Write off'!$N49*'FA Write off'!$L49*'FA Write off'!$H49/365</f>
        <v>187394.7854353397</v>
      </c>
    </row>
    <row r="50" spans="1:15" s="25" customFormat="1" hidden="1" x14ac:dyDescent="0.4">
      <c r="A50" s="12">
        <v>375</v>
      </c>
      <c r="B50" s="13" t="s">
        <v>1089</v>
      </c>
      <c r="C50" s="14">
        <v>45016</v>
      </c>
      <c r="D50" s="23">
        <v>3</v>
      </c>
      <c r="E50" s="15"/>
      <c r="F50" s="15"/>
      <c r="G50" s="181">
        <f>MONTH('FA Write off'!$C50)</f>
        <v>3</v>
      </c>
      <c r="H50" s="181">
        <f>MIN('FA Write off'!$C50-'FA Write off'!$J50+1,'FA Write off'!$M50*365)</f>
        <v>1095</v>
      </c>
      <c r="I50" s="182">
        <f>VLOOKUP($A50,'FA Addition'!$A:$AK,COLUMN()-6,FALSE)</f>
        <v>43361</v>
      </c>
      <c r="J50" s="182">
        <f>VLOOKUP($A50,'FA Addition'!$A:$AK,COLUMN()-6,FALSE)</f>
        <v>43361</v>
      </c>
      <c r="K50" s="183" t="str">
        <f>VLOOKUP($A50,'FA Addition'!$A:$AK,COLUMN()-6,FALSE)</f>
        <v>Router</v>
      </c>
      <c r="L50" s="180">
        <f>VLOOKUP($A50,'FA Addition'!$A:$AK,COLUMN(),FALSE)</f>
        <v>51600</v>
      </c>
      <c r="M50" s="184">
        <f>VLOOKUP($A50,'FA Addition'!$A:$AK,COLUMN()+2,FALSE)</f>
        <v>3</v>
      </c>
      <c r="N50" s="185">
        <f>VLOOKUP($A50,'FA Addition'!$A:$AK,COLUMN()+2,FALSE)</f>
        <v>0.63159685013596123</v>
      </c>
      <c r="O50" s="186">
        <f>'FA Write off'!$N50*'FA Write off'!$L50*'FA Write off'!$H50/365</f>
        <v>97771.192401046792</v>
      </c>
    </row>
    <row r="51" spans="1:15" s="25" customFormat="1" hidden="1" x14ac:dyDescent="0.4">
      <c r="A51" s="12">
        <v>382</v>
      </c>
      <c r="B51" s="13" t="s">
        <v>1089</v>
      </c>
      <c r="C51" s="14">
        <v>45016</v>
      </c>
      <c r="D51" s="23">
        <v>1</v>
      </c>
      <c r="E51" s="15"/>
      <c r="F51" s="15"/>
      <c r="G51" s="181">
        <f>MONTH('FA Write off'!$C51)</f>
        <v>3</v>
      </c>
      <c r="H51" s="181">
        <f>MIN('FA Write off'!$C51-'FA Write off'!$J51+1,'FA Write off'!$M51*365)</f>
        <v>1095</v>
      </c>
      <c r="I51" s="182">
        <f>VLOOKUP($A51,'FA Addition'!$A:$AK,COLUMN()-6,FALSE)</f>
        <v>43371</v>
      </c>
      <c r="J51" s="182">
        <f>VLOOKUP($A51,'FA Addition'!$A:$AK,COLUMN()-6,FALSE)</f>
        <v>43371</v>
      </c>
      <c r="K51" s="183" t="str">
        <f>VLOOKUP($A51,'FA Addition'!$A:$AK,COLUMN()-6,FALSE)</f>
        <v>Router</v>
      </c>
      <c r="L51" s="180">
        <f>VLOOKUP($A51,'FA Addition'!$A:$AK,COLUMN(),FALSE)</f>
        <v>30960</v>
      </c>
      <c r="M51" s="184">
        <f>VLOOKUP($A51,'FA Addition'!$A:$AK,COLUMN()+2,FALSE)</f>
        <v>3</v>
      </c>
      <c r="N51" s="185">
        <f>VLOOKUP($A51,'FA Addition'!$A:$AK,COLUMN()+2,FALSE)</f>
        <v>0.63159685013596123</v>
      </c>
      <c r="O51" s="186">
        <f>'FA Write off'!$N51*'FA Write off'!$L51*'FA Write off'!$H51/365</f>
        <v>58662.715440628075</v>
      </c>
    </row>
    <row r="52" spans="1:15" s="25" customFormat="1" hidden="1" x14ac:dyDescent="0.4">
      <c r="A52" s="12">
        <v>391</v>
      </c>
      <c r="B52" s="13" t="s">
        <v>1089</v>
      </c>
      <c r="C52" s="14">
        <v>45016</v>
      </c>
      <c r="D52" s="23">
        <v>9</v>
      </c>
      <c r="E52" s="15"/>
      <c r="F52" s="15"/>
      <c r="G52" s="181">
        <f>MONTH('FA Write off'!$C52)</f>
        <v>3</v>
      </c>
      <c r="H52" s="181">
        <f>MIN('FA Write off'!$C52-'FA Write off'!$J52+1,'FA Write off'!$M52*365)</f>
        <v>1095</v>
      </c>
      <c r="I52" s="182">
        <f>VLOOKUP($A52,'FA Addition'!$A:$AK,COLUMN()-6,FALSE)</f>
        <v>43440</v>
      </c>
      <c r="J52" s="182">
        <f>VLOOKUP($A52,'FA Addition'!$A:$AK,COLUMN()-6,FALSE)</f>
        <v>43440</v>
      </c>
      <c r="K52" s="183" t="str">
        <f>VLOOKUP($A52,'FA Addition'!$A:$AK,COLUMN()-6,FALSE)</f>
        <v>Router</v>
      </c>
      <c r="L52" s="180">
        <f>VLOOKUP($A52,'FA Addition'!$A:$AK,COLUMN(),FALSE)</f>
        <v>195500</v>
      </c>
      <c r="M52" s="184">
        <f>VLOOKUP($A52,'FA Addition'!$A:$AK,COLUMN()+2,FALSE)</f>
        <v>3</v>
      </c>
      <c r="N52" s="185">
        <f>VLOOKUP($A52,'FA Addition'!$A:$AK,COLUMN()+2,FALSE)</f>
        <v>0.63159685013596123</v>
      </c>
      <c r="O52" s="186">
        <f>'FA Write off'!$N52*'FA Write off'!$L52*'FA Write off'!$H52/365</f>
        <v>370431.55260474124</v>
      </c>
    </row>
    <row r="53" spans="1:15" s="25" customFormat="1" hidden="1" x14ac:dyDescent="0.4">
      <c r="A53" s="12">
        <v>392</v>
      </c>
      <c r="B53" s="13" t="s">
        <v>1089</v>
      </c>
      <c r="C53" s="14">
        <v>45016</v>
      </c>
      <c r="D53" s="23">
        <v>2</v>
      </c>
      <c r="E53" s="15"/>
      <c r="F53" s="15"/>
      <c r="G53" s="181">
        <f>MONTH('FA Write off'!$C53)</f>
        <v>3</v>
      </c>
      <c r="H53" s="181">
        <f>MIN('FA Write off'!$C53-'FA Write off'!$J53+1,'FA Write off'!$M53*365)</f>
        <v>1095</v>
      </c>
      <c r="I53" s="182">
        <f>VLOOKUP($A53,'FA Addition'!$A:$AK,COLUMN()-6,FALSE)</f>
        <v>43441</v>
      </c>
      <c r="J53" s="182">
        <f>VLOOKUP($A53,'FA Addition'!$A:$AK,COLUMN()-6,FALSE)</f>
        <v>43441</v>
      </c>
      <c r="K53" s="183" t="str">
        <f>VLOOKUP($A53,'FA Addition'!$A:$AK,COLUMN()-6,FALSE)</f>
        <v>Router</v>
      </c>
      <c r="L53" s="180">
        <f>VLOOKUP($A53,'FA Addition'!$A:$AK,COLUMN(),FALSE)</f>
        <v>34500</v>
      </c>
      <c r="M53" s="184">
        <f>VLOOKUP($A53,'FA Addition'!$A:$AK,COLUMN()+2,FALSE)</f>
        <v>3</v>
      </c>
      <c r="N53" s="185">
        <f>VLOOKUP($A53,'FA Addition'!$A:$AK,COLUMN()+2,FALSE)</f>
        <v>0.63159685013596123</v>
      </c>
      <c r="O53" s="186">
        <f>'FA Write off'!$N53*'FA Write off'!$L53*'FA Write off'!$H53/365</f>
        <v>65370.273989071982</v>
      </c>
    </row>
    <row r="54" spans="1:15" s="25" customFormat="1" hidden="1" x14ac:dyDescent="0.4">
      <c r="A54" s="12">
        <v>393</v>
      </c>
      <c r="B54" s="13" t="s">
        <v>1089</v>
      </c>
      <c r="C54" s="14">
        <v>45016</v>
      </c>
      <c r="D54" s="23">
        <v>25</v>
      </c>
      <c r="E54" s="15"/>
      <c r="F54" s="15"/>
      <c r="G54" s="181">
        <f>MONTH('FA Write off'!$C54)</f>
        <v>3</v>
      </c>
      <c r="H54" s="181">
        <f>MIN('FA Write off'!$C54-'FA Write off'!$J54+1,'FA Write off'!$M54*365)</f>
        <v>1095</v>
      </c>
      <c r="I54" s="182">
        <f>VLOOKUP($A54,'FA Addition'!$A:$AK,COLUMN()-6,FALSE)</f>
        <v>43487</v>
      </c>
      <c r="J54" s="182">
        <f>VLOOKUP($A54,'FA Addition'!$A:$AK,COLUMN()-6,FALSE)</f>
        <v>43487</v>
      </c>
      <c r="K54" s="183" t="str">
        <f>VLOOKUP($A54,'FA Addition'!$A:$AK,COLUMN()-6,FALSE)</f>
        <v>Router</v>
      </c>
      <c r="L54" s="180">
        <f>VLOOKUP($A54,'FA Addition'!$A:$AK,COLUMN(),FALSE)</f>
        <v>747500</v>
      </c>
      <c r="M54" s="184">
        <f>VLOOKUP($A54,'FA Addition'!$A:$AK,COLUMN()+2,FALSE)</f>
        <v>3</v>
      </c>
      <c r="N54" s="185">
        <f>VLOOKUP($A54,'FA Addition'!$A:$AK,COLUMN()+2,FALSE)</f>
        <v>0.63159685013596123</v>
      </c>
      <c r="O54" s="186">
        <f>'FA Write off'!$N54*'FA Write off'!$L54*'FA Write off'!$H54/365</f>
        <v>1416355.9364298929</v>
      </c>
    </row>
    <row r="55" spans="1:15" s="25" customFormat="1" hidden="1" x14ac:dyDescent="0.4">
      <c r="A55" s="12">
        <v>394</v>
      </c>
      <c r="B55" s="13" t="s">
        <v>1089</v>
      </c>
      <c r="C55" s="14">
        <v>45016</v>
      </c>
      <c r="D55" s="23">
        <v>1</v>
      </c>
      <c r="E55" s="15"/>
      <c r="F55" s="15"/>
      <c r="G55" s="181">
        <f>MONTH('FA Write off'!$C55)</f>
        <v>3</v>
      </c>
      <c r="H55" s="181">
        <f>MIN('FA Write off'!$C55-'FA Write off'!$J55+1,'FA Write off'!$M55*365)</f>
        <v>1095</v>
      </c>
      <c r="I55" s="182">
        <f>VLOOKUP($A55,'FA Addition'!$A:$AK,COLUMN()-6,FALSE)</f>
        <v>43500</v>
      </c>
      <c r="J55" s="182">
        <f>VLOOKUP($A55,'FA Addition'!$A:$AK,COLUMN()-6,FALSE)</f>
        <v>43500</v>
      </c>
      <c r="K55" s="183" t="str">
        <f>VLOOKUP($A55,'FA Addition'!$A:$AK,COLUMN()-6,FALSE)</f>
        <v>Router</v>
      </c>
      <c r="L55" s="180">
        <f>VLOOKUP($A55,'FA Addition'!$A:$AK,COLUMN(),FALSE)</f>
        <v>84000</v>
      </c>
      <c r="M55" s="184">
        <f>VLOOKUP($A55,'FA Addition'!$A:$AK,COLUMN()+2,FALSE)</f>
        <v>3</v>
      </c>
      <c r="N55" s="185">
        <f>VLOOKUP($A55,'FA Addition'!$A:$AK,COLUMN()+2,FALSE)</f>
        <v>0.63159685013596123</v>
      </c>
      <c r="O55" s="186">
        <f>'FA Write off'!$N55*'FA Write off'!$L55*'FA Write off'!$H55/365</f>
        <v>159162.40623426222</v>
      </c>
    </row>
    <row r="56" spans="1:15" s="25" customFormat="1" hidden="1" x14ac:dyDescent="0.4">
      <c r="A56" s="12">
        <v>402</v>
      </c>
      <c r="B56" s="13" t="s">
        <v>1089</v>
      </c>
      <c r="C56" s="14">
        <v>45016</v>
      </c>
      <c r="D56" s="23">
        <v>5</v>
      </c>
      <c r="E56" s="15"/>
      <c r="F56" s="15"/>
      <c r="G56" s="181">
        <f>MONTH('FA Write off'!$C56)</f>
        <v>3</v>
      </c>
      <c r="H56" s="181">
        <f>MIN('FA Write off'!$C56-'FA Write off'!$J56+1,'FA Write off'!$M56*365)</f>
        <v>1095</v>
      </c>
      <c r="I56" s="182">
        <f>VLOOKUP($A56,'FA Addition'!$A:$AK,COLUMN()-6,FALSE)</f>
        <v>43523</v>
      </c>
      <c r="J56" s="182">
        <f>VLOOKUP($A56,'FA Addition'!$A:$AK,COLUMN()-6,FALSE)</f>
        <v>43523</v>
      </c>
      <c r="K56" s="183" t="str">
        <f>VLOOKUP($A56,'FA Addition'!$A:$AK,COLUMN()-6,FALSE)</f>
        <v>Router</v>
      </c>
      <c r="L56" s="180">
        <f>VLOOKUP($A56,'FA Addition'!$A:$AK,COLUMN(),FALSE)</f>
        <v>89700</v>
      </c>
      <c r="M56" s="184">
        <f>VLOOKUP($A56,'FA Addition'!$A:$AK,COLUMN()+2,FALSE)</f>
        <v>3</v>
      </c>
      <c r="N56" s="185">
        <f>VLOOKUP($A56,'FA Addition'!$A:$AK,COLUMN()+2,FALSE)</f>
        <v>0.63159685013596123</v>
      </c>
      <c r="O56" s="186">
        <f>'FA Write off'!$N56*'FA Write off'!$L56*'FA Write off'!$H56/365</f>
        <v>169962.71237158717</v>
      </c>
    </row>
    <row r="57" spans="1:15" s="25" customFormat="1" hidden="1" x14ac:dyDescent="0.4">
      <c r="A57" s="12">
        <v>403</v>
      </c>
      <c r="B57" s="13" t="s">
        <v>1089</v>
      </c>
      <c r="C57" s="14">
        <v>45016</v>
      </c>
      <c r="D57" s="23">
        <v>1</v>
      </c>
      <c r="E57" s="15"/>
      <c r="F57" s="15"/>
      <c r="G57" s="181">
        <f>MONTH('FA Write off'!$C57)</f>
        <v>3</v>
      </c>
      <c r="H57" s="181">
        <f>MIN('FA Write off'!$C57-'FA Write off'!$J57+1,'FA Write off'!$M57*365)</f>
        <v>1095</v>
      </c>
      <c r="I57" s="182">
        <f>VLOOKUP($A57,'FA Addition'!$A:$AK,COLUMN()-6,FALSE)</f>
        <v>43538</v>
      </c>
      <c r="J57" s="182">
        <f>VLOOKUP($A57,'FA Addition'!$A:$AK,COLUMN()-6,FALSE)</f>
        <v>43538</v>
      </c>
      <c r="K57" s="183" t="str">
        <f>VLOOKUP($A57,'FA Addition'!$A:$AK,COLUMN()-6,FALSE)</f>
        <v>Router</v>
      </c>
      <c r="L57" s="180">
        <f>VLOOKUP($A57,'FA Addition'!$A:$AK,COLUMN(),FALSE)</f>
        <v>84000</v>
      </c>
      <c r="M57" s="184">
        <f>VLOOKUP($A57,'FA Addition'!$A:$AK,COLUMN()+2,FALSE)</f>
        <v>3</v>
      </c>
      <c r="N57" s="185">
        <f>VLOOKUP($A57,'FA Addition'!$A:$AK,COLUMN()+2,FALSE)</f>
        <v>0.63159685013596123</v>
      </c>
      <c r="O57" s="186">
        <f>'FA Write off'!$N57*'FA Write off'!$L57*'FA Write off'!$H57/365</f>
        <v>159162.40623426222</v>
      </c>
    </row>
    <row r="58" spans="1:15" s="25" customFormat="1" hidden="1" x14ac:dyDescent="0.4">
      <c r="A58" s="12">
        <v>409</v>
      </c>
      <c r="B58" s="13" t="s">
        <v>1089</v>
      </c>
      <c r="C58" s="14">
        <v>45016</v>
      </c>
      <c r="D58" s="23">
        <v>1</v>
      </c>
      <c r="E58" s="15"/>
      <c r="F58" s="15"/>
      <c r="G58" s="181">
        <f>MONTH('FA Write off'!$C58)</f>
        <v>3</v>
      </c>
      <c r="H58" s="181">
        <f>MIN('FA Write off'!$C58-'FA Write off'!$J58+1,'FA Write off'!$M58*365)</f>
        <v>1095</v>
      </c>
      <c r="I58" s="182">
        <f>VLOOKUP($A58,'FA Addition'!$A:$AK,COLUMN()-6,FALSE)</f>
        <v>43603</v>
      </c>
      <c r="J58" s="182">
        <f>VLOOKUP($A58,'FA Addition'!$A:$AK,COLUMN()-6,FALSE)</f>
        <v>43603</v>
      </c>
      <c r="K58" s="183" t="str">
        <f>VLOOKUP($A58,'FA Addition'!$A:$AK,COLUMN()-6,FALSE)</f>
        <v>Router</v>
      </c>
      <c r="L58" s="180">
        <f>VLOOKUP($A58,'FA Addition'!$A:$AK,COLUMN(),FALSE)</f>
        <v>287500</v>
      </c>
      <c r="M58" s="184">
        <f>VLOOKUP($A58,'FA Addition'!$A:$AK,COLUMN()+2,FALSE)</f>
        <v>3</v>
      </c>
      <c r="N58" s="185">
        <f>VLOOKUP($A58,'FA Addition'!$A:$AK,COLUMN()+2,FALSE)</f>
        <v>0.63159685013596123</v>
      </c>
      <c r="O58" s="186">
        <f>'FA Write off'!$N58*'FA Write off'!$L58*'FA Write off'!$H58/365</f>
        <v>544752.28324226651</v>
      </c>
    </row>
    <row r="59" spans="1:15" s="25" customFormat="1" hidden="1" x14ac:dyDescent="0.4">
      <c r="A59" s="12">
        <v>446</v>
      </c>
      <c r="B59" s="13" t="s">
        <v>1089</v>
      </c>
      <c r="C59" s="14">
        <v>45016</v>
      </c>
      <c r="D59" s="23">
        <v>5</v>
      </c>
      <c r="E59" s="15"/>
      <c r="F59" s="15"/>
      <c r="G59" s="181">
        <f>MONTH('FA Write off'!$C59)</f>
        <v>3</v>
      </c>
      <c r="H59" s="181">
        <f>MIN('FA Write off'!$C59-'FA Write off'!$J59+1,'FA Write off'!$M59*365)</f>
        <v>365</v>
      </c>
      <c r="I59" s="182">
        <f>VLOOKUP($A59,'FA Addition'!$A:$AK,COLUMN()-6,FALSE)</f>
        <v>44652</v>
      </c>
      <c r="J59" s="182">
        <f>VLOOKUP($A59,'FA Addition'!$A:$AK,COLUMN()-6,FALSE)</f>
        <v>44652</v>
      </c>
      <c r="K59" s="183" t="str">
        <f>VLOOKUP($A59,'FA Addition'!$A:$AK,COLUMN()-6,FALSE)</f>
        <v>Router</v>
      </c>
      <c r="L59" s="180">
        <f>VLOOKUP($A59,'FA Addition'!$A:$AK,COLUMN(),FALSE)</f>
        <v>555000</v>
      </c>
      <c r="M59" s="184">
        <f>VLOOKUP($A59,'FA Addition'!$A:$AK,COLUMN()+2,FALSE)</f>
        <v>3</v>
      </c>
      <c r="N59" s="185">
        <f>VLOOKUP($A59,'FA Addition'!$A:$AK,COLUMN()+2,FALSE)</f>
        <v>0.63159685013596123</v>
      </c>
      <c r="O59" s="186">
        <f>'FA Write off'!$N59*'FA Write off'!$L59*'FA Write off'!$H59/365</f>
        <v>350536.25182545849</v>
      </c>
    </row>
    <row r="60" spans="1:15" s="25" customFormat="1" hidden="1" x14ac:dyDescent="0.4">
      <c r="A60" s="12">
        <v>447</v>
      </c>
      <c r="B60" s="13" t="s">
        <v>1089</v>
      </c>
      <c r="C60" s="14">
        <v>45016</v>
      </c>
      <c r="D60" s="23">
        <v>1</v>
      </c>
      <c r="E60" s="15"/>
      <c r="F60" s="15"/>
      <c r="G60" s="181">
        <f>MONTH('FA Write off'!$C60)</f>
        <v>3</v>
      </c>
      <c r="H60" s="181">
        <f>MIN('FA Write off'!$C60-'FA Write off'!$J60+1,'FA Write off'!$M60*365)</f>
        <v>365</v>
      </c>
      <c r="I60" s="182">
        <f>VLOOKUP($A60,'FA Addition'!$A:$AK,COLUMN()-6,FALSE)</f>
        <v>44652</v>
      </c>
      <c r="J60" s="182">
        <f>VLOOKUP($A60,'FA Addition'!$A:$AK,COLUMN()-6,FALSE)</f>
        <v>44652</v>
      </c>
      <c r="K60" s="183" t="str">
        <f>VLOOKUP($A60,'FA Addition'!$A:$AK,COLUMN()-6,FALSE)</f>
        <v>Router</v>
      </c>
      <c r="L60" s="180">
        <f>VLOOKUP($A60,'FA Addition'!$A:$AK,COLUMN(),FALSE)</f>
        <v>84000</v>
      </c>
      <c r="M60" s="184">
        <f>VLOOKUP($A60,'FA Addition'!$A:$AK,COLUMN()+2,FALSE)</f>
        <v>3</v>
      </c>
      <c r="N60" s="185">
        <f>VLOOKUP($A60,'FA Addition'!$A:$AK,COLUMN()+2,FALSE)</f>
        <v>0.63159685013596123</v>
      </c>
      <c r="O60" s="186">
        <f>'FA Write off'!$N60*'FA Write off'!$L60*'FA Write off'!$H60/365</f>
        <v>53054.135411420742</v>
      </c>
    </row>
    <row r="61" spans="1:15" s="25" customFormat="1" hidden="1" x14ac:dyDescent="0.4">
      <c r="A61" s="12">
        <v>448</v>
      </c>
      <c r="B61" s="13" t="s">
        <v>1089</v>
      </c>
      <c r="C61" s="14">
        <v>45016</v>
      </c>
      <c r="D61" s="23">
        <v>3</v>
      </c>
      <c r="E61" s="15"/>
      <c r="F61" s="15"/>
      <c r="G61" s="181">
        <f>MONTH('FA Write off'!$C61)</f>
        <v>3</v>
      </c>
      <c r="H61" s="181">
        <f>MIN('FA Write off'!$C61-'FA Write off'!$J61+1,'FA Write off'!$M61*365)</f>
        <v>365</v>
      </c>
      <c r="I61" s="182">
        <f>VLOOKUP($A61,'FA Addition'!$A:$AK,COLUMN()-6,FALSE)</f>
        <v>44652</v>
      </c>
      <c r="J61" s="182">
        <f>VLOOKUP($A61,'FA Addition'!$A:$AK,COLUMN()-6,FALSE)</f>
        <v>44652</v>
      </c>
      <c r="K61" s="183" t="str">
        <f>VLOOKUP($A61,'FA Addition'!$A:$AK,COLUMN()-6,FALSE)</f>
        <v>Router</v>
      </c>
      <c r="L61" s="180">
        <f>VLOOKUP($A61,'FA Addition'!$A:$AK,COLUMN(),FALSE)</f>
        <v>555000</v>
      </c>
      <c r="M61" s="184">
        <f>VLOOKUP($A61,'FA Addition'!$A:$AK,COLUMN()+2,FALSE)</f>
        <v>3</v>
      </c>
      <c r="N61" s="185">
        <f>VLOOKUP($A61,'FA Addition'!$A:$AK,COLUMN()+2,FALSE)</f>
        <v>0.63159685013596123</v>
      </c>
      <c r="O61" s="186">
        <f>'FA Write off'!$N61*'FA Write off'!$L61*'FA Write off'!$H61/365</f>
        <v>350536.25182545849</v>
      </c>
    </row>
    <row r="62" spans="1:15" s="25" customFormat="1" hidden="1" x14ac:dyDescent="0.4">
      <c r="A62" s="12">
        <v>449</v>
      </c>
      <c r="B62" s="13" t="s">
        <v>1089</v>
      </c>
      <c r="C62" s="14">
        <v>45016</v>
      </c>
      <c r="D62" s="23">
        <v>4</v>
      </c>
      <c r="E62" s="15"/>
      <c r="F62" s="15"/>
      <c r="G62" s="181">
        <f>MONTH('FA Write off'!$C62)</f>
        <v>3</v>
      </c>
      <c r="H62" s="181">
        <f>MIN('FA Write off'!$C62-'FA Write off'!$J62+1,'FA Write off'!$M62*365)</f>
        <v>365</v>
      </c>
      <c r="I62" s="182">
        <f>VLOOKUP($A62,'FA Addition'!$A:$AK,COLUMN()-6,FALSE)</f>
        <v>44652</v>
      </c>
      <c r="J62" s="182">
        <f>VLOOKUP($A62,'FA Addition'!$A:$AK,COLUMN()-6,FALSE)</f>
        <v>44652</v>
      </c>
      <c r="K62" s="183" t="str">
        <f>VLOOKUP($A62,'FA Addition'!$A:$AK,COLUMN()-6,FALSE)</f>
        <v>Router</v>
      </c>
      <c r="L62" s="180">
        <f>VLOOKUP($A62,'FA Addition'!$A:$AK,COLUMN(),FALSE)</f>
        <v>1050000</v>
      </c>
      <c r="M62" s="184">
        <f>VLOOKUP($A62,'FA Addition'!$A:$AK,COLUMN()+2,FALSE)</f>
        <v>3</v>
      </c>
      <c r="N62" s="185">
        <f>VLOOKUP($A62,'FA Addition'!$A:$AK,COLUMN()+2,FALSE)</f>
        <v>0.63159685013596123</v>
      </c>
      <c r="O62" s="186">
        <f>'FA Write off'!$N62*'FA Write off'!$L62*'FA Write off'!$H62/365</f>
        <v>663176.6926427593</v>
      </c>
    </row>
    <row r="63" spans="1:15" s="25" customFormat="1" hidden="1" x14ac:dyDescent="0.4">
      <c r="A63" s="12">
        <v>450</v>
      </c>
      <c r="B63" s="13" t="s">
        <v>1089</v>
      </c>
      <c r="C63" s="14">
        <v>45016</v>
      </c>
      <c r="D63" s="23">
        <v>9</v>
      </c>
      <c r="E63" s="15"/>
      <c r="F63" s="15"/>
      <c r="G63" s="181">
        <f>MONTH('FA Write off'!$C63)</f>
        <v>3</v>
      </c>
      <c r="H63" s="181">
        <f>MIN('FA Write off'!$C63-'FA Write off'!$J63+1,'FA Write off'!$M63*365)</f>
        <v>365</v>
      </c>
      <c r="I63" s="182">
        <f>VLOOKUP($A63,'FA Addition'!$A:$AK,COLUMN()-6,FALSE)</f>
        <v>44652</v>
      </c>
      <c r="J63" s="182">
        <f>VLOOKUP($A63,'FA Addition'!$A:$AK,COLUMN()-6,FALSE)</f>
        <v>44652</v>
      </c>
      <c r="K63" s="183" t="str">
        <f>VLOOKUP($A63,'FA Addition'!$A:$AK,COLUMN()-6,FALSE)</f>
        <v>Router</v>
      </c>
      <c r="L63" s="180">
        <f>VLOOKUP($A63,'FA Addition'!$A:$AK,COLUMN(),FALSE)</f>
        <v>2100000</v>
      </c>
      <c r="M63" s="184">
        <f>VLOOKUP($A63,'FA Addition'!$A:$AK,COLUMN()+2,FALSE)</f>
        <v>3</v>
      </c>
      <c r="N63" s="185">
        <f>VLOOKUP($A63,'FA Addition'!$A:$AK,COLUMN()+2,FALSE)</f>
        <v>0.63159685013596123</v>
      </c>
      <c r="O63" s="186">
        <f>'FA Write off'!$N63*'FA Write off'!$L63*'FA Write off'!$H63/365</f>
        <v>1326353.3852855186</v>
      </c>
    </row>
    <row r="64" spans="1:15" s="25" customFormat="1" hidden="1" x14ac:dyDescent="0.4">
      <c r="A64" s="12">
        <v>451</v>
      </c>
      <c r="B64" s="13" t="s">
        <v>1089</v>
      </c>
      <c r="C64" s="14">
        <v>45016</v>
      </c>
      <c r="D64" s="23">
        <v>15</v>
      </c>
      <c r="E64" s="15"/>
      <c r="F64" s="15"/>
      <c r="G64" s="181">
        <f>MONTH('FA Write off'!$C64)</f>
        <v>3</v>
      </c>
      <c r="H64" s="181">
        <f>MIN('FA Write off'!$C64-'FA Write off'!$J64+1,'FA Write off'!$M64*365)</f>
        <v>365</v>
      </c>
      <c r="I64" s="182">
        <f>VLOOKUP($A64,'FA Addition'!$A:$AK,COLUMN()-6,FALSE)</f>
        <v>44652</v>
      </c>
      <c r="J64" s="182">
        <f>VLOOKUP($A64,'FA Addition'!$A:$AK,COLUMN()-6,FALSE)</f>
        <v>44652</v>
      </c>
      <c r="K64" s="183" t="str">
        <f>VLOOKUP($A64,'FA Addition'!$A:$AK,COLUMN()-6,FALSE)</f>
        <v>Router</v>
      </c>
      <c r="L64" s="180">
        <f>VLOOKUP($A64,'FA Addition'!$A:$AK,COLUMN(),FALSE)</f>
        <v>1050000</v>
      </c>
      <c r="M64" s="184">
        <f>VLOOKUP($A64,'FA Addition'!$A:$AK,COLUMN()+2,FALSE)</f>
        <v>3</v>
      </c>
      <c r="N64" s="185">
        <f>VLOOKUP($A64,'FA Addition'!$A:$AK,COLUMN()+2,FALSE)</f>
        <v>0.63159685013596123</v>
      </c>
      <c r="O64" s="186">
        <f>'FA Write off'!$N64*'FA Write off'!$L64*'FA Write off'!$H64/365</f>
        <v>663176.6926427593</v>
      </c>
    </row>
    <row r="65" spans="1:15" s="25" customFormat="1" hidden="1" x14ac:dyDescent="0.4">
      <c r="A65" s="12">
        <v>456</v>
      </c>
      <c r="B65" s="13" t="s">
        <v>1089</v>
      </c>
      <c r="C65" s="14">
        <v>45016</v>
      </c>
      <c r="D65" s="23">
        <v>120</v>
      </c>
      <c r="E65" s="15"/>
      <c r="F65" s="15"/>
      <c r="G65" s="181">
        <f>MONTH('FA Write off'!$C65)</f>
        <v>3</v>
      </c>
      <c r="H65" s="181">
        <f>MIN('FA Write off'!$C65-'FA Write off'!$J65+1,'FA Write off'!$M65*365)</f>
        <v>359</v>
      </c>
      <c r="I65" s="182">
        <f>VLOOKUP($A65,'FA Addition'!$A:$AK,COLUMN()-6,FALSE)</f>
        <v>44658</v>
      </c>
      <c r="J65" s="182">
        <f>VLOOKUP($A65,'FA Addition'!$A:$AK,COLUMN()-6,FALSE)</f>
        <v>44658</v>
      </c>
      <c r="K65" s="183" t="str">
        <f>VLOOKUP($A65,'FA Addition'!$A:$AK,COLUMN()-6,FALSE)</f>
        <v xml:space="preserve">ONU-Optical Network Unit </v>
      </c>
      <c r="L65" s="180">
        <f>VLOOKUP($A65,'FA Addition'!$A:$AK,COLUMN(),FALSE)</f>
        <v>114000</v>
      </c>
      <c r="M65" s="184">
        <f>VLOOKUP($A65,'FA Addition'!$A:$AK,COLUMN()+2,FALSE)</f>
        <v>3</v>
      </c>
      <c r="N65" s="185">
        <f>VLOOKUP($A65,'FA Addition'!$A:$AK,COLUMN()+2,FALSE)</f>
        <v>0.33333333333333331</v>
      </c>
      <c r="O65" s="186">
        <f>'FA Write off'!$N65*'FA Write off'!$L65*'FA Write off'!$H65/365</f>
        <v>37375.342465753427</v>
      </c>
    </row>
    <row r="66" spans="1:15" s="25" customFormat="1" x14ac:dyDescent="0.4">
      <c r="A66" s="12">
        <v>459</v>
      </c>
      <c r="B66" s="13" t="s">
        <v>1089</v>
      </c>
      <c r="C66" s="14">
        <v>45016</v>
      </c>
      <c r="D66" s="23">
        <v>57</v>
      </c>
      <c r="E66" s="15"/>
      <c r="F66" s="15"/>
      <c r="G66" s="181">
        <f>MONTH('FA Write off'!$C66)</f>
        <v>3</v>
      </c>
      <c r="H66" s="181">
        <f>MIN('FA Write off'!$C66-'FA Write off'!$J66+1,'FA Write off'!$M66*365)</f>
        <v>348</v>
      </c>
      <c r="I66" s="182">
        <f>VLOOKUP($A66,'FA Addition'!$A:$AK,COLUMN()-6,FALSE)</f>
        <v>44669</v>
      </c>
      <c r="J66" s="182">
        <f>VLOOKUP($A66,'FA Addition'!$A:$AK,COLUMN()-6,FALSE)</f>
        <v>44669</v>
      </c>
      <c r="K66" s="183" t="str">
        <f>VLOOKUP($A66,'FA Addition'!$A:$AK,COLUMN()-6,FALSE)</f>
        <v>Router</v>
      </c>
      <c r="L66" s="180">
        <f>VLOOKUP($A66,'FA Addition'!$A:$AK,COLUMN(),FALSE)</f>
        <v>2100000</v>
      </c>
      <c r="M66" s="184">
        <f>VLOOKUP($A66,'FA Addition'!$A:$AK,COLUMN()+2,FALSE)</f>
        <v>3</v>
      </c>
      <c r="N66" s="185">
        <f>VLOOKUP($A66,'FA Addition'!$A:$AK,COLUMN()+2,FALSE)</f>
        <v>0.63159685013596123</v>
      </c>
      <c r="O66" s="186">
        <f>'FA Write off'!$N66*'FA Write off'!$L66*'FA Write off'!$H66/365</f>
        <v>1264578.0221352342</v>
      </c>
    </row>
    <row r="67" spans="1:15" s="25" customFormat="1" hidden="1" x14ac:dyDescent="0.4">
      <c r="A67" s="12">
        <v>461</v>
      </c>
      <c r="B67" s="13" t="s">
        <v>1089</v>
      </c>
      <c r="C67" s="14">
        <v>45016</v>
      </c>
      <c r="D67" s="23">
        <v>260</v>
      </c>
      <c r="E67" s="15"/>
      <c r="F67" s="15"/>
      <c r="G67" s="181">
        <f>MONTH('FA Write off'!$C67)</f>
        <v>3</v>
      </c>
      <c r="H67" s="181">
        <f>MIN('FA Write off'!$C67-'FA Write off'!$J67+1,'FA Write off'!$M67*365)</f>
        <v>327</v>
      </c>
      <c r="I67" s="182">
        <f>VLOOKUP($A67,'FA Addition'!$A:$AK,COLUMN()-6,FALSE)</f>
        <v>44690</v>
      </c>
      <c r="J67" s="182">
        <f>VLOOKUP($A67,'FA Addition'!$A:$AK,COLUMN()-6,FALSE)</f>
        <v>44690</v>
      </c>
      <c r="K67" s="183" t="str">
        <f>VLOOKUP($A67,'FA Addition'!$A:$AK,COLUMN()-6,FALSE)</f>
        <v xml:space="preserve">ONU-Optical Network Unit </v>
      </c>
      <c r="L67" s="180">
        <f>VLOOKUP($A67,'FA Addition'!$A:$AK,COLUMN(),FALSE)</f>
        <v>203000</v>
      </c>
      <c r="M67" s="184">
        <f>VLOOKUP($A67,'FA Addition'!$A:$AK,COLUMN()+2,FALSE)</f>
        <v>3</v>
      </c>
      <c r="N67" s="185">
        <f>VLOOKUP($A67,'FA Addition'!$A:$AK,COLUMN()+2,FALSE)</f>
        <v>0.33333333333333331</v>
      </c>
      <c r="O67" s="186">
        <f>'FA Write off'!$N67*'FA Write off'!$L67*'FA Write off'!$H67/365</f>
        <v>60621.917808219165</v>
      </c>
    </row>
    <row r="68" spans="1:15" s="25" customFormat="1" hidden="1" x14ac:dyDescent="0.4">
      <c r="A68" s="12">
        <v>462</v>
      </c>
      <c r="B68" s="13" t="s">
        <v>1089</v>
      </c>
      <c r="C68" s="14">
        <v>45016</v>
      </c>
      <c r="D68" s="23">
        <v>200</v>
      </c>
      <c r="E68" s="15"/>
      <c r="F68" s="15"/>
      <c r="G68" s="181">
        <f>MONTH('FA Write off'!$C68)</f>
        <v>3</v>
      </c>
      <c r="H68" s="181">
        <f>MIN('FA Write off'!$C68-'FA Write off'!$J68+1,'FA Write off'!$M68*365)</f>
        <v>325</v>
      </c>
      <c r="I68" s="182">
        <f>VLOOKUP($A68,'FA Addition'!$A:$AK,COLUMN()-6,FALSE)</f>
        <v>44692</v>
      </c>
      <c r="J68" s="182">
        <f>VLOOKUP($A68,'FA Addition'!$A:$AK,COLUMN()-6,FALSE)</f>
        <v>44692</v>
      </c>
      <c r="K68" s="183" t="str">
        <f>VLOOKUP($A68,'FA Addition'!$A:$AK,COLUMN()-6,FALSE)</f>
        <v xml:space="preserve">ONU-Optical Network Unit </v>
      </c>
      <c r="L68" s="180">
        <f>VLOOKUP($A68,'FA Addition'!$A:$AK,COLUMN(),FALSE)</f>
        <v>156000</v>
      </c>
      <c r="M68" s="184">
        <f>VLOOKUP($A68,'FA Addition'!$A:$AK,COLUMN()+2,FALSE)</f>
        <v>3</v>
      </c>
      <c r="N68" s="185">
        <f>VLOOKUP($A68,'FA Addition'!$A:$AK,COLUMN()+2,FALSE)</f>
        <v>0.33333333333333331</v>
      </c>
      <c r="O68" s="186">
        <f>'FA Write off'!$N68*'FA Write off'!$L68*'FA Write off'!$H68/365</f>
        <v>46301.369863013701</v>
      </c>
    </row>
    <row r="69" spans="1:15" s="25" customFormat="1" hidden="1" x14ac:dyDescent="0.4">
      <c r="A69" s="12">
        <v>463</v>
      </c>
      <c r="B69" s="13" t="s">
        <v>1089</v>
      </c>
      <c r="C69" s="14">
        <v>45016</v>
      </c>
      <c r="D69" s="23">
        <v>1000</v>
      </c>
      <c r="E69" s="15"/>
      <c r="F69" s="15"/>
      <c r="G69" s="181">
        <f>MONTH('FA Write off'!$C69)</f>
        <v>3</v>
      </c>
      <c r="H69" s="181">
        <f>MIN('FA Write off'!$C69-'FA Write off'!$J69+1,'FA Write off'!$M69*365)</f>
        <v>325</v>
      </c>
      <c r="I69" s="182">
        <f>VLOOKUP($A69,'FA Addition'!$A:$AK,COLUMN()-6,FALSE)</f>
        <v>44692</v>
      </c>
      <c r="J69" s="182">
        <f>VLOOKUP($A69,'FA Addition'!$A:$AK,COLUMN()-6,FALSE)</f>
        <v>44692</v>
      </c>
      <c r="K69" s="183" t="str">
        <f>VLOOKUP($A69,'FA Addition'!$A:$AK,COLUMN()-6,FALSE)</f>
        <v xml:space="preserve">ONU-Optical Network Unit </v>
      </c>
      <c r="L69" s="180">
        <f>VLOOKUP($A69,'FA Addition'!$A:$AK,COLUMN(),FALSE)</f>
        <v>810000</v>
      </c>
      <c r="M69" s="184">
        <f>VLOOKUP($A69,'FA Addition'!$A:$AK,COLUMN()+2,FALSE)</f>
        <v>3</v>
      </c>
      <c r="N69" s="185">
        <f>VLOOKUP($A69,'FA Addition'!$A:$AK,COLUMN()+2,FALSE)</f>
        <v>0.33333333333333331</v>
      </c>
      <c r="O69" s="186">
        <f>'FA Write off'!$N69*'FA Write off'!$L69*'FA Write off'!$H69/365</f>
        <v>240410.95890410958</v>
      </c>
    </row>
    <row r="70" spans="1:15" s="25" customFormat="1" hidden="1" x14ac:dyDescent="0.4">
      <c r="A70" s="12">
        <v>467</v>
      </c>
      <c r="B70" s="13" t="s">
        <v>1089</v>
      </c>
      <c r="C70" s="14">
        <v>45016</v>
      </c>
      <c r="D70" s="23">
        <v>1000</v>
      </c>
      <c r="E70" s="15"/>
      <c r="F70" s="15"/>
      <c r="G70" s="181">
        <f>MONTH('FA Write off'!$C70)</f>
        <v>3</v>
      </c>
      <c r="H70" s="181">
        <f>MIN('FA Write off'!$C70-'FA Write off'!$J70+1,'FA Write off'!$M70*365)</f>
        <v>320</v>
      </c>
      <c r="I70" s="182">
        <f>VLOOKUP($A70,'FA Addition'!$A:$AK,COLUMN()-6,FALSE)</f>
        <v>44697</v>
      </c>
      <c r="J70" s="182">
        <f>VLOOKUP($A70,'FA Addition'!$A:$AK,COLUMN()-6,FALSE)</f>
        <v>44697</v>
      </c>
      <c r="K70" s="183" t="str">
        <f>VLOOKUP($A70,'FA Addition'!$A:$AK,COLUMN()-6,FALSE)</f>
        <v xml:space="preserve">ONU-Optical Network Unit </v>
      </c>
      <c r="L70" s="180">
        <f>VLOOKUP($A70,'FA Addition'!$A:$AK,COLUMN(),FALSE)</f>
        <v>810000</v>
      </c>
      <c r="M70" s="184">
        <f>VLOOKUP($A70,'FA Addition'!$A:$AK,COLUMN()+2,FALSE)</f>
        <v>3</v>
      </c>
      <c r="N70" s="185">
        <f>VLOOKUP($A70,'FA Addition'!$A:$AK,COLUMN()+2,FALSE)</f>
        <v>0.33333333333333331</v>
      </c>
      <c r="O70" s="186">
        <f>'FA Write off'!$N70*'FA Write off'!$L70*'FA Write off'!$H70/365</f>
        <v>236712.32876712328</v>
      </c>
    </row>
    <row r="71" spans="1:15" s="25" customFormat="1" hidden="1" x14ac:dyDescent="0.4">
      <c r="A71" s="12">
        <v>469</v>
      </c>
      <c r="B71" s="13" t="s">
        <v>1089</v>
      </c>
      <c r="C71" s="14">
        <v>45016</v>
      </c>
      <c r="D71" s="23">
        <v>31</v>
      </c>
      <c r="E71" s="15"/>
      <c r="F71" s="15"/>
      <c r="G71" s="181">
        <f>MONTH('FA Write off'!$C71)</f>
        <v>3</v>
      </c>
      <c r="H71" s="181">
        <f>MIN('FA Write off'!$C71-'FA Write off'!$J71+1,'FA Write off'!$M71*365)</f>
        <v>312</v>
      </c>
      <c r="I71" s="182">
        <f>VLOOKUP($A71,'FA Addition'!$A:$AK,COLUMN()-6,FALSE)</f>
        <v>44705</v>
      </c>
      <c r="J71" s="182">
        <f>VLOOKUP($A71,'FA Addition'!$A:$AK,COLUMN()-6,FALSE)</f>
        <v>44705</v>
      </c>
      <c r="K71" s="183" t="str">
        <f>VLOOKUP($A71,'FA Addition'!$A:$AK,COLUMN()-6,FALSE)</f>
        <v>Router</v>
      </c>
      <c r="L71" s="180">
        <f>VLOOKUP($A71,'FA Addition'!$A:$AK,COLUMN(),FALSE)</f>
        <v>1050000</v>
      </c>
      <c r="M71" s="184">
        <f>VLOOKUP($A71,'FA Addition'!$A:$AK,COLUMN()+2,FALSE)</f>
        <v>3</v>
      </c>
      <c r="N71" s="185">
        <f>VLOOKUP($A71,'FA Addition'!$A:$AK,COLUMN()+2,FALSE)</f>
        <v>0.63159685013596123</v>
      </c>
      <c r="O71" s="186">
        <f>'FA Write off'!$N71*'FA Write off'!$L71*'FA Write off'!$H71/365</f>
        <v>566879.8030261395</v>
      </c>
    </row>
    <row r="72" spans="1:15" s="25" customFormat="1" hidden="1" x14ac:dyDescent="0.4">
      <c r="A72" s="12">
        <v>472</v>
      </c>
      <c r="B72" s="13" t="s">
        <v>1089</v>
      </c>
      <c r="C72" s="14">
        <v>45016</v>
      </c>
      <c r="D72" s="23">
        <v>934.19135802469134</v>
      </c>
      <c r="E72" s="15"/>
      <c r="F72" s="15"/>
      <c r="G72" s="181">
        <f>MONTH('FA Write off'!$C72)</f>
        <v>3</v>
      </c>
      <c r="H72" s="181">
        <f>MIN('FA Write off'!$C72-'FA Write off'!$J72+1,'FA Write off'!$M72*365)</f>
        <v>305</v>
      </c>
      <c r="I72" s="182">
        <f>VLOOKUP($A72,'FA Addition'!$A:$AK,COLUMN()-6,FALSE)</f>
        <v>44712</v>
      </c>
      <c r="J72" s="182">
        <f>VLOOKUP($A72,'FA Addition'!$A:$AK,COLUMN()-6,FALSE)</f>
        <v>44712</v>
      </c>
      <c r="K72" s="183" t="str">
        <f>VLOOKUP($A72,'FA Addition'!$A:$AK,COLUMN()-6,FALSE)</f>
        <v xml:space="preserve">ONU-Optical Network Unit </v>
      </c>
      <c r="L72" s="180">
        <f>VLOOKUP($A72,'FA Addition'!$A:$AK,COLUMN(),FALSE)</f>
        <v>1215000</v>
      </c>
      <c r="M72" s="184">
        <f>VLOOKUP($A72,'FA Addition'!$A:$AK,COLUMN()+2,FALSE)</f>
        <v>3</v>
      </c>
      <c r="N72" s="185">
        <f>VLOOKUP($A72,'FA Addition'!$A:$AK,COLUMN()+2,FALSE)</f>
        <v>0.33333333333333331</v>
      </c>
      <c r="O72" s="186">
        <f>'FA Write off'!$N72*'FA Write off'!$L72*'FA Write off'!$H72/365</f>
        <v>338424.65753424657</v>
      </c>
    </row>
    <row r="73" spans="1:15" s="25" customFormat="1" hidden="1" x14ac:dyDescent="0.4">
      <c r="A73" s="12">
        <v>477</v>
      </c>
      <c r="B73" s="13" t="s">
        <v>1089</v>
      </c>
      <c r="C73" s="14">
        <v>45016</v>
      </c>
      <c r="D73" s="23">
        <v>10</v>
      </c>
      <c r="E73" s="15"/>
      <c r="F73" s="15"/>
      <c r="G73" s="181">
        <f>MONTH('FA Write off'!$C73)</f>
        <v>3</v>
      </c>
      <c r="H73" s="181">
        <f>MIN('FA Write off'!$C73-'FA Write off'!$J73+1,'FA Write off'!$M73*365)</f>
        <v>303</v>
      </c>
      <c r="I73" s="182">
        <f>VLOOKUP($A73,'FA Addition'!$A:$AK,COLUMN()-6,FALSE)</f>
        <v>44714</v>
      </c>
      <c r="J73" s="182">
        <f>VLOOKUP($A73,'FA Addition'!$A:$AK,COLUMN()-6,FALSE)</f>
        <v>44714</v>
      </c>
      <c r="K73" s="183" t="str">
        <f>VLOOKUP($A73,'FA Addition'!$A:$AK,COLUMN()-6,FALSE)</f>
        <v>Router</v>
      </c>
      <c r="L73" s="180">
        <f>VLOOKUP($A73,'FA Addition'!$A:$AK,COLUMN(),FALSE)</f>
        <v>525000</v>
      </c>
      <c r="M73" s="184">
        <f>VLOOKUP($A73,'FA Addition'!$A:$AK,COLUMN()+2,FALSE)</f>
        <v>3</v>
      </c>
      <c r="N73" s="185">
        <f>VLOOKUP($A73,'FA Addition'!$A:$AK,COLUMN()+2,FALSE)</f>
        <v>0.63159685013596123</v>
      </c>
      <c r="O73" s="186">
        <f>'FA Write off'!$N73*'FA Write off'!$L73*'FA Write off'!$H73/365</f>
        <v>275263.75050788501</v>
      </c>
    </row>
    <row r="74" spans="1:15" s="25" customFormat="1" hidden="1" x14ac:dyDescent="0.4">
      <c r="A74" s="12">
        <v>478</v>
      </c>
      <c r="B74" s="13" t="s">
        <v>1089</v>
      </c>
      <c r="C74" s="14">
        <v>45016</v>
      </c>
      <c r="D74" s="23">
        <v>35</v>
      </c>
      <c r="E74" s="15"/>
      <c r="F74" s="15"/>
      <c r="G74" s="181">
        <f>MONTH('FA Write off'!$C74)</f>
        <v>3</v>
      </c>
      <c r="H74" s="181">
        <f>MIN('FA Write off'!$C74-'FA Write off'!$J74+1,'FA Write off'!$M74*365)</f>
        <v>299</v>
      </c>
      <c r="I74" s="182">
        <f>VLOOKUP($A74,'FA Addition'!$A:$AK,COLUMN()-6,FALSE)</f>
        <v>44718</v>
      </c>
      <c r="J74" s="182">
        <f>VLOOKUP($A74,'FA Addition'!$A:$AK,COLUMN()-6,FALSE)</f>
        <v>44718</v>
      </c>
      <c r="K74" s="183" t="str">
        <f>VLOOKUP($A74,'FA Addition'!$A:$AK,COLUMN()-6,FALSE)</f>
        <v>Router</v>
      </c>
      <c r="L74" s="180">
        <f>VLOOKUP($A74,'FA Addition'!$A:$AK,COLUMN(),FALSE)</f>
        <v>1100000</v>
      </c>
      <c r="M74" s="184">
        <f>VLOOKUP($A74,'FA Addition'!$A:$AK,COLUMN()+2,FALSE)</f>
        <v>3</v>
      </c>
      <c r="N74" s="185">
        <f>VLOOKUP($A74,'FA Addition'!$A:$AK,COLUMN()+2,FALSE)</f>
        <v>0.63159685013596123</v>
      </c>
      <c r="O74" s="186">
        <f>'FA Write off'!$N74*'FA Write off'!$L74*'FA Write off'!$H74/365</f>
        <v>569129.32605402102</v>
      </c>
    </row>
    <row r="75" spans="1:15" s="25" customFormat="1" hidden="1" x14ac:dyDescent="0.4">
      <c r="A75" s="12">
        <v>479</v>
      </c>
      <c r="B75" s="13" t="s">
        <v>1089</v>
      </c>
      <c r="C75" s="14">
        <v>45016</v>
      </c>
      <c r="D75" s="23">
        <v>70</v>
      </c>
      <c r="E75" s="15"/>
      <c r="F75" s="15"/>
      <c r="G75" s="181">
        <f>MONTH('FA Write off'!$C75)</f>
        <v>3</v>
      </c>
      <c r="H75" s="181">
        <f>MIN('FA Write off'!$C75-'FA Write off'!$J75+1,'FA Write off'!$M75*365)</f>
        <v>296</v>
      </c>
      <c r="I75" s="182">
        <f>VLOOKUP($A75,'FA Addition'!$A:$AK,COLUMN()-6,FALSE)</f>
        <v>44721</v>
      </c>
      <c r="J75" s="182">
        <f>VLOOKUP($A75,'FA Addition'!$A:$AK,COLUMN()-6,FALSE)</f>
        <v>44721</v>
      </c>
      <c r="K75" s="183" t="str">
        <f>VLOOKUP($A75,'FA Addition'!$A:$AK,COLUMN()-6,FALSE)</f>
        <v>Router</v>
      </c>
      <c r="L75" s="180">
        <f>VLOOKUP($A75,'FA Addition'!$A:$AK,COLUMN(),FALSE)</f>
        <v>1100000</v>
      </c>
      <c r="M75" s="184">
        <f>VLOOKUP($A75,'FA Addition'!$A:$AK,COLUMN()+2,FALSE)</f>
        <v>3</v>
      </c>
      <c r="N75" s="185">
        <f>VLOOKUP($A75,'FA Addition'!$A:$AK,COLUMN()+2,FALSE)</f>
        <v>0.63159685013596123</v>
      </c>
      <c r="O75" s="186">
        <f>'FA Write off'!$N75*'FA Write off'!$L75*'FA Write off'!$H75/365</f>
        <v>563418.99836786021</v>
      </c>
    </row>
    <row r="76" spans="1:15" s="25" customFormat="1" hidden="1" x14ac:dyDescent="0.4">
      <c r="A76" s="12">
        <v>482</v>
      </c>
      <c r="B76" s="13" t="s">
        <v>1089</v>
      </c>
      <c r="C76" s="14">
        <v>45016</v>
      </c>
      <c r="D76" s="23">
        <v>23</v>
      </c>
      <c r="E76" s="15"/>
      <c r="F76" s="15"/>
      <c r="G76" s="181">
        <f>MONTH('FA Write off'!$C76)</f>
        <v>3</v>
      </c>
      <c r="H76" s="181">
        <f>MIN('FA Write off'!$C76-'FA Write off'!$J76+1,'FA Write off'!$M76*365)</f>
        <v>287</v>
      </c>
      <c r="I76" s="182">
        <f>VLOOKUP($A76,'FA Addition'!$A:$AK,COLUMN()-6,FALSE)</f>
        <v>44730</v>
      </c>
      <c r="J76" s="182">
        <f>VLOOKUP($A76,'FA Addition'!$A:$AK,COLUMN()-6,FALSE)</f>
        <v>44730</v>
      </c>
      <c r="K76" s="183" t="str">
        <f>VLOOKUP($A76,'FA Addition'!$A:$AK,COLUMN()-6,FALSE)</f>
        <v>Router</v>
      </c>
      <c r="L76" s="180">
        <f>VLOOKUP($A76,'FA Addition'!$A:$AK,COLUMN(),FALSE)</f>
        <v>1100000</v>
      </c>
      <c r="M76" s="184">
        <f>VLOOKUP($A76,'FA Addition'!$A:$AK,COLUMN()+2,FALSE)</f>
        <v>3</v>
      </c>
      <c r="N76" s="185">
        <f>VLOOKUP($A76,'FA Addition'!$A:$AK,COLUMN()+2,FALSE)</f>
        <v>0.63159685013596123</v>
      </c>
      <c r="O76" s="186">
        <f>'FA Write off'!$N76*'FA Write off'!$L76*'FA Write off'!$H76/365</f>
        <v>546288.01530937792</v>
      </c>
    </row>
    <row r="77" spans="1:15" s="25" customFormat="1" hidden="1" x14ac:dyDescent="0.4">
      <c r="A77" s="12">
        <v>485</v>
      </c>
      <c r="B77" s="13" t="s">
        <v>1089</v>
      </c>
      <c r="C77" s="14">
        <v>45016</v>
      </c>
      <c r="D77" s="23">
        <v>28</v>
      </c>
      <c r="E77" s="15"/>
      <c r="F77" s="15"/>
      <c r="G77" s="181">
        <f>MONTH('FA Write off'!$C77)</f>
        <v>3</v>
      </c>
      <c r="H77" s="181">
        <f>MIN('FA Write off'!$C77-'FA Write off'!$J77+1,'FA Write off'!$M77*365)</f>
        <v>282</v>
      </c>
      <c r="I77" s="182">
        <f>VLOOKUP($A77,'FA Addition'!$A:$AK,COLUMN()-6,FALSE)</f>
        <v>44735</v>
      </c>
      <c r="J77" s="182">
        <f>VLOOKUP($A77,'FA Addition'!$A:$AK,COLUMN()-6,FALSE)</f>
        <v>44735</v>
      </c>
      <c r="K77" s="183" t="str">
        <f>VLOOKUP($A77,'FA Addition'!$A:$AK,COLUMN()-6,FALSE)</f>
        <v>Router</v>
      </c>
      <c r="L77" s="180">
        <f>VLOOKUP($A77,'FA Addition'!$A:$AK,COLUMN(),FALSE)</f>
        <v>1430000</v>
      </c>
      <c r="M77" s="184">
        <f>VLOOKUP($A77,'FA Addition'!$A:$AK,COLUMN()+2,FALSE)</f>
        <v>3</v>
      </c>
      <c r="N77" s="185">
        <f>VLOOKUP($A77,'FA Addition'!$A:$AK,COLUMN()+2,FALSE)</f>
        <v>0.63159685013596123</v>
      </c>
      <c r="O77" s="186">
        <f>'FA Write off'!$N77*'FA Write off'!$L77*'FA Write off'!$H77/365</f>
        <v>697802.04324884305</v>
      </c>
    </row>
    <row r="78" spans="1:15" s="25" customFormat="1" hidden="1" x14ac:dyDescent="0.4">
      <c r="A78" s="12">
        <v>509</v>
      </c>
      <c r="B78" s="13" t="s">
        <v>1089</v>
      </c>
      <c r="C78" s="14">
        <v>45016</v>
      </c>
      <c r="D78" s="23">
        <v>25</v>
      </c>
      <c r="E78" s="15"/>
      <c r="F78" s="15"/>
      <c r="G78" s="181">
        <f>MONTH('FA Write off'!$C78)</f>
        <v>3</v>
      </c>
      <c r="H78" s="181">
        <f>MIN('FA Write off'!$C78-'FA Write off'!$J78+1,'FA Write off'!$M78*365)</f>
        <v>243</v>
      </c>
      <c r="I78" s="182">
        <f>VLOOKUP($A78,'FA Addition'!$A:$AK,COLUMN()-6,FALSE)</f>
        <v>44774</v>
      </c>
      <c r="J78" s="182">
        <f>VLOOKUP($A78,'FA Addition'!$A:$AK,COLUMN()-6,FALSE)</f>
        <v>44774</v>
      </c>
      <c r="K78" s="183" t="str">
        <f>VLOOKUP($A78,'FA Addition'!$A:$AK,COLUMN()-6,FALSE)</f>
        <v>Router</v>
      </c>
      <c r="L78" s="180">
        <f>VLOOKUP($A78,'FA Addition'!$A:$AK,COLUMN(),FALSE)</f>
        <v>1100000</v>
      </c>
      <c r="M78" s="184">
        <f>VLOOKUP($A78,'FA Addition'!$A:$AK,COLUMN()+2,FALSE)</f>
        <v>3</v>
      </c>
      <c r="N78" s="185">
        <f>VLOOKUP($A78,'FA Addition'!$A:$AK,COLUMN()+2,FALSE)</f>
        <v>0.63159685013596123</v>
      </c>
      <c r="O78" s="186">
        <f>'FA Write off'!$N78*'FA Write off'!$L78*'FA Write off'!$H78/365</f>
        <v>462536.54257902037</v>
      </c>
    </row>
    <row r="79" spans="1:15" s="25" customFormat="1" hidden="1" x14ac:dyDescent="0.4">
      <c r="A79" s="12">
        <v>510</v>
      </c>
      <c r="B79" s="13" t="s">
        <v>1089</v>
      </c>
      <c r="C79" s="14">
        <v>45016</v>
      </c>
      <c r="D79" s="23">
        <v>61</v>
      </c>
      <c r="E79" s="15"/>
      <c r="F79" s="15"/>
      <c r="G79" s="181">
        <f>MONTH('FA Write off'!$C79)</f>
        <v>3</v>
      </c>
      <c r="H79" s="181">
        <f>MIN('FA Write off'!$C79-'FA Write off'!$J79+1,'FA Write off'!$M79*365)</f>
        <v>242</v>
      </c>
      <c r="I79" s="182">
        <f>VLOOKUP($A79,'FA Addition'!$A:$AK,COLUMN()-6,FALSE)</f>
        <v>44775</v>
      </c>
      <c r="J79" s="182">
        <f>VLOOKUP($A79,'FA Addition'!$A:$AK,COLUMN()-6,FALSE)</f>
        <v>44775</v>
      </c>
      <c r="K79" s="183" t="str">
        <f>VLOOKUP($A79,'FA Addition'!$A:$AK,COLUMN()-6,FALSE)</f>
        <v>Router</v>
      </c>
      <c r="L79" s="180">
        <f>VLOOKUP($A79,'FA Addition'!$A:$AK,COLUMN(),FALSE)</f>
        <v>1430000</v>
      </c>
      <c r="M79" s="184">
        <f>VLOOKUP($A79,'FA Addition'!$A:$AK,COLUMN()+2,FALSE)</f>
        <v>3</v>
      </c>
      <c r="N79" s="185">
        <f>VLOOKUP($A79,'FA Addition'!$A:$AK,COLUMN()+2,FALSE)</f>
        <v>0.63159685013596123</v>
      </c>
      <c r="O79" s="186">
        <f>'FA Write off'!$N79*'FA Write off'!$L79*'FA Write off'!$H79/365</f>
        <v>598823.03002205689</v>
      </c>
    </row>
    <row r="80" spans="1:15" s="25" customFormat="1" hidden="1" x14ac:dyDescent="0.4">
      <c r="A80" s="12">
        <v>526</v>
      </c>
      <c r="B80" s="13" t="s">
        <v>1089</v>
      </c>
      <c r="C80" s="14">
        <v>45016</v>
      </c>
      <c r="D80" s="23">
        <v>9</v>
      </c>
      <c r="E80" s="15"/>
      <c r="F80" s="15"/>
      <c r="G80" s="181">
        <f>MONTH('FA Write off'!$C80)</f>
        <v>3</v>
      </c>
      <c r="H80" s="181">
        <f>MIN('FA Write off'!$C80-'FA Write off'!$J80+1,'FA Write off'!$M80*365)</f>
        <v>192</v>
      </c>
      <c r="I80" s="182">
        <f>VLOOKUP($A80,'FA Addition'!$A:$AK,COLUMN()-6,FALSE)</f>
        <v>44825</v>
      </c>
      <c r="J80" s="182">
        <f>VLOOKUP($A80,'FA Addition'!$A:$AK,COLUMN()-6,FALSE)</f>
        <v>44825</v>
      </c>
      <c r="K80" s="183" t="str">
        <f>VLOOKUP($A80,'FA Addition'!$A:$AK,COLUMN()-6,FALSE)</f>
        <v>Router</v>
      </c>
      <c r="L80" s="180">
        <f>VLOOKUP($A80,'FA Addition'!$A:$AK,COLUMN(),FALSE)</f>
        <v>110000</v>
      </c>
      <c r="M80" s="184">
        <f>VLOOKUP($A80,'FA Addition'!$A:$AK,COLUMN()+2,FALSE)</f>
        <v>3</v>
      </c>
      <c r="N80" s="185">
        <f>VLOOKUP($A80,'FA Addition'!$A:$AK,COLUMN()+2,FALSE)</f>
        <v>0.63159685013596123</v>
      </c>
      <c r="O80" s="186">
        <f>'FA Write off'!$N80*'FA Write off'!$L80*'FA Write off'!$H80/365</f>
        <v>36546.097191428773</v>
      </c>
    </row>
    <row r="81" spans="1:15" s="25" customFormat="1" hidden="1" x14ac:dyDescent="0.4">
      <c r="A81" s="12">
        <v>527</v>
      </c>
      <c r="B81" s="13" t="s">
        <v>1089</v>
      </c>
      <c r="C81" s="14">
        <v>45016</v>
      </c>
      <c r="D81" s="23">
        <v>38</v>
      </c>
      <c r="E81" s="15"/>
      <c r="F81" s="15"/>
      <c r="G81" s="181">
        <f>MONTH('FA Write off'!$C81)</f>
        <v>3</v>
      </c>
      <c r="H81" s="181">
        <f>MIN('FA Write off'!$C81-'FA Write off'!$J81+1,'FA Write off'!$M81*365)</f>
        <v>187</v>
      </c>
      <c r="I81" s="182">
        <f>VLOOKUP($A81,'FA Addition'!$A:$AK,COLUMN()-6,FALSE)</f>
        <v>44830</v>
      </c>
      <c r="J81" s="182">
        <f>VLOOKUP($A81,'FA Addition'!$A:$AK,COLUMN()-6,FALSE)</f>
        <v>44830</v>
      </c>
      <c r="K81" s="183" t="str">
        <f>VLOOKUP($A81,'FA Addition'!$A:$AK,COLUMN()-6,FALSE)</f>
        <v>Router</v>
      </c>
      <c r="L81" s="180">
        <f>VLOOKUP($A81,'FA Addition'!$A:$AK,COLUMN(),FALSE)</f>
        <v>1100000</v>
      </c>
      <c r="M81" s="184">
        <f>VLOOKUP($A81,'FA Addition'!$A:$AK,COLUMN()+2,FALSE)</f>
        <v>3</v>
      </c>
      <c r="N81" s="185">
        <f>VLOOKUP($A81,'FA Addition'!$A:$AK,COLUMN()+2,FALSE)</f>
        <v>0.63159685013596123</v>
      </c>
      <c r="O81" s="186">
        <f>'FA Write off'!$N81*'FA Write off'!$L81*'FA Write off'!$H81/365</f>
        <v>355943.75910401979</v>
      </c>
    </row>
    <row r="82" spans="1:15" s="25" customFormat="1" hidden="1" x14ac:dyDescent="0.4">
      <c r="A82" s="12">
        <v>528</v>
      </c>
      <c r="B82" s="13" t="s">
        <v>1089</v>
      </c>
      <c r="C82" s="14">
        <v>45016</v>
      </c>
      <c r="D82" s="23">
        <v>14</v>
      </c>
      <c r="E82" s="15"/>
      <c r="F82" s="15"/>
      <c r="G82" s="181">
        <f>MONTH('FA Write off'!$C82)</f>
        <v>3</v>
      </c>
      <c r="H82" s="181">
        <f>MIN('FA Write off'!$C82-'FA Write off'!$J82+1,'FA Write off'!$M82*365)</f>
        <v>187</v>
      </c>
      <c r="I82" s="182">
        <f>VLOOKUP($A82,'FA Addition'!$A:$AK,COLUMN()-6,FALSE)</f>
        <v>44830</v>
      </c>
      <c r="J82" s="182">
        <f>VLOOKUP($A82,'FA Addition'!$A:$AK,COLUMN()-6,FALSE)</f>
        <v>44830</v>
      </c>
      <c r="K82" s="183" t="str">
        <f>VLOOKUP($A82,'FA Addition'!$A:$AK,COLUMN()-6,FALSE)</f>
        <v>Router</v>
      </c>
      <c r="L82" s="180">
        <f>VLOOKUP($A82,'FA Addition'!$A:$AK,COLUMN(),FALSE)</f>
        <v>1100000</v>
      </c>
      <c r="M82" s="184">
        <f>VLOOKUP($A82,'FA Addition'!$A:$AK,COLUMN()+2,FALSE)</f>
        <v>3</v>
      </c>
      <c r="N82" s="185">
        <f>VLOOKUP($A82,'FA Addition'!$A:$AK,COLUMN()+2,FALSE)</f>
        <v>0.63159685013596123</v>
      </c>
      <c r="O82" s="186">
        <f>'FA Write off'!$N82*'FA Write off'!$L82*'FA Write off'!$H82/365</f>
        <v>355943.75910401979</v>
      </c>
    </row>
    <row r="83" spans="1:15" s="25" customFormat="1" hidden="1" x14ac:dyDescent="0.4">
      <c r="A83" s="12">
        <v>534</v>
      </c>
      <c r="B83" s="13" t="s">
        <v>1089</v>
      </c>
      <c r="C83" s="14">
        <v>45016</v>
      </c>
      <c r="D83" s="23">
        <v>37</v>
      </c>
      <c r="E83" s="15"/>
      <c r="F83" s="15"/>
      <c r="G83" s="181">
        <f>MONTH('FA Write off'!$C83)</f>
        <v>3</v>
      </c>
      <c r="H83" s="181">
        <f>MIN('FA Write off'!$C83-'FA Write off'!$J83+1,'FA Write off'!$M83*365)</f>
        <v>183</v>
      </c>
      <c r="I83" s="182">
        <f>VLOOKUP($A83,'FA Addition'!$A:$AK,COLUMN()-6,FALSE)</f>
        <v>44834</v>
      </c>
      <c r="J83" s="182">
        <f>VLOOKUP($A83,'FA Addition'!$A:$AK,COLUMN()-6,FALSE)</f>
        <v>44834</v>
      </c>
      <c r="K83" s="183" t="str">
        <f>VLOOKUP($A83,'FA Addition'!$A:$AK,COLUMN()-6,FALSE)</f>
        <v>Router</v>
      </c>
      <c r="L83" s="180">
        <f>VLOOKUP($A83,'FA Addition'!$A:$AK,COLUMN(),FALSE)</f>
        <v>1650000</v>
      </c>
      <c r="M83" s="184">
        <f>VLOOKUP($A83,'FA Addition'!$A:$AK,COLUMN()+2,FALSE)</f>
        <v>3</v>
      </c>
      <c r="N83" s="185">
        <f>VLOOKUP($A83,'FA Addition'!$A:$AK,COLUMN()+2,FALSE)</f>
        <v>0.63159685013596123</v>
      </c>
      <c r="O83" s="186">
        <f>'FA Write off'!$N83*'FA Write off'!$L83*'FA Write off'!$H83/365</f>
        <v>522494.98328370822</v>
      </c>
    </row>
    <row r="84" spans="1:15" s="25" customFormat="1" hidden="1" x14ac:dyDescent="0.4">
      <c r="A84" s="12">
        <v>545</v>
      </c>
      <c r="B84" s="13" t="s">
        <v>1089</v>
      </c>
      <c r="C84" s="14">
        <v>45016</v>
      </c>
      <c r="D84" s="23">
        <v>8</v>
      </c>
      <c r="E84" s="15"/>
      <c r="F84" s="15"/>
      <c r="G84" s="181">
        <f>MONTH('FA Write off'!$C84)</f>
        <v>3</v>
      </c>
      <c r="H84" s="181">
        <f>MIN('FA Write off'!$C84-'FA Write off'!$J84+1,'FA Write off'!$M84*365)</f>
        <v>168</v>
      </c>
      <c r="I84" s="182">
        <f>VLOOKUP($A84,'FA Addition'!$A:$AK,COLUMN()-6,FALSE)</f>
        <v>44849</v>
      </c>
      <c r="J84" s="182">
        <f>VLOOKUP($A84,'FA Addition'!$A:$AK,COLUMN()-6,FALSE)</f>
        <v>44849</v>
      </c>
      <c r="K84" s="183" t="str">
        <f>VLOOKUP($A84,'FA Addition'!$A:$AK,COLUMN()-6,FALSE)</f>
        <v>Router</v>
      </c>
      <c r="L84" s="180">
        <f>VLOOKUP($A84,'FA Addition'!$A:$AK,COLUMN(),FALSE)</f>
        <v>550000</v>
      </c>
      <c r="M84" s="184">
        <f>VLOOKUP($A84,'FA Addition'!$A:$AK,COLUMN()+2,FALSE)</f>
        <v>3</v>
      </c>
      <c r="N84" s="185">
        <f>VLOOKUP($A84,'FA Addition'!$A:$AK,COLUMN()+2,FALSE)</f>
        <v>0.63159685013596123</v>
      </c>
      <c r="O84" s="186">
        <f>'FA Write off'!$N84*'FA Write off'!$L84*'FA Write off'!$H84/365</f>
        <v>159889.17521250088</v>
      </c>
    </row>
    <row r="85" spans="1:15" s="25" customFormat="1" hidden="1" x14ac:dyDescent="0.4">
      <c r="A85" s="12">
        <v>549</v>
      </c>
      <c r="B85" s="13" t="s">
        <v>1089</v>
      </c>
      <c r="C85" s="14">
        <v>45016</v>
      </c>
      <c r="D85" s="23">
        <v>28</v>
      </c>
      <c r="E85" s="15"/>
      <c r="F85" s="15"/>
      <c r="G85" s="181">
        <f>MONTH('FA Write off'!$C85)</f>
        <v>3</v>
      </c>
      <c r="H85" s="181">
        <f>MIN('FA Write off'!$C85-'FA Write off'!$J85+1,'FA Write off'!$M85*365)</f>
        <v>165</v>
      </c>
      <c r="I85" s="182">
        <f>VLOOKUP($A85,'FA Addition'!$A:$AK,COLUMN()-6,FALSE)</f>
        <v>44852</v>
      </c>
      <c r="J85" s="182">
        <f>VLOOKUP($A85,'FA Addition'!$A:$AK,COLUMN()-6,FALSE)</f>
        <v>44852</v>
      </c>
      <c r="K85" s="183" t="str">
        <f>VLOOKUP($A85,'FA Addition'!$A:$AK,COLUMN()-6,FALSE)</f>
        <v>Router</v>
      </c>
      <c r="L85" s="180">
        <f>VLOOKUP($A85,'FA Addition'!$A:$AK,COLUMN(),FALSE)</f>
        <v>2090000</v>
      </c>
      <c r="M85" s="184">
        <f>VLOOKUP($A85,'FA Addition'!$A:$AK,COLUMN()+2,FALSE)</f>
        <v>3</v>
      </c>
      <c r="N85" s="185">
        <f>VLOOKUP($A85,'FA Addition'!$A:$AK,COLUMN()+2,FALSE)</f>
        <v>0.63159685013596123</v>
      </c>
      <c r="O85" s="186">
        <f>'FA Write off'!$N85*'FA Write off'!$L85*'FA Write off'!$H85/365</f>
        <v>596729.24320379784</v>
      </c>
    </row>
    <row r="86" spans="1:15" s="25" customFormat="1" hidden="1" x14ac:dyDescent="0.4">
      <c r="A86" s="12">
        <v>564</v>
      </c>
      <c r="B86" s="13" t="s">
        <v>1089</v>
      </c>
      <c r="C86" s="14">
        <v>45016</v>
      </c>
      <c r="D86" s="23">
        <v>3</v>
      </c>
      <c r="E86" s="15"/>
      <c r="F86" s="15"/>
      <c r="G86" s="181">
        <f>MONTH('FA Write off'!$C86)</f>
        <v>3</v>
      </c>
      <c r="H86" s="181">
        <f>MIN('FA Write off'!$C86-'FA Write off'!$J86+1,'FA Write off'!$M86*365)</f>
        <v>131</v>
      </c>
      <c r="I86" s="182">
        <f>VLOOKUP($A86,'FA Addition'!$A:$AK,COLUMN()-6,FALSE)</f>
        <v>44886</v>
      </c>
      <c r="J86" s="182">
        <f>VLOOKUP($A86,'FA Addition'!$A:$AK,COLUMN()-6,FALSE)</f>
        <v>44886</v>
      </c>
      <c r="K86" s="183" t="str">
        <f>VLOOKUP($A86,'FA Addition'!$A:$AK,COLUMN()-6,FALSE)</f>
        <v>Router</v>
      </c>
      <c r="L86" s="180">
        <f>VLOOKUP($A86,'FA Addition'!$A:$AK,COLUMN(),FALSE)</f>
        <v>1650000</v>
      </c>
      <c r="M86" s="184">
        <f>VLOOKUP($A86,'FA Addition'!$A:$AK,COLUMN()+2,FALSE)</f>
        <v>3</v>
      </c>
      <c r="N86" s="185">
        <f>VLOOKUP($A86,'FA Addition'!$A:$AK,COLUMN()+2,FALSE)</f>
        <v>0.63159685013596123</v>
      </c>
      <c r="O86" s="186">
        <f>'FA Write off'!$N86*'FA Write off'!$L86*'FA Write off'!$H86/365</f>
        <v>374026.4634435288</v>
      </c>
    </row>
    <row r="87" spans="1:15" s="25" customFormat="1" hidden="1" x14ac:dyDescent="0.4">
      <c r="A87" s="12">
        <v>570</v>
      </c>
      <c r="B87" s="13" t="s">
        <v>1089</v>
      </c>
      <c r="C87" s="14">
        <v>45016</v>
      </c>
      <c r="D87" s="23">
        <v>11</v>
      </c>
      <c r="E87" s="15"/>
      <c r="F87" s="15"/>
      <c r="G87" s="181">
        <f>MONTH('FA Write off'!$C87)</f>
        <v>3</v>
      </c>
      <c r="H87" s="181">
        <f>MIN('FA Write off'!$C87-'FA Write off'!$J87+1,'FA Write off'!$M87*365)</f>
        <v>124</v>
      </c>
      <c r="I87" s="182">
        <f>VLOOKUP($A87,'FA Addition'!$A:$AK,COLUMN()-6,FALSE)</f>
        <v>44893</v>
      </c>
      <c r="J87" s="182">
        <f>VLOOKUP($A87,'FA Addition'!$A:$AK,COLUMN()-6,FALSE)</f>
        <v>44893</v>
      </c>
      <c r="K87" s="183" t="str">
        <f>VLOOKUP($A87,'FA Addition'!$A:$AK,COLUMN()-6,FALSE)</f>
        <v>Router</v>
      </c>
      <c r="L87" s="180">
        <f>VLOOKUP($A87,'FA Addition'!$A:$AK,COLUMN(),FALSE)</f>
        <v>1650000</v>
      </c>
      <c r="M87" s="184">
        <f>VLOOKUP($A87,'FA Addition'!$A:$AK,COLUMN()+2,FALSE)</f>
        <v>3</v>
      </c>
      <c r="N87" s="185">
        <f>VLOOKUP($A87,'FA Addition'!$A:$AK,COLUMN()+2,FALSE)</f>
        <v>0.63159685013596123</v>
      </c>
      <c r="O87" s="186">
        <f>'FA Write off'!$N87*'FA Write off'!$L87*'FA Write off'!$H87/365</f>
        <v>354040.31654196623</v>
      </c>
    </row>
    <row r="88" spans="1:15" s="25" customFormat="1" hidden="1" x14ac:dyDescent="0.4">
      <c r="A88" s="12">
        <v>571</v>
      </c>
      <c r="B88" s="13" t="s">
        <v>1089</v>
      </c>
      <c r="C88" s="14">
        <v>45016</v>
      </c>
      <c r="D88" s="23">
        <v>18</v>
      </c>
      <c r="E88" s="15"/>
      <c r="F88" s="15"/>
      <c r="G88" s="181">
        <f>MONTH('FA Write off'!$C88)</f>
        <v>3</v>
      </c>
      <c r="H88" s="181">
        <f>MIN('FA Write off'!$C88-'FA Write off'!$J88+1,'FA Write off'!$M88*365)</f>
        <v>120</v>
      </c>
      <c r="I88" s="182">
        <f>VLOOKUP($A88,'FA Addition'!$A:$AK,COLUMN()-6,FALSE)</f>
        <v>44897</v>
      </c>
      <c r="J88" s="182">
        <f>VLOOKUP($A88,'FA Addition'!$A:$AK,COLUMN()-6,FALSE)</f>
        <v>44897</v>
      </c>
      <c r="K88" s="183" t="str">
        <f>VLOOKUP($A88,'FA Addition'!$A:$AK,COLUMN()-6,FALSE)</f>
        <v>Router</v>
      </c>
      <c r="L88" s="180">
        <f>VLOOKUP($A88,'FA Addition'!$A:$AK,COLUMN(),FALSE)</f>
        <v>2200000</v>
      </c>
      <c r="M88" s="184">
        <f>VLOOKUP($A88,'FA Addition'!$A:$AK,COLUMN()+2,FALSE)</f>
        <v>3</v>
      </c>
      <c r="N88" s="185">
        <f>VLOOKUP($A88,'FA Addition'!$A:$AK,COLUMN()+2,FALSE)</f>
        <v>0.63159685013596123</v>
      </c>
      <c r="O88" s="186">
        <f>'FA Write off'!$N88*'FA Write off'!$L88*'FA Write off'!$H88/365</f>
        <v>456826.21489285963</v>
      </c>
    </row>
    <row r="89" spans="1:15" s="25" customFormat="1" hidden="1" x14ac:dyDescent="0.4">
      <c r="A89" s="12">
        <v>572</v>
      </c>
      <c r="B89" s="13" t="s">
        <v>1089</v>
      </c>
      <c r="C89" s="14">
        <v>45016</v>
      </c>
      <c r="D89" s="23">
        <v>106</v>
      </c>
      <c r="E89" s="15"/>
      <c r="F89" s="15"/>
      <c r="G89" s="181">
        <f>MONTH('FA Write off'!$C89)</f>
        <v>3</v>
      </c>
      <c r="H89" s="181">
        <f>MIN('FA Write off'!$C89-'FA Write off'!$J89+1,'FA Write off'!$M89*365)</f>
        <v>115</v>
      </c>
      <c r="I89" s="182">
        <f>VLOOKUP($A89,'FA Addition'!$A:$AK,COLUMN()-6,FALSE)</f>
        <v>44902</v>
      </c>
      <c r="J89" s="182">
        <f>VLOOKUP($A89,'FA Addition'!$A:$AK,COLUMN()-6,FALSE)</f>
        <v>44902</v>
      </c>
      <c r="K89" s="183" t="str">
        <f>VLOOKUP($A89,'FA Addition'!$A:$AK,COLUMN()-6,FALSE)</f>
        <v>Router</v>
      </c>
      <c r="L89" s="180">
        <f>VLOOKUP($A89,'FA Addition'!$A:$AK,COLUMN(),FALSE)</f>
        <v>1100000</v>
      </c>
      <c r="M89" s="184">
        <f>VLOOKUP($A89,'FA Addition'!$A:$AK,COLUMN()+2,FALSE)</f>
        <v>3</v>
      </c>
      <c r="N89" s="185">
        <f>VLOOKUP($A89,'FA Addition'!$A:$AK,COLUMN()+2,FALSE)</f>
        <v>0.63159685013596123</v>
      </c>
      <c r="O89" s="186">
        <f>'FA Write off'!$N89*'FA Write off'!$L89*'FA Write off'!$H89/365</f>
        <v>218895.89463616195</v>
      </c>
    </row>
    <row r="90" spans="1:15" s="25" customFormat="1" hidden="1" x14ac:dyDescent="0.4">
      <c r="A90" s="12">
        <v>576</v>
      </c>
      <c r="B90" s="13" t="s">
        <v>1089</v>
      </c>
      <c r="C90" s="14">
        <v>45016</v>
      </c>
      <c r="D90" s="23">
        <v>41</v>
      </c>
      <c r="E90" s="15"/>
      <c r="F90" s="15"/>
      <c r="G90" s="181">
        <f>MONTH('FA Write off'!$C90)</f>
        <v>3</v>
      </c>
      <c r="H90" s="181">
        <f>MIN('FA Write off'!$C90-'FA Write off'!$J90+1,'FA Write off'!$M90*365)</f>
        <v>113</v>
      </c>
      <c r="I90" s="182">
        <f>VLOOKUP($A90,'FA Addition'!$A:$AK,COLUMN()-6,FALSE)</f>
        <v>44904</v>
      </c>
      <c r="J90" s="182">
        <f>VLOOKUP($A90,'FA Addition'!$A:$AK,COLUMN()-6,FALSE)</f>
        <v>44904</v>
      </c>
      <c r="K90" s="183" t="str">
        <f>VLOOKUP($A90,'FA Addition'!$A:$AK,COLUMN()-6,FALSE)</f>
        <v>Router</v>
      </c>
      <c r="L90" s="180">
        <f>VLOOKUP($A90,'FA Addition'!$A:$AK,COLUMN(),FALSE)</f>
        <v>1100000</v>
      </c>
      <c r="M90" s="184">
        <f>VLOOKUP($A90,'FA Addition'!$A:$AK,COLUMN()+2,FALSE)</f>
        <v>3</v>
      </c>
      <c r="N90" s="185">
        <f>VLOOKUP($A90,'FA Addition'!$A:$AK,COLUMN()+2,FALSE)</f>
        <v>0.63159685013596123</v>
      </c>
      <c r="O90" s="186">
        <f>'FA Write off'!$N90*'FA Write off'!$L90*'FA Write off'!$H90/365</f>
        <v>215089.00951205476</v>
      </c>
    </row>
    <row r="91" spans="1:15" s="25" customFormat="1" hidden="1" x14ac:dyDescent="0.4">
      <c r="A91" s="12">
        <v>583</v>
      </c>
      <c r="B91" s="13" t="s">
        <v>1089</v>
      </c>
      <c r="C91" s="14">
        <v>45016</v>
      </c>
      <c r="D91" s="23">
        <v>60</v>
      </c>
      <c r="E91" s="15"/>
      <c r="F91" s="15"/>
      <c r="G91" s="181">
        <f>MONTH('FA Write off'!$C91)</f>
        <v>3</v>
      </c>
      <c r="H91" s="181">
        <f>MIN('FA Write off'!$C91-'FA Write off'!$J91+1,'FA Write off'!$M91*365)</f>
        <v>98</v>
      </c>
      <c r="I91" s="182">
        <f>VLOOKUP($A91,'FA Addition'!$A:$AK,COLUMN()-6,FALSE)</f>
        <v>44919</v>
      </c>
      <c r="J91" s="182">
        <f>VLOOKUP($A91,'FA Addition'!$A:$AK,COLUMN()-6,FALSE)</f>
        <v>44919</v>
      </c>
      <c r="K91" s="183" t="str">
        <f>VLOOKUP($A91,'FA Addition'!$A:$AK,COLUMN()-6,FALSE)</f>
        <v>Router</v>
      </c>
      <c r="L91" s="180">
        <f>VLOOKUP($A91,'FA Addition'!$A:$AK,COLUMN(),FALSE)</f>
        <v>2200000</v>
      </c>
      <c r="M91" s="184">
        <f>VLOOKUP($A91,'FA Addition'!$A:$AK,COLUMN()+2,FALSE)</f>
        <v>3</v>
      </c>
      <c r="N91" s="185">
        <f>VLOOKUP($A91,'FA Addition'!$A:$AK,COLUMN()+2,FALSE)</f>
        <v>0.63159685013596123</v>
      </c>
      <c r="O91" s="186">
        <f>'FA Write off'!$N91*'FA Write off'!$L91*'FA Write off'!$H91/365</f>
        <v>373074.74216250208</v>
      </c>
    </row>
    <row r="92" spans="1:15" s="25" customFormat="1" hidden="1" x14ac:dyDescent="0.4">
      <c r="A92" s="12">
        <v>584</v>
      </c>
      <c r="B92" s="13" t="s">
        <v>1089</v>
      </c>
      <c r="C92" s="14">
        <v>45016</v>
      </c>
      <c r="D92" s="23">
        <v>175</v>
      </c>
      <c r="E92" s="15"/>
      <c r="F92" s="15"/>
      <c r="G92" s="181">
        <f>MONTH('FA Write off'!$C92)</f>
        <v>3</v>
      </c>
      <c r="H92" s="181">
        <f>MIN('FA Write off'!$C92-'FA Write off'!$J92+1,'FA Write off'!$M92*365)</f>
        <v>96</v>
      </c>
      <c r="I92" s="182">
        <f>VLOOKUP($A92,'FA Addition'!$A:$AK,COLUMN()-6,FALSE)</f>
        <v>44921</v>
      </c>
      <c r="J92" s="182">
        <f>VLOOKUP($A92,'FA Addition'!$A:$AK,COLUMN()-6,FALSE)</f>
        <v>44921</v>
      </c>
      <c r="K92" s="183" t="str">
        <f>VLOOKUP($A92,'FA Addition'!$A:$AK,COLUMN()-6,FALSE)</f>
        <v>Router</v>
      </c>
      <c r="L92" s="180">
        <f>VLOOKUP($A92,'FA Addition'!$A:$AK,COLUMN(),FALSE)</f>
        <v>2200000</v>
      </c>
      <c r="M92" s="184">
        <f>VLOOKUP($A92,'FA Addition'!$A:$AK,COLUMN()+2,FALSE)</f>
        <v>3</v>
      </c>
      <c r="N92" s="185">
        <f>VLOOKUP($A92,'FA Addition'!$A:$AK,COLUMN()+2,FALSE)</f>
        <v>0.63159685013596123</v>
      </c>
      <c r="O92" s="186">
        <f>'FA Write off'!$N92*'FA Write off'!$L92*'FA Write off'!$H92/365</f>
        <v>365460.97191428771</v>
      </c>
    </row>
    <row r="93" spans="1:15" s="25" customFormat="1" hidden="1" x14ac:dyDescent="0.4">
      <c r="A93" s="12">
        <v>587</v>
      </c>
      <c r="B93" s="13" t="s">
        <v>1089</v>
      </c>
      <c r="C93" s="14">
        <v>45016</v>
      </c>
      <c r="D93" s="23">
        <v>93</v>
      </c>
      <c r="E93" s="15"/>
      <c r="F93" s="15"/>
      <c r="G93" s="181">
        <f>MONTH('FA Write off'!$C93)</f>
        <v>3</v>
      </c>
      <c r="H93" s="181">
        <f>MIN('FA Write off'!$C93-'FA Write off'!$J93+1,'FA Write off'!$M93*365)</f>
        <v>88</v>
      </c>
      <c r="I93" s="182">
        <f>VLOOKUP($A93,'FA Addition'!$A:$AK,COLUMN()-6,FALSE)</f>
        <v>44929</v>
      </c>
      <c r="J93" s="182">
        <f>VLOOKUP($A93,'FA Addition'!$A:$AK,COLUMN()-6,FALSE)</f>
        <v>44929</v>
      </c>
      <c r="K93" s="183" t="str">
        <f>VLOOKUP($A93,'FA Addition'!$A:$AK,COLUMN()-6,FALSE)</f>
        <v>Router</v>
      </c>
      <c r="L93" s="180">
        <f>VLOOKUP($A93,'FA Addition'!$A:$AK,COLUMN(),FALSE)</f>
        <v>2750000</v>
      </c>
      <c r="M93" s="184">
        <f>VLOOKUP($A93,'FA Addition'!$A:$AK,COLUMN()+2,FALSE)</f>
        <v>3</v>
      </c>
      <c r="N93" s="185">
        <f>VLOOKUP($A93,'FA Addition'!$A:$AK,COLUMN()+2,FALSE)</f>
        <v>0.63159685013596123</v>
      </c>
      <c r="O93" s="186">
        <f>'FA Write off'!$N93*'FA Write off'!$L93*'FA Write off'!$H93/365</f>
        <v>418757.36365178798</v>
      </c>
    </row>
    <row r="94" spans="1:15" s="25" customFormat="1" hidden="1" x14ac:dyDescent="0.4">
      <c r="A94" s="12">
        <v>590</v>
      </c>
      <c r="B94" s="13" t="s">
        <v>1089</v>
      </c>
      <c r="C94" s="14">
        <v>45016</v>
      </c>
      <c r="D94" s="23">
        <v>17</v>
      </c>
      <c r="E94" s="15"/>
      <c r="F94" s="15"/>
      <c r="G94" s="181">
        <f>MONTH('FA Write off'!$C94)</f>
        <v>3</v>
      </c>
      <c r="H94" s="181">
        <f>MIN('FA Write off'!$C94-'FA Write off'!$J94+1,'FA Write off'!$M94*365)</f>
        <v>85</v>
      </c>
      <c r="I94" s="182">
        <f>VLOOKUP($A94,'FA Addition'!$A:$AK,COLUMN()-6,FALSE)</f>
        <v>44932</v>
      </c>
      <c r="J94" s="182">
        <f>VLOOKUP($A94,'FA Addition'!$A:$AK,COLUMN()-6,FALSE)</f>
        <v>44932</v>
      </c>
      <c r="K94" s="183" t="str">
        <f>VLOOKUP($A94,'FA Addition'!$A:$AK,COLUMN()-6,FALSE)</f>
        <v>Router</v>
      </c>
      <c r="L94" s="180">
        <f>VLOOKUP($A94,'FA Addition'!$A:$AK,COLUMN(),FALSE)</f>
        <v>1485000</v>
      </c>
      <c r="M94" s="184">
        <f>VLOOKUP($A94,'FA Addition'!$A:$AK,COLUMN()+2,FALSE)</f>
        <v>5</v>
      </c>
      <c r="N94" s="185">
        <f>VLOOKUP($A94,'FA Addition'!$A:$AK,COLUMN()+2,FALSE)</f>
        <v>0.2</v>
      </c>
      <c r="O94" s="186">
        <f>'FA Write off'!$N94*'FA Write off'!$L94*'FA Write off'!$H94/365</f>
        <v>69164.38356164383</v>
      </c>
    </row>
    <row r="95" spans="1:15" s="25" customFormat="1" hidden="1" x14ac:dyDescent="0.4">
      <c r="A95" s="12">
        <v>597</v>
      </c>
      <c r="B95" s="13" t="s">
        <v>1089</v>
      </c>
      <c r="C95" s="14">
        <v>45016</v>
      </c>
      <c r="D95" s="23">
        <v>12</v>
      </c>
      <c r="E95" s="15"/>
      <c r="F95" s="15"/>
      <c r="G95" s="181">
        <f>MONTH('FA Write off'!$C95)</f>
        <v>3</v>
      </c>
      <c r="H95" s="181">
        <f>MIN('FA Write off'!$C95-'FA Write off'!$J95+1,'FA Write off'!$M95*365)</f>
        <v>84</v>
      </c>
      <c r="I95" s="182">
        <f>VLOOKUP($A95,'FA Addition'!$A:$AK,COLUMN()-6,FALSE)</f>
        <v>44933</v>
      </c>
      <c r="J95" s="182">
        <f>VLOOKUP($A95,'FA Addition'!$A:$AK,COLUMN()-6,FALSE)</f>
        <v>44933</v>
      </c>
      <c r="K95" s="183" t="str">
        <f>VLOOKUP($A95,'FA Addition'!$A:$AK,COLUMN()-6,FALSE)</f>
        <v>Router</v>
      </c>
      <c r="L95" s="180">
        <f>VLOOKUP($A95,'FA Addition'!$A:$AK,COLUMN(),FALSE)</f>
        <v>1650000</v>
      </c>
      <c r="M95" s="184">
        <f>VLOOKUP($A95,'FA Addition'!$A:$AK,COLUMN()+2,FALSE)</f>
        <v>3</v>
      </c>
      <c r="N95" s="185">
        <f>VLOOKUP($A95,'FA Addition'!$A:$AK,COLUMN()+2,FALSE)</f>
        <v>0.63159685013596123</v>
      </c>
      <c r="O95" s="186">
        <f>'FA Write off'!$N95*'FA Write off'!$L95*'FA Write off'!$H95/365</f>
        <v>239833.7628187513</v>
      </c>
    </row>
    <row r="96" spans="1:15" s="25" customFormat="1" hidden="1" x14ac:dyDescent="0.4">
      <c r="A96" s="12">
        <v>599</v>
      </c>
      <c r="B96" s="13" t="s">
        <v>1089</v>
      </c>
      <c r="C96" s="14">
        <v>45016</v>
      </c>
      <c r="D96" s="23">
        <v>8</v>
      </c>
      <c r="E96" s="15"/>
      <c r="F96" s="15"/>
      <c r="G96" s="181">
        <f>MONTH('FA Write off'!$C96)</f>
        <v>3</v>
      </c>
      <c r="H96" s="181">
        <f>MIN('FA Write off'!$C96-'FA Write off'!$J96+1,'FA Write off'!$M96*365)</f>
        <v>68</v>
      </c>
      <c r="I96" s="182">
        <f>VLOOKUP($A96,'FA Addition'!$A:$AK,COLUMN()-6,FALSE)</f>
        <v>44949</v>
      </c>
      <c r="J96" s="182">
        <f>VLOOKUP($A96,'FA Addition'!$A:$AK,COLUMN()-6,FALSE)</f>
        <v>44949</v>
      </c>
      <c r="K96" s="183" t="str">
        <f>VLOOKUP($A96,'FA Addition'!$A:$AK,COLUMN()-6,FALSE)</f>
        <v>Router</v>
      </c>
      <c r="L96" s="180">
        <f>VLOOKUP($A96,'FA Addition'!$A:$AK,COLUMN(),FALSE)</f>
        <v>1650000</v>
      </c>
      <c r="M96" s="184">
        <f>VLOOKUP($A96,'FA Addition'!$A:$AK,COLUMN()+2,FALSE)</f>
        <v>3</v>
      </c>
      <c r="N96" s="185">
        <f>VLOOKUP($A96,'FA Addition'!$A:$AK,COLUMN()+2,FALSE)</f>
        <v>0.63159685013596123</v>
      </c>
      <c r="O96" s="186">
        <f>'FA Write off'!$N96*'FA Write off'!$L96*'FA Write off'!$H96/365</f>
        <v>194151.14132946535</v>
      </c>
    </row>
    <row r="97" spans="1:15" s="25" customFormat="1" hidden="1" x14ac:dyDescent="0.4">
      <c r="A97" s="12">
        <v>604</v>
      </c>
      <c r="B97" s="13" t="s">
        <v>1089</v>
      </c>
      <c r="C97" s="14">
        <v>45016</v>
      </c>
      <c r="D97" s="23">
        <v>4</v>
      </c>
      <c r="E97" s="15"/>
      <c r="F97" s="15"/>
      <c r="G97" s="181">
        <f>MONTH('FA Write off'!$C97)</f>
        <v>3</v>
      </c>
      <c r="H97" s="181">
        <f>MIN('FA Write off'!$C97-'FA Write off'!$J97+1,'FA Write off'!$M97*365)</f>
        <v>61</v>
      </c>
      <c r="I97" s="182">
        <f>VLOOKUP($A97,'FA Addition'!$A:$AK,COLUMN()-6,FALSE)</f>
        <v>44956</v>
      </c>
      <c r="J97" s="182">
        <f>VLOOKUP($A97,'FA Addition'!$A:$AK,COLUMN()-6,FALSE)</f>
        <v>44956</v>
      </c>
      <c r="K97" s="183" t="str">
        <f>VLOOKUP($A97,'FA Addition'!$A:$AK,COLUMN()-6,FALSE)</f>
        <v>Router</v>
      </c>
      <c r="L97" s="180">
        <f>VLOOKUP($A97,'FA Addition'!$A:$AK,COLUMN(),FALSE)</f>
        <v>2200000</v>
      </c>
      <c r="M97" s="184">
        <f>VLOOKUP($A97,'FA Addition'!$A:$AK,COLUMN()+2,FALSE)</f>
        <v>3</v>
      </c>
      <c r="N97" s="185">
        <f>VLOOKUP($A97,'FA Addition'!$A:$AK,COLUMN()+2,FALSE)</f>
        <v>0.63159685013596123</v>
      </c>
      <c r="O97" s="186">
        <f>'FA Write off'!$N97*'FA Write off'!$L97*'FA Write off'!$H97/365</f>
        <v>232219.992570537</v>
      </c>
    </row>
    <row r="98" spans="1:15" s="25" customFormat="1" x14ac:dyDescent="0.4">
      <c r="A98" s="12">
        <v>618</v>
      </c>
      <c r="B98" s="13" t="s">
        <v>1089</v>
      </c>
      <c r="C98" s="14">
        <v>45016</v>
      </c>
      <c r="D98" s="23">
        <v>160</v>
      </c>
      <c r="E98" s="15"/>
      <c r="F98" s="15"/>
      <c r="G98" s="181">
        <f>MONTH('FA Write off'!$C98)</f>
        <v>3</v>
      </c>
      <c r="H98" s="181">
        <f>MIN('FA Write off'!$C98-'FA Write off'!$J98+1,'FA Write off'!$M98*365)</f>
        <v>26</v>
      </c>
      <c r="I98" s="182">
        <f>VLOOKUP($A98,'FA Addition'!$A:$AK,COLUMN()-6,FALSE)</f>
        <v>44991</v>
      </c>
      <c r="J98" s="182">
        <f>VLOOKUP($A98,'FA Addition'!$A:$AK,COLUMN()-6,FALSE)</f>
        <v>44991</v>
      </c>
      <c r="K98" s="183" t="str">
        <f>VLOOKUP($A98,'FA Addition'!$A:$AK,COLUMN()-6,FALSE)</f>
        <v>Router</v>
      </c>
      <c r="L98" s="180">
        <f>VLOOKUP($A98,'FA Addition'!$A:$AK,COLUMN(),FALSE)</f>
        <v>8800000</v>
      </c>
      <c r="M98" s="184">
        <f>VLOOKUP($A98,'FA Addition'!$A:$AK,COLUMN()+2,FALSE)</f>
        <v>3</v>
      </c>
      <c r="N98" s="185">
        <f>VLOOKUP($A98,'FA Addition'!$A:$AK,COLUMN()+2,FALSE)</f>
        <v>0.63159685013596123</v>
      </c>
      <c r="O98" s="186">
        <f>'FA Write off'!$N98*'FA Write off'!$L98*'FA Write off'!$H98/365</f>
        <v>395916.052907145</v>
      </c>
    </row>
    <row r="99" spans="1:15" s="25" customFormat="1" hidden="1" x14ac:dyDescent="0.4">
      <c r="A99" s="12">
        <v>635</v>
      </c>
      <c r="B99" s="13" t="s">
        <v>1089</v>
      </c>
      <c r="C99" s="14">
        <v>45016</v>
      </c>
      <c r="D99" s="23">
        <v>68</v>
      </c>
      <c r="E99" s="15"/>
      <c r="F99" s="15"/>
      <c r="G99" s="181">
        <f>MONTH('FA Write off'!$C99)</f>
        <v>3</v>
      </c>
      <c r="H99" s="181">
        <f>MIN('FA Write off'!$C99-'FA Write off'!$J99+1,'FA Write off'!$M99*365)</f>
        <v>-9</v>
      </c>
      <c r="I99" s="182">
        <f>VLOOKUP($A99,'FA Addition'!$A:$AK,COLUMN()-6,FALSE)</f>
        <v>45026</v>
      </c>
      <c r="J99" s="182">
        <f>VLOOKUP($A99,'FA Addition'!$A:$AK,COLUMN()-6,FALSE)</f>
        <v>45026</v>
      </c>
      <c r="K99" s="183" t="str">
        <f>VLOOKUP($A99,'FA Addition'!$A:$AK,COLUMN()-6,FALSE)</f>
        <v>Router</v>
      </c>
      <c r="L99" s="180">
        <f>VLOOKUP($A99,'FA Addition'!$A:$AK,COLUMN(),FALSE)</f>
        <v>2200000</v>
      </c>
      <c r="M99" s="184">
        <f>VLOOKUP($A99,'FA Addition'!$A:$AK,COLUMN()+2,FALSE)</f>
        <v>5</v>
      </c>
      <c r="N99" s="185">
        <f>VLOOKUP($A99,'FA Addition'!$A:$AK,COLUMN()+2,FALSE)</f>
        <v>0.2</v>
      </c>
      <c r="O99" s="186">
        <f>'FA Write off'!$N99*'FA Write off'!$L99*'FA Write off'!$H99/365</f>
        <v>-10849.315068493152</v>
      </c>
    </row>
    <row r="100" spans="1:15" s="25" customFormat="1" hidden="1" x14ac:dyDescent="0.4">
      <c r="A100" s="12">
        <v>636</v>
      </c>
      <c r="B100" s="13" t="s">
        <v>1089</v>
      </c>
      <c r="C100" s="14">
        <v>45016</v>
      </c>
      <c r="D100" s="23">
        <v>103</v>
      </c>
      <c r="E100" s="15"/>
      <c r="F100" s="15"/>
      <c r="G100" s="181">
        <f>MONTH('FA Write off'!$C100)</f>
        <v>3</v>
      </c>
      <c r="H100" s="181">
        <f>MIN('FA Write off'!$C100-'FA Write off'!$J100+1,'FA Write off'!$M100*365)</f>
        <v>-13</v>
      </c>
      <c r="I100" s="182">
        <f>VLOOKUP($A100,'FA Addition'!$A:$AK,COLUMN()-6,FALSE)</f>
        <v>45030</v>
      </c>
      <c r="J100" s="182">
        <f>VLOOKUP($A100,'FA Addition'!$A:$AK,COLUMN()-6,FALSE)</f>
        <v>45030</v>
      </c>
      <c r="K100" s="183" t="str">
        <f>VLOOKUP($A100,'FA Addition'!$A:$AK,COLUMN()-6,FALSE)</f>
        <v>Router</v>
      </c>
      <c r="L100" s="180">
        <f>VLOOKUP($A100,'FA Addition'!$A:$AK,COLUMN(),FALSE)</f>
        <v>3300000</v>
      </c>
      <c r="M100" s="184">
        <f>VLOOKUP($A100,'FA Addition'!$A:$AK,COLUMN()+2,FALSE)</f>
        <v>5</v>
      </c>
      <c r="N100" s="185">
        <f>VLOOKUP($A100,'FA Addition'!$A:$AK,COLUMN()+2,FALSE)</f>
        <v>0.2</v>
      </c>
      <c r="O100" s="186">
        <f>'FA Write off'!$N100*'FA Write off'!$L100*'FA Write off'!$H100/365</f>
        <v>-23506.849315068492</v>
      </c>
    </row>
    <row r="101" spans="1:15" s="25" customFormat="1" hidden="1" x14ac:dyDescent="0.4">
      <c r="A101" s="12">
        <v>651</v>
      </c>
      <c r="B101" s="13" t="s">
        <v>1089</v>
      </c>
      <c r="C101" s="14">
        <v>45016</v>
      </c>
      <c r="D101" s="23">
        <v>39</v>
      </c>
      <c r="E101" s="15"/>
      <c r="F101" s="15"/>
      <c r="G101" s="181">
        <f>MONTH('FA Write off'!$C101)</f>
        <v>3</v>
      </c>
      <c r="H101" s="181">
        <f>MIN('FA Write off'!$C101-'FA Write off'!$J101+1,'FA Write off'!$M101*365)</f>
        <v>-28</v>
      </c>
      <c r="I101" s="182">
        <f>VLOOKUP($A101,'FA Addition'!$A:$AK,COLUMN()-6,FALSE)</f>
        <v>45045</v>
      </c>
      <c r="J101" s="182">
        <f>VLOOKUP($A101,'FA Addition'!$A:$AK,COLUMN()-6,FALSE)</f>
        <v>45045</v>
      </c>
      <c r="K101" s="183" t="str">
        <f>VLOOKUP($A101,'FA Addition'!$A:$AK,COLUMN()-6,FALSE)</f>
        <v>Router</v>
      </c>
      <c r="L101" s="180">
        <f>VLOOKUP($A101,'FA Addition'!$A:$AK,COLUMN(),FALSE)</f>
        <v>2200000</v>
      </c>
      <c r="M101" s="184">
        <f>VLOOKUP($A101,'FA Addition'!$A:$AK,COLUMN()+2,FALSE)</f>
        <v>5</v>
      </c>
      <c r="N101" s="185">
        <f>VLOOKUP($A101,'FA Addition'!$A:$AK,COLUMN()+2,FALSE)</f>
        <v>0.2</v>
      </c>
      <c r="O101" s="186">
        <f>'FA Write off'!$N101*'FA Write off'!$L101*'FA Write off'!$H101/365</f>
        <v>-33753.424657534248</v>
      </c>
    </row>
    <row r="102" spans="1:15" s="25" customFormat="1" hidden="1" x14ac:dyDescent="0.4">
      <c r="A102" s="12">
        <v>653</v>
      </c>
      <c r="B102" s="13" t="s">
        <v>1089</v>
      </c>
      <c r="C102" s="14">
        <v>45016</v>
      </c>
      <c r="D102" s="23">
        <v>29</v>
      </c>
      <c r="E102" s="15"/>
      <c r="F102" s="15"/>
      <c r="G102" s="181">
        <f>MONTH('FA Write off'!$C102)</f>
        <v>3</v>
      </c>
      <c r="H102" s="181">
        <f>MIN('FA Write off'!$C102-'FA Write off'!$J102+1,'FA Write off'!$M102*365)</f>
        <v>-30</v>
      </c>
      <c r="I102" s="182">
        <f>VLOOKUP($A102,'FA Addition'!$A:$AK,COLUMN()-6,FALSE)</f>
        <v>45047</v>
      </c>
      <c r="J102" s="182">
        <f>VLOOKUP($A102,'FA Addition'!$A:$AK,COLUMN()-6,FALSE)</f>
        <v>45047</v>
      </c>
      <c r="K102" s="183" t="str">
        <f>VLOOKUP($A102,'FA Addition'!$A:$AK,COLUMN()-6,FALSE)</f>
        <v>Router</v>
      </c>
      <c r="L102" s="180">
        <f>VLOOKUP($A102,'FA Addition'!$A:$AK,COLUMN(),FALSE)</f>
        <v>2200000</v>
      </c>
      <c r="M102" s="184">
        <f>VLOOKUP($A102,'FA Addition'!$A:$AK,COLUMN()+2,FALSE)</f>
        <v>5</v>
      </c>
      <c r="N102" s="185">
        <f>VLOOKUP($A102,'FA Addition'!$A:$AK,COLUMN()+2,FALSE)</f>
        <v>0.2</v>
      </c>
      <c r="O102" s="186">
        <f>'FA Write off'!$N102*'FA Write off'!$L102*'FA Write off'!$H102/365</f>
        <v>-36164.383561643837</v>
      </c>
    </row>
    <row r="103" spans="1:15" s="25" customFormat="1" hidden="1" x14ac:dyDescent="0.4">
      <c r="A103" s="12">
        <v>673</v>
      </c>
      <c r="B103" s="13" t="s">
        <v>1089</v>
      </c>
      <c r="C103" s="14">
        <v>45016</v>
      </c>
      <c r="D103" s="23">
        <v>80</v>
      </c>
      <c r="E103" s="15"/>
      <c r="F103" s="15"/>
      <c r="G103" s="181">
        <f>MONTH('FA Write off'!$C103)</f>
        <v>3</v>
      </c>
      <c r="H103" s="181">
        <f>MIN('FA Write off'!$C103-'FA Write off'!$J103+1,'FA Write off'!$M103*365)</f>
        <v>-63</v>
      </c>
      <c r="I103" s="182">
        <f>VLOOKUP($A103,'FA Addition'!$A:$AK,COLUMN()-6,FALSE)</f>
        <v>45080</v>
      </c>
      <c r="J103" s="182">
        <f>VLOOKUP($A103,'FA Addition'!$A:$AK,COLUMN()-6,FALSE)</f>
        <v>45080</v>
      </c>
      <c r="K103" s="183" t="str">
        <f>VLOOKUP($A103,'FA Addition'!$A:$AK,COLUMN()-6,FALSE)</f>
        <v>Router</v>
      </c>
      <c r="L103" s="180">
        <f>VLOOKUP($A103,'FA Addition'!$A:$AK,COLUMN(),FALSE)</f>
        <v>2700000</v>
      </c>
      <c r="M103" s="184">
        <f>VLOOKUP($A103,'FA Addition'!$A:$AK,COLUMN()+2,FALSE)</f>
        <v>5</v>
      </c>
      <c r="N103" s="185">
        <f>VLOOKUP($A103,'FA Addition'!$A:$AK,COLUMN()+2,FALSE)</f>
        <v>0.2</v>
      </c>
      <c r="O103" s="186">
        <f>'FA Write off'!$N103*'FA Write off'!$L103*'FA Write off'!$H103/365</f>
        <v>-93205.479452054788</v>
      </c>
    </row>
    <row r="104" spans="1:15" s="25" customFormat="1" hidden="1" x14ac:dyDescent="0.4">
      <c r="A104" s="12">
        <v>674</v>
      </c>
      <c r="B104" s="13" t="s">
        <v>1089</v>
      </c>
      <c r="C104" s="14">
        <v>45016</v>
      </c>
      <c r="D104" s="23">
        <v>3</v>
      </c>
      <c r="E104" s="15"/>
      <c r="F104" s="15"/>
      <c r="G104" s="181">
        <f>MONTH('FA Write off'!$C104)</f>
        <v>3</v>
      </c>
      <c r="H104" s="181">
        <f>MIN('FA Write off'!$C104-'FA Write off'!$J104+1,'FA Write off'!$M104*365)</f>
        <v>-66</v>
      </c>
      <c r="I104" s="182">
        <f>VLOOKUP($A104,'FA Addition'!$A:$AK,COLUMN()-6,FALSE)</f>
        <v>45083</v>
      </c>
      <c r="J104" s="182">
        <f>VLOOKUP($A104,'FA Addition'!$A:$AK,COLUMN()-6,FALSE)</f>
        <v>45083</v>
      </c>
      <c r="K104" s="183" t="str">
        <f>VLOOKUP($A104,'FA Addition'!$A:$AK,COLUMN()-6,FALSE)</f>
        <v>Router</v>
      </c>
      <c r="L104" s="180">
        <f>VLOOKUP($A104,'FA Addition'!$A:$AK,COLUMN(),FALSE)</f>
        <v>432000</v>
      </c>
      <c r="M104" s="184">
        <f>VLOOKUP($A104,'FA Addition'!$A:$AK,COLUMN()+2,FALSE)</f>
        <v>5</v>
      </c>
      <c r="N104" s="185">
        <f>VLOOKUP($A104,'FA Addition'!$A:$AK,COLUMN()+2,FALSE)</f>
        <v>0.2</v>
      </c>
      <c r="O104" s="186">
        <f>'FA Write off'!$N104*'FA Write off'!$L104*'FA Write off'!$H104/365</f>
        <v>-15623.013698630137</v>
      </c>
    </row>
    <row r="105" spans="1:15" s="25" customFormat="1" hidden="1" x14ac:dyDescent="0.4">
      <c r="A105" s="12">
        <v>678</v>
      </c>
      <c r="B105" s="13" t="s">
        <v>1089</v>
      </c>
      <c r="C105" s="14">
        <v>45016</v>
      </c>
      <c r="D105" s="23">
        <v>78</v>
      </c>
      <c r="E105" s="15"/>
      <c r="F105" s="15"/>
      <c r="G105" s="181">
        <f>MONTH('FA Write off'!$C105)</f>
        <v>3</v>
      </c>
      <c r="H105" s="181">
        <f>MIN('FA Write off'!$C105-'FA Write off'!$J105+1,'FA Write off'!$M105*365)</f>
        <v>-69</v>
      </c>
      <c r="I105" s="182">
        <f>VLOOKUP($A105,'FA Addition'!$A:$AK,COLUMN()-6,FALSE)</f>
        <v>45086</v>
      </c>
      <c r="J105" s="182">
        <f>VLOOKUP($A105,'FA Addition'!$A:$AK,COLUMN()-6,FALSE)</f>
        <v>45086</v>
      </c>
      <c r="K105" s="183" t="str">
        <f>VLOOKUP($A105,'FA Addition'!$A:$AK,COLUMN()-6,FALSE)</f>
        <v>Router</v>
      </c>
      <c r="L105" s="180">
        <f>VLOOKUP($A105,'FA Addition'!$A:$AK,COLUMN(),FALSE)</f>
        <v>2689200</v>
      </c>
      <c r="M105" s="184">
        <f>VLOOKUP($A105,'FA Addition'!$A:$AK,COLUMN()+2,FALSE)</f>
        <v>5</v>
      </c>
      <c r="N105" s="185">
        <f>VLOOKUP($A105,'FA Addition'!$A:$AK,COLUMN()+2,FALSE)</f>
        <v>0.2</v>
      </c>
      <c r="O105" s="186">
        <f>'FA Write off'!$N105*'FA Write off'!$L105*'FA Write off'!$H105/365</f>
        <v>-101673.86301369863</v>
      </c>
    </row>
    <row r="106" spans="1:15" s="25" customFormat="1" hidden="1" x14ac:dyDescent="0.4">
      <c r="A106" s="12">
        <v>695</v>
      </c>
      <c r="B106" s="13" t="s">
        <v>1089</v>
      </c>
      <c r="C106" s="14">
        <v>45016</v>
      </c>
      <c r="D106" s="23">
        <v>41</v>
      </c>
      <c r="E106" s="15"/>
      <c r="F106" s="15"/>
      <c r="G106" s="181">
        <f>MONTH('FA Write off'!$C106)</f>
        <v>3</v>
      </c>
      <c r="H106" s="181">
        <f>MIN('FA Write off'!$C106-'FA Write off'!$J106+1,'FA Write off'!$M106*365)</f>
        <v>-79</v>
      </c>
      <c r="I106" s="182">
        <f>VLOOKUP($A106,'FA Addition'!$A:$AK,COLUMN()-6,FALSE)</f>
        <v>45096</v>
      </c>
      <c r="J106" s="182">
        <f>VLOOKUP($A106,'FA Addition'!$A:$AK,COLUMN()-6,FALSE)</f>
        <v>45096</v>
      </c>
      <c r="K106" s="183" t="str">
        <f>VLOOKUP($A106,'FA Addition'!$A:$AK,COLUMN()-6,FALSE)</f>
        <v>Router</v>
      </c>
      <c r="L106" s="180">
        <f>VLOOKUP($A106,'FA Addition'!$A:$AK,COLUMN(),FALSE)</f>
        <v>2700000</v>
      </c>
      <c r="M106" s="184">
        <f>VLOOKUP($A106,'FA Addition'!$A:$AK,COLUMN()+2,FALSE)</f>
        <v>5</v>
      </c>
      <c r="N106" s="185">
        <f>VLOOKUP($A106,'FA Addition'!$A:$AK,COLUMN()+2,FALSE)</f>
        <v>0.2</v>
      </c>
      <c r="O106" s="186">
        <f>'FA Write off'!$N106*'FA Write off'!$L106*'FA Write off'!$H106/365</f>
        <v>-116876.71232876713</v>
      </c>
    </row>
    <row r="107" spans="1:15" s="25" customFormat="1" hidden="1" x14ac:dyDescent="0.4">
      <c r="A107" s="12">
        <v>699</v>
      </c>
      <c r="B107" s="13" t="s">
        <v>1089</v>
      </c>
      <c r="C107" s="14">
        <v>45016</v>
      </c>
      <c r="D107" s="23">
        <v>22</v>
      </c>
      <c r="E107" s="15"/>
      <c r="F107" s="15"/>
      <c r="G107" s="181">
        <f>MONTH('FA Write off'!$C107)</f>
        <v>3</v>
      </c>
      <c r="H107" s="181">
        <f>MIN('FA Write off'!$C107-'FA Write off'!$J107+1,'FA Write off'!$M107*365)</f>
        <v>-90</v>
      </c>
      <c r="I107" s="182">
        <f>VLOOKUP($A107,'FA Addition'!$A:$AK,COLUMN()-6,FALSE)</f>
        <v>45107</v>
      </c>
      <c r="J107" s="182">
        <f>VLOOKUP($A107,'FA Addition'!$A:$AK,COLUMN()-6,FALSE)</f>
        <v>45107</v>
      </c>
      <c r="K107" s="183" t="str">
        <f>VLOOKUP($A107,'FA Addition'!$A:$AK,COLUMN()-6,FALSE)</f>
        <v>Router</v>
      </c>
      <c r="L107" s="180">
        <f>VLOOKUP($A107,'FA Addition'!$A:$AK,COLUMN(),FALSE)</f>
        <v>1620000</v>
      </c>
      <c r="M107" s="184">
        <f>VLOOKUP($A107,'FA Addition'!$A:$AK,COLUMN()+2,FALSE)</f>
        <v>5</v>
      </c>
      <c r="N107" s="185">
        <f>VLOOKUP($A107,'FA Addition'!$A:$AK,COLUMN()+2,FALSE)</f>
        <v>0.2</v>
      </c>
      <c r="O107" s="186">
        <f>'FA Write off'!$N107*'FA Write off'!$L107*'FA Write off'!$H107/365</f>
        <v>-79890.410958904104</v>
      </c>
    </row>
    <row r="108" spans="1:15" s="25" customFormat="1" hidden="1" x14ac:dyDescent="0.4">
      <c r="A108" s="12">
        <v>723</v>
      </c>
      <c r="B108" s="13" t="s">
        <v>1089</v>
      </c>
      <c r="C108" s="14">
        <v>45016</v>
      </c>
      <c r="D108" s="23">
        <v>43</v>
      </c>
      <c r="E108" s="15"/>
      <c r="F108" s="15"/>
      <c r="G108" s="181">
        <f>MONTH('FA Write off'!$C108)</f>
        <v>3</v>
      </c>
      <c r="H108" s="181">
        <f>MIN('FA Write off'!$C108-'FA Write off'!$J108+1,'FA Write off'!$M108*365)</f>
        <v>-115</v>
      </c>
      <c r="I108" s="182">
        <f>VLOOKUP($A108,'FA Addition'!$A:$AK,COLUMN()-6,FALSE)</f>
        <v>45132</v>
      </c>
      <c r="J108" s="182">
        <f>VLOOKUP($A108,'FA Addition'!$A:$AK,COLUMN()-6,FALSE)</f>
        <v>45132</v>
      </c>
      <c r="K108" s="183" t="str">
        <f>VLOOKUP($A108,'FA Addition'!$A:$AK,COLUMN()-6,FALSE)</f>
        <v>Router</v>
      </c>
      <c r="L108" s="180">
        <f>VLOOKUP($A108,'FA Addition'!$A:$AK,COLUMN(),FALSE)</f>
        <v>2080000</v>
      </c>
      <c r="M108" s="184">
        <f>VLOOKUP($A108,'FA Addition'!$A:$AK,COLUMN()+2,FALSE)</f>
        <v>5</v>
      </c>
      <c r="N108" s="185">
        <f>VLOOKUP($A108,'FA Addition'!$A:$AK,COLUMN()+2,FALSE)</f>
        <v>0.2</v>
      </c>
      <c r="O108" s="186">
        <f>'FA Write off'!$N108*'FA Write off'!$L108*'FA Write off'!$H108/365</f>
        <v>-131068.49315068492</v>
      </c>
    </row>
    <row r="109" spans="1:15" s="25" customFormat="1" hidden="1" x14ac:dyDescent="0.4">
      <c r="A109" s="12">
        <v>731</v>
      </c>
      <c r="B109" s="13" t="s">
        <v>1089</v>
      </c>
      <c r="C109" s="14">
        <v>45016</v>
      </c>
      <c r="D109" s="23">
        <v>58</v>
      </c>
      <c r="E109" s="15"/>
      <c r="F109" s="15"/>
      <c r="G109" s="181">
        <f>MONTH('FA Write off'!$C109)</f>
        <v>3</v>
      </c>
      <c r="H109" s="181">
        <f>MIN('FA Write off'!$C109-'FA Write off'!$J109+1,'FA Write off'!$M109*365)</f>
        <v>-118</v>
      </c>
      <c r="I109" s="182">
        <f>VLOOKUP($A109,'FA Addition'!$A:$AK,COLUMN()-6,FALSE)</f>
        <v>45135</v>
      </c>
      <c r="J109" s="182">
        <f>VLOOKUP($A109,'FA Addition'!$A:$AK,COLUMN()-6,FALSE)</f>
        <v>45135</v>
      </c>
      <c r="K109" s="183" t="str">
        <f>VLOOKUP($A109,'FA Addition'!$A:$AK,COLUMN()-6,FALSE)</f>
        <v>Router</v>
      </c>
      <c r="L109" s="180">
        <f>VLOOKUP($A109,'FA Addition'!$A:$AK,COLUMN(),FALSE)</f>
        <v>2080000</v>
      </c>
      <c r="M109" s="184">
        <f>VLOOKUP($A109,'FA Addition'!$A:$AK,COLUMN()+2,FALSE)</f>
        <v>5</v>
      </c>
      <c r="N109" s="185">
        <f>VLOOKUP($A109,'FA Addition'!$A:$AK,COLUMN()+2,FALSE)</f>
        <v>0.2</v>
      </c>
      <c r="O109" s="186">
        <f>'FA Write off'!$N109*'FA Write off'!$L109*'FA Write off'!$H109/365</f>
        <v>-134487.67123287672</v>
      </c>
    </row>
    <row r="110" spans="1:15" s="25" customFormat="1" hidden="1" x14ac:dyDescent="0.4">
      <c r="A110" s="12">
        <v>734</v>
      </c>
      <c r="B110" s="13" t="s">
        <v>1089</v>
      </c>
      <c r="C110" s="14">
        <v>45016</v>
      </c>
      <c r="D110" s="23">
        <v>56</v>
      </c>
      <c r="E110" s="15"/>
      <c r="F110" s="15"/>
      <c r="G110" s="181">
        <f>MONTH('FA Write off'!$C110)</f>
        <v>3</v>
      </c>
      <c r="H110" s="181">
        <f>MIN('FA Write off'!$C110-'FA Write off'!$J110+1,'FA Write off'!$M110*365)</f>
        <v>-122</v>
      </c>
      <c r="I110" s="182">
        <f>VLOOKUP($A110,'FA Addition'!$A:$AK,COLUMN()-6,FALSE)</f>
        <v>45139</v>
      </c>
      <c r="J110" s="182">
        <f>VLOOKUP($A110,'FA Addition'!$A:$AK,COLUMN()-6,FALSE)</f>
        <v>45139</v>
      </c>
      <c r="K110" s="183" t="str">
        <f>VLOOKUP($A110,'FA Addition'!$A:$AK,COLUMN()-6,FALSE)</f>
        <v>Router</v>
      </c>
      <c r="L110" s="180">
        <f>VLOOKUP($A110,'FA Addition'!$A:$AK,COLUMN(),FALSE)</f>
        <v>520000</v>
      </c>
      <c r="M110" s="184">
        <f>VLOOKUP($A110,'FA Addition'!$A:$AK,COLUMN()+2,FALSE)</f>
        <v>5</v>
      </c>
      <c r="N110" s="185">
        <f>VLOOKUP($A110,'FA Addition'!$A:$AK,COLUMN()+2,FALSE)</f>
        <v>0.2</v>
      </c>
      <c r="O110" s="186">
        <f>'FA Write off'!$N110*'FA Write off'!$L110*'FA Write off'!$H110/365</f>
        <v>-34761.643835616436</v>
      </c>
    </row>
    <row r="111" spans="1:15" s="25" customFormat="1" hidden="1" x14ac:dyDescent="0.4">
      <c r="A111" s="12">
        <v>736</v>
      </c>
      <c r="B111" s="13" t="s">
        <v>1089</v>
      </c>
      <c r="C111" s="14">
        <v>45016</v>
      </c>
      <c r="D111" s="23">
        <v>23</v>
      </c>
      <c r="E111" s="15"/>
      <c r="F111" s="15"/>
      <c r="G111" s="181">
        <f>MONTH('FA Write off'!$C111)</f>
        <v>3</v>
      </c>
      <c r="H111" s="181">
        <f>MIN('FA Write off'!$C111-'FA Write off'!$J111+1,'FA Write off'!$M111*365)</f>
        <v>-126</v>
      </c>
      <c r="I111" s="182">
        <f>VLOOKUP($A111,'FA Addition'!$A:$AK,COLUMN()-6,FALSE)</f>
        <v>45143</v>
      </c>
      <c r="J111" s="182">
        <f>VLOOKUP($A111,'FA Addition'!$A:$AK,COLUMN()-6,FALSE)</f>
        <v>45143</v>
      </c>
      <c r="K111" s="183" t="str">
        <f>VLOOKUP($A111,'FA Addition'!$A:$AK,COLUMN()-6,FALSE)</f>
        <v>Router</v>
      </c>
      <c r="L111" s="180">
        <f>VLOOKUP($A111,'FA Addition'!$A:$AK,COLUMN(),FALSE)</f>
        <v>1872000</v>
      </c>
      <c r="M111" s="184">
        <f>VLOOKUP($A111,'FA Addition'!$A:$AK,COLUMN()+2,FALSE)</f>
        <v>5</v>
      </c>
      <c r="N111" s="185">
        <f>VLOOKUP($A111,'FA Addition'!$A:$AK,COLUMN()+2,FALSE)</f>
        <v>0.2</v>
      </c>
      <c r="O111" s="186">
        <f>'FA Write off'!$N111*'FA Write off'!$L111*'FA Write off'!$H111/365</f>
        <v>-129244.93150684932</v>
      </c>
    </row>
    <row r="112" spans="1:15" s="25" customFormat="1" hidden="1" x14ac:dyDescent="0.4">
      <c r="A112" s="12">
        <v>764</v>
      </c>
      <c r="B112" s="13" t="s">
        <v>1089</v>
      </c>
      <c r="C112" s="14">
        <v>45016</v>
      </c>
      <c r="D112" s="23">
        <v>24</v>
      </c>
      <c r="E112" s="15"/>
      <c r="F112" s="15"/>
      <c r="G112" s="181">
        <f>MONTH('FA Write off'!$C112)</f>
        <v>3</v>
      </c>
      <c r="H112" s="181">
        <f>MIN('FA Write off'!$C112-'FA Write off'!$J112+1,'FA Write off'!$M112*365)</f>
        <v>-150</v>
      </c>
      <c r="I112" s="182">
        <f>VLOOKUP($A112,'FA Addition'!$A:$AK,COLUMN()-6,FALSE)</f>
        <v>45167</v>
      </c>
      <c r="J112" s="182">
        <f>VLOOKUP($A112,'FA Addition'!$A:$AK,COLUMN()-6,FALSE)</f>
        <v>45167</v>
      </c>
      <c r="K112" s="183" t="str">
        <f>VLOOKUP($A112,'FA Addition'!$A:$AK,COLUMN()-6,FALSE)</f>
        <v>Router</v>
      </c>
      <c r="L112" s="180">
        <f>VLOOKUP($A112,'FA Addition'!$A:$AK,COLUMN(),FALSE)</f>
        <v>2079000</v>
      </c>
      <c r="M112" s="184">
        <f>VLOOKUP($A112,'FA Addition'!$A:$AK,COLUMN()+2,FALSE)</f>
        <v>5</v>
      </c>
      <c r="N112" s="185">
        <f>VLOOKUP($A112,'FA Addition'!$A:$AK,COLUMN()+2,FALSE)</f>
        <v>0.2</v>
      </c>
      <c r="O112" s="186">
        <f>'FA Write off'!$N112*'FA Write off'!$L112*'FA Write off'!$H112/365</f>
        <v>-170876.71232876711</v>
      </c>
    </row>
    <row r="113" spans="1:15" s="25" customFormat="1" hidden="1" x14ac:dyDescent="0.4">
      <c r="A113" s="12">
        <v>781</v>
      </c>
      <c r="B113" s="13" t="s">
        <v>1089</v>
      </c>
      <c r="C113" s="14">
        <v>45016</v>
      </c>
      <c r="D113" s="23">
        <v>53</v>
      </c>
      <c r="E113" s="15"/>
      <c r="F113" s="15"/>
      <c r="G113" s="181">
        <f>MONTH('FA Write off'!$C113)</f>
        <v>3</v>
      </c>
      <c r="H113" s="181">
        <f>MIN('FA Write off'!$C113-'FA Write off'!$J113+1,'FA Write off'!$M113*365)</f>
        <v>-156</v>
      </c>
      <c r="I113" s="182">
        <f>VLOOKUP($A113,'FA Addition'!$A:$AK,COLUMN()-6,FALSE)</f>
        <v>45173</v>
      </c>
      <c r="J113" s="182">
        <f>VLOOKUP($A113,'FA Addition'!$A:$AK,COLUMN()-6,FALSE)</f>
        <v>45173</v>
      </c>
      <c r="K113" s="183" t="str">
        <f>VLOOKUP($A113,'FA Addition'!$A:$AK,COLUMN()-6,FALSE)</f>
        <v>Router</v>
      </c>
      <c r="L113" s="180">
        <f>VLOOKUP($A113,'FA Addition'!$A:$AK,COLUMN(),FALSE)</f>
        <v>2079000</v>
      </c>
      <c r="M113" s="184">
        <f>VLOOKUP($A113,'FA Addition'!$A:$AK,COLUMN()+2,FALSE)</f>
        <v>5</v>
      </c>
      <c r="N113" s="185">
        <f>VLOOKUP($A113,'FA Addition'!$A:$AK,COLUMN()+2,FALSE)</f>
        <v>0.2</v>
      </c>
      <c r="O113" s="186">
        <f>'FA Write off'!$N113*'FA Write off'!$L113*'FA Write off'!$H113/365</f>
        <v>-177711.78082191781</v>
      </c>
    </row>
    <row r="114" spans="1:15" s="25" customFormat="1" hidden="1" x14ac:dyDescent="0.4">
      <c r="A114" s="12">
        <v>787</v>
      </c>
      <c r="B114" s="13" t="s">
        <v>1089</v>
      </c>
      <c r="C114" s="14">
        <v>45016</v>
      </c>
      <c r="D114" s="23">
        <v>18</v>
      </c>
      <c r="E114" s="15"/>
      <c r="F114" s="15"/>
      <c r="G114" s="181">
        <f>MONTH('FA Write off'!$C114)</f>
        <v>3</v>
      </c>
      <c r="H114" s="181">
        <f>MIN('FA Write off'!$C114-'FA Write off'!$J114+1,'FA Write off'!$M114*365)</f>
        <v>-159</v>
      </c>
      <c r="I114" s="182">
        <f>VLOOKUP($A114,'FA Addition'!$A:$AK,COLUMN()-6,FALSE)</f>
        <v>45176</v>
      </c>
      <c r="J114" s="182">
        <f>VLOOKUP($A114,'FA Addition'!$A:$AK,COLUMN()-6,FALSE)</f>
        <v>45176</v>
      </c>
      <c r="K114" s="183" t="str">
        <f>VLOOKUP($A114,'FA Addition'!$A:$AK,COLUMN()-6,FALSE)</f>
        <v>Router</v>
      </c>
      <c r="L114" s="180">
        <f>VLOOKUP($A114,'FA Addition'!$A:$AK,COLUMN(),FALSE)</f>
        <v>1089000</v>
      </c>
      <c r="M114" s="184">
        <f>VLOOKUP($A114,'FA Addition'!$A:$AK,COLUMN()+2,FALSE)</f>
        <v>5</v>
      </c>
      <c r="N114" s="185">
        <f>VLOOKUP($A114,'FA Addition'!$A:$AK,COLUMN()+2,FALSE)</f>
        <v>0.2</v>
      </c>
      <c r="O114" s="186">
        <f>'FA Write off'!$N114*'FA Write off'!$L114*'FA Write off'!$H114/365</f>
        <v>-94877.260273972599</v>
      </c>
    </row>
    <row r="115" spans="1:15" s="25" customFormat="1" hidden="1" x14ac:dyDescent="0.4">
      <c r="A115" s="12">
        <v>788</v>
      </c>
      <c r="B115" s="13" t="s">
        <v>1089</v>
      </c>
      <c r="C115" s="14">
        <v>45016</v>
      </c>
      <c r="D115" s="23">
        <v>33</v>
      </c>
      <c r="E115" s="15"/>
      <c r="F115" s="15"/>
      <c r="G115" s="181">
        <f>MONTH('FA Write off'!$C115)</f>
        <v>3</v>
      </c>
      <c r="H115" s="181">
        <f>MIN('FA Write off'!$C115-'FA Write off'!$J115+1,'FA Write off'!$M115*365)</f>
        <v>-159</v>
      </c>
      <c r="I115" s="182">
        <f>VLOOKUP($A115,'FA Addition'!$A:$AK,COLUMN()-6,FALSE)</f>
        <v>45176</v>
      </c>
      <c r="J115" s="182">
        <f>VLOOKUP($A115,'FA Addition'!$A:$AK,COLUMN()-6,FALSE)</f>
        <v>45176</v>
      </c>
      <c r="K115" s="183" t="str">
        <f>VLOOKUP($A115,'FA Addition'!$A:$AK,COLUMN()-6,FALSE)</f>
        <v>Router</v>
      </c>
      <c r="L115" s="180">
        <f>VLOOKUP($A115,'FA Addition'!$A:$AK,COLUMN(),FALSE)</f>
        <v>990000</v>
      </c>
      <c r="M115" s="184">
        <f>VLOOKUP($A115,'FA Addition'!$A:$AK,COLUMN()+2,FALSE)</f>
        <v>5</v>
      </c>
      <c r="N115" s="185">
        <f>VLOOKUP($A115,'FA Addition'!$A:$AK,COLUMN()+2,FALSE)</f>
        <v>0.2</v>
      </c>
      <c r="O115" s="186">
        <f>'FA Write off'!$N115*'FA Write off'!$L115*'FA Write off'!$H115/365</f>
        <v>-86252.054794520547</v>
      </c>
    </row>
    <row r="116" spans="1:15" s="25" customFormat="1" hidden="1" x14ac:dyDescent="0.4">
      <c r="A116" s="12">
        <v>799</v>
      </c>
      <c r="B116" s="13" t="s">
        <v>1089</v>
      </c>
      <c r="C116" s="14">
        <v>45016</v>
      </c>
      <c r="D116" s="23">
        <v>50</v>
      </c>
      <c r="E116" s="15"/>
      <c r="F116" s="15"/>
      <c r="G116" s="181">
        <f>MONTH('FA Write off'!$C116)</f>
        <v>3</v>
      </c>
      <c r="H116" s="181">
        <f>MIN('FA Write off'!$C116-'FA Write off'!$J116+1,'FA Write off'!$M116*365)</f>
        <v>-170</v>
      </c>
      <c r="I116" s="182">
        <f>VLOOKUP($A116,'FA Addition'!$A:$AK,COLUMN()-6,FALSE)</f>
        <v>45187</v>
      </c>
      <c r="J116" s="182">
        <f>VLOOKUP($A116,'FA Addition'!$A:$AK,COLUMN()-6,FALSE)</f>
        <v>45187</v>
      </c>
      <c r="K116" s="183" t="str">
        <f>VLOOKUP($A116,'FA Addition'!$A:$AK,COLUMN()-6,FALSE)</f>
        <v>Router</v>
      </c>
      <c r="L116" s="180">
        <f>VLOOKUP($A116,'FA Addition'!$A:$AK,COLUMN(),FALSE)</f>
        <v>1485000</v>
      </c>
      <c r="M116" s="184">
        <f>VLOOKUP($A116,'FA Addition'!$A:$AK,COLUMN()+2,FALSE)</f>
        <v>5</v>
      </c>
      <c r="N116" s="185">
        <f>VLOOKUP($A116,'FA Addition'!$A:$AK,COLUMN()+2,FALSE)</f>
        <v>0.2</v>
      </c>
      <c r="O116" s="186">
        <f>'FA Write off'!$N116*'FA Write off'!$L116*'FA Write off'!$H116/365</f>
        <v>-138328.76712328766</v>
      </c>
    </row>
    <row r="117" spans="1:15" s="25" customFormat="1" hidden="1" x14ac:dyDescent="0.4">
      <c r="A117" s="12">
        <v>800</v>
      </c>
      <c r="B117" s="13" t="s">
        <v>1089</v>
      </c>
      <c r="C117" s="14">
        <v>45016</v>
      </c>
      <c r="D117" s="23">
        <v>12</v>
      </c>
      <c r="E117" s="15"/>
      <c r="F117" s="15"/>
      <c r="G117" s="181">
        <f>MONTH('FA Write off'!$C117)</f>
        <v>3</v>
      </c>
      <c r="H117" s="181">
        <f>MIN('FA Write off'!$C117-'FA Write off'!$J117+1,'FA Write off'!$M117*365)</f>
        <v>-172</v>
      </c>
      <c r="I117" s="182">
        <f>VLOOKUP($A117,'FA Addition'!$A:$AK,COLUMN()-6,FALSE)</f>
        <v>45189</v>
      </c>
      <c r="J117" s="182">
        <f>VLOOKUP($A117,'FA Addition'!$A:$AK,COLUMN()-6,FALSE)</f>
        <v>45189</v>
      </c>
      <c r="K117" s="183" t="str">
        <f>VLOOKUP($A117,'FA Addition'!$A:$AK,COLUMN()-6,FALSE)</f>
        <v>Router</v>
      </c>
      <c r="L117" s="180">
        <f>VLOOKUP($A117,'FA Addition'!$A:$AK,COLUMN(),FALSE)</f>
        <v>1485000</v>
      </c>
      <c r="M117" s="184">
        <f>VLOOKUP($A117,'FA Addition'!$A:$AK,COLUMN()+2,FALSE)</f>
        <v>5</v>
      </c>
      <c r="N117" s="185">
        <f>VLOOKUP($A117,'FA Addition'!$A:$AK,COLUMN()+2,FALSE)</f>
        <v>0.2</v>
      </c>
      <c r="O117" s="186">
        <f>'FA Write off'!$N117*'FA Write off'!$L117*'FA Write off'!$H117/365</f>
        <v>-139956.16438356164</v>
      </c>
    </row>
    <row r="118" spans="1:15" s="25" customFormat="1" hidden="1" x14ac:dyDescent="0.4">
      <c r="A118" s="12">
        <v>804</v>
      </c>
      <c r="B118" s="13" t="s">
        <v>1089</v>
      </c>
      <c r="C118" s="14">
        <v>45016</v>
      </c>
      <c r="D118" s="23">
        <v>5</v>
      </c>
      <c r="E118" s="15"/>
      <c r="F118" s="15"/>
      <c r="G118" s="181">
        <f>MONTH('FA Write off'!$C118)</f>
        <v>3</v>
      </c>
      <c r="H118" s="181">
        <f>MIN('FA Write off'!$C118-'FA Write off'!$J118+1,'FA Write off'!$M118*365)</f>
        <v>-180</v>
      </c>
      <c r="I118" s="182">
        <f>VLOOKUP($A118,'FA Addition'!$A:$AK,COLUMN()-6,FALSE)</f>
        <v>45197</v>
      </c>
      <c r="J118" s="182">
        <f>VLOOKUP($A118,'FA Addition'!$A:$AK,COLUMN()-6,FALSE)</f>
        <v>45197</v>
      </c>
      <c r="K118" s="183" t="str">
        <f>VLOOKUP($A118,'FA Addition'!$A:$AK,COLUMN()-6,FALSE)</f>
        <v>Router</v>
      </c>
      <c r="L118" s="180">
        <f>VLOOKUP($A118,'FA Addition'!$A:$AK,COLUMN(),FALSE)</f>
        <v>495000</v>
      </c>
      <c r="M118" s="184">
        <f>VLOOKUP($A118,'FA Addition'!$A:$AK,COLUMN()+2,FALSE)</f>
        <v>5</v>
      </c>
      <c r="N118" s="185">
        <f>VLOOKUP($A118,'FA Addition'!$A:$AK,COLUMN()+2,FALSE)</f>
        <v>0.2</v>
      </c>
      <c r="O118" s="186">
        <f>'FA Write off'!$N118*'FA Write off'!$L118*'FA Write off'!$H118/365</f>
        <v>-48821.917808219179</v>
      </c>
    </row>
    <row r="119" spans="1:15" s="25" customFormat="1" hidden="1" x14ac:dyDescent="0.4">
      <c r="A119" s="12">
        <v>815</v>
      </c>
      <c r="B119" s="13" t="s">
        <v>1089</v>
      </c>
      <c r="C119" s="14">
        <v>45016</v>
      </c>
      <c r="D119" s="23">
        <v>6</v>
      </c>
      <c r="E119" s="15"/>
      <c r="F119" s="15"/>
      <c r="G119" s="181">
        <f>MONTH('FA Write off'!$C119)</f>
        <v>3</v>
      </c>
      <c r="H119" s="181">
        <f>MIN('FA Write off'!$C119-'FA Write off'!$J119+1,'FA Write off'!$M119*365)</f>
        <v>-192</v>
      </c>
      <c r="I119" s="182">
        <f>VLOOKUP($A119,'FA Addition'!$A:$AK,COLUMN()-6,FALSE)</f>
        <v>45209</v>
      </c>
      <c r="J119" s="182">
        <f>VLOOKUP($A119,'FA Addition'!$A:$AK,COLUMN()-6,FALSE)</f>
        <v>45209</v>
      </c>
      <c r="K119" s="183" t="str">
        <f>VLOOKUP($A119,'FA Addition'!$A:$AK,COLUMN()-6,FALSE)</f>
        <v>Router</v>
      </c>
      <c r="L119" s="180">
        <f>VLOOKUP($A119,'FA Addition'!$A:$AK,COLUMN(),FALSE)</f>
        <v>1287000</v>
      </c>
      <c r="M119" s="184">
        <f>VLOOKUP($A119,'FA Addition'!$A:$AK,COLUMN()+2,FALSE)</f>
        <v>5</v>
      </c>
      <c r="N119" s="185">
        <f>VLOOKUP($A119,'FA Addition'!$A:$AK,COLUMN()+2,FALSE)</f>
        <v>0.2</v>
      </c>
      <c r="O119" s="186">
        <f>'FA Write off'!$N119*'FA Write off'!$L119*'FA Write off'!$H119/365</f>
        <v>-135399.45205479453</v>
      </c>
    </row>
    <row r="120" spans="1:15" s="25" customFormat="1" hidden="1" x14ac:dyDescent="0.4">
      <c r="A120" s="12">
        <v>826</v>
      </c>
      <c r="B120" s="13" t="s">
        <v>1089</v>
      </c>
      <c r="C120" s="14">
        <v>45016</v>
      </c>
      <c r="D120" s="23">
        <v>1</v>
      </c>
      <c r="E120" s="15"/>
      <c r="F120" s="15"/>
      <c r="G120" s="181">
        <f>MONTH('FA Write off'!$C120)</f>
        <v>3</v>
      </c>
      <c r="H120" s="181">
        <f>MIN('FA Write off'!$C120-'FA Write off'!$J120+1,'FA Write off'!$M120*365)</f>
        <v>-208</v>
      </c>
      <c r="I120" s="182">
        <f>VLOOKUP($A120,'FA Addition'!$A:$AK,COLUMN()-6,FALSE)</f>
        <v>45225</v>
      </c>
      <c r="J120" s="182">
        <f>VLOOKUP($A120,'FA Addition'!$A:$AK,COLUMN()-6,FALSE)</f>
        <v>45225</v>
      </c>
      <c r="K120" s="183" t="str">
        <f>VLOOKUP($A120,'FA Addition'!$A:$AK,COLUMN()-6,FALSE)</f>
        <v>Router</v>
      </c>
      <c r="L120" s="180">
        <f>VLOOKUP($A120,'FA Addition'!$A:$AK,COLUMN(),FALSE)</f>
        <v>1485000</v>
      </c>
      <c r="M120" s="184">
        <f>VLOOKUP($A120,'FA Addition'!$A:$AK,COLUMN()+2,FALSE)</f>
        <v>5</v>
      </c>
      <c r="N120" s="185">
        <f>VLOOKUP($A120,'FA Addition'!$A:$AK,COLUMN()+2,FALSE)</f>
        <v>0.2</v>
      </c>
      <c r="O120" s="186">
        <f>'FA Write off'!$N120*'FA Write off'!$L120*'FA Write off'!$H120/365</f>
        <v>-169249.31506849316</v>
      </c>
    </row>
    <row r="121" spans="1:15" s="25" customFormat="1" hidden="1" x14ac:dyDescent="0.4">
      <c r="A121" s="12">
        <v>865</v>
      </c>
      <c r="B121" s="13" t="s">
        <v>1089</v>
      </c>
      <c r="C121" s="14">
        <v>45016</v>
      </c>
      <c r="D121" s="23">
        <v>6</v>
      </c>
      <c r="E121" s="15"/>
      <c r="F121" s="15"/>
      <c r="G121" s="181">
        <f>MONTH('FA Write off'!$C121)</f>
        <v>3</v>
      </c>
      <c r="H121" s="181">
        <f>MIN('FA Write off'!$C121-'FA Write off'!$J121+1,'FA Write off'!$M121*365)</f>
        <v>-244</v>
      </c>
      <c r="I121" s="182">
        <f>VLOOKUP($A121,'FA Addition'!$A:$AK,COLUMN()-6,FALSE)</f>
        <v>45261</v>
      </c>
      <c r="J121" s="182">
        <f>VLOOKUP($A121,'FA Addition'!$A:$AK,COLUMN()-6,FALSE)</f>
        <v>45261</v>
      </c>
      <c r="K121" s="183" t="str">
        <f>VLOOKUP($A121,'FA Addition'!$A:$AK,COLUMN()-6,FALSE)</f>
        <v>Router</v>
      </c>
      <c r="L121" s="180">
        <f>VLOOKUP($A121,'FA Addition'!$A:$AK,COLUMN(),FALSE)</f>
        <v>495000</v>
      </c>
      <c r="M121" s="184">
        <f>VLOOKUP($A121,'FA Addition'!$A:$AK,COLUMN()+2,FALSE)</f>
        <v>5</v>
      </c>
      <c r="N121" s="185">
        <f>VLOOKUP($A121,'FA Addition'!$A:$AK,COLUMN()+2,FALSE)</f>
        <v>0.2</v>
      </c>
      <c r="O121" s="186">
        <f>'FA Write off'!$N121*'FA Write off'!$L121*'FA Write off'!$H121/365</f>
        <v>-66180.821917808222</v>
      </c>
    </row>
    <row r="122" spans="1:15" s="25" customFormat="1" hidden="1" x14ac:dyDescent="0.4">
      <c r="A122" s="12">
        <v>868</v>
      </c>
      <c r="B122" s="13" t="s">
        <v>1089</v>
      </c>
      <c r="C122" s="14">
        <v>45016</v>
      </c>
      <c r="D122" s="23">
        <v>34</v>
      </c>
      <c r="E122" s="15"/>
      <c r="F122" s="15"/>
      <c r="G122" s="181">
        <f>MONTH('FA Write off'!$C122)</f>
        <v>3</v>
      </c>
      <c r="H122" s="181">
        <f>MIN('FA Write off'!$C122-'FA Write off'!$J122+1,'FA Write off'!$M122*365)</f>
        <v>-252</v>
      </c>
      <c r="I122" s="182">
        <f>VLOOKUP($A122,'FA Addition'!$A:$AK,COLUMN()-6,FALSE)</f>
        <v>45269</v>
      </c>
      <c r="J122" s="182">
        <f>VLOOKUP($A122,'FA Addition'!$A:$AK,COLUMN()-6,FALSE)</f>
        <v>45269</v>
      </c>
      <c r="K122" s="183" t="str">
        <f>VLOOKUP($A122,'FA Addition'!$A:$AK,COLUMN()-6,FALSE)</f>
        <v>Router</v>
      </c>
      <c r="L122" s="180">
        <f>VLOOKUP($A122,'FA Addition'!$A:$AK,COLUMN(),FALSE)</f>
        <v>1485000</v>
      </c>
      <c r="M122" s="184">
        <f>VLOOKUP($A122,'FA Addition'!$A:$AK,COLUMN()+2,FALSE)</f>
        <v>5</v>
      </c>
      <c r="N122" s="185">
        <f>VLOOKUP($A122,'FA Addition'!$A:$AK,COLUMN()+2,FALSE)</f>
        <v>0.2</v>
      </c>
      <c r="O122" s="186">
        <f>'FA Write off'!$N122*'FA Write off'!$L122*'FA Write off'!$H122/365</f>
        <v>-205052.05479452055</v>
      </c>
    </row>
    <row r="123" spans="1:15" s="25" customFormat="1" hidden="1" x14ac:dyDescent="0.4">
      <c r="A123" s="12">
        <v>870</v>
      </c>
      <c r="B123" s="13" t="s">
        <v>1089</v>
      </c>
      <c r="C123" s="14">
        <v>45016</v>
      </c>
      <c r="D123" s="23">
        <v>28</v>
      </c>
      <c r="E123" s="15"/>
      <c r="F123" s="15"/>
      <c r="G123" s="181">
        <f>MONTH('FA Write off'!$C123)</f>
        <v>3</v>
      </c>
      <c r="H123" s="181">
        <f>MIN('FA Write off'!$C123-'FA Write off'!$J123+1,'FA Write off'!$M123*365)</f>
        <v>-259</v>
      </c>
      <c r="I123" s="182">
        <f>VLOOKUP($A123,'FA Addition'!$A:$AK,COLUMN()-6,FALSE)</f>
        <v>45276</v>
      </c>
      <c r="J123" s="182">
        <f>VLOOKUP($A123,'FA Addition'!$A:$AK,COLUMN()-6,FALSE)</f>
        <v>45276</v>
      </c>
      <c r="K123" s="183" t="str">
        <f>VLOOKUP($A123,'FA Addition'!$A:$AK,COLUMN()-6,FALSE)</f>
        <v>Router</v>
      </c>
      <c r="L123" s="180">
        <f>VLOOKUP($A123,'FA Addition'!$A:$AK,COLUMN(),FALSE)</f>
        <v>1485000</v>
      </c>
      <c r="M123" s="184">
        <f>VLOOKUP($A123,'FA Addition'!$A:$AK,COLUMN()+2,FALSE)</f>
        <v>5</v>
      </c>
      <c r="N123" s="185">
        <f>VLOOKUP($A123,'FA Addition'!$A:$AK,COLUMN()+2,FALSE)</f>
        <v>0.2</v>
      </c>
      <c r="O123" s="186">
        <f>'FA Write off'!$N123*'FA Write off'!$L123*'FA Write off'!$H123/365</f>
        <v>-210747.94520547945</v>
      </c>
    </row>
    <row r="124" spans="1:15" s="25" customFormat="1" hidden="1" x14ac:dyDescent="0.4">
      <c r="A124" s="12">
        <v>875</v>
      </c>
      <c r="B124" s="13" t="s">
        <v>1089</v>
      </c>
      <c r="C124" s="14">
        <v>45016</v>
      </c>
      <c r="D124" s="23">
        <v>4</v>
      </c>
      <c r="E124" s="15"/>
      <c r="F124" s="15"/>
      <c r="G124" s="181">
        <f>MONTH('FA Write off'!$C124)</f>
        <v>3</v>
      </c>
      <c r="H124" s="181">
        <f>MIN('FA Write off'!$C124-'FA Write off'!$J124+1,'FA Write off'!$M124*365)</f>
        <v>-263</v>
      </c>
      <c r="I124" s="182">
        <f>VLOOKUP($A124,'FA Addition'!$A:$AK,COLUMN()-6,FALSE)</f>
        <v>45280</v>
      </c>
      <c r="J124" s="182">
        <f>VLOOKUP($A124,'FA Addition'!$A:$AK,COLUMN()-6,FALSE)</f>
        <v>45280</v>
      </c>
      <c r="K124" s="183" t="str">
        <f>VLOOKUP($A124,'FA Addition'!$A:$AK,COLUMN()-6,FALSE)</f>
        <v>Router</v>
      </c>
      <c r="L124" s="180">
        <f>VLOOKUP($A124,'FA Addition'!$A:$AK,COLUMN(),FALSE)</f>
        <v>495000</v>
      </c>
      <c r="M124" s="184">
        <f>VLOOKUP($A124,'FA Addition'!$A:$AK,COLUMN()+2,FALSE)</f>
        <v>5</v>
      </c>
      <c r="N124" s="185">
        <f>VLOOKUP($A124,'FA Addition'!$A:$AK,COLUMN()+2,FALSE)</f>
        <v>0.2</v>
      </c>
      <c r="O124" s="186">
        <f>'FA Write off'!$N124*'FA Write off'!$L124*'FA Write off'!$H124/365</f>
        <v>-71334.246575342462</v>
      </c>
    </row>
    <row r="125" spans="1:15" s="25" customFormat="1" hidden="1" x14ac:dyDescent="0.4">
      <c r="A125" s="12">
        <v>886</v>
      </c>
      <c r="B125" s="13" t="s">
        <v>1089</v>
      </c>
      <c r="C125" s="14">
        <v>45016</v>
      </c>
      <c r="D125" s="23">
        <v>8</v>
      </c>
      <c r="E125" s="15"/>
      <c r="F125" s="15"/>
      <c r="G125" s="181">
        <f>MONTH('FA Write off'!$C125)</f>
        <v>3</v>
      </c>
      <c r="H125" s="181">
        <f>MIN('FA Write off'!$C125-'FA Write off'!$J125+1,'FA Write off'!$M125*365)</f>
        <v>-272</v>
      </c>
      <c r="I125" s="182">
        <f>VLOOKUP($A125,'FA Addition'!$A:$AK,COLUMN()-6,FALSE)</f>
        <v>45289</v>
      </c>
      <c r="J125" s="182">
        <f>VLOOKUP($A125,'FA Addition'!$A:$AK,COLUMN()-6,FALSE)</f>
        <v>45289</v>
      </c>
      <c r="K125" s="183" t="str">
        <f>VLOOKUP($A125,'FA Addition'!$A:$AK,COLUMN()-6,FALSE)</f>
        <v>Router</v>
      </c>
      <c r="L125" s="180">
        <f>VLOOKUP($A125,'FA Addition'!$A:$AK,COLUMN(),FALSE)</f>
        <v>495000</v>
      </c>
      <c r="M125" s="184">
        <f>VLOOKUP($A125,'FA Addition'!$A:$AK,COLUMN()+2,FALSE)</f>
        <v>5</v>
      </c>
      <c r="N125" s="185">
        <f>VLOOKUP($A125,'FA Addition'!$A:$AK,COLUMN()+2,FALSE)</f>
        <v>0.2</v>
      </c>
      <c r="O125" s="186">
        <f>'FA Write off'!$N125*'FA Write off'!$L125*'FA Write off'!$H125/365</f>
        <v>-73775.34246575342</v>
      </c>
    </row>
    <row r="126" spans="1:15" s="25" customFormat="1" hidden="1" x14ac:dyDescent="0.4">
      <c r="A126" s="12">
        <v>887</v>
      </c>
      <c r="B126" s="13" t="s">
        <v>1089</v>
      </c>
      <c r="C126" s="14">
        <v>45016</v>
      </c>
      <c r="D126" s="23">
        <v>24</v>
      </c>
      <c r="E126" s="15"/>
      <c r="F126" s="15"/>
      <c r="G126" s="181">
        <f>MONTH('FA Write off'!$C126)</f>
        <v>3</v>
      </c>
      <c r="H126" s="181">
        <f>MIN('FA Write off'!$C126-'FA Write off'!$J126+1,'FA Write off'!$M126*365)</f>
        <v>-273</v>
      </c>
      <c r="I126" s="182">
        <f>VLOOKUP($A126,'FA Addition'!$A:$AK,COLUMN()-6,FALSE)</f>
        <v>45290</v>
      </c>
      <c r="J126" s="182">
        <f>VLOOKUP($A126,'FA Addition'!$A:$AK,COLUMN()-6,FALSE)</f>
        <v>45290</v>
      </c>
      <c r="K126" s="183" t="str">
        <f>VLOOKUP($A126,'FA Addition'!$A:$AK,COLUMN()-6,FALSE)</f>
        <v>Router</v>
      </c>
      <c r="L126" s="180">
        <f>VLOOKUP($A126,'FA Addition'!$A:$AK,COLUMN(),FALSE)</f>
        <v>1485000</v>
      </c>
      <c r="M126" s="184">
        <f>VLOOKUP($A126,'FA Addition'!$A:$AK,COLUMN()+2,FALSE)</f>
        <v>5</v>
      </c>
      <c r="N126" s="185">
        <f>VLOOKUP($A126,'FA Addition'!$A:$AK,COLUMN()+2,FALSE)</f>
        <v>0.2</v>
      </c>
      <c r="O126" s="186">
        <f>'FA Write off'!$N126*'FA Write off'!$L126*'FA Write off'!$H126/365</f>
        <v>-222139.72602739726</v>
      </c>
    </row>
    <row r="127" spans="1:15" s="25" customFormat="1" hidden="1" x14ac:dyDescent="0.4">
      <c r="A127" s="12">
        <v>921</v>
      </c>
      <c r="B127" s="13" t="s">
        <v>1089</v>
      </c>
      <c r="C127" s="14">
        <v>45016</v>
      </c>
      <c r="D127" s="23">
        <v>15</v>
      </c>
      <c r="E127" s="15"/>
      <c r="F127" s="15"/>
      <c r="G127" s="181">
        <f>MONTH('FA Write off'!$C127)</f>
        <v>3</v>
      </c>
      <c r="H127" s="181">
        <f>MIN('FA Write off'!$C127-'FA Write off'!$J127+1,'FA Write off'!$M127*365)</f>
        <v>-298</v>
      </c>
      <c r="I127" s="182">
        <f>VLOOKUP($A127,'FA Addition'!$A:$AK,COLUMN()-6,FALSE)</f>
        <v>45315</v>
      </c>
      <c r="J127" s="182">
        <f>VLOOKUP($A127,'FA Addition'!$A:$AK,COLUMN()-6,FALSE)</f>
        <v>45315</v>
      </c>
      <c r="K127" s="183" t="str">
        <f>VLOOKUP($A127,'FA Addition'!$A:$AK,COLUMN()-6,FALSE)</f>
        <v>Router</v>
      </c>
      <c r="L127" s="180">
        <f>VLOOKUP($A127,'FA Addition'!$A:$AK,COLUMN(),FALSE)</f>
        <v>495000</v>
      </c>
      <c r="M127" s="184">
        <f>VLOOKUP($A127,'FA Addition'!$A:$AK,COLUMN()+2,FALSE)</f>
        <v>5</v>
      </c>
      <c r="N127" s="185">
        <f>VLOOKUP($A127,'FA Addition'!$A:$AK,COLUMN()+2,FALSE)</f>
        <v>0.2</v>
      </c>
      <c r="O127" s="186">
        <f>'FA Write off'!$N127*'FA Write off'!$L127*'FA Write off'!$H127/365</f>
        <v>-80827.397260273967</v>
      </c>
    </row>
    <row r="128" spans="1:15" s="25" customFormat="1" hidden="1" x14ac:dyDescent="0.4">
      <c r="A128" s="12">
        <v>923</v>
      </c>
      <c r="B128" s="13" t="s">
        <v>1089</v>
      </c>
      <c r="C128" s="14">
        <v>45016</v>
      </c>
      <c r="D128" s="23">
        <v>10</v>
      </c>
      <c r="E128" s="15"/>
      <c r="F128" s="15"/>
      <c r="G128" s="181">
        <f>MONTH('FA Write off'!$C128)</f>
        <v>3</v>
      </c>
      <c r="H128" s="181">
        <f>MIN('FA Write off'!$C128-'FA Write off'!$J128+1,'FA Write off'!$M128*365)</f>
        <v>-304</v>
      </c>
      <c r="I128" s="182">
        <f>VLOOKUP($A128,'FA Addition'!$A:$AK,COLUMN()-6,FALSE)</f>
        <v>45321</v>
      </c>
      <c r="J128" s="182">
        <f>VLOOKUP($A128,'FA Addition'!$A:$AK,COLUMN()-6,FALSE)</f>
        <v>45321</v>
      </c>
      <c r="K128" s="183" t="str">
        <f>VLOOKUP($A128,'FA Addition'!$A:$AK,COLUMN()-6,FALSE)</f>
        <v>Router</v>
      </c>
      <c r="L128" s="180">
        <f>VLOOKUP($A128,'FA Addition'!$A:$AK,COLUMN(),FALSE)</f>
        <v>495000</v>
      </c>
      <c r="M128" s="184">
        <f>VLOOKUP($A128,'FA Addition'!$A:$AK,COLUMN()+2,FALSE)</f>
        <v>5</v>
      </c>
      <c r="N128" s="185">
        <f>VLOOKUP($A128,'FA Addition'!$A:$AK,COLUMN()+2,FALSE)</f>
        <v>0.2</v>
      </c>
      <c r="O128" s="186">
        <f>'FA Write off'!$N128*'FA Write off'!$L128*'FA Write off'!$H128/365</f>
        <v>-82454.794520547948</v>
      </c>
    </row>
    <row r="129" spans="1:15" s="25" customFormat="1" hidden="1" x14ac:dyDescent="0.4">
      <c r="A129" s="12">
        <v>928</v>
      </c>
      <c r="B129" s="13" t="s">
        <v>1089</v>
      </c>
      <c r="C129" s="14">
        <v>45016</v>
      </c>
      <c r="D129" s="23">
        <v>126</v>
      </c>
      <c r="E129" s="15"/>
      <c r="F129" s="15"/>
      <c r="G129" s="181">
        <f>MONTH('FA Write off'!$C129)</f>
        <v>3</v>
      </c>
      <c r="H129" s="181">
        <f>MIN('FA Write off'!$C129-'FA Write off'!$J129+1,'FA Write off'!$M129*365)</f>
        <v>-311</v>
      </c>
      <c r="I129" s="182">
        <f>VLOOKUP($A129,'FA Addition'!$A:$AK,COLUMN()-6,FALSE)</f>
        <v>45328</v>
      </c>
      <c r="J129" s="182">
        <f>VLOOKUP($A129,'FA Addition'!$A:$AK,COLUMN()-6,FALSE)</f>
        <v>45328</v>
      </c>
      <c r="K129" s="183" t="str">
        <f>VLOOKUP($A129,'FA Addition'!$A:$AK,COLUMN()-6,FALSE)</f>
        <v>Router</v>
      </c>
      <c r="L129" s="180">
        <f>VLOOKUP($A129,'FA Addition'!$A:$AK,COLUMN(),FALSE)</f>
        <v>1980000</v>
      </c>
      <c r="M129" s="184">
        <f>VLOOKUP($A129,'FA Addition'!$A:$AK,COLUMN()+2,FALSE)</f>
        <v>5</v>
      </c>
      <c r="N129" s="185">
        <f>VLOOKUP($A129,'FA Addition'!$A:$AK,COLUMN()+2,FALSE)</f>
        <v>0.2</v>
      </c>
      <c r="O129" s="186">
        <f>'FA Write off'!$N129*'FA Write off'!$L129*'FA Write off'!$H129/365</f>
        <v>-337413.69863013696</v>
      </c>
    </row>
    <row r="130" spans="1:15" s="25" customFormat="1" hidden="1" x14ac:dyDescent="0.4">
      <c r="A130" s="12">
        <v>958</v>
      </c>
      <c r="B130" s="13" t="s">
        <v>1089</v>
      </c>
      <c r="C130" s="14">
        <v>45016</v>
      </c>
      <c r="D130" s="23">
        <v>27</v>
      </c>
      <c r="E130" s="15"/>
      <c r="F130" s="15"/>
      <c r="G130" s="181">
        <f>MONTH('FA Write off'!$C130)</f>
        <v>3</v>
      </c>
      <c r="H130" s="181">
        <f>MIN('FA Write off'!$C130-'FA Write off'!$J130+1,'FA Write off'!$M130*365)</f>
        <v>-339</v>
      </c>
      <c r="I130" s="182">
        <f>VLOOKUP($A130,'FA Addition'!$A:$AK,COLUMN()-6,FALSE)</f>
        <v>45356</v>
      </c>
      <c r="J130" s="182">
        <f>VLOOKUP($A130,'FA Addition'!$A:$AK,COLUMN()-6,FALSE)</f>
        <v>45356</v>
      </c>
      <c r="K130" s="183" t="str">
        <f>VLOOKUP($A130,'FA Addition'!$A:$AK,COLUMN()-6,FALSE)</f>
        <v>Router</v>
      </c>
      <c r="L130" s="180">
        <f>VLOOKUP($A130,'FA Addition'!$A:$AK,COLUMN(),FALSE)</f>
        <v>495000</v>
      </c>
      <c r="M130" s="184">
        <f>VLOOKUP($A130,'FA Addition'!$A:$AK,COLUMN()+2,FALSE)</f>
        <v>5</v>
      </c>
      <c r="N130" s="185">
        <f>VLOOKUP($A130,'FA Addition'!$A:$AK,COLUMN()+2,FALSE)</f>
        <v>0.2</v>
      </c>
      <c r="O130" s="186">
        <f>'FA Write off'!$N130*'FA Write off'!$L130*'FA Write off'!$H130/365</f>
        <v>-91947.945205479453</v>
      </c>
    </row>
    <row r="131" spans="1:15" s="25" customFormat="1" hidden="1" x14ac:dyDescent="0.4">
      <c r="A131" s="12">
        <v>968</v>
      </c>
      <c r="B131" s="13" t="s">
        <v>1089</v>
      </c>
      <c r="C131" s="14">
        <v>45016</v>
      </c>
      <c r="D131" s="23">
        <v>9</v>
      </c>
      <c r="E131" s="15"/>
      <c r="F131" s="15"/>
      <c r="G131" s="181">
        <f>MONTH('FA Write off'!$C131)</f>
        <v>3</v>
      </c>
      <c r="H131" s="181">
        <f>MIN('FA Write off'!$C131-'FA Write off'!$J131+1,'FA Write off'!$M131*365)</f>
        <v>-347</v>
      </c>
      <c r="I131" s="182">
        <f>VLOOKUP($A131,'FA Addition'!$A:$AK,COLUMN()-6,FALSE)</f>
        <v>45363</v>
      </c>
      <c r="J131" s="182">
        <f>VLOOKUP($A131,'FA Addition'!$A:$AK,COLUMN()-6,FALSE)</f>
        <v>45364</v>
      </c>
      <c r="K131" s="183" t="str">
        <f>VLOOKUP($A131,'FA Addition'!$A:$AK,COLUMN()-6,FALSE)</f>
        <v>Router</v>
      </c>
      <c r="L131" s="180">
        <f>VLOOKUP($A131,'FA Addition'!$A:$AK,COLUMN(),FALSE)</f>
        <v>495000</v>
      </c>
      <c r="M131" s="184">
        <f>VLOOKUP($A131,'FA Addition'!$A:$AK,COLUMN()+2,FALSE)</f>
        <v>5</v>
      </c>
      <c r="N131" s="185">
        <f>VLOOKUP($A131,'FA Addition'!$A:$AK,COLUMN()+2,FALSE)</f>
        <v>0.2</v>
      </c>
      <c r="O131" s="186">
        <f>'FA Write off'!$N131*'FA Write off'!$L131*'FA Write off'!$H131/365</f>
        <v>-94117.808219178085</v>
      </c>
    </row>
    <row r="132" spans="1:15" s="25" customFormat="1" hidden="1" x14ac:dyDescent="0.4">
      <c r="A132" s="12">
        <v>991</v>
      </c>
      <c r="B132" s="13" t="s">
        <v>1089</v>
      </c>
      <c r="C132" s="14">
        <v>45016</v>
      </c>
      <c r="D132" s="23">
        <v>11</v>
      </c>
      <c r="E132" s="15"/>
      <c r="F132" s="15"/>
      <c r="G132" s="181">
        <f>MONTH('FA Write off'!$C132)</f>
        <v>3</v>
      </c>
      <c r="H132" s="181">
        <f>MIN('FA Write off'!$C132-'FA Write off'!$J132+1,'FA Write off'!$M132*365)</f>
        <v>-366</v>
      </c>
      <c r="I132" s="182">
        <f>VLOOKUP($A132,'FA Addition'!$A:$AK,COLUMN()-6,FALSE)</f>
        <v>45383</v>
      </c>
      <c r="J132" s="182">
        <f>VLOOKUP($A132,'FA Addition'!$A:$AK,COLUMN()-6,FALSE)</f>
        <v>45383</v>
      </c>
      <c r="K132" s="183" t="str">
        <f>VLOOKUP($A132,'FA Addition'!$A:$AK,COLUMN()-6,FALSE)</f>
        <v>Router</v>
      </c>
      <c r="L132" s="180">
        <f>VLOOKUP($A132,'FA Addition'!$A:$AK,COLUMN(),FALSE)</f>
        <v>198000</v>
      </c>
      <c r="M132" s="184">
        <f>VLOOKUP($A132,'FA Addition'!$A:$AK,COLUMN()+2,FALSE)</f>
        <v>5</v>
      </c>
      <c r="N132" s="185">
        <f>VLOOKUP($A132,'FA Addition'!$A:$AK,COLUMN()+2,FALSE)</f>
        <v>0.2</v>
      </c>
      <c r="O132" s="186">
        <f>'FA Write off'!$N132*'FA Write off'!$L132*'FA Write off'!$H132/365</f>
        <v>-39708.493150684932</v>
      </c>
    </row>
    <row r="133" spans="1:15" s="25" customFormat="1" hidden="1" x14ac:dyDescent="0.4">
      <c r="A133" s="12">
        <v>1024</v>
      </c>
      <c r="B133" s="13" t="s">
        <v>1089</v>
      </c>
      <c r="C133" s="14">
        <v>45016</v>
      </c>
      <c r="D133" s="23">
        <v>73</v>
      </c>
      <c r="E133" s="15"/>
      <c r="F133" s="15"/>
      <c r="G133" s="181">
        <f>MONTH('FA Write off'!$C133)</f>
        <v>3</v>
      </c>
      <c r="H133" s="181">
        <f>MIN('FA Write off'!$C133-'FA Write off'!$J133+1,'FA Write off'!$M133*365)</f>
        <v>-390</v>
      </c>
      <c r="I133" s="182">
        <f>VLOOKUP($A133,'FA Addition'!$A:$AK,COLUMN()-6,FALSE)</f>
        <v>45407</v>
      </c>
      <c r="J133" s="182">
        <f>VLOOKUP($A133,'FA Addition'!$A:$AK,COLUMN()-6,FALSE)</f>
        <v>45407</v>
      </c>
      <c r="K133" s="183" t="str">
        <f>VLOOKUP($A133,'FA Addition'!$A:$AK,COLUMN()-6,FALSE)</f>
        <v>Router</v>
      </c>
      <c r="L133" s="180">
        <f>VLOOKUP($A133,'FA Addition'!$A:$AK,COLUMN(),FALSE)</f>
        <v>990000</v>
      </c>
      <c r="M133" s="184">
        <f>VLOOKUP($A133,'FA Addition'!$A:$AK,COLUMN()+2,FALSE)</f>
        <v>5</v>
      </c>
      <c r="N133" s="185">
        <f>VLOOKUP($A133,'FA Addition'!$A:$AK,COLUMN()+2,FALSE)</f>
        <v>0.2</v>
      </c>
      <c r="O133" s="186">
        <f>'FA Write off'!$N133*'FA Write off'!$L133*'FA Write off'!$H133/365</f>
        <v>-211561.64383561644</v>
      </c>
    </row>
    <row r="134" spans="1:15" s="25" customFormat="1" hidden="1" x14ac:dyDescent="0.4">
      <c r="A134" s="12">
        <v>1052</v>
      </c>
      <c r="B134" s="13" t="s">
        <v>1089</v>
      </c>
      <c r="C134" s="14">
        <v>45016</v>
      </c>
      <c r="D134" s="23">
        <v>116</v>
      </c>
      <c r="E134" s="15"/>
      <c r="F134" s="15"/>
      <c r="G134" s="181">
        <f>MONTH('FA Write off'!$C134)</f>
        <v>3</v>
      </c>
      <c r="H134" s="181">
        <f>MIN('FA Write off'!$C134-'FA Write off'!$J134+1,'FA Write off'!$M134*365)</f>
        <v>-406</v>
      </c>
      <c r="I134" s="182">
        <f>VLOOKUP($A134,'FA Addition'!$A:$AK,COLUMN()-6,FALSE)</f>
        <v>45423</v>
      </c>
      <c r="J134" s="182">
        <f>VLOOKUP($A134,'FA Addition'!$A:$AK,COLUMN()-6,FALSE)</f>
        <v>45423</v>
      </c>
      <c r="K134" s="183" t="str">
        <f>VLOOKUP($A134,'FA Addition'!$A:$AK,COLUMN()-6,FALSE)</f>
        <v>Router</v>
      </c>
      <c r="L134" s="180">
        <f>VLOOKUP($A134,'FA Addition'!$A:$AK,COLUMN(),FALSE)</f>
        <v>990000</v>
      </c>
      <c r="M134" s="184">
        <f>VLOOKUP($A134,'FA Addition'!$A:$AK,COLUMN()+2,FALSE)</f>
        <v>5</v>
      </c>
      <c r="N134" s="185">
        <f>VLOOKUP($A134,'FA Addition'!$A:$AK,COLUMN()+2,FALSE)</f>
        <v>0.2</v>
      </c>
      <c r="O134" s="186">
        <f>'FA Write off'!$N134*'FA Write off'!$L134*'FA Write off'!$H134/365</f>
        <v>-220241.09589041097</v>
      </c>
    </row>
    <row r="135" spans="1:15" s="25" customFormat="1" hidden="1" x14ac:dyDescent="0.4">
      <c r="A135" s="12">
        <v>1064</v>
      </c>
      <c r="B135" s="13" t="s">
        <v>1089</v>
      </c>
      <c r="C135" s="14">
        <v>45016</v>
      </c>
      <c r="D135" s="23">
        <v>93</v>
      </c>
      <c r="E135" s="15"/>
      <c r="F135" s="15"/>
      <c r="G135" s="181">
        <f>MONTH('FA Write off'!$C135)</f>
        <v>3</v>
      </c>
      <c r="H135" s="181">
        <f>MIN('FA Write off'!$C135-'FA Write off'!$J135+1,'FA Write off'!$M135*365)</f>
        <v>-415</v>
      </c>
      <c r="I135" s="182">
        <f>VLOOKUP($A135,'FA Addition'!$A:$AK,COLUMN()-6,FALSE)</f>
        <v>45432</v>
      </c>
      <c r="J135" s="182">
        <f>VLOOKUP($A135,'FA Addition'!$A:$AK,COLUMN()-6,FALSE)</f>
        <v>45432</v>
      </c>
      <c r="K135" s="183" t="str">
        <f>VLOOKUP($A135,'FA Addition'!$A:$AK,COLUMN()-6,FALSE)</f>
        <v>Router</v>
      </c>
      <c r="L135" s="180">
        <f>VLOOKUP($A135,'FA Addition'!$A:$AK,COLUMN(),FALSE)</f>
        <v>990000</v>
      </c>
      <c r="M135" s="184">
        <f>VLOOKUP($A135,'FA Addition'!$A:$AK,COLUMN()+2,FALSE)</f>
        <v>5</v>
      </c>
      <c r="N135" s="185">
        <f>VLOOKUP($A135,'FA Addition'!$A:$AK,COLUMN()+2,FALSE)</f>
        <v>0.2</v>
      </c>
      <c r="O135" s="186">
        <f>'FA Write off'!$N135*'FA Write off'!$L135*'FA Write off'!$H135/365</f>
        <v>-225123.28767123289</v>
      </c>
    </row>
    <row r="136" spans="1:15" s="4" customFormat="1" hidden="1" x14ac:dyDescent="0.4">
      <c r="A136" s="23">
        <v>165</v>
      </c>
      <c r="B136" s="13" t="s">
        <v>1308</v>
      </c>
      <c r="C136" s="14">
        <v>45382</v>
      </c>
      <c r="D136" s="23">
        <v>115</v>
      </c>
      <c r="E136" s="15"/>
      <c r="F136" s="15"/>
      <c r="G136" s="16">
        <f>MONTH('FA Write off'!$C136)</f>
        <v>3</v>
      </c>
      <c r="H136" s="16">
        <f>MIN('FA Write off'!$C136-'FA Write off'!$J136+1,'FA Write off'!$M136*365)</f>
        <v>1095</v>
      </c>
      <c r="I136" s="17">
        <f>VLOOKUP($A136,'FA Addition'!$A:$AK,COLUMN()-6,FALSE)</f>
        <v>42628</v>
      </c>
      <c r="J136" s="17">
        <f>VLOOKUP($A136,'FA Addition'!$A:$AK,COLUMN()-6,FALSE)</f>
        <v>42628</v>
      </c>
      <c r="K136" s="18" t="str">
        <f>VLOOKUP($A136,'FA Addition'!$A:$AK,COLUMN()-6,FALSE)</f>
        <v>Router</v>
      </c>
      <c r="L136" s="19">
        <f>VLOOKUP($A136,'FA Addition'!$A:$AK,COLUMN(),FALSE)</f>
        <v>136710</v>
      </c>
      <c r="M136" s="20">
        <f>VLOOKUP($A136,'FA Addition'!$A:$AK,COLUMN()+2,FALSE)</f>
        <v>3</v>
      </c>
      <c r="N136" s="21">
        <f>VLOOKUP($A136,'FA Addition'!$A:$AK,COLUMN()+2,FALSE)</f>
        <v>0.63158786776043074</v>
      </c>
      <c r="O136" s="22">
        <f>'FA Write off'!$N136*'FA Write off'!$L136*'FA Write off'!$H136/365</f>
        <v>259033.13220458545</v>
      </c>
    </row>
    <row r="137" spans="1:15" s="4" customFormat="1" hidden="1" x14ac:dyDescent="0.4">
      <c r="A137" s="23">
        <v>366</v>
      </c>
      <c r="B137" s="13" t="s">
        <v>1308</v>
      </c>
      <c r="C137" s="14">
        <v>45382</v>
      </c>
      <c r="D137" s="23">
        <v>68</v>
      </c>
      <c r="E137" s="15"/>
      <c r="F137" s="15"/>
      <c r="G137" s="16">
        <f>MONTH('FA Write off'!$C137)</f>
        <v>3</v>
      </c>
      <c r="H137" s="16">
        <f>MIN('FA Write off'!$C137-'FA Write off'!$J137+1,'FA Write off'!$M137*365)</f>
        <v>1095</v>
      </c>
      <c r="I137" s="17">
        <f>VLOOKUP($A137,'FA Addition'!$A:$AK,COLUMN()-6,FALSE)</f>
        <v>43294</v>
      </c>
      <c r="J137" s="17">
        <f>VLOOKUP($A137,'FA Addition'!$A:$AK,COLUMN()-6,FALSE)</f>
        <v>43294</v>
      </c>
      <c r="K137" s="18" t="str">
        <f>VLOOKUP($A137,'FA Addition'!$A:$AK,COLUMN()-6,FALSE)</f>
        <v>Router</v>
      </c>
      <c r="L137" s="19">
        <f>VLOOKUP($A137,'FA Addition'!$A:$AK,COLUMN(),FALSE)</f>
        <v>108800</v>
      </c>
      <c r="M137" s="20">
        <f>VLOOKUP($A137,'FA Addition'!$A:$AK,COLUMN()+2,FALSE)</f>
        <v>3</v>
      </c>
      <c r="N137" s="21">
        <f>VLOOKUP($A137,'FA Addition'!$A:$AK,COLUMN()+2,FALSE)</f>
        <v>0.63159685013596123</v>
      </c>
      <c r="O137" s="22">
        <f>'FA Write off'!$N137*'FA Write off'!$L137*'FA Write off'!$H137/365</f>
        <v>206153.2118843777</v>
      </c>
    </row>
    <row r="138" spans="1:15" s="4" customFormat="1" hidden="1" x14ac:dyDescent="0.4">
      <c r="A138" s="23">
        <v>409</v>
      </c>
      <c r="B138" s="13" t="s">
        <v>1308</v>
      </c>
      <c r="C138" s="14">
        <v>45382</v>
      </c>
      <c r="D138" s="23">
        <v>12</v>
      </c>
      <c r="E138" s="15"/>
      <c r="F138" s="15"/>
      <c r="G138" s="16">
        <f>MONTH('FA Write off'!$C138)</f>
        <v>3</v>
      </c>
      <c r="H138" s="16">
        <f>MIN('FA Write off'!$C138-'FA Write off'!$J138+1,'FA Write off'!$M138*365)</f>
        <v>1095</v>
      </c>
      <c r="I138" s="17">
        <f>VLOOKUP($A138,'FA Addition'!$A:$AK,COLUMN()-6,FALSE)</f>
        <v>43603</v>
      </c>
      <c r="J138" s="17">
        <f>VLOOKUP($A138,'FA Addition'!$A:$AK,COLUMN()-6,FALSE)</f>
        <v>43603</v>
      </c>
      <c r="K138" s="18" t="str">
        <f>VLOOKUP($A138,'FA Addition'!$A:$AK,COLUMN()-6,FALSE)</f>
        <v>Router</v>
      </c>
      <c r="L138" s="19">
        <f>VLOOKUP($A138,'FA Addition'!$A:$AK,COLUMN(),FALSE)</f>
        <v>287500</v>
      </c>
      <c r="M138" s="20">
        <f>VLOOKUP($A138,'FA Addition'!$A:$AK,COLUMN()+2,FALSE)</f>
        <v>3</v>
      </c>
      <c r="N138" s="21">
        <f>VLOOKUP($A138,'FA Addition'!$A:$AK,COLUMN()+2,FALSE)</f>
        <v>0.63159685013596123</v>
      </c>
      <c r="O138" s="22">
        <f>'FA Write off'!$N138*'FA Write off'!$L138*'FA Write off'!$H138/365</f>
        <v>544752.28324226651</v>
      </c>
    </row>
    <row r="139" spans="1:15" s="4" customFormat="1" x14ac:dyDescent="0.4">
      <c r="A139" s="23">
        <v>459</v>
      </c>
      <c r="B139" s="13" t="s">
        <v>1308</v>
      </c>
      <c r="C139" s="14">
        <v>45382</v>
      </c>
      <c r="D139" s="23">
        <v>306</v>
      </c>
      <c r="E139" s="15"/>
      <c r="F139" s="15"/>
      <c r="G139" s="16">
        <f>MONTH('FA Write off'!$C139)</f>
        <v>3</v>
      </c>
      <c r="H139" s="16">
        <f>MIN('FA Write off'!$C139-'FA Write off'!$J139+1,'FA Write off'!$M139*365)</f>
        <v>714</v>
      </c>
      <c r="I139" s="17">
        <f>VLOOKUP($A139,'FA Addition'!$A:$AK,COLUMN()-6,FALSE)</f>
        <v>44669</v>
      </c>
      <c r="J139" s="17">
        <f>VLOOKUP($A139,'FA Addition'!$A:$AK,COLUMN()-6,FALSE)</f>
        <v>44669</v>
      </c>
      <c r="K139" s="18" t="str">
        <f>VLOOKUP($A139,'FA Addition'!$A:$AK,COLUMN()-6,FALSE)</f>
        <v>Router</v>
      </c>
      <c r="L139" s="19">
        <f>VLOOKUP($A139,'FA Addition'!$A:$AK,COLUMN(),FALSE)</f>
        <v>2100000</v>
      </c>
      <c r="M139" s="20">
        <f>VLOOKUP($A139,'FA Addition'!$A:$AK,COLUMN()+2,FALSE)</f>
        <v>3</v>
      </c>
      <c r="N139" s="21">
        <f>VLOOKUP($A139,'FA Addition'!$A:$AK,COLUMN()+2,FALSE)</f>
        <v>0.63159685013596123</v>
      </c>
      <c r="O139" s="22">
        <f>'FA Write off'!$N139*'FA Write off'!$L139*'FA Write off'!$H139/365</f>
        <v>2594565.2523119459</v>
      </c>
    </row>
    <row r="140" spans="1:15" s="4" customFormat="1" hidden="1" x14ac:dyDescent="0.4">
      <c r="A140" s="23">
        <v>469</v>
      </c>
      <c r="B140" s="13" t="s">
        <v>1308</v>
      </c>
      <c r="C140" s="14">
        <v>45382</v>
      </c>
      <c r="D140" s="23">
        <v>287</v>
      </c>
      <c r="E140" s="15"/>
      <c r="F140" s="15"/>
      <c r="G140" s="16">
        <f>MONTH('FA Write off'!$C140)</f>
        <v>3</v>
      </c>
      <c r="H140" s="16">
        <f>MIN('FA Write off'!$C140-'FA Write off'!$J140+1,'FA Write off'!$M140*365)</f>
        <v>678</v>
      </c>
      <c r="I140" s="17">
        <f>VLOOKUP($A140,'FA Addition'!$A:$AK,COLUMN()-6,FALSE)</f>
        <v>44705</v>
      </c>
      <c r="J140" s="17">
        <f>VLOOKUP($A140,'FA Addition'!$A:$AK,COLUMN()-6,FALSE)</f>
        <v>44705</v>
      </c>
      <c r="K140" s="18" t="str">
        <f>VLOOKUP($A140,'FA Addition'!$A:$AK,COLUMN()-6,FALSE)</f>
        <v>Router</v>
      </c>
      <c r="L140" s="19">
        <f>VLOOKUP($A140,'FA Addition'!$A:$AK,COLUMN(),FALSE)</f>
        <v>1050000</v>
      </c>
      <c r="M140" s="20">
        <f>VLOOKUP($A140,'FA Addition'!$A:$AK,COLUMN()+2,FALSE)</f>
        <v>3</v>
      </c>
      <c r="N140" s="21">
        <f>VLOOKUP($A140,'FA Addition'!$A:$AK,COLUMN()+2,FALSE)</f>
        <v>0.63159685013596123</v>
      </c>
      <c r="O140" s="22">
        <f>'FA Write off'!$N140*'FA Write off'!$L140*'FA Write off'!$H140/365</f>
        <v>1231873.4181144952</v>
      </c>
    </row>
    <row r="141" spans="1:15" s="4" customFormat="1" hidden="1" x14ac:dyDescent="0.4">
      <c r="A141" s="23">
        <v>472</v>
      </c>
      <c r="B141" s="13" t="s">
        <v>1308</v>
      </c>
      <c r="C141" s="14">
        <v>45382</v>
      </c>
      <c r="D141" s="23">
        <v>565.80864197530866</v>
      </c>
      <c r="E141" s="15"/>
      <c r="F141" s="15"/>
      <c r="G141" s="16">
        <f>MONTH('FA Write off'!$C141)</f>
        <v>3</v>
      </c>
      <c r="H141" s="16">
        <f>MIN('FA Write off'!$C141-'FA Write off'!$J141+1,'FA Write off'!$M141*365)</f>
        <v>671</v>
      </c>
      <c r="I141" s="17">
        <f>VLOOKUP($A141,'FA Addition'!$A:$AK,COLUMN()-6,FALSE)</f>
        <v>44712</v>
      </c>
      <c r="J141" s="17">
        <f>VLOOKUP($A141,'FA Addition'!$A:$AK,COLUMN()-6,FALSE)</f>
        <v>44712</v>
      </c>
      <c r="K141" s="18" t="str">
        <f>VLOOKUP($A141,'FA Addition'!$A:$AK,COLUMN()-6,FALSE)</f>
        <v xml:space="preserve">ONU-Optical Network Unit </v>
      </c>
      <c r="L141" s="19">
        <f>VLOOKUP($A141,'FA Addition'!$A:$AK,COLUMN(),FALSE)</f>
        <v>1215000</v>
      </c>
      <c r="M141" s="20">
        <f>VLOOKUP($A141,'FA Addition'!$A:$AK,COLUMN()+2,FALSE)</f>
        <v>3</v>
      </c>
      <c r="N141" s="21">
        <f>VLOOKUP($A141,'FA Addition'!$A:$AK,COLUMN()+2,FALSE)</f>
        <v>0.33333333333333331</v>
      </c>
      <c r="O141" s="22">
        <f>'FA Write off'!$N141*'FA Write off'!$L141*'FA Write off'!$H141/365</f>
        <v>744534.24657534249</v>
      </c>
    </row>
    <row r="142" spans="1:15" s="4" customFormat="1" hidden="1" x14ac:dyDescent="0.4">
      <c r="A142" s="23">
        <v>477</v>
      </c>
      <c r="B142" s="13" t="s">
        <v>1308</v>
      </c>
      <c r="C142" s="14">
        <v>45382</v>
      </c>
      <c r="D142" s="23">
        <v>288</v>
      </c>
      <c r="E142" s="15"/>
      <c r="F142" s="15"/>
      <c r="G142" s="16">
        <f>MONTH('FA Write off'!$C142)</f>
        <v>3</v>
      </c>
      <c r="H142" s="16">
        <f>MIN('FA Write off'!$C142-'FA Write off'!$J142+1,'FA Write off'!$M142*365)</f>
        <v>669</v>
      </c>
      <c r="I142" s="17">
        <f>VLOOKUP($A142,'FA Addition'!$A:$AK,COLUMN()-6,FALSE)</f>
        <v>44714</v>
      </c>
      <c r="J142" s="17">
        <f>VLOOKUP($A142,'FA Addition'!$A:$AK,COLUMN()-6,FALSE)</f>
        <v>44714</v>
      </c>
      <c r="K142" s="18" t="str">
        <f>VLOOKUP($A142,'FA Addition'!$A:$AK,COLUMN()-6,FALSE)</f>
        <v>Router</v>
      </c>
      <c r="L142" s="19">
        <f>VLOOKUP($A142,'FA Addition'!$A:$AK,COLUMN(),FALSE)</f>
        <v>525000</v>
      </c>
      <c r="M142" s="20">
        <f>VLOOKUP($A142,'FA Addition'!$A:$AK,COLUMN()+2,FALSE)</f>
        <v>3</v>
      </c>
      <c r="N142" s="21">
        <f>VLOOKUP($A142,'FA Addition'!$A:$AK,COLUMN()+2,FALSE)</f>
        <v>0.63159685013596123</v>
      </c>
      <c r="O142" s="22">
        <f>'FA Write off'!$N142*'FA Write off'!$L142*'FA Write off'!$H142/365</f>
        <v>607760.55805206299</v>
      </c>
    </row>
    <row r="143" spans="1:15" s="4" customFormat="1" hidden="1" x14ac:dyDescent="0.4">
      <c r="A143" s="23">
        <v>481</v>
      </c>
      <c r="B143" s="13" t="s">
        <v>1308</v>
      </c>
      <c r="C143" s="14">
        <v>45382</v>
      </c>
      <c r="D143" s="23">
        <v>1000</v>
      </c>
      <c r="E143" s="15"/>
      <c r="F143" s="15"/>
      <c r="G143" s="16">
        <f>MONTH('FA Write off'!$C143)</f>
        <v>3</v>
      </c>
      <c r="H143" s="16">
        <f>MIN('FA Write off'!$C143-'FA Write off'!$J143+1,'FA Write off'!$M143*365)</f>
        <v>658</v>
      </c>
      <c r="I143" s="17">
        <f>VLOOKUP($A143,'FA Addition'!$A:$AK,COLUMN()-6,FALSE)</f>
        <v>44725</v>
      </c>
      <c r="J143" s="17">
        <f>VLOOKUP($A143,'FA Addition'!$A:$AK,COLUMN()-6,FALSE)</f>
        <v>44725</v>
      </c>
      <c r="K143" s="18" t="str">
        <f>VLOOKUP($A143,'FA Addition'!$A:$AK,COLUMN()-6,FALSE)</f>
        <v xml:space="preserve">ONU-Optical Network Unit </v>
      </c>
      <c r="L143" s="19">
        <f>VLOOKUP($A143,'FA Addition'!$A:$AK,COLUMN(),FALSE)</f>
        <v>810000</v>
      </c>
      <c r="M143" s="20">
        <f>VLOOKUP($A143,'FA Addition'!$A:$AK,COLUMN()+2,FALSE)</f>
        <v>3</v>
      </c>
      <c r="N143" s="21">
        <f>VLOOKUP($A143,'FA Addition'!$A:$AK,COLUMN()+2,FALSE)</f>
        <v>0.33333333333333331</v>
      </c>
      <c r="O143" s="22">
        <f>'FA Write off'!$N143*'FA Write off'!$L143*'FA Write off'!$H143/365</f>
        <v>486739.72602739726</v>
      </c>
    </row>
    <row r="144" spans="1:15" s="4" customFormat="1" hidden="1" x14ac:dyDescent="0.4">
      <c r="A144" s="23">
        <v>485</v>
      </c>
      <c r="B144" s="13" t="s">
        <v>1308</v>
      </c>
      <c r="C144" s="14">
        <v>45382</v>
      </c>
      <c r="D144" s="23">
        <v>377</v>
      </c>
      <c r="E144" s="15"/>
      <c r="F144" s="15"/>
      <c r="G144" s="16">
        <f>MONTH('FA Write off'!$C144)</f>
        <v>3</v>
      </c>
      <c r="H144" s="16">
        <f>MIN('FA Write off'!$C144-'FA Write off'!$J144+1,'FA Write off'!$M144*365)</f>
        <v>648</v>
      </c>
      <c r="I144" s="17">
        <f>VLOOKUP($A144,'FA Addition'!$A:$AK,COLUMN()-6,FALSE)</f>
        <v>44735</v>
      </c>
      <c r="J144" s="17">
        <f>VLOOKUP($A144,'FA Addition'!$A:$AK,COLUMN()-6,FALSE)</f>
        <v>44735</v>
      </c>
      <c r="K144" s="18" t="str">
        <f>VLOOKUP($A144,'FA Addition'!$A:$AK,COLUMN()-6,FALSE)</f>
        <v>Router</v>
      </c>
      <c r="L144" s="19">
        <f>VLOOKUP($A144,'FA Addition'!$A:$AK,COLUMN(),FALSE)</f>
        <v>1430000</v>
      </c>
      <c r="M144" s="20">
        <f>VLOOKUP($A144,'FA Addition'!$A:$AK,COLUMN()+2,FALSE)</f>
        <v>3</v>
      </c>
      <c r="N144" s="21">
        <f>VLOOKUP($A144,'FA Addition'!$A:$AK,COLUMN()+2,FALSE)</f>
        <v>0.63159685013596123</v>
      </c>
      <c r="O144" s="22">
        <f>'FA Write off'!$N144*'FA Write off'!$L144*'FA Write off'!$H144/365</f>
        <v>1603460.0142739373</v>
      </c>
    </row>
    <row r="145" spans="1:15" s="4" customFormat="1" hidden="1" x14ac:dyDescent="0.4">
      <c r="A145" s="23">
        <v>486</v>
      </c>
      <c r="B145" s="13" t="s">
        <v>1308</v>
      </c>
      <c r="C145" s="14">
        <v>45382</v>
      </c>
      <c r="D145" s="23">
        <v>300</v>
      </c>
      <c r="E145" s="15"/>
      <c r="F145" s="15"/>
      <c r="G145" s="16">
        <f>MONTH('FA Write off'!$C145)</f>
        <v>3</v>
      </c>
      <c r="H145" s="16">
        <f>MIN('FA Write off'!$C145-'FA Write off'!$J145+1,'FA Write off'!$M145*365)</f>
        <v>648</v>
      </c>
      <c r="I145" s="17">
        <f>VLOOKUP($A145,'FA Addition'!$A:$AK,COLUMN()-6,FALSE)</f>
        <v>44735</v>
      </c>
      <c r="J145" s="17">
        <f>VLOOKUP($A145,'FA Addition'!$A:$AK,COLUMN()-6,FALSE)</f>
        <v>44735</v>
      </c>
      <c r="K145" s="18" t="str">
        <f>VLOOKUP($A145,'FA Addition'!$A:$AK,COLUMN()-6,FALSE)</f>
        <v xml:space="preserve">ONU-Optical Network Unit </v>
      </c>
      <c r="L145" s="19">
        <f>VLOOKUP($A145,'FA Addition'!$A:$AK,COLUMN(),FALSE)</f>
        <v>285000</v>
      </c>
      <c r="M145" s="20">
        <f>VLOOKUP($A145,'FA Addition'!$A:$AK,COLUMN()+2,FALSE)</f>
        <v>3</v>
      </c>
      <c r="N145" s="21">
        <f>VLOOKUP($A145,'FA Addition'!$A:$AK,COLUMN()+2,FALSE)</f>
        <v>0.33333333333333331</v>
      </c>
      <c r="O145" s="22">
        <f>'FA Write off'!$N145*'FA Write off'!$L145*'FA Write off'!$H145/365</f>
        <v>168657.53424657535</v>
      </c>
    </row>
    <row r="146" spans="1:15" s="4" customFormat="1" hidden="1" x14ac:dyDescent="0.4">
      <c r="A146" s="23">
        <v>492</v>
      </c>
      <c r="B146" s="13" t="s">
        <v>1308</v>
      </c>
      <c r="C146" s="14">
        <v>45382</v>
      </c>
      <c r="D146" s="23">
        <v>1200</v>
      </c>
      <c r="E146" s="15"/>
      <c r="F146" s="15"/>
      <c r="G146" s="16">
        <f>MONTH('FA Write off'!$C146)</f>
        <v>3</v>
      </c>
      <c r="H146" s="16">
        <f>MIN('FA Write off'!$C146-'FA Write off'!$J146+1,'FA Write off'!$M146*365)</f>
        <v>646</v>
      </c>
      <c r="I146" s="17">
        <f>VLOOKUP($A146,'FA Addition'!$A:$AK,COLUMN()-6,FALSE)</f>
        <v>44737</v>
      </c>
      <c r="J146" s="17">
        <f>VLOOKUP($A146,'FA Addition'!$A:$AK,COLUMN()-6,FALSE)</f>
        <v>44737</v>
      </c>
      <c r="K146" s="18" t="str">
        <f>VLOOKUP($A146,'FA Addition'!$A:$AK,COLUMN()-6,FALSE)</f>
        <v xml:space="preserve">ONU-Optical Network Unit </v>
      </c>
      <c r="L146" s="19">
        <f>VLOOKUP($A146,'FA Addition'!$A:$AK,COLUMN(),FALSE)</f>
        <v>846000</v>
      </c>
      <c r="M146" s="20">
        <f>VLOOKUP($A146,'FA Addition'!$A:$AK,COLUMN()+2,FALSE)</f>
        <v>3</v>
      </c>
      <c r="N146" s="21">
        <f>VLOOKUP($A146,'FA Addition'!$A:$AK,COLUMN()+2,FALSE)</f>
        <v>0.33333333333333331</v>
      </c>
      <c r="O146" s="22">
        <f>'FA Write off'!$N146*'FA Write off'!$L146*'FA Write off'!$H146/365</f>
        <v>499101.36986301368</v>
      </c>
    </row>
    <row r="147" spans="1:15" s="4" customFormat="1" hidden="1" x14ac:dyDescent="0.4">
      <c r="A147" s="23">
        <v>496</v>
      </c>
      <c r="B147" s="13" t="s">
        <v>1308</v>
      </c>
      <c r="C147" s="14">
        <v>45382</v>
      </c>
      <c r="D147" s="23">
        <v>500</v>
      </c>
      <c r="E147" s="15"/>
      <c r="F147" s="15"/>
      <c r="G147" s="16">
        <f>MONTH('FA Write off'!$C147)</f>
        <v>3</v>
      </c>
      <c r="H147" s="16">
        <f>MIN('FA Write off'!$C147-'FA Write off'!$J147+1,'FA Write off'!$M147*365)</f>
        <v>636</v>
      </c>
      <c r="I147" s="17">
        <f>VLOOKUP($A147,'FA Addition'!$A:$AK,COLUMN()-6,FALSE)</f>
        <v>44747</v>
      </c>
      <c r="J147" s="17">
        <f>VLOOKUP($A147,'FA Addition'!$A:$AK,COLUMN()-6,FALSE)</f>
        <v>44747</v>
      </c>
      <c r="K147" s="18" t="str">
        <f>VLOOKUP($A147,'FA Addition'!$A:$AK,COLUMN()-6,FALSE)</f>
        <v xml:space="preserve">ONU-Optical Network Unit </v>
      </c>
      <c r="L147" s="19">
        <f>VLOOKUP($A147,'FA Addition'!$A:$AK,COLUMN(),FALSE)</f>
        <v>405000</v>
      </c>
      <c r="M147" s="20">
        <f>VLOOKUP($A147,'FA Addition'!$A:$AK,COLUMN()+2,FALSE)</f>
        <v>3</v>
      </c>
      <c r="N147" s="21">
        <f>VLOOKUP($A147,'FA Addition'!$A:$AK,COLUMN()+2,FALSE)</f>
        <v>0.33333333333333331</v>
      </c>
      <c r="O147" s="22">
        <f>'FA Write off'!$N147*'FA Write off'!$L147*'FA Write off'!$H147/365</f>
        <v>235232.87671232875</v>
      </c>
    </row>
    <row r="148" spans="1:15" s="4" customFormat="1" hidden="1" x14ac:dyDescent="0.4">
      <c r="A148" s="23">
        <v>509</v>
      </c>
      <c r="B148" s="13" t="s">
        <v>1308</v>
      </c>
      <c r="C148" s="14">
        <v>45382</v>
      </c>
      <c r="D148" s="23">
        <v>411</v>
      </c>
      <c r="E148" s="15"/>
      <c r="F148" s="15"/>
      <c r="G148" s="16">
        <f>MONTH('FA Write off'!$C148)</f>
        <v>3</v>
      </c>
      <c r="H148" s="16">
        <f>MIN('FA Write off'!$C148-'FA Write off'!$J148+1,'FA Write off'!$M148*365)</f>
        <v>609</v>
      </c>
      <c r="I148" s="17">
        <f>VLOOKUP($A148,'FA Addition'!$A:$AK,COLUMN()-6,FALSE)</f>
        <v>44774</v>
      </c>
      <c r="J148" s="17">
        <f>VLOOKUP($A148,'FA Addition'!$A:$AK,COLUMN()-6,FALSE)</f>
        <v>44774</v>
      </c>
      <c r="K148" s="18" t="str">
        <f>VLOOKUP($A148,'FA Addition'!$A:$AK,COLUMN()-6,FALSE)</f>
        <v>Router</v>
      </c>
      <c r="L148" s="19">
        <f>VLOOKUP($A148,'FA Addition'!$A:$AK,COLUMN(),FALSE)</f>
        <v>1100000</v>
      </c>
      <c r="M148" s="20">
        <f>VLOOKUP($A148,'FA Addition'!$A:$AK,COLUMN()+2,FALSE)</f>
        <v>3</v>
      </c>
      <c r="N148" s="21">
        <f>VLOOKUP($A148,'FA Addition'!$A:$AK,COLUMN()+2,FALSE)</f>
        <v>0.63159685013596123</v>
      </c>
      <c r="O148" s="22">
        <f>'FA Write off'!$N148*'FA Write off'!$L148*'FA Write off'!$H148/365</f>
        <v>1159196.5202906316</v>
      </c>
    </row>
    <row r="149" spans="1:15" s="4" customFormat="1" hidden="1" x14ac:dyDescent="0.4">
      <c r="A149" s="23">
        <v>518</v>
      </c>
      <c r="B149" s="13" t="s">
        <v>1308</v>
      </c>
      <c r="C149" s="14">
        <v>45382</v>
      </c>
      <c r="D149" s="23">
        <v>1200</v>
      </c>
      <c r="E149" s="15"/>
      <c r="F149" s="15"/>
      <c r="G149" s="16">
        <f>MONTH('FA Write off'!$C149)</f>
        <v>3</v>
      </c>
      <c r="H149" s="16">
        <f>MIN('FA Write off'!$C149-'FA Write off'!$J149+1,'FA Write off'!$M149*365)</f>
        <v>592</v>
      </c>
      <c r="I149" s="17">
        <f>VLOOKUP($A149,'FA Addition'!$A:$AK,COLUMN()-6,FALSE)</f>
        <v>44791</v>
      </c>
      <c r="J149" s="17">
        <f>VLOOKUP($A149,'FA Addition'!$A:$AK,COLUMN()-6,FALSE)</f>
        <v>44791</v>
      </c>
      <c r="K149" s="18" t="str">
        <f>VLOOKUP($A149,'FA Addition'!$A:$AK,COLUMN()-6,FALSE)</f>
        <v xml:space="preserve">ONU-Optical Network Unit </v>
      </c>
      <c r="L149" s="19">
        <f>VLOOKUP($A149,'FA Addition'!$A:$AK,COLUMN(),FALSE)</f>
        <v>972000</v>
      </c>
      <c r="M149" s="20">
        <f>VLOOKUP($A149,'FA Addition'!$A:$AK,COLUMN()+2,FALSE)</f>
        <v>3</v>
      </c>
      <c r="N149" s="21">
        <f>VLOOKUP($A149,'FA Addition'!$A:$AK,COLUMN()+2,FALSE)</f>
        <v>0.33333333333333331</v>
      </c>
      <c r="O149" s="22">
        <f>'FA Write off'!$N149*'FA Write off'!$L149*'FA Write off'!$H149/365</f>
        <v>525501.36986301374</v>
      </c>
    </row>
    <row r="150" spans="1:15" s="4" customFormat="1" hidden="1" x14ac:dyDescent="0.4">
      <c r="A150" s="23">
        <v>521</v>
      </c>
      <c r="B150" s="13" t="s">
        <v>1308</v>
      </c>
      <c r="C150" s="14">
        <v>45382</v>
      </c>
      <c r="D150" s="23">
        <v>1200</v>
      </c>
      <c r="E150" s="15"/>
      <c r="F150" s="15"/>
      <c r="G150" s="16">
        <f>MONTH('FA Write off'!$C150)</f>
        <v>3</v>
      </c>
      <c r="H150" s="16">
        <f>MIN('FA Write off'!$C150-'FA Write off'!$J150+1,'FA Write off'!$M150*365)</f>
        <v>573</v>
      </c>
      <c r="I150" s="17">
        <f>VLOOKUP($A150,'FA Addition'!$A:$AK,COLUMN()-6,FALSE)</f>
        <v>44810</v>
      </c>
      <c r="J150" s="17">
        <f>VLOOKUP($A150,'FA Addition'!$A:$AK,COLUMN()-6,FALSE)</f>
        <v>44810</v>
      </c>
      <c r="K150" s="18" t="str">
        <f>VLOOKUP($A150,'FA Addition'!$A:$AK,COLUMN()-6,FALSE)</f>
        <v xml:space="preserve">ONU-Optical Network Unit </v>
      </c>
      <c r="L150" s="19">
        <f>VLOOKUP($A150,'FA Addition'!$A:$AK,COLUMN(),FALSE)</f>
        <v>972000</v>
      </c>
      <c r="M150" s="20">
        <f>VLOOKUP($A150,'FA Addition'!$A:$AK,COLUMN()+2,FALSE)</f>
        <v>3</v>
      </c>
      <c r="N150" s="21">
        <f>VLOOKUP($A150,'FA Addition'!$A:$AK,COLUMN()+2,FALSE)</f>
        <v>0.33333333333333331</v>
      </c>
      <c r="O150" s="22">
        <f>'FA Write off'!$N150*'FA Write off'!$L150*'FA Write off'!$H150/365</f>
        <v>508635.61643835617</v>
      </c>
    </row>
    <row r="151" spans="1:15" s="4" customFormat="1" hidden="1" x14ac:dyDescent="0.4">
      <c r="A151" s="23">
        <v>525</v>
      </c>
      <c r="B151" s="13" t="s">
        <v>1308</v>
      </c>
      <c r="C151" s="14">
        <v>45382</v>
      </c>
      <c r="D151" s="23">
        <v>1200</v>
      </c>
      <c r="E151" s="15"/>
      <c r="F151" s="15"/>
      <c r="G151" s="16">
        <f>MONTH('FA Write off'!$C151)</f>
        <v>3</v>
      </c>
      <c r="H151" s="16">
        <f>MIN('FA Write off'!$C151-'FA Write off'!$J151+1,'FA Write off'!$M151*365)</f>
        <v>559</v>
      </c>
      <c r="I151" s="17">
        <f>VLOOKUP($A151,'FA Addition'!$A:$AK,COLUMN()-6,FALSE)</f>
        <v>44824</v>
      </c>
      <c r="J151" s="17">
        <f>VLOOKUP($A151,'FA Addition'!$A:$AK,COLUMN()-6,FALSE)</f>
        <v>44824</v>
      </c>
      <c r="K151" s="18" t="str">
        <f>VLOOKUP($A151,'FA Addition'!$A:$AK,COLUMN()-6,FALSE)</f>
        <v xml:space="preserve">ONU-Optical Network Unit </v>
      </c>
      <c r="L151" s="19">
        <f>VLOOKUP($A151,'FA Addition'!$A:$AK,COLUMN(),FALSE)</f>
        <v>972000</v>
      </c>
      <c r="M151" s="20">
        <f>VLOOKUP($A151,'FA Addition'!$A:$AK,COLUMN()+2,FALSE)</f>
        <v>3</v>
      </c>
      <c r="N151" s="21">
        <f>VLOOKUP($A151,'FA Addition'!$A:$AK,COLUMN()+2,FALSE)</f>
        <v>0.33333333333333331</v>
      </c>
      <c r="O151" s="22">
        <f>'FA Write off'!$N151*'FA Write off'!$L151*'FA Write off'!$H151/365</f>
        <v>496208.21917808219</v>
      </c>
    </row>
    <row r="152" spans="1:15" s="4" customFormat="1" hidden="1" x14ac:dyDescent="0.4">
      <c r="A152" s="23">
        <v>528</v>
      </c>
      <c r="B152" s="13" t="s">
        <v>1308</v>
      </c>
      <c r="C152" s="14">
        <v>45382</v>
      </c>
      <c r="D152" s="23">
        <v>438</v>
      </c>
      <c r="E152" s="15"/>
      <c r="F152" s="15"/>
      <c r="G152" s="16">
        <f>MONTH('FA Write off'!$C152)</f>
        <v>3</v>
      </c>
      <c r="H152" s="16">
        <f>MIN('FA Write off'!$C152-'FA Write off'!$J152+1,'FA Write off'!$M152*365)</f>
        <v>553</v>
      </c>
      <c r="I152" s="17">
        <f>VLOOKUP($A152,'FA Addition'!$A:$AK,COLUMN()-6,FALSE)</f>
        <v>44830</v>
      </c>
      <c r="J152" s="17">
        <f>VLOOKUP($A152,'FA Addition'!$A:$AK,COLUMN()-6,FALSE)</f>
        <v>44830</v>
      </c>
      <c r="K152" s="18" t="str">
        <f>VLOOKUP($A152,'FA Addition'!$A:$AK,COLUMN()-6,FALSE)</f>
        <v>Router</v>
      </c>
      <c r="L152" s="19">
        <f>VLOOKUP($A152,'FA Addition'!$A:$AK,COLUMN(),FALSE)</f>
        <v>1100000</v>
      </c>
      <c r="M152" s="20">
        <f>VLOOKUP($A152,'FA Addition'!$A:$AK,COLUMN()+2,FALSE)</f>
        <v>3</v>
      </c>
      <c r="N152" s="21">
        <f>VLOOKUP($A152,'FA Addition'!$A:$AK,COLUMN()+2,FALSE)</f>
        <v>0.63159685013596123</v>
      </c>
      <c r="O152" s="22">
        <f>'FA Write off'!$N152*'FA Write off'!$L152*'FA Write off'!$H152/365</f>
        <v>1052603.7368156307</v>
      </c>
    </row>
    <row r="153" spans="1:15" s="4" customFormat="1" hidden="1" x14ac:dyDescent="0.4">
      <c r="A153" s="23">
        <v>529</v>
      </c>
      <c r="B153" s="13" t="s">
        <v>1308</v>
      </c>
      <c r="C153" s="14">
        <v>45382</v>
      </c>
      <c r="D153" s="23">
        <v>1200</v>
      </c>
      <c r="E153" s="15"/>
      <c r="F153" s="15"/>
      <c r="G153" s="16">
        <f>MONTH('FA Write off'!$C153)</f>
        <v>3</v>
      </c>
      <c r="H153" s="16">
        <f>MIN('FA Write off'!$C153-'FA Write off'!$J153+1,'FA Write off'!$M153*365)</f>
        <v>552</v>
      </c>
      <c r="I153" s="17">
        <f>VLOOKUP($A153,'FA Addition'!$A:$AK,COLUMN()-6,FALSE)</f>
        <v>44831</v>
      </c>
      <c r="J153" s="17">
        <f>VLOOKUP($A153,'FA Addition'!$A:$AK,COLUMN()-6,FALSE)</f>
        <v>44831</v>
      </c>
      <c r="K153" s="18" t="str">
        <f>VLOOKUP($A153,'FA Addition'!$A:$AK,COLUMN()-6,FALSE)</f>
        <v xml:space="preserve">ONU-Optical Network Unit </v>
      </c>
      <c r="L153" s="19">
        <f>VLOOKUP($A153,'FA Addition'!$A:$AK,COLUMN(),FALSE)</f>
        <v>972000</v>
      </c>
      <c r="M153" s="20">
        <f>VLOOKUP($A153,'FA Addition'!$A:$AK,COLUMN()+2,FALSE)</f>
        <v>3</v>
      </c>
      <c r="N153" s="21">
        <f>VLOOKUP($A153,'FA Addition'!$A:$AK,COLUMN()+2,FALSE)</f>
        <v>0.33333333333333331</v>
      </c>
      <c r="O153" s="22">
        <f>'FA Write off'!$N153*'FA Write off'!$L153*'FA Write off'!$H153/365</f>
        <v>489994.52054794523</v>
      </c>
    </row>
    <row r="154" spans="1:15" s="4" customFormat="1" hidden="1" x14ac:dyDescent="0.4">
      <c r="A154" s="23">
        <v>539</v>
      </c>
      <c r="B154" s="13" t="s">
        <v>1308</v>
      </c>
      <c r="C154" s="14">
        <v>45382</v>
      </c>
      <c r="D154" s="23">
        <v>1</v>
      </c>
      <c r="E154" s="15"/>
      <c r="F154" s="15"/>
      <c r="G154" s="16">
        <f>MONTH('FA Write off'!$C154)</f>
        <v>3</v>
      </c>
      <c r="H154" s="16">
        <f>MIN('FA Write off'!$C154-'FA Write off'!$J154+1,'FA Write off'!$M154*365)</f>
        <v>545</v>
      </c>
      <c r="I154" s="17">
        <f>VLOOKUP($A154,'FA Addition'!$A:$AK,COLUMN()-6,FALSE)</f>
        <v>44838</v>
      </c>
      <c r="J154" s="17">
        <f>VLOOKUP($A154,'FA Addition'!$A:$AK,COLUMN()-6,FALSE)</f>
        <v>44838</v>
      </c>
      <c r="K154" s="18" t="str">
        <f>VLOOKUP($A154,'FA Addition'!$A:$AK,COLUMN()-6,FALSE)</f>
        <v xml:space="preserve">ONU-Optical Network Unit </v>
      </c>
      <c r="L154" s="19">
        <f>VLOOKUP($A154,'FA Addition'!$A:$AK,COLUMN(),FALSE)</f>
        <v>2400</v>
      </c>
      <c r="M154" s="20">
        <f>VLOOKUP($A154,'FA Addition'!$A:$AK,COLUMN()+2,FALSE)</f>
        <v>3</v>
      </c>
      <c r="N154" s="21">
        <f>VLOOKUP($A154,'FA Addition'!$A:$AK,COLUMN()+2,FALSE)</f>
        <v>0.33333333333333331</v>
      </c>
      <c r="O154" s="22">
        <f>'FA Write off'!$N154*'FA Write off'!$L154*'FA Write off'!$H154/365</f>
        <v>1194.5205479452054</v>
      </c>
    </row>
    <row r="155" spans="1:15" s="4" customFormat="1" hidden="1" x14ac:dyDescent="0.4">
      <c r="A155" s="23">
        <v>544</v>
      </c>
      <c r="B155" s="13" t="s">
        <v>1308</v>
      </c>
      <c r="C155" s="14">
        <v>45382</v>
      </c>
      <c r="D155" s="23">
        <v>686.83333333333337</v>
      </c>
      <c r="E155" s="15"/>
      <c r="F155" s="15"/>
      <c r="G155" s="16">
        <f>MONTH('FA Write off'!$C155)</f>
        <v>3</v>
      </c>
      <c r="H155" s="16">
        <f>MIN('FA Write off'!$C155-'FA Write off'!$J155+1,'FA Write off'!$M155*365)</f>
        <v>538</v>
      </c>
      <c r="I155" s="17">
        <f>VLOOKUP($A155,'FA Addition'!$A:$AK,COLUMN()-6,FALSE)</f>
        <v>44845</v>
      </c>
      <c r="J155" s="17">
        <f>VLOOKUP($A155,'FA Addition'!$A:$AK,COLUMN()-6,FALSE)</f>
        <v>44845</v>
      </c>
      <c r="K155" s="18" t="str">
        <f>VLOOKUP($A155,'FA Addition'!$A:$AK,COLUMN()-6,FALSE)</f>
        <v xml:space="preserve">ONU-Optical Network Unit </v>
      </c>
      <c r="L155" s="19">
        <f>VLOOKUP($A155,'FA Addition'!$A:$AK,COLUMN(),FALSE)</f>
        <v>972000</v>
      </c>
      <c r="M155" s="20">
        <f>VLOOKUP($A155,'FA Addition'!$A:$AK,COLUMN()+2,FALSE)</f>
        <v>3</v>
      </c>
      <c r="N155" s="21">
        <f>VLOOKUP($A155,'FA Addition'!$A:$AK,COLUMN()+2,FALSE)</f>
        <v>0.33333333333333331</v>
      </c>
      <c r="O155" s="22">
        <f>'FA Write off'!$N155*'FA Write off'!$L155*'FA Write off'!$H155/365</f>
        <v>477567.12328767125</v>
      </c>
    </row>
    <row r="156" spans="1:15" s="4" customFormat="1" hidden="1" x14ac:dyDescent="0.4">
      <c r="A156" s="23">
        <v>549</v>
      </c>
      <c r="B156" s="13" t="s">
        <v>1308</v>
      </c>
      <c r="C156" s="14">
        <v>45382</v>
      </c>
      <c r="D156" s="23">
        <v>565</v>
      </c>
      <c r="E156" s="15"/>
      <c r="F156" s="15"/>
      <c r="G156" s="16">
        <f>MONTH('FA Write off'!$C156)</f>
        <v>3</v>
      </c>
      <c r="H156" s="16">
        <f>MIN('FA Write off'!$C156-'FA Write off'!$J156+1,'FA Write off'!$M156*365)</f>
        <v>531</v>
      </c>
      <c r="I156" s="17">
        <f>VLOOKUP($A156,'FA Addition'!$A:$AK,COLUMN()-6,FALSE)</f>
        <v>44852</v>
      </c>
      <c r="J156" s="17">
        <f>VLOOKUP($A156,'FA Addition'!$A:$AK,COLUMN()-6,FALSE)</f>
        <v>44852</v>
      </c>
      <c r="K156" s="18" t="str">
        <f>VLOOKUP($A156,'FA Addition'!$A:$AK,COLUMN()-6,FALSE)</f>
        <v>Router</v>
      </c>
      <c r="L156" s="19">
        <f>VLOOKUP($A156,'FA Addition'!$A:$AK,COLUMN(),FALSE)</f>
        <v>2090000</v>
      </c>
      <c r="M156" s="20">
        <f>VLOOKUP($A156,'FA Addition'!$A:$AK,COLUMN()+2,FALSE)</f>
        <v>3</v>
      </c>
      <c r="N156" s="21">
        <f>VLOOKUP($A156,'FA Addition'!$A:$AK,COLUMN()+2,FALSE)</f>
        <v>0.63159685013596123</v>
      </c>
      <c r="O156" s="22">
        <f>'FA Write off'!$N156*'FA Write off'!$L156*'FA Write off'!$H156/365</f>
        <v>1920383.2008558586</v>
      </c>
    </row>
    <row r="157" spans="1:15" s="4" customFormat="1" hidden="1" x14ac:dyDescent="0.4">
      <c r="A157" s="23">
        <v>564</v>
      </c>
      <c r="B157" s="13" t="s">
        <v>1308</v>
      </c>
      <c r="C157" s="14">
        <v>45382</v>
      </c>
      <c r="D157" s="23">
        <v>662</v>
      </c>
      <c r="E157" s="15"/>
      <c r="F157" s="15"/>
      <c r="G157" s="16">
        <f>MONTH('FA Write off'!$C157)</f>
        <v>3</v>
      </c>
      <c r="H157" s="16">
        <f>MIN('FA Write off'!$C157-'FA Write off'!$J157+1,'FA Write off'!$M157*365)</f>
        <v>497</v>
      </c>
      <c r="I157" s="17">
        <f>VLOOKUP($A157,'FA Addition'!$A:$AK,COLUMN()-6,FALSE)</f>
        <v>44886</v>
      </c>
      <c r="J157" s="17">
        <f>VLOOKUP($A157,'FA Addition'!$A:$AK,COLUMN()-6,FALSE)</f>
        <v>44886</v>
      </c>
      <c r="K157" s="18" t="str">
        <f>VLOOKUP($A157,'FA Addition'!$A:$AK,COLUMN()-6,FALSE)</f>
        <v>Router</v>
      </c>
      <c r="L157" s="19">
        <f>VLOOKUP($A157,'FA Addition'!$A:$AK,COLUMN(),FALSE)</f>
        <v>1650000</v>
      </c>
      <c r="M157" s="20">
        <f>VLOOKUP($A157,'FA Addition'!$A:$AK,COLUMN()+2,FALSE)</f>
        <v>3</v>
      </c>
      <c r="N157" s="21">
        <f>VLOOKUP($A157,'FA Addition'!$A:$AK,COLUMN()+2,FALSE)</f>
        <v>0.63159685013596123</v>
      </c>
      <c r="O157" s="22">
        <f>'FA Write off'!$N157*'FA Write off'!$L157*'FA Write off'!$H157/365</f>
        <v>1419016.4300109451</v>
      </c>
    </row>
    <row r="158" spans="1:15" s="4" customFormat="1" hidden="1" x14ac:dyDescent="0.4">
      <c r="A158" s="23">
        <v>571</v>
      </c>
      <c r="B158" s="13" t="s">
        <v>1308</v>
      </c>
      <c r="C158" s="14">
        <v>45382</v>
      </c>
      <c r="D158" s="23">
        <v>1100</v>
      </c>
      <c r="E158" s="15"/>
      <c r="F158" s="15"/>
      <c r="G158" s="16">
        <f>MONTH('FA Write off'!$C158)</f>
        <v>3</v>
      </c>
      <c r="H158" s="16">
        <f>MIN('FA Write off'!$C158-'FA Write off'!$J158+1,'FA Write off'!$M158*365)</f>
        <v>486</v>
      </c>
      <c r="I158" s="17">
        <f>VLOOKUP($A158,'FA Addition'!$A:$AK,COLUMN()-6,FALSE)</f>
        <v>44897</v>
      </c>
      <c r="J158" s="17">
        <f>VLOOKUP($A158,'FA Addition'!$A:$AK,COLUMN()-6,FALSE)</f>
        <v>44897</v>
      </c>
      <c r="K158" s="18" t="str">
        <f>VLOOKUP($A158,'FA Addition'!$A:$AK,COLUMN()-6,FALSE)</f>
        <v>Router</v>
      </c>
      <c r="L158" s="19">
        <f>VLOOKUP($A158,'FA Addition'!$A:$AK,COLUMN(),FALSE)</f>
        <v>2200000</v>
      </c>
      <c r="M158" s="20">
        <f>VLOOKUP($A158,'FA Addition'!$A:$AK,COLUMN()+2,FALSE)</f>
        <v>3</v>
      </c>
      <c r="N158" s="21">
        <f>VLOOKUP($A158,'FA Addition'!$A:$AK,COLUMN()+2,FALSE)</f>
        <v>0.63159685013596123</v>
      </c>
      <c r="O158" s="22">
        <f>'FA Write off'!$N158*'FA Write off'!$L158*'FA Write off'!$H158/365</f>
        <v>1850146.1703160815</v>
      </c>
    </row>
    <row r="159" spans="1:15" s="4" customFormat="1" hidden="1" x14ac:dyDescent="0.4">
      <c r="A159" s="23">
        <v>587</v>
      </c>
      <c r="B159" s="13" t="s">
        <v>1308</v>
      </c>
      <c r="C159" s="14">
        <v>45382</v>
      </c>
      <c r="D159" s="23">
        <v>991</v>
      </c>
      <c r="E159" s="15"/>
      <c r="F159" s="15"/>
      <c r="G159" s="16">
        <f>MONTH('FA Write off'!$C159)</f>
        <v>3</v>
      </c>
      <c r="H159" s="16">
        <f>MIN('FA Write off'!$C159-'FA Write off'!$J159+1,'FA Write off'!$M159*365)</f>
        <v>454</v>
      </c>
      <c r="I159" s="17">
        <f>VLOOKUP($A159,'FA Addition'!$A:$AK,COLUMN()-6,FALSE)</f>
        <v>44929</v>
      </c>
      <c r="J159" s="17">
        <f>VLOOKUP($A159,'FA Addition'!$A:$AK,COLUMN()-6,FALSE)</f>
        <v>44929</v>
      </c>
      <c r="K159" s="18" t="str">
        <f>VLOOKUP($A159,'FA Addition'!$A:$AK,COLUMN()-6,FALSE)</f>
        <v>Router</v>
      </c>
      <c r="L159" s="19">
        <f>VLOOKUP($A159,'FA Addition'!$A:$AK,COLUMN(),FALSE)</f>
        <v>2750000</v>
      </c>
      <c r="M159" s="20">
        <f>VLOOKUP($A159,'FA Addition'!$A:$AK,COLUMN()+2,FALSE)</f>
        <v>3</v>
      </c>
      <c r="N159" s="21">
        <f>VLOOKUP($A159,'FA Addition'!$A:$AK,COLUMN()+2,FALSE)</f>
        <v>0.63159685013596123</v>
      </c>
      <c r="O159" s="22">
        <f>'FA Write off'!$N159*'FA Write off'!$L159*'FA Write off'!$H159/365</f>
        <v>2160407.3079308155</v>
      </c>
    </row>
    <row r="160" spans="1:15" s="4" customFormat="1" hidden="1" x14ac:dyDescent="0.4">
      <c r="A160" s="23">
        <v>604</v>
      </c>
      <c r="B160" s="13" t="s">
        <v>1308</v>
      </c>
      <c r="C160" s="14">
        <v>45382</v>
      </c>
      <c r="D160" s="23">
        <v>735</v>
      </c>
      <c r="E160" s="15"/>
      <c r="F160" s="15"/>
      <c r="G160" s="16">
        <f>MONTH('FA Write off'!$C160)</f>
        <v>3</v>
      </c>
      <c r="H160" s="16">
        <f>MIN('FA Write off'!$C160-'FA Write off'!$J160+1,'FA Write off'!$M160*365)</f>
        <v>427</v>
      </c>
      <c r="I160" s="17">
        <f>VLOOKUP($A160,'FA Addition'!$A:$AK,COLUMN()-6,FALSE)</f>
        <v>44956</v>
      </c>
      <c r="J160" s="17">
        <f>VLOOKUP($A160,'FA Addition'!$A:$AK,COLUMN()-6,FALSE)</f>
        <v>44956</v>
      </c>
      <c r="K160" s="18" t="str">
        <f>VLOOKUP($A160,'FA Addition'!$A:$AK,COLUMN()-6,FALSE)</f>
        <v>Router</v>
      </c>
      <c r="L160" s="19">
        <f>VLOOKUP($A160,'FA Addition'!$A:$AK,COLUMN(),FALSE)</f>
        <v>2200000</v>
      </c>
      <c r="M160" s="20">
        <f>VLOOKUP($A160,'FA Addition'!$A:$AK,COLUMN()+2,FALSE)</f>
        <v>3</v>
      </c>
      <c r="N160" s="21">
        <f>VLOOKUP($A160,'FA Addition'!$A:$AK,COLUMN()+2,FALSE)</f>
        <v>0.63159685013596123</v>
      </c>
      <c r="O160" s="22">
        <f>'FA Write off'!$N160*'FA Write off'!$L160*'FA Write off'!$H160/365</f>
        <v>1625539.9479937588</v>
      </c>
    </row>
    <row r="161" spans="1:15" s="4" customFormat="1" x14ac:dyDescent="0.4">
      <c r="A161" s="23">
        <v>618</v>
      </c>
      <c r="B161" s="13" t="s">
        <v>1308</v>
      </c>
      <c r="C161" s="14">
        <v>45382</v>
      </c>
      <c r="D161" s="23">
        <v>860</v>
      </c>
      <c r="E161" s="15"/>
      <c r="F161" s="15"/>
      <c r="G161" s="16">
        <f>MONTH('FA Write off'!$C161)</f>
        <v>3</v>
      </c>
      <c r="H161" s="16">
        <f>MIN('FA Write off'!$C161-'FA Write off'!$J161+1,'FA Write off'!$M161*365)</f>
        <v>392</v>
      </c>
      <c r="I161" s="17">
        <f>VLOOKUP($A161,'FA Addition'!$A:$AK,COLUMN()-6,FALSE)</f>
        <v>44991</v>
      </c>
      <c r="J161" s="17">
        <f>VLOOKUP($A161,'FA Addition'!$A:$AK,COLUMN()-6,FALSE)</f>
        <v>44991</v>
      </c>
      <c r="K161" s="18" t="str">
        <f>VLOOKUP($A161,'FA Addition'!$A:$AK,COLUMN()-6,FALSE)</f>
        <v>Router</v>
      </c>
      <c r="L161" s="19">
        <f>VLOOKUP($A161,'FA Addition'!$A:$AK,COLUMN(),FALSE)</f>
        <v>8800000</v>
      </c>
      <c r="M161" s="20">
        <f>VLOOKUP($A161,'FA Addition'!$A:$AK,COLUMN()+2,FALSE)</f>
        <v>3</v>
      </c>
      <c r="N161" s="21">
        <f>VLOOKUP($A161,'FA Addition'!$A:$AK,COLUMN()+2,FALSE)</f>
        <v>0.63159685013596123</v>
      </c>
      <c r="O161" s="22">
        <f>'FA Write off'!$N161*'FA Write off'!$L161*'FA Write off'!$H161/365</f>
        <v>5969195.8746000333</v>
      </c>
    </row>
    <row r="162" spans="1:15" s="4" customFormat="1" hidden="1" x14ac:dyDescent="0.4">
      <c r="A162" s="23">
        <v>139</v>
      </c>
      <c r="B162" s="13" t="s">
        <v>1758</v>
      </c>
      <c r="C162" s="14">
        <v>45747</v>
      </c>
      <c r="D162" s="23">
        <v>55</v>
      </c>
      <c r="E162" s="15"/>
      <c r="F162" s="15"/>
      <c r="G162" s="16">
        <f>MONTH('FA Write off'!$C162)</f>
        <v>3</v>
      </c>
      <c r="H162" s="16">
        <f>MIN('FA Write off'!$C162-'FA Write off'!$J162+1,'FA Write off'!$M162*365)</f>
        <v>1095</v>
      </c>
      <c r="I162" s="17">
        <f>VLOOKUP($A162,'FA Addition'!$A:$AK,COLUMN()-6,FALSE)</f>
        <v>42517</v>
      </c>
      <c r="J162" s="17">
        <f>VLOOKUP($A162,'FA Addition'!$A:$AK,COLUMN()-6,FALSE)</f>
        <v>42517</v>
      </c>
      <c r="K162" s="18" t="str">
        <f>VLOOKUP($A162,'FA Addition'!$A:$AK,COLUMN()-6,FALSE)</f>
        <v>Router</v>
      </c>
      <c r="L162" s="19">
        <f>VLOOKUP($A162,'FA Addition'!$A:$AK,COLUMN(),FALSE)</f>
        <v>609000</v>
      </c>
      <c r="M162" s="20">
        <f>VLOOKUP($A162,'FA Addition'!$A:$AK,COLUMN()+2,FALSE)</f>
        <v>3</v>
      </c>
      <c r="N162" s="21">
        <f>VLOOKUP($A162,'FA Addition'!$A:$AK,COLUMN()+2,FALSE)</f>
        <v>0.63159685013596123</v>
      </c>
      <c r="O162" s="22">
        <f>'FA Write off'!$N162*'FA Write off'!$L162*'FA Write off'!$H162/365</f>
        <v>1153927.4451984011</v>
      </c>
    </row>
    <row r="163" spans="1:15" s="4" customFormat="1" hidden="1" x14ac:dyDescent="0.4">
      <c r="A163" s="23">
        <v>144</v>
      </c>
      <c r="B163" s="13" t="s">
        <v>1758</v>
      </c>
      <c r="C163" s="14">
        <v>45747</v>
      </c>
      <c r="D163" s="23">
        <v>83</v>
      </c>
      <c r="E163" s="15"/>
      <c r="F163" s="15"/>
      <c r="G163" s="16">
        <f>MONTH('FA Write off'!$C163)</f>
        <v>3</v>
      </c>
      <c r="H163" s="16">
        <f>MIN('FA Write off'!$C163-'FA Write off'!$J163+1,'FA Write off'!$M163*365)</f>
        <v>1095</v>
      </c>
      <c r="I163" s="17">
        <f>VLOOKUP($A163,'FA Addition'!$A:$AK,COLUMN()-6,FALSE)</f>
        <v>42525</v>
      </c>
      <c r="J163" s="17">
        <f>VLOOKUP($A163,'FA Addition'!$A:$AK,COLUMN()-6,FALSE)</f>
        <v>42525</v>
      </c>
      <c r="K163" s="18" t="str">
        <f>VLOOKUP($A163,'FA Addition'!$A:$AK,COLUMN()-6,FALSE)</f>
        <v>Router</v>
      </c>
      <c r="L163" s="19">
        <f>VLOOKUP($A163,'FA Addition'!$A:$AK,COLUMN(),FALSE)</f>
        <v>115920</v>
      </c>
      <c r="M163" s="20">
        <f>VLOOKUP($A163,'FA Addition'!$A:$AK,COLUMN()+2,FALSE)</f>
        <v>3</v>
      </c>
      <c r="N163" s="21">
        <f>VLOOKUP($A163,'FA Addition'!$A:$AK,COLUMN()+2,FALSE)</f>
        <v>0.63159685013596123</v>
      </c>
      <c r="O163" s="22">
        <f>'FA Write off'!$N163*'FA Write off'!$L163*'FA Write off'!$H163/365</f>
        <v>219644.12060328186</v>
      </c>
    </row>
    <row r="164" spans="1:15" s="4" customFormat="1" hidden="1" x14ac:dyDescent="0.4">
      <c r="A164" s="23">
        <v>155</v>
      </c>
      <c r="B164" s="13" t="s">
        <v>1758</v>
      </c>
      <c r="C164" s="14">
        <v>45747</v>
      </c>
      <c r="D164" s="23">
        <v>92</v>
      </c>
      <c r="E164" s="15"/>
      <c r="F164" s="15"/>
      <c r="G164" s="16">
        <f>MONTH('FA Write off'!$C164)</f>
        <v>3</v>
      </c>
      <c r="H164" s="16">
        <f>MIN('FA Write off'!$C164-'FA Write off'!$J164+1,'FA Write off'!$M164*365)</f>
        <v>1095</v>
      </c>
      <c r="I164" s="17">
        <f>VLOOKUP($A164,'FA Addition'!$A:$AK,COLUMN()-6,FALSE)</f>
        <v>42584</v>
      </c>
      <c r="J164" s="17">
        <f>VLOOKUP($A164,'FA Addition'!$A:$AK,COLUMN()-6,FALSE)</f>
        <v>42584</v>
      </c>
      <c r="K164" s="18" t="str">
        <f>VLOOKUP($A164,'FA Addition'!$A:$AK,COLUMN()-6,FALSE)</f>
        <v>Router</v>
      </c>
      <c r="L164" s="19">
        <f>VLOOKUP($A164,'FA Addition'!$A:$AK,COLUMN(),FALSE)</f>
        <v>111300</v>
      </c>
      <c r="M164" s="20">
        <f>VLOOKUP($A164,'FA Addition'!$A:$AK,COLUMN()+2,FALSE)</f>
        <v>3</v>
      </c>
      <c r="N164" s="21">
        <f>VLOOKUP($A164,'FA Addition'!$A:$AK,COLUMN()+2,FALSE)</f>
        <v>0.63159685013596123</v>
      </c>
      <c r="O164" s="22">
        <f>'FA Write off'!$N164*'FA Write off'!$L164*'FA Write off'!$H164/365</f>
        <v>210890.18826039744</v>
      </c>
    </row>
    <row r="165" spans="1:15" s="4" customFormat="1" hidden="1" x14ac:dyDescent="0.4">
      <c r="A165" s="23">
        <v>156</v>
      </c>
      <c r="B165" s="13" t="s">
        <v>1758</v>
      </c>
      <c r="C165" s="14">
        <v>45747</v>
      </c>
      <c r="D165" s="23">
        <v>82</v>
      </c>
      <c r="E165" s="15"/>
      <c r="F165" s="15"/>
      <c r="G165" s="16">
        <f>MONTH('FA Write off'!$C165)</f>
        <v>3</v>
      </c>
      <c r="H165" s="16">
        <f>MIN('FA Write off'!$C165-'FA Write off'!$J165+1,'FA Write off'!$M165*365)</f>
        <v>1095</v>
      </c>
      <c r="I165" s="17">
        <f>VLOOKUP($A165,'FA Addition'!$A:$AK,COLUMN()-6,FALSE)</f>
        <v>42585</v>
      </c>
      <c r="J165" s="17">
        <f>VLOOKUP($A165,'FA Addition'!$A:$AK,COLUMN()-6,FALSE)</f>
        <v>42585</v>
      </c>
      <c r="K165" s="18" t="str">
        <f>VLOOKUP($A165,'FA Addition'!$A:$AK,COLUMN()-6,FALSE)</f>
        <v>Router</v>
      </c>
      <c r="L165" s="19">
        <f>VLOOKUP($A165,'FA Addition'!$A:$AK,COLUMN(),FALSE)</f>
        <v>213675</v>
      </c>
      <c r="M165" s="20">
        <f>VLOOKUP($A165,'FA Addition'!$A:$AK,COLUMN()+2,FALSE)</f>
        <v>3</v>
      </c>
      <c r="N165" s="21">
        <f>VLOOKUP($A165,'FA Addition'!$A:$AK,COLUMN()+2,FALSE)</f>
        <v>0.6315939766109322</v>
      </c>
      <c r="O165" s="22">
        <f>'FA Write off'!$N165*'FA Write off'!$L165*'FA Write off'!$H165/365</f>
        <v>404867.52885702276</v>
      </c>
    </row>
    <row r="166" spans="1:15" s="4" customFormat="1" hidden="1" x14ac:dyDescent="0.4">
      <c r="A166" s="23">
        <v>164</v>
      </c>
      <c r="B166" s="13" t="s">
        <v>1758</v>
      </c>
      <c r="C166" s="14">
        <v>45747</v>
      </c>
      <c r="D166" s="23">
        <v>39</v>
      </c>
      <c r="E166" s="15"/>
      <c r="F166" s="15"/>
      <c r="G166" s="16">
        <f>MONTH('FA Write off'!$C166)</f>
        <v>3</v>
      </c>
      <c r="H166" s="16">
        <f>MIN('FA Write off'!$C166-'FA Write off'!$J166+1,'FA Write off'!$M166*365)</f>
        <v>1095</v>
      </c>
      <c r="I166" s="17">
        <f>VLOOKUP($A166,'FA Addition'!$A:$AK,COLUMN()-6,FALSE)</f>
        <v>42627</v>
      </c>
      <c r="J166" s="17">
        <f>VLOOKUP($A166,'FA Addition'!$A:$AK,COLUMN()-6,FALSE)</f>
        <v>42627</v>
      </c>
      <c r="K166" s="18" t="str">
        <f>VLOOKUP($A166,'FA Addition'!$A:$AK,COLUMN()-6,FALSE)</f>
        <v>Router</v>
      </c>
      <c r="L166" s="19">
        <f>VLOOKUP($A166,'FA Addition'!$A:$AK,COLUMN(),FALSE)</f>
        <v>200340</v>
      </c>
      <c r="M166" s="20">
        <f>VLOOKUP($A166,'FA Addition'!$A:$AK,COLUMN()+2,FALSE)</f>
        <v>3</v>
      </c>
      <c r="N166" s="21">
        <f>VLOOKUP($A166,'FA Addition'!$A:$AK,COLUMN()+2,FALSE)</f>
        <v>0.63159685013596123</v>
      </c>
      <c r="O166" s="22">
        <f>'FA Write off'!$N166*'FA Write off'!$L166*'FA Write off'!$H166/365</f>
        <v>379602.33886871539</v>
      </c>
    </row>
    <row r="167" spans="1:15" s="4" customFormat="1" hidden="1" x14ac:dyDescent="0.4">
      <c r="A167" s="23">
        <v>447</v>
      </c>
      <c r="B167" s="13" t="s">
        <v>1758</v>
      </c>
      <c r="C167" s="14">
        <v>45747</v>
      </c>
      <c r="D167" s="23">
        <v>18</v>
      </c>
      <c r="E167" s="15"/>
      <c r="F167" s="15"/>
      <c r="G167" s="16">
        <f>MONTH('FA Write off'!$C167)</f>
        <v>3</v>
      </c>
      <c r="H167" s="16">
        <f>MIN('FA Write off'!$C167-'FA Write off'!$J167+1,'FA Write off'!$M167*365)</f>
        <v>1095</v>
      </c>
      <c r="I167" s="17">
        <f>VLOOKUP($A167,'FA Addition'!$A:$AK,COLUMN()-6,FALSE)</f>
        <v>44652</v>
      </c>
      <c r="J167" s="17">
        <f>VLOOKUP($A167,'FA Addition'!$A:$AK,COLUMN()-6,FALSE)</f>
        <v>44652</v>
      </c>
      <c r="K167" s="18" t="str">
        <f>VLOOKUP($A167,'FA Addition'!$A:$AK,COLUMN()-6,FALSE)</f>
        <v>Router</v>
      </c>
      <c r="L167" s="19">
        <f>VLOOKUP($A167,'FA Addition'!$A:$AK,COLUMN(),FALSE)</f>
        <v>84000</v>
      </c>
      <c r="M167" s="20">
        <f>VLOOKUP($A167,'FA Addition'!$A:$AK,COLUMN()+2,FALSE)</f>
        <v>3</v>
      </c>
      <c r="N167" s="21">
        <f>VLOOKUP($A167,'FA Addition'!$A:$AK,COLUMN()+2,FALSE)</f>
        <v>0.63159685013596123</v>
      </c>
      <c r="O167" s="22">
        <f>'FA Write off'!$N167*'FA Write off'!$L167*'FA Write off'!$H167/365</f>
        <v>159162.40623426222</v>
      </c>
    </row>
    <row r="168" spans="1:15" s="4" customFormat="1" hidden="1" x14ac:dyDescent="0.4">
      <c r="A168" s="23">
        <v>449</v>
      </c>
      <c r="B168" s="13" t="s">
        <v>1758</v>
      </c>
      <c r="C168" s="14">
        <v>45747</v>
      </c>
      <c r="D168" s="23">
        <v>10</v>
      </c>
      <c r="E168" s="15"/>
      <c r="F168" s="15"/>
      <c r="G168" s="16">
        <f>MONTH('FA Write off'!$C168)</f>
        <v>3</v>
      </c>
      <c r="H168" s="16">
        <f>MIN('FA Write off'!$C168-'FA Write off'!$J168+1,'FA Write off'!$M168*365)</f>
        <v>1095</v>
      </c>
      <c r="I168" s="17">
        <f>VLOOKUP($A168,'FA Addition'!$A:$AK,COLUMN()-6,FALSE)</f>
        <v>44652</v>
      </c>
      <c r="J168" s="17">
        <f>VLOOKUP($A168,'FA Addition'!$A:$AK,COLUMN()-6,FALSE)</f>
        <v>44652</v>
      </c>
      <c r="K168" s="18" t="str">
        <f>VLOOKUP($A168,'FA Addition'!$A:$AK,COLUMN()-6,FALSE)</f>
        <v>Router</v>
      </c>
      <c r="L168" s="19">
        <f>VLOOKUP($A168,'FA Addition'!$A:$AK,COLUMN(),FALSE)</f>
        <v>1050000</v>
      </c>
      <c r="M168" s="20">
        <f>VLOOKUP($A168,'FA Addition'!$A:$AK,COLUMN()+2,FALSE)</f>
        <v>3</v>
      </c>
      <c r="N168" s="21">
        <f>VLOOKUP($A168,'FA Addition'!$A:$AK,COLUMN()+2,FALSE)</f>
        <v>0.63159685013596123</v>
      </c>
      <c r="O168" s="22">
        <f>'FA Write off'!$N168*'FA Write off'!$L168*'FA Write off'!$H168/365</f>
        <v>1989530.0779282779</v>
      </c>
    </row>
    <row r="169" spans="1:15" s="4" customFormat="1" hidden="1" x14ac:dyDescent="0.4">
      <c r="A169" s="23">
        <v>450</v>
      </c>
      <c r="B169" s="13" t="s">
        <v>1758</v>
      </c>
      <c r="C169" s="14">
        <v>45747</v>
      </c>
      <c r="D169" s="23">
        <v>231</v>
      </c>
      <c r="E169" s="15"/>
      <c r="F169" s="15"/>
      <c r="G169" s="16">
        <f>MONTH('FA Write off'!$C169)</f>
        <v>3</v>
      </c>
      <c r="H169" s="16">
        <f>MIN('FA Write off'!$C169-'FA Write off'!$J169+1,'FA Write off'!$M169*365)</f>
        <v>1095</v>
      </c>
      <c r="I169" s="17">
        <f>VLOOKUP($A169,'FA Addition'!$A:$AK,COLUMN()-6,FALSE)</f>
        <v>44652</v>
      </c>
      <c r="J169" s="17">
        <f>VLOOKUP($A169,'FA Addition'!$A:$AK,COLUMN()-6,FALSE)</f>
        <v>44652</v>
      </c>
      <c r="K169" s="18" t="str">
        <f>VLOOKUP($A169,'FA Addition'!$A:$AK,COLUMN()-6,FALSE)</f>
        <v>Router</v>
      </c>
      <c r="L169" s="19">
        <f>VLOOKUP($A169,'FA Addition'!$A:$AK,COLUMN(),FALSE)</f>
        <v>2100000</v>
      </c>
      <c r="M169" s="20">
        <f>VLOOKUP($A169,'FA Addition'!$A:$AK,COLUMN()+2,FALSE)</f>
        <v>3</v>
      </c>
      <c r="N169" s="21">
        <f>VLOOKUP($A169,'FA Addition'!$A:$AK,COLUMN()+2,FALSE)</f>
        <v>0.63159685013596123</v>
      </c>
      <c r="O169" s="22">
        <f>'FA Write off'!$N169*'FA Write off'!$L169*'FA Write off'!$H169/365</f>
        <v>3979060.1558565558</v>
      </c>
    </row>
    <row r="170" spans="1:15" s="4" customFormat="1" hidden="1" x14ac:dyDescent="0.4">
      <c r="A170" s="23">
        <v>452</v>
      </c>
      <c r="B170" s="13" t="s">
        <v>1758</v>
      </c>
      <c r="C170" s="14">
        <v>45747</v>
      </c>
      <c r="D170" s="23">
        <v>187</v>
      </c>
      <c r="E170" s="15"/>
      <c r="F170" s="15"/>
      <c r="G170" s="16">
        <f>MONTH('FA Write off'!$C170)</f>
        <v>3</v>
      </c>
      <c r="H170" s="16">
        <f>MIN('FA Write off'!$C170-'FA Write off'!$J170+1,'FA Write off'!$M170*365)</f>
        <v>1095</v>
      </c>
      <c r="I170" s="17">
        <f>VLOOKUP($A170,'FA Addition'!$A:$AK,COLUMN()-6,FALSE)</f>
        <v>44652</v>
      </c>
      <c r="J170" s="17">
        <f>VLOOKUP($A170,'FA Addition'!$A:$AK,COLUMN()-6,FALSE)</f>
        <v>44652</v>
      </c>
      <c r="K170" s="18" t="str">
        <f>VLOOKUP($A170,'FA Addition'!$A:$AK,COLUMN()-6,FALSE)</f>
        <v>Router</v>
      </c>
      <c r="L170" s="19">
        <f>VLOOKUP($A170,'FA Addition'!$A:$AK,COLUMN(),FALSE)</f>
        <v>1575000</v>
      </c>
      <c r="M170" s="20">
        <f>VLOOKUP($A170,'FA Addition'!$A:$AK,COLUMN()+2,FALSE)</f>
        <v>3</v>
      </c>
      <c r="N170" s="21">
        <f>VLOOKUP($A170,'FA Addition'!$A:$AK,COLUMN()+2,FALSE)</f>
        <v>0.63159685013596123</v>
      </c>
      <c r="O170" s="22">
        <f>'FA Write off'!$N170*'FA Write off'!$L170*'FA Write off'!$H170/365</f>
        <v>2984295.116892417</v>
      </c>
    </row>
    <row r="171" spans="1:15" s="4" customFormat="1" x14ac:dyDescent="0.4">
      <c r="A171" s="23">
        <v>459</v>
      </c>
      <c r="B171" s="13" t="s">
        <v>1758</v>
      </c>
      <c r="C171" s="14">
        <v>45747</v>
      </c>
      <c r="D171" s="23">
        <v>267</v>
      </c>
      <c r="E171" s="15"/>
      <c r="F171" s="15"/>
      <c r="G171" s="16">
        <f>MONTH('FA Write off'!$C171)</f>
        <v>3</v>
      </c>
      <c r="H171" s="16">
        <f>MIN('FA Write off'!$C171-'FA Write off'!$J171+1,'FA Write off'!$M171*365)</f>
        <v>1079</v>
      </c>
      <c r="I171" s="17">
        <f>VLOOKUP($A171,'FA Addition'!$A:$AK,COLUMN()-6,FALSE)</f>
        <v>44669</v>
      </c>
      <c r="J171" s="17">
        <f>VLOOKUP($A171,'FA Addition'!$A:$AK,COLUMN()-6,FALSE)</f>
        <v>44669</v>
      </c>
      <c r="K171" s="18" t="str">
        <f>VLOOKUP($A171,'FA Addition'!$A:$AK,COLUMN()-6,FALSE)</f>
        <v>Router</v>
      </c>
      <c r="L171" s="19">
        <f>VLOOKUP($A171,'FA Addition'!$A:$AK,COLUMN(),FALSE)</f>
        <v>2100000</v>
      </c>
      <c r="M171" s="20">
        <f>VLOOKUP($A171,'FA Addition'!$A:$AK,COLUMN()+2,FALSE)</f>
        <v>3</v>
      </c>
      <c r="N171" s="21">
        <f>VLOOKUP($A171,'FA Addition'!$A:$AK,COLUMN()+2,FALSE)</f>
        <v>0.63159685013596123</v>
      </c>
      <c r="O171" s="22">
        <f>'FA Write off'!$N171*'FA Write off'!$L171*'FA Write off'!$H171/365</f>
        <v>3920918.637597465</v>
      </c>
    </row>
    <row r="172" spans="1:15" s="4" customFormat="1" hidden="1" x14ac:dyDescent="0.4">
      <c r="A172" s="23">
        <v>469</v>
      </c>
      <c r="B172" s="13" t="s">
        <v>1758</v>
      </c>
      <c r="C172" s="14">
        <v>45747</v>
      </c>
      <c r="D172" s="23">
        <v>91</v>
      </c>
      <c r="E172" s="15"/>
      <c r="F172" s="15"/>
      <c r="G172" s="16">
        <f>MONTH('FA Write off'!$C172)</f>
        <v>3</v>
      </c>
      <c r="H172" s="16">
        <f>MIN('FA Write off'!$C172-'FA Write off'!$J172+1,'FA Write off'!$M172*365)</f>
        <v>1043</v>
      </c>
      <c r="I172" s="17">
        <f>VLOOKUP($A172,'FA Addition'!$A:$AK,COLUMN()-6,FALSE)</f>
        <v>44705</v>
      </c>
      <c r="J172" s="17">
        <f>VLOOKUP($A172,'FA Addition'!$A:$AK,COLUMN()-6,FALSE)</f>
        <v>44705</v>
      </c>
      <c r="K172" s="18" t="str">
        <f>VLOOKUP($A172,'FA Addition'!$A:$AK,COLUMN()-6,FALSE)</f>
        <v>Router</v>
      </c>
      <c r="L172" s="19">
        <f>VLOOKUP($A172,'FA Addition'!$A:$AK,COLUMN(),FALSE)</f>
        <v>1050000</v>
      </c>
      <c r="M172" s="20">
        <f>VLOOKUP($A172,'FA Addition'!$A:$AK,COLUMN()+2,FALSE)</f>
        <v>3</v>
      </c>
      <c r="N172" s="21">
        <f>VLOOKUP($A172,'FA Addition'!$A:$AK,COLUMN()+2,FALSE)</f>
        <v>0.63159685013596123</v>
      </c>
      <c r="O172" s="22">
        <f>'FA Write off'!$N172*'FA Write off'!$L172*'FA Write off'!$H172/365</f>
        <v>1895050.1107572545</v>
      </c>
    </row>
    <row r="173" spans="1:15" s="4" customFormat="1" hidden="1" x14ac:dyDescent="0.4">
      <c r="A173" s="23">
        <v>477</v>
      </c>
      <c r="B173" s="13" t="s">
        <v>1758</v>
      </c>
      <c r="C173" s="14">
        <v>45747</v>
      </c>
      <c r="D173" s="23">
        <v>11</v>
      </c>
      <c r="E173" s="15"/>
      <c r="F173" s="15"/>
      <c r="G173" s="16">
        <f>MONTH('FA Write off'!$C173)</f>
        <v>3</v>
      </c>
      <c r="H173" s="16">
        <f>MIN('FA Write off'!$C173-'FA Write off'!$J173+1,'FA Write off'!$M173*365)</f>
        <v>1034</v>
      </c>
      <c r="I173" s="17">
        <f>VLOOKUP($A173,'FA Addition'!$A:$AK,COLUMN()-6,FALSE)</f>
        <v>44714</v>
      </c>
      <c r="J173" s="17">
        <f>VLOOKUP($A173,'FA Addition'!$A:$AK,COLUMN()-6,FALSE)</f>
        <v>44714</v>
      </c>
      <c r="K173" s="18" t="str">
        <f>VLOOKUP($A173,'FA Addition'!$A:$AK,COLUMN()-6,FALSE)</f>
        <v>Router</v>
      </c>
      <c r="L173" s="19">
        <f>VLOOKUP($A173,'FA Addition'!$A:$AK,COLUMN(),FALSE)</f>
        <v>525000</v>
      </c>
      <c r="M173" s="20">
        <f>VLOOKUP($A173,'FA Addition'!$A:$AK,COLUMN()+2,FALSE)</f>
        <v>3</v>
      </c>
      <c r="N173" s="21">
        <f>VLOOKUP($A173,'FA Addition'!$A:$AK,COLUMN()+2,FALSE)</f>
        <v>0.63159685013596123</v>
      </c>
      <c r="O173" s="22">
        <f>'FA Write off'!$N173*'FA Write off'!$L173*'FA Write off'!$H173/365</f>
        <v>939348.90437344264</v>
      </c>
    </row>
    <row r="174" spans="1:15" s="4" customFormat="1" hidden="1" x14ac:dyDescent="0.4">
      <c r="A174" s="23">
        <v>478</v>
      </c>
      <c r="B174" s="13" t="s">
        <v>1758</v>
      </c>
      <c r="C174" s="14">
        <v>45747</v>
      </c>
      <c r="D174" s="23">
        <v>47</v>
      </c>
      <c r="E174" s="15"/>
      <c r="F174" s="15"/>
      <c r="G174" s="16">
        <f>MONTH('FA Write off'!$C174)</f>
        <v>3</v>
      </c>
      <c r="H174" s="16">
        <f>MIN('FA Write off'!$C174-'FA Write off'!$J174+1,'FA Write off'!$M174*365)</f>
        <v>1030</v>
      </c>
      <c r="I174" s="17">
        <f>VLOOKUP($A174,'FA Addition'!$A:$AK,COLUMN()-6,FALSE)</f>
        <v>44718</v>
      </c>
      <c r="J174" s="17">
        <f>VLOOKUP($A174,'FA Addition'!$A:$AK,COLUMN()-6,FALSE)</f>
        <v>44718</v>
      </c>
      <c r="K174" s="18" t="str">
        <f>VLOOKUP($A174,'FA Addition'!$A:$AK,COLUMN()-6,FALSE)</f>
        <v>Router</v>
      </c>
      <c r="L174" s="19">
        <f>VLOOKUP($A174,'FA Addition'!$A:$AK,COLUMN(),FALSE)</f>
        <v>1100000</v>
      </c>
      <c r="M174" s="20">
        <f>VLOOKUP($A174,'FA Addition'!$A:$AK,COLUMN()+2,FALSE)</f>
        <v>3</v>
      </c>
      <c r="N174" s="21">
        <f>VLOOKUP($A174,'FA Addition'!$A:$AK,COLUMN()+2,FALSE)</f>
        <v>0.63159685013596123</v>
      </c>
      <c r="O174" s="22">
        <f>'FA Write off'!$N174*'FA Write off'!$L174*'FA Write off'!$H174/365</f>
        <v>1960545.8389151893</v>
      </c>
    </row>
    <row r="175" spans="1:15" s="4" customFormat="1" hidden="1" x14ac:dyDescent="0.4">
      <c r="A175" s="23">
        <v>479</v>
      </c>
      <c r="B175" s="13" t="s">
        <v>1758</v>
      </c>
      <c r="C175" s="14">
        <v>45747</v>
      </c>
      <c r="D175" s="23">
        <v>92</v>
      </c>
      <c r="E175" s="15"/>
      <c r="F175" s="15"/>
      <c r="G175" s="16">
        <f>MONTH('FA Write off'!$C175)</f>
        <v>3</v>
      </c>
      <c r="H175" s="16">
        <f>MIN('FA Write off'!$C175-'FA Write off'!$J175+1,'FA Write off'!$M175*365)</f>
        <v>1027</v>
      </c>
      <c r="I175" s="17">
        <f>VLOOKUP($A175,'FA Addition'!$A:$AK,COLUMN()-6,FALSE)</f>
        <v>44721</v>
      </c>
      <c r="J175" s="17">
        <f>VLOOKUP($A175,'FA Addition'!$A:$AK,COLUMN()-6,FALSE)</f>
        <v>44721</v>
      </c>
      <c r="K175" s="18" t="str">
        <f>VLOOKUP($A175,'FA Addition'!$A:$AK,COLUMN()-6,FALSE)</f>
        <v>Router</v>
      </c>
      <c r="L175" s="19">
        <f>VLOOKUP($A175,'FA Addition'!$A:$AK,COLUMN(),FALSE)</f>
        <v>1100000</v>
      </c>
      <c r="M175" s="20">
        <f>VLOOKUP($A175,'FA Addition'!$A:$AK,COLUMN()+2,FALSE)</f>
        <v>3</v>
      </c>
      <c r="N175" s="21">
        <f>VLOOKUP($A175,'FA Addition'!$A:$AK,COLUMN()+2,FALSE)</f>
        <v>0.63159685013596123</v>
      </c>
      <c r="O175" s="22">
        <f>'FA Write off'!$N175*'FA Write off'!$L175*'FA Write off'!$H175/365</f>
        <v>1954835.5112290287</v>
      </c>
    </row>
    <row r="176" spans="1:15" s="4" customFormat="1" hidden="1" x14ac:dyDescent="0.4">
      <c r="A176" s="23">
        <v>482</v>
      </c>
      <c r="B176" s="13" t="s">
        <v>1758</v>
      </c>
      <c r="C176" s="14">
        <v>45747</v>
      </c>
      <c r="D176" s="23">
        <v>142</v>
      </c>
      <c r="E176" s="15"/>
      <c r="F176" s="15"/>
      <c r="G176" s="16">
        <f>MONTH('FA Write off'!$C176)</f>
        <v>3</v>
      </c>
      <c r="H176" s="16">
        <f>MIN('FA Write off'!$C176-'FA Write off'!$J176+1,'FA Write off'!$M176*365)</f>
        <v>1018</v>
      </c>
      <c r="I176" s="17">
        <f>VLOOKUP($A176,'FA Addition'!$A:$AK,COLUMN()-6,FALSE)</f>
        <v>44730</v>
      </c>
      <c r="J176" s="17">
        <f>VLOOKUP($A176,'FA Addition'!$A:$AK,COLUMN()-6,FALSE)</f>
        <v>44730</v>
      </c>
      <c r="K176" s="18" t="str">
        <f>VLOOKUP($A176,'FA Addition'!$A:$AK,COLUMN()-6,FALSE)</f>
        <v>Router</v>
      </c>
      <c r="L176" s="19">
        <f>VLOOKUP($A176,'FA Addition'!$A:$AK,COLUMN(),FALSE)</f>
        <v>1100000</v>
      </c>
      <c r="M176" s="20">
        <f>VLOOKUP($A176,'FA Addition'!$A:$AK,COLUMN()+2,FALSE)</f>
        <v>3</v>
      </c>
      <c r="N176" s="21">
        <f>VLOOKUP($A176,'FA Addition'!$A:$AK,COLUMN()+2,FALSE)</f>
        <v>0.63159685013596123</v>
      </c>
      <c r="O176" s="22">
        <f>'FA Write off'!$N176*'FA Write off'!$L176*'FA Write off'!$H176/365</f>
        <v>1937704.5281705465</v>
      </c>
    </row>
    <row r="177" spans="1:15" s="4" customFormat="1" hidden="1" x14ac:dyDescent="0.4">
      <c r="A177" s="23">
        <v>485</v>
      </c>
      <c r="B177" s="13" t="s">
        <v>1758</v>
      </c>
      <c r="C177" s="14">
        <v>45747</v>
      </c>
      <c r="D177" s="23">
        <v>178</v>
      </c>
      <c r="E177" s="15"/>
      <c r="F177" s="15"/>
      <c r="G177" s="16">
        <f>MONTH('FA Write off'!$C177)</f>
        <v>3</v>
      </c>
      <c r="H177" s="16">
        <f>MIN('FA Write off'!$C177-'FA Write off'!$J177+1,'FA Write off'!$M177*365)</f>
        <v>1013</v>
      </c>
      <c r="I177" s="17">
        <f>VLOOKUP($A177,'FA Addition'!$A:$AK,COLUMN()-6,FALSE)</f>
        <v>44735</v>
      </c>
      <c r="J177" s="17">
        <f>VLOOKUP($A177,'FA Addition'!$A:$AK,COLUMN()-6,FALSE)</f>
        <v>44735</v>
      </c>
      <c r="K177" s="18" t="str">
        <f>VLOOKUP($A177,'FA Addition'!$A:$AK,COLUMN()-6,FALSE)</f>
        <v>Router</v>
      </c>
      <c r="L177" s="19">
        <f>VLOOKUP($A177,'FA Addition'!$A:$AK,COLUMN(),FALSE)</f>
        <v>1430000</v>
      </c>
      <c r="M177" s="20">
        <f>VLOOKUP($A177,'FA Addition'!$A:$AK,COLUMN()+2,FALSE)</f>
        <v>3</v>
      </c>
      <c r="N177" s="21">
        <f>VLOOKUP($A177,'FA Addition'!$A:$AK,COLUMN()+2,FALSE)</f>
        <v>0.63159685013596123</v>
      </c>
      <c r="O177" s="22">
        <f>'FA Write off'!$N177*'FA Write off'!$L177*'FA Write off'!$H177/365</f>
        <v>2506643.5099683623</v>
      </c>
    </row>
    <row r="178" spans="1:15" s="4" customFormat="1" hidden="1" x14ac:dyDescent="0.4">
      <c r="A178" s="23">
        <v>510</v>
      </c>
      <c r="B178" s="13" t="s">
        <v>1758</v>
      </c>
      <c r="C178" s="14">
        <v>45747</v>
      </c>
      <c r="D178" s="23">
        <v>159</v>
      </c>
      <c r="E178" s="15"/>
      <c r="F178" s="15"/>
      <c r="G178" s="16">
        <f>MONTH('FA Write off'!$C178)</f>
        <v>3</v>
      </c>
      <c r="H178" s="16">
        <f>MIN('FA Write off'!$C178-'FA Write off'!$J178+1,'FA Write off'!$M178*365)</f>
        <v>973</v>
      </c>
      <c r="I178" s="17">
        <f>VLOOKUP($A178,'FA Addition'!$A:$AK,COLUMN()-6,FALSE)</f>
        <v>44775</v>
      </c>
      <c r="J178" s="17">
        <f>VLOOKUP($A178,'FA Addition'!$A:$AK,COLUMN()-6,FALSE)</f>
        <v>44775</v>
      </c>
      <c r="K178" s="18" t="str">
        <f>VLOOKUP($A178,'FA Addition'!$A:$AK,COLUMN()-6,FALSE)</f>
        <v>Router</v>
      </c>
      <c r="L178" s="19">
        <f>VLOOKUP($A178,'FA Addition'!$A:$AK,COLUMN(),FALSE)</f>
        <v>1430000</v>
      </c>
      <c r="M178" s="20">
        <f>VLOOKUP($A178,'FA Addition'!$A:$AK,COLUMN()+2,FALSE)</f>
        <v>3</v>
      </c>
      <c r="N178" s="21">
        <f>VLOOKUP($A178,'FA Addition'!$A:$AK,COLUMN()+2,FALSE)</f>
        <v>0.63159685013596123</v>
      </c>
      <c r="O178" s="22">
        <f>'FA Write off'!$N178*'FA Write off'!$L178*'FA Write off'!$H178/365</f>
        <v>2407664.4967415757</v>
      </c>
    </row>
    <row r="179" spans="1:15" s="4" customFormat="1" hidden="1" x14ac:dyDescent="0.4">
      <c r="A179" s="23">
        <v>526</v>
      </c>
      <c r="B179" s="13" t="s">
        <v>1758</v>
      </c>
      <c r="C179" s="14">
        <v>45747</v>
      </c>
      <c r="D179" s="23">
        <v>2</v>
      </c>
      <c r="E179" s="15"/>
      <c r="F179" s="15"/>
      <c r="G179" s="16">
        <f>MONTH('FA Write off'!$C179)</f>
        <v>3</v>
      </c>
      <c r="H179" s="16">
        <f>MIN('FA Write off'!$C179-'FA Write off'!$J179+1,'FA Write off'!$M179*365)</f>
        <v>923</v>
      </c>
      <c r="I179" s="17">
        <f>VLOOKUP($A179,'FA Addition'!$A:$AK,COLUMN()-6,FALSE)</f>
        <v>44825</v>
      </c>
      <c r="J179" s="17">
        <f>VLOOKUP($A179,'FA Addition'!$A:$AK,COLUMN()-6,FALSE)</f>
        <v>44825</v>
      </c>
      <c r="K179" s="18" t="str">
        <f>VLOOKUP($A179,'FA Addition'!$A:$AK,COLUMN()-6,FALSE)</f>
        <v>Router</v>
      </c>
      <c r="L179" s="19">
        <f>VLOOKUP($A179,'FA Addition'!$A:$AK,COLUMN(),FALSE)</f>
        <v>110000</v>
      </c>
      <c r="M179" s="20">
        <f>VLOOKUP($A179,'FA Addition'!$A:$AK,COLUMN()+2,FALSE)</f>
        <v>3</v>
      </c>
      <c r="N179" s="21">
        <f>VLOOKUP($A179,'FA Addition'!$A:$AK,COLUMN()+2,FALSE)</f>
        <v>0.63159685013596123</v>
      </c>
      <c r="O179" s="22">
        <f>'FA Write off'!$N179*'FA Write off'!$L179*'FA Write off'!$H179/365</f>
        <v>175687.7484775456</v>
      </c>
    </row>
    <row r="180" spans="1:15" s="4" customFormat="1" hidden="1" x14ac:dyDescent="0.4">
      <c r="A180" s="23">
        <v>528</v>
      </c>
      <c r="B180" s="13" t="s">
        <v>1758</v>
      </c>
      <c r="C180" s="14">
        <v>45747</v>
      </c>
      <c r="D180" s="23">
        <v>119</v>
      </c>
      <c r="E180" s="15"/>
      <c r="F180" s="15"/>
      <c r="G180" s="16">
        <f>MONTH('FA Write off'!$C180)</f>
        <v>3</v>
      </c>
      <c r="H180" s="16">
        <f>MIN('FA Write off'!$C180-'FA Write off'!$J180+1,'FA Write off'!$M180*365)</f>
        <v>918</v>
      </c>
      <c r="I180" s="17">
        <f>VLOOKUP($A180,'FA Addition'!$A:$AK,COLUMN()-6,FALSE)</f>
        <v>44830</v>
      </c>
      <c r="J180" s="17">
        <f>VLOOKUP($A180,'FA Addition'!$A:$AK,COLUMN()-6,FALSE)</f>
        <v>44830</v>
      </c>
      <c r="K180" s="18" t="str">
        <f>VLOOKUP($A180,'FA Addition'!$A:$AK,COLUMN()-6,FALSE)</f>
        <v>Router</v>
      </c>
      <c r="L180" s="19">
        <f>VLOOKUP($A180,'FA Addition'!$A:$AK,COLUMN(),FALSE)</f>
        <v>1100000</v>
      </c>
      <c r="M180" s="20">
        <f>VLOOKUP($A180,'FA Addition'!$A:$AK,COLUMN()+2,FALSE)</f>
        <v>3</v>
      </c>
      <c r="N180" s="21">
        <f>VLOOKUP($A180,'FA Addition'!$A:$AK,COLUMN()+2,FALSE)</f>
        <v>0.63159685013596123</v>
      </c>
      <c r="O180" s="22">
        <f>'FA Write off'!$N180*'FA Write off'!$L180*'FA Write off'!$H180/365</f>
        <v>1747360.2719651882</v>
      </c>
    </row>
    <row r="181" spans="1:15" s="4" customFormat="1" hidden="1" x14ac:dyDescent="0.4">
      <c r="A181" s="23">
        <v>534</v>
      </c>
      <c r="B181" s="13" t="s">
        <v>1758</v>
      </c>
      <c r="C181" s="14">
        <v>45747</v>
      </c>
      <c r="D181" s="23">
        <v>190</v>
      </c>
      <c r="E181" s="15"/>
      <c r="F181" s="15"/>
      <c r="G181" s="16">
        <f>MONTH('FA Write off'!$C181)</f>
        <v>3</v>
      </c>
      <c r="H181" s="16">
        <f>MIN('FA Write off'!$C181-'FA Write off'!$J181+1,'FA Write off'!$M181*365)</f>
        <v>914</v>
      </c>
      <c r="I181" s="17">
        <f>VLOOKUP($A181,'FA Addition'!$A:$AK,COLUMN()-6,FALSE)</f>
        <v>44834</v>
      </c>
      <c r="J181" s="17">
        <f>VLOOKUP($A181,'FA Addition'!$A:$AK,COLUMN()-6,FALSE)</f>
        <v>44834</v>
      </c>
      <c r="K181" s="18" t="str">
        <f>VLOOKUP($A181,'FA Addition'!$A:$AK,COLUMN()-6,FALSE)</f>
        <v>Router</v>
      </c>
      <c r="L181" s="19">
        <f>VLOOKUP($A181,'FA Addition'!$A:$AK,COLUMN(),FALSE)</f>
        <v>1650000</v>
      </c>
      <c r="M181" s="20">
        <f>VLOOKUP($A181,'FA Addition'!$A:$AK,COLUMN()+2,FALSE)</f>
        <v>3</v>
      </c>
      <c r="N181" s="21">
        <f>VLOOKUP($A181,'FA Addition'!$A:$AK,COLUMN()+2,FALSE)</f>
        <v>0.63159685013596123</v>
      </c>
      <c r="O181" s="22">
        <f>'FA Write off'!$N181*'FA Write off'!$L181*'FA Write off'!$H181/365</f>
        <v>2609619.7525754604</v>
      </c>
    </row>
    <row r="182" spans="1:15" s="4" customFormat="1" hidden="1" x14ac:dyDescent="0.4">
      <c r="A182" s="23">
        <v>544</v>
      </c>
      <c r="B182" s="13" t="s">
        <v>1758</v>
      </c>
      <c r="C182" s="14">
        <v>45747</v>
      </c>
      <c r="D182" s="23">
        <v>513.16666666666663</v>
      </c>
      <c r="E182" s="15"/>
      <c r="F182" s="15"/>
      <c r="G182" s="16">
        <f>MONTH('FA Write off'!$C182)</f>
        <v>3</v>
      </c>
      <c r="H182" s="16">
        <f>MIN('FA Write off'!$C182-'FA Write off'!$J182+1,'FA Write off'!$M182*365)</f>
        <v>903</v>
      </c>
      <c r="I182" s="17">
        <f>VLOOKUP($A182,'FA Addition'!$A:$AK,COLUMN()-6,FALSE)</f>
        <v>44845</v>
      </c>
      <c r="J182" s="17">
        <f>VLOOKUP($A182,'FA Addition'!$A:$AK,COLUMN()-6,FALSE)</f>
        <v>44845</v>
      </c>
      <c r="K182" s="18" t="str">
        <f>VLOOKUP($A182,'FA Addition'!$A:$AK,COLUMN()-6,FALSE)</f>
        <v xml:space="preserve">ONU-Optical Network Unit </v>
      </c>
      <c r="L182" s="19">
        <f>VLOOKUP($A182,'FA Addition'!$A:$AK,COLUMN(),FALSE)</f>
        <v>972000</v>
      </c>
      <c r="M182" s="20">
        <f>VLOOKUP($A182,'FA Addition'!$A:$AK,COLUMN()+2,FALSE)</f>
        <v>3</v>
      </c>
      <c r="N182" s="21">
        <f>VLOOKUP($A182,'FA Addition'!$A:$AK,COLUMN()+2,FALSE)</f>
        <v>0.33333333333333331</v>
      </c>
      <c r="O182" s="22">
        <f>'FA Write off'!$N182*'FA Write off'!$L182*'FA Write off'!$H182/365</f>
        <v>801567.12328767125</v>
      </c>
    </row>
    <row r="183" spans="1:15" s="4" customFormat="1" hidden="1" x14ac:dyDescent="0.4">
      <c r="A183" s="23">
        <v>549</v>
      </c>
      <c r="B183" s="13" t="s">
        <v>1758</v>
      </c>
      <c r="C183" s="14">
        <v>45747</v>
      </c>
      <c r="D183" s="23">
        <v>269</v>
      </c>
      <c r="E183" s="15"/>
      <c r="F183" s="15"/>
      <c r="G183" s="16">
        <f>MONTH('FA Write off'!$C183)</f>
        <v>3</v>
      </c>
      <c r="H183" s="16">
        <f>MIN('FA Write off'!$C183-'FA Write off'!$J183+1,'FA Write off'!$M183*365)</f>
        <v>896</v>
      </c>
      <c r="I183" s="17">
        <f>VLOOKUP($A183,'FA Addition'!$A:$AK,COLUMN()-6,FALSE)</f>
        <v>44852</v>
      </c>
      <c r="J183" s="17">
        <f>VLOOKUP($A183,'FA Addition'!$A:$AK,COLUMN()-6,FALSE)</f>
        <v>44852</v>
      </c>
      <c r="K183" s="18" t="str">
        <f>VLOOKUP($A183,'FA Addition'!$A:$AK,COLUMN()-6,FALSE)</f>
        <v>Router</v>
      </c>
      <c r="L183" s="19">
        <f>VLOOKUP($A183,'FA Addition'!$A:$AK,COLUMN(),FALSE)</f>
        <v>2090000</v>
      </c>
      <c r="M183" s="20">
        <f>VLOOKUP($A183,'FA Addition'!$A:$AK,COLUMN()+2,FALSE)</f>
        <v>3</v>
      </c>
      <c r="N183" s="21">
        <f>VLOOKUP($A183,'FA Addition'!$A:$AK,COLUMN()+2,FALSE)</f>
        <v>0.63159685013596123</v>
      </c>
      <c r="O183" s="22">
        <f>'FA Write off'!$N183*'FA Write off'!$L183*'FA Write off'!$H183/365</f>
        <v>3240420.6176400171</v>
      </c>
    </row>
    <row r="184" spans="1:15" s="4" customFormat="1" hidden="1" x14ac:dyDescent="0.4">
      <c r="A184" s="23">
        <v>550</v>
      </c>
      <c r="B184" s="13" t="s">
        <v>1758</v>
      </c>
      <c r="C184" s="14">
        <v>45747</v>
      </c>
      <c r="D184" s="23">
        <v>2000</v>
      </c>
      <c r="E184" s="15"/>
      <c r="F184" s="15"/>
      <c r="G184" s="16">
        <f>MONTH('FA Write off'!$C184)</f>
        <v>3</v>
      </c>
      <c r="H184" s="16">
        <f>MIN('FA Write off'!$C184-'FA Write off'!$J184+1,'FA Write off'!$M184*365)</f>
        <v>893</v>
      </c>
      <c r="I184" s="17">
        <f>VLOOKUP($A184,'FA Addition'!$A:$AK,COLUMN()-6,FALSE)</f>
        <v>44855</v>
      </c>
      <c r="J184" s="17">
        <f>VLOOKUP($A184,'FA Addition'!$A:$AK,COLUMN()-6,FALSE)</f>
        <v>44855</v>
      </c>
      <c r="K184" s="18" t="str">
        <f>VLOOKUP($A184,'FA Addition'!$A:$AK,COLUMN()-6,FALSE)</f>
        <v xml:space="preserve">ONU-Optical Network Unit </v>
      </c>
      <c r="L184" s="19">
        <f>VLOOKUP($A184,'FA Addition'!$A:$AK,COLUMN(),FALSE)</f>
        <v>1560000</v>
      </c>
      <c r="M184" s="20">
        <f>VLOOKUP($A184,'FA Addition'!$A:$AK,COLUMN()+2,FALSE)</f>
        <v>3</v>
      </c>
      <c r="N184" s="21">
        <f>VLOOKUP($A184,'FA Addition'!$A:$AK,COLUMN()+2,FALSE)</f>
        <v>0.33333333333333331</v>
      </c>
      <c r="O184" s="22">
        <f>'FA Write off'!$N184*'FA Write off'!$L184*'FA Write off'!$H184/365</f>
        <v>1272219.1780821919</v>
      </c>
    </row>
    <row r="185" spans="1:15" s="4" customFormat="1" hidden="1" x14ac:dyDescent="0.4">
      <c r="A185" s="23">
        <v>551</v>
      </c>
      <c r="B185" s="13" t="s">
        <v>1758</v>
      </c>
      <c r="C185" s="14">
        <v>45747</v>
      </c>
      <c r="D185" s="23">
        <v>3000</v>
      </c>
      <c r="E185" s="15"/>
      <c r="F185" s="15"/>
      <c r="G185" s="16">
        <f>MONTH('FA Write off'!$C185)</f>
        <v>3</v>
      </c>
      <c r="H185" s="16">
        <f>MIN('FA Write off'!$C185-'FA Write off'!$J185+1,'FA Write off'!$M185*365)</f>
        <v>883</v>
      </c>
      <c r="I185" s="17">
        <f>VLOOKUP($A185,'FA Addition'!$A:$AK,COLUMN()-6,FALSE)</f>
        <v>44865</v>
      </c>
      <c r="J185" s="17">
        <f>VLOOKUP($A185,'FA Addition'!$A:$AK,COLUMN()-6,FALSE)</f>
        <v>44865</v>
      </c>
      <c r="K185" s="18" t="str">
        <f>VLOOKUP($A185,'FA Addition'!$A:$AK,COLUMN()-6,FALSE)</f>
        <v xml:space="preserve">ONU-Optical Network Unit </v>
      </c>
      <c r="L185" s="19">
        <f>VLOOKUP($A185,'FA Addition'!$A:$AK,COLUMN(),FALSE)</f>
        <v>2340000</v>
      </c>
      <c r="M185" s="20">
        <f>VLOOKUP($A185,'FA Addition'!$A:$AK,COLUMN()+2,FALSE)</f>
        <v>3</v>
      </c>
      <c r="N185" s="21">
        <f>VLOOKUP($A185,'FA Addition'!$A:$AK,COLUMN()+2,FALSE)</f>
        <v>0.33333333333333331</v>
      </c>
      <c r="O185" s="22">
        <f>'FA Write off'!$N185*'FA Write off'!$L185*'FA Write off'!$H185/365</f>
        <v>1886958.9041095891</v>
      </c>
    </row>
    <row r="186" spans="1:15" s="4" customFormat="1" hidden="1" x14ac:dyDescent="0.4">
      <c r="A186" s="23">
        <v>563</v>
      </c>
      <c r="B186" s="13" t="s">
        <v>1758</v>
      </c>
      <c r="C186" s="14">
        <v>45747</v>
      </c>
      <c r="D186" s="23">
        <v>1</v>
      </c>
      <c r="E186" s="15"/>
      <c r="F186" s="15"/>
      <c r="G186" s="16">
        <f>MONTH('FA Write off'!$C186)</f>
        <v>3</v>
      </c>
      <c r="H186" s="16">
        <f>MIN('FA Write off'!$C186-'FA Write off'!$J186+1,'FA Write off'!$M186*365)</f>
        <v>868</v>
      </c>
      <c r="I186" s="17">
        <f>VLOOKUP($A186,'FA Addition'!$A:$AK,COLUMN()-6,FALSE)</f>
        <v>44880</v>
      </c>
      <c r="J186" s="17">
        <f>VLOOKUP($A186,'FA Addition'!$A:$AK,COLUMN()-6,FALSE)</f>
        <v>44880</v>
      </c>
      <c r="K186" s="18" t="str">
        <f>VLOOKUP($A186,'FA Addition'!$A:$AK,COLUMN()-6,FALSE)</f>
        <v xml:space="preserve">ONU-Optical Network Unit </v>
      </c>
      <c r="L186" s="19">
        <f>VLOOKUP($A186,'FA Addition'!$A:$AK,COLUMN(),FALSE)</f>
        <v>2400</v>
      </c>
      <c r="M186" s="20">
        <f>VLOOKUP($A186,'FA Addition'!$A:$AK,COLUMN()+2,FALSE)</f>
        <v>3</v>
      </c>
      <c r="N186" s="21">
        <f>VLOOKUP($A186,'FA Addition'!$A:$AK,COLUMN()+2,FALSE)</f>
        <v>0.33333333333333331</v>
      </c>
      <c r="O186" s="22">
        <f>'FA Write off'!$N186*'FA Write off'!$L186*'FA Write off'!$H186/365</f>
        <v>1902.4657534246576</v>
      </c>
    </row>
    <row r="187" spans="1:15" s="4" customFormat="1" hidden="1" x14ac:dyDescent="0.4">
      <c r="A187" s="23">
        <v>564</v>
      </c>
      <c r="B187" s="13" t="s">
        <v>1758</v>
      </c>
      <c r="C187" s="14">
        <v>45747</v>
      </c>
      <c r="D187" s="23">
        <v>140</v>
      </c>
      <c r="E187" s="15"/>
      <c r="F187" s="15"/>
      <c r="G187" s="16">
        <f>MONTH('FA Write off'!$C187)</f>
        <v>3</v>
      </c>
      <c r="H187" s="16">
        <f>MIN('FA Write off'!$C187-'FA Write off'!$J187+1,'FA Write off'!$M187*365)</f>
        <v>862</v>
      </c>
      <c r="I187" s="17">
        <f>VLOOKUP($A187,'FA Addition'!$A:$AK,COLUMN()-6,FALSE)</f>
        <v>44886</v>
      </c>
      <c r="J187" s="17">
        <f>VLOOKUP($A187,'FA Addition'!$A:$AK,COLUMN()-6,FALSE)</f>
        <v>44886</v>
      </c>
      <c r="K187" s="18" t="str">
        <f>VLOOKUP($A187,'FA Addition'!$A:$AK,COLUMN()-6,FALSE)</f>
        <v>Router</v>
      </c>
      <c r="L187" s="19">
        <f>VLOOKUP($A187,'FA Addition'!$A:$AK,COLUMN(),FALSE)</f>
        <v>1650000</v>
      </c>
      <c r="M187" s="20">
        <f>VLOOKUP($A187,'FA Addition'!$A:$AK,COLUMN()+2,FALSE)</f>
        <v>3</v>
      </c>
      <c r="N187" s="21">
        <f>VLOOKUP($A187,'FA Addition'!$A:$AK,COLUMN()+2,FALSE)</f>
        <v>0.63159685013596123</v>
      </c>
      <c r="O187" s="22">
        <f>'FA Write off'!$N187*'FA Write off'!$L187*'FA Write off'!$H187/365</f>
        <v>2461151.2327352813</v>
      </c>
    </row>
    <row r="188" spans="1:15" s="4" customFormat="1" hidden="1" x14ac:dyDescent="0.4">
      <c r="A188" s="23">
        <v>570</v>
      </c>
      <c r="B188" s="13" t="s">
        <v>1758</v>
      </c>
      <c r="C188" s="14">
        <v>45747</v>
      </c>
      <c r="D188" s="23">
        <v>147</v>
      </c>
      <c r="E188" s="15"/>
      <c r="F188" s="15"/>
      <c r="G188" s="16">
        <f>MONTH('FA Write off'!$C188)</f>
        <v>3</v>
      </c>
      <c r="H188" s="16">
        <f>MIN('FA Write off'!$C188-'FA Write off'!$J188+1,'FA Write off'!$M188*365)</f>
        <v>855</v>
      </c>
      <c r="I188" s="17">
        <f>VLOOKUP($A188,'FA Addition'!$A:$AK,COLUMN()-6,FALSE)</f>
        <v>44893</v>
      </c>
      <c r="J188" s="17">
        <f>VLOOKUP($A188,'FA Addition'!$A:$AK,COLUMN()-6,FALSE)</f>
        <v>44893</v>
      </c>
      <c r="K188" s="18" t="str">
        <f>VLOOKUP($A188,'FA Addition'!$A:$AK,COLUMN()-6,FALSE)</f>
        <v>Router</v>
      </c>
      <c r="L188" s="19">
        <f>VLOOKUP($A188,'FA Addition'!$A:$AK,COLUMN(),FALSE)</f>
        <v>1650000</v>
      </c>
      <c r="M188" s="20">
        <f>VLOOKUP($A188,'FA Addition'!$A:$AK,COLUMN()+2,FALSE)</f>
        <v>3</v>
      </c>
      <c r="N188" s="21">
        <f>VLOOKUP($A188,'FA Addition'!$A:$AK,COLUMN()+2,FALSE)</f>
        <v>0.63159685013596123</v>
      </c>
      <c r="O188" s="22">
        <f>'FA Write off'!$N188*'FA Write off'!$L188*'FA Write off'!$H188/365</f>
        <v>2441165.0858337185</v>
      </c>
    </row>
    <row r="189" spans="1:15" s="4" customFormat="1" hidden="1" x14ac:dyDescent="0.4">
      <c r="A189" s="23">
        <v>571</v>
      </c>
      <c r="B189" s="13" t="s">
        <v>1758</v>
      </c>
      <c r="C189" s="14">
        <v>45747</v>
      </c>
      <c r="D189" s="23">
        <v>127</v>
      </c>
      <c r="E189" s="15"/>
      <c r="F189" s="15"/>
      <c r="G189" s="16">
        <f>MONTH('FA Write off'!$C189)</f>
        <v>3</v>
      </c>
      <c r="H189" s="16">
        <f>MIN('FA Write off'!$C189-'FA Write off'!$J189+1,'FA Write off'!$M189*365)</f>
        <v>851</v>
      </c>
      <c r="I189" s="17">
        <f>VLOOKUP($A189,'FA Addition'!$A:$AK,COLUMN()-6,FALSE)</f>
        <v>44897</v>
      </c>
      <c r="J189" s="17">
        <f>VLOOKUP($A189,'FA Addition'!$A:$AK,COLUMN()-6,FALSE)</f>
        <v>44897</v>
      </c>
      <c r="K189" s="18" t="str">
        <f>VLOOKUP($A189,'FA Addition'!$A:$AK,COLUMN()-6,FALSE)</f>
        <v>Router</v>
      </c>
      <c r="L189" s="19">
        <f>VLOOKUP($A189,'FA Addition'!$A:$AK,COLUMN(),FALSE)</f>
        <v>2200000</v>
      </c>
      <c r="M189" s="20">
        <f>VLOOKUP($A189,'FA Addition'!$A:$AK,COLUMN()+2,FALSE)</f>
        <v>3</v>
      </c>
      <c r="N189" s="21">
        <f>VLOOKUP($A189,'FA Addition'!$A:$AK,COLUMN()+2,FALSE)</f>
        <v>0.63159685013596123</v>
      </c>
      <c r="O189" s="22">
        <f>'FA Write off'!$N189*'FA Write off'!$L189*'FA Write off'!$H189/365</f>
        <v>3239659.2406151961</v>
      </c>
    </row>
    <row r="190" spans="1:15" s="4" customFormat="1" hidden="1" x14ac:dyDescent="0.4">
      <c r="A190" s="23">
        <v>572</v>
      </c>
      <c r="B190" s="13" t="s">
        <v>1758</v>
      </c>
      <c r="C190" s="14">
        <v>45747</v>
      </c>
      <c r="D190" s="23">
        <v>42</v>
      </c>
      <c r="E190" s="15"/>
      <c r="F190" s="15"/>
      <c r="G190" s="16">
        <f>MONTH('FA Write off'!$C190)</f>
        <v>3</v>
      </c>
      <c r="H190" s="16">
        <f>MIN('FA Write off'!$C190-'FA Write off'!$J190+1,'FA Write off'!$M190*365)</f>
        <v>846</v>
      </c>
      <c r="I190" s="17">
        <f>VLOOKUP($A190,'FA Addition'!$A:$AK,COLUMN()-6,FALSE)</f>
        <v>44902</v>
      </c>
      <c r="J190" s="17">
        <f>VLOOKUP($A190,'FA Addition'!$A:$AK,COLUMN()-6,FALSE)</f>
        <v>44902</v>
      </c>
      <c r="K190" s="18" t="str">
        <f>VLOOKUP($A190,'FA Addition'!$A:$AK,COLUMN()-6,FALSE)</f>
        <v>Router</v>
      </c>
      <c r="L190" s="19">
        <f>VLOOKUP($A190,'FA Addition'!$A:$AK,COLUMN(),FALSE)</f>
        <v>1100000</v>
      </c>
      <c r="M190" s="20">
        <f>VLOOKUP($A190,'FA Addition'!$A:$AK,COLUMN()+2,FALSE)</f>
        <v>3</v>
      </c>
      <c r="N190" s="21">
        <f>VLOOKUP($A190,'FA Addition'!$A:$AK,COLUMN()+2,FALSE)</f>
        <v>0.63159685013596123</v>
      </c>
      <c r="O190" s="22">
        <f>'FA Write off'!$N190*'FA Write off'!$L190*'FA Write off'!$H190/365</f>
        <v>1610312.4074973303</v>
      </c>
    </row>
    <row r="191" spans="1:15" s="4" customFormat="1" hidden="1" x14ac:dyDescent="0.4">
      <c r="A191" s="23">
        <v>576</v>
      </c>
      <c r="B191" s="13" t="s">
        <v>1758</v>
      </c>
      <c r="C191" s="14">
        <v>45747</v>
      </c>
      <c r="D191" s="23">
        <v>274</v>
      </c>
      <c r="E191" s="15"/>
      <c r="F191" s="15"/>
      <c r="G191" s="16">
        <f>MONTH('FA Write off'!$C191)</f>
        <v>3</v>
      </c>
      <c r="H191" s="16">
        <f>MIN('FA Write off'!$C191-'FA Write off'!$J191+1,'FA Write off'!$M191*365)</f>
        <v>844</v>
      </c>
      <c r="I191" s="17">
        <f>VLOOKUP($A191,'FA Addition'!$A:$AK,COLUMN()-6,FALSE)</f>
        <v>44904</v>
      </c>
      <c r="J191" s="17">
        <f>VLOOKUP($A191,'FA Addition'!$A:$AK,COLUMN()-6,FALSE)</f>
        <v>44904</v>
      </c>
      <c r="K191" s="18" t="str">
        <f>VLOOKUP($A191,'FA Addition'!$A:$AK,COLUMN()-6,FALSE)</f>
        <v>Router</v>
      </c>
      <c r="L191" s="19">
        <f>VLOOKUP($A191,'FA Addition'!$A:$AK,COLUMN(),FALSE)</f>
        <v>1100000</v>
      </c>
      <c r="M191" s="20">
        <f>VLOOKUP($A191,'FA Addition'!$A:$AK,COLUMN()+2,FALSE)</f>
        <v>3</v>
      </c>
      <c r="N191" s="21">
        <f>VLOOKUP($A191,'FA Addition'!$A:$AK,COLUMN()+2,FALSE)</f>
        <v>0.63159685013596123</v>
      </c>
      <c r="O191" s="22">
        <f>'FA Write off'!$N191*'FA Write off'!$L191*'FA Write off'!$H191/365</f>
        <v>1606505.522373223</v>
      </c>
    </row>
    <row r="192" spans="1:15" s="4" customFormat="1" hidden="1" x14ac:dyDescent="0.4">
      <c r="A192" s="23">
        <v>584</v>
      </c>
      <c r="B192" s="13" t="s">
        <v>1758</v>
      </c>
      <c r="C192" s="14">
        <v>45747</v>
      </c>
      <c r="D192" s="23">
        <v>420</v>
      </c>
      <c r="E192" s="15"/>
      <c r="F192" s="15"/>
      <c r="G192" s="16">
        <f>MONTH('FA Write off'!$C192)</f>
        <v>3</v>
      </c>
      <c r="H192" s="16">
        <f>MIN('FA Write off'!$C192-'FA Write off'!$J192+1,'FA Write off'!$M192*365)</f>
        <v>827</v>
      </c>
      <c r="I192" s="17">
        <f>VLOOKUP($A192,'FA Addition'!$A:$AK,COLUMN()-6,FALSE)</f>
        <v>44921</v>
      </c>
      <c r="J192" s="17">
        <f>VLOOKUP($A192,'FA Addition'!$A:$AK,COLUMN()-6,FALSE)</f>
        <v>44921</v>
      </c>
      <c r="K192" s="18" t="str">
        <f>VLOOKUP($A192,'FA Addition'!$A:$AK,COLUMN()-6,FALSE)</f>
        <v>Router</v>
      </c>
      <c r="L192" s="19">
        <f>VLOOKUP($A192,'FA Addition'!$A:$AK,COLUMN(),FALSE)</f>
        <v>2200000</v>
      </c>
      <c r="M192" s="20">
        <f>VLOOKUP($A192,'FA Addition'!$A:$AK,COLUMN()+2,FALSE)</f>
        <v>3</v>
      </c>
      <c r="N192" s="21">
        <f>VLOOKUP($A192,'FA Addition'!$A:$AK,COLUMN()+2,FALSE)</f>
        <v>0.63159685013596123</v>
      </c>
      <c r="O192" s="22">
        <f>'FA Write off'!$N192*'FA Write off'!$L192*'FA Write off'!$H192/365</f>
        <v>3148293.9976366246</v>
      </c>
    </row>
    <row r="193" spans="1:15" s="4" customFormat="1" hidden="1" x14ac:dyDescent="0.4">
      <c r="A193" s="23">
        <v>587</v>
      </c>
      <c r="B193" s="13" t="s">
        <v>1758</v>
      </c>
      <c r="C193" s="14">
        <v>45747</v>
      </c>
      <c r="D193" s="23">
        <v>136</v>
      </c>
      <c r="E193" s="15"/>
      <c r="F193" s="15"/>
      <c r="G193" s="16">
        <f>MONTH('FA Write off'!$C193)</f>
        <v>3</v>
      </c>
      <c r="H193" s="16">
        <f>MIN('FA Write off'!$C193-'FA Write off'!$J193+1,'FA Write off'!$M193*365)</f>
        <v>819</v>
      </c>
      <c r="I193" s="17">
        <f>VLOOKUP($A193,'FA Addition'!$A:$AK,COLUMN()-6,FALSE)</f>
        <v>44929</v>
      </c>
      <c r="J193" s="17">
        <f>VLOOKUP($A193,'FA Addition'!$A:$AK,COLUMN()-6,FALSE)</f>
        <v>44929</v>
      </c>
      <c r="K193" s="18" t="str">
        <f>VLOOKUP($A193,'FA Addition'!$A:$AK,COLUMN()-6,FALSE)</f>
        <v>Router</v>
      </c>
      <c r="L193" s="19">
        <f>VLOOKUP($A193,'FA Addition'!$A:$AK,COLUMN(),FALSE)</f>
        <v>2750000</v>
      </c>
      <c r="M193" s="20">
        <f>VLOOKUP($A193,'FA Addition'!$A:$AK,COLUMN()+2,FALSE)</f>
        <v>3</v>
      </c>
      <c r="N193" s="21">
        <f>VLOOKUP($A193,'FA Addition'!$A:$AK,COLUMN()+2,FALSE)</f>
        <v>0.63159685013596123</v>
      </c>
      <c r="O193" s="22">
        <f>'FA Write off'!$N193*'FA Write off'!$L193*'FA Write off'!$H193/365</f>
        <v>3897298.6458047084</v>
      </c>
    </row>
    <row r="194" spans="1:15" s="4" customFormat="1" hidden="1" x14ac:dyDescent="0.4">
      <c r="A194" s="23">
        <v>590</v>
      </c>
      <c r="B194" s="13" t="s">
        <v>1758</v>
      </c>
      <c r="C194" s="14">
        <v>45747</v>
      </c>
      <c r="D194" s="23">
        <v>176</v>
      </c>
      <c r="E194" s="15"/>
      <c r="F194" s="15"/>
      <c r="G194" s="16">
        <f>MONTH('FA Write off'!$C194)</f>
        <v>3</v>
      </c>
      <c r="H194" s="16">
        <f>MIN('FA Write off'!$C194-'FA Write off'!$J194+1,'FA Write off'!$M194*365)</f>
        <v>816</v>
      </c>
      <c r="I194" s="17">
        <f>VLOOKUP($A194,'FA Addition'!$A:$AK,COLUMN()-6,FALSE)</f>
        <v>44932</v>
      </c>
      <c r="J194" s="17">
        <f>VLOOKUP($A194,'FA Addition'!$A:$AK,COLUMN()-6,FALSE)</f>
        <v>44932</v>
      </c>
      <c r="K194" s="18" t="str">
        <f>VLOOKUP($A194,'FA Addition'!$A:$AK,COLUMN()-6,FALSE)</f>
        <v>Router</v>
      </c>
      <c r="L194" s="19">
        <f>VLOOKUP($A194,'FA Addition'!$A:$AK,COLUMN(),FALSE)</f>
        <v>1485000</v>
      </c>
      <c r="M194" s="20">
        <f>VLOOKUP($A194,'FA Addition'!$A:$AK,COLUMN()+2,FALSE)</f>
        <v>5</v>
      </c>
      <c r="N194" s="21">
        <f>VLOOKUP($A194,'FA Addition'!$A:$AK,COLUMN()+2,FALSE)</f>
        <v>0.2</v>
      </c>
      <c r="O194" s="22">
        <f>'FA Write off'!$N194*'FA Write off'!$L194*'FA Write off'!$H194/365</f>
        <v>663978.08219178079</v>
      </c>
    </row>
    <row r="195" spans="1:15" s="4" customFormat="1" hidden="1" x14ac:dyDescent="0.4">
      <c r="A195" s="23">
        <v>597</v>
      </c>
      <c r="B195" s="13" t="s">
        <v>1758</v>
      </c>
      <c r="C195" s="14">
        <v>45747</v>
      </c>
      <c r="D195" s="23">
        <v>279</v>
      </c>
      <c r="E195" s="15"/>
      <c r="F195" s="15"/>
      <c r="G195" s="16">
        <f>MONTH('FA Write off'!$C195)</f>
        <v>3</v>
      </c>
      <c r="H195" s="16">
        <f>MIN('FA Write off'!$C195-'FA Write off'!$J195+1,'FA Write off'!$M195*365)</f>
        <v>815</v>
      </c>
      <c r="I195" s="17">
        <f>VLOOKUP($A195,'FA Addition'!$A:$AK,COLUMN()-6,FALSE)</f>
        <v>44933</v>
      </c>
      <c r="J195" s="17">
        <f>VLOOKUP($A195,'FA Addition'!$A:$AK,COLUMN()-6,FALSE)</f>
        <v>44933</v>
      </c>
      <c r="K195" s="18" t="str">
        <f>VLOOKUP($A195,'FA Addition'!$A:$AK,COLUMN()-6,FALSE)</f>
        <v>Router</v>
      </c>
      <c r="L195" s="19">
        <f>VLOOKUP($A195,'FA Addition'!$A:$AK,COLUMN(),FALSE)</f>
        <v>1650000</v>
      </c>
      <c r="M195" s="20">
        <f>VLOOKUP($A195,'FA Addition'!$A:$AK,COLUMN()+2,FALSE)</f>
        <v>3</v>
      </c>
      <c r="N195" s="21">
        <f>VLOOKUP($A195,'FA Addition'!$A:$AK,COLUMN()+2,FALSE)</f>
        <v>0.63159685013596123</v>
      </c>
      <c r="O195" s="22">
        <f>'FA Write off'!$N195*'FA Write off'!$L195*'FA Write off'!$H195/365</f>
        <v>2326958.5321105034</v>
      </c>
    </row>
    <row r="196" spans="1:15" s="4" customFormat="1" hidden="1" x14ac:dyDescent="0.4">
      <c r="A196" s="23">
        <v>602</v>
      </c>
      <c r="B196" s="13" t="s">
        <v>1758</v>
      </c>
      <c r="C196" s="14">
        <v>45747</v>
      </c>
      <c r="D196" s="23">
        <v>141</v>
      </c>
      <c r="E196" s="15"/>
      <c r="F196" s="15"/>
      <c r="G196" s="16">
        <f>MONTH('FA Write off'!$C196)</f>
        <v>3</v>
      </c>
      <c r="H196" s="16">
        <f>MIN('FA Write off'!$C196-'FA Write off'!$J196+1,'FA Write off'!$M196*365)</f>
        <v>795</v>
      </c>
      <c r="I196" s="17">
        <f>VLOOKUP($A196,'FA Addition'!$A:$AK,COLUMN()-6,FALSE)</f>
        <v>45318</v>
      </c>
      <c r="J196" s="17">
        <f>VLOOKUP($A196,'FA Addition'!$A:$AK,COLUMN()-6,FALSE)</f>
        <v>44953</v>
      </c>
      <c r="K196" s="18" t="str">
        <f>VLOOKUP($A196,'FA Addition'!$A:$AK,COLUMN()-6,FALSE)</f>
        <v>ONT-Optical Network Terminal</v>
      </c>
      <c r="L196" s="19">
        <f>VLOOKUP($A196,'FA Addition'!$A:$AK,COLUMN(),FALSE)</f>
        <v>510000</v>
      </c>
      <c r="M196" s="20">
        <f>VLOOKUP($A196,'FA Addition'!$A:$AK,COLUMN()+2,FALSE)</f>
        <v>5</v>
      </c>
      <c r="N196" s="21">
        <f>VLOOKUP($A196,'FA Addition'!$A:$AK,COLUMN()+2,FALSE)</f>
        <v>0.2</v>
      </c>
      <c r="O196" s="22">
        <f>'FA Write off'!$N196*'FA Write off'!$L196*'FA Write off'!$H196/365</f>
        <v>222164.38356164383</v>
      </c>
    </row>
    <row r="197" spans="1:15" s="4" customFormat="1" hidden="1" x14ac:dyDescent="0.4">
      <c r="A197" s="23">
        <v>604</v>
      </c>
      <c r="B197" s="13" t="s">
        <v>1758</v>
      </c>
      <c r="C197" s="14">
        <v>45747</v>
      </c>
      <c r="D197" s="23">
        <v>771</v>
      </c>
      <c r="E197" s="15"/>
      <c r="F197" s="15"/>
      <c r="G197" s="16">
        <f>MONTH('FA Write off'!$C197)</f>
        <v>3</v>
      </c>
      <c r="H197" s="16">
        <f>MIN('FA Write off'!$C197-'FA Write off'!$J197+1,'FA Write off'!$M197*365)</f>
        <v>792</v>
      </c>
      <c r="I197" s="17">
        <f>VLOOKUP($A197,'FA Addition'!$A:$AK,COLUMN()-6,FALSE)</f>
        <v>44956</v>
      </c>
      <c r="J197" s="17">
        <f>VLOOKUP($A197,'FA Addition'!$A:$AK,COLUMN()-6,FALSE)</f>
        <v>44956</v>
      </c>
      <c r="K197" s="18" t="str">
        <f>VLOOKUP($A197,'FA Addition'!$A:$AK,COLUMN()-6,FALSE)</f>
        <v>Router</v>
      </c>
      <c r="L197" s="19">
        <f>VLOOKUP($A197,'FA Addition'!$A:$AK,COLUMN(),FALSE)</f>
        <v>2200000</v>
      </c>
      <c r="M197" s="20">
        <f>VLOOKUP($A197,'FA Addition'!$A:$AK,COLUMN()+2,FALSE)</f>
        <v>3</v>
      </c>
      <c r="N197" s="21">
        <f>VLOOKUP($A197,'FA Addition'!$A:$AK,COLUMN()+2,FALSE)</f>
        <v>0.63159685013596123</v>
      </c>
      <c r="O197" s="22">
        <f>'FA Write off'!$N197*'FA Write off'!$L197*'FA Write off'!$H197/365</f>
        <v>3015053.0182928736</v>
      </c>
    </row>
    <row r="198" spans="1:15" s="4" customFormat="1" x14ac:dyDescent="0.4">
      <c r="A198" s="23">
        <v>618</v>
      </c>
      <c r="B198" s="13" t="s">
        <v>1758</v>
      </c>
      <c r="C198" s="14">
        <v>45747</v>
      </c>
      <c r="D198" s="23">
        <v>906</v>
      </c>
      <c r="E198" s="15"/>
      <c r="F198" s="15"/>
      <c r="G198" s="16">
        <f>MONTH('FA Write off'!$C198)</f>
        <v>3</v>
      </c>
      <c r="H198" s="16">
        <f>MIN('FA Write off'!$C198-'FA Write off'!$J198+1,'FA Write off'!$M198*365)</f>
        <v>757</v>
      </c>
      <c r="I198" s="17">
        <f>VLOOKUP($A198,'FA Addition'!$A:$AK,COLUMN()-6,FALSE)</f>
        <v>44991</v>
      </c>
      <c r="J198" s="17">
        <f>VLOOKUP($A198,'FA Addition'!$A:$AK,COLUMN()-6,FALSE)</f>
        <v>44991</v>
      </c>
      <c r="K198" s="18" t="str">
        <f>VLOOKUP($A198,'FA Addition'!$A:$AK,COLUMN()-6,FALSE)</f>
        <v>Router</v>
      </c>
      <c r="L198" s="19">
        <f>VLOOKUP($A198,'FA Addition'!$A:$AK,COLUMN(),FALSE)</f>
        <v>8800000</v>
      </c>
      <c r="M198" s="20">
        <f>VLOOKUP($A198,'FA Addition'!$A:$AK,COLUMN()+2,FALSE)</f>
        <v>3</v>
      </c>
      <c r="N198" s="21">
        <f>VLOOKUP($A198,'FA Addition'!$A:$AK,COLUMN()+2,FALSE)</f>
        <v>0.63159685013596123</v>
      </c>
      <c r="O198" s="22">
        <f>'FA Write off'!$N198*'FA Write off'!$L198*'FA Write off'!$H198/365</f>
        <v>11527248.155796492</v>
      </c>
    </row>
    <row r="199" spans="1:15" s="4" customFormat="1" hidden="1" x14ac:dyDescent="0.4">
      <c r="A199" s="23">
        <v>635</v>
      </c>
      <c r="B199" s="13" t="s">
        <v>1758</v>
      </c>
      <c r="C199" s="14">
        <v>45747</v>
      </c>
      <c r="D199" s="23">
        <v>165</v>
      </c>
      <c r="E199" s="15"/>
      <c r="F199" s="15"/>
      <c r="G199" s="16">
        <f>MONTH('FA Write off'!$C199)</f>
        <v>3</v>
      </c>
      <c r="H199" s="16">
        <f>MIN('FA Write off'!$C199-'FA Write off'!$J199+1,'FA Write off'!$M199*365)</f>
        <v>722</v>
      </c>
      <c r="I199" s="17">
        <f>VLOOKUP($A199,'FA Addition'!$A:$AK,COLUMN()-6,FALSE)</f>
        <v>45026</v>
      </c>
      <c r="J199" s="17">
        <f>VLOOKUP($A199,'FA Addition'!$A:$AK,COLUMN()-6,FALSE)</f>
        <v>45026</v>
      </c>
      <c r="K199" s="18" t="str">
        <f>VLOOKUP($A199,'FA Addition'!$A:$AK,COLUMN()-6,FALSE)</f>
        <v>Router</v>
      </c>
      <c r="L199" s="19">
        <f>VLOOKUP($A199,'FA Addition'!$A:$AK,COLUMN(),FALSE)</f>
        <v>2200000</v>
      </c>
      <c r="M199" s="20">
        <f>VLOOKUP($A199,'FA Addition'!$A:$AK,COLUMN()+2,FALSE)</f>
        <v>5</v>
      </c>
      <c r="N199" s="21">
        <f>VLOOKUP($A199,'FA Addition'!$A:$AK,COLUMN()+2,FALSE)</f>
        <v>0.2</v>
      </c>
      <c r="O199" s="22">
        <f>'FA Write off'!$N199*'FA Write off'!$L199*'FA Write off'!$H199/365</f>
        <v>870356.1643835617</v>
      </c>
    </row>
    <row r="200" spans="1:15" s="4" customFormat="1" hidden="1" x14ac:dyDescent="0.4">
      <c r="A200" s="23">
        <v>636</v>
      </c>
      <c r="B200" s="13" t="s">
        <v>1758</v>
      </c>
      <c r="C200" s="14">
        <v>45747</v>
      </c>
      <c r="D200" s="23">
        <v>373</v>
      </c>
      <c r="E200" s="15"/>
      <c r="F200" s="15"/>
      <c r="G200" s="16">
        <f>MONTH('FA Write off'!$C200)</f>
        <v>3</v>
      </c>
      <c r="H200" s="16">
        <f>MIN('FA Write off'!$C200-'FA Write off'!$J200+1,'FA Write off'!$M200*365)</f>
        <v>718</v>
      </c>
      <c r="I200" s="17">
        <f>VLOOKUP($A200,'FA Addition'!$A:$AK,COLUMN()-6,FALSE)</f>
        <v>45030</v>
      </c>
      <c r="J200" s="17">
        <f>VLOOKUP($A200,'FA Addition'!$A:$AK,COLUMN()-6,FALSE)</f>
        <v>45030</v>
      </c>
      <c r="K200" s="18" t="str">
        <f>VLOOKUP($A200,'FA Addition'!$A:$AK,COLUMN()-6,FALSE)</f>
        <v>Router</v>
      </c>
      <c r="L200" s="19">
        <f>VLOOKUP($A200,'FA Addition'!$A:$AK,COLUMN(),FALSE)</f>
        <v>3300000</v>
      </c>
      <c r="M200" s="20">
        <f>VLOOKUP($A200,'FA Addition'!$A:$AK,COLUMN()+2,FALSE)</f>
        <v>5</v>
      </c>
      <c r="N200" s="21">
        <f>VLOOKUP($A200,'FA Addition'!$A:$AK,COLUMN()+2,FALSE)</f>
        <v>0.2</v>
      </c>
      <c r="O200" s="22">
        <f>'FA Write off'!$N200*'FA Write off'!$L200*'FA Write off'!$H200/365</f>
        <v>1298301.3698630137</v>
      </c>
    </row>
    <row r="201" spans="1:15" s="4" customFormat="1" hidden="1" x14ac:dyDescent="0.4">
      <c r="A201" s="23">
        <v>651</v>
      </c>
      <c r="B201" s="13" t="s">
        <v>1758</v>
      </c>
      <c r="C201" s="14">
        <v>45747</v>
      </c>
      <c r="D201" s="23">
        <v>21</v>
      </c>
      <c r="E201" s="15"/>
      <c r="F201" s="15"/>
      <c r="G201" s="16">
        <f>MONTH('FA Write off'!$C201)</f>
        <v>3</v>
      </c>
      <c r="H201" s="16">
        <f>MIN('FA Write off'!$C201-'FA Write off'!$J201+1,'FA Write off'!$M201*365)</f>
        <v>703</v>
      </c>
      <c r="I201" s="17">
        <f>VLOOKUP($A201,'FA Addition'!$A:$AK,COLUMN()-6,FALSE)</f>
        <v>45045</v>
      </c>
      <c r="J201" s="17">
        <f>VLOOKUP($A201,'FA Addition'!$A:$AK,COLUMN()-6,FALSE)</f>
        <v>45045</v>
      </c>
      <c r="K201" s="18" t="str">
        <f>VLOOKUP($A201,'FA Addition'!$A:$AK,COLUMN()-6,FALSE)</f>
        <v>Router</v>
      </c>
      <c r="L201" s="19">
        <f>VLOOKUP($A201,'FA Addition'!$A:$AK,COLUMN(),FALSE)</f>
        <v>2200000</v>
      </c>
      <c r="M201" s="20">
        <f>VLOOKUP($A201,'FA Addition'!$A:$AK,COLUMN()+2,FALSE)</f>
        <v>5</v>
      </c>
      <c r="N201" s="21">
        <f>VLOOKUP($A201,'FA Addition'!$A:$AK,COLUMN()+2,FALSE)</f>
        <v>0.2</v>
      </c>
      <c r="O201" s="22">
        <f>'FA Write off'!$N201*'FA Write off'!$L201*'FA Write off'!$H201/365</f>
        <v>847452.05479452061</v>
      </c>
    </row>
    <row r="202" spans="1:15" s="4" customFormat="1" hidden="1" x14ac:dyDescent="0.4">
      <c r="A202" s="23">
        <v>653</v>
      </c>
      <c r="B202" s="13" t="s">
        <v>1758</v>
      </c>
      <c r="C202" s="14">
        <v>45747</v>
      </c>
      <c r="D202" s="23">
        <v>928</v>
      </c>
      <c r="E202" s="15"/>
      <c r="F202" s="15"/>
      <c r="G202" s="16">
        <f>MONTH('FA Write off'!$C202)</f>
        <v>3</v>
      </c>
      <c r="H202" s="16">
        <f>MIN('FA Write off'!$C202-'FA Write off'!$J202+1,'FA Write off'!$M202*365)</f>
        <v>701</v>
      </c>
      <c r="I202" s="17">
        <f>VLOOKUP($A202,'FA Addition'!$A:$AK,COLUMN()-6,FALSE)</f>
        <v>45047</v>
      </c>
      <c r="J202" s="17">
        <f>VLOOKUP($A202,'FA Addition'!$A:$AK,COLUMN()-6,FALSE)</f>
        <v>45047</v>
      </c>
      <c r="K202" s="18" t="str">
        <f>VLOOKUP($A202,'FA Addition'!$A:$AK,COLUMN()-6,FALSE)</f>
        <v>Router</v>
      </c>
      <c r="L202" s="19">
        <f>VLOOKUP($A202,'FA Addition'!$A:$AK,COLUMN(),FALSE)</f>
        <v>2200000</v>
      </c>
      <c r="M202" s="20">
        <f>VLOOKUP($A202,'FA Addition'!$A:$AK,COLUMN()+2,FALSE)</f>
        <v>5</v>
      </c>
      <c r="N202" s="21">
        <f>VLOOKUP($A202,'FA Addition'!$A:$AK,COLUMN()+2,FALSE)</f>
        <v>0.2</v>
      </c>
      <c r="O202" s="22">
        <f>'FA Write off'!$N202*'FA Write off'!$L202*'FA Write off'!$H202/365</f>
        <v>845041.09589041094</v>
      </c>
    </row>
    <row r="203" spans="1:15" s="4" customFormat="1" hidden="1" x14ac:dyDescent="0.4">
      <c r="A203" s="23">
        <v>673</v>
      </c>
      <c r="B203" s="13" t="s">
        <v>1758</v>
      </c>
      <c r="C203" s="14">
        <v>45747</v>
      </c>
      <c r="D203" s="23">
        <v>154</v>
      </c>
      <c r="E203" s="15"/>
      <c r="F203" s="15"/>
      <c r="G203" s="16">
        <f>MONTH('FA Write off'!$C203)</f>
        <v>3</v>
      </c>
      <c r="H203" s="16">
        <f>MIN('FA Write off'!$C203-'FA Write off'!$J203+1,'FA Write off'!$M203*365)</f>
        <v>668</v>
      </c>
      <c r="I203" s="17">
        <f>VLOOKUP($A203,'FA Addition'!$A:$AK,COLUMN()-6,FALSE)</f>
        <v>45080</v>
      </c>
      <c r="J203" s="17">
        <f>VLOOKUP($A203,'FA Addition'!$A:$AK,COLUMN()-6,FALSE)</f>
        <v>45080</v>
      </c>
      <c r="K203" s="18" t="str">
        <f>VLOOKUP($A203,'FA Addition'!$A:$AK,COLUMN()-6,FALSE)</f>
        <v>Router</v>
      </c>
      <c r="L203" s="19">
        <f>VLOOKUP($A203,'FA Addition'!$A:$AK,COLUMN(),FALSE)</f>
        <v>2700000</v>
      </c>
      <c r="M203" s="20">
        <f>VLOOKUP($A203,'FA Addition'!$A:$AK,COLUMN()+2,FALSE)</f>
        <v>5</v>
      </c>
      <c r="N203" s="21">
        <f>VLOOKUP($A203,'FA Addition'!$A:$AK,COLUMN()+2,FALSE)</f>
        <v>0.2</v>
      </c>
      <c r="O203" s="22">
        <f>'FA Write off'!$N203*'FA Write off'!$L203*'FA Write off'!$H203/365</f>
        <v>988273.9726027397</v>
      </c>
    </row>
    <row r="204" spans="1:15" s="4" customFormat="1" hidden="1" x14ac:dyDescent="0.4">
      <c r="A204" s="23">
        <v>674</v>
      </c>
      <c r="B204" s="13" t="s">
        <v>1758</v>
      </c>
      <c r="C204" s="14">
        <v>45747</v>
      </c>
      <c r="D204" s="23">
        <v>81</v>
      </c>
      <c r="E204" s="15"/>
      <c r="F204" s="15"/>
      <c r="G204" s="16">
        <f>MONTH('FA Write off'!$C204)</f>
        <v>3</v>
      </c>
      <c r="H204" s="16">
        <f>MIN('FA Write off'!$C204-'FA Write off'!$J204+1,'FA Write off'!$M204*365)</f>
        <v>665</v>
      </c>
      <c r="I204" s="17">
        <f>VLOOKUP($A204,'FA Addition'!$A:$AK,COLUMN()-6,FALSE)</f>
        <v>45083</v>
      </c>
      <c r="J204" s="17">
        <f>VLOOKUP($A204,'FA Addition'!$A:$AK,COLUMN()-6,FALSE)</f>
        <v>45083</v>
      </c>
      <c r="K204" s="18" t="str">
        <f>VLOOKUP($A204,'FA Addition'!$A:$AK,COLUMN()-6,FALSE)</f>
        <v>Router</v>
      </c>
      <c r="L204" s="19">
        <f>VLOOKUP($A204,'FA Addition'!$A:$AK,COLUMN(),FALSE)</f>
        <v>432000</v>
      </c>
      <c r="M204" s="20">
        <f>VLOOKUP($A204,'FA Addition'!$A:$AK,COLUMN()+2,FALSE)</f>
        <v>5</v>
      </c>
      <c r="N204" s="21">
        <f>VLOOKUP($A204,'FA Addition'!$A:$AK,COLUMN()+2,FALSE)</f>
        <v>0.2</v>
      </c>
      <c r="O204" s="22">
        <f>'FA Write off'!$N204*'FA Write off'!$L204*'FA Write off'!$H204/365</f>
        <v>157413.69863013699</v>
      </c>
    </row>
    <row r="205" spans="1:15" s="4" customFormat="1" hidden="1" x14ac:dyDescent="0.4">
      <c r="A205" s="23">
        <v>677</v>
      </c>
      <c r="B205" s="13" t="s">
        <v>1758</v>
      </c>
      <c r="C205" s="14">
        <v>45747</v>
      </c>
      <c r="D205" s="23">
        <v>3000</v>
      </c>
      <c r="E205" s="15"/>
      <c r="F205" s="15"/>
      <c r="G205" s="16">
        <f>MONTH('FA Write off'!$C205)</f>
        <v>3</v>
      </c>
      <c r="H205" s="16">
        <f>MIN('FA Write off'!$C205-'FA Write off'!$J205+1,'FA Write off'!$M205*365)</f>
        <v>664</v>
      </c>
      <c r="I205" s="17">
        <f>VLOOKUP($A205,'FA Addition'!$A:$AK,COLUMN()-6,FALSE)</f>
        <v>45084</v>
      </c>
      <c r="J205" s="17">
        <f>VLOOKUP($A205,'FA Addition'!$A:$AK,COLUMN()-6,FALSE)</f>
        <v>45084</v>
      </c>
      <c r="K205" s="18" t="str">
        <f>VLOOKUP($A205,'FA Addition'!$A:$AK,COLUMN()-6,FALSE)</f>
        <v xml:space="preserve">ONU-Optical Network Unit </v>
      </c>
      <c r="L205" s="19">
        <f>VLOOKUP($A205,'FA Addition'!$A:$AK,COLUMN(),FALSE)</f>
        <v>2190000</v>
      </c>
      <c r="M205" s="20">
        <f>VLOOKUP($A205,'FA Addition'!$A:$AK,COLUMN()+2,FALSE)</f>
        <v>3</v>
      </c>
      <c r="N205" s="21">
        <f>VLOOKUP($A205,'FA Addition'!$A:$AK,COLUMN()+2,FALSE)</f>
        <v>0.33333333333333331</v>
      </c>
      <c r="O205" s="22">
        <f>'FA Write off'!$N205*'FA Write off'!$L205*'FA Write off'!$H205/365</f>
        <v>1328000</v>
      </c>
    </row>
    <row r="206" spans="1:15" s="4" customFormat="1" hidden="1" x14ac:dyDescent="0.4">
      <c r="A206" s="23">
        <v>678</v>
      </c>
      <c r="B206" s="13" t="s">
        <v>1758</v>
      </c>
      <c r="C206" s="14">
        <v>45747</v>
      </c>
      <c r="D206" s="23">
        <v>571</v>
      </c>
      <c r="E206" s="15"/>
      <c r="F206" s="15"/>
      <c r="G206" s="16">
        <f>MONTH('FA Write off'!$C206)</f>
        <v>3</v>
      </c>
      <c r="H206" s="16">
        <f>MIN('FA Write off'!$C206-'FA Write off'!$J206+1,'FA Write off'!$M206*365)</f>
        <v>662</v>
      </c>
      <c r="I206" s="17">
        <f>VLOOKUP($A206,'FA Addition'!$A:$AK,COLUMN()-6,FALSE)</f>
        <v>45086</v>
      </c>
      <c r="J206" s="17">
        <f>VLOOKUP($A206,'FA Addition'!$A:$AK,COLUMN()-6,FALSE)</f>
        <v>45086</v>
      </c>
      <c r="K206" s="18" t="str">
        <f>VLOOKUP($A206,'FA Addition'!$A:$AK,COLUMN()-6,FALSE)</f>
        <v>Router</v>
      </c>
      <c r="L206" s="19">
        <f>VLOOKUP($A206,'FA Addition'!$A:$AK,COLUMN(),FALSE)</f>
        <v>2689200</v>
      </c>
      <c r="M206" s="20">
        <f>VLOOKUP($A206,'FA Addition'!$A:$AK,COLUMN()+2,FALSE)</f>
        <v>5</v>
      </c>
      <c r="N206" s="21">
        <f>VLOOKUP($A206,'FA Addition'!$A:$AK,COLUMN()+2,FALSE)</f>
        <v>0.2</v>
      </c>
      <c r="O206" s="22">
        <f>'FA Write off'!$N206*'FA Write off'!$L206*'FA Write off'!$H206/365</f>
        <v>975479.67123287672</v>
      </c>
    </row>
    <row r="207" spans="1:15" s="4" customFormat="1" hidden="1" x14ac:dyDescent="0.4">
      <c r="A207" s="23">
        <v>693</v>
      </c>
      <c r="B207" s="13" t="s">
        <v>1758</v>
      </c>
      <c r="C207" s="14">
        <v>45747</v>
      </c>
      <c r="D207" s="23">
        <v>2000</v>
      </c>
      <c r="E207" s="15"/>
      <c r="F207" s="15"/>
      <c r="G207" s="16">
        <f>MONTH('FA Write off'!$C207)</f>
        <v>3</v>
      </c>
      <c r="H207" s="16">
        <f>MIN('FA Write off'!$C207-'FA Write off'!$J207+1,'FA Write off'!$M207*365)</f>
        <v>656</v>
      </c>
      <c r="I207" s="17">
        <f>VLOOKUP($A207,'FA Addition'!$A:$AK,COLUMN()-6,FALSE)</f>
        <v>45092</v>
      </c>
      <c r="J207" s="17">
        <f>VLOOKUP($A207,'FA Addition'!$A:$AK,COLUMN()-6,FALSE)</f>
        <v>45092</v>
      </c>
      <c r="K207" s="18" t="str">
        <f>VLOOKUP($A207,'FA Addition'!$A:$AK,COLUMN()-6,FALSE)</f>
        <v xml:space="preserve">ONU-Optical Network Unit </v>
      </c>
      <c r="L207" s="19">
        <f>VLOOKUP($A207,'FA Addition'!$A:$AK,COLUMN(),FALSE)</f>
        <v>1460000</v>
      </c>
      <c r="M207" s="20">
        <f>VLOOKUP($A207,'FA Addition'!$A:$AK,COLUMN()+2,FALSE)</f>
        <v>3</v>
      </c>
      <c r="N207" s="21">
        <f>VLOOKUP($A207,'FA Addition'!$A:$AK,COLUMN()+2,FALSE)</f>
        <v>0.33333333333333331</v>
      </c>
      <c r="O207" s="22">
        <f>'FA Write off'!$N207*'FA Write off'!$L207*'FA Write off'!$H207/365</f>
        <v>874666.66666666663</v>
      </c>
    </row>
    <row r="208" spans="1:15" s="4" customFormat="1" hidden="1" x14ac:dyDescent="0.4">
      <c r="A208" s="23">
        <v>694</v>
      </c>
      <c r="B208" s="13" t="s">
        <v>1758</v>
      </c>
      <c r="C208" s="14">
        <v>45747</v>
      </c>
      <c r="D208" s="23">
        <v>400</v>
      </c>
      <c r="E208" s="15"/>
      <c r="F208" s="15"/>
      <c r="G208" s="16">
        <f>MONTH('FA Write off'!$C208)</f>
        <v>3</v>
      </c>
      <c r="H208" s="16">
        <f>MIN('FA Write off'!$C208-'FA Write off'!$J208+1,'FA Write off'!$M208*365)</f>
        <v>656</v>
      </c>
      <c r="I208" s="17">
        <f>VLOOKUP($A208,'FA Addition'!$A:$AK,COLUMN()-6,FALSE)</f>
        <v>45092</v>
      </c>
      <c r="J208" s="17">
        <f>VLOOKUP($A208,'FA Addition'!$A:$AK,COLUMN()-6,FALSE)</f>
        <v>45092</v>
      </c>
      <c r="K208" s="18" t="str">
        <f>VLOOKUP($A208,'FA Addition'!$A:$AK,COLUMN()-6,FALSE)</f>
        <v xml:space="preserve">ONU-Optical Network Unit </v>
      </c>
      <c r="L208" s="19">
        <f>VLOOKUP($A208,'FA Addition'!$A:$AK,COLUMN(),FALSE)</f>
        <v>292000</v>
      </c>
      <c r="M208" s="20">
        <f>VLOOKUP($A208,'FA Addition'!$A:$AK,COLUMN()+2,FALSE)</f>
        <v>3</v>
      </c>
      <c r="N208" s="21">
        <f>VLOOKUP($A208,'FA Addition'!$A:$AK,COLUMN()+2,FALSE)</f>
        <v>0.33333333333333331</v>
      </c>
      <c r="O208" s="22">
        <f>'FA Write off'!$N208*'FA Write off'!$L208*'FA Write off'!$H208/365</f>
        <v>174933.33333333331</v>
      </c>
    </row>
    <row r="209" spans="1:15" s="4" customFormat="1" hidden="1" x14ac:dyDescent="0.4">
      <c r="A209" s="23">
        <v>695</v>
      </c>
      <c r="B209" s="13" t="s">
        <v>1758</v>
      </c>
      <c r="C209" s="14">
        <v>45747</v>
      </c>
      <c r="D209" s="23">
        <v>144</v>
      </c>
      <c r="E209" s="15"/>
      <c r="F209" s="15"/>
      <c r="G209" s="16">
        <f>MONTH('FA Write off'!$C209)</f>
        <v>3</v>
      </c>
      <c r="H209" s="16">
        <f>MIN('FA Write off'!$C209-'FA Write off'!$J209+1,'FA Write off'!$M209*365)</f>
        <v>652</v>
      </c>
      <c r="I209" s="17">
        <f>VLOOKUP($A209,'FA Addition'!$A:$AK,COLUMN()-6,FALSE)</f>
        <v>45096</v>
      </c>
      <c r="J209" s="17">
        <f>VLOOKUP($A209,'FA Addition'!$A:$AK,COLUMN()-6,FALSE)</f>
        <v>45096</v>
      </c>
      <c r="K209" s="18" t="str">
        <f>VLOOKUP($A209,'FA Addition'!$A:$AK,COLUMN()-6,FALSE)</f>
        <v>Router</v>
      </c>
      <c r="L209" s="19">
        <f>VLOOKUP($A209,'FA Addition'!$A:$AK,COLUMN(),FALSE)</f>
        <v>2700000</v>
      </c>
      <c r="M209" s="20">
        <f>VLOOKUP($A209,'FA Addition'!$A:$AK,COLUMN()+2,FALSE)</f>
        <v>5</v>
      </c>
      <c r="N209" s="21">
        <f>VLOOKUP($A209,'FA Addition'!$A:$AK,COLUMN()+2,FALSE)</f>
        <v>0.2</v>
      </c>
      <c r="O209" s="22">
        <f>'FA Write off'!$N209*'FA Write off'!$L209*'FA Write off'!$H209/365</f>
        <v>964602.73972602736</v>
      </c>
    </row>
    <row r="210" spans="1:15" s="4" customFormat="1" hidden="1" x14ac:dyDescent="0.4">
      <c r="A210" s="23">
        <v>698</v>
      </c>
      <c r="B210" s="13" t="s">
        <v>1758</v>
      </c>
      <c r="C210" s="14">
        <v>45747</v>
      </c>
      <c r="D210" s="23">
        <v>2000</v>
      </c>
      <c r="E210" s="15"/>
      <c r="F210" s="15"/>
      <c r="G210" s="16">
        <f>MONTH('FA Write off'!$C210)</f>
        <v>3</v>
      </c>
      <c r="H210" s="16">
        <f>MIN('FA Write off'!$C210-'FA Write off'!$J210+1,'FA Write off'!$M210*365)</f>
        <v>648</v>
      </c>
      <c r="I210" s="17">
        <f>VLOOKUP($A210,'FA Addition'!$A:$AK,COLUMN()-6,FALSE)</f>
        <v>45100</v>
      </c>
      <c r="J210" s="17">
        <f>VLOOKUP($A210,'FA Addition'!$A:$AK,COLUMN()-6,FALSE)</f>
        <v>45100</v>
      </c>
      <c r="K210" s="18" t="str">
        <f>VLOOKUP($A210,'FA Addition'!$A:$AK,COLUMN()-6,FALSE)</f>
        <v xml:space="preserve">ONU-Optical Network Unit </v>
      </c>
      <c r="L210" s="19">
        <f>VLOOKUP($A210,'FA Addition'!$A:$AK,COLUMN(),FALSE)</f>
        <v>1460000</v>
      </c>
      <c r="M210" s="20">
        <f>VLOOKUP($A210,'FA Addition'!$A:$AK,COLUMN()+2,FALSE)</f>
        <v>3</v>
      </c>
      <c r="N210" s="21">
        <f>VLOOKUP($A210,'FA Addition'!$A:$AK,COLUMN()+2,FALSE)</f>
        <v>0.33333333333333331</v>
      </c>
      <c r="O210" s="22">
        <f>'FA Write off'!$N210*'FA Write off'!$L210*'FA Write off'!$H210/365</f>
        <v>864000</v>
      </c>
    </row>
    <row r="211" spans="1:15" s="4" customFormat="1" hidden="1" x14ac:dyDescent="0.4">
      <c r="A211" s="23">
        <v>699</v>
      </c>
      <c r="B211" s="13" t="s">
        <v>1758</v>
      </c>
      <c r="C211" s="14">
        <v>45747</v>
      </c>
      <c r="D211" s="23">
        <f>25</f>
        <v>25</v>
      </c>
      <c r="E211" s="15"/>
      <c r="F211" s="15"/>
      <c r="G211" s="16">
        <f>MONTH('FA Write off'!$C211)</f>
        <v>3</v>
      </c>
      <c r="H211" s="16">
        <f>MIN('FA Write off'!$C211-'FA Write off'!$J211+1,'FA Write off'!$M211*365)</f>
        <v>641</v>
      </c>
      <c r="I211" s="17">
        <f>VLOOKUP($A211,'FA Addition'!$A:$AK,COLUMN()-6,FALSE)</f>
        <v>45107</v>
      </c>
      <c r="J211" s="17">
        <f>VLOOKUP($A211,'FA Addition'!$A:$AK,COLUMN()-6,FALSE)</f>
        <v>45107</v>
      </c>
      <c r="K211" s="18" t="str">
        <f>VLOOKUP($A211,'FA Addition'!$A:$AK,COLUMN()-6,FALSE)</f>
        <v>Router</v>
      </c>
      <c r="L211" s="19">
        <f>VLOOKUP($A211,'FA Addition'!$A:$AK,COLUMN(),FALSE)</f>
        <v>1620000</v>
      </c>
      <c r="M211" s="20">
        <f>VLOOKUP($A211,'FA Addition'!$A:$AK,COLUMN()+2,FALSE)</f>
        <v>5</v>
      </c>
      <c r="N211" s="21">
        <f>VLOOKUP($A211,'FA Addition'!$A:$AK,COLUMN()+2,FALSE)</f>
        <v>0.2</v>
      </c>
      <c r="O211" s="22">
        <f>'FA Write off'!$N211*'FA Write off'!$L211*'FA Write off'!$H211/365</f>
        <v>568997.26027397264</v>
      </c>
    </row>
    <row r="212" spans="1:15" s="4" customFormat="1" hidden="1" x14ac:dyDescent="0.4">
      <c r="A212" s="23">
        <v>701</v>
      </c>
      <c r="B212" s="13" t="s">
        <v>1758</v>
      </c>
      <c r="C212" s="14">
        <v>45747</v>
      </c>
      <c r="D212" s="23">
        <v>600</v>
      </c>
      <c r="E212" s="15"/>
      <c r="F212" s="15"/>
      <c r="G212" s="16">
        <f>MONTH('FA Write off'!$C212)</f>
        <v>3</v>
      </c>
      <c r="H212" s="16">
        <f>MIN('FA Write off'!$C212-'FA Write off'!$J212+1,'FA Write off'!$M212*365)</f>
        <v>635</v>
      </c>
      <c r="I212" s="17">
        <f>VLOOKUP($A212,'FA Addition'!$A:$AK,COLUMN()-6,FALSE)</f>
        <v>45113</v>
      </c>
      <c r="J212" s="17">
        <f>VLOOKUP($A212,'FA Addition'!$A:$AK,COLUMN()-6,FALSE)</f>
        <v>45113</v>
      </c>
      <c r="K212" s="18" t="str">
        <f>VLOOKUP($A212,'FA Addition'!$A:$AK,COLUMN()-6,FALSE)</f>
        <v>Router</v>
      </c>
      <c r="L212" s="19">
        <f>VLOOKUP($A212,'FA Addition'!$A:$AK,COLUMN(),FALSE)</f>
        <v>648000</v>
      </c>
      <c r="M212" s="20">
        <f>VLOOKUP($A212,'FA Addition'!$A:$AK,COLUMN()+2,FALSE)</f>
        <v>5</v>
      </c>
      <c r="N212" s="21">
        <f>VLOOKUP($A212,'FA Addition'!$A:$AK,COLUMN()+2,FALSE)</f>
        <v>0.2</v>
      </c>
      <c r="O212" s="22">
        <f>'FA Write off'!$N212*'FA Write off'!$L212*'FA Write off'!$H212/365</f>
        <v>225468.49315068492</v>
      </c>
    </row>
    <row r="213" spans="1:15" s="4" customFormat="1" hidden="1" x14ac:dyDescent="0.4">
      <c r="A213" s="23">
        <v>723</v>
      </c>
      <c r="B213" s="13" t="s">
        <v>1758</v>
      </c>
      <c r="C213" s="14">
        <v>45747</v>
      </c>
      <c r="D213" s="23">
        <v>56</v>
      </c>
      <c r="E213" s="15"/>
      <c r="F213" s="15"/>
      <c r="G213" s="16">
        <f>MONTH('FA Write off'!$C213)</f>
        <v>3</v>
      </c>
      <c r="H213" s="16">
        <f>MIN('FA Write off'!$C213-'FA Write off'!$J213+1,'FA Write off'!$M213*365)</f>
        <v>616</v>
      </c>
      <c r="I213" s="17">
        <f>VLOOKUP($A213,'FA Addition'!$A:$AK,COLUMN()-6,FALSE)</f>
        <v>45132</v>
      </c>
      <c r="J213" s="17">
        <f>VLOOKUP($A213,'FA Addition'!$A:$AK,COLUMN()-6,FALSE)</f>
        <v>45132</v>
      </c>
      <c r="K213" s="18" t="str">
        <f>VLOOKUP($A213,'FA Addition'!$A:$AK,COLUMN()-6,FALSE)</f>
        <v>Router</v>
      </c>
      <c r="L213" s="19">
        <f>VLOOKUP($A213,'FA Addition'!$A:$AK,COLUMN(),FALSE)</f>
        <v>2080000</v>
      </c>
      <c r="M213" s="20">
        <f>VLOOKUP($A213,'FA Addition'!$A:$AK,COLUMN()+2,FALSE)</f>
        <v>5</v>
      </c>
      <c r="N213" s="21">
        <f>VLOOKUP($A213,'FA Addition'!$A:$AK,COLUMN()+2,FALSE)</f>
        <v>0.2</v>
      </c>
      <c r="O213" s="22">
        <f>'FA Write off'!$N213*'FA Write off'!$L213*'FA Write off'!$H213/365</f>
        <v>702071.23287671234</v>
      </c>
    </row>
    <row r="214" spans="1:15" s="4" customFormat="1" hidden="1" x14ac:dyDescent="0.4">
      <c r="A214" s="23">
        <v>724</v>
      </c>
      <c r="B214" s="13" t="s">
        <v>1758</v>
      </c>
      <c r="C214" s="14">
        <v>45747</v>
      </c>
      <c r="D214" s="23">
        <v>900</v>
      </c>
      <c r="E214" s="15"/>
      <c r="F214" s="15"/>
      <c r="G214" s="16">
        <f>MONTH('FA Write off'!$C214)</f>
        <v>3</v>
      </c>
      <c r="H214" s="16">
        <f>MIN('FA Write off'!$C214-'FA Write off'!$J214+1,'FA Write off'!$M214*365)</f>
        <v>616</v>
      </c>
      <c r="I214" s="17">
        <f>VLOOKUP($A214,'FA Addition'!$A:$AK,COLUMN()-6,FALSE)</f>
        <v>45132</v>
      </c>
      <c r="J214" s="17">
        <f>VLOOKUP($A214,'FA Addition'!$A:$AK,COLUMN()-6,FALSE)</f>
        <v>45132</v>
      </c>
      <c r="K214" s="18" t="str">
        <f>VLOOKUP($A214,'FA Addition'!$A:$AK,COLUMN()-6,FALSE)</f>
        <v xml:space="preserve">ONU-Optical Network Unit </v>
      </c>
      <c r="L214" s="19">
        <f>VLOOKUP($A214,'FA Addition'!$A:$AK,COLUMN(),FALSE)</f>
        <v>657000</v>
      </c>
      <c r="M214" s="20">
        <f>VLOOKUP($A214,'FA Addition'!$A:$AK,COLUMN()+2,FALSE)</f>
        <v>3</v>
      </c>
      <c r="N214" s="21">
        <f>VLOOKUP($A214,'FA Addition'!$A:$AK,COLUMN()+2,FALSE)</f>
        <v>0.33333333333333331</v>
      </c>
      <c r="O214" s="22">
        <f>'FA Write off'!$N214*'FA Write off'!$L214*'FA Write off'!$H214/365</f>
        <v>369600</v>
      </c>
    </row>
    <row r="215" spans="1:15" s="4" customFormat="1" hidden="1" x14ac:dyDescent="0.4">
      <c r="A215" s="23">
        <v>731</v>
      </c>
      <c r="B215" s="13" t="s">
        <v>1758</v>
      </c>
      <c r="C215" s="14">
        <v>45747</v>
      </c>
      <c r="D215" s="23">
        <v>373</v>
      </c>
      <c r="E215" s="15"/>
      <c r="F215" s="15"/>
      <c r="G215" s="16">
        <f>MONTH('FA Write off'!$C215)</f>
        <v>3</v>
      </c>
      <c r="H215" s="16">
        <f>MIN('FA Write off'!$C215-'FA Write off'!$J215+1,'FA Write off'!$M215*365)</f>
        <v>613</v>
      </c>
      <c r="I215" s="17">
        <f>VLOOKUP($A215,'FA Addition'!$A:$AK,COLUMN()-6,FALSE)</f>
        <v>45135</v>
      </c>
      <c r="J215" s="17">
        <f>VLOOKUP($A215,'FA Addition'!$A:$AK,COLUMN()-6,FALSE)</f>
        <v>45135</v>
      </c>
      <c r="K215" s="18" t="str">
        <f>VLOOKUP($A215,'FA Addition'!$A:$AK,COLUMN()-6,FALSE)</f>
        <v>Router</v>
      </c>
      <c r="L215" s="19">
        <f>VLOOKUP($A215,'FA Addition'!$A:$AK,COLUMN(),FALSE)</f>
        <v>2080000</v>
      </c>
      <c r="M215" s="20">
        <f>VLOOKUP($A215,'FA Addition'!$A:$AK,COLUMN()+2,FALSE)</f>
        <v>5</v>
      </c>
      <c r="N215" s="21">
        <f>VLOOKUP($A215,'FA Addition'!$A:$AK,COLUMN()+2,FALSE)</f>
        <v>0.2</v>
      </c>
      <c r="O215" s="22">
        <f>'FA Write off'!$N215*'FA Write off'!$L215*'FA Write off'!$H215/365</f>
        <v>698652.05479452061</v>
      </c>
    </row>
    <row r="216" spans="1:15" s="4" customFormat="1" hidden="1" x14ac:dyDescent="0.4">
      <c r="A216" s="23">
        <v>736</v>
      </c>
      <c r="B216" s="13" t="s">
        <v>1758</v>
      </c>
      <c r="C216" s="14">
        <v>45747</v>
      </c>
      <c r="D216" s="23">
        <v>1015</v>
      </c>
      <c r="E216" s="15"/>
      <c r="F216" s="15"/>
      <c r="G216" s="16">
        <f>MONTH('FA Write off'!$C216)</f>
        <v>3</v>
      </c>
      <c r="H216" s="16">
        <f>MIN('FA Write off'!$C216-'FA Write off'!$J216+1,'FA Write off'!$M216*365)</f>
        <v>605</v>
      </c>
      <c r="I216" s="17">
        <f>VLOOKUP($A216,'FA Addition'!$A:$AK,COLUMN()-6,FALSE)</f>
        <v>45143</v>
      </c>
      <c r="J216" s="17">
        <f>VLOOKUP($A216,'FA Addition'!$A:$AK,COLUMN()-6,FALSE)</f>
        <v>45143</v>
      </c>
      <c r="K216" s="18" t="str">
        <f>VLOOKUP($A216,'FA Addition'!$A:$AK,COLUMN()-6,FALSE)</f>
        <v>Router</v>
      </c>
      <c r="L216" s="19">
        <f>VLOOKUP($A216,'FA Addition'!$A:$AK,COLUMN(),FALSE)</f>
        <v>1872000</v>
      </c>
      <c r="M216" s="20">
        <f>VLOOKUP($A216,'FA Addition'!$A:$AK,COLUMN()+2,FALSE)</f>
        <v>5</v>
      </c>
      <c r="N216" s="21">
        <f>VLOOKUP($A216,'FA Addition'!$A:$AK,COLUMN()+2,FALSE)</f>
        <v>0.2</v>
      </c>
      <c r="O216" s="22">
        <f>'FA Write off'!$N216*'FA Write off'!$L216*'FA Write off'!$H216/365</f>
        <v>620580.82191780827</v>
      </c>
    </row>
    <row r="217" spans="1:15" s="4" customFormat="1" hidden="1" x14ac:dyDescent="0.4">
      <c r="A217" s="23">
        <v>764</v>
      </c>
      <c r="B217" s="13" t="s">
        <v>1758</v>
      </c>
      <c r="C217" s="14">
        <v>45747</v>
      </c>
      <c r="D217" s="23">
        <v>147</v>
      </c>
      <c r="E217" s="15"/>
      <c r="F217" s="15"/>
      <c r="G217" s="16">
        <f>MONTH('FA Write off'!$C217)</f>
        <v>3</v>
      </c>
      <c r="H217" s="16">
        <f>MIN('FA Write off'!$C217-'FA Write off'!$J217+1,'FA Write off'!$M217*365)</f>
        <v>581</v>
      </c>
      <c r="I217" s="17">
        <f>VLOOKUP($A217,'FA Addition'!$A:$AK,COLUMN()-6,FALSE)</f>
        <v>45167</v>
      </c>
      <c r="J217" s="17">
        <f>VLOOKUP($A217,'FA Addition'!$A:$AK,COLUMN()-6,FALSE)</f>
        <v>45167</v>
      </c>
      <c r="K217" s="18" t="str">
        <f>VLOOKUP($A217,'FA Addition'!$A:$AK,COLUMN()-6,FALSE)</f>
        <v>Router</v>
      </c>
      <c r="L217" s="19">
        <f>VLOOKUP($A217,'FA Addition'!$A:$AK,COLUMN(),FALSE)</f>
        <v>2079000</v>
      </c>
      <c r="M217" s="20">
        <f>VLOOKUP($A217,'FA Addition'!$A:$AK,COLUMN()+2,FALSE)</f>
        <v>5</v>
      </c>
      <c r="N217" s="21">
        <f>VLOOKUP($A217,'FA Addition'!$A:$AK,COLUMN()+2,FALSE)</f>
        <v>0.2</v>
      </c>
      <c r="O217" s="22">
        <f>'FA Write off'!$N217*'FA Write off'!$L217*'FA Write off'!$H217/365</f>
        <v>661862.46575342468</v>
      </c>
    </row>
    <row r="218" spans="1:15" s="4" customFormat="1" hidden="1" x14ac:dyDescent="0.4">
      <c r="A218" s="23">
        <v>781</v>
      </c>
      <c r="B218" s="13" t="s">
        <v>1758</v>
      </c>
      <c r="C218" s="14">
        <v>45747</v>
      </c>
      <c r="D218" s="23">
        <v>288</v>
      </c>
      <c r="E218" s="15"/>
      <c r="F218" s="15"/>
      <c r="G218" s="16">
        <f>MONTH('FA Write off'!$C218)</f>
        <v>3</v>
      </c>
      <c r="H218" s="16">
        <f>MIN('FA Write off'!$C218-'FA Write off'!$J218+1,'FA Write off'!$M218*365)</f>
        <v>575</v>
      </c>
      <c r="I218" s="17">
        <f>VLOOKUP($A218,'FA Addition'!$A:$AK,COLUMN()-6,FALSE)</f>
        <v>45173</v>
      </c>
      <c r="J218" s="17">
        <f>VLOOKUP($A218,'FA Addition'!$A:$AK,COLUMN()-6,FALSE)</f>
        <v>45173</v>
      </c>
      <c r="K218" s="18" t="str">
        <f>VLOOKUP($A218,'FA Addition'!$A:$AK,COLUMN()-6,FALSE)</f>
        <v>Router</v>
      </c>
      <c r="L218" s="19">
        <f>VLOOKUP($A218,'FA Addition'!$A:$AK,COLUMN(),FALSE)</f>
        <v>2079000</v>
      </c>
      <c r="M218" s="20">
        <f>VLOOKUP($A218,'FA Addition'!$A:$AK,COLUMN()+2,FALSE)</f>
        <v>5</v>
      </c>
      <c r="N218" s="21">
        <f>VLOOKUP($A218,'FA Addition'!$A:$AK,COLUMN()+2,FALSE)</f>
        <v>0.2</v>
      </c>
      <c r="O218" s="22">
        <f>'FA Write off'!$N218*'FA Write off'!$L218*'FA Write off'!$H218/365</f>
        <v>655027.39726027392</v>
      </c>
    </row>
    <row r="219" spans="1:15" s="4" customFormat="1" hidden="1" x14ac:dyDescent="0.4">
      <c r="A219" s="23">
        <v>787</v>
      </c>
      <c r="B219" s="13" t="s">
        <v>1758</v>
      </c>
      <c r="C219" s="14">
        <v>45747</v>
      </c>
      <c r="D219" s="23">
        <v>277</v>
      </c>
      <c r="E219" s="15"/>
      <c r="F219" s="15"/>
      <c r="G219" s="16">
        <f>MONTH('FA Write off'!$C219)</f>
        <v>3</v>
      </c>
      <c r="H219" s="16">
        <f>MIN('FA Write off'!$C219-'FA Write off'!$J219+1,'FA Write off'!$M219*365)</f>
        <v>572</v>
      </c>
      <c r="I219" s="17">
        <f>VLOOKUP($A219,'FA Addition'!$A:$AK,COLUMN()-6,FALSE)</f>
        <v>45176</v>
      </c>
      <c r="J219" s="17">
        <f>VLOOKUP($A219,'FA Addition'!$A:$AK,COLUMN()-6,FALSE)</f>
        <v>45176</v>
      </c>
      <c r="K219" s="18" t="str">
        <f>VLOOKUP($A219,'FA Addition'!$A:$AK,COLUMN()-6,FALSE)</f>
        <v>Router</v>
      </c>
      <c r="L219" s="19">
        <f>VLOOKUP($A219,'FA Addition'!$A:$AK,COLUMN(),FALSE)</f>
        <v>1089000</v>
      </c>
      <c r="M219" s="20">
        <f>VLOOKUP($A219,'FA Addition'!$A:$AK,COLUMN()+2,FALSE)</f>
        <v>5</v>
      </c>
      <c r="N219" s="21">
        <f>VLOOKUP($A219,'FA Addition'!$A:$AK,COLUMN()+2,FALSE)</f>
        <v>0.2</v>
      </c>
      <c r="O219" s="22">
        <f>'FA Write off'!$N219*'FA Write off'!$L219*'FA Write off'!$H219/365</f>
        <v>341319.45205479453</v>
      </c>
    </row>
    <row r="220" spans="1:15" s="4" customFormat="1" hidden="1" x14ac:dyDescent="0.4">
      <c r="A220" s="23">
        <v>799</v>
      </c>
      <c r="B220" s="13" t="s">
        <v>1758</v>
      </c>
      <c r="C220" s="14">
        <v>45747</v>
      </c>
      <c r="D220" s="23">
        <v>78</v>
      </c>
      <c r="E220" s="15"/>
      <c r="F220" s="15"/>
      <c r="G220" s="16">
        <f>MONTH('FA Write off'!$C220)</f>
        <v>3</v>
      </c>
      <c r="H220" s="16">
        <f>MIN('FA Write off'!$C220-'FA Write off'!$J220+1,'FA Write off'!$M220*365)</f>
        <v>561</v>
      </c>
      <c r="I220" s="17">
        <f>VLOOKUP($A220,'FA Addition'!$A:$AK,COLUMN()-6,FALSE)</f>
        <v>45187</v>
      </c>
      <c r="J220" s="17">
        <f>VLOOKUP($A220,'FA Addition'!$A:$AK,COLUMN()-6,FALSE)</f>
        <v>45187</v>
      </c>
      <c r="K220" s="18" t="str">
        <f>VLOOKUP($A220,'FA Addition'!$A:$AK,COLUMN()-6,FALSE)</f>
        <v>Router</v>
      </c>
      <c r="L220" s="19">
        <f>VLOOKUP($A220,'FA Addition'!$A:$AK,COLUMN(),FALSE)</f>
        <v>1485000</v>
      </c>
      <c r="M220" s="20">
        <f>VLOOKUP($A220,'FA Addition'!$A:$AK,COLUMN()+2,FALSE)</f>
        <v>5</v>
      </c>
      <c r="N220" s="21">
        <f>VLOOKUP($A220,'FA Addition'!$A:$AK,COLUMN()+2,FALSE)</f>
        <v>0.2</v>
      </c>
      <c r="O220" s="22">
        <f>'FA Write off'!$N220*'FA Write off'!$L220*'FA Write off'!$H220/365</f>
        <v>456484.9315068493</v>
      </c>
    </row>
    <row r="221" spans="1:15" s="4" customFormat="1" hidden="1" x14ac:dyDescent="0.4">
      <c r="A221" s="23">
        <v>800</v>
      </c>
      <c r="B221" s="13" t="s">
        <v>1758</v>
      </c>
      <c r="C221" s="14">
        <v>45747</v>
      </c>
      <c r="D221" s="23">
        <v>262</v>
      </c>
      <c r="E221" s="15"/>
      <c r="F221" s="15"/>
      <c r="G221" s="16">
        <f>MONTH('FA Write off'!$C221)</f>
        <v>3</v>
      </c>
      <c r="H221" s="16">
        <f>MIN('FA Write off'!$C221-'FA Write off'!$J221+1,'FA Write off'!$M221*365)</f>
        <v>559</v>
      </c>
      <c r="I221" s="17">
        <f>VLOOKUP($A221,'FA Addition'!$A:$AK,COLUMN()-6,FALSE)</f>
        <v>45189</v>
      </c>
      <c r="J221" s="17">
        <f>VLOOKUP($A221,'FA Addition'!$A:$AK,COLUMN()-6,FALSE)</f>
        <v>45189</v>
      </c>
      <c r="K221" s="18" t="str">
        <f>VLOOKUP($A221,'FA Addition'!$A:$AK,COLUMN()-6,FALSE)</f>
        <v>Router</v>
      </c>
      <c r="L221" s="19">
        <f>VLOOKUP($A221,'FA Addition'!$A:$AK,COLUMN(),FALSE)</f>
        <v>1485000</v>
      </c>
      <c r="M221" s="20">
        <f>VLOOKUP($A221,'FA Addition'!$A:$AK,COLUMN()+2,FALSE)</f>
        <v>5</v>
      </c>
      <c r="N221" s="21">
        <f>VLOOKUP($A221,'FA Addition'!$A:$AK,COLUMN()+2,FALSE)</f>
        <v>0.2</v>
      </c>
      <c r="O221" s="22">
        <f>'FA Write off'!$N221*'FA Write off'!$L221*'FA Write off'!$H221/365</f>
        <v>454857.53424657532</v>
      </c>
    </row>
    <row r="222" spans="1:15" s="4" customFormat="1" hidden="1" x14ac:dyDescent="0.4">
      <c r="A222" s="23">
        <v>802</v>
      </c>
      <c r="B222" s="13" t="s">
        <v>1758</v>
      </c>
      <c r="C222" s="14">
        <v>45747</v>
      </c>
      <c r="D222" s="23">
        <v>332</v>
      </c>
      <c r="E222" s="15"/>
      <c r="F222" s="15"/>
      <c r="G222" s="16">
        <f>MONTH('FA Write off'!$C222)</f>
        <v>3</v>
      </c>
      <c r="H222" s="16">
        <f>MIN('FA Write off'!$C222-'FA Write off'!$J222+1,'FA Write off'!$M222*365)</f>
        <v>553</v>
      </c>
      <c r="I222" s="17">
        <f>VLOOKUP($A222,'FA Addition'!$A:$AK,COLUMN()-6,FALSE)</f>
        <v>45195</v>
      </c>
      <c r="J222" s="17">
        <f>VLOOKUP($A222,'FA Addition'!$A:$AK,COLUMN()-6,FALSE)</f>
        <v>45195</v>
      </c>
      <c r="K222" s="18" t="str">
        <f>VLOOKUP($A222,'FA Addition'!$A:$AK,COLUMN()-6,FALSE)</f>
        <v>ONT-Optical Network Terminal</v>
      </c>
      <c r="L222" s="19">
        <f>VLOOKUP($A222,'FA Addition'!$A:$AK,COLUMN(),FALSE)</f>
        <v>1700000</v>
      </c>
      <c r="M222" s="20">
        <f>VLOOKUP($A222,'FA Addition'!$A:$AK,COLUMN()+2,FALSE)</f>
        <v>5</v>
      </c>
      <c r="N222" s="21">
        <f>VLOOKUP($A222,'FA Addition'!$A:$AK,COLUMN()+2,FALSE)</f>
        <v>0.2</v>
      </c>
      <c r="O222" s="22">
        <f>'FA Write off'!$N222*'FA Write off'!$L222*'FA Write off'!$H222/365</f>
        <v>515123.28767123289</v>
      </c>
    </row>
    <row r="223" spans="1:15" s="4" customFormat="1" hidden="1" x14ac:dyDescent="0.4">
      <c r="A223" s="23">
        <v>804</v>
      </c>
      <c r="B223" s="13" t="s">
        <v>1758</v>
      </c>
      <c r="C223" s="14">
        <v>45747</v>
      </c>
      <c r="D223" s="23">
        <v>404</v>
      </c>
      <c r="E223" s="15"/>
      <c r="F223" s="15"/>
      <c r="G223" s="16">
        <f>MONTH('FA Write off'!$C223)</f>
        <v>3</v>
      </c>
      <c r="H223" s="16">
        <f>MIN('FA Write off'!$C223-'FA Write off'!$J223+1,'FA Write off'!$M223*365)</f>
        <v>551</v>
      </c>
      <c r="I223" s="17">
        <f>VLOOKUP($A223,'FA Addition'!$A:$AK,COLUMN()-6,FALSE)</f>
        <v>45197</v>
      </c>
      <c r="J223" s="17">
        <f>VLOOKUP($A223,'FA Addition'!$A:$AK,COLUMN()-6,FALSE)</f>
        <v>45197</v>
      </c>
      <c r="K223" s="18" t="str">
        <f>VLOOKUP($A223,'FA Addition'!$A:$AK,COLUMN()-6,FALSE)</f>
        <v>Router</v>
      </c>
      <c r="L223" s="19">
        <f>VLOOKUP($A223,'FA Addition'!$A:$AK,COLUMN(),FALSE)</f>
        <v>495000</v>
      </c>
      <c r="M223" s="20">
        <f>VLOOKUP($A223,'FA Addition'!$A:$AK,COLUMN()+2,FALSE)</f>
        <v>5</v>
      </c>
      <c r="N223" s="21">
        <f>VLOOKUP($A223,'FA Addition'!$A:$AK,COLUMN()+2,FALSE)</f>
        <v>0.2</v>
      </c>
      <c r="O223" s="22">
        <f>'FA Write off'!$N223*'FA Write off'!$L223*'FA Write off'!$H223/365</f>
        <v>149449.31506849316</v>
      </c>
    </row>
    <row r="224" spans="1:15" s="4" customFormat="1" hidden="1" x14ac:dyDescent="0.4">
      <c r="A224" s="23">
        <v>815</v>
      </c>
      <c r="B224" s="13" t="s">
        <v>1758</v>
      </c>
      <c r="C224" s="14">
        <v>45747</v>
      </c>
      <c r="D224" s="23">
        <v>481</v>
      </c>
      <c r="E224" s="15"/>
      <c r="F224" s="15"/>
      <c r="G224" s="16">
        <f>MONTH('FA Write off'!$C224)</f>
        <v>3</v>
      </c>
      <c r="H224" s="16">
        <f>MIN('FA Write off'!$C224-'FA Write off'!$J224+1,'FA Write off'!$M224*365)</f>
        <v>539</v>
      </c>
      <c r="I224" s="17">
        <f>VLOOKUP($A224,'FA Addition'!$A:$AK,COLUMN()-6,FALSE)</f>
        <v>45209</v>
      </c>
      <c r="J224" s="17">
        <f>VLOOKUP($A224,'FA Addition'!$A:$AK,COLUMN()-6,FALSE)</f>
        <v>45209</v>
      </c>
      <c r="K224" s="18" t="str">
        <f>VLOOKUP($A224,'FA Addition'!$A:$AK,COLUMN()-6,FALSE)</f>
        <v>Router</v>
      </c>
      <c r="L224" s="19">
        <f>VLOOKUP($A224,'FA Addition'!$A:$AK,COLUMN(),FALSE)</f>
        <v>1287000</v>
      </c>
      <c r="M224" s="20">
        <f>VLOOKUP($A224,'FA Addition'!$A:$AK,COLUMN()+2,FALSE)</f>
        <v>5</v>
      </c>
      <c r="N224" s="21">
        <f>VLOOKUP($A224,'FA Addition'!$A:$AK,COLUMN()+2,FALSE)</f>
        <v>0.2</v>
      </c>
      <c r="O224" s="22">
        <f>'FA Write off'!$N224*'FA Write off'!$L224*'FA Write off'!$H224/365</f>
        <v>380105.75342465751</v>
      </c>
    </row>
    <row r="225" spans="1:15" s="4" customFormat="1" hidden="1" x14ac:dyDescent="0.4">
      <c r="A225" s="23">
        <v>826</v>
      </c>
      <c r="B225" s="13" t="s">
        <v>1758</v>
      </c>
      <c r="C225" s="14">
        <v>45747</v>
      </c>
      <c r="D225" s="23">
        <v>1172</v>
      </c>
      <c r="E225" s="15"/>
      <c r="F225" s="15"/>
      <c r="G225" s="16">
        <f>MONTH('FA Write off'!$C225)</f>
        <v>3</v>
      </c>
      <c r="H225" s="16">
        <f>MIN('FA Write off'!$C225-'FA Write off'!$J225+1,'FA Write off'!$M225*365)</f>
        <v>523</v>
      </c>
      <c r="I225" s="17">
        <f>VLOOKUP($A225,'FA Addition'!$A:$AK,COLUMN()-6,FALSE)</f>
        <v>45225</v>
      </c>
      <c r="J225" s="17">
        <f>VLOOKUP($A225,'FA Addition'!$A:$AK,COLUMN()-6,FALSE)</f>
        <v>45225</v>
      </c>
      <c r="K225" s="18" t="str">
        <f>VLOOKUP($A225,'FA Addition'!$A:$AK,COLUMN()-6,FALSE)</f>
        <v>Router</v>
      </c>
      <c r="L225" s="19">
        <f>VLOOKUP($A225,'FA Addition'!$A:$AK,COLUMN(),FALSE)</f>
        <v>1485000</v>
      </c>
      <c r="M225" s="20">
        <f>VLOOKUP($A225,'FA Addition'!$A:$AK,COLUMN()+2,FALSE)</f>
        <v>5</v>
      </c>
      <c r="N225" s="21">
        <f>VLOOKUP($A225,'FA Addition'!$A:$AK,COLUMN()+2,FALSE)</f>
        <v>0.2</v>
      </c>
      <c r="O225" s="22">
        <f>'FA Write off'!$N225*'FA Write off'!$L225*'FA Write off'!$H225/365</f>
        <v>425564.38356164383</v>
      </c>
    </row>
    <row r="226" spans="1:15" s="4" customFormat="1" hidden="1" x14ac:dyDescent="0.4">
      <c r="A226" s="23">
        <v>865</v>
      </c>
      <c r="B226" s="13" t="s">
        <v>1758</v>
      </c>
      <c r="C226" s="14">
        <v>45747</v>
      </c>
      <c r="D226" s="23">
        <v>232</v>
      </c>
      <c r="E226" s="15"/>
      <c r="F226" s="15"/>
      <c r="G226" s="16">
        <f>MONTH('FA Write off'!$C226)</f>
        <v>3</v>
      </c>
      <c r="H226" s="16">
        <f>MIN('FA Write off'!$C226-'FA Write off'!$J226+1,'FA Write off'!$M226*365)</f>
        <v>487</v>
      </c>
      <c r="I226" s="17">
        <f>VLOOKUP($A226,'FA Addition'!$A:$AK,COLUMN()-6,FALSE)</f>
        <v>45261</v>
      </c>
      <c r="J226" s="17">
        <f>VLOOKUP($A226,'FA Addition'!$A:$AK,COLUMN()-6,FALSE)</f>
        <v>45261</v>
      </c>
      <c r="K226" s="18" t="str">
        <f>VLOOKUP($A226,'FA Addition'!$A:$AK,COLUMN()-6,FALSE)</f>
        <v>Router</v>
      </c>
      <c r="L226" s="19">
        <f>VLOOKUP($A226,'FA Addition'!$A:$AK,COLUMN(),FALSE)</f>
        <v>495000</v>
      </c>
      <c r="M226" s="20">
        <f>VLOOKUP($A226,'FA Addition'!$A:$AK,COLUMN()+2,FALSE)</f>
        <v>5</v>
      </c>
      <c r="N226" s="21">
        <f>VLOOKUP($A226,'FA Addition'!$A:$AK,COLUMN()+2,FALSE)</f>
        <v>0.2</v>
      </c>
      <c r="O226" s="22">
        <f>'FA Write off'!$N226*'FA Write off'!$L226*'FA Write off'!$H226/365</f>
        <v>132090.4109589041</v>
      </c>
    </row>
    <row r="227" spans="1:15" s="4" customFormat="1" hidden="1" x14ac:dyDescent="0.4">
      <c r="A227" s="23">
        <v>868</v>
      </c>
      <c r="B227" s="13" t="s">
        <v>1758</v>
      </c>
      <c r="C227" s="14">
        <v>45747</v>
      </c>
      <c r="D227" s="23">
        <v>238</v>
      </c>
      <c r="E227" s="15"/>
      <c r="F227" s="15"/>
      <c r="G227" s="16">
        <f>MONTH('FA Write off'!$C227)</f>
        <v>3</v>
      </c>
      <c r="H227" s="16">
        <f>MIN('FA Write off'!$C227-'FA Write off'!$J227+1,'FA Write off'!$M227*365)</f>
        <v>479</v>
      </c>
      <c r="I227" s="17">
        <f>VLOOKUP($A227,'FA Addition'!$A:$AK,COLUMN()-6,FALSE)</f>
        <v>45269</v>
      </c>
      <c r="J227" s="17">
        <f>VLOOKUP($A227,'FA Addition'!$A:$AK,COLUMN()-6,FALSE)</f>
        <v>45269</v>
      </c>
      <c r="K227" s="18" t="str">
        <f>VLOOKUP($A227,'FA Addition'!$A:$AK,COLUMN()-6,FALSE)</f>
        <v>Router</v>
      </c>
      <c r="L227" s="19">
        <f>VLOOKUP($A227,'FA Addition'!$A:$AK,COLUMN(),FALSE)</f>
        <v>1485000</v>
      </c>
      <c r="M227" s="20">
        <f>VLOOKUP($A227,'FA Addition'!$A:$AK,COLUMN()+2,FALSE)</f>
        <v>5</v>
      </c>
      <c r="N227" s="21">
        <f>VLOOKUP($A227,'FA Addition'!$A:$AK,COLUMN()+2,FALSE)</f>
        <v>0.2</v>
      </c>
      <c r="O227" s="22">
        <f>'FA Write off'!$N227*'FA Write off'!$L227*'FA Write off'!$H227/365</f>
        <v>389761.64383561641</v>
      </c>
    </row>
    <row r="228" spans="1:15" s="4" customFormat="1" hidden="1" x14ac:dyDescent="0.4">
      <c r="A228" s="23">
        <v>870</v>
      </c>
      <c r="B228" s="13" t="s">
        <v>1758</v>
      </c>
      <c r="C228" s="14">
        <v>45747</v>
      </c>
      <c r="D228" s="23">
        <v>168</v>
      </c>
      <c r="E228" s="15"/>
      <c r="F228" s="15"/>
      <c r="G228" s="16">
        <f>MONTH('FA Write off'!$C228)</f>
        <v>3</v>
      </c>
      <c r="H228" s="16">
        <f>MIN('FA Write off'!$C228-'FA Write off'!$J228+1,'FA Write off'!$M228*365)</f>
        <v>472</v>
      </c>
      <c r="I228" s="17">
        <f>VLOOKUP($A228,'FA Addition'!$A:$AK,COLUMN()-6,FALSE)</f>
        <v>45276</v>
      </c>
      <c r="J228" s="17">
        <f>VLOOKUP($A228,'FA Addition'!$A:$AK,COLUMN()-6,FALSE)</f>
        <v>45276</v>
      </c>
      <c r="K228" s="18" t="str">
        <f>VLOOKUP($A228,'FA Addition'!$A:$AK,COLUMN()-6,FALSE)</f>
        <v>Router</v>
      </c>
      <c r="L228" s="19">
        <f>VLOOKUP($A228,'FA Addition'!$A:$AK,COLUMN(),FALSE)</f>
        <v>1485000</v>
      </c>
      <c r="M228" s="20">
        <f>VLOOKUP($A228,'FA Addition'!$A:$AK,COLUMN()+2,FALSE)</f>
        <v>5</v>
      </c>
      <c r="N228" s="21">
        <f>VLOOKUP($A228,'FA Addition'!$A:$AK,COLUMN()+2,FALSE)</f>
        <v>0.2</v>
      </c>
      <c r="O228" s="22">
        <f>'FA Write off'!$N228*'FA Write off'!$L228*'FA Write off'!$H228/365</f>
        <v>384065.75342465751</v>
      </c>
    </row>
    <row r="229" spans="1:15" s="4" customFormat="1" hidden="1" x14ac:dyDescent="0.4">
      <c r="A229" s="23">
        <v>871</v>
      </c>
      <c r="B229" s="13" t="s">
        <v>1758</v>
      </c>
      <c r="C229" s="14">
        <v>45747</v>
      </c>
      <c r="D229" s="23">
        <v>30</v>
      </c>
      <c r="E229" s="15"/>
      <c r="F229" s="15"/>
      <c r="G229" s="16">
        <f>MONTH('FA Write off'!$C229)</f>
        <v>3</v>
      </c>
      <c r="H229" s="16">
        <f>MIN('FA Write off'!$C229-'FA Write off'!$J229+1,'FA Write off'!$M229*365)</f>
        <v>472</v>
      </c>
      <c r="I229" s="17">
        <f>VLOOKUP($A229,'FA Addition'!$A:$AK,COLUMN()-6,FALSE)</f>
        <v>45276</v>
      </c>
      <c r="J229" s="17">
        <f>VLOOKUP($A229,'FA Addition'!$A:$AK,COLUMN()-6,FALSE)</f>
        <v>45276</v>
      </c>
      <c r="K229" s="18" t="str">
        <f>VLOOKUP($A229,'FA Addition'!$A:$AK,COLUMN()-6,FALSE)</f>
        <v>ONT-Optical Network Terminal</v>
      </c>
      <c r="L229" s="19">
        <f>VLOOKUP($A229,'FA Addition'!$A:$AK,COLUMN(),FALSE)</f>
        <v>1360000</v>
      </c>
      <c r="M229" s="20">
        <f>VLOOKUP($A229,'FA Addition'!$A:$AK,COLUMN()+2,FALSE)</f>
        <v>5</v>
      </c>
      <c r="N229" s="21">
        <f>VLOOKUP($A229,'FA Addition'!$A:$AK,COLUMN()+2,FALSE)</f>
        <v>0.2</v>
      </c>
      <c r="O229" s="22">
        <f>'FA Write off'!$N229*'FA Write off'!$L229*'FA Write off'!$H229/365</f>
        <v>351736.98630136985</v>
      </c>
    </row>
    <row r="230" spans="1:15" s="4" customFormat="1" hidden="1" x14ac:dyDescent="0.4">
      <c r="A230" s="23">
        <v>873</v>
      </c>
      <c r="B230" s="13" t="s">
        <v>1758</v>
      </c>
      <c r="C230" s="14">
        <v>45747</v>
      </c>
      <c r="D230" s="23">
        <v>164</v>
      </c>
      <c r="E230" s="15"/>
      <c r="F230" s="15"/>
      <c r="G230" s="16">
        <f>MONTH('FA Write off'!$C230)</f>
        <v>3</v>
      </c>
      <c r="H230" s="16">
        <f>MIN('FA Write off'!$C230-'FA Write off'!$J230+1,'FA Write off'!$M230*365)</f>
        <v>469</v>
      </c>
      <c r="I230" s="17">
        <f>VLOOKUP($A230,'FA Addition'!$A:$AK,COLUMN()-6,FALSE)</f>
        <v>45279</v>
      </c>
      <c r="J230" s="17">
        <f>VLOOKUP($A230,'FA Addition'!$A:$AK,COLUMN()-6,FALSE)</f>
        <v>45279</v>
      </c>
      <c r="K230" s="18" t="str">
        <f>VLOOKUP($A230,'FA Addition'!$A:$AK,COLUMN()-6,FALSE)</f>
        <v>ONT-Optical Network Terminal</v>
      </c>
      <c r="L230" s="19">
        <f>VLOOKUP($A230,'FA Addition'!$A:$AK,COLUMN(),FALSE)</f>
        <v>1870000</v>
      </c>
      <c r="M230" s="20">
        <f>VLOOKUP($A230,'FA Addition'!$A:$AK,COLUMN()+2,FALSE)</f>
        <v>5</v>
      </c>
      <c r="N230" s="21">
        <f>VLOOKUP($A230,'FA Addition'!$A:$AK,COLUMN()+2,FALSE)</f>
        <v>0.2</v>
      </c>
      <c r="O230" s="22">
        <f>'FA Write off'!$N230*'FA Write off'!$L230*'FA Write off'!$H230/365</f>
        <v>480564.38356164383</v>
      </c>
    </row>
    <row r="231" spans="1:15" s="4" customFormat="1" hidden="1" x14ac:dyDescent="0.4">
      <c r="A231" s="23">
        <v>875</v>
      </c>
      <c r="B231" s="13" t="s">
        <v>1758</v>
      </c>
      <c r="C231" s="14">
        <v>45747</v>
      </c>
      <c r="D231" s="23">
        <v>248</v>
      </c>
      <c r="E231" s="15"/>
      <c r="F231" s="15"/>
      <c r="G231" s="16">
        <f>MONTH('FA Write off'!$C231)</f>
        <v>3</v>
      </c>
      <c r="H231" s="16">
        <f>MIN('FA Write off'!$C231-'FA Write off'!$J231+1,'FA Write off'!$M231*365)</f>
        <v>468</v>
      </c>
      <c r="I231" s="17">
        <f>VLOOKUP($A231,'FA Addition'!$A:$AK,COLUMN()-6,FALSE)</f>
        <v>45280</v>
      </c>
      <c r="J231" s="17">
        <f>VLOOKUP($A231,'FA Addition'!$A:$AK,COLUMN()-6,FALSE)</f>
        <v>45280</v>
      </c>
      <c r="K231" s="18" t="str">
        <f>VLOOKUP($A231,'FA Addition'!$A:$AK,COLUMN()-6,FALSE)</f>
        <v>Router</v>
      </c>
      <c r="L231" s="19">
        <f>VLOOKUP($A231,'FA Addition'!$A:$AK,COLUMN(),FALSE)</f>
        <v>495000</v>
      </c>
      <c r="M231" s="20">
        <f>VLOOKUP($A231,'FA Addition'!$A:$AK,COLUMN()+2,FALSE)</f>
        <v>5</v>
      </c>
      <c r="N231" s="21">
        <f>VLOOKUP($A231,'FA Addition'!$A:$AK,COLUMN()+2,FALSE)</f>
        <v>0.2</v>
      </c>
      <c r="O231" s="22">
        <f>'FA Write off'!$N231*'FA Write off'!$L231*'FA Write off'!$H231/365</f>
        <v>126936.98630136986</v>
      </c>
    </row>
    <row r="232" spans="1:15" s="4" customFormat="1" hidden="1" x14ac:dyDescent="0.4">
      <c r="A232" s="23">
        <v>884</v>
      </c>
      <c r="B232" s="13" t="s">
        <v>1758</v>
      </c>
      <c r="C232" s="14">
        <v>45747</v>
      </c>
      <c r="D232" s="23">
        <v>119</v>
      </c>
      <c r="E232" s="15"/>
      <c r="F232" s="15"/>
      <c r="G232" s="16">
        <f>MONTH('FA Write off'!$C232)</f>
        <v>3</v>
      </c>
      <c r="H232" s="16">
        <f>MIN('FA Write off'!$C232-'FA Write off'!$J232+1,'FA Write off'!$M232*365)</f>
        <v>459</v>
      </c>
      <c r="I232" s="17">
        <f>VLOOKUP($A232,'FA Addition'!$A:$AK,COLUMN()-6,FALSE)</f>
        <v>45289</v>
      </c>
      <c r="J232" s="17">
        <f>VLOOKUP($A232,'FA Addition'!$A:$AK,COLUMN()-6,FALSE)</f>
        <v>45289</v>
      </c>
      <c r="K232" s="18" t="str">
        <f>VLOOKUP($A232,'FA Addition'!$A:$AK,COLUMN()-6,FALSE)</f>
        <v>ONT-Optical Network Terminal</v>
      </c>
      <c r="L232" s="19">
        <f>VLOOKUP($A232,'FA Addition'!$A:$AK,COLUMN(),FALSE)</f>
        <v>1700000</v>
      </c>
      <c r="M232" s="20">
        <f>VLOOKUP($A232,'FA Addition'!$A:$AK,COLUMN()+2,FALSE)</f>
        <v>5</v>
      </c>
      <c r="N232" s="21">
        <f>VLOOKUP($A232,'FA Addition'!$A:$AK,COLUMN()+2,FALSE)</f>
        <v>0.2</v>
      </c>
      <c r="O232" s="22">
        <f>'FA Write off'!$N232*'FA Write off'!$L232*'FA Write off'!$H232/365</f>
        <v>427561.64383561641</v>
      </c>
    </row>
    <row r="233" spans="1:15" s="4" customFormat="1" hidden="1" x14ac:dyDescent="0.4">
      <c r="A233" s="23">
        <v>886</v>
      </c>
      <c r="B233" s="13" t="s">
        <v>1758</v>
      </c>
      <c r="C233" s="14">
        <v>45747</v>
      </c>
      <c r="D233" s="23">
        <v>2</v>
      </c>
      <c r="E233" s="15"/>
      <c r="F233" s="15"/>
      <c r="G233" s="16">
        <f>MONTH('FA Write off'!$C233)</f>
        <v>3</v>
      </c>
      <c r="H233" s="16">
        <f>MIN('FA Write off'!$C233-'FA Write off'!$J233+1,'FA Write off'!$M233*365)</f>
        <v>459</v>
      </c>
      <c r="I233" s="17">
        <f>VLOOKUP($A233,'FA Addition'!$A:$AK,COLUMN()-6,FALSE)</f>
        <v>45289</v>
      </c>
      <c r="J233" s="17">
        <f>VLOOKUP($A233,'FA Addition'!$A:$AK,COLUMN()-6,FALSE)</f>
        <v>45289</v>
      </c>
      <c r="K233" s="18" t="str">
        <f>VLOOKUP($A233,'FA Addition'!$A:$AK,COLUMN()-6,FALSE)</f>
        <v>Router</v>
      </c>
      <c r="L233" s="19">
        <f>VLOOKUP($A233,'FA Addition'!$A:$AK,COLUMN(),FALSE)</f>
        <v>495000</v>
      </c>
      <c r="M233" s="20">
        <f>VLOOKUP($A233,'FA Addition'!$A:$AK,COLUMN()+2,FALSE)</f>
        <v>5</v>
      </c>
      <c r="N233" s="21">
        <f>VLOOKUP($A233,'FA Addition'!$A:$AK,COLUMN()+2,FALSE)</f>
        <v>0.2</v>
      </c>
      <c r="O233" s="22">
        <f>'FA Write off'!$N233*'FA Write off'!$L233*'FA Write off'!$H233/365</f>
        <v>124495.89041095891</v>
      </c>
    </row>
    <row r="234" spans="1:15" s="4" customFormat="1" hidden="1" x14ac:dyDescent="0.4">
      <c r="A234" s="23">
        <v>887</v>
      </c>
      <c r="B234" s="13" t="s">
        <v>1758</v>
      </c>
      <c r="C234" s="14">
        <v>45747</v>
      </c>
      <c r="D234" s="23">
        <v>58</v>
      </c>
      <c r="E234" s="15"/>
      <c r="F234" s="15"/>
      <c r="G234" s="16">
        <f>MONTH('FA Write off'!$C234)</f>
        <v>3</v>
      </c>
      <c r="H234" s="16">
        <f>MIN('FA Write off'!$C234-'FA Write off'!$J234+1,'FA Write off'!$M234*365)</f>
        <v>458</v>
      </c>
      <c r="I234" s="17">
        <f>VLOOKUP($A234,'FA Addition'!$A:$AK,COLUMN()-6,FALSE)</f>
        <v>45290</v>
      </c>
      <c r="J234" s="17">
        <f>VLOOKUP($A234,'FA Addition'!$A:$AK,COLUMN()-6,FALSE)</f>
        <v>45290</v>
      </c>
      <c r="K234" s="18" t="str">
        <f>VLOOKUP($A234,'FA Addition'!$A:$AK,COLUMN()-6,FALSE)</f>
        <v>Router</v>
      </c>
      <c r="L234" s="19">
        <f>VLOOKUP($A234,'FA Addition'!$A:$AK,COLUMN(),FALSE)</f>
        <v>1485000</v>
      </c>
      <c r="M234" s="20">
        <f>VLOOKUP($A234,'FA Addition'!$A:$AK,COLUMN()+2,FALSE)</f>
        <v>5</v>
      </c>
      <c r="N234" s="21">
        <f>VLOOKUP($A234,'FA Addition'!$A:$AK,COLUMN()+2,FALSE)</f>
        <v>0.2</v>
      </c>
      <c r="O234" s="22">
        <f>'FA Write off'!$N234*'FA Write off'!$L234*'FA Write off'!$H234/365</f>
        <v>372673.9726027397</v>
      </c>
    </row>
    <row r="235" spans="1:15" s="4" customFormat="1" hidden="1" x14ac:dyDescent="0.4">
      <c r="A235" s="23">
        <v>893</v>
      </c>
      <c r="B235" s="13" t="s">
        <v>1758</v>
      </c>
      <c r="C235" s="14">
        <v>45747</v>
      </c>
      <c r="D235" s="23">
        <v>140</v>
      </c>
      <c r="E235" s="15"/>
      <c r="F235" s="15"/>
      <c r="G235" s="16">
        <f>MONTH('FA Write off'!$C235)</f>
        <v>3</v>
      </c>
      <c r="H235" s="16">
        <f>MIN('FA Write off'!$C235-'FA Write off'!$J235+1,'FA Write off'!$M235*365)</f>
        <v>454</v>
      </c>
      <c r="I235" s="17">
        <f>VLOOKUP($A235,'FA Addition'!$A:$AK,COLUMN()-6,FALSE)</f>
        <v>45294</v>
      </c>
      <c r="J235" s="17">
        <f>VLOOKUP($A235,'FA Addition'!$A:$AK,COLUMN()-6,FALSE)</f>
        <v>45294</v>
      </c>
      <c r="K235" s="18" t="str">
        <f>VLOOKUP($A235,'FA Addition'!$A:$AK,COLUMN()-6,FALSE)</f>
        <v>ONT-Optical Network Terminal</v>
      </c>
      <c r="L235" s="19">
        <f>VLOOKUP($A235,'FA Addition'!$A:$AK,COLUMN(),FALSE)</f>
        <v>850000</v>
      </c>
      <c r="M235" s="20">
        <f>VLOOKUP($A235,'FA Addition'!$A:$AK,COLUMN()+2,FALSE)</f>
        <v>5</v>
      </c>
      <c r="N235" s="21">
        <f>VLOOKUP($A235,'FA Addition'!$A:$AK,COLUMN()+2,FALSE)</f>
        <v>0.2</v>
      </c>
      <c r="O235" s="22">
        <f>'FA Write off'!$N235*'FA Write off'!$L235*'FA Write off'!$H235/365</f>
        <v>211452.05479452055</v>
      </c>
    </row>
    <row r="236" spans="1:15" s="4" customFormat="1" hidden="1" x14ac:dyDescent="0.4">
      <c r="A236" s="23">
        <v>899</v>
      </c>
      <c r="B236" s="13" t="s">
        <v>1758</v>
      </c>
      <c r="C236" s="14">
        <v>45747</v>
      </c>
      <c r="D236" s="23">
        <v>192</v>
      </c>
      <c r="E236" s="15"/>
      <c r="F236" s="15"/>
      <c r="G236" s="16">
        <f>MONTH('FA Write off'!$C236)</f>
        <v>3</v>
      </c>
      <c r="H236" s="16">
        <f>MIN('FA Write off'!$C236-'FA Write off'!$J236+1,'FA Write off'!$M236*365)</f>
        <v>452</v>
      </c>
      <c r="I236" s="17">
        <f>VLOOKUP($A236,'FA Addition'!$A:$AK,COLUMN()-6,FALSE)</f>
        <v>45296</v>
      </c>
      <c r="J236" s="17">
        <f>VLOOKUP($A236,'FA Addition'!$A:$AK,COLUMN()-6,FALSE)</f>
        <v>45296</v>
      </c>
      <c r="K236" s="18" t="str">
        <f>VLOOKUP($A236,'FA Addition'!$A:$AK,COLUMN()-6,FALSE)</f>
        <v>ONT-Optical Network Terminal</v>
      </c>
      <c r="L236" s="19">
        <f>VLOOKUP($A236,'FA Addition'!$A:$AK,COLUMN(),FALSE)</f>
        <v>1700000</v>
      </c>
      <c r="M236" s="20">
        <f>VLOOKUP($A236,'FA Addition'!$A:$AK,COLUMN()+2,FALSE)</f>
        <v>5</v>
      </c>
      <c r="N236" s="21">
        <f>VLOOKUP($A236,'FA Addition'!$A:$AK,COLUMN()+2,FALSE)</f>
        <v>0.2</v>
      </c>
      <c r="O236" s="22">
        <f>'FA Write off'!$N236*'FA Write off'!$L236*'FA Write off'!$H236/365</f>
        <v>421041.09589041094</v>
      </c>
    </row>
    <row r="237" spans="1:15" s="4" customFormat="1" hidden="1" x14ac:dyDescent="0.4">
      <c r="A237" s="23">
        <v>909</v>
      </c>
      <c r="B237" s="13" t="s">
        <v>1758</v>
      </c>
      <c r="C237" s="14">
        <v>45747</v>
      </c>
      <c r="D237" s="23">
        <v>251</v>
      </c>
      <c r="E237" s="15"/>
      <c r="F237" s="15"/>
      <c r="G237" s="16">
        <f>MONTH('FA Write off'!$C237)</f>
        <v>3</v>
      </c>
      <c r="H237" s="16">
        <f>MIN('FA Write off'!$C237-'FA Write off'!$J237+1,'FA Write off'!$M237*365)</f>
        <v>446</v>
      </c>
      <c r="I237" s="17">
        <f>VLOOKUP($A237,'FA Addition'!$A:$AK,COLUMN()-6,FALSE)</f>
        <v>45302</v>
      </c>
      <c r="J237" s="17">
        <f>VLOOKUP($A237,'FA Addition'!$A:$AK,COLUMN()-6,FALSE)</f>
        <v>45302</v>
      </c>
      <c r="K237" s="18" t="str">
        <f>VLOOKUP($A237,'FA Addition'!$A:$AK,COLUMN()-6,FALSE)</f>
        <v>ONT-Optical Network Terminal</v>
      </c>
      <c r="L237" s="19">
        <f>VLOOKUP($A237,'FA Addition'!$A:$AK,COLUMN(),FALSE)</f>
        <v>1564000</v>
      </c>
      <c r="M237" s="20">
        <f>VLOOKUP($A237,'FA Addition'!$A:$AK,COLUMN()+2,FALSE)</f>
        <v>5</v>
      </c>
      <c r="N237" s="21">
        <f>VLOOKUP($A237,'FA Addition'!$A:$AK,COLUMN()+2,FALSE)</f>
        <v>0.2</v>
      </c>
      <c r="O237" s="22">
        <f>'FA Write off'!$N237*'FA Write off'!$L237*'FA Write off'!$H237/365</f>
        <v>382215.89041095891</v>
      </c>
    </row>
    <row r="238" spans="1:15" s="4" customFormat="1" hidden="1" x14ac:dyDescent="0.4">
      <c r="A238" s="23">
        <v>913</v>
      </c>
      <c r="B238" s="13" t="s">
        <v>1758</v>
      </c>
      <c r="C238" s="14">
        <v>45747</v>
      </c>
      <c r="D238" s="23">
        <v>361</v>
      </c>
      <c r="E238" s="15"/>
      <c r="F238" s="15"/>
      <c r="G238" s="16">
        <f>MONTH('FA Write off'!$C238)</f>
        <v>3</v>
      </c>
      <c r="H238" s="16">
        <f>MIN('FA Write off'!$C238-'FA Write off'!$J238+1,'FA Write off'!$M238*365)</f>
        <v>439</v>
      </c>
      <c r="I238" s="17">
        <f>VLOOKUP($A238,'FA Addition'!$A:$AK,COLUMN()-6,FALSE)</f>
        <v>45309</v>
      </c>
      <c r="J238" s="17">
        <f>VLOOKUP($A238,'FA Addition'!$A:$AK,COLUMN()-6,FALSE)</f>
        <v>45309</v>
      </c>
      <c r="K238" s="18" t="str">
        <f>VLOOKUP($A238,'FA Addition'!$A:$AK,COLUMN()-6,FALSE)</f>
        <v>ONT-Optical Network Terminal</v>
      </c>
      <c r="L238" s="19">
        <f>VLOOKUP($A238,'FA Addition'!$A:$AK,COLUMN(),FALSE)</f>
        <v>1020000</v>
      </c>
      <c r="M238" s="20">
        <f>VLOOKUP($A238,'FA Addition'!$A:$AK,COLUMN()+2,FALSE)</f>
        <v>5</v>
      </c>
      <c r="N238" s="21">
        <f>VLOOKUP($A238,'FA Addition'!$A:$AK,COLUMN()+2,FALSE)</f>
        <v>0.2</v>
      </c>
      <c r="O238" s="22">
        <f>'FA Write off'!$N238*'FA Write off'!$L238*'FA Write off'!$H238/365</f>
        <v>245358.90410958903</v>
      </c>
    </row>
    <row r="239" spans="1:15" s="4" customFormat="1" hidden="1" x14ac:dyDescent="0.4">
      <c r="A239" s="23">
        <v>915</v>
      </c>
      <c r="B239" s="13" t="s">
        <v>1758</v>
      </c>
      <c r="C239" s="14">
        <v>45747</v>
      </c>
      <c r="D239" s="23">
        <v>139</v>
      </c>
      <c r="E239" s="15"/>
      <c r="F239" s="15"/>
      <c r="G239" s="16">
        <f>MONTH('FA Write off'!$C239)</f>
        <v>3</v>
      </c>
      <c r="H239" s="16">
        <f>MIN('FA Write off'!$C239-'FA Write off'!$J239+1,'FA Write off'!$M239*365)</f>
        <v>435</v>
      </c>
      <c r="I239" s="17">
        <f>VLOOKUP($A239,'FA Addition'!$A:$AK,COLUMN()-6,FALSE)</f>
        <v>45313</v>
      </c>
      <c r="J239" s="17">
        <f>VLOOKUP($A239,'FA Addition'!$A:$AK,COLUMN()-6,FALSE)</f>
        <v>45313</v>
      </c>
      <c r="K239" s="18" t="str">
        <f>VLOOKUP($A239,'FA Addition'!$A:$AK,COLUMN()-6,FALSE)</f>
        <v>ONT-Optical Network Terminal</v>
      </c>
      <c r="L239" s="19">
        <f>VLOOKUP($A239,'FA Addition'!$A:$AK,COLUMN(),FALSE)</f>
        <v>850000</v>
      </c>
      <c r="M239" s="20">
        <f>VLOOKUP($A239,'FA Addition'!$A:$AK,COLUMN()+2,FALSE)</f>
        <v>5</v>
      </c>
      <c r="N239" s="21">
        <f>VLOOKUP($A239,'FA Addition'!$A:$AK,COLUMN()+2,FALSE)</f>
        <v>0.2</v>
      </c>
      <c r="O239" s="22">
        <f>'FA Write off'!$N239*'FA Write off'!$L239*'FA Write off'!$H239/365</f>
        <v>202602.73972602739</v>
      </c>
    </row>
    <row r="240" spans="1:15" s="4" customFormat="1" hidden="1" x14ac:dyDescent="0.4">
      <c r="A240" s="23">
        <v>921</v>
      </c>
      <c r="B240" s="13" t="s">
        <v>1758</v>
      </c>
      <c r="C240" s="14">
        <v>45747</v>
      </c>
      <c r="D240" s="23">
        <v>95</v>
      </c>
      <c r="E240" s="15"/>
      <c r="F240" s="15"/>
      <c r="G240" s="16">
        <f>MONTH('FA Write off'!$C240)</f>
        <v>3</v>
      </c>
      <c r="H240" s="16">
        <f>MIN('FA Write off'!$C240-'FA Write off'!$J240+1,'FA Write off'!$M240*365)</f>
        <v>433</v>
      </c>
      <c r="I240" s="17">
        <f>VLOOKUP($A240,'FA Addition'!$A:$AK,COLUMN()-6,FALSE)</f>
        <v>45315</v>
      </c>
      <c r="J240" s="17">
        <f>VLOOKUP($A240,'FA Addition'!$A:$AK,COLUMN()-6,FALSE)</f>
        <v>45315</v>
      </c>
      <c r="K240" s="18" t="str">
        <f>VLOOKUP($A240,'FA Addition'!$A:$AK,COLUMN()-6,FALSE)</f>
        <v>Router</v>
      </c>
      <c r="L240" s="19">
        <f>VLOOKUP($A240,'FA Addition'!$A:$AK,COLUMN(),FALSE)</f>
        <v>495000</v>
      </c>
      <c r="M240" s="20">
        <f>VLOOKUP($A240,'FA Addition'!$A:$AK,COLUMN()+2,FALSE)</f>
        <v>5</v>
      </c>
      <c r="N240" s="21">
        <f>VLOOKUP($A240,'FA Addition'!$A:$AK,COLUMN()+2,FALSE)</f>
        <v>0.2</v>
      </c>
      <c r="O240" s="22">
        <f>'FA Write off'!$N240*'FA Write off'!$L240*'FA Write off'!$H240/365</f>
        <v>117443.83561643836</v>
      </c>
    </row>
    <row r="241" spans="1:15" s="4" customFormat="1" hidden="1" x14ac:dyDescent="0.4">
      <c r="A241" s="23">
        <v>922</v>
      </c>
      <c r="B241" s="13" t="s">
        <v>1758</v>
      </c>
      <c r="C241" s="14">
        <v>45747</v>
      </c>
      <c r="D241" s="23">
        <v>82</v>
      </c>
      <c r="E241" s="15"/>
      <c r="F241" s="15"/>
      <c r="G241" s="16">
        <f>MONTH('FA Write off'!$C241)</f>
        <v>3</v>
      </c>
      <c r="H241" s="16">
        <f>MIN('FA Write off'!$C241-'FA Write off'!$J241+1,'FA Write off'!$M241*365)</f>
        <v>432</v>
      </c>
      <c r="I241" s="17">
        <f>VLOOKUP($A241,'FA Addition'!$A:$AK,COLUMN()-6,FALSE)</f>
        <v>45316</v>
      </c>
      <c r="J241" s="17">
        <f>VLOOKUP($A241,'FA Addition'!$A:$AK,COLUMN()-6,FALSE)</f>
        <v>45316</v>
      </c>
      <c r="K241" s="18" t="str">
        <f>VLOOKUP($A241,'FA Addition'!$A:$AK,COLUMN()-6,FALSE)</f>
        <v>ONT-Optical Network Terminal</v>
      </c>
      <c r="L241" s="19">
        <f>VLOOKUP($A241,'FA Addition'!$A:$AK,COLUMN(),FALSE)</f>
        <v>340000</v>
      </c>
      <c r="M241" s="20">
        <f>VLOOKUP($A241,'FA Addition'!$A:$AK,COLUMN()+2,FALSE)</f>
        <v>5</v>
      </c>
      <c r="N241" s="21">
        <f>VLOOKUP($A241,'FA Addition'!$A:$AK,COLUMN()+2,FALSE)</f>
        <v>0.2</v>
      </c>
      <c r="O241" s="22">
        <f>'FA Write off'!$N241*'FA Write off'!$L241*'FA Write off'!$H241/365</f>
        <v>80482.191780821915</v>
      </c>
    </row>
    <row r="242" spans="1:15" s="4" customFormat="1" hidden="1" x14ac:dyDescent="0.4">
      <c r="A242" s="23">
        <v>923</v>
      </c>
      <c r="B242" s="13" t="s">
        <v>1758</v>
      </c>
      <c r="C242" s="14">
        <v>45747</v>
      </c>
      <c r="D242" s="23">
        <v>167</v>
      </c>
      <c r="E242" s="15"/>
      <c r="F242" s="15"/>
      <c r="G242" s="16">
        <f>MONTH('FA Write off'!$C242)</f>
        <v>3</v>
      </c>
      <c r="H242" s="16">
        <f>MIN('FA Write off'!$C242-'FA Write off'!$J242+1,'FA Write off'!$M242*365)</f>
        <v>427</v>
      </c>
      <c r="I242" s="17">
        <f>VLOOKUP($A242,'FA Addition'!$A:$AK,COLUMN()-6,FALSE)</f>
        <v>45321</v>
      </c>
      <c r="J242" s="17">
        <f>VLOOKUP($A242,'FA Addition'!$A:$AK,COLUMN()-6,FALSE)</f>
        <v>45321</v>
      </c>
      <c r="K242" s="18" t="str">
        <f>VLOOKUP($A242,'FA Addition'!$A:$AK,COLUMN()-6,FALSE)</f>
        <v>Router</v>
      </c>
      <c r="L242" s="19">
        <f>VLOOKUP($A242,'FA Addition'!$A:$AK,COLUMN(),FALSE)</f>
        <v>495000</v>
      </c>
      <c r="M242" s="20">
        <f>VLOOKUP($A242,'FA Addition'!$A:$AK,COLUMN()+2,FALSE)</f>
        <v>5</v>
      </c>
      <c r="N242" s="21">
        <f>VLOOKUP($A242,'FA Addition'!$A:$AK,COLUMN()+2,FALSE)</f>
        <v>0.2</v>
      </c>
      <c r="O242" s="22">
        <f>'FA Write off'!$N242*'FA Write off'!$L242*'FA Write off'!$H242/365</f>
        <v>115816.43835616438</v>
      </c>
    </row>
    <row r="243" spans="1:15" s="4" customFormat="1" hidden="1" x14ac:dyDescent="0.4">
      <c r="A243" s="23">
        <v>925</v>
      </c>
      <c r="B243" s="13" t="s">
        <v>1758</v>
      </c>
      <c r="C243" s="14">
        <v>45747</v>
      </c>
      <c r="D243" s="23">
        <v>561</v>
      </c>
      <c r="E243" s="15"/>
      <c r="F243" s="15"/>
      <c r="G243" s="16">
        <f>MONTH('FA Write off'!$C243)</f>
        <v>3</v>
      </c>
      <c r="H243" s="16">
        <f>MIN('FA Write off'!$C243-'FA Write off'!$J243+1,'FA Write off'!$M243*365)</f>
        <v>426</v>
      </c>
      <c r="I243" s="17">
        <f>VLOOKUP($A243,'FA Addition'!$A:$AK,COLUMN()-6,FALSE)</f>
        <v>45322</v>
      </c>
      <c r="J243" s="17">
        <f>VLOOKUP($A243,'FA Addition'!$A:$AK,COLUMN()-6,FALSE)</f>
        <v>45322</v>
      </c>
      <c r="K243" s="18" t="str">
        <f>VLOOKUP($A243,'FA Addition'!$A:$AK,COLUMN()-6,FALSE)</f>
        <v>ONT-Optical Network Terminal</v>
      </c>
      <c r="L243" s="19">
        <f>VLOOKUP($A243,'FA Addition'!$A:$AK,COLUMN(),FALSE)</f>
        <v>1700000</v>
      </c>
      <c r="M243" s="20">
        <f>VLOOKUP($A243,'FA Addition'!$A:$AK,COLUMN()+2,FALSE)</f>
        <v>5</v>
      </c>
      <c r="N243" s="21">
        <f>VLOOKUP($A243,'FA Addition'!$A:$AK,COLUMN()+2,FALSE)</f>
        <v>0.2</v>
      </c>
      <c r="O243" s="22">
        <f>'FA Write off'!$N243*'FA Write off'!$L243*'FA Write off'!$H243/365</f>
        <v>396821.91780821915</v>
      </c>
    </row>
    <row r="244" spans="1:15" s="4" customFormat="1" hidden="1" x14ac:dyDescent="0.4">
      <c r="A244" s="23">
        <v>928</v>
      </c>
      <c r="B244" s="13" t="s">
        <v>1758</v>
      </c>
      <c r="C244" s="14">
        <v>45747</v>
      </c>
      <c r="D244" s="23">
        <v>189</v>
      </c>
      <c r="E244" s="15"/>
      <c r="F244" s="15"/>
      <c r="G244" s="16">
        <f>MONTH('FA Write off'!$C244)</f>
        <v>3</v>
      </c>
      <c r="H244" s="16">
        <f>MIN('FA Write off'!$C244-'FA Write off'!$J244+1,'FA Write off'!$M244*365)</f>
        <v>420</v>
      </c>
      <c r="I244" s="17">
        <f>VLOOKUP($A244,'FA Addition'!$A:$AK,COLUMN()-6,FALSE)</f>
        <v>45328</v>
      </c>
      <c r="J244" s="17">
        <f>VLOOKUP($A244,'FA Addition'!$A:$AK,COLUMN()-6,FALSE)</f>
        <v>45328</v>
      </c>
      <c r="K244" s="18" t="str">
        <f>VLOOKUP($A244,'FA Addition'!$A:$AK,COLUMN()-6,FALSE)</f>
        <v>Router</v>
      </c>
      <c r="L244" s="19">
        <f>VLOOKUP($A244,'FA Addition'!$A:$AK,COLUMN(),FALSE)</f>
        <v>1980000</v>
      </c>
      <c r="M244" s="20">
        <f>VLOOKUP($A244,'FA Addition'!$A:$AK,COLUMN()+2,FALSE)</f>
        <v>5</v>
      </c>
      <c r="N244" s="21">
        <f>VLOOKUP($A244,'FA Addition'!$A:$AK,COLUMN()+2,FALSE)</f>
        <v>0.2</v>
      </c>
      <c r="O244" s="22">
        <f>'FA Write off'!$N244*'FA Write off'!$L244*'FA Write off'!$H244/365</f>
        <v>455671.23287671234</v>
      </c>
    </row>
    <row r="245" spans="1:15" s="4" customFormat="1" hidden="1" x14ac:dyDescent="0.4">
      <c r="A245" s="23">
        <v>932</v>
      </c>
      <c r="B245" s="13" t="s">
        <v>1758</v>
      </c>
      <c r="C245" s="14">
        <v>45747</v>
      </c>
      <c r="D245" s="23">
        <v>201</v>
      </c>
      <c r="E245" s="15"/>
      <c r="F245" s="15"/>
      <c r="G245" s="16">
        <f>MONTH('FA Write off'!$C245)</f>
        <v>3</v>
      </c>
      <c r="H245" s="16">
        <f>MIN('FA Write off'!$C245-'FA Write off'!$J245+1,'FA Write off'!$M245*365)</f>
        <v>416</v>
      </c>
      <c r="I245" s="17">
        <f>VLOOKUP($A245,'FA Addition'!$A:$AK,COLUMN()-6,FALSE)</f>
        <v>45332</v>
      </c>
      <c r="J245" s="17">
        <f>VLOOKUP($A245,'FA Addition'!$A:$AK,COLUMN()-6,FALSE)</f>
        <v>45332</v>
      </c>
      <c r="K245" s="18" t="str">
        <f>VLOOKUP($A245,'FA Addition'!$A:$AK,COLUMN()-6,FALSE)</f>
        <v>ONT-Optical Network Terminal</v>
      </c>
      <c r="L245" s="19">
        <f>VLOOKUP($A245,'FA Addition'!$A:$AK,COLUMN(),FALSE)</f>
        <v>850000</v>
      </c>
      <c r="M245" s="20">
        <f>VLOOKUP($A245,'FA Addition'!$A:$AK,COLUMN()+2,FALSE)</f>
        <v>5</v>
      </c>
      <c r="N245" s="21">
        <f>VLOOKUP($A245,'FA Addition'!$A:$AK,COLUMN()+2,FALSE)</f>
        <v>0.2</v>
      </c>
      <c r="O245" s="22">
        <f>'FA Write off'!$N245*'FA Write off'!$L245*'FA Write off'!$H245/365</f>
        <v>193753.42465753425</v>
      </c>
    </row>
    <row r="246" spans="1:15" s="4" customFormat="1" hidden="1" x14ac:dyDescent="0.4">
      <c r="A246" s="23">
        <v>933</v>
      </c>
      <c r="B246" s="13" t="s">
        <v>1758</v>
      </c>
      <c r="C246" s="14">
        <v>45747</v>
      </c>
      <c r="D246" s="23">
        <v>581</v>
      </c>
      <c r="E246" s="15"/>
      <c r="F246" s="15"/>
      <c r="G246" s="16">
        <f>MONTH('FA Write off'!$C246)</f>
        <v>3</v>
      </c>
      <c r="H246" s="16">
        <f>MIN('FA Write off'!$C246-'FA Write off'!$J246+1,'FA Write off'!$M246*365)</f>
        <v>414</v>
      </c>
      <c r="I246" s="17">
        <f>VLOOKUP($A246,'FA Addition'!$A:$AK,COLUMN()-6,FALSE)</f>
        <v>45334</v>
      </c>
      <c r="J246" s="17">
        <f>VLOOKUP($A246,'FA Addition'!$A:$AK,COLUMN()-6,FALSE)</f>
        <v>45334</v>
      </c>
      <c r="K246" s="18" t="str">
        <f>VLOOKUP($A246,'FA Addition'!$A:$AK,COLUMN()-6,FALSE)</f>
        <v>ONT-Optical Network Terminal</v>
      </c>
      <c r="L246" s="19">
        <f>VLOOKUP($A246,'FA Addition'!$A:$AK,COLUMN(),FALSE)</f>
        <v>1700000</v>
      </c>
      <c r="M246" s="20">
        <f>VLOOKUP($A246,'FA Addition'!$A:$AK,COLUMN()+2,FALSE)</f>
        <v>5</v>
      </c>
      <c r="N246" s="21">
        <f>VLOOKUP($A246,'FA Addition'!$A:$AK,COLUMN()+2,FALSE)</f>
        <v>0.2</v>
      </c>
      <c r="O246" s="22">
        <f>'FA Write off'!$N246*'FA Write off'!$L246*'FA Write off'!$H246/365</f>
        <v>385643.83561643836</v>
      </c>
    </row>
    <row r="247" spans="1:15" s="4" customFormat="1" hidden="1" x14ac:dyDescent="0.4">
      <c r="A247" s="23">
        <v>934</v>
      </c>
      <c r="B247" s="13" t="s">
        <v>1758</v>
      </c>
      <c r="C247" s="14">
        <v>45747</v>
      </c>
      <c r="D247" s="23">
        <v>38</v>
      </c>
      <c r="E247" s="15"/>
      <c r="F247" s="15"/>
      <c r="G247" s="16">
        <f>MONTH('FA Write off'!$C247)</f>
        <v>3</v>
      </c>
      <c r="H247" s="16">
        <f>MIN('FA Write off'!$C247-'FA Write off'!$J247+1,'FA Write off'!$M247*365)</f>
        <v>413</v>
      </c>
      <c r="I247" s="17">
        <f>VLOOKUP($A247,'FA Addition'!$A:$AK,COLUMN()-6,FALSE)</f>
        <v>45335</v>
      </c>
      <c r="J247" s="17">
        <f>VLOOKUP($A247,'FA Addition'!$A:$AK,COLUMN()-6,FALSE)</f>
        <v>45335</v>
      </c>
      <c r="K247" s="18" t="str">
        <f>VLOOKUP($A247,'FA Addition'!$A:$AK,COLUMN()-6,FALSE)</f>
        <v>ONT-Optical Network Terminal</v>
      </c>
      <c r="L247" s="19">
        <f>VLOOKUP($A247,'FA Addition'!$A:$AK,COLUMN(),FALSE)</f>
        <v>1950000</v>
      </c>
      <c r="M247" s="20">
        <f>VLOOKUP($A247,'FA Addition'!$A:$AK,COLUMN()+2,FALSE)</f>
        <v>5</v>
      </c>
      <c r="N247" s="21">
        <f>VLOOKUP($A247,'FA Addition'!$A:$AK,COLUMN()+2,FALSE)</f>
        <v>0.2</v>
      </c>
      <c r="O247" s="22">
        <f>'FA Write off'!$N247*'FA Write off'!$L247*'FA Write off'!$H247/365</f>
        <v>441287.67123287672</v>
      </c>
    </row>
    <row r="248" spans="1:15" s="4" customFormat="1" hidden="1" x14ac:dyDescent="0.4">
      <c r="A248" s="23">
        <v>935</v>
      </c>
      <c r="B248" s="13" t="s">
        <v>1758</v>
      </c>
      <c r="C248" s="14">
        <v>45747</v>
      </c>
      <c r="D248" s="23">
        <v>561</v>
      </c>
      <c r="E248" s="15"/>
      <c r="F248" s="15"/>
      <c r="G248" s="16">
        <f>MONTH('FA Write off'!$C248)</f>
        <v>3</v>
      </c>
      <c r="H248" s="16">
        <f>MIN('FA Write off'!$C248-'FA Write off'!$J248+1,'FA Write off'!$M248*365)</f>
        <v>413</v>
      </c>
      <c r="I248" s="17">
        <f>VLOOKUP($A248,'FA Addition'!$A:$AK,COLUMN()-6,FALSE)</f>
        <v>45335</v>
      </c>
      <c r="J248" s="17">
        <f>VLOOKUP($A248,'FA Addition'!$A:$AK,COLUMN()-6,FALSE)</f>
        <v>45335</v>
      </c>
      <c r="K248" s="18" t="str">
        <f>VLOOKUP($A248,'FA Addition'!$A:$AK,COLUMN()-6,FALSE)</f>
        <v>ONT-Optical Network Terminal</v>
      </c>
      <c r="L248" s="19">
        <f>VLOOKUP($A248,'FA Addition'!$A:$AK,COLUMN(),FALSE)</f>
        <v>1700000</v>
      </c>
      <c r="M248" s="20">
        <f>VLOOKUP($A248,'FA Addition'!$A:$AK,COLUMN()+2,FALSE)</f>
        <v>5</v>
      </c>
      <c r="N248" s="21">
        <f>VLOOKUP($A248,'FA Addition'!$A:$AK,COLUMN()+2,FALSE)</f>
        <v>0.2</v>
      </c>
      <c r="O248" s="22">
        <f>'FA Write off'!$N248*'FA Write off'!$L248*'FA Write off'!$H248/365</f>
        <v>384712.32876712328</v>
      </c>
    </row>
    <row r="249" spans="1:15" s="4" customFormat="1" hidden="1" x14ac:dyDescent="0.4">
      <c r="A249" s="23">
        <v>936</v>
      </c>
      <c r="B249" s="13" t="s">
        <v>1758</v>
      </c>
      <c r="C249" s="14">
        <v>45747</v>
      </c>
      <c r="D249" s="23">
        <v>181</v>
      </c>
      <c r="E249" s="15"/>
      <c r="F249" s="15"/>
      <c r="G249" s="16">
        <f>MONTH('FA Write off'!$C249)</f>
        <v>3</v>
      </c>
      <c r="H249" s="16">
        <f>MIN('FA Write off'!$C249-'FA Write off'!$J249+1,'FA Write off'!$M249*365)</f>
        <v>412</v>
      </c>
      <c r="I249" s="17">
        <f>VLOOKUP($A249,'FA Addition'!$A:$AK,COLUMN()-6,FALSE)</f>
        <v>45336</v>
      </c>
      <c r="J249" s="17">
        <f>VLOOKUP($A249,'FA Addition'!$A:$AK,COLUMN()-6,FALSE)</f>
        <v>45336</v>
      </c>
      <c r="K249" s="18" t="str">
        <f>VLOOKUP($A249,'FA Addition'!$A:$AK,COLUMN()-6,FALSE)</f>
        <v>ONT-Optical Network Terminal</v>
      </c>
      <c r="L249" s="19">
        <f>VLOOKUP($A249,'FA Addition'!$A:$AK,COLUMN(),FALSE)</f>
        <v>1190000</v>
      </c>
      <c r="M249" s="20">
        <f>VLOOKUP($A249,'FA Addition'!$A:$AK,COLUMN()+2,FALSE)</f>
        <v>5</v>
      </c>
      <c r="N249" s="21">
        <f>VLOOKUP($A249,'FA Addition'!$A:$AK,COLUMN()+2,FALSE)</f>
        <v>0.2</v>
      </c>
      <c r="O249" s="22">
        <f>'FA Write off'!$N249*'FA Write off'!$L249*'FA Write off'!$H249/365</f>
        <v>268646.57534246577</v>
      </c>
    </row>
    <row r="250" spans="1:15" s="4" customFormat="1" hidden="1" x14ac:dyDescent="0.4">
      <c r="A250" s="23">
        <v>941</v>
      </c>
      <c r="B250" s="13" t="s">
        <v>1758</v>
      </c>
      <c r="C250" s="14">
        <v>45747</v>
      </c>
      <c r="D250" s="23">
        <v>205</v>
      </c>
      <c r="E250" s="15"/>
      <c r="F250" s="15"/>
      <c r="G250" s="16">
        <f>MONTH('FA Write off'!$C250)</f>
        <v>3</v>
      </c>
      <c r="H250" s="16">
        <f>MIN('FA Write off'!$C250-'FA Write off'!$J250+1,'FA Write off'!$M250*365)</f>
        <v>411</v>
      </c>
      <c r="I250" s="17">
        <f>VLOOKUP($A250,'FA Addition'!$A:$AK,COLUMN()-6,FALSE)</f>
        <v>45337</v>
      </c>
      <c r="J250" s="17">
        <f>VLOOKUP($A250,'FA Addition'!$A:$AK,COLUMN()-6,FALSE)</f>
        <v>45337</v>
      </c>
      <c r="K250" s="18" t="str">
        <f>VLOOKUP($A250,'FA Addition'!$A:$AK,COLUMN()-6,FALSE)</f>
        <v>ONT-Optical Network Terminal</v>
      </c>
      <c r="L250" s="19">
        <f>VLOOKUP($A250,'FA Addition'!$A:$AK,COLUMN(),FALSE)</f>
        <v>1190000</v>
      </c>
      <c r="M250" s="20">
        <f>VLOOKUP($A250,'FA Addition'!$A:$AK,COLUMN()+2,FALSE)</f>
        <v>5</v>
      </c>
      <c r="N250" s="21">
        <f>VLOOKUP($A250,'FA Addition'!$A:$AK,COLUMN()+2,FALSE)</f>
        <v>0.2</v>
      </c>
      <c r="O250" s="22">
        <f>'FA Write off'!$N250*'FA Write off'!$L250*'FA Write off'!$H250/365</f>
        <v>267994.52054794523</v>
      </c>
    </row>
    <row r="251" spans="1:15" s="4" customFormat="1" hidden="1" x14ac:dyDescent="0.4">
      <c r="A251" s="23">
        <v>943</v>
      </c>
      <c r="B251" s="13" t="s">
        <v>1758</v>
      </c>
      <c r="C251" s="14">
        <v>45747</v>
      </c>
      <c r="D251" s="23">
        <v>322</v>
      </c>
      <c r="E251" s="15"/>
      <c r="F251" s="15"/>
      <c r="G251" s="16">
        <f>MONTH('FA Write off'!$C251)</f>
        <v>3</v>
      </c>
      <c r="H251" s="16">
        <f>MIN('FA Write off'!$C251-'FA Write off'!$J251+1,'FA Write off'!$M251*365)</f>
        <v>410</v>
      </c>
      <c r="I251" s="17">
        <f>VLOOKUP($A251,'FA Addition'!$A:$AK,COLUMN()-6,FALSE)</f>
        <v>45338</v>
      </c>
      <c r="J251" s="17">
        <f>VLOOKUP($A251,'FA Addition'!$A:$AK,COLUMN()-6,FALSE)</f>
        <v>45338</v>
      </c>
      <c r="K251" s="18" t="str">
        <f>VLOOKUP($A251,'FA Addition'!$A:$AK,COLUMN()-6,FALSE)</f>
        <v>ONT-Optical Network Terminal</v>
      </c>
      <c r="L251" s="19">
        <f>VLOOKUP($A251,'FA Addition'!$A:$AK,COLUMN(),FALSE)</f>
        <v>2040000</v>
      </c>
      <c r="M251" s="20">
        <f>VLOOKUP($A251,'FA Addition'!$A:$AK,COLUMN()+2,FALSE)</f>
        <v>5</v>
      </c>
      <c r="N251" s="21">
        <f>VLOOKUP($A251,'FA Addition'!$A:$AK,COLUMN()+2,FALSE)</f>
        <v>0.2</v>
      </c>
      <c r="O251" s="22">
        <f>'FA Write off'!$N251*'FA Write off'!$L251*'FA Write off'!$H251/365</f>
        <v>458301.36986301368</v>
      </c>
    </row>
    <row r="252" spans="1:15" s="4" customFormat="1" hidden="1" x14ac:dyDescent="0.4">
      <c r="A252" s="23">
        <v>944</v>
      </c>
      <c r="B252" s="13" t="s">
        <v>1758</v>
      </c>
      <c r="C252" s="14">
        <v>45747</v>
      </c>
      <c r="D252" s="23">
        <v>107</v>
      </c>
      <c r="E252" s="15"/>
      <c r="F252" s="15"/>
      <c r="G252" s="16">
        <f>MONTH('FA Write off'!$C252)</f>
        <v>3</v>
      </c>
      <c r="H252" s="16">
        <f>MIN('FA Write off'!$C252-'FA Write off'!$J252+1,'FA Write off'!$M252*365)</f>
        <v>409</v>
      </c>
      <c r="I252" s="17">
        <f>VLOOKUP($A252,'FA Addition'!$A:$AK,COLUMN()-6,FALSE)</f>
        <v>45339</v>
      </c>
      <c r="J252" s="17">
        <f>VLOOKUP($A252,'FA Addition'!$A:$AK,COLUMN()-6,FALSE)</f>
        <v>45339</v>
      </c>
      <c r="K252" s="18" t="str">
        <f>VLOOKUP($A252,'FA Addition'!$A:$AK,COLUMN()-6,FALSE)</f>
        <v>ONT-Optical Network Terminal</v>
      </c>
      <c r="L252" s="19">
        <f>VLOOKUP($A252,'FA Addition'!$A:$AK,COLUMN(),FALSE)</f>
        <v>1530000</v>
      </c>
      <c r="M252" s="20">
        <f>VLOOKUP($A252,'FA Addition'!$A:$AK,COLUMN()+2,FALSE)</f>
        <v>5</v>
      </c>
      <c r="N252" s="21">
        <f>VLOOKUP($A252,'FA Addition'!$A:$AK,COLUMN()+2,FALSE)</f>
        <v>0.2</v>
      </c>
      <c r="O252" s="22">
        <f>'FA Write off'!$N252*'FA Write off'!$L252*'FA Write off'!$H252/365</f>
        <v>342887.67123287672</v>
      </c>
    </row>
    <row r="253" spans="1:15" s="4" customFormat="1" hidden="1" x14ac:dyDescent="0.4">
      <c r="A253" s="23">
        <v>945</v>
      </c>
      <c r="B253" s="13" t="s">
        <v>1758</v>
      </c>
      <c r="C253" s="14">
        <v>45747</v>
      </c>
      <c r="D253" s="23">
        <v>78</v>
      </c>
      <c r="E253" s="15"/>
      <c r="F253" s="15"/>
      <c r="G253" s="16">
        <f>MONTH('FA Write off'!$C253)</f>
        <v>3</v>
      </c>
      <c r="H253" s="16">
        <f>MIN('FA Write off'!$C253-'FA Write off'!$J253+1,'FA Write off'!$M253*365)</f>
        <v>407</v>
      </c>
      <c r="I253" s="17">
        <f>VLOOKUP($A253,'FA Addition'!$A:$AK,COLUMN()-6,FALSE)</f>
        <v>45341</v>
      </c>
      <c r="J253" s="17">
        <f>VLOOKUP($A253,'FA Addition'!$A:$AK,COLUMN()-6,FALSE)</f>
        <v>45341</v>
      </c>
      <c r="K253" s="18" t="str">
        <f>VLOOKUP($A253,'FA Addition'!$A:$AK,COLUMN()-6,FALSE)</f>
        <v>ONT-Optical Network Terminal</v>
      </c>
      <c r="L253" s="19">
        <f>VLOOKUP($A253,'FA Addition'!$A:$AK,COLUMN(),FALSE)</f>
        <v>1700000</v>
      </c>
      <c r="M253" s="20">
        <f>VLOOKUP($A253,'FA Addition'!$A:$AK,COLUMN()+2,FALSE)</f>
        <v>5</v>
      </c>
      <c r="N253" s="21">
        <f>VLOOKUP($A253,'FA Addition'!$A:$AK,COLUMN()+2,FALSE)</f>
        <v>0.2</v>
      </c>
      <c r="O253" s="22">
        <f>'FA Write off'!$N253*'FA Write off'!$L253*'FA Write off'!$H253/365</f>
        <v>379123.28767123289</v>
      </c>
    </row>
    <row r="254" spans="1:15" s="4" customFormat="1" hidden="1" x14ac:dyDescent="0.4">
      <c r="A254" s="23">
        <v>950</v>
      </c>
      <c r="B254" s="13" t="s">
        <v>1758</v>
      </c>
      <c r="C254" s="14">
        <v>45747</v>
      </c>
      <c r="D254" s="23">
        <v>17</v>
      </c>
      <c r="E254" s="15"/>
      <c r="F254" s="15"/>
      <c r="G254" s="16">
        <f>MONTH('FA Write off'!$C254)</f>
        <v>3</v>
      </c>
      <c r="H254" s="16">
        <f>MIN('FA Write off'!$C254-'FA Write off'!$J254+1,'FA Write off'!$M254*365)</f>
        <v>396</v>
      </c>
      <c r="I254" s="17">
        <f>VLOOKUP($A254,'FA Addition'!$A:$AK,COLUMN()-6,FALSE)</f>
        <v>45352</v>
      </c>
      <c r="J254" s="17">
        <f>VLOOKUP($A254,'FA Addition'!$A:$AK,COLUMN()-6,FALSE)</f>
        <v>45352</v>
      </c>
      <c r="K254" s="18" t="str">
        <f>VLOOKUP($A254,'FA Addition'!$A:$AK,COLUMN()-6,FALSE)</f>
        <v>ONT-Optical Network Terminal</v>
      </c>
      <c r="L254" s="19">
        <f>VLOOKUP($A254,'FA Addition'!$A:$AK,COLUMN(),FALSE)</f>
        <v>3900000</v>
      </c>
      <c r="M254" s="20">
        <f>VLOOKUP($A254,'FA Addition'!$A:$AK,COLUMN()+2,FALSE)</f>
        <v>5</v>
      </c>
      <c r="N254" s="21">
        <f>VLOOKUP($A254,'FA Addition'!$A:$AK,COLUMN()+2,FALSE)</f>
        <v>0.2</v>
      </c>
      <c r="O254" s="22">
        <f>'FA Write off'!$N254*'FA Write off'!$L254*'FA Write off'!$H254/365</f>
        <v>846246.57534246577</v>
      </c>
    </row>
    <row r="255" spans="1:15" s="4" customFormat="1" hidden="1" x14ac:dyDescent="0.4">
      <c r="A255" s="23">
        <v>958</v>
      </c>
      <c r="B255" s="13" t="s">
        <v>1758</v>
      </c>
      <c r="C255" s="14">
        <v>45747</v>
      </c>
      <c r="D255" s="23">
        <v>27</v>
      </c>
      <c r="E255" s="15"/>
      <c r="F255" s="15"/>
      <c r="G255" s="16">
        <f>MONTH('FA Write off'!$C255)</f>
        <v>3</v>
      </c>
      <c r="H255" s="16">
        <f>MIN('FA Write off'!$C255-'FA Write off'!$J255+1,'FA Write off'!$M255*365)</f>
        <v>392</v>
      </c>
      <c r="I255" s="17">
        <f>VLOOKUP($A255,'FA Addition'!$A:$AK,COLUMN()-6,FALSE)</f>
        <v>45356</v>
      </c>
      <c r="J255" s="17">
        <f>VLOOKUP($A255,'FA Addition'!$A:$AK,COLUMN()-6,FALSE)</f>
        <v>45356</v>
      </c>
      <c r="K255" s="18" t="str">
        <f>VLOOKUP($A255,'FA Addition'!$A:$AK,COLUMN()-6,FALSE)</f>
        <v>Router</v>
      </c>
      <c r="L255" s="19">
        <f>VLOOKUP($A255,'FA Addition'!$A:$AK,COLUMN(),FALSE)</f>
        <v>495000</v>
      </c>
      <c r="M255" s="20">
        <f>VLOOKUP($A255,'FA Addition'!$A:$AK,COLUMN()+2,FALSE)</f>
        <v>5</v>
      </c>
      <c r="N255" s="21">
        <f>VLOOKUP($A255,'FA Addition'!$A:$AK,COLUMN()+2,FALSE)</f>
        <v>0.2</v>
      </c>
      <c r="O255" s="22">
        <f>'FA Write off'!$N255*'FA Write off'!$L255*'FA Write off'!$H255/365</f>
        <v>106323.28767123287</v>
      </c>
    </row>
    <row r="256" spans="1:15" s="4" customFormat="1" hidden="1" x14ac:dyDescent="0.4">
      <c r="A256" s="23">
        <v>964</v>
      </c>
      <c r="B256" s="13" t="s">
        <v>1758</v>
      </c>
      <c r="C256" s="14">
        <v>45747</v>
      </c>
      <c r="D256" s="23">
        <v>96</v>
      </c>
      <c r="E256" s="15"/>
      <c r="F256" s="15"/>
      <c r="G256" s="16">
        <f>MONTH('FA Write off'!$C256)</f>
        <v>3</v>
      </c>
      <c r="H256" s="16">
        <f>MIN('FA Write off'!$C256-'FA Write off'!$J256+1,'FA Write off'!$M256*365)</f>
        <v>390</v>
      </c>
      <c r="I256" s="17">
        <f>VLOOKUP($A256,'FA Addition'!$A:$AK,COLUMN()-6,FALSE)</f>
        <v>45358</v>
      </c>
      <c r="J256" s="17">
        <f>VLOOKUP($A256,'FA Addition'!$A:$AK,COLUMN()-6,FALSE)</f>
        <v>45358</v>
      </c>
      <c r="K256" s="18" t="str">
        <f>VLOOKUP($A256,'FA Addition'!$A:$AK,COLUMN()-6,FALSE)</f>
        <v>ONT-Optical Network Terminal</v>
      </c>
      <c r="L256" s="19">
        <f>VLOOKUP($A256,'FA Addition'!$A:$AK,COLUMN(),FALSE)</f>
        <v>3900000</v>
      </c>
      <c r="M256" s="20">
        <f>VLOOKUP($A256,'FA Addition'!$A:$AK,COLUMN()+2,FALSE)</f>
        <v>5</v>
      </c>
      <c r="N256" s="21">
        <f>VLOOKUP($A256,'FA Addition'!$A:$AK,COLUMN()+2,FALSE)</f>
        <v>0.2</v>
      </c>
      <c r="O256" s="22">
        <f>'FA Write off'!$N256*'FA Write off'!$L256*'FA Write off'!$H256/365</f>
        <v>833424.65753424657</v>
      </c>
    </row>
    <row r="257" spans="1:15" s="4" customFormat="1" hidden="1" x14ac:dyDescent="0.4">
      <c r="A257" s="23">
        <v>967</v>
      </c>
      <c r="B257" s="13" t="s">
        <v>1758</v>
      </c>
      <c r="C257" s="14">
        <v>45747</v>
      </c>
      <c r="D257" s="23">
        <v>574</v>
      </c>
      <c r="E257" s="15"/>
      <c r="F257" s="15"/>
      <c r="G257" s="16">
        <f>MONTH('FA Write off'!$C257)</f>
        <v>3</v>
      </c>
      <c r="H257" s="16">
        <f>MIN('FA Write off'!$C257-'FA Write off'!$J257+1,'FA Write off'!$M257*365)</f>
        <v>384</v>
      </c>
      <c r="I257" s="17">
        <f>VLOOKUP($A257,'FA Addition'!$A:$AK,COLUMN()-6,FALSE)</f>
        <v>45363</v>
      </c>
      <c r="J257" s="17">
        <f>VLOOKUP($A257,'FA Addition'!$A:$AK,COLUMN()-6,FALSE)</f>
        <v>45364</v>
      </c>
      <c r="K257" s="18" t="str">
        <f>VLOOKUP($A257,'FA Addition'!$A:$AK,COLUMN()-6,FALSE)</f>
        <v>ONT-Optical Network Terminal</v>
      </c>
      <c r="L257" s="19">
        <f>VLOOKUP($A257,'FA Addition'!$A:$AK,COLUMN(),FALSE)</f>
        <v>5850000</v>
      </c>
      <c r="M257" s="20">
        <f>VLOOKUP($A257,'FA Addition'!$A:$AK,COLUMN()+2,FALSE)</f>
        <v>5</v>
      </c>
      <c r="N257" s="21">
        <f>VLOOKUP($A257,'FA Addition'!$A:$AK,COLUMN()+2,FALSE)</f>
        <v>0.2</v>
      </c>
      <c r="O257" s="22">
        <f>'FA Write off'!$N257*'FA Write off'!$L257*'FA Write off'!$H257/365</f>
        <v>1230904.1095890412</v>
      </c>
    </row>
    <row r="258" spans="1:15" s="4" customFormat="1" hidden="1" x14ac:dyDescent="0.4">
      <c r="A258" s="23">
        <v>968</v>
      </c>
      <c r="B258" s="13" t="s">
        <v>1758</v>
      </c>
      <c r="C258" s="14">
        <v>45747</v>
      </c>
      <c r="D258" s="23">
        <v>75</v>
      </c>
      <c r="E258" s="15"/>
      <c r="F258" s="15"/>
      <c r="G258" s="16">
        <f>MONTH('FA Write off'!$C258)</f>
        <v>3</v>
      </c>
      <c r="H258" s="16">
        <f>MIN('FA Write off'!$C258-'FA Write off'!$J258+1,'FA Write off'!$M258*365)</f>
        <v>384</v>
      </c>
      <c r="I258" s="17">
        <f>VLOOKUP($A258,'FA Addition'!$A:$AK,COLUMN()-6,FALSE)</f>
        <v>45363</v>
      </c>
      <c r="J258" s="17">
        <f>VLOOKUP($A258,'FA Addition'!$A:$AK,COLUMN()-6,FALSE)</f>
        <v>45364</v>
      </c>
      <c r="K258" s="18" t="str">
        <f>VLOOKUP($A258,'FA Addition'!$A:$AK,COLUMN()-6,FALSE)</f>
        <v>Router</v>
      </c>
      <c r="L258" s="19">
        <f>VLOOKUP($A258,'FA Addition'!$A:$AK,COLUMN(),FALSE)</f>
        <v>495000</v>
      </c>
      <c r="M258" s="20">
        <f>VLOOKUP($A258,'FA Addition'!$A:$AK,COLUMN()+2,FALSE)</f>
        <v>5</v>
      </c>
      <c r="N258" s="21">
        <f>VLOOKUP($A258,'FA Addition'!$A:$AK,COLUMN()+2,FALSE)</f>
        <v>0.2</v>
      </c>
      <c r="O258" s="22">
        <f>'FA Write off'!$N258*'FA Write off'!$L258*'FA Write off'!$H258/365</f>
        <v>104153.42465753424</v>
      </c>
    </row>
    <row r="259" spans="1:15" s="4" customFormat="1" hidden="1" x14ac:dyDescent="0.4">
      <c r="A259" s="23">
        <v>991</v>
      </c>
      <c r="B259" s="13" t="s">
        <v>1758</v>
      </c>
      <c r="C259" s="14">
        <v>45747</v>
      </c>
      <c r="D259" s="23">
        <v>71</v>
      </c>
      <c r="E259" s="15"/>
      <c r="F259" s="15"/>
      <c r="G259" s="16">
        <f>MONTH('FA Write off'!$C259)</f>
        <v>3</v>
      </c>
      <c r="H259" s="16">
        <f>MIN('FA Write off'!$C259-'FA Write off'!$J259+1,'FA Write off'!$M259*365)</f>
        <v>365</v>
      </c>
      <c r="I259" s="17">
        <f>VLOOKUP($A259,'FA Addition'!$A:$AK,COLUMN()-6,FALSE)</f>
        <v>45383</v>
      </c>
      <c r="J259" s="17">
        <f>VLOOKUP($A259,'FA Addition'!$A:$AK,COLUMN()-6,FALSE)</f>
        <v>45383</v>
      </c>
      <c r="K259" s="18" t="str">
        <f>VLOOKUP($A259,'FA Addition'!$A:$AK,COLUMN()-6,FALSE)</f>
        <v>Router</v>
      </c>
      <c r="L259" s="19">
        <f>VLOOKUP($A259,'FA Addition'!$A:$AK,COLUMN(),FALSE)</f>
        <v>198000</v>
      </c>
      <c r="M259" s="20">
        <f>VLOOKUP($A259,'FA Addition'!$A:$AK,COLUMN()+2,FALSE)</f>
        <v>5</v>
      </c>
      <c r="N259" s="21">
        <f>VLOOKUP($A259,'FA Addition'!$A:$AK,COLUMN()+2,FALSE)</f>
        <v>0.2</v>
      </c>
      <c r="O259" s="22">
        <f>'FA Write off'!$N259*'FA Write off'!$L259*'FA Write off'!$H259/365</f>
        <v>39600</v>
      </c>
    </row>
    <row r="260" spans="1:15" s="4" customFormat="1" hidden="1" x14ac:dyDescent="0.4">
      <c r="A260" s="23">
        <v>1024</v>
      </c>
      <c r="B260" s="13" t="s">
        <v>1758</v>
      </c>
      <c r="C260" s="14">
        <v>45747</v>
      </c>
      <c r="D260" s="23">
        <v>54</v>
      </c>
      <c r="E260" s="15"/>
      <c r="F260" s="15"/>
      <c r="G260" s="16">
        <f>MONTH('FA Write off'!$C260)</f>
        <v>3</v>
      </c>
      <c r="H260" s="16">
        <f>MIN('FA Write off'!$C260-'FA Write off'!$J260+1,'FA Write off'!$M260*365)</f>
        <v>341</v>
      </c>
      <c r="I260" s="17">
        <f>VLOOKUP($A260,'FA Addition'!$A:$AK,COLUMN()-6,FALSE)</f>
        <v>45407</v>
      </c>
      <c r="J260" s="17">
        <f>VLOOKUP($A260,'FA Addition'!$A:$AK,COLUMN()-6,FALSE)</f>
        <v>45407</v>
      </c>
      <c r="K260" s="18" t="str">
        <f>VLOOKUP($A260,'FA Addition'!$A:$AK,COLUMN()-6,FALSE)</f>
        <v>Router</v>
      </c>
      <c r="L260" s="19">
        <f>VLOOKUP($A260,'FA Addition'!$A:$AK,COLUMN(),FALSE)</f>
        <v>990000</v>
      </c>
      <c r="M260" s="20">
        <f>VLOOKUP($A260,'FA Addition'!$A:$AK,COLUMN()+2,FALSE)</f>
        <v>5</v>
      </c>
      <c r="N260" s="21">
        <f>VLOOKUP($A260,'FA Addition'!$A:$AK,COLUMN()+2,FALSE)</f>
        <v>0.2</v>
      </c>
      <c r="O260" s="22">
        <f>'FA Write off'!$N260*'FA Write off'!$L260*'FA Write off'!$H260/365</f>
        <v>184980.82191780821</v>
      </c>
    </row>
    <row r="261" spans="1:15" s="4" customFormat="1" hidden="1" x14ac:dyDescent="0.4">
      <c r="A261" s="23">
        <v>1052</v>
      </c>
      <c r="B261" s="13" t="s">
        <v>1758</v>
      </c>
      <c r="C261" s="14">
        <v>45747</v>
      </c>
      <c r="D261" s="23">
        <v>36</v>
      </c>
      <c r="E261" s="15"/>
      <c r="F261" s="15"/>
      <c r="G261" s="16">
        <f>MONTH('FA Write off'!$C261)</f>
        <v>3</v>
      </c>
      <c r="H261" s="16">
        <f>MIN('FA Write off'!$C261-'FA Write off'!$J261+1,'FA Write off'!$M261*365)</f>
        <v>325</v>
      </c>
      <c r="I261" s="17">
        <f>VLOOKUP($A261,'FA Addition'!$A:$AK,COLUMN()-6,FALSE)</f>
        <v>45423</v>
      </c>
      <c r="J261" s="17">
        <f>VLOOKUP($A261,'FA Addition'!$A:$AK,COLUMN()-6,FALSE)</f>
        <v>45423</v>
      </c>
      <c r="K261" s="18" t="str">
        <f>VLOOKUP($A261,'FA Addition'!$A:$AK,COLUMN()-6,FALSE)</f>
        <v>Router</v>
      </c>
      <c r="L261" s="19">
        <f>VLOOKUP($A261,'FA Addition'!$A:$AK,COLUMN(),FALSE)</f>
        <v>990000</v>
      </c>
      <c r="M261" s="20">
        <f>VLOOKUP($A261,'FA Addition'!$A:$AK,COLUMN()+2,FALSE)</f>
        <v>5</v>
      </c>
      <c r="N261" s="21">
        <f>VLOOKUP($A261,'FA Addition'!$A:$AK,COLUMN()+2,FALSE)</f>
        <v>0.2</v>
      </c>
      <c r="O261" s="22">
        <f>'FA Write off'!$N261*'FA Write off'!$L261*'FA Write off'!$H261/365</f>
        <v>176301.36986301371</v>
      </c>
    </row>
    <row r="262" spans="1:15" s="4" customFormat="1" hidden="1" x14ac:dyDescent="0.4">
      <c r="A262" s="23">
        <v>1063</v>
      </c>
      <c r="B262" s="13" t="s">
        <v>1758</v>
      </c>
      <c r="C262" s="14">
        <v>45747</v>
      </c>
      <c r="D262" s="23">
        <v>106</v>
      </c>
      <c r="E262" s="15"/>
      <c r="F262" s="15"/>
      <c r="G262" s="16">
        <f>MONTH('FA Write off'!$C262)</f>
        <v>3</v>
      </c>
      <c r="H262" s="16">
        <f>MIN('FA Write off'!$C262-'FA Write off'!$J262+1,'FA Write off'!$M262*365)</f>
        <v>319</v>
      </c>
      <c r="I262" s="17">
        <f>VLOOKUP($A262,'FA Addition'!$A:$AK,COLUMN()-6,FALSE)</f>
        <v>45429</v>
      </c>
      <c r="J262" s="17">
        <f>VLOOKUP($A262,'FA Addition'!$A:$AK,COLUMN()-6,FALSE)</f>
        <v>45429</v>
      </c>
      <c r="K262" s="18" t="str">
        <f>VLOOKUP($A262,'FA Addition'!$A:$AK,COLUMN()-6,FALSE)</f>
        <v>ONT-Optical Network Terminal</v>
      </c>
      <c r="L262" s="19">
        <f>VLOOKUP($A262,'FA Addition'!$A:$AK,COLUMN(),FALSE)</f>
        <v>3660000</v>
      </c>
      <c r="M262" s="20">
        <f>VLOOKUP($A262,'FA Addition'!$A:$AK,COLUMN()+2,FALSE)</f>
        <v>5</v>
      </c>
      <c r="N262" s="21">
        <f>VLOOKUP($A262,'FA Addition'!$A:$AK,COLUMN()+2,FALSE)</f>
        <v>0.2</v>
      </c>
      <c r="O262" s="22">
        <f>'FA Write off'!$N262*'FA Write off'!$L262*'FA Write off'!$H262/365</f>
        <v>639747.94520547939</v>
      </c>
    </row>
    <row r="263" spans="1:15" s="4" customFormat="1" hidden="1" x14ac:dyDescent="0.4">
      <c r="A263" s="23">
        <v>1064</v>
      </c>
      <c r="B263" s="13" t="s">
        <v>1758</v>
      </c>
      <c r="C263" s="14">
        <v>45747</v>
      </c>
      <c r="D263" s="23">
        <v>183</v>
      </c>
      <c r="E263" s="15"/>
      <c r="F263" s="15"/>
      <c r="G263" s="16">
        <f>MONTH('FA Write off'!$C263)</f>
        <v>3</v>
      </c>
      <c r="H263" s="16">
        <f>MIN('FA Write off'!$C263-'FA Write off'!$J263+1,'FA Write off'!$M263*365)</f>
        <v>316</v>
      </c>
      <c r="I263" s="17">
        <f>VLOOKUP($A263,'FA Addition'!$A:$AK,COLUMN()-6,FALSE)</f>
        <v>45432</v>
      </c>
      <c r="J263" s="17">
        <f>VLOOKUP($A263,'FA Addition'!$A:$AK,COLUMN()-6,FALSE)</f>
        <v>45432</v>
      </c>
      <c r="K263" s="18" t="str">
        <f>VLOOKUP($A263,'FA Addition'!$A:$AK,COLUMN()-6,FALSE)</f>
        <v>Router</v>
      </c>
      <c r="L263" s="19">
        <f>VLOOKUP($A263,'FA Addition'!$A:$AK,COLUMN(),FALSE)</f>
        <v>990000</v>
      </c>
      <c r="M263" s="20">
        <f>VLOOKUP($A263,'FA Addition'!$A:$AK,COLUMN()+2,FALSE)</f>
        <v>5</v>
      </c>
      <c r="N263" s="21">
        <f>VLOOKUP($A263,'FA Addition'!$A:$AK,COLUMN()+2,FALSE)</f>
        <v>0.2</v>
      </c>
      <c r="O263" s="22">
        <f>'FA Write off'!$N263*'FA Write off'!$L263*'FA Write off'!$H263/365</f>
        <v>171419.17808219179</v>
      </c>
    </row>
    <row r="264" spans="1:15" s="4" customFormat="1" hidden="1" x14ac:dyDescent="0.4">
      <c r="A264" s="23">
        <v>1080</v>
      </c>
      <c r="B264" s="13" t="s">
        <v>1758</v>
      </c>
      <c r="C264" s="14">
        <v>45747</v>
      </c>
      <c r="D264" s="23">
        <v>27</v>
      </c>
      <c r="E264" s="15"/>
      <c r="F264" s="15"/>
      <c r="G264" s="16">
        <f>MONTH('FA Write off'!$C264)</f>
        <v>3</v>
      </c>
      <c r="H264" s="16">
        <f>MIN('FA Write off'!$C264-'FA Write off'!$J264+1,'FA Write off'!$M264*365)</f>
        <v>304</v>
      </c>
      <c r="I264" s="17">
        <f>VLOOKUP($A264,'FA Addition'!$A:$AK,COLUMN()-6,FALSE)</f>
        <v>45444</v>
      </c>
      <c r="J264" s="17">
        <f>VLOOKUP($A264,'FA Addition'!$A:$AK,COLUMN()-6,FALSE)</f>
        <v>45444</v>
      </c>
      <c r="K264" s="18" t="str">
        <f>VLOOKUP($A264,'FA Addition'!$A:$AK,COLUMN()-6,FALSE)</f>
        <v>ONT-Optical Network Terminal</v>
      </c>
      <c r="L264" s="19">
        <f>VLOOKUP($A264,'FA Addition'!$A:$AK,COLUMN(),FALSE)</f>
        <v>1830000</v>
      </c>
      <c r="M264" s="20">
        <f>VLOOKUP($A264,'FA Addition'!$A:$AK,COLUMN()+2,FALSE)</f>
        <v>5</v>
      </c>
      <c r="N264" s="21">
        <f>VLOOKUP($A264,'FA Addition'!$A:$AK,COLUMN()+2,FALSE)</f>
        <v>0.2</v>
      </c>
      <c r="O264" s="22">
        <f>'FA Write off'!$N264*'FA Write off'!$L264*'FA Write off'!$H264/365</f>
        <v>304832.87671232875</v>
      </c>
    </row>
    <row r="265" spans="1:15" s="4" customFormat="1" hidden="1" x14ac:dyDescent="0.4">
      <c r="A265" s="23">
        <v>1082</v>
      </c>
      <c r="B265" s="13" t="s">
        <v>1758</v>
      </c>
      <c r="C265" s="14">
        <v>45747</v>
      </c>
      <c r="D265" s="23">
        <v>52</v>
      </c>
      <c r="E265" s="15"/>
      <c r="F265" s="15"/>
      <c r="G265" s="16">
        <f>MONTH('FA Write off'!$C265)</f>
        <v>3</v>
      </c>
      <c r="H265" s="16">
        <f>MIN('FA Write off'!$C265-'FA Write off'!$J265+1,'FA Write off'!$M265*365)</f>
        <v>301</v>
      </c>
      <c r="I265" s="17">
        <f>VLOOKUP($A265,'FA Addition'!$A:$AK,COLUMN()-6,FALSE)</f>
        <v>45447</v>
      </c>
      <c r="J265" s="17">
        <f>VLOOKUP($A265,'FA Addition'!$A:$AK,COLUMN()-6,FALSE)</f>
        <v>45447</v>
      </c>
      <c r="K265" s="18" t="str">
        <f>VLOOKUP($A265,'FA Addition'!$A:$AK,COLUMN()-6,FALSE)</f>
        <v>ONT-Optical Network Terminal</v>
      </c>
      <c r="L265" s="19">
        <f>VLOOKUP($A265,'FA Addition'!$A:$AK,COLUMN(),FALSE)</f>
        <v>2745000</v>
      </c>
      <c r="M265" s="20">
        <f>VLOOKUP($A265,'FA Addition'!$A:$AK,COLUMN()+2,FALSE)</f>
        <v>5</v>
      </c>
      <c r="N265" s="21">
        <f>VLOOKUP($A265,'FA Addition'!$A:$AK,COLUMN()+2,FALSE)</f>
        <v>0.2</v>
      </c>
      <c r="O265" s="22">
        <f>'FA Write off'!$N265*'FA Write off'!$L265*'FA Write off'!$H265/365</f>
        <v>452736.98630136985</v>
      </c>
    </row>
    <row r="266" spans="1:15" s="4" customFormat="1" hidden="1" x14ac:dyDescent="0.4">
      <c r="A266" s="23">
        <v>1091</v>
      </c>
      <c r="B266" s="13" t="s">
        <v>1758</v>
      </c>
      <c r="C266" s="14">
        <v>45747</v>
      </c>
      <c r="D266" s="23">
        <v>32</v>
      </c>
      <c r="E266" s="15"/>
      <c r="F266" s="15"/>
      <c r="G266" s="16">
        <f>MONTH('FA Write off'!$C266)</f>
        <v>3</v>
      </c>
      <c r="H266" s="16">
        <f>MIN('FA Write off'!$C266-'FA Write off'!$J266+1,'FA Write off'!$M266*365)</f>
        <v>293</v>
      </c>
      <c r="I266" s="17">
        <f>VLOOKUP($A266,'FA Addition'!$A:$AK,COLUMN()-6,FALSE)</f>
        <v>45455</v>
      </c>
      <c r="J266" s="17">
        <f>VLOOKUP($A266,'FA Addition'!$A:$AK,COLUMN()-6,FALSE)</f>
        <v>45455</v>
      </c>
      <c r="K266" s="18" t="str">
        <f>VLOOKUP($A266,'FA Addition'!$A:$AK,COLUMN()-6,FALSE)</f>
        <v>ONT-Optical Network Terminal</v>
      </c>
      <c r="L266" s="19">
        <f>VLOOKUP($A266,'FA Addition'!$A:$AK,COLUMN(),FALSE)</f>
        <v>2305800</v>
      </c>
      <c r="M266" s="20">
        <f>VLOOKUP($A266,'FA Addition'!$A:$AK,COLUMN()+2,FALSE)</f>
        <v>5</v>
      </c>
      <c r="N266" s="21">
        <f>VLOOKUP($A266,'FA Addition'!$A:$AK,COLUMN()+2,FALSE)</f>
        <v>0.2</v>
      </c>
      <c r="O266" s="22">
        <f>'FA Write off'!$N266*'FA Write off'!$L266*'FA Write off'!$H266/365</f>
        <v>370191.45205479453</v>
      </c>
    </row>
    <row r="267" spans="1:15" s="4" customFormat="1" hidden="1" x14ac:dyDescent="0.4">
      <c r="A267" s="23">
        <v>1097</v>
      </c>
      <c r="B267" s="13" t="s">
        <v>1758</v>
      </c>
      <c r="C267" s="14">
        <v>45747</v>
      </c>
      <c r="D267" s="23">
        <v>89</v>
      </c>
      <c r="E267" s="15"/>
      <c r="F267" s="15"/>
      <c r="G267" s="16">
        <f>MONTH('FA Write off'!$C267)</f>
        <v>3</v>
      </c>
      <c r="H267" s="16">
        <f>MIN('FA Write off'!$C267-'FA Write off'!$J267+1,'FA Write off'!$M267*365)</f>
        <v>288</v>
      </c>
      <c r="I267" s="17">
        <f>VLOOKUP($A267,'FA Addition'!$A:$AK,COLUMN()-6,FALSE)</f>
        <v>45460</v>
      </c>
      <c r="J267" s="17">
        <f>VLOOKUP($A267,'FA Addition'!$A:$AK,COLUMN()-6,FALSE)</f>
        <v>45460</v>
      </c>
      <c r="K267" s="18" t="str">
        <f>VLOOKUP($A267,'FA Addition'!$A:$AK,COLUMN()-6,FALSE)</f>
        <v>ONT-Optical Network Terminal</v>
      </c>
      <c r="L267" s="19">
        <f>VLOOKUP($A267,'FA Addition'!$A:$AK,COLUMN(),FALSE)</f>
        <v>439200</v>
      </c>
      <c r="M267" s="20">
        <f>VLOOKUP($A267,'FA Addition'!$A:$AK,COLUMN()+2,FALSE)</f>
        <v>5</v>
      </c>
      <c r="N267" s="21">
        <f>VLOOKUP($A267,'FA Addition'!$A:$AK,COLUMN()+2,FALSE)</f>
        <v>0.2</v>
      </c>
      <c r="O267" s="22">
        <f>'FA Write off'!$N267*'FA Write off'!$L267*'FA Write off'!$H267/365</f>
        <v>69309.369863013693</v>
      </c>
    </row>
    <row r="268" spans="1:15" s="4" customFormat="1" hidden="1" x14ac:dyDescent="0.4">
      <c r="A268" s="23">
        <v>1113</v>
      </c>
      <c r="B268" s="13" t="s">
        <v>1758</v>
      </c>
      <c r="C268" s="14">
        <v>45747</v>
      </c>
      <c r="D268" s="23">
        <v>69</v>
      </c>
      <c r="E268" s="15"/>
      <c r="F268" s="15"/>
      <c r="G268" s="16">
        <f>MONTH('FA Write off'!$C268)</f>
        <v>3</v>
      </c>
      <c r="H268" s="16">
        <f>MIN('FA Write off'!$C268-'FA Write off'!$J268+1,'FA Write off'!$M268*365)</f>
        <v>251</v>
      </c>
      <c r="I268" s="17">
        <f>VLOOKUP($A268,'FA Addition'!$A:$AK,COLUMN()-6,FALSE)</f>
        <v>45497</v>
      </c>
      <c r="J268" s="17">
        <f>VLOOKUP($A268,'FA Addition'!$A:$AK,COLUMN()-6,FALSE)</f>
        <v>45497</v>
      </c>
      <c r="K268" s="18" t="str">
        <f>VLOOKUP($A268,'FA Addition'!$A:$AK,COLUMN()-6,FALSE)</f>
        <v>ONT-Optical Network Terminal</v>
      </c>
      <c r="L268" s="19">
        <f>VLOOKUP($A268,'FA Addition'!$A:$AK,COLUMN(),FALSE)</f>
        <v>3660000</v>
      </c>
      <c r="M268" s="20">
        <f>VLOOKUP($A268,'FA Addition'!$A:$AK,COLUMN()+2,FALSE)</f>
        <v>5</v>
      </c>
      <c r="N268" s="21">
        <f>VLOOKUP($A268,'FA Addition'!$A:$AK,COLUMN()+2,FALSE)</f>
        <v>0.2</v>
      </c>
      <c r="O268" s="22">
        <f>'FA Write off'!$N268*'FA Write off'!$L268*'FA Write off'!$H268/365</f>
        <v>503375.34246575343</v>
      </c>
    </row>
    <row r="269" spans="1:15" s="4" customFormat="1" hidden="1" x14ac:dyDescent="0.4">
      <c r="A269" s="23">
        <v>1119</v>
      </c>
      <c r="B269" s="13" t="s">
        <v>1758</v>
      </c>
      <c r="C269" s="14">
        <v>45747</v>
      </c>
      <c r="D269" s="23">
        <v>21</v>
      </c>
      <c r="E269" s="15"/>
      <c r="F269" s="15"/>
      <c r="G269" s="16">
        <f>MONTH('FA Write off'!$C269)</f>
        <v>3</v>
      </c>
      <c r="H269" s="16">
        <f>MIN('FA Write off'!$C269-'FA Write off'!$J269+1,'FA Write off'!$M269*365)</f>
        <v>235</v>
      </c>
      <c r="I269" s="17">
        <f>VLOOKUP($A269,'FA Addition'!$A:$AK,COLUMN()-6,FALSE)</f>
        <v>45502</v>
      </c>
      <c r="J269" s="17">
        <f>VLOOKUP($A269,'FA Addition'!$A:$AK,COLUMN()-6,FALSE)</f>
        <v>45513</v>
      </c>
      <c r="K269" s="18" t="str">
        <f>VLOOKUP($A269,'FA Addition'!$A:$AK,COLUMN()-6,FALSE)</f>
        <v>ONT-Optical Network Terminal</v>
      </c>
      <c r="L269" s="19">
        <f>VLOOKUP($A269,'FA Addition'!$A:$AK,COLUMN(),FALSE)</f>
        <v>1830000</v>
      </c>
      <c r="M269" s="20">
        <f>VLOOKUP($A269,'FA Addition'!$A:$AK,COLUMN()+2,FALSE)</f>
        <v>5</v>
      </c>
      <c r="N269" s="21">
        <f>VLOOKUP($A269,'FA Addition'!$A:$AK,COLUMN()+2,FALSE)</f>
        <v>0.2</v>
      </c>
      <c r="O269" s="22">
        <f>'FA Write off'!$N269*'FA Write off'!$L269*'FA Write off'!$H269/365</f>
        <v>235643.83561643836</v>
      </c>
    </row>
    <row r="270" spans="1:15" s="4" customFormat="1" hidden="1" x14ac:dyDescent="0.4">
      <c r="A270" s="23">
        <v>1120</v>
      </c>
      <c r="B270" s="13" t="s">
        <v>1758</v>
      </c>
      <c r="C270" s="14">
        <v>45747</v>
      </c>
      <c r="D270" s="23">
        <v>86</v>
      </c>
      <c r="E270" s="15"/>
      <c r="F270" s="15"/>
      <c r="G270" s="16">
        <f>MONTH('FA Write off'!$C270)</f>
        <v>3</v>
      </c>
      <c r="H270" s="16">
        <f>MIN('FA Write off'!$C270-'FA Write off'!$J270+1,'FA Write off'!$M270*365)</f>
        <v>235</v>
      </c>
      <c r="I270" s="17">
        <f>VLOOKUP($A270,'FA Addition'!$A:$AK,COLUMN()-6,FALSE)</f>
        <v>45503</v>
      </c>
      <c r="J270" s="17">
        <f>VLOOKUP($A270,'FA Addition'!$A:$AK,COLUMN()-6,FALSE)</f>
        <v>45513</v>
      </c>
      <c r="K270" s="18" t="str">
        <f>VLOOKUP($A270,'FA Addition'!$A:$AK,COLUMN()-6,FALSE)</f>
        <v>ONT-Optical Network Terminal</v>
      </c>
      <c r="L270" s="19">
        <f>VLOOKUP($A270,'FA Addition'!$A:$AK,COLUMN(),FALSE)</f>
        <v>1830000</v>
      </c>
      <c r="M270" s="20">
        <f>VLOOKUP($A270,'FA Addition'!$A:$AK,COLUMN()+2,FALSE)</f>
        <v>5</v>
      </c>
      <c r="N270" s="21">
        <f>VLOOKUP($A270,'FA Addition'!$A:$AK,COLUMN()+2,FALSE)</f>
        <v>0.2</v>
      </c>
      <c r="O270" s="22">
        <f>'FA Write off'!$N270*'FA Write off'!$L270*'FA Write off'!$H270/365</f>
        <v>235643.83561643836</v>
      </c>
    </row>
    <row r="271" spans="1:15" s="4" customFormat="1" hidden="1" x14ac:dyDescent="0.4">
      <c r="A271" s="23">
        <v>1122</v>
      </c>
      <c r="B271" s="13" t="s">
        <v>1758</v>
      </c>
      <c r="C271" s="14">
        <v>45747</v>
      </c>
      <c r="D271" s="23">
        <v>7</v>
      </c>
      <c r="E271" s="15"/>
      <c r="F271" s="15"/>
      <c r="G271" s="16">
        <f>MONTH('FA Write off'!$C271)</f>
        <v>3</v>
      </c>
      <c r="H271" s="16">
        <f>MIN('FA Write off'!$C271-'FA Write off'!$J271+1,'FA Write off'!$M271*365)</f>
        <v>235</v>
      </c>
      <c r="I271" s="17">
        <f>VLOOKUP($A271,'FA Addition'!$A:$AK,COLUMN()-6,FALSE)</f>
        <v>45506</v>
      </c>
      <c r="J271" s="17">
        <f>VLOOKUP($A271,'FA Addition'!$A:$AK,COLUMN()-6,FALSE)</f>
        <v>45513</v>
      </c>
      <c r="K271" s="18" t="str">
        <f>VLOOKUP($A271,'FA Addition'!$A:$AK,COLUMN()-6,FALSE)</f>
        <v>ONT-Optical Network Terminal</v>
      </c>
      <c r="L271" s="19">
        <f>VLOOKUP($A271,'FA Addition'!$A:$AK,COLUMN(),FALSE)</f>
        <v>2745000</v>
      </c>
      <c r="M271" s="20">
        <f>VLOOKUP($A271,'FA Addition'!$A:$AK,COLUMN()+2,FALSE)</f>
        <v>5</v>
      </c>
      <c r="N271" s="21">
        <f>VLOOKUP($A271,'FA Addition'!$A:$AK,COLUMN()+2,FALSE)</f>
        <v>0.2</v>
      </c>
      <c r="O271" s="22">
        <f>'FA Write off'!$N271*'FA Write off'!$L271*'FA Write off'!$H271/365</f>
        <v>353465.75342465751</v>
      </c>
    </row>
    <row r="272" spans="1:15" s="4" customFormat="1" hidden="1" x14ac:dyDescent="0.4">
      <c r="A272" s="23">
        <v>1124</v>
      </c>
      <c r="B272" s="13" t="s">
        <v>1758</v>
      </c>
      <c r="C272" s="14">
        <v>45747</v>
      </c>
      <c r="D272" s="23">
        <v>68</v>
      </c>
      <c r="E272" s="15"/>
      <c r="F272" s="15"/>
      <c r="G272" s="16">
        <f>MONTH('FA Write off'!$C272)</f>
        <v>3</v>
      </c>
      <c r="H272" s="16">
        <f>MIN('FA Write off'!$C272-'FA Write off'!$J272+1,'FA Write off'!$M272*365)</f>
        <v>218</v>
      </c>
      <c r="I272" s="17">
        <f>VLOOKUP($A272,'FA Addition'!$A:$AK,COLUMN()-6,FALSE)</f>
        <v>45520</v>
      </c>
      <c r="J272" s="17">
        <f>VLOOKUP($A272,'FA Addition'!$A:$AK,COLUMN()-6,FALSE)</f>
        <v>45530</v>
      </c>
      <c r="K272" s="18" t="str">
        <f>VLOOKUP($A272,'FA Addition'!$A:$AK,COLUMN()-6,FALSE)</f>
        <v>ONT-Optical Network Terminal</v>
      </c>
      <c r="L272" s="19">
        <f>VLOOKUP($A272,'FA Addition'!$A:$AK,COLUMN(),FALSE)</f>
        <v>1665000</v>
      </c>
      <c r="M272" s="20">
        <f>VLOOKUP($A272,'FA Addition'!$A:$AK,COLUMN()+2,FALSE)</f>
        <v>5</v>
      </c>
      <c r="N272" s="21">
        <f>VLOOKUP($A272,'FA Addition'!$A:$AK,COLUMN()+2,FALSE)</f>
        <v>0.2</v>
      </c>
      <c r="O272" s="22">
        <f>'FA Write off'!$N272*'FA Write off'!$L272*'FA Write off'!$H272/365</f>
        <v>198887.67123287672</v>
      </c>
    </row>
    <row r="273" spans="1:15" s="4" customFormat="1" hidden="1" x14ac:dyDescent="0.4">
      <c r="A273" s="23">
        <v>1125</v>
      </c>
      <c r="B273" s="13" t="s">
        <v>1758</v>
      </c>
      <c r="C273" s="14">
        <v>45747</v>
      </c>
      <c r="D273" s="23">
        <v>48</v>
      </c>
      <c r="E273" s="15"/>
      <c r="F273" s="15"/>
      <c r="G273" s="16">
        <f>MONTH('FA Write off'!$C273)</f>
        <v>3</v>
      </c>
      <c r="H273" s="16">
        <f>MIN('FA Write off'!$C273-'FA Write off'!$J273+1,'FA Write off'!$M273*365)</f>
        <v>218</v>
      </c>
      <c r="I273" s="17">
        <f>VLOOKUP($A273,'FA Addition'!$A:$AK,COLUMN()-6,FALSE)</f>
        <v>45509</v>
      </c>
      <c r="J273" s="17">
        <f>VLOOKUP($A273,'FA Addition'!$A:$AK,COLUMN()-6,FALSE)</f>
        <v>45530</v>
      </c>
      <c r="K273" s="18" t="str">
        <f>VLOOKUP($A273,'FA Addition'!$A:$AK,COLUMN()-6,FALSE)</f>
        <v>ONT-Optical Network Terminal</v>
      </c>
      <c r="L273" s="19">
        <f>VLOOKUP($A273,'FA Addition'!$A:$AK,COLUMN(),FALSE)</f>
        <v>2745000</v>
      </c>
      <c r="M273" s="20">
        <f>VLOOKUP($A273,'FA Addition'!$A:$AK,COLUMN()+2,FALSE)</f>
        <v>5</v>
      </c>
      <c r="N273" s="21">
        <f>VLOOKUP($A273,'FA Addition'!$A:$AK,COLUMN()+2,FALSE)</f>
        <v>0.2</v>
      </c>
      <c r="O273" s="22">
        <f>'FA Write off'!$N273*'FA Write off'!$L273*'FA Write off'!$H273/365</f>
        <v>327895.89041095891</v>
      </c>
    </row>
    <row r="274" spans="1:15" s="4" customFormat="1" hidden="1" x14ac:dyDescent="0.4">
      <c r="A274" s="23">
        <v>1126</v>
      </c>
      <c r="B274" s="13" t="s">
        <v>1758</v>
      </c>
      <c r="C274" s="14">
        <v>45747</v>
      </c>
      <c r="D274" s="23">
        <v>108</v>
      </c>
      <c r="E274" s="15"/>
      <c r="F274" s="15"/>
      <c r="G274" s="16">
        <f>MONTH('FA Write off'!$C274)</f>
        <v>3</v>
      </c>
      <c r="H274" s="16">
        <f>MIN('FA Write off'!$C274-'FA Write off'!$J274+1,'FA Write off'!$M274*365)</f>
        <v>218</v>
      </c>
      <c r="I274" s="17">
        <f>VLOOKUP($A274,'FA Addition'!$A:$AK,COLUMN()-6,FALSE)</f>
        <v>45511</v>
      </c>
      <c r="J274" s="17">
        <f>VLOOKUP($A274,'FA Addition'!$A:$AK,COLUMN()-6,FALSE)</f>
        <v>45530</v>
      </c>
      <c r="K274" s="18" t="str">
        <f>VLOOKUP($A274,'FA Addition'!$A:$AK,COLUMN()-6,FALSE)</f>
        <v>ONT-Optical Network Terminal</v>
      </c>
      <c r="L274" s="19">
        <f>VLOOKUP($A274,'FA Addition'!$A:$AK,COLUMN(),FALSE)</f>
        <v>2745000</v>
      </c>
      <c r="M274" s="20">
        <f>VLOOKUP($A274,'FA Addition'!$A:$AK,COLUMN()+2,FALSE)</f>
        <v>5</v>
      </c>
      <c r="N274" s="21">
        <f>VLOOKUP($A274,'FA Addition'!$A:$AK,COLUMN()+2,FALSE)</f>
        <v>0.2</v>
      </c>
      <c r="O274" s="22">
        <f>'FA Write off'!$N274*'FA Write off'!$L274*'FA Write off'!$H274/365</f>
        <v>327895.89041095891</v>
      </c>
    </row>
    <row r="275" spans="1:15" s="4" customFormat="1" hidden="1" x14ac:dyDescent="0.4">
      <c r="A275" s="23">
        <v>1134</v>
      </c>
      <c r="B275" s="13" t="s">
        <v>1758</v>
      </c>
      <c r="C275" s="14">
        <v>45747</v>
      </c>
      <c r="D275" s="23">
        <v>63</v>
      </c>
      <c r="E275" s="15"/>
      <c r="F275" s="15"/>
      <c r="G275" s="16">
        <f>MONTH('FA Write off'!$C275)</f>
        <v>3</v>
      </c>
      <c r="H275" s="16">
        <f>MIN('FA Write off'!$C275-'FA Write off'!$J275+1,'FA Write off'!$M275*365)</f>
        <v>213</v>
      </c>
      <c r="I275" s="17">
        <f>VLOOKUP($A275,'FA Addition'!$A:$AK,COLUMN()-6,FALSE)</f>
        <v>45527</v>
      </c>
      <c r="J275" s="17">
        <f>VLOOKUP($A275,'FA Addition'!$A:$AK,COLUMN()-6,FALSE)</f>
        <v>45535</v>
      </c>
      <c r="K275" s="18" t="str">
        <f>VLOOKUP($A275,'FA Addition'!$A:$AK,COLUMN()-6,FALSE)</f>
        <v>ONT-Optical Network Terminal</v>
      </c>
      <c r="L275" s="19">
        <f>VLOOKUP($A275,'FA Addition'!$A:$AK,COLUMN(),FALSE)</f>
        <v>566100</v>
      </c>
      <c r="M275" s="20">
        <f>VLOOKUP($A275,'FA Addition'!$A:$AK,COLUMN()+2,FALSE)</f>
        <v>5</v>
      </c>
      <c r="N275" s="21">
        <f>VLOOKUP($A275,'FA Addition'!$A:$AK,COLUMN()+2,FALSE)</f>
        <v>0.2</v>
      </c>
      <c r="O275" s="22">
        <f>'FA Write off'!$N275*'FA Write off'!$L275*'FA Write off'!$H275/365</f>
        <v>66070.849315068495</v>
      </c>
    </row>
    <row r="276" spans="1:15" s="4" customFormat="1" hidden="1" x14ac:dyDescent="0.4">
      <c r="A276" s="23">
        <v>1135</v>
      </c>
      <c r="B276" s="13" t="s">
        <v>1758</v>
      </c>
      <c r="C276" s="14">
        <v>45747</v>
      </c>
      <c r="D276" s="23">
        <v>32</v>
      </c>
      <c r="E276" s="15"/>
      <c r="F276" s="15"/>
      <c r="G276" s="16">
        <f>MONTH('FA Write off'!$C276)</f>
        <v>3</v>
      </c>
      <c r="H276" s="16">
        <f>MIN('FA Write off'!$C276-'FA Write off'!$J276+1,'FA Write off'!$M276*365)</f>
        <v>212</v>
      </c>
      <c r="I276" s="17">
        <f>VLOOKUP($A276,'FA Addition'!$A:$AK,COLUMN()-6,FALSE)</f>
        <v>45533</v>
      </c>
      <c r="J276" s="17">
        <f>VLOOKUP($A276,'FA Addition'!$A:$AK,COLUMN()-6,FALSE)</f>
        <v>45536</v>
      </c>
      <c r="K276" s="18" t="str">
        <f>VLOOKUP($A276,'FA Addition'!$A:$AK,COLUMN()-6,FALSE)</f>
        <v>ONT-Optical Network Terminal</v>
      </c>
      <c r="L276" s="19">
        <f>VLOOKUP($A276,'FA Addition'!$A:$AK,COLUMN(),FALSE)</f>
        <v>999000</v>
      </c>
      <c r="M276" s="20">
        <f>VLOOKUP($A276,'FA Addition'!$A:$AK,COLUMN()+2,FALSE)</f>
        <v>5</v>
      </c>
      <c r="N276" s="21">
        <f>VLOOKUP($A276,'FA Addition'!$A:$AK,COLUMN()+2,FALSE)</f>
        <v>0.2</v>
      </c>
      <c r="O276" s="22">
        <f>'FA Write off'!$N276*'FA Write off'!$L276*'FA Write off'!$H276/365</f>
        <v>116048.21917808219</v>
      </c>
    </row>
    <row r="277" spans="1:15" s="4" customFormat="1" hidden="1" x14ac:dyDescent="0.4">
      <c r="A277" s="23">
        <v>1137</v>
      </c>
      <c r="B277" s="13" t="s">
        <v>1758</v>
      </c>
      <c r="C277" s="14">
        <v>45747</v>
      </c>
      <c r="D277" s="23">
        <v>8</v>
      </c>
      <c r="E277" s="15"/>
      <c r="F277" s="15"/>
      <c r="G277" s="16">
        <f>MONTH('FA Write off'!$C277)</f>
        <v>3</v>
      </c>
      <c r="H277" s="16">
        <f>MIN('FA Write off'!$C277-'FA Write off'!$J277+1,'FA Write off'!$M277*365)</f>
        <v>212</v>
      </c>
      <c r="I277" s="17">
        <f>VLOOKUP($A277,'FA Addition'!$A:$AK,COLUMN()-6,FALSE)</f>
        <v>45532</v>
      </c>
      <c r="J277" s="17">
        <f>VLOOKUP($A277,'FA Addition'!$A:$AK,COLUMN()-6,FALSE)</f>
        <v>45536</v>
      </c>
      <c r="K277" s="18" t="str">
        <f>VLOOKUP($A277,'FA Addition'!$A:$AK,COLUMN()-6,FALSE)</f>
        <v>ONT-Optical Network Terminal</v>
      </c>
      <c r="L277" s="19">
        <f>VLOOKUP($A277,'FA Addition'!$A:$AK,COLUMN(),FALSE)</f>
        <v>666000</v>
      </c>
      <c r="M277" s="20">
        <f>VLOOKUP($A277,'FA Addition'!$A:$AK,COLUMN()+2,FALSE)</f>
        <v>5</v>
      </c>
      <c r="N277" s="21">
        <f>VLOOKUP($A277,'FA Addition'!$A:$AK,COLUMN()+2,FALSE)</f>
        <v>0.2</v>
      </c>
      <c r="O277" s="22">
        <f>'FA Write off'!$N277*'FA Write off'!$L277*'FA Write off'!$H277/365</f>
        <v>77365.479452054788</v>
      </c>
    </row>
    <row r="278" spans="1:15" s="4" customFormat="1" hidden="1" x14ac:dyDescent="0.4">
      <c r="A278" s="23">
        <v>1138</v>
      </c>
      <c r="B278" s="13" t="s">
        <v>1758</v>
      </c>
      <c r="C278" s="14">
        <v>45747</v>
      </c>
      <c r="D278" s="23">
        <v>62</v>
      </c>
      <c r="E278" s="15"/>
      <c r="F278" s="15"/>
      <c r="G278" s="16">
        <f>MONTH('FA Write off'!$C278)</f>
        <v>3</v>
      </c>
      <c r="H278" s="16">
        <f>MIN('FA Write off'!$C278-'FA Write off'!$J278+1,'FA Write off'!$M278*365)</f>
        <v>201</v>
      </c>
      <c r="I278" s="17">
        <f>VLOOKUP($A278,'FA Addition'!$A:$AK,COLUMN()-6,FALSE)</f>
        <v>45537</v>
      </c>
      <c r="J278" s="17">
        <f>VLOOKUP($A278,'FA Addition'!$A:$AK,COLUMN()-6,FALSE)</f>
        <v>45547</v>
      </c>
      <c r="K278" s="18" t="str">
        <f>VLOOKUP($A278,'FA Addition'!$A:$AK,COLUMN()-6,FALSE)</f>
        <v>ONT-Optical Network Terminal</v>
      </c>
      <c r="L278" s="19">
        <f>VLOOKUP($A278,'FA Addition'!$A:$AK,COLUMN(),FALSE)</f>
        <v>2497500</v>
      </c>
      <c r="M278" s="20">
        <f>VLOOKUP($A278,'FA Addition'!$A:$AK,COLUMN()+2,FALSE)</f>
        <v>5</v>
      </c>
      <c r="N278" s="21">
        <f>VLOOKUP($A278,'FA Addition'!$A:$AK,COLUMN()+2,FALSE)</f>
        <v>0.2</v>
      </c>
      <c r="O278" s="22">
        <f>'FA Write off'!$N278*'FA Write off'!$L278*'FA Write off'!$H278/365</f>
        <v>275067.12328767125</v>
      </c>
    </row>
    <row r="279" spans="1:15" s="4" customFormat="1" hidden="1" x14ac:dyDescent="0.4">
      <c r="A279" s="23">
        <v>1140</v>
      </c>
      <c r="B279" s="13" t="s">
        <v>1758</v>
      </c>
      <c r="C279" s="14">
        <v>45747</v>
      </c>
      <c r="D279" s="23">
        <v>34</v>
      </c>
      <c r="E279" s="15"/>
      <c r="F279" s="15"/>
      <c r="G279" s="16">
        <f>MONTH('FA Write off'!$C279)</f>
        <v>3</v>
      </c>
      <c r="H279" s="16">
        <f>MIN('FA Write off'!$C279-'FA Write off'!$J279+1,'FA Write off'!$M279*365)</f>
        <v>201</v>
      </c>
      <c r="I279" s="17">
        <f>VLOOKUP($A279,'FA Addition'!$A:$AK,COLUMN()-6,FALSE)</f>
        <v>45546</v>
      </c>
      <c r="J279" s="17">
        <f>VLOOKUP($A279,'FA Addition'!$A:$AK,COLUMN()-6,FALSE)</f>
        <v>45547</v>
      </c>
      <c r="K279" s="18" t="str">
        <f>VLOOKUP($A279,'FA Addition'!$A:$AK,COLUMN()-6,FALSE)</f>
        <v>ONT-Optical Network Terminal</v>
      </c>
      <c r="L279" s="19">
        <f>VLOOKUP($A279,'FA Addition'!$A:$AK,COLUMN(),FALSE)</f>
        <v>2497500</v>
      </c>
      <c r="M279" s="20">
        <f>VLOOKUP($A279,'FA Addition'!$A:$AK,COLUMN()+2,FALSE)</f>
        <v>5</v>
      </c>
      <c r="N279" s="21">
        <f>VLOOKUP($A279,'FA Addition'!$A:$AK,COLUMN()+2,FALSE)</f>
        <v>0.2</v>
      </c>
      <c r="O279" s="22">
        <f>'FA Write off'!$N279*'FA Write off'!$L279*'FA Write off'!$H279/365</f>
        <v>275067.12328767125</v>
      </c>
    </row>
    <row r="280" spans="1:15" s="4" customFormat="1" hidden="1" x14ac:dyDescent="0.4">
      <c r="A280" s="23">
        <v>1143</v>
      </c>
      <c r="B280" s="13" t="s">
        <v>1758</v>
      </c>
      <c r="C280" s="14">
        <v>45747</v>
      </c>
      <c r="D280" s="23">
        <v>14</v>
      </c>
      <c r="E280" s="15"/>
      <c r="F280" s="15"/>
      <c r="G280" s="16">
        <f>MONTH('FA Write off'!$C280)</f>
        <v>3</v>
      </c>
      <c r="H280" s="16">
        <f>MIN('FA Write off'!$C280-'FA Write off'!$J280+1,'FA Write off'!$M280*365)</f>
        <v>183</v>
      </c>
      <c r="I280" s="17">
        <f>VLOOKUP($A280,'FA Addition'!$A:$AK,COLUMN()-6,FALSE)</f>
        <v>45559</v>
      </c>
      <c r="J280" s="17">
        <f>VLOOKUP($A280,'FA Addition'!$A:$AK,COLUMN()-6,FALSE)</f>
        <v>45565</v>
      </c>
      <c r="K280" s="18" t="str">
        <f>VLOOKUP($A280,'FA Addition'!$A:$AK,COLUMN()-6,FALSE)</f>
        <v>ONT-Optical Network Terminal</v>
      </c>
      <c r="L280" s="19">
        <f>VLOOKUP($A280,'FA Addition'!$A:$AK,COLUMN(),FALSE)</f>
        <v>2497500</v>
      </c>
      <c r="M280" s="20">
        <f>VLOOKUP($A280,'FA Addition'!$A:$AK,COLUMN()+2,FALSE)</f>
        <v>5</v>
      </c>
      <c r="N280" s="21">
        <f>VLOOKUP($A280,'FA Addition'!$A:$AK,COLUMN()+2,FALSE)</f>
        <v>0.2</v>
      </c>
      <c r="O280" s="22">
        <f>'FA Write off'!$N280*'FA Write off'!$L280*'FA Write off'!$H280/365</f>
        <v>250434.24657534246</v>
      </c>
    </row>
    <row r="281" spans="1:15" s="4" customFormat="1" hidden="1" x14ac:dyDescent="0.4">
      <c r="A281" s="23">
        <v>1144</v>
      </c>
      <c r="B281" s="13" t="s">
        <v>1758</v>
      </c>
      <c r="C281" s="14">
        <v>45747</v>
      </c>
      <c r="D281" s="23">
        <v>21</v>
      </c>
      <c r="E281" s="15"/>
      <c r="F281" s="15"/>
      <c r="G281" s="16">
        <f>MONTH('FA Write off'!$C281)</f>
        <v>3</v>
      </c>
      <c r="H281" s="16">
        <f>MIN('FA Write off'!$C281-'FA Write off'!$J281+1,'FA Write off'!$M281*365)</f>
        <v>183</v>
      </c>
      <c r="I281" s="17">
        <f>VLOOKUP($A281,'FA Addition'!$A:$AK,COLUMN()-6,FALSE)</f>
        <v>45553</v>
      </c>
      <c r="J281" s="17">
        <f>VLOOKUP($A281,'FA Addition'!$A:$AK,COLUMN()-6,FALSE)</f>
        <v>45565</v>
      </c>
      <c r="K281" s="18" t="str">
        <f>VLOOKUP($A281,'FA Addition'!$A:$AK,COLUMN()-6,FALSE)</f>
        <v>ONT-Optical Network Terminal</v>
      </c>
      <c r="L281" s="19">
        <f>VLOOKUP($A281,'FA Addition'!$A:$AK,COLUMN(),FALSE)</f>
        <v>1665000</v>
      </c>
      <c r="M281" s="20">
        <f>VLOOKUP($A281,'FA Addition'!$A:$AK,COLUMN()+2,FALSE)</f>
        <v>5</v>
      </c>
      <c r="N281" s="21">
        <f>VLOOKUP($A281,'FA Addition'!$A:$AK,COLUMN()+2,FALSE)</f>
        <v>0.2</v>
      </c>
      <c r="O281" s="22">
        <f>'FA Write off'!$N281*'FA Write off'!$L281*'FA Write off'!$H281/365</f>
        <v>166956.16438356164</v>
      </c>
    </row>
    <row r="282" spans="1:15" s="4" customFormat="1" hidden="1" x14ac:dyDescent="0.4">
      <c r="A282" s="23">
        <v>1145</v>
      </c>
      <c r="B282" s="13" t="s">
        <v>1758</v>
      </c>
      <c r="C282" s="14">
        <v>45747</v>
      </c>
      <c r="D282" s="23">
        <v>4</v>
      </c>
      <c r="E282" s="15"/>
      <c r="F282" s="15"/>
      <c r="G282" s="16">
        <f>MONTH('FA Write off'!$C282)</f>
        <v>3</v>
      </c>
      <c r="H282" s="16">
        <f>MIN('FA Write off'!$C282-'FA Write off'!$J282+1,'FA Write off'!$M282*365)</f>
        <v>183</v>
      </c>
      <c r="I282" s="17">
        <f>VLOOKUP($A282,'FA Addition'!$A:$AK,COLUMN()-6,FALSE)</f>
        <v>45561</v>
      </c>
      <c r="J282" s="17">
        <f>VLOOKUP($A282,'FA Addition'!$A:$AK,COLUMN()-6,FALSE)</f>
        <v>45565</v>
      </c>
      <c r="K282" s="18" t="str">
        <f>VLOOKUP($A282,'FA Addition'!$A:$AK,COLUMN()-6,FALSE)</f>
        <v>ONT-Optical Network Terminal</v>
      </c>
      <c r="L282" s="19">
        <f>VLOOKUP($A282,'FA Addition'!$A:$AK,COLUMN(),FALSE)</f>
        <v>1665000</v>
      </c>
      <c r="M282" s="20">
        <f>VLOOKUP($A282,'FA Addition'!$A:$AK,COLUMN()+2,FALSE)</f>
        <v>5</v>
      </c>
      <c r="N282" s="21">
        <f>VLOOKUP($A282,'FA Addition'!$A:$AK,COLUMN()+2,FALSE)</f>
        <v>0.2</v>
      </c>
      <c r="O282" s="22">
        <f>'FA Write off'!$N282*'FA Write off'!$L282*'FA Write off'!$H282/365</f>
        <v>166956.16438356164</v>
      </c>
    </row>
    <row r="283" spans="1:15" s="4" customFormat="1" hidden="1" x14ac:dyDescent="0.4">
      <c r="A283" s="23">
        <v>1151</v>
      </c>
      <c r="B283" s="13" t="s">
        <v>1758</v>
      </c>
      <c r="C283" s="14">
        <v>45747</v>
      </c>
      <c r="D283" s="23">
        <v>50</v>
      </c>
      <c r="E283" s="15"/>
      <c r="F283" s="15"/>
      <c r="G283" s="16">
        <f>MONTH('FA Write off'!$C283)</f>
        <v>3</v>
      </c>
      <c r="H283" s="16">
        <f>MIN('FA Write off'!$C283-'FA Write off'!$J283+1,'FA Write off'!$M283*365)</f>
        <v>179</v>
      </c>
      <c r="I283" s="17">
        <f>VLOOKUP($A283,'FA Addition'!$A:$AK,COLUMN()-6,FALSE)</f>
        <v>45569</v>
      </c>
      <c r="J283" s="17">
        <f>VLOOKUP($A283,'FA Addition'!$A:$AK,COLUMN()-6,FALSE)</f>
        <v>45569</v>
      </c>
      <c r="K283" s="18" t="str">
        <f>VLOOKUP($A283,'FA Addition'!$A:$AK,COLUMN()-6,FALSE)</f>
        <v>ONT-Optical Network Terminal</v>
      </c>
      <c r="L283" s="19">
        <f>VLOOKUP($A283,'FA Addition'!$A:$AK,COLUMN(),FALSE)</f>
        <v>1665000</v>
      </c>
      <c r="M283" s="20">
        <f>VLOOKUP($A283,'FA Addition'!$A:$AK,COLUMN()+2,FALSE)</f>
        <v>5</v>
      </c>
      <c r="N283" s="21">
        <f>VLOOKUP($A283,'FA Addition'!$A:$AK,COLUMN()+2,FALSE)</f>
        <v>0.2</v>
      </c>
      <c r="O283" s="22">
        <f>'FA Write off'!$N283*'FA Write off'!$L283*'FA Write off'!$H283/365</f>
        <v>163306.84931506848</v>
      </c>
    </row>
    <row r="284" spans="1:15" s="4" customFormat="1" hidden="1" x14ac:dyDescent="0.4">
      <c r="A284" s="23">
        <v>1152</v>
      </c>
      <c r="B284" s="13" t="s">
        <v>1758</v>
      </c>
      <c r="C284" s="14">
        <v>45747</v>
      </c>
      <c r="D284" s="23">
        <v>15</v>
      </c>
      <c r="E284" s="15"/>
      <c r="F284" s="15"/>
      <c r="G284" s="16">
        <f>MONTH('FA Write off'!$C284)</f>
        <v>3</v>
      </c>
      <c r="H284" s="16">
        <f>MIN('FA Write off'!$C284-'FA Write off'!$J284+1,'FA Write off'!$M284*365)</f>
        <v>176</v>
      </c>
      <c r="I284" s="17">
        <f>VLOOKUP($A284,'FA Addition'!$A:$AK,COLUMN()-6,FALSE)</f>
        <v>45566</v>
      </c>
      <c r="J284" s="17">
        <f>VLOOKUP($A284,'FA Addition'!$A:$AK,COLUMN()-6,FALSE)</f>
        <v>45572</v>
      </c>
      <c r="K284" s="18" t="str">
        <f>VLOOKUP($A284,'FA Addition'!$A:$AK,COLUMN()-6,FALSE)</f>
        <v>ONT-Optical Network Terminal</v>
      </c>
      <c r="L284" s="19">
        <f>VLOOKUP($A284,'FA Addition'!$A:$AK,COLUMN(),FALSE)</f>
        <v>1665000</v>
      </c>
      <c r="M284" s="20">
        <f>VLOOKUP($A284,'FA Addition'!$A:$AK,COLUMN()+2,FALSE)</f>
        <v>5</v>
      </c>
      <c r="N284" s="21">
        <f>VLOOKUP($A284,'FA Addition'!$A:$AK,COLUMN()+2,FALSE)</f>
        <v>0.2</v>
      </c>
      <c r="O284" s="22">
        <f>'FA Write off'!$N284*'FA Write off'!$L284*'FA Write off'!$H284/365</f>
        <v>160569.86301369863</v>
      </c>
    </row>
    <row r="285" spans="1:15" s="4" customFormat="1" hidden="1" x14ac:dyDescent="0.4">
      <c r="A285" s="23">
        <v>1154</v>
      </c>
      <c r="B285" s="13" t="s">
        <v>1758</v>
      </c>
      <c r="C285" s="14">
        <v>45747</v>
      </c>
      <c r="D285" s="23">
        <v>8</v>
      </c>
      <c r="E285" s="15"/>
      <c r="F285" s="15"/>
      <c r="G285" s="16">
        <f>MONTH('FA Write off'!$C285)</f>
        <v>3</v>
      </c>
      <c r="H285" s="16">
        <f>MIN('FA Write off'!$C285-'FA Write off'!$J285+1,'FA Write off'!$M285*365)</f>
        <v>175</v>
      </c>
      <c r="I285" s="17">
        <f>VLOOKUP($A285,'FA Addition'!$A:$AK,COLUMN()-6,FALSE)</f>
        <v>45573</v>
      </c>
      <c r="J285" s="17">
        <f>VLOOKUP($A285,'FA Addition'!$A:$AK,COLUMN()-6,FALSE)</f>
        <v>45573</v>
      </c>
      <c r="K285" s="18" t="str">
        <f>VLOOKUP($A285,'FA Addition'!$A:$AK,COLUMN()-6,FALSE)</f>
        <v>ONT-Optical Network Terminal</v>
      </c>
      <c r="L285" s="19">
        <f>VLOOKUP($A285,'FA Addition'!$A:$AK,COLUMN(),FALSE)</f>
        <v>1665000</v>
      </c>
      <c r="M285" s="20">
        <f>VLOOKUP($A285,'FA Addition'!$A:$AK,COLUMN()+2,FALSE)</f>
        <v>5</v>
      </c>
      <c r="N285" s="21">
        <f>VLOOKUP($A285,'FA Addition'!$A:$AK,COLUMN()+2,FALSE)</f>
        <v>0.2</v>
      </c>
      <c r="O285" s="22">
        <f>'FA Write off'!$N285*'FA Write off'!$L285*'FA Write off'!$H285/365</f>
        <v>159657.53424657535</v>
      </c>
    </row>
    <row r="286" spans="1:15" s="4" customFormat="1" hidden="1" x14ac:dyDescent="0.4">
      <c r="A286" s="23">
        <v>1155</v>
      </c>
      <c r="B286" s="13" t="s">
        <v>1758</v>
      </c>
      <c r="C286" s="14">
        <v>45747</v>
      </c>
      <c r="D286" s="23">
        <v>37</v>
      </c>
      <c r="E286" s="15"/>
      <c r="F286" s="15"/>
      <c r="G286" s="16">
        <f>MONTH('FA Write off'!$C286)</f>
        <v>3</v>
      </c>
      <c r="H286" s="16">
        <f>MIN('FA Write off'!$C286-'FA Write off'!$J286+1,'FA Write off'!$M286*365)</f>
        <v>175</v>
      </c>
      <c r="I286" s="17">
        <f>VLOOKUP($A286,'FA Addition'!$A:$AK,COLUMN()-6,FALSE)</f>
        <v>45563</v>
      </c>
      <c r="J286" s="17">
        <f>VLOOKUP($A286,'FA Addition'!$A:$AK,COLUMN()-6,FALSE)</f>
        <v>45573</v>
      </c>
      <c r="K286" s="18" t="str">
        <f>VLOOKUP($A286,'FA Addition'!$A:$AK,COLUMN()-6,FALSE)</f>
        <v>ONT-Optical Network Terminal</v>
      </c>
      <c r="L286" s="19">
        <f>VLOOKUP($A286,'FA Addition'!$A:$AK,COLUMN(),FALSE)</f>
        <v>1665000</v>
      </c>
      <c r="M286" s="20">
        <f>VLOOKUP($A286,'FA Addition'!$A:$AK,COLUMN()+2,FALSE)</f>
        <v>5</v>
      </c>
      <c r="N286" s="21">
        <f>VLOOKUP($A286,'FA Addition'!$A:$AK,COLUMN()+2,FALSE)</f>
        <v>0.2</v>
      </c>
      <c r="O286" s="22">
        <f>'FA Write off'!$N286*'FA Write off'!$L286*'FA Write off'!$H286/365</f>
        <v>159657.53424657535</v>
      </c>
    </row>
    <row r="287" spans="1:15" s="4" customFormat="1" hidden="1" x14ac:dyDescent="0.4">
      <c r="A287" s="23">
        <v>1158</v>
      </c>
      <c r="B287" s="13" t="s">
        <v>1758</v>
      </c>
      <c r="C287" s="14">
        <v>45747</v>
      </c>
      <c r="D287" s="23">
        <v>8</v>
      </c>
      <c r="E287" s="15"/>
      <c r="F287" s="15"/>
      <c r="G287" s="16">
        <f>MONTH('FA Write off'!$C287)</f>
        <v>3</v>
      </c>
      <c r="H287" s="16">
        <f>MIN('FA Write off'!$C287-'FA Write off'!$J287+1,'FA Write off'!$M287*365)</f>
        <v>171</v>
      </c>
      <c r="I287" s="17">
        <f>VLOOKUP($A287,'FA Addition'!$A:$AK,COLUMN()-6,FALSE)</f>
        <v>45588</v>
      </c>
      <c r="J287" s="17">
        <f>VLOOKUP($A287,'FA Addition'!$A:$AK,COLUMN()-6,FALSE)</f>
        <v>45577</v>
      </c>
      <c r="K287" s="18" t="str">
        <f>VLOOKUP($A287,'FA Addition'!$A:$AK,COLUMN()-6,FALSE)</f>
        <v>ONT-Optical Network Terminal</v>
      </c>
      <c r="L287" s="19">
        <f>VLOOKUP($A287,'FA Addition'!$A:$AK,COLUMN(),FALSE)</f>
        <v>1665000</v>
      </c>
      <c r="M287" s="20">
        <f>VLOOKUP($A287,'FA Addition'!$A:$AK,COLUMN()+2,FALSE)</f>
        <v>5</v>
      </c>
      <c r="N287" s="21">
        <f>VLOOKUP($A287,'FA Addition'!$A:$AK,COLUMN()+2,FALSE)</f>
        <v>0.2</v>
      </c>
      <c r="O287" s="22">
        <f>'FA Write off'!$N287*'FA Write off'!$L287*'FA Write off'!$H287/365</f>
        <v>156008.21917808219</v>
      </c>
    </row>
    <row r="288" spans="1:15" s="4" customFormat="1" hidden="1" x14ac:dyDescent="0.4">
      <c r="A288" s="23">
        <v>1168</v>
      </c>
      <c r="B288" s="13" t="s">
        <v>1758</v>
      </c>
      <c r="C288" s="14">
        <v>45747</v>
      </c>
      <c r="D288" s="23">
        <v>2</v>
      </c>
      <c r="E288" s="15"/>
      <c r="F288" s="15"/>
      <c r="G288" s="16">
        <f>MONTH('FA Write off'!$C288)</f>
        <v>3</v>
      </c>
      <c r="H288" s="16">
        <f>MIN('FA Write off'!$C288-'FA Write off'!$J288+1,'FA Write off'!$M288*365)</f>
        <v>168</v>
      </c>
      <c r="I288" s="17">
        <f>VLOOKUP($A288,'FA Addition'!$A:$AK,COLUMN()-6,FALSE)</f>
        <v>45576</v>
      </c>
      <c r="J288" s="17">
        <f>VLOOKUP($A288,'FA Addition'!$A:$AK,COLUMN()-6,FALSE)</f>
        <v>45580</v>
      </c>
      <c r="K288" s="18" t="str">
        <f>VLOOKUP($A288,'FA Addition'!$A:$AK,COLUMN()-6,FALSE)</f>
        <v>ONT-Optical Network Terminal</v>
      </c>
      <c r="L288" s="19">
        <f>VLOOKUP($A288,'FA Addition'!$A:$AK,COLUMN(),FALSE)</f>
        <v>832500</v>
      </c>
      <c r="M288" s="20">
        <f>VLOOKUP($A288,'FA Addition'!$A:$AK,COLUMN()+2,FALSE)</f>
        <v>5</v>
      </c>
      <c r="N288" s="21">
        <f>VLOOKUP($A288,'FA Addition'!$A:$AK,COLUMN()+2,FALSE)</f>
        <v>0.2</v>
      </c>
      <c r="O288" s="22">
        <f>'FA Write off'!$N288*'FA Write off'!$L288*'FA Write off'!$H288/365</f>
        <v>76635.61643835617</v>
      </c>
    </row>
    <row r="289" spans="1:15" s="4" customFormat="1" hidden="1" x14ac:dyDescent="0.4">
      <c r="A289" s="23">
        <v>1174</v>
      </c>
      <c r="B289" s="13" t="s">
        <v>1758</v>
      </c>
      <c r="C289" s="14">
        <v>45747</v>
      </c>
      <c r="D289" s="23">
        <v>15</v>
      </c>
      <c r="E289" s="15"/>
      <c r="F289" s="15"/>
      <c r="G289" s="16">
        <f>MONTH('FA Write off'!$C289)</f>
        <v>3</v>
      </c>
      <c r="H289" s="16">
        <f>MIN('FA Write off'!$C289-'FA Write off'!$J289+1,'FA Write off'!$M289*365)</f>
        <v>155</v>
      </c>
      <c r="I289" s="17">
        <f>VLOOKUP($A289,'FA Addition'!$A:$AK,COLUMN()-6,FALSE)</f>
        <v>45584</v>
      </c>
      <c r="J289" s="17">
        <f>VLOOKUP($A289,'FA Addition'!$A:$AK,COLUMN()-6,FALSE)</f>
        <v>45593</v>
      </c>
      <c r="K289" s="18" t="str">
        <f>VLOOKUP($A289,'FA Addition'!$A:$AK,COLUMN()-6,FALSE)</f>
        <v>ONT-Optical Network Terminal</v>
      </c>
      <c r="L289" s="19">
        <f>VLOOKUP($A289,'FA Addition'!$A:$AK,COLUMN(),FALSE)</f>
        <v>1665000</v>
      </c>
      <c r="M289" s="20">
        <f>VLOOKUP($A289,'FA Addition'!$A:$AK,COLUMN()+2,FALSE)</f>
        <v>5</v>
      </c>
      <c r="N289" s="21">
        <f>VLOOKUP($A289,'FA Addition'!$A:$AK,COLUMN()+2,FALSE)</f>
        <v>0.2</v>
      </c>
      <c r="O289" s="22">
        <f>'FA Write off'!$N289*'FA Write off'!$L289*'FA Write off'!$H289/365</f>
        <v>141410.95890410958</v>
      </c>
    </row>
    <row r="290" spans="1:15" s="4" customFormat="1" hidden="1" x14ac:dyDescent="0.4">
      <c r="A290" s="23">
        <v>1175</v>
      </c>
      <c r="B290" s="13" t="s">
        <v>1758</v>
      </c>
      <c r="C290" s="14">
        <v>45747</v>
      </c>
      <c r="D290" s="23">
        <v>6</v>
      </c>
      <c r="E290" s="15"/>
      <c r="F290" s="15"/>
      <c r="G290" s="16">
        <f>MONTH('FA Write off'!$C290)</f>
        <v>3</v>
      </c>
      <c r="H290" s="16">
        <f>MIN('FA Write off'!$C290-'FA Write off'!$J290+1,'FA Write off'!$M290*365)</f>
        <v>155</v>
      </c>
      <c r="I290" s="17">
        <f>VLOOKUP($A290,'FA Addition'!$A:$AK,COLUMN()-6,FALSE)</f>
        <v>45582</v>
      </c>
      <c r="J290" s="17">
        <f>VLOOKUP($A290,'FA Addition'!$A:$AK,COLUMN()-6,FALSE)</f>
        <v>45593</v>
      </c>
      <c r="K290" s="18" t="str">
        <f>VLOOKUP($A290,'FA Addition'!$A:$AK,COLUMN()-6,FALSE)</f>
        <v>ONT-Optical Network Terminal</v>
      </c>
      <c r="L290" s="19">
        <f>VLOOKUP($A290,'FA Addition'!$A:$AK,COLUMN(),FALSE)</f>
        <v>1665000</v>
      </c>
      <c r="M290" s="20">
        <f>VLOOKUP($A290,'FA Addition'!$A:$AK,COLUMN()+2,FALSE)</f>
        <v>5</v>
      </c>
      <c r="N290" s="21">
        <f>VLOOKUP($A290,'FA Addition'!$A:$AK,COLUMN()+2,FALSE)</f>
        <v>0.2</v>
      </c>
      <c r="O290" s="22">
        <f>'FA Write off'!$N290*'FA Write off'!$L290*'FA Write off'!$H290/365</f>
        <v>141410.95890410958</v>
      </c>
    </row>
    <row r="291" spans="1:15" s="4" customFormat="1" hidden="1" x14ac:dyDescent="0.4">
      <c r="A291" s="23">
        <v>1182</v>
      </c>
      <c r="B291" s="13" t="s">
        <v>1758</v>
      </c>
      <c r="C291" s="14">
        <v>45747</v>
      </c>
      <c r="D291" s="23">
        <v>8</v>
      </c>
      <c r="E291" s="15"/>
      <c r="F291" s="15"/>
      <c r="G291" s="16">
        <f>MONTH('FA Write off'!$C291)</f>
        <v>3</v>
      </c>
      <c r="H291" s="16">
        <f>MIN('FA Write off'!$C291-'FA Write off'!$J291+1,'FA Write off'!$M291*365)</f>
        <v>137</v>
      </c>
      <c r="I291" s="17">
        <f>VLOOKUP($A291,'FA Addition'!$A:$AK,COLUMN()-6,FALSE)</f>
        <v>45603</v>
      </c>
      <c r="J291" s="17">
        <f>VLOOKUP($A291,'FA Addition'!$A:$AK,COLUMN()-6,FALSE)</f>
        <v>45611</v>
      </c>
      <c r="K291" s="18" t="str">
        <f>VLOOKUP($A291,'FA Addition'!$A:$AK,COLUMN()-6,FALSE)</f>
        <v>ONT-Optical Network Terminal</v>
      </c>
      <c r="L291" s="19">
        <f>VLOOKUP($A291,'FA Addition'!$A:$AK,COLUMN(),FALSE)</f>
        <v>1665000</v>
      </c>
      <c r="M291" s="20">
        <f>VLOOKUP($A291,'FA Addition'!$A:$AK,COLUMN()+2,FALSE)</f>
        <v>5</v>
      </c>
      <c r="N291" s="21">
        <f>VLOOKUP($A291,'FA Addition'!$A:$AK,COLUMN()+2,FALSE)</f>
        <v>0.2</v>
      </c>
      <c r="O291" s="22">
        <f>'FA Write off'!$N291*'FA Write off'!$L291*'FA Write off'!$H291/365</f>
        <v>124989.04109589041</v>
      </c>
    </row>
    <row r="292" spans="1:15" s="4" customFormat="1" hidden="1" x14ac:dyDescent="0.4">
      <c r="A292" s="23">
        <v>1183</v>
      </c>
      <c r="B292" s="13" t="s">
        <v>1758</v>
      </c>
      <c r="C292" s="14">
        <v>45747</v>
      </c>
      <c r="D292" s="23">
        <v>5</v>
      </c>
      <c r="E292" s="15"/>
      <c r="F292" s="15"/>
      <c r="G292" s="16">
        <f>MONTH('FA Write off'!$C292)</f>
        <v>3</v>
      </c>
      <c r="H292" s="16">
        <f>MIN('FA Write off'!$C292-'FA Write off'!$J292+1,'FA Write off'!$M292*365)</f>
        <v>137</v>
      </c>
      <c r="I292" s="17">
        <f>VLOOKUP($A292,'FA Addition'!$A:$AK,COLUMN()-6,FALSE)</f>
        <v>45609</v>
      </c>
      <c r="J292" s="17">
        <f>VLOOKUP($A292,'FA Addition'!$A:$AK,COLUMN()-6,FALSE)</f>
        <v>45611</v>
      </c>
      <c r="K292" s="18" t="str">
        <f>VLOOKUP($A292,'FA Addition'!$A:$AK,COLUMN()-6,FALSE)</f>
        <v>ONT-Optical Network Terminal</v>
      </c>
      <c r="L292" s="19">
        <f>VLOOKUP($A292,'FA Addition'!$A:$AK,COLUMN(),FALSE)</f>
        <v>1665000</v>
      </c>
      <c r="M292" s="20">
        <f>VLOOKUP($A292,'FA Addition'!$A:$AK,COLUMN()+2,FALSE)</f>
        <v>5</v>
      </c>
      <c r="N292" s="21">
        <f>VLOOKUP($A292,'FA Addition'!$A:$AK,COLUMN()+2,FALSE)</f>
        <v>0.2</v>
      </c>
      <c r="O292" s="22">
        <f>'FA Write off'!$N292*'FA Write off'!$L292*'FA Write off'!$H292/365</f>
        <v>124989.04109589041</v>
      </c>
    </row>
    <row r="293" spans="1:15" s="4" customFormat="1" hidden="1" x14ac:dyDescent="0.4">
      <c r="A293" s="23">
        <v>1187</v>
      </c>
      <c r="B293" s="13" t="s">
        <v>1758</v>
      </c>
      <c r="C293" s="14">
        <v>45747</v>
      </c>
      <c r="D293" s="23">
        <v>1</v>
      </c>
      <c r="E293" s="15"/>
      <c r="F293" s="15"/>
      <c r="G293" s="16">
        <f>MONTH('FA Write off'!$C293)</f>
        <v>3</v>
      </c>
      <c r="H293" s="16">
        <f>MIN('FA Write off'!$C293-'FA Write off'!$J293+1,'FA Write off'!$M293*365)</f>
        <v>132</v>
      </c>
      <c r="I293" s="17">
        <f>VLOOKUP($A293,'FA Addition'!$A:$AK,COLUMN()-6,FALSE)</f>
        <v>45614</v>
      </c>
      <c r="J293" s="17">
        <f>VLOOKUP($A293,'FA Addition'!$A:$AK,COLUMN()-6,FALSE)</f>
        <v>45616</v>
      </c>
      <c r="K293" s="18" t="str">
        <f>VLOOKUP($A293,'FA Addition'!$A:$AK,COLUMN()-6,FALSE)</f>
        <v>ONT-Optical Network Terminal</v>
      </c>
      <c r="L293" s="19">
        <f>VLOOKUP($A293,'FA Addition'!$A:$AK,COLUMN(),FALSE)</f>
        <v>2497500</v>
      </c>
      <c r="M293" s="20">
        <f>VLOOKUP($A293,'FA Addition'!$A:$AK,COLUMN()+2,FALSE)</f>
        <v>5</v>
      </c>
      <c r="N293" s="21">
        <f>VLOOKUP($A293,'FA Addition'!$A:$AK,COLUMN()+2,FALSE)</f>
        <v>0.2</v>
      </c>
      <c r="O293" s="22">
        <f>'FA Write off'!$N293*'FA Write off'!$L293*'FA Write off'!$H293/365</f>
        <v>180641.09589041097</v>
      </c>
    </row>
    <row r="294" spans="1:15" s="4" customFormat="1" hidden="1" x14ac:dyDescent="0.4">
      <c r="A294" s="23">
        <v>1201</v>
      </c>
      <c r="B294" s="13" t="s">
        <v>1758</v>
      </c>
      <c r="C294" s="14">
        <v>45747</v>
      </c>
      <c r="D294" s="23">
        <v>2</v>
      </c>
      <c r="E294" s="15"/>
      <c r="F294" s="15"/>
      <c r="G294" s="16">
        <f>MONTH('FA Write off'!$C294)</f>
        <v>3</v>
      </c>
      <c r="H294" s="16">
        <f>MIN('FA Write off'!$C294-'FA Write off'!$J294+1,'FA Write off'!$M294*365)</f>
        <v>124</v>
      </c>
      <c r="I294" s="17">
        <f>VLOOKUP($A294,'FA Addition'!$A:$AK,COLUMN()-6,FALSE)</f>
        <v>45623</v>
      </c>
      <c r="J294" s="17">
        <f>VLOOKUP($A294,'FA Addition'!$A:$AK,COLUMN()-6,FALSE)</f>
        <v>45624</v>
      </c>
      <c r="K294" s="18" t="str">
        <f>VLOOKUP($A294,'FA Addition'!$A:$AK,COLUMN()-6,FALSE)</f>
        <v>ONT-Optical Network Terminal</v>
      </c>
      <c r="L294" s="19">
        <f>VLOOKUP($A294,'FA Addition'!$A:$AK,COLUMN(),FALSE)</f>
        <v>1665000</v>
      </c>
      <c r="M294" s="20">
        <f>VLOOKUP($A294,'FA Addition'!$A:$AK,COLUMN()+2,FALSE)</f>
        <v>5</v>
      </c>
      <c r="N294" s="21">
        <f>VLOOKUP($A294,'FA Addition'!$A:$AK,COLUMN()+2,FALSE)</f>
        <v>0.2</v>
      </c>
      <c r="O294" s="22">
        <f>'FA Write off'!$N294*'FA Write off'!$L294*'FA Write off'!$H294/365</f>
        <v>113128.76712328767</v>
      </c>
    </row>
    <row r="295" spans="1:15" s="4" customFormat="1" hidden="1" x14ac:dyDescent="0.4">
      <c r="A295" s="23">
        <v>1204</v>
      </c>
      <c r="B295" s="13" t="s">
        <v>1758</v>
      </c>
      <c r="C295" s="14">
        <v>45747</v>
      </c>
      <c r="D295" s="23">
        <v>2</v>
      </c>
      <c r="E295" s="15"/>
      <c r="F295" s="15"/>
      <c r="G295" s="16">
        <f>MONTH('FA Write off'!$C295)</f>
        <v>3</v>
      </c>
      <c r="H295" s="16">
        <f>MIN('FA Write off'!$C295-'FA Write off'!$J295+1,'FA Write off'!$M295*365)</f>
        <v>122</v>
      </c>
      <c r="I295" s="17">
        <f>VLOOKUP($A295,'FA Addition'!$A:$AK,COLUMN()-6,FALSE)</f>
        <v>45626</v>
      </c>
      <c r="J295" s="17">
        <f>VLOOKUP($A295,'FA Addition'!$A:$AK,COLUMN()-6,FALSE)</f>
        <v>45626</v>
      </c>
      <c r="K295" s="18" t="str">
        <f>VLOOKUP($A295,'FA Addition'!$A:$AK,COLUMN()-6,FALSE)</f>
        <v>ONT-Optical Network Terminal</v>
      </c>
      <c r="L295" s="19">
        <f>VLOOKUP($A295,'FA Addition'!$A:$AK,COLUMN(),FALSE)</f>
        <v>2497500</v>
      </c>
      <c r="M295" s="20">
        <f>VLOOKUP($A295,'FA Addition'!$A:$AK,COLUMN()+2,FALSE)</f>
        <v>5</v>
      </c>
      <c r="N295" s="21">
        <f>VLOOKUP($A295,'FA Addition'!$A:$AK,COLUMN()+2,FALSE)</f>
        <v>0.2</v>
      </c>
      <c r="O295" s="22">
        <f>'FA Write off'!$N295*'FA Write off'!$L295*'FA Write off'!$H295/365</f>
        <v>166956.16438356164</v>
      </c>
    </row>
    <row r="296" spans="1:15" s="4" customFormat="1" hidden="1" x14ac:dyDescent="0.4">
      <c r="A296" s="23">
        <v>1206</v>
      </c>
      <c r="B296" s="13" t="s">
        <v>1758</v>
      </c>
      <c r="C296" s="14">
        <v>45747</v>
      </c>
      <c r="D296" s="23">
        <v>13</v>
      </c>
      <c r="E296" s="15"/>
      <c r="F296" s="15"/>
      <c r="G296" s="16">
        <f>MONTH('FA Write off'!$C296)</f>
        <v>3</v>
      </c>
      <c r="H296" s="16">
        <f>MIN('FA Write off'!$C296-'FA Write off'!$J296+1,'FA Write off'!$M296*365)</f>
        <v>121</v>
      </c>
      <c r="I296" s="17">
        <f>VLOOKUP($A296,'FA Addition'!$A:$AK,COLUMN()-6,FALSE)</f>
        <v>45593</v>
      </c>
      <c r="J296" s="17">
        <f>VLOOKUP($A296,'FA Addition'!$A:$AK,COLUMN()-6,FALSE)</f>
        <v>45627</v>
      </c>
      <c r="K296" s="18" t="str">
        <f>VLOOKUP($A296,'FA Addition'!$A:$AK,COLUMN()-6,FALSE)</f>
        <v>ONT-Optical Network Terminal</v>
      </c>
      <c r="L296" s="19">
        <f>VLOOKUP($A296,'FA Addition'!$A:$AK,COLUMN(),FALSE)</f>
        <v>1665000</v>
      </c>
      <c r="M296" s="20">
        <f>VLOOKUP($A296,'FA Addition'!$A:$AK,COLUMN()+2,FALSE)</f>
        <v>5</v>
      </c>
      <c r="N296" s="21">
        <f>VLOOKUP($A296,'FA Addition'!$A:$AK,COLUMN()+2,FALSE)</f>
        <v>0.2</v>
      </c>
      <c r="O296" s="22">
        <f>'FA Write off'!$N296*'FA Write off'!$L296*'FA Write off'!$H296/365</f>
        <v>110391.78082191781</v>
      </c>
    </row>
    <row r="297" spans="1:15" s="4" customFormat="1" hidden="1" x14ac:dyDescent="0.4">
      <c r="A297" s="23">
        <v>1214</v>
      </c>
      <c r="B297" s="13" t="s">
        <v>1758</v>
      </c>
      <c r="C297" s="14">
        <v>45747</v>
      </c>
      <c r="D297" s="23">
        <v>1</v>
      </c>
      <c r="E297" s="15"/>
      <c r="F297" s="15"/>
      <c r="G297" s="16">
        <f>MONTH('FA Write off'!$C297)</f>
        <v>3</v>
      </c>
      <c r="H297" s="16">
        <f>MIN('FA Write off'!$C297-'FA Write off'!$J297+1,'FA Write off'!$M297*365)</f>
        <v>99</v>
      </c>
      <c r="I297" s="17">
        <f>VLOOKUP($A297,'FA Addition'!$A:$AK,COLUMN()-6,FALSE)</f>
        <v>45635</v>
      </c>
      <c r="J297" s="17">
        <f>VLOOKUP($A297,'FA Addition'!$A:$AK,COLUMN()-6,FALSE)</f>
        <v>45649</v>
      </c>
      <c r="K297" s="18" t="str">
        <f>VLOOKUP($A297,'FA Addition'!$A:$AK,COLUMN()-6,FALSE)</f>
        <v>ONT-Optical Network Terminal</v>
      </c>
      <c r="L297" s="19">
        <f>VLOOKUP($A297,'FA Addition'!$A:$AK,COLUMN(),FALSE)</f>
        <v>1665000</v>
      </c>
      <c r="M297" s="20">
        <f>VLOOKUP($A297,'FA Addition'!$A:$AK,COLUMN()+2,FALSE)</f>
        <v>5</v>
      </c>
      <c r="N297" s="21">
        <f>VLOOKUP($A297,'FA Addition'!$A:$AK,COLUMN()+2,FALSE)</f>
        <v>0.2</v>
      </c>
      <c r="O297" s="22">
        <f>'FA Write off'!$N297*'FA Write off'!$L297*'FA Write off'!$H297/365</f>
        <v>90320.547945205486</v>
      </c>
    </row>
    <row r="298" spans="1:15" s="4" customFormat="1" hidden="1" x14ac:dyDescent="0.4">
      <c r="A298" s="23">
        <v>104</v>
      </c>
      <c r="B298" s="78" t="s">
        <v>731</v>
      </c>
      <c r="C298" s="79">
        <v>42912</v>
      </c>
      <c r="D298" s="23">
        <v>1</v>
      </c>
      <c r="E298" s="15"/>
      <c r="F298" s="15"/>
      <c r="G298" s="16">
        <f>MONTH('FA Write off'!$C298)</f>
        <v>6</v>
      </c>
      <c r="H298" s="16">
        <f>MIN('FA Write off'!$C298-'FA Write off'!$J298+1,'FA Write off'!$M298*365)</f>
        <v>490</v>
      </c>
      <c r="I298" s="17">
        <f>VLOOKUP($A298,'FA Addition'!$A:$AK,COLUMN()-6,FALSE)</f>
        <v>42423</v>
      </c>
      <c r="J298" s="17">
        <f>VLOOKUP($A298,'FA Addition'!$A:$AK,COLUMN()-6,FALSE)</f>
        <v>42423</v>
      </c>
      <c r="K298" s="18" t="str">
        <f>VLOOKUP($A298,'FA Addition'!$A:$AK,COLUMN()-6,FALSE)</f>
        <v>Router</v>
      </c>
      <c r="L298" s="19">
        <f>VLOOKUP($A298,'FA Addition'!$A:$AK,COLUMN(),FALSE)</f>
        <v>7498</v>
      </c>
      <c r="M298" s="20">
        <f>VLOOKUP($A298,'FA Addition'!$A:$AK,COLUMN()+2,FALSE)</f>
        <v>3</v>
      </c>
      <c r="N298" s="21">
        <f>VLOOKUP($A298,'FA Addition'!$A:$AK,COLUMN()+2,FALSE)</f>
        <v>0.63156409736641961</v>
      </c>
      <c r="O298" s="22">
        <f>'FA Write off'!$N298*'FA Write off'!$L298*'FA Write off'!$H298/365</f>
        <v>6357.2030822086926</v>
      </c>
    </row>
    <row r="299" spans="1:15" s="4" customFormat="1" hidden="1" x14ac:dyDescent="0.4">
      <c r="A299" s="23">
        <v>105</v>
      </c>
      <c r="B299" s="78" t="s">
        <v>731</v>
      </c>
      <c r="C299" s="79">
        <v>42855</v>
      </c>
      <c r="D299" s="23">
        <v>55</v>
      </c>
      <c r="E299" s="15"/>
      <c r="F299" s="15"/>
      <c r="G299" s="16">
        <f>MONTH('FA Write off'!$C299)</f>
        <v>4</v>
      </c>
      <c r="H299" s="16">
        <f>MIN('FA Write off'!$C299-'FA Write off'!$J299+1,'FA Write off'!$M299*365)</f>
        <v>433</v>
      </c>
      <c r="I299" s="17">
        <f>VLOOKUP($A299,'FA Addition'!$A:$AK,COLUMN()-6,FALSE)</f>
        <v>42423</v>
      </c>
      <c r="J299" s="17">
        <f>VLOOKUP($A299,'FA Addition'!$A:$AK,COLUMN()-6,FALSE)</f>
        <v>42423</v>
      </c>
      <c r="K299" s="18" t="str">
        <f>VLOOKUP($A299,'FA Addition'!$A:$AK,COLUMN()-6,FALSE)</f>
        <v>Router</v>
      </c>
      <c r="L299" s="19">
        <f>VLOOKUP($A299,'FA Addition'!$A:$AK,COLUMN(),FALSE)</f>
        <v>282765</v>
      </c>
      <c r="M299" s="20">
        <f>VLOOKUP($A299,'FA Addition'!$A:$AK,COLUMN()+2,FALSE)</f>
        <v>3</v>
      </c>
      <c r="N299" s="21">
        <f>VLOOKUP($A299,'FA Addition'!$A:$AK,COLUMN()+2,FALSE)</f>
        <v>0.63159902158175152</v>
      </c>
      <c r="O299" s="22">
        <f>'FA Write off'!$N299*'FA Write off'!$L299*'FA Write off'!$H299/365</f>
        <v>211866.42232100054</v>
      </c>
    </row>
    <row r="300" spans="1:15" s="4" customFormat="1" hidden="1" x14ac:dyDescent="0.4">
      <c r="A300" s="23">
        <v>106</v>
      </c>
      <c r="B300" s="78" t="s">
        <v>731</v>
      </c>
      <c r="C300" s="79">
        <v>42886</v>
      </c>
      <c r="D300" s="23">
        <v>1</v>
      </c>
      <c r="E300" s="15"/>
      <c r="F300" s="15"/>
      <c r="G300" s="16">
        <f>MONTH('FA Write off'!$C300)</f>
        <v>5</v>
      </c>
      <c r="H300" s="16">
        <f>MIN('FA Write off'!$C300-'FA Write off'!$J300+1,'FA Write off'!$M300*365)</f>
        <v>464</v>
      </c>
      <c r="I300" s="17">
        <f>VLOOKUP($A300,'FA Addition'!$A:$AK,COLUMN()-6,FALSE)</f>
        <v>42423</v>
      </c>
      <c r="J300" s="17">
        <f>VLOOKUP($A300,'FA Addition'!$A:$AK,COLUMN()-6,FALSE)</f>
        <v>42423</v>
      </c>
      <c r="K300" s="18" t="str">
        <f>VLOOKUP($A300,'FA Addition'!$A:$AK,COLUMN()-6,FALSE)</f>
        <v>Router</v>
      </c>
      <c r="L300" s="19">
        <f>VLOOKUP($A300,'FA Addition'!$A:$AK,COLUMN(),FALSE)</f>
        <v>23190</v>
      </c>
      <c r="M300" s="20">
        <f>VLOOKUP($A300,'FA Addition'!$A:$AK,COLUMN()+2,FALSE)</f>
        <v>3</v>
      </c>
      <c r="N300" s="21">
        <f>VLOOKUP($A300,'FA Addition'!$A:$AK,COLUMN()+2,FALSE)</f>
        <v>0.63154390343361344</v>
      </c>
      <c r="O300" s="22">
        <f>'FA Write off'!$N300*'FA Write off'!$L300*'FA Write off'!$H300/365</f>
        <v>18617.845062932138</v>
      </c>
    </row>
    <row r="301" spans="1:15" s="4" customFormat="1" hidden="1" x14ac:dyDescent="0.4">
      <c r="A301" s="23">
        <v>107</v>
      </c>
      <c r="B301" s="78" t="s">
        <v>731</v>
      </c>
      <c r="C301" s="79">
        <v>42886</v>
      </c>
      <c r="D301" s="23">
        <v>1</v>
      </c>
      <c r="E301" s="15"/>
      <c r="F301" s="15"/>
      <c r="G301" s="16">
        <f>MONTH('FA Write off'!$C301)</f>
        <v>5</v>
      </c>
      <c r="H301" s="16">
        <f>MIN('FA Write off'!$C301-'FA Write off'!$J301+1,'FA Write off'!$M301*365)</f>
        <v>464</v>
      </c>
      <c r="I301" s="17">
        <f>VLOOKUP($A301,'FA Addition'!$A:$AK,COLUMN()-6,FALSE)</f>
        <v>42423</v>
      </c>
      <c r="J301" s="17">
        <f>VLOOKUP($A301,'FA Addition'!$A:$AK,COLUMN()-6,FALSE)</f>
        <v>42423</v>
      </c>
      <c r="K301" s="18" t="str">
        <f>VLOOKUP($A301,'FA Addition'!$A:$AK,COLUMN()-6,FALSE)</f>
        <v>Router</v>
      </c>
      <c r="L301" s="19">
        <f>VLOOKUP($A301,'FA Addition'!$A:$AK,COLUMN(),FALSE)</f>
        <v>15460</v>
      </c>
      <c r="M301" s="20">
        <f>VLOOKUP($A301,'FA Addition'!$A:$AK,COLUMN()+2,FALSE)</f>
        <v>3</v>
      </c>
      <c r="N301" s="21">
        <f>VLOOKUP($A301,'FA Addition'!$A:$AK,COLUMN()+2,FALSE)</f>
        <v>0.63159685013596123</v>
      </c>
      <c r="O301" s="22">
        <f>'FA Write off'!$N301*'FA Write off'!$L301*'FA Write off'!$H301/365</f>
        <v>12412.937283943316</v>
      </c>
    </row>
    <row r="302" spans="1:15" s="4" customFormat="1" hidden="1" x14ac:dyDescent="0.4">
      <c r="A302" s="23">
        <v>108</v>
      </c>
      <c r="B302" s="78" t="s">
        <v>731</v>
      </c>
      <c r="C302" s="79">
        <v>42886</v>
      </c>
      <c r="D302" s="23">
        <v>1</v>
      </c>
      <c r="E302" s="15"/>
      <c r="F302" s="15"/>
      <c r="G302" s="16">
        <f>MONTH('FA Write off'!$C302)</f>
        <v>5</v>
      </c>
      <c r="H302" s="16">
        <f>MIN('FA Write off'!$C302-'FA Write off'!$J302+1,'FA Write off'!$M302*365)</f>
        <v>464</v>
      </c>
      <c r="I302" s="17">
        <f>VLOOKUP($A302,'FA Addition'!$A:$AK,COLUMN()-6,FALSE)</f>
        <v>42423</v>
      </c>
      <c r="J302" s="17">
        <f>VLOOKUP($A302,'FA Addition'!$A:$AK,COLUMN()-6,FALSE)</f>
        <v>42423</v>
      </c>
      <c r="K302" s="18" t="str">
        <f>VLOOKUP($A302,'FA Addition'!$A:$AK,COLUMN()-6,FALSE)</f>
        <v>Router</v>
      </c>
      <c r="L302" s="19">
        <f>VLOOKUP($A302,'FA Addition'!$A:$AK,COLUMN(),FALSE)</f>
        <v>22290</v>
      </c>
      <c r="M302" s="20">
        <f>VLOOKUP($A302,'FA Addition'!$A:$AK,COLUMN()+2,FALSE)</f>
        <v>3</v>
      </c>
      <c r="N302" s="21">
        <f>VLOOKUP($A302,'FA Addition'!$A:$AK,COLUMN()+2,FALSE)</f>
        <v>0.63154176593211042</v>
      </c>
      <c r="O302" s="22">
        <f>'FA Write off'!$N302*'FA Write off'!$L302*'FA Write off'!$H302/365</f>
        <v>17895.229059339199</v>
      </c>
    </row>
    <row r="303" spans="1:15" s="4" customFormat="1" hidden="1" x14ac:dyDescent="0.4">
      <c r="A303" s="23">
        <v>109</v>
      </c>
      <c r="B303" s="78" t="s">
        <v>731</v>
      </c>
      <c r="C303" s="79">
        <v>42855</v>
      </c>
      <c r="D303" s="23">
        <v>1</v>
      </c>
      <c r="E303" s="15"/>
      <c r="F303" s="15"/>
      <c r="G303" s="16">
        <f>MONTH('FA Write off'!$C303)</f>
        <v>4</v>
      </c>
      <c r="H303" s="16">
        <f>MIN('FA Write off'!$C303-'FA Write off'!$J303+1,'FA Write off'!$M303*365)</f>
        <v>433</v>
      </c>
      <c r="I303" s="17">
        <f>VLOOKUP($A303,'FA Addition'!$A:$AK,COLUMN()-6,FALSE)</f>
        <v>42423</v>
      </c>
      <c r="J303" s="17">
        <f>VLOOKUP($A303,'FA Addition'!$A:$AK,COLUMN()-6,FALSE)</f>
        <v>42423</v>
      </c>
      <c r="K303" s="18" t="str">
        <f>VLOOKUP($A303,'FA Addition'!$A:$AK,COLUMN()-6,FALSE)</f>
        <v>Router</v>
      </c>
      <c r="L303" s="19">
        <f>VLOOKUP($A303,'FA Addition'!$A:$AK,COLUMN(),FALSE)</f>
        <v>1599</v>
      </c>
      <c r="M303" s="20">
        <f>VLOOKUP($A303,'FA Addition'!$A:$AK,COLUMN()+2,FALSE)</f>
        <v>3</v>
      </c>
      <c r="N303" s="21">
        <f>VLOOKUP($A303,'FA Addition'!$A:$AK,COLUMN()+2,FALSE)</f>
        <v>0.63152006748474587</v>
      </c>
      <c r="O303" s="22">
        <f>'FA Write off'!$N303*'FA Write off'!$L303*'FA Write off'!$H303/365</f>
        <v>1197.927820723866</v>
      </c>
    </row>
    <row r="304" spans="1:15" s="4" customFormat="1" hidden="1" x14ac:dyDescent="0.4">
      <c r="A304" s="23">
        <v>110</v>
      </c>
      <c r="B304" s="78" t="s">
        <v>731</v>
      </c>
      <c r="C304" s="79">
        <v>42855</v>
      </c>
      <c r="D304" s="23">
        <v>1</v>
      </c>
      <c r="E304" s="15"/>
      <c r="F304" s="15"/>
      <c r="G304" s="16">
        <f>MONTH('FA Write off'!$C304)</f>
        <v>4</v>
      </c>
      <c r="H304" s="16">
        <f>MIN('FA Write off'!$C304-'FA Write off'!$J304+1,'FA Write off'!$M304*365)</f>
        <v>433</v>
      </c>
      <c r="I304" s="17">
        <f>VLOOKUP($A304,'FA Addition'!$A:$AK,COLUMN()-6,FALSE)</f>
        <v>42423</v>
      </c>
      <c r="J304" s="17">
        <f>VLOOKUP($A304,'FA Addition'!$A:$AK,COLUMN()-6,FALSE)</f>
        <v>42423</v>
      </c>
      <c r="K304" s="18" t="str">
        <f>VLOOKUP($A304,'FA Addition'!$A:$AK,COLUMN()-6,FALSE)</f>
        <v>Router</v>
      </c>
      <c r="L304" s="19">
        <f>VLOOKUP($A304,'FA Addition'!$A:$AK,COLUMN(),FALSE)</f>
        <v>1998</v>
      </c>
      <c r="M304" s="20">
        <f>VLOOKUP($A304,'FA Addition'!$A:$AK,COLUMN()+2,FALSE)</f>
        <v>3</v>
      </c>
      <c r="N304" s="21">
        <f>VLOOKUP($A304,'FA Addition'!$A:$AK,COLUMN()+2,FALSE)</f>
        <v>0.63147396715491233</v>
      </c>
      <c r="O304" s="22">
        <f>'FA Write off'!$N304*'FA Write off'!$L304*'FA Write off'!$H304/365</f>
        <v>1496.738627672871</v>
      </c>
    </row>
    <row r="305" spans="1:21" s="4" customFormat="1" hidden="1" x14ac:dyDescent="0.4">
      <c r="A305" s="23">
        <v>112</v>
      </c>
      <c r="B305" s="78" t="s">
        <v>731</v>
      </c>
      <c r="C305" s="79">
        <v>42916</v>
      </c>
      <c r="D305" s="23">
        <v>1.1933499999999999</v>
      </c>
      <c r="E305" s="15"/>
      <c r="F305" s="15"/>
      <c r="G305" s="16">
        <f>MONTH('FA Write off'!$C305)</f>
        <v>6</v>
      </c>
      <c r="H305" s="16">
        <f>MIN('FA Write off'!$C305-'FA Write off'!$J305+1,'FA Write off'!$M305*365)</f>
        <v>457</v>
      </c>
      <c r="I305" s="17">
        <f>VLOOKUP($A305,'FA Addition'!$A:$AK,COLUMN()-6,FALSE)</f>
        <v>42460</v>
      </c>
      <c r="J305" s="17">
        <f>VLOOKUP($A305,'FA Addition'!$A:$AK,COLUMN()-6,FALSE)</f>
        <v>42460</v>
      </c>
      <c r="K305" s="18" t="str">
        <f>VLOOKUP($A305,'FA Addition'!$A:$AK,COLUMN()-6,FALSE)</f>
        <v>Router</v>
      </c>
      <c r="L305" s="19">
        <f>VLOOKUP($A305,'FA Addition'!$A:$AK,COLUMN(),FALSE)</f>
        <v>111451</v>
      </c>
      <c r="M305" s="20">
        <f>VLOOKUP($A305,'FA Addition'!$A:$AK,COLUMN()+2,FALSE)</f>
        <v>3</v>
      </c>
      <c r="N305" s="21">
        <f>VLOOKUP($A305,'FA Addition'!$A:$AK,COLUMN()+2,FALSE)</f>
        <v>0.63158693385256071</v>
      </c>
      <c r="O305" s="22">
        <f>'FA Write off'!$N305*'FA Write off'!$L305*'FA Write off'!$H305/365</f>
        <v>88133.383237573682</v>
      </c>
    </row>
    <row r="306" spans="1:21" s="4" customFormat="1" hidden="1" x14ac:dyDescent="0.4">
      <c r="A306" s="23">
        <v>1679</v>
      </c>
      <c r="B306" s="78" t="s">
        <v>731</v>
      </c>
      <c r="C306" s="79">
        <v>43190</v>
      </c>
      <c r="D306" s="23">
        <v>1</v>
      </c>
      <c r="E306" s="15"/>
      <c r="F306" s="15"/>
      <c r="G306" s="16">
        <f>MONTH('FA Write off'!$C306)</f>
        <v>3</v>
      </c>
      <c r="H306" s="16">
        <f>MIN('FA Write off'!$C306-'FA Write off'!$J306+1,'FA Write off'!$M306*365)</f>
        <v>1096</v>
      </c>
      <c r="I306" s="80">
        <f>VLOOKUP($A306,'FA Addition'!$A:$AK,COLUMN()-6,FALSE)</f>
        <v>42095</v>
      </c>
      <c r="J306" s="80">
        <f>VLOOKUP($A306,'FA Addition'!$A:$AK,COLUMN()-6,FALSE)</f>
        <v>42095</v>
      </c>
      <c r="K306" s="81" t="str">
        <f>VLOOKUP($A306,'FA Addition'!$A:$AK,COLUMN()-6,FALSE)</f>
        <v>Computer Software#</v>
      </c>
      <c r="L306" s="19">
        <f>VLOOKUP($A306,'FA Addition'!$A:$AK,COLUMN(),FALSE)</f>
        <v>6500</v>
      </c>
      <c r="M306" s="20">
        <f>VLOOKUP($A306,'FA Addition'!$A:$AK,COLUMN()+2,FALSE)</f>
        <v>5</v>
      </c>
      <c r="N306" s="82">
        <f>VLOOKUP($A306,'FA Addition'!$A:$AK,COLUMN()+2,FALSE)</f>
        <v>0.2</v>
      </c>
      <c r="O306" s="83">
        <f>'FA Write off'!$N306*'FA Write off'!$L306*'FA Write off'!$H306/365</f>
        <v>3903.5616438356165</v>
      </c>
      <c r="S306" s="27"/>
      <c r="T306" s="28"/>
      <c r="U306" s="29"/>
    </row>
    <row r="307" spans="1:21" s="4" customFormat="1" hidden="1" x14ac:dyDescent="0.4">
      <c r="A307" s="23">
        <v>1680</v>
      </c>
      <c r="B307" s="78" t="s">
        <v>731</v>
      </c>
      <c r="C307" s="79">
        <v>43190</v>
      </c>
      <c r="D307" s="23">
        <v>1</v>
      </c>
      <c r="E307" s="15"/>
      <c r="F307" s="15"/>
      <c r="G307" s="16">
        <f>MONTH('FA Write off'!$C307)</f>
        <v>3</v>
      </c>
      <c r="H307" s="16">
        <f>MIN('FA Write off'!$C307-'FA Write off'!$J307+1,'FA Write off'!$M307*365)</f>
        <v>1096</v>
      </c>
      <c r="I307" s="80">
        <f>VLOOKUP($A307,'FA Addition'!$A:$AK,COLUMN()-6,FALSE)</f>
        <v>42095</v>
      </c>
      <c r="J307" s="80">
        <f>VLOOKUP($A307,'FA Addition'!$A:$AK,COLUMN()-6,FALSE)</f>
        <v>42095</v>
      </c>
      <c r="K307" s="81" t="str">
        <f>VLOOKUP($A307,'FA Addition'!$A:$AK,COLUMN()-6,FALSE)</f>
        <v>Website*</v>
      </c>
      <c r="L307" s="19">
        <f>VLOOKUP($A307,'FA Addition'!$A:$AK,COLUMN(),FALSE)</f>
        <v>142500</v>
      </c>
      <c r="M307" s="20">
        <f>VLOOKUP($A307,'FA Addition'!$A:$AK,COLUMN()+2,FALSE)</f>
        <v>10</v>
      </c>
      <c r="N307" s="82">
        <f>VLOOKUP($A307,'FA Addition'!$A:$AK,COLUMN()+2,FALSE)</f>
        <v>0.1</v>
      </c>
      <c r="O307" s="83">
        <f>'FA Write off'!$N307*'FA Write off'!$L307*'FA Write off'!$H307/365</f>
        <v>42789.04109589041</v>
      </c>
      <c r="S307" s="27"/>
      <c r="T307" s="28"/>
      <c r="U307" s="29"/>
    </row>
    <row r="308" spans="1:21" s="4" customFormat="1" hidden="1" x14ac:dyDescent="0.4">
      <c r="A308" s="23">
        <v>1681</v>
      </c>
      <c r="B308" s="78" t="s">
        <v>731</v>
      </c>
      <c r="C308" s="79">
        <v>42825</v>
      </c>
      <c r="D308" s="23">
        <v>1</v>
      </c>
      <c r="E308" s="15"/>
      <c r="F308" s="15"/>
      <c r="G308" s="16">
        <f>MONTH('FA Write off'!$C308)</f>
        <v>3</v>
      </c>
      <c r="H308" s="16">
        <f>MIN('FA Write off'!$C308-'FA Write off'!$J308+1,'FA Write off'!$M308*365)</f>
        <v>0</v>
      </c>
      <c r="I308" s="80">
        <f>VLOOKUP($A308,'FA Addition'!$A:$AK,COLUMN()-6,FALSE)</f>
        <v>42095</v>
      </c>
      <c r="J308" s="80">
        <f>VLOOKUP($A308,'FA Addition'!$A:$AK,COLUMN()-6,FALSE)</f>
        <v>42095</v>
      </c>
      <c r="K308" s="81" t="str">
        <f>VLOOKUP($A308,'FA Addition'!$A:$AK,COLUMN()-6,FALSE)</f>
        <v>Analytics Platform</v>
      </c>
      <c r="L308" s="19">
        <f>VLOOKUP($A308,'FA Addition'!$A:$AK,COLUMN(),FALSE)</f>
        <v>647385</v>
      </c>
      <c r="M308" s="20">
        <f>VLOOKUP($A308,'FA Addition'!$A:$AK,COLUMN()+2,FALSE)</f>
        <v>0</v>
      </c>
      <c r="N308" s="82">
        <f>VLOOKUP($A308,'FA Addition'!$A:$AK,COLUMN()+2,FALSE)</f>
        <v>0</v>
      </c>
      <c r="O308" s="83">
        <f>'FA Write off'!$N308*'FA Write off'!$L308*'FA Write off'!$H308/365</f>
        <v>0</v>
      </c>
      <c r="S308" s="27"/>
      <c r="T308" s="28"/>
      <c r="U308" s="29"/>
    </row>
    <row r="309" spans="1:21" s="4" customFormat="1" hidden="1" x14ac:dyDescent="0.4">
      <c r="A309" s="23">
        <v>1682</v>
      </c>
      <c r="B309" s="78" t="s">
        <v>731</v>
      </c>
      <c r="C309" s="79">
        <v>42825</v>
      </c>
      <c r="D309" s="23">
        <v>1</v>
      </c>
      <c r="E309" s="15"/>
      <c r="F309" s="15"/>
      <c r="G309" s="16">
        <f>MONTH('FA Write off'!$C309)</f>
        <v>3</v>
      </c>
      <c r="H309" s="16">
        <f>MIN('FA Write off'!$C309-'FA Write off'!$J309+1,'FA Write off'!$M309*365)</f>
        <v>0</v>
      </c>
      <c r="I309" s="80">
        <f>VLOOKUP($A309,'FA Addition'!$A:$AK,COLUMN()-6,FALSE)</f>
        <v>42095</v>
      </c>
      <c r="J309" s="80">
        <f>VLOOKUP($A309,'FA Addition'!$A:$AK,COLUMN()-6,FALSE)</f>
        <v>42095</v>
      </c>
      <c r="K309" s="81" t="str">
        <f>VLOOKUP($A309,'FA Addition'!$A:$AK,COLUMN()-6,FALSE)</f>
        <v>Technology Platform</v>
      </c>
      <c r="L309" s="19">
        <f>VLOOKUP($A309,'FA Addition'!$A:$AK,COLUMN(),FALSE)</f>
        <v>1548821</v>
      </c>
      <c r="M309" s="20">
        <f>VLOOKUP($A309,'FA Addition'!$A:$AK,COLUMN()+2,FALSE)</f>
        <v>0</v>
      </c>
      <c r="N309" s="82">
        <f>VLOOKUP($A309,'FA Addition'!$A:$AK,COLUMN()+2,FALSE)</f>
        <v>0</v>
      </c>
      <c r="O309" s="83">
        <f>'FA Write off'!$N309*'FA Write off'!$L309*'FA Write off'!$H309/365</f>
        <v>0</v>
      </c>
      <c r="S309" s="27"/>
      <c r="T309" s="28"/>
      <c r="U309" s="29"/>
    </row>
    <row r="310" spans="1:21" s="4" customFormat="1" hidden="1" x14ac:dyDescent="0.4">
      <c r="A310" s="23">
        <v>1683</v>
      </c>
      <c r="B310" s="78" t="s">
        <v>731</v>
      </c>
      <c r="C310" s="79">
        <v>43190</v>
      </c>
      <c r="D310" s="23">
        <v>1</v>
      </c>
      <c r="E310" s="15"/>
      <c r="F310" s="15"/>
      <c r="G310" s="16">
        <f>MONTH('FA Write off'!$C310)</f>
        <v>3</v>
      </c>
      <c r="H310" s="16">
        <f>MIN('FA Write off'!$C310-'FA Write off'!$J310+1,'FA Write off'!$M310*365)</f>
        <v>730</v>
      </c>
      <c r="I310" s="80">
        <f>VLOOKUP($A310,'FA Addition'!$A:$AK,COLUMN()-6,FALSE)</f>
        <v>42461</v>
      </c>
      <c r="J310" s="80">
        <f>VLOOKUP($A310,'FA Addition'!$A:$AK,COLUMN()-6,FALSE)</f>
        <v>42461</v>
      </c>
      <c r="K310" s="81" t="str">
        <f>VLOOKUP($A310,'FA Addition'!$A:$AK,COLUMN()-6,FALSE)</f>
        <v>Website*</v>
      </c>
      <c r="L310" s="19">
        <f>VLOOKUP($A310,'FA Addition'!$A:$AK,COLUMN(),FALSE)</f>
        <v>29858</v>
      </c>
      <c r="M310" s="20">
        <f>VLOOKUP($A310,'FA Addition'!$A:$AK,COLUMN()+2,FALSE)</f>
        <v>10</v>
      </c>
      <c r="N310" s="82">
        <f>VLOOKUP($A310,'FA Addition'!$A:$AK,COLUMN()+2,FALSE)</f>
        <v>0.1</v>
      </c>
      <c r="O310" s="83">
        <f>'FA Write off'!$N310*'FA Write off'!$L310*'FA Write off'!$H310/365</f>
        <v>5971.6</v>
      </c>
      <c r="S310" s="27"/>
      <c r="T310" s="28"/>
      <c r="U310" s="29"/>
    </row>
    <row r="311" spans="1:21" s="4" customFormat="1" x14ac:dyDescent="0.4">
      <c r="A311" s="23">
        <v>90</v>
      </c>
      <c r="B311" s="78" t="s">
        <v>1758</v>
      </c>
      <c r="C311" s="217">
        <v>45747</v>
      </c>
      <c r="D311" s="23">
        <v>66</v>
      </c>
      <c r="E311" s="15"/>
      <c r="F311" s="15"/>
      <c r="G311" s="16">
        <f>MONTH('FA Write off'!$C311)</f>
        <v>3</v>
      </c>
      <c r="H311" s="16">
        <f>MIN('FA Write off'!$C311-'FA Write off'!$J311+1,'FA Write off'!$M311*365)</f>
        <v>1095</v>
      </c>
      <c r="I311" s="80">
        <f>VLOOKUP($A311,'FA Addition'!$A:$AK,COLUMN()-6,FALSE)</f>
        <v>42368</v>
      </c>
      <c r="J311" s="80">
        <f>VLOOKUP($A311,'FA Addition'!$A:$AK,COLUMN()-6,FALSE)</f>
        <v>42368</v>
      </c>
      <c r="K311" s="81" t="str">
        <f>VLOOKUP($A311,'FA Addition'!$A:$AK,COLUMN()-6,FALSE)</f>
        <v>Router</v>
      </c>
      <c r="L311" s="19">
        <f>VLOOKUP($A311,'FA Addition'!$A:$AK,COLUMN(),FALSE)</f>
        <v>118755</v>
      </c>
      <c r="M311" s="20">
        <f>VLOOKUP($A311,'FA Addition'!$A:$AK,COLUMN()+2,FALSE)</f>
        <v>3</v>
      </c>
      <c r="N311" s="82">
        <f>VLOOKUP($A311,'FA Addition'!$A:$AK,COLUMN()+2,FALSE)</f>
        <v>0.63159167985569753</v>
      </c>
      <c r="O311" s="83">
        <f>'FA Write off'!$N311*'FA Write off'!$L311*'FA Write off'!$H311/365</f>
        <v>225014.00982379008</v>
      </c>
      <c r="S311" s="27"/>
      <c r="T311" s="28"/>
      <c r="U311" s="29"/>
    </row>
  </sheetData>
  <sheetProtection formatCells="0" formatColumns="0" formatRows="0" insertColumns="0" insertRows="0" insertHyperlinks="0" deleteColumns="0" deleteRows="0" sort="0" autoFilter="0" pivotTables="0"/>
  <conditionalFormatting sqref="A2:A311">
    <cfRule type="duplicateValues" dxfId="17" priority="3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ELMPL-21</dc:creator>
  <cp:lastModifiedBy>Kumod R</cp:lastModifiedBy>
  <dcterms:created xsi:type="dcterms:W3CDTF">2015-06-05T18:17:20Z</dcterms:created>
  <dcterms:modified xsi:type="dcterms:W3CDTF">2026-03-26T18:51:34Z</dcterms:modified>
</cp:coreProperties>
</file>